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4"/>
  </bookViews>
  <sheets>
    <sheet name="期望" sheetId="20" r:id="rId1"/>
    <sheet name="对比工具" sheetId="21" state="hidden" r:id="rId2"/>
    <sheet name="武器奇术" sheetId="9" r:id="rId3"/>
    <sheet name="目标属性" sheetId="5" r:id="rId4"/>
    <sheet name="版本日志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<sst xmlns="http://schemas.openxmlformats.org/spreadsheetml/2006/main" count="962" uniqueCount="317">
  <si>
    <t>当前装备</t>
  </si>
  <si>
    <t>对比装备</t>
  </si>
  <si>
    <t>释放奇术时主属性</t>
  </si>
  <si>
    <t>破竹</t>
  </si>
  <si>
    <t>&lt;--下拉菜单</t>
  </si>
  <si>
    <t>武学常驻属性</t>
  </si>
  <si>
    <t>通用增伤</t>
  </si>
  <si>
    <t>蓄力增伤</t>
  </si>
  <si>
    <t>断石之构</t>
  </si>
  <si>
    <t>三穷致知</t>
  </si>
  <si>
    <t>易水歌</t>
  </si>
  <si>
    <t>劲</t>
  </si>
  <si>
    <t>×</t>
  </si>
  <si>
    <t>√</t>
  </si>
  <si>
    <t>敏</t>
  </si>
  <si>
    <t>最小外功攻击</t>
  </si>
  <si>
    <t>最大外功攻击</t>
  </si>
  <si>
    <t>外功穿透</t>
  </si>
  <si>
    <t>外攻伤害加成</t>
  </si>
  <si>
    <t>套装</t>
  </si>
  <si>
    <t>天工</t>
  </si>
  <si>
    <t>玉鳞脍</t>
  </si>
  <si>
    <t>势</t>
  </si>
  <si>
    <t>撼天</t>
  </si>
  <si>
    <t>火</t>
  </si>
  <si>
    <t>最小外功</t>
  </si>
  <si>
    <t>当前装备的敏</t>
  </si>
  <si>
    <t>最小鸣金攻击</t>
  </si>
  <si>
    <t>最大鸣金攻击</t>
  </si>
  <si>
    <t>鸣金穿透</t>
  </si>
  <si>
    <t>鸣金伤害加成</t>
  </si>
  <si>
    <t>目标</t>
  </si>
  <si>
    <t>最大外功</t>
  </si>
  <si>
    <t>笃山衔蝉</t>
  </si>
  <si>
    <t>&lt;-下拉菜单</t>
  </si>
  <si>
    <t>最小无相</t>
  </si>
  <si>
    <t>最小裂石攻击</t>
  </si>
  <si>
    <t>最大裂石攻击</t>
  </si>
  <si>
    <t>裂石穿透</t>
  </si>
  <si>
    <t>裂石伤害加成</t>
  </si>
  <si>
    <t>目标防御</t>
  </si>
  <si>
    <t>扶摇擒天易水三穷</t>
  </si>
  <si>
    <t>最大无相</t>
  </si>
  <si>
    <t>精准</t>
  </si>
  <si>
    <t>最小牵丝攻击</t>
  </si>
  <si>
    <t>最大牵丝攻击</t>
  </si>
  <si>
    <t>牵丝穿透</t>
  </si>
  <si>
    <t>牵丝伤害加成</t>
  </si>
  <si>
    <t>判定抗性</t>
  </si>
  <si>
    <t>会心</t>
  </si>
  <si>
    <t>会意</t>
  </si>
  <si>
    <t>最小破竹攻击</t>
  </si>
  <si>
    <t>最大破竹攻击</t>
  </si>
  <si>
    <t>破竹穿透</t>
  </si>
  <si>
    <t>破竹伤害加成</t>
  </si>
  <si>
    <t>最小鸣金</t>
  </si>
  <si>
    <t>最大鸣金</t>
  </si>
  <si>
    <t>最小无相攻击</t>
  </si>
  <si>
    <t>最大无相攻击</t>
  </si>
  <si>
    <t>无相穿透</t>
  </si>
  <si>
    <t>固伤加成</t>
  </si>
  <si>
    <t>拳攻击期望</t>
  </si>
  <si>
    <t>最小裂石</t>
  </si>
  <si>
    <t>&lt;&lt;&lt;默认50%</t>
  </si>
  <si>
    <t>最大裂石</t>
  </si>
  <si>
    <t>括号内-&gt;</t>
  </si>
  <si>
    <t>精准率</t>
  </si>
  <si>
    <t>会心伤害加成</t>
  </si>
  <si>
    <t>最小牵丝</t>
  </si>
  <si>
    <t>会心率</t>
  </si>
  <si>
    <t>会意伤害加成</t>
  </si>
  <si>
    <t>最大牵丝</t>
  </si>
  <si>
    <t>会意率</t>
  </si>
  <si>
    <t>首领增伤</t>
  </si>
  <si>
    <t>沧海帖</t>
  </si>
  <si>
    <t>行藏帖</t>
  </si>
  <si>
    <t>最小破竹</t>
  </si>
  <si>
    <t>直接会心率</t>
  </si>
  <si>
    <t>最大破竹</t>
  </si>
  <si>
    <t>直接会意率</t>
  </si>
  <si>
    <t>相杀瘫痪</t>
  </si>
  <si>
    <t>易伤层数</t>
  </si>
  <si>
    <t>拳甲增</t>
  </si>
  <si>
    <t>增伤</t>
  </si>
  <si>
    <t>全武增</t>
  </si>
  <si>
    <t>拳甲</t>
  </si>
  <si>
    <t>首领增</t>
  </si>
  <si>
    <t>绳标</t>
  </si>
  <si>
    <t>拳蓄力</t>
  </si>
  <si>
    <t>全武器增伤</t>
  </si>
  <si>
    <t>单体奇术</t>
  </si>
  <si>
    <t>群体奇术</t>
  </si>
  <si>
    <t>蓄力定音</t>
  </si>
  <si>
    <t>N/A</t>
  </si>
  <si>
    <t>用时</t>
  </si>
  <si>
    <t>总期望</t>
  </si>
  <si>
    <t>外功</t>
  </si>
  <si>
    <t>固伤</t>
  </si>
  <si>
    <t>鸣金</t>
  </si>
  <si>
    <t>裂石</t>
  </si>
  <si>
    <t>牵丝</t>
  </si>
  <si>
    <t>无相</t>
  </si>
  <si>
    <t>次数</t>
  </si>
  <si>
    <t>定音增伤</t>
  </si>
  <si>
    <t>期望伤害</t>
  </si>
  <si>
    <t>占比</t>
  </si>
  <si>
    <t>补正</t>
  </si>
  <si>
    <t>生效会心</t>
  </si>
  <si>
    <t>生效会意</t>
  </si>
  <si>
    <t>生效精准</t>
  </si>
  <si>
    <t>武器类型</t>
  </si>
  <si>
    <t>生效增伤</t>
  </si>
  <si>
    <t>最小</t>
  </si>
  <si>
    <t>平均</t>
  </si>
  <si>
    <t>最大</t>
  </si>
  <si>
    <t>穿透增伤</t>
  </si>
  <si>
    <t>伤害加成</t>
  </si>
  <si>
    <t>倍率</t>
  </si>
  <si>
    <t>擦伤伤害</t>
  </si>
  <si>
    <t>擦伤占比</t>
  </si>
  <si>
    <t>会心伤害</t>
  </si>
  <si>
    <t>会心占比</t>
  </si>
  <si>
    <t>会意伤害</t>
  </si>
  <si>
    <t>会意占比</t>
  </si>
  <si>
    <t>普攻伤害</t>
  </si>
  <si>
    <t>普攻占比</t>
  </si>
  <si>
    <t>平均伤害</t>
  </si>
  <si>
    <t>总伤</t>
  </si>
  <si>
    <t>绳标Q卸</t>
  </si>
  <si>
    <t>鹰隼追击(绳标)</t>
  </si>
  <si>
    <t>拳甲R蓄4天志</t>
  </si>
  <si>
    <t>拳甲Q一段(面板2:8实际3:7远距离强化1.2倍)</t>
  </si>
  <si>
    <t>拳甲～</t>
  </si>
  <si>
    <t>DPS</t>
  </si>
  <si>
    <t>拳甲普攻56</t>
  </si>
  <si>
    <t>鹰隼追击(拳甲)</t>
  </si>
  <si>
    <t>拳甲Q二段</t>
  </si>
  <si>
    <t>100本属性毕业率</t>
  </si>
  <si>
    <t>骑龙回马打满</t>
  </si>
  <si>
    <t>绳标～</t>
  </si>
  <si>
    <t>气竭期望</t>
  </si>
  <si>
    <t>鹰隼追击(绳特殊技)</t>
  </si>
  <si>
    <t>绳标Q</t>
  </si>
  <si>
    <t>拳甲重击1</t>
  </si>
  <si>
    <t>拳甲普攻3</t>
  </si>
  <si>
    <t>气竭前期望</t>
  </si>
  <si>
    <t>拳甲普攻4</t>
  </si>
  <si>
    <t>超级气竭期望</t>
  </si>
  <si>
    <t>拳甲Q一段(气竭)</t>
  </si>
  <si>
    <t>拳甲～(气竭)</t>
  </si>
  <si>
    <t>拳甲普攻56(气竭)</t>
  </si>
  <si>
    <t>鹰隼追击(拳甲)+气竭</t>
  </si>
  <si>
    <t>拳甲Q二段(气竭)</t>
  </si>
  <si>
    <t>相杀前</t>
  </si>
  <si>
    <t>绳～</t>
  </si>
  <si>
    <t>骑龙回马打满(气竭)</t>
  </si>
  <si>
    <t>瘫痪</t>
  </si>
  <si>
    <t>绳Q+卸</t>
  </si>
  <si>
    <t>切武器</t>
  </si>
  <si>
    <t>拳R蓄</t>
  </si>
  <si>
    <t>拳R蓄攻击</t>
  </si>
  <si>
    <t>动画</t>
  </si>
  <si>
    <t>拳Q1</t>
  </si>
  <si>
    <t>拳～</t>
  </si>
  <si>
    <t>普攻56</t>
  </si>
  <si>
    <t>拳Q2</t>
  </si>
  <si>
    <t>骑龙</t>
  </si>
  <si>
    <t>绳Q</t>
  </si>
  <si>
    <t>重击1</t>
  </si>
  <si>
    <t>普攻34</t>
  </si>
  <si>
    <t>气竭</t>
  </si>
  <si>
    <t>叶龙骧首(60%HP+32层+气竭)</t>
  </si>
  <si>
    <t>黄条</t>
  </si>
  <si>
    <t>战位</t>
  </si>
  <si>
    <t>金身</t>
  </si>
  <si>
    <t>易伤开始</t>
  </si>
  <si>
    <t>拳甲R蓄4天志(无返豆+无持续伤害)</t>
  </si>
  <si>
    <t>易水歌6重</t>
  </si>
  <si>
    <t>易水歌6重(气竭)</t>
  </si>
  <si>
    <t>叶龙</t>
  </si>
  <si>
    <t>结算</t>
  </si>
  <si>
    <t>剩余动画</t>
  </si>
  <si>
    <t>拳56接拳</t>
  </si>
  <si>
    <t>拳56接奇术</t>
  </si>
  <si>
    <t>拳56接234</t>
  </si>
  <si>
    <t>拳Q</t>
  </si>
  <si>
    <t>闪避派生</t>
  </si>
  <si>
    <t>普攻234</t>
  </si>
  <si>
    <t>扶摇擒天易水断石</t>
  </si>
  <si>
    <t>当前敏捷</t>
  </si>
  <si>
    <t>对比敏捷</t>
  </si>
  <si>
    <t>天赋会心</t>
  </si>
  <si>
    <t>天赋小攻</t>
  </si>
  <si>
    <t>元素倍率</t>
  </si>
  <si>
    <t>额外最小外功加成</t>
  </si>
  <si>
    <t>额外最大外攻加成</t>
  </si>
  <si>
    <t>额外会心率</t>
  </si>
  <si>
    <t>额外会心伤害</t>
  </si>
  <si>
    <t>额外会意率</t>
  </si>
  <si>
    <t>额外会意伤害</t>
  </si>
  <si>
    <t>额外增伤</t>
  </si>
  <si>
    <t>额外外功穿透</t>
  </si>
  <si>
    <t>蓄力技能</t>
  </si>
  <si>
    <t>类型</t>
  </si>
  <si>
    <t>属性</t>
  </si>
  <si>
    <t>特殊</t>
  </si>
  <si>
    <t>三穷</t>
  </si>
  <si>
    <t>不会擦伤</t>
  </si>
  <si>
    <t>拳志加成</t>
  </si>
  <si>
    <t>心法</t>
  </si>
  <si>
    <t>鹰隼追击(拳甲)+行藏</t>
  </si>
  <si>
    <t>鹰隼追击(拳甲+近战笛)</t>
  </si>
  <si>
    <t>鹰隼追击(绳标)+行藏</t>
  </si>
  <si>
    <t>鹰隼追击(绳标+近战笛)</t>
  </si>
  <si>
    <t>鹰隼追击(绳标)+气竭</t>
  </si>
  <si>
    <t>鹰隼追击(绳特殊技)+行藏</t>
  </si>
  <si>
    <t>鹰隼追击(绳特殊技)+气竭</t>
  </si>
  <si>
    <t>鹰隼追击(绳特殊技+近战笛)</t>
  </si>
  <si>
    <t>武器</t>
  </si>
  <si>
    <t>拳甲～(行藏)</t>
  </si>
  <si>
    <t>拳甲～(近战笛)</t>
  </si>
  <si>
    <t>拳甲Q一段(近战笛)</t>
  </si>
  <si>
    <t>拳甲Q二段(近战笛)</t>
  </si>
  <si>
    <t>拳甲Q一段(行藏)</t>
  </si>
  <si>
    <t>拳甲Q二段(行藏)</t>
  </si>
  <si>
    <t>拳甲普攻1</t>
  </si>
  <si>
    <t>拳甲普攻2</t>
  </si>
  <si>
    <t>拳甲普攻5</t>
  </si>
  <si>
    <t>拳甲普攻6</t>
  </si>
  <si>
    <t>拳甲普攻234</t>
  </si>
  <si>
    <t>拳甲普攻56(行藏)</t>
  </si>
  <si>
    <t>拳甲普攻56(近战笛)</t>
  </si>
  <si>
    <t>拳甲R蓄3天志</t>
  </si>
  <si>
    <t>拳甲R蓄4天志(行藏)</t>
  </si>
  <si>
    <t>拳甲R蓄4天志(行藏+无持续伤害)</t>
  </si>
  <si>
    <t>拳甲R蓄4天志(断石)</t>
  </si>
  <si>
    <t>拳甲R蓄4天志(近战笛)</t>
  </si>
  <si>
    <t>拳甲易武</t>
  </si>
  <si>
    <t>绳标Q(近战笛)</t>
  </si>
  <si>
    <t>绳标Q(行藏)</t>
  </si>
  <si>
    <t>绳标Q(气竭)</t>
  </si>
  <si>
    <t>绳标Q卸(行藏)</t>
  </si>
  <si>
    <t>绳标Q卸(近战笛)</t>
  </si>
  <si>
    <t>绳标～(行藏)</t>
  </si>
  <si>
    <t>绳标～(气竭)</t>
  </si>
  <si>
    <t>绳标～(近战笛)</t>
  </si>
  <si>
    <t>骑龙回马一段</t>
  </si>
  <si>
    <t>奇术</t>
  </si>
  <si>
    <t>骑龙回马打满(近战笛)</t>
  </si>
  <si>
    <t>骑龙回马打满(行藏)</t>
  </si>
  <si>
    <t>箫吟千浪(AOE+行藏)</t>
  </si>
  <si>
    <t>箫吟千浪(首轮流星+行藏)</t>
  </si>
  <si>
    <t>箫吟千浪(单次后续流星+近战笛)</t>
  </si>
  <si>
    <t>易水歌6重(行藏)</t>
  </si>
  <si>
    <t>易水歌6重(近战笛)</t>
  </si>
  <si>
    <t>防御</t>
  </si>
  <si>
    <t>气竭增伤</t>
  </si>
  <si>
    <t>额外外功抗性</t>
  </si>
  <si>
    <t>额外属性抗性</t>
  </si>
  <si>
    <t>无相皇16</t>
  </si>
  <si>
    <t>无相皇51</t>
  </si>
  <si>
    <t>沉棺泊梦</t>
  </si>
  <si>
    <t>幽牙蛇影</t>
  </si>
  <si>
    <t>白驹飞霞</t>
  </si>
  <si>
    <t>俣俣神浒</t>
  </si>
  <si>
    <t>定极分更</t>
  </si>
  <si>
    <t>霜催落月</t>
  </si>
  <si>
    <t>105阶挑战</t>
  </si>
  <si>
    <t>木桩</t>
  </si>
  <si>
    <t>版本号</t>
  </si>
  <si>
    <t>修正编号</t>
  </si>
  <si>
    <t>描述</t>
  </si>
  <si>
    <t>BiliBili@片雲</t>
  </si>
  <si>
    <t>更新黄钟正响版本内容</t>
  </si>
  <si>
    <t>如有问题⬆</t>
  </si>
  <si>
    <t>因司南剑客的随机性,轴暂时只用19秒宝宝轴观察属性</t>
  </si>
  <si>
    <t>与实战相比,外攻收益会低(没算尘),增伤类词条会偏高(因为实战有气竭和虚弱)</t>
  </si>
  <si>
    <t>但不会差距很大</t>
  </si>
  <si>
    <t>司南剑客战斗中无法触发任何闪避类效果(阴阳或断石六重),不知是否为设计意图</t>
  </si>
  <si>
    <t>所以不带断石,打更人因为有长期锁真气所以也"可能"不带断石.</t>
  </si>
  <si>
    <t>添加新版本食物</t>
  </si>
  <si>
    <t>修正奇术也计算了武学固伤加成天赋的问题</t>
  </si>
  <si>
    <t>修正bug</t>
  </si>
  <si>
    <t>回滚修正</t>
  </si>
  <si>
    <t>司南剑客修复了,轴变更为司南冲锋轴(开局3红圈承欢)</t>
  </si>
  <si>
    <t>前3拳全爆(随机到70%以上攻击)就能在气竭时把BOSS打死</t>
  </si>
  <si>
    <t>4拳伤害溢出严重,最后一拳竞速应该会打2豆.</t>
  </si>
  <si>
    <t>实际轴长需要等其他武学算完才能知道,暂定68,实际应该60秒内</t>
  </si>
  <si>
    <t>添加了一个单独调整拳期望的小工具,默认50%</t>
  </si>
  <si>
    <t>修正轴长</t>
  </si>
  <si>
    <t>根据血量修正轴,现在只需要随机到60%攻击就能在第三拳把BOSS打死</t>
  </si>
  <si>
    <t>修正老鹰加成</t>
  </si>
  <si>
    <t>添加拳无法吃到天志伤害加成的隐藏改动,约削弱3%-4%</t>
  </si>
  <si>
    <t>添加了第40条词条-最小外攻</t>
  </si>
  <si>
    <t>根据1月6日的热修正回滚4豆拳无法吃到天志伤害加成的改动</t>
  </si>
  <si>
    <t>修正加成</t>
  </si>
  <si>
    <t>增加了装备对比工具,需要填写老装备装备时人物的敏</t>
  </si>
  <si>
    <t>如需观察当前装备的状态的各词条收益,在对比装备中填入单条词条属性.</t>
  </si>
  <si>
    <t>修正对比工具bug</t>
  </si>
  <si>
    <t>修改了一些算法</t>
  </si>
  <si>
    <t>更新先琢测试</t>
  </si>
  <si>
    <t>更新黄钟正响下半版本内容</t>
  </si>
  <si>
    <t>轴暂时不变,等我研究会了再说.</t>
  </si>
  <si>
    <t>修正diy属性</t>
  </si>
  <si>
    <t>更新桃靥剑姬三穷宝宝轴,实际应比断石全蹭低3-4%,全额出伤需要等dot跳完</t>
  </si>
  <si>
    <t>增加皇宫蹊跷属性</t>
  </si>
  <si>
    <t>将部分属性扩展到了小数点后两位,填写时按照游戏内显示的实际数值填写</t>
  </si>
  <si>
    <t>更新夹钟奏雅版本,轴变更为笃墨蝎理论轴(去掉了前半机制),需要实战验证,</t>
  </si>
  <si>
    <t>前期用8会心3敏3精准+精准弓</t>
  </si>
  <si>
    <t>修正了对比工具的bug</t>
  </si>
  <si>
    <t>根据测试去掉了撼天套对无相攻击的加成</t>
  </si>
  <si>
    <t>更新青州蹊跷第一部分</t>
  </si>
  <si>
    <t>更新4月30日与5月4日先琢,+0.2%</t>
  </si>
  <si>
    <t>更新夹钟下半属性</t>
  </si>
  <si>
    <t>满值小攻期望为105.7%,全承音领先2%+,比上半赛季领先更少</t>
  </si>
  <si>
    <t>本期拳大概率是打杂位,战斗时长也短,老二还有奇怪的短时40%独立增伤</t>
  </si>
  <si>
    <t>所以依然不做小攻推荐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</si>
</sst>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8" tint="0.8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9" applyNumberFormat="0" applyAlignment="0" applyProtection="0">
      <alignment vertical="center"/>
    </xf>
    <xf numFmtId="0" fontId="13" fillId="8" borderId="30" applyNumberFormat="0" applyAlignment="0" applyProtection="0">
      <alignment vertical="center"/>
    </xf>
    <xf numFmtId="0" fontId="14" fillId="8" borderId="29" applyNumberFormat="0" applyAlignment="0" applyProtection="0">
      <alignment vertical="center"/>
    </xf>
    <xf numFmtId="0" fontId="15" fillId="9" borderId="31" applyNumberFormat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9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6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NumberFormat="1" applyFont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0" fillId="0" borderId="0" xfId="0" applyNumberFormat="1" applyFont="1" applyBorder="1" applyAlignment="1">
      <alignment vertical="center" wrapText="1"/>
    </xf>
    <xf numFmtId="177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10" fontId="2" fillId="0" borderId="0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3" fillId="0" borderId="0" xfId="0" applyNumberFormat="1" applyFont="1" applyBorder="1" applyAlignment="1">
      <alignment vertical="center" wrapText="1"/>
    </xf>
    <xf numFmtId="177" fontId="0" fillId="0" borderId="0" xfId="0" applyNumberFormat="1" applyFont="1" applyBorder="1" applyAlignment="1">
      <alignment vertical="center" wrapText="1"/>
    </xf>
    <xf numFmtId="177" fontId="0" fillId="0" borderId="0" xfId="0" applyNumberFormat="1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3" borderId="0" xfId="0" applyNumberFormat="1" applyFill="1" applyAlignment="1">
      <alignment horizontal="center" vertical="center"/>
    </xf>
    <xf numFmtId="2" fontId="4" fillId="0" borderId="0" xfId="0" applyNumberFormat="1" applyFont="1">
      <alignment vertical="center"/>
    </xf>
    <xf numFmtId="9" fontId="0" fillId="0" borderId="0" xfId="0" applyNumberFormat="1" applyFill="1" applyAlignment="1">
      <alignment horizontal="center" vertical="center"/>
    </xf>
    <xf numFmtId="10" fontId="0" fillId="0" borderId="0" xfId="0" applyNumberFormat="1" applyFont="1" applyFill="1" applyBorder="1" applyAlignment="1" applyProtection="1">
      <alignment vertical="center"/>
    </xf>
    <xf numFmtId="177" fontId="0" fillId="0" borderId="0" xfId="0" applyNumberFormat="1" applyFont="1" applyBorder="1" applyAlignment="1">
      <alignment vertical="center"/>
    </xf>
    <xf numFmtId="0" fontId="0" fillId="3" borderId="0" xfId="0" applyFill="1">
      <alignment vertical="center"/>
    </xf>
    <xf numFmtId="9" fontId="0" fillId="0" borderId="0" xfId="0" applyNumberFormat="1" applyFill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9" fontId="0" fillId="0" borderId="13" xfId="0" applyNumberFormat="1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9" fontId="0" fillId="0" borderId="9" xfId="0" applyNumberFormat="1" applyBorder="1" applyAlignment="1">
      <alignment vertical="center"/>
    </xf>
    <xf numFmtId="9" fontId="0" fillId="0" borderId="10" xfId="0" applyNumberFormat="1" applyBorder="1" applyAlignment="1">
      <alignment vertical="center"/>
    </xf>
    <xf numFmtId="9" fontId="0" fillId="0" borderId="11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9" fontId="0" fillId="0" borderId="17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10" fontId="0" fillId="0" borderId="18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77" fontId="0" fillId="0" borderId="18" xfId="0" applyNumberFormat="1" applyFont="1" applyFill="1" applyBorder="1" applyAlignment="1" applyProtection="1">
      <alignment horizontal="center" vertical="center"/>
    </xf>
    <xf numFmtId="10" fontId="0" fillId="5" borderId="18" xfId="0" applyNumberFormat="1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" fontId="0" fillId="0" borderId="4" xfId="0" applyNumberFormat="1" applyFill="1" applyBorder="1" applyAlignment="1">
      <alignment horizontal="center" vertical="center" wrapText="1"/>
    </xf>
    <xf numFmtId="2" fontId="0" fillId="0" borderId="5" xfId="0" applyNumberForma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0" fillId="0" borderId="6" xfId="0" applyNumberFormat="1" applyFill="1" applyBorder="1" applyAlignment="1">
      <alignment horizontal="center" vertical="center" wrapText="1"/>
    </xf>
    <xf numFmtId="2" fontId="0" fillId="0" borderId="8" xfId="0" applyNumberForma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2" fontId="0" fillId="5" borderId="18" xfId="0" applyNumberFormat="1" applyFill="1" applyBorder="1" applyAlignment="1">
      <alignment horizontal="center" vertical="center"/>
    </xf>
    <xf numFmtId="177" fontId="0" fillId="0" borderId="1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0" borderId="24" xfId="0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77" fontId="0" fillId="0" borderId="5" xfId="0" applyNumberFormat="1" applyFont="1" applyBorder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/>
    </xf>
    <xf numFmtId="0" fontId="0" fillId="0" borderId="24" xfId="0" applyFont="1" applyBorder="1">
      <alignment vertical="center"/>
    </xf>
    <xf numFmtId="10" fontId="0" fillId="3" borderId="0" xfId="0" applyNumberFormat="1" applyFill="1" applyAlignment="1">
      <alignment horizontal="center" vertical="center"/>
    </xf>
    <xf numFmtId="177" fontId="0" fillId="0" borderId="4" xfId="0" applyNumberFormat="1" applyFont="1" applyFill="1" applyBorder="1" applyAlignment="1" applyProtection="1">
      <alignment horizontal="center" vertical="center"/>
    </xf>
    <xf numFmtId="177" fontId="0" fillId="0" borderId="5" xfId="0" applyNumberFormat="1" applyFont="1" applyBorder="1" applyAlignment="1">
      <alignment horizontal="center" vertical="center"/>
    </xf>
    <xf numFmtId="177" fontId="0" fillId="0" borderId="4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16" xfId="0" applyBorder="1">
      <alignment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numFmt numFmtId="10" formatCode="0.00%"/>
    </dxf>
    <dxf>
      <font>
        <color rgb="FF00B050"/>
      </font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89"/>
  <sheetViews>
    <sheetView workbookViewId="0">
      <selection activeCell="E26" sqref="E26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33"/>
    <col min="9" max="10" width="9" style="32"/>
    <col min="17" max="17" width="9.375"/>
    <col min="18" max="18" width="10.375"/>
    <col min="19" max="19" width="9.375"/>
    <col min="20" max="20" width="12.875" style="32" customWidth="1"/>
    <col min="21" max="21" width="13.125" style="35" customWidth="1"/>
    <col min="22" max="22" width="13.125" customWidth="1"/>
    <col min="23" max="23" width="12.25" style="33" customWidth="1"/>
    <col min="24" max="24" width="9.75" style="32" customWidth="1"/>
    <col min="25" max="25" width="10.5" style="33" customWidth="1"/>
    <col min="26" max="26" width="9.375" style="32"/>
    <col min="27" max="27" width="9.375" style="33"/>
    <col min="28" max="28" width="9" style="32"/>
    <col min="29" max="29" width="12.625" style="33"/>
    <col min="30" max="30" width="9.375" style="32"/>
    <col min="31" max="31" width="10.375" style="33"/>
    <col min="32" max="32" width="9.375" style="33"/>
    <col min="33" max="34" width="9" style="33"/>
    <col min="41" max="41" width="9" style="32"/>
    <col min="43" max="43" width="9" style="32"/>
    <col min="56" max="56" width="9" style="32"/>
    <col min="58" max="58" width="9" style="32"/>
    <col min="71" max="71" width="9" style="32"/>
    <col min="73" max="73" width="9" style="32"/>
    <col min="86" max="86" width="9" style="32"/>
    <col min="88" max="88" width="9" style="32"/>
    <col min="92" max="92" width="10.375"/>
    <col min="93" max="93" width="9.375"/>
    <col min="94" max="94" width="11.5"/>
    <col min="98" max="98" width="9.375"/>
    <col min="101" max="101" width="9" style="32"/>
    <col min="103" max="103" width="9" style="32"/>
  </cols>
  <sheetData>
    <row r="1" ht="14.25" spans="1:24">
      <c r="M1" s="151" t="s">
        <v>0</v>
      </c>
      <c r="N1" s="152"/>
      <c r="O1" s="151" t="s">
        <v>1</v>
      </c>
      <c r="P1" s="152"/>
    </row>
    <row r="2" ht="14.25" spans="1:24">
      <c r="B2" s="36" t="s">
        <v>2</v>
      </c>
      <c r="C2" s="153" t="s">
        <v>3</v>
      </c>
      <c r="D2" s="38" t="s">
        <v>4</v>
      </c>
      <c r="E2" s="36" t="s">
        <v>5</v>
      </c>
      <c r="F2" s="39" t="s">
        <v>6</v>
      </c>
      <c r="G2" s="40" t="s">
        <v>7</v>
      </c>
      <c r="H2" s="41" t="s">
        <v>8</v>
      </c>
      <c r="I2" s="41" t="s">
        <v>9</v>
      </c>
      <c r="J2" s="42" t="s">
        <v>10</v>
      </c>
      <c r="K2" s="39"/>
      <c r="L2" s="154" t="s">
        <v>11</v>
      </c>
      <c r="M2" s="155"/>
      <c r="N2" s="156"/>
      <c r="O2" s="155"/>
      <c r="P2" s="157"/>
      <c r="Q2" s="158">
        <f>对比工具!C35/C35-1</f>
        <v>0</v>
      </c>
      <c r="R2" s="159"/>
    </row>
    <row r="3" spans="1:24">
      <c r="E3" s="36">
        <f>150.7</f>
        <v>150.7</v>
      </c>
      <c r="F3" s="41">
        <f>VLOOKUP($F$7,目标属性!$A:$R,3,FALSE)+IF(H5="火",1.5%,0)+IF(H5="毒",1%,0)+IF(J3="√",5%,0)+E18</f>
        <v>0.303</v>
      </c>
      <c r="G3" s="41">
        <v>0</v>
      </c>
      <c r="H3" s="160" t="s">
        <v>12</v>
      </c>
      <c r="I3" s="160" t="s">
        <v>13</v>
      </c>
      <c r="J3" s="70" t="s">
        <v>13</v>
      </c>
      <c r="L3" s="161" t="s">
        <v>14</v>
      </c>
      <c r="M3" s="162"/>
      <c r="N3" s="163"/>
      <c r="O3" s="162"/>
      <c r="P3" s="164"/>
      <c r="Q3" s="165"/>
      <c r="R3" s="166"/>
      <c r="S3" s="31"/>
    </row>
    <row r="4" ht="14.25" spans="1:24">
      <c r="B4" s="45" t="s">
        <v>15</v>
      </c>
      <c r="C4" s="45" t="s">
        <v>16</v>
      </c>
      <c r="D4" s="45" t="s">
        <v>17</v>
      </c>
      <c r="E4" s="46" t="s">
        <v>18</v>
      </c>
      <c r="G4" s="39" t="s">
        <v>19</v>
      </c>
      <c r="H4" s="39" t="s">
        <v>20</v>
      </c>
      <c r="I4" s="39" t="s">
        <v>21</v>
      </c>
      <c r="L4" s="161" t="s">
        <v>22</v>
      </c>
      <c r="M4" s="167"/>
      <c r="N4" s="168"/>
      <c r="O4" s="167"/>
      <c r="P4" s="169"/>
      <c r="Q4" s="170"/>
      <c r="R4" s="171"/>
      <c r="S4" s="31"/>
    </row>
    <row r="5" spans="1:24">
      <c r="B5" s="45">
        <v>2028.7</v>
      </c>
      <c r="C5" s="45">
        <v>4782.3</v>
      </c>
      <c r="D5" s="45">
        <v>58.4</v>
      </c>
      <c r="E5" s="49">
        <f>IF(I3="√",2.5%,0)</f>
        <v>0.025</v>
      </c>
      <c r="G5" s="39" t="s">
        <v>23</v>
      </c>
      <c r="H5" s="70" t="s">
        <v>24</v>
      </c>
      <c r="I5" s="70" t="s">
        <v>13</v>
      </c>
      <c r="L5" s="172" t="s">
        <v>25</v>
      </c>
      <c r="M5" s="167"/>
      <c r="N5" s="168"/>
      <c r="O5" s="167"/>
      <c r="P5" s="169"/>
      <c r="Q5" s="173" t="s">
        <v>26</v>
      </c>
      <c r="R5" s="174"/>
      <c r="S5" s="175"/>
    </row>
    <row r="6" spans="1:24">
      <c r="B6" s="45" t="s">
        <v>27</v>
      </c>
      <c r="C6" s="45" t="s">
        <v>28</v>
      </c>
      <c r="D6" s="45" t="s">
        <v>29</v>
      </c>
      <c r="E6" s="46" t="s">
        <v>30</v>
      </c>
      <c r="F6" s="39" t="s">
        <v>31</v>
      </c>
      <c r="L6" s="172" t="s">
        <v>32</v>
      </c>
      <c r="M6" s="167"/>
      <c r="N6" s="168"/>
      <c r="O6" s="167"/>
      <c r="P6" s="169"/>
      <c r="Q6" s="176">
        <v>442.4</v>
      </c>
      <c r="R6" s="177"/>
      <c r="S6" s="175"/>
    </row>
    <row r="7" ht="14.25" spans="1:24">
      <c r="B7" s="45"/>
      <c r="C7" s="45"/>
      <c r="D7" s="45"/>
      <c r="E7" s="49">
        <v>0</v>
      </c>
      <c r="F7" s="39" t="s">
        <v>33</v>
      </c>
      <c r="G7" s="38" t="s">
        <v>34</v>
      </c>
      <c r="L7" s="172" t="s">
        <v>35</v>
      </c>
      <c r="M7" s="167"/>
      <c r="N7" s="168"/>
      <c r="O7" s="167"/>
      <c r="P7" s="169"/>
      <c r="Q7" s="178"/>
      <c r="R7" s="179"/>
      <c r="S7" s="175"/>
    </row>
    <row r="8" spans="1:24">
      <c r="B8" s="45" t="s">
        <v>36</v>
      </c>
      <c r="C8" s="45" t="s">
        <v>37</v>
      </c>
      <c r="D8" s="45" t="s">
        <v>38</v>
      </c>
      <c r="E8" s="46" t="s">
        <v>39</v>
      </c>
      <c r="F8" s="39" t="s">
        <v>40</v>
      </c>
      <c r="G8" s="50" t="s">
        <v>41</v>
      </c>
      <c r="H8" s="51"/>
      <c r="I8" s="51"/>
      <c r="J8" s="52"/>
      <c r="K8" s="53"/>
      <c r="L8" s="172" t="s">
        <v>42</v>
      </c>
      <c r="M8" s="167"/>
      <c r="N8" s="168"/>
      <c r="O8" s="167"/>
      <c r="P8" s="169"/>
      <c r="Q8" s="175"/>
      <c r="R8" s="175"/>
      <c r="S8" s="175"/>
      <c r="T8" s="53"/>
      <c r="U8" s="53"/>
      <c r="V8" s="53"/>
      <c r="W8" s="53"/>
      <c r="X8" s="53"/>
    </row>
    <row r="9" spans="1:24">
      <c r="B9" s="45"/>
      <c r="C9" s="45"/>
      <c r="D9" s="45"/>
      <c r="E9" s="49">
        <v>0</v>
      </c>
      <c r="F9" s="39">
        <f>VLOOKUP($F$7,目标属性!$A:$R,2,FALSE)</f>
        <v>559</v>
      </c>
      <c r="G9" s="56"/>
      <c r="H9" s="57"/>
      <c r="I9" s="57"/>
      <c r="J9" s="58"/>
      <c r="K9" s="53"/>
      <c r="L9" s="172" t="s">
        <v>43</v>
      </c>
      <c r="M9" s="180"/>
      <c r="N9" s="181"/>
      <c r="O9" s="180"/>
      <c r="P9" s="182"/>
      <c r="Q9" s="175"/>
      <c r="R9" s="175"/>
      <c r="S9" s="175"/>
      <c r="T9" s="53"/>
      <c r="U9" s="53"/>
      <c r="V9" s="53"/>
      <c r="W9" s="53"/>
      <c r="X9" s="53"/>
    </row>
    <row r="10" spans="1:24">
      <c r="B10" s="45" t="s">
        <v>44</v>
      </c>
      <c r="C10" s="45" t="s">
        <v>45</v>
      </c>
      <c r="D10" s="45" t="s">
        <v>46</v>
      </c>
      <c r="E10" s="46" t="s">
        <v>47</v>
      </c>
      <c r="F10" t="s">
        <v>48</v>
      </c>
      <c r="G10" s="56"/>
      <c r="H10" s="57"/>
      <c r="I10" s="57"/>
      <c r="J10" s="58"/>
      <c r="K10" s="53"/>
      <c r="L10" s="172" t="s">
        <v>49</v>
      </c>
      <c r="M10" s="180"/>
      <c r="N10" s="181"/>
      <c r="O10" s="180"/>
      <c r="P10" s="182"/>
      <c r="Q10" s="55"/>
      <c r="R10" s="55"/>
      <c r="S10" s="53"/>
      <c r="T10" s="53"/>
      <c r="U10" s="53"/>
      <c r="V10" s="53"/>
      <c r="W10" s="53"/>
      <c r="X10" s="53"/>
    </row>
    <row r="11" spans="1:24">
      <c r="B11" s="45"/>
      <c r="C11" s="45"/>
      <c r="D11" s="45"/>
      <c r="E11" s="49">
        <v>0</v>
      </c>
      <c r="F11" s="36">
        <v>2.15</v>
      </c>
      <c r="G11" s="56"/>
      <c r="H11" s="57"/>
      <c r="I11" s="57"/>
      <c r="J11" s="58"/>
      <c r="K11" s="53"/>
      <c r="L11" s="172" t="s">
        <v>50</v>
      </c>
      <c r="M11" s="180"/>
      <c r="N11" s="181"/>
      <c r="O11" s="180"/>
      <c r="P11" s="182"/>
      <c r="Q11" s="55"/>
      <c r="R11" s="55"/>
      <c r="S11" s="53"/>
      <c r="T11" s="53"/>
      <c r="U11" s="53"/>
      <c r="V11" s="53"/>
      <c r="W11" s="53"/>
      <c r="X11" s="53"/>
    </row>
    <row r="12" spans="1:24">
      <c r="B12" s="45" t="s">
        <v>51</v>
      </c>
      <c r="C12" s="45" t="s">
        <v>52</v>
      </c>
      <c r="D12" s="45" t="s">
        <v>53</v>
      </c>
      <c r="E12" s="46" t="s">
        <v>54</v>
      </c>
      <c r="G12" s="56"/>
      <c r="H12" s="57"/>
      <c r="I12" s="57"/>
      <c r="J12" s="58"/>
      <c r="K12" s="53"/>
      <c r="L12" s="172" t="s">
        <v>55</v>
      </c>
      <c r="M12" s="167"/>
      <c r="N12" s="168"/>
      <c r="O12" s="167"/>
      <c r="P12" s="168"/>
      <c r="Q12" s="55"/>
      <c r="R12" s="55"/>
      <c r="S12" s="53"/>
      <c r="T12" s="53"/>
      <c r="U12" s="53"/>
      <c r="V12" s="53"/>
      <c r="W12" s="53"/>
      <c r="X12" s="53"/>
    </row>
    <row r="13" ht="14.25" spans="1:24">
      <c r="B13" s="45">
        <v>431</v>
      </c>
      <c r="C13" s="45">
        <v>863</v>
      </c>
      <c r="D13" s="45">
        <f>IF(B13&gt;=441,29.6,29)</f>
        <v>29</v>
      </c>
      <c r="E13" s="49">
        <f>IF(B13&gt;=441,14.8%,14.5%)</f>
        <v>0.145</v>
      </c>
      <c r="G13" s="63"/>
      <c r="H13" s="64"/>
      <c r="I13" s="64"/>
      <c r="J13" s="65"/>
      <c r="K13" s="53"/>
      <c r="L13" s="172" t="s">
        <v>56</v>
      </c>
      <c r="M13" s="167"/>
      <c r="N13" s="168"/>
      <c r="O13" s="167"/>
      <c r="P13" s="168"/>
      <c r="Q13" s="55"/>
      <c r="R13" s="55"/>
      <c r="S13" s="53"/>
      <c r="T13" s="53"/>
      <c r="U13" s="53"/>
      <c r="V13" s="53"/>
      <c r="W13" s="53"/>
      <c r="X13" s="53"/>
    </row>
    <row r="14" spans="1:24">
      <c r="A14" s="57"/>
      <c r="B14" s="45" t="s">
        <v>57</v>
      </c>
      <c r="C14" s="45" t="s">
        <v>58</v>
      </c>
      <c r="D14" s="45" t="s">
        <v>59</v>
      </c>
      <c r="E14" s="66" t="s">
        <v>60</v>
      </c>
      <c r="G14" s="67" t="s">
        <v>61</v>
      </c>
      <c r="I14" s="53"/>
      <c r="J14" s="53"/>
      <c r="K14" s="53"/>
      <c r="L14" s="172" t="s">
        <v>62</v>
      </c>
      <c r="M14" s="167"/>
      <c r="N14" s="168"/>
      <c r="O14" s="167"/>
      <c r="P14" s="168"/>
      <c r="Q14" s="55"/>
      <c r="R14" s="55"/>
      <c r="S14" s="53"/>
      <c r="T14" s="53"/>
      <c r="U14" s="53"/>
      <c r="V14" s="53"/>
      <c r="W14" s="53"/>
      <c r="X14" s="53"/>
    </row>
    <row r="15" spans="1:24">
      <c r="A15" s="57"/>
      <c r="B15" s="45">
        <v>66</v>
      </c>
      <c r="C15" s="183">
        <v>66</v>
      </c>
      <c r="D15" s="45"/>
      <c r="E15" s="66">
        <v>0.3</v>
      </c>
      <c r="G15" s="160">
        <v>0.5</v>
      </c>
      <c r="H15" s="33" t="s">
        <v>63</v>
      </c>
      <c r="I15" s="53"/>
      <c r="J15" s="53"/>
      <c r="K15" s="53"/>
      <c r="L15" s="184" t="s">
        <v>64</v>
      </c>
      <c r="M15" s="162"/>
      <c r="N15" s="163"/>
      <c r="O15" s="162"/>
      <c r="P15" s="163"/>
      <c r="Q15" s="55"/>
      <c r="R15" s="55"/>
      <c r="S15" s="53"/>
      <c r="T15" s="53"/>
      <c r="U15" s="53"/>
      <c r="V15" s="53"/>
      <c r="W15" s="53"/>
      <c r="X15" s="53"/>
    </row>
    <row r="16" spans="1:24">
      <c r="A16" s="57" t="s">
        <v>65</v>
      </c>
      <c r="B16" s="45" t="s">
        <v>66</v>
      </c>
      <c r="C16" s="185">
        <v>0.9881</v>
      </c>
      <c r="D16" s="46" t="s">
        <v>67</v>
      </c>
      <c r="E16" s="66">
        <f>54%+IF(G5="时雨",10%,0)+IF(F19="√",10%,0)</f>
        <v>0.64</v>
      </c>
      <c r="I16" s="53"/>
      <c r="J16" s="53"/>
      <c r="K16" s="53"/>
      <c r="L16" s="184" t="s">
        <v>68</v>
      </c>
      <c r="M16" s="162"/>
      <c r="N16" s="163"/>
      <c r="O16" s="162"/>
      <c r="P16" s="163"/>
      <c r="Q16" s="55"/>
      <c r="R16" s="55"/>
      <c r="S16" s="53"/>
      <c r="T16" s="53"/>
      <c r="U16" s="53"/>
      <c r="V16" s="53"/>
      <c r="W16" s="53"/>
      <c r="X16" s="53"/>
    </row>
    <row r="17" spans="1:121">
      <c r="A17" s="57"/>
      <c r="B17" s="45" t="s">
        <v>69</v>
      </c>
      <c r="C17" s="185">
        <v>0.8015</v>
      </c>
      <c r="D17" s="46" t="s">
        <v>70</v>
      </c>
      <c r="E17" s="66">
        <f>35%+$K$3*10%</f>
        <v>0.35</v>
      </c>
      <c r="H17" s="69"/>
      <c r="I17" s="53"/>
      <c r="J17" s="53"/>
      <c r="K17" s="53"/>
      <c r="L17" s="184" t="s">
        <v>71</v>
      </c>
      <c r="M17" s="162"/>
      <c r="N17" s="163"/>
      <c r="O17" s="162"/>
      <c r="P17" s="163"/>
      <c r="Q17" s="55"/>
      <c r="R17" s="55"/>
      <c r="S17" s="53"/>
      <c r="T17" s="53"/>
      <c r="U17" s="53"/>
      <c r="V17" s="53"/>
      <c r="W17" s="53"/>
      <c r="X17" s="53"/>
    </row>
    <row r="18" spans="1:121">
      <c r="A18" s="57"/>
      <c r="B18" s="45" t="s">
        <v>72</v>
      </c>
      <c r="C18" s="185">
        <v>0.0986</v>
      </c>
      <c r="D18" s="45" t="s">
        <v>73</v>
      </c>
      <c r="E18" s="185">
        <v>0.088</v>
      </c>
      <c r="F18" s="36" t="s">
        <v>74</v>
      </c>
      <c r="G18" s="36" t="s">
        <v>75</v>
      </c>
      <c r="I18" s="53"/>
      <c r="J18" s="53"/>
      <c r="K18" s="53"/>
      <c r="L18" s="184" t="s">
        <v>76</v>
      </c>
      <c r="M18" s="162"/>
      <c r="N18" s="163"/>
      <c r="O18" s="162"/>
      <c r="P18" s="163"/>
      <c r="Q18" s="55"/>
      <c r="R18" s="55"/>
      <c r="S18" s="53"/>
      <c r="T18" s="53"/>
      <c r="U18" s="53"/>
      <c r="V18" s="53"/>
      <c r="W18" s="53"/>
      <c r="X18" s="53"/>
    </row>
    <row r="19" spans="1:121">
      <c r="B19" s="45" t="s">
        <v>77</v>
      </c>
      <c r="C19" s="185">
        <f>4.6%+IF($J$3="√",4.6%,0)+IF($H$3="√",4.1%,0)</f>
        <v>0.092</v>
      </c>
      <c r="D19" s="148"/>
      <c r="E19" s="148"/>
      <c r="F19" s="70" t="s">
        <v>13</v>
      </c>
      <c r="G19" s="70" t="s">
        <v>12</v>
      </c>
      <c r="L19" s="184" t="s">
        <v>78</v>
      </c>
      <c r="M19" s="162"/>
      <c r="N19" s="163"/>
      <c r="O19" s="162"/>
      <c r="P19" s="163"/>
    </row>
    <row r="20" spans="1:121">
      <c r="B20" s="45" t="s">
        <v>79</v>
      </c>
      <c r="C20" s="185">
        <v>0</v>
      </c>
      <c r="F20" s="36" t="s">
        <v>80</v>
      </c>
      <c r="G20" s="36" t="s">
        <v>81</v>
      </c>
      <c r="L20" s="161" t="s">
        <v>82</v>
      </c>
      <c r="M20" s="186"/>
      <c r="N20" s="187"/>
      <c r="O20" s="188"/>
      <c r="P20" s="187"/>
    </row>
    <row r="21" spans="1:121">
      <c r="B21" s="45" t="s">
        <v>83</v>
      </c>
      <c r="C21" s="45"/>
      <c r="F21" s="70" t="s">
        <v>13</v>
      </c>
      <c r="G21" s="36">
        <v>7</v>
      </c>
      <c r="L21" s="161" t="s">
        <v>84</v>
      </c>
      <c r="M21" s="188"/>
      <c r="N21" s="187"/>
      <c r="O21" s="188"/>
      <c r="P21" s="187"/>
    </row>
    <row r="22" spans="1:121">
      <c r="B22" s="73" t="s">
        <v>85</v>
      </c>
      <c r="C22" s="185">
        <v>0.086</v>
      </c>
      <c r="D22" s="39"/>
      <c r="E22" s="62"/>
      <c r="F22" s="74"/>
      <c r="G22" s="74"/>
      <c r="L22" s="161" t="s">
        <v>86</v>
      </c>
      <c r="M22" s="188"/>
      <c r="N22" s="187"/>
      <c r="O22" s="188"/>
      <c r="P22" s="187"/>
    </row>
    <row r="23" spans="1:121">
      <c r="B23" s="73" t="s">
        <v>87</v>
      </c>
      <c r="C23" s="185">
        <v>0</v>
      </c>
      <c r="D23" s="45" t="s">
        <v>88</v>
      </c>
      <c r="E23" s="68">
        <v>0.32</v>
      </c>
      <c r="F23" s="75"/>
      <c r="G23" s="75"/>
      <c r="L23" s="161" t="s">
        <v>17</v>
      </c>
      <c r="M23" s="6"/>
      <c r="N23" s="189"/>
      <c r="O23" s="6"/>
      <c r="P23" s="189"/>
    </row>
    <row r="24" spans="1:121">
      <c r="B24" s="73" t="s">
        <v>89</v>
      </c>
      <c r="C24" s="185">
        <v>0.084</v>
      </c>
      <c r="G24" s="31"/>
      <c r="L24" s="161" t="s">
        <v>90</v>
      </c>
      <c r="M24" s="190"/>
      <c r="N24" s="191"/>
      <c r="O24" s="190"/>
      <c r="P24" s="191"/>
    </row>
    <row r="25" spans="1:121">
      <c r="B25" s="77" t="s">
        <v>90</v>
      </c>
      <c r="C25" s="185">
        <v>0</v>
      </c>
      <c r="E25" s="31"/>
      <c r="L25" s="161" t="s">
        <v>91</v>
      </c>
      <c r="M25" s="190"/>
      <c r="N25" s="191"/>
      <c r="O25" s="190"/>
      <c r="P25" s="191"/>
    </row>
    <row r="26" ht="14.25" spans="1:121">
      <c r="B26" s="77" t="s">
        <v>91</v>
      </c>
      <c r="C26" s="185">
        <v>0</v>
      </c>
      <c r="E26" s="31"/>
      <c r="L26" s="192" t="s">
        <v>92</v>
      </c>
      <c r="M26" s="193"/>
      <c r="N26" s="194"/>
      <c r="O26" s="193"/>
      <c r="P26" s="194"/>
    </row>
    <row r="27" ht="14.25" spans="1:121">
      <c r="B27" s="73" t="s">
        <v>93</v>
      </c>
      <c r="C27" s="185">
        <v>0</v>
      </c>
      <c r="E27" s="31"/>
    </row>
    <row r="28" ht="14.25" spans="1:121">
      <c r="B28" s="79" t="s">
        <v>94</v>
      </c>
      <c r="C28" s="80">
        <v>76.9</v>
      </c>
      <c r="D28" s="81"/>
      <c r="E28" s="82" t="s">
        <v>95</v>
      </c>
      <c r="F28" s="83"/>
      <c r="G28" s="83"/>
      <c r="H28" s="83"/>
      <c r="I28" s="83"/>
      <c r="J28" s="83"/>
      <c r="K28" s="84"/>
      <c r="L28" s="85"/>
      <c r="M28" s="86"/>
      <c r="N28" s="87"/>
      <c r="O28" s="88"/>
      <c r="P28" s="87"/>
      <c r="Q28" s="89" t="s">
        <v>96</v>
      </c>
      <c r="R28" s="90"/>
      <c r="S28" s="90"/>
      <c r="T28" s="90"/>
      <c r="U28" s="90"/>
      <c r="V28" s="90"/>
      <c r="W28" s="91"/>
      <c r="X28" s="92"/>
      <c r="Y28" s="91"/>
      <c r="Z28" s="92"/>
      <c r="AA28" s="91"/>
      <c r="AB28" s="92"/>
      <c r="AC28" s="91"/>
      <c r="AD28" s="92"/>
      <c r="AE28" s="93"/>
      <c r="AF28" s="94" t="s">
        <v>97</v>
      </c>
      <c r="AG28" s="91"/>
      <c r="AH28" s="91"/>
      <c r="AI28" s="90"/>
      <c r="AJ28" s="90"/>
      <c r="AK28" s="90"/>
      <c r="AL28" s="91"/>
      <c r="AM28" s="92"/>
      <c r="AN28" s="91"/>
      <c r="AO28" s="92"/>
      <c r="AP28" s="91"/>
      <c r="AQ28" s="92"/>
      <c r="AR28" s="91"/>
      <c r="AS28" s="92"/>
      <c r="AT28" s="93"/>
      <c r="AU28" s="89" t="s">
        <v>98</v>
      </c>
      <c r="AV28" s="90"/>
      <c r="AW28" s="90"/>
      <c r="AX28" s="90"/>
      <c r="AY28" s="90"/>
      <c r="AZ28" s="90"/>
      <c r="BA28" s="91"/>
      <c r="BB28" s="92"/>
      <c r="BC28" s="91"/>
      <c r="BD28" s="92"/>
      <c r="BE28" s="91"/>
      <c r="BF28" s="92"/>
      <c r="BG28" s="91"/>
      <c r="BH28" s="92"/>
      <c r="BI28" s="93"/>
      <c r="BJ28" s="89" t="s">
        <v>99</v>
      </c>
      <c r="BK28" s="90"/>
      <c r="BL28" s="90"/>
      <c r="BM28" s="90"/>
      <c r="BN28" s="90"/>
      <c r="BO28" s="90"/>
      <c r="BP28" s="91"/>
      <c r="BQ28" s="92"/>
      <c r="BR28" s="91"/>
      <c r="BS28" s="92"/>
      <c r="BT28" s="91"/>
      <c r="BU28" s="92"/>
      <c r="BV28" s="91"/>
      <c r="BW28" s="92"/>
      <c r="BX28" s="93"/>
      <c r="BY28" s="89" t="s">
        <v>100</v>
      </c>
      <c r="BZ28" s="90"/>
      <c r="CA28" s="90"/>
      <c r="CB28" s="90"/>
      <c r="CC28" s="90"/>
      <c r="CD28" s="90"/>
      <c r="CE28" s="91"/>
      <c r="CF28" s="92"/>
      <c r="CG28" s="91"/>
      <c r="CH28" s="92"/>
      <c r="CI28" s="91"/>
      <c r="CJ28" s="92"/>
      <c r="CK28" s="91"/>
      <c r="CL28" s="92"/>
      <c r="CM28" s="93"/>
      <c r="CN28" s="89" t="s">
        <v>3</v>
      </c>
      <c r="CO28" s="90"/>
      <c r="CP28" s="90"/>
      <c r="CQ28" s="90"/>
      <c r="CR28" s="90"/>
      <c r="CS28" s="90"/>
      <c r="CT28" s="91"/>
      <c r="CU28" s="92"/>
      <c r="CV28" s="91"/>
      <c r="CW28" s="92"/>
      <c r="CX28" s="91"/>
      <c r="CY28" s="92"/>
      <c r="CZ28" s="91"/>
      <c r="DA28" s="92"/>
      <c r="DB28" s="93"/>
      <c r="DC28" s="89" t="s">
        <v>101</v>
      </c>
      <c r="DD28" s="90"/>
      <c r="DE28" s="90"/>
      <c r="DF28" s="90"/>
      <c r="DG28" s="90"/>
      <c r="DH28" s="90"/>
      <c r="DI28" s="91"/>
      <c r="DJ28" s="92"/>
      <c r="DK28" s="91"/>
      <c r="DL28" s="92"/>
      <c r="DM28" s="91"/>
      <c r="DN28" s="92"/>
      <c r="DO28" s="91"/>
      <c r="DP28" s="92"/>
      <c r="DQ28" s="93"/>
    </row>
    <row r="29" ht="14.25" spans="1:121">
      <c r="B29" s="95"/>
      <c r="C29" s="96"/>
      <c r="D29" s="97"/>
      <c r="E29" s="98"/>
      <c r="F29" s="99" t="s">
        <v>102</v>
      </c>
      <c r="G29" s="99" t="s">
        <v>103</v>
      </c>
      <c r="H29" s="100" t="s">
        <v>104</v>
      </c>
      <c r="I29" s="101" t="s">
        <v>105</v>
      </c>
      <c r="J29" s="101" t="s">
        <v>83</v>
      </c>
      <c r="K29" s="102" t="s">
        <v>106</v>
      </c>
      <c r="L29" s="103" t="s">
        <v>107</v>
      </c>
      <c r="M29" s="104" t="s">
        <v>108</v>
      </c>
      <c r="N29" s="105" t="s">
        <v>109</v>
      </c>
      <c r="O29" s="106" t="s">
        <v>110</v>
      </c>
      <c r="P29" s="107" t="s">
        <v>111</v>
      </c>
      <c r="Q29" s="108" t="s">
        <v>112</v>
      </c>
      <c r="R29" s="109" t="s">
        <v>113</v>
      </c>
      <c r="S29" s="109" t="s">
        <v>114</v>
      </c>
      <c r="T29" s="110" t="s">
        <v>115</v>
      </c>
      <c r="U29" s="111" t="s">
        <v>116</v>
      </c>
      <c r="V29" s="109" t="s">
        <v>117</v>
      </c>
      <c r="W29" s="112" t="s">
        <v>118</v>
      </c>
      <c r="X29" s="110" t="s">
        <v>119</v>
      </c>
      <c r="Y29" s="112" t="s">
        <v>120</v>
      </c>
      <c r="Z29" s="110" t="s">
        <v>121</v>
      </c>
      <c r="AA29" s="112" t="s">
        <v>122</v>
      </c>
      <c r="AB29" s="110" t="s">
        <v>123</v>
      </c>
      <c r="AC29" s="112" t="s">
        <v>124</v>
      </c>
      <c r="AD29" s="110" t="s">
        <v>125</v>
      </c>
      <c r="AE29" s="113" t="s">
        <v>126</v>
      </c>
      <c r="AF29" s="114" t="s">
        <v>112</v>
      </c>
      <c r="AG29" s="112" t="s">
        <v>113</v>
      </c>
      <c r="AH29" s="112" t="s">
        <v>114</v>
      </c>
      <c r="AI29" s="110" t="s">
        <v>115</v>
      </c>
      <c r="AJ29" s="111" t="s">
        <v>116</v>
      </c>
      <c r="AK29" s="109" t="s">
        <v>117</v>
      </c>
      <c r="AL29" s="112" t="s">
        <v>118</v>
      </c>
      <c r="AM29" s="110" t="s">
        <v>119</v>
      </c>
      <c r="AN29" s="112" t="s">
        <v>120</v>
      </c>
      <c r="AO29" s="110" t="s">
        <v>121</v>
      </c>
      <c r="AP29" s="112" t="s">
        <v>122</v>
      </c>
      <c r="AQ29" s="110" t="s">
        <v>123</v>
      </c>
      <c r="AR29" s="112" t="s">
        <v>124</v>
      </c>
      <c r="AS29" s="110" t="s">
        <v>125</v>
      </c>
      <c r="AT29" s="113" t="s">
        <v>126</v>
      </c>
      <c r="AU29" s="108" t="s">
        <v>112</v>
      </c>
      <c r="AV29" s="109" t="s">
        <v>113</v>
      </c>
      <c r="AW29" s="109" t="s">
        <v>114</v>
      </c>
      <c r="AX29" s="110" t="s">
        <v>115</v>
      </c>
      <c r="AY29" s="111" t="s">
        <v>116</v>
      </c>
      <c r="AZ29" s="109" t="s">
        <v>117</v>
      </c>
      <c r="BA29" s="112" t="s">
        <v>118</v>
      </c>
      <c r="BB29" s="110" t="s">
        <v>119</v>
      </c>
      <c r="BC29" s="112" t="s">
        <v>120</v>
      </c>
      <c r="BD29" s="110" t="s">
        <v>121</v>
      </c>
      <c r="BE29" s="112" t="s">
        <v>122</v>
      </c>
      <c r="BF29" s="110" t="s">
        <v>123</v>
      </c>
      <c r="BG29" s="112" t="s">
        <v>124</v>
      </c>
      <c r="BH29" s="110" t="s">
        <v>125</v>
      </c>
      <c r="BI29" s="113" t="s">
        <v>126</v>
      </c>
      <c r="BJ29" s="108" t="s">
        <v>112</v>
      </c>
      <c r="BK29" s="109" t="s">
        <v>113</v>
      </c>
      <c r="BL29" s="109" t="s">
        <v>114</v>
      </c>
      <c r="BM29" s="110" t="s">
        <v>115</v>
      </c>
      <c r="BN29" s="111" t="s">
        <v>116</v>
      </c>
      <c r="BO29" s="109" t="s">
        <v>117</v>
      </c>
      <c r="BP29" s="112" t="s">
        <v>118</v>
      </c>
      <c r="BQ29" s="110" t="s">
        <v>119</v>
      </c>
      <c r="BR29" s="112" t="s">
        <v>120</v>
      </c>
      <c r="BS29" s="110" t="s">
        <v>121</v>
      </c>
      <c r="BT29" s="112" t="s">
        <v>122</v>
      </c>
      <c r="BU29" s="110" t="s">
        <v>123</v>
      </c>
      <c r="BV29" s="112" t="s">
        <v>124</v>
      </c>
      <c r="BW29" s="110" t="s">
        <v>125</v>
      </c>
      <c r="BX29" s="113" t="s">
        <v>126</v>
      </c>
      <c r="BY29" s="108" t="s">
        <v>112</v>
      </c>
      <c r="BZ29" s="109" t="s">
        <v>113</v>
      </c>
      <c r="CA29" s="109" t="s">
        <v>114</v>
      </c>
      <c r="CB29" s="110" t="s">
        <v>115</v>
      </c>
      <c r="CC29" s="111" t="s">
        <v>116</v>
      </c>
      <c r="CD29" s="109" t="s">
        <v>117</v>
      </c>
      <c r="CE29" s="112" t="s">
        <v>118</v>
      </c>
      <c r="CF29" s="110" t="s">
        <v>119</v>
      </c>
      <c r="CG29" s="112" t="s">
        <v>120</v>
      </c>
      <c r="CH29" s="110" t="s">
        <v>121</v>
      </c>
      <c r="CI29" s="112" t="s">
        <v>122</v>
      </c>
      <c r="CJ29" s="110" t="s">
        <v>123</v>
      </c>
      <c r="CK29" s="112" t="s">
        <v>124</v>
      </c>
      <c r="CL29" s="110" t="s">
        <v>125</v>
      </c>
      <c r="CM29" s="113" t="s">
        <v>126</v>
      </c>
      <c r="CN29" s="108" t="s">
        <v>112</v>
      </c>
      <c r="CO29" s="109" t="s">
        <v>113</v>
      </c>
      <c r="CP29" s="109" t="s">
        <v>114</v>
      </c>
      <c r="CQ29" s="110" t="s">
        <v>115</v>
      </c>
      <c r="CR29" s="111" t="s">
        <v>116</v>
      </c>
      <c r="CS29" s="109" t="s">
        <v>117</v>
      </c>
      <c r="CT29" s="112" t="s">
        <v>118</v>
      </c>
      <c r="CU29" s="110" t="s">
        <v>119</v>
      </c>
      <c r="CV29" s="112" t="s">
        <v>120</v>
      </c>
      <c r="CW29" s="110" t="s">
        <v>121</v>
      </c>
      <c r="CX29" s="112" t="s">
        <v>122</v>
      </c>
      <c r="CY29" s="110" t="s">
        <v>123</v>
      </c>
      <c r="CZ29" s="112" t="s">
        <v>124</v>
      </c>
      <c r="DA29" s="110" t="s">
        <v>125</v>
      </c>
      <c r="DB29" s="113" t="s">
        <v>126</v>
      </c>
      <c r="DC29" s="108" t="s">
        <v>112</v>
      </c>
      <c r="DD29" s="109" t="s">
        <v>113</v>
      </c>
      <c r="DE29" s="109" t="s">
        <v>114</v>
      </c>
      <c r="DF29" s="110" t="s">
        <v>115</v>
      </c>
      <c r="DG29" s="111" t="s">
        <v>116</v>
      </c>
      <c r="DH29" s="109" t="s">
        <v>117</v>
      </c>
      <c r="DI29" s="112" t="s">
        <v>118</v>
      </c>
      <c r="DJ29" s="110" t="s">
        <v>119</v>
      </c>
      <c r="DK29" s="112" t="s">
        <v>120</v>
      </c>
      <c r="DL29" s="110" t="s">
        <v>121</v>
      </c>
      <c r="DM29" s="112" t="s">
        <v>122</v>
      </c>
      <c r="DN29" s="110" t="s">
        <v>123</v>
      </c>
      <c r="DO29" s="112" t="s">
        <v>124</v>
      </c>
      <c r="DP29" s="110" t="s">
        <v>125</v>
      </c>
      <c r="DQ29" s="113" t="s">
        <v>126</v>
      </c>
    </row>
    <row r="30" spans="1:121">
      <c r="B30" s="79" t="s">
        <v>127</v>
      </c>
      <c r="C30" s="80">
        <f>SUM(H30:H115)</f>
        <v>8099598.24302943</v>
      </c>
      <c r="D30" s="81"/>
      <c r="E30" s="98" t="s">
        <v>128</v>
      </c>
      <c r="F30" s="99">
        <v>1</v>
      </c>
      <c r="G30" s="115"/>
      <c r="H30" s="100">
        <f>IF(VLOOKUP($E30,武器奇术!$A:$R,18,FALSE)="天工",AE30,(AE30+AT30+BI30+BX30+CM30+DB30+DQ30))*(1+J30)*F30*K30*(1+G30)</f>
        <v>7993.32833154372</v>
      </c>
      <c r="I30" s="101">
        <f t="shared" ref="I30:I93" si="0">H30/$C$30</f>
        <v>0.000986879607074688</v>
      </c>
      <c r="J30" s="116">
        <f>$F$3+VLOOKUP($E30,武器奇术!$A:$R,12,FALSE)+VLOOKUP($E30,武器奇术!$A:$R,14,FALSE)*$G$3+$P30+IF($F$21="√",5%,0)</f>
        <v>0.437</v>
      </c>
      <c r="K30" s="102">
        <f>VLOOKUP($E30,武器奇术!$A:$R,11,FALSE)</f>
        <v>1</v>
      </c>
      <c r="L30" s="117">
        <f>IF(VLOOKUP($E30,武器奇术!$A:$R,15,FALSE)="天工",0%,IF($C$17+VLOOKUP($E30,武器奇术!$A:$R,7,FALSE)&gt;80%,80%,$C$17+VLOOKUP($E30,武器奇术!$A:$R,7,FALSE))+IF($C$19&gt;20%,20%,$C$19))</f>
        <v>0.892</v>
      </c>
      <c r="M30" s="118">
        <f>IF(VLOOKUP($E30,武器奇术!$A:$R,15,FALSE)="天工",0%,IF($C$18+VLOOKUP($E30,武器奇术!$A:$R,9,FALSE)&gt;40%,40%,$C$18+VLOOKUP($E30,武器奇术!$A:$R,9,FALSE))+IF($C$20&gt;10%,10%,$C$20))</f>
        <v>0.0986</v>
      </c>
      <c r="N30" s="119">
        <f>IF(VLOOKUP($E30,武器奇术!$A:$R,15,FALSE)="天工",100%,MIN($C$16,1))</f>
        <v>0.9881</v>
      </c>
      <c r="O30" s="120" t="str">
        <f>VLOOKUP($E30,武器奇术!$A:$R,16,FALSE)</f>
        <v>绳标</v>
      </c>
      <c r="P30" s="121">
        <f>VLOOKUP($O30,$B$22:$C$27,2,FALSE)+IF(OR($O30="拳甲",$O30="绳标"),$C$24,0)</f>
        <v>0.084</v>
      </c>
      <c r="Q30" s="108">
        <f>$B$5*(1+VLOOKUP($E30,武器奇术!$A:$R,5,FALSE)+IF($G$5="飞隼",0.1,0)+IF($G$5="撼天",0.05,0))-$F$9+IF($I$5="√",160,0)</f>
        <v>1731.135</v>
      </c>
      <c r="R30" s="99">
        <f>IF(VLOOKUP($E30,武器奇术!$A:$Z,20,FALSE)=1,(S30-(Q30+S30)*0.5)*($G$15-0.5)*2+(Q30+S30)*0.5,(Q30+S30)*0.5)</f>
        <v>3256.775</v>
      </c>
      <c r="S30" s="109">
        <f>MAX($C$5,$B$5)*(1+VLOOKUP($E30,武器奇术!$A:$R,5,FALSE)+IF($G$5="飞隼",0.1,0)+IF($G$5="撼天",0.05,0))-$F$9+IF($I$5="√",320,0)</f>
        <v>4782.415</v>
      </c>
      <c r="T30" s="101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U30" s="111">
        <f>$E$5+IF(VLOOKUP($E30,武器奇术!$A:$U,21,FALSE)=1,0,0.09)</f>
        <v>0.115</v>
      </c>
      <c r="V30" s="109">
        <v>1</v>
      </c>
      <c r="W30" s="112">
        <f>Q30*VLOOKUP($E30,武器奇术!$A:$R,2,FALSE)*(1+T30)*(1+U30)*V30</f>
        <v>1192.67052181988</v>
      </c>
      <c r="X30" s="110">
        <f>(1-IF(VLOOKUP($E30,武器奇术!$A:$T,20,FALSE)=1,1,$N30))*(1-$M30)</f>
        <v>0.01072666</v>
      </c>
      <c r="Y30" s="112">
        <f>R30*VLOOKUP($E30,武器奇术!$A:$R,2,FALSE)*(1+T30)*(1+U30)*V30*(1+$E$16+VLOOKUP($E30,武器奇术!$A:$R,8,FALSE))</f>
        <v>3679.77404619968</v>
      </c>
      <c r="Z30" s="110">
        <f>IF($L30+$M30&lt;=100%,$N30*$L30,$N30*(1-$M30))</f>
        <v>0.8813852</v>
      </c>
      <c r="AA30" s="112">
        <f>S30*VLOOKUP($E30,武器奇术!$A:$R,2,FALSE)*(1+T30)*(1+U30)*V30*(1+$E$17+VLOOKUP($E30,武器奇术!$A:$R,10,FALSE))</f>
        <v>4448.05938379873</v>
      </c>
      <c r="AB30" s="110">
        <f>$M30</f>
        <v>0.0986</v>
      </c>
      <c r="AC30" s="112">
        <f>R30*VLOOKUP($E30,武器奇术!$A:$R,2,FALSE)*(1+T30)*(1+U30)*V30</f>
        <v>2243.76466231687</v>
      </c>
      <c r="AD30" s="110">
        <f t="shared" ref="AD30:AD93" si="1">MAX((1-X30-Z30-AB30),0)</f>
        <v>0.00928814000000003</v>
      </c>
      <c r="AE30" s="113">
        <f t="shared" ref="AE30:AE93" si="2">W30*X30+Y30*Z30+AA30*AB30+AC30*AD30</f>
        <v>3715.5108103973</v>
      </c>
      <c r="AF30" s="114">
        <f>VLOOKUP($E30,武器奇术!$A:$R,3,FALSE)*(1+IF(VLOOKUP($E30,武器奇术!$A:$R,15,FALSE)="武器",$E$15,0))</f>
        <v>178.1</v>
      </c>
      <c r="AG30" s="112">
        <f t="shared" ref="AG30:AG93" si="3">(AF30+AH30)/2</f>
        <v>178.1</v>
      </c>
      <c r="AH30" s="112">
        <f>VLOOKUP($E30,武器奇术!$A:$R,3,FALSE)*(1+IF(VLOOKUP($E30,武器奇术!$A:$R,15,FALSE)="武器",$E$15,0))</f>
        <v>178.1</v>
      </c>
      <c r="AI30" s="101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AJ30" s="111">
        <f>$E$5+IF(VLOOKUP($E30,武器奇术!$A:$U,21,FALSE)=1,0,0.09)</f>
        <v>0.115</v>
      </c>
      <c r="AK30" s="109">
        <v>1</v>
      </c>
      <c r="AL30" s="112">
        <f>AF30*(1+AI30)*(1+AJ30)*AK30</f>
        <v>246.638223</v>
      </c>
      <c r="AM30" s="110">
        <f>(1-IF(VLOOKUP($E30,武器奇术!$A:$T,20,FALSE)=1,1,$N30))*(1-$M30)</f>
        <v>0.01072666</v>
      </c>
      <c r="AN30" s="112">
        <f>AG30*(1+AI30)*(1+AJ30)*AK30*(1+$E$16+VLOOKUP($E30,武器奇术!$A:$R,8,FALSE))</f>
        <v>404.48668572</v>
      </c>
      <c r="AO30" s="110">
        <f t="shared" ref="AO30:AO93" si="4">IF($L30+$M30&lt;=100%,$N30*$L30,$N30*(1-$M30))</f>
        <v>0.8813852</v>
      </c>
      <c r="AP30" s="112">
        <f>AH30*(1+AI30)*(1+AJ30)*AK30*(1+$E$17+VLOOKUP($E30,武器奇术!$A:$R,10,FALSE))</f>
        <v>332.96160105</v>
      </c>
      <c r="AQ30" s="110">
        <f t="shared" ref="AQ30:AQ93" si="5">$M30</f>
        <v>0.0986</v>
      </c>
      <c r="AR30" s="112">
        <f t="shared" ref="AR30:AR93" si="6">AG30*(1+AI30)*(1+AJ30)*AK30</f>
        <v>246.638223</v>
      </c>
      <c r="AS30" s="110">
        <f t="shared" ref="AS30:AS93" si="7">MAX((1-AM30-AO30-AQ30),0)</f>
        <v>0.00928814000000003</v>
      </c>
      <c r="AT30" s="113">
        <f t="shared" ref="AT30:AT93" si="8">AL30*AM30+AN30*AO30+AP30*AQ30+AR30*AS30</f>
        <v>394.27500695989</v>
      </c>
      <c r="AU30" s="108">
        <f>$B$7*IF($G$5="撼天",1.05,1)+IF(AND(VLOOKUP($E30,武器奇术!$A:$R,15,FALSE)="武器",VLOOKUP($E30,武器奇术!$A:$R,17,FALSE)="鸣金"),$E$3,0)*(1+$E$15)</f>
        <v>0</v>
      </c>
      <c r="AV30" s="99">
        <f>(AU30+AW30)*IF(VLOOKUP($E30,武器奇术!$A:$Z,21,FALSE)=1,$G$15,0.5)</f>
        <v>0</v>
      </c>
      <c r="AW30" s="109">
        <f>MAX($C$7*IF($G$5="撼天",1.05,1)+IF(AND(VLOOKUP($E30,武器奇术!$A:$R,15,FALSE)="武器",VLOOKUP($E30,武器奇术!$A:$R,17,FALSE)="鸣金"),$E$3*(1+$E$15),0),AU30)</f>
        <v>0</v>
      </c>
      <c r="AX30" s="110">
        <f>IF(($D$7+IF(VLOOKUP($E30,武器奇术!$A:$R,17,FALSE)="鸣金",$D$15,0)+IF(VLOOKUP($E30,武器奇术!$A:$R,18,FALSE)=1,4,0)+IF(VLOOKUP($E30,武器奇术!$A:$S,19,FALSE)=1,20,0)-VLOOKUP($F$7,目标属性!$A:$R,6,FALSE))&gt;0,($D$7+IF(VLOOKUP($E30,武器奇术!$A:$R,17,FALSE)="鸣金",$D$15,0)+IF(VLOOKUP($E30,武器奇术!$A:$R,18,FALSE)=1,4,0)+IF(VLOOKUP($E30,武器奇术!$A:$S,19,FALSE)=1,20,0)-VLOOKUP($F$7,目标属性!$A:$R,6,FALSE))/200,($D$7+IF(VLOOKUP($E30,武器奇术!$A:$R,17,FALSE)="鸣金",$D$15,0)+IF(VLOOKUP($E30,武器奇术!$A:$R,18,FALSE)=1,4,0)+IF(VLOOKUP($E30,武器奇术!$A:$S,19,FALSE)=1,20,0)-VLOOKUP($F$7,目标属性!$A:$R,6,FALSE))/100)</f>
        <v>-0.24</v>
      </c>
      <c r="AY30" s="111">
        <f t="shared" ref="AY30:AY93" si="9">$E$7</f>
        <v>0</v>
      </c>
      <c r="AZ30" s="109">
        <v>1</v>
      </c>
      <c r="BA30" s="112">
        <f>AU30*IF(VLOOKUP($E30,武器奇术!$A:$R,17,FALSE)="鸣金",VLOOKUP($E30,武器奇术!$A:$R,4,FALSE),VLOOKUP($E30,武器奇术!$A:$R,2,FALSE))*(1+AX30)*(1+AY30)*AZ30</f>
        <v>0</v>
      </c>
      <c r="BB30" s="110">
        <f>(1-IF(VLOOKUP($E30,武器奇术!$A:$T,20,FALSE)=1,1,$N30))*(1-$M30)</f>
        <v>0.01072666</v>
      </c>
      <c r="BC30" s="112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10">
        <f t="shared" ref="BD30:BD93" si="10">IF($L30+$M30&lt;=100%,$N30*$L30,$N30*(1-$M30))</f>
        <v>0.8813852</v>
      </c>
      <c r="BE30" s="112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10">
        <f t="shared" ref="BF30:BF93" si="11">$M30</f>
        <v>0.0986</v>
      </c>
      <c r="BG30" s="112">
        <f>AV30*IF(VLOOKUP($E30,武器奇术!$A:$R,17,FALSE)="鸣金",VLOOKUP($E30,武器奇术!$A:$R,4,FALSE),VLOOKUP($E30,武器奇术!$A:$R,2,FALSE))*(1+AX30)*(1+AY30)*AZ30</f>
        <v>0</v>
      </c>
      <c r="BH30" s="110">
        <f t="shared" ref="BH30:BH93" si="12">MAX((1-BB30-BD30-BF30),0)</f>
        <v>0.00928814000000003</v>
      </c>
      <c r="BI30" s="113">
        <f t="shared" ref="BI30:BI93" si="13">BA30*BB30+BC30*BD30+BE30*BF30+BG30*BH30</f>
        <v>0</v>
      </c>
      <c r="BJ30" s="108">
        <f>$B$9*IF($G$5="撼天",1.05,1)+IF(AND(VLOOKUP($E30,武器奇术!$A:$R,15,FALSE)="武器",VLOOKUP($E30,武器奇术!$A:$R,17,FALSE)="裂石"),$E$3,0)*(1+$E$15)</f>
        <v>0</v>
      </c>
      <c r="BK30" s="99">
        <f>(BJ30+BL30)*IF(VLOOKUP($E30,武器奇术!$A:$Z,21,FALSE)=1,$G$15,0.5)</f>
        <v>0</v>
      </c>
      <c r="BL30" s="109">
        <f>MAX($C$9*IF($G$5="撼天",1.05,1)+IF(AND(VLOOKUP($E30,武器奇术!$A:$R,15,FALSE)="武器",VLOOKUP($E30,武器奇术!$A:$R,17,FALSE)="裂石"),$E$3*(1+$E$15),0),BJ30)</f>
        <v>0</v>
      </c>
      <c r="BM30" s="110">
        <f>IF(($D$9+IF(VLOOKUP($E30,武器奇术!$A:$R,17,FALSE)="裂石",$D$15,0)+IF(VLOOKUP($E30,武器奇术!$A:$R,18,FALSE)=1,4,0)+IF(VLOOKUP($E30,武器奇术!$A:$S,19,FALSE)=1,20,0)-VLOOKUP($F$7,目标属性!$A:$R,6,FALSE))&gt;0,($D$9+IF(VLOOKUP($E30,武器奇术!$A:$R,17,FALSE)="裂石",$D$15,0)+IF(VLOOKUP($E30,武器奇术!$A:$R,18,FALSE)=1,4,0)+IF(VLOOKUP($E30,武器奇术!$A:$S,19,FALSE)=1,20,0)-VLOOKUP($F$7,目标属性!$A:$R,6,FALSE))/200,($D$9+IF(VLOOKUP($E30,武器奇术!$A:$R,17,FALSE)="裂石",$D$15,0)+IF(VLOOKUP($E30,武器奇术!$A:$R,18,FALSE)=1,4,0)+IF(VLOOKUP($E30,武器奇术!$A:$S,19,FALSE)=1,20,0)-VLOOKUP($F$7,目标属性!$A:$R,6,FALSE))/100)</f>
        <v>-0.24</v>
      </c>
      <c r="BN30" s="111">
        <f t="shared" ref="BN30:BN93" si="14">$E$9</f>
        <v>0</v>
      </c>
      <c r="BO30" s="109">
        <v>1</v>
      </c>
      <c r="BP30" s="112">
        <f>BJ30*IF(VLOOKUP($E30,武器奇术!$A:$R,17,FALSE)="裂石",VLOOKUP($E30,武器奇术!$A:$R,4,FALSE),VLOOKUP($E30,武器奇术!$A:$R,2,FALSE))*(1+BM30)*(1+BN30)*BO30</f>
        <v>0</v>
      </c>
      <c r="BQ30" s="110">
        <f>(1-IF(VLOOKUP($E30,武器奇术!$A:$T,20,FALSE)=1,1,$N30))*(1-$M30)</f>
        <v>0.01072666</v>
      </c>
      <c r="BR30" s="112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10">
        <f t="shared" ref="BS30:BS93" si="15">IF($L30+$M30&lt;=100%,$N30*$L30,$N30*(1-$M30))</f>
        <v>0.8813852</v>
      </c>
      <c r="BT30" s="112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10">
        <f t="shared" ref="BU30:BU93" si="16">$M30</f>
        <v>0.0986</v>
      </c>
      <c r="BV30" s="112">
        <f>BK30*IF(VLOOKUP($E30,武器奇术!$A:$R,17,FALSE)="裂石",VLOOKUP($E30,武器奇术!$A:$R,4,FALSE),VLOOKUP($E30,武器奇术!$A:$R,2,FALSE))*(1+BM30)*(1+BN30)*BO30</f>
        <v>0</v>
      </c>
      <c r="BW30" s="110">
        <f t="shared" ref="BW30:BW93" si="17">MAX((1-BQ30-BS30-BU30),0)</f>
        <v>0.00928814000000003</v>
      </c>
      <c r="BX30" s="113">
        <f t="shared" ref="BX30:BX93" si="18">BP30*BQ30+BR30*BS30+BT30*BU30+BV30*BW30</f>
        <v>0</v>
      </c>
      <c r="BY30" s="108">
        <f>$B$11*IF($G$5="撼天",1.05,1)+IF(AND(VLOOKUP($E30,武器奇术!$A:$R,15,FALSE)="武器",VLOOKUP($E30,武器奇术!$A:$R,17,FALSE)="牵丝"),$E$3,0)*(1+$E$15)</f>
        <v>0</v>
      </c>
      <c r="BZ30" s="99">
        <f>(BY30+CA30)*IF(VLOOKUP($E30,武器奇术!$A:$Z,21,FALSE)=1,$G$15,0.5)</f>
        <v>0</v>
      </c>
      <c r="CA30" s="109">
        <f>MAX($C$11*IF($G$5="撼天",1.05,1)+IF(AND(VLOOKUP($E30,武器奇术!$A:$R,15,FALSE)="武器",VLOOKUP($E30,武器奇术!$A:$R,17,FALSE)="牵丝"),$E$3*(1+$E$15),0),BY30)</f>
        <v>0</v>
      </c>
      <c r="CB30" s="110">
        <f>IF(($D$11+IF(VLOOKUP($E30,武器奇术!$A:$R,17,FALSE)="牵丝",$D$15,0)+IF(VLOOKUP($E30,武器奇术!$A:$R,18,FALSE)=1,4,0)+IF(VLOOKUP($E30,武器奇术!$A:$S,19,FALSE)=1,20,0)-VLOOKUP($F$7,目标属性!$A:$R,6,FALSE))&gt;0,($D$11+IF(VLOOKUP($E30,武器奇术!$A:$R,17,FALSE)="牵丝",$D$15,0)+IF(VLOOKUP($E30,武器奇术!$A:$R,18,FALSE)=1,4,0)+IF(VLOOKUP($E30,武器奇术!$A:$S,19,FALSE)=1,20,0)-VLOOKUP($F$7,目标属性!$A:$R,6,FALSE))/200,($D$11+IF(VLOOKUP($E30,武器奇术!$A:$R,17,FALSE)="牵丝",$D$15,0)+IF(VLOOKUP($E30,武器奇术!$A:$R,18,FALSE)=1,4,0)+IF(VLOOKUP($E30,武器奇术!$A:$S,19,FALSE)=1,20,0)-VLOOKUP($F$7,目标属性!$A:$R,6,FALSE))/100)</f>
        <v>-0.24</v>
      </c>
      <c r="CC30" s="111">
        <f t="shared" ref="CC30:CC93" si="19">$E$11</f>
        <v>0</v>
      </c>
      <c r="CD30" s="109">
        <v>1</v>
      </c>
      <c r="CE30" s="112">
        <f>BY30*IF(VLOOKUP($E30,武器奇术!$A:$R,17,FALSE)="牵丝",VLOOKUP($E30,武器奇术!$A:$R,4,FALSE),VLOOKUP($E30,武器奇术!$A:$R,2,FALSE))*(1+CB30)*(1+CC30)*CD30</f>
        <v>0</v>
      </c>
      <c r="CF30" s="110">
        <f>(1-IF(VLOOKUP($E30,武器奇术!$A:$T,20,FALSE)=1,1,$N30))*(1-$M30)</f>
        <v>0.01072666</v>
      </c>
      <c r="CG30" s="112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110">
        <f t="shared" ref="CH30:CH93" si="20">IF($L30+$M30&lt;=100%,$N30*$L30,$N30*(1-$M30))</f>
        <v>0.8813852</v>
      </c>
      <c r="CI30" s="112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110">
        <f t="shared" ref="CJ30:CJ93" si="21">$M30</f>
        <v>0.0986</v>
      </c>
      <c r="CK30" s="112">
        <f>BZ30*IF(VLOOKUP($E30,武器奇术!$A:$R,17,FALSE)="牵丝",VLOOKUP($E30,武器奇术!$A:$R,4,FALSE),VLOOKUP($E30,武器奇术!$A:$R,2,FALSE))*(1+CB30)*(1+CC30)*CD30</f>
        <v>0</v>
      </c>
      <c r="CL30" s="110">
        <f t="shared" ref="CL30:CL93" si="22">MAX((1-CF30-CH30-CJ30),0)</f>
        <v>0.00928814000000003</v>
      </c>
      <c r="CM30" s="113">
        <f t="shared" ref="CM30:CM93" si="23">CE30*CF30+CG30*CH30+CI30*CJ30+CK30*CL30</f>
        <v>0</v>
      </c>
      <c r="CN30" s="108">
        <f>$B$13*IF($G$5="撼天",1.05,1)+IF(AND(VLOOKUP($E30,武器奇术!$A:$R,15,FALSE)="武器",VLOOKUP($E30,武器奇术!$A:$R,17,FALSE)="破竹"),$E$3,0)*(1+$E$15)</f>
        <v>648.46</v>
      </c>
      <c r="CO30" s="99">
        <f>IF(VLOOKUP($E30,武器奇术!$A:$Z,20,FALSE)=1,(CP30-(CN30+CP30)*0.5)*($G$15-0.5)*2+(CN30+CP30)*0.5,(CN30+CP30)*0.5)</f>
        <v>875.26</v>
      </c>
      <c r="CP30" s="109">
        <f>MAX($C$13*IF($G$5="撼天",1.05,1)+IF(AND(VLOOKUP($E30,武器奇术!$A:$R,15,FALSE)="武器",VLOOKUP($E30,武器奇术!$A:$R,17,FALSE)="破竹"),$E$3*(1+$E$15),0),CN30)</f>
        <v>1102.06</v>
      </c>
      <c r="CQ30" s="110">
        <f>IF(($D$13+IF(VLOOKUP($E30,武器奇术!$A:$R,17,FALSE)="破竹",$D$15,0)+IF(VLOOKUP($E30,武器奇术!$A:$R,18,FALSE)=1,4,0)+IF(VLOOKUP($E30,武器奇术!$A:$S,19,FALSE)=1,20,0)-VLOOKUP($F$7,目标属性!$A:$R,6,FALSE))&gt;0,($D$13+IF(VLOOKUP($E30,武器奇术!$A:$R,17,FALSE)="破竹",$D$15,0)+IF(VLOOKUP($E30,武器奇术!$A:$R,18,FALSE)=1,4,0)+IF(VLOOKUP($E30,武器奇术!$A:$S,19,FALSE)=1,20,0)-VLOOKUP($F$7,目标属性!$A:$R,6,FALSE))/200,($D$13+IF(VLOOKUP($E30,武器奇术!$A:$R,17,FALSE)="破竹",$D$15,0)+IF(VLOOKUP($E30,武器奇术!$A:$R,18,FALSE)=1,4,0)+IF(VLOOKUP($E30,武器奇术!$A:$S,19,FALSE)=1,20,0)-VLOOKUP($F$7,目标属性!$A:$R,6,FALSE))/100)</f>
        <v>0.025</v>
      </c>
      <c r="CR30" s="111">
        <f>$E$13+IF(VLOOKUP($E30,武器奇术!$A:$U,21,FALSE)=1,0,0.09)</f>
        <v>0.235</v>
      </c>
      <c r="CS30" s="109">
        <v>1</v>
      </c>
      <c r="CT30" s="112">
        <f>CN30*IF(VLOOKUP($E30,武器奇术!$A:$R,17,FALSE)="破竹",VLOOKUP($E30,武器奇术!$A:$R,4,FALSE),VLOOKUP($E30,武器奇术!$A:$R,2,FALSE))*(1+CQ30)*(1+CR30)*CS30</f>
        <v>612.61476045575</v>
      </c>
      <c r="CU30" s="110">
        <f>(1-IF(VLOOKUP($E30,武器奇术!$A:$T,20,FALSE)=1,1,$N30))*(1-$M30)</f>
        <v>0.01072666</v>
      </c>
      <c r="CV30" s="112">
        <f>CO30*IF(VLOOKUP($E30,武器奇术!$A:$R,17,FALSE)="破竹",VLOOKUP($E30,武器奇术!$A:$R,4,FALSE),VLOOKUP($E30,武器奇术!$A:$R,2,FALSE))*(1+CQ30)*(1+CR30)*CS30*(1+$E$16+VLOOKUP($E30,武器奇术!$A:$R,8,FALSE))</f>
        <v>1356.07963511683</v>
      </c>
      <c r="CW30" s="110">
        <f t="shared" ref="CW30:CW93" si="24">IF($L30+$M30&lt;=100%,$N30*$L30,$N30*(1-$M30))</f>
        <v>0.8813852</v>
      </c>
      <c r="CX30" s="112">
        <f>CP30*IF(VLOOKUP($E30,武器奇术!$A:$R,17,FALSE)="破竹",VLOOKUP($E30,武器奇术!$A:$R,4,FALSE),VLOOKUP($E30,武器奇术!$A:$R,2,FALSE))*(1+CQ30)*(1+CR30)*CS30*(1+$E$17+VLOOKUP($E30,武器奇术!$A:$R,10,FALSE))</f>
        <v>1405.54020436976</v>
      </c>
      <c r="CY30" s="110">
        <f t="shared" ref="CY30:CY93" si="25">$M30</f>
        <v>0.0986</v>
      </c>
      <c r="CZ30" s="112">
        <f>CO30*IF(VLOOKUP($E30,武器奇术!$A:$R,17,FALSE)="破竹",VLOOKUP($E30,武器奇术!$A:$R,4,FALSE),VLOOKUP($E30,武器奇术!$A:$R,2,FALSE))*(1+CQ30)*(1+CR30)*CS30</f>
        <v>826.87782629075</v>
      </c>
      <c r="DA30" s="110">
        <f t="shared" ref="DA30:DA93" si="26">MAX((1-CU30-CW30-CY30),0)</f>
        <v>0.00928814000000003</v>
      </c>
      <c r="DB30" s="113">
        <f t="shared" ref="DB30:DB93" si="27">CT30*CU30+CV30*CW30+CX30*CY30+CZ30*DA30</f>
        <v>1348.06625182411</v>
      </c>
      <c r="DC30" s="108">
        <f>$B$15*IF($G$5="撼天",1.05,1)</f>
        <v>69.3</v>
      </c>
      <c r="DD30" s="99">
        <f>(DC30+DE30)*IF(VLOOKUP($E30,武器奇术!$A:$Z,21,FALSE)=1,$G$15,0.5)</f>
        <v>69.3</v>
      </c>
      <c r="DE30" s="109">
        <f>$C$15*IF($G$5="撼天",1.05,1)</f>
        <v>69.3</v>
      </c>
      <c r="DF30" s="110">
        <f>IF(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100)</f>
        <v>0.025</v>
      </c>
      <c r="DG30" s="111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U,21,FALSE)=1,0,0.09)</f>
        <v>0.235</v>
      </c>
      <c r="DH30" s="109">
        <v>1</v>
      </c>
      <c r="DI30" s="112">
        <f>DC30*IF(VLOOKUP($E30,武器奇术!$A:$R,17,FALSE)="破竹",VLOOKUP($E30,武器奇术!$A:$R,4,FALSE),VLOOKUP($E30,武器奇术!$A:$R,2,FALSE))*(1+DF30)*(1+DG30)*DH30</f>
        <v>65.46927011625</v>
      </c>
      <c r="DJ30" s="110">
        <f>(1-IF(VLOOKUP($E30,武器奇术!$A:$T,20,FALSE)=1,1,$N30))*(1-$M30)</f>
        <v>0.01072666</v>
      </c>
      <c r="DK30" s="112">
        <f>DD30*IF(VLOOKUP($E30,武器奇术!$A:$R,17,FALSE)="破竹",VLOOKUP($E30,武器奇术!$A:$R,4,FALSE),VLOOKUP($E30,武器奇术!$A:$R,2,FALSE))*(1+DF30)*(1+DG30)*DH30*(1+$E$16+VLOOKUP($E30,武器奇术!$A:$R,8,FALSE))</f>
        <v>107.36960299065</v>
      </c>
      <c r="DL30" s="110">
        <f t="shared" ref="DL30:DL93" si="28">IF($L30+$M30&lt;=100%,$N30*$L30,$N30*(1-$M30))</f>
        <v>0.8813852</v>
      </c>
      <c r="DM30" s="112">
        <f>DE30*IF(VLOOKUP($E30,武器奇术!$A:$R,17,FALSE)="破竹",VLOOKUP($E30,武器奇术!$A:$R,4,FALSE),VLOOKUP($E30,武器奇术!$A:$R,2,FALSE))*(1+DF30)*(1+DG30)*DH30*(1+$E$17+VLOOKUP($E30,武器奇术!$A:$R,10,FALSE))</f>
        <v>88.3835146569375</v>
      </c>
      <c r="DN30" s="110">
        <f t="shared" ref="DN30:DN93" si="29">$M30</f>
        <v>0.0986</v>
      </c>
      <c r="DO30" s="112">
        <f>DD30*IF(VLOOKUP($E30,武器奇术!$A:$R,17,FALSE)="破竹",VLOOKUP($E30,武器奇术!$A:$R,4,FALSE),VLOOKUP($E30,武器奇术!$A:$R,2,FALSE))*(1+DF30)*(1+DG30)*DH30</f>
        <v>65.46927011625</v>
      </c>
      <c r="DP30" s="110">
        <f t="shared" ref="DP30:DP93" si="30">MAX((1-DJ30-DL30-DN30),0)</f>
        <v>0.00928814000000003</v>
      </c>
      <c r="DQ30" s="113">
        <f t="shared" ref="DQ30:DQ93" si="31">DI30*DJ30+DK30*DL30+DM30*DN30+DO30*DP30</f>
        <v>104.658947898531</v>
      </c>
    </row>
    <row r="31" spans="1:121">
      <c r="B31" s="122"/>
      <c r="C31" s="123"/>
      <c r="D31" s="40"/>
      <c r="E31" s="98" t="s">
        <v>129</v>
      </c>
      <c r="F31" s="99">
        <v>1</v>
      </c>
      <c r="G31" s="115"/>
      <c r="H31" s="100">
        <f>IF(VLOOKUP($E31,武器奇术!$A:$R,18,FALSE)="天工",AE31,(AE31+AT31+BI31+BX31+CM31+DB31+DQ31))*(1+J31)*F31*K31*(1+G31)</f>
        <v>46431.9505353918</v>
      </c>
      <c r="I31" s="101">
        <f t="shared" si="0"/>
        <v>0.00573262390827242</v>
      </c>
      <c r="J31" s="116">
        <f>$F$3+VLOOKUP($E31,武器奇术!$A:$R,12,FALSE)+VLOOKUP($E31,武器奇术!$A:$R,14,FALSE)*$G$3+$P31+IF($F$21="√",5%,0)</f>
        <v>0.737</v>
      </c>
      <c r="K31" s="102">
        <f>VLOOKUP($E31,武器奇术!$A:$R,11,FALSE)</f>
        <v>1</v>
      </c>
      <c r="L31" s="117">
        <f>IF(VLOOKUP($E31,武器奇术!$A:$R,15,FALSE)="天工",0%,IF($C$17+VLOOKUP($E31,武器奇术!$A:$R,7,FALSE)&gt;80%,80%,$C$17+VLOOKUP($E31,武器奇术!$A:$R,7,FALSE))+IF($C$19&gt;20%,20%,$C$19))</f>
        <v>0.892</v>
      </c>
      <c r="M31" s="118">
        <f>IF(VLOOKUP($E31,武器奇术!$A:$R,15,FALSE)="天工",0%,IF($C$18+VLOOKUP($E31,武器奇术!$A:$R,9,FALSE)&gt;40%,40%,$C$18+VLOOKUP($E31,武器奇术!$A:$R,9,FALSE))+IF($C$20&gt;10%,10%,$C$20))</f>
        <v>0.0986</v>
      </c>
      <c r="N31" s="119">
        <f>IF(VLOOKUP($E31,武器奇术!$A:$R,15,FALSE)="天工",100%,MIN($C$16,1))</f>
        <v>0.9881</v>
      </c>
      <c r="O31" s="120" t="str">
        <f>VLOOKUP($E31,武器奇术!$A:$R,16,FALSE)</f>
        <v>绳标</v>
      </c>
      <c r="P31" s="121">
        <f t="shared" ref="P31:P62" si="32">VLOOKUP($O31,$B$22:$C$27,2,FALSE)+IF(OR($O31="拳甲",$O31="绳标"),$C$24,0)</f>
        <v>0.084</v>
      </c>
      <c r="Q31" s="108">
        <f>$B$5*(1+VLOOKUP($E31,武器奇术!$A:$R,5,FALSE)+IF($G$5="飞隼",0.1,0)+IF($G$5="撼天",0.05,0))-$F$9+IF($I$5="√",160,0)</f>
        <v>1731.135</v>
      </c>
      <c r="R31" s="99">
        <f>IF(VLOOKUP($E31,武器奇术!$A:$Z,20,FALSE)=1,(S31-(Q31+S31)*0.5)*($G$15-0.5)*2+(Q31+S31)*0.5,(Q31+S31)*0.5)</f>
        <v>3256.775</v>
      </c>
      <c r="S31" s="109">
        <f>MAX($C$5,$B$5)*(1+VLOOKUP($E31,武器奇术!$A:$R,5,FALSE)+IF($G$5="飞隼",0.1,0)+IF($G$5="撼天",0.05,0))-$F$9+IF($I$5="√",320,0)</f>
        <v>4782.415</v>
      </c>
      <c r="T31" s="101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U31" s="111">
        <f>$E$5+IF(VLOOKUP($E31,武器奇术!$A:$U,21,FALSE)=1,0,0.09)</f>
        <v>0.115</v>
      </c>
      <c r="V31" s="109">
        <v>1</v>
      </c>
      <c r="W31" s="112">
        <f>Q31*VLOOKUP($E31,武器奇术!$A:$R,2,FALSE)*(1+T31)*(1+U31)*V31</f>
        <v>5595.154346628</v>
      </c>
      <c r="X31" s="110">
        <f>(1-IF(VLOOKUP($E31,武器奇术!$A:$T,20,FALSE)=1,1,$N31))*(1-$M31)</f>
        <v>0.01072666</v>
      </c>
      <c r="Y31" s="112">
        <f>R31*VLOOKUP($E31,武器奇术!$A:$R,2,FALSE)*(1+T31)*(1+U31)*V31*(1+$E$16+VLOOKUP($E31,武器奇术!$A:$R,8,FALSE))</f>
        <v>20420.6997528468</v>
      </c>
      <c r="Z31" s="110">
        <f t="shared" ref="Z31:Z62" si="33">IF($L31+$M31&lt;=100%,$N31*$L31,$N31*(1-$M31))</f>
        <v>0.8813852</v>
      </c>
      <c r="AA31" s="112">
        <f>S31*VLOOKUP($E31,武器奇术!$A:$R,2,FALSE)*(1+T31)*(1+U31)*V31*(1+$E$17+VLOOKUP($E31,武器奇术!$A:$R,10,FALSE))</f>
        <v>20867.1031437462</v>
      </c>
      <c r="AB31" s="110">
        <f t="shared" ref="AB31:AB62" si="34">$M31</f>
        <v>0.0986</v>
      </c>
      <c r="AC31" s="112">
        <f>R31*VLOOKUP($E31,武器奇术!$A:$R,2,FALSE)*(1+T31)*(1+U31)*V31</f>
        <v>10526.13389322</v>
      </c>
      <c r="AD31" s="110">
        <f t="shared" si="1"/>
        <v>0.00928814000000003</v>
      </c>
      <c r="AE31" s="113">
        <f t="shared" si="2"/>
        <v>20213.784429359</v>
      </c>
      <c r="AF31" s="114">
        <f>VLOOKUP($E31,武器奇术!$A:$R,3,FALSE)*(1+IF(VLOOKUP($E31,武器奇术!$A:$R,15,FALSE)="武器",$E$15,0))</f>
        <v>0</v>
      </c>
      <c r="AG31" s="112">
        <f t="shared" si="3"/>
        <v>0</v>
      </c>
      <c r="AH31" s="112">
        <f>VLOOKUP($E31,武器奇术!$A:$R,3,FALSE)*(1+IF(VLOOKUP($E31,武器奇术!$A:$R,15,FALSE)="武器",$E$15,0))</f>
        <v>0</v>
      </c>
      <c r="AI31" s="101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AJ31" s="111">
        <f>$E$5+IF(VLOOKUP($E31,武器奇术!$A:$U,21,FALSE)=1,0,0.09)</f>
        <v>0.115</v>
      </c>
      <c r="AK31" s="109">
        <v>1</v>
      </c>
      <c r="AL31" s="112">
        <f t="shared" ref="AL31:AL62" si="35">AF31*(1+AI31)*(1+AJ31)*AK31</f>
        <v>0</v>
      </c>
      <c r="AM31" s="110">
        <f>(1-IF(VLOOKUP($E31,武器奇术!$A:$T,20,FALSE)=1,1,$N31))*(1-$M31)</f>
        <v>0.01072666</v>
      </c>
      <c r="AN31" s="112">
        <f>AG31*(1+AI31)*(1+AJ31)*AK31*(1+$E$16+VLOOKUP($E31,武器奇术!$A:$R,8,FALSE))</f>
        <v>0</v>
      </c>
      <c r="AO31" s="110">
        <f t="shared" si="4"/>
        <v>0.8813852</v>
      </c>
      <c r="AP31" s="112">
        <f>AH31*(1+AI31)*(1+AJ31)*AK31*(1+$E$17+VLOOKUP($E31,武器奇术!$A:$R,10,FALSE))</f>
        <v>0</v>
      </c>
      <c r="AQ31" s="110">
        <f t="shared" si="5"/>
        <v>0.0986</v>
      </c>
      <c r="AR31" s="112">
        <f t="shared" si="6"/>
        <v>0</v>
      </c>
      <c r="AS31" s="110">
        <f t="shared" si="7"/>
        <v>0.00928814000000003</v>
      </c>
      <c r="AT31" s="113">
        <f t="shared" si="8"/>
        <v>0</v>
      </c>
      <c r="AU31" s="108">
        <f>$B$7*IF($G$5="撼天",1.05,1)+IF(AND(VLOOKUP($E31,武器奇术!$A:$R,15,FALSE)="武器",VLOOKUP($E31,武器奇术!$A:$R,17,FALSE)="鸣金"),$E$3,0)*(1+$E$15)</f>
        <v>0</v>
      </c>
      <c r="AV31" s="99">
        <f>(AU31+AW31)*IF(VLOOKUP($E31,武器奇术!$A:$Z,21,FALSE)=1,$G$15,0.5)</f>
        <v>0</v>
      </c>
      <c r="AW31" s="109">
        <f>MAX($C$7*IF($G$5="撼天",1.05,1)+IF(AND(VLOOKUP($E31,武器奇术!$A:$R,15,FALSE)="武器",VLOOKUP($E31,武器奇术!$A:$R,17,FALSE)="鸣金"),$E$3*(1+$E$15),0),AU31)</f>
        <v>0</v>
      </c>
      <c r="AX31" s="110">
        <f>IF(($D$7+IF(VLOOKUP($E31,武器奇术!$A:$R,17,FALSE)="鸣金",$D$15,0)+IF(VLOOKUP($E31,武器奇术!$A:$R,18,FALSE)=1,4,0)+IF(VLOOKUP($E31,武器奇术!$A:$S,19,FALSE)=1,20,0)-VLOOKUP($F$7,目标属性!$A:$R,6,FALSE))&gt;0,($D$7+IF(VLOOKUP($E31,武器奇术!$A:$R,17,FALSE)="鸣金",$D$15,0)+IF(VLOOKUP($E31,武器奇术!$A:$R,18,FALSE)=1,4,0)+IF(VLOOKUP($E31,武器奇术!$A:$S,19,FALSE)=1,20,0)-VLOOKUP($F$7,目标属性!$A:$R,6,FALSE))/200,($D$7+IF(VLOOKUP($E31,武器奇术!$A:$R,17,FALSE)="鸣金",$D$15,0)+IF(VLOOKUP($E31,武器奇术!$A:$R,18,FALSE)=1,4,0)+IF(VLOOKUP($E31,武器奇术!$A:$S,19,FALSE)=1,20,0)-VLOOKUP($F$7,目标属性!$A:$R,6,FALSE))/100)</f>
        <v>0</v>
      </c>
      <c r="AY31" s="111">
        <f t="shared" si="9"/>
        <v>0</v>
      </c>
      <c r="AZ31" s="109">
        <v>1</v>
      </c>
      <c r="BA31" s="112">
        <f>AU31*IF(VLOOKUP($E31,武器奇术!$A:$R,17,FALSE)="鸣金",VLOOKUP($E31,武器奇术!$A:$R,4,FALSE),VLOOKUP($E31,武器奇术!$A:$R,2,FALSE))*(1+AX31)*(1+AY31)*AZ31</f>
        <v>0</v>
      </c>
      <c r="BB31" s="110">
        <f>(1-IF(VLOOKUP($E31,武器奇术!$A:$T,20,FALSE)=1,1,$N31))*(1-$M31)</f>
        <v>0.01072666</v>
      </c>
      <c r="BC31" s="112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10">
        <f t="shared" si="10"/>
        <v>0.8813852</v>
      </c>
      <c r="BE31" s="112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10">
        <f t="shared" si="11"/>
        <v>0.0986</v>
      </c>
      <c r="BG31" s="112">
        <f>AV31*IF(VLOOKUP($E31,武器奇术!$A:$R,17,FALSE)="鸣金",VLOOKUP($E31,武器奇术!$A:$R,4,FALSE),VLOOKUP($E31,武器奇术!$A:$R,2,FALSE))*(1+AX31)*(1+AY31)*AZ31</f>
        <v>0</v>
      </c>
      <c r="BH31" s="110">
        <f t="shared" si="12"/>
        <v>0.00928814000000003</v>
      </c>
      <c r="BI31" s="113">
        <f t="shared" si="13"/>
        <v>0</v>
      </c>
      <c r="BJ31" s="108">
        <f>$B$9*IF($G$5="撼天",1.05,1)+IF(AND(VLOOKUP($E31,武器奇术!$A:$R,15,FALSE)="武器",VLOOKUP($E31,武器奇术!$A:$R,17,FALSE)="裂石"),$E$3,0)*(1+$E$15)</f>
        <v>0</v>
      </c>
      <c r="BK31" s="99">
        <f>(BJ31+BL31)*IF(VLOOKUP($E31,武器奇术!$A:$Z,21,FALSE)=1,$G$15,0.5)</f>
        <v>0</v>
      </c>
      <c r="BL31" s="109">
        <f>MAX($C$9*IF($G$5="撼天",1.05,1)+IF(AND(VLOOKUP($E31,武器奇术!$A:$R,15,FALSE)="武器",VLOOKUP($E31,武器奇术!$A:$R,17,FALSE)="裂石"),$E$3*(1+$E$15),0),BJ31)</f>
        <v>0</v>
      </c>
      <c r="BM31" s="110">
        <f>IF(($D$9+IF(VLOOKUP($E31,武器奇术!$A:$R,17,FALSE)="裂石",$D$15,0)+IF(VLOOKUP($E31,武器奇术!$A:$R,18,FALSE)=1,4,0)+IF(VLOOKUP($E31,武器奇术!$A:$S,19,FALSE)=1,20,0)-VLOOKUP($F$7,目标属性!$A:$R,6,FALSE))&gt;0,($D$9+IF(VLOOKUP($E31,武器奇术!$A:$R,17,FALSE)="裂石",$D$15,0)+IF(VLOOKUP($E31,武器奇术!$A:$R,18,FALSE)=1,4,0)+IF(VLOOKUP($E31,武器奇术!$A:$S,19,FALSE)=1,20,0)-VLOOKUP($F$7,目标属性!$A:$R,6,FALSE))/200,($D$9+IF(VLOOKUP($E31,武器奇术!$A:$R,17,FALSE)="裂石",$D$15,0)+IF(VLOOKUP($E31,武器奇术!$A:$R,18,FALSE)=1,4,0)+IF(VLOOKUP($E31,武器奇术!$A:$S,19,FALSE)=1,20,0)-VLOOKUP($F$7,目标属性!$A:$R,6,FALSE))/100)</f>
        <v>0</v>
      </c>
      <c r="BN31" s="111">
        <f t="shared" si="14"/>
        <v>0</v>
      </c>
      <c r="BO31" s="109">
        <v>1</v>
      </c>
      <c r="BP31" s="112">
        <f>BJ31*IF(VLOOKUP($E31,武器奇术!$A:$R,17,FALSE)="裂石",VLOOKUP($E31,武器奇术!$A:$R,4,FALSE),VLOOKUP($E31,武器奇术!$A:$R,2,FALSE))*(1+BM31)*(1+BN31)*BO31</f>
        <v>0</v>
      </c>
      <c r="BQ31" s="110">
        <f>(1-IF(VLOOKUP($E31,武器奇术!$A:$T,20,FALSE)=1,1,$N31))*(1-$M31)</f>
        <v>0.01072666</v>
      </c>
      <c r="BR31" s="112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10">
        <f t="shared" si="15"/>
        <v>0.8813852</v>
      </c>
      <c r="BT31" s="112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10">
        <f t="shared" si="16"/>
        <v>0.0986</v>
      </c>
      <c r="BV31" s="112">
        <f>BK31*IF(VLOOKUP($E31,武器奇术!$A:$R,17,FALSE)="裂石",VLOOKUP($E31,武器奇术!$A:$R,4,FALSE),VLOOKUP($E31,武器奇术!$A:$R,2,FALSE))*(1+BM31)*(1+BN31)*BO31</f>
        <v>0</v>
      </c>
      <c r="BW31" s="110">
        <f t="shared" si="17"/>
        <v>0.00928814000000003</v>
      </c>
      <c r="BX31" s="113">
        <f t="shared" si="18"/>
        <v>0</v>
      </c>
      <c r="BY31" s="108">
        <f>$B$11*IF($G$5="撼天",1.05,1)+IF(AND(VLOOKUP($E31,武器奇术!$A:$R,15,FALSE)="武器",VLOOKUP($E31,武器奇术!$A:$R,17,FALSE)="牵丝"),$E$3,0)*(1+$E$15)</f>
        <v>0</v>
      </c>
      <c r="BZ31" s="99">
        <f>(BY31+CA31)*IF(VLOOKUP($E31,武器奇术!$A:$Z,21,FALSE)=1,$G$15,0.5)</f>
        <v>0</v>
      </c>
      <c r="CA31" s="109">
        <f>MAX($C$11*IF($G$5="撼天",1.05,1)+IF(AND(VLOOKUP($E31,武器奇术!$A:$R,15,FALSE)="武器",VLOOKUP($E31,武器奇术!$A:$R,17,FALSE)="牵丝"),$E$3*(1+$E$15),0),BY31)</f>
        <v>0</v>
      </c>
      <c r="CB31" s="110">
        <f>IF(($D$11+IF(VLOOKUP($E31,武器奇术!$A:$R,17,FALSE)="牵丝",$D$15,0)+IF(VLOOKUP($E31,武器奇术!$A:$R,18,FALSE)=1,4,0)+IF(VLOOKUP($E31,武器奇术!$A:$S,19,FALSE)=1,20,0)-VLOOKUP($F$7,目标属性!$A:$R,6,FALSE))&gt;0,($D$11+IF(VLOOKUP($E31,武器奇术!$A:$R,17,FALSE)="牵丝",$D$15,0)+IF(VLOOKUP($E31,武器奇术!$A:$R,18,FALSE)=1,4,0)+IF(VLOOKUP($E31,武器奇术!$A:$S,19,FALSE)=1,20,0)-VLOOKUP($F$7,目标属性!$A:$R,6,FALSE))/200,($D$11+IF(VLOOKUP($E31,武器奇术!$A:$R,17,FALSE)="牵丝",$D$15,0)+IF(VLOOKUP($E31,武器奇术!$A:$R,18,FALSE)=1,4,0)+IF(VLOOKUP($E31,武器奇术!$A:$S,19,FALSE)=1,20,0)-VLOOKUP($F$7,目标属性!$A:$R,6,FALSE))/100)</f>
        <v>0</v>
      </c>
      <c r="CC31" s="111">
        <f t="shared" si="19"/>
        <v>0</v>
      </c>
      <c r="CD31" s="109">
        <v>1</v>
      </c>
      <c r="CE31" s="112">
        <f>BY31*IF(VLOOKUP($E31,武器奇术!$A:$R,17,FALSE)="牵丝",VLOOKUP($E31,武器奇术!$A:$R,4,FALSE),VLOOKUP($E31,武器奇术!$A:$R,2,FALSE))*(1+CB31)*(1+CC31)*CD31</f>
        <v>0</v>
      </c>
      <c r="CF31" s="110">
        <f>(1-IF(VLOOKUP($E31,武器奇术!$A:$T,20,FALSE)=1,1,$N31))*(1-$M31)</f>
        <v>0.01072666</v>
      </c>
      <c r="CG31" s="112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110">
        <f t="shared" si="20"/>
        <v>0.8813852</v>
      </c>
      <c r="CI31" s="112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110">
        <f t="shared" si="21"/>
        <v>0.0986</v>
      </c>
      <c r="CK31" s="112">
        <f>BZ31*IF(VLOOKUP($E31,武器奇术!$A:$R,17,FALSE)="牵丝",VLOOKUP($E31,武器奇术!$A:$R,4,FALSE),VLOOKUP($E31,武器奇术!$A:$R,2,FALSE))*(1+CB31)*(1+CC31)*CD31</f>
        <v>0</v>
      </c>
      <c r="CL31" s="110">
        <f t="shared" si="22"/>
        <v>0.00928814000000003</v>
      </c>
      <c r="CM31" s="113">
        <f t="shared" si="23"/>
        <v>0</v>
      </c>
      <c r="CN31" s="108">
        <f>$B$13*IF($G$5="撼天",1.05,1)+IF(AND(VLOOKUP($E31,武器奇术!$A:$R,15,FALSE)="武器",VLOOKUP($E31,武器奇术!$A:$R,17,FALSE)="破竹"),$E$3,0)*(1+$E$15)</f>
        <v>452.55</v>
      </c>
      <c r="CO31" s="99">
        <f>IF(VLOOKUP($E31,武器奇术!$A:$Z,20,FALSE)=1,(CP31-(CN31+CP31)*0.5)*($G$15-0.5)*2+(CN31+CP31)*0.5,(CN31+CP31)*0.5)</f>
        <v>679.35</v>
      </c>
      <c r="CP31" s="109">
        <f>MAX($C$13*IF($G$5="撼天",1.05,1)+IF(AND(VLOOKUP($E31,武器奇术!$A:$R,15,FALSE)="武器",VLOOKUP($E31,武器奇术!$A:$R,17,FALSE)="破竹"),$E$3*(1+$E$15),0),CN31)</f>
        <v>906.15</v>
      </c>
      <c r="CQ31" s="110">
        <f>IF(($D$13+IF(VLOOKUP($E31,武器奇术!$A:$R,17,FALSE)="破竹",$D$15,0)+IF(VLOOKUP($E31,武器奇术!$A:$R,18,FALSE)=1,4,0)+IF(VLOOKUP($E31,武器奇术!$A:$S,19,FALSE)=1,20,0)-VLOOKUP($F$7,目标属性!$A:$R,6,FALSE))&gt;0,($D$13+IF(VLOOKUP($E31,武器奇术!$A:$R,17,FALSE)="破竹",$D$15,0)+IF(VLOOKUP($E31,武器奇术!$A:$R,18,FALSE)=1,4,0)+IF(VLOOKUP($E31,武器奇术!$A:$S,19,FALSE)=1,20,0)-VLOOKUP($F$7,目标属性!$A:$R,6,FALSE))/200,($D$13+IF(VLOOKUP($E31,武器奇术!$A:$R,17,FALSE)="破竹",$D$15,0)+IF(VLOOKUP($E31,武器奇术!$A:$R,18,FALSE)=1,4,0)+IF(VLOOKUP($E31,武器奇术!$A:$S,19,FALSE)=1,20,0)-VLOOKUP($F$7,目标属性!$A:$R,6,FALSE))/100)</f>
        <v>0.145</v>
      </c>
      <c r="CR31" s="111">
        <f>$E$13+IF(VLOOKUP($E31,武器奇术!$A:$U,21,FALSE)=1,0,0.09)</f>
        <v>0.235</v>
      </c>
      <c r="CS31" s="109">
        <v>1</v>
      </c>
      <c r="CT31" s="112">
        <f>CN31*IF(VLOOKUP($E31,武器奇术!$A:$R,17,FALSE)="破竹",VLOOKUP($E31,武器奇术!$A:$R,4,FALSE),VLOOKUP($E31,武器奇术!$A:$R,2,FALSE))*(1+CQ31)*(1+CR31)*CS31</f>
        <v>2073.40443765</v>
      </c>
      <c r="CU31" s="110">
        <f>(1-IF(VLOOKUP($E31,武器奇术!$A:$T,20,FALSE)=1,1,$N31))*(1-$M31)</f>
        <v>0.01072666</v>
      </c>
      <c r="CV31" s="112">
        <f>CO31*IF(VLOOKUP($E31,武器奇术!$A:$R,17,FALSE)="破竹",VLOOKUP($E31,武器奇术!$A:$R,4,FALSE),VLOOKUP($E31,武器奇术!$A:$R,2,FALSE))*(1+CQ31)*(1+CR31)*CS31*(1+$E$16+VLOOKUP($E31,武器奇术!$A:$R,8,FALSE))</f>
        <v>6038.273276217</v>
      </c>
      <c r="CW31" s="110">
        <f t="shared" si="24"/>
        <v>0.8813852</v>
      </c>
      <c r="CX31" s="112">
        <f>CP31*IF(VLOOKUP($E31,武器奇术!$A:$R,17,FALSE)="破竹",VLOOKUP($E31,武器奇术!$A:$R,4,FALSE),VLOOKUP($E31,武器奇术!$A:$R,2,FALSE))*(1+CQ31)*(1+CR31)*CS31*(1+$E$17+VLOOKUP($E31,武器奇术!$A:$R,10,FALSE))</f>
        <v>5604.6864039075</v>
      </c>
      <c r="CY31" s="110">
        <f t="shared" si="25"/>
        <v>0.0986</v>
      </c>
      <c r="CZ31" s="112">
        <f>CO31*IF(VLOOKUP($E31,武器奇术!$A:$R,17,FALSE)="破竹",VLOOKUP($E31,武器奇术!$A:$R,4,FALSE),VLOOKUP($E31,武器奇术!$A:$R,2,FALSE))*(1+CQ31)*(1+CR31)*CS31</f>
        <v>3112.51199805</v>
      </c>
      <c r="DA31" s="110">
        <f t="shared" si="26"/>
        <v>0.00928814000000003</v>
      </c>
      <c r="DB31" s="113">
        <f t="shared" si="27"/>
        <v>5925.81693027318</v>
      </c>
      <c r="DC31" s="108">
        <f t="shared" ref="DC31:DC115" si="36">$B$15*IF($G$5="撼天",1.05,1)</f>
        <v>69.3</v>
      </c>
      <c r="DD31" s="99">
        <f>(DC31+DE31)*IF(VLOOKUP($E31,武器奇术!$A:$Z,21,FALSE)=1,$G$15,0.5)</f>
        <v>69.3</v>
      </c>
      <c r="DE31" s="109">
        <f t="shared" ref="DE31:DE115" si="37">$C$15*IF($G$5="撼天",1.05,1)</f>
        <v>69.3</v>
      </c>
      <c r="DF31" s="110">
        <f>IF(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100)</f>
        <v>0.145</v>
      </c>
      <c r="DG31" s="111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U,21,FALSE)=1,0,0.09)</f>
        <v>0.235</v>
      </c>
      <c r="DH31" s="109">
        <v>1</v>
      </c>
      <c r="DI31" s="112">
        <f>DC31*IF(VLOOKUP($E31,武器奇术!$A:$R,17,FALSE)="破竹",VLOOKUP($E31,武器奇术!$A:$R,4,FALSE),VLOOKUP($E31,武器奇术!$A:$R,2,FALSE))*(1+DF31)*(1+DG31)*DH31</f>
        <v>317.5050879</v>
      </c>
      <c r="DJ31" s="110">
        <f>(1-IF(VLOOKUP($E31,武器奇术!$A:$T,20,FALSE)=1,1,$N31))*(1-$M31)</f>
        <v>0.01072666</v>
      </c>
      <c r="DK31" s="112">
        <f>DD31*IF(VLOOKUP($E31,武器奇术!$A:$R,17,FALSE)="破竹",VLOOKUP($E31,武器奇术!$A:$R,4,FALSE),VLOOKUP($E31,武器奇术!$A:$R,2,FALSE))*(1+DF31)*(1+DG31)*DH31*(1+$E$16+VLOOKUP($E31,武器奇术!$A:$R,8,FALSE))</f>
        <v>615.959870526</v>
      </c>
      <c r="DL31" s="110">
        <f t="shared" si="28"/>
        <v>0.8813852</v>
      </c>
      <c r="DM31" s="112">
        <f>DE31*IF(VLOOKUP($E31,武器奇术!$A:$R,17,FALSE)="破竹",VLOOKUP($E31,武器奇术!$A:$R,4,FALSE),VLOOKUP($E31,武器奇术!$A:$R,2,FALSE))*(1+DF31)*(1+DG31)*DH31*(1+$E$17+VLOOKUP($E31,武器奇术!$A:$R,10,FALSE))</f>
        <v>428.631868665</v>
      </c>
      <c r="DN31" s="110">
        <f t="shared" si="29"/>
        <v>0.0986</v>
      </c>
      <c r="DO31" s="112">
        <f>DD31*IF(VLOOKUP($E31,武器奇术!$A:$R,17,FALSE)="破竹",VLOOKUP($E31,武器奇术!$A:$R,4,FALSE),VLOOKUP($E31,武器奇术!$A:$R,2,FALSE))*(1+DF31)*(1+DG31)*DH31</f>
        <v>317.5050879</v>
      </c>
      <c r="DP31" s="110">
        <f t="shared" si="30"/>
        <v>0.00928814000000003</v>
      </c>
      <c r="DQ31" s="113">
        <f t="shared" si="31"/>
        <v>591.515816759203</v>
      </c>
    </row>
    <row r="32" spans="1:121">
      <c r="B32" s="122"/>
      <c r="C32" s="123"/>
      <c r="D32" s="40"/>
      <c r="E32" s="98" t="s">
        <v>130</v>
      </c>
      <c r="F32" s="99">
        <v>1</v>
      </c>
      <c r="G32" s="115">
        <f>$E$23</f>
        <v>0.32</v>
      </c>
      <c r="H32" s="100">
        <f>IF(VLOOKUP($E32,武器奇术!$A:$R,18,FALSE)="天工",AE32,(AE32+AT32+BI32+BX32+CM32+DB32+DQ32))*(1+J32)*F32*K32*(1+G32)</f>
        <v>844267.914300063</v>
      </c>
      <c r="I32" s="101">
        <f t="shared" si="0"/>
        <v>0.104235776759254</v>
      </c>
      <c r="J32" s="116">
        <f>$F$3+VLOOKUP($E32,武器奇术!$A:$R,12,FALSE)+VLOOKUP($E32,武器奇术!$A:$R,14,FALSE)*$G$3+$P32+IF($F$21="√",5%,0)</f>
        <v>0.823</v>
      </c>
      <c r="K32" s="102">
        <f>VLOOKUP($E32,武器奇术!$A:$R,11,FALSE)</f>
        <v>1</v>
      </c>
      <c r="L32" s="117">
        <f>IF(VLOOKUP($E32,武器奇术!$A:$R,15,FALSE)="天工",0%,IF($C$17+VLOOKUP($E32,武器奇术!$A:$R,7,FALSE)&gt;80%,80%,$C$17+VLOOKUP($E32,武器奇术!$A:$R,7,FALSE))+IF($C$19&gt;20%,20%,$C$19))</f>
        <v>0.892</v>
      </c>
      <c r="M32" s="118">
        <f>IF(VLOOKUP($E32,武器奇术!$A:$R,15,FALSE)="天工",0%,IF($C$18+VLOOKUP($E32,武器奇术!$A:$R,9,FALSE)&gt;40%,40%,$C$18+VLOOKUP($E32,武器奇术!$A:$R,9,FALSE))+IF($C$20&gt;10%,10%,$C$20))</f>
        <v>0.0986</v>
      </c>
      <c r="N32" s="119">
        <f>IF(VLOOKUP($E32,武器奇术!$A:$R,15,FALSE)="天工",100%,MIN($C$16,1))</f>
        <v>0.9881</v>
      </c>
      <c r="O32" s="120" t="str">
        <f>VLOOKUP($E32,武器奇术!$A:$R,16,FALSE)</f>
        <v>拳甲</v>
      </c>
      <c r="P32" s="121">
        <f t="shared" si="32"/>
        <v>0.17</v>
      </c>
      <c r="Q32" s="108">
        <f>$B$5*(1+VLOOKUP($E32,武器奇术!$A:$R,5,FALSE)+IF($G$5="飞隼",0.1,0)+IF($G$5="撼天",0.05,0))-$F$9+IF($I$5="√",160,0)</f>
        <v>1731.135</v>
      </c>
      <c r="R32" s="99">
        <f>IF(VLOOKUP($E32,武器奇术!$A:$Z,20,FALSE)=1,(S32-(Q32+S32)*0.5)*($G$15-0.5)*2+(Q32+S32)*0.5,(Q32+S32)*0.5)</f>
        <v>3256.775</v>
      </c>
      <c r="S32" s="109">
        <f>MAX($C$5,$B$5)*(1+VLOOKUP($E32,武器奇术!$A:$R,5,FALSE)+IF($G$5="飞隼",0.1,0)+IF($G$5="撼天",0.05,0))-$F$9+IF($I$5="√",320,0)</f>
        <v>4782.415</v>
      </c>
      <c r="T32" s="101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U32" s="111">
        <f>$E$5+IF(VLOOKUP($E32,武器奇术!$A:$U,21,FALSE)=1,0,0.09)</f>
        <v>0.115</v>
      </c>
      <c r="V32" s="109">
        <v>1</v>
      </c>
      <c r="W32" s="112">
        <f>Q32*VLOOKUP($E32,武器奇术!$A:$R,2,FALSE)*(1+T32)*(1+U32)*V32</f>
        <v>58678.4041054908</v>
      </c>
      <c r="X32" s="110">
        <f>(1-IF(VLOOKUP($E32,武器奇术!$A:$T,20,FALSE)=1,1,$N32))*(1-$M32)</f>
        <v>0</v>
      </c>
      <c r="Y32" s="112">
        <f>R32*VLOOKUP($E32,武器奇术!$A:$R,2,FALSE)*(1+T32)*(1+U32)*V32*(1+$E$16+VLOOKUP($E32,武器奇术!$A:$R,8,FALSE))</f>
        <v>236237.525898103</v>
      </c>
      <c r="Z32" s="110">
        <f t="shared" si="33"/>
        <v>0.8813852</v>
      </c>
      <c r="AA32" s="112">
        <f>S32*VLOOKUP($E32,武器奇术!$A:$R,2,FALSE)*(1+T32)*(1+U32)*V32*(1+$E$17+VLOOKUP($E32,武器奇术!$A:$R,10,FALSE))</f>
        <v>218840.846011268</v>
      </c>
      <c r="AB32" s="110">
        <f t="shared" si="34"/>
        <v>0.0986</v>
      </c>
      <c r="AC32" s="112">
        <f>R32*VLOOKUP($E32,武器奇术!$A:$R,2,FALSE)*(1+T32)*(1+U32)*V32</f>
        <v>110391.367242104</v>
      </c>
      <c r="AD32" s="110">
        <f t="shared" si="1"/>
        <v>0.0200148</v>
      </c>
      <c r="AE32" s="113">
        <f t="shared" si="2"/>
        <v>232003.427564993</v>
      </c>
      <c r="AF32" s="114">
        <f>VLOOKUP($E32,武器奇术!$A:$R,3,FALSE)*(1+IF(VLOOKUP($E32,武器奇术!$A:$R,15,FALSE)="武器",$E$15,0))</f>
        <v>8140.86</v>
      </c>
      <c r="AG32" s="112">
        <f t="shared" si="3"/>
        <v>8140.86</v>
      </c>
      <c r="AH32" s="112">
        <f>VLOOKUP($E32,武器奇术!$A:$R,3,FALSE)*(1+IF(VLOOKUP($E32,武器奇术!$A:$R,15,FALSE)="武器",$E$15,0))</f>
        <v>8140.86</v>
      </c>
      <c r="AI32" s="101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AJ32" s="111">
        <f>$E$5+IF(VLOOKUP($E32,武器奇术!$A:$U,21,FALSE)=1,0,0.09)</f>
        <v>0.115</v>
      </c>
      <c r="AK32" s="109">
        <v>1</v>
      </c>
      <c r="AL32" s="112">
        <f t="shared" si="35"/>
        <v>12181.4130438</v>
      </c>
      <c r="AM32" s="110">
        <f>(1-IF(VLOOKUP($E32,武器奇术!$A:$T,20,FALSE)=1,1,$N32))*(1-$M32)</f>
        <v>0</v>
      </c>
      <c r="AN32" s="112">
        <f>AG32*(1+AI32)*(1+AJ32)*AK32*(1+$E$16+VLOOKUP($E32,武器奇术!$A:$R,8,FALSE))</f>
        <v>26068.223913732</v>
      </c>
      <c r="AO32" s="110">
        <f t="shared" si="4"/>
        <v>0.8813852</v>
      </c>
      <c r="AP32" s="112">
        <f>AH32*(1+AI32)*(1+AJ32)*AK32*(1+$E$17+VLOOKUP($E32,武器奇术!$A:$R,10,FALSE))</f>
        <v>16444.90760913</v>
      </c>
      <c r="AQ32" s="110">
        <f t="shared" si="5"/>
        <v>0.0986</v>
      </c>
      <c r="AR32" s="112">
        <f t="shared" si="6"/>
        <v>12181.4130438</v>
      </c>
      <c r="AS32" s="110">
        <f t="shared" si="7"/>
        <v>0.0200148</v>
      </c>
      <c r="AT32" s="113">
        <f t="shared" si="8"/>
        <v>24841.4231838987</v>
      </c>
      <c r="AU32" s="108">
        <f>$B$7*IF($G$5="撼天",1.05,1)+IF(AND(VLOOKUP($E32,武器奇术!$A:$R,15,FALSE)="武器",VLOOKUP($E32,武器奇术!$A:$R,17,FALSE)="鸣金"),$E$3,0)*(1+$E$15)</f>
        <v>0</v>
      </c>
      <c r="AV32" s="99">
        <f>(AU32+AW32)*IF(VLOOKUP($E32,武器奇术!$A:$Z,21,FALSE)=1,$G$15,0.5)</f>
        <v>0</v>
      </c>
      <c r="AW32" s="109">
        <f>MAX($C$7*IF($G$5="撼天",1.05,1)+IF(AND(VLOOKUP($E32,武器奇术!$A:$R,15,FALSE)="武器",VLOOKUP($E32,武器奇术!$A:$R,17,FALSE)="鸣金"),$E$3*(1+$E$15),0),AU32)</f>
        <v>0</v>
      </c>
      <c r="AX32" s="110">
        <f>IF(($D$7+IF(VLOOKUP($E32,武器奇术!$A:$R,17,FALSE)="鸣金",$D$15,0)+IF(VLOOKUP($E32,武器奇术!$A:$R,18,FALSE)=1,4,0)+IF(VLOOKUP($E32,武器奇术!$A:$S,19,FALSE)=1,20,0)-VLOOKUP($F$7,目标属性!$A:$R,6,FALSE))&gt;0,($D$7+IF(VLOOKUP($E32,武器奇术!$A:$R,17,FALSE)="鸣金",$D$15,0)+IF(VLOOKUP($E32,武器奇术!$A:$R,18,FALSE)=1,4,0)+IF(VLOOKUP($E32,武器奇术!$A:$S,19,FALSE)=1,20,0)-VLOOKUP($F$7,目标属性!$A:$R,6,FALSE))/200,($D$7+IF(VLOOKUP($E32,武器奇术!$A:$R,17,FALSE)="鸣金",$D$15,0)+IF(VLOOKUP($E32,武器奇术!$A:$R,18,FALSE)=1,4,0)+IF(VLOOKUP($E32,武器奇术!$A:$S,19,FALSE)=1,20,0)-VLOOKUP($F$7,目标属性!$A:$R,6,FALSE))/100)</f>
        <v>0</v>
      </c>
      <c r="AY32" s="111">
        <f t="shared" si="9"/>
        <v>0</v>
      </c>
      <c r="AZ32" s="109">
        <v>1</v>
      </c>
      <c r="BA32" s="112">
        <f>AU32*IF(VLOOKUP($E32,武器奇术!$A:$R,17,FALSE)="鸣金",VLOOKUP($E32,武器奇术!$A:$R,4,FALSE),VLOOKUP($E32,武器奇术!$A:$R,2,FALSE))*(1+AX32)*(1+AY32)*AZ32</f>
        <v>0</v>
      </c>
      <c r="BB32" s="110">
        <f>(1-IF(VLOOKUP($E32,武器奇术!$A:$T,20,FALSE)=1,1,$N32))*(1-$M32)</f>
        <v>0</v>
      </c>
      <c r="BC32" s="112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10">
        <f t="shared" si="10"/>
        <v>0.8813852</v>
      </c>
      <c r="BE32" s="112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10">
        <f t="shared" si="11"/>
        <v>0.0986</v>
      </c>
      <c r="BG32" s="112">
        <f>AV32*IF(VLOOKUP($E32,武器奇术!$A:$R,17,FALSE)="鸣金",VLOOKUP($E32,武器奇术!$A:$R,4,FALSE),VLOOKUP($E32,武器奇术!$A:$R,2,FALSE))*(1+AX32)*(1+AY32)*AZ32</f>
        <v>0</v>
      </c>
      <c r="BH32" s="110">
        <f t="shared" si="12"/>
        <v>0.0200148</v>
      </c>
      <c r="BI32" s="113">
        <f t="shared" si="13"/>
        <v>0</v>
      </c>
      <c r="BJ32" s="108">
        <f>$B$9*IF($G$5="撼天",1.05,1)+IF(AND(VLOOKUP($E32,武器奇术!$A:$R,15,FALSE)="武器",VLOOKUP($E32,武器奇术!$A:$R,17,FALSE)="裂石"),$E$3,0)*(1+$E$15)</f>
        <v>0</v>
      </c>
      <c r="BK32" s="99">
        <f>(BJ32+BL32)*IF(VLOOKUP($E32,武器奇术!$A:$Z,21,FALSE)=1,$G$15,0.5)</f>
        <v>0</v>
      </c>
      <c r="BL32" s="109">
        <f>MAX($C$9*IF($G$5="撼天",1.05,1)+IF(AND(VLOOKUP($E32,武器奇术!$A:$R,15,FALSE)="武器",VLOOKUP($E32,武器奇术!$A:$R,17,FALSE)="裂石"),$E$3*(1+$E$15),0),BJ32)</f>
        <v>0</v>
      </c>
      <c r="BM32" s="110">
        <f>IF(($D$9+IF(VLOOKUP($E32,武器奇术!$A:$R,17,FALSE)="裂石",$D$15,0)+IF(VLOOKUP($E32,武器奇术!$A:$R,18,FALSE)=1,4,0)+IF(VLOOKUP($E32,武器奇术!$A:$S,19,FALSE)=1,20,0)-VLOOKUP($F$7,目标属性!$A:$R,6,FALSE))&gt;0,($D$9+IF(VLOOKUP($E32,武器奇术!$A:$R,17,FALSE)="裂石",$D$15,0)+IF(VLOOKUP($E32,武器奇术!$A:$R,18,FALSE)=1,4,0)+IF(VLOOKUP($E32,武器奇术!$A:$S,19,FALSE)=1,20,0)-VLOOKUP($F$7,目标属性!$A:$R,6,FALSE))/200,($D$9+IF(VLOOKUP($E32,武器奇术!$A:$R,17,FALSE)="裂石",$D$15,0)+IF(VLOOKUP($E32,武器奇术!$A:$R,18,FALSE)=1,4,0)+IF(VLOOKUP($E32,武器奇术!$A:$S,19,FALSE)=1,20,0)-VLOOKUP($F$7,目标属性!$A:$R,6,FALSE))/100)</f>
        <v>0</v>
      </c>
      <c r="BN32" s="111">
        <f t="shared" si="14"/>
        <v>0</v>
      </c>
      <c r="BO32" s="109">
        <v>1</v>
      </c>
      <c r="BP32" s="112">
        <f>BJ32*IF(VLOOKUP($E32,武器奇术!$A:$R,17,FALSE)="裂石",VLOOKUP($E32,武器奇术!$A:$R,4,FALSE),VLOOKUP($E32,武器奇术!$A:$R,2,FALSE))*(1+BM32)*(1+BN32)*BO32</f>
        <v>0</v>
      </c>
      <c r="BQ32" s="110">
        <f>(1-IF(VLOOKUP($E32,武器奇术!$A:$T,20,FALSE)=1,1,$N32))*(1-$M32)</f>
        <v>0</v>
      </c>
      <c r="BR32" s="112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10">
        <f t="shared" si="15"/>
        <v>0.8813852</v>
      </c>
      <c r="BT32" s="112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10">
        <f t="shared" si="16"/>
        <v>0.0986</v>
      </c>
      <c r="BV32" s="112">
        <f>BK32*IF(VLOOKUP($E32,武器奇术!$A:$R,17,FALSE)="裂石",VLOOKUP($E32,武器奇术!$A:$R,4,FALSE),VLOOKUP($E32,武器奇术!$A:$R,2,FALSE))*(1+BM32)*(1+BN32)*BO32</f>
        <v>0</v>
      </c>
      <c r="BW32" s="110">
        <f t="shared" si="17"/>
        <v>0.0200148</v>
      </c>
      <c r="BX32" s="113">
        <f t="shared" si="18"/>
        <v>0</v>
      </c>
      <c r="BY32" s="108">
        <f>$B$11*IF($G$5="撼天",1.05,1)+IF(AND(VLOOKUP($E32,武器奇术!$A:$R,15,FALSE)="武器",VLOOKUP($E32,武器奇术!$A:$R,17,FALSE)="牵丝"),$E$3,0)*(1+$E$15)</f>
        <v>0</v>
      </c>
      <c r="BZ32" s="99">
        <f>(BY32+CA32)*IF(VLOOKUP($E32,武器奇术!$A:$Z,21,FALSE)=1,$G$15,0.5)</f>
        <v>0</v>
      </c>
      <c r="CA32" s="109">
        <f>MAX($C$11*IF($G$5="撼天",1.05,1)+IF(AND(VLOOKUP($E32,武器奇术!$A:$R,15,FALSE)="武器",VLOOKUP($E32,武器奇术!$A:$R,17,FALSE)="牵丝"),$E$3*(1+$E$15),0),BY32)</f>
        <v>0</v>
      </c>
      <c r="CB32" s="110">
        <f>IF(($D$11+IF(VLOOKUP($E32,武器奇术!$A:$R,17,FALSE)="牵丝",$D$15,0)+IF(VLOOKUP($E32,武器奇术!$A:$R,18,FALSE)=1,4,0)+IF(VLOOKUP($E32,武器奇术!$A:$S,19,FALSE)=1,20,0)-VLOOKUP($F$7,目标属性!$A:$R,6,FALSE))&gt;0,($D$11+IF(VLOOKUP($E32,武器奇术!$A:$R,17,FALSE)="牵丝",$D$15,0)+IF(VLOOKUP($E32,武器奇术!$A:$R,18,FALSE)=1,4,0)+IF(VLOOKUP($E32,武器奇术!$A:$S,19,FALSE)=1,20,0)-VLOOKUP($F$7,目标属性!$A:$R,6,FALSE))/200,($D$11+IF(VLOOKUP($E32,武器奇术!$A:$R,17,FALSE)="牵丝",$D$15,0)+IF(VLOOKUP($E32,武器奇术!$A:$R,18,FALSE)=1,4,0)+IF(VLOOKUP($E32,武器奇术!$A:$S,19,FALSE)=1,20,0)-VLOOKUP($F$7,目标属性!$A:$R,6,FALSE))/100)</f>
        <v>0</v>
      </c>
      <c r="CC32" s="111">
        <f t="shared" si="19"/>
        <v>0</v>
      </c>
      <c r="CD32" s="109">
        <v>1</v>
      </c>
      <c r="CE32" s="112">
        <f>BY32*IF(VLOOKUP($E32,武器奇术!$A:$R,17,FALSE)="牵丝",VLOOKUP($E32,武器奇术!$A:$R,4,FALSE),VLOOKUP($E32,武器奇术!$A:$R,2,FALSE))*(1+CB32)*(1+CC32)*CD32</f>
        <v>0</v>
      </c>
      <c r="CF32" s="110">
        <f>(1-IF(VLOOKUP($E32,武器奇术!$A:$T,20,FALSE)=1,1,$N32))*(1-$M32)</f>
        <v>0</v>
      </c>
      <c r="CG32" s="112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110">
        <f t="shared" si="20"/>
        <v>0.8813852</v>
      </c>
      <c r="CI32" s="112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110">
        <f t="shared" si="21"/>
        <v>0.0986</v>
      </c>
      <c r="CK32" s="112">
        <f>BZ32*IF(VLOOKUP($E32,武器奇术!$A:$R,17,FALSE)="牵丝",VLOOKUP($E32,武器奇术!$A:$R,4,FALSE),VLOOKUP($E32,武器奇术!$A:$R,2,FALSE))*(1+CB32)*(1+CC32)*CD32</f>
        <v>0</v>
      </c>
      <c r="CL32" s="110">
        <f t="shared" si="22"/>
        <v>0.0200148</v>
      </c>
      <c r="CM32" s="113">
        <f t="shared" si="23"/>
        <v>0</v>
      </c>
      <c r="CN32" s="108">
        <f>$B$13*IF($G$5="撼天",1.05,1)+IF(AND(VLOOKUP($E32,武器奇术!$A:$R,15,FALSE)="武器",VLOOKUP($E32,武器奇术!$A:$R,17,FALSE)="破竹"),$E$3,0)*(1+$E$15)</f>
        <v>648.46</v>
      </c>
      <c r="CO32" s="99">
        <f>IF(VLOOKUP($E32,武器奇术!$A:$Z,20,FALSE)=1,(CP32-(CN32+CP32)*0.5)*($G$15-0.5)*2+(CN32+CP32)*0.5,(CN32+CP32)*0.5)</f>
        <v>875.26</v>
      </c>
      <c r="CP32" s="109">
        <f>MAX($C$13*IF($G$5="撼天",1.05,1)+IF(AND(VLOOKUP($E32,武器奇术!$A:$R,15,FALSE)="武器",VLOOKUP($E32,武器奇术!$A:$R,17,FALSE)="破竹"),$E$3*(1+$E$15),0),CN32)</f>
        <v>1102.06</v>
      </c>
      <c r="CQ32" s="110">
        <f>IF(($D$13+IF(VLOOKUP($E32,武器奇术!$A:$R,17,FALSE)="破竹",$D$15,0)+IF(VLOOKUP($E32,武器奇术!$A:$R,18,FALSE)=1,4,0)+IF(VLOOKUP($E32,武器奇术!$A:$S,19,FALSE)=1,20,0)-VLOOKUP($F$7,目标属性!$A:$R,6,FALSE))&gt;0,($D$13+IF(VLOOKUP($E32,武器奇术!$A:$R,17,FALSE)="破竹",$D$15,0)+IF(VLOOKUP($E32,武器奇术!$A:$R,18,FALSE)=1,4,0)+IF(VLOOKUP($E32,武器奇术!$A:$S,19,FALSE)=1,20,0)-VLOOKUP($F$7,目标属性!$A:$R,6,FALSE))/200,($D$13+IF(VLOOKUP($E32,武器奇术!$A:$R,17,FALSE)="破竹",$D$15,0)+IF(VLOOKUP($E32,武器奇术!$A:$R,18,FALSE)=1,4,0)+IF(VLOOKUP($E32,武器奇术!$A:$S,19,FALSE)=1,20,0)-VLOOKUP($F$7,目标属性!$A:$R,6,FALSE))/100)</f>
        <v>0.145</v>
      </c>
      <c r="CR32" s="111">
        <f>$E$13+IF(VLOOKUP($E32,武器奇术!$A:$U,21,FALSE)=1,0,0.09)</f>
        <v>0.235</v>
      </c>
      <c r="CS32" s="109">
        <v>1</v>
      </c>
      <c r="CT32" s="112">
        <f>CN32*IF(VLOOKUP($E32,武器奇术!$A:$R,17,FALSE)="破竹",VLOOKUP($E32,武器奇术!$A:$R,4,FALSE),VLOOKUP($E32,武器奇术!$A:$R,2,FALSE))*(1+CQ32)*(1+CR32)*CS32</f>
        <v>31157.741801014</v>
      </c>
      <c r="CU32" s="110">
        <f>(1-IF(VLOOKUP($E32,武器奇术!$A:$T,20,FALSE)=1,1,$N32))*(1-$M32)</f>
        <v>0</v>
      </c>
      <c r="CV32" s="112">
        <f>CO32*IF(VLOOKUP($E32,武器奇术!$A:$R,17,FALSE)="破竹",VLOOKUP($E32,武器奇术!$A:$R,4,FALSE),VLOOKUP($E32,武器奇术!$A:$R,2,FALSE))*(1+CQ32)*(1+CR32)*CS32*(1+$E$16+VLOOKUP($E32,武器奇术!$A:$R,8,FALSE))</f>
        <v>89998.16132057</v>
      </c>
      <c r="CW32" s="110">
        <f t="shared" si="24"/>
        <v>0.8813852</v>
      </c>
      <c r="CX32" s="112">
        <f>CP32*IF(VLOOKUP($E32,武器奇术!$A:$R,17,FALSE)="破竹",VLOOKUP($E32,武器奇术!$A:$R,4,FALSE),VLOOKUP($E32,武器奇术!$A:$R,2,FALSE))*(1+CQ32)*(1+CR32)*CS32*(1+$E$17+VLOOKUP($E32,武器奇术!$A:$R,10,FALSE))</f>
        <v>71486.1306086026</v>
      </c>
      <c r="CY32" s="110">
        <f t="shared" si="25"/>
        <v>0.0986</v>
      </c>
      <c r="CZ32" s="112">
        <f>CO32*IF(VLOOKUP($E32,武器奇术!$A:$R,17,FALSE)="破竹",VLOOKUP($E32,武器奇术!$A:$R,4,FALSE),VLOOKUP($E32,武器奇术!$A:$R,2,FALSE))*(1+CQ32)*(1+CR32)*CS32</f>
        <v>42055.2155703598</v>
      </c>
      <c r="DA32" s="110">
        <f t="shared" si="26"/>
        <v>0.0200148</v>
      </c>
      <c r="DB32" s="113">
        <f t="shared" si="27"/>
        <v>87213.3066217687</v>
      </c>
      <c r="DC32" s="108">
        <f t="shared" si="36"/>
        <v>69.3</v>
      </c>
      <c r="DD32" s="99">
        <f>(DC32+DE32)*IF(VLOOKUP($E32,武器奇术!$A:$Z,21,FALSE)=1,$G$15,0.5)</f>
        <v>69.3</v>
      </c>
      <c r="DE32" s="109">
        <f t="shared" si="37"/>
        <v>69.3</v>
      </c>
      <c r="DF32" s="110">
        <f>IF(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100)</f>
        <v>0.145</v>
      </c>
      <c r="DG32" s="111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U,21,FALSE)=1,0,0.09)</f>
        <v>0.235</v>
      </c>
      <c r="DH32" s="109">
        <v>1</v>
      </c>
      <c r="DI32" s="112">
        <f>DC32*IF(VLOOKUP($E32,武器奇术!$A:$R,17,FALSE)="破竹",VLOOKUP($E32,武器奇术!$A:$R,4,FALSE),VLOOKUP($E32,武器奇术!$A:$R,2,FALSE))*(1+DF32)*(1+DG32)*DH32</f>
        <v>3329.78365174455</v>
      </c>
      <c r="DJ32" s="110">
        <f>(1-IF(VLOOKUP($E32,武器奇术!$A:$T,20,FALSE)=1,1,$N32))*(1-$M32)</f>
        <v>0</v>
      </c>
      <c r="DK32" s="112">
        <f>DD32*IF(VLOOKUP($E32,武器奇术!$A:$R,17,FALSE)="破竹",VLOOKUP($E32,武器奇术!$A:$R,4,FALSE),VLOOKUP($E32,武器奇术!$A:$R,2,FALSE))*(1+DF32)*(1+DG32)*DH32*(1+$E$16+VLOOKUP($E32,武器奇术!$A:$R,8,FALSE))</f>
        <v>7125.73701473334</v>
      </c>
      <c r="DL32" s="110">
        <f t="shared" si="28"/>
        <v>0.8813852</v>
      </c>
      <c r="DM32" s="112">
        <f>DE32*IF(VLOOKUP($E32,武器奇术!$A:$R,17,FALSE)="破竹",VLOOKUP($E32,武器奇术!$A:$R,4,FALSE),VLOOKUP($E32,武器奇术!$A:$R,2,FALSE))*(1+DF32)*(1+DG32)*DH32*(1+$E$17+VLOOKUP($E32,武器奇术!$A:$R,10,FALSE))</f>
        <v>4495.20792985514</v>
      </c>
      <c r="DN32" s="110">
        <f t="shared" si="29"/>
        <v>0.0986</v>
      </c>
      <c r="DO32" s="112">
        <f>DD32*IF(VLOOKUP($E32,武器奇术!$A:$R,17,FALSE)="破竹",VLOOKUP($E32,武器奇术!$A:$R,4,FALSE),VLOOKUP($E32,武器奇术!$A:$R,2,FALSE))*(1+DF32)*(1+DG32)*DH32</f>
        <v>3329.78365174455</v>
      </c>
      <c r="DP32" s="110">
        <f t="shared" si="30"/>
        <v>0.0200148</v>
      </c>
      <c r="DQ32" s="113">
        <f t="shared" si="31"/>
        <v>6790.3915995948</v>
      </c>
    </row>
    <row r="33" spans="2:121">
      <c r="B33" s="122"/>
      <c r="C33" s="123"/>
      <c r="D33" s="40"/>
      <c r="E33" s="98" t="s">
        <v>131</v>
      </c>
      <c r="F33" s="99">
        <v>1</v>
      </c>
      <c r="G33" s="115"/>
      <c r="H33" s="100">
        <f>IF(VLOOKUP($E33,武器奇术!$A:$R,18,FALSE)="天工",AE33,(AE33+AT33+BI33+BX33+CM33+DB33+DQ33))*(1+J33)*F33*K33*(1+G33)</f>
        <v>18747.9816723475</v>
      </c>
      <c r="I33" s="101">
        <f t="shared" si="0"/>
        <v>0.00231468044584583</v>
      </c>
      <c r="J33" s="116">
        <f>$F$3+VLOOKUP($E33,武器奇术!$A:$R,12,FALSE)+VLOOKUP($E33,武器奇术!$A:$R,14,FALSE)*$G$3+$P33+IF($F$21="√",5%,0)</f>
        <v>0.523</v>
      </c>
      <c r="K33" s="102">
        <f>VLOOKUP($E33,武器奇术!$A:$R,11,FALSE)</f>
        <v>1</v>
      </c>
      <c r="L33" s="117">
        <f>IF(VLOOKUP($E33,武器奇术!$A:$R,15,FALSE)="天工",0%,IF($C$17+VLOOKUP($E33,武器奇术!$A:$R,7,FALSE)&gt;80%,80%,$C$17+VLOOKUP($E33,武器奇术!$A:$R,7,FALSE))+IF($C$19&gt;20%,20%,$C$19))</f>
        <v>0.892</v>
      </c>
      <c r="M33" s="118">
        <f>IF(VLOOKUP($E33,武器奇术!$A:$R,15,FALSE)="天工",0%,IF($C$18+VLOOKUP($E33,武器奇术!$A:$R,9,FALSE)&gt;40%,40%,$C$18+VLOOKUP($E33,武器奇术!$A:$R,9,FALSE))+IF($C$20&gt;10%,10%,$C$20))</f>
        <v>0.0986</v>
      </c>
      <c r="N33" s="119">
        <f>IF(VLOOKUP($E33,武器奇术!$A:$R,15,FALSE)="天工",100%,MIN($C$16,1))</f>
        <v>0.9881</v>
      </c>
      <c r="O33" s="120" t="str">
        <f>VLOOKUP($E33,武器奇术!$A:$R,16,FALSE)</f>
        <v>拳甲</v>
      </c>
      <c r="P33" s="121">
        <f t="shared" si="32"/>
        <v>0.17</v>
      </c>
      <c r="Q33" s="108">
        <f>$B$5*(1+VLOOKUP($E33,武器奇术!$A:$R,5,FALSE)+IF($G$5="飞隼",0.1,0)+IF($G$5="撼天",0.05,0))-$F$9+IF($I$5="√",160,0)</f>
        <v>1731.135</v>
      </c>
      <c r="R33" s="99">
        <f>IF(VLOOKUP($E33,武器奇术!$A:$Z,20,FALSE)=1,(S33-(Q33+S33)*0.5)*($G$15-0.5)*2+(Q33+S33)*0.5,(Q33+S33)*0.5)</f>
        <v>3256.775</v>
      </c>
      <c r="S33" s="109">
        <f>MAX($C$5,$B$5)*(1+VLOOKUP($E33,武器奇术!$A:$R,5,FALSE)+IF($G$5="飞隼",0.1,0)+IF($G$5="撼天",0.05,0))-$F$9+IF($I$5="√",320,0)</f>
        <v>4782.415</v>
      </c>
      <c r="T33" s="101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U33" s="111">
        <f>$E$5+IF(VLOOKUP($E33,武器奇术!$A:$U,21,FALSE)=1,0,0.09)</f>
        <v>0.115</v>
      </c>
      <c r="V33" s="109">
        <v>1</v>
      </c>
      <c r="W33" s="112">
        <f>Q33*VLOOKUP($E33,武器奇术!$A:$R,2,FALSE)*(1+T33)*(1+U33)*V33</f>
        <v>2638.25911409603</v>
      </c>
      <c r="X33" s="110">
        <f>(1-IF(VLOOKUP($E33,武器奇术!$A:$T,20,FALSE)=1,1,$N33))*(1-$M33)</f>
        <v>0.01072666</v>
      </c>
      <c r="Y33" s="112">
        <f>R33*VLOOKUP($E33,武器奇术!$A:$R,2,FALSE)*(1+T33)*(1+U33)*V33*(1+$E$16+VLOOKUP($E33,武器奇术!$A:$R,8,FALSE))</f>
        <v>8139.88208611607</v>
      </c>
      <c r="Z33" s="110">
        <f t="shared" si="33"/>
        <v>0.8813852</v>
      </c>
      <c r="AA33" s="112">
        <f>S33*VLOOKUP($E33,武器奇术!$A:$R,2,FALSE)*(1+T33)*(1+U33)*V33*(1+$E$17+VLOOKUP($E33,武器奇术!$A:$R,10,FALSE))</f>
        <v>9839.37558164925</v>
      </c>
      <c r="AB33" s="110">
        <f t="shared" si="34"/>
        <v>0.0986</v>
      </c>
      <c r="AC33" s="112">
        <f>R33*VLOOKUP($E33,武器奇术!$A:$R,2,FALSE)*(1+T33)*(1+U33)*V33</f>
        <v>4963.34273543662</v>
      </c>
      <c r="AD33" s="110">
        <f t="shared" si="1"/>
        <v>0.00928814000000003</v>
      </c>
      <c r="AE33" s="113">
        <f t="shared" si="2"/>
        <v>8218.93396350197</v>
      </c>
      <c r="AF33" s="114">
        <f>VLOOKUP($E33,武器奇术!$A:$R,3,FALSE)*(1+IF(VLOOKUP($E33,武器奇术!$A:$R,15,FALSE)="武器",$E$15,0))</f>
        <v>396.5</v>
      </c>
      <c r="AG33" s="112">
        <f t="shared" si="3"/>
        <v>396.5</v>
      </c>
      <c r="AH33" s="112">
        <f>VLOOKUP($E33,武器奇术!$A:$R,3,FALSE)*(1+IF(VLOOKUP($E33,武器奇术!$A:$R,15,FALSE)="武器",$E$15,0))</f>
        <v>396.5</v>
      </c>
      <c r="AI33" s="101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AJ33" s="111">
        <f>$E$5+IF(VLOOKUP($E33,武器奇术!$A:$U,21,FALSE)=1,0,0.09)</f>
        <v>0.115</v>
      </c>
      <c r="AK33" s="109">
        <v>1</v>
      </c>
      <c r="AL33" s="112">
        <f t="shared" si="35"/>
        <v>549.085095</v>
      </c>
      <c r="AM33" s="110">
        <f>(1-IF(VLOOKUP($E33,武器奇术!$A:$T,20,FALSE)=1,1,$N33))*(1-$M33)</f>
        <v>0.01072666</v>
      </c>
      <c r="AN33" s="112">
        <f>AG33*(1+AI33)*(1+AJ33)*AK33*(1+$E$16+VLOOKUP($E33,武器奇术!$A:$R,8,FALSE))</f>
        <v>900.4995558</v>
      </c>
      <c r="AO33" s="110">
        <f t="shared" si="4"/>
        <v>0.8813852</v>
      </c>
      <c r="AP33" s="112">
        <f>AH33*(1+AI33)*(1+AJ33)*AK33*(1+$E$17+VLOOKUP($E33,武器奇术!$A:$R,10,FALSE))</f>
        <v>741.26487825</v>
      </c>
      <c r="AQ33" s="110">
        <f t="shared" si="5"/>
        <v>0.0986</v>
      </c>
      <c r="AR33" s="112">
        <f t="shared" si="6"/>
        <v>549.085095</v>
      </c>
      <c r="AS33" s="110">
        <f t="shared" si="7"/>
        <v>0.00928814000000003</v>
      </c>
      <c r="AT33" s="113">
        <f t="shared" si="8"/>
        <v>877.76552644355</v>
      </c>
      <c r="AU33" s="108">
        <f>$B$7*IF($G$5="撼天",1.05,1)+IF(AND(VLOOKUP($E33,武器奇术!$A:$R,15,FALSE)="武器",VLOOKUP($E33,武器奇术!$A:$R,17,FALSE)="鸣金"),$E$3,0)*(1+$E$15)</f>
        <v>0</v>
      </c>
      <c r="AV33" s="99">
        <f>(AU33+AW33)*IF(VLOOKUP($E33,武器奇术!$A:$Z,21,FALSE)=1,$G$15,0.5)</f>
        <v>0</v>
      </c>
      <c r="AW33" s="109">
        <f>MAX($C$7*IF($G$5="撼天",1.05,1)+IF(AND(VLOOKUP($E33,武器奇术!$A:$R,15,FALSE)="武器",VLOOKUP($E33,武器奇术!$A:$R,17,FALSE)="鸣金"),$E$3*(1+$E$15),0),AU33)</f>
        <v>0</v>
      </c>
      <c r="AX33" s="110">
        <f>IF(($D$7+IF(VLOOKUP($E33,武器奇术!$A:$R,17,FALSE)="鸣金",$D$15,0)+IF(VLOOKUP($E33,武器奇术!$A:$R,18,FALSE)=1,4,0)+IF(VLOOKUP($E33,武器奇术!$A:$S,19,FALSE)=1,20,0)-VLOOKUP($F$7,目标属性!$A:$R,6,FALSE))&gt;0,($D$7+IF(VLOOKUP($E33,武器奇术!$A:$R,17,FALSE)="鸣金",$D$15,0)+IF(VLOOKUP($E33,武器奇术!$A:$R,18,FALSE)=1,4,0)+IF(VLOOKUP($E33,武器奇术!$A:$S,19,FALSE)=1,20,0)-VLOOKUP($F$7,目标属性!$A:$R,6,FALSE))/200,($D$7+IF(VLOOKUP($E33,武器奇术!$A:$R,17,FALSE)="鸣金",$D$15,0)+IF(VLOOKUP($E33,武器奇术!$A:$R,18,FALSE)=1,4,0)+IF(VLOOKUP($E33,武器奇术!$A:$S,19,FALSE)=1,20,0)-VLOOKUP($F$7,目标属性!$A:$R,6,FALSE))/100)</f>
        <v>-0.24</v>
      </c>
      <c r="AY33" s="111">
        <f t="shared" si="9"/>
        <v>0</v>
      </c>
      <c r="AZ33" s="109">
        <v>1</v>
      </c>
      <c r="BA33" s="112">
        <f>AU33*IF(VLOOKUP($E33,武器奇术!$A:$R,17,FALSE)="鸣金",VLOOKUP($E33,武器奇术!$A:$R,4,FALSE),VLOOKUP($E33,武器奇术!$A:$R,2,FALSE))*(1+AX33)*(1+AY33)*AZ33</f>
        <v>0</v>
      </c>
      <c r="BB33" s="110">
        <f>(1-IF(VLOOKUP($E33,武器奇术!$A:$T,20,FALSE)=1,1,$N33))*(1-$M33)</f>
        <v>0.01072666</v>
      </c>
      <c r="BC33" s="112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10">
        <f t="shared" si="10"/>
        <v>0.8813852</v>
      </c>
      <c r="BE33" s="112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10">
        <f t="shared" si="11"/>
        <v>0.0986</v>
      </c>
      <c r="BG33" s="112">
        <f>AV33*IF(VLOOKUP($E33,武器奇术!$A:$R,17,FALSE)="鸣金",VLOOKUP($E33,武器奇术!$A:$R,4,FALSE),VLOOKUP($E33,武器奇术!$A:$R,2,FALSE))*(1+AX33)*(1+AY33)*AZ33</f>
        <v>0</v>
      </c>
      <c r="BH33" s="110">
        <f t="shared" si="12"/>
        <v>0.00928814000000003</v>
      </c>
      <c r="BI33" s="113">
        <f t="shared" si="13"/>
        <v>0</v>
      </c>
      <c r="BJ33" s="108">
        <f>$B$9*IF($G$5="撼天",1.05,1)+IF(AND(VLOOKUP($E33,武器奇术!$A:$R,15,FALSE)="武器",VLOOKUP($E33,武器奇术!$A:$R,17,FALSE)="裂石"),$E$3,0)*(1+$E$15)</f>
        <v>0</v>
      </c>
      <c r="BK33" s="99">
        <f>(BJ33+BL33)*IF(VLOOKUP($E33,武器奇术!$A:$Z,21,FALSE)=1,$G$15,0.5)</f>
        <v>0</v>
      </c>
      <c r="BL33" s="109">
        <f>MAX($C$9*IF($G$5="撼天",1.05,1)+IF(AND(VLOOKUP($E33,武器奇术!$A:$R,15,FALSE)="武器",VLOOKUP($E33,武器奇术!$A:$R,17,FALSE)="裂石"),$E$3*(1+$E$15),0),BJ33)</f>
        <v>0</v>
      </c>
      <c r="BM33" s="110">
        <f>IF(($D$9+IF(VLOOKUP($E33,武器奇术!$A:$R,17,FALSE)="裂石",$D$15,0)+IF(VLOOKUP($E33,武器奇术!$A:$R,18,FALSE)=1,4,0)+IF(VLOOKUP($E33,武器奇术!$A:$S,19,FALSE)=1,20,0)-VLOOKUP($F$7,目标属性!$A:$R,6,FALSE))&gt;0,($D$9+IF(VLOOKUP($E33,武器奇术!$A:$R,17,FALSE)="裂石",$D$15,0)+IF(VLOOKUP($E33,武器奇术!$A:$R,18,FALSE)=1,4,0)+IF(VLOOKUP($E33,武器奇术!$A:$S,19,FALSE)=1,20,0)-VLOOKUP($F$7,目标属性!$A:$R,6,FALSE))/200,($D$9+IF(VLOOKUP($E33,武器奇术!$A:$R,17,FALSE)="裂石",$D$15,0)+IF(VLOOKUP($E33,武器奇术!$A:$R,18,FALSE)=1,4,0)+IF(VLOOKUP($E33,武器奇术!$A:$S,19,FALSE)=1,20,0)-VLOOKUP($F$7,目标属性!$A:$R,6,FALSE))/100)</f>
        <v>-0.24</v>
      </c>
      <c r="BN33" s="111">
        <f t="shared" si="14"/>
        <v>0</v>
      </c>
      <c r="BO33" s="109">
        <v>1</v>
      </c>
      <c r="BP33" s="112">
        <f>BJ33*IF(VLOOKUP($E33,武器奇术!$A:$R,17,FALSE)="裂石",VLOOKUP($E33,武器奇术!$A:$R,4,FALSE),VLOOKUP($E33,武器奇术!$A:$R,2,FALSE))*(1+BM33)*(1+BN33)*BO33</f>
        <v>0</v>
      </c>
      <c r="BQ33" s="110">
        <f>(1-IF(VLOOKUP($E33,武器奇术!$A:$T,20,FALSE)=1,1,$N33))*(1-$M33)</f>
        <v>0.01072666</v>
      </c>
      <c r="BR33" s="112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10">
        <f t="shared" si="15"/>
        <v>0.8813852</v>
      </c>
      <c r="BT33" s="112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10">
        <f t="shared" si="16"/>
        <v>0.0986</v>
      </c>
      <c r="BV33" s="112">
        <f>BK33*IF(VLOOKUP($E33,武器奇术!$A:$R,17,FALSE)="裂石",VLOOKUP($E33,武器奇术!$A:$R,4,FALSE),VLOOKUP($E33,武器奇术!$A:$R,2,FALSE))*(1+BM33)*(1+BN33)*BO33</f>
        <v>0</v>
      </c>
      <c r="BW33" s="110">
        <f t="shared" si="17"/>
        <v>0.00928814000000003</v>
      </c>
      <c r="BX33" s="113">
        <f t="shared" si="18"/>
        <v>0</v>
      </c>
      <c r="BY33" s="108">
        <f>$B$11*IF($G$5="撼天",1.05,1)+IF(AND(VLOOKUP($E33,武器奇术!$A:$R,15,FALSE)="武器",VLOOKUP($E33,武器奇术!$A:$R,17,FALSE)="牵丝"),$E$3,0)*(1+$E$15)</f>
        <v>0</v>
      </c>
      <c r="BZ33" s="99">
        <f>(BY33+CA33)*IF(VLOOKUP($E33,武器奇术!$A:$Z,21,FALSE)=1,$G$15,0.5)</f>
        <v>0</v>
      </c>
      <c r="CA33" s="109">
        <f>MAX($C$11*IF($G$5="撼天",1.05,1)+IF(AND(VLOOKUP($E33,武器奇术!$A:$R,15,FALSE)="武器",VLOOKUP($E33,武器奇术!$A:$R,17,FALSE)="牵丝"),$E$3*(1+$E$15),0),BY33)</f>
        <v>0</v>
      </c>
      <c r="CB33" s="110">
        <f>IF(($D$11+IF(VLOOKUP($E33,武器奇术!$A:$R,17,FALSE)="牵丝",$D$15,0)+IF(VLOOKUP($E33,武器奇术!$A:$R,18,FALSE)=1,4,0)+IF(VLOOKUP($E33,武器奇术!$A:$S,19,FALSE)=1,20,0)-VLOOKUP($F$7,目标属性!$A:$R,6,FALSE))&gt;0,($D$11+IF(VLOOKUP($E33,武器奇术!$A:$R,17,FALSE)="牵丝",$D$15,0)+IF(VLOOKUP($E33,武器奇术!$A:$R,18,FALSE)=1,4,0)+IF(VLOOKUP($E33,武器奇术!$A:$S,19,FALSE)=1,20,0)-VLOOKUP($F$7,目标属性!$A:$R,6,FALSE))/200,($D$11+IF(VLOOKUP($E33,武器奇术!$A:$R,17,FALSE)="牵丝",$D$15,0)+IF(VLOOKUP($E33,武器奇术!$A:$R,18,FALSE)=1,4,0)+IF(VLOOKUP($E33,武器奇术!$A:$S,19,FALSE)=1,20,0)-VLOOKUP($F$7,目标属性!$A:$R,6,FALSE))/100)</f>
        <v>-0.24</v>
      </c>
      <c r="CC33" s="111">
        <f t="shared" si="19"/>
        <v>0</v>
      </c>
      <c r="CD33" s="109">
        <v>1</v>
      </c>
      <c r="CE33" s="112">
        <f>BY33*IF(VLOOKUP($E33,武器奇术!$A:$R,17,FALSE)="牵丝",VLOOKUP($E33,武器奇术!$A:$R,4,FALSE),VLOOKUP($E33,武器奇术!$A:$R,2,FALSE))*(1+CB33)*(1+CC33)*CD33</f>
        <v>0</v>
      </c>
      <c r="CF33" s="110">
        <f>(1-IF(VLOOKUP($E33,武器奇术!$A:$T,20,FALSE)=1,1,$N33))*(1-$M33)</f>
        <v>0.01072666</v>
      </c>
      <c r="CG33" s="112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110">
        <f t="shared" si="20"/>
        <v>0.8813852</v>
      </c>
      <c r="CI33" s="112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110">
        <f t="shared" si="21"/>
        <v>0.0986</v>
      </c>
      <c r="CK33" s="112">
        <f>BZ33*IF(VLOOKUP($E33,武器奇术!$A:$R,17,FALSE)="牵丝",VLOOKUP($E33,武器奇术!$A:$R,4,FALSE),VLOOKUP($E33,武器奇术!$A:$R,2,FALSE))*(1+CB33)*(1+CC33)*CD33</f>
        <v>0</v>
      </c>
      <c r="CL33" s="110">
        <f t="shared" si="22"/>
        <v>0.00928814000000003</v>
      </c>
      <c r="CM33" s="113">
        <f t="shared" si="23"/>
        <v>0</v>
      </c>
      <c r="CN33" s="108">
        <f>$B$13*IF($G$5="撼天",1.05,1)+IF(AND(VLOOKUP($E33,武器奇术!$A:$R,15,FALSE)="武器",VLOOKUP($E33,武器奇术!$A:$R,17,FALSE)="破竹"),$E$3,0)*(1+$E$15)</f>
        <v>648.46</v>
      </c>
      <c r="CO33" s="99">
        <f>IF(VLOOKUP($E33,武器奇术!$A:$Z,20,FALSE)=1,(CP33-(CN33+CP33)*0.5)*($G$15-0.5)*2+(CN33+CP33)*0.5,(CN33+CP33)*0.5)</f>
        <v>875.26</v>
      </c>
      <c r="CP33" s="109">
        <f>MAX($C$13*IF($G$5="撼天",1.05,1)+IF(AND(VLOOKUP($E33,武器奇术!$A:$R,15,FALSE)="武器",VLOOKUP($E33,武器奇术!$A:$R,17,FALSE)="破竹"),$E$3*(1+$E$15),0),CN33)</f>
        <v>1102.06</v>
      </c>
      <c r="CQ33" s="110">
        <f>IF(($D$13+IF(VLOOKUP($E33,武器奇术!$A:$R,17,FALSE)="破竹",$D$15,0)+IF(VLOOKUP($E33,武器奇术!$A:$R,18,FALSE)=1,4,0)+IF(VLOOKUP($E33,武器奇术!$A:$S,19,FALSE)=1,20,0)-VLOOKUP($F$7,目标属性!$A:$R,6,FALSE))&gt;0,($D$13+IF(VLOOKUP($E33,武器奇术!$A:$R,17,FALSE)="破竹",$D$15,0)+IF(VLOOKUP($E33,武器奇术!$A:$R,18,FALSE)=1,4,0)+IF(VLOOKUP($E33,武器奇术!$A:$S,19,FALSE)=1,20,0)-VLOOKUP($F$7,目标属性!$A:$R,6,FALSE))/200,($D$13+IF(VLOOKUP($E33,武器奇术!$A:$R,17,FALSE)="破竹",$D$15,0)+IF(VLOOKUP($E33,武器奇术!$A:$R,18,FALSE)=1,4,0)+IF(VLOOKUP($E33,武器奇术!$A:$S,19,FALSE)=1,20,0)-VLOOKUP($F$7,目标属性!$A:$R,6,FALSE))/100)</f>
        <v>0.025</v>
      </c>
      <c r="CR33" s="111">
        <f>$E$13+IF(VLOOKUP($E33,武器奇术!$A:$U,21,FALSE)=1,0,0.09)</f>
        <v>0.235</v>
      </c>
      <c r="CS33" s="109">
        <v>1</v>
      </c>
      <c r="CT33" s="112">
        <f>CN33*IF(VLOOKUP($E33,武器奇术!$A:$R,17,FALSE)="破竹",VLOOKUP($E33,武器奇术!$A:$R,4,FALSE),VLOOKUP($E33,武器奇术!$A:$R,2,FALSE))*(1+CQ33)*(1+CR33)*CS33</f>
        <v>1355.00895763675</v>
      </c>
      <c r="CU33" s="110">
        <f>(1-IF(VLOOKUP($E33,武器奇术!$A:$T,20,FALSE)=1,1,$N33))*(1-$M33)</f>
        <v>0.01072666</v>
      </c>
      <c r="CV33" s="112">
        <f>CO33*IF(VLOOKUP($E33,武器奇术!$A:$R,17,FALSE)="破竹",VLOOKUP($E33,武器奇术!$A:$R,4,FALSE),VLOOKUP($E33,武器奇术!$A:$R,2,FALSE))*(1+CQ33)*(1+CR33)*CS33*(1+$E$16+VLOOKUP($E33,武器奇术!$A:$R,8,FALSE))</f>
        <v>2999.43809954087</v>
      </c>
      <c r="CW33" s="110">
        <f t="shared" si="24"/>
        <v>0.8813852</v>
      </c>
      <c r="CX33" s="112">
        <f>CP33*IF(VLOOKUP($E33,武器奇术!$A:$R,17,FALSE)="破竹",VLOOKUP($E33,武器奇术!$A:$R,4,FALSE),VLOOKUP($E33,武器奇术!$A:$R,2,FALSE))*(1+CQ33)*(1+CR33)*CS33*(1+$E$17+VLOOKUP($E33,武器奇术!$A:$R,10,FALSE))</f>
        <v>3108.83721741011</v>
      </c>
      <c r="CY33" s="110">
        <f t="shared" si="25"/>
        <v>0.0986</v>
      </c>
      <c r="CZ33" s="112">
        <f>CO33*IF(VLOOKUP($E33,武器奇术!$A:$R,17,FALSE)="破竹",VLOOKUP($E33,武器奇术!$A:$R,4,FALSE),VLOOKUP($E33,武器奇术!$A:$R,2,FALSE))*(1+CQ33)*(1+CR33)*CS33</f>
        <v>1828.92567045175</v>
      </c>
      <c r="DA33" s="110">
        <f t="shared" si="26"/>
        <v>0.00928814000000003</v>
      </c>
      <c r="DB33" s="113">
        <f t="shared" si="27"/>
        <v>2981.71373695036</v>
      </c>
      <c r="DC33" s="108">
        <f t="shared" si="36"/>
        <v>69.3</v>
      </c>
      <c r="DD33" s="99">
        <f>(DC33+DE33)*IF(VLOOKUP($E33,武器奇术!$A:$Z,21,FALSE)=1,$G$15,0.5)</f>
        <v>69.3</v>
      </c>
      <c r="DE33" s="109">
        <f t="shared" si="37"/>
        <v>69.3</v>
      </c>
      <c r="DF33" s="110">
        <f>IF(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100)</f>
        <v>0.025</v>
      </c>
      <c r="DG33" s="111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U,21,FALSE)=1,0,0.09)</f>
        <v>0.235</v>
      </c>
      <c r="DH33" s="109">
        <v>1</v>
      </c>
      <c r="DI33" s="112">
        <f>DC33*IF(VLOOKUP($E33,武器奇术!$A:$R,17,FALSE)="破竹",VLOOKUP($E33,武器奇术!$A:$R,4,FALSE),VLOOKUP($E33,武器奇术!$A:$R,2,FALSE))*(1+DF33)*(1+DG33)*DH33</f>
        <v>144.80788447125</v>
      </c>
      <c r="DJ33" s="110">
        <f>(1-IF(VLOOKUP($E33,武器奇术!$A:$T,20,FALSE)=1,1,$N33))*(1-$M33)</f>
        <v>0.01072666</v>
      </c>
      <c r="DK33" s="112">
        <f>DD33*IF(VLOOKUP($E33,武器奇术!$A:$R,17,FALSE)="破竹",VLOOKUP($E33,武器奇术!$A:$R,4,FALSE),VLOOKUP($E33,武器奇术!$A:$R,2,FALSE))*(1+DF33)*(1+DG33)*DH33*(1+$E$16+VLOOKUP($E33,武器奇术!$A:$R,8,FALSE))</f>
        <v>237.48493053285</v>
      </c>
      <c r="DL33" s="110">
        <f t="shared" si="28"/>
        <v>0.8813852</v>
      </c>
      <c r="DM33" s="112">
        <f>DE33*IF(VLOOKUP($E33,武器奇术!$A:$R,17,FALSE)="破竹",VLOOKUP($E33,武器奇术!$A:$R,4,FALSE),VLOOKUP($E33,武器奇术!$A:$R,2,FALSE))*(1+DF33)*(1+DG33)*DH33*(1+$E$17+VLOOKUP($E33,武器奇术!$A:$R,10,FALSE))</f>
        <v>195.490644036187</v>
      </c>
      <c r="DN33" s="110">
        <f t="shared" si="29"/>
        <v>0.0986</v>
      </c>
      <c r="DO33" s="112">
        <f>DD33*IF(VLOOKUP($E33,武器奇术!$A:$R,17,FALSE)="破竹",VLOOKUP($E33,武器奇术!$A:$R,4,FALSE),VLOOKUP($E33,武器奇术!$A:$R,2,FALSE))*(1+DF33)*(1+DG33)*DH33</f>
        <v>144.80788447125</v>
      </c>
      <c r="DP33" s="110">
        <f t="shared" si="30"/>
        <v>0.00928814000000003</v>
      </c>
      <c r="DQ33" s="113">
        <f t="shared" si="31"/>
        <v>231.489381342765</v>
      </c>
    </row>
    <row r="34" ht="14.25" spans="2:121">
      <c r="B34" s="95"/>
      <c r="C34" s="96"/>
      <c r="D34" s="97"/>
      <c r="E34" s="98" t="s">
        <v>132</v>
      </c>
      <c r="F34" s="99">
        <v>1</v>
      </c>
      <c r="G34" s="115"/>
      <c r="H34" s="100">
        <f>IF(VLOOKUP($E34,武器奇术!$A:$R,18,FALSE)="天工",AE34,(AE34+AT34+BI34+BX34+CM34+DB34+DQ34))*(1+J34)*F34*K34*(1+G34)</f>
        <v>41596.405622604</v>
      </c>
      <c r="I34" s="101">
        <f t="shared" si="0"/>
        <v>0.00513561344334605</v>
      </c>
      <c r="J34" s="116">
        <f>$F$3+VLOOKUP($E34,武器奇术!$A:$R,12,FALSE)+VLOOKUP($E34,武器奇术!$A:$R,14,FALSE)*$G$3+$P34+IF($F$21="√",5%,0)</f>
        <v>0.523</v>
      </c>
      <c r="K34" s="102">
        <f>VLOOKUP($E34,武器奇术!$A:$R,11,FALSE)</f>
        <v>1</v>
      </c>
      <c r="L34" s="117">
        <f>IF(VLOOKUP($E34,武器奇术!$A:$R,15,FALSE)="天工",0%,IF($C$17+VLOOKUP($E34,武器奇术!$A:$R,7,FALSE)&gt;80%,80%,$C$17+VLOOKUP($E34,武器奇术!$A:$R,7,FALSE))+IF($C$19&gt;20%,20%,$C$19))</f>
        <v>0.892</v>
      </c>
      <c r="M34" s="118">
        <f>IF(VLOOKUP($E34,武器奇术!$A:$R,15,FALSE)="天工",0%,IF($C$18+VLOOKUP($E34,武器奇术!$A:$R,9,FALSE)&gt;40%,40%,$C$18+VLOOKUP($E34,武器奇术!$A:$R,9,FALSE))+IF($C$20&gt;10%,10%,$C$20))</f>
        <v>0.0986</v>
      </c>
      <c r="N34" s="119">
        <f>IF(VLOOKUP($E34,武器奇术!$A:$R,15,FALSE)="天工",100%,MIN($C$16,1))</f>
        <v>0.9881</v>
      </c>
      <c r="O34" s="120" t="str">
        <f>VLOOKUP($E34,武器奇术!$A:$R,16,FALSE)</f>
        <v>拳甲</v>
      </c>
      <c r="P34" s="121">
        <f t="shared" si="32"/>
        <v>0.17</v>
      </c>
      <c r="Q34" s="108">
        <f>$B$5*(1+VLOOKUP($E34,武器奇术!$A:$R,5,FALSE)+IF($G$5="飞隼",0.1,0)+IF($G$5="撼天",0.05,0))-$F$9+IF($I$5="√",160,0)</f>
        <v>1731.135</v>
      </c>
      <c r="R34" s="99">
        <f>IF(VLOOKUP($E34,武器奇术!$A:$Z,20,FALSE)=1,(S34-(Q34+S34)*0.5)*($G$15-0.5)*2+(Q34+S34)*0.5,(Q34+S34)*0.5)</f>
        <v>3256.775</v>
      </c>
      <c r="S34" s="109">
        <f>MAX($C$5,$B$5)*(1+VLOOKUP($E34,武器奇术!$A:$R,5,FALSE)+IF($G$5="飞隼",0.1,0)+IF($G$5="撼天",0.05,0))-$F$9+IF($I$5="√",320,0)</f>
        <v>4782.415</v>
      </c>
      <c r="T34" s="101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U34" s="111">
        <f>$E$5+IF(VLOOKUP($E34,武器奇术!$A:$U,21,FALSE)=1,0,0.09)</f>
        <v>0.115</v>
      </c>
      <c r="V34" s="109">
        <v>1</v>
      </c>
      <c r="W34" s="112">
        <f>Q34*VLOOKUP($E34,武器奇术!$A:$R,2,FALSE)*(1+T34)*(1+U34)*V34</f>
        <v>5854.51393233431</v>
      </c>
      <c r="X34" s="110">
        <f>(1-IF(VLOOKUP($E34,武器奇术!$A:$T,20,FALSE)=1,1,$N34))*(1-$M34)</f>
        <v>0.01072666</v>
      </c>
      <c r="Y34" s="112">
        <f>R34*VLOOKUP($E34,武器奇术!$A:$R,2,FALSE)*(1+T34)*(1+U34)*V34*(1+$E$16+VLOOKUP($E34,武器奇术!$A:$R,8,FALSE))</f>
        <v>18063.0677351241</v>
      </c>
      <c r="Z34" s="110">
        <f t="shared" si="33"/>
        <v>0.8813852</v>
      </c>
      <c r="AA34" s="112">
        <f>S34*VLOOKUP($E34,武器奇术!$A:$R,2,FALSE)*(1+T34)*(1+U34)*V34*(1+$E$17+VLOOKUP($E34,武器奇术!$A:$R,10,FALSE))</f>
        <v>21834.3835601505</v>
      </c>
      <c r="AB34" s="110">
        <f t="shared" si="34"/>
        <v>0.0986</v>
      </c>
      <c r="AC34" s="112">
        <f>R34*VLOOKUP($E34,武器奇术!$A:$R,2,FALSE)*(1+T34)*(1+U34)*V34</f>
        <v>11014.0656921488</v>
      </c>
      <c r="AD34" s="110">
        <f t="shared" si="1"/>
        <v>0.00928814000000003</v>
      </c>
      <c r="AE34" s="113">
        <f t="shared" si="2"/>
        <v>18238.490351902</v>
      </c>
      <c r="AF34" s="114">
        <f>VLOOKUP($E34,武器奇术!$A:$R,3,FALSE)*(1+IF(VLOOKUP($E34,武器奇术!$A:$R,15,FALSE)="武器",$E$15,0))</f>
        <v>877.5</v>
      </c>
      <c r="AG34" s="112">
        <f t="shared" si="3"/>
        <v>877.5</v>
      </c>
      <c r="AH34" s="112">
        <f>VLOOKUP($E34,武器奇术!$A:$R,3,FALSE)*(1+IF(VLOOKUP($E34,武器奇术!$A:$R,15,FALSE)="武器",$E$15,0))</f>
        <v>877.5</v>
      </c>
      <c r="AI34" s="101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AJ34" s="111">
        <f>$E$5+IF(VLOOKUP($E34,武器奇术!$A:$U,21,FALSE)=1,0,0.09)</f>
        <v>0.115</v>
      </c>
      <c r="AK34" s="109">
        <v>1</v>
      </c>
      <c r="AL34" s="112">
        <f t="shared" si="35"/>
        <v>1215.188325</v>
      </c>
      <c r="AM34" s="110">
        <f>(1-IF(VLOOKUP($E34,武器奇术!$A:$T,20,FALSE)=1,1,$N34))*(1-$M34)</f>
        <v>0.01072666</v>
      </c>
      <c r="AN34" s="112">
        <f>AG34*(1+AI34)*(1+AJ34)*AK34*(1+$E$16+VLOOKUP($E34,武器奇术!$A:$R,8,FALSE))</f>
        <v>1992.908853</v>
      </c>
      <c r="AO34" s="110">
        <f t="shared" si="4"/>
        <v>0.8813852</v>
      </c>
      <c r="AP34" s="112">
        <f>AH34*(1+AI34)*(1+AJ34)*AK34*(1+$E$17+VLOOKUP($E34,武器奇术!$A:$R,10,FALSE))</f>
        <v>1640.50423875</v>
      </c>
      <c r="AQ34" s="110">
        <f t="shared" si="5"/>
        <v>0.0986</v>
      </c>
      <c r="AR34" s="112">
        <f t="shared" si="6"/>
        <v>1215.188325</v>
      </c>
      <c r="AS34" s="110">
        <f t="shared" si="7"/>
        <v>0.00928814000000003</v>
      </c>
      <c r="AT34" s="113">
        <f t="shared" si="8"/>
        <v>1942.59583721114</v>
      </c>
      <c r="AU34" s="108">
        <f>$B$7*IF($G$5="撼天",1.05,1)+IF(AND(VLOOKUP($E34,武器奇术!$A:$R,15,FALSE)="武器",VLOOKUP($E34,武器奇术!$A:$R,17,FALSE)="鸣金"),$E$3,0)*(1+$E$15)</f>
        <v>0</v>
      </c>
      <c r="AV34" s="99">
        <f>(AU34+AW34)*IF(VLOOKUP($E34,武器奇术!$A:$Z,21,FALSE)=1,$G$15,0.5)</f>
        <v>0</v>
      </c>
      <c r="AW34" s="109">
        <f>MAX($C$7*IF($G$5="撼天",1.05,1)+IF(AND(VLOOKUP($E34,武器奇术!$A:$R,15,FALSE)="武器",VLOOKUP($E34,武器奇术!$A:$R,17,FALSE)="鸣金"),$E$3*(1+$E$15),0),AU34)</f>
        <v>0</v>
      </c>
      <c r="AX34" s="110">
        <f>IF(($D$7+IF(VLOOKUP($E34,武器奇术!$A:$R,17,FALSE)="鸣金",$D$15,0)+IF(VLOOKUP($E34,武器奇术!$A:$R,18,FALSE)=1,4,0)+IF(VLOOKUP($E34,武器奇术!$A:$S,19,FALSE)=1,20,0)-VLOOKUP($F$7,目标属性!$A:$R,6,FALSE))&gt;0,($D$7+IF(VLOOKUP($E34,武器奇术!$A:$R,17,FALSE)="鸣金",$D$15,0)+IF(VLOOKUP($E34,武器奇术!$A:$R,18,FALSE)=1,4,0)+IF(VLOOKUP($E34,武器奇术!$A:$S,19,FALSE)=1,20,0)-VLOOKUP($F$7,目标属性!$A:$R,6,FALSE))/200,($D$7+IF(VLOOKUP($E34,武器奇术!$A:$R,17,FALSE)="鸣金",$D$15,0)+IF(VLOOKUP($E34,武器奇术!$A:$R,18,FALSE)=1,4,0)+IF(VLOOKUP($E34,武器奇术!$A:$S,19,FALSE)=1,20,0)-VLOOKUP($F$7,目标属性!$A:$R,6,FALSE))/100)</f>
        <v>-0.24</v>
      </c>
      <c r="AY34" s="111">
        <f t="shared" si="9"/>
        <v>0</v>
      </c>
      <c r="AZ34" s="109">
        <v>1</v>
      </c>
      <c r="BA34" s="112">
        <f>AU34*IF(VLOOKUP($E34,武器奇术!$A:$R,17,FALSE)="鸣金",VLOOKUP($E34,武器奇术!$A:$R,4,FALSE),VLOOKUP($E34,武器奇术!$A:$R,2,FALSE))*(1+AX34)*(1+AY34)*AZ34</f>
        <v>0</v>
      </c>
      <c r="BB34" s="110">
        <f>(1-IF(VLOOKUP($E34,武器奇术!$A:$T,20,FALSE)=1,1,$N34))*(1-$M34)</f>
        <v>0.01072666</v>
      </c>
      <c r="BC34" s="112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10">
        <f t="shared" si="10"/>
        <v>0.8813852</v>
      </c>
      <c r="BE34" s="112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10">
        <f t="shared" si="11"/>
        <v>0.0986</v>
      </c>
      <c r="BG34" s="112">
        <f>AV34*IF(VLOOKUP($E34,武器奇术!$A:$R,17,FALSE)="鸣金",VLOOKUP($E34,武器奇术!$A:$R,4,FALSE),VLOOKUP($E34,武器奇术!$A:$R,2,FALSE))*(1+AX34)*(1+AY34)*AZ34</f>
        <v>0</v>
      </c>
      <c r="BH34" s="110">
        <f t="shared" si="12"/>
        <v>0.00928814000000003</v>
      </c>
      <c r="BI34" s="113">
        <f t="shared" si="13"/>
        <v>0</v>
      </c>
      <c r="BJ34" s="108">
        <f>$B$9*IF($G$5="撼天",1.05,1)+IF(AND(VLOOKUP($E34,武器奇术!$A:$R,15,FALSE)="武器",VLOOKUP($E34,武器奇术!$A:$R,17,FALSE)="裂石"),$E$3,0)*(1+$E$15)</f>
        <v>0</v>
      </c>
      <c r="BK34" s="99">
        <f>(BJ34+BL34)*IF(VLOOKUP($E34,武器奇术!$A:$Z,21,FALSE)=1,$G$15,0.5)</f>
        <v>0</v>
      </c>
      <c r="BL34" s="109">
        <f>MAX($C$9*IF($G$5="撼天",1.05,1)+IF(AND(VLOOKUP($E34,武器奇术!$A:$R,15,FALSE)="武器",VLOOKUP($E34,武器奇术!$A:$R,17,FALSE)="裂石"),$E$3*(1+$E$15),0),BJ34)</f>
        <v>0</v>
      </c>
      <c r="BM34" s="110">
        <f>IF(($D$9+IF(VLOOKUP($E34,武器奇术!$A:$R,17,FALSE)="裂石",$D$15,0)+IF(VLOOKUP($E34,武器奇术!$A:$R,18,FALSE)=1,4,0)+IF(VLOOKUP($E34,武器奇术!$A:$S,19,FALSE)=1,20,0)-VLOOKUP($F$7,目标属性!$A:$R,6,FALSE))&gt;0,($D$9+IF(VLOOKUP($E34,武器奇术!$A:$R,17,FALSE)="裂石",$D$15,0)+IF(VLOOKUP($E34,武器奇术!$A:$R,18,FALSE)=1,4,0)+IF(VLOOKUP($E34,武器奇术!$A:$S,19,FALSE)=1,20,0)-VLOOKUP($F$7,目标属性!$A:$R,6,FALSE))/200,($D$9+IF(VLOOKUP($E34,武器奇术!$A:$R,17,FALSE)="裂石",$D$15,0)+IF(VLOOKUP($E34,武器奇术!$A:$R,18,FALSE)=1,4,0)+IF(VLOOKUP($E34,武器奇术!$A:$S,19,FALSE)=1,20,0)-VLOOKUP($F$7,目标属性!$A:$R,6,FALSE))/100)</f>
        <v>-0.24</v>
      </c>
      <c r="BN34" s="111">
        <f t="shared" si="14"/>
        <v>0</v>
      </c>
      <c r="BO34" s="109">
        <v>1</v>
      </c>
      <c r="BP34" s="112">
        <f>BJ34*IF(VLOOKUP($E34,武器奇术!$A:$R,17,FALSE)="裂石",VLOOKUP($E34,武器奇术!$A:$R,4,FALSE),VLOOKUP($E34,武器奇术!$A:$R,2,FALSE))*(1+BM34)*(1+BN34)*BO34</f>
        <v>0</v>
      </c>
      <c r="BQ34" s="110">
        <f>(1-IF(VLOOKUP($E34,武器奇术!$A:$T,20,FALSE)=1,1,$N34))*(1-$M34)</f>
        <v>0.01072666</v>
      </c>
      <c r="BR34" s="112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10">
        <f t="shared" si="15"/>
        <v>0.8813852</v>
      </c>
      <c r="BT34" s="112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10">
        <f t="shared" si="16"/>
        <v>0.0986</v>
      </c>
      <c r="BV34" s="112">
        <f>BK34*IF(VLOOKUP($E34,武器奇术!$A:$R,17,FALSE)="裂石",VLOOKUP($E34,武器奇术!$A:$R,4,FALSE),VLOOKUP($E34,武器奇术!$A:$R,2,FALSE))*(1+BM34)*(1+BN34)*BO34</f>
        <v>0</v>
      </c>
      <c r="BW34" s="110">
        <f t="shared" si="17"/>
        <v>0.00928814000000003</v>
      </c>
      <c r="BX34" s="113">
        <f t="shared" si="18"/>
        <v>0</v>
      </c>
      <c r="BY34" s="108">
        <f>$B$11*IF($G$5="撼天",1.05,1)+IF(AND(VLOOKUP($E34,武器奇术!$A:$R,15,FALSE)="武器",VLOOKUP($E34,武器奇术!$A:$R,17,FALSE)="牵丝"),$E$3,0)*(1+$E$15)</f>
        <v>0</v>
      </c>
      <c r="BZ34" s="99">
        <f>(BY34+CA34)*IF(VLOOKUP($E34,武器奇术!$A:$Z,21,FALSE)=1,$G$15,0.5)</f>
        <v>0</v>
      </c>
      <c r="CA34" s="109">
        <f>MAX($C$11*IF($G$5="撼天",1.05,1)+IF(AND(VLOOKUP($E34,武器奇术!$A:$R,15,FALSE)="武器",VLOOKUP($E34,武器奇术!$A:$R,17,FALSE)="牵丝"),$E$3*(1+$E$15),0),BY34)</f>
        <v>0</v>
      </c>
      <c r="CB34" s="110">
        <f>IF(($D$11+IF(VLOOKUP($E34,武器奇术!$A:$R,17,FALSE)="牵丝",$D$15,0)+IF(VLOOKUP($E34,武器奇术!$A:$R,18,FALSE)=1,4,0)+IF(VLOOKUP($E34,武器奇术!$A:$S,19,FALSE)=1,20,0)-VLOOKUP($F$7,目标属性!$A:$R,6,FALSE))&gt;0,($D$11+IF(VLOOKUP($E34,武器奇术!$A:$R,17,FALSE)="牵丝",$D$15,0)+IF(VLOOKUP($E34,武器奇术!$A:$R,18,FALSE)=1,4,0)+IF(VLOOKUP($E34,武器奇术!$A:$S,19,FALSE)=1,20,0)-VLOOKUP($F$7,目标属性!$A:$R,6,FALSE))/200,($D$11+IF(VLOOKUP($E34,武器奇术!$A:$R,17,FALSE)="牵丝",$D$15,0)+IF(VLOOKUP($E34,武器奇术!$A:$R,18,FALSE)=1,4,0)+IF(VLOOKUP($E34,武器奇术!$A:$S,19,FALSE)=1,20,0)-VLOOKUP($F$7,目标属性!$A:$R,6,FALSE))/100)</f>
        <v>-0.24</v>
      </c>
      <c r="CC34" s="111">
        <f t="shared" si="19"/>
        <v>0</v>
      </c>
      <c r="CD34" s="109">
        <v>1</v>
      </c>
      <c r="CE34" s="112">
        <f>BY34*IF(VLOOKUP($E34,武器奇术!$A:$R,17,FALSE)="牵丝",VLOOKUP($E34,武器奇术!$A:$R,4,FALSE),VLOOKUP($E34,武器奇术!$A:$R,2,FALSE))*(1+CB34)*(1+CC34)*CD34</f>
        <v>0</v>
      </c>
      <c r="CF34" s="110">
        <f>(1-IF(VLOOKUP($E34,武器奇术!$A:$T,20,FALSE)=1,1,$N34))*(1-$M34)</f>
        <v>0.01072666</v>
      </c>
      <c r="CG34" s="112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110">
        <f t="shared" si="20"/>
        <v>0.8813852</v>
      </c>
      <c r="CI34" s="112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110">
        <f t="shared" si="21"/>
        <v>0.0986</v>
      </c>
      <c r="CK34" s="112">
        <f>BZ34*IF(VLOOKUP($E34,武器奇术!$A:$R,17,FALSE)="牵丝",VLOOKUP($E34,武器奇术!$A:$R,4,FALSE),VLOOKUP($E34,武器奇术!$A:$R,2,FALSE))*(1+CB34)*(1+CC34)*CD34</f>
        <v>0</v>
      </c>
      <c r="CL34" s="110">
        <f t="shared" si="22"/>
        <v>0.00928814000000003</v>
      </c>
      <c r="CM34" s="113">
        <f t="shared" si="23"/>
        <v>0</v>
      </c>
      <c r="CN34" s="108">
        <f>$B$13*IF($G$5="撼天",1.05,1)+IF(AND(VLOOKUP($E34,武器奇术!$A:$R,15,FALSE)="武器",VLOOKUP($E34,武器奇术!$A:$R,17,FALSE)="破竹"),$E$3,0)*(1+$E$15)</f>
        <v>648.46</v>
      </c>
      <c r="CO34" s="99">
        <f>IF(VLOOKUP($E34,武器奇术!$A:$Z,20,FALSE)=1,(CP34-(CN34+CP34)*0.5)*($G$15-0.5)*2+(CN34+CP34)*0.5,(CN34+CP34)*0.5)</f>
        <v>875.26</v>
      </c>
      <c r="CP34" s="109">
        <f>MAX($C$13*IF($G$5="撼天",1.05,1)+IF(AND(VLOOKUP($E34,武器奇术!$A:$R,15,FALSE)="武器",VLOOKUP($E34,武器奇术!$A:$R,17,FALSE)="破竹"),$E$3*(1+$E$15),0),CN34)</f>
        <v>1102.06</v>
      </c>
      <c r="CQ34" s="110">
        <f>IF(($D$13+IF(VLOOKUP($E34,武器奇术!$A:$R,17,FALSE)="破竹",$D$15,0)+IF(VLOOKUP($E34,武器奇术!$A:$R,18,FALSE)=1,4,0)+IF(VLOOKUP($E34,武器奇术!$A:$S,19,FALSE)=1,20,0)-VLOOKUP($F$7,目标属性!$A:$R,6,FALSE))&gt;0,($D$13+IF(VLOOKUP($E34,武器奇术!$A:$R,17,FALSE)="破竹",$D$15,0)+IF(VLOOKUP($E34,武器奇术!$A:$R,18,FALSE)=1,4,0)+IF(VLOOKUP($E34,武器奇术!$A:$S,19,FALSE)=1,20,0)-VLOOKUP($F$7,目标属性!$A:$R,6,FALSE))/200,($D$13+IF(VLOOKUP($E34,武器奇术!$A:$R,17,FALSE)="破竹",$D$15,0)+IF(VLOOKUP($E34,武器奇术!$A:$R,18,FALSE)=1,4,0)+IF(VLOOKUP($E34,武器奇术!$A:$S,19,FALSE)=1,20,0)-VLOOKUP($F$7,目标属性!$A:$R,6,FALSE))/100)</f>
        <v>0.025</v>
      </c>
      <c r="CR34" s="111">
        <f>$E$13+IF(VLOOKUP($E34,武器奇术!$A:$U,21,FALSE)=1,0,0.09)</f>
        <v>0.235</v>
      </c>
      <c r="CS34" s="109">
        <v>1</v>
      </c>
      <c r="CT34" s="112">
        <f>CN34*IF(VLOOKUP($E34,武器奇术!$A:$R,17,FALSE)="破竹",VLOOKUP($E34,武器奇术!$A:$R,4,FALSE),VLOOKUP($E34,武器奇术!$A:$R,2,FALSE))*(1+CQ34)*(1+CR34)*CS34</f>
        <v>3007.1726027785</v>
      </c>
      <c r="CU34" s="110">
        <f>(1-IF(VLOOKUP($E34,武器奇术!$A:$T,20,FALSE)=1,1,$N34))*(1-$M34)</f>
        <v>0.01072666</v>
      </c>
      <c r="CV34" s="112">
        <f>CO34*IF(VLOOKUP($E34,武器奇术!$A:$R,17,FALSE)="破竹",VLOOKUP($E34,武器奇术!$A:$R,4,FALSE),VLOOKUP($E34,武器奇术!$A:$R,2,FALSE))*(1+CQ34)*(1+CR34)*CS34*(1+$E$16+VLOOKUP($E34,武器奇术!$A:$R,8,FALSE))</f>
        <v>6656.65568174594</v>
      </c>
      <c r="CW34" s="110">
        <f t="shared" si="24"/>
        <v>0.8813852</v>
      </c>
      <c r="CX34" s="112">
        <f>CP34*IF(VLOOKUP($E34,武器奇术!$A:$R,17,FALSE)="破竹",VLOOKUP($E34,武器奇术!$A:$R,4,FALSE),VLOOKUP($E34,武器奇术!$A:$R,2,FALSE))*(1+CQ34)*(1+CR34)*CS34*(1+$E$17+VLOOKUP($E34,武器奇术!$A:$R,10,FALSE))</f>
        <v>6899.44524278198</v>
      </c>
      <c r="CY34" s="110">
        <f t="shared" si="25"/>
        <v>0.0986</v>
      </c>
      <c r="CZ34" s="112">
        <f>CO34*IF(VLOOKUP($E34,武器奇术!$A:$R,17,FALSE)="破竹",VLOOKUP($E34,武器奇术!$A:$R,4,FALSE),VLOOKUP($E34,武器奇术!$A:$R,2,FALSE))*(1+CQ34)*(1+CR34)*CS34</f>
        <v>4058.9363913085</v>
      </c>
      <c r="DA34" s="110">
        <f t="shared" si="26"/>
        <v>0.00928814000000003</v>
      </c>
      <c r="DB34" s="113">
        <f t="shared" si="27"/>
        <v>6617.31998784997</v>
      </c>
      <c r="DC34" s="108">
        <f t="shared" si="36"/>
        <v>69.3</v>
      </c>
      <c r="DD34" s="99">
        <f>(DC34+DE34)*IF(VLOOKUP($E34,武器奇术!$A:$Z,21,FALSE)=1,$G$15,0.5)</f>
        <v>69.3</v>
      </c>
      <c r="DE34" s="109">
        <f t="shared" si="37"/>
        <v>69.3</v>
      </c>
      <c r="DF34" s="110">
        <f>IF(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100)</f>
        <v>0.025</v>
      </c>
      <c r="DG34" s="111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U,21,FALSE)=1,0,0.09)</f>
        <v>0.235</v>
      </c>
      <c r="DH34" s="109">
        <v>1</v>
      </c>
      <c r="DI34" s="112">
        <f>DC34*IF(VLOOKUP($E34,武器奇术!$A:$R,17,FALSE)="破竹",VLOOKUP($E34,武器奇术!$A:$R,4,FALSE),VLOOKUP($E34,武器奇术!$A:$R,2,FALSE))*(1+DF34)*(1+DG34)*DH34</f>
        <v>321.3722687175</v>
      </c>
      <c r="DJ34" s="110">
        <f>(1-IF(VLOOKUP($E34,武器奇术!$A:$T,20,FALSE)=1,1,$N34))*(1-$M34)</f>
        <v>0.01072666</v>
      </c>
      <c r="DK34" s="112">
        <f>DD34*IF(VLOOKUP($E34,武器奇术!$A:$R,17,FALSE)="破竹",VLOOKUP($E34,武器奇术!$A:$R,4,FALSE),VLOOKUP($E34,武器奇术!$A:$R,2,FALSE))*(1+DF34)*(1+DG34)*DH34*(1+$E$16+VLOOKUP($E34,武器奇术!$A:$R,8,FALSE))</f>
        <v>527.0505206967</v>
      </c>
      <c r="DL34" s="110">
        <f t="shared" si="28"/>
        <v>0.8813852</v>
      </c>
      <c r="DM34" s="112">
        <f>DE34*IF(VLOOKUP($E34,武器奇术!$A:$R,17,FALSE)="破竹",VLOOKUP($E34,武器奇术!$A:$R,4,FALSE),VLOOKUP($E34,武器奇术!$A:$R,2,FALSE))*(1+DF34)*(1+DG34)*DH34*(1+$E$17+VLOOKUP($E34,武器奇术!$A:$R,10,FALSE))</f>
        <v>433.852562768625</v>
      </c>
      <c r="DN34" s="110">
        <f t="shared" si="29"/>
        <v>0.0986</v>
      </c>
      <c r="DO34" s="112">
        <f>DD34*IF(VLOOKUP($E34,武器奇术!$A:$R,17,FALSE)="破竹",VLOOKUP($E34,武器奇术!$A:$R,4,FALSE),VLOOKUP($E34,武器奇术!$A:$R,2,FALSE))*(1+DF34)*(1+DG34)*DH34</f>
        <v>321.3722687175</v>
      </c>
      <c r="DP34" s="110">
        <f t="shared" si="30"/>
        <v>0.00928814000000003</v>
      </c>
      <c r="DQ34" s="113">
        <f t="shared" si="31"/>
        <v>513.744592967279</v>
      </c>
    </row>
    <row r="35" spans="2:121">
      <c r="B35" s="124" t="s">
        <v>133</v>
      </c>
      <c r="C35" s="125">
        <f>C30/C28</f>
        <v>105326.375071904</v>
      </c>
      <c r="D35" s="126"/>
      <c r="E35" s="98" t="s">
        <v>134</v>
      </c>
      <c r="F35" s="99">
        <v>1</v>
      </c>
      <c r="G35" s="115"/>
      <c r="H35" s="100">
        <f>IF(VLOOKUP($E35,武器奇术!$A:$R,18,FALSE)="天工",AE35,(AE35+AT35+BI35+BX35+CM35+DB35+DQ35))*(1+J35)*F35*K35*(1+G35)</f>
        <v>21940.2933760744</v>
      </c>
      <c r="I35" s="101">
        <f t="shared" si="0"/>
        <v>0.0027088125506665</v>
      </c>
      <c r="J35" s="116">
        <f>$F$3+VLOOKUP($E35,武器奇术!$A:$R,12,FALSE)+VLOOKUP($E35,武器奇术!$A:$R,14,FALSE)*$G$3+$P35+IF($F$21="√",5%,0)</f>
        <v>0.523</v>
      </c>
      <c r="K35" s="102">
        <f>VLOOKUP($E35,武器奇术!$A:$R,11,FALSE)</f>
        <v>1</v>
      </c>
      <c r="L35" s="117">
        <f>IF(VLOOKUP($E35,武器奇术!$A:$R,15,FALSE)="天工",0%,IF($C$17+VLOOKUP($E35,武器奇术!$A:$R,7,FALSE)&gt;80%,80%,$C$17+VLOOKUP($E35,武器奇术!$A:$R,7,FALSE))+IF($C$19&gt;20%,20%,$C$19))</f>
        <v>0.892</v>
      </c>
      <c r="M35" s="118">
        <f>IF(VLOOKUP($E35,武器奇术!$A:$R,15,FALSE)="天工",0%,IF($C$18+VLOOKUP($E35,武器奇术!$A:$R,9,FALSE)&gt;40%,40%,$C$18+VLOOKUP($E35,武器奇术!$A:$R,9,FALSE))+IF($C$20&gt;10%,10%,$C$20))</f>
        <v>0.0986</v>
      </c>
      <c r="N35" s="119">
        <f>IF(VLOOKUP($E35,武器奇术!$A:$R,15,FALSE)="天工",100%,MIN($C$16,1))</f>
        <v>0.9881</v>
      </c>
      <c r="O35" s="120" t="str">
        <f>VLOOKUP($E35,武器奇术!$A:$R,16,FALSE)</f>
        <v>拳甲</v>
      </c>
      <c r="P35" s="121">
        <f t="shared" si="32"/>
        <v>0.17</v>
      </c>
      <c r="Q35" s="108">
        <f>$B$5*(1+VLOOKUP($E35,武器奇术!$A:$R,5,FALSE)+IF($G$5="飞隼",0.1,0)+IF($G$5="撼天",0.05,0))-$F$9+IF($I$5="√",160,0)</f>
        <v>1731.135</v>
      </c>
      <c r="R35" s="99">
        <f>IF(VLOOKUP($E35,武器奇术!$A:$Z,20,FALSE)=1,(S35-(Q35+S35)*0.5)*($G$15-0.5)*2+(Q35+S35)*0.5,(Q35+S35)*0.5)</f>
        <v>3256.775</v>
      </c>
      <c r="S35" s="109">
        <f>MAX($C$5,$B$5)*(1+VLOOKUP($E35,武器奇术!$A:$R,5,FALSE)+IF($G$5="飞隼",0.1,0)+IF($G$5="撼天",0.05,0))-$F$9+IF($I$5="√",320,0)</f>
        <v>4782.415</v>
      </c>
      <c r="T35" s="101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U35" s="111">
        <f>$E$5+IF(VLOOKUP($E35,武器奇术!$A:$U,21,FALSE)=1,0,0.09)</f>
        <v>0.115</v>
      </c>
      <c r="V35" s="109">
        <v>1</v>
      </c>
      <c r="W35" s="112">
        <f>Q35*VLOOKUP($E35,武器奇术!$A:$R,2,FALSE)*(1+T35)*(1+U35)*V35</f>
        <v>3086.79912340758</v>
      </c>
      <c r="X35" s="110">
        <f>(1-IF(VLOOKUP($E35,武器奇术!$A:$T,20,FALSE)=1,1,$N35))*(1-$M35)</f>
        <v>0.01072666</v>
      </c>
      <c r="Y35" s="112">
        <f>R35*VLOOKUP($E35,武器奇术!$A:$R,2,FALSE)*(1+T35)*(1+U35)*V35*(1+$E$16+VLOOKUP($E35,武器奇术!$A:$R,8,FALSE))</f>
        <v>9523.77298871699</v>
      </c>
      <c r="Z35" s="110">
        <f t="shared" si="33"/>
        <v>0.8813852</v>
      </c>
      <c r="AA35" s="112">
        <f>S35*VLOOKUP($E35,武器奇术!$A:$R,2,FALSE)*(1+T35)*(1+U35)*V35*(1+$E$17+VLOOKUP($E35,武器奇术!$A:$R,10,FALSE))</f>
        <v>11512.2035428729</v>
      </c>
      <c r="AB35" s="110">
        <f t="shared" si="34"/>
        <v>0.0986</v>
      </c>
      <c r="AC35" s="112">
        <f>R35*VLOOKUP($E35,武器奇术!$A:$R,2,FALSE)*(1+T35)*(1+U35)*V35</f>
        <v>5807.1786516567</v>
      </c>
      <c r="AD35" s="110">
        <f t="shared" si="1"/>
        <v>0.00928814000000003</v>
      </c>
      <c r="AE35" s="113">
        <f t="shared" si="2"/>
        <v>9616.26476274887</v>
      </c>
      <c r="AF35" s="114">
        <f>VLOOKUP($E35,武器奇术!$A:$R,3,FALSE)*(1+IF(VLOOKUP($E35,武器奇术!$A:$R,15,FALSE)="武器",$E$15,0))</f>
        <v>465.4</v>
      </c>
      <c r="AG35" s="112">
        <f t="shared" si="3"/>
        <v>465.4</v>
      </c>
      <c r="AH35" s="112">
        <f>VLOOKUP($E35,武器奇术!$A:$R,3,FALSE)*(1+IF(VLOOKUP($E35,武器奇术!$A:$R,15,FALSE)="武器",$E$15,0))</f>
        <v>465.4</v>
      </c>
      <c r="AI35" s="101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AJ35" s="111">
        <f>$E$5+IF(VLOOKUP($E35,武器奇术!$A:$U,21,FALSE)=1,0,0.09)</f>
        <v>0.115</v>
      </c>
      <c r="AK35" s="109">
        <v>1</v>
      </c>
      <c r="AL35" s="112">
        <f t="shared" si="35"/>
        <v>644.499882</v>
      </c>
      <c r="AM35" s="110">
        <f>(1-IF(VLOOKUP($E35,武器奇术!$A:$T,20,FALSE)=1,1,$N35))*(1-$M35)</f>
        <v>0.01072666</v>
      </c>
      <c r="AN35" s="112">
        <f>AG35*(1+AI35)*(1+AJ35)*AK35*(1+$E$16+VLOOKUP($E35,武器奇术!$A:$R,8,FALSE))</f>
        <v>1056.97980648</v>
      </c>
      <c r="AO35" s="110">
        <f t="shared" si="4"/>
        <v>0.8813852</v>
      </c>
      <c r="AP35" s="112">
        <f>AH35*(1+AI35)*(1+AJ35)*AK35*(1+$E$17+VLOOKUP($E35,武器奇术!$A:$R,10,FALSE))</f>
        <v>870.0748407</v>
      </c>
      <c r="AQ35" s="110">
        <f t="shared" si="5"/>
        <v>0.0986</v>
      </c>
      <c r="AR35" s="112">
        <f t="shared" si="6"/>
        <v>644.499882</v>
      </c>
      <c r="AS35" s="110">
        <f t="shared" si="7"/>
        <v>0.00928814000000003</v>
      </c>
      <c r="AT35" s="113">
        <f t="shared" si="8"/>
        <v>1030.29527366161</v>
      </c>
      <c r="AU35" s="108">
        <f>$B$7*IF($G$5="撼天",1.05,1)+IF(AND(VLOOKUP($E35,武器奇术!$A:$R,15,FALSE)="武器",VLOOKUP($E35,武器奇术!$A:$R,17,FALSE)="鸣金"),$E$3,0)*(1+$E$15)</f>
        <v>0</v>
      </c>
      <c r="AV35" s="99">
        <f>(AU35+AW35)*IF(VLOOKUP($E35,武器奇术!$A:$Z,21,FALSE)=1,$G$15,0.5)</f>
        <v>0</v>
      </c>
      <c r="AW35" s="109">
        <f>MAX($C$7*IF($G$5="撼天",1.05,1)+IF(AND(VLOOKUP($E35,武器奇术!$A:$R,15,FALSE)="武器",VLOOKUP($E35,武器奇术!$A:$R,17,FALSE)="鸣金"),$E$3*(1+$E$15),0),AU35)</f>
        <v>0</v>
      </c>
      <c r="AX35" s="110">
        <f>IF(($D$7+IF(VLOOKUP($E35,武器奇术!$A:$R,17,FALSE)="鸣金",$D$15,0)+IF(VLOOKUP($E35,武器奇术!$A:$R,18,FALSE)=1,4,0)+IF(VLOOKUP($E35,武器奇术!$A:$S,19,FALSE)=1,20,0)-VLOOKUP($F$7,目标属性!$A:$R,6,FALSE))&gt;0,($D$7+IF(VLOOKUP($E35,武器奇术!$A:$R,17,FALSE)="鸣金",$D$15,0)+IF(VLOOKUP($E35,武器奇术!$A:$R,18,FALSE)=1,4,0)+IF(VLOOKUP($E35,武器奇术!$A:$S,19,FALSE)=1,20,0)-VLOOKUP($F$7,目标属性!$A:$R,6,FALSE))/200,($D$7+IF(VLOOKUP($E35,武器奇术!$A:$R,17,FALSE)="鸣金",$D$15,0)+IF(VLOOKUP($E35,武器奇术!$A:$R,18,FALSE)=1,4,0)+IF(VLOOKUP($E35,武器奇术!$A:$S,19,FALSE)=1,20,0)-VLOOKUP($F$7,目标属性!$A:$R,6,FALSE))/100)</f>
        <v>-0.24</v>
      </c>
      <c r="AY35" s="111">
        <f t="shared" si="9"/>
        <v>0</v>
      </c>
      <c r="AZ35" s="109">
        <v>1</v>
      </c>
      <c r="BA35" s="112">
        <f>AU35*IF(VLOOKUP($E35,武器奇术!$A:$R,17,FALSE)="鸣金",VLOOKUP($E35,武器奇术!$A:$R,4,FALSE),VLOOKUP($E35,武器奇术!$A:$R,2,FALSE))*(1+AX35)*(1+AY35)*AZ35</f>
        <v>0</v>
      </c>
      <c r="BB35" s="110">
        <f>(1-IF(VLOOKUP($E35,武器奇术!$A:$T,20,FALSE)=1,1,$N35))*(1-$M35)</f>
        <v>0.01072666</v>
      </c>
      <c r="BC35" s="112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10">
        <f t="shared" si="10"/>
        <v>0.8813852</v>
      </c>
      <c r="BE35" s="112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10">
        <f t="shared" si="11"/>
        <v>0.0986</v>
      </c>
      <c r="BG35" s="112">
        <f>AV35*IF(VLOOKUP($E35,武器奇术!$A:$R,17,FALSE)="鸣金",VLOOKUP($E35,武器奇术!$A:$R,4,FALSE),VLOOKUP($E35,武器奇术!$A:$R,2,FALSE))*(1+AX35)*(1+AY35)*AZ35</f>
        <v>0</v>
      </c>
      <c r="BH35" s="110">
        <f t="shared" si="12"/>
        <v>0.00928814000000003</v>
      </c>
      <c r="BI35" s="113">
        <f t="shared" si="13"/>
        <v>0</v>
      </c>
      <c r="BJ35" s="108">
        <f>$B$9*IF($G$5="撼天",1.05,1)+IF(AND(VLOOKUP($E35,武器奇术!$A:$R,15,FALSE)="武器",VLOOKUP($E35,武器奇术!$A:$R,17,FALSE)="裂石"),$E$3,0)*(1+$E$15)</f>
        <v>0</v>
      </c>
      <c r="BK35" s="99">
        <f>(BJ35+BL35)*IF(VLOOKUP($E35,武器奇术!$A:$Z,21,FALSE)=1,$G$15,0.5)</f>
        <v>0</v>
      </c>
      <c r="BL35" s="109">
        <f>MAX($C$9*IF($G$5="撼天",1.05,1)+IF(AND(VLOOKUP($E35,武器奇术!$A:$R,15,FALSE)="武器",VLOOKUP($E35,武器奇术!$A:$R,17,FALSE)="裂石"),$E$3*(1+$E$15),0),BJ35)</f>
        <v>0</v>
      </c>
      <c r="BM35" s="110">
        <f>IF(($D$9+IF(VLOOKUP($E35,武器奇术!$A:$R,17,FALSE)="裂石",$D$15,0)+IF(VLOOKUP($E35,武器奇术!$A:$R,18,FALSE)=1,4,0)+IF(VLOOKUP($E35,武器奇术!$A:$S,19,FALSE)=1,20,0)-VLOOKUP($F$7,目标属性!$A:$R,6,FALSE))&gt;0,($D$9+IF(VLOOKUP($E35,武器奇术!$A:$R,17,FALSE)="裂石",$D$15,0)+IF(VLOOKUP($E35,武器奇术!$A:$R,18,FALSE)=1,4,0)+IF(VLOOKUP($E35,武器奇术!$A:$S,19,FALSE)=1,20,0)-VLOOKUP($F$7,目标属性!$A:$R,6,FALSE))/200,($D$9+IF(VLOOKUP($E35,武器奇术!$A:$R,17,FALSE)="裂石",$D$15,0)+IF(VLOOKUP($E35,武器奇术!$A:$R,18,FALSE)=1,4,0)+IF(VLOOKUP($E35,武器奇术!$A:$S,19,FALSE)=1,20,0)-VLOOKUP($F$7,目标属性!$A:$R,6,FALSE))/100)</f>
        <v>-0.24</v>
      </c>
      <c r="BN35" s="111">
        <f t="shared" si="14"/>
        <v>0</v>
      </c>
      <c r="BO35" s="109">
        <v>1</v>
      </c>
      <c r="BP35" s="112">
        <f>BJ35*IF(VLOOKUP($E35,武器奇术!$A:$R,17,FALSE)="裂石",VLOOKUP($E35,武器奇术!$A:$R,4,FALSE),VLOOKUP($E35,武器奇术!$A:$R,2,FALSE))*(1+BM35)*(1+BN35)*BO35</f>
        <v>0</v>
      </c>
      <c r="BQ35" s="110">
        <f>(1-IF(VLOOKUP($E35,武器奇术!$A:$T,20,FALSE)=1,1,$N35))*(1-$M35)</f>
        <v>0.01072666</v>
      </c>
      <c r="BR35" s="112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10">
        <f t="shared" si="15"/>
        <v>0.8813852</v>
      </c>
      <c r="BT35" s="112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10">
        <f t="shared" si="16"/>
        <v>0.0986</v>
      </c>
      <c r="BV35" s="112">
        <f>BK35*IF(VLOOKUP($E35,武器奇术!$A:$R,17,FALSE)="裂石",VLOOKUP($E35,武器奇术!$A:$R,4,FALSE),VLOOKUP($E35,武器奇术!$A:$R,2,FALSE))*(1+BM35)*(1+BN35)*BO35</f>
        <v>0</v>
      </c>
      <c r="BW35" s="110">
        <f t="shared" si="17"/>
        <v>0.00928814000000003</v>
      </c>
      <c r="BX35" s="113">
        <f t="shared" si="18"/>
        <v>0</v>
      </c>
      <c r="BY35" s="108">
        <f>$B$11*IF($G$5="撼天",1.05,1)+IF(AND(VLOOKUP($E35,武器奇术!$A:$R,15,FALSE)="武器",VLOOKUP($E35,武器奇术!$A:$R,17,FALSE)="牵丝"),$E$3,0)*(1+$E$15)</f>
        <v>0</v>
      </c>
      <c r="BZ35" s="99">
        <f>(BY35+CA35)*IF(VLOOKUP($E35,武器奇术!$A:$Z,21,FALSE)=1,$G$15,0.5)</f>
        <v>0</v>
      </c>
      <c r="CA35" s="109">
        <f>MAX($C$11*IF($G$5="撼天",1.05,1)+IF(AND(VLOOKUP($E35,武器奇术!$A:$R,15,FALSE)="武器",VLOOKUP($E35,武器奇术!$A:$R,17,FALSE)="牵丝"),$E$3*(1+$E$15),0),BY35)</f>
        <v>0</v>
      </c>
      <c r="CB35" s="110">
        <f>IF(($D$11+IF(VLOOKUP($E35,武器奇术!$A:$R,17,FALSE)="牵丝",$D$15,0)+IF(VLOOKUP($E35,武器奇术!$A:$R,18,FALSE)=1,4,0)+IF(VLOOKUP($E35,武器奇术!$A:$S,19,FALSE)=1,20,0)-VLOOKUP($F$7,目标属性!$A:$R,6,FALSE))&gt;0,($D$11+IF(VLOOKUP($E35,武器奇术!$A:$R,17,FALSE)="牵丝",$D$15,0)+IF(VLOOKUP($E35,武器奇术!$A:$R,18,FALSE)=1,4,0)+IF(VLOOKUP($E35,武器奇术!$A:$S,19,FALSE)=1,20,0)-VLOOKUP($F$7,目标属性!$A:$R,6,FALSE))/200,($D$11+IF(VLOOKUP($E35,武器奇术!$A:$R,17,FALSE)="牵丝",$D$15,0)+IF(VLOOKUP($E35,武器奇术!$A:$R,18,FALSE)=1,4,0)+IF(VLOOKUP($E35,武器奇术!$A:$S,19,FALSE)=1,20,0)-VLOOKUP($F$7,目标属性!$A:$R,6,FALSE))/100)</f>
        <v>-0.24</v>
      </c>
      <c r="CC35" s="111">
        <f t="shared" si="19"/>
        <v>0</v>
      </c>
      <c r="CD35" s="109">
        <v>1</v>
      </c>
      <c r="CE35" s="112">
        <f>BY35*IF(VLOOKUP($E35,武器奇术!$A:$R,17,FALSE)="牵丝",VLOOKUP($E35,武器奇术!$A:$R,4,FALSE),VLOOKUP($E35,武器奇术!$A:$R,2,FALSE))*(1+CB35)*(1+CC35)*CD35</f>
        <v>0</v>
      </c>
      <c r="CF35" s="110">
        <f>(1-IF(VLOOKUP($E35,武器奇术!$A:$T,20,FALSE)=1,1,$N35))*(1-$M35)</f>
        <v>0.01072666</v>
      </c>
      <c r="CG35" s="112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110">
        <f t="shared" si="20"/>
        <v>0.8813852</v>
      </c>
      <c r="CI35" s="112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110">
        <f t="shared" si="21"/>
        <v>0.0986</v>
      </c>
      <c r="CK35" s="112">
        <f>BZ35*IF(VLOOKUP($E35,武器奇术!$A:$R,17,FALSE)="牵丝",VLOOKUP($E35,武器奇术!$A:$R,4,FALSE),VLOOKUP($E35,武器奇术!$A:$R,2,FALSE))*(1+CB35)*(1+CC35)*CD35</f>
        <v>0</v>
      </c>
      <c r="CL35" s="110">
        <f t="shared" si="22"/>
        <v>0.00928814000000003</v>
      </c>
      <c r="CM35" s="113">
        <f t="shared" si="23"/>
        <v>0</v>
      </c>
      <c r="CN35" s="108">
        <f>$B$13*IF($G$5="撼天",1.05,1)+IF(AND(VLOOKUP($E35,武器奇术!$A:$R,15,FALSE)="武器",VLOOKUP($E35,武器奇术!$A:$R,17,FALSE)="破竹"),$E$3,0)*(1+$E$15)</f>
        <v>648.46</v>
      </c>
      <c r="CO35" s="99">
        <f>IF(VLOOKUP($E35,武器奇术!$A:$Z,20,FALSE)=1,(CP35-(CN35+CP35)*0.5)*($G$15-0.5)*2+(CN35+CP35)*0.5,(CN35+CP35)*0.5)</f>
        <v>875.26</v>
      </c>
      <c r="CP35" s="109">
        <f>MAX($C$13*IF($G$5="撼天",1.05,1)+IF(AND(VLOOKUP($E35,武器奇术!$A:$R,15,FALSE)="武器",VLOOKUP($E35,武器奇术!$A:$R,17,FALSE)="破竹"),$E$3*(1+$E$15),0),CN35)</f>
        <v>1102.06</v>
      </c>
      <c r="CQ35" s="110">
        <f>IF(($D$13+IF(VLOOKUP($E35,武器奇术!$A:$R,17,FALSE)="破竹",$D$15,0)+IF(VLOOKUP($E35,武器奇术!$A:$R,18,FALSE)=1,4,0)+IF(VLOOKUP($E35,武器奇术!$A:$S,19,FALSE)=1,20,0)-VLOOKUP($F$7,目标属性!$A:$R,6,FALSE))&gt;0,($D$13+IF(VLOOKUP($E35,武器奇术!$A:$R,17,FALSE)="破竹",$D$15,0)+IF(VLOOKUP($E35,武器奇术!$A:$R,18,FALSE)=1,4,0)+IF(VLOOKUP($E35,武器奇术!$A:$S,19,FALSE)=1,20,0)-VLOOKUP($F$7,目标属性!$A:$R,6,FALSE))/200,($D$13+IF(VLOOKUP($E35,武器奇术!$A:$R,17,FALSE)="破竹",$D$15,0)+IF(VLOOKUP($E35,武器奇术!$A:$R,18,FALSE)=1,4,0)+IF(VLOOKUP($E35,武器奇术!$A:$S,19,FALSE)=1,20,0)-VLOOKUP($F$7,目标属性!$A:$R,6,FALSE))/100)</f>
        <v>0.025</v>
      </c>
      <c r="CR35" s="111">
        <f>$E$13+IF(VLOOKUP($E35,武器奇术!$A:$U,21,FALSE)=1,0,0.09)</f>
        <v>0.235</v>
      </c>
      <c r="CS35" s="109">
        <v>1</v>
      </c>
      <c r="CT35" s="112">
        <f>CN35*IF(VLOOKUP($E35,武器奇术!$A:$R,17,FALSE)="破竹",VLOOKUP($E35,武器奇术!$A:$R,4,FALSE),VLOOKUP($E35,武器奇术!$A:$R,2,FALSE))*(1+CQ35)*(1+CR35)*CS35</f>
        <v>1585.34488391825</v>
      </c>
      <c r="CU35" s="110">
        <f>(1-IF(VLOOKUP($E35,武器奇术!$A:$T,20,FALSE)=1,1,$N35))*(1-$M35)</f>
        <v>0.01072666</v>
      </c>
      <c r="CV35" s="112">
        <f>CO35*IF(VLOOKUP($E35,武器奇术!$A:$R,17,FALSE)="破竹",VLOOKUP($E35,武器奇术!$A:$R,4,FALSE),VLOOKUP($E35,武器奇术!$A:$R,2,FALSE))*(1+CQ35)*(1+CR35)*CS35*(1+$E$16+VLOOKUP($E35,武器奇术!$A:$R,8,FALSE))</f>
        <v>3509.30805212533</v>
      </c>
      <c r="CW35" s="110">
        <f t="shared" si="24"/>
        <v>0.8813852</v>
      </c>
      <c r="CX35" s="112">
        <f>CP35*IF(VLOOKUP($E35,武器奇术!$A:$R,17,FALSE)="破竹",VLOOKUP($E35,武器奇术!$A:$R,4,FALSE),VLOOKUP($E35,武器奇术!$A:$R,2,FALSE))*(1+CQ35)*(1+CR35)*CS35*(1+$E$17+VLOOKUP($E35,武器奇术!$A:$R,10,FALSE))</f>
        <v>3637.30376081914</v>
      </c>
      <c r="CY35" s="110">
        <f t="shared" si="25"/>
        <v>0.0986</v>
      </c>
      <c r="CZ35" s="112">
        <f>CO35*IF(VLOOKUP($E35,武器奇术!$A:$R,17,FALSE)="破竹",VLOOKUP($E35,武器奇术!$A:$R,4,FALSE),VLOOKUP($E35,武器奇术!$A:$R,2,FALSE))*(1+CQ35)*(1+CR35)*CS35</f>
        <v>2139.82198300325</v>
      </c>
      <c r="DA35" s="110">
        <f t="shared" si="26"/>
        <v>0.00928814000000003</v>
      </c>
      <c r="DB35" s="113">
        <f t="shared" si="27"/>
        <v>3488.5707519066</v>
      </c>
      <c r="DC35" s="108">
        <f t="shared" si="36"/>
        <v>69.3</v>
      </c>
      <c r="DD35" s="99">
        <f>(DC35+DE35)*IF(VLOOKUP($E35,武器奇术!$A:$Z,21,FALSE)=1,$G$15,0.5)</f>
        <v>69.3</v>
      </c>
      <c r="DE35" s="109">
        <f t="shared" si="37"/>
        <v>69.3</v>
      </c>
      <c r="DF35" s="110">
        <f>IF(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100)</f>
        <v>0.025</v>
      </c>
      <c r="DG35" s="111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U,21,FALSE)=1,0,0.09)</f>
        <v>0.235</v>
      </c>
      <c r="DH35" s="109">
        <v>1</v>
      </c>
      <c r="DI35" s="112">
        <f>DC35*IF(VLOOKUP($E35,武器奇术!$A:$R,17,FALSE)="破竹",VLOOKUP($E35,武器奇术!$A:$R,4,FALSE),VLOOKUP($E35,武器奇术!$A:$R,2,FALSE))*(1+DF35)*(1+DG35)*DH35</f>
        <v>169.42355805375</v>
      </c>
      <c r="DJ35" s="110">
        <f>(1-IF(VLOOKUP($E35,武器奇术!$A:$T,20,FALSE)=1,1,$N35))*(1-$M35)</f>
        <v>0.01072666</v>
      </c>
      <c r="DK35" s="112">
        <f>DD35*IF(VLOOKUP($E35,武器奇术!$A:$R,17,FALSE)="破竹",VLOOKUP($E35,武器奇术!$A:$R,4,FALSE),VLOOKUP($E35,武器奇术!$A:$R,2,FALSE))*(1+DF35)*(1+DG35)*DH35*(1+$E$16+VLOOKUP($E35,武器奇术!$A:$R,8,FALSE))</f>
        <v>277.85463520815</v>
      </c>
      <c r="DL35" s="110">
        <f t="shared" si="28"/>
        <v>0.8813852</v>
      </c>
      <c r="DM35" s="112">
        <f>DE35*IF(VLOOKUP($E35,武器奇术!$A:$R,17,FALSE)="破竹",VLOOKUP($E35,武器奇术!$A:$R,4,FALSE),VLOOKUP($E35,武器奇术!$A:$R,2,FALSE))*(1+DF35)*(1+DG35)*DH35*(1+$E$17+VLOOKUP($E35,武器奇术!$A:$R,10,FALSE))</f>
        <v>228.721803372562</v>
      </c>
      <c r="DN35" s="110">
        <f t="shared" si="29"/>
        <v>0.0986</v>
      </c>
      <c r="DO35" s="112">
        <f>DD35*IF(VLOOKUP($E35,武器奇术!$A:$R,17,FALSE)="破竹",VLOOKUP($E35,武器奇术!$A:$R,4,FALSE),VLOOKUP($E35,武器奇术!$A:$R,2,FALSE))*(1+DF35)*(1+DG35)*DH35</f>
        <v>169.42355805375</v>
      </c>
      <c r="DP35" s="110">
        <f t="shared" si="30"/>
        <v>0.00928814000000003</v>
      </c>
      <c r="DQ35" s="113">
        <f t="shared" si="31"/>
        <v>270.839911666131</v>
      </c>
    </row>
    <row r="36" spans="2:121">
      <c r="B36" s="127"/>
      <c r="C36" s="128"/>
      <c r="D36" s="129"/>
      <c r="E36" s="98" t="s">
        <v>135</v>
      </c>
      <c r="F36" s="99">
        <v>1</v>
      </c>
      <c r="G36" s="115"/>
      <c r="H36" s="100">
        <f>IF(VLOOKUP($E36,武器奇术!$A:$R,18,FALSE)="天工",AE36,(AE36+AT36+BI36+BX36+CM36+DB36+DQ36))*(1+J36)*F36*K36*(1+G36)</f>
        <v>48730.8266125615</v>
      </c>
      <c r="I36" s="101">
        <f t="shared" si="0"/>
        <v>0.00601644984731181</v>
      </c>
      <c r="J36" s="116">
        <f>$F$3+VLOOKUP($E36,武器奇术!$A:$R,12,FALSE)+VLOOKUP($E36,武器奇术!$A:$R,14,FALSE)*$G$3+$P36+IF($F$21="√",5%,0)</f>
        <v>0.823</v>
      </c>
      <c r="K36" s="102">
        <f>VLOOKUP($E36,武器奇术!$A:$R,11,FALSE)</f>
        <v>1</v>
      </c>
      <c r="L36" s="117">
        <f>IF(VLOOKUP($E36,武器奇术!$A:$R,15,FALSE)="天工",0%,IF($C$17+VLOOKUP($E36,武器奇术!$A:$R,7,FALSE)&gt;80%,80%,$C$17+VLOOKUP($E36,武器奇术!$A:$R,7,FALSE))+IF($C$19&gt;20%,20%,$C$19))</f>
        <v>0.892</v>
      </c>
      <c r="M36" s="118">
        <f>IF(VLOOKUP($E36,武器奇术!$A:$R,15,FALSE)="天工",0%,IF($C$18+VLOOKUP($E36,武器奇术!$A:$R,9,FALSE)&gt;40%,40%,$C$18+VLOOKUP($E36,武器奇术!$A:$R,9,FALSE))+IF($C$20&gt;10%,10%,$C$20))</f>
        <v>0.0986</v>
      </c>
      <c r="N36" s="119">
        <f>IF(VLOOKUP($E36,武器奇术!$A:$R,15,FALSE)="天工",100%,MIN($C$16,1))</f>
        <v>0.9881</v>
      </c>
      <c r="O36" s="120" t="str">
        <f>VLOOKUP($E36,武器奇术!$A:$R,16,FALSE)</f>
        <v>拳甲</v>
      </c>
      <c r="P36" s="121">
        <f t="shared" si="32"/>
        <v>0.17</v>
      </c>
      <c r="Q36" s="108">
        <f>$B$5*(1+VLOOKUP($E36,武器奇术!$A:$R,5,FALSE)+IF($G$5="飞隼",0.1,0)+IF($G$5="撼天",0.05,0))-$F$9+IF($I$5="√",160,0)</f>
        <v>1731.135</v>
      </c>
      <c r="R36" s="99">
        <f>IF(VLOOKUP($E36,武器奇术!$A:$Z,20,FALSE)=1,(S36-(Q36+S36)*0.5)*($G$15-0.5)*2+(Q36+S36)*0.5,(Q36+S36)*0.5)</f>
        <v>3256.775</v>
      </c>
      <c r="S36" s="109">
        <f>MAX($C$5,$B$5)*(1+VLOOKUP($E36,武器奇术!$A:$R,5,FALSE)+IF($G$5="飞隼",0.1,0)+IF($G$5="撼天",0.05,0))-$F$9+IF($I$5="√",320,0)</f>
        <v>4782.415</v>
      </c>
      <c r="T36" s="101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U36" s="111">
        <f>$E$5+IF(VLOOKUP($E36,武器奇术!$A:$U,21,FALSE)=1,0,0.09)</f>
        <v>0.115</v>
      </c>
      <c r="V36" s="109">
        <v>1</v>
      </c>
      <c r="W36" s="112">
        <f>Q36*VLOOKUP($E36,武器奇术!$A:$R,2,FALSE)*(1+T36)*(1+U36)*V36</f>
        <v>5595.154346628</v>
      </c>
      <c r="X36" s="110">
        <f>(1-IF(VLOOKUP($E36,武器奇术!$A:$T,20,FALSE)=1,1,$N36))*(1-$M36)</f>
        <v>0.01072666</v>
      </c>
      <c r="Y36" s="112">
        <f>R36*VLOOKUP($E36,武器奇术!$A:$R,2,FALSE)*(1+T36)*(1+U36)*V36*(1+$E$16+VLOOKUP($E36,武器奇术!$A:$R,8,FALSE))</f>
        <v>20420.6997528468</v>
      </c>
      <c r="Z36" s="110">
        <f t="shared" si="33"/>
        <v>0.8813852</v>
      </c>
      <c r="AA36" s="112">
        <f>S36*VLOOKUP($E36,武器奇术!$A:$R,2,FALSE)*(1+T36)*(1+U36)*V36*(1+$E$17+VLOOKUP($E36,武器奇术!$A:$R,10,FALSE))</f>
        <v>20867.1031437462</v>
      </c>
      <c r="AB36" s="110">
        <f t="shared" si="34"/>
        <v>0.0986</v>
      </c>
      <c r="AC36" s="112">
        <f>R36*VLOOKUP($E36,武器奇术!$A:$R,2,FALSE)*(1+T36)*(1+U36)*V36</f>
        <v>10526.13389322</v>
      </c>
      <c r="AD36" s="110">
        <f t="shared" si="1"/>
        <v>0.00928814000000003</v>
      </c>
      <c r="AE36" s="113">
        <f t="shared" si="2"/>
        <v>20213.784429359</v>
      </c>
      <c r="AF36" s="114">
        <f>VLOOKUP($E36,武器奇术!$A:$R,3,FALSE)*(1+IF(VLOOKUP($E36,武器奇术!$A:$R,15,FALSE)="武器",$E$15,0))</f>
        <v>0</v>
      </c>
      <c r="AG36" s="112">
        <f t="shared" si="3"/>
        <v>0</v>
      </c>
      <c r="AH36" s="112">
        <f>VLOOKUP($E36,武器奇术!$A:$R,3,FALSE)*(1+IF(VLOOKUP($E36,武器奇术!$A:$R,15,FALSE)="武器",$E$15,0))</f>
        <v>0</v>
      </c>
      <c r="AI36" s="101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AJ36" s="111">
        <f>$E$5+IF(VLOOKUP($E36,武器奇术!$A:$U,21,FALSE)=1,0,0.09)</f>
        <v>0.115</v>
      </c>
      <c r="AK36" s="109">
        <v>1</v>
      </c>
      <c r="AL36" s="112">
        <f t="shared" si="35"/>
        <v>0</v>
      </c>
      <c r="AM36" s="110">
        <f>(1-IF(VLOOKUP($E36,武器奇术!$A:$T,20,FALSE)=1,1,$N36))*(1-$M36)</f>
        <v>0.01072666</v>
      </c>
      <c r="AN36" s="112">
        <f>AG36*(1+AI36)*(1+AJ36)*AK36*(1+$E$16+VLOOKUP($E36,武器奇术!$A:$R,8,FALSE))</f>
        <v>0</v>
      </c>
      <c r="AO36" s="110">
        <f t="shared" si="4"/>
        <v>0.8813852</v>
      </c>
      <c r="AP36" s="112">
        <f>AH36*(1+AI36)*(1+AJ36)*AK36*(1+$E$17+VLOOKUP($E36,武器奇术!$A:$R,10,FALSE))</f>
        <v>0</v>
      </c>
      <c r="AQ36" s="110">
        <f t="shared" si="5"/>
        <v>0.0986</v>
      </c>
      <c r="AR36" s="112">
        <f t="shared" si="6"/>
        <v>0</v>
      </c>
      <c r="AS36" s="110">
        <f t="shared" si="7"/>
        <v>0.00928814000000003</v>
      </c>
      <c r="AT36" s="113">
        <f t="shared" si="8"/>
        <v>0</v>
      </c>
      <c r="AU36" s="108">
        <f>$B$7*IF($G$5="撼天",1.05,1)+IF(AND(VLOOKUP($E36,武器奇术!$A:$R,15,FALSE)="武器",VLOOKUP($E36,武器奇术!$A:$R,17,FALSE)="鸣金"),$E$3,0)*(1+$E$15)</f>
        <v>0</v>
      </c>
      <c r="AV36" s="99">
        <f>(AU36+AW36)*IF(VLOOKUP($E36,武器奇术!$A:$Z,21,FALSE)=1,$G$15,0.5)</f>
        <v>0</v>
      </c>
      <c r="AW36" s="109">
        <f>MAX($C$7*IF($G$5="撼天",1.05,1)+IF(AND(VLOOKUP($E36,武器奇术!$A:$R,15,FALSE)="武器",VLOOKUP($E36,武器奇术!$A:$R,17,FALSE)="鸣金"),$E$3*(1+$E$15),0),AU36)</f>
        <v>0</v>
      </c>
      <c r="AX36" s="110">
        <f>IF(($D$7+IF(VLOOKUP($E36,武器奇术!$A:$R,17,FALSE)="鸣金",$D$15,0)+IF(VLOOKUP($E36,武器奇术!$A:$R,18,FALSE)=1,4,0)+IF(VLOOKUP($E36,武器奇术!$A:$S,19,FALSE)=1,20,0)-VLOOKUP($F$7,目标属性!$A:$R,6,FALSE))&gt;0,($D$7+IF(VLOOKUP($E36,武器奇术!$A:$R,17,FALSE)="鸣金",$D$15,0)+IF(VLOOKUP($E36,武器奇术!$A:$R,18,FALSE)=1,4,0)+IF(VLOOKUP($E36,武器奇术!$A:$S,19,FALSE)=1,20,0)-VLOOKUP($F$7,目标属性!$A:$R,6,FALSE))/200,($D$7+IF(VLOOKUP($E36,武器奇术!$A:$R,17,FALSE)="鸣金",$D$15,0)+IF(VLOOKUP($E36,武器奇术!$A:$R,18,FALSE)=1,4,0)+IF(VLOOKUP($E36,武器奇术!$A:$S,19,FALSE)=1,20,0)-VLOOKUP($F$7,目标属性!$A:$R,6,FALSE))/100)</f>
        <v>0</v>
      </c>
      <c r="AY36" s="111">
        <f t="shared" si="9"/>
        <v>0</v>
      </c>
      <c r="AZ36" s="109">
        <v>1</v>
      </c>
      <c r="BA36" s="112">
        <f>AU36*IF(VLOOKUP($E36,武器奇术!$A:$R,17,FALSE)="鸣金",VLOOKUP($E36,武器奇术!$A:$R,4,FALSE),VLOOKUP($E36,武器奇术!$A:$R,2,FALSE))*(1+AX36)*(1+AY36)*AZ36</f>
        <v>0</v>
      </c>
      <c r="BB36" s="110">
        <f>(1-IF(VLOOKUP($E36,武器奇术!$A:$T,20,FALSE)=1,1,$N36))*(1-$M36)</f>
        <v>0.01072666</v>
      </c>
      <c r="BC36" s="112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10">
        <f t="shared" si="10"/>
        <v>0.8813852</v>
      </c>
      <c r="BE36" s="112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10">
        <f t="shared" si="11"/>
        <v>0.0986</v>
      </c>
      <c r="BG36" s="112">
        <f>AV36*IF(VLOOKUP($E36,武器奇术!$A:$R,17,FALSE)="鸣金",VLOOKUP($E36,武器奇术!$A:$R,4,FALSE),VLOOKUP($E36,武器奇术!$A:$R,2,FALSE))*(1+AX36)*(1+AY36)*AZ36</f>
        <v>0</v>
      </c>
      <c r="BH36" s="110">
        <f t="shared" si="12"/>
        <v>0.00928814000000003</v>
      </c>
      <c r="BI36" s="113">
        <f t="shared" si="13"/>
        <v>0</v>
      </c>
      <c r="BJ36" s="108">
        <f>$B$9*IF($G$5="撼天",1.05,1)+IF(AND(VLOOKUP($E36,武器奇术!$A:$R,15,FALSE)="武器",VLOOKUP($E36,武器奇术!$A:$R,17,FALSE)="裂石"),$E$3,0)*(1+$E$15)</f>
        <v>0</v>
      </c>
      <c r="BK36" s="99">
        <f>(BJ36+BL36)*IF(VLOOKUP($E36,武器奇术!$A:$Z,21,FALSE)=1,$G$15,0.5)</f>
        <v>0</v>
      </c>
      <c r="BL36" s="109">
        <f>MAX($C$9*IF($G$5="撼天",1.05,1)+IF(AND(VLOOKUP($E36,武器奇术!$A:$R,15,FALSE)="武器",VLOOKUP($E36,武器奇术!$A:$R,17,FALSE)="裂石"),$E$3*(1+$E$15),0),BJ36)</f>
        <v>0</v>
      </c>
      <c r="BM36" s="110">
        <f>IF(($D$9+IF(VLOOKUP($E36,武器奇术!$A:$R,17,FALSE)="裂石",$D$15,0)+IF(VLOOKUP($E36,武器奇术!$A:$R,18,FALSE)=1,4,0)+IF(VLOOKUP($E36,武器奇术!$A:$S,19,FALSE)=1,20,0)-VLOOKUP($F$7,目标属性!$A:$R,6,FALSE))&gt;0,($D$9+IF(VLOOKUP($E36,武器奇术!$A:$R,17,FALSE)="裂石",$D$15,0)+IF(VLOOKUP($E36,武器奇术!$A:$R,18,FALSE)=1,4,0)+IF(VLOOKUP($E36,武器奇术!$A:$S,19,FALSE)=1,20,0)-VLOOKUP($F$7,目标属性!$A:$R,6,FALSE))/200,($D$9+IF(VLOOKUP($E36,武器奇术!$A:$R,17,FALSE)="裂石",$D$15,0)+IF(VLOOKUP($E36,武器奇术!$A:$R,18,FALSE)=1,4,0)+IF(VLOOKUP($E36,武器奇术!$A:$S,19,FALSE)=1,20,0)-VLOOKUP($F$7,目标属性!$A:$R,6,FALSE))/100)</f>
        <v>0</v>
      </c>
      <c r="BN36" s="111">
        <f t="shared" si="14"/>
        <v>0</v>
      </c>
      <c r="BO36" s="109">
        <v>1</v>
      </c>
      <c r="BP36" s="112">
        <f>BJ36*IF(VLOOKUP($E36,武器奇术!$A:$R,17,FALSE)="裂石",VLOOKUP($E36,武器奇术!$A:$R,4,FALSE),VLOOKUP($E36,武器奇术!$A:$R,2,FALSE))*(1+BM36)*(1+BN36)*BO36</f>
        <v>0</v>
      </c>
      <c r="BQ36" s="110">
        <f>(1-IF(VLOOKUP($E36,武器奇术!$A:$T,20,FALSE)=1,1,$N36))*(1-$M36)</f>
        <v>0.01072666</v>
      </c>
      <c r="BR36" s="112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10">
        <f t="shared" si="15"/>
        <v>0.8813852</v>
      </c>
      <c r="BT36" s="112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10">
        <f t="shared" si="16"/>
        <v>0.0986</v>
      </c>
      <c r="BV36" s="112">
        <f>BK36*IF(VLOOKUP($E36,武器奇术!$A:$R,17,FALSE)="裂石",VLOOKUP($E36,武器奇术!$A:$R,4,FALSE),VLOOKUP($E36,武器奇术!$A:$R,2,FALSE))*(1+BM36)*(1+BN36)*BO36</f>
        <v>0</v>
      </c>
      <c r="BW36" s="110">
        <f t="shared" si="17"/>
        <v>0.00928814000000003</v>
      </c>
      <c r="BX36" s="113">
        <f t="shared" si="18"/>
        <v>0</v>
      </c>
      <c r="BY36" s="108">
        <f>$B$11*IF($G$5="撼天",1.05,1)+IF(AND(VLOOKUP($E36,武器奇术!$A:$R,15,FALSE)="武器",VLOOKUP($E36,武器奇术!$A:$R,17,FALSE)="牵丝"),$E$3,0)*(1+$E$15)</f>
        <v>0</v>
      </c>
      <c r="BZ36" s="99">
        <f>(BY36+CA36)*IF(VLOOKUP($E36,武器奇术!$A:$Z,21,FALSE)=1,$G$15,0.5)</f>
        <v>0</v>
      </c>
      <c r="CA36" s="109">
        <f>MAX($C$11*IF($G$5="撼天",1.05,1)+IF(AND(VLOOKUP($E36,武器奇术!$A:$R,15,FALSE)="武器",VLOOKUP($E36,武器奇术!$A:$R,17,FALSE)="牵丝"),$E$3*(1+$E$15),0),BY36)</f>
        <v>0</v>
      </c>
      <c r="CB36" s="110">
        <f>IF(($D$11+IF(VLOOKUP($E36,武器奇术!$A:$R,17,FALSE)="牵丝",$D$15,0)+IF(VLOOKUP($E36,武器奇术!$A:$R,18,FALSE)=1,4,0)+IF(VLOOKUP($E36,武器奇术!$A:$S,19,FALSE)=1,20,0)-VLOOKUP($F$7,目标属性!$A:$R,6,FALSE))&gt;0,($D$11+IF(VLOOKUP($E36,武器奇术!$A:$R,17,FALSE)="牵丝",$D$15,0)+IF(VLOOKUP($E36,武器奇术!$A:$R,18,FALSE)=1,4,0)+IF(VLOOKUP($E36,武器奇术!$A:$S,19,FALSE)=1,20,0)-VLOOKUP($F$7,目标属性!$A:$R,6,FALSE))/200,($D$11+IF(VLOOKUP($E36,武器奇术!$A:$R,17,FALSE)="牵丝",$D$15,0)+IF(VLOOKUP($E36,武器奇术!$A:$R,18,FALSE)=1,4,0)+IF(VLOOKUP($E36,武器奇术!$A:$S,19,FALSE)=1,20,0)-VLOOKUP($F$7,目标属性!$A:$R,6,FALSE))/100)</f>
        <v>0</v>
      </c>
      <c r="CC36" s="111">
        <f t="shared" si="19"/>
        <v>0</v>
      </c>
      <c r="CD36" s="109">
        <v>1</v>
      </c>
      <c r="CE36" s="112">
        <f>BY36*IF(VLOOKUP($E36,武器奇术!$A:$R,17,FALSE)="牵丝",VLOOKUP($E36,武器奇术!$A:$R,4,FALSE),VLOOKUP($E36,武器奇术!$A:$R,2,FALSE))*(1+CB36)*(1+CC36)*CD36</f>
        <v>0</v>
      </c>
      <c r="CF36" s="110">
        <f>(1-IF(VLOOKUP($E36,武器奇术!$A:$T,20,FALSE)=1,1,$N36))*(1-$M36)</f>
        <v>0.01072666</v>
      </c>
      <c r="CG36" s="112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110">
        <f t="shared" si="20"/>
        <v>0.8813852</v>
      </c>
      <c r="CI36" s="112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110">
        <f t="shared" si="21"/>
        <v>0.0986</v>
      </c>
      <c r="CK36" s="112">
        <f>BZ36*IF(VLOOKUP($E36,武器奇术!$A:$R,17,FALSE)="牵丝",VLOOKUP($E36,武器奇术!$A:$R,4,FALSE),VLOOKUP($E36,武器奇术!$A:$R,2,FALSE))*(1+CB36)*(1+CC36)*CD36</f>
        <v>0</v>
      </c>
      <c r="CL36" s="110">
        <f t="shared" si="22"/>
        <v>0.00928814000000003</v>
      </c>
      <c r="CM36" s="113">
        <f t="shared" si="23"/>
        <v>0</v>
      </c>
      <c r="CN36" s="108">
        <f>$B$13*IF($G$5="撼天",1.05,1)+IF(AND(VLOOKUP($E36,武器奇术!$A:$R,15,FALSE)="武器",VLOOKUP($E36,武器奇术!$A:$R,17,FALSE)="破竹"),$E$3,0)*(1+$E$15)</f>
        <v>452.55</v>
      </c>
      <c r="CO36" s="99">
        <f>IF(VLOOKUP($E36,武器奇术!$A:$Z,20,FALSE)=1,(CP36-(CN36+CP36)*0.5)*($G$15-0.5)*2+(CN36+CP36)*0.5,(CN36+CP36)*0.5)</f>
        <v>679.35</v>
      </c>
      <c r="CP36" s="109">
        <f>MAX($C$13*IF($G$5="撼天",1.05,1)+IF(AND(VLOOKUP($E36,武器奇术!$A:$R,15,FALSE)="武器",VLOOKUP($E36,武器奇术!$A:$R,17,FALSE)="破竹"),$E$3*(1+$E$15),0),CN36)</f>
        <v>906.15</v>
      </c>
      <c r="CQ36" s="110">
        <f>IF(($D$13+IF(VLOOKUP($E36,武器奇术!$A:$R,17,FALSE)="破竹",$D$15,0)+IF(VLOOKUP($E36,武器奇术!$A:$R,18,FALSE)=1,4,0)+IF(VLOOKUP($E36,武器奇术!$A:$S,19,FALSE)=1,20,0)-VLOOKUP($F$7,目标属性!$A:$R,6,FALSE))&gt;0,($D$13+IF(VLOOKUP($E36,武器奇术!$A:$R,17,FALSE)="破竹",$D$15,0)+IF(VLOOKUP($E36,武器奇术!$A:$R,18,FALSE)=1,4,0)+IF(VLOOKUP($E36,武器奇术!$A:$S,19,FALSE)=1,20,0)-VLOOKUP($F$7,目标属性!$A:$R,6,FALSE))/200,($D$13+IF(VLOOKUP($E36,武器奇术!$A:$R,17,FALSE)="破竹",$D$15,0)+IF(VLOOKUP($E36,武器奇术!$A:$R,18,FALSE)=1,4,0)+IF(VLOOKUP($E36,武器奇术!$A:$S,19,FALSE)=1,20,0)-VLOOKUP($F$7,目标属性!$A:$R,6,FALSE))/100)</f>
        <v>0.145</v>
      </c>
      <c r="CR36" s="111">
        <f>$E$13+IF(VLOOKUP($E36,武器奇术!$A:$U,21,FALSE)=1,0,0.09)</f>
        <v>0.235</v>
      </c>
      <c r="CS36" s="109">
        <v>1</v>
      </c>
      <c r="CT36" s="112">
        <f>CN36*IF(VLOOKUP($E36,武器奇术!$A:$R,17,FALSE)="破竹",VLOOKUP($E36,武器奇术!$A:$R,4,FALSE),VLOOKUP($E36,武器奇术!$A:$R,2,FALSE))*(1+CQ36)*(1+CR36)*CS36</f>
        <v>2073.40443765</v>
      </c>
      <c r="CU36" s="110">
        <f>(1-IF(VLOOKUP($E36,武器奇术!$A:$T,20,FALSE)=1,1,$N36))*(1-$M36)</f>
        <v>0.01072666</v>
      </c>
      <c r="CV36" s="112">
        <f>CO36*IF(VLOOKUP($E36,武器奇术!$A:$R,17,FALSE)="破竹",VLOOKUP($E36,武器奇术!$A:$R,4,FALSE),VLOOKUP($E36,武器奇术!$A:$R,2,FALSE))*(1+CQ36)*(1+CR36)*CS36*(1+$E$16+VLOOKUP($E36,武器奇术!$A:$R,8,FALSE))</f>
        <v>6038.273276217</v>
      </c>
      <c r="CW36" s="110">
        <f t="shared" si="24"/>
        <v>0.8813852</v>
      </c>
      <c r="CX36" s="112">
        <f>CP36*IF(VLOOKUP($E36,武器奇术!$A:$R,17,FALSE)="破竹",VLOOKUP($E36,武器奇术!$A:$R,4,FALSE),VLOOKUP($E36,武器奇术!$A:$R,2,FALSE))*(1+CQ36)*(1+CR36)*CS36*(1+$E$17+VLOOKUP($E36,武器奇术!$A:$R,10,FALSE))</f>
        <v>5604.6864039075</v>
      </c>
      <c r="CY36" s="110">
        <f t="shared" si="25"/>
        <v>0.0986</v>
      </c>
      <c r="CZ36" s="112">
        <f>CO36*IF(VLOOKUP($E36,武器奇术!$A:$R,17,FALSE)="破竹",VLOOKUP($E36,武器奇术!$A:$R,4,FALSE),VLOOKUP($E36,武器奇术!$A:$R,2,FALSE))*(1+CQ36)*(1+CR36)*CS36</f>
        <v>3112.51199805</v>
      </c>
      <c r="DA36" s="110">
        <f t="shared" si="26"/>
        <v>0.00928814000000003</v>
      </c>
      <c r="DB36" s="113">
        <f t="shared" si="27"/>
        <v>5925.81693027318</v>
      </c>
      <c r="DC36" s="108">
        <f t="shared" si="36"/>
        <v>69.3</v>
      </c>
      <c r="DD36" s="99">
        <f>(DC36+DE36)*IF(VLOOKUP($E36,武器奇术!$A:$Z,21,FALSE)=1,$G$15,0.5)</f>
        <v>69.3</v>
      </c>
      <c r="DE36" s="109">
        <f t="shared" si="37"/>
        <v>69.3</v>
      </c>
      <c r="DF36" s="110">
        <f>IF(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100)</f>
        <v>0.145</v>
      </c>
      <c r="DG36" s="111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U,21,FALSE)=1,0,0.09)</f>
        <v>0.235</v>
      </c>
      <c r="DH36" s="109">
        <v>1</v>
      </c>
      <c r="DI36" s="112">
        <f>DC36*IF(VLOOKUP($E36,武器奇术!$A:$R,17,FALSE)="破竹",VLOOKUP($E36,武器奇术!$A:$R,4,FALSE),VLOOKUP($E36,武器奇术!$A:$R,2,FALSE))*(1+DF36)*(1+DG36)*DH36</f>
        <v>317.5050879</v>
      </c>
      <c r="DJ36" s="110">
        <f>(1-IF(VLOOKUP($E36,武器奇术!$A:$T,20,FALSE)=1,1,$N36))*(1-$M36)</f>
        <v>0.01072666</v>
      </c>
      <c r="DK36" s="112">
        <f>DD36*IF(VLOOKUP($E36,武器奇术!$A:$R,17,FALSE)="破竹",VLOOKUP($E36,武器奇术!$A:$R,4,FALSE),VLOOKUP($E36,武器奇术!$A:$R,2,FALSE))*(1+DF36)*(1+DG36)*DH36*(1+$E$16+VLOOKUP($E36,武器奇术!$A:$R,8,FALSE))</f>
        <v>615.959870526</v>
      </c>
      <c r="DL36" s="110">
        <f t="shared" si="28"/>
        <v>0.8813852</v>
      </c>
      <c r="DM36" s="112">
        <f>DE36*IF(VLOOKUP($E36,武器奇术!$A:$R,17,FALSE)="破竹",VLOOKUP($E36,武器奇术!$A:$R,4,FALSE),VLOOKUP($E36,武器奇术!$A:$R,2,FALSE))*(1+DF36)*(1+DG36)*DH36*(1+$E$17+VLOOKUP($E36,武器奇术!$A:$R,10,FALSE))</f>
        <v>428.631868665</v>
      </c>
      <c r="DN36" s="110">
        <f t="shared" si="29"/>
        <v>0.0986</v>
      </c>
      <c r="DO36" s="112">
        <f>DD36*IF(VLOOKUP($E36,武器奇术!$A:$R,17,FALSE)="破竹",VLOOKUP($E36,武器奇术!$A:$R,4,FALSE),VLOOKUP($E36,武器奇术!$A:$R,2,FALSE))*(1+DF36)*(1+DG36)*DH36</f>
        <v>317.5050879</v>
      </c>
      <c r="DP36" s="110">
        <f t="shared" si="30"/>
        <v>0.00928814000000003</v>
      </c>
      <c r="DQ36" s="113">
        <f t="shared" si="31"/>
        <v>591.515816759203</v>
      </c>
    </row>
    <row r="37" spans="2:121">
      <c r="B37" s="127"/>
      <c r="C37" s="128"/>
      <c r="D37" s="129"/>
      <c r="E37" s="98" t="s">
        <v>136</v>
      </c>
      <c r="F37" s="99">
        <v>1</v>
      </c>
      <c r="G37" s="115"/>
      <c r="H37" s="100">
        <f>IF(VLOOKUP($E37,武器奇术!$A:$R,18,FALSE)="天工",AE37,(AE37+AT37+BI37+BX37+CM37+DB37+DQ37))*(1+J37)*F37*K37*(1+G37)</f>
        <v>67143.0696268726</v>
      </c>
      <c r="I37" s="101">
        <f t="shared" si="0"/>
        <v>0.00828967902014849</v>
      </c>
      <c r="J37" s="116">
        <f>$F$3+VLOOKUP($E37,武器奇术!$A:$R,12,FALSE)+VLOOKUP($E37,武器奇术!$A:$R,14,FALSE)*$G$3+$P37+IF($F$21="√",5%,0)</f>
        <v>0.823</v>
      </c>
      <c r="K37" s="102">
        <f>VLOOKUP($E37,武器奇术!$A:$R,11,FALSE)</f>
        <v>1</v>
      </c>
      <c r="L37" s="117">
        <f>IF(VLOOKUP($E37,武器奇术!$A:$R,15,FALSE)="天工",0%,IF($C$17+VLOOKUP($E37,武器奇术!$A:$R,7,FALSE)&gt;80%,80%,$C$17+VLOOKUP($E37,武器奇术!$A:$R,7,FALSE))+IF($C$19&gt;20%,20%,$C$19))</f>
        <v>0.892</v>
      </c>
      <c r="M37" s="118">
        <f>IF(VLOOKUP($E37,武器奇术!$A:$R,15,FALSE)="天工",0%,IF($C$18+VLOOKUP($E37,武器奇术!$A:$R,9,FALSE)&gt;40%,40%,$C$18+VLOOKUP($E37,武器奇术!$A:$R,9,FALSE))+IF($C$20&gt;10%,10%,$C$20))</f>
        <v>0.0986</v>
      </c>
      <c r="N37" s="119">
        <f>IF(VLOOKUP($E37,武器奇术!$A:$R,15,FALSE)="天工",100%,MIN($C$16,1))</f>
        <v>0.9881</v>
      </c>
      <c r="O37" s="120" t="str">
        <f>VLOOKUP($E37,武器奇术!$A:$R,16,FALSE)</f>
        <v>拳甲</v>
      </c>
      <c r="P37" s="121">
        <f t="shared" si="32"/>
        <v>0.17</v>
      </c>
      <c r="Q37" s="108">
        <f>$B$5*(1+VLOOKUP($E37,武器奇术!$A:$R,5,FALSE)+IF($G$5="飞隼",0.1,0)+IF($G$5="撼天",0.05,0))-$F$9+IF($I$5="√",160,0)</f>
        <v>1731.135</v>
      </c>
      <c r="R37" s="99">
        <f>IF(VLOOKUP($E37,武器奇术!$A:$Z,20,FALSE)=1,(S37-(Q37+S37)*0.5)*($G$15-0.5)*2+(Q37+S37)*0.5,(Q37+S37)*0.5)</f>
        <v>3256.775</v>
      </c>
      <c r="S37" s="109">
        <f>MAX($C$5,$B$5)*(1+VLOOKUP($E37,武器奇术!$A:$R,5,FALSE)+IF($G$5="飞隼",0.1,0)+IF($G$5="撼天",0.05,0))-$F$9+IF($I$5="√",320,0)</f>
        <v>4782.415</v>
      </c>
      <c r="T37" s="101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U37" s="111">
        <f>$E$5+IF(VLOOKUP($E37,武器奇术!$A:$U,21,FALSE)=1,0,0.09)</f>
        <v>0.115</v>
      </c>
      <c r="V37" s="109">
        <v>1</v>
      </c>
      <c r="W37" s="112">
        <f>Q37*VLOOKUP($E37,武器奇术!$A:$R,2,FALSE)*(1+T37)*(1+U37)*V37</f>
        <v>6596.6306895897</v>
      </c>
      <c r="X37" s="110">
        <f>(1-IF(VLOOKUP($E37,武器奇术!$A:$T,20,FALSE)=1,1,$N37))*(1-$M37)</f>
        <v>0.01072666</v>
      </c>
      <c r="Y37" s="112">
        <f>R37*VLOOKUP($E37,武器奇术!$A:$R,2,FALSE)*(1+T37)*(1+U37)*V37*(1+$E$16+VLOOKUP($E37,武器奇术!$A:$R,8,FALSE))</f>
        <v>24075.7995842795</v>
      </c>
      <c r="Z37" s="110">
        <f t="shared" si="33"/>
        <v>0.8813852</v>
      </c>
      <c r="AA37" s="112">
        <f>S37*VLOOKUP($E37,武器奇术!$A:$R,2,FALSE)*(1+T37)*(1+U37)*V37*(1+$E$17+VLOOKUP($E37,武器奇术!$A:$R,10,FALSE))</f>
        <v>24602.1046915048</v>
      </c>
      <c r="AB37" s="110">
        <f t="shared" si="34"/>
        <v>0.0986</v>
      </c>
      <c r="AC37" s="112">
        <f>R37*VLOOKUP($E37,武器奇术!$A:$R,2,FALSE)*(1+T37)*(1+U37)*V37</f>
        <v>12410.2059712781</v>
      </c>
      <c r="AD37" s="110">
        <f t="shared" si="1"/>
        <v>0.00928814000000003</v>
      </c>
      <c r="AE37" s="113">
        <f t="shared" si="2"/>
        <v>23831.8484993753</v>
      </c>
      <c r="AF37" s="114">
        <f>VLOOKUP($E37,武器奇术!$A:$R,3,FALSE)*(1+IF(VLOOKUP($E37,武器奇术!$A:$R,15,FALSE)="武器",$E$15,0))</f>
        <v>994.5</v>
      </c>
      <c r="AG37" s="112">
        <f t="shared" si="3"/>
        <v>994.5</v>
      </c>
      <c r="AH37" s="112">
        <f>VLOOKUP($E37,武器奇术!$A:$R,3,FALSE)*(1+IF(VLOOKUP($E37,武器奇术!$A:$R,15,FALSE)="武器",$E$15,0))</f>
        <v>994.5</v>
      </c>
      <c r="AI37" s="101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AJ37" s="111">
        <f>$E$5+IF(VLOOKUP($E37,武器奇术!$A:$U,21,FALSE)=1,0,0.09)</f>
        <v>0.115</v>
      </c>
      <c r="AK37" s="109">
        <v>1</v>
      </c>
      <c r="AL37" s="112">
        <f t="shared" si="35"/>
        <v>1377.213435</v>
      </c>
      <c r="AM37" s="110">
        <f>(1-IF(VLOOKUP($E37,武器奇术!$A:$T,20,FALSE)=1,1,$N37))*(1-$M37)</f>
        <v>0.01072666</v>
      </c>
      <c r="AN37" s="112">
        <f>AG37*(1+AI37)*(1+AJ37)*AK37*(1+$E$16+VLOOKUP($E37,武器奇术!$A:$R,8,FALSE))</f>
        <v>2671.7940639</v>
      </c>
      <c r="AO37" s="110">
        <f t="shared" si="4"/>
        <v>0.8813852</v>
      </c>
      <c r="AP37" s="112">
        <f>AH37*(1+AI37)*(1+AJ37)*AK37*(1+$E$17+VLOOKUP($E37,武器奇术!$A:$R,10,FALSE))</f>
        <v>1859.23813725</v>
      </c>
      <c r="AQ37" s="110">
        <f t="shared" si="5"/>
        <v>0.0986</v>
      </c>
      <c r="AR37" s="112">
        <f t="shared" si="6"/>
        <v>1377.213435</v>
      </c>
      <c r="AS37" s="110">
        <f t="shared" si="7"/>
        <v>0.00928814000000003</v>
      </c>
      <c r="AT37" s="113">
        <f t="shared" si="8"/>
        <v>2565.765277161</v>
      </c>
      <c r="AU37" s="108">
        <f>$B$7*IF($G$5="撼天",1.05,1)+IF(AND(VLOOKUP($E37,武器奇术!$A:$R,15,FALSE)="武器",VLOOKUP($E37,武器奇术!$A:$R,17,FALSE)="鸣金"),$E$3,0)*(1+$E$15)</f>
        <v>0</v>
      </c>
      <c r="AV37" s="99">
        <f>(AU37+AW37)*IF(VLOOKUP($E37,武器奇术!$A:$Z,21,FALSE)=1,$G$15,0.5)</f>
        <v>0</v>
      </c>
      <c r="AW37" s="109">
        <f>MAX($C$7*IF($G$5="撼天",1.05,1)+IF(AND(VLOOKUP($E37,武器奇术!$A:$R,15,FALSE)="武器",VLOOKUP($E37,武器奇术!$A:$R,17,FALSE)="鸣金"),$E$3*(1+$E$15),0),AU37)</f>
        <v>0</v>
      </c>
      <c r="AX37" s="110">
        <f>IF(($D$7+IF(VLOOKUP($E37,武器奇术!$A:$R,17,FALSE)="鸣金",$D$15,0)+IF(VLOOKUP($E37,武器奇术!$A:$R,18,FALSE)=1,4,0)+IF(VLOOKUP($E37,武器奇术!$A:$S,19,FALSE)=1,20,0)-VLOOKUP($F$7,目标属性!$A:$R,6,FALSE))&gt;0,($D$7+IF(VLOOKUP($E37,武器奇术!$A:$R,17,FALSE)="鸣金",$D$15,0)+IF(VLOOKUP($E37,武器奇术!$A:$R,18,FALSE)=1,4,0)+IF(VLOOKUP($E37,武器奇术!$A:$S,19,FALSE)=1,20,0)-VLOOKUP($F$7,目标属性!$A:$R,6,FALSE))/200,($D$7+IF(VLOOKUP($E37,武器奇术!$A:$R,17,FALSE)="鸣金",$D$15,0)+IF(VLOOKUP($E37,武器奇术!$A:$R,18,FALSE)=1,4,0)+IF(VLOOKUP($E37,武器奇术!$A:$S,19,FALSE)=1,20,0)-VLOOKUP($F$7,目标属性!$A:$R,6,FALSE))/100)</f>
        <v>0</v>
      </c>
      <c r="AY37" s="111">
        <f t="shared" si="9"/>
        <v>0</v>
      </c>
      <c r="AZ37" s="109">
        <v>1</v>
      </c>
      <c r="BA37" s="112">
        <f>AU37*IF(VLOOKUP($E37,武器奇术!$A:$R,17,FALSE)="鸣金",VLOOKUP($E37,武器奇术!$A:$R,4,FALSE),VLOOKUP($E37,武器奇术!$A:$R,2,FALSE))*(1+AX37)*(1+AY37)*AZ37</f>
        <v>0</v>
      </c>
      <c r="BB37" s="110">
        <f>(1-IF(VLOOKUP($E37,武器奇术!$A:$T,20,FALSE)=1,1,$N37))*(1-$M37)</f>
        <v>0.01072666</v>
      </c>
      <c r="BC37" s="112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10">
        <f t="shared" si="10"/>
        <v>0.8813852</v>
      </c>
      <c r="BE37" s="112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10">
        <f t="shared" si="11"/>
        <v>0.0986</v>
      </c>
      <c r="BG37" s="112">
        <f>AV37*IF(VLOOKUP($E37,武器奇术!$A:$R,17,FALSE)="鸣金",VLOOKUP($E37,武器奇术!$A:$R,4,FALSE),VLOOKUP($E37,武器奇术!$A:$R,2,FALSE))*(1+AX37)*(1+AY37)*AZ37</f>
        <v>0</v>
      </c>
      <c r="BH37" s="110">
        <f t="shared" si="12"/>
        <v>0.00928814000000003</v>
      </c>
      <c r="BI37" s="113">
        <f t="shared" si="13"/>
        <v>0</v>
      </c>
      <c r="BJ37" s="108">
        <f>$B$9*IF($G$5="撼天",1.05,1)+IF(AND(VLOOKUP($E37,武器奇术!$A:$R,15,FALSE)="武器",VLOOKUP($E37,武器奇术!$A:$R,17,FALSE)="裂石"),$E$3,0)*(1+$E$15)</f>
        <v>0</v>
      </c>
      <c r="BK37" s="99">
        <f>(BJ37+BL37)*IF(VLOOKUP($E37,武器奇术!$A:$Z,21,FALSE)=1,$G$15,0.5)</f>
        <v>0</v>
      </c>
      <c r="BL37" s="109">
        <f>MAX($C$9*IF($G$5="撼天",1.05,1)+IF(AND(VLOOKUP($E37,武器奇术!$A:$R,15,FALSE)="武器",VLOOKUP($E37,武器奇术!$A:$R,17,FALSE)="裂石"),$E$3*(1+$E$15),0),BJ37)</f>
        <v>0</v>
      </c>
      <c r="BM37" s="110">
        <f>IF(($D$9+IF(VLOOKUP($E37,武器奇术!$A:$R,17,FALSE)="裂石",$D$15,0)+IF(VLOOKUP($E37,武器奇术!$A:$R,18,FALSE)=1,4,0)+IF(VLOOKUP($E37,武器奇术!$A:$S,19,FALSE)=1,20,0)-VLOOKUP($F$7,目标属性!$A:$R,6,FALSE))&gt;0,($D$9+IF(VLOOKUP($E37,武器奇术!$A:$R,17,FALSE)="裂石",$D$15,0)+IF(VLOOKUP($E37,武器奇术!$A:$R,18,FALSE)=1,4,0)+IF(VLOOKUP($E37,武器奇术!$A:$S,19,FALSE)=1,20,0)-VLOOKUP($F$7,目标属性!$A:$R,6,FALSE))/200,($D$9+IF(VLOOKUP($E37,武器奇术!$A:$R,17,FALSE)="裂石",$D$15,0)+IF(VLOOKUP($E37,武器奇术!$A:$R,18,FALSE)=1,4,0)+IF(VLOOKUP($E37,武器奇术!$A:$S,19,FALSE)=1,20,0)-VLOOKUP($F$7,目标属性!$A:$R,6,FALSE))/100)</f>
        <v>0</v>
      </c>
      <c r="BN37" s="111">
        <f t="shared" si="14"/>
        <v>0</v>
      </c>
      <c r="BO37" s="109">
        <v>1</v>
      </c>
      <c r="BP37" s="112">
        <f>BJ37*IF(VLOOKUP($E37,武器奇术!$A:$R,17,FALSE)="裂石",VLOOKUP($E37,武器奇术!$A:$R,4,FALSE),VLOOKUP($E37,武器奇术!$A:$R,2,FALSE))*(1+BM37)*(1+BN37)*BO37</f>
        <v>0</v>
      </c>
      <c r="BQ37" s="110">
        <f>(1-IF(VLOOKUP($E37,武器奇术!$A:$T,20,FALSE)=1,1,$N37))*(1-$M37)</f>
        <v>0.01072666</v>
      </c>
      <c r="BR37" s="112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10">
        <f t="shared" si="15"/>
        <v>0.8813852</v>
      </c>
      <c r="BT37" s="112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10">
        <f t="shared" si="16"/>
        <v>0.0986</v>
      </c>
      <c r="BV37" s="112">
        <f>BK37*IF(VLOOKUP($E37,武器奇术!$A:$R,17,FALSE)="裂石",VLOOKUP($E37,武器奇术!$A:$R,4,FALSE),VLOOKUP($E37,武器奇术!$A:$R,2,FALSE))*(1+BM37)*(1+BN37)*BO37</f>
        <v>0</v>
      </c>
      <c r="BW37" s="110">
        <f t="shared" si="17"/>
        <v>0.00928814000000003</v>
      </c>
      <c r="BX37" s="113">
        <f t="shared" si="18"/>
        <v>0</v>
      </c>
      <c r="BY37" s="108">
        <f>$B$11*IF($G$5="撼天",1.05,1)+IF(AND(VLOOKUP($E37,武器奇术!$A:$R,15,FALSE)="武器",VLOOKUP($E37,武器奇术!$A:$R,17,FALSE)="牵丝"),$E$3,0)*(1+$E$15)</f>
        <v>0</v>
      </c>
      <c r="BZ37" s="99">
        <f>(BY37+CA37)*IF(VLOOKUP($E37,武器奇术!$A:$Z,21,FALSE)=1,$G$15,0.5)</f>
        <v>0</v>
      </c>
      <c r="CA37" s="109">
        <f>MAX($C$11*IF($G$5="撼天",1.05,1)+IF(AND(VLOOKUP($E37,武器奇术!$A:$R,15,FALSE)="武器",VLOOKUP($E37,武器奇术!$A:$R,17,FALSE)="牵丝"),$E$3*(1+$E$15),0),BY37)</f>
        <v>0</v>
      </c>
      <c r="CB37" s="110">
        <f>IF(($D$11+IF(VLOOKUP($E37,武器奇术!$A:$R,17,FALSE)="牵丝",$D$15,0)+IF(VLOOKUP($E37,武器奇术!$A:$R,18,FALSE)=1,4,0)+IF(VLOOKUP($E37,武器奇术!$A:$S,19,FALSE)=1,20,0)-VLOOKUP($F$7,目标属性!$A:$R,6,FALSE))&gt;0,($D$11+IF(VLOOKUP($E37,武器奇术!$A:$R,17,FALSE)="牵丝",$D$15,0)+IF(VLOOKUP($E37,武器奇术!$A:$R,18,FALSE)=1,4,0)+IF(VLOOKUP($E37,武器奇术!$A:$S,19,FALSE)=1,20,0)-VLOOKUP($F$7,目标属性!$A:$R,6,FALSE))/200,($D$11+IF(VLOOKUP($E37,武器奇术!$A:$R,17,FALSE)="牵丝",$D$15,0)+IF(VLOOKUP($E37,武器奇术!$A:$R,18,FALSE)=1,4,0)+IF(VLOOKUP($E37,武器奇术!$A:$S,19,FALSE)=1,20,0)-VLOOKUP($F$7,目标属性!$A:$R,6,FALSE))/100)</f>
        <v>0</v>
      </c>
      <c r="CC37" s="111">
        <f t="shared" si="19"/>
        <v>0</v>
      </c>
      <c r="CD37" s="109">
        <v>1</v>
      </c>
      <c r="CE37" s="112">
        <f>BY37*IF(VLOOKUP($E37,武器奇术!$A:$R,17,FALSE)="牵丝",VLOOKUP($E37,武器奇术!$A:$R,4,FALSE),VLOOKUP($E37,武器奇术!$A:$R,2,FALSE))*(1+CB37)*(1+CC37)*CD37</f>
        <v>0</v>
      </c>
      <c r="CF37" s="110">
        <f>(1-IF(VLOOKUP($E37,武器奇术!$A:$T,20,FALSE)=1,1,$N37))*(1-$M37)</f>
        <v>0.01072666</v>
      </c>
      <c r="CG37" s="112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110">
        <f t="shared" si="20"/>
        <v>0.8813852</v>
      </c>
      <c r="CI37" s="112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110">
        <f t="shared" si="21"/>
        <v>0.0986</v>
      </c>
      <c r="CK37" s="112">
        <f>BZ37*IF(VLOOKUP($E37,武器奇术!$A:$R,17,FALSE)="牵丝",VLOOKUP($E37,武器奇术!$A:$R,4,FALSE),VLOOKUP($E37,武器奇术!$A:$R,2,FALSE))*(1+CB37)*(1+CC37)*CD37</f>
        <v>0</v>
      </c>
      <c r="CL37" s="110">
        <f t="shared" si="22"/>
        <v>0.00928814000000003</v>
      </c>
      <c r="CM37" s="113">
        <f t="shared" si="23"/>
        <v>0</v>
      </c>
      <c r="CN37" s="108">
        <f>$B$13*IF($G$5="撼天",1.05,1)+IF(AND(VLOOKUP($E37,武器奇术!$A:$R,15,FALSE)="武器",VLOOKUP($E37,武器奇术!$A:$R,17,FALSE)="破竹"),$E$3,0)*(1+$E$15)</f>
        <v>648.46</v>
      </c>
      <c r="CO37" s="99">
        <f>IF(VLOOKUP($E37,武器奇术!$A:$Z,20,FALSE)=1,(CP37-(CN37+CP37)*0.5)*($G$15-0.5)*2+(CN37+CP37)*0.5,(CN37+CP37)*0.5)</f>
        <v>875.26</v>
      </c>
      <c r="CP37" s="109">
        <f>MAX($C$13*IF($G$5="撼天",1.05,1)+IF(AND(VLOOKUP($E37,武器奇术!$A:$R,15,FALSE)="武器",VLOOKUP($E37,武器奇术!$A:$R,17,FALSE)="破竹"),$E$3*(1+$E$15),0),CN37)</f>
        <v>1102.06</v>
      </c>
      <c r="CQ37" s="110">
        <f>IF(($D$13+IF(VLOOKUP($E37,武器奇术!$A:$R,17,FALSE)="破竹",$D$15,0)+IF(VLOOKUP($E37,武器奇术!$A:$R,18,FALSE)=1,4,0)+IF(VLOOKUP($E37,武器奇术!$A:$S,19,FALSE)=1,20,0)-VLOOKUP($F$7,目标属性!$A:$R,6,FALSE))&gt;0,($D$13+IF(VLOOKUP($E37,武器奇术!$A:$R,17,FALSE)="破竹",$D$15,0)+IF(VLOOKUP($E37,武器奇术!$A:$R,18,FALSE)=1,4,0)+IF(VLOOKUP($E37,武器奇术!$A:$S,19,FALSE)=1,20,0)-VLOOKUP($F$7,目标属性!$A:$R,6,FALSE))/200,($D$13+IF(VLOOKUP($E37,武器奇术!$A:$R,17,FALSE)="破竹",$D$15,0)+IF(VLOOKUP($E37,武器奇术!$A:$R,18,FALSE)=1,4,0)+IF(VLOOKUP($E37,武器奇术!$A:$S,19,FALSE)=1,20,0)-VLOOKUP($F$7,目标属性!$A:$R,6,FALSE))/100)</f>
        <v>0.145</v>
      </c>
      <c r="CR37" s="111">
        <f>$E$13+IF(VLOOKUP($E37,武器奇术!$A:$U,21,FALSE)=1,0,0.09)</f>
        <v>0.235</v>
      </c>
      <c r="CS37" s="109">
        <v>1</v>
      </c>
      <c r="CT37" s="112">
        <f>CN37*IF(VLOOKUP($E37,武器奇术!$A:$R,17,FALSE)="破竹",VLOOKUP($E37,武器奇术!$A:$R,4,FALSE),VLOOKUP($E37,武器奇术!$A:$R,2,FALSE))*(1+CQ37)*(1+CR37)*CS37</f>
        <v>3785.03652247812</v>
      </c>
      <c r="CU37" s="110">
        <f>(1-IF(VLOOKUP($E37,武器奇术!$A:$T,20,FALSE)=1,1,$N37))*(1-$M37)</f>
        <v>0.01072666</v>
      </c>
      <c r="CV37" s="112">
        <f>CO37*IF(VLOOKUP($E37,武器奇术!$A:$R,17,FALSE)="破竹",VLOOKUP($E37,武器奇术!$A:$R,4,FALSE),VLOOKUP($E37,武器奇术!$A:$R,2,FALSE))*(1+CQ37)*(1+CR37)*CS37*(1+$E$16+VLOOKUP($E37,武器奇术!$A:$R,8,FALSE))</f>
        <v>9911.18753558978</v>
      </c>
      <c r="CW37" s="110">
        <f t="shared" si="24"/>
        <v>0.8813852</v>
      </c>
      <c r="CX37" s="112">
        <f>CP37*IF(VLOOKUP($E37,武器奇术!$A:$R,17,FALSE)="破竹",VLOOKUP($E37,武器奇术!$A:$R,4,FALSE),VLOOKUP($E37,武器奇术!$A:$R,2,FALSE))*(1+CQ37)*(1+CR37)*CS37*(1+$E$17+VLOOKUP($E37,武器奇术!$A:$R,10,FALSE))</f>
        <v>8684.12149160938</v>
      </c>
      <c r="CY37" s="110">
        <f t="shared" si="25"/>
        <v>0.0986</v>
      </c>
      <c r="CZ37" s="112">
        <f>CO37*IF(VLOOKUP($E37,武器奇术!$A:$R,17,FALSE)="破竹",VLOOKUP($E37,武器奇术!$A:$R,4,FALSE),VLOOKUP($E37,武器奇术!$A:$R,2,FALSE))*(1+CQ37)*(1+CR37)*CS37</f>
        <v>5108.85955442772</v>
      </c>
      <c r="DA37" s="110">
        <f t="shared" si="26"/>
        <v>0.00928814000000003</v>
      </c>
      <c r="DB37" s="113">
        <f t="shared" si="27"/>
        <v>9679.88099001206</v>
      </c>
      <c r="DC37" s="108">
        <f t="shared" si="36"/>
        <v>69.3</v>
      </c>
      <c r="DD37" s="99">
        <f>(DC37+DE37)*IF(VLOOKUP($E37,武器奇术!$A:$Z,21,FALSE)=1,$G$15,0.5)</f>
        <v>69.3</v>
      </c>
      <c r="DE37" s="109">
        <f t="shared" si="37"/>
        <v>69.3</v>
      </c>
      <c r="DF37" s="110">
        <f>IF(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100)</f>
        <v>0.145</v>
      </c>
      <c r="DG37" s="111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U,21,FALSE)=1,0,0.09)</f>
        <v>0.235</v>
      </c>
      <c r="DH37" s="109">
        <v>1</v>
      </c>
      <c r="DI37" s="112">
        <f>DC37*IF(VLOOKUP($E37,武器奇术!$A:$R,17,FALSE)="破竹",VLOOKUP($E37,武器奇术!$A:$R,4,FALSE),VLOOKUP($E37,武器奇术!$A:$R,2,FALSE))*(1+DF37)*(1+DG37)*DH37</f>
        <v>404.5014819846</v>
      </c>
      <c r="DJ37" s="110">
        <f>(1-IF(VLOOKUP($E37,武器奇术!$A:$T,20,FALSE)=1,1,$N37))*(1-$M37)</f>
        <v>0.01072666</v>
      </c>
      <c r="DK37" s="112">
        <f>DD37*IF(VLOOKUP($E37,武器奇术!$A:$R,17,FALSE)="破竹",VLOOKUP($E37,武器奇术!$A:$R,4,FALSE),VLOOKUP($E37,武器奇术!$A:$R,2,FALSE))*(1+DF37)*(1+DG37)*DH37*(1+$E$16+VLOOKUP($E37,武器奇术!$A:$R,8,FALSE))</f>
        <v>784.732875050124</v>
      </c>
      <c r="DL37" s="110">
        <f t="shared" si="28"/>
        <v>0.8813852</v>
      </c>
      <c r="DM37" s="112">
        <f>DE37*IF(VLOOKUP($E37,武器奇术!$A:$R,17,FALSE)="破竹",VLOOKUP($E37,武器奇术!$A:$R,4,FALSE),VLOOKUP($E37,武器奇术!$A:$R,2,FALSE))*(1+DF37)*(1+DG37)*DH37*(1+$E$17+VLOOKUP($E37,武器奇术!$A:$R,10,FALSE))</f>
        <v>546.07700067921</v>
      </c>
      <c r="DN37" s="110">
        <f t="shared" si="29"/>
        <v>0.0986</v>
      </c>
      <c r="DO37" s="112">
        <f>DD37*IF(VLOOKUP($E37,武器奇术!$A:$R,17,FALSE)="破竹",VLOOKUP($E37,武器奇术!$A:$R,4,FALSE),VLOOKUP($E37,武器奇术!$A:$R,2,FALSE))*(1+DF37)*(1+DG37)*DH37</f>
        <v>404.5014819846</v>
      </c>
      <c r="DP37" s="110">
        <f t="shared" si="30"/>
        <v>0.00928814000000003</v>
      </c>
      <c r="DQ37" s="113">
        <f t="shared" si="31"/>
        <v>753.591150551224</v>
      </c>
    </row>
    <row r="38" spans="2:121">
      <c r="B38" s="127"/>
      <c r="C38" s="128"/>
      <c r="D38" s="129"/>
      <c r="E38" s="98" t="s">
        <v>134</v>
      </c>
      <c r="F38" s="99">
        <v>1</v>
      </c>
      <c r="G38" s="115"/>
      <c r="H38" s="100">
        <f>IF(VLOOKUP($E38,武器奇术!$A:$R,18,FALSE)="天工",AE38,(AE38+AT38+BI38+BX38+CM38+DB38+DQ38))*(1+J38)*F38*K38*(1+G38)</f>
        <v>21940.2933760744</v>
      </c>
      <c r="I38" s="101">
        <f t="shared" si="0"/>
        <v>0.0027088125506665</v>
      </c>
      <c r="J38" s="116">
        <f>$F$3+VLOOKUP($E38,武器奇术!$A:$R,12,FALSE)+VLOOKUP($E38,武器奇术!$A:$R,14,FALSE)*$G$3+$P38+IF($F$21="√",5%,0)</f>
        <v>0.523</v>
      </c>
      <c r="K38" s="102">
        <f>VLOOKUP($E38,武器奇术!$A:$R,11,FALSE)</f>
        <v>1</v>
      </c>
      <c r="L38" s="117">
        <f>IF(VLOOKUP($E38,武器奇术!$A:$R,15,FALSE)="天工",0%,IF($C$17+VLOOKUP($E38,武器奇术!$A:$R,7,FALSE)&gt;80%,80%,$C$17+VLOOKUP($E38,武器奇术!$A:$R,7,FALSE))+IF($C$19&gt;20%,20%,$C$19))</f>
        <v>0.892</v>
      </c>
      <c r="M38" s="118">
        <f>IF(VLOOKUP($E38,武器奇术!$A:$R,15,FALSE)="天工",0%,IF($C$18+VLOOKUP($E38,武器奇术!$A:$R,9,FALSE)&gt;40%,40%,$C$18+VLOOKUP($E38,武器奇术!$A:$R,9,FALSE))+IF($C$20&gt;10%,10%,$C$20))</f>
        <v>0.0986</v>
      </c>
      <c r="N38" s="119">
        <f>IF(VLOOKUP($E38,武器奇术!$A:$R,15,FALSE)="天工",100%,MIN($C$16,1))</f>
        <v>0.9881</v>
      </c>
      <c r="O38" s="120" t="str">
        <f>VLOOKUP($E38,武器奇术!$A:$R,16,FALSE)</f>
        <v>拳甲</v>
      </c>
      <c r="P38" s="121">
        <f t="shared" si="32"/>
        <v>0.17</v>
      </c>
      <c r="Q38" s="108">
        <f>$B$5*(1+VLOOKUP($E38,武器奇术!$A:$R,5,FALSE)+IF($G$5="飞隼",0.1,0)+IF($G$5="撼天",0.05,0))-$F$9+IF($I$5="√",160,0)</f>
        <v>1731.135</v>
      </c>
      <c r="R38" s="99">
        <f>IF(VLOOKUP($E38,武器奇术!$A:$Z,20,FALSE)=1,(S38-(Q38+S38)*0.5)*($G$15-0.5)*2+(Q38+S38)*0.5,(Q38+S38)*0.5)</f>
        <v>3256.775</v>
      </c>
      <c r="S38" s="109">
        <f>MAX($C$5,$B$5)*(1+VLOOKUP($E38,武器奇术!$A:$R,5,FALSE)+IF($G$5="飞隼",0.1,0)+IF($G$5="撼天",0.05,0))-$F$9+IF($I$5="√",320,0)</f>
        <v>4782.415</v>
      </c>
      <c r="T38" s="101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U38" s="111">
        <f>$E$5+IF(VLOOKUP($E38,武器奇术!$A:$U,21,FALSE)=1,0,0.09)</f>
        <v>0.115</v>
      </c>
      <c r="V38" s="109">
        <v>1</v>
      </c>
      <c r="W38" s="112">
        <f>Q38*VLOOKUP($E38,武器奇术!$A:$R,2,FALSE)*(1+T38)*(1+U38)*V38</f>
        <v>3086.79912340758</v>
      </c>
      <c r="X38" s="110">
        <f>(1-IF(VLOOKUP($E38,武器奇术!$A:$T,20,FALSE)=1,1,$N38))*(1-$M38)</f>
        <v>0.01072666</v>
      </c>
      <c r="Y38" s="112">
        <f>R38*VLOOKUP($E38,武器奇术!$A:$R,2,FALSE)*(1+T38)*(1+U38)*V38*(1+$E$16+VLOOKUP($E38,武器奇术!$A:$R,8,FALSE))</f>
        <v>9523.77298871699</v>
      </c>
      <c r="Z38" s="110">
        <f t="shared" si="33"/>
        <v>0.8813852</v>
      </c>
      <c r="AA38" s="112">
        <f>S38*VLOOKUP($E38,武器奇术!$A:$R,2,FALSE)*(1+T38)*(1+U38)*V38*(1+$E$17+VLOOKUP($E38,武器奇术!$A:$R,10,FALSE))</f>
        <v>11512.2035428729</v>
      </c>
      <c r="AB38" s="110">
        <f t="shared" si="34"/>
        <v>0.0986</v>
      </c>
      <c r="AC38" s="112">
        <f>R38*VLOOKUP($E38,武器奇术!$A:$R,2,FALSE)*(1+T38)*(1+U38)*V38</f>
        <v>5807.1786516567</v>
      </c>
      <c r="AD38" s="110">
        <f t="shared" si="1"/>
        <v>0.00928814000000003</v>
      </c>
      <c r="AE38" s="113">
        <f t="shared" si="2"/>
        <v>9616.26476274887</v>
      </c>
      <c r="AF38" s="114">
        <f>VLOOKUP($E38,武器奇术!$A:$R,3,FALSE)*(1+IF(VLOOKUP($E38,武器奇术!$A:$R,15,FALSE)="武器",$E$15,0))</f>
        <v>465.4</v>
      </c>
      <c r="AG38" s="112">
        <f t="shared" si="3"/>
        <v>465.4</v>
      </c>
      <c r="AH38" s="112">
        <f>VLOOKUP($E38,武器奇术!$A:$R,3,FALSE)*(1+IF(VLOOKUP($E38,武器奇术!$A:$R,15,FALSE)="武器",$E$15,0))</f>
        <v>465.4</v>
      </c>
      <c r="AI38" s="101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AJ38" s="111">
        <f>$E$5+IF(VLOOKUP($E38,武器奇术!$A:$U,21,FALSE)=1,0,0.09)</f>
        <v>0.115</v>
      </c>
      <c r="AK38" s="109">
        <v>1</v>
      </c>
      <c r="AL38" s="112">
        <f t="shared" si="35"/>
        <v>644.499882</v>
      </c>
      <c r="AM38" s="110">
        <f>(1-IF(VLOOKUP($E38,武器奇术!$A:$T,20,FALSE)=1,1,$N38))*(1-$M38)</f>
        <v>0.01072666</v>
      </c>
      <c r="AN38" s="112">
        <f>AG38*(1+AI38)*(1+AJ38)*AK38*(1+$E$16+VLOOKUP($E38,武器奇术!$A:$R,8,FALSE))</f>
        <v>1056.97980648</v>
      </c>
      <c r="AO38" s="110">
        <f t="shared" si="4"/>
        <v>0.8813852</v>
      </c>
      <c r="AP38" s="112">
        <f>AH38*(1+AI38)*(1+AJ38)*AK38*(1+$E$17+VLOOKUP($E38,武器奇术!$A:$R,10,FALSE))</f>
        <v>870.0748407</v>
      </c>
      <c r="AQ38" s="110">
        <f t="shared" si="5"/>
        <v>0.0986</v>
      </c>
      <c r="AR38" s="112">
        <f t="shared" si="6"/>
        <v>644.499882</v>
      </c>
      <c r="AS38" s="110">
        <f t="shared" si="7"/>
        <v>0.00928814000000003</v>
      </c>
      <c r="AT38" s="113">
        <f t="shared" si="8"/>
        <v>1030.29527366161</v>
      </c>
      <c r="AU38" s="108">
        <f>$B$7*IF($G$5="撼天",1.05,1)+IF(AND(VLOOKUP($E38,武器奇术!$A:$R,15,FALSE)="武器",VLOOKUP($E38,武器奇术!$A:$R,17,FALSE)="鸣金"),$E$3,0)*(1+$E$15)</f>
        <v>0</v>
      </c>
      <c r="AV38" s="99">
        <f>(AU38+AW38)*IF(VLOOKUP($E38,武器奇术!$A:$Z,21,FALSE)=1,$G$15,0.5)</f>
        <v>0</v>
      </c>
      <c r="AW38" s="109">
        <f>MAX($C$7*IF($G$5="撼天",1.05,1)+IF(AND(VLOOKUP($E38,武器奇术!$A:$R,15,FALSE)="武器",VLOOKUP($E38,武器奇术!$A:$R,17,FALSE)="鸣金"),$E$3*(1+$E$15),0),AU38)</f>
        <v>0</v>
      </c>
      <c r="AX38" s="110">
        <f>IF(($D$7+IF(VLOOKUP($E38,武器奇术!$A:$R,17,FALSE)="鸣金",$D$15,0)+IF(VLOOKUP($E38,武器奇术!$A:$R,18,FALSE)=1,4,0)+IF(VLOOKUP($E38,武器奇术!$A:$S,19,FALSE)=1,20,0)-VLOOKUP($F$7,目标属性!$A:$R,6,FALSE))&gt;0,($D$7+IF(VLOOKUP($E38,武器奇术!$A:$R,17,FALSE)="鸣金",$D$15,0)+IF(VLOOKUP($E38,武器奇术!$A:$R,18,FALSE)=1,4,0)+IF(VLOOKUP($E38,武器奇术!$A:$S,19,FALSE)=1,20,0)-VLOOKUP($F$7,目标属性!$A:$R,6,FALSE))/200,($D$7+IF(VLOOKUP($E38,武器奇术!$A:$R,17,FALSE)="鸣金",$D$15,0)+IF(VLOOKUP($E38,武器奇术!$A:$R,18,FALSE)=1,4,0)+IF(VLOOKUP($E38,武器奇术!$A:$S,19,FALSE)=1,20,0)-VLOOKUP($F$7,目标属性!$A:$R,6,FALSE))/100)</f>
        <v>-0.24</v>
      </c>
      <c r="AY38" s="111">
        <f t="shared" si="9"/>
        <v>0</v>
      </c>
      <c r="AZ38" s="109">
        <v>1</v>
      </c>
      <c r="BA38" s="112">
        <f>AU38*IF(VLOOKUP($E38,武器奇术!$A:$R,17,FALSE)="鸣金",VLOOKUP($E38,武器奇术!$A:$R,4,FALSE),VLOOKUP($E38,武器奇术!$A:$R,2,FALSE))*(1+AX38)*(1+AY38)*AZ38</f>
        <v>0</v>
      </c>
      <c r="BB38" s="110">
        <f>(1-IF(VLOOKUP($E38,武器奇术!$A:$T,20,FALSE)=1,1,$N38))*(1-$M38)</f>
        <v>0.01072666</v>
      </c>
      <c r="BC38" s="112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10">
        <f t="shared" si="10"/>
        <v>0.8813852</v>
      </c>
      <c r="BE38" s="112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10">
        <f t="shared" si="11"/>
        <v>0.0986</v>
      </c>
      <c r="BG38" s="112">
        <f>AV38*IF(VLOOKUP($E38,武器奇术!$A:$R,17,FALSE)="鸣金",VLOOKUP($E38,武器奇术!$A:$R,4,FALSE),VLOOKUP($E38,武器奇术!$A:$R,2,FALSE))*(1+AX38)*(1+AY38)*AZ38</f>
        <v>0</v>
      </c>
      <c r="BH38" s="110">
        <f t="shared" si="12"/>
        <v>0.00928814000000003</v>
      </c>
      <c r="BI38" s="113">
        <f t="shared" si="13"/>
        <v>0</v>
      </c>
      <c r="BJ38" s="108">
        <f>$B$9*IF($G$5="撼天",1.05,1)+IF(AND(VLOOKUP($E38,武器奇术!$A:$R,15,FALSE)="武器",VLOOKUP($E38,武器奇术!$A:$R,17,FALSE)="裂石"),$E$3,0)*(1+$E$15)</f>
        <v>0</v>
      </c>
      <c r="BK38" s="99">
        <f>(BJ38+BL38)*IF(VLOOKUP($E38,武器奇术!$A:$Z,21,FALSE)=1,$G$15,0.5)</f>
        <v>0</v>
      </c>
      <c r="BL38" s="109">
        <f>MAX($C$9*IF($G$5="撼天",1.05,1)+IF(AND(VLOOKUP($E38,武器奇术!$A:$R,15,FALSE)="武器",VLOOKUP($E38,武器奇术!$A:$R,17,FALSE)="裂石"),$E$3*(1+$E$15),0),BJ38)</f>
        <v>0</v>
      </c>
      <c r="BM38" s="110">
        <f>IF(($D$9+IF(VLOOKUP($E38,武器奇术!$A:$R,17,FALSE)="裂石",$D$15,0)+IF(VLOOKUP($E38,武器奇术!$A:$R,18,FALSE)=1,4,0)+IF(VLOOKUP($E38,武器奇术!$A:$S,19,FALSE)=1,20,0)-VLOOKUP($F$7,目标属性!$A:$R,6,FALSE))&gt;0,($D$9+IF(VLOOKUP($E38,武器奇术!$A:$R,17,FALSE)="裂石",$D$15,0)+IF(VLOOKUP($E38,武器奇术!$A:$R,18,FALSE)=1,4,0)+IF(VLOOKUP($E38,武器奇术!$A:$S,19,FALSE)=1,20,0)-VLOOKUP($F$7,目标属性!$A:$R,6,FALSE))/200,($D$9+IF(VLOOKUP($E38,武器奇术!$A:$R,17,FALSE)="裂石",$D$15,0)+IF(VLOOKUP($E38,武器奇术!$A:$R,18,FALSE)=1,4,0)+IF(VLOOKUP($E38,武器奇术!$A:$S,19,FALSE)=1,20,0)-VLOOKUP($F$7,目标属性!$A:$R,6,FALSE))/100)</f>
        <v>-0.24</v>
      </c>
      <c r="BN38" s="111">
        <f t="shared" si="14"/>
        <v>0</v>
      </c>
      <c r="BO38" s="109">
        <v>1</v>
      </c>
      <c r="BP38" s="112">
        <f>BJ38*IF(VLOOKUP($E38,武器奇术!$A:$R,17,FALSE)="裂石",VLOOKUP($E38,武器奇术!$A:$R,4,FALSE),VLOOKUP($E38,武器奇术!$A:$R,2,FALSE))*(1+BM38)*(1+BN38)*BO38</f>
        <v>0</v>
      </c>
      <c r="BQ38" s="110">
        <f>(1-IF(VLOOKUP($E38,武器奇术!$A:$T,20,FALSE)=1,1,$N38))*(1-$M38)</f>
        <v>0.01072666</v>
      </c>
      <c r="BR38" s="112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10">
        <f t="shared" si="15"/>
        <v>0.8813852</v>
      </c>
      <c r="BT38" s="112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10">
        <f t="shared" si="16"/>
        <v>0.0986</v>
      </c>
      <c r="BV38" s="112">
        <f>BK38*IF(VLOOKUP($E38,武器奇术!$A:$R,17,FALSE)="裂石",VLOOKUP($E38,武器奇术!$A:$R,4,FALSE),VLOOKUP($E38,武器奇术!$A:$R,2,FALSE))*(1+BM38)*(1+BN38)*BO38</f>
        <v>0</v>
      </c>
      <c r="BW38" s="110">
        <f t="shared" si="17"/>
        <v>0.00928814000000003</v>
      </c>
      <c r="BX38" s="113">
        <f t="shared" si="18"/>
        <v>0</v>
      </c>
      <c r="BY38" s="108">
        <f>$B$11*IF($G$5="撼天",1.05,1)+IF(AND(VLOOKUP($E38,武器奇术!$A:$R,15,FALSE)="武器",VLOOKUP($E38,武器奇术!$A:$R,17,FALSE)="牵丝"),$E$3,0)*(1+$E$15)</f>
        <v>0</v>
      </c>
      <c r="BZ38" s="99">
        <f>(BY38+CA38)*IF(VLOOKUP($E38,武器奇术!$A:$Z,21,FALSE)=1,$G$15,0.5)</f>
        <v>0</v>
      </c>
      <c r="CA38" s="109">
        <f>MAX($C$11*IF($G$5="撼天",1.05,1)+IF(AND(VLOOKUP($E38,武器奇术!$A:$R,15,FALSE)="武器",VLOOKUP($E38,武器奇术!$A:$R,17,FALSE)="牵丝"),$E$3*(1+$E$15),0),BY38)</f>
        <v>0</v>
      </c>
      <c r="CB38" s="110">
        <f>IF(($D$11+IF(VLOOKUP($E38,武器奇术!$A:$R,17,FALSE)="牵丝",$D$15,0)+IF(VLOOKUP($E38,武器奇术!$A:$R,18,FALSE)=1,4,0)+IF(VLOOKUP($E38,武器奇术!$A:$S,19,FALSE)=1,20,0)-VLOOKUP($F$7,目标属性!$A:$R,6,FALSE))&gt;0,($D$11+IF(VLOOKUP($E38,武器奇术!$A:$R,17,FALSE)="牵丝",$D$15,0)+IF(VLOOKUP($E38,武器奇术!$A:$R,18,FALSE)=1,4,0)+IF(VLOOKUP($E38,武器奇术!$A:$S,19,FALSE)=1,20,0)-VLOOKUP($F$7,目标属性!$A:$R,6,FALSE))/200,($D$11+IF(VLOOKUP($E38,武器奇术!$A:$R,17,FALSE)="牵丝",$D$15,0)+IF(VLOOKUP($E38,武器奇术!$A:$R,18,FALSE)=1,4,0)+IF(VLOOKUP($E38,武器奇术!$A:$S,19,FALSE)=1,20,0)-VLOOKUP($F$7,目标属性!$A:$R,6,FALSE))/100)</f>
        <v>-0.24</v>
      </c>
      <c r="CC38" s="111">
        <f t="shared" si="19"/>
        <v>0</v>
      </c>
      <c r="CD38" s="109">
        <v>1</v>
      </c>
      <c r="CE38" s="112">
        <f>BY38*IF(VLOOKUP($E38,武器奇术!$A:$R,17,FALSE)="牵丝",VLOOKUP($E38,武器奇术!$A:$R,4,FALSE),VLOOKUP($E38,武器奇术!$A:$R,2,FALSE))*(1+CB38)*(1+CC38)*CD38</f>
        <v>0</v>
      </c>
      <c r="CF38" s="110">
        <f>(1-IF(VLOOKUP($E38,武器奇术!$A:$T,20,FALSE)=1,1,$N38))*(1-$M38)</f>
        <v>0.01072666</v>
      </c>
      <c r="CG38" s="112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110">
        <f t="shared" si="20"/>
        <v>0.8813852</v>
      </c>
      <c r="CI38" s="112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110">
        <f t="shared" si="21"/>
        <v>0.0986</v>
      </c>
      <c r="CK38" s="112">
        <f>BZ38*IF(VLOOKUP($E38,武器奇术!$A:$R,17,FALSE)="牵丝",VLOOKUP($E38,武器奇术!$A:$R,4,FALSE),VLOOKUP($E38,武器奇术!$A:$R,2,FALSE))*(1+CB38)*(1+CC38)*CD38</f>
        <v>0</v>
      </c>
      <c r="CL38" s="110">
        <f t="shared" si="22"/>
        <v>0.00928814000000003</v>
      </c>
      <c r="CM38" s="113">
        <f t="shared" si="23"/>
        <v>0</v>
      </c>
      <c r="CN38" s="108">
        <f>$B$13*IF($G$5="撼天",1.05,1)+IF(AND(VLOOKUP($E38,武器奇术!$A:$R,15,FALSE)="武器",VLOOKUP($E38,武器奇术!$A:$R,17,FALSE)="破竹"),$E$3,0)*(1+$E$15)</f>
        <v>648.46</v>
      </c>
      <c r="CO38" s="99">
        <f>IF(VLOOKUP($E38,武器奇术!$A:$Z,20,FALSE)=1,(CP38-(CN38+CP38)*0.5)*($G$15-0.5)*2+(CN38+CP38)*0.5,(CN38+CP38)*0.5)</f>
        <v>875.26</v>
      </c>
      <c r="CP38" s="109">
        <f>MAX($C$13*IF($G$5="撼天",1.05,1)+IF(AND(VLOOKUP($E38,武器奇术!$A:$R,15,FALSE)="武器",VLOOKUP($E38,武器奇术!$A:$R,17,FALSE)="破竹"),$E$3*(1+$E$15),0),CN38)</f>
        <v>1102.06</v>
      </c>
      <c r="CQ38" s="110">
        <f>IF(($D$13+IF(VLOOKUP($E38,武器奇术!$A:$R,17,FALSE)="破竹",$D$15,0)+IF(VLOOKUP($E38,武器奇术!$A:$R,18,FALSE)=1,4,0)+IF(VLOOKUP($E38,武器奇术!$A:$S,19,FALSE)=1,20,0)-VLOOKUP($F$7,目标属性!$A:$R,6,FALSE))&gt;0,($D$13+IF(VLOOKUP($E38,武器奇术!$A:$R,17,FALSE)="破竹",$D$15,0)+IF(VLOOKUP($E38,武器奇术!$A:$R,18,FALSE)=1,4,0)+IF(VLOOKUP($E38,武器奇术!$A:$S,19,FALSE)=1,20,0)-VLOOKUP($F$7,目标属性!$A:$R,6,FALSE))/200,($D$13+IF(VLOOKUP($E38,武器奇术!$A:$R,17,FALSE)="破竹",$D$15,0)+IF(VLOOKUP($E38,武器奇术!$A:$R,18,FALSE)=1,4,0)+IF(VLOOKUP($E38,武器奇术!$A:$S,19,FALSE)=1,20,0)-VLOOKUP($F$7,目标属性!$A:$R,6,FALSE))/100)</f>
        <v>0.025</v>
      </c>
      <c r="CR38" s="111">
        <f>$E$13+IF(VLOOKUP($E38,武器奇术!$A:$U,21,FALSE)=1,0,0.09)</f>
        <v>0.235</v>
      </c>
      <c r="CS38" s="109">
        <v>1</v>
      </c>
      <c r="CT38" s="112">
        <f>CN38*IF(VLOOKUP($E38,武器奇术!$A:$R,17,FALSE)="破竹",VLOOKUP($E38,武器奇术!$A:$R,4,FALSE),VLOOKUP($E38,武器奇术!$A:$R,2,FALSE))*(1+CQ38)*(1+CR38)*CS38</f>
        <v>1585.34488391825</v>
      </c>
      <c r="CU38" s="110">
        <f>(1-IF(VLOOKUP($E38,武器奇术!$A:$T,20,FALSE)=1,1,$N38))*(1-$M38)</f>
        <v>0.01072666</v>
      </c>
      <c r="CV38" s="112">
        <f>CO38*IF(VLOOKUP($E38,武器奇术!$A:$R,17,FALSE)="破竹",VLOOKUP($E38,武器奇术!$A:$R,4,FALSE),VLOOKUP($E38,武器奇术!$A:$R,2,FALSE))*(1+CQ38)*(1+CR38)*CS38*(1+$E$16+VLOOKUP($E38,武器奇术!$A:$R,8,FALSE))</f>
        <v>3509.30805212533</v>
      </c>
      <c r="CW38" s="110">
        <f t="shared" si="24"/>
        <v>0.8813852</v>
      </c>
      <c r="CX38" s="112">
        <f>CP38*IF(VLOOKUP($E38,武器奇术!$A:$R,17,FALSE)="破竹",VLOOKUP($E38,武器奇术!$A:$R,4,FALSE),VLOOKUP($E38,武器奇术!$A:$R,2,FALSE))*(1+CQ38)*(1+CR38)*CS38*(1+$E$17+VLOOKUP($E38,武器奇术!$A:$R,10,FALSE))</f>
        <v>3637.30376081914</v>
      </c>
      <c r="CY38" s="110">
        <f t="shared" si="25"/>
        <v>0.0986</v>
      </c>
      <c r="CZ38" s="112">
        <f>CO38*IF(VLOOKUP($E38,武器奇术!$A:$R,17,FALSE)="破竹",VLOOKUP($E38,武器奇术!$A:$R,4,FALSE),VLOOKUP($E38,武器奇术!$A:$R,2,FALSE))*(1+CQ38)*(1+CR38)*CS38</f>
        <v>2139.82198300325</v>
      </c>
      <c r="DA38" s="110">
        <f t="shared" si="26"/>
        <v>0.00928814000000003</v>
      </c>
      <c r="DB38" s="113">
        <f t="shared" si="27"/>
        <v>3488.5707519066</v>
      </c>
      <c r="DC38" s="108">
        <f t="shared" si="36"/>
        <v>69.3</v>
      </c>
      <c r="DD38" s="99">
        <f>(DC38+DE38)*IF(VLOOKUP($E38,武器奇术!$A:$Z,21,FALSE)=1,$G$15,0.5)</f>
        <v>69.3</v>
      </c>
      <c r="DE38" s="109">
        <f t="shared" si="37"/>
        <v>69.3</v>
      </c>
      <c r="DF38" s="110">
        <f>IF(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100)</f>
        <v>0.025</v>
      </c>
      <c r="DG38" s="111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U,21,FALSE)=1,0,0.09)</f>
        <v>0.235</v>
      </c>
      <c r="DH38" s="109">
        <v>1</v>
      </c>
      <c r="DI38" s="112">
        <f>DC38*IF(VLOOKUP($E38,武器奇术!$A:$R,17,FALSE)="破竹",VLOOKUP($E38,武器奇术!$A:$R,4,FALSE),VLOOKUP($E38,武器奇术!$A:$R,2,FALSE))*(1+DF38)*(1+DG38)*DH38</f>
        <v>169.42355805375</v>
      </c>
      <c r="DJ38" s="110">
        <f>(1-IF(VLOOKUP($E38,武器奇术!$A:$T,20,FALSE)=1,1,$N38))*(1-$M38)</f>
        <v>0.01072666</v>
      </c>
      <c r="DK38" s="112">
        <f>DD38*IF(VLOOKUP($E38,武器奇术!$A:$R,17,FALSE)="破竹",VLOOKUP($E38,武器奇术!$A:$R,4,FALSE),VLOOKUP($E38,武器奇术!$A:$R,2,FALSE))*(1+DF38)*(1+DG38)*DH38*(1+$E$16+VLOOKUP($E38,武器奇术!$A:$R,8,FALSE))</f>
        <v>277.85463520815</v>
      </c>
      <c r="DL38" s="110">
        <f t="shared" si="28"/>
        <v>0.8813852</v>
      </c>
      <c r="DM38" s="112">
        <f>DE38*IF(VLOOKUP($E38,武器奇术!$A:$R,17,FALSE)="破竹",VLOOKUP($E38,武器奇术!$A:$R,4,FALSE),VLOOKUP($E38,武器奇术!$A:$R,2,FALSE))*(1+DF38)*(1+DG38)*DH38*(1+$E$17+VLOOKUP($E38,武器奇术!$A:$R,10,FALSE))</f>
        <v>228.721803372562</v>
      </c>
      <c r="DN38" s="110">
        <f t="shared" si="29"/>
        <v>0.0986</v>
      </c>
      <c r="DO38" s="112">
        <f>DD38*IF(VLOOKUP($E38,武器奇术!$A:$R,17,FALSE)="破竹",VLOOKUP($E38,武器奇术!$A:$R,4,FALSE),VLOOKUP($E38,武器奇术!$A:$R,2,FALSE))*(1+DF38)*(1+DG38)*DH38</f>
        <v>169.42355805375</v>
      </c>
      <c r="DP38" s="110">
        <f t="shared" si="30"/>
        <v>0.00928814000000003</v>
      </c>
      <c r="DQ38" s="113">
        <f t="shared" si="31"/>
        <v>270.839911666131</v>
      </c>
    </row>
    <row r="39" spans="2:121">
      <c r="B39" s="130"/>
      <c r="C39" s="131"/>
      <c r="D39" s="132"/>
      <c r="E39" s="98" t="s">
        <v>135</v>
      </c>
      <c r="F39" s="99">
        <v>1</v>
      </c>
      <c r="G39" s="115"/>
      <c r="H39" s="100">
        <f>IF(VLOOKUP($E39,武器奇术!$A:$R,18,FALSE)="天工",AE39,(AE39+AT39+BI39+BX39+CM39+DB39+DQ39))*(1+J39)*F39*K39*(1+G39)</f>
        <v>48730.8266125615</v>
      </c>
      <c r="I39" s="101">
        <f t="shared" si="0"/>
        <v>0.00601644984731181</v>
      </c>
      <c r="J39" s="116">
        <f>$F$3+VLOOKUP($E39,武器奇术!$A:$R,12,FALSE)+VLOOKUP($E39,武器奇术!$A:$R,14,FALSE)*$G$3+$P39+IF($F$21="√",5%,0)</f>
        <v>0.823</v>
      </c>
      <c r="K39" s="102">
        <f>VLOOKUP($E39,武器奇术!$A:$R,11,FALSE)</f>
        <v>1</v>
      </c>
      <c r="L39" s="117">
        <f>IF(VLOOKUP($E39,武器奇术!$A:$R,15,FALSE)="天工",0%,IF($C$17+VLOOKUP($E39,武器奇术!$A:$R,7,FALSE)&gt;80%,80%,$C$17+VLOOKUP($E39,武器奇术!$A:$R,7,FALSE))+IF($C$19&gt;20%,20%,$C$19))</f>
        <v>0.892</v>
      </c>
      <c r="M39" s="118">
        <f>IF(VLOOKUP($E39,武器奇术!$A:$R,15,FALSE)="天工",0%,IF($C$18+VLOOKUP($E39,武器奇术!$A:$R,9,FALSE)&gt;40%,40%,$C$18+VLOOKUP($E39,武器奇术!$A:$R,9,FALSE))+IF($C$20&gt;10%,10%,$C$20))</f>
        <v>0.0986</v>
      </c>
      <c r="N39" s="119">
        <f>IF(VLOOKUP($E39,武器奇术!$A:$R,15,FALSE)="天工",100%,MIN($C$16,1))</f>
        <v>0.9881</v>
      </c>
      <c r="O39" s="120" t="str">
        <f>VLOOKUP($E39,武器奇术!$A:$R,16,FALSE)</f>
        <v>拳甲</v>
      </c>
      <c r="P39" s="121">
        <f t="shared" si="32"/>
        <v>0.17</v>
      </c>
      <c r="Q39" s="108">
        <f>$B$5*(1+VLOOKUP($E39,武器奇术!$A:$R,5,FALSE)+IF($G$5="飞隼",0.1,0)+IF($G$5="撼天",0.05,0))-$F$9+IF($I$5="√",160,0)</f>
        <v>1731.135</v>
      </c>
      <c r="R39" s="99">
        <f>IF(VLOOKUP($E39,武器奇术!$A:$Z,20,FALSE)=1,(S39-(Q39+S39)*0.5)*($G$15-0.5)*2+(Q39+S39)*0.5,(Q39+S39)*0.5)</f>
        <v>3256.775</v>
      </c>
      <c r="S39" s="109">
        <f>MAX($C$5,$B$5)*(1+VLOOKUP($E39,武器奇术!$A:$R,5,FALSE)+IF($G$5="飞隼",0.1,0)+IF($G$5="撼天",0.05,0))-$F$9+IF($I$5="√",320,0)</f>
        <v>4782.415</v>
      </c>
      <c r="T39" s="101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U39" s="111">
        <f>$E$5+IF(VLOOKUP($E39,武器奇术!$A:$U,21,FALSE)=1,0,0.09)</f>
        <v>0.115</v>
      </c>
      <c r="V39" s="109">
        <v>1</v>
      </c>
      <c r="W39" s="112">
        <f>Q39*VLOOKUP($E39,武器奇术!$A:$R,2,FALSE)*(1+T39)*(1+U39)*V39</f>
        <v>5595.154346628</v>
      </c>
      <c r="X39" s="110">
        <f>(1-IF(VLOOKUP($E39,武器奇术!$A:$T,20,FALSE)=1,1,$N39))*(1-$M39)</f>
        <v>0.01072666</v>
      </c>
      <c r="Y39" s="112">
        <f>R39*VLOOKUP($E39,武器奇术!$A:$R,2,FALSE)*(1+T39)*(1+U39)*V39*(1+$E$16+VLOOKUP($E39,武器奇术!$A:$R,8,FALSE))</f>
        <v>20420.6997528468</v>
      </c>
      <c r="Z39" s="110">
        <f t="shared" si="33"/>
        <v>0.8813852</v>
      </c>
      <c r="AA39" s="112">
        <f>S39*VLOOKUP($E39,武器奇术!$A:$R,2,FALSE)*(1+T39)*(1+U39)*V39*(1+$E$17+VLOOKUP($E39,武器奇术!$A:$R,10,FALSE))</f>
        <v>20867.1031437462</v>
      </c>
      <c r="AB39" s="110">
        <f t="shared" si="34"/>
        <v>0.0986</v>
      </c>
      <c r="AC39" s="112">
        <f>R39*VLOOKUP($E39,武器奇术!$A:$R,2,FALSE)*(1+T39)*(1+U39)*V39</f>
        <v>10526.13389322</v>
      </c>
      <c r="AD39" s="110">
        <f t="shared" si="1"/>
        <v>0.00928814000000003</v>
      </c>
      <c r="AE39" s="113">
        <f t="shared" si="2"/>
        <v>20213.784429359</v>
      </c>
      <c r="AF39" s="114">
        <f>VLOOKUP($E39,武器奇术!$A:$R,3,FALSE)*(1+IF(VLOOKUP($E39,武器奇术!$A:$R,15,FALSE)="武器",$E$15,0))</f>
        <v>0</v>
      </c>
      <c r="AG39" s="112">
        <f t="shared" si="3"/>
        <v>0</v>
      </c>
      <c r="AH39" s="112">
        <f>VLOOKUP($E39,武器奇术!$A:$R,3,FALSE)*(1+IF(VLOOKUP($E39,武器奇术!$A:$R,15,FALSE)="武器",$E$15,0))</f>
        <v>0</v>
      </c>
      <c r="AI39" s="101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AJ39" s="111">
        <f>$E$5+IF(VLOOKUP($E39,武器奇术!$A:$U,21,FALSE)=1,0,0.09)</f>
        <v>0.115</v>
      </c>
      <c r="AK39" s="109">
        <v>1</v>
      </c>
      <c r="AL39" s="112">
        <f t="shared" si="35"/>
        <v>0</v>
      </c>
      <c r="AM39" s="110">
        <f>(1-IF(VLOOKUP($E39,武器奇术!$A:$T,20,FALSE)=1,1,$N39))*(1-$M39)</f>
        <v>0.01072666</v>
      </c>
      <c r="AN39" s="112">
        <f>AG39*(1+AI39)*(1+AJ39)*AK39*(1+$E$16+VLOOKUP($E39,武器奇术!$A:$R,8,FALSE))</f>
        <v>0</v>
      </c>
      <c r="AO39" s="110">
        <f t="shared" si="4"/>
        <v>0.8813852</v>
      </c>
      <c r="AP39" s="112">
        <f>AH39*(1+AI39)*(1+AJ39)*AK39*(1+$E$17+VLOOKUP($E39,武器奇术!$A:$R,10,FALSE))</f>
        <v>0</v>
      </c>
      <c r="AQ39" s="110">
        <f t="shared" si="5"/>
        <v>0.0986</v>
      </c>
      <c r="AR39" s="112">
        <f t="shared" si="6"/>
        <v>0</v>
      </c>
      <c r="AS39" s="110">
        <f t="shared" si="7"/>
        <v>0.00928814000000003</v>
      </c>
      <c r="AT39" s="113">
        <f t="shared" si="8"/>
        <v>0</v>
      </c>
      <c r="AU39" s="108">
        <f>$B$7*IF($G$5="撼天",1.05,1)+IF(AND(VLOOKUP($E39,武器奇术!$A:$R,15,FALSE)="武器",VLOOKUP($E39,武器奇术!$A:$R,17,FALSE)="鸣金"),$E$3,0)*(1+$E$15)</f>
        <v>0</v>
      </c>
      <c r="AV39" s="99">
        <f>(AU39+AW39)*IF(VLOOKUP($E39,武器奇术!$A:$Z,21,FALSE)=1,$G$15,0.5)</f>
        <v>0</v>
      </c>
      <c r="AW39" s="109">
        <f>MAX($C$7*IF($G$5="撼天",1.05,1)+IF(AND(VLOOKUP($E39,武器奇术!$A:$R,15,FALSE)="武器",VLOOKUP($E39,武器奇术!$A:$R,17,FALSE)="鸣金"),$E$3*(1+$E$15),0),AU39)</f>
        <v>0</v>
      </c>
      <c r="AX39" s="110">
        <f>IF(($D$7+IF(VLOOKUP($E39,武器奇术!$A:$R,17,FALSE)="鸣金",$D$15,0)+IF(VLOOKUP($E39,武器奇术!$A:$R,18,FALSE)=1,4,0)+IF(VLOOKUP($E39,武器奇术!$A:$S,19,FALSE)=1,20,0)-VLOOKUP($F$7,目标属性!$A:$R,6,FALSE))&gt;0,($D$7+IF(VLOOKUP($E39,武器奇术!$A:$R,17,FALSE)="鸣金",$D$15,0)+IF(VLOOKUP($E39,武器奇术!$A:$R,18,FALSE)=1,4,0)+IF(VLOOKUP($E39,武器奇术!$A:$S,19,FALSE)=1,20,0)-VLOOKUP($F$7,目标属性!$A:$R,6,FALSE))/200,($D$7+IF(VLOOKUP($E39,武器奇术!$A:$R,17,FALSE)="鸣金",$D$15,0)+IF(VLOOKUP($E39,武器奇术!$A:$R,18,FALSE)=1,4,0)+IF(VLOOKUP($E39,武器奇术!$A:$S,19,FALSE)=1,20,0)-VLOOKUP($F$7,目标属性!$A:$R,6,FALSE))/100)</f>
        <v>0</v>
      </c>
      <c r="AY39" s="111">
        <f t="shared" si="9"/>
        <v>0</v>
      </c>
      <c r="AZ39" s="109">
        <v>1</v>
      </c>
      <c r="BA39" s="112">
        <f>AU39*IF(VLOOKUP($E39,武器奇术!$A:$R,17,FALSE)="鸣金",VLOOKUP($E39,武器奇术!$A:$R,4,FALSE),VLOOKUP($E39,武器奇术!$A:$R,2,FALSE))*(1+AX39)*(1+AY39)*AZ39</f>
        <v>0</v>
      </c>
      <c r="BB39" s="110">
        <f>(1-IF(VLOOKUP($E39,武器奇术!$A:$T,20,FALSE)=1,1,$N39))*(1-$M39)</f>
        <v>0.01072666</v>
      </c>
      <c r="BC39" s="112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10">
        <f t="shared" si="10"/>
        <v>0.8813852</v>
      </c>
      <c r="BE39" s="112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10">
        <f t="shared" si="11"/>
        <v>0.0986</v>
      </c>
      <c r="BG39" s="112">
        <f>AV39*IF(VLOOKUP($E39,武器奇术!$A:$R,17,FALSE)="鸣金",VLOOKUP($E39,武器奇术!$A:$R,4,FALSE),VLOOKUP($E39,武器奇术!$A:$R,2,FALSE))*(1+AX39)*(1+AY39)*AZ39</f>
        <v>0</v>
      </c>
      <c r="BH39" s="110">
        <f t="shared" si="12"/>
        <v>0.00928814000000003</v>
      </c>
      <c r="BI39" s="113">
        <f t="shared" si="13"/>
        <v>0</v>
      </c>
      <c r="BJ39" s="108">
        <f>$B$9*IF($G$5="撼天",1.05,1)+IF(AND(VLOOKUP($E39,武器奇术!$A:$R,15,FALSE)="武器",VLOOKUP($E39,武器奇术!$A:$R,17,FALSE)="裂石"),$E$3,0)*(1+$E$15)</f>
        <v>0</v>
      </c>
      <c r="BK39" s="99">
        <f>(BJ39+BL39)*IF(VLOOKUP($E39,武器奇术!$A:$Z,21,FALSE)=1,$G$15,0.5)</f>
        <v>0</v>
      </c>
      <c r="BL39" s="109">
        <f>MAX($C$9*IF($G$5="撼天",1.05,1)+IF(AND(VLOOKUP($E39,武器奇术!$A:$R,15,FALSE)="武器",VLOOKUP($E39,武器奇术!$A:$R,17,FALSE)="裂石"),$E$3*(1+$E$15),0),BJ39)</f>
        <v>0</v>
      </c>
      <c r="BM39" s="110">
        <f>IF(($D$9+IF(VLOOKUP($E39,武器奇术!$A:$R,17,FALSE)="裂石",$D$15,0)+IF(VLOOKUP($E39,武器奇术!$A:$R,18,FALSE)=1,4,0)+IF(VLOOKUP($E39,武器奇术!$A:$S,19,FALSE)=1,20,0)-VLOOKUP($F$7,目标属性!$A:$R,6,FALSE))&gt;0,($D$9+IF(VLOOKUP($E39,武器奇术!$A:$R,17,FALSE)="裂石",$D$15,0)+IF(VLOOKUP($E39,武器奇术!$A:$R,18,FALSE)=1,4,0)+IF(VLOOKUP($E39,武器奇术!$A:$S,19,FALSE)=1,20,0)-VLOOKUP($F$7,目标属性!$A:$R,6,FALSE))/200,($D$9+IF(VLOOKUP($E39,武器奇术!$A:$R,17,FALSE)="裂石",$D$15,0)+IF(VLOOKUP($E39,武器奇术!$A:$R,18,FALSE)=1,4,0)+IF(VLOOKUP($E39,武器奇术!$A:$S,19,FALSE)=1,20,0)-VLOOKUP($F$7,目标属性!$A:$R,6,FALSE))/100)</f>
        <v>0</v>
      </c>
      <c r="BN39" s="111">
        <f t="shared" si="14"/>
        <v>0</v>
      </c>
      <c r="BO39" s="109">
        <v>1</v>
      </c>
      <c r="BP39" s="112">
        <f>BJ39*IF(VLOOKUP($E39,武器奇术!$A:$R,17,FALSE)="裂石",VLOOKUP($E39,武器奇术!$A:$R,4,FALSE),VLOOKUP($E39,武器奇术!$A:$R,2,FALSE))*(1+BM39)*(1+BN39)*BO39</f>
        <v>0</v>
      </c>
      <c r="BQ39" s="110">
        <f>(1-IF(VLOOKUP($E39,武器奇术!$A:$T,20,FALSE)=1,1,$N39))*(1-$M39)</f>
        <v>0.01072666</v>
      </c>
      <c r="BR39" s="112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10">
        <f t="shared" si="15"/>
        <v>0.8813852</v>
      </c>
      <c r="BT39" s="112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10">
        <f t="shared" si="16"/>
        <v>0.0986</v>
      </c>
      <c r="BV39" s="112">
        <f>BK39*IF(VLOOKUP($E39,武器奇术!$A:$R,17,FALSE)="裂石",VLOOKUP($E39,武器奇术!$A:$R,4,FALSE),VLOOKUP($E39,武器奇术!$A:$R,2,FALSE))*(1+BM39)*(1+BN39)*BO39</f>
        <v>0</v>
      </c>
      <c r="BW39" s="110">
        <f t="shared" si="17"/>
        <v>0.00928814000000003</v>
      </c>
      <c r="BX39" s="113">
        <f t="shared" si="18"/>
        <v>0</v>
      </c>
      <c r="BY39" s="108">
        <f>$B$11*IF($G$5="撼天",1.05,1)+IF(AND(VLOOKUP($E39,武器奇术!$A:$R,15,FALSE)="武器",VLOOKUP($E39,武器奇术!$A:$R,17,FALSE)="牵丝"),$E$3,0)*(1+$E$15)</f>
        <v>0</v>
      </c>
      <c r="BZ39" s="99">
        <f>(BY39+CA39)*IF(VLOOKUP($E39,武器奇术!$A:$Z,21,FALSE)=1,$G$15,0.5)</f>
        <v>0</v>
      </c>
      <c r="CA39" s="109">
        <f>MAX($C$11*IF($G$5="撼天",1.05,1)+IF(AND(VLOOKUP($E39,武器奇术!$A:$R,15,FALSE)="武器",VLOOKUP($E39,武器奇术!$A:$R,17,FALSE)="牵丝"),$E$3*(1+$E$15),0),BY39)</f>
        <v>0</v>
      </c>
      <c r="CB39" s="110">
        <f>IF(($D$11+IF(VLOOKUP($E39,武器奇术!$A:$R,17,FALSE)="牵丝",$D$15,0)+IF(VLOOKUP($E39,武器奇术!$A:$R,18,FALSE)=1,4,0)+IF(VLOOKUP($E39,武器奇术!$A:$S,19,FALSE)=1,20,0)-VLOOKUP($F$7,目标属性!$A:$R,6,FALSE))&gt;0,($D$11+IF(VLOOKUP($E39,武器奇术!$A:$R,17,FALSE)="牵丝",$D$15,0)+IF(VLOOKUP($E39,武器奇术!$A:$R,18,FALSE)=1,4,0)+IF(VLOOKUP($E39,武器奇术!$A:$S,19,FALSE)=1,20,0)-VLOOKUP($F$7,目标属性!$A:$R,6,FALSE))/200,($D$11+IF(VLOOKUP($E39,武器奇术!$A:$R,17,FALSE)="牵丝",$D$15,0)+IF(VLOOKUP($E39,武器奇术!$A:$R,18,FALSE)=1,4,0)+IF(VLOOKUP($E39,武器奇术!$A:$S,19,FALSE)=1,20,0)-VLOOKUP($F$7,目标属性!$A:$R,6,FALSE))/100)</f>
        <v>0</v>
      </c>
      <c r="CC39" s="111">
        <f t="shared" si="19"/>
        <v>0</v>
      </c>
      <c r="CD39" s="109">
        <v>1</v>
      </c>
      <c r="CE39" s="112">
        <f>BY39*IF(VLOOKUP($E39,武器奇术!$A:$R,17,FALSE)="牵丝",VLOOKUP($E39,武器奇术!$A:$R,4,FALSE),VLOOKUP($E39,武器奇术!$A:$R,2,FALSE))*(1+CB39)*(1+CC39)*CD39</f>
        <v>0</v>
      </c>
      <c r="CF39" s="110">
        <f>(1-IF(VLOOKUP($E39,武器奇术!$A:$T,20,FALSE)=1,1,$N39))*(1-$M39)</f>
        <v>0.01072666</v>
      </c>
      <c r="CG39" s="112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110">
        <f t="shared" si="20"/>
        <v>0.8813852</v>
      </c>
      <c r="CI39" s="112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110">
        <f t="shared" si="21"/>
        <v>0.0986</v>
      </c>
      <c r="CK39" s="112">
        <f>BZ39*IF(VLOOKUP($E39,武器奇术!$A:$R,17,FALSE)="牵丝",VLOOKUP($E39,武器奇术!$A:$R,4,FALSE),VLOOKUP($E39,武器奇术!$A:$R,2,FALSE))*(1+CB39)*(1+CC39)*CD39</f>
        <v>0</v>
      </c>
      <c r="CL39" s="110">
        <f t="shared" si="22"/>
        <v>0.00928814000000003</v>
      </c>
      <c r="CM39" s="113">
        <f t="shared" si="23"/>
        <v>0</v>
      </c>
      <c r="CN39" s="108">
        <f>$B$13*IF($G$5="撼天",1.05,1)+IF(AND(VLOOKUP($E39,武器奇术!$A:$R,15,FALSE)="武器",VLOOKUP($E39,武器奇术!$A:$R,17,FALSE)="破竹"),$E$3,0)*(1+$E$15)</f>
        <v>452.55</v>
      </c>
      <c r="CO39" s="99">
        <f>IF(VLOOKUP($E39,武器奇术!$A:$Z,20,FALSE)=1,(CP39-(CN39+CP39)*0.5)*($G$15-0.5)*2+(CN39+CP39)*0.5,(CN39+CP39)*0.5)</f>
        <v>679.35</v>
      </c>
      <c r="CP39" s="109">
        <f>MAX($C$13*IF($G$5="撼天",1.05,1)+IF(AND(VLOOKUP($E39,武器奇术!$A:$R,15,FALSE)="武器",VLOOKUP($E39,武器奇术!$A:$R,17,FALSE)="破竹"),$E$3*(1+$E$15),0),CN39)</f>
        <v>906.15</v>
      </c>
      <c r="CQ39" s="110">
        <f>IF(($D$13+IF(VLOOKUP($E39,武器奇术!$A:$R,17,FALSE)="破竹",$D$15,0)+IF(VLOOKUP($E39,武器奇术!$A:$R,18,FALSE)=1,4,0)+IF(VLOOKUP($E39,武器奇术!$A:$S,19,FALSE)=1,20,0)-VLOOKUP($F$7,目标属性!$A:$R,6,FALSE))&gt;0,($D$13+IF(VLOOKUP($E39,武器奇术!$A:$R,17,FALSE)="破竹",$D$15,0)+IF(VLOOKUP($E39,武器奇术!$A:$R,18,FALSE)=1,4,0)+IF(VLOOKUP($E39,武器奇术!$A:$S,19,FALSE)=1,20,0)-VLOOKUP($F$7,目标属性!$A:$R,6,FALSE))/200,($D$13+IF(VLOOKUP($E39,武器奇术!$A:$R,17,FALSE)="破竹",$D$15,0)+IF(VLOOKUP($E39,武器奇术!$A:$R,18,FALSE)=1,4,0)+IF(VLOOKUP($E39,武器奇术!$A:$S,19,FALSE)=1,20,0)-VLOOKUP($F$7,目标属性!$A:$R,6,FALSE))/100)</f>
        <v>0.145</v>
      </c>
      <c r="CR39" s="111">
        <f>$E$13+IF(VLOOKUP($E39,武器奇术!$A:$U,21,FALSE)=1,0,0.09)</f>
        <v>0.235</v>
      </c>
      <c r="CS39" s="109">
        <v>1</v>
      </c>
      <c r="CT39" s="112">
        <f>CN39*IF(VLOOKUP($E39,武器奇术!$A:$R,17,FALSE)="破竹",VLOOKUP($E39,武器奇术!$A:$R,4,FALSE),VLOOKUP($E39,武器奇术!$A:$R,2,FALSE))*(1+CQ39)*(1+CR39)*CS39</f>
        <v>2073.40443765</v>
      </c>
      <c r="CU39" s="110">
        <f>(1-IF(VLOOKUP($E39,武器奇术!$A:$T,20,FALSE)=1,1,$N39))*(1-$M39)</f>
        <v>0.01072666</v>
      </c>
      <c r="CV39" s="112">
        <f>CO39*IF(VLOOKUP($E39,武器奇术!$A:$R,17,FALSE)="破竹",VLOOKUP($E39,武器奇术!$A:$R,4,FALSE),VLOOKUP($E39,武器奇术!$A:$R,2,FALSE))*(1+CQ39)*(1+CR39)*CS39*(1+$E$16+VLOOKUP($E39,武器奇术!$A:$R,8,FALSE))</f>
        <v>6038.273276217</v>
      </c>
      <c r="CW39" s="110">
        <f t="shared" si="24"/>
        <v>0.8813852</v>
      </c>
      <c r="CX39" s="112">
        <f>CP39*IF(VLOOKUP($E39,武器奇术!$A:$R,17,FALSE)="破竹",VLOOKUP($E39,武器奇术!$A:$R,4,FALSE),VLOOKUP($E39,武器奇术!$A:$R,2,FALSE))*(1+CQ39)*(1+CR39)*CS39*(1+$E$17+VLOOKUP($E39,武器奇术!$A:$R,10,FALSE))</f>
        <v>5604.6864039075</v>
      </c>
      <c r="CY39" s="110">
        <f t="shared" si="25"/>
        <v>0.0986</v>
      </c>
      <c r="CZ39" s="112">
        <f>CO39*IF(VLOOKUP($E39,武器奇术!$A:$R,17,FALSE)="破竹",VLOOKUP($E39,武器奇术!$A:$R,4,FALSE),VLOOKUP($E39,武器奇术!$A:$R,2,FALSE))*(1+CQ39)*(1+CR39)*CS39</f>
        <v>3112.51199805</v>
      </c>
      <c r="DA39" s="110">
        <f t="shared" si="26"/>
        <v>0.00928814000000003</v>
      </c>
      <c r="DB39" s="113">
        <f t="shared" si="27"/>
        <v>5925.81693027318</v>
      </c>
      <c r="DC39" s="108">
        <f t="shared" si="36"/>
        <v>69.3</v>
      </c>
      <c r="DD39" s="99">
        <f>(DC39+DE39)*IF(VLOOKUP($E39,武器奇术!$A:$Z,21,FALSE)=1,$G$15,0.5)</f>
        <v>69.3</v>
      </c>
      <c r="DE39" s="109">
        <f t="shared" si="37"/>
        <v>69.3</v>
      </c>
      <c r="DF39" s="110">
        <f>IF(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100)</f>
        <v>0.145</v>
      </c>
      <c r="DG39" s="111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U,21,FALSE)=1,0,0.09)</f>
        <v>0.235</v>
      </c>
      <c r="DH39" s="109">
        <v>1</v>
      </c>
      <c r="DI39" s="112">
        <f>DC39*IF(VLOOKUP($E39,武器奇术!$A:$R,17,FALSE)="破竹",VLOOKUP($E39,武器奇术!$A:$R,4,FALSE),VLOOKUP($E39,武器奇术!$A:$R,2,FALSE))*(1+DF39)*(1+DG39)*DH39</f>
        <v>317.5050879</v>
      </c>
      <c r="DJ39" s="110">
        <f>(1-IF(VLOOKUP($E39,武器奇术!$A:$T,20,FALSE)=1,1,$N39))*(1-$M39)</f>
        <v>0.01072666</v>
      </c>
      <c r="DK39" s="112">
        <f>DD39*IF(VLOOKUP($E39,武器奇术!$A:$R,17,FALSE)="破竹",VLOOKUP($E39,武器奇术!$A:$R,4,FALSE),VLOOKUP($E39,武器奇术!$A:$R,2,FALSE))*(1+DF39)*(1+DG39)*DH39*(1+$E$16+VLOOKUP($E39,武器奇术!$A:$R,8,FALSE))</f>
        <v>615.959870526</v>
      </c>
      <c r="DL39" s="110">
        <f t="shared" si="28"/>
        <v>0.8813852</v>
      </c>
      <c r="DM39" s="112">
        <f>DE39*IF(VLOOKUP($E39,武器奇术!$A:$R,17,FALSE)="破竹",VLOOKUP($E39,武器奇术!$A:$R,4,FALSE),VLOOKUP($E39,武器奇术!$A:$R,2,FALSE))*(1+DF39)*(1+DG39)*DH39*(1+$E$17+VLOOKUP($E39,武器奇术!$A:$R,10,FALSE))</f>
        <v>428.631868665</v>
      </c>
      <c r="DN39" s="110">
        <f t="shared" si="29"/>
        <v>0.0986</v>
      </c>
      <c r="DO39" s="112">
        <f>DD39*IF(VLOOKUP($E39,武器奇术!$A:$R,17,FALSE)="破竹",VLOOKUP($E39,武器奇术!$A:$R,4,FALSE),VLOOKUP($E39,武器奇术!$A:$R,2,FALSE))*(1+DF39)*(1+DG39)*DH39</f>
        <v>317.5050879</v>
      </c>
      <c r="DP39" s="110">
        <f t="shared" si="30"/>
        <v>0.00928814000000003</v>
      </c>
      <c r="DQ39" s="113">
        <f t="shared" si="31"/>
        <v>591.515816759203</v>
      </c>
    </row>
    <row r="40" spans="2:121">
      <c r="B40" s="103" t="s">
        <v>137</v>
      </c>
      <c r="C40" s="133">
        <f>C35/105326.38</f>
        <v>0.999999953211191</v>
      </c>
      <c r="D40" s="134"/>
      <c r="E40" s="98" t="s">
        <v>138</v>
      </c>
      <c r="F40" s="99">
        <v>1</v>
      </c>
      <c r="G40" s="115"/>
      <c r="H40" s="100">
        <f>IF(VLOOKUP($E40,武器奇术!$A:$R,18,FALSE)="天工",AE40,(AE40+AT40+BI40+BX40+CM40+DB40+DQ40))*(1+J40)*F40*K40*(1+G40)</f>
        <v>97965.5214537074</v>
      </c>
      <c r="I40" s="101">
        <f t="shared" si="0"/>
        <v>0.012095108734315</v>
      </c>
      <c r="J40" s="116">
        <f>$F$3+VLOOKUP($E40,武器奇术!$A:$R,12,FALSE)+VLOOKUP($E40,武器奇术!$A:$R,14,FALSE)*$G$3+$P40+IF($F$21="√",5%,0)</f>
        <v>0.353</v>
      </c>
      <c r="K40" s="102">
        <f>VLOOKUP($E40,武器奇术!$A:$R,11,FALSE)</f>
        <v>1</v>
      </c>
      <c r="L40" s="117">
        <f>IF(VLOOKUP($E40,武器奇术!$A:$R,15,FALSE)="天工",0%,IF($C$17+VLOOKUP($E40,武器奇术!$A:$R,7,FALSE)&gt;80%,80%,$C$17+VLOOKUP($E40,武器奇术!$A:$R,7,FALSE))+IF($C$19&gt;20%,20%,$C$19))</f>
        <v>0.892</v>
      </c>
      <c r="M40" s="118">
        <f>IF(VLOOKUP($E40,武器奇术!$A:$R,15,FALSE)="天工",0%,IF($C$18+VLOOKUP($E40,武器奇术!$A:$R,9,FALSE)&gt;40%,40%,$C$18+VLOOKUP($E40,武器奇术!$A:$R,9,FALSE))+IF($C$20&gt;10%,10%,$C$20))</f>
        <v>0.0986</v>
      </c>
      <c r="N40" s="119">
        <f>IF(VLOOKUP($E40,武器奇术!$A:$R,15,FALSE)="天工",100%,MIN($C$16,1))</f>
        <v>0.9881</v>
      </c>
      <c r="O40" s="120" t="str">
        <f>VLOOKUP($E40,武器奇术!$A:$R,16,FALSE)</f>
        <v>单体奇术</v>
      </c>
      <c r="P40" s="121">
        <f t="shared" si="32"/>
        <v>0</v>
      </c>
      <c r="Q40" s="108">
        <f>$B$5*(1+VLOOKUP($E40,武器奇术!$A:$R,5,FALSE)+IF($G$5="飞隼",0.1,0)+IF($G$5="撼天",0.05,0))-$F$9+IF($I$5="√",160,0)</f>
        <v>1731.135</v>
      </c>
      <c r="R40" s="99">
        <f>IF(VLOOKUP($E40,武器奇术!$A:$Z,20,FALSE)=1,(S40-(Q40+S40)*0.5)*($G$15-0.5)*2+(Q40+S40)*0.5,(Q40+S40)*0.5)</f>
        <v>3256.775</v>
      </c>
      <c r="S40" s="109">
        <f>MAX($C$5,$B$5)*(1+VLOOKUP($E40,武器奇术!$A:$R,5,FALSE)+IF($G$5="飞隼",0.1,0)+IF($G$5="撼天",0.05,0))-$F$9+IF($I$5="√",320,0)</f>
        <v>4782.415</v>
      </c>
      <c r="T40" s="101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U40" s="111">
        <f>$E$5+IF(VLOOKUP($E40,武器奇术!$A:$U,21,FALSE)=1,0,0.09)</f>
        <v>0.115</v>
      </c>
      <c r="V40" s="109">
        <v>1</v>
      </c>
      <c r="W40" s="112">
        <f>Q40*VLOOKUP($E40,武器奇术!$A:$R,2,FALSE)*(1+T40)*(1+U40)*V40</f>
        <v>17036.3694397201</v>
      </c>
      <c r="X40" s="110">
        <f>(1-IF(VLOOKUP($E40,武器奇术!$A:$T,20,FALSE)=1,1,$N40))*(1-$M40)</f>
        <v>0.01072666</v>
      </c>
      <c r="Y40" s="112">
        <f>R40*VLOOKUP($E40,武器奇术!$A:$R,2,FALSE)*(1+T40)*(1+U40)*V40*(1+$E$16+VLOOKUP($E40,武器奇术!$A:$R,8,FALSE))</f>
        <v>52562.7060942982</v>
      </c>
      <c r="Z40" s="110">
        <f t="shared" si="33"/>
        <v>0.8813852</v>
      </c>
      <c r="AA40" s="112">
        <f>S40*VLOOKUP($E40,武器奇术!$A:$R,2,FALSE)*(1+T40)*(1+U40)*V40*(1+$E$17+VLOOKUP($E40,武器奇术!$A:$R,10,FALSE))</f>
        <v>63537.0637286981</v>
      </c>
      <c r="AB40" s="110">
        <f t="shared" si="34"/>
        <v>0.0986</v>
      </c>
      <c r="AC40" s="112">
        <f>R40*VLOOKUP($E40,武器奇术!$A:$R,2,FALSE)*(1+T40)*(1+U40)*V40</f>
        <v>32050.4305453038</v>
      </c>
      <c r="AD40" s="110">
        <f t="shared" si="1"/>
        <v>0.00928814000000003</v>
      </c>
      <c r="AE40" s="113">
        <f t="shared" si="2"/>
        <v>53073.1779356932</v>
      </c>
      <c r="AF40" s="114">
        <f>VLOOKUP($E40,武器奇术!$A:$R,3,FALSE)*(1+IF(VLOOKUP($E40,武器奇术!$A:$R,15,FALSE)="武器",$E$15,0))</f>
        <v>1269</v>
      </c>
      <c r="AG40" s="112">
        <f t="shared" si="3"/>
        <v>1269</v>
      </c>
      <c r="AH40" s="112">
        <f>VLOOKUP($E40,武器奇术!$A:$R,3,FALSE)*(1+IF(VLOOKUP($E40,武器奇术!$A:$R,15,FALSE)="武器",$E$15,0))</f>
        <v>1269</v>
      </c>
      <c r="AI40" s="101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AJ40" s="111">
        <f>$E$5+IF(VLOOKUP($E40,武器奇术!$A:$U,21,FALSE)=1,0,0.09)</f>
        <v>0.115</v>
      </c>
      <c r="AK40" s="109">
        <v>1</v>
      </c>
      <c r="AL40" s="112">
        <f t="shared" si="35"/>
        <v>1757.34927</v>
      </c>
      <c r="AM40" s="110">
        <f>(1-IF(VLOOKUP($E40,武器奇术!$A:$T,20,FALSE)=1,1,$N40))*(1-$M40)</f>
        <v>0.01072666</v>
      </c>
      <c r="AN40" s="112">
        <f>AG40*(1+AI40)*(1+AJ40)*AK40*(1+$E$16+VLOOKUP($E40,武器奇术!$A:$R,8,FALSE))</f>
        <v>2882.0528028</v>
      </c>
      <c r="AO40" s="110">
        <f t="shared" si="4"/>
        <v>0.8813852</v>
      </c>
      <c r="AP40" s="112">
        <f>AH40*(1+AI40)*(1+AJ40)*AK40*(1+$E$17+VLOOKUP($E40,武器奇术!$A:$R,10,FALSE))</f>
        <v>2372.4215145</v>
      </c>
      <c r="AQ40" s="110">
        <f t="shared" si="5"/>
        <v>0.0986</v>
      </c>
      <c r="AR40" s="112">
        <f t="shared" si="6"/>
        <v>1757.34927</v>
      </c>
      <c r="AS40" s="110">
        <f t="shared" si="7"/>
        <v>0.00928814000000003</v>
      </c>
      <c r="AT40" s="113">
        <f t="shared" si="8"/>
        <v>2809.29244150533</v>
      </c>
      <c r="AU40" s="108">
        <f>$B$7*IF($G$5="撼天",1.05,1)+IF(AND(VLOOKUP($E40,武器奇术!$A:$R,15,FALSE)="武器",VLOOKUP($E40,武器奇术!$A:$R,17,FALSE)="鸣金"),$E$3,0)*(1+$E$15)</f>
        <v>0</v>
      </c>
      <c r="AV40" s="99">
        <f>(AU40+AW40)*IF(VLOOKUP($E40,武器奇术!$A:$Z,21,FALSE)=1,$G$15,0.5)</f>
        <v>0</v>
      </c>
      <c r="AW40" s="109">
        <f>MAX($C$7*IF($G$5="撼天",1.05,1)+IF(AND(VLOOKUP($E40,武器奇术!$A:$R,15,FALSE)="武器",VLOOKUP($E40,武器奇术!$A:$R,17,FALSE)="鸣金"),$E$3*(1+$E$15),0),AU40)</f>
        <v>0</v>
      </c>
      <c r="AX40" s="110">
        <f>IF(($D$7+IF(VLOOKUP($E40,武器奇术!$A:$R,17,FALSE)="鸣金",$D$15,0)+IF(VLOOKUP($E40,武器奇术!$A:$R,18,FALSE)=1,4,0)+IF(VLOOKUP($E40,武器奇术!$A:$S,19,FALSE)=1,20,0)-VLOOKUP($F$7,目标属性!$A:$R,6,FALSE))&gt;0,($D$7+IF(VLOOKUP($E40,武器奇术!$A:$R,17,FALSE)="鸣金",$D$15,0)+IF(VLOOKUP($E40,武器奇术!$A:$R,18,FALSE)=1,4,0)+IF(VLOOKUP($E40,武器奇术!$A:$S,19,FALSE)=1,20,0)-VLOOKUP($F$7,目标属性!$A:$R,6,FALSE))/200,($D$7+IF(VLOOKUP($E40,武器奇术!$A:$R,17,FALSE)="鸣金",$D$15,0)+IF(VLOOKUP($E40,武器奇术!$A:$R,18,FALSE)=1,4,0)+IF(VLOOKUP($E40,武器奇术!$A:$S,19,FALSE)=1,20,0)-VLOOKUP($F$7,目标属性!$A:$R,6,FALSE))/100)</f>
        <v>-0.24</v>
      </c>
      <c r="AY40" s="111">
        <f t="shared" si="9"/>
        <v>0</v>
      </c>
      <c r="AZ40" s="109">
        <v>1</v>
      </c>
      <c r="BA40" s="112">
        <f>AU40*IF(VLOOKUP($E40,武器奇术!$A:$R,17,FALSE)="鸣金",VLOOKUP($E40,武器奇术!$A:$R,4,FALSE),VLOOKUP($E40,武器奇术!$A:$R,2,FALSE))*(1+AX40)*(1+AY40)*AZ40</f>
        <v>0</v>
      </c>
      <c r="BB40" s="110">
        <f>(1-IF(VLOOKUP($E40,武器奇术!$A:$T,20,FALSE)=1,1,$N40))*(1-$M40)</f>
        <v>0.01072666</v>
      </c>
      <c r="BC40" s="112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10">
        <f t="shared" si="10"/>
        <v>0.8813852</v>
      </c>
      <c r="BE40" s="112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10">
        <f t="shared" si="11"/>
        <v>0.0986</v>
      </c>
      <c r="BG40" s="112">
        <f>AV40*IF(VLOOKUP($E40,武器奇术!$A:$R,17,FALSE)="鸣金",VLOOKUP($E40,武器奇术!$A:$R,4,FALSE),VLOOKUP($E40,武器奇术!$A:$R,2,FALSE))*(1+AX40)*(1+AY40)*AZ40</f>
        <v>0</v>
      </c>
      <c r="BH40" s="110">
        <f t="shared" si="12"/>
        <v>0.00928814000000003</v>
      </c>
      <c r="BI40" s="113">
        <f t="shared" si="13"/>
        <v>0</v>
      </c>
      <c r="BJ40" s="108">
        <f>$B$9*IF($G$5="撼天",1.05,1)+IF(AND(VLOOKUP($E40,武器奇术!$A:$R,15,FALSE)="武器",VLOOKUP($E40,武器奇术!$A:$R,17,FALSE)="裂石"),$E$3,0)*(1+$E$15)</f>
        <v>0</v>
      </c>
      <c r="BK40" s="99">
        <f>(BJ40+BL40)*IF(VLOOKUP($E40,武器奇术!$A:$Z,21,FALSE)=1,$G$15,0.5)</f>
        <v>0</v>
      </c>
      <c r="BL40" s="109">
        <f>MAX($C$9*IF($G$5="撼天",1.05,1)+IF(AND(VLOOKUP($E40,武器奇术!$A:$R,15,FALSE)="武器",VLOOKUP($E40,武器奇术!$A:$R,17,FALSE)="裂石"),$E$3*(1+$E$15),0),BJ40)</f>
        <v>0</v>
      </c>
      <c r="BM40" s="110">
        <f>IF(($D$9+IF(VLOOKUP($E40,武器奇术!$A:$R,17,FALSE)="裂石",$D$15,0)+IF(VLOOKUP($E40,武器奇术!$A:$R,18,FALSE)=1,4,0)+IF(VLOOKUP($E40,武器奇术!$A:$S,19,FALSE)=1,20,0)-VLOOKUP($F$7,目标属性!$A:$R,6,FALSE))&gt;0,($D$9+IF(VLOOKUP($E40,武器奇术!$A:$R,17,FALSE)="裂石",$D$15,0)+IF(VLOOKUP($E40,武器奇术!$A:$R,18,FALSE)=1,4,0)+IF(VLOOKUP($E40,武器奇术!$A:$S,19,FALSE)=1,20,0)-VLOOKUP($F$7,目标属性!$A:$R,6,FALSE))/200,($D$9+IF(VLOOKUP($E40,武器奇术!$A:$R,17,FALSE)="裂石",$D$15,0)+IF(VLOOKUP($E40,武器奇术!$A:$R,18,FALSE)=1,4,0)+IF(VLOOKUP($E40,武器奇术!$A:$S,19,FALSE)=1,20,0)-VLOOKUP($F$7,目标属性!$A:$R,6,FALSE))/100)</f>
        <v>-0.24</v>
      </c>
      <c r="BN40" s="111">
        <f t="shared" si="14"/>
        <v>0</v>
      </c>
      <c r="BO40" s="109">
        <v>1</v>
      </c>
      <c r="BP40" s="112">
        <f>BJ40*IF(VLOOKUP($E40,武器奇术!$A:$R,17,FALSE)="裂石",VLOOKUP($E40,武器奇术!$A:$R,4,FALSE),VLOOKUP($E40,武器奇术!$A:$R,2,FALSE))*(1+BM40)*(1+BN40)*BO40</f>
        <v>0</v>
      </c>
      <c r="BQ40" s="110">
        <f>(1-IF(VLOOKUP($E40,武器奇术!$A:$T,20,FALSE)=1,1,$N40))*(1-$M40)</f>
        <v>0.01072666</v>
      </c>
      <c r="BR40" s="112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10">
        <f t="shared" si="15"/>
        <v>0.8813852</v>
      </c>
      <c r="BT40" s="112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10">
        <f t="shared" si="16"/>
        <v>0.0986</v>
      </c>
      <c r="BV40" s="112">
        <f>BK40*IF(VLOOKUP($E40,武器奇术!$A:$R,17,FALSE)="裂石",VLOOKUP($E40,武器奇术!$A:$R,4,FALSE),VLOOKUP($E40,武器奇术!$A:$R,2,FALSE))*(1+BM40)*(1+BN40)*BO40</f>
        <v>0</v>
      </c>
      <c r="BW40" s="110">
        <f t="shared" si="17"/>
        <v>0.00928814000000003</v>
      </c>
      <c r="BX40" s="113">
        <f t="shared" si="18"/>
        <v>0</v>
      </c>
      <c r="BY40" s="108">
        <f>$B$11*IF($G$5="撼天",1.05,1)+IF(AND(VLOOKUP($E40,武器奇术!$A:$R,15,FALSE)="武器",VLOOKUP($E40,武器奇术!$A:$R,17,FALSE)="牵丝"),$E$3,0)*(1+$E$15)</f>
        <v>0</v>
      </c>
      <c r="BZ40" s="99">
        <f>(BY40+CA40)*IF(VLOOKUP($E40,武器奇术!$A:$Z,21,FALSE)=1,$G$15,0.5)</f>
        <v>0</v>
      </c>
      <c r="CA40" s="109">
        <f>MAX($C$11*IF($G$5="撼天",1.05,1)+IF(AND(VLOOKUP($E40,武器奇术!$A:$R,15,FALSE)="武器",VLOOKUP($E40,武器奇术!$A:$R,17,FALSE)="牵丝"),$E$3*(1+$E$15),0),BY40)</f>
        <v>0</v>
      </c>
      <c r="CB40" s="110">
        <f>IF(($D$11+IF(VLOOKUP($E40,武器奇术!$A:$R,17,FALSE)="牵丝",$D$15,0)+IF(VLOOKUP($E40,武器奇术!$A:$R,18,FALSE)=1,4,0)+IF(VLOOKUP($E40,武器奇术!$A:$S,19,FALSE)=1,20,0)-VLOOKUP($F$7,目标属性!$A:$R,6,FALSE))&gt;0,($D$11+IF(VLOOKUP($E40,武器奇术!$A:$R,17,FALSE)="牵丝",$D$15,0)+IF(VLOOKUP($E40,武器奇术!$A:$R,18,FALSE)=1,4,0)+IF(VLOOKUP($E40,武器奇术!$A:$S,19,FALSE)=1,20,0)-VLOOKUP($F$7,目标属性!$A:$R,6,FALSE))/200,($D$11+IF(VLOOKUP($E40,武器奇术!$A:$R,17,FALSE)="牵丝",$D$15,0)+IF(VLOOKUP($E40,武器奇术!$A:$R,18,FALSE)=1,4,0)+IF(VLOOKUP($E40,武器奇术!$A:$S,19,FALSE)=1,20,0)-VLOOKUP($F$7,目标属性!$A:$R,6,FALSE))/100)</f>
        <v>-0.24</v>
      </c>
      <c r="CC40" s="111">
        <f t="shared" si="19"/>
        <v>0</v>
      </c>
      <c r="CD40" s="109">
        <v>1</v>
      </c>
      <c r="CE40" s="112">
        <f>BY40*IF(VLOOKUP($E40,武器奇术!$A:$R,17,FALSE)="牵丝",VLOOKUP($E40,武器奇术!$A:$R,4,FALSE),VLOOKUP($E40,武器奇术!$A:$R,2,FALSE))*(1+CB40)*(1+CC40)*CD40</f>
        <v>0</v>
      </c>
      <c r="CF40" s="110">
        <f>(1-IF(VLOOKUP($E40,武器奇术!$A:$T,20,FALSE)=1,1,$N40))*(1-$M40)</f>
        <v>0.01072666</v>
      </c>
      <c r="CG40" s="112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110">
        <f t="shared" si="20"/>
        <v>0.8813852</v>
      </c>
      <c r="CI40" s="112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110">
        <f t="shared" si="21"/>
        <v>0.0986</v>
      </c>
      <c r="CK40" s="112">
        <f>BZ40*IF(VLOOKUP($E40,武器奇术!$A:$R,17,FALSE)="牵丝",VLOOKUP($E40,武器奇术!$A:$R,4,FALSE),VLOOKUP($E40,武器奇术!$A:$R,2,FALSE))*(1+CB40)*(1+CC40)*CD40</f>
        <v>0</v>
      </c>
      <c r="CL40" s="110">
        <f t="shared" si="22"/>
        <v>0.00928814000000003</v>
      </c>
      <c r="CM40" s="113">
        <f t="shared" si="23"/>
        <v>0</v>
      </c>
      <c r="CN40" s="108">
        <f>$B$13*IF($G$5="撼天",1.05,1)+IF(AND(VLOOKUP($E40,武器奇术!$A:$R,15,FALSE)="武器",VLOOKUP($E40,武器奇术!$A:$R,17,FALSE)="破竹"),$E$3,0)*(1+$E$15)</f>
        <v>452.55</v>
      </c>
      <c r="CO40" s="99">
        <f>IF(VLOOKUP($E40,武器奇术!$A:$Z,20,FALSE)=1,(CP40-(CN40+CP40)*0.5)*($G$15-0.5)*2+(CN40+CP40)*0.5,(CN40+CP40)*0.5)</f>
        <v>679.35</v>
      </c>
      <c r="CP40" s="109">
        <f>MAX($C$13*IF($G$5="撼天",1.05,1)+IF(AND(VLOOKUP($E40,武器奇术!$A:$R,15,FALSE)="武器",VLOOKUP($E40,武器奇术!$A:$R,17,FALSE)="破竹"),$E$3*(1+$E$15),0),CN40)</f>
        <v>906.15</v>
      </c>
      <c r="CQ40" s="110">
        <f>IF(($D$13+IF(VLOOKUP($E40,武器奇术!$A:$R,17,FALSE)="破竹",$D$15,0)+IF(VLOOKUP($E40,武器奇术!$A:$R,18,FALSE)=1,4,0)+IF(VLOOKUP($E40,武器奇术!$A:$S,19,FALSE)=1,20,0)-VLOOKUP($F$7,目标属性!$A:$R,6,FALSE))&gt;0,($D$13+IF(VLOOKUP($E40,武器奇术!$A:$R,17,FALSE)="破竹",$D$15,0)+IF(VLOOKUP($E40,武器奇术!$A:$R,18,FALSE)=1,4,0)+IF(VLOOKUP($E40,武器奇术!$A:$S,19,FALSE)=1,20,0)-VLOOKUP($F$7,目标属性!$A:$R,6,FALSE))/200,($D$13+IF(VLOOKUP($E40,武器奇术!$A:$R,17,FALSE)="破竹",$D$15,0)+IF(VLOOKUP($E40,武器奇术!$A:$R,18,FALSE)=1,4,0)+IF(VLOOKUP($E40,武器奇术!$A:$S,19,FALSE)=1,20,0)-VLOOKUP($F$7,目标属性!$A:$R,6,FALSE))/100)</f>
        <v>0.025</v>
      </c>
      <c r="CR40" s="111">
        <f>$E$13+IF(VLOOKUP($E40,武器奇术!$A:$U,21,FALSE)=1,0,0.09)</f>
        <v>0.235</v>
      </c>
      <c r="CS40" s="109">
        <v>1</v>
      </c>
      <c r="CT40" s="112">
        <f>CN40*IF(VLOOKUP($E40,武器奇术!$A:$R,17,FALSE)="破竹",VLOOKUP($E40,武器奇术!$A:$R,4,FALSE),VLOOKUP($E40,武器奇术!$A:$R,2,FALSE))*(1+CQ40)*(1+CR40)*CS40</f>
        <v>6106.5835064325</v>
      </c>
      <c r="CU40" s="110">
        <f>(1-IF(VLOOKUP($E40,武器奇术!$A:$T,20,FALSE)=1,1,$N40))*(1-$M40)</f>
        <v>0.01072666</v>
      </c>
      <c r="CV40" s="112">
        <f>CO40*IF(VLOOKUP($E40,武器奇术!$A:$R,17,FALSE)="破竹",VLOOKUP($E40,武器奇术!$A:$R,4,FALSE),VLOOKUP($E40,武器奇术!$A:$R,2,FALSE))*(1+CQ40)*(1+CR40)*CS40*(1+$E$16+VLOOKUP($E40,武器奇术!$A:$R,8,FALSE))</f>
        <v>15033.8135197341</v>
      </c>
      <c r="CW40" s="110">
        <f t="shared" si="24"/>
        <v>0.8813852</v>
      </c>
      <c r="CX40" s="112">
        <f>CP40*IF(VLOOKUP($E40,武器奇术!$A:$R,17,FALSE)="破竹",VLOOKUP($E40,武器奇术!$A:$R,4,FALSE),VLOOKUP($E40,武器奇术!$A:$R,2,FALSE))*(1+CQ40)*(1+CR40)*CS40*(1+$E$17+VLOOKUP($E40,武器奇术!$A:$R,10,FALSE))</f>
        <v>16506.9028170979</v>
      </c>
      <c r="CY40" s="110">
        <f t="shared" si="25"/>
        <v>0.0986</v>
      </c>
      <c r="CZ40" s="112">
        <f>CO40*IF(VLOOKUP($E40,武器奇术!$A:$R,17,FALSE)="破竹",VLOOKUP($E40,武器奇术!$A:$R,4,FALSE),VLOOKUP($E40,武器奇术!$A:$R,2,FALSE))*(1+CQ40)*(1+CR40)*CS40</f>
        <v>9166.9594632525</v>
      </c>
      <c r="DA40" s="110">
        <f t="shared" si="26"/>
        <v>0.00928814000000003</v>
      </c>
      <c r="DB40" s="113">
        <f t="shared" si="27"/>
        <v>15028.8086015235</v>
      </c>
      <c r="DC40" s="108">
        <f t="shared" si="36"/>
        <v>69.3</v>
      </c>
      <c r="DD40" s="99">
        <f>(DC40+DE40)*IF(VLOOKUP($E40,武器奇术!$A:$Z,21,FALSE)=1,$G$15,0.5)</f>
        <v>69.3</v>
      </c>
      <c r="DE40" s="109">
        <f t="shared" si="37"/>
        <v>69.3</v>
      </c>
      <c r="DF40" s="110">
        <f>IF(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100)</f>
        <v>0.025</v>
      </c>
      <c r="DG40" s="111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U,21,FALSE)=1,0,0.09)</f>
        <v>0.235</v>
      </c>
      <c r="DH40" s="109">
        <v>1</v>
      </c>
      <c r="DI40" s="112">
        <f>DC40*IF(VLOOKUP($E40,武器奇术!$A:$R,17,FALSE)="破竹",VLOOKUP($E40,武器奇术!$A:$R,4,FALSE),VLOOKUP($E40,武器奇术!$A:$R,2,FALSE))*(1+DF40)*(1+DG40)*DH40</f>
        <v>935.114875695</v>
      </c>
      <c r="DJ40" s="110">
        <f>(1-IF(VLOOKUP($E40,武器奇术!$A:$T,20,FALSE)=1,1,$N40))*(1-$M40)</f>
        <v>0.01072666</v>
      </c>
      <c r="DK40" s="112">
        <f>DD40*IF(VLOOKUP($E40,武器奇术!$A:$R,17,FALSE)="破竹",VLOOKUP($E40,武器奇术!$A:$R,4,FALSE),VLOOKUP($E40,武器奇术!$A:$R,2,FALSE))*(1+DF40)*(1+DG40)*DH40*(1+$E$16+VLOOKUP($E40,武器奇术!$A:$R,8,FALSE))</f>
        <v>1533.5883961398</v>
      </c>
      <c r="DL40" s="110">
        <f t="shared" si="28"/>
        <v>0.8813852</v>
      </c>
      <c r="DM40" s="112">
        <f>DE40*IF(VLOOKUP($E40,武器奇术!$A:$R,17,FALSE)="破竹",VLOOKUP($E40,武器奇术!$A:$R,4,FALSE),VLOOKUP($E40,武器奇术!$A:$R,2,FALSE))*(1+DF40)*(1+DG40)*DH40*(1+$E$17+VLOOKUP($E40,武器奇术!$A:$R,10,FALSE))</f>
        <v>1262.40508218825</v>
      </c>
      <c r="DN40" s="110">
        <f t="shared" si="29"/>
        <v>0.0986</v>
      </c>
      <c r="DO40" s="112">
        <f>DD40*IF(VLOOKUP($E40,武器奇术!$A:$R,17,FALSE)="破竹",VLOOKUP($E40,武器奇术!$A:$R,4,FALSE),VLOOKUP($E40,武器奇术!$A:$R,2,FALSE))*(1+DF40)*(1+DG40)*DH40</f>
        <v>935.114875695</v>
      </c>
      <c r="DP40" s="110">
        <f t="shared" si="30"/>
        <v>0.00928814000000003</v>
      </c>
      <c r="DQ40" s="113">
        <f t="shared" si="31"/>
        <v>1494.87139356718</v>
      </c>
    </row>
    <row r="41" spans="2:121">
      <c r="B41" s="135"/>
      <c r="C41" s="136"/>
      <c r="D41" s="137"/>
      <c r="E41" s="98" t="s">
        <v>132</v>
      </c>
      <c r="F41" s="99">
        <v>1</v>
      </c>
      <c r="G41" s="115"/>
      <c r="H41" s="100">
        <f>IF(VLOOKUP($E41,武器奇术!$A:$R,18,FALSE)="天工",AE41,(AE41+AT41+BI41+BX41+CM41+DB41+DQ41))*(1+J41)*F41*K41*(1+G41)</f>
        <v>41596.405622604</v>
      </c>
      <c r="I41" s="101">
        <f t="shared" si="0"/>
        <v>0.00513561344334605</v>
      </c>
      <c r="J41" s="116">
        <f>$F$3+VLOOKUP($E41,武器奇术!$A:$R,12,FALSE)+VLOOKUP($E41,武器奇术!$A:$R,14,FALSE)*$G$3+$P41+IF($F$21="√",5%,0)</f>
        <v>0.523</v>
      </c>
      <c r="K41" s="102">
        <f>VLOOKUP($E41,武器奇术!$A:$R,11,FALSE)</f>
        <v>1</v>
      </c>
      <c r="L41" s="117">
        <f>IF(VLOOKUP($E41,武器奇术!$A:$R,15,FALSE)="天工",0%,IF($C$17+VLOOKUP($E41,武器奇术!$A:$R,7,FALSE)&gt;80%,80%,$C$17+VLOOKUP($E41,武器奇术!$A:$R,7,FALSE))+IF($C$19&gt;20%,20%,$C$19))</f>
        <v>0.892</v>
      </c>
      <c r="M41" s="118">
        <f>IF(VLOOKUP($E41,武器奇术!$A:$R,15,FALSE)="天工",0%,IF($C$18+VLOOKUP($E41,武器奇术!$A:$R,9,FALSE)&gt;40%,40%,$C$18+VLOOKUP($E41,武器奇术!$A:$R,9,FALSE))+IF($C$20&gt;10%,10%,$C$20))</f>
        <v>0.0986</v>
      </c>
      <c r="N41" s="119">
        <f>IF(VLOOKUP($E41,武器奇术!$A:$R,15,FALSE)="天工",100%,MIN($C$16,1))</f>
        <v>0.9881</v>
      </c>
      <c r="O41" s="120" t="str">
        <f>VLOOKUP($E41,武器奇术!$A:$R,16,FALSE)</f>
        <v>拳甲</v>
      </c>
      <c r="P41" s="121">
        <f t="shared" si="32"/>
        <v>0.17</v>
      </c>
      <c r="Q41" s="108">
        <f>$B$5*(1+VLOOKUP($E41,武器奇术!$A:$R,5,FALSE)+IF($G$5="飞隼",0.1,0)+IF($G$5="撼天",0.05,0))-$F$9+IF($I$5="√",160,0)</f>
        <v>1731.135</v>
      </c>
      <c r="R41" s="99">
        <f>IF(VLOOKUP($E41,武器奇术!$A:$Z,20,FALSE)=1,(S41-(Q41+S41)*0.5)*($G$15-0.5)*2+(Q41+S41)*0.5,(Q41+S41)*0.5)</f>
        <v>3256.775</v>
      </c>
      <c r="S41" s="109">
        <f>MAX($C$5,$B$5)*(1+VLOOKUP($E41,武器奇术!$A:$R,5,FALSE)+IF($G$5="飞隼",0.1,0)+IF($G$5="撼天",0.05,0))-$F$9+IF($I$5="√",320,0)</f>
        <v>4782.415</v>
      </c>
      <c r="T41" s="101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U41" s="111">
        <f>$E$5+IF(VLOOKUP($E41,武器奇术!$A:$U,21,FALSE)=1,0,0.09)</f>
        <v>0.115</v>
      </c>
      <c r="V41" s="109">
        <v>1</v>
      </c>
      <c r="W41" s="112">
        <f>Q41*VLOOKUP($E41,武器奇术!$A:$R,2,FALSE)*(1+T41)*(1+U41)*V41</f>
        <v>5854.51393233431</v>
      </c>
      <c r="X41" s="110">
        <f>(1-IF(VLOOKUP($E41,武器奇术!$A:$T,20,FALSE)=1,1,$N41))*(1-$M41)</f>
        <v>0.01072666</v>
      </c>
      <c r="Y41" s="112">
        <f>R41*VLOOKUP($E41,武器奇术!$A:$R,2,FALSE)*(1+T41)*(1+U41)*V41*(1+$E$16+VLOOKUP($E41,武器奇术!$A:$R,8,FALSE))</f>
        <v>18063.0677351241</v>
      </c>
      <c r="Z41" s="110">
        <f t="shared" si="33"/>
        <v>0.8813852</v>
      </c>
      <c r="AA41" s="112">
        <f>S41*VLOOKUP($E41,武器奇术!$A:$R,2,FALSE)*(1+T41)*(1+U41)*V41*(1+$E$17+VLOOKUP($E41,武器奇术!$A:$R,10,FALSE))</f>
        <v>21834.3835601505</v>
      </c>
      <c r="AB41" s="110">
        <f t="shared" si="34"/>
        <v>0.0986</v>
      </c>
      <c r="AC41" s="112">
        <f>R41*VLOOKUP($E41,武器奇术!$A:$R,2,FALSE)*(1+T41)*(1+U41)*V41</f>
        <v>11014.0656921488</v>
      </c>
      <c r="AD41" s="110">
        <f t="shared" si="1"/>
        <v>0.00928814000000003</v>
      </c>
      <c r="AE41" s="113">
        <f t="shared" si="2"/>
        <v>18238.490351902</v>
      </c>
      <c r="AF41" s="114">
        <f>VLOOKUP($E41,武器奇术!$A:$R,3,FALSE)*(1+IF(VLOOKUP($E41,武器奇术!$A:$R,15,FALSE)="武器",$E$15,0))</f>
        <v>877.5</v>
      </c>
      <c r="AG41" s="112">
        <f t="shared" si="3"/>
        <v>877.5</v>
      </c>
      <c r="AH41" s="112">
        <f>VLOOKUP($E41,武器奇术!$A:$R,3,FALSE)*(1+IF(VLOOKUP($E41,武器奇术!$A:$R,15,FALSE)="武器",$E$15,0))</f>
        <v>877.5</v>
      </c>
      <c r="AI41" s="101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AJ41" s="111">
        <f>$E$5+IF(VLOOKUP($E41,武器奇术!$A:$U,21,FALSE)=1,0,0.09)</f>
        <v>0.115</v>
      </c>
      <c r="AK41" s="109">
        <v>1</v>
      </c>
      <c r="AL41" s="112">
        <f t="shared" si="35"/>
        <v>1215.188325</v>
      </c>
      <c r="AM41" s="110">
        <f>(1-IF(VLOOKUP($E41,武器奇术!$A:$T,20,FALSE)=1,1,$N41))*(1-$M41)</f>
        <v>0.01072666</v>
      </c>
      <c r="AN41" s="112">
        <f>AG41*(1+AI41)*(1+AJ41)*AK41*(1+$E$16+VLOOKUP($E41,武器奇术!$A:$R,8,FALSE))</f>
        <v>1992.908853</v>
      </c>
      <c r="AO41" s="110">
        <f t="shared" si="4"/>
        <v>0.8813852</v>
      </c>
      <c r="AP41" s="112">
        <f>AH41*(1+AI41)*(1+AJ41)*AK41*(1+$E$17+VLOOKUP($E41,武器奇术!$A:$R,10,FALSE))</f>
        <v>1640.50423875</v>
      </c>
      <c r="AQ41" s="110">
        <f t="shared" si="5"/>
        <v>0.0986</v>
      </c>
      <c r="AR41" s="112">
        <f t="shared" si="6"/>
        <v>1215.188325</v>
      </c>
      <c r="AS41" s="110">
        <f t="shared" si="7"/>
        <v>0.00928814000000003</v>
      </c>
      <c r="AT41" s="113">
        <f t="shared" si="8"/>
        <v>1942.59583721114</v>
      </c>
      <c r="AU41" s="108">
        <f>$B$7*IF($G$5="撼天",1.05,1)+IF(AND(VLOOKUP($E41,武器奇术!$A:$R,15,FALSE)="武器",VLOOKUP($E41,武器奇术!$A:$R,17,FALSE)="鸣金"),$E$3,0)*(1+$E$15)</f>
        <v>0</v>
      </c>
      <c r="AV41" s="99">
        <f>(AU41+AW41)*IF(VLOOKUP($E41,武器奇术!$A:$Z,21,FALSE)=1,$G$15,0.5)</f>
        <v>0</v>
      </c>
      <c r="AW41" s="109">
        <f>MAX($C$7*IF($G$5="撼天",1.05,1)+IF(AND(VLOOKUP($E41,武器奇术!$A:$R,15,FALSE)="武器",VLOOKUP($E41,武器奇术!$A:$R,17,FALSE)="鸣金"),$E$3*(1+$E$15),0),AU41)</f>
        <v>0</v>
      </c>
      <c r="AX41" s="110">
        <f>IF(($D$7+IF(VLOOKUP($E41,武器奇术!$A:$R,17,FALSE)="鸣金",$D$15,0)+IF(VLOOKUP($E41,武器奇术!$A:$R,18,FALSE)=1,4,0)+IF(VLOOKUP($E41,武器奇术!$A:$S,19,FALSE)=1,20,0)-VLOOKUP($F$7,目标属性!$A:$R,6,FALSE))&gt;0,($D$7+IF(VLOOKUP($E41,武器奇术!$A:$R,17,FALSE)="鸣金",$D$15,0)+IF(VLOOKUP($E41,武器奇术!$A:$R,18,FALSE)=1,4,0)+IF(VLOOKUP($E41,武器奇术!$A:$S,19,FALSE)=1,20,0)-VLOOKUP($F$7,目标属性!$A:$R,6,FALSE))/200,($D$7+IF(VLOOKUP($E41,武器奇术!$A:$R,17,FALSE)="鸣金",$D$15,0)+IF(VLOOKUP($E41,武器奇术!$A:$R,18,FALSE)=1,4,0)+IF(VLOOKUP($E41,武器奇术!$A:$S,19,FALSE)=1,20,0)-VLOOKUP($F$7,目标属性!$A:$R,6,FALSE))/100)</f>
        <v>-0.24</v>
      </c>
      <c r="AY41" s="111">
        <f t="shared" si="9"/>
        <v>0</v>
      </c>
      <c r="AZ41" s="109">
        <v>1</v>
      </c>
      <c r="BA41" s="112">
        <f>AU41*IF(VLOOKUP($E41,武器奇术!$A:$R,17,FALSE)="鸣金",VLOOKUP($E41,武器奇术!$A:$R,4,FALSE),VLOOKUP($E41,武器奇术!$A:$R,2,FALSE))*(1+AX41)*(1+AY41)*AZ41</f>
        <v>0</v>
      </c>
      <c r="BB41" s="110">
        <f>(1-IF(VLOOKUP($E41,武器奇术!$A:$T,20,FALSE)=1,1,$N41))*(1-$M41)</f>
        <v>0.01072666</v>
      </c>
      <c r="BC41" s="112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10">
        <f t="shared" si="10"/>
        <v>0.8813852</v>
      </c>
      <c r="BE41" s="112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10">
        <f t="shared" si="11"/>
        <v>0.0986</v>
      </c>
      <c r="BG41" s="112">
        <f>AV41*IF(VLOOKUP($E41,武器奇术!$A:$R,17,FALSE)="鸣金",VLOOKUP($E41,武器奇术!$A:$R,4,FALSE),VLOOKUP($E41,武器奇术!$A:$R,2,FALSE))*(1+AX41)*(1+AY41)*AZ41</f>
        <v>0</v>
      </c>
      <c r="BH41" s="110">
        <f t="shared" si="12"/>
        <v>0.00928814000000003</v>
      </c>
      <c r="BI41" s="113">
        <f t="shared" si="13"/>
        <v>0</v>
      </c>
      <c r="BJ41" s="108">
        <f>$B$9*IF($G$5="撼天",1.05,1)+IF(AND(VLOOKUP($E41,武器奇术!$A:$R,15,FALSE)="武器",VLOOKUP($E41,武器奇术!$A:$R,17,FALSE)="裂石"),$E$3,0)*(1+$E$15)</f>
        <v>0</v>
      </c>
      <c r="BK41" s="99">
        <f>(BJ41+BL41)*IF(VLOOKUP($E41,武器奇术!$A:$Z,21,FALSE)=1,$G$15,0.5)</f>
        <v>0</v>
      </c>
      <c r="BL41" s="109">
        <f>MAX($C$9*IF($G$5="撼天",1.05,1)+IF(AND(VLOOKUP($E41,武器奇术!$A:$R,15,FALSE)="武器",VLOOKUP($E41,武器奇术!$A:$R,17,FALSE)="裂石"),$E$3*(1+$E$15),0),BJ41)</f>
        <v>0</v>
      </c>
      <c r="BM41" s="110">
        <f>IF(($D$9+IF(VLOOKUP($E41,武器奇术!$A:$R,17,FALSE)="裂石",$D$15,0)+IF(VLOOKUP($E41,武器奇术!$A:$R,18,FALSE)=1,4,0)+IF(VLOOKUP($E41,武器奇术!$A:$S,19,FALSE)=1,20,0)-VLOOKUP($F$7,目标属性!$A:$R,6,FALSE))&gt;0,($D$9+IF(VLOOKUP($E41,武器奇术!$A:$R,17,FALSE)="裂石",$D$15,0)+IF(VLOOKUP($E41,武器奇术!$A:$R,18,FALSE)=1,4,0)+IF(VLOOKUP($E41,武器奇术!$A:$S,19,FALSE)=1,20,0)-VLOOKUP($F$7,目标属性!$A:$R,6,FALSE))/200,($D$9+IF(VLOOKUP($E41,武器奇术!$A:$R,17,FALSE)="裂石",$D$15,0)+IF(VLOOKUP($E41,武器奇术!$A:$R,18,FALSE)=1,4,0)+IF(VLOOKUP($E41,武器奇术!$A:$S,19,FALSE)=1,20,0)-VLOOKUP($F$7,目标属性!$A:$R,6,FALSE))/100)</f>
        <v>-0.24</v>
      </c>
      <c r="BN41" s="111">
        <f t="shared" si="14"/>
        <v>0</v>
      </c>
      <c r="BO41" s="109">
        <v>1</v>
      </c>
      <c r="BP41" s="112">
        <f>BJ41*IF(VLOOKUP($E41,武器奇术!$A:$R,17,FALSE)="裂石",VLOOKUP($E41,武器奇术!$A:$R,4,FALSE),VLOOKUP($E41,武器奇术!$A:$R,2,FALSE))*(1+BM41)*(1+BN41)*BO41</f>
        <v>0</v>
      </c>
      <c r="BQ41" s="110">
        <f>(1-IF(VLOOKUP($E41,武器奇术!$A:$T,20,FALSE)=1,1,$N41))*(1-$M41)</f>
        <v>0.01072666</v>
      </c>
      <c r="BR41" s="112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10">
        <f t="shared" si="15"/>
        <v>0.8813852</v>
      </c>
      <c r="BT41" s="112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10">
        <f t="shared" si="16"/>
        <v>0.0986</v>
      </c>
      <c r="BV41" s="112">
        <f>BK41*IF(VLOOKUP($E41,武器奇术!$A:$R,17,FALSE)="裂石",VLOOKUP($E41,武器奇术!$A:$R,4,FALSE),VLOOKUP($E41,武器奇术!$A:$R,2,FALSE))*(1+BM41)*(1+BN41)*BO41</f>
        <v>0</v>
      </c>
      <c r="BW41" s="110">
        <f t="shared" si="17"/>
        <v>0.00928814000000003</v>
      </c>
      <c r="BX41" s="113">
        <f t="shared" si="18"/>
        <v>0</v>
      </c>
      <c r="BY41" s="108">
        <f>$B$11*IF($G$5="撼天",1.05,1)+IF(AND(VLOOKUP($E41,武器奇术!$A:$R,15,FALSE)="武器",VLOOKUP($E41,武器奇术!$A:$R,17,FALSE)="牵丝"),$E$3,0)*(1+$E$15)</f>
        <v>0</v>
      </c>
      <c r="BZ41" s="99">
        <f>(BY41+CA41)*IF(VLOOKUP($E41,武器奇术!$A:$Z,21,FALSE)=1,$G$15,0.5)</f>
        <v>0</v>
      </c>
      <c r="CA41" s="109">
        <f>MAX($C$11*IF($G$5="撼天",1.05,1)+IF(AND(VLOOKUP($E41,武器奇术!$A:$R,15,FALSE)="武器",VLOOKUP($E41,武器奇术!$A:$R,17,FALSE)="牵丝"),$E$3*(1+$E$15),0),BY41)</f>
        <v>0</v>
      </c>
      <c r="CB41" s="110">
        <f>IF(($D$11+IF(VLOOKUP($E41,武器奇术!$A:$R,17,FALSE)="牵丝",$D$15,0)+IF(VLOOKUP($E41,武器奇术!$A:$R,18,FALSE)=1,4,0)+IF(VLOOKUP($E41,武器奇术!$A:$S,19,FALSE)=1,20,0)-VLOOKUP($F$7,目标属性!$A:$R,6,FALSE))&gt;0,($D$11+IF(VLOOKUP($E41,武器奇术!$A:$R,17,FALSE)="牵丝",$D$15,0)+IF(VLOOKUP($E41,武器奇术!$A:$R,18,FALSE)=1,4,0)+IF(VLOOKUP($E41,武器奇术!$A:$S,19,FALSE)=1,20,0)-VLOOKUP($F$7,目标属性!$A:$R,6,FALSE))/200,($D$11+IF(VLOOKUP($E41,武器奇术!$A:$R,17,FALSE)="牵丝",$D$15,0)+IF(VLOOKUP($E41,武器奇术!$A:$R,18,FALSE)=1,4,0)+IF(VLOOKUP($E41,武器奇术!$A:$S,19,FALSE)=1,20,0)-VLOOKUP($F$7,目标属性!$A:$R,6,FALSE))/100)</f>
        <v>-0.24</v>
      </c>
      <c r="CC41" s="111">
        <f t="shared" si="19"/>
        <v>0</v>
      </c>
      <c r="CD41" s="109">
        <v>1</v>
      </c>
      <c r="CE41" s="112">
        <f>BY41*IF(VLOOKUP($E41,武器奇术!$A:$R,17,FALSE)="牵丝",VLOOKUP($E41,武器奇术!$A:$R,4,FALSE),VLOOKUP($E41,武器奇术!$A:$R,2,FALSE))*(1+CB41)*(1+CC41)*CD41</f>
        <v>0</v>
      </c>
      <c r="CF41" s="110">
        <f>(1-IF(VLOOKUP($E41,武器奇术!$A:$T,20,FALSE)=1,1,$N41))*(1-$M41)</f>
        <v>0.01072666</v>
      </c>
      <c r="CG41" s="112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110">
        <f t="shared" si="20"/>
        <v>0.8813852</v>
      </c>
      <c r="CI41" s="112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110">
        <f t="shared" si="21"/>
        <v>0.0986</v>
      </c>
      <c r="CK41" s="112">
        <f>BZ41*IF(VLOOKUP($E41,武器奇术!$A:$R,17,FALSE)="牵丝",VLOOKUP($E41,武器奇术!$A:$R,4,FALSE),VLOOKUP($E41,武器奇术!$A:$R,2,FALSE))*(1+CB41)*(1+CC41)*CD41</f>
        <v>0</v>
      </c>
      <c r="CL41" s="110">
        <f t="shared" si="22"/>
        <v>0.00928814000000003</v>
      </c>
      <c r="CM41" s="113">
        <f t="shared" si="23"/>
        <v>0</v>
      </c>
      <c r="CN41" s="108">
        <f>$B$13*IF($G$5="撼天",1.05,1)+IF(AND(VLOOKUP($E41,武器奇术!$A:$R,15,FALSE)="武器",VLOOKUP($E41,武器奇术!$A:$R,17,FALSE)="破竹"),$E$3,0)*(1+$E$15)</f>
        <v>648.46</v>
      </c>
      <c r="CO41" s="99">
        <f>IF(VLOOKUP($E41,武器奇术!$A:$Z,20,FALSE)=1,(CP41-(CN41+CP41)*0.5)*($G$15-0.5)*2+(CN41+CP41)*0.5,(CN41+CP41)*0.5)</f>
        <v>875.26</v>
      </c>
      <c r="CP41" s="109">
        <f>MAX($C$13*IF($G$5="撼天",1.05,1)+IF(AND(VLOOKUP($E41,武器奇术!$A:$R,15,FALSE)="武器",VLOOKUP($E41,武器奇术!$A:$R,17,FALSE)="破竹"),$E$3*(1+$E$15),0),CN41)</f>
        <v>1102.06</v>
      </c>
      <c r="CQ41" s="110">
        <f>IF(($D$13+IF(VLOOKUP($E41,武器奇术!$A:$R,17,FALSE)="破竹",$D$15,0)+IF(VLOOKUP($E41,武器奇术!$A:$R,18,FALSE)=1,4,0)+IF(VLOOKUP($E41,武器奇术!$A:$S,19,FALSE)=1,20,0)-VLOOKUP($F$7,目标属性!$A:$R,6,FALSE))&gt;0,($D$13+IF(VLOOKUP($E41,武器奇术!$A:$R,17,FALSE)="破竹",$D$15,0)+IF(VLOOKUP($E41,武器奇术!$A:$R,18,FALSE)=1,4,0)+IF(VLOOKUP($E41,武器奇术!$A:$S,19,FALSE)=1,20,0)-VLOOKUP($F$7,目标属性!$A:$R,6,FALSE))/200,($D$13+IF(VLOOKUP($E41,武器奇术!$A:$R,17,FALSE)="破竹",$D$15,0)+IF(VLOOKUP($E41,武器奇术!$A:$R,18,FALSE)=1,4,0)+IF(VLOOKUP($E41,武器奇术!$A:$S,19,FALSE)=1,20,0)-VLOOKUP($F$7,目标属性!$A:$R,6,FALSE))/100)</f>
        <v>0.025</v>
      </c>
      <c r="CR41" s="111">
        <f>$E$13+IF(VLOOKUP($E41,武器奇术!$A:$U,21,FALSE)=1,0,0.09)</f>
        <v>0.235</v>
      </c>
      <c r="CS41" s="109">
        <v>1</v>
      </c>
      <c r="CT41" s="112">
        <f>CN41*IF(VLOOKUP($E41,武器奇术!$A:$R,17,FALSE)="破竹",VLOOKUP($E41,武器奇术!$A:$R,4,FALSE),VLOOKUP($E41,武器奇术!$A:$R,2,FALSE))*(1+CQ41)*(1+CR41)*CS41</f>
        <v>3007.1726027785</v>
      </c>
      <c r="CU41" s="110">
        <f>(1-IF(VLOOKUP($E41,武器奇术!$A:$T,20,FALSE)=1,1,$N41))*(1-$M41)</f>
        <v>0.01072666</v>
      </c>
      <c r="CV41" s="112">
        <f>CO41*IF(VLOOKUP($E41,武器奇术!$A:$R,17,FALSE)="破竹",VLOOKUP($E41,武器奇术!$A:$R,4,FALSE),VLOOKUP($E41,武器奇术!$A:$R,2,FALSE))*(1+CQ41)*(1+CR41)*CS41*(1+$E$16+VLOOKUP($E41,武器奇术!$A:$R,8,FALSE))</f>
        <v>6656.65568174594</v>
      </c>
      <c r="CW41" s="110">
        <f t="shared" si="24"/>
        <v>0.8813852</v>
      </c>
      <c r="CX41" s="112">
        <f>CP41*IF(VLOOKUP($E41,武器奇术!$A:$R,17,FALSE)="破竹",VLOOKUP($E41,武器奇术!$A:$R,4,FALSE),VLOOKUP($E41,武器奇术!$A:$R,2,FALSE))*(1+CQ41)*(1+CR41)*CS41*(1+$E$17+VLOOKUP($E41,武器奇术!$A:$R,10,FALSE))</f>
        <v>6899.44524278198</v>
      </c>
      <c r="CY41" s="110">
        <f t="shared" si="25"/>
        <v>0.0986</v>
      </c>
      <c r="CZ41" s="112">
        <f>CO41*IF(VLOOKUP($E41,武器奇术!$A:$R,17,FALSE)="破竹",VLOOKUP($E41,武器奇术!$A:$R,4,FALSE),VLOOKUP($E41,武器奇术!$A:$R,2,FALSE))*(1+CQ41)*(1+CR41)*CS41</f>
        <v>4058.9363913085</v>
      </c>
      <c r="DA41" s="110">
        <f t="shared" si="26"/>
        <v>0.00928814000000003</v>
      </c>
      <c r="DB41" s="113">
        <f t="shared" si="27"/>
        <v>6617.31998784997</v>
      </c>
      <c r="DC41" s="108">
        <f t="shared" si="36"/>
        <v>69.3</v>
      </c>
      <c r="DD41" s="99">
        <f>(DC41+DE41)*IF(VLOOKUP($E41,武器奇术!$A:$Z,21,FALSE)=1,$G$15,0.5)</f>
        <v>69.3</v>
      </c>
      <c r="DE41" s="109">
        <f t="shared" si="37"/>
        <v>69.3</v>
      </c>
      <c r="DF41" s="110">
        <f>IF(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100)</f>
        <v>0.025</v>
      </c>
      <c r="DG41" s="111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U,21,FALSE)=1,0,0.09)</f>
        <v>0.235</v>
      </c>
      <c r="DH41" s="109">
        <v>1</v>
      </c>
      <c r="DI41" s="112">
        <f>DC41*IF(VLOOKUP($E41,武器奇术!$A:$R,17,FALSE)="破竹",VLOOKUP($E41,武器奇术!$A:$R,4,FALSE),VLOOKUP($E41,武器奇术!$A:$R,2,FALSE))*(1+DF41)*(1+DG41)*DH41</f>
        <v>321.3722687175</v>
      </c>
      <c r="DJ41" s="110">
        <f>(1-IF(VLOOKUP($E41,武器奇术!$A:$T,20,FALSE)=1,1,$N41))*(1-$M41)</f>
        <v>0.01072666</v>
      </c>
      <c r="DK41" s="112">
        <f>DD41*IF(VLOOKUP($E41,武器奇术!$A:$R,17,FALSE)="破竹",VLOOKUP($E41,武器奇术!$A:$R,4,FALSE),VLOOKUP($E41,武器奇术!$A:$R,2,FALSE))*(1+DF41)*(1+DG41)*DH41*(1+$E$16+VLOOKUP($E41,武器奇术!$A:$R,8,FALSE))</f>
        <v>527.0505206967</v>
      </c>
      <c r="DL41" s="110">
        <f t="shared" si="28"/>
        <v>0.8813852</v>
      </c>
      <c r="DM41" s="112">
        <f>DE41*IF(VLOOKUP($E41,武器奇术!$A:$R,17,FALSE)="破竹",VLOOKUP($E41,武器奇术!$A:$R,4,FALSE),VLOOKUP($E41,武器奇术!$A:$R,2,FALSE))*(1+DF41)*(1+DG41)*DH41*(1+$E$17+VLOOKUP($E41,武器奇术!$A:$R,10,FALSE))</f>
        <v>433.852562768625</v>
      </c>
      <c r="DN41" s="110">
        <f t="shared" si="29"/>
        <v>0.0986</v>
      </c>
      <c r="DO41" s="112">
        <f>DD41*IF(VLOOKUP($E41,武器奇术!$A:$R,17,FALSE)="破竹",VLOOKUP($E41,武器奇术!$A:$R,4,FALSE),VLOOKUP($E41,武器奇术!$A:$R,2,FALSE))*(1+DF41)*(1+DG41)*DH41</f>
        <v>321.3722687175</v>
      </c>
      <c r="DP41" s="110">
        <f t="shared" si="30"/>
        <v>0.00928814000000003</v>
      </c>
      <c r="DQ41" s="113">
        <f t="shared" si="31"/>
        <v>513.744592967279</v>
      </c>
    </row>
    <row r="42" spans="2:121">
      <c r="B42" s="135"/>
      <c r="C42" s="136"/>
      <c r="D42" s="137"/>
      <c r="E42" s="98" t="s">
        <v>134</v>
      </c>
      <c r="F42" s="99">
        <v>1</v>
      </c>
      <c r="G42" s="115"/>
      <c r="H42" s="100">
        <f>IF(VLOOKUP($E42,武器奇术!$A:$R,18,FALSE)="天工",AE42,(AE42+AT42+BI42+BX42+CM42+DB42+DQ42))*(1+J42)*F42*K42*(1+G42)</f>
        <v>21940.2933760744</v>
      </c>
      <c r="I42" s="101">
        <f t="shared" si="0"/>
        <v>0.0027088125506665</v>
      </c>
      <c r="J42" s="116">
        <f>$F$3+VLOOKUP($E42,武器奇术!$A:$R,12,FALSE)+VLOOKUP($E42,武器奇术!$A:$R,14,FALSE)*$G$3+$P42+IF($F$21="√",5%,0)</f>
        <v>0.523</v>
      </c>
      <c r="K42" s="102">
        <f>VLOOKUP($E42,武器奇术!$A:$R,11,FALSE)</f>
        <v>1</v>
      </c>
      <c r="L42" s="117">
        <f>IF(VLOOKUP($E42,武器奇术!$A:$R,15,FALSE)="天工",0%,IF($C$17+VLOOKUP($E42,武器奇术!$A:$R,7,FALSE)&gt;80%,80%,$C$17+VLOOKUP($E42,武器奇术!$A:$R,7,FALSE))+IF($C$19&gt;20%,20%,$C$19))</f>
        <v>0.892</v>
      </c>
      <c r="M42" s="118">
        <f>IF(VLOOKUP($E42,武器奇术!$A:$R,15,FALSE)="天工",0%,IF($C$18+VLOOKUP($E42,武器奇术!$A:$R,9,FALSE)&gt;40%,40%,$C$18+VLOOKUP($E42,武器奇术!$A:$R,9,FALSE))+IF($C$20&gt;10%,10%,$C$20))</f>
        <v>0.0986</v>
      </c>
      <c r="N42" s="119">
        <f>IF(VLOOKUP($E42,武器奇术!$A:$R,15,FALSE)="天工",100%,MIN($C$16,1))</f>
        <v>0.9881</v>
      </c>
      <c r="O42" s="120" t="str">
        <f>VLOOKUP($E42,武器奇术!$A:$R,16,FALSE)</f>
        <v>拳甲</v>
      </c>
      <c r="P42" s="121">
        <f t="shared" si="32"/>
        <v>0.17</v>
      </c>
      <c r="Q42" s="108">
        <f>$B$5*(1+VLOOKUP($E42,武器奇术!$A:$R,5,FALSE)+IF($G$5="飞隼",0.1,0)+IF($G$5="撼天",0.05,0))-$F$9+IF($I$5="√",160,0)</f>
        <v>1731.135</v>
      </c>
      <c r="R42" s="99">
        <f>IF(VLOOKUP($E42,武器奇术!$A:$Z,20,FALSE)=1,(S42-(Q42+S42)*0.5)*($G$15-0.5)*2+(Q42+S42)*0.5,(Q42+S42)*0.5)</f>
        <v>3256.775</v>
      </c>
      <c r="S42" s="109">
        <f>MAX($C$5,$B$5)*(1+VLOOKUP($E42,武器奇术!$A:$R,5,FALSE)+IF($G$5="飞隼",0.1,0)+IF($G$5="撼天",0.05,0))-$F$9+IF($I$5="√",320,0)</f>
        <v>4782.415</v>
      </c>
      <c r="T42" s="101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U42" s="111">
        <f>$E$5+IF(VLOOKUP($E42,武器奇术!$A:$U,21,FALSE)=1,0,0.09)</f>
        <v>0.115</v>
      </c>
      <c r="V42" s="109">
        <v>1</v>
      </c>
      <c r="W42" s="112">
        <f>Q42*VLOOKUP($E42,武器奇术!$A:$R,2,FALSE)*(1+T42)*(1+U42)*V42</f>
        <v>3086.79912340758</v>
      </c>
      <c r="X42" s="110">
        <f>(1-IF(VLOOKUP($E42,武器奇术!$A:$T,20,FALSE)=1,1,$N42))*(1-$M42)</f>
        <v>0.01072666</v>
      </c>
      <c r="Y42" s="112">
        <f>R42*VLOOKUP($E42,武器奇术!$A:$R,2,FALSE)*(1+T42)*(1+U42)*V42*(1+$E$16+VLOOKUP($E42,武器奇术!$A:$R,8,FALSE))</f>
        <v>9523.77298871699</v>
      </c>
      <c r="Z42" s="110">
        <f t="shared" si="33"/>
        <v>0.8813852</v>
      </c>
      <c r="AA42" s="112">
        <f>S42*VLOOKUP($E42,武器奇术!$A:$R,2,FALSE)*(1+T42)*(1+U42)*V42*(1+$E$17+VLOOKUP($E42,武器奇术!$A:$R,10,FALSE))</f>
        <v>11512.2035428729</v>
      </c>
      <c r="AB42" s="110">
        <f t="shared" si="34"/>
        <v>0.0986</v>
      </c>
      <c r="AC42" s="112">
        <f>R42*VLOOKUP($E42,武器奇术!$A:$R,2,FALSE)*(1+T42)*(1+U42)*V42</f>
        <v>5807.1786516567</v>
      </c>
      <c r="AD42" s="110">
        <f t="shared" si="1"/>
        <v>0.00928814000000003</v>
      </c>
      <c r="AE42" s="113">
        <f t="shared" si="2"/>
        <v>9616.26476274887</v>
      </c>
      <c r="AF42" s="114">
        <f>VLOOKUP($E42,武器奇术!$A:$R,3,FALSE)*(1+IF(VLOOKUP($E42,武器奇术!$A:$R,15,FALSE)="武器",$E$15,0))</f>
        <v>465.4</v>
      </c>
      <c r="AG42" s="112">
        <f t="shared" si="3"/>
        <v>465.4</v>
      </c>
      <c r="AH42" s="112">
        <f>VLOOKUP($E42,武器奇术!$A:$R,3,FALSE)*(1+IF(VLOOKUP($E42,武器奇术!$A:$R,15,FALSE)="武器",$E$15,0))</f>
        <v>465.4</v>
      </c>
      <c r="AI42" s="101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AJ42" s="111">
        <f>$E$5+IF(VLOOKUP($E42,武器奇术!$A:$U,21,FALSE)=1,0,0.09)</f>
        <v>0.115</v>
      </c>
      <c r="AK42" s="109">
        <v>1</v>
      </c>
      <c r="AL42" s="112">
        <f t="shared" si="35"/>
        <v>644.499882</v>
      </c>
      <c r="AM42" s="110">
        <f>(1-IF(VLOOKUP($E42,武器奇术!$A:$T,20,FALSE)=1,1,$N42))*(1-$M42)</f>
        <v>0.01072666</v>
      </c>
      <c r="AN42" s="112">
        <f>AG42*(1+AI42)*(1+AJ42)*AK42*(1+$E$16+VLOOKUP($E42,武器奇术!$A:$R,8,FALSE))</f>
        <v>1056.97980648</v>
      </c>
      <c r="AO42" s="110">
        <f t="shared" si="4"/>
        <v>0.8813852</v>
      </c>
      <c r="AP42" s="112">
        <f>AH42*(1+AI42)*(1+AJ42)*AK42*(1+$E$17+VLOOKUP($E42,武器奇术!$A:$R,10,FALSE))</f>
        <v>870.0748407</v>
      </c>
      <c r="AQ42" s="110">
        <f t="shared" si="5"/>
        <v>0.0986</v>
      </c>
      <c r="AR42" s="112">
        <f t="shared" si="6"/>
        <v>644.499882</v>
      </c>
      <c r="AS42" s="110">
        <f t="shared" si="7"/>
        <v>0.00928814000000003</v>
      </c>
      <c r="AT42" s="113">
        <f t="shared" si="8"/>
        <v>1030.29527366161</v>
      </c>
      <c r="AU42" s="108">
        <f>$B$7*IF($G$5="撼天",1.05,1)+IF(AND(VLOOKUP($E42,武器奇术!$A:$R,15,FALSE)="武器",VLOOKUP($E42,武器奇术!$A:$R,17,FALSE)="鸣金"),$E$3,0)*(1+$E$15)</f>
        <v>0</v>
      </c>
      <c r="AV42" s="99">
        <f>(AU42+AW42)*IF(VLOOKUP($E42,武器奇术!$A:$Z,21,FALSE)=1,$G$15,0.5)</f>
        <v>0</v>
      </c>
      <c r="AW42" s="109">
        <f>MAX($C$7*IF($G$5="撼天",1.05,1)+IF(AND(VLOOKUP($E42,武器奇术!$A:$R,15,FALSE)="武器",VLOOKUP($E42,武器奇术!$A:$R,17,FALSE)="鸣金"),$E$3*(1+$E$15),0),AU42)</f>
        <v>0</v>
      </c>
      <c r="AX42" s="110">
        <f>IF(($D$7+IF(VLOOKUP($E42,武器奇术!$A:$R,17,FALSE)="鸣金",$D$15,0)+IF(VLOOKUP($E42,武器奇术!$A:$R,18,FALSE)=1,4,0)+IF(VLOOKUP($E42,武器奇术!$A:$S,19,FALSE)=1,20,0)-VLOOKUP($F$7,目标属性!$A:$R,6,FALSE))&gt;0,($D$7+IF(VLOOKUP($E42,武器奇术!$A:$R,17,FALSE)="鸣金",$D$15,0)+IF(VLOOKUP($E42,武器奇术!$A:$R,18,FALSE)=1,4,0)+IF(VLOOKUP($E42,武器奇术!$A:$S,19,FALSE)=1,20,0)-VLOOKUP($F$7,目标属性!$A:$R,6,FALSE))/200,($D$7+IF(VLOOKUP($E42,武器奇术!$A:$R,17,FALSE)="鸣金",$D$15,0)+IF(VLOOKUP($E42,武器奇术!$A:$R,18,FALSE)=1,4,0)+IF(VLOOKUP($E42,武器奇术!$A:$S,19,FALSE)=1,20,0)-VLOOKUP($F$7,目标属性!$A:$R,6,FALSE))/100)</f>
        <v>-0.24</v>
      </c>
      <c r="AY42" s="111">
        <f t="shared" si="9"/>
        <v>0</v>
      </c>
      <c r="AZ42" s="109">
        <v>1</v>
      </c>
      <c r="BA42" s="112">
        <f>AU42*IF(VLOOKUP($E42,武器奇术!$A:$R,17,FALSE)="鸣金",VLOOKUP($E42,武器奇术!$A:$R,4,FALSE),VLOOKUP($E42,武器奇术!$A:$R,2,FALSE))*(1+AX42)*(1+AY42)*AZ42</f>
        <v>0</v>
      </c>
      <c r="BB42" s="110">
        <f>(1-IF(VLOOKUP($E42,武器奇术!$A:$T,20,FALSE)=1,1,$N42))*(1-$M42)</f>
        <v>0.01072666</v>
      </c>
      <c r="BC42" s="112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10">
        <f t="shared" si="10"/>
        <v>0.8813852</v>
      </c>
      <c r="BE42" s="112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10">
        <f t="shared" si="11"/>
        <v>0.0986</v>
      </c>
      <c r="BG42" s="112">
        <f>AV42*IF(VLOOKUP($E42,武器奇术!$A:$R,17,FALSE)="鸣金",VLOOKUP($E42,武器奇术!$A:$R,4,FALSE),VLOOKUP($E42,武器奇术!$A:$R,2,FALSE))*(1+AX42)*(1+AY42)*AZ42</f>
        <v>0</v>
      </c>
      <c r="BH42" s="110">
        <f t="shared" si="12"/>
        <v>0.00928814000000003</v>
      </c>
      <c r="BI42" s="113">
        <f t="shared" si="13"/>
        <v>0</v>
      </c>
      <c r="BJ42" s="108">
        <f>$B$9*IF($G$5="撼天",1.05,1)+IF(AND(VLOOKUP($E42,武器奇术!$A:$R,15,FALSE)="武器",VLOOKUP($E42,武器奇术!$A:$R,17,FALSE)="裂石"),$E$3,0)*(1+$E$15)</f>
        <v>0</v>
      </c>
      <c r="BK42" s="99">
        <f>(BJ42+BL42)*IF(VLOOKUP($E42,武器奇术!$A:$Z,21,FALSE)=1,$G$15,0.5)</f>
        <v>0</v>
      </c>
      <c r="BL42" s="109">
        <f>MAX($C$9*IF($G$5="撼天",1.05,1)+IF(AND(VLOOKUP($E42,武器奇术!$A:$R,15,FALSE)="武器",VLOOKUP($E42,武器奇术!$A:$R,17,FALSE)="裂石"),$E$3*(1+$E$15),0),BJ42)</f>
        <v>0</v>
      </c>
      <c r="BM42" s="110">
        <f>IF(($D$9+IF(VLOOKUP($E42,武器奇术!$A:$R,17,FALSE)="裂石",$D$15,0)+IF(VLOOKUP($E42,武器奇术!$A:$R,18,FALSE)=1,4,0)+IF(VLOOKUP($E42,武器奇术!$A:$S,19,FALSE)=1,20,0)-VLOOKUP($F$7,目标属性!$A:$R,6,FALSE))&gt;0,($D$9+IF(VLOOKUP($E42,武器奇术!$A:$R,17,FALSE)="裂石",$D$15,0)+IF(VLOOKUP($E42,武器奇术!$A:$R,18,FALSE)=1,4,0)+IF(VLOOKUP($E42,武器奇术!$A:$S,19,FALSE)=1,20,0)-VLOOKUP($F$7,目标属性!$A:$R,6,FALSE))/200,($D$9+IF(VLOOKUP($E42,武器奇术!$A:$R,17,FALSE)="裂石",$D$15,0)+IF(VLOOKUP($E42,武器奇术!$A:$R,18,FALSE)=1,4,0)+IF(VLOOKUP($E42,武器奇术!$A:$S,19,FALSE)=1,20,0)-VLOOKUP($F$7,目标属性!$A:$R,6,FALSE))/100)</f>
        <v>-0.24</v>
      </c>
      <c r="BN42" s="111">
        <f t="shared" si="14"/>
        <v>0</v>
      </c>
      <c r="BO42" s="109">
        <v>1</v>
      </c>
      <c r="BP42" s="112">
        <f>BJ42*IF(VLOOKUP($E42,武器奇术!$A:$R,17,FALSE)="裂石",VLOOKUP($E42,武器奇术!$A:$R,4,FALSE),VLOOKUP($E42,武器奇术!$A:$R,2,FALSE))*(1+BM42)*(1+BN42)*BO42</f>
        <v>0</v>
      </c>
      <c r="BQ42" s="110">
        <f>(1-IF(VLOOKUP($E42,武器奇术!$A:$T,20,FALSE)=1,1,$N42))*(1-$M42)</f>
        <v>0.01072666</v>
      </c>
      <c r="BR42" s="112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10">
        <f t="shared" si="15"/>
        <v>0.8813852</v>
      </c>
      <c r="BT42" s="112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10">
        <f t="shared" si="16"/>
        <v>0.0986</v>
      </c>
      <c r="BV42" s="112">
        <f>BK42*IF(VLOOKUP($E42,武器奇术!$A:$R,17,FALSE)="裂石",VLOOKUP($E42,武器奇术!$A:$R,4,FALSE),VLOOKUP($E42,武器奇术!$A:$R,2,FALSE))*(1+BM42)*(1+BN42)*BO42</f>
        <v>0</v>
      </c>
      <c r="BW42" s="110">
        <f t="shared" si="17"/>
        <v>0.00928814000000003</v>
      </c>
      <c r="BX42" s="113">
        <f t="shared" si="18"/>
        <v>0</v>
      </c>
      <c r="BY42" s="108">
        <f>$B$11*IF($G$5="撼天",1.05,1)+IF(AND(VLOOKUP($E42,武器奇术!$A:$R,15,FALSE)="武器",VLOOKUP($E42,武器奇术!$A:$R,17,FALSE)="牵丝"),$E$3,0)*(1+$E$15)</f>
        <v>0</v>
      </c>
      <c r="BZ42" s="99">
        <f>(BY42+CA42)*IF(VLOOKUP($E42,武器奇术!$A:$Z,21,FALSE)=1,$G$15,0.5)</f>
        <v>0</v>
      </c>
      <c r="CA42" s="109">
        <f>MAX($C$11*IF($G$5="撼天",1.05,1)+IF(AND(VLOOKUP($E42,武器奇术!$A:$R,15,FALSE)="武器",VLOOKUP($E42,武器奇术!$A:$R,17,FALSE)="牵丝"),$E$3*(1+$E$15),0),BY42)</f>
        <v>0</v>
      </c>
      <c r="CB42" s="110">
        <f>IF(($D$11+IF(VLOOKUP($E42,武器奇术!$A:$R,17,FALSE)="牵丝",$D$15,0)+IF(VLOOKUP($E42,武器奇术!$A:$R,18,FALSE)=1,4,0)+IF(VLOOKUP($E42,武器奇术!$A:$S,19,FALSE)=1,20,0)-VLOOKUP($F$7,目标属性!$A:$R,6,FALSE))&gt;0,($D$11+IF(VLOOKUP($E42,武器奇术!$A:$R,17,FALSE)="牵丝",$D$15,0)+IF(VLOOKUP($E42,武器奇术!$A:$R,18,FALSE)=1,4,0)+IF(VLOOKUP($E42,武器奇术!$A:$S,19,FALSE)=1,20,0)-VLOOKUP($F$7,目标属性!$A:$R,6,FALSE))/200,($D$11+IF(VLOOKUP($E42,武器奇术!$A:$R,17,FALSE)="牵丝",$D$15,0)+IF(VLOOKUP($E42,武器奇术!$A:$R,18,FALSE)=1,4,0)+IF(VLOOKUP($E42,武器奇术!$A:$S,19,FALSE)=1,20,0)-VLOOKUP($F$7,目标属性!$A:$R,6,FALSE))/100)</f>
        <v>-0.24</v>
      </c>
      <c r="CC42" s="111">
        <f t="shared" si="19"/>
        <v>0</v>
      </c>
      <c r="CD42" s="109">
        <v>1</v>
      </c>
      <c r="CE42" s="112">
        <f>BY42*IF(VLOOKUP($E42,武器奇术!$A:$R,17,FALSE)="牵丝",VLOOKUP($E42,武器奇术!$A:$R,4,FALSE),VLOOKUP($E42,武器奇术!$A:$R,2,FALSE))*(1+CB42)*(1+CC42)*CD42</f>
        <v>0</v>
      </c>
      <c r="CF42" s="110">
        <f>(1-IF(VLOOKUP($E42,武器奇术!$A:$T,20,FALSE)=1,1,$N42))*(1-$M42)</f>
        <v>0.01072666</v>
      </c>
      <c r="CG42" s="112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110">
        <f t="shared" si="20"/>
        <v>0.8813852</v>
      </c>
      <c r="CI42" s="112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110">
        <f t="shared" si="21"/>
        <v>0.0986</v>
      </c>
      <c r="CK42" s="112">
        <f>BZ42*IF(VLOOKUP($E42,武器奇术!$A:$R,17,FALSE)="牵丝",VLOOKUP($E42,武器奇术!$A:$R,4,FALSE),VLOOKUP($E42,武器奇术!$A:$R,2,FALSE))*(1+CB42)*(1+CC42)*CD42</f>
        <v>0</v>
      </c>
      <c r="CL42" s="110">
        <f t="shared" si="22"/>
        <v>0.00928814000000003</v>
      </c>
      <c r="CM42" s="113">
        <f t="shared" si="23"/>
        <v>0</v>
      </c>
      <c r="CN42" s="108">
        <f>$B$13*IF($G$5="撼天",1.05,1)+IF(AND(VLOOKUP($E42,武器奇术!$A:$R,15,FALSE)="武器",VLOOKUP($E42,武器奇术!$A:$R,17,FALSE)="破竹"),$E$3,0)*(1+$E$15)</f>
        <v>648.46</v>
      </c>
      <c r="CO42" s="99">
        <f>IF(VLOOKUP($E42,武器奇术!$A:$Z,20,FALSE)=1,(CP42-(CN42+CP42)*0.5)*($G$15-0.5)*2+(CN42+CP42)*0.5,(CN42+CP42)*0.5)</f>
        <v>875.26</v>
      </c>
      <c r="CP42" s="109">
        <f>MAX($C$13*IF($G$5="撼天",1.05,1)+IF(AND(VLOOKUP($E42,武器奇术!$A:$R,15,FALSE)="武器",VLOOKUP($E42,武器奇术!$A:$R,17,FALSE)="破竹"),$E$3*(1+$E$15),0),CN42)</f>
        <v>1102.06</v>
      </c>
      <c r="CQ42" s="110">
        <f>IF(($D$13+IF(VLOOKUP($E42,武器奇术!$A:$R,17,FALSE)="破竹",$D$15,0)+IF(VLOOKUP($E42,武器奇术!$A:$R,18,FALSE)=1,4,0)+IF(VLOOKUP($E42,武器奇术!$A:$S,19,FALSE)=1,20,0)-VLOOKUP($F$7,目标属性!$A:$R,6,FALSE))&gt;0,($D$13+IF(VLOOKUP($E42,武器奇术!$A:$R,17,FALSE)="破竹",$D$15,0)+IF(VLOOKUP($E42,武器奇术!$A:$R,18,FALSE)=1,4,0)+IF(VLOOKUP($E42,武器奇术!$A:$S,19,FALSE)=1,20,0)-VLOOKUP($F$7,目标属性!$A:$R,6,FALSE))/200,($D$13+IF(VLOOKUP($E42,武器奇术!$A:$R,17,FALSE)="破竹",$D$15,0)+IF(VLOOKUP($E42,武器奇术!$A:$R,18,FALSE)=1,4,0)+IF(VLOOKUP($E42,武器奇术!$A:$S,19,FALSE)=1,20,0)-VLOOKUP($F$7,目标属性!$A:$R,6,FALSE))/100)</f>
        <v>0.025</v>
      </c>
      <c r="CR42" s="111">
        <f>$E$13+IF(VLOOKUP($E42,武器奇术!$A:$U,21,FALSE)=1,0,0.09)</f>
        <v>0.235</v>
      </c>
      <c r="CS42" s="109">
        <v>1</v>
      </c>
      <c r="CT42" s="112">
        <f>CN42*IF(VLOOKUP($E42,武器奇术!$A:$R,17,FALSE)="破竹",VLOOKUP($E42,武器奇术!$A:$R,4,FALSE),VLOOKUP($E42,武器奇术!$A:$R,2,FALSE))*(1+CQ42)*(1+CR42)*CS42</f>
        <v>1585.34488391825</v>
      </c>
      <c r="CU42" s="110">
        <f>(1-IF(VLOOKUP($E42,武器奇术!$A:$T,20,FALSE)=1,1,$N42))*(1-$M42)</f>
        <v>0.01072666</v>
      </c>
      <c r="CV42" s="112">
        <f>CO42*IF(VLOOKUP($E42,武器奇术!$A:$R,17,FALSE)="破竹",VLOOKUP($E42,武器奇术!$A:$R,4,FALSE),VLOOKUP($E42,武器奇术!$A:$R,2,FALSE))*(1+CQ42)*(1+CR42)*CS42*(1+$E$16+VLOOKUP($E42,武器奇术!$A:$R,8,FALSE))</f>
        <v>3509.30805212533</v>
      </c>
      <c r="CW42" s="110">
        <f t="shared" si="24"/>
        <v>0.8813852</v>
      </c>
      <c r="CX42" s="112">
        <f>CP42*IF(VLOOKUP($E42,武器奇术!$A:$R,17,FALSE)="破竹",VLOOKUP($E42,武器奇术!$A:$R,4,FALSE),VLOOKUP($E42,武器奇术!$A:$R,2,FALSE))*(1+CQ42)*(1+CR42)*CS42*(1+$E$17+VLOOKUP($E42,武器奇术!$A:$R,10,FALSE))</f>
        <v>3637.30376081914</v>
      </c>
      <c r="CY42" s="110">
        <f t="shared" si="25"/>
        <v>0.0986</v>
      </c>
      <c r="CZ42" s="112">
        <f>CO42*IF(VLOOKUP($E42,武器奇术!$A:$R,17,FALSE)="破竹",VLOOKUP($E42,武器奇术!$A:$R,4,FALSE),VLOOKUP($E42,武器奇术!$A:$R,2,FALSE))*(1+CQ42)*(1+CR42)*CS42</f>
        <v>2139.82198300325</v>
      </c>
      <c r="DA42" s="110">
        <f t="shared" si="26"/>
        <v>0.00928814000000003</v>
      </c>
      <c r="DB42" s="113">
        <f t="shared" si="27"/>
        <v>3488.5707519066</v>
      </c>
      <c r="DC42" s="108">
        <f t="shared" si="36"/>
        <v>69.3</v>
      </c>
      <c r="DD42" s="99">
        <f>(DC42+DE42)*IF(VLOOKUP($E42,武器奇术!$A:$Z,21,FALSE)=1,$G$15,0.5)</f>
        <v>69.3</v>
      </c>
      <c r="DE42" s="109">
        <f t="shared" si="37"/>
        <v>69.3</v>
      </c>
      <c r="DF42" s="110">
        <f>IF(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100)</f>
        <v>0.025</v>
      </c>
      <c r="DG42" s="111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U,21,FALSE)=1,0,0.09)</f>
        <v>0.235</v>
      </c>
      <c r="DH42" s="109">
        <v>1</v>
      </c>
      <c r="DI42" s="112">
        <f>DC42*IF(VLOOKUP($E42,武器奇术!$A:$R,17,FALSE)="破竹",VLOOKUP($E42,武器奇术!$A:$R,4,FALSE),VLOOKUP($E42,武器奇术!$A:$R,2,FALSE))*(1+DF42)*(1+DG42)*DH42</f>
        <v>169.42355805375</v>
      </c>
      <c r="DJ42" s="110">
        <f>(1-IF(VLOOKUP($E42,武器奇术!$A:$T,20,FALSE)=1,1,$N42))*(1-$M42)</f>
        <v>0.01072666</v>
      </c>
      <c r="DK42" s="112">
        <f>DD42*IF(VLOOKUP($E42,武器奇术!$A:$R,17,FALSE)="破竹",VLOOKUP($E42,武器奇术!$A:$R,4,FALSE),VLOOKUP($E42,武器奇术!$A:$R,2,FALSE))*(1+DF42)*(1+DG42)*DH42*(1+$E$16+VLOOKUP($E42,武器奇术!$A:$R,8,FALSE))</f>
        <v>277.85463520815</v>
      </c>
      <c r="DL42" s="110">
        <f t="shared" si="28"/>
        <v>0.8813852</v>
      </c>
      <c r="DM42" s="112">
        <f>DE42*IF(VLOOKUP($E42,武器奇术!$A:$R,17,FALSE)="破竹",VLOOKUP($E42,武器奇术!$A:$R,4,FALSE),VLOOKUP($E42,武器奇术!$A:$R,2,FALSE))*(1+DF42)*(1+DG42)*DH42*(1+$E$17+VLOOKUP($E42,武器奇术!$A:$R,10,FALSE))</f>
        <v>228.721803372562</v>
      </c>
      <c r="DN42" s="110">
        <f t="shared" si="29"/>
        <v>0.0986</v>
      </c>
      <c r="DO42" s="112">
        <f>DD42*IF(VLOOKUP($E42,武器奇术!$A:$R,17,FALSE)="破竹",VLOOKUP($E42,武器奇术!$A:$R,4,FALSE),VLOOKUP($E42,武器奇术!$A:$R,2,FALSE))*(1+DF42)*(1+DG42)*DH42</f>
        <v>169.42355805375</v>
      </c>
      <c r="DP42" s="110">
        <f t="shared" si="30"/>
        <v>0.00928814000000003</v>
      </c>
      <c r="DQ42" s="113">
        <f t="shared" si="31"/>
        <v>270.839911666131</v>
      </c>
    </row>
    <row r="43" spans="2:121">
      <c r="B43" s="135"/>
      <c r="C43" s="136"/>
      <c r="D43" s="137"/>
      <c r="E43" s="98" t="s">
        <v>135</v>
      </c>
      <c r="F43" s="99">
        <v>1</v>
      </c>
      <c r="G43" s="115"/>
      <c r="H43" s="100">
        <f>IF(VLOOKUP($E43,武器奇术!$A:$R,18,FALSE)="天工",AE43,(AE43+AT43+BI43+BX43+CM43+DB43+DQ43))*(1+J43)*F43*K43*(1+G43)</f>
        <v>48730.8266125615</v>
      </c>
      <c r="I43" s="101">
        <f t="shared" si="0"/>
        <v>0.00601644984731181</v>
      </c>
      <c r="J43" s="116">
        <f>$F$3+VLOOKUP($E43,武器奇术!$A:$R,12,FALSE)+VLOOKUP($E43,武器奇术!$A:$R,14,FALSE)*$G$3+$P43+IF($F$21="√",5%,0)</f>
        <v>0.823</v>
      </c>
      <c r="K43" s="102">
        <f>VLOOKUP($E43,武器奇术!$A:$R,11,FALSE)</f>
        <v>1</v>
      </c>
      <c r="L43" s="117">
        <f>IF(VLOOKUP($E43,武器奇术!$A:$R,15,FALSE)="天工",0%,IF($C$17+VLOOKUP($E43,武器奇术!$A:$R,7,FALSE)&gt;80%,80%,$C$17+VLOOKUP($E43,武器奇术!$A:$R,7,FALSE))+IF($C$19&gt;20%,20%,$C$19))</f>
        <v>0.892</v>
      </c>
      <c r="M43" s="118">
        <f>IF(VLOOKUP($E43,武器奇术!$A:$R,15,FALSE)="天工",0%,IF($C$18+VLOOKUP($E43,武器奇术!$A:$R,9,FALSE)&gt;40%,40%,$C$18+VLOOKUP($E43,武器奇术!$A:$R,9,FALSE))+IF($C$20&gt;10%,10%,$C$20))</f>
        <v>0.0986</v>
      </c>
      <c r="N43" s="119">
        <f>IF(VLOOKUP($E43,武器奇术!$A:$R,15,FALSE)="天工",100%,MIN($C$16,1))</f>
        <v>0.9881</v>
      </c>
      <c r="O43" s="120" t="str">
        <f>VLOOKUP($E43,武器奇术!$A:$R,16,FALSE)</f>
        <v>拳甲</v>
      </c>
      <c r="P43" s="121">
        <f t="shared" si="32"/>
        <v>0.17</v>
      </c>
      <c r="Q43" s="108">
        <f>$B$5*(1+VLOOKUP($E43,武器奇术!$A:$R,5,FALSE)+IF($G$5="飞隼",0.1,0)+IF($G$5="撼天",0.05,0))-$F$9+IF($I$5="√",160,0)</f>
        <v>1731.135</v>
      </c>
      <c r="R43" s="99">
        <f>IF(VLOOKUP($E43,武器奇术!$A:$Z,20,FALSE)=1,(S43-(Q43+S43)*0.5)*($G$15-0.5)*2+(Q43+S43)*0.5,(Q43+S43)*0.5)</f>
        <v>3256.775</v>
      </c>
      <c r="S43" s="109">
        <f>MAX($C$5,$B$5)*(1+VLOOKUP($E43,武器奇术!$A:$R,5,FALSE)+IF($G$5="飞隼",0.1,0)+IF($G$5="撼天",0.05,0))-$F$9+IF($I$5="√",320,0)</f>
        <v>4782.415</v>
      </c>
      <c r="T43" s="101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U43" s="111">
        <f>$E$5+IF(VLOOKUP($E43,武器奇术!$A:$U,21,FALSE)=1,0,0.09)</f>
        <v>0.115</v>
      </c>
      <c r="V43" s="109">
        <v>1</v>
      </c>
      <c r="W43" s="112">
        <f>Q43*VLOOKUP($E43,武器奇术!$A:$R,2,FALSE)*(1+T43)*(1+U43)*V43</f>
        <v>5595.154346628</v>
      </c>
      <c r="X43" s="110">
        <f>(1-IF(VLOOKUP($E43,武器奇术!$A:$T,20,FALSE)=1,1,$N43))*(1-$M43)</f>
        <v>0.01072666</v>
      </c>
      <c r="Y43" s="112">
        <f>R43*VLOOKUP($E43,武器奇术!$A:$R,2,FALSE)*(1+T43)*(1+U43)*V43*(1+$E$16+VLOOKUP($E43,武器奇术!$A:$R,8,FALSE))</f>
        <v>20420.6997528468</v>
      </c>
      <c r="Z43" s="110">
        <f t="shared" si="33"/>
        <v>0.8813852</v>
      </c>
      <c r="AA43" s="112">
        <f>S43*VLOOKUP($E43,武器奇术!$A:$R,2,FALSE)*(1+T43)*(1+U43)*V43*(1+$E$17+VLOOKUP($E43,武器奇术!$A:$R,10,FALSE))</f>
        <v>20867.1031437462</v>
      </c>
      <c r="AB43" s="110">
        <f t="shared" si="34"/>
        <v>0.0986</v>
      </c>
      <c r="AC43" s="112">
        <f>R43*VLOOKUP($E43,武器奇术!$A:$R,2,FALSE)*(1+T43)*(1+U43)*V43</f>
        <v>10526.13389322</v>
      </c>
      <c r="AD43" s="110">
        <f t="shared" si="1"/>
        <v>0.00928814000000003</v>
      </c>
      <c r="AE43" s="113">
        <f t="shared" si="2"/>
        <v>20213.784429359</v>
      </c>
      <c r="AF43" s="114">
        <f>VLOOKUP($E43,武器奇术!$A:$R,3,FALSE)*(1+IF(VLOOKUP($E43,武器奇术!$A:$R,15,FALSE)="武器",$E$15,0))</f>
        <v>0</v>
      </c>
      <c r="AG43" s="112">
        <f t="shared" si="3"/>
        <v>0</v>
      </c>
      <c r="AH43" s="112">
        <f>VLOOKUP($E43,武器奇术!$A:$R,3,FALSE)*(1+IF(VLOOKUP($E43,武器奇术!$A:$R,15,FALSE)="武器",$E$15,0))</f>
        <v>0</v>
      </c>
      <c r="AI43" s="101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AJ43" s="111">
        <f>$E$5+IF(VLOOKUP($E43,武器奇术!$A:$U,21,FALSE)=1,0,0.09)</f>
        <v>0.115</v>
      </c>
      <c r="AK43" s="109">
        <v>1</v>
      </c>
      <c r="AL43" s="112">
        <f t="shared" si="35"/>
        <v>0</v>
      </c>
      <c r="AM43" s="110">
        <f>(1-IF(VLOOKUP($E43,武器奇术!$A:$T,20,FALSE)=1,1,$N43))*(1-$M43)</f>
        <v>0.01072666</v>
      </c>
      <c r="AN43" s="112">
        <f>AG43*(1+AI43)*(1+AJ43)*AK43*(1+$E$16+VLOOKUP($E43,武器奇术!$A:$R,8,FALSE))</f>
        <v>0</v>
      </c>
      <c r="AO43" s="110">
        <f t="shared" si="4"/>
        <v>0.8813852</v>
      </c>
      <c r="AP43" s="112">
        <f>AH43*(1+AI43)*(1+AJ43)*AK43*(1+$E$17+VLOOKUP($E43,武器奇术!$A:$R,10,FALSE))</f>
        <v>0</v>
      </c>
      <c r="AQ43" s="110">
        <f t="shared" si="5"/>
        <v>0.0986</v>
      </c>
      <c r="AR43" s="112">
        <f t="shared" si="6"/>
        <v>0</v>
      </c>
      <c r="AS43" s="110">
        <f t="shared" si="7"/>
        <v>0.00928814000000003</v>
      </c>
      <c r="AT43" s="113">
        <f t="shared" si="8"/>
        <v>0</v>
      </c>
      <c r="AU43" s="108">
        <f>$B$7*IF($G$5="撼天",1.05,1)+IF(AND(VLOOKUP($E43,武器奇术!$A:$R,15,FALSE)="武器",VLOOKUP($E43,武器奇术!$A:$R,17,FALSE)="鸣金"),$E$3,0)*(1+$E$15)</f>
        <v>0</v>
      </c>
      <c r="AV43" s="99">
        <f>(AU43+AW43)*IF(VLOOKUP($E43,武器奇术!$A:$Z,21,FALSE)=1,$G$15,0.5)</f>
        <v>0</v>
      </c>
      <c r="AW43" s="109">
        <f>MAX($C$7*IF($G$5="撼天",1.05,1)+IF(AND(VLOOKUP($E43,武器奇术!$A:$R,15,FALSE)="武器",VLOOKUP($E43,武器奇术!$A:$R,17,FALSE)="鸣金"),$E$3*(1+$E$15),0),AU43)</f>
        <v>0</v>
      </c>
      <c r="AX43" s="110">
        <f>IF(($D$7+IF(VLOOKUP($E43,武器奇术!$A:$R,17,FALSE)="鸣金",$D$15,0)+IF(VLOOKUP($E43,武器奇术!$A:$R,18,FALSE)=1,4,0)+IF(VLOOKUP($E43,武器奇术!$A:$S,19,FALSE)=1,20,0)-VLOOKUP($F$7,目标属性!$A:$R,6,FALSE))&gt;0,($D$7+IF(VLOOKUP($E43,武器奇术!$A:$R,17,FALSE)="鸣金",$D$15,0)+IF(VLOOKUP($E43,武器奇术!$A:$R,18,FALSE)=1,4,0)+IF(VLOOKUP($E43,武器奇术!$A:$S,19,FALSE)=1,20,0)-VLOOKUP($F$7,目标属性!$A:$R,6,FALSE))/200,($D$7+IF(VLOOKUP($E43,武器奇术!$A:$R,17,FALSE)="鸣金",$D$15,0)+IF(VLOOKUP($E43,武器奇术!$A:$R,18,FALSE)=1,4,0)+IF(VLOOKUP($E43,武器奇术!$A:$S,19,FALSE)=1,20,0)-VLOOKUP($F$7,目标属性!$A:$R,6,FALSE))/100)</f>
        <v>0</v>
      </c>
      <c r="AY43" s="111">
        <f t="shared" si="9"/>
        <v>0</v>
      </c>
      <c r="AZ43" s="109">
        <v>1</v>
      </c>
      <c r="BA43" s="112">
        <f>AU43*IF(VLOOKUP($E43,武器奇术!$A:$R,17,FALSE)="鸣金",VLOOKUP($E43,武器奇术!$A:$R,4,FALSE),VLOOKUP($E43,武器奇术!$A:$R,2,FALSE))*(1+AX43)*(1+AY43)*AZ43</f>
        <v>0</v>
      </c>
      <c r="BB43" s="110">
        <f>(1-IF(VLOOKUP($E43,武器奇术!$A:$T,20,FALSE)=1,1,$N43))*(1-$M43)</f>
        <v>0.01072666</v>
      </c>
      <c r="BC43" s="112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10">
        <f t="shared" si="10"/>
        <v>0.8813852</v>
      </c>
      <c r="BE43" s="112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10">
        <f t="shared" si="11"/>
        <v>0.0986</v>
      </c>
      <c r="BG43" s="112">
        <f>AV43*IF(VLOOKUP($E43,武器奇术!$A:$R,17,FALSE)="鸣金",VLOOKUP($E43,武器奇术!$A:$R,4,FALSE),VLOOKUP($E43,武器奇术!$A:$R,2,FALSE))*(1+AX43)*(1+AY43)*AZ43</f>
        <v>0</v>
      </c>
      <c r="BH43" s="110">
        <f t="shared" si="12"/>
        <v>0.00928814000000003</v>
      </c>
      <c r="BI43" s="113">
        <f t="shared" si="13"/>
        <v>0</v>
      </c>
      <c r="BJ43" s="108">
        <f>$B$9*IF($G$5="撼天",1.05,1)+IF(AND(VLOOKUP($E43,武器奇术!$A:$R,15,FALSE)="武器",VLOOKUP($E43,武器奇术!$A:$R,17,FALSE)="裂石"),$E$3,0)*(1+$E$15)</f>
        <v>0</v>
      </c>
      <c r="BK43" s="99">
        <f>(BJ43+BL43)*IF(VLOOKUP($E43,武器奇术!$A:$Z,21,FALSE)=1,$G$15,0.5)</f>
        <v>0</v>
      </c>
      <c r="BL43" s="109">
        <f>MAX($C$9*IF($G$5="撼天",1.05,1)+IF(AND(VLOOKUP($E43,武器奇术!$A:$R,15,FALSE)="武器",VLOOKUP($E43,武器奇术!$A:$R,17,FALSE)="裂石"),$E$3*(1+$E$15),0),BJ43)</f>
        <v>0</v>
      </c>
      <c r="BM43" s="110">
        <f>IF(($D$9+IF(VLOOKUP($E43,武器奇术!$A:$R,17,FALSE)="裂石",$D$15,0)+IF(VLOOKUP($E43,武器奇术!$A:$R,18,FALSE)=1,4,0)+IF(VLOOKUP($E43,武器奇术!$A:$S,19,FALSE)=1,20,0)-VLOOKUP($F$7,目标属性!$A:$R,6,FALSE))&gt;0,($D$9+IF(VLOOKUP($E43,武器奇术!$A:$R,17,FALSE)="裂石",$D$15,0)+IF(VLOOKUP($E43,武器奇术!$A:$R,18,FALSE)=1,4,0)+IF(VLOOKUP($E43,武器奇术!$A:$S,19,FALSE)=1,20,0)-VLOOKUP($F$7,目标属性!$A:$R,6,FALSE))/200,($D$9+IF(VLOOKUP($E43,武器奇术!$A:$R,17,FALSE)="裂石",$D$15,0)+IF(VLOOKUP($E43,武器奇术!$A:$R,18,FALSE)=1,4,0)+IF(VLOOKUP($E43,武器奇术!$A:$S,19,FALSE)=1,20,0)-VLOOKUP($F$7,目标属性!$A:$R,6,FALSE))/100)</f>
        <v>0</v>
      </c>
      <c r="BN43" s="111">
        <f t="shared" si="14"/>
        <v>0</v>
      </c>
      <c r="BO43" s="109">
        <v>1</v>
      </c>
      <c r="BP43" s="112">
        <f>BJ43*IF(VLOOKUP($E43,武器奇术!$A:$R,17,FALSE)="裂石",VLOOKUP($E43,武器奇术!$A:$R,4,FALSE),VLOOKUP($E43,武器奇术!$A:$R,2,FALSE))*(1+BM43)*(1+BN43)*BO43</f>
        <v>0</v>
      </c>
      <c r="BQ43" s="110">
        <f>(1-IF(VLOOKUP($E43,武器奇术!$A:$T,20,FALSE)=1,1,$N43))*(1-$M43)</f>
        <v>0.01072666</v>
      </c>
      <c r="BR43" s="112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10">
        <f t="shared" si="15"/>
        <v>0.8813852</v>
      </c>
      <c r="BT43" s="112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10">
        <f t="shared" si="16"/>
        <v>0.0986</v>
      </c>
      <c r="BV43" s="112">
        <f>BK43*IF(VLOOKUP($E43,武器奇术!$A:$R,17,FALSE)="裂石",VLOOKUP($E43,武器奇术!$A:$R,4,FALSE),VLOOKUP($E43,武器奇术!$A:$R,2,FALSE))*(1+BM43)*(1+BN43)*BO43</f>
        <v>0</v>
      </c>
      <c r="BW43" s="110">
        <f t="shared" si="17"/>
        <v>0.00928814000000003</v>
      </c>
      <c r="BX43" s="113">
        <f t="shared" si="18"/>
        <v>0</v>
      </c>
      <c r="BY43" s="108">
        <f>$B$11*IF($G$5="撼天",1.05,1)+IF(AND(VLOOKUP($E43,武器奇术!$A:$R,15,FALSE)="武器",VLOOKUP($E43,武器奇术!$A:$R,17,FALSE)="牵丝"),$E$3,0)*(1+$E$15)</f>
        <v>0</v>
      </c>
      <c r="BZ43" s="99">
        <f>(BY43+CA43)*IF(VLOOKUP($E43,武器奇术!$A:$Z,21,FALSE)=1,$G$15,0.5)</f>
        <v>0</v>
      </c>
      <c r="CA43" s="109">
        <f>MAX($C$11*IF($G$5="撼天",1.05,1)+IF(AND(VLOOKUP($E43,武器奇术!$A:$R,15,FALSE)="武器",VLOOKUP($E43,武器奇术!$A:$R,17,FALSE)="牵丝"),$E$3*(1+$E$15),0),BY43)</f>
        <v>0</v>
      </c>
      <c r="CB43" s="110">
        <f>IF(($D$11+IF(VLOOKUP($E43,武器奇术!$A:$R,17,FALSE)="牵丝",$D$15,0)+IF(VLOOKUP($E43,武器奇术!$A:$R,18,FALSE)=1,4,0)+IF(VLOOKUP($E43,武器奇术!$A:$S,19,FALSE)=1,20,0)-VLOOKUP($F$7,目标属性!$A:$R,6,FALSE))&gt;0,($D$11+IF(VLOOKUP($E43,武器奇术!$A:$R,17,FALSE)="牵丝",$D$15,0)+IF(VLOOKUP($E43,武器奇术!$A:$R,18,FALSE)=1,4,0)+IF(VLOOKUP($E43,武器奇术!$A:$S,19,FALSE)=1,20,0)-VLOOKUP($F$7,目标属性!$A:$R,6,FALSE))/200,($D$11+IF(VLOOKUP($E43,武器奇术!$A:$R,17,FALSE)="牵丝",$D$15,0)+IF(VLOOKUP($E43,武器奇术!$A:$R,18,FALSE)=1,4,0)+IF(VLOOKUP($E43,武器奇术!$A:$S,19,FALSE)=1,20,0)-VLOOKUP($F$7,目标属性!$A:$R,6,FALSE))/100)</f>
        <v>0</v>
      </c>
      <c r="CC43" s="111">
        <f t="shared" si="19"/>
        <v>0</v>
      </c>
      <c r="CD43" s="109">
        <v>1</v>
      </c>
      <c r="CE43" s="112">
        <f>BY43*IF(VLOOKUP($E43,武器奇术!$A:$R,17,FALSE)="牵丝",VLOOKUP($E43,武器奇术!$A:$R,4,FALSE),VLOOKUP($E43,武器奇术!$A:$R,2,FALSE))*(1+CB43)*(1+CC43)*CD43</f>
        <v>0</v>
      </c>
      <c r="CF43" s="110">
        <f>(1-IF(VLOOKUP($E43,武器奇术!$A:$T,20,FALSE)=1,1,$N43))*(1-$M43)</f>
        <v>0.01072666</v>
      </c>
      <c r="CG43" s="112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110">
        <f t="shared" si="20"/>
        <v>0.8813852</v>
      </c>
      <c r="CI43" s="112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110">
        <f t="shared" si="21"/>
        <v>0.0986</v>
      </c>
      <c r="CK43" s="112">
        <f>BZ43*IF(VLOOKUP($E43,武器奇术!$A:$R,17,FALSE)="牵丝",VLOOKUP($E43,武器奇术!$A:$R,4,FALSE),VLOOKUP($E43,武器奇术!$A:$R,2,FALSE))*(1+CB43)*(1+CC43)*CD43</f>
        <v>0</v>
      </c>
      <c r="CL43" s="110">
        <f t="shared" si="22"/>
        <v>0.00928814000000003</v>
      </c>
      <c r="CM43" s="113">
        <f t="shared" si="23"/>
        <v>0</v>
      </c>
      <c r="CN43" s="108">
        <f>$B$13*IF($G$5="撼天",1.05,1)+IF(AND(VLOOKUP($E43,武器奇术!$A:$R,15,FALSE)="武器",VLOOKUP($E43,武器奇术!$A:$R,17,FALSE)="破竹"),$E$3,0)*(1+$E$15)</f>
        <v>452.55</v>
      </c>
      <c r="CO43" s="99">
        <f>IF(VLOOKUP($E43,武器奇术!$A:$Z,20,FALSE)=1,(CP43-(CN43+CP43)*0.5)*($G$15-0.5)*2+(CN43+CP43)*0.5,(CN43+CP43)*0.5)</f>
        <v>679.35</v>
      </c>
      <c r="CP43" s="109">
        <f>MAX($C$13*IF($G$5="撼天",1.05,1)+IF(AND(VLOOKUP($E43,武器奇术!$A:$R,15,FALSE)="武器",VLOOKUP($E43,武器奇术!$A:$R,17,FALSE)="破竹"),$E$3*(1+$E$15),0),CN43)</f>
        <v>906.15</v>
      </c>
      <c r="CQ43" s="110">
        <f>IF(($D$13+IF(VLOOKUP($E43,武器奇术!$A:$R,17,FALSE)="破竹",$D$15,0)+IF(VLOOKUP($E43,武器奇术!$A:$R,18,FALSE)=1,4,0)+IF(VLOOKUP($E43,武器奇术!$A:$S,19,FALSE)=1,20,0)-VLOOKUP($F$7,目标属性!$A:$R,6,FALSE))&gt;0,($D$13+IF(VLOOKUP($E43,武器奇术!$A:$R,17,FALSE)="破竹",$D$15,0)+IF(VLOOKUP($E43,武器奇术!$A:$R,18,FALSE)=1,4,0)+IF(VLOOKUP($E43,武器奇术!$A:$S,19,FALSE)=1,20,0)-VLOOKUP($F$7,目标属性!$A:$R,6,FALSE))/200,($D$13+IF(VLOOKUP($E43,武器奇术!$A:$R,17,FALSE)="破竹",$D$15,0)+IF(VLOOKUP($E43,武器奇术!$A:$R,18,FALSE)=1,4,0)+IF(VLOOKUP($E43,武器奇术!$A:$S,19,FALSE)=1,20,0)-VLOOKUP($F$7,目标属性!$A:$R,6,FALSE))/100)</f>
        <v>0.145</v>
      </c>
      <c r="CR43" s="111">
        <f>$E$13+IF(VLOOKUP($E43,武器奇术!$A:$U,21,FALSE)=1,0,0.09)</f>
        <v>0.235</v>
      </c>
      <c r="CS43" s="109">
        <v>1</v>
      </c>
      <c r="CT43" s="112">
        <f>CN43*IF(VLOOKUP($E43,武器奇术!$A:$R,17,FALSE)="破竹",VLOOKUP($E43,武器奇术!$A:$R,4,FALSE),VLOOKUP($E43,武器奇术!$A:$R,2,FALSE))*(1+CQ43)*(1+CR43)*CS43</f>
        <v>2073.40443765</v>
      </c>
      <c r="CU43" s="110">
        <f>(1-IF(VLOOKUP($E43,武器奇术!$A:$T,20,FALSE)=1,1,$N43))*(1-$M43)</f>
        <v>0.01072666</v>
      </c>
      <c r="CV43" s="112">
        <f>CO43*IF(VLOOKUP($E43,武器奇术!$A:$R,17,FALSE)="破竹",VLOOKUP($E43,武器奇术!$A:$R,4,FALSE),VLOOKUP($E43,武器奇术!$A:$R,2,FALSE))*(1+CQ43)*(1+CR43)*CS43*(1+$E$16+VLOOKUP($E43,武器奇术!$A:$R,8,FALSE))</f>
        <v>6038.273276217</v>
      </c>
      <c r="CW43" s="110">
        <f t="shared" si="24"/>
        <v>0.8813852</v>
      </c>
      <c r="CX43" s="112">
        <f>CP43*IF(VLOOKUP($E43,武器奇术!$A:$R,17,FALSE)="破竹",VLOOKUP($E43,武器奇术!$A:$R,4,FALSE),VLOOKUP($E43,武器奇术!$A:$R,2,FALSE))*(1+CQ43)*(1+CR43)*CS43*(1+$E$17+VLOOKUP($E43,武器奇术!$A:$R,10,FALSE))</f>
        <v>5604.6864039075</v>
      </c>
      <c r="CY43" s="110">
        <f t="shared" si="25"/>
        <v>0.0986</v>
      </c>
      <c r="CZ43" s="112">
        <f>CO43*IF(VLOOKUP($E43,武器奇术!$A:$R,17,FALSE)="破竹",VLOOKUP($E43,武器奇术!$A:$R,4,FALSE),VLOOKUP($E43,武器奇术!$A:$R,2,FALSE))*(1+CQ43)*(1+CR43)*CS43</f>
        <v>3112.51199805</v>
      </c>
      <c r="DA43" s="110">
        <f t="shared" si="26"/>
        <v>0.00928814000000003</v>
      </c>
      <c r="DB43" s="113">
        <f t="shared" si="27"/>
        <v>5925.81693027318</v>
      </c>
      <c r="DC43" s="108">
        <f t="shared" si="36"/>
        <v>69.3</v>
      </c>
      <c r="DD43" s="99">
        <f>(DC43+DE43)*IF(VLOOKUP($E43,武器奇术!$A:$Z,21,FALSE)=1,$G$15,0.5)</f>
        <v>69.3</v>
      </c>
      <c r="DE43" s="109">
        <f t="shared" si="37"/>
        <v>69.3</v>
      </c>
      <c r="DF43" s="110">
        <f>IF(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100)</f>
        <v>0.145</v>
      </c>
      <c r="DG43" s="111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U,21,FALSE)=1,0,0.09)</f>
        <v>0.235</v>
      </c>
      <c r="DH43" s="109">
        <v>1</v>
      </c>
      <c r="DI43" s="112">
        <f>DC43*IF(VLOOKUP($E43,武器奇术!$A:$R,17,FALSE)="破竹",VLOOKUP($E43,武器奇术!$A:$R,4,FALSE),VLOOKUP($E43,武器奇术!$A:$R,2,FALSE))*(1+DF43)*(1+DG43)*DH43</f>
        <v>317.5050879</v>
      </c>
      <c r="DJ43" s="110">
        <f>(1-IF(VLOOKUP($E43,武器奇术!$A:$T,20,FALSE)=1,1,$N43))*(1-$M43)</f>
        <v>0.01072666</v>
      </c>
      <c r="DK43" s="112">
        <f>DD43*IF(VLOOKUP($E43,武器奇术!$A:$R,17,FALSE)="破竹",VLOOKUP($E43,武器奇术!$A:$R,4,FALSE),VLOOKUP($E43,武器奇术!$A:$R,2,FALSE))*(1+DF43)*(1+DG43)*DH43*(1+$E$16+VLOOKUP($E43,武器奇术!$A:$R,8,FALSE))</f>
        <v>615.959870526</v>
      </c>
      <c r="DL43" s="110">
        <f t="shared" si="28"/>
        <v>0.8813852</v>
      </c>
      <c r="DM43" s="112">
        <f>DE43*IF(VLOOKUP($E43,武器奇术!$A:$R,17,FALSE)="破竹",VLOOKUP($E43,武器奇术!$A:$R,4,FALSE),VLOOKUP($E43,武器奇术!$A:$R,2,FALSE))*(1+DF43)*(1+DG43)*DH43*(1+$E$17+VLOOKUP($E43,武器奇术!$A:$R,10,FALSE))</f>
        <v>428.631868665</v>
      </c>
      <c r="DN43" s="110">
        <f t="shared" si="29"/>
        <v>0.0986</v>
      </c>
      <c r="DO43" s="112">
        <f>DD43*IF(VLOOKUP($E43,武器奇术!$A:$R,17,FALSE)="破竹",VLOOKUP($E43,武器奇术!$A:$R,4,FALSE),VLOOKUP($E43,武器奇术!$A:$R,2,FALSE))*(1+DF43)*(1+DG43)*DH43</f>
        <v>317.5050879</v>
      </c>
      <c r="DP43" s="110">
        <f t="shared" si="30"/>
        <v>0.00928814000000003</v>
      </c>
      <c r="DQ43" s="113">
        <f t="shared" si="31"/>
        <v>591.515816759203</v>
      </c>
    </row>
    <row r="44" customFormat="1" ht="14.25" spans="2:121">
      <c r="B44" s="138"/>
      <c r="C44" s="139"/>
      <c r="D44" s="140"/>
      <c r="E44" s="98" t="s">
        <v>139</v>
      </c>
      <c r="F44" s="99">
        <v>1</v>
      </c>
      <c r="G44" s="115"/>
      <c r="H44" s="100">
        <f>IF(VLOOKUP($E44,武器奇术!$A:$R,18,FALSE)="天工",AE44,(AE44+AT44+BI44+BX44+CM44+DB44+DQ44))*(1+J44)*F44*K44*(1+G44)</f>
        <v>20099.4986533765</v>
      </c>
      <c r="I44" s="101">
        <f t="shared" si="0"/>
        <v>0.00248154267042496</v>
      </c>
      <c r="J44" s="116">
        <f>$F$3+VLOOKUP($E44,武器奇术!$A:$R,12,FALSE)+VLOOKUP($E44,武器奇术!$A:$R,14,FALSE)*$G$3+$P44+IF($F$21="√",5%,0)</f>
        <v>0.437</v>
      </c>
      <c r="K44" s="102">
        <f>VLOOKUP($E44,武器奇术!$A:$R,11,FALSE)</f>
        <v>1</v>
      </c>
      <c r="L44" s="117">
        <f>IF(VLOOKUP($E44,武器奇术!$A:$R,15,FALSE)="天工",0%,IF($C$17+VLOOKUP($E44,武器奇术!$A:$R,7,FALSE)&gt;80%,80%,$C$17+VLOOKUP($E44,武器奇术!$A:$R,7,FALSE))+IF($C$19&gt;20%,20%,$C$19))</f>
        <v>0.892</v>
      </c>
      <c r="M44" s="118">
        <f>IF(VLOOKUP($E44,武器奇术!$A:$R,15,FALSE)="天工",0%,IF($C$18+VLOOKUP($E44,武器奇术!$A:$R,9,FALSE)&gt;40%,40%,$C$18+VLOOKUP($E44,武器奇术!$A:$R,9,FALSE))+IF($C$20&gt;10%,10%,$C$20))</f>
        <v>0.0986</v>
      </c>
      <c r="N44" s="119">
        <f>IF(VLOOKUP($E44,武器奇术!$A:$R,15,FALSE)="天工",100%,MIN($C$16,1))</f>
        <v>0.9881</v>
      </c>
      <c r="O44" s="120" t="str">
        <f>VLOOKUP($E44,武器奇术!$A:$R,16,FALSE)</f>
        <v>绳标</v>
      </c>
      <c r="P44" s="121">
        <f t="shared" si="32"/>
        <v>0.084</v>
      </c>
      <c r="Q44" s="108">
        <f>$B$5*(1+VLOOKUP($E44,武器奇术!$A:$R,5,FALSE)+IF($G$5="飞隼",0.1,0)+IF($G$5="撼天",0.05,0))-$F$9+IF($I$5="√",160,0)</f>
        <v>1731.135</v>
      </c>
      <c r="R44" s="99">
        <f>IF(VLOOKUP($E44,武器奇术!$A:$Z,20,FALSE)=1,(S44-(Q44+S44)*0.5)*($G$15-0.5)*2+(Q44+S44)*0.5,(Q44+S44)*0.5)</f>
        <v>3256.775</v>
      </c>
      <c r="S44" s="109">
        <f>MAX($C$5,$B$5)*(1+VLOOKUP($E44,武器奇术!$A:$R,5,FALSE)+IF($G$5="飞隼",0.1,0)+IF($G$5="撼天",0.05,0))-$F$9+IF($I$5="√",320,0)</f>
        <v>4782.415</v>
      </c>
      <c r="T44" s="101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U44" s="111">
        <f>$E$5+IF(VLOOKUP($E44,武器奇术!$A:$U,21,FALSE)=1,0,0.09)</f>
        <v>0.115</v>
      </c>
      <c r="V44" s="109">
        <v>1</v>
      </c>
      <c r="W44" s="112">
        <f>Q44*VLOOKUP($E44,武器奇术!$A:$R,2,FALSE)*(1+T44)*(1+U44)*V44</f>
        <v>2997.37880086712</v>
      </c>
      <c r="X44" s="110">
        <f>(1-IF(VLOOKUP($E44,武器奇术!$A:$T,20,FALSE)=1,1,$N44))*(1-$M44)</f>
        <v>0.01072666</v>
      </c>
      <c r="Y44" s="112">
        <f>R44*VLOOKUP($E44,武器奇术!$A:$R,2,FALSE)*(1+T44)*(1+U44)*V44*(1+$E$16+VLOOKUP($E44,武器奇术!$A:$R,8,FALSE))</f>
        <v>9247.88239188634</v>
      </c>
      <c r="Z44" s="110">
        <f t="shared" si="33"/>
        <v>0.8813852</v>
      </c>
      <c r="AA44" s="112">
        <f>S44*VLOOKUP($E44,武器奇术!$A:$R,2,FALSE)*(1+T44)*(1+U44)*V44*(1+$E$17+VLOOKUP($E44,武器奇术!$A:$R,10,FALSE))</f>
        <v>11178.710849374</v>
      </c>
      <c r="AB44" s="110">
        <f t="shared" si="34"/>
        <v>0.0986</v>
      </c>
      <c r="AC44" s="112">
        <f>R44*VLOOKUP($E44,武器奇术!$A:$R,2,FALSE)*(1+T44)*(1+U44)*V44</f>
        <v>5638.95267797948</v>
      </c>
      <c r="AD44" s="110">
        <f t="shared" si="1"/>
        <v>0.00928814000000003</v>
      </c>
      <c r="AE44" s="113">
        <f t="shared" si="2"/>
        <v>9337.69480651205</v>
      </c>
      <c r="AF44" s="114">
        <f>VLOOKUP($E44,武器奇术!$A:$R,3,FALSE)*(1+IF(VLOOKUP($E44,武器奇术!$A:$R,15,FALSE)="武器",$E$15,0))</f>
        <v>451.1</v>
      </c>
      <c r="AG44" s="112">
        <f t="shared" si="3"/>
        <v>451.1</v>
      </c>
      <c r="AH44" s="112">
        <f>VLOOKUP($E44,武器奇术!$A:$R,3,FALSE)*(1+IF(VLOOKUP($E44,武器奇术!$A:$R,15,FALSE)="武器",$E$15,0))</f>
        <v>451.1</v>
      </c>
      <c r="AI44" s="101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AJ44" s="111">
        <f>$E$5+IF(VLOOKUP($E44,武器奇术!$A:$U,21,FALSE)=1,0,0.09)</f>
        <v>0.115</v>
      </c>
      <c r="AK44" s="109">
        <v>1</v>
      </c>
      <c r="AL44" s="112">
        <f t="shared" si="35"/>
        <v>624.696813</v>
      </c>
      <c r="AM44" s="110">
        <f>(1-IF(VLOOKUP($E44,武器奇术!$A:$T,20,FALSE)=1,1,$N44))*(1-$M44)</f>
        <v>0.01072666</v>
      </c>
      <c r="AN44" s="112">
        <f>AG44*(1+AI44)*(1+AJ44)*AK44*(1+$E$16+VLOOKUP($E44,武器奇术!$A:$R,8,FALSE))</f>
        <v>1024.50277332</v>
      </c>
      <c r="AO44" s="110">
        <f t="shared" si="4"/>
        <v>0.8813852</v>
      </c>
      <c r="AP44" s="112">
        <f>AH44*(1+AI44)*(1+AJ44)*AK44*(1+$E$17+VLOOKUP($E44,武器奇术!$A:$R,10,FALSE))</f>
        <v>843.34069755</v>
      </c>
      <c r="AQ44" s="110">
        <f t="shared" si="5"/>
        <v>0.0986</v>
      </c>
      <c r="AR44" s="112">
        <f t="shared" si="6"/>
        <v>624.696813</v>
      </c>
      <c r="AS44" s="110">
        <f t="shared" si="7"/>
        <v>0.00928814000000003</v>
      </c>
      <c r="AT44" s="113">
        <f t="shared" si="8"/>
        <v>998.638156314466</v>
      </c>
      <c r="AU44" s="108">
        <f>$B$7*IF($G$5="撼天",1.05,1)+IF(AND(VLOOKUP($E44,武器奇术!$A:$R,15,FALSE)="武器",VLOOKUP($E44,武器奇术!$A:$R,17,FALSE)="鸣金"),$E$3,0)*(1+$E$15)</f>
        <v>0</v>
      </c>
      <c r="AV44" s="99">
        <f>(AU44+AW44)*IF(VLOOKUP($E44,武器奇术!$A:$Z,21,FALSE)=1,$G$15,0.5)</f>
        <v>0</v>
      </c>
      <c r="AW44" s="109">
        <f>MAX($C$7*IF($G$5="撼天",1.05,1)+IF(AND(VLOOKUP($E44,武器奇术!$A:$R,15,FALSE)="武器",VLOOKUP($E44,武器奇术!$A:$R,17,FALSE)="鸣金"),$E$3*(1+$E$15),0),AU44)</f>
        <v>0</v>
      </c>
      <c r="AX44" s="110">
        <f>IF(($D$7+IF(VLOOKUP($E44,武器奇术!$A:$R,17,FALSE)="鸣金",$D$15,0)+IF(VLOOKUP($E44,武器奇术!$A:$R,18,FALSE)=1,4,0)+IF(VLOOKUP($E44,武器奇术!$A:$S,19,FALSE)=1,20,0)-VLOOKUP($F$7,目标属性!$A:$R,6,FALSE))&gt;0,($D$7+IF(VLOOKUP($E44,武器奇术!$A:$R,17,FALSE)="鸣金",$D$15,0)+IF(VLOOKUP($E44,武器奇术!$A:$R,18,FALSE)=1,4,0)+IF(VLOOKUP($E44,武器奇术!$A:$S,19,FALSE)=1,20,0)-VLOOKUP($F$7,目标属性!$A:$R,6,FALSE))/200,($D$7+IF(VLOOKUP($E44,武器奇术!$A:$R,17,FALSE)="鸣金",$D$15,0)+IF(VLOOKUP($E44,武器奇术!$A:$R,18,FALSE)=1,4,0)+IF(VLOOKUP($E44,武器奇术!$A:$S,19,FALSE)=1,20,0)-VLOOKUP($F$7,目标属性!$A:$R,6,FALSE))/100)</f>
        <v>-0.24</v>
      </c>
      <c r="AY44" s="111">
        <f t="shared" si="9"/>
        <v>0</v>
      </c>
      <c r="AZ44" s="109">
        <v>1</v>
      </c>
      <c r="BA44" s="112">
        <f>AU44*IF(VLOOKUP($E44,武器奇术!$A:$R,17,FALSE)="鸣金",VLOOKUP($E44,武器奇术!$A:$R,4,FALSE),VLOOKUP($E44,武器奇术!$A:$R,2,FALSE))*(1+AX44)*(1+AY44)*AZ44</f>
        <v>0</v>
      </c>
      <c r="BB44" s="110">
        <f>(1-IF(VLOOKUP($E44,武器奇术!$A:$T,20,FALSE)=1,1,$N44))*(1-$M44)</f>
        <v>0.01072666</v>
      </c>
      <c r="BC44" s="112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10">
        <f t="shared" si="10"/>
        <v>0.8813852</v>
      </c>
      <c r="BE44" s="112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10">
        <f t="shared" si="11"/>
        <v>0.0986</v>
      </c>
      <c r="BG44" s="112">
        <f>AV44*IF(VLOOKUP($E44,武器奇术!$A:$R,17,FALSE)="鸣金",VLOOKUP($E44,武器奇术!$A:$R,4,FALSE),VLOOKUP($E44,武器奇术!$A:$R,2,FALSE))*(1+AX44)*(1+AY44)*AZ44</f>
        <v>0</v>
      </c>
      <c r="BH44" s="110">
        <f t="shared" si="12"/>
        <v>0.00928814000000003</v>
      </c>
      <c r="BI44" s="113">
        <f t="shared" si="13"/>
        <v>0</v>
      </c>
      <c r="BJ44" s="108">
        <f>$B$9*IF($G$5="撼天",1.05,1)+IF(AND(VLOOKUP($E44,武器奇术!$A:$R,15,FALSE)="武器",VLOOKUP($E44,武器奇术!$A:$R,17,FALSE)="裂石"),$E$3,0)*(1+$E$15)</f>
        <v>0</v>
      </c>
      <c r="BK44" s="99">
        <f>(BJ44+BL44)*IF(VLOOKUP($E44,武器奇术!$A:$Z,21,FALSE)=1,$G$15,0.5)</f>
        <v>0</v>
      </c>
      <c r="BL44" s="109">
        <f>MAX($C$9*IF($G$5="撼天",1.05,1)+IF(AND(VLOOKUP($E44,武器奇术!$A:$R,15,FALSE)="武器",VLOOKUP($E44,武器奇术!$A:$R,17,FALSE)="裂石"),$E$3*(1+$E$15),0),BJ44)</f>
        <v>0</v>
      </c>
      <c r="BM44" s="110">
        <f>IF(($D$9+IF(VLOOKUP($E44,武器奇术!$A:$R,17,FALSE)="裂石",$D$15,0)+IF(VLOOKUP($E44,武器奇术!$A:$R,18,FALSE)=1,4,0)+IF(VLOOKUP($E44,武器奇术!$A:$S,19,FALSE)=1,20,0)-VLOOKUP($F$7,目标属性!$A:$R,6,FALSE))&gt;0,($D$9+IF(VLOOKUP($E44,武器奇术!$A:$R,17,FALSE)="裂石",$D$15,0)+IF(VLOOKUP($E44,武器奇术!$A:$R,18,FALSE)=1,4,0)+IF(VLOOKUP($E44,武器奇术!$A:$S,19,FALSE)=1,20,0)-VLOOKUP($F$7,目标属性!$A:$R,6,FALSE))/200,($D$9+IF(VLOOKUP($E44,武器奇术!$A:$R,17,FALSE)="裂石",$D$15,0)+IF(VLOOKUP($E44,武器奇术!$A:$R,18,FALSE)=1,4,0)+IF(VLOOKUP($E44,武器奇术!$A:$S,19,FALSE)=1,20,0)-VLOOKUP($F$7,目标属性!$A:$R,6,FALSE))/100)</f>
        <v>-0.24</v>
      </c>
      <c r="BN44" s="111">
        <f t="shared" si="14"/>
        <v>0</v>
      </c>
      <c r="BO44" s="109">
        <v>1</v>
      </c>
      <c r="BP44" s="112">
        <f>BJ44*IF(VLOOKUP($E44,武器奇术!$A:$R,17,FALSE)="裂石",VLOOKUP($E44,武器奇术!$A:$R,4,FALSE),VLOOKUP($E44,武器奇术!$A:$R,2,FALSE))*(1+BM44)*(1+BN44)*BO44</f>
        <v>0</v>
      </c>
      <c r="BQ44" s="110">
        <f>(1-IF(VLOOKUP($E44,武器奇术!$A:$T,20,FALSE)=1,1,$N44))*(1-$M44)</f>
        <v>0.01072666</v>
      </c>
      <c r="BR44" s="112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10">
        <f t="shared" si="15"/>
        <v>0.8813852</v>
      </c>
      <c r="BT44" s="112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10">
        <f t="shared" si="16"/>
        <v>0.0986</v>
      </c>
      <c r="BV44" s="112">
        <f>BK44*IF(VLOOKUP($E44,武器奇术!$A:$R,17,FALSE)="裂石",VLOOKUP($E44,武器奇术!$A:$R,4,FALSE),VLOOKUP($E44,武器奇术!$A:$R,2,FALSE))*(1+BM44)*(1+BN44)*BO44</f>
        <v>0</v>
      </c>
      <c r="BW44" s="110">
        <f t="shared" si="17"/>
        <v>0.00928814000000003</v>
      </c>
      <c r="BX44" s="113">
        <f t="shared" si="18"/>
        <v>0</v>
      </c>
      <c r="BY44" s="108">
        <f>$B$11*IF($G$5="撼天",1.05,1)+IF(AND(VLOOKUP($E44,武器奇术!$A:$R,15,FALSE)="武器",VLOOKUP($E44,武器奇术!$A:$R,17,FALSE)="牵丝"),$E$3,0)*(1+$E$15)</f>
        <v>0</v>
      </c>
      <c r="BZ44" s="99">
        <f>(BY44+CA44)*IF(VLOOKUP($E44,武器奇术!$A:$Z,21,FALSE)=1,$G$15,0.5)</f>
        <v>0</v>
      </c>
      <c r="CA44" s="109">
        <f>MAX($C$11*IF($G$5="撼天",1.05,1)+IF(AND(VLOOKUP($E44,武器奇术!$A:$R,15,FALSE)="武器",VLOOKUP($E44,武器奇术!$A:$R,17,FALSE)="牵丝"),$E$3*(1+$E$15),0),BY44)</f>
        <v>0</v>
      </c>
      <c r="CB44" s="110">
        <f>IF(($D$11+IF(VLOOKUP($E44,武器奇术!$A:$R,17,FALSE)="牵丝",$D$15,0)+IF(VLOOKUP($E44,武器奇术!$A:$R,18,FALSE)=1,4,0)+IF(VLOOKUP($E44,武器奇术!$A:$S,19,FALSE)=1,20,0)-VLOOKUP($F$7,目标属性!$A:$R,6,FALSE))&gt;0,($D$11+IF(VLOOKUP($E44,武器奇术!$A:$R,17,FALSE)="牵丝",$D$15,0)+IF(VLOOKUP($E44,武器奇术!$A:$R,18,FALSE)=1,4,0)+IF(VLOOKUP($E44,武器奇术!$A:$S,19,FALSE)=1,20,0)-VLOOKUP($F$7,目标属性!$A:$R,6,FALSE))/200,($D$11+IF(VLOOKUP($E44,武器奇术!$A:$R,17,FALSE)="牵丝",$D$15,0)+IF(VLOOKUP($E44,武器奇术!$A:$R,18,FALSE)=1,4,0)+IF(VLOOKUP($E44,武器奇术!$A:$S,19,FALSE)=1,20,0)-VLOOKUP($F$7,目标属性!$A:$R,6,FALSE))/100)</f>
        <v>-0.24</v>
      </c>
      <c r="CC44" s="111">
        <f t="shared" si="19"/>
        <v>0</v>
      </c>
      <c r="CD44" s="109">
        <v>1</v>
      </c>
      <c r="CE44" s="112">
        <f>BY44*IF(VLOOKUP($E44,武器奇术!$A:$R,17,FALSE)="牵丝",VLOOKUP($E44,武器奇术!$A:$R,4,FALSE),VLOOKUP($E44,武器奇术!$A:$R,2,FALSE))*(1+CB44)*(1+CC44)*CD44</f>
        <v>0</v>
      </c>
      <c r="CF44" s="110">
        <f>(1-IF(VLOOKUP($E44,武器奇术!$A:$T,20,FALSE)=1,1,$N44))*(1-$M44)</f>
        <v>0.01072666</v>
      </c>
      <c r="CG44" s="112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110">
        <f t="shared" si="20"/>
        <v>0.8813852</v>
      </c>
      <c r="CI44" s="112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110">
        <f t="shared" si="21"/>
        <v>0.0986</v>
      </c>
      <c r="CK44" s="112">
        <f>BZ44*IF(VLOOKUP($E44,武器奇术!$A:$R,17,FALSE)="牵丝",VLOOKUP($E44,武器奇术!$A:$R,4,FALSE),VLOOKUP($E44,武器奇术!$A:$R,2,FALSE))*(1+CB44)*(1+CC44)*CD44</f>
        <v>0</v>
      </c>
      <c r="CL44" s="110">
        <f t="shared" si="22"/>
        <v>0.00928814000000003</v>
      </c>
      <c r="CM44" s="113">
        <f t="shared" si="23"/>
        <v>0</v>
      </c>
      <c r="CN44" s="108">
        <f>$B$13*IF($G$5="撼天",1.05,1)+IF(AND(VLOOKUP($E44,武器奇术!$A:$R,15,FALSE)="武器",VLOOKUP($E44,武器奇术!$A:$R,17,FALSE)="破竹"),$E$3,0)*(1+$E$15)</f>
        <v>648.46</v>
      </c>
      <c r="CO44" s="99">
        <f>IF(VLOOKUP($E44,武器奇术!$A:$Z,20,FALSE)=1,(CP44-(CN44+CP44)*0.5)*($G$15-0.5)*2+(CN44+CP44)*0.5,(CN44+CP44)*0.5)</f>
        <v>875.26</v>
      </c>
      <c r="CP44" s="109">
        <f>MAX($C$13*IF($G$5="撼天",1.05,1)+IF(AND(VLOOKUP($E44,武器奇术!$A:$R,15,FALSE)="武器",VLOOKUP($E44,武器奇术!$A:$R,17,FALSE)="破竹"),$E$3*(1+$E$15),0),CN44)</f>
        <v>1102.06</v>
      </c>
      <c r="CQ44" s="110">
        <f>IF(($D$13+IF(VLOOKUP($E44,武器奇术!$A:$R,17,FALSE)="破竹",$D$15,0)+IF(VLOOKUP($E44,武器奇术!$A:$R,18,FALSE)=1,4,0)+IF(VLOOKUP($E44,武器奇术!$A:$S,19,FALSE)=1,20,0)-VLOOKUP($F$7,目标属性!$A:$R,6,FALSE))&gt;0,($D$13+IF(VLOOKUP($E44,武器奇术!$A:$R,17,FALSE)="破竹",$D$15,0)+IF(VLOOKUP($E44,武器奇术!$A:$R,18,FALSE)=1,4,0)+IF(VLOOKUP($E44,武器奇术!$A:$S,19,FALSE)=1,20,0)-VLOOKUP($F$7,目标属性!$A:$R,6,FALSE))/200,($D$13+IF(VLOOKUP($E44,武器奇术!$A:$R,17,FALSE)="破竹",$D$15,0)+IF(VLOOKUP($E44,武器奇术!$A:$R,18,FALSE)=1,4,0)+IF(VLOOKUP($E44,武器奇术!$A:$S,19,FALSE)=1,20,0)-VLOOKUP($F$7,目标属性!$A:$R,6,FALSE))/100)</f>
        <v>0.025</v>
      </c>
      <c r="CR44" s="111">
        <f>$E$13+IF(VLOOKUP($E44,武器奇术!$A:$U,21,FALSE)=1,0,0.09)</f>
        <v>0.235</v>
      </c>
      <c r="CS44" s="109">
        <v>1</v>
      </c>
      <c r="CT44" s="112">
        <f>CN44*IF(VLOOKUP($E44,武器奇术!$A:$R,17,FALSE)="破竹",VLOOKUP($E44,武器奇术!$A:$R,4,FALSE),VLOOKUP($E44,武器奇术!$A:$R,2,FALSE))*(1+CQ44)*(1+CR44)*CS44</f>
        <v>1539.54037683875</v>
      </c>
      <c r="CU44" s="110">
        <f>(1-IF(VLOOKUP($E44,武器奇术!$A:$T,20,FALSE)=1,1,$N44))*(1-$M44)</f>
        <v>0.01072666</v>
      </c>
      <c r="CV44" s="112">
        <f>CO44*IF(VLOOKUP($E44,武器奇术!$A:$R,17,FALSE)="破竹",VLOOKUP($E44,武器奇术!$A:$R,4,FALSE),VLOOKUP($E44,武器奇术!$A:$R,2,FALSE))*(1+CQ44)*(1+CR44)*CS44*(1+$E$16+VLOOKUP($E44,武器奇术!$A:$R,8,FALSE))</f>
        <v>3407.91552413455</v>
      </c>
      <c r="CW44" s="110">
        <f t="shared" si="24"/>
        <v>0.8813852</v>
      </c>
      <c r="CX44" s="112">
        <f>CP44*IF(VLOOKUP($E44,武器奇术!$A:$R,17,FALSE)="破竹",VLOOKUP($E44,武器奇术!$A:$R,4,FALSE),VLOOKUP($E44,武器奇术!$A:$R,2,FALSE))*(1+CQ44)*(1+CR44)*CS44*(1+$E$17+VLOOKUP($E44,武器奇术!$A:$R,10,FALSE))</f>
        <v>3532.21312246481</v>
      </c>
      <c r="CY44" s="110">
        <f t="shared" si="25"/>
        <v>0.0986</v>
      </c>
      <c r="CZ44" s="112">
        <f>CO44*IF(VLOOKUP($E44,武器奇术!$A:$R,17,FALSE)="破竹",VLOOKUP($E44,武器奇术!$A:$R,4,FALSE),VLOOKUP($E44,武器奇术!$A:$R,2,FALSE))*(1+CQ44)*(1+CR44)*CS44</f>
        <v>2077.99727081375</v>
      </c>
      <c r="DA44" s="110">
        <f t="shared" si="26"/>
        <v>0.00928814000000003</v>
      </c>
      <c r="DB44" s="113">
        <f t="shared" si="27"/>
        <v>3387.77737544702</v>
      </c>
      <c r="DC44" s="108">
        <f t="shared" si="36"/>
        <v>69.3</v>
      </c>
      <c r="DD44" s="99">
        <f>(DC44+DE44)*IF(VLOOKUP($E44,武器奇术!$A:$Z,21,FALSE)=1,$G$15,0.5)</f>
        <v>69.3</v>
      </c>
      <c r="DE44" s="109">
        <f t="shared" si="37"/>
        <v>69.3</v>
      </c>
      <c r="DF44" s="110">
        <f>IF(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100)</f>
        <v>0.025</v>
      </c>
      <c r="DG44" s="111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U,21,FALSE)=1,0,0.09)</f>
        <v>0.235</v>
      </c>
      <c r="DH44" s="109">
        <v>1</v>
      </c>
      <c r="DI44" s="112">
        <f>DC44*IF(VLOOKUP($E44,武器奇术!$A:$R,17,FALSE)="破竹",VLOOKUP($E44,武器奇术!$A:$R,4,FALSE),VLOOKUP($E44,武器奇术!$A:$R,2,FALSE))*(1+DF44)*(1+DG44)*DH44</f>
        <v>164.52849538125</v>
      </c>
      <c r="DJ44" s="110">
        <f>(1-IF(VLOOKUP($E44,武器奇术!$A:$T,20,FALSE)=1,1,$N44))*(1-$M44)</f>
        <v>0.01072666</v>
      </c>
      <c r="DK44" s="112">
        <f>DD44*IF(VLOOKUP($E44,武器奇术!$A:$R,17,FALSE)="破竹",VLOOKUP($E44,武器奇术!$A:$R,4,FALSE),VLOOKUP($E44,武器奇术!$A:$R,2,FALSE))*(1+DF44)*(1+DG44)*DH44*(1+$E$16+VLOOKUP($E44,武器奇术!$A:$R,8,FALSE))</f>
        <v>269.82673242525</v>
      </c>
      <c r="DL44" s="110">
        <f t="shared" si="28"/>
        <v>0.8813852</v>
      </c>
      <c r="DM44" s="112">
        <f>DE44*IF(VLOOKUP($E44,武器奇术!$A:$R,17,FALSE)="破竹",VLOOKUP($E44,武器奇术!$A:$R,4,FALSE),VLOOKUP($E44,武器奇术!$A:$R,2,FALSE))*(1+DF44)*(1+DG44)*DH44*(1+$E$17+VLOOKUP($E44,武器奇术!$A:$R,10,FALSE))</f>
        <v>222.113468764687</v>
      </c>
      <c r="DN44" s="110">
        <f t="shared" si="29"/>
        <v>0.0986</v>
      </c>
      <c r="DO44" s="112">
        <f>DD44*IF(VLOOKUP($E44,武器奇术!$A:$R,17,FALSE)="破竹",VLOOKUP($E44,武器奇术!$A:$R,4,FALSE),VLOOKUP($E44,武器奇术!$A:$R,2,FALSE))*(1+DF44)*(1+DG44)*DH44</f>
        <v>164.52849538125</v>
      </c>
      <c r="DP44" s="110">
        <f t="shared" si="30"/>
        <v>0.00928814000000003</v>
      </c>
      <c r="DQ44" s="113">
        <f t="shared" si="31"/>
        <v>263.01468147353</v>
      </c>
    </row>
    <row r="45" customFormat="1" spans="2:121">
      <c r="B45" s="124" t="s">
        <v>140</v>
      </c>
      <c r="C45" s="141"/>
      <c r="D45" s="142"/>
      <c r="E45" s="98" t="s">
        <v>141</v>
      </c>
      <c r="F45" s="99">
        <v>1</v>
      </c>
      <c r="G45" s="115"/>
      <c r="H45" s="100">
        <f>IF(VLOOKUP($E45,武器奇术!$A:$R,18,FALSE)="天工",AE45,(AE45+AT45+BI45+BX45+CM45+DB45+DQ45))*(1+J45)*F45*K45*(1+G45)</f>
        <v>38693.2921128265</v>
      </c>
      <c r="I45" s="101">
        <f t="shared" si="0"/>
        <v>0.00477718659022702</v>
      </c>
      <c r="J45" s="116">
        <f>$F$3+VLOOKUP($E45,武器奇术!$A:$R,12,FALSE)+VLOOKUP($E45,武器奇术!$A:$R,14,FALSE)*$G$3+$P45+IF($F$21="√",5%,0)</f>
        <v>0.737</v>
      </c>
      <c r="K45" s="102">
        <f>VLOOKUP($E45,武器奇术!$A:$R,11,FALSE)</f>
        <v>1</v>
      </c>
      <c r="L45" s="117">
        <f>IF(VLOOKUP($E45,武器奇术!$A:$R,15,FALSE)="天工",0%,IF($C$17+VLOOKUP($E45,武器奇术!$A:$R,7,FALSE)&gt;80%,80%,$C$17+VLOOKUP($E45,武器奇术!$A:$R,7,FALSE))+IF($C$19&gt;20%,20%,$C$19))</f>
        <v>0.892</v>
      </c>
      <c r="M45" s="118">
        <f>IF(VLOOKUP($E45,武器奇术!$A:$R,15,FALSE)="天工",0%,IF($C$18+VLOOKUP($E45,武器奇术!$A:$R,9,FALSE)&gt;40%,40%,$C$18+VLOOKUP($E45,武器奇术!$A:$R,9,FALSE))+IF($C$20&gt;10%,10%,$C$20))</f>
        <v>0.0986</v>
      </c>
      <c r="N45" s="119">
        <f>IF(VLOOKUP($E45,武器奇术!$A:$R,15,FALSE)="天工",100%,MIN($C$16,1))</f>
        <v>0.9881</v>
      </c>
      <c r="O45" s="120" t="str">
        <f>VLOOKUP($E45,武器奇术!$A:$R,16,FALSE)</f>
        <v>绳标</v>
      </c>
      <c r="P45" s="121">
        <f t="shared" si="32"/>
        <v>0.084</v>
      </c>
      <c r="Q45" s="108">
        <f>$B$5*(1+VLOOKUP($E45,武器奇术!$A:$R,5,FALSE)+IF($G$5="飞隼",0.1,0)+IF($G$5="撼天",0.05,0))-$F$9+IF($I$5="√",160,0)</f>
        <v>1731.135</v>
      </c>
      <c r="R45" s="99">
        <f>IF(VLOOKUP($E45,武器奇术!$A:$Z,20,FALSE)=1,(S45-(Q45+S45)*0.5)*($G$15-0.5)*2+(Q45+S45)*0.5,(Q45+S45)*0.5)</f>
        <v>3256.775</v>
      </c>
      <c r="S45" s="109">
        <f>MAX($C$5,$B$5)*(1+VLOOKUP($E45,武器奇术!$A:$R,5,FALSE)+IF($G$5="飞隼",0.1,0)+IF($G$5="撼天",0.05,0))-$F$9+IF($I$5="√",320,0)</f>
        <v>4782.415</v>
      </c>
      <c r="T45" s="101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U45" s="111">
        <f>$E$5+IF(VLOOKUP($E45,武器奇术!$A:$U,21,FALSE)=1,0,0.09)</f>
        <v>0.115</v>
      </c>
      <c r="V45" s="109">
        <v>1</v>
      </c>
      <c r="W45" s="112">
        <f>Q45*VLOOKUP($E45,武器奇术!$A:$R,2,FALSE)*(1+T45)*(1+U45)*V45</f>
        <v>4662.62862219</v>
      </c>
      <c r="X45" s="110">
        <f>(1-IF(VLOOKUP($E45,武器奇术!$A:$T,20,FALSE)=1,1,$N45))*(1-$M45)</f>
        <v>0.01072666</v>
      </c>
      <c r="Y45" s="112">
        <f>R45*VLOOKUP($E45,武器奇术!$A:$R,2,FALSE)*(1+T45)*(1+U45)*V45*(1+$E$16+VLOOKUP($E45,武器奇术!$A:$R,8,FALSE))</f>
        <v>17017.249794039</v>
      </c>
      <c r="Z45" s="110">
        <f t="shared" si="33"/>
        <v>0.8813852</v>
      </c>
      <c r="AA45" s="112">
        <f>S45*VLOOKUP($E45,武器奇术!$A:$R,2,FALSE)*(1+T45)*(1+U45)*V45*(1+$E$17+VLOOKUP($E45,武器奇术!$A:$R,10,FALSE))</f>
        <v>17389.2526197885</v>
      </c>
      <c r="AB45" s="110">
        <f t="shared" si="34"/>
        <v>0.0986</v>
      </c>
      <c r="AC45" s="112">
        <f>R45*VLOOKUP($E45,武器奇术!$A:$R,2,FALSE)*(1+T45)*(1+U45)*V45</f>
        <v>8771.77824435</v>
      </c>
      <c r="AD45" s="110">
        <f t="shared" si="1"/>
        <v>0.00928814000000003</v>
      </c>
      <c r="AE45" s="113">
        <f t="shared" si="2"/>
        <v>16844.8203577992</v>
      </c>
      <c r="AF45" s="114">
        <f>VLOOKUP($E45,武器奇术!$A:$R,3,FALSE)*(1+IF(VLOOKUP($E45,武器奇术!$A:$R,15,FALSE)="武器",$E$15,0))</f>
        <v>0</v>
      </c>
      <c r="AG45" s="112">
        <f t="shared" si="3"/>
        <v>0</v>
      </c>
      <c r="AH45" s="112">
        <f>VLOOKUP($E45,武器奇术!$A:$R,3,FALSE)*(1+IF(VLOOKUP($E45,武器奇术!$A:$R,15,FALSE)="武器",$E$15,0))</f>
        <v>0</v>
      </c>
      <c r="AI45" s="101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AJ45" s="111">
        <f>$E$5+IF(VLOOKUP($E45,武器奇术!$A:$U,21,FALSE)=1,0,0.09)</f>
        <v>0.115</v>
      </c>
      <c r="AK45" s="109">
        <v>1</v>
      </c>
      <c r="AL45" s="112">
        <f t="shared" si="35"/>
        <v>0</v>
      </c>
      <c r="AM45" s="110">
        <f>(1-IF(VLOOKUP($E45,武器奇术!$A:$T,20,FALSE)=1,1,$N45))*(1-$M45)</f>
        <v>0.01072666</v>
      </c>
      <c r="AN45" s="112">
        <f>AG45*(1+AI45)*(1+AJ45)*AK45*(1+$E$16+VLOOKUP($E45,武器奇术!$A:$R,8,FALSE))</f>
        <v>0</v>
      </c>
      <c r="AO45" s="110">
        <f t="shared" si="4"/>
        <v>0.8813852</v>
      </c>
      <c r="AP45" s="112">
        <f>AH45*(1+AI45)*(1+AJ45)*AK45*(1+$E$17+VLOOKUP($E45,武器奇术!$A:$R,10,FALSE))</f>
        <v>0</v>
      </c>
      <c r="AQ45" s="110">
        <f t="shared" si="5"/>
        <v>0.0986</v>
      </c>
      <c r="AR45" s="112">
        <f t="shared" si="6"/>
        <v>0</v>
      </c>
      <c r="AS45" s="110">
        <f t="shared" si="7"/>
        <v>0.00928814000000003</v>
      </c>
      <c r="AT45" s="113">
        <f t="shared" si="8"/>
        <v>0</v>
      </c>
      <c r="AU45" s="108">
        <f>$B$7*IF($G$5="撼天",1.05,1)+IF(AND(VLOOKUP($E45,武器奇术!$A:$R,15,FALSE)="武器",VLOOKUP($E45,武器奇术!$A:$R,17,FALSE)="鸣金"),$E$3,0)*(1+$E$15)</f>
        <v>0</v>
      </c>
      <c r="AV45" s="99">
        <f>(AU45+AW45)*IF(VLOOKUP($E45,武器奇术!$A:$Z,21,FALSE)=1,$G$15,0.5)</f>
        <v>0</v>
      </c>
      <c r="AW45" s="109">
        <f>MAX($C$7*IF($G$5="撼天",1.05,1)+IF(AND(VLOOKUP($E45,武器奇术!$A:$R,15,FALSE)="武器",VLOOKUP($E45,武器奇术!$A:$R,17,FALSE)="鸣金"),$E$3*(1+$E$15),0),AU45)</f>
        <v>0</v>
      </c>
      <c r="AX45" s="110">
        <f>IF(($D$7+IF(VLOOKUP($E45,武器奇术!$A:$R,17,FALSE)="鸣金",$D$15,0)+IF(VLOOKUP($E45,武器奇术!$A:$R,18,FALSE)=1,4,0)+IF(VLOOKUP($E45,武器奇术!$A:$S,19,FALSE)=1,20,0)-VLOOKUP($F$7,目标属性!$A:$R,6,FALSE))&gt;0,($D$7+IF(VLOOKUP($E45,武器奇术!$A:$R,17,FALSE)="鸣金",$D$15,0)+IF(VLOOKUP($E45,武器奇术!$A:$R,18,FALSE)=1,4,0)+IF(VLOOKUP($E45,武器奇术!$A:$S,19,FALSE)=1,20,0)-VLOOKUP($F$7,目标属性!$A:$R,6,FALSE))/200,($D$7+IF(VLOOKUP($E45,武器奇术!$A:$R,17,FALSE)="鸣金",$D$15,0)+IF(VLOOKUP($E45,武器奇术!$A:$R,18,FALSE)=1,4,0)+IF(VLOOKUP($E45,武器奇术!$A:$S,19,FALSE)=1,20,0)-VLOOKUP($F$7,目标属性!$A:$R,6,FALSE))/100)</f>
        <v>0</v>
      </c>
      <c r="AY45" s="111">
        <f t="shared" si="9"/>
        <v>0</v>
      </c>
      <c r="AZ45" s="109">
        <v>1</v>
      </c>
      <c r="BA45" s="112">
        <f>AU45*IF(VLOOKUP($E45,武器奇术!$A:$R,17,FALSE)="鸣金",VLOOKUP($E45,武器奇术!$A:$R,4,FALSE),VLOOKUP($E45,武器奇术!$A:$R,2,FALSE))*(1+AX45)*(1+AY45)*AZ45</f>
        <v>0</v>
      </c>
      <c r="BB45" s="110">
        <f>(1-IF(VLOOKUP($E45,武器奇术!$A:$T,20,FALSE)=1,1,$N45))*(1-$M45)</f>
        <v>0.01072666</v>
      </c>
      <c r="BC45" s="112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10">
        <f t="shared" si="10"/>
        <v>0.8813852</v>
      </c>
      <c r="BE45" s="112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10">
        <f t="shared" si="11"/>
        <v>0.0986</v>
      </c>
      <c r="BG45" s="112">
        <f>AV45*IF(VLOOKUP($E45,武器奇术!$A:$R,17,FALSE)="鸣金",VLOOKUP($E45,武器奇术!$A:$R,4,FALSE),VLOOKUP($E45,武器奇术!$A:$R,2,FALSE))*(1+AX45)*(1+AY45)*AZ45</f>
        <v>0</v>
      </c>
      <c r="BH45" s="110">
        <f t="shared" si="12"/>
        <v>0.00928814000000003</v>
      </c>
      <c r="BI45" s="113">
        <f t="shared" si="13"/>
        <v>0</v>
      </c>
      <c r="BJ45" s="108">
        <f>$B$9*IF($G$5="撼天",1.05,1)+IF(AND(VLOOKUP($E45,武器奇术!$A:$R,15,FALSE)="武器",VLOOKUP($E45,武器奇术!$A:$R,17,FALSE)="裂石"),$E$3,0)*(1+$E$15)</f>
        <v>0</v>
      </c>
      <c r="BK45" s="99">
        <f>(BJ45+BL45)*IF(VLOOKUP($E45,武器奇术!$A:$Z,21,FALSE)=1,$G$15,0.5)</f>
        <v>0</v>
      </c>
      <c r="BL45" s="109">
        <f>MAX($C$9*IF($G$5="撼天",1.05,1)+IF(AND(VLOOKUP($E45,武器奇术!$A:$R,15,FALSE)="武器",VLOOKUP($E45,武器奇术!$A:$R,17,FALSE)="裂石"),$E$3*(1+$E$15),0),BJ45)</f>
        <v>0</v>
      </c>
      <c r="BM45" s="110">
        <f>IF(($D$9+IF(VLOOKUP($E45,武器奇术!$A:$R,17,FALSE)="裂石",$D$15,0)+IF(VLOOKUP($E45,武器奇术!$A:$R,18,FALSE)=1,4,0)+IF(VLOOKUP($E45,武器奇术!$A:$S,19,FALSE)=1,20,0)-VLOOKUP($F$7,目标属性!$A:$R,6,FALSE))&gt;0,($D$9+IF(VLOOKUP($E45,武器奇术!$A:$R,17,FALSE)="裂石",$D$15,0)+IF(VLOOKUP($E45,武器奇术!$A:$R,18,FALSE)=1,4,0)+IF(VLOOKUP($E45,武器奇术!$A:$S,19,FALSE)=1,20,0)-VLOOKUP($F$7,目标属性!$A:$R,6,FALSE))/200,($D$9+IF(VLOOKUP($E45,武器奇术!$A:$R,17,FALSE)="裂石",$D$15,0)+IF(VLOOKUP($E45,武器奇术!$A:$R,18,FALSE)=1,4,0)+IF(VLOOKUP($E45,武器奇术!$A:$S,19,FALSE)=1,20,0)-VLOOKUP($F$7,目标属性!$A:$R,6,FALSE))/100)</f>
        <v>0</v>
      </c>
      <c r="BN45" s="111">
        <f t="shared" si="14"/>
        <v>0</v>
      </c>
      <c r="BO45" s="109">
        <v>1</v>
      </c>
      <c r="BP45" s="112">
        <f>BJ45*IF(VLOOKUP($E45,武器奇术!$A:$R,17,FALSE)="裂石",VLOOKUP($E45,武器奇术!$A:$R,4,FALSE),VLOOKUP($E45,武器奇术!$A:$R,2,FALSE))*(1+BM45)*(1+BN45)*BO45</f>
        <v>0</v>
      </c>
      <c r="BQ45" s="110">
        <f>(1-IF(VLOOKUP($E45,武器奇术!$A:$T,20,FALSE)=1,1,$N45))*(1-$M45)</f>
        <v>0.01072666</v>
      </c>
      <c r="BR45" s="112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10">
        <f t="shared" si="15"/>
        <v>0.8813852</v>
      </c>
      <c r="BT45" s="112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10">
        <f t="shared" si="16"/>
        <v>0.0986</v>
      </c>
      <c r="BV45" s="112">
        <f>BK45*IF(VLOOKUP($E45,武器奇术!$A:$R,17,FALSE)="裂石",VLOOKUP($E45,武器奇术!$A:$R,4,FALSE),VLOOKUP($E45,武器奇术!$A:$R,2,FALSE))*(1+BM45)*(1+BN45)*BO45</f>
        <v>0</v>
      </c>
      <c r="BW45" s="110">
        <f t="shared" si="17"/>
        <v>0.00928814000000003</v>
      </c>
      <c r="BX45" s="113">
        <f t="shared" si="18"/>
        <v>0</v>
      </c>
      <c r="BY45" s="108">
        <f>$B$11*IF($G$5="撼天",1.05,1)+IF(AND(VLOOKUP($E45,武器奇术!$A:$R,15,FALSE)="武器",VLOOKUP($E45,武器奇术!$A:$R,17,FALSE)="牵丝"),$E$3,0)*(1+$E$15)</f>
        <v>0</v>
      </c>
      <c r="BZ45" s="99">
        <f>(BY45+CA45)*IF(VLOOKUP($E45,武器奇术!$A:$Z,21,FALSE)=1,$G$15,0.5)</f>
        <v>0</v>
      </c>
      <c r="CA45" s="109">
        <f>MAX($C$11*IF($G$5="撼天",1.05,1)+IF(AND(VLOOKUP($E45,武器奇术!$A:$R,15,FALSE)="武器",VLOOKUP($E45,武器奇术!$A:$R,17,FALSE)="牵丝"),$E$3*(1+$E$15),0),BY45)</f>
        <v>0</v>
      </c>
      <c r="CB45" s="110">
        <f>IF(($D$11+IF(VLOOKUP($E45,武器奇术!$A:$R,17,FALSE)="牵丝",$D$15,0)+IF(VLOOKUP($E45,武器奇术!$A:$R,18,FALSE)=1,4,0)+IF(VLOOKUP($E45,武器奇术!$A:$S,19,FALSE)=1,20,0)-VLOOKUP($F$7,目标属性!$A:$R,6,FALSE))&gt;0,($D$11+IF(VLOOKUP($E45,武器奇术!$A:$R,17,FALSE)="牵丝",$D$15,0)+IF(VLOOKUP($E45,武器奇术!$A:$R,18,FALSE)=1,4,0)+IF(VLOOKUP($E45,武器奇术!$A:$S,19,FALSE)=1,20,0)-VLOOKUP($F$7,目标属性!$A:$R,6,FALSE))/200,($D$11+IF(VLOOKUP($E45,武器奇术!$A:$R,17,FALSE)="牵丝",$D$15,0)+IF(VLOOKUP($E45,武器奇术!$A:$R,18,FALSE)=1,4,0)+IF(VLOOKUP($E45,武器奇术!$A:$S,19,FALSE)=1,20,0)-VLOOKUP($F$7,目标属性!$A:$R,6,FALSE))/100)</f>
        <v>0</v>
      </c>
      <c r="CC45" s="111">
        <f t="shared" si="19"/>
        <v>0</v>
      </c>
      <c r="CD45" s="109">
        <v>1</v>
      </c>
      <c r="CE45" s="112">
        <f>BY45*IF(VLOOKUP($E45,武器奇术!$A:$R,17,FALSE)="牵丝",VLOOKUP($E45,武器奇术!$A:$R,4,FALSE),VLOOKUP($E45,武器奇术!$A:$R,2,FALSE))*(1+CB45)*(1+CC45)*CD45</f>
        <v>0</v>
      </c>
      <c r="CF45" s="110">
        <f>(1-IF(VLOOKUP($E45,武器奇术!$A:$T,20,FALSE)=1,1,$N45))*(1-$M45)</f>
        <v>0.01072666</v>
      </c>
      <c r="CG45" s="112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110">
        <f t="shared" si="20"/>
        <v>0.8813852</v>
      </c>
      <c r="CI45" s="112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110">
        <f t="shared" si="21"/>
        <v>0.0986</v>
      </c>
      <c r="CK45" s="112">
        <f>BZ45*IF(VLOOKUP($E45,武器奇术!$A:$R,17,FALSE)="牵丝",VLOOKUP($E45,武器奇术!$A:$R,4,FALSE),VLOOKUP($E45,武器奇术!$A:$R,2,FALSE))*(1+CB45)*(1+CC45)*CD45</f>
        <v>0</v>
      </c>
      <c r="CL45" s="110">
        <f t="shared" si="22"/>
        <v>0.00928814000000003</v>
      </c>
      <c r="CM45" s="113">
        <f t="shared" si="23"/>
        <v>0</v>
      </c>
      <c r="CN45" s="108">
        <f>$B$13*IF($G$5="撼天",1.05,1)+IF(AND(VLOOKUP($E45,武器奇术!$A:$R,15,FALSE)="武器",VLOOKUP($E45,武器奇术!$A:$R,17,FALSE)="破竹"),$E$3,0)*(1+$E$15)</f>
        <v>452.55</v>
      </c>
      <c r="CO45" s="99">
        <f>IF(VLOOKUP($E45,武器奇术!$A:$Z,20,FALSE)=1,(CP45-(CN45+CP45)*0.5)*($G$15-0.5)*2+(CN45+CP45)*0.5,(CN45+CP45)*0.5)</f>
        <v>679.35</v>
      </c>
      <c r="CP45" s="109">
        <f>MAX($C$13*IF($G$5="撼天",1.05,1)+IF(AND(VLOOKUP($E45,武器奇术!$A:$R,15,FALSE)="武器",VLOOKUP($E45,武器奇术!$A:$R,17,FALSE)="破竹"),$E$3*(1+$E$15),0),CN45)</f>
        <v>906.15</v>
      </c>
      <c r="CQ45" s="110">
        <f>IF(($D$13+IF(VLOOKUP($E45,武器奇术!$A:$R,17,FALSE)="破竹",$D$15,0)+IF(VLOOKUP($E45,武器奇术!$A:$R,18,FALSE)=1,4,0)+IF(VLOOKUP($E45,武器奇术!$A:$S,19,FALSE)=1,20,0)-VLOOKUP($F$7,目标属性!$A:$R,6,FALSE))&gt;0,($D$13+IF(VLOOKUP($E45,武器奇术!$A:$R,17,FALSE)="破竹",$D$15,0)+IF(VLOOKUP($E45,武器奇术!$A:$R,18,FALSE)=1,4,0)+IF(VLOOKUP($E45,武器奇术!$A:$S,19,FALSE)=1,20,0)-VLOOKUP($F$7,目标属性!$A:$R,6,FALSE))/200,($D$13+IF(VLOOKUP($E45,武器奇术!$A:$R,17,FALSE)="破竹",$D$15,0)+IF(VLOOKUP($E45,武器奇术!$A:$R,18,FALSE)=1,4,0)+IF(VLOOKUP($E45,武器奇术!$A:$S,19,FALSE)=1,20,0)-VLOOKUP($F$7,目标属性!$A:$R,6,FALSE))/100)</f>
        <v>0.145</v>
      </c>
      <c r="CR45" s="111">
        <f>$E$13+IF(VLOOKUP($E45,武器奇术!$A:$U,21,FALSE)=1,0,0.09)</f>
        <v>0.235</v>
      </c>
      <c r="CS45" s="109">
        <v>1</v>
      </c>
      <c r="CT45" s="112">
        <f>CN45*IF(VLOOKUP($E45,武器奇术!$A:$R,17,FALSE)="破竹",VLOOKUP($E45,武器奇术!$A:$R,4,FALSE),VLOOKUP($E45,武器奇术!$A:$R,2,FALSE))*(1+CQ45)*(1+CR45)*CS45</f>
        <v>1727.837031375</v>
      </c>
      <c r="CU45" s="110">
        <f>(1-IF(VLOOKUP($E45,武器奇术!$A:$T,20,FALSE)=1,1,$N45))*(1-$M45)</f>
        <v>0.01072666</v>
      </c>
      <c r="CV45" s="112">
        <f>CO45*IF(VLOOKUP($E45,武器奇术!$A:$R,17,FALSE)="破竹",VLOOKUP($E45,武器奇术!$A:$R,4,FALSE),VLOOKUP($E45,武器奇术!$A:$R,2,FALSE))*(1+CQ45)*(1+CR45)*CS45*(1+$E$16+VLOOKUP($E45,武器奇术!$A:$R,8,FALSE))</f>
        <v>5031.8943968475</v>
      </c>
      <c r="CW45" s="110">
        <f t="shared" si="24"/>
        <v>0.8813852</v>
      </c>
      <c r="CX45" s="112">
        <f>CP45*IF(VLOOKUP($E45,武器奇术!$A:$R,17,FALSE)="破竹",VLOOKUP($E45,武器奇术!$A:$R,4,FALSE),VLOOKUP($E45,武器奇术!$A:$R,2,FALSE))*(1+CQ45)*(1+CR45)*CS45*(1+$E$17+VLOOKUP($E45,武器奇术!$A:$R,10,FALSE))</f>
        <v>4670.57200325625</v>
      </c>
      <c r="CY45" s="110">
        <f t="shared" si="25"/>
        <v>0.0986</v>
      </c>
      <c r="CZ45" s="112">
        <f>CO45*IF(VLOOKUP($E45,武器奇术!$A:$R,17,FALSE)="破竹",VLOOKUP($E45,武器奇术!$A:$R,4,FALSE),VLOOKUP($E45,武器奇术!$A:$R,2,FALSE))*(1+CQ45)*(1+CR45)*CS45</f>
        <v>2593.759998375</v>
      </c>
      <c r="DA45" s="110">
        <f t="shared" si="26"/>
        <v>0.00928814000000003</v>
      </c>
      <c r="DB45" s="113">
        <f t="shared" si="27"/>
        <v>4938.18077522766</v>
      </c>
      <c r="DC45" s="108">
        <f t="shared" si="36"/>
        <v>69.3</v>
      </c>
      <c r="DD45" s="99">
        <f>(DC45+DE45)*IF(VLOOKUP($E45,武器奇术!$A:$Z,21,FALSE)=1,$G$15,0.5)</f>
        <v>69.3</v>
      </c>
      <c r="DE45" s="109">
        <f t="shared" si="37"/>
        <v>69.3</v>
      </c>
      <c r="DF45" s="110">
        <f>IF(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100)</f>
        <v>0.145</v>
      </c>
      <c r="DG45" s="111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U,21,FALSE)=1,0,0.09)</f>
        <v>0.235</v>
      </c>
      <c r="DH45" s="109">
        <v>1</v>
      </c>
      <c r="DI45" s="112">
        <f>DC45*IF(VLOOKUP($E45,武器奇术!$A:$R,17,FALSE)="破竹",VLOOKUP($E45,武器奇术!$A:$R,4,FALSE),VLOOKUP($E45,武器奇术!$A:$R,2,FALSE))*(1+DF45)*(1+DG45)*DH45</f>
        <v>264.58757325</v>
      </c>
      <c r="DJ45" s="110">
        <f>(1-IF(VLOOKUP($E45,武器奇术!$A:$T,20,FALSE)=1,1,$N45))*(1-$M45)</f>
        <v>0.01072666</v>
      </c>
      <c r="DK45" s="112">
        <f>DD45*IF(VLOOKUP($E45,武器奇术!$A:$R,17,FALSE)="破竹",VLOOKUP($E45,武器奇术!$A:$R,4,FALSE),VLOOKUP($E45,武器奇术!$A:$R,2,FALSE))*(1+DF45)*(1+DG45)*DH45*(1+$E$16+VLOOKUP($E45,武器奇术!$A:$R,8,FALSE))</f>
        <v>513.299892105</v>
      </c>
      <c r="DL45" s="110">
        <f t="shared" si="28"/>
        <v>0.8813852</v>
      </c>
      <c r="DM45" s="112">
        <f>DE45*IF(VLOOKUP($E45,武器奇术!$A:$R,17,FALSE)="破竹",VLOOKUP($E45,武器奇术!$A:$R,4,FALSE),VLOOKUP($E45,武器奇术!$A:$R,2,FALSE))*(1+DF45)*(1+DG45)*DH45*(1+$E$17+VLOOKUP($E45,武器奇术!$A:$R,10,FALSE))</f>
        <v>357.1932238875</v>
      </c>
      <c r="DN45" s="110">
        <f t="shared" si="29"/>
        <v>0.0986</v>
      </c>
      <c r="DO45" s="112">
        <f>DD45*IF(VLOOKUP($E45,武器奇术!$A:$R,17,FALSE)="破竹",VLOOKUP($E45,武器奇术!$A:$R,4,FALSE),VLOOKUP($E45,武器奇术!$A:$R,2,FALSE))*(1+DF45)*(1+DG45)*DH45</f>
        <v>264.58757325</v>
      </c>
      <c r="DP45" s="110">
        <f t="shared" si="30"/>
        <v>0.00928814000000003</v>
      </c>
      <c r="DQ45" s="113">
        <f t="shared" si="31"/>
        <v>492.929847299336</v>
      </c>
    </row>
    <row r="46" customFormat="1" spans="2:121">
      <c r="B46" s="122"/>
      <c r="C46" s="143"/>
      <c r="D46" s="144"/>
      <c r="E46" s="98" t="s">
        <v>142</v>
      </c>
      <c r="F46" s="99">
        <v>1</v>
      </c>
      <c r="G46" s="115"/>
      <c r="H46" s="100">
        <f>IF(VLOOKUP($E46,武器奇术!$A:$R,18,FALSE)="天工",AE46,(AE46+AT46+BI46+BX46+CM46+DB46+DQ46))*(1+J46)*F46*K46*(1+G46)</f>
        <v>26650.4708538805</v>
      </c>
      <c r="I46" s="101">
        <f t="shared" si="0"/>
        <v>0.00329034478676965</v>
      </c>
      <c r="J46" s="116">
        <f>$F$3+VLOOKUP($E46,武器奇术!$A:$R,12,FALSE)+VLOOKUP($E46,武器奇术!$A:$R,14,FALSE)*$G$3+$P46+IF($F$21="√",5%,0)</f>
        <v>0.437</v>
      </c>
      <c r="K46" s="102">
        <f>VLOOKUP($E46,武器奇术!$A:$R,11,FALSE)</f>
        <v>1</v>
      </c>
      <c r="L46" s="117">
        <f>IF(VLOOKUP($E46,武器奇术!$A:$R,15,FALSE)="天工",0%,IF($C$17+VLOOKUP($E46,武器奇术!$A:$R,7,FALSE)&gt;80%,80%,$C$17+VLOOKUP($E46,武器奇术!$A:$R,7,FALSE))+IF($C$19&gt;20%,20%,$C$19))</f>
        <v>0.892</v>
      </c>
      <c r="M46" s="118">
        <f>IF(VLOOKUP($E46,武器奇术!$A:$R,15,FALSE)="天工",0%,IF($C$18+VLOOKUP($E46,武器奇术!$A:$R,9,FALSE)&gt;40%,40%,$C$18+VLOOKUP($E46,武器奇术!$A:$R,9,FALSE))+IF($C$20&gt;10%,10%,$C$20))</f>
        <v>0.0986</v>
      </c>
      <c r="N46" s="119">
        <f>IF(VLOOKUP($E46,武器奇术!$A:$R,15,FALSE)="天工",100%,MIN($C$16,1))</f>
        <v>0.9881</v>
      </c>
      <c r="O46" s="120" t="str">
        <f>VLOOKUP($E46,武器奇术!$A:$R,16,FALSE)</f>
        <v>绳标</v>
      </c>
      <c r="P46" s="121">
        <f t="shared" si="32"/>
        <v>0.084</v>
      </c>
      <c r="Q46" s="108">
        <f>$B$5*(1+VLOOKUP($E46,武器奇术!$A:$R,5,FALSE)+IF($G$5="飞隼",0.1,0)+IF($G$5="撼天",0.05,0))-$F$9+IF($I$5="√",160,0)</f>
        <v>1731.135</v>
      </c>
      <c r="R46" s="99">
        <f>IF(VLOOKUP($E46,武器奇术!$A:$Z,20,FALSE)=1,(S46-(Q46+S46)*0.5)*($G$15-0.5)*2+(Q46+S46)*0.5,(Q46+S46)*0.5)</f>
        <v>3256.775</v>
      </c>
      <c r="S46" s="109">
        <f>MAX($C$5,$B$5)*(1+VLOOKUP($E46,武器奇术!$A:$R,5,FALSE)+IF($G$5="飞隼",0.1,0)+IF($G$5="撼天",0.05,0))-$F$9+IF($I$5="√",320,0)</f>
        <v>4782.415</v>
      </c>
      <c r="T46" s="101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U46" s="111">
        <f>$E$5+IF(VLOOKUP($E46,武器奇术!$A:$U,21,FALSE)=1,0,0.09)</f>
        <v>0.115</v>
      </c>
      <c r="V46" s="109">
        <v>1</v>
      </c>
      <c r="W46" s="112">
        <f>Q46*VLOOKUP($E46,武器奇术!$A:$R,2,FALSE)*(1+T46)*(1+U46)*V46</f>
        <v>3975.72822791172</v>
      </c>
      <c r="X46" s="110">
        <f>(1-IF(VLOOKUP($E46,武器奇术!$A:$T,20,FALSE)=1,1,$N46))*(1-$M46)</f>
        <v>0.01072666</v>
      </c>
      <c r="Y46" s="112">
        <f>R46*VLOOKUP($E46,武器奇术!$A:$R,2,FALSE)*(1+T46)*(1+U46)*V46*(1+$E$16+VLOOKUP($E46,武器奇术!$A:$R,8,FALSE))</f>
        <v>12266.406589382</v>
      </c>
      <c r="Z46" s="110">
        <f t="shared" si="33"/>
        <v>0.8813852</v>
      </c>
      <c r="AA46" s="112">
        <f>S46*VLOOKUP($E46,武器奇术!$A:$R,2,FALSE)*(1+T46)*(1+U46)*V46*(1+$E$17+VLOOKUP($E46,武器奇术!$A:$R,10,FALSE))</f>
        <v>14827.4606675212</v>
      </c>
      <c r="AB46" s="110">
        <f t="shared" si="34"/>
        <v>0.0986</v>
      </c>
      <c r="AC46" s="112">
        <f>R46*VLOOKUP($E46,武器奇术!$A:$R,2,FALSE)*(1+T46)*(1+U46)*V46</f>
        <v>7479.5162130378</v>
      </c>
      <c r="AD46" s="110">
        <f t="shared" si="1"/>
        <v>0.00928814000000003</v>
      </c>
      <c r="AE46" s="113">
        <f t="shared" si="2"/>
        <v>12385.5339255535</v>
      </c>
      <c r="AF46" s="114">
        <f>VLOOKUP($E46,武器奇术!$A:$R,3,FALSE)*(1+IF(VLOOKUP($E46,武器奇术!$A:$R,15,FALSE)="武器",$E$15,0))</f>
        <v>595.4</v>
      </c>
      <c r="AG46" s="112">
        <f t="shared" si="3"/>
        <v>595.4</v>
      </c>
      <c r="AH46" s="112">
        <f>VLOOKUP($E46,武器奇术!$A:$R,3,FALSE)*(1+IF(VLOOKUP($E46,武器奇术!$A:$R,15,FALSE)="武器",$E$15,0))</f>
        <v>595.4</v>
      </c>
      <c r="AI46" s="101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AJ46" s="111">
        <f>$E$5+IF(VLOOKUP($E46,武器奇术!$A:$U,21,FALSE)=1,0,0.09)</f>
        <v>0.115</v>
      </c>
      <c r="AK46" s="109">
        <v>1</v>
      </c>
      <c r="AL46" s="112">
        <f t="shared" si="35"/>
        <v>824.527782</v>
      </c>
      <c r="AM46" s="110">
        <f>(1-IF(VLOOKUP($E46,武器奇术!$A:$T,20,FALSE)=1,1,$N46))*(1-$M46)</f>
        <v>0.01072666</v>
      </c>
      <c r="AN46" s="112">
        <f>AG46*(1+AI46)*(1+AJ46)*AK46*(1+$E$16+VLOOKUP($E46,武器奇术!$A:$R,8,FALSE))</f>
        <v>1352.22556248</v>
      </c>
      <c r="AO46" s="110">
        <f t="shared" si="4"/>
        <v>0.8813852</v>
      </c>
      <c r="AP46" s="112">
        <f>AH46*(1+AI46)*(1+AJ46)*AK46*(1+$E$17+VLOOKUP($E46,武器奇术!$A:$R,10,FALSE))</f>
        <v>1113.1125057</v>
      </c>
      <c r="AQ46" s="110">
        <f t="shared" si="5"/>
        <v>0.0986</v>
      </c>
      <c r="AR46" s="112">
        <f t="shared" si="6"/>
        <v>824.527782</v>
      </c>
      <c r="AS46" s="110">
        <f t="shared" si="7"/>
        <v>0.00928814000000003</v>
      </c>
      <c r="AT46" s="113">
        <f t="shared" si="8"/>
        <v>1318.08724954474</v>
      </c>
      <c r="AU46" s="108">
        <f>$B$7*IF($G$5="撼天",1.05,1)+IF(AND(VLOOKUP($E46,武器奇术!$A:$R,15,FALSE)="武器",VLOOKUP($E46,武器奇术!$A:$R,17,FALSE)="鸣金"),$E$3,0)*(1+$E$15)</f>
        <v>0</v>
      </c>
      <c r="AV46" s="99">
        <f>(AU46+AW46)*IF(VLOOKUP($E46,武器奇术!$A:$Z,21,FALSE)=1,$G$15,0.5)</f>
        <v>0</v>
      </c>
      <c r="AW46" s="109">
        <f>MAX($C$7*IF($G$5="撼天",1.05,1)+IF(AND(VLOOKUP($E46,武器奇术!$A:$R,15,FALSE)="武器",VLOOKUP($E46,武器奇术!$A:$R,17,FALSE)="鸣金"),$E$3*(1+$E$15),0),AU46)</f>
        <v>0</v>
      </c>
      <c r="AX46" s="110">
        <f>IF(($D$7+IF(VLOOKUP($E46,武器奇术!$A:$R,17,FALSE)="鸣金",$D$15,0)+IF(VLOOKUP($E46,武器奇术!$A:$R,18,FALSE)=1,4,0)+IF(VLOOKUP($E46,武器奇术!$A:$S,19,FALSE)=1,20,0)-VLOOKUP($F$7,目标属性!$A:$R,6,FALSE))&gt;0,($D$7+IF(VLOOKUP($E46,武器奇术!$A:$R,17,FALSE)="鸣金",$D$15,0)+IF(VLOOKUP($E46,武器奇术!$A:$R,18,FALSE)=1,4,0)+IF(VLOOKUP($E46,武器奇术!$A:$S,19,FALSE)=1,20,0)-VLOOKUP($F$7,目标属性!$A:$R,6,FALSE))/200,($D$7+IF(VLOOKUP($E46,武器奇术!$A:$R,17,FALSE)="鸣金",$D$15,0)+IF(VLOOKUP($E46,武器奇术!$A:$R,18,FALSE)=1,4,0)+IF(VLOOKUP($E46,武器奇术!$A:$S,19,FALSE)=1,20,0)-VLOOKUP($F$7,目标属性!$A:$R,6,FALSE))/100)</f>
        <v>-0.24</v>
      </c>
      <c r="AY46" s="111">
        <f t="shared" si="9"/>
        <v>0</v>
      </c>
      <c r="AZ46" s="109">
        <v>1</v>
      </c>
      <c r="BA46" s="112">
        <f>AU46*IF(VLOOKUP($E46,武器奇术!$A:$R,17,FALSE)="鸣金",VLOOKUP($E46,武器奇术!$A:$R,4,FALSE),VLOOKUP($E46,武器奇术!$A:$R,2,FALSE))*(1+AX46)*(1+AY46)*AZ46</f>
        <v>0</v>
      </c>
      <c r="BB46" s="110">
        <f>(1-IF(VLOOKUP($E46,武器奇术!$A:$T,20,FALSE)=1,1,$N46))*(1-$M46)</f>
        <v>0.01072666</v>
      </c>
      <c r="BC46" s="112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10">
        <f t="shared" si="10"/>
        <v>0.8813852</v>
      </c>
      <c r="BE46" s="112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10">
        <f t="shared" si="11"/>
        <v>0.0986</v>
      </c>
      <c r="BG46" s="112">
        <f>AV46*IF(VLOOKUP($E46,武器奇术!$A:$R,17,FALSE)="鸣金",VLOOKUP($E46,武器奇术!$A:$R,4,FALSE),VLOOKUP($E46,武器奇术!$A:$R,2,FALSE))*(1+AX46)*(1+AY46)*AZ46</f>
        <v>0</v>
      </c>
      <c r="BH46" s="110">
        <f t="shared" si="12"/>
        <v>0.00928814000000003</v>
      </c>
      <c r="BI46" s="113">
        <f t="shared" si="13"/>
        <v>0</v>
      </c>
      <c r="BJ46" s="108">
        <f>$B$9*IF($G$5="撼天",1.05,1)+IF(AND(VLOOKUP($E46,武器奇术!$A:$R,15,FALSE)="武器",VLOOKUP($E46,武器奇术!$A:$R,17,FALSE)="裂石"),$E$3,0)*(1+$E$15)</f>
        <v>0</v>
      </c>
      <c r="BK46" s="99">
        <f>(BJ46+BL46)*IF(VLOOKUP($E46,武器奇术!$A:$Z,21,FALSE)=1,$G$15,0.5)</f>
        <v>0</v>
      </c>
      <c r="BL46" s="109">
        <f>MAX($C$9*IF($G$5="撼天",1.05,1)+IF(AND(VLOOKUP($E46,武器奇术!$A:$R,15,FALSE)="武器",VLOOKUP($E46,武器奇术!$A:$R,17,FALSE)="裂石"),$E$3*(1+$E$15),0),BJ46)</f>
        <v>0</v>
      </c>
      <c r="BM46" s="110">
        <f>IF(($D$9+IF(VLOOKUP($E46,武器奇术!$A:$R,17,FALSE)="裂石",$D$15,0)+IF(VLOOKUP($E46,武器奇术!$A:$R,18,FALSE)=1,4,0)+IF(VLOOKUP($E46,武器奇术!$A:$S,19,FALSE)=1,20,0)-VLOOKUP($F$7,目标属性!$A:$R,6,FALSE))&gt;0,($D$9+IF(VLOOKUP($E46,武器奇术!$A:$R,17,FALSE)="裂石",$D$15,0)+IF(VLOOKUP($E46,武器奇术!$A:$R,18,FALSE)=1,4,0)+IF(VLOOKUP($E46,武器奇术!$A:$S,19,FALSE)=1,20,0)-VLOOKUP($F$7,目标属性!$A:$R,6,FALSE))/200,($D$9+IF(VLOOKUP($E46,武器奇术!$A:$R,17,FALSE)="裂石",$D$15,0)+IF(VLOOKUP($E46,武器奇术!$A:$R,18,FALSE)=1,4,0)+IF(VLOOKUP($E46,武器奇术!$A:$S,19,FALSE)=1,20,0)-VLOOKUP($F$7,目标属性!$A:$R,6,FALSE))/100)</f>
        <v>-0.24</v>
      </c>
      <c r="BN46" s="111">
        <f t="shared" si="14"/>
        <v>0</v>
      </c>
      <c r="BO46" s="109">
        <v>1</v>
      </c>
      <c r="BP46" s="112">
        <f>BJ46*IF(VLOOKUP($E46,武器奇术!$A:$R,17,FALSE)="裂石",VLOOKUP($E46,武器奇术!$A:$R,4,FALSE),VLOOKUP($E46,武器奇术!$A:$R,2,FALSE))*(1+BM46)*(1+BN46)*BO46</f>
        <v>0</v>
      </c>
      <c r="BQ46" s="110">
        <f>(1-IF(VLOOKUP($E46,武器奇术!$A:$T,20,FALSE)=1,1,$N46))*(1-$M46)</f>
        <v>0.01072666</v>
      </c>
      <c r="BR46" s="112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10">
        <f t="shared" si="15"/>
        <v>0.8813852</v>
      </c>
      <c r="BT46" s="112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10">
        <f t="shared" si="16"/>
        <v>0.0986</v>
      </c>
      <c r="BV46" s="112">
        <f>BK46*IF(VLOOKUP($E46,武器奇术!$A:$R,17,FALSE)="裂石",VLOOKUP($E46,武器奇术!$A:$R,4,FALSE),VLOOKUP($E46,武器奇术!$A:$R,2,FALSE))*(1+BM46)*(1+BN46)*BO46</f>
        <v>0</v>
      </c>
      <c r="BW46" s="110">
        <f t="shared" si="17"/>
        <v>0.00928814000000003</v>
      </c>
      <c r="BX46" s="113">
        <f t="shared" si="18"/>
        <v>0</v>
      </c>
      <c r="BY46" s="108">
        <f>$B$11*IF($G$5="撼天",1.05,1)+IF(AND(VLOOKUP($E46,武器奇术!$A:$R,15,FALSE)="武器",VLOOKUP($E46,武器奇术!$A:$R,17,FALSE)="牵丝"),$E$3,0)*(1+$E$15)</f>
        <v>0</v>
      </c>
      <c r="BZ46" s="99">
        <f>(BY46+CA46)*IF(VLOOKUP($E46,武器奇术!$A:$Z,21,FALSE)=1,$G$15,0.5)</f>
        <v>0</v>
      </c>
      <c r="CA46" s="109">
        <f>MAX($C$11*IF($G$5="撼天",1.05,1)+IF(AND(VLOOKUP($E46,武器奇术!$A:$R,15,FALSE)="武器",VLOOKUP($E46,武器奇术!$A:$R,17,FALSE)="牵丝"),$E$3*(1+$E$15),0),BY46)</f>
        <v>0</v>
      </c>
      <c r="CB46" s="110">
        <f>IF(($D$11+IF(VLOOKUP($E46,武器奇术!$A:$R,17,FALSE)="牵丝",$D$15,0)+IF(VLOOKUP($E46,武器奇术!$A:$R,18,FALSE)=1,4,0)+IF(VLOOKUP($E46,武器奇术!$A:$S,19,FALSE)=1,20,0)-VLOOKUP($F$7,目标属性!$A:$R,6,FALSE))&gt;0,($D$11+IF(VLOOKUP($E46,武器奇术!$A:$R,17,FALSE)="牵丝",$D$15,0)+IF(VLOOKUP($E46,武器奇术!$A:$R,18,FALSE)=1,4,0)+IF(VLOOKUP($E46,武器奇术!$A:$S,19,FALSE)=1,20,0)-VLOOKUP($F$7,目标属性!$A:$R,6,FALSE))/200,($D$11+IF(VLOOKUP($E46,武器奇术!$A:$R,17,FALSE)="牵丝",$D$15,0)+IF(VLOOKUP($E46,武器奇术!$A:$R,18,FALSE)=1,4,0)+IF(VLOOKUP($E46,武器奇术!$A:$S,19,FALSE)=1,20,0)-VLOOKUP($F$7,目标属性!$A:$R,6,FALSE))/100)</f>
        <v>-0.24</v>
      </c>
      <c r="CC46" s="111">
        <f t="shared" si="19"/>
        <v>0</v>
      </c>
      <c r="CD46" s="109">
        <v>1</v>
      </c>
      <c r="CE46" s="112">
        <f>BY46*IF(VLOOKUP($E46,武器奇术!$A:$R,17,FALSE)="牵丝",VLOOKUP($E46,武器奇术!$A:$R,4,FALSE),VLOOKUP($E46,武器奇术!$A:$R,2,FALSE))*(1+CB46)*(1+CC46)*CD46</f>
        <v>0</v>
      </c>
      <c r="CF46" s="110">
        <f>(1-IF(VLOOKUP($E46,武器奇术!$A:$T,20,FALSE)=1,1,$N46))*(1-$M46)</f>
        <v>0.01072666</v>
      </c>
      <c r="CG46" s="112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110">
        <f t="shared" si="20"/>
        <v>0.8813852</v>
      </c>
      <c r="CI46" s="112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110">
        <f t="shared" si="21"/>
        <v>0.0986</v>
      </c>
      <c r="CK46" s="112">
        <f>BZ46*IF(VLOOKUP($E46,武器奇术!$A:$R,17,FALSE)="牵丝",VLOOKUP($E46,武器奇术!$A:$R,4,FALSE),VLOOKUP($E46,武器奇术!$A:$R,2,FALSE))*(1+CB46)*(1+CC46)*CD46</f>
        <v>0</v>
      </c>
      <c r="CL46" s="110">
        <f t="shared" si="22"/>
        <v>0.00928814000000003</v>
      </c>
      <c r="CM46" s="113">
        <f t="shared" si="23"/>
        <v>0</v>
      </c>
      <c r="CN46" s="108">
        <f>$B$13*IF($G$5="撼天",1.05,1)+IF(AND(VLOOKUP($E46,武器奇术!$A:$R,15,FALSE)="武器",VLOOKUP($E46,武器奇术!$A:$R,17,FALSE)="破竹"),$E$3,0)*(1+$E$15)</f>
        <v>648.46</v>
      </c>
      <c r="CO46" s="99">
        <f>IF(VLOOKUP($E46,武器奇术!$A:$Z,20,FALSE)=1,(CP46-(CN46+CP46)*0.5)*($G$15-0.5)*2+(CN46+CP46)*0.5,(CN46+CP46)*0.5)</f>
        <v>875.26</v>
      </c>
      <c r="CP46" s="109">
        <f>MAX($C$13*IF($G$5="撼天",1.05,1)+IF(AND(VLOOKUP($E46,武器奇术!$A:$R,15,FALSE)="武器",VLOOKUP($E46,武器奇术!$A:$R,17,FALSE)="破竹"),$E$3*(1+$E$15),0),CN46)</f>
        <v>1102.06</v>
      </c>
      <c r="CQ46" s="110">
        <f>IF(($D$13+IF(VLOOKUP($E46,武器奇术!$A:$R,17,FALSE)="破竹",$D$15,0)+IF(VLOOKUP($E46,武器奇术!$A:$R,18,FALSE)=1,4,0)+IF(VLOOKUP($E46,武器奇术!$A:$S,19,FALSE)=1,20,0)-VLOOKUP($F$7,目标属性!$A:$R,6,FALSE))&gt;0,($D$13+IF(VLOOKUP($E46,武器奇术!$A:$R,17,FALSE)="破竹",$D$15,0)+IF(VLOOKUP($E46,武器奇术!$A:$R,18,FALSE)=1,4,0)+IF(VLOOKUP($E46,武器奇术!$A:$S,19,FALSE)=1,20,0)-VLOOKUP($F$7,目标属性!$A:$R,6,FALSE))/200,($D$13+IF(VLOOKUP($E46,武器奇术!$A:$R,17,FALSE)="破竹",$D$15,0)+IF(VLOOKUP($E46,武器奇术!$A:$R,18,FALSE)=1,4,0)+IF(VLOOKUP($E46,武器奇术!$A:$S,19,FALSE)=1,20,0)-VLOOKUP($F$7,目标属性!$A:$R,6,FALSE))/100)</f>
        <v>0.025</v>
      </c>
      <c r="CR46" s="111">
        <f>$E$13+IF(VLOOKUP($E46,武器奇术!$A:$U,21,FALSE)=1,0,0.09)</f>
        <v>0.235</v>
      </c>
      <c r="CS46" s="109">
        <v>1</v>
      </c>
      <c r="CT46" s="112">
        <f>CN46*IF(VLOOKUP($E46,武器奇术!$A:$R,17,FALSE)="破竹",VLOOKUP($E46,武器奇术!$A:$R,4,FALSE),VLOOKUP($E46,武器奇术!$A:$R,2,FALSE))*(1+CQ46)*(1+CR46)*CS46</f>
        <v>2041.994476899</v>
      </c>
      <c r="CU46" s="110">
        <f>(1-IF(VLOOKUP($E46,武器奇术!$A:$T,20,FALSE)=1,1,$N46))*(1-$M46)</f>
        <v>0.01072666</v>
      </c>
      <c r="CV46" s="112">
        <f>CO46*IF(VLOOKUP($E46,武器奇术!$A:$R,17,FALSE)="破竹",VLOOKUP($E46,武器奇术!$A:$R,4,FALSE),VLOOKUP($E46,武器奇术!$A:$R,2,FALSE))*(1+CQ46)*(1+CR46)*CS46*(1+$E$16+VLOOKUP($E46,武器奇术!$A:$R,8,FALSE))</f>
        <v>4520.14431236316</v>
      </c>
      <c r="CW46" s="110">
        <f t="shared" si="24"/>
        <v>0.8813852</v>
      </c>
      <c r="CX46" s="112">
        <f>CP46*IF(VLOOKUP($E46,武器奇术!$A:$R,17,FALSE)="破竹",VLOOKUP($E46,武器奇术!$A:$R,4,FALSE),VLOOKUP($E46,武器奇术!$A:$R,2,FALSE))*(1+CQ46)*(1+CR46)*CS46*(1+$E$17+VLOOKUP($E46,武器奇术!$A:$R,10,FALSE))</f>
        <v>4685.00845824765</v>
      </c>
      <c r="CY46" s="110">
        <f t="shared" si="25"/>
        <v>0.0986</v>
      </c>
      <c r="CZ46" s="112">
        <f>CO46*IF(VLOOKUP($E46,武器奇术!$A:$R,17,FALSE)="破竹",VLOOKUP($E46,武器奇术!$A:$R,4,FALSE),VLOOKUP($E46,武器奇术!$A:$R,2,FALSE))*(1+CQ46)*(1+CR46)*CS46</f>
        <v>2756.185556319</v>
      </c>
      <c r="DA46" s="110">
        <f t="shared" si="26"/>
        <v>0.00928814000000003</v>
      </c>
      <c r="DB46" s="113">
        <f t="shared" si="27"/>
        <v>4493.43375055293</v>
      </c>
      <c r="DC46" s="108">
        <f t="shared" si="36"/>
        <v>69.3</v>
      </c>
      <c r="DD46" s="99">
        <f>(DC46+DE46)*IF(VLOOKUP($E46,武器奇术!$A:$Z,21,FALSE)=1,$G$15,0.5)</f>
        <v>69.3</v>
      </c>
      <c r="DE46" s="109">
        <f t="shared" si="37"/>
        <v>69.3</v>
      </c>
      <c r="DF46" s="110">
        <f>IF(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100)</f>
        <v>0.025</v>
      </c>
      <c r="DG46" s="111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U,21,FALSE)=1,0,0.09)</f>
        <v>0.235</v>
      </c>
      <c r="DH46" s="109">
        <v>1</v>
      </c>
      <c r="DI46" s="112">
        <f>DC46*IF(VLOOKUP($E46,武器奇术!$A:$R,17,FALSE)="破竹",VLOOKUP($E46,武器奇术!$A:$R,4,FALSE),VLOOKUP($E46,武器奇术!$A:$R,2,FALSE))*(1+DF46)*(1+DG46)*DH46</f>
        <v>218.225052045</v>
      </c>
      <c r="DJ46" s="110">
        <f>(1-IF(VLOOKUP($E46,武器奇术!$A:$T,20,FALSE)=1,1,$N46))*(1-$M46)</f>
        <v>0.01072666</v>
      </c>
      <c r="DK46" s="112">
        <f>DD46*IF(VLOOKUP($E46,武器奇术!$A:$R,17,FALSE)="破竹",VLOOKUP($E46,武器奇术!$A:$R,4,FALSE),VLOOKUP($E46,武器奇术!$A:$R,2,FALSE))*(1+DF46)*(1+DG46)*DH46*(1+$E$16+VLOOKUP($E46,武器奇术!$A:$R,8,FALSE))</f>
        <v>357.8890853538</v>
      </c>
      <c r="DL46" s="110">
        <f t="shared" si="28"/>
        <v>0.8813852</v>
      </c>
      <c r="DM46" s="112">
        <f>DE46*IF(VLOOKUP($E46,武器奇术!$A:$R,17,FALSE)="破竹",VLOOKUP($E46,武器奇术!$A:$R,4,FALSE),VLOOKUP($E46,武器奇术!$A:$R,2,FALSE))*(1+DF46)*(1+DG46)*DH46*(1+$E$17+VLOOKUP($E46,武器奇术!$A:$R,10,FALSE))</f>
        <v>294.60382026075</v>
      </c>
      <c r="DN46" s="110">
        <f t="shared" si="29"/>
        <v>0.0986</v>
      </c>
      <c r="DO46" s="112">
        <f>DD46*IF(VLOOKUP($E46,武器奇术!$A:$R,17,FALSE)="破竹",VLOOKUP($E46,武器奇术!$A:$R,4,FALSE),VLOOKUP($E46,武器奇术!$A:$R,2,FALSE))*(1+DF46)*(1+DG46)*DH46</f>
        <v>218.225052045</v>
      </c>
      <c r="DP46" s="110">
        <f t="shared" si="30"/>
        <v>0.00928814000000003</v>
      </c>
      <c r="DQ46" s="113">
        <f t="shared" si="31"/>
        <v>348.853810521756</v>
      </c>
    </row>
    <row r="47" customFormat="1" spans="2:121">
      <c r="B47" s="122"/>
      <c r="C47" s="143"/>
      <c r="D47" s="144"/>
      <c r="E47" s="98" t="s">
        <v>129</v>
      </c>
      <c r="F47" s="99">
        <v>1</v>
      </c>
      <c r="G47" s="115"/>
      <c r="H47" s="100">
        <f>IF(VLOOKUP($E47,武器奇术!$A:$R,18,FALSE)="天工",AE47,(AE47+AT47+BI47+BX47+CM47+DB47+DQ47))*(1+J47)*F47*K47*(1+G47)</f>
        <v>46431.9505353918</v>
      </c>
      <c r="I47" s="101">
        <f t="shared" si="0"/>
        <v>0.00573262390827242</v>
      </c>
      <c r="J47" s="116">
        <f>$F$3+VLOOKUP($E47,武器奇术!$A:$R,12,FALSE)+VLOOKUP($E47,武器奇术!$A:$R,14,FALSE)*$G$3+$P47+IF($F$21="√",5%,0)</f>
        <v>0.737</v>
      </c>
      <c r="K47" s="102">
        <f>VLOOKUP($E47,武器奇术!$A:$R,11,FALSE)</f>
        <v>1</v>
      </c>
      <c r="L47" s="117">
        <f>IF(VLOOKUP($E47,武器奇术!$A:$R,15,FALSE)="天工",0%,IF($C$17+VLOOKUP($E47,武器奇术!$A:$R,7,FALSE)&gt;80%,80%,$C$17+VLOOKUP($E47,武器奇术!$A:$R,7,FALSE))+IF($C$19&gt;20%,20%,$C$19))</f>
        <v>0.892</v>
      </c>
      <c r="M47" s="118">
        <f>IF(VLOOKUP($E47,武器奇术!$A:$R,15,FALSE)="天工",0%,IF($C$18+VLOOKUP($E47,武器奇术!$A:$R,9,FALSE)&gt;40%,40%,$C$18+VLOOKUP($E47,武器奇术!$A:$R,9,FALSE))+IF($C$20&gt;10%,10%,$C$20))</f>
        <v>0.0986</v>
      </c>
      <c r="N47" s="119">
        <f>IF(VLOOKUP($E47,武器奇术!$A:$R,15,FALSE)="天工",100%,MIN($C$16,1))</f>
        <v>0.9881</v>
      </c>
      <c r="O47" s="120" t="str">
        <f>VLOOKUP($E47,武器奇术!$A:$R,16,FALSE)</f>
        <v>绳标</v>
      </c>
      <c r="P47" s="121">
        <f t="shared" si="32"/>
        <v>0.084</v>
      </c>
      <c r="Q47" s="108">
        <f>$B$5*(1+VLOOKUP($E47,武器奇术!$A:$R,5,FALSE)+IF($G$5="飞隼",0.1,0)+IF($G$5="撼天",0.05,0))-$F$9+IF($I$5="√",160,0)</f>
        <v>1731.135</v>
      </c>
      <c r="R47" s="99">
        <f>IF(VLOOKUP($E47,武器奇术!$A:$Z,20,FALSE)=1,(S47-(Q47+S47)*0.5)*($G$15-0.5)*2+(Q47+S47)*0.5,(Q47+S47)*0.5)</f>
        <v>3256.775</v>
      </c>
      <c r="S47" s="109">
        <f>MAX($C$5,$B$5)*(1+VLOOKUP($E47,武器奇术!$A:$R,5,FALSE)+IF($G$5="飞隼",0.1,0)+IF($G$5="撼天",0.05,0))-$F$9+IF($I$5="√",320,0)</f>
        <v>4782.415</v>
      </c>
      <c r="T47" s="101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U47" s="111">
        <f>$E$5+IF(VLOOKUP($E47,武器奇术!$A:$U,21,FALSE)=1,0,0.09)</f>
        <v>0.115</v>
      </c>
      <c r="V47" s="109">
        <v>1</v>
      </c>
      <c r="W47" s="112">
        <f>Q47*VLOOKUP($E47,武器奇术!$A:$R,2,FALSE)*(1+T47)*(1+U47)*V47</f>
        <v>5595.154346628</v>
      </c>
      <c r="X47" s="110">
        <f>(1-IF(VLOOKUP($E47,武器奇术!$A:$T,20,FALSE)=1,1,$N47))*(1-$M47)</f>
        <v>0.01072666</v>
      </c>
      <c r="Y47" s="112">
        <f>R47*VLOOKUP($E47,武器奇术!$A:$R,2,FALSE)*(1+T47)*(1+U47)*V47*(1+$E$16+VLOOKUP($E47,武器奇术!$A:$R,8,FALSE))</f>
        <v>20420.6997528468</v>
      </c>
      <c r="Z47" s="110">
        <f t="shared" si="33"/>
        <v>0.8813852</v>
      </c>
      <c r="AA47" s="112">
        <f>S47*VLOOKUP($E47,武器奇术!$A:$R,2,FALSE)*(1+T47)*(1+U47)*V47*(1+$E$17+VLOOKUP($E47,武器奇术!$A:$R,10,FALSE))</f>
        <v>20867.1031437462</v>
      </c>
      <c r="AB47" s="110">
        <f t="shared" si="34"/>
        <v>0.0986</v>
      </c>
      <c r="AC47" s="112">
        <f>R47*VLOOKUP($E47,武器奇术!$A:$R,2,FALSE)*(1+T47)*(1+U47)*V47</f>
        <v>10526.13389322</v>
      </c>
      <c r="AD47" s="110">
        <f t="shared" si="1"/>
        <v>0.00928814000000003</v>
      </c>
      <c r="AE47" s="113">
        <f t="shared" si="2"/>
        <v>20213.784429359</v>
      </c>
      <c r="AF47" s="114">
        <f>VLOOKUP($E47,武器奇术!$A:$R,3,FALSE)*(1+IF(VLOOKUP($E47,武器奇术!$A:$R,15,FALSE)="武器",$E$15,0))</f>
        <v>0</v>
      </c>
      <c r="AG47" s="112">
        <f t="shared" si="3"/>
        <v>0</v>
      </c>
      <c r="AH47" s="112">
        <f>VLOOKUP($E47,武器奇术!$A:$R,3,FALSE)*(1+IF(VLOOKUP($E47,武器奇术!$A:$R,15,FALSE)="武器",$E$15,0))</f>
        <v>0</v>
      </c>
      <c r="AI47" s="101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AJ47" s="111">
        <f>$E$5+IF(VLOOKUP($E47,武器奇术!$A:$U,21,FALSE)=1,0,0.09)</f>
        <v>0.115</v>
      </c>
      <c r="AK47" s="109">
        <v>1</v>
      </c>
      <c r="AL47" s="112">
        <f t="shared" si="35"/>
        <v>0</v>
      </c>
      <c r="AM47" s="110">
        <f>(1-IF(VLOOKUP($E47,武器奇术!$A:$T,20,FALSE)=1,1,$N47))*(1-$M47)</f>
        <v>0.01072666</v>
      </c>
      <c r="AN47" s="112">
        <f>AG47*(1+AI47)*(1+AJ47)*AK47*(1+$E$16+VLOOKUP($E47,武器奇术!$A:$R,8,FALSE))</f>
        <v>0</v>
      </c>
      <c r="AO47" s="110">
        <f t="shared" si="4"/>
        <v>0.8813852</v>
      </c>
      <c r="AP47" s="112">
        <f>AH47*(1+AI47)*(1+AJ47)*AK47*(1+$E$17+VLOOKUP($E47,武器奇术!$A:$R,10,FALSE))</f>
        <v>0</v>
      </c>
      <c r="AQ47" s="110">
        <f t="shared" si="5"/>
        <v>0.0986</v>
      </c>
      <c r="AR47" s="112">
        <f t="shared" si="6"/>
        <v>0</v>
      </c>
      <c r="AS47" s="110">
        <f t="shared" si="7"/>
        <v>0.00928814000000003</v>
      </c>
      <c r="AT47" s="113">
        <f t="shared" si="8"/>
        <v>0</v>
      </c>
      <c r="AU47" s="108">
        <f>$B$7*IF($G$5="撼天",1.05,1)+IF(AND(VLOOKUP($E47,武器奇术!$A:$R,15,FALSE)="武器",VLOOKUP($E47,武器奇术!$A:$R,17,FALSE)="鸣金"),$E$3,0)*(1+$E$15)</f>
        <v>0</v>
      </c>
      <c r="AV47" s="99">
        <f>(AU47+AW47)*IF(VLOOKUP($E47,武器奇术!$A:$Z,21,FALSE)=1,$G$15,0.5)</f>
        <v>0</v>
      </c>
      <c r="AW47" s="109">
        <f>MAX($C$7*IF($G$5="撼天",1.05,1)+IF(AND(VLOOKUP($E47,武器奇术!$A:$R,15,FALSE)="武器",VLOOKUP($E47,武器奇术!$A:$R,17,FALSE)="鸣金"),$E$3*(1+$E$15),0),AU47)</f>
        <v>0</v>
      </c>
      <c r="AX47" s="110">
        <f>IF(($D$7+IF(VLOOKUP($E47,武器奇术!$A:$R,17,FALSE)="鸣金",$D$15,0)+IF(VLOOKUP($E47,武器奇术!$A:$R,18,FALSE)=1,4,0)+IF(VLOOKUP($E47,武器奇术!$A:$S,19,FALSE)=1,20,0)-VLOOKUP($F$7,目标属性!$A:$R,6,FALSE))&gt;0,($D$7+IF(VLOOKUP($E47,武器奇术!$A:$R,17,FALSE)="鸣金",$D$15,0)+IF(VLOOKUP($E47,武器奇术!$A:$R,18,FALSE)=1,4,0)+IF(VLOOKUP($E47,武器奇术!$A:$S,19,FALSE)=1,20,0)-VLOOKUP($F$7,目标属性!$A:$R,6,FALSE))/200,($D$7+IF(VLOOKUP($E47,武器奇术!$A:$R,17,FALSE)="鸣金",$D$15,0)+IF(VLOOKUP($E47,武器奇术!$A:$R,18,FALSE)=1,4,0)+IF(VLOOKUP($E47,武器奇术!$A:$S,19,FALSE)=1,20,0)-VLOOKUP($F$7,目标属性!$A:$R,6,FALSE))/100)</f>
        <v>0</v>
      </c>
      <c r="AY47" s="111">
        <f t="shared" si="9"/>
        <v>0</v>
      </c>
      <c r="AZ47" s="109">
        <v>1</v>
      </c>
      <c r="BA47" s="112">
        <f>AU47*IF(VLOOKUP($E47,武器奇术!$A:$R,17,FALSE)="鸣金",VLOOKUP($E47,武器奇术!$A:$R,4,FALSE),VLOOKUP($E47,武器奇术!$A:$R,2,FALSE))*(1+AX47)*(1+AY47)*AZ47</f>
        <v>0</v>
      </c>
      <c r="BB47" s="110">
        <f>(1-IF(VLOOKUP($E47,武器奇术!$A:$T,20,FALSE)=1,1,$N47))*(1-$M47)</f>
        <v>0.01072666</v>
      </c>
      <c r="BC47" s="112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10">
        <f t="shared" si="10"/>
        <v>0.8813852</v>
      </c>
      <c r="BE47" s="112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10">
        <f t="shared" si="11"/>
        <v>0.0986</v>
      </c>
      <c r="BG47" s="112">
        <f>AV47*IF(VLOOKUP($E47,武器奇术!$A:$R,17,FALSE)="鸣金",VLOOKUP($E47,武器奇术!$A:$R,4,FALSE),VLOOKUP($E47,武器奇术!$A:$R,2,FALSE))*(1+AX47)*(1+AY47)*AZ47</f>
        <v>0</v>
      </c>
      <c r="BH47" s="110">
        <f t="shared" si="12"/>
        <v>0.00928814000000003</v>
      </c>
      <c r="BI47" s="113">
        <f t="shared" si="13"/>
        <v>0</v>
      </c>
      <c r="BJ47" s="108">
        <f>$B$9*IF($G$5="撼天",1.05,1)+IF(AND(VLOOKUP($E47,武器奇术!$A:$R,15,FALSE)="武器",VLOOKUP($E47,武器奇术!$A:$R,17,FALSE)="裂石"),$E$3,0)*(1+$E$15)</f>
        <v>0</v>
      </c>
      <c r="BK47" s="99">
        <f>(BJ47+BL47)*IF(VLOOKUP($E47,武器奇术!$A:$Z,21,FALSE)=1,$G$15,0.5)</f>
        <v>0</v>
      </c>
      <c r="BL47" s="109">
        <f>MAX($C$9*IF($G$5="撼天",1.05,1)+IF(AND(VLOOKUP($E47,武器奇术!$A:$R,15,FALSE)="武器",VLOOKUP($E47,武器奇术!$A:$R,17,FALSE)="裂石"),$E$3*(1+$E$15),0),BJ47)</f>
        <v>0</v>
      </c>
      <c r="BM47" s="110">
        <f>IF(($D$9+IF(VLOOKUP($E47,武器奇术!$A:$R,17,FALSE)="裂石",$D$15,0)+IF(VLOOKUP($E47,武器奇术!$A:$R,18,FALSE)=1,4,0)+IF(VLOOKUP($E47,武器奇术!$A:$S,19,FALSE)=1,20,0)-VLOOKUP($F$7,目标属性!$A:$R,6,FALSE))&gt;0,($D$9+IF(VLOOKUP($E47,武器奇术!$A:$R,17,FALSE)="裂石",$D$15,0)+IF(VLOOKUP($E47,武器奇术!$A:$R,18,FALSE)=1,4,0)+IF(VLOOKUP($E47,武器奇术!$A:$S,19,FALSE)=1,20,0)-VLOOKUP($F$7,目标属性!$A:$R,6,FALSE))/200,($D$9+IF(VLOOKUP($E47,武器奇术!$A:$R,17,FALSE)="裂石",$D$15,0)+IF(VLOOKUP($E47,武器奇术!$A:$R,18,FALSE)=1,4,0)+IF(VLOOKUP($E47,武器奇术!$A:$S,19,FALSE)=1,20,0)-VLOOKUP($F$7,目标属性!$A:$R,6,FALSE))/100)</f>
        <v>0</v>
      </c>
      <c r="BN47" s="111">
        <f t="shared" si="14"/>
        <v>0</v>
      </c>
      <c r="BO47" s="109">
        <v>1</v>
      </c>
      <c r="BP47" s="112">
        <f>BJ47*IF(VLOOKUP($E47,武器奇术!$A:$R,17,FALSE)="裂石",VLOOKUP($E47,武器奇术!$A:$R,4,FALSE),VLOOKUP($E47,武器奇术!$A:$R,2,FALSE))*(1+BM47)*(1+BN47)*BO47</f>
        <v>0</v>
      </c>
      <c r="BQ47" s="110">
        <f>(1-IF(VLOOKUP($E47,武器奇术!$A:$T,20,FALSE)=1,1,$N47))*(1-$M47)</f>
        <v>0.01072666</v>
      </c>
      <c r="BR47" s="112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10">
        <f t="shared" si="15"/>
        <v>0.8813852</v>
      </c>
      <c r="BT47" s="112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10">
        <f t="shared" si="16"/>
        <v>0.0986</v>
      </c>
      <c r="BV47" s="112">
        <f>BK47*IF(VLOOKUP($E47,武器奇术!$A:$R,17,FALSE)="裂石",VLOOKUP($E47,武器奇术!$A:$R,4,FALSE),VLOOKUP($E47,武器奇术!$A:$R,2,FALSE))*(1+BM47)*(1+BN47)*BO47</f>
        <v>0</v>
      </c>
      <c r="BW47" s="110">
        <f t="shared" si="17"/>
        <v>0.00928814000000003</v>
      </c>
      <c r="BX47" s="113">
        <f t="shared" si="18"/>
        <v>0</v>
      </c>
      <c r="BY47" s="108">
        <f>$B$11*IF($G$5="撼天",1.05,1)+IF(AND(VLOOKUP($E47,武器奇术!$A:$R,15,FALSE)="武器",VLOOKUP($E47,武器奇术!$A:$R,17,FALSE)="牵丝"),$E$3,0)*(1+$E$15)</f>
        <v>0</v>
      </c>
      <c r="BZ47" s="99">
        <f>(BY47+CA47)*IF(VLOOKUP($E47,武器奇术!$A:$Z,21,FALSE)=1,$G$15,0.5)</f>
        <v>0</v>
      </c>
      <c r="CA47" s="109">
        <f>MAX($C$11*IF($G$5="撼天",1.05,1)+IF(AND(VLOOKUP($E47,武器奇术!$A:$R,15,FALSE)="武器",VLOOKUP($E47,武器奇术!$A:$R,17,FALSE)="牵丝"),$E$3*(1+$E$15),0),BY47)</f>
        <v>0</v>
      </c>
      <c r="CB47" s="110">
        <f>IF(($D$11+IF(VLOOKUP($E47,武器奇术!$A:$R,17,FALSE)="牵丝",$D$15,0)+IF(VLOOKUP($E47,武器奇术!$A:$R,18,FALSE)=1,4,0)+IF(VLOOKUP($E47,武器奇术!$A:$S,19,FALSE)=1,20,0)-VLOOKUP($F$7,目标属性!$A:$R,6,FALSE))&gt;0,($D$11+IF(VLOOKUP($E47,武器奇术!$A:$R,17,FALSE)="牵丝",$D$15,0)+IF(VLOOKUP($E47,武器奇术!$A:$R,18,FALSE)=1,4,0)+IF(VLOOKUP($E47,武器奇术!$A:$S,19,FALSE)=1,20,0)-VLOOKUP($F$7,目标属性!$A:$R,6,FALSE))/200,($D$11+IF(VLOOKUP($E47,武器奇术!$A:$R,17,FALSE)="牵丝",$D$15,0)+IF(VLOOKUP($E47,武器奇术!$A:$R,18,FALSE)=1,4,0)+IF(VLOOKUP($E47,武器奇术!$A:$S,19,FALSE)=1,20,0)-VLOOKUP($F$7,目标属性!$A:$R,6,FALSE))/100)</f>
        <v>0</v>
      </c>
      <c r="CC47" s="111">
        <f t="shared" si="19"/>
        <v>0</v>
      </c>
      <c r="CD47" s="109">
        <v>1</v>
      </c>
      <c r="CE47" s="112">
        <f>BY47*IF(VLOOKUP($E47,武器奇术!$A:$R,17,FALSE)="牵丝",VLOOKUP($E47,武器奇术!$A:$R,4,FALSE),VLOOKUP($E47,武器奇术!$A:$R,2,FALSE))*(1+CB47)*(1+CC47)*CD47</f>
        <v>0</v>
      </c>
      <c r="CF47" s="110">
        <f>(1-IF(VLOOKUP($E47,武器奇术!$A:$T,20,FALSE)=1,1,$N47))*(1-$M47)</f>
        <v>0.01072666</v>
      </c>
      <c r="CG47" s="112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110">
        <f t="shared" si="20"/>
        <v>0.8813852</v>
      </c>
      <c r="CI47" s="112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110">
        <f t="shared" si="21"/>
        <v>0.0986</v>
      </c>
      <c r="CK47" s="112">
        <f>BZ47*IF(VLOOKUP($E47,武器奇术!$A:$R,17,FALSE)="牵丝",VLOOKUP($E47,武器奇术!$A:$R,4,FALSE),VLOOKUP($E47,武器奇术!$A:$R,2,FALSE))*(1+CB47)*(1+CC47)*CD47</f>
        <v>0</v>
      </c>
      <c r="CL47" s="110">
        <f t="shared" si="22"/>
        <v>0.00928814000000003</v>
      </c>
      <c r="CM47" s="113">
        <f t="shared" si="23"/>
        <v>0</v>
      </c>
      <c r="CN47" s="108">
        <f>$B$13*IF($G$5="撼天",1.05,1)+IF(AND(VLOOKUP($E47,武器奇术!$A:$R,15,FALSE)="武器",VLOOKUP($E47,武器奇术!$A:$R,17,FALSE)="破竹"),$E$3,0)*(1+$E$15)</f>
        <v>452.55</v>
      </c>
      <c r="CO47" s="99">
        <f>IF(VLOOKUP($E47,武器奇术!$A:$Z,20,FALSE)=1,(CP47-(CN47+CP47)*0.5)*($G$15-0.5)*2+(CN47+CP47)*0.5,(CN47+CP47)*0.5)</f>
        <v>679.35</v>
      </c>
      <c r="CP47" s="109">
        <f>MAX($C$13*IF($G$5="撼天",1.05,1)+IF(AND(VLOOKUP($E47,武器奇术!$A:$R,15,FALSE)="武器",VLOOKUP($E47,武器奇术!$A:$R,17,FALSE)="破竹"),$E$3*(1+$E$15),0),CN47)</f>
        <v>906.15</v>
      </c>
      <c r="CQ47" s="110">
        <f>IF(($D$13+IF(VLOOKUP($E47,武器奇术!$A:$R,17,FALSE)="破竹",$D$15,0)+IF(VLOOKUP($E47,武器奇术!$A:$R,18,FALSE)=1,4,0)+IF(VLOOKUP($E47,武器奇术!$A:$S,19,FALSE)=1,20,0)-VLOOKUP($F$7,目标属性!$A:$R,6,FALSE))&gt;0,($D$13+IF(VLOOKUP($E47,武器奇术!$A:$R,17,FALSE)="破竹",$D$15,0)+IF(VLOOKUP($E47,武器奇术!$A:$R,18,FALSE)=1,4,0)+IF(VLOOKUP($E47,武器奇术!$A:$S,19,FALSE)=1,20,0)-VLOOKUP($F$7,目标属性!$A:$R,6,FALSE))/200,($D$13+IF(VLOOKUP($E47,武器奇术!$A:$R,17,FALSE)="破竹",$D$15,0)+IF(VLOOKUP($E47,武器奇术!$A:$R,18,FALSE)=1,4,0)+IF(VLOOKUP($E47,武器奇术!$A:$S,19,FALSE)=1,20,0)-VLOOKUP($F$7,目标属性!$A:$R,6,FALSE))/100)</f>
        <v>0.145</v>
      </c>
      <c r="CR47" s="111">
        <f>$E$13+IF(VLOOKUP($E47,武器奇术!$A:$U,21,FALSE)=1,0,0.09)</f>
        <v>0.235</v>
      </c>
      <c r="CS47" s="109">
        <v>1</v>
      </c>
      <c r="CT47" s="112">
        <f>CN47*IF(VLOOKUP($E47,武器奇术!$A:$R,17,FALSE)="破竹",VLOOKUP($E47,武器奇术!$A:$R,4,FALSE),VLOOKUP($E47,武器奇术!$A:$R,2,FALSE))*(1+CQ47)*(1+CR47)*CS47</f>
        <v>2073.40443765</v>
      </c>
      <c r="CU47" s="110">
        <f>(1-IF(VLOOKUP($E47,武器奇术!$A:$T,20,FALSE)=1,1,$N47))*(1-$M47)</f>
        <v>0.01072666</v>
      </c>
      <c r="CV47" s="112">
        <f>CO47*IF(VLOOKUP($E47,武器奇术!$A:$R,17,FALSE)="破竹",VLOOKUP($E47,武器奇术!$A:$R,4,FALSE),VLOOKUP($E47,武器奇术!$A:$R,2,FALSE))*(1+CQ47)*(1+CR47)*CS47*(1+$E$16+VLOOKUP($E47,武器奇术!$A:$R,8,FALSE))</f>
        <v>6038.273276217</v>
      </c>
      <c r="CW47" s="110">
        <f t="shared" si="24"/>
        <v>0.8813852</v>
      </c>
      <c r="CX47" s="112">
        <f>CP47*IF(VLOOKUP($E47,武器奇术!$A:$R,17,FALSE)="破竹",VLOOKUP($E47,武器奇术!$A:$R,4,FALSE),VLOOKUP($E47,武器奇术!$A:$R,2,FALSE))*(1+CQ47)*(1+CR47)*CS47*(1+$E$17+VLOOKUP($E47,武器奇术!$A:$R,10,FALSE))</f>
        <v>5604.6864039075</v>
      </c>
      <c r="CY47" s="110">
        <f t="shared" si="25"/>
        <v>0.0986</v>
      </c>
      <c r="CZ47" s="112">
        <f>CO47*IF(VLOOKUP($E47,武器奇术!$A:$R,17,FALSE)="破竹",VLOOKUP($E47,武器奇术!$A:$R,4,FALSE),VLOOKUP($E47,武器奇术!$A:$R,2,FALSE))*(1+CQ47)*(1+CR47)*CS47</f>
        <v>3112.51199805</v>
      </c>
      <c r="DA47" s="110">
        <f t="shared" si="26"/>
        <v>0.00928814000000003</v>
      </c>
      <c r="DB47" s="113">
        <f t="shared" si="27"/>
        <v>5925.81693027318</v>
      </c>
      <c r="DC47" s="108">
        <f t="shared" si="36"/>
        <v>69.3</v>
      </c>
      <c r="DD47" s="99">
        <f>(DC47+DE47)*IF(VLOOKUP($E47,武器奇术!$A:$Z,21,FALSE)=1,$G$15,0.5)</f>
        <v>69.3</v>
      </c>
      <c r="DE47" s="109">
        <f t="shared" si="37"/>
        <v>69.3</v>
      </c>
      <c r="DF47" s="110">
        <f>IF(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100)</f>
        <v>0.145</v>
      </c>
      <c r="DG47" s="111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U,21,FALSE)=1,0,0.09)</f>
        <v>0.235</v>
      </c>
      <c r="DH47" s="109">
        <v>1</v>
      </c>
      <c r="DI47" s="112">
        <f>DC47*IF(VLOOKUP($E47,武器奇术!$A:$R,17,FALSE)="破竹",VLOOKUP($E47,武器奇术!$A:$R,4,FALSE),VLOOKUP($E47,武器奇术!$A:$R,2,FALSE))*(1+DF47)*(1+DG47)*DH47</f>
        <v>317.5050879</v>
      </c>
      <c r="DJ47" s="110">
        <f>(1-IF(VLOOKUP($E47,武器奇术!$A:$T,20,FALSE)=1,1,$N47))*(1-$M47)</f>
        <v>0.01072666</v>
      </c>
      <c r="DK47" s="112">
        <f>DD47*IF(VLOOKUP($E47,武器奇术!$A:$R,17,FALSE)="破竹",VLOOKUP($E47,武器奇术!$A:$R,4,FALSE),VLOOKUP($E47,武器奇术!$A:$R,2,FALSE))*(1+DF47)*(1+DG47)*DH47*(1+$E$16+VLOOKUP($E47,武器奇术!$A:$R,8,FALSE))</f>
        <v>615.959870526</v>
      </c>
      <c r="DL47" s="110">
        <f t="shared" si="28"/>
        <v>0.8813852</v>
      </c>
      <c r="DM47" s="112">
        <f>DE47*IF(VLOOKUP($E47,武器奇术!$A:$R,17,FALSE)="破竹",VLOOKUP($E47,武器奇术!$A:$R,4,FALSE),VLOOKUP($E47,武器奇术!$A:$R,2,FALSE))*(1+DF47)*(1+DG47)*DH47*(1+$E$17+VLOOKUP($E47,武器奇术!$A:$R,10,FALSE))</f>
        <v>428.631868665</v>
      </c>
      <c r="DN47" s="110">
        <f t="shared" si="29"/>
        <v>0.0986</v>
      </c>
      <c r="DO47" s="112">
        <f>DD47*IF(VLOOKUP($E47,武器奇术!$A:$R,17,FALSE)="破竹",VLOOKUP($E47,武器奇术!$A:$R,4,FALSE),VLOOKUP($E47,武器奇术!$A:$R,2,FALSE))*(1+DF47)*(1+DG47)*DH47</f>
        <v>317.5050879</v>
      </c>
      <c r="DP47" s="110">
        <f t="shared" si="30"/>
        <v>0.00928814000000003</v>
      </c>
      <c r="DQ47" s="113">
        <f t="shared" si="31"/>
        <v>591.515816759203</v>
      </c>
    </row>
    <row r="48" customFormat="1" spans="2:121">
      <c r="B48" s="122"/>
      <c r="C48" s="143"/>
      <c r="D48" s="144"/>
      <c r="E48" s="98" t="s">
        <v>143</v>
      </c>
      <c r="F48" s="99">
        <v>1</v>
      </c>
      <c r="G48" s="115"/>
      <c r="H48" s="100">
        <f>IF(VLOOKUP($E48,武器奇术!$A:$R,18,FALSE)="天工",AE48,(AE48+AT48+BI48+BX48+CM48+DB48+DQ48))*(1+J48)*F48*K48*(1+G48)</f>
        <v>7410.86799781137</v>
      </c>
      <c r="I48" s="101">
        <f t="shared" si="0"/>
        <v>0.00091496735707715</v>
      </c>
      <c r="J48" s="116">
        <f>$F$3+VLOOKUP($E48,武器奇术!$A:$R,12,FALSE)+VLOOKUP($E48,武器奇术!$A:$R,14,FALSE)*$G$3+$P48+IF($F$21="√",5%,0)</f>
        <v>0.523</v>
      </c>
      <c r="K48" s="102">
        <f>VLOOKUP($E48,武器奇术!$A:$R,11,FALSE)</f>
        <v>1</v>
      </c>
      <c r="L48" s="117">
        <f>IF(VLOOKUP($E48,武器奇术!$A:$R,15,FALSE)="天工",0%,IF($C$17+VLOOKUP($E48,武器奇术!$A:$R,7,FALSE)&gt;80%,80%,$C$17+VLOOKUP($E48,武器奇术!$A:$R,7,FALSE))+IF($C$19&gt;20%,20%,$C$19))</f>
        <v>0.892</v>
      </c>
      <c r="M48" s="118">
        <f>IF(VLOOKUP($E48,武器奇术!$A:$R,15,FALSE)="天工",0%,IF($C$18+VLOOKUP($E48,武器奇术!$A:$R,9,FALSE)&gt;40%,40%,$C$18+VLOOKUP($E48,武器奇术!$A:$R,9,FALSE))+IF($C$20&gt;10%,10%,$C$20))</f>
        <v>0.0986</v>
      </c>
      <c r="N48" s="119">
        <f>IF(VLOOKUP($E48,武器奇术!$A:$R,15,FALSE)="天工",100%,MIN($C$16,1))</f>
        <v>0.9881</v>
      </c>
      <c r="O48" s="120" t="str">
        <f>VLOOKUP($E48,武器奇术!$A:$R,16,FALSE)</f>
        <v>拳甲</v>
      </c>
      <c r="P48" s="121">
        <f t="shared" si="32"/>
        <v>0.17</v>
      </c>
      <c r="Q48" s="108">
        <f>$B$5*(1+VLOOKUP($E48,武器奇术!$A:$R,5,FALSE)+IF($G$5="飞隼",0.1,0)+IF($G$5="撼天",0.05,0))-$F$9+IF($I$5="√",160,0)</f>
        <v>1731.135</v>
      </c>
      <c r="R48" s="99">
        <f>IF(VLOOKUP($E48,武器奇术!$A:$Z,20,FALSE)=1,(S48-(Q48+S48)*0.5)*($G$15-0.5)*2+(Q48+S48)*0.5,(Q48+S48)*0.5)</f>
        <v>3256.775</v>
      </c>
      <c r="S48" s="109">
        <f>MAX($C$5,$B$5)*(1+VLOOKUP($E48,武器奇术!$A:$R,5,FALSE)+IF($G$5="飞隼",0.1,0)+IF($G$5="撼天",0.05,0))-$F$9+IF($I$5="√",320,0)</f>
        <v>4782.415</v>
      </c>
      <c r="T48" s="101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U48" s="111">
        <f>$E$5+IF(VLOOKUP($E48,武器奇术!$A:$U,21,FALSE)=1,0,0.09)</f>
        <v>0.115</v>
      </c>
      <c r="V48" s="109">
        <v>1</v>
      </c>
      <c r="W48" s="112">
        <f>Q48*VLOOKUP($E48,武器奇术!$A:$R,2,FALSE)*(1+T48)*(1+U48)*V48</f>
        <v>1042.59780892355</v>
      </c>
      <c r="X48" s="110">
        <f>(1-IF(VLOOKUP($E48,武器奇术!$A:$T,20,FALSE)=1,1,$N48))*(1-$M48)</f>
        <v>0.01072666</v>
      </c>
      <c r="Y48" s="112">
        <f>R48*VLOOKUP($E48,武器奇术!$A:$R,2,FALSE)*(1+T48)*(1+U48)*V48*(1+$E$16+VLOOKUP($E48,武器奇术!$A:$R,8,FALSE))</f>
        <v>3216.75122149194</v>
      </c>
      <c r="Z48" s="110">
        <f t="shared" si="33"/>
        <v>0.8813852</v>
      </c>
      <c r="AA48" s="112">
        <f>S48*VLOOKUP($E48,武器奇术!$A:$R,2,FALSE)*(1+T48)*(1+U48)*V48*(1+$E$17+VLOOKUP($E48,武器奇术!$A:$R,10,FALSE))</f>
        <v>3888.36387138506</v>
      </c>
      <c r="AB48" s="110">
        <f t="shared" si="34"/>
        <v>0.0986</v>
      </c>
      <c r="AC48" s="112">
        <f>R48*VLOOKUP($E48,武器奇术!$A:$R,2,FALSE)*(1+T48)*(1+U48)*V48</f>
        <v>1961.43367164143</v>
      </c>
      <c r="AD48" s="110">
        <f t="shared" si="1"/>
        <v>0.00928814000000003</v>
      </c>
      <c r="AE48" s="113">
        <f t="shared" si="2"/>
        <v>3247.99125917947</v>
      </c>
      <c r="AF48" s="114">
        <f>VLOOKUP($E48,武器奇术!$A:$R,3,FALSE)*(1+IF(VLOOKUP($E48,武器奇术!$A:$R,15,FALSE)="武器",$E$15,0))</f>
        <v>157.3</v>
      </c>
      <c r="AG48" s="112">
        <f t="shared" si="3"/>
        <v>157.3</v>
      </c>
      <c r="AH48" s="112">
        <f>VLOOKUP($E48,武器奇术!$A:$R,3,FALSE)*(1+IF(VLOOKUP($E48,武器奇术!$A:$R,15,FALSE)="武器",$E$15,0))</f>
        <v>157.3</v>
      </c>
      <c r="AI48" s="101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AJ48" s="111">
        <f>$E$5+IF(VLOOKUP($E48,武器奇术!$A:$U,21,FALSE)=1,0,0.09)</f>
        <v>0.115</v>
      </c>
      <c r="AK48" s="109">
        <v>1</v>
      </c>
      <c r="AL48" s="112">
        <f t="shared" si="35"/>
        <v>217.833759</v>
      </c>
      <c r="AM48" s="110">
        <f>(1-IF(VLOOKUP($E48,武器奇术!$A:$T,20,FALSE)=1,1,$N48))*(1-$M48)</f>
        <v>0.01072666</v>
      </c>
      <c r="AN48" s="112">
        <f>AG48*(1+AI48)*(1+AJ48)*AK48*(1+$E$16+VLOOKUP($E48,武器奇术!$A:$R,8,FALSE))</f>
        <v>357.24736476</v>
      </c>
      <c r="AO48" s="110">
        <f t="shared" si="4"/>
        <v>0.8813852</v>
      </c>
      <c r="AP48" s="112">
        <f>AH48*(1+AI48)*(1+AJ48)*AK48*(1+$E$17+VLOOKUP($E48,武器奇术!$A:$R,10,FALSE))</f>
        <v>294.07557465</v>
      </c>
      <c r="AQ48" s="110">
        <f t="shared" si="5"/>
        <v>0.0986</v>
      </c>
      <c r="AR48" s="112">
        <f t="shared" si="6"/>
        <v>217.833759</v>
      </c>
      <c r="AS48" s="110">
        <f t="shared" si="7"/>
        <v>0.00928814000000003</v>
      </c>
      <c r="AT48" s="113">
        <f t="shared" si="8"/>
        <v>348.228290818589</v>
      </c>
      <c r="AU48" s="108">
        <f>$B$7*IF($G$5="撼天",1.05,1)+IF(AND(VLOOKUP($E48,武器奇术!$A:$R,15,FALSE)="武器",VLOOKUP($E48,武器奇术!$A:$R,17,FALSE)="鸣金"),$E$3,0)*(1+$E$15)</f>
        <v>0</v>
      </c>
      <c r="AV48" s="99">
        <f>(AU48+AW48)*IF(VLOOKUP($E48,武器奇术!$A:$Z,21,FALSE)=1,$G$15,0.5)</f>
        <v>0</v>
      </c>
      <c r="AW48" s="109">
        <f>MAX($C$7*IF($G$5="撼天",1.05,1)+IF(AND(VLOOKUP($E48,武器奇术!$A:$R,15,FALSE)="武器",VLOOKUP($E48,武器奇术!$A:$R,17,FALSE)="鸣金"),$E$3*(1+$E$15),0),AU48)</f>
        <v>0</v>
      </c>
      <c r="AX48" s="110">
        <f>IF(($D$7+IF(VLOOKUP($E48,武器奇术!$A:$R,17,FALSE)="鸣金",$D$15,0)+IF(VLOOKUP($E48,武器奇术!$A:$R,18,FALSE)=1,4,0)+IF(VLOOKUP($E48,武器奇术!$A:$S,19,FALSE)=1,20,0)-VLOOKUP($F$7,目标属性!$A:$R,6,FALSE))&gt;0,($D$7+IF(VLOOKUP($E48,武器奇术!$A:$R,17,FALSE)="鸣金",$D$15,0)+IF(VLOOKUP($E48,武器奇术!$A:$R,18,FALSE)=1,4,0)+IF(VLOOKUP($E48,武器奇术!$A:$S,19,FALSE)=1,20,0)-VLOOKUP($F$7,目标属性!$A:$R,6,FALSE))/200,($D$7+IF(VLOOKUP($E48,武器奇术!$A:$R,17,FALSE)="鸣金",$D$15,0)+IF(VLOOKUP($E48,武器奇术!$A:$R,18,FALSE)=1,4,0)+IF(VLOOKUP($E48,武器奇术!$A:$S,19,FALSE)=1,20,0)-VLOOKUP($F$7,目标属性!$A:$R,6,FALSE))/100)</f>
        <v>-0.24</v>
      </c>
      <c r="AY48" s="111">
        <f t="shared" si="9"/>
        <v>0</v>
      </c>
      <c r="AZ48" s="109">
        <v>1</v>
      </c>
      <c r="BA48" s="112">
        <f>AU48*IF(VLOOKUP($E48,武器奇术!$A:$R,17,FALSE)="鸣金",VLOOKUP($E48,武器奇术!$A:$R,4,FALSE),VLOOKUP($E48,武器奇术!$A:$R,2,FALSE))*(1+AX48)*(1+AY48)*AZ48</f>
        <v>0</v>
      </c>
      <c r="BB48" s="110">
        <f>(1-IF(VLOOKUP($E48,武器奇术!$A:$T,20,FALSE)=1,1,$N48))*(1-$M48)</f>
        <v>0.01072666</v>
      </c>
      <c r="BC48" s="112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10">
        <f t="shared" si="10"/>
        <v>0.8813852</v>
      </c>
      <c r="BE48" s="112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10">
        <f t="shared" si="11"/>
        <v>0.0986</v>
      </c>
      <c r="BG48" s="112">
        <f>AV48*IF(VLOOKUP($E48,武器奇术!$A:$R,17,FALSE)="鸣金",VLOOKUP($E48,武器奇术!$A:$R,4,FALSE),VLOOKUP($E48,武器奇术!$A:$R,2,FALSE))*(1+AX48)*(1+AY48)*AZ48</f>
        <v>0</v>
      </c>
      <c r="BH48" s="110">
        <f t="shared" si="12"/>
        <v>0.00928814000000003</v>
      </c>
      <c r="BI48" s="113">
        <f t="shared" si="13"/>
        <v>0</v>
      </c>
      <c r="BJ48" s="108">
        <f>$B$9*IF($G$5="撼天",1.05,1)+IF(AND(VLOOKUP($E48,武器奇术!$A:$R,15,FALSE)="武器",VLOOKUP($E48,武器奇术!$A:$R,17,FALSE)="裂石"),$E$3,0)*(1+$E$15)</f>
        <v>0</v>
      </c>
      <c r="BK48" s="99">
        <f>(BJ48+BL48)*IF(VLOOKUP($E48,武器奇术!$A:$Z,21,FALSE)=1,$G$15,0.5)</f>
        <v>0</v>
      </c>
      <c r="BL48" s="109">
        <f>MAX($C$9*IF($G$5="撼天",1.05,1)+IF(AND(VLOOKUP($E48,武器奇术!$A:$R,15,FALSE)="武器",VLOOKUP($E48,武器奇术!$A:$R,17,FALSE)="裂石"),$E$3*(1+$E$15),0),BJ48)</f>
        <v>0</v>
      </c>
      <c r="BM48" s="110">
        <f>IF(($D$9+IF(VLOOKUP($E48,武器奇术!$A:$R,17,FALSE)="裂石",$D$15,0)+IF(VLOOKUP($E48,武器奇术!$A:$R,18,FALSE)=1,4,0)+IF(VLOOKUP($E48,武器奇术!$A:$S,19,FALSE)=1,20,0)-VLOOKUP($F$7,目标属性!$A:$R,6,FALSE))&gt;0,($D$9+IF(VLOOKUP($E48,武器奇术!$A:$R,17,FALSE)="裂石",$D$15,0)+IF(VLOOKUP($E48,武器奇术!$A:$R,18,FALSE)=1,4,0)+IF(VLOOKUP($E48,武器奇术!$A:$S,19,FALSE)=1,20,0)-VLOOKUP($F$7,目标属性!$A:$R,6,FALSE))/200,($D$9+IF(VLOOKUP($E48,武器奇术!$A:$R,17,FALSE)="裂石",$D$15,0)+IF(VLOOKUP($E48,武器奇术!$A:$R,18,FALSE)=1,4,0)+IF(VLOOKUP($E48,武器奇术!$A:$S,19,FALSE)=1,20,0)-VLOOKUP($F$7,目标属性!$A:$R,6,FALSE))/100)</f>
        <v>-0.24</v>
      </c>
      <c r="BN48" s="111">
        <f t="shared" si="14"/>
        <v>0</v>
      </c>
      <c r="BO48" s="109">
        <v>1</v>
      </c>
      <c r="BP48" s="112">
        <f>BJ48*IF(VLOOKUP($E48,武器奇术!$A:$R,17,FALSE)="裂石",VLOOKUP($E48,武器奇术!$A:$R,4,FALSE),VLOOKUP($E48,武器奇术!$A:$R,2,FALSE))*(1+BM48)*(1+BN48)*BO48</f>
        <v>0</v>
      </c>
      <c r="BQ48" s="110">
        <f>(1-IF(VLOOKUP($E48,武器奇术!$A:$T,20,FALSE)=1,1,$N48))*(1-$M48)</f>
        <v>0.01072666</v>
      </c>
      <c r="BR48" s="112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10">
        <f t="shared" si="15"/>
        <v>0.8813852</v>
      </c>
      <c r="BT48" s="112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10">
        <f t="shared" si="16"/>
        <v>0.0986</v>
      </c>
      <c r="BV48" s="112">
        <f>BK48*IF(VLOOKUP($E48,武器奇术!$A:$R,17,FALSE)="裂石",VLOOKUP($E48,武器奇术!$A:$R,4,FALSE),VLOOKUP($E48,武器奇术!$A:$R,2,FALSE))*(1+BM48)*(1+BN48)*BO48</f>
        <v>0</v>
      </c>
      <c r="BW48" s="110">
        <f t="shared" si="17"/>
        <v>0.00928814000000003</v>
      </c>
      <c r="BX48" s="113">
        <f t="shared" si="18"/>
        <v>0</v>
      </c>
      <c r="BY48" s="108">
        <f>$B$11*IF($G$5="撼天",1.05,1)+IF(AND(VLOOKUP($E48,武器奇术!$A:$R,15,FALSE)="武器",VLOOKUP($E48,武器奇术!$A:$R,17,FALSE)="牵丝"),$E$3,0)*(1+$E$15)</f>
        <v>0</v>
      </c>
      <c r="BZ48" s="99">
        <f>(BY48+CA48)*IF(VLOOKUP($E48,武器奇术!$A:$Z,21,FALSE)=1,$G$15,0.5)</f>
        <v>0</v>
      </c>
      <c r="CA48" s="109">
        <f>MAX($C$11*IF($G$5="撼天",1.05,1)+IF(AND(VLOOKUP($E48,武器奇术!$A:$R,15,FALSE)="武器",VLOOKUP($E48,武器奇术!$A:$R,17,FALSE)="牵丝"),$E$3*(1+$E$15),0),BY48)</f>
        <v>0</v>
      </c>
      <c r="CB48" s="110">
        <f>IF(($D$11+IF(VLOOKUP($E48,武器奇术!$A:$R,17,FALSE)="牵丝",$D$15,0)+IF(VLOOKUP($E48,武器奇术!$A:$R,18,FALSE)=1,4,0)+IF(VLOOKUP($E48,武器奇术!$A:$S,19,FALSE)=1,20,0)-VLOOKUP($F$7,目标属性!$A:$R,6,FALSE))&gt;0,($D$11+IF(VLOOKUP($E48,武器奇术!$A:$R,17,FALSE)="牵丝",$D$15,0)+IF(VLOOKUP($E48,武器奇术!$A:$R,18,FALSE)=1,4,0)+IF(VLOOKUP($E48,武器奇术!$A:$S,19,FALSE)=1,20,0)-VLOOKUP($F$7,目标属性!$A:$R,6,FALSE))/200,($D$11+IF(VLOOKUP($E48,武器奇术!$A:$R,17,FALSE)="牵丝",$D$15,0)+IF(VLOOKUP($E48,武器奇术!$A:$R,18,FALSE)=1,4,0)+IF(VLOOKUP($E48,武器奇术!$A:$S,19,FALSE)=1,20,0)-VLOOKUP($F$7,目标属性!$A:$R,6,FALSE))/100)</f>
        <v>-0.24</v>
      </c>
      <c r="CC48" s="111">
        <f t="shared" si="19"/>
        <v>0</v>
      </c>
      <c r="CD48" s="109">
        <v>1</v>
      </c>
      <c r="CE48" s="112">
        <f>BY48*IF(VLOOKUP($E48,武器奇术!$A:$R,17,FALSE)="牵丝",VLOOKUP($E48,武器奇术!$A:$R,4,FALSE),VLOOKUP($E48,武器奇术!$A:$R,2,FALSE))*(1+CB48)*(1+CC48)*CD48</f>
        <v>0</v>
      </c>
      <c r="CF48" s="110">
        <f>(1-IF(VLOOKUP($E48,武器奇术!$A:$T,20,FALSE)=1,1,$N48))*(1-$M48)</f>
        <v>0.01072666</v>
      </c>
      <c r="CG48" s="112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110">
        <f t="shared" si="20"/>
        <v>0.8813852</v>
      </c>
      <c r="CI48" s="112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110">
        <f t="shared" si="21"/>
        <v>0.0986</v>
      </c>
      <c r="CK48" s="112">
        <f>BZ48*IF(VLOOKUP($E48,武器奇术!$A:$R,17,FALSE)="牵丝",VLOOKUP($E48,武器奇术!$A:$R,4,FALSE),VLOOKUP($E48,武器奇术!$A:$R,2,FALSE))*(1+CB48)*(1+CC48)*CD48</f>
        <v>0</v>
      </c>
      <c r="CL48" s="110">
        <f t="shared" si="22"/>
        <v>0.00928814000000003</v>
      </c>
      <c r="CM48" s="113">
        <f t="shared" si="23"/>
        <v>0</v>
      </c>
      <c r="CN48" s="108">
        <f>$B$13*IF($G$5="撼天",1.05,1)+IF(AND(VLOOKUP($E48,武器奇术!$A:$R,15,FALSE)="武器",VLOOKUP($E48,武器奇术!$A:$R,17,FALSE)="破竹"),$E$3,0)*(1+$E$15)</f>
        <v>648.46</v>
      </c>
      <c r="CO48" s="99">
        <f>IF(VLOOKUP($E48,武器奇术!$A:$Z,20,FALSE)=1,(CP48-(CN48+CP48)*0.5)*($G$15-0.5)*2+(CN48+CP48)*0.5,(CN48+CP48)*0.5)</f>
        <v>875.26</v>
      </c>
      <c r="CP48" s="109">
        <f>MAX($C$13*IF($G$5="撼天",1.05,1)+IF(AND(VLOOKUP($E48,武器奇术!$A:$R,15,FALSE)="武器",VLOOKUP($E48,武器奇术!$A:$R,17,FALSE)="破竹"),$E$3*(1+$E$15),0),CN48)</f>
        <v>1102.06</v>
      </c>
      <c r="CQ48" s="110">
        <f>IF(($D$13+IF(VLOOKUP($E48,武器奇术!$A:$R,17,FALSE)="破竹",$D$15,0)+IF(VLOOKUP($E48,武器奇术!$A:$R,18,FALSE)=1,4,0)+IF(VLOOKUP($E48,武器奇术!$A:$S,19,FALSE)=1,20,0)-VLOOKUP($F$7,目标属性!$A:$R,6,FALSE))&gt;0,($D$13+IF(VLOOKUP($E48,武器奇术!$A:$R,17,FALSE)="破竹",$D$15,0)+IF(VLOOKUP($E48,武器奇术!$A:$R,18,FALSE)=1,4,0)+IF(VLOOKUP($E48,武器奇术!$A:$S,19,FALSE)=1,20,0)-VLOOKUP($F$7,目标属性!$A:$R,6,FALSE))/200,($D$13+IF(VLOOKUP($E48,武器奇术!$A:$R,17,FALSE)="破竹",$D$15,0)+IF(VLOOKUP($E48,武器奇术!$A:$R,18,FALSE)=1,4,0)+IF(VLOOKUP($E48,武器奇术!$A:$S,19,FALSE)=1,20,0)-VLOOKUP($F$7,目标属性!$A:$R,6,FALSE))/100)</f>
        <v>0.025</v>
      </c>
      <c r="CR48" s="111">
        <f>$E$13+IF(VLOOKUP($E48,武器奇术!$A:$U,21,FALSE)=1,0,0.09)</f>
        <v>0.235</v>
      </c>
      <c r="CS48" s="109">
        <v>1</v>
      </c>
      <c r="CT48" s="112">
        <f>CN48*IF(VLOOKUP($E48,武器奇术!$A:$R,17,FALSE)="破竹",VLOOKUP($E48,武器奇术!$A:$R,4,FALSE),VLOOKUP($E48,武器奇术!$A:$R,2,FALSE))*(1+CQ48)*(1+CR48)*CS48</f>
        <v>535.45304602075</v>
      </c>
      <c r="CU48" s="110">
        <f>(1-IF(VLOOKUP($E48,武器奇术!$A:$T,20,FALSE)=1,1,$N48))*(1-$M48)</f>
        <v>0.01072666</v>
      </c>
      <c r="CV48" s="112">
        <f>CO48*IF(VLOOKUP($E48,武器奇术!$A:$R,17,FALSE)="破竹",VLOOKUP($E48,武器奇术!$A:$R,4,FALSE),VLOOKUP($E48,武器奇术!$A:$R,2,FALSE))*(1+CQ48)*(1+CR48)*CS48*(1+$E$16+VLOOKUP($E48,武器奇术!$A:$R,8,FALSE))</f>
        <v>1185.27501807143</v>
      </c>
      <c r="CW48" s="110">
        <f t="shared" si="24"/>
        <v>0.8813852</v>
      </c>
      <c r="CX48" s="112">
        <f>CP48*IF(VLOOKUP($E48,武器奇术!$A:$R,17,FALSE)="破竹",VLOOKUP($E48,武器奇术!$A:$R,4,FALSE),VLOOKUP($E48,武器奇术!$A:$R,2,FALSE))*(1+CQ48)*(1+CR48)*CS48*(1+$E$17+VLOOKUP($E48,武器奇术!$A:$R,10,FALSE))</f>
        <v>1228.50579567251</v>
      </c>
      <c r="CY48" s="110">
        <f t="shared" si="25"/>
        <v>0.0986</v>
      </c>
      <c r="CZ48" s="112">
        <f>CO48*IF(VLOOKUP($E48,武器奇术!$A:$R,17,FALSE)="破竹",VLOOKUP($E48,武器奇术!$A:$R,4,FALSE),VLOOKUP($E48,武器奇术!$A:$R,2,FALSE))*(1+CQ48)*(1+CR48)*CS48</f>
        <v>722.72866955575</v>
      </c>
      <c r="DA48" s="110">
        <f t="shared" si="26"/>
        <v>0.00928814000000003</v>
      </c>
      <c r="DB48" s="113">
        <f t="shared" si="27"/>
        <v>1178.27095814668</v>
      </c>
      <c r="DC48" s="108">
        <f t="shared" si="36"/>
        <v>69.3</v>
      </c>
      <c r="DD48" s="99">
        <f>(DC48+DE48)*IF(VLOOKUP($E48,武器奇术!$A:$Z,21,FALSE)=1,$G$15,0.5)</f>
        <v>69.3</v>
      </c>
      <c r="DE48" s="109">
        <f t="shared" si="37"/>
        <v>69.3</v>
      </c>
      <c r="DF48" s="110">
        <f>IF(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100)</f>
        <v>0.025</v>
      </c>
      <c r="DG48" s="111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U,21,FALSE)=1,0,0.09)</f>
        <v>0.235</v>
      </c>
      <c r="DH48" s="109">
        <v>1</v>
      </c>
      <c r="DI48" s="112">
        <f>DC48*IF(VLOOKUP($E48,武器奇术!$A:$R,17,FALSE)="破竹",VLOOKUP($E48,武器奇术!$A:$R,4,FALSE),VLOOKUP($E48,武器奇术!$A:$R,2,FALSE))*(1+DF48)*(1+DG48)*DH48</f>
        <v>57.22310719125</v>
      </c>
      <c r="DJ48" s="110">
        <f>(1-IF(VLOOKUP($E48,武器奇术!$A:$T,20,FALSE)=1,1,$N48))*(1-$M48)</f>
        <v>0.01072666</v>
      </c>
      <c r="DK48" s="112">
        <f>DD48*IF(VLOOKUP($E48,武器奇术!$A:$R,17,FALSE)="破竹",VLOOKUP($E48,武器奇术!$A:$R,4,FALSE),VLOOKUP($E48,武器奇术!$A:$R,2,FALSE))*(1+DF48)*(1+DG48)*DH48*(1+$E$16+VLOOKUP($E48,武器奇术!$A:$R,8,FALSE))</f>
        <v>93.84589579365</v>
      </c>
      <c r="DL48" s="110">
        <f t="shared" si="28"/>
        <v>0.8813852</v>
      </c>
      <c r="DM48" s="112">
        <f>DE48*IF(VLOOKUP($E48,武器奇术!$A:$R,17,FALSE)="破竹",VLOOKUP($E48,武器奇术!$A:$R,4,FALSE),VLOOKUP($E48,武器奇术!$A:$R,2,FALSE))*(1+DF48)*(1+DG48)*DH48*(1+$E$17+VLOOKUP($E48,武器奇术!$A:$R,10,FALSE))</f>
        <v>77.2511947081875</v>
      </c>
      <c r="DN48" s="110">
        <f t="shared" si="29"/>
        <v>0.0986</v>
      </c>
      <c r="DO48" s="112">
        <f>DD48*IF(VLOOKUP($E48,武器奇术!$A:$R,17,FALSE)="破竹",VLOOKUP($E48,武器奇术!$A:$R,4,FALSE),VLOOKUP($E48,武器奇术!$A:$R,2,FALSE))*(1+DF48)*(1+DG48)*DH48</f>
        <v>57.22310719125</v>
      </c>
      <c r="DP48" s="110">
        <f t="shared" si="30"/>
        <v>0.00928814000000003</v>
      </c>
      <c r="DQ48" s="113">
        <f t="shared" si="31"/>
        <v>91.4766604773041</v>
      </c>
    </row>
    <row r="49" customFormat="1" ht="14.25" spans="1:121">
      <c r="B49" s="95"/>
      <c r="C49" s="145"/>
      <c r="D49" s="146"/>
      <c r="E49" s="98" t="s">
        <v>144</v>
      </c>
      <c r="F49" s="99">
        <v>1</v>
      </c>
      <c r="G49" s="115"/>
      <c r="H49" s="100">
        <f>IF(VLOOKUP($E49,武器奇术!$A:$R,18,FALSE)="天工",AE49,(AE49+AT49+BI49+BX49+CM49+DB49+DQ49))*(1+J49)*F49*K49*(1+G49)</f>
        <v>4170.96164603952</v>
      </c>
      <c r="I49" s="101">
        <f t="shared" si="0"/>
        <v>0.000514959078325777</v>
      </c>
      <c r="J49" s="101">
        <f>$F$3+VLOOKUP($E49,武器奇术!$A:$R,12,FALSE)+VLOOKUP($E49,武器奇术!$A:$R,14,FALSE)*$G$3+$P49</f>
        <v>0.473</v>
      </c>
      <c r="K49" s="102">
        <f>VLOOKUP($E49,武器奇术!$A:$R,11,FALSE)</f>
        <v>1</v>
      </c>
      <c r="L49" s="117">
        <f>IF(VLOOKUP($E49,武器奇术!$A:$R,15,FALSE)="天工",0%,IF($C$17+VLOOKUP($E49,武器奇术!$A:$R,7,FALSE)&gt;80%,80%,$C$17+VLOOKUP($E49,武器奇术!$A:$R,7,FALSE))+IF($C$19&gt;20%,20%,$C$19))</f>
        <v>0.892</v>
      </c>
      <c r="M49" s="118">
        <f>IF(VLOOKUP($E49,武器奇术!$A:$R,15,FALSE)="天工",0%,IF($C$18+VLOOKUP($E49,武器奇术!$A:$R,9,FALSE)&gt;40%,40%,$C$18+VLOOKUP($E49,武器奇术!$A:$R,9,FALSE))+IF($C$20&gt;10%,10%,$C$20))</f>
        <v>0.0986</v>
      </c>
      <c r="N49" s="119">
        <f>IF(VLOOKUP($E49,武器奇术!$A:$R,15,FALSE)="天工",100%,MIN($C$16,1))</f>
        <v>0.9881</v>
      </c>
      <c r="O49" s="120" t="str">
        <f>VLOOKUP($E49,武器奇术!$A:$R,16,FALSE)</f>
        <v>拳甲</v>
      </c>
      <c r="P49" s="121">
        <f t="shared" si="32"/>
        <v>0.17</v>
      </c>
      <c r="Q49" s="108">
        <f>$B$5*(1+VLOOKUP($E49,武器奇术!$A:$R,5,FALSE)+IF($G$5="飞隼",0.1,0)+IF($G$5="撼天",0.05,0))-$F$9+IF($I$5="√",160,0)</f>
        <v>1731.135</v>
      </c>
      <c r="R49" s="99">
        <f>IF(VLOOKUP($E49,武器奇术!$A:$Z,20,FALSE)=1,(S49-(Q49+S49)*0.5)*($G$15-0.5)*2+(Q49+S49)*0.5,(Q49+S49)*0.5)</f>
        <v>3256.775</v>
      </c>
      <c r="S49" s="109">
        <f>MAX($C$5,$B$5)*(1+VLOOKUP($E49,武器奇术!$A:$R,5,FALSE)+IF($G$5="飞隼",0.1,0)+IF($G$5="撼天",0.05,0))-$F$9+IF($I$5="√",320,0)</f>
        <v>4782.415</v>
      </c>
      <c r="T49" s="101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U49" s="111">
        <f>$E$5+IF(VLOOKUP($E49,武器奇术!$A:$U,21,FALSE)=1,0,0.09)</f>
        <v>0.115</v>
      </c>
      <c r="V49" s="109">
        <v>1</v>
      </c>
      <c r="W49" s="112">
        <f>Q49*VLOOKUP($E49,武器奇术!$A:$R,2,FALSE)*(1+T49)*(1+U49)*V49</f>
        <v>606.284170790445</v>
      </c>
      <c r="X49" s="110">
        <f>(1-IF(VLOOKUP($E49,武器奇术!$A:$T,20,FALSE)=1,1,$N49))*(1-$M49)</f>
        <v>0.01072666</v>
      </c>
      <c r="Y49" s="112">
        <f>R49*VLOOKUP($E49,武器奇术!$A:$R,2,FALSE)*(1+T49)*(1+U49)*V49*(1+$E$16+VLOOKUP($E49,武器奇术!$A:$R,8,FALSE))</f>
        <v>1870.58262569628</v>
      </c>
      <c r="Z49" s="110">
        <f t="shared" si="33"/>
        <v>0.8813852</v>
      </c>
      <c r="AA49" s="112">
        <f>S49*VLOOKUP($E49,武器奇术!$A:$R,2,FALSE)*(1+T49)*(1+U49)*V49*(1+$E$17+VLOOKUP($E49,武器奇术!$A:$R,10,FALSE))</f>
        <v>2261.1341068597</v>
      </c>
      <c r="AB49" s="110">
        <f t="shared" si="34"/>
        <v>0.0986</v>
      </c>
      <c r="AC49" s="112">
        <f>R49*VLOOKUP($E49,武器奇术!$A:$R,2,FALSE)*(1+T49)*(1+U49)*V49</f>
        <v>1140.59916200993</v>
      </c>
      <c r="AD49" s="110">
        <f t="shared" si="1"/>
        <v>0.00928814000000003</v>
      </c>
      <c r="AE49" s="113">
        <f t="shared" si="2"/>
        <v>1888.74911346629</v>
      </c>
      <c r="AF49" s="114">
        <f>VLOOKUP($E49,武器奇术!$A:$R,3,FALSE)*(1+IF(VLOOKUP($E49,武器奇术!$A:$R,15,FALSE)="武器",$E$15,0))</f>
        <v>92.3</v>
      </c>
      <c r="AG49" s="112">
        <f t="shared" si="3"/>
        <v>92.3</v>
      </c>
      <c r="AH49" s="112">
        <f>VLOOKUP($E49,武器奇术!$A:$R,3,FALSE)*(1+IF(VLOOKUP($E49,武器奇术!$A:$R,15,FALSE)="武器",$E$15,0))</f>
        <v>92.3</v>
      </c>
      <c r="AI49" s="101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AJ49" s="111">
        <f>$E$5+IF(VLOOKUP($E49,武器奇术!$A:$U,21,FALSE)=1,0,0.09)</f>
        <v>0.115</v>
      </c>
      <c r="AK49" s="109">
        <v>1</v>
      </c>
      <c r="AL49" s="112">
        <f t="shared" si="35"/>
        <v>127.819809</v>
      </c>
      <c r="AM49" s="110">
        <f>(1-IF(VLOOKUP($E49,武器奇术!$A:$T,20,FALSE)=1,1,$N49))*(1-$M49)</f>
        <v>0.01072666</v>
      </c>
      <c r="AN49" s="112">
        <f>AG49*(1+AI49)*(1+AJ49)*AK49*(1+$E$16+VLOOKUP($E49,武器奇术!$A:$R,8,FALSE))</f>
        <v>209.62448676</v>
      </c>
      <c r="AO49" s="110">
        <f t="shared" si="4"/>
        <v>0.8813852</v>
      </c>
      <c r="AP49" s="112">
        <f>AH49*(1+AI49)*(1+AJ49)*AK49*(1+$E$17+VLOOKUP($E49,武器奇术!$A:$R,10,FALSE))</f>
        <v>172.55674215</v>
      </c>
      <c r="AQ49" s="110">
        <f t="shared" si="5"/>
        <v>0.0986</v>
      </c>
      <c r="AR49" s="112">
        <f t="shared" si="6"/>
        <v>127.819809</v>
      </c>
      <c r="AS49" s="110">
        <f t="shared" si="7"/>
        <v>0.00928814000000003</v>
      </c>
      <c r="AT49" s="113">
        <f t="shared" si="8"/>
        <v>204.332302877023</v>
      </c>
      <c r="AU49" s="108">
        <f>$B$7*IF($G$5="撼天",1.05,1)+IF(AND(VLOOKUP($E49,武器奇术!$A:$R,15,FALSE)="武器",VLOOKUP($E49,武器奇术!$A:$R,17,FALSE)="鸣金"),$E$3,0)*(1+$E$15)</f>
        <v>0</v>
      </c>
      <c r="AV49" s="99">
        <f>(AU49+AW49)*IF(VLOOKUP($E49,武器奇术!$A:$Z,21,FALSE)=1,$G$15,0.5)</f>
        <v>0</v>
      </c>
      <c r="AW49" s="109">
        <f>MAX($C$7*IF($G$5="撼天",1.05,1)+IF(AND(VLOOKUP($E49,武器奇术!$A:$R,15,FALSE)="武器",VLOOKUP($E49,武器奇术!$A:$R,17,FALSE)="鸣金"),$E$3*(1+$E$15),0),AU49)</f>
        <v>0</v>
      </c>
      <c r="AX49" s="110">
        <f>IF(($D$7+IF(VLOOKUP($E49,武器奇术!$A:$R,17,FALSE)="鸣金",$D$15,0)+IF(VLOOKUP($E49,武器奇术!$A:$R,18,FALSE)=1,4,0)+IF(VLOOKUP($E49,武器奇术!$A:$S,19,FALSE)=1,20,0)-VLOOKUP($F$7,目标属性!$A:$R,6,FALSE))&gt;0,($D$7+IF(VLOOKUP($E49,武器奇术!$A:$R,17,FALSE)="鸣金",$D$15,0)+IF(VLOOKUP($E49,武器奇术!$A:$R,18,FALSE)=1,4,0)+IF(VLOOKUP($E49,武器奇术!$A:$S,19,FALSE)=1,20,0)-VLOOKUP($F$7,目标属性!$A:$R,6,FALSE))/200,($D$7+IF(VLOOKUP($E49,武器奇术!$A:$R,17,FALSE)="鸣金",$D$15,0)+IF(VLOOKUP($E49,武器奇术!$A:$R,18,FALSE)=1,4,0)+IF(VLOOKUP($E49,武器奇术!$A:$S,19,FALSE)=1,20,0)-VLOOKUP($F$7,目标属性!$A:$R,6,FALSE))/100)</f>
        <v>-0.24</v>
      </c>
      <c r="AY49" s="111">
        <f t="shared" si="9"/>
        <v>0</v>
      </c>
      <c r="AZ49" s="109">
        <v>1</v>
      </c>
      <c r="BA49" s="112">
        <f>AU49*IF(VLOOKUP($E49,武器奇术!$A:$R,17,FALSE)="鸣金",VLOOKUP($E49,武器奇术!$A:$R,4,FALSE),VLOOKUP($E49,武器奇术!$A:$R,2,FALSE))*(1+AX49)*(1+AY49)*AZ49</f>
        <v>0</v>
      </c>
      <c r="BB49" s="110">
        <f>(1-IF(VLOOKUP($E49,武器奇术!$A:$T,20,FALSE)=1,1,$N49))*(1-$M49)</f>
        <v>0.01072666</v>
      </c>
      <c r="BC49" s="112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10">
        <f t="shared" si="10"/>
        <v>0.8813852</v>
      </c>
      <c r="BE49" s="112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10">
        <f t="shared" si="11"/>
        <v>0.0986</v>
      </c>
      <c r="BG49" s="112">
        <f>AV49*IF(VLOOKUP($E49,武器奇术!$A:$R,17,FALSE)="鸣金",VLOOKUP($E49,武器奇术!$A:$R,4,FALSE),VLOOKUP($E49,武器奇术!$A:$R,2,FALSE))*(1+AX49)*(1+AY49)*AZ49</f>
        <v>0</v>
      </c>
      <c r="BH49" s="110">
        <f t="shared" si="12"/>
        <v>0.00928814000000003</v>
      </c>
      <c r="BI49" s="113">
        <f t="shared" si="13"/>
        <v>0</v>
      </c>
      <c r="BJ49" s="108">
        <f>$B$9*IF($G$5="撼天",1.05,1)+IF(AND(VLOOKUP($E49,武器奇术!$A:$R,15,FALSE)="武器",VLOOKUP($E49,武器奇术!$A:$R,17,FALSE)="裂石"),$E$3,0)*(1+$E$15)</f>
        <v>0</v>
      </c>
      <c r="BK49" s="99">
        <f>(BJ49+BL49)*IF(VLOOKUP($E49,武器奇术!$A:$Z,21,FALSE)=1,$G$15,0.5)</f>
        <v>0</v>
      </c>
      <c r="BL49" s="109">
        <f>MAX($C$9*IF($G$5="撼天",1.05,1)+IF(AND(VLOOKUP($E49,武器奇术!$A:$R,15,FALSE)="武器",VLOOKUP($E49,武器奇术!$A:$R,17,FALSE)="裂石"),$E$3*(1+$E$15),0),BJ49)</f>
        <v>0</v>
      </c>
      <c r="BM49" s="110">
        <f>IF(($D$9+IF(VLOOKUP($E49,武器奇术!$A:$R,17,FALSE)="裂石",$D$15,0)+IF(VLOOKUP($E49,武器奇术!$A:$R,18,FALSE)=1,4,0)+IF(VLOOKUP($E49,武器奇术!$A:$S,19,FALSE)=1,20,0)-VLOOKUP($F$7,目标属性!$A:$R,6,FALSE))&gt;0,($D$9+IF(VLOOKUP($E49,武器奇术!$A:$R,17,FALSE)="裂石",$D$15,0)+IF(VLOOKUP($E49,武器奇术!$A:$R,18,FALSE)=1,4,0)+IF(VLOOKUP($E49,武器奇术!$A:$S,19,FALSE)=1,20,0)-VLOOKUP($F$7,目标属性!$A:$R,6,FALSE))/200,($D$9+IF(VLOOKUP($E49,武器奇术!$A:$R,17,FALSE)="裂石",$D$15,0)+IF(VLOOKUP($E49,武器奇术!$A:$R,18,FALSE)=1,4,0)+IF(VLOOKUP($E49,武器奇术!$A:$S,19,FALSE)=1,20,0)-VLOOKUP($F$7,目标属性!$A:$R,6,FALSE))/100)</f>
        <v>-0.24</v>
      </c>
      <c r="BN49" s="111">
        <f t="shared" si="14"/>
        <v>0</v>
      </c>
      <c r="BO49" s="109">
        <v>1</v>
      </c>
      <c r="BP49" s="112">
        <f>BJ49*IF(VLOOKUP($E49,武器奇术!$A:$R,17,FALSE)="裂石",VLOOKUP($E49,武器奇术!$A:$R,4,FALSE),VLOOKUP($E49,武器奇术!$A:$R,2,FALSE))*(1+BM49)*(1+BN49)*BO49</f>
        <v>0</v>
      </c>
      <c r="BQ49" s="110">
        <f>(1-IF(VLOOKUP($E49,武器奇术!$A:$T,20,FALSE)=1,1,$N49))*(1-$M49)</f>
        <v>0.01072666</v>
      </c>
      <c r="BR49" s="112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10">
        <f t="shared" si="15"/>
        <v>0.8813852</v>
      </c>
      <c r="BT49" s="112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10">
        <f t="shared" si="16"/>
        <v>0.0986</v>
      </c>
      <c r="BV49" s="112">
        <f>BK49*IF(VLOOKUP($E49,武器奇术!$A:$R,17,FALSE)="裂石",VLOOKUP($E49,武器奇术!$A:$R,4,FALSE),VLOOKUP($E49,武器奇术!$A:$R,2,FALSE))*(1+BM49)*(1+BN49)*BO49</f>
        <v>0</v>
      </c>
      <c r="BW49" s="110">
        <f t="shared" si="17"/>
        <v>0.00928814000000003</v>
      </c>
      <c r="BX49" s="113">
        <f t="shared" si="18"/>
        <v>0</v>
      </c>
      <c r="BY49" s="108">
        <f>$B$11*IF($G$5="撼天",1.05,1)+IF(AND(VLOOKUP($E49,武器奇术!$A:$R,15,FALSE)="武器",VLOOKUP($E49,武器奇术!$A:$R,17,FALSE)="牵丝"),$E$3,0)*(1+$E$15)</f>
        <v>0</v>
      </c>
      <c r="BZ49" s="99">
        <f>(BY49+CA49)*IF(VLOOKUP($E49,武器奇术!$A:$Z,21,FALSE)=1,$G$15,0.5)</f>
        <v>0</v>
      </c>
      <c r="CA49" s="109">
        <f>MAX($C$11*IF($G$5="撼天",1.05,1)+IF(AND(VLOOKUP($E49,武器奇术!$A:$R,15,FALSE)="武器",VLOOKUP($E49,武器奇术!$A:$R,17,FALSE)="牵丝"),$E$3*(1+$E$15),0),BY49)</f>
        <v>0</v>
      </c>
      <c r="CB49" s="110">
        <f>IF(($D$11+IF(VLOOKUP($E49,武器奇术!$A:$R,17,FALSE)="牵丝",$D$15,0)+IF(VLOOKUP($E49,武器奇术!$A:$R,18,FALSE)=1,4,0)+IF(VLOOKUP($E49,武器奇术!$A:$S,19,FALSE)=1,20,0)-VLOOKUP($F$7,目标属性!$A:$R,6,FALSE))&gt;0,($D$11+IF(VLOOKUP($E49,武器奇术!$A:$R,17,FALSE)="牵丝",$D$15,0)+IF(VLOOKUP($E49,武器奇术!$A:$R,18,FALSE)=1,4,0)+IF(VLOOKUP($E49,武器奇术!$A:$S,19,FALSE)=1,20,0)-VLOOKUP($F$7,目标属性!$A:$R,6,FALSE))/200,($D$11+IF(VLOOKUP($E49,武器奇术!$A:$R,17,FALSE)="牵丝",$D$15,0)+IF(VLOOKUP($E49,武器奇术!$A:$R,18,FALSE)=1,4,0)+IF(VLOOKUP($E49,武器奇术!$A:$S,19,FALSE)=1,20,0)-VLOOKUP($F$7,目标属性!$A:$R,6,FALSE))/100)</f>
        <v>-0.24</v>
      </c>
      <c r="CC49" s="111">
        <f t="shared" si="19"/>
        <v>0</v>
      </c>
      <c r="CD49" s="109">
        <v>1</v>
      </c>
      <c r="CE49" s="112">
        <f>BY49*IF(VLOOKUP($E49,武器奇术!$A:$R,17,FALSE)="牵丝",VLOOKUP($E49,武器奇术!$A:$R,4,FALSE),VLOOKUP($E49,武器奇术!$A:$R,2,FALSE))*(1+CB49)*(1+CC49)*CD49</f>
        <v>0</v>
      </c>
      <c r="CF49" s="110">
        <f>(1-IF(VLOOKUP($E49,武器奇术!$A:$T,20,FALSE)=1,1,$N49))*(1-$M49)</f>
        <v>0.01072666</v>
      </c>
      <c r="CG49" s="112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110">
        <f t="shared" si="20"/>
        <v>0.8813852</v>
      </c>
      <c r="CI49" s="112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110">
        <f t="shared" si="21"/>
        <v>0.0986</v>
      </c>
      <c r="CK49" s="112">
        <f>BZ49*IF(VLOOKUP($E49,武器奇术!$A:$R,17,FALSE)="牵丝",VLOOKUP($E49,武器奇术!$A:$R,4,FALSE),VLOOKUP($E49,武器奇术!$A:$R,2,FALSE))*(1+CB49)*(1+CC49)*CD49</f>
        <v>0</v>
      </c>
      <c r="CL49" s="110">
        <f t="shared" si="22"/>
        <v>0.00928814000000003</v>
      </c>
      <c r="CM49" s="113">
        <f t="shared" si="23"/>
        <v>0</v>
      </c>
      <c r="CN49" s="108">
        <f>$B$13*IF($G$5="撼天",1.05,1)+IF(AND(VLOOKUP($E49,武器奇术!$A:$R,15,FALSE)="武器",VLOOKUP($E49,武器奇术!$A:$R,17,FALSE)="破竹"),$E$3,0)*(1+$E$15)</f>
        <v>648.46</v>
      </c>
      <c r="CO49" s="99">
        <f>IF(VLOOKUP($E49,武器奇术!$A:$Z,20,FALSE)=1,(CP49-(CN49+CP49)*0.5)*($G$15-0.5)*2+(CN49+CP49)*0.5,(CN49+CP49)*0.5)</f>
        <v>875.26</v>
      </c>
      <c r="CP49" s="109">
        <f>MAX($C$13*IF($G$5="撼天",1.05,1)+IF(AND(VLOOKUP($E49,武器奇术!$A:$R,15,FALSE)="武器",VLOOKUP($E49,武器奇术!$A:$R,17,FALSE)="破竹"),$E$3*(1+$E$15),0),CN49)</f>
        <v>1102.06</v>
      </c>
      <c r="CQ49" s="110">
        <f>IF(($D$13+IF(VLOOKUP($E49,武器奇术!$A:$R,17,FALSE)="破竹",$D$15,0)+IF(VLOOKUP($E49,武器奇术!$A:$R,18,FALSE)=1,4,0)+IF(VLOOKUP($E49,武器奇术!$A:$S,19,FALSE)=1,20,0)-VLOOKUP($F$7,目标属性!$A:$R,6,FALSE))&gt;0,($D$13+IF(VLOOKUP($E49,武器奇术!$A:$R,17,FALSE)="破竹",$D$15,0)+IF(VLOOKUP($E49,武器奇术!$A:$R,18,FALSE)=1,4,0)+IF(VLOOKUP($E49,武器奇术!$A:$S,19,FALSE)=1,20,0)-VLOOKUP($F$7,目标属性!$A:$R,6,FALSE))/200,($D$13+IF(VLOOKUP($E49,武器奇术!$A:$R,17,FALSE)="破竹",$D$15,0)+IF(VLOOKUP($E49,武器奇术!$A:$R,18,FALSE)=1,4,0)+IF(VLOOKUP($E49,武器奇术!$A:$S,19,FALSE)=1,20,0)-VLOOKUP($F$7,目标属性!$A:$R,6,FALSE))/100)</f>
        <v>0.025</v>
      </c>
      <c r="CR49" s="111">
        <f>$E$13+IF(VLOOKUP($E49,武器奇术!$A:$U,21,FALSE)=1,0,0.09)</f>
        <v>0.235</v>
      </c>
      <c r="CS49" s="109">
        <v>1</v>
      </c>
      <c r="CT49" s="112">
        <f>CN49*IF(VLOOKUP($E49,武器奇术!$A:$R,17,FALSE)="破竹",VLOOKUP($E49,武器奇术!$A:$R,4,FALSE),VLOOKUP($E49,武器奇术!$A:$R,2,FALSE))*(1+CQ49)*(1+CR49)*CS49</f>
        <v>311.4378133685</v>
      </c>
      <c r="CU49" s="110">
        <f>(1-IF(VLOOKUP($E49,武器奇术!$A:$T,20,FALSE)=1,1,$N49))*(1-$M49)</f>
        <v>0.01072666</v>
      </c>
      <c r="CV49" s="112">
        <f>CO49*IF(VLOOKUP($E49,武器奇术!$A:$R,17,FALSE)="破竹",VLOOKUP($E49,武器奇术!$A:$R,4,FALSE),VLOOKUP($E49,武器奇术!$A:$R,2,FALSE))*(1+CQ49)*(1+CR49)*CS49*(1+$E$16+VLOOKUP($E49,武器奇术!$A:$R,8,FALSE))</f>
        <v>689.39650752154</v>
      </c>
      <c r="CW49" s="110">
        <f t="shared" si="24"/>
        <v>0.8813852</v>
      </c>
      <c r="CX49" s="112">
        <f>CP49*IF(VLOOKUP($E49,武器奇术!$A:$R,17,FALSE)="破竹",VLOOKUP($E49,武器奇术!$A:$R,4,FALSE),VLOOKUP($E49,武器奇术!$A:$R,2,FALSE))*(1+CQ49)*(1+CR49)*CS49*(1+$E$17+VLOOKUP($E49,武器奇术!$A:$R,10,FALSE))</f>
        <v>714.541007018475</v>
      </c>
      <c r="CY49" s="110">
        <f t="shared" si="25"/>
        <v>0.0986</v>
      </c>
      <c r="CZ49" s="112">
        <f>CO49*IF(VLOOKUP($E49,武器奇术!$A:$R,17,FALSE)="破竹",VLOOKUP($E49,武器奇术!$A:$R,4,FALSE),VLOOKUP($E49,武器奇术!$A:$R,2,FALSE))*(1+CQ49)*(1+CR49)*CS49</f>
        <v>420.3637240985</v>
      </c>
      <c r="DA49" s="110">
        <f t="shared" si="26"/>
        <v>0.00928814000000003</v>
      </c>
      <c r="DB49" s="113">
        <f t="shared" si="27"/>
        <v>685.322706608691</v>
      </c>
      <c r="DC49" s="108">
        <f t="shared" si="36"/>
        <v>69.3</v>
      </c>
      <c r="DD49" s="99">
        <f>(DC49+DE49)*IF(VLOOKUP($E49,武器奇术!$A:$Z,21,FALSE)=1,$G$15,0.5)</f>
        <v>69.3</v>
      </c>
      <c r="DE49" s="109">
        <f t="shared" si="37"/>
        <v>69.3</v>
      </c>
      <c r="DF49" s="110">
        <f>IF(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100)</f>
        <v>0.025</v>
      </c>
      <c r="DG49" s="111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U,21,FALSE)=1,0,0.09)</f>
        <v>0.235</v>
      </c>
      <c r="DH49" s="109">
        <v>1</v>
      </c>
      <c r="DI49" s="112">
        <f>DC49*IF(VLOOKUP($E49,武器奇术!$A:$R,17,FALSE)="破竹",VLOOKUP($E49,武器奇术!$A:$R,4,FALSE),VLOOKUP($E49,武器奇术!$A:$R,2,FALSE))*(1+DF49)*(1+DG49)*DH49</f>
        <v>33.2829171675</v>
      </c>
      <c r="DJ49" s="110">
        <f>(1-IF(VLOOKUP($E49,武器奇术!$A:$T,20,FALSE)=1,1,$N49))*(1-$M49)</f>
        <v>0.01072666</v>
      </c>
      <c r="DK49" s="112">
        <f>DD49*IF(VLOOKUP($E49,武器奇术!$A:$R,17,FALSE)="破竹",VLOOKUP($E49,武器奇术!$A:$R,4,FALSE),VLOOKUP($E49,武器奇术!$A:$R,2,FALSE))*(1+DF49)*(1+DG49)*DH49*(1+$E$16+VLOOKUP($E49,武器奇术!$A:$R,8,FALSE))</f>
        <v>54.5839841547</v>
      </c>
      <c r="DL49" s="110">
        <f t="shared" si="28"/>
        <v>0.8813852</v>
      </c>
      <c r="DM49" s="112">
        <f>DE49*IF(VLOOKUP($E49,武器奇术!$A:$R,17,FALSE)="破竹",VLOOKUP($E49,武器奇术!$A:$R,4,FALSE),VLOOKUP($E49,武器奇术!$A:$R,2,FALSE))*(1+DF49)*(1+DG49)*DH49*(1+$E$17+VLOOKUP($E49,武器奇术!$A:$R,10,FALSE))</f>
        <v>44.931938176125</v>
      </c>
      <c r="DN49" s="110">
        <f t="shared" si="29"/>
        <v>0.0986</v>
      </c>
      <c r="DO49" s="112">
        <f>DD49*IF(VLOOKUP($E49,武器奇术!$A:$R,17,FALSE)="破竹",VLOOKUP($E49,武器奇术!$A:$R,4,FALSE),VLOOKUP($E49,武器奇术!$A:$R,2,FALSE))*(1+DF49)*(1+DG49)*DH49</f>
        <v>33.2829171675</v>
      </c>
      <c r="DP49" s="110">
        <f t="shared" si="30"/>
        <v>0.00928814000000003</v>
      </c>
      <c r="DQ49" s="113">
        <f t="shared" si="31"/>
        <v>53.2059558256771</v>
      </c>
    </row>
    <row r="50" customFormat="1" spans="1:121">
      <c r="B50" s="79" t="s">
        <v>145</v>
      </c>
      <c r="C50" s="141"/>
      <c r="D50" s="142"/>
      <c r="E50" s="98" t="s">
        <v>146</v>
      </c>
      <c r="F50" s="99">
        <v>1</v>
      </c>
      <c r="G50" s="115"/>
      <c r="H50" s="100">
        <f>IF(VLOOKUP($E50,武器奇术!$A:$R,18,FALSE)="天工",AE50,(AE50+AT50+BI50+BX50+CM50+DB50+DQ50))*(1+J50)*F50*K50*(1+G50)</f>
        <v>5247.72079509985</v>
      </c>
      <c r="I50" s="101">
        <f t="shared" si="0"/>
        <v>0.000647898900370283</v>
      </c>
      <c r="J50" s="101">
        <f>$F$3+VLOOKUP($E50,武器奇术!$A:$R,12,FALSE)+VLOOKUP($E50,武器奇术!$A:$R,14,FALSE)*$G$3+$P50</f>
        <v>0.473</v>
      </c>
      <c r="K50" s="102">
        <f>VLOOKUP($E50,武器奇术!$A:$R,11,FALSE)</f>
        <v>1</v>
      </c>
      <c r="L50" s="117">
        <f>IF(VLOOKUP($E50,武器奇术!$A:$R,15,FALSE)="天工",0%,IF($C$17+VLOOKUP($E50,武器奇术!$A:$R,7,FALSE)&gt;80%,80%,$C$17+VLOOKUP($E50,武器奇术!$A:$R,7,FALSE))+IF($C$19&gt;20%,20%,$C$19))</f>
        <v>0.892</v>
      </c>
      <c r="M50" s="118">
        <f>IF(VLOOKUP($E50,武器奇术!$A:$R,15,FALSE)="天工",0%,IF($C$18+VLOOKUP($E50,武器奇术!$A:$R,9,FALSE)&gt;40%,40%,$C$18+VLOOKUP($E50,武器奇术!$A:$R,9,FALSE))+IF($C$20&gt;10%,10%,$C$20))</f>
        <v>0.0986</v>
      </c>
      <c r="N50" s="119">
        <f>IF(VLOOKUP($E50,武器奇术!$A:$R,15,FALSE)="天工",100%,MIN($C$16,1))</f>
        <v>0.9881</v>
      </c>
      <c r="O50" s="120" t="str">
        <f>VLOOKUP($E50,武器奇术!$A:$R,16,FALSE)</f>
        <v>拳甲</v>
      </c>
      <c r="P50" s="121">
        <f t="shared" si="32"/>
        <v>0.17</v>
      </c>
      <c r="Q50" s="108">
        <f>$B$5*(1+VLOOKUP($E50,武器奇术!$A:$R,5,FALSE)+IF($G$5="飞隼",0.1,0)+IF($G$5="撼天",0.05,0))-$F$9+IF($I$5="√",160,0)</f>
        <v>1731.135</v>
      </c>
      <c r="R50" s="99">
        <f>IF(VLOOKUP($E50,武器奇术!$A:$Z,20,FALSE)=1,(S50-(Q50+S50)*0.5)*($G$15-0.5)*2+(Q50+S50)*0.5,(Q50+S50)*0.5)</f>
        <v>3256.775</v>
      </c>
      <c r="S50" s="109">
        <f>MAX($C$5,$B$5)*(1+VLOOKUP($E50,武器奇术!$A:$R,5,FALSE)+IF($G$5="飞隼",0.1,0)+IF($G$5="撼天",0.05,0))-$F$9+IF($I$5="√",320,0)</f>
        <v>4782.415</v>
      </c>
      <c r="T50" s="101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U50" s="111">
        <f>$E$5+IF(VLOOKUP($E50,武器奇术!$A:$U,21,FALSE)=1,0,0.09)</f>
        <v>0.115</v>
      </c>
      <c r="V50" s="109">
        <v>1</v>
      </c>
      <c r="W50" s="112">
        <f>Q50*VLOOKUP($E50,武器奇术!$A:$R,2,FALSE)*(1+T50)*(1+U50)*V50</f>
        <v>763.069401196515</v>
      </c>
      <c r="X50" s="110">
        <f>(1-IF(VLOOKUP($E50,武器奇术!$A:$T,20,FALSE)=1,1,$N50))*(1-$M50)</f>
        <v>0.01072666</v>
      </c>
      <c r="Y50" s="112">
        <f>R50*VLOOKUP($E50,武器奇术!$A:$R,2,FALSE)*(1+T50)*(1+U50)*V50*(1+$E$16+VLOOKUP($E50,武器奇术!$A:$R,8,FALSE))</f>
        <v>2354.31573649318</v>
      </c>
      <c r="Z50" s="110">
        <f t="shared" si="33"/>
        <v>0.8813852</v>
      </c>
      <c r="AA50" s="112">
        <f>S50*VLOOKUP($E50,武器奇术!$A:$R,2,FALSE)*(1+T50)*(1+U50)*V50*(1+$E$17+VLOOKUP($E50,武器奇术!$A:$R,10,FALSE))</f>
        <v>2845.86392334299</v>
      </c>
      <c r="AB50" s="110">
        <f t="shared" si="34"/>
        <v>0.0986</v>
      </c>
      <c r="AC50" s="112">
        <f>R50*VLOOKUP($E50,武器奇术!$A:$R,2,FALSE)*(1+T50)*(1+U50)*V50</f>
        <v>1435.55837591048</v>
      </c>
      <c r="AD50" s="110">
        <f t="shared" si="1"/>
        <v>0.00928814000000003</v>
      </c>
      <c r="AE50" s="113">
        <f t="shared" si="2"/>
        <v>2377.18008231047</v>
      </c>
      <c r="AF50" s="114">
        <f>VLOOKUP($E50,武器奇术!$A:$R,3,FALSE)*(1+IF(VLOOKUP($E50,武器奇术!$A:$R,15,FALSE)="武器",$E$15,0))</f>
        <v>115.7</v>
      </c>
      <c r="AG50" s="112">
        <f t="shared" si="3"/>
        <v>115.7</v>
      </c>
      <c r="AH50" s="112">
        <f>VLOOKUP($E50,武器奇术!$A:$R,3,FALSE)*(1+IF(VLOOKUP($E50,武器奇术!$A:$R,15,FALSE)="武器",$E$15,0))</f>
        <v>115.7</v>
      </c>
      <c r="AI50" s="101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AJ50" s="111">
        <f>$E$5+IF(VLOOKUP($E50,武器奇术!$A:$U,21,FALSE)=1,0,0.09)</f>
        <v>0.115</v>
      </c>
      <c r="AK50" s="109">
        <v>1</v>
      </c>
      <c r="AL50" s="112">
        <f t="shared" si="35"/>
        <v>160.224831</v>
      </c>
      <c r="AM50" s="110">
        <f>(1-IF(VLOOKUP($E50,武器奇术!$A:$T,20,FALSE)=1,1,$N50))*(1-$M50)</f>
        <v>0.01072666</v>
      </c>
      <c r="AN50" s="112">
        <f>AG50*(1+AI50)*(1+AJ50)*AK50*(1+$E$16+VLOOKUP($E50,武器奇术!$A:$R,8,FALSE))</f>
        <v>262.76872284</v>
      </c>
      <c r="AO50" s="110">
        <f t="shared" si="4"/>
        <v>0.8813852</v>
      </c>
      <c r="AP50" s="112">
        <f>AH50*(1+AI50)*(1+AJ50)*AK50*(1+$E$17+VLOOKUP($E50,武器奇术!$A:$R,10,FALSE))</f>
        <v>216.30352185</v>
      </c>
      <c r="AQ50" s="110">
        <f t="shared" si="5"/>
        <v>0.0986</v>
      </c>
      <c r="AR50" s="112">
        <f t="shared" si="6"/>
        <v>160.224831</v>
      </c>
      <c r="AS50" s="110">
        <f t="shared" si="7"/>
        <v>0.00928814000000003</v>
      </c>
      <c r="AT50" s="113">
        <f t="shared" si="8"/>
        <v>256.134858535987</v>
      </c>
      <c r="AU50" s="108">
        <f>$B$7*IF($G$5="撼天",1.05,1)+IF(AND(VLOOKUP($E50,武器奇术!$A:$R,15,FALSE)="武器",VLOOKUP($E50,武器奇术!$A:$R,17,FALSE)="鸣金"),$E$3,0)*(1+$E$15)</f>
        <v>0</v>
      </c>
      <c r="AV50" s="99">
        <f>(AU50+AW50)*IF(VLOOKUP($E50,武器奇术!$A:$Z,21,FALSE)=1,$G$15,0.5)</f>
        <v>0</v>
      </c>
      <c r="AW50" s="109">
        <f>MAX($C$7*IF($G$5="撼天",1.05,1)+IF(AND(VLOOKUP($E50,武器奇术!$A:$R,15,FALSE)="武器",VLOOKUP($E50,武器奇术!$A:$R,17,FALSE)="鸣金"),$E$3*(1+$E$15),0),AU50)</f>
        <v>0</v>
      </c>
      <c r="AX50" s="110">
        <f>IF(($D$7+IF(VLOOKUP($E50,武器奇术!$A:$R,17,FALSE)="鸣金",$D$15,0)+IF(VLOOKUP($E50,武器奇术!$A:$R,18,FALSE)=1,4,0)+IF(VLOOKUP($E50,武器奇术!$A:$S,19,FALSE)=1,20,0)-VLOOKUP($F$7,目标属性!$A:$R,6,FALSE))&gt;0,($D$7+IF(VLOOKUP($E50,武器奇术!$A:$R,17,FALSE)="鸣金",$D$15,0)+IF(VLOOKUP($E50,武器奇术!$A:$R,18,FALSE)=1,4,0)+IF(VLOOKUP($E50,武器奇术!$A:$S,19,FALSE)=1,20,0)-VLOOKUP($F$7,目标属性!$A:$R,6,FALSE))/200,($D$7+IF(VLOOKUP($E50,武器奇术!$A:$R,17,FALSE)="鸣金",$D$15,0)+IF(VLOOKUP($E50,武器奇术!$A:$R,18,FALSE)=1,4,0)+IF(VLOOKUP($E50,武器奇术!$A:$S,19,FALSE)=1,20,0)-VLOOKUP($F$7,目标属性!$A:$R,6,FALSE))/100)</f>
        <v>-0.24</v>
      </c>
      <c r="AY50" s="111">
        <f t="shared" si="9"/>
        <v>0</v>
      </c>
      <c r="AZ50" s="109">
        <v>1</v>
      </c>
      <c r="BA50" s="112">
        <f>AU50*IF(VLOOKUP($E50,武器奇术!$A:$R,17,FALSE)="鸣金",VLOOKUP($E50,武器奇术!$A:$R,4,FALSE),VLOOKUP($E50,武器奇术!$A:$R,2,FALSE))*(1+AX50)*(1+AY50)*AZ50</f>
        <v>0</v>
      </c>
      <c r="BB50" s="110">
        <f>(1-IF(VLOOKUP($E50,武器奇术!$A:$T,20,FALSE)=1,1,$N50))*(1-$M50)</f>
        <v>0.01072666</v>
      </c>
      <c r="BC50" s="112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10">
        <f t="shared" si="10"/>
        <v>0.8813852</v>
      </c>
      <c r="BE50" s="112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10">
        <f t="shared" si="11"/>
        <v>0.0986</v>
      </c>
      <c r="BG50" s="112">
        <f>AV50*IF(VLOOKUP($E50,武器奇术!$A:$R,17,FALSE)="鸣金",VLOOKUP($E50,武器奇术!$A:$R,4,FALSE),VLOOKUP($E50,武器奇术!$A:$R,2,FALSE))*(1+AX50)*(1+AY50)*AZ50</f>
        <v>0</v>
      </c>
      <c r="BH50" s="110">
        <f t="shared" si="12"/>
        <v>0.00928814000000003</v>
      </c>
      <c r="BI50" s="113">
        <f t="shared" si="13"/>
        <v>0</v>
      </c>
      <c r="BJ50" s="108">
        <f>$B$9*IF($G$5="撼天",1.05,1)+IF(AND(VLOOKUP($E50,武器奇术!$A:$R,15,FALSE)="武器",VLOOKUP($E50,武器奇术!$A:$R,17,FALSE)="裂石"),$E$3,0)*(1+$E$15)</f>
        <v>0</v>
      </c>
      <c r="BK50" s="99">
        <f>(BJ50+BL50)*IF(VLOOKUP($E50,武器奇术!$A:$Z,21,FALSE)=1,$G$15,0.5)</f>
        <v>0</v>
      </c>
      <c r="BL50" s="109">
        <f>MAX($C$9*IF($G$5="撼天",1.05,1)+IF(AND(VLOOKUP($E50,武器奇术!$A:$R,15,FALSE)="武器",VLOOKUP($E50,武器奇术!$A:$R,17,FALSE)="裂石"),$E$3*(1+$E$15),0),BJ50)</f>
        <v>0</v>
      </c>
      <c r="BM50" s="110">
        <f>IF(($D$9+IF(VLOOKUP($E50,武器奇术!$A:$R,17,FALSE)="裂石",$D$15,0)+IF(VLOOKUP($E50,武器奇术!$A:$R,18,FALSE)=1,4,0)+IF(VLOOKUP($E50,武器奇术!$A:$S,19,FALSE)=1,20,0)-VLOOKUP($F$7,目标属性!$A:$R,6,FALSE))&gt;0,($D$9+IF(VLOOKUP($E50,武器奇术!$A:$R,17,FALSE)="裂石",$D$15,0)+IF(VLOOKUP($E50,武器奇术!$A:$R,18,FALSE)=1,4,0)+IF(VLOOKUP($E50,武器奇术!$A:$S,19,FALSE)=1,20,0)-VLOOKUP($F$7,目标属性!$A:$R,6,FALSE))/200,($D$9+IF(VLOOKUP($E50,武器奇术!$A:$R,17,FALSE)="裂石",$D$15,0)+IF(VLOOKUP($E50,武器奇术!$A:$R,18,FALSE)=1,4,0)+IF(VLOOKUP($E50,武器奇术!$A:$S,19,FALSE)=1,20,0)-VLOOKUP($F$7,目标属性!$A:$R,6,FALSE))/100)</f>
        <v>-0.24</v>
      </c>
      <c r="BN50" s="111">
        <f t="shared" si="14"/>
        <v>0</v>
      </c>
      <c r="BO50" s="109">
        <v>1</v>
      </c>
      <c r="BP50" s="112">
        <f>BJ50*IF(VLOOKUP($E50,武器奇术!$A:$R,17,FALSE)="裂石",VLOOKUP($E50,武器奇术!$A:$R,4,FALSE),VLOOKUP($E50,武器奇术!$A:$R,2,FALSE))*(1+BM50)*(1+BN50)*BO50</f>
        <v>0</v>
      </c>
      <c r="BQ50" s="110">
        <f>(1-IF(VLOOKUP($E50,武器奇术!$A:$T,20,FALSE)=1,1,$N50))*(1-$M50)</f>
        <v>0.01072666</v>
      </c>
      <c r="BR50" s="112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10">
        <f t="shared" si="15"/>
        <v>0.8813852</v>
      </c>
      <c r="BT50" s="112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10">
        <f t="shared" si="16"/>
        <v>0.0986</v>
      </c>
      <c r="BV50" s="112">
        <f>BK50*IF(VLOOKUP($E50,武器奇术!$A:$R,17,FALSE)="裂石",VLOOKUP($E50,武器奇术!$A:$R,4,FALSE),VLOOKUP($E50,武器奇术!$A:$R,2,FALSE))*(1+BM50)*(1+BN50)*BO50</f>
        <v>0</v>
      </c>
      <c r="BW50" s="110">
        <f t="shared" si="17"/>
        <v>0.00928814000000003</v>
      </c>
      <c r="BX50" s="113">
        <f t="shared" si="18"/>
        <v>0</v>
      </c>
      <c r="BY50" s="108">
        <f>$B$11*IF($G$5="撼天",1.05,1)+IF(AND(VLOOKUP($E50,武器奇术!$A:$R,15,FALSE)="武器",VLOOKUP($E50,武器奇术!$A:$R,17,FALSE)="牵丝"),$E$3,0)*(1+$E$15)</f>
        <v>0</v>
      </c>
      <c r="BZ50" s="99">
        <f>(BY50+CA50)*IF(VLOOKUP($E50,武器奇术!$A:$Z,21,FALSE)=1,$G$15,0.5)</f>
        <v>0</v>
      </c>
      <c r="CA50" s="109">
        <f>MAX($C$11*IF($G$5="撼天",1.05,1)+IF(AND(VLOOKUP($E50,武器奇术!$A:$R,15,FALSE)="武器",VLOOKUP($E50,武器奇术!$A:$R,17,FALSE)="牵丝"),$E$3*(1+$E$15),0),BY50)</f>
        <v>0</v>
      </c>
      <c r="CB50" s="110">
        <f>IF(($D$11+IF(VLOOKUP($E50,武器奇术!$A:$R,17,FALSE)="牵丝",$D$15,0)+IF(VLOOKUP($E50,武器奇术!$A:$R,18,FALSE)=1,4,0)+IF(VLOOKUP($E50,武器奇术!$A:$S,19,FALSE)=1,20,0)-VLOOKUP($F$7,目标属性!$A:$R,6,FALSE))&gt;0,($D$11+IF(VLOOKUP($E50,武器奇术!$A:$R,17,FALSE)="牵丝",$D$15,0)+IF(VLOOKUP($E50,武器奇术!$A:$R,18,FALSE)=1,4,0)+IF(VLOOKUP($E50,武器奇术!$A:$S,19,FALSE)=1,20,0)-VLOOKUP($F$7,目标属性!$A:$R,6,FALSE))/200,($D$11+IF(VLOOKUP($E50,武器奇术!$A:$R,17,FALSE)="牵丝",$D$15,0)+IF(VLOOKUP($E50,武器奇术!$A:$R,18,FALSE)=1,4,0)+IF(VLOOKUP($E50,武器奇术!$A:$S,19,FALSE)=1,20,0)-VLOOKUP($F$7,目标属性!$A:$R,6,FALSE))/100)</f>
        <v>-0.24</v>
      </c>
      <c r="CC50" s="111">
        <f t="shared" si="19"/>
        <v>0</v>
      </c>
      <c r="CD50" s="109">
        <v>1</v>
      </c>
      <c r="CE50" s="112">
        <f>BY50*IF(VLOOKUP($E50,武器奇术!$A:$R,17,FALSE)="牵丝",VLOOKUP($E50,武器奇术!$A:$R,4,FALSE),VLOOKUP($E50,武器奇术!$A:$R,2,FALSE))*(1+CB50)*(1+CC50)*CD50</f>
        <v>0</v>
      </c>
      <c r="CF50" s="110">
        <f>(1-IF(VLOOKUP($E50,武器奇术!$A:$T,20,FALSE)=1,1,$N50))*(1-$M50)</f>
        <v>0.01072666</v>
      </c>
      <c r="CG50" s="112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110">
        <f t="shared" si="20"/>
        <v>0.8813852</v>
      </c>
      <c r="CI50" s="112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110">
        <f t="shared" si="21"/>
        <v>0.0986</v>
      </c>
      <c r="CK50" s="112">
        <f>BZ50*IF(VLOOKUP($E50,武器奇术!$A:$R,17,FALSE)="牵丝",VLOOKUP($E50,武器奇术!$A:$R,4,FALSE),VLOOKUP($E50,武器奇术!$A:$R,2,FALSE))*(1+CB50)*(1+CC50)*CD50</f>
        <v>0</v>
      </c>
      <c r="CL50" s="110">
        <f t="shared" si="22"/>
        <v>0.00928814000000003</v>
      </c>
      <c r="CM50" s="113">
        <f t="shared" si="23"/>
        <v>0</v>
      </c>
      <c r="CN50" s="108">
        <f>$B$13*IF($G$5="撼天",1.05,1)+IF(AND(VLOOKUP($E50,武器奇术!$A:$R,15,FALSE)="武器",VLOOKUP($E50,武器奇术!$A:$R,17,FALSE)="破竹"),$E$3,0)*(1+$E$15)</f>
        <v>648.46</v>
      </c>
      <c r="CO50" s="99">
        <f>IF(VLOOKUP($E50,武器奇术!$A:$Z,20,FALSE)=1,(CP50-(CN50+CP50)*0.5)*($G$15-0.5)*2+(CN50+CP50)*0.5,(CN50+CP50)*0.5)</f>
        <v>875.26</v>
      </c>
      <c r="CP50" s="109">
        <f>MAX($C$13*IF($G$5="撼天",1.05,1)+IF(AND(VLOOKUP($E50,武器奇术!$A:$R,15,FALSE)="武器",VLOOKUP($E50,武器奇术!$A:$R,17,FALSE)="破竹"),$E$3*(1+$E$15),0),CN50)</f>
        <v>1102.06</v>
      </c>
      <c r="CQ50" s="110">
        <f>IF(($D$13+IF(VLOOKUP($E50,武器奇术!$A:$R,17,FALSE)="破竹",$D$15,0)+IF(VLOOKUP($E50,武器奇术!$A:$R,18,FALSE)=1,4,0)+IF(VLOOKUP($E50,武器奇术!$A:$S,19,FALSE)=1,20,0)-VLOOKUP($F$7,目标属性!$A:$R,6,FALSE))&gt;0,($D$13+IF(VLOOKUP($E50,武器奇术!$A:$R,17,FALSE)="破竹",$D$15,0)+IF(VLOOKUP($E50,武器奇术!$A:$R,18,FALSE)=1,4,0)+IF(VLOOKUP($E50,武器奇术!$A:$S,19,FALSE)=1,20,0)-VLOOKUP($F$7,目标属性!$A:$R,6,FALSE))/200,($D$13+IF(VLOOKUP($E50,武器奇术!$A:$R,17,FALSE)="破竹",$D$15,0)+IF(VLOOKUP($E50,武器奇术!$A:$R,18,FALSE)=1,4,0)+IF(VLOOKUP($E50,武器奇术!$A:$S,19,FALSE)=1,20,0)-VLOOKUP($F$7,目标属性!$A:$R,6,FALSE))/100)</f>
        <v>0.025</v>
      </c>
      <c r="CR50" s="111">
        <f>$E$13+IF(VLOOKUP($E50,武器奇术!$A:$U,21,FALSE)=1,0,0.09)</f>
        <v>0.235</v>
      </c>
      <c r="CS50" s="109">
        <v>1</v>
      </c>
      <c r="CT50" s="112">
        <f>CN50*IF(VLOOKUP($E50,武器奇术!$A:$R,17,FALSE)="破竹",VLOOKUP($E50,武器奇术!$A:$R,4,FALSE),VLOOKUP($E50,武器奇术!$A:$R,2,FALSE))*(1+CQ50)*(1+CR50)*CS50</f>
        <v>391.8830050135</v>
      </c>
      <c r="CU50" s="110">
        <f>(1-IF(VLOOKUP($E50,武器奇术!$A:$T,20,FALSE)=1,1,$N50))*(1-$M50)</f>
        <v>0.01072666</v>
      </c>
      <c r="CV50" s="112">
        <f>CO50*IF(VLOOKUP($E50,武器奇术!$A:$R,17,FALSE)="破竹",VLOOKUP($E50,武器奇术!$A:$R,4,FALSE),VLOOKUP($E50,武器奇术!$A:$R,2,FALSE))*(1+CQ50)*(1+CR50)*CS50*(1+$E$16+VLOOKUP($E50,武器奇术!$A:$R,8,FALSE))</f>
        <v>867.46940614334</v>
      </c>
      <c r="CW50" s="110">
        <f t="shared" si="24"/>
        <v>0.8813852</v>
      </c>
      <c r="CX50" s="112">
        <f>CP50*IF(VLOOKUP($E50,武器奇术!$A:$R,17,FALSE)="破竹",VLOOKUP($E50,武器奇术!$A:$R,4,FALSE),VLOOKUP($E50,武器奇术!$A:$R,2,FALSE))*(1+CQ50)*(1+CR50)*CS50*(1+$E$17+VLOOKUP($E50,武器奇术!$A:$R,10,FALSE))</f>
        <v>899.108794809225</v>
      </c>
      <c r="CY50" s="110">
        <f t="shared" si="25"/>
        <v>0.0986</v>
      </c>
      <c r="CZ50" s="112">
        <f>CO50*IF(VLOOKUP($E50,武器奇术!$A:$R,17,FALSE)="破竹",VLOOKUP($E50,武器奇术!$A:$R,4,FALSE),VLOOKUP($E50,武器奇术!$A:$R,2,FALSE))*(1+CQ50)*(1+CR50)*CS50</f>
        <v>528.9447598435</v>
      </c>
      <c r="DA50" s="110">
        <f t="shared" si="26"/>
        <v>0.00928814000000003</v>
      </c>
      <c r="DB50" s="113">
        <f t="shared" si="27"/>
        <v>862.343331931969</v>
      </c>
      <c r="DC50" s="108">
        <f t="shared" si="36"/>
        <v>69.3</v>
      </c>
      <c r="DD50" s="99">
        <f>(DC50+DE50)*IF(VLOOKUP($E50,武器奇术!$A:$Z,21,FALSE)=1,$G$15,0.5)</f>
        <v>69.3</v>
      </c>
      <c r="DE50" s="109">
        <f t="shared" si="37"/>
        <v>69.3</v>
      </c>
      <c r="DF50" s="110">
        <f>IF(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100)</f>
        <v>0.025</v>
      </c>
      <c r="DG50" s="111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U,21,FALSE)=1,0,0.09)</f>
        <v>0.235</v>
      </c>
      <c r="DH50" s="109">
        <v>1</v>
      </c>
      <c r="DI50" s="112">
        <f>DC50*IF(VLOOKUP($E50,武器奇术!$A:$R,17,FALSE)="破竹",VLOOKUP($E50,武器奇术!$A:$R,4,FALSE),VLOOKUP($E50,武器奇术!$A:$R,2,FALSE))*(1+DF50)*(1+DG50)*DH50</f>
        <v>41.8799806425</v>
      </c>
      <c r="DJ50" s="110">
        <f>(1-IF(VLOOKUP($E50,武器奇术!$A:$T,20,FALSE)=1,1,$N50))*(1-$M50)</f>
        <v>0.01072666</v>
      </c>
      <c r="DK50" s="112">
        <f>DD50*IF(VLOOKUP($E50,武器奇术!$A:$R,17,FALSE)="破竹",VLOOKUP($E50,武器奇术!$A:$R,4,FALSE),VLOOKUP($E50,武器奇术!$A:$R,2,FALSE))*(1+DF50)*(1+DG50)*DH50*(1+$E$16+VLOOKUP($E50,武器奇术!$A:$R,8,FALSE))</f>
        <v>68.6831682537</v>
      </c>
      <c r="DL50" s="110">
        <f t="shared" si="28"/>
        <v>0.8813852</v>
      </c>
      <c r="DM50" s="112">
        <f>DE50*IF(VLOOKUP($E50,武器奇术!$A:$R,17,FALSE)="破竹",VLOOKUP($E50,武器奇术!$A:$R,4,FALSE),VLOOKUP($E50,武器奇术!$A:$R,2,FALSE))*(1+DF50)*(1+DG50)*DH50*(1+$E$17+VLOOKUP($E50,武器奇术!$A:$R,10,FALSE))</f>
        <v>56.537973867375</v>
      </c>
      <c r="DN50" s="110">
        <f t="shared" si="29"/>
        <v>0.0986</v>
      </c>
      <c r="DO50" s="112">
        <f>DD50*IF(VLOOKUP($E50,武器奇术!$A:$R,17,FALSE)="破竹",VLOOKUP($E50,武器奇术!$A:$R,4,FALSE),VLOOKUP($E50,武器奇术!$A:$R,2,FALSE))*(1+DF50)*(1+DG50)*DH50</f>
        <v>41.8799806425</v>
      </c>
      <c r="DP50" s="110">
        <f t="shared" si="30"/>
        <v>0.00928814000000003</v>
      </c>
      <c r="DQ50" s="113">
        <f t="shared" si="31"/>
        <v>66.9491916478077</v>
      </c>
    </row>
    <row r="51" customFormat="1" spans="1:121">
      <c r="B51" s="122"/>
      <c r="C51" s="143"/>
      <c r="D51" s="144"/>
      <c r="E51" s="98" t="s">
        <v>134</v>
      </c>
      <c r="F51" s="99">
        <v>1</v>
      </c>
      <c r="G51" s="115"/>
      <c r="H51" s="100">
        <f>IF(VLOOKUP($E51,武器奇术!$A:$R,18,FALSE)="天工",AE51,(AE51+AT51+BI51+BX51+CM51+DB51+DQ51))*(1+J51)*F51*K51*(1+G51)</f>
        <v>21219.9948410753</v>
      </c>
      <c r="I51" s="101">
        <f t="shared" si="0"/>
        <v>0.0026198823947024</v>
      </c>
      <c r="J51" s="101">
        <f>$F$3+VLOOKUP($E51,武器奇术!$A:$R,12,FALSE)+VLOOKUP($E51,武器奇术!$A:$R,14,FALSE)*$G$3+$P51</f>
        <v>0.473</v>
      </c>
      <c r="K51" s="102">
        <f>VLOOKUP($E51,武器奇术!$A:$R,11,FALSE)</f>
        <v>1</v>
      </c>
      <c r="L51" s="117">
        <f>IF(VLOOKUP($E51,武器奇术!$A:$R,15,FALSE)="天工",0%,IF($C$17+VLOOKUP($E51,武器奇术!$A:$R,7,FALSE)&gt;80%,80%,$C$17+VLOOKUP($E51,武器奇术!$A:$R,7,FALSE))+IF($C$19&gt;20%,20%,$C$19))</f>
        <v>0.892</v>
      </c>
      <c r="M51" s="118">
        <f>IF(VLOOKUP($E51,武器奇术!$A:$R,15,FALSE)="天工",0%,IF($C$18+VLOOKUP($E51,武器奇术!$A:$R,9,FALSE)&gt;40%,40%,$C$18+VLOOKUP($E51,武器奇术!$A:$R,9,FALSE))+IF($C$20&gt;10%,10%,$C$20))</f>
        <v>0.0986</v>
      </c>
      <c r="N51" s="119">
        <f>IF(VLOOKUP($E51,武器奇术!$A:$R,15,FALSE)="天工",100%,MIN($C$16,1))</f>
        <v>0.9881</v>
      </c>
      <c r="O51" s="120" t="str">
        <f>VLOOKUP($E51,武器奇术!$A:$R,16,FALSE)</f>
        <v>拳甲</v>
      </c>
      <c r="P51" s="121">
        <f t="shared" si="32"/>
        <v>0.17</v>
      </c>
      <c r="Q51" s="108">
        <f>$B$5*(1+VLOOKUP($E51,武器奇术!$A:$R,5,FALSE)+IF($G$5="飞隼",0.1,0)+IF($G$5="撼天",0.05,0))-$F$9+IF($I$5="√",160,0)</f>
        <v>1731.135</v>
      </c>
      <c r="R51" s="99">
        <f>IF(VLOOKUP($E51,武器奇术!$A:$Z,20,FALSE)=1,(S51-(Q51+S51)*0.5)*($G$15-0.5)*2+(Q51+S51)*0.5,(Q51+S51)*0.5)</f>
        <v>3256.775</v>
      </c>
      <c r="S51" s="109">
        <f>MAX($C$5,$B$5)*(1+VLOOKUP($E51,武器奇术!$A:$R,5,FALSE)+IF($G$5="飞隼",0.1,0)+IF($G$5="撼天",0.05,0))-$F$9+IF($I$5="√",320,0)</f>
        <v>4782.415</v>
      </c>
      <c r="T51" s="101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U51" s="111">
        <f>$E$5+IF(VLOOKUP($E51,武器奇术!$A:$U,21,FALSE)=1,0,0.09)</f>
        <v>0.115</v>
      </c>
      <c r="V51" s="109">
        <v>1</v>
      </c>
      <c r="W51" s="112">
        <f>Q51*VLOOKUP($E51,武器奇术!$A:$R,2,FALSE)*(1+T51)*(1+U51)*V51</f>
        <v>3086.79912340758</v>
      </c>
      <c r="X51" s="110">
        <f>(1-IF(VLOOKUP($E51,武器奇术!$A:$T,20,FALSE)=1,1,$N51))*(1-$M51)</f>
        <v>0.01072666</v>
      </c>
      <c r="Y51" s="112">
        <f>R51*VLOOKUP($E51,武器奇术!$A:$R,2,FALSE)*(1+T51)*(1+U51)*V51*(1+$E$16+VLOOKUP($E51,武器奇术!$A:$R,8,FALSE))</f>
        <v>9523.77298871699</v>
      </c>
      <c r="Z51" s="110">
        <f t="shared" si="33"/>
        <v>0.8813852</v>
      </c>
      <c r="AA51" s="112">
        <f>S51*VLOOKUP($E51,武器奇术!$A:$R,2,FALSE)*(1+T51)*(1+U51)*V51*(1+$E$17+VLOOKUP($E51,武器奇术!$A:$R,10,FALSE))</f>
        <v>11512.2035428729</v>
      </c>
      <c r="AB51" s="110">
        <f t="shared" si="34"/>
        <v>0.0986</v>
      </c>
      <c r="AC51" s="112">
        <f>R51*VLOOKUP($E51,武器奇术!$A:$R,2,FALSE)*(1+T51)*(1+U51)*V51</f>
        <v>5807.1786516567</v>
      </c>
      <c r="AD51" s="110">
        <f t="shared" si="1"/>
        <v>0.00928814000000003</v>
      </c>
      <c r="AE51" s="113">
        <f t="shared" si="2"/>
        <v>9616.26476274887</v>
      </c>
      <c r="AF51" s="114">
        <f>VLOOKUP($E51,武器奇术!$A:$R,3,FALSE)*(1+IF(VLOOKUP($E51,武器奇术!$A:$R,15,FALSE)="武器",$E$15,0))</f>
        <v>465.4</v>
      </c>
      <c r="AG51" s="112">
        <f t="shared" si="3"/>
        <v>465.4</v>
      </c>
      <c r="AH51" s="112">
        <f>VLOOKUP($E51,武器奇术!$A:$R,3,FALSE)*(1+IF(VLOOKUP($E51,武器奇术!$A:$R,15,FALSE)="武器",$E$15,0))</f>
        <v>465.4</v>
      </c>
      <c r="AI51" s="101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AJ51" s="111">
        <f>$E$5+IF(VLOOKUP($E51,武器奇术!$A:$U,21,FALSE)=1,0,0.09)</f>
        <v>0.115</v>
      </c>
      <c r="AK51" s="109">
        <v>1</v>
      </c>
      <c r="AL51" s="112">
        <f t="shared" si="35"/>
        <v>644.499882</v>
      </c>
      <c r="AM51" s="110">
        <f>(1-IF(VLOOKUP($E51,武器奇术!$A:$T,20,FALSE)=1,1,$N51))*(1-$M51)</f>
        <v>0.01072666</v>
      </c>
      <c r="AN51" s="112">
        <f>AG51*(1+AI51)*(1+AJ51)*AK51*(1+$E$16+VLOOKUP($E51,武器奇术!$A:$R,8,FALSE))</f>
        <v>1056.97980648</v>
      </c>
      <c r="AO51" s="110">
        <f t="shared" si="4"/>
        <v>0.8813852</v>
      </c>
      <c r="AP51" s="112">
        <f>AH51*(1+AI51)*(1+AJ51)*AK51*(1+$E$17+VLOOKUP($E51,武器奇术!$A:$R,10,FALSE))</f>
        <v>870.0748407</v>
      </c>
      <c r="AQ51" s="110">
        <f t="shared" si="5"/>
        <v>0.0986</v>
      </c>
      <c r="AR51" s="112">
        <f t="shared" si="6"/>
        <v>644.499882</v>
      </c>
      <c r="AS51" s="110">
        <f t="shared" si="7"/>
        <v>0.00928814000000003</v>
      </c>
      <c r="AT51" s="113">
        <f t="shared" si="8"/>
        <v>1030.29527366161</v>
      </c>
      <c r="AU51" s="108">
        <f>$B$7*IF($G$5="撼天",1.05,1)+IF(AND(VLOOKUP($E51,武器奇术!$A:$R,15,FALSE)="武器",VLOOKUP($E51,武器奇术!$A:$R,17,FALSE)="鸣金"),$E$3,0)*(1+$E$15)</f>
        <v>0</v>
      </c>
      <c r="AV51" s="99">
        <f>(AU51+AW51)*IF(VLOOKUP($E51,武器奇术!$A:$Z,21,FALSE)=1,$G$15,0.5)</f>
        <v>0</v>
      </c>
      <c r="AW51" s="109">
        <f>MAX($C$7*IF($G$5="撼天",1.05,1)+IF(AND(VLOOKUP($E51,武器奇术!$A:$R,15,FALSE)="武器",VLOOKUP($E51,武器奇术!$A:$R,17,FALSE)="鸣金"),$E$3*(1+$E$15),0),AU51)</f>
        <v>0</v>
      </c>
      <c r="AX51" s="110">
        <f>IF(($D$7+IF(VLOOKUP($E51,武器奇术!$A:$R,17,FALSE)="鸣金",$D$15,0)+IF(VLOOKUP($E51,武器奇术!$A:$R,18,FALSE)=1,4,0)+IF(VLOOKUP($E51,武器奇术!$A:$S,19,FALSE)=1,20,0)-VLOOKUP($F$7,目标属性!$A:$R,6,FALSE))&gt;0,($D$7+IF(VLOOKUP($E51,武器奇术!$A:$R,17,FALSE)="鸣金",$D$15,0)+IF(VLOOKUP($E51,武器奇术!$A:$R,18,FALSE)=1,4,0)+IF(VLOOKUP($E51,武器奇术!$A:$S,19,FALSE)=1,20,0)-VLOOKUP($F$7,目标属性!$A:$R,6,FALSE))/200,($D$7+IF(VLOOKUP($E51,武器奇术!$A:$R,17,FALSE)="鸣金",$D$15,0)+IF(VLOOKUP($E51,武器奇术!$A:$R,18,FALSE)=1,4,0)+IF(VLOOKUP($E51,武器奇术!$A:$S,19,FALSE)=1,20,0)-VLOOKUP($F$7,目标属性!$A:$R,6,FALSE))/100)</f>
        <v>-0.24</v>
      </c>
      <c r="AY51" s="111">
        <f t="shared" si="9"/>
        <v>0</v>
      </c>
      <c r="AZ51" s="109">
        <v>1</v>
      </c>
      <c r="BA51" s="112">
        <f>AU51*IF(VLOOKUP($E51,武器奇术!$A:$R,17,FALSE)="鸣金",VLOOKUP($E51,武器奇术!$A:$R,4,FALSE),VLOOKUP($E51,武器奇术!$A:$R,2,FALSE))*(1+AX51)*(1+AY51)*AZ51</f>
        <v>0</v>
      </c>
      <c r="BB51" s="110">
        <f>(1-IF(VLOOKUP($E51,武器奇术!$A:$T,20,FALSE)=1,1,$N51))*(1-$M51)</f>
        <v>0.01072666</v>
      </c>
      <c r="BC51" s="112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10">
        <f t="shared" si="10"/>
        <v>0.8813852</v>
      </c>
      <c r="BE51" s="112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10">
        <f t="shared" si="11"/>
        <v>0.0986</v>
      </c>
      <c r="BG51" s="112">
        <f>AV51*IF(VLOOKUP($E51,武器奇术!$A:$R,17,FALSE)="鸣金",VLOOKUP($E51,武器奇术!$A:$R,4,FALSE),VLOOKUP($E51,武器奇术!$A:$R,2,FALSE))*(1+AX51)*(1+AY51)*AZ51</f>
        <v>0</v>
      </c>
      <c r="BH51" s="110">
        <f t="shared" si="12"/>
        <v>0.00928814000000003</v>
      </c>
      <c r="BI51" s="113">
        <f t="shared" si="13"/>
        <v>0</v>
      </c>
      <c r="BJ51" s="108">
        <f>$B$9*IF($G$5="撼天",1.05,1)+IF(AND(VLOOKUP($E51,武器奇术!$A:$R,15,FALSE)="武器",VLOOKUP($E51,武器奇术!$A:$R,17,FALSE)="裂石"),$E$3,0)*(1+$E$15)</f>
        <v>0</v>
      </c>
      <c r="BK51" s="99">
        <f>(BJ51+BL51)*IF(VLOOKUP($E51,武器奇术!$A:$Z,21,FALSE)=1,$G$15,0.5)</f>
        <v>0</v>
      </c>
      <c r="BL51" s="109">
        <f>MAX($C$9*IF($G$5="撼天",1.05,1)+IF(AND(VLOOKUP($E51,武器奇术!$A:$R,15,FALSE)="武器",VLOOKUP($E51,武器奇术!$A:$R,17,FALSE)="裂石"),$E$3*(1+$E$15),0),BJ51)</f>
        <v>0</v>
      </c>
      <c r="BM51" s="110">
        <f>IF(($D$9+IF(VLOOKUP($E51,武器奇术!$A:$R,17,FALSE)="裂石",$D$15,0)+IF(VLOOKUP($E51,武器奇术!$A:$R,18,FALSE)=1,4,0)+IF(VLOOKUP($E51,武器奇术!$A:$S,19,FALSE)=1,20,0)-VLOOKUP($F$7,目标属性!$A:$R,6,FALSE))&gt;0,($D$9+IF(VLOOKUP($E51,武器奇术!$A:$R,17,FALSE)="裂石",$D$15,0)+IF(VLOOKUP($E51,武器奇术!$A:$R,18,FALSE)=1,4,0)+IF(VLOOKUP($E51,武器奇术!$A:$S,19,FALSE)=1,20,0)-VLOOKUP($F$7,目标属性!$A:$R,6,FALSE))/200,($D$9+IF(VLOOKUP($E51,武器奇术!$A:$R,17,FALSE)="裂石",$D$15,0)+IF(VLOOKUP($E51,武器奇术!$A:$R,18,FALSE)=1,4,0)+IF(VLOOKUP($E51,武器奇术!$A:$S,19,FALSE)=1,20,0)-VLOOKUP($F$7,目标属性!$A:$R,6,FALSE))/100)</f>
        <v>-0.24</v>
      </c>
      <c r="BN51" s="111">
        <f t="shared" si="14"/>
        <v>0</v>
      </c>
      <c r="BO51" s="109">
        <v>1</v>
      </c>
      <c r="BP51" s="112">
        <f>BJ51*IF(VLOOKUP($E51,武器奇术!$A:$R,17,FALSE)="裂石",VLOOKUP($E51,武器奇术!$A:$R,4,FALSE),VLOOKUP($E51,武器奇术!$A:$R,2,FALSE))*(1+BM51)*(1+BN51)*BO51</f>
        <v>0</v>
      </c>
      <c r="BQ51" s="110">
        <f>(1-IF(VLOOKUP($E51,武器奇术!$A:$T,20,FALSE)=1,1,$N51))*(1-$M51)</f>
        <v>0.01072666</v>
      </c>
      <c r="BR51" s="112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10">
        <f t="shared" si="15"/>
        <v>0.8813852</v>
      </c>
      <c r="BT51" s="112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10">
        <f t="shared" si="16"/>
        <v>0.0986</v>
      </c>
      <c r="BV51" s="112">
        <f>BK51*IF(VLOOKUP($E51,武器奇术!$A:$R,17,FALSE)="裂石",VLOOKUP($E51,武器奇术!$A:$R,4,FALSE),VLOOKUP($E51,武器奇术!$A:$R,2,FALSE))*(1+BM51)*(1+BN51)*BO51</f>
        <v>0</v>
      </c>
      <c r="BW51" s="110">
        <f t="shared" si="17"/>
        <v>0.00928814000000003</v>
      </c>
      <c r="BX51" s="113">
        <f t="shared" si="18"/>
        <v>0</v>
      </c>
      <c r="BY51" s="108">
        <f>$B$11*IF($G$5="撼天",1.05,1)+IF(AND(VLOOKUP($E51,武器奇术!$A:$R,15,FALSE)="武器",VLOOKUP($E51,武器奇术!$A:$R,17,FALSE)="牵丝"),$E$3,0)*(1+$E$15)</f>
        <v>0</v>
      </c>
      <c r="BZ51" s="99">
        <f>(BY51+CA51)*IF(VLOOKUP($E51,武器奇术!$A:$Z,21,FALSE)=1,$G$15,0.5)</f>
        <v>0</v>
      </c>
      <c r="CA51" s="109">
        <f>MAX($C$11*IF($G$5="撼天",1.05,1)+IF(AND(VLOOKUP($E51,武器奇术!$A:$R,15,FALSE)="武器",VLOOKUP($E51,武器奇术!$A:$R,17,FALSE)="牵丝"),$E$3*(1+$E$15),0),BY51)</f>
        <v>0</v>
      </c>
      <c r="CB51" s="110">
        <f>IF(($D$11+IF(VLOOKUP($E51,武器奇术!$A:$R,17,FALSE)="牵丝",$D$15,0)+IF(VLOOKUP($E51,武器奇术!$A:$R,18,FALSE)=1,4,0)+IF(VLOOKUP($E51,武器奇术!$A:$S,19,FALSE)=1,20,0)-VLOOKUP($F$7,目标属性!$A:$R,6,FALSE))&gt;0,($D$11+IF(VLOOKUP($E51,武器奇术!$A:$R,17,FALSE)="牵丝",$D$15,0)+IF(VLOOKUP($E51,武器奇术!$A:$R,18,FALSE)=1,4,0)+IF(VLOOKUP($E51,武器奇术!$A:$S,19,FALSE)=1,20,0)-VLOOKUP($F$7,目标属性!$A:$R,6,FALSE))/200,($D$11+IF(VLOOKUP($E51,武器奇术!$A:$R,17,FALSE)="牵丝",$D$15,0)+IF(VLOOKUP($E51,武器奇术!$A:$R,18,FALSE)=1,4,0)+IF(VLOOKUP($E51,武器奇术!$A:$S,19,FALSE)=1,20,0)-VLOOKUP($F$7,目标属性!$A:$R,6,FALSE))/100)</f>
        <v>-0.24</v>
      </c>
      <c r="CC51" s="111">
        <f t="shared" si="19"/>
        <v>0</v>
      </c>
      <c r="CD51" s="109">
        <v>1</v>
      </c>
      <c r="CE51" s="112">
        <f>BY51*IF(VLOOKUP($E51,武器奇术!$A:$R,17,FALSE)="牵丝",VLOOKUP($E51,武器奇术!$A:$R,4,FALSE),VLOOKUP($E51,武器奇术!$A:$R,2,FALSE))*(1+CB51)*(1+CC51)*CD51</f>
        <v>0</v>
      </c>
      <c r="CF51" s="110">
        <f>(1-IF(VLOOKUP($E51,武器奇术!$A:$T,20,FALSE)=1,1,$N51))*(1-$M51)</f>
        <v>0.01072666</v>
      </c>
      <c r="CG51" s="112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110">
        <f t="shared" si="20"/>
        <v>0.8813852</v>
      </c>
      <c r="CI51" s="112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110">
        <f t="shared" si="21"/>
        <v>0.0986</v>
      </c>
      <c r="CK51" s="112">
        <f>BZ51*IF(VLOOKUP($E51,武器奇术!$A:$R,17,FALSE)="牵丝",VLOOKUP($E51,武器奇术!$A:$R,4,FALSE),VLOOKUP($E51,武器奇术!$A:$R,2,FALSE))*(1+CB51)*(1+CC51)*CD51</f>
        <v>0</v>
      </c>
      <c r="CL51" s="110">
        <f t="shared" si="22"/>
        <v>0.00928814000000003</v>
      </c>
      <c r="CM51" s="113">
        <f t="shared" si="23"/>
        <v>0</v>
      </c>
      <c r="CN51" s="108">
        <f>$B$13*IF($G$5="撼天",1.05,1)+IF(AND(VLOOKUP($E51,武器奇术!$A:$R,15,FALSE)="武器",VLOOKUP($E51,武器奇术!$A:$R,17,FALSE)="破竹"),$E$3,0)*(1+$E$15)</f>
        <v>648.46</v>
      </c>
      <c r="CO51" s="99">
        <f>IF(VLOOKUP($E51,武器奇术!$A:$Z,20,FALSE)=1,(CP51-(CN51+CP51)*0.5)*($G$15-0.5)*2+(CN51+CP51)*0.5,(CN51+CP51)*0.5)</f>
        <v>875.26</v>
      </c>
      <c r="CP51" s="109">
        <f>MAX($C$13*IF($G$5="撼天",1.05,1)+IF(AND(VLOOKUP($E51,武器奇术!$A:$R,15,FALSE)="武器",VLOOKUP($E51,武器奇术!$A:$R,17,FALSE)="破竹"),$E$3*(1+$E$15),0),CN51)</f>
        <v>1102.06</v>
      </c>
      <c r="CQ51" s="110">
        <f>IF(($D$13+IF(VLOOKUP($E51,武器奇术!$A:$R,17,FALSE)="破竹",$D$15,0)+IF(VLOOKUP($E51,武器奇术!$A:$R,18,FALSE)=1,4,0)+IF(VLOOKUP($E51,武器奇术!$A:$S,19,FALSE)=1,20,0)-VLOOKUP($F$7,目标属性!$A:$R,6,FALSE))&gt;0,($D$13+IF(VLOOKUP($E51,武器奇术!$A:$R,17,FALSE)="破竹",$D$15,0)+IF(VLOOKUP($E51,武器奇术!$A:$R,18,FALSE)=1,4,0)+IF(VLOOKUP($E51,武器奇术!$A:$S,19,FALSE)=1,20,0)-VLOOKUP($F$7,目标属性!$A:$R,6,FALSE))/200,($D$13+IF(VLOOKUP($E51,武器奇术!$A:$R,17,FALSE)="破竹",$D$15,0)+IF(VLOOKUP($E51,武器奇术!$A:$R,18,FALSE)=1,4,0)+IF(VLOOKUP($E51,武器奇术!$A:$S,19,FALSE)=1,20,0)-VLOOKUP($F$7,目标属性!$A:$R,6,FALSE))/100)</f>
        <v>0.025</v>
      </c>
      <c r="CR51" s="111">
        <f>$E$13+IF(VLOOKUP($E51,武器奇术!$A:$U,21,FALSE)=1,0,0.09)</f>
        <v>0.235</v>
      </c>
      <c r="CS51" s="109">
        <v>1</v>
      </c>
      <c r="CT51" s="112">
        <f>CN51*IF(VLOOKUP($E51,武器奇术!$A:$R,17,FALSE)="破竹",VLOOKUP($E51,武器奇术!$A:$R,4,FALSE),VLOOKUP($E51,武器奇术!$A:$R,2,FALSE))*(1+CQ51)*(1+CR51)*CS51</f>
        <v>1585.34488391825</v>
      </c>
      <c r="CU51" s="110">
        <f>(1-IF(VLOOKUP($E51,武器奇术!$A:$T,20,FALSE)=1,1,$N51))*(1-$M51)</f>
        <v>0.01072666</v>
      </c>
      <c r="CV51" s="112">
        <f>CO51*IF(VLOOKUP($E51,武器奇术!$A:$R,17,FALSE)="破竹",VLOOKUP($E51,武器奇术!$A:$R,4,FALSE),VLOOKUP($E51,武器奇术!$A:$R,2,FALSE))*(1+CQ51)*(1+CR51)*CS51*(1+$E$16+VLOOKUP($E51,武器奇术!$A:$R,8,FALSE))</f>
        <v>3509.30805212533</v>
      </c>
      <c r="CW51" s="110">
        <f t="shared" si="24"/>
        <v>0.8813852</v>
      </c>
      <c r="CX51" s="112">
        <f>CP51*IF(VLOOKUP($E51,武器奇术!$A:$R,17,FALSE)="破竹",VLOOKUP($E51,武器奇术!$A:$R,4,FALSE),VLOOKUP($E51,武器奇术!$A:$R,2,FALSE))*(1+CQ51)*(1+CR51)*CS51*(1+$E$17+VLOOKUP($E51,武器奇术!$A:$R,10,FALSE))</f>
        <v>3637.30376081914</v>
      </c>
      <c r="CY51" s="110">
        <f t="shared" si="25"/>
        <v>0.0986</v>
      </c>
      <c r="CZ51" s="112">
        <f>CO51*IF(VLOOKUP($E51,武器奇术!$A:$R,17,FALSE)="破竹",VLOOKUP($E51,武器奇术!$A:$R,4,FALSE),VLOOKUP($E51,武器奇术!$A:$R,2,FALSE))*(1+CQ51)*(1+CR51)*CS51</f>
        <v>2139.82198300325</v>
      </c>
      <c r="DA51" s="110">
        <f t="shared" si="26"/>
        <v>0.00928814000000003</v>
      </c>
      <c r="DB51" s="113">
        <f t="shared" si="27"/>
        <v>3488.5707519066</v>
      </c>
      <c r="DC51" s="108">
        <f t="shared" si="36"/>
        <v>69.3</v>
      </c>
      <c r="DD51" s="99">
        <f>(DC51+DE51)*IF(VLOOKUP($E51,武器奇术!$A:$Z,21,FALSE)=1,$G$15,0.5)</f>
        <v>69.3</v>
      </c>
      <c r="DE51" s="109">
        <f t="shared" si="37"/>
        <v>69.3</v>
      </c>
      <c r="DF51" s="110">
        <f>IF(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100)</f>
        <v>0.025</v>
      </c>
      <c r="DG51" s="111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U,21,FALSE)=1,0,0.09)</f>
        <v>0.235</v>
      </c>
      <c r="DH51" s="109">
        <v>1</v>
      </c>
      <c r="DI51" s="112">
        <f>DC51*IF(VLOOKUP($E51,武器奇术!$A:$R,17,FALSE)="破竹",VLOOKUP($E51,武器奇术!$A:$R,4,FALSE),VLOOKUP($E51,武器奇术!$A:$R,2,FALSE))*(1+DF51)*(1+DG51)*DH51</f>
        <v>169.42355805375</v>
      </c>
      <c r="DJ51" s="110">
        <f>(1-IF(VLOOKUP($E51,武器奇术!$A:$T,20,FALSE)=1,1,$N51))*(1-$M51)</f>
        <v>0.01072666</v>
      </c>
      <c r="DK51" s="112">
        <f>DD51*IF(VLOOKUP($E51,武器奇术!$A:$R,17,FALSE)="破竹",VLOOKUP($E51,武器奇术!$A:$R,4,FALSE),VLOOKUP($E51,武器奇术!$A:$R,2,FALSE))*(1+DF51)*(1+DG51)*DH51*(1+$E$16+VLOOKUP($E51,武器奇术!$A:$R,8,FALSE))</f>
        <v>277.85463520815</v>
      </c>
      <c r="DL51" s="110">
        <f t="shared" si="28"/>
        <v>0.8813852</v>
      </c>
      <c r="DM51" s="112">
        <f>DE51*IF(VLOOKUP($E51,武器奇术!$A:$R,17,FALSE)="破竹",VLOOKUP($E51,武器奇术!$A:$R,4,FALSE),VLOOKUP($E51,武器奇术!$A:$R,2,FALSE))*(1+DF51)*(1+DG51)*DH51*(1+$E$17+VLOOKUP($E51,武器奇术!$A:$R,10,FALSE))</f>
        <v>228.721803372562</v>
      </c>
      <c r="DN51" s="110">
        <f t="shared" si="29"/>
        <v>0.0986</v>
      </c>
      <c r="DO51" s="112">
        <f>DD51*IF(VLOOKUP($E51,武器奇术!$A:$R,17,FALSE)="破竹",VLOOKUP($E51,武器奇术!$A:$R,4,FALSE),VLOOKUP($E51,武器奇术!$A:$R,2,FALSE))*(1+DF51)*(1+DG51)*DH51</f>
        <v>169.42355805375</v>
      </c>
      <c r="DP51" s="110">
        <f t="shared" si="30"/>
        <v>0.00928814000000003</v>
      </c>
      <c r="DQ51" s="113">
        <f t="shared" si="31"/>
        <v>270.839911666131</v>
      </c>
    </row>
    <row r="52" customFormat="1" spans="1:121">
      <c r="B52" s="122"/>
      <c r="C52" s="143"/>
      <c r="D52" s="144"/>
      <c r="E52" s="98" t="s">
        <v>135</v>
      </c>
      <c r="F52" s="99">
        <v>1</v>
      </c>
      <c r="G52" s="115"/>
      <c r="H52" s="100">
        <f>IF(VLOOKUP($E52,武器奇术!$A:$R,18,FALSE)="天工",AE52,(AE52+AT52+BI52+BX52+CM52+DB52+DQ52))*(1+J52)*F52*K52*(1+G52)</f>
        <v>47394.2707537419</v>
      </c>
      <c r="I52" s="101">
        <f t="shared" si="0"/>
        <v>0.00585143476647496</v>
      </c>
      <c r="J52" s="101">
        <f>$F$3+VLOOKUP($E52,武器奇术!$A:$R,12,FALSE)+VLOOKUP($E52,武器奇术!$A:$R,14,FALSE)*$G$3+$P52</f>
        <v>0.773</v>
      </c>
      <c r="K52" s="102">
        <f>VLOOKUP($E52,武器奇术!$A:$R,11,FALSE)</f>
        <v>1</v>
      </c>
      <c r="L52" s="117">
        <f>IF(VLOOKUP($E52,武器奇术!$A:$R,15,FALSE)="天工",0%,IF($C$17+VLOOKUP($E52,武器奇术!$A:$R,7,FALSE)&gt;80%,80%,$C$17+VLOOKUP($E52,武器奇术!$A:$R,7,FALSE))+IF($C$19&gt;20%,20%,$C$19))</f>
        <v>0.892</v>
      </c>
      <c r="M52" s="118">
        <f>IF(VLOOKUP($E52,武器奇术!$A:$R,15,FALSE)="天工",0%,IF($C$18+VLOOKUP($E52,武器奇术!$A:$R,9,FALSE)&gt;40%,40%,$C$18+VLOOKUP($E52,武器奇术!$A:$R,9,FALSE))+IF($C$20&gt;10%,10%,$C$20))</f>
        <v>0.0986</v>
      </c>
      <c r="N52" s="119">
        <f>IF(VLOOKUP($E52,武器奇术!$A:$R,15,FALSE)="天工",100%,MIN($C$16,1))</f>
        <v>0.9881</v>
      </c>
      <c r="O52" s="120" t="str">
        <f>VLOOKUP($E52,武器奇术!$A:$R,16,FALSE)</f>
        <v>拳甲</v>
      </c>
      <c r="P52" s="121">
        <f t="shared" si="32"/>
        <v>0.17</v>
      </c>
      <c r="Q52" s="108">
        <f>$B$5*(1+VLOOKUP($E52,武器奇术!$A:$R,5,FALSE)+IF($G$5="飞隼",0.1,0)+IF($G$5="撼天",0.05,0))-$F$9+IF($I$5="√",160,0)</f>
        <v>1731.135</v>
      </c>
      <c r="R52" s="99">
        <f>IF(VLOOKUP($E52,武器奇术!$A:$Z,20,FALSE)=1,(S52-(Q52+S52)*0.5)*($G$15-0.5)*2+(Q52+S52)*0.5,(Q52+S52)*0.5)</f>
        <v>3256.775</v>
      </c>
      <c r="S52" s="109">
        <f>MAX($C$5,$B$5)*(1+VLOOKUP($E52,武器奇术!$A:$R,5,FALSE)+IF($G$5="飞隼",0.1,0)+IF($G$5="撼天",0.05,0))-$F$9+IF($I$5="√",320,0)</f>
        <v>4782.415</v>
      </c>
      <c r="T52" s="101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U52" s="111">
        <f>$E$5+IF(VLOOKUP($E52,武器奇术!$A:$U,21,FALSE)=1,0,0.09)</f>
        <v>0.115</v>
      </c>
      <c r="V52" s="109">
        <v>1</v>
      </c>
      <c r="W52" s="112">
        <f>Q52*VLOOKUP($E52,武器奇术!$A:$R,2,FALSE)*(1+T52)*(1+U52)*V52</f>
        <v>5595.154346628</v>
      </c>
      <c r="X52" s="110">
        <f>(1-IF(VLOOKUP($E52,武器奇术!$A:$T,20,FALSE)=1,1,$N52))*(1-$M52)</f>
        <v>0.01072666</v>
      </c>
      <c r="Y52" s="112">
        <f>R52*VLOOKUP($E52,武器奇术!$A:$R,2,FALSE)*(1+T52)*(1+U52)*V52*(1+$E$16+VLOOKUP($E52,武器奇术!$A:$R,8,FALSE))</f>
        <v>20420.6997528468</v>
      </c>
      <c r="Z52" s="110">
        <f t="shared" si="33"/>
        <v>0.8813852</v>
      </c>
      <c r="AA52" s="112">
        <f>S52*VLOOKUP($E52,武器奇术!$A:$R,2,FALSE)*(1+T52)*(1+U52)*V52*(1+$E$17+VLOOKUP($E52,武器奇术!$A:$R,10,FALSE))</f>
        <v>20867.1031437462</v>
      </c>
      <c r="AB52" s="110">
        <f t="shared" si="34"/>
        <v>0.0986</v>
      </c>
      <c r="AC52" s="112">
        <f>R52*VLOOKUP($E52,武器奇术!$A:$R,2,FALSE)*(1+T52)*(1+U52)*V52</f>
        <v>10526.13389322</v>
      </c>
      <c r="AD52" s="110">
        <f t="shared" si="1"/>
        <v>0.00928814000000003</v>
      </c>
      <c r="AE52" s="113">
        <f t="shared" si="2"/>
        <v>20213.784429359</v>
      </c>
      <c r="AF52" s="114">
        <f>VLOOKUP($E52,武器奇术!$A:$R,3,FALSE)*(1+IF(VLOOKUP($E52,武器奇术!$A:$R,15,FALSE)="武器",$E$15,0))</f>
        <v>0</v>
      </c>
      <c r="AG52" s="112">
        <f t="shared" si="3"/>
        <v>0</v>
      </c>
      <c r="AH52" s="112">
        <f>VLOOKUP($E52,武器奇术!$A:$R,3,FALSE)*(1+IF(VLOOKUP($E52,武器奇术!$A:$R,15,FALSE)="武器",$E$15,0))</f>
        <v>0</v>
      </c>
      <c r="AI52" s="101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AJ52" s="111">
        <f>$E$5+IF(VLOOKUP($E52,武器奇术!$A:$U,21,FALSE)=1,0,0.09)</f>
        <v>0.115</v>
      </c>
      <c r="AK52" s="109">
        <v>1</v>
      </c>
      <c r="AL52" s="112">
        <f t="shared" si="35"/>
        <v>0</v>
      </c>
      <c r="AM52" s="110">
        <f>(1-IF(VLOOKUP($E52,武器奇术!$A:$T,20,FALSE)=1,1,$N52))*(1-$M52)</f>
        <v>0.01072666</v>
      </c>
      <c r="AN52" s="112">
        <f>AG52*(1+AI52)*(1+AJ52)*AK52*(1+$E$16+VLOOKUP($E52,武器奇术!$A:$R,8,FALSE))</f>
        <v>0</v>
      </c>
      <c r="AO52" s="110">
        <f t="shared" si="4"/>
        <v>0.8813852</v>
      </c>
      <c r="AP52" s="112">
        <f>AH52*(1+AI52)*(1+AJ52)*AK52*(1+$E$17+VLOOKUP($E52,武器奇术!$A:$R,10,FALSE))</f>
        <v>0</v>
      </c>
      <c r="AQ52" s="110">
        <f t="shared" si="5"/>
        <v>0.0986</v>
      </c>
      <c r="AR52" s="112">
        <f t="shared" si="6"/>
        <v>0</v>
      </c>
      <c r="AS52" s="110">
        <f t="shared" si="7"/>
        <v>0.00928814000000003</v>
      </c>
      <c r="AT52" s="113">
        <f t="shared" si="8"/>
        <v>0</v>
      </c>
      <c r="AU52" s="108">
        <f>$B$7*IF($G$5="撼天",1.05,1)+IF(AND(VLOOKUP($E52,武器奇术!$A:$R,15,FALSE)="武器",VLOOKUP($E52,武器奇术!$A:$R,17,FALSE)="鸣金"),$E$3,0)*(1+$E$15)</f>
        <v>0</v>
      </c>
      <c r="AV52" s="99">
        <f>(AU52+AW52)*IF(VLOOKUP($E52,武器奇术!$A:$Z,21,FALSE)=1,$G$15,0.5)</f>
        <v>0</v>
      </c>
      <c r="AW52" s="109">
        <f>MAX($C$7*IF($G$5="撼天",1.05,1)+IF(AND(VLOOKUP($E52,武器奇术!$A:$R,15,FALSE)="武器",VLOOKUP($E52,武器奇术!$A:$R,17,FALSE)="鸣金"),$E$3*(1+$E$15),0),AU52)</f>
        <v>0</v>
      </c>
      <c r="AX52" s="110">
        <f>IF(($D$7+IF(VLOOKUP($E52,武器奇术!$A:$R,17,FALSE)="鸣金",$D$15,0)+IF(VLOOKUP($E52,武器奇术!$A:$R,18,FALSE)=1,4,0)+IF(VLOOKUP($E52,武器奇术!$A:$S,19,FALSE)=1,20,0)-VLOOKUP($F$7,目标属性!$A:$R,6,FALSE))&gt;0,($D$7+IF(VLOOKUP($E52,武器奇术!$A:$R,17,FALSE)="鸣金",$D$15,0)+IF(VLOOKUP($E52,武器奇术!$A:$R,18,FALSE)=1,4,0)+IF(VLOOKUP($E52,武器奇术!$A:$S,19,FALSE)=1,20,0)-VLOOKUP($F$7,目标属性!$A:$R,6,FALSE))/200,($D$7+IF(VLOOKUP($E52,武器奇术!$A:$R,17,FALSE)="鸣金",$D$15,0)+IF(VLOOKUP($E52,武器奇术!$A:$R,18,FALSE)=1,4,0)+IF(VLOOKUP($E52,武器奇术!$A:$S,19,FALSE)=1,20,0)-VLOOKUP($F$7,目标属性!$A:$R,6,FALSE))/100)</f>
        <v>0</v>
      </c>
      <c r="AY52" s="111">
        <f t="shared" si="9"/>
        <v>0</v>
      </c>
      <c r="AZ52" s="109">
        <v>1</v>
      </c>
      <c r="BA52" s="112">
        <f>AU52*IF(VLOOKUP($E52,武器奇术!$A:$R,17,FALSE)="鸣金",VLOOKUP($E52,武器奇术!$A:$R,4,FALSE),VLOOKUP($E52,武器奇术!$A:$R,2,FALSE))*(1+AX52)*(1+AY52)*AZ52</f>
        <v>0</v>
      </c>
      <c r="BB52" s="110">
        <f>(1-IF(VLOOKUP($E52,武器奇术!$A:$T,20,FALSE)=1,1,$N52))*(1-$M52)</f>
        <v>0.01072666</v>
      </c>
      <c r="BC52" s="112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10">
        <f t="shared" si="10"/>
        <v>0.8813852</v>
      </c>
      <c r="BE52" s="112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10">
        <f t="shared" si="11"/>
        <v>0.0986</v>
      </c>
      <c r="BG52" s="112">
        <f>AV52*IF(VLOOKUP($E52,武器奇术!$A:$R,17,FALSE)="鸣金",VLOOKUP($E52,武器奇术!$A:$R,4,FALSE),VLOOKUP($E52,武器奇术!$A:$R,2,FALSE))*(1+AX52)*(1+AY52)*AZ52</f>
        <v>0</v>
      </c>
      <c r="BH52" s="110">
        <f t="shared" si="12"/>
        <v>0.00928814000000003</v>
      </c>
      <c r="BI52" s="113">
        <f t="shared" si="13"/>
        <v>0</v>
      </c>
      <c r="BJ52" s="108">
        <f>$B$9*IF($G$5="撼天",1.05,1)+IF(AND(VLOOKUP($E52,武器奇术!$A:$R,15,FALSE)="武器",VLOOKUP($E52,武器奇术!$A:$R,17,FALSE)="裂石"),$E$3,0)*(1+$E$15)</f>
        <v>0</v>
      </c>
      <c r="BK52" s="99">
        <f>(BJ52+BL52)*IF(VLOOKUP($E52,武器奇术!$A:$Z,21,FALSE)=1,$G$15,0.5)</f>
        <v>0</v>
      </c>
      <c r="BL52" s="109">
        <f>MAX($C$9*IF($G$5="撼天",1.05,1)+IF(AND(VLOOKUP($E52,武器奇术!$A:$R,15,FALSE)="武器",VLOOKUP($E52,武器奇术!$A:$R,17,FALSE)="裂石"),$E$3*(1+$E$15),0),BJ52)</f>
        <v>0</v>
      </c>
      <c r="BM52" s="110">
        <f>IF(($D$9+IF(VLOOKUP($E52,武器奇术!$A:$R,17,FALSE)="裂石",$D$15,0)+IF(VLOOKUP($E52,武器奇术!$A:$R,18,FALSE)=1,4,0)+IF(VLOOKUP($E52,武器奇术!$A:$S,19,FALSE)=1,20,0)-VLOOKUP($F$7,目标属性!$A:$R,6,FALSE))&gt;0,($D$9+IF(VLOOKUP($E52,武器奇术!$A:$R,17,FALSE)="裂石",$D$15,0)+IF(VLOOKUP($E52,武器奇术!$A:$R,18,FALSE)=1,4,0)+IF(VLOOKUP($E52,武器奇术!$A:$S,19,FALSE)=1,20,0)-VLOOKUP($F$7,目标属性!$A:$R,6,FALSE))/200,($D$9+IF(VLOOKUP($E52,武器奇术!$A:$R,17,FALSE)="裂石",$D$15,0)+IF(VLOOKUP($E52,武器奇术!$A:$R,18,FALSE)=1,4,0)+IF(VLOOKUP($E52,武器奇术!$A:$S,19,FALSE)=1,20,0)-VLOOKUP($F$7,目标属性!$A:$R,6,FALSE))/100)</f>
        <v>0</v>
      </c>
      <c r="BN52" s="111">
        <f t="shared" si="14"/>
        <v>0</v>
      </c>
      <c r="BO52" s="109">
        <v>1</v>
      </c>
      <c r="BP52" s="112">
        <f>BJ52*IF(VLOOKUP($E52,武器奇术!$A:$R,17,FALSE)="裂石",VLOOKUP($E52,武器奇术!$A:$R,4,FALSE),VLOOKUP($E52,武器奇术!$A:$R,2,FALSE))*(1+BM52)*(1+BN52)*BO52</f>
        <v>0</v>
      </c>
      <c r="BQ52" s="110">
        <f>(1-IF(VLOOKUP($E52,武器奇术!$A:$T,20,FALSE)=1,1,$N52))*(1-$M52)</f>
        <v>0.01072666</v>
      </c>
      <c r="BR52" s="112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10">
        <f t="shared" si="15"/>
        <v>0.8813852</v>
      </c>
      <c r="BT52" s="112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10">
        <f t="shared" si="16"/>
        <v>0.0986</v>
      </c>
      <c r="BV52" s="112">
        <f>BK52*IF(VLOOKUP($E52,武器奇术!$A:$R,17,FALSE)="裂石",VLOOKUP($E52,武器奇术!$A:$R,4,FALSE),VLOOKUP($E52,武器奇术!$A:$R,2,FALSE))*(1+BM52)*(1+BN52)*BO52</f>
        <v>0</v>
      </c>
      <c r="BW52" s="110">
        <f t="shared" si="17"/>
        <v>0.00928814000000003</v>
      </c>
      <c r="BX52" s="113">
        <f t="shared" si="18"/>
        <v>0</v>
      </c>
      <c r="BY52" s="108">
        <f>$B$11*IF($G$5="撼天",1.05,1)+IF(AND(VLOOKUP($E52,武器奇术!$A:$R,15,FALSE)="武器",VLOOKUP($E52,武器奇术!$A:$R,17,FALSE)="牵丝"),$E$3,0)*(1+$E$15)</f>
        <v>0</v>
      </c>
      <c r="BZ52" s="99">
        <f>(BY52+CA52)*IF(VLOOKUP($E52,武器奇术!$A:$Z,21,FALSE)=1,$G$15,0.5)</f>
        <v>0</v>
      </c>
      <c r="CA52" s="109">
        <f>MAX($C$11*IF($G$5="撼天",1.05,1)+IF(AND(VLOOKUP($E52,武器奇术!$A:$R,15,FALSE)="武器",VLOOKUP($E52,武器奇术!$A:$R,17,FALSE)="牵丝"),$E$3*(1+$E$15),0),BY52)</f>
        <v>0</v>
      </c>
      <c r="CB52" s="110">
        <f>IF(($D$11+IF(VLOOKUP($E52,武器奇术!$A:$R,17,FALSE)="牵丝",$D$15,0)+IF(VLOOKUP($E52,武器奇术!$A:$R,18,FALSE)=1,4,0)+IF(VLOOKUP($E52,武器奇术!$A:$S,19,FALSE)=1,20,0)-VLOOKUP($F$7,目标属性!$A:$R,6,FALSE))&gt;0,($D$11+IF(VLOOKUP($E52,武器奇术!$A:$R,17,FALSE)="牵丝",$D$15,0)+IF(VLOOKUP($E52,武器奇术!$A:$R,18,FALSE)=1,4,0)+IF(VLOOKUP($E52,武器奇术!$A:$S,19,FALSE)=1,20,0)-VLOOKUP($F$7,目标属性!$A:$R,6,FALSE))/200,($D$11+IF(VLOOKUP($E52,武器奇术!$A:$R,17,FALSE)="牵丝",$D$15,0)+IF(VLOOKUP($E52,武器奇术!$A:$R,18,FALSE)=1,4,0)+IF(VLOOKUP($E52,武器奇术!$A:$S,19,FALSE)=1,20,0)-VLOOKUP($F$7,目标属性!$A:$R,6,FALSE))/100)</f>
        <v>0</v>
      </c>
      <c r="CC52" s="111">
        <f t="shared" si="19"/>
        <v>0</v>
      </c>
      <c r="CD52" s="109">
        <v>1</v>
      </c>
      <c r="CE52" s="112">
        <f>BY52*IF(VLOOKUP($E52,武器奇术!$A:$R,17,FALSE)="牵丝",VLOOKUP($E52,武器奇术!$A:$R,4,FALSE),VLOOKUP($E52,武器奇术!$A:$R,2,FALSE))*(1+CB52)*(1+CC52)*CD52</f>
        <v>0</v>
      </c>
      <c r="CF52" s="110">
        <f>(1-IF(VLOOKUP($E52,武器奇术!$A:$T,20,FALSE)=1,1,$N52))*(1-$M52)</f>
        <v>0.01072666</v>
      </c>
      <c r="CG52" s="112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110">
        <f t="shared" si="20"/>
        <v>0.8813852</v>
      </c>
      <c r="CI52" s="112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110">
        <f t="shared" si="21"/>
        <v>0.0986</v>
      </c>
      <c r="CK52" s="112">
        <f>BZ52*IF(VLOOKUP($E52,武器奇术!$A:$R,17,FALSE)="牵丝",VLOOKUP($E52,武器奇术!$A:$R,4,FALSE),VLOOKUP($E52,武器奇术!$A:$R,2,FALSE))*(1+CB52)*(1+CC52)*CD52</f>
        <v>0</v>
      </c>
      <c r="CL52" s="110">
        <f t="shared" si="22"/>
        <v>0.00928814000000003</v>
      </c>
      <c r="CM52" s="113">
        <f t="shared" si="23"/>
        <v>0</v>
      </c>
      <c r="CN52" s="108">
        <f>$B$13*IF($G$5="撼天",1.05,1)+IF(AND(VLOOKUP($E52,武器奇术!$A:$R,15,FALSE)="武器",VLOOKUP($E52,武器奇术!$A:$R,17,FALSE)="破竹"),$E$3,0)*(1+$E$15)</f>
        <v>452.55</v>
      </c>
      <c r="CO52" s="99">
        <f>IF(VLOOKUP($E52,武器奇术!$A:$Z,20,FALSE)=1,(CP52-(CN52+CP52)*0.5)*($G$15-0.5)*2+(CN52+CP52)*0.5,(CN52+CP52)*0.5)</f>
        <v>679.35</v>
      </c>
      <c r="CP52" s="109">
        <f>MAX($C$13*IF($G$5="撼天",1.05,1)+IF(AND(VLOOKUP($E52,武器奇术!$A:$R,15,FALSE)="武器",VLOOKUP($E52,武器奇术!$A:$R,17,FALSE)="破竹"),$E$3*(1+$E$15),0),CN52)</f>
        <v>906.15</v>
      </c>
      <c r="CQ52" s="110">
        <f>IF(($D$13+IF(VLOOKUP($E52,武器奇术!$A:$R,17,FALSE)="破竹",$D$15,0)+IF(VLOOKUP($E52,武器奇术!$A:$R,18,FALSE)=1,4,0)+IF(VLOOKUP($E52,武器奇术!$A:$S,19,FALSE)=1,20,0)-VLOOKUP($F$7,目标属性!$A:$R,6,FALSE))&gt;0,($D$13+IF(VLOOKUP($E52,武器奇术!$A:$R,17,FALSE)="破竹",$D$15,0)+IF(VLOOKUP($E52,武器奇术!$A:$R,18,FALSE)=1,4,0)+IF(VLOOKUP($E52,武器奇术!$A:$S,19,FALSE)=1,20,0)-VLOOKUP($F$7,目标属性!$A:$R,6,FALSE))/200,($D$13+IF(VLOOKUP($E52,武器奇术!$A:$R,17,FALSE)="破竹",$D$15,0)+IF(VLOOKUP($E52,武器奇术!$A:$R,18,FALSE)=1,4,0)+IF(VLOOKUP($E52,武器奇术!$A:$S,19,FALSE)=1,20,0)-VLOOKUP($F$7,目标属性!$A:$R,6,FALSE))/100)</f>
        <v>0.145</v>
      </c>
      <c r="CR52" s="111">
        <f>$E$13+IF(VLOOKUP($E52,武器奇术!$A:$U,21,FALSE)=1,0,0.09)</f>
        <v>0.235</v>
      </c>
      <c r="CS52" s="109">
        <v>1</v>
      </c>
      <c r="CT52" s="112">
        <f>CN52*IF(VLOOKUP($E52,武器奇术!$A:$R,17,FALSE)="破竹",VLOOKUP($E52,武器奇术!$A:$R,4,FALSE),VLOOKUP($E52,武器奇术!$A:$R,2,FALSE))*(1+CQ52)*(1+CR52)*CS52</f>
        <v>2073.40443765</v>
      </c>
      <c r="CU52" s="110">
        <f>(1-IF(VLOOKUP($E52,武器奇术!$A:$T,20,FALSE)=1,1,$N52))*(1-$M52)</f>
        <v>0.01072666</v>
      </c>
      <c r="CV52" s="112">
        <f>CO52*IF(VLOOKUP($E52,武器奇术!$A:$R,17,FALSE)="破竹",VLOOKUP($E52,武器奇术!$A:$R,4,FALSE),VLOOKUP($E52,武器奇术!$A:$R,2,FALSE))*(1+CQ52)*(1+CR52)*CS52*(1+$E$16+VLOOKUP($E52,武器奇术!$A:$R,8,FALSE))</f>
        <v>6038.273276217</v>
      </c>
      <c r="CW52" s="110">
        <f t="shared" si="24"/>
        <v>0.8813852</v>
      </c>
      <c r="CX52" s="112">
        <f>CP52*IF(VLOOKUP($E52,武器奇术!$A:$R,17,FALSE)="破竹",VLOOKUP($E52,武器奇术!$A:$R,4,FALSE),VLOOKUP($E52,武器奇术!$A:$R,2,FALSE))*(1+CQ52)*(1+CR52)*CS52*(1+$E$17+VLOOKUP($E52,武器奇术!$A:$R,10,FALSE))</f>
        <v>5604.6864039075</v>
      </c>
      <c r="CY52" s="110">
        <f t="shared" si="25"/>
        <v>0.0986</v>
      </c>
      <c r="CZ52" s="112">
        <f>CO52*IF(VLOOKUP($E52,武器奇术!$A:$R,17,FALSE)="破竹",VLOOKUP($E52,武器奇术!$A:$R,4,FALSE),VLOOKUP($E52,武器奇术!$A:$R,2,FALSE))*(1+CQ52)*(1+CR52)*CS52</f>
        <v>3112.51199805</v>
      </c>
      <c r="DA52" s="110">
        <f t="shared" si="26"/>
        <v>0.00928814000000003</v>
      </c>
      <c r="DB52" s="113">
        <f t="shared" si="27"/>
        <v>5925.81693027318</v>
      </c>
      <c r="DC52" s="108">
        <f t="shared" si="36"/>
        <v>69.3</v>
      </c>
      <c r="DD52" s="99">
        <f>(DC52+DE52)*IF(VLOOKUP($E52,武器奇术!$A:$Z,21,FALSE)=1,$G$15,0.5)</f>
        <v>69.3</v>
      </c>
      <c r="DE52" s="109">
        <f t="shared" si="37"/>
        <v>69.3</v>
      </c>
      <c r="DF52" s="110">
        <f>IF(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100)</f>
        <v>0.145</v>
      </c>
      <c r="DG52" s="111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U,21,FALSE)=1,0,0.09)</f>
        <v>0.235</v>
      </c>
      <c r="DH52" s="109">
        <v>1</v>
      </c>
      <c r="DI52" s="112">
        <f>DC52*IF(VLOOKUP($E52,武器奇术!$A:$R,17,FALSE)="破竹",VLOOKUP($E52,武器奇术!$A:$R,4,FALSE),VLOOKUP($E52,武器奇术!$A:$R,2,FALSE))*(1+DF52)*(1+DG52)*DH52</f>
        <v>317.5050879</v>
      </c>
      <c r="DJ52" s="110">
        <f>(1-IF(VLOOKUP($E52,武器奇术!$A:$T,20,FALSE)=1,1,$N52))*(1-$M52)</f>
        <v>0.01072666</v>
      </c>
      <c r="DK52" s="112">
        <f>DD52*IF(VLOOKUP($E52,武器奇术!$A:$R,17,FALSE)="破竹",VLOOKUP($E52,武器奇术!$A:$R,4,FALSE),VLOOKUP($E52,武器奇术!$A:$R,2,FALSE))*(1+DF52)*(1+DG52)*DH52*(1+$E$16+VLOOKUP($E52,武器奇术!$A:$R,8,FALSE))</f>
        <v>615.959870526</v>
      </c>
      <c r="DL52" s="110">
        <f t="shared" si="28"/>
        <v>0.8813852</v>
      </c>
      <c r="DM52" s="112">
        <f>DE52*IF(VLOOKUP($E52,武器奇术!$A:$R,17,FALSE)="破竹",VLOOKUP($E52,武器奇术!$A:$R,4,FALSE),VLOOKUP($E52,武器奇术!$A:$R,2,FALSE))*(1+DF52)*(1+DG52)*DH52*(1+$E$17+VLOOKUP($E52,武器奇术!$A:$R,10,FALSE))</f>
        <v>428.631868665</v>
      </c>
      <c r="DN52" s="110">
        <f t="shared" si="29"/>
        <v>0.0986</v>
      </c>
      <c r="DO52" s="112">
        <f>DD52*IF(VLOOKUP($E52,武器奇术!$A:$R,17,FALSE)="破竹",VLOOKUP($E52,武器奇术!$A:$R,4,FALSE),VLOOKUP($E52,武器奇术!$A:$R,2,FALSE))*(1+DF52)*(1+DG52)*DH52</f>
        <v>317.5050879</v>
      </c>
      <c r="DP52" s="110">
        <f t="shared" si="30"/>
        <v>0.00928814000000003</v>
      </c>
      <c r="DQ52" s="113">
        <f t="shared" si="31"/>
        <v>591.515816759203</v>
      </c>
    </row>
    <row r="53" customFormat="1" spans="1:121">
      <c r="B53" s="122"/>
      <c r="C53" s="143"/>
      <c r="D53" s="144"/>
      <c r="E53" s="98" t="s">
        <v>130</v>
      </c>
      <c r="F53" s="99">
        <v>1</v>
      </c>
      <c r="G53" s="115">
        <f>$E$23</f>
        <v>0.32</v>
      </c>
      <c r="H53" s="100">
        <f>IF(VLOOKUP($E53,武器奇术!$A:$R,18,FALSE)="天工",AE53,(AE53+AT53+BI53+BX53+CM53+DB53+DQ53))*(1+J53)*F53*K53*(1+G53)</f>
        <v>821111.910068026</v>
      </c>
      <c r="I53" s="101">
        <f t="shared" si="0"/>
        <v>0.101376869003926</v>
      </c>
      <c r="J53" s="101">
        <f>$F$3+VLOOKUP($E53,武器奇术!$A:$R,12,FALSE)+VLOOKUP($E53,武器奇术!$A:$R,14,FALSE)*$G$3+$P53</f>
        <v>0.773</v>
      </c>
      <c r="K53" s="102">
        <f>VLOOKUP($E53,武器奇术!$A:$R,11,FALSE)</f>
        <v>1</v>
      </c>
      <c r="L53" s="117">
        <f>IF(VLOOKUP($E53,武器奇术!$A:$R,15,FALSE)="天工",0%,IF($C$17+VLOOKUP($E53,武器奇术!$A:$R,7,FALSE)&gt;80%,80%,$C$17+VLOOKUP($E53,武器奇术!$A:$R,7,FALSE))+IF($C$19&gt;20%,20%,$C$19))</f>
        <v>0.892</v>
      </c>
      <c r="M53" s="118">
        <f>IF(VLOOKUP($E53,武器奇术!$A:$R,15,FALSE)="天工",0%,IF($C$18+VLOOKUP($E53,武器奇术!$A:$R,9,FALSE)&gt;40%,40%,$C$18+VLOOKUP($E53,武器奇术!$A:$R,9,FALSE))+IF($C$20&gt;10%,10%,$C$20))</f>
        <v>0.0986</v>
      </c>
      <c r="N53" s="119">
        <f>IF(VLOOKUP($E53,武器奇术!$A:$R,15,FALSE)="天工",100%,MIN($C$16,1))</f>
        <v>0.9881</v>
      </c>
      <c r="O53" s="120" t="str">
        <f>VLOOKUP($E53,武器奇术!$A:$R,16,FALSE)</f>
        <v>拳甲</v>
      </c>
      <c r="P53" s="121">
        <f t="shared" si="32"/>
        <v>0.17</v>
      </c>
      <c r="Q53" s="108">
        <f>$B$5*(1+VLOOKUP($E53,武器奇术!$A:$R,5,FALSE)+IF($G$5="飞隼",0.1,0)+IF($G$5="撼天",0.05,0))-$F$9+IF($I$5="√",160,0)</f>
        <v>1731.135</v>
      </c>
      <c r="R53" s="99">
        <f>IF(VLOOKUP($E53,武器奇术!$A:$Z,20,FALSE)=1,(S53-(Q53+S53)*0.5)*($G$15-0.5)*2+(Q53+S53)*0.5,(Q53+S53)*0.5)</f>
        <v>3256.775</v>
      </c>
      <c r="S53" s="109">
        <f>MAX($C$5,$B$5)*(1+VLOOKUP($E53,武器奇术!$A:$R,5,FALSE)+IF($G$5="飞隼",0.1,0)+IF($G$5="撼天",0.05,0))-$F$9+IF($I$5="√",320,0)</f>
        <v>4782.415</v>
      </c>
      <c r="T53" s="101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U53" s="111">
        <f>$E$5+IF(VLOOKUP($E53,武器奇术!$A:$U,21,FALSE)=1,0,0.09)</f>
        <v>0.115</v>
      </c>
      <c r="V53" s="109">
        <v>1</v>
      </c>
      <c r="W53" s="112">
        <f>Q53*VLOOKUP($E53,武器奇术!$A:$R,2,FALSE)*(1+T53)*(1+U53)*V53</f>
        <v>58678.4041054908</v>
      </c>
      <c r="X53" s="110">
        <f>(1-IF(VLOOKUP($E53,武器奇术!$A:$T,20,FALSE)=1,1,$N53))*(1-$M53)</f>
        <v>0</v>
      </c>
      <c r="Y53" s="112">
        <f>R53*VLOOKUP($E53,武器奇术!$A:$R,2,FALSE)*(1+T53)*(1+U53)*V53*(1+$E$16+VLOOKUP($E53,武器奇术!$A:$R,8,FALSE))</f>
        <v>236237.525898103</v>
      </c>
      <c r="Z53" s="110">
        <f t="shared" si="33"/>
        <v>0.8813852</v>
      </c>
      <c r="AA53" s="112">
        <f>S53*VLOOKUP($E53,武器奇术!$A:$R,2,FALSE)*(1+T53)*(1+U53)*V53*(1+$E$17+VLOOKUP($E53,武器奇术!$A:$R,10,FALSE))</f>
        <v>218840.846011268</v>
      </c>
      <c r="AB53" s="110">
        <f t="shared" si="34"/>
        <v>0.0986</v>
      </c>
      <c r="AC53" s="112">
        <f>R53*VLOOKUP($E53,武器奇术!$A:$R,2,FALSE)*(1+T53)*(1+U53)*V53</f>
        <v>110391.367242104</v>
      </c>
      <c r="AD53" s="110">
        <f t="shared" si="1"/>
        <v>0.0200148</v>
      </c>
      <c r="AE53" s="113">
        <f t="shared" si="2"/>
        <v>232003.427564993</v>
      </c>
      <c r="AF53" s="114">
        <f>VLOOKUP($E53,武器奇术!$A:$R,3,FALSE)*(1+IF(VLOOKUP($E53,武器奇术!$A:$R,15,FALSE)="武器",$E$15,0))</f>
        <v>8140.86</v>
      </c>
      <c r="AG53" s="112">
        <f t="shared" si="3"/>
        <v>8140.86</v>
      </c>
      <c r="AH53" s="112">
        <f>VLOOKUP($E53,武器奇术!$A:$R,3,FALSE)*(1+IF(VLOOKUP($E53,武器奇术!$A:$R,15,FALSE)="武器",$E$15,0))</f>
        <v>8140.86</v>
      </c>
      <c r="AI53" s="101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AJ53" s="111">
        <f>$E$5+IF(VLOOKUP($E53,武器奇术!$A:$U,21,FALSE)=1,0,0.09)</f>
        <v>0.115</v>
      </c>
      <c r="AK53" s="109">
        <v>1</v>
      </c>
      <c r="AL53" s="112">
        <f t="shared" si="35"/>
        <v>12181.4130438</v>
      </c>
      <c r="AM53" s="110">
        <f>(1-IF(VLOOKUP($E53,武器奇术!$A:$T,20,FALSE)=1,1,$N53))*(1-$M53)</f>
        <v>0</v>
      </c>
      <c r="AN53" s="112">
        <f>AG53*(1+AI53)*(1+AJ53)*AK53*(1+$E$16+VLOOKUP($E53,武器奇术!$A:$R,8,FALSE))</f>
        <v>26068.223913732</v>
      </c>
      <c r="AO53" s="110">
        <f t="shared" si="4"/>
        <v>0.8813852</v>
      </c>
      <c r="AP53" s="112">
        <f>AH53*(1+AI53)*(1+AJ53)*AK53*(1+$E$17+VLOOKUP($E53,武器奇术!$A:$R,10,FALSE))</f>
        <v>16444.90760913</v>
      </c>
      <c r="AQ53" s="110">
        <f t="shared" si="5"/>
        <v>0.0986</v>
      </c>
      <c r="AR53" s="112">
        <f t="shared" si="6"/>
        <v>12181.4130438</v>
      </c>
      <c r="AS53" s="110">
        <f t="shared" si="7"/>
        <v>0.0200148</v>
      </c>
      <c r="AT53" s="113">
        <f t="shared" si="8"/>
        <v>24841.4231838987</v>
      </c>
      <c r="AU53" s="108">
        <f>$B$7*IF($G$5="撼天",1.05,1)+IF(AND(VLOOKUP($E53,武器奇术!$A:$R,15,FALSE)="武器",VLOOKUP($E53,武器奇术!$A:$R,17,FALSE)="鸣金"),$E$3,0)*(1+$E$15)</f>
        <v>0</v>
      </c>
      <c r="AV53" s="99">
        <f>(AU53+AW53)*IF(VLOOKUP($E53,武器奇术!$A:$Z,21,FALSE)=1,$G$15,0.5)</f>
        <v>0</v>
      </c>
      <c r="AW53" s="109">
        <f>MAX($C$7*IF($G$5="撼天",1.05,1)+IF(AND(VLOOKUP($E53,武器奇术!$A:$R,15,FALSE)="武器",VLOOKUP($E53,武器奇术!$A:$R,17,FALSE)="鸣金"),$E$3*(1+$E$15),0),AU53)</f>
        <v>0</v>
      </c>
      <c r="AX53" s="110">
        <f>IF(($D$7+IF(VLOOKUP($E53,武器奇术!$A:$R,17,FALSE)="鸣金",$D$15,0)+IF(VLOOKUP($E53,武器奇术!$A:$R,18,FALSE)=1,4,0)+IF(VLOOKUP($E53,武器奇术!$A:$S,19,FALSE)=1,20,0)-VLOOKUP($F$7,目标属性!$A:$R,6,FALSE))&gt;0,($D$7+IF(VLOOKUP($E53,武器奇术!$A:$R,17,FALSE)="鸣金",$D$15,0)+IF(VLOOKUP($E53,武器奇术!$A:$R,18,FALSE)=1,4,0)+IF(VLOOKUP($E53,武器奇术!$A:$S,19,FALSE)=1,20,0)-VLOOKUP($F$7,目标属性!$A:$R,6,FALSE))/200,($D$7+IF(VLOOKUP($E53,武器奇术!$A:$R,17,FALSE)="鸣金",$D$15,0)+IF(VLOOKUP($E53,武器奇术!$A:$R,18,FALSE)=1,4,0)+IF(VLOOKUP($E53,武器奇术!$A:$S,19,FALSE)=1,20,0)-VLOOKUP($F$7,目标属性!$A:$R,6,FALSE))/100)</f>
        <v>0</v>
      </c>
      <c r="AY53" s="111">
        <f t="shared" si="9"/>
        <v>0</v>
      </c>
      <c r="AZ53" s="109">
        <v>1</v>
      </c>
      <c r="BA53" s="112">
        <f>AU53*IF(VLOOKUP($E53,武器奇术!$A:$R,17,FALSE)="鸣金",VLOOKUP($E53,武器奇术!$A:$R,4,FALSE),VLOOKUP($E53,武器奇术!$A:$R,2,FALSE))*(1+AX53)*(1+AY53)*AZ53</f>
        <v>0</v>
      </c>
      <c r="BB53" s="110">
        <f>(1-IF(VLOOKUP($E53,武器奇术!$A:$T,20,FALSE)=1,1,$N53))*(1-$M53)</f>
        <v>0</v>
      </c>
      <c r="BC53" s="112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10">
        <f t="shared" si="10"/>
        <v>0.8813852</v>
      </c>
      <c r="BE53" s="112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10">
        <f t="shared" si="11"/>
        <v>0.0986</v>
      </c>
      <c r="BG53" s="112">
        <f>AV53*IF(VLOOKUP($E53,武器奇术!$A:$R,17,FALSE)="鸣金",VLOOKUP($E53,武器奇术!$A:$R,4,FALSE),VLOOKUP($E53,武器奇术!$A:$R,2,FALSE))*(1+AX53)*(1+AY53)*AZ53</f>
        <v>0</v>
      </c>
      <c r="BH53" s="110">
        <f t="shared" si="12"/>
        <v>0.0200148</v>
      </c>
      <c r="BI53" s="113">
        <f t="shared" si="13"/>
        <v>0</v>
      </c>
      <c r="BJ53" s="108">
        <f>$B$9*IF($G$5="撼天",1.05,1)+IF(AND(VLOOKUP($E53,武器奇术!$A:$R,15,FALSE)="武器",VLOOKUP($E53,武器奇术!$A:$R,17,FALSE)="裂石"),$E$3,0)*(1+$E$15)</f>
        <v>0</v>
      </c>
      <c r="BK53" s="99">
        <f>(BJ53+BL53)*IF(VLOOKUP($E53,武器奇术!$A:$Z,21,FALSE)=1,$G$15,0.5)</f>
        <v>0</v>
      </c>
      <c r="BL53" s="109">
        <f>MAX($C$9*IF($G$5="撼天",1.05,1)+IF(AND(VLOOKUP($E53,武器奇术!$A:$R,15,FALSE)="武器",VLOOKUP($E53,武器奇术!$A:$R,17,FALSE)="裂石"),$E$3*(1+$E$15),0),BJ53)</f>
        <v>0</v>
      </c>
      <c r="BM53" s="110">
        <f>IF(($D$9+IF(VLOOKUP($E53,武器奇术!$A:$R,17,FALSE)="裂石",$D$15,0)+IF(VLOOKUP($E53,武器奇术!$A:$R,18,FALSE)=1,4,0)+IF(VLOOKUP($E53,武器奇术!$A:$S,19,FALSE)=1,20,0)-VLOOKUP($F$7,目标属性!$A:$R,6,FALSE))&gt;0,($D$9+IF(VLOOKUP($E53,武器奇术!$A:$R,17,FALSE)="裂石",$D$15,0)+IF(VLOOKUP($E53,武器奇术!$A:$R,18,FALSE)=1,4,0)+IF(VLOOKUP($E53,武器奇术!$A:$S,19,FALSE)=1,20,0)-VLOOKUP($F$7,目标属性!$A:$R,6,FALSE))/200,($D$9+IF(VLOOKUP($E53,武器奇术!$A:$R,17,FALSE)="裂石",$D$15,0)+IF(VLOOKUP($E53,武器奇术!$A:$R,18,FALSE)=1,4,0)+IF(VLOOKUP($E53,武器奇术!$A:$S,19,FALSE)=1,20,0)-VLOOKUP($F$7,目标属性!$A:$R,6,FALSE))/100)</f>
        <v>0</v>
      </c>
      <c r="BN53" s="111">
        <f t="shared" si="14"/>
        <v>0</v>
      </c>
      <c r="BO53" s="109">
        <v>1</v>
      </c>
      <c r="BP53" s="112">
        <f>BJ53*IF(VLOOKUP($E53,武器奇术!$A:$R,17,FALSE)="裂石",VLOOKUP($E53,武器奇术!$A:$R,4,FALSE),VLOOKUP($E53,武器奇术!$A:$R,2,FALSE))*(1+BM53)*(1+BN53)*BO53</f>
        <v>0</v>
      </c>
      <c r="BQ53" s="110">
        <f>(1-IF(VLOOKUP($E53,武器奇术!$A:$T,20,FALSE)=1,1,$N53))*(1-$M53)</f>
        <v>0</v>
      </c>
      <c r="BR53" s="112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10">
        <f t="shared" si="15"/>
        <v>0.8813852</v>
      </c>
      <c r="BT53" s="112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10">
        <f t="shared" si="16"/>
        <v>0.0986</v>
      </c>
      <c r="BV53" s="112">
        <f>BK53*IF(VLOOKUP($E53,武器奇术!$A:$R,17,FALSE)="裂石",VLOOKUP($E53,武器奇术!$A:$R,4,FALSE),VLOOKUP($E53,武器奇术!$A:$R,2,FALSE))*(1+BM53)*(1+BN53)*BO53</f>
        <v>0</v>
      </c>
      <c r="BW53" s="110">
        <f t="shared" si="17"/>
        <v>0.0200148</v>
      </c>
      <c r="BX53" s="113">
        <f t="shared" si="18"/>
        <v>0</v>
      </c>
      <c r="BY53" s="108">
        <f>$B$11*IF($G$5="撼天",1.05,1)+IF(AND(VLOOKUP($E53,武器奇术!$A:$R,15,FALSE)="武器",VLOOKUP($E53,武器奇术!$A:$R,17,FALSE)="牵丝"),$E$3,0)*(1+$E$15)</f>
        <v>0</v>
      </c>
      <c r="BZ53" s="99">
        <f>(BY53+CA53)*IF(VLOOKUP($E53,武器奇术!$A:$Z,21,FALSE)=1,$G$15,0.5)</f>
        <v>0</v>
      </c>
      <c r="CA53" s="109">
        <f>MAX($C$11*IF($G$5="撼天",1.05,1)+IF(AND(VLOOKUP($E53,武器奇术!$A:$R,15,FALSE)="武器",VLOOKUP($E53,武器奇术!$A:$R,17,FALSE)="牵丝"),$E$3*(1+$E$15),0),BY53)</f>
        <v>0</v>
      </c>
      <c r="CB53" s="110">
        <f>IF(($D$11+IF(VLOOKUP($E53,武器奇术!$A:$R,17,FALSE)="牵丝",$D$15,0)+IF(VLOOKUP($E53,武器奇术!$A:$R,18,FALSE)=1,4,0)+IF(VLOOKUP($E53,武器奇术!$A:$S,19,FALSE)=1,20,0)-VLOOKUP($F$7,目标属性!$A:$R,6,FALSE))&gt;0,($D$11+IF(VLOOKUP($E53,武器奇术!$A:$R,17,FALSE)="牵丝",$D$15,0)+IF(VLOOKUP($E53,武器奇术!$A:$R,18,FALSE)=1,4,0)+IF(VLOOKUP($E53,武器奇术!$A:$S,19,FALSE)=1,20,0)-VLOOKUP($F$7,目标属性!$A:$R,6,FALSE))/200,($D$11+IF(VLOOKUP($E53,武器奇术!$A:$R,17,FALSE)="牵丝",$D$15,0)+IF(VLOOKUP($E53,武器奇术!$A:$R,18,FALSE)=1,4,0)+IF(VLOOKUP($E53,武器奇术!$A:$S,19,FALSE)=1,20,0)-VLOOKUP($F$7,目标属性!$A:$R,6,FALSE))/100)</f>
        <v>0</v>
      </c>
      <c r="CC53" s="111">
        <f t="shared" si="19"/>
        <v>0</v>
      </c>
      <c r="CD53" s="109">
        <v>1</v>
      </c>
      <c r="CE53" s="112">
        <f>BY53*IF(VLOOKUP($E53,武器奇术!$A:$R,17,FALSE)="牵丝",VLOOKUP($E53,武器奇术!$A:$R,4,FALSE),VLOOKUP($E53,武器奇术!$A:$R,2,FALSE))*(1+CB53)*(1+CC53)*CD53</f>
        <v>0</v>
      </c>
      <c r="CF53" s="110">
        <f>(1-IF(VLOOKUP($E53,武器奇术!$A:$T,20,FALSE)=1,1,$N53))*(1-$M53)</f>
        <v>0</v>
      </c>
      <c r="CG53" s="112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110">
        <f t="shared" si="20"/>
        <v>0.8813852</v>
      </c>
      <c r="CI53" s="112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110">
        <f t="shared" si="21"/>
        <v>0.0986</v>
      </c>
      <c r="CK53" s="112">
        <f>BZ53*IF(VLOOKUP($E53,武器奇术!$A:$R,17,FALSE)="牵丝",VLOOKUP($E53,武器奇术!$A:$R,4,FALSE),VLOOKUP($E53,武器奇术!$A:$R,2,FALSE))*(1+CB53)*(1+CC53)*CD53</f>
        <v>0</v>
      </c>
      <c r="CL53" s="110">
        <f t="shared" si="22"/>
        <v>0.0200148</v>
      </c>
      <c r="CM53" s="113">
        <f t="shared" si="23"/>
        <v>0</v>
      </c>
      <c r="CN53" s="108">
        <f>$B$13*IF($G$5="撼天",1.05,1)+IF(AND(VLOOKUP($E53,武器奇术!$A:$R,15,FALSE)="武器",VLOOKUP($E53,武器奇术!$A:$R,17,FALSE)="破竹"),$E$3,0)*(1+$E$15)</f>
        <v>648.46</v>
      </c>
      <c r="CO53" s="99">
        <f>IF(VLOOKUP($E53,武器奇术!$A:$Z,20,FALSE)=1,(CP53-(CN53+CP53)*0.5)*($G$15-0.5)*2+(CN53+CP53)*0.5,(CN53+CP53)*0.5)</f>
        <v>875.26</v>
      </c>
      <c r="CP53" s="109">
        <f>MAX($C$13*IF($G$5="撼天",1.05,1)+IF(AND(VLOOKUP($E53,武器奇术!$A:$R,15,FALSE)="武器",VLOOKUP($E53,武器奇术!$A:$R,17,FALSE)="破竹"),$E$3*(1+$E$15),0),CN53)</f>
        <v>1102.06</v>
      </c>
      <c r="CQ53" s="110">
        <f>IF(($D$13+IF(VLOOKUP($E53,武器奇术!$A:$R,17,FALSE)="破竹",$D$15,0)+IF(VLOOKUP($E53,武器奇术!$A:$R,18,FALSE)=1,4,0)+IF(VLOOKUP($E53,武器奇术!$A:$S,19,FALSE)=1,20,0)-VLOOKUP($F$7,目标属性!$A:$R,6,FALSE))&gt;0,($D$13+IF(VLOOKUP($E53,武器奇术!$A:$R,17,FALSE)="破竹",$D$15,0)+IF(VLOOKUP($E53,武器奇术!$A:$R,18,FALSE)=1,4,0)+IF(VLOOKUP($E53,武器奇术!$A:$S,19,FALSE)=1,20,0)-VLOOKUP($F$7,目标属性!$A:$R,6,FALSE))/200,($D$13+IF(VLOOKUP($E53,武器奇术!$A:$R,17,FALSE)="破竹",$D$15,0)+IF(VLOOKUP($E53,武器奇术!$A:$R,18,FALSE)=1,4,0)+IF(VLOOKUP($E53,武器奇术!$A:$S,19,FALSE)=1,20,0)-VLOOKUP($F$7,目标属性!$A:$R,6,FALSE))/100)</f>
        <v>0.145</v>
      </c>
      <c r="CR53" s="111">
        <f>$E$13+IF(VLOOKUP($E53,武器奇术!$A:$U,21,FALSE)=1,0,0.09)</f>
        <v>0.235</v>
      </c>
      <c r="CS53" s="109">
        <v>1</v>
      </c>
      <c r="CT53" s="112">
        <f>CN53*IF(VLOOKUP($E53,武器奇术!$A:$R,17,FALSE)="破竹",VLOOKUP($E53,武器奇术!$A:$R,4,FALSE),VLOOKUP($E53,武器奇术!$A:$R,2,FALSE))*(1+CQ53)*(1+CR53)*CS53</f>
        <v>31157.741801014</v>
      </c>
      <c r="CU53" s="110">
        <f>(1-IF(VLOOKUP($E53,武器奇术!$A:$T,20,FALSE)=1,1,$N53))*(1-$M53)</f>
        <v>0</v>
      </c>
      <c r="CV53" s="112">
        <f>CO53*IF(VLOOKUP($E53,武器奇术!$A:$R,17,FALSE)="破竹",VLOOKUP($E53,武器奇术!$A:$R,4,FALSE),VLOOKUP($E53,武器奇术!$A:$R,2,FALSE))*(1+CQ53)*(1+CR53)*CS53*(1+$E$16+VLOOKUP($E53,武器奇术!$A:$R,8,FALSE))</f>
        <v>89998.16132057</v>
      </c>
      <c r="CW53" s="110">
        <f t="shared" si="24"/>
        <v>0.8813852</v>
      </c>
      <c r="CX53" s="112">
        <f>CP53*IF(VLOOKUP($E53,武器奇术!$A:$R,17,FALSE)="破竹",VLOOKUP($E53,武器奇术!$A:$R,4,FALSE),VLOOKUP($E53,武器奇术!$A:$R,2,FALSE))*(1+CQ53)*(1+CR53)*CS53*(1+$E$17+VLOOKUP($E53,武器奇术!$A:$R,10,FALSE))</f>
        <v>71486.1306086026</v>
      </c>
      <c r="CY53" s="110">
        <f t="shared" si="25"/>
        <v>0.0986</v>
      </c>
      <c r="CZ53" s="112">
        <f>CO53*IF(VLOOKUP($E53,武器奇术!$A:$R,17,FALSE)="破竹",VLOOKUP($E53,武器奇术!$A:$R,4,FALSE),VLOOKUP($E53,武器奇术!$A:$R,2,FALSE))*(1+CQ53)*(1+CR53)*CS53</f>
        <v>42055.2155703598</v>
      </c>
      <c r="DA53" s="110">
        <f t="shared" si="26"/>
        <v>0.0200148</v>
      </c>
      <c r="DB53" s="113">
        <f t="shared" si="27"/>
        <v>87213.3066217687</v>
      </c>
      <c r="DC53" s="108">
        <f t="shared" si="36"/>
        <v>69.3</v>
      </c>
      <c r="DD53" s="99">
        <f>(DC53+DE53)*IF(VLOOKUP($E53,武器奇术!$A:$Z,21,FALSE)=1,$G$15,0.5)</f>
        <v>69.3</v>
      </c>
      <c r="DE53" s="109">
        <f t="shared" si="37"/>
        <v>69.3</v>
      </c>
      <c r="DF53" s="110">
        <f>IF(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100)</f>
        <v>0.145</v>
      </c>
      <c r="DG53" s="111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U,21,FALSE)=1,0,0.09)</f>
        <v>0.235</v>
      </c>
      <c r="DH53" s="109">
        <v>1</v>
      </c>
      <c r="DI53" s="112">
        <f>DC53*IF(VLOOKUP($E53,武器奇术!$A:$R,17,FALSE)="破竹",VLOOKUP($E53,武器奇术!$A:$R,4,FALSE),VLOOKUP($E53,武器奇术!$A:$R,2,FALSE))*(1+DF53)*(1+DG53)*DH53</f>
        <v>3329.78365174455</v>
      </c>
      <c r="DJ53" s="110">
        <f>(1-IF(VLOOKUP($E53,武器奇术!$A:$T,20,FALSE)=1,1,$N53))*(1-$M53)</f>
        <v>0</v>
      </c>
      <c r="DK53" s="112">
        <f>DD53*IF(VLOOKUP($E53,武器奇术!$A:$R,17,FALSE)="破竹",VLOOKUP($E53,武器奇术!$A:$R,4,FALSE),VLOOKUP($E53,武器奇术!$A:$R,2,FALSE))*(1+DF53)*(1+DG53)*DH53*(1+$E$16+VLOOKUP($E53,武器奇术!$A:$R,8,FALSE))</f>
        <v>7125.73701473334</v>
      </c>
      <c r="DL53" s="110">
        <f t="shared" si="28"/>
        <v>0.8813852</v>
      </c>
      <c r="DM53" s="112">
        <f>DE53*IF(VLOOKUP($E53,武器奇术!$A:$R,17,FALSE)="破竹",VLOOKUP($E53,武器奇术!$A:$R,4,FALSE),VLOOKUP($E53,武器奇术!$A:$R,2,FALSE))*(1+DF53)*(1+DG53)*DH53*(1+$E$17+VLOOKUP($E53,武器奇术!$A:$R,10,FALSE))</f>
        <v>4495.20792985514</v>
      </c>
      <c r="DN53" s="110">
        <f t="shared" si="29"/>
        <v>0.0986</v>
      </c>
      <c r="DO53" s="112">
        <f>DD53*IF(VLOOKUP($E53,武器奇术!$A:$R,17,FALSE)="破竹",VLOOKUP($E53,武器奇术!$A:$R,4,FALSE),VLOOKUP($E53,武器奇术!$A:$R,2,FALSE))*(1+DF53)*(1+DG53)*DH53</f>
        <v>3329.78365174455</v>
      </c>
      <c r="DP53" s="110">
        <f t="shared" si="30"/>
        <v>0.0200148</v>
      </c>
      <c r="DQ53" s="113">
        <f t="shared" si="31"/>
        <v>6790.3915995948</v>
      </c>
    </row>
    <row r="54" customFormat="1" ht="14.25" spans="1:121">
      <c r="B54" s="95"/>
      <c r="C54" s="145"/>
      <c r="D54" s="146"/>
      <c r="E54" s="98" t="s">
        <v>93</v>
      </c>
      <c r="F54" s="99">
        <v>1</v>
      </c>
      <c r="G54" s="115"/>
      <c r="H54" s="100">
        <f>IF(VLOOKUP($E54,武器奇术!$A:$R,18,FALSE)="天工",AE54,(AE54+AT54+BI54+BX54+CM54+DB54+DQ54))*(1+J54)*F54*K54*(1+G54)</f>
        <v>0</v>
      </c>
      <c r="I54" s="101">
        <f t="shared" si="0"/>
        <v>0</v>
      </c>
      <c r="J54" s="101">
        <f>$F$3+VLOOKUP($E54,武器奇术!$A:$R,12,FALSE)+VLOOKUP($E54,武器奇术!$A:$R,14,FALSE)*$G$3+$P54</f>
        <v>0.303</v>
      </c>
      <c r="K54" s="102">
        <f>VLOOKUP($E54,武器奇术!$A:$R,11,FALSE)</f>
        <v>1</v>
      </c>
      <c r="L54" s="117">
        <f>IF(VLOOKUP($E54,武器奇术!$A:$R,15,FALSE)="天工",0%,IF($C$17+VLOOKUP($E54,武器奇术!$A:$R,7,FALSE)&gt;80%,80%,$C$17+VLOOKUP($E54,武器奇术!$A:$R,7,FALSE))+IF($C$19&gt;20%,20%,$C$19))</f>
        <v>0.892</v>
      </c>
      <c r="M54" s="118">
        <f>IF(VLOOKUP($E54,武器奇术!$A:$R,15,FALSE)="天工",0%,IF($C$18+VLOOKUP($E54,武器奇术!$A:$R,9,FALSE)&gt;40%,40%,$C$18+VLOOKUP($E54,武器奇术!$A:$R,9,FALSE))+IF($C$20&gt;10%,10%,$C$20))</f>
        <v>0.0986</v>
      </c>
      <c r="N54" s="119">
        <f>IF(VLOOKUP($E54,武器奇术!$A:$R,15,FALSE)="天工",100%,MIN($C$16,1))</f>
        <v>0.9881</v>
      </c>
      <c r="O54" s="120" t="str">
        <f>VLOOKUP($E54,武器奇术!$A:$R,16,FALSE)</f>
        <v>N/A</v>
      </c>
      <c r="P54" s="121">
        <f t="shared" si="32"/>
        <v>0</v>
      </c>
      <c r="Q54" s="108">
        <f>$B$5*(1+VLOOKUP($E54,武器奇术!$A:$R,5,FALSE)+IF($G$5="飞隼",0.1,0)+IF($G$5="撼天",0.05,0))-$F$9+IF($I$5="√",160,0)</f>
        <v>1731.135</v>
      </c>
      <c r="R54" s="99">
        <f>IF(VLOOKUP($E54,武器奇术!$A:$Z,20,FALSE)=1,(S54-(Q54+S54)*0.5)*($G$15-0.5)*2+(Q54+S54)*0.5,(Q54+S54)*0.5)</f>
        <v>3256.775</v>
      </c>
      <c r="S54" s="109">
        <f>MAX($C$5,$B$5)*(1+VLOOKUP($E54,武器奇术!$A:$R,5,FALSE)+IF($G$5="飞隼",0.1,0)+IF($G$5="撼天",0.05,0))-$F$9+IF($I$5="√",320,0)</f>
        <v>4782.415</v>
      </c>
      <c r="T54" s="101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U54" s="111">
        <f>$E$5+IF(VLOOKUP($E54,武器奇术!$A:$U,21,FALSE)=1,0,0.09)</f>
        <v>0.115</v>
      </c>
      <c r="V54" s="109">
        <v>1</v>
      </c>
      <c r="W54" s="112">
        <f>Q54*VLOOKUP($E54,武器奇术!$A:$R,2,FALSE)*(1+T54)*(1+U54)*V54</f>
        <v>0</v>
      </c>
      <c r="X54" s="110">
        <f>(1-IF(VLOOKUP($E54,武器奇术!$A:$T,20,FALSE)=1,1,$N54))*(1-$M54)</f>
        <v>0.01072666</v>
      </c>
      <c r="Y54" s="112">
        <f>R54*VLOOKUP($E54,武器奇术!$A:$R,2,FALSE)*(1+T54)*(1+U54)*V54*(1+$E$16+VLOOKUP($E54,武器奇术!$A:$R,8,FALSE))</f>
        <v>0</v>
      </c>
      <c r="Z54" s="110">
        <f t="shared" si="33"/>
        <v>0.8813852</v>
      </c>
      <c r="AA54" s="112">
        <f>S54*VLOOKUP($E54,武器奇术!$A:$R,2,FALSE)*(1+T54)*(1+U54)*V54*(1+$E$17+VLOOKUP($E54,武器奇术!$A:$R,10,FALSE))</f>
        <v>0</v>
      </c>
      <c r="AB54" s="110">
        <f t="shared" si="34"/>
        <v>0.0986</v>
      </c>
      <c r="AC54" s="112">
        <f>R54*VLOOKUP($E54,武器奇术!$A:$R,2,FALSE)*(1+T54)*(1+U54)*V54</f>
        <v>0</v>
      </c>
      <c r="AD54" s="110">
        <f t="shared" si="1"/>
        <v>0.00928814000000003</v>
      </c>
      <c r="AE54" s="113">
        <f t="shared" si="2"/>
        <v>0</v>
      </c>
      <c r="AF54" s="114">
        <f>VLOOKUP($E54,武器奇术!$A:$R,3,FALSE)*(1+IF(VLOOKUP($E54,武器奇术!$A:$R,15,FALSE)="武器",$E$15,0))</f>
        <v>0</v>
      </c>
      <c r="AG54" s="112">
        <f t="shared" si="3"/>
        <v>0</v>
      </c>
      <c r="AH54" s="112">
        <f>VLOOKUP($E54,武器奇术!$A:$R,3,FALSE)*(1+IF(VLOOKUP($E54,武器奇术!$A:$R,15,FALSE)="武器",$E$15,0))</f>
        <v>0</v>
      </c>
      <c r="AI54" s="101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AJ54" s="111">
        <f>$E$5+IF(VLOOKUP($E54,武器奇术!$A:$U,21,FALSE)=1,0,0.09)</f>
        <v>0.115</v>
      </c>
      <c r="AK54" s="109">
        <v>1</v>
      </c>
      <c r="AL54" s="112">
        <f t="shared" si="35"/>
        <v>0</v>
      </c>
      <c r="AM54" s="110">
        <f>(1-IF(VLOOKUP($E54,武器奇术!$A:$T,20,FALSE)=1,1,$N54))*(1-$M54)</f>
        <v>0.01072666</v>
      </c>
      <c r="AN54" s="112">
        <f>AG54*(1+AI54)*(1+AJ54)*AK54*(1+$E$16+VLOOKUP($E54,武器奇术!$A:$R,8,FALSE))</f>
        <v>0</v>
      </c>
      <c r="AO54" s="110">
        <f t="shared" si="4"/>
        <v>0.8813852</v>
      </c>
      <c r="AP54" s="112">
        <f>AH54*(1+AI54)*(1+AJ54)*AK54*(1+$E$17+VLOOKUP($E54,武器奇术!$A:$R,10,FALSE))</f>
        <v>0</v>
      </c>
      <c r="AQ54" s="110">
        <f t="shared" si="5"/>
        <v>0.0986</v>
      </c>
      <c r="AR54" s="112">
        <f t="shared" si="6"/>
        <v>0</v>
      </c>
      <c r="AS54" s="110">
        <f t="shared" si="7"/>
        <v>0.00928814000000003</v>
      </c>
      <c r="AT54" s="113">
        <f t="shared" si="8"/>
        <v>0</v>
      </c>
      <c r="AU54" s="108">
        <f>$B$7*IF($G$5="撼天",1.05,1)+IF(AND(VLOOKUP($E54,武器奇术!$A:$R,15,FALSE)="武器",VLOOKUP($E54,武器奇术!$A:$R,17,FALSE)="鸣金"),$E$3,0)*(1+$E$15)</f>
        <v>0</v>
      </c>
      <c r="AV54" s="99">
        <f>(AU54+AW54)*IF(VLOOKUP($E54,武器奇术!$A:$Z,21,FALSE)=1,$G$15,0.5)</f>
        <v>0</v>
      </c>
      <c r="AW54" s="109">
        <f>MAX($C$7*IF($G$5="撼天",1.05,1)+IF(AND(VLOOKUP($E54,武器奇术!$A:$R,15,FALSE)="武器",VLOOKUP($E54,武器奇术!$A:$R,17,FALSE)="鸣金"),$E$3*(1+$E$15),0),AU54)</f>
        <v>0</v>
      </c>
      <c r="AX54" s="110">
        <f>IF(($D$7+IF(VLOOKUP($E54,武器奇术!$A:$R,17,FALSE)="鸣金",$D$15,0)+IF(VLOOKUP($E54,武器奇术!$A:$R,18,FALSE)=1,4,0)+IF(VLOOKUP($E54,武器奇术!$A:$S,19,FALSE)=1,20,0)-VLOOKUP($F$7,目标属性!$A:$R,6,FALSE))&gt;0,($D$7+IF(VLOOKUP($E54,武器奇术!$A:$R,17,FALSE)="鸣金",$D$15,0)+IF(VLOOKUP($E54,武器奇术!$A:$R,18,FALSE)=1,4,0)+IF(VLOOKUP($E54,武器奇术!$A:$S,19,FALSE)=1,20,0)-VLOOKUP($F$7,目标属性!$A:$R,6,FALSE))/200,($D$7+IF(VLOOKUP($E54,武器奇术!$A:$R,17,FALSE)="鸣金",$D$15,0)+IF(VLOOKUP($E54,武器奇术!$A:$R,18,FALSE)=1,4,0)+IF(VLOOKUP($E54,武器奇术!$A:$S,19,FALSE)=1,20,0)-VLOOKUP($F$7,目标属性!$A:$R,6,FALSE))/100)</f>
        <v>-0.24</v>
      </c>
      <c r="AY54" s="111">
        <f t="shared" si="9"/>
        <v>0</v>
      </c>
      <c r="AZ54" s="109">
        <v>1</v>
      </c>
      <c r="BA54" s="112">
        <f>AU54*IF(VLOOKUP($E54,武器奇术!$A:$R,17,FALSE)="鸣金",VLOOKUP($E54,武器奇术!$A:$R,4,FALSE),VLOOKUP($E54,武器奇术!$A:$R,2,FALSE))*(1+AX54)*(1+AY54)*AZ54</f>
        <v>0</v>
      </c>
      <c r="BB54" s="110">
        <f>(1-IF(VLOOKUP($E54,武器奇术!$A:$T,20,FALSE)=1,1,$N54))*(1-$M54)</f>
        <v>0.01072666</v>
      </c>
      <c r="BC54" s="112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10">
        <f t="shared" si="10"/>
        <v>0.8813852</v>
      </c>
      <c r="BE54" s="112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10">
        <f t="shared" si="11"/>
        <v>0.0986</v>
      </c>
      <c r="BG54" s="112">
        <f>AV54*IF(VLOOKUP($E54,武器奇术!$A:$R,17,FALSE)="鸣金",VLOOKUP($E54,武器奇术!$A:$R,4,FALSE),VLOOKUP($E54,武器奇术!$A:$R,2,FALSE))*(1+AX54)*(1+AY54)*AZ54</f>
        <v>0</v>
      </c>
      <c r="BH54" s="110">
        <f t="shared" si="12"/>
        <v>0.00928814000000003</v>
      </c>
      <c r="BI54" s="113">
        <f t="shared" si="13"/>
        <v>0</v>
      </c>
      <c r="BJ54" s="108">
        <f>$B$9*IF($G$5="撼天",1.05,1)+IF(AND(VLOOKUP($E54,武器奇术!$A:$R,15,FALSE)="武器",VLOOKUP($E54,武器奇术!$A:$R,17,FALSE)="裂石"),$E$3,0)*(1+$E$15)</f>
        <v>0</v>
      </c>
      <c r="BK54" s="99">
        <f>(BJ54+BL54)*IF(VLOOKUP($E54,武器奇术!$A:$Z,21,FALSE)=1,$G$15,0.5)</f>
        <v>0</v>
      </c>
      <c r="BL54" s="109">
        <f>MAX($C$9*IF($G$5="撼天",1.05,1)+IF(AND(VLOOKUP($E54,武器奇术!$A:$R,15,FALSE)="武器",VLOOKUP($E54,武器奇术!$A:$R,17,FALSE)="裂石"),$E$3*(1+$E$15),0),BJ54)</f>
        <v>0</v>
      </c>
      <c r="BM54" s="110">
        <f>IF(($D$9+IF(VLOOKUP($E54,武器奇术!$A:$R,17,FALSE)="裂石",$D$15,0)+IF(VLOOKUP($E54,武器奇术!$A:$R,18,FALSE)=1,4,0)+IF(VLOOKUP($E54,武器奇术!$A:$S,19,FALSE)=1,20,0)-VLOOKUP($F$7,目标属性!$A:$R,6,FALSE))&gt;0,($D$9+IF(VLOOKUP($E54,武器奇术!$A:$R,17,FALSE)="裂石",$D$15,0)+IF(VLOOKUP($E54,武器奇术!$A:$R,18,FALSE)=1,4,0)+IF(VLOOKUP($E54,武器奇术!$A:$S,19,FALSE)=1,20,0)-VLOOKUP($F$7,目标属性!$A:$R,6,FALSE))/200,($D$9+IF(VLOOKUP($E54,武器奇术!$A:$R,17,FALSE)="裂石",$D$15,0)+IF(VLOOKUP($E54,武器奇术!$A:$R,18,FALSE)=1,4,0)+IF(VLOOKUP($E54,武器奇术!$A:$S,19,FALSE)=1,20,0)-VLOOKUP($F$7,目标属性!$A:$R,6,FALSE))/100)</f>
        <v>-0.24</v>
      </c>
      <c r="BN54" s="111">
        <f t="shared" si="14"/>
        <v>0</v>
      </c>
      <c r="BO54" s="109">
        <v>1</v>
      </c>
      <c r="BP54" s="112">
        <f>BJ54*IF(VLOOKUP($E54,武器奇术!$A:$R,17,FALSE)="裂石",VLOOKUP($E54,武器奇术!$A:$R,4,FALSE),VLOOKUP($E54,武器奇术!$A:$R,2,FALSE))*(1+BM54)*(1+BN54)*BO54</f>
        <v>0</v>
      </c>
      <c r="BQ54" s="110">
        <f>(1-IF(VLOOKUP($E54,武器奇术!$A:$T,20,FALSE)=1,1,$N54))*(1-$M54)</f>
        <v>0.01072666</v>
      </c>
      <c r="BR54" s="112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10">
        <f t="shared" si="15"/>
        <v>0.8813852</v>
      </c>
      <c r="BT54" s="112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10">
        <f t="shared" si="16"/>
        <v>0.0986</v>
      </c>
      <c r="BV54" s="112">
        <f>BK54*IF(VLOOKUP($E54,武器奇术!$A:$R,17,FALSE)="裂石",VLOOKUP($E54,武器奇术!$A:$R,4,FALSE),VLOOKUP($E54,武器奇术!$A:$R,2,FALSE))*(1+BM54)*(1+BN54)*BO54</f>
        <v>0</v>
      </c>
      <c r="BW54" s="110">
        <f t="shared" si="17"/>
        <v>0.00928814000000003</v>
      </c>
      <c r="BX54" s="113">
        <f t="shared" si="18"/>
        <v>0</v>
      </c>
      <c r="BY54" s="108">
        <f>$B$11*IF($G$5="撼天",1.05,1)+IF(AND(VLOOKUP($E54,武器奇术!$A:$R,15,FALSE)="武器",VLOOKUP($E54,武器奇术!$A:$R,17,FALSE)="牵丝"),$E$3,0)*(1+$E$15)</f>
        <v>0</v>
      </c>
      <c r="BZ54" s="99">
        <f>(BY54+CA54)*IF(VLOOKUP($E54,武器奇术!$A:$Z,21,FALSE)=1,$G$15,0.5)</f>
        <v>0</v>
      </c>
      <c r="CA54" s="109">
        <f>MAX($C$11*IF($G$5="撼天",1.05,1)+IF(AND(VLOOKUP($E54,武器奇术!$A:$R,15,FALSE)="武器",VLOOKUP($E54,武器奇术!$A:$R,17,FALSE)="牵丝"),$E$3*(1+$E$15),0),BY54)</f>
        <v>0</v>
      </c>
      <c r="CB54" s="110">
        <f>IF(($D$11+IF(VLOOKUP($E54,武器奇术!$A:$R,17,FALSE)="牵丝",$D$15,0)+IF(VLOOKUP($E54,武器奇术!$A:$R,18,FALSE)=1,4,0)+IF(VLOOKUP($E54,武器奇术!$A:$S,19,FALSE)=1,20,0)-VLOOKUP($F$7,目标属性!$A:$R,6,FALSE))&gt;0,($D$11+IF(VLOOKUP($E54,武器奇术!$A:$R,17,FALSE)="牵丝",$D$15,0)+IF(VLOOKUP($E54,武器奇术!$A:$R,18,FALSE)=1,4,0)+IF(VLOOKUP($E54,武器奇术!$A:$S,19,FALSE)=1,20,0)-VLOOKUP($F$7,目标属性!$A:$R,6,FALSE))/200,($D$11+IF(VLOOKUP($E54,武器奇术!$A:$R,17,FALSE)="牵丝",$D$15,0)+IF(VLOOKUP($E54,武器奇术!$A:$R,18,FALSE)=1,4,0)+IF(VLOOKUP($E54,武器奇术!$A:$S,19,FALSE)=1,20,0)-VLOOKUP($F$7,目标属性!$A:$R,6,FALSE))/100)</f>
        <v>-0.24</v>
      </c>
      <c r="CC54" s="111">
        <f t="shared" si="19"/>
        <v>0</v>
      </c>
      <c r="CD54" s="109">
        <v>1</v>
      </c>
      <c r="CE54" s="112">
        <f>BY54*IF(VLOOKUP($E54,武器奇术!$A:$R,17,FALSE)="牵丝",VLOOKUP($E54,武器奇术!$A:$R,4,FALSE),VLOOKUP($E54,武器奇术!$A:$R,2,FALSE))*(1+CB54)*(1+CC54)*CD54</f>
        <v>0</v>
      </c>
      <c r="CF54" s="110">
        <f>(1-IF(VLOOKUP($E54,武器奇术!$A:$T,20,FALSE)=1,1,$N54))*(1-$M54)</f>
        <v>0.01072666</v>
      </c>
      <c r="CG54" s="112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110">
        <f t="shared" si="20"/>
        <v>0.8813852</v>
      </c>
      <c r="CI54" s="112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110">
        <f t="shared" si="21"/>
        <v>0.0986</v>
      </c>
      <c r="CK54" s="112">
        <f>BZ54*IF(VLOOKUP($E54,武器奇术!$A:$R,17,FALSE)="牵丝",VLOOKUP($E54,武器奇术!$A:$R,4,FALSE),VLOOKUP($E54,武器奇术!$A:$R,2,FALSE))*(1+CB54)*(1+CC54)*CD54</f>
        <v>0</v>
      </c>
      <c r="CL54" s="110">
        <f t="shared" si="22"/>
        <v>0.00928814000000003</v>
      </c>
      <c r="CM54" s="113">
        <f t="shared" si="23"/>
        <v>0</v>
      </c>
      <c r="CN54" s="108">
        <f>$B$13*IF($G$5="撼天",1.05,1)+IF(AND(VLOOKUP($E54,武器奇术!$A:$R,15,FALSE)="武器",VLOOKUP($E54,武器奇术!$A:$R,17,FALSE)="破竹"),$E$3,0)*(1+$E$15)</f>
        <v>452.55</v>
      </c>
      <c r="CO54" s="99">
        <f>IF(VLOOKUP($E54,武器奇术!$A:$Z,20,FALSE)=1,(CP54-(CN54+CP54)*0.5)*($G$15-0.5)*2+(CN54+CP54)*0.5,(CN54+CP54)*0.5)</f>
        <v>679.35</v>
      </c>
      <c r="CP54" s="109">
        <f>MAX($C$13*IF($G$5="撼天",1.05,1)+IF(AND(VLOOKUP($E54,武器奇术!$A:$R,15,FALSE)="武器",VLOOKUP($E54,武器奇术!$A:$R,17,FALSE)="破竹"),$E$3*(1+$E$15),0),CN54)</f>
        <v>906.15</v>
      </c>
      <c r="CQ54" s="110">
        <f>IF(($D$13+IF(VLOOKUP($E54,武器奇术!$A:$R,17,FALSE)="破竹",$D$15,0)+IF(VLOOKUP($E54,武器奇术!$A:$R,18,FALSE)=1,4,0)+IF(VLOOKUP($E54,武器奇术!$A:$S,19,FALSE)=1,20,0)-VLOOKUP($F$7,目标属性!$A:$R,6,FALSE))&gt;0,($D$13+IF(VLOOKUP($E54,武器奇术!$A:$R,17,FALSE)="破竹",$D$15,0)+IF(VLOOKUP($E54,武器奇术!$A:$R,18,FALSE)=1,4,0)+IF(VLOOKUP($E54,武器奇术!$A:$S,19,FALSE)=1,20,0)-VLOOKUP($F$7,目标属性!$A:$R,6,FALSE))/200,($D$13+IF(VLOOKUP($E54,武器奇术!$A:$R,17,FALSE)="破竹",$D$15,0)+IF(VLOOKUP($E54,武器奇术!$A:$R,18,FALSE)=1,4,0)+IF(VLOOKUP($E54,武器奇术!$A:$S,19,FALSE)=1,20,0)-VLOOKUP($F$7,目标属性!$A:$R,6,FALSE))/100)</f>
        <v>0.025</v>
      </c>
      <c r="CR54" s="111">
        <f>$E$13+IF(VLOOKUP($E54,武器奇术!$A:$U,21,FALSE)=1,0,0.09)</f>
        <v>0.235</v>
      </c>
      <c r="CS54" s="109">
        <v>1</v>
      </c>
      <c r="CT54" s="112">
        <f>CN54*IF(VLOOKUP($E54,武器奇术!$A:$R,17,FALSE)="破竹",VLOOKUP($E54,武器奇术!$A:$R,4,FALSE),VLOOKUP($E54,武器奇术!$A:$R,2,FALSE))*(1+CQ54)*(1+CR54)*CS54</f>
        <v>0</v>
      </c>
      <c r="CU54" s="110">
        <f>(1-IF(VLOOKUP($E54,武器奇术!$A:$T,20,FALSE)=1,1,$N54))*(1-$M54)</f>
        <v>0.01072666</v>
      </c>
      <c r="CV54" s="112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10">
        <f t="shared" si="24"/>
        <v>0.8813852</v>
      </c>
      <c r="CX54" s="112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10">
        <f t="shared" si="25"/>
        <v>0.0986</v>
      </c>
      <c r="CZ54" s="112">
        <f>CO54*IF(VLOOKUP($E54,武器奇术!$A:$R,17,FALSE)="破竹",VLOOKUP($E54,武器奇术!$A:$R,4,FALSE),VLOOKUP($E54,武器奇术!$A:$R,2,FALSE))*(1+CQ54)*(1+CR54)*CS54</f>
        <v>0</v>
      </c>
      <c r="DA54" s="110">
        <f t="shared" si="26"/>
        <v>0.00928814000000003</v>
      </c>
      <c r="DB54" s="113">
        <f t="shared" si="27"/>
        <v>0</v>
      </c>
      <c r="DC54" s="108">
        <f t="shared" si="36"/>
        <v>69.3</v>
      </c>
      <c r="DD54" s="99">
        <f>(DC54+DE54)*IF(VLOOKUP($E54,武器奇术!$A:$Z,21,FALSE)=1,$G$15,0.5)</f>
        <v>69.3</v>
      </c>
      <c r="DE54" s="109">
        <f t="shared" si="37"/>
        <v>69.3</v>
      </c>
      <c r="DF54" s="110">
        <f>IF(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100)</f>
        <v>0.025</v>
      </c>
      <c r="DG54" s="111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U,21,FALSE)=1,0,0.09)</f>
        <v>0.235</v>
      </c>
      <c r="DH54" s="109">
        <v>1</v>
      </c>
      <c r="DI54" s="112">
        <f>DC54*IF(VLOOKUP($E54,武器奇术!$A:$R,17,FALSE)="破竹",VLOOKUP($E54,武器奇术!$A:$R,4,FALSE),VLOOKUP($E54,武器奇术!$A:$R,2,FALSE))*(1+DF54)*(1+DG54)*DH54</f>
        <v>0</v>
      </c>
      <c r="DJ54" s="110">
        <f>(1-IF(VLOOKUP($E54,武器奇术!$A:$T,20,FALSE)=1,1,$N54))*(1-$M54)</f>
        <v>0.01072666</v>
      </c>
      <c r="DK54" s="112">
        <f>DD54*IF(VLOOKUP($E54,武器奇术!$A:$R,17,FALSE)="破竹",VLOOKUP($E54,武器奇术!$A:$R,4,FALSE),VLOOKUP($E54,武器奇术!$A:$R,2,FALSE))*(1+DF54)*(1+DG54)*DH54*(1+$E$16+VLOOKUP($E54,武器奇术!$A:$R,8,FALSE))</f>
        <v>0</v>
      </c>
      <c r="DL54" s="110">
        <f t="shared" si="28"/>
        <v>0.8813852</v>
      </c>
      <c r="DM54" s="112">
        <f>DE54*IF(VLOOKUP($E54,武器奇术!$A:$R,17,FALSE)="破竹",VLOOKUP($E54,武器奇术!$A:$R,4,FALSE),VLOOKUP($E54,武器奇术!$A:$R,2,FALSE))*(1+DF54)*(1+DG54)*DH54*(1+$E$17+VLOOKUP($E54,武器奇术!$A:$R,10,FALSE))</f>
        <v>0</v>
      </c>
      <c r="DN54" s="110">
        <f t="shared" si="29"/>
        <v>0.0986</v>
      </c>
      <c r="DO54" s="112">
        <f>DD54*IF(VLOOKUP($E54,武器奇术!$A:$R,17,FALSE)="破竹",VLOOKUP($E54,武器奇术!$A:$R,4,FALSE),VLOOKUP($E54,武器奇术!$A:$R,2,FALSE))*(1+DF54)*(1+DG54)*DH54</f>
        <v>0</v>
      </c>
      <c r="DP54" s="110">
        <f t="shared" si="30"/>
        <v>0.00928814000000003</v>
      </c>
      <c r="DQ54" s="113">
        <f t="shared" si="31"/>
        <v>0</v>
      </c>
    </row>
    <row r="55" customFormat="1" spans="1:121">
      <c r="B55" s="103" t="s">
        <v>147</v>
      </c>
      <c r="C55" s="141"/>
      <c r="D55" s="142"/>
      <c r="E55" s="98" t="s">
        <v>148</v>
      </c>
      <c r="F55" s="99">
        <v>1</v>
      </c>
      <c r="G55" s="115"/>
      <c r="H55" s="100">
        <f>IF(VLOOKUP($E55,武器奇术!$A:$R,18,FALSE)="天工",AE55,(AE55+AT55+BI55+BX55+CM55+DB55+DQ55))*(1+J55)*F55*K55*(1+G55)</f>
        <v>19363.4768027594</v>
      </c>
      <c r="I55" s="101">
        <f t="shared" si="0"/>
        <v>0.00239067126809947</v>
      </c>
      <c r="J55" s="101">
        <f>$F$3+VLOOKUP($E55,武器奇术!$A:$R,12,FALSE)+VLOOKUP($E55,武器奇术!$A:$R,14,FALSE)*$G$3+$P55</f>
        <v>0.573</v>
      </c>
      <c r="K55" s="102">
        <f>VLOOKUP($E55,武器奇术!$A:$R,11,FALSE)</f>
        <v>1</v>
      </c>
      <c r="L55" s="117">
        <f>IF(VLOOKUP($E55,武器奇术!$A:$R,15,FALSE)="天工",0%,IF($C$17+VLOOKUP($E55,武器奇术!$A:$R,7,FALSE)&gt;80%,80%,$C$17+VLOOKUP($E55,武器奇术!$A:$R,7,FALSE))+IF($C$19&gt;20%,20%,$C$19))</f>
        <v>0.892</v>
      </c>
      <c r="M55" s="118">
        <f>IF(VLOOKUP($E55,武器奇术!$A:$R,15,FALSE)="天工",0%,IF($C$18+VLOOKUP($E55,武器奇术!$A:$R,9,FALSE)&gt;40%,40%,$C$18+VLOOKUP($E55,武器奇术!$A:$R,9,FALSE))+IF($C$20&gt;10%,10%,$C$20))</f>
        <v>0.0986</v>
      </c>
      <c r="N55" s="119">
        <f>IF(VLOOKUP($E55,武器奇术!$A:$R,15,FALSE)="天工",100%,MIN($C$16,1))</f>
        <v>0.9881</v>
      </c>
      <c r="O55" s="120" t="str">
        <f>VLOOKUP($E55,武器奇术!$A:$R,16,FALSE)</f>
        <v>拳甲</v>
      </c>
      <c r="P55" s="121">
        <f t="shared" si="32"/>
        <v>0.17</v>
      </c>
      <c r="Q55" s="108">
        <f>$B$5*(1+VLOOKUP($E55,武器奇术!$A:$R,5,FALSE)+IF($G$5="飞隼",0.1,0)+IF($G$5="撼天",0.05,0))-$F$9+IF($I$5="√",160,0)</f>
        <v>1731.135</v>
      </c>
      <c r="R55" s="99">
        <f>IF(VLOOKUP($E55,武器奇术!$A:$Z,20,FALSE)=1,(S55-(Q55+S55)*0.5)*($G$15-0.5)*2+(Q55+S55)*0.5,(Q55+S55)*0.5)</f>
        <v>3256.775</v>
      </c>
      <c r="S55" s="109">
        <f>MAX($C$5,$B$5)*(1+VLOOKUP($E55,武器奇术!$A:$R,5,FALSE)+IF($G$5="飞隼",0.1,0)+IF($G$5="撼天",0.05,0))-$F$9+IF($I$5="√",320,0)</f>
        <v>4782.415</v>
      </c>
      <c r="T55" s="101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U55" s="111">
        <f>$E$5+IF(VLOOKUP($E55,武器奇术!$A:$U,21,FALSE)=1,0,0.09)</f>
        <v>0.115</v>
      </c>
      <c r="V55" s="109">
        <v>1</v>
      </c>
      <c r="W55" s="112">
        <f>Q55*VLOOKUP($E55,武器奇术!$A:$R,2,FALSE)*(1+T55)*(1+U55)*V55</f>
        <v>2638.25911409603</v>
      </c>
      <c r="X55" s="110">
        <f>(1-IF(VLOOKUP($E55,武器奇术!$A:$T,20,FALSE)=1,1,$N55))*(1-$M55)</f>
        <v>0.01072666</v>
      </c>
      <c r="Y55" s="112">
        <f>R55*VLOOKUP($E55,武器奇术!$A:$R,2,FALSE)*(1+T55)*(1+U55)*V55*(1+$E$16+VLOOKUP($E55,武器奇术!$A:$R,8,FALSE))</f>
        <v>8139.88208611607</v>
      </c>
      <c r="Z55" s="110">
        <f t="shared" si="33"/>
        <v>0.8813852</v>
      </c>
      <c r="AA55" s="112">
        <f>S55*VLOOKUP($E55,武器奇术!$A:$R,2,FALSE)*(1+T55)*(1+U55)*V55*(1+$E$17+VLOOKUP($E55,武器奇术!$A:$R,10,FALSE))</f>
        <v>9839.37558164925</v>
      </c>
      <c r="AB55" s="110">
        <f t="shared" si="34"/>
        <v>0.0986</v>
      </c>
      <c r="AC55" s="112">
        <f>R55*VLOOKUP($E55,武器奇术!$A:$R,2,FALSE)*(1+T55)*(1+U55)*V55</f>
        <v>4963.34273543662</v>
      </c>
      <c r="AD55" s="110">
        <f t="shared" si="1"/>
        <v>0.00928814000000003</v>
      </c>
      <c r="AE55" s="113">
        <f t="shared" si="2"/>
        <v>8218.93396350197</v>
      </c>
      <c r="AF55" s="114">
        <f>VLOOKUP($E55,武器奇术!$A:$R,3,FALSE)*(1+IF(VLOOKUP($E55,武器奇术!$A:$R,15,FALSE)="武器",$E$15,0))</f>
        <v>396.5</v>
      </c>
      <c r="AG55" s="112">
        <f t="shared" si="3"/>
        <v>396.5</v>
      </c>
      <c r="AH55" s="112">
        <f>VLOOKUP($E55,武器奇术!$A:$R,3,FALSE)*(1+IF(VLOOKUP($E55,武器奇术!$A:$R,15,FALSE)="武器",$E$15,0))</f>
        <v>396.5</v>
      </c>
      <c r="AI55" s="101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AJ55" s="111">
        <f>$E$5+IF(VLOOKUP($E55,武器奇术!$A:$U,21,FALSE)=1,0,0.09)</f>
        <v>0.115</v>
      </c>
      <c r="AK55" s="109">
        <v>1</v>
      </c>
      <c r="AL55" s="112">
        <f t="shared" si="35"/>
        <v>549.085095</v>
      </c>
      <c r="AM55" s="110">
        <f>(1-IF(VLOOKUP($E55,武器奇术!$A:$T,20,FALSE)=1,1,$N55))*(1-$M55)</f>
        <v>0.01072666</v>
      </c>
      <c r="AN55" s="112">
        <f>AG55*(1+AI55)*(1+AJ55)*AK55*(1+$E$16+VLOOKUP($E55,武器奇术!$A:$R,8,FALSE))</f>
        <v>900.4995558</v>
      </c>
      <c r="AO55" s="110">
        <f t="shared" si="4"/>
        <v>0.8813852</v>
      </c>
      <c r="AP55" s="112">
        <f>AH55*(1+AI55)*(1+AJ55)*AK55*(1+$E$17+VLOOKUP($E55,武器奇术!$A:$R,10,FALSE))</f>
        <v>741.26487825</v>
      </c>
      <c r="AQ55" s="110">
        <f t="shared" si="5"/>
        <v>0.0986</v>
      </c>
      <c r="AR55" s="112">
        <f t="shared" si="6"/>
        <v>549.085095</v>
      </c>
      <c r="AS55" s="110">
        <f t="shared" si="7"/>
        <v>0.00928814000000003</v>
      </c>
      <c r="AT55" s="113">
        <f t="shared" si="8"/>
        <v>877.76552644355</v>
      </c>
      <c r="AU55" s="108">
        <f>$B$7*IF($G$5="撼天",1.05,1)+IF(AND(VLOOKUP($E55,武器奇术!$A:$R,15,FALSE)="武器",VLOOKUP($E55,武器奇术!$A:$R,17,FALSE)="鸣金"),$E$3,0)*(1+$E$15)</f>
        <v>0</v>
      </c>
      <c r="AV55" s="99">
        <f>(AU55+AW55)*IF(VLOOKUP($E55,武器奇术!$A:$Z,21,FALSE)=1,$G$15,0.5)</f>
        <v>0</v>
      </c>
      <c r="AW55" s="109">
        <f>MAX($C$7*IF($G$5="撼天",1.05,1)+IF(AND(VLOOKUP($E55,武器奇术!$A:$R,15,FALSE)="武器",VLOOKUP($E55,武器奇术!$A:$R,17,FALSE)="鸣金"),$E$3*(1+$E$15),0),AU55)</f>
        <v>0</v>
      </c>
      <c r="AX55" s="110">
        <f>IF(($D$7+IF(VLOOKUP($E55,武器奇术!$A:$R,17,FALSE)="鸣金",$D$15,0)+IF(VLOOKUP($E55,武器奇术!$A:$R,18,FALSE)=1,4,0)+IF(VLOOKUP($E55,武器奇术!$A:$S,19,FALSE)=1,20,0)-VLOOKUP($F$7,目标属性!$A:$R,6,FALSE))&gt;0,($D$7+IF(VLOOKUP($E55,武器奇术!$A:$R,17,FALSE)="鸣金",$D$15,0)+IF(VLOOKUP($E55,武器奇术!$A:$R,18,FALSE)=1,4,0)+IF(VLOOKUP($E55,武器奇术!$A:$S,19,FALSE)=1,20,0)-VLOOKUP($F$7,目标属性!$A:$R,6,FALSE))/200,($D$7+IF(VLOOKUP($E55,武器奇术!$A:$R,17,FALSE)="鸣金",$D$15,0)+IF(VLOOKUP($E55,武器奇术!$A:$R,18,FALSE)=1,4,0)+IF(VLOOKUP($E55,武器奇术!$A:$S,19,FALSE)=1,20,0)-VLOOKUP($F$7,目标属性!$A:$R,6,FALSE))/100)</f>
        <v>-0.24</v>
      </c>
      <c r="AY55" s="111">
        <f t="shared" si="9"/>
        <v>0</v>
      </c>
      <c r="AZ55" s="109">
        <v>1</v>
      </c>
      <c r="BA55" s="112">
        <f>AU55*IF(VLOOKUP($E55,武器奇术!$A:$R,17,FALSE)="鸣金",VLOOKUP($E55,武器奇术!$A:$R,4,FALSE),VLOOKUP($E55,武器奇术!$A:$R,2,FALSE))*(1+AX55)*(1+AY55)*AZ55</f>
        <v>0</v>
      </c>
      <c r="BB55" s="110">
        <f>(1-IF(VLOOKUP($E55,武器奇术!$A:$T,20,FALSE)=1,1,$N55))*(1-$M55)</f>
        <v>0.01072666</v>
      </c>
      <c r="BC55" s="112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10">
        <f t="shared" si="10"/>
        <v>0.8813852</v>
      </c>
      <c r="BE55" s="112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10">
        <f t="shared" si="11"/>
        <v>0.0986</v>
      </c>
      <c r="BG55" s="112">
        <f>AV55*IF(VLOOKUP($E55,武器奇术!$A:$R,17,FALSE)="鸣金",VLOOKUP($E55,武器奇术!$A:$R,4,FALSE),VLOOKUP($E55,武器奇术!$A:$R,2,FALSE))*(1+AX55)*(1+AY55)*AZ55</f>
        <v>0</v>
      </c>
      <c r="BH55" s="110">
        <f t="shared" si="12"/>
        <v>0.00928814000000003</v>
      </c>
      <c r="BI55" s="113">
        <f t="shared" si="13"/>
        <v>0</v>
      </c>
      <c r="BJ55" s="108">
        <f>$B$9*IF($G$5="撼天",1.05,1)+IF(AND(VLOOKUP($E55,武器奇术!$A:$R,15,FALSE)="武器",VLOOKUP($E55,武器奇术!$A:$R,17,FALSE)="裂石"),$E$3,0)*(1+$E$15)</f>
        <v>0</v>
      </c>
      <c r="BK55" s="99">
        <f>(BJ55+BL55)*IF(VLOOKUP($E55,武器奇术!$A:$Z,21,FALSE)=1,$G$15,0.5)</f>
        <v>0</v>
      </c>
      <c r="BL55" s="109">
        <f>MAX($C$9*IF($G$5="撼天",1.05,1)+IF(AND(VLOOKUP($E55,武器奇术!$A:$R,15,FALSE)="武器",VLOOKUP($E55,武器奇术!$A:$R,17,FALSE)="裂石"),$E$3*(1+$E$15),0),BJ55)</f>
        <v>0</v>
      </c>
      <c r="BM55" s="110">
        <f>IF(($D$9+IF(VLOOKUP($E55,武器奇术!$A:$R,17,FALSE)="裂石",$D$15,0)+IF(VLOOKUP($E55,武器奇术!$A:$R,18,FALSE)=1,4,0)+IF(VLOOKUP($E55,武器奇术!$A:$S,19,FALSE)=1,20,0)-VLOOKUP($F$7,目标属性!$A:$R,6,FALSE))&gt;0,($D$9+IF(VLOOKUP($E55,武器奇术!$A:$R,17,FALSE)="裂石",$D$15,0)+IF(VLOOKUP($E55,武器奇术!$A:$R,18,FALSE)=1,4,0)+IF(VLOOKUP($E55,武器奇术!$A:$S,19,FALSE)=1,20,0)-VLOOKUP($F$7,目标属性!$A:$R,6,FALSE))/200,($D$9+IF(VLOOKUP($E55,武器奇术!$A:$R,17,FALSE)="裂石",$D$15,0)+IF(VLOOKUP($E55,武器奇术!$A:$R,18,FALSE)=1,4,0)+IF(VLOOKUP($E55,武器奇术!$A:$S,19,FALSE)=1,20,0)-VLOOKUP($F$7,目标属性!$A:$R,6,FALSE))/100)</f>
        <v>-0.24</v>
      </c>
      <c r="BN55" s="111">
        <f t="shared" si="14"/>
        <v>0</v>
      </c>
      <c r="BO55" s="109">
        <v>1</v>
      </c>
      <c r="BP55" s="112">
        <f>BJ55*IF(VLOOKUP($E55,武器奇术!$A:$R,17,FALSE)="裂石",VLOOKUP($E55,武器奇术!$A:$R,4,FALSE),VLOOKUP($E55,武器奇术!$A:$R,2,FALSE))*(1+BM55)*(1+BN55)*BO55</f>
        <v>0</v>
      </c>
      <c r="BQ55" s="110">
        <f>(1-IF(VLOOKUP($E55,武器奇术!$A:$T,20,FALSE)=1,1,$N55))*(1-$M55)</f>
        <v>0.01072666</v>
      </c>
      <c r="BR55" s="112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10">
        <f t="shared" si="15"/>
        <v>0.8813852</v>
      </c>
      <c r="BT55" s="112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10">
        <f t="shared" si="16"/>
        <v>0.0986</v>
      </c>
      <c r="BV55" s="112">
        <f>BK55*IF(VLOOKUP($E55,武器奇术!$A:$R,17,FALSE)="裂石",VLOOKUP($E55,武器奇术!$A:$R,4,FALSE),VLOOKUP($E55,武器奇术!$A:$R,2,FALSE))*(1+BM55)*(1+BN55)*BO55</f>
        <v>0</v>
      </c>
      <c r="BW55" s="110">
        <f t="shared" si="17"/>
        <v>0.00928814000000003</v>
      </c>
      <c r="BX55" s="113">
        <f t="shared" si="18"/>
        <v>0</v>
      </c>
      <c r="BY55" s="108">
        <f>$B$11*IF($G$5="撼天",1.05,1)+IF(AND(VLOOKUP($E55,武器奇术!$A:$R,15,FALSE)="武器",VLOOKUP($E55,武器奇术!$A:$R,17,FALSE)="牵丝"),$E$3,0)*(1+$E$15)</f>
        <v>0</v>
      </c>
      <c r="BZ55" s="99">
        <f>(BY55+CA55)*IF(VLOOKUP($E55,武器奇术!$A:$Z,21,FALSE)=1,$G$15,0.5)</f>
        <v>0</v>
      </c>
      <c r="CA55" s="109">
        <f>MAX($C$11*IF($G$5="撼天",1.05,1)+IF(AND(VLOOKUP($E55,武器奇术!$A:$R,15,FALSE)="武器",VLOOKUP($E55,武器奇术!$A:$R,17,FALSE)="牵丝"),$E$3*(1+$E$15),0),BY55)</f>
        <v>0</v>
      </c>
      <c r="CB55" s="110">
        <f>IF(($D$11+IF(VLOOKUP($E55,武器奇术!$A:$R,17,FALSE)="牵丝",$D$15,0)+IF(VLOOKUP($E55,武器奇术!$A:$R,18,FALSE)=1,4,0)+IF(VLOOKUP($E55,武器奇术!$A:$S,19,FALSE)=1,20,0)-VLOOKUP($F$7,目标属性!$A:$R,6,FALSE))&gt;0,($D$11+IF(VLOOKUP($E55,武器奇术!$A:$R,17,FALSE)="牵丝",$D$15,0)+IF(VLOOKUP($E55,武器奇术!$A:$R,18,FALSE)=1,4,0)+IF(VLOOKUP($E55,武器奇术!$A:$S,19,FALSE)=1,20,0)-VLOOKUP($F$7,目标属性!$A:$R,6,FALSE))/200,($D$11+IF(VLOOKUP($E55,武器奇术!$A:$R,17,FALSE)="牵丝",$D$15,0)+IF(VLOOKUP($E55,武器奇术!$A:$R,18,FALSE)=1,4,0)+IF(VLOOKUP($E55,武器奇术!$A:$S,19,FALSE)=1,20,0)-VLOOKUP($F$7,目标属性!$A:$R,6,FALSE))/100)</f>
        <v>-0.24</v>
      </c>
      <c r="CC55" s="111">
        <f t="shared" si="19"/>
        <v>0</v>
      </c>
      <c r="CD55" s="109">
        <v>1</v>
      </c>
      <c r="CE55" s="112">
        <f>BY55*IF(VLOOKUP($E55,武器奇术!$A:$R,17,FALSE)="牵丝",VLOOKUP($E55,武器奇术!$A:$R,4,FALSE),VLOOKUP($E55,武器奇术!$A:$R,2,FALSE))*(1+CB55)*(1+CC55)*CD55</f>
        <v>0</v>
      </c>
      <c r="CF55" s="110">
        <f>(1-IF(VLOOKUP($E55,武器奇术!$A:$T,20,FALSE)=1,1,$N55))*(1-$M55)</f>
        <v>0.01072666</v>
      </c>
      <c r="CG55" s="112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110">
        <f t="shared" si="20"/>
        <v>0.8813852</v>
      </c>
      <c r="CI55" s="112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110">
        <f t="shared" si="21"/>
        <v>0.0986</v>
      </c>
      <c r="CK55" s="112">
        <f>BZ55*IF(VLOOKUP($E55,武器奇术!$A:$R,17,FALSE)="牵丝",VLOOKUP($E55,武器奇术!$A:$R,4,FALSE),VLOOKUP($E55,武器奇术!$A:$R,2,FALSE))*(1+CB55)*(1+CC55)*CD55</f>
        <v>0</v>
      </c>
      <c r="CL55" s="110">
        <f t="shared" si="22"/>
        <v>0.00928814000000003</v>
      </c>
      <c r="CM55" s="113">
        <f t="shared" si="23"/>
        <v>0</v>
      </c>
      <c r="CN55" s="108">
        <f>$B$13*IF($G$5="撼天",1.05,1)+IF(AND(VLOOKUP($E55,武器奇术!$A:$R,15,FALSE)="武器",VLOOKUP($E55,武器奇术!$A:$R,17,FALSE)="破竹"),$E$3,0)*(1+$E$15)</f>
        <v>648.46</v>
      </c>
      <c r="CO55" s="99">
        <f>IF(VLOOKUP($E55,武器奇术!$A:$Z,20,FALSE)=1,(CP55-(CN55+CP55)*0.5)*($G$15-0.5)*2+(CN55+CP55)*0.5,(CN55+CP55)*0.5)</f>
        <v>875.26</v>
      </c>
      <c r="CP55" s="109">
        <f>MAX($C$13*IF($G$5="撼天",1.05,1)+IF(AND(VLOOKUP($E55,武器奇术!$A:$R,15,FALSE)="武器",VLOOKUP($E55,武器奇术!$A:$R,17,FALSE)="破竹"),$E$3*(1+$E$15),0),CN55)</f>
        <v>1102.06</v>
      </c>
      <c r="CQ55" s="110">
        <f>IF(($D$13+IF(VLOOKUP($E55,武器奇术!$A:$R,17,FALSE)="破竹",$D$15,0)+IF(VLOOKUP($E55,武器奇术!$A:$R,18,FALSE)=1,4,0)+IF(VLOOKUP($E55,武器奇术!$A:$S,19,FALSE)=1,20,0)-VLOOKUP($F$7,目标属性!$A:$R,6,FALSE))&gt;0,($D$13+IF(VLOOKUP($E55,武器奇术!$A:$R,17,FALSE)="破竹",$D$15,0)+IF(VLOOKUP($E55,武器奇术!$A:$R,18,FALSE)=1,4,0)+IF(VLOOKUP($E55,武器奇术!$A:$S,19,FALSE)=1,20,0)-VLOOKUP($F$7,目标属性!$A:$R,6,FALSE))/200,($D$13+IF(VLOOKUP($E55,武器奇术!$A:$R,17,FALSE)="破竹",$D$15,0)+IF(VLOOKUP($E55,武器奇术!$A:$R,18,FALSE)=1,4,0)+IF(VLOOKUP($E55,武器奇术!$A:$S,19,FALSE)=1,20,0)-VLOOKUP($F$7,目标属性!$A:$R,6,FALSE))/100)</f>
        <v>0.025</v>
      </c>
      <c r="CR55" s="111">
        <f>$E$13+IF(VLOOKUP($E55,武器奇术!$A:$U,21,FALSE)=1,0,0.09)</f>
        <v>0.235</v>
      </c>
      <c r="CS55" s="109">
        <v>1</v>
      </c>
      <c r="CT55" s="112">
        <f>CN55*IF(VLOOKUP($E55,武器奇术!$A:$R,17,FALSE)="破竹",VLOOKUP($E55,武器奇术!$A:$R,4,FALSE),VLOOKUP($E55,武器奇术!$A:$R,2,FALSE))*(1+CQ55)*(1+CR55)*CS55</f>
        <v>1355.00895763675</v>
      </c>
      <c r="CU55" s="110">
        <f>(1-IF(VLOOKUP($E55,武器奇术!$A:$T,20,FALSE)=1,1,$N55))*(1-$M55)</f>
        <v>0.01072666</v>
      </c>
      <c r="CV55" s="112">
        <f>CO55*IF(VLOOKUP($E55,武器奇术!$A:$R,17,FALSE)="破竹",VLOOKUP($E55,武器奇术!$A:$R,4,FALSE),VLOOKUP($E55,武器奇术!$A:$R,2,FALSE))*(1+CQ55)*(1+CR55)*CS55*(1+$E$16+VLOOKUP($E55,武器奇术!$A:$R,8,FALSE))</f>
        <v>2999.43809954087</v>
      </c>
      <c r="CW55" s="110">
        <f t="shared" si="24"/>
        <v>0.8813852</v>
      </c>
      <c r="CX55" s="112">
        <f>CP55*IF(VLOOKUP($E55,武器奇术!$A:$R,17,FALSE)="破竹",VLOOKUP($E55,武器奇术!$A:$R,4,FALSE),VLOOKUP($E55,武器奇术!$A:$R,2,FALSE))*(1+CQ55)*(1+CR55)*CS55*(1+$E$17+VLOOKUP($E55,武器奇术!$A:$R,10,FALSE))</f>
        <v>3108.83721741011</v>
      </c>
      <c r="CY55" s="110">
        <f t="shared" si="25"/>
        <v>0.0986</v>
      </c>
      <c r="CZ55" s="112">
        <f>CO55*IF(VLOOKUP($E55,武器奇术!$A:$R,17,FALSE)="破竹",VLOOKUP($E55,武器奇术!$A:$R,4,FALSE),VLOOKUP($E55,武器奇术!$A:$R,2,FALSE))*(1+CQ55)*(1+CR55)*CS55</f>
        <v>1828.92567045175</v>
      </c>
      <c r="DA55" s="110">
        <f t="shared" si="26"/>
        <v>0.00928814000000003</v>
      </c>
      <c r="DB55" s="113">
        <f t="shared" si="27"/>
        <v>2981.71373695036</v>
      </c>
      <c r="DC55" s="108">
        <f t="shared" si="36"/>
        <v>69.3</v>
      </c>
      <c r="DD55" s="99">
        <f>(DC55+DE55)*IF(VLOOKUP($E55,武器奇术!$A:$Z,21,FALSE)=1,$G$15,0.5)</f>
        <v>69.3</v>
      </c>
      <c r="DE55" s="109">
        <f t="shared" si="37"/>
        <v>69.3</v>
      </c>
      <c r="DF55" s="110">
        <f>IF(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100)</f>
        <v>0.025</v>
      </c>
      <c r="DG55" s="111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U,21,FALSE)=1,0,0.09)</f>
        <v>0.235</v>
      </c>
      <c r="DH55" s="109">
        <v>1</v>
      </c>
      <c r="DI55" s="112">
        <f>DC55*IF(VLOOKUP($E55,武器奇术!$A:$R,17,FALSE)="破竹",VLOOKUP($E55,武器奇术!$A:$R,4,FALSE),VLOOKUP($E55,武器奇术!$A:$R,2,FALSE))*(1+DF55)*(1+DG55)*DH55</f>
        <v>144.80788447125</v>
      </c>
      <c r="DJ55" s="110">
        <f>(1-IF(VLOOKUP($E55,武器奇术!$A:$T,20,FALSE)=1,1,$N55))*(1-$M55)</f>
        <v>0.01072666</v>
      </c>
      <c r="DK55" s="112">
        <f>DD55*IF(VLOOKUP($E55,武器奇术!$A:$R,17,FALSE)="破竹",VLOOKUP($E55,武器奇术!$A:$R,4,FALSE),VLOOKUP($E55,武器奇术!$A:$R,2,FALSE))*(1+DF55)*(1+DG55)*DH55*(1+$E$16+VLOOKUP($E55,武器奇术!$A:$R,8,FALSE))</f>
        <v>237.48493053285</v>
      </c>
      <c r="DL55" s="110">
        <f t="shared" si="28"/>
        <v>0.8813852</v>
      </c>
      <c r="DM55" s="112">
        <f>DE55*IF(VLOOKUP($E55,武器奇术!$A:$R,17,FALSE)="破竹",VLOOKUP($E55,武器奇术!$A:$R,4,FALSE),VLOOKUP($E55,武器奇术!$A:$R,2,FALSE))*(1+DF55)*(1+DG55)*DH55*(1+$E$17+VLOOKUP($E55,武器奇术!$A:$R,10,FALSE))</f>
        <v>195.490644036187</v>
      </c>
      <c r="DN55" s="110">
        <f t="shared" si="29"/>
        <v>0.0986</v>
      </c>
      <c r="DO55" s="112">
        <f>DD55*IF(VLOOKUP($E55,武器奇术!$A:$R,17,FALSE)="破竹",VLOOKUP($E55,武器奇术!$A:$R,4,FALSE),VLOOKUP($E55,武器奇术!$A:$R,2,FALSE))*(1+DF55)*(1+DG55)*DH55</f>
        <v>144.80788447125</v>
      </c>
      <c r="DP55" s="110">
        <f t="shared" si="30"/>
        <v>0.00928814000000003</v>
      </c>
      <c r="DQ55" s="113">
        <f t="shared" si="31"/>
        <v>231.489381342765</v>
      </c>
    </row>
    <row r="56" customFormat="1" spans="1:121">
      <c r="B56" s="135"/>
      <c r="C56" s="143"/>
      <c r="D56" s="144"/>
      <c r="E56" s="98" t="s">
        <v>149</v>
      </c>
      <c r="F56" s="99">
        <v>1</v>
      </c>
      <c r="G56" s="115"/>
      <c r="H56" s="100">
        <f>IF(VLOOKUP($E56,武器奇术!$A:$R,18,FALSE)="天工",AE56,(AE56+AT56+BI56+BX56+CM56+DB56+DQ56))*(1+J56)*F56*K56*(1+G56)</f>
        <v>42962.0131611005</v>
      </c>
      <c r="I56" s="101">
        <f t="shared" si="0"/>
        <v>0.00530421532920771</v>
      </c>
      <c r="J56" s="101">
        <f>$F$3+VLOOKUP($E56,武器奇术!$A:$R,12,FALSE)+VLOOKUP($E56,武器奇术!$A:$R,14,FALSE)*$G$3+$P56</f>
        <v>0.573</v>
      </c>
      <c r="K56" s="102">
        <f>VLOOKUP($E56,武器奇术!$A:$R,11,FALSE)</f>
        <v>1</v>
      </c>
      <c r="L56" s="117">
        <f>IF(VLOOKUP($E56,武器奇术!$A:$R,15,FALSE)="天工",0%,IF($C$17+VLOOKUP($E56,武器奇术!$A:$R,7,FALSE)&gt;80%,80%,$C$17+VLOOKUP($E56,武器奇术!$A:$R,7,FALSE))+IF($C$19&gt;20%,20%,$C$19))</f>
        <v>0.892</v>
      </c>
      <c r="M56" s="118">
        <f>IF(VLOOKUP($E56,武器奇术!$A:$R,15,FALSE)="天工",0%,IF($C$18+VLOOKUP($E56,武器奇术!$A:$R,9,FALSE)&gt;40%,40%,$C$18+VLOOKUP($E56,武器奇术!$A:$R,9,FALSE))+IF($C$20&gt;10%,10%,$C$20))</f>
        <v>0.0986</v>
      </c>
      <c r="N56" s="119">
        <f>IF(VLOOKUP($E56,武器奇术!$A:$R,15,FALSE)="天工",100%,MIN($C$16,1))</f>
        <v>0.9881</v>
      </c>
      <c r="O56" s="120" t="str">
        <f>VLOOKUP($E56,武器奇术!$A:$R,16,FALSE)</f>
        <v>拳甲</v>
      </c>
      <c r="P56" s="121">
        <f t="shared" si="32"/>
        <v>0.17</v>
      </c>
      <c r="Q56" s="108">
        <f>$B$5*(1+VLOOKUP($E56,武器奇术!$A:$R,5,FALSE)+IF($G$5="飞隼",0.1,0)+IF($G$5="撼天",0.05,0))-$F$9+IF($I$5="√",160,0)</f>
        <v>1731.135</v>
      </c>
      <c r="R56" s="99">
        <f>IF(VLOOKUP($E56,武器奇术!$A:$Z,20,FALSE)=1,(S56-(Q56+S56)*0.5)*($G$15-0.5)*2+(Q56+S56)*0.5,(Q56+S56)*0.5)</f>
        <v>3256.775</v>
      </c>
      <c r="S56" s="109">
        <f>MAX($C$5,$B$5)*(1+VLOOKUP($E56,武器奇术!$A:$R,5,FALSE)+IF($G$5="飞隼",0.1,0)+IF($G$5="撼天",0.05,0))-$F$9+IF($I$5="√",320,0)</f>
        <v>4782.415</v>
      </c>
      <c r="T56" s="101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U56" s="111">
        <f>$E$5+IF(VLOOKUP($E56,武器奇术!$A:$U,21,FALSE)=1,0,0.09)</f>
        <v>0.115</v>
      </c>
      <c r="V56" s="109">
        <v>1</v>
      </c>
      <c r="W56" s="112">
        <f>Q56*VLOOKUP($E56,武器奇术!$A:$R,2,FALSE)*(1+T56)*(1+U56)*V56</f>
        <v>5854.51393233431</v>
      </c>
      <c r="X56" s="110">
        <f>(1-IF(VLOOKUP($E56,武器奇术!$A:$T,20,FALSE)=1,1,$N56))*(1-$M56)</f>
        <v>0.01072666</v>
      </c>
      <c r="Y56" s="112">
        <f>R56*VLOOKUP($E56,武器奇术!$A:$R,2,FALSE)*(1+T56)*(1+U56)*V56*(1+$E$16+VLOOKUP($E56,武器奇术!$A:$R,8,FALSE))</f>
        <v>18063.0677351241</v>
      </c>
      <c r="Z56" s="110">
        <f t="shared" si="33"/>
        <v>0.8813852</v>
      </c>
      <c r="AA56" s="112">
        <f>S56*VLOOKUP($E56,武器奇术!$A:$R,2,FALSE)*(1+T56)*(1+U56)*V56*(1+$E$17+VLOOKUP($E56,武器奇术!$A:$R,10,FALSE))</f>
        <v>21834.3835601505</v>
      </c>
      <c r="AB56" s="110">
        <f t="shared" si="34"/>
        <v>0.0986</v>
      </c>
      <c r="AC56" s="112">
        <f>R56*VLOOKUP($E56,武器奇术!$A:$R,2,FALSE)*(1+T56)*(1+U56)*V56</f>
        <v>11014.0656921488</v>
      </c>
      <c r="AD56" s="110">
        <f t="shared" si="1"/>
        <v>0.00928814000000003</v>
      </c>
      <c r="AE56" s="113">
        <f t="shared" si="2"/>
        <v>18238.490351902</v>
      </c>
      <c r="AF56" s="114">
        <f>VLOOKUP($E56,武器奇术!$A:$R,3,FALSE)*(1+IF(VLOOKUP($E56,武器奇术!$A:$R,15,FALSE)="武器",$E$15,0))</f>
        <v>877.5</v>
      </c>
      <c r="AG56" s="112">
        <f t="shared" si="3"/>
        <v>877.5</v>
      </c>
      <c r="AH56" s="112">
        <f>VLOOKUP($E56,武器奇术!$A:$R,3,FALSE)*(1+IF(VLOOKUP($E56,武器奇术!$A:$R,15,FALSE)="武器",$E$15,0))</f>
        <v>877.5</v>
      </c>
      <c r="AI56" s="101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AJ56" s="111">
        <f>$E$5+IF(VLOOKUP($E56,武器奇术!$A:$U,21,FALSE)=1,0,0.09)</f>
        <v>0.115</v>
      </c>
      <c r="AK56" s="109">
        <v>1</v>
      </c>
      <c r="AL56" s="112">
        <f t="shared" si="35"/>
        <v>1215.188325</v>
      </c>
      <c r="AM56" s="110">
        <f>(1-IF(VLOOKUP($E56,武器奇术!$A:$T,20,FALSE)=1,1,$N56))*(1-$M56)</f>
        <v>0.01072666</v>
      </c>
      <c r="AN56" s="112">
        <f>AG56*(1+AI56)*(1+AJ56)*AK56*(1+$E$16+VLOOKUP($E56,武器奇术!$A:$R,8,FALSE))</f>
        <v>1992.908853</v>
      </c>
      <c r="AO56" s="110">
        <f t="shared" si="4"/>
        <v>0.8813852</v>
      </c>
      <c r="AP56" s="112">
        <f>AH56*(1+AI56)*(1+AJ56)*AK56*(1+$E$17+VLOOKUP($E56,武器奇术!$A:$R,10,FALSE))</f>
        <v>1640.50423875</v>
      </c>
      <c r="AQ56" s="110">
        <f t="shared" si="5"/>
        <v>0.0986</v>
      </c>
      <c r="AR56" s="112">
        <f t="shared" si="6"/>
        <v>1215.188325</v>
      </c>
      <c r="AS56" s="110">
        <f t="shared" si="7"/>
        <v>0.00928814000000003</v>
      </c>
      <c r="AT56" s="113">
        <f t="shared" si="8"/>
        <v>1942.59583721114</v>
      </c>
      <c r="AU56" s="108">
        <f>$B$7*IF($G$5="撼天",1.05,1)+IF(AND(VLOOKUP($E56,武器奇术!$A:$R,15,FALSE)="武器",VLOOKUP($E56,武器奇术!$A:$R,17,FALSE)="鸣金"),$E$3,0)*(1+$E$15)</f>
        <v>0</v>
      </c>
      <c r="AV56" s="99">
        <f>(AU56+AW56)*IF(VLOOKUP($E56,武器奇术!$A:$Z,21,FALSE)=1,$G$15,0.5)</f>
        <v>0</v>
      </c>
      <c r="AW56" s="109">
        <f>MAX($C$7*IF($G$5="撼天",1.05,1)+IF(AND(VLOOKUP($E56,武器奇术!$A:$R,15,FALSE)="武器",VLOOKUP($E56,武器奇术!$A:$R,17,FALSE)="鸣金"),$E$3*(1+$E$15),0),AU56)</f>
        <v>0</v>
      </c>
      <c r="AX56" s="110">
        <f>IF(($D$7+IF(VLOOKUP($E56,武器奇术!$A:$R,17,FALSE)="鸣金",$D$15,0)+IF(VLOOKUP($E56,武器奇术!$A:$R,18,FALSE)=1,4,0)+IF(VLOOKUP($E56,武器奇术!$A:$S,19,FALSE)=1,20,0)-VLOOKUP($F$7,目标属性!$A:$R,6,FALSE))&gt;0,($D$7+IF(VLOOKUP($E56,武器奇术!$A:$R,17,FALSE)="鸣金",$D$15,0)+IF(VLOOKUP($E56,武器奇术!$A:$R,18,FALSE)=1,4,0)+IF(VLOOKUP($E56,武器奇术!$A:$S,19,FALSE)=1,20,0)-VLOOKUP($F$7,目标属性!$A:$R,6,FALSE))/200,($D$7+IF(VLOOKUP($E56,武器奇术!$A:$R,17,FALSE)="鸣金",$D$15,0)+IF(VLOOKUP($E56,武器奇术!$A:$R,18,FALSE)=1,4,0)+IF(VLOOKUP($E56,武器奇术!$A:$S,19,FALSE)=1,20,0)-VLOOKUP($F$7,目标属性!$A:$R,6,FALSE))/100)</f>
        <v>-0.24</v>
      </c>
      <c r="AY56" s="111">
        <f t="shared" si="9"/>
        <v>0</v>
      </c>
      <c r="AZ56" s="109">
        <v>1</v>
      </c>
      <c r="BA56" s="112">
        <f>AU56*IF(VLOOKUP($E56,武器奇术!$A:$R,17,FALSE)="鸣金",VLOOKUP($E56,武器奇术!$A:$R,4,FALSE),VLOOKUP($E56,武器奇术!$A:$R,2,FALSE))*(1+AX56)*(1+AY56)*AZ56</f>
        <v>0</v>
      </c>
      <c r="BB56" s="110">
        <f>(1-IF(VLOOKUP($E56,武器奇术!$A:$T,20,FALSE)=1,1,$N56))*(1-$M56)</f>
        <v>0.01072666</v>
      </c>
      <c r="BC56" s="112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10">
        <f t="shared" si="10"/>
        <v>0.8813852</v>
      </c>
      <c r="BE56" s="112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10">
        <f t="shared" si="11"/>
        <v>0.0986</v>
      </c>
      <c r="BG56" s="112">
        <f>AV56*IF(VLOOKUP($E56,武器奇术!$A:$R,17,FALSE)="鸣金",VLOOKUP($E56,武器奇术!$A:$R,4,FALSE),VLOOKUP($E56,武器奇术!$A:$R,2,FALSE))*(1+AX56)*(1+AY56)*AZ56</f>
        <v>0</v>
      </c>
      <c r="BH56" s="110">
        <f t="shared" si="12"/>
        <v>0.00928814000000003</v>
      </c>
      <c r="BI56" s="113">
        <f t="shared" si="13"/>
        <v>0</v>
      </c>
      <c r="BJ56" s="108">
        <f>$B$9*IF($G$5="撼天",1.05,1)+IF(AND(VLOOKUP($E56,武器奇术!$A:$R,15,FALSE)="武器",VLOOKUP($E56,武器奇术!$A:$R,17,FALSE)="裂石"),$E$3,0)*(1+$E$15)</f>
        <v>0</v>
      </c>
      <c r="BK56" s="99">
        <f>(BJ56+BL56)*IF(VLOOKUP($E56,武器奇术!$A:$Z,21,FALSE)=1,$G$15,0.5)</f>
        <v>0</v>
      </c>
      <c r="BL56" s="109">
        <f>MAX($C$9*IF($G$5="撼天",1.05,1)+IF(AND(VLOOKUP($E56,武器奇术!$A:$R,15,FALSE)="武器",VLOOKUP($E56,武器奇术!$A:$R,17,FALSE)="裂石"),$E$3*(1+$E$15),0),BJ56)</f>
        <v>0</v>
      </c>
      <c r="BM56" s="110">
        <f>IF(($D$9+IF(VLOOKUP($E56,武器奇术!$A:$R,17,FALSE)="裂石",$D$15,0)+IF(VLOOKUP($E56,武器奇术!$A:$R,18,FALSE)=1,4,0)+IF(VLOOKUP($E56,武器奇术!$A:$S,19,FALSE)=1,20,0)-VLOOKUP($F$7,目标属性!$A:$R,6,FALSE))&gt;0,($D$9+IF(VLOOKUP($E56,武器奇术!$A:$R,17,FALSE)="裂石",$D$15,0)+IF(VLOOKUP($E56,武器奇术!$A:$R,18,FALSE)=1,4,0)+IF(VLOOKUP($E56,武器奇术!$A:$S,19,FALSE)=1,20,0)-VLOOKUP($F$7,目标属性!$A:$R,6,FALSE))/200,($D$9+IF(VLOOKUP($E56,武器奇术!$A:$R,17,FALSE)="裂石",$D$15,0)+IF(VLOOKUP($E56,武器奇术!$A:$R,18,FALSE)=1,4,0)+IF(VLOOKUP($E56,武器奇术!$A:$S,19,FALSE)=1,20,0)-VLOOKUP($F$7,目标属性!$A:$R,6,FALSE))/100)</f>
        <v>-0.24</v>
      </c>
      <c r="BN56" s="111">
        <f t="shared" si="14"/>
        <v>0</v>
      </c>
      <c r="BO56" s="109">
        <v>1</v>
      </c>
      <c r="BP56" s="112">
        <f>BJ56*IF(VLOOKUP($E56,武器奇术!$A:$R,17,FALSE)="裂石",VLOOKUP($E56,武器奇术!$A:$R,4,FALSE),VLOOKUP($E56,武器奇术!$A:$R,2,FALSE))*(1+BM56)*(1+BN56)*BO56</f>
        <v>0</v>
      </c>
      <c r="BQ56" s="110">
        <f>(1-IF(VLOOKUP($E56,武器奇术!$A:$T,20,FALSE)=1,1,$N56))*(1-$M56)</f>
        <v>0.01072666</v>
      </c>
      <c r="BR56" s="112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10">
        <f t="shared" si="15"/>
        <v>0.8813852</v>
      </c>
      <c r="BT56" s="112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10">
        <f t="shared" si="16"/>
        <v>0.0986</v>
      </c>
      <c r="BV56" s="112">
        <f>BK56*IF(VLOOKUP($E56,武器奇术!$A:$R,17,FALSE)="裂石",VLOOKUP($E56,武器奇术!$A:$R,4,FALSE),VLOOKUP($E56,武器奇术!$A:$R,2,FALSE))*(1+BM56)*(1+BN56)*BO56</f>
        <v>0</v>
      </c>
      <c r="BW56" s="110">
        <f t="shared" si="17"/>
        <v>0.00928814000000003</v>
      </c>
      <c r="BX56" s="113">
        <f t="shared" si="18"/>
        <v>0</v>
      </c>
      <c r="BY56" s="108">
        <f>$B$11*IF($G$5="撼天",1.05,1)+IF(AND(VLOOKUP($E56,武器奇术!$A:$R,15,FALSE)="武器",VLOOKUP($E56,武器奇术!$A:$R,17,FALSE)="牵丝"),$E$3,0)*(1+$E$15)</f>
        <v>0</v>
      </c>
      <c r="BZ56" s="99">
        <f>(BY56+CA56)*IF(VLOOKUP($E56,武器奇术!$A:$Z,21,FALSE)=1,$G$15,0.5)</f>
        <v>0</v>
      </c>
      <c r="CA56" s="109">
        <f>MAX($C$11*IF($G$5="撼天",1.05,1)+IF(AND(VLOOKUP($E56,武器奇术!$A:$R,15,FALSE)="武器",VLOOKUP($E56,武器奇术!$A:$R,17,FALSE)="牵丝"),$E$3*(1+$E$15),0),BY56)</f>
        <v>0</v>
      </c>
      <c r="CB56" s="110">
        <f>IF(($D$11+IF(VLOOKUP($E56,武器奇术!$A:$R,17,FALSE)="牵丝",$D$15,0)+IF(VLOOKUP($E56,武器奇术!$A:$R,18,FALSE)=1,4,0)+IF(VLOOKUP($E56,武器奇术!$A:$S,19,FALSE)=1,20,0)-VLOOKUP($F$7,目标属性!$A:$R,6,FALSE))&gt;0,($D$11+IF(VLOOKUP($E56,武器奇术!$A:$R,17,FALSE)="牵丝",$D$15,0)+IF(VLOOKUP($E56,武器奇术!$A:$R,18,FALSE)=1,4,0)+IF(VLOOKUP($E56,武器奇术!$A:$S,19,FALSE)=1,20,0)-VLOOKUP($F$7,目标属性!$A:$R,6,FALSE))/200,($D$11+IF(VLOOKUP($E56,武器奇术!$A:$R,17,FALSE)="牵丝",$D$15,0)+IF(VLOOKUP($E56,武器奇术!$A:$R,18,FALSE)=1,4,0)+IF(VLOOKUP($E56,武器奇术!$A:$S,19,FALSE)=1,20,0)-VLOOKUP($F$7,目标属性!$A:$R,6,FALSE))/100)</f>
        <v>-0.24</v>
      </c>
      <c r="CC56" s="111">
        <f t="shared" si="19"/>
        <v>0</v>
      </c>
      <c r="CD56" s="109">
        <v>1</v>
      </c>
      <c r="CE56" s="112">
        <f>BY56*IF(VLOOKUP($E56,武器奇术!$A:$R,17,FALSE)="牵丝",VLOOKUP($E56,武器奇术!$A:$R,4,FALSE),VLOOKUP($E56,武器奇术!$A:$R,2,FALSE))*(1+CB56)*(1+CC56)*CD56</f>
        <v>0</v>
      </c>
      <c r="CF56" s="110">
        <f>(1-IF(VLOOKUP($E56,武器奇术!$A:$T,20,FALSE)=1,1,$N56))*(1-$M56)</f>
        <v>0.01072666</v>
      </c>
      <c r="CG56" s="112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110">
        <f t="shared" si="20"/>
        <v>0.8813852</v>
      </c>
      <c r="CI56" s="112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110">
        <f t="shared" si="21"/>
        <v>0.0986</v>
      </c>
      <c r="CK56" s="112">
        <f>BZ56*IF(VLOOKUP($E56,武器奇术!$A:$R,17,FALSE)="牵丝",VLOOKUP($E56,武器奇术!$A:$R,4,FALSE),VLOOKUP($E56,武器奇术!$A:$R,2,FALSE))*(1+CB56)*(1+CC56)*CD56</f>
        <v>0</v>
      </c>
      <c r="CL56" s="110">
        <f t="shared" si="22"/>
        <v>0.00928814000000003</v>
      </c>
      <c r="CM56" s="113">
        <f t="shared" si="23"/>
        <v>0</v>
      </c>
      <c r="CN56" s="108">
        <f>$B$13*IF($G$5="撼天",1.05,1)+IF(AND(VLOOKUP($E56,武器奇术!$A:$R,15,FALSE)="武器",VLOOKUP($E56,武器奇术!$A:$R,17,FALSE)="破竹"),$E$3,0)*(1+$E$15)</f>
        <v>648.46</v>
      </c>
      <c r="CO56" s="99">
        <f>IF(VLOOKUP($E56,武器奇术!$A:$Z,20,FALSE)=1,(CP56-(CN56+CP56)*0.5)*($G$15-0.5)*2+(CN56+CP56)*0.5,(CN56+CP56)*0.5)</f>
        <v>875.26</v>
      </c>
      <c r="CP56" s="109">
        <f>MAX($C$13*IF($G$5="撼天",1.05,1)+IF(AND(VLOOKUP($E56,武器奇术!$A:$R,15,FALSE)="武器",VLOOKUP($E56,武器奇术!$A:$R,17,FALSE)="破竹"),$E$3*(1+$E$15),0),CN56)</f>
        <v>1102.06</v>
      </c>
      <c r="CQ56" s="110">
        <f>IF(($D$13+IF(VLOOKUP($E56,武器奇术!$A:$R,17,FALSE)="破竹",$D$15,0)+IF(VLOOKUP($E56,武器奇术!$A:$R,18,FALSE)=1,4,0)+IF(VLOOKUP($E56,武器奇术!$A:$S,19,FALSE)=1,20,0)-VLOOKUP($F$7,目标属性!$A:$R,6,FALSE))&gt;0,($D$13+IF(VLOOKUP($E56,武器奇术!$A:$R,17,FALSE)="破竹",$D$15,0)+IF(VLOOKUP($E56,武器奇术!$A:$R,18,FALSE)=1,4,0)+IF(VLOOKUP($E56,武器奇术!$A:$S,19,FALSE)=1,20,0)-VLOOKUP($F$7,目标属性!$A:$R,6,FALSE))/200,($D$13+IF(VLOOKUP($E56,武器奇术!$A:$R,17,FALSE)="破竹",$D$15,0)+IF(VLOOKUP($E56,武器奇术!$A:$R,18,FALSE)=1,4,0)+IF(VLOOKUP($E56,武器奇术!$A:$S,19,FALSE)=1,20,0)-VLOOKUP($F$7,目标属性!$A:$R,6,FALSE))/100)</f>
        <v>0.025</v>
      </c>
      <c r="CR56" s="111">
        <f>$E$13+IF(VLOOKUP($E56,武器奇术!$A:$U,21,FALSE)=1,0,0.09)</f>
        <v>0.235</v>
      </c>
      <c r="CS56" s="109">
        <v>1</v>
      </c>
      <c r="CT56" s="112">
        <f>CN56*IF(VLOOKUP($E56,武器奇术!$A:$R,17,FALSE)="破竹",VLOOKUP($E56,武器奇术!$A:$R,4,FALSE),VLOOKUP($E56,武器奇术!$A:$R,2,FALSE))*(1+CQ56)*(1+CR56)*CS56</f>
        <v>3007.1726027785</v>
      </c>
      <c r="CU56" s="110">
        <f>(1-IF(VLOOKUP($E56,武器奇术!$A:$T,20,FALSE)=1,1,$N56))*(1-$M56)</f>
        <v>0.01072666</v>
      </c>
      <c r="CV56" s="112">
        <f>CO56*IF(VLOOKUP($E56,武器奇术!$A:$R,17,FALSE)="破竹",VLOOKUP($E56,武器奇术!$A:$R,4,FALSE),VLOOKUP($E56,武器奇术!$A:$R,2,FALSE))*(1+CQ56)*(1+CR56)*CS56*(1+$E$16+VLOOKUP($E56,武器奇术!$A:$R,8,FALSE))</f>
        <v>6656.65568174594</v>
      </c>
      <c r="CW56" s="110">
        <f t="shared" si="24"/>
        <v>0.8813852</v>
      </c>
      <c r="CX56" s="112">
        <f>CP56*IF(VLOOKUP($E56,武器奇术!$A:$R,17,FALSE)="破竹",VLOOKUP($E56,武器奇术!$A:$R,4,FALSE),VLOOKUP($E56,武器奇术!$A:$R,2,FALSE))*(1+CQ56)*(1+CR56)*CS56*(1+$E$17+VLOOKUP($E56,武器奇术!$A:$R,10,FALSE))</f>
        <v>6899.44524278198</v>
      </c>
      <c r="CY56" s="110">
        <f t="shared" si="25"/>
        <v>0.0986</v>
      </c>
      <c r="CZ56" s="112">
        <f>CO56*IF(VLOOKUP($E56,武器奇术!$A:$R,17,FALSE)="破竹",VLOOKUP($E56,武器奇术!$A:$R,4,FALSE),VLOOKUP($E56,武器奇术!$A:$R,2,FALSE))*(1+CQ56)*(1+CR56)*CS56</f>
        <v>4058.9363913085</v>
      </c>
      <c r="DA56" s="110">
        <f t="shared" si="26"/>
        <v>0.00928814000000003</v>
      </c>
      <c r="DB56" s="113">
        <f t="shared" si="27"/>
        <v>6617.31998784997</v>
      </c>
      <c r="DC56" s="108">
        <f t="shared" si="36"/>
        <v>69.3</v>
      </c>
      <c r="DD56" s="99">
        <f>(DC56+DE56)*IF(VLOOKUP($E56,武器奇术!$A:$Z,21,FALSE)=1,$G$15,0.5)</f>
        <v>69.3</v>
      </c>
      <c r="DE56" s="109">
        <f t="shared" si="37"/>
        <v>69.3</v>
      </c>
      <c r="DF56" s="110">
        <f>IF(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100)</f>
        <v>0.025</v>
      </c>
      <c r="DG56" s="111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U,21,FALSE)=1,0,0.09)</f>
        <v>0.235</v>
      </c>
      <c r="DH56" s="109">
        <v>1</v>
      </c>
      <c r="DI56" s="112">
        <f>DC56*IF(VLOOKUP($E56,武器奇术!$A:$R,17,FALSE)="破竹",VLOOKUP($E56,武器奇术!$A:$R,4,FALSE),VLOOKUP($E56,武器奇术!$A:$R,2,FALSE))*(1+DF56)*(1+DG56)*DH56</f>
        <v>321.3722687175</v>
      </c>
      <c r="DJ56" s="110">
        <f>(1-IF(VLOOKUP($E56,武器奇术!$A:$T,20,FALSE)=1,1,$N56))*(1-$M56)</f>
        <v>0.01072666</v>
      </c>
      <c r="DK56" s="112">
        <f>DD56*IF(VLOOKUP($E56,武器奇术!$A:$R,17,FALSE)="破竹",VLOOKUP($E56,武器奇术!$A:$R,4,FALSE),VLOOKUP($E56,武器奇术!$A:$R,2,FALSE))*(1+DF56)*(1+DG56)*DH56*(1+$E$16+VLOOKUP($E56,武器奇术!$A:$R,8,FALSE))</f>
        <v>527.0505206967</v>
      </c>
      <c r="DL56" s="110">
        <f t="shared" si="28"/>
        <v>0.8813852</v>
      </c>
      <c r="DM56" s="112">
        <f>DE56*IF(VLOOKUP($E56,武器奇术!$A:$R,17,FALSE)="破竹",VLOOKUP($E56,武器奇术!$A:$R,4,FALSE),VLOOKUP($E56,武器奇术!$A:$R,2,FALSE))*(1+DF56)*(1+DG56)*DH56*(1+$E$17+VLOOKUP($E56,武器奇术!$A:$R,10,FALSE))</f>
        <v>433.852562768625</v>
      </c>
      <c r="DN56" s="110">
        <f t="shared" si="29"/>
        <v>0.0986</v>
      </c>
      <c r="DO56" s="112">
        <f>DD56*IF(VLOOKUP($E56,武器奇术!$A:$R,17,FALSE)="破竹",VLOOKUP($E56,武器奇术!$A:$R,4,FALSE),VLOOKUP($E56,武器奇术!$A:$R,2,FALSE))*(1+DF56)*(1+DG56)*DH56</f>
        <v>321.3722687175</v>
      </c>
      <c r="DP56" s="110">
        <f t="shared" si="30"/>
        <v>0.00928814000000003</v>
      </c>
      <c r="DQ56" s="113">
        <f t="shared" si="31"/>
        <v>513.744592967279</v>
      </c>
    </row>
    <row r="57" customFormat="1" spans="1:121">
      <c r="B57" s="135"/>
      <c r="C57" s="143"/>
      <c r="D57" s="144"/>
      <c r="E57" s="98" t="s">
        <v>150</v>
      </c>
      <c r="F57" s="99">
        <v>1</v>
      </c>
      <c r="G57" s="115"/>
      <c r="H57" s="100">
        <f>IF(VLOOKUP($E57,武器奇术!$A:$R,18,FALSE)="天工",AE57,(AE57+AT57+BI57+BX57+CM57+DB57+DQ57))*(1+J57)*F57*K57*(1+G57)</f>
        <v>22660.5919110736</v>
      </c>
      <c r="I57" s="101">
        <f t="shared" si="0"/>
        <v>0.0027977427066306</v>
      </c>
      <c r="J57" s="101">
        <f>$F$3+VLOOKUP($E57,武器奇术!$A:$R,12,FALSE)+VLOOKUP($E57,武器奇术!$A:$R,14,FALSE)*$G$3+$P57</f>
        <v>0.573</v>
      </c>
      <c r="K57" s="102">
        <f>VLOOKUP($E57,武器奇术!$A:$R,11,FALSE)</f>
        <v>1</v>
      </c>
      <c r="L57" s="117">
        <f>IF(VLOOKUP($E57,武器奇术!$A:$R,15,FALSE)="天工",0%,IF($C$17+VLOOKUP($E57,武器奇术!$A:$R,7,FALSE)&gt;80%,80%,$C$17+VLOOKUP($E57,武器奇术!$A:$R,7,FALSE))+IF($C$19&gt;20%,20%,$C$19))</f>
        <v>0.892</v>
      </c>
      <c r="M57" s="118">
        <f>IF(VLOOKUP($E57,武器奇术!$A:$R,15,FALSE)="天工",0%,IF($C$18+VLOOKUP($E57,武器奇术!$A:$R,9,FALSE)&gt;40%,40%,$C$18+VLOOKUP($E57,武器奇术!$A:$R,9,FALSE))+IF($C$20&gt;10%,10%,$C$20))</f>
        <v>0.0986</v>
      </c>
      <c r="N57" s="119">
        <f>IF(VLOOKUP($E57,武器奇术!$A:$R,15,FALSE)="天工",100%,MIN($C$16,1))</f>
        <v>0.9881</v>
      </c>
      <c r="O57" s="120" t="str">
        <f>VLOOKUP($E57,武器奇术!$A:$R,16,FALSE)</f>
        <v>拳甲</v>
      </c>
      <c r="P57" s="121">
        <f t="shared" si="32"/>
        <v>0.17</v>
      </c>
      <c r="Q57" s="108">
        <f>$B$5*(1+VLOOKUP($E57,武器奇术!$A:$R,5,FALSE)+IF($G$5="飞隼",0.1,0)+IF($G$5="撼天",0.05,0))-$F$9+IF($I$5="√",160,0)</f>
        <v>1731.135</v>
      </c>
      <c r="R57" s="99">
        <f>IF(VLOOKUP($E57,武器奇术!$A:$Z,20,FALSE)=1,(S57-(Q57+S57)*0.5)*($G$15-0.5)*2+(Q57+S57)*0.5,(Q57+S57)*0.5)</f>
        <v>3256.775</v>
      </c>
      <c r="S57" s="109">
        <f>MAX($C$5,$B$5)*(1+VLOOKUP($E57,武器奇术!$A:$R,5,FALSE)+IF($G$5="飞隼",0.1,0)+IF($G$5="撼天",0.05,0))-$F$9+IF($I$5="√",320,0)</f>
        <v>4782.415</v>
      </c>
      <c r="T57" s="101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U57" s="111">
        <f>$E$5+IF(VLOOKUP($E57,武器奇术!$A:$U,21,FALSE)=1,0,0.09)</f>
        <v>0.115</v>
      </c>
      <c r="V57" s="109">
        <v>1</v>
      </c>
      <c r="W57" s="112">
        <f>Q57*VLOOKUP($E57,武器奇术!$A:$R,2,FALSE)*(1+T57)*(1+U57)*V57</f>
        <v>3086.79912340758</v>
      </c>
      <c r="X57" s="110">
        <f>(1-IF(VLOOKUP($E57,武器奇术!$A:$T,20,FALSE)=1,1,$N57))*(1-$M57)</f>
        <v>0.01072666</v>
      </c>
      <c r="Y57" s="112">
        <f>R57*VLOOKUP($E57,武器奇术!$A:$R,2,FALSE)*(1+T57)*(1+U57)*V57*(1+$E$16+VLOOKUP($E57,武器奇术!$A:$R,8,FALSE))</f>
        <v>9523.77298871699</v>
      </c>
      <c r="Z57" s="110">
        <f t="shared" si="33"/>
        <v>0.8813852</v>
      </c>
      <c r="AA57" s="112">
        <f>S57*VLOOKUP($E57,武器奇术!$A:$R,2,FALSE)*(1+T57)*(1+U57)*V57*(1+$E$17+VLOOKUP($E57,武器奇术!$A:$R,10,FALSE))</f>
        <v>11512.2035428729</v>
      </c>
      <c r="AB57" s="110">
        <f t="shared" si="34"/>
        <v>0.0986</v>
      </c>
      <c r="AC57" s="112">
        <f>R57*VLOOKUP($E57,武器奇术!$A:$R,2,FALSE)*(1+T57)*(1+U57)*V57</f>
        <v>5807.1786516567</v>
      </c>
      <c r="AD57" s="110">
        <f t="shared" si="1"/>
        <v>0.00928814000000003</v>
      </c>
      <c r="AE57" s="113">
        <f t="shared" si="2"/>
        <v>9616.26476274887</v>
      </c>
      <c r="AF57" s="114">
        <f>VLOOKUP($E57,武器奇术!$A:$R,3,FALSE)*(1+IF(VLOOKUP($E57,武器奇术!$A:$R,15,FALSE)="武器",$E$15,0))</f>
        <v>465.4</v>
      </c>
      <c r="AG57" s="112">
        <f t="shared" si="3"/>
        <v>465.4</v>
      </c>
      <c r="AH57" s="112">
        <f>VLOOKUP($E57,武器奇术!$A:$R,3,FALSE)*(1+IF(VLOOKUP($E57,武器奇术!$A:$R,15,FALSE)="武器",$E$15,0))</f>
        <v>465.4</v>
      </c>
      <c r="AI57" s="101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AJ57" s="111">
        <f>$E$5+IF(VLOOKUP($E57,武器奇术!$A:$U,21,FALSE)=1,0,0.09)</f>
        <v>0.115</v>
      </c>
      <c r="AK57" s="109">
        <v>1</v>
      </c>
      <c r="AL57" s="112">
        <f t="shared" si="35"/>
        <v>644.499882</v>
      </c>
      <c r="AM57" s="110">
        <f>(1-IF(VLOOKUP($E57,武器奇术!$A:$T,20,FALSE)=1,1,$N57))*(1-$M57)</f>
        <v>0.01072666</v>
      </c>
      <c r="AN57" s="112">
        <f>AG57*(1+AI57)*(1+AJ57)*AK57*(1+$E$16+VLOOKUP($E57,武器奇术!$A:$R,8,FALSE))</f>
        <v>1056.97980648</v>
      </c>
      <c r="AO57" s="110">
        <f t="shared" si="4"/>
        <v>0.8813852</v>
      </c>
      <c r="AP57" s="112">
        <f>AH57*(1+AI57)*(1+AJ57)*AK57*(1+$E$17+VLOOKUP($E57,武器奇术!$A:$R,10,FALSE))</f>
        <v>870.0748407</v>
      </c>
      <c r="AQ57" s="110">
        <f t="shared" si="5"/>
        <v>0.0986</v>
      </c>
      <c r="AR57" s="112">
        <f t="shared" si="6"/>
        <v>644.499882</v>
      </c>
      <c r="AS57" s="110">
        <f t="shared" si="7"/>
        <v>0.00928814000000003</v>
      </c>
      <c r="AT57" s="113">
        <f t="shared" si="8"/>
        <v>1030.29527366161</v>
      </c>
      <c r="AU57" s="108">
        <f>$B$7*IF($G$5="撼天",1.05,1)+IF(AND(VLOOKUP($E57,武器奇术!$A:$R,15,FALSE)="武器",VLOOKUP($E57,武器奇术!$A:$R,17,FALSE)="鸣金"),$E$3,0)*(1+$E$15)</f>
        <v>0</v>
      </c>
      <c r="AV57" s="99">
        <f>(AU57+AW57)*IF(VLOOKUP($E57,武器奇术!$A:$Z,21,FALSE)=1,$G$15,0.5)</f>
        <v>0</v>
      </c>
      <c r="AW57" s="109">
        <f>MAX($C$7*IF($G$5="撼天",1.05,1)+IF(AND(VLOOKUP($E57,武器奇术!$A:$R,15,FALSE)="武器",VLOOKUP($E57,武器奇术!$A:$R,17,FALSE)="鸣金"),$E$3*(1+$E$15),0),AU57)</f>
        <v>0</v>
      </c>
      <c r="AX57" s="110">
        <f>IF(($D$7+IF(VLOOKUP($E57,武器奇术!$A:$R,17,FALSE)="鸣金",$D$15,0)+IF(VLOOKUP($E57,武器奇术!$A:$R,18,FALSE)=1,4,0)+IF(VLOOKUP($E57,武器奇术!$A:$S,19,FALSE)=1,20,0)-VLOOKUP($F$7,目标属性!$A:$R,6,FALSE))&gt;0,($D$7+IF(VLOOKUP($E57,武器奇术!$A:$R,17,FALSE)="鸣金",$D$15,0)+IF(VLOOKUP($E57,武器奇术!$A:$R,18,FALSE)=1,4,0)+IF(VLOOKUP($E57,武器奇术!$A:$S,19,FALSE)=1,20,0)-VLOOKUP($F$7,目标属性!$A:$R,6,FALSE))/200,($D$7+IF(VLOOKUP($E57,武器奇术!$A:$R,17,FALSE)="鸣金",$D$15,0)+IF(VLOOKUP($E57,武器奇术!$A:$R,18,FALSE)=1,4,0)+IF(VLOOKUP($E57,武器奇术!$A:$S,19,FALSE)=1,20,0)-VLOOKUP($F$7,目标属性!$A:$R,6,FALSE))/100)</f>
        <v>-0.24</v>
      </c>
      <c r="AY57" s="111">
        <f t="shared" si="9"/>
        <v>0</v>
      </c>
      <c r="AZ57" s="109">
        <v>1</v>
      </c>
      <c r="BA57" s="112">
        <f>AU57*IF(VLOOKUP($E57,武器奇术!$A:$R,17,FALSE)="鸣金",VLOOKUP($E57,武器奇术!$A:$R,4,FALSE),VLOOKUP($E57,武器奇术!$A:$R,2,FALSE))*(1+AX57)*(1+AY57)*AZ57</f>
        <v>0</v>
      </c>
      <c r="BB57" s="110">
        <f>(1-IF(VLOOKUP($E57,武器奇术!$A:$T,20,FALSE)=1,1,$N57))*(1-$M57)</f>
        <v>0.01072666</v>
      </c>
      <c r="BC57" s="112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10">
        <f t="shared" si="10"/>
        <v>0.8813852</v>
      </c>
      <c r="BE57" s="112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10">
        <f t="shared" si="11"/>
        <v>0.0986</v>
      </c>
      <c r="BG57" s="112">
        <f>AV57*IF(VLOOKUP($E57,武器奇术!$A:$R,17,FALSE)="鸣金",VLOOKUP($E57,武器奇术!$A:$R,4,FALSE),VLOOKUP($E57,武器奇术!$A:$R,2,FALSE))*(1+AX57)*(1+AY57)*AZ57</f>
        <v>0</v>
      </c>
      <c r="BH57" s="110">
        <f t="shared" si="12"/>
        <v>0.00928814000000003</v>
      </c>
      <c r="BI57" s="113">
        <f t="shared" si="13"/>
        <v>0</v>
      </c>
      <c r="BJ57" s="108">
        <f>$B$9*IF($G$5="撼天",1.05,1)+IF(AND(VLOOKUP($E57,武器奇术!$A:$R,15,FALSE)="武器",VLOOKUP($E57,武器奇术!$A:$R,17,FALSE)="裂石"),$E$3,0)*(1+$E$15)</f>
        <v>0</v>
      </c>
      <c r="BK57" s="99">
        <f>(BJ57+BL57)*IF(VLOOKUP($E57,武器奇术!$A:$Z,21,FALSE)=1,$G$15,0.5)</f>
        <v>0</v>
      </c>
      <c r="BL57" s="109">
        <f>MAX($C$9*IF($G$5="撼天",1.05,1)+IF(AND(VLOOKUP($E57,武器奇术!$A:$R,15,FALSE)="武器",VLOOKUP($E57,武器奇术!$A:$R,17,FALSE)="裂石"),$E$3*(1+$E$15),0),BJ57)</f>
        <v>0</v>
      </c>
      <c r="BM57" s="110">
        <f>IF(($D$9+IF(VLOOKUP($E57,武器奇术!$A:$R,17,FALSE)="裂石",$D$15,0)+IF(VLOOKUP($E57,武器奇术!$A:$R,18,FALSE)=1,4,0)+IF(VLOOKUP($E57,武器奇术!$A:$S,19,FALSE)=1,20,0)-VLOOKUP($F$7,目标属性!$A:$R,6,FALSE))&gt;0,($D$9+IF(VLOOKUP($E57,武器奇术!$A:$R,17,FALSE)="裂石",$D$15,0)+IF(VLOOKUP($E57,武器奇术!$A:$R,18,FALSE)=1,4,0)+IF(VLOOKUP($E57,武器奇术!$A:$S,19,FALSE)=1,20,0)-VLOOKUP($F$7,目标属性!$A:$R,6,FALSE))/200,($D$9+IF(VLOOKUP($E57,武器奇术!$A:$R,17,FALSE)="裂石",$D$15,0)+IF(VLOOKUP($E57,武器奇术!$A:$R,18,FALSE)=1,4,0)+IF(VLOOKUP($E57,武器奇术!$A:$S,19,FALSE)=1,20,0)-VLOOKUP($F$7,目标属性!$A:$R,6,FALSE))/100)</f>
        <v>-0.24</v>
      </c>
      <c r="BN57" s="111">
        <f t="shared" si="14"/>
        <v>0</v>
      </c>
      <c r="BO57" s="109">
        <v>1</v>
      </c>
      <c r="BP57" s="112">
        <f>BJ57*IF(VLOOKUP($E57,武器奇术!$A:$R,17,FALSE)="裂石",VLOOKUP($E57,武器奇术!$A:$R,4,FALSE),VLOOKUP($E57,武器奇术!$A:$R,2,FALSE))*(1+BM57)*(1+BN57)*BO57</f>
        <v>0</v>
      </c>
      <c r="BQ57" s="110">
        <f>(1-IF(VLOOKUP($E57,武器奇术!$A:$T,20,FALSE)=1,1,$N57))*(1-$M57)</f>
        <v>0.01072666</v>
      </c>
      <c r="BR57" s="112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10">
        <f t="shared" si="15"/>
        <v>0.8813852</v>
      </c>
      <c r="BT57" s="112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10">
        <f t="shared" si="16"/>
        <v>0.0986</v>
      </c>
      <c r="BV57" s="112">
        <f>BK57*IF(VLOOKUP($E57,武器奇术!$A:$R,17,FALSE)="裂石",VLOOKUP($E57,武器奇术!$A:$R,4,FALSE),VLOOKUP($E57,武器奇术!$A:$R,2,FALSE))*(1+BM57)*(1+BN57)*BO57</f>
        <v>0</v>
      </c>
      <c r="BW57" s="110">
        <f t="shared" si="17"/>
        <v>0.00928814000000003</v>
      </c>
      <c r="BX57" s="113">
        <f t="shared" si="18"/>
        <v>0</v>
      </c>
      <c r="BY57" s="108">
        <f>$B$11*IF($G$5="撼天",1.05,1)+IF(AND(VLOOKUP($E57,武器奇术!$A:$R,15,FALSE)="武器",VLOOKUP($E57,武器奇术!$A:$R,17,FALSE)="牵丝"),$E$3,0)*(1+$E$15)</f>
        <v>0</v>
      </c>
      <c r="BZ57" s="99">
        <f>(BY57+CA57)*IF(VLOOKUP($E57,武器奇术!$A:$Z,21,FALSE)=1,$G$15,0.5)</f>
        <v>0</v>
      </c>
      <c r="CA57" s="109">
        <f>MAX($C$11*IF($G$5="撼天",1.05,1)+IF(AND(VLOOKUP($E57,武器奇术!$A:$R,15,FALSE)="武器",VLOOKUP($E57,武器奇术!$A:$R,17,FALSE)="牵丝"),$E$3*(1+$E$15),0),BY57)</f>
        <v>0</v>
      </c>
      <c r="CB57" s="110">
        <f>IF(($D$11+IF(VLOOKUP($E57,武器奇术!$A:$R,17,FALSE)="牵丝",$D$15,0)+IF(VLOOKUP($E57,武器奇术!$A:$R,18,FALSE)=1,4,0)+IF(VLOOKUP($E57,武器奇术!$A:$S,19,FALSE)=1,20,0)-VLOOKUP($F$7,目标属性!$A:$R,6,FALSE))&gt;0,($D$11+IF(VLOOKUP($E57,武器奇术!$A:$R,17,FALSE)="牵丝",$D$15,0)+IF(VLOOKUP($E57,武器奇术!$A:$R,18,FALSE)=1,4,0)+IF(VLOOKUP($E57,武器奇术!$A:$S,19,FALSE)=1,20,0)-VLOOKUP($F$7,目标属性!$A:$R,6,FALSE))/200,($D$11+IF(VLOOKUP($E57,武器奇术!$A:$R,17,FALSE)="牵丝",$D$15,0)+IF(VLOOKUP($E57,武器奇术!$A:$R,18,FALSE)=1,4,0)+IF(VLOOKUP($E57,武器奇术!$A:$S,19,FALSE)=1,20,0)-VLOOKUP($F$7,目标属性!$A:$R,6,FALSE))/100)</f>
        <v>-0.24</v>
      </c>
      <c r="CC57" s="111">
        <f t="shared" si="19"/>
        <v>0</v>
      </c>
      <c r="CD57" s="109">
        <v>1</v>
      </c>
      <c r="CE57" s="112">
        <f>BY57*IF(VLOOKUP($E57,武器奇术!$A:$R,17,FALSE)="牵丝",VLOOKUP($E57,武器奇术!$A:$R,4,FALSE),VLOOKUP($E57,武器奇术!$A:$R,2,FALSE))*(1+CB57)*(1+CC57)*CD57</f>
        <v>0</v>
      </c>
      <c r="CF57" s="110">
        <f>(1-IF(VLOOKUP($E57,武器奇术!$A:$T,20,FALSE)=1,1,$N57))*(1-$M57)</f>
        <v>0.01072666</v>
      </c>
      <c r="CG57" s="112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110">
        <f t="shared" si="20"/>
        <v>0.8813852</v>
      </c>
      <c r="CI57" s="112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110">
        <f t="shared" si="21"/>
        <v>0.0986</v>
      </c>
      <c r="CK57" s="112">
        <f>BZ57*IF(VLOOKUP($E57,武器奇术!$A:$R,17,FALSE)="牵丝",VLOOKUP($E57,武器奇术!$A:$R,4,FALSE),VLOOKUP($E57,武器奇术!$A:$R,2,FALSE))*(1+CB57)*(1+CC57)*CD57</f>
        <v>0</v>
      </c>
      <c r="CL57" s="110">
        <f t="shared" si="22"/>
        <v>0.00928814000000003</v>
      </c>
      <c r="CM57" s="113">
        <f t="shared" si="23"/>
        <v>0</v>
      </c>
      <c r="CN57" s="108">
        <f>$B$13*IF($G$5="撼天",1.05,1)+IF(AND(VLOOKUP($E57,武器奇术!$A:$R,15,FALSE)="武器",VLOOKUP($E57,武器奇术!$A:$R,17,FALSE)="破竹"),$E$3,0)*(1+$E$15)</f>
        <v>648.46</v>
      </c>
      <c r="CO57" s="99">
        <f>IF(VLOOKUP($E57,武器奇术!$A:$Z,20,FALSE)=1,(CP57-(CN57+CP57)*0.5)*($G$15-0.5)*2+(CN57+CP57)*0.5,(CN57+CP57)*0.5)</f>
        <v>875.26</v>
      </c>
      <c r="CP57" s="109">
        <f>MAX($C$13*IF($G$5="撼天",1.05,1)+IF(AND(VLOOKUP($E57,武器奇术!$A:$R,15,FALSE)="武器",VLOOKUP($E57,武器奇术!$A:$R,17,FALSE)="破竹"),$E$3*(1+$E$15),0),CN57)</f>
        <v>1102.06</v>
      </c>
      <c r="CQ57" s="110">
        <f>IF(($D$13+IF(VLOOKUP($E57,武器奇术!$A:$R,17,FALSE)="破竹",$D$15,0)+IF(VLOOKUP($E57,武器奇术!$A:$R,18,FALSE)=1,4,0)+IF(VLOOKUP($E57,武器奇术!$A:$S,19,FALSE)=1,20,0)-VLOOKUP($F$7,目标属性!$A:$R,6,FALSE))&gt;0,($D$13+IF(VLOOKUP($E57,武器奇术!$A:$R,17,FALSE)="破竹",$D$15,0)+IF(VLOOKUP($E57,武器奇术!$A:$R,18,FALSE)=1,4,0)+IF(VLOOKUP($E57,武器奇术!$A:$S,19,FALSE)=1,20,0)-VLOOKUP($F$7,目标属性!$A:$R,6,FALSE))/200,($D$13+IF(VLOOKUP($E57,武器奇术!$A:$R,17,FALSE)="破竹",$D$15,0)+IF(VLOOKUP($E57,武器奇术!$A:$R,18,FALSE)=1,4,0)+IF(VLOOKUP($E57,武器奇术!$A:$S,19,FALSE)=1,20,0)-VLOOKUP($F$7,目标属性!$A:$R,6,FALSE))/100)</f>
        <v>0.025</v>
      </c>
      <c r="CR57" s="111">
        <f>$E$13+IF(VLOOKUP($E57,武器奇术!$A:$U,21,FALSE)=1,0,0.09)</f>
        <v>0.235</v>
      </c>
      <c r="CS57" s="109">
        <v>1</v>
      </c>
      <c r="CT57" s="112">
        <f>CN57*IF(VLOOKUP($E57,武器奇术!$A:$R,17,FALSE)="破竹",VLOOKUP($E57,武器奇术!$A:$R,4,FALSE),VLOOKUP($E57,武器奇术!$A:$R,2,FALSE))*(1+CQ57)*(1+CR57)*CS57</f>
        <v>1585.34488391825</v>
      </c>
      <c r="CU57" s="110">
        <f>(1-IF(VLOOKUP($E57,武器奇术!$A:$T,20,FALSE)=1,1,$N57))*(1-$M57)</f>
        <v>0.01072666</v>
      </c>
      <c r="CV57" s="112">
        <f>CO57*IF(VLOOKUP($E57,武器奇术!$A:$R,17,FALSE)="破竹",VLOOKUP($E57,武器奇术!$A:$R,4,FALSE),VLOOKUP($E57,武器奇术!$A:$R,2,FALSE))*(1+CQ57)*(1+CR57)*CS57*(1+$E$16+VLOOKUP($E57,武器奇术!$A:$R,8,FALSE))</f>
        <v>3509.30805212533</v>
      </c>
      <c r="CW57" s="110">
        <f t="shared" si="24"/>
        <v>0.8813852</v>
      </c>
      <c r="CX57" s="112">
        <f>CP57*IF(VLOOKUP($E57,武器奇术!$A:$R,17,FALSE)="破竹",VLOOKUP($E57,武器奇术!$A:$R,4,FALSE),VLOOKUP($E57,武器奇术!$A:$R,2,FALSE))*(1+CQ57)*(1+CR57)*CS57*(1+$E$17+VLOOKUP($E57,武器奇术!$A:$R,10,FALSE))</f>
        <v>3637.30376081914</v>
      </c>
      <c r="CY57" s="110">
        <f t="shared" si="25"/>
        <v>0.0986</v>
      </c>
      <c r="CZ57" s="112">
        <f>CO57*IF(VLOOKUP($E57,武器奇术!$A:$R,17,FALSE)="破竹",VLOOKUP($E57,武器奇术!$A:$R,4,FALSE),VLOOKUP($E57,武器奇术!$A:$R,2,FALSE))*(1+CQ57)*(1+CR57)*CS57</f>
        <v>2139.82198300325</v>
      </c>
      <c r="DA57" s="110">
        <f t="shared" si="26"/>
        <v>0.00928814000000003</v>
      </c>
      <c r="DB57" s="113">
        <f t="shared" si="27"/>
        <v>3488.5707519066</v>
      </c>
      <c r="DC57" s="108">
        <f t="shared" si="36"/>
        <v>69.3</v>
      </c>
      <c r="DD57" s="99">
        <f>(DC57+DE57)*IF(VLOOKUP($E57,武器奇术!$A:$Z,21,FALSE)=1,$G$15,0.5)</f>
        <v>69.3</v>
      </c>
      <c r="DE57" s="109">
        <f t="shared" si="37"/>
        <v>69.3</v>
      </c>
      <c r="DF57" s="110">
        <f>IF(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100)</f>
        <v>0.025</v>
      </c>
      <c r="DG57" s="111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U,21,FALSE)=1,0,0.09)</f>
        <v>0.235</v>
      </c>
      <c r="DH57" s="109">
        <v>1</v>
      </c>
      <c r="DI57" s="112">
        <f>DC57*IF(VLOOKUP($E57,武器奇术!$A:$R,17,FALSE)="破竹",VLOOKUP($E57,武器奇术!$A:$R,4,FALSE),VLOOKUP($E57,武器奇术!$A:$R,2,FALSE))*(1+DF57)*(1+DG57)*DH57</f>
        <v>169.42355805375</v>
      </c>
      <c r="DJ57" s="110">
        <f>(1-IF(VLOOKUP($E57,武器奇术!$A:$T,20,FALSE)=1,1,$N57))*(1-$M57)</f>
        <v>0.01072666</v>
      </c>
      <c r="DK57" s="112">
        <f>DD57*IF(VLOOKUP($E57,武器奇术!$A:$R,17,FALSE)="破竹",VLOOKUP($E57,武器奇术!$A:$R,4,FALSE),VLOOKUP($E57,武器奇术!$A:$R,2,FALSE))*(1+DF57)*(1+DG57)*DH57*(1+$E$16+VLOOKUP($E57,武器奇术!$A:$R,8,FALSE))</f>
        <v>277.85463520815</v>
      </c>
      <c r="DL57" s="110">
        <f t="shared" si="28"/>
        <v>0.8813852</v>
      </c>
      <c r="DM57" s="112">
        <f>DE57*IF(VLOOKUP($E57,武器奇术!$A:$R,17,FALSE)="破竹",VLOOKUP($E57,武器奇术!$A:$R,4,FALSE),VLOOKUP($E57,武器奇术!$A:$R,2,FALSE))*(1+DF57)*(1+DG57)*DH57*(1+$E$17+VLOOKUP($E57,武器奇术!$A:$R,10,FALSE))</f>
        <v>228.721803372562</v>
      </c>
      <c r="DN57" s="110">
        <f t="shared" si="29"/>
        <v>0.0986</v>
      </c>
      <c r="DO57" s="112">
        <f>DD57*IF(VLOOKUP($E57,武器奇术!$A:$R,17,FALSE)="破竹",VLOOKUP($E57,武器奇术!$A:$R,4,FALSE),VLOOKUP($E57,武器奇术!$A:$R,2,FALSE))*(1+DF57)*(1+DG57)*DH57</f>
        <v>169.42355805375</v>
      </c>
      <c r="DP57" s="110">
        <f t="shared" si="30"/>
        <v>0.00928814000000003</v>
      </c>
      <c r="DQ57" s="113">
        <f t="shared" si="31"/>
        <v>270.839911666131</v>
      </c>
    </row>
    <row r="58" customFormat="1" spans="1:121">
      <c r="B58" s="135"/>
      <c r="C58" s="143"/>
      <c r="D58" s="144"/>
      <c r="E58" s="98" t="s">
        <v>151</v>
      </c>
      <c r="F58" s="99">
        <v>1</v>
      </c>
      <c r="G58" s="115"/>
      <c r="H58" s="100">
        <f>IF(VLOOKUP($E58,武器奇术!$A:$R,18,FALSE)="天工",AE58,(AE58+AT58+BI58+BX58+CM58+DB58+DQ58))*(1+J58)*F58*K58*(1+G58)</f>
        <v>50067.382471381</v>
      </c>
      <c r="I58" s="101">
        <f t="shared" si="0"/>
        <v>0.00618146492814867</v>
      </c>
      <c r="J58" s="101">
        <f>$F$3+VLOOKUP($E58,武器奇术!$A:$R,12,FALSE)+VLOOKUP($E58,武器奇术!$A:$R,14,FALSE)*$G$3+$P58</f>
        <v>0.873</v>
      </c>
      <c r="K58" s="102">
        <f>VLOOKUP($E58,武器奇术!$A:$R,11,FALSE)</f>
        <v>1</v>
      </c>
      <c r="L58" s="117">
        <f>IF(VLOOKUP($E58,武器奇术!$A:$R,15,FALSE)="天工",0%,IF($C$17+VLOOKUP($E58,武器奇术!$A:$R,7,FALSE)&gt;80%,80%,$C$17+VLOOKUP($E58,武器奇术!$A:$R,7,FALSE))+IF($C$19&gt;20%,20%,$C$19))</f>
        <v>0.892</v>
      </c>
      <c r="M58" s="118">
        <f>IF(VLOOKUP($E58,武器奇术!$A:$R,15,FALSE)="天工",0%,IF($C$18+VLOOKUP($E58,武器奇术!$A:$R,9,FALSE)&gt;40%,40%,$C$18+VLOOKUP($E58,武器奇术!$A:$R,9,FALSE))+IF($C$20&gt;10%,10%,$C$20))</f>
        <v>0.0986</v>
      </c>
      <c r="N58" s="119">
        <f>IF(VLOOKUP($E58,武器奇术!$A:$R,15,FALSE)="天工",100%,MIN($C$16,1))</f>
        <v>0.9881</v>
      </c>
      <c r="O58" s="120" t="str">
        <f>VLOOKUP($E58,武器奇术!$A:$R,16,FALSE)</f>
        <v>拳甲</v>
      </c>
      <c r="P58" s="121">
        <f t="shared" si="32"/>
        <v>0.17</v>
      </c>
      <c r="Q58" s="108">
        <f>$B$5*(1+VLOOKUP($E58,武器奇术!$A:$R,5,FALSE)+IF($G$5="飞隼",0.1,0)+IF($G$5="撼天",0.05,0))-$F$9+IF($I$5="√",160,0)</f>
        <v>1731.135</v>
      </c>
      <c r="R58" s="99">
        <f>IF(VLOOKUP($E58,武器奇术!$A:$Z,20,FALSE)=1,(S58-(Q58+S58)*0.5)*($G$15-0.5)*2+(Q58+S58)*0.5,(Q58+S58)*0.5)</f>
        <v>3256.775</v>
      </c>
      <c r="S58" s="109">
        <f>MAX($C$5,$B$5)*(1+VLOOKUP($E58,武器奇术!$A:$R,5,FALSE)+IF($G$5="飞隼",0.1,0)+IF($G$5="撼天",0.05,0))-$F$9+IF($I$5="√",320,0)</f>
        <v>4782.415</v>
      </c>
      <c r="T58" s="101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U58" s="111">
        <f>$E$5+IF(VLOOKUP($E58,武器奇术!$A:$U,21,FALSE)=1,0,0.09)</f>
        <v>0.115</v>
      </c>
      <c r="V58" s="109">
        <v>1</v>
      </c>
      <c r="W58" s="112">
        <f>Q58*VLOOKUP($E58,武器奇术!$A:$R,2,FALSE)*(1+T58)*(1+U58)*V58</f>
        <v>5595.154346628</v>
      </c>
      <c r="X58" s="110">
        <f>(1-IF(VLOOKUP($E58,武器奇术!$A:$T,20,FALSE)=1,1,$N58))*(1-$M58)</f>
        <v>0.01072666</v>
      </c>
      <c r="Y58" s="112">
        <f>R58*VLOOKUP($E58,武器奇术!$A:$R,2,FALSE)*(1+T58)*(1+U58)*V58*(1+$E$16+VLOOKUP($E58,武器奇术!$A:$R,8,FALSE))</f>
        <v>20420.6997528468</v>
      </c>
      <c r="Z58" s="110">
        <f t="shared" si="33"/>
        <v>0.8813852</v>
      </c>
      <c r="AA58" s="112">
        <f>S58*VLOOKUP($E58,武器奇术!$A:$R,2,FALSE)*(1+T58)*(1+U58)*V58*(1+$E$17+VLOOKUP($E58,武器奇术!$A:$R,10,FALSE))</f>
        <v>20867.1031437462</v>
      </c>
      <c r="AB58" s="110">
        <f t="shared" si="34"/>
        <v>0.0986</v>
      </c>
      <c r="AC58" s="112">
        <f>R58*VLOOKUP($E58,武器奇术!$A:$R,2,FALSE)*(1+T58)*(1+U58)*V58</f>
        <v>10526.13389322</v>
      </c>
      <c r="AD58" s="110">
        <f t="shared" si="1"/>
        <v>0.00928814000000003</v>
      </c>
      <c r="AE58" s="113">
        <f t="shared" si="2"/>
        <v>20213.784429359</v>
      </c>
      <c r="AF58" s="114">
        <f>VLOOKUP($E58,武器奇术!$A:$R,3,FALSE)*(1+IF(VLOOKUP($E58,武器奇术!$A:$R,15,FALSE)="武器",$E$15,0))</f>
        <v>0</v>
      </c>
      <c r="AG58" s="112">
        <f t="shared" si="3"/>
        <v>0</v>
      </c>
      <c r="AH58" s="112">
        <f>VLOOKUP($E58,武器奇术!$A:$R,3,FALSE)*(1+IF(VLOOKUP($E58,武器奇术!$A:$R,15,FALSE)="武器",$E$15,0))</f>
        <v>0</v>
      </c>
      <c r="AI58" s="101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AJ58" s="111">
        <f>$E$5+IF(VLOOKUP($E58,武器奇术!$A:$U,21,FALSE)=1,0,0.09)</f>
        <v>0.115</v>
      </c>
      <c r="AK58" s="109">
        <v>1</v>
      </c>
      <c r="AL58" s="112">
        <f t="shared" si="35"/>
        <v>0</v>
      </c>
      <c r="AM58" s="110">
        <f>(1-IF(VLOOKUP($E58,武器奇术!$A:$T,20,FALSE)=1,1,$N58))*(1-$M58)</f>
        <v>0.01072666</v>
      </c>
      <c r="AN58" s="112">
        <f>AG58*(1+AI58)*(1+AJ58)*AK58*(1+$E$16+VLOOKUP($E58,武器奇术!$A:$R,8,FALSE))</f>
        <v>0</v>
      </c>
      <c r="AO58" s="110">
        <f t="shared" si="4"/>
        <v>0.8813852</v>
      </c>
      <c r="AP58" s="112">
        <f>AH58*(1+AI58)*(1+AJ58)*AK58*(1+$E$17+VLOOKUP($E58,武器奇术!$A:$R,10,FALSE))</f>
        <v>0</v>
      </c>
      <c r="AQ58" s="110">
        <f t="shared" si="5"/>
        <v>0.0986</v>
      </c>
      <c r="AR58" s="112">
        <f t="shared" si="6"/>
        <v>0</v>
      </c>
      <c r="AS58" s="110">
        <f t="shared" si="7"/>
        <v>0.00928814000000003</v>
      </c>
      <c r="AT58" s="113">
        <f t="shared" si="8"/>
        <v>0</v>
      </c>
      <c r="AU58" s="108">
        <f>$B$7*IF($G$5="撼天",1.05,1)+IF(AND(VLOOKUP($E58,武器奇术!$A:$R,15,FALSE)="武器",VLOOKUP($E58,武器奇术!$A:$R,17,FALSE)="鸣金"),$E$3,0)*(1+$E$15)</f>
        <v>0</v>
      </c>
      <c r="AV58" s="99">
        <f>(AU58+AW58)*IF(VLOOKUP($E58,武器奇术!$A:$Z,21,FALSE)=1,$G$15,0.5)</f>
        <v>0</v>
      </c>
      <c r="AW58" s="109">
        <f>MAX($C$7*IF($G$5="撼天",1.05,1)+IF(AND(VLOOKUP($E58,武器奇术!$A:$R,15,FALSE)="武器",VLOOKUP($E58,武器奇术!$A:$R,17,FALSE)="鸣金"),$E$3*(1+$E$15),0),AU58)</f>
        <v>0</v>
      </c>
      <c r="AX58" s="110">
        <f>IF(($D$7+IF(VLOOKUP($E58,武器奇术!$A:$R,17,FALSE)="鸣金",$D$15,0)+IF(VLOOKUP($E58,武器奇术!$A:$R,18,FALSE)=1,4,0)+IF(VLOOKUP($E58,武器奇术!$A:$S,19,FALSE)=1,20,0)-VLOOKUP($F$7,目标属性!$A:$R,6,FALSE))&gt;0,($D$7+IF(VLOOKUP($E58,武器奇术!$A:$R,17,FALSE)="鸣金",$D$15,0)+IF(VLOOKUP($E58,武器奇术!$A:$R,18,FALSE)=1,4,0)+IF(VLOOKUP($E58,武器奇术!$A:$S,19,FALSE)=1,20,0)-VLOOKUP($F$7,目标属性!$A:$R,6,FALSE))/200,($D$7+IF(VLOOKUP($E58,武器奇术!$A:$R,17,FALSE)="鸣金",$D$15,0)+IF(VLOOKUP($E58,武器奇术!$A:$R,18,FALSE)=1,4,0)+IF(VLOOKUP($E58,武器奇术!$A:$S,19,FALSE)=1,20,0)-VLOOKUP($F$7,目标属性!$A:$R,6,FALSE))/100)</f>
        <v>0</v>
      </c>
      <c r="AY58" s="111">
        <f t="shared" si="9"/>
        <v>0</v>
      </c>
      <c r="AZ58" s="109">
        <v>1</v>
      </c>
      <c r="BA58" s="112">
        <f>AU58*IF(VLOOKUP($E58,武器奇术!$A:$R,17,FALSE)="鸣金",VLOOKUP($E58,武器奇术!$A:$R,4,FALSE),VLOOKUP($E58,武器奇术!$A:$R,2,FALSE))*(1+AX58)*(1+AY58)*AZ58</f>
        <v>0</v>
      </c>
      <c r="BB58" s="110">
        <f>(1-IF(VLOOKUP($E58,武器奇术!$A:$T,20,FALSE)=1,1,$N58))*(1-$M58)</f>
        <v>0.01072666</v>
      </c>
      <c r="BC58" s="112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10">
        <f t="shared" si="10"/>
        <v>0.8813852</v>
      </c>
      <c r="BE58" s="112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10">
        <f t="shared" si="11"/>
        <v>0.0986</v>
      </c>
      <c r="BG58" s="112">
        <f>AV58*IF(VLOOKUP($E58,武器奇术!$A:$R,17,FALSE)="鸣金",VLOOKUP($E58,武器奇术!$A:$R,4,FALSE),VLOOKUP($E58,武器奇术!$A:$R,2,FALSE))*(1+AX58)*(1+AY58)*AZ58</f>
        <v>0</v>
      </c>
      <c r="BH58" s="110">
        <f t="shared" si="12"/>
        <v>0.00928814000000003</v>
      </c>
      <c r="BI58" s="113">
        <f t="shared" si="13"/>
        <v>0</v>
      </c>
      <c r="BJ58" s="108">
        <f>$B$9*IF($G$5="撼天",1.05,1)+IF(AND(VLOOKUP($E58,武器奇术!$A:$R,15,FALSE)="武器",VLOOKUP($E58,武器奇术!$A:$R,17,FALSE)="裂石"),$E$3,0)*(1+$E$15)</f>
        <v>0</v>
      </c>
      <c r="BK58" s="99">
        <f>(BJ58+BL58)*IF(VLOOKUP($E58,武器奇术!$A:$Z,21,FALSE)=1,$G$15,0.5)</f>
        <v>0</v>
      </c>
      <c r="BL58" s="109">
        <f>MAX($C$9*IF($G$5="撼天",1.05,1)+IF(AND(VLOOKUP($E58,武器奇术!$A:$R,15,FALSE)="武器",VLOOKUP($E58,武器奇术!$A:$R,17,FALSE)="裂石"),$E$3*(1+$E$15),0),BJ58)</f>
        <v>0</v>
      </c>
      <c r="BM58" s="110">
        <f>IF(($D$9+IF(VLOOKUP($E58,武器奇术!$A:$R,17,FALSE)="裂石",$D$15,0)+IF(VLOOKUP($E58,武器奇术!$A:$R,18,FALSE)=1,4,0)+IF(VLOOKUP($E58,武器奇术!$A:$S,19,FALSE)=1,20,0)-VLOOKUP($F$7,目标属性!$A:$R,6,FALSE))&gt;0,($D$9+IF(VLOOKUP($E58,武器奇术!$A:$R,17,FALSE)="裂石",$D$15,0)+IF(VLOOKUP($E58,武器奇术!$A:$R,18,FALSE)=1,4,0)+IF(VLOOKUP($E58,武器奇术!$A:$S,19,FALSE)=1,20,0)-VLOOKUP($F$7,目标属性!$A:$R,6,FALSE))/200,($D$9+IF(VLOOKUP($E58,武器奇术!$A:$R,17,FALSE)="裂石",$D$15,0)+IF(VLOOKUP($E58,武器奇术!$A:$R,18,FALSE)=1,4,0)+IF(VLOOKUP($E58,武器奇术!$A:$S,19,FALSE)=1,20,0)-VLOOKUP($F$7,目标属性!$A:$R,6,FALSE))/100)</f>
        <v>0</v>
      </c>
      <c r="BN58" s="111">
        <f t="shared" si="14"/>
        <v>0</v>
      </c>
      <c r="BO58" s="109">
        <v>1</v>
      </c>
      <c r="BP58" s="112">
        <f>BJ58*IF(VLOOKUP($E58,武器奇术!$A:$R,17,FALSE)="裂石",VLOOKUP($E58,武器奇术!$A:$R,4,FALSE),VLOOKUP($E58,武器奇术!$A:$R,2,FALSE))*(1+BM58)*(1+BN58)*BO58</f>
        <v>0</v>
      </c>
      <c r="BQ58" s="110">
        <f>(1-IF(VLOOKUP($E58,武器奇术!$A:$T,20,FALSE)=1,1,$N58))*(1-$M58)</f>
        <v>0.01072666</v>
      </c>
      <c r="BR58" s="112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10">
        <f t="shared" si="15"/>
        <v>0.8813852</v>
      </c>
      <c r="BT58" s="112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10">
        <f t="shared" si="16"/>
        <v>0.0986</v>
      </c>
      <c r="BV58" s="112">
        <f>BK58*IF(VLOOKUP($E58,武器奇术!$A:$R,17,FALSE)="裂石",VLOOKUP($E58,武器奇术!$A:$R,4,FALSE),VLOOKUP($E58,武器奇术!$A:$R,2,FALSE))*(1+BM58)*(1+BN58)*BO58</f>
        <v>0</v>
      </c>
      <c r="BW58" s="110">
        <f t="shared" si="17"/>
        <v>0.00928814000000003</v>
      </c>
      <c r="BX58" s="113">
        <f t="shared" si="18"/>
        <v>0</v>
      </c>
      <c r="BY58" s="108">
        <f>$B$11*IF($G$5="撼天",1.05,1)+IF(AND(VLOOKUP($E58,武器奇术!$A:$R,15,FALSE)="武器",VLOOKUP($E58,武器奇术!$A:$R,17,FALSE)="牵丝"),$E$3,0)*(1+$E$15)</f>
        <v>0</v>
      </c>
      <c r="BZ58" s="99">
        <f>(BY58+CA58)*IF(VLOOKUP($E58,武器奇术!$A:$Z,21,FALSE)=1,$G$15,0.5)</f>
        <v>0</v>
      </c>
      <c r="CA58" s="109">
        <f>MAX($C$11*IF($G$5="撼天",1.05,1)+IF(AND(VLOOKUP($E58,武器奇术!$A:$R,15,FALSE)="武器",VLOOKUP($E58,武器奇术!$A:$R,17,FALSE)="牵丝"),$E$3*(1+$E$15),0),BY58)</f>
        <v>0</v>
      </c>
      <c r="CB58" s="110">
        <f>IF(($D$11+IF(VLOOKUP($E58,武器奇术!$A:$R,17,FALSE)="牵丝",$D$15,0)+IF(VLOOKUP($E58,武器奇术!$A:$R,18,FALSE)=1,4,0)+IF(VLOOKUP($E58,武器奇术!$A:$S,19,FALSE)=1,20,0)-VLOOKUP($F$7,目标属性!$A:$R,6,FALSE))&gt;0,($D$11+IF(VLOOKUP($E58,武器奇术!$A:$R,17,FALSE)="牵丝",$D$15,0)+IF(VLOOKUP($E58,武器奇术!$A:$R,18,FALSE)=1,4,0)+IF(VLOOKUP($E58,武器奇术!$A:$S,19,FALSE)=1,20,0)-VLOOKUP($F$7,目标属性!$A:$R,6,FALSE))/200,($D$11+IF(VLOOKUP($E58,武器奇术!$A:$R,17,FALSE)="牵丝",$D$15,0)+IF(VLOOKUP($E58,武器奇术!$A:$R,18,FALSE)=1,4,0)+IF(VLOOKUP($E58,武器奇术!$A:$S,19,FALSE)=1,20,0)-VLOOKUP($F$7,目标属性!$A:$R,6,FALSE))/100)</f>
        <v>0</v>
      </c>
      <c r="CC58" s="111">
        <f t="shared" si="19"/>
        <v>0</v>
      </c>
      <c r="CD58" s="109">
        <v>1</v>
      </c>
      <c r="CE58" s="112">
        <f>BY58*IF(VLOOKUP($E58,武器奇术!$A:$R,17,FALSE)="牵丝",VLOOKUP($E58,武器奇术!$A:$R,4,FALSE),VLOOKUP($E58,武器奇术!$A:$R,2,FALSE))*(1+CB58)*(1+CC58)*CD58</f>
        <v>0</v>
      </c>
      <c r="CF58" s="110">
        <f>(1-IF(VLOOKUP($E58,武器奇术!$A:$T,20,FALSE)=1,1,$N58))*(1-$M58)</f>
        <v>0.01072666</v>
      </c>
      <c r="CG58" s="112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110">
        <f t="shared" si="20"/>
        <v>0.8813852</v>
      </c>
      <c r="CI58" s="112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110">
        <f t="shared" si="21"/>
        <v>0.0986</v>
      </c>
      <c r="CK58" s="112">
        <f>BZ58*IF(VLOOKUP($E58,武器奇术!$A:$R,17,FALSE)="牵丝",VLOOKUP($E58,武器奇术!$A:$R,4,FALSE),VLOOKUP($E58,武器奇术!$A:$R,2,FALSE))*(1+CB58)*(1+CC58)*CD58</f>
        <v>0</v>
      </c>
      <c r="CL58" s="110">
        <f t="shared" si="22"/>
        <v>0.00928814000000003</v>
      </c>
      <c r="CM58" s="113">
        <f t="shared" si="23"/>
        <v>0</v>
      </c>
      <c r="CN58" s="108">
        <f>$B$13*IF($G$5="撼天",1.05,1)+IF(AND(VLOOKUP($E58,武器奇术!$A:$R,15,FALSE)="武器",VLOOKUP($E58,武器奇术!$A:$R,17,FALSE)="破竹"),$E$3,0)*(1+$E$15)</f>
        <v>452.55</v>
      </c>
      <c r="CO58" s="99">
        <f>IF(VLOOKUP($E58,武器奇术!$A:$Z,20,FALSE)=1,(CP58-(CN58+CP58)*0.5)*($G$15-0.5)*2+(CN58+CP58)*0.5,(CN58+CP58)*0.5)</f>
        <v>679.35</v>
      </c>
      <c r="CP58" s="109">
        <f>MAX($C$13*IF($G$5="撼天",1.05,1)+IF(AND(VLOOKUP($E58,武器奇术!$A:$R,15,FALSE)="武器",VLOOKUP($E58,武器奇术!$A:$R,17,FALSE)="破竹"),$E$3*(1+$E$15),0),CN58)</f>
        <v>906.15</v>
      </c>
      <c r="CQ58" s="110">
        <f>IF(($D$13+IF(VLOOKUP($E58,武器奇术!$A:$R,17,FALSE)="破竹",$D$15,0)+IF(VLOOKUP($E58,武器奇术!$A:$R,18,FALSE)=1,4,0)+IF(VLOOKUP($E58,武器奇术!$A:$S,19,FALSE)=1,20,0)-VLOOKUP($F$7,目标属性!$A:$R,6,FALSE))&gt;0,($D$13+IF(VLOOKUP($E58,武器奇术!$A:$R,17,FALSE)="破竹",$D$15,0)+IF(VLOOKUP($E58,武器奇术!$A:$R,18,FALSE)=1,4,0)+IF(VLOOKUP($E58,武器奇术!$A:$S,19,FALSE)=1,20,0)-VLOOKUP($F$7,目标属性!$A:$R,6,FALSE))/200,($D$13+IF(VLOOKUP($E58,武器奇术!$A:$R,17,FALSE)="破竹",$D$15,0)+IF(VLOOKUP($E58,武器奇术!$A:$R,18,FALSE)=1,4,0)+IF(VLOOKUP($E58,武器奇术!$A:$S,19,FALSE)=1,20,0)-VLOOKUP($F$7,目标属性!$A:$R,6,FALSE))/100)</f>
        <v>0.145</v>
      </c>
      <c r="CR58" s="111">
        <f>$E$13+IF(VLOOKUP($E58,武器奇术!$A:$U,21,FALSE)=1,0,0.09)</f>
        <v>0.235</v>
      </c>
      <c r="CS58" s="109">
        <v>1</v>
      </c>
      <c r="CT58" s="112">
        <f>CN58*IF(VLOOKUP($E58,武器奇术!$A:$R,17,FALSE)="破竹",VLOOKUP($E58,武器奇术!$A:$R,4,FALSE),VLOOKUP($E58,武器奇术!$A:$R,2,FALSE))*(1+CQ58)*(1+CR58)*CS58</f>
        <v>2073.40443765</v>
      </c>
      <c r="CU58" s="110">
        <f>(1-IF(VLOOKUP($E58,武器奇术!$A:$T,20,FALSE)=1,1,$N58))*(1-$M58)</f>
        <v>0.01072666</v>
      </c>
      <c r="CV58" s="112">
        <f>CO58*IF(VLOOKUP($E58,武器奇术!$A:$R,17,FALSE)="破竹",VLOOKUP($E58,武器奇术!$A:$R,4,FALSE),VLOOKUP($E58,武器奇术!$A:$R,2,FALSE))*(1+CQ58)*(1+CR58)*CS58*(1+$E$16+VLOOKUP($E58,武器奇术!$A:$R,8,FALSE))</f>
        <v>6038.273276217</v>
      </c>
      <c r="CW58" s="110">
        <f t="shared" si="24"/>
        <v>0.8813852</v>
      </c>
      <c r="CX58" s="112">
        <f>CP58*IF(VLOOKUP($E58,武器奇术!$A:$R,17,FALSE)="破竹",VLOOKUP($E58,武器奇术!$A:$R,4,FALSE),VLOOKUP($E58,武器奇术!$A:$R,2,FALSE))*(1+CQ58)*(1+CR58)*CS58*(1+$E$17+VLOOKUP($E58,武器奇术!$A:$R,10,FALSE))</f>
        <v>5604.6864039075</v>
      </c>
      <c r="CY58" s="110">
        <f t="shared" si="25"/>
        <v>0.0986</v>
      </c>
      <c r="CZ58" s="112">
        <f>CO58*IF(VLOOKUP($E58,武器奇术!$A:$R,17,FALSE)="破竹",VLOOKUP($E58,武器奇术!$A:$R,4,FALSE),VLOOKUP($E58,武器奇术!$A:$R,2,FALSE))*(1+CQ58)*(1+CR58)*CS58</f>
        <v>3112.51199805</v>
      </c>
      <c r="DA58" s="110">
        <f t="shared" si="26"/>
        <v>0.00928814000000003</v>
      </c>
      <c r="DB58" s="113">
        <f t="shared" si="27"/>
        <v>5925.81693027318</v>
      </c>
      <c r="DC58" s="108">
        <f t="shared" si="36"/>
        <v>69.3</v>
      </c>
      <c r="DD58" s="99">
        <f>(DC58+DE58)*IF(VLOOKUP($E58,武器奇术!$A:$Z,21,FALSE)=1,$G$15,0.5)</f>
        <v>69.3</v>
      </c>
      <c r="DE58" s="109">
        <f t="shared" si="37"/>
        <v>69.3</v>
      </c>
      <c r="DF58" s="110">
        <f>IF(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100)</f>
        <v>0.145</v>
      </c>
      <c r="DG58" s="111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U,21,FALSE)=1,0,0.09)</f>
        <v>0.235</v>
      </c>
      <c r="DH58" s="109">
        <v>1</v>
      </c>
      <c r="DI58" s="112">
        <f>DC58*IF(VLOOKUP($E58,武器奇术!$A:$R,17,FALSE)="破竹",VLOOKUP($E58,武器奇术!$A:$R,4,FALSE),VLOOKUP($E58,武器奇术!$A:$R,2,FALSE))*(1+DF58)*(1+DG58)*DH58</f>
        <v>317.5050879</v>
      </c>
      <c r="DJ58" s="110">
        <f>(1-IF(VLOOKUP($E58,武器奇术!$A:$T,20,FALSE)=1,1,$N58))*(1-$M58)</f>
        <v>0.01072666</v>
      </c>
      <c r="DK58" s="112">
        <f>DD58*IF(VLOOKUP($E58,武器奇术!$A:$R,17,FALSE)="破竹",VLOOKUP($E58,武器奇术!$A:$R,4,FALSE),VLOOKUP($E58,武器奇术!$A:$R,2,FALSE))*(1+DF58)*(1+DG58)*DH58*(1+$E$16+VLOOKUP($E58,武器奇术!$A:$R,8,FALSE))</f>
        <v>615.959870526</v>
      </c>
      <c r="DL58" s="110">
        <f t="shared" si="28"/>
        <v>0.8813852</v>
      </c>
      <c r="DM58" s="112">
        <f>DE58*IF(VLOOKUP($E58,武器奇术!$A:$R,17,FALSE)="破竹",VLOOKUP($E58,武器奇术!$A:$R,4,FALSE),VLOOKUP($E58,武器奇术!$A:$R,2,FALSE))*(1+DF58)*(1+DG58)*DH58*(1+$E$17+VLOOKUP($E58,武器奇术!$A:$R,10,FALSE))</f>
        <v>428.631868665</v>
      </c>
      <c r="DN58" s="110">
        <f t="shared" si="29"/>
        <v>0.0986</v>
      </c>
      <c r="DO58" s="112">
        <f>DD58*IF(VLOOKUP($E58,武器奇术!$A:$R,17,FALSE)="破竹",VLOOKUP($E58,武器奇术!$A:$R,4,FALSE),VLOOKUP($E58,武器奇术!$A:$R,2,FALSE))*(1+DF58)*(1+DG58)*DH58</f>
        <v>317.5050879</v>
      </c>
      <c r="DP58" s="110">
        <f t="shared" si="30"/>
        <v>0.00928814000000003</v>
      </c>
      <c r="DQ58" s="113">
        <f t="shared" si="31"/>
        <v>591.515816759203</v>
      </c>
    </row>
    <row r="59" customFormat="1" ht="14.25" spans="1:121">
      <c r="B59" s="138"/>
      <c r="C59" s="145"/>
      <c r="D59" s="146"/>
      <c r="E59" s="98" t="s">
        <v>152</v>
      </c>
      <c r="F59" s="99">
        <v>1</v>
      </c>
      <c r="G59" s="115"/>
      <c r="H59" s="100">
        <f>IF(VLOOKUP($E59,武器奇术!$A:$R,18,FALSE)="天工",AE59,(AE59+AT59+BI59+BX59+CM59+DB59+DQ59))*(1+J59)*F59*K59*(1+G59)</f>
        <v>66936.5652342446</v>
      </c>
      <c r="I59" s="101">
        <f t="shared" si="0"/>
        <v>0.00826418338611433</v>
      </c>
      <c r="J59" s="101">
        <f>$F$3+VLOOKUP($E59,武器奇术!$A:$R,12,FALSE)+VLOOKUP($E59,武器奇术!$A:$R,14,FALSE)*$G$3+$P59</f>
        <v>0.873</v>
      </c>
      <c r="K59" s="102">
        <f>VLOOKUP($E59,武器奇术!$A:$R,11,FALSE)</f>
        <v>1</v>
      </c>
      <c r="L59" s="117">
        <f>IF(VLOOKUP($E59,武器奇术!$A:$R,15,FALSE)="天工",0%,IF($C$17+VLOOKUP($E59,武器奇术!$A:$R,7,FALSE)&gt;80%,80%,$C$17+VLOOKUP($E59,武器奇术!$A:$R,7,FALSE))+IF($C$19&gt;20%,20%,$C$19))</f>
        <v>0.892</v>
      </c>
      <c r="M59" s="118">
        <f>IF(VLOOKUP($E59,武器奇术!$A:$R,15,FALSE)="天工",0%,IF($C$18+VLOOKUP($E59,武器奇术!$A:$R,9,FALSE)&gt;40%,40%,$C$18+VLOOKUP($E59,武器奇术!$A:$R,9,FALSE))+IF($C$20&gt;10%,10%,$C$20))</f>
        <v>0.0986</v>
      </c>
      <c r="N59" s="119">
        <f>IF(VLOOKUP($E59,武器奇术!$A:$R,15,FALSE)="天工",100%,MIN($C$16,1))</f>
        <v>0.9881</v>
      </c>
      <c r="O59" s="120" t="str">
        <f>VLOOKUP($E59,武器奇术!$A:$R,16,FALSE)</f>
        <v>拳甲</v>
      </c>
      <c r="P59" s="121">
        <f t="shared" si="32"/>
        <v>0.17</v>
      </c>
      <c r="Q59" s="108">
        <f>$B$5*(1+VLOOKUP($E59,武器奇术!$A:$R,5,FALSE)+IF($G$5="飞隼",0.1,0)+IF($G$5="撼天",0.05,0))-$F$9+IF($I$5="√",160,0)</f>
        <v>1731.135</v>
      </c>
      <c r="R59" s="99">
        <f>IF(VLOOKUP($E59,武器奇术!$A:$Z,20,FALSE)=1,(S59-(Q59+S59)*0.5)*($G$15-0.5)*2+(Q59+S59)*0.5,(Q59+S59)*0.5)</f>
        <v>3256.775</v>
      </c>
      <c r="S59" s="109">
        <f>MAX($C$5,$B$5)*(1+VLOOKUP($E59,武器奇术!$A:$R,5,FALSE)+IF($G$5="飞隼",0.1,0)+IF($G$5="撼天",0.05,0))-$F$9+IF($I$5="√",320,0)</f>
        <v>4782.415</v>
      </c>
      <c r="T59" s="101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U59" s="111">
        <f>$E$5+IF(VLOOKUP($E59,武器奇术!$A:$U,21,FALSE)=1,0,0.09)</f>
        <v>0.115</v>
      </c>
      <c r="V59" s="109">
        <v>1</v>
      </c>
      <c r="W59" s="112">
        <f>Q59*VLOOKUP($E59,武器奇术!$A:$R,2,FALSE)*(1+T59)*(1+U59)*V59</f>
        <v>6596.6306895897</v>
      </c>
      <c r="X59" s="110">
        <f>(1-IF(VLOOKUP($E59,武器奇术!$A:$T,20,FALSE)=1,1,$N59))*(1-$M59)</f>
        <v>0.01072666</v>
      </c>
      <c r="Y59" s="112">
        <f>R59*VLOOKUP($E59,武器奇术!$A:$R,2,FALSE)*(1+T59)*(1+U59)*V59*(1+$E$16+VLOOKUP($E59,武器奇术!$A:$R,8,FALSE))</f>
        <v>24075.7995842795</v>
      </c>
      <c r="Z59" s="110">
        <f t="shared" si="33"/>
        <v>0.8813852</v>
      </c>
      <c r="AA59" s="112">
        <f>S59*VLOOKUP($E59,武器奇术!$A:$R,2,FALSE)*(1+T59)*(1+U59)*V59*(1+$E$17+VLOOKUP($E59,武器奇术!$A:$R,10,FALSE))</f>
        <v>24602.1046915048</v>
      </c>
      <c r="AB59" s="110">
        <f t="shared" si="34"/>
        <v>0.0986</v>
      </c>
      <c r="AC59" s="112">
        <f>R59*VLOOKUP($E59,武器奇术!$A:$R,2,FALSE)*(1+T59)*(1+U59)*V59</f>
        <v>12410.2059712781</v>
      </c>
      <c r="AD59" s="110">
        <f t="shared" si="1"/>
        <v>0.00928814000000003</v>
      </c>
      <c r="AE59" s="113">
        <f t="shared" si="2"/>
        <v>23831.8484993753</v>
      </c>
      <c r="AF59" s="114">
        <f>VLOOKUP($E59,武器奇术!$A:$R,3,FALSE)*(1+IF(VLOOKUP($E59,武器奇术!$A:$R,15,FALSE)="武器",$E$15,0))</f>
        <v>994.5</v>
      </c>
      <c r="AG59" s="112">
        <f t="shared" si="3"/>
        <v>994.5</v>
      </c>
      <c r="AH59" s="112">
        <f>VLOOKUP($E59,武器奇术!$A:$R,3,FALSE)*(1+IF(VLOOKUP($E59,武器奇术!$A:$R,15,FALSE)="武器",$E$15,0))</f>
        <v>994.5</v>
      </c>
      <c r="AI59" s="101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AJ59" s="111">
        <f>$E$5+IF(VLOOKUP($E59,武器奇术!$A:$U,21,FALSE)=1,0,0.09)</f>
        <v>0.115</v>
      </c>
      <c r="AK59" s="109">
        <v>1</v>
      </c>
      <c r="AL59" s="112">
        <f t="shared" si="35"/>
        <v>1377.213435</v>
      </c>
      <c r="AM59" s="110">
        <f>(1-IF(VLOOKUP($E59,武器奇术!$A:$T,20,FALSE)=1,1,$N59))*(1-$M59)</f>
        <v>0.01072666</v>
      </c>
      <c r="AN59" s="112">
        <f>AG59*(1+AI59)*(1+AJ59)*AK59*(1+$E$16+VLOOKUP($E59,武器奇术!$A:$R,8,FALSE))</f>
        <v>2671.7940639</v>
      </c>
      <c r="AO59" s="110">
        <f t="shared" si="4"/>
        <v>0.8813852</v>
      </c>
      <c r="AP59" s="112">
        <f>AH59*(1+AI59)*(1+AJ59)*AK59*(1+$E$17+VLOOKUP($E59,武器奇术!$A:$R,10,FALSE))</f>
        <v>1859.23813725</v>
      </c>
      <c r="AQ59" s="110">
        <f t="shared" si="5"/>
        <v>0.0986</v>
      </c>
      <c r="AR59" s="112">
        <f t="shared" si="6"/>
        <v>1377.213435</v>
      </c>
      <c r="AS59" s="110">
        <f t="shared" si="7"/>
        <v>0.00928814000000003</v>
      </c>
      <c r="AT59" s="113">
        <f t="shared" si="8"/>
        <v>2565.765277161</v>
      </c>
      <c r="AU59" s="108">
        <f>$B$7*IF($G$5="撼天",1.05,1)+IF(AND(VLOOKUP($E59,武器奇术!$A:$R,15,FALSE)="武器",VLOOKUP($E59,武器奇术!$A:$R,17,FALSE)="鸣金"),$E$3,0)*(1+$E$15)</f>
        <v>0</v>
      </c>
      <c r="AV59" s="99">
        <f>(AU59+AW59)*IF(VLOOKUP($E59,武器奇术!$A:$Z,21,FALSE)=1,$G$15,0.5)</f>
        <v>0</v>
      </c>
      <c r="AW59" s="109">
        <f>MAX($C$7*IF($G$5="撼天",1.05,1)+IF(AND(VLOOKUP($E59,武器奇术!$A:$R,15,FALSE)="武器",VLOOKUP($E59,武器奇术!$A:$R,17,FALSE)="鸣金"),$E$3*(1+$E$15),0),AU59)</f>
        <v>0</v>
      </c>
      <c r="AX59" s="110">
        <f>IF(($D$7+IF(VLOOKUP($E59,武器奇术!$A:$R,17,FALSE)="鸣金",$D$15,0)+IF(VLOOKUP($E59,武器奇术!$A:$R,18,FALSE)=1,4,0)+IF(VLOOKUP($E59,武器奇术!$A:$S,19,FALSE)=1,20,0)-VLOOKUP($F$7,目标属性!$A:$R,6,FALSE))&gt;0,($D$7+IF(VLOOKUP($E59,武器奇术!$A:$R,17,FALSE)="鸣金",$D$15,0)+IF(VLOOKUP($E59,武器奇术!$A:$R,18,FALSE)=1,4,0)+IF(VLOOKUP($E59,武器奇术!$A:$S,19,FALSE)=1,20,0)-VLOOKUP($F$7,目标属性!$A:$R,6,FALSE))/200,($D$7+IF(VLOOKUP($E59,武器奇术!$A:$R,17,FALSE)="鸣金",$D$15,0)+IF(VLOOKUP($E59,武器奇术!$A:$R,18,FALSE)=1,4,0)+IF(VLOOKUP($E59,武器奇术!$A:$S,19,FALSE)=1,20,0)-VLOOKUP($F$7,目标属性!$A:$R,6,FALSE))/100)</f>
        <v>-0.24</v>
      </c>
      <c r="AY59" s="111">
        <f t="shared" si="9"/>
        <v>0</v>
      </c>
      <c r="AZ59" s="109">
        <v>1</v>
      </c>
      <c r="BA59" s="112">
        <f>AU59*IF(VLOOKUP($E59,武器奇术!$A:$R,17,FALSE)="鸣金",VLOOKUP($E59,武器奇术!$A:$R,4,FALSE),VLOOKUP($E59,武器奇术!$A:$R,2,FALSE))*(1+AX59)*(1+AY59)*AZ59</f>
        <v>0</v>
      </c>
      <c r="BB59" s="110">
        <f>(1-IF(VLOOKUP($E59,武器奇术!$A:$T,20,FALSE)=1,1,$N59))*(1-$M59)</f>
        <v>0.01072666</v>
      </c>
      <c r="BC59" s="112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10">
        <f t="shared" si="10"/>
        <v>0.8813852</v>
      </c>
      <c r="BE59" s="112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10">
        <f t="shared" si="11"/>
        <v>0.0986</v>
      </c>
      <c r="BG59" s="112">
        <f>AV59*IF(VLOOKUP($E59,武器奇术!$A:$R,17,FALSE)="鸣金",VLOOKUP($E59,武器奇术!$A:$R,4,FALSE),VLOOKUP($E59,武器奇术!$A:$R,2,FALSE))*(1+AX59)*(1+AY59)*AZ59</f>
        <v>0</v>
      </c>
      <c r="BH59" s="110">
        <f t="shared" si="12"/>
        <v>0.00928814000000003</v>
      </c>
      <c r="BI59" s="113">
        <f t="shared" si="13"/>
        <v>0</v>
      </c>
      <c r="BJ59" s="108">
        <f>$B$9*IF($G$5="撼天",1.05,1)+IF(AND(VLOOKUP($E59,武器奇术!$A:$R,15,FALSE)="武器",VLOOKUP($E59,武器奇术!$A:$R,17,FALSE)="裂石"),$E$3,0)*(1+$E$15)</f>
        <v>0</v>
      </c>
      <c r="BK59" s="99">
        <f>(BJ59+BL59)*IF(VLOOKUP($E59,武器奇术!$A:$Z,21,FALSE)=1,$G$15,0.5)</f>
        <v>0</v>
      </c>
      <c r="BL59" s="109">
        <f>MAX($C$9*IF($G$5="撼天",1.05,1)+IF(AND(VLOOKUP($E59,武器奇术!$A:$R,15,FALSE)="武器",VLOOKUP($E59,武器奇术!$A:$R,17,FALSE)="裂石"),$E$3*(1+$E$15),0),BJ59)</f>
        <v>0</v>
      </c>
      <c r="BM59" s="110">
        <f>IF(($D$9+IF(VLOOKUP($E59,武器奇术!$A:$R,17,FALSE)="裂石",$D$15,0)+IF(VLOOKUP($E59,武器奇术!$A:$R,18,FALSE)=1,4,0)+IF(VLOOKUP($E59,武器奇术!$A:$S,19,FALSE)=1,20,0)-VLOOKUP($F$7,目标属性!$A:$R,6,FALSE))&gt;0,($D$9+IF(VLOOKUP($E59,武器奇术!$A:$R,17,FALSE)="裂石",$D$15,0)+IF(VLOOKUP($E59,武器奇术!$A:$R,18,FALSE)=1,4,0)+IF(VLOOKUP($E59,武器奇术!$A:$S,19,FALSE)=1,20,0)-VLOOKUP($F$7,目标属性!$A:$R,6,FALSE))/200,($D$9+IF(VLOOKUP($E59,武器奇术!$A:$R,17,FALSE)="裂石",$D$15,0)+IF(VLOOKUP($E59,武器奇术!$A:$R,18,FALSE)=1,4,0)+IF(VLOOKUP($E59,武器奇术!$A:$S,19,FALSE)=1,20,0)-VLOOKUP($F$7,目标属性!$A:$R,6,FALSE))/100)</f>
        <v>-0.24</v>
      </c>
      <c r="BN59" s="111">
        <f t="shared" si="14"/>
        <v>0</v>
      </c>
      <c r="BO59" s="109">
        <v>1</v>
      </c>
      <c r="BP59" s="112">
        <f>BJ59*IF(VLOOKUP($E59,武器奇术!$A:$R,17,FALSE)="裂石",VLOOKUP($E59,武器奇术!$A:$R,4,FALSE),VLOOKUP($E59,武器奇术!$A:$R,2,FALSE))*(1+BM59)*(1+BN59)*BO59</f>
        <v>0</v>
      </c>
      <c r="BQ59" s="110">
        <f>(1-IF(VLOOKUP($E59,武器奇术!$A:$T,20,FALSE)=1,1,$N59))*(1-$M59)</f>
        <v>0.01072666</v>
      </c>
      <c r="BR59" s="112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10">
        <f t="shared" si="15"/>
        <v>0.8813852</v>
      </c>
      <c r="BT59" s="112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10">
        <f t="shared" si="16"/>
        <v>0.0986</v>
      </c>
      <c r="BV59" s="112">
        <f>BK59*IF(VLOOKUP($E59,武器奇术!$A:$R,17,FALSE)="裂石",VLOOKUP($E59,武器奇术!$A:$R,4,FALSE),VLOOKUP($E59,武器奇术!$A:$R,2,FALSE))*(1+BM59)*(1+BN59)*BO59</f>
        <v>0</v>
      </c>
      <c r="BW59" s="110">
        <f t="shared" si="17"/>
        <v>0.00928814000000003</v>
      </c>
      <c r="BX59" s="113">
        <f t="shared" si="18"/>
        <v>0</v>
      </c>
      <c r="BY59" s="108">
        <f>$B$11*IF($G$5="撼天",1.05,1)+IF(AND(VLOOKUP($E59,武器奇术!$A:$R,15,FALSE)="武器",VLOOKUP($E59,武器奇术!$A:$R,17,FALSE)="牵丝"),$E$3,0)*(1+$E$15)</f>
        <v>0</v>
      </c>
      <c r="BZ59" s="99">
        <f>(BY59+CA59)*IF(VLOOKUP($E59,武器奇术!$A:$Z,21,FALSE)=1,$G$15,0.5)</f>
        <v>0</v>
      </c>
      <c r="CA59" s="109">
        <f>MAX($C$11*IF($G$5="撼天",1.05,1)+IF(AND(VLOOKUP($E59,武器奇术!$A:$R,15,FALSE)="武器",VLOOKUP($E59,武器奇术!$A:$R,17,FALSE)="牵丝"),$E$3*(1+$E$15),0),BY59)</f>
        <v>0</v>
      </c>
      <c r="CB59" s="110">
        <f>IF(($D$11+IF(VLOOKUP($E59,武器奇术!$A:$R,17,FALSE)="牵丝",$D$15,0)+IF(VLOOKUP($E59,武器奇术!$A:$R,18,FALSE)=1,4,0)+IF(VLOOKUP($E59,武器奇术!$A:$S,19,FALSE)=1,20,0)-VLOOKUP($F$7,目标属性!$A:$R,6,FALSE))&gt;0,($D$11+IF(VLOOKUP($E59,武器奇术!$A:$R,17,FALSE)="牵丝",$D$15,0)+IF(VLOOKUP($E59,武器奇术!$A:$R,18,FALSE)=1,4,0)+IF(VLOOKUP($E59,武器奇术!$A:$S,19,FALSE)=1,20,0)-VLOOKUP($F$7,目标属性!$A:$R,6,FALSE))/200,($D$11+IF(VLOOKUP($E59,武器奇术!$A:$R,17,FALSE)="牵丝",$D$15,0)+IF(VLOOKUP($E59,武器奇术!$A:$R,18,FALSE)=1,4,0)+IF(VLOOKUP($E59,武器奇术!$A:$S,19,FALSE)=1,20,0)-VLOOKUP($F$7,目标属性!$A:$R,6,FALSE))/100)</f>
        <v>-0.24</v>
      </c>
      <c r="CC59" s="111">
        <f t="shared" si="19"/>
        <v>0</v>
      </c>
      <c r="CD59" s="109">
        <v>1</v>
      </c>
      <c r="CE59" s="112">
        <f>BY59*IF(VLOOKUP($E59,武器奇术!$A:$R,17,FALSE)="牵丝",VLOOKUP($E59,武器奇术!$A:$R,4,FALSE),VLOOKUP($E59,武器奇术!$A:$R,2,FALSE))*(1+CB59)*(1+CC59)*CD59</f>
        <v>0</v>
      </c>
      <c r="CF59" s="110">
        <f>(1-IF(VLOOKUP($E59,武器奇术!$A:$T,20,FALSE)=1,1,$N59))*(1-$M59)</f>
        <v>0.01072666</v>
      </c>
      <c r="CG59" s="112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110">
        <f t="shared" si="20"/>
        <v>0.8813852</v>
      </c>
      <c r="CI59" s="112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110">
        <f t="shared" si="21"/>
        <v>0.0986</v>
      </c>
      <c r="CK59" s="112">
        <f>BZ59*IF(VLOOKUP($E59,武器奇术!$A:$R,17,FALSE)="牵丝",VLOOKUP($E59,武器奇术!$A:$R,4,FALSE),VLOOKUP($E59,武器奇术!$A:$R,2,FALSE))*(1+CB59)*(1+CC59)*CD59</f>
        <v>0</v>
      </c>
      <c r="CL59" s="110">
        <f t="shared" si="22"/>
        <v>0.00928814000000003</v>
      </c>
      <c r="CM59" s="113">
        <f t="shared" si="23"/>
        <v>0</v>
      </c>
      <c r="CN59" s="108">
        <f>$B$13*IF($G$5="撼天",1.05,1)+IF(AND(VLOOKUP($E59,武器奇术!$A:$R,15,FALSE)="武器",VLOOKUP($E59,武器奇术!$A:$R,17,FALSE)="破竹"),$E$3,0)*(1+$E$15)</f>
        <v>648.46</v>
      </c>
      <c r="CO59" s="99">
        <f>IF(VLOOKUP($E59,武器奇术!$A:$Z,20,FALSE)=1,(CP59-(CN59+CP59)*0.5)*($G$15-0.5)*2+(CN59+CP59)*0.5,(CN59+CP59)*0.5)</f>
        <v>875.26</v>
      </c>
      <c r="CP59" s="109">
        <f>MAX($C$13*IF($G$5="撼天",1.05,1)+IF(AND(VLOOKUP($E59,武器奇术!$A:$R,15,FALSE)="武器",VLOOKUP($E59,武器奇术!$A:$R,17,FALSE)="破竹"),$E$3*(1+$E$15),0),CN59)</f>
        <v>1102.06</v>
      </c>
      <c r="CQ59" s="110">
        <f>IF(($D$13+IF(VLOOKUP($E59,武器奇术!$A:$R,17,FALSE)="破竹",$D$15,0)+IF(VLOOKUP($E59,武器奇术!$A:$R,18,FALSE)=1,4,0)+IF(VLOOKUP($E59,武器奇术!$A:$S,19,FALSE)=1,20,0)-VLOOKUP($F$7,目标属性!$A:$R,6,FALSE))&gt;0,($D$13+IF(VLOOKUP($E59,武器奇术!$A:$R,17,FALSE)="破竹",$D$15,0)+IF(VLOOKUP($E59,武器奇术!$A:$R,18,FALSE)=1,4,0)+IF(VLOOKUP($E59,武器奇术!$A:$S,19,FALSE)=1,20,0)-VLOOKUP($F$7,目标属性!$A:$R,6,FALSE))/200,($D$13+IF(VLOOKUP($E59,武器奇术!$A:$R,17,FALSE)="破竹",$D$15,0)+IF(VLOOKUP($E59,武器奇术!$A:$R,18,FALSE)=1,4,0)+IF(VLOOKUP($E59,武器奇术!$A:$S,19,FALSE)=1,20,0)-VLOOKUP($F$7,目标属性!$A:$R,6,FALSE))/100)</f>
        <v>0.025</v>
      </c>
      <c r="CR59" s="111">
        <f>$E$13+IF(VLOOKUP($E59,武器奇术!$A:$U,21,FALSE)=1,0,0.09)</f>
        <v>0.235</v>
      </c>
      <c r="CS59" s="109">
        <v>1</v>
      </c>
      <c r="CT59" s="112">
        <f>CN59*IF(VLOOKUP($E59,武器奇术!$A:$R,17,FALSE)="破竹",VLOOKUP($E59,武器奇术!$A:$R,4,FALSE),VLOOKUP($E59,武器奇术!$A:$R,2,FALSE))*(1+CQ59)*(1+CR59)*CS59</f>
        <v>3388.3514720874</v>
      </c>
      <c r="CU59" s="110">
        <f>(1-IF(VLOOKUP($E59,武器奇术!$A:$T,20,FALSE)=1,1,$N59))*(1-$M59)</f>
        <v>0.01072666</v>
      </c>
      <c r="CV59" s="112">
        <f>CO59*IF(VLOOKUP($E59,武器奇术!$A:$R,17,FALSE)="破竹",VLOOKUP($E59,武器奇术!$A:$R,4,FALSE),VLOOKUP($E59,武器奇术!$A:$R,2,FALSE))*(1+CQ59)*(1+CR59)*CS59*(1+$E$16+VLOOKUP($E59,武器奇术!$A:$R,8,FALSE))</f>
        <v>8872.46045762404</v>
      </c>
      <c r="CW59" s="110">
        <f t="shared" si="24"/>
        <v>0.8813852</v>
      </c>
      <c r="CX59" s="112">
        <f>CP59*IF(VLOOKUP($E59,武器奇术!$A:$R,17,FALSE)="破竹",VLOOKUP($E59,武器奇术!$A:$R,4,FALSE),VLOOKUP($E59,武器奇术!$A:$R,2,FALSE))*(1+CQ59)*(1+CR59)*CS59*(1+$E$17+VLOOKUP($E59,武器奇术!$A:$R,10,FALSE))</f>
        <v>7773.99522174639</v>
      </c>
      <c r="CY59" s="110">
        <f t="shared" si="25"/>
        <v>0.0986</v>
      </c>
      <c r="CZ59" s="112">
        <f>CO59*IF(VLOOKUP($E59,武器奇术!$A:$R,17,FALSE)="破竹",VLOOKUP($E59,武器奇术!$A:$R,4,FALSE),VLOOKUP($E59,武器奇术!$A:$R,2,FALSE))*(1+CQ59)*(1+CR59)*CS59</f>
        <v>4573.4332255794</v>
      </c>
      <c r="DA59" s="110">
        <f t="shared" si="26"/>
        <v>0.00928814000000003</v>
      </c>
      <c r="DB59" s="113">
        <f t="shared" si="27"/>
        <v>8665.39564608066</v>
      </c>
      <c r="DC59" s="108">
        <f t="shared" si="36"/>
        <v>69.3</v>
      </c>
      <c r="DD59" s="99">
        <f>(DC59+DE59)*IF(VLOOKUP($E59,武器奇术!$A:$Z,21,FALSE)=1,$G$15,0.5)</f>
        <v>69.3</v>
      </c>
      <c r="DE59" s="109">
        <f t="shared" si="37"/>
        <v>69.3</v>
      </c>
      <c r="DF59" s="110">
        <f>IF(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100)</f>
        <v>0.025</v>
      </c>
      <c r="DG59" s="111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U,21,FALSE)=1,0,0.09)</f>
        <v>0.235</v>
      </c>
      <c r="DH59" s="109">
        <v>1</v>
      </c>
      <c r="DI59" s="112">
        <f>DC59*IF(VLOOKUP($E59,武器奇术!$A:$R,17,FALSE)="破竹",VLOOKUP($E59,武器奇术!$A:$R,4,FALSE),VLOOKUP($E59,武器奇术!$A:$R,2,FALSE))*(1+DF59)*(1+DG59)*DH59</f>
        <v>362.108313567</v>
      </c>
      <c r="DJ59" s="110">
        <f>(1-IF(VLOOKUP($E59,武器奇术!$A:$T,20,FALSE)=1,1,$N59))*(1-$M59)</f>
        <v>0.01072666</v>
      </c>
      <c r="DK59" s="112">
        <f>DD59*IF(VLOOKUP($E59,武器奇术!$A:$R,17,FALSE)="破竹",VLOOKUP($E59,武器奇术!$A:$R,4,FALSE),VLOOKUP($E59,武器奇术!$A:$R,2,FALSE))*(1+DF59)*(1+DG59)*DH59*(1+$E$16+VLOOKUP($E59,武器奇术!$A:$R,8,FALSE))</f>
        <v>702.49012831998</v>
      </c>
      <c r="DL59" s="110">
        <f t="shared" si="28"/>
        <v>0.8813852</v>
      </c>
      <c r="DM59" s="112">
        <f>DE59*IF(VLOOKUP($E59,武器奇术!$A:$R,17,FALSE)="破竹",VLOOKUP($E59,武器奇术!$A:$R,4,FALSE),VLOOKUP($E59,武器奇术!$A:$R,2,FALSE))*(1+DF59)*(1+DG59)*DH59*(1+$E$17+VLOOKUP($E59,武器奇术!$A:$R,10,FALSE))</f>
        <v>488.84622331545</v>
      </c>
      <c r="DN59" s="110">
        <f t="shared" si="29"/>
        <v>0.0986</v>
      </c>
      <c r="DO59" s="112">
        <f>DD59*IF(VLOOKUP($E59,武器奇术!$A:$R,17,FALSE)="破竹",VLOOKUP($E59,武器奇术!$A:$R,4,FALSE),VLOOKUP($E59,武器奇术!$A:$R,2,FALSE))*(1+DF59)*(1+DG59)*DH59</f>
        <v>362.108313567</v>
      </c>
      <c r="DP59" s="110">
        <f t="shared" si="30"/>
        <v>0.00928814000000003</v>
      </c>
      <c r="DQ59" s="113">
        <f t="shared" si="31"/>
        <v>674.612165340615</v>
      </c>
    </row>
    <row r="60" customFormat="1" spans="1:121">
      <c r="C60" s="147"/>
      <c r="D60" s="147"/>
      <c r="E60" s="98" t="s">
        <v>150</v>
      </c>
      <c r="F60" s="99">
        <v>1</v>
      </c>
      <c r="G60" s="115"/>
      <c r="H60" s="100">
        <f>IF(VLOOKUP($E60,武器奇术!$A:$R,18,FALSE)="天工",AE60,(AE60+AT60+BI60+BX60+CM60+DB60+DQ60))*(1+J60)*F60*K60*(1+G60)</f>
        <v>22660.5919110736</v>
      </c>
      <c r="I60" s="101">
        <f t="shared" si="0"/>
        <v>0.0027977427066306</v>
      </c>
      <c r="J60" s="101">
        <f>$F$3+VLOOKUP($E60,武器奇术!$A:$R,12,FALSE)+VLOOKUP($E60,武器奇术!$A:$R,14,FALSE)*$G$3+$P60</f>
        <v>0.573</v>
      </c>
      <c r="K60" s="102">
        <f>VLOOKUP($E60,武器奇术!$A:$R,11,FALSE)</f>
        <v>1</v>
      </c>
      <c r="L60" s="117">
        <f>IF(VLOOKUP($E60,武器奇术!$A:$R,15,FALSE)="天工",0%,IF($C$17+VLOOKUP($E60,武器奇术!$A:$R,7,FALSE)&gt;80%,80%,$C$17+VLOOKUP($E60,武器奇术!$A:$R,7,FALSE))+IF($C$19&gt;20%,20%,$C$19))</f>
        <v>0.892</v>
      </c>
      <c r="M60" s="118">
        <f>IF(VLOOKUP($E60,武器奇术!$A:$R,15,FALSE)="天工",0%,IF($C$18+VLOOKUP($E60,武器奇术!$A:$R,9,FALSE)&gt;40%,40%,$C$18+VLOOKUP($E60,武器奇术!$A:$R,9,FALSE))+IF($C$20&gt;10%,10%,$C$20))</f>
        <v>0.0986</v>
      </c>
      <c r="N60" s="119">
        <f>IF(VLOOKUP($E60,武器奇术!$A:$R,15,FALSE)="天工",100%,MIN($C$16,1))</f>
        <v>0.9881</v>
      </c>
      <c r="O60" s="120" t="str">
        <f>VLOOKUP($E60,武器奇术!$A:$R,16,FALSE)</f>
        <v>拳甲</v>
      </c>
      <c r="P60" s="121">
        <f t="shared" si="32"/>
        <v>0.17</v>
      </c>
      <c r="Q60" s="108">
        <f>$B$5*(1+VLOOKUP($E60,武器奇术!$A:$R,5,FALSE)+IF($G$5="飞隼",0.1,0)+IF($G$5="撼天",0.05,0))-$F$9+IF($I$5="√",160,0)</f>
        <v>1731.135</v>
      </c>
      <c r="R60" s="99">
        <f>IF(VLOOKUP($E60,武器奇术!$A:$Z,20,FALSE)=1,(S60-(Q60+S60)*0.5)*($G$15-0.5)*2+(Q60+S60)*0.5,(Q60+S60)*0.5)</f>
        <v>3256.775</v>
      </c>
      <c r="S60" s="109">
        <f>MAX($C$5,$B$5)*(1+VLOOKUP($E60,武器奇术!$A:$R,5,FALSE)+IF($G$5="飞隼",0.1,0)+IF($G$5="撼天",0.05,0))-$F$9+IF($I$5="√",320,0)</f>
        <v>4782.415</v>
      </c>
      <c r="T60" s="101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U60" s="111">
        <f>$E$5+IF(VLOOKUP($E60,武器奇术!$A:$U,21,FALSE)=1,0,0.09)</f>
        <v>0.115</v>
      </c>
      <c r="V60" s="109">
        <v>1</v>
      </c>
      <c r="W60" s="112">
        <f>Q60*VLOOKUP($E60,武器奇术!$A:$R,2,FALSE)*(1+T60)*(1+U60)*V60</f>
        <v>3086.79912340758</v>
      </c>
      <c r="X60" s="110">
        <f>(1-IF(VLOOKUP($E60,武器奇术!$A:$T,20,FALSE)=1,1,$N60))*(1-$M60)</f>
        <v>0.01072666</v>
      </c>
      <c r="Y60" s="112">
        <f>R60*VLOOKUP($E60,武器奇术!$A:$R,2,FALSE)*(1+T60)*(1+U60)*V60*(1+$E$16+VLOOKUP($E60,武器奇术!$A:$R,8,FALSE))</f>
        <v>9523.77298871699</v>
      </c>
      <c r="Z60" s="110">
        <f t="shared" si="33"/>
        <v>0.8813852</v>
      </c>
      <c r="AA60" s="112">
        <f>S60*VLOOKUP($E60,武器奇术!$A:$R,2,FALSE)*(1+T60)*(1+U60)*V60*(1+$E$17+VLOOKUP($E60,武器奇术!$A:$R,10,FALSE))</f>
        <v>11512.2035428729</v>
      </c>
      <c r="AB60" s="110">
        <f t="shared" si="34"/>
        <v>0.0986</v>
      </c>
      <c r="AC60" s="112">
        <f>R60*VLOOKUP($E60,武器奇术!$A:$R,2,FALSE)*(1+T60)*(1+U60)*V60</f>
        <v>5807.1786516567</v>
      </c>
      <c r="AD60" s="110">
        <f t="shared" si="1"/>
        <v>0.00928814000000003</v>
      </c>
      <c r="AE60" s="113">
        <f t="shared" si="2"/>
        <v>9616.26476274887</v>
      </c>
      <c r="AF60" s="114">
        <f>VLOOKUP($E60,武器奇术!$A:$R,3,FALSE)*(1+IF(VLOOKUP($E60,武器奇术!$A:$R,15,FALSE)="武器",$E$15,0))</f>
        <v>465.4</v>
      </c>
      <c r="AG60" s="112">
        <f t="shared" si="3"/>
        <v>465.4</v>
      </c>
      <c r="AH60" s="112">
        <f>VLOOKUP($E60,武器奇术!$A:$R,3,FALSE)*(1+IF(VLOOKUP($E60,武器奇术!$A:$R,15,FALSE)="武器",$E$15,0))</f>
        <v>465.4</v>
      </c>
      <c r="AI60" s="101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AJ60" s="111">
        <f>$E$5+IF(VLOOKUP($E60,武器奇术!$A:$U,21,FALSE)=1,0,0.09)</f>
        <v>0.115</v>
      </c>
      <c r="AK60" s="109">
        <v>1</v>
      </c>
      <c r="AL60" s="112">
        <f t="shared" si="35"/>
        <v>644.499882</v>
      </c>
      <c r="AM60" s="110">
        <f>(1-IF(VLOOKUP($E60,武器奇术!$A:$T,20,FALSE)=1,1,$N60))*(1-$M60)</f>
        <v>0.01072666</v>
      </c>
      <c r="AN60" s="112">
        <f>AG60*(1+AI60)*(1+AJ60)*AK60*(1+$E$16+VLOOKUP($E60,武器奇术!$A:$R,8,FALSE))</f>
        <v>1056.97980648</v>
      </c>
      <c r="AO60" s="110">
        <f t="shared" si="4"/>
        <v>0.8813852</v>
      </c>
      <c r="AP60" s="112">
        <f>AH60*(1+AI60)*(1+AJ60)*AK60*(1+$E$17+VLOOKUP($E60,武器奇术!$A:$R,10,FALSE))</f>
        <v>870.0748407</v>
      </c>
      <c r="AQ60" s="110">
        <f t="shared" si="5"/>
        <v>0.0986</v>
      </c>
      <c r="AR60" s="112">
        <f t="shared" si="6"/>
        <v>644.499882</v>
      </c>
      <c r="AS60" s="110">
        <f t="shared" si="7"/>
        <v>0.00928814000000003</v>
      </c>
      <c r="AT60" s="113">
        <f t="shared" si="8"/>
        <v>1030.29527366161</v>
      </c>
      <c r="AU60" s="108">
        <f>$B$7*IF($G$5="撼天",1.05,1)+IF(AND(VLOOKUP($E60,武器奇术!$A:$R,15,FALSE)="武器",VLOOKUP($E60,武器奇术!$A:$R,17,FALSE)="鸣金"),$E$3,0)*(1+$E$15)</f>
        <v>0</v>
      </c>
      <c r="AV60" s="99">
        <f>(AU60+AW60)*IF(VLOOKUP($E60,武器奇术!$A:$Z,21,FALSE)=1,$G$15,0.5)</f>
        <v>0</v>
      </c>
      <c r="AW60" s="109">
        <f>MAX($C$7*IF($G$5="撼天",1.05,1)+IF(AND(VLOOKUP($E60,武器奇术!$A:$R,15,FALSE)="武器",VLOOKUP($E60,武器奇术!$A:$R,17,FALSE)="鸣金"),$E$3*(1+$E$15),0),AU60)</f>
        <v>0</v>
      </c>
      <c r="AX60" s="110">
        <f>IF(($D$7+IF(VLOOKUP($E60,武器奇术!$A:$R,17,FALSE)="鸣金",$D$15,0)+IF(VLOOKUP($E60,武器奇术!$A:$R,18,FALSE)=1,4,0)+IF(VLOOKUP($E60,武器奇术!$A:$S,19,FALSE)=1,20,0)-VLOOKUP($F$7,目标属性!$A:$R,6,FALSE))&gt;0,($D$7+IF(VLOOKUP($E60,武器奇术!$A:$R,17,FALSE)="鸣金",$D$15,0)+IF(VLOOKUP($E60,武器奇术!$A:$R,18,FALSE)=1,4,0)+IF(VLOOKUP($E60,武器奇术!$A:$S,19,FALSE)=1,20,0)-VLOOKUP($F$7,目标属性!$A:$R,6,FALSE))/200,($D$7+IF(VLOOKUP($E60,武器奇术!$A:$R,17,FALSE)="鸣金",$D$15,0)+IF(VLOOKUP($E60,武器奇术!$A:$R,18,FALSE)=1,4,0)+IF(VLOOKUP($E60,武器奇术!$A:$S,19,FALSE)=1,20,0)-VLOOKUP($F$7,目标属性!$A:$R,6,FALSE))/100)</f>
        <v>-0.24</v>
      </c>
      <c r="AY60" s="111">
        <f t="shared" si="9"/>
        <v>0</v>
      </c>
      <c r="AZ60" s="109">
        <v>1</v>
      </c>
      <c r="BA60" s="112">
        <f>AU60*IF(VLOOKUP($E60,武器奇术!$A:$R,17,FALSE)="鸣金",VLOOKUP($E60,武器奇术!$A:$R,4,FALSE),VLOOKUP($E60,武器奇术!$A:$R,2,FALSE))*(1+AX60)*(1+AY60)*AZ60</f>
        <v>0</v>
      </c>
      <c r="BB60" s="110">
        <f>(1-IF(VLOOKUP($E60,武器奇术!$A:$T,20,FALSE)=1,1,$N60))*(1-$M60)</f>
        <v>0.01072666</v>
      </c>
      <c r="BC60" s="112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10">
        <f t="shared" si="10"/>
        <v>0.8813852</v>
      </c>
      <c r="BE60" s="112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10">
        <f t="shared" si="11"/>
        <v>0.0986</v>
      </c>
      <c r="BG60" s="112">
        <f>AV60*IF(VLOOKUP($E60,武器奇术!$A:$R,17,FALSE)="鸣金",VLOOKUP($E60,武器奇术!$A:$R,4,FALSE),VLOOKUP($E60,武器奇术!$A:$R,2,FALSE))*(1+AX60)*(1+AY60)*AZ60</f>
        <v>0</v>
      </c>
      <c r="BH60" s="110">
        <f t="shared" si="12"/>
        <v>0.00928814000000003</v>
      </c>
      <c r="BI60" s="113">
        <f t="shared" si="13"/>
        <v>0</v>
      </c>
      <c r="BJ60" s="108">
        <f>$B$9*IF($G$5="撼天",1.05,1)+IF(AND(VLOOKUP($E60,武器奇术!$A:$R,15,FALSE)="武器",VLOOKUP($E60,武器奇术!$A:$R,17,FALSE)="裂石"),$E$3,0)*(1+$E$15)</f>
        <v>0</v>
      </c>
      <c r="BK60" s="99">
        <f>(BJ60+BL60)*IF(VLOOKUP($E60,武器奇术!$A:$Z,21,FALSE)=1,$G$15,0.5)</f>
        <v>0</v>
      </c>
      <c r="BL60" s="109">
        <f>MAX($C$9*IF($G$5="撼天",1.05,1)+IF(AND(VLOOKUP($E60,武器奇术!$A:$R,15,FALSE)="武器",VLOOKUP($E60,武器奇术!$A:$R,17,FALSE)="裂石"),$E$3*(1+$E$15),0),BJ60)</f>
        <v>0</v>
      </c>
      <c r="BM60" s="110">
        <f>IF(($D$9+IF(VLOOKUP($E60,武器奇术!$A:$R,17,FALSE)="裂石",$D$15,0)+IF(VLOOKUP($E60,武器奇术!$A:$R,18,FALSE)=1,4,0)+IF(VLOOKUP($E60,武器奇术!$A:$S,19,FALSE)=1,20,0)-VLOOKUP($F$7,目标属性!$A:$R,6,FALSE))&gt;0,($D$9+IF(VLOOKUP($E60,武器奇术!$A:$R,17,FALSE)="裂石",$D$15,0)+IF(VLOOKUP($E60,武器奇术!$A:$R,18,FALSE)=1,4,0)+IF(VLOOKUP($E60,武器奇术!$A:$S,19,FALSE)=1,20,0)-VLOOKUP($F$7,目标属性!$A:$R,6,FALSE))/200,($D$9+IF(VLOOKUP($E60,武器奇术!$A:$R,17,FALSE)="裂石",$D$15,0)+IF(VLOOKUP($E60,武器奇术!$A:$R,18,FALSE)=1,4,0)+IF(VLOOKUP($E60,武器奇术!$A:$S,19,FALSE)=1,20,0)-VLOOKUP($F$7,目标属性!$A:$R,6,FALSE))/100)</f>
        <v>-0.24</v>
      </c>
      <c r="BN60" s="111">
        <f t="shared" si="14"/>
        <v>0</v>
      </c>
      <c r="BO60" s="109">
        <v>1</v>
      </c>
      <c r="BP60" s="112">
        <f>BJ60*IF(VLOOKUP($E60,武器奇术!$A:$R,17,FALSE)="裂石",VLOOKUP($E60,武器奇术!$A:$R,4,FALSE),VLOOKUP($E60,武器奇术!$A:$R,2,FALSE))*(1+BM60)*(1+BN60)*BO60</f>
        <v>0</v>
      </c>
      <c r="BQ60" s="110">
        <f>(1-IF(VLOOKUP($E60,武器奇术!$A:$T,20,FALSE)=1,1,$N60))*(1-$M60)</f>
        <v>0.01072666</v>
      </c>
      <c r="BR60" s="112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10">
        <f t="shared" si="15"/>
        <v>0.8813852</v>
      </c>
      <c r="BT60" s="112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10">
        <f t="shared" si="16"/>
        <v>0.0986</v>
      </c>
      <c r="BV60" s="112">
        <f>BK60*IF(VLOOKUP($E60,武器奇术!$A:$R,17,FALSE)="裂石",VLOOKUP($E60,武器奇术!$A:$R,4,FALSE),VLOOKUP($E60,武器奇术!$A:$R,2,FALSE))*(1+BM60)*(1+BN60)*BO60</f>
        <v>0</v>
      </c>
      <c r="BW60" s="110">
        <f t="shared" si="17"/>
        <v>0.00928814000000003</v>
      </c>
      <c r="BX60" s="113">
        <f t="shared" si="18"/>
        <v>0</v>
      </c>
      <c r="BY60" s="108">
        <f>$B$11*IF($G$5="撼天",1.05,1)+IF(AND(VLOOKUP($E60,武器奇术!$A:$R,15,FALSE)="武器",VLOOKUP($E60,武器奇术!$A:$R,17,FALSE)="牵丝"),$E$3,0)*(1+$E$15)</f>
        <v>0</v>
      </c>
      <c r="BZ60" s="99">
        <f>(BY60+CA60)*IF(VLOOKUP($E60,武器奇术!$A:$Z,21,FALSE)=1,$G$15,0.5)</f>
        <v>0</v>
      </c>
      <c r="CA60" s="109">
        <f>MAX($C$11*IF($G$5="撼天",1.05,1)+IF(AND(VLOOKUP($E60,武器奇术!$A:$R,15,FALSE)="武器",VLOOKUP($E60,武器奇术!$A:$R,17,FALSE)="牵丝"),$E$3*(1+$E$15),0),BY60)</f>
        <v>0</v>
      </c>
      <c r="CB60" s="110">
        <f>IF(($D$11+IF(VLOOKUP($E60,武器奇术!$A:$R,17,FALSE)="牵丝",$D$15,0)+IF(VLOOKUP($E60,武器奇术!$A:$R,18,FALSE)=1,4,0)+IF(VLOOKUP($E60,武器奇术!$A:$S,19,FALSE)=1,20,0)-VLOOKUP($F$7,目标属性!$A:$R,6,FALSE))&gt;0,($D$11+IF(VLOOKUP($E60,武器奇术!$A:$R,17,FALSE)="牵丝",$D$15,0)+IF(VLOOKUP($E60,武器奇术!$A:$R,18,FALSE)=1,4,0)+IF(VLOOKUP($E60,武器奇术!$A:$S,19,FALSE)=1,20,0)-VLOOKUP($F$7,目标属性!$A:$R,6,FALSE))/200,($D$11+IF(VLOOKUP($E60,武器奇术!$A:$R,17,FALSE)="牵丝",$D$15,0)+IF(VLOOKUP($E60,武器奇术!$A:$R,18,FALSE)=1,4,0)+IF(VLOOKUP($E60,武器奇术!$A:$S,19,FALSE)=1,20,0)-VLOOKUP($F$7,目标属性!$A:$R,6,FALSE))/100)</f>
        <v>-0.24</v>
      </c>
      <c r="CC60" s="111">
        <f t="shared" si="19"/>
        <v>0</v>
      </c>
      <c r="CD60" s="109">
        <v>1</v>
      </c>
      <c r="CE60" s="112">
        <f>BY60*IF(VLOOKUP($E60,武器奇术!$A:$R,17,FALSE)="牵丝",VLOOKUP($E60,武器奇术!$A:$R,4,FALSE),VLOOKUP($E60,武器奇术!$A:$R,2,FALSE))*(1+CB60)*(1+CC60)*CD60</f>
        <v>0</v>
      </c>
      <c r="CF60" s="110">
        <f>(1-IF(VLOOKUP($E60,武器奇术!$A:$T,20,FALSE)=1,1,$N60))*(1-$M60)</f>
        <v>0.01072666</v>
      </c>
      <c r="CG60" s="112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110">
        <f t="shared" si="20"/>
        <v>0.8813852</v>
      </c>
      <c r="CI60" s="112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110">
        <f t="shared" si="21"/>
        <v>0.0986</v>
      </c>
      <c r="CK60" s="112">
        <f>BZ60*IF(VLOOKUP($E60,武器奇术!$A:$R,17,FALSE)="牵丝",VLOOKUP($E60,武器奇术!$A:$R,4,FALSE),VLOOKUP($E60,武器奇术!$A:$R,2,FALSE))*(1+CB60)*(1+CC60)*CD60</f>
        <v>0</v>
      </c>
      <c r="CL60" s="110">
        <f t="shared" si="22"/>
        <v>0.00928814000000003</v>
      </c>
      <c r="CM60" s="113">
        <f t="shared" si="23"/>
        <v>0</v>
      </c>
      <c r="CN60" s="108">
        <f>$B$13*IF($G$5="撼天",1.05,1)+IF(AND(VLOOKUP($E60,武器奇术!$A:$R,15,FALSE)="武器",VLOOKUP($E60,武器奇术!$A:$R,17,FALSE)="破竹"),$E$3,0)*(1+$E$15)</f>
        <v>648.46</v>
      </c>
      <c r="CO60" s="99">
        <f>IF(VLOOKUP($E60,武器奇术!$A:$Z,20,FALSE)=1,(CP60-(CN60+CP60)*0.5)*($G$15-0.5)*2+(CN60+CP60)*0.5,(CN60+CP60)*0.5)</f>
        <v>875.26</v>
      </c>
      <c r="CP60" s="109">
        <f>MAX($C$13*IF($G$5="撼天",1.05,1)+IF(AND(VLOOKUP($E60,武器奇术!$A:$R,15,FALSE)="武器",VLOOKUP($E60,武器奇术!$A:$R,17,FALSE)="破竹"),$E$3*(1+$E$15),0),CN60)</f>
        <v>1102.06</v>
      </c>
      <c r="CQ60" s="110">
        <f>IF(($D$13+IF(VLOOKUP($E60,武器奇术!$A:$R,17,FALSE)="破竹",$D$15,0)+IF(VLOOKUP($E60,武器奇术!$A:$R,18,FALSE)=1,4,0)+IF(VLOOKUP($E60,武器奇术!$A:$S,19,FALSE)=1,20,0)-VLOOKUP($F$7,目标属性!$A:$R,6,FALSE))&gt;0,($D$13+IF(VLOOKUP($E60,武器奇术!$A:$R,17,FALSE)="破竹",$D$15,0)+IF(VLOOKUP($E60,武器奇术!$A:$R,18,FALSE)=1,4,0)+IF(VLOOKUP($E60,武器奇术!$A:$S,19,FALSE)=1,20,0)-VLOOKUP($F$7,目标属性!$A:$R,6,FALSE))/200,($D$13+IF(VLOOKUP($E60,武器奇术!$A:$R,17,FALSE)="破竹",$D$15,0)+IF(VLOOKUP($E60,武器奇术!$A:$R,18,FALSE)=1,4,0)+IF(VLOOKUP($E60,武器奇术!$A:$S,19,FALSE)=1,20,0)-VLOOKUP($F$7,目标属性!$A:$R,6,FALSE))/100)</f>
        <v>0.025</v>
      </c>
      <c r="CR60" s="111">
        <f>$E$13+IF(VLOOKUP($E60,武器奇术!$A:$U,21,FALSE)=1,0,0.09)</f>
        <v>0.235</v>
      </c>
      <c r="CS60" s="109">
        <v>1</v>
      </c>
      <c r="CT60" s="112">
        <f>CN60*IF(VLOOKUP($E60,武器奇术!$A:$R,17,FALSE)="破竹",VLOOKUP($E60,武器奇术!$A:$R,4,FALSE),VLOOKUP($E60,武器奇术!$A:$R,2,FALSE))*(1+CQ60)*(1+CR60)*CS60</f>
        <v>1585.34488391825</v>
      </c>
      <c r="CU60" s="110">
        <f>(1-IF(VLOOKUP($E60,武器奇术!$A:$T,20,FALSE)=1,1,$N60))*(1-$M60)</f>
        <v>0.01072666</v>
      </c>
      <c r="CV60" s="112">
        <f>CO60*IF(VLOOKUP($E60,武器奇术!$A:$R,17,FALSE)="破竹",VLOOKUP($E60,武器奇术!$A:$R,4,FALSE),VLOOKUP($E60,武器奇术!$A:$R,2,FALSE))*(1+CQ60)*(1+CR60)*CS60*(1+$E$16+VLOOKUP($E60,武器奇术!$A:$R,8,FALSE))</f>
        <v>3509.30805212533</v>
      </c>
      <c r="CW60" s="110">
        <f t="shared" si="24"/>
        <v>0.8813852</v>
      </c>
      <c r="CX60" s="112">
        <f>CP60*IF(VLOOKUP($E60,武器奇术!$A:$R,17,FALSE)="破竹",VLOOKUP($E60,武器奇术!$A:$R,4,FALSE),VLOOKUP($E60,武器奇术!$A:$R,2,FALSE))*(1+CQ60)*(1+CR60)*CS60*(1+$E$17+VLOOKUP($E60,武器奇术!$A:$R,10,FALSE))</f>
        <v>3637.30376081914</v>
      </c>
      <c r="CY60" s="110">
        <f t="shared" si="25"/>
        <v>0.0986</v>
      </c>
      <c r="CZ60" s="112">
        <f>CO60*IF(VLOOKUP($E60,武器奇术!$A:$R,17,FALSE)="破竹",VLOOKUP($E60,武器奇术!$A:$R,4,FALSE),VLOOKUP($E60,武器奇术!$A:$R,2,FALSE))*(1+CQ60)*(1+CR60)*CS60</f>
        <v>2139.82198300325</v>
      </c>
      <c r="DA60" s="110">
        <f t="shared" si="26"/>
        <v>0.00928814000000003</v>
      </c>
      <c r="DB60" s="113">
        <f t="shared" si="27"/>
        <v>3488.5707519066</v>
      </c>
      <c r="DC60" s="108">
        <f t="shared" si="36"/>
        <v>69.3</v>
      </c>
      <c r="DD60" s="99">
        <f>(DC60+DE60)*IF(VLOOKUP($E60,武器奇术!$A:$Z,21,FALSE)=1,$G$15,0.5)</f>
        <v>69.3</v>
      </c>
      <c r="DE60" s="109">
        <f t="shared" si="37"/>
        <v>69.3</v>
      </c>
      <c r="DF60" s="110">
        <f>IF(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100)</f>
        <v>0.025</v>
      </c>
      <c r="DG60" s="111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U,21,FALSE)=1,0,0.09)</f>
        <v>0.235</v>
      </c>
      <c r="DH60" s="109">
        <v>1</v>
      </c>
      <c r="DI60" s="112">
        <f>DC60*IF(VLOOKUP($E60,武器奇术!$A:$R,17,FALSE)="破竹",VLOOKUP($E60,武器奇术!$A:$R,4,FALSE),VLOOKUP($E60,武器奇术!$A:$R,2,FALSE))*(1+DF60)*(1+DG60)*DH60</f>
        <v>169.42355805375</v>
      </c>
      <c r="DJ60" s="110">
        <f>(1-IF(VLOOKUP($E60,武器奇术!$A:$T,20,FALSE)=1,1,$N60))*(1-$M60)</f>
        <v>0.01072666</v>
      </c>
      <c r="DK60" s="112">
        <f>DD60*IF(VLOOKUP($E60,武器奇术!$A:$R,17,FALSE)="破竹",VLOOKUP($E60,武器奇术!$A:$R,4,FALSE),VLOOKUP($E60,武器奇术!$A:$R,2,FALSE))*(1+DF60)*(1+DG60)*DH60*(1+$E$16+VLOOKUP($E60,武器奇术!$A:$R,8,FALSE))</f>
        <v>277.85463520815</v>
      </c>
      <c r="DL60" s="110">
        <f t="shared" si="28"/>
        <v>0.8813852</v>
      </c>
      <c r="DM60" s="112">
        <f>DE60*IF(VLOOKUP($E60,武器奇术!$A:$R,17,FALSE)="破竹",VLOOKUP($E60,武器奇术!$A:$R,4,FALSE),VLOOKUP($E60,武器奇术!$A:$R,2,FALSE))*(1+DF60)*(1+DG60)*DH60*(1+$E$17+VLOOKUP($E60,武器奇术!$A:$R,10,FALSE))</f>
        <v>228.721803372562</v>
      </c>
      <c r="DN60" s="110">
        <f t="shared" si="29"/>
        <v>0.0986</v>
      </c>
      <c r="DO60" s="112">
        <f>DD60*IF(VLOOKUP($E60,武器奇术!$A:$R,17,FALSE)="破竹",VLOOKUP($E60,武器奇术!$A:$R,4,FALSE),VLOOKUP($E60,武器奇术!$A:$R,2,FALSE))*(1+DF60)*(1+DG60)*DH60</f>
        <v>169.42355805375</v>
      </c>
      <c r="DP60" s="110">
        <f t="shared" si="30"/>
        <v>0.00928814000000003</v>
      </c>
      <c r="DQ60" s="113">
        <f t="shared" si="31"/>
        <v>270.839911666131</v>
      </c>
    </row>
    <row r="61" customFormat="1" spans="1:121">
      <c r="C61" s="147"/>
      <c r="D61" s="147"/>
      <c r="E61" s="98" t="s">
        <v>151</v>
      </c>
      <c r="F61" s="99">
        <v>1</v>
      </c>
      <c r="G61" s="115"/>
      <c r="H61" s="100">
        <f>IF(VLOOKUP($E61,武器奇术!$A:$R,18,FALSE)="天工",AE61,(AE61+AT61+BI61+BX61+CM61+DB61+DQ61))*(1+J61)*F61*K61*(1+G61)</f>
        <v>50067.382471381</v>
      </c>
      <c r="I61" s="101">
        <f t="shared" si="0"/>
        <v>0.00618146492814867</v>
      </c>
      <c r="J61" s="101">
        <f>$F$3+VLOOKUP($E61,武器奇术!$A:$R,12,FALSE)+VLOOKUP($E61,武器奇术!$A:$R,14,FALSE)*$G$3+$P61</f>
        <v>0.873</v>
      </c>
      <c r="K61" s="102">
        <f>VLOOKUP($E61,武器奇术!$A:$R,11,FALSE)</f>
        <v>1</v>
      </c>
      <c r="L61" s="117">
        <f>IF(VLOOKUP($E61,武器奇术!$A:$R,15,FALSE)="天工",0%,IF($C$17+VLOOKUP($E61,武器奇术!$A:$R,7,FALSE)&gt;80%,80%,$C$17+VLOOKUP($E61,武器奇术!$A:$R,7,FALSE))+IF($C$19&gt;20%,20%,$C$19))</f>
        <v>0.892</v>
      </c>
      <c r="M61" s="118">
        <f>IF(VLOOKUP($E61,武器奇术!$A:$R,15,FALSE)="天工",0%,IF($C$18+VLOOKUP($E61,武器奇术!$A:$R,9,FALSE)&gt;40%,40%,$C$18+VLOOKUP($E61,武器奇术!$A:$R,9,FALSE))+IF($C$20&gt;10%,10%,$C$20))</f>
        <v>0.0986</v>
      </c>
      <c r="N61" s="119">
        <f>IF(VLOOKUP($E61,武器奇术!$A:$R,15,FALSE)="天工",100%,MIN($C$16,1))</f>
        <v>0.9881</v>
      </c>
      <c r="O61" s="120" t="str">
        <f>VLOOKUP($E61,武器奇术!$A:$R,16,FALSE)</f>
        <v>拳甲</v>
      </c>
      <c r="P61" s="121">
        <f t="shared" si="32"/>
        <v>0.17</v>
      </c>
      <c r="Q61" s="108">
        <f>$B$5*(1+VLOOKUP($E61,武器奇术!$A:$R,5,FALSE)+IF($G$5="飞隼",0.1,0)+IF($G$5="撼天",0.05,0))-$F$9+IF($I$5="√",160,0)</f>
        <v>1731.135</v>
      </c>
      <c r="R61" s="99">
        <f>IF(VLOOKUP($E61,武器奇术!$A:$Z,20,FALSE)=1,(S61-(Q61+S61)*0.5)*($G$15-0.5)*2+(Q61+S61)*0.5,(Q61+S61)*0.5)</f>
        <v>3256.775</v>
      </c>
      <c r="S61" s="109">
        <f>MAX($C$5,$B$5)*(1+VLOOKUP($E61,武器奇术!$A:$R,5,FALSE)+IF($G$5="飞隼",0.1,0)+IF($G$5="撼天",0.05,0))-$F$9+IF($I$5="√",320,0)</f>
        <v>4782.415</v>
      </c>
      <c r="T61" s="101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U61" s="111">
        <f>$E$5+IF(VLOOKUP($E61,武器奇术!$A:$U,21,FALSE)=1,0,0.09)</f>
        <v>0.115</v>
      </c>
      <c r="V61" s="109">
        <v>1</v>
      </c>
      <c r="W61" s="112">
        <f>Q61*VLOOKUP($E61,武器奇术!$A:$R,2,FALSE)*(1+T61)*(1+U61)*V61</f>
        <v>5595.154346628</v>
      </c>
      <c r="X61" s="110">
        <f>(1-IF(VLOOKUP($E61,武器奇术!$A:$T,20,FALSE)=1,1,$N61))*(1-$M61)</f>
        <v>0.01072666</v>
      </c>
      <c r="Y61" s="112">
        <f>R61*VLOOKUP($E61,武器奇术!$A:$R,2,FALSE)*(1+T61)*(1+U61)*V61*(1+$E$16+VLOOKUP($E61,武器奇术!$A:$R,8,FALSE))</f>
        <v>20420.6997528468</v>
      </c>
      <c r="Z61" s="110">
        <f t="shared" si="33"/>
        <v>0.8813852</v>
      </c>
      <c r="AA61" s="112">
        <f>S61*VLOOKUP($E61,武器奇术!$A:$R,2,FALSE)*(1+T61)*(1+U61)*V61*(1+$E$17+VLOOKUP($E61,武器奇术!$A:$R,10,FALSE))</f>
        <v>20867.1031437462</v>
      </c>
      <c r="AB61" s="110">
        <f t="shared" si="34"/>
        <v>0.0986</v>
      </c>
      <c r="AC61" s="112">
        <f>R61*VLOOKUP($E61,武器奇术!$A:$R,2,FALSE)*(1+T61)*(1+U61)*V61</f>
        <v>10526.13389322</v>
      </c>
      <c r="AD61" s="110">
        <f t="shared" si="1"/>
        <v>0.00928814000000003</v>
      </c>
      <c r="AE61" s="113">
        <f t="shared" si="2"/>
        <v>20213.784429359</v>
      </c>
      <c r="AF61" s="114">
        <f>VLOOKUP($E61,武器奇术!$A:$R,3,FALSE)*(1+IF(VLOOKUP($E61,武器奇术!$A:$R,15,FALSE)="武器",$E$15,0))</f>
        <v>0</v>
      </c>
      <c r="AG61" s="112">
        <f t="shared" si="3"/>
        <v>0</v>
      </c>
      <c r="AH61" s="112">
        <f>VLOOKUP($E61,武器奇术!$A:$R,3,FALSE)*(1+IF(VLOOKUP($E61,武器奇术!$A:$R,15,FALSE)="武器",$E$15,0))</f>
        <v>0</v>
      </c>
      <c r="AI61" s="101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AJ61" s="111">
        <f>$E$5+IF(VLOOKUP($E61,武器奇术!$A:$U,21,FALSE)=1,0,0.09)</f>
        <v>0.115</v>
      </c>
      <c r="AK61" s="109">
        <v>1</v>
      </c>
      <c r="AL61" s="112">
        <f t="shared" si="35"/>
        <v>0</v>
      </c>
      <c r="AM61" s="110">
        <f>(1-IF(VLOOKUP($E61,武器奇术!$A:$T,20,FALSE)=1,1,$N61))*(1-$M61)</f>
        <v>0.01072666</v>
      </c>
      <c r="AN61" s="112">
        <f>AG61*(1+AI61)*(1+AJ61)*AK61*(1+$E$16+VLOOKUP($E61,武器奇术!$A:$R,8,FALSE))</f>
        <v>0</v>
      </c>
      <c r="AO61" s="110">
        <f t="shared" si="4"/>
        <v>0.8813852</v>
      </c>
      <c r="AP61" s="112">
        <f>AH61*(1+AI61)*(1+AJ61)*AK61*(1+$E$17+VLOOKUP($E61,武器奇术!$A:$R,10,FALSE))</f>
        <v>0</v>
      </c>
      <c r="AQ61" s="110">
        <f t="shared" si="5"/>
        <v>0.0986</v>
      </c>
      <c r="AR61" s="112">
        <f t="shared" si="6"/>
        <v>0</v>
      </c>
      <c r="AS61" s="110">
        <f t="shared" si="7"/>
        <v>0.00928814000000003</v>
      </c>
      <c r="AT61" s="113">
        <f t="shared" si="8"/>
        <v>0</v>
      </c>
      <c r="AU61" s="108">
        <f>$B$7*IF($G$5="撼天",1.05,1)+IF(AND(VLOOKUP($E61,武器奇术!$A:$R,15,FALSE)="武器",VLOOKUP($E61,武器奇术!$A:$R,17,FALSE)="鸣金"),$E$3,0)*(1+$E$15)</f>
        <v>0</v>
      </c>
      <c r="AV61" s="99">
        <f>(AU61+AW61)*IF(VLOOKUP($E61,武器奇术!$A:$Z,21,FALSE)=1,$G$15,0.5)</f>
        <v>0</v>
      </c>
      <c r="AW61" s="109">
        <f>MAX($C$7*IF($G$5="撼天",1.05,1)+IF(AND(VLOOKUP($E61,武器奇术!$A:$R,15,FALSE)="武器",VLOOKUP($E61,武器奇术!$A:$R,17,FALSE)="鸣金"),$E$3*(1+$E$15),0),AU61)</f>
        <v>0</v>
      </c>
      <c r="AX61" s="110">
        <f>IF(($D$7+IF(VLOOKUP($E61,武器奇术!$A:$R,17,FALSE)="鸣金",$D$15,0)+IF(VLOOKUP($E61,武器奇术!$A:$R,18,FALSE)=1,4,0)+IF(VLOOKUP($E61,武器奇术!$A:$S,19,FALSE)=1,20,0)-VLOOKUP($F$7,目标属性!$A:$R,6,FALSE))&gt;0,($D$7+IF(VLOOKUP($E61,武器奇术!$A:$R,17,FALSE)="鸣金",$D$15,0)+IF(VLOOKUP($E61,武器奇术!$A:$R,18,FALSE)=1,4,0)+IF(VLOOKUP($E61,武器奇术!$A:$S,19,FALSE)=1,20,0)-VLOOKUP($F$7,目标属性!$A:$R,6,FALSE))/200,($D$7+IF(VLOOKUP($E61,武器奇术!$A:$R,17,FALSE)="鸣金",$D$15,0)+IF(VLOOKUP($E61,武器奇术!$A:$R,18,FALSE)=1,4,0)+IF(VLOOKUP($E61,武器奇术!$A:$S,19,FALSE)=1,20,0)-VLOOKUP($F$7,目标属性!$A:$R,6,FALSE))/100)</f>
        <v>0</v>
      </c>
      <c r="AY61" s="111">
        <f t="shared" si="9"/>
        <v>0</v>
      </c>
      <c r="AZ61" s="109">
        <v>1</v>
      </c>
      <c r="BA61" s="112">
        <f>AU61*IF(VLOOKUP($E61,武器奇术!$A:$R,17,FALSE)="鸣金",VLOOKUP($E61,武器奇术!$A:$R,4,FALSE),VLOOKUP($E61,武器奇术!$A:$R,2,FALSE))*(1+AX61)*(1+AY61)*AZ61</f>
        <v>0</v>
      </c>
      <c r="BB61" s="110">
        <f>(1-IF(VLOOKUP($E61,武器奇术!$A:$T,20,FALSE)=1,1,$N61))*(1-$M61)</f>
        <v>0.01072666</v>
      </c>
      <c r="BC61" s="112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10">
        <f t="shared" si="10"/>
        <v>0.8813852</v>
      </c>
      <c r="BE61" s="112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10">
        <f t="shared" si="11"/>
        <v>0.0986</v>
      </c>
      <c r="BG61" s="112">
        <f>AV61*IF(VLOOKUP($E61,武器奇术!$A:$R,17,FALSE)="鸣金",VLOOKUP($E61,武器奇术!$A:$R,4,FALSE),VLOOKUP($E61,武器奇术!$A:$R,2,FALSE))*(1+AX61)*(1+AY61)*AZ61</f>
        <v>0</v>
      </c>
      <c r="BH61" s="110">
        <f t="shared" si="12"/>
        <v>0.00928814000000003</v>
      </c>
      <c r="BI61" s="113">
        <f t="shared" si="13"/>
        <v>0</v>
      </c>
      <c r="BJ61" s="108">
        <f>$B$9*IF($G$5="撼天",1.05,1)+IF(AND(VLOOKUP($E61,武器奇术!$A:$R,15,FALSE)="武器",VLOOKUP($E61,武器奇术!$A:$R,17,FALSE)="裂石"),$E$3,0)*(1+$E$15)</f>
        <v>0</v>
      </c>
      <c r="BK61" s="99">
        <f>(BJ61+BL61)*IF(VLOOKUP($E61,武器奇术!$A:$Z,21,FALSE)=1,$G$15,0.5)</f>
        <v>0</v>
      </c>
      <c r="BL61" s="109">
        <f>MAX($C$9*IF($G$5="撼天",1.05,1)+IF(AND(VLOOKUP($E61,武器奇术!$A:$R,15,FALSE)="武器",VLOOKUP($E61,武器奇术!$A:$R,17,FALSE)="裂石"),$E$3*(1+$E$15),0),BJ61)</f>
        <v>0</v>
      </c>
      <c r="BM61" s="110">
        <f>IF(($D$9+IF(VLOOKUP($E61,武器奇术!$A:$R,17,FALSE)="裂石",$D$15,0)+IF(VLOOKUP($E61,武器奇术!$A:$R,18,FALSE)=1,4,0)+IF(VLOOKUP($E61,武器奇术!$A:$S,19,FALSE)=1,20,0)-VLOOKUP($F$7,目标属性!$A:$R,6,FALSE))&gt;0,($D$9+IF(VLOOKUP($E61,武器奇术!$A:$R,17,FALSE)="裂石",$D$15,0)+IF(VLOOKUP($E61,武器奇术!$A:$R,18,FALSE)=1,4,0)+IF(VLOOKUP($E61,武器奇术!$A:$S,19,FALSE)=1,20,0)-VLOOKUP($F$7,目标属性!$A:$R,6,FALSE))/200,($D$9+IF(VLOOKUP($E61,武器奇术!$A:$R,17,FALSE)="裂石",$D$15,0)+IF(VLOOKUP($E61,武器奇术!$A:$R,18,FALSE)=1,4,0)+IF(VLOOKUP($E61,武器奇术!$A:$S,19,FALSE)=1,20,0)-VLOOKUP($F$7,目标属性!$A:$R,6,FALSE))/100)</f>
        <v>0</v>
      </c>
      <c r="BN61" s="111">
        <f t="shared" si="14"/>
        <v>0</v>
      </c>
      <c r="BO61" s="109">
        <v>1</v>
      </c>
      <c r="BP61" s="112">
        <f>BJ61*IF(VLOOKUP($E61,武器奇术!$A:$R,17,FALSE)="裂石",VLOOKUP($E61,武器奇术!$A:$R,4,FALSE),VLOOKUP($E61,武器奇术!$A:$R,2,FALSE))*(1+BM61)*(1+BN61)*BO61</f>
        <v>0</v>
      </c>
      <c r="BQ61" s="110">
        <f>(1-IF(VLOOKUP($E61,武器奇术!$A:$T,20,FALSE)=1,1,$N61))*(1-$M61)</f>
        <v>0.01072666</v>
      </c>
      <c r="BR61" s="112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10">
        <f t="shared" si="15"/>
        <v>0.8813852</v>
      </c>
      <c r="BT61" s="112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10">
        <f t="shared" si="16"/>
        <v>0.0986</v>
      </c>
      <c r="BV61" s="112">
        <f>BK61*IF(VLOOKUP($E61,武器奇术!$A:$R,17,FALSE)="裂石",VLOOKUP($E61,武器奇术!$A:$R,4,FALSE),VLOOKUP($E61,武器奇术!$A:$R,2,FALSE))*(1+BM61)*(1+BN61)*BO61</f>
        <v>0</v>
      </c>
      <c r="BW61" s="110">
        <f t="shared" si="17"/>
        <v>0.00928814000000003</v>
      </c>
      <c r="BX61" s="113">
        <f t="shared" si="18"/>
        <v>0</v>
      </c>
      <c r="BY61" s="108">
        <f>$B$11*IF($G$5="撼天",1.05,1)+IF(AND(VLOOKUP($E61,武器奇术!$A:$R,15,FALSE)="武器",VLOOKUP($E61,武器奇术!$A:$R,17,FALSE)="牵丝"),$E$3,0)*(1+$E$15)</f>
        <v>0</v>
      </c>
      <c r="BZ61" s="99">
        <f>(BY61+CA61)*IF(VLOOKUP($E61,武器奇术!$A:$Z,21,FALSE)=1,$G$15,0.5)</f>
        <v>0</v>
      </c>
      <c r="CA61" s="109">
        <f>MAX($C$11*IF($G$5="撼天",1.05,1)+IF(AND(VLOOKUP($E61,武器奇术!$A:$R,15,FALSE)="武器",VLOOKUP($E61,武器奇术!$A:$R,17,FALSE)="牵丝"),$E$3*(1+$E$15),0),BY61)</f>
        <v>0</v>
      </c>
      <c r="CB61" s="110">
        <f>IF(($D$11+IF(VLOOKUP($E61,武器奇术!$A:$R,17,FALSE)="牵丝",$D$15,0)+IF(VLOOKUP($E61,武器奇术!$A:$R,18,FALSE)=1,4,0)+IF(VLOOKUP($E61,武器奇术!$A:$S,19,FALSE)=1,20,0)-VLOOKUP($F$7,目标属性!$A:$R,6,FALSE))&gt;0,($D$11+IF(VLOOKUP($E61,武器奇术!$A:$R,17,FALSE)="牵丝",$D$15,0)+IF(VLOOKUP($E61,武器奇术!$A:$R,18,FALSE)=1,4,0)+IF(VLOOKUP($E61,武器奇术!$A:$S,19,FALSE)=1,20,0)-VLOOKUP($F$7,目标属性!$A:$R,6,FALSE))/200,($D$11+IF(VLOOKUP($E61,武器奇术!$A:$R,17,FALSE)="牵丝",$D$15,0)+IF(VLOOKUP($E61,武器奇术!$A:$R,18,FALSE)=1,4,0)+IF(VLOOKUP($E61,武器奇术!$A:$S,19,FALSE)=1,20,0)-VLOOKUP($F$7,目标属性!$A:$R,6,FALSE))/100)</f>
        <v>0</v>
      </c>
      <c r="CC61" s="111">
        <f t="shared" si="19"/>
        <v>0</v>
      </c>
      <c r="CD61" s="109">
        <v>1</v>
      </c>
      <c r="CE61" s="112">
        <f>BY61*IF(VLOOKUP($E61,武器奇术!$A:$R,17,FALSE)="牵丝",VLOOKUP($E61,武器奇术!$A:$R,4,FALSE),VLOOKUP($E61,武器奇术!$A:$R,2,FALSE))*(1+CB61)*(1+CC61)*CD61</f>
        <v>0</v>
      </c>
      <c r="CF61" s="110">
        <f>(1-IF(VLOOKUP($E61,武器奇术!$A:$T,20,FALSE)=1,1,$N61))*(1-$M61)</f>
        <v>0.01072666</v>
      </c>
      <c r="CG61" s="112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110">
        <f t="shared" si="20"/>
        <v>0.8813852</v>
      </c>
      <c r="CI61" s="112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110">
        <f t="shared" si="21"/>
        <v>0.0986</v>
      </c>
      <c r="CK61" s="112">
        <f>BZ61*IF(VLOOKUP($E61,武器奇术!$A:$R,17,FALSE)="牵丝",VLOOKUP($E61,武器奇术!$A:$R,4,FALSE),VLOOKUP($E61,武器奇术!$A:$R,2,FALSE))*(1+CB61)*(1+CC61)*CD61</f>
        <v>0</v>
      </c>
      <c r="CL61" s="110">
        <f t="shared" si="22"/>
        <v>0.00928814000000003</v>
      </c>
      <c r="CM61" s="113">
        <f t="shared" si="23"/>
        <v>0</v>
      </c>
      <c r="CN61" s="108">
        <f>$B$13*IF($G$5="撼天",1.05,1)+IF(AND(VLOOKUP($E61,武器奇术!$A:$R,15,FALSE)="武器",VLOOKUP($E61,武器奇术!$A:$R,17,FALSE)="破竹"),$E$3,0)*(1+$E$15)</f>
        <v>452.55</v>
      </c>
      <c r="CO61" s="99">
        <f>IF(VLOOKUP($E61,武器奇术!$A:$Z,20,FALSE)=1,(CP61-(CN61+CP61)*0.5)*($G$15-0.5)*2+(CN61+CP61)*0.5,(CN61+CP61)*0.5)</f>
        <v>679.35</v>
      </c>
      <c r="CP61" s="109">
        <f>MAX($C$13*IF($G$5="撼天",1.05,1)+IF(AND(VLOOKUP($E61,武器奇术!$A:$R,15,FALSE)="武器",VLOOKUP($E61,武器奇术!$A:$R,17,FALSE)="破竹"),$E$3*(1+$E$15),0),CN61)</f>
        <v>906.15</v>
      </c>
      <c r="CQ61" s="110">
        <f>IF(($D$13+IF(VLOOKUP($E61,武器奇术!$A:$R,17,FALSE)="破竹",$D$15,0)+IF(VLOOKUP($E61,武器奇术!$A:$R,18,FALSE)=1,4,0)+IF(VLOOKUP($E61,武器奇术!$A:$S,19,FALSE)=1,20,0)-VLOOKUP($F$7,目标属性!$A:$R,6,FALSE))&gt;0,($D$13+IF(VLOOKUP($E61,武器奇术!$A:$R,17,FALSE)="破竹",$D$15,0)+IF(VLOOKUP($E61,武器奇术!$A:$R,18,FALSE)=1,4,0)+IF(VLOOKUP($E61,武器奇术!$A:$S,19,FALSE)=1,20,0)-VLOOKUP($F$7,目标属性!$A:$R,6,FALSE))/200,($D$13+IF(VLOOKUP($E61,武器奇术!$A:$R,17,FALSE)="破竹",$D$15,0)+IF(VLOOKUP($E61,武器奇术!$A:$R,18,FALSE)=1,4,0)+IF(VLOOKUP($E61,武器奇术!$A:$S,19,FALSE)=1,20,0)-VLOOKUP($F$7,目标属性!$A:$R,6,FALSE))/100)</f>
        <v>0.145</v>
      </c>
      <c r="CR61" s="111">
        <f>$E$13+IF(VLOOKUP($E61,武器奇术!$A:$U,21,FALSE)=1,0,0.09)</f>
        <v>0.235</v>
      </c>
      <c r="CS61" s="109">
        <v>1</v>
      </c>
      <c r="CT61" s="112">
        <f>CN61*IF(VLOOKUP($E61,武器奇术!$A:$R,17,FALSE)="破竹",VLOOKUP($E61,武器奇术!$A:$R,4,FALSE),VLOOKUP($E61,武器奇术!$A:$R,2,FALSE))*(1+CQ61)*(1+CR61)*CS61</f>
        <v>2073.40443765</v>
      </c>
      <c r="CU61" s="110">
        <f>(1-IF(VLOOKUP($E61,武器奇术!$A:$T,20,FALSE)=1,1,$N61))*(1-$M61)</f>
        <v>0.01072666</v>
      </c>
      <c r="CV61" s="112">
        <f>CO61*IF(VLOOKUP($E61,武器奇术!$A:$R,17,FALSE)="破竹",VLOOKUP($E61,武器奇术!$A:$R,4,FALSE),VLOOKUP($E61,武器奇术!$A:$R,2,FALSE))*(1+CQ61)*(1+CR61)*CS61*(1+$E$16+VLOOKUP($E61,武器奇术!$A:$R,8,FALSE))</f>
        <v>6038.273276217</v>
      </c>
      <c r="CW61" s="110">
        <f t="shared" si="24"/>
        <v>0.8813852</v>
      </c>
      <c r="CX61" s="112">
        <f>CP61*IF(VLOOKUP($E61,武器奇术!$A:$R,17,FALSE)="破竹",VLOOKUP($E61,武器奇术!$A:$R,4,FALSE),VLOOKUP($E61,武器奇术!$A:$R,2,FALSE))*(1+CQ61)*(1+CR61)*CS61*(1+$E$17+VLOOKUP($E61,武器奇术!$A:$R,10,FALSE))</f>
        <v>5604.6864039075</v>
      </c>
      <c r="CY61" s="110">
        <f t="shared" si="25"/>
        <v>0.0986</v>
      </c>
      <c r="CZ61" s="112">
        <f>CO61*IF(VLOOKUP($E61,武器奇术!$A:$R,17,FALSE)="破竹",VLOOKUP($E61,武器奇术!$A:$R,4,FALSE),VLOOKUP($E61,武器奇术!$A:$R,2,FALSE))*(1+CQ61)*(1+CR61)*CS61</f>
        <v>3112.51199805</v>
      </c>
      <c r="DA61" s="110">
        <f t="shared" si="26"/>
        <v>0.00928814000000003</v>
      </c>
      <c r="DB61" s="113">
        <f t="shared" si="27"/>
        <v>5925.81693027318</v>
      </c>
      <c r="DC61" s="108">
        <f t="shared" si="36"/>
        <v>69.3</v>
      </c>
      <c r="DD61" s="99">
        <f>(DC61+DE61)*IF(VLOOKUP($E61,武器奇术!$A:$Z,21,FALSE)=1,$G$15,0.5)</f>
        <v>69.3</v>
      </c>
      <c r="DE61" s="109">
        <f t="shared" si="37"/>
        <v>69.3</v>
      </c>
      <c r="DF61" s="110">
        <f>IF(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100)</f>
        <v>0.145</v>
      </c>
      <c r="DG61" s="111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U,21,FALSE)=1,0,0.09)</f>
        <v>0.235</v>
      </c>
      <c r="DH61" s="109">
        <v>1</v>
      </c>
      <c r="DI61" s="112">
        <f>DC61*IF(VLOOKUP($E61,武器奇术!$A:$R,17,FALSE)="破竹",VLOOKUP($E61,武器奇术!$A:$R,4,FALSE),VLOOKUP($E61,武器奇术!$A:$R,2,FALSE))*(1+DF61)*(1+DG61)*DH61</f>
        <v>317.5050879</v>
      </c>
      <c r="DJ61" s="110">
        <f>(1-IF(VLOOKUP($E61,武器奇术!$A:$T,20,FALSE)=1,1,$N61))*(1-$M61)</f>
        <v>0.01072666</v>
      </c>
      <c r="DK61" s="112">
        <f>DD61*IF(VLOOKUP($E61,武器奇术!$A:$R,17,FALSE)="破竹",VLOOKUP($E61,武器奇术!$A:$R,4,FALSE),VLOOKUP($E61,武器奇术!$A:$R,2,FALSE))*(1+DF61)*(1+DG61)*DH61*(1+$E$16+VLOOKUP($E61,武器奇术!$A:$R,8,FALSE))</f>
        <v>615.959870526</v>
      </c>
      <c r="DL61" s="110">
        <f t="shared" si="28"/>
        <v>0.8813852</v>
      </c>
      <c r="DM61" s="112">
        <f>DE61*IF(VLOOKUP($E61,武器奇术!$A:$R,17,FALSE)="破竹",VLOOKUP($E61,武器奇术!$A:$R,4,FALSE),VLOOKUP($E61,武器奇术!$A:$R,2,FALSE))*(1+DF61)*(1+DG61)*DH61*(1+$E$17+VLOOKUP($E61,武器奇术!$A:$R,10,FALSE))</f>
        <v>428.631868665</v>
      </c>
      <c r="DN61" s="110">
        <f t="shared" si="29"/>
        <v>0.0986</v>
      </c>
      <c r="DO61" s="112">
        <f>DD61*IF(VLOOKUP($E61,武器奇术!$A:$R,17,FALSE)="破竹",VLOOKUP($E61,武器奇术!$A:$R,4,FALSE),VLOOKUP($E61,武器奇术!$A:$R,2,FALSE))*(1+DF61)*(1+DG61)*DH61</f>
        <v>317.5050879</v>
      </c>
      <c r="DP61" s="110">
        <f t="shared" si="30"/>
        <v>0.00928814000000003</v>
      </c>
      <c r="DQ61" s="113">
        <f t="shared" si="31"/>
        <v>591.515816759203</v>
      </c>
    </row>
    <row r="62" customFormat="1" spans="1:121">
      <c r="A62" t="s">
        <v>153</v>
      </c>
      <c r="B62" t="s">
        <v>154</v>
      </c>
      <c r="C62">
        <v>0.9</v>
      </c>
      <c r="D62" s="147"/>
      <c r="E62" s="98" t="s">
        <v>155</v>
      </c>
      <c r="F62" s="99">
        <v>1</v>
      </c>
      <c r="G62" s="115"/>
      <c r="H62" s="100">
        <f>IF(VLOOKUP($E62,武器奇术!$A:$R,18,FALSE)="天工",AE62,(AE62+AT62+BI62+BX62+CM62+DB62+DQ62))*(1+J62)*F62*K62*(1+G62)</f>
        <v>101585.828972322</v>
      </c>
      <c r="I62" s="101">
        <f t="shared" si="0"/>
        <v>0.012542082449552</v>
      </c>
      <c r="J62" s="101">
        <f>$F$3+VLOOKUP($E62,武器奇术!$A:$R,12,FALSE)+VLOOKUP($E62,武器奇术!$A:$R,14,FALSE)*$G$3+$P62</f>
        <v>0.403</v>
      </c>
      <c r="K62" s="102">
        <f>VLOOKUP($E62,武器奇术!$A:$R,11,FALSE)</f>
        <v>1</v>
      </c>
      <c r="L62" s="117">
        <f>IF(VLOOKUP($E62,武器奇术!$A:$R,15,FALSE)="天工",0%,IF($C$17+VLOOKUP($E62,武器奇术!$A:$R,7,FALSE)&gt;80%,80%,$C$17+VLOOKUP($E62,武器奇术!$A:$R,7,FALSE))+IF($C$19&gt;20%,20%,$C$19))</f>
        <v>0.892</v>
      </c>
      <c r="M62" s="118">
        <f>IF(VLOOKUP($E62,武器奇术!$A:$R,15,FALSE)="天工",0%,IF($C$18+VLOOKUP($E62,武器奇术!$A:$R,9,FALSE)&gt;40%,40%,$C$18+VLOOKUP($E62,武器奇术!$A:$R,9,FALSE))+IF($C$20&gt;10%,10%,$C$20))</f>
        <v>0.0986</v>
      </c>
      <c r="N62" s="119">
        <f>IF(VLOOKUP($E62,武器奇术!$A:$R,15,FALSE)="天工",100%,MIN($C$16,1))</f>
        <v>0.9881</v>
      </c>
      <c r="O62" s="120" t="str">
        <f>VLOOKUP($E62,武器奇术!$A:$R,16,FALSE)</f>
        <v>单体奇术</v>
      </c>
      <c r="P62" s="121">
        <f t="shared" si="32"/>
        <v>0</v>
      </c>
      <c r="Q62" s="108">
        <f>$B$5*(1+VLOOKUP($E62,武器奇术!$A:$R,5,FALSE)+IF($G$5="飞隼",0.1,0)+IF($G$5="撼天",0.05,0))-$F$9+IF($I$5="√",160,0)</f>
        <v>1731.135</v>
      </c>
      <c r="R62" s="99">
        <f>IF(VLOOKUP($E62,武器奇术!$A:$Z,20,FALSE)=1,(S62-(Q62+S62)*0.5)*($G$15-0.5)*2+(Q62+S62)*0.5,(Q62+S62)*0.5)</f>
        <v>3256.775</v>
      </c>
      <c r="S62" s="109">
        <f>MAX($C$5,$B$5)*(1+VLOOKUP($E62,武器奇术!$A:$R,5,FALSE)+IF($G$5="飞隼",0.1,0)+IF($G$5="撼天",0.05,0))-$F$9+IF($I$5="√",320,0)</f>
        <v>4782.415</v>
      </c>
      <c r="T62" s="101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U62" s="111">
        <f>$E$5+IF(VLOOKUP($E62,武器奇术!$A:$U,21,FALSE)=1,0,0.09)</f>
        <v>0.115</v>
      </c>
      <c r="V62" s="109">
        <v>1</v>
      </c>
      <c r="W62" s="112">
        <f>Q62*VLOOKUP($E62,武器奇术!$A:$R,2,FALSE)*(1+T62)*(1+U62)*V62</f>
        <v>17036.3694397201</v>
      </c>
      <c r="X62" s="110">
        <f>(1-IF(VLOOKUP($E62,武器奇术!$A:$T,20,FALSE)=1,1,$N62))*(1-$M62)</f>
        <v>0.01072666</v>
      </c>
      <c r="Y62" s="112">
        <f>R62*VLOOKUP($E62,武器奇术!$A:$R,2,FALSE)*(1+T62)*(1+U62)*V62*(1+$E$16+VLOOKUP($E62,武器奇术!$A:$R,8,FALSE))</f>
        <v>52562.7060942982</v>
      </c>
      <c r="Z62" s="110">
        <f t="shared" si="33"/>
        <v>0.8813852</v>
      </c>
      <c r="AA62" s="112">
        <f>S62*VLOOKUP($E62,武器奇术!$A:$R,2,FALSE)*(1+T62)*(1+U62)*V62*(1+$E$17+VLOOKUP($E62,武器奇术!$A:$R,10,FALSE))</f>
        <v>63537.0637286981</v>
      </c>
      <c r="AB62" s="110">
        <f t="shared" si="34"/>
        <v>0.0986</v>
      </c>
      <c r="AC62" s="112">
        <f>R62*VLOOKUP($E62,武器奇术!$A:$R,2,FALSE)*(1+T62)*(1+U62)*V62</f>
        <v>32050.4305453038</v>
      </c>
      <c r="AD62" s="110">
        <f t="shared" si="1"/>
        <v>0.00928814000000003</v>
      </c>
      <c r="AE62" s="113">
        <f t="shared" si="2"/>
        <v>53073.1779356932</v>
      </c>
      <c r="AF62" s="114">
        <f>VLOOKUP($E62,武器奇术!$A:$R,3,FALSE)*(1+IF(VLOOKUP($E62,武器奇术!$A:$R,15,FALSE)="武器",$E$15,0))</f>
        <v>1269</v>
      </c>
      <c r="AG62" s="112">
        <f t="shared" si="3"/>
        <v>1269</v>
      </c>
      <c r="AH62" s="112">
        <f>VLOOKUP($E62,武器奇术!$A:$R,3,FALSE)*(1+IF(VLOOKUP($E62,武器奇术!$A:$R,15,FALSE)="武器",$E$15,0))</f>
        <v>1269</v>
      </c>
      <c r="AI62" s="101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AJ62" s="111">
        <f>$E$5+IF(VLOOKUP($E62,武器奇术!$A:$U,21,FALSE)=1,0,0.09)</f>
        <v>0.115</v>
      </c>
      <c r="AK62" s="109">
        <v>1</v>
      </c>
      <c r="AL62" s="112">
        <f t="shared" si="35"/>
        <v>1757.34927</v>
      </c>
      <c r="AM62" s="110">
        <f>(1-IF(VLOOKUP($E62,武器奇术!$A:$T,20,FALSE)=1,1,$N62))*(1-$M62)</f>
        <v>0.01072666</v>
      </c>
      <c r="AN62" s="112">
        <f>AG62*(1+AI62)*(1+AJ62)*AK62*(1+$E$16+VLOOKUP($E62,武器奇术!$A:$R,8,FALSE))</f>
        <v>2882.0528028</v>
      </c>
      <c r="AO62" s="110">
        <f t="shared" si="4"/>
        <v>0.8813852</v>
      </c>
      <c r="AP62" s="112">
        <f>AH62*(1+AI62)*(1+AJ62)*AK62*(1+$E$17+VLOOKUP($E62,武器奇术!$A:$R,10,FALSE))</f>
        <v>2372.4215145</v>
      </c>
      <c r="AQ62" s="110">
        <f t="shared" si="5"/>
        <v>0.0986</v>
      </c>
      <c r="AR62" s="112">
        <f t="shared" si="6"/>
        <v>1757.34927</v>
      </c>
      <c r="AS62" s="110">
        <f t="shared" si="7"/>
        <v>0.00928814000000003</v>
      </c>
      <c r="AT62" s="113">
        <f t="shared" si="8"/>
        <v>2809.29244150533</v>
      </c>
      <c r="AU62" s="108">
        <f>$B$7*IF($G$5="撼天",1.05,1)+IF(AND(VLOOKUP($E62,武器奇术!$A:$R,15,FALSE)="武器",VLOOKUP($E62,武器奇术!$A:$R,17,FALSE)="鸣金"),$E$3,0)*(1+$E$15)</f>
        <v>0</v>
      </c>
      <c r="AV62" s="99">
        <f>(AU62+AW62)*IF(VLOOKUP($E62,武器奇术!$A:$Z,21,FALSE)=1,$G$15,0.5)</f>
        <v>0</v>
      </c>
      <c r="AW62" s="109">
        <f>MAX($C$7*IF($G$5="撼天",1.05,1)+IF(AND(VLOOKUP($E62,武器奇术!$A:$R,15,FALSE)="武器",VLOOKUP($E62,武器奇术!$A:$R,17,FALSE)="鸣金"),$E$3*(1+$E$15),0),AU62)</f>
        <v>0</v>
      </c>
      <c r="AX62" s="110">
        <f>IF(($D$7+IF(VLOOKUP($E62,武器奇术!$A:$R,17,FALSE)="鸣金",$D$15,0)+IF(VLOOKUP($E62,武器奇术!$A:$R,18,FALSE)=1,4,0)+IF(VLOOKUP($E62,武器奇术!$A:$S,19,FALSE)=1,20,0)-VLOOKUP($F$7,目标属性!$A:$R,6,FALSE))&gt;0,($D$7+IF(VLOOKUP($E62,武器奇术!$A:$R,17,FALSE)="鸣金",$D$15,0)+IF(VLOOKUP($E62,武器奇术!$A:$R,18,FALSE)=1,4,0)+IF(VLOOKUP($E62,武器奇术!$A:$S,19,FALSE)=1,20,0)-VLOOKUP($F$7,目标属性!$A:$R,6,FALSE))/200,($D$7+IF(VLOOKUP($E62,武器奇术!$A:$R,17,FALSE)="鸣金",$D$15,0)+IF(VLOOKUP($E62,武器奇术!$A:$R,18,FALSE)=1,4,0)+IF(VLOOKUP($E62,武器奇术!$A:$S,19,FALSE)=1,20,0)-VLOOKUP($F$7,目标属性!$A:$R,6,FALSE))/100)</f>
        <v>-0.24</v>
      </c>
      <c r="AY62" s="111">
        <f t="shared" si="9"/>
        <v>0</v>
      </c>
      <c r="AZ62" s="109">
        <v>1</v>
      </c>
      <c r="BA62" s="112">
        <f>AU62*IF(VLOOKUP($E62,武器奇术!$A:$R,17,FALSE)="鸣金",VLOOKUP($E62,武器奇术!$A:$R,4,FALSE),VLOOKUP($E62,武器奇术!$A:$R,2,FALSE))*(1+AX62)*(1+AY62)*AZ62</f>
        <v>0</v>
      </c>
      <c r="BB62" s="110">
        <f>(1-IF(VLOOKUP($E62,武器奇术!$A:$T,20,FALSE)=1,1,$N62))*(1-$M62)</f>
        <v>0.01072666</v>
      </c>
      <c r="BC62" s="112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10">
        <f t="shared" si="10"/>
        <v>0.8813852</v>
      </c>
      <c r="BE62" s="112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10">
        <f t="shared" si="11"/>
        <v>0.0986</v>
      </c>
      <c r="BG62" s="112">
        <f>AV62*IF(VLOOKUP($E62,武器奇术!$A:$R,17,FALSE)="鸣金",VLOOKUP($E62,武器奇术!$A:$R,4,FALSE),VLOOKUP($E62,武器奇术!$A:$R,2,FALSE))*(1+AX62)*(1+AY62)*AZ62</f>
        <v>0</v>
      </c>
      <c r="BH62" s="110">
        <f t="shared" si="12"/>
        <v>0.00928814000000003</v>
      </c>
      <c r="BI62" s="113">
        <f t="shared" si="13"/>
        <v>0</v>
      </c>
      <c r="BJ62" s="108">
        <f>$B$9*IF($G$5="撼天",1.05,1)+IF(AND(VLOOKUP($E62,武器奇术!$A:$R,15,FALSE)="武器",VLOOKUP($E62,武器奇术!$A:$R,17,FALSE)="裂石"),$E$3,0)*(1+$E$15)</f>
        <v>0</v>
      </c>
      <c r="BK62" s="99">
        <f>(BJ62+BL62)*IF(VLOOKUP($E62,武器奇术!$A:$Z,21,FALSE)=1,$G$15,0.5)</f>
        <v>0</v>
      </c>
      <c r="BL62" s="109">
        <f>MAX($C$9*IF($G$5="撼天",1.05,1)+IF(AND(VLOOKUP($E62,武器奇术!$A:$R,15,FALSE)="武器",VLOOKUP($E62,武器奇术!$A:$R,17,FALSE)="裂石"),$E$3*(1+$E$15),0),BJ62)</f>
        <v>0</v>
      </c>
      <c r="BM62" s="110">
        <f>IF(($D$9+IF(VLOOKUP($E62,武器奇术!$A:$R,17,FALSE)="裂石",$D$15,0)+IF(VLOOKUP($E62,武器奇术!$A:$R,18,FALSE)=1,4,0)+IF(VLOOKUP($E62,武器奇术!$A:$S,19,FALSE)=1,20,0)-VLOOKUP($F$7,目标属性!$A:$R,6,FALSE))&gt;0,($D$9+IF(VLOOKUP($E62,武器奇术!$A:$R,17,FALSE)="裂石",$D$15,0)+IF(VLOOKUP($E62,武器奇术!$A:$R,18,FALSE)=1,4,0)+IF(VLOOKUP($E62,武器奇术!$A:$S,19,FALSE)=1,20,0)-VLOOKUP($F$7,目标属性!$A:$R,6,FALSE))/200,($D$9+IF(VLOOKUP($E62,武器奇术!$A:$R,17,FALSE)="裂石",$D$15,0)+IF(VLOOKUP($E62,武器奇术!$A:$R,18,FALSE)=1,4,0)+IF(VLOOKUP($E62,武器奇术!$A:$S,19,FALSE)=1,20,0)-VLOOKUP($F$7,目标属性!$A:$R,6,FALSE))/100)</f>
        <v>-0.24</v>
      </c>
      <c r="BN62" s="111">
        <f t="shared" si="14"/>
        <v>0</v>
      </c>
      <c r="BO62" s="109">
        <v>1</v>
      </c>
      <c r="BP62" s="112">
        <f>BJ62*IF(VLOOKUP($E62,武器奇术!$A:$R,17,FALSE)="裂石",VLOOKUP($E62,武器奇术!$A:$R,4,FALSE),VLOOKUP($E62,武器奇术!$A:$R,2,FALSE))*(1+BM62)*(1+BN62)*BO62</f>
        <v>0</v>
      </c>
      <c r="BQ62" s="110">
        <f>(1-IF(VLOOKUP($E62,武器奇术!$A:$T,20,FALSE)=1,1,$N62))*(1-$M62)</f>
        <v>0.01072666</v>
      </c>
      <c r="BR62" s="112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10">
        <f t="shared" si="15"/>
        <v>0.8813852</v>
      </c>
      <c r="BT62" s="112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10">
        <f t="shared" si="16"/>
        <v>0.0986</v>
      </c>
      <c r="BV62" s="112">
        <f>BK62*IF(VLOOKUP($E62,武器奇术!$A:$R,17,FALSE)="裂石",VLOOKUP($E62,武器奇术!$A:$R,4,FALSE),VLOOKUP($E62,武器奇术!$A:$R,2,FALSE))*(1+BM62)*(1+BN62)*BO62</f>
        <v>0</v>
      </c>
      <c r="BW62" s="110">
        <f t="shared" si="17"/>
        <v>0.00928814000000003</v>
      </c>
      <c r="BX62" s="113">
        <f t="shared" si="18"/>
        <v>0</v>
      </c>
      <c r="BY62" s="108">
        <f>$B$11*IF($G$5="撼天",1.05,1)+IF(AND(VLOOKUP($E62,武器奇术!$A:$R,15,FALSE)="武器",VLOOKUP($E62,武器奇术!$A:$R,17,FALSE)="牵丝"),$E$3,0)*(1+$E$15)</f>
        <v>0</v>
      </c>
      <c r="BZ62" s="99">
        <f>(BY62+CA62)*IF(VLOOKUP($E62,武器奇术!$A:$Z,21,FALSE)=1,$G$15,0.5)</f>
        <v>0</v>
      </c>
      <c r="CA62" s="109">
        <f>MAX($C$11*IF($G$5="撼天",1.05,1)+IF(AND(VLOOKUP($E62,武器奇术!$A:$R,15,FALSE)="武器",VLOOKUP($E62,武器奇术!$A:$R,17,FALSE)="牵丝"),$E$3*(1+$E$15),0),BY62)</f>
        <v>0</v>
      </c>
      <c r="CB62" s="110">
        <f>IF(($D$11+IF(VLOOKUP($E62,武器奇术!$A:$R,17,FALSE)="牵丝",$D$15,0)+IF(VLOOKUP($E62,武器奇术!$A:$R,18,FALSE)=1,4,0)+IF(VLOOKUP($E62,武器奇术!$A:$S,19,FALSE)=1,20,0)-VLOOKUP($F$7,目标属性!$A:$R,6,FALSE))&gt;0,($D$11+IF(VLOOKUP($E62,武器奇术!$A:$R,17,FALSE)="牵丝",$D$15,0)+IF(VLOOKUP($E62,武器奇术!$A:$R,18,FALSE)=1,4,0)+IF(VLOOKUP($E62,武器奇术!$A:$S,19,FALSE)=1,20,0)-VLOOKUP($F$7,目标属性!$A:$R,6,FALSE))/200,($D$11+IF(VLOOKUP($E62,武器奇术!$A:$R,17,FALSE)="牵丝",$D$15,0)+IF(VLOOKUP($E62,武器奇术!$A:$R,18,FALSE)=1,4,0)+IF(VLOOKUP($E62,武器奇术!$A:$S,19,FALSE)=1,20,0)-VLOOKUP($F$7,目标属性!$A:$R,6,FALSE))/100)</f>
        <v>-0.24</v>
      </c>
      <c r="CC62" s="111">
        <f t="shared" si="19"/>
        <v>0</v>
      </c>
      <c r="CD62" s="109">
        <v>1</v>
      </c>
      <c r="CE62" s="112">
        <f>BY62*IF(VLOOKUP($E62,武器奇术!$A:$R,17,FALSE)="牵丝",VLOOKUP($E62,武器奇术!$A:$R,4,FALSE),VLOOKUP($E62,武器奇术!$A:$R,2,FALSE))*(1+CB62)*(1+CC62)*CD62</f>
        <v>0</v>
      </c>
      <c r="CF62" s="110">
        <f>(1-IF(VLOOKUP($E62,武器奇术!$A:$T,20,FALSE)=1,1,$N62))*(1-$M62)</f>
        <v>0.01072666</v>
      </c>
      <c r="CG62" s="112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110">
        <f t="shared" si="20"/>
        <v>0.8813852</v>
      </c>
      <c r="CI62" s="112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110">
        <f t="shared" si="21"/>
        <v>0.0986</v>
      </c>
      <c r="CK62" s="112">
        <f>BZ62*IF(VLOOKUP($E62,武器奇术!$A:$R,17,FALSE)="牵丝",VLOOKUP($E62,武器奇术!$A:$R,4,FALSE),VLOOKUP($E62,武器奇术!$A:$R,2,FALSE))*(1+CB62)*(1+CC62)*CD62</f>
        <v>0</v>
      </c>
      <c r="CL62" s="110">
        <f t="shared" si="22"/>
        <v>0.00928814000000003</v>
      </c>
      <c r="CM62" s="113">
        <f t="shared" si="23"/>
        <v>0</v>
      </c>
      <c r="CN62" s="108">
        <f>$B$13*IF($G$5="撼天",1.05,1)+IF(AND(VLOOKUP($E62,武器奇术!$A:$R,15,FALSE)="武器",VLOOKUP($E62,武器奇术!$A:$R,17,FALSE)="破竹"),$E$3,0)*(1+$E$15)</f>
        <v>452.55</v>
      </c>
      <c r="CO62" s="99">
        <f>IF(VLOOKUP($E62,武器奇术!$A:$Z,20,FALSE)=1,(CP62-(CN62+CP62)*0.5)*($G$15-0.5)*2+(CN62+CP62)*0.5,(CN62+CP62)*0.5)</f>
        <v>679.35</v>
      </c>
      <c r="CP62" s="109">
        <f>MAX($C$13*IF($G$5="撼天",1.05,1)+IF(AND(VLOOKUP($E62,武器奇术!$A:$R,15,FALSE)="武器",VLOOKUP($E62,武器奇术!$A:$R,17,FALSE)="破竹"),$E$3*(1+$E$15),0),CN62)</f>
        <v>906.15</v>
      </c>
      <c r="CQ62" s="110">
        <f>IF(($D$13+IF(VLOOKUP($E62,武器奇术!$A:$R,17,FALSE)="破竹",$D$15,0)+IF(VLOOKUP($E62,武器奇术!$A:$R,18,FALSE)=1,4,0)+IF(VLOOKUP($E62,武器奇术!$A:$S,19,FALSE)=1,20,0)-VLOOKUP($F$7,目标属性!$A:$R,6,FALSE))&gt;0,($D$13+IF(VLOOKUP($E62,武器奇术!$A:$R,17,FALSE)="破竹",$D$15,0)+IF(VLOOKUP($E62,武器奇术!$A:$R,18,FALSE)=1,4,0)+IF(VLOOKUP($E62,武器奇术!$A:$S,19,FALSE)=1,20,0)-VLOOKUP($F$7,目标属性!$A:$R,6,FALSE))/200,($D$13+IF(VLOOKUP($E62,武器奇术!$A:$R,17,FALSE)="破竹",$D$15,0)+IF(VLOOKUP($E62,武器奇术!$A:$R,18,FALSE)=1,4,0)+IF(VLOOKUP($E62,武器奇术!$A:$S,19,FALSE)=1,20,0)-VLOOKUP($F$7,目标属性!$A:$R,6,FALSE))/100)</f>
        <v>0.025</v>
      </c>
      <c r="CR62" s="111">
        <f>$E$13+IF(VLOOKUP($E62,武器奇术!$A:$U,21,FALSE)=1,0,0.09)</f>
        <v>0.235</v>
      </c>
      <c r="CS62" s="109">
        <v>1</v>
      </c>
      <c r="CT62" s="112">
        <f>CN62*IF(VLOOKUP($E62,武器奇术!$A:$R,17,FALSE)="破竹",VLOOKUP($E62,武器奇术!$A:$R,4,FALSE),VLOOKUP($E62,武器奇术!$A:$R,2,FALSE))*(1+CQ62)*(1+CR62)*CS62</f>
        <v>6106.5835064325</v>
      </c>
      <c r="CU62" s="110">
        <f>(1-IF(VLOOKUP($E62,武器奇术!$A:$T,20,FALSE)=1,1,$N62))*(1-$M62)</f>
        <v>0.01072666</v>
      </c>
      <c r="CV62" s="112">
        <f>CO62*IF(VLOOKUP($E62,武器奇术!$A:$R,17,FALSE)="破竹",VLOOKUP($E62,武器奇术!$A:$R,4,FALSE),VLOOKUP($E62,武器奇术!$A:$R,2,FALSE))*(1+CQ62)*(1+CR62)*CS62*(1+$E$16+VLOOKUP($E62,武器奇术!$A:$R,8,FALSE))</f>
        <v>15033.8135197341</v>
      </c>
      <c r="CW62" s="110">
        <f t="shared" si="24"/>
        <v>0.8813852</v>
      </c>
      <c r="CX62" s="112">
        <f>CP62*IF(VLOOKUP($E62,武器奇术!$A:$R,17,FALSE)="破竹",VLOOKUP($E62,武器奇术!$A:$R,4,FALSE),VLOOKUP($E62,武器奇术!$A:$R,2,FALSE))*(1+CQ62)*(1+CR62)*CS62*(1+$E$17+VLOOKUP($E62,武器奇术!$A:$R,10,FALSE))</f>
        <v>16506.9028170979</v>
      </c>
      <c r="CY62" s="110">
        <f t="shared" si="25"/>
        <v>0.0986</v>
      </c>
      <c r="CZ62" s="112">
        <f>CO62*IF(VLOOKUP($E62,武器奇术!$A:$R,17,FALSE)="破竹",VLOOKUP($E62,武器奇术!$A:$R,4,FALSE),VLOOKUP($E62,武器奇术!$A:$R,2,FALSE))*(1+CQ62)*(1+CR62)*CS62</f>
        <v>9166.9594632525</v>
      </c>
      <c r="DA62" s="110">
        <f t="shared" si="26"/>
        <v>0.00928814000000003</v>
      </c>
      <c r="DB62" s="113">
        <f t="shared" si="27"/>
        <v>15028.8086015235</v>
      </c>
      <c r="DC62" s="108">
        <f t="shared" si="36"/>
        <v>69.3</v>
      </c>
      <c r="DD62" s="99">
        <f>(DC62+DE62)*IF(VLOOKUP($E62,武器奇术!$A:$Z,21,FALSE)=1,$G$15,0.5)</f>
        <v>69.3</v>
      </c>
      <c r="DE62" s="109">
        <f t="shared" si="37"/>
        <v>69.3</v>
      </c>
      <c r="DF62" s="110">
        <f>IF(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100)</f>
        <v>0.025</v>
      </c>
      <c r="DG62" s="111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U,21,FALSE)=1,0,0.09)</f>
        <v>0.235</v>
      </c>
      <c r="DH62" s="109">
        <v>1</v>
      </c>
      <c r="DI62" s="112">
        <f>DC62*IF(VLOOKUP($E62,武器奇术!$A:$R,17,FALSE)="破竹",VLOOKUP($E62,武器奇术!$A:$R,4,FALSE),VLOOKUP($E62,武器奇术!$A:$R,2,FALSE))*(1+DF62)*(1+DG62)*DH62</f>
        <v>935.114875695</v>
      </c>
      <c r="DJ62" s="110">
        <f>(1-IF(VLOOKUP($E62,武器奇术!$A:$T,20,FALSE)=1,1,$N62))*(1-$M62)</f>
        <v>0.01072666</v>
      </c>
      <c r="DK62" s="112">
        <f>DD62*IF(VLOOKUP($E62,武器奇术!$A:$R,17,FALSE)="破竹",VLOOKUP($E62,武器奇术!$A:$R,4,FALSE),VLOOKUP($E62,武器奇术!$A:$R,2,FALSE))*(1+DF62)*(1+DG62)*DH62*(1+$E$16+VLOOKUP($E62,武器奇术!$A:$R,8,FALSE))</f>
        <v>1533.5883961398</v>
      </c>
      <c r="DL62" s="110">
        <f t="shared" si="28"/>
        <v>0.8813852</v>
      </c>
      <c r="DM62" s="112">
        <f>DE62*IF(VLOOKUP($E62,武器奇术!$A:$R,17,FALSE)="破竹",VLOOKUP($E62,武器奇术!$A:$R,4,FALSE),VLOOKUP($E62,武器奇术!$A:$R,2,FALSE))*(1+DF62)*(1+DG62)*DH62*(1+$E$17+VLOOKUP($E62,武器奇术!$A:$R,10,FALSE))</f>
        <v>1262.40508218825</v>
      </c>
      <c r="DN62" s="110">
        <f t="shared" si="29"/>
        <v>0.0986</v>
      </c>
      <c r="DO62" s="112">
        <f>DD62*IF(VLOOKUP($E62,武器奇术!$A:$R,17,FALSE)="破竹",VLOOKUP($E62,武器奇术!$A:$R,4,FALSE),VLOOKUP($E62,武器奇术!$A:$R,2,FALSE))*(1+DF62)*(1+DG62)*DH62</f>
        <v>935.114875695</v>
      </c>
      <c r="DP62" s="110">
        <f t="shared" si="30"/>
        <v>0.00928814000000003</v>
      </c>
      <c r="DQ62" s="113">
        <f t="shared" si="31"/>
        <v>1494.87139356718</v>
      </c>
    </row>
    <row r="63" customFormat="1" spans="1:121">
      <c r="A63" s="75"/>
      <c r="B63"/>
      <c r="C63" s="147"/>
      <c r="D63" s="147"/>
      <c r="E63" s="98" t="s">
        <v>149</v>
      </c>
      <c r="F63" s="99">
        <v>1</v>
      </c>
      <c r="G63" s="115"/>
      <c r="H63" s="100">
        <f>IF(VLOOKUP($E63,武器奇术!$A:$R,18,FALSE)="天工",AE63,(AE63+AT63+BI63+BX63+CM63+DB63+DQ63))*(1+J63)*F63*K63*(1+G63)</f>
        <v>42962.0131611005</v>
      </c>
      <c r="I63" s="101">
        <f t="shared" si="0"/>
        <v>0.00530421532920771</v>
      </c>
      <c r="J63" s="101">
        <f>$F$3+VLOOKUP($E63,武器奇术!$A:$R,12,FALSE)+VLOOKUP($E63,武器奇术!$A:$R,14,FALSE)*$G$3+$P63</f>
        <v>0.573</v>
      </c>
      <c r="K63" s="102">
        <f>VLOOKUP($E63,武器奇术!$A:$R,11,FALSE)</f>
        <v>1</v>
      </c>
      <c r="L63" s="117">
        <f>IF(VLOOKUP($E63,武器奇术!$A:$R,15,FALSE)="天工",0%,IF($C$17+VLOOKUP($E63,武器奇术!$A:$R,7,FALSE)&gt;80%,80%,$C$17+VLOOKUP($E63,武器奇术!$A:$R,7,FALSE))+IF($C$19&gt;20%,20%,$C$19))</f>
        <v>0.892</v>
      </c>
      <c r="M63" s="118">
        <f>IF(VLOOKUP($E63,武器奇术!$A:$R,15,FALSE)="天工",0%,IF($C$18+VLOOKUP($E63,武器奇术!$A:$R,9,FALSE)&gt;40%,40%,$C$18+VLOOKUP($E63,武器奇术!$A:$R,9,FALSE))+IF($C$20&gt;10%,10%,$C$20))</f>
        <v>0.0986</v>
      </c>
      <c r="N63" s="119">
        <f>IF(VLOOKUP($E63,武器奇术!$A:$R,15,FALSE)="天工",100%,MIN($C$16,1))</f>
        <v>0.9881</v>
      </c>
      <c r="O63" s="120" t="str">
        <f>VLOOKUP($E63,武器奇术!$A:$R,16,FALSE)</f>
        <v>拳甲</v>
      </c>
      <c r="P63" s="121">
        <f t="shared" ref="P63:P94" si="38">VLOOKUP($O63,$B$22:$C$27,2,FALSE)+IF(OR($O63="拳甲",$O63="绳标"),$C$24,0)</f>
        <v>0.17</v>
      </c>
      <c r="Q63" s="108">
        <f>$B$5*(1+VLOOKUP($E63,武器奇术!$A:$R,5,FALSE)+IF($G$5="飞隼",0.1,0)+IF($G$5="撼天",0.05,0))-$F$9+IF($I$5="√",160,0)</f>
        <v>1731.135</v>
      </c>
      <c r="R63" s="99">
        <f>IF(VLOOKUP($E63,武器奇术!$A:$Z,20,FALSE)=1,(S63-(Q63+S63)*0.5)*($G$15-0.5)*2+(Q63+S63)*0.5,(Q63+S63)*0.5)</f>
        <v>3256.775</v>
      </c>
      <c r="S63" s="109">
        <f>MAX($C$5,$B$5)*(1+VLOOKUP($E63,武器奇术!$A:$R,5,FALSE)+IF($G$5="飞隼",0.1,0)+IF($G$5="撼天",0.05,0))-$F$9+IF($I$5="√",320,0)</f>
        <v>4782.415</v>
      </c>
      <c r="T63" s="101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U63" s="111">
        <f>$E$5+IF(VLOOKUP($E63,武器奇术!$A:$U,21,FALSE)=1,0,0.09)</f>
        <v>0.115</v>
      </c>
      <c r="V63" s="109">
        <v>1</v>
      </c>
      <c r="W63" s="112">
        <f>Q63*VLOOKUP($E63,武器奇术!$A:$R,2,FALSE)*(1+T63)*(1+U63)*V63</f>
        <v>5854.51393233431</v>
      </c>
      <c r="X63" s="110">
        <f>(1-IF(VLOOKUP($E63,武器奇术!$A:$T,20,FALSE)=1,1,$N63))*(1-$M63)</f>
        <v>0.01072666</v>
      </c>
      <c r="Y63" s="112">
        <f>R63*VLOOKUP($E63,武器奇术!$A:$R,2,FALSE)*(1+T63)*(1+U63)*V63*(1+$E$16+VLOOKUP($E63,武器奇术!$A:$R,8,FALSE))</f>
        <v>18063.0677351241</v>
      </c>
      <c r="Z63" s="110">
        <f t="shared" ref="Z63:Z115" si="39">IF($L63+$M63&lt;=100%,$N63*$L63,$N63*(1-$M63))</f>
        <v>0.8813852</v>
      </c>
      <c r="AA63" s="112">
        <f>S63*VLOOKUP($E63,武器奇术!$A:$R,2,FALSE)*(1+T63)*(1+U63)*V63*(1+$E$17+VLOOKUP($E63,武器奇术!$A:$R,10,FALSE))</f>
        <v>21834.3835601505</v>
      </c>
      <c r="AB63" s="110">
        <f t="shared" ref="AB63:AB115" si="40">$M63</f>
        <v>0.0986</v>
      </c>
      <c r="AC63" s="112">
        <f>R63*VLOOKUP($E63,武器奇术!$A:$R,2,FALSE)*(1+T63)*(1+U63)*V63</f>
        <v>11014.0656921488</v>
      </c>
      <c r="AD63" s="110">
        <f t="shared" si="1"/>
        <v>0.00928814000000003</v>
      </c>
      <c r="AE63" s="113">
        <f t="shared" si="2"/>
        <v>18238.490351902</v>
      </c>
      <c r="AF63" s="114">
        <f>VLOOKUP($E63,武器奇术!$A:$R,3,FALSE)*(1+IF(VLOOKUP($E63,武器奇术!$A:$R,15,FALSE)="武器",$E$15,0))</f>
        <v>877.5</v>
      </c>
      <c r="AG63" s="112">
        <f t="shared" si="3"/>
        <v>877.5</v>
      </c>
      <c r="AH63" s="112">
        <f>VLOOKUP($E63,武器奇术!$A:$R,3,FALSE)*(1+IF(VLOOKUP($E63,武器奇术!$A:$R,15,FALSE)="武器",$E$15,0))</f>
        <v>877.5</v>
      </c>
      <c r="AI63" s="101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AJ63" s="111">
        <f>$E$5+IF(VLOOKUP($E63,武器奇术!$A:$U,21,FALSE)=1,0,0.09)</f>
        <v>0.115</v>
      </c>
      <c r="AK63" s="109">
        <v>1</v>
      </c>
      <c r="AL63" s="112">
        <f t="shared" ref="AL63:AL115" si="41">AF63*(1+AI63)*(1+AJ63)*AK63</f>
        <v>1215.188325</v>
      </c>
      <c r="AM63" s="110">
        <f>(1-IF(VLOOKUP($E63,武器奇术!$A:$T,20,FALSE)=1,1,$N63))*(1-$M63)</f>
        <v>0.01072666</v>
      </c>
      <c r="AN63" s="112">
        <f>AG63*(1+AI63)*(1+AJ63)*AK63*(1+$E$16+VLOOKUP($E63,武器奇术!$A:$R,8,FALSE))</f>
        <v>1992.908853</v>
      </c>
      <c r="AO63" s="110">
        <f t="shared" si="4"/>
        <v>0.8813852</v>
      </c>
      <c r="AP63" s="112">
        <f>AH63*(1+AI63)*(1+AJ63)*AK63*(1+$E$17+VLOOKUP($E63,武器奇术!$A:$R,10,FALSE))</f>
        <v>1640.50423875</v>
      </c>
      <c r="AQ63" s="110">
        <f t="shared" si="5"/>
        <v>0.0986</v>
      </c>
      <c r="AR63" s="112">
        <f t="shared" si="6"/>
        <v>1215.188325</v>
      </c>
      <c r="AS63" s="110">
        <f t="shared" si="7"/>
        <v>0.00928814000000003</v>
      </c>
      <c r="AT63" s="113">
        <f t="shared" si="8"/>
        <v>1942.59583721114</v>
      </c>
      <c r="AU63" s="108">
        <f>$B$7*IF($G$5="撼天",1.05,1)+IF(AND(VLOOKUP($E63,武器奇术!$A:$R,15,FALSE)="武器",VLOOKUP($E63,武器奇术!$A:$R,17,FALSE)="鸣金"),$E$3,0)*(1+$E$15)</f>
        <v>0</v>
      </c>
      <c r="AV63" s="99">
        <f>(AU63+AW63)*IF(VLOOKUP($E63,武器奇术!$A:$Z,21,FALSE)=1,$G$15,0.5)</f>
        <v>0</v>
      </c>
      <c r="AW63" s="109">
        <f>MAX($C$7*IF($G$5="撼天",1.05,1)+IF(AND(VLOOKUP($E63,武器奇术!$A:$R,15,FALSE)="武器",VLOOKUP($E63,武器奇术!$A:$R,17,FALSE)="鸣金"),$E$3*(1+$E$15),0),AU63)</f>
        <v>0</v>
      </c>
      <c r="AX63" s="110">
        <f>IF(($D$7+IF(VLOOKUP($E63,武器奇术!$A:$R,17,FALSE)="鸣金",$D$15,0)+IF(VLOOKUP($E63,武器奇术!$A:$R,18,FALSE)=1,4,0)+IF(VLOOKUP($E63,武器奇术!$A:$S,19,FALSE)=1,20,0)-VLOOKUP($F$7,目标属性!$A:$R,6,FALSE))&gt;0,($D$7+IF(VLOOKUP($E63,武器奇术!$A:$R,17,FALSE)="鸣金",$D$15,0)+IF(VLOOKUP($E63,武器奇术!$A:$R,18,FALSE)=1,4,0)+IF(VLOOKUP($E63,武器奇术!$A:$S,19,FALSE)=1,20,0)-VLOOKUP($F$7,目标属性!$A:$R,6,FALSE))/200,($D$7+IF(VLOOKUP($E63,武器奇术!$A:$R,17,FALSE)="鸣金",$D$15,0)+IF(VLOOKUP($E63,武器奇术!$A:$R,18,FALSE)=1,4,0)+IF(VLOOKUP($E63,武器奇术!$A:$S,19,FALSE)=1,20,0)-VLOOKUP($F$7,目标属性!$A:$R,6,FALSE))/100)</f>
        <v>-0.24</v>
      </c>
      <c r="AY63" s="111">
        <f t="shared" si="9"/>
        <v>0</v>
      </c>
      <c r="AZ63" s="109">
        <v>1</v>
      </c>
      <c r="BA63" s="112">
        <f>AU63*IF(VLOOKUP($E63,武器奇术!$A:$R,17,FALSE)="鸣金",VLOOKUP($E63,武器奇术!$A:$R,4,FALSE),VLOOKUP($E63,武器奇术!$A:$R,2,FALSE))*(1+AX63)*(1+AY63)*AZ63</f>
        <v>0</v>
      </c>
      <c r="BB63" s="110">
        <f>(1-IF(VLOOKUP($E63,武器奇术!$A:$T,20,FALSE)=1,1,$N63))*(1-$M63)</f>
        <v>0.01072666</v>
      </c>
      <c r="BC63" s="112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10">
        <f t="shared" si="10"/>
        <v>0.8813852</v>
      </c>
      <c r="BE63" s="112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10">
        <f t="shared" si="11"/>
        <v>0.0986</v>
      </c>
      <c r="BG63" s="112">
        <f>AV63*IF(VLOOKUP($E63,武器奇术!$A:$R,17,FALSE)="鸣金",VLOOKUP($E63,武器奇术!$A:$R,4,FALSE),VLOOKUP($E63,武器奇术!$A:$R,2,FALSE))*(1+AX63)*(1+AY63)*AZ63</f>
        <v>0</v>
      </c>
      <c r="BH63" s="110">
        <f t="shared" si="12"/>
        <v>0.00928814000000003</v>
      </c>
      <c r="BI63" s="113">
        <f t="shared" si="13"/>
        <v>0</v>
      </c>
      <c r="BJ63" s="108">
        <f>$B$9*IF($G$5="撼天",1.05,1)+IF(AND(VLOOKUP($E63,武器奇术!$A:$R,15,FALSE)="武器",VLOOKUP($E63,武器奇术!$A:$R,17,FALSE)="裂石"),$E$3,0)*(1+$E$15)</f>
        <v>0</v>
      </c>
      <c r="BK63" s="99">
        <f>(BJ63+BL63)*IF(VLOOKUP($E63,武器奇术!$A:$Z,21,FALSE)=1,$G$15,0.5)</f>
        <v>0</v>
      </c>
      <c r="BL63" s="109">
        <f>MAX($C$9*IF($G$5="撼天",1.05,1)+IF(AND(VLOOKUP($E63,武器奇术!$A:$R,15,FALSE)="武器",VLOOKUP($E63,武器奇术!$A:$R,17,FALSE)="裂石"),$E$3*(1+$E$15),0),BJ63)</f>
        <v>0</v>
      </c>
      <c r="BM63" s="110">
        <f>IF(($D$9+IF(VLOOKUP($E63,武器奇术!$A:$R,17,FALSE)="裂石",$D$15,0)+IF(VLOOKUP($E63,武器奇术!$A:$R,18,FALSE)=1,4,0)+IF(VLOOKUP($E63,武器奇术!$A:$S,19,FALSE)=1,20,0)-VLOOKUP($F$7,目标属性!$A:$R,6,FALSE))&gt;0,($D$9+IF(VLOOKUP($E63,武器奇术!$A:$R,17,FALSE)="裂石",$D$15,0)+IF(VLOOKUP($E63,武器奇术!$A:$R,18,FALSE)=1,4,0)+IF(VLOOKUP($E63,武器奇术!$A:$S,19,FALSE)=1,20,0)-VLOOKUP($F$7,目标属性!$A:$R,6,FALSE))/200,($D$9+IF(VLOOKUP($E63,武器奇术!$A:$R,17,FALSE)="裂石",$D$15,0)+IF(VLOOKUP($E63,武器奇术!$A:$R,18,FALSE)=1,4,0)+IF(VLOOKUP($E63,武器奇术!$A:$S,19,FALSE)=1,20,0)-VLOOKUP($F$7,目标属性!$A:$R,6,FALSE))/100)</f>
        <v>-0.24</v>
      </c>
      <c r="BN63" s="111">
        <f t="shared" si="14"/>
        <v>0</v>
      </c>
      <c r="BO63" s="109">
        <v>1</v>
      </c>
      <c r="BP63" s="112">
        <f>BJ63*IF(VLOOKUP($E63,武器奇术!$A:$R,17,FALSE)="裂石",VLOOKUP($E63,武器奇术!$A:$R,4,FALSE),VLOOKUP($E63,武器奇术!$A:$R,2,FALSE))*(1+BM63)*(1+BN63)*BO63</f>
        <v>0</v>
      </c>
      <c r="BQ63" s="110">
        <f>(1-IF(VLOOKUP($E63,武器奇术!$A:$T,20,FALSE)=1,1,$N63))*(1-$M63)</f>
        <v>0.01072666</v>
      </c>
      <c r="BR63" s="112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10">
        <f t="shared" si="15"/>
        <v>0.8813852</v>
      </c>
      <c r="BT63" s="112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10">
        <f t="shared" si="16"/>
        <v>0.0986</v>
      </c>
      <c r="BV63" s="112">
        <f>BK63*IF(VLOOKUP($E63,武器奇术!$A:$R,17,FALSE)="裂石",VLOOKUP($E63,武器奇术!$A:$R,4,FALSE),VLOOKUP($E63,武器奇术!$A:$R,2,FALSE))*(1+BM63)*(1+BN63)*BO63</f>
        <v>0</v>
      </c>
      <c r="BW63" s="110">
        <f t="shared" si="17"/>
        <v>0.00928814000000003</v>
      </c>
      <c r="BX63" s="113">
        <f t="shared" si="18"/>
        <v>0</v>
      </c>
      <c r="BY63" s="108">
        <f>$B$11*IF($G$5="撼天",1.05,1)+IF(AND(VLOOKUP($E63,武器奇术!$A:$R,15,FALSE)="武器",VLOOKUP($E63,武器奇术!$A:$R,17,FALSE)="牵丝"),$E$3,0)*(1+$E$15)</f>
        <v>0</v>
      </c>
      <c r="BZ63" s="99">
        <f>(BY63+CA63)*IF(VLOOKUP($E63,武器奇术!$A:$Z,21,FALSE)=1,$G$15,0.5)</f>
        <v>0</v>
      </c>
      <c r="CA63" s="109">
        <f>MAX($C$11*IF($G$5="撼天",1.05,1)+IF(AND(VLOOKUP($E63,武器奇术!$A:$R,15,FALSE)="武器",VLOOKUP($E63,武器奇术!$A:$R,17,FALSE)="牵丝"),$E$3*(1+$E$15),0),BY63)</f>
        <v>0</v>
      </c>
      <c r="CB63" s="110">
        <f>IF(($D$11+IF(VLOOKUP($E63,武器奇术!$A:$R,17,FALSE)="牵丝",$D$15,0)+IF(VLOOKUP($E63,武器奇术!$A:$R,18,FALSE)=1,4,0)+IF(VLOOKUP($E63,武器奇术!$A:$S,19,FALSE)=1,20,0)-VLOOKUP($F$7,目标属性!$A:$R,6,FALSE))&gt;0,($D$11+IF(VLOOKUP($E63,武器奇术!$A:$R,17,FALSE)="牵丝",$D$15,0)+IF(VLOOKUP($E63,武器奇术!$A:$R,18,FALSE)=1,4,0)+IF(VLOOKUP($E63,武器奇术!$A:$S,19,FALSE)=1,20,0)-VLOOKUP($F$7,目标属性!$A:$R,6,FALSE))/200,($D$11+IF(VLOOKUP($E63,武器奇术!$A:$R,17,FALSE)="牵丝",$D$15,0)+IF(VLOOKUP($E63,武器奇术!$A:$R,18,FALSE)=1,4,0)+IF(VLOOKUP($E63,武器奇术!$A:$S,19,FALSE)=1,20,0)-VLOOKUP($F$7,目标属性!$A:$R,6,FALSE))/100)</f>
        <v>-0.24</v>
      </c>
      <c r="CC63" s="111">
        <f t="shared" si="19"/>
        <v>0</v>
      </c>
      <c r="CD63" s="109">
        <v>1</v>
      </c>
      <c r="CE63" s="112">
        <f>BY63*IF(VLOOKUP($E63,武器奇术!$A:$R,17,FALSE)="牵丝",VLOOKUP($E63,武器奇术!$A:$R,4,FALSE),VLOOKUP($E63,武器奇术!$A:$R,2,FALSE))*(1+CB63)*(1+CC63)*CD63</f>
        <v>0</v>
      </c>
      <c r="CF63" s="110">
        <f>(1-IF(VLOOKUP($E63,武器奇术!$A:$T,20,FALSE)=1,1,$N63))*(1-$M63)</f>
        <v>0.01072666</v>
      </c>
      <c r="CG63" s="112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110">
        <f t="shared" si="20"/>
        <v>0.8813852</v>
      </c>
      <c r="CI63" s="112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110">
        <f t="shared" si="21"/>
        <v>0.0986</v>
      </c>
      <c r="CK63" s="112">
        <f>BZ63*IF(VLOOKUP($E63,武器奇术!$A:$R,17,FALSE)="牵丝",VLOOKUP($E63,武器奇术!$A:$R,4,FALSE),VLOOKUP($E63,武器奇术!$A:$R,2,FALSE))*(1+CB63)*(1+CC63)*CD63</f>
        <v>0</v>
      </c>
      <c r="CL63" s="110">
        <f t="shared" si="22"/>
        <v>0.00928814000000003</v>
      </c>
      <c r="CM63" s="113">
        <f t="shared" si="23"/>
        <v>0</v>
      </c>
      <c r="CN63" s="108">
        <f>$B$13*IF($G$5="撼天",1.05,1)+IF(AND(VLOOKUP($E63,武器奇术!$A:$R,15,FALSE)="武器",VLOOKUP($E63,武器奇术!$A:$R,17,FALSE)="破竹"),$E$3,0)*(1+$E$15)</f>
        <v>648.46</v>
      </c>
      <c r="CO63" s="99">
        <f>IF(VLOOKUP($E63,武器奇术!$A:$Z,20,FALSE)=1,(CP63-(CN63+CP63)*0.5)*($G$15-0.5)*2+(CN63+CP63)*0.5,(CN63+CP63)*0.5)</f>
        <v>875.26</v>
      </c>
      <c r="CP63" s="109">
        <f>MAX($C$13*IF($G$5="撼天",1.05,1)+IF(AND(VLOOKUP($E63,武器奇术!$A:$R,15,FALSE)="武器",VLOOKUP($E63,武器奇术!$A:$R,17,FALSE)="破竹"),$E$3*(1+$E$15),0),CN63)</f>
        <v>1102.06</v>
      </c>
      <c r="CQ63" s="110">
        <f>IF(($D$13+IF(VLOOKUP($E63,武器奇术!$A:$R,17,FALSE)="破竹",$D$15,0)+IF(VLOOKUP($E63,武器奇术!$A:$R,18,FALSE)=1,4,0)+IF(VLOOKUP($E63,武器奇术!$A:$S,19,FALSE)=1,20,0)-VLOOKUP($F$7,目标属性!$A:$R,6,FALSE))&gt;0,($D$13+IF(VLOOKUP($E63,武器奇术!$A:$R,17,FALSE)="破竹",$D$15,0)+IF(VLOOKUP($E63,武器奇术!$A:$R,18,FALSE)=1,4,0)+IF(VLOOKUP($E63,武器奇术!$A:$S,19,FALSE)=1,20,0)-VLOOKUP($F$7,目标属性!$A:$R,6,FALSE))/200,($D$13+IF(VLOOKUP($E63,武器奇术!$A:$R,17,FALSE)="破竹",$D$15,0)+IF(VLOOKUP($E63,武器奇术!$A:$R,18,FALSE)=1,4,0)+IF(VLOOKUP($E63,武器奇术!$A:$S,19,FALSE)=1,20,0)-VLOOKUP($F$7,目标属性!$A:$R,6,FALSE))/100)</f>
        <v>0.025</v>
      </c>
      <c r="CR63" s="111">
        <f>$E$13+IF(VLOOKUP($E63,武器奇术!$A:$U,21,FALSE)=1,0,0.09)</f>
        <v>0.235</v>
      </c>
      <c r="CS63" s="109">
        <v>1</v>
      </c>
      <c r="CT63" s="112">
        <f>CN63*IF(VLOOKUP($E63,武器奇术!$A:$R,17,FALSE)="破竹",VLOOKUP($E63,武器奇术!$A:$R,4,FALSE),VLOOKUP($E63,武器奇术!$A:$R,2,FALSE))*(1+CQ63)*(1+CR63)*CS63</f>
        <v>3007.1726027785</v>
      </c>
      <c r="CU63" s="110">
        <f>(1-IF(VLOOKUP($E63,武器奇术!$A:$T,20,FALSE)=1,1,$N63))*(1-$M63)</f>
        <v>0.01072666</v>
      </c>
      <c r="CV63" s="112">
        <f>CO63*IF(VLOOKUP($E63,武器奇术!$A:$R,17,FALSE)="破竹",VLOOKUP($E63,武器奇术!$A:$R,4,FALSE),VLOOKUP($E63,武器奇术!$A:$R,2,FALSE))*(1+CQ63)*(1+CR63)*CS63*(1+$E$16+VLOOKUP($E63,武器奇术!$A:$R,8,FALSE))</f>
        <v>6656.65568174594</v>
      </c>
      <c r="CW63" s="110">
        <f t="shared" si="24"/>
        <v>0.8813852</v>
      </c>
      <c r="CX63" s="112">
        <f>CP63*IF(VLOOKUP($E63,武器奇术!$A:$R,17,FALSE)="破竹",VLOOKUP($E63,武器奇术!$A:$R,4,FALSE),VLOOKUP($E63,武器奇术!$A:$R,2,FALSE))*(1+CQ63)*(1+CR63)*CS63*(1+$E$17+VLOOKUP($E63,武器奇术!$A:$R,10,FALSE))</f>
        <v>6899.44524278198</v>
      </c>
      <c r="CY63" s="110">
        <f t="shared" si="25"/>
        <v>0.0986</v>
      </c>
      <c r="CZ63" s="112">
        <f>CO63*IF(VLOOKUP($E63,武器奇术!$A:$R,17,FALSE)="破竹",VLOOKUP($E63,武器奇术!$A:$R,4,FALSE),VLOOKUP($E63,武器奇术!$A:$R,2,FALSE))*(1+CQ63)*(1+CR63)*CS63</f>
        <v>4058.9363913085</v>
      </c>
      <c r="DA63" s="110">
        <f t="shared" si="26"/>
        <v>0.00928814000000003</v>
      </c>
      <c r="DB63" s="113">
        <f t="shared" si="27"/>
        <v>6617.31998784997</v>
      </c>
      <c r="DC63" s="108">
        <f t="shared" si="36"/>
        <v>69.3</v>
      </c>
      <c r="DD63" s="99">
        <f>(DC63+DE63)*IF(VLOOKUP($E63,武器奇术!$A:$Z,21,FALSE)=1,$G$15,0.5)</f>
        <v>69.3</v>
      </c>
      <c r="DE63" s="109">
        <f t="shared" si="37"/>
        <v>69.3</v>
      </c>
      <c r="DF63" s="110">
        <f>IF(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100)</f>
        <v>0.025</v>
      </c>
      <c r="DG63" s="111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U,21,FALSE)=1,0,0.09)</f>
        <v>0.235</v>
      </c>
      <c r="DH63" s="109">
        <v>1</v>
      </c>
      <c r="DI63" s="112">
        <f>DC63*IF(VLOOKUP($E63,武器奇术!$A:$R,17,FALSE)="破竹",VLOOKUP($E63,武器奇术!$A:$R,4,FALSE),VLOOKUP($E63,武器奇术!$A:$R,2,FALSE))*(1+DF63)*(1+DG63)*DH63</f>
        <v>321.3722687175</v>
      </c>
      <c r="DJ63" s="110">
        <f>(1-IF(VLOOKUP($E63,武器奇术!$A:$T,20,FALSE)=1,1,$N63))*(1-$M63)</f>
        <v>0.01072666</v>
      </c>
      <c r="DK63" s="112">
        <f>DD63*IF(VLOOKUP($E63,武器奇术!$A:$R,17,FALSE)="破竹",VLOOKUP($E63,武器奇术!$A:$R,4,FALSE),VLOOKUP($E63,武器奇术!$A:$R,2,FALSE))*(1+DF63)*(1+DG63)*DH63*(1+$E$16+VLOOKUP($E63,武器奇术!$A:$R,8,FALSE))</f>
        <v>527.0505206967</v>
      </c>
      <c r="DL63" s="110">
        <f t="shared" si="28"/>
        <v>0.8813852</v>
      </c>
      <c r="DM63" s="112">
        <f>DE63*IF(VLOOKUP($E63,武器奇术!$A:$R,17,FALSE)="破竹",VLOOKUP($E63,武器奇术!$A:$R,4,FALSE),VLOOKUP($E63,武器奇术!$A:$R,2,FALSE))*(1+DF63)*(1+DG63)*DH63*(1+$E$17+VLOOKUP($E63,武器奇术!$A:$R,10,FALSE))</f>
        <v>433.852562768625</v>
      </c>
      <c r="DN63" s="110">
        <f t="shared" si="29"/>
        <v>0.0986</v>
      </c>
      <c r="DO63" s="112">
        <f>DD63*IF(VLOOKUP($E63,武器奇术!$A:$R,17,FALSE)="破竹",VLOOKUP($E63,武器奇术!$A:$R,4,FALSE),VLOOKUP($E63,武器奇术!$A:$R,2,FALSE))*(1+DF63)*(1+DG63)*DH63</f>
        <v>321.3722687175</v>
      </c>
      <c r="DP63" s="110">
        <f t="shared" si="30"/>
        <v>0.00928814000000003</v>
      </c>
      <c r="DQ63" s="113">
        <f t="shared" si="31"/>
        <v>513.744592967279</v>
      </c>
    </row>
    <row r="64" customFormat="1" spans="1:121">
      <c r="A64" s="36" t="s">
        <v>156</v>
      </c>
      <c r="B64" t="s">
        <v>157</v>
      </c>
      <c r="C64" s="147">
        <v>0.8</v>
      </c>
      <c r="D64"/>
      <c r="E64" s="98" t="s">
        <v>150</v>
      </c>
      <c r="F64" s="99">
        <v>1</v>
      </c>
      <c r="G64" s="115"/>
      <c r="H64" s="100">
        <f>IF(VLOOKUP($E64,武器奇术!$A:$R,18,FALSE)="天工",AE64,(AE64+AT64+BI64+BX64+CM64+DB64+DQ64))*(1+J64)*F64*K64*(1+G64)</f>
        <v>22660.5919110736</v>
      </c>
      <c r="I64" s="101">
        <f t="shared" si="0"/>
        <v>0.0027977427066306</v>
      </c>
      <c r="J64" s="101">
        <f>$F$3+VLOOKUP($E64,武器奇术!$A:$R,12,FALSE)+VLOOKUP($E64,武器奇术!$A:$R,14,FALSE)*$G$3+$P64</f>
        <v>0.573</v>
      </c>
      <c r="K64" s="102">
        <f>VLOOKUP($E64,武器奇术!$A:$R,11,FALSE)</f>
        <v>1</v>
      </c>
      <c r="L64" s="117">
        <f>IF(VLOOKUP($E64,武器奇术!$A:$R,15,FALSE)="天工",0%,IF($C$17+VLOOKUP($E64,武器奇术!$A:$R,7,FALSE)&gt;80%,80%,$C$17+VLOOKUP($E64,武器奇术!$A:$R,7,FALSE))+IF($C$19&gt;20%,20%,$C$19))</f>
        <v>0.892</v>
      </c>
      <c r="M64" s="118">
        <f>IF(VLOOKUP($E64,武器奇术!$A:$R,15,FALSE)="天工",0%,IF($C$18+VLOOKUP($E64,武器奇术!$A:$R,9,FALSE)&gt;40%,40%,$C$18+VLOOKUP($E64,武器奇术!$A:$R,9,FALSE))+IF($C$20&gt;10%,10%,$C$20))</f>
        <v>0.0986</v>
      </c>
      <c r="N64" s="119">
        <f>IF(VLOOKUP($E64,武器奇术!$A:$R,15,FALSE)="天工",100%,MIN($C$16,1))</f>
        <v>0.9881</v>
      </c>
      <c r="O64" s="120" t="str">
        <f>VLOOKUP($E64,武器奇术!$A:$R,16,FALSE)</f>
        <v>拳甲</v>
      </c>
      <c r="P64" s="121">
        <f t="shared" si="38"/>
        <v>0.17</v>
      </c>
      <c r="Q64" s="108">
        <f>$B$5*(1+VLOOKUP($E64,武器奇术!$A:$R,5,FALSE)+IF($G$5="飞隼",0.1,0)+IF($G$5="撼天",0.05,0))-$F$9+IF($I$5="√",160,0)</f>
        <v>1731.135</v>
      </c>
      <c r="R64" s="99">
        <f>IF(VLOOKUP($E64,武器奇术!$A:$Z,20,FALSE)=1,(S64-(Q64+S64)*0.5)*($G$15-0.5)*2+(Q64+S64)*0.5,(Q64+S64)*0.5)</f>
        <v>3256.775</v>
      </c>
      <c r="S64" s="109">
        <f>MAX($C$5,$B$5)*(1+VLOOKUP($E64,武器奇术!$A:$R,5,FALSE)+IF($G$5="飞隼",0.1,0)+IF($G$5="撼天",0.05,0))-$F$9+IF($I$5="√",320,0)</f>
        <v>4782.415</v>
      </c>
      <c r="T64" s="101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U64" s="111">
        <f>$E$5+IF(VLOOKUP($E64,武器奇术!$A:$U,21,FALSE)=1,0,0.09)</f>
        <v>0.115</v>
      </c>
      <c r="V64" s="109">
        <v>1</v>
      </c>
      <c r="W64" s="112">
        <f>Q64*VLOOKUP($E64,武器奇术!$A:$R,2,FALSE)*(1+T64)*(1+U64)*V64</f>
        <v>3086.79912340758</v>
      </c>
      <c r="X64" s="110">
        <f>(1-IF(VLOOKUP($E64,武器奇术!$A:$T,20,FALSE)=1,1,$N64))*(1-$M64)</f>
        <v>0.01072666</v>
      </c>
      <c r="Y64" s="112">
        <f>R64*VLOOKUP($E64,武器奇术!$A:$R,2,FALSE)*(1+T64)*(1+U64)*V64*(1+$E$16+VLOOKUP($E64,武器奇术!$A:$R,8,FALSE))</f>
        <v>9523.77298871699</v>
      </c>
      <c r="Z64" s="110">
        <f t="shared" si="39"/>
        <v>0.8813852</v>
      </c>
      <c r="AA64" s="112">
        <f>S64*VLOOKUP($E64,武器奇术!$A:$R,2,FALSE)*(1+T64)*(1+U64)*V64*(1+$E$17+VLOOKUP($E64,武器奇术!$A:$R,10,FALSE))</f>
        <v>11512.2035428729</v>
      </c>
      <c r="AB64" s="110">
        <f t="shared" si="40"/>
        <v>0.0986</v>
      </c>
      <c r="AC64" s="112">
        <f>R64*VLOOKUP($E64,武器奇术!$A:$R,2,FALSE)*(1+T64)*(1+U64)*V64</f>
        <v>5807.1786516567</v>
      </c>
      <c r="AD64" s="110">
        <f t="shared" si="1"/>
        <v>0.00928814000000003</v>
      </c>
      <c r="AE64" s="113">
        <f t="shared" si="2"/>
        <v>9616.26476274887</v>
      </c>
      <c r="AF64" s="114">
        <f>VLOOKUP($E64,武器奇术!$A:$R,3,FALSE)*(1+IF(VLOOKUP($E64,武器奇术!$A:$R,15,FALSE)="武器",$E$15,0))</f>
        <v>465.4</v>
      </c>
      <c r="AG64" s="112">
        <f t="shared" si="3"/>
        <v>465.4</v>
      </c>
      <c r="AH64" s="112">
        <f>VLOOKUP($E64,武器奇术!$A:$R,3,FALSE)*(1+IF(VLOOKUP($E64,武器奇术!$A:$R,15,FALSE)="武器",$E$15,0))</f>
        <v>465.4</v>
      </c>
      <c r="AI64" s="101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AJ64" s="111">
        <f>$E$5+IF(VLOOKUP($E64,武器奇术!$A:$U,21,FALSE)=1,0,0.09)</f>
        <v>0.115</v>
      </c>
      <c r="AK64" s="109">
        <v>1</v>
      </c>
      <c r="AL64" s="112">
        <f t="shared" si="41"/>
        <v>644.499882</v>
      </c>
      <c r="AM64" s="110">
        <f>(1-IF(VLOOKUP($E64,武器奇术!$A:$T,20,FALSE)=1,1,$N64))*(1-$M64)</f>
        <v>0.01072666</v>
      </c>
      <c r="AN64" s="112">
        <f>AG64*(1+AI64)*(1+AJ64)*AK64*(1+$E$16+VLOOKUP($E64,武器奇术!$A:$R,8,FALSE))</f>
        <v>1056.97980648</v>
      </c>
      <c r="AO64" s="110">
        <f t="shared" si="4"/>
        <v>0.8813852</v>
      </c>
      <c r="AP64" s="112">
        <f>AH64*(1+AI64)*(1+AJ64)*AK64*(1+$E$17+VLOOKUP($E64,武器奇术!$A:$R,10,FALSE))</f>
        <v>870.0748407</v>
      </c>
      <c r="AQ64" s="110">
        <f t="shared" si="5"/>
        <v>0.0986</v>
      </c>
      <c r="AR64" s="112">
        <f t="shared" si="6"/>
        <v>644.499882</v>
      </c>
      <c r="AS64" s="110">
        <f t="shared" si="7"/>
        <v>0.00928814000000003</v>
      </c>
      <c r="AT64" s="113">
        <f t="shared" si="8"/>
        <v>1030.29527366161</v>
      </c>
      <c r="AU64" s="108">
        <f>$B$7*IF($G$5="撼天",1.05,1)+IF(AND(VLOOKUP($E64,武器奇术!$A:$R,15,FALSE)="武器",VLOOKUP($E64,武器奇术!$A:$R,17,FALSE)="鸣金"),$E$3,0)*(1+$E$15)</f>
        <v>0</v>
      </c>
      <c r="AV64" s="99">
        <f>(AU64+AW64)*IF(VLOOKUP($E64,武器奇术!$A:$Z,21,FALSE)=1,$G$15,0.5)</f>
        <v>0</v>
      </c>
      <c r="AW64" s="109">
        <f>MAX($C$7*IF($G$5="撼天",1.05,1)+IF(AND(VLOOKUP($E64,武器奇术!$A:$R,15,FALSE)="武器",VLOOKUP($E64,武器奇术!$A:$R,17,FALSE)="鸣金"),$E$3*(1+$E$15),0),AU64)</f>
        <v>0</v>
      </c>
      <c r="AX64" s="110">
        <f>IF(($D$7+IF(VLOOKUP($E64,武器奇术!$A:$R,17,FALSE)="鸣金",$D$15,0)+IF(VLOOKUP($E64,武器奇术!$A:$R,18,FALSE)=1,4,0)+IF(VLOOKUP($E64,武器奇术!$A:$S,19,FALSE)=1,20,0)-VLOOKUP($F$7,目标属性!$A:$R,6,FALSE))&gt;0,($D$7+IF(VLOOKUP($E64,武器奇术!$A:$R,17,FALSE)="鸣金",$D$15,0)+IF(VLOOKUP($E64,武器奇术!$A:$R,18,FALSE)=1,4,0)+IF(VLOOKUP($E64,武器奇术!$A:$S,19,FALSE)=1,20,0)-VLOOKUP($F$7,目标属性!$A:$R,6,FALSE))/200,($D$7+IF(VLOOKUP($E64,武器奇术!$A:$R,17,FALSE)="鸣金",$D$15,0)+IF(VLOOKUP($E64,武器奇术!$A:$R,18,FALSE)=1,4,0)+IF(VLOOKUP($E64,武器奇术!$A:$S,19,FALSE)=1,20,0)-VLOOKUP($F$7,目标属性!$A:$R,6,FALSE))/100)</f>
        <v>-0.24</v>
      </c>
      <c r="AY64" s="111">
        <f t="shared" si="9"/>
        <v>0</v>
      </c>
      <c r="AZ64" s="109">
        <v>1</v>
      </c>
      <c r="BA64" s="112">
        <f>AU64*IF(VLOOKUP($E64,武器奇术!$A:$R,17,FALSE)="鸣金",VLOOKUP($E64,武器奇术!$A:$R,4,FALSE),VLOOKUP($E64,武器奇术!$A:$R,2,FALSE))*(1+AX64)*(1+AY64)*AZ64</f>
        <v>0</v>
      </c>
      <c r="BB64" s="110">
        <f>(1-IF(VLOOKUP($E64,武器奇术!$A:$T,20,FALSE)=1,1,$N64))*(1-$M64)</f>
        <v>0.01072666</v>
      </c>
      <c r="BC64" s="112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10">
        <f t="shared" si="10"/>
        <v>0.8813852</v>
      </c>
      <c r="BE64" s="112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10">
        <f t="shared" si="11"/>
        <v>0.0986</v>
      </c>
      <c r="BG64" s="112">
        <f>AV64*IF(VLOOKUP($E64,武器奇术!$A:$R,17,FALSE)="鸣金",VLOOKUP($E64,武器奇术!$A:$R,4,FALSE),VLOOKUP($E64,武器奇术!$A:$R,2,FALSE))*(1+AX64)*(1+AY64)*AZ64</f>
        <v>0</v>
      </c>
      <c r="BH64" s="110">
        <f t="shared" si="12"/>
        <v>0.00928814000000003</v>
      </c>
      <c r="BI64" s="113">
        <f t="shared" si="13"/>
        <v>0</v>
      </c>
      <c r="BJ64" s="108">
        <f>$B$9*IF($G$5="撼天",1.05,1)+IF(AND(VLOOKUP($E64,武器奇术!$A:$R,15,FALSE)="武器",VLOOKUP($E64,武器奇术!$A:$R,17,FALSE)="裂石"),$E$3,0)*(1+$E$15)</f>
        <v>0</v>
      </c>
      <c r="BK64" s="99">
        <f>(BJ64+BL64)*IF(VLOOKUP($E64,武器奇术!$A:$Z,21,FALSE)=1,$G$15,0.5)</f>
        <v>0</v>
      </c>
      <c r="BL64" s="109">
        <f>MAX($C$9*IF($G$5="撼天",1.05,1)+IF(AND(VLOOKUP($E64,武器奇术!$A:$R,15,FALSE)="武器",VLOOKUP($E64,武器奇术!$A:$R,17,FALSE)="裂石"),$E$3*(1+$E$15),0),BJ64)</f>
        <v>0</v>
      </c>
      <c r="BM64" s="110">
        <f>IF(($D$9+IF(VLOOKUP($E64,武器奇术!$A:$R,17,FALSE)="裂石",$D$15,0)+IF(VLOOKUP($E64,武器奇术!$A:$R,18,FALSE)=1,4,0)+IF(VLOOKUP($E64,武器奇术!$A:$S,19,FALSE)=1,20,0)-VLOOKUP($F$7,目标属性!$A:$R,6,FALSE))&gt;0,($D$9+IF(VLOOKUP($E64,武器奇术!$A:$R,17,FALSE)="裂石",$D$15,0)+IF(VLOOKUP($E64,武器奇术!$A:$R,18,FALSE)=1,4,0)+IF(VLOOKUP($E64,武器奇术!$A:$S,19,FALSE)=1,20,0)-VLOOKUP($F$7,目标属性!$A:$R,6,FALSE))/200,($D$9+IF(VLOOKUP($E64,武器奇术!$A:$R,17,FALSE)="裂石",$D$15,0)+IF(VLOOKUP($E64,武器奇术!$A:$R,18,FALSE)=1,4,0)+IF(VLOOKUP($E64,武器奇术!$A:$S,19,FALSE)=1,20,0)-VLOOKUP($F$7,目标属性!$A:$R,6,FALSE))/100)</f>
        <v>-0.24</v>
      </c>
      <c r="BN64" s="111">
        <f t="shared" si="14"/>
        <v>0</v>
      </c>
      <c r="BO64" s="109">
        <v>1</v>
      </c>
      <c r="BP64" s="112">
        <f>BJ64*IF(VLOOKUP($E64,武器奇术!$A:$R,17,FALSE)="裂石",VLOOKUP($E64,武器奇术!$A:$R,4,FALSE),VLOOKUP($E64,武器奇术!$A:$R,2,FALSE))*(1+BM64)*(1+BN64)*BO64</f>
        <v>0</v>
      </c>
      <c r="BQ64" s="110">
        <f>(1-IF(VLOOKUP($E64,武器奇术!$A:$T,20,FALSE)=1,1,$N64))*(1-$M64)</f>
        <v>0.01072666</v>
      </c>
      <c r="BR64" s="112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10">
        <f t="shared" si="15"/>
        <v>0.8813852</v>
      </c>
      <c r="BT64" s="112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10">
        <f t="shared" si="16"/>
        <v>0.0986</v>
      </c>
      <c r="BV64" s="112">
        <f>BK64*IF(VLOOKUP($E64,武器奇术!$A:$R,17,FALSE)="裂石",VLOOKUP($E64,武器奇术!$A:$R,4,FALSE),VLOOKUP($E64,武器奇术!$A:$R,2,FALSE))*(1+BM64)*(1+BN64)*BO64</f>
        <v>0</v>
      </c>
      <c r="BW64" s="110">
        <f t="shared" si="17"/>
        <v>0.00928814000000003</v>
      </c>
      <c r="BX64" s="113">
        <f t="shared" si="18"/>
        <v>0</v>
      </c>
      <c r="BY64" s="108">
        <f>$B$11*IF($G$5="撼天",1.05,1)+IF(AND(VLOOKUP($E64,武器奇术!$A:$R,15,FALSE)="武器",VLOOKUP($E64,武器奇术!$A:$R,17,FALSE)="牵丝"),$E$3,0)*(1+$E$15)</f>
        <v>0</v>
      </c>
      <c r="BZ64" s="99">
        <f>(BY64+CA64)*IF(VLOOKUP($E64,武器奇术!$A:$Z,21,FALSE)=1,$G$15,0.5)</f>
        <v>0</v>
      </c>
      <c r="CA64" s="109">
        <f>MAX($C$11*IF($G$5="撼天",1.05,1)+IF(AND(VLOOKUP($E64,武器奇术!$A:$R,15,FALSE)="武器",VLOOKUP($E64,武器奇术!$A:$R,17,FALSE)="牵丝"),$E$3*(1+$E$15),0),BY64)</f>
        <v>0</v>
      </c>
      <c r="CB64" s="110">
        <f>IF(($D$11+IF(VLOOKUP($E64,武器奇术!$A:$R,17,FALSE)="牵丝",$D$15,0)+IF(VLOOKUP($E64,武器奇术!$A:$R,18,FALSE)=1,4,0)+IF(VLOOKUP($E64,武器奇术!$A:$S,19,FALSE)=1,20,0)-VLOOKUP($F$7,目标属性!$A:$R,6,FALSE))&gt;0,($D$11+IF(VLOOKUP($E64,武器奇术!$A:$R,17,FALSE)="牵丝",$D$15,0)+IF(VLOOKUP($E64,武器奇术!$A:$R,18,FALSE)=1,4,0)+IF(VLOOKUP($E64,武器奇术!$A:$S,19,FALSE)=1,20,0)-VLOOKUP($F$7,目标属性!$A:$R,6,FALSE))/200,($D$11+IF(VLOOKUP($E64,武器奇术!$A:$R,17,FALSE)="牵丝",$D$15,0)+IF(VLOOKUP($E64,武器奇术!$A:$R,18,FALSE)=1,4,0)+IF(VLOOKUP($E64,武器奇术!$A:$S,19,FALSE)=1,20,0)-VLOOKUP($F$7,目标属性!$A:$R,6,FALSE))/100)</f>
        <v>-0.24</v>
      </c>
      <c r="CC64" s="111">
        <f t="shared" si="19"/>
        <v>0</v>
      </c>
      <c r="CD64" s="109">
        <v>1</v>
      </c>
      <c r="CE64" s="112">
        <f>BY64*IF(VLOOKUP($E64,武器奇术!$A:$R,17,FALSE)="牵丝",VLOOKUP($E64,武器奇术!$A:$R,4,FALSE),VLOOKUP($E64,武器奇术!$A:$R,2,FALSE))*(1+CB64)*(1+CC64)*CD64</f>
        <v>0</v>
      </c>
      <c r="CF64" s="110">
        <f>(1-IF(VLOOKUP($E64,武器奇术!$A:$T,20,FALSE)=1,1,$N64))*(1-$M64)</f>
        <v>0.01072666</v>
      </c>
      <c r="CG64" s="112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110">
        <f t="shared" si="20"/>
        <v>0.8813852</v>
      </c>
      <c r="CI64" s="112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110">
        <f t="shared" si="21"/>
        <v>0.0986</v>
      </c>
      <c r="CK64" s="112">
        <f>BZ64*IF(VLOOKUP($E64,武器奇术!$A:$R,17,FALSE)="牵丝",VLOOKUP($E64,武器奇术!$A:$R,4,FALSE),VLOOKUP($E64,武器奇术!$A:$R,2,FALSE))*(1+CB64)*(1+CC64)*CD64</f>
        <v>0</v>
      </c>
      <c r="CL64" s="110">
        <f t="shared" si="22"/>
        <v>0.00928814000000003</v>
      </c>
      <c r="CM64" s="113">
        <f t="shared" si="23"/>
        <v>0</v>
      </c>
      <c r="CN64" s="108">
        <f>$B$13*IF($G$5="撼天",1.05,1)+IF(AND(VLOOKUP($E64,武器奇术!$A:$R,15,FALSE)="武器",VLOOKUP($E64,武器奇术!$A:$R,17,FALSE)="破竹"),$E$3,0)*(1+$E$15)</f>
        <v>648.46</v>
      </c>
      <c r="CO64" s="99">
        <f>IF(VLOOKUP($E64,武器奇术!$A:$Z,20,FALSE)=1,(CP64-(CN64+CP64)*0.5)*($G$15-0.5)*2+(CN64+CP64)*0.5,(CN64+CP64)*0.5)</f>
        <v>875.26</v>
      </c>
      <c r="CP64" s="109">
        <f>MAX($C$13*IF($G$5="撼天",1.05,1)+IF(AND(VLOOKUP($E64,武器奇术!$A:$R,15,FALSE)="武器",VLOOKUP($E64,武器奇术!$A:$R,17,FALSE)="破竹"),$E$3*(1+$E$15),0),CN64)</f>
        <v>1102.06</v>
      </c>
      <c r="CQ64" s="110">
        <f>IF(($D$13+IF(VLOOKUP($E64,武器奇术!$A:$R,17,FALSE)="破竹",$D$15,0)+IF(VLOOKUP($E64,武器奇术!$A:$R,18,FALSE)=1,4,0)+IF(VLOOKUP($E64,武器奇术!$A:$S,19,FALSE)=1,20,0)-VLOOKUP($F$7,目标属性!$A:$R,6,FALSE))&gt;0,($D$13+IF(VLOOKUP($E64,武器奇术!$A:$R,17,FALSE)="破竹",$D$15,0)+IF(VLOOKUP($E64,武器奇术!$A:$R,18,FALSE)=1,4,0)+IF(VLOOKUP($E64,武器奇术!$A:$S,19,FALSE)=1,20,0)-VLOOKUP($F$7,目标属性!$A:$R,6,FALSE))/200,($D$13+IF(VLOOKUP($E64,武器奇术!$A:$R,17,FALSE)="破竹",$D$15,0)+IF(VLOOKUP($E64,武器奇术!$A:$R,18,FALSE)=1,4,0)+IF(VLOOKUP($E64,武器奇术!$A:$S,19,FALSE)=1,20,0)-VLOOKUP($F$7,目标属性!$A:$R,6,FALSE))/100)</f>
        <v>0.025</v>
      </c>
      <c r="CR64" s="111">
        <f>$E$13+IF(VLOOKUP($E64,武器奇术!$A:$U,21,FALSE)=1,0,0.09)</f>
        <v>0.235</v>
      </c>
      <c r="CS64" s="109">
        <v>1</v>
      </c>
      <c r="CT64" s="112">
        <f>CN64*IF(VLOOKUP($E64,武器奇术!$A:$R,17,FALSE)="破竹",VLOOKUP($E64,武器奇术!$A:$R,4,FALSE),VLOOKUP($E64,武器奇术!$A:$R,2,FALSE))*(1+CQ64)*(1+CR64)*CS64</f>
        <v>1585.34488391825</v>
      </c>
      <c r="CU64" s="110">
        <f>(1-IF(VLOOKUP($E64,武器奇术!$A:$T,20,FALSE)=1,1,$N64))*(1-$M64)</f>
        <v>0.01072666</v>
      </c>
      <c r="CV64" s="112">
        <f>CO64*IF(VLOOKUP($E64,武器奇术!$A:$R,17,FALSE)="破竹",VLOOKUP($E64,武器奇术!$A:$R,4,FALSE),VLOOKUP($E64,武器奇术!$A:$R,2,FALSE))*(1+CQ64)*(1+CR64)*CS64*(1+$E$16+VLOOKUP($E64,武器奇术!$A:$R,8,FALSE))</f>
        <v>3509.30805212533</v>
      </c>
      <c r="CW64" s="110">
        <f t="shared" si="24"/>
        <v>0.8813852</v>
      </c>
      <c r="CX64" s="112">
        <f>CP64*IF(VLOOKUP($E64,武器奇术!$A:$R,17,FALSE)="破竹",VLOOKUP($E64,武器奇术!$A:$R,4,FALSE),VLOOKUP($E64,武器奇术!$A:$R,2,FALSE))*(1+CQ64)*(1+CR64)*CS64*(1+$E$17+VLOOKUP($E64,武器奇术!$A:$R,10,FALSE))</f>
        <v>3637.30376081914</v>
      </c>
      <c r="CY64" s="110">
        <f t="shared" si="25"/>
        <v>0.0986</v>
      </c>
      <c r="CZ64" s="112">
        <f>CO64*IF(VLOOKUP($E64,武器奇术!$A:$R,17,FALSE)="破竹",VLOOKUP($E64,武器奇术!$A:$R,4,FALSE),VLOOKUP($E64,武器奇术!$A:$R,2,FALSE))*(1+CQ64)*(1+CR64)*CS64</f>
        <v>2139.82198300325</v>
      </c>
      <c r="DA64" s="110">
        <f t="shared" si="26"/>
        <v>0.00928814000000003</v>
      </c>
      <c r="DB64" s="113">
        <f t="shared" si="27"/>
        <v>3488.5707519066</v>
      </c>
      <c r="DC64" s="108">
        <f t="shared" si="36"/>
        <v>69.3</v>
      </c>
      <c r="DD64" s="99">
        <f>(DC64+DE64)*IF(VLOOKUP($E64,武器奇术!$A:$Z,21,FALSE)=1,$G$15,0.5)</f>
        <v>69.3</v>
      </c>
      <c r="DE64" s="109">
        <f t="shared" si="37"/>
        <v>69.3</v>
      </c>
      <c r="DF64" s="110">
        <f>IF(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100)</f>
        <v>0.025</v>
      </c>
      <c r="DG64" s="111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U,21,FALSE)=1,0,0.09)</f>
        <v>0.235</v>
      </c>
      <c r="DH64" s="109">
        <v>1</v>
      </c>
      <c r="DI64" s="112">
        <f>DC64*IF(VLOOKUP($E64,武器奇术!$A:$R,17,FALSE)="破竹",VLOOKUP($E64,武器奇术!$A:$R,4,FALSE),VLOOKUP($E64,武器奇术!$A:$R,2,FALSE))*(1+DF64)*(1+DG64)*DH64</f>
        <v>169.42355805375</v>
      </c>
      <c r="DJ64" s="110">
        <f>(1-IF(VLOOKUP($E64,武器奇术!$A:$T,20,FALSE)=1,1,$N64))*(1-$M64)</f>
        <v>0.01072666</v>
      </c>
      <c r="DK64" s="112">
        <f>DD64*IF(VLOOKUP($E64,武器奇术!$A:$R,17,FALSE)="破竹",VLOOKUP($E64,武器奇术!$A:$R,4,FALSE),VLOOKUP($E64,武器奇术!$A:$R,2,FALSE))*(1+DF64)*(1+DG64)*DH64*(1+$E$16+VLOOKUP($E64,武器奇术!$A:$R,8,FALSE))</f>
        <v>277.85463520815</v>
      </c>
      <c r="DL64" s="110">
        <f t="shared" si="28"/>
        <v>0.8813852</v>
      </c>
      <c r="DM64" s="112">
        <f>DE64*IF(VLOOKUP($E64,武器奇术!$A:$R,17,FALSE)="破竹",VLOOKUP($E64,武器奇术!$A:$R,4,FALSE),VLOOKUP($E64,武器奇术!$A:$R,2,FALSE))*(1+DF64)*(1+DG64)*DH64*(1+$E$17+VLOOKUP($E64,武器奇术!$A:$R,10,FALSE))</f>
        <v>228.721803372562</v>
      </c>
      <c r="DN64" s="110">
        <f t="shared" si="29"/>
        <v>0.0986</v>
      </c>
      <c r="DO64" s="112">
        <f>DD64*IF(VLOOKUP($E64,武器奇术!$A:$R,17,FALSE)="破竹",VLOOKUP($E64,武器奇术!$A:$R,4,FALSE),VLOOKUP($E64,武器奇术!$A:$R,2,FALSE))*(1+DF64)*(1+DG64)*DH64</f>
        <v>169.42355805375</v>
      </c>
      <c r="DP64" s="110">
        <f t="shared" si="30"/>
        <v>0.00928814000000003</v>
      </c>
      <c r="DQ64" s="113">
        <f t="shared" si="31"/>
        <v>270.839911666131</v>
      </c>
    </row>
    <row r="65" customFormat="1" spans="1:121">
      <c r="A65" s="36"/>
      <c r="B65" t="s">
        <v>158</v>
      </c>
      <c r="C65" s="147">
        <v>0.2</v>
      </c>
      <c r="D65"/>
      <c r="E65" s="98" t="s">
        <v>93</v>
      </c>
      <c r="F65" s="99">
        <v>1</v>
      </c>
      <c r="G65" s="115"/>
      <c r="H65" s="100">
        <f>IF(VLOOKUP($E65,武器奇术!$A:$R,18,FALSE)="天工",AE65,(AE65+AT65+BI65+BX65+CM65+DB65+DQ65))*(1+J65)*F65*K65*(1+G65)</f>
        <v>0</v>
      </c>
      <c r="I65" s="101">
        <f t="shared" si="0"/>
        <v>0</v>
      </c>
      <c r="J65" s="101">
        <f>$F$3+VLOOKUP($E65,武器奇术!$A:$R,12,FALSE)+VLOOKUP($E65,武器奇术!$A:$R,14,FALSE)*$G$3+$P65</f>
        <v>0.303</v>
      </c>
      <c r="K65" s="102">
        <f>VLOOKUP($E65,武器奇术!$A:$R,11,FALSE)</f>
        <v>1</v>
      </c>
      <c r="L65" s="117">
        <f>IF(VLOOKUP($E65,武器奇术!$A:$R,15,FALSE)="天工",0%,IF($C$17+VLOOKUP($E65,武器奇术!$A:$R,7,FALSE)&gt;80%,80%,$C$17+VLOOKUP($E65,武器奇术!$A:$R,7,FALSE))+IF($C$19&gt;20%,20%,$C$19))</f>
        <v>0.892</v>
      </c>
      <c r="M65" s="118">
        <f>IF(VLOOKUP($E65,武器奇术!$A:$R,15,FALSE)="天工",0%,IF($C$18+VLOOKUP($E65,武器奇术!$A:$R,9,FALSE)&gt;40%,40%,$C$18+VLOOKUP($E65,武器奇术!$A:$R,9,FALSE))+IF($C$20&gt;10%,10%,$C$20))</f>
        <v>0.0986</v>
      </c>
      <c r="N65" s="119">
        <f>IF(VLOOKUP($E65,武器奇术!$A:$R,15,FALSE)="天工",100%,MIN($C$16,1))</f>
        <v>0.9881</v>
      </c>
      <c r="O65" s="120" t="str">
        <f>VLOOKUP($E65,武器奇术!$A:$R,16,FALSE)</f>
        <v>N/A</v>
      </c>
      <c r="P65" s="121">
        <f t="shared" si="38"/>
        <v>0</v>
      </c>
      <c r="Q65" s="108">
        <f>$B$5*(1+VLOOKUP($E65,武器奇术!$A:$R,5,FALSE)+IF($G$5="飞隼",0.1,0)+IF($G$5="撼天",0.05,0))-$F$9+IF($I$5="√",160,0)</f>
        <v>1731.135</v>
      </c>
      <c r="R65" s="99">
        <f>IF(VLOOKUP($E65,武器奇术!$A:$Z,20,FALSE)=1,(S65-(Q65+S65)*0.5)*($G$15-0.5)*2+(Q65+S65)*0.5,(Q65+S65)*0.5)</f>
        <v>3256.775</v>
      </c>
      <c r="S65" s="109">
        <f>MAX($C$5,$B$5)*(1+VLOOKUP($E65,武器奇术!$A:$R,5,FALSE)+IF($G$5="飞隼",0.1,0)+IF($G$5="撼天",0.05,0))-$F$9+IF($I$5="√",320,0)</f>
        <v>4782.415</v>
      </c>
      <c r="T65" s="101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U65" s="111">
        <f>$E$5+IF(VLOOKUP($E65,武器奇术!$A:$U,21,FALSE)=1,0,0.09)</f>
        <v>0.115</v>
      </c>
      <c r="V65" s="109">
        <v>1</v>
      </c>
      <c r="W65" s="112">
        <f>Q65*VLOOKUP($E65,武器奇术!$A:$R,2,FALSE)*(1+T65)*(1+U65)*V65</f>
        <v>0</v>
      </c>
      <c r="X65" s="110">
        <f>(1-IF(VLOOKUP($E65,武器奇术!$A:$T,20,FALSE)=1,1,$N65))*(1-$M65)</f>
        <v>0.01072666</v>
      </c>
      <c r="Y65" s="112">
        <f>R65*VLOOKUP($E65,武器奇术!$A:$R,2,FALSE)*(1+T65)*(1+U65)*V65*(1+$E$16+VLOOKUP($E65,武器奇术!$A:$R,8,FALSE))</f>
        <v>0</v>
      </c>
      <c r="Z65" s="110">
        <f t="shared" si="39"/>
        <v>0.8813852</v>
      </c>
      <c r="AA65" s="112">
        <f>S65*VLOOKUP($E65,武器奇术!$A:$R,2,FALSE)*(1+T65)*(1+U65)*V65*(1+$E$17+VLOOKUP($E65,武器奇术!$A:$R,10,FALSE))</f>
        <v>0</v>
      </c>
      <c r="AB65" s="110">
        <f t="shared" si="40"/>
        <v>0.0986</v>
      </c>
      <c r="AC65" s="112">
        <f>R65*VLOOKUP($E65,武器奇术!$A:$R,2,FALSE)*(1+T65)*(1+U65)*V65</f>
        <v>0</v>
      </c>
      <c r="AD65" s="110">
        <f t="shared" si="1"/>
        <v>0.00928814000000003</v>
      </c>
      <c r="AE65" s="113">
        <f t="shared" si="2"/>
        <v>0</v>
      </c>
      <c r="AF65" s="114">
        <f>VLOOKUP($E65,武器奇术!$A:$R,3,FALSE)*(1+IF(VLOOKUP($E65,武器奇术!$A:$R,15,FALSE)="武器",$E$15,0))</f>
        <v>0</v>
      </c>
      <c r="AG65" s="112">
        <f t="shared" si="3"/>
        <v>0</v>
      </c>
      <c r="AH65" s="112">
        <f>VLOOKUP($E65,武器奇术!$A:$R,3,FALSE)*(1+IF(VLOOKUP($E65,武器奇术!$A:$R,15,FALSE)="武器",$E$15,0))</f>
        <v>0</v>
      </c>
      <c r="AI65" s="101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AJ65" s="111">
        <f>$E$5+IF(VLOOKUP($E65,武器奇术!$A:$U,21,FALSE)=1,0,0.09)</f>
        <v>0.115</v>
      </c>
      <c r="AK65" s="109">
        <v>1</v>
      </c>
      <c r="AL65" s="112">
        <f t="shared" si="41"/>
        <v>0</v>
      </c>
      <c r="AM65" s="110">
        <f>(1-IF(VLOOKUP($E65,武器奇术!$A:$T,20,FALSE)=1,1,$N65))*(1-$M65)</f>
        <v>0.01072666</v>
      </c>
      <c r="AN65" s="112">
        <f>AG65*(1+AI65)*(1+AJ65)*AK65*(1+$E$16+VLOOKUP($E65,武器奇术!$A:$R,8,FALSE))</f>
        <v>0</v>
      </c>
      <c r="AO65" s="110">
        <f t="shared" si="4"/>
        <v>0.8813852</v>
      </c>
      <c r="AP65" s="112">
        <f>AH65*(1+AI65)*(1+AJ65)*AK65*(1+$E$17+VLOOKUP($E65,武器奇术!$A:$R,10,FALSE))</f>
        <v>0</v>
      </c>
      <c r="AQ65" s="110">
        <f t="shared" si="5"/>
        <v>0.0986</v>
      </c>
      <c r="AR65" s="112">
        <f t="shared" si="6"/>
        <v>0</v>
      </c>
      <c r="AS65" s="110">
        <f t="shared" si="7"/>
        <v>0.00928814000000003</v>
      </c>
      <c r="AT65" s="113">
        <f t="shared" si="8"/>
        <v>0</v>
      </c>
      <c r="AU65" s="108">
        <f>$B$7*IF($G$5="撼天",1.05,1)+IF(AND(VLOOKUP($E65,武器奇术!$A:$R,15,FALSE)="武器",VLOOKUP($E65,武器奇术!$A:$R,17,FALSE)="鸣金"),$E$3,0)*(1+$E$15)</f>
        <v>0</v>
      </c>
      <c r="AV65" s="99">
        <f>(AU65+AW65)*IF(VLOOKUP($E65,武器奇术!$A:$Z,21,FALSE)=1,$G$15,0.5)</f>
        <v>0</v>
      </c>
      <c r="AW65" s="109">
        <f>MAX($C$7*IF($G$5="撼天",1.05,1)+IF(AND(VLOOKUP($E65,武器奇术!$A:$R,15,FALSE)="武器",VLOOKUP($E65,武器奇术!$A:$R,17,FALSE)="鸣金"),$E$3*(1+$E$15),0),AU65)</f>
        <v>0</v>
      </c>
      <c r="AX65" s="110">
        <f>IF(($D$7+IF(VLOOKUP($E65,武器奇术!$A:$R,17,FALSE)="鸣金",$D$15,0)+IF(VLOOKUP($E65,武器奇术!$A:$R,18,FALSE)=1,4,0)+IF(VLOOKUP($E65,武器奇术!$A:$S,19,FALSE)=1,20,0)-VLOOKUP($F$7,目标属性!$A:$R,6,FALSE))&gt;0,($D$7+IF(VLOOKUP($E65,武器奇术!$A:$R,17,FALSE)="鸣金",$D$15,0)+IF(VLOOKUP($E65,武器奇术!$A:$R,18,FALSE)=1,4,0)+IF(VLOOKUP($E65,武器奇术!$A:$S,19,FALSE)=1,20,0)-VLOOKUP($F$7,目标属性!$A:$R,6,FALSE))/200,($D$7+IF(VLOOKUP($E65,武器奇术!$A:$R,17,FALSE)="鸣金",$D$15,0)+IF(VLOOKUP($E65,武器奇术!$A:$R,18,FALSE)=1,4,0)+IF(VLOOKUP($E65,武器奇术!$A:$S,19,FALSE)=1,20,0)-VLOOKUP($F$7,目标属性!$A:$R,6,FALSE))/100)</f>
        <v>-0.24</v>
      </c>
      <c r="AY65" s="111">
        <f t="shared" si="9"/>
        <v>0</v>
      </c>
      <c r="AZ65" s="109">
        <v>1</v>
      </c>
      <c r="BA65" s="112">
        <f>AU65*IF(VLOOKUP($E65,武器奇术!$A:$R,17,FALSE)="鸣金",VLOOKUP($E65,武器奇术!$A:$R,4,FALSE),VLOOKUP($E65,武器奇术!$A:$R,2,FALSE))*(1+AX65)*(1+AY65)*AZ65</f>
        <v>0</v>
      </c>
      <c r="BB65" s="110">
        <f>(1-IF(VLOOKUP($E65,武器奇术!$A:$T,20,FALSE)=1,1,$N65))*(1-$M65)</f>
        <v>0.01072666</v>
      </c>
      <c r="BC65" s="112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10">
        <f t="shared" si="10"/>
        <v>0.8813852</v>
      </c>
      <c r="BE65" s="112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10">
        <f t="shared" si="11"/>
        <v>0.0986</v>
      </c>
      <c r="BG65" s="112">
        <f>AV65*IF(VLOOKUP($E65,武器奇术!$A:$R,17,FALSE)="鸣金",VLOOKUP($E65,武器奇术!$A:$R,4,FALSE),VLOOKUP($E65,武器奇术!$A:$R,2,FALSE))*(1+AX65)*(1+AY65)*AZ65</f>
        <v>0</v>
      </c>
      <c r="BH65" s="110">
        <f t="shared" si="12"/>
        <v>0.00928814000000003</v>
      </c>
      <c r="BI65" s="113">
        <f t="shared" si="13"/>
        <v>0</v>
      </c>
      <c r="BJ65" s="108">
        <f>$B$9*IF($G$5="撼天",1.05,1)+IF(AND(VLOOKUP($E65,武器奇术!$A:$R,15,FALSE)="武器",VLOOKUP($E65,武器奇术!$A:$R,17,FALSE)="裂石"),$E$3,0)*(1+$E$15)</f>
        <v>0</v>
      </c>
      <c r="BK65" s="99">
        <f>(BJ65+BL65)*IF(VLOOKUP($E65,武器奇术!$A:$Z,21,FALSE)=1,$G$15,0.5)</f>
        <v>0</v>
      </c>
      <c r="BL65" s="109">
        <f>MAX($C$9*IF($G$5="撼天",1.05,1)+IF(AND(VLOOKUP($E65,武器奇术!$A:$R,15,FALSE)="武器",VLOOKUP($E65,武器奇术!$A:$R,17,FALSE)="裂石"),$E$3*(1+$E$15),0),BJ65)</f>
        <v>0</v>
      </c>
      <c r="BM65" s="110">
        <f>IF(($D$9+IF(VLOOKUP($E65,武器奇术!$A:$R,17,FALSE)="裂石",$D$15,0)+IF(VLOOKUP($E65,武器奇术!$A:$R,18,FALSE)=1,4,0)+IF(VLOOKUP($E65,武器奇术!$A:$S,19,FALSE)=1,20,0)-VLOOKUP($F$7,目标属性!$A:$R,6,FALSE))&gt;0,($D$9+IF(VLOOKUP($E65,武器奇术!$A:$R,17,FALSE)="裂石",$D$15,0)+IF(VLOOKUP($E65,武器奇术!$A:$R,18,FALSE)=1,4,0)+IF(VLOOKUP($E65,武器奇术!$A:$S,19,FALSE)=1,20,0)-VLOOKUP($F$7,目标属性!$A:$R,6,FALSE))/200,($D$9+IF(VLOOKUP($E65,武器奇术!$A:$R,17,FALSE)="裂石",$D$15,0)+IF(VLOOKUP($E65,武器奇术!$A:$R,18,FALSE)=1,4,0)+IF(VLOOKUP($E65,武器奇术!$A:$S,19,FALSE)=1,20,0)-VLOOKUP($F$7,目标属性!$A:$R,6,FALSE))/100)</f>
        <v>-0.24</v>
      </c>
      <c r="BN65" s="111">
        <f t="shared" si="14"/>
        <v>0</v>
      </c>
      <c r="BO65" s="109">
        <v>1</v>
      </c>
      <c r="BP65" s="112">
        <f>BJ65*IF(VLOOKUP($E65,武器奇术!$A:$R,17,FALSE)="裂石",VLOOKUP($E65,武器奇术!$A:$R,4,FALSE),VLOOKUP($E65,武器奇术!$A:$R,2,FALSE))*(1+BM65)*(1+BN65)*BO65</f>
        <v>0</v>
      </c>
      <c r="BQ65" s="110">
        <f>(1-IF(VLOOKUP($E65,武器奇术!$A:$T,20,FALSE)=1,1,$N65))*(1-$M65)</f>
        <v>0.01072666</v>
      </c>
      <c r="BR65" s="112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10">
        <f t="shared" si="15"/>
        <v>0.8813852</v>
      </c>
      <c r="BT65" s="112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10">
        <f t="shared" si="16"/>
        <v>0.0986</v>
      </c>
      <c r="BV65" s="112">
        <f>BK65*IF(VLOOKUP($E65,武器奇术!$A:$R,17,FALSE)="裂石",VLOOKUP($E65,武器奇术!$A:$R,4,FALSE),VLOOKUP($E65,武器奇术!$A:$R,2,FALSE))*(1+BM65)*(1+BN65)*BO65</f>
        <v>0</v>
      </c>
      <c r="BW65" s="110">
        <f t="shared" si="17"/>
        <v>0.00928814000000003</v>
      </c>
      <c r="BX65" s="113">
        <f t="shared" si="18"/>
        <v>0</v>
      </c>
      <c r="BY65" s="108">
        <f>$B$11*IF($G$5="撼天",1.05,1)+IF(AND(VLOOKUP($E65,武器奇术!$A:$R,15,FALSE)="武器",VLOOKUP($E65,武器奇术!$A:$R,17,FALSE)="牵丝"),$E$3,0)*(1+$E$15)</f>
        <v>0</v>
      </c>
      <c r="BZ65" s="99">
        <f>(BY65+CA65)*IF(VLOOKUP($E65,武器奇术!$A:$Z,21,FALSE)=1,$G$15,0.5)</f>
        <v>0</v>
      </c>
      <c r="CA65" s="109">
        <f>MAX($C$11*IF($G$5="撼天",1.05,1)+IF(AND(VLOOKUP($E65,武器奇术!$A:$R,15,FALSE)="武器",VLOOKUP($E65,武器奇术!$A:$R,17,FALSE)="牵丝"),$E$3*(1+$E$15),0),BY65)</f>
        <v>0</v>
      </c>
      <c r="CB65" s="110">
        <f>IF(($D$11+IF(VLOOKUP($E65,武器奇术!$A:$R,17,FALSE)="牵丝",$D$15,0)+IF(VLOOKUP($E65,武器奇术!$A:$R,18,FALSE)=1,4,0)+IF(VLOOKUP($E65,武器奇术!$A:$S,19,FALSE)=1,20,0)-VLOOKUP($F$7,目标属性!$A:$R,6,FALSE))&gt;0,($D$11+IF(VLOOKUP($E65,武器奇术!$A:$R,17,FALSE)="牵丝",$D$15,0)+IF(VLOOKUP($E65,武器奇术!$A:$R,18,FALSE)=1,4,0)+IF(VLOOKUP($E65,武器奇术!$A:$S,19,FALSE)=1,20,0)-VLOOKUP($F$7,目标属性!$A:$R,6,FALSE))/200,($D$11+IF(VLOOKUP($E65,武器奇术!$A:$R,17,FALSE)="牵丝",$D$15,0)+IF(VLOOKUP($E65,武器奇术!$A:$R,18,FALSE)=1,4,0)+IF(VLOOKUP($E65,武器奇术!$A:$S,19,FALSE)=1,20,0)-VLOOKUP($F$7,目标属性!$A:$R,6,FALSE))/100)</f>
        <v>-0.24</v>
      </c>
      <c r="CC65" s="111">
        <f t="shared" si="19"/>
        <v>0</v>
      </c>
      <c r="CD65" s="109">
        <v>1</v>
      </c>
      <c r="CE65" s="112">
        <f>BY65*IF(VLOOKUP($E65,武器奇术!$A:$R,17,FALSE)="牵丝",VLOOKUP($E65,武器奇术!$A:$R,4,FALSE),VLOOKUP($E65,武器奇术!$A:$R,2,FALSE))*(1+CB65)*(1+CC65)*CD65</f>
        <v>0</v>
      </c>
      <c r="CF65" s="110">
        <f>(1-IF(VLOOKUP($E65,武器奇术!$A:$T,20,FALSE)=1,1,$N65))*(1-$M65)</f>
        <v>0.01072666</v>
      </c>
      <c r="CG65" s="112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110">
        <f t="shared" si="20"/>
        <v>0.8813852</v>
      </c>
      <c r="CI65" s="112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110">
        <f t="shared" si="21"/>
        <v>0.0986</v>
      </c>
      <c r="CK65" s="112">
        <f>BZ65*IF(VLOOKUP($E65,武器奇术!$A:$R,17,FALSE)="牵丝",VLOOKUP($E65,武器奇术!$A:$R,4,FALSE),VLOOKUP($E65,武器奇术!$A:$R,2,FALSE))*(1+CB65)*(1+CC65)*CD65</f>
        <v>0</v>
      </c>
      <c r="CL65" s="110">
        <f t="shared" si="22"/>
        <v>0.00928814000000003</v>
      </c>
      <c r="CM65" s="113">
        <f t="shared" si="23"/>
        <v>0</v>
      </c>
      <c r="CN65" s="108">
        <f>$B$13*IF($G$5="撼天",1.05,1)+IF(AND(VLOOKUP($E65,武器奇术!$A:$R,15,FALSE)="武器",VLOOKUP($E65,武器奇术!$A:$R,17,FALSE)="破竹"),$E$3,0)*(1+$E$15)</f>
        <v>452.55</v>
      </c>
      <c r="CO65" s="99">
        <f>IF(VLOOKUP($E65,武器奇术!$A:$Z,20,FALSE)=1,(CP65-(CN65+CP65)*0.5)*($G$15-0.5)*2+(CN65+CP65)*0.5,(CN65+CP65)*0.5)</f>
        <v>679.35</v>
      </c>
      <c r="CP65" s="109">
        <f>MAX($C$13*IF($G$5="撼天",1.05,1)+IF(AND(VLOOKUP($E65,武器奇术!$A:$R,15,FALSE)="武器",VLOOKUP($E65,武器奇术!$A:$R,17,FALSE)="破竹"),$E$3*(1+$E$15),0),CN65)</f>
        <v>906.15</v>
      </c>
      <c r="CQ65" s="110">
        <f>IF(($D$13+IF(VLOOKUP($E65,武器奇术!$A:$R,17,FALSE)="破竹",$D$15,0)+IF(VLOOKUP($E65,武器奇术!$A:$R,18,FALSE)=1,4,0)+IF(VLOOKUP($E65,武器奇术!$A:$S,19,FALSE)=1,20,0)-VLOOKUP($F$7,目标属性!$A:$R,6,FALSE))&gt;0,($D$13+IF(VLOOKUP($E65,武器奇术!$A:$R,17,FALSE)="破竹",$D$15,0)+IF(VLOOKUP($E65,武器奇术!$A:$R,18,FALSE)=1,4,0)+IF(VLOOKUP($E65,武器奇术!$A:$S,19,FALSE)=1,20,0)-VLOOKUP($F$7,目标属性!$A:$R,6,FALSE))/200,($D$13+IF(VLOOKUP($E65,武器奇术!$A:$R,17,FALSE)="破竹",$D$15,0)+IF(VLOOKUP($E65,武器奇术!$A:$R,18,FALSE)=1,4,0)+IF(VLOOKUP($E65,武器奇术!$A:$S,19,FALSE)=1,20,0)-VLOOKUP($F$7,目标属性!$A:$R,6,FALSE))/100)</f>
        <v>0.025</v>
      </c>
      <c r="CR65" s="111">
        <f>$E$13+IF(VLOOKUP($E65,武器奇术!$A:$U,21,FALSE)=1,0,0.09)</f>
        <v>0.235</v>
      </c>
      <c r="CS65" s="109">
        <v>1</v>
      </c>
      <c r="CT65" s="112">
        <f>CN65*IF(VLOOKUP($E65,武器奇术!$A:$R,17,FALSE)="破竹",VLOOKUP($E65,武器奇术!$A:$R,4,FALSE),VLOOKUP($E65,武器奇术!$A:$R,2,FALSE))*(1+CQ65)*(1+CR65)*CS65</f>
        <v>0</v>
      </c>
      <c r="CU65" s="110">
        <f>(1-IF(VLOOKUP($E65,武器奇术!$A:$T,20,FALSE)=1,1,$N65))*(1-$M65)</f>
        <v>0.01072666</v>
      </c>
      <c r="CV65" s="112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10">
        <f t="shared" si="24"/>
        <v>0.8813852</v>
      </c>
      <c r="CX65" s="112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10">
        <f t="shared" si="25"/>
        <v>0.0986</v>
      </c>
      <c r="CZ65" s="112">
        <f>CO65*IF(VLOOKUP($E65,武器奇术!$A:$R,17,FALSE)="破竹",VLOOKUP($E65,武器奇术!$A:$R,4,FALSE),VLOOKUP($E65,武器奇术!$A:$R,2,FALSE))*(1+CQ65)*(1+CR65)*CS65</f>
        <v>0</v>
      </c>
      <c r="DA65" s="110">
        <f t="shared" si="26"/>
        <v>0.00928814000000003</v>
      </c>
      <c r="DB65" s="113">
        <f t="shared" si="27"/>
        <v>0</v>
      </c>
      <c r="DC65" s="108">
        <f t="shared" si="36"/>
        <v>69.3</v>
      </c>
      <c r="DD65" s="99">
        <f>(DC65+DE65)*IF(VLOOKUP($E65,武器奇术!$A:$Z,21,FALSE)=1,$G$15,0.5)</f>
        <v>69.3</v>
      </c>
      <c r="DE65" s="109">
        <f t="shared" si="37"/>
        <v>69.3</v>
      </c>
      <c r="DF65" s="110">
        <f>IF(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100)</f>
        <v>0.025</v>
      </c>
      <c r="DG65" s="111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U,21,FALSE)=1,0,0.09)</f>
        <v>0.235</v>
      </c>
      <c r="DH65" s="109">
        <v>1</v>
      </c>
      <c r="DI65" s="112">
        <f>DC65*IF(VLOOKUP($E65,武器奇术!$A:$R,17,FALSE)="破竹",VLOOKUP($E65,武器奇术!$A:$R,4,FALSE),VLOOKUP($E65,武器奇术!$A:$R,2,FALSE))*(1+DF65)*(1+DG65)*DH65</f>
        <v>0</v>
      </c>
      <c r="DJ65" s="110">
        <f>(1-IF(VLOOKUP($E65,武器奇术!$A:$T,20,FALSE)=1,1,$N65))*(1-$M65)</f>
        <v>0.01072666</v>
      </c>
      <c r="DK65" s="112">
        <f>DD65*IF(VLOOKUP($E65,武器奇术!$A:$R,17,FALSE)="破竹",VLOOKUP($E65,武器奇术!$A:$R,4,FALSE),VLOOKUP($E65,武器奇术!$A:$R,2,FALSE))*(1+DF65)*(1+DG65)*DH65*(1+$E$16+VLOOKUP($E65,武器奇术!$A:$R,8,FALSE))</f>
        <v>0</v>
      </c>
      <c r="DL65" s="110">
        <f t="shared" si="28"/>
        <v>0.8813852</v>
      </c>
      <c r="DM65" s="112">
        <f>DE65*IF(VLOOKUP($E65,武器奇术!$A:$R,17,FALSE)="破竹",VLOOKUP($E65,武器奇术!$A:$R,4,FALSE),VLOOKUP($E65,武器奇术!$A:$R,2,FALSE))*(1+DF65)*(1+DG65)*DH65*(1+$E$17+VLOOKUP($E65,武器奇术!$A:$R,10,FALSE))</f>
        <v>0</v>
      </c>
      <c r="DN65" s="110">
        <f t="shared" si="29"/>
        <v>0.0986</v>
      </c>
      <c r="DO65" s="112">
        <f>DD65*IF(VLOOKUP($E65,武器奇术!$A:$R,17,FALSE)="破竹",VLOOKUP($E65,武器奇术!$A:$R,4,FALSE),VLOOKUP($E65,武器奇术!$A:$R,2,FALSE))*(1+DF65)*(1+DG65)*DH65</f>
        <v>0</v>
      </c>
      <c r="DP65" s="110">
        <f t="shared" si="30"/>
        <v>0.00928814000000003</v>
      </c>
      <c r="DQ65" s="113">
        <f t="shared" si="31"/>
        <v>0</v>
      </c>
    </row>
    <row r="66" customFormat="1" spans="1:121">
      <c r="A66" s="36"/>
      <c r="B66" t="s">
        <v>159</v>
      </c>
      <c r="C66" s="147">
        <v>0.7</v>
      </c>
      <c r="D66"/>
      <c r="E66" s="98" t="s">
        <v>142</v>
      </c>
      <c r="F66" s="99">
        <v>1</v>
      </c>
      <c r="G66" s="115"/>
      <c r="H66" s="100">
        <f>IF(VLOOKUP($E66,武器奇术!$A:$R,18,FALSE)="天工",AE66,(AE66+AT66+BI66+BX66+CM66+DB66+DQ66))*(1+J66)*F66*K66*(1+G66)</f>
        <v>25723.1754170719</v>
      </c>
      <c r="I66" s="101">
        <f t="shared" si="0"/>
        <v>0.00317585819015276</v>
      </c>
      <c r="J66" s="101">
        <f>$F$3+VLOOKUP($E66,武器奇术!$A:$R,12,FALSE)+VLOOKUP($E66,武器奇术!$A:$R,14,FALSE)*$G$3+$P66</f>
        <v>0.387</v>
      </c>
      <c r="K66" s="102">
        <f>VLOOKUP($E66,武器奇术!$A:$R,11,FALSE)</f>
        <v>1</v>
      </c>
      <c r="L66" s="117">
        <f>IF(VLOOKUP($E66,武器奇术!$A:$R,15,FALSE)="天工",0%,IF($C$17+VLOOKUP($E66,武器奇术!$A:$R,7,FALSE)&gt;80%,80%,$C$17+VLOOKUP($E66,武器奇术!$A:$R,7,FALSE))+IF($C$19&gt;20%,20%,$C$19))</f>
        <v>0.892</v>
      </c>
      <c r="M66" s="118">
        <f>IF(VLOOKUP($E66,武器奇术!$A:$R,15,FALSE)="天工",0%,IF($C$18+VLOOKUP($E66,武器奇术!$A:$R,9,FALSE)&gt;40%,40%,$C$18+VLOOKUP($E66,武器奇术!$A:$R,9,FALSE))+IF($C$20&gt;10%,10%,$C$20))</f>
        <v>0.0986</v>
      </c>
      <c r="N66" s="119">
        <f>IF(VLOOKUP($E66,武器奇术!$A:$R,15,FALSE)="天工",100%,MIN($C$16,1))</f>
        <v>0.9881</v>
      </c>
      <c r="O66" s="120" t="str">
        <f>VLOOKUP($E66,武器奇术!$A:$R,16,FALSE)</f>
        <v>绳标</v>
      </c>
      <c r="P66" s="121">
        <f t="shared" si="38"/>
        <v>0.084</v>
      </c>
      <c r="Q66" s="108">
        <f>$B$5*(1+VLOOKUP($E66,武器奇术!$A:$R,5,FALSE)+IF($G$5="飞隼",0.1,0)+IF($G$5="撼天",0.05,0))-$F$9+IF($I$5="√",160,0)</f>
        <v>1731.135</v>
      </c>
      <c r="R66" s="99">
        <f>IF(VLOOKUP($E66,武器奇术!$A:$Z,20,FALSE)=1,(S66-(Q66+S66)*0.5)*($G$15-0.5)*2+(Q66+S66)*0.5,(Q66+S66)*0.5)</f>
        <v>3256.775</v>
      </c>
      <c r="S66" s="109">
        <f>MAX($C$5,$B$5)*(1+VLOOKUP($E66,武器奇术!$A:$R,5,FALSE)+IF($G$5="飞隼",0.1,0)+IF($G$5="撼天",0.05,0))-$F$9+IF($I$5="√",320,0)</f>
        <v>4782.415</v>
      </c>
      <c r="T66" s="101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U66" s="111">
        <f>$E$5+IF(VLOOKUP($E66,武器奇术!$A:$U,21,FALSE)=1,0,0.09)</f>
        <v>0.115</v>
      </c>
      <c r="V66" s="109">
        <v>1</v>
      </c>
      <c r="W66" s="112">
        <f>Q66*VLOOKUP($E66,武器奇术!$A:$R,2,FALSE)*(1+T66)*(1+U66)*V66</f>
        <v>3975.72822791172</v>
      </c>
      <c r="X66" s="110">
        <f>(1-IF(VLOOKUP($E66,武器奇术!$A:$T,20,FALSE)=1,1,$N66))*(1-$M66)</f>
        <v>0.01072666</v>
      </c>
      <c r="Y66" s="112">
        <f>R66*VLOOKUP($E66,武器奇术!$A:$R,2,FALSE)*(1+T66)*(1+U66)*V66*(1+$E$16+VLOOKUP($E66,武器奇术!$A:$R,8,FALSE))</f>
        <v>12266.406589382</v>
      </c>
      <c r="Z66" s="110">
        <f t="shared" si="39"/>
        <v>0.8813852</v>
      </c>
      <c r="AA66" s="112">
        <f>S66*VLOOKUP($E66,武器奇术!$A:$R,2,FALSE)*(1+T66)*(1+U66)*V66*(1+$E$17+VLOOKUP($E66,武器奇术!$A:$R,10,FALSE))</f>
        <v>14827.4606675212</v>
      </c>
      <c r="AB66" s="110">
        <f t="shared" si="40"/>
        <v>0.0986</v>
      </c>
      <c r="AC66" s="112">
        <f>R66*VLOOKUP($E66,武器奇术!$A:$R,2,FALSE)*(1+T66)*(1+U66)*V66</f>
        <v>7479.5162130378</v>
      </c>
      <c r="AD66" s="110">
        <f t="shared" si="1"/>
        <v>0.00928814000000003</v>
      </c>
      <c r="AE66" s="113">
        <f t="shared" si="2"/>
        <v>12385.5339255535</v>
      </c>
      <c r="AF66" s="114">
        <f>VLOOKUP($E66,武器奇术!$A:$R,3,FALSE)*(1+IF(VLOOKUP($E66,武器奇术!$A:$R,15,FALSE)="武器",$E$15,0))</f>
        <v>595.4</v>
      </c>
      <c r="AG66" s="112">
        <f t="shared" si="3"/>
        <v>595.4</v>
      </c>
      <c r="AH66" s="112">
        <f>VLOOKUP($E66,武器奇术!$A:$R,3,FALSE)*(1+IF(VLOOKUP($E66,武器奇术!$A:$R,15,FALSE)="武器",$E$15,0))</f>
        <v>595.4</v>
      </c>
      <c r="AI66" s="101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AJ66" s="111">
        <f>$E$5+IF(VLOOKUP($E66,武器奇术!$A:$U,21,FALSE)=1,0,0.09)</f>
        <v>0.115</v>
      </c>
      <c r="AK66" s="109">
        <v>1</v>
      </c>
      <c r="AL66" s="112">
        <f t="shared" si="41"/>
        <v>824.527782</v>
      </c>
      <c r="AM66" s="110">
        <f>(1-IF(VLOOKUP($E66,武器奇术!$A:$T,20,FALSE)=1,1,$N66))*(1-$M66)</f>
        <v>0.01072666</v>
      </c>
      <c r="AN66" s="112">
        <f>AG66*(1+AI66)*(1+AJ66)*AK66*(1+$E$16+VLOOKUP($E66,武器奇术!$A:$R,8,FALSE))</f>
        <v>1352.22556248</v>
      </c>
      <c r="AO66" s="110">
        <f t="shared" si="4"/>
        <v>0.8813852</v>
      </c>
      <c r="AP66" s="112">
        <f>AH66*(1+AI66)*(1+AJ66)*AK66*(1+$E$17+VLOOKUP($E66,武器奇术!$A:$R,10,FALSE))</f>
        <v>1113.1125057</v>
      </c>
      <c r="AQ66" s="110">
        <f t="shared" si="5"/>
        <v>0.0986</v>
      </c>
      <c r="AR66" s="112">
        <f t="shared" si="6"/>
        <v>824.527782</v>
      </c>
      <c r="AS66" s="110">
        <f t="shared" si="7"/>
        <v>0.00928814000000003</v>
      </c>
      <c r="AT66" s="113">
        <f t="shared" si="8"/>
        <v>1318.08724954474</v>
      </c>
      <c r="AU66" s="108">
        <f>$B$7*IF($G$5="撼天",1.05,1)+IF(AND(VLOOKUP($E66,武器奇术!$A:$R,15,FALSE)="武器",VLOOKUP($E66,武器奇术!$A:$R,17,FALSE)="鸣金"),$E$3,0)*(1+$E$15)</f>
        <v>0</v>
      </c>
      <c r="AV66" s="99">
        <f>(AU66+AW66)*IF(VLOOKUP($E66,武器奇术!$A:$Z,21,FALSE)=1,$G$15,0.5)</f>
        <v>0</v>
      </c>
      <c r="AW66" s="109">
        <f>MAX($C$7*IF($G$5="撼天",1.05,1)+IF(AND(VLOOKUP($E66,武器奇术!$A:$R,15,FALSE)="武器",VLOOKUP($E66,武器奇术!$A:$R,17,FALSE)="鸣金"),$E$3*(1+$E$15),0),AU66)</f>
        <v>0</v>
      </c>
      <c r="AX66" s="110">
        <f>IF(($D$7+IF(VLOOKUP($E66,武器奇术!$A:$R,17,FALSE)="鸣金",$D$15,0)+IF(VLOOKUP($E66,武器奇术!$A:$R,18,FALSE)=1,4,0)+IF(VLOOKUP($E66,武器奇术!$A:$S,19,FALSE)=1,20,0)-VLOOKUP($F$7,目标属性!$A:$R,6,FALSE))&gt;0,($D$7+IF(VLOOKUP($E66,武器奇术!$A:$R,17,FALSE)="鸣金",$D$15,0)+IF(VLOOKUP($E66,武器奇术!$A:$R,18,FALSE)=1,4,0)+IF(VLOOKUP($E66,武器奇术!$A:$S,19,FALSE)=1,20,0)-VLOOKUP($F$7,目标属性!$A:$R,6,FALSE))/200,($D$7+IF(VLOOKUP($E66,武器奇术!$A:$R,17,FALSE)="鸣金",$D$15,0)+IF(VLOOKUP($E66,武器奇术!$A:$R,18,FALSE)=1,4,0)+IF(VLOOKUP($E66,武器奇术!$A:$S,19,FALSE)=1,20,0)-VLOOKUP($F$7,目标属性!$A:$R,6,FALSE))/100)</f>
        <v>-0.24</v>
      </c>
      <c r="AY66" s="111">
        <f t="shared" si="9"/>
        <v>0</v>
      </c>
      <c r="AZ66" s="109">
        <v>1</v>
      </c>
      <c r="BA66" s="112">
        <f>AU66*IF(VLOOKUP($E66,武器奇术!$A:$R,17,FALSE)="鸣金",VLOOKUP($E66,武器奇术!$A:$R,4,FALSE),VLOOKUP($E66,武器奇术!$A:$R,2,FALSE))*(1+AX66)*(1+AY66)*AZ66</f>
        <v>0</v>
      </c>
      <c r="BB66" s="110">
        <f>(1-IF(VLOOKUP($E66,武器奇术!$A:$T,20,FALSE)=1,1,$N66))*(1-$M66)</f>
        <v>0.01072666</v>
      </c>
      <c r="BC66" s="112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10">
        <f t="shared" si="10"/>
        <v>0.8813852</v>
      </c>
      <c r="BE66" s="112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10">
        <f t="shared" si="11"/>
        <v>0.0986</v>
      </c>
      <c r="BG66" s="112">
        <f>AV66*IF(VLOOKUP($E66,武器奇术!$A:$R,17,FALSE)="鸣金",VLOOKUP($E66,武器奇术!$A:$R,4,FALSE),VLOOKUP($E66,武器奇术!$A:$R,2,FALSE))*(1+AX66)*(1+AY66)*AZ66</f>
        <v>0</v>
      </c>
      <c r="BH66" s="110">
        <f t="shared" si="12"/>
        <v>0.00928814000000003</v>
      </c>
      <c r="BI66" s="113">
        <f t="shared" si="13"/>
        <v>0</v>
      </c>
      <c r="BJ66" s="108">
        <f>$B$9*IF($G$5="撼天",1.05,1)+IF(AND(VLOOKUP($E66,武器奇术!$A:$R,15,FALSE)="武器",VLOOKUP($E66,武器奇术!$A:$R,17,FALSE)="裂石"),$E$3,0)*(1+$E$15)</f>
        <v>0</v>
      </c>
      <c r="BK66" s="99">
        <f>(BJ66+BL66)*IF(VLOOKUP($E66,武器奇术!$A:$Z,21,FALSE)=1,$G$15,0.5)</f>
        <v>0</v>
      </c>
      <c r="BL66" s="109">
        <f>MAX($C$9*IF($G$5="撼天",1.05,1)+IF(AND(VLOOKUP($E66,武器奇术!$A:$R,15,FALSE)="武器",VLOOKUP($E66,武器奇术!$A:$R,17,FALSE)="裂石"),$E$3*(1+$E$15),0),BJ66)</f>
        <v>0</v>
      </c>
      <c r="BM66" s="110">
        <f>IF(($D$9+IF(VLOOKUP($E66,武器奇术!$A:$R,17,FALSE)="裂石",$D$15,0)+IF(VLOOKUP($E66,武器奇术!$A:$R,18,FALSE)=1,4,0)+IF(VLOOKUP($E66,武器奇术!$A:$S,19,FALSE)=1,20,0)-VLOOKUP($F$7,目标属性!$A:$R,6,FALSE))&gt;0,($D$9+IF(VLOOKUP($E66,武器奇术!$A:$R,17,FALSE)="裂石",$D$15,0)+IF(VLOOKUP($E66,武器奇术!$A:$R,18,FALSE)=1,4,0)+IF(VLOOKUP($E66,武器奇术!$A:$S,19,FALSE)=1,20,0)-VLOOKUP($F$7,目标属性!$A:$R,6,FALSE))/200,($D$9+IF(VLOOKUP($E66,武器奇术!$A:$R,17,FALSE)="裂石",$D$15,0)+IF(VLOOKUP($E66,武器奇术!$A:$R,18,FALSE)=1,4,0)+IF(VLOOKUP($E66,武器奇术!$A:$S,19,FALSE)=1,20,0)-VLOOKUP($F$7,目标属性!$A:$R,6,FALSE))/100)</f>
        <v>-0.24</v>
      </c>
      <c r="BN66" s="111">
        <f t="shared" si="14"/>
        <v>0</v>
      </c>
      <c r="BO66" s="109">
        <v>1</v>
      </c>
      <c r="BP66" s="112">
        <f>BJ66*IF(VLOOKUP($E66,武器奇术!$A:$R,17,FALSE)="裂石",VLOOKUP($E66,武器奇术!$A:$R,4,FALSE),VLOOKUP($E66,武器奇术!$A:$R,2,FALSE))*(1+BM66)*(1+BN66)*BO66</f>
        <v>0</v>
      </c>
      <c r="BQ66" s="110">
        <f>(1-IF(VLOOKUP($E66,武器奇术!$A:$T,20,FALSE)=1,1,$N66))*(1-$M66)</f>
        <v>0.01072666</v>
      </c>
      <c r="BR66" s="112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10">
        <f t="shared" si="15"/>
        <v>0.8813852</v>
      </c>
      <c r="BT66" s="112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10">
        <f t="shared" si="16"/>
        <v>0.0986</v>
      </c>
      <c r="BV66" s="112">
        <f>BK66*IF(VLOOKUP($E66,武器奇术!$A:$R,17,FALSE)="裂石",VLOOKUP($E66,武器奇术!$A:$R,4,FALSE),VLOOKUP($E66,武器奇术!$A:$R,2,FALSE))*(1+BM66)*(1+BN66)*BO66</f>
        <v>0</v>
      </c>
      <c r="BW66" s="110">
        <f t="shared" si="17"/>
        <v>0.00928814000000003</v>
      </c>
      <c r="BX66" s="113">
        <f t="shared" si="18"/>
        <v>0</v>
      </c>
      <c r="BY66" s="108">
        <f>$B$11*IF($G$5="撼天",1.05,1)+IF(AND(VLOOKUP($E66,武器奇术!$A:$R,15,FALSE)="武器",VLOOKUP($E66,武器奇术!$A:$R,17,FALSE)="牵丝"),$E$3,0)*(1+$E$15)</f>
        <v>0</v>
      </c>
      <c r="BZ66" s="99">
        <f>(BY66+CA66)*IF(VLOOKUP($E66,武器奇术!$A:$Z,21,FALSE)=1,$G$15,0.5)</f>
        <v>0</v>
      </c>
      <c r="CA66" s="109">
        <f>MAX($C$11*IF($G$5="撼天",1.05,1)+IF(AND(VLOOKUP($E66,武器奇术!$A:$R,15,FALSE)="武器",VLOOKUP($E66,武器奇术!$A:$R,17,FALSE)="牵丝"),$E$3*(1+$E$15),0),BY66)</f>
        <v>0</v>
      </c>
      <c r="CB66" s="110">
        <f>IF(($D$11+IF(VLOOKUP($E66,武器奇术!$A:$R,17,FALSE)="牵丝",$D$15,0)+IF(VLOOKUP($E66,武器奇术!$A:$R,18,FALSE)=1,4,0)+IF(VLOOKUP($E66,武器奇术!$A:$S,19,FALSE)=1,20,0)-VLOOKUP($F$7,目标属性!$A:$R,6,FALSE))&gt;0,($D$11+IF(VLOOKUP($E66,武器奇术!$A:$R,17,FALSE)="牵丝",$D$15,0)+IF(VLOOKUP($E66,武器奇术!$A:$R,18,FALSE)=1,4,0)+IF(VLOOKUP($E66,武器奇术!$A:$S,19,FALSE)=1,20,0)-VLOOKUP($F$7,目标属性!$A:$R,6,FALSE))/200,($D$11+IF(VLOOKUP($E66,武器奇术!$A:$R,17,FALSE)="牵丝",$D$15,0)+IF(VLOOKUP($E66,武器奇术!$A:$R,18,FALSE)=1,4,0)+IF(VLOOKUP($E66,武器奇术!$A:$S,19,FALSE)=1,20,0)-VLOOKUP($F$7,目标属性!$A:$R,6,FALSE))/100)</f>
        <v>-0.24</v>
      </c>
      <c r="CC66" s="111">
        <f t="shared" si="19"/>
        <v>0</v>
      </c>
      <c r="CD66" s="109">
        <v>1</v>
      </c>
      <c r="CE66" s="112">
        <f>BY66*IF(VLOOKUP($E66,武器奇术!$A:$R,17,FALSE)="牵丝",VLOOKUP($E66,武器奇术!$A:$R,4,FALSE),VLOOKUP($E66,武器奇术!$A:$R,2,FALSE))*(1+CB66)*(1+CC66)*CD66</f>
        <v>0</v>
      </c>
      <c r="CF66" s="110">
        <f>(1-IF(VLOOKUP($E66,武器奇术!$A:$T,20,FALSE)=1,1,$N66))*(1-$M66)</f>
        <v>0.01072666</v>
      </c>
      <c r="CG66" s="112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110">
        <f t="shared" si="20"/>
        <v>0.8813852</v>
      </c>
      <c r="CI66" s="112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110">
        <f t="shared" si="21"/>
        <v>0.0986</v>
      </c>
      <c r="CK66" s="112">
        <f>BZ66*IF(VLOOKUP($E66,武器奇术!$A:$R,17,FALSE)="牵丝",VLOOKUP($E66,武器奇术!$A:$R,4,FALSE),VLOOKUP($E66,武器奇术!$A:$R,2,FALSE))*(1+CB66)*(1+CC66)*CD66</f>
        <v>0</v>
      </c>
      <c r="CL66" s="110">
        <f t="shared" si="22"/>
        <v>0.00928814000000003</v>
      </c>
      <c r="CM66" s="113">
        <f t="shared" si="23"/>
        <v>0</v>
      </c>
      <c r="CN66" s="108">
        <f>$B$13*IF($G$5="撼天",1.05,1)+IF(AND(VLOOKUP($E66,武器奇术!$A:$R,15,FALSE)="武器",VLOOKUP($E66,武器奇术!$A:$R,17,FALSE)="破竹"),$E$3,0)*(1+$E$15)</f>
        <v>648.46</v>
      </c>
      <c r="CO66" s="99">
        <f>IF(VLOOKUP($E66,武器奇术!$A:$Z,20,FALSE)=1,(CP66-(CN66+CP66)*0.5)*($G$15-0.5)*2+(CN66+CP66)*0.5,(CN66+CP66)*0.5)</f>
        <v>875.26</v>
      </c>
      <c r="CP66" s="109">
        <f>MAX($C$13*IF($G$5="撼天",1.05,1)+IF(AND(VLOOKUP($E66,武器奇术!$A:$R,15,FALSE)="武器",VLOOKUP($E66,武器奇术!$A:$R,17,FALSE)="破竹"),$E$3*(1+$E$15),0),CN66)</f>
        <v>1102.06</v>
      </c>
      <c r="CQ66" s="110">
        <f>IF(($D$13+IF(VLOOKUP($E66,武器奇术!$A:$R,17,FALSE)="破竹",$D$15,0)+IF(VLOOKUP($E66,武器奇术!$A:$R,18,FALSE)=1,4,0)+IF(VLOOKUP($E66,武器奇术!$A:$S,19,FALSE)=1,20,0)-VLOOKUP($F$7,目标属性!$A:$R,6,FALSE))&gt;0,($D$13+IF(VLOOKUP($E66,武器奇术!$A:$R,17,FALSE)="破竹",$D$15,0)+IF(VLOOKUP($E66,武器奇术!$A:$R,18,FALSE)=1,4,0)+IF(VLOOKUP($E66,武器奇术!$A:$S,19,FALSE)=1,20,0)-VLOOKUP($F$7,目标属性!$A:$R,6,FALSE))/200,($D$13+IF(VLOOKUP($E66,武器奇术!$A:$R,17,FALSE)="破竹",$D$15,0)+IF(VLOOKUP($E66,武器奇术!$A:$R,18,FALSE)=1,4,0)+IF(VLOOKUP($E66,武器奇术!$A:$S,19,FALSE)=1,20,0)-VLOOKUP($F$7,目标属性!$A:$R,6,FALSE))/100)</f>
        <v>0.025</v>
      </c>
      <c r="CR66" s="111">
        <f>$E$13+IF(VLOOKUP($E66,武器奇术!$A:$U,21,FALSE)=1,0,0.09)</f>
        <v>0.235</v>
      </c>
      <c r="CS66" s="109">
        <v>1</v>
      </c>
      <c r="CT66" s="112">
        <f>CN66*IF(VLOOKUP($E66,武器奇术!$A:$R,17,FALSE)="破竹",VLOOKUP($E66,武器奇术!$A:$R,4,FALSE),VLOOKUP($E66,武器奇术!$A:$R,2,FALSE))*(1+CQ66)*(1+CR66)*CS66</f>
        <v>2041.994476899</v>
      </c>
      <c r="CU66" s="110">
        <f>(1-IF(VLOOKUP($E66,武器奇术!$A:$T,20,FALSE)=1,1,$N66))*(1-$M66)</f>
        <v>0.01072666</v>
      </c>
      <c r="CV66" s="112">
        <f>CO66*IF(VLOOKUP($E66,武器奇术!$A:$R,17,FALSE)="破竹",VLOOKUP($E66,武器奇术!$A:$R,4,FALSE),VLOOKUP($E66,武器奇术!$A:$R,2,FALSE))*(1+CQ66)*(1+CR66)*CS66*(1+$E$16+VLOOKUP($E66,武器奇术!$A:$R,8,FALSE))</f>
        <v>4520.14431236316</v>
      </c>
      <c r="CW66" s="110">
        <f t="shared" si="24"/>
        <v>0.8813852</v>
      </c>
      <c r="CX66" s="112">
        <f>CP66*IF(VLOOKUP($E66,武器奇术!$A:$R,17,FALSE)="破竹",VLOOKUP($E66,武器奇术!$A:$R,4,FALSE),VLOOKUP($E66,武器奇术!$A:$R,2,FALSE))*(1+CQ66)*(1+CR66)*CS66*(1+$E$17+VLOOKUP($E66,武器奇术!$A:$R,10,FALSE))</f>
        <v>4685.00845824765</v>
      </c>
      <c r="CY66" s="110">
        <f t="shared" si="25"/>
        <v>0.0986</v>
      </c>
      <c r="CZ66" s="112">
        <f>CO66*IF(VLOOKUP($E66,武器奇术!$A:$R,17,FALSE)="破竹",VLOOKUP($E66,武器奇术!$A:$R,4,FALSE),VLOOKUP($E66,武器奇术!$A:$R,2,FALSE))*(1+CQ66)*(1+CR66)*CS66</f>
        <v>2756.185556319</v>
      </c>
      <c r="DA66" s="110">
        <f t="shared" si="26"/>
        <v>0.00928814000000003</v>
      </c>
      <c r="DB66" s="113">
        <f t="shared" si="27"/>
        <v>4493.43375055293</v>
      </c>
      <c r="DC66" s="108">
        <f t="shared" si="36"/>
        <v>69.3</v>
      </c>
      <c r="DD66" s="99">
        <f>(DC66+DE66)*IF(VLOOKUP($E66,武器奇术!$A:$Z,21,FALSE)=1,$G$15,0.5)</f>
        <v>69.3</v>
      </c>
      <c r="DE66" s="109">
        <f t="shared" si="37"/>
        <v>69.3</v>
      </c>
      <c r="DF66" s="110">
        <f>IF(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100)</f>
        <v>0.025</v>
      </c>
      <c r="DG66" s="111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U,21,FALSE)=1,0,0.09)</f>
        <v>0.235</v>
      </c>
      <c r="DH66" s="109">
        <v>1</v>
      </c>
      <c r="DI66" s="112">
        <f>DC66*IF(VLOOKUP($E66,武器奇术!$A:$R,17,FALSE)="破竹",VLOOKUP($E66,武器奇术!$A:$R,4,FALSE),VLOOKUP($E66,武器奇术!$A:$R,2,FALSE))*(1+DF66)*(1+DG66)*DH66</f>
        <v>218.225052045</v>
      </c>
      <c r="DJ66" s="110">
        <f>(1-IF(VLOOKUP($E66,武器奇术!$A:$T,20,FALSE)=1,1,$N66))*(1-$M66)</f>
        <v>0.01072666</v>
      </c>
      <c r="DK66" s="112">
        <f>DD66*IF(VLOOKUP($E66,武器奇术!$A:$R,17,FALSE)="破竹",VLOOKUP($E66,武器奇术!$A:$R,4,FALSE),VLOOKUP($E66,武器奇术!$A:$R,2,FALSE))*(1+DF66)*(1+DG66)*DH66*(1+$E$16+VLOOKUP($E66,武器奇术!$A:$R,8,FALSE))</f>
        <v>357.8890853538</v>
      </c>
      <c r="DL66" s="110">
        <f t="shared" si="28"/>
        <v>0.8813852</v>
      </c>
      <c r="DM66" s="112">
        <f>DE66*IF(VLOOKUP($E66,武器奇术!$A:$R,17,FALSE)="破竹",VLOOKUP($E66,武器奇术!$A:$R,4,FALSE),VLOOKUP($E66,武器奇术!$A:$R,2,FALSE))*(1+DF66)*(1+DG66)*DH66*(1+$E$17+VLOOKUP($E66,武器奇术!$A:$R,10,FALSE))</f>
        <v>294.60382026075</v>
      </c>
      <c r="DN66" s="110">
        <f t="shared" si="29"/>
        <v>0.0986</v>
      </c>
      <c r="DO66" s="112">
        <f>DD66*IF(VLOOKUP($E66,武器奇术!$A:$R,17,FALSE)="破竹",VLOOKUP($E66,武器奇术!$A:$R,4,FALSE),VLOOKUP($E66,武器奇术!$A:$R,2,FALSE))*(1+DF66)*(1+DG66)*DH66</f>
        <v>218.225052045</v>
      </c>
      <c r="DP66" s="110">
        <f t="shared" si="30"/>
        <v>0.00928814000000003</v>
      </c>
      <c r="DQ66" s="113">
        <f t="shared" si="31"/>
        <v>348.853810521756</v>
      </c>
    </row>
    <row r="67" customFormat="1" spans="1:121">
      <c r="A67" s="36"/>
      <c r="B67" t="s">
        <v>160</v>
      </c>
      <c r="C67">
        <v>0.8</v>
      </c>
      <c r="D67"/>
      <c r="E67" s="98" t="s">
        <v>129</v>
      </c>
      <c r="F67" s="99">
        <v>1</v>
      </c>
      <c r="G67" s="115"/>
      <c r="H67" s="100">
        <f>IF(VLOOKUP($E67,武器奇术!$A:$R,18,FALSE)="天工",AE67,(AE67+AT67+BI67+BX67+CM67+DB67+DQ67))*(1+J67)*F67*K67*(1+G67)</f>
        <v>45095.3946765722</v>
      </c>
      <c r="I67" s="101">
        <f t="shared" si="0"/>
        <v>0.00556760882743556</v>
      </c>
      <c r="J67" s="101">
        <f>$F$3+VLOOKUP($E67,武器奇术!$A:$R,12,FALSE)+VLOOKUP($E67,武器奇术!$A:$R,14,FALSE)*$G$3+$P67</f>
        <v>0.687</v>
      </c>
      <c r="K67" s="102">
        <f>VLOOKUP($E67,武器奇术!$A:$R,11,FALSE)</f>
        <v>1</v>
      </c>
      <c r="L67" s="117">
        <f>IF(VLOOKUP($E67,武器奇术!$A:$R,15,FALSE)="天工",0%,IF($C$17+VLOOKUP($E67,武器奇术!$A:$R,7,FALSE)&gt;80%,80%,$C$17+VLOOKUP($E67,武器奇术!$A:$R,7,FALSE))+IF($C$19&gt;20%,20%,$C$19))</f>
        <v>0.892</v>
      </c>
      <c r="M67" s="118">
        <f>IF(VLOOKUP($E67,武器奇术!$A:$R,15,FALSE)="天工",0%,IF($C$18+VLOOKUP($E67,武器奇术!$A:$R,9,FALSE)&gt;40%,40%,$C$18+VLOOKUP($E67,武器奇术!$A:$R,9,FALSE))+IF($C$20&gt;10%,10%,$C$20))</f>
        <v>0.0986</v>
      </c>
      <c r="N67" s="119">
        <f>IF(VLOOKUP($E67,武器奇术!$A:$R,15,FALSE)="天工",100%,MIN($C$16,1))</f>
        <v>0.9881</v>
      </c>
      <c r="O67" s="120" t="str">
        <f>VLOOKUP($E67,武器奇术!$A:$R,16,FALSE)</f>
        <v>绳标</v>
      </c>
      <c r="P67" s="121">
        <f t="shared" si="38"/>
        <v>0.084</v>
      </c>
      <c r="Q67" s="108">
        <f>$B$5*(1+VLOOKUP($E67,武器奇术!$A:$R,5,FALSE)+IF($G$5="飞隼",0.1,0)+IF($G$5="撼天",0.05,0))-$F$9+IF($I$5="√",160,0)</f>
        <v>1731.135</v>
      </c>
      <c r="R67" s="99">
        <f>IF(VLOOKUP($E67,武器奇术!$A:$Z,20,FALSE)=1,(S67-(Q67+S67)*0.5)*($G$15-0.5)*2+(Q67+S67)*0.5,(Q67+S67)*0.5)</f>
        <v>3256.775</v>
      </c>
      <c r="S67" s="109">
        <f>MAX($C$5,$B$5)*(1+VLOOKUP($E67,武器奇术!$A:$R,5,FALSE)+IF($G$5="飞隼",0.1,0)+IF($G$5="撼天",0.05,0))-$F$9+IF($I$5="√",320,0)</f>
        <v>4782.415</v>
      </c>
      <c r="T67" s="101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U67" s="111">
        <f>$E$5+IF(VLOOKUP($E67,武器奇术!$A:$U,21,FALSE)=1,0,0.09)</f>
        <v>0.115</v>
      </c>
      <c r="V67" s="109">
        <v>1</v>
      </c>
      <c r="W67" s="112">
        <f>Q67*VLOOKUP($E67,武器奇术!$A:$R,2,FALSE)*(1+T67)*(1+U67)*V67</f>
        <v>5595.154346628</v>
      </c>
      <c r="X67" s="110">
        <f>(1-IF(VLOOKUP($E67,武器奇术!$A:$T,20,FALSE)=1,1,$N67))*(1-$M67)</f>
        <v>0.01072666</v>
      </c>
      <c r="Y67" s="112">
        <f>R67*VLOOKUP($E67,武器奇术!$A:$R,2,FALSE)*(1+T67)*(1+U67)*V67*(1+$E$16+VLOOKUP($E67,武器奇术!$A:$R,8,FALSE))</f>
        <v>20420.6997528468</v>
      </c>
      <c r="Z67" s="110">
        <f t="shared" si="39"/>
        <v>0.8813852</v>
      </c>
      <c r="AA67" s="112">
        <f>S67*VLOOKUP($E67,武器奇术!$A:$R,2,FALSE)*(1+T67)*(1+U67)*V67*(1+$E$17+VLOOKUP($E67,武器奇术!$A:$R,10,FALSE))</f>
        <v>20867.1031437462</v>
      </c>
      <c r="AB67" s="110">
        <f t="shared" si="40"/>
        <v>0.0986</v>
      </c>
      <c r="AC67" s="112">
        <f>R67*VLOOKUP($E67,武器奇术!$A:$R,2,FALSE)*(1+T67)*(1+U67)*V67</f>
        <v>10526.13389322</v>
      </c>
      <c r="AD67" s="110">
        <f t="shared" si="1"/>
        <v>0.00928814000000003</v>
      </c>
      <c r="AE67" s="113">
        <f t="shared" si="2"/>
        <v>20213.784429359</v>
      </c>
      <c r="AF67" s="114">
        <f>VLOOKUP($E67,武器奇术!$A:$R,3,FALSE)*(1+IF(VLOOKUP($E67,武器奇术!$A:$R,15,FALSE)="武器",$E$15,0))</f>
        <v>0</v>
      </c>
      <c r="AG67" s="112">
        <f t="shared" si="3"/>
        <v>0</v>
      </c>
      <c r="AH67" s="112">
        <f>VLOOKUP($E67,武器奇术!$A:$R,3,FALSE)*(1+IF(VLOOKUP($E67,武器奇术!$A:$R,15,FALSE)="武器",$E$15,0))</f>
        <v>0</v>
      </c>
      <c r="AI67" s="101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AJ67" s="111">
        <f>$E$5+IF(VLOOKUP($E67,武器奇术!$A:$U,21,FALSE)=1,0,0.09)</f>
        <v>0.115</v>
      </c>
      <c r="AK67" s="109">
        <v>1</v>
      </c>
      <c r="AL67" s="112">
        <f t="shared" si="41"/>
        <v>0</v>
      </c>
      <c r="AM67" s="110">
        <f>(1-IF(VLOOKUP($E67,武器奇术!$A:$T,20,FALSE)=1,1,$N67))*(1-$M67)</f>
        <v>0.01072666</v>
      </c>
      <c r="AN67" s="112">
        <f>AG67*(1+AI67)*(1+AJ67)*AK67*(1+$E$16+VLOOKUP($E67,武器奇术!$A:$R,8,FALSE))</f>
        <v>0</v>
      </c>
      <c r="AO67" s="110">
        <f t="shared" si="4"/>
        <v>0.8813852</v>
      </c>
      <c r="AP67" s="112">
        <f>AH67*(1+AI67)*(1+AJ67)*AK67*(1+$E$17+VLOOKUP($E67,武器奇术!$A:$R,10,FALSE))</f>
        <v>0</v>
      </c>
      <c r="AQ67" s="110">
        <f t="shared" si="5"/>
        <v>0.0986</v>
      </c>
      <c r="AR67" s="112">
        <f t="shared" si="6"/>
        <v>0</v>
      </c>
      <c r="AS67" s="110">
        <f t="shared" si="7"/>
        <v>0.00928814000000003</v>
      </c>
      <c r="AT67" s="113">
        <f t="shared" si="8"/>
        <v>0</v>
      </c>
      <c r="AU67" s="108">
        <f>$B$7*IF($G$5="撼天",1.05,1)+IF(AND(VLOOKUP($E67,武器奇术!$A:$R,15,FALSE)="武器",VLOOKUP($E67,武器奇术!$A:$R,17,FALSE)="鸣金"),$E$3,0)*(1+$E$15)</f>
        <v>0</v>
      </c>
      <c r="AV67" s="99">
        <f>(AU67+AW67)*IF(VLOOKUP($E67,武器奇术!$A:$Z,21,FALSE)=1,$G$15,0.5)</f>
        <v>0</v>
      </c>
      <c r="AW67" s="109">
        <f>MAX($C$7*IF($G$5="撼天",1.05,1)+IF(AND(VLOOKUP($E67,武器奇术!$A:$R,15,FALSE)="武器",VLOOKUP($E67,武器奇术!$A:$R,17,FALSE)="鸣金"),$E$3*(1+$E$15),0),AU67)</f>
        <v>0</v>
      </c>
      <c r="AX67" s="110">
        <f>IF(($D$7+IF(VLOOKUP($E67,武器奇术!$A:$R,17,FALSE)="鸣金",$D$15,0)+IF(VLOOKUP($E67,武器奇术!$A:$R,18,FALSE)=1,4,0)+IF(VLOOKUP($E67,武器奇术!$A:$S,19,FALSE)=1,20,0)-VLOOKUP($F$7,目标属性!$A:$R,6,FALSE))&gt;0,($D$7+IF(VLOOKUP($E67,武器奇术!$A:$R,17,FALSE)="鸣金",$D$15,0)+IF(VLOOKUP($E67,武器奇术!$A:$R,18,FALSE)=1,4,0)+IF(VLOOKUP($E67,武器奇术!$A:$S,19,FALSE)=1,20,0)-VLOOKUP($F$7,目标属性!$A:$R,6,FALSE))/200,($D$7+IF(VLOOKUP($E67,武器奇术!$A:$R,17,FALSE)="鸣金",$D$15,0)+IF(VLOOKUP($E67,武器奇术!$A:$R,18,FALSE)=1,4,0)+IF(VLOOKUP($E67,武器奇术!$A:$S,19,FALSE)=1,20,0)-VLOOKUP($F$7,目标属性!$A:$R,6,FALSE))/100)</f>
        <v>0</v>
      </c>
      <c r="AY67" s="111">
        <f t="shared" si="9"/>
        <v>0</v>
      </c>
      <c r="AZ67" s="109">
        <v>1</v>
      </c>
      <c r="BA67" s="112">
        <f>AU67*IF(VLOOKUP($E67,武器奇术!$A:$R,17,FALSE)="鸣金",VLOOKUP($E67,武器奇术!$A:$R,4,FALSE),VLOOKUP($E67,武器奇术!$A:$R,2,FALSE))*(1+AX67)*(1+AY67)*AZ67</f>
        <v>0</v>
      </c>
      <c r="BB67" s="110">
        <f>(1-IF(VLOOKUP($E67,武器奇术!$A:$T,20,FALSE)=1,1,$N67))*(1-$M67)</f>
        <v>0.01072666</v>
      </c>
      <c r="BC67" s="112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10">
        <f t="shared" si="10"/>
        <v>0.8813852</v>
      </c>
      <c r="BE67" s="112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10">
        <f t="shared" si="11"/>
        <v>0.0986</v>
      </c>
      <c r="BG67" s="112">
        <f>AV67*IF(VLOOKUP($E67,武器奇术!$A:$R,17,FALSE)="鸣金",VLOOKUP($E67,武器奇术!$A:$R,4,FALSE),VLOOKUP($E67,武器奇术!$A:$R,2,FALSE))*(1+AX67)*(1+AY67)*AZ67</f>
        <v>0</v>
      </c>
      <c r="BH67" s="110">
        <f t="shared" si="12"/>
        <v>0.00928814000000003</v>
      </c>
      <c r="BI67" s="113">
        <f t="shared" si="13"/>
        <v>0</v>
      </c>
      <c r="BJ67" s="108">
        <f>$B$9*IF($G$5="撼天",1.05,1)+IF(AND(VLOOKUP($E67,武器奇术!$A:$R,15,FALSE)="武器",VLOOKUP($E67,武器奇术!$A:$R,17,FALSE)="裂石"),$E$3,0)*(1+$E$15)</f>
        <v>0</v>
      </c>
      <c r="BK67" s="99">
        <f>(BJ67+BL67)*IF(VLOOKUP($E67,武器奇术!$A:$Z,21,FALSE)=1,$G$15,0.5)</f>
        <v>0</v>
      </c>
      <c r="BL67" s="109">
        <f>MAX($C$9*IF($G$5="撼天",1.05,1)+IF(AND(VLOOKUP($E67,武器奇术!$A:$R,15,FALSE)="武器",VLOOKUP($E67,武器奇术!$A:$R,17,FALSE)="裂石"),$E$3*(1+$E$15),0),BJ67)</f>
        <v>0</v>
      </c>
      <c r="BM67" s="110">
        <f>IF(($D$9+IF(VLOOKUP($E67,武器奇术!$A:$R,17,FALSE)="裂石",$D$15,0)+IF(VLOOKUP($E67,武器奇术!$A:$R,18,FALSE)=1,4,0)+IF(VLOOKUP($E67,武器奇术!$A:$S,19,FALSE)=1,20,0)-VLOOKUP($F$7,目标属性!$A:$R,6,FALSE))&gt;0,($D$9+IF(VLOOKUP($E67,武器奇术!$A:$R,17,FALSE)="裂石",$D$15,0)+IF(VLOOKUP($E67,武器奇术!$A:$R,18,FALSE)=1,4,0)+IF(VLOOKUP($E67,武器奇术!$A:$S,19,FALSE)=1,20,0)-VLOOKUP($F$7,目标属性!$A:$R,6,FALSE))/200,($D$9+IF(VLOOKUP($E67,武器奇术!$A:$R,17,FALSE)="裂石",$D$15,0)+IF(VLOOKUP($E67,武器奇术!$A:$R,18,FALSE)=1,4,0)+IF(VLOOKUP($E67,武器奇术!$A:$S,19,FALSE)=1,20,0)-VLOOKUP($F$7,目标属性!$A:$R,6,FALSE))/100)</f>
        <v>0</v>
      </c>
      <c r="BN67" s="111">
        <f t="shared" si="14"/>
        <v>0</v>
      </c>
      <c r="BO67" s="109">
        <v>1</v>
      </c>
      <c r="BP67" s="112">
        <f>BJ67*IF(VLOOKUP($E67,武器奇术!$A:$R,17,FALSE)="裂石",VLOOKUP($E67,武器奇术!$A:$R,4,FALSE),VLOOKUP($E67,武器奇术!$A:$R,2,FALSE))*(1+BM67)*(1+BN67)*BO67</f>
        <v>0</v>
      </c>
      <c r="BQ67" s="110">
        <f>(1-IF(VLOOKUP($E67,武器奇术!$A:$T,20,FALSE)=1,1,$N67))*(1-$M67)</f>
        <v>0.01072666</v>
      </c>
      <c r="BR67" s="112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10">
        <f t="shared" si="15"/>
        <v>0.8813852</v>
      </c>
      <c r="BT67" s="112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10">
        <f t="shared" si="16"/>
        <v>0.0986</v>
      </c>
      <c r="BV67" s="112">
        <f>BK67*IF(VLOOKUP($E67,武器奇术!$A:$R,17,FALSE)="裂石",VLOOKUP($E67,武器奇术!$A:$R,4,FALSE),VLOOKUP($E67,武器奇术!$A:$R,2,FALSE))*(1+BM67)*(1+BN67)*BO67</f>
        <v>0</v>
      </c>
      <c r="BW67" s="110">
        <f t="shared" si="17"/>
        <v>0.00928814000000003</v>
      </c>
      <c r="BX67" s="113">
        <f t="shared" si="18"/>
        <v>0</v>
      </c>
      <c r="BY67" s="108">
        <f>$B$11*IF($G$5="撼天",1.05,1)+IF(AND(VLOOKUP($E67,武器奇术!$A:$R,15,FALSE)="武器",VLOOKUP($E67,武器奇术!$A:$R,17,FALSE)="牵丝"),$E$3,0)*(1+$E$15)</f>
        <v>0</v>
      </c>
      <c r="BZ67" s="99">
        <f>(BY67+CA67)*IF(VLOOKUP($E67,武器奇术!$A:$Z,21,FALSE)=1,$G$15,0.5)</f>
        <v>0</v>
      </c>
      <c r="CA67" s="109">
        <f>MAX($C$11*IF($G$5="撼天",1.05,1)+IF(AND(VLOOKUP($E67,武器奇术!$A:$R,15,FALSE)="武器",VLOOKUP($E67,武器奇术!$A:$R,17,FALSE)="牵丝"),$E$3*(1+$E$15),0),BY67)</f>
        <v>0</v>
      </c>
      <c r="CB67" s="110">
        <f>IF(($D$11+IF(VLOOKUP($E67,武器奇术!$A:$R,17,FALSE)="牵丝",$D$15,0)+IF(VLOOKUP($E67,武器奇术!$A:$R,18,FALSE)=1,4,0)+IF(VLOOKUP($E67,武器奇术!$A:$S,19,FALSE)=1,20,0)-VLOOKUP($F$7,目标属性!$A:$R,6,FALSE))&gt;0,($D$11+IF(VLOOKUP($E67,武器奇术!$A:$R,17,FALSE)="牵丝",$D$15,0)+IF(VLOOKUP($E67,武器奇术!$A:$R,18,FALSE)=1,4,0)+IF(VLOOKUP($E67,武器奇术!$A:$S,19,FALSE)=1,20,0)-VLOOKUP($F$7,目标属性!$A:$R,6,FALSE))/200,($D$11+IF(VLOOKUP($E67,武器奇术!$A:$R,17,FALSE)="牵丝",$D$15,0)+IF(VLOOKUP($E67,武器奇术!$A:$R,18,FALSE)=1,4,0)+IF(VLOOKUP($E67,武器奇术!$A:$S,19,FALSE)=1,20,0)-VLOOKUP($F$7,目标属性!$A:$R,6,FALSE))/100)</f>
        <v>0</v>
      </c>
      <c r="CC67" s="111">
        <f t="shared" si="19"/>
        <v>0</v>
      </c>
      <c r="CD67" s="109">
        <v>1</v>
      </c>
      <c r="CE67" s="112">
        <f>BY67*IF(VLOOKUP($E67,武器奇术!$A:$R,17,FALSE)="牵丝",VLOOKUP($E67,武器奇术!$A:$R,4,FALSE),VLOOKUP($E67,武器奇术!$A:$R,2,FALSE))*(1+CB67)*(1+CC67)*CD67</f>
        <v>0</v>
      </c>
      <c r="CF67" s="110">
        <f>(1-IF(VLOOKUP($E67,武器奇术!$A:$T,20,FALSE)=1,1,$N67))*(1-$M67)</f>
        <v>0.01072666</v>
      </c>
      <c r="CG67" s="112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110">
        <f t="shared" si="20"/>
        <v>0.8813852</v>
      </c>
      <c r="CI67" s="112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110">
        <f t="shared" si="21"/>
        <v>0.0986</v>
      </c>
      <c r="CK67" s="112">
        <f>BZ67*IF(VLOOKUP($E67,武器奇术!$A:$R,17,FALSE)="牵丝",VLOOKUP($E67,武器奇术!$A:$R,4,FALSE),VLOOKUP($E67,武器奇术!$A:$R,2,FALSE))*(1+CB67)*(1+CC67)*CD67</f>
        <v>0</v>
      </c>
      <c r="CL67" s="110">
        <f t="shared" si="22"/>
        <v>0.00928814000000003</v>
      </c>
      <c r="CM67" s="113">
        <f t="shared" si="23"/>
        <v>0</v>
      </c>
      <c r="CN67" s="108">
        <f>$B$13*IF($G$5="撼天",1.05,1)+IF(AND(VLOOKUP($E67,武器奇术!$A:$R,15,FALSE)="武器",VLOOKUP($E67,武器奇术!$A:$R,17,FALSE)="破竹"),$E$3,0)*(1+$E$15)</f>
        <v>452.55</v>
      </c>
      <c r="CO67" s="99">
        <f>IF(VLOOKUP($E67,武器奇术!$A:$Z,20,FALSE)=1,(CP67-(CN67+CP67)*0.5)*($G$15-0.5)*2+(CN67+CP67)*0.5,(CN67+CP67)*0.5)</f>
        <v>679.35</v>
      </c>
      <c r="CP67" s="109">
        <f>MAX($C$13*IF($G$5="撼天",1.05,1)+IF(AND(VLOOKUP($E67,武器奇术!$A:$R,15,FALSE)="武器",VLOOKUP($E67,武器奇术!$A:$R,17,FALSE)="破竹"),$E$3*(1+$E$15),0),CN67)</f>
        <v>906.15</v>
      </c>
      <c r="CQ67" s="110">
        <f>IF(($D$13+IF(VLOOKUP($E67,武器奇术!$A:$R,17,FALSE)="破竹",$D$15,0)+IF(VLOOKUP($E67,武器奇术!$A:$R,18,FALSE)=1,4,0)+IF(VLOOKUP($E67,武器奇术!$A:$S,19,FALSE)=1,20,0)-VLOOKUP($F$7,目标属性!$A:$R,6,FALSE))&gt;0,($D$13+IF(VLOOKUP($E67,武器奇术!$A:$R,17,FALSE)="破竹",$D$15,0)+IF(VLOOKUP($E67,武器奇术!$A:$R,18,FALSE)=1,4,0)+IF(VLOOKUP($E67,武器奇术!$A:$S,19,FALSE)=1,20,0)-VLOOKUP($F$7,目标属性!$A:$R,6,FALSE))/200,($D$13+IF(VLOOKUP($E67,武器奇术!$A:$R,17,FALSE)="破竹",$D$15,0)+IF(VLOOKUP($E67,武器奇术!$A:$R,18,FALSE)=1,4,0)+IF(VLOOKUP($E67,武器奇术!$A:$S,19,FALSE)=1,20,0)-VLOOKUP($F$7,目标属性!$A:$R,6,FALSE))/100)</f>
        <v>0.145</v>
      </c>
      <c r="CR67" s="111">
        <f>$E$13+IF(VLOOKUP($E67,武器奇术!$A:$U,21,FALSE)=1,0,0.09)</f>
        <v>0.235</v>
      </c>
      <c r="CS67" s="109">
        <v>1</v>
      </c>
      <c r="CT67" s="112">
        <f>CN67*IF(VLOOKUP($E67,武器奇术!$A:$R,17,FALSE)="破竹",VLOOKUP($E67,武器奇术!$A:$R,4,FALSE),VLOOKUP($E67,武器奇术!$A:$R,2,FALSE))*(1+CQ67)*(1+CR67)*CS67</f>
        <v>2073.40443765</v>
      </c>
      <c r="CU67" s="110">
        <f>(1-IF(VLOOKUP($E67,武器奇术!$A:$T,20,FALSE)=1,1,$N67))*(1-$M67)</f>
        <v>0.01072666</v>
      </c>
      <c r="CV67" s="112">
        <f>CO67*IF(VLOOKUP($E67,武器奇术!$A:$R,17,FALSE)="破竹",VLOOKUP($E67,武器奇术!$A:$R,4,FALSE),VLOOKUP($E67,武器奇术!$A:$R,2,FALSE))*(1+CQ67)*(1+CR67)*CS67*(1+$E$16+VLOOKUP($E67,武器奇术!$A:$R,8,FALSE))</f>
        <v>6038.273276217</v>
      </c>
      <c r="CW67" s="110">
        <f t="shared" si="24"/>
        <v>0.8813852</v>
      </c>
      <c r="CX67" s="112">
        <f>CP67*IF(VLOOKUP($E67,武器奇术!$A:$R,17,FALSE)="破竹",VLOOKUP($E67,武器奇术!$A:$R,4,FALSE),VLOOKUP($E67,武器奇术!$A:$R,2,FALSE))*(1+CQ67)*(1+CR67)*CS67*(1+$E$17+VLOOKUP($E67,武器奇术!$A:$R,10,FALSE))</f>
        <v>5604.6864039075</v>
      </c>
      <c r="CY67" s="110">
        <f t="shared" si="25"/>
        <v>0.0986</v>
      </c>
      <c r="CZ67" s="112">
        <f>CO67*IF(VLOOKUP($E67,武器奇术!$A:$R,17,FALSE)="破竹",VLOOKUP($E67,武器奇术!$A:$R,4,FALSE),VLOOKUP($E67,武器奇术!$A:$R,2,FALSE))*(1+CQ67)*(1+CR67)*CS67</f>
        <v>3112.51199805</v>
      </c>
      <c r="DA67" s="110">
        <f t="shared" si="26"/>
        <v>0.00928814000000003</v>
      </c>
      <c r="DB67" s="113">
        <f t="shared" si="27"/>
        <v>5925.81693027318</v>
      </c>
      <c r="DC67" s="108">
        <f t="shared" si="36"/>
        <v>69.3</v>
      </c>
      <c r="DD67" s="99">
        <f>(DC67+DE67)*IF(VLOOKUP($E67,武器奇术!$A:$Z,21,FALSE)=1,$G$15,0.5)</f>
        <v>69.3</v>
      </c>
      <c r="DE67" s="109">
        <f t="shared" si="37"/>
        <v>69.3</v>
      </c>
      <c r="DF67" s="110">
        <f>IF(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100)</f>
        <v>0.145</v>
      </c>
      <c r="DG67" s="111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U,21,FALSE)=1,0,0.09)</f>
        <v>0.235</v>
      </c>
      <c r="DH67" s="109">
        <v>1</v>
      </c>
      <c r="DI67" s="112">
        <f>DC67*IF(VLOOKUP($E67,武器奇术!$A:$R,17,FALSE)="破竹",VLOOKUP($E67,武器奇术!$A:$R,4,FALSE),VLOOKUP($E67,武器奇术!$A:$R,2,FALSE))*(1+DF67)*(1+DG67)*DH67</f>
        <v>317.5050879</v>
      </c>
      <c r="DJ67" s="110">
        <f>(1-IF(VLOOKUP($E67,武器奇术!$A:$T,20,FALSE)=1,1,$N67))*(1-$M67)</f>
        <v>0.01072666</v>
      </c>
      <c r="DK67" s="112">
        <f>DD67*IF(VLOOKUP($E67,武器奇术!$A:$R,17,FALSE)="破竹",VLOOKUP($E67,武器奇术!$A:$R,4,FALSE),VLOOKUP($E67,武器奇术!$A:$R,2,FALSE))*(1+DF67)*(1+DG67)*DH67*(1+$E$16+VLOOKUP($E67,武器奇术!$A:$R,8,FALSE))</f>
        <v>615.959870526</v>
      </c>
      <c r="DL67" s="110">
        <f t="shared" si="28"/>
        <v>0.8813852</v>
      </c>
      <c r="DM67" s="112">
        <f>DE67*IF(VLOOKUP($E67,武器奇术!$A:$R,17,FALSE)="破竹",VLOOKUP($E67,武器奇术!$A:$R,4,FALSE),VLOOKUP($E67,武器奇术!$A:$R,2,FALSE))*(1+DF67)*(1+DG67)*DH67*(1+$E$17+VLOOKUP($E67,武器奇术!$A:$R,10,FALSE))</f>
        <v>428.631868665</v>
      </c>
      <c r="DN67" s="110">
        <f t="shared" si="29"/>
        <v>0.0986</v>
      </c>
      <c r="DO67" s="112">
        <f>DD67*IF(VLOOKUP($E67,武器奇术!$A:$R,17,FALSE)="破竹",VLOOKUP($E67,武器奇术!$A:$R,4,FALSE),VLOOKUP($E67,武器奇术!$A:$R,2,FALSE))*(1+DF67)*(1+DG67)*DH67</f>
        <v>317.5050879</v>
      </c>
      <c r="DP67" s="110">
        <f t="shared" si="30"/>
        <v>0.00928814000000003</v>
      </c>
      <c r="DQ67" s="113">
        <f t="shared" si="31"/>
        <v>591.515816759203</v>
      </c>
    </row>
    <row r="68" customFormat="1" spans="1:121">
      <c r="A68" s="36"/>
      <c r="B68" t="s">
        <v>161</v>
      </c>
      <c r="C68">
        <v>2.15</v>
      </c>
      <c r="D68"/>
      <c r="E68" s="98" t="s">
        <v>139</v>
      </c>
      <c r="F68" s="99">
        <v>1</v>
      </c>
      <c r="G68" s="115"/>
      <c r="H68" s="100">
        <f>IF(VLOOKUP($E68,武器奇术!$A:$R,18,FALSE)="天工",AE68,(AE68+AT68+BI68+BX68+CM68+DB68+DQ68))*(1+J68)*F68*K68*(1+G68)</f>
        <v>19400.1424023892</v>
      </c>
      <c r="I68" s="101">
        <f t="shared" si="0"/>
        <v>0.00239519810986737</v>
      </c>
      <c r="J68" s="101">
        <f>$F$3+VLOOKUP($E68,武器奇术!$A:$R,12,FALSE)+VLOOKUP($E68,武器奇术!$A:$R,14,FALSE)*$G$3+$P68</f>
        <v>0.387</v>
      </c>
      <c r="K68" s="102">
        <f>VLOOKUP($E68,武器奇术!$A:$R,11,FALSE)</f>
        <v>1</v>
      </c>
      <c r="L68" s="117">
        <f>IF(VLOOKUP($E68,武器奇术!$A:$R,15,FALSE)="天工",0%,IF($C$17+VLOOKUP($E68,武器奇术!$A:$R,7,FALSE)&gt;80%,80%,$C$17+VLOOKUP($E68,武器奇术!$A:$R,7,FALSE))+IF($C$19&gt;20%,20%,$C$19))</f>
        <v>0.892</v>
      </c>
      <c r="M68" s="118">
        <f>IF(VLOOKUP($E68,武器奇术!$A:$R,15,FALSE)="天工",0%,IF($C$18+VLOOKUP($E68,武器奇术!$A:$R,9,FALSE)&gt;40%,40%,$C$18+VLOOKUP($E68,武器奇术!$A:$R,9,FALSE))+IF($C$20&gt;10%,10%,$C$20))</f>
        <v>0.0986</v>
      </c>
      <c r="N68" s="119">
        <f>IF(VLOOKUP($E68,武器奇术!$A:$R,15,FALSE)="天工",100%,MIN($C$16,1))</f>
        <v>0.9881</v>
      </c>
      <c r="O68" s="120" t="str">
        <f>VLOOKUP($E68,武器奇术!$A:$R,16,FALSE)</f>
        <v>绳标</v>
      </c>
      <c r="P68" s="121">
        <f t="shared" si="38"/>
        <v>0.084</v>
      </c>
      <c r="Q68" s="108">
        <f>$B$5*(1+VLOOKUP($E68,武器奇术!$A:$R,5,FALSE)+IF($G$5="飞隼",0.1,0)+IF($G$5="撼天",0.05,0))-$F$9+IF($I$5="√",160,0)</f>
        <v>1731.135</v>
      </c>
      <c r="R68" s="99">
        <f>IF(VLOOKUP($E68,武器奇术!$A:$Z,20,FALSE)=1,(S68-(Q68+S68)*0.5)*($G$15-0.5)*2+(Q68+S68)*0.5,(Q68+S68)*0.5)</f>
        <v>3256.775</v>
      </c>
      <c r="S68" s="109">
        <f>MAX($C$5,$B$5)*(1+VLOOKUP($E68,武器奇术!$A:$R,5,FALSE)+IF($G$5="飞隼",0.1,0)+IF($G$5="撼天",0.05,0))-$F$9+IF($I$5="√",320,0)</f>
        <v>4782.415</v>
      </c>
      <c r="T68" s="101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U68" s="111">
        <f>$E$5+IF(VLOOKUP($E68,武器奇术!$A:$U,21,FALSE)=1,0,0.09)</f>
        <v>0.115</v>
      </c>
      <c r="V68" s="109">
        <v>1</v>
      </c>
      <c r="W68" s="112">
        <f>Q68*VLOOKUP($E68,武器奇术!$A:$R,2,FALSE)*(1+T68)*(1+U68)*V68</f>
        <v>2997.37880086712</v>
      </c>
      <c r="X68" s="110">
        <f>(1-IF(VLOOKUP($E68,武器奇术!$A:$T,20,FALSE)=1,1,$N68))*(1-$M68)</f>
        <v>0.01072666</v>
      </c>
      <c r="Y68" s="112">
        <f>R68*VLOOKUP($E68,武器奇术!$A:$R,2,FALSE)*(1+T68)*(1+U68)*V68*(1+$E$16+VLOOKUP($E68,武器奇术!$A:$R,8,FALSE))</f>
        <v>9247.88239188634</v>
      </c>
      <c r="Z68" s="110">
        <f t="shared" si="39"/>
        <v>0.8813852</v>
      </c>
      <c r="AA68" s="112">
        <f>S68*VLOOKUP($E68,武器奇术!$A:$R,2,FALSE)*(1+T68)*(1+U68)*V68*(1+$E$17+VLOOKUP($E68,武器奇术!$A:$R,10,FALSE))</f>
        <v>11178.710849374</v>
      </c>
      <c r="AB68" s="110">
        <f t="shared" si="40"/>
        <v>0.0986</v>
      </c>
      <c r="AC68" s="112">
        <f>R68*VLOOKUP($E68,武器奇术!$A:$R,2,FALSE)*(1+T68)*(1+U68)*V68</f>
        <v>5638.95267797948</v>
      </c>
      <c r="AD68" s="110">
        <f t="shared" si="1"/>
        <v>0.00928814000000003</v>
      </c>
      <c r="AE68" s="113">
        <f t="shared" si="2"/>
        <v>9337.69480651205</v>
      </c>
      <c r="AF68" s="114">
        <f>VLOOKUP($E68,武器奇术!$A:$R,3,FALSE)*(1+IF(VLOOKUP($E68,武器奇术!$A:$R,15,FALSE)="武器",$E$15,0))</f>
        <v>451.1</v>
      </c>
      <c r="AG68" s="112">
        <f t="shared" si="3"/>
        <v>451.1</v>
      </c>
      <c r="AH68" s="112">
        <f>VLOOKUP($E68,武器奇术!$A:$R,3,FALSE)*(1+IF(VLOOKUP($E68,武器奇术!$A:$R,15,FALSE)="武器",$E$15,0))</f>
        <v>451.1</v>
      </c>
      <c r="AI68" s="101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AJ68" s="111">
        <f>$E$5+IF(VLOOKUP($E68,武器奇术!$A:$U,21,FALSE)=1,0,0.09)</f>
        <v>0.115</v>
      </c>
      <c r="AK68" s="109">
        <v>1</v>
      </c>
      <c r="AL68" s="112">
        <f t="shared" si="41"/>
        <v>624.696813</v>
      </c>
      <c r="AM68" s="110">
        <f>(1-IF(VLOOKUP($E68,武器奇术!$A:$T,20,FALSE)=1,1,$N68))*(1-$M68)</f>
        <v>0.01072666</v>
      </c>
      <c r="AN68" s="112">
        <f>AG68*(1+AI68)*(1+AJ68)*AK68*(1+$E$16+VLOOKUP($E68,武器奇术!$A:$R,8,FALSE))</f>
        <v>1024.50277332</v>
      </c>
      <c r="AO68" s="110">
        <f t="shared" si="4"/>
        <v>0.8813852</v>
      </c>
      <c r="AP68" s="112">
        <f>AH68*(1+AI68)*(1+AJ68)*AK68*(1+$E$17+VLOOKUP($E68,武器奇术!$A:$R,10,FALSE))</f>
        <v>843.34069755</v>
      </c>
      <c r="AQ68" s="110">
        <f t="shared" si="5"/>
        <v>0.0986</v>
      </c>
      <c r="AR68" s="112">
        <f t="shared" si="6"/>
        <v>624.696813</v>
      </c>
      <c r="AS68" s="110">
        <f t="shared" si="7"/>
        <v>0.00928814000000003</v>
      </c>
      <c r="AT68" s="113">
        <f t="shared" si="8"/>
        <v>998.638156314466</v>
      </c>
      <c r="AU68" s="108">
        <f>$B$7*IF($G$5="撼天",1.05,1)+IF(AND(VLOOKUP($E68,武器奇术!$A:$R,15,FALSE)="武器",VLOOKUP($E68,武器奇术!$A:$R,17,FALSE)="鸣金"),$E$3,0)*(1+$E$15)</f>
        <v>0</v>
      </c>
      <c r="AV68" s="99">
        <f>(AU68+AW68)*IF(VLOOKUP($E68,武器奇术!$A:$Z,21,FALSE)=1,$G$15,0.5)</f>
        <v>0</v>
      </c>
      <c r="AW68" s="109">
        <f>MAX($C$7*IF($G$5="撼天",1.05,1)+IF(AND(VLOOKUP($E68,武器奇术!$A:$R,15,FALSE)="武器",VLOOKUP($E68,武器奇术!$A:$R,17,FALSE)="鸣金"),$E$3*(1+$E$15),0),AU68)</f>
        <v>0</v>
      </c>
      <c r="AX68" s="110">
        <f>IF(($D$7+IF(VLOOKUP($E68,武器奇术!$A:$R,17,FALSE)="鸣金",$D$15,0)+IF(VLOOKUP($E68,武器奇术!$A:$R,18,FALSE)=1,4,0)+IF(VLOOKUP($E68,武器奇术!$A:$S,19,FALSE)=1,20,0)-VLOOKUP($F$7,目标属性!$A:$R,6,FALSE))&gt;0,($D$7+IF(VLOOKUP($E68,武器奇术!$A:$R,17,FALSE)="鸣金",$D$15,0)+IF(VLOOKUP($E68,武器奇术!$A:$R,18,FALSE)=1,4,0)+IF(VLOOKUP($E68,武器奇术!$A:$S,19,FALSE)=1,20,0)-VLOOKUP($F$7,目标属性!$A:$R,6,FALSE))/200,($D$7+IF(VLOOKUP($E68,武器奇术!$A:$R,17,FALSE)="鸣金",$D$15,0)+IF(VLOOKUP($E68,武器奇术!$A:$R,18,FALSE)=1,4,0)+IF(VLOOKUP($E68,武器奇术!$A:$S,19,FALSE)=1,20,0)-VLOOKUP($F$7,目标属性!$A:$R,6,FALSE))/100)</f>
        <v>-0.24</v>
      </c>
      <c r="AY68" s="111">
        <f t="shared" si="9"/>
        <v>0</v>
      </c>
      <c r="AZ68" s="109">
        <v>1</v>
      </c>
      <c r="BA68" s="112">
        <f>AU68*IF(VLOOKUP($E68,武器奇术!$A:$R,17,FALSE)="鸣金",VLOOKUP($E68,武器奇术!$A:$R,4,FALSE),VLOOKUP($E68,武器奇术!$A:$R,2,FALSE))*(1+AX68)*(1+AY68)*AZ68</f>
        <v>0</v>
      </c>
      <c r="BB68" s="110">
        <f>(1-IF(VLOOKUP($E68,武器奇术!$A:$T,20,FALSE)=1,1,$N68))*(1-$M68)</f>
        <v>0.01072666</v>
      </c>
      <c r="BC68" s="112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10">
        <f t="shared" si="10"/>
        <v>0.8813852</v>
      </c>
      <c r="BE68" s="112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10">
        <f t="shared" si="11"/>
        <v>0.0986</v>
      </c>
      <c r="BG68" s="112">
        <f>AV68*IF(VLOOKUP($E68,武器奇术!$A:$R,17,FALSE)="鸣金",VLOOKUP($E68,武器奇术!$A:$R,4,FALSE),VLOOKUP($E68,武器奇术!$A:$R,2,FALSE))*(1+AX68)*(1+AY68)*AZ68</f>
        <v>0</v>
      </c>
      <c r="BH68" s="110">
        <f t="shared" si="12"/>
        <v>0.00928814000000003</v>
      </c>
      <c r="BI68" s="113">
        <f t="shared" si="13"/>
        <v>0</v>
      </c>
      <c r="BJ68" s="108">
        <f>$B$9*IF($G$5="撼天",1.05,1)+IF(AND(VLOOKUP($E68,武器奇术!$A:$R,15,FALSE)="武器",VLOOKUP($E68,武器奇术!$A:$R,17,FALSE)="裂石"),$E$3,0)*(1+$E$15)</f>
        <v>0</v>
      </c>
      <c r="BK68" s="99">
        <f>(BJ68+BL68)*IF(VLOOKUP($E68,武器奇术!$A:$Z,21,FALSE)=1,$G$15,0.5)</f>
        <v>0</v>
      </c>
      <c r="BL68" s="109">
        <f>MAX($C$9*IF($G$5="撼天",1.05,1)+IF(AND(VLOOKUP($E68,武器奇术!$A:$R,15,FALSE)="武器",VLOOKUP($E68,武器奇术!$A:$R,17,FALSE)="裂石"),$E$3*(1+$E$15),0),BJ68)</f>
        <v>0</v>
      </c>
      <c r="BM68" s="110">
        <f>IF(($D$9+IF(VLOOKUP($E68,武器奇术!$A:$R,17,FALSE)="裂石",$D$15,0)+IF(VLOOKUP($E68,武器奇术!$A:$R,18,FALSE)=1,4,0)+IF(VLOOKUP($E68,武器奇术!$A:$S,19,FALSE)=1,20,0)-VLOOKUP($F$7,目标属性!$A:$R,6,FALSE))&gt;0,($D$9+IF(VLOOKUP($E68,武器奇术!$A:$R,17,FALSE)="裂石",$D$15,0)+IF(VLOOKUP($E68,武器奇术!$A:$R,18,FALSE)=1,4,0)+IF(VLOOKUP($E68,武器奇术!$A:$S,19,FALSE)=1,20,0)-VLOOKUP($F$7,目标属性!$A:$R,6,FALSE))/200,($D$9+IF(VLOOKUP($E68,武器奇术!$A:$R,17,FALSE)="裂石",$D$15,0)+IF(VLOOKUP($E68,武器奇术!$A:$R,18,FALSE)=1,4,0)+IF(VLOOKUP($E68,武器奇术!$A:$S,19,FALSE)=1,20,0)-VLOOKUP($F$7,目标属性!$A:$R,6,FALSE))/100)</f>
        <v>-0.24</v>
      </c>
      <c r="BN68" s="111">
        <f t="shared" si="14"/>
        <v>0</v>
      </c>
      <c r="BO68" s="109">
        <v>1</v>
      </c>
      <c r="BP68" s="112">
        <f>BJ68*IF(VLOOKUP($E68,武器奇术!$A:$R,17,FALSE)="裂石",VLOOKUP($E68,武器奇术!$A:$R,4,FALSE),VLOOKUP($E68,武器奇术!$A:$R,2,FALSE))*(1+BM68)*(1+BN68)*BO68</f>
        <v>0</v>
      </c>
      <c r="BQ68" s="110">
        <f>(1-IF(VLOOKUP($E68,武器奇术!$A:$T,20,FALSE)=1,1,$N68))*(1-$M68)</f>
        <v>0.01072666</v>
      </c>
      <c r="BR68" s="112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10">
        <f t="shared" si="15"/>
        <v>0.8813852</v>
      </c>
      <c r="BT68" s="112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10">
        <f t="shared" si="16"/>
        <v>0.0986</v>
      </c>
      <c r="BV68" s="112">
        <f>BK68*IF(VLOOKUP($E68,武器奇术!$A:$R,17,FALSE)="裂石",VLOOKUP($E68,武器奇术!$A:$R,4,FALSE),VLOOKUP($E68,武器奇术!$A:$R,2,FALSE))*(1+BM68)*(1+BN68)*BO68</f>
        <v>0</v>
      </c>
      <c r="BW68" s="110">
        <f t="shared" si="17"/>
        <v>0.00928814000000003</v>
      </c>
      <c r="BX68" s="113">
        <f t="shared" si="18"/>
        <v>0</v>
      </c>
      <c r="BY68" s="108">
        <f>$B$11*IF($G$5="撼天",1.05,1)+IF(AND(VLOOKUP($E68,武器奇术!$A:$R,15,FALSE)="武器",VLOOKUP($E68,武器奇术!$A:$R,17,FALSE)="牵丝"),$E$3,0)*(1+$E$15)</f>
        <v>0</v>
      </c>
      <c r="BZ68" s="99">
        <f>(BY68+CA68)*IF(VLOOKUP($E68,武器奇术!$A:$Z,21,FALSE)=1,$G$15,0.5)</f>
        <v>0</v>
      </c>
      <c r="CA68" s="109">
        <f>MAX($C$11*IF($G$5="撼天",1.05,1)+IF(AND(VLOOKUP($E68,武器奇术!$A:$R,15,FALSE)="武器",VLOOKUP($E68,武器奇术!$A:$R,17,FALSE)="牵丝"),$E$3*(1+$E$15),0),BY68)</f>
        <v>0</v>
      </c>
      <c r="CB68" s="110">
        <f>IF(($D$11+IF(VLOOKUP($E68,武器奇术!$A:$R,17,FALSE)="牵丝",$D$15,0)+IF(VLOOKUP($E68,武器奇术!$A:$R,18,FALSE)=1,4,0)+IF(VLOOKUP($E68,武器奇术!$A:$S,19,FALSE)=1,20,0)-VLOOKUP($F$7,目标属性!$A:$R,6,FALSE))&gt;0,($D$11+IF(VLOOKUP($E68,武器奇术!$A:$R,17,FALSE)="牵丝",$D$15,0)+IF(VLOOKUP($E68,武器奇术!$A:$R,18,FALSE)=1,4,0)+IF(VLOOKUP($E68,武器奇术!$A:$S,19,FALSE)=1,20,0)-VLOOKUP($F$7,目标属性!$A:$R,6,FALSE))/200,($D$11+IF(VLOOKUP($E68,武器奇术!$A:$R,17,FALSE)="牵丝",$D$15,0)+IF(VLOOKUP($E68,武器奇术!$A:$R,18,FALSE)=1,4,0)+IF(VLOOKUP($E68,武器奇术!$A:$S,19,FALSE)=1,20,0)-VLOOKUP($F$7,目标属性!$A:$R,6,FALSE))/100)</f>
        <v>-0.24</v>
      </c>
      <c r="CC68" s="111">
        <f t="shared" si="19"/>
        <v>0</v>
      </c>
      <c r="CD68" s="109">
        <v>1</v>
      </c>
      <c r="CE68" s="112">
        <f>BY68*IF(VLOOKUP($E68,武器奇术!$A:$R,17,FALSE)="牵丝",VLOOKUP($E68,武器奇术!$A:$R,4,FALSE),VLOOKUP($E68,武器奇术!$A:$R,2,FALSE))*(1+CB68)*(1+CC68)*CD68</f>
        <v>0</v>
      </c>
      <c r="CF68" s="110">
        <f>(1-IF(VLOOKUP($E68,武器奇术!$A:$T,20,FALSE)=1,1,$N68))*(1-$M68)</f>
        <v>0.01072666</v>
      </c>
      <c r="CG68" s="112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110">
        <f t="shared" si="20"/>
        <v>0.8813852</v>
      </c>
      <c r="CI68" s="112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110">
        <f t="shared" si="21"/>
        <v>0.0986</v>
      </c>
      <c r="CK68" s="112">
        <f>BZ68*IF(VLOOKUP($E68,武器奇术!$A:$R,17,FALSE)="牵丝",VLOOKUP($E68,武器奇术!$A:$R,4,FALSE),VLOOKUP($E68,武器奇术!$A:$R,2,FALSE))*(1+CB68)*(1+CC68)*CD68</f>
        <v>0</v>
      </c>
      <c r="CL68" s="110">
        <f t="shared" si="22"/>
        <v>0.00928814000000003</v>
      </c>
      <c r="CM68" s="113">
        <f t="shared" si="23"/>
        <v>0</v>
      </c>
      <c r="CN68" s="108">
        <f>$B$13*IF($G$5="撼天",1.05,1)+IF(AND(VLOOKUP($E68,武器奇术!$A:$R,15,FALSE)="武器",VLOOKUP($E68,武器奇术!$A:$R,17,FALSE)="破竹"),$E$3,0)*(1+$E$15)</f>
        <v>648.46</v>
      </c>
      <c r="CO68" s="99">
        <f>IF(VLOOKUP($E68,武器奇术!$A:$Z,20,FALSE)=1,(CP68-(CN68+CP68)*0.5)*($G$15-0.5)*2+(CN68+CP68)*0.5,(CN68+CP68)*0.5)</f>
        <v>875.26</v>
      </c>
      <c r="CP68" s="109">
        <f>MAX($C$13*IF($G$5="撼天",1.05,1)+IF(AND(VLOOKUP($E68,武器奇术!$A:$R,15,FALSE)="武器",VLOOKUP($E68,武器奇术!$A:$R,17,FALSE)="破竹"),$E$3*(1+$E$15),0),CN68)</f>
        <v>1102.06</v>
      </c>
      <c r="CQ68" s="110">
        <f>IF(($D$13+IF(VLOOKUP($E68,武器奇术!$A:$R,17,FALSE)="破竹",$D$15,0)+IF(VLOOKUP($E68,武器奇术!$A:$R,18,FALSE)=1,4,0)+IF(VLOOKUP($E68,武器奇术!$A:$S,19,FALSE)=1,20,0)-VLOOKUP($F$7,目标属性!$A:$R,6,FALSE))&gt;0,($D$13+IF(VLOOKUP($E68,武器奇术!$A:$R,17,FALSE)="破竹",$D$15,0)+IF(VLOOKUP($E68,武器奇术!$A:$R,18,FALSE)=1,4,0)+IF(VLOOKUP($E68,武器奇术!$A:$S,19,FALSE)=1,20,0)-VLOOKUP($F$7,目标属性!$A:$R,6,FALSE))/200,($D$13+IF(VLOOKUP($E68,武器奇术!$A:$R,17,FALSE)="破竹",$D$15,0)+IF(VLOOKUP($E68,武器奇术!$A:$R,18,FALSE)=1,4,0)+IF(VLOOKUP($E68,武器奇术!$A:$S,19,FALSE)=1,20,0)-VLOOKUP($F$7,目标属性!$A:$R,6,FALSE))/100)</f>
        <v>0.025</v>
      </c>
      <c r="CR68" s="111">
        <f>$E$13+IF(VLOOKUP($E68,武器奇术!$A:$U,21,FALSE)=1,0,0.09)</f>
        <v>0.235</v>
      </c>
      <c r="CS68" s="109">
        <v>1</v>
      </c>
      <c r="CT68" s="112">
        <f>CN68*IF(VLOOKUP($E68,武器奇术!$A:$R,17,FALSE)="破竹",VLOOKUP($E68,武器奇术!$A:$R,4,FALSE),VLOOKUP($E68,武器奇术!$A:$R,2,FALSE))*(1+CQ68)*(1+CR68)*CS68</f>
        <v>1539.54037683875</v>
      </c>
      <c r="CU68" s="110">
        <f>(1-IF(VLOOKUP($E68,武器奇术!$A:$T,20,FALSE)=1,1,$N68))*(1-$M68)</f>
        <v>0.01072666</v>
      </c>
      <c r="CV68" s="112">
        <f>CO68*IF(VLOOKUP($E68,武器奇术!$A:$R,17,FALSE)="破竹",VLOOKUP($E68,武器奇术!$A:$R,4,FALSE),VLOOKUP($E68,武器奇术!$A:$R,2,FALSE))*(1+CQ68)*(1+CR68)*CS68*(1+$E$16+VLOOKUP($E68,武器奇术!$A:$R,8,FALSE))</f>
        <v>3407.91552413455</v>
      </c>
      <c r="CW68" s="110">
        <f t="shared" si="24"/>
        <v>0.8813852</v>
      </c>
      <c r="CX68" s="112">
        <f>CP68*IF(VLOOKUP($E68,武器奇术!$A:$R,17,FALSE)="破竹",VLOOKUP($E68,武器奇术!$A:$R,4,FALSE),VLOOKUP($E68,武器奇术!$A:$R,2,FALSE))*(1+CQ68)*(1+CR68)*CS68*(1+$E$17+VLOOKUP($E68,武器奇术!$A:$R,10,FALSE))</f>
        <v>3532.21312246481</v>
      </c>
      <c r="CY68" s="110">
        <f t="shared" si="25"/>
        <v>0.0986</v>
      </c>
      <c r="CZ68" s="112">
        <f>CO68*IF(VLOOKUP($E68,武器奇术!$A:$R,17,FALSE)="破竹",VLOOKUP($E68,武器奇术!$A:$R,4,FALSE),VLOOKUP($E68,武器奇术!$A:$R,2,FALSE))*(1+CQ68)*(1+CR68)*CS68</f>
        <v>2077.99727081375</v>
      </c>
      <c r="DA68" s="110">
        <f t="shared" si="26"/>
        <v>0.00928814000000003</v>
      </c>
      <c r="DB68" s="113">
        <f t="shared" si="27"/>
        <v>3387.77737544702</v>
      </c>
      <c r="DC68" s="108">
        <f t="shared" si="36"/>
        <v>69.3</v>
      </c>
      <c r="DD68" s="99">
        <f>(DC68+DE68)*IF(VLOOKUP($E68,武器奇术!$A:$Z,21,FALSE)=1,$G$15,0.5)</f>
        <v>69.3</v>
      </c>
      <c r="DE68" s="109">
        <f t="shared" si="37"/>
        <v>69.3</v>
      </c>
      <c r="DF68" s="110">
        <f>IF(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100)</f>
        <v>0.025</v>
      </c>
      <c r="DG68" s="111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U,21,FALSE)=1,0,0.09)</f>
        <v>0.235</v>
      </c>
      <c r="DH68" s="109">
        <v>1</v>
      </c>
      <c r="DI68" s="112">
        <f>DC68*IF(VLOOKUP($E68,武器奇术!$A:$R,17,FALSE)="破竹",VLOOKUP($E68,武器奇术!$A:$R,4,FALSE),VLOOKUP($E68,武器奇术!$A:$R,2,FALSE))*(1+DF68)*(1+DG68)*DH68</f>
        <v>164.52849538125</v>
      </c>
      <c r="DJ68" s="110">
        <f>(1-IF(VLOOKUP($E68,武器奇术!$A:$T,20,FALSE)=1,1,$N68))*(1-$M68)</f>
        <v>0.01072666</v>
      </c>
      <c r="DK68" s="112">
        <f>DD68*IF(VLOOKUP($E68,武器奇术!$A:$R,17,FALSE)="破竹",VLOOKUP($E68,武器奇术!$A:$R,4,FALSE),VLOOKUP($E68,武器奇术!$A:$R,2,FALSE))*(1+DF68)*(1+DG68)*DH68*(1+$E$16+VLOOKUP($E68,武器奇术!$A:$R,8,FALSE))</f>
        <v>269.82673242525</v>
      </c>
      <c r="DL68" s="110">
        <f t="shared" si="28"/>
        <v>0.8813852</v>
      </c>
      <c r="DM68" s="112">
        <f>DE68*IF(VLOOKUP($E68,武器奇术!$A:$R,17,FALSE)="破竹",VLOOKUP($E68,武器奇术!$A:$R,4,FALSE),VLOOKUP($E68,武器奇术!$A:$R,2,FALSE))*(1+DF68)*(1+DG68)*DH68*(1+$E$17+VLOOKUP($E68,武器奇术!$A:$R,10,FALSE))</f>
        <v>222.113468764687</v>
      </c>
      <c r="DN68" s="110">
        <f t="shared" si="29"/>
        <v>0.0986</v>
      </c>
      <c r="DO68" s="112">
        <f>DD68*IF(VLOOKUP($E68,武器奇术!$A:$R,17,FALSE)="破竹",VLOOKUP($E68,武器奇术!$A:$R,4,FALSE),VLOOKUP($E68,武器奇术!$A:$R,2,FALSE))*(1+DF68)*(1+DG68)*DH68</f>
        <v>164.52849538125</v>
      </c>
      <c r="DP68" s="110">
        <f t="shared" si="30"/>
        <v>0.00928814000000003</v>
      </c>
      <c r="DQ68" s="113">
        <f t="shared" si="31"/>
        <v>263.01468147353</v>
      </c>
    </row>
    <row r="69" customFormat="1" spans="1:121">
      <c r="A69" s="36"/>
      <c r="B69" t="s">
        <v>162</v>
      </c>
      <c r="C69" s="147">
        <v>2.13</v>
      </c>
      <c r="D69"/>
      <c r="E69" s="98" t="s">
        <v>141</v>
      </c>
      <c r="F69" s="99">
        <v>1</v>
      </c>
      <c r="G69" s="115"/>
      <c r="H69" s="100">
        <f>IF(VLOOKUP($E69,武器奇术!$A:$R,18,FALSE)="天工",AE69,(AE69+AT69+BI69+BX69+CM69+DB69+DQ69))*(1+J69)*F69*K69*(1+G69)</f>
        <v>37579.4955638102</v>
      </c>
      <c r="I69" s="101">
        <f t="shared" si="0"/>
        <v>0.00463967402286297</v>
      </c>
      <c r="J69" s="101">
        <f>$F$3+VLOOKUP($E69,武器奇术!$A:$R,12,FALSE)+VLOOKUP($E69,武器奇术!$A:$R,14,FALSE)*$G$3+$P69</f>
        <v>0.687</v>
      </c>
      <c r="K69" s="102">
        <f>VLOOKUP($E69,武器奇术!$A:$R,11,FALSE)</f>
        <v>1</v>
      </c>
      <c r="L69" s="117">
        <f>IF(VLOOKUP($E69,武器奇术!$A:$R,15,FALSE)="天工",0%,IF($C$17+VLOOKUP($E69,武器奇术!$A:$R,7,FALSE)&gt;80%,80%,$C$17+VLOOKUP($E69,武器奇术!$A:$R,7,FALSE))+IF($C$19&gt;20%,20%,$C$19))</f>
        <v>0.892</v>
      </c>
      <c r="M69" s="118">
        <f>IF(VLOOKUP($E69,武器奇术!$A:$R,15,FALSE)="天工",0%,IF($C$18+VLOOKUP($E69,武器奇术!$A:$R,9,FALSE)&gt;40%,40%,$C$18+VLOOKUP($E69,武器奇术!$A:$R,9,FALSE))+IF($C$20&gt;10%,10%,$C$20))</f>
        <v>0.0986</v>
      </c>
      <c r="N69" s="119">
        <f>IF(VLOOKUP($E69,武器奇术!$A:$R,15,FALSE)="天工",100%,MIN($C$16,1))</f>
        <v>0.9881</v>
      </c>
      <c r="O69" s="120" t="str">
        <f>VLOOKUP($E69,武器奇术!$A:$R,16,FALSE)</f>
        <v>绳标</v>
      </c>
      <c r="P69" s="121">
        <f t="shared" si="38"/>
        <v>0.084</v>
      </c>
      <c r="Q69" s="108">
        <f>$B$5*(1+VLOOKUP($E69,武器奇术!$A:$R,5,FALSE)+IF($G$5="飞隼",0.1,0)+IF($G$5="撼天",0.05,0))-$F$9+IF($I$5="√",160,0)</f>
        <v>1731.135</v>
      </c>
      <c r="R69" s="99">
        <f>IF(VLOOKUP($E69,武器奇术!$A:$Z,20,FALSE)=1,(S69-(Q69+S69)*0.5)*($G$15-0.5)*2+(Q69+S69)*0.5,(Q69+S69)*0.5)</f>
        <v>3256.775</v>
      </c>
      <c r="S69" s="109">
        <f>MAX($C$5,$B$5)*(1+VLOOKUP($E69,武器奇术!$A:$R,5,FALSE)+IF($G$5="飞隼",0.1,0)+IF($G$5="撼天",0.05,0))-$F$9+IF($I$5="√",320,0)</f>
        <v>4782.415</v>
      </c>
      <c r="T69" s="101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U69" s="111">
        <f>$E$5+IF(VLOOKUP($E69,武器奇术!$A:$U,21,FALSE)=1,0,0.09)</f>
        <v>0.115</v>
      </c>
      <c r="V69" s="109">
        <v>1</v>
      </c>
      <c r="W69" s="112">
        <f>Q69*VLOOKUP($E69,武器奇术!$A:$R,2,FALSE)*(1+T69)*(1+U69)*V69</f>
        <v>4662.62862219</v>
      </c>
      <c r="X69" s="110">
        <f>(1-IF(VLOOKUP($E69,武器奇术!$A:$T,20,FALSE)=1,1,$N69))*(1-$M69)</f>
        <v>0.01072666</v>
      </c>
      <c r="Y69" s="112">
        <f>R69*VLOOKUP($E69,武器奇术!$A:$R,2,FALSE)*(1+T69)*(1+U69)*V69*(1+$E$16+VLOOKUP($E69,武器奇术!$A:$R,8,FALSE))</f>
        <v>17017.249794039</v>
      </c>
      <c r="Z69" s="110">
        <f t="shared" si="39"/>
        <v>0.8813852</v>
      </c>
      <c r="AA69" s="112">
        <f>S69*VLOOKUP($E69,武器奇术!$A:$R,2,FALSE)*(1+T69)*(1+U69)*V69*(1+$E$17+VLOOKUP($E69,武器奇术!$A:$R,10,FALSE))</f>
        <v>17389.2526197885</v>
      </c>
      <c r="AB69" s="110">
        <f t="shared" si="40"/>
        <v>0.0986</v>
      </c>
      <c r="AC69" s="112">
        <f>R69*VLOOKUP($E69,武器奇术!$A:$R,2,FALSE)*(1+T69)*(1+U69)*V69</f>
        <v>8771.77824435</v>
      </c>
      <c r="AD69" s="110">
        <f t="shared" si="1"/>
        <v>0.00928814000000003</v>
      </c>
      <c r="AE69" s="113">
        <f t="shared" si="2"/>
        <v>16844.8203577992</v>
      </c>
      <c r="AF69" s="114">
        <f>VLOOKUP($E69,武器奇术!$A:$R,3,FALSE)*(1+IF(VLOOKUP($E69,武器奇术!$A:$R,15,FALSE)="武器",$E$15,0))</f>
        <v>0</v>
      </c>
      <c r="AG69" s="112">
        <f t="shared" si="3"/>
        <v>0</v>
      </c>
      <c r="AH69" s="112">
        <f>VLOOKUP($E69,武器奇术!$A:$R,3,FALSE)*(1+IF(VLOOKUP($E69,武器奇术!$A:$R,15,FALSE)="武器",$E$15,0))</f>
        <v>0</v>
      </c>
      <c r="AI69" s="101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AJ69" s="111">
        <f>$E$5+IF(VLOOKUP($E69,武器奇术!$A:$U,21,FALSE)=1,0,0.09)</f>
        <v>0.115</v>
      </c>
      <c r="AK69" s="109">
        <v>1</v>
      </c>
      <c r="AL69" s="112">
        <f t="shared" si="41"/>
        <v>0</v>
      </c>
      <c r="AM69" s="110">
        <f>(1-IF(VLOOKUP($E69,武器奇术!$A:$T,20,FALSE)=1,1,$N69))*(1-$M69)</f>
        <v>0.01072666</v>
      </c>
      <c r="AN69" s="112">
        <f>AG69*(1+AI69)*(1+AJ69)*AK69*(1+$E$16+VLOOKUP($E69,武器奇术!$A:$R,8,FALSE))</f>
        <v>0</v>
      </c>
      <c r="AO69" s="110">
        <f t="shared" si="4"/>
        <v>0.8813852</v>
      </c>
      <c r="AP69" s="112">
        <f>AH69*(1+AI69)*(1+AJ69)*AK69*(1+$E$17+VLOOKUP($E69,武器奇术!$A:$R,10,FALSE))</f>
        <v>0</v>
      </c>
      <c r="AQ69" s="110">
        <f t="shared" si="5"/>
        <v>0.0986</v>
      </c>
      <c r="AR69" s="112">
        <f t="shared" si="6"/>
        <v>0</v>
      </c>
      <c r="AS69" s="110">
        <f t="shared" si="7"/>
        <v>0.00928814000000003</v>
      </c>
      <c r="AT69" s="113">
        <f t="shared" si="8"/>
        <v>0</v>
      </c>
      <c r="AU69" s="108">
        <f>$B$7*IF($G$5="撼天",1.05,1)+IF(AND(VLOOKUP($E69,武器奇术!$A:$R,15,FALSE)="武器",VLOOKUP($E69,武器奇术!$A:$R,17,FALSE)="鸣金"),$E$3,0)*(1+$E$15)</f>
        <v>0</v>
      </c>
      <c r="AV69" s="99">
        <f>(AU69+AW69)*IF(VLOOKUP($E69,武器奇术!$A:$Z,21,FALSE)=1,$G$15,0.5)</f>
        <v>0</v>
      </c>
      <c r="AW69" s="109">
        <f>MAX($C$7*IF($G$5="撼天",1.05,1)+IF(AND(VLOOKUP($E69,武器奇术!$A:$R,15,FALSE)="武器",VLOOKUP($E69,武器奇术!$A:$R,17,FALSE)="鸣金"),$E$3*(1+$E$15),0),AU69)</f>
        <v>0</v>
      </c>
      <c r="AX69" s="110">
        <f>IF(($D$7+IF(VLOOKUP($E69,武器奇术!$A:$R,17,FALSE)="鸣金",$D$15,0)+IF(VLOOKUP($E69,武器奇术!$A:$R,18,FALSE)=1,4,0)+IF(VLOOKUP($E69,武器奇术!$A:$S,19,FALSE)=1,20,0)-VLOOKUP($F$7,目标属性!$A:$R,6,FALSE))&gt;0,($D$7+IF(VLOOKUP($E69,武器奇术!$A:$R,17,FALSE)="鸣金",$D$15,0)+IF(VLOOKUP($E69,武器奇术!$A:$R,18,FALSE)=1,4,0)+IF(VLOOKUP($E69,武器奇术!$A:$S,19,FALSE)=1,20,0)-VLOOKUP($F$7,目标属性!$A:$R,6,FALSE))/200,($D$7+IF(VLOOKUP($E69,武器奇术!$A:$R,17,FALSE)="鸣金",$D$15,0)+IF(VLOOKUP($E69,武器奇术!$A:$R,18,FALSE)=1,4,0)+IF(VLOOKUP($E69,武器奇术!$A:$S,19,FALSE)=1,20,0)-VLOOKUP($F$7,目标属性!$A:$R,6,FALSE))/100)</f>
        <v>0</v>
      </c>
      <c r="AY69" s="111">
        <f t="shared" si="9"/>
        <v>0</v>
      </c>
      <c r="AZ69" s="109">
        <v>1</v>
      </c>
      <c r="BA69" s="112">
        <f>AU69*IF(VLOOKUP($E69,武器奇术!$A:$R,17,FALSE)="鸣金",VLOOKUP($E69,武器奇术!$A:$R,4,FALSE),VLOOKUP($E69,武器奇术!$A:$R,2,FALSE))*(1+AX69)*(1+AY69)*AZ69</f>
        <v>0</v>
      </c>
      <c r="BB69" s="110">
        <f>(1-IF(VLOOKUP($E69,武器奇术!$A:$T,20,FALSE)=1,1,$N69))*(1-$M69)</f>
        <v>0.01072666</v>
      </c>
      <c r="BC69" s="112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10">
        <f t="shared" si="10"/>
        <v>0.8813852</v>
      </c>
      <c r="BE69" s="112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10">
        <f t="shared" si="11"/>
        <v>0.0986</v>
      </c>
      <c r="BG69" s="112">
        <f>AV69*IF(VLOOKUP($E69,武器奇术!$A:$R,17,FALSE)="鸣金",VLOOKUP($E69,武器奇术!$A:$R,4,FALSE),VLOOKUP($E69,武器奇术!$A:$R,2,FALSE))*(1+AX69)*(1+AY69)*AZ69</f>
        <v>0</v>
      </c>
      <c r="BH69" s="110">
        <f t="shared" si="12"/>
        <v>0.00928814000000003</v>
      </c>
      <c r="BI69" s="113">
        <f t="shared" si="13"/>
        <v>0</v>
      </c>
      <c r="BJ69" s="108">
        <f>$B$9*IF($G$5="撼天",1.05,1)+IF(AND(VLOOKUP($E69,武器奇术!$A:$R,15,FALSE)="武器",VLOOKUP($E69,武器奇术!$A:$R,17,FALSE)="裂石"),$E$3,0)*(1+$E$15)</f>
        <v>0</v>
      </c>
      <c r="BK69" s="99">
        <f>(BJ69+BL69)*IF(VLOOKUP($E69,武器奇术!$A:$Z,21,FALSE)=1,$G$15,0.5)</f>
        <v>0</v>
      </c>
      <c r="BL69" s="109">
        <f>MAX($C$9*IF($G$5="撼天",1.05,1)+IF(AND(VLOOKUP($E69,武器奇术!$A:$R,15,FALSE)="武器",VLOOKUP($E69,武器奇术!$A:$R,17,FALSE)="裂石"),$E$3*(1+$E$15),0),BJ69)</f>
        <v>0</v>
      </c>
      <c r="BM69" s="110">
        <f>IF(($D$9+IF(VLOOKUP($E69,武器奇术!$A:$R,17,FALSE)="裂石",$D$15,0)+IF(VLOOKUP($E69,武器奇术!$A:$R,18,FALSE)=1,4,0)+IF(VLOOKUP($E69,武器奇术!$A:$S,19,FALSE)=1,20,0)-VLOOKUP($F$7,目标属性!$A:$R,6,FALSE))&gt;0,($D$9+IF(VLOOKUP($E69,武器奇术!$A:$R,17,FALSE)="裂石",$D$15,0)+IF(VLOOKUP($E69,武器奇术!$A:$R,18,FALSE)=1,4,0)+IF(VLOOKUP($E69,武器奇术!$A:$S,19,FALSE)=1,20,0)-VLOOKUP($F$7,目标属性!$A:$R,6,FALSE))/200,($D$9+IF(VLOOKUP($E69,武器奇术!$A:$R,17,FALSE)="裂石",$D$15,0)+IF(VLOOKUP($E69,武器奇术!$A:$R,18,FALSE)=1,4,0)+IF(VLOOKUP($E69,武器奇术!$A:$S,19,FALSE)=1,20,0)-VLOOKUP($F$7,目标属性!$A:$R,6,FALSE))/100)</f>
        <v>0</v>
      </c>
      <c r="BN69" s="111">
        <f t="shared" si="14"/>
        <v>0</v>
      </c>
      <c r="BO69" s="109">
        <v>1</v>
      </c>
      <c r="BP69" s="112">
        <f>BJ69*IF(VLOOKUP($E69,武器奇术!$A:$R,17,FALSE)="裂石",VLOOKUP($E69,武器奇术!$A:$R,4,FALSE),VLOOKUP($E69,武器奇术!$A:$R,2,FALSE))*(1+BM69)*(1+BN69)*BO69</f>
        <v>0</v>
      </c>
      <c r="BQ69" s="110">
        <f>(1-IF(VLOOKUP($E69,武器奇术!$A:$T,20,FALSE)=1,1,$N69))*(1-$M69)</f>
        <v>0.01072666</v>
      </c>
      <c r="BR69" s="112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10">
        <f t="shared" si="15"/>
        <v>0.8813852</v>
      </c>
      <c r="BT69" s="112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10">
        <f t="shared" si="16"/>
        <v>0.0986</v>
      </c>
      <c r="BV69" s="112">
        <f>BK69*IF(VLOOKUP($E69,武器奇术!$A:$R,17,FALSE)="裂石",VLOOKUP($E69,武器奇术!$A:$R,4,FALSE),VLOOKUP($E69,武器奇术!$A:$R,2,FALSE))*(1+BM69)*(1+BN69)*BO69</f>
        <v>0</v>
      </c>
      <c r="BW69" s="110">
        <f t="shared" si="17"/>
        <v>0.00928814000000003</v>
      </c>
      <c r="BX69" s="113">
        <f t="shared" si="18"/>
        <v>0</v>
      </c>
      <c r="BY69" s="108">
        <f>$B$11*IF($G$5="撼天",1.05,1)+IF(AND(VLOOKUP($E69,武器奇术!$A:$R,15,FALSE)="武器",VLOOKUP($E69,武器奇术!$A:$R,17,FALSE)="牵丝"),$E$3,0)*(1+$E$15)</f>
        <v>0</v>
      </c>
      <c r="BZ69" s="99">
        <f>(BY69+CA69)*IF(VLOOKUP($E69,武器奇术!$A:$Z,21,FALSE)=1,$G$15,0.5)</f>
        <v>0</v>
      </c>
      <c r="CA69" s="109">
        <f>MAX($C$11*IF($G$5="撼天",1.05,1)+IF(AND(VLOOKUP($E69,武器奇术!$A:$R,15,FALSE)="武器",VLOOKUP($E69,武器奇术!$A:$R,17,FALSE)="牵丝"),$E$3*(1+$E$15),0),BY69)</f>
        <v>0</v>
      </c>
      <c r="CB69" s="110">
        <f>IF(($D$11+IF(VLOOKUP($E69,武器奇术!$A:$R,17,FALSE)="牵丝",$D$15,0)+IF(VLOOKUP($E69,武器奇术!$A:$R,18,FALSE)=1,4,0)+IF(VLOOKUP($E69,武器奇术!$A:$S,19,FALSE)=1,20,0)-VLOOKUP($F$7,目标属性!$A:$R,6,FALSE))&gt;0,($D$11+IF(VLOOKUP($E69,武器奇术!$A:$R,17,FALSE)="牵丝",$D$15,0)+IF(VLOOKUP($E69,武器奇术!$A:$R,18,FALSE)=1,4,0)+IF(VLOOKUP($E69,武器奇术!$A:$S,19,FALSE)=1,20,0)-VLOOKUP($F$7,目标属性!$A:$R,6,FALSE))/200,($D$11+IF(VLOOKUP($E69,武器奇术!$A:$R,17,FALSE)="牵丝",$D$15,0)+IF(VLOOKUP($E69,武器奇术!$A:$R,18,FALSE)=1,4,0)+IF(VLOOKUP($E69,武器奇术!$A:$S,19,FALSE)=1,20,0)-VLOOKUP($F$7,目标属性!$A:$R,6,FALSE))/100)</f>
        <v>0</v>
      </c>
      <c r="CC69" s="111">
        <f t="shared" si="19"/>
        <v>0</v>
      </c>
      <c r="CD69" s="109">
        <v>1</v>
      </c>
      <c r="CE69" s="112">
        <f>BY69*IF(VLOOKUP($E69,武器奇术!$A:$R,17,FALSE)="牵丝",VLOOKUP($E69,武器奇术!$A:$R,4,FALSE),VLOOKUP($E69,武器奇术!$A:$R,2,FALSE))*(1+CB69)*(1+CC69)*CD69</f>
        <v>0</v>
      </c>
      <c r="CF69" s="110">
        <f>(1-IF(VLOOKUP($E69,武器奇术!$A:$T,20,FALSE)=1,1,$N69))*(1-$M69)</f>
        <v>0.01072666</v>
      </c>
      <c r="CG69" s="112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110">
        <f t="shared" si="20"/>
        <v>0.8813852</v>
      </c>
      <c r="CI69" s="112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110">
        <f t="shared" si="21"/>
        <v>0.0986</v>
      </c>
      <c r="CK69" s="112">
        <f>BZ69*IF(VLOOKUP($E69,武器奇术!$A:$R,17,FALSE)="牵丝",VLOOKUP($E69,武器奇术!$A:$R,4,FALSE),VLOOKUP($E69,武器奇术!$A:$R,2,FALSE))*(1+CB69)*(1+CC69)*CD69</f>
        <v>0</v>
      </c>
      <c r="CL69" s="110">
        <f t="shared" si="22"/>
        <v>0.00928814000000003</v>
      </c>
      <c r="CM69" s="113">
        <f t="shared" si="23"/>
        <v>0</v>
      </c>
      <c r="CN69" s="108">
        <f>$B$13*IF($G$5="撼天",1.05,1)+IF(AND(VLOOKUP($E69,武器奇术!$A:$R,15,FALSE)="武器",VLOOKUP($E69,武器奇术!$A:$R,17,FALSE)="破竹"),$E$3,0)*(1+$E$15)</f>
        <v>452.55</v>
      </c>
      <c r="CO69" s="99">
        <f>IF(VLOOKUP($E69,武器奇术!$A:$Z,20,FALSE)=1,(CP69-(CN69+CP69)*0.5)*($G$15-0.5)*2+(CN69+CP69)*0.5,(CN69+CP69)*0.5)</f>
        <v>679.35</v>
      </c>
      <c r="CP69" s="109">
        <f>MAX($C$13*IF($G$5="撼天",1.05,1)+IF(AND(VLOOKUP($E69,武器奇术!$A:$R,15,FALSE)="武器",VLOOKUP($E69,武器奇术!$A:$R,17,FALSE)="破竹"),$E$3*(1+$E$15),0),CN69)</f>
        <v>906.15</v>
      </c>
      <c r="CQ69" s="110">
        <f>IF(($D$13+IF(VLOOKUP($E69,武器奇术!$A:$R,17,FALSE)="破竹",$D$15,0)+IF(VLOOKUP($E69,武器奇术!$A:$R,18,FALSE)=1,4,0)+IF(VLOOKUP($E69,武器奇术!$A:$S,19,FALSE)=1,20,0)-VLOOKUP($F$7,目标属性!$A:$R,6,FALSE))&gt;0,($D$13+IF(VLOOKUP($E69,武器奇术!$A:$R,17,FALSE)="破竹",$D$15,0)+IF(VLOOKUP($E69,武器奇术!$A:$R,18,FALSE)=1,4,0)+IF(VLOOKUP($E69,武器奇术!$A:$S,19,FALSE)=1,20,0)-VLOOKUP($F$7,目标属性!$A:$R,6,FALSE))/200,($D$13+IF(VLOOKUP($E69,武器奇术!$A:$R,17,FALSE)="破竹",$D$15,0)+IF(VLOOKUP($E69,武器奇术!$A:$R,18,FALSE)=1,4,0)+IF(VLOOKUP($E69,武器奇术!$A:$S,19,FALSE)=1,20,0)-VLOOKUP($F$7,目标属性!$A:$R,6,FALSE))/100)</f>
        <v>0.145</v>
      </c>
      <c r="CR69" s="111">
        <f>$E$13+IF(VLOOKUP($E69,武器奇术!$A:$U,21,FALSE)=1,0,0.09)</f>
        <v>0.235</v>
      </c>
      <c r="CS69" s="109">
        <v>1</v>
      </c>
      <c r="CT69" s="112">
        <f>CN69*IF(VLOOKUP($E69,武器奇术!$A:$R,17,FALSE)="破竹",VLOOKUP($E69,武器奇术!$A:$R,4,FALSE),VLOOKUP($E69,武器奇术!$A:$R,2,FALSE))*(1+CQ69)*(1+CR69)*CS69</f>
        <v>1727.837031375</v>
      </c>
      <c r="CU69" s="110">
        <f>(1-IF(VLOOKUP($E69,武器奇术!$A:$T,20,FALSE)=1,1,$N69))*(1-$M69)</f>
        <v>0.01072666</v>
      </c>
      <c r="CV69" s="112">
        <f>CO69*IF(VLOOKUP($E69,武器奇术!$A:$R,17,FALSE)="破竹",VLOOKUP($E69,武器奇术!$A:$R,4,FALSE),VLOOKUP($E69,武器奇术!$A:$R,2,FALSE))*(1+CQ69)*(1+CR69)*CS69*(1+$E$16+VLOOKUP($E69,武器奇术!$A:$R,8,FALSE))</f>
        <v>5031.8943968475</v>
      </c>
      <c r="CW69" s="110">
        <f t="shared" si="24"/>
        <v>0.8813852</v>
      </c>
      <c r="CX69" s="112">
        <f>CP69*IF(VLOOKUP($E69,武器奇术!$A:$R,17,FALSE)="破竹",VLOOKUP($E69,武器奇术!$A:$R,4,FALSE),VLOOKUP($E69,武器奇术!$A:$R,2,FALSE))*(1+CQ69)*(1+CR69)*CS69*(1+$E$17+VLOOKUP($E69,武器奇术!$A:$R,10,FALSE))</f>
        <v>4670.57200325625</v>
      </c>
      <c r="CY69" s="110">
        <f t="shared" si="25"/>
        <v>0.0986</v>
      </c>
      <c r="CZ69" s="112">
        <f>CO69*IF(VLOOKUP($E69,武器奇术!$A:$R,17,FALSE)="破竹",VLOOKUP($E69,武器奇术!$A:$R,4,FALSE),VLOOKUP($E69,武器奇术!$A:$R,2,FALSE))*(1+CQ69)*(1+CR69)*CS69</f>
        <v>2593.759998375</v>
      </c>
      <c r="DA69" s="110">
        <f t="shared" si="26"/>
        <v>0.00928814000000003</v>
      </c>
      <c r="DB69" s="113">
        <f t="shared" si="27"/>
        <v>4938.18077522766</v>
      </c>
      <c r="DC69" s="108">
        <f t="shared" si="36"/>
        <v>69.3</v>
      </c>
      <c r="DD69" s="99">
        <f>(DC69+DE69)*IF(VLOOKUP($E69,武器奇术!$A:$Z,21,FALSE)=1,$G$15,0.5)</f>
        <v>69.3</v>
      </c>
      <c r="DE69" s="109">
        <f t="shared" si="37"/>
        <v>69.3</v>
      </c>
      <c r="DF69" s="110">
        <f>IF(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100)</f>
        <v>0.145</v>
      </c>
      <c r="DG69" s="111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U,21,FALSE)=1,0,0.09)</f>
        <v>0.235</v>
      </c>
      <c r="DH69" s="109">
        <v>1</v>
      </c>
      <c r="DI69" s="112">
        <f>DC69*IF(VLOOKUP($E69,武器奇术!$A:$R,17,FALSE)="破竹",VLOOKUP($E69,武器奇术!$A:$R,4,FALSE),VLOOKUP($E69,武器奇术!$A:$R,2,FALSE))*(1+DF69)*(1+DG69)*DH69</f>
        <v>264.58757325</v>
      </c>
      <c r="DJ69" s="110">
        <f>(1-IF(VLOOKUP($E69,武器奇术!$A:$T,20,FALSE)=1,1,$N69))*(1-$M69)</f>
        <v>0.01072666</v>
      </c>
      <c r="DK69" s="112">
        <f>DD69*IF(VLOOKUP($E69,武器奇术!$A:$R,17,FALSE)="破竹",VLOOKUP($E69,武器奇术!$A:$R,4,FALSE),VLOOKUP($E69,武器奇术!$A:$R,2,FALSE))*(1+DF69)*(1+DG69)*DH69*(1+$E$16+VLOOKUP($E69,武器奇术!$A:$R,8,FALSE))</f>
        <v>513.299892105</v>
      </c>
      <c r="DL69" s="110">
        <f t="shared" si="28"/>
        <v>0.8813852</v>
      </c>
      <c r="DM69" s="112">
        <f>DE69*IF(VLOOKUP($E69,武器奇术!$A:$R,17,FALSE)="破竹",VLOOKUP($E69,武器奇术!$A:$R,4,FALSE),VLOOKUP($E69,武器奇术!$A:$R,2,FALSE))*(1+DF69)*(1+DG69)*DH69*(1+$E$17+VLOOKUP($E69,武器奇术!$A:$R,10,FALSE))</f>
        <v>357.1932238875</v>
      </c>
      <c r="DN69" s="110">
        <f t="shared" si="29"/>
        <v>0.0986</v>
      </c>
      <c r="DO69" s="112">
        <f>DD69*IF(VLOOKUP($E69,武器奇术!$A:$R,17,FALSE)="破竹",VLOOKUP($E69,武器奇术!$A:$R,4,FALSE),VLOOKUP($E69,武器奇术!$A:$R,2,FALSE))*(1+DF69)*(1+DG69)*DH69</f>
        <v>264.58757325</v>
      </c>
      <c r="DP69" s="110">
        <f t="shared" si="30"/>
        <v>0.00928814000000003</v>
      </c>
      <c r="DQ69" s="113">
        <f t="shared" si="31"/>
        <v>492.929847299336</v>
      </c>
    </row>
    <row r="70" customFormat="1" spans="1:121">
      <c r="A70" s="36"/>
      <c r="B70" t="s">
        <v>163</v>
      </c>
      <c r="C70">
        <v>1.13</v>
      </c>
      <c r="D70"/>
      <c r="E70" s="98" t="s">
        <v>93</v>
      </c>
      <c r="F70" s="99">
        <v>1</v>
      </c>
      <c r="G70" s="115"/>
      <c r="H70" s="100">
        <f>IF(VLOOKUP($E70,武器奇术!$A:$R,18,FALSE)="天工",AE70,(AE70+AT70+BI70+BX70+CM70+DB70+DQ70))*(1+J70)*F70*K70*(1+G70)</f>
        <v>0</v>
      </c>
      <c r="I70" s="101">
        <f t="shared" si="0"/>
        <v>0</v>
      </c>
      <c r="J70" s="101">
        <f>$F$3+VLOOKUP($E70,武器奇术!$A:$R,12,FALSE)+VLOOKUP($E70,武器奇术!$A:$R,14,FALSE)*$G$3+$P70</f>
        <v>0.303</v>
      </c>
      <c r="K70" s="102">
        <f>VLOOKUP($E70,武器奇术!$A:$R,11,FALSE)</f>
        <v>1</v>
      </c>
      <c r="L70" s="117">
        <f>IF(VLOOKUP($E70,武器奇术!$A:$R,15,FALSE)="天工",0%,IF($C$17+VLOOKUP($E70,武器奇术!$A:$R,7,FALSE)&gt;80%,80%,$C$17+VLOOKUP($E70,武器奇术!$A:$R,7,FALSE))+IF($C$19&gt;20%,20%,$C$19))</f>
        <v>0.892</v>
      </c>
      <c r="M70" s="118">
        <f>IF(VLOOKUP($E70,武器奇术!$A:$R,15,FALSE)="天工",0%,IF($C$18+VLOOKUP($E70,武器奇术!$A:$R,9,FALSE)&gt;40%,40%,$C$18+VLOOKUP($E70,武器奇术!$A:$R,9,FALSE))+IF($C$20&gt;10%,10%,$C$20))</f>
        <v>0.0986</v>
      </c>
      <c r="N70" s="119">
        <f>IF(VLOOKUP($E70,武器奇术!$A:$R,15,FALSE)="天工",100%,MIN($C$16,1))</f>
        <v>0.9881</v>
      </c>
      <c r="O70" s="120" t="str">
        <f>VLOOKUP($E70,武器奇术!$A:$R,16,FALSE)</f>
        <v>N/A</v>
      </c>
      <c r="P70" s="121">
        <f t="shared" si="38"/>
        <v>0</v>
      </c>
      <c r="Q70" s="108">
        <f>$B$5*(1+VLOOKUP($E70,武器奇术!$A:$R,5,FALSE)+IF($G$5="飞隼",0.1,0)+IF($G$5="撼天",0.05,0))-$F$9+IF($I$5="√",160,0)</f>
        <v>1731.135</v>
      </c>
      <c r="R70" s="99">
        <f>IF(VLOOKUP($E70,武器奇术!$A:$Z,20,FALSE)=1,(S70-(Q70+S70)*0.5)*($G$15-0.5)*2+(Q70+S70)*0.5,(Q70+S70)*0.5)</f>
        <v>3256.775</v>
      </c>
      <c r="S70" s="109">
        <f>MAX($C$5,$B$5)*(1+VLOOKUP($E70,武器奇术!$A:$R,5,FALSE)+IF($G$5="飞隼",0.1,0)+IF($G$5="撼天",0.05,0))-$F$9+IF($I$5="√",320,0)</f>
        <v>4782.415</v>
      </c>
      <c r="T70" s="101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U70" s="111">
        <f>$E$5+IF(VLOOKUP($E70,武器奇术!$A:$U,21,FALSE)=1,0,0.09)</f>
        <v>0.115</v>
      </c>
      <c r="V70" s="109">
        <v>1</v>
      </c>
      <c r="W70" s="112">
        <f>Q70*VLOOKUP($E70,武器奇术!$A:$R,2,FALSE)*(1+T70)*(1+U70)*V70</f>
        <v>0</v>
      </c>
      <c r="X70" s="110">
        <f>(1-IF(VLOOKUP($E70,武器奇术!$A:$T,20,FALSE)=1,1,$N70))*(1-$M70)</f>
        <v>0.01072666</v>
      </c>
      <c r="Y70" s="112">
        <f>R70*VLOOKUP($E70,武器奇术!$A:$R,2,FALSE)*(1+T70)*(1+U70)*V70*(1+$E$16+VLOOKUP($E70,武器奇术!$A:$R,8,FALSE))</f>
        <v>0</v>
      </c>
      <c r="Z70" s="110">
        <f t="shared" si="39"/>
        <v>0.8813852</v>
      </c>
      <c r="AA70" s="112">
        <f>S70*VLOOKUP($E70,武器奇术!$A:$R,2,FALSE)*(1+T70)*(1+U70)*V70*(1+$E$17+VLOOKUP($E70,武器奇术!$A:$R,10,FALSE))</f>
        <v>0</v>
      </c>
      <c r="AB70" s="110">
        <f t="shared" si="40"/>
        <v>0.0986</v>
      </c>
      <c r="AC70" s="112">
        <f>R70*VLOOKUP($E70,武器奇术!$A:$R,2,FALSE)*(1+T70)*(1+U70)*V70</f>
        <v>0</v>
      </c>
      <c r="AD70" s="110">
        <f t="shared" si="1"/>
        <v>0.00928814000000003</v>
      </c>
      <c r="AE70" s="113">
        <f t="shared" si="2"/>
        <v>0</v>
      </c>
      <c r="AF70" s="114">
        <f>VLOOKUP($E70,武器奇术!$A:$R,3,FALSE)*(1+IF(VLOOKUP($E70,武器奇术!$A:$R,15,FALSE)="武器",$E$15,0))</f>
        <v>0</v>
      </c>
      <c r="AG70" s="112">
        <f t="shared" si="3"/>
        <v>0</v>
      </c>
      <c r="AH70" s="112">
        <f>VLOOKUP($E70,武器奇术!$A:$R,3,FALSE)*(1+IF(VLOOKUP($E70,武器奇术!$A:$R,15,FALSE)="武器",$E$15,0))</f>
        <v>0</v>
      </c>
      <c r="AI70" s="101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AJ70" s="111">
        <f>$E$5+IF(VLOOKUP($E70,武器奇术!$A:$U,21,FALSE)=1,0,0.09)</f>
        <v>0.115</v>
      </c>
      <c r="AK70" s="109">
        <v>1</v>
      </c>
      <c r="AL70" s="112">
        <f t="shared" si="41"/>
        <v>0</v>
      </c>
      <c r="AM70" s="110">
        <f>(1-IF(VLOOKUP($E70,武器奇术!$A:$T,20,FALSE)=1,1,$N70))*(1-$M70)</f>
        <v>0.01072666</v>
      </c>
      <c r="AN70" s="112">
        <f>AG70*(1+AI70)*(1+AJ70)*AK70*(1+$E$16+VLOOKUP($E70,武器奇术!$A:$R,8,FALSE))</f>
        <v>0</v>
      </c>
      <c r="AO70" s="110">
        <f t="shared" si="4"/>
        <v>0.8813852</v>
      </c>
      <c r="AP70" s="112">
        <f>AH70*(1+AI70)*(1+AJ70)*AK70*(1+$E$17+VLOOKUP($E70,武器奇术!$A:$R,10,FALSE))</f>
        <v>0</v>
      </c>
      <c r="AQ70" s="110">
        <f t="shared" si="5"/>
        <v>0.0986</v>
      </c>
      <c r="AR70" s="112">
        <f t="shared" si="6"/>
        <v>0</v>
      </c>
      <c r="AS70" s="110">
        <f t="shared" si="7"/>
        <v>0.00928814000000003</v>
      </c>
      <c r="AT70" s="113">
        <f t="shared" si="8"/>
        <v>0</v>
      </c>
      <c r="AU70" s="108">
        <f>$B$7*IF($G$5="撼天",1.05,1)+IF(AND(VLOOKUP($E70,武器奇术!$A:$R,15,FALSE)="武器",VLOOKUP($E70,武器奇术!$A:$R,17,FALSE)="鸣金"),$E$3,0)*(1+$E$15)</f>
        <v>0</v>
      </c>
      <c r="AV70" s="99">
        <f>(AU70+AW70)*IF(VLOOKUP($E70,武器奇术!$A:$Z,21,FALSE)=1,$G$15,0.5)</f>
        <v>0</v>
      </c>
      <c r="AW70" s="109">
        <f>MAX($C$7*IF($G$5="撼天",1.05,1)+IF(AND(VLOOKUP($E70,武器奇术!$A:$R,15,FALSE)="武器",VLOOKUP($E70,武器奇术!$A:$R,17,FALSE)="鸣金"),$E$3*(1+$E$15),0),AU70)</f>
        <v>0</v>
      </c>
      <c r="AX70" s="110">
        <f>IF(($D$7+IF(VLOOKUP($E70,武器奇术!$A:$R,17,FALSE)="鸣金",$D$15,0)+IF(VLOOKUP($E70,武器奇术!$A:$R,18,FALSE)=1,4,0)+IF(VLOOKUP($E70,武器奇术!$A:$S,19,FALSE)=1,20,0)-VLOOKUP($F$7,目标属性!$A:$R,6,FALSE))&gt;0,($D$7+IF(VLOOKUP($E70,武器奇术!$A:$R,17,FALSE)="鸣金",$D$15,0)+IF(VLOOKUP($E70,武器奇术!$A:$R,18,FALSE)=1,4,0)+IF(VLOOKUP($E70,武器奇术!$A:$S,19,FALSE)=1,20,0)-VLOOKUP($F$7,目标属性!$A:$R,6,FALSE))/200,($D$7+IF(VLOOKUP($E70,武器奇术!$A:$R,17,FALSE)="鸣金",$D$15,0)+IF(VLOOKUP($E70,武器奇术!$A:$R,18,FALSE)=1,4,0)+IF(VLOOKUP($E70,武器奇术!$A:$S,19,FALSE)=1,20,0)-VLOOKUP($F$7,目标属性!$A:$R,6,FALSE))/100)</f>
        <v>-0.24</v>
      </c>
      <c r="AY70" s="111">
        <f t="shared" si="9"/>
        <v>0</v>
      </c>
      <c r="AZ70" s="109">
        <v>1</v>
      </c>
      <c r="BA70" s="112">
        <f>AU70*IF(VLOOKUP($E70,武器奇术!$A:$R,17,FALSE)="鸣金",VLOOKUP($E70,武器奇术!$A:$R,4,FALSE),VLOOKUP($E70,武器奇术!$A:$R,2,FALSE))*(1+AX70)*(1+AY70)*AZ70</f>
        <v>0</v>
      </c>
      <c r="BB70" s="110">
        <f>(1-IF(VLOOKUP($E70,武器奇术!$A:$T,20,FALSE)=1,1,$N70))*(1-$M70)</f>
        <v>0.01072666</v>
      </c>
      <c r="BC70" s="112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10">
        <f t="shared" si="10"/>
        <v>0.8813852</v>
      </c>
      <c r="BE70" s="112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10">
        <f t="shared" si="11"/>
        <v>0.0986</v>
      </c>
      <c r="BG70" s="112">
        <f>AV70*IF(VLOOKUP($E70,武器奇术!$A:$R,17,FALSE)="鸣金",VLOOKUP($E70,武器奇术!$A:$R,4,FALSE),VLOOKUP($E70,武器奇术!$A:$R,2,FALSE))*(1+AX70)*(1+AY70)*AZ70</f>
        <v>0</v>
      </c>
      <c r="BH70" s="110">
        <f t="shared" si="12"/>
        <v>0.00928814000000003</v>
      </c>
      <c r="BI70" s="113">
        <f t="shared" si="13"/>
        <v>0</v>
      </c>
      <c r="BJ70" s="108">
        <f>$B$9*IF($G$5="撼天",1.05,1)+IF(AND(VLOOKUP($E70,武器奇术!$A:$R,15,FALSE)="武器",VLOOKUP($E70,武器奇术!$A:$R,17,FALSE)="裂石"),$E$3,0)*(1+$E$15)</f>
        <v>0</v>
      </c>
      <c r="BK70" s="99">
        <f>(BJ70+BL70)*IF(VLOOKUP($E70,武器奇术!$A:$Z,21,FALSE)=1,$G$15,0.5)</f>
        <v>0</v>
      </c>
      <c r="BL70" s="109">
        <f>MAX($C$9*IF($G$5="撼天",1.05,1)+IF(AND(VLOOKUP($E70,武器奇术!$A:$R,15,FALSE)="武器",VLOOKUP($E70,武器奇术!$A:$R,17,FALSE)="裂石"),$E$3*(1+$E$15),0),BJ70)</f>
        <v>0</v>
      </c>
      <c r="BM70" s="110">
        <f>IF(($D$9+IF(VLOOKUP($E70,武器奇术!$A:$R,17,FALSE)="裂石",$D$15,0)+IF(VLOOKUP($E70,武器奇术!$A:$R,18,FALSE)=1,4,0)+IF(VLOOKUP($E70,武器奇术!$A:$S,19,FALSE)=1,20,0)-VLOOKUP($F$7,目标属性!$A:$R,6,FALSE))&gt;0,($D$9+IF(VLOOKUP($E70,武器奇术!$A:$R,17,FALSE)="裂石",$D$15,0)+IF(VLOOKUP($E70,武器奇术!$A:$R,18,FALSE)=1,4,0)+IF(VLOOKUP($E70,武器奇术!$A:$S,19,FALSE)=1,20,0)-VLOOKUP($F$7,目标属性!$A:$R,6,FALSE))/200,($D$9+IF(VLOOKUP($E70,武器奇术!$A:$R,17,FALSE)="裂石",$D$15,0)+IF(VLOOKUP($E70,武器奇术!$A:$R,18,FALSE)=1,4,0)+IF(VLOOKUP($E70,武器奇术!$A:$S,19,FALSE)=1,20,0)-VLOOKUP($F$7,目标属性!$A:$R,6,FALSE))/100)</f>
        <v>-0.24</v>
      </c>
      <c r="BN70" s="111">
        <f t="shared" si="14"/>
        <v>0</v>
      </c>
      <c r="BO70" s="109">
        <v>1</v>
      </c>
      <c r="BP70" s="112">
        <f>BJ70*IF(VLOOKUP($E70,武器奇术!$A:$R,17,FALSE)="裂石",VLOOKUP($E70,武器奇术!$A:$R,4,FALSE),VLOOKUP($E70,武器奇术!$A:$R,2,FALSE))*(1+BM70)*(1+BN70)*BO70</f>
        <v>0</v>
      </c>
      <c r="BQ70" s="110">
        <f>(1-IF(VLOOKUP($E70,武器奇术!$A:$T,20,FALSE)=1,1,$N70))*(1-$M70)</f>
        <v>0.01072666</v>
      </c>
      <c r="BR70" s="112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10">
        <f t="shared" si="15"/>
        <v>0.8813852</v>
      </c>
      <c r="BT70" s="112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10">
        <f t="shared" si="16"/>
        <v>0.0986</v>
      </c>
      <c r="BV70" s="112">
        <f>BK70*IF(VLOOKUP($E70,武器奇术!$A:$R,17,FALSE)="裂石",VLOOKUP($E70,武器奇术!$A:$R,4,FALSE),VLOOKUP($E70,武器奇术!$A:$R,2,FALSE))*(1+BM70)*(1+BN70)*BO70</f>
        <v>0</v>
      </c>
      <c r="BW70" s="110">
        <f t="shared" si="17"/>
        <v>0.00928814000000003</v>
      </c>
      <c r="BX70" s="113">
        <f t="shared" si="18"/>
        <v>0</v>
      </c>
      <c r="BY70" s="108">
        <f>$B$11*IF($G$5="撼天",1.05,1)+IF(AND(VLOOKUP($E70,武器奇术!$A:$R,15,FALSE)="武器",VLOOKUP($E70,武器奇术!$A:$R,17,FALSE)="牵丝"),$E$3,0)*(1+$E$15)</f>
        <v>0</v>
      </c>
      <c r="BZ70" s="99">
        <f>(BY70+CA70)*IF(VLOOKUP($E70,武器奇术!$A:$Z,21,FALSE)=1,$G$15,0.5)</f>
        <v>0</v>
      </c>
      <c r="CA70" s="109">
        <f>MAX($C$11*IF($G$5="撼天",1.05,1)+IF(AND(VLOOKUP($E70,武器奇术!$A:$R,15,FALSE)="武器",VLOOKUP($E70,武器奇术!$A:$R,17,FALSE)="牵丝"),$E$3*(1+$E$15),0),BY70)</f>
        <v>0</v>
      </c>
      <c r="CB70" s="110">
        <f>IF(($D$11+IF(VLOOKUP($E70,武器奇术!$A:$R,17,FALSE)="牵丝",$D$15,0)+IF(VLOOKUP($E70,武器奇术!$A:$R,18,FALSE)=1,4,0)+IF(VLOOKUP($E70,武器奇术!$A:$S,19,FALSE)=1,20,0)-VLOOKUP($F$7,目标属性!$A:$R,6,FALSE))&gt;0,($D$11+IF(VLOOKUP($E70,武器奇术!$A:$R,17,FALSE)="牵丝",$D$15,0)+IF(VLOOKUP($E70,武器奇术!$A:$R,18,FALSE)=1,4,0)+IF(VLOOKUP($E70,武器奇术!$A:$S,19,FALSE)=1,20,0)-VLOOKUP($F$7,目标属性!$A:$R,6,FALSE))/200,($D$11+IF(VLOOKUP($E70,武器奇术!$A:$R,17,FALSE)="牵丝",$D$15,0)+IF(VLOOKUP($E70,武器奇术!$A:$R,18,FALSE)=1,4,0)+IF(VLOOKUP($E70,武器奇术!$A:$S,19,FALSE)=1,20,0)-VLOOKUP($F$7,目标属性!$A:$R,6,FALSE))/100)</f>
        <v>-0.24</v>
      </c>
      <c r="CC70" s="111">
        <f t="shared" si="19"/>
        <v>0</v>
      </c>
      <c r="CD70" s="109">
        <v>1</v>
      </c>
      <c r="CE70" s="112">
        <f>BY70*IF(VLOOKUP($E70,武器奇术!$A:$R,17,FALSE)="牵丝",VLOOKUP($E70,武器奇术!$A:$R,4,FALSE),VLOOKUP($E70,武器奇术!$A:$R,2,FALSE))*(1+CB70)*(1+CC70)*CD70</f>
        <v>0</v>
      </c>
      <c r="CF70" s="110">
        <f>(1-IF(VLOOKUP($E70,武器奇术!$A:$T,20,FALSE)=1,1,$N70))*(1-$M70)</f>
        <v>0.01072666</v>
      </c>
      <c r="CG70" s="112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110">
        <f t="shared" si="20"/>
        <v>0.8813852</v>
      </c>
      <c r="CI70" s="112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110">
        <f t="shared" si="21"/>
        <v>0.0986</v>
      </c>
      <c r="CK70" s="112">
        <f>BZ70*IF(VLOOKUP($E70,武器奇术!$A:$R,17,FALSE)="牵丝",VLOOKUP($E70,武器奇术!$A:$R,4,FALSE),VLOOKUP($E70,武器奇术!$A:$R,2,FALSE))*(1+CB70)*(1+CC70)*CD70</f>
        <v>0</v>
      </c>
      <c r="CL70" s="110">
        <f t="shared" si="22"/>
        <v>0.00928814000000003</v>
      </c>
      <c r="CM70" s="113">
        <f t="shared" si="23"/>
        <v>0</v>
      </c>
      <c r="CN70" s="108">
        <f>$B$13*IF($G$5="撼天",1.05,1)+IF(AND(VLOOKUP($E70,武器奇术!$A:$R,15,FALSE)="武器",VLOOKUP($E70,武器奇术!$A:$R,17,FALSE)="破竹"),$E$3,0)*(1+$E$15)</f>
        <v>452.55</v>
      </c>
      <c r="CO70" s="99">
        <f>IF(VLOOKUP($E70,武器奇术!$A:$Z,20,FALSE)=1,(CP70-(CN70+CP70)*0.5)*($G$15-0.5)*2+(CN70+CP70)*0.5,(CN70+CP70)*0.5)</f>
        <v>679.35</v>
      </c>
      <c r="CP70" s="109">
        <f>MAX($C$13*IF($G$5="撼天",1.05,1)+IF(AND(VLOOKUP($E70,武器奇术!$A:$R,15,FALSE)="武器",VLOOKUP($E70,武器奇术!$A:$R,17,FALSE)="破竹"),$E$3*(1+$E$15),0),CN70)</f>
        <v>906.15</v>
      </c>
      <c r="CQ70" s="110">
        <f>IF(($D$13+IF(VLOOKUP($E70,武器奇术!$A:$R,17,FALSE)="破竹",$D$15,0)+IF(VLOOKUP($E70,武器奇术!$A:$R,18,FALSE)=1,4,0)+IF(VLOOKUP($E70,武器奇术!$A:$S,19,FALSE)=1,20,0)-VLOOKUP($F$7,目标属性!$A:$R,6,FALSE))&gt;0,($D$13+IF(VLOOKUP($E70,武器奇术!$A:$R,17,FALSE)="破竹",$D$15,0)+IF(VLOOKUP($E70,武器奇术!$A:$R,18,FALSE)=1,4,0)+IF(VLOOKUP($E70,武器奇术!$A:$S,19,FALSE)=1,20,0)-VLOOKUP($F$7,目标属性!$A:$R,6,FALSE))/200,($D$13+IF(VLOOKUP($E70,武器奇术!$A:$R,17,FALSE)="破竹",$D$15,0)+IF(VLOOKUP($E70,武器奇术!$A:$R,18,FALSE)=1,4,0)+IF(VLOOKUP($E70,武器奇术!$A:$S,19,FALSE)=1,20,0)-VLOOKUP($F$7,目标属性!$A:$R,6,FALSE))/100)</f>
        <v>0.025</v>
      </c>
      <c r="CR70" s="111">
        <f>$E$13+IF(VLOOKUP($E70,武器奇术!$A:$U,21,FALSE)=1,0,0.09)</f>
        <v>0.235</v>
      </c>
      <c r="CS70" s="109">
        <v>1</v>
      </c>
      <c r="CT70" s="112">
        <f>CN70*IF(VLOOKUP($E70,武器奇术!$A:$R,17,FALSE)="破竹",VLOOKUP($E70,武器奇术!$A:$R,4,FALSE),VLOOKUP($E70,武器奇术!$A:$R,2,FALSE))*(1+CQ70)*(1+CR70)*CS70</f>
        <v>0</v>
      </c>
      <c r="CU70" s="110">
        <f>(1-IF(VLOOKUP($E70,武器奇术!$A:$T,20,FALSE)=1,1,$N70))*(1-$M70)</f>
        <v>0.01072666</v>
      </c>
      <c r="CV70" s="112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10">
        <f t="shared" si="24"/>
        <v>0.8813852</v>
      </c>
      <c r="CX70" s="112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10">
        <f t="shared" si="25"/>
        <v>0.0986</v>
      </c>
      <c r="CZ70" s="112">
        <f>CO70*IF(VLOOKUP($E70,武器奇术!$A:$R,17,FALSE)="破竹",VLOOKUP($E70,武器奇术!$A:$R,4,FALSE),VLOOKUP($E70,武器奇术!$A:$R,2,FALSE))*(1+CQ70)*(1+CR70)*CS70</f>
        <v>0</v>
      </c>
      <c r="DA70" s="110">
        <f t="shared" si="26"/>
        <v>0.00928814000000003</v>
      </c>
      <c r="DB70" s="113">
        <f t="shared" si="27"/>
        <v>0</v>
      </c>
      <c r="DC70" s="108">
        <f t="shared" si="36"/>
        <v>69.3</v>
      </c>
      <c r="DD70" s="99">
        <f>(DC70+DE70)*IF(VLOOKUP($E70,武器奇术!$A:$Z,21,FALSE)=1,$G$15,0.5)</f>
        <v>69.3</v>
      </c>
      <c r="DE70" s="109">
        <f t="shared" si="37"/>
        <v>69.3</v>
      </c>
      <c r="DF70" s="110">
        <f>IF(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100)</f>
        <v>0.025</v>
      </c>
      <c r="DG70" s="111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U,21,FALSE)=1,0,0.09)</f>
        <v>0.235</v>
      </c>
      <c r="DH70" s="109">
        <v>1</v>
      </c>
      <c r="DI70" s="112">
        <f>DC70*IF(VLOOKUP($E70,武器奇术!$A:$R,17,FALSE)="破竹",VLOOKUP($E70,武器奇术!$A:$R,4,FALSE),VLOOKUP($E70,武器奇术!$A:$R,2,FALSE))*(1+DF70)*(1+DG70)*DH70</f>
        <v>0</v>
      </c>
      <c r="DJ70" s="110">
        <f>(1-IF(VLOOKUP($E70,武器奇术!$A:$T,20,FALSE)=1,1,$N70))*(1-$M70)</f>
        <v>0.01072666</v>
      </c>
      <c r="DK70" s="112">
        <f>DD70*IF(VLOOKUP($E70,武器奇术!$A:$R,17,FALSE)="破竹",VLOOKUP($E70,武器奇术!$A:$R,4,FALSE),VLOOKUP($E70,武器奇术!$A:$R,2,FALSE))*(1+DF70)*(1+DG70)*DH70*(1+$E$16+VLOOKUP($E70,武器奇术!$A:$R,8,FALSE))</f>
        <v>0</v>
      </c>
      <c r="DL70" s="110">
        <f t="shared" si="28"/>
        <v>0.8813852</v>
      </c>
      <c r="DM70" s="112">
        <f>DE70*IF(VLOOKUP($E70,武器奇术!$A:$R,17,FALSE)="破竹",VLOOKUP($E70,武器奇术!$A:$R,4,FALSE),VLOOKUP($E70,武器奇术!$A:$R,2,FALSE))*(1+DF70)*(1+DG70)*DH70*(1+$E$17+VLOOKUP($E70,武器奇术!$A:$R,10,FALSE))</f>
        <v>0</v>
      </c>
      <c r="DN70" s="110">
        <f t="shared" si="29"/>
        <v>0.0986</v>
      </c>
      <c r="DO70" s="112">
        <f>DD70*IF(VLOOKUP($E70,武器奇术!$A:$R,17,FALSE)="破竹",VLOOKUP($E70,武器奇术!$A:$R,4,FALSE),VLOOKUP($E70,武器奇术!$A:$R,2,FALSE))*(1+DF70)*(1+DG70)*DH70</f>
        <v>0</v>
      </c>
      <c r="DP70" s="110">
        <f t="shared" si="30"/>
        <v>0.00928814000000003</v>
      </c>
      <c r="DQ70" s="113">
        <f t="shared" si="31"/>
        <v>0</v>
      </c>
    </row>
    <row r="71" customFormat="1" spans="1:121">
      <c r="A71" s="36"/>
      <c r="B71" t="s">
        <v>164</v>
      </c>
      <c r="C71" s="147">
        <v>1.16</v>
      </c>
      <c r="D71"/>
      <c r="E71" s="98" t="s">
        <v>130</v>
      </c>
      <c r="F71" s="99">
        <v>1</v>
      </c>
      <c r="G71" s="115">
        <f>$E$23</f>
        <v>0.32</v>
      </c>
      <c r="H71" s="149">
        <f>IF(VLOOKUP($E71,武器奇术!$A:$R,18,FALSE)="天工",AE71,(AE71+AT71+BI71+BX71+CM71+DB71+DQ71))*(1+J71)*F71*K71*(1+G71)*(1+$G$21*5%)</f>
        <v>1108501.07859183</v>
      </c>
      <c r="I71" s="101">
        <f t="shared" si="0"/>
        <v>0.1368587731553</v>
      </c>
      <c r="J71" s="101">
        <f>$F$3+VLOOKUP($E71,武器奇术!$A:$R,12,FALSE)+VLOOKUP($E71,武器奇术!$A:$R,14,FALSE)*$G$3+$P71</f>
        <v>0.773</v>
      </c>
      <c r="K71" s="102">
        <f>VLOOKUP($E71,武器奇术!$A:$R,11,FALSE)</f>
        <v>1</v>
      </c>
      <c r="L71" s="117">
        <f>IF(VLOOKUP($E71,武器奇术!$A:$R,15,FALSE)="天工",0%,IF($C$17+VLOOKUP($E71,武器奇术!$A:$R,7,FALSE)&gt;80%,80%,$C$17+VLOOKUP($E71,武器奇术!$A:$R,7,FALSE))+IF($C$19&gt;20%,20%,$C$19))</f>
        <v>0.892</v>
      </c>
      <c r="M71" s="118">
        <f>IF(VLOOKUP($E71,武器奇术!$A:$R,15,FALSE)="天工",0%,IF($C$18+VLOOKUP($E71,武器奇术!$A:$R,9,FALSE)&gt;40%,40%,$C$18+VLOOKUP($E71,武器奇术!$A:$R,9,FALSE))+IF($C$20&gt;10%,10%,$C$20))</f>
        <v>0.0986</v>
      </c>
      <c r="N71" s="119">
        <f>IF(VLOOKUP($E71,武器奇术!$A:$R,15,FALSE)="天工",100%,MIN($C$16,1))</f>
        <v>0.9881</v>
      </c>
      <c r="O71" s="120" t="str">
        <f>VLOOKUP($E71,武器奇术!$A:$R,16,FALSE)</f>
        <v>拳甲</v>
      </c>
      <c r="P71" s="121">
        <f t="shared" si="38"/>
        <v>0.17</v>
      </c>
      <c r="Q71" s="108">
        <f>$B$5*(1+VLOOKUP($E71,武器奇术!$A:$R,5,FALSE)+IF($G$5="飞隼",0.1,0)+IF($G$5="撼天",0.05,0))-$F$9+IF($I$5="√",160,0)</f>
        <v>1731.135</v>
      </c>
      <c r="R71" s="99">
        <f>IF(VLOOKUP($E71,武器奇术!$A:$Z,20,FALSE)=1,(S71-(Q71+S71)*0.5)*($G$15-0.5)*2+(Q71+S71)*0.5,(Q71+S71)*0.5)</f>
        <v>3256.775</v>
      </c>
      <c r="S71" s="109">
        <f>MAX($C$5,$B$5)*(1+VLOOKUP($E71,武器奇术!$A:$R,5,FALSE)+IF($G$5="飞隼",0.1,0)+IF($G$5="撼天",0.05,0))-$F$9+IF($I$5="√",320,0)</f>
        <v>4782.415</v>
      </c>
      <c r="T71" s="101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U71" s="111">
        <f>$E$5+IF(VLOOKUP($E71,武器奇术!$A:$U,21,FALSE)=1,0,0.09)</f>
        <v>0.115</v>
      </c>
      <c r="V71" s="109">
        <v>1</v>
      </c>
      <c r="W71" s="112">
        <f>Q71*VLOOKUP($E71,武器奇术!$A:$R,2,FALSE)*(1+T71)*(1+U71)*V71</f>
        <v>58678.4041054908</v>
      </c>
      <c r="X71" s="110">
        <f>(1-IF(VLOOKUP($E71,武器奇术!$A:$T,20,FALSE)=1,1,$N71))*(1-$M71)</f>
        <v>0</v>
      </c>
      <c r="Y71" s="112">
        <f>R71*VLOOKUP($E71,武器奇术!$A:$R,2,FALSE)*(1+T71)*(1+U71)*V71*(1+$E$16+VLOOKUP($E71,武器奇术!$A:$R,8,FALSE))</f>
        <v>236237.525898103</v>
      </c>
      <c r="Z71" s="110">
        <f t="shared" si="39"/>
        <v>0.8813852</v>
      </c>
      <c r="AA71" s="112">
        <f>S71*VLOOKUP($E71,武器奇术!$A:$R,2,FALSE)*(1+T71)*(1+U71)*V71*(1+$E$17+VLOOKUP($E71,武器奇术!$A:$R,10,FALSE))</f>
        <v>218840.846011268</v>
      </c>
      <c r="AB71" s="110">
        <f t="shared" si="40"/>
        <v>0.0986</v>
      </c>
      <c r="AC71" s="112">
        <f>R71*VLOOKUP($E71,武器奇术!$A:$R,2,FALSE)*(1+T71)*(1+U71)*V71</f>
        <v>110391.367242104</v>
      </c>
      <c r="AD71" s="110">
        <f t="shared" si="1"/>
        <v>0.0200148</v>
      </c>
      <c r="AE71" s="113">
        <f t="shared" si="2"/>
        <v>232003.427564993</v>
      </c>
      <c r="AF71" s="114">
        <f>VLOOKUP($E71,武器奇术!$A:$R,3,FALSE)*(1+IF(VLOOKUP($E71,武器奇术!$A:$R,15,FALSE)="武器",$E$15,0))</f>
        <v>8140.86</v>
      </c>
      <c r="AG71" s="112">
        <f t="shared" si="3"/>
        <v>8140.86</v>
      </c>
      <c r="AH71" s="112">
        <f>VLOOKUP($E71,武器奇术!$A:$R,3,FALSE)*(1+IF(VLOOKUP($E71,武器奇术!$A:$R,15,FALSE)="武器",$E$15,0))</f>
        <v>8140.86</v>
      </c>
      <c r="AI71" s="101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AJ71" s="111">
        <f>$E$5+IF(VLOOKUP($E71,武器奇术!$A:$U,21,FALSE)=1,0,0.09)</f>
        <v>0.115</v>
      </c>
      <c r="AK71" s="109">
        <v>1</v>
      </c>
      <c r="AL71" s="112">
        <f t="shared" si="41"/>
        <v>12181.4130438</v>
      </c>
      <c r="AM71" s="110">
        <f>(1-IF(VLOOKUP($E71,武器奇术!$A:$T,20,FALSE)=1,1,$N71))*(1-$M71)</f>
        <v>0</v>
      </c>
      <c r="AN71" s="112">
        <f>AG71*(1+AI71)*(1+AJ71)*AK71*(1+$E$16+VLOOKUP($E71,武器奇术!$A:$R,8,FALSE))</f>
        <v>26068.223913732</v>
      </c>
      <c r="AO71" s="110">
        <f t="shared" si="4"/>
        <v>0.8813852</v>
      </c>
      <c r="AP71" s="112">
        <f>AH71*(1+AI71)*(1+AJ71)*AK71*(1+$E$17+VLOOKUP($E71,武器奇术!$A:$R,10,FALSE))</f>
        <v>16444.90760913</v>
      </c>
      <c r="AQ71" s="110">
        <f t="shared" si="5"/>
        <v>0.0986</v>
      </c>
      <c r="AR71" s="112">
        <f t="shared" si="6"/>
        <v>12181.4130438</v>
      </c>
      <c r="AS71" s="110">
        <f t="shared" si="7"/>
        <v>0.0200148</v>
      </c>
      <c r="AT71" s="113">
        <f t="shared" si="8"/>
        <v>24841.4231838987</v>
      </c>
      <c r="AU71" s="108">
        <f>$B$7*IF($G$5="撼天",1.05,1)+IF(AND(VLOOKUP($E71,武器奇术!$A:$R,15,FALSE)="武器",VLOOKUP($E71,武器奇术!$A:$R,17,FALSE)="鸣金"),$E$3,0)*(1+$E$15)</f>
        <v>0</v>
      </c>
      <c r="AV71" s="99">
        <f>(AU71+AW71)*IF(VLOOKUP($E71,武器奇术!$A:$Z,21,FALSE)=1,$G$15,0.5)</f>
        <v>0</v>
      </c>
      <c r="AW71" s="109">
        <f>MAX($C$7*IF($G$5="撼天",1.05,1)+IF(AND(VLOOKUP($E71,武器奇术!$A:$R,15,FALSE)="武器",VLOOKUP($E71,武器奇术!$A:$R,17,FALSE)="鸣金"),$E$3*(1+$E$15),0),AU71)</f>
        <v>0</v>
      </c>
      <c r="AX71" s="110">
        <f>IF(($D$7+IF(VLOOKUP($E71,武器奇术!$A:$R,17,FALSE)="鸣金",$D$15,0)+IF(VLOOKUP($E71,武器奇术!$A:$R,18,FALSE)=1,4,0)+IF(VLOOKUP($E71,武器奇术!$A:$S,19,FALSE)=1,20,0)-VLOOKUP($F$7,目标属性!$A:$R,6,FALSE))&gt;0,($D$7+IF(VLOOKUP($E71,武器奇术!$A:$R,17,FALSE)="鸣金",$D$15,0)+IF(VLOOKUP($E71,武器奇术!$A:$R,18,FALSE)=1,4,0)+IF(VLOOKUP($E71,武器奇术!$A:$S,19,FALSE)=1,20,0)-VLOOKUP($F$7,目标属性!$A:$R,6,FALSE))/200,($D$7+IF(VLOOKUP($E71,武器奇术!$A:$R,17,FALSE)="鸣金",$D$15,0)+IF(VLOOKUP($E71,武器奇术!$A:$R,18,FALSE)=1,4,0)+IF(VLOOKUP($E71,武器奇术!$A:$S,19,FALSE)=1,20,0)-VLOOKUP($F$7,目标属性!$A:$R,6,FALSE))/100)</f>
        <v>0</v>
      </c>
      <c r="AY71" s="111">
        <f t="shared" si="9"/>
        <v>0</v>
      </c>
      <c r="AZ71" s="109">
        <v>1</v>
      </c>
      <c r="BA71" s="112">
        <f>AU71*IF(VLOOKUP($E71,武器奇术!$A:$R,17,FALSE)="鸣金",VLOOKUP($E71,武器奇术!$A:$R,4,FALSE),VLOOKUP($E71,武器奇术!$A:$R,2,FALSE))*(1+AX71)*(1+AY71)*AZ71</f>
        <v>0</v>
      </c>
      <c r="BB71" s="110">
        <f>(1-IF(VLOOKUP($E71,武器奇术!$A:$T,20,FALSE)=1,1,$N71))*(1-$M71)</f>
        <v>0</v>
      </c>
      <c r="BC71" s="112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10">
        <f t="shared" si="10"/>
        <v>0.8813852</v>
      </c>
      <c r="BE71" s="112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10">
        <f t="shared" si="11"/>
        <v>0.0986</v>
      </c>
      <c r="BG71" s="112">
        <f>AV71*IF(VLOOKUP($E71,武器奇术!$A:$R,17,FALSE)="鸣金",VLOOKUP($E71,武器奇术!$A:$R,4,FALSE),VLOOKUP($E71,武器奇术!$A:$R,2,FALSE))*(1+AX71)*(1+AY71)*AZ71</f>
        <v>0</v>
      </c>
      <c r="BH71" s="110">
        <f t="shared" si="12"/>
        <v>0.0200148</v>
      </c>
      <c r="BI71" s="113">
        <f t="shared" si="13"/>
        <v>0</v>
      </c>
      <c r="BJ71" s="108">
        <f>$B$9*IF($G$5="撼天",1.05,1)+IF(AND(VLOOKUP($E71,武器奇术!$A:$R,15,FALSE)="武器",VLOOKUP($E71,武器奇术!$A:$R,17,FALSE)="裂石"),$E$3,0)*(1+$E$15)</f>
        <v>0</v>
      </c>
      <c r="BK71" s="99">
        <f>(BJ71+BL71)*IF(VLOOKUP($E71,武器奇术!$A:$Z,21,FALSE)=1,$G$15,0.5)</f>
        <v>0</v>
      </c>
      <c r="BL71" s="109">
        <f>MAX($C$9*IF($G$5="撼天",1.05,1)+IF(AND(VLOOKUP($E71,武器奇术!$A:$R,15,FALSE)="武器",VLOOKUP($E71,武器奇术!$A:$R,17,FALSE)="裂石"),$E$3*(1+$E$15),0),BJ71)</f>
        <v>0</v>
      </c>
      <c r="BM71" s="110">
        <f>IF(($D$9+IF(VLOOKUP($E71,武器奇术!$A:$R,17,FALSE)="裂石",$D$15,0)+IF(VLOOKUP($E71,武器奇术!$A:$R,18,FALSE)=1,4,0)+IF(VLOOKUP($E71,武器奇术!$A:$S,19,FALSE)=1,20,0)-VLOOKUP($F$7,目标属性!$A:$R,6,FALSE))&gt;0,($D$9+IF(VLOOKUP($E71,武器奇术!$A:$R,17,FALSE)="裂石",$D$15,0)+IF(VLOOKUP($E71,武器奇术!$A:$R,18,FALSE)=1,4,0)+IF(VLOOKUP($E71,武器奇术!$A:$S,19,FALSE)=1,20,0)-VLOOKUP($F$7,目标属性!$A:$R,6,FALSE))/200,($D$9+IF(VLOOKUP($E71,武器奇术!$A:$R,17,FALSE)="裂石",$D$15,0)+IF(VLOOKUP($E71,武器奇术!$A:$R,18,FALSE)=1,4,0)+IF(VLOOKUP($E71,武器奇术!$A:$S,19,FALSE)=1,20,0)-VLOOKUP($F$7,目标属性!$A:$R,6,FALSE))/100)</f>
        <v>0</v>
      </c>
      <c r="BN71" s="111">
        <f t="shared" si="14"/>
        <v>0</v>
      </c>
      <c r="BO71" s="109">
        <v>1</v>
      </c>
      <c r="BP71" s="112">
        <f>BJ71*IF(VLOOKUP($E71,武器奇术!$A:$R,17,FALSE)="裂石",VLOOKUP($E71,武器奇术!$A:$R,4,FALSE),VLOOKUP($E71,武器奇术!$A:$R,2,FALSE))*(1+BM71)*(1+BN71)*BO71</f>
        <v>0</v>
      </c>
      <c r="BQ71" s="110">
        <f>(1-IF(VLOOKUP($E71,武器奇术!$A:$T,20,FALSE)=1,1,$N71))*(1-$M71)</f>
        <v>0</v>
      </c>
      <c r="BR71" s="112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10">
        <f t="shared" si="15"/>
        <v>0.8813852</v>
      </c>
      <c r="BT71" s="112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10">
        <f t="shared" si="16"/>
        <v>0.0986</v>
      </c>
      <c r="BV71" s="112">
        <f>BK71*IF(VLOOKUP($E71,武器奇术!$A:$R,17,FALSE)="裂石",VLOOKUP($E71,武器奇术!$A:$R,4,FALSE),VLOOKUP($E71,武器奇术!$A:$R,2,FALSE))*(1+BM71)*(1+BN71)*BO71</f>
        <v>0</v>
      </c>
      <c r="BW71" s="110">
        <f t="shared" si="17"/>
        <v>0.0200148</v>
      </c>
      <c r="BX71" s="113">
        <f t="shared" si="18"/>
        <v>0</v>
      </c>
      <c r="BY71" s="108">
        <f>$B$11*IF($G$5="撼天",1.05,1)+IF(AND(VLOOKUP($E71,武器奇术!$A:$R,15,FALSE)="武器",VLOOKUP($E71,武器奇术!$A:$R,17,FALSE)="牵丝"),$E$3,0)*(1+$E$15)</f>
        <v>0</v>
      </c>
      <c r="BZ71" s="99">
        <f>(BY71+CA71)*IF(VLOOKUP($E71,武器奇术!$A:$Z,21,FALSE)=1,$G$15,0.5)</f>
        <v>0</v>
      </c>
      <c r="CA71" s="109">
        <f>MAX($C$11*IF($G$5="撼天",1.05,1)+IF(AND(VLOOKUP($E71,武器奇术!$A:$R,15,FALSE)="武器",VLOOKUP($E71,武器奇术!$A:$R,17,FALSE)="牵丝"),$E$3*(1+$E$15),0),BY71)</f>
        <v>0</v>
      </c>
      <c r="CB71" s="110">
        <f>IF(($D$11+IF(VLOOKUP($E71,武器奇术!$A:$R,17,FALSE)="牵丝",$D$15,0)+IF(VLOOKUP($E71,武器奇术!$A:$R,18,FALSE)=1,4,0)+IF(VLOOKUP($E71,武器奇术!$A:$S,19,FALSE)=1,20,0)-VLOOKUP($F$7,目标属性!$A:$R,6,FALSE))&gt;0,($D$11+IF(VLOOKUP($E71,武器奇术!$A:$R,17,FALSE)="牵丝",$D$15,0)+IF(VLOOKUP($E71,武器奇术!$A:$R,18,FALSE)=1,4,0)+IF(VLOOKUP($E71,武器奇术!$A:$S,19,FALSE)=1,20,0)-VLOOKUP($F$7,目标属性!$A:$R,6,FALSE))/200,($D$11+IF(VLOOKUP($E71,武器奇术!$A:$R,17,FALSE)="牵丝",$D$15,0)+IF(VLOOKUP($E71,武器奇术!$A:$R,18,FALSE)=1,4,0)+IF(VLOOKUP($E71,武器奇术!$A:$S,19,FALSE)=1,20,0)-VLOOKUP($F$7,目标属性!$A:$R,6,FALSE))/100)</f>
        <v>0</v>
      </c>
      <c r="CC71" s="111">
        <f t="shared" si="19"/>
        <v>0</v>
      </c>
      <c r="CD71" s="109">
        <v>1</v>
      </c>
      <c r="CE71" s="112">
        <f>BY71*IF(VLOOKUP($E71,武器奇术!$A:$R,17,FALSE)="牵丝",VLOOKUP($E71,武器奇术!$A:$R,4,FALSE),VLOOKUP($E71,武器奇术!$A:$R,2,FALSE))*(1+CB71)*(1+CC71)*CD71</f>
        <v>0</v>
      </c>
      <c r="CF71" s="110">
        <f>(1-IF(VLOOKUP($E71,武器奇术!$A:$T,20,FALSE)=1,1,$N71))*(1-$M71)</f>
        <v>0</v>
      </c>
      <c r="CG71" s="112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110">
        <f t="shared" si="20"/>
        <v>0.8813852</v>
      </c>
      <c r="CI71" s="112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110">
        <f t="shared" si="21"/>
        <v>0.0986</v>
      </c>
      <c r="CK71" s="112">
        <f>BZ71*IF(VLOOKUP($E71,武器奇术!$A:$R,17,FALSE)="牵丝",VLOOKUP($E71,武器奇术!$A:$R,4,FALSE),VLOOKUP($E71,武器奇术!$A:$R,2,FALSE))*(1+CB71)*(1+CC71)*CD71</f>
        <v>0</v>
      </c>
      <c r="CL71" s="110">
        <f t="shared" si="22"/>
        <v>0.0200148</v>
      </c>
      <c r="CM71" s="113">
        <f t="shared" si="23"/>
        <v>0</v>
      </c>
      <c r="CN71" s="108">
        <f>$B$13*IF($G$5="撼天",1.05,1)+IF(AND(VLOOKUP($E71,武器奇术!$A:$R,15,FALSE)="武器",VLOOKUP($E71,武器奇术!$A:$R,17,FALSE)="破竹"),$E$3,0)*(1+$E$15)</f>
        <v>648.46</v>
      </c>
      <c r="CO71" s="99">
        <f>IF(VLOOKUP($E71,武器奇术!$A:$Z,20,FALSE)=1,(CP71-(CN71+CP71)*0.5)*($G$15-0.5)*2+(CN71+CP71)*0.5,(CN71+CP71)*0.5)</f>
        <v>875.26</v>
      </c>
      <c r="CP71" s="109">
        <f>MAX($C$13*IF($G$5="撼天",1.05,1)+IF(AND(VLOOKUP($E71,武器奇术!$A:$R,15,FALSE)="武器",VLOOKUP($E71,武器奇术!$A:$R,17,FALSE)="破竹"),$E$3*(1+$E$15),0),CN71)</f>
        <v>1102.06</v>
      </c>
      <c r="CQ71" s="110">
        <f>IF(($D$13+IF(VLOOKUP($E71,武器奇术!$A:$R,17,FALSE)="破竹",$D$15,0)+IF(VLOOKUP($E71,武器奇术!$A:$R,18,FALSE)=1,4,0)+IF(VLOOKUP($E71,武器奇术!$A:$S,19,FALSE)=1,20,0)-VLOOKUP($F$7,目标属性!$A:$R,6,FALSE))&gt;0,($D$13+IF(VLOOKUP($E71,武器奇术!$A:$R,17,FALSE)="破竹",$D$15,0)+IF(VLOOKUP($E71,武器奇术!$A:$R,18,FALSE)=1,4,0)+IF(VLOOKUP($E71,武器奇术!$A:$S,19,FALSE)=1,20,0)-VLOOKUP($F$7,目标属性!$A:$R,6,FALSE))/200,($D$13+IF(VLOOKUP($E71,武器奇术!$A:$R,17,FALSE)="破竹",$D$15,0)+IF(VLOOKUP($E71,武器奇术!$A:$R,18,FALSE)=1,4,0)+IF(VLOOKUP($E71,武器奇术!$A:$S,19,FALSE)=1,20,0)-VLOOKUP($F$7,目标属性!$A:$R,6,FALSE))/100)</f>
        <v>0.145</v>
      </c>
      <c r="CR71" s="111">
        <f>$E$13+IF(VLOOKUP($E71,武器奇术!$A:$U,21,FALSE)=1,0,0.09)</f>
        <v>0.235</v>
      </c>
      <c r="CS71" s="109">
        <v>1</v>
      </c>
      <c r="CT71" s="112">
        <f>CN71*IF(VLOOKUP($E71,武器奇术!$A:$R,17,FALSE)="破竹",VLOOKUP($E71,武器奇术!$A:$R,4,FALSE),VLOOKUP($E71,武器奇术!$A:$R,2,FALSE))*(1+CQ71)*(1+CR71)*CS71</f>
        <v>31157.741801014</v>
      </c>
      <c r="CU71" s="110">
        <f>(1-IF(VLOOKUP($E71,武器奇术!$A:$T,20,FALSE)=1,1,$N71))*(1-$M71)</f>
        <v>0</v>
      </c>
      <c r="CV71" s="112">
        <f>CO71*IF(VLOOKUP($E71,武器奇术!$A:$R,17,FALSE)="破竹",VLOOKUP($E71,武器奇术!$A:$R,4,FALSE),VLOOKUP($E71,武器奇术!$A:$R,2,FALSE))*(1+CQ71)*(1+CR71)*CS71*(1+$E$16+VLOOKUP($E71,武器奇术!$A:$R,8,FALSE))</f>
        <v>89998.16132057</v>
      </c>
      <c r="CW71" s="110">
        <f t="shared" si="24"/>
        <v>0.8813852</v>
      </c>
      <c r="CX71" s="112">
        <f>CP71*IF(VLOOKUP($E71,武器奇术!$A:$R,17,FALSE)="破竹",VLOOKUP($E71,武器奇术!$A:$R,4,FALSE),VLOOKUP($E71,武器奇术!$A:$R,2,FALSE))*(1+CQ71)*(1+CR71)*CS71*(1+$E$17+VLOOKUP($E71,武器奇术!$A:$R,10,FALSE))</f>
        <v>71486.1306086026</v>
      </c>
      <c r="CY71" s="110">
        <f t="shared" si="25"/>
        <v>0.0986</v>
      </c>
      <c r="CZ71" s="112">
        <f>CO71*IF(VLOOKUP($E71,武器奇术!$A:$R,17,FALSE)="破竹",VLOOKUP($E71,武器奇术!$A:$R,4,FALSE),VLOOKUP($E71,武器奇术!$A:$R,2,FALSE))*(1+CQ71)*(1+CR71)*CS71</f>
        <v>42055.2155703598</v>
      </c>
      <c r="DA71" s="110">
        <f t="shared" si="26"/>
        <v>0.0200148</v>
      </c>
      <c r="DB71" s="113">
        <f t="shared" si="27"/>
        <v>87213.3066217687</v>
      </c>
      <c r="DC71" s="108">
        <f t="shared" si="36"/>
        <v>69.3</v>
      </c>
      <c r="DD71" s="99">
        <f>(DC71+DE71)*IF(VLOOKUP($E71,武器奇术!$A:$Z,21,FALSE)=1,$G$15,0.5)</f>
        <v>69.3</v>
      </c>
      <c r="DE71" s="109">
        <f t="shared" si="37"/>
        <v>69.3</v>
      </c>
      <c r="DF71" s="110">
        <f>IF(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100)</f>
        <v>0.145</v>
      </c>
      <c r="DG71" s="111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U,21,FALSE)=1,0,0.09)</f>
        <v>0.235</v>
      </c>
      <c r="DH71" s="109">
        <v>1</v>
      </c>
      <c r="DI71" s="112">
        <f>DC71*IF(VLOOKUP($E71,武器奇术!$A:$R,17,FALSE)="破竹",VLOOKUP($E71,武器奇术!$A:$R,4,FALSE),VLOOKUP($E71,武器奇术!$A:$R,2,FALSE))*(1+DF71)*(1+DG71)*DH71</f>
        <v>3329.78365174455</v>
      </c>
      <c r="DJ71" s="110">
        <f>(1-IF(VLOOKUP($E71,武器奇术!$A:$T,20,FALSE)=1,1,$N71))*(1-$M71)</f>
        <v>0</v>
      </c>
      <c r="DK71" s="112">
        <f>DD71*IF(VLOOKUP($E71,武器奇术!$A:$R,17,FALSE)="破竹",VLOOKUP($E71,武器奇术!$A:$R,4,FALSE),VLOOKUP($E71,武器奇术!$A:$R,2,FALSE))*(1+DF71)*(1+DG71)*DH71*(1+$E$16+VLOOKUP($E71,武器奇术!$A:$R,8,FALSE))</f>
        <v>7125.73701473334</v>
      </c>
      <c r="DL71" s="110">
        <f t="shared" si="28"/>
        <v>0.8813852</v>
      </c>
      <c r="DM71" s="112">
        <f>DE71*IF(VLOOKUP($E71,武器奇术!$A:$R,17,FALSE)="破竹",VLOOKUP($E71,武器奇术!$A:$R,4,FALSE),VLOOKUP($E71,武器奇术!$A:$R,2,FALSE))*(1+DF71)*(1+DG71)*DH71*(1+$E$17+VLOOKUP($E71,武器奇术!$A:$R,10,FALSE))</f>
        <v>4495.20792985514</v>
      </c>
      <c r="DN71" s="110">
        <f t="shared" si="29"/>
        <v>0.0986</v>
      </c>
      <c r="DO71" s="112">
        <f>DD71*IF(VLOOKUP($E71,武器奇术!$A:$R,17,FALSE)="破竹",VLOOKUP($E71,武器奇术!$A:$R,4,FALSE),VLOOKUP($E71,武器奇术!$A:$R,2,FALSE))*(1+DF71)*(1+DG71)*DH71</f>
        <v>3329.78365174455</v>
      </c>
      <c r="DP71" s="110">
        <f t="shared" si="30"/>
        <v>0.0200148</v>
      </c>
      <c r="DQ71" s="113">
        <f t="shared" si="31"/>
        <v>6790.3915995948</v>
      </c>
    </row>
    <row r="72" customFormat="1" spans="1:121">
      <c r="A72" s="36"/>
      <c r="B72" t="s">
        <v>165</v>
      </c>
      <c r="C72" s="147"/>
      <c r="D72"/>
      <c r="E72" s="98" t="s">
        <v>131</v>
      </c>
      <c r="F72" s="99">
        <v>1</v>
      </c>
      <c r="G72" s="115"/>
      <c r="H72" s="149">
        <f>IF(VLOOKUP($E72,武器奇术!$A:$R,18,FALSE)="天工",AE72,(AE72+AT72+BI72+BX72+CM72+DB72+DQ72))*(1+J72)*F72*K72*(1+G72)*(1+$G$21*5%)</f>
        <v>24478.856831613</v>
      </c>
      <c r="I72" s="101">
        <f t="shared" si="0"/>
        <v>0.00302223099184946</v>
      </c>
      <c r="J72" s="101">
        <f>$F$3+VLOOKUP($E72,武器奇术!$A:$R,12,FALSE)+VLOOKUP($E72,武器奇术!$A:$R,14,FALSE)*$G$3+$P72</f>
        <v>0.473</v>
      </c>
      <c r="K72" s="102">
        <f>VLOOKUP($E72,武器奇术!$A:$R,11,FALSE)</f>
        <v>1</v>
      </c>
      <c r="L72" s="117">
        <f>IF(VLOOKUP($E72,武器奇术!$A:$R,15,FALSE)="天工",0%,IF($C$17+VLOOKUP($E72,武器奇术!$A:$R,7,FALSE)&gt;80%,80%,$C$17+VLOOKUP($E72,武器奇术!$A:$R,7,FALSE))+IF($C$19&gt;20%,20%,$C$19))</f>
        <v>0.892</v>
      </c>
      <c r="M72" s="118">
        <f>IF(VLOOKUP($E72,武器奇术!$A:$R,15,FALSE)="天工",0%,IF($C$18+VLOOKUP($E72,武器奇术!$A:$R,9,FALSE)&gt;40%,40%,$C$18+VLOOKUP($E72,武器奇术!$A:$R,9,FALSE))+IF($C$20&gt;10%,10%,$C$20))</f>
        <v>0.0986</v>
      </c>
      <c r="N72" s="119">
        <f>IF(VLOOKUP($E72,武器奇术!$A:$R,15,FALSE)="天工",100%,MIN($C$16,1))</f>
        <v>0.9881</v>
      </c>
      <c r="O72" s="120" t="str">
        <f>VLOOKUP($E72,武器奇术!$A:$R,16,FALSE)</f>
        <v>拳甲</v>
      </c>
      <c r="P72" s="121">
        <f t="shared" si="38"/>
        <v>0.17</v>
      </c>
      <c r="Q72" s="108">
        <f>$B$5*(1+VLOOKUP($E72,武器奇术!$A:$R,5,FALSE)+IF($G$5="飞隼",0.1,0)+IF($G$5="撼天",0.05,0))-$F$9+IF($I$5="√",160,0)</f>
        <v>1731.135</v>
      </c>
      <c r="R72" s="99">
        <f>IF(VLOOKUP($E72,武器奇术!$A:$Z,20,FALSE)=1,(S72-(Q72+S72)*0.5)*($G$15-0.5)*2+(Q72+S72)*0.5,(Q72+S72)*0.5)</f>
        <v>3256.775</v>
      </c>
      <c r="S72" s="109">
        <f>MAX($C$5,$B$5)*(1+VLOOKUP($E72,武器奇术!$A:$R,5,FALSE)+IF($G$5="飞隼",0.1,0)+IF($G$5="撼天",0.05,0))-$F$9+IF($I$5="√",320,0)</f>
        <v>4782.415</v>
      </c>
      <c r="T72" s="101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U72" s="111">
        <f>$E$5+IF(VLOOKUP($E72,武器奇术!$A:$U,21,FALSE)=1,0,0.09)</f>
        <v>0.115</v>
      </c>
      <c r="V72" s="109">
        <v>1</v>
      </c>
      <c r="W72" s="112">
        <f>Q72*VLOOKUP($E72,武器奇术!$A:$R,2,FALSE)*(1+T72)*(1+U72)*V72</f>
        <v>2638.25911409603</v>
      </c>
      <c r="X72" s="110">
        <f>(1-IF(VLOOKUP($E72,武器奇术!$A:$T,20,FALSE)=1,1,$N72))*(1-$M72)</f>
        <v>0.01072666</v>
      </c>
      <c r="Y72" s="112">
        <f>R72*VLOOKUP($E72,武器奇术!$A:$R,2,FALSE)*(1+T72)*(1+U72)*V72*(1+$E$16+VLOOKUP($E72,武器奇术!$A:$R,8,FALSE))</f>
        <v>8139.88208611607</v>
      </c>
      <c r="Z72" s="110">
        <f t="shared" si="39"/>
        <v>0.8813852</v>
      </c>
      <c r="AA72" s="112">
        <f>S72*VLOOKUP($E72,武器奇术!$A:$R,2,FALSE)*(1+T72)*(1+U72)*V72*(1+$E$17+VLOOKUP($E72,武器奇术!$A:$R,10,FALSE))</f>
        <v>9839.37558164925</v>
      </c>
      <c r="AB72" s="110">
        <f t="shared" si="40"/>
        <v>0.0986</v>
      </c>
      <c r="AC72" s="112">
        <f>R72*VLOOKUP($E72,武器奇术!$A:$R,2,FALSE)*(1+T72)*(1+U72)*V72</f>
        <v>4963.34273543662</v>
      </c>
      <c r="AD72" s="110">
        <f t="shared" si="1"/>
        <v>0.00928814000000003</v>
      </c>
      <c r="AE72" s="113">
        <f t="shared" si="2"/>
        <v>8218.93396350197</v>
      </c>
      <c r="AF72" s="114">
        <f>VLOOKUP($E72,武器奇术!$A:$R,3,FALSE)*(1+IF(VLOOKUP($E72,武器奇术!$A:$R,15,FALSE)="武器",$E$15,0))</f>
        <v>396.5</v>
      </c>
      <c r="AG72" s="112">
        <f t="shared" si="3"/>
        <v>396.5</v>
      </c>
      <c r="AH72" s="112">
        <f>VLOOKUP($E72,武器奇术!$A:$R,3,FALSE)*(1+IF(VLOOKUP($E72,武器奇术!$A:$R,15,FALSE)="武器",$E$15,0))</f>
        <v>396.5</v>
      </c>
      <c r="AI72" s="101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AJ72" s="111">
        <f>$E$5+IF(VLOOKUP($E72,武器奇术!$A:$U,21,FALSE)=1,0,0.09)</f>
        <v>0.115</v>
      </c>
      <c r="AK72" s="109">
        <v>1</v>
      </c>
      <c r="AL72" s="112">
        <f t="shared" si="41"/>
        <v>549.085095</v>
      </c>
      <c r="AM72" s="110">
        <f>(1-IF(VLOOKUP($E72,武器奇术!$A:$T,20,FALSE)=1,1,$N72))*(1-$M72)</f>
        <v>0.01072666</v>
      </c>
      <c r="AN72" s="112">
        <f>AG72*(1+AI72)*(1+AJ72)*AK72*(1+$E$16+VLOOKUP($E72,武器奇术!$A:$R,8,FALSE))</f>
        <v>900.4995558</v>
      </c>
      <c r="AO72" s="110">
        <f t="shared" si="4"/>
        <v>0.8813852</v>
      </c>
      <c r="AP72" s="112">
        <f>AH72*(1+AI72)*(1+AJ72)*AK72*(1+$E$17+VLOOKUP($E72,武器奇术!$A:$R,10,FALSE))</f>
        <v>741.26487825</v>
      </c>
      <c r="AQ72" s="110">
        <f t="shared" si="5"/>
        <v>0.0986</v>
      </c>
      <c r="AR72" s="112">
        <f t="shared" si="6"/>
        <v>549.085095</v>
      </c>
      <c r="AS72" s="110">
        <f t="shared" si="7"/>
        <v>0.00928814000000003</v>
      </c>
      <c r="AT72" s="113">
        <f t="shared" si="8"/>
        <v>877.76552644355</v>
      </c>
      <c r="AU72" s="108">
        <f>$B$7*IF($G$5="撼天",1.05,1)+IF(AND(VLOOKUP($E72,武器奇术!$A:$R,15,FALSE)="武器",VLOOKUP($E72,武器奇术!$A:$R,17,FALSE)="鸣金"),$E$3,0)*(1+$E$15)</f>
        <v>0</v>
      </c>
      <c r="AV72" s="99">
        <f>(AU72+AW72)*IF(VLOOKUP($E72,武器奇术!$A:$Z,21,FALSE)=1,$G$15,0.5)</f>
        <v>0</v>
      </c>
      <c r="AW72" s="109">
        <f>MAX($C$7*IF($G$5="撼天",1.05,1)+IF(AND(VLOOKUP($E72,武器奇术!$A:$R,15,FALSE)="武器",VLOOKUP($E72,武器奇术!$A:$R,17,FALSE)="鸣金"),$E$3*(1+$E$15),0),AU72)</f>
        <v>0</v>
      </c>
      <c r="AX72" s="110">
        <f>IF(($D$7+IF(VLOOKUP($E72,武器奇术!$A:$R,17,FALSE)="鸣金",$D$15,0)+IF(VLOOKUP($E72,武器奇术!$A:$R,18,FALSE)=1,4,0)+IF(VLOOKUP($E72,武器奇术!$A:$S,19,FALSE)=1,20,0)-VLOOKUP($F$7,目标属性!$A:$R,6,FALSE))&gt;0,($D$7+IF(VLOOKUP($E72,武器奇术!$A:$R,17,FALSE)="鸣金",$D$15,0)+IF(VLOOKUP($E72,武器奇术!$A:$R,18,FALSE)=1,4,0)+IF(VLOOKUP($E72,武器奇术!$A:$S,19,FALSE)=1,20,0)-VLOOKUP($F$7,目标属性!$A:$R,6,FALSE))/200,($D$7+IF(VLOOKUP($E72,武器奇术!$A:$R,17,FALSE)="鸣金",$D$15,0)+IF(VLOOKUP($E72,武器奇术!$A:$R,18,FALSE)=1,4,0)+IF(VLOOKUP($E72,武器奇术!$A:$S,19,FALSE)=1,20,0)-VLOOKUP($F$7,目标属性!$A:$R,6,FALSE))/100)</f>
        <v>-0.24</v>
      </c>
      <c r="AY72" s="111">
        <f t="shared" si="9"/>
        <v>0</v>
      </c>
      <c r="AZ72" s="109">
        <v>1</v>
      </c>
      <c r="BA72" s="112">
        <f>AU72*IF(VLOOKUP($E72,武器奇术!$A:$R,17,FALSE)="鸣金",VLOOKUP($E72,武器奇术!$A:$R,4,FALSE),VLOOKUP($E72,武器奇术!$A:$R,2,FALSE))*(1+AX72)*(1+AY72)*AZ72</f>
        <v>0</v>
      </c>
      <c r="BB72" s="110">
        <f>(1-IF(VLOOKUP($E72,武器奇术!$A:$T,20,FALSE)=1,1,$N72))*(1-$M72)</f>
        <v>0.01072666</v>
      </c>
      <c r="BC72" s="112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10">
        <f t="shared" si="10"/>
        <v>0.8813852</v>
      </c>
      <c r="BE72" s="112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10">
        <f t="shared" si="11"/>
        <v>0.0986</v>
      </c>
      <c r="BG72" s="112">
        <f>AV72*IF(VLOOKUP($E72,武器奇术!$A:$R,17,FALSE)="鸣金",VLOOKUP($E72,武器奇术!$A:$R,4,FALSE),VLOOKUP($E72,武器奇术!$A:$R,2,FALSE))*(1+AX72)*(1+AY72)*AZ72</f>
        <v>0</v>
      </c>
      <c r="BH72" s="110">
        <f t="shared" si="12"/>
        <v>0.00928814000000003</v>
      </c>
      <c r="BI72" s="113">
        <f t="shared" si="13"/>
        <v>0</v>
      </c>
      <c r="BJ72" s="108">
        <f>$B$9*IF($G$5="撼天",1.05,1)+IF(AND(VLOOKUP($E72,武器奇术!$A:$R,15,FALSE)="武器",VLOOKUP($E72,武器奇术!$A:$R,17,FALSE)="裂石"),$E$3,0)*(1+$E$15)</f>
        <v>0</v>
      </c>
      <c r="BK72" s="99">
        <f>(BJ72+BL72)*IF(VLOOKUP($E72,武器奇术!$A:$Z,21,FALSE)=1,$G$15,0.5)</f>
        <v>0</v>
      </c>
      <c r="BL72" s="109">
        <f>MAX($C$9*IF($G$5="撼天",1.05,1)+IF(AND(VLOOKUP($E72,武器奇术!$A:$R,15,FALSE)="武器",VLOOKUP($E72,武器奇术!$A:$R,17,FALSE)="裂石"),$E$3*(1+$E$15),0),BJ72)</f>
        <v>0</v>
      </c>
      <c r="BM72" s="110">
        <f>IF(($D$9+IF(VLOOKUP($E72,武器奇术!$A:$R,17,FALSE)="裂石",$D$15,0)+IF(VLOOKUP($E72,武器奇术!$A:$R,18,FALSE)=1,4,0)+IF(VLOOKUP($E72,武器奇术!$A:$S,19,FALSE)=1,20,0)-VLOOKUP($F$7,目标属性!$A:$R,6,FALSE))&gt;0,($D$9+IF(VLOOKUP($E72,武器奇术!$A:$R,17,FALSE)="裂石",$D$15,0)+IF(VLOOKUP($E72,武器奇术!$A:$R,18,FALSE)=1,4,0)+IF(VLOOKUP($E72,武器奇术!$A:$S,19,FALSE)=1,20,0)-VLOOKUP($F$7,目标属性!$A:$R,6,FALSE))/200,($D$9+IF(VLOOKUP($E72,武器奇术!$A:$R,17,FALSE)="裂石",$D$15,0)+IF(VLOOKUP($E72,武器奇术!$A:$R,18,FALSE)=1,4,0)+IF(VLOOKUP($E72,武器奇术!$A:$S,19,FALSE)=1,20,0)-VLOOKUP($F$7,目标属性!$A:$R,6,FALSE))/100)</f>
        <v>-0.24</v>
      </c>
      <c r="BN72" s="111">
        <f t="shared" si="14"/>
        <v>0</v>
      </c>
      <c r="BO72" s="109">
        <v>1</v>
      </c>
      <c r="BP72" s="112">
        <f>BJ72*IF(VLOOKUP($E72,武器奇术!$A:$R,17,FALSE)="裂石",VLOOKUP($E72,武器奇术!$A:$R,4,FALSE),VLOOKUP($E72,武器奇术!$A:$R,2,FALSE))*(1+BM72)*(1+BN72)*BO72</f>
        <v>0</v>
      </c>
      <c r="BQ72" s="110">
        <f>(1-IF(VLOOKUP($E72,武器奇术!$A:$T,20,FALSE)=1,1,$N72))*(1-$M72)</f>
        <v>0.01072666</v>
      </c>
      <c r="BR72" s="112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10">
        <f t="shared" si="15"/>
        <v>0.8813852</v>
      </c>
      <c r="BT72" s="112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10">
        <f t="shared" si="16"/>
        <v>0.0986</v>
      </c>
      <c r="BV72" s="112">
        <f>BK72*IF(VLOOKUP($E72,武器奇术!$A:$R,17,FALSE)="裂石",VLOOKUP($E72,武器奇术!$A:$R,4,FALSE),VLOOKUP($E72,武器奇术!$A:$R,2,FALSE))*(1+BM72)*(1+BN72)*BO72</f>
        <v>0</v>
      </c>
      <c r="BW72" s="110">
        <f t="shared" si="17"/>
        <v>0.00928814000000003</v>
      </c>
      <c r="BX72" s="113">
        <f t="shared" si="18"/>
        <v>0</v>
      </c>
      <c r="BY72" s="108">
        <f>$B$11*IF($G$5="撼天",1.05,1)+IF(AND(VLOOKUP($E72,武器奇术!$A:$R,15,FALSE)="武器",VLOOKUP($E72,武器奇术!$A:$R,17,FALSE)="牵丝"),$E$3,0)*(1+$E$15)</f>
        <v>0</v>
      </c>
      <c r="BZ72" s="99">
        <f>(BY72+CA72)*IF(VLOOKUP($E72,武器奇术!$A:$Z,21,FALSE)=1,$G$15,0.5)</f>
        <v>0</v>
      </c>
      <c r="CA72" s="109">
        <f>MAX($C$11*IF($G$5="撼天",1.05,1)+IF(AND(VLOOKUP($E72,武器奇术!$A:$R,15,FALSE)="武器",VLOOKUP($E72,武器奇术!$A:$R,17,FALSE)="牵丝"),$E$3*(1+$E$15),0),BY72)</f>
        <v>0</v>
      </c>
      <c r="CB72" s="110">
        <f>IF(($D$11+IF(VLOOKUP($E72,武器奇术!$A:$R,17,FALSE)="牵丝",$D$15,0)+IF(VLOOKUP($E72,武器奇术!$A:$R,18,FALSE)=1,4,0)+IF(VLOOKUP($E72,武器奇术!$A:$S,19,FALSE)=1,20,0)-VLOOKUP($F$7,目标属性!$A:$R,6,FALSE))&gt;0,($D$11+IF(VLOOKUP($E72,武器奇术!$A:$R,17,FALSE)="牵丝",$D$15,0)+IF(VLOOKUP($E72,武器奇术!$A:$R,18,FALSE)=1,4,0)+IF(VLOOKUP($E72,武器奇术!$A:$S,19,FALSE)=1,20,0)-VLOOKUP($F$7,目标属性!$A:$R,6,FALSE))/200,($D$11+IF(VLOOKUP($E72,武器奇术!$A:$R,17,FALSE)="牵丝",$D$15,0)+IF(VLOOKUP($E72,武器奇术!$A:$R,18,FALSE)=1,4,0)+IF(VLOOKUP($E72,武器奇术!$A:$S,19,FALSE)=1,20,0)-VLOOKUP($F$7,目标属性!$A:$R,6,FALSE))/100)</f>
        <v>-0.24</v>
      </c>
      <c r="CC72" s="111">
        <f t="shared" si="19"/>
        <v>0</v>
      </c>
      <c r="CD72" s="109">
        <v>1</v>
      </c>
      <c r="CE72" s="112">
        <f>BY72*IF(VLOOKUP($E72,武器奇术!$A:$R,17,FALSE)="牵丝",VLOOKUP($E72,武器奇术!$A:$R,4,FALSE),VLOOKUP($E72,武器奇术!$A:$R,2,FALSE))*(1+CB72)*(1+CC72)*CD72</f>
        <v>0</v>
      </c>
      <c r="CF72" s="110">
        <f>(1-IF(VLOOKUP($E72,武器奇术!$A:$T,20,FALSE)=1,1,$N72))*(1-$M72)</f>
        <v>0.01072666</v>
      </c>
      <c r="CG72" s="112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110">
        <f t="shared" si="20"/>
        <v>0.8813852</v>
      </c>
      <c r="CI72" s="112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110">
        <f t="shared" si="21"/>
        <v>0.0986</v>
      </c>
      <c r="CK72" s="112">
        <f>BZ72*IF(VLOOKUP($E72,武器奇术!$A:$R,17,FALSE)="牵丝",VLOOKUP($E72,武器奇术!$A:$R,4,FALSE),VLOOKUP($E72,武器奇术!$A:$R,2,FALSE))*(1+CB72)*(1+CC72)*CD72</f>
        <v>0</v>
      </c>
      <c r="CL72" s="110">
        <f t="shared" si="22"/>
        <v>0.00928814000000003</v>
      </c>
      <c r="CM72" s="113">
        <f t="shared" si="23"/>
        <v>0</v>
      </c>
      <c r="CN72" s="108">
        <f>$B$13*IF($G$5="撼天",1.05,1)+IF(AND(VLOOKUP($E72,武器奇术!$A:$R,15,FALSE)="武器",VLOOKUP($E72,武器奇术!$A:$R,17,FALSE)="破竹"),$E$3,0)*(1+$E$15)</f>
        <v>648.46</v>
      </c>
      <c r="CO72" s="99">
        <f>IF(VLOOKUP($E72,武器奇术!$A:$Z,20,FALSE)=1,(CP72-(CN72+CP72)*0.5)*($G$15-0.5)*2+(CN72+CP72)*0.5,(CN72+CP72)*0.5)</f>
        <v>875.26</v>
      </c>
      <c r="CP72" s="109">
        <f>MAX($C$13*IF($G$5="撼天",1.05,1)+IF(AND(VLOOKUP($E72,武器奇术!$A:$R,15,FALSE)="武器",VLOOKUP($E72,武器奇术!$A:$R,17,FALSE)="破竹"),$E$3*(1+$E$15),0),CN72)</f>
        <v>1102.06</v>
      </c>
      <c r="CQ72" s="110">
        <f>IF(($D$13+IF(VLOOKUP($E72,武器奇术!$A:$R,17,FALSE)="破竹",$D$15,0)+IF(VLOOKUP($E72,武器奇术!$A:$R,18,FALSE)=1,4,0)+IF(VLOOKUP($E72,武器奇术!$A:$S,19,FALSE)=1,20,0)-VLOOKUP($F$7,目标属性!$A:$R,6,FALSE))&gt;0,($D$13+IF(VLOOKUP($E72,武器奇术!$A:$R,17,FALSE)="破竹",$D$15,0)+IF(VLOOKUP($E72,武器奇术!$A:$R,18,FALSE)=1,4,0)+IF(VLOOKUP($E72,武器奇术!$A:$S,19,FALSE)=1,20,0)-VLOOKUP($F$7,目标属性!$A:$R,6,FALSE))/200,($D$13+IF(VLOOKUP($E72,武器奇术!$A:$R,17,FALSE)="破竹",$D$15,0)+IF(VLOOKUP($E72,武器奇术!$A:$R,18,FALSE)=1,4,0)+IF(VLOOKUP($E72,武器奇术!$A:$S,19,FALSE)=1,20,0)-VLOOKUP($F$7,目标属性!$A:$R,6,FALSE))/100)</f>
        <v>0.025</v>
      </c>
      <c r="CR72" s="111">
        <f>$E$13+IF(VLOOKUP($E72,武器奇术!$A:$U,21,FALSE)=1,0,0.09)</f>
        <v>0.235</v>
      </c>
      <c r="CS72" s="109">
        <v>1</v>
      </c>
      <c r="CT72" s="112">
        <f>CN72*IF(VLOOKUP($E72,武器奇术!$A:$R,17,FALSE)="破竹",VLOOKUP($E72,武器奇术!$A:$R,4,FALSE),VLOOKUP($E72,武器奇术!$A:$R,2,FALSE))*(1+CQ72)*(1+CR72)*CS72</f>
        <v>1355.00895763675</v>
      </c>
      <c r="CU72" s="110">
        <f>(1-IF(VLOOKUP($E72,武器奇术!$A:$T,20,FALSE)=1,1,$N72))*(1-$M72)</f>
        <v>0.01072666</v>
      </c>
      <c r="CV72" s="112">
        <f>CO72*IF(VLOOKUP($E72,武器奇术!$A:$R,17,FALSE)="破竹",VLOOKUP($E72,武器奇术!$A:$R,4,FALSE),VLOOKUP($E72,武器奇术!$A:$R,2,FALSE))*(1+CQ72)*(1+CR72)*CS72*(1+$E$16+VLOOKUP($E72,武器奇术!$A:$R,8,FALSE))</f>
        <v>2999.43809954087</v>
      </c>
      <c r="CW72" s="110">
        <f t="shared" si="24"/>
        <v>0.8813852</v>
      </c>
      <c r="CX72" s="112">
        <f>CP72*IF(VLOOKUP($E72,武器奇术!$A:$R,17,FALSE)="破竹",VLOOKUP($E72,武器奇术!$A:$R,4,FALSE),VLOOKUP($E72,武器奇术!$A:$R,2,FALSE))*(1+CQ72)*(1+CR72)*CS72*(1+$E$17+VLOOKUP($E72,武器奇术!$A:$R,10,FALSE))</f>
        <v>3108.83721741011</v>
      </c>
      <c r="CY72" s="110">
        <f t="shared" si="25"/>
        <v>0.0986</v>
      </c>
      <c r="CZ72" s="112">
        <f>CO72*IF(VLOOKUP($E72,武器奇术!$A:$R,17,FALSE)="破竹",VLOOKUP($E72,武器奇术!$A:$R,4,FALSE),VLOOKUP($E72,武器奇术!$A:$R,2,FALSE))*(1+CQ72)*(1+CR72)*CS72</f>
        <v>1828.92567045175</v>
      </c>
      <c r="DA72" s="110">
        <f t="shared" si="26"/>
        <v>0.00928814000000003</v>
      </c>
      <c r="DB72" s="113">
        <f t="shared" si="27"/>
        <v>2981.71373695036</v>
      </c>
      <c r="DC72" s="108">
        <f t="shared" si="36"/>
        <v>69.3</v>
      </c>
      <c r="DD72" s="99">
        <f>(DC72+DE72)*IF(VLOOKUP($E72,武器奇术!$A:$Z,21,FALSE)=1,$G$15,0.5)</f>
        <v>69.3</v>
      </c>
      <c r="DE72" s="109">
        <f t="shared" si="37"/>
        <v>69.3</v>
      </c>
      <c r="DF72" s="110">
        <f>IF(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100)</f>
        <v>0.025</v>
      </c>
      <c r="DG72" s="111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U,21,FALSE)=1,0,0.09)</f>
        <v>0.235</v>
      </c>
      <c r="DH72" s="109">
        <v>1</v>
      </c>
      <c r="DI72" s="112">
        <f>DC72*IF(VLOOKUP($E72,武器奇术!$A:$R,17,FALSE)="破竹",VLOOKUP($E72,武器奇术!$A:$R,4,FALSE),VLOOKUP($E72,武器奇术!$A:$R,2,FALSE))*(1+DF72)*(1+DG72)*DH72</f>
        <v>144.80788447125</v>
      </c>
      <c r="DJ72" s="110">
        <f>(1-IF(VLOOKUP($E72,武器奇术!$A:$T,20,FALSE)=1,1,$N72))*(1-$M72)</f>
        <v>0.01072666</v>
      </c>
      <c r="DK72" s="112">
        <f>DD72*IF(VLOOKUP($E72,武器奇术!$A:$R,17,FALSE)="破竹",VLOOKUP($E72,武器奇术!$A:$R,4,FALSE),VLOOKUP($E72,武器奇术!$A:$R,2,FALSE))*(1+DF72)*(1+DG72)*DH72*(1+$E$16+VLOOKUP($E72,武器奇术!$A:$R,8,FALSE))</f>
        <v>237.48493053285</v>
      </c>
      <c r="DL72" s="110">
        <f t="shared" si="28"/>
        <v>0.8813852</v>
      </c>
      <c r="DM72" s="112">
        <f>DE72*IF(VLOOKUP($E72,武器奇术!$A:$R,17,FALSE)="破竹",VLOOKUP($E72,武器奇术!$A:$R,4,FALSE),VLOOKUP($E72,武器奇术!$A:$R,2,FALSE))*(1+DF72)*(1+DG72)*DH72*(1+$E$17+VLOOKUP($E72,武器奇术!$A:$R,10,FALSE))</f>
        <v>195.490644036187</v>
      </c>
      <c r="DN72" s="110">
        <f t="shared" si="29"/>
        <v>0.0986</v>
      </c>
      <c r="DO72" s="112">
        <f>DD72*IF(VLOOKUP($E72,武器奇术!$A:$R,17,FALSE)="破竹",VLOOKUP($E72,武器奇术!$A:$R,4,FALSE),VLOOKUP($E72,武器奇术!$A:$R,2,FALSE))*(1+DF72)*(1+DG72)*DH72</f>
        <v>144.80788447125</v>
      </c>
      <c r="DP72" s="110">
        <f t="shared" si="30"/>
        <v>0.00928814000000003</v>
      </c>
      <c r="DQ72" s="113">
        <f t="shared" si="31"/>
        <v>231.489381342765</v>
      </c>
    </row>
    <row r="73" customFormat="1" spans="1:121">
      <c r="A73" s="36"/>
      <c r="B73" t="s">
        <v>164</v>
      </c>
      <c r="C73" s="147">
        <v>0.85</v>
      </c>
      <c r="D73"/>
      <c r="E73" s="98" t="s">
        <v>132</v>
      </c>
      <c r="F73" s="99">
        <v>1</v>
      </c>
      <c r="G73" s="115"/>
      <c r="H73" s="149">
        <f>IF(VLOOKUP($E73,武器奇术!$A:$R,18,FALSE)="天工",AE73,(AE73+AT73+BI73+BX73+CM73+DB73+DQ73))*(1+J73)*F73*K73*(1+G73)*(1+$G$21*5%)</f>
        <v>54311.5774135451</v>
      </c>
      <c r="I73" s="101">
        <f t="shared" si="0"/>
        <v>0.00670546560260393</v>
      </c>
      <c r="J73" s="101">
        <f>$F$3+VLOOKUP($E73,武器奇术!$A:$R,12,FALSE)+VLOOKUP($E73,武器奇术!$A:$R,14,FALSE)*$G$3+$P73</f>
        <v>0.473</v>
      </c>
      <c r="K73" s="102">
        <f>VLOOKUP($E73,武器奇术!$A:$R,11,FALSE)</f>
        <v>1</v>
      </c>
      <c r="L73" s="117">
        <f>IF(VLOOKUP($E73,武器奇术!$A:$R,15,FALSE)="天工",0%,IF($C$17+VLOOKUP($E73,武器奇术!$A:$R,7,FALSE)&gt;80%,80%,$C$17+VLOOKUP($E73,武器奇术!$A:$R,7,FALSE))+IF($C$19&gt;20%,20%,$C$19))</f>
        <v>0.892</v>
      </c>
      <c r="M73" s="118">
        <f>IF(VLOOKUP($E73,武器奇术!$A:$R,15,FALSE)="天工",0%,IF($C$18+VLOOKUP($E73,武器奇术!$A:$R,9,FALSE)&gt;40%,40%,$C$18+VLOOKUP($E73,武器奇术!$A:$R,9,FALSE))+IF($C$20&gt;10%,10%,$C$20))</f>
        <v>0.0986</v>
      </c>
      <c r="N73" s="119">
        <f>IF(VLOOKUP($E73,武器奇术!$A:$R,15,FALSE)="天工",100%,MIN($C$16,1))</f>
        <v>0.9881</v>
      </c>
      <c r="O73" s="120" t="str">
        <f>VLOOKUP($E73,武器奇术!$A:$R,16,FALSE)</f>
        <v>拳甲</v>
      </c>
      <c r="P73" s="121">
        <f t="shared" si="38"/>
        <v>0.17</v>
      </c>
      <c r="Q73" s="108">
        <f>$B$5*(1+VLOOKUP($E73,武器奇术!$A:$R,5,FALSE)+IF($G$5="飞隼",0.1,0)+IF($G$5="撼天",0.05,0))-$F$9+IF($I$5="√",160,0)</f>
        <v>1731.135</v>
      </c>
      <c r="R73" s="99">
        <f>IF(VLOOKUP($E73,武器奇术!$A:$Z,20,FALSE)=1,(S73-(Q73+S73)*0.5)*($G$15-0.5)*2+(Q73+S73)*0.5,(Q73+S73)*0.5)</f>
        <v>3256.775</v>
      </c>
      <c r="S73" s="109">
        <f>MAX($C$5,$B$5)*(1+VLOOKUP($E73,武器奇术!$A:$R,5,FALSE)+IF($G$5="飞隼",0.1,0)+IF($G$5="撼天",0.05,0))-$F$9+IF($I$5="√",320,0)</f>
        <v>4782.415</v>
      </c>
      <c r="T73" s="101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U73" s="111">
        <f>$E$5+IF(VLOOKUP($E73,武器奇术!$A:$U,21,FALSE)=1,0,0.09)</f>
        <v>0.115</v>
      </c>
      <c r="V73" s="109">
        <v>1</v>
      </c>
      <c r="W73" s="112">
        <f>Q73*VLOOKUP($E73,武器奇术!$A:$R,2,FALSE)*(1+T73)*(1+U73)*V73</f>
        <v>5854.51393233431</v>
      </c>
      <c r="X73" s="110">
        <f>(1-IF(VLOOKUP($E73,武器奇术!$A:$T,20,FALSE)=1,1,$N73))*(1-$M73)</f>
        <v>0.01072666</v>
      </c>
      <c r="Y73" s="112">
        <f>R73*VLOOKUP($E73,武器奇术!$A:$R,2,FALSE)*(1+T73)*(1+U73)*V73*(1+$E$16+VLOOKUP($E73,武器奇术!$A:$R,8,FALSE))</f>
        <v>18063.0677351241</v>
      </c>
      <c r="Z73" s="110">
        <f t="shared" si="39"/>
        <v>0.8813852</v>
      </c>
      <c r="AA73" s="112">
        <f>S73*VLOOKUP($E73,武器奇术!$A:$R,2,FALSE)*(1+T73)*(1+U73)*V73*(1+$E$17+VLOOKUP($E73,武器奇术!$A:$R,10,FALSE))</f>
        <v>21834.3835601505</v>
      </c>
      <c r="AB73" s="110">
        <f t="shared" si="40"/>
        <v>0.0986</v>
      </c>
      <c r="AC73" s="112">
        <f>R73*VLOOKUP($E73,武器奇术!$A:$R,2,FALSE)*(1+T73)*(1+U73)*V73</f>
        <v>11014.0656921488</v>
      </c>
      <c r="AD73" s="110">
        <f t="shared" si="1"/>
        <v>0.00928814000000003</v>
      </c>
      <c r="AE73" s="113">
        <f t="shared" si="2"/>
        <v>18238.490351902</v>
      </c>
      <c r="AF73" s="114">
        <f>VLOOKUP($E73,武器奇术!$A:$R,3,FALSE)*(1+IF(VLOOKUP($E73,武器奇术!$A:$R,15,FALSE)="武器",$E$15,0))</f>
        <v>877.5</v>
      </c>
      <c r="AG73" s="112">
        <f t="shared" si="3"/>
        <v>877.5</v>
      </c>
      <c r="AH73" s="112">
        <f>VLOOKUP($E73,武器奇术!$A:$R,3,FALSE)*(1+IF(VLOOKUP($E73,武器奇术!$A:$R,15,FALSE)="武器",$E$15,0))</f>
        <v>877.5</v>
      </c>
      <c r="AI73" s="101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AJ73" s="111">
        <f>$E$5+IF(VLOOKUP($E73,武器奇术!$A:$U,21,FALSE)=1,0,0.09)</f>
        <v>0.115</v>
      </c>
      <c r="AK73" s="109">
        <v>1</v>
      </c>
      <c r="AL73" s="112">
        <f t="shared" si="41"/>
        <v>1215.188325</v>
      </c>
      <c r="AM73" s="110">
        <f>(1-IF(VLOOKUP($E73,武器奇术!$A:$T,20,FALSE)=1,1,$N73))*(1-$M73)</f>
        <v>0.01072666</v>
      </c>
      <c r="AN73" s="112">
        <f>AG73*(1+AI73)*(1+AJ73)*AK73*(1+$E$16+VLOOKUP($E73,武器奇术!$A:$R,8,FALSE))</f>
        <v>1992.908853</v>
      </c>
      <c r="AO73" s="110">
        <f t="shared" si="4"/>
        <v>0.8813852</v>
      </c>
      <c r="AP73" s="112">
        <f>AH73*(1+AI73)*(1+AJ73)*AK73*(1+$E$17+VLOOKUP($E73,武器奇术!$A:$R,10,FALSE))</f>
        <v>1640.50423875</v>
      </c>
      <c r="AQ73" s="110">
        <f t="shared" si="5"/>
        <v>0.0986</v>
      </c>
      <c r="AR73" s="112">
        <f t="shared" si="6"/>
        <v>1215.188325</v>
      </c>
      <c r="AS73" s="110">
        <f t="shared" si="7"/>
        <v>0.00928814000000003</v>
      </c>
      <c r="AT73" s="113">
        <f t="shared" si="8"/>
        <v>1942.59583721114</v>
      </c>
      <c r="AU73" s="108">
        <f>$B$7*IF($G$5="撼天",1.05,1)+IF(AND(VLOOKUP($E73,武器奇术!$A:$R,15,FALSE)="武器",VLOOKUP($E73,武器奇术!$A:$R,17,FALSE)="鸣金"),$E$3,0)*(1+$E$15)</f>
        <v>0</v>
      </c>
      <c r="AV73" s="99">
        <f>(AU73+AW73)*IF(VLOOKUP($E73,武器奇术!$A:$Z,21,FALSE)=1,$G$15,0.5)</f>
        <v>0</v>
      </c>
      <c r="AW73" s="109">
        <f>MAX($C$7*IF($G$5="撼天",1.05,1)+IF(AND(VLOOKUP($E73,武器奇术!$A:$R,15,FALSE)="武器",VLOOKUP($E73,武器奇术!$A:$R,17,FALSE)="鸣金"),$E$3*(1+$E$15),0),AU73)</f>
        <v>0</v>
      </c>
      <c r="AX73" s="110">
        <f>IF(($D$7+IF(VLOOKUP($E73,武器奇术!$A:$R,17,FALSE)="鸣金",$D$15,0)+IF(VLOOKUP($E73,武器奇术!$A:$R,18,FALSE)=1,4,0)+IF(VLOOKUP($E73,武器奇术!$A:$S,19,FALSE)=1,20,0)-VLOOKUP($F$7,目标属性!$A:$R,6,FALSE))&gt;0,($D$7+IF(VLOOKUP($E73,武器奇术!$A:$R,17,FALSE)="鸣金",$D$15,0)+IF(VLOOKUP($E73,武器奇术!$A:$R,18,FALSE)=1,4,0)+IF(VLOOKUP($E73,武器奇术!$A:$S,19,FALSE)=1,20,0)-VLOOKUP($F$7,目标属性!$A:$R,6,FALSE))/200,($D$7+IF(VLOOKUP($E73,武器奇术!$A:$R,17,FALSE)="鸣金",$D$15,0)+IF(VLOOKUP($E73,武器奇术!$A:$R,18,FALSE)=1,4,0)+IF(VLOOKUP($E73,武器奇术!$A:$S,19,FALSE)=1,20,0)-VLOOKUP($F$7,目标属性!$A:$R,6,FALSE))/100)</f>
        <v>-0.24</v>
      </c>
      <c r="AY73" s="111">
        <f t="shared" si="9"/>
        <v>0</v>
      </c>
      <c r="AZ73" s="109">
        <v>1</v>
      </c>
      <c r="BA73" s="112">
        <f>AU73*IF(VLOOKUP($E73,武器奇术!$A:$R,17,FALSE)="鸣金",VLOOKUP($E73,武器奇术!$A:$R,4,FALSE),VLOOKUP($E73,武器奇术!$A:$R,2,FALSE))*(1+AX73)*(1+AY73)*AZ73</f>
        <v>0</v>
      </c>
      <c r="BB73" s="110">
        <f>(1-IF(VLOOKUP($E73,武器奇术!$A:$T,20,FALSE)=1,1,$N73))*(1-$M73)</f>
        <v>0.01072666</v>
      </c>
      <c r="BC73" s="112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10">
        <f t="shared" si="10"/>
        <v>0.8813852</v>
      </c>
      <c r="BE73" s="112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10">
        <f t="shared" si="11"/>
        <v>0.0986</v>
      </c>
      <c r="BG73" s="112">
        <f>AV73*IF(VLOOKUP($E73,武器奇术!$A:$R,17,FALSE)="鸣金",VLOOKUP($E73,武器奇术!$A:$R,4,FALSE),VLOOKUP($E73,武器奇术!$A:$R,2,FALSE))*(1+AX73)*(1+AY73)*AZ73</f>
        <v>0</v>
      </c>
      <c r="BH73" s="110">
        <f t="shared" si="12"/>
        <v>0.00928814000000003</v>
      </c>
      <c r="BI73" s="113">
        <f t="shared" si="13"/>
        <v>0</v>
      </c>
      <c r="BJ73" s="108">
        <f>$B$9*IF($G$5="撼天",1.05,1)+IF(AND(VLOOKUP($E73,武器奇术!$A:$R,15,FALSE)="武器",VLOOKUP($E73,武器奇术!$A:$R,17,FALSE)="裂石"),$E$3,0)*(1+$E$15)</f>
        <v>0</v>
      </c>
      <c r="BK73" s="99">
        <f>(BJ73+BL73)*IF(VLOOKUP($E73,武器奇术!$A:$Z,21,FALSE)=1,$G$15,0.5)</f>
        <v>0</v>
      </c>
      <c r="BL73" s="109">
        <f>MAX($C$9*IF($G$5="撼天",1.05,1)+IF(AND(VLOOKUP($E73,武器奇术!$A:$R,15,FALSE)="武器",VLOOKUP($E73,武器奇术!$A:$R,17,FALSE)="裂石"),$E$3*(1+$E$15),0),BJ73)</f>
        <v>0</v>
      </c>
      <c r="BM73" s="110">
        <f>IF(($D$9+IF(VLOOKUP($E73,武器奇术!$A:$R,17,FALSE)="裂石",$D$15,0)+IF(VLOOKUP($E73,武器奇术!$A:$R,18,FALSE)=1,4,0)+IF(VLOOKUP($E73,武器奇术!$A:$S,19,FALSE)=1,20,0)-VLOOKUP($F$7,目标属性!$A:$R,6,FALSE))&gt;0,($D$9+IF(VLOOKUP($E73,武器奇术!$A:$R,17,FALSE)="裂石",$D$15,0)+IF(VLOOKUP($E73,武器奇术!$A:$R,18,FALSE)=1,4,0)+IF(VLOOKUP($E73,武器奇术!$A:$S,19,FALSE)=1,20,0)-VLOOKUP($F$7,目标属性!$A:$R,6,FALSE))/200,($D$9+IF(VLOOKUP($E73,武器奇术!$A:$R,17,FALSE)="裂石",$D$15,0)+IF(VLOOKUP($E73,武器奇术!$A:$R,18,FALSE)=1,4,0)+IF(VLOOKUP($E73,武器奇术!$A:$S,19,FALSE)=1,20,0)-VLOOKUP($F$7,目标属性!$A:$R,6,FALSE))/100)</f>
        <v>-0.24</v>
      </c>
      <c r="BN73" s="111">
        <f t="shared" si="14"/>
        <v>0</v>
      </c>
      <c r="BO73" s="109">
        <v>1</v>
      </c>
      <c r="BP73" s="112">
        <f>BJ73*IF(VLOOKUP($E73,武器奇术!$A:$R,17,FALSE)="裂石",VLOOKUP($E73,武器奇术!$A:$R,4,FALSE),VLOOKUP($E73,武器奇术!$A:$R,2,FALSE))*(1+BM73)*(1+BN73)*BO73</f>
        <v>0</v>
      </c>
      <c r="BQ73" s="110">
        <f>(1-IF(VLOOKUP($E73,武器奇术!$A:$T,20,FALSE)=1,1,$N73))*(1-$M73)</f>
        <v>0.01072666</v>
      </c>
      <c r="BR73" s="112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10">
        <f t="shared" si="15"/>
        <v>0.8813852</v>
      </c>
      <c r="BT73" s="112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10">
        <f t="shared" si="16"/>
        <v>0.0986</v>
      </c>
      <c r="BV73" s="112">
        <f>BK73*IF(VLOOKUP($E73,武器奇术!$A:$R,17,FALSE)="裂石",VLOOKUP($E73,武器奇术!$A:$R,4,FALSE),VLOOKUP($E73,武器奇术!$A:$R,2,FALSE))*(1+BM73)*(1+BN73)*BO73</f>
        <v>0</v>
      </c>
      <c r="BW73" s="110">
        <f t="shared" si="17"/>
        <v>0.00928814000000003</v>
      </c>
      <c r="BX73" s="113">
        <f t="shared" si="18"/>
        <v>0</v>
      </c>
      <c r="BY73" s="108">
        <f>$B$11*IF($G$5="撼天",1.05,1)+IF(AND(VLOOKUP($E73,武器奇术!$A:$R,15,FALSE)="武器",VLOOKUP($E73,武器奇术!$A:$R,17,FALSE)="牵丝"),$E$3,0)*(1+$E$15)</f>
        <v>0</v>
      </c>
      <c r="BZ73" s="99">
        <f>(BY73+CA73)*IF(VLOOKUP($E73,武器奇术!$A:$Z,21,FALSE)=1,$G$15,0.5)</f>
        <v>0</v>
      </c>
      <c r="CA73" s="109">
        <f>MAX($C$11*IF($G$5="撼天",1.05,1)+IF(AND(VLOOKUP($E73,武器奇术!$A:$R,15,FALSE)="武器",VLOOKUP($E73,武器奇术!$A:$R,17,FALSE)="牵丝"),$E$3*(1+$E$15),0),BY73)</f>
        <v>0</v>
      </c>
      <c r="CB73" s="110">
        <f>IF(($D$11+IF(VLOOKUP($E73,武器奇术!$A:$R,17,FALSE)="牵丝",$D$15,0)+IF(VLOOKUP($E73,武器奇术!$A:$R,18,FALSE)=1,4,0)+IF(VLOOKUP($E73,武器奇术!$A:$S,19,FALSE)=1,20,0)-VLOOKUP($F$7,目标属性!$A:$R,6,FALSE))&gt;0,($D$11+IF(VLOOKUP($E73,武器奇术!$A:$R,17,FALSE)="牵丝",$D$15,0)+IF(VLOOKUP($E73,武器奇术!$A:$R,18,FALSE)=1,4,0)+IF(VLOOKUP($E73,武器奇术!$A:$S,19,FALSE)=1,20,0)-VLOOKUP($F$7,目标属性!$A:$R,6,FALSE))/200,($D$11+IF(VLOOKUP($E73,武器奇术!$A:$R,17,FALSE)="牵丝",$D$15,0)+IF(VLOOKUP($E73,武器奇术!$A:$R,18,FALSE)=1,4,0)+IF(VLOOKUP($E73,武器奇术!$A:$S,19,FALSE)=1,20,0)-VLOOKUP($F$7,目标属性!$A:$R,6,FALSE))/100)</f>
        <v>-0.24</v>
      </c>
      <c r="CC73" s="111">
        <f t="shared" si="19"/>
        <v>0</v>
      </c>
      <c r="CD73" s="109">
        <v>1</v>
      </c>
      <c r="CE73" s="112">
        <f>BY73*IF(VLOOKUP($E73,武器奇术!$A:$R,17,FALSE)="牵丝",VLOOKUP($E73,武器奇术!$A:$R,4,FALSE),VLOOKUP($E73,武器奇术!$A:$R,2,FALSE))*(1+CB73)*(1+CC73)*CD73</f>
        <v>0</v>
      </c>
      <c r="CF73" s="110">
        <f>(1-IF(VLOOKUP($E73,武器奇术!$A:$T,20,FALSE)=1,1,$N73))*(1-$M73)</f>
        <v>0.01072666</v>
      </c>
      <c r="CG73" s="112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110">
        <f t="shared" si="20"/>
        <v>0.8813852</v>
      </c>
      <c r="CI73" s="112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110">
        <f t="shared" si="21"/>
        <v>0.0986</v>
      </c>
      <c r="CK73" s="112">
        <f>BZ73*IF(VLOOKUP($E73,武器奇术!$A:$R,17,FALSE)="牵丝",VLOOKUP($E73,武器奇术!$A:$R,4,FALSE),VLOOKUP($E73,武器奇术!$A:$R,2,FALSE))*(1+CB73)*(1+CC73)*CD73</f>
        <v>0</v>
      </c>
      <c r="CL73" s="110">
        <f t="shared" si="22"/>
        <v>0.00928814000000003</v>
      </c>
      <c r="CM73" s="113">
        <f t="shared" si="23"/>
        <v>0</v>
      </c>
      <c r="CN73" s="108">
        <f>$B$13*IF($G$5="撼天",1.05,1)+IF(AND(VLOOKUP($E73,武器奇术!$A:$R,15,FALSE)="武器",VLOOKUP($E73,武器奇术!$A:$R,17,FALSE)="破竹"),$E$3,0)*(1+$E$15)</f>
        <v>648.46</v>
      </c>
      <c r="CO73" s="99">
        <f>IF(VLOOKUP($E73,武器奇术!$A:$Z,20,FALSE)=1,(CP73-(CN73+CP73)*0.5)*($G$15-0.5)*2+(CN73+CP73)*0.5,(CN73+CP73)*0.5)</f>
        <v>875.26</v>
      </c>
      <c r="CP73" s="109">
        <f>MAX($C$13*IF($G$5="撼天",1.05,1)+IF(AND(VLOOKUP($E73,武器奇术!$A:$R,15,FALSE)="武器",VLOOKUP($E73,武器奇术!$A:$R,17,FALSE)="破竹"),$E$3*(1+$E$15),0),CN73)</f>
        <v>1102.06</v>
      </c>
      <c r="CQ73" s="110">
        <f>IF(($D$13+IF(VLOOKUP($E73,武器奇术!$A:$R,17,FALSE)="破竹",$D$15,0)+IF(VLOOKUP($E73,武器奇术!$A:$R,18,FALSE)=1,4,0)+IF(VLOOKUP($E73,武器奇术!$A:$S,19,FALSE)=1,20,0)-VLOOKUP($F$7,目标属性!$A:$R,6,FALSE))&gt;0,($D$13+IF(VLOOKUP($E73,武器奇术!$A:$R,17,FALSE)="破竹",$D$15,0)+IF(VLOOKUP($E73,武器奇术!$A:$R,18,FALSE)=1,4,0)+IF(VLOOKUP($E73,武器奇术!$A:$S,19,FALSE)=1,20,0)-VLOOKUP($F$7,目标属性!$A:$R,6,FALSE))/200,($D$13+IF(VLOOKUP($E73,武器奇术!$A:$R,17,FALSE)="破竹",$D$15,0)+IF(VLOOKUP($E73,武器奇术!$A:$R,18,FALSE)=1,4,0)+IF(VLOOKUP($E73,武器奇术!$A:$S,19,FALSE)=1,20,0)-VLOOKUP($F$7,目标属性!$A:$R,6,FALSE))/100)</f>
        <v>0.025</v>
      </c>
      <c r="CR73" s="111">
        <f>$E$13+IF(VLOOKUP($E73,武器奇术!$A:$U,21,FALSE)=1,0,0.09)</f>
        <v>0.235</v>
      </c>
      <c r="CS73" s="109">
        <v>1</v>
      </c>
      <c r="CT73" s="112">
        <f>CN73*IF(VLOOKUP($E73,武器奇术!$A:$R,17,FALSE)="破竹",VLOOKUP($E73,武器奇术!$A:$R,4,FALSE),VLOOKUP($E73,武器奇术!$A:$R,2,FALSE))*(1+CQ73)*(1+CR73)*CS73</f>
        <v>3007.1726027785</v>
      </c>
      <c r="CU73" s="110">
        <f>(1-IF(VLOOKUP($E73,武器奇术!$A:$T,20,FALSE)=1,1,$N73))*(1-$M73)</f>
        <v>0.01072666</v>
      </c>
      <c r="CV73" s="112">
        <f>CO73*IF(VLOOKUP($E73,武器奇术!$A:$R,17,FALSE)="破竹",VLOOKUP($E73,武器奇术!$A:$R,4,FALSE),VLOOKUP($E73,武器奇术!$A:$R,2,FALSE))*(1+CQ73)*(1+CR73)*CS73*(1+$E$16+VLOOKUP($E73,武器奇术!$A:$R,8,FALSE))</f>
        <v>6656.65568174594</v>
      </c>
      <c r="CW73" s="110">
        <f t="shared" si="24"/>
        <v>0.8813852</v>
      </c>
      <c r="CX73" s="112">
        <f>CP73*IF(VLOOKUP($E73,武器奇术!$A:$R,17,FALSE)="破竹",VLOOKUP($E73,武器奇术!$A:$R,4,FALSE),VLOOKUP($E73,武器奇术!$A:$R,2,FALSE))*(1+CQ73)*(1+CR73)*CS73*(1+$E$17+VLOOKUP($E73,武器奇术!$A:$R,10,FALSE))</f>
        <v>6899.44524278198</v>
      </c>
      <c r="CY73" s="110">
        <f t="shared" si="25"/>
        <v>0.0986</v>
      </c>
      <c r="CZ73" s="112">
        <f>CO73*IF(VLOOKUP($E73,武器奇术!$A:$R,17,FALSE)="破竹",VLOOKUP($E73,武器奇术!$A:$R,4,FALSE),VLOOKUP($E73,武器奇术!$A:$R,2,FALSE))*(1+CQ73)*(1+CR73)*CS73</f>
        <v>4058.9363913085</v>
      </c>
      <c r="DA73" s="110">
        <f t="shared" si="26"/>
        <v>0.00928814000000003</v>
      </c>
      <c r="DB73" s="113">
        <f t="shared" si="27"/>
        <v>6617.31998784997</v>
      </c>
      <c r="DC73" s="108">
        <f t="shared" si="36"/>
        <v>69.3</v>
      </c>
      <c r="DD73" s="99">
        <f>(DC73+DE73)*IF(VLOOKUP($E73,武器奇术!$A:$Z,21,FALSE)=1,$G$15,0.5)</f>
        <v>69.3</v>
      </c>
      <c r="DE73" s="109">
        <f t="shared" si="37"/>
        <v>69.3</v>
      </c>
      <c r="DF73" s="110">
        <f>IF(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100)</f>
        <v>0.025</v>
      </c>
      <c r="DG73" s="111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U,21,FALSE)=1,0,0.09)</f>
        <v>0.235</v>
      </c>
      <c r="DH73" s="109">
        <v>1</v>
      </c>
      <c r="DI73" s="112">
        <f>DC73*IF(VLOOKUP($E73,武器奇术!$A:$R,17,FALSE)="破竹",VLOOKUP($E73,武器奇术!$A:$R,4,FALSE),VLOOKUP($E73,武器奇术!$A:$R,2,FALSE))*(1+DF73)*(1+DG73)*DH73</f>
        <v>321.3722687175</v>
      </c>
      <c r="DJ73" s="110">
        <f>(1-IF(VLOOKUP($E73,武器奇术!$A:$T,20,FALSE)=1,1,$N73))*(1-$M73)</f>
        <v>0.01072666</v>
      </c>
      <c r="DK73" s="112">
        <f>DD73*IF(VLOOKUP($E73,武器奇术!$A:$R,17,FALSE)="破竹",VLOOKUP($E73,武器奇术!$A:$R,4,FALSE),VLOOKUP($E73,武器奇术!$A:$R,2,FALSE))*(1+DF73)*(1+DG73)*DH73*(1+$E$16+VLOOKUP($E73,武器奇术!$A:$R,8,FALSE))</f>
        <v>527.0505206967</v>
      </c>
      <c r="DL73" s="110">
        <f t="shared" si="28"/>
        <v>0.8813852</v>
      </c>
      <c r="DM73" s="112">
        <f>DE73*IF(VLOOKUP($E73,武器奇术!$A:$R,17,FALSE)="破竹",VLOOKUP($E73,武器奇术!$A:$R,4,FALSE),VLOOKUP($E73,武器奇术!$A:$R,2,FALSE))*(1+DF73)*(1+DG73)*DH73*(1+$E$17+VLOOKUP($E73,武器奇术!$A:$R,10,FALSE))</f>
        <v>433.852562768625</v>
      </c>
      <c r="DN73" s="110">
        <f t="shared" si="29"/>
        <v>0.0986</v>
      </c>
      <c r="DO73" s="112">
        <f>DD73*IF(VLOOKUP($E73,武器奇术!$A:$R,17,FALSE)="破竹",VLOOKUP($E73,武器奇术!$A:$R,4,FALSE),VLOOKUP($E73,武器奇术!$A:$R,2,FALSE))*(1+DF73)*(1+DG73)*DH73</f>
        <v>321.3722687175</v>
      </c>
      <c r="DP73" s="110">
        <f t="shared" si="30"/>
        <v>0.00928814000000003</v>
      </c>
      <c r="DQ73" s="113">
        <f t="shared" si="31"/>
        <v>513.744592967279</v>
      </c>
    </row>
    <row r="74" customFormat="1" spans="1:121">
      <c r="A74" s="36"/>
      <c r="B74" t="s">
        <v>166</v>
      </c>
      <c r="C74" s="147">
        <v>2</v>
      </c>
      <c r="D74"/>
      <c r="E74" s="98" t="s">
        <v>134</v>
      </c>
      <c r="F74" s="99">
        <v>1</v>
      </c>
      <c r="G74" s="115"/>
      <c r="H74" s="149">
        <f>IF(VLOOKUP($E74,武器奇术!$A:$R,18,FALSE)="天工",AE74,(AE74+AT74+BI74+BX74+CM74+DB74+DQ74))*(1+J74)*F74*K74*(1+G74)*(1+$G$21*5%)</f>
        <v>28646.9930354516</v>
      </c>
      <c r="I74" s="101">
        <f t="shared" si="0"/>
        <v>0.00353684123284824</v>
      </c>
      <c r="J74" s="101">
        <f>$F$3+VLOOKUP($E74,武器奇术!$A:$R,12,FALSE)+VLOOKUP($E74,武器奇术!$A:$R,14,FALSE)*$G$3+$P74</f>
        <v>0.473</v>
      </c>
      <c r="K74" s="102">
        <f>VLOOKUP($E74,武器奇术!$A:$R,11,FALSE)</f>
        <v>1</v>
      </c>
      <c r="L74" s="117">
        <f>IF(VLOOKUP($E74,武器奇术!$A:$R,15,FALSE)="天工",0%,IF($C$17+VLOOKUP($E74,武器奇术!$A:$R,7,FALSE)&gt;80%,80%,$C$17+VLOOKUP($E74,武器奇术!$A:$R,7,FALSE))+IF($C$19&gt;20%,20%,$C$19))</f>
        <v>0.892</v>
      </c>
      <c r="M74" s="118">
        <f>IF(VLOOKUP($E74,武器奇术!$A:$R,15,FALSE)="天工",0%,IF($C$18+VLOOKUP($E74,武器奇术!$A:$R,9,FALSE)&gt;40%,40%,$C$18+VLOOKUP($E74,武器奇术!$A:$R,9,FALSE))+IF($C$20&gt;10%,10%,$C$20))</f>
        <v>0.0986</v>
      </c>
      <c r="N74" s="119">
        <f>IF(VLOOKUP($E74,武器奇术!$A:$R,15,FALSE)="天工",100%,MIN($C$16,1))</f>
        <v>0.9881</v>
      </c>
      <c r="O74" s="120" t="str">
        <f>VLOOKUP($E74,武器奇术!$A:$R,16,FALSE)</f>
        <v>拳甲</v>
      </c>
      <c r="P74" s="121">
        <f t="shared" si="38"/>
        <v>0.17</v>
      </c>
      <c r="Q74" s="108">
        <f>$B$5*(1+VLOOKUP($E74,武器奇术!$A:$R,5,FALSE)+IF($G$5="飞隼",0.1,0)+IF($G$5="撼天",0.05,0))-$F$9+IF($I$5="√",160,0)</f>
        <v>1731.135</v>
      </c>
      <c r="R74" s="99">
        <f>IF(VLOOKUP($E74,武器奇术!$A:$Z,20,FALSE)=1,(S74-(Q74+S74)*0.5)*($G$15-0.5)*2+(Q74+S74)*0.5,(Q74+S74)*0.5)</f>
        <v>3256.775</v>
      </c>
      <c r="S74" s="109">
        <f>MAX($C$5,$B$5)*(1+VLOOKUP($E74,武器奇术!$A:$R,5,FALSE)+IF($G$5="飞隼",0.1,0)+IF($G$5="撼天",0.05,0))-$F$9+IF($I$5="√",320,0)</f>
        <v>4782.415</v>
      </c>
      <c r="T74" s="101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U74" s="111">
        <f>$E$5+IF(VLOOKUP($E74,武器奇术!$A:$U,21,FALSE)=1,0,0.09)</f>
        <v>0.115</v>
      </c>
      <c r="V74" s="109">
        <v>1</v>
      </c>
      <c r="W74" s="112">
        <f>Q74*VLOOKUP($E74,武器奇术!$A:$R,2,FALSE)*(1+T74)*(1+U74)*V74</f>
        <v>3086.79912340758</v>
      </c>
      <c r="X74" s="110">
        <f>(1-IF(VLOOKUP($E74,武器奇术!$A:$T,20,FALSE)=1,1,$N74))*(1-$M74)</f>
        <v>0.01072666</v>
      </c>
      <c r="Y74" s="112">
        <f>R74*VLOOKUP($E74,武器奇术!$A:$R,2,FALSE)*(1+T74)*(1+U74)*V74*(1+$E$16+VLOOKUP($E74,武器奇术!$A:$R,8,FALSE))</f>
        <v>9523.77298871699</v>
      </c>
      <c r="Z74" s="110">
        <f t="shared" si="39"/>
        <v>0.8813852</v>
      </c>
      <c r="AA74" s="112">
        <f>S74*VLOOKUP($E74,武器奇术!$A:$R,2,FALSE)*(1+T74)*(1+U74)*V74*(1+$E$17+VLOOKUP($E74,武器奇术!$A:$R,10,FALSE))</f>
        <v>11512.2035428729</v>
      </c>
      <c r="AB74" s="110">
        <f t="shared" si="40"/>
        <v>0.0986</v>
      </c>
      <c r="AC74" s="112">
        <f>R74*VLOOKUP($E74,武器奇术!$A:$R,2,FALSE)*(1+T74)*(1+U74)*V74</f>
        <v>5807.1786516567</v>
      </c>
      <c r="AD74" s="110">
        <f t="shared" si="1"/>
        <v>0.00928814000000003</v>
      </c>
      <c r="AE74" s="113">
        <f t="shared" si="2"/>
        <v>9616.26476274887</v>
      </c>
      <c r="AF74" s="114">
        <f>VLOOKUP($E74,武器奇术!$A:$R,3,FALSE)*(1+IF(VLOOKUP($E74,武器奇术!$A:$R,15,FALSE)="武器",$E$15,0))</f>
        <v>465.4</v>
      </c>
      <c r="AG74" s="112">
        <f t="shared" si="3"/>
        <v>465.4</v>
      </c>
      <c r="AH74" s="112">
        <f>VLOOKUP($E74,武器奇术!$A:$R,3,FALSE)*(1+IF(VLOOKUP($E74,武器奇术!$A:$R,15,FALSE)="武器",$E$15,0))</f>
        <v>465.4</v>
      </c>
      <c r="AI74" s="101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AJ74" s="111">
        <f>$E$5+IF(VLOOKUP($E74,武器奇术!$A:$U,21,FALSE)=1,0,0.09)</f>
        <v>0.115</v>
      </c>
      <c r="AK74" s="109">
        <v>1</v>
      </c>
      <c r="AL74" s="112">
        <f t="shared" si="41"/>
        <v>644.499882</v>
      </c>
      <c r="AM74" s="110">
        <f>(1-IF(VLOOKUP($E74,武器奇术!$A:$T,20,FALSE)=1,1,$N74))*(1-$M74)</f>
        <v>0.01072666</v>
      </c>
      <c r="AN74" s="112">
        <f>AG74*(1+AI74)*(1+AJ74)*AK74*(1+$E$16+VLOOKUP($E74,武器奇术!$A:$R,8,FALSE))</f>
        <v>1056.97980648</v>
      </c>
      <c r="AO74" s="110">
        <f t="shared" si="4"/>
        <v>0.8813852</v>
      </c>
      <c r="AP74" s="112">
        <f>AH74*(1+AI74)*(1+AJ74)*AK74*(1+$E$17+VLOOKUP($E74,武器奇术!$A:$R,10,FALSE))</f>
        <v>870.0748407</v>
      </c>
      <c r="AQ74" s="110">
        <f t="shared" si="5"/>
        <v>0.0986</v>
      </c>
      <c r="AR74" s="112">
        <f t="shared" si="6"/>
        <v>644.499882</v>
      </c>
      <c r="AS74" s="110">
        <f t="shared" si="7"/>
        <v>0.00928814000000003</v>
      </c>
      <c r="AT74" s="113">
        <f t="shared" si="8"/>
        <v>1030.29527366161</v>
      </c>
      <c r="AU74" s="108">
        <f>$B$7*IF($G$5="撼天",1.05,1)+IF(AND(VLOOKUP($E74,武器奇术!$A:$R,15,FALSE)="武器",VLOOKUP($E74,武器奇术!$A:$R,17,FALSE)="鸣金"),$E$3,0)*(1+$E$15)</f>
        <v>0</v>
      </c>
      <c r="AV74" s="99">
        <f>(AU74+AW74)*IF(VLOOKUP($E74,武器奇术!$A:$Z,21,FALSE)=1,$G$15,0.5)</f>
        <v>0</v>
      </c>
      <c r="AW74" s="109">
        <f>MAX($C$7*IF($G$5="撼天",1.05,1)+IF(AND(VLOOKUP($E74,武器奇术!$A:$R,15,FALSE)="武器",VLOOKUP($E74,武器奇术!$A:$R,17,FALSE)="鸣金"),$E$3*(1+$E$15),0),AU74)</f>
        <v>0</v>
      </c>
      <c r="AX74" s="110">
        <f>IF(($D$7+IF(VLOOKUP($E74,武器奇术!$A:$R,17,FALSE)="鸣金",$D$15,0)+IF(VLOOKUP($E74,武器奇术!$A:$R,18,FALSE)=1,4,0)+IF(VLOOKUP($E74,武器奇术!$A:$S,19,FALSE)=1,20,0)-VLOOKUP($F$7,目标属性!$A:$R,6,FALSE))&gt;0,($D$7+IF(VLOOKUP($E74,武器奇术!$A:$R,17,FALSE)="鸣金",$D$15,0)+IF(VLOOKUP($E74,武器奇术!$A:$R,18,FALSE)=1,4,0)+IF(VLOOKUP($E74,武器奇术!$A:$S,19,FALSE)=1,20,0)-VLOOKUP($F$7,目标属性!$A:$R,6,FALSE))/200,($D$7+IF(VLOOKUP($E74,武器奇术!$A:$R,17,FALSE)="鸣金",$D$15,0)+IF(VLOOKUP($E74,武器奇术!$A:$R,18,FALSE)=1,4,0)+IF(VLOOKUP($E74,武器奇术!$A:$S,19,FALSE)=1,20,0)-VLOOKUP($F$7,目标属性!$A:$R,6,FALSE))/100)</f>
        <v>-0.24</v>
      </c>
      <c r="AY74" s="111">
        <f t="shared" si="9"/>
        <v>0</v>
      </c>
      <c r="AZ74" s="109">
        <v>1</v>
      </c>
      <c r="BA74" s="112">
        <f>AU74*IF(VLOOKUP($E74,武器奇术!$A:$R,17,FALSE)="鸣金",VLOOKUP($E74,武器奇术!$A:$R,4,FALSE),VLOOKUP($E74,武器奇术!$A:$R,2,FALSE))*(1+AX74)*(1+AY74)*AZ74</f>
        <v>0</v>
      </c>
      <c r="BB74" s="110">
        <f>(1-IF(VLOOKUP($E74,武器奇术!$A:$T,20,FALSE)=1,1,$N74))*(1-$M74)</f>
        <v>0.01072666</v>
      </c>
      <c r="BC74" s="112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10">
        <f t="shared" si="10"/>
        <v>0.8813852</v>
      </c>
      <c r="BE74" s="112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10">
        <f t="shared" si="11"/>
        <v>0.0986</v>
      </c>
      <c r="BG74" s="112">
        <f>AV74*IF(VLOOKUP($E74,武器奇术!$A:$R,17,FALSE)="鸣金",VLOOKUP($E74,武器奇术!$A:$R,4,FALSE),VLOOKUP($E74,武器奇术!$A:$R,2,FALSE))*(1+AX74)*(1+AY74)*AZ74</f>
        <v>0</v>
      </c>
      <c r="BH74" s="110">
        <f t="shared" si="12"/>
        <v>0.00928814000000003</v>
      </c>
      <c r="BI74" s="113">
        <f t="shared" si="13"/>
        <v>0</v>
      </c>
      <c r="BJ74" s="108">
        <f>$B$9*IF($G$5="撼天",1.05,1)+IF(AND(VLOOKUP($E74,武器奇术!$A:$R,15,FALSE)="武器",VLOOKUP($E74,武器奇术!$A:$R,17,FALSE)="裂石"),$E$3,0)*(1+$E$15)</f>
        <v>0</v>
      </c>
      <c r="BK74" s="99">
        <f>(BJ74+BL74)*IF(VLOOKUP($E74,武器奇术!$A:$Z,21,FALSE)=1,$G$15,0.5)</f>
        <v>0</v>
      </c>
      <c r="BL74" s="109">
        <f>MAX($C$9*IF($G$5="撼天",1.05,1)+IF(AND(VLOOKUP($E74,武器奇术!$A:$R,15,FALSE)="武器",VLOOKUP($E74,武器奇术!$A:$R,17,FALSE)="裂石"),$E$3*(1+$E$15),0),BJ74)</f>
        <v>0</v>
      </c>
      <c r="BM74" s="110">
        <f>IF(($D$9+IF(VLOOKUP($E74,武器奇术!$A:$R,17,FALSE)="裂石",$D$15,0)+IF(VLOOKUP($E74,武器奇术!$A:$R,18,FALSE)=1,4,0)+IF(VLOOKUP($E74,武器奇术!$A:$S,19,FALSE)=1,20,0)-VLOOKUP($F$7,目标属性!$A:$R,6,FALSE))&gt;0,($D$9+IF(VLOOKUP($E74,武器奇术!$A:$R,17,FALSE)="裂石",$D$15,0)+IF(VLOOKUP($E74,武器奇术!$A:$R,18,FALSE)=1,4,0)+IF(VLOOKUP($E74,武器奇术!$A:$S,19,FALSE)=1,20,0)-VLOOKUP($F$7,目标属性!$A:$R,6,FALSE))/200,($D$9+IF(VLOOKUP($E74,武器奇术!$A:$R,17,FALSE)="裂石",$D$15,0)+IF(VLOOKUP($E74,武器奇术!$A:$R,18,FALSE)=1,4,0)+IF(VLOOKUP($E74,武器奇术!$A:$S,19,FALSE)=1,20,0)-VLOOKUP($F$7,目标属性!$A:$R,6,FALSE))/100)</f>
        <v>-0.24</v>
      </c>
      <c r="BN74" s="111">
        <f t="shared" si="14"/>
        <v>0</v>
      </c>
      <c r="BO74" s="109">
        <v>1</v>
      </c>
      <c r="BP74" s="112">
        <f>BJ74*IF(VLOOKUP($E74,武器奇术!$A:$R,17,FALSE)="裂石",VLOOKUP($E74,武器奇术!$A:$R,4,FALSE),VLOOKUP($E74,武器奇术!$A:$R,2,FALSE))*(1+BM74)*(1+BN74)*BO74</f>
        <v>0</v>
      </c>
      <c r="BQ74" s="110">
        <f>(1-IF(VLOOKUP($E74,武器奇术!$A:$T,20,FALSE)=1,1,$N74))*(1-$M74)</f>
        <v>0.01072666</v>
      </c>
      <c r="BR74" s="112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10">
        <f t="shared" si="15"/>
        <v>0.8813852</v>
      </c>
      <c r="BT74" s="112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10">
        <f t="shared" si="16"/>
        <v>0.0986</v>
      </c>
      <c r="BV74" s="112">
        <f>BK74*IF(VLOOKUP($E74,武器奇术!$A:$R,17,FALSE)="裂石",VLOOKUP($E74,武器奇术!$A:$R,4,FALSE),VLOOKUP($E74,武器奇术!$A:$R,2,FALSE))*(1+BM74)*(1+BN74)*BO74</f>
        <v>0</v>
      </c>
      <c r="BW74" s="110">
        <f t="shared" si="17"/>
        <v>0.00928814000000003</v>
      </c>
      <c r="BX74" s="113">
        <f t="shared" si="18"/>
        <v>0</v>
      </c>
      <c r="BY74" s="108">
        <f>$B$11*IF($G$5="撼天",1.05,1)+IF(AND(VLOOKUP($E74,武器奇术!$A:$R,15,FALSE)="武器",VLOOKUP($E74,武器奇术!$A:$R,17,FALSE)="牵丝"),$E$3,0)*(1+$E$15)</f>
        <v>0</v>
      </c>
      <c r="BZ74" s="99">
        <f>(BY74+CA74)*IF(VLOOKUP($E74,武器奇术!$A:$Z,21,FALSE)=1,$G$15,0.5)</f>
        <v>0</v>
      </c>
      <c r="CA74" s="109">
        <f>MAX($C$11*IF($G$5="撼天",1.05,1)+IF(AND(VLOOKUP($E74,武器奇术!$A:$R,15,FALSE)="武器",VLOOKUP($E74,武器奇术!$A:$R,17,FALSE)="牵丝"),$E$3*(1+$E$15),0),BY74)</f>
        <v>0</v>
      </c>
      <c r="CB74" s="110">
        <f>IF(($D$11+IF(VLOOKUP($E74,武器奇术!$A:$R,17,FALSE)="牵丝",$D$15,0)+IF(VLOOKUP($E74,武器奇术!$A:$R,18,FALSE)=1,4,0)+IF(VLOOKUP($E74,武器奇术!$A:$S,19,FALSE)=1,20,0)-VLOOKUP($F$7,目标属性!$A:$R,6,FALSE))&gt;0,($D$11+IF(VLOOKUP($E74,武器奇术!$A:$R,17,FALSE)="牵丝",$D$15,0)+IF(VLOOKUP($E74,武器奇术!$A:$R,18,FALSE)=1,4,0)+IF(VLOOKUP($E74,武器奇术!$A:$S,19,FALSE)=1,20,0)-VLOOKUP($F$7,目标属性!$A:$R,6,FALSE))/200,($D$11+IF(VLOOKUP($E74,武器奇术!$A:$R,17,FALSE)="牵丝",$D$15,0)+IF(VLOOKUP($E74,武器奇术!$A:$R,18,FALSE)=1,4,0)+IF(VLOOKUP($E74,武器奇术!$A:$S,19,FALSE)=1,20,0)-VLOOKUP($F$7,目标属性!$A:$R,6,FALSE))/100)</f>
        <v>-0.24</v>
      </c>
      <c r="CC74" s="111">
        <f t="shared" si="19"/>
        <v>0</v>
      </c>
      <c r="CD74" s="109">
        <v>1</v>
      </c>
      <c r="CE74" s="112">
        <f>BY74*IF(VLOOKUP($E74,武器奇术!$A:$R,17,FALSE)="牵丝",VLOOKUP($E74,武器奇术!$A:$R,4,FALSE),VLOOKUP($E74,武器奇术!$A:$R,2,FALSE))*(1+CB74)*(1+CC74)*CD74</f>
        <v>0</v>
      </c>
      <c r="CF74" s="110">
        <f>(1-IF(VLOOKUP($E74,武器奇术!$A:$T,20,FALSE)=1,1,$N74))*(1-$M74)</f>
        <v>0.01072666</v>
      </c>
      <c r="CG74" s="112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110">
        <f t="shared" si="20"/>
        <v>0.8813852</v>
      </c>
      <c r="CI74" s="112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110">
        <f t="shared" si="21"/>
        <v>0.0986</v>
      </c>
      <c r="CK74" s="112">
        <f>BZ74*IF(VLOOKUP($E74,武器奇术!$A:$R,17,FALSE)="牵丝",VLOOKUP($E74,武器奇术!$A:$R,4,FALSE),VLOOKUP($E74,武器奇术!$A:$R,2,FALSE))*(1+CB74)*(1+CC74)*CD74</f>
        <v>0</v>
      </c>
      <c r="CL74" s="110">
        <f t="shared" si="22"/>
        <v>0.00928814000000003</v>
      </c>
      <c r="CM74" s="113">
        <f t="shared" si="23"/>
        <v>0</v>
      </c>
      <c r="CN74" s="108">
        <f>$B$13*IF($G$5="撼天",1.05,1)+IF(AND(VLOOKUP($E74,武器奇术!$A:$R,15,FALSE)="武器",VLOOKUP($E74,武器奇术!$A:$R,17,FALSE)="破竹"),$E$3,0)*(1+$E$15)</f>
        <v>648.46</v>
      </c>
      <c r="CO74" s="99">
        <f>IF(VLOOKUP($E74,武器奇术!$A:$Z,20,FALSE)=1,(CP74-(CN74+CP74)*0.5)*($G$15-0.5)*2+(CN74+CP74)*0.5,(CN74+CP74)*0.5)</f>
        <v>875.26</v>
      </c>
      <c r="CP74" s="109">
        <f>MAX($C$13*IF($G$5="撼天",1.05,1)+IF(AND(VLOOKUP($E74,武器奇术!$A:$R,15,FALSE)="武器",VLOOKUP($E74,武器奇术!$A:$R,17,FALSE)="破竹"),$E$3*(1+$E$15),0),CN74)</f>
        <v>1102.06</v>
      </c>
      <c r="CQ74" s="110">
        <f>IF(($D$13+IF(VLOOKUP($E74,武器奇术!$A:$R,17,FALSE)="破竹",$D$15,0)+IF(VLOOKUP($E74,武器奇术!$A:$R,18,FALSE)=1,4,0)+IF(VLOOKUP($E74,武器奇术!$A:$S,19,FALSE)=1,20,0)-VLOOKUP($F$7,目标属性!$A:$R,6,FALSE))&gt;0,($D$13+IF(VLOOKUP($E74,武器奇术!$A:$R,17,FALSE)="破竹",$D$15,0)+IF(VLOOKUP($E74,武器奇术!$A:$R,18,FALSE)=1,4,0)+IF(VLOOKUP($E74,武器奇术!$A:$S,19,FALSE)=1,20,0)-VLOOKUP($F$7,目标属性!$A:$R,6,FALSE))/200,($D$13+IF(VLOOKUP($E74,武器奇术!$A:$R,17,FALSE)="破竹",$D$15,0)+IF(VLOOKUP($E74,武器奇术!$A:$R,18,FALSE)=1,4,0)+IF(VLOOKUP($E74,武器奇术!$A:$S,19,FALSE)=1,20,0)-VLOOKUP($F$7,目标属性!$A:$R,6,FALSE))/100)</f>
        <v>0.025</v>
      </c>
      <c r="CR74" s="111">
        <f>$E$13+IF(VLOOKUP($E74,武器奇术!$A:$U,21,FALSE)=1,0,0.09)</f>
        <v>0.235</v>
      </c>
      <c r="CS74" s="109">
        <v>1</v>
      </c>
      <c r="CT74" s="112">
        <f>CN74*IF(VLOOKUP($E74,武器奇术!$A:$R,17,FALSE)="破竹",VLOOKUP($E74,武器奇术!$A:$R,4,FALSE),VLOOKUP($E74,武器奇术!$A:$R,2,FALSE))*(1+CQ74)*(1+CR74)*CS74</f>
        <v>1585.34488391825</v>
      </c>
      <c r="CU74" s="110">
        <f>(1-IF(VLOOKUP($E74,武器奇术!$A:$T,20,FALSE)=1,1,$N74))*(1-$M74)</f>
        <v>0.01072666</v>
      </c>
      <c r="CV74" s="112">
        <f>CO74*IF(VLOOKUP($E74,武器奇术!$A:$R,17,FALSE)="破竹",VLOOKUP($E74,武器奇术!$A:$R,4,FALSE),VLOOKUP($E74,武器奇术!$A:$R,2,FALSE))*(1+CQ74)*(1+CR74)*CS74*(1+$E$16+VLOOKUP($E74,武器奇术!$A:$R,8,FALSE))</f>
        <v>3509.30805212533</v>
      </c>
      <c r="CW74" s="110">
        <f t="shared" si="24"/>
        <v>0.8813852</v>
      </c>
      <c r="CX74" s="112">
        <f>CP74*IF(VLOOKUP($E74,武器奇术!$A:$R,17,FALSE)="破竹",VLOOKUP($E74,武器奇术!$A:$R,4,FALSE),VLOOKUP($E74,武器奇术!$A:$R,2,FALSE))*(1+CQ74)*(1+CR74)*CS74*(1+$E$17+VLOOKUP($E74,武器奇术!$A:$R,10,FALSE))</f>
        <v>3637.30376081914</v>
      </c>
      <c r="CY74" s="110">
        <f t="shared" si="25"/>
        <v>0.0986</v>
      </c>
      <c r="CZ74" s="112">
        <f>CO74*IF(VLOOKUP($E74,武器奇术!$A:$R,17,FALSE)="破竹",VLOOKUP($E74,武器奇术!$A:$R,4,FALSE),VLOOKUP($E74,武器奇术!$A:$R,2,FALSE))*(1+CQ74)*(1+CR74)*CS74</f>
        <v>2139.82198300325</v>
      </c>
      <c r="DA74" s="110">
        <f t="shared" si="26"/>
        <v>0.00928814000000003</v>
      </c>
      <c r="DB74" s="113">
        <f t="shared" si="27"/>
        <v>3488.5707519066</v>
      </c>
      <c r="DC74" s="108">
        <f t="shared" si="36"/>
        <v>69.3</v>
      </c>
      <c r="DD74" s="99">
        <f>(DC74+DE74)*IF(VLOOKUP($E74,武器奇术!$A:$Z,21,FALSE)=1,$G$15,0.5)</f>
        <v>69.3</v>
      </c>
      <c r="DE74" s="109">
        <f t="shared" si="37"/>
        <v>69.3</v>
      </c>
      <c r="DF74" s="110">
        <f>IF(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100)</f>
        <v>0.025</v>
      </c>
      <c r="DG74" s="111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U,21,FALSE)=1,0,0.09)</f>
        <v>0.235</v>
      </c>
      <c r="DH74" s="109">
        <v>1</v>
      </c>
      <c r="DI74" s="112">
        <f>DC74*IF(VLOOKUP($E74,武器奇术!$A:$R,17,FALSE)="破竹",VLOOKUP($E74,武器奇术!$A:$R,4,FALSE),VLOOKUP($E74,武器奇术!$A:$R,2,FALSE))*(1+DF74)*(1+DG74)*DH74</f>
        <v>169.42355805375</v>
      </c>
      <c r="DJ74" s="110">
        <f>(1-IF(VLOOKUP($E74,武器奇术!$A:$T,20,FALSE)=1,1,$N74))*(1-$M74)</f>
        <v>0.01072666</v>
      </c>
      <c r="DK74" s="112">
        <f>DD74*IF(VLOOKUP($E74,武器奇术!$A:$R,17,FALSE)="破竹",VLOOKUP($E74,武器奇术!$A:$R,4,FALSE),VLOOKUP($E74,武器奇术!$A:$R,2,FALSE))*(1+DF74)*(1+DG74)*DH74*(1+$E$16+VLOOKUP($E74,武器奇术!$A:$R,8,FALSE))</f>
        <v>277.85463520815</v>
      </c>
      <c r="DL74" s="110">
        <f t="shared" si="28"/>
        <v>0.8813852</v>
      </c>
      <c r="DM74" s="112">
        <f>DE74*IF(VLOOKUP($E74,武器奇术!$A:$R,17,FALSE)="破竹",VLOOKUP($E74,武器奇术!$A:$R,4,FALSE),VLOOKUP($E74,武器奇术!$A:$R,2,FALSE))*(1+DF74)*(1+DG74)*DH74*(1+$E$17+VLOOKUP($E74,武器奇术!$A:$R,10,FALSE))</f>
        <v>228.721803372562</v>
      </c>
      <c r="DN74" s="110">
        <f t="shared" si="29"/>
        <v>0.0986</v>
      </c>
      <c r="DO74" s="112">
        <f>DD74*IF(VLOOKUP($E74,武器奇术!$A:$R,17,FALSE)="破竹",VLOOKUP($E74,武器奇术!$A:$R,4,FALSE),VLOOKUP($E74,武器奇术!$A:$R,2,FALSE))*(1+DF74)*(1+DG74)*DH74</f>
        <v>169.42355805375</v>
      </c>
      <c r="DP74" s="110">
        <f t="shared" si="30"/>
        <v>0.00928814000000003</v>
      </c>
      <c r="DQ74" s="113">
        <f t="shared" si="31"/>
        <v>270.839911666131</v>
      </c>
    </row>
    <row r="75" customFormat="1" spans="1:121">
      <c r="A75" s="36"/>
      <c r="B75" t="s">
        <v>163</v>
      </c>
      <c r="C75">
        <v>1.13</v>
      </c>
      <c r="D75"/>
      <c r="E75" s="98" t="s">
        <v>135</v>
      </c>
      <c r="F75" s="99">
        <v>1</v>
      </c>
      <c r="G75" s="115"/>
      <c r="H75" s="149">
        <f>IF(VLOOKUP($E75,武器奇术!$A:$R,18,FALSE)="天工",AE75,(AE75+AT75+BI75+BX75+CM75+DB75+DQ75))*(1+J75)*F75*K75*(1+G75)*(1+$G$21*5%)</f>
        <v>63982.2655175516</v>
      </c>
      <c r="I75" s="101">
        <f t="shared" si="0"/>
        <v>0.00789943693474119</v>
      </c>
      <c r="J75" s="101">
        <f>$F$3+VLOOKUP($E75,武器奇术!$A:$R,12,FALSE)+VLOOKUP($E75,武器奇术!$A:$R,14,FALSE)*$G$3+$P75</f>
        <v>0.773</v>
      </c>
      <c r="K75" s="102">
        <f>VLOOKUP($E75,武器奇术!$A:$R,11,FALSE)</f>
        <v>1</v>
      </c>
      <c r="L75" s="117">
        <f>IF(VLOOKUP($E75,武器奇术!$A:$R,15,FALSE)="天工",0%,IF($C$17+VLOOKUP($E75,武器奇术!$A:$R,7,FALSE)&gt;80%,80%,$C$17+VLOOKUP($E75,武器奇术!$A:$R,7,FALSE))+IF($C$19&gt;20%,20%,$C$19))</f>
        <v>0.892</v>
      </c>
      <c r="M75" s="118">
        <f>IF(VLOOKUP($E75,武器奇术!$A:$R,15,FALSE)="天工",0%,IF($C$18+VLOOKUP($E75,武器奇术!$A:$R,9,FALSE)&gt;40%,40%,$C$18+VLOOKUP($E75,武器奇术!$A:$R,9,FALSE))+IF($C$20&gt;10%,10%,$C$20))</f>
        <v>0.0986</v>
      </c>
      <c r="N75" s="119">
        <f>IF(VLOOKUP($E75,武器奇术!$A:$R,15,FALSE)="天工",100%,MIN($C$16,1))</f>
        <v>0.9881</v>
      </c>
      <c r="O75" s="120" t="str">
        <f>VLOOKUP($E75,武器奇术!$A:$R,16,FALSE)</f>
        <v>拳甲</v>
      </c>
      <c r="P75" s="121">
        <f t="shared" si="38"/>
        <v>0.17</v>
      </c>
      <c r="Q75" s="108">
        <f>$B$5*(1+VLOOKUP($E75,武器奇术!$A:$R,5,FALSE)+IF($G$5="飞隼",0.1,0)+IF($G$5="撼天",0.05,0))-$F$9+IF($I$5="√",160,0)</f>
        <v>1731.135</v>
      </c>
      <c r="R75" s="99">
        <f>IF(VLOOKUP($E75,武器奇术!$A:$Z,20,FALSE)=1,(S75-(Q75+S75)*0.5)*($G$15-0.5)*2+(Q75+S75)*0.5,(Q75+S75)*0.5)</f>
        <v>3256.775</v>
      </c>
      <c r="S75" s="109">
        <f>MAX($C$5,$B$5)*(1+VLOOKUP($E75,武器奇术!$A:$R,5,FALSE)+IF($G$5="飞隼",0.1,0)+IF($G$5="撼天",0.05,0))-$F$9+IF($I$5="√",320,0)</f>
        <v>4782.415</v>
      </c>
      <c r="T75" s="101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U75" s="111">
        <f>$E$5+IF(VLOOKUP($E75,武器奇术!$A:$U,21,FALSE)=1,0,0.09)</f>
        <v>0.115</v>
      </c>
      <c r="V75" s="109">
        <v>1</v>
      </c>
      <c r="W75" s="112">
        <f>Q75*VLOOKUP($E75,武器奇术!$A:$R,2,FALSE)*(1+T75)*(1+U75)*V75</f>
        <v>5595.154346628</v>
      </c>
      <c r="X75" s="110">
        <f>(1-IF(VLOOKUP($E75,武器奇术!$A:$T,20,FALSE)=1,1,$N75))*(1-$M75)</f>
        <v>0.01072666</v>
      </c>
      <c r="Y75" s="112">
        <f>R75*VLOOKUP($E75,武器奇术!$A:$R,2,FALSE)*(1+T75)*(1+U75)*V75*(1+$E$16+VLOOKUP($E75,武器奇术!$A:$R,8,FALSE))</f>
        <v>20420.6997528468</v>
      </c>
      <c r="Z75" s="110">
        <f t="shared" si="39"/>
        <v>0.8813852</v>
      </c>
      <c r="AA75" s="112">
        <f>S75*VLOOKUP($E75,武器奇术!$A:$R,2,FALSE)*(1+T75)*(1+U75)*V75*(1+$E$17+VLOOKUP($E75,武器奇术!$A:$R,10,FALSE))</f>
        <v>20867.1031437462</v>
      </c>
      <c r="AB75" s="110">
        <f t="shared" si="40"/>
        <v>0.0986</v>
      </c>
      <c r="AC75" s="112">
        <f>R75*VLOOKUP($E75,武器奇术!$A:$R,2,FALSE)*(1+T75)*(1+U75)*V75</f>
        <v>10526.13389322</v>
      </c>
      <c r="AD75" s="110">
        <f t="shared" si="1"/>
        <v>0.00928814000000003</v>
      </c>
      <c r="AE75" s="113">
        <f t="shared" si="2"/>
        <v>20213.784429359</v>
      </c>
      <c r="AF75" s="114">
        <f>VLOOKUP($E75,武器奇术!$A:$R,3,FALSE)*(1+IF(VLOOKUP($E75,武器奇术!$A:$R,15,FALSE)="武器",$E$15,0))</f>
        <v>0</v>
      </c>
      <c r="AG75" s="112">
        <f t="shared" si="3"/>
        <v>0</v>
      </c>
      <c r="AH75" s="112">
        <f>VLOOKUP($E75,武器奇术!$A:$R,3,FALSE)*(1+IF(VLOOKUP($E75,武器奇术!$A:$R,15,FALSE)="武器",$E$15,0))</f>
        <v>0</v>
      </c>
      <c r="AI75" s="101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AJ75" s="111">
        <f>$E$5+IF(VLOOKUP($E75,武器奇术!$A:$U,21,FALSE)=1,0,0.09)</f>
        <v>0.115</v>
      </c>
      <c r="AK75" s="109">
        <v>1</v>
      </c>
      <c r="AL75" s="112">
        <f t="shared" si="41"/>
        <v>0</v>
      </c>
      <c r="AM75" s="110">
        <f>(1-IF(VLOOKUP($E75,武器奇术!$A:$T,20,FALSE)=1,1,$N75))*(1-$M75)</f>
        <v>0.01072666</v>
      </c>
      <c r="AN75" s="112">
        <f>AG75*(1+AI75)*(1+AJ75)*AK75*(1+$E$16+VLOOKUP($E75,武器奇术!$A:$R,8,FALSE))</f>
        <v>0</v>
      </c>
      <c r="AO75" s="110">
        <f t="shared" si="4"/>
        <v>0.8813852</v>
      </c>
      <c r="AP75" s="112">
        <f>AH75*(1+AI75)*(1+AJ75)*AK75*(1+$E$17+VLOOKUP($E75,武器奇术!$A:$R,10,FALSE))</f>
        <v>0</v>
      </c>
      <c r="AQ75" s="110">
        <f t="shared" si="5"/>
        <v>0.0986</v>
      </c>
      <c r="AR75" s="112">
        <f t="shared" si="6"/>
        <v>0</v>
      </c>
      <c r="AS75" s="110">
        <f t="shared" si="7"/>
        <v>0.00928814000000003</v>
      </c>
      <c r="AT75" s="113">
        <f t="shared" si="8"/>
        <v>0</v>
      </c>
      <c r="AU75" s="108">
        <f>$B$7*IF($G$5="撼天",1.05,1)+IF(AND(VLOOKUP($E75,武器奇术!$A:$R,15,FALSE)="武器",VLOOKUP($E75,武器奇术!$A:$R,17,FALSE)="鸣金"),$E$3,0)*(1+$E$15)</f>
        <v>0</v>
      </c>
      <c r="AV75" s="99">
        <f>(AU75+AW75)*IF(VLOOKUP($E75,武器奇术!$A:$Z,21,FALSE)=1,$G$15,0.5)</f>
        <v>0</v>
      </c>
      <c r="AW75" s="109">
        <f>MAX($C$7*IF($G$5="撼天",1.05,1)+IF(AND(VLOOKUP($E75,武器奇术!$A:$R,15,FALSE)="武器",VLOOKUP($E75,武器奇术!$A:$R,17,FALSE)="鸣金"),$E$3*(1+$E$15),0),AU75)</f>
        <v>0</v>
      </c>
      <c r="AX75" s="110">
        <f>IF(($D$7+IF(VLOOKUP($E75,武器奇术!$A:$R,17,FALSE)="鸣金",$D$15,0)+IF(VLOOKUP($E75,武器奇术!$A:$R,18,FALSE)=1,4,0)+IF(VLOOKUP($E75,武器奇术!$A:$S,19,FALSE)=1,20,0)-VLOOKUP($F$7,目标属性!$A:$R,6,FALSE))&gt;0,($D$7+IF(VLOOKUP($E75,武器奇术!$A:$R,17,FALSE)="鸣金",$D$15,0)+IF(VLOOKUP($E75,武器奇术!$A:$R,18,FALSE)=1,4,0)+IF(VLOOKUP($E75,武器奇术!$A:$S,19,FALSE)=1,20,0)-VLOOKUP($F$7,目标属性!$A:$R,6,FALSE))/200,($D$7+IF(VLOOKUP($E75,武器奇术!$A:$R,17,FALSE)="鸣金",$D$15,0)+IF(VLOOKUP($E75,武器奇术!$A:$R,18,FALSE)=1,4,0)+IF(VLOOKUP($E75,武器奇术!$A:$S,19,FALSE)=1,20,0)-VLOOKUP($F$7,目标属性!$A:$R,6,FALSE))/100)</f>
        <v>0</v>
      </c>
      <c r="AY75" s="111">
        <f t="shared" si="9"/>
        <v>0</v>
      </c>
      <c r="AZ75" s="109">
        <v>1</v>
      </c>
      <c r="BA75" s="112">
        <f>AU75*IF(VLOOKUP($E75,武器奇术!$A:$R,17,FALSE)="鸣金",VLOOKUP($E75,武器奇术!$A:$R,4,FALSE),VLOOKUP($E75,武器奇术!$A:$R,2,FALSE))*(1+AX75)*(1+AY75)*AZ75</f>
        <v>0</v>
      </c>
      <c r="BB75" s="110">
        <f>(1-IF(VLOOKUP($E75,武器奇术!$A:$T,20,FALSE)=1,1,$N75))*(1-$M75)</f>
        <v>0.01072666</v>
      </c>
      <c r="BC75" s="112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10">
        <f t="shared" si="10"/>
        <v>0.8813852</v>
      </c>
      <c r="BE75" s="112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10">
        <f t="shared" si="11"/>
        <v>0.0986</v>
      </c>
      <c r="BG75" s="112">
        <f>AV75*IF(VLOOKUP($E75,武器奇术!$A:$R,17,FALSE)="鸣金",VLOOKUP($E75,武器奇术!$A:$R,4,FALSE),VLOOKUP($E75,武器奇术!$A:$R,2,FALSE))*(1+AX75)*(1+AY75)*AZ75</f>
        <v>0</v>
      </c>
      <c r="BH75" s="110">
        <f t="shared" si="12"/>
        <v>0.00928814000000003</v>
      </c>
      <c r="BI75" s="113">
        <f t="shared" si="13"/>
        <v>0</v>
      </c>
      <c r="BJ75" s="108">
        <f>$B$9*IF($G$5="撼天",1.05,1)+IF(AND(VLOOKUP($E75,武器奇术!$A:$R,15,FALSE)="武器",VLOOKUP($E75,武器奇术!$A:$R,17,FALSE)="裂石"),$E$3,0)*(1+$E$15)</f>
        <v>0</v>
      </c>
      <c r="BK75" s="99">
        <f>(BJ75+BL75)*IF(VLOOKUP($E75,武器奇术!$A:$Z,21,FALSE)=1,$G$15,0.5)</f>
        <v>0</v>
      </c>
      <c r="BL75" s="109">
        <f>MAX($C$9*IF($G$5="撼天",1.05,1)+IF(AND(VLOOKUP($E75,武器奇术!$A:$R,15,FALSE)="武器",VLOOKUP($E75,武器奇术!$A:$R,17,FALSE)="裂石"),$E$3*(1+$E$15),0),BJ75)</f>
        <v>0</v>
      </c>
      <c r="BM75" s="110">
        <f>IF(($D$9+IF(VLOOKUP($E75,武器奇术!$A:$R,17,FALSE)="裂石",$D$15,0)+IF(VLOOKUP($E75,武器奇术!$A:$R,18,FALSE)=1,4,0)+IF(VLOOKUP($E75,武器奇术!$A:$S,19,FALSE)=1,20,0)-VLOOKUP($F$7,目标属性!$A:$R,6,FALSE))&gt;0,($D$9+IF(VLOOKUP($E75,武器奇术!$A:$R,17,FALSE)="裂石",$D$15,0)+IF(VLOOKUP($E75,武器奇术!$A:$R,18,FALSE)=1,4,0)+IF(VLOOKUP($E75,武器奇术!$A:$S,19,FALSE)=1,20,0)-VLOOKUP($F$7,目标属性!$A:$R,6,FALSE))/200,($D$9+IF(VLOOKUP($E75,武器奇术!$A:$R,17,FALSE)="裂石",$D$15,0)+IF(VLOOKUP($E75,武器奇术!$A:$R,18,FALSE)=1,4,0)+IF(VLOOKUP($E75,武器奇术!$A:$S,19,FALSE)=1,20,0)-VLOOKUP($F$7,目标属性!$A:$R,6,FALSE))/100)</f>
        <v>0</v>
      </c>
      <c r="BN75" s="111">
        <f t="shared" si="14"/>
        <v>0</v>
      </c>
      <c r="BO75" s="109">
        <v>1</v>
      </c>
      <c r="BP75" s="112">
        <f>BJ75*IF(VLOOKUP($E75,武器奇术!$A:$R,17,FALSE)="裂石",VLOOKUP($E75,武器奇术!$A:$R,4,FALSE),VLOOKUP($E75,武器奇术!$A:$R,2,FALSE))*(1+BM75)*(1+BN75)*BO75</f>
        <v>0</v>
      </c>
      <c r="BQ75" s="110">
        <f>(1-IF(VLOOKUP($E75,武器奇术!$A:$T,20,FALSE)=1,1,$N75))*(1-$M75)</f>
        <v>0.01072666</v>
      </c>
      <c r="BR75" s="112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10">
        <f t="shared" si="15"/>
        <v>0.8813852</v>
      </c>
      <c r="BT75" s="112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10">
        <f t="shared" si="16"/>
        <v>0.0986</v>
      </c>
      <c r="BV75" s="112">
        <f>BK75*IF(VLOOKUP($E75,武器奇术!$A:$R,17,FALSE)="裂石",VLOOKUP($E75,武器奇术!$A:$R,4,FALSE),VLOOKUP($E75,武器奇术!$A:$R,2,FALSE))*(1+BM75)*(1+BN75)*BO75</f>
        <v>0</v>
      </c>
      <c r="BW75" s="110">
        <f t="shared" si="17"/>
        <v>0.00928814000000003</v>
      </c>
      <c r="BX75" s="113">
        <f t="shared" si="18"/>
        <v>0</v>
      </c>
      <c r="BY75" s="108">
        <f>$B$11*IF($G$5="撼天",1.05,1)+IF(AND(VLOOKUP($E75,武器奇术!$A:$R,15,FALSE)="武器",VLOOKUP($E75,武器奇术!$A:$R,17,FALSE)="牵丝"),$E$3,0)*(1+$E$15)</f>
        <v>0</v>
      </c>
      <c r="BZ75" s="99">
        <f>(BY75+CA75)*IF(VLOOKUP($E75,武器奇术!$A:$Z,21,FALSE)=1,$G$15,0.5)</f>
        <v>0</v>
      </c>
      <c r="CA75" s="109">
        <f>MAX($C$11*IF($G$5="撼天",1.05,1)+IF(AND(VLOOKUP($E75,武器奇术!$A:$R,15,FALSE)="武器",VLOOKUP($E75,武器奇术!$A:$R,17,FALSE)="牵丝"),$E$3*(1+$E$15),0),BY75)</f>
        <v>0</v>
      </c>
      <c r="CB75" s="110">
        <f>IF(($D$11+IF(VLOOKUP($E75,武器奇术!$A:$R,17,FALSE)="牵丝",$D$15,0)+IF(VLOOKUP($E75,武器奇术!$A:$R,18,FALSE)=1,4,0)+IF(VLOOKUP($E75,武器奇术!$A:$S,19,FALSE)=1,20,0)-VLOOKUP($F$7,目标属性!$A:$R,6,FALSE))&gt;0,($D$11+IF(VLOOKUP($E75,武器奇术!$A:$R,17,FALSE)="牵丝",$D$15,0)+IF(VLOOKUP($E75,武器奇术!$A:$R,18,FALSE)=1,4,0)+IF(VLOOKUP($E75,武器奇术!$A:$S,19,FALSE)=1,20,0)-VLOOKUP($F$7,目标属性!$A:$R,6,FALSE))/200,($D$11+IF(VLOOKUP($E75,武器奇术!$A:$R,17,FALSE)="牵丝",$D$15,0)+IF(VLOOKUP($E75,武器奇术!$A:$R,18,FALSE)=1,4,0)+IF(VLOOKUP($E75,武器奇术!$A:$S,19,FALSE)=1,20,0)-VLOOKUP($F$7,目标属性!$A:$R,6,FALSE))/100)</f>
        <v>0</v>
      </c>
      <c r="CC75" s="111">
        <f t="shared" si="19"/>
        <v>0</v>
      </c>
      <c r="CD75" s="109">
        <v>1</v>
      </c>
      <c r="CE75" s="112">
        <f>BY75*IF(VLOOKUP($E75,武器奇术!$A:$R,17,FALSE)="牵丝",VLOOKUP($E75,武器奇术!$A:$R,4,FALSE),VLOOKUP($E75,武器奇术!$A:$R,2,FALSE))*(1+CB75)*(1+CC75)*CD75</f>
        <v>0</v>
      </c>
      <c r="CF75" s="110">
        <f>(1-IF(VLOOKUP($E75,武器奇术!$A:$T,20,FALSE)=1,1,$N75))*(1-$M75)</f>
        <v>0.01072666</v>
      </c>
      <c r="CG75" s="112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110">
        <f t="shared" si="20"/>
        <v>0.8813852</v>
      </c>
      <c r="CI75" s="112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110">
        <f t="shared" si="21"/>
        <v>0.0986</v>
      </c>
      <c r="CK75" s="112">
        <f>BZ75*IF(VLOOKUP($E75,武器奇术!$A:$R,17,FALSE)="牵丝",VLOOKUP($E75,武器奇术!$A:$R,4,FALSE),VLOOKUP($E75,武器奇术!$A:$R,2,FALSE))*(1+CB75)*(1+CC75)*CD75</f>
        <v>0</v>
      </c>
      <c r="CL75" s="110">
        <f t="shared" si="22"/>
        <v>0.00928814000000003</v>
      </c>
      <c r="CM75" s="113">
        <f t="shared" si="23"/>
        <v>0</v>
      </c>
      <c r="CN75" s="108">
        <f>$B$13*IF($G$5="撼天",1.05,1)+IF(AND(VLOOKUP($E75,武器奇术!$A:$R,15,FALSE)="武器",VLOOKUP($E75,武器奇术!$A:$R,17,FALSE)="破竹"),$E$3,0)*(1+$E$15)</f>
        <v>452.55</v>
      </c>
      <c r="CO75" s="99">
        <f>IF(VLOOKUP($E75,武器奇术!$A:$Z,20,FALSE)=1,(CP75-(CN75+CP75)*0.5)*($G$15-0.5)*2+(CN75+CP75)*0.5,(CN75+CP75)*0.5)</f>
        <v>679.35</v>
      </c>
      <c r="CP75" s="109">
        <f>MAX($C$13*IF($G$5="撼天",1.05,1)+IF(AND(VLOOKUP($E75,武器奇术!$A:$R,15,FALSE)="武器",VLOOKUP($E75,武器奇术!$A:$R,17,FALSE)="破竹"),$E$3*(1+$E$15),0),CN75)</f>
        <v>906.15</v>
      </c>
      <c r="CQ75" s="110">
        <f>IF(($D$13+IF(VLOOKUP($E75,武器奇术!$A:$R,17,FALSE)="破竹",$D$15,0)+IF(VLOOKUP($E75,武器奇术!$A:$R,18,FALSE)=1,4,0)+IF(VLOOKUP($E75,武器奇术!$A:$S,19,FALSE)=1,20,0)-VLOOKUP($F$7,目标属性!$A:$R,6,FALSE))&gt;0,($D$13+IF(VLOOKUP($E75,武器奇术!$A:$R,17,FALSE)="破竹",$D$15,0)+IF(VLOOKUP($E75,武器奇术!$A:$R,18,FALSE)=1,4,0)+IF(VLOOKUP($E75,武器奇术!$A:$S,19,FALSE)=1,20,0)-VLOOKUP($F$7,目标属性!$A:$R,6,FALSE))/200,($D$13+IF(VLOOKUP($E75,武器奇术!$A:$R,17,FALSE)="破竹",$D$15,0)+IF(VLOOKUP($E75,武器奇术!$A:$R,18,FALSE)=1,4,0)+IF(VLOOKUP($E75,武器奇术!$A:$S,19,FALSE)=1,20,0)-VLOOKUP($F$7,目标属性!$A:$R,6,FALSE))/100)</f>
        <v>0.145</v>
      </c>
      <c r="CR75" s="111">
        <f>$E$13+IF(VLOOKUP($E75,武器奇术!$A:$U,21,FALSE)=1,0,0.09)</f>
        <v>0.235</v>
      </c>
      <c r="CS75" s="109">
        <v>1</v>
      </c>
      <c r="CT75" s="112">
        <f>CN75*IF(VLOOKUP($E75,武器奇术!$A:$R,17,FALSE)="破竹",VLOOKUP($E75,武器奇术!$A:$R,4,FALSE),VLOOKUP($E75,武器奇术!$A:$R,2,FALSE))*(1+CQ75)*(1+CR75)*CS75</f>
        <v>2073.40443765</v>
      </c>
      <c r="CU75" s="110">
        <f>(1-IF(VLOOKUP($E75,武器奇术!$A:$T,20,FALSE)=1,1,$N75))*(1-$M75)</f>
        <v>0.01072666</v>
      </c>
      <c r="CV75" s="112">
        <f>CO75*IF(VLOOKUP($E75,武器奇术!$A:$R,17,FALSE)="破竹",VLOOKUP($E75,武器奇术!$A:$R,4,FALSE),VLOOKUP($E75,武器奇术!$A:$R,2,FALSE))*(1+CQ75)*(1+CR75)*CS75*(1+$E$16+VLOOKUP($E75,武器奇术!$A:$R,8,FALSE))</f>
        <v>6038.273276217</v>
      </c>
      <c r="CW75" s="110">
        <f t="shared" si="24"/>
        <v>0.8813852</v>
      </c>
      <c r="CX75" s="112">
        <f>CP75*IF(VLOOKUP($E75,武器奇术!$A:$R,17,FALSE)="破竹",VLOOKUP($E75,武器奇术!$A:$R,4,FALSE),VLOOKUP($E75,武器奇术!$A:$R,2,FALSE))*(1+CQ75)*(1+CR75)*CS75*(1+$E$17+VLOOKUP($E75,武器奇术!$A:$R,10,FALSE))</f>
        <v>5604.6864039075</v>
      </c>
      <c r="CY75" s="110">
        <f t="shared" si="25"/>
        <v>0.0986</v>
      </c>
      <c r="CZ75" s="112">
        <f>CO75*IF(VLOOKUP($E75,武器奇术!$A:$R,17,FALSE)="破竹",VLOOKUP($E75,武器奇术!$A:$R,4,FALSE),VLOOKUP($E75,武器奇术!$A:$R,2,FALSE))*(1+CQ75)*(1+CR75)*CS75</f>
        <v>3112.51199805</v>
      </c>
      <c r="DA75" s="110">
        <f t="shared" si="26"/>
        <v>0.00928814000000003</v>
      </c>
      <c r="DB75" s="113">
        <f t="shared" si="27"/>
        <v>5925.81693027318</v>
      </c>
      <c r="DC75" s="108">
        <f t="shared" si="36"/>
        <v>69.3</v>
      </c>
      <c r="DD75" s="99">
        <f>(DC75+DE75)*IF(VLOOKUP($E75,武器奇术!$A:$Z,21,FALSE)=1,$G$15,0.5)</f>
        <v>69.3</v>
      </c>
      <c r="DE75" s="109">
        <f t="shared" si="37"/>
        <v>69.3</v>
      </c>
      <c r="DF75" s="110">
        <f>IF(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100)</f>
        <v>0.145</v>
      </c>
      <c r="DG75" s="111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U,21,FALSE)=1,0,0.09)</f>
        <v>0.235</v>
      </c>
      <c r="DH75" s="109">
        <v>1</v>
      </c>
      <c r="DI75" s="112">
        <f>DC75*IF(VLOOKUP($E75,武器奇术!$A:$R,17,FALSE)="破竹",VLOOKUP($E75,武器奇术!$A:$R,4,FALSE),VLOOKUP($E75,武器奇术!$A:$R,2,FALSE))*(1+DF75)*(1+DG75)*DH75</f>
        <v>317.5050879</v>
      </c>
      <c r="DJ75" s="110">
        <f>(1-IF(VLOOKUP($E75,武器奇术!$A:$T,20,FALSE)=1,1,$N75))*(1-$M75)</f>
        <v>0.01072666</v>
      </c>
      <c r="DK75" s="112">
        <f>DD75*IF(VLOOKUP($E75,武器奇术!$A:$R,17,FALSE)="破竹",VLOOKUP($E75,武器奇术!$A:$R,4,FALSE),VLOOKUP($E75,武器奇术!$A:$R,2,FALSE))*(1+DF75)*(1+DG75)*DH75*(1+$E$16+VLOOKUP($E75,武器奇术!$A:$R,8,FALSE))</f>
        <v>615.959870526</v>
      </c>
      <c r="DL75" s="110">
        <f t="shared" si="28"/>
        <v>0.8813852</v>
      </c>
      <c r="DM75" s="112">
        <f>DE75*IF(VLOOKUP($E75,武器奇术!$A:$R,17,FALSE)="破竹",VLOOKUP($E75,武器奇术!$A:$R,4,FALSE),VLOOKUP($E75,武器奇术!$A:$R,2,FALSE))*(1+DF75)*(1+DG75)*DH75*(1+$E$17+VLOOKUP($E75,武器奇术!$A:$R,10,FALSE))</f>
        <v>428.631868665</v>
      </c>
      <c r="DN75" s="110">
        <f t="shared" si="29"/>
        <v>0.0986</v>
      </c>
      <c r="DO75" s="112">
        <f>DD75*IF(VLOOKUP($E75,武器奇术!$A:$R,17,FALSE)="破竹",VLOOKUP($E75,武器奇术!$A:$R,4,FALSE),VLOOKUP($E75,武器奇术!$A:$R,2,FALSE))*(1+DF75)*(1+DG75)*DH75</f>
        <v>317.5050879</v>
      </c>
      <c r="DP75" s="110">
        <f t="shared" si="30"/>
        <v>0.00928814000000003</v>
      </c>
      <c r="DQ75" s="113">
        <f t="shared" si="31"/>
        <v>591.515816759203</v>
      </c>
    </row>
    <row r="76" customFormat="1" spans="1:121">
      <c r="A76" s="36"/>
      <c r="B76" t="s">
        <v>164</v>
      </c>
      <c r="C76" s="147">
        <v>1.16</v>
      </c>
      <c r="D76"/>
      <c r="E76" s="98" t="s">
        <v>136</v>
      </c>
      <c r="F76" s="99">
        <v>1</v>
      </c>
      <c r="G76" s="115"/>
      <c r="H76" s="149">
        <f>IF(VLOOKUP($E76,武器奇术!$A:$R,18,FALSE)="天工",AE76,(AE76+AT76+BI76+BX76+CM76+DB76+DQ76))*(1+J76)*F76*K76*(1+G76)*(1+$G$21*5%)</f>
        <v>88157.0456968738</v>
      </c>
      <c r="I76" s="101">
        <f t="shared" si="0"/>
        <v>0.0108841257370688</v>
      </c>
      <c r="J76" s="101">
        <f>$F$3+VLOOKUP($E76,武器奇术!$A:$R,12,FALSE)+VLOOKUP($E76,武器奇术!$A:$R,14,FALSE)*$G$3+$P76</f>
        <v>0.773</v>
      </c>
      <c r="K76" s="102">
        <f>VLOOKUP($E76,武器奇术!$A:$R,11,FALSE)</f>
        <v>1</v>
      </c>
      <c r="L76" s="117">
        <f>IF(VLOOKUP($E76,武器奇术!$A:$R,15,FALSE)="天工",0%,IF($C$17+VLOOKUP($E76,武器奇术!$A:$R,7,FALSE)&gt;80%,80%,$C$17+VLOOKUP($E76,武器奇术!$A:$R,7,FALSE))+IF($C$19&gt;20%,20%,$C$19))</f>
        <v>0.892</v>
      </c>
      <c r="M76" s="118">
        <f>IF(VLOOKUP($E76,武器奇术!$A:$R,15,FALSE)="天工",0%,IF($C$18+VLOOKUP($E76,武器奇术!$A:$R,9,FALSE)&gt;40%,40%,$C$18+VLOOKUP($E76,武器奇术!$A:$R,9,FALSE))+IF($C$20&gt;10%,10%,$C$20))</f>
        <v>0.0986</v>
      </c>
      <c r="N76" s="119">
        <f>IF(VLOOKUP($E76,武器奇术!$A:$R,15,FALSE)="天工",100%,MIN($C$16,1))</f>
        <v>0.9881</v>
      </c>
      <c r="O76" s="120" t="str">
        <f>VLOOKUP($E76,武器奇术!$A:$R,16,FALSE)</f>
        <v>拳甲</v>
      </c>
      <c r="P76" s="121">
        <f t="shared" si="38"/>
        <v>0.17</v>
      </c>
      <c r="Q76" s="108">
        <f>$B$5*(1+VLOOKUP($E76,武器奇术!$A:$R,5,FALSE)+IF($G$5="飞隼",0.1,0)+IF($G$5="撼天",0.05,0))-$F$9+IF($I$5="√",160,0)</f>
        <v>1731.135</v>
      </c>
      <c r="R76" s="99">
        <f>IF(VLOOKUP($E76,武器奇术!$A:$Z,20,FALSE)=1,(S76-(Q76+S76)*0.5)*($G$15-0.5)*2+(Q76+S76)*0.5,(Q76+S76)*0.5)</f>
        <v>3256.775</v>
      </c>
      <c r="S76" s="109">
        <f>MAX($C$5,$B$5)*(1+VLOOKUP($E76,武器奇术!$A:$R,5,FALSE)+IF($G$5="飞隼",0.1,0)+IF($G$5="撼天",0.05,0))-$F$9+IF($I$5="√",320,0)</f>
        <v>4782.415</v>
      </c>
      <c r="T76" s="101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U76" s="111">
        <f>$E$5+IF(VLOOKUP($E76,武器奇术!$A:$U,21,FALSE)=1,0,0.09)</f>
        <v>0.115</v>
      </c>
      <c r="V76" s="109">
        <v>1</v>
      </c>
      <c r="W76" s="112">
        <f>Q76*VLOOKUP($E76,武器奇术!$A:$R,2,FALSE)*(1+T76)*(1+U76)*V76</f>
        <v>6596.6306895897</v>
      </c>
      <c r="X76" s="110">
        <f>(1-IF(VLOOKUP($E76,武器奇术!$A:$T,20,FALSE)=1,1,$N76))*(1-$M76)</f>
        <v>0.01072666</v>
      </c>
      <c r="Y76" s="112">
        <f>R76*VLOOKUP($E76,武器奇术!$A:$R,2,FALSE)*(1+T76)*(1+U76)*V76*(1+$E$16+VLOOKUP($E76,武器奇术!$A:$R,8,FALSE))</f>
        <v>24075.7995842795</v>
      </c>
      <c r="Z76" s="110">
        <f t="shared" si="39"/>
        <v>0.8813852</v>
      </c>
      <c r="AA76" s="112">
        <f>S76*VLOOKUP($E76,武器奇术!$A:$R,2,FALSE)*(1+T76)*(1+U76)*V76*(1+$E$17+VLOOKUP($E76,武器奇术!$A:$R,10,FALSE))</f>
        <v>24602.1046915048</v>
      </c>
      <c r="AB76" s="110">
        <f t="shared" si="40"/>
        <v>0.0986</v>
      </c>
      <c r="AC76" s="112">
        <f>R76*VLOOKUP($E76,武器奇术!$A:$R,2,FALSE)*(1+T76)*(1+U76)*V76</f>
        <v>12410.2059712781</v>
      </c>
      <c r="AD76" s="110">
        <f t="shared" si="1"/>
        <v>0.00928814000000003</v>
      </c>
      <c r="AE76" s="113">
        <f t="shared" si="2"/>
        <v>23831.8484993753</v>
      </c>
      <c r="AF76" s="114">
        <f>VLOOKUP($E76,武器奇术!$A:$R,3,FALSE)*(1+IF(VLOOKUP($E76,武器奇术!$A:$R,15,FALSE)="武器",$E$15,0))</f>
        <v>994.5</v>
      </c>
      <c r="AG76" s="112">
        <f t="shared" si="3"/>
        <v>994.5</v>
      </c>
      <c r="AH76" s="112">
        <f>VLOOKUP($E76,武器奇术!$A:$R,3,FALSE)*(1+IF(VLOOKUP($E76,武器奇术!$A:$R,15,FALSE)="武器",$E$15,0))</f>
        <v>994.5</v>
      </c>
      <c r="AI76" s="101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AJ76" s="111">
        <f>$E$5+IF(VLOOKUP($E76,武器奇术!$A:$U,21,FALSE)=1,0,0.09)</f>
        <v>0.115</v>
      </c>
      <c r="AK76" s="109">
        <v>1</v>
      </c>
      <c r="AL76" s="112">
        <f t="shared" si="41"/>
        <v>1377.213435</v>
      </c>
      <c r="AM76" s="110">
        <f>(1-IF(VLOOKUP($E76,武器奇术!$A:$T,20,FALSE)=1,1,$N76))*(1-$M76)</f>
        <v>0.01072666</v>
      </c>
      <c r="AN76" s="112">
        <f>AG76*(1+AI76)*(1+AJ76)*AK76*(1+$E$16+VLOOKUP($E76,武器奇术!$A:$R,8,FALSE))</f>
        <v>2671.7940639</v>
      </c>
      <c r="AO76" s="110">
        <f t="shared" si="4"/>
        <v>0.8813852</v>
      </c>
      <c r="AP76" s="112">
        <f>AH76*(1+AI76)*(1+AJ76)*AK76*(1+$E$17+VLOOKUP($E76,武器奇术!$A:$R,10,FALSE))</f>
        <v>1859.23813725</v>
      </c>
      <c r="AQ76" s="110">
        <f t="shared" si="5"/>
        <v>0.0986</v>
      </c>
      <c r="AR76" s="112">
        <f t="shared" si="6"/>
        <v>1377.213435</v>
      </c>
      <c r="AS76" s="110">
        <f t="shared" si="7"/>
        <v>0.00928814000000003</v>
      </c>
      <c r="AT76" s="113">
        <f t="shared" si="8"/>
        <v>2565.765277161</v>
      </c>
      <c r="AU76" s="108">
        <f>$B$7*IF($G$5="撼天",1.05,1)+IF(AND(VLOOKUP($E76,武器奇术!$A:$R,15,FALSE)="武器",VLOOKUP($E76,武器奇术!$A:$R,17,FALSE)="鸣金"),$E$3,0)*(1+$E$15)</f>
        <v>0</v>
      </c>
      <c r="AV76" s="99">
        <f>(AU76+AW76)*IF(VLOOKUP($E76,武器奇术!$A:$Z,21,FALSE)=1,$G$15,0.5)</f>
        <v>0</v>
      </c>
      <c r="AW76" s="109">
        <f>MAX($C$7*IF($G$5="撼天",1.05,1)+IF(AND(VLOOKUP($E76,武器奇术!$A:$R,15,FALSE)="武器",VLOOKUP($E76,武器奇术!$A:$R,17,FALSE)="鸣金"),$E$3*(1+$E$15),0),AU76)</f>
        <v>0</v>
      </c>
      <c r="AX76" s="110">
        <f>IF(($D$7+IF(VLOOKUP($E76,武器奇术!$A:$R,17,FALSE)="鸣金",$D$15,0)+IF(VLOOKUP($E76,武器奇术!$A:$R,18,FALSE)=1,4,0)+IF(VLOOKUP($E76,武器奇术!$A:$S,19,FALSE)=1,20,0)-VLOOKUP($F$7,目标属性!$A:$R,6,FALSE))&gt;0,($D$7+IF(VLOOKUP($E76,武器奇术!$A:$R,17,FALSE)="鸣金",$D$15,0)+IF(VLOOKUP($E76,武器奇术!$A:$R,18,FALSE)=1,4,0)+IF(VLOOKUP($E76,武器奇术!$A:$S,19,FALSE)=1,20,0)-VLOOKUP($F$7,目标属性!$A:$R,6,FALSE))/200,($D$7+IF(VLOOKUP($E76,武器奇术!$A:$R,17,FALSE)="鸣金",$D$15,0)+IF(VLOOKUP($E76,武器奇术!$A:$R,18,FALSE)=1,4,0)+IF(VLOOKUP($E76,武器奇术!$A:$S,19,FALSE)=1,20,0)-VLOOKUP($F$7,目标属性!$A:$R,6,FALSE))/100)</f>
        <v>0</v>
      </c>
      <c r="AY76" s="111">
        <f t="shared" si="9"/>
        <v>0</v>
      </c>
      <c r="AZ76" s="109">
        <v>1</v>
      </c>
      <c r="BA76" s="112">
        <f>AU76*IF(VLOOKUP($E76,武器奇术!$A:$R,17,FALSE)="鸣金",VLOOKUP($E76,武器奇术!$A:$R,4,FALSE),VLOOKUP($E76,武器奇术!$A:$R,2,FALSE))*(1+AX76)*(1+AY76)*AZ76</f>
        <v>0</v>
      </c>
      <c r="BB76" s="110">
        <f>(1-IF(VLOOKUP($E76,武器奇术!$A:$T,20,FALSE)=1,1,$N76))*(1-$M76)</f>
        <v>0.01072666</v>
      </c>
      <c r="BC76" s="112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10">
        <f t="shared" si="10"/>
        <v>0.8813852</v>
      </c>
      <c r="BE76" s="112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10">
        <f t="shared" si="11"/>
        <v>0.0986</v>
      </c>
      <c r="BG76" s="112">
        <f>AV76*IF(VLOOKUP($E76,武器奇术!$A:$R,17,FALSE)="鸣金",VLOOKUP($E76,武器奇术!$A:$R,4,FALSE),VLOOKUP($E76,武器奇术!$A:$R,2,FALSE))*(1+AX76)*(1+AY76)*AZ76</f>
        <v>0</v>
      </c>
      <c r="BH76" s="110">
        <f t="shared" si="12"/>
        <v>0.00928814000000003</v>
      </c>
      <c r="BI76" s="113">
        <f t="shared" si="13"/>
        <v>0</v>
      </c>
      <c r="BJ76" s="108">
        <f>$B$9*IF($G$5="撼天",1.05,1)+IF(AND(VLOOKUP($E76,武器奇术!$A:$R,15,FALSE)="武器",VLOOKUP($E76,武器奇术!$A:$R,17,FALSE)="裂石"),$E$3,0)*(1+$E$15)</f>
        <v>0</v>
      </c>
      <c r="BK76" s="99">
        <f>(BJ76+BL76)*IF(VLOOKUP($E76,武器奇术!$A:$Z,21,FALSE)=1,$G$15,0.5)</f>
        <v>0</v>
      </c>
      <c r="BL76" s="109">
        <f>MAX($C$9*IF($G$5="撼天",1.05,1)+IF(AND(VLOOKUP($E76,武器奇术!$A:$R,15,FALSE)="武器",VLOOKUP($E76,武器奇术!$A:$R,17,FALSE)="裂石"),$E$3*(1+$E$15),0),BJ76)</f>
        <v>0</v>
      </c>
      <c r="BM76" s="110">
        <f>IF(($D$9+IF(VLOOKUP($E76,武器奇术!$A:$R,17,FALSE)="裂石",$D$15,0)+IF(VLOOKUP($E76,武器奇术!$A:$R,18,FALSE)=1,4,0)+IF(VLOOKUP($E76,武器奇术!$A:$S,19,FALSE)=1,20,0)-VLOOKUP($F$7,目标属性!$A:$R,6,FALSE))&gt;0,($D$9+IF(VLOOKUP($E76,武器奇术!$A:$R,17,FALSE)="裂石",$D$15,0)+IF(VLOOKUP($E76,武器奇术!$A:$R,18,FALSE)=1,4,0)+IF(VLOOKUP($E76,武器奇术!$A:$S,19,FALSE)=1,20,0)-VLOOKUP($F$7,目标属性!$A:$R,6,FALSE))/200,($D$9+IF(VLOOKUP($E76,武器奇术!$A:$R,17,FALSE)="裂石",$D$15,0)+IF(VLOOKUP($E76,武器奇术!$A:$R,18,FALSE)=1,4,0)+IF(VLOOKUP($E76,武器奇术!$A:$S,19,FALSE)=1,20,0)-VLOOKUP($F$7,目标属性!$A:$R,6,FALSE))/100)</f>
        <v>0</v>
      </c>
      <c r="BN76" s="111">
        <f t="shared" si="14"/>
        <v>0</v>
      </c>
      <c r="BO76" s="109">
        <v>1</v>
      </c>
      <c r="BP76" s="112">
        <f>BJ76*IF(VLOOKUP($E76,武器奇术!$A:$R,17,FALSE)="裂石",VLOOKUP($E76,武器奇术!$A:$R,4,FALSE),VLOOKUP($E76,武器奇术!$A:$R,2,FALSE))*(1+BM76)*(1+BN76)*BO76</f>
        <v>0</v>
      </c>
      <c r="BQ76" s="110">
        <f>(1-IF(VLOOKUP($E76,武器奇术!$A:$T,20,FALSE)=1,1,$N76))*(1-$M76)</f>
        <v>0.01072666</v>
      </c>
      <c r="BR76" s="112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10">
        <f t="shared" si="15"/>
        <v>0.8813852</v>
      </c>
      <c r="BT76" s="112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10">
        <f t="shared" si="16"/>
        <v>0.0986</v>
      </c>
      <c r="BV76" s="112">
        <f>BK76*IF(VLOOKUP($E76,武器奇术!$A:$R,17,FALSE)="裂石",VLOOKUP($E76,武器奇术!$A:$R,4,FALSE),VLOOKUP($E76,武器奇术!$A:$R,2,FALSE))*(1+BM76)*(1+BN76)*BO76</f>
        <v>0</v>
      </c>
      <c r="BW76" s="110">
        <f t="shared" si="17"/>
        <v>0.00928814000000003</v>
      </c>
      <c r="BX76" s="113">
        <f t="shared" si="18"/>
        <v>0</v>
      </c>
      <c r="BY76" s="108">
        <f>$B$11*IF($G$5="撼天",1.05,1)+IF(AND(VLOOKUP($E76,武器奇术!$A:$R,15,FALSE)="武器",VLOOKUP($E76,武器奇术!$A:$R,17,FALSE)="牵丝"),$E$3,0)*(1+$E$15)</f>
        <v>0</v>
      </c>
      <c r="BZ76" s="99">
        <f>(BY76+CA76)*IF(VLOOKUP($E76,武器奇术!$A:$Z,21,FALSE)=1,$G$15,0.5)</f>
        <v>0</v>
      </c>
      <c r="CA76" s="109">
        <f>MAX($C$11*IF($G$5="撼天",1.05,1)+IF(AND(VLOOKUP($E76,武器奇术!$A:$R,15,FALSE)="武器",VLOOKUP($E76,武器奇术!$A:$R,17,FALSE)="牵丝"),$E$3*(1+$E$15),0),BY76)</f>
        <v>0</v>
      </c>
      <c r="CB76" s="110">
        <f>IF(($D$11+IF(VLOOKUP($E76,武器奇术!$A:$R,17,FALSE)="牵丝",$D$15,0)+IF(VLOOKUP($E76,武器奇术!$A:$R,18,FALSE)=1,4,0)+IF(VLOOKUP($E76,武器奇术!$A:$S,19,FALSE)=1,20,0)-VLOOKUP($F$7,目标属性!$A:$R,6,FALSE))&gt;0,($D$11+IF(VLOOKUP($E76,武器奇术!$A:$R,17,FALSE)="牵丝",$D$15,0)+IF(VLOOKUP($E76,武器奇术!$A:$R,18,FALSE)=1,4,0)+IF(VLOOKUP($E76,武器奇术!$A:$S,19,FALSE)=1,20,0)-VLOOKUP($F$7,目标属性!$A:$R,6,FALSE))/200,($D$11+IF(VLOOKUP($E76,武器奇术!$A:$R,17,FALSE)="牵丝",$D$15,0)+IF(VLOOKUP($E76,武器奇术!$A:$R,18,FALSE)=1,4,0)+IF(VLOOKUP($E76,武器奇术!$A:$S,19,FALSE)=1,20,0)-VLOOKUP($F$7,目标属性!$A:$R,6,FALSE))/100)</f>
        <v>0</v>
      </c>
      <c r="CC76" s="111">
        <f t="shared" si="19"/>
        <v>0</v>
      </c>
      <c r="CD76" s="109">
        <v>1</v>
      </c>
      <c r="CE76" s="112">
        <f>BY76*IF(VLOOKUP($E76,武器奇术!$A:$R,17,FALSE)="牵丝",VLOOKUP($E76,武器奇术!$A:$R,4,FALSE),VLOOKUP($E76,武器奇术!$A:$R,2,FALSE))*(1+CB76)*(1+CC76)*CD76</f>
        <v>0</v>
      </c>
      <c r="CF76" s="110">
        <f>(1-IF(VLOOKUP($E76,武器奇术!$A:$T,20,FALSE)=1,1,$N76))*(1-$M76)</f>
        <v>0.01072666</v>
      </c>
      <c r="CG76" s="112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110">
        <f t="shared" si="20"/>
        <v>0.8813852</v>
      </c>
      <c r="CI76" s="112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110">
        <f t="shared" si="21"/>
        <v>0.0986</v>
      </c>
      <c r="CK76" s="112">
        <f>BZ76*IF(VLOOKUP($E76,武器奇术!$A:$R,17,FALSE)="牵丝",VLOOKUP($E76,武器奇术!$A:$R,4,FALSE),VLOOKUP($E76,武器奇术!$A:$R,2,FALSE))*(1+CB76)*(1+CC76)*CD76</f>
        <v>0</v>
      </c>
      <c r="CL76" s="110">
        <f t="shared" si="22"/>
        <v>0.00928814000000003</v>
      </c>
      <c r="CM76" s="113">
        <f t="shared" si="23"/>
        <v>0</v>
      </c>
      <c r="CN76" s="108">
        <f>$B$13*IF($G$5="撼天",1.05,1)+IF(AND(VLOOKUP($E76,武器奇术!$A:$R,15,FALSE)="武器",VLOOKUP($E76,武器奇术!$A:$R,17,FALSE)="破竹"),$E$3,0)*(1+$E$15)</f>
        <v>648.46</v>
      </c>
      <c r="CO76" s="99">
        <f>IF(VLOOKUP($E76,武器奇术!$A:$Z,20,FALSE)=1,(CP76-(CN76+CP76)*0.5)*($G$15-0.5)*2+(CN76+CP76)*0.5,(CN76+CP76)*0.5)</f>
        <v>875.26</v>
      </c>
      <c r="CP76" s="109">
        <f>MAX($C$13*IF($G$5="撼天",1.05,1)+IF(AND(VLOOKUP($E76,武器奇术!$A:$R,15,FALSE)="武器",VLOOKUP($E76,武器奇术!$A:$R,17,FALSE)="破竹"),$E$3*(1+$E$15),0),CN76)</f>
        <v>1102.06</v>
      </c>
      <c r="CQ76" s="110">
        <f>IF(($D$13+IF(VLOOKUP($E76,武器奇术!$A:$R,17,FALSE)="破竹",$D$15,0)+IF(VLOOKUP($E76,武器奇术!$A:$R,18,FALSE)=1,4,0)+IF(VLOOKUP($E76,武器奇术!$A:$S,19,FALSE)=1,20,0)-VLOOKUP($F$7,目标属性!$A:$R,6,FALSE))&gt;0,($D$13+IF(VLOOKUP($E76,武器奇术!$A:$R,17,FALSE)="破竹",$D$15,0)+IF(VLOOKUP($E76,武器奇术!$A:$R,18,FALSE)=1,4,0)+IF(VLOOKUP($E76,武器奇术!$A:$S,19,FALSE)=1,20,0)-VLOOKUP($F$7,目标属性!$A:$R,6,FALSE))/200,($D$13+IF(VLOOKUP($E76,武器奇术!$A:$R,17,FALSE)="破竹",$D$15,0)+IF(VLOOKUP($E76,武器奇术!$A:$R,18,FALSE)=1,4,0)+IF(VLOOKUP($E76,武器奇术!$A:$S,19,FALSE)=1,20,0)-VLOOKUP($F$7,目标属性!$A:$R,6,FALSE))/100)</f>
        <v>0.145</v>
      </c>
      <c r="CR76" s="111">
        <f>$E$13+IF(VLOOKUP($E76,武器奇术!$A:$U,21,FALSE)=1,0,0.09)</f>
        <v>0.235</v>
      </c>
      <c r="CS76" s="109">
        <v>1</v>
      </c>
      <c r="CT76" s="112">
        <f>CN76*IF(VLOOKUP($E76,武器奇术!$A:$R,17,FALSE)="破竹",VLOOKUP($E76,武器奇术!$A:$R,4,FALSE),VLOOKUP($E76,武器奇术!$A:$R,2,FALSE))*(1+CQ76)*(1+CR76)*CS76</f>
        <v>3785.03652247812</v>
      </c>
      <c r="CU76" s="110">
        <f>(1-IF(VLOOKUP($E76,武器奇术!$A:$T,20,FALSE)=1,1,$N76))*(1-$M76)</f>
        <v>0.01072666</v>
      </c>
      <c r="CV76" s="112">
        <f>CO76*IF(VLOOKUP($E76,武器奇术!$A:$R,17,FALSE)="破竹",VLOOKUP($E76,武器奇术!$A:$R,4,FALSE),VLOOKUP($E76,武器奇术!$A:$R,2,FALSE))*(1+CQ76)*(1+CR76)*CS76*(1+$E$16+VLOOKUP($E76,武器奇术!$A:$R,8,FALSE))</f>
        <v>9911.18753558978</v>
      </c>
      <c r="CW76" s="110">
        <f t="shared" si="24"/>
        <v>0.8813852</v>
      </c>
      <c r="CX76" s="112">
        <f>CP76*IF(VLOOKUP($E76,武器奇术!$A:$R,17,FALSE)="破竹",VLOOKUP($E76,武器奇术!$A:$R,4,FALSE),VLOOKUP($E76,武器奇术!$A:$R,2,FALSE))*(1+CQ76)*(1+CR76)*CS76*(1+$E$17+VLOOKUP($E76,武器奇术!$A:$R,10,FALSE))</f>
        <v>8684.12149160938</v>
      </c>
      <c r="CY76" s="110">
        <f t="shared" si="25"/>
        <v>0.0986</v>
      </c>
      <c r="CZ76" s="112">
        <f>CO76*IF(VLOOKUP($E76,武器奇术!$A:$R,17,FALSE)="破竹",VLOOKUP($E76,武器奇术!$A:$R,4,FALSE),VLOOKUP($E76,武器奇术!$A:$R,2,FALSE))*(1+CQ76)*(1+CR76)*CS76</f>
        <v>5108.85955442772</v>
      </c>
      <c r="DA76" s="110">
        <f t="shared" si="26"/>
        <v>0.00928814000000003</v>
      </c>
      <c r="DB76" s="113">
        <f t="shared" si="27"/>
        <v>9679.88099001206</v>
      </c>
      <c r="DC76" s="108">
        <f t="shared" si="36"/>
        <v>69.3</v>
      </c>
      <c r="DD76" s="99">
        <f>(DC76+DE76)*IF(VLOOKUP($E76,武器奇术!$A:$Z,21,FALSE)=1,$G$15,0.5)</f>
        <v>69.3</v>
      </c>
      <c r="DE76" s="109">
        <f t="shared" si="37"/>
        <v>69.3</v>
      </c>
      <c r="DF76" s="110">
        <f>IF(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100)</f>
        <v>0.145</v>
      </c>
      <c r="DG76" s="111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U,21,FALSE)=1,0,0.09)</f>
        <v>0.235</v>
      </c>
      <c r="DH76" s="109">
        <v>1</v>
      </c>
      <c r="DI76" s="112">
        <f>DC76*IF(VLOOKUP($E76,武器奇术!$A:$R,17,FALSE)="破竹",VLOOKUP($E76,武器奇术!$A:$R,4,FALSE),VLOOKUP($E76,武器奇术!$A:$R,2,FALSE))*(1+DF76)*(1+DG76)*DH76</f>
        <v>404.5014819846</v>
      </c>
      <c r="DJ76" s="110">
        <f>(1-IF(VLOOKUP($E76,武器奇术!$A:$T,20,FALSE)=1,1,$N76))*(1-$M76)</f>
        <v>0.01072666</v>
      </c>
      <c r="DK76" s="112">
        <f>DD76*IF(VLOOKUP($E76,武器奇术!$A:$R,17,FALSE)="破竹",VLOOKUP($E76,武器奇术!$A:$R,4,FALSE),VLOOKUP($E76,武器奇术!$A:$R,2,FALSE))*(1+DF76)*(1+DG76)*DH76*(1+$E$16+VLOOKUP($E76,武器奇术!$A:$R,8,FALSE))</f>
        <v>784.732875050124</v>
      </c>
      <c r="DL76" s="110">
        <f t="shared" si="28"/>
        <v>0.8813852</v>
      </c>
      <c r="DM76" s="112">
        <f>DE76*IF(VLOOKUP($E76,武器奇术!$A:$R,17,FALSE)="破竹",VLOOKUP($E76,武器奇术!$A:$R,4,FALSE),VLOOKUP($E76,武器奇术!$A:$R,2,FALSE))*(1+DF76)*(1+DG76)*DH76*(1+$E$17+VLOOKUP($E76,武器奇术!$A:$R,10,FALSE))</f>
        <v>546.07700067921</v>
      </c>
      <c r="DN76" s="110">
        <f t="shared" si="29"/>
        <v>0.0986</v>
      </c>
      <c r="DO76" s="112">
        <f>DD76*IF(VLOOKUP($E76,武器奇术!$A:$R,17,FALSE)="破竹",VLOOKUP($E76,武器奇术!$A:$R,4,FALSE),VLOOKUP($E76,武器奇术!$A:$R,2,FALSE))*(1+DF76)*(1+DG76)*DH76</f>
        <v>404.5014819846</v>
      </c>
      <c r="DP76" s="110">
        <f t="shared" si="30"/>
        <v>0.00928814000000003</v>
      </c>
      <c r="DQ76" s="113">
        <f t="shared" si="31"/>
        <v>753.591150551224</v>
      </c>
    </row>
    <row r="77" customFormat="1" spans="1:121">
      <c r="A77" s="36"/>
      <c r="B77" t="s">
        <v>158</v>
      </c>
      <c r="C77" s="147">
        <v>0.2</v>
      </c>
      <c r="D77"/>
      <c r="E77" s="98" t="s">
        <v>134</v>
      </c>
      <c r="F77" s="99">
        <v>1</v>
      </c>
      <c r="G77" s="115"/>
      <c r="H77" s="149">
        <f>IF(VLOOKUP($E77,武器奇术!$A:$R,18,FALSE)="天工",AE77,(AE77+AT77+BI77+BX77+CM77+DB77+DQ77))*(1+J77)*F77*K77*(1+G77)*(1+$G$21*5%)</f>
        <v>28646.9930354516</v>
      </c>
      <c r="I77" s="101">
        <f t="shared" si="0"/>
        <v>0.00353684123284824</v>
      </c>
      <c r="J77" s="101">
        <f>$F$3+VLOOKUP($E77,武器奇术!$A:$R,12,FALSE)+VLOOKUP($E77,武器奇术!$A:$R,14,FALSE)*$G$3+$P77</f>
        <v>0.473</v>
      </c>
      <c r="K77" s="102">
        <f>VLOOKUP($E77,武器奇术!$A:$R,11,FALSE)</f>
        <v>1</v>
      </c>
      <c r="L77" s="117">
        <f>IF(VLOOKUP($E77,武器奇术!$A:$R,15,FALSE)="天工",0%,IF($C$17+VLOOKUP($E77,武器奇术!$A:$R,7,FALSE)&gt;80%,80%,$C$17+VLOOKUP($E77,武器奇术!$A:$R,7,FALSE))+IF($C$19&gt;20%,20%,$C$19))</f>
        <v>0.892</v>
      </c>
      <c r="M77" s="118">
        <f>IF(VLOOKUP($E77,武器奇术!$A:$R,15,FALSE)="天工",0%,IF($C$18+VLOOKUP($E77,武器奇术!$A:$R,9,FALSE)&gt;40%,40%,$C$18+VLOOKUP($E77,武器奇术!$A:$R,9,FALSE))+IF($C$20&gt;10%,10%,$C$20))</f>
        <v>0.0986</v>
      </c>
      <c r="N77" s="119">
        <f>IF(VLOOKUP($E77,武器奇术!$A:$R,15,FALSE)="天工",100%,MIN($C$16,1))</f>
        <v>0.9881</v>
      </c>
      <c r="O77" s="120" t="str">
        <f>VLOOKUP($E77,武器奇术!$A:$R,16,FALSE)</f>
        <v>拳甲</v>
      </c>
      <c r="P77" s="121">
        <f t="shared" si="38"/>
        <v>0.17</v>
      </c>
      <c r="Q77" s="108">
        <f>$B$5*(1+VLOOKUP($E77,武器奇术!$A:$R,5,FALSE)+IF($G$5="飞隼",0.1,0)+IF($G$5="撼天",0.05,0))-$F$9+IF($I$5="√",160,0)</f>
        <v>1731.135</v>
      </c>
      <c r="R77" s="99">
        <f>IF(VLOOKUP($E77,武器奇术!$A:$Z,20,FALSE)=1,(S77-(Q77+S77)*0.5)*($G$15-0.5)*2+(Q77+S77)*0.5,(Q77+S77)*0.5)</f>
        <v>3256.775</v>
      </c>
      <c r="S77" s="109">
        <f>MAX($C$5,$B$5)*(1+VLOOKUP($E77,武器奇术!$A:$R,5,FALSE)+IF($G$5="飞隼",0.1,0)+IF($G$5="撼天",0.05,0))-$F$9+IF($I$5="√",320,0)</f>
        <v>4782.415</v>
      </c>
      <c r="T77" s="101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U77" s="111">
        <f>$E$5+IF(VLOOKUP($E77,武器奇术!$A:$U,21,FALSE)=1,0,0.09)</f>
        <v>0.115</v>
      </c>
      <c r="V77" s="109">
        <v>1</v>
      </c>
      <c r="W77" s="112">
        <f>Q77*VLOOKUP($E77,武器奇术!$A:$R,2,FALSE)*(1+T77)*(1+U77)*V77</f>
        <v>3086.79912340758</v>
      </c>
      <c r="X77" s="110">
        <f>(1-IF(VLOOKUP($E77,武器奇术!$A:$T,20,FALSE)=1,1,$N77))*(1-$M77)</f>
        <v>0.01072666</v>
      </c>
      <c r="Y77" s="112">
        <f>R77*VLOOKUP($E77,武器奇术!$A:$R,2,FALSE)*(1+T77)*(1+U77)*V77*(1+$E$16+VLOOKUP($E77,武器奇术!$A:$R,8,FALSE))</f>
        <v>9523.77298871699</v>
      </c>
      <c r="Z77" s="110">
        <f t="shared" si="39"/>
        <v>0.8813852</v>
      </c>
      <c r="AA77" s="112">
        <f>S77*VLOOKUP($E77,武器奇术!$A:$R,2,FALSE)*(1+T77)*(1+U77)*V77*(1+$E$17+VLOOKUP($E77,武器奇术!$A:$R,10,FALSE))</f>
        <v>11512.2035428729</v>
      </c>
      <c r="AB77" s="110">
        <f t="shared" si="40"/>
        <v>0.0986</v>
      </c>
      <c r="AC77" s="112">
        <f>R77*VLOOKUP($E77,武器奇术!$A:$R,2,FALSE)*(1+T77)*(1+U77)*V77</f>
        <v>5807.1786516567</v>
      </c>
      <c r="AD77" s="110">
        <f t="shared" si="1"/>
        <v>0.00928814000000003</v>
      </c>
      <c r="AE77" s="113">
        <f t="shared" si="2"/>
        <v>9616.26476274887</v>
      </c>
      <c r="AF77" s="114">
        <f>VLOOKUP($E77,武器奇术!$A:$R,3,FALSE)*(1+IF(VLOOKUP($E77,武器奇术!$A:$R,15,FALSE)="武器",$E$15,0))</f>
        <v>465.4</v>
      </c>
      <c r="AG77" s="112">
        <f t="shared" si="3"/>
        <v>465.4</v>
      </c>
      <c r="AH77" s="112">
        <f>VLOOKUP($E77,武器奇术!$A:$R,3,FALSE)*(1+IF(VLOOKUP($E77,武器奇术!$A:$R,15,FALSE)="武器",$E$15,0))</f>
        <v>465.4</v>
      </c>
      <c r="AI77" s="101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AJ77" s="111">
        <f>$E$5+IF(VLOOKUP($E77,武器奇术!$A:$U,21,FALSE)=1,0,0.09)</f>
        <v>0.115</v>
      </c>
      <c r="AK77" s="109">
        <v>1</v>
      </c>
      <c r="AL77" s="112">
        <f t="shared" si="41"/>
        <v>644.499882</v>
      </c>
      <c r="AM77" s="110">
        <f>(1-IF(VLOOKUP($E77,武器奇术!$A:$T,20,FALSE)=1,1,$N77))*(1-$M77)</f>
        <v>0.01072666</v>
      </c>
      <c r="AN77" s="112">
        <f>AG77*(1+AI77)*(1+AJ77)*AK77*(1+$E$16+VLOOKUP($E77,武器奇术!$A:$R,8,FALSE))</f>
        <v>1056.97980648</v>
      </c>
      <c r="AO77" s="110">
        <f t="shared" si="4"/>
        <v>0.8813852</v>
      </c>
      <c r="AP77" s="112">
        <f>AH77*(1+AI77)*(1+AJ77)*AK77*(1+$E$17+VLOOKUP($E77,武器奇术!$A:$R,10,FALSE))</f>
        <v>870.0748407</v>
      </c>
      <c r="AQ77" s="110">
        <f t="shared" si="5"/>
        <v>0.0986</v>
      </c>
      <c r="AR77" s="112">
        <f t="shared" si="6"/>
        <v>644.499882</v>
      </c>
      <c r="AS77" s="110">
        <f t="shared" si="7"/>
        <v>0.00928814000000003</v>
      </c>
      <c r="AT77" s="113">
        <f t="shared" si="8"/>
        <v>1030.29527366161</v>
      </c>
      <c r="AU77" s="108">
        <f>$B$7*IF($G$5="撼天",1.05,1)+IF(AND(VLOOKUP($E77,武器奇术!$A:$R,15,FALSE)="武器",VLOOKUP($E77,武器奇术!$A:$R,17,FALSE)="鸣金"),$E$3,0)*(1+$E$15)</f>
        <v>0</v>
      </c>
      <c r="AV77" s="99">
        <f>(AU77+AW77)*IF(VLOOKUP($E77,武器奇术!$A:$Z,21,FALSE)=1,$G$15,0.5)</f>
        <v>0</v>
      </c>
      <c r="AW77" s="109">
        <f>MAX($C$7*IF($G$5="撼天",1.05,1)+IF(AND(VLOOKUP($E77,武器奇术!$A:$R,15,FALSE)="武器",VLOOKUP($E77,武器奇术!$A:$R,17,FALSE)="鸣金"),$E$3*(1+$E$15),0),AU77)</f>
        <v>0</v>
      </c>
      <c r="AX77" s="110">
        <f>IF(($D$7+IF(VLOOKUP($E77,武器奇术!$A:$R,17,FALSE)="鸣金",$D$15,0)+IF(VLOOKUP($E77,武器奇术!$A:$R,18,FALSE)=1,4,0)+IF(VLOOKUP($E77,武器奇术!$A:$S,19,FALSE)=1,20,0)-VLOOKUP($F$7,目标属性!$A:$R,6,FALSE))&gt;0,($D$7+IF(VLOOKUP($E77,武器奇术!$A:$R,17,FALSE)="鸣金",$D$15,0)+IF(VLOOKUP($E77,武器奇术!$A:$R,18,FALSE)=1,4,0)+IF(VLOOKUP($E77,武器奇术!$A:$S,19,FALSE)=1,20,0)-VLOOKUP($F$7,目标属性!$A:$R,6,FALSE))/200,($D$7+IF(VLOOKUP($E77,武器奇术!$A:$R,17,FALSE)="鸣金",$D$15,0)+IF(VLOOKUP($E77,武器奇术!$A:$R,18,FALSE)=1,4,0)+IF(VLOOKUP($E77,武器奇术!$A:$S,19,FALSE)=1,20,0)-VLOOKUP($F$7,目标属性!$A:$R,6,FALSE))/100)</f>
        <v>-0.24</v>
      </c>
      <c r="AY77" s="111">
        <f t="shared" si="9"/>
        <v>0</v>
      </c>
      <c r="AZ77" s="109">
        <v>1</v>
      </c>
      <c r="BA77" s="112">
        <f>AU77*IF(VLOOKUP($E77,武器奇术!$A:$R,17,FALSE)="鸣金",VLOOKUP($E77,武器奇术!$A:$R,4,FALSE),VLOOKUP($E77,武器奇术!$A:$R,2,FALSE))*(1+AX77)*(1+AY77)*AZ77</f>
        <v>0</v>
      </c>
      <c r="BB77" s="110">
        <f>(1-IF(VLOOKUP($E77,武器奇术!$A:$T,20,FALSE)=1,1,$N77))*(1-$M77)</f>
        <v>0.01072666</v>
      </c>
      <c r="BC77" s="112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10">
        <f t="shared" si="10"/>
        <v>0.8813852</v>
      </c>
      <c r="BE77" s="112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10">
        <f t="shared" si="11"/>
        <v>0.0986</v>
      </c>
      <c r="BG77" s="112">
        <f>AV77*IF(VLOOKUP($E77,武器奇术!$A:$R,17,FALSE)="鸣金",VLOOKUP($E77,武器奇术!$A:$R,4,FALSE),VLOOKUP($E77,武器奇术!$A:$R,2,FALSE))*(1+AX77)*(1+AY77)*AZ77</f>
        <v>0</v>
      </c>
      <c r="BH77" s="110">
        <f t="shared" si="12"/>
        <v>0.00928814000000003</v>
      </c>
      <c r="BI77" s="113">
        <f t="shared" si="13"/>
        <v>0</v>
      </c>
      <c r="BJ77" s="108">
        <f>$B$9*IF($G$5="撼天",1.05,1)+IF(AND(VLOOKUP($E77,武器奇术!$A:$R,15,FALSE)="武器",VLOOKUP($E77,武器奇术!$A:$R,17,FALSE)="裂石"),$E$3,0)*(1+$E$15)</f>
        <v>0</v>
      </c>
      <c r="BK77" s="99">
        <f>(BJ77+BL77)*IF(VLOOKUP($E77,武器奇术!$A:$Z,21,FALSE)=1,$G$15,0.5)</f>
        <v>0</v>
      </c>
      <c r="BL77" s="109">
        <f>MAX($C$9*IF($G$5="撼天",1.05,1)+IF(AND(VLOOKUP($E77,武器奇术!$A:$R,15,FALSE)="武器",VLOOKUP($E77,武器奇术!$A:$R,17,FALSE)="裂石"),$E$3*(1+$E$15),0),BJ77)</f>
        <v>0</v>
      </c>
      <c r="BM77" s="110">
        <f>IF(($D$9+IF(VLOOKUP($E77,武器奇术!$A:$R,17,FALSE)="裂石",$D$15,0)+IF(VLOOKUP($E77,武器奇术!$A:$R,18,FALSE)=1,4,0)+IF(VLOOKUP($E77,武器奇术!$A:$S,19,FALSE)=1,20,0)-VLOOKUP($F$7,目标属性!$A:$R,6,FALSE))&gt;0,($D$9+IF(VLOOKUP($E77,武器奇术!$A:$R,17,FALSE)="裂石",$D$15,0)+IF(VLOOKUP($E77,武器奇术!$A:$R,18,FALSE)=1,4,0)+IF(VLOOKUP($E77,武器奇术!$A:$S,19,FALSE)=1,20,0)-VLOOKUP($F$7,目标属性!$A:$R,6,FALSE))/200,($D$9+IF(VLOOKUP($E77,武器奇术!$A:$R,17,FALSE)="裂石",$D$15,0)+IF(VLOOKUP($E77,武器奇术!$A:$R,18,FALSE)=1,4,0)+IF(VLOOKUP($E77,武器奇术!$A:$S,19,FALSE)=1,20,0)-VLOOKUP($F$7,目标属性!$A:$R,6,FALSE))/100)</f>
        <v>-0.24</v>
      </c>
      <c r="BN77" s="111">
        <f t="shared" si="14"/>
        <v>0</v>
      </c>
      <c r="BO77" s="109">
        <v>1</v>
      </c>
      <c r="BP77" s="112">
        <f>BJ77*IF(VLOOKUP($E77,武器奇术!$A:$R,17,FALSE)="裂石",VLOOKUP($E77,武器奇术!$A:$R,4,FALSE),VLOOKUP($E77,武器奇术!$A:$R,2,FALSE))*(1+BM77)*(1+BN77)*BO77</f>
        <v>0</v>
      </c>
      <c r="BQ77" s="110">
        <f>(1-IF(VLOOKUP($E77,武器奇术!$A:$T,20,FALSE)=1,1,$N77))*(1-$M77)</f>
        <v>0.01072666</v>
      </c>
      <c r="BR77" s="112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10">
        <f t="shared" si="15"/>
        <v>0.8813852</v>
      </c>
      <c r="BT77" s="112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10">
        <f t="shared" si="16"/>
        <v>0.0986</v>
      </c>
      <c r="BV77" s="112">
        <f>BK77*IF(VLOOKUP($E77,武器奇术!$A:$R,17,FALSE)="裂石",VLOOKUP($E77,武器奇术!$A:$R,4,FALSE),VLOOKUP($E77,武器奇术!$A:$R,2,FALSE))*(1+BM77)*(1+BN77)*BO77</f>
        <v>0</v>
      </c>
      <c r="BW77" s="110">
        <f t="shared" si="17"/>
        <v>0.00928814000000003</v>
      </c>
      <c r="BX77" s="113">
        <f t="shared" si="18"/>
        <v>0</v>
      </c>
      <c r="BY77" s="108">
        <f>$B$11*IF($G$5="撼天",1.05,1)+IF(AND(VLOOKUP($E77,武器奇术!$A:$R,15,FALSE)="武器",VLOOKUP($E77,武器奇术!$A:$R,17,FALSE)="牵丝"),$E$3,0)*(1+$E$15)</f>
        <v>0</v>
      </c>
      <c r="BZ77" s="99">
        <f>(BY77+CA77)*IF(VLOOKUP($E77,武器奇术!$A:$Z,21,FALSE)=1,$G$15,0.5)</f>
        <v>0</v>
      </c>
      <c r="CA77" s="109">
        <f>MAX($C$11*IF($G$5="撼天",1.05,1)+IF(AND(VLOOKUP($E77,武器奇术!$A:$R,15,FALSE)="武器",VLOOKUP($E77,武器奇术!$A:$R,17,FALSE)="牵丝"),$E$3*(1+$E$15),0),BY77)</f>
        <v>0</v>
      </c>
      <c r="CB77" s="110">
        <f>IF(($D$11+IF(VLOOKUP($E77,武器奇术!$A:$R,17,FALSE)="牵丝",$D$15,0)+IF(VLOOKUP($E77,武器奇术!$A:$R,18,FALSE)=1,4,0)+IF(VLOOKUP($E77,武器奇术!$A:$S,19,FALSE)=1,20,0)-VLOOKUP($F$7,目标属性!$A:$R,6,FALSE))&gt;0,($D$11+IF(VLOOKUP($E77,武器奇术!$A:$R,17,FALSE)="牵丝",$D$15,0)+IF(VLOOKUP($E77,武器奇术!$A:$R,18,FALSE)=1,4,0)+IF(VLOOKUP($E77,武器奇术!$A:$S,19,FALSE)=1,20,0)-VLOOKUP($F$7,目标属性!$A:$R,6,FALSE))/200,($D$11+IF(VLOOKUP($E77,武器奇术!$A:$R,17,FALSE)="牵丝",$D$15,0)+IF(VLOOKUP($E77,武器奇术!$A:$R,18,FALSE)=1,4,0)+IF(VLOOKUP($E77,武器奇术!$A:$S,19,FALSE)=1,20,0)-VLOOKUP($F$7,目标属性!$A:$R,6,FALSE))/100)</f>
        <v>-0.24</v>
      </c>
      <c r="CC77" s="111">
        <f t="shared" si="19"/>
        <v>0</v>
      </c>
      <c r="CD77" s="109">
        <v>1</v>
      </c>
      <c r="CE77" s="112">
        <f>BY77*IF(VLOOKUP($E77,武器奇术!$A:$R,17,FALSE)="牵丝",VLOOKUP($E77,武器奇术!$A:$R,4,FALSE),VLOOKUP($E77,武器奇术!$A:$R,2,FALSE))*(1+CB77)*(1+CC77)*CD77</f>
        <v>0</v>
      </c>
      <c r="CF77" s="110">
        <f>(1-IF(VLOOKUP($E77,武器奇术!$A:$T,20,FALSE)=1,1,$N77))*(1-$M77)</f>
        <v>0.01072666</v>
      </c>
      <c r="CG77" s="112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110">
        <f t="shared" si="20"/>
        <v>0.8813852</v>
      </c>
      <c r="CI77" s="112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110">
        <f t="shared" si="21"/>
        <v>0.0986</v>
      </c>
      <c r="CK77" s="112">
        <f>BZ77*IF(VLOOKUP($E77,武器奇术!$A:$R,17,FALSE)="牵丝",VLOOKUP($E77,武器奇术!$A:$R,4,FALSE),VLOOKUP($E77,武器奇术!$A:$R,2,FALSE))*(1+CB77)*(1+CC77)*CD77</f>
        <v>0</v>
      </c>
      <c r="CL77" s="110">
        <f t="shared" si="22"/>
        <v>0.00928814000000003</v>
      </c>
      <c r="CM77" s="113">
        <f t="shared" si="23"/>
        <v>0</v>
      </c>
      <c r="CN77" s="108">
        <f>$B$13*IF($G$5="撼天",1.05,1)+IF(AND(VLOOKUP($E77,武器奇术!$A:$R,15,FALSE)="武器",VLOOKUP($E77,武器奇术!$A:$R,17,FALSE)="破竹"),$E$3,0)*(1+$E$15)</f>
        <v>648.46</v>
      </c>
      <c r="CO77" s="99">
        <f>IF(VLOOKUP($E77,武器奇术!$A:$Z,20,FALSE)=1,(CP77-(CN77+CP77)*0.5)*($G$15-0.5)*2+(CN77+CP77)*0.5,(CN77+CP77)*0.5)</f>
        <v>875.26</v>
      </c>
      <c r="CP77" s="109">
        <f>MAX($C$13*IF($G$5="撼天",1.05,1)+IF(AND(VLOOKUP($E77,武器奇术!$A:$R,15,FALSE)="武器",VLOOKUP($E77,武器奇术!$A:$R,17,FALSE)="破竹"),$E$3*(1+$E$15),0),CN77)</f>
        <v>1102.06</v>
      </c>
      <c r="CQ77" s="110">
        <f>IF(($D$13+IF(VLOOKUP($E77,武器奇术!$A:$R,17,FALSE)="破竹",$D$15,0)+IF(VLOOKUP($E77,武器奇术!$A:$R,18,FALSE)=1,4,0)+IF(VLOOKUP($E77,武器奇术!$A:$S,19,FALSE)=1,20,0)-VLOOKUP($F$7,目标属性!$A:$R,6,FALSE))&gt;0,($D$13+IF(VLOOKUP($E77,武器奇术!$A:$R,17,FALSE)="破竹",$D$15,0)+IF(VLOOKUP($E77,武器奇术!$A:$R,18,FALSE)=1,4,0)+IF(VLOOKUP($E77,武器奇术!$A:$S,19,FALSE)=1,20,0)-VLOOKUP($F$7,目标属性!$A:$R,6,FALSE))/200,($D$13+IF(VLOOKUP($E77,武器奇术!$A:$R,17,FALSE)="破竹",$D$15,0)+IF(VLOOKUP($E77,武器奇术!$A:$R,18,FALSE)=1,4,0)+IF(VLOOKUP($E77,武器奇术!$A:$S,19,FALSE)=1,20,0)-VLOOKUP($F$7,目标属性!$A:$R,6,FALSE))/100)</f>
        <v>0.025</v>
      </c>
      <c r="CR77" s="111">
        <f>$E$13+IF(VLOOKUP($E77,武器奇术!$A:$U,21,FALSE)=1,0,0.09)</f>
        <v>0.235</v>
      </c>
      <c r="CS77" s="109">
        <v>1</v>
      </c>
      <c r="CT77" s="112">
        <f>CN77*IF(VLOOKUP($E77,武器奇术!$A:$R,17,FALSE)="破竹",VLOOKUP($E77,武器奇术!$A:$R,4,FALSE),VLOOKUP($E77,武器奇术!$A:$R,2,FALSE))*(1+CQ77)*(1+CR77)*CS77</f>
        <v>1585.34488391825</v>
      </c>
      <c r="CU77" s="110">
        <f>(1-IF(VLOOKUP($E77,武器奇术!$A:$T,20,FALSE)=1,1,$N77))*(1-$M77)</f>
        <v>0.01072666</v>
      </c>
      <c r="CV77" s="112">
        <f>CO77*IF(VLOOKUP($E77,武器奇术!$A:$R,17,FALSE)="破竹",VLOOKUP($E77,武器奇术!$A:$R,4,FALSE),VLOOKUP($E77,武器奇术!$A:$R,2,FALSE))*(1+CQ77)*(1+CR77)*CS77*(1+$E$16+VLOOKUP($E77,武器奇术!$A:$R,8,FALSE))</f>
        <v>3509.30805212533</v>
      </c>
      <c r="CW77" s="110">
        <f t="shared" si="24"/>
        <v>0.8813852</v>
      </c>
      <c r="CX77" s="112">
        <f>CP77*IF(VLOOKUP($E77,武器奇术!$A:$R,17,FALSE)="破竹",VLOOKUP($E77,武器奇术!$A:$R,4,FALSE),VLOOKUP($E77,武器奇术!$A:$R,2,FALSE))*(1+CQ77)*(1+CR77)*CS77*(1+$E$17+VLOOKUP($E77,武器奇术!$A:$R,10,FALSE))</f>
        <v>3637.30376081914</v>
      </c>
      <c r="CY77" s="110">
        <f t="shared" si="25"/>
        <v>0.0986</v>
      </c>
      <c r="CZ77" s="112">
        <f>CO77*IF(VLOOKUP($E77,武器奇术!$A:$R,17,FALSE)="破竹",VLOOKUP($E77,武器奇术!$A:$R,4,FALSE),VLOOKUP($E77,武器奇术!$A:$R,2,FALSE))*(1+CQ77)*(1+CR77)*CS77</f>
        <v>2139.82198300325</v>
      </c>
      <c r="DA77" s="110">
        <f t="shared" si="26"/>
        <v>0.00928814000000003</v>
      </c>
      <c r="DB77" s="113">
        <f t="shared" si="27"/>
        <v>3488.5707519066</v>
      </c>
      <c r="DC77" s="108">
        <f t="shared" si="36"/>
        <v>69.3</v>
      </c>
      <c r="DD77" s="99">
        <f>(DC77+DE77)*IF(VLOOKUP($E77,武器奇术!$A:$Z,21,FALSE)=1,$G$15,0.5)</f>
        <v>69.3</v>
      </c>
      <c r="DE77" s="109">
        <f t="shared" si="37"/>
        <v>69.3</v>
      </c>
      <c r="DF77" s="110">
        <f>IF(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100)</f>
        <v>0.025</v>
      </c>
      <c r="DG77" s="111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U,21,FALSE)=1,0,0.09)</f>
        <v>0.235</v>
      </c>
      <c r="DH77" s="109">
        <v>1</v>
      </c>
      <c r="DI77" s="112">
        <f>DC77*IF(VLOOKUP($E77,武器奇术!$A:$R,17,FALSE)="破竹",VLOOKUP($E77,武器奇术!$A:$R,4,FALSE),VLOOKUP($E77,武器奇术!$A:$R,2,FALSE))*(1+DF77)*(1+DG77)*DH77</f>
        <v>169.42355805375</v>
      </c>
      <c r="DJ77" s="110">
        <f>(1-IF(VLOOKUP($E77,武器奇术!$A:$T,20,FALSE)=1,1,$N77))*(1-$M77)</f>
        <v>0.01072666</v>
      </c>
      <c r="DK77" s="112">
        <f>DD77*IF(VLOOKUP($E77,武器奇术!$A:$R,17,FALSE)="破竹",VLOOKUP($E77,武器奇术!$A:$R,4,FALSE),VLOOKUP($E77,武器奇术!$A:$R,2,FALSE))*(1+DF77)*(1+DG77)*DH77*(1+$E$16+VLOOKUP($E77,武器奇术!$A:$R,8,FALSE))</f>
        <v>277.85463520815</v>
      </c>
      <c r="DL77" s="110">
        <f t="shared" si="28"/>
        <v>0.8813852</v>
      </c>
      <c r="DM77" s="112">
        <f>DE77*IF(VLOOKUP($E77,武器奇术!$A:$R,17,FALSE)="破竹",VLOOKUP($E77,武器奇术!$A:$R,4,FALSE),VLOOKUP($E77,武器奇术!$A:$R,2,FALSE))*(1+DF77)*(1+DG77)*DH77*(1+$E$17+VLOOKUP($E77,武器奇术!$A:$R,10,FALSE))</f>
        <v>228.721803372562</v>
      </c>
      <c r="DN77" s="110">
        <f t="shared" si="29"/>
        <v>0.0986</v>
      </c>
      <c r="DO77" s="112">
        <f>DD77*IF(VLOOKUP($E77,武器奇术!$A:$R,17,FALSE)="破竹",VLOOKUP($E77,武器奇术!$A:$R,4,FALSE),VLOOKUP($E77,武器奇术!$A:$R,2,FALSE))*(1+DF77)*(1+DG77)*DH77</f>
        <v>169.42355805375</v>
      </c>
      <c r="DP77" s="110">
        <f t="shared" si="30"/>
        <v>0.00928814000000003</v>
      </c>
      <c r="DQ77" s="113">
        <f t="shared" si="31"/>
        <v>270.839911666131</v>
      </c>
    </row>
    <row r="78" customFormat="1" spans="1:121">
      <c r="A78" s="36"/>
      <c r="B78" t="s">
        <v>154</v>
      </c>
      <c r="C78">
        <v>0.9</v>
      </c>
      <c r="D78"/>
      <c r="E78" s="98" t="s">
        <v>135</v>
      </c>
      <c r="F78" s="99">
        <v>1</v>
      </c>
      <c r="G78" s="150"/>
      <c r="H78" s="149">
        <f>IF(VLOOKUP($E78,武器奇术!$A:$R,18,FALSE)="天工",AE78,(AE78+AT78+BI78+BX78+CM78+DB78+DQ78))*(1+J78)*F78*K78*(1+G78)*(1+$G$21*5%)</f>
        <v>63982.2655175516</v>
      </c>
      <c r="I78" s="101">
        <f t="shared" si="0"/>
        <v>0.00789943693474119</v>
      </c>
      <c r="J78" s="101">
        <f>$F$3+VLOOKUP($E78,武器奇术!$A:$R,12,FALSE)+VLOOKUP($E78,武器奇术!$A:$R,14,FALSE)*$G$3+$P78</f>
        <v>0.773</v>
      </c>
      <c r="K78" s="102">
        <f>VLOOKUP($E78,武器奇术!$A:$R,11,FALSE)</f>
        <v>1</v>
      </c>
      <c r="L78" s="117">
        <f>IF(VLOOKUP($E78,武器奇术!$A:$R,15,FALSE)="天工",0%,IF($C$17+VLOOKUP($E78,武器奇术!$A:$R,7,FALSE)&gt;80%,80%,$C$17+VLOOKUP($E78,武器奇术!$A:$R,7,FALSE))+IF($C$19&gt;20%,20%,$C$19))</f>
        <v>0.892</v>
      </c>
      <c r="M78" s="118">
        <f>IF(VLOOKUP($E78,武器奇术!$A:$R,15,FALSE)="天工",0%,IF($C$18+VLOOKUP($E78,武器奇术!$A:$R,9,FALSE)&gt;40%,40%,$C$18+VLOOKUP($E78,武器奇术!$A:$R,9,FALSE))+IF($C$20&gt;10%,10%,$C$20))</f>
        <v>0.0986</v>
      </c>
      <c r="N78" s="119">
        <f>IF(VLOOKUP($E78,武器奇术!$A:$R,15,FALSE)="天工",100%,MIN($C$16,1))</f>
        <v>0.9881</v>
      </c>
      <c r="O78" s="120" t="str">
        <f>VLOOKUP($E78,武器奇术!$A:$R,16,FALSE)</f>
        <v>拳甲</v>
      </c>
      <c r="P78" s="121">
        <f t="shared" si="38"/>
        <v>0.17</v>
      </c>
      <c r="Q78" s="108">
        <f>$B$5*(1+VLOOKUP($E78,武器奇术!$A:$R,5,FALSE)+IF($G$5="飞隼",0.1,0)+IF($G$5="撼天",0.05,0))-$F$9+IF($I$5="√",160,0)</f>
        <v>1731.135</v>
      </c>
      <c r="R78" s="99">
        <f>IF(VLOOKUP($E78,武器奇术!$A:$Z,20,FALSE)=1,(S78-(Q78+S78)*0.5)*($G$15-0.5)*2+(Q78+S78)*0.5,(Q78+S78)*0.5)</f>
        <v>3256.775</v>
      </c>
      <c r="S78" s="109">
        <f>MAX($C$5,$B$5)*(1+VLOOKUP($E78,武器奇术!$A:$R,5,FALSE)+IF($G$5="飞隼",0.1,0)+IF($G$5="撼天",0.05,0))-$F$9+IF($I$5="√",320,0)</f>
        <v>4782.415</v>
      </c>
      <c r="T78" s="101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U78" s="111">
        <f>$E$5+IF(VLOOKUP($E78,武器奇术!$A:$U,21,FALSE)=1,0,0.09)</f>
        <v>0.115</v>
      </c>
      <c r="V78" s="109">
        <v>1</v>
      </c>
      <c r="W78" s="112">
        <f>Q78*VLOOKUP($E78,武器奇术!$A:$R,2,FALSE)*(1+T78)*(1+U78)*V78</f>
        <v>5595.154346628</v>
      </c>
      <c r="X78" s="110">
        <f>(1-IF(VLOOKUP($E78,武器奇术!$A:$T,20,FALSE)=1,1,$N78))*(1-$M78)</f>
        <v>0.01072666</v>
      </c>
      <c r="Y78" s="112">
        <f>R78*VLOOKUP($E78,武器奇术!$A:$R,2,FALSE)*(1+T78)*(1+U78)*V78*(1+$E$16+VLOOKUP($E78,武器奇术!$A:$R,8,FALSE))</f>
        <v>20420.6997528468</v>
      </c>
      <c r="Z78" s="110">
        <f t="shared" si="39"/>
        <v>0.8813852</v>
      </c>
      <c r="AA78" s="112">
        <f>S78*VLOOKUP($E78,武器奇术!$A:$R,2,FALSE)*(1+T78)*(1+U78)*V78*(1+$E$17+VLOOKUP($E78,武器奇术!$A:$R,10,FALSE))</f>
        <v>20867.1031437462</v>
      </c>
      <c r="AB78" s="110">
        <f t="shared" si="40"/>
        <v>0.0986</v>
      </c>
      <c r="AC78" s="112">
        <f>R78*VLOOKUP($E78,武器奇术!$A:$R,2,FALSE)*(1+T78)*(1+U78)*V78</f>
        <v>10526.13389322</v>
      </c>
      <c r="AD78" s="110">
        <f t="shared" si="1"/>
        <v>0.00928814000000003</v>
      </c>
      <c r="AE78" s="113">
        <f t="shared" si="2"/>
        <v>20213.784429359</v>
      </c>
      <c r="AF78" s="114">
        <f>VLOOKUP($E78,武器奇术!$A:$R,3,FALSE)*(1+IF(VLOOKUP($E78,武器奇术!$A:$R,15,FALSE)="武器",$E$15,0))</f>
        <v>0</v>
      </c>
      <c r="AG78" s="112">
        <f t="shared" si="3"/>
        <v>0</v>
      </c>
      <c r="AH78" s="112">
        <f>VLOOKUP($E78,武器奇术!$A:$R,3,FALSE)*(1+IF(VLOOKUP($E78,武器奇术!$A:$R,15,FALSE)="武器",$E$15,0))</f>
        <v>0</v>
      </c>
      <c r="AI78" s="101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AJ78" s="111">
        <f>$E$5+IF(VLOOKUP($E78,武器奇术!$A:$U,21,FALSE)=1,0,0.09)</f>
        <v>0.115</v>
      </c>
      <c r="AK78" s="109">
        <v>1</v>
      </c>
      <c r="AL78" s="112">
        <f t="shared" si="41"/>
        <v>0</v>
      </c>
      <c r="AM78" s="110">
        <f>(1-IF(VLOOKUP($E78,武器奇术!$A:$T,20,FALSE)=1,1,$N78))*(1-$M78)</f>
        <v>0.01072666</v>
      </c>
      <c r="AN78" s="112">
        <f>AG78*(1+AI78)*(1+AJ78)*AK78*(1+$E$16+VLOOKUP($E78,武器奇术!$A:$R,8,FALSE))</f>
        <v>0</v>
      </c>
      <c r="AO78" s="110">
        <f t="shared" si="4"/>
        <v>0.8813852</v>
      </c>
      <c r="AP78" s="112">
        <f>AH78*(1+AI78)*(1+AJ78)*AK78*(1+$E$17+VLOOKUP($E78,武器奇术!$A:$R,10,FALSE))</f>
        <v>0</v>
      </c>
      <c r="AQ78" s="110">
        <f t="shared" si="5"/>
        <v>0.0986</v>
      </c>
      <c r="AR78" s="112">
        <f t="shared" si="6"/>
        <v>0</v>
      </c>
      <c r="AS78" s="110">
        <f t="shared" si="7"/>
        <v>0.00928814000000003</v>
      </c>
      <c r="AT78" s="113">
        <f t="shared" si="8"/>
        <v>0</v>
      </c>
      <c r="AU78" s="108">
        <f>$B$7*IF($G$5="撼天",1.05,1)+IF(AND(VLOOKUP($E78,武器奇术!$A:$R,15,FALSE)="武器",VLOOKUP($E78,武器奇术!$A:$R,17,FALSE)="鸣金"),$E$3,0)*(1+$E$15)</f>
        <v>0</v>
      </c>
      <c r="AV78" s="99">
        <f>(AU78+AW78)*IF(VLOOKUP($E78,武器奇术!$A:$Z,21,FALSE)=1,$G$15,0.5)</f>
        <v>0</v>
      </c>
      <c r="AW78" s="109">
        <f>MAX($C$7*IF($G$5="撼天",1.05,1)+IF(AND(VLOOKUP($E78,武器奇术!$A:$R,15,FALSE)="武器",VLOOKUP($E78,武器奇术!$A:$R,17,FALSE)="鸣金"),$E$3*(1+$E$15),0),AU78)</f>
        <v>0</v>
      </c>
      <c r="AX78" s="110">
        <f>IF(($D$7+IF(VLOOKUP($E78,武器奇术!$A:$R,17,FALSE)="鸣金",$D$15,0)+IF(VLOOKUP($E78,武器奇术!$A:$R,18,FALSE)=1,4,0)+IF(VLOOKUP($E78,武器奇术!$A:$S,19,FALSE)=1,20,0)-VLOOKUP($F$7,目标属性!$A:$R,6,FALSE))&gt;0,($D$7+IF(VLOOKUP($E78,武器奇术!$A:$R,17,FALSE)="鸣金",$D$15,0)+IF(VLOOKUP($E78,武器奇术!$A:$R,18,FALSE)=1,4,0)+IF(VLOOKUP($E78,武器奇术!$A:$S,19,FALSE)=1,20,0)-VLOOKUP($F$7,目标属性!$A:$R,6,FALSE))/200,($D$7+IF(VLOOKUP($E78,武器奇术!$A:$R,17,FALSE)="鸣金",$D$15,0)+IF(VLOOKUP($E78,武器奇术!$A:$R,18,FALSE)=1,4,0)+IF(VLOOKUP($E78,武器奇术!$A:$S,19,FALSE)=1,20,0)-VLOOKUP($F$7,目标属性!$A:$R,6,FALSE))/100)</f>
        <v>0</v>
      </c>
      <c r="AY78" s="111">
        <f t="shared" si="9"/>
        <v>0</v>
      </c>
      <c r="AZ78" s="109">
        <v>1</v>
      </c>
      <c r="BA78" s="112">
        <f>AU78*IF(VLOOKUP($E78,武器奇术!$A:$R,17,FALSE)="鸣金",VLOOKUP($E78,武器奇术!$A:$R,4,FALSE),VLOOKUP($E78,武器奇术!$A:$R,2,FALSE))*(1+AX78)*(1+AY78)*AZ78</f>
        <v>0</v>
      </c>
      <c r="BB78" s="110">
        <f>(1-IF(VLOOKUP($E78,武器奇术!$A:$T,20,FALSE)=1,1,$N78))*(1-$M78)</f>
        <v>0.01072666</v>
      </c>
      <c r="BC78" s="112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10">
        <f t="shared" si="10"/>
        <v>0.8813852</v>
      </c>
      <c r="BE78" s="112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10">
        <f t="shared" si="11"/>
        <v>0.0986</v>
      </c>
      <c r="BG78" s="112">
        <f>AV78*IF(VLOOKUP($E78,武器奇术!$A:$R,17,FALSE)="鸣金",VLOOKUP($E78,武器奇术!$A:$R,4,FALSE),VLOOKUP($E78,武器奇术!$A:$R,2,FALSE))*(1+AX78)*(1+AY78)*AZ78</f>
        <v>0</v>
      </c>
      <c r="BH78" s="110">
        <f t="shared" si="12"/>
        <v>0.00928814000000003</v>
      </c>
      <c r="BI78" s="113">
        <f t="shared" si="13"/>
        <v>0</v>
      </c>
      <c r="BJ78" s="108">
        <f>$B$9*IF($G$5="撼天",1.05,1)+IF(AND(VLOOKUP($E78,武器奇术!$A:$R,15,FALSE)="武器",VLOOKUP($E78,武器奇术!$A:$R,17,FALSE)="裂石"),$E$3,0)*(1+$E$15)</f>
        <v>0</v>
      </c>
      <c r="BK78" s="99">
        <f>(BJ78+BL78)*IF(VLOOKUP($E78,武器奇术!$A:$Z,21,FALSE)=1,$G$15,0.5)</f>
        <v>0</v>
      </c>
      <c r="BL78" s="109">
        <f>MAX($C$9*IF($G$5="撼天",1.05,1)+IF(AND(VLOOKUP($E78,武器奇术!$A:$R,15,FALSE)="武器",VLOOKUP($E78,武器奇术!$A:$R,17,FALSE)="裂石"),$E$3*(1+$E$15),0),BJ78)</f>
        <v>0</v>
      </c>
      <c r="BM78" s="110">
        <f>IF(($D$9+IF(VLOOKUP($E78,武器奇术!$A:$R,17,FALSE)="裂石",$D$15,0)+IF(VLOOKUP($E78,武器奇术!$A:$R,18,FALSE)=1,4,0)+IF(VLOOKUP($E78,武器奇术!$A:$S,19,FALSE)=1,20,0)-VLOOKUP($F$7,目标属性!$A:$R,6,FALSE))&gt;0,($D$9+IF(VLOOKUP($E78,武器奇术!$A:$R,17,FALSE)="裂石",$D$15,0)+IF(VLOOKUP($E78,武器奇术!$A:$R,18,FALSE)=1,4,0)+IF(VLOOKUP($E78,武器奇术!$A:$S,19,FALSE)=1,20,0)-VLOOKUP($F$7,目标属性!$A:$R,6,FALSE))/200,($D$9+IF(VLOOKUP($E78,武器奇术!$A:$R,17,FALSE)="裂石",$D$15,0)+IF(VLOOKUP($E78,武器奇术!$A:$R,18,FALSE)=1,4,0)+IF(VLOOKUP($E78,武器奇术!$A:$S,19,FALSE)=1,20,0)-VLOOKUP($F$7,目标属性!$A:$R,6,FALSE))/100)</f>
        <v>0</v>
      </c>
      <c r="BN78" s="111">
        <f t="shared" si="14"/>
        <v>0</v>
      </c>
      <c r="BO78" s="109">
        <v>1</v>
      </c>
      <c r="BP78" s="112">
        <f>BJ78*IF(VLOOKUP($E78,武器奇术!$A:$R,17,FALSE)="裂石",VLOOKUP($E78,武器奇术!$A:$R,4,FALSE),VLOOKUP($E78,武器奇术!$A:$R,2,FALSE))*(1+BM78)*(1+BN78)*BO78</f>
        <v>0</v>
      </c>
      <c r="BQ78" s="110">
        <f>(1-IF(VLOOKUP($E78,武器奇术!$A:$T,20,FALSE)=1,1,$N78))*(1-$M78)</f>
        <v>0.01072666</v>
      </c>
      <c r="BR78" s="112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10">
        <f t="shared" si="15"/>
        <v>0.8813852</v>
      </c>
      <c r="BT78" s="112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10">
        <f t="shared" si="16"/>
        <v>0.0986</v>
      </c>
      <c r="BV78" s="112">
        <f>BK78*IF(VLOOKUP($E78,武器奇术!$A:$R,17,FALSE)="裂石",VLOOKUP($E78,武器奇术!$A:$R,4,FALSE),VLOOKUP($E78,武器奇术!$A:$R,2,FALSE))*(1+BM78)*(1+BN78)*BO78</f>
        <v>0</v>
      </c>
      <c r="BW78" s="110">
        <f t="shared" si="17"/>
        <v>0.00928814000000003</v>
      </c>
      <c r="BX78" s="113">
        <f t="shared" si="18"/>
        <v>0</v>
      </c>
      <c r="BY78" s="108">
        <f>$B$11*IF($G$5="撼天",1.05,1)+IF(AND(VLOOKUP($E78,武器奇术!$A:$R,15,FALSE)="武器",VLOOKUP($E78,武器奇术!$A:$R,17,FALSE)="牵丝"),$E$3,0)*(1+$E$15)</f>
        <v>0</v>
      </c>
      <c r="BZ78" s="99">
        <f>(BY78+CA78)*IF(VLOOKUP($E78,武器奇术!$A:$Z,21,FALSE)=1,$G$15,0.5)</f>
        <v>0</v>
      </c>
      <c r="CA78" s="109">
        <f>MAX($C$11*IF($G$5="撼天",1.05,1)+IF(AND(VLOOKUP($E78,武器奇术!$A:$R,15,FALSE)="武器",VLOOKUP($E78,武器奇术!$A:$R,17,FALSE)="牵丝"),$E$3*(1+$E$15),0),BY78)</f>
        <v>0</v>
      </c>
      <c r="CB78" s="110">
        <f>IF(($D$11+IF(VLOOKUP($E78,武器奇术!$A:$R,17,FALSE)="牵丝",$D$15,0)+IF(VLOOKUP($E78,武器奇术!$A:$R,18,FALSE)=1,4,0)+IF(VLOOKUP($E78,武器奇术!$A:$S,19,FALSE)=1,20,0)-VLOOKUP($F$7,目标属性!$A:$R,6,FALSE))&gt;0,($D$11+IF(VLOOKUP($E78,武器奇术!$A:$R,17,FALSE)="牵丝",$D$15,0)+IF(VLOOKUP($E78,武器奇术!$A:$R,18,FALSE)=1,4,0)+IF(VLOOKUP($E78,武器奇术!$A:$S,19,FALSE)=1,20,0)-VLOOKUP($F$7,目标属性!$A:$R,6,FALSE))/200,($D$11+IF(VLOOKUP($E78,武器奇术!$A:$R,17,FALSE)="牵丝",$D$15,0)+IF(VLOOKUP($E78,武器奇术!$A:$R,18,FALSE)=1,4,0)+IF(VLOOKUP($E78,武器奇术!$A:$S,19,FALSE)=1,20,0)-VLOOKUP($F$7,目标属性!$A:$R,6,FALSE))/100)</f>
        <v>0</v>
      </c>
      <c r="CC78" s="111">
        <f t="shared" si="19"/>
        <v>0</v>
      </c>
      <c r="CD78" s="109">
        <v>1</v>
      </c>
      <c r="CE78" s="112">
        <f>BY78*IF(VLOOKUP($E78,武器奇术!$A:$R,17,FALSE)="牵丝",VLOOKUP($E78,武器奇术!$A:$R,4,FALSE),VLOOKUP($E78,武器奇术!$A:$R,2,FALSE))*(1+CB78)*(1+CC78)*CD78</f>
        <v>0</v>
      </c>
      <c r="CF78" s="110">
        <f>(1-IF(VLOOKUP($E78,武器奇术!$A:$T,20,FALSE)=1,1,$N78))*(1-$M78)</f>
        <v>0.01072666</v>
      </c>
      <c r="CG78" s="112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110">
        <f t="shared" si="20"/>
        <v>0.8813852</v>
      </c>
      <c r="CI78" s="112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110">
        <f t="shared" si="21"/>
        <v>0.0986</v>
      </c>
      <c r="CK78" s="112">
        <f>BZ78*IF(VLOOKUP($E78,武器奇术!$A:$R,17,FALSE)="牵丝",VLOOKUP($E78,武器奇术!$A:$R,4,FALSE),VLOOKUP($E78,武器奇术!$A:$R,2,FALSE))*(1+CB78)*(1+CC78)*CD78</f>
        <v>0</v>
      </c>
      <c r="CL78" s="110">
        <f t="shared" si="22"/>
        <v>0.00928814000000003</v>
      </c>
      <c r="CM78" s="113">
        <f t="shared" si="23"/>
        <v>0</v>
      </c>
      <c r="CN78" s="108">
        <f>$B$13*IF($G$5="撼天",1.05,1)+IF(AND(VLOOKUP($E78,武器奇术!$A:$R,15,FALSE)="武器",VLOOKUP($E78,武器奇术!$A:$R,17,FALSE)="破竹"),$E$3,0)*(1+$E$15)</f>
        <v>452.55</v>
      </c>
      <c r="CO78" s="99">
        <f>IF(VLOOKUP($E78,武器奇术!$A:$Z,20,FALSE)=1,(CP78-(CN78+CP78)*0.5)*($G$15-0.5)*2+(CN78+CP78)*0.5,(CN78+CP78)*0.5)</f>
        <v>679.35</v>
      </c>
      <c r="CP78" s="109">
        <f>MAX($C$13*IF($G$5="撼天",1.05,1)+IF(AND(VLOOKUP($E78,武器奇术!$A:$R,15,FALSE)="武器",VLOOKUP($E78,武器奇术!$A:$R,17,FALSE)="破竹"),$E$3*(1+$E$15),0),CN78)</f>
        <v>906.15</v>
      </c>
      <c r="CQ78" s="110">
        <f>IF(($D$13+IF(VLOOKUP($E78,武器奇术!$A:$R,17,FALSE)="破竹",$D$15,0)+IF(VLOOKUP($E78,武器奇术!$A:$R,18,FALSE)=1,4,0)+IF(VLOOKUP($E78,武器奇术!$A:$S,19,FALSE)=1,20,0)-VLOOKUP($F$7,目标属性!$A:$R,6,FALSE))&gt;0,($D$13+IF(VLOOKUP($E78,武器奇术!$A:$R,17,FALSE)="破竹",$D$15,0)+IF(VLOOKUP($E78,武器奇术!$A:$R,18,FALSE)=1,4,0)+IF(VLOOKUP($E78,武器奇术!$A:$S,19,FALSE)=1,20,0)-VLOOKUP($F$7,目标属性!$A:$R,6,FALSE))/200,($D$13+IF(VLOOKUP($E78,武器奇术!$A:$R,17,FALSE)="破竹",$D$15,0)+IF(VLOOKUP($E78,武器奇术!$A:$R,18,FALSE)=1,4,0)+IF(VLOOKUP($E78,武器奇术!$A:$S,19,FALSE)=1,20,0)-VLOOKUP($F$7,目标属性!$A:$R,6,FALSE))/100)</f>
        <v>0.145</v>
      </c>
      <c r="CR78" s="111">
        <f>$E$13+IF(VLOOKUP($E78,武器奇术!$A:$U,21,FALSE)=1,0,0.09)</f>
        <v>0.235</v>
      </c>
      <c r="CS78" s="109">
        <v>1</v>
      </c>
      <c r="CT78" s="112">
        <f>CN78*IF(VLOOKUP($E78,武器奇术!$A:$R,17,FALSE)="破竹",VLOOKUP($E78,武器奇术!$A:$R,4,FALSE),VLOOKUP($E78,武器奇术!$A:$R,2,FALSE))*(1+CQ78)*(1+CR78)*CS78</f>
        <v>2073.40443765</v>
      </c>
      <c r="CU78" s="110">
        <f>(1-IF(VLOOKUP($E78,武器奇术!$A:$T,20,FALSE)=1,1,$N78))*(1-$M78)</f>
        <v>0.01072666</v>
      </c>
      <c r="CV78" s="112">
        <f>CO78*IF(VLOOKUP($E78,武器奇术!$A:$R,17,FALSE)="破竹",VLOOKUP($E78,武器奇术!$A:$R,4,FALSE),VLOOKUP($E78,武器奇术!$A:$R,2,FALSE))*(1+CQ78)*(1+CR78)*CS78*(1+$E$16+VLOOKUP($E78,武器奇术!$A:$R,8,FALSE))</f>
        <v>6038.273276217</v>
      </c>
      <c r="CW78" s="110">
        <f t="shared" si="24"/>
        <v>0.8813852</v>
      </c>
      <c r="CX78" s="112">
        <f>CP78*IF(VLOOKUP($E78,武器奇术!$A:$R,17,FALSE)="破竹",VLOOKUP($E78,武器奇术!$A:$R,4,FALSE),VLOOKUP($E78,武器奇术!$A:$R,2,FALSE))*(1+CQ78)*(1+CR78)*CS78*(1+$E$17+VLOOKUP($E78,武器奇术!$A:$R,10,FALSE))</f>
        <v>5604.6864039075</v>
      </c>
      <c r="CY78" s="110">
        <f t="shared" si="25"/>
        <v>0.0986</v>
      </c>
      <c r="CZ78" s="112">
        <f>CO78*IF(VLOOKUP($E78,武器奇术!$A:$R,17,FALSE)="破竹",VLOOKUP($E78,武器奇术!$A:$R,4,FALSE),VLOOKUP($E78,武器奇术!$A:$R,2,FALSE))*(1+CQ78)*(1+CR78)*CS78</f>
        <v>3112.51199805</v>
      </c>
      <c r="DA78" s="110">
        <f t="shared" si="26"/>
        <v>0.00928814000000003</v>
      </c>
      <c r="DB78" s="113">
        <f t="shared" si="27"/>
        <v>5925.81693027318</v>
      </c>
      <c r="DC78" s="108">
        <f t="shared" si="36"/>
        <v>69.3</v>
      </c>
      <c r="DD78" s="99">
        <f>(DC78+DE78)*IF(VLOOKUP($E78,武器奇术!$A:$Z,21,FALSE)=1,$G$15,0.5)</f>
        <v>69.3</v>
      </c>
      <c r="DE78" s="109">
        <f t="shared" si="37"/>
        <v>69.3</v>
      </c>
      <c r="DF78" s="110">
        <f>IF(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100)</f>
        <v>0.145</v>
      </c>
      <c r="DG78" s="111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U,21,FALSE)=1,0,0.09)</f>
        <v>0.235</v>
      </c>
      <c r="DH78" s="109">
        <v>1</v>
      </c>
      <c r="DI78" s="112">
        <f>DC78*IF(VLOOKUP($E78,武器奇术!$A:$R,17,FALSE)="破竹",VLOOKUP($E78,武器奇术!$A:$R,4,FALSE),VLOOKUP($E78,武器奇术!$A:$R,2,FALSE))*(1+DF78)*(1+DG78)*DH78</f>
        <v>317.5050879</v>
      </c>
      <c r="DJ78" s="110">
        <f>(1-IF(VLOOKUP($E78,武器奇术!$A:$T,20,FALSE)=1,1,$N78))*(1-$M78)</f>
        <v>0.01072666</v>
      </c>
      <c r="DK78" s="112">
        <f>DD78*IF(VLOOKUP($E78,武器奇术!$A:$R,17,FALSE)="破竹",VLOOKUP($E78,武器奇术!$A:$R,4,FALSE),VLOOKUP($E78,武器奇术!$A:$R,2,FALSE))*(1+DF78)*(1+DG78)*DH78*(1+$E$16+VLOOKUP($E78,武器奇术!$A:$R,8,FALSE))</f>
        <v>615.959870526</v>
      </c>
      <c r="DL78" s="110">
        <f t="shared" si="28"/>
        <v>0.8813852</v>
      </c>
      <c r="DM78" s="112">
        <f>DE78*IF(VLOOKUP($E78,武器奇术!$A:$R,17,FALSE)="破竹",VLOOKUP($E78,武器奇术!$A:$R,4,FALSE),VLOOKUP($E78,武器奇术!$A:$R,2,FALSE))*(1+DF78)*(1+DG78)*DH78*(1+$E$17+VLOOKUP($E78,武器奇术!$A:$R,10,FALSE))</f>
        <v>428.631868665</v>
      </c>
      <c r="DN78" s="110">
        <f t="shared" si="29"/>
        <v>0.0986</v>
      </c>
      <c r="DO78" s="112">
        <f>DD78*IF(VLOOKUP($E78,武器奇术!$A:$R,17,FALSE)="破竹",VLOOKUP($E78,武器奇术!$A:$R,4,FALSE),VLOOKUP($E78,武器奇术!$A:$R,2,FALSE))*(1+DF78)*(1+DG78)*DH78</f>
        <v>317.5050879</v>
      </c>
      <c r="DP78" s="110">
        <f t="shared" si="30"/>
        <v>0.00928814000000003</v>
      </c>
      <c r="DQ78" s="113">
        <f t="shared" si="31"/>
        <v>591.515816759203</v>
      </c>
    </row>
    <row r="79" customFormat="1" spans="1:121">
      <c r="A79" s="36"/>
      <c r="B79" t="s">
        <v>167</v>
      </c>
      <c r="C79" s="147">
        <v>1.7</v>
      </c>
      <c r="D79"/>
      <c r="E79" s="98" t="s">
        <v>138</v>
      </c>
      <c r="F79" s="99">
        <v>1</v>
      </c>
      <c r="G79" s="150"/>
      <c r="H79" s="149">
        <f>IF(VLOOKUP($E79,武器奇术!$A:$R,18,FALSE)="天工",AE79,(AE79+AT79+BI79+BX79+CM79+DB79+DQ79))*(1+J79)*F79*K79*(1+G79)*(1+$G$21*5%)</f>
        <v>127366.038812375</v>
      </c>
      <c r="I79" s="101">
        <f t="shared" si="0"/>
        <v>0.0157249822757552</v>
      </c>
      <c r="J79" s="101">
        <f>$F$3+VLOOKUP($E79,武器奇术!$A:$R,12,FALSE)+VLOOKUP($E79,武器奇术!$A:$R,14,FALSE)*$G$3+$P79</f>
        <v>0.303</v>
      </c>
      <c r="K79" s="102">
        <f>VLOOKUP($E79,武器奇术!$A:$R,11,FALSE)</f>
        <v>1</v>
      </c>
      <c r="L79" s="117">
        <f>IF(VLOOKUP($E79,武器奇术!$A:$R,15,FALSE)="天工",0%,IF($C$17+VLOOKUP($E79,武器奇术!$A:$R,7,FALSE)&gt;80%,80%,$C$17+VLOOKUP($E79,武器奇术!$A:$R,7,FALSE))+IF($C$19&gt;20%,20%,$C$19))</f>
        <v>0.892</v>
      </c>
      <c r="M79" s="118">
        <f>IF(VLOOKUP($E79,武器奇术!$A:$R,15,FALSE)="天工",0%,IF($C$18+VLOOKUP($E79,武器奇术!$A:$R,9,FALSE)&gt;40%,40%,$C$18+VLOOKUP($E79,武器奇术!$A:$R,9,FALSE))+IF($C$20&gt;10%,10%,$C$20))</f>
        <v>0.0986</v>
      </c>
      <c r="N79" s="119">
        <f>IF(VLOOKUP($E79,武器奇术!$A:$R,15,FALSE)="天工",100%,MIN($C$16,1))</f>
        <v>0.9881</v>
      </c>
      <c r="O79" s="120" t="str">
        <f>VLOOKUP($E79,武器奇术!$A:$R,16,FALSE)</f>
        <v>单体奇术</v>
      </c>
      <c r="P79" s="121">
        <f t="shared" si="38"/>
        <v>0</v>
      </c>
      <c r="Q79" s="108">
        <f>$B$5*(1+VLOOKUP($E79,武器奇术!$A:$R,5,FALSE)+IF($G$5="飞隼",0.1,0)+IF($G$5="撼天",0.05,0))-$F$9+IF($I$5="√",160,0)</f>
        <v>1731.135</v>
      </c>
      <c r="R79" s="99">
        <f>IF(VLOOKUP($E79,武器奇术!$A:$Z,20,FALSE)=1,(S79-(Q79+S79)*0.5)*($G$15-0.5)*2+(Q79+S79)*0.5,(Q79+S79)*0.5)</f>
        <v>3256.775</v>
      </c>
      <c r="S79" s="109">
        <f>MAX($C$5,$B$5)*(1+VLOOKUP($E79,武器奇术!$A:$R,5,FALSE)+IF($G$5="飞隼",0.1,0)+IF($G$5="撼天",0.05,0))-$F$9+IF($I$5="√",320,0)</f>
        <v>4782.415</v>
      </c>
      <c r="T79" s="101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U79" s="111">
        <f>$E$5+IF(VLOOKUP($E79,武器奇术!$A:$U,21,FALSE)=1,0,0.09)</f>
        <v>0.115</v>
      </c>
      <c r="V79" s="109">
        <v>1</v>
      </c>
      <c r="W79" s="112">
        <f>Q79*VLOOKUP($E79,武器奇术!$A:$R,2,FALSE)*(1+T79)*(1+U79)*V79</f>
        <v>17036.3694397201</v>
      </c>
      <c r="X79" s="110">
        <f>(1-IF(VLOOKUP($E79,武器奇术!$A:$T,20,FALSE)=1,1,$N79))*(1-$M79)</f>
        <v>0.01072666</v>
      </c>
      <c r="Y79" s="112">
        <f>R79*VLOOKUP($E79,武器奇术!$A:$R,2,FALSE)*(1+T79)*(1+U79)*V79*(1+$E$16+VLOOKUP($E79,武器奇术!$A:$R,8,FALSE))</f>
        <v>52562.7060942982</v>
      </c>
      <c r="Z79" s="110">
        <f t="shared" si="39"/>
        <v>0.8813852</v>
      </c>
      <c r="AA79" s="112">
        <f>S79*VLOOKUP($E79,武器奇术!$A:$R,2,FALSE)*(1+T79)*(1+U79)*V79*(1+$E$17+VLOOKUP($E79,武器奇术!$A:$R,10,FALSE))</f>
        <v>63537.0637286981</v>
      </c>
      <c r="AB79" s="110">
        <f t="shared" si="40"/>
        <v>0.0986</v>
      </c>
      <c r="AC79" s="112">
        <f>R79*VLOOKUP($E79,武器奇术!$A:$R,2,FALSE)*(1+T79)*(1+U79)*V79</f>
        <v>32050.4305453038</v>
      </c>
      <c r="AD79" s="110">
        <f t="shared" si="1"/>
        <v>0.00928814000000003</v>
      </c>
      <c r="AE79" s="113">
        <f t="shared" si="2"/>
        <v>53073.1779356932</v>
      </c>
      <c r="AF79" s="114">
        <f>VLOOKUP($E79,武器奇术!$A:$R,3,FALSE)*(1+IF(VLOOKUP($E79,武器奇术!$A:$R,15,FALSE)="武器",$E$15,0))</f>
        <v>1269</v>
      </c>
      <c r="AG79" s="112">
        <f t="shared" si="3"/>
        <v>1269</v>
      </c>
      <c r="AH79" s="112">
        <f>VLOOKUP($E79,武器奇术!$A:$R,3,FALSE)*(1+IF(VLOOKUP($E79,武器奇术!$A:$R,15,FALSE)="武器",$E$15,0))</f>
        <v>1269</v>
      </c>
      <c r="AI79" s="101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AJ79" s="111">
        <f>$E$5+IF(VLOOKUP($E79,武器奇术!$A:$U,21,FALSE)=1,0,0.09)</f>
        <v>0.115</v>
      </c>
      <c r="AK79" s="109">
        <v>1</v>
      </c>
      <c r="AL79" s="112">
        <f t="shared" si="41"/>
        <v>1757.34927</v>
      </c>
      <c r="AM79" s="110">
        <f>(1-IF(VLOOKUP($E79,武器奇术!$A:$T,20,FALSE)=1,1,$N79))*(1-$M79)</f>
        <v>0.01072666</v>
      </c>
      <c r="AN79" s="112">
        <f>AG79*(1+AI79)*(1+AJ79)*AK79*(1+$E$16+VLOOKUP($E79,武器奇术!$A:$R,8,FALSE))</f>
        <v>2882.0528028</v>
      </c>
      <c r="AO79" s="110">
        <f t="shared" si="4"/>
        <v>0.8813852</v>
      </c>
      <c r="AP79" s="112">
        <f>AH79*(1+AI79)*(1+AJ79)*AK79*(1+$E$17+VLOOKUP($E79,武器奇术!$A:$R,10,FALSE))</f>
        <v>2372.4215145</v>
      </c>
      <c r="AQ79" s="110">
        <f t="shared" si="5"/>
        <v>0.0986</v>
      </c>
      <c r="AR79" s="112">
        <f t="shared" si="6"/>
        <v>1757.34927</v>
      </c>
      <c r="AS79" s="110">
        <f t="shared" si="7"/>
        <v>0.00928814000000003</v>
      </c>
      <c r="AT79" s="113">
        <f t="shared" si="8"/>
        <v>2809.29244150533</v>
      </c>
      <c r="AU79" s="108">
        <f>$B$7*IF($G$5="撼天",1.05,1)+IF(AND(VLOOKUP($E79,武器奇术!$A:$R,15,FALSE)="武器",VLOOKUP($E79,武器奇术!$A:$R,17,FALSE)="鸣金"),$E$3,0)*(1+$E$15)</f>
        <v>0</v>
      </c>
      <c r="AV79" s="99">
        <f>(AU79+AW79)*IF(VLOOKUP($E79,武器奇术!$A:$Z,21,FALSE)=1,$G$15,0.5)</f>
        <v>0</v>
      </c>
      <c r="AW79" s="109">
        <f>MAX($C$7*IF($G$5="撼天",1.05,1)+IF(AND(VLOOKUP($E79,武器奇术!$A:$R,15,FALSE)="武器",VLOOKUP($E79,武器奇术!$A:$R,17,FALSE)="鸣金"),$E$3*(1+$E$15),0),AU79)</f>
        <v>0</v>
      </c>
      <c r="AX79" s="110">
        <f>IF(($D$7+IF(VLOOKUP($E79,武器奇术!$A:$R,17,FALSE)="鸣金",$D$15,0)+IF(VLOOKUP($E79,武器奇术!$A:$R,18,FALSE)=1,4,0)+IF(VLOOKUP($E79,武器奇术!$A:$S,19,FALSE)=1,20,0)-VLOOKUP($F$7,目标属性!$A:$R,6,FALSE))&gt;0,($D$7+IF(VLOOKUP($E79,武器奇术!$A:$R,17,FALSE)="鸣金",$D$15,0)+IF(VLOOKUP($E79,武器奇术!$A:$R,18,FALSE)=1,4,0)+IF(VLOOKUP($E79,武器奇术!$A:$S,19,FALSE)=1,20,0)-VLOOKUP($F$7,目标属性!$A:$R,6,FALSE))/200,($D$7+IF(VLOOKUP($E79,武器奇术!$A:$R,17,FALSE)="鸣金",$D$15,0)+IF(VLOOKUP($E79,武器奇术!$A:$R,18,FALSE)=1,4,0)+IF(VLOOKUP($E79,武器奇术!$A:$S,19,FALSE)=1,20,0)-VLOOKUP($F$7,目标属性!$A:$R,6,FALSE))/100)</f>
        <v>-0.24</v>
      </c>
      <c r="AY79" s="111">
        <f t="shared" si="9"/>
        <v>0</v>
      </c>
      <c r="AZ79" s="109">
        <v>1</v>
      </c>
      <c r="BA79" s="112">
        <f>AU79*IF(VLOOKUP($E79,武器奇术!$A:$R,17,FALSE)="鸣金",VLOOKUP($E79,武器奇术!$A:$R,4,FALSE),VLOOKUP($E79,武器奇术!$A:$R,2,FALSE))*(1+AX79)*(1+AY79)*AZ79</f>
        <v>0</v>
      </c>
      <c r="BB79" s="110">
        <f>(1-IF(VLOOKUP($E79,武器奇术!$A:$T,20,FALSE)=1,1,$N79))*(1-$M79)</f>
        <v>0.01072666</v>
      </c>
      <c r="BC79" s="112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10">
        <f t="shared" si="10"/>
        <v>0.8813852</v>
      </c>
      <c r="BE79" s="112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10">
        <f t="shared" si="11"/>
        <v>0.0986</v>
      </c>
      <c r="BG79" s="112">
        <f>AV79*IF(VLOOKUP($E79,武器奇术!$A:$R,17,FALSE)="鸣金",VLOOKUP($E79,武器奇术!$A:$R,4,FALSE),VLOOKUP($E79,武器奇术!$A:$R,2,FALSE))*(1+AX79)*(1+AY79)*AZ79</f>
        <v>0</v>
      </c>
      <c r="BH79" s="110">
        <f t="shared" si="12"/>
        <v>0.00928814000000003</v>
      </c>
      <c r="BI79" s="113">
        <f t="shared" si="13"/>
        <v>0</v>
      </c>
      <c r="BJ79" s="108">
        <f>$B$9*IF($G$5="撼天",1.05,1)+IF(AND(VLOOKUP($E79,武器奇术!$A:$R,15,FALSE)="武器",VLOOKUP($E79,武器奇术!$A:$R,17,FALSE)="裂石"),$E$3,0)*(1+$E$15)</f>
        <v>0</v>
      </c>
      <c r="BK79" s="99">
        <f>(BJ79+BL79)*IF(VLOOKUP($E79,武器奇术!$A:$Z,21,FALSE)=1,$G$15,0.5)</f>
        <v>0</v>
      </c>
      <c r="BL79" s="109">
        <f>MAX($C$9*IF($G$5="撼天",1.05,1)+IF(AND(VLOOKUP($E79,武器奇术!$A:$R,15,FALSE)="武器",VLOOKUP($E79,武器奇术!$A:$R,17,FALSE)="裂石"),$E$3*(1+$E$15),0),BJ79)</f>
        <v>0</v>
      </c>
      <c r="BM79" s="110">
        <f>IF(($D$9+IF(VLOOKUP($E79,武器奇术!$A:$R,17,FALSE)="裂石",$D$15,0)+IF(VLOOKUP($E79,武器奇术!$A:$R,18,FALSE)=1,4,0)+IF(VLOOKUP($E79,武器奇术!$A:$S,19,FALSE)=1,20,0)-VLOOKUP($F$7,目标属性!$A:$R,6,FALSE))&gt;0,($D$9+IF(VLOOKUP($E79,武器奇术!$A:$R,17,FALSE)="裂石",$D$15,0)+IF(VLOOKUP($E79,武器奇术!$A:$R,18,FALSE)=1,4,0)+IF(VLOOKUP($E79,武器奇术!$A:$S,19,FALSE)=1,20,0)-VLOOKUP($F$7,目标属性!$A:$R,6,FALSE))/200,($D$9+IF(VLOOKUP($E79,武器奇术!$A:$R,17,FALSE)="裂石",$D$15,0)+IF(VLOOKUP($E79,武器奇术!$A:$R,18,FALSE)=1,4,0)+IF(VLOOKUP($E79,武器奇术!$A:$S,19,FALSE)=1,20,0)-VLOOKUP($F$7,目标属性!$A:$R,6,FALSE))/100)</f>
        <v>-0.24</v>
      </c>
      <c r="BN79" s="111">
        <f t="shared" si="14"/>
        <v>0</v>
      </c>
      <c r="BO79" s="109">
        <v>1</v>
      </c>
      <c r="BP79" s="112">
        <f>BJ79*IF(VLOOKUP($E79,武器奇术!$A:$R,17,FALSE)="裂石",VLOOKUP($E79,武器奇术!$A:$R,4,FALSE),VLOOKUP($E79,武器奇术!$A:$R,2,FALSE))*(1+BM79)*(1+BN79)*BO79</f>
        <v>0</v>
      </c>
      <c r="BQ79" s="110">
        <f>(1-IF(VLOOKUP($E79,武器奇术!$A:$T,20,FALSE)=1,1,$N79))*(1-$M79)</f>
        <v>0.01072666</v>
      </c>
      <c r="BR79" s="112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10">
        <f t="shared" si="15"/>
        <v>0.8813852</v>
      </c>
      <c r="BT79" s="112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10">
        <f t="shared" si="16"/>
        <v>0.0986</v>
      </c>
      <c r="BV79" s="112">
        <f>BK79*IF(VLOOKUP($E79,武器奇术!$A:$R,17,FALSE)="裂石",VLOOKUP($E79,武器奇术!$A:$R,4,FALSE),VLOOKUP($E79,武器奇术!$A:$R,2,FALSE))*(1+BM79)*(1+BN79)*BO79</f>
        <v>0</v>
      </c>
      <c r="BW79" s="110">
        <f t="shared" si="17"/>
        <v>0.00928814000000003</v>
      </c>
      <c r="BX79" s="113">
        <f t="shared" si="18"/>
        <v>0</v>
      </c>
      <c r="BY79" s="108">
        <f>$B$11*IF($G$5="撼天",1.05,1)+IF(AND(VLOOKUP($E79,武器奇术!$A:$R,15,FALSE)="武器",VLOOKUP($E79,武器奇术!$A:$R,17,FALSE)="牵丝"),$E$3,0)*(1+$E$15)</f>
        <v>0</v>
      </c>
      <c r="BZ79" s="99">
        <f>(BY79+CA79)*IF(VLOOKUP($E79,武器奇术!$A:$Z,21,FALSE)=1,$G$15,0.5)</f>
        <v>0</v>
      </c>
      <c r="CA79" s="109">
        <f>MAX($C$11*IF($G$5="撼天",1.05,1)+IF(AND(VLOOKUP($E79,武器奇术!$A:$R,15,FALSE)="武器",VLOOKUP($E79,武器奇术!$A:$R,17,FALSE)="牵丝"),$E$3*(1+$E$15),0),BY79)</f>
        <v>0</v>
      </c>
      <c r="CB79" s="110">
        <f>IF(($D$11+IF(VLOOKUP($E79,武器奇术!$A:$R,17,FALSE)="牵丝",$D$15,0)+IF(VLOOKUP($E79,武器奇术!$A:$R,18,FALSE)=1,4,0)+IF(VLOOKUP($E79,武器奇术!$A:$S,19,FALSE)=1,20,0)-VLOOKUP($F$7,目标属性!$A:$R,6,FALSE))&gt;0,($D$11+IF(VLOOKUP($E79,武器奇术!$A:$R,17,FALSE)="牵丝",$D$15,0)+IF(VLOOKUP($E79,武器奇术!$A:$R,18,FALSE)=1,4,0)+IF(VLOOKUP($E79,武器奇术!$A:$S,19,FALSE)=1,20,0)-VLOOKUP($F$7,目标属性!$A:$R,6,FALSE))/200,($D$11+IF(VLOOKUP($E79,武器奇术!$A:$R,17,FALSE)="牵丝",$D$15,0)+IF(VLOOKUP($E79,武器奇术!$A:$R,18,FALSE)=1,4,0)+IF(VLOOKUP($E79,武器奇术!$A:$S,19,FALSE)=1,20,0)-VLOOKUP($F$7,目标属性!$A:$R,6,FALSE))/100)</f>
        <v>-0.24</v>
      </c>
      <c r="CC79" s="111">
        <f t="shared" si="19"/>
        <v>0</v>
      </c>
      <c r="CD79" s="109">
        <v>1</v>
      </c>
      <c r="CE79" s="112">
        <f>BY79*IF(VLOOKUP($E79,武器奇术!$A:$R,17,FALSE)="牵丝",VLOOKUP($E79,武器奇术!$A:$R,4,FALSE),VLOOKUP($E79,武器奇术!$A:$R,2,FALSE))*(1+CB79)*(1+CC79)*CD79</f>
        <v>0</v>
      </c>
      <c r="CF79" s="110">
        <f>(1-IF(VLOOKUP($E79,武器奇术!$A:$T,20,FALSE)=1,1,$N79))*(1-$M79)</f>
        <v>0.01072666</v>
      </c>
      <c r="CG79" s="112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110">
        <f t="shared" si="20"/>
        <v>0.8813852</v>
      </c>
      <c r="CI79" s="112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110">
        <f t="shared" si="21"/>
        <v>0.0986</v>
      </c>
      <c r="CK79" s="112">
        <f>BZ79*IF(VLOOKUP($E79,武器奇术!$A:$R,17,FALSE)="牵丝",VLOOKUP($E79,武器奇术!$A:$R,4,FALSE),VLOOKUP($E79,武器奇术!$A:$R,2,FALSE))*(1+CB79)*(1+CC79)*CD79</f>
        <v>0</v>
      </c>
      <c r="CL79" s="110">
        <f t="shared" si="22"/>
        <v>0.00928814000000003</v>
      </c>
      <c r="CM79" s="113">
        <f t="shared" si="23"/>
        <v>0</v>
      </c>
      <c r="CN79" s="108">
        <f>$B$13*IF($G$5="撼天",1.05,1)+IF(AND(VLOOKUP($E79,武器奇术!$A:$R,15,FALSE)="武器",VLOOKUP($E79,武器奇术!$A:$R,17,FALSE)="破竹"),$E$3,0)*(1+$E$15)</f>
        <v>452.55</v>
      </c>
      <c r="CO79" s="99">
        <f>IF(VLOOKUP($E79,武器奇术!$A:$Z,20,FALSE)=1,(CP79-(CN79+CP79)*0.5)*($G$15-0.5)*2+(CN79+CP79)*0.5,(CN79+CP79)*0.5)</f>
        <v>679.35</v>
      </c>
      <c r="CP79" s="109">
        <f>MAX($C$13*IF($G$5="撼天",1.05,1)+IF(AND(VLOOKUP($E79,武器奇术!$A:$R,15,FALSE)="武器",VLOOKUP($E79,武器奇术!$A:$R,17,FALSE)="破竹"),$E$3*(1+$E$15),0),CN79)</f>
        <v>906.15</v>
      </c>
      <c r="CQ79" s="110">
        <f>IF(($D$13+IF(VLOOKUP($E79,武器奇术!$A:$R,17,FALSE)="破竹",$D$15,0)+IF(VLOOKUP($E79,武器奇术!$A:$R,18,FALSE)=1,4,0)+IF(VLOOKUP($E79,武器奇术!$A:$S,19,FALSE)=1,20,0)-VLOOKUP($F$7,目标属性!$A:$R,6,FALSE))&gt;0,($D$13+IF(VLOOKUP($E79,武器奇术!$A:$R,17,FALSE)="破竹",$D$15,0)+IF(VLOOKUP($E79,武器奇术!$A:$R,18,FALSE)=1,4,0)+IF(VLOOKUP($E79,武器奇术!$A:$S,19,FALSE)=1,20,0)-VLOOKUP($F$7,目标属性!$A:$R,6,FALSE))/200,($D$13+IF(VLOOKUP($E79,武器奇术!$A:$R,17,FALSE)="破竹",$D$15,0)+IF(VLOOKUP($E79,武器奇术!$A:$R,18,FALSE)=1,4,0)+IF(VLOOKUP($E79,武器奇术!$A:$S,19,FALSE)=1,20,0)-VLOOKUP($F$7,目标属性!$A:$R,6,FALSE))/100)</f>
        <v>0.025</v>
      </c>
      <c r="CR79" s="111">
        <f>$E$13+IF(VLOOKUP($E79,武器奇术!$A:$U,21,FALSE)=1,0,0.09)</f>
        <v>0.235</v>
      </c>
      <c r="CS79" s="109">
        <v>1</v>
      </c>
      <c r="CT79" s="112">
        <f>CN79*IF(VLOOKUP($E79,武器奇术!$A:$R,17,FALSE)="破竹",VLOOKUP($E79,武器奇术!$A:$R,4,FALSE),VLOOKUP($E79,武器奇术!$A:$R,2,FALSE))*(1+CQ79)*(1+CR79)*CS79</f>
        <v>6106.5835064325</v>
      </c>
      <c r="CU79" s="110">
        <f>(1-IF(VLOOKUP($E79,武器奇术!$A:$T,20,FALSE)=1,1,$N79))*(1-$M79)</f>
        <v>0.01072666</v>
      </c>
      <c r="CV79" s="112">
        <f>CO79*IF(VLOOKUP($E79,武器奇术!$A:$R,17,FALSE)="破竹",VLOOKUP($E79,武器奇术!$A:$R,4,FALSE),VLOOKUP($E79,武器奇术!$A:$R,2,FALSE))*(1+CQ79)*(1+CR79)*CS79*(1+$E$16+VLOOKUP($E79,武器奇术!$A:$R,8,FALSE))</f>
        <v>15033.8135197341</v>
      </c>
      <c r="CW79" s="110">
        <f t="shared" si="24"/>
        <v>0.8813852</v>
      </c>
      <c r="CX79" s="112">
        <f>CP79*IF(VLOOKUP($E79,武器奇术!$A:$R,17,FALSE)="破竹",VLOOKUP($E79,武器奇术!$A:$R,4,FALSE),VLOOKUP($E79,武器奇术!$A:$R,2,FALSE))*(1+CQ79)*(1+CR79)*CS79*(1+$E$17+VLOOKUP($E79,武器奇术!$A:$R,10,FALSE))</f>
        <v>16506.9028170979</v>
      </c>
      <c r="CY79" s="110">
        <f t="shared" si="25"/>
        <v>0.0986</v>
      </c>
      <c r="CZ79" s="112">
        <f>CO79*IF(VLOOKUP($E79,武器奇术!$A:$R,17,FALSE)="破竹",VLOOKUP($E79,武器奇术!$A:$R,4,FALSE),VLOOKUP($E79,武器奇术!$A:$R,2,FALSE))*(1+CQ79)*(1+CR79)*CS79</f>
        <v>9166.9594632525</v>
      </c>
      <c r="DA79" s="110">
        <f t="shared" si="26"/>
        <v>0.00928814000000003</v>
      </c>
      <c r="DB79" s="113">
        <f t="shared" si="27"/>
        <v>15028.8086015235</v>
      </c>
      <c r="DC79" s="108">
        <f t="shared" si="36"/>
        <v>69.3</v>
      </c>
      <c r="DD79" s="99">
        <f>(DC79+DE79)*IF(VLOOKUP($E79,武器奇术!$A:$Z,21,FALSE)=1,$G$15,0.5)</f>
        <v>69.3</v>
      </c>
      <c r="DE79" s="109">
        <f t="shared" si="37"/>
        <v>69.3</v>
      </c>
      <c r="DF79" s="110">
        <f>IF(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100)</f>
        <v>0.025</v>
      </c>
      <c r="DG79" s="111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U,21,FALSE)=1,0,0.09)</f>
        <v>0.235</v>
      </c>
      <c r="DH79" s="109">
        <v>1</v>
      </c>
      <c r="DI79" s="112">
        <f>DC79*IF(VLOOKUP($E79,武器奇术!$A:$R,17,FALSE)="破竹",VLOOKUP($E79,武器奇术!$A:$R,4,FALSE),VLOOKUP($E79,武器奇术!$A:$R,2,FALSE))*(1+DF79)*(1+DG79)*DH79</f>
        <v>935.114875695</v>
      </c>
      <c r="DJ79" s="110">
        <f>(1-IF(VLOOKUP($E79,武器奇术!$A:$T,20,FALSE)=1,1,$N79))*(1-$M79)</f>
        <v>0.01072666</v>
      </c>
      <c r="DK79" s="112">
        <f>DD79*IF(VLOOKUP($E79,武器奇术!$A:$R,17,FALSE)="破竹",VLOOKUP($E79,武器奇术!$A:$R,4,FALSE),VLOOKUP($E79,武器奇术!$A:$R,2,FALSE))*(1+DF79)*(1+DG79)*DH79*(1+$E$16+VLOOKUP($E79,武器奇术!$A:$R,8,FALSE))</f>
        <v>1533.5883961398</v>
      </c>
      <c r="DL79" s="110">
        <f t="shared" si="28"/>
        <v>0.8813852</v>
      </c>
      <c r="DM79" s="112">
        <f>DE79*IF(VLOOKUP($E79,武器奇术!$A:$R,17,FALSE)="破竹",VLOOKUP($E79,武器奇术!$A:$R,4,FALSE),VLOOKUP($E79,武器奇术!$A:$R,2,FALSE))*(1+DF79)*(1+DG79)*DH79*(1+$E$17+VLOOKUP($E79,武器奇术!$A:$R,10,FALSE))</f>
        <v>1262.40508218825</v>
      </c>
      <c r="DN79" s="110">
        <f t="shared" si="29"/>
        <v>0.0986</v>
      </c>
      <c r="DO79" s="112">
        <f>DD79*IF(VLOOKUP($E79,武器奇术!$A:$R,17,FALSE)="破竹",VLOOKUP($E79,武器奇术!$A:$R,4,FALSE),VLOOKUP($E79,武器奇术!$A:$R,2,FALSE))*(1+DF79)*(1+DG79)*DH79</f>
        <v>935.114875695</v>
      </c>
      <c r="DP79" s="110">
        <f t="shared" si="30"/>
        <v>0.00928814000000003</v>
      </c>
      <c r="DQ79" s="113">
        <f t="shared" si="31"/>
        <v>1494.87139356718</v>
      </c>
    </row>
    <row r="80" customFormat="1" spans="1:121">
      <c r="A80" s="36"/>
      <c r="B80" t="s">
        <v>158</v>
      </c>
      <c r="C80" s="147">
        <v>0.2</v>
      </c>
      <c r="D80"/>
      <c r="E80" s="98" t="s">
        <v>132</v>
      </c>
      <c r="F80" s="99">
        <v>1</v>
      </c>
      <c r="G80" s="115"/>
      <c r="H80" s="149">
        <f>IF(VLOOKUP($E80,武器奇术!$A:$R,18,FALSE)="天工",AE80,(AE80+AT80+BI80+BX80+CM80+DB80+DQ80))*(1+J80)*F80*K80*(1+G80)*(1+$G$21*5%)</f>
        <v>54311.5774135451</v>
      </c>
      <c r="I80" s="101">
        <f t="shared" si="0"/>
        <v>0.00670546560260393</v>
      </c>
      <c r="J80" s="101">
        <f>$F$3+VLOOKUP($E80,武器奇术!$A:$R,12,FALSE)+VLOOKUP($E80,武器奇术!$A:$R,14,FALSE)*$G$3+$P80</f>
        <v>0.473</v>
      </c>
      <c r="K80" s="102">
        <f>VLOOKUP($E80,武器奇术!$A:$R,11,FALSE)</f>
        <v>1</v>
      </c>
      <c r="L80" s="117">
        <f>IF(VLOOKUP($E80,武器奇术!$A:$R,15,FALSE)="天工",0%,IF($C$17+VLOOKUP($E80,武器奇术!$A:$R,7,FALSE)&gt;80%,80%,$C$17+VLOOKUP($E80,武器奇术!$A:$R,7,FALSE))+IF($C$19&gt;20%,20%,$C$19))</f>
        <v>0.892</v>
      </c>
      <c r="M80" s="118">
        <f>IF(VLOOKUP($E80,武器奇术!$A:$R,15,FALSE)="天工",0%,IF($C$18+VLOOKUP($E80,武器奇术!$A:$R,9,FALSE)&gt;40%,40%,$C$18+VLOOKUP($E80,武器奇术!$A:$R,9,FALSE))+IF($C$20&gt;10%,10%,$C$20))</f>
        <v>0.0986</v>
      </c>
      <c r="N80" s="119">
        <f>IF(VLOOKUP($E80,武器奇术!$A:$R,15,FALSE)="天工",100%,MIN($C$16,1))</f>
        <v>0.9881</v>
      </c>
      <c r="O80" s="120" t="str">
        <f>VLOOKUP($E80,武器奇术!$A:$R,16,FALSE)</f>
        <v>拳甲</v>
      </c>
      <c r="P80" s="121">
        <f t="shared" si="38"/>
        <v>0.17</v>
      </c>
      <c r="Q80" s="108">
        <f>$B$5*(1+VLOOKUP($E80,武器奇术!$A:$R,5,FALSE)+IF($G$5="飞隼",0.1,0)+IF($G$5="撼天",0.05,0))-$F$9+IF($I$5="√",160,0)</f>
        <v>1731.135</v>
      </c>
      <c r="R80" s="99">
        <f>IF(VLOOKUP($E80,武器奇术!$A:$Z,20,FALSE)=1,(S80-(Q80+S80)*0.5)*($G$15-0.5)*2+(Q80+S80)*0.5,(Q80+S80)*0.5)</f>
        <v>3256.775</v>
      </c>
      <c r="S80" s="109">
        <f>MAX($C$5,$B$5)*(1+VLOOKUP($E80,武器奇术!$A:$R,5,FALSE)+IF($G$5="飞隼",0.1,0)+IF($G$5="撼天",0.05,0))-$F$9+IF($I$5="√",320,0)</f>
        <v>4782.415</v>
      </c>
      <c r="T80" s="101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U80" s="111">
        <f>$E$5+IF(VLOOKUP($E80,武器奇术!$A:$U,21,FALSE)=1,0,0.09)</f>
        <v>0.115</v>
      </c>
      <c r="V80" s="109">
        <v>1</v>
      </c>
      <c r="W80" s="112">
        <f>Q80*VLOOKUP($E80,武器奇术!$A:$R,2,FALSE)*(1+T80)*(1+U80)*V80</f>
        <v>5854.51393233431</v>
      </c>
      <c r="X80" s="110">
        <f>(1-IF(VLOOKUP($E80,武器奇术!$A:$T,20,FALSE)=1,1,$N80))*(1-$M80)</f>
        <v>0.01072666</v>
      </c>
      <c r="Y80" s="112">
        <f>R80*VLOOKUP($E80,武器奇术!$A:$R,2,FALSE)*(1+T80)*(1+U80)*V80*(1+$E$16+VLOOKUP($E80,武器奇术!$A:$R,8,FALSE))</f>
        <v>18063.0677351241</v>
      </c>
      <c r="Z80" s="110">
        <f t="shared" si="39"/>
        <v>0.8813852</v>
      </c>
      <c r="AA80" s="112">
        <f>S80*VLOOKUP($E80,武器奇术!$A:$R,2,FALSE)*(1+T80)*(1+U80)*V80*(1+$E$17+VLOOKUP($E80,武器奇术!$A:$R,10,FALSE))</f>
        <v>21834.3835601505</v>
      </c>
      <c r="AB80" s="110">
        <f t="shared" si="40"/>
        <v>0.0986</v>
      </c>
      <c r="AC80" s="112">
        <f>R80*VLOOKUP($E80,武器奇术!$A:$R,2,FALSE)*(1+T80)*(1+U80)*V80</f>
        <v>11014.0656921488</v>
      </c>
      <c r="AD80" s="110">
        <f t="shared" si="1"/>
        <v>0.00928814000000003</v>
      </c>
      <c r="AE80" s="113">
        <f t="shared" si="2"/>
        <v>18238.490351902</v>
      </c>
      <c r="AF80" s="114">
        <f>VLOOKUP($E80,武器奇术!$A:$R,3,FALSE)*(1+IF(VLOOKUP($E80,武器奇术!$A:$R,15,FALSE)="武器",$E$15,0))</f>
        <v>877.5</v>
      </c>
      <c r="AG80" s="112">
        <f t="shared" si="3"/>
        <v>877.5</v>
      </c>
      <c r="AH80" s="112">
        <f>VLOOKUP($E80,武器奇术!$A:$R,3,FALSE)*(1+IF(VLOOKUP($E80,武器奇术!$A:$R,15,FALSE)="武器",$E$15,0))</f>
        <v>877.5</v>
      </c>
      <c r="AI80" s="101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AJ80" s="111">
        <f>$E$5+IF(VLOOKUP($E80,武器奇术!$A:$U,21,FALSE)=1,0,0.09)</f>
        <v>0.115</v>
      </c>
      <c r="AK80" s="109">
        <v>1</v>
      </c>
      <c r="AL80" s="112">
        <f t="shared" si="41"/>
        <v>1215.188325</v>
      </c>
      <c r="AM80" s="110">
        <f>(1-IF(VLOOKUP($E80,武器奇术!$A:$T,20,FALSE)=1,1,$N80))*(1-$M80)</f>
        <v>0.01072666</v>
      </c>
      <c r="AN80" s="112">
        <f>AG80*(1+AI80)*(1+AJ80)*AK80*(1+$E$16+VLOOKUP($E80,武器奇术!$A:$R,8,FALSE))</f>
        <v>1992.908853</v>
      </c>
      <c r="AO80" s="110">
        <f t="shared" si="4"/>
        <v>0.8813852</v>
      </c>
      <c r="AP80" s="112">
        <f>AH80*(1+AI80)*(1+AJ80)*AK80*(1+$E$17+VLOOKUP($E80,武器奇术!$A:$R,10,FALSE))</f>
        <v>1640.50423875</v>
      </c>
      <c r="AQ80" s="110">
        <f t="shared" si="5"/>
        <v>0.0986</v>
      </c>
      <c r="AR80" s="112">
        <f t="shared" si="6"/>
        <v>1215.188325</v>
      </c>
      <c r="AS80" s="110">
        <f t="shared" si="7"/>
        <v>0.00928814000000003</v>
      </c>
      <c r="AT80" s="113">
        <f t="shared" si="8"/>
        <v>1942.59583721114</v>
      </c>
      <c r="AU80" s="108">
        <f>$B$7*IF($G$5="撼天",1.05,1)+IF(AND(VLOOKUP($E80,武器奇术!$A:$R,15,FALSE)="武器",VLOOKUP($E80,武器奇术!$A:$R,17,FALSE)="鸣金"),$E$3,0)*(1+$E$15)</f>
        <v>0</v>
      </c>
      <c r="AV80" s="99">
        <f>(AU80+AW80)*IF(VLOOKUP($E80,武器奇术!$A:$Z,21,FALSE)=1,$G$15,0.5)</f>
        <v>0</v>
      </c>
      <c r="AW80" s="109">
        <f>MAX($C$7*IF($G$5="撼天",1.05,1)+IF(AND(VLOOKUP($E80,武器奇术!$A:$R,15,FALSE)="武器",VLOOKUP($E80,武器奇术!$A:$R,17,FALSE)="鸣金"),$E$3*(1+$E$15),0),AU80)</f>
        <v>0</v>
      </c>
      <c r="AX80" s="110">
        <f>IF(($D$7+IF(VLOOKUP($E80,武器奇术!$A:$R,17,FALSE)="鸣金",$D$15,0)+IF(VLOOKUP($E80,武器奇术!$A:$R,18,FALSE)=1,4,0)+IF(VLOOKUP($E80,武器奇术!$A:$S,19,FALSE)=1,20,0)-VLOOKUP($F$7,目标属性!$A:$R,6,FALSE))&gt;0,($D$7+IF(VLOOKUP($E80,武器奇术!$A:$R,17,FALSE)="鸣金",$D$15,0)+IF(VLOOKUP($E80,武器奇术!$A:$R,18,FALSE)=1,4,0)+IF(VLOOKUP($E80,武器奇术!$A:$S,19,FALSE)=1,20,0)-VLOOKUP($F$7,目标属性!$A:$R,6,FALSE))/200,($D$7+IF(VLOOKUP($E80,武器奇术!$A:$R,17,FALSE)="鸣金",$D$15,0)+IF(VLOOKUP($E80,武器奇术!$A:$R,18,FALSE)=1,4,0)+IF(VLOOKUP($E80,武器奇术!$A:$S,19,FALSE)=1,20,0)-VLOOKUP($F$7,目标属性!$A:$R,6,FALSE))/100)</f>
        <v>-0.24</v>
      </c>
      <c r="AY80" s="111">
        <f t="shared" si="9"/>
        <v>0</v>
      </c>
      <c r="AZ80" s="109">
        <v>1</v>
      </c>
      <c r="BA80" s="112">
        <f>AU80*IF(VLOOKUP($E80,武器奇术!$A:$R,17,FALSE)="鸣金",VLOOKUP($E80,武器奇术!$A:$R,4,FALSE),VLOOKUP($E80,武器奇术!$A:$R,2,FALSE))*(1+AX80)*(1+AY80)*AZ80</f>
        <v>0</v>
      </c>
      <c r="BB80" s="110">
        <f>(1-IF(VLOOKUP($E80,武器奇术!$A:$T,20,FALSE)=1,1,$N80))*(1-$M80)</f>
        <v>0.01072666</v>
      </c>
      <c r="BC80" s="112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10">
        <f t="shared" si="10"/>
        <v>0.8813852</v>
      </c>
      <c r="BE80" s="112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10">
        <f t="shared" si="11"/>
        <v>0.0986</v>
      </c>
      <c r="BG80" s="112">
        <f>AV80*IF(VLOOKUP($E80,武器奇术!$A:$R,17,FALSE)="鸣金",VLOOKUP($E80,武器奇术!$A:$R,4,FALSE),VLOOKUP($E80,武器奇术!$A:$R,2,FALSE))*(1+AX80)*(1+AY80)*AZ80</f>
        <v>0</v>
      </c>
      <c r="BH80" s="110">
        <f t="shared" si="12"/>
        <v>0.00928814000000003</v>
      </c>
      <c r="BI80" s="113">
        <f t="shared" si="13"/>
        <v>0</v>
      </c>
      <c r="BJ80" s="108">
        <f>$B$9*IF($G$5="撼天",1.05,1)+IF(AND(VLOOKUP($E80,武器奇术!$A:$R,15,FALSE)="武器",VLOOKUP($E80,武器奇术!$A:$R,17,FALSE)="裂石"),$E$3,0)*(1+$E$15)</f>
        <v>0</v>
      </c>
      <c r="BK80" s="99">
        <f>(BJ80+BL80)*IF(VLOOKUP($E80,武器奇术!$A:$Z,21,FALSE)=1,$G$15,0.5)</f>
        <v>0</v>
      </c>
      <c r="BL80" s="109">
        <f>MAX($C$9*IF($G$5="撼天",1.05,1)+IF(AND(VLOOKUP($E80,武器奇术!$A:$R,15,FALSE)="武器",VLOOKUP($E80,武器奇术!$A:$R,17,FALSE)="裂石"),$E$3*(1+$E$15),0),BJ80)</f>
        <v>0</v>
      </c>
      <c r="BM80" s="110">
        <f>IF(($D$9+IF(VLOOKUP($E80,武器奇术!$A:$R,17,FALSE)="裂石",$D$15,0)+IF(VLOOKUP($E80,武器奇术!$A:$R,18,FALSE)=1,4,0)+IF(VLOOKUP($E80,武器奇术!$A:$S,19,FALSE)=1,20,0)-VLOOKUP($F$7,目标属性!$A:$R,6,FALSE))&gt;0,($D$9+IF(VLOOKUP($E80,武器奇术!$A:$R,17,FALSE)="裂石",$D$15,0)+IF(VLOOKUP($E80,武器奇术!$A:$R,18,FALSE)=1,4,0)+IF(VLOOKUP($E80,武器奇术!$A:$S,19,FALSE)=1,20,0)-VLOOKUP($F$7,目标属性!$A:$R,6,FALSE))/200,($D$9+IF(VLOOKUP($E80,武器奇术!$A:$R,17,FALSE)="裂石",$D$15,0)+IF(VLOOKUP($E80,武器奇术!$A:$R,18,FALSE)=1,4,0)+IF(VLOOKUP($E80,武器奇术!$A:$S,19,FALSE)=1,20,0)-VLOOKUP($F$7,目标属性!$A:$R,6,FALSE))/100)</f>
        <v>-0.24</v>
      </c>
      <c r="BN80" s="111">
        <f t="shared" si="14"/>
        <v>0</v>
      </c>
      <c r="BO80" s="109">
        <v>1</v>
      </c>
      <c r="BP80" s="112">
        <f>BJ80*IF(VLOOKUP($E80,武器奇术!$A:$R,17,FALSE)="裂石",VLOOKUP($E80,武器奇术!$A:$R,4,FALSE),VLOOKUP($E80,武器奇术!$A:$R,2,FALSE))*(1+BM80)*(1+BN80)*BO80</f>
        <v>0</v>
      </c>
      <c r="BQ80" s="110">
        <f>(1-IF(VLOOKUP($E80,武器奇术!$A:$T,20,FALSE)=1,1,$N80))*(1-$M80)</f>
        <v>0.01072666</v>
      </c>
      <c r="BR80" s="112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10">
        <f t="shared" si="15"/>
        <v>0.8813852</v>
      </c>
      <c r="BT80" s="112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10">
        <f t="shared" si="16"/>
        <v>0.0986</v>
      </c>
      <c r="BV80" s="112">
        <f>BK80*IF(VLOOKUP($E80,武器奇术!$A:$R,17,FALSE)="裂石",VLOOKUP($E80,武器奇术!$A:$R,4,FALSE),VLOOKUP($E80,武器奇术!$A:$R,2,FALSE))*(1+BM80)*(1+BN80)*BO80</f>
        <v>0</v>
      </c>
      <c r="BW80" s="110">
        <f t="shared" si="17"/>
        <v>0.00928814000000003</v>
      </c>
      <c r="BX80" s="113">
        <f t="shared" si="18"/>
        <v>0</v>
      </c>
      <c r="BY80" s="108">
        <f>$B$11*IF($G$5="撼天",1.05,1)+IF(AND(VLOOKUP($E80,武器奇术!$A:$R,15,FALSE)="武器",VLOOKUP($E80,武器奇术!$A:$R,17,FALSE)="牵丝"),$E$3,0)*(1+$E$15)</f>
        <v>0</v>
      </c>
      <c r="BZ80" s="99">
        <f>(BY80+CA80)*IF(VLOOKUP($E80,武器奇术!$A:$Z,21,FALSE)=1,$G$15,0.5)</f>
        <v>0</v>
      </c>
      <c r="CA80" s="109">
        <f>MAX($C$11*IF($G$5="撼天",1.05,1)+IF(AND(VLOOKUP($E80,武器奇术!$A:$R,15,FALSE)="武器",VLOOKUP($E80,武器奇术!$A:$R,17,FALSE)="牵丝"),$E$3*(1+$E$15),0),BY80)</f>
        <v>0</v>
      </c>
      <c r="CB80" s="110">
        <f>IF(($D$11+IF(VLOOKUP($E80,武器奇术!$A:$R,17,FALSE)="牵丝",$D$15,0)+IF(VLOOKUP($E80,武器奇术!$A:$R,18,FALSE)=1,4,0)+IF(VLOOKUP($E80,武器奇术!$A:$S,19,FALSE)=1,20,0)-VLOOKUP($F$7,目标属性!$A:$R,6,FALSE))&gt;0,($D$11+IF(VLOOKUP($E80,武器奇术!$A:$R,17,FALSE)="牵丝",$D$15,0)+IF(VLOOKUP($E80,武器奇术!$A:$R,18,FALSE)=1,4,0)+IF(VLOOKUP($E80,武器奇术!$A:$S,19,FALSE)=1,20,0)-VLOOKUP($F$7,目标属性!$A:$R,6,FALSE))/200,($D$11+IF(VLOOKUP($E80,武器奇术!$A:$R,17,FALSE)="牵丝",$D$15,0)+IF(VLOOKUP($E80,武器奇术!$A:$R,18,FALSE)=1,4,0)+IF(VLOOKUP($E80,武器奇术!$A:$S,19,FALSE)=1,20,0)-VLOOKUP($F$7,目标属性!$A:$R,6,FALSE))/100)</f>
        <v>-0.24</v>
      </c>
      <c r="CC80" s="111">
        <f t="shared" si="19"/>
        <v>0</v>
      </c>
      <c r="CD80" s="109">
        <v>1</v>
      </c>
      <c r="CE80" s="112">
        <f>BY80*IF(VLOOKUP($E80,武器奇术!$A:$R,17,FALSE)="牵丝",VLOOKUP($E80,武器奇术!$A:$R,4,FALSE),VLOOKUP($E80,武器奇术!$A:$R,2,FALSE))*(1+CB80)*(1+CC80)*CD80</f>
        <v>0</v>
      </c>
      <c r="CF80" s="110">
        <f>(1-IF(VLOOKUP($E80,武器奇术!$A:$T,20,FALSE)=1,1,$N80))*(1-$M80)</f>
        <v>0.01072666</v>
      </c>
      <c r="CG80" s="112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110">
        <f t="shared" si="20"/>
        <v>0.8813852</v>
      </c>
      <c r="CI80" s="112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110">
        <f t="shared" si="21"/>
        <v>0.0986</v>
      </c>
      <c r="CK80" s="112">
        <f>BZ80*IF(VLOOKUP($E80,武器奇术!$A:$R,17,FALSE)="牵丝",VLOOKUP($E80,武器奇术!$A:$R,4,FALSE),VLOOKUP($E80,武器奇术!$A:$R,2,FALSE))*(1+CB80)*(1+CC80)*CD80</f>
        <v>0</v>
      </c>
      <c r="CL80" s="110">
        <f t="shared" si="22"/>
        <v>0.00928814000000003</v>
      </c>
      <c r="CM80" s="113">
        <f t="shared" si="23"/>
        <v>0</v>
      </c>
      <c r="CN80" s="108">
        <f>$B$13*IF($G$5="撼天",1.05,1)+IF(AND(VLOOKUP($E80,武器奇术!$A:$R,15,FALSE)="武器",VLOOKUP($E80,武器奇术!$A:$R,17,FALSE)="破竹"),$E$3,0)*(1+$E$15)</f>
        <v>648.46</v>
      </c>
      <c r="CO80" s="99">
        <f>IF(VLOOKUP($E80,武器奇术!$A:$Z,20,FALSE)=1,(CP80-(CN80+CP80)*0.5)*($G$15-0.5)*2+(CN80+CP80)*0.5,(CN80+CP80)*0.5)</f>
        <v>875.26</v>
      </c>
      <c r="CP80" s="109">
        <f>MAX($C$13*IF($G$5="撼天",1.05,1)+IF(AND(VLOOKUP($E80,武器奇术!$A:$R,15,FALSE)="武器",VLOOKUP($E80,武器奇术!$A:$R,17,FALSE)="破竹"),$E$3*(1+$E$15),0),CN80)</f>
        <v>1102.06</v>
      </c>
      <c r="CQ80" s="110">
        <f>IF(($D$13+IF(VLOOKUP($E80,武器奇术!$A:$R,17,FALSE)="破竹",$D$15,0)+IF(VLOOKUP($E80,武器奇术!$A:$R,18,FALSE)=1,4,0)+IF(VLOOKUP($E80,武器奇术!$A:$S,19,FALSE)=1,20,0)-VLOOKUP($F$7,目标属性!$A:$R,6,FALSE))&gt;0,($D$13+IF(VLOOKUP($E80,武器奇术!$A:$R,17,FALSE)="破竹",$D$15,0)+IF(VLOOKUP($E80,武器奇术!$A:$R,18,FALSE)=1,4,0)+IF(VLOOKUP($E80,武器奇术!$A:$S,19,FALSE)=1,20,0)-VLOOKUP($F$7,目标属性!$A:$R,6,FALSE))/200,($D$13+IF(VLOOKUP($E80,武器奇术!$A:$R,17,FALSE)="破竹",$D$15,0)+IF(VLOOKUP($E80,武器奇术!$A:$R,18,FALSE)=1,4,0)+IF(VLOOKUP($E80,武器奇术!$A:$S,19,FALSE)=1,20,0)-VLOOKUP($F$7,目标属性!$A:$R,6,FALSE))/100)</f>
        <v>0.025</v>
      </c>
      <c r="CR80" s="111">
        <f>$E$13+IF(VLOOKUP($E80,武器奇术!$A:$U,21,FALSE)=1,0,0.09)</f>
        <v>0.235</v>
      </c>
      <c r="CS80" s="109">
        <v>1</v>
      </c>
      <c r="CT80" s="112">
        <f>CN80*IF(VLOOKUP($E80,武器奇术!$A:$R,17,FALSE)="破竹",VLOOKUP($E80,武器奇术!$A:$R,4,FALSE),VLOOKUP($E80,武器奇术!$A:$R,2,FALSE))*(1+CQ80)*(1+CR80)*CS80</f>
        <v>3007.1726027785</v>
      </c>
      <c r="CU80" s="110">
        <f>(1-IF(VLOOKUP($E80,武器奇术!$A:$T,20,FALSE)=1,1,$N80))*(1-$M80)</f>
        <v>0.01072666</v>
      </c>
      <c r="CV80" s="112">
        <f>CO80*IF(VLOOKUP($E80,武器奇术!$A:$R,17,FALSE)="破竹",VLOOKUP($E80,武器奇术!$A:$R,4,FALSE),VLOOKUP($E80,武器奇术!$A:$R,2,FALSE))*(1+CQ80)*(1+CR80)*CS80*(1+$E$16+VLOOKUP($E80,武器奇术!$A:$R,8,FALSE))</f>
        <v>6656.65568174594</v>
      </c>
      <c r="CW80" s="110">
        <f t="shared" si="24"/>
        <v>0.8813852</v>
      </c>
      <c r="CX80" s="112">
        <f>CP80*IF(VLOOKUP($E80,武器奇术!$A:$R,17,FALSE)="破竹",VLOOKUP($E80,武器奇术!$A:$R,4,FALSE),VLOOKUP($E80,武器奇术!$A:$R,2,FALSE))*(1+CQ80)*(1+CR80)*CS80*(1+$E$17+VLOOKUP($E80,武器奇术!$A:$R,10,FALSE))</f>
        <v>6899.44524278198</v>
      </c>
      <c r="CY80" s="110">
        <f t="shared" si="25"/>
        <v>0.0986</v>
      </c>
      <c r="CZ80" s="112">
        <f>CO80*IF(VLOOKUP($E80,武器奇术!$A:$R,17,FALSE)="破竹",VLOOKUP($E80,武器奇术!$A:$R,4,FALSE),VLOOKUP($E80,武器奇术!$A:$R,2,FALSE))*(1+CQ80)*(1+CR80)*CS80</f>
        <v>4058.9363913085</v>
      </c>
      <c r="DA80" s="110">
        <f t="shared" si="26"/>
        <v>0.00928814000000003</v>
      </c>
      <c r="DB80" s="113">
        <f t="shared" si="27"/>
        <v>6617.31998784997</v>
      </c>
      <c r="DC80" s="108">
        <f t="shared" si="36"/>
        <v>69.3</v>
      </c>
      <c r="DD80" s="99">
        <f>(DC80+DE80)*IF(VLOOKUP($E80,武器奇术!$A:$Z,21,FALSE)=1,$G$15,0.5)</f>
        <v>69.3</v>
      </c>
      <c r="DE80" s="109">
        <f t="shared" si="37"/>
        <v>69.3</v>
      </c>
      <c r="DF80" s="110">
        <f>IF(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100)</f>
        <v>0.025</v>
      </c>
      <c r="DG80" s="111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U,21,FALSE)=1,0,0.09)</f>
        <v>0.235</v>
      </c>
      <c r="DH80" s="109">
        <v>1</v>
      </c>
      <c r="DI80" s="112">
        <f>DC80*IF(VLOOKUP($E80,武器奇术!$A:$R,17,FALSE)="破竹",VLOOKUP($E80,武器奇术!$A:$R,4,FALSE),VLOOKUP($E80,武器奇术!$A:$R,2,FALSE))*(1+DF80)*(1+DG80)*DH80</f>
        <v>321.3722687175</v>
      </c>
      <c r="DJ80" s="110">
        <f>(1-IF(VLOOKUP($E80,武器奇术!$A:$T,20,FALSE)=1,1,$N80))*(1-$M80)</f>
        <v>0.01072666</v>
      </c>
      <c r="DK80" s="112">
        <f>DD80*IF(VLOOKUP($E80,武器奇术!$A:$R,17,FALSE)="破竹",VLOOKUP($E80,武器奇术!$A:$R,4,FALSE),VLOOKUP($E80,武器奇术!$A:$R,2,FALSE))*(1+DF80)*(1+DG80)*DH80*(1+$E$16+VLOOKUP($E80,武器奇术!$A:$R,8,FALSE))</f>
        <v>527.0505206967</v>
      </c>
      <c r="DL80" s="110">
        <f t="shared" si="28"/>
        <v>0.8813852</v>
      </c>
      <c r="DM80" s="112">
        <f>DE80*IF(VLOOKUP($E80,武器奇术!$A:$R,17,FALSE)="破竹",VLOOKUP($E80,武器奇术!$A:$R,4,FALSE),VLOOKUP($E80,武器奇术!$A:$R,2,FALSE))*(1+DF80)*(1+DG80)*DH80*(1+$E$17+VLOOKUP($E80,武器奇术!$A:$R,10,FALSE))</f>
        <v>433.852562768625</v>
      </c>
      <c r="DN80" s="110">
        <f t="shared" si="29"/>
        <v>0.0986</v>
      </c>
      <c r="DO80" s="112">
        <f>DD80*IF(VLOOKUP($E80,武器奇术!$A:$R,17,FALSE)="破竹",VLOOKUP($E80,武器奇术!$A:$R,4,FALSE),VLOOKUP($E80,武器奇术!$A:$R,2,FALSE))*(1+DF80)*(1+DG80)*DH80</f>
        <v>321.3722687175</v>
      </c>
      <c r="DP80" s="110">
        <f t="shared" si="30"/>
        <v>0.00928814000000003</v>
      </c>
      <c r="DQ80" s="113">
        <f t="shared" si="31"/>
        <v>513.744592967279</v>
      </c>
    </row>
    <row r="81" customFormat="1" spans="1:121">
      <c r="A81" s="36"/>
      <c r="B81" t="s">
        <v>168</v>
      </c>
      <c r="C81" s="147">
        <v>0.7</v>
      </c>
      <c r="D81"/>
      <c r="E81" s="98" t="s">
        <v>134</v>
      </c>
      <c r="F81" s="99">
        <v>1</v>
      </c>
      <c r="G81" s="115"/>
      <c r="H81" s="149">
        <f>IF(VLOOKUP($E81,武器奇术!$A:$R,18,FALSE)="天工",AE81,(AE81+AT81+BI81+BX81+CM81+DB81+DQ81))*(1+J81)*F81*K81*(1+G81)*(1+$G$21*5%)</f>
        <v>28646.9930354516</v>
      </c>
      <c r="I81" s="101">
        <f t="shared" si="0"/>
        <v>0.00353684123284824</v>
      </c>
      <c r="J81" s="101">
        <f>$F$3+VLOOKUP($E81,武器奇术!$A:$R,12,FALSE)+VLOOKUP($E81,武器奇术!$A:$R,14,FALSE)*$G$3+$P81</f>
        <v>0.473</v>
      </c>
      <c r="K81" s="102">
        <f>VLOOKUP($E81,武器奇术!$A:$R,11,FALSE)</f>
        <v>1</v>
      </c>
      <c r="L81" s="117">
        <f>IF(VLOOKUP($E81,武器奇术!$A:$R,15,FALSE)="天工",0%,IF($C$17+VLOOKUP($E81,武器奇术!$A:$R,7,FALSE)&gt;80%,80%,$C$17+VLOOKUP($E81,武器奇术!$A:$R,7,FALSE))+IF($C$19&gt;20%,20%,$C$19))</f>
        <v>0.892</v>
      </c>
      <c r="M81" s="118">
        <f>IF(VLOOKUP($E81,武器奇术!$A:$R,15,FALSE)="天工",0%,IF($C$18+VLOOKUP($E81,武器奇术!$A:$R,9,FALSE)&gt;40%,40%,$C$18+VLOOKUP($E81,武器奇术!$A:$R,9,FALSE))+IF($C$20&gt;10%,10%,$C$20))</f>
        <v>0.0986</v>
      </c>
      <c r="N81" s="119">
        <f>IF(VLOOKUP($E81,武器奇术!$A:$R,15,FALSE)="天工",100%,MIN($C$16,1))</f>
        <v>0.9881</v>
      </c>
      <c r="O81" s="120" t="str">
        <f>VLOOKUP($E81,武器奇术!$A:$R,16,FALSE)</f>
        <v>拳甲</v>
      </c>
      <c r="P81" s="121">
        <f t="shared" si="38"/>
        <v>0.17</v>
      </c>
      <c r="Q81" s="108">
        <f>$B$5*(1+VLOOKUP($E81,武器奇术!$A:$R,5,FALSE)+IF($G$5="飞隼",0.1,0)+IF($G$5="撼天",0.05,0))-$F$9+IF($I$5="√",160,0)</f>
        <v>1731.135</v>
      </c>
      <c r="R81" s="99">
        <f>IF(VLOOKUP($E81,武器奇术!$A:$Z,20,FALSE)=1,(S81-(Q81+S81)*0.5)*($G$15-0.5)*2+(Q81+S81)*0.5,(Q81+S81)*0.5)</f>
        <v>3256.775</v>
      </c>
      <c r="S81" s="109">
        <f>MAX($C$5,$B$5)*(1+VLOOKUP($E81,武器奇术!$A:$R,5,FALSE)+IF($G$5="飞隼",0.1,0)+IF($G$5="撼天",0.05,0))-$F$9+IF($I$5="√",320,0)</f>
        <v>4782.415</v>
      </c>
      <c r="T81" s="101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U81" s="111">
        <f>$E$5+IF(VLOOKUP($E81,武器奇术!$A:$U,21,FALSE)=1,0,0.09)</f>
        <v>0.115</v>
      </c>
      <c r="V81" s="109">
        <v>1</v>
      </c>
      <c r="W81" s="112">
        <f>Q81*VLOOKUP($E81,武器奇术!$A:$R,2,FALSE)*(1+T81)*(1+U81)*V81</f>
        <v>3086.79912340758</v>
      </c>
      <c r="X81" s="110">
        <f>(1-IF(VLOOKUP($E81,武器奇术!$A:$T,20,FALSE)=1,1,$N81))*(1-$M81)</f>
        <v>0.01072666</v>
      </c>
      <c r="Y81" s="112">
        <f>R81*VLOOKUP($E81,武器奇术!$A:$R,2,FALSE)*(1+T81)*(1+U81)*V81*(1+$E$16+VLOOKUP($E81,武器奇术!$A:$R,8,FALSE))</f>
        <v>9523.77298871699</v>
      </c>
      <c r="Z81" s="110">
        <f t="shared" si="39"/>
        <v>0.8813852</v>
      </c>
      <c r="AA81" s="112">
        <f>S81*VLOOKUP($E81,武器奇术!$A:$R,2,FALSE)*(1+T81)*(1+U81)*V81*(1+$E$17+VLOOKUP($E81,武器奇术!$A:$R,10,FALSE))</f>
        <v>11512.2035428729</v>
      </c>
      <c r="AB81" s="110">
        <f t="shared" si="40"/>
        <v>0.0986</v>
      </c>
      <c r="AC81" s="112">
        <f>R81*VLOOKUP($E81,武器奇术!$A:$R,2,FALSE)*(1+T81)*(1+U81)*V81</f>
        <v>5807.1786516567</v>
      </c>
      <c r="AD81" s="110">
        <f t="shared" si="1"/>
        <v>0.00928814000000003</v>
      </c>
      <c r="AE81" s="113">
        <f t="shared" si="2"/>
        <v>9616.26476274887</v>
      </c>
      <c r="AF81" s="114">
        <f>VLOOKUP($E81,武器奇术!$A:$R,3,FALSE)*(1+IF(VLOOKUP($E81,武器奇术!$A:$R,15,FALSE)="武器",$E$15,0))</f>
        <v>465.4</v>
      </c>
      <c r="AG81" s="112">
        <f t="shared" si="3"/>
        <v>465.4</v>
      </c>
      <c r="AH81" s="112">
        <f>VLOOKUP($E81,武器奇术!$A:$R,3,FALSE)*(1+IF(VLOOKUP($E81,武器奇术!$A:$R,15,FALSE)="武器",$E$15,0))</f>
        <v>465.4</v>
      </c>
      <c r="AI81" s="101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AJ81" s="111">
        <f>$E$5+IF(VLOOKUP($E81,武器奇术!$A:$U,21,FALSE)=1,0,0.09)</f>
        <v>0.115</v>
      </c>
      <c r="AK81" s="109">
        <v>1</v>
      </c>
      <c r="AL81" s="112">
        <f t="shared" si="41"/>
        <v>644.499882</v>
      </c>
      <c r="AM81" s="110">
        <f>(1-IF(VLOOKUP($E81,武器奇术!$A:$T,20,FALSE)=1,1,$N81))*(1-$M81)</f>
        <v>0.01072666</v>
      </c>
      <c r="AN81" s="112">
        <f>AG81*(1+AI81)*(1+AJ81)*AK81*(1+$E$16+VLOOKUP($E81,武器奇术!$A:$R,8,FALSE))</f>
        <v>1056.97980648</v>
      </c>
      <c r="AO81" s="110">
        <f t="shared" si="4"/>
        <v>0.8813852</v>
      </c>
      <c r="AP81" s="112">
        <f>AH81*(1+AI81)*(1+AJ81)*AK81*(1+$E$17+VLOOKUP($E81,武器奇术!$A:$R,10,FALSE))</f>
        <v>870.0748407</v>
      </c>
      <c r="AQ81" s="110">
        <f t="shared" si="5"/>
        <v>0.0986</v>
      </c>
      <c r="AR81" s="112">
        <f t="shared" si="6"/>
        <v>644.499882</v>
      </c>
      <c r="AS81" s="110">
        <f t="shared" si="7"/>
        <v>0.00928814000000003</v>
      </c>
      <c r="AT81" s="113">
        <f t="shared" si="8"/>
        <v>1030.29527366161</v>
      </c>
      <c r="AU81" s="108">
        <f>$B$7*IF($G$5="撼天",1.05,1)+IF(AND(VLOOKUP($E81,武器奇术!$A:$R,15,FALSE)="武器",VLOOKUP($E81,武器奇术!$A:$R,17,FALSE)="鸣金"),$E$3,0)*(1+$E$15)</f>
        <v>0</v>
      </c>
      <c r="AV81" s="99">
        <f>(AU81+AW81)*IF(VLOOKUP($E81,武器奇术!$A:$Z,21,FALSE)=1,$G$15,0.5)</f>
        <v>0</v>
      </c>
      <c r="AW81" s="109">
        <f>MAX($C$7*IF($G$5="撼天",1.05,1)+IF(AND(VLOOKUP($E81,武器奇术!$A:$R,15,FALSE)="武器",VLOOKUP($E81,武器奇术!$A:$R,17,FALSE)="鸣金"),$E$3*(1+$E$15),0),AU81)</f>
        <v>0</v>
      </c>
      <c r="AX81" s="110">
        <f>IF(($D$7+IF(VLOOKUP($E81,武器奇术!$A:$R,17,FALSE)="鸣金",$D$15,0)+IF(VLOOKUP($E81,武器奇术!$A:$R,18,FALSE)=1,4,0)+IF(VLOOKUP($E81,武器奇术!$A:$S,19,FALSE)=1,20,0)-VLOOKUP($F$7,目标属性!$A:$R,6,FALSE))&gt;0,($D$7+IF(VLOOKUP($E81,武器奇术!$A:$R,17,FALSE)="鸣金",$D$15,0)+IF(VLOOKUP($E81,武器奇术!$A:$R,18,FALSE)=1,4,0)+IF(VLOOKUP($E81,武器奇术!$A:$S,19,FALSE)=1,20,0)-VLOOKUP($F$7,目标属性!$A:$R,6,FALSE))/200,($D$7+IF(VLOOKUP($E81,武器奇术!$A:$R,17,FALSE)="鸣金",$D$15,0)+IF(VLOOKUP($E81,武器奇术!$A:$R,18,FALSE)=1,4,0)+IF(VLOOKUP($E81,武器奇术!$A:$S,19,FALSE)=1,20,0)-VLOOKUP($F$7,目标属性!$A:$R,6,FALSE))/100)</f>
        <v>-0.24</v>
      </c>
      <c r="AY81" s="111">
        <f t="shared" si="9"/>
        <v>0</v>
      </c>
      <c r="AZ81" s="109">
        <v>1</v>
      </c>
      <c r="BA81" s="112">
        <f>AU81*IF(VLOOKUP($E81,武器奇术!$A:$R,17,FALSE)="鸣金",VLOOKUP($E81,武器奇术!$A:$R,4,FALSE),VLOOKUP($E81,武器奇术!$A:$R,2,FALSE))*(1+AX81)*(1+AY81)*AZ81</f>
        <v>0</v>
      </c>
      <c r="BB81" s="110">
        <f>(1-IF(VLOOKUP($E81,武器奇术!$A:$T,20,FALSE)=1,1,$N81))*(1-$M81)</f>
        <v>0.01072666</v>
      </c>
      <c r="BC81" s="112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10">
        <f t="shared" si="10"/>
        <v>0.8813852</v>
      </c>
      <c r="BE81" s="112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10">
        <f t="shared" si="11"/>
        <v>0.0986</v>
      </c>
      <c r="BG81" s="112">
        <f>AV81*IF(VLOOKUP($E81,武器奇术!$A:$R,17,FALSE)="鸣金",VLOOKUP($E81,武器奇术!$A:$R,4,FALSE),VLOOKUP($E81,武器奇术!$A:$R,2,FALSE))*(1+AX81)*(1+AY81)*AZ81</f>
        <v>0</v>
      </c>
      <c r="BH81" s="110">
        <f t="shared" si="12"/>
        <v>0.00928814000000003</v>
      </c>
      <c r="BI81" s="113">
        <f t="shared" si="13"/>
        <v>0</v>
      </c>
      <c r="BJ81" s="108">
        <f>$B$9*IF($G$5="撼天",1.05,1)+IF(AND(VLOOKUP($E81,武器奇术!$A:$R,15,FALSE)="武器",VLOOKUP($E81,武器奇术!$A:$R,17,FALSE)="裂石"),$E$3,0)*(1+$E$15)</f>
        <v>0</v>
      </c>
      <c r="BK81" s="99">
        <f>(BJ81+BL81)*IF(VLOOKUP($E81,武器奇术!$A:$Z,21,FALSE)=1,$G$15,0.5)</f>
        <v>0</v>
      </c>
      <c r="BL81" s="109">
        <f>MAX($C$9*IF($G$5="撼天",1.05,1)+IF(AND(VLOOKUP($E81,武器奇术!$A:$R,15,FALSE)="武器",VLOOKUP($E81,武器奇术!$A:$R,17,FALSE)="裂石"),$E$3*(1+$E$15),0),BJ81)</f>
        <v>0</v>
      </c>
      <c r="BM81" s="110">
        <f>IF(($D$9+IF(VLOOKUP($E81,武器奇术!$A:$R,17,FALSE)="裂石",$D$15,0)+IF(VLOOKUP($E81,武器奇术!$A:$R,18,FALSE)=1,4,0)+IF(VLOOKUP($E81,武器奇术!$A:$S,19,FALSE)=1,20,0)-VLOOKUP($F$7,目标属性!$A:$R,6,FALSE))&gt;0,($D$9+IF(VLOOKUP($E81,武器奇术!$A:$R,17,FALSE)="裂石",$D$15,0)+IF(VLOOKUP($E81,武器奇术!$A:$R,18,FALSE)=1,4,0)+IF(VLOOKUP($E81,武器奇术!$A:$S,19,FALSE)=1,20,0)-VLOOKUP($F$7,目标属性!$A:$R,6,FALSE))/200,($D$9+IF(VLOOKUP($E81,武器奇术!$A:$R,17,FALSE)="裂石",$D$15,0)+IF(VLOOKUP($E81,武器奇术!$A:$R,18,FALSE)=1,4,0)+IF(VLOOKUP($E81,武器奇术!$A:$S,19,FALSE)=1,20,0)-VLOOKUP($F$7,目标属性!$A:$R,6,FALSE))/100)</f>
        <v>-0.24</v>
      </c>
      <c r="BN81" s="111">
        <f t="shared" si="14"/>
        <v>0</v>
      </c>
      <c r="BO81" s="109">
        <v>1</v>
      </c>
      <c r="BP81" s="112">
        <f>BJ81*IF(VLOOKUP($E81,武器奇术!$A:$R,17,FALSE)="裂石",VLOOKUP($E81,武器奇术!$A:$R,4,FALSE),VLOOKUP($E81,武器奇术!$A:$R,2,FALSE))*(1+BM81)*(1+BN81)*BO81</f>
        <v>0</v>
      </c>
      <c r="BQ81" s="110">
        <f>(1-IF(VLOOKUP($E81,武器奇术!$A:$T,20,FALSE)=1,1,$N81))*(1-$M81)</f>
        <v>0.01072666</v>
      </c>
      <c r="BR81" s="112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10">
        <f t="shared" si="15"/>
        <v>0.8813852</v>
      </c>
      <c r="BT81" s="112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10">
        <f t="shared" si="16"/>
        <v>0.0986</v>
      </c>
      <c r="BV81" s="112">
        <f>BK81*IF(VLOOKUP($E81,武器奇术!$A:$R,17,FALSE)="裂石",VLOOKUP($E81,武器奇术!$A:$R,4,FALSE),VLOOKUP($E81,武器奇术!$A:$R,2,FALSE))*(1+BM81)*(1+BN81)*BO81</f>
        <v>0</v>
      </c>
      <c r="BW81" s="110">
        <f t="shared" si="17"/>
        <v>0.00928814000000003</v>
      </c>
      <c r="BX81" s="113">
        <f t="shared" si="18"/>
        <v>0</v>
      </c>
      <c r="BY81" s="108">
        <f>$B$11*IF($G$5="撼天",1.05,1)+IF(AND(VLOOKUP($E81,武器奇术!$A:$R,15,FALSE)="武器",VLOOKUP($E81,武器奇术!$A:$R,17,FALSE)="牵丝"),$E$3,0)*(1+$E$15)</f>
        <v>0</v>
      </c>
      <c r="BZ81" s="99">
        <f>(BY81+CA81)*IF(VLOOKUP($E81,武器奇术!$A:$Z,21,FALSE)=1,$G$15,0.5)</f>
        <v>0</v>
      </c>
      <c r="CA81" s="109">
        <f>MAX($C$11*IF($G$5="撼天",1.05,1)+IF(AND(VLOOKUP($E81,武器奇术!$A:$R,15,FALSE)="武器",VLOOKUP($E81,武器奇术!$A:$R,17,FALSE)="牵丝"),$E$3*(1+$E$15),0),BY81)</f>
        <v>0</v>
      </c>
      <c r="CB81" s="110">
        <f>IF(($D$11+IF(VLOOKUP($E81,武器奇术!$A:$R,17,FALSE)="牵丝",$D$15,0)+IF(VLOOKUP($E81,武器奇术!$A:$R,18,FALSE)=1,4,0)+IF(VLOOKUP($E81,武器奇术!$A:$S,19,FALSE)=1,20,0)-VLOOKUP($F$7,目标属性!$A:$R,6,FALSE))&gt;0,($D$11+IF(VLOOKUP($E81,武器奇术!$A:$R,17,FALSE)="牵丝",$D$15,0)+IF(VLOOKUP($E81,武器奇术!$A:$R,18,FALSE)=1,4,0)+IF(VLOOKUP($E81,武器奇术!$A:$S,19,FALSE)=1,20,0)-VLOOKUP($F$7,目标属性!$A:$R,6,FALSE))/200,($D$11+IF(VLOOKUP($E81,武器奇术!$A:$R,17,FALSE)="牵丝",$D$15,0)+IF(VLOOKUP($E81,武器奇术!$A:$R,18,FALSE)=1,4,0)+IF(VLOOKUP($E81,武器奇术!$A:$S,19,FALSE)=1,20,0)-VLOOKUP($F$7,目标属性!$A:$R,6,FALSE))/100)</f>
        <v>-0.24</v>
      </c>
      <c r="CC81" s="111">
        <f t="shared" si="19"/>
        <v>0</v>
      </c>
      <c r="CD81" s="109">
        <v>1</v>
      </c>
      <c r="CE81" s="112">
        <f>BY81*IF(VLOOKUP($E81,武器奇术!$A:$R,17,FALSE)="牵丝",VLOOKUP($E81,武器奇术!$A:$R,4,FALSE),VLOOKUP($E81,武器奇术!$A:$R,2,FALSE))*(1+CB81)*(1+CC81)*CD81</f>
        <v>0</v>
      </c>
      <c r="CF81" s="110">
        <f>(1-IF(VLOOKUP($E81,武器奇术!$A:$T,20,FALSE)=1,1,$N81))*(1-$M81)</f>
        <v>0.01072666</v>
      </c>
      <c r="CG81" s="112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110">
        <f t="shared" si="20"/>
        <v>0.8813852</v>
      </c>
      <c r="CI81" s="112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110">
        <f t="shared" si="21"/>
        <v>0.0986</v>
      </c>
      <c r="CK81" s="112">
        <f>BZ81*IF(VLOOKUP($E81,武器奇术!$A:$R,17,FALSE)="牵丝",VLOOKUP($E81,武器奇术!$A:$R,4,FALSE),VLOOKUP($E81,武器奇术!$A:$R,2,FALSE))*(1+CB81)*(1+CC81)*CD81</f>
        <v>0</v>
      </c>
      <c r="CL81" s="110">
        <f t="shared" si="22"/>
        <v>0.00928814000000003</v>
      </c>
      <c r="CM81" s="113">
        <f t="shared" si="23"/>
        <v>0</v>
      </c>
      <c r="CN81" s="108">
        <f>$B$13*IF($G$5="撼天",1.05,1)+IF(AND(VLOOKUP($E81,武器奇术!$A:$R,15,FALSE)="武器",VLOOKUP($E81,武器奇术!$A:$R,17,FALSE)="破竹"),$E$3,0)*(1+$E$15)</f>
        <v>648.46</v>
      </c>
      <c r="CO81" s="99">
        <f>IF(VLOOKUP($E81,武器奇术!$A:$Z,20,FALSE)=1,(CP81-(CN81+CP81)*0.5)*($G$15-0.5)*2+(CN81+CP81)*0.5,(CN81+CP81)*0.5)</f>
        <v>875.26</v>
      </c>
      <c r="CP81" s="109">
        <f>MAX($C$13*IF($G$5="撼天",1.05,1)+IF(AND(VLOOKUP($E81,武器奇术!$A:$R,15,FALSE)="武器",VLOOKUP($E81,武器奇术!$A:$R,17,FALSE)="破竹"),$E$3*(1+$E$15),0),CN81)</f>
        <v>1102.06</v>
      </c>
      <c r="CQ81" s="110">
        <f>IF(($D$13+IF(VLOOKUP($E81,武器奇术!$A:$R,17,FALSE)="破竹",$D$15,0)+IF(VLOOKUP($E81,武器奇术!$A:$R,18,FALSE)=1,4,0)+IF(VLOOKUP($E81,武器奇术!$A:$S,19,FALSE)=1,20,0)-VLOOKUP($F$7,目标属性!$A:$R,6,FALSE))&gt;0,($D$13+IF(VLOOKUP($E81,武器奇术!$A:$R,17,FALSE)="破竹",$D$15,0)+IF(VLOOKUP($E81,武器奇术!$A:$R,18,FALSE)=1,4,0)+IF(VLOOKUP($E81,武器奇术!$A:$S,19,FALSE)=1,20,0)-VLOOKUP($F$7,目标属性!$A:$R,6,FALSE))/200,($D$13+IF(VLOOKUP($E81,武器奇术!$A:$R,17,FALSE)="破竹",$D$15,0)+IF(VLOOKUP($E81,武器奇术!$A:$R,18,FALSE)=1,4,0)+IF(VLOOKUP($E81,武器奇术!$A:$S,19,FALSE)=1,20,0)-VLOOKUP($F$7,目标属性!$A:$R,6,FALSE))/100)</f>
        <v>0.025</v>
      </c>
      <c r="CR81" s="111">
        <f>$E$13+IF(VLOOKUP($E81,武器奇术!$A:$U,21,FALSE)=1,0,0.09)</f>
        <v>0.235</v>
      </c>
      <c r="CS81" s="109">
        <v>1</v>
      </c>
      <c r="CT81" s="112">
        <f>CN81*IF(VLOOKUP($E81,武器奇术!$A:$R,17,FALSE)="破竹",VLOOKUP($E81,武器奇术!$A:$R,4,FALSE),VLOOKUP($E81,武器奇术!$A:$R,2,FALSE))*(1+CQ81)*(1+CR81)*CS81</f>
        <v>1585.34488391825</v>
      </c>
      <c r="CU81" s="110">
        <f>(1-IF(VLOOKUP($E81,武器奇术!$A:$T,20,FALSE)=1,1,$N81))*(1-$M81)</f>
        <v>0.01072666</v>
      </c>
      <c r="CV81" s="112">
        <f>CO81*IF(VLOOKUP($E81,武器奇术!$A:$R,17,FALSE)="破竹",VLOOKUP($E81,武器奇术!$A:$R,4,FALSE),VLOOKUP($E81,武器奇术!$A:$R,2,FALSE))*(1+CQ81)*(1+CR81)*CS81*(1+$E$16+VLOOKUP($E81,武器奇术!$A:$R,8,FALSE))</f>
        <v>3509.30805212533</v>
      </c>
      <c r="CW81" s="110">
        <f t="shared" si="24"/>
        <v>0.8813852</v>
      </c>
      <c r="CX81" s="112">
        <f>CP81*IF(VLOOKUP($E81,武器奇术!$A:$R,17,FALSE)="破竹",VLOOKUP($E81,武器奇术!$A:$R,4,FALSE),VLOOKUP($E81,武器奇术!$A:$R,2,FALSE))*(1+CQ81)*(1+CR81)*CS81*(1+$E$17+VLOOKUP($E81,武器奇术!$A:$R,10,FALSE))</f>
        <v>3637.30376081914</v>
      </c>
      <c r="CY81" s="110">
        <f t="shared" si="25"/>
        <v>0.0986</v>
      </c>
      <c r="CZ81" s="112">
        <f>CO81*IF(VLOOKUP($E81,武器奇术!$A:$R,17,FALSE)="破竹",VLOOKUP($E81,武器奇术!$A:$R,4,FALSE),VLOOKUP($E81,武器奇术!$A:$R,2,FALSE))*(1+CQ81)*(1+CR81)*CS81</f>
        <v>2139.82198300325</v>
      </c>
      <c r="DA81" s="110">
        <f t="shared" si="26"/>
        <v>0.00928814000000003</v>
      </c>
      <c r="DB81" s="113">
        <f t="shared" si="27"/>
        <v>3488.5707519066</v>
      </c>
      <c r="DC81" s="108">
        <f t="shared" si="36"/>
        <v>69.3</v>
      </c>
      <c r="DD81" s="99">
        <f>(DC81+DE81)*IF(VLOOKUP($E81,武器奇术!$A:$Z,21,FALSE)=1,$G$15,0.5)</f>
        <v>69.3</v>
      </c>
      <c r="DE81" s="109">
        <f t="shared" si="37"/>
        <v>69.3</v>
      </c>
      <c r="DF81" s="110">
        <f>IF(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100)</f>
        <v>0.025</v>
      </c>
      <c r="DG81" s="111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U,21,FALSE)=1,0,0.09)</f>
        <v>0.235</v>
      </c>
      <c r="DH81" s="109">
        <v>1</v>
      </c>
      <c r="DI81" s="112">
        <f>DC81*IF(VLOOKUP($E81,武器奇术!$A:$R,17,FALSE)="破竹",VLOOKUP($E81,武器奇术!$A:$R,4,FALSE),VLOOKUP($E81,武器奇术!$A:$R,2,FALSE))*(1+DF81)*(1+DG81)*DH81</f>
        <v>169.42355805375</v>
      </c>
      <c r="DJ81" s="110">
        <f>(1-IF(VLOOKUP($E81,武器奇术!$A:$T,20,FALSE)=1,1,$N81))*(1-$M81)</f>
        <v>0.01072666</v>
      </c>
      <c r="DK81" s="112">
        <f>DD81*IF(VLOOKUP($E81,武器奇术!$A:$R,17,FALSE)="破竹",VLOOKUP($E81,武器奇术!$A:$R,4,FALSE),VLOOKUP($E81,武器奇术!$A:$R,2,FALSE))*(1+DF81)*(1+DG81)*DH81*(1+$E$16+VLOOKUP($E81,武器奇术!$A:$R,8,FALSE))</f>
        <v>277.85463520815</v>
      </c>
      <c r="DL81" s="110">
        <f t="shared" si="28"/>
        <v>0.8813852</v>
      </c>
      <c r="DM81" s="112">
        <f>DE81*IF(VLOOKUP($E81,武器奇术!$A:$R,17,FALSE)="破竹",VLOOKUP($E81,武器奇术!$A:$R,4,FALSE),VLOOKUP($E81,武器奇术!$A:$R,2,FALSE))*(1+DF81)*(1+DG81)*DH81*(1+$E$17+VLOOKUP($E81,武器奇术!$A:$R,10,FALSE))</f>
        <v>228.721803372562</v>
      </c>
      <c r="DN81" s="110">
        <f t="shared" si="29"/>
        <v>0.0986</v>
      </c>
      <c r="DO81" s="112">
        <f>DD81*IF(VLOOKUP($E81,武器奇术!$A:$R,17,FALSE)="破竹",VLOOKUP($E81,武器奇术!$A:$R,4,FALSE),VLOOKUP($E81,武器奇术!$A:$R,2,FALSE))*(1+DF81)*(1+DG81)*DH81</f>
        <v>169.42355805375</v>
      </c>
      <c r="DP81" s="110">
        <f t="shared" si="30"/>
        <v>0.00928814000000003</v>
      </c>
      <c r="DQ81" s="113">
        <f t="shared" si="31"/>
        <v>270.839911666131</v>
      </c>
    </row>
    <row r="82" customFormat="1" spans="1:121">
      <c r="B82" t="s">
        <v>169</v>
      </c>
      <c r="C82" s="147">
        <v>0.83</v>
      </c>
      <c r="E82" s="98" t="s">
        <v>135</v>
      </c>
      <c r="F82" s="99">
        <v>1</v>
      </c>
      <c r="G82" s="115"/>
      <c r="H82" s="149">
        <f>IF(VLOOKUP($E82,武器奇术!$A:$R,18,FALSE)="天工",AE82,(AE82+AT82+BI82+BX82+CM82+DB82+DQ82))*(1+J82)*F82*K82*(1+G82)*(1+$G$21*5%)</f>
        <v>63982.2655175516</v>
      </c>
      <c r="I82" s="101">
        <f t="shared" si="0"/>
        <v>0.00789943693474119</v>
      </c>
      <c r="J82" s="101">
        <f>$F$3+VLOOKUP($E82,武器奇术!$A:$R,12,FALSE)+VLOOKUP($E82,武器奇术!$A:$R,14,FALSE)*$G$3+$P82</f>
        <v>0.773</v>
      </c>
      <c r="K82" s="102">
        <f>VLOOKUP($E82,武器奇术!$A:$R,11,FALSE)</f>
        <v>1</v>
      </c>
      <c r="L82" s="117">
        <f>IF(VLOOKUP($E82,武器奇术!$A:$R,15,FALSE)="天工",0%,IF($C$17+VLOOKUP($E82,武器奇术!$A:$R,7,FALSE)&gt;80%,80%,$C$17+VLOOKUP($E82,武器奇术!$A:$R,7,FALSE))+IF($C$19&gt;20%,20%,$C$19))</f>
        <v>0.892</v>
      </c>
      <c r="M82" s="118">
        <f>IF(VLOOKUP($E82,武器奇术!$A:$R,15,FALSE)="天工",0%,IF($C$18+VLOOKUP($E82,武器奇术!$A:$R,9,FALSE)&gt;40%,40%,$C$18+VLOOKUP($E82,武器奇术!$A:$R,9,FALSE))+IF($C$20&gt;10%,10%,$C$20))</f>
        <v>0.0986</v>
      </c>
      <c r="N82" s="119">
        <f>IF(VLOOKUP($E82,武器奇术!$A:$R,15,FALSE)="天工",100%,MIN($C$16,1))</f>
        <v>0.9881</v>
      </c>
      <c r="O82" s="120" t="str">
        <f>VLOOKUP($E82,武器奇术!$A:$R,16,FALSE)</f>
        <v>拳甲</v>
      </c>
      <c r="P82" s="121">
        <f t="shared" si="38"/>
        <v>0.17</v>
      </c>
      <c r="Q82" s="108">
        <f>$B$5*(1+VLOOKUP($E82,武器奇术!$A:$R,5,FALSE)+IF($G$5="飞隼",0.1,0)+IF($G$5="撼天",0.05,0))-$F$9+IF($I$5="√",160,0)</f>
        <v>1731.135</v>
      </c>
      <c r="R82" s="99">
        <f>IF(VLOOKUP($E82,武器奇术!$A:$Z,20,FALSE)=1,(S82-(Q82+S82)*0.5)*($G$15-0.5)*2+(Q82+S82)*0.5,(Q82+S82)*0.5)</f>
        <v>3256.775</v>
      </c>
      <c r="S82" s="109">
        <f>MAX($C$5,$B$5)*(1+VLOOKUP($E82,武器奇术!$A:$R,5,FALSE)+IF($G$5="飞隼",0.1,0)+IF($G$5="撼天",0.05,0))-$F$9+IF($I$5="√",320,0)</f>
        <v>4782.415</v>
      </c>
      <c r="T82" s="101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U82" s="111">
        <f>$E$5+IF(VLOOKUP($E82,武器奇术!$A:$U,21,FALSE)=1,0,0.09)</f>
        <v>0.115</v>
      </c>
      <c r="V82" s="109">
        <v>1</v>
      </c>
      <c r="W82" s="112">
        <f>Q82*VLOOKUP($E82,武器奇术!$A:$R,2,FALSE)*(1+T82)*(1+U82)*V82</f>
        <v>5595.154346628</v>
      </c>
      <c r="X82" s="110">
        <f>(1-IF(VLOOKUP($E82,武器奇术!$A:$T,20,FALSE)=1,1,$N82))*(1-$M82)</f>
        <v>0.01072666</v>
      </c>
      <c r="Y82" s="112">
        <f>R82*VLOOKUP($E82,武器奇术!$A:$R,2,FALSE)*(1+T82)*(1+U82)*V82*(1+$E$16+VLOOKUP($E82,武器奇术!$A:$R,8,FALSE))</f>
        <v>20420.6997528468</v>
      </c>
      <c r="Z82" s="110">
        <f t="shared" si="39"/>
        <v>0.8813852</v>
      </c>
      <c r="AA82" s="112">
        <f>S82*VLOOKUP($E82,武器奇术!$A:$R,2,FALSE)*(1+T82)*(1+U82)*V82*(1+$E$17+VLOOKUP($E82,武器奇术!$A:$R,10,FALSE))</f>
        <v>20867.1031437462</v>
      </c>
      <c r="AB82" s="110">
        <f t="shared" si="40"/>
        <v>0.0986</v>
      </c>
      <c r="AC82" s="112">
        <f>R82*VLOOKUP($E82,武器奇术!$A:$R,2,FALSE)*(1+T82)*(1+U82)*V82</f>
        <v>10526.13389322</v>
      </c>
      <c r="AD82" s="110">
        <f t="shared" si="1"/>
        <v>0.00928814000000003</v>
      </c>
      <c r="AE82" s="113">
        <f t="shared" si="2"/>
        <v>20213.784429359</v>
      </c>
      <c r="AF82" s="114">
        <f>VLOOKUP($E82,武器奇术!$A:$R,3,FALSE)*(1+IF(VLOOKUP($E82,武器奇术!$A:$R,15,FALSE)="武器",$E$15,0))</f>
        <v>0</v>
      </c>
      <c r="AG82" s="112">
        <f t="shared" si="3"/>
        <v>0</v>
      </c>
      <c r="AH82" s="112">
        <f>VLOOKUP($E82,武器奇术!$A:$R,3,FALSE)*(1+IF(VLOOKUP($E82,武器奇术!$A:$R,15,FALSE)="武器",$E$15,0))</f>
        <v>0</v>
      </c>
      <c r="AI82" s="101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AJ82" s="111">
        <f>$E$5+IF(VLOOKUP($E82,武器奇术!$A:$U,21,FALSE)=1,0,0.09)</f>
        <v>0.115</v>
      </c>
      <c r="AK82" s="109">
        <v>1</v>
      </c>
      <c r="AL82" s="112">
        <f t="shared" si="41"/>
        <v>0</v>
      </c>
      <c r="AM82" s="110">
        <f>(1-IF(VLOOKUP($E82,武器奇术!$A:$T,20,FALSE)=1,1,$N82))*(1-$M82)</f>
        <v>0.01072666</v>
      </c>
      <c r="AN82" s="112">
        <f>AG82*(1+AI82)*(1+AJ82)*AK82*(1+$E$16+VLOOKUP($E82,武器奇术!$A:$R,8,FALSE))</f>
        <v>0</v>
      </c>
      <c r="AO82" s="110">
        <f t="shared" si="4"/>
        <v>0.8813852</v>
      </c>
      <c r="AP82" s="112">
        <f>AH82*(1+AI82)*(1+AJ82)*AK82*(1+$E$17+VLOOKUP($E82,武器奇术!$A:$R,10,FALSE))</f>
        <v>0</v>
      </c>
      <c r="AQ82" s="110">
        <f t="shared" si="5"/>
        <v>0.0986</v>
      </c>
      <c r="AR82" s="112">
        <f t="shared" si="6"/>
        <v>0</v>
      </c>
      <c r="AS82" s="110">
        <f t="shared" si="7"/>
        <v>0.00928814000000003</v>
      </c>
      <c r="AT82" s="113">
        <f t="shared" si="8"/>
        <v>0</v>
      </c>
      <c r="AU82" s="108">
        <f>$B$7*IF($G$5="撼天",1.05,1)+IF(AND(VLOOKUP($E82,武器奇术!$A:$R,15,FALSE)="武器",VLOOKUP($E82,武器奇术!$A:$R,17,FALSE)="鸣金"),$E$3,0)*(1+$E$15)</f>
        <v>0</v>
      </c>
      <c r="AV82" s="99">
        <f>(AU82+AW82)*IF(VLOOKUP($E82,武器奇术!$A:$Z,21,FALSE)=1,$G$15,0.5)</f>
        <v>0</v>
      </c>
      <c r="AW82" s="109">
        <f>MAX($C$7*IF($G$5="撼天",1.05,1)+IF(AND(VLOOKUP($E82,武器奇术!$A:$R,15,FALSE)="武器",VLOOKUP($E82,武器奇术!$A:$R,17,FALSE)="鸣金"),$E$3*(1+$E$15),0),AU82)</f>
        <v>0</v>
      </c>
      <c r="AX82" s="110">
        <f>IF(($D$7+IF(VLOOKUP($E82,武器奇术!$A:$R,17,FALSE)="鸣金",$D$15,0)+IF(VLOOKUP($E82,武器奇术!$A:$R,18,FALSE)=1,4,0)+IF(VLOOKUP($E82,武器奇术!$A:$S,19,FALSE)=1,20,0)-VLOOKUP($F$7,目标属性!$A:$R,6,FALSE))&gt;0,($D$7+IF(VLOOKUP($E82,武器奇术!$A:$R,17,FALSE)="鸣金",$D$15,0)+IF(VLOOKUP($E82,武器奇术!$A:$R,18,FALSE)=1,4,0)+IF(VLOOKUP($E82,武器奇术!$A:$S,19,FALSE)=1,20,0)-VLOOKUP($F$7,目标属性!$A:$R,6,FALSE))/200,($D$7+IF(VLOOKUP($E82,武器奇术!$A:$R,17,FALSE)="鸣金",$D$15,0)+IF(VLOOKUP($E82,武器奇术!$A:$R,18,FALSE)=1,4,0)+IF(VLOOKUP($E82,武器奇术!$A:$S,19,FALSE)=1,20,0)-VLOOKUP($F$7,目标属性!$A:$R,6,FALSE))/100)</f>
        <v>0</v>
      </c>
      <c r="AY82" s="111">
        <f t="shared" si="9"/>
        <v>0</v>
      </c>
      <c r="AZ82" s="109">
        <v>1</v>
      </c>
      <c r="BA82" s="112">
        <f>AU82*IF(VLOOKUP($E82,武器奇术!$A:$R,17,FALSE)="鸣金",VLOOKUP($E82,武器奇术!$A:$R,4,FALSE),VLOOKUP($E82,武器奇术!$A:$R,2,FALSE))*(1+AX82)*(1+AY82)*AZ82</f>
        <v>0</v>
      </c>
      <c r="BB82" s="110">
        <f>(1-IF(VLOOKUP($E82,武器奇术!$A:$T,20,FALSE)=1,1,$N82))*(1-$M82)</f>
        <v>0.01072666</v>
      </c>
      <c r="BC82" s="112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10">
        <f t="shared" si="10"/>
        <v>0.8813852</v>
      </c>
      <c r="BE82" s="112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10">
        <f t="shared" si="11"/>
        <v>0.0986</v>
      </c>
      <c r="BG82" s="112">
        <f>AV82*IF(VLOOKUP($E82,武器奇术!$A:$R,17,FALSE)="鸣金",VLOOKUP($E82,武器奇术!$A:$R,4,FALSE),VLOOKUP($E82,武器奇术!$A:$R,2,FALSE))*(1+AX82)*(1+AY82)*AZ82</f>
        <v>0</v>
      </c>
      <c r="BH82" s="110">
        <f t="shared" si="12"/>
        <v>0.00928814000000003</v>
      </c>
      <c r="BI82" s="113">
        <f t="shared" si="13"/>
        <v>0</v>
      </c>
      <c r="BJ82" s="108">
        <f>$B$9*IF($G$5="撼天",1.05,1)+IF(AND(VLOOKUP($E82,武器奇术!$A:$R,15,FALSE)="武器",VLOOKUP($E82,武器奇术!$A:$R,17,FALSE)="裂石"),$E$3,0)*(1+$E$15)</f>
        <v>0</v>
      </c>
      <c r="BK82" s="99">
        <f>(BJ82+BL82)*IF(VLOOKUP($E82,武器奇术!$A:$Z,21,FALSE)=1,$G$15,0.5)</f>
        <v>0</v>
      </c>
      <c r="BL82" s="109">
        <f>MAX($C$9*IF($G$5="撼天",1.05,1)+IF(AND(VLOOKUP($E82,武器奇术!$A:$R,15,FALSE)="武器",VLOOKUP($E82,武器奇术!$A:$R,17,FALSE)="裂石"),$E$3*(1+$E$15),0),BJ82)</f>
        <v>0</v>
      </c>
      <c r="BM82" s="110">
        <f>IF(($D$9+IF(VLOOKUP($E82,武器奇术!$A:$R,17,FALSE)="裂石",$D$15,0)+IF(VLOOKUP($E82,武器奇术!$A:$R,18,FALSE)=1,4,0)+IF(VLOOKUP($E82,武器奇术!$A:$S,19,FALSE)=1,20,0)-VLOOKUP($F$7,目标属性!$A:$R,6,FALSE))&gt;0,($D$9+IF(VLOOKUP($E82,武器奇术!$A:$R,17,FALSE)="裂石",$D$15,0)+IF(VLOOKUP($E82,武器奇术!$A:$R,18,FALSE)=1,4,0)+IF(VLOOKUP($E82,武器奇术!$A:$S,19,FALSE)=1,20,0)-VLOOKUP($F$7,目标属性!$A:$R,6,FALSE))/200,($D$9+IF(VLOOKUP($E82,武器奇术!$A:$R,17,FALSE)="裂石",$D$15,0)+IF(VLOOKUP($E82,武器奇术!$A:$R,18,FALSE)=1,4,0)+IF(VLOOKUP($E82,武器奇术!$A:$S,19,FALSE)=1,20,0)-VLOOKUP($F$7,目标属性!$A:$R,6,FALSE))/100)</f>
        <v>0</v>
      </c>
      <c r="BN82" s="111">
        <f t="shared" si="14"/>
        <v>0</v>
      </c>
      <c r="BO82" s="109">
        <v>1</v>
      </c>
      <c r="BP82" s="112">
        <f>BJ82*IF(VLOOKUP($E82,武器奇术!$A:$R,17,FALSE)="裂石",VLOOKUP($E82,武器奇术!$A:$R,4,FALSE),VLOOKUP($E82,武器奇术!$A:$R,2,FALSE))*(1+BM82)*(1+BN82)*BO82</f>
        <v>0</v>
      </c>
      <c r="BQ82" s="110">
        <f>(1-IF(VLOOKUP($E82,武器奇术!$A:$T,20,FALSE)=1,1,$N82))*(1-$M82)</f>
        <v>0.01072666</v>
      </c>
      <c r="BR82" s="112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10">
        <f t="shared" si="15"/>
        <v>0.8813852</v>
      </c>
      <c r="BT82" s="112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10">
        <f t="shared" si="16"/>
        <v>0.0986</v>
      </c>
      <c r="BV82" s="112">
        <f>BK82*IF(VLOOKUP($E82,武器奇术!$A:$R,17,FALSE)="裂石",VLOOKUP($E82,武器奇术!$A:$R,4,FALSE),VLOOKUP($E82,武器奇术!$A:$R,2,FALSE))*(1+BM82)*(1+BN82)*BO82</f>
        <v>0</v>
      </c>
      <c r="BW82" s="110">
        <f t="shared" si="17"/>
        <v>0.00928814000000003</v>
      </c>
      <c r="BX82" s="113">
        <f t="shared" si="18"/>
        <v>0</v>
      </c>
      <c r="BY82" s="108">
        <f>$B$11*IF($G$5="撼天",1.05,1)+IF(AND(VLOOKUP($E82,武器奇术!$A:$R,15,FALSE)="武器",VLOOKUP($E82,武器奇术!$A:$R,17,FALSE)="牵丝"),$E$3,0)*(1+$E$15)</f>
        <v>0</v>
      </c>
      <c r="BZ82" s="99">
        <f>(BY82+CA82)*IF(VLOOKUP($E82,武器奇术!$A:$Z,21,FALSE)=1,$G$15,0.5)</f>
        <v>0</v>
      </c>
      <c r="CA82" s="109">
        <f>MAX($C$11*IF($G$5="撼天",1.05,1)+IF(AND(VLOOKUP($E82,武器奇术!$A:$R,15,FALSE)="武器",VLOOKUP($E82,武器奇术!$A:$R,17,FALSE)="牵丝"),$E$3*(1+$E$15),0),BY82)</f>
        <v>0</v>
      </c>
      <c r="CB82" s="110">
        <f>IF(($D$11+IF(VLOOKUP($E82,武器奇术!$A:$R,17,FALSE)="牵丝",$D$15,0)+IF(VLOOKUP($E82,武器奇术!$A:$R,18,FALSE)=1,4,0)+IF(VLOOKUP($E82,武器奇术!$A:$S,19,FALSE)=1,20,0)-VLOOKUP($F$7,目标属性!$A:$R,6,FALSE))&gt;0,($D$11+IF(VLOOKUP($E82,武器奇术!$A:$R,17,FALSE)="牵丝",$D$15,0)+IF(VLOOKUP($E82,武器奇术!$A:$R,18,FALSE)=1,4,0)+IF(VLOOKUP($E82,武器奇术!$A:$S,19,FALSE)=1,20,0)-VLOOKUP($F$7,目标属性!$A:$R,6,FALSE))/200,($D$11+IF(VLOOKUP($E82,武器奇术!$A:$R,17,FALSE)="牵丝",$D$15,0)+IF(VLOOKUP($E82,武器奇术!$A:$R,18,FALSE)=1,4,0)+IF(VLOOKUP($E82,武器奇术!$A:$S,19,FALSE)=1,20,0)-VLOOKUP($F$7,目标属性!$A:$R,6,FALSE))/100)</f>
        <v>0</v>
      </c>
      <c r="CC82" s="111">
        <f t="shared" si="19"/>
        <v>0</v>
      </c>
      <c r="CD82" s="109">
        <v>1</v>
      </c>
      <c r="CE82" s="112">
        <f>BY82*IF(VLOOKUP($E82,武器奇术!$A:$R,17,FALSE)="牵丝",VLOOKUP($E82,武器奇术!$A:$R,4,FALSE),VLOOKUP($E82,武器奇术!$A:$R,2,FALSE))*(1+CB82)*(1+CC82)*CD82</f>
        <v>0</v>
      </c>
      <c r="CF82" s="110">
        <f>(1-IF(VLOOKUP($E82,武器奇术!$A:$T,20,FALSE)=1,1,$N82))*(1-$M82)</f>
        <v>0.01072666</v>
      </c>
      <c r="CG82" s="112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110">
        <f t="shared" si="20"/>
        <v>0.8813852</v>
      </c>
      <c r="CI82" s="112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110">
        <f t="shared" si="21"/>
        <v>0.0986</v>
      </c>
      <c r="CK82" s="112">
        <f>BZ82*IF(VLOOKUP($E82,武器奇术!$A:$R,17,FALSE)="牵丝",VLOOKUP($E82,武器奇术!$A:$R,4,FALSE),VLOOKUP($E82,武器奇术!$A:$R,2,FALSE))*(1+CB82)*(1+CC82)*CD82</f>
        <v>0</v>
      </c>
      <c r="CL82" s="110">
        <f t="shared" si="22"/>
        <v>0.00928814000000003</v>
      </c>
      <c r="CM82" s="113">
        <f t="shared" si="23"/>
        <v>0</v>
      </c>
      <c r="CN82" s="108">
        <f>$B$13*IF($G$5="撼天",1.05,1)+IF(AND(VLOOKUP($E82,武器奇术!$A:$R,15,FALSE)="武器",VLOOKUP($E82,武器奇术!$A:$R,17,FALSE)="破竹"),$E$3,0)*(1+$E$15)</f>
        <v>452.55</v>
      </c>
      <c r="CO82" s="99">
        <f>IF(VLOOKUP($E82,武器奇术!$A:$Z,20,FALSE)=1,(CP82-(CN82+CP82)*0.5)*($G$15-0.5)*2+(CN82+CP82)*0.5,(CN82+CP82)*0.5)</f>
        <v>679.35</v>
      </c>
      <c r="CP82" s="109">
        <f>MAX($C$13*IF($G$5="撼天",1.05,1)+IF(AND(VLOOKUP($E82,武器奇术!$A:$R,15,FALSE)="武器",VLOOKUP($E82,武器奇术!$A:$R,17,FALSE)="破竹"),$E$3*(1+$E$15),0),CN82)</f>
        <v>906.15</v>
      </c>
      <c r="CQ82" s="110">
        <f>IF(($D$13+IF(VLOOKUP($E82,武器奇术!$A:$R,17,FALSE)="破竹",$D$15,0)+IF(VLOOKUP($E82,武器奇术!$A:$R,18,FALSE)=1,4,0)+IF(VLOOKUP($E82,武器奇术!$A:$S,19,FALSE)=1,20,0)-VLOOKUP($F$7,目标属性!$A:$R,6,FALSE))&gt;0,($D$13+IF(VLOOKUP($E82,武器奇术!$A:$R,17,FALSE)="破竹",$D$15,0)+IF(VLOOKUP($E82,武器奇术!$A:$R,18,FALSE)=1,4,0)+IF(VLOOKUP($E82,武器奇术!$A:$S,19,FALSE)=1,20,0)-VLOOKUP($F$7,目标属性!$A:$R,6,FALSE))/200,($D$13+IF(VLOOKUP($E82,武器奇术!$A:$R,17,FALSE)="破竹",$D$15,0)+IF(VLOOKUP($E82,武器奇术!$A:$R,18,FALSE)=1,4,0)+IF(VLOOKUP($E82,武器奇术!$A:$S,19,FALSE)=1,20,0)-VLOOKUP($F$7,目标属性!$A:$R,6,FALSE))/100)</f>
        <v>0.145</v>
      </c>
      <c r="CR82" s="111">
        <f>$E$13+IF(VLOOKUP($E82,武器奇术!$A:$U,21,FALSE)=1,0,0.09)</f>
        <v>0.235</v>
      </c>
      <c r="CS82" s="109">
        <v>1</v>
      </c>
      <c r="CT82" s="112">
        <f>CN82*IF(VLOOKUP($E82,武器奇术!$A:$R,17,FALSE)="破竹",VLOOKUP($E82,武器奇术!$A:$R,4,FALSE),VLOOKUP($E82,武器奇术!$A:$R,2,FALSE))*(1+CQ82)*(1+CR82)*CS82</f>
        <v>2073.40443765</v>
      </c>
      <c r="CU82" s="110">
        <f>(1-IF(VLOOKUP($E82,武器奇术!$A:$T,20,FALSE)=1,1,$N82))*(1-$M82)</f>
        <v>0.01072666</v>
      </c>
      <c r="CV82" s="112">
        <f>CO82*IF(VLOOKUP($E82,武器奇术!$A:$R,17,FALSE)="破竹",VLOOKUP($E82,武器奇术!$A:$R,4,FALSE),VLOOKUP($E82,武器奇术!$A:$R,2,FALSE))*(1+CQ82)*(1+CR82)*CS82*(1+$E$16+VLOOKUP($E82,武器奇术!$A:$R,8,FALSE))</f>
        <v>6038.273276217</v>
      </c>
      <c r="CW82" s="110">
        <f t="shared" si="24"/>
        <v>0.8813852</v>
      </c>
      <c r="CX82" s="112">
        <f>CP82*IF(VLOOKUP($E82,武器奇术!$A:$R,17,FALSE)="破竹",VLOOKUP($E82,武器奇术!$A:$R,4,FALSE),VLOOKUP($E82,武器奇术!$A:$R,2,FALSE))*(1+CQ82)*(1+CR82)*CS82*(1+$E$17+VLOOKUP($E82,武器奇术!$A:$R,10,FALSE))</f>
        <v>5604.6864039075</v>
      </c>
      <c r="CY82" s="110">
        <f t="shared" si="25"/>
        <v>0.0986</v>
      </c>
      <c r="CZ82" s="112">
        <f>CO82*IF(VLOOKUP($E82,武器奇术!$A:$R,17,FALSE)="破竹",VLOOKUP($E82,武器奇术!$A:$R,4,FALSE),VLOOKUP($E82,武器奇术!$A:$R,2,FALSE))*(1+CQ82)*(1+CR82)*CS82</f>
        <v>3112.51199805</v>
      </c>
      <c r="DA82" s="110">
        <f t="shared" si="26"/>
        <v>0.00928814000000003</v>
      </c>
      <c r="DB82" s="113">
        <f t="shared" si="27"/>
        <v>5925.81693027318</v>
      </c>
      <c r="DC82" s="108">
        <f t="shared" si="36"/>
        <v>69.3</v>
      </c>
      <c r="DD82" s="99">
        <f>(DC82+DE82)*IF(VLOOKUP($E82,武器奇术!$A:$Z,21,FALSE)=1,$G$15,0.5)</f>
        <v>69.3</v>
      </c>
      <c r="DE82" s="109">
        <f t="shared" si="37"/>
        <v>69.3</v>
      </c>
      <c r="DF82" s="110">
        <f>IF(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100)</f>
        <v>0.145</v>
      </c>
      <c r="DG82" s="111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U,21,FALSE)=1,0,0.09)</f>
        <v>0.235</v>
      </c>
      <c r="DH82" s="109">
        <v>1</v>
      </c>
      <c r="DI82" s="112">
        <f>DC82*IF(VLOOKUP($E82,武器奇术!$A:$R,17,FALSE)="破竹",VLOOKUP($E82,武器奇术!$A:$R,4,FALSE),VLOOKUP($E82,武器奇术!$A:$R,2,FALSE))*(1+DF82)*(1+DG82)*DH82</f>
        <v>317.5050879</v>
      </c>
      <c r="DJ82" s="110">
        <f>(1-IF(VLOOKUP($E82,武器奇术!$A:$T,20,FALSE)=1,1,$N82))*(1-$M82)</f>
        <v>0.01072666</v>
      </c>
      <c r="DK82" s="112">
        <f>DD82*IF(VLOOKUP($E82,武器奇术!$A:$R,17,FALSE)="破竹",VLOOKUP($E82,武器奇术!$A:$R,4,FALSE),VLOOKUP($E82,武器奇术!$A:$R,2,FALSE))*(1+DF82)*(1+DG82)*DH82*(1+$E$16+VLOOKUP($E82,武器奇术!$A:$R,8,FALSE))</f>
        <v>615.959870526</v>
      </c>
      <c r="DL82" s="110">
        <f t="shared" si="28"/>
        <v>0.8813852</v>
      </c>
      <c r="DM82" s="112">
        <f>DE82*IF(VLOOKUP($E82,武器奇术!$A:$R,17,FALSE)="破竹",VLOOKUP($E82,武器奇术!$A:$R,4,FALSE),VLOOKUP($E82,武器奇术!$A:$R,2,FALSE))*(1+DF82)*(1+DG82)*DH82*(1+$E$17+VLOOKUP($E82,武器奇术!$A:$R,10,FALSE))</f>
        <v>428.631868665</v>
      </c>
      <c r="DN82" s="110">
        <f t="shared" si="29"/>
        <v>0.0986</v>
      </c>
      <c r="DO82" s="112">
        <f>DD82*IF(VLOOKUP($E82,武器奇术!$A:$R,17,FALSE)="破竹",VLOOKUP($E82,武器奇术!$A:$R,4,FALSE),VLOOKUP($E82,武器奇术!$A:$R,2,FALSE))*(1+DF82)*(1+DG82)*DH82</f>
        <v>317.5050879</v>
      </c>
      <c r="DP82" s="110">
        <f t="shared" si="30"/>
        <v>0.00928814000000003</v>
      </c>
      <c r="DQ82" s="113">
        <f t="shared" si="31"/>
        <v>591.515816759203</v>
      </c>
    </row>
    <row r="83" customFormat="1" spans="1:121">
      <c r="A83" s="75"/>
      <c r="B83" t="s">
        <v>164</v>
      </c>
      <c r="C83" s="147">
        <v>1.16</v>
      </c>
      <c r="D83"/>
      <c r="E83" s="98" t="s">
        <v>142</v>
      </c>
      <c r="F83" s="99">
        <v>1</v>
      </c>
      <c r="G83" s="115"/>
      <c r="H83" s="149">
        <f>IF(VLOOKUP($E83,武器奇术!$A:$R,18,FALSE)="天工",AE83,(AE83+AT83+BI83+BX83+CM83+DB83+DQ83))*(1+J83)*F83*K83*(1+G83)*(1+$G$21*5%)</f>
        <v>34726.2868130471</v>
      </c>
      <c r="I83" s="101">
        <f t="shared" si="0"/>
        <v>0.00428740855670622</v>
      </c>
      <c r="J83" s="101">
        <f>$F$3+VLOOKUP($E83,武器奇术!$A:$R,12,FALSE)+VLOOKUP($E83,武器奇术!$A:$R,14,FALSE)*$G$3+$P83</f>
        <v>0.387</v>
      </c>
      <c r="K83" s="102">
        <f>VLOOKUP($E83,武器奇术!$A:$R,11,FALSE)</f>
        <v>1</v>
      </c>
      <c r="L83" s="117">
        <f>IF(VLOOKUP($E83,武器奇术!$A:$R,15,FALSE)="天工",0%,IF($C$17+VLOOKUP($E83,武器奇术!$A:$R,7,FALSE)&gt;80%,80%,$C$17+VLOOKUP($E83,武器奇术!$A:$R,7,FALSE))+IF($C$19&gt;20%,20%,$C$19))</f>
        <v>0.892</v>
      </c>
      <c r="M83" s="118">
        <f>IF(VLOOKUP($E83,武器奇术!$A:$R,15,FALSE)="天工",0%,IF($C$18+VLOOKUP($E83,武器奇术!$A:$R,9,FALSE)&gt;40%,40%,$C$18+VLOOKUP($E83,武器奇术!$A:$R,9,FALSE))+IF($C$20&gt;10%,10%,$C$20))</f>
        <v>0.0986</v>
      </c>
      <c r="N83" s="119">
        <f>IF(VLOOKUP($E83,武器奇术!$A:$R,15,FALSE)="天工",100%,MIN($C$16,1))</f>
        <v>0.9881</v>
      </c>
      <c r="O83" s="120" t="str">
        <f>VLOOKUP($E83,武器奇术!$A:$R,16,FALSE)</f>
        <v>绳标</v>
      </c>
      <c r="P83" s="121">
        <f t="shared" si="38"/>
        <v>0.084</v>
      </c>
      <c r="Q83" s="108">
        <f>$B$5*(1+VLOOKUP($E83,武器奇术!$A:$R,5,FALSE)+IF($G$5="飞隼",0.1,0)+IF($G$5="撼天",0.05,0))-$F$9+IF($I$5="√",160,0)</f>
        <v>1731.135</v>
      </c>
      <c r="R83" s="99">
        <f>IF(VLOOKUP($E83,武器奇术!$A:$Z,20,FALSE)=1,(S83-(Q83+S83)*0.5)*($G$15-0.5)*2+(Q83+S83)*0.5,(Q83+S83)*0.5)</f>
        <v>3256.775</v>
      </c>
      <c r="S83" s="109">
        <f>MAX($C$5,$B$5)*(1+VLOOKUP($E83,武器奇术!$A:$R,5,FALSE)+IF($G$5="飞隼",0.1,0)+IF($G$5="撼天",0.05,0))-$F$9+IF($I$5="√",320,0)</f>
        <v>4782.415</v>
      </c>
      <c r="T83" s="101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U83" s="111">
        <f>$E$5+IF(VLOOKUP($E83,武器奇术!$A:$U,21,FALSE)=1,0,0.09)</f>
        <v>0.115</v>
      </c>
      <c r="V83" s="109">
        <v>1</v>
      </c>
      <c r="W83" s="112">
        <f>Q83*VLOOKUP($E83,武器奇术!$A:$R,2,FALSE)*(1+T83)*(1+U83)*V83</f>
        <v>3975.72822791172</v>
      </c>
      <c r="X83" s="110">
        <f>(1-IF(VLOOKUP($E83,武器奇术!$A:$T,20,FALSE)=1,1,$N83))*(1-$M83)</f>
        <v>0.01072666</v>
      </c>
      <c r="Y83" s="112">
        <f>R83*VLOOKUP($E83,武器奇术!$A:$R,2,FALSE)*(1+T83)*(1+U83)*V83*(1+$E$16+VLOOKUP($E83,武器奇术!$A:$R,8,FALSE))</f>
        <v>12266.406589382</v>
      </c>
      <c r="Z83" s="110">
        <f t="shared" si="39"/>
        <v>0.8813852</v>
      </c>
      <c r="AA83" s="112">
        <f>S83*VLOOKUP($E83,武器奇术!$A:$R,2,FALSE)*(1+T83)*(1+U83)*V83*(1+$E$17+VLOOKUP($E83,武器奇术!$A:$R,10,FALSE))</f>
        <v>14827.4606675212</v>
      </c>
      <c r="AB83" s="110">
        <f t="shared" si="40"/>
        <v>0.0986</v>
      </c>
      <c r="AC83" s="112">
        <f>R83*VLOOKUP($E83,武器奇术!$A:$R,2,FALSE)*(1+T83)*(1+U83)*V83</f>
        <v>7479.5162130378</v>
      </c>
      <c r="AD83" s="110">
        <f t="shared" si="1"/>
        <v>0.00928814000000003</v>
      </c>
      <c r="AE83" s="113">
        <f t="shared" si="2"/>
        <v>12385.5339255535</v>
      </c>
      <c r="AF83" s="114">
        <f>VLOOKUP($E83,武器奇术!$A:$R,3,FALSE)*(1+IF(VLOOKUP($E83,武器奇术!$A:$R,15,FALSE)="武器",$E$15,0))</f>
        <v>595.4</v>
      </c>
      <c r="AG83" s="112">
        <f t="shared" si="3"/>
        <v>595.4</v>
      </c>
      <c r="AH83" s="112">
        <f>VLOOKUP($E83,武器奇术!$A:$R,3,FALSE)*(1+IF(VLOOKUP($E83,武器奇术!$A:$R,15,FALSE)="武器",$E$15,0))</f>
        <v>595.4</v>
      </c>
      <c r="AI83" s="101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AJ83" s="111">
        <f>$E$5+IF(VLOOKUP($E83,武器奇术!$A:$U,21,FALSE)=1,0,0.09)</f>
        <v>0.115</v>
      </c>
      <c r="AK83" s="109">
        <v>1</v>
      </c>
      <c r="AL83" s="112">
        <f t="shared" si="41"/>
        <v>824.527782</v>
      </c>
      <c r="AM83" s="110">
        <f>(1-IF(VLOOKUP($E83,武器奇术!$A:$T,20,FALSE)=1,1,$N83))*(1-$M83)</f>
        <v>0.01072666</v>
      </c>
      <c r="AN83" s="112">
        <f>AG83*(1+AI83)*(1+AJ83)*AK83*(1+$E$16+VLOOKUP($E83,武器奇术!$A:$R,8,FALSE))</f>
        <v>1352.22556248</v>
      </c>
      <c r="AO83" s="110">
        <f t="shared" si="4"/>
        <v>0.8813852</v>
      </c>
      <c r="AP83" s="112">
        <f>AH83*(1+AI83)*(1+AJ83)*AK83*(1+$E$17+VLOOKUP($E83,武器奇术!$A:$R,10,FALSE))</f>
        <v>1113.1125057</v>
      </c>
      <c r="AQ83" s="110">
        <f t="shared" si="5"/>
        <v>0.0986</v>
      </c>
      <c r="AR83" s="112">
        <f t="shared" si="6"/>
        <v>824.527782</v>
      </c>
      <c r="AS83" s="110">
        <f t="shared" si="7"/>
        <v>0.00928814000000003</v>
      </c>
      <c r="AT83" s="113">
        <f t="shared" si="8"/>
        <v>1318.08724954474</v>
      </c>
      <c r="AU83" s="108">
        <f>$B$7*IF($G$5="撼天",1.05,1)+IF(AND(VLOOKUP($E83,武器奇术!$A:$R,15,FALSE)="武器",VLOOKUP($E83,武器奇术!$A:$R,17,FALSE)="鸣金"),$E$3,0)*(1+$E$15)</f>
        <v>0</v>
      </c>
      <c r="AV83" s="99">
        <f>(AU83+AW83)*IF(VLOOKUP($E83,武器奇术!$A:$Z,21,FALSE)=1,$G$15,0.5)</f>
        <v>0</v>
      </c>
      <c r="AW83" s="109">
        <f>MAX($C$7*IF($G$5="撼天",1.05,1)+IF(AND(VLOOKUP($E83,武器奇术!$A:$R,15,FALSE)="武器",VLOOKUP($E83,武器奇术!$A:$R,17,FALSE)="鸣金"),$E$3*(1+$E$15),0),AU83)</f>
        <v>0</v>
      </c>
      <c r="AX83" s="110">
        <f>IF(($D$7+IF(VLOOKUP($E83,武器奇术!$A:$R,17,FALSE)="鸣金",$D$15,0)+IF(VLOOKUP($E83,武器奇术!$A:$R,18,FALSE)=1,4,0)+IF(VLOOKUP($E83,武器奇术!$A:$S,19,FALSE)=1,20,0)-VLOOKUP($F$7,目标属性!$A:$R,6,FALSE))&gt;0,($D$7+IF(VLOOKUP($E83,武器奇术!$A:$R,17,FALSE)="鸣金",$D$15,0)+IF(VLOOKUP($E83,武器奇术!$A:$R,18,FALSE)=1,4,0)+IF(VLOOKUP($E83,武器奇术!$A:$S,19,FALSE)=1,20,0)-VLOOKUP($F$7,目标属性!$A:$R,6,FALSE))/200,($D$7+IF(VLOOKUP($E83,武器奇术!$A:$R,17,FALSE)="鸣金",$D$15,0)+IF(VLOOKUP($E83,武器奇术!$A:$R,18,FALSE)=1,4,0)+IF(VLOOKUP($E83,武器奇术!$A:$S,19,FALSE)=1,20,0)-VLOOKUP($F$7,目标属性!$A:$R,6,FALSE))/100)</f>
        <v>-0.24</v>
      </c>
      <c r="AY83" s="111">
        <f t="shared" si="9"/>
        <v>0</v>
      </c>
      <c r="AZ83" s="109">
        <v>1</v>
      </c>
      <c r="BA83" s="112">
        <f>AU83*IF(VLOOKUP($E83,武器奇术!$A:$R,17,FALSE)="鸣金",VLOOKUP($E83,武器奇术!$A:$R,4,FALSE),VLOOKUP($E83,武器奇术!$A:$R,2,FALSE))*(1+AX83)*(1+AY83)*AZ83</f>
        <v>0</v>
      </c>
      <c r="BB83" s="110">
        <f>(1-IF(VLOOKUP($E83,武器奇术!$A:$T,20,FALSE)=1,1,$N83))*(1-$M83)</f>
        <v>0.01072666</v>
      </c>
      <c r="BC83" s="112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10">
        <f t="shared" si="10"/>
        <v>0.8813852</v>
      </c>
      <c r="BE83" s="112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10">
        <f t="shared" si="11"/>
        <v>0.0986</v>
      </c>
      <c r="BG83" s="112">
        <f>AV83*IF(VLOOKUP($E83,武器奇术!$A:$R,17,FALSE)="鸣金",VLOOKUP($E83,武器奇术!$A:$R,4,FALSE),VLOOKUP($E83,武器奇术!$A:$R,2,FALSE))*(1+AX83)*(1+AY83)*AZ83</f>
        <v>0</v>
      </c>
      <c r="BH83" s="110">
        <f t="shared" si="12"/>
        <v>0.00928814000000003</v>
      </c>
      <c r="BI83" s="113">
        <f t="shared" si="13"/>
        <v>0</v>
      </c>
      <c r="BJ83" s="108">
        <f>$B$9*IF($G$5="撼天",1.05,1)+IF(AND(VLOOKUP($E83,武器奇术!$A:$R,15,FALSE)="武器",VLOOKUP($E83,武器奇术!$A:$R,17,FALSE)="裂石"),$E$3,0)*(1+$E$15)</f>
        <v>0</v>
      </c>
      <c r="BK83" s="99">
        <f>(BJ83+BL83)*IF(VLOOKUP($E83,武器奇术!$A:$Z,21,FALSE)=1,$G$15,0.5)</f>
        <v>0</v>
      </c>
      <c r="BL83" s="109">
        <f>MAX($C$9*IF($G$5="撼天",1.05,1)+IF(AND(VLOOKUP($E83,武器奇术!$A:$R,15,FALSE)="武器",VLOOKUP($E83,武器奇术!$A:$R,17,FALSE)="裂石"),$E$3*(1+$E$15),0),BJ83)</f>
        <v>0</v>
      </c>
      <c r="BM83" s="110">
        <f>IF(($D$9+IF(VLOOKUP($E83,武器奇术!$A:$R,17,FALSE)="裂石",$D$15,0)+IF(VLOOKUP($E83,武器奇术!$A:$R,18,FALSE)=1,4,0)+IF(VLOOKUP($E83,武器奇术!$A:$S,19,FALSE)=1,20,0)-VLOOKUP($F$7,目标属性!$A:$R,6,FALSE))&gt;0,($D$9+IF(VLOOKUP($E83,武器奇术!$A:$R,17,FALSE)="裂石",$D$15,0)+IF(VLOOKUP($E83,武器奇术!$A:$R,18,FALSE)=1,4,0)+IF(VLOOKUP($E83,武器奇术!$A:$S,19,FALSE)=1,20,0)-VLOOKUP($F$7,目标属性!$A:$R,6,FALSE))/200,($D$9+IF(VLOOKUP($E83,武器奇术!$A:$R,17,FALSE)="裂石",$D$15,0)+IF(VLOOKUP($E83,武器奇术!$A:$R,18,FALSE)=1,4,0)+IF(VLOOKUP($E83,武器奇术!$A:$S,19,FALSE)=1,20,0)-VLOOKUP($F$7,目标属性!$A:$R,6,FALSE))/100)</f>
        <v>-0.24</v>
      </c>
      <c r="BN83" s="111">
        <f t="shared" si="14"/>
        <v>0</v>
      </c>
      <c r="BO83" s="109">
        <v>1</v>
      </c>
      <c r="BP83" s="112">
        <f>BJ83*IF(VLOOKUP($E83,武器奇术!$A:$R,17,FALSE)="裂石",VLOOKUP($E83,武器奇术!$A:$R,4,FALSE),VLOOKUP($E83,武器奇术!$A:$R,2,FALSE))*(1+BM83)*(1+BN83)*BO83</f>
        <v>0</v>
      </c>
      <c r="BQ83" s="110">
        <f>(1-IF(VLOOKUP($E83,武器奇术!$A:$T,20,FALSE)=1,1,$N83))*(1-$M83)</f>
        <v>0.01072666</v>
      </c>
      <c r="BR83" s="112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10">
        <f t="shared" si="15"/>
        <v>0.8813852</v>
      </c>
      <c r="BT83" s="112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10">
        <f t="shared" si="16"/>
        <v>0.0986</v>
      </c>
      <c r="BV83" s="112">
        <f>BK83*IF(VLOOKUP($E83,武器奇术!$A:$R,17,FALSE)="裂石",VLOOKUP($E83,武器奇术!$A:$R,4,FALSE),VLOOKUP($E83,武器奇术!$A:$R,2,FALSE))*(1+BM83)*(1+BN83)*BO83</f>
        <v>0</v>
      </c>
      <c r="BW83" s="110">
        <f t="shared" si="17"/>
        <v>0.00928814000000003</v>
      </c>
      <c r="BX83" s="113">
        <f t="shared" si="18"/>
        <v>0</v>
      </c>
      <c r="BY83" s="108">
        <f>$B$11*IF($G$5="撼天",1.05,1)+IF(AND(VLOOKUP($E83,武器奇术!$A:$R,15,FALSE)="武器",VLOOKUP($E83,武器奇术!$A:$R,17,FALSE)="牵丝"),$E$3,0)*(1+$E$15)</f>
        <v>0</v>
      </c>
      <c r="BZ83" s="99">
        <f>(BY83+CA83)*IF(VLOOKUP($E83,武器奇术!$A:$Z,21,FALSE)=1,$G$15,0.5)</f>
        <v>0</v>
      </c>
      <c r="CA83" s="109">
        <f>MAX($C$11*IF($G$5="撼天",1.05,1)+IF(AND(VLOOKUP($E83,武器奇术!$A:$R,15,FALSE)="武器",VLOOKUP($E83,武器奇术!$A:$R,17,FALSE)="牵丝"),$E$3*(1+$E$15),0),BY83)</f>
        <v>0</v>
      </c>
      <c r="CB83" s="110">
        <f>IF(($D$11+IF(VLOOKUP($E83,武器奇术!$A:$R,17,FALSE)="牵丝",$D$15,0)+IF(VLOOKUP($E83,武器奇术!$A:$R,18,FALSE)=1,4,0)+IF(VLOOKUP($E83,武器奇术!$A:$S,19,FALSE)=1,20,0)-VLOOKUP($F$7,目标属性!$A:$R,6,FALSE))&gt;0,($D$11+IF(VLOOKUP($E83,武器奇术!$A:$R,17,FALSE)="牵丝",$D$15,0)+IF(VLOOKUP($E83,武器奇术!$A:$R,18,FALSE)=1,4,0)+IF(VLOOKUP($E83,武器奇术!$A:$S,19,FALSE)=1,20,0)-VLOOKUP($F$7,目标属性!$A:$R,6,FALSE))/200,($D$11+IF(VLOOKUP($E83,武器奇术!$A:$R,17,FALSE)="牵丝",$D$15,0)+IF(VLOOKUP($E83,武器奇术!$A:$R,18,FALSE)=1,4,0)+IF(VLOOKUP($E83,武器奇术!$A:$S,19,FALSE)=1,20,0)-VLOOKUP($F$7,目标属性!$A:$R,6,FALSE))/100)</f>
        <v>-0.24</v>
      </c>
      <c r="CC83" s="111">
        <f t="shared" si="19"/>
        <v>0</v>
      </c>
      <c r="CD83" s="109">
        <v>1</v>
      </c>
      <c r="CE83" s="112">
        <f>BY83*IF(VLOOKUP($E83,武器奇术!$A:$R,17,FALSE)="牵丝",VLOOKUP($E83,武器奇术!$A:$R,4,FALSE),VLOOKUP($E83,武器奇术!$A:$R,2,FALSE))*(1+CB83)*(1+CC83)*CD83</f>
        <v>0</v>
      </c>
      <c r="CF83" s="110">
        <f>(1-IF(VLOOKUP($E83,武器奇术!$A:$T,20,FALSE)=1,1,$N83))*(1-$M83)</f>
        <v>0.01072666</v>
      </c>
      <c r="CG83" s="112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110">
        <f t="shared" si="20"/>
        <v>0.8813852</v>
      </c>
      <c r="CI83" s="112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110">
        <f t="shared" si="21"/>
        <v>0.0986</v>
      </c>
      <c r="CK83" s="112">
        <f>BZ83*IF(VLOOKUP($E83,武器奇术!$A:$R,17,FALSE)="牵丝",VLOOKUP($E83,武器奇术!$A:$R,4,FALSE),VLOOKUP($E83,武器奇术!$A:$R,2,FALSE))*(1+CB83)*(1+CC83)*CD83</f>
        <v>0</v>
      </c>
      <c r="CL83" s="110">
        <f t="shared" si="22"/>
        <v>0.00928814000000003</v>
      </c>
      <c r="CM83" s="113">
        <f t="shared" si="23"/>
        <v>0</v>
      </c>
      <c r="CN83" s="108">
        <f>$B$13*IF($G$5="撼天",1.05,1)+IF(AND(VLOOKUP($E83,武器奇术!$A:$R,15,FALSE)="武器",VLOOKUP($E83,武器奇术!$A:$R,17,FALSE)="破竹"),$E$3,0)*(1+$E$15)</f>
        <v>648.46</v>
      </c>
      <c r="CO83" s="99">
        <f>IF(VLOOKUP($E83,武器奇术!$A:$Z,20,FALSE)=1,(CP83-(CN83+CP83)*0.5)*($G$15-0.5)*2+(CN83+CP83)*0.5,(CN83+CP83)*0.5)</f>
        <v>875.26</v>
      </c>
      <c r="CP83" s="109">
        <f>MAX($C$13*IF($G$5="撼天",1.05,1)+IF(AND(VLOOKUP($E83,武器奇术!$A:$R,15,FALSE)="武器",VLOOKUP($E83,武器奇术!$A:$R,17,FALSE)="破竹"),$E$3*(1+$E$15),0),CN83)</f>
        <v>1102.06</v>
      </c>
      <c r="CQ83" s="110">
        <f>IF(($D$13+IF(VLOOKUP($E83,武器奇术!$A:$R,17,FALSE)="破竹",$D$15,0)+IF(VLOOKUP($E83,武器奇术!$A:$R,18,FALSE)=1,4,0)+IF(VLOOKUP($E83,武器奇术!$A:$S,19,FALSE)=1,20,0)-VLOOKUP($F$7,目标属性!$A:$R,6,FALSE))&gt;0,($D$13+IF(VLOOKUP($E83,武器奇术!$A:$R,17,FALSE)="破竹",$D$15,0)+IF(VLOOKUP($E83,武器奇术!$A:$R,18,FALSE)=1,4,0)+IF(VLOOKUP($E83,武器奇术!$A:$S,19,FALSE)=1,20,0)-VLOOKUP($F$7,目标属性!$A:$R,6,FALSE))/200,($D$13+IF(VLOOKUP($E83,武器奇术!$A:$R,17,FALSE)="破竹",$D$15,0)+IF(VLOOKUP($E83,武器奇术!$A:$R,18,FALSE)=1,4,0)+IF(VLOOKUP($E83,武器奇术!$A:$S,19,FALSE)=1,20,0)-VLOOKUP($F$7,目标属性!$A:$R,6,FALSE))/100)</f>
        <v>0.025</v>
      </c>
      <c r="CR83" s="111">
        <f>$E$13+IF(VLOOKUP($E83,武器奇术!$A:$U,21,FALSE)=1,0,0.09)</f>
        <v>0.235</v>
      </c>
      <c r="CS83" s="109">
        <v>1</v>
      </c>
      <c r="CT83" s="112">
        <f>CN83*IF(VLOOKUP($E83,武器奇术!$A:$R,17,FALSE)="破竹",VLOOKUP($E83,武器奇术!$A:$R,4,FALSE),VLOOKUP($E83,武器奇术!$A:$R,2,FALSE))*(1+CQ83)*(1+CR83)*CS83</f>
        <v>2041.994476899</v>
      </c>
      <c r="CU83" s="110">
        <f>(1-IF(VLOOKUP($E83,武器奇术!$A:$T,20,FALSE)=1,1,$N83))*(1-$M83)</f>
        <v>0.01072666</v>
      </c>
      <c r="CV83" s="112">
        <f>CO83*IF(VLOOKUP($E83,武器奇术!$A:$R,17,FALSE)="破竹",VLOOKUP($E83,武器奇术!$A:$R,4,FALSE),VLOOKUP($E83,武器奇术!$A:$R,2,FALSE))*(1+CQ83)*(1+CR83)*CS83*(1+$E$16+VLOOKUP($E83,武器奇术!$A:$R,8,FALSE))</f>
        <v>4520.14431236316</v>
      </c>
      <c r="CW83" s="110">
        <f t="shared" si="24"/>
        <v>0.8813852</v>
      </c>
      <c r="CX83" s="112">
        <f>CP83*IF(VLOOKUP($E83,武器奇术!$A:$R,17,FALSE)="破竹",VLOOKUP($E83,武器奇术!$A:$R,4,FALSE),VLOOKUP($E83,武器奇术!$A:$R,2,FALSE))*(1+CQ83)*(1+CR83)*CS83*(1+$E$17+VLOOKUP($E83,武器奇术!$A:$R,10,FALSE))</f>
        <v>4685.00845824765</v>
      </c>
      <c r="CY83" s="110">
        <f t="shared" si="25"/>
        <v>0.0986</v>
      </c>
      <c r="CZ83" s="112">
        <f>CO83*IF(VLOOKUP($E83,武器奇术!$A:$R,17,FALSE)="破竹",VLOOKUP($E83,武器奇术!$A:$R,4,FALSE),VLOOKUP($E83,武器奇术!$A:$R,2,FALSE))*(1+CQ83)*(1+CR83)*CS83</f>
        <v>2756.185556319</v>
      </c>
      <c r="DA83" s="110">
        <f t="shared" si="26"/>
        <v>0.00928814000000003</v>
      </c>
      <c r="DB83" s="113">
        <f t="shared" si="27"/>
        <v>4493.43375055293</v>
      </c>
      <c r="DC83" s="108">
        <f t="shared" si="36"/>
        <v>69.3</v>
      </c>
      <c r="DD83" s="99">
        <f>(DC83+DE83)*IF(VLOOKUP($E83,武器奇术!$A:$Z,21,FALSE)=1,$G$15,0.5)</f>
        <v>69.3</v>
      </c>
      <c r="DE83" s="109">
        <f t="shared" si="37"/>
        <v>69.3</v>
      </c>
      <c r="DF83" s="110">
        <f>IF(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100)</f>
        <v>0.025</v>
      </c>
      <c r="DG83" s="111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U,21,FALSE)=1,0,0.09)</f>
        <v>0.235</v>
      </c>
      <c r="DH83" s="109">
        <v>1</v>
      </c>
      <c r="DI83" s="112">
        <f>DC83*IF(VLOOKUP($E83,武器奇术!$A:$R,17,FALSE)="破竹",VLOOKUP($E83,武器奇术!$A:$R,4,FALSE),VLOOKUP($E83,武器奇术!$A:$R,2,FALSE))*(1+DF83)*(1+DG83)*DH83</f>
        <v>218.225052045</v>
      </c>
      <c r="DJ83" s="110">
        <f>(1-IF(VLOOKUP($E83,武器奇术!$A:$T,20,FALSE)=1,1,$N83))*(1-$M83)</f>
        <v>0.01072666</v>
      </c>
      <c r="DK83" s="112">
        <f>DD83*IF(VLOOKUP($E83,武器奇术!$A:$R,17,FALSE)="破竹",VLOOKUP($E83,武器奇术!$A:$R,4,FALSE),VLOOKUP($E83,武器奇术!$A:$R,2,FALSE))*(1+DF83)*(1+DG83)*DH83*(1+$E$16+VLOOKUP($E83,武器奇术!$A:$R,8,FALSE))</f>
        <v>357.8890853538</v>
      </c>
      <c r="DL83" s="110">
        <f t="shared" si="28"/>
        <v>0.8813852</v>
      </c>
      <c r="DM83" s="112">
        <f>DE83*IF(VLOOKUP($E83,武器奇术!$A:$R,17,FALSE)="破竹",VLOOKUP($E83,武器奇术!$A:$R,4,FALSE),VLOOKUP($E83,武器奇术!$A:$R,2,FALSE))*(1+DF83)*(1+DG83)*DH83*(1+$E$17+VLOOKUP($E83,武器奇术!$A:$R,10,FALSE))</f>
        <v>294.60382026075</v>
      </c>
      <c r="DN83" s="110">
        <f t="shared" si="29"/>
        <v>0.0986</v>
      </c>
      <c r="DO83" s="112">
        <f>DD83*IF(VLOOKUP($E83,武器奇术!$A:$R,17,FALSE)="破竹",VLOOKUP($E83,武器奇术!$A:$R,4,FALSE),VLOOKUP($E83,武器奇术!$A:$R,2,FALSE))*(1+DF83)*(1+DG83)*DH83</f>
        <v>218.225052045</v>
      </c>
      <c r="DP83" s="110">
        <f t="shared" si="30"/>
        <v>0.00928814000000003</v>
      </c>
      <c r="DQ83" s="113">
        <f t="shared" si="31"/>
        <v>348.853810521756</v>
      </c>
    </row>
    <row r="84" customFormat="1" spans="1:121">
      <c r="A84" s="75"/>
      <c r="B84" t="s">
        <v>159</v>
      </c>
      <c r="C84" s="147">
        <v>0.7</v>
      </c>
      <c r="E84" s="98" t="s">
        <v>129</v>
      </c>
      <c r="F84" s="99">
        <v>1</v>
      </c>
      <c r="G84" s="115"/>
      <c r="H84" s="149">
        <f>IF(VLOOKUP($E84,武器奇术!$A:$R,18,FALSE)="天工",AE84,(AE84+AT84+BI84+BX84+CM84+DB84+DQ84))*(1+J84)*F84*K84*(1+G84)*(1+$G$21*5%)</f>
        <v>60878.7828133725</v>
      </c>
      <c r="I84" s="101">
        <f t="shared" si="0"/>
        <v>0.00751627191703801</v>
      </c>
      <c r="J84" s="101">
        <f>$F$3+VLOOKUP($E84,武器奇术!$A:$R,12,FALSE)+VLOOKUP($E84,武器奇术!$A:$R,14,FALSE)*$G$3+$P84</f>
        <v>0.687</v>
      </c>
      <c r="K84" s="102">
        <f>VLOOKUP($E84,武器奇术!$A:$R,11,FALSE)</f>
        <v>1</v>
      </c>
      <c r="L84" s="117">
        <f>IF(VLOOKUP($E84,武器奇术!$A:$R,15,FALSE)="天工",0%,IF($C$17+VLOOKUP($E84,武器奇术!$A:$R,7,FALSE)&gt;80%,80%,$C$17+VLOOKUP($E84,武器奇术!$A:$R,7,FALSE))+IF($C$19&gt;20%,20%,$C$19))</f>
        <v>0.892</v>
      </c>
      <c r="M84" s="118">
        <f>IF(VLOOKUP($E84,武器奇术!$A:$R,15,FALSE)="天工",0%,IF($C$18+VLOOKUP($E84,武器奇术!$A:$R,9,FALSE)&gt;40%,40%,$C$18+VLOOKUP($E84,武器奇术!$A:$R,9,FALSE))+IF($C$20&gt;10%,10%,$C$20))</f>
        <v>0.0986</v>
      </c>
      <c r="N84" s="119">
        <f>IF(VLOOKUP($E84,武器奇术!$A:$R,15,FALSE)="天工",100%,MIN($C$16,1))</f>
        <v>0.9881</v>
      </c>
      <c r="O84" s="120" t="str">
        <f>VLOOKUP($E84,武器奇术!$A:$R,16,FALSE)</f>
        <v>绳标</v>
      </c>
      <c r="P84" s="121">
        <f t="shared" si="38"/>
        <v>0.084</v>
      </c>
      <c r="Q84" s="108">
        <f>$B$5*(1+VLOOKUP($E84,武器奇术!$A:$R,5,FALSE)+IF($G$5="飞隼",0.1,0)+IF($G$5="撼天",0.05,0))-$F$9+IF($I$5="√",160,0)</f>
        <v>1731.135</v>
      </c>
      <c r="R84" s="99">
        <f>IF(VLOOKUP($E84,武器奇术!$A:$Z,20,FALSE)=1,(S84-(Q84+S84)*0.5)*($G$15-0.5)*2+(Q84+S84)*0.5,(Q84+S84)*0.5)</f>
        <v>3256.775</v>
      </c>
      <c r="S84" s="109">
        <f>MAX($C$5,$B$5)*(1+VLOOKUP($E84,武器奇术!$A:$R,5,FALSE)+IF($G$5="飞隼",0.1,0)+IF($G$5="撼天",0.05,0))-$F$9+IF($I$5="√",320,0)</f>
        <v>4782.415</v>
      </c>
      <c r="T84" s="101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U84" s="111">
        <f>$E$5+IF(VLOOKUP($E84,武器奇术!$A:$U,21,FALSE)=1,0,0.09)</f>
        <v>0.115</v>
      </c>
      <c r="V84" s="109">
        <v>1</v>
      </c>
      <c r="W84" s="112">
        <f>Q84*VLOOKUP($E84,武器奇术!$A:$R,2,FALSE)*(1+T84)*(1+U84)*V84</f>
        <v>5595.154346628</v>
      </c>
      <c r="X84" s="110">
        <f>(1-IF(VLOOKUP($E84,武器奇术!$A:$T,20,FALSE)=1,1,$N84))*(1-$M84)</f>
        <v>0.01072666</v>
      </c>
      <c r="Y84" s="112">
        <f>R84*VLOOKUP($E84,武器奇术!$A:$R,2,FALSE)*(1+T84)*(1+U84)*V84*(1+$E$16+VLOOKUP($E84,武器奇术!$A:$R,8,FALSE))</f>
        <v>20420.6997528468</v>
      </c>
      <c r="Z84" s="110">
        <f t="shared" si="39"/>
        <v>0.8813852</v>
      </c>
      <c r="AA84" s="112">
        <f>S84*VLOOKUP($E84,武器奇术!$A:$R,2,FALSE)*(1+T84)*(1+U84)*V84*(1+$E$17+VLOOKUP($E84,武器奇术!$A:$R,10,FALSE))</f>
        <v>20867.1031437462</v>
      </c>
      <c r="AB84" s="110">
        <f t="shared" si="40"/>
        <v>0.0986</v>
      </c>
      <c r="AC84" s="112">
        <f>R84*VLOOKUP($E84,武器奇术!$A:$R,2,FALSE)*(1+T84)*(1+U84)*V84</f>
        <v>10526.13389322</v>
      </c>
      <c r="AD84" s="110">
        <f t="shared" si="1"/>
        <v>0.00928814000000003</v>
      </c>
      <c r="AE84" s="113">
        <f t="shared" si="2"/>
        <v>20213.784429359</v>
      </c>
      <c r="AF84" s="114">
        <f>VLOOKUP($E84,武器奇术!$A:$R,3,FALSE)*(1+IF(VLOOKUP($E84,武器奇术!$A:$R,15,FALSE)="武器",$E$15,0))</f>
        <v>0</v>
      </c>
      <c r="AG84" s="112">
        <f t="shared" si="3"/>
        <v>0</v>
      </c>
      <c r="AH84" s="112">
        <f>VLOOKUP($E84,武器奇术!$A:$R,3,FALSE)*(1+IF(VLOOKUP($E84,武器奇术!$A:$R,15,FALSE)="武器",$E$15,0))</f>
        <v>0</v>
      </c>
      <c r="AI84" s="101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AJ84" s="111">
        <f>$E$5+IF(VLOOKUP($E84,武器奇术!$A:$U,21,FALSE)=1,0,0.09)</f>
        <v>0.115</v>
      </c>
      <c r="AK84" s="109">
        <v>1</v>
      </c>
      <c r="AL84" s="112">
        <f t="shared" si="41"/>
        <v>0</v>
      </c>
      <c r="AM84" s="110">
        <f>(1-IF(VLOOKUP($E84,武器奇术!$A:$T,20,FALSE)=1,1,$N84))*(1-$M84)</f>
        <v>0.01072666</v>
      </c>
      <c r="AN84" s="112">
        <f>AG84*(1+AI84)*(1+AJ84)*AK84*(1+$E$16+VLOOKUP($E84,武器奇术!$A:$R,8,FALSE))</f>
        <v>0</v>
      </c>
      <c r="AO84" s="110">
        <f t="shared" si="4"/>
        <v>0.8813852</v>
      </c>
      <c r="AP84" s="112">
        <f>AH84*(1+AI84)*(1+AJ84)*AK84*(1+$E$17+VLOOKUP($E84,武器奇术!$A:$R,10,FALSE))</f>
        <v>0</v>
      </c>
      <c r="AQ84" s="110">
        <f t="shared" si="5"/>
        <v>0.0986</v>
      </c>
      <c r="AR84" s="112">
        <f t="shared" si="6"/>
        <v>0</v>
      </c>
      <c r="AS84" s="110">
        <f t="shared" si="7"/>
        <v>0.00928814000000003</v>
      </c>
      <c r="AT84" s="113">
        <f t="shared" si="8"/>
        <v>0</v>
      </c>
      <c r="AU84" s="108">
        <f>$B$7*IF($G$5="撼天",1.05,1)+IF(AND(VLOOKUP($E84,武器奇术!$A:$R,15,FALSE)="武器",VLOOKUP($E84,武器奇术!$A:$R,17,FALSE)="鸣金"),$E$3,0)*(1+$E$15)</f>
        <v>0</v>
      </c>
      <c r="AV84" s="99">
        <f>(AU84+AW84)*IF(VLOOKUP($E84,武器奇术!$A:$Z,21,FALSE)=1,$G$15,0.5)</f>
        <v>0</v>
      </c>
      <c r="AW84" s="109">
        <f>MAX($C$7*IF($G$5="撼天",1.05,1)+IF(AND(VLOOKUP($E84,武器奇术!$A:$R,15,FALSE)="武器",VLOOKUP($E84,武器奇术!$A:$R,17,FALSE)="鸣金"),$E$3*(1+$E$15),0),AU84)</f>
        <v>0</v>
      </c>
      <c r="AX84" s="110">
        <f>IF(($D$7+IF(VLOOKUP($E84,武器奇术!$A:$R,17,FALSE)="鸣金",$D$15,0)+IF(VLOOKUP($E84,武器奇术!$A:$R,18,FALSE)=1,4,0)+IF(VLOOKUP($E84,武器奇术!$A:$S,19,FALSE)=1,20,0)-VLOOKUP($F$7,目标属性!$A:$R,6,FALSE))&gt;0,($D$7+IF(VLOOKUP($E84,武器奇术!$A:$R,17,FALSE)="鸣金",$D$15,0)+IF(VLOOKUP($E84,武器奇术!$A:$R,18,FALSE)=1,4,0)+IF(VLOOKUP($E84,武器奇术!$A:$S,19,FALSE)=1,20,0)-VLOOKUP($F$7,目标属性!$A:$R,6,FALSE))/200,($D$7+IF(VLOOKUP($E84,武器奇术!$A:$R,17,FALSE)="鸣金",$D$15,0)+IF(VLOOKUP($E84,武器奇术!$A:$R,18,FALSE)=1,4,0)+IF(VLOOKUP($E84,武器奇术!$A:$S,19,FALSE)=1,20,0)-VLOOKUP($F$7,目标属性!$A:$R,6,FALSE))/100)</f>
        <v>0</v>
      </c>
      <c r="AY84" s="111">
        <f t="shared" si="9"/>
        <v>0</v>
      </c>
      <c r="AZ84" s="109">
        <v>1</v>
      </c>
      <c r="BA84" s="112">
        <f>AU84*IF(VLOOKUP($E84,武器奇术!$A:$R,17,FALSE)="鸣金",VLOOKUP($E84,武器奇术!$A:$R,4,FALSE),VLOOKUP($E84,武器奇术!$A:$R,2,FALSE))*(1+AX84)*(1+AY84)*AZ84</f>
        <v>0</v>
      </c>
      <c r="BB84" s="110">
        <f>(1-IF(VLOOKUP($E84,武器奇术!$A:$T,20,FALSE)=1,1,$N84))*(1-$M84)</f>
        <v>0.01072666</v>
      </c>
      <c r="BC84" s="112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10">
        <f t="shared" si="10"/>
        <v>0.8813852</v>
      </c>
      <c r="BE84" s="112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10">
        <f t="shared" si="11"/>
        <v>0.0986</v>
      </c>
      <c r="BG84" s="112">
        <f>AV84*IF(VLOOKUP($E84,武器奇术!$A:$R,17,FALSE)="鸣金",VLOOKUP($E84,武器奇术!$A:$R,4,FALSE),VLOOKUP($E84,武器奇术!$A:$R,2,FALSE))*(1+AX84)*(1+AY84)*AZ84</f>
        <v>0</v>
      </c>
      <c r="BH84" s="110">
        <f t="shared" si="12"/>
        <v>0.00928814000000003</v>
      </c>
      <c r="BI84" s="113">
        <f t="shared" si="13"/>
        <v>0</v>
      </c>
      <c r="BJ84" s="108">
        <f>$B$9*IF($G$5="撼天",1.05,1)+IF(AND(VLOOKUP($E84,武器奇术!$A:$R,15,FALSE)="武器",VLOOKUP($E84,武器奇术!$A:$R,17,FALSE)="裂石"),$E$3,0)*(1+$E$15)</f>
        <v>0</v>
      </c>
      <c r="BK84" s="99">
        <f>(BJ84+BL84)*IF(VLOOKUP($E84,武器奇术!$A:$Z,21,FALSE)=1,$G$15,0.5)</f>
        <v>0</v>
      </c>
      <c r="BL84" s="109">
        <f>MAX($C$9*IF($G$5="撼天",1.05,1)+IF(AND(VLOOKUP($E84,武器奇术!$A:$R,15,FALSE)="武器",VLOOKUP($E84,武器奇术!$A:$R,17,FALSE)="裂石"),$E$3*(1+$E$15),0),BJ84)</f>
        <v>0</v>
      </c>
      <c r="BM84" s="110">
        <f>IF(($D$9+IF(VLOOKUP($E84,武器奇术!$A:$R,17,FALSE)="裂石",$D$15,0)+IF(VLOOKUP($E84,武器奇术!$A:$R,18,FALSE)=1,4,0)+IF(VLOOKUP($E84,武器奇术!$A:$S,19,FALSE)=1,20,0)-VLOOKUP($F$7,目标属性!$A:$R,6,FALSE))&gt;0,($D$9+IF(VLOOKUP($E84,武器奇术!$A:$R,17,FALSE)="裂石",$D$15,0)+IF(VLOOKUP($E84,武器奇术!$A:$R,18,FALSE)=1,4,0)+IF(VLOOKUP($E84,武器奇术!$A:$S,19,FALSE)=1,20,0)-VLOOKUP($F$7,目标属性!$A:$R,6,FALSE))/200,($D$9+IF(VLOOKUP($E84,武器奇术!$A:$R,17,FALSE)="裂石",$D$15,0)+IF(VLOOKUP($E84,武器奇术!$A:$R,18,FALSE)=1,4,0)+IF(VLOOKUP($E84,武器奇术!$A:$S,19,FALSE)=1,20,0)-VLOOKUP($F$7,目标属性!$A:$R,6,FALSE))/100)</f>
        <v>0</v>
      </c>
      <c r="BN84" s="111">
        <f t="shared" si="14"/>
        <v>0</v>
      </c>
      <c r="BO84" s="109">
        <v>1</v>
      </c>
      <c r="BP84" s="112">
        <f>BJ84*IF(VLOOKUP($E84,武器奇术!$A:$R,17,FALSE)="裂石",VLOOKUP($E84,武器奇术!$A:$R,4,FALSE),VLOOKUP($E84,武器奇术!$A:$R,2,FALSE))*(1+BM84)*(1+BN84)*BO84</f>
        <v>0</v>
      </c>
      <c r="BQ84" s="110">
        <f>(1-IF(VLOOKUP($E84,武器奇术!$A:$T,20,FALSE)=1,1,$N84))*(1-$M84)</f>
        <v>0.01072666</v>
      </c>
      <c r="BR84" s="112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10">
        <f t="shared" si="15"/>
        <v>0.8813852</v>
      </c>
      <c r="BT84" s="112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10">
        <f t="shared" si="16"/>
        <v>0.0986</v>
      </c>
      <c r="BV84" s="112">
        <f>BK84*IF(VLOOKUP($E84,武器奇术!$A:$R,17,FALSE)="裂石",VLOOKUP($E84,武器奇术!$A:$R,4,FALSE),VLOOKUP($E84,武器奇术!$A:$R,2,FALSE))*(1+BM84)*(1+BN84)*BO84</f>
        <v>0</v>
      </c>
      <c r="BW84" s="110">
        <f t="shared" si="17"/>
        <v>0.00928814000000003</v>
      </c>
      <c r="BX84" s="113">
        <f t="shared" si="18"/>
        <v>0</v>
      </c>
      <c r="BY84" s="108">
        <f>$B$11*IF($G$5="撼天",1.05,1)+IF(AND(VLOOKUP($E84,武器奇术!$A:$R,15,FALSE)="武器",VLOOKUP($E84,武器奇术!$A:$R,17,FALSE)="牵丝"),$E$3,0)*(1+$E$15)</f>
        <v>0</v>
      </c>
      <c r="BZ84" s="99">
        <f>(BY84+CA84)*IF(VLOOKUP($E84,武器奇术!$A:$Z,21,FALSE)=1,$G$15,0.5)</f>
        <v>0</v>
      </c>
      <c r="CA84" s="109">
        <f>MAX($C$11*IF($G$5="撼天",1.05,1)+IF(AND(VLOOKUP($E84,武器奇术!$A:$R,15,FALSE)="武器",VLOOKUP($E84,武器奇术!$A:$R,17,FALSE)="牵丝"),$E$3*(1+$E$15),0),BY84)</f>
        <v>0</v>
      </c>
      <c r="CB84" s="110">
        <f>IF(($D$11+IF(VLOOKUP($E84,武器奇术!$A:$R,17,FALSE)="牵丝",$D$15,0)+IF(VLOOKUP($E84,武器奇术!$A:$R,18,FALSE)=1,4,0)+IF(VLOOKUP($E84,武器奇术!$A:$S,19,FALSE)=1,20,0)-VLOOKUP($F$7,目标属性!$A:$R,6,FALSE))&gt;0,($D$11+IF(VLOOKUP($E84,武器奇术!$A:$R,17,FALSE)="牵丝",$D$15,0)+IF(VLOOKUP($E84,武器奇术!$A:$R,18,FALSE)=1,4,0)+IF(VLOOKUP($E84,武器奇术!$A:$S,19,FALSE)=1,20,0)-VLOOKUP($F$7,目标属性!$A:$R,6,FALSE))/200,($D$11+IF(VLOOKUP($E84,武器奇术!$A:$R,17,FALSE)="牵丝",$D$15,0)+IF(VLOOKUP($E84,武器奇术!$A:$R,18,FALSE)=1,4,0)+IF(VLOOKUP($E84,武器奇术!$A:$S,19,FALSE)=1,20,0)-VLOOKUP($F$7,目标属性!$A:$R,6,FALSE))/100)</f>
        <v>0</v>
      </c>
      <c r="CC84" s="111">
        <f t="shared" si="19"/>
        <v>0</v>
      </c>
      <c r="CD84" s="109">
        <v>1</v>
      </c>
      <c r="CE84" s="112">
        <f>BY84*IF(VLOOKUP($E84,武器奇术!$A:$R,17,FALSE)="牵丝",VLOOKUP($E84,武器奇术!$A:$R,4,FALSE),VLOOKUP($E84,武器奇术!$A:$R,2,FALSE))*(1+CB84)*(1+CC84)*CD84</f>
        <v>0</v>
      </c>
      <c r="CF84" s="110">
        <f>(1-IF(VLOOKUP($E84,武器奇术!$A:$T,20,FALSE)=1,1,$N84))*(1-$M84)</f>
        <v>0.01072666</v>
      </c>
      <c r="CG84" s="112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110">
        <f t="shared" si="20"/>
        <v>0.8813852</v>
      </c>
      <c r="CI84" s="112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110">
        <f t="shared" si="21"/>
        <v>0.0986</v>
      </c>
      <c r="CK84" s="112">
        <f>BZ84*IF(VLOOKUP($E84,武器奇术!$A:$R,17,FALSE)="牵丝",VLOOKUP($E84,武器奇术!$A:$R,4,FALSE),VLOOKUP($E84,武器奇术!$A:$R,2,FALSE))*(1+CB84)*(1+CC84)*CD84</f>
        <v>0</v>
      </c>
      <c r="CL84" s="110">
        <f t="shared" si="22"/>
        <v>0.00928814000000003</v>
      </c>
      <c r="CM84" s="113">
        <f t="shared" si="23"/>
        <v>0</v>
      </c>
      <c r="CN84" s="108">
        <f>$B$13*IF($G$5="撼天",1.05,1)+IF(AND(VLOOKUP($E84,武器奇术!$A:$R,15,FALSE)="武器",VLOOKUP($E84,武器奇术!$A:$R,17,FALSE)="破竹"),$E$3,0)*(1+$E$15)</f>
        <v>452.55</v>
      </c>
      <c r="CO84" s="99">
        <f>IF(VLOOKUP($E84,武器奇术!$A:$Z,20,FALSE)=1,(CP84-(CN84+CP84)*0.5)*($G$15-0.5)*2+(CN84+CP84)*0.5,(CN84+CP84)*0.5)</f>
        <v>679.35</v>
      </c>
      <c r="CP84" s="109">
        <f>MAX($C$13*IF($G$5="撼天",1.05,1)+IF(AND(VLOOKUP($E84,武器奇术!$A:$R,15,FALSE)="武器",VLOOKUP($E84,武器奇术!$A:$R,17,FALSE)="破竹"),$E$3*(1+$E$15),0),CN84)</f>
        <v>906.15</v>
      </c>
      <c r="CQ84" s="110">
        <f>IF(($D$13+IF(VLOOKUP($E84,武器奇术!$A:$R,17,FALSE)="破竹",$D$15,0)+IF(VLOOKUP($E84,武器奇术!$A:$R,18,FALSE)=1,4,0)+IF(VLOOKUP($E84,武器奇术!$A:$S,19,FALSE)=1,20,0)-VLOOKUP($F$7,目标属性!$A:$R,6,FALSE))&gt;0,($D$13+IF(VLOOKUP($E84,武器奇术!$A:$R,17,FALSE)="破竹",$D$15,0)+IF(VLOOKUP($E84,武器奇术!$A:$R,18,FALSE)=1,4,0)+IF(VLOOKUP($E84,武器奇术!$A:$S,19,FALSE)=1,20,0)-VLOOKUP($F$7,目标属性!$A:$R,6,FALSE))/200,($D$13+IF(VLOOKUP($E84,武器奇术!$A:$R,17,FALSE)="破竹",$D$15,0)+IF(VLOOKUP($E84,武器奇术!$A:$R,18,FALSE)=1,4,0)+IF(VLOOKUP($E84,武器奇术!$A:$S,19,FALSE)=1,20,0)-VLOOKUP($F$7,目标属性!$A:$R,6,FALSE))/100)</f>
        <v>0.145</v>
      </c>
      <c r="CR84" s="111">
        <f>$E$13+IF(VLOOKUP($E84,武器奇术!$A:$U,21,FALSE)=1,0,0.09)</f>
        <v>0.235</v>
      </c>
      <c r="CS84" s="109">
        <v>1</v>
      </c>
      <c r="CT84" s="112">
        <f>CN84*IF(VLOOKUP($E84,武器奇术!$A:$R,17,FALSE)="破竹",VLOOKUP($E84,武器奇术!$A:$R,4,FALSE),VLOOKUP($E84,武器奇术!$A:$R,2,FALSE))*(1+CQ84)*(1+CR84)*CS84</f>
        <v>2073.40443765</v>
      </c>
      <c r="CU84" s="110">
        <f>(1-IF(VLOOKUP($E84,武器奇术!$A:$T,20,FALSE)=1,1,$N84))*(1-$M84)</f>
        <v>0.01072666</v>
      </c>
      <c r="CV84" s="112">
        <f>CO84*IF(VLOOKUP($E84,武器奇术!$A:$R,17,FALSE)="破竹",VLOOKUP($E84,武器奇术!$A:$R,4,FALSE),VLOOKUP($E84,武器奇术!$A:$R,2,FALSE))*(1+CQ84)*(1+CR84)*CS84*(1+$E$16+VLOOKUP($E84,武器奇术!$A:$R,8,FALSE))</f>
        <v>6038.273276217</v>
      </c>
      <c r="CW84" s="110">
        <f t="shared" si="24"/>
        <v>0.8813852</v>
      </c>
      <c r="CX84" s="112">
        <f>CP84*IF(VLOOKUP($E84,武器奇术!$A:$R,17,FALSE)="破竹",VLOOKUP($E84,武器奇术!$A:$R,4,FALSE),VLOOKUP($E84,武器奇术!$A:$R,2,FALSE))*(1+CQ84)*(1+CR84)*CS84*(1+$E$17+VLOOKUP($E84,武器奇术!$A:$R,10,FALSE))</f>
        <v>5604.6864039075</v>
      </c>
      <c r="CY84" s="110">
        <f t="shared" si="25"/>
        <v>0.0986</v>
      </c>
      <c r="CZ84" s="112">
        <f>CO84*IF(VLOOKUP($E84,武器奇术!$A:$R,17,FALSE)="破竹",VLOOKUP($E84,武器奇术!$A:$R,4,FALSE),VLOOKUP($E84,武器奇术!$A:$R,2,FALSE))*(1+CQ84)*(1+CR84)*CS84</f>
        <v>3112.51199805</v>
      </c>
      <c r="DA84" s="110">
        <f t="shared" si="26"/>
        <v>0.00928814000000003</v>
      </c>
      <c r="DB84" s="113">
        <f t="shared" si="27"/>
        <v>5925.81693027318</v>
      </c>
      <c r="DC84" s="108">
        <f t="shared" si="36"/>
        <v>69.3</v>
      </c>
      <c r="DD84" s="99">
        <f>(DC84+DE84)*IF(VLOOKUP($E84,武器奇术!$A:$Z,21,FALSE)=1,$G$15,0.5)</f>
        <v>69.3</v>
      </c>
      <c r="DE84" s="109">
        <f t="shared" si="37"/>
        <v>69.3</v>
      </c>
      <c r="DF84" s="110">
        <f>IF(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100)</f>
        <v>0.145</v>
      </c>
      <c r="DG84" s="111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U,21,FALSE)=1,0,0.09)</f>
        <v>0.235</v>
      </c>
      <c r="DH84" s="109">
        <v>1</v>
      </c>
      <c r="DI84" s="112">
        <f>DC84*IF(VLOOKUP($E84,武器奇术!$A:$R,17,FALSE)="破竹",VLOOKUP($E84,武器奇术!$A:$R,4,FALSE),VLOOKUP($E84,武器奇术!$A:$R,2,FALSE))*(1+DF84)*(1+DG84)*DH84</f>
        <v>317.5050879</v>
      </c>
      <c r="DJ84" s="110">
        <f>(1-IF(VLOOKUP($E84,武器奇术!$A:$T,20,FALSE)=1,1,$N84))*(1-$M84)</f>
        <v>0.01072666</v>
      </c>
      <c r="DK84" s="112">
        <f>DD84*IF(VLOOKUP($E84,武器奇术!$A:$R,17,FALSE)="破竹",VLOOKUP($E84,武器奇术!$A:$R,4,FALSE),VLOOKUP($E84,武器奇术!$A:$R,2,FALSE))*(1+DF84)*(1+DG84)*DH84*(1+$E$16+VLOOKUP($E84,武器奇术!$A:$R,8,FALSE))</f>
        <v>615.959870526</v>
      </c>
      <c r="DL84" s="110">
        <f t="shared" si="28"/>
        <v>0.8813852</v>
      </c>
      <c r="DM84" s="112">
        <f>DE84*IF(VLOOKUP($E84,武器奇术!$A:$R,17,FALSE)="破竹",VLOOKUP($E84,武器奇术!$A:$R,4,FALSE),VLOOKUP($E84,武器奇术!$A:$R,2,FALSE))*(1+DF84)*(1+DG84)*DH84*(1+$E$17+VLOOKUP($E84,武器奇术!$A:$R,10,FALSE))</f>
        <v>428.631868665</v>
      </c>
      <c r="DN84" s="110">
        <f t="shared" si="29"/>
        <v>0.0986</v>
      </c>
      <c r="DO84" s="112">
        <f>DD84*IF(VLOOKUP($E84,武器奇术!$A:$R,17,FALSE)="破竹",VLOOKUP($E84,武器奇术!$A:$R,4,FALSE),VLOOKUP($E84,武器奇术!$A:$R,2,FALSE))*(1+DF84)*(1+DG84)*DH84</f>
        <v>317.5050879</v>
      </c>
      <c r="DP84" s="110">
        <f t="shared" si="30"/>
        <v>0.00928814000000003</v>
      </c>
      <c r="DQ84" s="113">
        <f t="shared" si="31"/>
        <v>591.515816759203</v>
      </c>
    </row>
    <row r="85" customFormat="1" spans="1:121">
      <c r="A85" s="75"/>
      <c r="B85" t="s">
        <v>160</v>
      </c>
      <c r="C85">
        <v>0.8</v>
      </c>
      <c r="D85" s="75"/>
      <c r="E85" s="98" t="s">
        <v>139</v>
      </c>
      <c r="F85" s="99">
        <v>1</v>
      </c>
      <c r="G85" s="115"/>
      <c r="H85" s="149">
        <f>IF(VLOOKUP($E85,武器奇术!$A:$R,18,FALSE)="天工",AE85,(AE85+AT85+BI85+BX85+CM85+DB85+DQ85))*(1+J85)*F85*K85*(1+G85)*(1+$G$21*5%)</f>
        <v>26190.1922432254</v>
      </c>
      <c r="I85" s="101">
        <f t="shared" si="0"/>
        <v>0.00323351744832095</v>
      </c>
      <c r="J85" s="101">
        <f>$F$3+VLOOKUP($E85,武器奇术!$A:$R,12,FALSE)+VLOOKUP($E85,武器奇术!$A:$R,14,FALSE)*$G$3+$P85</f>
        <v>0.387</v>
      </c>
      <c r="K85" s="102">
        <f>VLOOKUP($E85,武器奇术!$A:$R,11,FALSE)</f>
        <v>1</v>
      </c>
      <c r="L85" s="117">
        <f>IF(VLOOKUP($E85,武器奇术!$A:$R,15,FALSE)="天工",0%,IF($C$17+VLOOKUP($E85,武器奇术!$A:$R,7,FALSE)&gt;80%,80%,$C$17+VLOOKUP($E85,武器奇术!$A:$R,7,FALSE))+IF($C$19&gt;20%,20%,$C$19))</f>
        <v>0.892</v>
      </c>
      <c r="M85" s="118">
        <f>IF(VLOOKUP($E85,武器奇术!$A:$R,15,FALSE)="天工",0%,IF($C$18+VLOOKUP($E85,武器奇术!$A:$R,9,FALSE)&gt;40%,40%,$C$18+VLOOKUP($E85,武器奇术!$A:$R,9,FALSE))+IF($C$20&gt;10%,10%,$C$20))</f>
        <v>0.0986</v>
      </c>
      <c r="N85" s="119">
        <f>IF(VLOOKUP($E85,武器奇术!$A:$R,15,FALSE)="天工",100%,MIN($C$16,1))</f>
        <v>0.9881</v>
      </c>
      <c r="O85" s="120" t="str">
        <f>VLOOKUP($E85,武器奇术!$A:$R,16,FALSE)</f>
        <v>绳标</v>
      </c>
      <c r="P85" s="121">
        <f t="shared" si="38"/>
        <v>0.084</v>
      </c>
      <c r="Q85" s="108">
        <f>$B$5*(1+VLOOKUP($E85,武器奇术!$A:$R,5,FALSE)+IF($G$5="飞隼",0.1,0)+IF($G$5="撼天",0.05,0))-$F$9+IF($I$5="√",160,0)</f>
        <v>1731.135</v>
      </c>
      <c r="R85" s="99">
        <f>IF(VLOOKUP($E85,武器奇术!$A:$Z,20,FALSE)=1,(S85-(Q85+S85)*0.5)*($G$15-0.5)*2+(Q85+S85)*0.5,(Q85+S85)*0.5)</f>
        <v>3256.775</v>
      </c>
      <c r="S85" s="109">
        <f>MAX($C$5,$B$5)*(1+VLOOKUP($E85,武器奇术!$A:$R,5,FALSE)+IF($G$5="飞隼",0.1,0)+IF($G$5="撼天",0.05,0))-$F$9+IF($I$5="√",320,0)</f>
        <v>4782.415</v>
      </c>
      <c r="T85" s="101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U85" s="111">
        <f>$E$5+IF(VLOOKUP($E85,武器奇术!$A:$U,21,FALSE)=1,0,0.09)</f>
        <v>0.115</v>
      </c>
      <c r="V85" s="109">
        <v>1</v>
      </c>
      <c r="W85" s="112">
        <f>Q85*VLOOKUP($E85,武器奇术!$A:$R,2,FALSE)*(1+T85)*(1+U85)*V85</f>
        <v>2997.37880086712</v>
      </c>
      <c r="X85" s="110">
        <f>(1-IF(VLOOKUP($E85,武器奇术!$A:$T,20,FALSE)=1,1,$N85))*(1-$M85)</f>
        <v>0.01072666</v>
      </c>
      <c r="Y85" s="112">
        <f>R85*VLOOKUP($E85,武器奇术!$A:$R,2,FALSE)*(1+T85)*(1+U85)*V85*(1+$E$16+VLOOKUP($E85,武器奇术!$A:$R,8,FALSE))</f>
        <v>9247.88239188634</v>
      </c>
      <c r="Z85" s="110">
        <f t="shared" si="39"/>
        <v>0.8813852</v>
      </c>
      <c r="AA85" s="112">
        <f>S85*VLOOKUP($E85,武器奇术!$A:$R,2,FALSE)*(1+T85)*(1+U85)*V85*(1+$E$17+VLOOKUP($E85,武器奇术!$A:$R,10,FALSE))</f>
        <v>11178.710849374</v>
      </c>
      <c r="AB85" s="110">
        <f t="shared" si="40"/>
        <v>0.0986</v>
      </c>
      <c r="AC85" s="112">
        <f>R85*VLOOKUP($E85,武器奇术!$A:$R,2,FALSE)*(1+T85)*(1+U85)*V85</f>
        <v>5638.95267797948</v>
      </c>
      <c r="AD85" s="110">
        <f t="shared" si="1"/>
        <v>0.00928814000000003</v>
      </c>
      <c r="AE85" s="113">
        <f t="shared" si="2"/>
        <v>9337.69480651205</v>
      </c>
      <c r="AF85" s="114">
        <f>VLOOKUP($E85,武器奇术!$A:$R,3,FALSE)*(1+IF(VLOOKUP($E85,武器奇术!$A:$R,15,FALSE)="武器",$E$15,0))</f>
        <v>451.1</v>
      </c>
      <c r="AG85" s="112">
        <f t="shared" si="3"/>
        <v>451.1</v>
      </c>
      <c r="AH85" s="112">
        <f>VLOOKUP($E85,武器奇术!$A:$R,3,FALSE)*(1+IF(VLOOKUP($E85,武器奇术!$A:$R,15,FALSE)="武器",$E$15,0))</f>
        <v>451.1</v>
      </c>
      <c r="AI85" s="101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AJ85" s="111">
        <f>$E$5+IF(VLOOKUP($E85,武器奇术!$A:$U,21,FALSE)=1,0,0.09)</f>
        <v>0.115</v>
      </c>
      <c r="AK85" s="109">
        <v>1</v>
      </c>
      <c r="AL85" s="112">
        <f t="shared" si="41"/>
        <v>624.696813</v>
      </c>
      <c r="AM85" s="110">
        <f>(1-IF(VLOOKUP($E85,武器奇术!$A:$T,20,FALSE)=1,1,$N85))*(1-$M85)</f>
        <v>0.01072666</v>
      </c>
      <c r="AN85" s="112">
        <f>AG85*(1+AI85)*(1+AJ85)*AK85*(1+$E$16+VLOOKUP($E85,武器奇术!$A:$R,8,FALSE))</f>
        <v>1024.50277332</v>
      </c>
      <c r="AO85" s="110">
        <f t="shared" si="4"/>
        <v>0.8813852</v>
      </c>
      <c r="AP85" s="112">
        <f>AH85*(1+AI85)*(1+AJ85)*AK85*(1+$E$17+VLOOKUP($E85,武器奇术!$A:$R,10,FALSE))</f>
        <v>843.34069755</v>
      </c>
      <c r="AQ85" s="110">
        <f t="shared" si="5"/>
        <v>0.0986</v>
      </c>
      <c r="AR85" s="112">
        <f t="shared" si="6"/>
        <v>624.696813</v>
      </c>
      <c r="AS85" s="110">
        <f t="shared" si="7"/>
        <v>0.00928814000000003</v>
      </c>
      <c r="AT85" s="113">
        <f t="shared" si="8"/>
        <v>998.638156314466</v>
      </c>
      <c r="AU85" s="108">
        <f>$B$7*IF($G$5="撼天",1.05,1)+IF(AND(VLOOKUP($E85,武器奇术!$A:$R,15,FALSE)="武器",VLOOKUP($E85,武器奇术!$A:$R,17,FALSE)="鸣金"),$E$3,0)*(1+$E$15)</f>
        <v>0</v>
      </c>
      <c r="AV85" s="99">
        <f>(AU85+AW85)*IF(VLOOKUP($E85,武器奇术!$A:$Z,21,FALSE)=1,$G$15,0.5)</f>
        <v>0</v>
      </c>
      <c r="AW85" s="109">
        <f>MAX($C$7*IF($G$5="撼天",1.05,1)+IF(AND(VLOOKUP($E85,武器奇术!$A:$R,15,FALSE)="武器",VLOOKUP($E85,武器奇术!$A:$R,17,FALSE)="鸣金"),$E$3*(1+$E$15),0),AU85)</f>
        <v>0</v>
      </c>
      <c r="AX85" s="110">
        <f>IF(($D$7+IF(VLOOKUP($E85,武器奇术!$A:$R,17,FALSE)="鸣金",$D$15,0)+IF(VLOOKUP($E85,武器奇术!$A:$R,18,FALSE)=1,4,0)+IF(VLOOKUP($E85,武器奇术!$A:$S,19,FALSE)=1,20,0)-VLOOKUP($F$7,目标属性!$A:$R,6,FALSE))&gt;0,($D$7+IF(VLOOKUP($E85,武器奇术!$A:$R,17,FALSE)="鸣金",$D$15,0)+IF(VLOOKUP($E85,武器奇术!$A:$R,18,FALSE)=1,4,0)+IF(VLOOKUP($E85,武器奇术!$A:$S,19,FALSE)=1,20,0)-VLOOKUP($F$7,目标属性!$A:$R,6,FALSE))/200,($D$7+IF(VLOOKUP($E85,武器奇术!$A:$R,17,FALSE)="鸣金",$D$15,0)+IF(VLOOKUP($E85,武器奇术!$A:$R,18,FALSE)=1,4,0)+IF(VLOOKUP($E85,武器奇术!$A:$S,19,FALSE)=1,20,0)-VLOOKUP($F$7,目标属性!$A:$R,6,FALSE))/100)</f>
        <v>-0.24</v>
      </c>
      <c r="AY85" s="111">
        <f t="shared" si="9"/>
        <v>0</v>
      </c>
      <c r="AZ85" s="109">
        <v>1</v>
      </c>
      <c r="BA85" s="112">
        <f>AU85*IF(VLOOKUP($E85,武器奇术!$A:$R,17,FALSE)="鸣金",VLOOKUP($E85,武器奇术!$A:$R,4,FALSE),VLOOKUP($E85,武器奇术!$A:$R,2,FALSE))*(1+AX85)*(1+AY85)*AZ85</f>
        <v>0</v>
      </c>
      <c r="BB85" s="110">
        <f>(1-IF(VLOOKUP($E85,武器奇术!$A:$T,20,FALSE)=1,1,$N85))*(1-$M85)</f>
        <v>0.01072666</v>
      </c>
      <c r="BC85" s="112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10">
        <f t="shared" si="10"/>
        <v>0.8813852</v>
      </c>
      <c r="BE85" s="112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10">
        <f t="shared" si="11"/>
        <v>0.0986</v>
      </c>
      <c r="BG85" s="112">
        <f>AV85*IF(VLOOKUP($E85,武器奇术!$A:$R,17,FALSE)="鸣金",VLOOKUP($E85,武器奇术!$A:$R,4,FALSE),VLOOKUP($E85,武器奇术!$A:$R,2,FALSE))*(1+AX85)*(1+AY85)*AZ85</f>
        <v>0</v>
      </c>
      <c r="BH85" s="110">
        <f t="shared" si="12"/>
        <v>0.00928814000000003</v>
      </c>
      <c r="BI85" s="113">
        <f t="shared" si="13"/>
        <v>0</v>
      </c>
      <c r="BJ85" s="108">
        <f>$B$9*IF($G$5="撼天",1.05,1)+IF(AND(VLOOKUP($E85,武器奇术!$A:$R,15,FALSE)="武器",VLOOKUP($E85,武器奇术!$A:$R,17,FALSE)="裂石"),$E$3,0)*(1+$E$15)</f>
        <v>0</v>
      </c>
      <c r="BK85" s="99">
        <f>(BJ85+BL85)*IF(VLOOKUP($E85,武器奇术!$A:$Z,21,FALSE)=1,$G$15,0.5)</f>
        <v>0</v>
      </c>
      <c r="BL85" s="109">
        <f>MAX($C$9*IF($G$5="撼天",1.05,1)+IF(AND(VLOOKUP($E85,武器奇术!$A:$R,15,FALSE)="武器",VLOOKUP($E85,武器奇术!$A:$R,17,FALSE)="裂石"),$E$3*(1+$E$15),0),BJ85)</f>
        <v>0</v>
      </c>
      <c r="BM85" s="110">
        <f>IF(($D$9+IF(VLOOKUP($E85,武器奇术!$A:$R,17,FALSE)="裂石",$D$15,0)+IF(VLOOKUP($E85,武器奇术!$A:$R,18,FALSE)=1,4,0)+IF(VLOOKUP($E85,武器奇术!$A:$S,19,FALSE)=1,20,0)-VLOOKUP($F$7,目标属性!$A:$R,6,FALSE))&gt;0,($D$9+IF(VLOOKUP($E85,武器奇术!$A:$R,17,FALSE)="裂石",$D$15,0)+IF(VLOOKUP($E85,武器奇术!$A:$R,18,FALSE)=1,4,0)+IF(VLOOKUP($E85,武器奇术!$A:$S,19,FALSE)=1,20,0)-VLOOKUP($F$7,目标属性!$A:$R,6,FALSE))/200,($D$9+IF(VLOOKUP($E85,武器奇术!$A:$R,17,FALSE)="裂石",$D$15,0)+IF(VLOOKUP($E85,武器奇术!$A:$R,18,FALSE)=1,4,0)+IF(VLOOKUP($E85,武器奇术!$A:$S,19,FALSE)=1,20,0)-VLOOKUP($F$7,目标属性!$A:$R,6,FALSE))/100)</f>
        <v>-0.24</v>
      </c>
      <c r="BN85" s="111">
        <f t="shared" si="14"/>
        <v>0</v>
      </c>
      <c r="BO85" s="109">
        <v>1</v>
      </c>
      <c r="BP85" s="112">
        <f>BJ85*IF(VLOOKUP($E85,武器奇术!$A:$R,17,FALSE)="裂石",VLOOKUP($E85,武器奇术!$A:$R,4,FALSE),VLOOKUP($E85,武器奇术!$A:$R,2,FALSE))*(1+BM85)*(1+BN85)*BO85</f>
        <v>0</v>
      </c>
      <c r="BQ85" s="110">
        <f>(1-IF(VLOOKUP($E85,武器奇术!$A:$T,20,FALSE)=1,1,$N85))*(1-$M85)</f>
        <v>0.01072666</v>
      </c>
      <c r="BR85" s="112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10">
        <f t="shared" si="15"/>
        <v>0.8813852</v>
      </c>
      <c r="BT85" s="112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10">
        <f t="shared" si="16"/>
        <v>0.0986</v>
      </c>
      <c r="BV85" s="112">
        <f>BK85*IF(VLOOKUP($E85,武器奇术!$A:$R,17,FALSE)="裂石",VLOOKUP($E85,武器奇术!$A:$R,4,FALSE),VLOOKUP($E85,武器奇术!$A:$R,2,FALSE))*(1+BM85)*(1+BN85)*BO85</f>
        <v>0</v>
      </c>
      <c r="BW85" s="110">
        <f t="shared" si="17"/>
        <v>0.00928814000000003</v>
      </c>
      <c r="BX85" s="113">
        <f t="shared" si="18"/>
        <v>0</v>
      </c>
      <c r="BY85" s="108">
        <f>$B$11*IF($G$5="撼天",1.05,1)+IF(AND(VLOOKUP($E85,武器奇术!$A:$R,15,FALSE)="武器",VLOOKUP($E85,武器奇术!$A:$R,17,FALSE)="牵丝"),$E$3,0)*(1+$E$15)</f>
        <v>0</v>
      </c>
      <c r="BZ85" s="99">
        <f>(BY85+CA85)*IF(VLOOKUP($E85,武器奇术!$A:$Z,21,FALSE)=1,$G$15,0.5)</f>
        <v>0</v>
      </c>
      <c r="CA85" s="109">
        <f>MAX($C$11*IF($G$5="撼天",1.05,1)+IF(AND(VLOOKUP($E85,武器奇术!$A:$R,15,FALSE)="武器",VLOOKUP($E85,武器奇术!$A:$R,17,FALSE)="牵丝"),$E$3*(1+$E$15),0),BY85)</f>
        <v>0</v>
      </c>
      <c r="CB85" s="110">
        <f>IF(($D$11+IF(VLOOKUP($E85,武器奇术!$A:$R,17,FALSE)="牵丝",$D$15,0)+IF(VLOOKUP($E85,武器奇术!$A:$R,18,FALSE)=1,4,0)+IF(VLOOKUP($E85,武器奇术!$A:$S,19,FALSE)=1,20,0)-VLOOKUP($F$7,目标属性!$A:$R,6,FALSE))&gt;0,($D$11+IF(VLOOKUP($E85,武器奇术!$A:$R,17,FALSE)="牵丝",$D$15,0)+IF(VLOOKUP($E85,武器奇术!$A:$R,18,FALSE)=1,4,0)+IF(VLOOKUP($E85,武器奇术!$A:$S,19,FALSE)=1,20,0)-VLOOKUP($F$7,目标属性!$A:$R,6,FALSE))/200,($D$11+IF(VLOOKUP($E85,武器奇术!$A:$R,17,FALSE)="牵丝",$D$15,0)+IF(VLOOKUP($E85,武器奇术!$A:$R,18,FALSE)=1,4,0)+IF(VLOOKUP($E85,武器奇术!$A:$S,19,FALSE)=1,20,0)-VLOOKUP($F$7,目标属性!$A:$R,6,FALSE))/100)</f>
        <v>-0.24</v>
      </c>
      <c r="CC85" s="111">
        <f t="shared" si="19"/>
        <v>0</v>
      </c>
      <c r="CD85" s="109">
        <v>1</v>
      </c>
      <c r="CE85" s="112">
        <f>BY85*IF(VLOOKUP($E85,武器奇术!$A:$R,17,FALSE)="牵丝",VLOOKUP($E85,武器奇术!$A:$R,4,FALSE),VLOOKUP($E85,武器奇术!$A:$R,2,FALSE))*(1+CB85)*(1+CC85)*CD85</f>
        <v>0</v>
      </c>
      <c r="CF85" s="110">
        <f>(1-IF(VLOOKUP($E85,武器奇术!$A:$T,20,FALSE)=1,1,$N85))*(1-$M85)</f>
        <v>0.01072666</v>
      </c>
      <c r="CG85" s="112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110">
        <f t="shared" si="20"/>
        <v>0.8813852</v>
      </c>
      <c r="CI85" s="112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110">
        <f t="shared" si="21"/>
        <v>0.0986</v>
      </c>
      <c r="CK85" s="112">
        <f>BZ85*IF(VLOOKUP($E85,武器奇术!$A:$R,17,FALSE)="牵丝",VLOOKUP($E85,武器奇术!$A:$R,4,FALSE),VLOOKUP($E85,武器奇术!$A:$R,2,FALSE))*(1+CB85)*(1+CC85)*CD85</f>
        <v>0</v>
      </c>
      <c r="CL85" s="110">
        <f t="shared" si="22"/>
        <v>0.00928814000000003</v>
      </c>
      <c r="CM85" s="113">
        <f t="shared" si="23"/>
        <v>0</v>
      </c>
      <c r="CN85" s="108">
        <f>$B$13*IF($G$5="撼天",1.05,1)+IF(AND(VLOOKUP($E85,武器奇术!$A:$R,15,FALSE)="武器",VLOOKUP($E85,武器奇术!$A:$R,17,FALSE)="破竹"),$E$3,0)*(1+$E$15)</f>
        <v>648.46</v>
      </c>
      <c r="CO85" s="99">
        <f>IF(VLOOKUP($E85,武器奇术!$A:$Z,20,FALSE)=1,(CP85-(CN85+CP85)*0.5)*($G$15-0.5)*2+(CN85+CP85)*0.5,(CN85+CP85)*0.5)</f>
        <v>875.26</v>
      </c>
      <c r="CP85" s="109">
        <f>MAX($C$13*IF($G$5="撼天",1.05,1)+IF(AND(VLOOKUP($E85,武器奇术!$A:$R,15,FALSE)="武器",VLOOKUP($E85,武器奇术!$A:$R,17,FALSE)="破竹"),$E$3*(1+$E$15),0),CN85)</f>
        <v>1102.06</v>
      </c>
      <c r="CQ85" s="110">
        <f>IF(($D$13+IF(VLOOKUP($E85,武器奇术!$A:$R,17,FALSE)="破竹",$D$15,0)+IF(VLOOKUP($E85,武器奇术!$A:$R,18,FALSE)=1,4,0)+IF(VLOOKUP($E85,武器奇术!$A:$S,19,FALSE)=1,20,0)-VLOOKUP($F$7,目标属性!$A:$R,6,FALSE))&gt;0,($D$13+IF(VLOOKUP($E85,武器奇术!$A:$R,17,FALSE)="破竹",$D$15,0)+IF(VLOOKUP($E85,武器奇术!$A:$R,18,FALSE)=1,4,0)+IF(VLOOKUP($E85,武器奇术!$A:$S,19,FALSE)=1,20,0)-VLOOKUP($F$7,目标属性!$A:$R,6,FALSE))/200,($D$13+IF(VLOOKUP($E85,武器奇术!$A:$R,17,FALSE)="破竹",$D$15,0)+IF(VLOOKUP($E85,武器奇术!$A:$R,18,FALSE)=1,4,0)+IF(VLOOKUP($E85,武器奇术!$A:$S,19,FALSE)=1,20,0)-VLOOKUP($F$7,目标属性!$A:$R,6,FALSE))/100)</f>
        <v>0.025</v>
      </c>
      <c r="CR85" s="111">
        <f>$E$13+IF(VLOOKUP($E85,武器奇术!$A:$U,21,FALSE)=1,0,0.09)</f>
        <v>0.235</v>
      </c>
      <c r="CS85" s="109">
        <v>1</v>
      </c>
      <c r="CT85" s="112">
        <f>CN85*IF(VLOOKUP($E85,武器奇术!$A:$R,17,FALSE)="破竹",VLOOKUP($E85,武器奇术!$A:$R,4,FALSE),VLOOKUP($E85,武器奇术!$A:$R,2,FALSE))*(1+CQ85)*(1+CR85)*CS85</f>
        <v>1539.54037683875</v>
      </c>
      <c r="CU85" s="110">
        <f>(1-IF(VLOOKUP($E85,武器奇术!$A:$T,20,FALSE)=1,1,$N85))*(1-$M85)</f>
        <v>0.01072666</v>
      </c>
      <c r="CV85" s="112">
        <f>CO85*IF(VLOOKUP($E85,武器奇术!$A:$R,17,FALSE)="破竹",VLOOKUP($E85,武器奇术!$A:$R,4,FALSE),VLOOKUP($E85,武器奇术!$A:$R,2,FALSE))*(1+CQ85)*(1+CR85)*CS85*(1+$E$16+VLOOKUP($E85,武器奇术!$A:$R,8,FALSE))</f>
        <v>3407.91552413455</v>
      </c>
      <c r="CW85" s="110">
        <f t="shared" si="24"/>
        <v>0.8813852</v>
      </c>
      <c r="CX85" s="112">
        <f>CP85*IF(VLOOKUP($E85,武器奇术!$A:$R,17,FALSE)="破竹",VLOOKUP($E85,武器奇术!$A:$R,4,FALSE),VLOOKUP($E85,武器奇术!$A:$R,2,FALSE))*(1+CQ85)*(1+CR85)*CS85*(1+$E$17+VLOOKUP($E85,武器奇术!$A:$R,10,FALSE))</f>
        <v>3532.21312246481</v>
      </c>
      <c r="CY85" s="110">
        <f t="shared" si="25"/>
        <v>0.0986</v>
      </c>
      <c r="CZ85" s="112">
        <f>CO85*IF(VLOOKUP($E85,武器奇术!$A:$R,17,FALSE)="破竹",VLOOKUP($E85,武器奇术!$A:$R,4,FALSE),VLOOKUP($E85,武器奇术!$A:$R,2,FALSE))*(1+CQ85)*(1+CR85)*CS85</f>
        <v>2077.99727081375</v>
      </c>
      <c r="DA85" s="110">
        <f t="shared" si="26"/>
        <v>0.00928814000000003</v>
      </c>
      <c r="DB85" s="113">
        <f t="shared" si="27"/>
        <v>3387.77737544702</v>
      </c>
      <c r="DC85" s="108">
        <f t="shared" si="36"/>
        <v>69.3</v>
      </c>
      <c r="DD85" s="99">
        <f>(DC85+DE85)*IF(VLOOKUP($E85,武器奇术!$A:$Z,21,FALSE)=1,$G$15,0.5)</f>
        <v>69.3</v>
      </c>
      <c r="DE85" s="109">
        <f t="shared" si="37"/>
        <v>69.3</v>
      </c>
      <c r="DF85" s="110">
        <f>IF(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100)</f>
        <v>0.025</v>
      </c>
      <c r="DG85" s="111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U,21,FALSE)=1,0,0.09)</f>
        <v>0.235</v>
      </c>
      <c r="DH85" s="109">
        <v>1</v>
      </c>
      <c r="DI85" s="112">
        <f>DC85*IF(VLOOKUP($E85,武器奇术!$A:$R,17,FALSE)="破竹",VLOOKUP($E85,武器奇术!$A:$R,4,FALSE),VLOOKUP($E85,武器奇术!$A:$R,2,FALSE))*(1+DF85)*(1+DG85)*DH85</f>
        <v>164.52849538125</v>
      </c>
      <c r="DJ85" s="110">
        <f>(1-IF(VLOOKUP($E85,武器奇术!$A:$T,20,FALSE)=1,1,$N85))*(1-$M85)</f>
        <v>0.01072666</v>
      </c>
      <c r="DK85" s="112">
        <f>DD85*IF(VLOOKUP($E85,武器奇术!$A:$R,17,FALSE)="破竹",VLOOKUP($E85,武器奇术!$A:$R,4,FALSE),VLOOKUP($E85,武器奇术!$A:$R,2,FALSE))*(1+DF85)*(1+DG85)*DH85*(1+$E$16+VLOOKUP($E85,武器奇术!$A:$R,8,FALSE))</f>
        <v>269.82673242525</v>
      </c>
      <c r="DL85" s="110">
        <f t="shared" si="28"/>
        <v>0.8813852</v>
      </c>
      <c r="DM85" s="112">
        <f>DE85*IF(VLOOKUP($E85,武器奇术!$A:$R,17,FALSE)="破竹",VLOOKUP($E85,武器奇术!$A:$R,4,FALSE),VLOOKUP($E85,武器奇术!$A:$R,2,FALSE))*(1+DF85)*(1+DG85)*DH85*(1+$E$17+VLOOKUP($E85,武器奇术!$A:$R,10,FALSE))</f>
        <v>222.113468764687</v>
      </c>
      <c r="DN85" s="110">
        <f t="shared" si="29"/>
        <v>0.0986</v>
      </c>
      <c r="DO85" s="112">
        <f>DD85*IF(VLOOKUP($E85,武器奇术!$A:$R,17,FALSE)="破竹",VLOOKUP($E85,武器奇术!$A:$R,4,FALSE),VLOOKUP($E85,武器奇术!$A:$R,2,FALSE))*(1+DF85)*(1+DG85)*DH85</f>
        <v>164.52849538125</v>
      </c>
      <c r="DP85" s="110">
        <f t="shared" si="30"/>
        <v>0.00928814000000003</v>
      </c>
      <c r="DQ85" s="113">
        <f t="shared" si="31"/>
        <v>263.01468147353</v>
      </c>
    </row>
    <row r="86" customFormat="1" spans="1:121">
      <c r="A86" s="75"/>
      <c r="B86" t="s">
        <v>161</v>
      </c>
      <c r="C86">
        <v>2.15</v>
      </c>
      <c r="D86" s="75"/>
      <c r="E86" s="98" t="s">
        <v>141</v>
      </c>
      <c r="F86" s="99">
        <v>1</v>
      </c>
      <c r="G86" s="115"/>
      <c r="H86" s="149">
        <f>IF(VLOOKUP($E86,武器奇术!$A:$R,18,FALSE)="天工",AE86,(AE86+AT86+BI86+BX86+CM86+DB86+DQ86))*(1+J86)*F86*K86*(1+G86)*(1+$G$21*5%)</f>
        <v>50732.3190111438</v>
      </c>
      <c r="I86" s="101">
        <f t="shared" si="0"/>
        <v>0.00626355993086501</v>
      </c>
      <c r="J86" s="101">
        <f>$F$3+VLOOKUP($E86,武器奇术!$A:$R,12,FALSE)+VLOOKUP($E86,武器奇术!$A:$R,14,FALSE)*$G$3+$P86</f>
        <v>0.687</v>
      </c>
      <c r="K86" s="102">
        <f>VLOOKUP($E86,武器奇术!$A:$R,11,FALSE)</f>
        <v>1</v>
      </c>
      <c r="L86" s="117">
        <f>IF(VLOOKUP($E86,武器奇术!$A:$R,15,FALSE)="天工",0%,IF($C$17+VLOOKUP($E86,武器奇术!$A:$R,7,FALSE)&gt;80%,80%,$C$17+VLOOKUP($E86,武器奇术!$A:$R,7,FALSE))+IF($C$19&gt;20%,20%,$C$19))</f>
        <v>0.892</v>
      </c>
      <c r="M86" s="118">
        <f>IF(VLOOKUP($E86,武器奇术!$A:$R,15,FALSE)="天工",0%,IF($C$18+VLOOKUP($E86,武器奇术!$A:$R,9,FALSE)&gt;40%,40%,$C$18+VLOOKUP($E86,武器奇术!$A:$R,9,FALSE))+IF($C$20&gt;10%,10%,$C$20))</f>
        <v>0.0986</v>
      </c>
      <c r="N86" s="119">
        <f>IF(VLOOKUP($E86,武器奇术!$A:$R,15,FALSE)="天工",100%,MIN($C$16,1))</f>
        <v>0.9881</v>
      </c>
      <c r="O86" s="120" t="str">
        <f>VLOOKUP($E86,武器奇术!$A:$R,16,FALSE)</f>
        <v>绳标</v>
      </c>
      <c r="P86" s="121">
        <f t="shared" si="38"/>
        <v>0.084</v>
      </c>
      <c r="Q86" s="108">
        <f>$B$5*(1+VLOOKUP($E86,武器奇术!$A:$R,5,FALSE)+IF($G$5="飞隼",0.1,0)+IF($G$5="撼天",0.05,0))-$F$9+IF($I$5="√",160,0)</f>
        <v>1731.135</v>
      </c>
      <c r="R86" s="99">
        <f>IF(VLOOKUP($E86,武器奇术!$A:$Z,20,FALSE)=1,(S86-(Q86+S86)*0.5)*($G$15-0.5)*2+(Q86+S86)*0.5,(Q86+S86)*0.5)</f>
        <v>3256.775</v>
      </c>
      <c r="S86" s="109">
        <f>MAX($C$5,$B$5)*(1+VLOOKUP($E86,武器奇术!$A:$R,5,FALSE)+IF($G$5="飞隼",0.1,0)+IF($G$5="撼天",0.05,0))-$F$9+IF($I$5="√",320,0)</f>
        <v>4782.415</v>
      </c>
      <c r="T86" s="101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U86" s="111">
        <f>$E$5+IF(VLOOKUP($E86,武器奇术!$A:$U,21,FALSE)=1,0,0.09)</f>
        <v>0.115</v>
      </c>
      <c r="V86" s="109">
        <v>1</v>
      </c>
      <c r="W86" s="112">
        <f>Q86*VLOOKUP($E86,武器奇术!$A:$R,2,FALSE)*(1+T86)*(1+U86)*V86</f>
        <v>4662.62862219</v>
      </c>
      <c r="X86" s="110">
        <f>(1-IF(VLOOKUP($E86,武器奇术!$A:$T,20,FALSE)=1,1,$N86))*(1-$M86)</f>
        <v>0.01072666</v>
      </c>
      <c r="Y86" s="112">
        <f>R86*VLOOKUP($E86,武器奇术!$A:$R,2,FALSE)*(1+T86)*(1+U86)*V86*(1+$E$16+VLOOKUP($E86,武器奇术!$A:$R,8,FALSE))</f>
        <v>17017.249794039</v>
      </c>
      <c r="Z86" s="110">
        <f t="shared" si="39"/>
        <v>0.8813852</v>
      </c>
      <c r="AA86" s="112">
        <f>S86*VLOOKUP($E86,武器奇术!$A:$R,2,FALSE)*(1+T86)*(1+U86)*V86*(1+$E$17+VLOOKUP($E86,武器奇术!$A:$R,10,FALSE))</f>
        <v>17389.2526197885</v>
      </c>
      <c r="AB86" s="110">
        <f t="shared" si="40"/>
        <v>0.0986</v>
      </c>
      <c r="AC86" s="112">
        <f>R86*VLOOKUP($E86,武器奇术!$A:$R,2,FALSE)*(1+T86)*(1+U86)*V86</f>
        <v>8771.77824435</v>
      </c>
      <c r="AD86" s="110">
        <f t="shared" si="1"/>
        <v>0.00928814000000003</v>
      </c>
      <c r="AE86" s="113">
        <f t="shared" si="2"/>
        <v>16844.8203577992</v>
      </c>
      <c r="AF86" s="114">
        <f>VLOOKUP($E86,武器奇术!$A:$R,3,FALSE)*(1+IF(VLOOKUP($E86,武器奇术!$A:$R,15,FALSE)="武器",$E$15,0))</f>
        <v>0</v>
      </c>
      <c r="AG86" s="112">
        <f t="shared" si="3"/>
        <v>0</v>
      </c>
      <c r="AH86" s="112">
        <f>VLOOKUP($E86,武器奇术!$A:$R,3,FALSE)*(1+IF(VLOOKUP($E86,武器奇术!$A:$R,15,FALSE)="武器",$E$15,0))</f>
        <v>0</v>
      </c>
      <c r="AI86" s="101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AJ86" s="111">
        <f>$E$5+IF(VLOOKUP($E86,武器奇术!$A:$U,21,FALSE)=1,0,0.09)</f>
        <v>0.115</v>
      </c>
      <c r="AK86" s="109">
        <v>1</v>
      </c>
      <c r="AL86" s="112">
        <f t="shared" si="41"/>
        <v>0</v>
      </c>
      <c r="AM86" s="110">
        <f>(1-IF(VLOOKUP($E86,武器奇术!$A:$T,20,FALSE)=1,1,$N86))*(1-$M86)</f>
        <v>0.01072666</v>
      </c>
      <c r="AN86" s="112">
        <f>AG86*(1+AI86)*(1+AJ86)*AK86*(1+$E$16+VLOOKUP($E86,武器奇术!$A:$R,8,FALSE))</f>
        <v>0</v>
      </c>
      <c r="AO86" s="110">
        <f t="shared" si="4"/>
        <v>0.8813852</v>
      </c>
      <c r="AP86" s="112">
        <f>AH86*(1+AI86)*(1+AJ86)*AK86*(1+$E$17+VLOOKUP($E86,武器奇术!$A:$R,10,FALSE))</f>
        <v>0</v>
      </c>
      <c r="AQ86" s="110">
        <f t="shared" si="5"/>
        <v>0.0986</v>
      </c>
      <c r="AR86" s="112">
        <f t="shared" si="6"/>
        <v>0</v>
      </c>
      <c r="AS86" s="110">
        <f t="shared" si="7"/>
        <v>0.00928814000000003</v>
      </c>
      <c r="AT86" s="113">
        <f t="shared" si="8"/>
        <v>0</v>
      </c>
      <c r="AU86" s="108">
        <f>$B$7*IF($G$5="撼天",1.05,1)+IF(AND(VLOOKUP($E86,武器奇术!$A:$R,15,FALSE)="武器",VLOOKUP($E86,武器奇术!$A:$R,17,FALSE)="鸣金"),$E$3,0)*(1+$E$15)</f>
        <v>0</v>
      </c>
      <c r="AV86" s="99">
        <f>(AU86+AW86)*IF(VLOOKUP($E86,武器奇术!$A:$Z,21,FALSE)=1,$G$15,0.5)</f>
        <v>0</v>
      </c>
      <c r="AW86" s="109">
        <f>MAX($C$7*IF($G$5="撼天",1.05,1)+IF(AND(VLOOKUP($E86,武器奇术!$A:$R,15,FALSE)="武器",VLOOKUP($E86,武器奇术!$A:$R,17,FALSE)="鸣金"),$E$3*(1+$E$15),0),AU86)</f>
        <v>0</v>
      </c>
      <c r="AX86" s="110">
        <f>IF(($D$7+IF(VLOOKUP($E86,武器奇术!$A:$R,17,FALSE)="鸣金",$D$15,0)+IF(VLOOKUP($E86,武器奇术!$A:$R,18,FALSE)=1,4,0)+IF(VLOOKUP($E86,武器奇术!$A:$S,19,FALSE)=1,20,0)-VLOOKUP($F$7,目标属性!$A:$R,6,FALSE))&gt;0,($D$7+IF(VLOOKUP($E86,武器奇术!$A:$R,17,FALSE)="鸣金",$D$15,0)+IF(VLOOKUP($E86,武器奇术!$A:$R,18,FALSE)=1,4,0)+IF(VLOOKUP($E86,武器奇术!$A:$S,19,FALSE)=1,20,0)-VLOOKUP($F$7,目标属性!$A:$R,6,FALSE))/200,($D$7+IF(VLOOKUP($E86,武器奇术!$A:$R,17,FALSE)="鸣金",$D$15,0)+IF(VLOOKUP($E86,武器奇术!$A:$R,18,FALSE)=1,4,0)+IF(VLOOKUP($E86,武器奇术!$A:$S,19,FALSE)=1,20,0)-VLOOKUP($F$7,目标属性!$A:$R,6,FALSE))/100)</f>
        <v>0</v>
      </c>
      <c r="AY86" s="111">
        <f t="shared" si="9"/>
        <v>0</v>
      </c>
      <c r="AZ86" s="109">
        <v>1</v>
      </c>
      <c r="BA86" s="112">
        <f>AU86*IF(VLOOKUP($E86,武器奇术!$A:$R,17,FALSE)="鸣金",VLOOKUP($E86,武器奇术!$A:$R,4,FALSE),VLOOKUP($E86,武器奇术!$A:$R,2,FALSE))*(1+AX86)*(1+AY86)*AZ86</f>
        <v>0</v>
      </c>
      <c r="BB86" s="110">
        <f>(1-IF(VLOOKUP($E86,武器奇术!$A:$T,20,FALSE)=1,1,$N86))*(1-$M86)</f>
        <v>0.01072666</v>
      </c>
      <c r="BC86" s="112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10">
        <f t="shared" si="10"/>
        <v>0.8813852</v>
      </c>
      <c r="BE86" s="112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10">
        <f t="shared" si="11"/>
        <v>0.0986</v>
      </c>
      <c r="BG86" s="112">
        <f>AV86*IF(VLOOKUP($E86,武器奇术!$A:$R,17,FALSE)="鸣金",VLOOKUP($E86,武器奇术!$A:$R,4,FALSE),VLOOKUP($E86,武器奇术!$A:$R,2,FALSE))*(1+AX86)*(1+AY86)*AZ86</f>
        <v>0</v>
      </c>
      <c r="BH86" s="110">
        <f t="shared" si="12"/>
        <v>0.00928814000000003</v>
      </c>
      <c r="BI86" s="113">
        <f t="shared" si="13"/>
        <v>0</v>
      </c>
      <c r="BJ86" s="108">
        <f>$B$9*IF($G$5="撼天",1.05,1)+IF(AND(VLOOKUP($E86,武器奇术!$A:$R,15,FALSE)="武器",VLOOKUP($E86,武器奇术!$A:$R,17,FALSE)="裂石"),$E$3,0)*(1+$E$15)</f>
        <v>0</v>
      </c>
      <c r="BK86" s="99">
        <f>(BJ86+BL86)*IF(VLOOKUP($E86,武器奇术!$A:$Z,21,FALSE)=1,$G$15,0.5)</f>
        <v>0</v>
      </c>
      <c r="BL86" s="109">
        <f>MAX($C$9*IF($G$5="撼天",1.05,1)+IF(AND(VLOOKUP($E86,武器奇术!$A:$R,15,FALSE)="武器",VLOOKUP($E86,武器奇术!$A:$R,17,FALSE)="裂石"),$E$3*(1+$E$15),0),BJ86)</f>
        <v>0</v>
      </c>
      <c r="BM86" s="110">
        <f>IF(($D$9+IF(VLOOKUP($E86,武器奇术!$A:$R,17,FALSE)="裂石",$D$15,0)+IF(VLOOKUP($E86,武器奇术!$A:$R,18,FALSE)=1,4,0)+IF(VLOOKUP($E86,武器奇术!$A:$S,19,FALSE)=1,20,0)-VLOOKUP($F$7,目标属性!$A:$R,6,FALSE))&gt;0,($D$9+IF(VLOOKUP($E86,武器奇术!$A:$R,17,FALSE)="裂石",$D$15,0)+IF(VLOOKUP($E86,武器奇术!$A:$R,18,FALSE)=1,4,0)+IF(VLOOKUP($E86,武器奇术!$A:$S,19,FALSE)=1,20,0)-VLOOKUP($F$7,目标属性!$A:$R,6,FALSE))/200,($D$9+IF(VLOOKUP($E86,武器奇术!$A:$R,17,FALSE)="裂石",$D$15,0)+IF(VLOOKUP($E86,武器奇术!$A:$R,18,FALSE)=1,4,0)+IF(VLOOKUP($E86,武器奇术!$A:$S,19,FALSE)=1,20,0)-VLOOKUP($F$7,目标属性!$A:$R,6,FALSE))/100)</f>
        <v>0</v>
      </c>
      <c r="BN86" s="111">
        <f t="shared" si="14"/>
        <v>0</v>
      </c>
      <c r="BO86" s="109">
        <v>1</v>
      </c>
      <c r="BP86" s="112">
        <f>BJ86*IF(VLOOKUP($E86,武器奇术!$A:$R,17,FALSE)="裂石",VLOOKUP($E86,武器奇术!$A:$R,4,FALSE),VLOOKUP($E86,武器奇术!$A:$R,2,FALSE))*(1+BM86)*(1+BN86)*BO86</f>
        <v>0</v>
      </c>
      <c r="BQ86" s="110">
        <f>(1-IF(VLOOKUP($E86,武器奇术!$A:$T,20,FALSE)=1,1,$N86))*(1-$M86)</f>
        <v>0.01072666</v>
      </c>
      <c r="BR86" s="112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10">
        <f t="shared" si="15"/>
        <v>0.8813852</v>
      </c>
      <c r="BT86" s="112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10">
        <f t="shared" si="16"/>
        <v>0.0986</v>
      </c>
      <c r="BV86" s="112">
        <f>BK86*IF(VLOOKUP($E86,武器奇术!$A:$R,17,FALSE)="裂石",VLOOKUP($E86,武器奇术!$A:$R,4,FALSE),VLOOKUP($E86,武器奇术!$A:$R,2,FALSE))*(1+BM86)*(1+BN86)*BO86</f>
        <v>0</v>
      </c>
      <c r="BW86" s="110">
        <f t="shared" si="17"/>
        <v>0.00928814000000003</v>
      </c>
      <c r="BX86" s="113">
        <f t="shared" si="18"/>
        <v>0</v>
      </c>
      <c r="BY86" s="108">
        <f>$B$11*IF($G$5="撼天",1.05,1)+IF(AND(VLOOKUP($E86,武器奇术!$A:$R,15,FALSE)="武器",VLOOKUP($E86,武器奇术!$A:$R,17,FALSE)="牵丝"),$E$3,0)*(1+$E$15)</f>
        <v>0</v>
      </c>
      <c r="BZ86" s="99">
        <f>(BY86+CA86)*IF(VLOOKUP($E86,武器奇术!$A:$Z,21,FALSE)=1,$G$15,0.5)</f>
        <v>0</v>
      </c>
      <c r="CA86" s="109">
        <f>MAX($C$11*IF($G$5="撼天",1.05,1)+IF(AND(VLOOKUP($E86,武器奇术!$A:$R,15,FALSE)="武器",VLOOKUP($E86,武器奇术!$A:$R,17,FALSE)="牵丝"),$E$3*(1+$E$15),0),BY86)</f>
        <v>0</v>
      </c>
      <c r="CB86" s="110">
        <f>IF(($D$11+IF(VLOOKUP($E86,武器奇术!$A:$R,17,FALSE)="牵丝",$D$15,0)+IF(VLOOKUP($E86,武器奇术!$A:$R,18,FALSE)=1,4,0)+IF(VLOOKUP($E86,武器奇术!$A:$S,19,FALSE)=1,20,0)-VLOOKUP($F$7,目标属性!$A:$R,6,FALSE))&gt;0,($D$11+IF(VLOOKUP($E86,武器奇术!$A:$R,17,FALSE)="牵丝",$D$15,0)+IF(VLOOKUP($E86,武器奇术!$A:$R,18,FALSE)=1,4,0)+IF(VLOOKUP($E86,武器奇术!$A:$S,19,FALSE)=1,20,0)-VLOOKUP($F$7,目标属性!$A:$R,6,FALSE))/200,($D$11+IF(VLOOKUP($E86,武器奇术!$A:$R,17,FALSE)="牵丝",$D$15,0)+IF(VLOOKUP($E86,武器奇术!$A:$R,18,FALSE)=1,4,0)+IF(VLOOKUP($E86,武器奇术!$A:$S,19,FALSE)=1,20,0)-VLOOKUP($F$7,目标属性!$A:$R,6,FALSE))/100)</f>
        <v>0</v>
      </c>
      <c r="CC86" s="111">
        <f t="shared" si="19"/>
        <v>0</v>
      </c>
      <c r="CD86" s="109">
        <v>1</v>
      </c>
      <c r="CE86" s="112">
        <f>BY86*IF(VLOOKUP($E86,武器奇术!$A:$R,17,FALSE)="牵丝",VLOOKUP($E86,武器奇术!$A:$R,4,FALSE),VLOOKUP($E86,武器奇术!$A:$R,2,FALSE))*(1+CB86)*(1+CC86)*CD86</f>
        <v>0</v>
      </c>
      <c r="CF86" s="110">
        <f>(1-IF(VLOOKUP($E86,武器奇术!$A:$T,20,FALSE)=1,1,$N86))*(1-$M86)</f>
        <v>0.01072666</v>
      </c>
      <c r="CG86" s="112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110">
        <f t="shared" si="20"/>
        <v>0.8813852</v>
      </c>
      <c r="CI86" s="112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110">
        <f t="shared" si="21"/>
        <v>0.0986</v>
      </c>
      <c r="CK86" s="112">
        <f>BZ86*IF(VLOOKUP($E86,武器奇术!$A:$R,17,FALSE)="牵丝",VLOOKUP($E86,武器奇术!$A:$R,4,FALSE),VLOOKUP($E86,武器奇术!$A:$R,2,FALSE))*(1+CB86)*(1+CC86)*CD86</f>
        <v>0</v>
      </c>
      <c r="CL86" s="110">
        <f t="shared" si="22"/>
        <v>0.00928814000000003</v>
      </c>
      <c r="CM86" s="113">
        <f t="shared" si="23"/>
        <v>0</v>
      </c>
      <c r="CN86" s="108">
        <f>$B$13*IF($G$5="撼天",1.05,1)+IF(AND(VLOOKUP($E86,武器奇术!$A:$R,15,FALSE)="武器",VLOOKUP($E86,武器奇术!$A:$R,17,FALSE)="破竹"),$E$3,0)*(1+$E$15)</f>
        <v>452.55</v>
      </c>
      <c r="CO86" s="99">
        <f>IF(VLOOKUP($E86,武器奇术!$A:$Z,20,FALSE)=1,(CP86-(CN86+CP86)*0.5)*($G$15-0.5)*2+(CN86+CP86)*0.5,(CN86+CP86)*0.5)</f>
        <v>679.35</v>
      </c>
      <c r="CP86" s="109">
        <f>MAX($C$13*IF($G$5="撼天",1.05,1)+IF(AND(VLOOKUP($E86,武器奇术!$A:$R,15,FALSE)="武器",VLOOKUP($E86,武器奇术!$A:$R,17,FALSE)="破竹"),$E$3*(1+$E$15),0),CN86)</f>
        <v>906.15</v>
      </c>
      <c r="CQ86" s="110">
        <f>IF(($D$13+IF(VLOOKUP($E86,武器奇术!$A:$R,17,FALSE)="破竹",$D$15,0)+IF(VLOOKUP($E86,武器奇术!$A:$R,18,FALSE)=1,4,0)+IF(VLOOKUP($E86,武器奇术!$A:$S,19,FALSE)=1,20,0)-VLOOKUP($F$7,目标属性!$A:$R,6,FALSE))&gt;0,($D$13+IF(VLOOKUP($E86,武器奇术!$A:$R,17,FALSE)="破竹",$D$15,0)+IF(VLOOKUP($E86,武器奇术!$A:$R,18,FALSE)=1,4,0)+IF(VLOOKUP($E86,武器奇术!$A:$S,19,FALSE)=1,20,0)-VLOOKUP($F$7,目标属性!$A:$R,6,FALSE))/200,($D$13+IF(VLOOKUP($E86,武器奇术!$A:$R,17,FALSE)="破竹",$D$15,0)+IF(VLOOKUP($E86,武器奇术!$A:$R,18,FALSE)=1,4,0)+IF(VLOOKUP($E86,武器奇术!$A:$S,19,FALSE)=1,20,0)-VLOOKUP($F$7,目标属性!$A:$R,6,FALSE))/100)</f>
        <v>0.145</v>
      </c>
      <c r="CR86" s="111">
        <f>$E$13+IF(VLOOKUP($E86,武器奇术!$A:$U,21,FALSE)=1,0,0.09)</f>
        <v>0.235</v>
      </c>
      <c r="CS86" s="109">
        <v>1</v>
      </c>
      <c r="CT86" s="112">
        <f>CN86*IF(VLOOKUP($E86,武器奇术!$A:$R,17,FALSE)="破竹",VLOOKUP($E86,武器奇术!$A:$R,4,FALSE),VLOOKUP($E86,武器奇术!$A:$R,2,FALSE))*(1+CQ86)*(1+CR86)*CS86</f>
        <v>1727.837031375</v>
      </c>
      <c r="CU86" s="110">
        <f>(1-IF(VLOOKUP($E86,武器奇术!$A:$T,20,FALSE)=1,1,$N86))*(1-$M86)</f>
        <v>0.01072666</v>
      </c>
      <c r="CV86" s="112">
        <f>CO86*IF(VLOOKUP($E86,武器奇术!$A:$R,17,FALSE)="破竹",VLOOKUP($E86,武器奇术!$A:$R,4,FALSE),VLOOKUP($E86,武器奇术!$A:$R,2,FALSE))*(1+CQ86)*(1+CR86)*CS86*(1+$E$16+VLOOKUP($E86,武器奇术!$A:$R,8,FALSE))</f>
        <v>5031.8943968475</v>
      </c>
      <c r="CW86" s="110">
        <f t="shared" si="24"/>
        <v>0.8813852</v>
      </c>
      <c r="CX86" s="112">
        <f>CP86*IF(VLOOKUP($E86,武器奇术!$A:$R,17,FALSE)="破竹",VLOOKUP($E86,武器奇术!$A:$R,4,FALSE),VLOOKUP($E86,武器奇术!$A:$R,2,FALSE))*(1+CQ86)*(1+CR86)*CS86*(1+$E$17+VLOOKUP($E86,武器奇术!$A:$R,10,FALSE))</f>
        <v>4670.57200325625</v>
      </c>
      <c r="CY86" s="110">
        <f t="shared" si="25"/>
        <v>0.0986</v>
      </c>
      <c r="CZ86" s="112">
        <f>CO86*IF(VLOOKUP($E86,武器奇术!$A:$R,17,FALSE)="破竹",VLOOKUP($E86,武器奇术!$A:$R,4,FALSE),VLOOKUP($E86,武器奇术!$A:$R,2,FALSE))*(1+CQ86)*(1+CR86)*CS86</f>
        <v>2593.759998375</v>
      </c>
      <c r="DA86" s="110">
        <f t="shared" si="26"/>
        <v>0.00928814000000003</v>
      </c>
      <c r="DB86" s="113">
        <f t="shared" si="27"/>
        <v>4938.18077522766</v>
      </c>
      <c r="DC86" s="108">
        <f t="shared" si="36"/>
        <v>69.3</v>
      </c>
      <c r="DD86" s="99">
        <f>(DC86+DE86)*IF(VLOOKUP($E86,武器奇术!$A:$Z,21,FALSE)=1,$G$15,0.5)</f>
        <v>69.3</v>
      </c>
      <c r="DE86" s="109">
        <f t="shared" si="37"/>
        <v>69.3</v>
      </c>
      <c r="DF86" s="110">
        <f>IF(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100)</f>
        <v>0.145</v>
      </c>
      <c r="DG86" s="111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U,21,FALSE)=1,0,0.09)</f>
        <v>0.235</v>
      </c>
      <c r="DH86" s="109">
        <v>1</v>
      </c>
      <c r="DI86" s="112">
        <f>DC86*IF(VLOOKUP($E86,武器奇术!$A:$R,17,FALSE)="破竹",VLOOKUP($E86,武器奇术!$A:$R,4,FALSE),VLOOKUP($E86,武器奇术!$A:$R,2,FALSE))*(1+DF86)*(1+DG86)*DH86</f>
        <v>264.58757325</v>
      </c>
      <c r="DJ86" s="110">
        <f>(1-IF(VLOOKUP($E86,武器奇术!$A:$T,20,FALSE)=1,1,$N86))*(1-$M86)</f>
        <v>0.01072666</v>
      </c>
      <c r="DK86" s="112">
        <f>DD86*IF(VLOOKUP($E86,武器奇术!$A:$R,17,FALSE)="破竹",VLOOKUP($E86,武器奇术!$A:$R,4,FALSE),VLOOKUP($E86,武器奇术!$A:$R,2,FALSE))*(1+DF86)*(1+DG86)*DH86*(1+$E$16+VLOOKUP($E86,武器奇术!$A:$R,8,FALSE))</f>
        <v>513.299892105</v>
      </c>
      <c r="DL86" s="110">
        <f t="shared" si="28"/>
        <v>0.8813852</v>
      </c>
      <c r="DM86" s="112">
        <f>DE86*IF(VLOOKUP($E86,武器奇术!$A:$R,17,FALSE)="破竹",VLOOKUP($E86,武器奇术!$A:$R,4,FALSE),VLOOKUP($E86,武器奇术!$A:$R,2,FALSE))*(1+DF86)*(1+DG86)*DH86*(1+$E$17+VLOOKUP($E86,武器奇术!$A:$R,10,FALSE))</f>
        <v>357.1932238875</v>
      </c>
      <c r="DN86" s="110">
        <f t="shared" si="29"/>
        <v>0.0986</v>
      </c>
      <c r="DO86" s="112">
        <f>DD86*IF(VLOOKUP($E86,武器奇术!$A:$R,17,FALSE)="破竹",VLOOKUP($E86,武器奇术!$A:$R,4,FALSE),VLOOKUP($E86,武器奇术!$A:$R,2,FALSE))*(1+DF86)*(1+DG86)*DH86</f>
        <v>264.58757325</v>
      </c>
      <c r="DP86" s="110">
        <f t="shared" si="30"/>
        <v>0.00928814000000003</v>
      </c>
      <c r="DQ86" s="113">
        <f t="shared" si="31"/>
        <v>492.929847299336</v>
      </c>
    </row>
    <row r="87" customFormat="1" spans="1:121">
      <c r="A87" s="36" t="s">
        <v>170</v>
      </c>
      <c r="B87" t="s">
        <v>162</v>
      </c>
      <c r="C87" s="147">
        <v>2.13</v>
      </c>
      <c r="D87" s="75"/>
      <c r="E87" s="98" t="s">
        <v>143</v>
      </c>
      <c r="F87" s="99">
        <v>1</v>
      </c>
      <c r="G87" s="115"/>
      <c r="H87" s="149">
        <f>IF(VLOOKUP($E87,武器奇术!$A:$R,18,FALSE)="天工",AE87,(AE87+AT87+BI87+BX87+CM87+DB87+DQ87))*(1+J87)*F87*K87*(1+G87)*(1+$G$21*5%)</f>
        <v>9676.21901316336</v>
      </c>
      <c r="I87" s="101">
        <f t="shared" si="0"/>
        <v>0.00119465419429794</v>
      </c>
      <c r="J87" s="101">
        <f>$F$3+VLOOKUP($E87,武器奇术!$A:$R,12,FALSE)+VLOOKUP($E87,武器奇术!$A:$R,14,FALSE)*$G$3+$P87</f>
        <v>0.473</v>
      </c>
      <c r="K87" s="102">
        <f>VLOOKUP($E87,武器奇术!$A:$R,11,FALSE)</f>
        <v>1</v>
      </c>
      <c r="L87" s="117">
        <f>IF(VLOOKUP($E87,武器奇术!$A:$R,15,FALSE)="天工",0%,IF($C$17+VLOOKUP($E87,武器奇术!$A:$R,7,FALSE)&gt;80%,80%,$C$17+VLOOKUP($E87,武器奇术!$A:$R,7,FALSE))+IF($C$19&gt;20%,20%,$C$19))</f>
        <v>0.892</v>
      </c>
      <c r="M87" s="118">
        <f>IF(VLOOKUP($E87,武器奇术!$A:$R,15,FALSE)="天工",0%,IF($C$18+VLOOKUP($E87,武器奇术!$A:$R,9,FALSE)&gt;40%,40%,$C$18+VLOOKUP($E87,武器奇术!$A:$R,9,FALSE))+IF($C$20&gt;10%,10%,$C$20))</f>
        <v>0.0986</v>
      </c>
      <c r="N87" s="119">
        <f>IF(VLOOKUP($E87,武器奇术!$A:$R,15,FALSE)="天工",100%,MIN($C$16,1))</f>
        <v>0.9881</v>
      </c>
      <c r="O87" s="120" t="str">
        <f>VLOOKUP($E87,武器奇术!$A:$R,16,FALSE)</f>
        <v>拳甲</v>
      </c>
      <c r="P87" s="121">
        <f t="shared" si="38"/>
        <v>0.17</v>
      </c>
      <c r="Q87" s="108">
        <f>$B$5*(1+VLOOKUP($E87,武器奇术!$A:$R,5,FALSE)+IF($G$5="飞隼",0.1,0)+IF($G$5="撼天",0.05,0))-$F$9+IF($I$5="√",160,0)</f>
        <v>1731.135</v>
      </c>
      <c r="R87" s="99">
        <f>IF(VLOOKUP($E87,武器奇术!$A:$Z,20,FALSE)=1,(S87-(Q87+S87)*0.5)*($G$15-0.5)*2+(Q87+S87)*0.5,(Q87+S87)*0.5)</f>
        <v>3256.775</v>
      </c>
      <c r="S87" s="109">
        <f>MAX($C$5,$B$5)*(1+VLOOKUP($E87,武器奇术!$A:$R,5,FALSE)+IF($G$5="飞隼",0.1,0)+IF($G$5="撼天",0.05,0))-$F$9+IF($I$5="√",320,0)</f>
        <v>4782.415</v>
      </c>
      <c r="T87" s="101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U87" s="111">
        <f>$E$5+IF(VLOOKUP($E87,武器奇术!$A:$U,21,FALSE)=1,0,0.09)</f>
        <v>0.115</v>
      </c>
      <c r="V87" s="109">
        <v>1</v>
      </c>
      <c r="W87" s="112">
        <f>Q87*VLOOKUP($E87,武器奇术!$A:$R,2,FALSE)*(1+T87)*(1+U87)*V87</f>
        <v>1042.59780892355</v>
      </c>
      <c r="X87" s="110">
        <f>(1-IF(VLOOKUP($E87,武器奇术!$A:$T,20,FALSE)=1,1,$N87))*(1-$M87)</f>
        <v>0.01072666</v>
      </c>
      <c r="Y87" s="112">
        <f>R87*VLOOKUP($E87,武器奇术!$A:$R,2,FALSE)*(1+T87)*(1+U87)*V87*(1+$E$16+VLOOKUP($E87,武器奇术!$A:$R,8,FALSE))</f>
        <v>3216.75122149194</v>
      </c>
      <c r="Z87" s="110">
        <f t="shared" si="39"/>
        <v>0.8813852</v>
      </c>
      <c r="AA87" s="112">
        <f>S87*VLOOKUP($E87,武器奇术!$A:$R,2,FALSE)*(1+T87)*(1+U87)*V87*(1+$E$17+VLOOKUP($E87,武器奇术!$A:$R,10,FALSE))</f>
        <v>3888.36387138506</v>
      </c>
      <c r="AB87" s="110">
        <f t="shared" si="40"/>
        <v>0.0986</v>
      </c>
      <c r="AC87" s="112">
        <f>R87*VLOOKUP($E87,武器奇术!$A:$R,2,FALSE)*(1+T87)*(1+U87)*V87</f>
        <v>1961.43367164143</v>
      </c>
      <c r="AD87" s="110">
        <f t="shared" si="1"/>
        <v>0.00928814000000003</v>
      </c>
      <c r="AE87" s="113">
        <f t="shared" si="2"/>
        <v>3247.99125917947</v>
      </c>
      <c r="AF87" s="114">
        <f>VLOOKUP($E87,武器奇术!$A:$R,3,FALSE)*(1+IF(VLOOKUP($E87,武器奇术!$A:$R,15,FALSE)="武器",$E$15,0))</f>
        <v>157.3</v>
      </c>
      <c r="AG87" s="112">
        <f t="shared" si="3"/>
        <v>157.3</v>
      </c>
      <c r="AH87" s="112">
        <f>VLOOKUP($E87,武器奇术!$A:$R,3,FALSE)*(1+IF(VLOOKUP($E87,武器奇术!$A:$R,15,FALSE)="武器",$E$15,0))</f>
        <v>157.3</v>
      </c>
      <c r="AI87" s="101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AJ87" s="111">
        <f>$E$5+IF(VLOOKUP($E87,武器奇术!$A:$U,21,FALSE)=1,0,0.09)</f>
        <v>0.115</v>
      </c>
      <c r="AK87" s="109">
        <v>1</v>
      </c>
      <c r="AL87" s="112">
        <f t="shared" si="41"/>
        <v>217.833759</v>
      </c>
      <c r="AM87" s="110">
        <f>(1-IF(VLOOKUP($E87,武器奇术!$A:$T,20,FALSE)=1,1,$N87))*(1-$M87)</f>
        <v>0.01072666</v>
      </c>
      <c r="AN87" s="112">
        <f>AG87*(1+AI87)*(1+AJ87)*AK87*(1+$E$16+VLOOKUP($E87,武器奇术!$A:$R,8,FALSE))</f>
        <v>357.24736476</v>
      </c>
      <c r="AO87" s="110">
        <f t="shared" si="4"/>
        <v>0.8813852</v>
      </c>
      <c r="AP87" s="112">
        <f>AH87*(1+AI87)*(1+AJ87)*AK87*(1+$E$17+VLOOKUP($E87,武器奇术!$A:$R,10,FALSE))</f>
        <v>294.07557465</v>
      </c>
      <c r="AQ87" s="110">
        <f t="shared" si="5"/>
        <v>0.0986</v>
      </c>
      <c r="AR87" s="112">
        <f t="shared" si="6"/>
        <v>217.833759</v>
      </c>
      <c r="AS87" s="110">
        <f t="shared" si="7"/>
        <v>0.00928814000000003</v>
      </c>
      <c r="AT87" s="113">
        <f t="shared" si="8"/>
        <v>348.228290818589</v>
      </c>
      <c r="AU87" s="108">
        <f>$B$7*IF($G$5="撼天",1.05,1)+IF(AND(VLOOKUP($E87,武器奇术!$A:$R,15,FALSE)="武器",VLOOKUP($E87,武器奇术!$A:$R,17,FALSE)="鸣金"),$E$3,0)*(1+$E$15)</f>
        <v>0</v>
      </c>
      <c r="AV87" s="99">
        <f>(AU87+AW87)*IF(VLOOKUP($E87,武器奇术!$A:$Z,21,FALSE)=1,$G$15,0.5)</f>
        <v>0</v>
      </c>
      <c r="AW87" s="109">
        <f>MAX($C$7*IF($G$5="撼天",1.05,1)+IF(AND(VLOOKUP($E87,武器奇术!$A:$R,15,FALSE)="武器",VLOOKUP($E87,武器奇术!$A:$R,17,FALSE)="鸣金"),$E$3*(1+$E$15),0),AU87)</f>
        <v>0</v>
      </c>
      <c r="AX87" s="110">
        <f>IF(($D$7+IF(VLOOKUP($E87,武器奇术!$A:$R,17,FALSE)="鸣金",$D$15,0)+IF(VLOOKUP($E87,武器奇术!$A:$R,18,FALSE)=1,4,0)+IF(VLOOKUP($E87,武器奇术!$A:$S,19,FALSE)=1,20,0)-VLOOKUP($F$7,目标属性!$A:$R,6,FALSE))&gt;0,($D$7+IF(VLOOKUP($E87,武器奇术!$A:$R,17,FALSE)="鸣金",$D$15,0)+IF(VLOOKUP($E87,武器奇术!$A:$R,18,FALSE)=1,4,0)+IF(VLOOKUP($E87,武器奇术!$A:$S,19,FALSE)=1,20,0)-VLOOKUP($F$7,目标属性!$A:$R,6,FALSE))/200,($D$7+IF(VLOOKUP($E87,武器奇术!$A:$R,17,FALSE)="鸣金",$D$15,0)+IF(VLOOKUP($E87,武器奇术!$A:$R,18,FALSE)=1,4,0)+IF(VLOOKUP($E87,武器奇术!$A:$S,19,FALSE)=1,20,0)-VLOOKUP($F$7,目标属性!$A:$R,6,FALSE))/100)</f>
        <v>-0.24</v>
      </c>
      <c r="AY87" s="111">
        <f t="shared" si="9"/>
        <v>0</v>
      </c>
      <c r="AZ87" s="109">
        <v>1</v>
      </c>
      <c r="BA87" s="112">
        <f>AU87*IF(VLOOKUP($E87,武器奇术!$A:$R,17,FALSE)="鸣金",VLOOKUP($E87,武器奇术!$A:$R,4,FALSE),VLOOKUP($E87,武器奇术!$A:$R,2,FALSE))*(1+AX87)*(1+AY87)*AZ87</f>
        <v>0</v>
      </c>
      <c r="BB87" s="110">
        <f>(1-IF(VLOOKUP($E87,武器奇术!$A:$T,20,FALSE)=1,1,$N87))*(1-$M87)</f>
        <v>0.01072666</v>
      </c>
      <c r="BC87" s="112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10">
        <f t="shared" si="10"/>
        <v>0.8813852</v>
      </c>
      <c r="BE87" s="112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10">
        <f t="shared" si="11"/>
        <v>0.0986</v>
      </c>
      <c r="BG87" s="112">
        <f>AV87*IF(VLOOKUP($E87,武器奇术!$A:$R,17,FALSE)="鸣金",VLOOKUP($E87,武器奇术!$A:$R,4,FALSE),VLOOKUP($E87,武器奇术!$A:$R,2,FALSE))*(1+AX87)*(1+AY87)*AZ87</f>
        <v>0</v>
      </c>
      <c r="BH87" s="110">
        <f t="shared" si="12"/>
        <v>0.00928814000000003</v>
      </c>
      <c r="BI87" s="113">
        <f t="shared" si="13"/>
        <v>0</v>
      </c>
      <c r="BJ87" s="108">
        <f>$B$9*IF($G$5="撼天",1.05,1)+IF(AND(VLOOKUP($E87,武器奇术!$A:$R,15,FALSE)="武器",VLOOKUP($E87,武器奇术!$A:$R,17,FALSE)="裂石"),$E$3,0)*(1+$E$15)</f>
        <v>0</v>
      </c>
      <c r="BK87" s="99">
        <f>(BJ87+BL87)*IF(VLOOKUP($E87,武器奇术!$A:$Z,21,FALSE)=1,$G$15,0.5)</f>
        <v>0</v>
      </c>
      <c r="BL87" s="109">
        <f>MAX($C$9*IF($G$5="撼天",1.05,1)+IF(AND(VLOOKUP($E87,武器奇术!$A:$R,15,FALSE)="武器",VLOOKUP($E87,武器奇术!$A:$R,17,FALSE)="裂石"),$E$3*(1+$E$15),0),BJ87)</f>
        <v>0</v>
      </c>
      <c r="BM87" s="110">
        <f>IF(($D$9+IF(VLOOKUP($E87,武器奇术!$A:$R,17,FALSE)="裂石",$D$15,0)+IF(VLOOKUP($E87,武器奇术!$A:$R,18,FALSE)=1,4,0)+IF(VLOOKUP($E87,武器奇术!$A:$S,19,FALSE)=1,20,0)-VLOOKUP($F$7,目标属性!$A:$R,6,FALSE))&gt;0,($D$9+IF(VLOOKUP($E87,武器奇术!$A:$R,17,FALSE)="裂石",$D$15,0)+IF(VLOOKUP($E87,武器奇术!$A:$R,18,FALSE)=1,4,0)+IF(VLOOKUP($E87,武器奇术!$A:$S,19,FALSE)=1,20,0)-VLOOKUP($F$7,目标属性!$A:$R,6,FALSE))/200,($D$9+IF(VLOOKUP($E87,武器奇术!$A:$R,17,FALSE)="裂石",$D$15,0)+IF(VLOOKUP($E87,武器奇术!$A:$R,18,FALSE)=1,4,0)+IF(VLOOKUP($E87,武器奇术!$A:$S,19,FALSE)=1,20,0)-VLOOKUP($F$7,目标属性!$A:$R,6,FALSE))/100)</f>
        <v>-0.24</v>
      </c>
      <c r="BN87" s="111">
        <f t="shared" si="14"/>
        <v>0</v>
      </c>
      <c r="BO87" s="109">
        <v>1</v>
      </c>
      <c r="BP87" s="112">
        <f>BJ87*IF(VLOOKUP($E87,武器奇术!$A:$R,17,FALSE)="裂石",VLOOKUP($E87,武器奇术!$A:$R,4,FALSE),VLOOKUP($E87,武器奇术!$A:$R,2,FALSE))*(1+BM87)*(1+BN87)*BO87</f>
        <v>0</v>
      </c>
      <c r="BQ87" s="110">
        <f>(1-IF(VLOOKUP($E87,武器奇术!$A:$T,20,FALSE)=1,1,$N87))*(1-$M87)</f>
        <v>0.01072666</v>
      </c>
      <c r="BR87" s="112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10">
        <f t="shared" si="15"/>
        <v>0.8813852</v>
      </c>
      <c r="BT87" s="112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10">
        <f t="shared" si="16"/>
        <v>0.0986</v>
      </c>
      <c r="BV87" s="112">
        <f>BK87*IF(VLOOKUP($E87,武器奇术!$A:$R,17,FALSE)="裂石",VLOOKUP($E87,武器奇术!$A:$R,4,FALSE),VLOOKUP($E87,武器奇术!$A:$R,2,FALSE))*(1+BM87)*(1+BN87)*BO87</f>
        <v>0</v>
      </c>
      <c r="BW87" s="110">
        <f t="shared" si="17"/>
        <v>0.00928814000000003</v>
      </c>
      <c r="BX87" s="113">
        <f t="shared" si="18"/>
        <v>0</v>
      </c>
      <c r="BY87" s="108">
        <f>$B$11*IF($G$5="撼天",1.05,1)+IF(AND(VLOOKUP($E87,武器奇术!$A:$R,15,FALSE)="武器",VLOOKUP($E87,武器奇术!$A:$R,17,FALSE)="牵丝"),$E$3,0)*(1+$E$15)</f>
        <v>0</v>
      </c>
      <c r="BZ87" s="99">
        <f>(BY87+CA87)*IF(VLOOKUP($E87,武器奇术!$A:$Z,21,FALSE)=1,$G$15,0.5)</f>
        <v>0</v>
      </c>
      <c r="CA87" s="109">
        <f>MAX($C$11*IF($G$5="撼天",1.05,1)+IF(AND(VLOOKUP($E87,武器奇术!$A:$R,15,FALSE)="武器",VLOOKUP($E87,武器奇术!$A:$R,17,FALSE)="牵丝"),$E$3*(1+$E$15),0),BY87)</f>
        <v>0</v>
      </c>
      <c r="CB87" s="110">
        <f>IF(($D$11+IF(VLOOKUP($E87,武器奇术!$A:$R,17,FALSE)="牵丝",$D$15,0)+IF(VLOOKUP($E87,武器奇术!$A:$R,18,FALSE)=1,4,0)+IF(VLOOKUP($E87,武器奇术!$A:$S,19,FALSE)=1,20,0)-VLOOKUP($F$7,目标属性!$A:$R,6,FALSE))&gt;0,($D$11+IF(VLOOKUP($E87,武器奇术!$A:$R,17,FALSE)="牵丝",$D$15,0)+IF(VLOOKUP($E87,武器奇术!$A:$R,18,FALSE)=1,4,0)+IF(VLOOKUP($E87,武器奇术!$A:$S,19,FALSE)=1,20,0)-VLOOKUP($F$7,目标属性!$A:$R,6,FALSE))/200,($D$11+IF(VLOOKUP($E87,武器奇术!$A:$R,17,FALSE)="牵丝",$D$15,0)+IF(VLOOKUP($E87,武器奇术!$A:$R,18,FALSE)=1,4,0)+IF(VLOOKUP($E87,武器奇术!$A:$S,19,FALSE)=1,20,0)-VLOOKUP($F$7,目标属性!$A:$R,6,FALSE))/100)</f>
        <v>-0.24</v>
      </c>
      <c r="CC87" s="111">
        <f t="shared" si="19"/>
        <v>0</v>
      </c>
      <c r="CD87" s="109">
        <v>1</v>
      </c>
      <c r="CE87" s="112">
        <f>BY87*IF(VLOOKUP($E87,武器奇术!$A:$R,17,FALSE)="牵丝",VLOOKUP($E87,武器奇术!$A:$R,4,FALSE),VLOOKUP($E87,武器奇术!$A:$R,2,FALSE))*(1+CB87)*(1+CC87)*CD87</f>
        <v>0</v>
      </c>
      <c r="CF87" s="110">
        <f>(1-IF(VLOOKUP($E87,武器奇术!$A:$T,20,FALSE)=1,1,$N87))*(1-$M87)</f>
        <v>0.01072666</v>
      </c>
      <c r="CG87" s="112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110">
        <f t="shared" si="20"/>
        <v>0.8813852</v>
      </c>
      <c r="CI87" s="112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110">
        <f t="shared" si="21"/>
        <v>0.0986</v>
      </c>
      <c r="CK87" s="112">
        <f>BZ87*IF(VLOOKUP($E87,武器奇术!$A:$R,17,FALSE)="牵丝",VLOOKUP($E87,武器奇术!$A:$R,4,FALSE),VLOOKUP($E87,武器奇术!$A:$R,2,FALSE))*(1+CB87)*(1+CC87)*CD87</f>
        <v>0</v>
      </c>
      <c r="CL87" s="110">
        <f t="shared" si="22"/>
        <v>0.00928814000000003</v>
      </c>
      <c r="CM87" s="113">
        <f t="shared" si="23"/>
        <v>0</v>
      </c>
      <c r="CN87" s="108">
        <f>$B$13*IF($G$5="撼天",1.05,1)+IF(AND(VLOOKUP($E87,武器奇术!$A:$R,15,FALSE)="武器",VLOOKUP($E87,武器奇术!$A:$R,17,FALSE)="破竹"),$E$3,0)*(1+$E$15)</f>
        <v>648.46</v>
      </c>
      <c r="CO87" s="99">
        <f>IF(VLOOKUP($E87,武器奇术!$A:$Z,20,FALSE)=1,(CP87-(CN87+CP87)*0.5)*($G$15-0.5)*2+(CN87+CP87)*0.5,(CN87+CP87)*0.5)</f>
        <v>875.26</v>
      </c>
      <c r="CP87" s="109">
        <f>MAX($C$13*IF($G$5="撼天",1.05,1)+IF(AND(VLOOKUP($E87,武器奇术!$A:$R,15,FALSE)="武器",VLOOKUP($E87,武器奇术!$A:$R,17,FALSE)="破竹"),$E$3*(1+$E$15),0),CN87)</f>
        <v>1102.06</v>
      </c>
      <c r="CQ87" s="110">
        <f>IF(($D$13+IF(VLOOKUP($E87,武器奇术!$A:$R,17,FALSE)="破竹",$D$15,0)+IF(VLOOKUP($E87,武器奇术!$A:$R,18,FALSE)=1,4,0)+IF(VLOOKUP($E87,武器奇术!$A:$S,19,FALSE)=1,20,0)-VLOOKUP($F$7,目标属性!$A:$R,6,FALSE))&gt;0,($D$13+IF(VLOOKUP($E87,武器奇术!$A:$R,17,FALSE)="破竹",$D$15,0)+IF(VLOOKUP($E87,武器奇术!$A:$R,18,FALSE)=1,4,0)+IF(VLOOKUP($E87,武器奇术!$A:$S,19,FALSE)=1,20,0)-VLOOKUP($F$7,目标属性!$A:$R,6,FALSE))/200,($D$13+IF(VLOOKUP($E87,武器奇术!$A:$R,17,FALSE)="破竹",$D$15,0)+IF(VLOOKUP($E87,武器奇术!$A:$R,18,FALSE)=1,4,0)+IF(VLOOKUP($E87,武器奇术!$A:$S,19,FALSE)=1,20,0)-VLOOKUP($F$7,目标属性!$A:$R,6,FALSE))/100)</f>
        <v>0.025</v>
      </c>
      <c r="CR87" s="111">
        <f>$E$13+IF(VLOOKUP($E87,武器奇术!$A:$U,21,FALSE)=1,0,0.09)</f>
        <v>0.235</v>
      </c>
      <c r="CS87" s="109">
        <v>1</v>
      </c>
      <c r="CT87" s="112">
        <f>CN87*IF(VLOOKUP($E87,武器奇术!$A:$R,17,FALSE)="破竹",VLOOKUP($E87,武器奇术!$A:$R,4,FALSE),VLOOKUP($E87,武器奇术!$A:$R,2,FALSE))*(1+CQ87)*(1+CR87)*CS87</f>
        <v>535.45304602075</v>
      </c>
      <c r="CU87" s="110">
        <f>(1-IF(VLOOKUP($E87,武器奇术!$A:$T,20,FALSE)=1,1,$N87))*(1-$M87)</f>
        <v>0.01072666</v>
      </c>
      <c r="CV87" s="112">
        <f>CO87*IF(VLOOKUP($E87,武器奇术!$A:$R,17,FALSE)="破竹",VLOOKUP($E87,武器奇术!$A:$R,4,FALSE),VLOOKUP($E87,武器奇术!$A:$R,2,FALSE))*(1+CQ87)*(1+CR87)*CS87*(1+$E$16+VLOOKUP($E87,武器奇术!$A:$R,8,FALSE))</f>
        <v>1185.27501807143</v>
      </c>
      <c r="CW87" s="110">
        <f t="shared" si="24"/>
        <v>0.8813852</v>
      </c>
      <c r="CX87" s="112">
        <f>CP87*IF(VLOOKUP($E87,武器奇术!$A:$R,17,FALSE)="破竹",VLOOKUP($E87,武器奇术!$A:$R,4,FALSE),VLOOKUP($E87,武器奇术!$A:$R,2,FALSE))*(1+CQ87)*(1+CR87)*CS87*(1+$E$17+VLOOKUP($E87,武器奇术!$A:$R,10,FALSE))</f>
        <v>1228.50579567251</v>
      </c>
      <c r="CY87" s="110">
        <f t="shared" si="25"/>
        <v>0.0986</v>
      </c>
      <c r="CZ87" s="112">
        <f>CO87*IF(VLOOKUP($E87,武器奇术!$A:$R,17,FALSE)="破竹",VLOOKUP($E87,武器奇术!$A:$R,4,FALSE),VLOOKUP($E87,武器奇术!$A:$R,2,FALSE))*(1+CQ87)*(1+CR87)*CS87</f>
        <v>722.72866955575</v>
      </c>
      <c r="DA87" s="110">
        <f t="shared" si="26"/>
        <v>0.00928814000000003</v>
      </c>
      <c r="DB87" s="113">
        <f t="shared" si="27"/>
        <v>1178.27095814668</v>
      </c>
      <c r="DC87" s="108">
        <f t="shared" si="36"/>
        <v>69.3</v>
      </c>
      <c r="DD87" s="99">
        <f>(DC87+DE87)*IF(VLOOKUP($E87,武器奇术!$A:$Z,21,FALSE)=1,$G$15,0.5)</f>
        <v>69.3</v>
      </c>
      <c r="DE87" s="109">
        <f t="shared" si="37"/>
        <v>69.3</v>
      </c>
      <c r="DF87" s="110">
        <f>IF(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100)</f>
        <v>0.025</v>
      </c>
      <c r="DG87" s="111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U,21,FALSE)=1,0,0.09)</f>
        <v>0.235</v>
      </c>
      <c r="DH87" s="109">
        <v>1</v>
      </c>
      <c r="DI87" s="112">
        <f>DC87*IF(VLOOKUP($E87,武器奇术!$A:$R,17,FALSE)="破竹",VLOOKUP($E87,武器奇术!$A:$R,4,FALSE),VLOOKUP($E87,武器奇术!$A:$R,2,FALSE))*(1+DF87)*(1+DG87)*DH87</f>
        <v>57.22310719125</v>
      </c>
      <c r="DJ87" s="110">
        <f>(1-IF(VLOOKUP($E87,武器奇术!$A:$T,20,FALSE)=1,1,$N87))*(1-$M87)</f>
        <v>0.01072666</v>
      </c>
      <c r="DK87" s="112">
        <f>DD87*IF(VLOOKUP($E87,武器奇术!$A:$R,17,FALSE)="破竹",VLOOKUP($E87,武器奇术!$A:$R,4,FALSE),VLOOKUP($E87,武器奇术!$A:$R,2,FALSE))*(1+DF87)*(1+DG87)*DH87*(1+$E$16+VLOOKUP($E87,武器奇术!$A:$R,8,FALSE))</f>
        <v>93.84589579365</v>
      </c>
      <c r="DL87" s="110">
        <f t="shared" si="28"/>
        <v>0.8813852</v>
      </c>
      <c r="DM87" s="112">
        <f>DE87*IF(VLOOKUP($E87,武器奇术!$A:$R,17,FALSE)="破竹",VLOOKUP($E87,武器奇术!$A:$R,4,FALSE),VLOOKUP($E87,武器奇术!$A:$R,2,FALSE))*(1+DF87)*(1+DG87)*DH87*(1+$E$17+VLOOKUP($E87,武器奇术!$A:$R,10,FALSE))</f>
        <v>77.2511947081875</v>
      </c>
      <c r="DN87" s="110">
        <f t="shared" si="29"/>
        <v>0.0986</v>
      </c>
      <c r="DO87" s="112">
        <f>DD87*IF(VLOOKUP($E87,武器奇术!$A:$R,17,FALSE)="破竹",VLOOKUP($E87,武器奇术!$A:$R,4,FALSE),VLOOKUP($E87,武器奇术!$A:$R,2,FALSE))*(1+DF87)*(1+DG87)*DH87</f>
        <v>57.22310719125</v>
      </c>
      <c r="DP87" s="110">
        <f t="shared" si="30"/>
        <v>0.00928814000000003</v>
      </c>
      <c r="DQ87" s="113">
        <f t="shared" si="31"/>
        <v>91.4766604773041</v>
      </c>
    </row>
    <row r="88" customFormat="1" spans="1:121">
      <c r="A88" s="36"/>
      <c r="B88" t="s">
        <v>163</v>
      </c>
      <c r="C88">
        <v>1.06</v>
      </c>
      <c r="D88" s="75"/>
      <c r="E88" s="98" t="s">
        <v>144</v>
      </c>
      <c r="F88" s="99">
        <v>1</v>
      </c>
      <c r="G88" s="115"/>
      <c r="H88" s="149">
        <f>IF(VLOOKUP($E88,武器奇术!$A:$R,18,FALSE)="天工",AE88,(AE88+AT88+BI88+BX88+CM88+DB88+DQ88))*(1+J88)*F88*K88*(1+G88)*(1+$G$21*5%)</f>
        <v>5630.79822215335</v>
      </c>
      <c r="I88" s="101">
        <f t="shared" si="0"/>
        <v>0.000695194755739799</v>
      </c>
      <c r="J88" s="101">
        <f>$F$3+VLOOKUP($E88,武器奇术!$A:$R,12,FALSE)+VLOOKUP($E88,武器奇术!$A:$R,14,FALSE)*$G$3+$P88</f>
        <v>0.473</v>
      </c>
      <c r="K88" s="102">
        <f>VLOOKUP($E88,武器奇术!$A:$R,11,FALSE)</f>
        <v>1</v>
      </c>
      <c r="L88" s="117">
        <f>IF(VLOOKUP($E88,武器奇术!$A:$R,15,FALSE)="天工",0%,IF($C$17+VLOOKUP($E88,武器奇术!$A:$R,7,FALSE)&gt;80%,80%,$C$17+VLOOKUP($E88,武器奇术!$A:$R,7,FALSE))+IF($C$19&gt;20%,20%,$C$19))</f>
        <v>0.892</v>
      </c>
      <c r="M88" s="118">
        <f>IF(VLOOKUP($E88,武器奇术!$A:$R,15,FALSE)="天工",0%,IF($C$18+VLOOKUP($E88,武器奇术!$A:$R,9,FALSE)&gt;40%,40%,$C$18+VLOOKUP($E88,武器奇术!$A:$R,9,FALSE))+IF($C$20&gt;10%,10%,$C$20))</f>
        <v>0.0986</v>
      </c>
      <c r="N88" s="119">
        <f>IF(VLOOKUP($E88,武器奇术!$A:$R,15,FALSE)="天工",100%,MIN($C$16,1))</f>
        <v>0.9881</v>
      </c>
      <c r="O88" s="120" t="str">
        <f>VLOOKUP($E88,武器奇术!$A:$R,16,FALSE)</f>
        <v>拳甲</v>
      </c>
      <c r="P88" s="121">
        <f t="shared" si="38"/>
        <v>0.17</v>
      </c>
      <c r="Q88" s="108">
        <f>$B$5*(1+VLOOKUP($E88,武器奇术!$A:$R,5,FALSE)+IF($G$5="飞隼",0.1,0)+IF($G$5="撼天",0.05,0))-$F$9+IF($I$5="√",160,0)</f>
        <v>1731.135</v>
      </c>
      <c r="R88" s="99">
        <f>IF(VLOOKUP($E88,武器奇术!$A:$Z,20,FALSE)=1,(S88-(Q88+S88)*0.5)*($G$15-0.5)*2+(Q88+S88)*0.5,(Q88+S88)*0.5)</f>
        <v>3256.775</v>
      </c>
      <c r="S88" s="109">
        <f>MAX($C$5,$B$5)*(1+VLOOKUP($E88,武器奇术!$A:$R,5,FALSE)+IF($G$5="飞隼",0.1,0)+IF($G$5="撼天",0.05,0))-$F$9+IF($I$5="√",320,0)</f>
        <v>4782.415</v>
      </c>
      <c r="T88" s="101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U88" s="111">
        <f>$E$5+IF(VLOOKUP($E88,武器奇术!$A:$U,21,FALSE)=1,0,0.09)</f>
        <v>0.115</v>
      </c>
      <c r="V88" s="109">
        <v>1</v>
      </c>
      <c r="W88" s="112">
        <f>Q88*VLOOKUP($E88,武器奇术!$A:$R,2,FALSE)*(1+T88)*(1+U88)*V88</f>
        <v>606.284170790445</v>
      </c>
      <c r="X88" s="110">
        <f>(1-IF(VLOOKUP($E88,武器奇术!$A:$T,20,FALSE)=1,1,$N88))*(1-$M88)</f>
        <v>0.01072666</v>
      </c>
      <c r="Y88" s="112">
        <f>R88*VLOOKUP($E88,武器奇术!$A:$R,2,FALSE)*(1+T88)*(1+U88)*V88*(1+$E$16+VLOOKUP($E88,武器奇术!$A:$R,8,FALSE))</f>
        <v>1870.58262569628</v>
      </c>
      <c r="Z88" s="110">
        <f t="shared" si="39"/>
        <v>0.8813852</v>
      </c>
      <c r="AA88" s="112">
        <f>S88*VLOOKUP($E88,武器奇术!$A:$R,2,FALSE)*(1+T88)*(1+U88)*V88*(1+$E$17+VLOOKUP($E88,武器奇术!$A:$R,10,FALSE))</f>
        <v>2261.1341068597</v>
      </c>
      <c r="AB88" s="110">
        <f t="shared" si="40"/>
        <v>0.0986</v>
      </c>
      <c r="AC88" s="112">
        <f>R88*VLOOKUP($E88,武器奇术!$A:$R,2,FALSE)*(1+T88)*(1+U88)*V88</f>
        <v>1140.59916200993</v>
      </c>
      <c r="AD88" s="110">
        <f t="shared" si="1"/>
        <v>0.00928814000000003</v>
      </c>
      <c r="AE88" s="113">
        <f t="shared" si="2"/>
        <v>1888.74911346629</v>
      </c>
      <c r="AF88" s="114">
        <f>VLOOKUP($E88,武器奇术!$A:$R,3,FALSE)*(1+IF(VLOOKUP($E88,武器奇术!$A:$R,15,FALSE)="武器",$E$15,0))</f>
        <v>92.3</v>
      </c>
      <c r="AG88" s="112">
        <f t="shared" si="3"/>
        <v>92.3</v>
      </c>
      <c r="AH88" s="112">
        <f>VLOOKUP($E88,武器奇术!$A:$R,3,FALSE)*(1+IF(VLOOKUP($E88,武器奇术!$A:$R,15,FALSE)="武器",$E$15,0))</f>
        <v>92.3</v>
      </c>
      <c r="AI88" s="101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AJ88" s="111">
        <f>$E$5+IF(VLOOKUP($E88,武器奇术!$A:$U,21,FALSE)=1,0,0.09)</f>
        <v>0.115</v>
      </c>
      <c r="AK88" s="109">
        <v>1</v>
      </c>
      <c r="AL88" s="112">
        <f t="shared" si="41"/>
        <v>127.819809</v>
      </c>
      <c r="AM88" s="110">
        <f>(1-IF(VLOOKUP($E88,武器奇术!$A:$T,20,FALSE)=1,1,$N88))*(1-$M88)</f>
        <v>0.01072666</v>
      </c>
      <c r="AN88" s="112">
        <f>AG88*(1+AI88)*(1+AJ88)*AK88*(1+$E$16+VLOOKUP($E88,武器奇术!$A:$R,8,FALSE))</f>
        <v>209.62448676</v>
      </c>
      <c r="AO88" s="110">
        <f t="shared" si="4"/>
        <v>0.8813852</v>
      </c>
      <c r="AP88" s="112">
        <f>AH88*(1+AI88)*(1+AJ88)*AK88*(1+$E$17+VLOOKUP($E88,武器奇术!$A:$R,10,FALSE))</f>
        <v>172.55674215</v>
      </c>
      <c r="AQ88" s="110">
        <f t="shared" si="5"/>
        <v>0.0986</v>
      </c>
      <c r="AR88" s="112">
        <f t="shared" si="6"/>
        <v>127.819809</v>
      </c>
      <c r="AS88" s="110">
        <f t="shared" si="7"/>
        <v>0.00928814000000003</v>
      </c>
      <c r="AT88" s="113">
        <f t="shared" si="8"/>
        <v>204.332302877023</v>
      </c>
      <c r="AU88" s="108">
        <f>$B$7*IF($G$5="撼天",1.05,1)+IF(AND(VLOOKUP($E88,武器奇术!$A:$R,15,FALSE)="武器",VLOOKUP($E88,武器奇术!$A:$R,17,FALSE)="鸣金"),$E$3,0)*(1+$E$15)</f>
        <v>0</v>
      </c>
      <c r="AV88" s="99">
        <f>(AU88+AW88)*IF(VLOOKUP($E88,武器奇术!$A:$Z,21,FALSE)=1,$G$15,0.5)</f>
        <v>0</v>
      </c>
      <c r="AW88" s="109">
        <f>MAX($C$7*IF($G$5="撼天",1.05,1)+IF(AND(VLOOKUP($E88,武器奇术!$A:$R,15,FALSE)="武器",VLOOKUP($E88,武器奇术!$A:$R,17,FALSE)="鸣金"),$E$3*(1+$E$15),0),AU88)</f>
        <v>0</v>
      </c>
      <c r="AX88" s="110">
        <f>IF(($D$7+IF(VLOOKUP($E88,武器奇术!$A:$R,17,FALSE)="鸣金",$D$15,0)+IF(VLOOKUP($E88,武器奇术!$A:$R,18,FALSE)=1,4,0)+IF(VLOOKUP($E88,武器奇术!$A:$S,19,FALSE)=1,20,0)-VLOOKUP($F$7,目标属性!$A:$R,6,FALSE))&gt;0,($D$7+IF(VLOOKUP($E88,武器奇术!$A:$R,17,FALSE)="鸣金",$D$15,0)+IF(VLOOKUP($E88,武器奇术!$A:$R,18,FALSE)=1,4,0)+IF(VLOOKUP($E88,武器奇术!$A:$S,19,FALSE)=1,20,0)-VLOOKUP($F$7,目标属性!$A:$R,6,FALSE))/200,($D$7+IF(VLOOKUP($E88,武器奇术!$A:$R,17,FALSE)="鸣金",$D$15,0)+IF(VLOOKUP($E88,武器奇术!$A:$R,18,FALSE)=1,4,0)+IF(VLOOKUP($E88,武器奇术!$A:$S,19,FALSE)=1,20,0)-VLOOKUP($F$7,目标属性!$A:$R,6,FALSE))/100)</f>
        <v>-0.24</v>
      </c>
      <c r="AY88" s="111">
        <f t="shared" si="9"/>
        <v>0</v>
      </c>
      <c r="AZ88" s="109">
        <v>1</v>
      </c>
      <c r="BA88" s="112">
        <f>AU88*IF(VLOOKUP($E88,武器奇术!$A:$R,17,FALSE)="鸣金",VLOOKUP($E88,武器奇术!$A:$R,4,FALSE),VLOOKUP($E88,武器奇术!$A:$R,2,FALSE))*(1+AX88)*(1+AY88)*AZ88</f>
        <v>0</v>
      </c>
      <c r="BB88" s="110">
        <f>(1-IF(VLOOKUP($E88,武器奇术!$A:$T,20,FALSE)=1,1,$N88))*(1-$M88)</f>
        <v>0.01072666</v>
      </c>
      <c r="BC88" s="112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10">
        <f t="shared" si="10"/>
        <v>0.8813852</v>
      </c>
      <c r="BE88" s="112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10">
        <f t="shared" si="11"/>
        <v>0.0986</v>
      </c>
      <c r="BG88" s="112">
        <f>AV88*IF(VLOOKUP($E88,武器奇术!$A:$R,17,FALSE)="鸣金",VLOOKUP($E88,武器奇术!$A:$R,4,FALSE),VLOOKUP($E88,武器奇术!$A:$R,2,FALSE))*(1+AX88)*(1+AY88)*AZ88</f>
        <v>0</v>
      </c>
      <c r="BH88" s="110">
        <f t="shared" si="12"/>
        <v>0.00928814000000003</v>
      </c>
      <c r="BI88" s="113">
        <f t="shared" si="13"/>
        <v>0</v>
      </c>
      <c r="BJ88" s="108">
        <f>$B$9*IF($G$5="撼天",1.05,1)+IF(AND(VLOOKUP($E88,武器奇术!$A:$R,15,FALSE)="武器",VLOOKUP($E88,武器奇术!$A:$R,17,FALSE)="裂石"),$E$3,0)*(1+$E$15)</f>
        <v>0</v>
      </c>
      <c r="BK88" s="99">
        <f>(BJ88+BL88)*IF(VLOOKUP($E88,武器奇术!$A:$Z,21,FALSE)=1,$G$15,0.5)</f>
        <v>0</v>
      </c>
      <c r="BL88" s="109">
        <f>MAX($C$9*IF($G$5="撼天",1.05,1)+IF(AND(VLOOKUP($E88,武器奇术!$A:$R,15,FALSE)="武器",VLOOKUP($E88,武器奇术!$A:$R,17,FALSE)="裂石"),$E$3*(1+$E$15),0),BJ88)</f>
        <v>0</v>
      </c>
      <c r="BM88" s="110">
        <f>IF(($D$9+IF(VLOOKUP($E88,武器奇术!$A:$R,17,FALSE)="裂石",$D$15,0)+IF(VLOOKUP($E88,武器奇术!$A:$R,18,FALSE)=1,4,0)+IF(VLOOKUP($E88,武器奇术!$A:$S,19,FALSE)=1,20,0)-VLOOKUP($F$7,目标属性!$A:$R,6,FALSE))&gt;0,($D$9+IF(VLOOKUP($E88,武器奇术!$A:$R,17,FALSE)="裂石",$D$15,0)+IF(VLOOKUP($E88,武器奇术!$A:$R,18,FALSE)=1,4,0)+IF(VLOOKUP($E88,武器奇术!$A:$S,19,FALSE)=1,20,0)-VLOOKUP($F$7,目标属性!$A:$R,6,FALSE))/200,($D$9+IF(VLOOKUP($E88,武器奇术!$A:$R,17,FALSE)="裂石",$D$15,0)+IF(VLOOKUP($E88,武器奇术!$A:$R,18,FALSE)=1,4,0)+IF(VLOOKUP($E88,武器奇术!$A:$S,19,FALSE)=1,20,0)-VLOOKUP($F$7,目标属性!$A:$R,6,FALSE))/100)</f>
        <v>-0.24</v>
      </c>
      <c r="BN88" s="111">
        <f t="shared" si="14"/>
        <v>0</v>
      </c>
      <c r="BO88" s="109">
        <v>1</v>
      </c>
      <c r="BP88" s="112">
        <f>BJ88*IF(VLOOKUP($E88,武器奇术!$A:$R,17,FALSE)="裂石",VLOOKUP($E88,武器奇术!$A:$R,4,FALSE),VLOOKUP($E88,武器奇术!$A:$R,2,FALSE))*(1+BM88)*(1+BN88)*BO88</f>
        <v>0</v>
      </c>
      <c r="BQ88" s="110">
        <f>(1-IF(VLOOKUP($E88,武器奇术!$A:$T,20,FALSE)=1,1,$N88))*(1-$M88)</f>
        <v>0.01072666</v>
      </c>
      <c r="BR88" s="112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10">
        <f t="shared" si="15"/>
        <v>0.8813852</v>
      </c>
      <c r="BT88" s="112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10">
        <f t="shared" si="16"/>
        <v>0.0986</v>
      </c>
      <c r="BV88" s="112">
        <f>BK88*IF(VLOOKUP($E88,武器奇术!$A:$R,17,FALSE)="裂石",VLOOKUP($E88,武器奇术!$A:$R,4,FALSE),VLOOKUP($E88,武器奇术!$A:$R,2,FALSE))*(1+BM88)*(1+BN88)*BO88</f>
        <v>0</v>
      </c>
      <c r="BW88" s="110">
        <f t="shared" si="17"/>
        <v>0.00928814000000003</v>
      </c>
      <c r="BX88" s="113">
        <f t="shared" si="18"/>
        <v>0</v>
      </c>
      <c r="BY88" s="108">
        <f>$B$11*IF($G$5="撼天",1.05,1)+IF(AND(VLOOKUP($E88,武器奇术!$A:$R,15,FALSE)="武器",VLOOKUP($E88,武器奇术!$A:$R,17,FALSE)="牵丝"),$E$3,0)*(1+$E$15)</f>
        <v>0</v>
      </c>
      <c r="BZ88" s="99">
        <f>(BY88+CA88)*IF(VLOOKUP($E88,武器奇术!$A:$Z,21,FALSE)=1,$G$15,0.5)</f>
        <v>0</v>
      </c>
      <c r="CA88" s="109">
        <f>MAX($C$11*IF($G$5="撼天",1.05,1)+IF(AND(VLOOKUP($E88,武器奇术!$A:$R,15,FALSE)="武器",VLOOKUP($E88,武器奇术!$A:$R,17,FALSE)="牵丝"),$E$3*(1+$E$15),0),BY88)</f>
        <v>0</v>
      </c>
      <c r="CB88" s="110">
        <f>IF(($D$11+IF(VLOOKUP($E88,武器奇术!$A:$R,17,FALSE)="牵丝",$D$15,0)+IF(VLOOKUP($E88,武器奇术!$A:$R,18,FALSE)=1,4,0)+IF(VLOOKUP($E88,武器奇术!$A:$S,19,FALSE)=1,20,0)-VLOOKUP($F$7,目标属性!$A:$R,6,FALSE))&gt;0,($D$11+IF(VLOOKUP($E88,武器奇术!$A:$R,17,FALSE)="牵丝",$D$15,0)+IF(VLOOKUP($E88,武器奇术!$A:$R,18,FALSE)=1,4,0)+IF(VLOOKUP($E88,武器奇术!$A:$S,19,FALSE)=1,20,0)-VLOOKUP($F$7,目标属性!$A:$R,6,FALSE))/200,($D$11+IF(VLOOKUP($E88,武器奇术!$A:$R,17,FALSE)="牵丝",$D$15,0)+IF(VLOOKUP($E88,武器奇术!$A:$R,18,FALSE)=1,4,0)+IF(VLOOKUP($E88,武器奇术!$A:$S,19,FALSE)=1,20,0)-VLOOKUP($F$7,目标属性!$A:$R,6,FALSE))/100)</f>
        <v>-0.24</v>
      </c>
      <c r="CC88" s="111">
        <f t="shared" si="19"/>
        <v>0</v>
      </c>
      <c r="CD88" s="109">
        <v>1</v>
      </c>
      <c r="CE88" s="112">
        <f>BY88*IF(VLOOKUP($E88,武器奇术!$A:$R,17,FALSE)="牵丝",VLOOKUP($E88,武器奇术!$A:$R,4,FALSE),VLOOKUP($E88,武器奇术!$A:$R,2,FALSE))*(1+CB88)*(1+CC88)*CD88</f>
        <v>0</v>
      </c>
      <c r="CF88" s="110">
        <f>(1-IF(VLOOKUP($E88,武器奇术!$A:$T,20,FALSE)=1,1,$N88))*(1-$M88)</f>
        <v>0.01072666</v>
      </c>
      <c r="CG88" s="112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110">
        <f t="shared" si="20"/>
        <v>0.8813852</v>
      </c>
      <c r="CI88" s="112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110">
        <f t="shared" si="21"/>
        <v>0.0986</v>
      </c>
      <c r="CK88" s="112">
        <f>BZ88*IF(VLOOKUP($E88,武器奇术!$A:$R,17,FALSE)="牵丝",VLOOKUP($E88,武器奇术!$A:$R,4,FALSE),VLOOKUP($E88,武器奇术!$A:$R,2,FALSE))*(1+CB88)*(1+CC88)*CD88</f>
        <v>0</v>
      </c>
      <c r="CL88" s="110">
        <f t="shared" si="22"/>
        <v>0.00928814000000003</v>
      </c>
      <c r="CM88" s="113">
        <f t="shared" si="23"/>
        <v>0</v>
      </c>
      <c r="CN88" s="108">
        <f>$B$13*IF($G$5="撼天",1.05,1)+IF(AND(VLOOKUP($E88,武器奇术!$A:$R,15,FALSE)="武器",VLOOKUP($E88,武器奇术!$A:$R,17,FALSE)="破竹"),$E$3,0)*(1+$E$15)</f>
        <v>648.46</v>
      </c>
      <c r="CO88" s="99">
        <f>IF(VLOOKUP($E88,武器奇术!$A:$Z,20,FALSE)=1,(CP88-(CN88+CP88)*0.5)*($G$15-0.5)*2+(CN88+CP88)*0.5,(CN88+CP88)*0.5)</f>
        <v>875.26</v>
      </c>
      <c r="CP88" s="109">
        <f>MAX($C$13*IF($G$5="撼天",1.05,1)+IF(AND(VLOOKUP($E88,武器奇术!$A:$R,15,FALSE)="武器",VLOOKUP($E88,武器奇术!$A:$R,17,FALSE)="破竹"),$E$3*(1+$E$15),0),CN88)</f>
        <v>1102.06</v>
      </c>
      <c r="CQ88" s="110">
        <f>IF(($D$13+IF(VLOOKUP($E88,武器奇术!$A:$R,17,FALSE)="破竹",$D$15,0)+IF(VLOOKUP($E88,武器奇术!$A:$R,18,FALSE)=1,4,0)+IF(VLOOKUP($E88,武器奇术!$A:$S,19,FALSE)=1,20,0)-VLOOKUP($F$7,目标属性!$A:$R,6,FALSE))&gt;0,($D$13+IF(VLOOKUP($E88,武器奇术!$A:$R,17,FALSE)="破竹",$D$15,0)+IF(VLOOKUP($E88,武器奇术!$A:$R,18,FALSE)=1,4,0)+IF(VLOOKUP($E88,武器奇术!$A:$S,19,FALSE)=1,20,0)-VLOOKUP($F$7,目标属性!$A:$R,6,FALSE))/200,($D$13+IF(VLOOKUP($E88,武器奇术!$A:$R,17,FALSE)="破竹",$D$15,0)+IF(VLOOKUP($E88,武器奇术!$A:$R,18,FALSE)=1,4,0)+IF(VLOOKUP($E88,武器奇术!$A:$S,19,FALSE)=1,20,0)-VLOOKUP($F$7,目标属性!$A:$R,6,FALSE))/100)</f>
        <v>0.025</v>
      </c>
      <c r="CR88" s="111">
        <f>$E$13+IF(VLOOKUP($E88,武器奇术!$A:$U,21,FALSE)=1,0,0.09)</f>
        <v>0.235</v>
      </c>
      <c r="CS88" s="109">
        <v>1</v>
      </c>
      <c r="CT88" s="112">
        <f>CN88*IF(VLOOKUP($E88,武器奇术!$A:$R,17,FALSE)="破竹",VLOOKUP($E88,武器奇术!$A:$R,4,FALSE),VLOOKUP($E88,武器奇术!$A:$R,2,FALSE))*(1+CQ88)*(1+CR88)*CS88</f>
        <v>311.4378133685</v>
      </c>
      <c r="CU88" s="110">
        <f>(1-IF(VLOOKUP($E88,武器奇术!$A:$T,20,FALSE)=1,1,$N88))*(1-$M88)</f>
        <v>0.01072666</v>
      </c>
      <c r="CV88" s="112">
        <f>CO88*IF(VLOOKUP($E88,武器奇术!$A:$R,17,FALSE)="破竹",VLOOKUP($E88,武器奇术!$A:$R,4,FALSE),VLOOKUP($E88,武器奇术!$A:$R,2,FALSE))*(1+CQ88)*(1+CR88)*CS88*(1+$E$16+VLOOKUP($E88,武器奇术!$A:$R,8,FALSE))</f>
        <v>689.39650752154</v>
      </c>
      <c r="CW88" s="110">
        <f t="shared" si="24"/>
        <v>0.8813852</v>
      </c>
      <c r="CX88" s="112">
        <f>CP88*IF(VLOOKUP($E88,武器奇术!$A:$R,17,FALSE)="破竹",VLOOKUP($E88,武器奇术!$A:$R,4,FALSE),VLOOKUP($E88,武器奇术!$A:$R,2,FALSE))*(1+CQ88)*(1+CR88)*CS88*(1+$E$17+VLOOKUP($E88,武器奇术!$A:$R,10,FALSE))</f>
        <v>714.541007018475</v>
      </c>
      <c r="CY88" s="110">
        <f t="shared" si="25"/>
        <v>0.0986</v>
      </c>
      <c r="CZ88" s="112">
        <f>CO88*IF(VLOOKUP($E88,武器奇术!$A:$R,17,FALSE)="破竹",VLOOKUP($E88,武器奇术!$A:$R,4,FALSE),VLOOKUP($E88,武器奇术!$A:$R,2,FALSE))*(1+CQ88)*(1+CR88)*CS88</f>
        <v>420.3637240985</v>
      </c>
      <c r="DA88" s="110">
        <f t="shared" si="26"/>
        <v>0.00928814000000003</v>
      </c>
      <c r="DB88" s="113">
        <f t="shared" si="27"/>
        <v>685.322706608691</v>
      </c>
      <c r="DC88" s="108">
        <f t="shared" si="36"/>
        <v>69.3</v>
      </c>
      <c r="DD88" s="99">
        <f>(DC88+DE88)*IF(VLOOKUP($E88,武器奇术!$A:$Z,21,FALSE)=1,$G$15,0.5)</f>
        <v>69.3</v>
      </c>
      <c r="DE88" s="109">
        <f t="shared" si="37"/>
        <v>69.3</v>
      </c>
      <c r="DF88" s="110">
        <f>IF(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100)</f>
        <v>0.025</v>
      </c>
      <c r="DG88" s="111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U,21,FALSE)=1,0,0.09)</f>
        <v>0.235</v>
      </c>
      <c r="DH88" s="109">
        <v>1</v>
      </c>
      <c r="DI88" s="112">
        <f>DC88*IF(VLOOKUP($E88,武器奇术!$A:$R,17,FALSE)="破竹",VLOOKUP($E88,武器奇术!$A:$R,4,FALSE),VLOOKUP($E88,武器奇术!$A:$R,2,FALSE))*(1+DF88)*(1+DG88)*DH88</f>
        <v>33.2829171675</v>
      </c>
      <c r="DJ88" s="110">
        <f>(1-IF(VLOOKUP($E88,武器奇术!$A:$T,20,FALSE)=1,1,$N88))*(1-$M88)</f>
        <v>0.01072666</v>
      </c>
      <c r="DK88" s="112">
        <f>DD88*IF(VLOOKUP($E88,武器奇术!$A:$R,17,FALSE)="破竹",VLOOKUP($E88,武器奇术!$A:$R,4,FALSE),VLOOKUP($E88,武器奇术!$A:$R,2,FALSE))*(1+DF88)*(1+DG88)*DH88*(1+$E$16+VLOOKUP($E88,武器奇术!$A:$R,8,FALSE))</f>
        <v>54.5839841547</v>
      </c>
      <c r="DL88" s="110">
        <f t="shared" si="28"/>
        <v>0.8813852</v>
      </c>
      <c r="DM88" s="112">
        <f>DE88*IF(VLOOKUP($E88,武器奇术!$A:$R,17,FALSE)="破竹",VLOOKUP($E88,武器奇术!$A:$R,4,FALSE),VLOOKUP($E88,武器奇术!$A:$R,2,FALSE))*(1+DF88)*(1+DG88)*DH88*(1+$E$17+VLOOKUP($E88,武器奇术!$A:$R,10,FALSE))</f>
        <v>44.931938176125</v>
      </c>
      <c r="DN88" s="110">
        <f t="shared" si="29"/>
        <v>0.0986</v>
      </c>
      <c r="DO88" s="112">
        <f>DD88*IF(VLOOKUP($E88,武器奇术!$A:$R,17,FALSE)="破竹",VLOOKUP($E88,武器奇术!$A:$R,4,FALSE),VLOOKUP($E88,武器奇术!$A:$R,2,FALSE))*(1+DF88)*(1+DG88)*DH88</f>
        <v>33.2829171675</v>
      </c>
      <c r="DP88" s="110">
        <f t="shared" si="30"/>
        <v>0.00928814000000003</v>
      </c>
      <c r="DQ88" s="113">
        <f t="shared" si="31"/>
        <v>53.2059558256771</v>
      </c>
    </row>
    <row r="89" customFormat="1" spans="1:121">
      <c r="A89" s="36"/>
      <c r="B89" t="s">
        <v>164</v>
      </c>
      <c r="C89" s="147">
        <v>1.16</v>
      </c>
      <c r="D89" s="75"/>
      <c r="E89" s="98" t="s">
        <v>146</v>
      </c>
      <c r="F89" s="99">
        <v>1</v>
      </c>
      <c r="G89" s="115"/>
      <c r="H89" s="149">
        <f>IF(VLOOKUP($E89,武器奇术!$A:$R,18,FALSE)="天工",AE89,(AE89+AT89+BI89+BX89+CM89+DB89+DQ89))*(1+J89)*F89*K89*(1+G89)*(1+$G$21*5%)</f>
        <v>7084.4230733848</v>
      </c>
      <c r="I89" s="101">
        <f t="shared" si="0"/>
        <v>0.000874663515499883</v>
      </c>
      <c r="J89" s="101">
        <f>$F$3+VLOOKUP($E89,武器奇术!$A:$R,12,FALSE)+VLOOKUP($E89,武器奇术!$A:$R,14,FALSE)*$G$3+$P89</f>
        <v>0.473</v>
      </c>
      <c r="K89" s="102">
        <f>VLOOKUP($E89,武器奇术!$A:$R,11,FALSE)</f>
        <v>1</v>
      </c>
      <c r="L89" s="117">
        <f>IF(VLOOKUP($E89,武器奇术!$A:$R,15,FALSE)="天工",0%,IF($C$17+VLOOKUP($E89,武器奇术!$A:$R,7,FALSE)&gt;80%,80%,$C$17+VLOOKUP($E89,武器奇术!$A:$R,7,FALSE))+IF($C$19&gt;20%,20%,$C$19))</f>
        <v>0.892</v>
      </c>
      <c r="M89" s="118">
        <f>IF(VLOOKUP($E89,武器奇术!$A:$R,15,FALSE)="天工",0%,IF($C$18+VLOOKUP($E89,武器奇术!$A:$R,9,FALSE)&gt;40%,40%,$C$18+VLOOKUP($E89,武器奇术!$A:$R,9,FALSE))+IF($C$20&gt;10%,10%,$C$20))</f>
        <v>0.0986</v>
      </c>
      <c r="N89" s="119">
        <f>IF(VLOOKUP($E89,武器奇术!$A:$R,15,FALSE)="天工",100%,MIN($C$16,1))</f>
        <v>0.9881</v>
      </c>
      <c r="O89" s="120" t="str">
        <f>VLOOKUP($E89,武器奇术!$A:$R,16,FALSE)</f>
        <v>拳甲</v>
      </c>
      <c r="P89" s="121">
        <f t="shared" si="38"/>
        <v>0.17</v>
      </c>
      <c r="Q89" s="108">
        <f>$B$5*(1+VLOOKUP($E89,武器奇术!$A:$R,5,FALSE)+IF($G$5="飞隼",0.1,0)+IF($G$5="撼天",0.05,0))-$F$9+IF($I$5="√",160,0)</f>
        <v>1731.135</v>
      </c>
      <c r="R89" s="99">
        <f>IF(VLOOKUP($E89,武器奇术!$A:$Z,20,FALSE)=1,(S89-(Q89+S89)*0.5)*($G$15-0.5)*2+(Q89+S89)*0.5,(Q89+S89)*0.5)</f>
        <v>3256.775</v>
      </c>
      <c r="S89" s="109">
        <f>MAX($C$5,$B$5)*(1+VLOOKUP($E89,武器奇术!$A:$R,5,FALSE)+IF($G$5="飞隼",0.1,0)+IF($G$5="撼天",0.05,0))-$F$9+IF($I$5="√",320,0)</f>
        <v>4782.415</v>
      </c>
      <c r="T89" s="101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U89" s="111">
        <f>$E$5+IF(VLOOKUP($E89,武器奇术!$A:$U,21,FALSE)=1,0,0.09)</f>
        <v>0.115</v>
      </c>
      <c r="V89" s="109">
        <v>1</v>
      </c>
      <c r="W89" s="112">
        <f>Q89*VLOOKUP($E89,武器奇术!$A:$R,2,FALSE)*(1+T89)*(1+U89)*V89</f>
        <v>763.069401196515</v>
      </c>
      <c r="X89" s="110">
        <f>(1-IF(VLOOKUP($E89,武器奇术!$A:$T,20,FALSE)=1,1,$N89))*(1-$M89)</f>
        <v>0.01072666</v>
      </c>
      <c r="Y89" s="112">
        <f>R89*VLOOKUP($E89,武器奇术!$A:$R,2,FALSE)*(1+T89)*(1+U89)*V89*(1+$E$16+VLOOKUP($E89,武器奇术!$A:$R,8,FALSE))</f>
        <v>2354.31573649318</v>
      </c>
      <c r="Z89" s="110">
        <f t="shared" si="39"/>
        <v>0.8813852</v>
      </c>
      <c r="AA89" s="112">
        <f>S89*VLOOKUP($E89,武器奇术!$A:$R,2,FALSE)*(1+T89)*(1+U89)*V89*(1+$E$17+VLOOKUP($E89,武器奇术!$A:$R,10,FALSE))</f>
        <v>2845.86392334299</v>
      </c>
      <c r="AB89" s="110">
        <f t="shared" si="40"/>
        <v>0.0986</v>
      </c>
      <c r="AC89" s="112">
        <f>R89*VLOOKUP($E89,武器奇术!$A:$R,2,FALSE)*(1+T89)*(1+U89)*V89</f>
        <v>1435.55837591048</v>
      </c>
      <c r="AD89" s="110">
        <f t="shared" si="1"/>
        <v>0.00928814000000003</v>
      </c>
      <c r="AE89" s="113">
        <f t="shared" si="2"/>
        <v>2377.18008231047</v>
      </c>
      <c r="AF89" s="114">
        <f>VLOOKUP($E89,武器奇术!$A:$R,3,FALSE)*(1+IF(VLOOKUP($E89,武器奇术!$A:$R,15,FALSE)="武器",$E$15,0))</f>
        <v>115.7</v>
      </c>
      <c r="AG89" s="112">
        <f t="shared" si="3"/>
        <v>115.7</v>
      </c>
      <c r="AH89" s="112">
        <f>VLOOKUP($E89,武器奇术!$A:$R,3,FALSE)*(1+IF(VLOOKUP($E89,武器奇术!$A:$R,15,FALSE)="武器",$E$15,0))</f>
        <v>115.7</v>
      </c>
      <c r="AI89" s="101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AJ89" s="111">
        <f>$E$5+IF(VLOOKUP($E89,武器奇术!$A:$U,21,FALSE)=1,0,0.09)</f>
        <v>0.115</v>
      </c>
      <c r="AK89" s="109">
        <v>1</v>
      </c>
      <c r="AL89" s="112">
        <f t="shared" si="41"/>
        <v>160.224831</v>
      </c>
      <c r="AM89" s="110">
        <f>(1-IF(VLOOKUP($E89,武器奇术!$A:$T,20,FALSE)=1,1,$N89))*(1-$M89)</f>
        <v>0.01072666</v>
      </c>
      <c r="AN89" s="112">
        <f>AG89*(1+AI89)*(1+AJ89)*AK89*(1+$E$16+VLOOKUP($E89,武器奇术!$A:$R,8,FALSE))</f>
        <v>262.76872284</v>
      </c>
      <c r="AO89" s="110">
        <f t="shared" si="4"/>
        <v>0.8813852</v>
      </c>
      <c r="AP89" s="112">
        <f>AH89*(1+AI89)*(1+AJ89)*AK89*(1+$E$17+VLOOKUP($E89,武器奇术!$A:$R,10,FALSE))</f>
        <v>216.30352185</v>
      </c>
      <c r="AQ89" s="110">
        <f t="shared" si="5"/>
        <v>0.0986</v>
      </c>
      <c r="AR89" s="112">
        <f t="shared" si="6"/>
        <v>160.224831</v>
      </c>
      <c r="AS89" s="110">
        <f t="shared" si="7"/>
        <v>0.00928814000000003</v>
      </c>
      <c r="AT89" s="113">
        <f t="shared" si="8"/>
        <v>256.134858535987</v>
      </c>
      <c r="AU89" s="108">
        <f>$B$7*IF($G$5="撼天",1.05,1)+IF(AND(VLOOKUP($E89,武器奇术!$A:$R,15,FALSE)="武器",VLOOKUP($E89,武器奇术!$A:$R,17,FALSE)="鸣金"),$E$3,0)*(1+$E$15)</f>
        <v>0</v>
      </c>
      <c r="AV89" s="99">
        <f>(AU89+AW89)*IF(VLOOKUP($E89,武器奇术!$A:$Z,21,FALSE)=1,$G$15,0.5)</f>
        <v>0</v>
      </c>
      <c r="AW89" s="109">
        <f>MAX($C$7*IF($G$5="撼天",1.05,1)+IF(AND(VLOOKUP($E89,武器奇术!$A:$R,15,FALSE)="武器",VLOOKUP($E89,武器奇术!$A:$R,17,FALSE)="鸣金"),$E$3*(1+$E$15),0),AU89)</f>
        <v>0</v>
      </c>
      <c r="AX89" s="110">
        <f>IF(($D$7+IF(VLOOKUP($E89,武器奇术!$A:$R,17,FALSE)="鸣金",$D$15,0)+IF(VLOOKUP($E89,武器奇术!$A:$R,18,FALSE)=1,4,0)+IF(VLOOKUP($E89,武器奇术!$A:$S,19,FALSE)=1,20,0)-VLOOKUP($F$7,目标属性!$A:$R,6,FALSE))&gt;0,($D$7+IF(VLOOKUP($E89,武器奇术!$A:$R,17,FALSE)="鸣金",$D$15,0)+IF(VLOOKUP($E89,武器奇术!$A:$R,18,FALSE)=1,4,0)+IF(VLOOKUP($E89,武器奇术!$A:$S,19,FALSE)=1,20,0)-VLOOKUP($F$7,目标属性!$A:$R,6,FALSE))/200,($D$7+IF(VLOOKUP($E89,武器奇术!$A:$R,17,FALSE)="鸣金",$D$15,0)+IF(VLOOKUP($E89,武器奇术!$A:$R,18,FALSE)=1,4,0)+IF(VLOOKUP($E89,武器奇术!$A:$S,19,FALSE)=1,20,0)-VLOOKUP($F$7,目标属性!$A:$R,6,FALSE))/100)</f>
        <v>-0.24</v>
      </c>
      <c r="AY89" s="111">
        <f t="shared" si="9"/>
        <v>0</v>
      </c>
      <c r="AZ89" s="109">
        <v>1</v>
      </c>
      <c r="BA89" s="112">
        <f>AU89*IF(VLOOKUP($E89,武器奇术!$A:$R,17,FALSE)="鸣金",VLOOKUP($E89,武器奇术!$A:$R,4,FALSE),VLOOKUP($E89,武器奇术!$A:$R,2,FALSE))*(1+AX89)*(1+AY89)*AZ89</f>
        <v>0</v>
      </c>
      <c r="BB89" s="110">
        <f>(1-IF(VLOOKUP($E89,武器奇术!$A:$T,20,FALSE)=1,1,$N89))*(1-$M89)</f>
        <v>0.01072666</v>
      </c>
      <c r="BC89" s="112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10">
        <f t="shared" si="10"/>
        <v>0.8813852</v>
      </c>
      <c r="BE89" s="112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10">
        <f t="shared" si="11"/>
        <v>0.0986</v>
      </c>
      <c r="BG89" s="112">
        <f>AV89*IF(VLOOKUP($E89,武器奇术!$A:$R,17,FALSE)="鸣金",VLOOKUP($E89,武器奇术!$A:$R,4,FALSE),VLOOKUP($E89,武器奇术!$A:$R,2,FALSE))*(1+AX89)*(1+AY89)*AZ89</f>
        <v>0</v>
      </c>
      <c r="BH89" s="110">
        <f t="shared" si="12"/>
        <v>0.00928814000000003</v>
      </c>
      <c r="BI89" s="113">
        <f t="shared" si="13"/>
        <v>0</v>
      </c>
      <c r="BJ89" s="108">
        <f>$B$9*IF($G$5="撼天",1.05,1)+IF(AND(VLOOKUP($E89,武器奇术!$A:$R,15,FALSE)="武器",VLOOKUP($E89,武器奇术!$A:$R,17,FALSE)="裂石"),$E$3,0)*(1+$E$15)</f>
        <v>0</v>
      </c>
      <c r="BK89" s="99">
        <f>(BJ89+BL89)*IF(VLOOKUP($E89,武器奇术!$A:$Z,21,FALSE)=1,$G$15,0.5)</f>
        <v>0</v>
      </c>
      <c r="BL89" s="109">
        <f>MAX($C$9*IF($G$5="撼天",1.05,1)+IF(AND(VLOOKUP($E89,武器奇术!$A:$R,15,FALSE)="武器",VLOOKUP($E89,武器奇术!$A:$R,17,FALSE)="裂石"),$E$3*(1+$E$15),0),BJ89)</f>
        <v>0</v>
      </c>
      <c r="BM89" s="110">
        <f>IF(($D$9+IF(VLOOKUP($E89,武器奇术!$A:$R,17,FALSE)="裂石",$D$15,0)+IF(VLOOKUP($E89,武器奇术!$A:$R,18,FALSE)=1,4,0)+IF(VLOOKUP($E89,武器奇术!$A:$S,19,FALSE)=1,20,0)-VLOOKUP($F$7,目标属性!$A:$R,6,FALSE))&gt;0,($D$9+IF(VLOOKUP($E89,武器奇术!$A:$R,17,FALSE)="裂石",$D$15,0)+IF(VLOOKUP($E89,武器奇术!$A:$R,18,FALSE)=1,4,0)+IF(VLOOKUP($E89,武器奇术!$A:$S,19,FALSE)=1,20,0)-VLOOKUP($F$7,目标属性!$A:$R,6,FALSE))/200,($D$9+IF(VLOOKUP($E89,武器奇术!$A:$R,17,FALSE)="裂石",$D$15,0)+IF(VLOOKUP($E89,武器奇术!$A:$R,18,FALSE)=1,4,0)+IF(VLOOKUP($E89,武器奇术!$A:$S,19,FALSE)=1,20,0)-VLOOKUP($F$7,目标属性!$A:$R,6,FALSE))/100)</f>
        <v>-0.24</v>
      </c>
      <c r="BN89" s="111">
        <f t="shared" si="14"/>
        <v>0</v>
      </c>
      <c r="BO89" s="109">
        <v>1</v>
      </c>
      <c r="BP89" s="112">
        <f>BJ89*IF(VLOOKUP($E89,武器奇术!$A:$R,17,FALSE)="裂石",VLOOKUP($E89,武器奇术!$A:$R,4,FALSE),VLOOKUP($E89,武器奇术!$A:$R,2,FALSE))*(1+BM89)*(1+BN89)*BO89</f>
        <v>0</v>
      </c>
      <c r="BQ89" s="110">
        <f>(1-IF(VLOOKUP($E89,武器奇术!$A:$T,20,FALSE)=1,1,$N89))*(1-$M89)</f>
        <v>0.01072666</v>
      </c>
      <c r="BR89" s="112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10">
        <f t="shared" si="15"/>
        <v>0.8813852</v>
      </c>
      <c r="BT89" s="112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10">
        <f t="shared" si="16"/>
        <v>0.0986</v>
      </c>
      <c r="BV89" s="112">
        <f>BK89*IF(VLOOKUP($E89,武器奇术!$A:$R,17,FALSE)="裂石",VLOOKUP($E89,武器奇术!$A:$R,4,FALSE),VLOOKUP($E89,武器奇术!$A:$R,2,FALSE))*(1+BM89)*(1+BN89)*BO89</f>
        <v>0</v>
      </c>
      <c r="BW89" s="110">
        <f t="shared" si="17"/>
        <v>0.00928814000000003</v>
      </c>
      <c r="BX89" s="113">
        <f t="shared" si="18"/>
        <v>0</v>
      </c>
      <c r="BY89" s="108">
        <f>$B$11*IF($G$5="撼天",1.05,1)+IF(AND(VLOOKUP($E89,武器奇术!$A:$R,15,FALSE)="武器",VLOOKUP($E89,武器奇术!$A:$R,17,FALSE)="牵丝"),$E$3,0)*(1+$E$15)</f>
        <v>0</v>
      </c>
      <c r="BZ89" s="99">
        <f>(BY89+CA89)*IF(VLOOKUP($E89,武器奇术!$A:$Z,21,FALSE)=1,$G$15,0.5)</f>
        <v>0</v>
      </c>
      <c r="CA89" s="109">
        <f>MAX($C$11*IF($G$5="撼天",1.05,1)+IF(AND(VLOOKUP($E89,武器奇术!$A:$R,15,FALSE)="武器",VLOOKUP($E89,武器奇术!$A:$R,17,FALSE)="牵丝"),$E$3*(1+$E$15),0),BY89)</f>
        <v>0</v>
      </c>
      <c r="CB89" s="110">
        <f>IF(($D$11+IF(VLOOKUP($E89,武器奇术!$A:$R,17,FALSE)="牵丝",$D$15,0)+IF(VLOOKUP($E89,武器奇术!$A:$R,18,FALSE)=1,4,0)+IF(VLOOKUP($E89,武器奇术!$A:$S,19,FALSE)=1,20,0)-VLOOKUP($F$7,目标属性!$A:$R,6,FALSE))&gt;0,($D$11+IF(VLOOKUP($E89,武器奇术!$A:$R,17,FALSE)="牵丝",$D$15,0)+IF(VLOOKUP($E89,武器奇术!$A:$R,18,FALSE)=1,4,0)+IF(VLOOKUP($E89,武器奇术!$A:$S,19,FALSE)=1,20,0)-VLOOKUP($F$7,目标属性!$A:$R,6,FALSE))/200,($D$11+IF(VLOOKUP($E89,武器奇术!$A:$R,17,FALSE)="牵丝",$D$15,0)+IF(VLOOKUP($E89,武器奇术!$A:$R,18,FALSE)=1,4,0)+IF(VLOOKUP($E89,武器奇术!$A:$S,19,FALSE)=1,20,0)-VLOOKUP($F$7,目标属性!$A:$R,6,FALSE))/100)</f>
        <v>-0.24</v>
      </c>
      <c r="CC89" s="111">
        <f t="shared" si="19"/>
        <v>0</v>
      </c>
      <c r="CD89" s="109">
        <v>1</v>
      </c>
      <c r="CE89" s="112">
        <f>BY89*IF(VLOOKUP($E89,武器奇术!$A:$R,17,FALSE)="牵丝",VLOOKUP($E89,武器奇术!$A:$R,4,FALSE),VLOOKUP($E89,武器奇术!$A:$R,2,FALSE))*(1+CB89)*(1+CC89)*CD89</f>
        <v>0</v>
      </c>
      <c r="CF89" s="110">
        <f>(1-IF(VLOOKUP($E89,武器奇术!$A:$T,20,FALSE)=1,1,$N89))*(1-$M89)</f>
        <v>0.01072666</v>
      </c>
      <c r="CG89" s="112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110">
        <f t="shared" si="20"/>
        <v>0.8813852</v>
      </c>
      <c r="CI89" s="112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110">
        <f t="shared" si="21"/>
        <v>0.0986</v>
      </c>
      <c r="CK89" s="112">
        <f>BZ89*IF(VLOOKUP($E89,武器奇术!$A:$R,17,FALSE)="牵丝",VLOOKUP($E89,武器奇术!$A:$R,4,FALSE),VLOOKUP($E89,武器奇术!$A:$R,2,FALSE))*(1+CB89)*(1+CC89)*CD89</f>
        <v>0</v>
      </c>
      <c r="CL89" s="110">
        <f t="shared" si="22"/>
        <v>0.00928814000000003</v>
      </c>
      <c r="CM89" s="113">
        <f t="shared" si="23"/>
        <v>0</v>
      </c>
      <c r="CN89" s="108">
        <f>$B$13*IF($G$5="撼天",1.05,1)+IF(AND(VLOOKUP($E89,武器奇术!$A:$R,15,FALSE)="武器",VLOOKUP($E89,武器奇术!$A:$R,17,FALSE)="破竹"),$E$3,0)*(1+$E$15)</f>
        <v>648.46</v>
      </c>
      <c r="CO89" s="99">
        <f>IF(VLOOKUP($E89,武器奇术!$A:$Z,20,FALSE)=1,(CP89-(CN89+CP89)*0.5)*($G$15-0.5)*2+(CN89+CP89)*0.5,(CN89+CP89)*0.5)</f>
        <v>875.26</v>
      </c>
      <c r="CP89" s="109">
        <f>MAX($C$13*IF($G$5="撼天",1.05,1)+IF(AND(VLOOKUP($E89,武器奇术!$A:$R,15,FALSE)="武器",VLOOKUP($E89,武器奇术!$A:$R,17,FALSE)="破竹"),$E$3*(1+$E$15),0),CN89)</f>
        <v>1102.06</v>
      </c>
      <c r="CQ89" s="110">
        <f>IF(($D$13+IF(VLOOKUP($E89,武器奇术!$A:$R,17,FALSE)="破竹",$D$15,0)+IF(VLOOKUP($E89,武器奇术!$A:$R,18,FALSE)=1,4,0)+IF(VLOOKUP($E89,武器奇术!$A:$S,19,FALSE)=1,20,0)-VLOOKUP($F$7,目标属性!$A:$R,6,FALSE))&gt;0,($D$13+IF(VLOOKUP($E89,武器奇术!$A:$R,17,FALSE)="破竹",$D$15,0)+IF(VLOOKUP($E89,武器奇术!$A:$R,18,FALSE)=1,4,0)+IF(VLOOKUP($E89,武器奇术!$A:$S,19,FALSE)=1,20,0)-VLOOKUP($F$7,目标属性!$A:$R,6,FALSE))/200,($D$13+IF(VLOOKUP($E89,武器奇术!$A:$R,17,FALSE)="破竹",$D$15,0)+IF(VLOOKUP($E89,武器奇术!$A:$R,18,FALSE)=1,4,0)+IF(VLOOKUP($E89,武器奇术!$A:$S,19,FALSE)=1,20,0)-VLOOKUP($F$7,目标属性!$A:$R,6,FALSE))/100)</f>
        <v>0.025</v>
      </c>
      <c r="CR89" s="111">
        <f>$E$13+IF(VLOOKUP($E89,武器奇术!$A:$U,21,FALSE)=1,0,0.09)</f>
        <v>0.235</v>
      </c>
      <c r="CS89" s="109">
        <v>1</v>
      </c>
      <c r="CT89" s="112">
        <f>CN89*IF(VLOOKUP($E89,武器奇术!$A:$R,17,FALSE)="破竹",VLOOKUP($E89,武器奇术!$A:$R,4,FALSE),VLOOKUP($E89,武器奇术!$A:$R,2,FALSE))*(1+CQ89)*(1+CR89)*CS89</f>
        <v>391.8830050135</v>
      </c>
      <c r="CU89" s="110">
        <f>(1-IF(VLOOKUP($E89,武器奇术!$A:$T,20,FALSE)=1,1,$N89))*(1-$M89)</f>
        <v>0.01072666</v>
      </c>
      <c r="CV89" s="112">
        <f>CO89*IF(VLOOKUP($E89,武器奇术!$A:$R,17,FALSE)="破竹",VLOOKUP($E89,武器奇术!$A:$R,4,FALSE),VLOOKUP($E89,武器奇术!$A:$R,2,FALSE))*(1+CQ89)*(1+CR89)*CS89*(1+$E$16+VLOOKUP($E89,武器奇术!$A:$R,8,FALSE))</f>
        <v>867.46940614334</v>
      </c>
      <c r="CW89" s="110">
        <f t="shared" si="24"/>
        <v>0.8813852</v>
      </c>
      <c r="CX89" s="112">
        <f>CP89*IF(VLOOKUP($E89,武器奇术!$A:$R,17,FALSE)="破竹",VLOOKUP($E89,武器奇术!$A:$R,4,FALSE),VLOOKUP($E89,武器奇术!$A:$R,2,FALSE))*(1+CQ89)*(1+CR89)*CS89*(1+$E$17+VLOOKUP($E89,武器奇术!$A:$R,10,FALSE))</f>
        <v>899.108794809225</v>
      </c>
      <c r="CY89" s="110">
        <f t="shared" si="25"/>
        <v>0.0986</v>
      </c>
      <c r="CZ89" s="112">
        <f>CO89*IF(VLOOKUP($E89,武器奇术!$A:$R,17,FALSE)="破竹",VLOOKUP($E89,武器奇术!$A:$R,4,FALSE),VLOOKUP($E89,武器奇术!$A:$R,2,FALSE))*(1+CQ89)*(1+CR89)*CS89</f>
        <v>528.9447598435</v>
      </c>
      <c r="DA89" s="110">
        <f t="shared" si="26"/>
        <v>0.00928814000000003</v>
      </c>
      <c r="DB89" s="113">
        <f t="shared" si="27"/>
        <v>862.343331931969</v>
      </c>
      <c r="DC89" s="108">
        <f t="shared" si="36"/>
        <v>69.3</v>
      </c>
      <c r="DD89" s="99">
        <f>(DC89+DE89)*IF(VLOOKUP($E89,武器奇术!$A:$Z,21,FALSE)=1,$G$15,0.5)</f>
        <v>69.3</v>
      </c>
      <c r="DE89" s="109">
        <f t="shared" si="37"/>
        <v>69.3</v>
      </c>
      <c r="DF89" s="110">
        <f>IF(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100)</f>
        <v>0.025</v>
      </c>
      <c r="DG89" s="111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U,21,FALSE)=1,0,0.09)</f>
        <v>0.235</v>
      </c>
      <c r="DH89" s="109">
        <v>1</v>
      </c>
      <c r="DI89" s="112">
        <f>DC89*IF(VLOOKUP($E89,武器奇术!$A:$R,17,FALSE)="破竹",VLOOKUP($E89,武器奇术!$A:$R,4,FALSE),VLOOKUP($E89,武器奇术!$A:$R,2,FALSE))*(1+DF89)*(1+DG89)*DH89</f>
        <v>41.8799806425</v>
      </c>
      <c r="DJ89" s="110">
        <f>(1-IF(VLOOKUP($E89,武器奇术!$A:$T,20,FALSE)=1,1,$N89))*(1-$M89)</f>
        <v>0.01072666</v>
      </c>
      <c r="DK89" s="112">
        <f>DD89*IF(VLOOKUP($E89,武器奇术!$A:$R,17,FALSE)="破竹",VLOOKUP($E89,武器奇术!$A:$R,4,FALSE),VLOOKUP($E89,武器奇术!$A:$R,2,FALSE))*(1+DF89)*(1+DG89)*DH89*(1+$E$16+VLOOKUP($E89,武器奇术!$A:$R,8,FALSE))</f>
        <v>68.6831682537</v>
      </c>
      <c r="DL89" s="110">
        <f t="shared" si="28"/>
        <v>0.8813852</v>
      </c>
      <c r="DM89" s="112">
        <f>DE89*IF(VLOOKUP($E89,武器奇术!$A:$R,17,FALSE)="破竹",VLOOKUP($E89,武器奇术!$A:$R,4,FALSE),VLOOKUP($E89,武器奇术!$A:$R,2,FALSE))*(1+DF89)*(1+DG89)*DH89*(1+$E$17+VLOOKUP($E89,武器奇术!$A:$R,10,FALSE))</f>
        <v>56.537973867375</v>
      </c>
      <c r="DN89" s="110">
        <f t="shared" si="29"/>
        <v>0.0986</v>
      </c>
      <c r="DO89" s="112">
        <f>DD89*IF(VLOOKUP($E89,武器奇术!$A:$R,17,FALSE)="破竹",VLOOKUP($E89,武器奇术!$A:$R,4,FALSE),VLOOKUP($E89,武器奇术!$A:$R,2,FALSE))*(1+DF89)*(1+DG89)*DH89</f>
        <v>41.8799806425</v>
      </c>
      <c r="DP89" s="110">
        <f t="shared" si="30"/>
        <v>0.00928814000000003</v>
      </c>
      <c r="DQ89" s="113">
        <f t="shared" si="31"/>
        <v>66.9491916478077</v>
      </c>
    </row>
    <row r="90" spans="1:121">
      <c r="A90" s="36"/>
      <c r="B90" t="s">
        <v>165</v>
      </c>
      <c r="C90" s="147"/>
      <c r="D90" s="75"/>
      <c r="E90" s="98" t="s">
        <v>134</v>
      </c>
      <c r="F90" s="99">
        <v>1</v>
      </c>
      <c r="G90" s="115"/>
      <c r="H90" s="149">
        <f>IF(VLOOKUP($E90,武器奇术!$A:$R,18,FALSE)="天工",AE90,(AE90+AT90+BI90+BX90+CM90+DB90+DQ90))*(1+J90)*F90*K90*(1+G90)*(1+$G$21*5%)</f>
        <v>28646.9930354516</v>
      </c>
      <c r="I90" s="101">
        <f t="shared" si="0"/>
        <v>0.00353684123284824</v>
      </c>
      <c r="J90" s="101">
        <f>$F$3+VLOOKUP($E90,武器奇术!$A:$R,12,FALSE)+VLOOKUP($E90,武器奇术!$A:$R,14,FALSE)*$G$3+$P90</f>
        <v>0.473</v>
      </c>
      <c r="K90" s="102">
        <f>VLOOKUP($E90,武器奇术!$A:$R,11,FALSE)</f>
        <v>1</v>
      </c>
      <c r="L90" s="117">
        <f>IF(VLOOKUP($E90,武器奇术!$A:$R,15,FALSE)="天工",0%,IF($C$17+VLOOKUP($E90,武器奇术!$A:$R,7,FALSE)&gt;80%,80%,$C$17+VLOOKUP($E90,武器奇术!$A:$R,7,FALSE))+IF($C$19&gt;20%,20%,$C$19))</f>
        <v>0.892</v>
      </c>
      <c r="M90" s="118">
        <f>IF(VLOOKUP($E90,武器奇术!$A:$R,15,FALSE)="天工",0%,IF($C$18+VLOOKUP($E90,武器奇术!$A:$R,9,FALSE)&gt;40%,40%,$C$18+VLOOKUP($E90,武器奇术!$A:$R,9,FALSE))+IF($C$20&gt;10%,10%,$C$20))</f>
        <v>0.0986</v>
      </c>
      <c r="N90" s="119">
        <f>IF(VLOOKUP($E90,武器奇术!$A:$R,15,FALSE)="天工",100%,MIN($C$16,1))</f>
        <v>0.9881</v>
      </c>
      <c r="O90" s="120" t="str">
        <f>VLOOKUP($E90,武器奇术!$A:$R,16,FALSE)</f>
        <v>拳甲</v>
      </c>
      <c r="P90" s="121">
        <f t="shared" si="38"/>
        <v>0.17</v>
      </c>
      <c r="Q90" s="108">
        <f>$B$5*(1+VLOOKUP($E90,武器奇术!$A:$R,5,FALSE)+IF($G$5="飞隼",0.1,0)+IF($G$5="撼天",0.05,0))-$F$9+IF($I$5="√",160,0)</f>
        <v>1731.135</v>
      </c>
      <c r="R90" s="99">
        <f>IF(VLOOKUP($E90,武器奇术!$A:$Z,20,FALSE)=1,(S90-(Q90+S90)*0.5)*($G$15-0.5)*2+(Q90+S90)*0.5,(Q90+S90)*0.5)</f>
        <v>3256.775</v>
      </c>
      <c r="S90" s="109">
        <f>MAX($C$5,$B$5)*(1+VLOOKUP($E90,武器奇术!$A:$R,5,FALSE)+IF($G$5="飞隼",0.1,0)+IF($G$5="撼天",0.05,0))-$F$9+IF($I$5="√",320,0)</f>
        <v>4782.415</v>
      </c>
      <c r="T90" s="101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U90" s="111">
        <f>$E$5+IF(VLOOKUP($E90,武器奇术!$A:$U,21,FALSE)=1,0,0.09)</f>
        <v>0.115</v>
      </c>
      <c r="V90" s="109">
        <v>1</v>
      </c>
      <c r="W90" s="112">
        <f>Q90*VLOOKUP($E90,武器奇术!$A:$R,2,FALSE)*(1+T90)*(1+U90)*V90</f>
        <v>3086.79912340758</v>
      </c>
      <c r="X90" s="110">
        <f>(1-IF(VLOOKUP($E90,武器奇术!$A:$T,20,FALSE)=1,1,$N90))*(1-$M90)</f>
        <v>0.01072666</v>
      </c>
      <c r="Y90" s="112">
        <f>R90*VLOOKUP($E90,武器奇术!$A:$R,2,FALSE)*(1+T90)*(1+U90)*V90*(1+$E$16+VLOOKUP($E90,武器奇术!$A:$R,8,FALSE))</f>
        <v>9523.77298871699</v>
      </c>
      <c r="Z90" s="110">
        <f t="shared" si="39"/>
        <v>0.8813852</v>
      </c>
      <c r="AA90" s="112">
        <f>S90*VLOOKUP($E90,武器奇术!$A:$R,2,FALSE)*(1+T90)*(1+U90)*V90*(1+$E$17+VLOOKUP($E90,武器奇术!$A:$R,10,FALSE))</f>
        <v>11512.2035428729</v>
      </c>
      <c r="AB90" s="110">
        <f t="shared" si="40"/>
        <v>0.0986</v>
      </c>
      <c r="AC90" s="112">
        <f>R90*VLOOKUP($E90,武器奇术!$A:$R,2,FALSE)*(1+T90)*(1+U90)*V90</f>
        <v>5807.1786516567</v>
      </c>
      <c r="AD90" s="110">
        <f t="shared" si="1"/>
        <v>0.00928814000000003</v>
      </c>
      <c r="AE90" s="113">
        <f t="shared" si="2"/>
        <v>9616.26476274887</v>
      </c>
      <c r="AF90" s="114">
        <f>VLOOKUP($E90,武器奇术!$A:$R,3,FALSE)*(1+IF(VLOOKUP($E90,武器奇术!$A:$R,15,FALSE)="武器",$E$15,0))</f>
        <v>465.4</v>
      </c>
      <c r="AG90" s="112">
        <f t="shared" si="3"/>
        <v>465.4</v>
      </c>
      <c r="AH90" s="112">
        <f>VLOOKUP($E90,武器奇术!$A:$R,3,FALSE)*(1+IF(VLOOKUP($E90,武器奇术!$A:$R,15,FALSE)="武器",$E$15,0))</f>
        <v>465.4</v>
      </c>
      <c r="AI90" s="101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AJ90" s="111">
        <f>$E$5+IF(VLOOKUP($E90,武器奇术!$A:$U,21,FALSE)=1,0,0.09)</f>
        <v>0.115</v>
      </c>
      <c r="AK90" s="109">
        <v>1</v>
      </c>
      <c r="AL90" s="112">
        <f t="shared" si="41"/>
        <v>644.499882</v>
      </c>
      <c r="AM90" s="110">
        <f>(1-IF(VLOOKUP($E90,武器奇术!$A:$T,20,FALSE)=1,1,$N90))*(1-$M90)</f>
        <v>0.01072666</v>
      </c>
      <c r="AN90" s="112">
        <f>AG90*(1+AI90)*(1+AJ90)*AK90*(1+$E$16+VLOOKUP($E90,武器奇术!$A:$R,8,FALSE))</f>
        <v>1056.97980648</v>
      </c>
      <c r="AO90" s="110">
        <f t="shared" si="4"/>
        <v>0.8813852</v>
      </c>
      <c r="AP90" s="112">
        <f>AH90*(1+AI90)*(1+AJ90)*AK90*(1+$E$17+VLOOKUP($E90,武器奇术!$A:$R,10,FALSE))</f>
        <v>870.0748407</v>
      </c>
      <c r="AQ90" s="110">
        <f t="shared" si="5"/>
        <v>0.0986</v>
      </c>
      <c r="AR90" s="112">
        <f t="shared" si="6"/>
        <v>644.499882</v>
      </c>
      <c r="AS90" s="110">
        <f t="shared" si="7"/>
        <v>0.00928814000000003</v>
      </c>
      <c r="AT90" s="113">
        <f t="shared" si="8"/>
        <v>1030.29527366161</v>
      </c>
      <c r="AU90" s="108">
        <f>$B$7*IF($G$5="撼天",1.05,1)+IF(AND(VLOOKUP($E90,武器奇术!$A:$R,15,FALSE)="武器",VLOOKUP($E90,武器奇术!$A:$R,17,FALSE)="鸣金"),$E$3,0)*(1+$E$15)</f>
        <v>0</v>
      </c>
      <c r="AV90" s="99">
        <f>(AU90+AW90)*IF(VLOOKUP($E90,武器奇术!$A:$Z,21,FALSE)=1,$G$15,0.5)</f>
        <v>0</v>
      </c>
      <c r="AW90" s="109">
        <f>MAX($C$7*IF($G$5="撼天",1.05,1)+IF(AND(VLOOKUP($E90,武器奇术!$A:$R,15,FALSE)="武器",VLOOKUP($E90,武器奇术!$A:$R,17,FALSE)="鸣金"),$E$3*(1+$E$15),0),AU90)</f>
        <v>0</v>
      </c>
      <c r="AX90" s="110">
        <f>IF(($D$7+IF(VLOOKUP($E90,武器奇术!$A:$R,17,FALSE)="鸣金",$D$15,0)+IF(VLOOKUP($E90,武器奇术!$A:$R,18,FALSE)=1,4,0)+IF(VLOOKUP($E90,武器奇术!$A:$S,19,FALSE)=1,20,0)-VLOOKUP($F$7,目标属性!$A:$R,6,FALSE))&gt;0,($D$7+IF(VLOOKUP($E90,武器奇术!$A:$R,17,FALSE)="鸣金",$D$15,0)+IF(VLOOKUP($E90,武器奇术!$A:$R,18,FALSE)=1,4,0)+IF(VLOOKUP($E90,武器奇术!$A:$S,19,FALSE)=1,20,0)-VLOOKUP($F$7,目标属性!$A:$R,6,FALSE))/200,($D$7+IF(VLOOKUP($E90,武器奇术!$A:$R,17,FALSE)="鸣金",$D$15,0)+IF(VLOOKUP($E90,武器奇术!$A:$R,18,FALSE)=1,4,0)+IF(VLOOKUP($E90,武器奇术!$A:$S,19,FALSE)=1,20,0)-VLOOKUP($F$7,目标属性!$A:$R,6,FALSE))/100)</f>
        <v>-0.24</v>
      </c>
      <c r="AY90" s="111">
        <f t="shared" si="9"/>
        <v>0</v>
      </c>
      <c r="AZ90" s="109">
        <v>1</v>
      </c>
      <c r="BA90" s="112">
        <f>AU90*IF(VLOOKUP($E90,武器奇术!$A:$R,17,FALSE)="鸣金",VLOOKUP($E90,武器奇术!$A:$R,4,FALSE),VLOOKUP($E90,武器奇术!$A:$R,2,FALSE))*(1+AX90)*(1+AY90)*AZ90</f>
        <v>0</v>
      </c>
      <c r="BB90" s="110">
        <f>(1-IF(VLOOKUP($E90,武器奇术!$A:$T,20,FALSE)=1,1,$N90))*(1-$M90)</f>
        <v>0.01072666</v>
      </c>
      <c r="BC90" s="112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10">
        <f t="shared" si="10"/>
        <v>0.8813852</v>
      </c>
      <c r="BE90" s="112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10">
        <f t="shared" si="11"/>
        <v>0.0986</v>
      </c>
      <c r="BG90" s="112">
        <f>AV90*IF(VLOOKUP($E90,武器奇术!$A:$R,17,FALSE)="鸣金",VLOOKUP($E90,武器奇术!$A:$R,4,FALSE),VLOOKUP($E90,武器奇术!$A:$R,2,FALSE))*(1+AX90)*(1+AY90)*AZ90</f>
        <v>0</v>
      </c>
      <c r="BH90" s="110">
        <f t="shared" si="12"/>
        <v>0.00928814000000003</v>
      </c>
      <c r="BI90" s="113">
        <f t="shared" si="13"/>
        <v>0</v>
      </c>
      <c r="BJ90" s="108">
        <f>$B$9*IF($G$5="撼天",1.05,1)+IF(AND(VLOOKUP($E90,武器奇术!$A:$R,15,FALSE)="武器",VLOOKUP($E90,武器奇术!$A:$R,17,FALSE)="裂石"),$E$3,0)*(1+$E$15)</f>
        <v>0</v>
      </c>
      <c r="BK90" s="99">
        <f>(BJ90+BL90)*IF(VLOOKUP($E90,武器奇术!$A:$Z,21,FALSE)=1,$G$15,0.5)</f>
        <v>0</v>
      </c>
      <c r="BL90" s="109">
        <f>MAX($C$9*IF($G$5="撼天",1.05,1)+IF(AND(VLOOKUP($E90,武器奇术!$A:$R,15,FALSE)="武器",VLOOKUP($E90,武器奇术!$A:$R,17,FALSE)="裂石"),$E$3*(1+$E$15),0),BJ90)</f>
        <v>0</v>
      </c>
      <c r="BM90" s="110">
        <f>IF(($D$9+IF(VLOOKUP($E90,武器奇术!$A:$R,17,FALSE)="裂石",$D$15,0)+IF(VLOOKUP($E90,武器奇术!$A:$R,18,FALSE)=1,4,0)+IF(VLOOKUP($E90,武器奇术!$A:$S,19,FALSE)=1,20,0)-VLOOKUP($F$7,目标属性!$A:$R,6,FALSE))&gt;0,($D$9+IF(VLOOKUP($E90,武器奇术!$A:$R,17,FALSE)="裂石",$D$15,0)+IF(VLOOKUP($E90,武器奇术!$A:$R,18,FALSE)=1,4,0)+IF(VLOOKUP($E90,武器奇术!$A:$S,19,FALSE)=1,20,0)-VLOOKUP($F$7,目标属性!$A:$R,6,FALSE))/200,($D$9+IF(VLOOKUP($E90,武器奇术!$A:$R,17,FALSE)="裂石",$D$15,0)+IF(VLOOKUP($E90,武器奇术!$A:$R,18,FALSE)=1,4,0)+IF(VLOOKUP($E90,武器奇术!$A:$S,19,FALSE)=1,20,0)-VLOOKUP($F$7,目标属性!$A:$R,6,FALSE))/100)</f>
        <v>-0.24</v>
      </c>
      <c r="BN90" s="111">
        <f t="shared" si="14"/>
        <v>0</v>
      </c>
      <c r="BO90" s="109">
        <v>1</v>
      </c>
      <c r="BP90" s="112">
        <f>BJ90*IF(VLOOKUP($E90,武器奇术!$A:$R,17,FALSE)="裂石",VLOOKUP($E90,武器奇术!$A:$R,4,FALSE),VLOOKUP($E90,武器奇术!$A:$R,2,FALSE))*(1+BM90)*(1+BN90)*BO90</f>
        <v>0</v>
      </c>
      <c r="BQ90" s="110">
        <f>(1-IF(VLOOKUP($E90,武器奇术!$A:$T,20,FALSE)=1,1,$N90))*(1-$M90)</f>
        <v>0.01072666</v>
      </c>
      <c r="BR90" s="112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10">
        <f t="shared" si="15"/>
        <v>0.8813852</v>
      </c>
      <c r="BT90" s="112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10">
        <f t="shared" si="16"/>
        <v>0.0986</v>
      </c>
      <c r="BV90" s="112">
        <f>BK90*IF(VLOOKUP($E90,武器奇术!$A:$R,17,FALSE)="裂石",VLOOKUP($E90,武器奇术!$A:$R,4,FALSE),VLOOKUP($E90,武器奇术!$A:$R,2,FALSE))*(1+BM90)*(1+BN90)*BO90</f>
        <v>0</v>
      </c>
      <c r="BW90" s="110">
        <f t="shared" si="17"/>
        <v>0.00928814000000003</v>
      </c>
      <c r="BX90" s="113">
        <f t="shared" si="18"/>
        <v>0</v>
      </c>
      <c r="BY90" s="108">
        <f>$B$11*IF($G$5="撼天",1.05,1)+IF(AND(VLOOKUP($E90,武器奇术!$A:$R,15,FALSE)="武器",VLOOKUP($E90,武器奇术!$A:$R,17,FALSE)="牵丝"),$E$3,0)*(1+$E$15)</f>
        <v>0</v>
      </c>
      <c r="BZ90" s="99">
        <f>(BY90+CA90)*IF(VLOOKUP($E90,武器奇术!$A:$Z,21,FALSE)=1,$G$15,0.5)</f>
        <v>0</v>
      </c>
      <c r="CA90" s="109">
        <f>MAX($C$11*IF($G$5="撼天",1.05,1)+IF(AND(VLOOKUP($E90,武器奇术!$A:$R,15,FALSE)="武器",VLOOKUP($E90,武器奇术!$A:$R,17,FALSE)="牵丝"),$E$3*(1+$E$15),0),BY90)</f>
        <v>0</v>
      </c>
      <c r="CB90" s="110">
        <f>IF(($D$11+IF(VLOOKUP($E90,武器奇术!$A:$R,17,FALSE)="牵丝",$D$15,0)+IF(VLOOKUP($E90,武器奇术!$A:$R,18,FALSE)=1,4,0)+IF(VLOOKUP($E90,武器奇术!$A:$S,19,FALSE)=1,20,0)-VLOOKUP($F$7,目标属性!$A:$R,6,FALSE))&gt;0,($D$11+IF(VLOOKUP($E90,武器奇术!$A:$R,17,FALSE)="牵丝",$D$15,0)+IF(VLOOKUP($E90,武器奇术!$A:$R,18,FALSE)=1,4,0)+IF(VLOOKUP($E90,武器奇术!$A:$S,19,FALSE)=1,20,0)-VLOOKUP($F$7,目标属性!$A:$R,6,FALSE))/200,($D$11+IF(VLOOKUP($E90,武器奇术!$A:$R,17,FALSE)="牵丝",$D$15,0)+IF(VLOOKUP($E90,武器奇术!$A:$R,18,FALSE)=1,4,0)+IF(VLOOKUP($E90,武器奇术!$A:$S,19,FALSE)=1,20,0)-VLOOKUP($F$7,目标属性!$A:$R,6,FALSE))/100)</f>
        <v>-0.24</v>
      </c>
      <c r="CC90" s="111">
        <f t="shared" si="19"/>
        <v>0</v>
      </c>
      <c r="CD90" s="109">
        <v>1</v>
      </c>
      <c r="CE90" s="112">
        <f>BY90*IF(VLOOKUP($E90,武器奇术!$A:$R,17,FALSE)="牵丝",VLOOKUP($E90,武器奇术!$A:$R,4,FALSE),VLOOKUP($E90,武器奇术!$A:$R,2,FALSE))*(1+CB90)*(1+CC90)*CD90</f>
        <v>0</v>
      </c>
      <c r="CF90" s="110">
        <f>(1-IF(VLOOKUP($E90,武器奇术!$A:$T,20,FALSE)=1,1,$N90))*(1-$M90)</f>
        <v>0.01072666</v>
      </c>
      <c r="CG90" s="112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110">
        <f t="shared" si="20"/>
        <v>0.8813852</v>
      </c>
      <c r="CI90" s="112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110">
        <f t="shared" si="21"/>
        <v>0.0986</v>
      </c>
      <c r="CK90" s="112">
        <f>BZ90*IF(VLOOKUP($E90,武器奇术!$A:$R,17,FALSE)="牵丝",VLOOKUP($E90,武器奇术!$A:$R,4,FALSE),VLOOKUP($E90,武器奇术!$A:$R,2,FALSE))*(1+CB90)*(1+CC90)*CD90</f>
        <v>0</v>
      </c>
      <c r="CL90" s="110">
        <f t="shared" si="22"/>
        <v>0.00928814000000003</v>
      </c>
      <c r="CM90" s="113">
        <f t="shared" si="23"/>
        <v>0</v>
      </c>
      <c r="CN90" s="108">
        <f>$B$13*IF($G$5="撼天",1.05,1)+IF(AND(VLOOKUP($E90,武器奇术!$A:$R,15,FALSE)="武器",VLOOKUP($E90,武器奇术!$A:$R,17,FALSE)="破竹"),$E$3,0)*(1+$E$15)</f>
        <v>648.46</v>
      </c>
      <c r="CO90" s="99">
        <f>IF(VLOOKUP($E90,武器奇术!$A:$Z,20,FALSE)=1,(CP90-(CN90+CP90)*0.5)*($G$15-0.5)*2+(CN90+CP90)*0.5,(CN90+CP90)*0.5)</f>
        <v>875.26</v>
      </c>
      <c r="CP90" s="109">
        <f>MAX($C$13*IF($G$5="撼天",1.05,1)+IF(AND(VLOOKUP($E90,武器奇术!$A:$R,15,FALSE)="武器",VLOOKUP($E90,武器奇术!$A:$R,17,FALSE)="破竹"),$E$3*(1+$E$15),0),CN90)</f>
        <v>1102.06</v>
      </c>
      <c r="CQ90" s="110">
        <f>IF(($D$13+IF(VLOOKUP($E90,武器奇术!$A:$R,17,FALSE)="破竹",$D$15,0)+IF(VLOOKUP($E90,武器奇术!$A:$R,18,FALSE)=1,4,0)+IF(VLOOKUP($E90,武器奇术!$A:$S,19,FALSE)=1,20,0)-VLOOKUP($F$7,目标属性!$A:$R,6,FALSE))&gt;0,($D$13+IF(VLOOKUP($E90,武器奇术!$A:$R,17,FALSE)="破竹",$D$15,0)+IF(VLOOKUP($E90,武器奇术!$A:$R,18,FALSE)=1,4,0)+IF(VLOOKUP($E90,武器奇术!$A:$S,19,FALSE)=1,20,0)-VLOOKUP($F$7,目标属性!$A:$R,6,FALSE))/200,($D$13+IF(VLOOKUP($E90,武器奇术!$A:$R,17,FALSE)="破竹",$D$15,0)+IF(VLOOKUP($E90,武器奇术!$A:$R,18,FALSE)=1,4,0)+IF(VLOOKUP($E90,武器奇术!$A:$S,19,FALSE)=1,20,0)-VLOOKUP($F$7,目标属性!$A:$R,6,FALSE))/100)</f>
        <v>0.025</v>
      </c>
      <c r="CR90" s="111">
        <f>$E$13+IF(VLOOKUP($E90,武器奇术!$A:$U,21,FALSE)=1,0,0.09)</f>
        <v>0.235</v>
      </c>
      <c r="CS90" s="109">
        <v>1</v>
      </c>
      <c r="CT90" s="112">
        <f>CN90*IF(VLOOKUP($E90,武器奇术!$A:$R,17,FALSE)="破竹",VLOOKUP($E90,武器奇术!$A:$R,4,FALSE),VLOOKUP($E90,武器奇术!$A:$R,2,FALSE))*(1+CQ90)*(1+CR90)*CS90</f>
        <v>1585.34488391825</v>
      </c>
      <c r="CU90" s="110">
        <f>(1-IF(VLOOKUP($E90,武器奇术!$A:$T,20,FALSE)=1,1,$N90))*(1-$M90)</f>
        <v>0.01072666</v>
      </c>
      <c r="CV90" s="112">
        <f>CO90*IF(VLOOKUP($E90,武器奇术!$A:$R,17,FALSE)="破竹",VLOOKUP($E90,武器奇术!$A:$R,4,FALSE),VLOOKUP($E90,武器奇术!$A:$R,2,FALSE))*(1+CQ90)*(1+CR90)*CS90*(1+$E$16+VLOOKUP($E90,武器奇术!$A:$R,8,FALSE))</f>
        <v>3509.30805212533</v>
      </c>
      <c r="CW90" s="110">
        <f t="shared" si="24"/>
        <v>0.8813852</v>
      </c>
      <c r="CX90" s="112">
        <f>CP90*IF(VLOOKUP($E90,武器奇术!$A:$R,17,FALSE)="破竹",VLOOKUP($E90,武器奇术!$A:$R,4,FALSE),VLOOKUP($E90,武器奇术!$A:$R,2,FALSE))*(1+CQ90)*(1+CR90)*CS90*(1+$E$17+VLOOKUP($E90,武器奇术!$A:$R,10,FALSE))</f>
        <v>3637.30376081914</v>
      </c>
      <c r="CY90" s="110">
        <f t="shared" si="25"/>
        <v>0.0986</v>
      </c>
      <c r="CZ90" s="112">
        <f>CO90*IF(VLOOKUP($E90,武器奇术!$A:$R,17,FALSE)="破竹",VLOOKUP($E90,武器奇术!$A:$R,4,FALSE),VLOOKUP($E90,武器奇术!$A:$R,2,FALSE))*(1+CQ90)*(1+CR90)*CS90</f>
        <v>2139.82198300325</v>
      </c>
      <c r="DA90" s="110">
        <f t="shared" si="26"/>
        <v>0.00928814000000003</v>
      </c>
      <c r="DB90" s="113">
        <f t="shared" si="27"/>
        <v>3488.5707519066</v>
      </c>
      <c r="DC90" s="108">
        <f t="shared" si="36"/>
        <v>69.3</v>
      </c>
      <c r="DD90" s="99">
        <f>(DC90+DE90)*IF(VLOOKUP($E90,武器奇术!$A:$Z,21,FALSE)=1,$G$15,0.5)</f>
        <v>69.3</v>
      </c>
      <c r="DE90" s="109">
        <f t="shared" si="37"/>
        <v>69.3</v>
      </c>
      <c r="DF90" s="110">
        <f>IF(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100)</f>
        <v>0.025</v>
      </c>
      <c r="DG90" s="111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U,21,FALSE)=1,0,0.09)</f>
        <v>0.235</v>
      </c>
      <c r="DH90" s="109">
        <v>1</v>
      </c>
      <c r="DI90" s="112">
        <f>DC90*IF(VLOOKUP($E90,武器奇术!$A:$R,17,FALSE)="破竹",VLOOKUP($E90,武器奇术!$A:$R,4,FALSE),VLOOKUP($E90,武器奇术!$A:$R,2,FALSE))*(1+DF90)*(1+DG90)*DH90</f>
        <v>169.42355805375</v>
      </c>
      <c r="DJ90" s="110">
        <f>(1-IF(VLOOKUP($E90,武器奇术!$A:$T,20,FALSE)=1,1,$N90))*(1-$M90)</f>
        <v>0.01072666</v>
      </c>
      <c r="DK90" s="112">
        <f>DD90*IF(VLOOKUP($E90,武器奇术!$A:$R,17,FALSE)="破竹",VLOOKUP($E90,武器奇术!$A:$R,4,FALSE),VLOOKUP($E90,武器奇术!$A:$R,2,FALSE))*(1+DF90)*(1+DG90)*DH90*(1+$E$16+VLOOKUP($E90,武器奇术!$A:$R,8,FALSE))</f>
        <v>277.85463520815</v>
      </c>
      <c r="DL90" s="110">
        <f t="shared" si="28"/>
        <v>0.8813852</v>
      </c>
      <c r="DM90" s="112">
        <f>DE90*IF(VLOOKUP($E90,武器奇术!$A:$R,17,FALSE)="破竹",VLOOKUP($E90,武器奇术!$A:$R,4,FALSE),VLOOKUP($E90,武器奇术!$A:$R,2,FALSE))*(1+DF90)*(1+DG90)*DH90*(1+$E$17+VLOOKUP($E90,武器奇术!$A:$R,10,FALSE))</f>
        <v>228.721803372562</v>
      </c>
      <c r="DN90" s="110">
        <f t="shared" si="29"/>
        <v>0.0986</v>
      </c>
      <c r="DO90" s="112">
        <f>DD90*IF(VLOOKUP($E90,武器奇术!$A:$R,17,FALSE)="破竹",VLOOKUP($E90,武器奇术!$A:$R,4,FALSE),VLOOKUP($E90,武器奇术!$A:$R,2,FALSE))*(1+DF90)*(1+DG90)*DH90</f>
        <v>169.42355805375</v>
      </c>
      <c r="DP90" s="110">
        <f t="shared" si="30"/>
        <v>0.00928814000000003</v>
      </c>
      <c r="DQ90" s="113">
        <f t="shared" si="31"/>
        <v>270.839911666131</v>
      </c>
    </row>
    <row r="91" spans="1:121">
      <c r="A91" s="36"/>
      <c r="B91" t="s">
        <v>164</v>
      </c>
      <c r="C91" s="147">
        <v>0.85</v>
      </c>
      <c r="D91" s="75"/>
      <c r="E91" s="98" t="s">
        <v>135</v>
      </c>
      <c r="F91" s="99">
        <v>1</v>
      </c>
      <c r="G91" s="115"/>
      <c r="H91" s="149">
        <f>IF(VLOOKUP($E91,武器奇术!$A:$R,18,FALSE)="天工",AE91,(AE91+AT91+BI91+BX91+CM91+DB91+DQ91))*(1+J91)*F91*K91*(1+G91)*(1+$G$21*5%)</f>
        <v>63982.2655175516</v>
      </c>
      <c r="I91" s="101">
        <f t="shared" si="0"/>
        <v>0.00789943693474119</v>
      </c>
      <c r="J91" s="101">
        <f>$F$3+VLOOKUP($E91,武器奇术!$A:$R,12,FALSE)+VLOOKUP($E91,武器奇术!$A:$R,14,FALSE)*$G$3+$P91</f>
        <v>0.773</v>
      </c>
      <c r="K91" s="102">
        <f>VLOOKUP($E91,武器奇术!$A:$R,11,FALSE)</f>
        <v>1</v>
      </c>
      <c r="L91" s="117">
        <f>IF(VLOOKUP($E91,武器奇术!$A:$R,15,FALSE)="天工",0%,IF($C$17+VLOOKUP($E91,武器奇术!$A:$R,7,FALSE)&gt;80%,80%,$C$17+VLOOKUP($E91,武器奇术!$A:$R,7,FALSE))+IF($C$19&gt;20%,20%,$C$19))</f>
        <v>0.892</v>
      </c>
      <c r="M91" s="118">
        <f>IF(VLOOKUP($E91,武器奇术!$A:$R,15,FALSE)="天工",0%,IF($C$18+VLOOKUP($E91,武器奇术!$A:$R,9,FALSE)&gt;40%,40%,$C$18+VLOOKUP($E91,武器奇术!$A:$R,9,FALSE))+IF($C$20&gt;10%,10%,$C$20))</f>
        <v>0.0986</v>
      </c>
      <c r="N91" s="119">
        <f>IF(VLOOKUP($E91,武器奇术!$A:$R,15,FALSE)="天工",100%,MIN($C$16,1))</f>
        <v>0.9881</v>
      </c>
      <c r="O91" s="120" t="str">
        <f>VLOOKUP($E91,武器奇术!$A:$R,16,FALSE)</f>
        <v>拳甲</v>
      </c>
      <c r="P91" s="121">
        <f t="shared" si="38"/>
        <v>0.17</v>
      </c>
      <c r="Q91" s="108">
        <f>$B$5*(1+VLOOKUP($E91,武器奇术!$A:$R,5,FALSE)+IF($G$5="飞隼",0.1,0)+IF($G$5="撼天",0.05,0))-$F$9+IF($I$5="√",160,0)</f>
        <v>1731.135</v>
      </c>
      <c r="R91" s="99">
        <f>IF(VLOOKUP($E91,武器奇术!$A:$Z,20,FALSE)=1,(S91-(Q91+S91)*0.5)*($G$15-0.5)*2+(Q91+S91)*0.5,(Q91+S91)*0.5)</f>
        <v>3256.775</v>
      </c>
      <c r="S91" s="109">
        <f>MAX($C$5,$B$5)*(1+VLOOKUP($E91,武器奇术!$A:$R,5,FALSE)+IF($G$5="飞隼",0.1,0)+IF($G$5="撼天",0.05,0))-$F$9+IF($I$5="√",320,0)</f>
        <v>4782.415</v>
      </c>
      <c r="T91" s="101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U91" s="111">
        <f>$E$5+IF(VLOOKUP($E91,武器奇术!$A:$U,21,FALSE)=1,0,0.09)</f>
        <v>0.115</v>
      </c>
      <c r="V91" s="109">
        <v>1</v>
      </c>
      <c r="W91" s="112">
        <f>Q91*VLOOKUP($E91,武器奇术!$A:$R,2,FALSE)*(1+T91)*(1+U91)*V91</f>
        <v>5595.154346628</v>
      </c>
      <c r="X91" s="110">
        <f>(1-IF(VLOOKUP($E91,武器奇术!$A:$T,20,FALSE)=1,1,$N91))*(1-$M91)</f>
        <v>0.01072666</v>
      </c>
      <c r="Y91" s="112">
        <f>R91*VLOOKUP($E91,武器奇术!$A:$R,2,FALSE)*(1+T91)*(1+U91)*V91*(1+$E$16+VLOOKUP($E91,武器奇术!$A:$R,8,FALSE))</f>
        <v>20420.6997528468</v>
      </c>
      <c r="Z91" s="110">
        <f t="shared" si="39"/>
        <v>0.8813852</v>
      </c>
      <c r="AA91" s="112">
        <f>S91*VLOOKUP($E91,武器奇术!$A:$R,2,FALSE)*(1+T91)*(1+U91)*V91*(1+$E$17+VLOOKUP($E91,武器奇术!$A:$R,10,FALSE))</f>
        <v>20867.1031437462</v>
      </c>
      <c r="AB91" s="110">
        <f t="shared" si="40"/>
        <v>0.0986</v>
      </c>
      <c r="AC91" s="112">
        <f>R91*VLOOKUP($E91,武器奇术!$A:$R,2,FALSE)*(1+T91)*(1+U91)*V91</f>
        <v>10526.13389322</v>
      </c>
      <c r="AD91" s="110">
        <f t="shared" si="1"/>
        <v>0.00928814000000003</v>
      </c>
      <c r="AE91" s="113">
        <f t="shared" si="2"/>
        <v>20213.784429359</v>
      </c>
      <c r="AF91" s="114">
        <f>VLOOKUP($E91,武器奇术!$A:$R,3,FALSE)*(1+IF(VLOOKUP($E91,武器奇术!$A:$R,15,FALSE)="武器",$E$15,0))</f>
        <v>0</v>
      </c>
      <c r="AG91" s="112">
        <f t="shared" si="3"/>
        <v>0</v>
      </c>
      <c r="AH91" s="112">
        <f>VLOOKUP($E91,武器奇术!$A:$R,3,FALSE)*(1+IF(VLOOKUP($E91,武器奇术!$A:$R,15,FALSE)="武器",$E$15,0))</f>
        <v>0</v>
      </c>
      <c r="AI91" s="101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AJ91" s="111">
        <f>$E$5+IF(VLOOKUP($E91,武器奇术!$A:$U,21,FALSE)=1,0,0.09)</f>
        <v>0.115</v>
      </c>
      <c r="AK91" s="109">
        <v>1</v>
      </c>
      <c r="AL91" s="112">
        <f t="shared" si="41"/>
        <v>0</v>
      </c>
      <c r="AM91" s="110">
        <f>(1-IF(VLOOKUP($E91,武器奇术!$A:$T,20,FALSE)=1,1,$N91))*(1-$M91)</f>
        <v>0.01072666</v>
      </c>
      <c r="AN91" s="112">
        <f>AG91*(1+AI91)*(1+AJ91)*AK91*(1+$E$16+VLOOKUP($E91,武器奇术!$A:$R,8,FALSE))</f>
        <v>0</v>
      </c>
      <c r="AO91" s="110">
        <f t="shared" si="4"/>
        <v>0.8813852</v>
      </c>
      <c r="AP91" s="112">
        <f>AH91*(1+AI91)*(1+AJ91)*AK91*(1+$E$17+VLOOKUP($E91,武器奇术!$A:$R,10,FALSE))</f>
        <v>0</v>
      </c>
      <c r="AQ91" s="110">
        <f t="shared" si="5"/>
        <v>0.0986</v>
      </c>
      <c r="AR91" s="112">
        <f t="shared" si="6"/>
        <v>0</v>
      </c>
      <c r="AS91" s="110">
        <f t="shared" si="7"/>
        <v>0.00928814000000003</v>
      </c>
      <c r="AT91" s="113">
        <f t="shared" si="8"/>
        <v>0</v>
      </c>
      <c r="AU91" s="108">
        <f>$B$7*IF($G$5="撼天",1.05,1)+IF(AND(VLOOKUP($E91,武器奇术!$A:$R,15,FALSE)="武器",VLOOKUP($E91,武器奇术!$A:$R,17,FALSE)="鸣金"),$E$3,0)*(1+$E$15)</f>
        <v>0</v>
      </c>
      <c r="AV91" s="99">
        <f>(AU91+AW91)*IF(VLOOKUP($E91,武器奇术!$A:$Z,21,FALSE)=1,$G$15,0.5)</f>
        <v>0</v>
      </c>
      <c r="AW91" s="109">
        <f>MAX($C$7*IF($G$5="撼天",1.05,1)+IF(AND(VLOOKUP($E91,武器奇术!$A:$R,15,FALSE)="武器",VLOOKUP($E91,武器奇术!$A:$R,17,FALSE)="鸣金"),$E$3*(1+$E$15),0),AU91)</f>
        <v>0</v>
      </c>
      <c r="AX91" s="110">
        <f>IF(($D$7+IF(VLOOKUP($E91,武器奇术!$A:$R,17,FALSE)="鸣金",$D$15,0)+IF(VLOOKUP($E91,武器奇术!$A:$R,18,FALSE)=1,4,0)+IF(VLOOKUP($E91,武器奇术!$A:$S,19,FALSE)=1,20,0)-VLOOKUP($F$7,目标属性!$A:$R,6,FALSE))&gt;0,($D$7+IF(VLOOKUP($E91,武器奇术!$A:$R,17,FALSE)="鸣金",$D$15,0)+IF(VLOOKUP($E91,武器奇术!$A:$R,18,FALSE)=1,4,0)+IF(VLOOKUP($E91,武器奇术!$A:$S,19,FALSE)=1,20,0)-VLOOKUP($F$7,目标属性!$A:$R,6,FALSE))/200,($D$7+IF(VLOOKUP($E91,武器奇术!$A:$R,17,FALSE)="鸣金",$D$15,0)+IF(VLOOKUP($E91,武器奇术!$A:$R,18,FALSE)=1,4,0)+IF(VLOOKUP($E91,武器奇术!$A:$S,19,FALSE)=1,20,0)-VLOOKUP($F$7,目标属性!$A:$R,6,FALSE))/100)</f>
        <v>0</v>
      </c>
      <c r="AY91" s="111">
        <f t="shared" si="9"/>
        <v>0</v>
      </c>
      <c r="AZ91" s="109">
        <v>1</v>
      </c>
      <c r="BA91" s="112">
        <f>AU91*IF(VLOOKUP($E91,武器奇术!$A:$R,17,FALSE)="鸣金",VLOOKUP($E91,武器奇术!$A:$R,4,FALSE),VLOOKUP($E91,武器奇术!$A:$R,2,FALSE))*(1+AX91)*(1+AY91)*AZ91</f>
        <v>0</v>
      </c>
      <c r="BB91" s="110">
        <f>(1-IF(VLOOKUP($E91,武器奇术!$A:$T,20,FALSE)=1,1,$N91))*(1-$M91)</f>
        <v>0.01072666</v>
      </c>
      <c r="BC91" s="112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10">
        <f t="shared" si="10"/>
        <v>0.8813852</v>
      </c>
      <c r="BE91" s="112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10">
        <f t="shared" si="11"/>
        <v>0.0986</v>
      </c>
      <c r="BG91" s="112">
        <f>AV91*IF(VLOOKUP($E91,武器奇术!$A:$R,17,FALSE)="鸣金",VLOOKUP($E91,武器奇术!$A:$R,4,FALSE),VLOOKUP($E91,武器奇术!$A:$R,2,FALSE))*(1+AX91)*(1+AY91)*AZ91</f>
        <v>0</v>
      </c>
      <c r="BH91" s="110">
        <f t="shared" si="12"/>
        <v>0.00928814000000003</v>
      </c>
      <c r="BI91" s="113">
        <f t="shared" si="13"/>
        <v>0</v>
      </c>
      <c r="BJ91" s="108">
        <f>$B$9*IF($G$5="撼天",1.05,1)+IF(AND(VLOOKUP($E91,武器奇术!$A:$R,15,FALSE)="武器",VLOOKUP($E91,武器奇术!$A:$R,17,FALSE)="裂石"),$E$3,0)*(1+$E$15)</f>
        <v>0</v>
      </c>
      <c r="BK91" s="99">
        <f>(BJ91+BL91)*IF(VLOOKUP($E91,武器奇术!$A:$Z,21,FALSE)=1,$G$15,0.5)</f>
        <v>0</v>
      </c>
      <c r="BL91" s="109">
        <f>MAX($C$9*IF($G$5="撼天",1.05,1)+IF(AND(VLOOKUP($E91,武器奇术!$A:$R,15,FALSE)="武器",VLOOKUP($E91,武器奇术!$A:$R,17,FALSE)="裂石"),$E$3*(1+$E$15),0),BJ91)</f>
        <v>0</v>
      </c>
      <c r="BM91" s="110">
        <f>IF(($D$9+IF(VLOOKUP($E91,武器奇术!$A:$R,17,FALSE)="裂石",$D$15,0)+IF(VLOOKUP($E91,武器奇术!$A:$R,18,FALSE)=1,4,0)+IF(VLOOKUP($E91,武器奇术!$A:$S,19,FALSE)=1,20,0)-VLOOKUP($F$7,目标属性!$A:$R,6,FALSE))&gt;0,($D$9+IF(VLOOKUP($E91,武器奇术!$A:$R,17,FALSE)="裂石",$D$15,0)+IF(VLOOKUP($E91,武器奇术!$A:$R,18,FALSE)=1,4,0)+IF(VLOOKUP($E91,武器奇术!$A:$S,19,FALSE)=1,20,0)-VLOOKUP($F$7,目标属性!$A:$R,6,FALSE))/200,($D$9+IF(VLOOKUP($E91,武器奇术!$A:$R,17,FALSE)="裂石",$D$15,0)+IF(VLOOKUP($E91,武器奇术!$A:$R,18,FALSE)=1,4,0)+IF(VLOOKUP($E91,武器奇术!$A:$S,19,FALSE)=1,20,0)-VLOOKUP($F$7,目标属性!$A:$R,6,FALSE))/100)</f>
        <v>0</v>
      </c>
      <c r="BN91" s="111">
        <f t="shared" si="14"/>
        <v>0</v>
      </c>
      <c r="BO91" s="109">
        <v>1</v>
      </c>
      <c r="BP91" s="112">
        <f>BJ91*IF(VLOOKUP($E91,武器奇术!$A:$R,17,FALSE)="裂石",VLOOKUP($E91,武器奇术!$A:$R,4,FALSE),VLOOKUP($E91,武器奇术!$A:$R,2,FALSE))*(1+BM91)*(1+BN91)*BO91</f>
        <v>0</v>
      </c>
      <c r="BQ91" s="110">
        <f>(1-IF(VLOOKUP($E91,武器奇术!$A:$T,20,FALSE)=1,1,$N91))*(1-$M91)</f>
        <v>0.01072666</v>
      </c>
      <c r="BR91" s="112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10">
        <f t="shared" si="15"/>
        <v>0.8813852</v>
      </c>
      <c r="BT91" s="112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10">
        <f t="shared" si="16"/>
        <v>0.0986</v>
      </c>
      <c r="BV91" s="112">
        <f>BK91*IF(VLOOKUP($E91,武器奇术!$A:$R,17,FALSE)="裂石",VLOOKUP($E91,武器奇术!$A:$R,4,FALSE),VLOOKUP($E91,武器奇术!$A:$R,2,FALSE))*(1+BM91)*(1+BN91)*BO91</f>
        <v>0</v>
      </c>
      <c r="BW91" s="110">
        <f t="shared" si="17"/>
        <v>0.00928814000000003</v>
      </c>
      <c r="BX91" s="113">
        <f t="shared" si="18"/>
        <v>0</v>
      </c>
      <c r="BY91" s="108">
        <f>$B$11*IF($G$5="撼天",1.05,1)+IF(AND(VLOOKUP($E91,武器奇术!$A:$R,15,FALSE)="武器",VLOOKUP($E91,武器奇术!$A:$R,17,FALSE)="牵丝"),$E$3,0)*(1+$E$15)</f>
        <v>0</v>
      </c>
      <c r="BZ91" s="99">
        <f>(BY91+CA91)*IF(VLOOKUP($E91,武器奇术!$A:$Z,21,FALSE)=1,$G$15,0.5)</f>
        <v>0</v>
      </c>
      <c r="CA91" s="109">
        <f>MAX($C$11*IF($G$5="撼天",1.05,1)+IF(AND(VLOOKUP($E91,武器奇术!$A:$R,15,FALSE)="武器",VLOOKUP($E91,武器奇术!$A:$R,17,FALSE)="牵丝"),$E$3*(1+$E$15),0),BY91)</f>
        <v>0</v>
      </c>
      <c r="CB91" s="110">
        <f>IF(($D$11+IF(VLOOKUP($E91,武器奇术!$A:$R,17,FALSE)="牵丝",$D$15,0)+IF(VLOOKUP($E91,武器奇术!$A:$R,18,FALSE)=1,4,0)+IF(VLOOKUP($E91,武器奇术!$A:$S,19,FALSE)=1,20,0)-VLOOKUP($F$7,目标属性!$A:$R,6,FALSE))&gt;0,($D$11+IF(VLOOKUP($E91,武器奇术!$A:$R,17,FALSE)="牵丝",$D$15,0)+IF(VLOOKUP($E91,武器奇术!$A:$R,18,FALSE)=1,4,0)+IF(VLOOKUP($E91,武器奇术!$A:$S,19,FALSE)=1,20,0)-VLOOKUP($F$7,目标属性!$A:$R,6,FALSE))/200,($D$11+IF(VLOOKUP($E91,武器奇术!$A:$R,17,FALSE)="牵丝",$D$15,0)+IF(VLOOKUP($E91,武器奇术!$A:$R,18,FALSE)=1,4,0)+IF(VLOOKUP($E91,武器奇术!$A:$S,19,FALSE)=1,20,0)-VLOOKUP($F$7,目标属性!$A:$R,6,FALSE))/100)</f>
        <v>0</v>
      </c>
      <c r="CC91" s="111">
        <f t="shared" si="19"/>
        <v>0</v>
      </c>
      <c r="CD91" s="109">
        <v>1</v>
      </c>
      <c r="CE91" s="112">
        <f>BY91*IF(VLOOKUP($E91,武器奇术!$A:$R,17,FALSE)="牵丝",VLOOKUP($E91,武器奇术!$A:$R,4,FALSE),VLOOKUP($E91,武器奇术!$A:$R,2,FALSE))*(1+CB91)*(1+CC91)*CD91</f>
        <v>0</v>
      </c>
      <c r="CF91" s="110">
        <f>(1-IF(VLOOKUP($E91,武器奇术!$A:$T,20,FALSE)=1,1,$N91))*(1-$M91)</f>
        <v>0.01072666</v>
      </c>
      <c r="CG91" s="112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110">
        <f t="shared" si="20"/>
        <v>0.8813852</v>
      </c>
      <c r="CI91" s="112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110">
        <f t="shared" si="21"/>
        <v>0.0986</v>
      </c>
      <c r="CK91" s="112">
        <f>BZ91*IF(VLOOKUP($E91,武器奇术!$A:$R,17,FALSE)="牵丝",VLOOKUP($E91,武器奇术!$A:$R,4,FALSE),VLOOKUP($E91,武器奇术!$A:$R,2,FALSE))*(1+CB91)*(1+CC91)*CD91</f>
        <v>0</v>
      </c>
      <c r="CL91" s="110">
        <f t="shared" si="22"/>
        <v>0.00928814000000003</v>
      </c>
      <c r="CM91" s="113">
        <f t="shared" si="23"/>
        <v>0</v>
      </c>
      <c r="CN91" s="108">
        <f>$B$13*IF($G$5="撼天",1.05,1)+IF(AND(VLOOKUP($E91,武器奇术!$A:$R,15,FALSE)="武器",VLOOKUP($E91,武器奇术!$A:$R,17,FALSE)="破竹"),$E$3,0)*(1+$E$15)</f>
        <v>452.55</v>
      </c>
      <c r="CO91" s="99">
        <f>IF(VLOOKUP($E91,武器奇术!$A:$Z,20,FALSE)=1,(CP91-(CN91+CP91)*0.5)*($G$15-0.5)*2+(CN91+CP91)*0.5,(CN91+CP91)*0.5)</f>
        <v>679.35</v>
      </c>
      <c r="CP91" s="109">
        <f>MAX($C$13*IF($G$5="撼天",1.05,1)+IF(AND(VLOOKUP($E91,武器奇术!$A:$R,15,FALSE)="武器",VLOOKUP($E91,武器奇术!$A:$R,17,FALSE)="破竹"),$E$3*(1+$E$15),0),CN91)</f>
        <v>906.15</v>
      </c>
      <c r="CQ91" s="110">
        <f>IF(($D$13+IF(VLOOKUP($E91,武器奇术!$A:$R,17,FALSE)="破竹",$D$15,0)+IF(VLOOKUP($E91,武器奇术!$A:$R,18,FALSE)=1,4,0)+IF(VLOOKUP($E91,武器奇术!$A:$S,19,FALSE)=1,20,0)-VLOOKUP($F$7,目标属性!$A:$R,6,FALSE))&gt;0,($D$13+IF(VLOOKUP($E91,武器奇术!$A:$R,17,FALSE)="破竹",$D$15,0)+IF(VLOOKUP($E91,武器奇术!$A:$R,18,FALSE)=1,4,0)+IF(VLOOKUP($E91,武器奇术!$A:$S,19,FALSE)=1,20,0)-VLOOKUP($F$7,目标属性!$A:$R,6,FALSE))/200,($D$13+IF(VLOOKUP($E91,武器奇术!$A:$R,17,FALSE)="破竹",$D$15,0)+IF(VLOOKUP($E91,武器奇术!$A:$R,18,FALSE)=1,4,0)+IF(VLOOKUP($E91,武器奇术!$A:$S,19,FALSE)=1,20,0)-VLOOKUP($F$7,目标属性!$A:$R,6,FALSE))/100)</f>
        <v>0.145</v>
      </c>
      <c r="CR91" s="111">
        <f>$E$13+IF(VLOOKUP($E91,武器奇术!$A:$U,21,FALSE)=1,0,0.09)</f>
        <v>0.235</v>
      </c>
      <c r="CS91" s="109">
        <v>1</v>
      </c>
      <c r="CT91" s="112">
        <f>CN91*IF(VLOOKUP($E91,武器奇术!$A:$R,17,FALSE)="破竹",VLOOKUP($E91,武器奇术!$A:$R,4,FALSE),VLOOKUP($E91,武器奇术!$A:$R,2,FALSE))*(1+CQ91)*(1+CR91)*CS91</f>
        <v>2073.40443765</v>
      </c>
      <c r="CU91" s="110">
        <f>(1-IF(VLOOKUP($E91,武器奇术!$A:$T,20,FALSE)=1,1,$N91))*(1-$M91)</f>
        <v>0.01072666</v>
      </c>
      <c r="CV91" s="112">
        <f>CO91*IF(VLOOKUP($E91,武器奇术!$A:$R,17,FALSE)="破竹",VLOOKUP($E91,武器奇术!$A:$R,4,FALSE),VLOOKUP($E91,武器奇术!$A:$R,2,FALSE))*(1+CQ91)*(1+CR91)*CS91*(1+$E$16+VLOOKUP($E91,武器奇术!$A:$R,8,FALSE))</f>
        <v>6038.273276217</v>
      </c>
      <c r="CW91" s="110">
        <f t="shared" si="24"/>
        <v>0.8813852</v>
      </c>
      <c r="CX91" s="112">
        <f>CP91*IF(VLOOKUP($E91,武器奇术!$A:$R,17,FALSE)="破竹",VLOOKUP($E91,武器奇术!$A:$R,4,FALSE),VLOOKUP($E91,武器奇术!$A:$R,2,FALSE))*(1+CQ91)*(1+CR91)*CS91*(1+$E$17+VLOOKUP($E91,武器奇术!$A:$R,10,FALSE))</f>
        <v>5604.6864039075</v>
      </c>
      <c r="CY91" s="110">
        <f t="shared" si="25"/>
        <v>0.0986</v>
      </c>
      <c r="CZ91" s="112">
        <f>CO91*IF(VLOOKUP($E91,武器奇术!$A:$R,17,FALSE)="破竹",VLOOKUP($E91,武器奇术!$A:$R,4,FALSE),VLOOKUP($E91,武器奇术!$A:$R,2,FALSE))*(1+CQ91)*(1+CR91)*CS91</f>
        <v>3112.51199805</v>
      </c>
      <c r="DA91" s="110">
        <f t="shared" si="26"/>
        <v>0.00928814000000003</v>
      </c>
      <c r="DB91" s="113">
        <f t="shared" si="27"/>
        <v>5925.81693027318</v>
      </c>
      <c r="DC91" s="108">
        <f t="shared" si="36"/>
        <v>69.3</v>
      </c>
      <c r="DD91" s="99">
        <f>(DC91+DE91)*IF(VLOOKUP($E91,武器奇术!$A:$Z,21,FALSE)=1,$G$15,0.5)</f>
        <v>69.3</v>
      </c>
      <c r="DE91" s="109">
        <f t="shared" si="37"/>
        <v>69.3</v>
      </c>
      <c r="DF91" s="110">
        <f>IF(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100)</f>
        <v>0.145</v>
      </c>
      <c r="DG91" s="111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U,21,FALSE)=1,0,0.09)</f>
        <v>0.235</v>
      </c>
      <c r="DH91" s="109">
        <v>1</v>
      </c>
      <c r="DI91" s="112">
        <f>DC91*IF(VLOOKUP($E91,武器奇术!$A:$R,17,FALSE)="破竹",VLOOKUP($E91,武器奇术!$A:$R,4,FALSE),VLOOKUP($E91,武器奇术!$A:$R,2,FALSE))*(1+DF91)*(1+DG91)*DH91</f>
        <v>317.5050879</v>
      </c>
      <c r="DJ91" s="110">
        <f>(1-IF(VLOOKUP($E91,武器奇术!$A:$T,20,FALSE)=1,1,$N91))*(1-$M91)</f>
        <v>0.01072666</v>
      </c>
      <c r="DK91" s="112">
        <f>DD91*IF(VLOOKUP($E91,武器奇术!$A:$R,17,FALSE)="破竹",VLOOKUP($E91,武器奇术!$A:$R,4,FALSE),VLOOKUP($E91,武器奇术!$A:$R,2,FALSE))*(1+DF91)*(1+DG91)*DH91*(1+$E$16+VLOOKUP($E91,武器奇术!$A:$R,8,FALSE))</f>
        <v>615.959870526</v>
      </c>
      <c r="DL91" s="110">
        <f t="shared" si="28"/>
        <v>0.8813852</v>
      </c>
      <c r="DM91" s="112">
        <f>DE91*IF(VLOOKUP($E91,武器奇术!$A:$R,17,FALSE)="破竹",VLOOKUP($E91,武器奇术!$A:$R,4,FALSE),VLOOKUP($E91,武器奇术!$A:$R,2,FALSE))*(1+DF91)*(1+DG91)*DH91*(1+$E$17+VLOOKUP($E91,武器奇术!$A:$R,10,FALSE))</f>
        <v>428.631868665</v>
      </c>
      <c r="DN91" s="110">
        <f t="shared" si="29"/>
        <v>0.0986</v>
      </c>
      <c r="DO91" s="112">
        <f>DD91*IF(VLOOKUP($E91,武器奇术!$A:$R,17,FALSE)="破竹",VLOOKUP($E91,武器奇术!$A:$R,4,FALSE),VLOOKUP($E91,武器奇术!$A:$R,2,FALSE))*(1+DF91)*(1+DG91)*DH91</f>
        <v>317.5050879</v>
      </c>
      <c r="DP91" s="110">
        <f t="shared" si="30"/>
        <v>0.00928814000000003</v>
      </c>
      <c r="DQ91" s="113">
        <f t="shared" si="31"/>
        <v>591.515816759203</v>
      </c>
    </row>
    <row r="92" spans="1:121">
      <c r="A92" s="36"/>
      <c r="B92" t="s">
        <v>166</v>
      </c>
      <c r="C92" s="147">
        <v>2</v>
      </c>
      <c r="E92" s="98" t="s">
        <v>130</v>
      </c>
      <c r="F92" s="99">
        <v>1</v>
      </c>
      <c r="G92" s="115">
        <f>$E$23</f>
        <v>0.32</v>
      </c>
      <c r="H92" s="149">
        <f>IF(VLOOKUP($E92,武器奇术!$A:$R,18,FALSE)="天工",AE92,(AE92+AT92+BI92+BX92+CM92+DB92+DQ92))*(1+J92)*F92*K92*(1+G92)*(1+$G$21*5%)</f>
        <v>1108501.07859183</v>
      </c>
      <c r="I92" s="101">
        <f t="shared" si="0"/>
        <v>0.1368587731553</v>
      </c>
      <c r="J92" s="101">
        <f>$F$3+VLOOKUP($E92,武器奇术!$A:$R,12,FALSE)+VLOOKUP($E92,武器奇术!$A:$R,14,FALSE)*$G$3+$P92</f>
        <v>0.773</v>
      </c>
      <c r="K92" s="102">
        <f>VLOOKUP($E92,武器奇术!$A:$R,11,FALSE)</f>
        <v>1</v>
      </c>
      <c r="L92" s="117">
        <f>IF(VLOOKUP($E92,武器奇术!$A:$R,15,FALSE)="天工",0%,IF($C$17+VLOOKUP($E92,武器奇术!$A:$R,7,FALSE)&gt;80%,80%,$C$17+VLOOKUP($E92,武器奇术!$A:$R,7,FALSE))+IF($C$19&gt;20%,20%,$C$19))</f>
        <v>0.892</v>
      </c>
      <c r="M92" s="118">
        <f>IF(VLOOKUP($E92,武器奇术!$A:$R,15,FALSE)="天工",0%,IF($C$18+VLOOKUP($E92,武器奇术!$A:$R,9,FALSE)&gt;40%,40%,$C$18+VLOOKUP($E92,武器奇术!$A:$R,9,FALSE))+IF($C$20&gt;10%,10%,$C$20))</f>
        <v>0.0986</v>
      </c>
      <c r="N92" s="119">
        <f>IF(VLOOKUP($E92,武器奇术!$A:$R,15,FALSE)="天工",100%,MIN($C$16,1))</f>
        <v>0.9881</v>
      </c>
      <c r="O92" s="120" t="str">
        <f>VLOOKUP($E92,武器奇术!$A:$R,16,FALSE)</f>
        <v>拳甲</v>
      </c>
      <c r="P92" s="121">
        <f t="shared" si="38"/>
        <v>0.17</v>
      </c>
      <c r="Q92" s="108">
        <f>$B$5*(1+VLOOKUP($E92,武器奇术!$A:$R,5,FALSE)+IF($G$5="飞隼",0.1,0)+IF($G$5="撼天",0.05,0))-$F$9+IF($I$5="√",160,0)</f>
        <v>1731.135</v>
      </c>
      <c r="R92" s="99">
        <f>IF(VLOOKUP($E92,武器奇术!$A:$Z,20,FALSE)=1,(S92-(Q92+S92)*0.5)*($G$15-0.5)*2+(Q92+S92)*0.5,(Q92+S92)*0.5)</f>
        <v>3256.775</v>
      </c>
      <c r="S92" s="109">
        <f>MAX($C$5,$B$5)*(1+VLOOKUP($E92,武器奇术!$A:$R,5,FALSE)+IF($G$5="飞隼",0.1,0)+IF($G$5="撼天",0.05,0))-$F$9+IF($I$5="√",320,0)</f>
        <v>4782.415</v>
      </c>
      <c r="T92" s="101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U92" s="111">
        <f>$E$5+IF(VLOOKUP($E92,武器奇术!$A:$U,21,FALSE)=1,0,0.09)</f>
        <v>0.115</v>
      </c>
      <c r="V92" s="109">
        <v>1</v>
      </c>
      <c r="W92" s="112">
        <f>Q92*VLOOKUP($E92,武器奇术!$A:$R,2,FALSE)*(1+T92)*(1+U92)*V92</f>
        <v>58678.4041054908</v>
      </c>
      <c r="X92" s="110">
        <f>(1-IF(VLOOKUP($E92,武器奇术!$A:$T,20,FALSE)=1,1,$N92))*(1-$M92)</f>
        <v>0</v>
      </c>
      <c r="Y92" s="112">
        <f>R92*VLOOKUP($E92,武器奇术!$A:$R,2,FALSE)*(1+T92)*(1+U92)*V92*(1+$E$16+VLOOKUP($E92,武器奇术!$A:$R,8,FALSE))</f>
        <v>236237.525898103</v>
      </c>
      <c r="Z92" s="110">
        <f t="shared" si="39"/>
        <v>0.8813852</v>
      </c>
      <c r="AA92" s="112">
        <f>S92*VLOOKUP($E92,武器奇术!$A:$R,2,FALSE)*(1+T92)*(1+U92)*V92*(1+$E$17+VLOOKUP($E92,武器奇术!$A:$R,10,FALSE))</f>
        <v>218840.846011268</v>
      </c>
      <c r="AB92" s="110">
        <f t="shared" si="40"/>
        <v>0.0986</v>
      </c>
      <c r="AC92" s="112">
        <f>R92*VLOOKUP($E92,武器奇术!$A:$R,2,FALSE)*(1+T92)*(1+U92)*V92</f>
        <v>110391.367242104</v>
      </c>
      <c r="AD92" s="110">
        <f t="shared" si="1"/>
        <v>0.0200148</v>
      </c>
      <c r="AE92" s="113">
        <f t="shared" si="2"/>
        <v>232003.427564993</v>
      </c>
      <c r="AF92" s="114">
        <f>VLOOKUP($E92,武器奇术!$A:$R,3,FALSE)*(1+IF(VLOOKUP($E92,武器奇术!$A:$R,15,FALSE)="武器",$E$15,0))</f>
        <v>8140.86</v>
      </c>
      <c r="AG92" s="112">
        <f t="shared" si="3"/>
        <v>8140.86</v>
      </c>
      <c r="AH92" s="112">
        <f>VLOOKUP($E92,武器奇术!$A:$R,3,FALSE)*(1+IF(VLOOKUP($E92,武器奇术!$A:$R,15,FALSE)="武器",$E$15,0))</f>
        <v>8140.86</v>
      </c>
      <c r="AI92" s="101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AJ92" s="111">
        <f>$E$5+IF(VLOOKUP($E92,武器奇术!$A:$U,21,FALSE)=1,0,0.09)</f>
        <v>0.115</v>
      </c>
      <c r="AK92" s="109">
        <v>1</v>
      </c>
      <c r="AL92" s="112">
        <f t="shared" si="41"/>
        <v>12181.4130438</v>
      </c>
      <c r="AM92" s="110">
        <f>(1-IF(VLOOKUP($E92,武器奇术!$A:$T,20,FALSE)=1,1,$N92))*(1-$M92)</f>
        <v>0</v>
      </c>
      <c r="AN92" s="112">
        <f>AG92*(1+AI92)*(1+AJ92)*AK92*(1+$E$16+VLOOKUP($E92,武器奇术!$A:$R,8,FALSE))</f>
        <v>26068.223913732</v>
      </c>
      <c r="AO92" s="110">
        <f t="shared" si="4"/>
        <v>0.8813852</v>
      </c>
      <c r="AP92" s="112">
        <f>AH92*(1+AI92)*(1+AJ92)*AK92*(1+$E$17+VLOOKUP($E92,武器奇术!$A:$R,10,FALSE))</f>
        <v>16444.90760913</v>
      </c>
      <c r="AQ92" s="110">
        <f t="shared" si="5"/>
        <v>0.0986</v>
      </c>
      <c r="AR92" s="112">
        <f t="shared" si="6"/>
        <v>12181.4130438</v>
      </c>
      <c r="AS92" s="110">
        <f t="shared" si="7"/>
        <v>0.0200148</v>
      </c>
      <c r="AT92" s="113">
        <f t="shared" si="8"/>
        <v>24841.4231838987</v>
      </c>
      <c r="AU92" s="108">
        <f>$B$7*IF($G$5="撼天",1.05,1)+IF(AND(VLOOKUP($E92,武器奇术!$A:$R,15,FALSE)="武器",VLOOKUP($E92,武器奇术!$A:$R,17,FALSE)="鸣金"),$E$3,0)*(1+$E$15)</f>
        <v>0</v>
      </c>
      <c r="AV92" s="99">
        <f>(AU92+AW92)*IF(VLOOKUP($E92,武器奇术!$A:$Z,21,FALSE)=1,$G$15,0.5)</f>
        <v>0</v>
      </c>
      <c r="AW92" s="109">
        <f>MAX($C$7*IF($G$5="撼天",1.05,1)+IF(AND(VLOOKUP($E92,武器奇术!$A:$R,15,FALSE)="武器",VLOOKUP($E92,武器奇术!$A:$R,17,FALSE)="鸣金"),$E$3*(1+$E$15),0),AU92)</f>
        <v>0</v>
      </c>
      <c r="AX92" s="110">
        <f>IF(($D$7+IF(VLOOKUP($E92,武器奇术!$A:$R,17,FALSE)="鸣金",$D$15,0)+IF(VLOOKUP($E92,武器奇术!$A:$R,18,FALSE)=1,4,0)+IF(VLOOKUP($E92,武器奇术!$A:$S,19,FALSE)=1,20,0)-VLOOKUP($F$7,目标属性!$A:$R,6,FALSE))&gt;0,($D$7+IF(VLOOKUP($E92,武器奇术!$A:$R,17,FALSE)="鸣金",$D$15,0)+IF(VLOOKUP($E92,武器奇术!$A:$R,18,FALSE)=1,4,0)+IF(VLOOKUP($E92,武器奇术!$A:$S,19,FALSE)=1,20,0)-VLOOKUP($F$7,目标属性!$A:$R,6,FALSE))/200,($D$7+IF(VLOOKUP($E92,武器奇术!$A:$R,17,FALSE)="鸣金",$D$15,0)+IF(VLOOKUP($E92,武器奇术!$A:$R,18,FALSE)=1,4,0)+IF(VLOOKUP($E92,武器奇术!$A:$S,19,FALSE)=1,20,0)-VLOOKUP($F$7,目标属性!$A:$R,6,FALSE))/100)</f>
        <v>0</v>
      </c>
      <c r="AY92" s="111">
        <f t="shared" si="9"/>
        <v>0</v>
      </c>
      <c r="AZ92" s="109">
        <v>1</v>
      </c>
      <c r="BA92" s="112">
        <f>AU92*IF(VLOOKUP($E92,武器奇术!$A:$R,17,FALSE)="鸣金",VLOOKUP($E92,武器奇术!$A:$R,4,FALSE),VLOOKUP($E92,武器奇术!$A:$R,2,FALSE))*(1+AX92)*(1+AY92)*AZ92</f>
        <v>0</v>
      </c>
      <c r="BB92" s="110">
        <f>(1-IF(VLOOKUP($E92,武器奇术!$A:$T,20,FALSE)=1,1,$N92))*(1-$M92)</f>
        <v>0</v>
      </c>
      <c r="BC92" s="112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10">
        <f t="shared" si="10"/>
        <v>0.8813852</v>
      </c>
      <c r="BE92" s="112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10">
        <f t="shared" si="11"/>
        <v>0.0986</v>
      </c>
      <c r="BG92" s="112">
        <f>AV92*IF(VLOOKUP($E92,武器奇术!$A:$R,17,FALSE)="鸣金",VLOOKUP($E92,武器奇术!$A:$R,4,FALSE),VLOOKUP($E92,武器奇术!$A:$R,2,FALSE))*(1+AX92)*(1+AY92)*AZ92</f>
        <v>0</v>
      </c>
      <c r="BH92" s="110">
        <f t="shared" si="12"/>
        <v>0.0200148</v>
      </c>
      <c r="BI92" s="113">
        <f t="shared" si="13"/>
        <v>0</v>
      </c>
      <c r="BJ92" s="108">
        <f>$B$9*IF($G$5="撼天",1.05,1)+IF(AND(VLOOKUP($E92,武器奇术!$A:$R,15,FALSE)="武器",VLOOKUP($E92,武器奇术!$A:$R,17,FALSE)="裂石"),$E$3,0)*(1+$E$15)</f>
        <v>0</v>
      </c>
      <c r="BK92" s="99">
        <f>(BJ92+BL92)*IF(VLOOKUP($E92,武器奇术!$A:$Z,21,FALSE)=1,$G$15,0.5)</f>
        <v>0</v>
      </c>
      <c r="BL92" s="109">
        <f>MAX($C$9*IF($G$5="撼天",1.05,1)+IF(AND(VLOOKUP($E92,武器奇术!$A:$R,15,FALSE)="武器",VLOOKUP($E92,武器奇术!$A:$R,17,FALSE)="裂石"),$E$3*(1+$E$15),0),BJ92)</f>
        <v>0</v>
      </c>
      <c r="BM92" s="110">
        <f>IF(($D$9+IF(VLOOKUP($E92,武器奇术!$A:$R,17,FALSE)="裂石",$D$15,0)+IF(VLOOKUP($E92,武器奇术!$A:$R,18,FALSE)=1,4,0)+IF(VLOOKUP($E92,武器奇术!$A:$S,19,FALSE)=1,20,0)-VLOOKUP($F$7,目标属性!$A:$R,6,FALSE))&gt;0,($D$9+IF(VLOOKUP($E92,武器奇术!$A:$R,17,FALSE)="裂石",$D$15,0)+IF(VLOOKUP($E92,武器奇术!$A:$R,18,FALSE)=1,4,0)+IF(VLOOKUP($E92,武器奇术!$A:$S,19,FALSE)=1,20,0)-VLOOKUP($F$7,目标属性!$A:$R,6,FALSE))/200,($D$9+IF(VLOOKUP($E92,武器奇术!$A:$R,17,FALSE)="裂石",$D$15,0)+IF(VLOOKUP($E92,武器奇术!$A:$R,18,FALSE)=1,4,0)+IF(VLOOKUP($E92,武器奇术!$A:$S,19,FALSE)=1,20,0)-VLOOKUP($F$7,目标属性!$A:$R,6,FALSE))/100)</f>
        <v>0</v>
      </c>
      <c r="BN92" s="111">
        <f t="shared" si="14"/>
        <v>0</v>
      </c>
      <c r="BO92" s="109">
        <v>1</v>
      </c>
      <c r="BP92" s="112">
        <f>BJ92*IF(VLOOKUP($E92,武器奇术!$A:$R,17,FALSE)="裂石",VLOOKUP($E92,武器奇术!$A:$R,4,FALSE),VLOOKUP($E92,武器奇术!$A:$R,2,FALSE))*(1+BM92)*(1+BN92)*BO92</f>
        <v>0</v>
      </c>
      <c r="BQ92" s="110">
        <f>(1-IF(VLOOKUP($E92,武器奇术!$A:$T,20,FALSE)=1,1,$N92))*(1-$M92)</f>
        <v>0</v>
      </c>
      <c r="BR92" s="112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10">
        <f t="shared" si="15"/>
        <v>0.8813852</v>
      </c>
      <c r="BT92" s="112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10">
        <f t="shared" si="16"/>
        <v>0.0986</v>
      </c>
      <c r="BV92" s="112">
        <f>BK92*IF(VLOOKUP($E92,武器奇术!$A:$R,17,FALSE)="裂石",VLOOKUP($E92,武器奇术!$A:$R,4,FALSE),VLOOKUP($E92,武器奇术!$A:$R,2,FALSE))*(1+BM92)*(1+BN92)*BO92</f>
        <v>0</v>
      </c>
      <c r="BW92" s="110">
        <f t="shared" si="17"/>
        <v>0.0200148</v>
      </c>
      <c r="BX92" s="113">
        <f t="shared" si="18"/>
        <v>0</v>
      </c>
      <c r="BY92" s="108">
        <f>$B$11*IF($G$5="撼天",1.05,1)+IF(AND(VLOOKUP($E92,武器奇术!$A:$R,15,FALSE)="武器",VLOOKUP($E92,武器奇术!$A:$R,17,FALSE)="牵丝"),$E$3,0)*(1+$E$15)</f>
        <v>0</v>
      </c>
      <c r="BZ92" s="99">
        <f>(BY92+CA92)*IF(VLOOKUP($E92,武器奇术!$A:$Z,21,FALSE)=1,$G$15,0.5)</f>
        <v>0</v>
      </c>
      <c r="CA92" s="109">
        <f>MAX($C$11*IF($G$5="撼天",1.05,1)+IF(AND(VLOOKUP($E92,武器奇术!$A:$R,15,FALSE)="武器",VLOOKUP($E92,武器奇术!$A:$R,17,FALSE)="牵丝"),$E$3*(1+$E$15),0),BY92)</f>
        <v>0</v>
      </c>
      <c r="CB92" s="110">
        <f>IF(($D$11+IF(VLOOKUP($E92,武器奇术!$A:$R,17,FALSE)="牵丝",$D$15,0)+IF(VLOOKUP($E92,武器奇术!$A:$R,18,FALSE)=1,4,0)+IF(VLOOKUP($E92,武器奇术!$A:$S,19,FALSE)=1,20,0)-VLOOKUP($F$7,目标属性!$A:$R,6,FALSE))&gt;0,($D$11+IF(VLOOKUP($E92,武器奇术!$A:$R,17,FALSE)="牵丝",$D$15,0)+IF(VLOOKUP($E92,武器奇术!$A:$R,18,FALSE)=1,4,0)+IF(VLOOKUP($E92,武器奇术!$A:$S,19,FALSE)=1,20,0)-VLOOKUP($F$7,目标属性!$A:$R,6,FALSE))/200,($D$11+IF(VLOOKUP($E92,武器奇术!$A:$R,17,FALSE)="牵丝",$D$15,0)+IF(VLOOKUP($E92,武器奇术!$A:$R,18,FALSE)=1,4,0)+IF(VLOOKUP($E92,武器奇术!$A:$S,19,FALSE)=1,20,0)-VLOOKUP($F$7,目标属性!$A:$R,6,FALSE))/100)</f>
        <v>0</v>
      </c>
      <c r="CC92" s="111">
        <f t="shared" si="19"/>
        <v>0</v>
      </c>
      <c r="CD92" s="109">
        <v>1</v>
      </c>
      <c r="CE92" s="112">
        <f>BY92*IF(VLOOKUP($E92,武器奇术!$A:$R,17,FALSE)="牵丝",VLOOKUP($E92,武器奇术!$A:$R,4,FALSE),VLOOKUP($E92,武器奇术!$A:$R,2,FALSE))*(1+CB92)*(1+CC92)*CD92</f>
        <v>0</v>
      </c>
      <c r="CF92" s="110">
        <f>(1-IF(VLOOKUP($E92,武器奇术!$A:$T,20,FALSE)=1,1,$N92))*(1-$M92)</f>
        <v>0</v>
      </c>
      <c r="CG92" s="112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110">
        <f t="shared" si="20"/>
        <v>0.8813852</v>
      </c>
      <c r="CI92" s="112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110">
        <f t="shared" si="21"/>
        <v>0.0986</v>
      </c>
      <c r="CK92" s="112">
        <f>BZ92*IF(VLOOKUP($E92,武器奇术!$A:$R,17,FALSE)="牵丝",VLOOKUP($E92,武器奇术!$A:$R,4,FALSE),VLOOKUP($E92,武器奇术!$A:$R,2,FALSE))*(1+CB92)*(1+CC92)*CD92</f>
        <v>0</v>
      </c>
      <c r="CL92" s="110">
        <f t="shared" si="22"/>
        <v>0.0200148</v>
      </c>
      <c r="CM92" s="113">
        <f t="shared" si="23"/>
        <v>0</v>
      </c>
      <c r="CN92" s="108">
        <f>$B$13*IF($G$5="撼天",1.05,1)+IF(AND(VLOOKUP($E92,武器奇术!$A:$R,15,FALSE)="武器",VLOOKUP($E92,武器奇术!$A:$R,17,FALSE)="破竹"),$E$3,0)*(1+$E$15)</f>
        <v>648.46</v>
      </c>
      <c r="CO92" s="99">
        <f>IF(VLOOKUP($E92,武器奇术!$A:$Z,20,FALSE)=1,(CP92-(CN92+CP92)*0.5)*($G$15-0.5)*2+(CN92+CP92)*0.5,(CN92+CP92)*0.5)</f>
        <v>875.26</v>
      </c>
      <c r="CP92" s="109">
        <f>MAX($C$13*IF($G$5="撼天",1.05,1)+IF(AND(VLOOKUP($E92,武器奇术!$A:$R,15,FALSE)="武器",VLOOKUP($E92,武器奇术!$A:$R,17,FALSE)="破竹"),$E$3*(1+$E$15),0),CN92)</f>
        <v>1102.06</v>
      </c>
      <c r="CQ92" s="110">
        <f>IF(($D$13+IF(VLOOKUP($E92,武器奇术!$A:$R,17,FALSE)="破竹",$D$15,0)+IF(VLOOKUP($E92,武器奇术!$A:$R,18,FALSE)=1,4,0)+IF(VLOOKUP($E92,武器奇术!$A:$S,19,FALSE)=1,20,0)-VLOOKUP($F$7,目标属性!$A:$R,6,FALSE))&gt;0,($D$13+IF(VLOOKUP($E92,武器奇术!$A:$R,17,FALSE)="破竹",$D$15,0)+IF(VLOOKUP($E92,武器奇术!$A:$R,18,FALSE)=1,4,0)+IF(VLOOKUP($E92,武器奇术!$A:$S,19,FALSE)=1,20,0)-VLOOKUP($F$7,目标属性!$A:$R,6,FALSE))/200,($D$13+IF(VLOOKUP($E92,武器奇术!$A:$R,17,FALSE)="破竹",$D$15,0)+IF(VLOOKUP($E92,武器奇术!$A:$R,18,FALSE)=1,4,0)+IF(VLOOKUP($E92,武器奇术!$A:$S,19,FALSE)=1,20,0)-VLOOKUP($F$7,目标属性!$A:$R,6,FALSE))/100)</f>
        <v>0.145</v>
      </c>
      <c r="CR92" s="111">
        <f>$E$13+IF(VLOOKUP($E92,武器奇术!$A:$U,21,FALSE)=1,0,0.09)</f>
        <v>0.235</v>
      </c>
      <c r="CS92" s="109">
        <v>1</v>
      </c>
      <c r="CT92" s="112">
        <f>CN92*IF(VLOOKUP($E92,武器奇术!$A:$R,17,FALSE)="破竹",VLOOKUP($E92,武器奇术!$A:$R,4,FALSE),VLOOKUP($E92,武器奇术!$A:$R,2,FALSE))*(1+CQ92)*(1+CR92)*CS92</f>
        <v>31157.741801014</v>
      </c>
      <c r="CU92" s="110">
        <f>(1-IF(VLOOKUP($E92,武器奇术!$A:$T,20,FALSE)=1,1,$N92))*(1-$M92)</f>
        <v>0</v>
      </c>
      <c r="CV92" s="112">
        <f>CO92*IF(VLOOKUP($E92,武器奇术!$A:$R,17,FALSE)="破竹",VLOOKUP($E92,武器奇术!$A:$R,4,FALSE),VLOOKUP($E92,武器奇术!$A:$R,2,FALSE))*(1+CQ92)*(1+CR92)*CS92*(1+$E$16+VLOOKUP($E92,武器奇术!$A:$R,8,FALSE))</f>
        <v>89998.16132057</v>
      </c>
      <c r="CW92" s="110">
        <f t="shared" si="24"/>
        <v>0.8813852</v>
      </c>
      <c r="CX92" s="112">
        <f>CP92*IF(VLOOKUP($E92,武器奇术!$A:$R,17,FALSE)="破竹",VLOOKUP($E92,武器奇术!$A:$R,4,FALSE),VLOOKUP($E92,武器奇术!$A:$R,2,FALSE))*(1+CQ92)*(1+CR92)*CS92*(1+$E$17+VLOOKUP($E92,武器奇术!$A:$R,10,FALSE))</f>
        <v>71486.1306086026</v>
      </c>
      <c r="CY92" s="110">
        <f t="shared" si="25"/>
        <v>0.0986</v>
      </c>
      <c r="CZ92" s="112">
        <f>CO92*IF(VLOOKUP($E92,武器奇术!$A:$R,17,FALSE)="破竹",VLOOKUP($E92,武器奇术!$A:$R,4,FALSE),VLOOKUP($E92,武器奇术!$A:$R,2,FALSE))*(1+CQ92)*(1+CR92)*CS92</f>
        <v>42055.2155703598</v>
      </c>
      <c r="DA92" s="110">
        <f t="shared" si="26"/>
        <v>0.0200148</v>
      </c>
      <c r="DB92" s="113">
        <f t="shared" si="27"/>
        <v>87213.3066217687</v>
      </c>
      <c r="DC92" s="108">
        <f t="shared" si="36"/>
        <v>69.3</v>
      </c>
      <c r="DD92" s="99">
        <f>(DC92+DE92)*IF(VLOOKUP($E92,武器奇术!$A:$Z,21,FALSE)=1,$G$15,0.5)</f>
        <v>69.3</v>
      </c>
      <c r="DE92" s="109">
        <f t="shared" si="37"/>
        <v>69.3</v>
      </c>
      <c r="DF92" s="110">
        <f>IF(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100)</f>
        <v>0.145</v>
      </c>
      <c r="DG92" s="111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U,21,FALSE)=1,0,0.09)</f>
        <v>0.235</v>
      </c>
      <c r="DH92" s="109">
        <v>1</v>
      </c>
      <c r="DI92" s="112">
        <f>DC92*IF(VLOOKUP($E92,武器奇术!$A:$R,17,FALSE)="破竹",VLOOKUP($E92,武器奇术!$A:$R,4,FALSE),VLOOKUP($E92,武器奇术!$A:$R,2,FALSE))*(1+DF92)*(1+DG92)*DH92</f>
        <v>3329.78365174455</v>
      </c>
      <c r="DJ92" s="110">
        <f>(1-IF(VLOOKUP($E92,武器奇术!$A:$T,20,FALSE)=1,1,$N92))*(1-$M92)</f>
        <v>0</v>
      </c>
      <c r="DK92" s="112">
        <f>DD92*IF(VLOOKUP($E92,武器奇术!$A:$R,17,FALSE)="破竹",VLOOKUP($E92,武器奇术!$A:$R,4,FALSE),VLOOKUP($E92,武器奇术!$A:$R,2,FALSE))*(1+DF92)*(1+DG92)*DH92*(1+$E$16+VLOOKUP($E92,武器奇术!$A:$R,8,FALSE))</f>
        <v>7125.73701473334</v>
      </c>
      <c r="DL92" s="110">
        <f t="shared" si="28"/>
        <v>0.8813852</v>
      </c>
      <c r="DM92" s="112">
        <f>DE92*IF(VLOOKUP($E92,武器奇术!$A:$R,17,FALSE)="破竹",VLOOKUP($E92,武器奇术!$A:$R,4,FALSE),VLOOKUP($E92,武器奇术!$A:$R,2,FALSE))*(1+DF92)*(1+DG92)*DH92*(1+$E$17+VLOOKUP($E92,武器奇术!$A:$R,10,FALSE))</f>
        <v>4495.20792985514</v>
      </c>
      <c r="DN92" s="110">
        <f t="shared" si="29"/>
        <v>0.0986</v>
      </c>
      <c r="DO92" s="112">
        <f>DD92*IF(VLOOKUP($E92,武器奇术!$A:$R,17,FALSE)="破竹",VLOOKUP($E92,武器奇术!$A:$R,4,FALSE),VLOOKUP($E92,武器奇术!$A:$R,2,FALSE))*(1+DF92)*(1+DG92)*DH92</f>
        <v>3329.78365174455</v>
      </c>
      <c r="DP92" s="110">
        <f t="shared" si="30"/>
        <v>0.0200148</v>
      </c>
      <c r="DQ92" s="113">
        <f t="shared" si="31"/>
        <v>6790.3915995948</v>
      </c>
    </row>
    <row r="93" spans="1:121">
      <c r="A93" s="36"/>
      <c r="B93" t="s">
        <v>163</v>
      </c>
      <c r="C93">
        <v>1.13</v>
      </c>
      <c r="E93" s="98" t="s">
        <v>171</v>
      </c>
      <c r="F93" s="99">
        <v>1</v>
      </c>
      <c r="G93" s="115"/>
      <c r="H93" s="149">
        <f>IF(VLOOKUP($E93,武器奇术!$A:$R,18,FALSE)="天工",AE93,(AE93+AT93+BI93+BX93+CM93+DB93+DQ93))*(1+J93)*F93*K93*(1+G93)*(1+$G$21*5%)</f>
        <v>694388.564390061</v>
      </c>
      <c r="I93" s="101">
        <f t="shared" si="0"/>
        <v>0.085731235495249</v>
      </c>
      <c r="J93" s="101">
        <f>$F$3+VLOOKUP($E93,武器奇术!$A:$R,12,FALSE)+VLOOKUP($E93,武器奇术!$A:$R,14,FALSE)*$G$3+$P93</f>
        <v>1.003</v>
      </c>
      <c r="K93" s="102">
        <f>VLOOKUP($E93,武器奇术!$A:$R,11,FALSE)</f>
        <v>1</v>
      </c>
      <c r="L93" s="117">
        <f>IF(VLOOKUP($E93,武器奇术!$A:$R,15,FALSE)="天工",0%,IF($C$17+VLOOKUP($E93,武器奇术!$A:$R,7,FALSE)&gt;80%,80%,$C$17+VLOOKUP($E93,武器奇术!$A:$R,7,FALSE))+IF($C$19&gt;20%,20%,$C$19))</f>
        <v>0.892</v>
      </c>
      <c r="M93" s="118">
        <f>IF(VLOOKUP($E93,武器奇术!$A:$R,15,FALSE)="天工",0%,IF($C$18+VLOOKUP($E93,武器奇术!$A:$R,9,FALSE)&gt;40%,40%,$C$18+VLOOKUP($E93,武器奇术!$A:$R,9,FALSE))+IF($C$20&gt;10%,10%,$C$20))</f>
        <v>0.0986</v>
      </c>
      <c r="N93" s="119">
        <f>IF(VLOOKUP($E93,武器奇术!$A:$R,15,FALSE)="天工",100%,MIN($C$16,1))</f>
        <v>0.9881</v>
      </c>
      <c r="O93" s="120" t="str">
        <f>VLOOKUP($E93,武器奇术!$A:$R,16,FALSE)</f>
        <v>单体奇术</v>
      </c>
      <c r="P93" s="121">
        <f t="shared" si="38"/>
        <v>0</v>
      </c>
      <c r="Q93" s="108">
        <f>$B$5*(1+VLOOKUP($E93,武器奇术!$A:$R,5,FALSE)+IF($G$5="飞隼",0.1,0)+IF($G$5="撼天",0.05,0))-$F$9+IF($I$5="√",160,0)</f>
        <v>1731.135</v>
      </c>
      <c r="R93" s="99">
        <f>IF(VLOOKUP($E93,武器奇术!$A:$Z,20,FALSE)=1,(S93-(Q93+S93)*0.5)*($G$15-0.5)*2+(Q93+S93)*0.5,(Q93+S93)*0.5)</f>
        <v>3256.775</v>
      </c>
      <c r="S93" s="109">
        <f>MAX($C$5,$B$5)*(1+VLOOKUP($E93,武器奇术!$A:$R,5,FALSE)+IF($G$5="飞隼",0.1,0)+IF($G$5="撼天",0.05,0))-$F$9+IF($I$5="√",320,0)</f>
        <v>4782.415</v>
      </c>
      <c r="T93" s="101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U93" s="111">
        <f>$E$5+IF(VLOOKUP($E93,武器奇术!$A:$U,21,FALSE)=1,0,0.09)</f>
        <v>0.115</v>
      </c>
      <c r="V93" s="109">
        <v>1</v>
      </c>
      <c r="W93" s="112">
        <f>Q93*VLOOKUP($E93,武器奇术!$A:$R,2,FALSE)*(1+T93)*(1+U93)*V93</f>
        <v>60409.9390180686</v>
      </c>
      <c r="X93" s="110">
        <f>(1-IF(VLOOKUP($E93,武器奇术!$A:$T,20,FALSE)=1,1,$N93))*(1-$M93)</f>
        <v>0.01072666</v>
      </c>
      <c r="Y93" s="112">
        <f>R93*VLOOKUP($E93,武器奇术!$A:$R,2,FALSE)*(1+T93)*(1+U93)*V93*(1+$E$16+VLOOKUP($E93,武器奇术!$A:$R,8,FALSE))</f>
        <v>186384.18713661</v>
      </c>
      <c r="Z93" s="110">
        <f t="shared" si="39"/>
        <v>0.8813852</v>
      </c>
      <c r="AA93" s="112">
        <f>S93*VLOOKUP($E93,武器奇术!$A:$R,2,FALSE)*(1+T93)*(1+U93)*V93*(1+$E$17+VLOOKUP($E93,武器奇术!$A:$R,10,FALSE))</f>
        <v>225298.597733441</v>
      </c>
      <c r="AB93" s="110">
        <f t="shared" si="40"/>
        <v>0.0986</v>
      </c>
      <c r="AC93" s="112">
        <f>R93*VLOOKUP($E93,武器奇术!$A:$R,2,FALSE)*(1+T93)*(1+U93)*V93</f>
        <v>113648.894595494</v>
      </c>
      <c r="AD93" s="110">
        <f t="shared" si="1"/>
        <v>0.00928814000000003</v>
      </c>
      <c r="AE93" s="113">
        <f t="shared" si="2"/>
        <v>188194.289513071</v>
      </c>
      <c r="AF93" s="114">
        <f>VLOOKUP($E93,武器奇术!$A:$R,3,FALSE)*(1+IF(VLOOKUP($E93,武器奇术!$A:$R,15,FALSE)="武器",$E$15,0))</f>
        <v>4521.44</v>
      </c>
      <c r="AG93" s="112">
        <f t="shared" si="3"/>
        <v>4521.44</v>
      </c>
      <c r="AH93" s="112">
        <f>VLOOKUP($E93,武器奇术!$A:$R,3,FALSE)*(1+IF(VLOOKUP($E93,武器奇术!$A:$R,15,FALSE)="武器",$E$15,0))</f>
        <v>4521.44</v>
      </c>
      <c r="AI93" s="101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AJ93" s="111">
        <f>$E$5+IF(VLOOKUP($E93,武器奇术!$A:$U,21,FALSE)=1,0,0.09)</f>
        <v>0.115</v>
      </c>
      <c r="AK93" s="109">
        <v>1</v>
      </c>
      <c r="AL93" s="112">
        <f t="shared" si="41"/>
        <v>6261.4257552</v>
      </c>
      <c r="AM93" s="110">
        <f>(1-IF(VLOOKUP($E93,武器奇术!$A:$T,20,FALSE)=1,1,$N93))*(1-$M93)</f>
        <v>0.01072666</v>
      </c>
      <c r="AN93" s="112">
        <f>AG93*(1+AI93)*(1+AJ93)*AK93*(1+$E$16+VLOOKUP($E93,武器奇术!$A:$R,8,FALSE))</f>
        <v>10268.738238528</v>
      </c>
      <c r="AO93" s="110">
        <f t="shared" si="4"/>
        <v>0.8813852</v>
      </c>
      <c r="AP93" s="112">
        <f>AH93*(1+AI93)*(1+AJ93)*AK93*(1+$E$17+VLOOKUP($E93,武器奇术!$A:$R,10,FALSE))</f>
        <v>8452.92476952</v>
      </c>
      <c r="AQ93" s="110">
        <f t="shared" si="5"/>
        <v>0.0986</v>
      </c>
      <c r="AR93" s="112">
        <f t="shared" si="6"/>
        <v>6261.4257552</v>
      </c>
      <c r="AS93" s="110">
        <f t="shared" si="7"/>
        <v>0.00928814000000003</v>
      </c>
      <c r="AT93" s="113">
        <f t="shared" si="8"/>
        <v>10009.4934725925</v>
      </c>
      <c r="AU93" s="108">
        <f>$B$7*IF($G$5="撼天",1.05,1)+IF(AND(VLOOKUP($E93,武器奇术!$A:$R,15,FALSE)="武器",VLOOKUP($E93,武器奇术!$A:$R,17,FALSE)="鸣金"),$E$3,0)*(1+$E$15)</f>
        <v>0</v>
      </c>
      <c r="AV93" s="99">
        <f>(AU93+AW93)*IF(VLOOKUP($E93,武器奇术!$A:$Z,21,FALSE)=1,$G$15,0.5)</f>
        <v>0</v>
      </c>
      <c r="AW93" s="109">
        <f>MAX($C$7*IF($G$5="撼天",1.05,1)+IF(AND(VLOOKUP($E93,武器奇术!$A:$R,15,FALSE)="武器",VLOOKUP($E93,武器奇术!$A:$R,17,FALSE)="鸣金"),$E$3*(1+$E$15),0),AU93)</f>
        <v>0</v>
      </c>
      <c r="AX93" s="110">
        <f>IF(($D$7+IF(VLOOKUP($E93,武器奇术!$A:$R,17,FALSE)="鸣金",$D$15,0)+IF(VLOOKUP($E93,武器奇术!$A:$R,18,FALSE)=1,4,0)+IF(VLOOKUP($E93,武器奇术!$A:$S,19,FALSE)=1,20,0)-VLOOKUP($F$7,目标属性!$A:$R,6,FALSE))&gt;0,($D$7+IF(VLOOKUP($E93,武器奇术!$A:$R,17,FALSE)="鸣金",$D$15,0)+IF(VLOOKUP($E93,武器奇术!$A:$R,18,FALSE)=1,4,0)+IF(VLOOKUP($E93,武器奇术!$A:$S,19,FALSE)=1,20,0)-VLOOKUP($F$7,目标属性!$A:$R,6,FALSE))/200,($D$7+IF(VLOOKUP($E93,武器奇术!$A:$R,17,FALSE)="鸣金",$D$15,0)+IF(VLOOKUP($E93,武器奇术!$A:$R,18,FALSE)=1,4,0)+IF(VLOOKUP($E93,武器奇术!$A:$S,19,FALSE)=1,20,0)-VLOOKUP($F$7,目标属性!$A:$R,6,FALSE))/100)</f>
        <v>-0.24</v>
      </c>
      <c r="AY93" s="111">
        <f t="shared" si="9"/>
        <v>0</v>
      </c>
      <c r="AZ93" s="109">
        <v>1</v>
      </c>
      <c r="BA93" s="112">
        <f>AU93*IF(VLOOKUP($E93,武器奇术!$A:$R,17,FALSE)="鸣金",VLOOKUP($E93,武器奇术!$A:$R,4,FALSE),VLOOKUP($E93,武器奇术!$A:$R,2,FALSE))*(1+AX93)*(1+AY93)*AZ93</f>
        <v>0</v>
      </c>
      <c r="BB93" s="110">
        <f>(1-IF(VLOOKUP($E93,武器奇术!$A:$T,20,FALSE)=1,1,$N93))*(1-$M93)</f>
        <v>0.01072666</v>
      </c>
      <c r="BC93" s="112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10">
        <f t="shared" si="10"/>
        <v>0.8813852</v>
      </c>
      <c r="BE93" s="112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10">
        <f t="shared" si="11"/>
        <v>0.0986</v>
      </c>
      <c r="BG93" s="112">
        <f>AV93*IF(VLOOKUP($E93,武器奇术!$A:$R,17,FALSE)="鸣金",VLOOKUP($E93,武器奇术!$A:$R,4,FALSE),VLOOKUP($E93,武器奇术!$A:$R,2,FALSE))*(1+AX93)*(1+AY93)*AZ93</f>
        <v>0</v>
      </c>
      <c r="BH93" s="110">
        <f t="shared" si="12"/>
        <v>0.00928814000000003</v>
      </c>
      <c r="BI93" s="113">
        <f t="shared" si="13"/>
        <v>0</v>
      </c>
      <c r="BJ93" s="108">
        <f>$B$9*IF($G$5="撼天",1.05,1)+IF(AND(VLOOKUP($E93,武器奇术!$A:$R,15,FALSE)="武器",VLOOKUP($E93,武器奇术!$A:$R,17,FALSE)="裂石"),$E$3,0)*(1+$E$15)</f>
        <v>0</v>
      </c>
      <c r="BK93" s="99">
        <f>(BJ93+BL93)*IF(VLOOKUP($E93,武器奇术!$A:$Z,21,FALSE)=1,$G$15,0.5)</f>
        <v>0</v>
      </c>
      <c r="BL93" s="109">
        <f>MAX($C$9*IF($G$5="撼天",1.05,1)+IF(AND(VLOOKUP($E93,武器奇术!$A:$R,15,FALSE)="武器",VLOOKUP($E93,武器奇术!$A:$R,17,FALSE)="裂石"),$E$3*(1+$E$15),0),BJ93)</f>
        <v>0</v>
      </c>
      <c r="BM93" s="110">
        <f>IF(($D$9+IF(VLOOKUP($E93,武器奇术!$A:$R,17,FALSE)="裂石",$D$15,0)+IF(VLOOKUP($E93,武器奇术!$A:$R,18,FALSE)=1,4,0)+IF(VLOOKUP($E93,武器奇术!$A:$S,19,FALSE)=1,20,0)-VLOOKUP($F$7,目标属性!$A:$R,6,FALSE))&gt;0,($D$9+IF(VLOOKUP($E93,武器奇术!$A:$R,17,FALSE)="裂石",$D$15,0)+IF(VLOOKUP($E93,武器奇术!$A:$R,18,FALSE)=1,4,0)+IF(VLOOKUP($E93,武器奇术!$A:$S,19,FALSE)=1,20,0)-VLOOKUP($F$7,目标属性!$A:$R,6,FALSE))/200,($D$9+IF(VLOOKUP($E93,武器奇术!$A:$R,17,FALSE)="裂石",$D$15,0)+IF(VLOOKUP($E93,武器奇术!$A:$R,18,FALSE)=1,4,0)+IF(VLOOKUP($E93,武器奇术!$A:$S,19,FALSE)=1,20,0)-VLOOKUP($F$7,目标属性!$A:$R,6,FALSE))/100)</f>
        <v>-0.24</v>
      </c>
      <c r="BN93" s="111">
        <f t="shared" si="14"/>
        <v>0</v>
      </c>
      <c r="BO93" s="109">
        <v>1</v>
      </c>
      <c r="BP93" s="112">
        <f>BJ93*IF(VLOOKUP($E93,武器奇术!$A:$R,17,FALSE)="裂石",VLOOKUP($E93,武器奇术!$A:$R,4,FALSE),VLOOKUP($E93,武器奇术!$A:$R,2,FALSE))*(1+BM93)*(1+BN93)*BO93</f>
        <v>0</v>
      </c>
      <c r="BQ93" s="110">
        <f>(1-IF(VLOOKUP($E93,武器奇术!$A:$T,20,FALSE)=1,1,$N93))*(1-$M93)</f>
        <v>0.01072666</v>
      </c>
      <c r="BR93" s="112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10">
        <f t="shared" si="15"/>
        <v>0.8813852</v>
      </c>
      <c r="BT93" s="112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10">
        <f t="shared" si="16"/>
        <v>0.0986</v>
      </c>
      <c r="BV93" s="112">
        <f>BK93*IF(VLOOKUP($E93,武器奇术!$A:$R,17,FALSE)="裂石",VLOOKUP($E93,武器奇术!$A:$R,4,FALSE),VLOOKUP($E93,武器奇术!$A:$R,2,FALSE))*(1+BM93)*(1+BN93)*BO93</f>
        <v>0</v>
      </c>
      <c r="BW93" s="110">
        <f t="shared" si="17"/>
        <v>0.00928814000000003</v>
      </c>
      <c r="BX93" s="113">
        <f t="shared" si="18"/>
        <v>0</v>
      </c>
      <c r="BY93" s="108">
        <f>$B$11*IF($G$5="撼天",1.05,1)+IF(AND(VLOOKUP($E93,武器奇术!$A:$R,15,FALSE)="武器",VLOOKUP($E93,武器奇术!$A:$R,17,FALSE)="牵丝"),$E$3,0)*(1+$E$15)</f>
        <v>0</v>
      </c>
      <c r="BZ93" s="99">
        <f>(BY93+CA93)*IF(VLOOKUP($E93,武器奇术!$A:$Z,21,FALSE)=1,$G$15,0.5)</f>
        <v>0</v>
      </c>
      <c r="CA93" s="109">
        <f>MAX($C$11*IF($G$5="撼天",1.05,1)+IF(AND(VLOOKUP($E93,武器奇术!$A:$R,15,FALSE)="武器",VLOOKUP($E93,武器奇术!$A:$R,17,FALSE)="牵丝"),$E$3*(1+$E$15),0),BY93)</f>
        <v>0</v>
      </c>
      <c r="CB93" s="110">
        <f>IF(($D$11+IF(VLOOKUP($E93,武器奇术!$A:$R,17,FALSE)="牵丝",$D$15,0)+IF(VLOOKUP($E93,武器奇术!$A:$R,18,FALSE)=1,4,0)+IF(VLOOKUP($E93,武器奇术!$A:$S,19,FALSE)=1,20,0)-VLOOKUP($F$7,目标属性!$A:$R,6,FALSE))&gt;0,($D$11+IF(VLOOKUP($E93,武器奇术!$A:$R,17,FALSE)="牵丝",$D$15,0)+IF(VLOOKUP($E93,武器奇术!$A:$R,18,FALSE)=1,4,0)+IF(VLOOKUP($E93,武器奇术!$A:$S,19,FALSE)=1,20,0)-VLOOKUP($F$7,目标属性!$A:$R,6,FALSE))/200,($D$11+IF(VLOOKUP($E93,武器奇术!$A:$R,17,FALSE)="牵丝",$D$15,0)+IF(VLOOKUP($E93,武器奇术!$A:$R,18,FALSE)=1,4,0)+IF(VLOOKUP($E93,武器奇术!$A:$S,19,FALSE)=1,20,0)-VLOOKUP($F$7,目标属性!$A:$R,6,FALSE))/100)</f>
        <v>-0.24</v>
      </c>
      <c r="CC93" s="111">
        <f t="shared" si="19"/>
        <v>0</v>
      </c>
      <c r="CD93" s="109">
        <v>1</v>
      </c>
      <c r="CE93" s="112">
        <f>BY93*IF(VLOOKUP($E93,武器奇术!$A:$R,17,FALSE)="牵丝",VLOOKUP($E93,武器奇术!$A:$R,4,FALSE),VLOOKUP($E93,武器奇术!$A:$R,2,FALSE))*(1+CB93)*(1+CC93)*CD93</f>
        <v>0</v>
      </c>
      <c r="CF93" s="110">
        <f>(1-IF(VLOOKUP($E93,武器奇术!$A:$T,20,FALSE)=1,1,$N93))*(1-$M93)</f>
        <v>0.01072666</v>
      </c>
      <c r="CG93" s="112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110">
        <f t="shared" si="20"/>
        <v>0.8813852</v>
      </c>
      <c r="CI93" s="112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110">
        <f t="shared" si="21"/>
        <v>0.0986</v>
      </c>
      <c r="CK93" s="112">
        <f>BZ93*IF(VLOOKUP($E93,武器奇术!$A:$R,17,FALSE)="牵丝",VLOOKUP($E93,武器奇术!$A:$R,4,FALSE),VLOOKUP($E93,武器奇术!$A:$R,2,FALSE))*(1+CB93)*(1+CC93)*CD93</f>
        <v>0</v>
      </c>
      <c r="CL93" s="110">
        <f t="shared" si="22"/>
        <v>0.00928814000000003</v>
      </c>
      <c r="CM93" s="113">
        <f t="shared" si="23"/>
        <v>0</v>
      </c>
      <c r="CN93" s="108">
        <f>$B$13*IF($G$5="撼天",1.05,1)+IF(AND(VLOOKUP($E93,武器奇术!$A:$R,15,FALSE)="武器",VLOOKUP($E93,武器奇术!$A:$R,17,FALSE)="破竹"),$E$3,0)*(1+$E$15)</f>
        <v>452.55</v>
      </c>
      <c r="CO93" s="99">
        <f>IF(VLOOKUP($E93,武器奇术!$A:$Z,20,FALSE)=1,(CP93-(CN93+CP93)*0.5)*($G$15-0.5)*2+(CN93+CP93)*0.5,(CN93+CP93)*0.5)</f>
        <v>679.35</v>
      </c>
      <c r="CP93" s="109">
        <f>MAX($C$13*IF($G$5="撼天",1.05,1)+IF(AND(VLOOKUP($E93,武器奇术!$A:$R,15,FALSE)="武器",VLOOKUP($E93,武器奇术!$A:$R,17,FALSE)="破竹"),$E$3*(1+$E$15),0),CN93)</f>
        <v>906.15</v>
      </c>
      <c r="CQ93" s="110">
        <f>IF(($D$13+IF(VLOOKUP($E93,武器奇术!$A:$R,17,FALSE)="破竹",$D$15,0)+IF(VLOOKUP($E93,武器奇术!$A:$R,18,FALSE)=1,4,0)+IF(VLOOKUP($E93,武器奇术!$A:$S,19,FALSE)=1,20,0)-VLOOKUP($F$7,目标属性!$A:$R,6,FALSE))&gt;0,($D$13+IF(VLOOKUP($E93,武器奇术!$A:$R,17,FALSE)="破竹",$D$15,0)+IF(VLOOKUP($E93,武器奇术!$A:$R,18,FALSE)=1,4,0)+IF(VLOOKUP($E93,武器奇术!$A:$S,19,FALSE)=1,20,0)-VLOOKUP($F$7,目标属性!$A:$R,6,FALSE))/200,($D$13+IF(VLOOKUP($E93,武器奇术!$A:$R,17,FALSE)="破竹",$D$15,0)+IF(VLOOKUP($E93,武器奇术!$A:$R,18,FALSE)=1,4,0)+IF(VLOOKUP($E93,武器奇术!$A:$S,19,FALSE)=1,20,0)-VLOOKUP($F$7,目标属性!$A:$R,6,FALSE))/100)</f>
        <v>0.025</v>
      </c>
      <c r="CR93" s="111">
        <f>$E$13+IF(VLOOKUP($E93,武器奇术!$A:$U,21,FALSE)=1,0,0.09)</f>
        <v>0.235</v>
      </c>
      <c r="CS93" s="109">
        <v>1</v>
      </c>
      <c r="CT93" s="112">
        <f>CN93*IF(VLOOKUP($E93,武器奇术!$A:$R,17,FALSE)="破竹",VLOOKUP($E93,武器奇术!$A:$R,4,FALSE),VLOOKUP($E93,武器奇术!$A:$R,2,FALSE))*(1+CQ93)*(1+CR93)*CS93</f>
        <v>21653.5769864351</v>
      </c>
      <c r="CU93" s="110">
        <f>(1-IF(VLOOKUP($E93,武器奇术!$A:$T,20,FALSE)=1,1,$N93))*(1-$M93)</f>
        <v>0.01072666</v>
      </c>
      <c r="CV93" s="112">
        <f>CO93*IF(VLOOKUP($E93,武器奇术!$A:$R,17,FALSE)="破竹",VLOOKUP($E93,武器奇术!$A:$R,4,FALSE),VLOOKUP($E93,武器奇术!$A:$R,2,FALSE))*(1+CQ93)*(1+CR93)*CS93*(1+$E$16+VLOOKUP($E93,武器奇术!$A:$R,8,FALSE))</f>
        <v>53308.9964472543</v>
      </c>
      <c r="CW93" s="110">
        <f t="shared" si="24"/>
        <v>0.8813852</v>
      </c>
      <c r="CX93" s="112">
        <f>CP93*IF(VLOOKUP($E93,武器奇术!$A:$R,17,FALSE)="破竹",VLOOKUP($E93,武器奇术!$A:$R,4,FALSE),VLOOKUP($E93,武器奇术!$A:$R,2,FALSE))*(1+CQ93)*(1+CR93)*CS93*(1+$E$17+VLOOKUP($E93,武器奇术!$A:$R,10,FALSE))</f>
        <v>58532.4822924507</v>
      </c>
      <c r="CY93" s="110">
        <f t="shared" si="25"/>
        <v>0.0986</v>
      </c>
      <c r="CZ93" s="112">
        <f>CO93*IF(VLOOKUP($E93,武器奇术!$A:$R,17,FALSE)="破竹",VLOOKUP($E93,武器奇术!$A:$R,4,FALSE),VLOOKUP($E93,武器奇术!$A:$R,2,FALSE))*(1+CQ93)*(1+CR93)*CS93</f>
        <v>32505.4856385697</v>
      </c>
      <c r="DA93" s="110">
        <f t="shared" si="26"/>
        <v>0.00928814000000003</v>
      </c>
      <c r="DB93" s="113">
        <f t="shared" si="27"/>
        <v>53291.2493089945</v>
      </c>
      <c r="DC93" s="108">
        <f t="shared" si="36"/>
        <v>69.3</v>
      </c>
      <c r="DD93" s="99">
        <f>(DC93+DE93)*IF(VLOOKUP($E93,武器奇术!$A:$Z,21,FALSE)=1,$G$15,0.5)</f>
        <v>69.3</v>
      </c>
      <c r="DE93" s="109">
        <f t="shared" si="37"/>
        <v>69.3</v>
      </c>
      <c r="DF93" s="110">
        <f>IF(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100)</f>
        <v>0.025</v>
      </c>
      <c r="DG93" s="111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U,21,FALSE)=1,0,0.09)</f>
        <v>0.235</v>
      </c>
      <c r="DH93" s="109">
        <v>1</v>
      </c>
      <c r="DI93" s="112">
        <f>DC93*IF(VLOOKUP($E93,武器奇术!$A:$R,17,FALSE)="破竹",VLOOKUP($E93,武器奇术!$A:$R,4,FALSE),VLOOKUP($E93,武器奇术!$A:$R,2,FALSE))*(1+DF93)*(1+DG93)*DH93</f>
        <v>3315.86097704111</v>
      </c>
      <c r="DJ93" s="110">
        <f>(1-IF(VLOOKUP($E93,武器奇术!$A:$T,20,FALSE)=1,1,$N93))*(1-$M93)</f>
        <v>0.01072666</v>
      </c>
      <c r="DK93" s="112">
        <f>DD93*IF(VLOOKUP($E93,武器奇术!$A:$R,17,FALSE)="破竹",VLOOKUP($E93,武器奇术!$A:$R,4,FALSE),VLOOKUP($E93,武器奇术!$A:$R,2,FALSE))*(1+DF93)*(1+DG93)*DH93*(1+$E$16+VLOOKUP($E93,武器奇术!$A:$R,8,FALSE))</f>
        <v>5438.01200234742</v>
      </c>
      <c r="DL93" s="110">
        <f t="shared" si="28"/>
        <v>0.8813852</v>
      </c>
      <c r="DM93" s="112">
        <f>DE93*IF(VLOOKUP($E93,武器奇术!$A:$R,17,FALSE)="破竹",VLOOKUP($E93,武器奇术!$A:$R,4,FALSE),VLOOKUP($E93,武器奇术!$A:$R,2,FALSE))*(1+DF93)*(1+DG93)*DH93*(1+$E$17+VLOOKUP($E93,武器奇术!$A:$R,10,FALSE))</f>
        <v>4476.4123190055</v>
      </c>
      <c r="DN93" s="110">
        <f t="shared" si="29"/>
        <v>0.0986</v>
      </c>
      <c r="DO93" s="112">
        <f>DD93*IF(VLOOKUP($E93,武器奇术!$A:$R,17,FALSE)="破竹",VLOOKUP($E93,武器奇术!$A:$R,4,FALSE),VLOOKUP($E93,武器奇术!$A:$R,2,FALSE))*(1+DF93)*(1+DG93)*DH93</f>
        <v>3315.86097704111</v>
      </c>
      <c r="DP93" s="110">
        <f t="shared" si="30"/>
        <v>0.00928814000000003</v>
      </c>
      <c r="DQ93" s="113">
        <f t="shared" si="31"/>
        <v>5300.72384522861</v>
      </c>
    </row>
    <row r="94" spans="1:121">
      <c r="A94" s="36"/>
      <c r="B94" t="s">
        <v>164</v>
      </c>
      <c r="C94" s="147">
        <v>1.16</v>
      </c>
      <c r="E94" s="98" t="s">
        <v>148</v>
      </c>
      <c r="F94" s="99">
        <v>1</v>
      </c>
      <c r="G94" s="115"/>
      <c r="H94" s="149">
        <f>IF(VLOOKUP($E94,武器奇术!$A:$R,18,FALSE)="天工",AE94,(AE94+AT94+BI94+BX94+CM94+DB94+DQ94))*(1+J94)*F94*K94*(1+G94)*(1+$G$21*5%)</f>
        <v>26140.6936837252</v>
      </c>
      <c r="I94" s="101">
        <f t="shared" ref="I94:I115" si="42">H94/$C$30</f>
        <v>0.00322740621193428</v>
      </c>
      <c r="J94" s="101">
        <f>$F$3+VLOOKUP($E94,武器奇术!$A:$R,12,FALSE)+VLOOKUP($E94,武器奇术!$A:$R,14,FALSE)*$G$3+$P94</f>
        <v>0.573</v>
      </c>
      <c r="K94" s="102">
        <f>VLOOKUP($E94,武器奇术!$A:$R,11,FALSE)</f>
        <v>1</v>
      </c>
      <c r="L94" s="117">
        <f>IF(VLOOKUP($E94,武器奇术!$A:$R,15,FALSE)="天工",0%,IF($C$17+VLOOKUP($E94,武器奇术!$A:$R,7,FALSE)&gt;80%,80%,$C$17+VLOOKUP($E94,武器奇术!$A:$R,7,FALSE))+IF($C$19&gt;20%,20%,$C$19))</f>
        <v>0.892</v>
      </c>
      <c r="M94" s="118">
        <f>IF(VLOOKUP($E94,武器奇术!$A:$R,15,FALSE)="天工",0%,IF($C$18+VLOOKUP($E94,武器奇术!$A:$R,9,FALSE)&gt;40%,40%,$C$18+VLOOKUP($E94,武器奇术!$A:$R,9,FALSE))+IF($C$20&gt;10%,10%,$C$20))</f>
        <v>0.0986</v>
      </c>
      <c r="N94" s="119">
        <f>IF(VLOOKUP($E94,武器奇术!$A:$R,15,FALSE)="天工",100%,MIN($C$16,1))</f>
        <v>0.9881</v>
      </c>
      <c r="O94" s="120" t="str">
        <f>VLOOKUP($E94,武器奇术!$A:$R,16,FALSE)</f>
        <v>拳甲</v>
      </c>
      <c r="P94" s="121">
        <f t="shared" si="38"/>
        <v>0.17</v>
      </c>
      <c r="Q94" s="108">
        <f>$B$5*(1+VLOOKUP($E94,武器奇术!$A:$R,5,FALSE)+IF($G$5="飞隼",0.1,0)+IF($G$5="撼天",0.05,0))-$F$9+IF($I$5="√",160,0)</f>
        <v>1731.135</v>
      </c>
      <c r="R94" s="99">
        <f>IF(VLOOKUP($E94,武器奇术!$A:$Z,20,FALSE)=1,(S94-(Q94+S94)*0.5)*($G$15-0.5)*2+(Q94+S94)*0.5,(Q94+S94)*0.5)</f>
        <v>3256.775</v>
      </c>
      <c r="S94" s="109">
        <f>MAX($C$5,$B$5)*(1+VLOOKUP($E94,武器奇术!$A:$R,5,FALSE)+IF($G$5="飞隼",0.1,0)+IF($G$5="撼天",0.05,0))-$F$9+IF($I$5="√",320,0)</f>
        <v>4782.415</v>
      </c>
      <c r="T94" s="101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U94" s="111">
        <f>$E$5+IF(VLOOKUP($E94,武器奇术!$A:$U,21,FALSE)=1,0,0.09)</f>
        <v>0.115</v>
      </c>
      <c r="V94" s="109">
        <v>1</v>
      </c>
      <c r="W94" s="112">
        <f>Q94*VLOOKUP($E94,武器奇术!$A:$R,2,FALSE)*(1+T94)*(1+U94)*V94</f>
        <v>2638.25911409603</v>
      </c>
      <c r="X94" s="110">
        <f>(1-IF(VLOOKUP($E94,武器奇术!$A:$T,20,FALSE)=1,1,$N94))*(1-$M94)</f>
        <v>0.01072666</v>
      </c>
      <c r="Y94" s="112">
        <f>R94*VLOOKUP($E94,武器奇术!$A:$R,2,FALSE)*(1+T94)*(1+U94)*V94*(1+$E$16+VLOOKUP($E94,武器奇术!$A:$R,8,FALSE))</f>
        <v>8139.88208611607</v>
      </c>
      <c r="Z94" s="110">
        <f t="shared" si="39"/>
        <v>0.8813852</v>
      </c>
      <c r="AA94" s="112">
        <f>S94*VLOOKUP($E94,武器奇术!$A:$R,2,FALSE)*(1+T94)*(1+U94)*V94*(1+$E$17+VLOOKUP($E94,武器奇术!$A:$R,10,FALSE))</f>
        <v>9839.37558164925</v>
      </c>
      <c r="AB94" s="110">
        <f t="shared" si="40"/>
        <v>0.0986</v>
      </c>
      <c r="AC94" s="112">
        <f>R94*VLOOKUP($E94,武器奇术!$A:$R,2,FALSE)*(1+T94)*(1+U94)*V94</f>
        <v>4963.34273543662</v>
      </c>
      <c r="AD94" s="110">
        <f t="shared" ref="AD94:AD115" si="43">MAX((1-X94-Z94-AB94),0)</f>
        <v>0.00928814000000003</v>
      </c>
      <c r="AE94" s="113">
        <f t="shared" ref="AE94:AE115" si="44">W94*X94+Y94*Z94+AA94*AB94+AC94*AD94</f>
        <v>8218.93396350197</v>
      </c>
      <c r="AF94" s="114">
        <f>VLOOKUP($E94,武器奇术!$A:$R,3,FALSE)*(1+IF(VLOOKUP($E94,武器奇术!$A:$R,15,FALSE)="武器",$E$15,0))</f>
        <v>396.5</v>
      </c>
      <c r="AG94" s="112">
        <f t="shared" ref="AG94:AG115" si="45">(AF94+AH94)/2</f>
        <v>396.5</v>
      </c>
      <c r="AH94" s="112">
        <f>VLOOKUP($E94,武器奇术!$A:$R,3,FALSE)*(1+IF(VLOOKUP($E94,武器奇术!$A:$R,15,FALSE)="武器",$E$15,0))</f>
        <v>396.5</v>
      </c>
      <c r="AI94" s="101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AJ94" s="111">
        <f>$E$5+IF(VLOOKUP($E94,武器奇术!$A:$U,21,FALSE)=1,0,0.09)</f>
        <v>0.115</v>
      </c>
      <c r="AK94" s="109">
        <v>1</v>
      </c>
      <c r="AL94" s="112">
        <f t="shared" si="41"/>
        <v>549.085095</v>
      </c>
      <c r="AM94" s="110">
        <f>(1-IF(VLOOKUP($E94,武器奇术!$A:$T,20,FALSE)=1,1,$N94))*(1-$M94)</f>
        <v>0.01072666</v>
      </c>
      <c r="AN94" s="112">
        <f>AG94*(1+AI94)*(1+AJ94)*AK94*(1+$E$16+VLOOKUP($E94,武器奇术!$A:$R,8,FALSE))</f>
        <v>900.4995558</v>
      </c>
      <c r="AO94" s="110">
        <f t="shared" ref="AO94:AO115" si="46">IF($L94+$M94&lt;=100%,$N94*$L94,$N94*(1-$M94))</f>
        <v>0.8813852</v>
      </c>
      <c r="AP94" s="112">
        <f>AH94*(1+AI94)*(1+AJ94)*AK94*(1+$E$17+VLOOKUP($E94,武器奇术!$A:$R,10,FALSE))</f>
        <v>741.26487825</v>
      </c>
      <c r="AQ94" s="110">
        <f t="shared" ref="AQ94:AQ115" si="47">$M94</f>
        <v>0.0986</v>
      </c>
      <c r="AR94" s="112">
        <f t="shared" ref="AR94:AR115" si="48">AG94*(1+AI94)*(1+AJ94)*AK94</f>
        <v>549.085095</v>
      </c>
      <c r="AS94" s="110">
        <f t="shared" ref="AS94:AS115" si="49">MAX((1-AM94-AO94-AQ94),0)</f>
        <v>0.00928814000000003</v>
      </c>
      <c r="AT94" s="113">
        <f t="shared" ref="AT94:AT115" si="50">AL94*AM94+AN94*AO94+AP94*AQ94+AR94*AS94</f>
        <v>877.76552644355</v>
      </c>
      <c r="AU94" s="108">
        <f>$B$7*IF($G$5="撼天",1.05,1)+IF(AND(VLOOKUP($E94,武器奇术!$A:$R,15,FALSE)="武器",VLOOKUP($E94,武器奇术!$A:$R,17,FALSE)="鸣金"),$E$3,0)*(1+$E$15)</f>
        <v>0</v>
      </c>
      <c r="AV94" s="99">
        <f>(AU94+AW94)*IF(VLOOKUP($E94,武器奇术!$A:$Z,21,FALSE)=1,$G$15,0.5)</f>
        <v>0</v>
      </c>
      <c r="AW94" s="109">
        <f>MAX($C$7*IF($G$5="撼天",1.05,1)+IF(AND(VLOOKUP($E94,武器奇术!$A:$R,15,FALSE)="武器",VLOOKUP($E94,武器奇术!$A:$R,17,FALSE)="鸣金"),$E$3*(1+$E$15),0),AU94)</f>
        <v>0</v>
      </c>
      <c r="AX94" s="110">
        <f>IF(($D$7+IF(VLOOKUP($E94,武器奇术!$A:$R,17,FALSE)="鸣金",$D$15,0)+IF(VLOOKUP($E94,武器奇术!$A:$R,18,FALSE)=1,4,0)+IF(VLOOKUP($E94,武器奇术!$A:$S,19,FALSE)=1,20,0)-VLOOKUP($F$7,目标属性!$A:$R,6,FALSE))&gt;0,($D$7+IF(VLOOKUP($E94,武器奇术!$A:$R,17,FALSE)="鸣金",$D$15,0)+IF(VLOOKUP($E94,武器奇术!$A:$R,18,FALSE)=1,4,0)+IF(VLOOKUP($E94,武器奇术!$A:$S,19,FALSE)=1,20,0)-VLOOKUP($F$7,目标属性!$A:$R,6,FALSE))/200,($D$7+IF(VLOOKUP($E94,武器奇术!$A:$R,17,FALSE)="鸣金",$D$15,0)+IF(VLOOKUP($E94,武器奇术!$A:$R,18,FALSE)=1,4,0)+IF(VLOOKUP($E94,武器奇术!$A:$S,19,FALSE)=1,20,0)-VLOOKUP($F$7,目标属性!$A:$R,6,FALSE))/100)</f>
        <v>-0.24</v>
      </c>
      <c r="AY94" s="111">
        <f t="shared" ref="AY94:AY115" si="51">$E$7</f>
        <v>0</v>
      </c>
      <c r="AZ94" s="109">
        <v>1</v>
      </c>
      <c r="BA94" s="112">
        <f>AU94*IF(VLOOKUP($E94,武器奇术!$A:$R,17,FALSE)="鸣金",VLOOKUP($E94,武器奇术!$A:$R,4,FALSE),VLOOKUP($E94,武器奇术!$A:$R,2,FALSE))*(1+AX94)*(1+AY94)*AZ94</f>
        <v>0</v>
      </c>
      <c r="BB94" s="110">
        <f>(1-IF(VLOOKUP($E94,武器奇术!$A:$T,20,FALSE)=1,1,$N94))*(1-$M94)</f>
        <v>0.01072666</v>
      </c>
      <c r="BC94" s="112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10">
        <f t="shared" ref="BD94:BD115" si="52">IF($L94+$M94&lt;=100%,$N94*$L94,$N94*(1-$M94))</f>
        <v>0.8813852</v>
      </c>
      <c r="BE94" s="112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10">
        <f t="shared" ref="BF94:BF115" si="53">$M94</f>
        <v>0.0986</v>
      </c>
      <c r="BG94" s="112">
        <f>AV94*IF(VLOOKUP($E94,武器奇术!$A:$R,17,FALSE)="鸣金",VLOOKUP($E94,武器奇术!$A:$R,4,FALSE),VLOOKUP($E94,武器奇术!$A:$R,2,FALSE))*(1+AX94)*(1+AY94)*AZ94</f>
        <v>0</v>
      </c>
      <c r="BH94" s="110">
        <f t="shared" ref="BH94:BH115" si="54">MAX((1-BB94-BD94-BF94),0)</f>
        <v>0.00928814000000003</v>
      </c>
      <c r="BI94" s="113">
        <f t="shared" ref="BI94:BI115" si="55">BA94*BB94+BC94*BD94+BE94*BF94+BG94*BH94</f>
        <v>0</v>
      </c>
      <c r="BJ94" s="108">
        <f>$B$9*IF($G$5="撼天",1.05,1)+IF(AND(VLOOKUP($E94,武器奇术!$A:$R,15,FALSE)="武器",VLOOKUP($E94,武器奇术!$A:$R,17,FALSE)="裂石"),$E$3,0)*(1+$E$15)</f>
        <v>0</v>
      </c>
      <c r="BK94" s="99">
        <f>(BJ94+BL94)*IF(VLOOKUP($E94,武器奇术!$A:$Z,21,FALSE)=1,$G$15,0.5)</f>
        <v>0</v>
      </c>
      <c r="BL94" s="109">
        <f>MAX($C$9*IF($G$5="撼天",1.05,1)+IF(AND(VLOOKUP($E94,武器奇术!$A:$R,15,FALSE)="武器",VLOOKUP($E94,武器奇术!$A:$R,17,FALSE)="裂石"),$E$3*(1+$E$15),0),BJ94)</f>
        <v>0</v>
      </c>
      <c r="BM94" s="110">
        <f>IF(($D$9+IF(VLOOKUP($E94,武器奇术!$A:$R,17,FALSE)="裂石",$D$15,0)+IF(VLOOKUP($E94,武器奇术!$A:$R,18,FALSE)=1,4,0)+IF(VLOOKUP($E94,武器奇术!$A:$S,19,FALSE)=1,20,0)-VLOOKUP($F$7,目标属性!$A:$R,6,FALSE))&gt;0,($D$9+IF(VLOOKUP($E94,武器奇术!$A:$R,17,FALSE)="裂石",$D$15,0)+IF(VLOOKUP($E94,武器奇术!$A:$R,18,FALSE)=1,4,0)+IF(VLOOKUP($E94,武器奇术!$A:$S,19,FALSE)=1,20,0)-VLOOKUP($F$7,目标属性!$A:$R,6,FALSE))/200,($D$9+IF(VLOOKUP($E94,武器奇术!$A:$R,17,FALSE)="裂石",$D$15,0)+IF(VLOOKUP($E94,武器奇术!$A:$R,18,FALSE)=1,4,0)+IF(VLOOKUP($E94,武器奇术!$A:$S,19,FALSE)=1,20,0)-VLOOKUP($F$7,目标属性!$A:$R,6,FALSE))/100)</f>
        <v>-0.24</v>
      </c>
      <c r="BN94" s="111">
        <f t="shared" ref="BN94:BN115" si="56">$E$9</f>
        <v>0</v>
      </c>
      <c r="BO94" s="109">
        <v>1</v>
      </c>
      <c r="BP94" s="112">
        <f>BJ94*IF(VLOOKUP($E94,武器奇术!$A:$R,17,FALSE)="裂石",VLOOKUP($E94,武器奇术!$A:$R,4,FALSE),VLOOKUP($E94,武器奇术!$A:$R,2,FALSE))*(1+BM94)*(1+BN94)*BO94</f>
        <v>0</v>
      </c>
      <c r="BQ94" s="110">
        <f>(1-IF(VLOOKUP($E94,武器奇术!$A:$T,20,FALSE)=1,1,$N94))*(1-$M94)</f>
        <v>0.01072666</v>
      </c>
      <c r="BR94" s="112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10">
        <f t="shared" ref="BS94:BS115" si="57">IF($L94+$M94&lt;=100%,$N94*$L94,$N94*(1-$M94))</f>
        <v>0.8813852</v>
      </c>
      <c r="BT94" s="112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10">
        <f t="shared" ref="BU94:BU115" si="58">$M94</f>
        <v>0.0986</v>
      </c>
      <c r="BV94" s="112">
        <f>BK94*IF(VLOOKUP($E94,武器奇术!$A:$R,17,FALSE)="裂石",VLOOKUP($E94,武器奇术!$A:$R,4,FALSE),VLOOKUP($E94,武器奇术!$A:$R,2,FALSE))*(1+BM94)*(1+BN94)*BO94</f>
        <v>0</v>
      </c>
      <c r="BW94" s="110">
        <f t="shared" ref="BW94:BW115" si="59">MAX((1-BQ94-BS94-BU94),0)</f>
        <v>0.00928814000000003</v>
      </c>
      <c r="BX94" s="113">
        <f t="shared" ref="BX94:BX115" si="60">BP94*BQ94+BR94*BS94+BT94*BU94+BV94*BW94</f>
        <v>0</v>
      </c>
      <c r="BY94" s="108">
        <f>$B$11*IF($G$5="撼天",1.05,1)+IF(AND(VLOOKUP($E94,武器奇术!$A:$R,15,FALSE)="武器",VLOOKUP($E94,武器奇术!$A:$R,17,FALSE)="牵丝"),$E$3,0)*(1+$E$15)</f>
        <v>0</v>
      </c>
      <c r="BZ94" s="99">
        <f>(BY94+CA94)*IF(VLOOKUP($E94,武器奇术!$A:$Z,21,FALSE)=1,$G$15,0.5)</f>
        <v>0</v>
      </c>
      <c r="CA94" s="109">
        <f>MAX($C$11*IF($G$5="撼天",1.05,1)+IF(AND(VLOOKUP($E94,武器奇术!$A:$R,15,FALSE)="武器",VLOOKUP($E94,武器奇术!$A:$R,17,FALSE)="牵丝"),$E$3*(1+$E$15),0),BY94)</f>
        <v>0</v>
      </c>
      <c r="CB94" s="110">
        <f>IF(($D$11+IF(VLOOKUP($E94,武器奇术!$A:$R,17,FALSE)="牵丝",$D$15,0)+IF(VLOOKUP($E94,武器奇术!$A:$R,18,FALSE)=1,4,0)+IF(VLOOKUP($E94,武器奇术!$A:$S,19,FALSE)=1,20,0)-VLOOKUP($F$7,目标属性!$A:$R,6,FALSE))&gt;0,($D$11+IF(VLOOKUP($E94,武器奇术!$A:$R,17,FALSE)="牵丝",$D$15,0)+IF(VLOOKUP($E94,武器奇术!$A:$R,18,FALSE)=1,4,0)+IF(VLOOKUP($E94,武器奇术!$A:$S,19,FALSE)=1,20,0)-VLOOKUP($F$7,目标属性!$A:$R,6,FALSE))/200,($D$11+IF(VLOOKUP($E94,武器奇术!$A:$R,17,FALSE)="牵丝",$D$15,0)+IF(VLOOKUP($E94,武器奇术!$A:$R,18,FALSE)=1,4,0)+IF(VLOOKUP($E94,武器奇术!$A:$S,19,FALSE)=1,20,0)-VLOOKUP($F$7,目标属性!$A:$R,6,FALSE))/100)</f>
        <v>-0.24</v>
      </c>
      <c r="CC94" s="111">
        <f t="shared" ref="CC94:CC115" si="61">$E$11</f>
        <v>0</v>
      </c>
      <c r="CD94" s="109">
        <v>1</v>
      </c>
      <c r="CE94" s="112">
        <f>BY94*IF(VLOOKUP($E94,武器奇术!$A:$R,17,FALSE)="牵丝",VLOOKUP($E94,武器奇术!$A:$R,4,FALSE),VLOOKUP($E94,武器奇术!$A:$R,2,FALSE))*(1+CB94)*(1+CC94)*CD94</f>
        <v>0</v>
      </c>
      <c r="CF94" s="110">
        <f>(1-IF(VLOOKUP($E94,武器奇术!$A:$T,20,FALSE)=1,1,$N94))*(1-$M94)</f>
        <v>0.01072666</v>
      </c>
      <c r="CG94" s="112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10">
        <f t="shared" ref="CH94:CH115" si="62">IF($L94+$M94&lt;=100%,$N94*$L94,$N94*(1-$M94))</f>
        <v>0.8813852</v>
      </c>
      <c r="CI94" s="112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10">
        <f t="shared" ref="CJ94:CJ115" si="63">$M94</f>
        <v>0.0986</v>
      </c>
      <c r="CK94" s="112">
        <f>BZ94*IF(VLOOKUP($E94,武器奇术!$A:$R,17,FALSE)="牵丝",VLOOKUP($E94,武器奇术!$A:$R,4,FALSE),VLOOKUP($E94,武器奇术!$A:$R,2,FALSE))*(1+CB94)*(1+CC94)*CD94</f>
        <v>0</v>
      </c>
      <c r="CL94" s="110">
        <f t="shared" ref="CL94:CL115" si="64">MAX((1-CF94-CH94-CJ94),0)</f>
        <v>0.00928814000000003</v>
      </c>
      <c r="CM94" s="113">
        <f t="shared" ref="CM94:CM115" si="65">CE94*CF94+CG94*CH94+CI94*CJ94+CK94*CL94</f>
        <v>0</v>
      </c>
      <c r="CN94" s="108">
        <f>$B$13*IF($G$5="撼天",1.05,1)+IF(AND(VLOOKUP($E94,武器奇术!$A:$R,15,FALSE)="武器",VLOOKUP($E94,武器奇术!$A:$R,17,FALSE)="破竹"),$E$3,0)*(1+$E$15)</f>
        <v>648.46</v>
      </c>
      <c r="CO94" s="99">
        <f>IF(VLOOKUP($E94,武器奇术!$A:$Z,20,FALSE)=1,(CP94-(CN94+CP94)*0.5)*($G$15-0.5)*2+(CN94+CP94)*0.5,(CN94+CP94)*0.5)</f>
        <v>875.26</v>
      </c>
      <c r="CP94" s="109">
        <f>MAX($C$13*IF($G$5="撼天",1.05,1)+IF(AND(VLOOKUP($E94,武器奇术!$A:$R,15,FALSE)="武器",VLOOKUP($E94,武器奇术!$A:$R,17,FALSE)="破竹"),$E$3*(1+$E$15),0),CN94)</f>
        <v>1102.06</v>
      </c>
      <c r="CQ94" s="110">
        <f>IF(($D$13+IF(VLOOKUP($E94,武器奇术!$A:$R,17,FALSE)="破竹",$D$15,0)+IF(VLOOKUP($E94,武器奇术!$A:$R,18,FALSE)=1,4,0)+IF(VLOOKUP($E94,武器奇术!$A:$S,19,FALSE)=1,20,0)-VLOOKUP($F$7,目标属性!$A:$R,6,FALSE))&gt;0,($D$13+IF(VLOOKUP($E94,武器奇术!$A:$R,17,FALSE)="破竹",$D$15,0)+IF(VLOOKUP($E94,武器奇术!$A:$R,18,FALSE)=1,4,0)+IF(VLOOKUP($E94,武器奇术!$A:$S,19,FALSE)=1,20,0)-VLOOKUP($F$7,目标属性!$A:$R,6,FALSE))/200,($D$13+IF(VLOOKUP($E94,武器奇术!$A:$R,17,FALSE)="破竹",$D$15,0)+IF(VLOOKUP($E94,武器奇术!$A:$R,18,FALSE)=1,4,0)+IF(VLOOKUP($E94,武器奇术!$A:$S,19,FALSE)=1,20,0)-VLOOKUP($F$7,目标属性!$A:$R,6,FALSE))/100)</f>
        <v>0.025</v>
      </c>
      <c r="CR94" s="111">
        <f>$E$13+IF(VLOOKUP($E94,武器奇术!$A:$U,21,FALSE)=1,0,0.09)</f>
        <v>0.235</v>
      </c>
      <c r="CS94" s="109">
        <v>1</v>
      </c>
      <c r="CT94" s="112">
        <f>CN94*IF(VLOOKUP($E94,武器奇术!$A:$R,17,FALSE)="破竹",VLOOKUP($E94,武器奇术!$A:$R,4,FALSE),VLOOKUP($E94,武器奇术!$A:$R,2,FALSE))*(1+CQ94)*(1+CR94)*CS94</f>
        <v>1355.00895763675</v>
      </c>
      <c r="CU94" s="110">
        <f>(1-IF(VLOOKUP($E94,武器奇术!$A:$T,20,FALSE)=1,1,$N94))*(1-$M94)</f>
        <v>0.01072666</v>
      </c>
      <c r="CV94" s="112">
        <f>CO94*IF(VLOOKUP($E94,武器奇术!$A:$R,17,FALSE)="破竹",VLOOKUP($E94,武器奇术!$A:$R,4,FALSE),VLOOKUP($E94,武器奇术!$A:$R,2,FALSE))*(1+CQ94)*(1+CR94)*CS94*(1+$E$16+VLOOKUP($E94,武器奇术!$A:$R,8,FALSE))</f>
        <v>2999.43809954087</v>
      </c>
      <c r="CW94" s="110">
        <f t="shared" ref="CW94:CW115" si="66">IF($L94+$M94&lt;=100%,$N94*$L94,$N94*(1-$M94))</f>
        <v>0.8813852</v>
      </c>
      <c r="CX94" s="112">
        <f>CP94*IF(VLOOKUP($E94,武器奇术!$A:$R,17,FALSE)="破竹",VLOOKUP($E94,武器奇术!$A:$R,4,FALSE),VLOOKUP($E94,武器奇术!$A:$R,2,FALSE))*(1+CQ94)*(1+CR94)*CS94*(1+$E$17+VLOOKUP($E94,武器奇术!$A:$R,10,FALSE))</f>
        <v>3108.83721741011</v>
      </c>
      <c r="CY94" s="110">
        <f t="shared" ref="CY94:CY115" si="67">$M94</f>
        <v>0.0986</v>
      </c>
      <c r="CZ94" s="112">
        <f>CO94*IF(VLOOKUP($E94,武器奇术!$A:$R,17,FALSE)="破竹",VLOOKUP($E94,武器奇术!$A:$R,4,FALSE),VLOOKUP($E94,武器奇术!$A:$R,2,FALSE))*(1+CQ94)*(1+CR94)*CS94</f>
        <v>1828.92567045175</v>
      </c>
      <c r="DA94" s="110">
        <f t="shared" ref="DA94:DA115" si="68">MAX((1-CU94-CW94-CY94),0)</f>
        <v>0.00928814000000003</v>
      </c>
      <c r="DB94" s="113">
        <f t="shared" ref="DB94:DB115" si="69">CT94*CU94+CV94*CW94+CX94*CY94+CZ94*DA94</f>
        <v>2981.71373695036</v>
      </c>
      <c r="DC94" s="108">
        <f t="shared" si="36"/>
        <v>69.3</v>
      </c>
      <c r="DD94" s="99">
        <f>(DC94+DE94)*IF(VLOOKUP($E94,武器奇术!$A:$Z,21,FALSE)=1,$G$15,0.5)</f>
        <v>69.3</v>
      </c>
      <c r="DE94" s="109">
        <f t="shared" si="37"/>
        <v>69.3</v>
      </c>
      <c r="DF94" s="110">
        <f>IF(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100)</f>
        <v>0.025</v>
      </c>
      <c r="DG94" s="111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U,21,FALSE)=1,0,0.09)</f>
        <v>0.235</v>
      </c>
      <c r="DH94" s="109">
        <v>1</v>
      </c>
      <c r="DI94" s="112">
        <f>DC94*IF(VLOOKUP($E94,武器奇术!$A:$R,17,FALSE)="破竹",VLOOKUP($E94,武器奇术!$A:$R,4,FALSE),VLOOKUP($E94,武器奇术!$A:$R,2,FALSE))*(1+DF94)*(1+DG94)*DH94</f>
        <v>144.80788447125</v>
      </c>
      <c r="DJ94" s="110">
        <f>(1-IF(VLOOKUP($E94,武器奇术!$A:$T,20,FALSE)=1,1,$N94))*(1-$M94)</f>
        <v>0.01072666</v>
      </c>
      <c r="DK94" s="112">
        <f>DD94*IF(VLOOKUP($E94,武器奇术!$A:$R,17,FALSE)="破竹",VLOOKUP($E94,武器奇术!$A:$R,4,FALSE),VLOOKUP($E94,武器奇术!$A:$R,2,FALSE))*(1+DF94)*(1+DG94)*DH94*(1+$E$16+VLOOKUP($E94,武器奇术!$A:$R,8,FALSE))</f>
        <v>237.48493053285</v>
      </c>
      <c r="DL94" s="110">
        <f t="shared" ref="DL94:DL115" si="70">IF($L94+$M94&lt;=100%,$N94*$L94,$N94*(1-$M94))</f>
        <v>0.8813852</v>
      </c>
      <c r="DM94" s="112">
        <f>DE94*IF(VLOOKUP($E94,武器奇术!$A:$R,17,FALSE)="破竹",VLOOKUP($E94,武器奇术!$A:$R,4,FALSE),VLOOKUP($E94,武器奇术!$A:$R,2,FALSE))*(1+DF94)*(1+DG94)*DH94*(1+$E$17+VLOOKUP($E94,武器奇术!$A:$R,10,FALSE))</f>
        <v>195.490644036187</v>
      </c>
      <c r="DN94" s="110">
        <f t="shared" ref="DN94:DN115" si="71">$M94</f>
        <v>0.0986</v>
      </c>
      <c r="DO94" s="112">
        <f>DD94*IF(VLOOKUP($E94,武器奇术!$A:$R,17,FALSE)="破竹",VLOOKUP($E94,武器奇术!$A:$R,4,FALSE),VLOOKUP($E94,武器奇术!$A:$R,2,FALSE))*(1+DF94)*(1+DG94)*DH94</f>
        <v>144.80788447125</v>
      </c>
      <c r="DP94" s="110">
        <f t="shared" ref="DP94:DP115" si="72">MAX((1-DJ94-DL94-DN94),0)</f>
        <v>0.00928814000000003</v>
      </c>
      <c r="DQ94" s="113">
        <f t="shared" ref="DQ94:DQ115" si="73">DI94*DJ94+DK94*DL94+DM94*DN94+DO94*DP94</f>
        <v>231.489381342765</v>
      </c>
    </row>
    <row r="95" spans="1:121">
      <c r="A95" s="36"/>
      <c r="B95" t="s">
        <v>158</v>
      </c>
      <c r="C95" s="147">
        <v>0.2</v>
      </c>
      <c r="E95" s="98" t="s">
        <v>149</v>
      </c>
      <c r="F95" s="99">
        <v>1</v>
      </c>
      <c r="G95" s="115"/>
      <c r="H95" s="149">
        <f>IF(VLOOKUP($E95,武器奇术!$A:$R,18,FALSE)="天工",AE95,(AE95+AT95+BI95+BX95+CM95+DB95+DQ95))*(1+J95)*F95*K95*(1+G95)*(1+$G$21*5%)</f>
        <v>57998.7177674857</v>
      </c>
      <c r="I95" s="101">
        <f t="shared" si="42"/>
        <v>0.0071606906944304</v>
      </c>
      <c r="J95" s="101">
        <f>$F$3+VLOOKUP($E95,武器奇术!$A:$R,12,FALSE)+VLOOKUP($E95,武器奇术!$A:$R,14,FALSE)*$G$3+$P95</f>
        <v>0.573</v>
      </c>
      <c r="K95" s="102">
        <f>VLOOKUP($E95,武器奇术!$A:$R,11,FALSE)</f>
        <v>1</v>
      </c>
      <c r="L95" s="117">
        <f>IF(VLOOKUP($E95,武器奇术!$A:$R,15,FALSE)="天工",0%,IF($C$17+VLOOKUP($E95,武器奇术!$A:$R,7,FALSE)&gt;80%,80%,$C$17+VLOOKUP($E95,武器奇术!$A:$R,7,FALSE))+IF($C$19&gt;20%,20%,$C$19))</f>
        <v>0.892</v>
      </c>
      <c r="M95" s="118">
        <f>IF(VLOOKUP($E95,武器奇术!$A:$R,15,FALSE)="天工",0%,IF($C$18+VLOOKUP($E95,武器奇术!$A:$R,9,FALSE)&gt;40%,40%,$C$18+VLOOKUP($E95,武器奇术!$A:$R,9,FALSE))+IF($C$20&gt;10%,10%,$C$20))</f>
        <v>0.0986</v>
      </c>
      <c r="N95" s="119">
        <f>IF(VLOOKUP($E95,武器奇术!$A:$R,15,FALSE)="天工",100%,MIN($C$16,1))</f>
        <v>0.9881</v>
      </c>
      <c r="O95" s="120" t="str">
        <f>VLOOKUP($E95,武器奇术!$A:$R,16,FALSE)</f>
        <v>拳甲</v>
      </c>
      <c r="P95" s="121">
        <f t="shared" ref="P95:P115" si="74">VLOOKUP($O95,$B$22:$C$27,2,FALSE)+IF(OR($O95="拳甲",$O95="绳标"),$C$24,0)</f>
        <v>0.17</v>
      </c>
      <c r="Q95" s="108">
        <f>$B$5*(1+VLOOKUP($E95,武器奇术!$A:$R,5,FALSE)+IF($G$5="飞隼",0.1,0)+IF($G$5="撼天",0.05,0))-$F$9+IF($I$5="√",160,0)</f>
        <v>1731.135</v>
      </c>
      <c r="R95" s="99">
        <f>IF(VLOOKUP($E95,武器奇术!$A:$Z,20,FALSE)=1,(S95-(Q95+S95)*0.5)*($G$15-0.5)*2+(Q95+S95)*0.5,(Q95+S95)*0.5)</f>
        <v>3256.775</v>
      </c>
      <c r="S95" s="109">
        <f>MAX($C$5,$B$5)*(1+VLOOKUP($E95,武器奇术!$A:$R,5,FALSE)+IF($G$5="飞隼",0.1,0)+IF($G$5="撼天",0.05,0))-$F$9+IF($I$5="√",320,0)</f>
        <v>4782.415</v>
      </c>
      <c r="T95" s="101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U95" s="111">
        <f>$E$5+IF(VLOOKUP($E95,武器奇术!$A:$U,21,FALSE)=1,0,0.09)</f>
        <v>0.115</v>
      </c>
      <c r="V95" s="109">
        <v>1</v>
      </c>
      <c r="W95" s="112">
        <f>Q95*VLOOKUP($E95,武器奇术!$A:$R,2,FALSE)*(1+T95)*(1+U95)*V95</f>
        <v>5854.51393233431</v>
      </c>
      <c r="X95" s="110">
        <f>(1-IF(VLOOKUP($E95,武器奇术!$A:$T,20,FALSE)=1,1,$N95))*(1-$M95)</f>
        <v>0.01072666</v>
      </c>
      <c r="Y95" s="112">
        <f>R95*VLOOKUP($E95,武器奇术!$A:$R,2,FALSE)*(1+T95)*(1+U95)*V95*(1+$E$16+VLOOKUP($E95,武器奇术!$A:$R,8,FALSE))</f>
        <v>18063.0677351241</v>
      </c>
      <c r="Z95" s="110">
        <f t="shared" si="39"/>
        <v>0.8813852</v>
      </c>
      <c r="AA95" s="112">
        <f>S95*VLOOKUP($E95,武器奇术!$A:$R,2,FALSE)*(1+T95)*(1+U95)*V95*(1+$E$17+VLOOKUP($E95,武器奇术!$A:$R,10,FALSE))</f>
        <v>21834.3835601505</v>
      </c>
      <c r="AB95" s="110">
        <f t="shared" si="40"/>
        <v>0.0986</v>
      </c>
      <c r="AC95" s="112">
        <f>R95*VLOOKUP($E95,武器奇术!$A:$R,2,FALSE)*(1+T95)*(1+U95)*V95</f>
        <v>11014.0656921488</v>
      </c>
      <c r="AD95" s="110">
        <f t="shared" si="43"/>
        <v>0.00928814000000003</v>
      </c>
      <c r="AE95" s="113">
        <f t="shared" si="44"/>
        <v>18238.490351902</v>
      </c>
      <c r="AF95" s="114">
        <f>VLOOKUP($E95,武器奇术!$A:$R,3,FALSE)*(1+IF(VLOOKUP($E95,武器奇术!$A:$R,15,FALSE)="武器",$E$15,0))</f>
        <v>877.5</v>
      </c>
      <c r="AG95" s="112">
        <f t="shared" si="45"/>
        <v>877.5</v>
      </c>
      <c r="AH95" s="112">
        <f>VLOOKUP($E95,武器奇术!$A:$R,3,FALSE)*(1+IF(VLOOKUP($E95,武器奇术!$A:$R,15,FALSE)="武器",$E$15,0))</f>
        <v>877.5</v>
      </c>
      <c r="AI95" s="101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AJ95" s="111">
        <f>$E$5+IF(VLOOKUP($E95,武器奇术!$A:$U,21,FALSE)=1,0,0.09)</f>
        <v>0.115</v>
      </c>
      <c r="AK95" s="109">
        <v>1</v>
      </c>
      <c r="AL95" s="112">
        <f t="shared" si="41"/>
        <v>1215.188325</v>
      </c>
      <c r="AM95" s="110">
        <f>(1-IF(VLOOKUP($E95,武器奇术!$A:$T,20,FALSE)=1,1,$N95))*(1-$M95)</f>
        <v>0.01072666</v>
      </c>
      <c r="AN95" s="112">
        <f>AG95*(1+AI95)*(1+AJ95)*AK95*(1+$E$16+VLOOKUP($E95,武器奇术!$A:$R,8,FALSE))</f>
        <v>1992.908853</v>
      </c>
      <c r="AO95" s="110">
        <f t="shared" si="46"/>
        <v>0.8813852</v>
      </c>
      <c r="AP95" s="112">
        <f>AH95*(1+AI95)*(1+AJ95)*AK95*(1+$E$17+VLOOKUP($E95,武器奇术!$A:$R,10,FALSE))</f>
        <v>1640.50423875</v>
      </c>
      <c r="AQ95" s="110">
        <f t="shared" si="47"/>
        <v>0.0986</v>
      </c>
      <c r="AR95" s="112">
        <f t="shared" si="48"/>
        <v>1215.188325</v>
      </c>
      <c r="AS95" s="110">
        <f t="shared" si="49"/>
        <v>0.00928814000000003</v>
      </c>
      <c r="AT95" s="113">
        <f t="shared" si="50"/>
        <v>1942.59583721114</v>
      </c>
      <c r="AU95" s="108">
        <f>$B$7*IF($G$5="撼天",1.05,1)+IF(AND(VLOOKUP($E95,武器奇术!$A:$R,15,FALSE)="武器",VLOOKUP($E95,武器奇术!$A:$R,17,FALSE)="鸣金"),$E$3,0)*(1+$E$15)</f>
        <v>0</v>
      </c>
      <c r="AV95" s="99">
        <f>(AU95+AW95)*IF(VLOOKUP($E95,武器奇术!$A:$Z,21,FALSE)=1,$G$15,0.5)</f>
        <v>0</v>
      </c>
      <c r="AW95" s="109">
        <f>MAX($C$7*IF($G$5="撼天",1.05,1)+IF(AND(VLOOKUP($E95,武器奇术!$A:$R,15,FALSE)="武器",VLOOKUP($E95,武器奇术!$A:$R,17,FALSE)="鸣金"),$E$3*(1+$E$15),0),AU95)</f>
        <v>0</v>
      </c>
      <c r="AX95" s="110">
        <f>IF(($D$7+IF(VLOOKUP($E95,武器奇术!$A:$R,17,FALSE)="鸣金",$D$15,0)+IF(VLOOKUP($E95,武器奇术!$A:$R,18,FALSE)=1,4,0)+IF(VLOOKUP($E95,武器奇术!$A:$S,19,FALSE)=1,20,0)-VLOOKUP($F$7,目标属性!$A:$R,6,FALSE))&gt;0,($D$7+IF(VLOOKUP($E95,武器奇术!$A:$R,17,FALSE)="鸣金",$D$15,0)+IF(VLOOKUP($E95,武器奇术!$A:$R,18,FALSE)=1,4,0)+IF(VLOOKUP($E95,武器奇术!$A:$S,19,FALSE)=1,20,0)-VLOOKUP($F$7,目标属性!$A:$R,6,FALSE))/200,($D$7+IF(VLOOKUP($E95,武器奇术!$A:$R,17,FALSE)="鸣金",$D$15,0)+IF(VLOOKUP($E95,武器奇术!$A:$R,18,FALSE)=1,4,0)+IF(VLOOKUP($E95,武器奇术!$A:$S,19,FALSE)=1,20,0)-VLOOKUP($F$7,目标属性!$A:$R,6,FALSE))/100)</f>
        <v>-0.24</v>
      </c>
      <c r="AY95" s="111">
        <f t="shared" si="51"/>
        <v>0</v>
      </c>
      <c r="AZ95" s="109">
        <v>1</v>
      </c>
      <c r="BA95" s="112">
        <f>AU95*IF(VLOOKUP($E95,武器奇术!$A:$R,17,FALSE)="鸣金",VLOOKUP($E95,武器奇术!$A:$R,4,FALSE),VLOOKUP($E95,武器奇术!$A:$R,2,FALSE))*(1+AX95)*(1+AY95)*AZ95</f>
        <v>0</v>
      </c>
      <c r="BB95" s="110">
        <f>(1-IF(VLOOKUP($E95,武器奇术!$A:$T,20,FALSE)=1,1,$N95))*(1-$M95)</f>
        <v>0.01072666</v>
      </c>
      <c r="BC95" s="112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10">
        <f t="shared" si="52"/>
        <v>0.8813852</v>
      </c>
      <c r="BE95" s="112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10">
        <f t="shared" si="53"/>
        <v>0.0986</v>
      </c>
      <c r="BG95" s="112">
        <f>AV95*IF(VLOOKUP($E95,武器奇术!$A:$R,17,FALSE)="鸣金",VLOOKUP($E95,武器奇术!$A:$R,4,FALSE),VLOOKUP($E95,武器奇术!$A:$R,2,FALSE))*(1+AX95)*(1+AY95)*AZ95</f>
        <v>0</v>
      </c>
      <c r="BH95" s="110">
        <f t="shared" si="54"/>
        <v>0.00928814000000003</v>
      </c>
      <c r="BI95" s="113">
        <f t="shared" si="55"/>
        <v>0</v>
      </c>
      <c r="BJ95" s="108">
        <f>$B$9*IF($G$5="撼天",1.05,1)+IF(AND(VLOOKUP($E95,武器奇术!$A:$R,15,FALSE)="武器",VLOOKUP($E95,武器奇术!$A:$R,17,FALSE)="裂石"),$E$3,0)*(1+$E$15)</f>
        <v>0</v>
      </c>
      <c r="BK95" s="99">
        <f>(BJ95+BL95)*IF(VLOOKUP($E95,武器奇术!$A:$Z,21,FALSE)=1,$G$15,0.5)</f>
        <v>0</v>
      </c>
      <c r="BL95" s="109">
        <f>MAX($C$9*IF($G$5="撼天",1.05,1)+IF(AND(VLOOKUP($E95,武器奇术!$A:$R,15,FALSE)="武器",VLOOKUP($E95,武器奇术!$A:$R,17,FALSE)="裂石"),$E$3*(1+$E$15),0),BJ95)</f>
        <v>0</v>
      </c>
      <c r="BM95" s="110">
        <f>IF(($D$9+IF(VLOOKUP($E95,武器奇术!$A:$R,17,FALSE)="裂石",$D$15,0)+IF(VLOOKUP($E95,武器奇术!$A:$R,18,FALSE)=1,4,0)+IF(VLOOKUP($E95,武器奇术!$A:$S,19,FALSE)=1,20,0)-VLOOKUP($F$7,目标属性!$A:$R,6,FALSE))&gt;0,($D$9+IF(VLOOKUP($E95,武器奇术!$A:$R,17,FALSE)="裂石",$D$15,0)+IF(VLOOKUP($E95,武器奇术!$A:$R,18,FALSE)=1,4,0)+IF(VLOOKUP($E95,武器奇术!$A:$S,19,FALSE)=1,20,0)-VLOOKUP($F$7,目标属性!$A:$R,6,FALSE))/200,($D$9+IF(VLOOKUP($E95,武器奇术!$A:$R,17,FALSE)="裂石",$D$15,0)+IF(VLOOKUP($E95,武器奇术!$A:$R,18,FALSE)=1,4,0)+IF(VLOOKUP($E95,武器奇术!$A:$S,19,FALSE)=1,20,0)-VLOOKUP($F$7,目标属性!$A:$R,6,FALSE))/100)</f>
        <v>-0.24</v>
      </c>
      <c r="BN95" s="111">
        <f t="shared" si="56"/>
        <v>0</v>
      </c>
      <c r="BO95" s="109">
        <v>1</v>
      </c>
      <c r="BP95" s="112">
        <f>BJ95*IF(VLOOKUP($E95,武器奇术!$A:$R,17,FALSE)="裂石",VLOOKUP($E95,武器奇术!$A:$R,4,FALSE),VLOOKUP($E95,武器奇术!$A:$R,2,FALSE))*(1+BM95)*(1+BN95)*BO95</f>
        <v>0</v>
      </c>
      <c r="BQ95" s="110">
        <f>(1-IF(VLOOKUP($E95,武器奇术!$A:$T,20,FALSE)=1,1,$N95))*(1-$M95)</f>
        <v>0.01072666</v>
      </c>
      <c r="BR95" s="112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10">
        <f t="shared" si="57"/>
        <v>0.8813852</v>
      </c>
      <c r="BT95" s="112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10">
        <f t="shared" si="58"/>
        <v>0.0986</v>
      </c>
      <c r="BV95" s="112">
        <f>BK95*IF(VLOOKUP($E95,武器奇术!$A:$R,17,FALSE)="裂石",VLOOKUP($E95,武器奇术!$A:$R,4,FALSE),VLOOKUP($E95,武器奇术!$A:$R,2,FALSE))*(1+BM95)*(1+BN95)*BO95</f>
        <v>0</v>
      </c>
      <c r="BW95" s="110">
        <f t="shared" si="59"/>
        <v>0.00928814000000003</v>
      </c>
      <c r="BX95" s="113">
        <f t="shared" si="60"/>
        <v>0</v>
      </c>
      <c r="BY95" s="108">
        <f>$B$11*IF($G$5="撼天",1.05,1)+IF(AND(VLOOKUP($E95,武器奇术!$A:$R,15,FALSE)="武器",VLOOKUP($E95,武器奇术!$A:$R,17,FALSE)="牵丝"),$E$3,0)*(1+$E$15)</f>
        <v>0</v>
      </c>
      <c r="BZ95" s="99">
        <f>(BY95+CA95)*IF(VLOOKUP($E95,武器奇术!$A:$Z,21,FALSE)=1,$G$15,0.5)</f>
        <v>0</v>
      </c>
      <c r="CA95" s="109">
        <f>MAX($C$11*IF($G$5="撼天",1.05,1)+IF(AND(VLOOKUP($E95,武器奇术!$A:$R,15,FALSE)="武器",VLOOKUP($E95,武器奇术!$A:$R,17,FALSE)="牵丝"),$E$3*(1+$E$15),0),BY95)</f>
        <v>0</v>
      </c>
      <c r="CB95" s="110">
        <f>IF(($D$11+IF(VLOOKUP($E95,武器奇术!$A:$R,17,FALSE)="牵丝",$D$15,0)+IF(VLOOKUP($E95,武器奇术!$A:$R,18,FALSE)=1,4,0)+IF(VLOOKUP($E95,武器奇术!$A:$S,19,FALSE)=1,20,0)-VLOOKUP($F$7,目标属性!$A:$R,6,FALSE))&gt;0,($D$11+IF(VLOOKUP($E95,武器奇术!$A:$R,17,FALSE)="牵丝",$D$15,0)+IF(VLOOKUP($E95,武器奇术!$A:$R,18,FALSE)=1,4,0)+IF(VLOOKUP($E95,武器奇术!$A:$S,19,FALSE)=1,20,0)-VLOOKUP($F$7,目标属性!$A:$R,6,FALSE))/200,($D$11+IF(VLOOKUP($E95,武器奇术!$A:$R,17,FALSE)="牵丝",$D$15,0)+IF(VLOOKUP($E95,武器奇术!$A:$R,18,FALSE)=1,4,0)+IF(VLOOKUP($E95,武器奇术!$A:$S,19,FALSE)=1,20,0)-VLOOKUP($F$7,目标属性!$A:$R,6,FALSE))/100)</f>
        <v>-0.24</v>
      </c>
      <c r="CC95" s="111">
        <f t="shared" si="61"/>
        <v>0</v>
      </c>
      <c r="CD95" s="109">
        <v>1</v>
      </c>
      <c r="CE95" s="112">
        <f>BY95*IF(VLOOKUP($E95,武器奇术!$A:$R,17,FALSE)="牵丝",VLOOKUP($E95,武器奇术!$A:$R,4,FALSE),VLOOKUP($E95,武器奇术!$A:$R,2,FALSE))*(1+CB95)*(1+CC95)*CD95</f>
        <v>0</v>
      </c>
      <c r="CF95" s="110">
        <f>(1-IF(VLOOKUP($E95,武器奇术!$A:$T,20,FALSE)=1,1,$N95))*(1-$M95)</f>
        <v>0.01072666</v>
      </c>
      <c r="CG95" s="112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10">
        <f t="shared" si="62"/>
        <v>0.8813852</v>
      </c>
      <c r="CI95" s="112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10">
        <f t="shared" si="63"/>
        <v>0.0986</v>
      </c>
      <c r="CK95" s="112">
        <f>BZ95*IF(VLOOKUP($E95,武器奇术!$A:$R,17,FALSE)="牵丝",VLOOKUP($E95,武器奇术!$A:$R,4,FALSE),VLOOKUP($E95,武器奇术!$A:$R,2,FALSE))*(1+CB95)*(1+CC95)*CD95</f>
        <v>0</v>
      </c>
      <c r="CL95" s="110">
        <f t="shared" si="64"/>
        <v>0.00928814000000003</v>
      </c>
      <c r="CM95" s="113">
        <f t="shared" si="65"/>
        <v>0</v>
      </c>
      <c r="CN95" s="108">
        <f>$B$13*IF($G$5="撼天",1.05,1)+IF(AND(VLOOKUP($E95,武器奇术!$A:$R,15,FALSE)="武器",VLOOKUP($E95,武器奇术!$A:$R,17,FALSE)="破竹"),$E$3,0)*(1+$E$15)</f>
        <v>648.46</v>
      </c>
      <c r="CO95" s="99">
        <f>IF(VLOOKUP($E95,武器奇术!$A:$Z,20,FALSE)=1,(CP95-(CN95+CP95)*0.5)*($G$15-0.5)*2+(CN95+CP95)*0.5,(CN95+CP95)*0.5)</f>
        <v>875.26</v>
      </c>
      <c r="CP95" s="109">
        <f>MAX($C$13*IF($G$5="撼天",1.05,1)+IF(AND(VLOOKUP($E95,武器奇术!$A:$R,15,FALSE)="武器",VLOOKUP($E95,武器奇术!$A:$R,17,FALSE)="破竹"),$E$3*(1+$E$15),0),CN95)</f>
        <v>1102.06</v>
      </c>
      <c r="CQ95" s="110">
        <f>IF(($D$13+IF(VLOOKUP($E95,武器奇术!$A:$R,17,FALSE)="破竹",$D$15,0)+IF(VLOOKUP($E95,武器奇术!$A:$R,18,FALSE)=1,4,0)+IF(VLOOKUP($E95,武器奇术!$A:$S,19,FALSE)=1,20,0)-VLOOKUP($F$7,目标属性!$A:$R,6,FALSE))&gt;0,($D$13+IF(VLOOKUP($E95,武器奇术!$A:$R,17,FALSE)="破竹",$D$15,0)+IF(VLOOKUP($E95,武器奇术!$A:$R,18,FALSE)=1,4,0)+IF(VLOOKUP($E95,武器奇术!$A:$S,19,FALSE)=1,20,0)-VLOOKUP($F$7,目标属性!$A:$R,6,FALSE))/200,($D$13+IF(VLOOKUP($E95,武器奇术!$A:$R,17,FALSE)="破竹",$D$15,0)+IF(VLOOKUP($E95,武器奇术!$A:$R,18,FALSE)=1,4,0)+IF(VLOOKUP($E95,武器奇术!$A:$S,19,FALSE)=1,20,0)-VLOOKUP($F$7,目标属性!$A:$R,6,FALSE))/100)</f>
        <v>0.025</v>
      </c>
      <c r="CR95" s="111">
        <f>$E$13+IF(VLOOKUP($E95,武器奇术!$A:$U,21,FALSE)=1,0,0.09)</f>
        <v>0.235</v>
      </c>
      <c r="CS95" s="109">
        <v>1</v>
      </c>
      <c r="CT95" s="112">
        <f>CN95*IF(VLOOKUP($E95,武器奇术!$A:$R,17,FALSE)="破竹",VLOOKUP($E95,武器奇术!$A:$R,4,FALSE),VLOOKUP($E95,武器奇术!$A:$R,2,FALSE))*(1+CQ95)*(1+CR95)*CS95</f>
        <v>3007.1726027785</v>
      </c>
      <c r="CU95" s="110">
        <f>(1-IF(VLOOKUP($E95,武器奇术!$A:$T,20,FALSE)=1,1,$N95))*(1-$M95)</f>
        <v>0.01072666</v>
      </c>
      <c r="CV95" s="112">
        <f>CO95*IF(VLOOKUP($E95,武器奇术!$A:$R,17,FALSE)="破竹",VLOOKUP($E95,武器奇术!$A:$R,4,FALSE),VLOOKUP($E95,武器奇术!$A:$R,2,FALSE))*(1+CQ95)*(1+CR95)*CS95*(1+$E$16+VLOOKUP($E95,武器奇术!$A:$R,8,FALSE))</f>
        <v>6656.65568174594</v>
      </c>
      <c r="CW95" s="110">
        <f t="shared" si="66"/>
        <v>0.8813852</v>
      </c>
      <c r="CX95" s="112">
        <f>CP95*IF(VLOOKUP($E95,武器奇术!$A:$R,17,FALSE)="破竹",VLOOKUP($E95,武器奇术!$A:$R,4,FALSE),VLOOKUP($E95,武器奇术!$A:$R,2,FALSE))*(1+CQ95)*(1+CR95)*CS95*(1+$E$17+VLOOKUP($E95,武器奇术!$A:$R,10,FALSE))</f>
        <v>6899.44524278198</v>
      </c>
      <c r="CY95" s="110">
        <f t="shared" si="67"/>
        <v>0.0986</v>
      </c>
      <c r="CZ95" s="112">
        <f>CO95*IF(VLOOKUP($E95,武器奇术!$A:$R,17,FALSE)="破竹",VLOOKUP($E95,武器奇术!$A:$R,4,FALSE),VLOOKUP($E95,武器奇术!$A:$R,2,FALSE))*(1+CQ95)*(1+CR95)*CS95</f>
        <v>4058.9363913085</v>
      </c>
      <c r="DA95" s="110">
        <f t="shared" si="68"/>
        <v>0.00928814000000003</v>
      </c>
      <c r="DB95" s="113">
        <f t="shared" si="69"/>
        <v>6617.31998784997</v>
      </c>
      <c r="DC95" s="108">
        <f t="shared" si="36"/>
        <v>69.3</v>
      </c>
      <c r="DD95" s="99">
        <f>(DC95+DE95)*IF(VLOOKUP($E95,武器奇术!$A:$Z,21,FALSE)=1,$G$15,0.5)</f>
        <v>69.3</v>
      </c>
      <c r="DE95" s="109">
        <f t="shared" si="37"/>
        <v>69.3</v>
      </c>
      <c r="DF95" s="110">
        <f>IF(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100)</f>
        <v>0.025</v>
      </c>
      <c r="DG95" s="111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U,21,FALSE)=1,0,0.09)</f>
        <v>0.235</v>
      </c>
      <c r="DH95" s="109">
        <v>1</v>
      </c>
      <c r="DI95" s="112">
        <f>DC95*IF(VLOOKUP($E95,武器奇术!$A:$R,17,FALSE)="破竹",VLOOKUP($E95,武器奇术!$A:$R,4,FALSE),VLOOKUP($E95,武器奇术!$A:$R,2,FALSE))*(1+DF95)*(1+DG95)*DH95</f>
        <v>321.3722687175</v>
      </c>
      <c r="DJ95" s="110">
        <f>(1-IF(VLOOKUP($E95,武器奇术!$A:$T,20,FALSE)=1,1,$N95))*(1-$M95)</f>
        <v>0.01072666</v>
      </c>
      <c r="DK95" s="112">
        <f>DD95*IF(VLOOKUP($E95,武器奇术!$A:$R,17,FALSE)="破竹",VLOOKUP($E95,武器奇术!$A:$R,4,FALSE),VLOOKUP($E95,武器奇术!$A:$R,2,FALSE))*(1+DF95)*(1+DG95)*DH95*(1+$E$16+VLOOKUP($E95,武器奇术!$A:$R,8,FALSE))</f>
        <v>527.0505206967</v>
      </c>
      <c r="DL95" s="110">
        <f t="shared" si="70"/>
        <v>0.8813852</v>
      </c>
      <c r="DM95" s="112">
        <f>DE95*IF(VLOOKUP($E95,武器奇术!$A:$R,17,FALSE)="破竹",VLOOKUP($E95,武器奇术!$A:$R,4,FALSE),VLOOKUP($E95,武器奇术!$A:$R,2,FALSE))*(1+DF95)*(1+DG95)*DH95*(1+$E$17+VLOOKUP($E95,武器奇术!$A:$R,10,FALSE))</f>
        <v>433.852562768625</v>
      </c>
      <c r="DN95" s="110">
        <f t="shared" si="71"/>
        <v>0.0986</v>
      </c>
      <c r="DO95" s="112">
        <f>DD95*IF(VLOOKUP($E95,武器奇术!$A:$R,17,FALSE)="破竹",VLOOKUP($E95,武器奇术!$A:$R,4,FALSE),VLOOKUP($E95,武器奇术!$A:$R,2,FALSE))*(1+DF95)*(1+DG95)*DH95</f>
        <v>321.3722687175</v>
      </c>
      <c r="DP95" s="110">
        <f t="shared" si="72"/>
        <v>0.00928814000000003</v>
      </c>
      <c r="DQ95" s="113">
        <f t="shared" si="73"/>
        <v>513.744592967279</v>
      </c>
    </row>
    <row r="96" spans="1:121">
      <c r="A96" s="75"/>
      <c r="B96" t="s">
        <v>167</v>
      </c>
      <c r="C96" s="147">
        <v>1.7</v>
      </c>
      <c r="E96" s="98" t="s">
        <v>150</v>
      </c>
      <c r="F96" s="99">
        <v>1</v>
      </c>
      <c r="G96" s="115"/>
      <c r="H96" s="149">
        <f>IF(VLOOKUP($E96,武器奇术!$A:$R,18,FALSE)="天工",AE96,(AE96+AT96+BI96+BX96+CM96+DB96+DQ96))*(1+J96)*F96*K96*(1+G96)*(1+$G$21*5%)</f>
        <v>30591.7990799494</v>
      </c>
      <c r="I96" s="101">
        <f t="shared" si="42"/>
        <v>0.00377695265395131</v>
      </c>
      <c r="J96" s="101">
        <f>$F$3+VLOOKUP($E96,武器奇术!$A:$R,12,FALSE)+VLOOKUP($E96,武器奇术!$A:$R,14,FALSE)*$G$3+$P96</f>
        <v>0.573</v>
      </c>
      <c r="K96" s="102">
        <f>VLOOKUP($E96,武器奇术!$A:$R,11,FALSE)</f>
        <v>1</v>
      </c>
      <c r="L96" s="117">
        <f>IF(VLOOKUP($E96,武器奇术!$A:$R,15,FALSE)="天工",0%,IF($C$17+VLOOKUP($E96,武器奇术!$A:$R,7,FALSE)&gt;80%,80%,$C$17+VLOOKUP($E96,武器奇术!$A:$R,7,FALSE))+IF($C$19&gt;20%,20%,$C$19))</f>
        <v>0.892</v>
      </c>
      <c r="M96" s="118">
        <f>IF(VLOOKUP($E96,武器奇术!$A:$R,15,FALSE)="天工",0%,IF($C$18+VLOOKUP($E96,武器奇术!$A:$R,9,FALSE)&gt;40%,40%,$C$18+VLOOKUP($E96,武器奇术!$A:$R,9,FALSE))+IF($C$20&gt;10%,10%,$C$20))</f>
        <v>0.0986</v>
      </c>
      <c r="N96" s="119">
        <f>IF(VLOOKUP($E96,武器奇术!$A:$R,15,FALSE)="天工",100%,MIN($C$16,1))</f>
        <v>0.9881</v>
      </c>
      <c r="O96" s="120" t="str">
        <f>VLOOKUP($E96,武器奇术!$A:$R,16,FALSE)</f>
        <v>拳甲</v>
      </c>
      <c r="P96" s="121">
        <f t="shared" si="74"/>
        <v>0.17</v>
      </c>
      <c r="Q96" s="108">
        <f>$B$5*(1+VLOOKUP($E96,武器奇术!$A:$R,5,FALSE)+IF($G$5="飞隼",0.1,0)+IF($G$5="撼天",0.05,0))-$F$9+IF($I$5="√",160,0)</f>
        <v>1731.135</v>
      </c>
      <c r="R96" s="99">
        <f>IF(VLOOKUP($E96,武器奇术!$A:$Z,20,FALSE)=1,(S96-(Q96+S96)*0.5)*($G$15-0.5)*2+(Q96+S96)*0.5,(Q96+S96)*0.5)</f>
        <v>3256.775</v>
      </c>
      <c r="S96" s="109">
        <f>MAX($C$5,$B$5)*(1+VLOOKUP($E96,武器奇术!$A:$R,5,FALSE)+IF($G$5="飞隼",0.1,0)+IF($G$5="撼天",0.05,0))-$F$9+IF($I$5="√",320,0)</f>
        <v>4782.415</v>
      </c>
      <c r="T96" s="101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U96" s="111">
        <f>$E$5+IF(VLOOKUP($E96,武器奇术!$A:$U,21,FALSE)=1,0,0.09)</f>
        <v>0.115</v>
      </c>
      <c r="V96" s="109">
        <v>1</v>
      </c>
      <c r="W96" s="112">
        <f>Q96*VLOOKUP($E96,武器奇术!$A:$R,2,FALSE)*(1+T96)*(1+U96)*V96</f>
        <v>3086.79912340758</v>
      </c>
      <c r="X96" s="110">
        <f>(1-IF(VLOOKUP($E96,武器奇术!$A:$T,20,FALSE)=1,1,$N96))*(1-$M96)</f>
        <v>0.01072666</v>
      </c>
      <c r="Y96" s="112">
        <f>R96*VLOOKUP($E96,武器奇术!$A:$R,2,FALSE)*(1+T96)*(1+U96)*V96*(1+$E$16+VLOOKUP($E96,武器奇术!$A:$R,8,FALSE))</f>
        <v>9523.77298871699</v>
      </c>
      <c r="Z96" s="110">
        <f t="shared" si="39"/>
        <v>0.8813852</v>
      </c>
      <c r="AA96" s="112">
        <f>S96*VLOOKUP($E96,武器奇术!$A:$R,2,FALSE)*(1+T96)*(1+U96)*V96*(1+$E$17+VLOOKUP($E96,武器奇术!$A:$R,10,FALSE))</f>
        <v>11512.2035428729</v>
      </c>
      <c r="AB96" s="110">
        <f t="shared" si="40"/>
        <v>0.0986</v>
      </c>
      <c r="AC96" s="112">
        <f>R96*VLOOKUP($E96,武器奇术!$A:$R,2,FALSE)*(1+T96)*(1+U96)*V96</f>
        <v>5807.1786516567</v>
      </c>
      <c r="AD96" s="110">
        <f t="shared" si="43"/>
        <v>0.00928814000000003</v>
      </c>
      <c r="AE96" s="113">
        <f t="shared" si="44"/>
        <v>9616.26476274887</v>
      </c>
      <c r="AF96" s="114">
        <f>VLOOKUP($E96,武器奇术!$A:$R,3,FALSE)*(1+IF(VLOOKUP($E96,武器奇术!$A:$R,15,FALSE)="武器",$E$15,0))</f>
        <v>465.4</v>
      </c>
      <c r="AG96" s="112">
        <f t="shared" si="45"/>
        <v>465.4</v>
      </c>
      <c r="AH96" s="112">
        <f>VLOOKUP($E96,武器奇术!$A:$R,3,FALSE)*(1+IF(VLOOKUP($E96,武器奇术!$A:$R,15,FALSE)="武器",$E$15,0))</f>
        <v>465.4</v>
      </c>
      <c r="AI96" s="101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AJ96" s="111">
        <f>$E$5+IF(VLOOKUP($E96,武器奇术!$A:$U,21,FALSE)=1,0,0.09)</f>
        <v>0.115</v>
      </c>
      <c r="AK96" s="109">
        <v>1</v>
      </c>
      <c r="AL96" s="112">
        <f t="shared" si="41"/>
        <v>644.499882</v>
      </c>
      <c r="AM96" s="110">
        <f>(1-IF(VLOOKUP($E96,武器奇术!$A:$T,20,FALSE)=1,1,$N96))*(1-$M96)</f>
        <v>0.01072666</v>
      </c>
      <c r="AN96" s="112">
        <f>AG96*(1+AI96)*(1+AJ96)*AK96*(1+$E$16+VLOOKUP($E96,武器奇术!$A:$R,8,FALSE))</f>
        <v>1056.97980648</v>
      </c>
      <c r="AO96" s="110">
        <f t="shared" si="46"/>
        <v>0.8813852</v>
      </c>
      <c r="AP96" s="112">
        <f>AH96*(1+AI96)*(1+AJ96)*AK96*(1+$E$17+VLOOKUP($E96,武器奇术!$A:$R,10,FALSE))</f>
        <v>870.0748407</v>
      </c>
      <c r="AQ96" s="110">
        <f t="shared" si="47"/>
        <v>0.0986</v>
      </c>
      <c r="AR96" s="112">
        <f t="shared" si="48"/>
        <v>644.499882</v>
      </c>
      <c r="AS96" s="110">
        <f t="shared" si="49"/>
        <v>0.00928814000000003</v>
      </c>
      <c r="AT96" s="113">
        <f t="shared" si="50"/>
        <v>1030.29527366161</v>
      </c>
      <c r="AU96" s="108">
        <f>$B$7*IF($G$5="撼天",1.05,1)+IF(AND(VLOOKUP($E96,武器奇术!$A:$R,15,FALSE)="武器",VLOOKUP($E96,武器奇术!$A:$R,17,FALSE)="鸣金"),$E$3,0)*(1+$E$15)</f>
        <v>0</v>
      </c>
      <c r="AV96" s="99">
        <f>(AU96+AW96)*IF(VLOOKUP($E96,武器奇术!$A:$Z,21,FALSE)=1,$G$15,0.5)</f>
        <v>0</v>
      </c>
      <c r="AW96" s="109">
        <f>MAX($C$7*IF($G$5="撼天",1.05,1)+IF(AND(VLOOKUP($E96,武器奇术!$A:$R,15,FALSE)="武器",VLOOKUP($E96,武器奇术!$A:$R,17,FALSE)="鸣金"),$E$3*(1+$E$15),0),AU96)</f>
        <v>0</v>
      </c>
      <c r="AX96" s="110">
        <f>IF(($D$7+IF(VLOOKUP($E96,武器奇术!$A:$R,17,FALSE)="鸣金",$D$15,0)+IF(VLOOKUP($E96,武器奇术!$A:$R,18,FALSE)=1,4,0)+IF(VLOOKUP($E96,武器奇术!$A:$S,19,FALSE)=1,20,0)-VLOOKUP($F$7,目标属性!$A:$R,6,FALSE))&gt;0,($D$7+IF(VLOOKUP($E96,武器奇术!$A:$R,17,FALSE)="鸣金",$D$15,0)+IF(VLOOKUP($E96,武器奇术!$A:$R,18,FALSE)=1,4,0)+IF(VLOOKUP($E96,武器奇术!$A:$S,19,FALSE)=1,20,0)-VLOOKUP($F$7,目标属性!$A:$R,6,FALSE))/200,($D$7+IF(VLOOKUP($E96,武器奇术!$A:$R,17,FALSE)="鸣金",$D$15,0)+IF(VLOOKUP($E96,武器奇术!$A:$R,18,FALSE)=1,4,0)+IF(VLOOKUP($E96,武器奇术!$A:$S,19,FALSE)=1,20,0)-VLOOKUP($F$7,目标属性!$A:$R,6,FALSE))/100)</f>
        <v>-0.24</v>
      </c>
      <c r="AY96" s="111">
        <f t="shared" si="51"/>
        <v>0</v>
      </c>
      <c r="AZ96" s="109">
        <v>1</v>
      </c>
      <c r="BA96" s="112">
        <f>AU96*IF(VLOOKUP($E96,武器奇术!$A:$R,17,FALSE)="鸣金",VLOOKUP($E96,武器奇术!$A:$R,4,FALSE),VLOOKUP($E96,武器奇术!$A:$R,2,FALSE))*(1+AX96)*(1+AY96)*AZ96</f>
        <v>0</v>
      </c>
      <c r="BB96" s="110">
        <f>(1-IF(VLOOKUP($E96,武器奇术!$A:$T,20,FALSE)=1,1,$N96))*(1-$M96)</f>
        <v>0.01072666</v>
      </c>
      <c r="BC96" s="112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10">
        <f t="shared" si="52"/>
        <v>0.8813852</v>
      </c>
      <c r="BE96" s="112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10">
        <f t="shared" si="53"/>
        <v>0.0986</v>
      </c>
      <c r="BG96" s="112">
        <f>AV96*IF(VLOOKUP($E96,武器奇术!$A:$R,17,FALSE)="鸣金",VLOOKUP($E96,武器奇术!$A:$R,4,FALSE),VLOOKUP($E96,武器奇术!$A:$R,2,FALSE))*(1+AX96)*(1+AY96)*AZ96</f>
        <v>0</v>
      </c>
      <c r="BH96" s="110">
        <f t="shared" si="54"/>
        <v>0.00928814000000003</v>
      </c>
      <c r="BI96" s="113">
        <f t="shared" si="55"/>
        <v>0</v>
      </c>
      <c r="BJ96" s="108">
        <f>$B$9*IF($G$5="撼天",1.05,1)+IF(AND(VLOOKUP($E96,武器奇术!$A:$R,15,FALSE)="武器",VLOOKUP($E96,武器奇术!$A:$R,17,FALSE)="裂石"),$E$3,0)*(1+$E$15)</f>
        <v>0</v>
      </c>
      <c r="BK96" s="99">
        <f>(BJ96+BL96)*IF(VLOOKUP($E96,武器奇术!$A:$Z,21,FALSE)=1,$G$15,0.5)</f>
        <v>0</v>
      </c>
      <c r="BL96" s="109">
        <f>MAX($C$9*IF($G$5="撼天",1.05,1)+IF(AND(VLOOKUP($E96,武器奇术!$A:$R,15,FALSE)="武器",VLOOKUP($E96,武器奇术!$A:$R,17,FALSE)="裂石"),$E$3*(1+$E$15),0),BJ96)</f>
        <v>0</v>
      </c>
      <c r="BM96" s="110">
        <f>IF(($D$9+IF(VLOOKUP($E96,武器奇术!$A:$R,17,FALSE)="裂石",$D$15,0)+IF(VLOOKUP($E96,武器奇术!$A:$R,18,FALSE)=1,4,0)+IF(VLOOKUP($E96,武器奇术!$A:$S,19,FALSE)=1,20,0)-VLOOKUP($F$7,目标属性!$A:$R,6,FALSE))&gt;0,($D$9+IF(VLOOKUP($E96,武器奇术!$A:$R,17,FALSE)="裂石",$D$15,0)+IF(VLOOKUP($E96,武器奇术!$A:$R,18,FALSE)=1,4,0)+IF(VLOOKUP($E96,武器奇术!$A:$S,19,FALSE)=1,20,0)-VLOOKUP($F$7,目标属性!$A:$R,6,FALSE))/200,($D$9+IF(VLOOKUP($E96,武器奇术!$A:$R,17,FALSE)="裂石",$D$15,0)+IF(VLOOKUP($E96,武器奇术!$A:$R,18,FALSE)=1,4,0)+IF(VLOOKUP($E96,武器奇术!$A:$S,19,FALSE)=1,20,0)-VLOOKUP($F$7,目标属性!$A:$R,6,FALSE))/100)</f>
        <v>-0.24</v>
      </c>
      <c r="BN96" s="111">
        <f t="shared" si="56"/>
        <v>0</v>
      </c>
      <c r="BO96" s="109">
        <v>1</v>
      </c>
      <c r="BP96" s="112">
        <f>BJ96*IF(VLOOKUP($E96,武器奇术!$A:$R,17,FALSE)="裂石",VLOOKUP($E96,武器奇术!$A:$R,4,FALSE),VLOOKUP($E96,武器奇术!$A:$R,2,FALSE))*(1+BM96)*(1+BN96)*BO96</f>
        <v>0</v>
      </c>
      <c r="BQ96" s="110">
        <f>(1-IF(VLOOKUP($E96,武器奇术!$A:$T,20,FALSE)=1,1,$N96))*(1-$M96)</f>
        <v>0.01072666</v>
      </c>
      <c r="BR96" s="112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10">
        <f t="shared" si="57"/>
        <v>0.8813852</v>
      </c>
      <c r="BT96" s="112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10">
        <f t="shared" si="58"/>
        <v>0.0986</v>
      </c>
      <c r="BV96" s="112">
        <f>BK96*IF(VLOOKUP($E96,武器奇术!$A:$R,17,FALSE)="裂石",VLOOKUP($E96,武器奇术!$A:$R,4,FALSE),VLOOKUP($E96,武器奇术!$A:$R,2,FALSE))*(1+BM96)*(1+BN96)*BO96</f>
        <v>0</v>
      </c>
      <c r="BW96" s="110">
        <f t="shared" si="59"/>
        <v>0.00928814000000003</v>
      </c>
      <c r="BX96" s="113">
        <f t="shared" si="60"/>
        <v>0</v>
      </c>
      <c r="BY96" s="108">
        <f>$B$11*IF($G$5="撼天",1.05,1)+IF(AND(VLOOKUP($E96,武器奇术!$A:$R,15,FALSE)="武器",VLOOKUP($E96,武器奇术!$A:$R,17,FALSE)="牵丝"),$E$3,0)*(1+$E$15)</f>
        <v>0</v>
      </c>
      <c r="BZ96" s="99">
        <f>(BY96+CA96)*IF(VLOOKUP($E96,武器奇术!$A:$Z,21,FALSE)=1,$G$15,0.5)</f>
        <v>0</v>
      </c>
      <c r="CA96" s="109">
        <f>MAX($C$11*IF($G$5="撼天",1.05,1)+IF(AND(VLOOKUP($E96,武器奇术!$A:$R,15,FALSE)="武器",VLOOKUP($E96,武器奇术!$A:$R,17,FALSE)="牵丝"),$E$3*(1+$E$15),0),BY96)</f>
        <v>0</v>
      </c>
      <c r="CB96" s="110">
        <f>IF(($D$11+IF(VLOOKUP($E96,武器奇术!$A:$R,17,FALSE)="牵丝",$D$15,0)+IF(VLOOKUP($E96,武器奇术!$A:$R,18,FALSE)=1,4,0)+IF(VLOOKUP($E96,武器奇术!$A:$S,19,FALSE)=1,20,0)-VLOOKUP($F$7,目标属性!$A:$R,6,FALSE))&gt;0,($D$11+IF(VLOOKUP($E96,武器奇术!$A:$R,17,FALSE)="牵丝",$D$15,0)+IF(VLOOKUP($E96,武器奇术!$A:$R,18,FALSE)=1,4,0)+IF(VLOOKUP($E96,武器奇术!$A:$S,19,FALSE)=1,20,0)-VLOOKUP($F$7,目标属性!$A:$R,6,FALSE))/200,($D$11+IF(VLOOKUP($E96,武器奇术!$A:$R,17,FALSE)="牵丝",$D$15,0)+IF(VLOOKUP($E96,武器奇术!$A:$R,18,FALSE)=1,4,0)+IF(VLOOKUP($E96,武器奇术!$A:$S,19,FALSE)=1,20,0)-VLOOKUP($F$7,目标属性!$A:$R,6,FALSE))/100)</f>
        <v>-0.24</v>
      </c>
      <c r="CC96" s="111">
        <f t="shared" si="61"/>
        <v>0</v>
      </c>
      <c r="CD96" s="109">
        <v>1</v>
      </c>
      <c r="CE96" s="112">
        <f>BY96*IF(VLOOKUP($E96,武器奇术!$A:$R,17,FALSE)="牵丝",VLOOKUP($E96,武器奇术!$A:$R,4,FALSE),VLOOKUP($E96,武器奇术!$A:$R,2,FALSE))*(1+CB96)*(1+CC96)*CD96</f>
        <v>0</v>
      </c>
      <c r="CF96" s="110">
        <f>(1-IF(VLOOKUP($E96,武器奇术!$A:$T,20,FALSE)=1,1,$N96))*(1-$M96)</f>
        <v>0.01072666</v>
      </c>
      <c r="CG96" s="112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110">
        <f t="shared" si="62"/>
        <v>0.8813852</v>
      </c>
      <c r="CI96" s="112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110">
        <f t="shared" si="63"/>
        <v>0.0986</v>
      </c>
      <c r="CK96" s="112">
        <f>BZ96*IF(VLOOKUP($E96,武器奇术!$A:$R,17,FALSE)="牵丝",VLOOKUP($E96,武器奇术!$A:$R,4,FALSE),VLOOKUP($E96,武器奇术!$A:$R,2,FALSE))*(1+CB96)*(1+CC96)*CD96</f>
        <v>0</v>
      </c>
      <c r="CL96" s="110">
        <f t="shared" si="64"/>
        <v>0.00928814000000003</v>
      </c>
      <c r="CM96" s="113">
        <f t="shared" si="65"/>
        <v>0</v>
      </c>
      <c r="CN96" s="108">
        <f>$B$13*IF($G$5="撼天",1.05,1)+IF(AND(VLOOKUP($E96,武器奇术!$A:$R,15,FALSE)="武器",VLOOKUP($E96,武器奇术!$A:$R,17,FALSE)="破竹"),$E$3,0)*(1+$E$15)</f>
        <v>648.46</v>
      </c>
      <c r="CO96" s="99">
        <f>IF(VLOOKUP($E96,武器奇术!$A:$Z,20,FALSE)=1,(CP96-(CN96+CP96)*0.5)*($G$15-0.5)*2+(CN96+CP96)*0.5,(CN96+CP96)*0.5)</f>
        <v>875.26</v>
      </c>
      <c r="CP96" s="109">
        <f>MAX($C$13*IF($G$5="撼天",1.05,1)+IF(AND(VLOOKUP($E96,武器奇术!$A:$R,15,FALSE)="武器",VLOOKUP($E96,武器奇术!$A:$R,17,FALSE)="破竹"),$E$3*(1+$E$15),0),CN96)</f>
        <v>1102.06</v>
      </c>
      <c r="CQ96" s="110">
        <f>IF(($D$13+IF(VLOOKUP($E96,武器奇术!$A:$R,17,FALSE)="破竹",$D$15,0)+IF(VLOOKUP($E96,武器奇术!$A:$R,18,FALSE)=1,4,0)+IF(VLOOKUP($E96,武器奇术!$A:$S,19,FALSE)=1,20,0)-VLOOKUP($F$7,目标属性!$A:$R,6,FALSE))&gt;0,($D$13+IF(VLOOKUP($E96,武器奇术!$A:$R,17,FALSE)="破竹",$D$15,0)+IF(VLOOKUP($E96,武器奇术!$A:$R,18,FALSE)=1,4,0)+IF(VLOOKUP($E96,武器奇术!$A:$S,19,FALSE)=1,20,0)-VLOOKUP($F$7,目标属性!$A:$R,6,FALSE))/200,($D$13+IF(VLOOKUP($E96,武器奇术!$A:$R,17,FALSE)="破竹",$D$15,0)+IF(VLOOKUP($E96,武器奇术!$A:$R,18,FALSE)=1,4,0)+IF(VLOOKUP($E96,武器奇术!$A:$S,19,FALSE)=1,20,0)-VLOOKUP($F$7,目标属性!$A:$R,6,FALSE))/100)</f>
        <v>0.025</v>
      </c>
      <c r="CR96" s="111">
        <f>$E$13+IF(VLOOKUP($E96,武器奇术!$A:$U,21,FALSE)=1,0,0.09)</f>
        <v>0.235</v>
      </c>
      <c r="CS96" s="109">
        <v>1</v>
      </c>
      <c r="CT96" s="112">
        <f>CN96*IF(VLOOKUP($E96,武器奇术!$A:$R,17,FALSE)="破竹",VLOOKUP($E96,武器奇术!$A:$R,4,FALSE),VLOOKUP($E96,武器奇术!$A:$R,2,FALSE))*(1+CQ96)*(1+CR96)*CS96</f>
        <v>1585.34488391825</v>
      </c>
      <c r="CU96" s="110">
        <f>(1-IF(VLOOKUP($E96,武器奇术!$A:$T,20,FALSE)=1,1,$N96))*(1-$M96)</f>
        <v>0.01072666</v>
      </c>
      <c r="CV96" s="112">
        <f>CO96*IF(VLOOKUP($E96,武器奇术!$A:$R,17,FALSE)="破竹",VLOOKUP($E96,武器奇术!$A:$R,4,FALSE),VLOOKUP($E96,武器奇术!$A:$R,2,FALSE))*(1+CQ96)*(1+CR96)*CS96*(1+$E$16+VLOOKUP($E96,武器奇术!$A:$R,8,FALSE))</f>
        <v>3509.30805212533</v>
      </c>
      <c r="CW96" s="110">
        <f t="shared" si="66"/>
        <v>0.8813852</v>
      </c>
      <c r="CX96" s="112">
        <f>CP96*IF(VLOOKUP($E96,武器奇术!$A:$R,17,FALSE)="破竹",VLOOKUP($E96,武器奇术!$A:$R,4,FALSE),VLOOKUP($E96,武器奇术!$A:$R,2,FALSE))*(1+CQ96)*(1+CR96)*CS96*(1+$E$17+VLOOKUP($E96,武器奇术!$A:$R,10,FALSE))</f>
        <v>3637.30376081914</v>
      </c>
      <c r="CY96" s="110">
        <f t="shared" si="67"/>
        <v>0.0986</v>
      </c>
      <c r="CZ96" s="112">
        <f>CO96*IF(VLOOKUP($E96,武器奇术!$A:$R,17,FALSE)="破竹",VLOOKUP($E96,武器奇术!$A:$R,4,FALSE),VLOOKUP($E96,武器奇术!$A:$R,2,FALSE))*(1+CQ96)*(1+CR96)*CS96</f>
        <v>2139.82198300325</v>
      </c>
      <c r="DA96" s="110">
        <f t="shared" si="68"/>
        <v>0.00928814000000003</v>
      </c>
      <c r="DB96" s="113">
        <f t="shared" si="69"/>
        <v>3488.5707519066</v>
      </c>
      <c r="DC96" s="108">
        <f t="shared" si="36"/>
        <v>69.3</v>
      </c>
      <c r="DD96" s="99">
        <f>(DC96+DE96)*IF(VLOOKUP($E96,武器奇术!$A:$Z,21,FALSE)=1,$G$15,0.5)</f>
        <v>69.3</v>
      </c>
      <c r="DE96" s="109">
        <f t="shared" si="37"/>
        <v>69.3</v>
      </c>
      <c r="DF96" s="110">
        <f>IF(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100)</f>
        <v>0.025</v>
      </c>
      <c r="DG96" s="111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U,21,FALSE)=1,0,0.09)</f>
        <v>0.235</v>
      </c>
      <c r="DH96" s="109">
        <v>1</v>
      </c>
      <c r="DI96" s="112">
        <f>DC96*IF(VLOOKUP($E96,武器奇术!$A:$R,17,FALSE)="破竹",VLOOKUP($E96,武器奇术!$A:$R,4,FALSE),VLOOKUP($E96,武器奇术!$A:$R,2,FALSE))*(1+DF96)*(1+DG96)*DH96</f>
        <v>169.42355805375</v>
      </c>
      <c r="DJ96" s="110">
        <f>(1-IF(VLOOKUP($E96,武器奇术!$A:$T,20,FALSE)=1,1,$N96))*(1-$M96)</f>
        <v>0.01072666</v>
      </c>
      <c r="DK96" s="112">
        <f>DD96*IF(VLOOKUP($E96,武器奇术!$A:$R,17,FALSE)="破竹",VLOOKUP($E96,武器奇术!$A:$R,4,FALSE),VLOOKUP($E96,武器奇术!$A:$R,2,FALSE))*(1+DF96)*(1+DG96)*DH96*(1+$E$16+VLOOKUP($E96,武器奇术!$A:$R,8,FALSE))</f>
        <v>277.85463520815</v>
      </c>
      <c r="DL96" s="110">
        <f t="shared" si="70"/>
        <v>0.8813852</v>
      </c>
      <c r="DM96" s="112">
        <f>DE96*IF(VLOOKUP($E96,武器奇术!$A:$R,17,FALSE)="破竹",VLOOKUP($E96,武器奇术!$A:$R,4,FALSE),VLOOKUP($E96,武器奇术!$A:$R,2,FALSE))*(1+DF96)*(1+DG96)*DH96*(1+$E$17+VLOOKUP($E96,武器奇术!$A:$R,10,FALSE))</f>
        <v>228.721803372562</v>
      </c>
      <c r="DN96" s="110">
        <f t="shared" si="71"/>
        <v>0.0986</v>
      </c>
      <c r="DO96" s="112">
        <f>DD96*IF(VLOOKUP($E96,武器奇术!$A:$R,17,FALSE)="破竹",VLOOKUP($E96,武器奇术!$A:$R,4,FALSE),VLOOKUP($E96,武器奇术!$A:$R,2,FALSE))*(1+DF96)*(1+DG96)*DH96</f>
        <v>169.42355805375</v>
      </c>
      <c r="DP96" s="110">
        <f t="shared" si="72"/>
        <v>0.00928814000000003</v>
      </c>
      <c r="DQ96" s="113">
        <f t="shared" si="73"/>
        <v>270.839911666131</v>
      </c>
    </row>
    <row r="97" spans="1:121">
      <c r="A97" s="75" t="s">
        <v>172</v>
      </c>
      <c r="B97" t="s">
        <v>154</v>
      </c>
      <c r="C97">
        <v>0.9</v>
      </c>
      <c r="E97" s="98" t="s">
        <v>151</v>
      </c>
      <c r="F97" s="99">
        <v>1</v>
      </c>
      <c r="G97" s="115"/>
      <c r="H97" s="149">
        <f>IF(VLOOKUP($E97,武器奇术!$A:$R,18,FALSE)="天工",AE97,(AE97+AT97+BI97+BX97+CM97+DB97+DQ97))*(1+J97)*F97*K97*(1+G97)*(1+$G$21*5%)</f>
        <v>67590.9663363644</v>
      </c>
      <c r="I97" s="101">
        <f t="shared" si="42"/>
        <v>0.00834497765300071</v>
      </c>
      <c r="J97" s="101">
        <f>$F$3+VLOOKUP($E97,武器奇术!$A:$R,12,FALSE)+VLOOKUP($E97,武器奇术!$A:$R,14,FALSE)*$G$3+$P97</f>
        <v>0.873</v>
      </c>
      <c r="K97" s="102">
        <f>VLOOKUP($E97,武器奇术!$A:$R,11,FALSE)</f>
        <v>1</v>
      </c>
      <c r="L97" s="117">
        <f>IF(VLOOKUP($E97,武器奇术!$A:$R,15,FALSE)="天工",0%,IF($C$17+VLOOKUP($E97,武器奇术!$A:$R,7,FALSE)&gt;80%,80%,$C$17+VLOOKUP($E97,武器奇术!$A:$R,7,FALSE))+IF($C$19&gt;20%,20%,$C$19))</f>
        <v>0.892</v>
      </c>
      <c r="M97" s="118">
        <f>IF(VLOOKUP($E97,武器奇术!$A:$R,15,FALSE)="天工",0%,IF($C$18+VLOOKUP($E97,武器奇术!$A:$R,9,FALSE)&gt;40%,40%,$C$18+VLOOKUP($E97,武器奇术!$A:$R,9,FALSE))+IF($C$20&gt;10%,10%,$C$20))</f>
        <v>0.0986</v>
      </c>
      <c r="N97" s="119">
        <f>IF(VLOOKUP($E97,武器奇术!$A:$R,15,FALSE)="天工",100%,MIN($C$16,1))</f>
        <v>0.9881</v>
      </c>
      <c r="O97" s="120" t="str">
        <f>VLOOKUP($E97,武器奇术!$A:$R,16,FALSE)</f>
        <v>拳甲</v>
      </c>
      <c r="P97" s="121">
        <f t="shared" si="74"/>
        <v>0.17</v>
      </c>
      <c r="Q97" s="108">
        <f>$B$5*(1+VLOOKUP($E97,武器奇术!$A:$R,5,FALSE)+IF($G$5="飞隼",0.1,0)+IF($G$5="撼天",0.05,0))-$F$9+IF($I$5="√",160,0)</f>
        <v>1731.135</v>
      </c>
      <c r="R97" s="99">
        <f>IF(VLOOKUP($E97,武器奇术!$A:$Z,20,FALSE)=1,(S97-(Q97+S97)*0.5)*($G$15-0.5)*2+(Q97+S97)*0.5,(Q97+S97)*0.5)</f>
        <v>3256.775</v>
      </c>
      <c r="S97" s="109">
        <f>MAX($C$5,$B$5)*(1+VLOOKUP($E97,武器奇术!$A:$R,5,FALSE)+IF($G$5="飞隼",0.1,0)+IF($G$5="撼天",0.05,0))-$F$9+IF($I$5="√",320,0)</f>
        <v>4782.415</v>
      </c>
      <c r="T97" s="101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U97" s="111">
        <f>$E$5+IF(VLOOKUP($E97,武器奇术!$A:$U,21,FALSE)=1,0,0.09)</f>
        <v>0.115</v>
      </c>
      <c r="V97" s="109">
        <v>1</v>
      </c>
      <c r="W97" s="112">
        <f>Q97*VLOOKUP($E97,武器奇术!$A:$R,2,FALSE)*(1+T97)*(1+U97)*V97</f>
        <v>5595.154346628</v>
      </c>
      <c r="X97" s="110">
        <f>(1-IF(VLOOKUP($E97,武器奇术!$A:$T,20,FALSE)=1,1,$N97))*(1-$M97)</f>
        <v>0.01072666</v>
      </c>
      <c r="Y97" s="112">
        <f>R97*VLOOKUP($E97,武器奇术!$A:$R,2,FALSE)*(1+T97)*(1+U97)*V97*(1+$E$16+VLOOKUP($E97,武器奇术!$A:$R,8,FALSE))</f>
        <v>20420.6997528468</v>
      </c>
      <c r="Z97" s="110">
        <f t="shared" si="39"/>
        <v>0.8813852</v>
      </c>
      <c r="AA97" s="112">
        <f>S97*VLOOKUP($E97,武器奇术!$A:$R,2,FALSE)*(1+T97)*(1+U97)*V97*(1+$E$17+VLOOKUP($E97,武器奇术!$A:$R,10,FALSE))</f>
        <v>20867.1031437462</v>
      </c>
      <c r="AB97" s="110">
        <f t="shared" si="40"/>
        <v>0.0986</v>
      </c>
      <c r="AC97" s="112">
        <f>R97*VLOOKUP($E97,武器奇术!$A:$R,2,FALSE)*(1+T97)*(1+U97)*V97</f>
        <v>10526.13389322</v>
      </c>
      <c r="AD97" s="110">
        <f t="shared" si="43"/>
        <v>0.00928814000000003</v>
      </c>
      <c r="AE97" s="113">
        <f t="shared" si="44"/>
        <v>20213.784429359</v>
      </c>
      <c r="AF97" s="114">
        <f>VLOOKUP($E97,武器奇术!$A:$R,3,FALSE)*(1+IF(VLOOKUP($E97,武器奇术!$A:$R,15,FALSE)="武器",$E$15,0))</f>
        <v>0</v>
      </c>
      <c r="AG97" s="112">
        <f t="shared" si="45"/>
        <v>0</v>
      </c>
      <c r="AH97" s="112">
        <f>VLOOKUP($E97,武器奇术!$A:$R,3,FALSE)*(1+IF(VLOOKUP($E97,武器奇术!$A:$R,15,FALSE)="武器",$E$15,0))</f>
        <v>0</v>
      </c>
      <c r="AI97" s="101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AJ97" s="111">
        <f>$E$5+IF(VLOOKUP($E97,武器奇术!$A:$U,21,FALSE)=1,0,0.09)</f>
        <v>0.115</v>
      </c>
      <c r="AK97" s="109">
        <v>1</v>
      </c>
      <c r="AL97" s="112">
        <f t="shared" si="41"/>
        <v>0</v>
      </c>
      <c r="AM97" s="110">
        <f>(1-IF(VLOOKUP($E97,武器奇术!$A:$T,20,FALSE)=1,1,$N97))*(1-$M97)</f>
        <v>0.01072666</v>
      </c>
      <c r="AN97" s="112">
        <f>AG97*(1+AI97)*(1+AJ97)*AK97*(1+$E$16+VLOOKUP($E97,武器奇术!$A:$R,8,FALSE))</f>
        <v>0</v>
      </c>
      <c r="AO97" s="110">
        <f t="shared" si="46"/>
        <v>0.8813852</v>
      </c>
      <c r="AP97" s="112">
        <f>AH97*(1+AI97)*(1+AJ97)*AK97*(1+$E$17+VLOOKUP($E97,武器奇术!$A:$R,10,FALSE))</f>
        <v>0</v>
      </c>
      <c r="AQ97" s="110">
        <f t="shared" si="47"/>
        <v>0.0986</v>
      </c>
      <c r="AR97" s="112">
        <f t="shared" si="48"/>
        <v>0</v>
      </c>
      <c r="AS97" s="110">
        <f t="shared" si="49"/>
        <v>0.00928814000000003</v>
      </c>
      <c r="AT97" s="113">
        <f t="shared" si="50"/>
        <v>0</v>
      </c>
      <c r="AU97" s="108">
        <f>$B$7*IF($G$5="撼天",1.05,1)+IF(AND(VLOOKUP($E97,武器奇术!$A:$R,15,FALSE)="武器",VLOOKUP($E97,武器奇术!$A:$R,17,FALSE)="鸣金"),$E$3,0)*(1+$E$15)</f>
        <v>0</v>
      </c>
      <c r="AV97" s="99">
        <f>(AU97+AW97)*IF(VLOOKUP($E97,武器奇术!$A:$Z,21,FALSE)=1,$G$15,0.5)</f>
        <v>0</v>
      </c>
      <c r="AW97" s="109">
        <f>MAX($C$7*IF($G$5="撼天",1.05,1)+IF(AND(VLOOKUP($E97,武器奇术!$A:$R,15,FALSE)="武器",VLOOKUP($E97,武器奇术!$A:$R,17,FALSE)="鸣金"),$E$3*(1+$E$15),0),AU97)</f>
        <v>0</v>
      </c>
      <c r="AX97" s="110">
        <f>IF(($D$7+IF(VLOOKUP($E97,武器奇术!$A:$R,17,FALSE)="鸣金",$D$15,0)+IF(VLOOKUP($E97,武器奇术!$A:$R,18,FALSE)=1,4,0)+IF(VLOOKUP($E97,武器奇术!$A:$S,19,FALSE)=1,20,0)-VLOOKUP($F$7,目标属性!$A:$R,6,FALSE))&gt;0,($D$7+IF(VLOOKUP($E97,武器奇术!$A:$R,17,FALSE)="鸣金",$D$15,0)+IF(VLOOKUP($E97,武器奇术!$A:$R,18,FALSE)=1,4,0)+IF(VLOOKUP($E97,武器奇术!$A:$S,19,FALSE)=1,20,0)-VLOOKUP($F$7,目标属性!$A:$R,6,FALSE))/200,($D$7+IF(VLOOKUP($E97,武器奇术!$A:$R,17,FALSE)="鸣金",$D$15,0)+IF(VLOOKUP($E97,武器奇术!$A:$R,18,FALSE)=1,4,0)+IF(VLOOKUP($E97,武器奇术!$A:$S,19,FALSE)=1,20,0)-VLOOKUP($F$7,目标属性!$A:$R,6,FALSE))/100)</f>
        <v>0</v>
      </c>
      <c r="AY97" s="111">
        <f t="shared" si="51"/>
        <v>0</v>
      </c>
      <c r="AZ97" s="109">
        <v>1</v>
      </c>
      <c r="BA97" s="112">
        <f>AU97*IF(VLOOKUP($E97,武器奇术!$A:$R,17,FALSE)="鸣金",VLOOKUP($E97,武器奇术!$A:$R,4,FALSE),VLOOKUP($E97,武器奇术!$A:$R,2,FALSE))*(1+AX97)*(1+AY97)*AZ97</f>
        <v>0</v>
      </c>
      <c r="BB97" s="110">
        <f>(1-IF(VLOOKUP($E97,武器奇术!$A:$T,20,FALSE)=1,1,$N97))*(1-$M97)</f>
        <v>0.01072666</v>
      </c>
      <c r="BC97" s="112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10">
        <f t="shared" si="52"/>
        <v>0.8813852</v>
      </c>
      <c r="BE97" s="112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10">
        <f t="shared" si="53"/>
        <v>0.0986</v>
      </c>
      <c r="BG97" s="112">
        <f>AV97*IF(VLOOKUP($E97,武器奇术!$A:$R,17,FALSE)="鸣金",VLOOKUP($E97,武器奇术!$A:$R,4,FALSE),VLOOKUP($E97,武器奇术!$A:$R,2,FALSE))*(1+AX97)*(1+AY97)*AZ97</f>
        <v>0</v>
      </c>
      <c r="BH97" s="110">
        <f t="shared" si="54"/>
        <v>0.00928814000000003</v>
      </c>
      <c r="BI97" s="113">
        <f t="shared" si="55"/>
        <v>0</v>
      </c>
      <c r="BJ97" s="108">
        <f>$B$9*IF($G$5="撼天",1.05,1)+IF(AND(VLOOKUP($E97,武器奇术!$A:$R,15,FALSE)="武器",VLOOKUP($E97,武器奇术!$A:$R,17,FALSE)="裂石"),$E$3,0)*(1+$E$15)</f>
        <v>0</v>
      </c>
      <c r="BK97" s="99">
        <f>(BJ97+BL97)*IF(VLOOKUP($E97,武器奇术!$A:$Z,21,FALSE)=1,$G$15,0.5)</f>
        <v>0</v>
      </c>
      <c r="BL97" s="109">
        <f>MAX($C$9*IF($G$5="撼天",1.05,1)+IF(AND(VLOOKUP($E97,武器奇术!$A:$R,15,FALSE)="武器",VLOOKUP($E97,武器奇术!$A:$R,17,FALSE)="裂石"),$E$3*(1+$E$15),0),BJ97)</f>
        <v>0</v>
      </c>
      <c r="BM97" s="110">
        <f>IF(($D$9+IF(VLOOKUP($E97,武器奇术!$A:$R,17,FALSE)="裂石",$D$15,0)+IF(VLOOKUP($E97,武器奇术!$A:$R,18,FALSE)=1,4,0)+IF(VLOOKUP($E97,武器奇术!$A:$S,19,FALSE)=1,20,0)-VLOOKUP($F$7,目标属性!$A:$R,6,FALSE))&gt;0,($D$9+IF(VLOOKUP($E97,武器奇术!$A:$R,17,FALSE)="裂石",$D$15,0)+IF(VLOOKUP($E97,武器奇术!$A:$R,18,FALSE)=1,4,0)+IF(VLOOKUP($E97,武器奇术!$A:$S,19,FALSE)=1,20,0)-VLOOKUP($F$7,目标属性!$A:$R,6,FALSE))/200,($D$9+IF(VLOOKUP($E97,武器奇术!$A:$R,17,FALSE)="裂石",$D$15,0)+IF(VLOOKUP($E97,武器奇术!$A:$R,18,FALSE)=1,4,0)+IF(VLOOKUP($E97,武器奇术!$A:$S,19,FALSE)=1,20,0)-VLOOKUP($F$7,目标属性!$A:$R,6,FALSE))/100)</f>
        <v>0</v>
      </c>
      <c r="BN97" s="111">
        <f t="shared" si="56"/>
        <v>0</v>
      </c>
      <c r="BO97" s="109">
        <v>1</v>
      </c>
      <c r="BP97" s="112">
        <f>BJ97*IF(VLOOKUP($E97,武器奇术!$A:$R,17,FALSE)="裂石",VLOOKUP($E97,武器奇术!$A:$R,4,FALSE),VLOOKUP($E97,武器奇术!$A:$R,2,FALSE))*(1+BM97)*(1+BN97)*BO97</f>
        <v>0</v>
      </c>
      <c r="BQ97" s="110">
        <f>(1-IF(VLOOKUP($E97,武器奇术!$A:$T,20,FALSE)=1,1,$N97))*(1-$M97)</f>
        <v>0.01072666</v>
      </c>
      <c r="BR97" s="112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10">
        <f t="shared" si="57"/>
        <v>0.8813852</v>
      </c>
      <c r="BT97" s="112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10">
        <f t="shared" si="58"/>
        <v>0.0986</v>
      </c>
      <c r="BV97" s="112">
        <f>BK97*IF(VLOOKUP($E97,武器奇术!$A:$R,17,FALSE)="裂石",VLOOKUP($E97,武器奇术!$A:$R,4,FALSE),VLOOKUP($E97,武器奇术!$A:$R,2,FALSE))*(1+BM97)*(1+BN97)*BO97</f>
        <v>0</v>
      </c>
      <c r="BW97" s="110">
        <f t="shared" si="59"/>
        <v>0.00928814000000003</v>
      </c>
      <c r="BX97" s="113">
        <f t="shared" si="60"/>
        <v>0</v>
      </c>
      <c r="BY97" s="108">
        <f>$B$11*IF($G$5="撼天",1.05,1)+IF(AND(VLOOKUP($E97,武器奇术!$A:$R,15,FALSE)="武器",VLOOKUP($E97,武器奇术!$A:$R,17,FALSE)="牵丝"),$E$3,0)*(1+$E$15)</f>
        <v>0</v>
      </c>
      <c r="BZ97" s="99">
        <f>(BY97+CA97)*IF(VLOOKUP($E97,武器奇术!$A:$Z,21,FALSE)=1,$G$15,0.5)</f>
        <v>0</v>
      </c>
      <c r="CA97" s="109">
        <f>MAX($C$11*IF($G$5="撼天",1.05,1)+IF(AND(VLOOKUP($E97,武器奇术!$A:$R,15,FALSE)="武器",VLOOKUP($E97,武器奇术!$A:$R,17,FALSE)="牵丝"),$E$3*(1+$E$15),0),BY97)</f>
        <v>0</v>
      </c>
      <c r="CB97" s="110">
        <f>IF(($D$11+IF(VLOOKUP($E97,武器奇术!$A:$R,17,FALSE)="牵丝",$D$15,0)+IF(VLOOKUP($E97,武器奇术!$A:$R,18,FALSE)=1,4,0)+IF(VLOOKUP($E97,武器奇术!$A:$S,19,FALSE)=1,20,0)-VLOOKUP($F$7,目标属性!$A:$R,6,FALSE))&gt;0,($D$11+IF(VLOOKUP($E97,武器奇术!$A:$R,17,FALSE)="牵丝",$D$15,0)+IF(VLOOKUP($E97,武器奇术!$A:$R,18,FALSE)=1,4,0)+IF(VLOOKUP($E97,武器奇术!$A:$S,19,FALSE)=1,20,0)-VLOOKUP($F$7,目标属性!$A:$R,6,FALSE))/200,($D$11+IF(VLOOKUP($E97,武器奇术!$A:$R,17,FALSE)="牵丝",$D$15,0)+IF(VLOOKUP($E97,武器奇术!$A:$R,18,FALSE)=1,4,0)+IF(VLOOKUP($E97,武器奇术!$A:$S,19,FALSE)=1,20,0)-VLOOKUP($F$7,目标属性!$A:$R,6,FALSE))/100)</f>
        <v>0</v>
      </c>
      <c r="CC97" s="111">
        <f t="shared" si="61"/>
        <v>0</v>
      </c>
      <c r="CD97" s="109">
        <v>1</v>
      </c>
      <c r="CE97" s="112">
        <f>BY97*IF(VLOOKUP($E97,武器奇术!$A:$R,17,FALSE)="牵丝",VLOOKUP($E97,武器奇术!$A:$R,4,FALSE),VLOOKUP($E97,武器奇术!$A:$R,2,FALSE))*(1+CB97)*(1+CC97)*CD97</f>
        <v>0</v>
      </c>
      <c r="CF97" s="110">
        <f>(1-IF(VLOOKUP($E97,武器奇术!$A:$T,20,FALSE)=1,1,$N97))*(1-$M97)</f>
        <v>0.01072666</v>
      </c>
      <c r="CG97" s="112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110">
        <f t="shared" si="62"/>
        <v>0.8813852</v>
      </c>
      <c r="CI97" s="112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110">
        <f t="shared" si="63"/>
        <v>0.0986</v>
      </c>
      <c r="CK97" s="112">
        <f>BZ97*IF(VLOOKUP($E97,武器奇术!$A:$R,17,FALSE)="牵丝",VLOOKUP($E97,武器奇术!$A:$R,4,FALSE),VLOOKUP($E97,武器奇术!$A:$R,2,FALSE))*(1+CB97)*(1+CC97)*CD97</f>
        <v>0</v>
      </c>
      <c r="CL97" s="110">
        <f t="shared" si="64"/>
        <v>0.00928814000000003</v>
      </c>
      <c r="CM97" s="113">
        <f t="shared" si="65"/>
        <v>0</v>
      </c>
      <c r="CN97" s="108">
        <f>$B$13*IF($G$5="撼天",1.05,1)+IF(AND(VLOOKUP($E97,武器奇术!$A:$R,15,FALSE)="武器",VLOOKUP($E97,武器奇术!$A:$R,17,FALSE)="破竹"),$E$3,0)*(1+$E$15)</f>
        <v>452.55</v>
      </c>
      <c r="CO97" s="99">
        <f>IF(VLOOKUP($E97,武器奇术!$A:$Z,20,FALSE)=1,(CP97-(CN97+CP97)*0.5)*($G$15-0.5)*2+(CN97+CP97)*0.5,(CN97+CP97)*0.5)</f>
        <v>679.35</v>
      </c>
      <c r="CP97" s="109">
        <f>MAX($C$13*IF($G$5="撼天",1.05,1)+IF(AND(VLOOKUP($E97,武器奇术!$A:$R,15,FALSE)="武器",VLOOKUP($E97,武器奇术!$A:$R,17,FALSE)="破竹"),$E$3*(1+$E$15),0),CN97)</f>
        <v>906.15</v>
      </c>
      <c r="CQ97" s="110">
        <f>IF(($D$13+IF(VLOOKUP($E97,武器奇术!$A:$R,17,FALSE)="破竹",$D$15,0)+IF(VLOOKUP($E97,武器奇术!$A:$R,18,FALSE)=1,4,0)+IF(VLOOKUP($E97,武器奇术!$A:$S,19,FALSE)=1,20,0)-VLOOKUP($F$7,目标属性!$A:$R,6,FALSE))&gt;0,($D$13+IF(VLOOKUP($E97,武器奇术!$A:$R,17,FALSE)="破竹",$D$15,0)+IF(VLOOKUP($E97,武器奇术!$A:$R,18,FALSE)=1,4,0)+IF(VLOOKUP($E97,武器奇术!$A:$S,19,FALSE)=1,20,0)-VLOOKUP($F$7,目标属性!$A:$R,6,FALSE))/200,($D$13+IF(VLOOKUP($E97,武器奇术!$A:$R,17,FALSE)="破竹",$D$15,0)+IF(VLOOKUP($E97,武器奇术!$A:$R,18,FALSE)=1,4,0)+IF(VLOOKUP($E97,武器奇术!$A:$S,19,FALSE)=1,20,0)-VLOOKUP($F$7,目标属性!$A:$R,6,FALSE))/100)</f>
        <v>0.145</v>
      </c>
      <c r="CR97" s="111">
        <f>$E$13+IF(VLOOKUP($E97,武器奇术!$A:$U,21,FALSE)=1,0,0.09)</f>
        <v>0.235</v>
      </c>
      <c r="CS97" s="109">
        <v>1</v>
      </c>
      <c r="CT97" s="112">
        <f>CN97*IF(VLOOKUP($E97,武器奇术!$A:$R,17,FALSE)="破竹",VLOOKUP($E97,武器奇术!$A:$R,4,FALSE),VLOOKUP($E97,武器奇术!$A:$R,2,FALSE))*(1+CQ97)*(1+CR97)*CS97</f>
        <v>2073.40443765</v>
      </c>
      <c r="CU97" s="110">
        <f>(1-IF(VLOOKUP($E97,武器奇术!$A:$T,20,FALSE)=1,1,$N97))*(1-$M97)</f>
        <v>0.01072666</v>
      </c>
      <c r="CV97" s="112">
        <f>CO97*IF(VLOOKUP($E97,武器奇术!$A:$R,17,FALSE)="破竹",VLOOKUP($E97,武器奇术!$A:$R,4,FALSE),VLOOKUP($E97,武器奇术!$A:$R,2,FALSE))*(1+CQ97)*(1+CR97)*CS97*(1+$E$16+VLOOKUP($E97,武器奇术!$A:$R,8,FALSE))</f>
        <v>6038.273276217</v>
      </c>
      <c r="CW97" s="110">
        <f t="shared" si="66"/>
        <v>0.8813852</v>
      </c>
      <c r="CX97" s="112">
        <f>CP97*IF(VLOOKUP($E97,武器奇术!$A:$R,17,FALSE)="破竹",VLOOKUP($E97,武器奇术!$A:$R,4,FALSE),VLOOKUP($E97,武器奇术!$A:$R,2,FALSE))*(1+CQ97)*(1+CR97)*CS97*(1+$E$17+VLOOKUP($E97,武器奇术!$A:$R,10,FALSE))</f>
        <v>5604.6864039075</v>
      </c>
      <c r="CY97" s="110">
        <f t="shared" si="67"/>
        <v>0.0986</v>
      </c>
      <c r="CZ97" s="112">
        <f>CO97*IF(VLOOKUP($E97,武器奇术!$A:$R,17,FALSE)="破竹",VLOOKUP($E97,武器奇术!$A:$R,4,FALSE),VLOOKUP($E97,武器奇术!$A:$R,2,FALSE))*(1+CQ97)*(1+CR97)*CS97</f>
        <v>3112.51199805</v>
      </c>
      <c r="DA97" s="110">
        <f t="shared" si="68"/>
        <v>0.00928814000000003</v>
      </c>
      <c r="DB97" s="113">
        <f t="shared" si="69"/>
        <v>5925.81693027318</v>
      </c>
      <c r="DC97" s="108">
        <f t="shared" si="36"/>
        <v>69.3</v>
      </c>
      <c r="DD97" s="99">
        <f>(DC97+DE97)*IF(VLOOKUP($E97,武器奇术!$A:$Z,21,FALSE)=1,$G$15,0.5)</f>
        <v>69.3</v>
      </c>
      <c r="DE97" s="109">
        <f t="shared" si="37"/>
        <v>69.3</v>
      </c>
      <c r="DF97" s="110">
        <f>IF(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100)</f>
        <v>0.145</v>
      </c>
      <c r="DG97" s="111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U,21,FALSE)=1,0,0.09)</f>
        <v>0.235</v>
      </c>
      <c r="DH97" s="109">
        <v>1</v>
      </c>
      <c r="DI97" s="112">
        <f>DC97*IF(VLOOKUP($E97,武器奇术!$A:$R,17,FALSE)="破竹",VLOOKUP($E97,武器奇术!$A:$R,4,FALSE),VLOOKUP($E97,武器奇术!$A:$R,2,FALSE))*(1+DF97)*(1+DG97)*DH97</f>
        <v>317.5050879</v>
      </c>
      <c r="DJ97" s="110">
        <f>(1-IF(VLOOKUP($E97,武器奇术!$A:$T,20,FALSE)=1,1,$N97))*(1-$M97)</f>
        <v>0.01072666</v>
      </c>
      <c r="DK97" s="112">
        <f>DD97*IF(VLOOKUP($E97,武器奇术!$A:$R,17,FALSE)="破竹",VLOOKUP($E97,武器奇术!$A:$R,4,FALSE),VLOOKUP($E97,武器奇术!$A:$R,2,FALSE))*(1+DF97)*(1+DG97)*DH97*(1+$E$16+VLOOKUP($E97,武器奇术!$A:$R,8,FALSE))</f>
        <v>615.959870526</v>
      </c>
      <c r="DL97" s="110">
        <f t="shared" si="70"/>
        <v>0.8813852</v>
      </c>
      <c r="DM97" s="112">
        <f>DE97*IF(VLOOKUP($E97,武器奇术!$A:$R,17,FALSE)="破竹",VLOOKUP($E97,武器奇术!$A:$R,4,FALSE),VLOOKUP($E97,武器奇术!$A:$R,2,FALSE))*(1+DF97)*(1+DG97)*DH97*(1+$E$17+VLOOKUP($E97,武器奇术!$A:$R,10,FALSE))</f>
        <v>428.631868665</v>
      </c>
      <c r="DN97" s="110">
        <f t="shared" si="71"/>
        <v>0.0986</v>
      </c>
      <c r="DO97" s="112">
        <f>DD97*IF(VLOOKUP($E97,武器奇术!$A:$R,17,FALSE)="破竹",VLOOKUP($E97,武器奇术!$A:$R,4,FALSE),VLOOKUP($E97,武器奇术!$A:$R,2,FALSE))*(1+DF97)*(1+DG97)*DH97</f>
        <v>317.5050879</v>
      </c>
      <c r="DP97" s="110">
        <f t="shared" si="72"/>
        <v>0.00928814000000003</v>
      </c>
      <c r="DQ97" s="113">
        <f t="shared" si="73"/>
        <v>591.515816759203</v>
      </c>
    </row>
    <row r="98" spans="1:121">
      <c r="A98" s="75"/>
      <c r="B98" t="s">
        <v>158</v>
      </c>
      <c r="C98" s="147">
        <v>0.2</v>
      </c>
      <c r="E98" s="98" t="s">
        <v>152</v>
      </c>
      <c r="F98" s="99">
        <v>1</v>
      </c>
      <c r="G98" s="115"/>
      <c r="H98" s="149">
        <f>IF(VLOOKUP($E98,武器奇术!$A:$R,18,FALSE)="天工",AE98,(AE98+AT98+BI98+BX98+CM98+DB98+DQ98))*(1+J98)*F98*K98*(1+G98)*(1+$G$21*5%)</f>
        <v>90364.3630662302</v>
      </c>
      <c r="I98" s="101">
        <f t="shared" si="42"/>
        <v>0.0111566475712543</v>
      </c>
      <c r="J98" s="101">
        <f>$F$3+VLOOKUP($E98,武器奇术!$A:$R,12,FALSE)+VLOOKUP($E98,武器奇术!$A:$R,14,FALSE)*$G$3+$P98</f>
        <v>0.873</v>
      </c>
      <c r="K98" s="102">
        <f>VLOOKUP($E98,武器奇术!$A:$R,11,FALSE)</f>
        <v>1</v>
      </c>
      <c r="L98" s="117">
        <f>IF(VLOOKUP($E98,武器奇术!$A:$R,15,FALSE)="天工",0%,IF($C$17+VLOOKUP($E98,武器奇术!$A:$R,7,FALSE)&gt;80%,80%,$C$17+VLOOKUP($E98,武器奇术!$A:$R,7,FALSE))+IF($C$19&gt;20%,20%,$C$19))</f>
        <v>0.892</v>
      </c>
      <c r="M98" s="118">
        <f>IF(VLOOKUP($E98,武器奇术!$A:$R,15,FALSE)="天工",0%,IF($C$18+VLOOKUP($E98,武器奇术!$A:$R,9,FALSE)&gt;40%,40%,$C$18+VLOOKUP($E98,武器奇术!$A:$R,9,FALSE))+IF($C$20&gt;10%,10%,$C$20))</f>
        <v>0.0986</v>
      </c>
      <c r="N98" s="119">
        <f>IF(VLOOKUP($E98,武器奇术!$A:$R,15,FALSE)="天工",100%,MIN($C$16,1))</f>
        <v>0.9881</v>
      </c>
      <c r="O98" s="120" t="str">
        <f>VLOOKUP($E98,武器奇术!$A:$R,16,FALSE)</f>
        <v>拳甲</v>
      </c>
      <c r="P98" s="121">
        <f t="shared" si="74"/>
        <v>0.17</v>
      </c>
      <c r="Q98" s="108">
        <f>$B$5*(1+VLOOKUP($E98,武器奇术!$A:$R,5,FALSE)+IF($G$5="飞隼",0.1,0)+IF($G$5="撼天",0.05,0))-$F$9+IF($I$5="√",160,0)</f>
        <v>1731.135</v>
      </c>
      <c r="R98" s="99">
        <f>IF(VLOOKUP($E98,武器奇术!$A:$Z,20,FALSE)=1,(S98-(Q98+S98)*0.5)*($G$15-0.5)*2+(Q98+S98)*0.5,(Q98+S98)*0.5)</f>
        <v>3256.775</v>
      </c>
      <c r="S98" s="109">
        <f>MAX($C$5,$B$5)*(1+VLOOKUP($E98,武器奇术!$A:$R,5,FALSE)+IF($G$5="飞隼",0.1,0)+IF($G$5="撼天",0.05,0))-$F$9+IF($I$5="√",320,0)</f>
        <v>4782.415</v>
      </c>
      <c r="T98" s="101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U98" s="111">
        <f>$E$5+IF(VLOOKUP($E98,武器奇术!$A:$U,21,FALSE)=1,0,0.09)</f>
        <v>0.115</v>
      </c>
      <c r="V98" s="109">
        <v>1</v>
      </c>
      <c r="W98" s="112">
        <f>Q98*VLOOKUP($E98,武器奇术!$A:$R,2,FALSE)*(1+T98)*(1+U98)*V98</f>
        <v>6596.6306895897</v>
      </c>
      <c r="X98" s="110">
        <f>(1-IF(VLOOKUP($E98,武器奇术!$A:$T,20,FALSE)=1,1,$N98))*(1-$M98)</f>
        <v>0.01072666</v>
      </c>
      <c r="Y98" s="112">
        <f>R98*VLOOKUP($E98,武器奇术!$A:$R,2,FALSE)*(1+T98)*(1+U98)*V98*(1+$E$16+VLOOKUP($E98,武器奇术!$A:$R,8,FALSE))</f>
        <v>24075.7995842795</v>
      </c>
      <c r="Z98" s="110">
        <f t="shared" si="39"/>
        <v>0.8813852</v>
      </c>
      <c r="AA98" s="112">
        <f>S98*VLOOKUP($E98,武器奇术!$A:$R,2,FALSE)*(1+T98)*(1+U98)*V98*(1+$E$17+VLOOKUP($E98,武器奇术!$A:$R,10,FALSE))</f>
        <v>24602.1046915048</v>
      </c>
      <c r="AB98" s="110">
        <f t="shared" si="40"/>
        <v>0.0986</v>
      </c>
      <c r="AC98" s="112">
        <f>R98*VLOOKUP($E98,武器奇术!$A:$R,2,FALSE)*(1+T98)*(1+U98)*V98</f>
        <v>12410.2059712781</v>
      </c>
      <c r="AD98" s="110">
        <f t="shared" si="43"/>
        <v>0.00928814000000003</v>
      </c>
      <c r="AE98" s="113">
        <f t="shared" si="44"/>
        <v>23831.8484993753</v>
      </c>
      <c r="AF98" s="114">
        <f>VLOOKUP($E98,武器奇术!$A:$R,3,FALSE)*(1+IF(VLOOKUP($E98,武器奇术!$A:$R,15,FALSE)="武器",$E$15,0))</f>
        <v>994.5</v>
      </c>
      <c r="AG98" s="112">
        <f t="shared" si="45"/>
        <v>994.5</v>
      </c>
      <c r="AH98" s="112">
        <f>VLOOKUP($E98,武器奇术!$A:$R,3,FALSE)*(1+IF(VLOOKUP($E98,武器奇术!$A:$R,15,FALSE)="武器",$E$15,0))</f>
        <v>994.5</v>
      </c>
      <c r="AI98" s="101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AJ98" s="111">
        <f>$E$5+IF(VLOOKUP($E98,武器奇术!$A:$U,21,FALSE)=1,0,0.09)</f>
        <v>0.115</v>
      </c>
      <c r="AK98" s="109">
        <v>1</v>
      </c>
      <c r="AL98" s="112">
        <f t="shared" si="41"/>
        <v>1377.213435</v>
      </c>
      <c r="AM98" s="110">
        <f>(1-IF(VLOOKUP($E98,武器奇术!$A:$T,20,FALSE)=1,1,$N98))*(1-$M98)</f>
        <v>0.01072666</v>
      </c>
      <c r="AN98" s="112">
        <f>AG98*(1+AI98)*(1+AJ98)*AK98*(1+$E$16+VLOOKUP($E98,武器奇术!$A:$R,8,FALSE))</f>
        <v>2671.7940639</v>
      </c>
      <c r="AO98" s="110">
        <f t="shared" si="46"/>
        <v>0.8813852</v>
      </c>
      <c r="AP98" s="112">
        <f>AH98*(1+AI98)*(1+AJ98)*AK98*(1+$E$17+VLOOKUP($E98,武器奇术!$A:$R,10,FALSE))</f>
        <v>1859.23813725</v>
      </c>
      <c r="AQ98" s="110">
        <f t="shared" si="47"/>
        <v>0.0986</v>
      </c>
      <c r="AR98" s="112">
        <f t="shared" si="48"/>
        <v>1377.213435</v>
      </c>
      <c r="AS98" s="110">
        <f t="shared" si="49"/>
        <v>0.00928814000000003</v>
      </c>
      <c r="AT98" s="113">
        <f t="shared" si="50"/>
        <v>2565.765277161</v>
      </c>
      <c r="AU98" s="108">
        <f>$B$7*IF($G$5="撼天",1.05,1)+IF(AND(VLOOKUP($E98,武器奇术!$A:$R,15,FALSE)="武器",VLOOKUP($E98,武器奇术!$A:$R,17,FALSE)="鸣金"),$E$3,0)*(1+$E$15)</f>
        <v>0</v>
      </c>
      <c r="AV98" s="99">
        <f>(AU98+AW98)*IF(VLOOKUP($E98,武器奇术!$A:$Z,21,FALSE)=1,$G$15,0.5)</f>
        <v>0</v>
      </c>
      <c r="AW98" s="109">
        <f>MAX($C$7*IF($G$5="撼天",1.05,1)+IF(AND(VLOOKUP($E98,武器奇术!$A:$R,15,FALSE)="武器",VLOOKUP($E98,武器奇术!$A:$R,17,FALSE)="鸣金"),$E$3*(1+$E$15),0),AU98)</f>
        <v>0</v>
      </c>
      <c r="AX98" s="110">
        <f>IF(($D$7+IF(VLOOKUP($E98,武器奇术!$A:$R,17,FALSE)="鸣金",$D$15,0)+IF(VLOOKUP($E98,武器奇术!$A:$R,18,FALSE)=1,4,0)+IF(VLOOKUP($E98,武器奇术!$A:$S,19,FALSE)=1,20,0)-VLOOKUP($F$7,目标属性!$A:$R,6,FALSE))&gt;0,($D$7+IF(VLOOKUP($E98,武器奇术!$A:$R,17,FALSE)="鸣金",$D$15,0)+IF(VLOOKUP($E98,武器奇术!$A:$R,18,FALSE)=1,4,0)+IF(VLOOKUP($E98,武器奇术!$A:$S,19,FALSE)=1,20,0)-VLOOKUP($F$7,目标属性!$A:$R,6,FALSE))/200,($D$7+IF(VLOOKUP($E98,武器奇术!$A:$R,17,FALSE)="鸣金",$D$15,0)+IF(VLOOKUP($E98,武器奇术!$A:$R,18,FALSE)=1,4,0)+IF(VLOOKUP($E98,武器奇术!$A:$S,19,FALSE)=1,20,0)-VLOOKUP($F$7,目标属性!$A:$R,6,FALSE))/100)</f>
        <v>-0.24</v>
      </c>
      <c r="AY98" s="111">
        <f t="shared" si="51"/>
        <v>0</v>
      </c>
      <c r="AZ98" s="109">
        <v>1</v>
      </c>
      <c r="BA98" s="112">
        <f>AU98*IF(VLOOKUP($E98,武器奇术!$A:$R,17,FALSE)="鸣金",VLOOKUP($E98,武器奇术!$A:$R,4,FALSE),VLOOKUP($E98,武器奇术!$A:$R,2,FALSE))*(1+AX98)*(1+AY98)*AZ98</f>
        <v>0</v>
      </c>
      <c r="BB98" s="110">
        <f>(1-IF(VLOOKUP($E98,武器奇术!$A:$T,20,FALSE)=1,1,$N98))*(1-$M98)</f>
        <v>0.01072666</v>
      </c>
      <c r="BC98" s="112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10">
        <f t="shared" si="52"/>
        <v>0.8813852</v>
      </c>
      <c r="BE98" s="112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10">
        <f t="shared" si="53"/>
        <v>0.0986</v>
      </c>
      <c r="BG98" s="112">
        <f>AV98*IF(VLOOKUP($E98,武器奇术!$A:$R,17,FALSE)="鸣金",VLOOKUP($E98,武器奇术!$A:$R,4,FALSE),VLOOKUP($E98,武器奇术!$A:$R,2,FALSE))*(1+AX98)*(1+AY98)*AZ98</f>
        <v>0</v>
      </c>
      <c r="BH98" s="110">
        <f t="shared" si="54"/>
        <v>0.00928814000000003</v>
      </c>
      <c r="BI98" s="113">
        <f t="shared" si="55"/>
        <v>0</v>
      </c>
      <c r="BJ98" s="108">
        <f>$B$9*IF($G$5="撼天",1.05,1)+IF(AND(VLOOKUP($E98,武器奇术!$A:$R,15,FALSE)="武器",VLOOKUP($E98,武器奇术!$A:$R,17,FALSE)="裂石"),$E$3,0)*(1+$E$15)</f>
        <v>0</v>
      </c>
      <c r="BK98" s="99">
        <f>(BJ98+BL98)*IF(VLOOKUP($E98,武器奇术!$A:$Z,21,FALSE)=1,$G$15,0.5)</f>
        <v>0</v>
      </c>
      <c r="BL98" s="109">
        <f>MAX($C$9*IF($G$5="撼天",1.05,1)+IF(AND(VLOOKUP($E98,武器奇术!$A:$R,15,FALSE)="武器",VLOOKUP($E98,武器奇术!$A:$R,17,FALSE)="裂石"),$E$3*(1+$E$15),0),BJ98)</f>
        <v>0</v>
      </c>
      <c r="BM98" s="110">
        <f>IF(($D$9+IF(VLOOKUP($E98,武器奇术!$A:$R,17,FALSE)="裂石",$D$15,0)+IF(VLOOKUP($E98,武器奇术!$A:$R,18,FALSE)=1,4,0)+IF(VLOOKUP($E98,武器奇术!$A:$S,19,FALSE)=1,20,0)-VLOOKUP($F$7,目标属性!$A:$R,6,FALSE))&gt;0,($D$9+IF(VLOOKUP($E98,武器奇术!$A:$R,17,FALSE)="裂石",$D$15,0)+IF(VLOOKUP($E98,武器奇术!$A:$R,18,FALSE)=1,4,0)+IF(VLOOKUP($E98,武器奇术!$A:$S,19,FALSE)=1,20,0)-VLOOKUP($F$7,目标属性!$A:$R,6,FALSE))/200,($D$9+IF(VLOOKUP($E98,武器奇术!$A:$R,17,FALSE)="裂石",$D$15,0)+IF(VLOOKUP($E98,武器奇术!$A:$R,18,FALSE)=1,4,0)+IF(VLOOKUP($E98,武器奇术!$A:$S,19,FALSE)=1,20,0)-VLOOKUP($F$7,目标属性!$A:$R,6,FALSE))/100)</f>
        <v>-0.24</v>
      </c>
      <c r="BN98" s="111">
        <f t="shared" si="56"/>
        <v>0</v>
      </c>
      <c r="BO98" s="109">
        <v>1</v>
      </c>
      <c r="BP98" s="112">
        <f>BJ98*IF(VLOOKUP($E98,武器奇术!$A:$R,17,FALSE)="裂石",VLOOKUP($E98,武器奇术!$A:$R,4,FALSE),VLOOKUP($E98,武器奇术!$A:$R,2,FALSE))*(1+BM98)*(1+BN98)*BO98</f>
        <v>0</v>
      </c>
      <c r="BQ98" s="110">
        <f>(1-IF(VLOOKUP($E98,武器奇术!$A:$T,20,FALSE)=1,1,$N98))*(1-$M98)</f>
        <v>0.01072666</v>
      </c>
      <c r="BR98" s="112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10">
        <f t="shared" si="57"/>
        <v>0.8813852</v>
      </c>
      <c r="BT98" s="112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10">
        <f t="shared" si="58"/>
        <v>0.0986</v>
      </c>
      <c r="BV98" s="112">
        <f>BK98*IF(VLOOKUP($E98,武器奇术!$A:$R,17,FALSE)="裂石",VLOOKUP($E98,武器奇术!$A:$R,4,FALSE),VLOOKUP($E98,武器奇术!$A:$R,2,FALSE))*(1+BM98)*(1+BN98)*BO98</f>
        <v>0</v>
      </c>
      <c r="BW98" s="110">
        <f t="shared" si="59"/>
        <v>0.00928814000000003</v>
      </c>
      <c r="BX98" s="113">
        <f t="shared" si="60"/>
        <v>0</v>
      </c>
      <c r="BY98" s="108">
        <f>$B$11*IF($G$5="撼天",1.05,1)+IF(AND(VLOOKUP($E98,武器奇术!$A:$R,15,FALSE)="武器",VLOOKUP($E98,武器奇术!$A:$R,17,FALSE)="牵丝"),$E$3,0)*(1+$E$15)</f>
        <v>0</v>
      </c>
      <c r="BZ98" s="99">
        <f>(BY98+CA98)*IF(VLOOKUP($E98,武器奇术!$A:$Z,21,FALSE)=1,$G$15,0.5)</f>
        <v>0</v>
      </c>
      <c r="CA98" s="109">
        <f>MAX($C$11*IF($G$5="撼天",1.05,1)+IF(AND(VLOOKUP($E98,武器奇术!$A:$R,15,FALSE)="武器",VLOOKUP($E98,武器奇术!$A:$R,17,FALSE)="牵丝"),$E$3*(1+$E$15),0),BY98)</f>
        <v>0</v>
      </c>
      <c r="CB98" s="110">
        <f>IF(($D$11+IF(VLOOKUP($E98,武器奇术!$A:$R,17,FALSE)="牵丝",$D$15,0)+IF(VLOOKUP($E98,武器奇术!$A:$R,18,FALSE)=1,4,0)+IF(VLOOKUP($E98,武器奇术!$A:$S,19,FALSE)=1,20,0)-VLOOKUP($F$7,目标属性!$A:$R,6,FALSE))&gt;0,($D$11+IF(VLOOKUP($E98,武器奇术!$A:$R,17,FALSE)="牵丝",$D$15,0)+IF(VLOOKUP($E98,武器奇术!$A:$R,18,FALSE)=1,4,0)+IF(VLOOKUP($E98,武器奇术!$A:$S,19,FALSE)=1,20,0)-VLOOKUP($F$7,目标属性!$A:$R,6,FALSE))/200,($D$11+IF(VLOOKUP($E98,武器奇术!$A:$R,17,FALSE)="牵丝",$D$15,0)+IF(VLOOKUP($E98,武器奇术!$A:$R,18,FALSE)=1,4,0)+IF(VLOOKUP($E98,武器奇术!$A:$S,19,FALSE)=1,20,0)-VLOOKUP($F$7,目标属性!$A:$R,6,FALSE))/100)</f>
        <v>-0.24</v>
      </c>
      <c r="CC98" s="111">
        <f t="shared" si="61"/>
        <v>0</v>
      </c>
      <c r="CD98" s="109">
        <v>1</v>
      </c>
      <c r="CE98" s="112">
        <f>BY98*IF(VLOOKUP($E98,武器奇术!$A:$R,17,FALSE)="牵丝",VLOOKUP($E98,武器奇术!$A:$R,4,FALSE),VLOOKUP($E98,武器奇术!$A:$R,2,FALSE))*(1+CB98)*(1+CC98)*CD98</f>
        <v>0</v>
      </c>
      <c r="CF98" s="110">
        <f>(1-IF(VLOOKUP($E98,武器奇术!$A:$T,20,FALSE)=1,1,$N98))*(1-$M98)</f>
        <v>0.01072666</v>
      </c>
      <c r="CG98" s="112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110">
        <f t="shared" si="62"/>
        <v>0.8813852</v>
      </c>
      <c r="CI98" s="112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110">
        <f t="shared" si="63"/>
        <v>0.0986</v>
      </c>
      <c r="CK98" s="112">
        <f>BZ98*IF(VLOOKUP($E98,武器奇术!$A:$R,17,FALSE)="牵丝",VLOOKUP($E98,武器奇术!$A:$R,4,FALSE),VLOOKUP($E98,武器奇术!$A:$R,2,FALSE))*(1+CB98)*(1+CC98)*CD98</f>
        <v>0</v>
      </c>
      <c r="CL98" s="110">
        <f t="shared" si="64"/>
        <v>0.00928814000000003</v>
      </c>
      <c r="CM98" s="113">
        <f t="shared" si="65"/>
        <v>0</v>
      </c>
      <c r="CN98" s="108">
        <f>$B$13*IF($G$5="撼天",1.05,1)+IF(AND(VLOOKUP($E98,武器奇术!$A:$R,15,FALSE)="武器",VLOOKUP($E98,武器奇术!$A:$R,17,FALSE)="破竹"),$E$3,0)*(1+$E$15)</f>
        <v>648.46</v>
      </c>
      <c r="CO98" s="99">
        <f>IF(VLOOKUP($E98,武器奇术!$A:$Z,20,FALSE)=1,(CP98-(CN98+CP98)*0.5)*($G$15-0.5)*2+(CN98+CP98)*0.5,(CN98+CP98)*0.5)</f>
        <v>875.26</v>
      </c>
      <c r="CP98" s="109">
        <f>MAX($C$13*IF($G$5="撼天",1.05,1)+IF(AND(VLOOKUP($E98,武器奇术!$A:$R,15,FALSE)="武器",VLOOKUP($E98,武器奇术!$A:$R,17,FALSE)="破竹"),$E$3*(1+$E$15),0),CN98)</f>
        <v>1102.06</v>
      </c>
      <c r="CQ98" s="110">
        <f>IF(($D$13+IF(VLOOKUP($E98,武器奇术!$A:$R,17,FALSE)="破竹",$D$15,0)+IF(VLOOKUP($E98,武器奇术!$A:$R,18,FALSE)=1,4,0)+IF(VLOOKUP($E98,武器奇术!$A:$S,19,FALSE)=1,20,0)-VLOOKUP($F$7,目标属性!$A:$R,6,FALSE))&gt;0,($D$13+IF(VLOOKUP($E98,武器奇术!$A:$R,17,FALSE)="破竹",$D$15,0)+IF(VLOOKUP($E98,武器奇术!$A:$R,18,FALSE)=1,4,0)+IF(VLOOKUP($E98,武器奇术!$A:$S,19,FALSE)=1,20,0)-VLOOKUP($F$7,目标属性!$A:$R,6,FALSE))/200,($D$13+IF(VLOOKUP($E98,武器奇术!$A:$R,17,FALSE)="破竹",$D$15,0)+IF(VLOOKUP($E98,武器奇术!$A:$R,18,FALSE)=1,4,0)+IF(VLOOKUP($E98,武器奇术!$A:$S,19,FALSE)=1,20,0)-VLOOKUP($F$7,目标属性!$A:$R,6,FALSE))/100)</f>
        <v>0.025</v>
      </c>
      <c r="CR98" s="111">
        <f>$E$13+IF(VLOOKUP($E98,武器奇术!$A:$U,21,FALSE)=1,0,0.09)</f>
        <v>0.235</v>
      </c>
      <c r="CS98" s="109">
        <v>1</v>
      </c>
      <c r="CT98" s="112">
        <f>CN98*IF(VLOOKUP($E98,武器奇术!$A:$R,17,FALSE)="破竹",VLOOKUP($E98,武器奇术!$A:$R,4,FALSE),VLOOKUP($E98,武器奇术!$A:$R,2,FALSE))*(1+CQ98)*(1+CR98)*CS98</f>
        <v>3388.3514720874</v>
      </c>
      <c r="CU98" s="110">
        <f>(1-IF(VLOOKUP($E98,武器奇术!$A:$T,20,FALSE)=1,1,$N98))*(1-$M98)</f>
        <v>0.01072666</v>
      </c>
      <c r="CV98" s="112">
        <f>CO98*IF(VLOOKUP($E98,武器奇术!$A:$R,17,FALSE)="破竹",VLOOKUP($E98,武器奇术!$A:$R,4,FALSE),VLOOKUP($E98,武器奇术!$A:$R,2,FALSE))*(1+CQ98)*(1+CR98)*CS98*(1+$E$16+VLOOKUP($E98,武器奇术!$A:$R,8,FALSE))</f>
        <v>8872.46045762404</v>
      </c>
      <c r="CW98" s="110">
        <f t="shared" si="66"/>
        <v>0.8813852</v>
      </c>
      <c r="CX98" s="112">
        <f>CP98*IF(VLOOKUP($E98,武器奇术!$A:$R,17,FALSE)="破竹",VLOOKUP($E98,武器奇术!$A:$R,4,FALSE),VLOOKUP($E98,武器奇术!$A:$R,2,FALSE))*(1+CQ98)*(1+CR98)*CS98*(1+$E$17+VLOOKUP($E98,武器奇术!$A:$R,10,FALSE))</f>
        <v>7773.99522174639</v>
      </c>
      <c r="CY98" s="110">
        <f t="shared" si="67"/>
        <v>0.0986</v>
      </c>
      <c r="CZ98" s="112">
        <f>CO98*IF(VLOOKUP($E98,武器奇术!$A:$R,17,FALSE)="破竹",VLOOKUP($E98,武器奇术!$A:$R,4,FALSE),VLOOKUP($E98,武器奇术!$A:$R,2,FALSE))*(1+CQ98)*(1+CR98)*CS98</f>
        <v>4573.4332255794</v>
      </c>
      <c r="DA98" s="110">
        <f t="shared" si="68"/>
        <v>0.00928814000000003</v>
      </c>
      <c r="DB98" s="113">
        <f t="shared" si="69"/>
        <v>8665.39564608066</v>
      </c>
      <c r="DC98" s="108">
        <f t="shared" si="36"/>
        <v>69.3</v>
      </c>
      <c r="DD98" s="99">
        <f>(DC98+DE98)*IF(VLOOKUP($E98,武器奇术!$A:$Z,21,FALSE)=1,$G$15,0.5)</f>
        <v>69.3</v>
      </c>
      <c r="DE98" s="109">
        <f t="shared" si="37"/>
        <v>69.3</v>
      </c>
      <c r="DF98" s="110">
        <f>IF(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100)</f>
        <v>0.025</v>
      </c>
      <c r="DG98" s="111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U,21,FALSE)=1,0,0.09)</f>
        <v>0.235</v>
      </c>
      <c r="DH98" s="109">
        <v>1</v>
      </c>
      <c r="DI98" s="112">
        <f>DC98*IF(VLOOKUP($E98,武器奇术!$A:$R,17,FALSE)="破竹",VLOOKUP($E98,武器奇术!$A:$R,4,FALSE),VLOOKUP($E98,武器奇术!$A:$R,2,FALSE))*(1+DF98)*(1+DG98)*DH98</f>
        <v>362.108313567</v>
      </c>
      <c r="DJ98" s="110">
        <f>(1-IF(VLOOKUP($E98,武器奇术!$A:$T,20,FALSE)=1,1,$N98))*(1-$M98)</f>
        <v>0.01072666</v>
      </c>
      <c r="DK98" s="112">
        <f>DD98*IF(VLOOKUP($E98,武器奇术!$A:$R,17,FALSE)="破竹",VLOOKUP($E98,武器奇术!$A:$R,4,FALSE),VLOOKUP($E98,武器奇术!$A:$R,2,FALSE))*(1+DF98)*(1+DG98)*DH98*(1+$E$16+VLOOKUP($E98,武器奇术!$A:$R,8,FALSE))</f>
        <v>702.49012831998</v>
      </c>
      <c r="DL98" s="110">
        <f t="shared" si="70"/>
        <v>0.8813852</v>
      </c>
      <c r="DM98" s="112">
        <f>DE98*IF(VLOOKUP($E98,武器奇术!$A:$R,17,FALSE)="破竹",VLOOKUP($E98,武器奇术!$A:$R,4,FALSE),VLOOKUP($E98,武器奇术!$A:$R,2,FALSE))*(1+DF98)*(1+DG98)*DH98*(1+$E$17+VLOOKUP($E98,武器奇术!$A:$R,10,FALSE))</f>
        <v>488.84622331545</v>
      </c>
      <c r="DN98" s="110">
        <f t="shared" si="71"/>
        <v>0.0986</v>
      </c>
      <c r="DO98" s="112">
        <f>DD98*IF(VLOOKUP($E98,武器奇术!$A:$R,17,FALSE)="破竹",VLOOKUP($E98,武器奇术!$A:$R,4,FALSE),VLOOKUP($E98,武器奇术!$A:$R,2,FALSE))*(1+DF98)*(1+DG98)*DH98</f>
        <v>362.108313567</v>
      </c>
      <c r="DP98" s="110">
        <f t="shared" si="72"/>
        <v>0.00928814000000003</v>
      </c>
      <c r="DQ98" s="113">
        <f t="shared" si="73"/>
        <v>674.612165340615</v>
      </c>
    </row>
    <row r="99" spans="1:121">
      <c r="A99" s="75"/>
      <c r="B99" t="s">
        <v>173</v>
      </c>
      <c r="C99">
        <v>1</v>
      </c>
      <c r="E99" s="98" t="s">
        <v>142</v>
      </c>
      <c r="F99" s="99">
        <v>1</v>
      </c>
      <c r="G99" s="115"/>
      <c r="H99" s="149">
        <f>IF(VLOOKUP($E99,武器奇术!$A:$R,18,FALSE)="天工",AE99,(AE99+AT99+BI99+BX99+CM99+DB99+DQ99))*(1+J99)*F99*K99*(1+G99)*(1+$G$21*5%)</f>
        <v>34726.2868130471</v>
      </c>
      <c r="I99" s="101">
        <f t="shared" si="42"/>
        <v>0.00428740855670622</v>
      </c>
      <c r="J99" s="101">
        <f>$F$3+VLOOKUP($E99,武器奇术!$A:$R,12,FALSE)+VLOOKUP($E99,武器奇术!$A:$R,14,FALSE)*$G$3+$P99</f>
        <v>0.387</v>
      </c>
      <c r="K99" s="102">
        <f>VLOOKUP($E99,武器奇术!$A:$R,11,FALSE)</f>
        <v>1</v>
      </c>
      <c r="L99" s="117">
        <f>IF(VLOOKUP($E99,武器奇术!$A:$R,15,FALSE)="天工",0%,IF($C$17+VLOOKUP($E99,武器奇术!$A:$R,7,FALSE)&gt;80%,80%,$C$17+VLOOKUP($E99,武器奇术!$A:$R,7,FALSE))+IF($C$19&gt;20%,20%,$C$19))</f>
        <v>0.892</v>
      </c>
      <c r="M99" s="118">
        <f>IF(VLOOKUP($E99,武器奇术!$A:$R,15,FALSE)="天工",0%,IF($C$18+VLOOKUP($E99,武器奇术!$A:$R,9,FALSE)&gt;40%,40%,$C$18+VLOOKUP($E99,武器奇术!$A:$R,9,FALSE))+IF($C$20&gt;10%,10%,$C$20))</f>
        <v>0.0986</v>
      </c>
      <c r="N99" s="119">
        <f>IF(VLOOKUP($E99,武器奇术!$A:$R,15,FALSE)="天工",100%,MIN($C$16,1))</f>
        <v>0.9881</v>
      </c>
      <c r="O99" s="120" t="str">
        <f>VLOOKUP($E99,武器奇术!$A:$R,16,FALSE)</f>
        <v>绳标</v>
      </c>
      <c r="P99" s="121">
        <f t="shared" si="74"/>
        <v>0.084</v>
      </c>
      <c r="Q99" s="108">
        <f>$B$5*(1+VLOOKUP($E99,武器奇术!$A:$R,5,FALSE)+IF($G$5="飞隼",0.1,0)+IF($G$5="撼天",0.05,0))-$F$9+IF($I$5="√",160,0)</f>
        <v>1731.135</v>
      </c>
      <c r="R99" s="99">
        <f>IF(VLOOKUP($E99,武器奇术!$A:$Z,20,FALSE)=1,(S99-(Q99+S99)*0.5)*($G$15-0.5)*2+(Q99+S99)*0.5,(Q99+S99)*0.5)</f>
        <v>3256.775</v>
      </c>
      <c r="S99" s="109">
        <f>MAX($C$5,$B$5)*(1+VLOOKUP($E99,武器奇术!$A:$R,5,FALSE)+IF($G$5="飞隼",0.1,0)+IF($G$5="撼天",0.05,0))-$F$9+IF($I$5="√",320,0)</f>
        <v>4782.415</v>
      </c>
      <c r="T99" s="101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U99" s="111">
        <f>$E$5+IF(VLOOKUP($E99,武器奇术!$A:$U,21,FALSE)=1,0,0.09)</f>
        <v>0.115</v>
      </c>
      <c r="V99" s="109">
        <v>1</v>
      </c>
      <c r="W99" s="112">
        <f>Q99*VLOOKUP($E99,武器奇术!$A:$R,2,FALSE)*(1+T99)*(1+U99)*V99</f>
        <v>3975.72822791172</v>
      </c>
      <c r="X99" s="110">
        <f>(1-IF(VLOOKUP($E99,武器奇术!$A:$T,20,FALSE)=1,1,$N99))*(1-$M99)</f>
        <v>0.01072666</v>
      </c>
      <c r="Y99" s="112">
        <f>R99*VLOOKUP($E99,武器奇术!$A:$R,2,FALSE)*(1+T99)*(1+U99)*V99*(1+$E$16+VLOOKUP($E99,武器奇术!$A:$R,8,FALSE))</f>
        <v>12266.406589382</v>
      </c>
      <c r="Z99" s="110">
        <f t="shared" si="39"/>
        <v>0.8813852</v>
      </c>
      <c r="AA99" s="112">
        <f>S99*VLOOKUP($E99,武器奇术!$A:$R,2,FALSE)*(1+T99)*(1+U99)*V99*(1+$E$17+VLOOKUP($E99,武器奇术!$A:$R,10,FALSE))</f>
        <v>14827.4606675212</v>
      </c>
      <c r="AB99" s="110">
        <f t="shared" si="40"/>
        <v>0.0986</v>
      </c>
      <c r="AC99" s="112">
        <f>R99*VLOOKUP($E99,武器奇术!$A:$R,2,FALSE)*(1+T99)*(1+U99)*V99</f>
        <v>7479.5162130378</v>
      </c>
      <c r="AD99" s="110">
        <f t="shared" si="43"/>
        <v>0.00928814000000003</v>
      </c>
      <c r="AE99" s="113">
        <f t="shared" si="44"/>
        <v>12385.5339255535</v>
      </c>
      <c r="AF99" s="114">
        <f>VLOOKUP($E99,武器奇术!$A:$R,3,FALSE)*(1+IF(VLOOKUP($E99,武器奇术!$A:$R,15,FALSE)="武器",$E$15,0))</f>
        <v>595.4</v>
      </c>
      <c r="AG99" s="112">
        <f t="shared" si="45"/>
        <v>595.4</v>
      </c>
      <c r="AH99" s="112">
        <f>VLOOKUP($E99,武器奇术!$A:$R,3,FALSE)*(1+IF(VLOOKUP($E99,武器奇术!$A:$R,15,FALSE)="武器",$E$15,0))</f>
        <v>595.4</v>
      </c>
      <c r="AI99" s="101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AJ99" s="111">
        <f>$E$5+IF(VLOOKUP($E99,武器奇术!$A:$U,21,FALSE)=1,0,0.09)</f>
        <v>0.115</v>
      </c>
      <c r="AK99" s="109">
        <v>1</v>
      </c>
      <c r="AL99" s="112">
        <f t="shared" si="41"/>
        <v>824.527782</v>
      </c>
      <c r="AM99" s="110">
        <f>(1-IF(VLOOKUP($E99,武器奇术!$A:$T,20,FALSE)=1,1,$N99))*(1-$M99)</f>
        <v>0.01072666</v>
      </c>
      <c r="AN99" s="112">
        <f>AG99*(1+AI99)*(1+AJ99)*AK99*(1+$E$16+VLOOKUP($E99,武器奇术!$A:$R,8,FALSE))</f>
        <v>1352.22556248</v>
      </c>
      <c r="AO99" s="110">
        <f t="shared" si="46"/>
        <v>0.8813852</v>
      </c>
      <c r="AP99" s="112">
        <f>AH99*(1+AI99)*(1+AJ99)*AK99*(1+$E$17+VLOOKUP($E99,武器奇术!$A:$R,10,FALSE))</f>
        <v>1113.1125057</v>
      </c>
      <c r="AQ99" s="110">
        <f t="shared" si="47"/>
        <v>0.0986</v>
      </c>
      <c r="AR99" s="112">
        <f t="shared" si="48"/>
        <v>824.527782</v>
      </c>
      <c r="AS99" s="110">
        <f t="shared" si="49"/>
        <v>0.00928814000000003</v>
      </c>
      <c r="AT99" s="113">
        <f t="shared" si="50"/>
        <v>1318.08724954474</v>
      </c>
      <c r="AU99" s="108">
        <f>$B$7*IF($G$5="撼天",1.05,1)+IF(AND(VLOOKUP($E99,武器奇术!$A:$R,15,FALSE)="武器",VLOOKUP($E99,武器奇术!$A:$R,17,FALSE)="鸣金"),$E$3,0)*(1+$E$15)</f>
        <v>0</v>
      </c>
      <c r="AV99" s="99">
        <f>(AU99+AW99)*IF(VLOOKUP($E99,武器奇术!$A:$Z,21,FALSE)=1,$G$15,0.5)</f>
        <v>0</v>
      </c>
      <c r="AW99" s="109">
        <f>MAX($C$7*IF($G$5="撼天",1.05,1)+IF(AND(VLOOKUP($E99,武器奇术!$A:$R,15,FALSE)="武器",VLOOKUP($E99,武器奇术!$A:$R,17,FALSE)="鸣金"),$E$3*(1+$E$15),0),AU99)</f>
        <v>0</v>
      </c>
      <c r="AX99" s="110">
        <f>IF(($D$7+IF(VLOOKUP($E99,武器奇术!$A:$R,17,FALSE)="鸣金",$D$15,0)+IF(VLOOKUP($E99,武器奇术!$A:$R,18,FALSE)=1,4,0)+IF(VLOOKUP($E99,武器奇术!$A:$S,19,FALSE)=1,20,0)-VLOOKUP($F$7,目标属性!$A:$R,6,FALSE))&gt;0,($D$7+IF(VLOOKUP($E99,武器奇术!$A:$R,17,FALSE)="鸣金",$D$15,0)+IF(VLOOKUP($E99,武器奇术!$A:$R,18,FALSE)=1,4,0)+IF(VLOOKUP($E99,武器奇术!$A:$S,19,FALSE)=1,20,0)-VLOOKUP($F$7,目标属性!$A:$R,6,FALSE))/200,($D$7+IF(VLOOKUP($E99,武器奇术!$A:$R,17,FALSE)="鸣金",$D$15,0)+IF(VLOOKUP($E99,武器奇术!$A:$R,18,FALSE)=1,4,0)+IF(VLOOKUP($E99,武器奇术!$A:$S,19,FALSE)=1,20,0)-VLOOKUP($F$7,目标属性!$A:$R,6,FALSE))/100)</f>
        <v>-0.24</v>
      </c>
      <c r="AY99" s="111">
        <f t="shared" si="51"/>
        <v>0</v>
      </c>
      <c r="AZ99" s="109">
        <v>1</v>
      </c>
      <c r="BA99" s="112">
        <f>AU99*IF(VLOOKUP($E99,武器奇术!$A:$R,17,FALSE)="鸣金",VLOOKUP($E99,武器奇术!$A:$R,4,FALSE),VLOOKUP($E99,武器奇术!$A:$R,2,FALSE))*(1+AX99)*(1+AY99)*AZ99</f>
        <v>0</v>
      </c>
      <c r="BB99" s="110">
        <f>(1-IF(VLOOKUP($E99,武器奇术!$A:$T,20,FALSE)=1,1,$N99))*(1-$M99)</f>
        <v>0.01072666</v>
      </c>
      <c r="BC99" s="112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10">
        <f t="shared" si="52"/>
        <v>0.8813852</v>
      </c>
      <c r="BE99" s="112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10">
        <f t="shared" si="53"/>
        <v>0.0986</v>
      </c>
      <c r="BG99" s="112">
        <f>AV99*IF(VLOOKUP($E99,武器奇术!$A:$R,17,FALSE)="鸣金",VLOOKUP($E99,武器奇术!$A:$R,4,FALSE),VLOOKUP($E99,武器奇术!$A:$R,2,FALSE))*(1+AX99)*(1+AY99)*AZ99</f>
        <v>0</v>
      </c>
      <c r="BH99" s="110">
        <f t="shared" si="54"/>
        <v>0.00928814000000003</v>
      </c>
      <c r="BI99" s="113">
        <f t="shared" si="55"/>
        <v>0</v>
      </c>
      <c r="BJ99" s="108">
        <f>$B$9*IF($G$5="撼天",1.05,1)+IF(AND(VLOOKUP($E99,武器奇术!$A:$R,15,FALSE)="武器",VLOOKUP($E99,武器奇术!$A:$R,17,FALSE)="裂石"),$E$3,0)*(1+$E$15)</f>
        <v>0</v>
      </c>
      <c r="BK99" s="99">
        <f>(BJ99+BL99)*IF(VLOOKUP($E99,武器奇术!$A:$Z,21,FALSE)=1,$G$15,0.5)</f>
        <v>0</v>
      </c>
      <c r="BL99" s="109">
        <f>MAX($C$9*IF($G$5="撼天",1.05,1)+IF(AND(VLOOKUP($E99,武器奇术!$A:$R,15,FALSE)="武器",VLOOKUP($E99,武器奇术!$A:$R,17,FALSE)="裂石"),$E$3*(1+$E$15),0),BJ99)</f>
        <v>0</v>
      </c>
      <c r="BM99" s="110">
        <f>IF(($D$9+IF(VLOOKUP($E99,武器奇术!$A:$R,17,FALSE)="裂石",$D$15,0)+IF(VLOOKUP($E99,武器奇术!$A:$R,18,FALSE)=1,4,0)+IF(VLOOKUP($E99,武器奇术!$A:$S,19,FALSE)=1,20,0)-VLOOKUP($F$7,目标属性!$A:$R,6,FALSE))&gt;0,($D$9+IF(VLOOKUP($E99,武器奇术!$A:$R,17,FALSE)="裂石",$D$15,0)+IF(VLOOKUP($E99,武器奇术!$A:$R,18,FALSE)=1,4,0)+IF(VLOOKUP($E99,武器奇术!$A:$S,19,FALSE)=1,20,0)-VLOOKUP($F$7,目标属性!$A:$R,6,FALSE))/200,($D$9+IF(VLOOKUP($E99,武器奇术!$A:$R,17,FALSE)="裂石",$D$15,0)+IF(VLOOKUP($E99,武器奇术!$A:$R,18,FALSE)=1,4,0)+IF(VLOOKUP($E99,武器奇术!$A:$S,19,FALSE)=1,20,0)-VLOOKUP($F$7,目标属性!$A:$R,6,FALSE))/100)</f>
        <v>-0.24</v>
      </c>
      <c r="BN99" s="111">
        <f t="shared" si="56"/>
        <v>0</v>
      </c>
      <c r="BO99" s="109">
        <v>1</v>
      </c>
      <c r="BP99" s="112">
        <f>BJ99*IF(VLOOKUP($E99,武器奇术!$A:$R,17,FALSE)="裂石",VLOOKUP($E99,武器奇术!$A:$R,4,FALSE),VLOOKUP($E99,武器奇术!$A:$R,2,FALSE))*(1+BM99)*(1+BN99)*BO99</f>
        <v>0</v>
      </c>
      <c r="BQ99" s="110">
        <f>(1-IF(VLOOKUP($E99,武器奇术!$A:$T,20,FALSE)=1,1,$N99))*(1-$M99)</f>
        <v>0.01072666</v>
      </c>
      <c r="BR99" s="112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10">
        <f t="shared" si="57"/>
        <v>0.8813852</v>
      </c>
      <c r="BT99" s="112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10">
        <f t="shared" si="58"/>
        <v>0.0986</v>
      </c>
      <c r="BV99" s="112">
        <f>BK99*IF(VLOOKUP($E99,武器奇术!$A:$R,17,FALSE)="裂石",VLOOKUP($E99,武器奇术!$A:$R,4,FALSE),VLOOKUP($E99,武器奇术!$A:$R,2,FALSE))*(1+BM99)*(1+BN99)*BO99</f>
        <v>0</v>
      </c>
      <c r="BW99" s="110">
        <f t="shared" si="59"/>
        <v>0.00928814000000003</v>
      </c>
      <c r="BX99" s="113">
        <f t="shared" si="60"/>
        <v>0</v>
      </c>
      <c r="BY99" s="108">
        <f>$B$11*IF($G$5="撼天",1.05,1)+IF(AND(VLOOKUP($E99,武器奇术!$A:$R,15,FALSE)="武器",VLOOKUP($E99,武器奇术!$A:$R,17,FALSE)="牵丝"),$E$3,0)*(1+$E$15)</f>
        <v>0</v>
      </c>
      <c r="BZ99" s="99">
        <f>(BY99+CA99)*IF(VLOOKUP($E99,武器奇术!$A:$Z,21,FALSE)=1,$G$15,0.5)</f>
        <v>0</v>
      </c>
      <c r="CA99" s="109">
        <f>MAX($C$11*IF($G$5="撼天",1.05,1)+IF(AND(VLOOKUP($E99,武器奇术!$A:$R,15,FALSE)="武器",VLOOKUP($E99,武器奇术!$A:$R,17,FALSE)="牵丝"),$E$3*(1+$E$15),0),BY99)</f>
        <v>0</v>
      </c>
      <c r="CB99" s="110">
        <f>IF(($D$11+IF(VLOOKUP($E99,武器奇术!$A:$R,17,FALSE)="牵丝",$D$15,0)+IF(VLOOKUP($E99,武器奇术!$A:$R,18,FALSE)=1,4,0)+IF(VLOOKUP($E99,武器奇术!$A:$S,19,FALSE)=1,20,0)-VLOOKUP($F$7,目标属性!$A:$R,6,FALSE))&gt;0,($D$11+IF(VLOOKUP($E99,武器奇术!$A:$R,17,FALSE)="牵丝",$D$15,0)+IF(VLOOKUP($E99,武器奇术!$A:$R,18,FALSE)=1,4,0)+IF(VLOOKUP($E99,武器奇术!$A:$S,19,FALSE)=1,20,0)-VLOOKUP($F$7,目标属性!$A:$R,6,FALSE))/200,($D$11+IF(VLOOKUP($E99,武器奇术!$A:$R,17,FALSE)="牵丝",$D$15,0)+IF(VLOOKUP($E99,武器奇术!$A:$R,18,FALSE)=1,4,0)+IF(VLOOKUP($E99,武器奇术!$A:$S,19,FALSE)=1,20,0)-VLOOKUP($F$7,目标属性!$A:$R,6,FALSE))/100)</f>
        <v>-0.24</v>
      </c>
      <c r="CC99" s="111">
        <f t="shared" si="61"/>
        <v>0</v>
      </c>
      <c r="CD99" s="109">
        <v>1</v>
      </c>
      <c r="CE99" s="112">
        <f>BY99*IF(VLOOKUP($E99,武器奇术!$A:$R,17,FALSE)="牵丝",VLOOKUP($E99,武器奇术!$A:$R,4,FALSE),VLOOKUP($E99,武器奇术!$A:$R,2,FALSE))*(1+CB99)*(1+CC99)*CD99</f>
        <v>0</v>
      </c>
      <c r="CF99" s="110">
        <f>(1-IF(VLOOKUP($E99,武器奇术!$A:$T,20,FALSE)=1,1,$N99))*(1-$M99)</f>
        <v>0.01072666</v>
      </c>
      <c r="CG99" s="112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110">
        <f t="shared" si="62"/>
        <v>0.8813852</v>
      </c>
      <c r="CI99" s="112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110">
        <f t="shared" si="63"/>
        <v>0.0986</v>
      </c>
      <c r="CK99" s="112">
        <f>BZ99*IF(VLOOKUP($E99,武器奇术!$A:$R,17,FALSE)="牵丝",VLOOKUP($E99,武器奇术!$A:$R,4,FALSE),VLOOKUP($E99,武器奇术!$A:$R,2,FALSE))*(1+CB99)*(1+CC99)*CD99</f>
        <v>0</v>
      </c>
      <c r="CL99" s="110">
        <f t="shared" si="64"/>
        <v>0.00928814000000003</v>
      </c>
      <c r="CM99" s="113">
        <f t="shared" si="65"/>
        <v>0</v>
      </c>
      <c r="CN99" s="108">
        <f>$B$13*IF($G$5="撼天",1.05,1)+IF(AND(VLOOKUP($E99,武器奇术!$A:$R,15,FALSE)="武器",VLOOKUP($E99,武器奇术!$A:$R,17,FALSE)="破竹"),$E$3,0)*(1+$E$15)</f>
        <v>648.46</v>
      </c>
      <c r="CO99" s="99">
        <f>IF(VLOOKUP($E99,武器奇术!$A:$Z,20,FALSE)=1,(CP99-(CN99+CP99)*0.5)*($G$15-0.5)*2+(CN99+CP99)*0.5,(CN99+CP99)*0.5)</f>
        <v>875.26</v>
      </c>
      <c r="CP99" s="109">
        <f>MAX($C$13*IF($G$5="撼天",1.05,1)+IF(AND(VLOOKUP($E99,武器奇术!$A:$R,15,FALSE)="武器",VLOOKUP($E99,武器奇术!$A:$R,17,FALSE)="破竹"),$E$3*(1+$E$15),0),CN99)</f>
        <v>1102.06</v>
      </c>
      <c r="CQ99" s="110">
        <f>IF(($D$13+IF(VLOOKUP($E99,武器奇术!$A:$R,17,FALSE)="破竹",$D$15,0)+IF(VLOOKUP($E99,武器奇术!$A:$R,18,FALSE)=1,4,0)+IF(VLOOKUP($E99,武器奇术!$A:$S,19,FALSE)=1,20,0)-VLOOKUP($F$7,目标属性!$A:$R,6,FALSE))&gt;0,($D$13+IF(VLOOKUP($E99,武器奇术!$A:$R,17,FALSE)="破竹",$D$15,0)+IF(VLOOKUP($E99,武器奇术!$A:$R,18,FALSE)=1,4,0)+IF(VLOOKUP($E99,武器奇术!$A:$S,19,FALSE)=1,20,0)-VLOOKUP($F$7,目标属性!$A:$R,6,FALSE))/200,($D$13+IF(VLOOKUP($E99,武器奇术!$A:$R,17,FALSE)="破竹",$D$15,0)+IF(VLOOKUP($E99,武器奇术!$A:$R,18,FALSE)=1,4,0)+IF(VLOOKUP($E99,武器奇术!$A:$S,19,FALSE)=1,20,0)-VLOOKUP($F$7,目标属性!$A:$R,6,FALSE))/100)</f>
        <v>0.025</v>
      </c>
      <c r="CR99" s="111">
        <f>$E$13+IF(VLOOKUP($E99,武器奇术!$A:$U,21,FALSE)=1,0,0.09)</f>
        <v>0.235</v>
      </c>
      <c r="CS99" s="109">
        <v>1</v>
      </c>
      <c r="CT99" s="112">
        <f>CN99*IF(VLOOKUP($E99,武器奇术!$A:$R,17,FALSE)="破竹",VLOOKUP($E99,武器奇术!$A:$R,4,FALSE),VLOOKUP($E99,武器奇术!$A:$R,2,FALSE))*(1+CQ99)*(1+CR99)*CS99</f>
        <v>2041.994476899</v>
      </c>
      <c r="CU99" s="110">
        <f>(1-IF(VLOOKUP($E99,武器奇术!$A:$T,20,FALSE)=1,1,$N99))*(1-$M99)</f>
        <v>0.01072666</v>
      </c>
      <c r="CV99" s="112">
        <f>CO99*IF(VLOOKUP($E99,武器奇术!$A:$R,17,FALSE)="破竹",VLOOKUP($E99,武器奇术!$A:$R,4,FALSE),VLOOKUP($E99,武器奇术!$A:$R,2,FALSE))*(1+CQ99)*(1+CR99)*CS99*(1+$E$16+VLOOKUP($E99,武器奇术!$A:$R,8,FALSE))</f>
        <v>4520.14431236316</v>
      </c>
      <c r="CW99" s="110">
        <f t="shared" si="66"/>
        <v>0.8813852</v>
      </c>
      <c r="CX99" s="112">
        <f>CP99*IF(VLOOKUP($E99,武器奇术!$A:$R,17,FALSE)="破竹",VLOOKUP($E99,武器奇术!$A:$R,4,FALSE),VLOOKUP($E99,武器奇术!$A:$R,2,FALSE))*(1+CQ99)*(1+CR99)*CS99*(1+$E$17+VLOOKUP($E99,武器奇术!$A:$R,10,FALSE))</f>
        <v>4685.00845824765</v>
      </c>
      <c r="CY99" s="110">
        <f t="shared" si="67"/>
        <v>0.0986</v>
      </c>
      <c r="CZ99" s="112">
        <f>CO99*IF(VLOOKUP($E99,武器奇术!$A:$R,17,FALSE)="破竹",VLOOKUP($E99,武器奇术!$A:$R,4,FALSE),VLOOKUP($E99,武器奇术!$A:$R,2,FALSE))*(1+CQ99)*(1+CR99)*CS99</f>
        <v>2756.185556319</v>
      </c>
      <c r="DA99" s="110">
        <f t="shared" si="68"/>
        <v>0.00928814000000003</v>
      </c>
      <c r="DB99" s="113">
        <f t="shared" si="69"/>
        <v>4493.43375055293</v>
      </c>
      <c r="DC99" s="108">
        <f t="shared" si="36"/>
        <v>69.3</v>
      </c>
      <c r="DD99" s="99">
        <f>(DC99+DE99)*IF(VLOOKUP($E99,武器奇术!$A:$Z,21,FALSE)=1,$G$15,0.5)</f>
        <v>69.3</v>
      </c>
      <c r="DE99" s="109">
        <f t="shared" si="37"/>
        <v>69.3</v>
      </c>
      <c r="DF99" s="110">
        <f>IF(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100)</f>
        <v>0.025</v>
      </c>
      <c r="DG99" s="111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U,21,FALSE)=1,0,0.09)</f>
        <v>0.235</v>
      </c>
      <c r="DH99" s="109">
        <v>1</v>
      </c>
      <c r="DI99" s="112">
        <f>DC99*IF(VLOOKUP($E99,武器奇术!$A:$R,17,FALSE)="破竹",VLOOKUP($E99,武器奇术!$A:$R,4,FALSE),VLOOKUP($E99,武器奇术!$A:$R,2,FALSE))*(1+DF99)*(1+DG99)*DH99</f>
        <v>218.225052045</v>
      </c>
      <c r="DJ99" s="110">
        <f>(1-IF(VLOOKUP($E99,武器奇术!$A:$T,20,FALSE)=1,1,$N99))*(1-$M99)</f>
        <v>0.01072666</v>
      </c>
      <c r="DK99" s="112">
        <f>DD99*IF(VLOOKUP($E99,武器奇术!$A:$R,17,FALSE)="破竹",VLOOKUP($E99,武器奇术!$A:$R,4,FALSE),VLOOKUP($E99,武器奇术!$A:$R,2,FALSE))*(1+DF99)*(1+DG99)*DH99*(1+$E$16+VLOOKUP($E99,武器奇术!$A:$R,8,FALSE))</f>
        <v>357.8890853538</v>
      </c>
      <c r="DL99" s="110">
        <f t="shared" si="70"/>
        <v>0.8813852</v>
      </c>
      <c r="DM99" s="112">
        <f>DE99*IF(VLOOKUP($E99,武器奇术!$A:$R,17,FALSE)="破竹",VLOOKUP($E99,武器奇术!$A:$R,4,FALSE),VLOOKUP($E99,武器奇术!$A:$R,2,FALSE))*(1+DF99)*(1+DG99)*DH99*(1+$E$17+VLOOKUP($E99,武器奇术!$A:$R,10,FALSE))</f>
        <v>294.60382026075</v>
      </c>
      <c r="DN99" s="110">
        <f t="shared" si="71"/>
        <v>0.0986</v>
      </c>
      <c r="DO99" s="112">
        <f>DD99*IF(VLOOKUP($E99,武器奇术!$A:$R,17,FALSE)="破竹",VLOOKUP($E99,武器奇术!$A:$R,4,FALSE),VLOOKUP($E99,武器奇术!$A:$R,2,FALSE))*(1+DF99)*(1+DG99)*DH99</f>
        <v>218.225052045</v>
      </c>
      <c r="DP99" s="110">
        <f t="shared" si="72"/>
        <v>0.00928814000000003</v>
      </c>
      <c r="DQ99" s="113">
        <f t="shared" si="73"/>
        <v>348.853810521756</v>
      </c>
    </row>
    <row r="100" spans="1:121">
      <c r="A100" s="75"/>
      <c r="B100" t="s">
        <v>174</v>
      </c>
      <c r="C100" s="147">
        <v>1</v>
      </c>
      <c r="E100" s="98" t="s">
        <v>129</v>
      </c>
      <c r="F100" s="99">
        <v>1</v>
      </c>
      <c r="G100" s="115"/>
      <c r="H100" s="149">
        <f>IF(VLOOKUP($E100,武器奇术!$A:$R,18,FALSE)="天工",AE100,(AE100+AT100+BI100+BX100+CM100+DB100+DQ100))*(1+J100)*F100*K100*(1+G100)*(1+$G$21*5%)</f>
        <v>60878.7828133725</v>
      </c>
      <c r="I100" s="101">
        <f t="shared" si="42"/>
        <v>0.00751627191703801</v>
      </c>
      <c r="J100" s="101">
        <f>$F$3+VLOOKUP($E100,武器奇术!$A:$R,12,FALSE)+VLOOKUP($E100,武器奇术!$A:$R,14,FALSE)*$G$3+$P100</f>
        <v>0.687</v>
      </c>
      <c r="K100" s="102">
        <f>VLOOKUP($E100,武器奇术!$A:$R,11,FALSE)</f>
        <v>1</v>
      </c>
      <c r="L100" s="117">
        <f>IF(VLOOKUP($E100,武器奇术!$A:$R,15,FALSE)="天工",0%,IF($C$17+VLOOKUP($E100,武器奇术!$A:$R,7,FALSE)&gt;80%,80%,$C$17+VLOOKUP($E100,武器奇术!$A:$R,7,FALSE))+IF($C$19&gt;20%,20%,$C$19))</f>
        <v>0.892</v>
      </c>
      <c r="M100" s="118">
        <f>IF(VLOOKUP($E100,武器奇术!$A:$R,15,FALSE)="天工",0%,IF($C$18+VLOOKUP($E100,武器奇术!$A:$R,9,FALSE)&gt;40%,40%,$C$18+VLOOKUP($E100,武器奇术!$A:$R,9,FALSE))+IF($C$20&gt;10%,10%,$C$20))</f>
        <v>0.0986</v>
      </c>
      <c r="N100" s="119">
        <f>IF(VLOOKUP($E100,武器奇术!$A:$R,15,FALSE)="天工",100%,MIN($C$16,1))</f>
        <v>0.9881</v>
      </c>
      <c r="O100" s="120" t="str">
        <f>VLOOKUP($E100,武器奇术!$A:$R,16,FALSE)</f>
        <v>绳标</v>
      </c>
      <c r="P100" s="121">
        <f t="shared" si="74"/>
        <v>0.084</v>
      </c>
      <c r="Q100" s="108">
        <f>$B$5*(1+VLOOKUP($E100,武器奇术!$A:$R,5,FALSE)+IF($G$5="飞隼",0.1,0)+IF($G$5="撼天",0.05,0))-$F$9+IF($I$5="√",160,0)</f>
        <v>1731.135</v>
      </c>
      <c r="R100" s="99">
        <f>IF(VLOOKUP($E100,武器奇术!$A:$Z,20,FALSE)=1,(S100-(Q100+S100)*0.5)*($G$15-0.5)*2+(Q100+S100)*0.5,(Q100+S100)*0.5)</f>
        <v>3256.775</v>
      </c>
      <c r="S100" s="109">
        <f>MAX($C$5,$B$5)*(1+VLOOKUP($E100,武器奇术!$A:$R,5,FALSE)+IF($G$5="飞隼",0.1,0)+IF($G$5="撼天",0.05,0))-$F$9+IF($I$5="√",320,0)</f>
        <v>4782.415</v>
      </c>
      <c r="T100" s="101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U100" s="111">
        <f>$E$5+IF(VLOOKUP($E100,武器奇术!$A:$U,21,FALSE)=1,0,0.09)</f>
        <v>0.115</v>
      </c>
      <c r="V100" s="109">
        <v>1</v>
      </c>
      <c r="W100" s="112">
        <f>Q100*VLOOKUP($E100,武器奇术!$A:$R,2,FALSE)*(1+T100)*(1+U100)*V100</f>
        <v>5595.154346628</v>
      </c>
      <c r="X100" s="110">
        <f>(1-IF(VLOOKUP($E100,武器奇术!$A:$T,20,FALSE)=1,1,$N100))*(1-$M100)</f>
        <v>0.01072666</v>
      </c>
      <c r="Y100" s="112">
        <f>R100*VLOOKUP($E100,武器奇术!$A:$R,2,FALSE)*(1+T100)*(1+U100)*V100*(1+$E$16+VLOOKUP($E100,武器奇术!$A:$R,8,FALSE))</f>
        <v>20420.6997528468</v>
      </c>
      <c r="Z100" s="110">
        <f t="shared" si="39"/>
        <v>0.8813852</v>
      </c>
      <c r="AA100" s="112">
        <f>S100*VLOOKUP($E100,武器奇术!$A:$R,2,FALSE)*(1+T100)*(1+U100)*V100*(1+$E$17+VLOOKUP($E100,武器奇术!$A:$R,10,FALSE))</f>
        <v>20867.1031437462</v>
      </c>
      <c r="AB100" s="110">
        <f t="shared" si="40"/>
        <v>0.0986</v>
      </c>
      <c r="AC100" s="112">
        <f>R100*VLOOKUP($E100,武器奇术!$A:$R,2,FALSE)*(1+T100)*(1+U100)*V100</f>
        <v>10526.13389322</v>
      </c>
      <c r="AD100" s="110">
        <f t="shared" si="43"/>
        <v>0.00928814000000003</v>
      </c>
      <c r="AE100" s="113">
        <f t="shared" si="44"/>
        <v>20213.784429359</v>
      </c>
      <c r="AF100" s="114">
        <f>VLOOKUP($E100,武器奇术!$A:$R,3,FALSE)*(1+IF(VLOOKUP($E100,武器奇术!$A:$R,15,FALSE)="武器",$E$15,0))</f>
        <v>0</v>
      </c>
      <c r="AG100" s="112">
        <f t="shared" si="45"/>
        <v>0</v>
      </c>
      <c r="AH100" s="112">
        <f>VLOOKUP($E100,武器奇术!$A:$R,3,FALSE)*(1+IF(VLOOKUP($E100,武器奇术!$A:$R,15,FALSE)="武器",$E$15,0))</f>
        <v>0</v>
      </c>
      <c r="AI100" s="101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AJ100" s="111">
        <f>$E$5+IF(VLOOKUP($E100,武器奇术!$A:$U,21,FALSE)=1,0,0.09)</f>
        <v>0.115</v>
      </c>
      <c r="AK100" s="109">
        <v>1</v>
      </c>
      <c r="AL100" s="112">
        <f t="shared" si="41"/>
        <v>0</v>
      </c>
      <c r="AM100" s="110">
        <f>(1-IF(VLOOKUP($E100,武器奇术!$A:$T,20,FALSE)=1,1,$N100))*(1-$M100)</f>
        <v>0.01072666</v>
      </c>
      <c r="AN100" s="112">
        <f>AG100*(1+AI100)*(1+AJ100)*AK100*(1+$E$16+VLOOKUP($E100,武器奇术!$A:$R,8,FALSE))</f>
        <v>0</v>
      </c>
      <c r="AO100" s="110">
        <f t="shared" si="46"/>
        <v>0.8813852</v>
      </c>
      <c r="AP100" s="112">
        <f>AH100*(1+AI100)*(1+AJ100)*AK100*(1+$E$17+VLOOKUP($E100,武器奇术!$A:$R,10,FALSE))</f>
        <v>0</v>
      </c>
      <c r="AQ100" s="110">
        <f t="shared" si="47"/>
        <v>0.0986</v>
      </c>
      <c r="AR100" s="112">
        <f t="shared" si="48"/>
        <v>0</v>
      </c>
      <c r="AS100" s="110">
        <f t="shared" si="49"/>
        <v>0.00928814000000003</v>
      </c>
      <c r="AT100" s="113">
        <f t="shared" si="50"/>
        <v>0</v>
      </c>
      <c r="AU100" s="108">
        <f>$B$7*IF($G$5="撼天",1.05,1)+IF(AND(VLOOKUP($E100,武器奇术!$A:$R,15,FALSE)="武器",VLOOKUP($E100,武器奇术!$A:$R,17,FALSE)="鸣金"),$E$3,0)*(1+$E$15)</f>
        <v>0</v>
      </c>
      <c r="AV100" s="99">
        <f>(AU100+AW100)*IF(VLOOKUP($E100,武器奇术!$A:$Z,21,FALSE)=1,$G$15,0.5)</f>
        <v>0</v>
      </c>
      <c r="AW100" s="109">
        <f>MAX($C$7*IF($G$5="撼天",1.05,1)+IF(AND(VLOOKUP($E100,武器奇术!$A:$R,15,FALSE)="武器",VLOOKUP($E100,武器奇术!$A:$R,17,FALSE)="鸣金"),$E$3*(1+$E$15),0),AU100)</f>
        <v>0</v>
      </c>
      <c r="AX100" s="110">
        <f>IF(($D$7+IF(VLOOKUP($E100,武器奇术!$A:$R,17,FALSE)="鸣金",$D$15,0)+IF(VLOOKUP($E100,武器奇术!$A:$R,18,FALSE)=1,4,0)+IF(VLOOKUP($E100,武器奇术!$A:$S,19,FALSE)=1,20,0)-VLOOKUP($F$7,目标属性!$A:$R,6,FALSE))&gt;0,($D$7+IF(VLOOKUP($E100,武器奇术!$A:$R,17,FALSE)="鸣金",$D$15,0)+IF(VLOOKUP($E100,武器奇术!$A:$R,18,FALSE)=1,4,0)+IF(VLOOKUP($E100,武器奇术!$A:$S,19,FALSE)=1,20,0)-VLOOKUP($F$7,目标属性!$A:$R,6,FALSE))/200,($D$7+IF(VLOOKUP($E100,武器奇术!$A:$R,17,FALSE)="鸣金",$D$15,0)+IF(VLOOKUP($E100,武器奇术!$A:$R,18,FALSE)=1,4,0)+IF(VLOOKUP($E100,武器奇术!$A:$S,19,FALSE)=1,20,0)-VLOOKUP($F$7,目标属性!$A:$R,6,FALSE))/100)</f>
        <v>0</v>
      </c>
      <c r="AY100" s="111">
        <f t="shared" si="51"/>
        <v>0</v>
      </c>
      <c r="AZ100" s="109">
        <v>1</v>
      </c>
      <c r="BA100" s="112">
        <f>AU100*IF(VLOOKUP($E100,武器奇术!$A:$R,17,FALSE)="鸣金",VLOOKUP($E100,武器奇术!$A:$R,4,FALSE),VLOOKUP($E100,武器奇术!$A:$R,2,FALSE))*(1+AX100)*(1+AY100)*AZ100</f>
        <v>0</v>
      </c>
      <c r="BB100" s="110">
        <f>(1-IF(VLOOKUP($E100,武器奇术!$A:$T,20,FALSE)=1,1,$N100))*(1-$M100)</f>
        <v>0.01072666</v>
      </c>
      <c r="BC100" s="112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10">
        <f t="shared" si="52"/>
        <v>0.8813852</v>
      </c>
      <c r="BE100" s="112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10">
        <f t="shared" si="53"/>
        <v>0.0986</v>
      </c>
      <c r="BG100" s="112">
        <f>AV100*IF(VLOOKUP($E100,武器奇术!$A:$R,17,FALSE)="鸣金",VLOOKUP($E100,武器奇术!$A:$R,4,FALSE),VLOOKUP($E100,武器奇术!$A:$R,2,FALSE))*(1+AX100)*(1+AY100)*AZ100</f>
        <v>0</v>
      </c>
      <c r="BH100" s="110">
        <f t="shared" si="54"/>
        <v>0.00928814000000003</v>
      </c>
      <c r="BI100" s="113">
        <f t="shared" si="55"/>
        <v>0</v>
      </c>
      <c r="BJ100" s="108">
        <f>$B$9*IF($G$5="撼天",1.05,1)+IF(AND(VLOOKUP($E100,武器奇术!$A:$R,15,FALSE)="武器",VLOOKUP($E100,武器奇术!$A:$R,17,FALSE)="裂石"),$E$3,0)*(1+$E$15)</f>
        <v>0</v>
      </c>
      <c r="BK100" s="99">
        <f>(BJ100+BL100)*IF(VLOOKUP($E100,武器奇术!$A:$Z,21,FALSE)=1,$G$15,0.5)</f>
        <v>0</v>
      </c>
      <c r="BL100" s="109">
        <f>MAX($C$9*IF($G$5="撼天",1.05,1)+IF(AND(VLOOKUP($E100,武器奇术!$A:$R,15,FALSE)="武器",VLOOKUP($E100,武器奇术!$A:$R,17,FALSE)="裂石"),$E$3*(1+$E$15),0),BJ100)</f>
        <v>0</v>
      </c>
      <c r="BM100" s="110">
        <f>IF(($D$9+IF(VLOOKUP($E100,武器奇术!$A:$R,17,FALSE)="裂石",$D$15,0)+IF(VLOOKUP($E100,武器奇术!$A:$R,18,FALSE)=1,4,0)+IF(VLOOKUP($E100,武器奇术!$A:$S,19,FALSE)=1,20,0)-VLOOKUP($F$7,目标属性!$A:$R,6,FALSE))&gt;0,($D$9+IF(VLOOKUP($E100,武器奇术!$A:$R,17,FALSE)="裂石",$D$15,0)+IF(VLOOKUP($E100,武器奇术!$A:$R,18,FALSE)=1,4,0)+IF(VLOOKUP($E100,武器奇术!$A:$S,19,FALSE)=1,20,0)-VLOOKUP($F$7,目标属性!$A:$R,6,FALSE))/200,($D$9+IF(VLOOKUP($E100,武器奇术!$A:$R,17,FALSE)="裂石",$D$15,0)+IF(VLOOKUP($E100,武器奇术!$A:$R,18,FALSE)=1,4,0)+IF(VLOOKUP($E100,武器奇术!$A:$S,19,FALSE)=1,20,0)-VLOOKUP($F$7,目标属性!$A:$R,6,FALSE))/100)</f>
        <v>0</v>
      </c>
      <c r="BN100" s="111">
        <f t="shared" si="56"/>
        <v>0</v>
      </c>
      <c r="BO100" s="109">
        <v>1</v>
      </c>
      <c r="BP100" s="112">
        <f>BJ100*IF(VLOOKUP($E100,武器奇术!$A:$R,17,FALSE)="裂石",VLOOKUP($E100,武器奇术!$A:$R,4,FALSE),VLOOKUP($E100,武器奇术!$A:$R,2,FALSE))*(1+BM100)*(1+BN100)*BO100</f>
        <v>0</v>
      </c>
      <c r="BQ100" s="110">
        <f>(1-IF(VLOOKUP($E100,武器奇术!$A:$T,20,FALSE)=1,1,$N100))*(1-$M100)</f>
        <v>0.01072666</v>
      </c>
      <c r="BR100" s="112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10">
        <f t="shared" si="57"/>
        <v>0.8813852</v>
      </c>
      <c r="BT100" s="112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10">
        <f t="shared" si="58"/>
        <v>0.0986</v>
      </c>
      <c r="BV100" s="112">
        <f>BK100*IF(VLOOKUP($E100,武器奇术!$A:$R,17,FALSE)="裂石",VLOOKUP($E100,武器奇术!$A:$R,4,FALSE),VLOOKUP($E100,武器奇术!$A:$R,2,FALSE))*(1+BM100)*(1+BN100)*BO100</f>
        <v>0</v>
      </c>
      <c r="BW100" s="110">
        <f t="shared" si="59"/>
        <v>0.00928814000000003</v>
      </c>
      <c r="BX100" s="113">
        <f t="shared" si="60"/>
        <v>0</v>
      </c>
      <c r="BY100" s="108">
        <f>$B$11*IF($G$5="撼天",1.05,1)+IF(AND(VLOOKUP($E100,武器奇术!$A:$R,15,FALSE)="武器",VLOOKUP($E100,武器奇术!$A:$R,17,FALSE)="牵丝"),$E$3,0)*(1+$E$15)</f>
        <v>0</v>
      </c>
      <c r="BZ100" s="99">
        <f>(BY100+CA100)*IF(VLOOKUP($E100,武器奇术!$A:$Z,21,FALSE)=1,$G$15,0.5)</f>
        <v>0</v>
      </c>
      <c r="CA100" s="109">
        <f>MAX($C$11*IF($G$5="撼天",1.05,1)+IF(AND(VLOOKUP($E100,武器奇术!$A:$R,15,FALSE)="武器",VLOOKUP($E100,武器奇术!$A:$R,17,FALSE)="牵丝"),$E$3*(1+$E$15),0),BY100)</f>
        <v>0</v>
      </c>
      <c r="CB100" s="110">
        <f>IF(($D$11+IF(VLOOKUP($E100,武器奇术!$A:$R,17,FALSE)="牵丝",$D$15,0)+IF(VLOOKUP($E100,武器奇术!$A:$R,18,FALSE)=1,4,0)+IF(VLOOKUP($E100,武器奇术!$A:$S,19,FALSE)=1,20,0)-VLOOKUP($F$7,目标属性!$A:$R,6,FALSE))&gt;0,($D$11+IF(VLOOKUP($E100,武器奇术!$A:$R,17,FALSE)="牵丝",$D$15,0)+IF(VLOOKUP($E100,武器奇术!$A:$R,18,FALSE)=1,4,0)+IF(VLOOKUP($E100,武器奇术!$A:$S,19,FALSE)=1,20,0)-VLOOKUP($F$7,目标属性!$A:$R,6,FALSE))/200,($D$11+IF(VLOOKUP($E100,武器奇术!$A:$R,17,FALSE)="牵丝",$D$15,0)+IF(VLOOKUP($E100,武器奇术!$A:$R,18,FALSE)=1,4,0)+IF(VLOOKUP($E100,武器奇术!$A:$S,19,FALSE)=1,20,0)-VLOOKUP($F$7,目标属性!$A:$R,6,FALSE))/100)</f>
        <v>0</v>
      </c>
      <c r="CC100" s="111">
        <f t="shared" si="61"/>
        <v>0</v>
      </c>
      <c r="CD100" s="109">
        <v>1</v>
      </c>
      <c r="CE100" s="112">
        <f>BY100*IF(VLOOKUP($E100,武器奇术!$A:$R,17,FALSE)="牵丝",VLOOKUP($E100,武器奇术!$A:$R,4,FALSE),VLOOKUP($E100,武器奇术!$A:$R,2,FALSE))*(1+CB100)*(1+CC100)*CD100</f>
        <v>0</v>
      </c>
      <c r="CF100" s="110">
        <f>(1-IF(VLOOKUP($E100,武器奇术!$A:$T,20,FALSE)=1,1,$N100))*(1-$M100)</f>
        <v>0.01072666</v>
      </c>
      <c r="CG100" s="112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110">
        <f t="shared" si="62"/>
        <v>0.8813852</v>
      </c>
      <c r="CI100" s="112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110">
        <f t="shared" si="63"/>
        <v>0.0986</v>
      </c>
      <c r="CK100" s="112">
        <f>BZ100*IF(VLOOKUP($E100,武器奇术!$A:$R,17,FALSE)="牵丝",VLOOKUP($E100,武器奇术!$A:$R,4,FALSE),VLOOKUP($E100,武器奇术!$A:$R,2,FALSE))*(1+CB100)*(1+CC100)*CD100</f>
        <v>0</v>
      </c>
      <c r="CL100" s="110">
        <f t="shared" si="64"/>
        <v>0.00928814000000003</v>
      </c>
      <c r="CM100" s="113">
        <f t="shared" si="65"/>
        <v>0</v>
      </c>
      <c r="CN100" s="108">
        <f>$B$13*IF($G$5="撼天",1.05,1)+IF(AND(VLOOKUP($E100,武器奇术!$A:$R,15,FALSE)="武器",VLOOKUP($E100,武器奇术!$A:$R,17,FALSE)="破竹"),$E$3,0)*(1+$E$15)</f>
        <v>452.55</v>
      </c>
      <c r="CO100" s="99">
        <f>IF(VLOOKUP($E100,武器奇术!$A:$Z,20,FALSE)=1,(CP100-(CN100+CP100)*0.5)*($G$15-0.5)*2+(CN100+CP100)*0.5,(CN100+CP100)*0.5)</f>
        <v>679.35</v>
      </c>
      <c r="CP100" s="109">
        <f>MAX($C$13*IF($G$5="撼天",1.05,1)+IF(AND(VLOOKUP($E100,武器奇术!$A:$R,15,FALSE)="武器",VLOOKUP($E100,武器奇术!$A:$R,17,FALSE)="破竹"),$E$3*(1+$E$15),0),CN100)</f>
        <v>906.15</v>
      </c>
      <c r="CQ100" s="110">
        <f>IF(($D$13+IF(VLOOKUP($E100,武器奇术!$A:$R,17,FALSE)="破竹",$D$15,0)+IF(VLOOKUP($E100,武器奇术!$A:$R,18,FALSE)=1,4,0)+IF(VLOOKUP($E100,武器奇术!$A:$S,19,FALSE)=1,20,0)-VLOOKUP($F$7,目标属性!$A:$R,6,FALSE))&gt;0,($D$13+IF(VLOOKUP($E100,武器奇术!$A:$R,17,FALSE)="破竹",$D$15,0)+IF(VLOOKUP($E100,武器奇术!$A:$R,18,FALSE)=1,4,0)+IF(VLOOKUP($E100,武器奇术!$A:$S,19,FALSE)=1,20,0)-VLOOKUP($F$7,目标属性!$A:$R,6,FALSE))/200,($D$13+IF(VLOOKUP($E100,武器奇术!$A:$R,17,FALSE)="破竹",$D$15,0)+IF(VLOOKUP($E100,武器奇术!$A:$R,18,FALSE)=1,4,0)+IF(VLOOKUP($E100,武器奇术!$A:$S,19,FALSE)=1,20,0)-VLOOKUP($F$7,目标属性!$A:$R,6,FALSE))/100)</f>
        <v>0.145</v>
      </c>
      <c r="CR100" s="111">
        <f>$E$13+IF(VLOOKUP($E100,武器奇术!$A:$U,21,FALSE)=1,0,0.09)</f>
        <v>0.235</v>
      </c>
      <c r="CS100" s="109">
        <v>1</v>
      </c>
      <c r="CT100" s="112">
        <f>CN100*IF(VLOOKUP($E100,武器奇术!$A:$R,17,FALSE)="破竹",VLOOKUP($E100,武器奇术!$A:$R,4,FALSE),VLOOKUP($E100,武器奇术!$A:$R,2,FALSE))*(1+CQ100)*(1+CR100)*CS100</f>
        <v>2073.40443765</v>
      </c>
      <c r="CU100" s="110">
        <f>(1-IF(VLOOKUP($E100,武器奇术!$A:$T,20,FALSE)=1,1,$N100))*(1-$M100)</f>
        <v>0.01072666</v>
      </c>
      <c r="CV100" s="112">
        <f>CO100*IF(VLOOKUP($E100,武器奇术!$A:$R,17,FALSE)="破竹",VLOOKUP($E100,武器奇术!$A:$R,4,FALSE),VLOOKUP($E100,武器奇术!$A:$R,2,FALSE))*(1+CQ100)*(1+CR100)*CS100*(1+$E$16+VLOOKUP($E100,武器奇术!$A:$R,8,FALSE))</f>
        <v>6038.273276217</v>
      </c>
      <c r="CW100" s="110">
        <f t="shared" si="66"/>
        <v>0.8813852</v>
      </c>
      <c r="CX100" s="112">
        <f>CP100*IF(VLOOKUP($E100,武器奇术!$A:$R,17,FALSE)="破竹",VLOOKUP($E100,武器奇术!$A:$R,4,FALSE),VLOOKUP($E100,武器奇术!$A:$R,2,FALSE))*(1+CQ100)*(1+CR100)*CS100*(1+$E$17+VLOOKUP($E100,武器奇术!$A:$R,10,FALSE))</f>
        <v>5604.6864039075</v>
      </c>
      <c r="CY100" s="110">
        <f t="shared" si="67"/>
        <v>0.0986</v>
      </c>
      <c r="CZ100" s="112">
        <f>CO100*IF(VLOOKUP($E100,武器奇术!$A:$R,17,FALSE)="破竹",VLOOKUP($E100,武器奇术!$A:$R,4,FALSE),VLOOKUP($E100,武器奇术!$A:$R,2,FALSE))*(1+CQ100)*(1+CR100)*CS100</f>
        <v>3112.51199805</v>
      </c>
      <c r="DA100" s="110">
        <f t="shared" si="68"/>
        <v>0.00928814000000003</v>
      </c>
      <c r="DB100" s="113">
        <f t="shared" si="69"/>
        <v>5925.81693027318</v>
      </c>
      <c r="DC100" s="108">
        <f t="shared" si="36"/>
        <v>69.3</v>
      </c>
      <c r="DD100" s="99">
        <f>(DC100+DE100)*IF(VLOOKUP($E100,武器奇术!$A:$Z,21,FALSE)=1,$G$15,0.5)</f>
        <v>69.3</v>
      </c>
      <c r="DE100" s="109">
        <f t="shared" si="37"/>
        <v>69.3</v>
      </c>
      <c r="DF100" s="110">
        <f>IF(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100)</f>
        <v>0.145</v>
      </c>
      <c r="DG100" s="111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U,21,FALSE)=1,0,0.09)</f>
        <v>0.235</v>
      </c>
      <c r="DH100" s="109">
        <v>1</v>
      </c>
      <c r="DI100" s="112">
        <f>DC100*IF(VLOOKUP($E100,武器奇术!$A:$R,17,FALSE)="破竹",VLOOKUP($E100,武器奇术!$A:$R,4,FALSE),VLOOKUP($E100,武器奇术!$A:$R,2,FALSE))*(1+DF100)*(1+DG100)*DH100</f>
        <v>317.5050879</v>
      </c>
      <c r="DJ100" s="110">
        <f>(1-IF(VLOOKUP($E100,武器奇术!$A:$T,20,FALSE)=1,1,$N100))*(1-$M100)</f>
        <v>0.01072666</v>
      </c>
      <c r="DK100" s="112">
        <f>DD100*IF(VLOOKUP($E100,武器奇术!$A:$R,17,FALSE)="破竹",VLOOKUP($E100,武器奇术!$A:$R,4,FALSE),VLOOKUP($E100,武器奇术!$A:$R,2,FALSE))*(1+DF100)*(1+DG100)*DH100*(1+$E$16+VLOOKUP($E100,武器奇术!$A:$R,8,FALSE))</f>
        <v>615.959870526</v>
      </c>
      <c r="DL100" s="110">
        <f t="shared" si="70"/>
        <v>0.8813852</v>
      </c>
      <c r="DM100" s="112">
        <f>DE100*IF(VLOOKUP($E100,武器奇术!$A:$R,17,FALSE)="破竹",VLOOKUP($E100,武器奇术!$A:$R,4,FALSE),VLOOKUP($E100,武器奇术!$A:$R,2,FALSE))*(1+DF100)*(1+DG100)*DH100*(1+$E$17+VLOOKUP($E100,武器奇术!$A:$R,10,FALSE))</f>
        <v>428.631868665</v>
      </c>
      <c r="DN100" s="110">
        <f t="shared" si="71"/>
        <v>0.0986</v>
      </c>
      <c r="DO100" s="112">
        <f>DD100*IF(VLOOKUP($E100,武器奇术!$A:$R,17,FALSE)="破竹",VLOOKUP($E100,武器奇术!$A:$R,4,FALSE),VLOOKUP($E100,武器奇术!$A:$R,2,FALSE))*(1+DF100)*(1+DG100)*DH100</f>
        <v>317.5050879</v>
      </c>
      <c r="DP100" s="110">
        <f t="shared" si="72"/>
        <v>0.00928814000000003</v>
      </c>
      <c r="DQ100" s="113">
        <f t="shared" si="73"/>
        <v>591.515816759203</v>
      </c>
    </row>
    <row r="101" spans="1:121">
      <c r="A101" s="75"/>
      <c r="B101" t="s">
        <v>159</v>
      </c>
      <c r="C101" s="147">
        <v>0.7</v>
      </c>
      <c r="E101" s="98" t="s">
        <v>139</v>
      </c>
      <c r="F101" s="99">
        <v>1</v>
      </c>
      <c r="G101" s="115"/>
      <c r="H101" s="149">
        <f>IF(VLOOKUP($E101,武器奇术!$A:$R,18,FALSE)="天工",AE101,(AE101+AT101+BI101+BX101+CM101+DB101+DQ101))*(1+J101)*F101*K101*(1+G101)*(1+$G$21*5%)</f>
        <v>26190.1922432254</v>
      </c>
      <c r="I101" s="101">
        <f t="shared" si="42"/>
        <v>0.00323351744832095</v>
      </c>
      <c r="J101" s="101">
        <f>$F$3+VLOOKUP($E101,武器奇术!$A:$R,12,FALSE)+VLOOKUP($E101,武器奇术!$A:$R,14,FALSE)*$G$3+$P101</f>
        <v>0.387</v>
      </c>
      <c r="K101" s="102">
        <f>VLOOKUP($E101,武器奇术!$A:$R,11,FALSE)</f>
        <v>1</v>
      </c>
      <c r="L101" s="117">
        <f>IF(VLOOKUP($E101,武器奇术!$A:$R,15,FALSE)="天工",0%,IF($C$17+VLOOKUP($E101,武器奇术!$A:$R,7,FALSE)&gt;80%,80%,$C$17+VLOOKUP($E101,武器奇术!$A:$R,7,FALSE))+IF($C$19&gt;20%,20%,$C$19))</f>
        <v>0.892</v>
      </c>
      <c r="M101" s="118">
        <f>IF(VLOOKUP($E101,武器奇术!$A:$R,15,FALSE)="天工",0%,IF($C$18+VLOOKUP($E101,武器奇术!$A:$R,9,FALSE)&gt;40%,40%,$C$18+VLOOKUP($E101,武器奇术!$A:$R,9,FALSE))+IF($C$20&gt;10%,10%,$C$20))</f>
        <v>0.0986</v>
      </c>
      <c r="N101" s="119">
        <f>IF(VLOOKUP($E101,武器奇术!$A:$R,15,FALSE)="天工",100%,MIN($C$16,1))</f>
        <v>0.9881</v>
      </c>
      <c r="O101" s="120" t="str">
        <f>VLOOKUP($E101,武器奇术!$A:$R,16,FALSE)</f>
        <v>绳标</v>
      </c>
      <c r="P101" s="121">
        <f t="shared" si="74"/>
        <v>0.084</v>
      </c>
      <c r="Q101" s="108">
        <f>$B$5*(1+VLOOKUP($E101,武器奇术!$A:$R,5,FALSE)+IF($G$5="飞隼",0.1,0)+IF($G$5="撼天",0.05,0))-$F$9+IF($I$5="√",160,0)</f>
        <v>1731.135</v>
      </c>
      <c r="R101" s="99">
        <f>IF(VLOOKUP($E101,武器奇术!$A:$Z,20,FALSE)=1,(S101-(Q101+S101)*0.5)*($G$15-0.5)*2+(Q101+S101)*0.5,(Q101+S101)*0.5)</f>
        <v>3256.775</v>
      </c>
      <c r="S101" s="109">
        <f>MAX($C$5,$B$5)*(1+VLOOKUP($E101,武器奇术!$A:$R,5,FALSE)+IF($G$5="飞隼",0.1,0)+IF($G$5="撼天",0.05,0))-$F$9+IF($I$5="√",320,0)</f>
        <v>4782.415</v>
      </c>
      <c r="T101" s="101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U101" s="111">
        <f>$E$5+IF(VLOOKUP($E101,武器奇术!$A:$U,21,FALSE)=1,0,0.09)</f>
        <v>0.115</v>
      </c>
      <c r="V101" s="109">
        <v>1</v>
      </c>
      <c r="W101" s="112">
        <f>Q101*VLOOKUP($E101,武器奇术!$A:$R,2,FALSE)*(1+T101)*(1+U101)*V101</f>
        <v>2997.37880086712</v>
      </c>
      <c r="X101" s="110">
        <f>(1-IF(VLOOKUP($E101,武器奇术!$A:$T,20,FALSE)=1,1,$N101))*(1-$M101)</f>
        <v>0.01072666</v>
      </c>
      <c r="Y101" s="112">
        <f>R101*VLOOKUP($E101,武器奇术!$A:$R,2,FALSE)*(1+T101)*(1+U101)*V101*(1+$E$16+VLOOKUP($E101,武器奇术!$A:$R,8,FALSE))</f>
        <v>9247.88239188634</v>
      </c>
      <c r="Z101" s="110">
        <f t="shared" si="39"/>
        <v>0.8813852</v>
      </c>
      <c r="AA101" s="112">
        <f>S101*VLOOKUP($E101,武器奇术!$A:$R,2,FALSE)*(1+T101)*(1+U101)*V101*(1+$E$17+VLOOKUP($E101,武器奇术!$A:$R,10,FALSE))</f>
        <v>11178.710849374</v>
      </c>
      <c r="AB101" s="110">
        <f t="shared" si="40"/>
        <v>0.0986</v>
      </c>
      <c r="AC101" s="112">
        <f>R101*VLOOKUP($E101,武器奇术!$A:$R,2,FALSE)*(1+T101)*(1+U101)*V101</f>
        <v>5638.95267797948</v>
      </c>
      <c r="AD101" s="110">
        <f t="shared" si="43"/>
        <v>0.00928814000000003</v>
      </c>
      <c r="AE101" s="113">
        <f t="shared" si="44"/>
        <v>9337.69480651205</v>
      </c>
      <c r="AF101" s="114">
        <f>VLOOKUP($E101,武器奇术!$A:$R,3,FALSE)*(1+IF(VLOOKUP($E101,武器奇术!$A:$R,15,FALSE)="武器",$E$15,0))</f>
        <v>451.1</v>
      </c>
      <c r="AG101" s="112">
        <f t="shared" si="45"/>
        <v>451.1</v>
      </c>
      <c r="AH101" s="112">
        <f>VLOOKUP($E101,武器奇术!$A:$R,3,FALSE)*(1+IF(VLOOKUP($E101,武器奇术!$A:$R,15,FALSE)="武器",$E$15,0))</f>
        <v>451.1</v>
      </c>
      <c r="AI101" s="101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AJ101" s="111">
        <f>$E$5+IF(VLOOKUP($E101,武器奇术!$A:$U,21,FALSE)=1,0,0.09)</f>
        <v>0.115</v>
      </c>
      <c r="AK101" s="109">
        <v>1</v>
      </c>
      <c r="AL101" s="112">
        <f t="shared" si="41"/>
        <v>624.696813</v>
      </c>
      <c r="AM101" s="110">
        <f>(1-IF(VLOOKUP($E101,武器奇术!$A:$T,20,FALSE)=1,1,$N101))*(1-$M101)</f>
        <v>0.01072666</v>
      </c>
      <c r="AN101" s="112">
        <f>AG101*(1+AI101)*(1+AJ101)*AK101*(1+$E$16+VLOOKUP($E101,武器奇术!$A:$R,8,FALSE))</f>
        <v>1024.50277332</v>
      </c>
      <c r="AO101" s="110">
        <f t="shared" si="46"/>
        <v>0.8813852</v>
      </c>
      <c r="AP101" s="112">
        <f>AH101*(1+AI101)*(1+AJ101)*AK101*(1+$E$17+VLOOKUP($E101,武器奇术!$A:$R,10,FALSE))</f>
        <v>843.34069755</v>
      </c>
      <c r="AQ101" s="110">
        <f t="shared" si="47"/>
        <v>0.0986</v>
      </c>
      <c r="AR101" s="112">
        <f t="shared" si="48"/>
        <v>624.696813</v>
      </c>
      <c r="AS101" s="110">
        <f t="shared" si="49"/>
        <v>0.00928814000000003</v>
      </c>
      <c r="AT101" s="113">
        <f t="shared" si="50"/>
        <v>998.638156314466</v>
      </c>
      <c r="AU101" s="108">
        <f>$B$7*IF($G$5="撼天",1.05,1)+IF(AND(VLOOKUP($E101,武器奇术!$A:$R,15,FALSE)="武器",VLOOKUP($E101,武器奇术!$A:$R,17,FALSE)="鸣金"),$E$3,0)*(1+$E$15)</f>
        <v>0</v>
      </c>
      <c r="AV101" s="99">
        <f>(AU101+AW101)*IF(VLOOKUP($E101,武器奇术!$A:$Z,21,FALSE)=1,$G$15,0.5)</f>
        <v>0</v>
      </c>
      <c r="AW101" s="109">
        <f>MAX($C$7*IF($G$5="撼天",1.05,1)+IF(AND(VLOOKUP($E101,武器奇术!$A:$R,15,FALSE)="武器",VLOOKUP($E101,武器奇术!$A:$R,17,FALSE)="鸣金"),$E$3*(1+$E$15),0),AU101)</f>
        <v>0</v>
      </c>
      <c r="AX101" s="110">
        <f>IF(($D$7+IF(VLOOKUP($E101,武器奇术!$A:$R,17,FALSE)="鸣金",$D$15,0)+IF(VLOOKUP($E101,武器奇术!$A:$R,18,FALSE)=1,4,0)+IF(VLOOKUP($E101,武器奇术!$A:$S,19,FALSE)=1,20,0)-VLOOKUP($F$7,目标属性!$A:$R,6,FALSE))&gt;0,($D$7+IF(VLOOKUP($E101,武器奇术!$A:$R,17,FALSE)="鸣金",$D$15,0)+IF(VLOOKUP($E101,武器奇术!$A:$R,18,FALSE)=1,4,0)+IF(VLOOKUP($E101,武器奇术!$A:$S,19,FALSE)=1,20,0)-VLOOKUP($F$7,目标属性!$A:$R,6,FALSE))/200,($D$7+IF(VLOOKUP($E101,武器奇术!$A:$R,17,FALSE)="鸣金",$D$15,0)+IF(VLOOKUP($E101,武器奇术!$A:$R,18,FALSE)=1,4,0)+IF(VLOOKUP($E101,武器奇术!$A:$S,19,FALSE)=1,20,0)-VLOOKUP($F$7,目标属性!$A:$R,6,FALSE))/100)</f>
        <v>-0.24</v>
      </c>
      <c r="AY101" s="111">
        <f t="shared" si="51"/>
        <v>0</v>
      </c>
      <c r="AZ101" s="109">
        <v>1</v>
      </c>
      <c r="BA101" s="112">
        <f>AU101*IF(VLOOKUP($E101,武器奇术!$A:$R,17,FALSE)="鸣金",VLOOKUP($E101,武器奇术!$A:$R,4,FALSE),VLOOKUP($E101,武器奇术!$A:$R,2,FALSE))*(1+AX101)*(1+AY101)*AZ101</f>
        <v>0</v>
      </c>
      <c r="BB101" s="110">
        <f>(1-IF(VLOOKUP($E101,武器奇术!$A:$T,20,FALSE)=1,1,$N101))*(1-$M101)</f>
        <v>0.01072666</v>
      </c>
      <c r="BC101" s="112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10">
        <f t="shared" si="52"/>
        <v>0.8813852</v>
      </c>
      <c r="BE101" s="112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10">
        <f t="shared" si="53"/>
        <v>0.0986</v>
      </c>
      <c r="BG101" s="112">
        <f>AV101*IF(VLOOKUP($E101,武器奇术!$A:$R,17,FALSE)="鸣金",VLOOKUP($E101,武器奇术!$A:$R,4,FALSE),VLOOKUP($E101,武器奇术!$A:$R,2,FALSE))*(1+AX101)*(1+AY101)*AZ101</f>
        <v>0</v>
      </c>
      <c r="BH101" s="110">
        <f t="shared" si="54"/>
        <v>0.00928814000000003</v>
      </c>
      <c r="BI101" s="113">
        <f t="shared" si="55"/>
        <v>0</v>
      </c>
      <c r="BJ101" s="108">
        <f>$B$9*IF($G$5="撼天",1.05,1)+IF(AND(VLOOKUP($E101,武器奇术!$A:$R,15,FALSE)="武器",VLOOKUP($E101,武器奇术!$A:$R,17,FALSE)="裂石"),$E$3,0)*(1+$E$15)</f>
        <v>0</v>
      </c>
      <c r="BK101" s="99">
        <f>(BJ101+BL101)*IF(VLOOKUP($E101,武器奇术!$A:$Z,21,FALSE)=1,$G$15,0.5)</f>
        <v>0</v>
      </c>
      <c r="BL101" s="109">
        <f>MAX($C$9*IF($G$5="撼天",1.05,1)+IF(AND(VLOOKUP($E101,武器奇术!$A:$R,15,FALSE)="武器",VLOOKUP($E101,武器奇术!$A:$R,17,FALSE)="裂石"),$E$3*(1+$E$15),0),BJ101)</f>
        <v>0</v>
      </c>
      <c r="BM101" s="110">
        <f>IF(($D$9+IF(VLOOKUP($E101,武器奇术!$A:$R,17,FALSE)="裂石",$D$15,0)+IF(VLOOKUP($E101,武器奇术!$A:$R,18,FALSE)=1,4,0)+IF(VLOOKUP($E101,武器奇术!$A:$S,19,FALSE)=1,20,0)-VLOOKUP($F$7,目标属性!$A:$R,6,FALSE))&gt;0,($D$9+IF(VLOOKUP($E101,武器奇术!$A:$R,17,FALSE)="裂石",$D$15,0)+IF(VLOOKUP($E101,武器奇术!$A:$R,18,FALSE)=1,4,0)+IF(VLOOKUP($E101,武器奇术!$A:$S,19,FALSE)=1,20,0)-VLOOKUP($F$7,目标属性!$A:$R,6,FALSE))/200,($D$9+IF(VLOOKUP($E101,武器奇术!$A:$R,17,FALSE)="裂石",$D$15,0)+IF(VLOOKUP($E101,武器奇术!$A:$R,18,FALSE)=1,4,0)+IF(VLOOKUP($E101,武器奇术!$A:$S,19,FALSE)=1,20,0)-VLOOKUP($F$7,目标属性!$A:$R,6,FALSE))/100)</f>
        <v>-0.24</v>
      </c>
      <c r="BN101" s="111">
        <f t="shared" si="56"/>
        <v>0</v>
      </c>
      <c r="BO101" s="109">
        <v>1</v>
      </c>
      <c r="BP101" s="112">
        <f>BJ101*IF(VLOOKUP($E101,武器奇术!$A:$R,17,FALSE)="裂石",VLOOKUP($E101,武器奇术!$A:$R,4,FALSE),VLOOKUP($E101,武器奇术!$A:$R,2,FALSE))*(1+BM101)*(1+BN101)*BO101</f>
        <v>0</v>
      </c>
      <c r="BQ101" s="110">
        <f>(1-IF(VLOOKUP($E101,武器奇术!$A:$T,20,FALSE)=1,1,$N101))*(1-$M101)</f>
        <v>0.01072666</v>
      </c>
      <c r="BR101" s="112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10">
        <f t="shared" si="57"/>
        <v>0.8813852</v>
      </c>
      <c r="BT101" s="112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10">
        <f t="shared" si="58"/>
        <v>0.0986</v>
      </c>
      <c r="BV101" s="112">
        <f>BK101*IF(VLOOKUP($E101,武器奇术!$A:$R,17,FALSE)="裂石",VLOOKUP($E101,武器奇术!$A:$R,4,FALSE),VLOOKUP($E101,武器奇术!$A:$R,2,FALSE))*(1+BM101)*(1+BN101)*BO101</f>
        <v>0</v>
      </c>
      <c r="BW101" s="110">
        <f t="shared" si="59"/>
        <v>0.00928814000000003</v>
      </c>
      <c r="BX101" s="113">
        <f t="shared" si="60"/>
        <v>0</v>
      </c>
      <c r="BY101" s="108">
        <f>$B$11*IF($G$5="撼天",1.05,1)+IF(AND(VLOOKUP($E101,武器奇术!$A:$R,15,FALSE)="武器",VLOOKUP($E101,武器奇术!$A:$R,17,FALSE)="牵丝"),$E$3,0)*(1+$E$15)</f>
        <v>0</v>
      </c>
      <c r="BZ101" s="99">
        <f>(BY101+CA101)*IF(VLOOKUP($E101,武器奇术!$A:$Z,21,FALSE)=1,$G$15,0.5)</f>
        <v>0</v>
      </c>
      <c r="CA101" s="109">
        <f>MAX($C$11*IF($G$5="撼天",1.05,1)+IF(AND(VLOOKUP($E101,武器奇术!$A:$R,15,FALSE)="武器",VLOOKUP($E101,武器奇术!$A:$R,17,FALSE)="牵丝"),$E$3*(1+$E$15),0),BY101)</f>
        <v>0</v>
      </c>
      <c r="CB101" s="110">
        <f>IF(($D$11+IF(VLOOKUP($E101,武器奇术!$A:$R,17,FALSE)="牵丝",$D$15,0)+IF(VLOOKUP($E101,武器奇术!$A:$R,18,FALSE)=1,4,0)+IF(VLOOKUP($E101,武器奇术!$A:$S,19,FALSE)=1,20,0)-VLOOKUP($F$7,目标属性!$A:$R,6,FALSE))&gt;0,($D$11+IF(VLOOKUP($E101,武器奇术!$A:$R,17,FALSE)="牵丝",$D$15,0)+IF(VLOOKUP($E101,武器奇术!$A:$R,18,FALSE)=1,4,0)+IF(VLOOKUP($E101,武器奇术!$A:$S,19,FALSE)=1,20,0)-VLOOKUP($F$7,目标属性!$A:$R,6,FALSE))/200,($D$11+IF(VLOOKUP($E101,武器奇术!$A:$R,17,FALSE)="牵丝",$D$15,0)+IF(VLOOKUP($E101,武器奇术!$A:$R,18,FALSE)=1,4,0)+IF(VLOOKUP($E101,武器奇术!$A:$S,19,FALSE)=1,20,0)-VLOOKUP($F$7,目标属性!$A:$R,6,FALSE))/100)</f>
        <v>-0.24</v>
      </c>
      <c r="CC101" s="111">
        <f t="shared" si="61"/>
        <v>0</v>
      </c>
      <c r="CD101" s="109">
        <v>1</v>
      </c>
      <c r="CE101" s="112">
        <f>BY101*IF(VLOOKUP($E101,武器奇术!$A:$R,17,FALSE)="牵丝",VLOOKUP($E101,武器奇术!$A:$R,4,FALSE),VLOOKUP($E101,武器奇术!$A:$R,2,FALSE))*(1+CB101)*(1+CC101)*CD101</f>
        <v>0</v>
      </c>
      <c r="CF101" s="110">
        <f>(1-IF(VLOOKUP($E101,武器奇术!$A:$T,20,FALSE)=1,1,$N101))*(1-$M101)</f>
        <v>0.01072666</v>
      </c>
      <c r="CG101" s="112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110">
        <f t="shared" si="62"/>
        <v>0.8813852</v>
      </c>
      <c r="CI101" s="112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110">
        <f t="shared" si="63"/>
        <v>0.0986</v>
      </c>
      <c r="CK101" s="112">
        <f>BZ101*IF(VLOOKUP($E101,武器奇术!$A:$R,17,FALSE)="牵丝",VLOOKUP($E101,武器奇术!$A:$R,4,FALSE),VLOOKUP($E101,武器奇术!$A:$R,2,FALSE))*(1+CB101)*(1+CC101)*CD101</f>
        <v>0</v>
      </c>
      <c r="CL101" s="110">
        <f t="shared" si="64"/>
        <v>0.00928814000000003</v>
      </c>
      <c r="CM101" s="113">
        <f t="shared" si="65"/>
        <v>0</v>
      </c>
      <c r="CN101" s="108">
        <f>$B$13*IF($G$5="撼天",1.05,1)+IF(AND(VLOOKUP($E101,武器奇术!$A:$R,15,FALSE)="武器",VLOOKUP($E101,武器奇术!$A:$R,17,FALSE)="破竹"),$E$3,0)*(1+$E$15)</f>
        <v>648.46</v>
      </c>
      <c r="CO101" s="99">
        <f>IF(VLOOKUP($E101,武器奇术!$A:$Z,20,FALSE)=1,(CP101-(CN101+CP101)*0.5)*($G$15-0.5)*2+(CN101+CP101)*0.5,(CN101+CP101)*0.5)</f>
        <v>875.26</v>
      </c>
      <c r="CP101" s="109">
        <f>MAX($C$13*IF($G$5="撼天",1.05,1)+IF(AND(VLOOKUP($E101,武器奇术!$A:$R,15,FALSE)="武器",VLOOKUP($E101,武器奇术!$A:$R,17,FALSE)="破竹"),$E$3*(1+$E$15),0),CN101)</f>
        <v>1102.06</v>
      </c>
      <c r="CQ101" s="110">
        <f>IF(($D$13+IF(VLOOKUP($E101,武器奇术!$A:$R,17,FALSE)="破竹",$D$15,0)+IF(VLOOKUP($E101,武器奇术!$A:$R,18,FALSE)=1,4,0)+IF(VLOOKUP($E101,武器奇术!$A:$S,19,FALSE)=1,20,0)-VLOOKUP($F$7,目标属性!$A:$R,6,FALSE))&gt;0,($D$13+IF(VLOOKUP($E101,武器奇术!$A:$R,17,FALSE)="破竹",$D$15,0)+IF(VLOOKUP($E101,武器奇术!$A:$R,18,FALSE)=1,4,0)+IF(VLOOKUP($E101,武器奇术!$A:$S,19,FALSE)=1,20,0)-VLOOKUP($F$7,目标属性!$A:$R,6,FALSE))/200,($D$13+IF(VLOOKUP($E101,武器奇术!$A:$R,17,FALSE)="破竹",$D$15,0)+IF(VLOOKUP($E101,武器奇术!$A:$R,18,FALSE)=1,4,0)+IF(VLOOKUP($E101,武器奇术!$A:$S,19,FALSE)=1,20,0)-VLOOKUP($F$7,目标属性!$A:$R,6,FALSE))/100)</f>
        <v>0.025</v>
      </c>
      <c r="CR101" s="111">
        <f>$E$13+IF(VLOOKUP($E101,武器奇术!$A:$U,21,FALSE)=1,0,0.09)</f>
        <v>0.235</v>
      </c>
      <c r="CS101" s="109">
        <v>1</v>
      </c>
      <c r="CT101" s="112">
        <f>CN101*IF(VLOOKUP($E101,武器奇术!$A:$R,17,FALSE)="破竹",VLOOKUP($E101,武器奇术!$A:$R,4,FALSE),VLOOKUP($E101,武器奇术!$A:$R,2,FALSE))*(1+CQ101)*(1+CR101)*CS101</f>
        <v>1539.54037683875</v>
      </c>
      <c r="CU101" s="110">
        <f>(1-IF(VLOOKUP($E101,武器奇术!$A:$T,20,FALSE)=1,1,$N101))*(1-$M101)</f>
        <v>0.01072666</v>
      </c>
      <c r="CV101" s="112">
        <f>CO101*IF(VLOOKUP($E101,武器奇术!$A:$R,17,FALSE)="破竹",VLOOKUP($E101,武器奇术!$A:$R,4,FALSE),VLOOKUP($E101,武器奇术!$A:$R,2,FALSE))*(1+CQ101)*(1+CR101)*CS101*(1+$E$16+VLOOKUP($E101,武器奇术!$A:$R,8,FALSE))</f>
        <v>3407.91552413455</v>
      </c>
      <c r="CW101" s="110">
        <f t="shared" si="66"/>
        <v>0.8813852</v>
      </c>
      <c r="CX101" s="112">
        <f>CP101*IF(VLOOKUP($E101,武器奇术!$A:$R,17,FALSE)="破竹",VLOOKUP($E101,武器奇术!$A:$R,4,FALSE),VLOOKUP($E101,武器奇术!$A:$R,2,FALSE))*(1+CQ101)*(1+CR101)*CS101*(1+$E$17+VLOOKUP($E101,武器奇术!$A:$R,10,FALSE))</f>
        <v>3532.21312246481</v>
      </c>
      <c r="CY101" s="110">
        <f t="shared" si="67"/>
        <v>0.0986</v>
      </c>
      <c r="CZ101" s="112">
        <f>CO101*IF(VLOOKUP($E101,武器奇术!$A:$R,17,FALSE)="破竹",VLOOKUP($E101,武器奇术!$A:$R,4,FALSE),VLOOKUP($E101,武器奇术!$A:$R,2,FALSE))*(1+CQ101)*(1+CR101)*CS101</f>
        <v>2077.99727081375</v>
      </c>
      <c r="DA101" s="110">
        <f t="shared" si="68"/>
        <v>0.00928814000000003</v>
      </c>
      <c r="DB101" s="113">
        <f t="shared" si="69"/>
        <v>3387.77737544702</v>
      </c>
      <c r="DC101" s="108">
        <f t="shared" si="36"/>
        <v>69.3</v>
      </c>
      <c r="DD101" s="99">
        <f>(DC101+DE101)*IF(VLOOKUP($E101,武器奇术!$A:$Z,21,FALSE)=1,$G$15,0.5)</f>
        <v>69.3</v>
      </c>
      <c r="DE101" s="109">
        <f t="shared" si="37"/>
        <v>69.3</v>
      </c>
      <c r="DF101" s="110">
        <f>IF(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100)</f>
        <v>0.025</v>
      </c>
      <c r="DG101" s="111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U,21,FALSE)=1,0,0.09)</f>
        <v>0.235</v>
      </c>
      <c r="DH101" s="109">
        <v>1</v>
      </c>
      <c r="DI101" s="112">
        <f>DC101*IF(VLOOKUP($E101,武器奇术!$A:$R,17,FALSE)="破竹",VLOOKUP($E101,武器奇术!$A:$R,4,FALSE),VLOOKUP($E101,武器奇术!$A:$R,2,FALSE))*(1+DF101)*(1+DG101)*DH101</f>
        <v>164.52849538125</v>
      </c>
      <c r="DJ101" s="110">
        <f>(1-IF(VLOOKUP($E101,武器奇术!$A:$T,20,FALSE)=1,1,$N101))*(1-$M101)</f>
        <v>0.01072666</v>
      </c>
      <c r="DK101" s="112">
        <f>DD101*IF(VLOOKUP($E101,武器奇术!$A:$R,17,FALSE)="破竹",VLOOKUP($E101,武器奇术!$A:$R,4,FALSE),VLOOKUP($E101,武器奇术!$A:$R,2,FALSE))*(1+DF101)*(1+DG101)*DH101*(1+$E$16+VLOOKUP($E101,武器奇术!$A:$R,8,FALSE))</f>
        <v>269.82673242525</v>
      </c>
      <c r="DL101" s="110">
        <f t="shared" si="70"/>
        <v>0.8813852</v>
      </c>
      <c r="DM101" s="112">
        <f>DE101*IF(VLOOKUP($E101,武器奇术!$A:$R,17,FALSE)="破竹",VLOOKUP($E101,武器奇术!$A:$R,4,FALSE),VLOOKUP($E101,武器奇术!$A:$R,2,FALSE))*(1+DF101)*(1+DG101)*DH101*(1+$E$17+VLOOKUP($E101,武器奇术!$A:$R,10,FALSE))</f>
        <v>222.113468764687</v>
      </c>
      <c r="DN101" s="110">
        <f t="shared" si="71"/>
        <v>0.0986</v>
      </c>
      <c r="DO101" s="112">
        <f>DD101*IF(VLOOKUP($E101,武器奇术!$A:$R,17,FALSE)="破竹",VLOOKUP($E101,武器奇术!$A:$R,4,FALSE),VLOOKUP($E101,武器奇术!$A:$R,2,FALSE))*(1+DF101)*(1+DG101)*DH101</f>
        <v>164.52849538125</v>
      </c>
      <c r="DP101" s="110">
        <f t="shared" si="72"/>
        <v>0.00928814000000003</v>
      </c>
      <c r="DQ101" s="113">
        <f t="shared" si="73"/>
        <v>263.01468147353</v>
      </c>
    </row>
    <row r="102" spans="1:121">
      <c r="A102" s="75"/>
      <c r="B102" t="s">
        <v>160</v>
      </c>
      <c r="C102">
        <v>0.8</v>
      </c>
      <c r="E102" s="98" t="s">
        <v>141</v>
      </c>
      <c r="F102" s="99">
        <v>1</v>
      </c>
      <c r="G102" s="115"/>
      <c r="H102" s="149">
        <f>IF(VLOOKUP($E102,武器奇术!$A:$R,18,FALSE)="天工",AE102,(AE102+AT102+BI102+BX102+CM102+DB102+DQ102))*(1+J102)*F102*K102*(1+G102)*(1+$G$21*5%)</f>
        <v>50732.3190111438</v>
      </c>
      <c r="I102" s="101">
        <f t="shared" si="42"/>
        <v>0.00626355993086501</v>
      </c>
      <c r="J102" s="101">
        <f>$F$3+VLOOKUP($E102,武器奇术!$A:$R,12,FALSE)+VLOOKUP($E102,武器奇术!$A:$R,14,FALSE)*$G$3+$P102</f>
        <v>0.687</v>
      </c>
      <c r="K102" s="102">
        <f>VLOOKUP($E102,武器奇术!$A:$R,11,FALSE)</f>
        <v>1</v>
      </c>
      <c r="L102" s="117">
        <f>IF(VLOOKUP($E102,武器奇术!$A:$R,15,FALSE)="天工",0%,IF($C$17+VLOOKUP($E102,武器奇术!$A:$R,7,FALSE)&gt;80%,80%,$C$17+VLOOKUP($E102,武器奇术!$A:$R,7,FALSE))+IF($C$19&gt;20%,20%,$C$19))</f>
        <v>0.892</v>
      </c>
      <c r="M102" s="118">
        <f>IF(VLOOKUP($E102,武器奇术!$A:$R,15,FALSE)="天工",0%,IF($C$18+VLOOKUP($E102,武器奇术!$A:$R,9,FALSE)&gt;40%,40%,$C$18+VLOOKUP($E102,武器奇术!$A:$R,9,FALSE))+IF($C$20&gt;10%,10%,$C$20))</f>
        <v>0.0986</v>
      </c>
      <c r="N102" s="119">
        <f>IF(VLOOKUP($E102,武器奇术!$A:$R,15,FALSE)="天工",100%,MIN($C$16,1))</f>
        <v>0.9881</v>
      </c>
      <c r="O102" s="120" t="str">
        <f>VLOOKUP($E102,武器奇术!$A:$R,16,FALSE)</f>
        <v>绳标</v>
      </c>
      <c r="P102" s="121">
        <f t="shared" si="74"/>
        <v>0.084</v>
      </c>
      <c r="Q102" s="108">
        <f>$B$5*(1+VLOOKUP($E102,武器奇术!$A:$R,5,FALSE)+IF($G$5="飞隼",0.1,0)+IF($G$5="撼天",0.05,0))-$F$9+IF($I$5="√",160,0)</f>
        <v>1731.135</v>
      </c>
      <c r="R102" s="99">
        <f>IF(VLOOKUP($E102,武器奇术!$A:$Z,20,FALSE)=1,(S102-(Q102+S102)*0.5)*($G$15-0.5)*2+(Q102+S102)*0.5,(Q102+S102)*0.5)</f>
        <v>3256.775</v>
      </c>
      <c r="S102" s="109">
        <f>MAX($C$5,$B$5)*(1+VLOOKUP($E102,武器奇术!$A:$R,5,FALSE)+IF($G$5="飞隼",0.1,0)+IF($G$5="撼天",0.05,0))-$F$9+IF($I$5="√",320,0)</f>
        <v>4782.415</v>
      </c>
      <c r="T102" s="101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U102" s="111">
        <f>$E$5+IF(VLOOKUP($E102,武器奇术!$A:$U,21,FALSE)=1,0,0.09)</f>
        <v>0.115</v>
      </c>
      <c r="V102" s="109">
        <v>1</v>
      </c>
      <c r="W102" s="112">
        <f>Q102*VLOOKUP($E102,武器奇术!$A:$R,2,FALSE)*(1+T102)*(1+U102)*V102</f>
        <v>4662.62862219</v>
      </c>
      <c r="X102" s="110">
        <f>(1-IF(VLOOKUP($E102,武器奇术!$A:$T,20,FALSE)=1,1,$N102))*(1-$M102)</f>
        <v>0.01072666</v>
      </c>
      <c r="Y102" s="112">
        <f>R102*VLOOKUP($E102,武器奇术!$A:$R,2,FALSE)*(1+T102)*(1+U102)*V102*(1+$E$16+VLOOKUP($E102,武器奇术!$A:$R,8,FALSE))</f>
        <v>17017.249794039</v>
      </c>
      <c r="Z102" s="110">
        <f t="shared" si="39"/>
        <v>0.8813852</v>
      </c>
      <c r="AA102" s="112">
        <f>S102*VLOOKUP($E102,武器奇术!$A:$R,2,FALSE)*(1+T102)*(1+U102)*V102*(1+$E$17+VLOOKUP($E102,武器奇术!$A:$R,10,FALSE))</f>
        <v>17389.2526197885</v>
      </c>
      <c r="AB102" s="110">
        <f t="shared" si="40"/>
        <v>0.0986</v>
      </c>
      <c r="AC102" s="112">
        <f>R102*VLOOKUP($E102,武器奇术!$A:$R,2,FALSE)*(1+T102)*(1+U102)*V102</f>
        <v>8771.77824435</v>
      </c>
      <c r="AD102" s="110">
        <f t="shared" si="43"/>
        <v>0.00928814000000003</v>
      </c>
      <c r="AE102" s="113">
        <f t="shared" si="44"/>
        <v>16844.8203577992</v>
      </c>
      <c r="AF102" s="114">
        <f>VLOOKUP($E102,武器奇术!$A:$R,3,FALSE)*(1+IF(VLOOKUP($E102,武器奇术!$A:$R,15,FALSE)="武器",$E$15,0))</f>
        <v>0</v>
      </c>
      <c r="AG102" s="112">
        <f t="shared" si="45"/>
        <v>0</v>
      </c>
      <c r="AH102" s="112">
        <f>VLOOKUP($E102,武器奇术!$A:$R,3,FALSE)*(1+IF(VLOOKUP($E102,武器奇术!$A:$R,15,FALSE)="武器",$E$15,0))</f>
        <v>0</v>
      </c>
      <c r="AI102" s="101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AJ102" s="111">
        <f>$E$5+IF(VLOOKUP($E102,武器奇术!$A:$U,21,FALSE)=1,0,0.09)</f>
        <v>0.115</v>
      </c>
      <c r="AK102" s="109">
        <v>1</v>
      </c>
      <c r="AL102" s="112">
        <f t="shared" si="41"/>
        <v>0</v>
      </c>
      <c r="AM102" s="110">
        <f>(1-IF(VLOOKUP($E102,武器奇术!$A:$T,20,FALSE)=1,1,$N102))*(1-$M102)</f>
        <v>0.01072666</v>
      </c>
      <c r="AN102" s="112">
        <f>AG102*(1+AI102)*(1+AJ102)*AK102*(1+$E$16+VLOOKUP($E102,武器奇术!$A:$R,8,FALSE))</f>
        <v>0</v>
      </c>
      <c r="AO102" s="110">
        <f t="shared" si="46"/>
        <v>0.8813852</v>
      </c>
      <c r="AP102" s="112">
        <f>AH102*(1+AI102)*(1+AJ102)*AK102*(1+$E$17+VLOOKUP($E102,武器奇术!$A:$R,10,FALSE))</f>
        <v>0</v>
      </c>
      <c r="AQ102" s="110">
        <f t="shared" si="47"/>
        <v>0.0986</v>
      </c>
      <c r="AR102" s="112">
        <f t="shared" si="48"/>
        <v>0</v>
      </c>
      <c r="AS102" s="110">
        <f t="shared" si="49"/>
        <v>0.00928814000000003</v>
      </c>
      <c r="AT102" s="113">
        <f t="shared" si="50"/>
        <v>0</v>
      </c>
      <c r="AU102" s="108">
        <f>$B$7*IF($G$5="撼天",1.05,1)+IF(AND(VLOOKUP($E102,武器奇术!$A:$R,15,FALSE)="武器",VLOOKUP($E102,武器奇术!$A:$R,17,FALSE)="鸣金"),$E$3,0)*(1+$E$15)</f>
        <v>0</v>
      </c>
      <c r="AV102" s="99">
        <f>(AU102+AW102)*IF(VLOOKUP($E102,武器奇术!$A:$Z,21,FALSE)=1,$G$15,0.5)</f>
        <v>0</v>
      </c>
      <c r="AW102" s="109">
        <f>MAX($C$7*IF($G$5="撼天",1.05,1)+IF(AND(VLOOKUP($E102,武器奇术!$A:$R,15,FALSE)="武器",VLOOKUP($E102,武器奇术!$A:$R,17,FALSE)="鸣金"),$E$3*(1+$E$15),0),AU102)</f>
        <v>0</v>
      </c>
      <c r="AX102" s="110">
        <f>IF(($D$7+IF(VLOOKUP($E102,武器奇术!$A:$R,17,FALSE)="鸣金",$D$15,0)+IF(VLOOKUP($E102,武器奇术!$A:$R,18,FALSE)=1,4,0)+IF(VLOOKUP($E102,武器奇术!$A:$S,19,FALSE)=1,20,0)-VLOOKUP($F$7,目标属性!$A:$R,6,FALSE))&gt;0,($D$7+IF(VLOOKUP($E102,武器奇术!$A:$R,17,FALSE)="鸣金",$D$15,0)+IF(VLOOKUP($E102,武器奇术!$A:$R,18,FALSE)=1,4,0)+IF(VLOOKUP($E102,武器奇术!$A:$S,19,FALSE)=1,20,0)-VLOOKUP($F$7,目标属性!$A:$R,6,FALSE))/200,($D$7+IF(VLOOKUP($E102,武器奇术!$A:$R,17,FALSE)="鸣金",$D$15,0)+IF(VLOOKUP($E102,武器奇术!$A:$R,18,FALSE)=1,4,0)+IF(VLOOKUP($E102,武器奇术!$A:$S,19,FALSE)=1,20,0)-VLOOKUP($F$7,目标属性!$A:$R,6,FALSE))/100)</f>
        <v>0</v>
      </c>
      <c r="AY102" s="111">
        <f t="shared" si="51"/>
        <v>0</v>
      </c>
      <c r="AZ102" s="109">
        <v>1</v>
      </c>
      <c r="BA102" s="112">
        <f>AU102*IF(VLOOKUP($E102,武器奇术!$A:$R,17,FALSE)="鸣金",VLOOKUP($E102,武器奇术!$A:$R,4,FALSE),VLOOKUP($E102,武器奇术!$A:$R,2,FALSE))*(1+AX102)*(1+AY102)*AZ102</f>
        <v>0</v>
      </c>
      <c r="BB102" s="110">
        <f>(1-IF(VLOOKUP($E102,武器奇术!$A:$T,20,FALSE)=1,1,$N102))*(1-$M102)</f>
        <v>0.01072666</v>
      </c>
      <c r="BC102" s="112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10">
        <f t="shared" si="52"/>
        <v>0.8813852</v>
      </c>
      <c r="BE102" s="112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10">
        <f t="shared" si="53"/>
        <v>0.0986</v>
      </c>
      <c r="BG102" s="112">
        <f>AV102*IF(VLOOKUP($E102,武器奇术!$A:$R,17,FALSE)="鸣金",VLOOKUP($E102,武器奇术!$A:$R,4,FALSE),VLOOKUP($E102,武器奇术!$A:$R,2,FALSE))*(1+AX102)*(1+AY102)*AZ102</f>
        <v>0</v>
      </c>
      <c r="BH102" s="110">
        <f t="shared" si="54"/>
        <v>0.00928814000000003</v>
      </c>
      <c r="BI102" s="113">
        <f t="shared" si="55"/>
        <v>0</v>
      </c>
      <c r="BJ102" s="108">
        <f>$B$9*IF($G$5="撼天",1.05,1)+IF(AND(VLOOKUP($E102,武器奇术!$A:$R,15,FALSE)="武器",VLOOKUP($E102,武器奇术!$A:$R,17,FALSE)="裂石"),$E$3,0)*(1+$E$15)</f>
        <v>0</v>
      </c>
      <c r="BK102" s="99">
        <f>(BJ102+BL102)*IF(VLOOKUP($E102,武器奇术!$A:$Z,21,FALSE)=1,$G$15,0.5)</f>
        <v>0</v>
      </c>
      <c r="BL102" s="109">
        <f>MAX($C$9*IF($G$5="撼天",1.05,1)+IF(AND(VLOOKUP($E102,武器奇术!$A:$R,15,FALSE)="武器",VLOOKUP($E102,武器奇术!$A:$R,17,FALSE)="裂石"),$E$3*(1+$E$15),0),BJ102)</f>
        <v>0</v>
      </c>
      <c r="BM102" s="110">
        <f>IF(($D$9+IF(VLOOKUP($E102,武器奇术!$A:$R,17,FALSE)="裂石",$D$15,0)+IF(VLOOKUP($E102,武器奇术!$A:$R,18,FALSE)=1,4,0)+IF(VLOOKUP($E102,武器奇术!$A:$S,19,FALSE)=1,20,0)-VLOOKUP($F$7,目标属性!$A:$R,6,FALSE))&gt;0,($D$9+IF(VLOOKUP($E102,武器奇术!$A:$R,17,FALSE)="裂石",$D$15,0)+IF(VLOOKUP($E102,武器奇术!$A:$R,18,FALSE)=1,4,0)+IF(VLOOKUP($E102,武器奇术!$A:$S,19,FALSE)=1,20,0)-VLOOKUP($F$7,目标属性!$A:$R,6,FALSE))/200,($D$9+IF(VLOOKUP($E102,武器奇术!$A:$R,17,FALSE)="裂石",$D$15,0)+IF(VLOOKUP($E102,武器奇术!$A:$R,18,FALSE)=1,4,0)+IF(VLOOKUP($E102,武器奇术!$A:$S,19,FALSE)=1,20,0)-VLOOKUP($F$7,目标属性!$A:$R,6,FALSE))/100)</f>
        <v>0</v>
      </c>
      <c r="BN102" s="111">
        <f t="shared" si="56"/>
        <v>0</v>
      </c>
      <c r="BO102" s="109">
        <v>1</v>
      </c>
      <c r="BP102" s="112">
        <f>BJ102*IF(VLOOKUP($E102,武器奇术!$A:$R,17,FALSE)="裂石",VLOOKUP($E102,武器奇术!$A:$R,4,FALSE),VLOOKUP($E102,武器奇术!$A:$R,2,FALSE))*(1+BM102)*(1+BN102)*BO102</f>
        <v>0</v>
      </c>
      <c r="BQ102" s="110">
        <f>(1-IF(VLOOKUP($E102,武器奇术!$A:$T,20,FALSE)=1,1,$N102))*(1-$M102)</f>
        <v>0.01072666</v>
      </c>
      <c r="BR102" s="112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10">
        <f t="shared" si="57"/>
        <v>0.8813852</v>
      </c>
      <c r="BT102" s="112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10">
        <f t="shared" si="58"/>
        <v>0.0986</v>
      </c>
      <c r="BV102" s="112">
        <f>BK102*IF(VLOOKUP($E102,武器奇术!$A:$R,17,FALSE)="裂石",VLOOKUP($E102,武器奇术!$A:$R,4,FALSE),VLOOKUP($E102,武器奇术!$A:$R,2,FALSE))*(1+BM102)*(1+BN102)*BO102</f>
        <v>0</v>
      </c>
      <c r="BW102" s="110">
        <f t="shared" si="59"/>
        <v>0.00928814000000003</v>
      </c>
      <c r="BX102" s="113">
        <f t="shared" si="60"/>
        <v>0</v>
      </c>
      <c r="BY102" s="108">
        <f>$B$11*IF($G$5="撼天",1.05,1)+IF(AND(VLOOKUP($E102,武器奇术!$A:$R,15,FALSE)="武器",VLOOKUP($E102,武器奇术!$A:$R,17,FALSE)="牵丝"),$E$3,0)*(1+$E$15)</f>
        <v>0</v>
      </c>
      <c r="BZ102" s="99">
        <f>(BY102+CA102)*IF(VLOOKUP($E102,武器奇术!$A:$Z,21,FALSE)=1,$G$15,0.5)</f>
        <v>0</v>
      </c>
      <c r="CA102" s="109">
        <f>MAX($C$11*IF($G$5="撼天",1.05,1)+IF(AND(VLOOKUP($E102,武器奇术!$A:$R,15,FALSE)="武器",VLOOKUP($E102,武器奇术!$A:$R,17,FALSE)="牵丝"),$E$3*(1+$E$15),0),BY102)</f>
        <v>0</v>
      </c>
      <c r="CB102" s="110">
        <f>IF(($D$11+IF(VLOOKUP($E102,武器奇术!$A:$R,17,FALSE)="牵丝",$D$15,0)+IF(VLOOKUP($E102,武器奇术!$A:$R,18,FALSE)=1,4,0)+IF(VLOOKUP($E102,武器奇术!$A:$S,19,FALSE)=1,20,0)-VLOOKUP($F$7,目标属性!$A:$R,6,FALSE))&gt;0,($D$11+IF(VLOOKUP($E102,武器奇术!$A:$R,17,FALSE)="牵丝",$D$15,0)+IF(VLOOKUP($E102,武器奇术!$A:$R,18,FALSE)=1,4,0)+IF(VLOOKUP($E102,武器奇术!$A:$S,19,FALSE)=1,20,0)-VLOOKUP($F$7,目标属性!$A:$R,6,FALSE))/200,($D$11+IF(VLOOKUP($E102,武器奇术!$A:$R,17,FALSE)="牵丝",$D$15,0)+IF(VLOOKUP($E102,武器奇术!$A:$R,18,FALSE)=1,4,0)+IF(VLOOKUP($E102,武器奇术!$A:$S,19,FALSE)=1,20,0)-VLOOKUP($F$7,目标属性!$A:$R,6,FALSE))/100)</f>
        <v>0</v>
      </c>
      <c r="CC102" s="111">
        <f t="shared" si="61"/>
        <v>0</v>
      </c>
      <c r="CD102" s="109">
        <v>1</v>
      </c>
      <c r="CE102" s="112">
        <f>BY102*IF(VLOOKUP($E102,武器奇术!$A:$R,17,FALSE)="牵丝",VLOOKUP($E102,武器奇术!$A:$R,4,FALSE),VLOOKUP($E102,武器奇术!$A:$R,2,FALSE))*(1+CB102)*(1+CC102)*CD102</f>
        <v>0</v>
      </c>
      <c r="CF102" s="110">
        <f>(1-IF(VLOOKUP($E102,武器奇术!$A:$T,20,FALSE)=1,1,$N102))*(1-$M102)</f>
        <v>0.01072666</v>
      </c>
      <c r="CG102" s="112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110">
        <f t="shared" si="62"/>
        <v>0.8813852</v>
      </c>
      <c r="CI102" s="112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110">
        <f t="shared" si="63"/>
        <v>0.0986</v>
      </c>
      <c r="CK102" s="112">
        <f>BZ102*IF(VLOOKUP($E102,武器奇术!$A:$R,17,FALSE)="牵丝",VLOOKUP($E102,武器奇术!$A:$R,4,FALSE),VLOOKUP($E102,武器奇术!$A:$R,2,FALSE))*(1+CB102)*(1+CC102)*CD102</f>
        <v>0</v>
      </c>
      <c r="CL102" s="110">
        <f t="shared" si="64"/>
        <v>0.00928814000000003</v>
      </c>
      <c r="CM102" s="113">
        <f t="shared" si="65"/>
        <v>0</v>
      </c>
      <c r="CN102" s="108">
        <f>$B$13*IF($G$5="撼天",1.05,1)+IF(AND(VLOOKUP($E102,武器奇术!$A:$R,15,FALSE)="武器",VLOOKUP($E102,武器奇术!$A:$R,17,FALSE)="破竹"),$E$3,0)*(1+$E$15)</f>
        <v>452.55</v>
      </c>
      <c r="CO102" s="99">
        <f>IF(VLOOKUP($E102,武器奇术!$A:$Z,20,FALSE)=1,(CP102-(CN102+CP102)*0.5)*($G$15-0.5)*2+(CN102+CP102)*0.5,(CN102+CP102)*0.5)</f>
        <v>679.35</v>
      </c>
      <c r="CP102" s="109">
        <f>MAX($C$13*IF($G$5="撼天",1.05,1)+IF(AND(VLOOKUP($E102,武器奇术!$A:$R,15,FALSE)="武器",VLOOKUP($E102,武器奇术!$A:$R,17,FALSE)="破竹"),$E$3*(1+$E$15),0),CN102)</f>
        <v>906.15</v>
      </c>
      <c r="CQ102" s="110">
        <f>IF(($D$13+IF(VLOOKUP($E102,武器奇术!$A:$R,17,FALSE)="破竹",$D$15,0)+IF(VLOOKUP($E102,武器奇术!$A:$R,18,FALSE)=1,4,0)+IF(VLOOKUP($E102,武器奇术!$A:$S,19,FALSE)=1,20,0)-VLOOKUP($F$7,目标属性!$A:$R,6,FALSE))&gt;0,($D$13+IF(VLOOKUP($E102,武器奇术!$A:$R,17,FALSE)="破竹",$D$15,0)+IF(VLOOKUP($E102,武器奇术!$A:$R,18,FALSE)=1,4,0)+IF(VLOOKUP($E102,武器奇术!$A:$S,19,FALSE)=1,20,0)-VLOOKUP($F$7,目标属性!$A:$R,6,FALSE))/200,($D$13+IF(VLOOKUP($E102,武器奇术!$A:$R,17,FALSE)="破竹",$D$15,0)+IF(VLOOKUP($E102,武器奇术!$A:$R,18,FALSE)=1,4,0)+IF(VLOOKUP($E102,武器奇术!$A:$S,19,FALSE)=1,20,0)-VLOOKUP($F$7,目标属性!$A:$R,6,FALSE))/100)</f>
        <v>0.145</v>
      </c>
      <c r="CR102" s="111">
        <f>$E$13+IF(VLOOKUP($E102,武器奇术!$A:$U,21,FALSE)=1,0,0.09)</f>
        <v>0.235</v>
      </c>
      <c r="CS102" s="109">
        <v>1</v>
      </c>
      <c r="CT102" s="112">
        <f>CN102*IF(VLOOKUP($E102,武器奇术!$A:$R,17,FALSE)="破竹",VLOOKUP($E102,武器奇术!$A:$R,4,FALSE),VLOOKUP($E102,武器奇术!$A:$R,2,FALSE))*(1+CQ102)*(1+CR102)*CS102</f>
        <v>1727.837031375</v>
      </c>
      <c r="CU102" s="110">
        <f>(1-IF(VLOOKUP($E102,武器奇术!$A:$T,20,FALSE)=1,1,$N102))*(1-$M102)</f>
        <v>0.01072666</v>
      </c>
      <c r="CV102" s="112">
        <f>CO102*IF(VLOOKUP($E102,武器奇术!$A:$R,17,FALSE)="破竹",VLOOKUP($E102,武器奇术!$A:$R,4,FALSE),VLOOKUP($E102,武器奇术!$A:$R,2,FALSE))*(1+CQ102)*(1+CR102)*CS102*(1+$E$16+VLOOKUP($E102,武器奇术!$A:$R,8,FALSE))</f>
        <v>5031.8943968475</v>
      </c>
      <c r="CW102" s="110">
        <f t="shared" si="66"/>
        <v>0.8813852</v>
      </c>
      <c r="CX102" s="112">
        <f>CP102*IF(VLOOKUP($E102,武器奇术!$A:$R,17,FALSE)="破竹",VLOOKUP($E102,武器奇术!$A:$R,4,FALSE),VLOOKUP($E102,武器奇术!$A:$R,2,FALSE))*(1+CQ102)*(1+CR102)*CS102*(1+$E$17+VLOOKUP($E102,武器奇术!$A:$R,10,FALSE))</f>
        <v>4670.57200325625</v>
      </c>
      <c r="CY102" s="110">
        <f t="shared" si="67"/>
        <v>0.0986</v>
      </c>
      <c r="CZ102" s="112">
        <f>CO102*IF(VLOOKUP($E102,武器奇术!$A:$R,17,FALSE)="破竹",VLOOKUP($E102,武器奇术!$A:$R,4,FALSE),VLOOKUP($E102,武器奇术!$A:$R,2,FALSE))*(1+CQ102)*(1+CR102)*CS102</f>
        <v>2593.759998375</v>
      </c>
      <c r="DA102" s="110">
        <f t="shared" si="68"/>
        <v>0.00928814000000003</v>
      </c>
      <c r="DB102" s="113">
        <f t="shared" si="69"/>
        <v>4938.18077522766</v>
      </c>
      <c r="DC102" s="108">
        <f t="shared" si="36"/>
        <v>69.3</v>
      </c>
      <c r="DD102" s="99">
        <f>(DC102+DE102)*IF(VLOOKUP($E102,武器奇术!$A:$Z,21,FALSE)=1,$G$15,0.5)</f>
        <v>69.3</v>
      </c>
      <c r="DE102" s="109">
        <f t="shared" si="37"/>
        <v>69.3</v>
      </c>
      <c r="DF102" s="110">
        <f>IF(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100)</f>
        <v>0.145</v>
      </c>
      <c r="DG102" s="111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U,21,FALSE)=1,0,0.09)</f>
        <v>0.235</v>
      </c>
      <c r="DH102" s="109">
        <v>1</v>
      </c>
      <c r="DI102" s="112">
        <f>DC102*IF(VLOOKUP($E102,武器奇术!$A:$R,17,FALSE)="破竹",VLOOKUP($E102,武器奇术!$A:$R,4,FALSE),VLOOKUP($E102,武器奇术!$A:$R,2,FALSE))*(1+DF102)*(1+DG102)*DH102</f>
        <v>264.58757325</v>
      </c>
      <c r="DJ102" s="110">
        <f>(1-IF(VLOOKUP($E102,武器奇术!$A:$T,20,FALSE)=1,1,$N102))*(1-$M102)</f>
        <v>0.01072666</v>
      </c>
      <c r="DK102" s="112">
        <f>DD102*IF(VLOOKUP($E102,武器奇术!$A:$R,17,FALSE)="破竹",VLOOKUP($E102,武器奇术!$A:$R,4,FALSE),VLOOKUP($E102,武器奇术!$A:$R,2,FALSE))*(1+DF102)*(1+DG102)*DH102*(1+$E$16+VLOOKUP($E102,武器奇术!$A:$R,8,FALSE))</f>
        <v>513.299892105</v>
      </c>
      <c r="DL102" s="110">
        <f t="shared" si="70"/>
        <v>0.8813852</v>
      </c>
      <c r="DM102" s="112">
        <f>DE102*IF(VLOOKUP($E102,武器奇术!$A:$R,17,FALSE)="破竹",VLOOKUP($E102,武器奇术!$A:$R,4,FALSE),VLOOKUP($E102,武器奇术!$A:$R,2,FALSE))*(1+DF102)*(1+DG102)*DH102*(1+$E$17+VLOOKUP($E102,武器奇术!$A:$R,10,FALSE))</f>
        <v>357.1932238875</v>
      </c>
      <c r="DN102" s="110">
        <f t="shared" si="71"/>
        <v>0.0986</v>
      </c>
      <c r="DO102" s="112">
        <f>DD102*IF(VLOOKUP($E102,武器奇术!$A:$R,17,FALSE)="破竹",VLOOKUP($E102,武器奇术!$A:$R,4,FALSE),VLOOKUP($E102,武器奇术!$A:$R,2,FALSE))*(1+DF102)*(1+DG102)*DH102</f>
        <v>264.58757325</v>
      </c>
      <c r="DP102" s="110">
        <f t="shared" si="72"/>
        <v>0.00928814000000003</v>
      </c>
      <c r="DQ102" s="113">
        <f t="shared" si="73"/>
        <v>492.929847299336</v>
      </c>
    </row>
    <row r="103" spans="1:121">
      <c r="A103" s="75" t="s">
        <v>175</v>
      </c>
      <c r="B103" t="s">
        <v>161</v>
      </c>
      <c r="C103">
        <v>2.15</v>
      </c>
      <c r="E103" s="98" t="s">
        <v>176</v>
      </c>
      <c r="F103" s="99">
        <v>1</v>
      </c>
      <c r="G103" s="115">
        <f>$E$23</f>
        <v>0.32</v>
      </c>
      <c r="H103" s="149">
        <f>IF(VLOOKUP($E103,武器奇术!$A:$R,18,FALSE)="天工",AE103,(AE103+AT103+BI103+BX103+CM103+DB103+DQ103))*(1+J103)*F103*K103*(1+G103)*(1+$G$21*5%)</f>
        <v>729539.32221482</v>
      </c>
      <c r="I103" s="101">
        <f t="shared" si="42"/>
        <v>0.0900710504799009</v>
      </c>
      <c r="J103" s="101">
        <f>$F$3+VLOOKUP($E103,武器奇术!$A:$R,12,FALSE)+VLOOKUP($E103,武器奇术!$A:$R,14,FALSE)*$G$3+$P103</f>
        <v>0.773</v>
      </c>
      <c r="K103" s="102">
        <f>VLOOKUP($E103,武器奇术!$A:$R,11,FALSE)</f>
        <v>1</v>
      </c>
      <c r="L103" s="117">
        <f>IF(VLOOKUP($E103,武器奇术!$A:$R,15,FALSE)="天工",0%,IF($C$17+VLOOKUP($E103,武器奇术!$A:$R,7,FALSE)&gt;80%,80%,$C$17+VLOOKUP($E103,武器奇术!$A:$R,7,FALSE))+IF($C$19&gt;20%,20%,$C$19))</f>
        <v>0.892</v>
      </c>
      <c r="M103" s="118">
        <f>IF(VLOOKUP($E103,武器奇术!$A:$R,15,FALSE)="天工",0%,IF($C$18+VLOOKUP($E103,武器奇术!$A:$R,9,FALSE)&gt;40%,40%,$C$18+VLOOKUP($E103,武器奇术!$A:$R,9,FALSE))+IF($C$20&gt;10%,10%,$C$20))</f>
        <v>0.0986</v>
      </c>
      <c r="N103" s="119">
        <f>IF(VLOOKUP($E103,武器奇术!$A:$R,15,FALSE)="天工",100%,MIN($C$16,1))</f>
        <v>0.9881</v>
      </c>
      <c r="O103" s="120" t="str">
        <f>VLOOKUP($E103,武器奇术!$A:$R,16,FALSE)</f>
        <v>拳甲</v>
      </c>
      <c r="P103" s="121">
        <f t="shared" si="74"/>
        <v>0.17</v>
      </c>
      <c r="Q103" s="108">
        <f>$B$5*(1+VLOOKUP($E103,武器奇术!$A:$R,5,FALSE)+IF($G$5="飞隼",0.1,0)+IF($G$5="撼天",0.05,0))-$F$9+IF($I$5="√",160,0)</f>
        <v>1731.135</v>
      </c>
      <c r="R103" s="99">
        <f>IF(VLOOKUP($E103,武器奇术!$A:$Z,20,FALSE)=1,(S103-(Q103+S103)*0.5)*($G$15-0.5)*2+(Q103+S103)*0.5,(Q103+S103)*0.5)</f>
        <v>3256.775</v>
      </c>
      <c r="S103" s="109">
        <f>MAX($C$5,$B$5)*(1+VLOOKUP($E103,武器奇术!$A:$R,5,FALSE)+IF($G$5="飞隼",0.1,0)+IF($G$5="撼天",0.05,0))-$F$9+IF($I$5="√",320,0)</f>
        <v>4782.415</v>
      </c>
      <c r="T103" s="101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U103" s="111">
        <f>$E$5+IF(VLOOKUP($E103,武器奇术!$A:$U,21,FALSE)=1,0,0.09)</f>
        <v>0.025</v>
      </c>
      <c r="V103" s="109">
        <v>1</v>
      </c>
      <c r="W103" s="112">
        <f>Q103*VLOOKUP($E103,武器奇术!$A:$R,2,FALSE)*(1+T103)*(1+U103)*V103</f>
        <v>38530.0219142396</v>
      </c>
      <c r="X103" s="110">
        <f>(1-IF(VLOOKUP($E103,武器奇术!$A:$T,20,FALSE)=1,1,$N103))*(1-$M103)</f>
        <v>0</v>
      </c>
      <c r="Y103" s="112">
        <f>R103*VLOOKUP($E103,武器奇术!$A:$R,2,FALSE)*(1+T103)*(1+U103)*V103*(1+$E$16+VLOOKUP($E103,武器奇术!$A:$R,8,FALSE))</f>
        <v>155120.732892732</v>
      </c>
      <c r="Z103" s="110">
        <f t="shared" si="39"/>
        <v>0.8813852</v>
      </c>
      <c r="AA103" s="112">
        <f>S103*VLOOKUP($E103,武器奇术!$A:$R,2,FALSE)*(1+T103)*(1+U103)*V103*(1+$E$17+VLOOKUP($E103,武器奇术!$A:$R,10,FALSE))</f>
        <v>143697.544626233</v>
      </c>
      <c r="AB103" s="110">
        <f t="shared" si="40"/>
        <v>0.0986</v>
      </c>
      <c r="AC103" s="112">
        <f>R103*VLOOKUP($E103,武器奇术!$A:$R,2,FALSE)*(1+T103)*(1+U103)*V103</f>
        <v>72486.3237816506</v>
      </c>
      <c r="AD103" s="110">
        <f t="shared" si="43"/>
        <v>0.0200148</v>
      </c>
      <c r="AE103" s="113">
        <f t="shared" si="44"/>
        <v>152340.495358179</v>
      </c>
      <c r="AF103" s="114">
        <f>VLOOKUP($E103,武器奇术!$A:$R,3,FALSE)*(1+IF(VLOOKUP($E103,武器奇术!$A:$R,15,FALSE)="武器",$E$15,0))</f>
        <v>5814.9</v>
      </c>
      <c r="AG103" s="112">
        <f t="shared" si="45"/>
        <v>5814.9</v>
      </c>
      <c r="AH103" s="112">
        <f>VLOOKUP($E103,武器奇术!$A:$R,3,FALSE)*(1+IF(VLOOKUP($E103,武器奇术!$A:$R,15,FALSE)="武器",$E$15,0))</f>
        <v>5814.9</v>
      </c>
      <c r="AI103" s="101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AJ103" s="111">
        <f>$E$5+IF(VLOOKUP($E103,武器奇术!$A:$U,21,FALSE)=1,0,0.09)</f>
        <v>0.025</v>
      </c>
      <c r="AK103" s="109">
        <v>1</v>
      </c>
      <c r="AL103" s="112">
        <f t="shared" si="41"/>
        <v>7998.685695</v>
      </c>
      <c r="AM103" s="110">
        <f>(1-IF(VLOOKUP($E103,武器奇术!$A:$T,20,FALSE)=1,1,$N103))*(1-$M103)</f>
        <v>0</v>
      </c>
      <c r="AN103" s="112">
        <f>AG103*(1+AI103)*(1+AJ103)*AK103*(1+$E$16+VLOOKUP($E103,武器奇术!$A:$R,8,FALSE))</f>
        <v>17117.1873873</v>
      </c>
      <c r="AO103" s="110">
        <f t="shared" si="46"/>
        <v>0.8813852</v>
      </c>
      <c r="AP103" s="112">
        <f>AH103*(1+AI103)*(1+AJ103)*AK103*(1+$E$17+VLOOKUP($E103,武器奇术!$A:$R,10,FALSE))</f>
        <v>10798.22568825</v>
      </c>
      <c r="AQ103" s="110">
        <f t="shared" si="47"/>
        <v>0.0986</v>
      </c>
      <c r="AR103" s="112">
        <f t="shared" si="48"/>
        <v>7998.685695</v>
      </c>
      <c r="AS103" s="110">
        <f t="shared" si="49"/>
        <v>0.0200148</v>
      </c>
      <c r="AT103" s="113">
        <f t="shared" si="50"/>
        <v>16311.6327761026</v>
      </c>
      <c r="AU103" s="108">
        <f>$B$7*IF($G$5="撼天",1.05,1)+IF(AND(VLOOKUP($E103,武器奇术!$A:$R,15,FALSE)="武器",VLOOKUP($E103,武器奇术!$A:$R,17,FALSE)="鸣金"),$E$3,0)*(1+$E$15)</f>
        <v>0</v>
      </c>
      <c r="AV103" s="99">
        <f>(AU103+AW103)*IF(VLOOKUP($E103,武器奇术!$A:$Z,21,FALSE)=1,$G$15,0.5)</f>
        <v>0</v>
      </c>
      <c r="AW103" s="109">
        <f>MAX($C$7*IF($G$5="撼天",1.05,1)+IF(AND(VLOOKUP($E103,武器奇术!$A:$R,15,FALSE)="武器",VLOOKUP($E103,武器奇术!$A:$R,17,FALSE)="鸣金"),$E$3*(1+$E$15),0),AU103)</f>
        <v>0</v>
      </c>
      <c r="AX103" s="110">
        <f>IF(($D$7+IF(VLOOKUP($E103,武器奇术!$A:$R,17,FALSE)="鸣金",$D$15,0)+IF(VLOOKUP($E103,武器奇术!$A:$R,18,FALSE)=1,4,0)+IF(VLOOKUP($E103,武器奇术!$A:$S,19,FALSE)=1,20,0)-VLOOKUP($F$7,目标属性!$A:$R,6,FALSE))&gt;0,($D$7+IF(VLOOKUP($E103,武器奇术!$A:$R,17,FALSE)="鸣金",$D$15,0)+IF(VLOOKUP($E103,武器奇术!$A:$R,18,FALSE)=1,4,0)+IF(VLOOKUP($E103,武器奇术!$A:$S,19,FALSE)=1,20,0)-VLOOKUP($F$7,目标属性!$A:$R,6,FALSE))/200,($D$7+IF(VLOOKUP($E103,武器奇术!$A:$R,17,FALSE)="鸣金",$D$15,0)+IF(VLOOKUP($E103,武器奇术!$A:$R,18,FALSE)=1,4,0)+IF(VLOOKUP($E103,武器奇术!$A:$S,19,FALSE)=1,20,0)-VLOOKUP($F$7,目标属性!$A:$R,6,FALSE))/100)</f>
        <v>0</v>
      </c>
      <c r="AY103" s="111">
        <f t="shared" si="51"/>
        <v>0</v>
      </c>
      <c r="AZ103" s="109">
        <v>1</v>
      </c>
      <c r="BA103" s="112">
        <f>AU103*IF(VLOOKUP($E103,武器奇术!$A:$R,17,FALSE)="鸣金",VLOOKUP($E103,武器奇术!$A:$R,4,FALSE),VLOOKUP($E103,武器奇术!$A:$R,2,FALSE))*(1+AX103)*(1+AY103)*AZ103</f>
        <v>0</v>
      </c>
      <c r="BB103" s="110">
        <f>(1-IF(VLOOKUP($E103,武器奇术!$A:$T,20,FALSE)=1,1,$N103))*(1-$M103)</f>
        <v>0</v>
      </c>
      <c r="BC103" s="112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10">
        <f t="shared" si="52"/>
        <v>0.8813852</v>
      </c>
      <c r="BE103" s="112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10">
        <f t="shared" si="53"/>
        <v>0.0986</v>
      </c>
      <c r="BG103" s="112">
        <f>AV103*IF(VLOOKUP($E103,武器奇术!$A:$R,17,FALSE)="鸣金",VLOOKUP($E103,武器奇术!$A:$R,4,FALSE),VLOOKUP($E103,武器奇术!$A:$R,2,FALSE))*(1+AX103)*(1+AY103)*AZ103</f>
        <v>0</v>
      </c>
      <c r="BH103" s="110">
        <f t="shared" si="54"/>
        <v>0.0200148</v>
      </c>
      <c r="BI103" s="113">
        <f t="shared" si="55"/>
        <v>0</v>
      </c>
      <c r="BJ103" s="108">
        <f>$B$9*IF($G$5="撼天",1.05,1)+IF(AND(VLOOKUP($E103,武器奇术!$A:$R,15,FALSE)="武器",VLOOKUP($E103,武器奇术!$A:$R,17,FALSE)="裂石"),$E$3,0)*(1+$E$15)</f>
        <v>0</v>
      </c>
      <c r="BK103" s="99">
        <f>(BJ103+BL103)*IF(VLOOKUP($E103,武器奇术!$A:$Z,21,FALSE)=1,$G$15,0.5)</f>
        <v>0</v>
      </c>
      <c r="BL103" s="109">
        <f>MAX($C$9*IF($G$5="撼天",1.05,1)+IF(AND(VLOOKUP($E103,武器奇术!$A:$R,15,FALSE)="武器",VLOOKUP($E103,武器奇术!$A:$R,17,FALSE)="裂石"),$E$3*(1+$E$15),0),BJ103)</f>
        <v>0</v>
      </c>
      <c r="BM103" s="110">
        <f>IF(($D$9+IF(VLOOKUP($E103,武器奇术!$A:$R,17,FALSE)="裂石",$D$15,0)+IF(VLOOKUP($E103,武器奇术!$A:$R,18,FALSE)=1,4,0)+IF(VLOOKUP($E103,武器奇术!$A:$S,19,FALSE)=1,20,0)-VLOOKUP($F$7,目标属性!$A:$R,6,FALSE))&gt;0,($D$9+IF(VLOOKUP($E103,武器奇术!$A:$R,17,FALSE)="裂石",$D$15,0)+IF(VLOOKUP($E103,武器奇术!$A:$R,18,FALSE)=1,4,0)+IF(VLOOKUP($E103,武器奇术!$A:$S,19,FALSE)=1,20,0)-VLOOKUP($F$7,目标属性!$A:$R,6,FALSE))/200,($D$9+IF(VLOOKUP($E103,武器奇术!$A:$R,17,FALSE)="裂石",$D$15,0)+IF(VLOOKUP($E103,武器奇术!$A:$R,18,FALSE)=1,4,0)+IF(VLOOKUP($E103,武器奇术!$A:$S,19,FALSE)=1,20,0)-VLOOKUP($F$7,目标属性!$A:$R,6,FALSE))/100)</f>
        <v>0</v>
      </c>
      <c r="BN103" s="111">
        <f t="shared" si="56"/>
        <v>0</v>
      </c>
      <c r="BO103" s="109">
        <v>1</v>
      </c>
      <c r="BP103" s="112">
        <f>BJ103*IF(VLOOKUP($E103,武器奇术!$A:$R,17,FALSE)="裂石",VLOOKUP($E103,武器奇术!$A:$R,4,FALSE),VLOOKUP($E103,武器奇术!$A:$R,2,FALSE))*(1+BM103)*(1+BN103)*BO103</f>
        <v>0</v>
      </c>
      <c r="BQ103" s="110">
        <f>(1-IF(VLOOKUP($E103,武器奇术!$A:$T,20,FALSE)=1,1,$N103))*(1-$M103)</f>
        <v>0</v>
      </c>
      <c r="BR103" s="112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10">
        <f t="shared" si="57"/>
        <v>0.8813852</v>
      </c>
      <c r="BT103" s="112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10">
        <f t="shared" si="58"/>
        <v>0.0986</v>
      </c>
      <c r="BV103" s="112">
        <f>BK103*IF(VLOOKUP($E103,武器奇术!$A:$R,17,FALSE)="裂石",VLOOKUP($E103,武器奇术!$A:$R,4,FALSE),VLOOKUP($E103,武器奇术!$A:$R,2,FALSE))*(1+BM103)*(1+BN103)*BO103</f>
        <v>0</v>
      </c>
      <c r="BW103" s="110">
        <f t="shared" si="59"/>
        <v>0.0200148</v>
      </c>
      <c r="BX103" s="113">
        <f t="shared" si="60"/>
        <v>0</v>
      </c>
      <c r="BY103" s="108">
        <f>$B$11*IF($G$5="撼天",1.05,1)+IF(AND(VLOOKUP($E103,武器奇术!$A:$R,15,FALSE)="武器",VLOOKUP($E103,武器奇术!$A:$R,17,FALSE)="牵丝"),$E$3,0)*(1+$E$15)</f>
        <v>0</v>
      </c>
      <c r="BZ103" s="99">
        <f>(BY103+CA103)*IF(VLOOKUP($E103,武器奇术!$A:$Z,21,FALSE)=1,$G$15,0.5)</f>
        <v>0</v>
      </c>
      <c r="CA103" s="109">
        <f>MAX($C$11*IF($G$5="撼天",1.05,1)+IF(AND(VLOOKUP($E103,武器奇术!$A:$R,15,FALSE)="武器",VLOOKUP($E103,武器奇术!$A:$R,17,FALSE)="牵丝"),$E$3*(1+$E$15),0),BY103)</f>
        <v>0</v>
      </c>
      <c r="CB103" s="110">
        <f>IF(($D$11+IF(VLOOKUP($E103,武器奇术!$A:$R,17,FALSE)="牵丝",$D$15,0)+IF(VLOOKUP($E103,武器奇术!$A:$R,18,FALSE)=1,4,0)+IF(VLOOKUP($E103,武器奇术!$A:$S,19,FALSE)=1,20,0)-VLOOKUP($F$7,目标属性!$A:$R,6,FALSE))&gt;0,($D$11+IF(VLOOKUP($E103,武器奇术!$A:$R,17,FALSE)="牵丝",$D$15,0)+IF(VLOOKUP($E103,武器奇术!$A:$R,18,FALSE)=1,4,0)+IF(VLOOKUP($E103,武器奇术!$A:$S,19,FALSE)=1,20,0)-VLOOKUP($F$7,目标属性!$A:$R,6,FALSE))/200,($D$11+IF(VLOOKUP($E103,武器奇术!$A:$R,17,FALSE)="牵丝",$D$15,0)+IF(VLOOKUP($E103,武器奇术!$A:$R,18,FALSE)=1,4,0)+IF(VLOOKUP($E103,武器奇术!$A:$S,19,FALSE)=1,20,0)-VLOOKUP($F$7,目标属性!$A:$R,6,FALSE))/100)</f>
        <v>0</v>
      </c>
      <c r="CC103" s="111">
        <f t="shared" si="61"/>
        <v>0</v>
      </c>
      <c r="CD103" s="109">
        <v>1</v>
      </c>
      <c r="CE103" s="112">
        <f>BY103*IF(VLOOKUP($E103,武器奇术!$A:$R,17,FALSE)="牵丝",VLOOKUP($E103,武器奇术!$A:$R,4,FALSE),VLOOKUP($E103,武器奇术!$A:$R,2,FALSE))*(1+CB103)*(1+CC103)*CD103</f>
        <v>0</v>
      </c>
      <c r="CF103" s="110">
        <f>(1-IF(VLOOKUP($E103,武器奇术!$A:$T,20,FALSE)=1,1,$N103))*(1-$M103)</f>
        <v>0</v>
      </c>
      <c r="CG103" s="112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110">
        <f t="shared" si="62"/>
        <v>0.8813852</v>
      </c>
      <c r="CI103" s="112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110">
        <f t="shared" si="63"/>
        <v>0.0986</v>
      </c>
      <c r="CK103" s="112">
        <f>BZ103*IF(VLOOKUP($E103,武器奇术!$A:$R,17,FALSE)="牵丝",VLOOKUP($E103,武器奇术!$A:$R,4,FALSE),VLOOKUP($E103,武器奇术!$A:$R,2,FALSE))*(1+CB103)*(1+CC103)*CD103</f>
        <v>0</v>
      </c>
      <c r="CL103" s="110">
        <f t="shared" si="64"/>
        <v>0.0200148</v>
      </c>
      <c r="CM103" s="113">
        <f t="shared" si="65"/>
        <v>0</v>
      </c>
      <c r="CN103" s="108">
        <f>$B$13*IF($G$5="撼天",1.05,1)+IF(AND(VLOOKUP($E103,武器奇术!$A:$R,15,FALSE)="武器",VLOOKUP($E103,武器奇术!$A:$R,17,FALSE)="破竹"),$E$3,0)*(1+$E$15)</f>
        <v>648.46</v>
      </c>
      <c r="CO103" s="99">
        <f>IF(VLOOKUP($E103,武器奇术!$A:$Z,20,FALSE)=1,(CP103-(CN103+CP103)*0.5)*($G$15-0.5)*2+(CN103+CP103)*0.5,(CN103+CP103)*0.5)</f>
        <v>875.26</v>
      </c>
      <c r="CP103" s="109">
        <f>MAX($C$13*IF($G$5="撼天",1.05,1)+IF(AND(VLOOKUP($E103,武器奇术!$A:$R,15,FALSE)="武器",VLOOKUP($E103,武器奇术!$A:$R,17,FALSE)="破竹"),$E$3*(1+$E$15),0),CN103)</f>
        <v>1102.06</v>
      </c>
      <c r="CQ103" s="110">
        <f>IF(($D$13+IF(VLOOKUP($E103,武器奇术!$A:$R,17,FALSE)="破竹",$D$15,0)+IF(VLOOKUP($E103,武器奇术!$A:$R,18,FALSE)=1,4,0)+IF(VLOOKUP($E103,武器奇术!$A:$S,19,FALSE)=1,20,0)-VLOOKUP($F$7,目标属性!$A:$R,6,FALSE))&gt;0,($D$13+IF(VLOOKUP($E103,武器奇术!$A:$R,17,FALSE)="破竹",$D$15,0)+IF(VLOOKUP($E103,武器奇术!$A:$R,18,FALSE)=1,4,0)+IF(VLOOKUP($E103,武器奇术!$A:$S,19,FALSE)=1,20,0)-VLOOKUP($F$7,目标属性!$A:$R,6,FALSE))/200,($D$13+IF(VLOOKUP($E103,武器奇术!$A:$R,17,FALSE)="破竹",$D$15,0)+IF(VLOOKUP($E103,武器奇术!$A:$R,18,FALSE)=1,4,0)+IF(VLOOKUP($E103,武器奇术!$A:$S,19,FALSE)=1,20,0)-VLOOKUP($F$7,目标属性!$A:$R,6,FALSE))/100)</f>
        <v>0.145</v>
      </c>
      <c r="CR103" s="111">
        <f>$E$13+IF(VLOOKUP($E103,武器奇术!$A:$U,21,FALSE)=1,0,0.09)</f>
        <v>0.145</v>
      </c>
      <c r="CS103" s="109">
        <v>1</v>
      </c>
      <c r="CT103" s="112">
        <f>CN103*IF(VLOOKUP($E103,武器奇术!$A:$R,17,FALSE)="破竹",VLOOKUP($E103,武器奇术!$A:$R,4,FALSE),VLOOKUP($E103,武器奇术!$A:$R,2,FALSE))*(1+CQ103)*(1+CR103)*CS103</f>
        <v>20633.6693823951</v>
      </c>
      <c r="CU103" s="110">
        <f>(1-IF(VLOOKUP($E103,武器奇术!$A:$T,20,FALSE)=1,1,$N103))*(1-$M103)</f>
        <v>0</v>
      </c>
      <c r="CV103" s="112">
        <f>CO103*IF(VLOOKUP($E103,武器奇术!$A:$R,17,FALSE)="破竹",VLOOKUP($E103,武器奇术!$A:$R,4,FALSE),VLOOKUP($E103,武器奇术!$A:$R,2,FALSE))*(1+CQ103)*(1+CR103)*CS103*(1+$E$16+VLOOKUP($E103,武器奇术!$A:$R,8,FALSE))</f>
        <v>59599.7077571155</v>
      </c>
      <c r="CW103" s="110">
        <f t="shared" si="66"/>
        <v>0.8813852</v>
      </c>
      <c r="CX103" s="112">
        <f>CP103*IF(VLOOKUP($E103,武器奇术!$A:$R,17,FALSE)="破竹",VLOOKUP($E103,武器奇术!$A:$R,4,FALSE),VLOOKUP($E103,武器奇术!$A:$R,2,FALSE))*(1+CQ103)*(1+CR103)*CS103*(1+$E$17+VLOOKUP($E103,武器奇术!$A:$R,10,FALSE))</f>
        <v>47340.4392983516</v>
      </c>
      <c r="CY103" s="110">
        <f t="shared" si="67"/>
        <v>0.0986</v>
      </c>
      <c r="CZ103" s="112">
        <f>CO103*IF(VLOOKUP($E103,武器奇术!$A:$R,17,FALSE)="破竹",VLOOKUP($E103,武器奇术!$A:$R,4,FALSE),VLOOKUP($E103,武器奇术!$A:$R,2,FALSE))*(1+CQ103)*(1+CR103)*CS103</f>
        <v>27850.3307276241</v>
      </c>
      <c r="DA103" s="110">
        <f t="shared" si="68"/>
        <v>0.0200148</v>
      </c>
      <c r="DB103" s="113">
        <f t="shared" si="69"/>
        <v>57755.4864557115</v>
      </c>
      <c r="DC103" s="108">
        <f t="shared" si="36"/>
        <v>69.3</v>
      </c>
      <c r="DD103" s="99">
        <f>(DC103+DE103)*IF(VLOOKUP($E103,武器奇术!$A:$Z,21,FALSE)=1,$G$15,0.5)</f>
        <v>69.3</v>
      </c>
      <c r="DE103" s="109">
        <f t="shared" si="37"/>
        <v>69.3</v>
      </c>
      <c r="DF103" s="110">
        <f>IF(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100)</f>
        <v>0.145</v>
      </c>
      <c r="DG103" s="111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U,21,FALSE)=1,0,0.09)</f>
        <v>0.145</v>
      </c>
      <c r="DH103" s="109">
        <v>1</v>
      </c>
      <c r="DI103" s="112">
        <f>DC103*IF(VLOOKUP($E103,武器奇术!$A:$R,17,FALSE)="破竹",VLOOKUP($E103,武器奇术!$A:$R,4,FALSE),VLOOKUP($E103,武器奇术!$A:$R,2,FALSE))*(1+DF103)*(1+DG103)*DH103</f>
        <v>2205.09096659775</v>
      </c>
      <c r="DJ103" s="110">
        <f>(1-IF(VLOOKUP($E103,武器奇术!$A:$T,20,FALSE)=1,1,$N103))*(1-$M103)</f>
        <v>0</v>
      </c>
      <c r="DK103" s="112">
        <f>DD103*IF(VLOOKUP($E103,武器奇术!$A:$R,17,FALSE)="破竹",VLOOKUP($E103,武器奇术!$A:$R,4,FALSE),VLOOKUP($E103,武器奇术!$A:$R,2,FALSE))*(1+DF103)*(1+DG103)*DH103*(1+$E$16+VLOOKUP($E103,武器奇术!$A:$R,8,FALSE))</f>
        <v>4718.89466851919</v>
      </c>
      <c r="DL103" s="110">
        <f t="shared" si="70"/>
        <v>0.8813852</v>
      </c>
      <c r="DM103" s="112">
        <f>DE103*IF(VLOOKUP($E103,武器奇术!$A:$R,17,FALSE)="破竹",VLOOKUP($E103,武器奇术!$A:$R,4,FALSE),VLOOKUP($E103,武器奇术!$A:$R,2,FALSE))*(1+DF103)*(1+DG103)*DH103*(1+$E$17+VLOOKUP($E103,武器奇术!$A:$R,10,FALSE))</f>
        <v>2976.87280490696</v>
      </c>
      <c r="DN103" s="110">
        <f t="shared" si="71"/>
        <v>0.0986</v>
      </c>
      <c r="DO103" s="112">
        <f>DD103*IF(VLOOKUP($E103,武器奇术!$A:$R,17,FALSE)="破竹",VLOOKUP($E103,武器奇术!$A:$R,4,FALSE),VLOOKUP($E103,武器奇术!$A:$R,2,FALSE))*(1+DF103)*(1+DG103)*DH103</f>
        <v>2205.09096659775</v>
      </c>
      <c r="DP103" s="110">
        <f t="shared" si="72"/>
        <v>0.0200148</v>
      </c>
      <c r="DQ103" s="113">
        <f t="shared" si="73"/>
        <v>4496.8180344338</v>
      </c>
    </row>
    <row r="104" spans="1:121">
      <c r="A104" s="75"/>
      <c r="B104" t="s">
        <v>162</v>
      </c>
      <c r="C104" s="147">
        <v>2.13</v>
      </c>
      <c r="E104" s="98" t="s">
        <v>93</v>
      </c>
      <c r="F104" s="99">
        <v>1</v>
      </c>
      <c r="G104" s="115"/>
      <c r="H104" s="100">
        <f>IF(VLOOKUP($E104,武器奇术!$A:$R,18,FALSE)="天工",AE104,(AE104+AT104+BI104+BX104+CM104+DB104+DQ104))*(1+J104)*F104*K104*(1+G104)</f>
        <v>0</v>
      </c>
      <c r="I104" s="101">
        <f t="shared" si="42"/>
        <v>0</v>
      </c>
      <c r="J104" s="101">
        <f>$F$3+VLOOKUP($E104,武器奇术!$A:$R,12,FALSE)+VLOOKUP($E104,武器奇术!$A:$R,14,FALSE)*$G$3+$P104</f>
        <v>0.303</v>
      </c>
      <c r="K104" s="102">
        <f>VLOOKUP($E104,武器奇术!$A:$R,11,FALSE)</f>
        <v>1</v>
      </c>
      <c r="L104" s="117">
        <f>IF(VLOOKUP($E104,武器奇术!$A:$R,15,FALSE)="天工",0%,IF($C$17+VLOOKUP($E104,武器奇术!$A:$R,7,FALSE)&gt;80%,80%,$C$17+VLOOKUP($E104,武器奇术!$A:$R,7,FALSE))+IF($C$19&gt;20%,20%,$C$19))</f>
        <v>0.892</v>
      </c>
      <c r="M104" s="118">
        <f>IF(VLOOKUP($E104,武器奇术!$A:$R,15,FALSE)="天工",0%,IF($C$18+VLOOKUP($E104,武器奇术!$A:$R,9,FALSE)&gt;40%,40%,$C$18+VLOOKUP($E104,武器奇术!$A:$R,9,FALSE))+IF($C$20&gt;10%,10%,$C$20))</f>
        <v>0.0986</v>
      </c>
      <c r="N104" s="119">
        <f>IF(VLOOKUP($E104,武器奇术!$A:$R,15,FALSE)="天工",100%,MIN($C$16,1))</f>
        <v>0.9881</v>
      </c>
      <c r="O104" s="120" t="str">
        <f>VLOOKUP($E104,武器奇术!$A:$R,16,FALSE)</f>
        <v>N/A</v>
      </c>
      <c r="P104" s="121">
        <f t="shared" si="74"/>
        <v>0</v>
      </c>
      <c r="Q104" s="108">
        <f>$B$5*(1+VLOOKUP($E104,武器奇术!$A:$R,5,FALSE)+IF($G$5="飞隼",0.1,0)+IF($G$5="撼天",0.05,0))-$F$9+IF($I$5="√",160,0)</f>
        <v>1731.135</v>
      </c>
      <c r="R104" s="99">
        <f>IF(VLOOKUP($E104,武器奇术!$A:$Z,20,FALSE)=1,(S104-(Q104+S104)*0.5)*($G$15-0.5)*2+(Q104+S104)*0.5,(Q104+S104)*0.5)</f>
        <v>3256.775</v>
      </c>
      <c r="S104" s="109">
        <f>MAX($C$5,$B$5)*(1+VLOOKUP($E104,武器奇术!$A:$R,5,FALSE)+IF($G$5="飞隼",0.1,0)+IF($G$5="撼天",0.05,0))-$F$9+IF($I$5="√",320,0)</f>
        <v>4782.415</v>
      </c>
      <c r="T104" s="101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U104" s="111">
        <f>$E$5+IF(VLOOKUP($E104,武器奇术!$A:$U,21,FALSE)=1,0,0.09)</f>
        <v>0.115</v>
      </c>
      <c r="V104" s="109">
        <v>1</v>
      </c>
      <c r="W104" s="112">
        <f>Q104*VLOOKUP($E104,武器奇术!$A:$R,2,FALSE)*(1+T104)*(1+U104)*V104</f>
        <v>0</v>
      </c>
      <c r="X104" s="110">
        <f>(1-IF(VLOOKUP($E104,武器奇术!$A:$T,20,FALSE)=1,1,$N104))*(1-$M104)</f>
        <v>0.01072666</v>
      </c>
      <c r="Y104" s="112">
        <f>R104*VLOOKUP($E104,武器奇术!$A:$R,2,FALSE)*(1+T104)*(1+U104)*V104*(1+$E$16+VLOOKUP($E104,武器奇术!$A:$R,8,FALSE))</f>
        <v>0</v>
      </c>
      <c r="Z104" s="110">
        <f t="shared" si="39"/>
        <v>0.8813852</v>
      </c>
      <c r="AA104" s="112">
        <f>S104*VLOOKUP($E104,武器奇术!$A:$R,2,FALSE)*(1+T104)*(1+U104)*V104*(1+$E$17+VLOOKUP($E104,武器奇术!$A:$R,10,FALSE))</f>
        <v>0</v>
      </c>
      <c r="AB104" s="110">
        <f t="shared" si="40"/>
        <v>0.0986</v>
      </c>
      <c r="AC104" s="112">
        <f>R104*VLOOKUP($E104,武器奇术!$A:$R,2,FALSE)*(1+T104)*(1+U104)*V104</f>
        <v>0</v>
      </c>
      <c r="AD104" s="110">
        <f t="shared" si="43"/>
        <v>0.00928814000000003</v>
      </c>
      <c r="AE104" s="113">
        <f t="shared" si="44"/>
        <v>0</v>
      </c>
      <c r="AF104" s="114">
        <f>VLOOKUP($E104,武器奇术!$A:$R,3,FALSE)*(1+IF(VLOOKUP($E104,武器奇术!$A:$R,15,FALSE)="武器",$E$15,0))</f>
        <v>0</v>
      </c>
      <c r="AG104" s="112">
        <f t="shared" si="45"/>
        <v>0</v>
      </c>
      <c r="AH104" s="112">
        <f>VLOOKUP($E104,武器奇术!$A:$R,3,FALSE)*(1+IF(VLOOKUP($E104,武器奇术!$A:$R,15,FALSE)="武器",$E$15,0))</f>
        <v>0</v>
      </c>
      <c r="AI104" s="101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AJ104" s="111">
        <f>$E$5+IF(VLOOKUP($E104,武器奇术!$A:$U,21,FALSE)=1,0,0.09)</f>
        <v>0.115</v>
      </c>
      <c r="AK104" s="109">
        <v>1</v>
      </c>
      <c r="AL104" s="112">
        <f t="shared" si="41"/>
        <v>0</v>
      </c>
      <c r="AM104" s="110">
        <f>(1-IF(VLOOKUP($E104,武器奇术!$A:$T,20,FALSE)=1,1,$N104))*(1-$M104)</f>
        <v>0.01072666</v>
      </c>
      <c r="AN104" s="112">
        <f>AG104*(1+AI104)*(1+AJ104)*AK104*(1+$E$16+VLOOKUP($E104,武器奇术!$A:$R,8,FALSE))</f>
        <v>0</v>
      </c>
      <c r="AO104" s="110">
        <f t="shared" si="46"/>
        <v>0.8813852</v>
      </c>
      <c r="AP104" s="112">
        <f>AH104*(1+AI104)*(1+AJ104)*AK104*(1+$E$17+VLOOKUP($E104,武器奇术!$A:$R,10,FALSE))</f>
        <v>0</v>
      </c>
      <c r="AQ104" s="110">
        <f t="shared" si="47"/>
        <v>0.0986</v>
      </c>
      <c r="AR104" s="112">
        <f t="shared" si="48"/>
        <v>0</v>
      </c>
      <c r="AS104" s="110">
        <f t="shared" si="49"/>
        <v>0.00928814000000003</v>
      </c>
      <c r="AT104" s="113">
        <f t="shared" si="50"/>
        <v>0</v>
      </c>
      <c r="AU104" s="108">
        <f>$B$7*IF($G$5="撼天",1.05,1)+IF(AND(VLOOKUP($E104,武器奇术!$A:$R,15,FALSE)="武器",VLOOKUP($E104,武器奇术!$A:$R,17,FALSE)="鸣金"),$E$3,0)*(1+$E$15)</f>
        <v>0</v>
      </c>
      <c r="AV104" s="99">
        <f>(AU104+AW104)*IF(VLOOKUP($E104,武器奇术!$A:$Z,21,FALSE)=1,$G$15,0.5)</f>
        <v>0</v>
      </c>
      <c r="AW104" s="109">
        <f>MAX($C$7*IF($G$5="撼天",1.05,1)+IF(AND(VLOOKUP($E104,武器奇术!$A:$R,15,FALSE)="武器",VLOOKUP($E104,武器奇术!$A:$R,17,FALSE)="鸣金"),$E$3*(1+$E$15),0),AU104)</f>
        <v>0</v>
      </c>
      <c r="AX104" s="110">
        <f>IF(($D$7+IF(VLOOKUP($E104,武器奇术!$A:$R,17,FALSE)="鸣金",$D$15,0)+IF(VLOOKUP($E104,武器奇术!$A:$R,18,FALSE)=1,4,0)+IF(VLOOKUP($E104,武器奇术!$A:$S,19,FALSE)=1,20,0)-VLOOKUP($F$7,目标属性!$A:$R,6,FALSE))&gt;0,($D$7+IF(VLOOKUP($E104,武器奇术!$A:$R,17,FALSE)="鸣金",$D$15,0)+IF(VLOOKUP($E104,武器奇术!$A:$R,18,FALSE)=1,4,0)+IF(VLOOKUP($E104,武器奇术!$A:$S,19,FALSE)=1,20,0)-VLOOKUP($F$7,目标属性!$A:$R,6,FALSE))/200,($D$7+IF(VLOOKUP($E104,武器奇术!$A:$R,17,FALSE)="鸣金",$D$15,0)+IF(VLOOKUP($E104,武器奇术!$A:$R,18,FALSE)=1,4,0)+IF(VLOOKUP($E104,武器奇术!$A:$S,19,FALSE)=1,20,0)-VLOOKUP($F$7,目标属性!$A:$R,6,FALSE))/100)</f>
        <v>-0.24</v>
      </c>
      <c r="AY104" s="111">
        <f t="shared" si="51"/>
        <v>0</v>
      </c>
      <c r="AZ104" s="109">
        <v>1</v>
      </c>
      <c r="BA104" s="112">
        <f>AU104*IF(VLOOKUP($E104,武器奇术!$A:$R,17,FALSE)="鸣金",VLOOKUP($E104,武器奇术!$A:$R,4,FALSE),VLOOKUP($E104,武器奇术!$A:$R,2,FALSE))*(1+AX104)*(1+AY104)*AZ104</f>
        <v>0</v>
      </c>
      <c r="BB104" s="110">
        <f>(1-IF(VLOOKUP($E104,武器奇术!$A:$T,20,FALSE)=1,1,$N104))*(1-$M104)</f>
        <v>0.01072666</v>
      </c>
      <c r="BC104" s="112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110">
        <f t="shared" si="52"/>
        <v>0.8813852</v>
      </c>
      <c r="BE104" s="112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110">
        <f t="shared" si="53"/>
        <v>0.0986</v>
      </c>
      <c r="BG104" s="112">
        <f>AV104*IF(VLOOKUP($E104,武器奇术!$A:$R,17,FALSE)="鸣金",VLOOKUP($E104,武器奇术!$A:$R,4,FALSE),VLOOKUP($E104,武器奇术!$A:$R,2,FALSE))*(1+AX104)*(1+AY104)*AZ104</f>
        <v>0</v>
      </c>
      <c r="BH104" s="110">
        <f t="shared" si="54"/>
        <v>0.00928814000000003</v>
      </c>
      <c r="BI104" s="113">
        <f t="shared" si="55"/>
        <v>0</v>
      </c>
      <c r="BJ104" s="108">
        <f>$B$9*IF($G$5="撼天",1.05,1)+IF(AND(VLOOKUP($E104,武器奇术!$A:$R,15,FALSE)="武器",VLOOKUP($E104,武器奇术!$A:$R,17,FALSE)="裂石"),$E$3,0)*(1+$E$15)</f>
        <v>0</v>
      </c>
      <c r="BK104" s="99">
        <f>(BJ104+BL104)*IF(VLOOKUP($E104,武器奇术!$A:$Z,21,FALSE)=1,$G$15,0.5)</f>
        <v>0</v>
      </c>
      <c r="BL104" s="109">
        <f>MAX($C$9*IF($G$5="撼天",1.05,1)+IF(AND(VLOOKUP($E104,武器奇术!$A:$R,15,FALSE)="武器",VLOOKUP($E104,武器奇术!$A:$R,17,FALSE)="裂石"),$E$3*(1+$E$15),0),BJ104)</f>
        <v>0</v>
      </c>
      <c r="BM104" s="110">
        <f>IF(($D$9+IF(VLOOKUP($E104,武器奇术!$A:$R,17,FALSE)="裂石",$D$15,0)+IF(VLOOKUP($E104,武器奇术!$A:$R,18,FALSE)=1,4,0)+IF(VLOOKUP($E104,武器奇术!$A:$S,19,FALSE)=1,20,0)-VLOOKUP($F$7,目标属性!$A:$R,6,FALSE))&gt;0,($D$9+IF(VLOOKUP($E104,武器奇术!$A:$R,17,FALSE)="裂石",$D$15,0)+IF(VLOOKUP($E104,武器奇术!$A:$R,18,FALSE)=1,4,0)+IF(VLOOKUP($E104,武器奇术!$A:$S,19,FALSE)=1,20,0)-VLOOKUP($F$7,目标属性!$A:$R,6,FALSE))/200,($D$9+IF(VLOOKUP($E104,武器奇术!$A:$R,17,FALSE)="裂石",$D$15,0)+IF(VLOOKUP($E104,武器奇术!$A:$R,18,FALSE)=1,4,0)+IF(VLOOKUP($E104,武器奇术!$A:$S,19,FALSE)=1,20,0)-VLOOKUP($F$7,目标属性!$A:$R,6,FALSE))/100)</f>
        <v>-0.24</v>
      </c>
      <c r="BN104" s="111">
        <f t="shared" si="56"/>
        <v>0</v>
      </c>
      <c r="BO104" s="109">
        <v>1</v>
      </c>
      <c r="BP104" s="112">
        <f>BJ104*IF(VLOOKUP($E104,武器奇术!$A:$R,17,FALSE)="裂石",VLOOKUP($E104,武器奇术!$A:$R,4,FALSE),VLOOKUP($E104,武器奇术!$A:$R,2,FALSE))*(1+BM104)*(1+BN104)*BO104</f>
        <v>0</v>
      </c>
      <c r="BQ104" s="110">
        <f>(1-IF(VLOOKUP($E104,武器奇术!$A:$T,20,FALSE)=1,1,$N104))*(1-$M104)</f>
        <v>0.01072666</v>
      </c>
      <c r="BR104" s="112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110">
        <f t="shared" si="57"/>
        <v>0.8813852</v>
      </c>
      <c r="BT104" s="112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110">
        <f t="shared" si="58"/>
        <v>0.0986</v>
      </c>
      <c r="BV104" s="112">
        <f>BK104*IF(VLOOKUP($E104,武器奇术!$A:$R,17,FALSE)="裂石",VLOOKUP($E104,武器奇术!$A:$R,4,FALSE),VLOOKUP($E104,武器奇术!$A:$R,2,FALSE))*(1+BM104)*(1+BN104)*BO104</f>
        <v>0</v>
      </c>
      <c r="BW104" s="110">
        <f t="shared" si="59"/>
        <v>0.00928814000000003</v>
      </c>
      <c r="BX104" s="113">
        <f t="shared" si="60"/>
        <v>0</v>
      </c>
      <c r="BY104" s="108">
        <f>$B$11*IF($G$5="撼天",1.05,1)+IF(AND(VLOOKUP($E104,武器奇术!$A:$R,15,FALSE)="武器",VLOOKUP($E104,武器奇术!$A:$R,17,FALSE)="牵丝"),$E$3,0)*(1+$E$15)</f>
        <v>0</v>
      </c>
      <c r="BZ104" s="99">
        <f>(BY104+CA104)*IF(VLOOKUP($E104,武器奇术!$A:$Z,21,FALSE)=1,$G$15,0.5)</f>
        <v>0</v>
      </c>
      <c r="CA104" s="109">
        <f>MAX($C$11*IF($G$5="撼天",1.05,1)+IF(AND(VLOOKUP($E104,武器奇术!$A:$R,15,FALSE)="武器",VLOOKUP($E104,武器奇术!$A:$R,17,FALSE)="牵丝"),$E$3*(1+$E$15),0),BY104)</f>
        <v>0</v>
      </c>
      <c r="CB104" s="110">
        <f>IF(($D$11+IF(VLOOKUP($E104,武器奇术!$A:$R,17,FALSE)="牵丝",$D$15,0)+IF(VLOOKUP($E104,武器奇术!$A:$R,18,FALSE)=1,4,0)+IF(VLOOKUP($E104,武器奇术!$A:$S,19,FALSE)=1,20,0)-VLOOKUP($F$7,目标属性!$A:$R,6,FALSE))&gt;0,($D$11+IF(VLOOKUP($E104,武器奇术!$A:$R,17,FALSE)="牵丝",$D$15,0)+IF(VLOOKUP($E104,武器奇术!$A:$R,18,FALSE)=1,4,0)+IF(VLOOKUP($E104,武器奇术!$A:$S,19,FALSE)=1,20,0)-VLOOKUP($F$7,目标属性!$A:$R,6,FALSE))/200,($D$11+IF(VLOOKUP($E104,武器奇术!$A:$R,17,FALSE)="牵丝",$D$15,0)+IF(VLOOKUP($E104,武器奇术!$A:$R,18,FALSE)=1,4,0)+IF(VLOOKUP($E104,武器奇术!$A:$S,19,FALSE)=1,20,0)-VLOOKUP($F$7,目标属性!$A:$R,6,FALSE))/100)</f>
        <v>-0.24</v>
      </c>
      <c r="CC104" s="111">
        <f t="shared" si="61"/>
        <v>0</v>
      </c>
      <c r="CD104" s="109">
        <v>1</v>
      </c>
      <c r="CE104" s="112">
        <f>BY104*IF(VLOOKUP($E104,武器奇术!$A:$R,17,FALSE)="牵丝",VLOOKUP($E104,武器奇术!$A:$R,4,FALSE),VLOOKUP($E104,武器奇术!$A:$R,2,FALSE))*(1+CB104)*(1+CC104)*CD104</f>
        <v>0</v>
      </c>
      <c r="CF104" s="110">
        <f>(1-IF(VLOOKUP($E104,武器奇术!$A:$T,20,FALSE)=1,1,$N104))*(1-$M104)</f>
        <v>0.01072666</v>
      </c>
      <c r="CG104" s="112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110">
        <f t="shared" si="62"/>
        <v>0.8813852</v>
      </c>
      <c r="CI104" s="112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110">
        <f t="shared" si="63"/>
        <v>0.0986</v>
      </c>
      <c r="CK104" s="112">
        <f>BZ104*IF(VLOOKUP($E104,武器奇术!$A:$R,17,FALSE)="牵丝",VLOOKUP($E104,武器奇术!$A:$R,4,FALSE),VLOOKUP($E104,武器奇术!$A:$R,2,FALSE))*(1+CB104)*(1+CC104)*CD104</f>
        <v>0</v>
      </c>
      <c r="CL104" s="110">
        <f t="shared" si="64"/>
        <v>0.00928814000000003</v>
      </c>
      <c r="CM104" s="113">
        <f t="shared" si="65"/>
        <v>0</v>
      </c>
      <c r="CN104" s="108">
        <f>$B$13*IF($G$5="撼天",1.05,1)+IF(AND(VLOOKUP($E104,武器奇术!$A:$R,15,FALSE)="武器",VLOOKUP($E104,武器奇术!$A:$R,17,FALSE)="破竹"),$E$3,0)*(1+$E$15)</f>
        <v>452.55</v>
      </c>
      <c r="CO104" s="99">
        <f>IF(VLOOKUP($E104,武器奇术!$A:$Z,20,FALSE)=1,(CP104-(CN104+CP104)*0.5)*($G$15-0.5)*2+(CN104+CP104)*0.5,(CN104+CP104)*0.5)</f>
        <v>679.35</v>
      </c>
      <c r="CP104" s="109">
        <f>MAX($C$13*IF($G$5="撼天",1.05,1)+IF(AND(VLOOKUP($E104,武器奇术!$A:$R,15,FALSE)="武器",VLOOKUP($E104,武器奇术!$A:$R,17,FALSE)="破竹"),$E$3*(1+$E$15),0),CN104)</f>
        <v>906.15</v>
      </c>
      <c r="CQ104" s="110">
        <f>IF(($D$13+IF(VLOOKUP($E104,武器奇术!$A:$R,17,FALSE)="破竹",$D$15,0)+IF(VLOOKUP($E104,武器奇术!$A:$R,18,FALSE)=1,4,0)+IF(VLOOKUP($E104,武器奇术!$A:$S,19,FALSE)=1,20,0)-VLOOKUP($F$7,目标属性!$A:$R,6,FALSE))&gt;0,($D$13+IF(VLOOKUP($E104,武器奇术!$A:$R,17,FALSE)="破竹",$D$15,0)+IF(VLOOKUP($E104,武器奇术!$A:$R,18,FALSE)=1,4,0)+IF(VLOOKUP($E104,武器奇术!$A:$S,19,FALSE)=1,20,0)-VLOOKUP($F$7,目标属性!$A:$R,6,FALSE))/200,($D$13+IF(VLOOKUP($E104,武器奇术!$A:$R,17,FALSE)="破竹",$D$15,0)+IF(VLOOKUP($E104,武器奇术!$A:$R,18,FALSE)=1,4,0)+IF(VLOOKUP($E104,武器奇术!$A:$S,19,FALSE)=1,20,0)-VLOOKUP($F$7,目标属性!$A:$R,6,FALSE))/100)</f>
        <v>0.025</v>
      </c>
      <c r="CR104" s="111">
        <f>$E$13+IF(VLOOKUP($E104,武器奇术!$A:$U,21,FALSE)=1,0,0.09)</f>
        <v>0.235</v>
      </c>
      <c r="CS104" s="109">
        <v>1</v>
      </c>
      <c r="CT104" s="112">
        <f>CN104*IF(VLOOKUP($E104,武器奇术!$A:$R,17,FALSE)="破竹",VLOOKUP($E104,武器奇术!$A:$R,4,FALSE),VLOOKUP($E104,武器奇术!$A:$R,2,FALSE))*(1+CQ104)*(1+CR104)*CS104</f>
        <v>0</v>
      </c>
      <c r="CU104" s="110">
        <f>(1-IF(VLOOKUP($E104,武器奇术!$A:$T,20,FALSE)=1,1,$N104))*(1-$M104)</f>
        <v>0.01072666</v>
      </c>
      <c r="CV104" s="112">
        <f>CO104*IF(VLOOKUP($E104,武器奇术!$A:$R,17,FALSE)="破竹",VLOOKUP($E104,武器奇术!$A:$R,4,FALSE),VLOOKUP($E104,武器奇术!$A:$R,2,FALSE))*(1+CQ104)*(1+CR104)*CS104*(1+$E$16+VLOOKUP($E104,武器奇术!$A:$R,8,FALSE))</f>
        <v>0</v>
      </c>
      <c r="CW104" s="110">
        <f t="shared" si="66"/>
        <v>0.8813852</v>
      </c>
      <c r="CX104" s="112">
        <f>CP104*IF(VLOOKUP($E104,武器奇术!$A:$R,17,FALSE)="破竹",VLOOKUP($E104,武器奇术!$A:$R,4,FALSE),VLOOKUP($E104,武器奇术!$A:$R,2,FALSE))*(1+CQ104)*(1+CR104)*CS104*(1+$E$17+VLOOKUP($E104,武器奇术!$A:$R,10,FALSE))</f>
        <v>0</v>
      </c>
      <c r="CY104" s="110">
        <f t="shared" si="67"/>
        <v>0.0986</v>
      </c>
      <c r="CZ104" s="112">
        <f>CO104*IF(VLOOKUP($E104,武器奇术!$A:$R,17,FALSE)="破竹",VLOOKUP($E104,武器奇术!$A:$R,4,FALSE),VLOOKUP($E104,武器奇术!$A:$R,2,FALSE))*(1+CQ104)*(1+CR104)*CS104</f>
        <v>0</v>
      </c>
      <c r="DA104" s="110">
        <f t="shared" si="68"/>
        <v>0.00928814000000003</v>
      </c>
      <c r="DB104" s="113">
        <f t="shared" si="69"/>
        <v>0</v>
      </c>
      <c r="DC104" s="108">
        <f t="shared" si="36"/>
        <v>69.3</v>
      </c>
      <c r="DD104" s="99">
        <f>(DC104+DE104)*IF(VLOOKUP($E104,武器奇术!$A:$Z,21,FALSE)=1,$G$15,0.5)</f>
        <v>69.3</v>
      </c>
      <c r="DE104" s="109">
        <f t="shared" si="37"/>
        <v>69.3</v>
      </c>
      <c r="DF104" s="110">
        <f>IF(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100)</f>
        <v>0.025</v>
      </c>
      <c r="DG104" s="111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U,21,FALSE)=1,0,0.09)</f>
        <v>0.235</v>
      </c>
      <c r="DH104" s="109">
        <v>1</v>
      </c>
      <c r="DI104" s="112">
        <f>DC104*IF(VLOOKUP($E104,武器奇术!$A:$R,17,FALSE)="破竹",VLOOKUP($E104,武器奇术!$A:$R,4,FALSE),VLOOKUP($E104,武器奇术!$A:$R,2,FALSE))*(1+DF104)*(1+DG104)*DH104</f>
        <v>0</v>
      </c>
      <c r="DJ104" s="110">
        <f>(1-IF(VLOOKUP($E104,武器奇术!$A:$T,20,FALSE)=1,1,$N104))*(1-$M104)</f>
        <v>0.01072666</v>
      </c>
      <c r="DK104" s="112">
        <f>DD104*IF(VLOOKUP($E104,武器奇术!$A:$R,17,FALSE)="破竹",VLOOKUP($E104,武器奇术!$A:$R,4,FALSE),VLOOKUP($E104,武器奇术!$A:$R,2,FALSE))*(1+DF104)*(1+DG104)*DH104*(1+$E$16+VLOOKUP($E104,武器奇术!$A:$R,8,FALSE))</f>
        <v>0</v>
      </c>
      <c r="DL104" s="110">
        <f t="shared" si="70"/>
        <v>0.8813852</v>
      </c>
      <c r="DM104" s="112">
        <f>DE104*IF(VLOOKUP($E104,武器奇术!$A:$R,17,FALSE)="破竹",VLOOKUP($E104,武器奇术!$A:$R,4,FALSE),VLOOKUP($E104,武器奇术!$A:$R,2,FALSE))*(1+DF104)*(1+DG104)*DH104*(1+$E$17+VLOOKUP($E104,武器奇术!$A:$R,10,FALSE))</f>
        <v>0</v>
      </c>
      <c r="DN104" s="110">
        <f t="shared" si="71"/>
        <v>0.0986</v>
      </c>
      <c r="DO104" s="112">
        <f>DD104*IF(VLOOKUP($E104,武器奇术!$A:$R,17,FALSE)="破竹",VLOOKUP($E104,武器奇术!$A:$R,4,FALSE),VLOOKUP($E104,武器奇术!$A:$R,2,FALSE))*(1+DF104)*(1+DG104)*DH104</f>
        <v>0</v>
      </c>
      <c r="DP104" s="110">
        <f t="shared" si="72"/>
        <v>0.00928814000000003</v>
      </c>
      <c r="DQ104" s="113">
        <f t="shared" si="73"/>
        <v>0</v>
      </c>
    </row>
    <row r="105" spans="1:121">
      <c r="A105" s="75"/>
      <c r="B105" t="s">
        <v>163</v>
      </c>
      <c r="C105">
        <v>1.13</v>
      </c>
      <c r="E105" s="98" t="s">
        <v>93</v>
      </c>
      <c r="F105" s="99">
        <v>1</v>
      </c>
      <c r="G105" s="115"/>
      <c r="H105" s="100">
        <f>IF(VLOOKUP($E105,武器奇术!$A:$R,18,FALSE)="天工",AE105,(AE105+AT105+BI105+BX105+CM105+DB105+DQ105))*(1+J105)*F105*K105*(1+G105)</f>
        <v>0</v>
      </c>
      <c r="I105" s="101">
        <f t="shared" si="42"/>
        <v>0</v>
      </c>
      <c r="J105" s="101">
        <f>$F$3+VLOOKUP($E105,武器奇术!$A:$R,12,FALSE)+VLOOKUP($E105,武器奇术!$A:$R,14,FALSE)*$G$3+$P105</f>
        <v>0.303</v>
      </c>
      <c r="K105" s="102">
        <f>VLOOKUP($E105,武器奇术!$A:$R,11,FALSE)</f>
        <v>1</v>
      </c>
      <c r="L105" s="117">
        <f>IF(VLOOKUP($E105,武器奇术!$A:$R,15,FALSE)="天工",0%,IF($C$17+VLOOKUP($E105,武器奇术!$A:$R,7,FALSE)&gt;80%,80%,$C$17+VLOOKUP($E105,武器奇术!$A:$R,7,FALSE))+IF($C$19&gt;20%,20%,$C$19))</f>
        <v>0.892</v>
      </c>
      <c r="M105" s="118">
        <f>IF(VLOOKUP($E105,武器奇术!$A:$R,15,FALSE)="天工",0%,IF($C$18+VLOOKUP($E105,武器奇术!$A:$R,9,FALSE)&gt;40%,40%,$C$18+VLOOKUP($E105,武器奇术!$A:$R,9,FALSE))+IF($C$20&gt;10%,10%,$C$20))</f>
        <v>0.0986</v>
      </c>
      <c r="N105" s="119">
        <f>IF(VLOOKUP($E105,武器奇术!$A:$R,15,FALSE)="天工",100%,MIN($C$16,1))</f>
        <v>0.9881</v>
      </c>
      <c r="O105" s="120" t="str">
        <f>VLOOKUP($E105,武器奇术!$A:$R,16,FALSE)</f>
        <v>N/A</v>
      </c>
      <c r="P105" s="121">
        <f t="shared" si="74"/>
        <v>0</v>
      </c>
      <c r="Q105" s="108">
        <f>$B$5*(1+VLOOKUP($E105,武器奇术!$A:$R,5,FALSE)+IF($G$5="飞隼",0.1,0)+IF($G$5="撼天",0.05,0))-$F$9+IF($I$5="√",160,0)</f>
        <v>1731.135</v>
      </c>
      <c r="R105" s="99">
        <f>IF(VLOOKUP($E105,武器奇术!$A:$Z,20,FALSE)=1,(S105-(Q105+S105)*0.5)*($G$15-0.5)*2+(Q105+S105)*0.5,(Q105+S105)*0.5)</f>
        <v>3256.775</v>
      </c>
      <c r="S105" s="109">
        <f>MAX($C$5,$B$5)*(1+VLOOKUP($E105,武器奇术!$A:$R,5,FALSE)+IF($G$5="飞隼",0.1,0)+IF($G$5="撼天",0.05,0))-$F$9+IF($I$5="√",320,0)</f>
        <v>4782.415</v>
      </c>
      <c r="T105" s="101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U105" s="111">
        <f>$E$5+IF(VLOOKUP($E105,武器奇术!$A:$U,21,FALSE)=1,0,0.09)</f>
        <v>0.115</v>
      </c>
      <c r="V105" s="109">
        <v>1</v>
      </c>
      <c r="W105" s="112">
        <f>Q105*VLOOKUP($E105,武器奇术!$A:$R,2,FALSE)*(1+T105)*(1+U105)*V105</f>
        <v>0</v>
      </c>
      <c r="X105" s="110">
        <f>(1-IF(VLOOKUP($E105,武器奇术!$A:$T,20,FALSE)=1,1,$N105))*(1-$M105)</f>
        <v>0.01072666</v>
      </c>
      <c r="Y105" s="112">
        <f>R105*VLOOKUP($E105,武器奇术!$A:$R,2,FALSE)*(1+T105)*(1+U105)*V105*(1+$E$16+VLOOKUP($E105,武器奇术!$A:$R,8,FALSE))</f>
        <v>0</v>
      </c>
      <c r="Z105" s="110">
        <f t="shared" si="39"/>
        <v>0.8813852</v>
      </c>
      <c r="AA105" s="112">
        <f>S105*VLOOKUP($E105,武器奇术!$A:$R,2,FALSE)*(1+T105)*(1+U105)*V105*(1+$E$17+VLOOKUP($E105,武器奇术!$A:$R,10,FALSE))</f>
        <v>0</v>
      </c>
      <c r="AB105" s="110">
        <f t="shared" si="40"/>
        <v>0.0986</v>
      </c>
      <c r="AC105" s="112">
        <f>R105*VLOOKUP($E105,武器奇术!$A:$R,2,FALSE)*(1+T105)*(1+U105)*V105</f>
        <v>0</v>
      </c>
      <c r="AD105" s="110">
        <f t="shared" si="43"/>
        <v>0.00928814000000003</v>
      </c>
      <c r="AE105" s="113">
        <f t="shared" si="44"/>
        <v>0</v>
      </c>
      <c r="AF105" s="114">
        <f>VLOOKUP($E105,武器奇术!$A:$R,3,FALSE)*(1+IF(VLOOKUP($E105,武器奇术!$A:$R,15,FALSE)="武器",$E$15,0))</f>
        <v>0</v>
      </c>
      <c r="AG105" s="112">
        <f t="shared" si="45"/>
        <v>0</v>
      </c>
      <c r="AH105" s="112">
        <f>VLOOKUP($E105,武器奇术!$A:$R,3,FALSE)*(1+IF(VLOOKUP($E105,武器奇术!$A:$R,15,FALSE)="武器",$E$15,0))</f>
        <v>0</v>
      </c>
      <c r="AI105" s="101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AJ105" s="111">
        <f>$E$5+IF(VLOOKUP($E105,武器奇术!$A:$U,21,FALSE)=1,0,0.09)</f>
        <v>0.115</v>
      </c>
      <c r="AK105" s="109">
        <v>1</v>
      </c>
      <c r="AL105" s="112">
        <f t="shared" si="41"/>
        <v>0</v>
      </c>
      <c r="AM105" s="110">
        <f>(1-IF(VLOOKUP($E105,武器奇术!$A:$T,20,FALSE)=1,1,$N105))*(1-$M105)</f>
        <v>0.01072666</v>
      </c>
      <c r="AN105" s="112">
        <f>AG105*(1+AI105)*(1+AJ105)*AK105*(1+$E$16+VLOOKUP($E105,武器奇术!$A:$R,8,FALSE))</f>
        <v>0</v>
      </c>
      <c r="AO105" s="110">
        <f t="shared" si="46"/>
        <v>0.8813852</v>
      </c>
      <c r="AP105" s="112">
        <f>AH105*(1+AI105)*(1+AJ105)*AK105*(1+$E$17+VLOOKUP($E105,武器奇术!$A:$R,10,FALSE))</f>
        <v>0</v>
      </c>
      <c r="AQ105" s="110">
        <f t="shared" si="47"/>
        <v>0.0986</v>
      </c>
      <c r="AR105" s="112">
        <f t="shared" si="48"/>
        <v>0</v>
      </c>
      <c r="AS105" s="110">
        <f t="shared" si="49"/>
        <v>0.00928814000000003</v>
      </c>
      <c r="AT105" s="113">
        <f t="shared" si="50"/>
        <v>0</v>
      </c>
      <c r="AU105" s="108">
        <f>$B$7*IF($G$5="撼天",1.05,1)+IF(AND(VLOOKUP($E105,武器奇术!$A:$R,15,FALSE)="武器",VLOOKUP($E105,武器奇术!$A:$R,17,FALSE)="鸣金"),$E$3,0)*(1+$E$15)</f>
        <v>0</v>
      </c>
      <c r="AV105" s="99">
        <f>(AU105+AW105)*IF(VLOOKUP($E105,武器奇术!$A:$Z,21,FALSE)=1,$G$15,0.5)</f>
        <v>0</v>
      </c>
      <c r="AW105" s="109">
        <f>MAX($C$7*IF($G$5="撼天",1.05,1)+IF(AND(VLOOKUP($E105,武器奇术!$A:$R,15,FALSE)="武器",VLOOKUP($E105,武器奇术!$A:$R,17,FALSE)="鸣金"),$E$3*(1+$E$15),0),AU105)</f>
        <v>0</v>
      </c>
      <c r="AX105" s="110">
        <f>IF(($D$7+IF(VLOOKUP($E105,武器奇术!$A:$R,17,FALSE)="鸣金",$D$15,0)+IF(VLOOKUP($E105,武器奇术!$A:$R,18,FALSE)=1,4,0)+IF(VLOOKUP($E105,武器奇术!$A:$S,19,FALSE)=1,20,0)-VLOOKUP($F$7,目标属性!$A:$R,6,FALSE))&gt;0,($D$7+IF(VLOOKUP($E105,武器奇术!$A:$R,17,FALSE)="鸣金",$D$15,0)+IF(VLOOKUP($E105,武器奇术!$A:$R,18,FALSE)=1,4,0)+IF(VLOOKUP($E105,武器奇术!$A:$S,19,FALSE)=1,20,0)-VLOOKUP($F$7,目标属性!$A:$R,6,FALSE))/200,($D$7+IF(VLOOKUP($E105,武器奇术!$A:$R,17,FALSE)="鸣金",$D$15,0)+IF(VLOOKUP($E105,武器奇术!$A:$R,18,FALSE)=1,4,0)+IF(VLOOKUP($E105,武器奇术!$A:$S,19,FALSE)=1,20,0)-VLOOKUP($F$7,目标属性!$A:$R,6,FALSE))/100)</f>
        <v>-0.24</v>
      </c>
      <c r="AY105" s="111">
        <f t="shared" si="51"/>
        <v>0</v>
      </c>
      <c r="AZ105" s="109">
        <v>1</v>
      </c>
      <c r="BA105" s="112">
        <f>AU105*IF(VLOOKUP($E105,武器奇术!$A:$R,17,FALSE)="鸣金",VLOOKUP($E105,武器奇术!$A:$R,4,FALSE),VLOOKUP($E105,武器奇术!$A:$R,2,FALSE))*(1+AX105)*(1+AY105)*AZ105</f>
        <v>0</v>
      </c>
      <c r="BB105" s="110">
        <f>(1-IF(VLOOKUP($E105,武器奇术!$A:$T,20,FALSE)=1,1,$N105))*(1-$M105)</f>
        <v>0.01072666</v>
      </c>
      <c r="BC105" s="112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110">
        <f t="shared" si="52"/>
        <v>0.8813852</v>
      </c>
      <c r="BE105" s="112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110">
        <f t="shared" si="53"/>
        <v>0.0986</v>
      </c>
      <c r="BG105" s="112">
        <f>AV105*IF(VLOOKUP($E105,武器奇术!$A:$R,17,FALSE)="鸣金",VLOOKUP($E105,武器奇术!$A:$R,4,FALSE),VLOOKUP($E105,武器奇术!$A:$R,2,FALSE))*(1+AX105)*(1+AY105)*AZ105</f>
        <v>0</v>
      </c>
      <c r="BH105" s="110">
        <f t="shared" si="54"/>
        <v>0.00928814000000003</v>
      </c>
      <c r="BI105" s="113">
        <f t="shared" si="55"/>
        <v>0</v>
      </c>
      <c r="BJ105" s="108">
        <f>$B$9*IF($G$5="撼天",1.05,1)+IF(AND(VLOOKUP($E105,武器奇术!$A:$R,15,FALSE)="武器",VLOOKUP($E105,武器奇术!$A:$R,17,FALSE)="裂石"),$E$3,0)*(1+$E$15)</f>
        <v>0</v>
      </c>
      <c r="BK105" s="99">
        <f>(BJ105+BL105)*IF(VLOOKUP($E105,武器奇术!$A:$Z,21,FALSE)=1,$G$15,0.5)</f>
        <v>0</v>
      </c>
      <c r="BL105" s="109">
        <f>MAX($C$9*IF($G$5="撼天",1.05,1)+IF(AND(VLOOKUP($E105,武器奇术!$A:$R,15,FALSE)="武器",VLOOKUP($E105,武器奇术!$A:$R,17,FALSE)="裂石"),$E$3*(1+$E$15),0),BJ105)</f>
        <v>0</v>
      </c>
      <c r="BM105" s="110">
        <f>IF(($D$9+IF(VLOOKUP($E105,武器奇术!$A:$R,17,FALSE)="裂石",$D$15,0)+IF(VLOOKUP($E105,武器奇术!$A:$R,18,FALSE)=1,4,0)+IF(VLOOKUP($E105,武器奇术!$A:$S,19,FALSE)=1,20,0)-VLOOKUP($F$7,目标属性!$A:$R,6,FALSE))&gt;0,($D$9+IF(VLOOKUP($E105,武器奇术!$A:$R,17,FALSE)="裂石",$D$15,0)+IF(VLOOKUP($E105,武器奇术!$A:$R,18,FALSE)=1,4,0)+IF(VLOOKUP($E105,武器奇术!$A:$S,19,FALSE)=1,20,0)-VLOOKUP($F$7,目标属性!$A:$R,6,FALSE))/200,($D$9+IF(VLOOKUP($E105,武器奇术!$A:$R,17,FALSE)="裂石",$D$15,0)+IF(VLOOKUP($E105,武器奇术!$A:$R,18,FALSE)=1,4,0)+IF(VLOOKUP($E105,武器奇术!$A:$S,19,FALSE)=1,20,0)-VLOOKUP($F$7,目标属性!$A:$R,6,FALSE))/100)</f>
        <v>-0.24</v>
      </c>
      <c r="BN105" s="111">
        <f t="shared" si="56"/>
        <v>0</v>
      </c>
      <c r="BO105" s="109">
        <v>1</v>
      </c>
      <c r="BP105" s="112">
        <f>BJ105*IF(VLOOKUP($E105,武器奇术!$A:$R,17,FALSE)="裂石",VLOOKUP($E105,武器奇术!$A:$R,4,FALSE),VLOOKUP($E105,武器奇术!$A:$R,2,FALSE))*(1+BM105)*(1+BN105)*BO105</f>
        <v>0</v>
      </c>
      <c r="BQ105" s="110">
        <f>(1-IF(VLOOKUP($E105,武器奇术!$A:$T,20,FALSE)=1,1,$N105))*(1-$M105)</f>
        <v>0.01072666</v>
      </c>
      <c r="BR105" s="112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110">
        <f t="shared" si="57"/>
        <v>0.8813852</v>
      </c>
      <c r="BT105" s="112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110">
        <f t="shared" si="58"/>
        <v>0.0986</v>
      </c>
      <c r="BV105" s="112">
        <f>BK105*IF(VLOOKUP($E105,武器奇术!$A:$R,17,FALSE)="裂石",VLOOKUP($E105,武器奇术!$A:$R,4,FALSE),VLOOKUP($E105,武器奇术!$A:$R,2,FALSE))*(1+BM105)*(1+BN105)*BO105</f>
        <v>0</v>
      </c>
      <c r="BW105" s="110">
        <f t="shared" si="59"/>
        <v>0.00928814000000003</v>
      </c>
      <c r="BX105" s="113">
        <f t="shared" si="60"/>
        <v>0</v>
      </c>
      <c r="BY105" s="108">
        <f>$B$11*IF($G$5="撼天",1.05,1)+IF(AND(VLOOKUP($E105,武器奇术!$A:$R,15,FALSE)="武器",VLOOKUP($E105,武器奇术!$A:$R,17,FALSE)="牵丝"),$E$3,0)*(1+$E$15)</f>
        <v>0</v>
      </c>
      <c r="BZ105" s="99">
        <f>(BY105+CA105)*IF(VLOOKUP($E105,武器奇术!$A:$Z,21,FALSE)=1,$G$15,0.5)</f>
        <v>0</v>
      </c>
      <c r="CA105" s="109">
        <f>MAX($C$11*IF($G$5="撼天",1.05,1)+IF(AND(VLOOKUP($E105,武器奇术!$A:$R,15,FALSE)="武器",VLOOKUP($E105,武器奇术!$A:$R,17,FALSE)="牵丝"),$E$3*(1+$E$15),0),BY105)</f>
        <v>0</v>
      </c>
      <c r="CB105" s="110">
        <f>IF(($D$11+IF(VLOOKUP($E105,武器奇术!$A:$R,17,FALSE)="牵丝",$D$15,0)+IF(VLOOKUP($E105,武器奇术!$A:$R,18,FALSE)=1,4,0)+IF(VLOOKUP($E105,武器奇术!$A:$S,19,FALSE)=1,20,0)-VLOOKUP($F$7,目标属性!$A:$R,6,FALSE))&gt;0,($D$11+IF(VLOOKUP($E105,武器奇术!$A:$R,17,FALSE)="牵丝",$D$15,0)+IF(VLOOKUP($E105,武器奇术!$A:$R,18,FALSE)=1,4,0)+IF(VLOOKUP($E105,武器奇术!$A:$S,19,FALSE)=1,20,0)-VLOOKUP($F$7,目标属性!$A:$R,6,FALSE))/200,($D$11+IF(VLOOKUP($E105,武器奇术!$A:$R,17,FALSE)="牵丝",$D$15,0)+IF(VLOOKUP($E105,武器奇术!$A:$R,18,FALSE)=1,4,0)+IF(VLOOKUP($E105,武器奇术!$A:$S,19,FALSE)=1,20,0)-VLOOKUP($F$7,目标属性!$A:$R,6,FALSE))/100)</f>
        <v>-0.24</v>
      </c>
      <c r="CC105" s="111">
        <f t="shared" si="61"/>
        <v>0</v>
      </c>
      <c r="CD105" s="109">
        <v>1</v>
      </c>
      <c r="CE105" s="112">
        <f>BY105*IF(VLOOKUP($E105,武器奇术!$A:$R,17,FALSE)="牵丝",VLOOKUP($E105,武器奇术!$A:$R,4,FALSE),VLOOKUP($E105,武器奇术!$A:$R,2,FALSE))*(1+CB105)*(1+CC105)*CD105</f>
        <v>0</v>
      </c>
      <c r="CF105" s="110">
        <f>(1-IF(VLOOKUP($E105,武器奇术!$A:$T,20,FALSE)=1,1,$N105))*(1-$M105)</f>
        <v>0.01072666</v>
      </c>
      <c r="CG105" s="112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110">
        <f t="shared" si="62"/>
        <v>0.8813852</v>
      </c>
      <c r="CI105" s="112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110">
        <f t="shared" si="63"/>
        <v>0.0986</v>
      </c>
      <c r="CK105" s="112">
        <f>BZ105*IF(VLOOKUP($E105,武器奇术!$A:$R,17,FALSE)="牵丝",VLOOKUP($E105,武器奇术!$A:$R,4,FALSE),VLOOKUP($E105,武器奇术!$A:$R,2,FALSE))*(1+CB105)*(1+CC105)*CD105</f>
        <v>0</v>
      </c>
      <c r="CL105" s="110">
        <f t="shared" si="64"/>
        <v>0.00928814000000003</v>
      </c>
      <c r="CM105" s="113">
        <f t="shared" si="65"/>
        <v>0</v>
      </c>
      <c r="CN105" s="108">
        <f>$B$13*IF($G$5="撼天",1.05,1)+IF(AND(VLOOKUP($E105,武器奇术!$A:$R,15,FALSE)="武器",VLOOKUP($E105,武器奇术!$A:$R,17,FALSE)="破竹"),$E$3,0)*(1+$E$15)</f>
        <v>452.55</v>
      </c>
      <c r="CO105" s="99">
        <f>IF(VLOOKUP($E105,武器奇术!$A:$Z,20,FALSE)=1,(CP105-(CN105+CP105)*0.5)*($G$15-0.5)*2+(CN105+CP105)*0.5,(CN105+CP105)*0.5)</f>
        <v>679.35</v>
      </c>
      <c r="CP105" s="109">
        <f>MAX($C$13*IF($G$5="撼天",1.05,1)+IF(AND(VLOOKUP($E105,武器奇术!$A:$R,15,FALSE)="武器",VLOOKUP($E105,武器奇术!$A:$R,17,FALSE)="破竹"),$E$3*(1+$E$15),0),CN105)</f>
        <v>906.15</v>
      </c>
      <c r="CQ105" s="110">
        <f>IF(($D$13+IF(VLOOKUP($E105,武器奇术!$A:$R,17,FALSE)="破竹",$D$15,0)+IF(VLOOKUP($E105,武器奇术!$A:$R,18,FALSE)=1,4,0)+IF(VLOOKUP($E105,武器奇术!$A:$S,19,FALSE)=1,20,0)-VLOOKUP($F$7,目标属性!$A:$R,6,FALSE))&gt;0,($D$13+IF(VLOOKUP($E105,武器奇术!$A:$R,17,FALSE)="破竹",$D$15,0)+IF(VLOOKUP($E105,武器奇术!$A:$R,18,FALSE)=1,4,0)+IF(VLOOKUP($E105,武器奇术!$A:$S,19,FALSE)=1,20,0)-VLOOKUP($F$7,目标属性!$A:$R,6,FALSE))/200,($D$13+IF(VLOOKUP($E105,武器奇术!$A:$R,17,FALSE)="破竹",$D$15,0)+IF(VLOOKUP($E105,武器奇术!$A:$R,18,FALSE)=1,4,0)+IF(VLOOKUP($E105,武器奇术!$A:$S,19,FALSE)=1,20,0)-VLOOKUP($F$7,目标属性!$A:$R,6,FALSE))/100)</f>
        <v>0.025</v>
      </c>
      <c r="CR105" s="111">
        <f>$E$13+IF(VLOOKUP($E105,武器奇术!$A:$U,21,FALSE)=1,0,0.09)</f>
        <v>0.235</v>
      </c>
      <c r="CS105" s="109">
        <v>1</v>
      </c>
      <c r="CT105" s="112">
        <f>CN105*IF(VLOOKUP($E105,武器奇术!$A:$R,17,FALSE)="破竹",VLOOKUP($E105,武器奇术!$A:$R,4,FALSE),VLOOKUP($E105,武器奇术!$A:$R,2,FALSE))*(1+CQ105)*(1+CR105)*CS105</f>
        <v>0</v>
      </c>
      <c r="CU105" s="110">
        <f>(1-IF(VLOOKUP($E105,武器奇术!$A:$T,20,FALSE)=1,1,$N105))*(1-$M105)</f>
        <v>0.01072666</v>
      </c>
      <c r="CV105" s="112">
        <f>CO105*IF(VLOOKUP($E105,武器奇术!$A:$R,17,FALSE)="破竹",VLOOKUP($E105,武器奇术!$A:$R,4,FALSE),VLOOKUP($E105,武器奇术!$A:$R,2,FALSE))*(1+CQ105)*(1+CR105)*CS105*(1+$E$16+VLOOKUP($E105,武器奇术!$A:$R,8,FALSE))</f>
        <v>0</v>
      </c>
      <c r="CW105" s="110">
        <f t="shared" si="66"/>
        <v>0.8813852</v>
      </c>
      <c r="CX105" s="112">
        <f>CP105*IF(VLOOKUP($E105,武器奇术!$A:$R,17,FALSE)="破竹",VLOOKUP($E105,武器奇术!$A:$R,4,FALSE),VLOOKUP($E105,武器奇术!$A:$R,2,FALSE))*(1+CQ105)*(1+CR105)*CS105*(1+$E$17+VLOOKUP($E105,武器奇术!$A:$R,10,FALSE))</f>
        <v>0</v>
      </c>
      <c r="CY105" s="110">
        <f t="shared" si="67"/>
        <v>0.0986</v>
      </c>
      <c r="CZ105" s="112">
        <f>CO105*IF(VLOOKUP($E105,武器奇术!$A:$R,17,FALSE)="破竹",VLOOKUP($E105,武器奇术!$A:$R,4,FALSE),VLOOKUP($E105,武器奇术!$A:$R,2,FALSE))*(1+CQ105)*(1+CR105)*CS105</f>
        <v>0</v>
      </c>
      <c r="DA105" s="110">
        <f t="shared" si="68"/>
        <v>0.00928814000000003</v>
      </c>
      <c r="DB105" s="113">
        <f t="shared" si="69"/>
        <v>0</v>
      </c>
      <c r="DC105" s="108">
        <f t="shared" si="36"/>
        <v>69.3</v>
      </c>
      <c r="DD105" s="99">
        <f>(DC105+DE105)*IF(VLOOKUP($E105,武器奇术!$A:$Z,21,FALSE)=1,$G$15,0.5)</f>
        <v>69.3</v>
      </c>
      <c r="DE105" s="109">
        <f t="shared" si="37"/>
        <v>69.3</v>
      </c>
      <c r="DF105" s="110">
        <f>IF(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100)</f>
        <v>0.025</v>
      </c>
      <c r="DG105" s="111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U,21,FALSE)=1,0,0.09)</f>
        <v>0.235</v>
      </c>
      <c r="DH105" s="109">
        <v>1</v>
      </c>
      <c r="DI105" s="112">
        <f>DC105*IF(VLOOKUP($E105,武器奇术!$A:$R,17,FALSE)="破竹",VLOOKUP($E105,武器奇术!$A:$R,4,FALSE),VLOOKUP($E105,武器奇术!$A:$R,2,FALSE))*(1+DF105)*(1+DG105)*DH105</f>
        <v>0</v>
      </c>
      <c r="DJ105" s="110">
        <f>(1-IF(VLOOKUP($E105,武器奇术!$A:$T,20,FALSE)=1,1,$N105))*(1-$M105)</f>
        <v>0.01072666</v>
      </c>
      <c r="DK105" s="112">
        <f>DD105*IF(VLOOKUP($E105,武器奇术!$A:$R,17,FALSE)="破竹",VLOOKUP($E105,武器奇术!$A:$R,4,FALSE),VLOOKUP($E105,武器奇术!$A:$R,2,FALSE))*(1+DF105)*(1+DG105)*DH105*(1+$E$16+VLOOKUP($E105,武器奇术!$A:$R,8,FALSE))</f>
        <v>0</v>
      </c>
      <c r="DL105" s="110">
        <f t="shared" si="70"/>
        <v>0.8813852</v>
      </c>
      <c r="DM105" s="112">
        <f>DE105*IF(VLOOKUP($E105,武器奇术!$A:$R,17,FALSE)="破竹",VLOOKUP($E105,武器奇术!$A:$R,4,FALSE),VLOOKUP($E105,武器奇术!$A:$R,2,FALSE))*(1+DF105)*(1+DG105)*DH105*(1+$E$17+VLOOKUP($E105,武器奇术!$A:$R,10,FALSE))</f>
        <v>0</v>
      </c>
      <c r="DN105" s="110">
        <f t="shared" si="71"/>
        <v>0.0986</v>
      </c>
      <c r="DO105" s="112">
        <f>DD105*IF(VLOOKUP($E105,武器奇术!$A:$R,17,FALSE)="破竹",VLOOKUP($E105,武器奇术!$A:$R,4,FALSE),VLOOKUP($E105,武器奇术!$A:$R,2,FALSE))*(1+DF105)*(1+DG105)*DH105</f>
        <v>0</v>
      </c>
      <c r="DP105" s="110">
        <f t="shared" si="72"/>
        <v>0.00928814000000003</v>
      </c>
      <c r="DQ105" s="113">
        <f t="shared" si="73"/>
        <v>0</v>
      </c>
    </row>
    <row r="106" spans="1:121">
      <c r="B106" t="s">
        <v>164</v>
      </c>
      <c r="C106" s="147">
        <v>1.16</v>
      </c>
      <c r="E106" s="98" t="s">
        <v>93</v>
      </c>
      <c r="F106" s="99">
        <v>1</v>
      </c>
      <c r="G106" s="115"/>
      <c r="H106" s="100">
        <f>IF(VLOOKUP($E106,武器奇术!$A:$R,18,FALSE)="天工",AE106,(AE106+AT106+BI106+BX106+CM106+DB106+DQ106))*(1+J106)*F106*K106*(1+G106)</f>
        <v>0</v>
      </c>
      <c r="I106" s="101">
        <f t="shared" si="42"/>
        <v>0</v>
      </c>
      <c r="J106" s="101">
        <f>$F$3+VLOOKUP($E106,武器奇术!$A:$R,12,FALSE)+VLOOKUP($E106,武器奇术!$A:$R,14,FALSE)*$G$3+$P106</f>
        <v>0.303</v>
      </c>
      <c r="K106" s="102">
        <f>VLOOKUP($E106,武器奇术!$A:$R,11,FALSE)</f>
        <v>1</v>
      </c>
      <c r="L106" s="117">
        <f>IF(VLOOKUP($E106,武器奇术!$A:$R,15,FALSE)="天工",0%,IF($C$17+VLOOKUP($E106,武器奇术!$A:$R,7,FALSE)&gt;80%,80%,$C$17+VLOOKUP($E106,武器奇术!$A:$R,7,FALSE))+IF($C$19&gt;20%,20%,$C$19))</f>
        <v>0.892</v>
      </c>
      <c r="M106" s="118">
        <f>IF(VLOOKUP($E106,武器奇术!$A:$R,15,FALSE)="天工",0%,IF($C$18+VLOOKUP($E106,武器奇术!$A:$R,9,FALSE)&gt;40%,40%,$C$18+VLOOKUP($E106,武器奇术!$A:$R,9,FALSE))+IF($C$20&gt;10%,10%,$C$20))</f>
        <v>0.0986</v>
      </c>
      <c r="N106" s="119">
        <f>IF(VLOOKUP($E106,武器奇术!$A:$R,15,FALSE)="天工",100%,MIN($C$16,1))</f>
        <v>0.9881</v>
      </c>
      <c r="O106" s="120" t="str">
        <f>VLOOKUP($E106,武器奇术!$A:$R,16,FALSE)</f>
        <v>N/A</v>
      </c>
      <c r="P106" s="121">
        <f t="shared" si="74"/>
        <v>0</v>
      </c>
      <c r="Q106" s="108">
        <f>$B$5*(1+VLOOKUP($E106,武器奇术!$A:$R,5,FALSE)+IF($G$5="飞隼",0.1,0)+IF($G$5="撼天",0.05,0))-$F$9+IF($I$5="√",160,0)</f>
        <v>1731.135</v>
      </c>
      <c r="R106" s="99">
        <f>IF(VLOOKUP($E106,武器奇术!$A:$Z,20,FALSE)=1,(S106-(Q106+S106)*0.5)*($G$15-0.5)*2+(Q106+S106)*0.5,(Q106+S106)*0.5)</f>
        <v>3256.775</v>
      </c>
      <c r="S106" s="109">
        <f>MAX($C$5,$B$5)*(1+VLOOKUP($E106,武器奇术!$A:$R,5,FALSE)+IF($G$5="飞隼",0.1,0)+IF($G$5="撼天",0.05,0))-$F$9+IF($I$5="√",320,0)</f>
        <v>4782.415</v>
      </c>
      <c r="T106" s="101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U106" s="111">
        <f>$E$5+IF(VLOOKUP($E106,武器奇术!$A:$U,21,FALSE)=1,0,0.09)</f>
        <v>0.115</v>
      </c>
      <c r="V106" s="109">
        <v>1</v>
      </c>
      <c r="W106" s="112">
        <f>Q106*VLOOKUP($E106,武器奇术!$A:$R,2,FALSE)*(1+T106)*(1+U106)*V106</f>
        <v>0</v>
      </c>
      <c r="X106" s="110">
        <f>(1-IF(VLOOKUP($E106,武器奇术!$A:$T,20,FALSE)=1,1,$N106))*(1-$M106)</f>
        <v>0.01072666</v>
      </c>
      <c r="Y106" s="112">
        <f>R106*VLOOKUP($E106,武器奇术!$A:$R,2,FALSE)*(1+T106)*(1+U106)*V106*(1+$E$16+VLOOKUP($E106,武器奇术!$A:$R,8,FALSE))</f>
        <v>0</v>
      </c>
      <c r="Z106" s="110">
        <f t="shared" si="39"/>
        <v>0.8813852</v>
      </c>
      <c r="AA106" s="112">
        <f>S106*VLOOKUP($E106,武器奇术!$A:$R,2,FALSE)*(1+T106)*(1+U106)*V106*(1+$E$17+VLOOKUP($E106,武器奇术!$A:$R,10,FALSE))</f>
        <v>0</v>
      </c>
      <c r="AB106" s="110">
        <f t="shared" si="40"/>
        <v>0.0986</v>
      </c>
      <c r="AC106" s="112">
        <f>R106*VLOOKUP($E106,武器奇术!$A:$R,2,FALSE)*(1+T106)*(1+U106)*V106</f>
        <v>0</v>
      </c>
      <c r="AD106" s="110">
        <f t="shared" si="43"/>
        <v>0.00928814000000003</v>
      </c>
      <c r="AE106" s="113">
        <f t="shared" si="44"/>
        <v>0</v>
      </c>
      <c r="AF106" s="114">
        <f>VLOOKUP($E106,武器奇术!$A:$R,3,FALSE)*(1+IF(VLOOKUP($E106,武器奇术!$A:$R,15,FALSE)="武器",$E$15,0))</f>
        <v>0</v>
      </c>
      <c r="AG106" s="112">
        <f t="shared" si="45"/>
        <v>0</v>
      </c>
      <c r="AH106" s="112">
        <f>VLOOKUP($E106,武器奇术!$A:$R,3,FALSE)*(1+IF(VLOOKUP($E106,武器奇术!$A:$R,15,FALSE)="武器",$E$15,0))</f>
        <v>0</v>
      </c>
      <c r="AI106" s="101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AJ106" s="111">
        <f>$E$5+IF(VLOOKUP($E106,武器奇术!$A:$U,21,FALSE)=1,0,0.09)</f>
        <v>0.115</v>
      </c>
      <c r="AK106" s="109">
        <v>1</v>
      </c>
      <c r="AL106" s="112">
        <f t="shared" si="41"/>
        <v>0</v>
      </c>
      <c r="AM106" s="110">
        <f>(1-IF(VLOOKUP($E106,武器奇术!$A:$T,20,FALSE)=1,1,$N106))*(1-$M106)</f>
        <v>0.01072666</v>
      </c>
      <c r="AN106" s="112">
        <f>AG106*(1+AI106)*(1+AJ106)*AK106*(1+$E$16+VLOOKUP($E106,武器奇术!$A:$R,8,FALSE))</f>
        <v>0</v>
      </c>
      <c r="AO106" s="110">
        <f t="shared" si="46"/>
        <v>0.8813852</v>
      </c>
      <c r="AP106" s="112">
        <f>AH106*(1+AI106)*(1+AJ106)*AK106*(1+$E$17+VLOOKUP($E106,武器奇术!$A:$R,10,FALSE))</f>
        <v>0</v>
      </c>
      <c r="AQ106" s="110">
        <f t="shared" si="47"/>
        <v>0.0986</v>
      </c>
      <c r="AR106" s="112">
        <f t="shared" si="48"/>
        <v>0</v>
      </c>
      <c r="AS106" s="110">
        <f t="shared" si="49"/>
        <v>0.00928814000000003</v>
      </c>
      <c r="AT106" s="113">
        <f t="shared" si="50"/>
        <v>0</v>
      </c>
      <c r="AU106" s="108">
        <f>$B$7*IF($G$5="撼天",1.05,1)+IF(AND(VLOOKUP($E106,武器奇术!$A:$R,15,FALSE)="武器",VLOOKUP($E106,武器奇术!$A:$R,17,FALSE)="鸣金"),$E$3,0)*(1+$E$15)</f>
        <v>0</v>
      </c>
      <c r="AV106" s="99">
        <f>(AU106+AW106)*IF(VLOOKUP($E106,武器奇术!$A:$Z,21,FALSE)=1,$G$15,0.5)</f>
        <v>0</v>
      </c>
      <c r="AW106" s="109">
        <f>MAX($C$7*IF($G$5="撼天",1.05,1)+IF(AND(VLOOKUP($E106,武器奇术!$A:$R,15,FALSE)="武器",VLOOKUP($E106,武器奇术!$A:$R,17,FALSE)="鸣金"),$E$3*(1+$E$15),0),AU106)</f>
        <v>0</v>
      </c>
      <c r="AX106" s="110">
        <f>IF(($D$7+IF(VLOOKUP($E106,武器奇术!$A:$R,17,FALSE)="鸣金",$D$15,0)+IF(VLOOKUP($E106,武器奇术!$A:$R,18,FALSE)=1,4,0)+IF(VLOOKUP($E106,武器奇术!$A:$S,19,FALSE)=1,20,0)-VLOOKUP($F$7,目标属性!$A:$R,6,FALSE))&gt;0,($D$7+IF(VLOOKUP($E106,武器奇术!$A:$R,17,FALSE)="鸣金",$D$15,0)+IF(VLOOKUP($E106,武器奇术!$A:$R,18,FALSE)=1,4,0)+IF(VLOOKUP($E106,武器奇术!$A:$S,19,FALSE)=1,20,0)-VLOOKUP($F$7,目标属性!$A:$R,6,FALSE))/200,($D$7+IF(VLOOKUP($E106,武器奇术!$A:$R,17,FALSE)="鸣金",$D$15,0)+IF(VLOOKUP($E106,武器奇术!$A:$R,18,FALSE)=1,4,0)+IF(VLOOKUP($E106,武器奇术!$A:$S,19,FALSE)=1,20,0)-VLOOKUP($F$7,目标属性!$A:$R,6,FALSE))/100)</f>
        <v>-0.24</v>
      </c>
      <c r="AY106" s="111">
        <f t="shared" si="51"/>
        <v>0</v>
      </c>
      <c r="AZ106" s="109">
        <v>1</v>
      </c>
      <c r="BA106" s="112">
        <f>AU106*IF(VLOOKUP($E106,武器奇术!$A:$R,17,FALSE)="鸣金",VLOOKUP($E106,武器奇术!$A:$R,4,FALSE),VLOOKUP($E106,武器奇术!$A:$R,2,FALSE))*(1+AX106)*(1+AY106)*AZ106</f>
        <v>0</v>
      </c>
      <c r="BB106" s="110">
        <f>(1-IF(VLOOKUP($E106,武器奇术!$A:$T,20,FALSE)=1,1,$N106))*(1-$M106)</f>
        <v>0.01072666</v>
      </c>
      <c r="BC106" s="112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110">
        <f t="shared" si="52"/>
        <v>0.8813852</v>
      </c>
      <c r="BE106" s="112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110">
        <f t="shared" si="53"/>
        <v>0.0986</v>
      </c>
      <c r="BG106" s="112">
        <f>AV106*IF(VLOOKUP($E106,武器奇术!$A:$R,17,FALSE)="鸣金",VLOOKUP($E106,武器奇术!$A:$R,4,FALSE),VLOOKUP($E106,武器奇术!$A:$R,2,FALSE))*(1+AX106)*(1+AY106)*AZ106</f>
        <v>0</v>
      </c>
      <c r="BH106" s="110">
        <f t="shared" si="54"/>
        <v>0.00928814000000003</v>
      </c>
      <c r="BI106" s="113">
        <f t="shared" si="55"/>
        <v>0</v>
      </c>
      <c r="BJ106" s="108">
        <f>$B$9*IF($G$5="撼天",1.05,1)+IF(AND(VLOOKUP($E106,武器奇术!$A:$R,15,FALSE)="武器",VLOOKUP($E106,武器奇术!$A:$R,17,FALSE)="裂石"),$E$3,0)*(1+$E$15)</f>
        <v>0</v>
      </c>
      <c r="BK106" s="99">
        <f>(BJ106+BL106)*IF(VLOOKUP($E106,武器奇术!$A:$Z,21,FALSE)=1,$G$15,0.5)</f>
        <v>0</v>
      </c>
      <c r="BL106" s="109">
        <f>MAX($C$9*IF($G$5="撼天",1.05,1)+IF(AND(VLOOKUP($E106,武器奇术!$A:$R,15,FALSE)="武器",VLOOKUP($E106,武器奇术!$A:$R,17,FALSE)="裂石"),$E$3*(1+$E$15),0),BJ106)</f>
        <v>0</v>
      </c>
      <c r="BM106" s="110">
        <f>IF(($D$9+IF(VLOOKUP($E106,武器奇术!$A:$R,17,FALSE)="裂石",$D$15,0)+IF(VLOOKUP($E106,武器奇术!$A:$R,18,FALSE)=1,4,0)+IF(VLOOKUP($E106,武器奇术!$A:$S,19,FALSE)=1,20,0)-VLOOKUP($F$7,目标属性!$A:$R,6,FALSE))&gt;0,($D$9+IF(VLOOKUP($E106,武器奇术!$A:$R,17,FALSE)="裂石",$D$15,0)+IF(VLOOKUP($E106,武器奇术!$A:$R,18,FALSE)=1,4,0)+IF(VLOOKUP($E106,武器奇术!$A:$S,19,FALSE)=1,20,0)-VLOOKUP($F$7,目标属性!$A:$R,6,FALSE))/200,($D$9+IF(VLOOKUP($E106,武器奇术!$A:$R,17,FALSE)="裂石",$D$15,0)+IF(VLOOKUP($E106,武器奇术!$A:$R,18,FALSE)=1,4,0)+IF(VLOOKUP($E106,武器奇术!$A:$S,19,FALSE)=1,20,0)-VLOOKUP($F$7,目标属性!$A:$R,6,FALSE))/100)</f>
        <v>-0.24</v>
      </c>
      <c r="BN106" s="111">
        <f t="shared" si="56"/>
        <v>0</v>
      </c>
      <c r="BO106" s="109">
        <v>1</v>
      </c>
      <c r="BP106" s="112">
        <f>BJ106*IF(VLOOKUP($E106,武器奇术!$A:$R,17,FALSE)="裂石",VLOOKUP($E106,武器奇术!$A:$R,4,FALSE),VLOOKUP($E106,武器奇术!$A:$R,2,FALSE))*(1+BM106)*(1+BN106)*BO106</f>
        <v>0</v>
      </c>
      <c r="BQ106" s="110">
        <f>(1-IF(VLOOKUP($E106,武器奇术!$A:$T,20,FALSE)=1,1,$N106))*(1-$M106)</f>
        <v>0.01072666</v>
      </c>
      <c r="BR106" s="112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110">
        <f t="shared" si="57"/>
        <v>0.8813852</v>
      </c>
      <c r="BT106" s="112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110">
        <f t="shared" si="58"/>
        <v>0.0986</v>
      </c>
      <c r="BV106" s="112">
        <f>BK106*IF(VLOOKUP($E106,武器奇术!$A:$R,17,FALSE)="裂石",VLOOKUP($E106,武器奇术!$A:$R,4,FALSE),VLOOKUP($E106,武器奇术!$A:$R,2,FALSE))*(1+BM106)*(1+BN106)*BO106</f>
        <v>0</v>
      </c>
      <c r="BW106" s="110">
        <f t="shared" si="59"/>
        <v>0.00928814000000003</v>
      </c>
      <c r="BX106" s="113">
        <f t="shared" si="60"/>
        <v>0</v>
      </c>
      <c r="BY106" s="108">
        <f>$B$11*IF($G$5="撼天",1.05,1)+IF(AND(VLOOKUP($E106,武器奇术!$A:$R,15,FALSE)="武器",VLOOKUP($E106,武器奇术!$A:$R,17,FALSE)="牵丝"),$E$3,0)*(1+$E$15)</f>
        <v>0</v>
      </c>
      <c r="BZ106" s="99">
        <f>(BY106+CA106)*IF(VLOOKUP($E106,武器奇术!$A:$Z,21,FALSE)=1,$G$15,0.5)</f>
        <v>0</v>
      </c>
      <c r="CA106" s="109">
        <f>MAX($C$11*IF($G$5="撼天",1.05,1)+IF(AND(VLOOKUP($E106,武器奇术!$A:$R,15,FALSE)="武器",VLOOKUP($E106,武器奇术!$A:$R,17,FALSE)="牵丝"),$E$3*(1+$E$15),0),BY106)</f>
        <v>0</v>
      </c>
      <c r="CB106" s="110">
        <f>IF(($D$11+IF(VLOOKUP($E106,武器奇术!$A:$R,17,FALSE)="牵丝",$D$15,0)+IF(VLOOKUP($E106,武器奇术!$A:$R,18,FALSE)=1,4,0)+IF(VLOOKUP($E106,武器奇术!$A:$S,19,FALSE)=1,20,0)-VLOOKUP($F$7,目标属性!$A:$R,6,FALSE))&gt;0,($D$11+IF(VLOOKUP($E106,武器奇术!$A:$R,17,FALSE)="牵丝",$D$15,0)+IF(VLOOKUP($E106,武器奇术!$A:$R,18,FALSE)=1,4,0)+IF(VLOOKUP($E106,武器奇术!$A:$S,19,FALSE)=1,20,0)-VLOOKUP($F$7,目标属性!$A:$R,6,FALSE))/200,($D$11+IF(VLOOKUP($E106,武器奇术!$A:$R,17,FALSE)="牵丝",$D$15,0)+IF(VLOOKUP($E106,武器奇术!$A:$R,18,FALSE)=1,4,0)+IF(VLOOKUP($E106,武器奇术!$A:$S,19,FALSE)=1,20,0)-VLOOKUP($F$7,目标属性!$A:$R,6,FALSE))/100)</f>
        <v>-0.24</v>
      </c>
      <c r="CC106" s="111">
        <f t="shared" si="61"/>
        <v>0</v>
      </c>
      <c r="CD106" s="109">
        <v>1</v>
      </c>
      <c r="CE106" s="112">
        <f>BY106*IF(VLOOKUP($E106,武器奇术!$A:$R,17,FALSE)="牵丝",VLOOKUP($E106,武器奇术!$A:$R,4,FALSE),VLOOKUP($E106,武器奇术!$A:$R,2,FALSE))*(1+CB106)*(1+CC106)*CD106</f>
        <v>0</v>
      </c>
      <c r="CF106" s="110">
        <f>(1-IF(VLOOKUP($E106,武器奇术!$A:$T,20,FALSE)=1,1,$N106))*(1-$M106)</f>
        <v>0.01072666</v>
      </c>
      <c r="CG106" s="112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110">
        <f t="shared" si="62"/>
        <v>0.8813852</v>
      </c>
      <c r="CI106" s="112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110">
        <f t="shared" si="63"/>
        <v>0.0986</v>
      </c>
      <c r="CK106" s="112">
        <f>BZ106*IF(VLOOKUP($E106,武器奇术!$A:$R,17,FALSE)="牵丝",VLOOKUP($E106,武器奇术!$A:$R,4,FALSE),VLOOKUP($E106,武器奇术!$A:$R,2,FALSE))*(1+CB106)*(1+CC106)*CD106</f>
        <v>0</v>
      </c>
      <c r="CL106" s="110">
        <f t="shared" si="64"/>
        <v>0.00928814000000003</v>
      </c>
      <c r="CM106" s="113">
        <f t="shared" si="65"/>
        <v>0</v>
      </c>
      <c r="CN106" s="108">
        <f>$B$13*IF($G$5="撼天",1.05,1)+IF(AND(VLOOKUP($E106,武器奇术!$A:$R,15,FALSE)="武器",VLOOKUP($E106,武器奇术!$A:$R,17,FALSE)="破竹"),$E$3,0)*(1+$E$15)</f>
        <v>452.55</v>
      </c>
      <c r="CO106" s="99">
        <f>IF(VLOOKUP($E106,武器奇术!$A:$Z,20,FALSE)=1,(CP106-(CN106+CP106)*0.5)*($G$15-0.5)*2+(CN106+CP106)*0.5,(CN106+CP106)*0.5)</f>
        <v>679.35</v>
      </c>
      <c r="CP106" s="109">
        <f>MAX($C$13*IF($G$5="撼天",1.05,1)+IF(AND(VLOOKUP($E106,武器奇术!$A:$R,15,FALSE)="武器",VLOOKUP($E106,武器奇术!$A:$R,17,FALSE)="破竹"),$E$3*(1+$E$15),0),CN106)</f>
        <v>906.15</v>
      </c>
      <c r="CQ106" s="110">
        <f>IF(($D$13+IF(VLOOKUP($E106,武器奇术!$A:$R,17,FALSE)="破竹",$D$15,0)+IF(VLOOKUP($E106,武器奇术!$A:$R,18,FALSE)=1,4,0)+IF(VLOOKUP($E106,武器奇术!$A:$S,19,FALSE)=1,20,0)-VLOOKUP($F$7,目标属性!$A:$R,6,FALSE))&gt;0,($D$13+IF(VLOOKUP($E106,武器奇术!$A:$R,17,FALSE)="破竹",$D$15,0)+IF(VLOOKUP($E106,武器奇术!$A:$R,18,FALSE)=1,4,0)+IF(VLOOKUP($E106,武器奇术!$A:$S,19,FALSE)=1,20,0)-VLOOKUP($F$7,目标属性!$A:$R,6,FALSE))/200,($D$13+IF(VLOOKUP($E106,武器奇术!$A:$R,17,FALSE)="破竹",$D$15,0)+IF(VLOOKUP($E106,武器奇术!$A:$R,18,FALSE)=1,4,0)+IF(VLOOKUP($E106,武器奇术!$A:$S,19,FALSE)=1,20,0)-VLOOKUP($F$7,目标属性!$A:$R,6,FALSE))/100)</f>
        <v>0.025</v>
      </c>
      <c r="CR106" s="111">
        <f>$E$13+IF(VLOOKUP($E106,武器奇术!$A:$U,21,FALSE)=1,0,0.09)</f>
        <v>0.235</v>
      </c>
      <c r="CS106" s="109">
        <v>1</v>
      </c>
      <c r="CT106" s="112">
        <f>CN106*IF(VLOOKUP($E106,武器奇术!$A:$R,17,FALSE)="破竹",VLOOKUP($E106,武器奇术!$A:$R,4,FALSE),VLOOKUP($E106,武器奇术!$A:$R,2,FALSE))*(1+CQ106)*(1+CR106)*CS106</f>
        <v>0</v>
      </c>
      <c r="CU106" s="110">
        <f>(1-IF(VLOOKUP($E106,武器奇术!$A:$T,20,FALSE)=1,1,$N106))*(1-$M106)</f>
        <v>0.01072666</v>
      </c>
      <c r="CV106" s="112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110">
        <f t="shared" si="66"/>
        <v>0.8813852</v>
      </c>
      <c r="CX106" s="112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110">
        <f t="shared" si="67"/>
        <v>0.0986</v>
      </c>
      <c r="CZ106" s="112">
        <f>CO106*IF(VLOOKUP($E106,武器奇术!$A:$R,17,FALSE)="破竹",VLOOKUP($E106,武器奇术!$A:$R,4,FALSE),VLOOKUP($E106,武器奇术!$A:$R,2,FALSE))*(1+CQ106)*(1+CR106)*CS106</f>
        <v>0</v>
      </c>
      <c r="DA106" s="110">
        <f t="shared" si="68"/>
        <v>0.00928814000000003</v>
      </c>
      <c r="DB106" s="113">
        <f t="shared" si="69"/>
        <v>0</v>
      </c>
      <c r="DC106" s="108">
        <f t="shared" si="36"/>
        <v>69.3</v>
      </c>
      <c r="DD106" s="99">
        <f>(DC106+DE106)*IF(VLOOKUP($E106,武器奇术!$A:$Z,21,FALSE)=1,$G$15,0.5)</f>
        <v>69.3</v>
      </c>
      <c r="DE106" s="109">
        <f t="shared" si="37"/>
        <v>69.3</v>
      </c>
      <c r="DF106" s="110">
        <f>IF(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100)</f>
        <v>0.025</v>
      </c>
      <c r="DG106" s="111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U,21,FALSE)=1,0,0.09)</f>
        <v>0.235</v>
      </c>
      <c r="DH106" s="109">
        <v>1</v>
      </c>
      <c r="DI106" s="112">
        <f>DC106*IF(VLOOKUP($E106,武器奇术!$A:$R,17,FALSE)="破竹",VLOOKUP($E106,武器奇术!$A:$R,4,FALSE),VLOOKUP($E106,武器奇术!$A:$R,2,FALSE))*(1+DF106)*(1+DG106)*DH106</f>
        <v>0</v>
      </c>
      <c r="DJ106" s="110">
        <f>(1-IF(VLOOKUP($E106,武器奇术!$A:$T,20,FALSE)=1,1,$N106))*(1-$M106)</f>
        <v>0.01072666</v>
      </c>
      <c r="DK106" s="112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110">
        <f t="shared" si="70"/>
        <v>0.8813852</v>
      </c>
      <c r="DM106" s="112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110">
        <f t="shared" si="71"/>
        <v>0.0986</v>
      </c>
      <c r="DO106" s="112">
        <f>DD106*IF(VLOOKUP($E106,武器奇术!$A:$R,17,FALSE)="破竹",VLOOKUP($E106,武器奇术!$A:$R,4,FALSE),VLOOKUP($E106,武器奇术!$A:$R,2,FALSE))*(1+DF106)*(1+DG106)*DH106</f>
        <v>0</v>
      </c>
      <c r="DP106" s="110">
        <f t="shared" si="72"/>
        <v>0.00928814000000003</v>
      </c>
      <c r="DQ106" s="113">
        <f t="shared" si="73"/>
        <v>0</v>
      </c>
    </row>
    <row r="107" spans="1:121">
      <c r="B107" t="s">
        <v>165</v>
      </c>
      <c r="C107" s="147"/>
      <c r="E107" s="98" t="s">
        <v>93</v>
      </c>
      <c r="F107" s="99">
        <v>1</v>
      </c>
      <c r="G107" s="115"/>
      <c r="H107" s="100">
        <f>IF(VLOOKUP($E107,武器奇术!$A:$R,18,FALSE)="天工",AE107,(AE107+AT107+BI107+BX107+CM107+DB107+DQ107))*(1+J107)*F107*K107*(1+G107)</f>
        <v>0</v>
      </c>
      <c r="I107" s="101">
        <f t="shared" si="42"/>
        <v>0</v>
      </c>
      <c r="J107" s="101">
        <f>$F$3+VLOOKUP($E107,武器奇术!$A:$R,12,FALSE)+VLOOKUP($E107,武器奇术!$A:$R,14,FALSE)*$G$3+$P107</f>
        <v>0.303</v>
      </c>
      <c r="K107" s="102">
        <f>VLOOKUP($E107,武器奇术!$A:$R,11,FALSE)</f>
        <v>1</v>
      </c>
      <c r="L107" s="117">
        <f>IF(VLOOKUP($E107,武器奇术!$A:$R,15,FALSE)="天工",0%,IF($C$17+VLOOKUP($E107,武器奇术!$A:$R,7,FALSE)&gt;80%,80%,$C$17+VLOOKUP($E107,武器奇术!$A:$R,7,FALSE))+IF($C$19&gt;20%,20%,$C$19))</f>
        <v>0.892</v>
      </c>
      <c r="M107" s="118">
        <f>IF(VLOOKUP($E107,武器奇术!$A:$R,15,FALSE)="天工",0%,IF($C$18+VLOOKUP($E107,武器奇术!$A:$R,9,FALSE)&gt;40%,40%,$C$18+VLOOKUP($E107,武器奇术!$A:$R,9,FALSE))+IF($C$20&gt;10%,10%,$C$20))</f>
        <v>0.0986</v>
      </c>
      <c r="N107" s="119">
        <f>IF(VLOOKUP($E107,武器奇术!$A:$R,15,FALSE)="天工",100%,MIN($C$16,1))</f>
        <v>0.9881</v>
      </c>
      <c r="O107" s="120" t="str">
        <f>VLOOKUP($E107,武器奇术!$A:$R,16,FALSE)</f>
        <v>N/A</v>
      </c>
      <c r="P107" s="121">
        <f t="shared" si="74"/>
        <v>0</v>
      </c>
      <c r="Q107" s="108">
        <f>$B$5*(1+VLOOKUP($E107,武器奇术!$A:$R,5,FALSE)+IF($G$5="飞隼",0.1,0)+IF($G$5="撼天",0.05,0))-$F$9+IF($I$5="√",160,0)</f>
        <v>1731.135</v>
      </c>
      <c r="R107" s="99">
        <f>IF(VLOOKUP($E107,武器奇术!$A:$Z,20,FALSE)=1,(S107-(Q107+S107)*0.5)*($G$15-0.5)*2+(Q107+S107)*0.5,(Q107+S107)*0.5)</f>
        <v>3256.775</v>
      </c>
      <c r="S107" s="109">
        <f>MAX($C$5,$B$5)*(1+VLOOKUP($E107,武器奇术!$A:$R,5,FALSE)+IF($G$5="飞隼",0.1,0)+IF($G$5="撼天",0.05,0))-$F$9+IF($I$5="√",320,0)</f>
        <v>4782.415</v>
      </c>
      <c r="T107" s="101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U107" s="111">
        <f>$E$5+IF(VLOOKUP($E107,武器奇术!$A:$U,21,FALSE)=1,0,0.09)</f>
        <v>0.115</v>
      </c>
      <c r="V107" s="109">
        <v>1</v>
      </c>
      <c r="W107" s="112">
        <f>Q107*VLOOKUP($E107,武器奇术!$A:$R,2,FALSE)*(1+T107)*(1+U107)*V107</f>
        <v>0</v>
      </c>
      <c r="X107" s="110">
        <f>(1-IF(VLOOKUP($E107,武器奇术!$A:$T,20,FALSE)=1,1,$N107))*(1-$M107)</f>
        <v>0.01072666</v>
      </c>
      <c r="Y107" s="112">
        <f>R107*VLOOKUP($E107,武器奇术!$A:$R,2,FALSE)*(1+T107)*(1+U107)*V107*(1+$E$16+VLOOKUP($E107,武器奇术!$A:$R,8,FALSE))</f>
        <v>0</v>
      </c>
      <c r="Z107" s="110">
        <f t="shared" si="39"/>
        <v>0.8813852</v>
      </c>
      <c r="AA107" s="112">
        <f>S107*VLOOKUP($E107,武器奇术!$A:$R,2,FALSE)*(1+T107)*(1+U107)*V107*(1+$E$17+VLOOKUP($E107,武器奇术!$A:$R,10,FALSE))</f>
        <v>0</v>
      </c>
      <c r="AB107" s="110">
        <f t="shared" si="40"/>
        <v>0.0986</v>
      </c>
      <c r="AC107" s="112">
        <f>R107*VLOOKUP($E107,武器奇术!$A:$R,2,FALSE)*(1+T107)*(1+U107)*V107</f>
        <v>0</v>
      </c>
      <c r="AD107" s="110">
        <f t="shared" si="43"/>
        <v>0.00928814000000003</v>
      </c>
      <c r="AE107" s="113">
        <f t="shared" si="44"/>
        <v>0</v>
      </c>
      <c r="AF107" s="114">
        <f>VLOOKUP($E107,武器奇术!$A:$R,3,FALSE)*(1+IF(VLOOKUP($E107,武器奇术!$A:$R,15,FALSE)="武器",$E$15,0))</f>
        <v>0</v>
      </c>
      <c r="AG107" s="112">
        <f t="shared" si="45"/>
        <v>0</v>
      </c>
      <c r="AH107" s="112">
        <f>VLOOKUP($E107,武器奇术!$A:$R,3,FALSE)*(1+IF(VLOOKUP($E107,武器奇术!$A:$R,15,FALSE)="武器",$E$15,0))</f>
        <v>0</v>
      </c>
      <c r="AI107" s="101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AJ107" s="111">
        <f>$E$5+IF(VLOOKUP($E107,武器奇术!$A:$U,21,FALSE)=1,0,0.09)</f>
        <v>0.115</v>
      </c>
      <c r="AK107" s="109">
        <v>1</v>
      </c>
      <c r="AL107" s="112">
        <f t="shared" si="41"/>
        <v>0</v>
      </c>
      <c r="AM107" s="110">
        <f>(1-IF(VLOOKUP($E107,武器奇术!$A:$T,20,FALSE)=1,1,$N107))*(1-$M107)</f>
        <v>0.01072666</v>
      </c>
      <c r="AN107" s="112">
        <f>AG107*(1+AI107)*(1+AJ107)*AK107*(1+$E$16+VLOOKUP($E107,武器奇术!$A:$R,8,FALSE))</f>
        <v>0</v>
      </c>
      <c r="AO107" s="110">
        <f t="shared" si="46"/>
        <v>0.8813852</v>
      </c>
      <c r="AP107" s="112">
        <f>AH107*(1+AI107)*(1+AJ107)*AK107*(1+$E$17+VLOOKUP($E107,武器奇术!$A:$R,10,FALSE))</f>
        <v>0</v>
      </c>
      <c r="AQ107" s="110">
        <f t="shared" si="47"/>
        <v>0.0986</v>
      </c>
      <c r="AR107" s="112">
        <f t="shared" si="48"/>
        <v>0</v>
      </c>
      <c r="AS107" s="110">
        <f t="shared" si="49"/>
        <v>0.00928814000000003</v>
      </c>
      <c r="AT107" s="113">
        <f t="shared" si="50"/>
        <v>0</v>
      </c>
      <c r="AU107" s="108">
        <f>$B$7*IF($G$5="撼天",1.05,1)+IF(AND(VLOOKUP($E107,武器奇术!$A:$R,15,FALSE)="武器",VLOOKUP($E107,武器奇术!$A:$R,17,FALSE)="鸣金"),$E$3,0)*(1+$E$15)</f>
        <v>0</v>
      </c>
      <c r="AV107" s="99">
        <f>(AU107+AW107)*IF(VLOOKUP($E107,武器奇术!$A:$Z,21,FALSE)=1,$G$15,0.5)</f>
        <v>0</v>
      </c>
      <c r="AW107" s="109">
        <f>MAX($C$7*IF($G$5="撼天",1.05,1)+IF(AND(VLOOKUP($E107,武器奇术!$A:$R,15,FALSE)="武器",VLOOKUP($E107,武器奇术!$A:$R,17,FALSE)="鸣金"),$E$3*(1+$E$15),0),AU107)</f>
        <v>0</v>
      </c>
      <c r="AX107" s="110">
        <f>IF(($D$7+IF(VLOOKUP($E107,武器奇术!$A:$R,17,FALSE)="鸣金",$D$15,0)+IF(VLOOKUP($E107,武器奇术!$A:$R,18,FALSE)=1,4,0)+IF(VLOOKUP($E107,武器奇术!$A:$S,19,FALSE)=1,20,0)-VLOOKUP($F$7,目标属性!$A:$R,6,FALSE))&gt;0,($D$7+IF(VLOOKUP($E107,武器奇术!$A:$R,17,FALSE)="鸣金",$D$15,0)+IF(VLOOKUP($E107,武器奇术!$A:$R,18,FALSE)=1,4,0)+IF(VLOOKUP($E107,武器奇术!$A:$S,19,FALSE)=1,20,0)-VLOOKUP($F$7,目标属性!$A:$R,6,FALSE))/200,($D$7+IF(VLOOKUP($E107,武器奇术!$A:$R,17,FALSE)="鸣金",$D$15,0)+IF(VLOOKUP($E107,武器奇术!$A:$R,18,FALSE)=1,4,0)+IF(VLOOKUP($E107,武器奇术!$A:$S,19,FALSE)=1,20,0)-VLOOKUP($F$7,目标属性!$A:$R,6,FALSE))/100)</f>
        <v>-0.24</v>
      </c>
      <c r="AY107" s="111">
        <f t="shared" si="51"/>
        <v>0</v>
      </c>
      <c r="AZ107" s="109">
        <v>1</v>
      </c>
      <c r="BA107" s="112">
        <f>AU107*IF(VLOOKUP($E107,武器奇术!$A:$R,17,FALSE)="鸣金",VLOOKUP($E107,武器奇术!$A:$R,4,FALSE),VLOOKUP($E107,武器奇术!$A:$R,2,FALSE))*(1+AX107)*(1+AY107)*AZ107</f>
        <v>0</v>
      </c>
      <c r="BB107" s="110">
        <f>(1-IF(VLOOKUP($E107,武器奇术!$A:$T,20,FALSE)=1,1,$N107))*(1-$M107)</f>
        <v>0.01072666</v>
      </c>
      <c r="BC107" s="112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110">
        <f t="shared" si="52"/>
        <v>0.8813852</v>
      </c>
      <c r="BE107" s="112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110">
        <f t="shared" si="53"/>
        <v>0.0986</v>
      </c>
      <c r="BG107" s="112">
        <f>AV107*IF(VLOOKUP($E107,武器奇术!$A:$R,17,FALSE)="鸣金",VLOOKUP($E107,武器奇术!$A:$R,4,FALSE),VLOOKUP($E107,武器奇术!$A:$R,2,FALSE))*(1+AX107)*(1+AY107)*AZ107</f>
        <v>0</v>
      </c>
      <c r="BH107" s="110">
        <f t="shared" si="54"/>
        <v>0.00928814000000003</v>
      </c>
      <c r="BI107" s="113">
        <f t="shared" si="55"/>
        <v>0</v>
      </c>
      <c r="BJ107" s="108">
        <f>$B$9*IF($G$5="撼天",1.05,1)+IF(AND(VLOOKUP($E107,武器奇术!$A:$R,15,FALSE)="武器",VLOOKUP($E107,武器奇术!$A:$R,17,FALSE)="裂石"),$E$3,0)*(1+$E$15)</f>
        <v>0</v>
      </c>
      <c r="BK107" s="99">
        <f>(BJ107+BL107)*IF(VLOOKUP($E107,武器奇术!$A:$Z,21,FALSE)=1,$G$15,0.5)</f>
        <v>0</v>
      </c>
      <c r="BL107" s="109">
        <f>MAX($C$9*IF($G$5="撼天",1.05,1)+IF(AND(VLOOKUP($E107,武器奇术!$A:$R,15,FALSE)="武器",VLOOKUP($E107,武器奇术!$A:$R,17,FALSE)="裂石"),$E$3*(1+$E$15),0),BJ107)</f>
        <v>0</v>
      </c>
      <c r="BM107" s="110">
        <f>IF(($D$9+IF(VLOOKUP($E107,武器奇术!$A:$R,17,FALSE)="裂石",$D$15,0)+IF(VLOOKUP($E107,武器奇术!$A:$R,18,FALSE)=1,4,0)+IF(VLOOKUP($E107,武器奇术!$A:$S,19,FALSE)=1,20,0)-VLOOKUP($F$7,目标属性!$A:$R,6,FALSE))&gt;0,($D$9+IF(VLOOKUP($E107,武器奇术!$A:$R,17,FALSE)="裂石",$D$15,0)+IF(VLOOKUP($E107,武器奇术!$A:$R,18,FALSE)=1,4,0)+IF(VLOOKUP($E107,武器奇术!$A:$S,19,FALSE)=1,20,0)-VLOOKUP($F$7,目标属性!$A:$R,6,FALSE))/200,($D$9+IF(VLOOKUP($E107,武器奇术!$A:$R,17,FALSE)="裂石",$D$15,0)+IF(VLOOKUP($E107,武器奇术!$A:$R,18,FALSE)=1,4,0)+IF(VLOOKUP($E107,武器奇术!$A:$S,19,FALSE)=1,20,0)-VLOOKUP($F$7,目标属性!$A:$R,6,FALSE))/100)</f>
        <v>-0.24</v>
      </c>
      <c r="BN107" s="111">
        <f t="shared" si="56"/>
        <v>0</v>
      </c>
      <c r="BO107" s="109">
        <v>1</v>
      </c>
      <c r="BP107" s="112">
        <f>BJ107*IF(VLOOKUP($E107,武器奇术!$A:$R,17,FALSE)="裂石",VLOOKUP($E107,武器奇术!$A:$R,4,FALSE),VLOOKUP($E107,武器奇术!$A:$R,2,FALSE))*(1+BM107)*(1+BN107)*BO107</f>
        <v>0</v>
      </c>
      <c r="BQ107" s="110">
        <f>(1-IF(VLOOKUP($E107,武器奇术!$A:$T,20,FALSE)=1,1,$N107))*(1-$M107)</f>
        <v>0.01072666</v>
      </c>
      <c r="BR107" s="112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110">
        <f t="shared" si="57"/>
        <v>0.8813852</v>
      </c>
      <c r="BT107" s="112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110">
        <f t="shared" si="58"/>
        <v>0.0986</v>
      </c>
      <c r="BV107" s="112">
        <f>BK107*IF(VLOOKUP($E107,武器奇术!$A:$R,17,FALSE)="裂石",VLOOKUP($E107,武器奇术!$A:$R,4,FALSE),VLOOKUP($E107,武器奇术!$A:$R,2,FALSE))*(1+BM107)*(1+BN107)*BO107</f>
        <v>0</v>
      </c>
      <c r="BW107" s="110">
        <f t="shared" si="59"/>
        <v>0.00928814000000003</v>
      </c>
      <c r="BX107" s="113">
        <f t="shared" si="60"/>
        <v>0</v>
      </c>
      <c r="BY107" s="108">
        <f>$B$11*IF($G$5="撼天",1.05,1)+IF(AND(VLOOKUP($E107,武器奇术!$A:$R,15,FALSE)="武器",VLOOKUP($E107,武器奇术!$A:$R,17,FALSE)="牵丝"),$E$3,0)*(1+$E$15)</f>
        <v>0</v>
      </c>
      <c r="BZ107" s="99">
        <f>(BY107+CA107)*IF(VLOOKUP($E107,武器奇术!$A:$Z,21,FALSE)=1,$G$15,0.5)</f>
        <v>0</v>
      </c>
      <c r="CA107" s="109">
        <f>MAX($C$11*IF($G$5="撼天",1.05,1)+IF(AND(VLOOKUP($E107,武器奇术!$A:$R,15,FALSE)="武器",VLOOKUP($E107,武器奇术!$A:$R,17,FALSE)="牵丝"),$E$3*(1+$E$15),0),BY107)</f>
        <v>0</v>
      </c>
      <c r="CB107" s="110">
        <f>IF(($D$11+IF(VLOOKUP($E107,武器奇术!$A:$R,17,FALSE)="牵丝",$D$15,0)+IF(VLOOKUP($E107,武器奇术!$A:$R,18,FALSE)=1,4,0)+IF(VLOOKUP($E107,武器奇术!$A:$S,19,FALSE)=1,20,0)-VLOOKUP($F$7,目标属性!$A:$R,6,FALSE))&gt;0,($D$11+IF(VLOOKUP($E107,武器奇术!$A:$R,17,FALSE)="牵丝",$D$15,0)+IF(VLOOKUP($E107,武器奇术!$A:$R,18,FALSE)=1,4,0)+IF(VLOOKUP($E107,武器奇术!$A:$S,19,FALSE)=1,20,0)-VLOOKUP($F$7,目标属性!$A:$R,6,FALSE))/200,($D$11+IF(VLOOKUP($E107,武器奇术!$A:$R,17,FALSE)="牵丝",$D$15,0)+IF(VLOOKUP($E107,武器奇术!$A:$R,18,FALSE)=1,4,0)+IF(VLOOKUP($E107,武器奇术!$A:$S,19,FALSE)=1,20,0)-VLOOKUP($F$7,目标属性!$A:$R,6,FALSE))/100)</f>
        <v>-0.24</v>
      </c>
      <c r="CC107" s="111">
        <f t="shared" si="61"/>
        <v>0</v>
      </c>
      <c r="CD107" s="109">
        <v>1</v>
      </c>
      <c r="CE107" s="112">
        <f>BY107*IF(VLOOKUP($E107,武器奇术!$A:$R,17,FALSE)="牵丝",VLOOKUP($E107,武器奇术!$A:$R,4,FALSE),VLOOKUP($E107,武器奇术!$A:$R,2,FALSE))*(1+CB107)*(1+CC107)*CD107</f>
        <v>0</v>
      </c>
      <c r="CF107" s="110">
        <f>(1-IF(VLOOKUP($E107,武器奇术!$A:$T,20,FALSE)=1,1,$N107))*(1-$M107)</f>
        <v>0.01072666</v>
      </c>
      <c r="CG107" s="112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110">
        <f t="shared" si="62"/>
        <v>0.8813852</v>
      </c>
      <c r="CI107" s="112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110">
        <f t="shared" si="63"/>
        <v>0.0986</v>
      </c>
      <c r="CK107" s="112">
        <f>BZ107*IF(VLOOKUP($E107,武器奇术!$A:$R,17,FALSE)="牵丝",VLOOKUP($E107,武器奇术!$A:$R,4,FALSE),VLOOKUP($E107,武器奇术!$A:$R,2,FALSE))*(1+CB107)*(1+CC107)*CD107</f>
        <v>0</v>
      </c>
      <c r="CL107" s="110">
        <f t="shared" si="64"/>
        <v>0.00928814000000003</v>
      </c>
      <c r="CM107" s="113">
        <f t="shared" si="65"/>
        <v>0</v>
      </c>
      <c r="CN107" s="108">
        <f>$B$13*IF($G$5="撼天",1.05,1)+IF(AND(VLOOKUP($E107,武器奇术!$A:$R,15,FALSE)="武器",VLOOKUP($E107,武器奇术!$A:$R,17,FALSE)="破竹"),$E$3,0)*(1+$E$15)</f>
        <v>452.55</v>
      </c>
      <c r="CO107" s="99">
        <f>IF(VLOOKUP($E107,武器奇术!$A:$Z,20,FALSE)=1,(CP107-(CN107+CP107)*0.5)*($G$15-0.5)*2+(CN107+CP107)*0.5,(CN107+CP107)*0.5)</f>
        <v>679.35</v>
      </c>
      <c r="CP107" s="109">
        <f>MAX($C$13*IF($G$5="撼天",1.05,1)+IF(AND(VLOOKUP($E107,武器奇术!$A:$R,15,FALSE)="武器",VLOOKUP($E107,武器奇术!$A:$R,17,FALSE)="破竹"),$E$3*(1+$E$15),0),CN107)</f>
        <v>906.15</v>
      </c>
      <c r="CQ107" s="110">
        <f>IF(($D$13+IF(VLOOKUP($E107,武器奇术!$A:$R,17,FALSE)="破竹",$D$15,0)+IF(VLOOKUP($E107,武器奇术!$A:$R,18,FALSE)=1,4,0)+IF(VLOOKUP($E107,武器奇术!$A:$S,19,FALSE)=1,20,0)-VLOOKUP($F$7,目标属性!$A:$R,6,FALSE))&gt;0,($D$13+IF(VLOOKUP($E107,武器奇术!$A:$R,17,FALSE)="破竹",$D$15,0)+IF(VLOOKUP($E107,武器奇术!$A:$R,18,FALSE)=1,4,0)+IF(VLOOKUP($E107,武器奇术!$A:$S,19,FALSE)=1,20,0)-VLOOKUP($F$7,目标属性!$A:$R,6,FALSE))/200,($D$13+IF(VLOOKUP($E107,武器奇术!$A:$R,17,FALSE)="破竹",$D$15,0)+IF(VLOOKUP($E107,武器奇术!$A:$R,18,FALSE)=1,4,0)+IF(VLOOKUP($E107,武器奇术!$A:$S,19,FALSE)=1,20,0)-VLOOKUP($F$7,目标属性!$A:$R,6,FALSE))/100)</f>
        <v>0.025</v>
      </c>
      <c r="CR107" s="111">
        <f>$E$13+IF(VLOOKUP($E107,武器奇术!$A:$U,21,FALSE)=1,0,0.09)</f>
        <v>0.235</v>
      </c>
      <c r="CS107" s="109">
        <v>1</v>
      </c>
      <c r="CT107" s="112">
        <f>CN107*IF(VLOOKUP($E107,武器奇术!$A:$R,17,FALSE)="破竹",VLOOKUP($E107,武器奇术!$A:$R,4,FALSE),VLOOKUP($E107,武器奇术!$A:$R,2,FALSE))*(1+CQ107)*(1+CR107)*CS107</f>
        <v>0</v>
      </c>
      <c r="CU107" s="110">
        <f>(1-IF(VLOOKUP($E107,武器奇术!$A:$T,20,FALSE)=1,1,$N107))*(1-$M107)</f>
        <v>0.01072666</v>
      </c>
      <c r="CV107" s="112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110">
        <f t="shared" si="66"/>
        <v>0.8813852</v>
      </c>
      <c r="CX107" s="112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110">
        <f t="shared" si="67"/>
        <v>0.0986</v>
      </c>
      <c r="CZ107" s="112">
        <f>CO107*IF(VLOOKUP($E107,武器奇术!$A:$R,17,FALSE)="破竹",VLOOKUP($E107,武器奇术!$A:$R,4,FALSE),VLOOKUP($E107,武器奇术!$A:$R,2,FALSE))*(1+CQ107)*(1+CR107)*CS107</f>
        <v>0</v>
      </c>
      <c r="DA107" s="110">
        <f t="shared" si="68"/>
        <v>0.00928814000000003</v>
      </c>
      <c r="DB107" s="113">
        <f t="shared" si="69"/>
        <v>0</v>
      </c>
      <c r="DC107" s="108">
        <f t="shared" si="36"/>
        <v>69.3</v>
      </c>
      <c r="DD107" s="99">
        <f>(DC107+DE107)*IF(VLOOKUP($E107,武器奇术!$A:$Z,21,FALSE)=1,$G$15,0.5)</f>
        <v>69.3</v>
      </c>
      <c r="DE107" s="109">
        <f t="shared" si="37"/>
        <v>69.3</v>
      </c>
      <c r="DF107" s="110">
        <f>IF(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100)</f>
        <v>0.025</v>
      </c>
      <c r="DG107" s="111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U,21,FALSE)=1,0,0.09)</f>
        <v>0.235</v>
      </c>
      <c r="DH107" s="109">
        <v>1</v>
      </c>
      <c r="DI107" s="112">
        <f>DC107*IF(VLOOKUP($E107,武器奇术!$A:$R,17,FALSE)="破竹",VLOOKUP($E107,武器奇术!$A:$R,4,FALSE),VLOOKUP($E107,武器奇术!$A:$R,2,FALSE))*(1+DF107)*(1+DG107)*DH107</f>
        <v>0</v>
      </c>
      <c r="DJ107" s="110">
        <f>(1-IF(VLOOKUP($E107,武器奇术!$A:$T,20,FALSE)=1,1,$N107))*(1-$M107)</f>
        <v>0.01072666</v>
      </c>
      <c r="DK107" s="112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110">
        <f t="shared" si="70"/>
        <v>0.8813852</v>
      </c>
      <c r="DM107" s="112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110">
        <f t="shared" si="71"/>
        <v>0.0986</v>
      </c>
      <c r="DO107" s="112">
        <f>DD107*IF(VLOOKUP($E107,武器奇术!$A:$R,17,FALSE)="破竹",VLOOKUP($E107,武器奇术!$A:$R,4,FALSE),VLOOKUP($E107,武器奇术!$A:$R,2,FALSE))*(1+DF107)*(1+DG107)*DH107</f>
        <v>0</v>
      </c>
      <c r="DP107" s="110">
        <f t="shared" si="72"/>
        <v>0.00928814000000003</v>
      </c>
      <c r="DQ107" s="113">
        <f t="shared" si="73"/>
        <v>0</v>
      </c>
    </row>
    <row r="108" spans="1:121">
      <c r="B108" t="s">
        <v>164</v>
      </c>
      <c r="C108" s="147">
        <v>0.85</v>
      </c>
      <c r="E108" s="98" t="s">
        <v>93</v>
      </c>
      <c r="F108" s="99">
        <v>1</v>
      </c>
      <c r="G108" s="115"/>
      <c r="H108" s="100">
        <f>IF(VLOOKUP($E108,武器奇术!$A:$R,18,FALSE)="天工",AE108,(AE108+AT108+BI108+BX108+CM108+DB108+DQ108))*(1+J108)*F108*K108*(1+G108)</f>
        <v>0</v>
      </c>
      <c r="I108" s="101">
        <f t="shared" si="42"/>
        <v>0</v>
      </c>
      <c r="J108" s="101">
        <f>$F$3+VLOOKUP($E108,武器奇术!$A:$R,12,FALSE)+VLOOKUP($E108,武器奇术!$A:$R,14,FALSE)*$G$3+$P108</f>
        <v>0.303</v>
      </c>
      <c r="K108" s="102">
        <f>VLOOKUP($E108,武器奇术!$A:$R,11,FALSE)</f>
        <v>1</v>
      </c>
      <c r="L108" s="117">
        <f>IF(VLOOKUP($E108,武器奇术!$A:$R,15,FALSE)="天工",0%,IF($C$17+VLOOKUP($E108,武器奇术!$A:$R,7,FALSE)&gt;80%,80%,$C$17+VLOOKUP($E108,武器奇术!$A:$R,7,FALSE))+IF($C$19&gt;20%,20%,$C$19))</f>
        <v>0.892</v>
      </c>
      <c r="M108" s="118">
        <f>IF(VLOOKUP($E108,武器奇术!$A:$R,15,FALSE)="天工",0%,IF($C$18+VLOOKUP($E108,武器奇术!$A:$R,9,FALSE)&gt;40%,40%,$C$18+VLOOKUP($E108,武器奇术!$A:$R,9,FALSE))+IF($C$20&gt;10%,10%,$C$20))</f>
        <v>0.0986</v>
      </c>
      <c r="N108" s="119">
        <f>IF(VLOOKUP($E108,武器奇术!$A:$R,15,FALSE)="天工",100%,MIN($C$16,1))</f>
        <v>0.9881</v>
      </c>
      <c r="O108" s="120" t="str">
        <f>VLOOKUP($E108,武器奇术!$A:$R,16,FALSE)</f>
        <v>N/A</v>
      </c>
      <c r="P108" s="121">
        <f t="shared" si="74"/>
        <v>0</v>
      </c>
      <c r="Q108" s="108">
        <f>$B$5*(1+VLOOKUP($E108,武器奇术!$A:$R,5,FALSE)+IF($G$5="飞隼",0.1,0)+IF($G$5="撼天",0.05,0))-$F$9+IF($I$5="√",160,0)</f>
        <v>1731.135</v>
      </c>
      <c r="R108" s="99">
        <f>IF(VLOOKUP($E108,武器奇术!$A:$Z,20,FALSE)=1,(S108-(Q108+S108)*0.5)*($G$15-0.5)*2+(Q108+S108)*0.5,(Q108+S108)*0.5)</f>
        <v>3256.775</v>
      </c>
      <c r="S108" s="109">
        <f>MAX($C$5,$B$5)*(1+VLOOKUP($E108,武器奇术!$A:$R,5,FALSE)+IF($G$5="飞隼",0.1,0)+IF($G$5="撼天",0.05,0))-$F$9+IF($I$5="√",320,0)</f>
        <v>4782.415</v>
      </c>
      <c r="T108" s="101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U108" s="111">
        <f>$E$5+IF(VLOOKUP($E108,武器奇术!$A:$U,21,FALSE)=1,0,0.09)</f>
        <v>0.115</v>
      </c>
      <c r="V108" s="109">
        <v>1</v>
      </c>
      <c r="W108" s="112">
        <f>Q108*VLOOKUP($E108,武器奇术!$A:$R,2,FALSE)*(1+T108)*(1+U108)*V108</f>
        <v>0</v>
      </c>
      <c r="X108" s="110">
        <f>(1-IF(VLOOKUP($E108,武器奇术!$A:$T,20,FALSE)=1,1,$N108))*(1-$M108)</f>
        <v>0.01072666</v>
      </c>
      <c r="Y108" s="112">
        <f>R108*VLOOKUP($E108,武器奇术!$A:$R,2,FALSE)*(1+T108)*(1+U108)*V108*(1+$E$16+VLOOKUP($E108,武器奇术!$A:$R,8,FALSE))</f>
        <v>0</v>
      </c>
      <c r="Z108" s="110">
        <f t="shared" si="39"/>
        <v>0.8813852</v>
      </c>
      <c r="AA108" s="112">
        <f>S108*VLOOKUP($E108,武器奇术!$A:$R,2,FALSE)*(1+T108)*(1+U108)*V108*(1+$E$17+VLOOKUP($E108,武器奇术!$A:$R,10,FALSE))</f>
        <v>0</v>
      </c>
      <c r="AB108" s="110">
        <f t="shared" si="40"/>
        <v>0.0986</v>
      </c>
      <c r="AC108" s="112">
        <f>R108*VLOOKUP($E108,武器奇术!$A:$R,2,FALSE)*(1+T108)*(1+U108)*V108</f>
        <v>0</v>
      </c>
      <c r="AD108" s="110">
        <f t="shared" si="43"/>
        <v>0.00928814000000003</v>
      </c>
      <c r="AE108" s="113">
        <f t="shared" si="44"/>
        <v>0</v>
      </c>
      <c r="AF108" s="114">
        <f>VLOOKUP($E108,武器奇术!$A:$R,3,FALSE)*(1+IF(VLOOKUP($E108,武器奇术!$A:$R,15,FALSE)="武器",$E$15,0))</f>
        <v>0</v>
      </c>
      <c r="AG108" s="112">
        <f t="shared" si="45"/>
        <v>0</v>
      </c>
      <c r="AH108" s="112">
        <f>VLOOKUP($E108,武器奇术!$A:$R,3,FALSE)*(1+IF(VLOOKUP($E108,武器奇术!$A:$R,15,FALSE)="武器",$E$15,0))</f>
        <v>0</v>
      </c>
      <c r="AI108" s="101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AJ108" s="111">
        <f>$E$5+IF(VLOOKUP($E108,武器奇术!$A:$U,21,FALSE)=1,0,0.09)</f>
        <v>0.115</v>
      </c>
      <c r="AK108" s="109">
        <v>1</v>
      </c>
      <c r="AL108" s="112">
        <f t="shared" si="41"/>
        <v>0</v>
      </c>
      <c r="AM108" s="110">
        <f>(1-IF(VLOOKUP($E108,武器奇术!$A:$T,20,FALSE)=1,1,$N108))*(1-$M108)</f>
        <v>0.01072666</v>
      </c>
      <c r="AN108" s="112">
        <f>AG108*(1+AI108)*(1+AJ108)*AK108*(1+$E$16+VLOOKUP($E108,武器奇术!$A:$R,8,FALSE))</f>
        <v>0</v>
      </c>
      <c r="AO108" s="110">
        <f t="shared" si="46"/>
        <v>0.8813852</v>
      </c>
      <c r="AP108" s="112">
        <f>AH108*(1+AI108)*(1+AJ108)*AK108*(1+$E$17+VLOOKUP($E108,武器奇术!$A:$R,10,FALSE))</f>
        <v>0</v>
      </c>
      <c r="AQ108" s="110">
        <f t="shared" si="47"/>
        <v>0.0986</v>
      </c>
      <c r="AR108" s="112">
        <f t="shared" si="48"/>
        <v>0</v>
      </c>
      <c r="AS108" s="110">
        <f t="shared" si="49"/>
        <v>0.00928814000000003</v>
      </c>
      <c r="AT108" s="113">
        <f t="shared" si="50"/>
        <v>0</v>
      </c>
      <c r="AU108" s="108">
        <f>$B$7*IF($G$5="撼天",1.05,1)+IF(AND(VLOOKUP($E108,武器奇术!$A:$R,15,FALSE)="武器",VLOOKUP($E108,武器奇术!$A:$R,17,FALSE)="鸣金"),$E$3,0)*(1+$E$15)</f>
        <v>0</v>
      </c>
      <c r="AV108" s="99">
        <f>(AU108+AW108)*IF(VLOOKUP($E108,武器奇术!$A:$Z,21,FALSE)=1,$G$15,0.5)</f>
        <v>0</v>
      </c>
      <c r="AW108" s="109">
        <f>MAX($C$7*IF($G$5="撼天",1.05,1)+IF(AND(VLOOKUP($E108,武器奇术!$A:$R,15,FALSE)="武器",VLOOKUP($E108,武器奇术!$A:$R,17,FALSE)="鸣金"),$E$3*(1+$E$15),0),AU108)</f>
        <v>0</v>
      </c>
      <c r="AX108" s="110">
        <f>IF(($D$7+IF(VLOOKUP($E108,武器奇术!$A:$R,17,FALSE)="鸣金",$D$15,0)+IF(VLOOKUP($E108,武器奇术!$A:$R,18,FALSE)=1,4,0)+IF(VLOOKUP($E108,武器奇术!$A:$S,19,FALSE)=1,20,0)-VLOOKUP($F$7,目标属性!$A:$R,6,FALSE))&gt;0,($D$7+IF(VLOOKUP($E108,武器奇术!$A:$R,17,FALSE)="鸣金",$D$15,0)+IF(VLOOKUP($E108,武器奇术!$A:$R,18,FALSE)=1,4,0)+IF(VLOOKUP($E108,武器奇术!$A:$S,19,FALSE)=1,20,0)-VLOOKUP($F$7,目标属性!$A:$R,6,FALSE))/200,($D$7+IF(VLOOKUP($E108,武器奇术!$A:$R,17,FALSE)="鸣金",$D$15,0)+IF(VLOOKUP($E108,武器奇术!$A:$R,18,FALSE)=1,4,0)+IF(VLOOKUP($E108,武器奇术!$A:$S,19,FALSE)=1,20,0)-VLOOKUP($F$7,目标属性!$A:$R,6,FALSE))/100)</f>
        <v>-0.24</v>
      </c>
      <c r="AY108" s="111">
        <f t="shared" si="51"/>
        <v>0</v>
      </c>
      <c r="AZ108" s="109">
        <v>1</v>
      </c>
      <c r="BA108" s="112">
        <f>AU108*IF(VLOOKUP($E108,武器奇术!$A:$R,17,FALSE)="鸣金",VLOOKUP($E108,武器奇术!$A:$R,4,FALSE),VLOOKUP($E108,武器奇术!$A:$R,2,FALSE))*(1+AX108)*(1+AY108)*AZ108</f>
        <v>0</v>
      </c>
      <c r="BB108" s="110">
        <f>(1-IF(VLOOKUP($E108,武器奇术!$A:$T,20,FALSE)=1,1,$N108))*(1-$M108)</f>
        <v>0.01072666</v>
      </c>
      <c r="BC108" s="112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110">
        <f t="shared" si="52"/>
        <v>0.8813852</v>
      </c>
      <c r="BE108" s="112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110">
        <f t="shared" si="53"/>
        <v>0.0986</v>
      </c>
      <c r="BG108" s="112">
        <f>AV108*IF(VLOOKUP($E108,武器奇术!$A:$R,17,FALSE)="鸣金",VLOOKUP($E108,武器奇术!$A:$R,4,FALSE),VLOOKUP($E108,武器奇术!$A:$R,2,FALSE))*(1+AX108)*(1+AY108)*AZ108</f>
        <v>0</v>
      </c>
      <c r="BH108" s="110">
        <f t="shared" si="54"/>
        <v>0.00928814000000003</v>
      </c>
      <c r="BI108" s="113">
        <f t="shared" si="55"/>
        <v>0</v>
      </c>
      <c r="BJ108" s="108">
        <f>$B$9*IF($G$5="撼天",1.05,1)+IF(AND(VLOOKUP($E108,武器奇术!$A:$R,15,FALSE)="武器",VLOOKUP($E108,武器奇术!$A:$R,17,FALSE)="裂石"),$E$3,0)*(1+$E$15)</f>
        <v>0</v>
      </c>
      <c r="BK108" s="99">
        <f>(BJ108+BL108)*IF(VLOOKUP($E108,武器奇术!$A:$Z,21,FALSE)=1,$G$15,0.5)</f>
        <v>0</v>
      </c>
      <c r="BL108" s="109">
        <f>MAX($C$9*IF($G$5="撼天",1.05,1)+IF(AND(VLOOKUP($E108,武器奇术!$A:$R,15,FALSE)="武器",VLOOKUP($E108,武器奇术!$A:$R,17,FALSE)="裂石"),$E$3*(1+$E$15),0),BJ108)</f>
        <v>0</v>
      </c>
      <c r="BM108" s="110">
        <f>IF(($D$9+IF(VLOOKUP($E108,武器奇术!$A:$R,17,FALSE)="裂石",$D$15,0)+IF(VLOOKUP($E108,武器奇术!$A:$R,18,FALSE)=1,4,0)+IF(VLOOKUP($E108,武器奇术!$A:$S,19,FALSE)=1,20,0)-VLOOKUP($F$7,目标属性!$A:$R,6,FALSE))&gt;0,($D$9+IF(VLOOKUP($E108,武器奇术!$A:$R,17,FALSE)="裂石",$D$15,0)+IF(VLOOKUP($E108,武器奇术!$A:$R,18,FALSE)=1,4,0)+IF(VLOOKUP($E108,武器奇术!$A:$S,19,FALSE)=1,20,0)-VLOOKUP($F$7,目标属性!$A:$R,6,FALSE))/200,($D$9+IF(VLOOKUP($E108,武器奇术!$A:$R,17,FALSE)="裂石",$D$15,0)+IF(VLOOKUP($E108,武器奇术!$A:$R,18,FALSE)=1,4,0)+IF(VLOOKUP($E108,武器奇术!$A:$S,19,FALSE)=1,20,0)-VLOOKUP($F$7,目标属性!$A:$R,6,FALSE))/100)</f>
        <v>-0.24</v>
      </c>
      <c r="BN108" s="111">
        <f t="shared" si="56"/>
        <v>0</v>
      </c>
      <c r="BO108" s="109">
        <v>1</v>
      </c>
      <c r="BP108" s="112">
        <f>BJ108*IF(VLOOKUP($E108,武器奇术!$A:$R,17,FALSE)="裂石",VLOOKUP($E108,武器奇术!$A:$R,4,FALSE),VLOOKUP($E108,武器奇术!$A:$R,2,FALSE))*(1+BM108)*(1+BN108)*BO108</f>
        <v>0</v>
      </c>
      <c r="BQ108" s="110">
        <f>(1-IF(VLOOKUP($E108,武器奇术!$A:$T,20,FALSE)=1,1,$N108))*(1-$M108)</f>
        <v>0.01072666</v>
      </c>
      <c r="BR108" s="112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110">
        <f t="shared" si="57"/>
        <v>0.8813852</v>
      </c>
      <c r="BT108" s="112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110">
        <f t="shared" si="58"/>
        <v>0.0986</v>
      </c>
      <c r="BV108" s="112">
        <f>BK108*IF(VLOOKUP($E108,武器奇术!$A:$R,17,FALSE)="裂石",VLOOKUP($E108,武器奇术!$A:$R,4,FALSE),VLOOKUP($E108,武器奇术!$A:$R,2,FALSE))*(1+BM108)*(1+BN108)*BO108</f>
        <v>0</v>
      </c>
      <c r="BW108" s="110">
        <f t="shared" si="59"/>
        <v>0.00928814000000003</v>
      </c>
      <c r="BX108" s="113">
        <f t="shared" si="60"/>
        <v>0</v>
      </c>
      <c r="BY108" s="108">
        <f>$B$11*IF($G$5="撼天",1.05,1)+IF(AND(VLOOKUP($E108,武器奇术!$A:$R,15,FALSE)="武器",VLOOKUP($E108,武器奇术!$A:$R,17,FALSE)="牵丝"),$E$3,0)*(1+$E$15)</f>
        <v>0</v>
      </c>
      <c r="BZ108" s="99">
        <f>(BY108+CA108)*IF(VLOOKUP($E108,武器奇术!$A:$Z,21,FALSE)=1,$G$15,0.5)</f>
        <v>0</v>
      </c>
      <c r="CA108" s="109">
        <f>MAX($C$11*IF($G$5="撼天",1.05,1)+IF(AND(VLOOKUP($E108,武器奇术!$A:$R,15,FALSE)="武器",VLOOKUP($E108,武器奇术!$A:$R,17,FALSE)="牵丝"),$E$3*(1+$E$15),0),BY108)</f>
        <v>0</v>
      </c>
      <c r="CB108" s="110">
        <f>IF(($D$11+IF(VLOOKUP($E108,武器奇术!$A:$R,17,FALSE)="牵丝",$D$15,0)+IF(VLOOKUP($E108,武器奇术!$A:$R,18,FALSE)=1,4,0)+IF(VLOOKUP($E108,武器奇术!$A:$S,19,FALSE)=1,20,0)-VLOOKUP($F$7,目标属性!$A:$R,6,FALSE))&gt;0,($D$11+IF(VLOOKUP($E108,武器奇术!$A:$R,17,FALSE)="牵丝",$D$15,0)+IF(VLOOKUP($E108,武器奇术!$A:$R,18,FALSE)=1,4,0)+IF(VLOOKUP($E108,武器奇术!$A:$S,19,FALSE)=1,20,0)-VLOOKUP($F$7,目标属性!$A:$R,6,FALSE))/200,($D$11+IF(VLOOKUP($E108,武器奇术!$A:$R,17,FALSE)="牵丝",$D$15,0)+IF(VLOOKUP($E108,武器奇术!$A:$R,18,FALSE)=1,4,0)+IF(VLOOKUP($E108,武器奇术!$A:$S,19,FALSE)=1,20,0)-VLOOKUP($F$7,目标属性!$A:$R,6,FALSE))/100)</f>
        <v>-0.24</v>
      </c>
      <c r="CC108" s="111">
        <f t="shared" si="61"/>
        <v>0</v>
      </c>
      <c r="CD108" s="109">
        <v>1</v>
      </c>
      <c r="CE108" s="112">
        <f>BY108*IF(VLOOKUP($E108,武器奇术!$A:$R,17,FALSE)="牵丝",VLOOKUP($E108,武器奇术!$A:$R,4,FALSE),VLOOKUP($E108,武器奇术!$A:$R,2,FALSE))*(1+CB108)*(1+CC108)*CD108</f>
        <v>0</v>
      </c>
      <c r="CF108" s="110">
        <f>(1-IF(VLOOKUP($E108,武器奇术!$A:$T,20,FALSE)=1,1,$N108))*(1-$M108)</f>
        <v>0.01072666</v>
      </c>
      <c r="CG108" s="112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110">
        <f t="shared" si="62"/>
        <v>0.8813852</v>
      </c>
      <c r="CI108" s="112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110">
        <f t="shared" si="63"/>
        <v>0.0986</v>
      </c>
      <c r="CK108" s="112">
        <f>BZ108*IF(VLOOKUP($E108,武器奇术!$A:$R,17,FALSE)="牵丝",VLOOKUP($E108,武器奇术!$A:$R,4,FALSE),VLOOKUP($E108,武器奇术!$A:$R,2,FALSE))*(1+CB108)*(1+CC108)*CD108</f>
        <v>0</v>
      </c>
      <c r="CL108" s="110">
        <f t="shared" si="64"/>
        <v>0.00928814000000003</v>
      </c>
      <c r="CM108" s="113">
        <f t="shared" si="65"/>
        <v>0</v>
      </c>
      <c r="CN108" s="108">
        <f>$B$13*IF($G$5="撼天",1.05,1)+IF(AND(VLOOKUP($E108,武器奇术!$A:$R,15,FALSE)="武器",VLOOKUP($E108,武器奇术!$A:$R,17,FALSE)="破竹"),$E$3,0)*(1+$E$15)</f>
        <v>452.55</v>
      </c>
      <c r="CO108" s="99">
        <f>IF(VLOOKUP($E108,武器奇术!$A:$Z,20,FALSE)=1,(CP108-(CN108+CP108)*0.5)*($G$15-0.5)*2+(CN108+CP108)*0.5,(CN108+CP108)*0.5)</f>
        <v>679.35</v>
      </c>
      <c r="CP108" s="109">
        <f>MAX($C$13*IF($G$5="撼天",1.05,1)+IF(AND(VLOOKUP($E108,武器奇术!$A:$R,15,FALSE)="武器",VLOOKUP($E108,武器奇术!$A:$R,17,FALSE)="破竹"),$E$3*(1+$E$15),0),CN108)</f>
        <v>906.15</v>
      </c>
      <c r="CQ108" s="110">
        <f>IF(($D$13+IF(VLOOKUP($E108,武器奇术!$A:$R,17,FALSE)="破竹",$D$15,0)+IF(VLOOKUP($E108,武器奇术!$A:$R,18,FALSE)=1,4,0)+IF(VLOOKUP($E108,武器奇术!$A:$S,19,FALSE)=1,20,0)-VLOOKUP($F$7,目标属性!$A:$R,6,FALSE))&gt;0,($D$13+IF(VLOOKUP($E108,武器奇术!$A:$R,17,FALSE)="破竹",$D$15,0)+IF(VLOOKUP($E108,武器奇术!$A:$R,18,FALSE)=1,4,0)+IF(VLOOKUP($E108,武器奇术!$A:$S,19,FALSE)=1,20,0)-VLOOKUP($F$7,目标属性!$A:$R,6,FALSE))/200,($D$13+IF(VLOOKUP($E108,武器奇术!$A:$R,17,FALSE)="破竹",$D$15,0)+IF(VLOOKUP($E108,武器奇术!$A:$R,18,FALSE)=1,4,0)+IF(VLOOKUP($E108,武器奇术!$A:$S,19,FALSE)=1,20,0)-VLOOKUP($F$7,目标属性!$A:$R,6,FALSE))/100)</f>
        <v>0.025</v>
      </c>
      <c r="CR108" s="111">
        <f>$E$13+IF(VLOOKUP($E108,武器奇术!$A:$U,21,FALSE)=1,0,0.09)</f>
        <v>0.235</v>
      </c>
      <c r="CS108" s="109">
        <v>1</v>
      </c>
      <c r="CT108" s="112">
        <f>CN108*IF(VLOOKUP($E108,武器奇术!$A:$R,17,FALSE)="破竹",VLOOKUP($E108,武器奇术!$A:$R,4,FALSE),VLOOKUP($E108,武器奇术!$A:$R,2,FALSE))*(1+CQ108)*(1+CR108)*CS108</f>
        <v>0</v>
      </c>
      <c r="CU108" s="110">
        <f>(1-IF(VLOOKUP($E108,武器奇术!$A:$T,20,FALSE)=1,1,$N108))*(1-$M108)</f>
        <v>0.01072666</v>
      </c>
      <c r="CV108" s="112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110">
        <f t="shared" si="66"/>
        <v>0.8813852</v>
      </c>
      <c r="CX108" s="112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110">
        <f t="shared" si="67"/>
        <v>0.0986</v>
      </c>
      <c r="CZ108" s="112">
        <f>CO108*IF(VLOOKUP($E108,武器奇术!$A:$R,17,FALSE)="破竹",VLOOKUP($E108,武器奇术!$A:$R,4,FALSE),VLOOKUP($E108,武器奇术!$A:$R,2,FALSE))*(1+CQ108)*(1+CR108)*CS108</f>
        <v>0</v>
      </c>
      <c r="DA108" s="110">
        <f t="shared" si="68"/>
        <v>0.00928814000000003</v>
      </c>
      <c r="DB108" s="113">
        <f t="shared" si="69"/>
        <v>0</v>
      </c>
      <c r="DC108" s="108">
        <f t="shared" si="36"/>
        <v>69.3</v>
      </c>
      <c r="DD108" s="99">
        <f>(DC108+DE108)*IF(VLOOKUP($E108,武器奇术!$A:$Z,21,FALSE)=1,$G$15,0.5)</f>
        <v>69.3</v>
      </c>
      <c r="DE108" s="109">
        <f t="shared" si="37"/>
        <v>69.3</v>
      </c>
      <c r="DF108" s="110">
        <f>IF(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100)</f>
        <v>0.025</v>
      </c>
      <c r="DG108" s="111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U,21,FALSE)=1,0,0.09)</f>
        <v>0.235</v>
      </c>
      <c r="DH108" s="109">
        <v>1</v>
      </c>
      <c r="DI108" s="112">
        <f>DC108*IF(VLOOKUP($E108,武器奇术!$A:$R,17,FALSE)="破竹",VLOOKUP($E108,武器奇术!$A:$R,4,FALSE),VLOOKUP($E108,武器奇术!$A:$R,2,FALSE))*(1+DF108)*(1+DG108)*DH108</f>
        <v>0</v>
      </c>
      <c r="DJ108" s="110">
        <f>(1-IF(VLOOKUP($E108,武器奇术!$A:$T,20,FALSE)=1,1,$N108))*(1-$M108)</f>
        <v>0.01072666</v>
      </c>
      <c r="DK108" s="112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110">
        <f t="shared" si="70"/>
        <v>0.8813852</v>
      </c>
      <c r="DM108" s="112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110">
        <f t="shared" si="71"/>
        <v>0.0986</v>
      </c>
      <c r="DO108" s="112">
        <f>DD108*IF(VLOOKUP($E108,武器奇术!$A:$R,17,FALSE)="破竹",VLOOKUP($E108,武器奇术!$A:$R,4,FALSE),VLOOKUP($E108,武器奇术!$A:$R,2,FALSE))*(1+DF108)*(1+DG108)*DH108</f>
        <v>0</v>
      </c>
      <c r="DP108" s="110">
        <f t="shared" si="72"/>
        <v>0.00928814000000003</v>
      </c>
      <c r="DQ108" s="113">
        <f t="shared" si="73"/>
        <v>0</v>
      </c>
    </row>
    <row r="109" spans="1:121">
      <c r="B109" t="s">
        <v>166</v>
      </c>
      <c r="C109" s="147">
        <v>2</v>
      </c>
      <c r="E109" s="98" t="s">
        <v>93</v>
      </c>
      <c r="F109" s="99">
        <v>0</v>
      </c>
      <c r="G109" s="115"/>
      <c r="H109" s="100">
        <f>IF(VLOOKUP($E109,武器奇术!$A:$R,18,FALSE)="天工",AE109,(AE109+AT109+BI109+BX109+CM109+DB109+DQ109))*(1+J109)*F109*K109*(1+G109)</f>
        <v>0</v>
      </c>
      <c r="I109" s="101">
        <f t="shared" si="42"/>
        <v>0</v>
      </c>
      <c r="J109" s="101">
        <f>$F$3+VLOOKUP($E109,武器奇术!$A:$R,12,FALSE)+VLOOKUP($E109,武器奇术!$A:$R,14,FALSE)*$G$3+$P109</f>
        <v>0.303</v>
      </c>
      <c r="K109" s="102">
        <f>VLOOKUP($E109,武器奇术!$A:$R,11,FALSE)</f>
        <v>1</v>
      </c>
      <c r="L109" s="117">
        <f>IF(VLOOKUP($E109,武器奇术!$A:$R,15,FALSE)="天工",0%,IF($C$17+VLOOKUP($E109,武器奇术!$A:$R,7,FALSE)&gt;80%,80%,$C$17+VLOOKUP($E109,武器奇术!$A:$R,7,FALSE))+IF($C$19&gt;20%,20%,$C$19))</f>
        <v>0.892</v>
      </c>
      <c r="M109" s="118">
        <f>IF(VLOOKUP($E109,武器奇术!$A:$R,15,FALSE)="天工",0%,IF($C$18+VLOOKUP($E109,武器奇术!$A:$R,9,FALSE)&gt;40%,40%,$C$18+VLOOKUP($E109,武器奇术!$A:$R,9,FALSE))+IF($C$20&gt;10%,10%,$C$20))</f>
        <v>0.0986</v>
      </c>
      <c r="N109" s="119">
        <f>IF(VLOOKUP($E109,武器奇术!$A:$R,15,FALSE)="天工",100%,MIN($C$16,1))</f>
        <v>0.9881</v>
      </c>
      <c r="O109" s="120" t="str">
        <f>VLOOKUP($E109,武器奇术!$A:$R,16,FALSE)</f>
        <v>N/A</v>
      </c>
      <c r="P109" s="121">
        <f t="shared" si="74"/>
        <v>0</v>
      </c>
      <c r="Q109" s="108">
        <f>$B$5*(1+VLOOKUP($E109,武器奇术!$A:$R,5,FALSE)+IF($G$5="飞隼",0.1,0)+IF($G$5="撼天",0.05,0))-$F$9+IF($I$5="√",160,0)</f>
        <v>1731.135</v>
      </c>
      <c r="R109" s="99">
        <f>IF(VLOOKUP($E109,武器奇术!$A:$Z,20,FALSE)=1,(S109-(Q109+S109)*0.5)*($G$15-0.5)*2+(Q109+S109)*0.5,(Q109+S109)*0.5)</f>
        <v>3256.775</v>
      </c>
      <c r="S109" s="109">
        <f>MAX($C$5,$B$5)*(1+VLOOKUP($E109,武器奇术!$A:$R,5,FALSE)+IF($G$5="飞隼",0.1,0)+IF($G$5="撼天",0.05,0))-$F$9+IF($I$5="√",320,0)</f>
        <v>4782.415</v>
      </c>
      <c r="T109" s="101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U109" s="111">
        <f>$E$5+IF(VLOOKUP($E109,武器奇术!$A:$U,21,FALSE)=1,0,0.09)</f>
        <v>0.115</v>
      </c>
      <c r="V109" s="109">
        <v>1</v>
      </c>
      <c r="W109" s="112">
        <f>Q109*VLOOKUP($E109,武器奇术!$A:$R,2,FALSE)*(1+T109)*(1+U109)*V109</f>
        <v>0</v>
      </c>
      <c r="X109" s="110">
        <f>(1-IF(VLOOKUP($E109,武器奇术!$A:$T,20,FALSE)=1,1,$N109))*(1-$M109)</f>
        <v>0.01072666</v>
      </c>
      <c r="Y109" s="112">
        <f>R109*VLOOKUP($E109,武器奇术!$A:$R,2,FALSE)*(1+T109)*(1+U109)*V109*(1+$E$16+VLOOKUP($E109,武器奇术!$A:$R,8,FALSE))</f>
        <v>0</v>
      </c>
      <c r="Z109" s="110">
        <f t="shared" si="39"/>
        <v>0.8813852</v>
      </c>
      <c r="AA109" s="112">
        <f>S109*VLOOKUP($E109,武器奇术!$A:$R,2,FALSE)*(1+T109)*(1+U109)*V109*(1+$E$17+VLOOKUP($E109,武器奇术!$A:$R,10,FALSE))</f>
        <v>0</v>
      </c>
      <c r="AB109" s="110">
        <f t="shared" si="40"/>
        <v>0.0986</v>
      </c>
      <c r="AC109" s="112">
        <f>R109*VLOOKUP($E109,武器奇术!$A:$R,2,FALSE)*(1+T109)*(1+U109)*V109</f>
        <v>0</v>
      </c>
      <c r="AD109" s="110">
        <f t="shared" si="43"/>
        <v>0.00928814000000003</v>
      </c>
      <c r="AE109" s="113">
        <f t="shared" si="44"/>
        <v>0</v>
      </c>
      <c r="AF109" s="114">
        <f>VLOOKUP($E109,武器奇术!$A:$R,3,FALSE)*(1+IF(VLOOKUP($E109,武器奇术!$A:$R,15,FALSE)="武器",$E$15,0))</f>
        <v>0</v>
      </c>
      <c r="AG109" s="112">
        <f t="shared" si="45"/>
        <v>0</v>
      </c>
      <c r="AH109" s="112">
        <f>VLOOKUP($E109,武器奇术!$A:$R,3,FALSE)*(1+IF(VLOOKUP($E109,武器奇术!$A:$R,15,FALSE)="武器",$E$15,0))</f>
        <v>0</v>
      </c>
      <c r="AI109" s="101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AJ109" s="111">
        <f>$E$5+IF(VLOOKUP($E109,武器奇术!$A:$U,21,FALSE)=1,0,0.09)</f>
        <v>0.115</v>
      </c>
      <c r="AK109" s="109">
        <v>1</v>
      </c>
      <c r="AL109" s="112">
        <f t="shared" si="41"/>
        <v>0</v>
      </c>
      <c r="AM109" s="110">
        <f>(1-IF(VLOOKUP($E109,武器奇术!$A:$T,20,FALSE)=1,1,$N109))*(1-$M109)</f>
        <v>0.01072666</v>
      </c>
      <c r="AN109" s="112">
        <f>AG109*(1+AI109)*(1+AJ109)*AK109*(1+$E$16+VLOOKUP($E109,武器奇术!$A:$R,8,FALSE))</f>
        <v>0</v>
      </c>
      <c r="AO109" s="110">
        <f t="shared" si="46"/>
        <v>0.8813852</v>
      </c>
      <c r="AP109" s="112">
        <f>AH109*(1+AI109)*(1+AJ109)*AK109*(1+$E$17+VLOOKUP($E109,武器奇术!$A:$R,10,FALSE))</f>
        <v>0</v>
      </c>
      <c r="AQ109" s="110">
        <f t="shared" si="47"/>
        <v>0.0986</v>
      </c>
      <c r="AR109" s="112">
        <f t="shared" si="48"/>
        <v>0</v>
      </c>
      <c r="AS109" s="110">
        <f t="shared" si="49"/>
        <v>0.00928814000000003</v>
      </c>
      <c r="AT109" s="113">
        <f t="shared" si="50"/>
        <v>0</v>
      </c>
      <c r="AU109" s="108">
        <f>$B$7*IF($G$5="撼天",1.05,1)+IF(AND(VLOOKUP($E109,武器奇术!$A:$R,15,FALSE)="武器",VLOOKUP($E109,武器奇术!$A:$R,17,FALSE)="鸣金"),$E$3,0)*(1+$E$15)</f>
        <v>0</v>
      </c>
      <c r="AV109" s="99">
        <f>(AU109+AW109)*IF(VLOOKUP($E109,武器奇术!$A:$Z,21,FALSE)=1,$G$15,0.5)</f>
        <v>0</v>
      </c>
      <c r="AW109" s="109">
        <f>MAX($C$7*IF($G$5="撼天",1.05,1)+IF(AND(VLOOKUP($E109,武器奇术!$A:$R,15,FALSE)="武器",VLOOKUP($E109,武器奇术!$A:$R,17,FALSE)="鸣金"),$E$3*(1+$E$15),0),AU109)</f>
        <v>0</v>
      </c>
      <c r="AX109" s="110">
        <f>IF(($D$7+IF(VLOOKUP($E109,武器奇术!$A:$R,17,FALSE)="鸣金",$D$15,0)+IF(VLOOKUP($E109,武器奇术!$A:$R,18,FALSE)=1,4,0)+IF(VLOOKUP($E109,武器奇术!$A:$S,19,FALSE)=1,20,0)-VLOOKUP($F$7,目标属性!$A:$R,6,FALSE))&gt;0,($D$7+IF(VLOOKUP($E109,武器奇术!$A:$R,17,FALSE)="鸣金",$D$15,0)+IF(VLOOKUP($E109,武器奇术!$A:$R,18,FALSE)=1,4,0)+IF(VLOOKUP($E109,武器奇术!$A:$S,19,FALSE)=1,20,0)-VLOOKUP($F$7,目标属性!$A:$R,6,FALSE))/200,($D$7+IF(VLOOKUP($E109,武器奇术!$A:$R,17,FALSE)="鸣金",$D$15,0)+IF(VLOOKUP($E109,武器奇术!$A:$R,18,FALSE)=1,4,0)+IF(VLOOKUP($E109,武器奇术!$A:$S,19,FALSE)=1,20,0)-VLOOKUP($F$7,目标属性!$A:$R,6,FALSE))/100)</f>
        <v>-0.24</v>
      </c>
      <c r="AY109" s="111">
        <f t="shared" si="51"/>
        <v>0</v>
      </c>
      <c r="AZ109" s="109">
        <v>1</v>
      </c>
      <c r="BA109" s="112">
        <f>AU109*IF(VLOOKUP($E109,武器奇术!$A:$R,17,FALSE)="鸣金",VLOOKUP($E109,武器奇术!$A:$R,4,FALSE),VLOOKUP($E109,武器奇术!$A:$R,2,FALSE))*(1+AX109)*(1+AY109)*AZ109</f>
        <v>0</v>
      </c>
      <c r="BB109" s="110">
        <f>(1-IF(VLOOKUP($E109,武器奇术!$A:$T,20,FALSE)=1,1,$N109))*(1-$M109)</f>
        <v>0.01072666</v>
      </c>
      <c r="BC109" s="112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110">
        <f t="shared" si="52"/>
        <v>0.8813852</v>
      </c>
      <c r="BE109" s="112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110">
        <f t="shared" si="53"/>
        <v>0.0986</v>
      </c>
      <c r="BG109" s="112">
        <f>AV109*IF(VLOOKUP($E109,武器奇术!$A:$R,17,FALSE)="鸣金",VLOOKUP($E109,武器奇术!$A:$R,4,FALSE),VLOOKUP($E109,武器奇术!$A:$R,2,FALSE))*(1+AX109)*(1+AY109)*AZ109</f>
        <v>0</v>
      </c>
      <c r="BH109" s="110">
        <f t="shared" si="54"/>
        <v>0.00928814000000003</v>
      </c>
      <c r="BI109" s="113">
        <f t="shared" si="55"/>
        <v>0</v>
      </c>
      <c r="BJ109" s="108">
        <f>$B$9*IF($G$5="撼天",1.05,1)+IF(AND(VLOOKUP($E109,武器奇术!$A:$R,15,FALSE)="武器",VLOOKUP($E109,武器奇术!$A:$R,17,FALSE)="裂石"),$E$3,0)*(1+$E$15)</f>
        <v>0</v>
      </c>
      <c r="BK109" s="99">
        <f>(BJ109+BL109)*IF(VLOOKUP($E109,武器奇术!$A:$Z,21,FALSE)=1,$G$15,0.5)</f>
        <v>0</v>
      </c>
      <c r="BL109" s="109">
        <f>MAX($C$9*IF($G$5="撼天",1.05,1)+IF(AND(VLOOKUP($E109,武器奇术!$A:$R,15,FALSE)="武器",VLOOKUP($E109,武器奇术!$A:$R,17,FALSE)="裂石"),$E$3*(1+$E$15),0),BJ109)</f>
        <v>0</v>
      </c>
      <c r="BM109" s="110">
        <f>IF(($D$9+IF(VLOOKUP($E109,武器奇术!$A:$R,17,FALSE)="裂石",$D$15,0)+IF(VLOOKUP($E109,武器奇术!$A:$R,18,FALSE)=1,4,0)+IF(VLOOKUP($E109,武器奇术!$A:$S,19,FALSE)=1,20,0)-VLOOKUP($F$7,目标属性!$A:$R,6,FALSE))&gt;0,($D$9+IF(VLOOKUP($E109,武器奇术!$A:$R,17,FALSE)="裂石",$D$15,0)+IF(VLOOKUP($E109,武器奇术!$A:$R,18,FALSE)=1,4,0)+IF(VLOOKUP($E109,武器奇术!$A:$S,19,FALSE)=1,20,0)-VLOOKUP($F$7,目标属性!$A:$R,6,FALSE))/200,($D$9+IF(VLOOKUP($E109,武器奇术!$A:$R,17,FALSE)="裂石",$D$15,0)+IF(VLOOKUP($E109,武器奇术!$A:$R,18,FALSE)=1,4,0)+IF(VLOOKUP($E109,武器奇术!$A:$S,19,FALSE)=1,20,0)-VLOOKUP($F$7,目标属性!$A:$R,6,FALSE))/100)</f>
        <v>-0.24</v>
      </c>
      <c r="BN109" s="111">
        <f t="shared" si="56"/>
        <v>0</v>
      </c>
      <c r="BO109" s="109">
        <v>1</v>
      </c>
      <c r="BP109" s="112">
        <f>BJ109*IF(VLOOKUP($E109,武器奇术!$A:$R,17,FALSE)="裂石",VLOOKUP($E109,武器奇术!$A:$R,4,FALSE),VLOOKUP($E109,武器奇术!$A:$R,2,FALSE))*(1+BM109)*(1+BN109)*BO109</f>
        <v>0</v>
      </c>
      <c r="BQ109" s="110">
        <f>(1-IF(VLOOKUP($E109,武器奇术!$A:$T,20,FALSE)=1,1,$N109))*(1-$M109)</f>
        <v>0.01072666</v>
      </c>
      <c r="BR109" s="112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110">
        <f t="shared" si="57"/>
        <v>0.8813852</v>
      </c>
      <c r="BT109" s="112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110">
        <f t="shared" si="58"/>
        <v>0.0986</v>
      </c>
      <c r="BV109" s="112">
        <f>BK109*IF(VLOOKUP($E109,武器奇术!$A:$R,17,FALSE)="裂石",VLOOKUP($E109,武器奇术!$A:$R,4,FALSE),VLOOKUP($E109,武器奇术!$A:$R,2,FALSE))*(1+BM109)*(1+BN109)*BO109</f>
        <v>0</v>
      </c>
      <c r="BW109" s="110">
        <f t="shared" si="59"/>
        <v>0.00928814000000003</v>
      </c>
      <c r="BX109" s="113">
        <f t="shared" si="60"/>
        <v>0</v>
      </c>
      <c r="BY109" s="108">
        <f>$B$11*IF($G$5="撼天",1.05,1)+IF(AND(VLOOKUP($E109,武器奇术!$A:$R,15,FALSE)="武器",VLOOKUP($E109,武器奇术!$A:$R,17,FALSE)="牵丝"),$E$3,0)*(1+$E$15)</f>
        <v>0</v>
      </c>
      <c r="BZ109" s="99">
        <f>(BY109+CA109)*IF(VLOOKUP($E109,武器奇术!$A:$Z,21,FALSE)=1,$G$15,0.5)</f>
        <v>0</v>
      </c>
      <c r="CA109" s="109">
        <f>MAX($C$11*IF($G$5="撼天",1.05,1)+IF(AND(VLOOKUP($E109,武器奇术!$A:$R,15,FALSE)="武器",VLOOKUP($E109,武器奇术!$A:$R,17,FALSE)="牵丝"),$E$3*(1+$E$15),0),BY109)</f>
        <v>0</v>
      </c>
      <c r="CB109" s="110">
        <f>IF(($D$11+IF(VLOOKUP($E109,武器奇术!$A:$R,17,FALSE)="牵丝",$D$15,0)+IF(VLOOKUP($E109,武器奇术!$A:$R,18,FALSE)=1,4,0)+IF(VLOOKUP($E109,武器奇术!$A:$S,19,FALSE)=1,20,0)-VLOOKUP($F$7,目标属性!$A:$R,6,FALSE))&gt;0,($D$11+IF(VLOOKUP($E109,武器奇术!$A:$R,17,FALSE)="牵丝",$D$15,0)+IF(VLOOKUP($E109,武器奇术!$A:$R,18,FALSE)=1,4,0)+IF(VLOOKUP($E109,武器奇术!$A:$S,19,FALSE)=1,20,0)-VLOOKUP($F$7,目标属性!$A:$R,6,FALSE))/200,($D$11+IF(VLOOKUP($E109,武器奇术!$A:$R,17,FALSE)="牵丝",$D$15,0)+IF(VLOOKUP($E109,武器奇术!$A:$R,18,FALSE)=1,4,0)+IF(VLOOKUP($E109,武器奇术!$A:$S,19,FALSE)=1,20,0)-VLOOKUP($F$7,目标属性!$A:$R,6,FALSE))/100)</f>
        <v>-0.24</v>
      </c>
      <c r="CC109" s="111">
        <f t="shared" si="61"/>
        <v>0</v>
      </c>
      <c r="CD109" s="109">
        <v>1</v>
      </c>
      <c r="CE109" s="112">
        <f>BY109*IF(VLOOKUP($E109,武器奇术!$A:$R,17,FALSE)="牵丝",VLOOKUP($E109,武器奇术!$A:$R,4,FALSE),VLOOKUP($E109,武器奇术!$A:$R,2,FALSE))*(1+CB109)*(1+CC109)*CD109</f>
        <v>0</v>
      </c>
      <c r="CF109" s="110">
        <f>(1-IF(VLOOKUP($E109,武器奇术!$A:$T,20,FALSE)=1,1,$N109))*(1-$M109)</f>
        <v>0.01072666</v>
      </c>
      <c r="CG109" s="112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110">
        <f t="shared" si="62"/>
        <v>0.8813852</v>
      </c>
      <c r="CI109" s="112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110">
        <f t="shared" si="63"/>
        <v>0.0986</v>
      </c>
      <c r="CK109" s="112">
        <f>BZ109*IF(VLOOKUP($E109,武器奇术!$A:$R,17,FALSE)="牵丝",VLOOKUP($E109,武器奇术!$A:$R,4,FALSE),VLOOKUP($E109,武器奇术!$A:$R,2,FALSE))*(1+CB109)*(1+CC109)*CD109</f>
        <v>0</v>
      </c>
      <c r="CL109" s="110">
        <f t="shared" si="64"/>
        <v>0.00928814000000003</v>
      </c>
      <c r="CM109" s="113">
        <f t="shared" si="65"/>
        <v>0</v>
      </c>
      <c r="CN109" s="108">
        <f>$B$13*IF($G$5="撼天",1.05,1)+IF(AND(VLOOKUP($E109,武器奇术!$A:$R,15,FALSE)="武器",VLOOKUP($E109,武器奇术!$A:$R,17,FALSE)="破竹"),$E$3,0)*(1+$E$15)</f>
        <v>452.55</v>
      </c>
      <c r="CO109" s="99">
        <f>IF(VLOOKUP($E109,武器奇术!$A:$Z,20,FALSE)=1,(CP109-(CN109+CP109)*0.5)*($G$15-0.5)*2+(CN109+CP109)*0.5,(CN109+CP109)*0.5)</f>
        <v>679.35</v>
      </c>
      <c r="CP109" s="109">
        <f>MAX($C$13*IF($G$5="撼天",1.05,1)+IF(AND(VLOOKUP($E109,武器奇术!$A:$R,15,FALSE)="武器",VLOOKUP($E109,武器奇术!$A:$R,17,FALSE)="破竹"),$E$3*(1+$E$15),0),CN109)</f>
        <v>906.15</v>
      </c>
      <c r="CQ109" s="110">
        <f>IF(($D$13+IF(VLOOKUP($E109,武器奇术!$A:$R,17,FALSE)="破竹",$D$15,0)+IF(VLOOKUP($E109,武器奇术!$A:$R,18,FALSE)=1,4,0)+IF(VLOOKUP($E109,武器奇术!$A:$S,19,FALSE)=1,20,0)-VLOOKUP($F$7,目标属性!$A:$R,6,FALSE))&gt;0,($D$13+IF(VLOOKUP($E109,武器奇术!$A:$R,17,FALSE)="破竹",$D$15,0)+IF(VLOOKUP($E109,武器奇术!$A:$R,18,FALSE)=1,4,0)+IF(VLOOKUP($E109,武器奇术!$A:$S,19,FALSE)=1,20,0)-VLOOKUP($F$7,目标属性!$A:$R,6,FALSE))/200,($D$13+IF(VLOOKUP($E109,武器奇术!$A:$R,17,FALSE)="破竹",$D$15,0)+IF(VLOOKUP($E109,武器奇术!$A:$R,18,FALSE)=1,4,0)+IF(VLOOKUP($E109,武器奇术!$A:$S,19,FALSE)=1,20,0)-VLOOKUP($F$7,目标属性!$A:$R,6,FALSE))/100)</f>
        <v>0.025</v>
      </c>
      <c r="CR109" s="111">
        <f>$E$13+IF(VLOOKUP($E109,武器奇术!$A:$U,21,FALSE)=1,0,0.09)</f>
        <v>0.235</v>
      </c>
      <c r="CS109" s="109">
        <v>1</v>
      </c>
      <c r="CT109" s="112">
        <f>CN109*IF(VLOOKUP($E109,武器奇术!$A:$R,17,FALSE)="破竹",VLOOKUP($E109,武器奇术!$A:$R,4,FALSE),VLOOKUP($E109,武器奇术!$A:$R,2,FALSE))*(1+CQ109)*(1+CR109)*CS109</f>
        <v>0</v>
      </c>
      <c r="CU109" s="110">
        <f>(1-IF(VLOOKUP($E109,武器奇术!$A:$T,20,FALSE)=1,1,$N109))*(1-$M109)</f>
        <v>0.01072666</v>
      </c>
      <c r="CV109" s="112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110">
        <f t="shared" si="66"/>
        <v>0.8813852</v>
      </c>
      <c r="CX109" s="112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110">
        <f t="shared" si="67"/>
        <v>0.0986</v>
      </c>
      <c r="CZ109" s="112">
        <f>CO109*IF(VLOOKUP($E109,武器奇术!$A:$R,17,FALSE)="破竹",VLOOKUP($E109,武器奇术!$A:$R,4,FALSE),VLOOKUP($E109,武器奇术!$A:$R,2,FALSE))*(1+CQ109)*(1+CR109)*CS109</f>
        <v>0</v>
      </c>
      <c r="DA109" s="110">
        <f t="shared" si="68"/>
        <v>0.00928814000000003</v>
      </c>
      <c r="DB109" s="113">
        <f t="shared" si="69"/>
        <v>0</v>
      </c>
      <c r="DC109" s="108">
        <f t="shared" si="36"/>
        <v>69.3</v>
      </c>
      <c r="DD109" s="99">
        <f>(DC109+DE109)*IF(VLOOKUP($E109,武器奇术!$A:$Z,21,FALSE)=1,$G$15,0.5)</f>
        <v>69.3</v>
      </c>
      <c r="DE109" s="109">
        <f t="shared" si="37"/>
        <v>69.3</v>
      </c>
      <c r="DF109" s="110">
        <f>IF(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100)</f>
        <v>0.025</v>
      </c>
      <c r="DG109" s="111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U,21,FALSE)=1,0,0.09)</f>
        <v>0.235</v>
      </c>
      <c r="DH109" s="109">
        <v>1</v>
      </c>
      <c r="DI109" s="112">
        <f>DC109*IF(VLOOKUP($E109,武器奇术!$A:$R,17,FALSE)="破竹",VLOOKUP($E109,武器奇术!$A:$R,4,FALSE),VLOOKUP($E109,武器奇术!$A:$R,2,FALSE))*(1+DF109)*(1+DG109)*DH109</f>
        <v>0</v>
      </c>
      <c r="DJ109" s="110">
        <f>(1-IF(VLOOKUP($E109,武器奇术!$A:$T,20,FALSE)=1,1,$N109))*(1-$M109)</f>
        <v>0.01072666</v>
      </c>
      <c r="DK109" s="112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110">
        <f t="shared" si="70"/>
        <v>0.8813852</v>
      </c>
      <c r="DM109" s="112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110">
        <f t="shared" si="71"/>
        <v>0.0986</v>
      </c>
      <c r="DO109" s="112">
        <f>DD109*IF(VLOOKUP($E109,武器奇术!$A:$R,17,FALSE)="破竹",VLOOKUP($E109,武器奇术!$A:$R,4,FALSE),VLOOKUP($E109,武器奇术!$A:$R,2,FALSE))*(1+DF109)*(1+DG109)*DH109</f>
        <v>0</v>
      </c>
      <c r="DP109" s="110">
        <f t="shared" si="72"/>
        <v>0.00928814000000003</v>
      </c>
      <c r="DQ109" s="113">
        <f t="shared" si="73"/>
        <v>0</v>
      </c>
    </row>
    <row r="110" spans="1:121">
      <c r="B110" t="s">
        <v>163</v>
      </c>
      <c r="C110">
        <v>1.13</v>
      </c>
      <c r="E110" s="98" t="s">
        <v>177</v>
      </c>
      <c r="F110" s="99">
        <f>IF($J$3="√",2,0)</f>
        <v>2</v>
      </c>
      <c r="G110" s="115"/>
      <c r="H110" s="100">
        <f>IF(VLOOKUP($E110,武器奇术!$A:$R,18,FALSE)="天工",AE110,(AE110+AT110+BI110+BX110+CM110+DB110+DQ110))*(1+J110)*F110*K110*(1+G110)</f>
        <v>24404.0214743231</v>
      </c>
      <c r="I110" s="101">
        <f t="shared" si="42"/>
        <v>0.00301299160058035</v>
      </c>
      <c r="J110" s="116">
        <f>$F$3+VLOOKUP($E110,武器奇术!$A:$R,12,FALSE)+VLOOKUP($E110,武器奇术!$A:$R,14,FALSE)*$G$3+$P110+IF($F$21="√",5%,0)</f>
        <v>0.353</v>
      </c>
      <c r="K110" s="102">
        <f>VLOOKUP($E110,武器奇术!$A:$R,11,FALSE)</f>
        <v>1</v>
      </c>
      <c r="L110" s="117">
        <f>IF(VLOOKUP($E110,武器奇术!$A:$R,15,FALSE)="天工",0%,IF($C$17+VLOOKUP($E110,武器奇术!$A:$R,7,FALSE)&gt;80%,80%,$C$17+VLOOKUP($E110,武器奇术!$A:$R,7,FALSE))+IF($C$19&gt;20%,20%,$C$19))</f>
        <v>0.892</v>
      </c>
      <c r="M110" s="118">
        <f>IF(VLOOKUP($E110,武器奇术!$A:$R,15,FALSE)="天工",0%,IF($C$18+VLOOKUP($E110,武器奇术!$A:$R,9,FALSE)&gt;40%,40%,$C$18+VLOOKUP($E110,武器奇术!$A:$R,9,FALSE))+IF($C$20&gt;10%,10%,$C$20))</f>
        <v>0.0986</v>
      </c>
      <c r="N110" s="119">
        <f>IF(VLOOKUP($E110,武器奇术!$A:$R,15,FALSE)="天工",100%,MIN($C$16,1))</f>
        <v>0.9881</v>
      </c>
      <c r="O110" s="120" t="str">
        <f>VLOOKUP($E110,武器奇术!$A:$R,16,FALSE)</f>
        <v>N/A</v>
      </c>
      <c r="P110" s="121">
        <f t="shared" si="74"/>
        <v>0</v>
      </c>
      <c r="Q110" s="108">
        <f>$B$5*(1+VLOOKUP($E110,武器奇术!$A:$R,5,FALSE)+IF($G$5="飞隼",0.1,0)+IF($G$5="撼天",0.05,0))-$F$9+IF($I$5="√",160,0)</f>
        <v>1731.135</v>
      </c>
      <c r="R110" s="99">
        <f>IF(VLOOKUP($E110,武器奇术!$A:$Z,20,FALSE)=1,(S110-(Q110+S110)*0.5)*($G$15-0.5)*2+(Q110+S110)*0.5,(Q110+S110)*0.5)</f>
        <v>3256.775</v>
      </c>
      <c r="S110" s="109">
        <f>MAX($C$5,$B$5)*(1+VLOOKUP($E110,武器奇术!$A:$R,5,FALSE)+IF($G$5="飞隼",0.1,0)+IF($G$5="撼天",0.05,0))-$F$9+IF($I$5="√",320,0)</f>
        <v>4782.415</v>
      </c>
      <c r="T110" s="101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U110" s="111">
        <f>$E$5+IF(VLOOKUP($E110,武器奇术!$A:$U,21,FALSE)=1,0,0.09)</f>
        <v>0.115</v>
      </c>
      <c r="V110" s="109">
        <v>1</v>
      </c>
      <c r="W110" s="112">
        <f>Q110*VLOOKUP($E110,武器奇术!$A:$R,2,FALSE)*(1+T110)*(1+U110)*V110</f>
        <v>2397.32768205</v>
      </c>
      <c r="X110" s="110">
        <f>(1-IF(VLOOKUP($E110,武器奇术!$A:$T,20,FALSE)=1,1,$N110))*(1-$M110)</f>
        <v>0.01072666</v>
      </c>
      <c r="Y110" s="112">
        <f>R110*VLOOKUP($E110,武器奇术!$A:$R,2,FALSE)*(1+T110)*(1+U110)*V110*(1+$E$16+VLOOKUP($E110,武器奇术!$A:$R,8,FALSE))</f>
        <v>7396.53074613</v>
      </c>
      <c r="Z110" s="110">
        <f t="shared" si="39"/>
        <v>0.8813852</v>
      </c>
      <c r="AA110" s="112">
        <f>S110*VLOOKUP($E110,武器奇术!$A:$R,2,FALSE)*(1+T110)*(1+U110)*V110*(1+$E$17+VLOOKUP($E110,武器奇术!$A:$R,10,FALSE))</f>
        <v>8940.8228820075</v>
      </c>
      <c r="AB110" s="110">
        <f t="shared" si="40"/>
        <v>0.0986</v>
      </c>
      <c r="AC110" s="112">
        <f>R110*VLOOKUP($E110,武器奇术!$A:$R,2,FALSE)*(1+T110)*(1+U110)*V110</f>
        <v>4510.07972325</v>
      </c>
      <c r="AD110" s="110">
        <f t="shared" si="43"/>
        <v>0.00928814000000003</v>
      </c>
      <c r="AE110" s="113">
        <f t="shared" si="44"/>
        <v>7468.36343798453</v>
      </c>
      <c r="AF110" s="114">
        <f>VLOOKUP($E110,武器奇术!$A:$R,3,FALSE)*(1+IF(VLOOKUP($E110,武器奇术!$A:$R,15,FALSE)="武器",$E$15,0))</f>
        <v>0</v>
      </c>
      <c r="AG110" s="112">
        <f t="shared" si="45"/>
        <v>0</v>
      </c>
      <c r="AH110" s="112">
        <f>VLOOKUP($E110,武器奇术!$A:$R,3,FALSE)*(1+IF(VLOOKUP($E110,武器奇术!$A:$R,15,FALSE)="武器",$E$15,0))</f>
        <v>0</v>
      </c>
      <c r="AI110" s="101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AJ110" s="111">
        <f>$E$5+IF(VLOOKUP($E110,武器奇术!$A:$U,21,FALSE)=1,0,0.09)</f>
        <v>0.115</v>
      </c>
      <c r="AK110" s="109">
        <v>1</v>
      </c>
      <c r="AL110" s="112">
        <f t="shared" si="41"/>
        <v>0</v>
      </c>
      <c r="AM110" s="110">
        <f>(1-IF(VLOOKUP($E110,武器奇术!$A:$T,20,FALSE)=1,1,$N110))*(1-$M110)</f>
        <v>0.01072666</v>
      </c>
      <c r="AN110" s="112">
        <f>AG110*(1+AI110)*(1+AJ110)*AK110*(1+$E$16+VLOOKUP($E110,武器奇术!$A:$R,8,FALSE))</f>
        <v>0</v>
      </c>
      <c r="AO110" s="110">
        <f t="shared" si="46"/>
        <v>0.8813852</v>
      </c>
      <c r="AP110" s="112">
        <f>AH110*(1+AI110)*(1+AJ110)*AK110*(1+$E$17+VLOOKUP($E110,武器奇术!$A:$R,10,FALSE))</f>
        <v>0</v>
      </c>
      <c r="AQ110" s="110">
        <f t="shared" si="47"/>
        <v>0.0986</v>
      </c>
      <c r="AR110" s="112">
        <f t="shared" si="48"/>
        <v>0</v>
      </c>
      <c r="AS110" s="110">
        <f t="shared" si="49"/>
        <v>0.00928814000000003</v>
      </c>
      <c r="AT110" s="113">
        <f t="shared" si="50"/>
        <v>0</v>
      </c>
      <c r="AU110" s="108">
        <f>$B$7*IF($G$5="撼天",1.05,1)+IF(AND(VLOOKUP($E110,武器奇术!$A:$R,15,FALSE)="武器",VLOOKUP($E110,武器奇术!$A:$R,17,FALSE)="鸣金"),$E$3,0)*(1+$E$15)</f>
        <v>0</v>
      </c>
      <c r="AV110" s="99">
        <f>(AU110+AW110)*IF(VLOOKUP($E110,武器奇术!$A:$Z,21,FALSE)=1,$G$15,0.5)</f>
        <v>0</v>
      </c>
      <c r="AW110" s="109">
        <f>MAX($C$7*IF($G$5="撼天",1.05,1)+IF(AND(VLOOKUP($E110,武器奇术!$A:$R,15,FALSE)="武器",VLOOKUP($E110,武器奇术!$A:$R,17,FALSE)="鸣金"),$E$3*(1+$E$15),0),AU110)</f>
        <v>0</v>
      </c>
      <c r="AX110" s="110">
        <f>IF(($D$7+IF(VLOOKUP($E110,武器奇术!$A:$R,17,FALSE)="鸣金",$D$15,0)+IF(VLOOKUP($E110,武器奇术!$A:$R,18,FALSE)=1,4,0)+IF(VLOOKUP($E110,武器奇术!$A:$S,19,FALSE)=1,20,0)-VLOOKUP($F$7,目标属性!$A:$R,6,FALSE))&gt;0,($D$7+IF(VLOOKUP($E110,武器奇术!$A:$R,17,FALSE)="鸣金",$D$15,0)+IF(VLOOKUP($E110,武器奇术!$A:$R,18,FALSE)=1,4,0)+IF(VLOOKUP($E110,武器奇术!$A:$S,19,FALSE)=1,20,0)-VLOOKUP($F$7,目标属性!$A:$R,6,FALSE))/200,($D$7+IF(VLOOKUP($E110,武器奇术!$A:$R,17,FALSE)="鸣金",$D$15,0)+IF(VLOOKUP($E110,武器奇术!$A:$R,18,FALSE)=1,4,0)+IF(VLOOKUP($E110,武器奇术!$A:$S,19,FALSE)=1,20,0)-VLOOKUP($F$7,目标属性!$A:$R,6,FALSE))/100)</f>
        <v>-0.24</v>
      </c>
      <c r="AY110" s="111">
        <f t="shared" si="51"/>
        <v>0</v>
      </c>
      <c r="AZ110" s="109">
        <v>1</v>
      </c>
      <c r="BA110" s="112">
        <f>AU110*IF(VLOOKUP($E110,武器奇术!$A:$R,17,FALSE)="鸣金",VLOOKUP($E110,武器奇术!$A:$R,4,FALSE),VLOOKUP($E110,武器奇术!$A:$R,2,FALSE))*(1+AX110)*(1+AY110)*AZ110</f>
        <v>0</v>
      </c>
      <c r="BB110" s="110">
        <f>(1-IF(VLOOKUP($E110,武器奇术!$A:$T,20,FALSE)=1,1,$N110))*(1-$M110)</f>
        <v>0.01072666</v>
      </c>
      <c r="BC110" s="112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110">
        <f t="shared" si="52"/>
        <v>0.8813852</v>
      </c>
      <c r="BE110" s="112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110">
        <f t="shared" si="53"/>
        <v>0.0986</v>
      </c>
      <c r="BG110" s="112">
        <f>AV110*IF(VLOOKUP($E110,武器奇术!$A:$R,17,FALSE)="鸣金",VLOOKUP($E110,武器奇术!$A:$R,4,FALSE),VLOOKUP($E110,武器奇术!$A:$R,2,FALSE))*(1+AX110)*(1+AY110)*AZ110</f>
        <v>0</v>
      </c>
      <c r="BH110" s="110">
        <f t="shared" si="54"/>
        <v>0.00928814000000003</v>
      </c>
      <c r="BI110" s="113">
        <f t="shared" si="55"/>
        <v>0</v>
      </c>
      <c r="BJ110" s="108">
        <f>$B$9*IF($G$5="撼天",1.05,1)+IF(AND(VLOOKUP($E110,武器奇术!$A:$R,15,FALSE)="武器",VLOOKUP($E110,武器奇术!$A:$R,17,FALSE)="裂石"),$E$3,0)*(1+$E$15)</f>
        <v>0</v>
      </c>
      <c r="BK110" s="99">
        <f>(BJ110+BL110)*IF(VLOOKUP($E110,武器奇术!$A:$Z,21,FALSE)=1,$G$15,0.5)</f>
        <v>0</v>
      </c>
      <c r="BL110" s="109">
        <f>MAX($C$9*IF($G$5="撼天",1.05,1)+IF(AND(VLOOKUP($E110,武器奇术!$A:$R,15,FALSE)="武器",VLOOKUP($E110,武器奇术!$A:$R,17,FALSE)="裂石"),$E$3*(1+$E$15),0),BJ110)</f>
        <v>0</v>
      </c>
      <c r="BM110" s="110">
        <f>IF(($D$9+IF(VLOOKUP($E110,武器奇术!$A:$R,17,FALSE)="裂石",$D$15,0)+IF(VLOOKUP($E110,武器奇术!$A:$R,18,FALSE)=1,4,0)+IF(VLOOKUP($E110,武器奇术!$A:$S,19,FALSE)=1,20,0)-VLOOKUP($F$7,目标属性!$A:$R,6,FALSE))&gt;0,($D$9+IF(VLOOKUP($E110,武器奇术!$A:$R,17,FALSE)="裂石",$D$15,0)+IF(VLOOKUP($E110,武器奇术!$A:$R,18,FALSE)=1,4,0)+IF(VLOOKUP($E110,武器奇术!$A:$S,19,FALSE)=1,20,0)-VLOOKUP($F$7,目标属性!$A:$R,6,FALSE))/200,($D$9+IF(VLOOKUP($E110,武器奇术!$A:$R,17,FALSE)="裂石",$D$15,0)+IF(VLOOKUP($E110,武器奇术!$A:$R,18,FALSE)=1,4,0)+IF(VLOOKUP($E110,武器奇术!$A:$S,19,FALSE)=1,20,0)-VLOOKUP($F$7,目标属性!$A:$R,6,FALSE))/100)</f>
        <v>-0.24</v>
      </c>
      <c r="BN110" s="111">
        <f t="shared" si="56"/>
        <v>0</v>
      </c>
      <c r="BO110" s="109">
        <v>1</v>
      </c>
      <c r="BP110" s="112">
        <f>BJ110*IF(VLOOKUP($E110,武器奇术!$A:$R,17,FALSE)="裂石",VLOOKUP($E110,武器奇术!$A:$R,4,FALSE),VLOOKUP($E110,武器奇术!$A:$R,2,FALSE))*(1+BM110)*(1+BN110)*BO110</f>
        <v>0</v>
      </c>
      <c r="BQ110" s="110">
        <f>(1-IF(VLOOKUP($E110,武器奇术!$A:$T,20,FALSE)=1,1,$N110))*(1-$M110)</f>
        <v>0.01072666</v>
      </c>
      <c r="BR110" s="112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110">
        <f t="shared" si="57"/>
        <v>0.8813852</v>
      </c>
      <c r="BT110" s="112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110">
        <f t="shared" si="58"/>
        <v>0.0986</v>
      </c>
      <c r="BV110" s="112">
        <f>BK110*IF(VLOOKUP($E110,武器奇术!$A:$R,17,FALSE)="裂石",VLOOKUP($E110,武器奇术!$A:$R,4,FALSE),VLOOKUP($E110,武器奇术!$A:$R,2,FALSE))*(1+BM110)*(1+BN110)*BO110</f>
        <v>0</v>
      </c>
      <c r="BW110" s="110">
        <f t="shared" si="59"/>
        <v>0.00928814000000003</v>
      </c>
      <c r="BX110" s="113">
        <f t="shared" si="60"/>
        <v>0</v>
      </c>
      <c r="BY110" s="108">
        <f>$B$11*IF($G$5="撼天",1.05,1)+IF(AND(VLOOKUP($E110,武器奇术!$A:$R,15,FALSE)="武器",VLOOKUP($E110,武器奇术!$A:$R,17,FALSE)="牵丝"),$E$3,0)*(1+$E$15)</f>
        <v>0</v>
      </c>
      <c r="BZ110" s="99">
        <f>(BY110+CA110)*IF(VLOOKUP($E110,武器奇术!$A:$Z,21,FALSE)=1,$G$15,0.5)</f>
        <v>0</v>
      </c>
      <c r="CA110" s="109">
        <f>MAX($C$11*IF($G$5="撼天",1.05,1)+IF(AND(VLOOKUP($E110,武器奇术!$A:$R,15,FALSE)="武器",VLOOKUP($E110,武器奇术!$A:$R,17,FALSE)="牵丝"),$E$3*(1+$E$15),0),BY110)</f>
        <v>0</v>
      </c>
      <c r="CB110" s="110">
        <f>IF(($D$11+IF(VLOOKUP($E110,武器奇术!$A:$R,17,FALSE)="牵丝",$D$15,0)+IF(VLOOKUP($E110,武器奇术!$A:$R,18,FALSE)=1,4,0)+IF(VLOOKUP($E110,武器奇术!$A:$S,19,FALSE)=1,20,0)-VLOOKUP($F$7,目标属性!$A:$R,6,FALSE))&gt;0,($D$11+IF(VLOOKUP($E110,武器奇术!$A:$R,17,FALSE)="牵丝",$D$15,0)+IF(VLOOKUP($E110,武器奇术!$A:$R,18,FALSE)=1,4,0)+IF(VLOOKUP($E110,武器奇术!$A:$S,19,FALSE)=1,20,0)-VLOOKUP($F$7,目标属性!$A:$R,6,FALSE))/200,($D$11+IF(VLOOKUP($E110,武器奇术!$A:$R,17,FALSE)="牵丝",$D$15,0)+IF(VLOOKUP($E110,武器奇术!$A:$R,18,FALSE)=1,4,0)+IF(VLOOKUP($E110,武器奇术!$A:$S,19,FALSE)=1,20,0)-VLOOKUP($F$7,目标属性!$A:$R,6,FALSE))/100)</f>
        <v>-0.24</v>
      </c>
      <c r="CC110" s="111">
        <f t="shared" si="61"/>
        <v>0</v>
      </c>
      <c r="CD110" s="109">
        <v>1</v>
      </c>
      <c r="CE110" s="112">
        <f>BY110*IF(VLOOKUP($E110,武器奇术!$A:$R,17,FALSE)="牵丝",VLOOKUP($E110,武器奇术!$A:$R,4,FALSE),VLOOKUP($E110,武器奇术!$A:$R,2,FALSE))*(1+CB110)*(1+CC110)*CD110</f>
        <v>0</v>
      </c>
      <c r="CF110" s="110">
        <f>(1-IF(VLOOKUP($E110,武器奇术!$A:$T,20,FALSE)=1,1,$N110))*(1-$M110)</f>
        <v>0.01072666</v>
      </c>
      <c r="CG110" s="112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110">
        <f t="shared" si="62"/>
        <v>0.8813852</v>
      </c>
      <c r="CI110" s="112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110">
        <f t="shared" si="63"/>
        <v>0.0986</v>
      </c>
      <c r="CK110" s="112">
        <f>BZ110*IF(VLOOKUP($E110,武器奇术!$A:$R,17,FALSE)="牵丝",VLOOKUP($E110,武器奇术!$A:$R,4,FALSE),VLOOKUP($E110,武器奇术!$A:$R,2,FALSE))*(1+CB110)*(1+CC110)*CD110</f>
        <v>0</v>
      </c>
      <c r="CL110" s="110">
        <f t="shared" si="64"/>
        <v>0.00928814000000003</v>
      </c>
      <c r="CM110" s="113">
        <f t="shared" si="65"/>
        <v>0</v>
      </c>
      <c r="CN110" s="108">
        <f>$B$13*IF($G$5="撼天",1.05,1)+IF(AND(VLOOKUP($E110,武器奇术!$A:$R,15,FALSE)="武器",VLOOKUP($E110,武器奇术!$A:$R,17,FALSE)="破竹"),$E$3,0)*(1+$E$15)</f>
        <v>452.55</v>
      </c>
      <c r="CO110" s="99">
        <f>IF(VLOOKUP($E110,武器奇术!$A:$Z,20,FALSE)=1,(CP110-(CN110+CP110)*0.5)*($G$15-0.5)*2+(CN110+CP110)*0.5,(CN110+CP110)*0.5)</f>
        <v>679.35</v>
      </c>
      <c r="CP110" s="109">
        <f>MAX($C$13*IF($G$5="撼天",1.05,1)+IF(AND(VLOOKUP($E110,武器奇术!$A:$R,15,FALSE)="武器",VLOOKUP($E110,武器奇术!$A:$R,17,FALSE)="破竹"),$E$3*(1+$E$15),0),CN110)</f>
        <v>906.15</v>
      </c>
      <c r="CQ110" s="110">
        <f>IF(($D$13+IF(VLOOKUP($E110,武器奇术!$A:$R,17,FALSE)="破竹",$D$15,0)+IF(VLOOKUP($E110,武器奇术!$A:$R,18,FALSE)=1,4,0)+IF(VLOOKUP($E110,武器奇术!$A:$S,19,FALSE)=1,20,0)-VLOOKUP($F$7,目标属性!$A:$R,6,FALSE))&gt;0,($D$13+IF(VLOOKUP($E110,武器奇术!$A:$R,17,FALSE)="破竹",$D$15,0)+IF(VLOOKUP($E110,武器奇术!$A:$R,18,FALSE)=1,4,0)+IF(VLOOKUP($E110,武器奇术!$A:$S,19,FALSE)=1,20,0)-VLOOKUP($F$7,目标属性!$A:$R,6,FALSE))/200,($D$13+IF(VLOOKUP($E110,武器奇术!$A:$R,17,FALSE)="破竹",$D$15,0)+IF(VLOOKUP($E110,武器奇术!$A:$R,18,FALSE)=1,4,0)+IF(VLOOKUP($E110,武器奇术!$A:$S,19,FALSE)=1,20,0)-VLOOKUP($F$7,目标属性!$A:$R,6,FALSE))/100)</f>
        <v>0.025</v>
      </c>
      <c r="CR110" s="111">
        <f>$E$13+IF(VLOOKUP($E110,武器奇术!$A:$U,21,FALSE)=1,0,0.09)</f>
        <v>0.235</v>
      </c>
      <c r="CS110" s="109">
        <v>1</v>
      </c>
      <c r="CT110" s="112">
        <f>CN110*IF(VLOOKUP($E110,武器奇术!$A:$R,17,FALSE)="破竹",VLOOKUP($E110,武器奇术!$A:$R,4,FALSE),VLOOKUP($E110,武器奇术!$A:$R,2,FALSE))*(1+CQ110)*(1+CR110)*CS110</f>
        <v>572.87173125</v>
      </c>
      <c r="CU110" s="110">
        <f>(1-IF(VLOOKUP($E110,武器奇术!$A:$T,20,FALSE)=1,1,$N110))*(1-$M110)</f>
        <v>0.01072666</v>
      </c>
      <c r="CV110" s="112">
        <f>CO110*IF(VLOOKUP($E110,武器奇术!$A:$R,17,FALSE)="破竹",VLOOKUP($E110,武器奇术!$A:$R,4,FALSE),VLOOKUP($E110,武器奇术!$A:$R,2,FALSE))*(1+CQ110)*(1+CR110)*CS110*(1+$E$16+VLOOKUP($E110,武器奇术!$A:$R,8,FALSE))</f>
        <v>1410.35437725</v>
      </c>
      <c r="CW110" s="110">
        <f t="shared" si="66"/>
        <v>0.8813852</v>
      </c>
      <c r="CX110" s="112">
        <f>CP110*IF(VLOOKUP($E110,武器奇术!$A:$R,17,FALSE)="破竹",VLOOKUP($E110,武器奇术!$A:$R,4,FALSE),VLOOKUP($E110,武器奇术!$A:$R,2,FALSE))*(1+CQ110)*(1+CR110)*CS110*(1+$E$17+VLOOKUP($E110,武器奇术!$A:$R,10,FALSE))</f>
        <v>1548.5480521875</v>
      </c>
      <c r="CY110" s="110">
        <f t="shared" si="67"/>
        <v>0.0986</v>
      </c>
      <c r="CZ110" s="112">
        <f>CO110*IF(VLOOKUP($E110,武器奇术!$A:$R,17,FALSE)="破竹",VLOOKUP($E110,武器奇术!$A:$R,4,FALSE),VLOOKUP($E110,武器奇术!$A:$R,2,FALSE))*(1+CQ110)*(1+CR110)*CS110</f>
        <v>859.97218125</v>
      </c>
      <c r="DA110" s="110">
        <f t="shared" si="68"/>
        <v>0.00928814000000003</v>
      </c>
      <c r="DB110" s="113">
        <f t="shared" si="69"/>
        <v>1409.88485510934</v>
      </c>
      <c r="DC110" s="108">
        <f t="shared" si="36"/>
        <v>69.3</v>
      </c>
      <c r="DD110" s="99">
        <f>(DC110+DE110)*IF(VLOOKUP($E110,武器奇术!$A:$Z,21,FALSE)=1,$G$15,0.5)</f>
        <v>69.3</v>
      </c>
      <c r="DE110" s="109">
        <f t="shared" si="37"/>
        <v>69.3</v>
      </c>
      <c r="DF110" s="110">
        <f>IF(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100)</f>
        <v>0.025</v>
      </c>
      <c r="DG110" s="111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U,21,FALSE)=1,0,0.09)</f>
        <v>0.235</v>
      </c>
      <c r="DH110" s="109">
        <v>1</v>
      </c>
      <c r="DI110" s="112">
        <f>DC110*IF(VLOOKUP($E110,武器奇术!$A:$R,17,FALSE)="破竹",VLOOKUP($E110,武器奇术!$A:$R,4,FALSE),VLOOKUP($E110,武器奇术!$A:$R,2,FALSE))*(1+DF110)*(1+DG110)*DH110</f>
        <v>87.7251375</v>
      </c>
      <c r="DJ110" s="110">
        <f>(1-IF(VLOOKUP($E110,武器奇术!$A:$T,20,FALSE)=1,1,$N110))*(1-$M110)</f>
        <v>0.01072666</v>
      </c>
      <c r="DK110" s="112">
        <f>DD110*IF(VLOOKUP($E110,武器奇术!$A:$R,17,FALSE)="破竹",VLOOKUP($E110,武器奇术!$A:$R,4,FALSE),VLOOKUP($E110,武器奇术!$A:$R,2,FALSE))*(1+DF110)*(1+DG110)*DH110*(1+$E$16+VLOOKUP($E110,武器奇术!$A:$R,8,FALSE))</f>
        <v>143.8692255</v>
      </c>
      <c r="DL110" s="110">
        <f t="shared" si="70"/>
        <v>0.8813852</v>
      </c>
      <c r="DM110" s="112">
        <f>DE110*IF(VLOOKUP($E110,武器奇术!$A:$R,17,FALSE)="破竹",VLOOKUP($E110,武器奇术!$A:$R,4,FALSE),VLOOKUP($E110,武器奇术!$A:$R,2,FALSE))*(1+DF110)*(1+DG110)*DH110*(1+$E$17+VLOOKUP($E110,武器奇术!$A:$R,10,FALSE))</f>
        <v>118.428935625</v>
      </c>
      <c r="DN110" s="110">
        <f t="shared" si="71"/>
        <v>0.0986</v>
      </c>
      <c r="DO110" s="112">
        <f>DD110*IF(VLOOKUP($E110,武器奇术!$A:$R,17,FALSE)="破竹",VLOOKUP($E110,武器奇术!$A:$R,4,FALSE),VLOOKUP($E110,武器奇术!$A:$R,2,FALSE))*(1+DF110)*(1+DG110)*DH110</f>
        <v>87.7251375</v>
      </c>
      <c r="DP110" s="110">
        <f t="shared" si="72"/>
        <v>0.00928814000000003</v>
      </c>
      <c r="DQ110" s="113">
        <f t="shared" si="73"/>
        <v>140.237100225823</v>
      </c>
    </row>
    <row r="111" spans="1:121">
      <c r="B111" t="s">
        <v>164</v>
      </c>
      <c r="C111" s="147">
        <v>1.16</v>
      </c>
      <c r="D111" s="148"/>
      <c r="E111" s="98" t="s">
        <v>178</v>
      </c>
      <c r="F111" s="99">
        <f t="shared" ref="F111:F114" si="75">IF($J$3="√",1,0)</f>
        <v>1</v>
      </c>
      <c r="G111" s="115"/>
      <c r="H111" s="100">
        <f>IF(VLOOKUP($E111,武器奇术!$A:$R,18,FALSE)="天工",AE111,(AE111+AT111+BI111+BX111+CM111+DB111+DQ111))*(1+J111)*F111*K111*(1+G111)</f>
        <v>12652.9350068275</v>
      </c>
      <c r="I111" s="101">
        <f t="shared" si="42"/>
        <v>0.00156216822454332</v>
      </c>
      <c r="J111" s="101">
        <f>$F$3+VLOOKUP($E111,武器奇术!$A:$R,12,FALSE)+VLOOKUP($E111,武器奇术!$A:$R,14,FALSE)*$G$3+$P111</f>
        <v>0.403</v>
      </c>
      <c r="K111" s="102">
        <f>VLOOKUP($E111,武器奇术!$A:$R,11,FALSE)</f>
        <v>1</v>
      </c>
      <c r="L111" s="117">
        <f>IF(VLOOKUP($E111,武器奇术!$A:$R,15,FALSE)="天工",0%,IF($C$17+VLOOKUP($E111,武器奇术!$A:$R,7,FALSE)&gt;80%,80%,$C$17+VLOOKUP($E111,武器奇术!$A:$R,7,FALSE))+IF($C$19&gt;20%,20%,$C$19))</f>
        <v>0.892</v>
      </c>
      <c r="M111" s="118">
        <f>IF(VLOOKUP($E111,武器奇术!$A:$R,15,FALSE)="天工",0%,IF($C$18+VLOOKUP($E111,武器奇术!$A:$R,9,FALSE)&gt;40%,40%,$C$18+VLOOKUP($E111,武器奇术!$A:$R,9,FALSE))+IF($C$20&gt;10%,10%,$C$20))</f>
        <v>0.0986</v>
      </c>
      <c r="N111" s="119">
        <f>IF(VLOOKUP($E111,武器奇术!$A:$R,15,FALSE)="天工",100%,MIN($C$16,1))</f>
        <v>0.9881</v>
      </c>
      <c r="O111" s="120" t="str">
        <f>VLOOKUP($E111,武器奇术!$A:$R,16,FALSE)</f>
        <v>N/A</v>
      </c>
      <c r="P111" s="121">
        <f t="shared" si="74"/>
        <v>0</v>
      </c>
      <c r="Q111" s="108">
        <f>$B$5*(1+VLOOKUP($E111,武器奇术!$A:$R,5,FALSE)+IF($G$5="飞隼",0.1,0)+IF($G$5="撼天",0.05,0))-$F$9+IF($I$5="√",160,0)</f>
        <v>1731.135</v>
      </c>
      <c r="R111" s="99">
        <f>IF(VLOOKUP($E111,武器奇术!$A:$Z,20,FALSE)=1,(S111-(Q111+S111)*0.5)*($G$15-0.5)*2+(Q111+S111)*0.5,(Q111+S111)*0.5)</f>
        <v>3256.775</v>
      </c>
      <c r="S111" s="109">
        <f>MAX($C$5,$B$5)*(1+VLOOKUP($E111,武器奇术!$A:$R,5,FALSE)+IF($G$5="飞隼",0.1,0)+IF($G$5="撼天",0.05,0))-$F$9+IF($I$5="√",320,0)</f>
        <v>4782.415</v>
      </c>
      <c r="T111" s="101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U111" s="111">
        <f>$E$5+IF(VLOOKUP($E111,武器奇术!$A:$U,21,FALSE)=1,0,0.09)</f>
        <v>0.115</v>
      </c>
      <c r="V111" s="109">
        <v>1</v>
      </c>
      <c r="W111" s="112">
        <f>Q111*VLOOKUP($E111,武器奇术!$A:$R,2,FALSE)*(1+T111)*(1+U111)*V111</f>
        <v>2397.32768205</v>
      </c>
      <c r="X111" s="110">
        <f>(1-IF(VLOOKUP($E111,武器奇术!$A:$T,20,FALSE)=1,1,$N111))*(1-$M111)</f>
        <v>0.01072666</v>
      </c>
      <c r="Y111" s="112">
        <f>R111*VLOOKUP($E111,武器奇术!$A:$R,2,FALSE)*(1+T111)*(1+U111)*V111*(1+$E$16+VLOOKUP($E111,武器奇术!$A:$R,8,FALSE))</f>
        <v>7396.53074613</v>
      </c>
      <c r="Z111" s="110">
        <f t="shared" si="39"/>
        <v>0.8813852</v>
      </c>
      <c r="AA111" s="112">
        <f>S111*VLOOKUP($E111,武器奇术!$A:$R,2,FALSE)*(1+T111)*(1+U111)*V111*(1+$E$17+VLOOKUP($E111,武器奇术!$A:$R,10,FALSE))</f>
        <v>8940.8228820075</v>
      </c>
      <c r="AB111" s="110">
        <f t="shared" si="40"/>
        <v>0.0986</v>
      </c>
      <c r="AC111" s="112">
        <f>R111*VLOOKUP($E111,武器奇术!$A:$R,2,FALSE)*(1+T111)*(1+U111)*V111</f>
        <v>4510.07972325</v>
      </c>
      <c r="AD111" s="110">
        <f t="shared" si="43"/>
        <v>0.00928814000000003</v>
      </c>
      <c r="AE111" s="113">
        <f t="shared" si="44"/>
        <v>7468.36343798453</v>
      </c>
      <c r="AF111" s="114">
        <f>VLOOKUP($E111,武器奇术!$A:$R,3,FALSE)*(1+IF(VLOOKUP($E111,武器奇术!$A:$R,15,FALSE)="武器",$E$15,0))</f>
        <v>0</v>
      </c>
      <c r="AG111" s="112">
        <f t="shared" si="45"/>
        <v>0</v>
      </c>
      <c r="AH111" s="112">
        <f>VLOOKUP($E111,武器奇术!$A:$R,3,FALSE)*(1+IF(VLOOKUP($E111,武器奇术!$A:$R,15,FALSE)="武器",$E$15,0))</f>
        <v>0</v>
      </c>
      <c r="AI111" s="101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AJ111" s="111">
        <f>$E$5+IF(VLOOKUP($E111,武器奇术!$A:$U,21,FALSE)=1,0,0.09)</f>
        <v>0.115</v>
      </c>
      <c r="AK111" s="109">
        <v>1</v>
      </c>
      <c r="AL111" s="112">
        <f t="shared" si="41"/>
        <v>0</v>
      </c>
      <c r="AM111" s="110">
        <f>(1-IF(VLOOKUP($E111,武器奇术!$A:$T,20,FALSE)=1,1,$N111))*(1-$M111)</f>
        <v>0.01072666</v>
      </c>
      <c r="AN111" s="112">
        <f>AG111*(1+AI111)*(1+AJ111)*AK111*(1+$E$16+VLOOKUP($E111,武器奇术!$A:$R,8,FALSE))</f>
        <v>0</v>
      </c>
      <c r="AO111" s="110">
        <f t="shared" si="46"/>
        <v>0.8813852</v>
      </c>
      <c r="AP111" s="112">
        <f>AH111*(1+AI111)*(1+AJ111)*AK111*(1+$E$17+VLOOKUP($E111,武器奇术!$A:$R,10,FALSE))</f>
        <v>0</v>
      </c>
      <c r="AQ111" s="110">
        <f t="shared" si="47"/>
        <v>0.0986</v>
      </c>
      <c r="AR111" s="112">
        <f t="shared" si="48"/>
        <v>0</v>
      </c>
      <c r="AS111" s="110">
        <f t="shared" si="49"/>
        <v>0.00928814000000003</v>
      </c>
      <c r="AT111" s="113">
        <f t="shared" si="50"/>
        <v>0</v>
      </c>
      <c r="AU111" s="108">
        <f>$B$7*IF($G$5="撼天",1.05,1)+IF(AND(VLOOKUP($E111,武器奇术!$A:$R,15,FALSE)="武器",VLOOKUP($E111,武器奇术!$A:$R,17,FALSE)="鸣金"),$E$3,0)*(1+$E$15)</f>
        <v>0</v>
      </c>
      <c r="AV111" s="99">
        <f>(AU111+AW111)*IF(VLOOKUP($E111,武器奇术!$A:$Z,21,FALSE)=1,$G$15,0.5)</f>
        <v>0</v>
      </c>
      <c r="AW111" s="109">
        <f>MAX($C$7*IF($G$5="撼天",1.05,1)+IF(AND(VLOOKUP($E111,武器奇术!$A:$R,15,FALSE)="武器",VLOOKUP($E111,武器奇术!$A:$R,17,FALSE)="鸣金"),$E$3*(1+$E$15),0),AU111)</f>
        <v>0</v>
      </c>
      <c r="AX111" s="110">
        <f>IF(($D$7+IF(VLOOKUP($E111,武器奇术!$A:$R,17,FALSE)="鸣金",$D$15,0)+IF(VLOOKUP($E111,武器奇术!$A:$R,18,FALSE)=1,4,0)+IF(VLOOKUP($E111,武器奇术!$A:$S,19,FALSE)=1,20,0)-VLOOKUP($F$7,目标属性!$A:$R,6,FALSE))&gt;0,($D$7+IF(VLOOKUP($E111,武器奇术!$A:$R,17,FALSE)="鸣金",$D$15,0)+IF(VLOOKUP($E111,武器奇术!$A:$R,18,FALSE)=1,4,0)+IF(VLOOKUP($E111,武器奇术!$A:$S,19,FALSE)=1,20,0)-VLOOKUP($F$7,目标属性!$A:$R,6,FALSE))/200,($D$7+IF(VLOOKUP($E111,武器奇术!$A:$R,17,FALSE)="鸣金",$D$15,0)+IF(VLOOKUP($E111,武器奇术!$A:$R,18,FALSE)=1,4,0)+IF(VLOOKUP($E111,武器奇术!$A:$S,19,FALSE)=1,20,0)-VLOOKUP($F$7,目标属性!$A:$R,6,FALSE))/100)</f>
        <v>-0.24</v>
      </c>
      <c r="AY111" s="111">
        <f t="shared" si="51"/>
        <v>0</v>
      </c>
      <c r="AZ111" s="109">
        <v>1</v>
      </c>
      <c r="BA111" s="112">
        <f>AU111*IF(VLOOKUP($E111,武器奇术!$A:$R,17,FALSE)="鸣金",VLOOKUP($E111,武器奇术!$A:$R,4,FALSE),VLOOKUP($E111,武器奇术!$A:$R,2,FALSE))*(1+AX111)*(1+AY111)*AZ111</f>
        <v>0</v>
      </c>
      <c r="BB111" s="110">
        <f>(1-IF(VLOOKUP($E111,武器奇术!$A:$T,20,FALSE)=1,1,$N111))*(1-$M111)</f>
        <v>0.01072666</v>
      </c>
      <c r="BC111" s="112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110">
        <f t="shared" si="52"/>
        <v>0.8813852</v>
      </c>
      <c r="BE111" s="112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110">
        <f t="shared" si="53"/>
        <v>0.0986</v>
      </c>
      <c r="BG111" s="112">
        <f>AV111*IF(VLOOKUP($E111,武器奇术!$A:$R,17,FALSE)="鸣金",VLOOKUP($E111,武器奇术!$A:$R,4,FALSE),VLOOKUP($E111,武器奇术!$A:$R,2,FALSE))*(1+AX111)*(1+AY111)*AZ111</f>
        <v>0</v>
      </c>
      <c r="BH111" s="110">
        <f t="shared" si="54"/>
        <v>0.00928814000000003</v>
      </c>
      <c r="BI111" s="113">
        <f t="shared" si="55"/>
        <v>0</v>
      </c>
      <c r="BJ111" s="108">
        <f>$B$9*IF($G$5="撼天",1.05,1)+IF(AND(VLOOKUP($E111,武器奇术!$A:$R,15,FALSE)="武器",VLOOKUP($E111,武器奇术!$A:$R,17,FALSE)="裂石"),$E$3,0)*(1+$E$15)</f>
        <v>0</v>
      </c>
      <c r="BK111" s="99">
        <f>(BJ111+BL111)*IF(VLOOKUP($E111,武器奇术!$A:$Z,21,FALSE)=1,$G$15,0.5)</f>
        <v>0</v>
      </c>
      <c r="BL111" s="109">
        <f>MAX($C$9*IF($G$5="撼天",1.05,1)+IF(AND(VLOOKUP($E111,武器奇术!$A:$R,15,FALSE)="武器",VLOOKUP($E111,武器奇术!$A:$R,17,FALSE)="裂石"),$E$3*(1+$E$15),0),BJ111)</f>
        <v>0</v>
      </c>
      <c r="BM111" s="110">
        <f>IF(($D$9+IF(VLOOKUP($E111,武器奇术!$A:$R,17,FALSE)="裂石",$D$15,0)+IF(VLOOKUP($E111,武器奇术!$A:$R,18,FALSE)=1,4,0)+IF(VLOOKUP($E111,武器奇术!$A:$S,19,FALSE)=1,20,0)-VLOOKUP($F$7,目标属性!$A:$R,6,FALSE))&gt;0,($D$9+IF(VLOOKUP($E111,武器奇术!$A:$R,17,FALSE)="裂石",$D$15,0)+IF(VLOOKUP($E111,武器奇术!$A:$R,18,FALSE)=1,4,0)+IF(VLOOKUP($E111,武器奇术!$A:$S,19,FALSE)=1,20,0)-VLOOKUP($F$7,目标属性!$A:$R,6,FALSE))/200,($D$9+IF(VLOOKUP($E111,武器奇术!$A:$R,17,FALSE)="裂石",$D$15,0)+IF(VLOOKUP($E111,武器奇术!$A:$R,18,FALSE)=1,4,0)+IF(VLOOKUP($E111,武器奇术!$A:$S,19,FALSE)=1,20,0)-VLOOKUP($F$7,目标属性!$A:$R,6,FALSE))/100)</f>
        <v>-0.24</v>
      </c>
      <c r="BN111" s="111">
        <f t="shared" si="56"/>
        <v>0</v>
      </c>
      <c r="BO111" s="109">
        <v>1</v>
      </c>
      <c r="BP111" s="112">
        <f>BJ111*IF(VLOOKUP($E111,武器奇术!$A:$R,17,FALSE)="裂石",VLOOKUP($E111,武器奇术!$A:$R,4,FALSE),VLOOKUP($E111,武器奇术!$A:$R,2,FALSE))*(1+BM111)*(1+BN111)*BO111</f>
        <v>0</v>
      </c>
      <c r="BQ111" s="110">
        <f>(1-IF(VLOOKUP($E111,武器奇术!$A:$T,20,FALSE)=1,1,$N111))*(1-$M111)</f>
        <v>0.01072666</v>
      </c>
      <c r="BR111" s="112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110">
        <f t="shared" si="57"/>
        <v>0.8813852</v>
      </c>
      <c r="BT111" s="112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110">
        <f t="shared" si="58"/>
        <v>0.0986</v>
      </c>
      <c r="BV111" s="112">
        <f>BK111*IF(VLOOKUP($E111,武器奇术!$A:$R,17,FALSE)="裂石",VLOOKUP($E111,武器奇术!$A:$R,4,FALSE),VLOOKUP($E111,武器奇术!$A:$R,2,FALSE))*(1+BM111)*(1+BN111)*BO111</f>
        <v>0</v>
      </c>
      <c r="BW111" s="110">
        <f t="shared" si="59"/>
        <v>0.00928814000000003</v>
      </c>
      <c r="BX111" s="113">
        <f t="shared" si="60"/>
        <v>0</v>
      </c>
      <c r="BY111" s="108">
        <f>$B$11*IF($G$5="撼天",1.05,1)+IF(AND(VLOOKUP($E111,武器奇术!$A:$R,15,FALSE)="武器",VLOOKUP($E111,武器奇术!$A:$R,17,FALSE)="牵丝"),$E$3,0)*(1+$E$15)</f>
        <v>0</v>
      </c>
      <c r="BZ111" s="99">
        <f>(BY111+CA111)*IF(VLOOKUP($E111,武器奇术!$A:$Z,21,FALSE)=1,$G$15,0.5)</f>
        <v>0</v>
      </c>
      <c r="CA111" s="109">
        <f>MAX($C$11*IF($G$5="撼天",1.05,1)+IF(AND(VLOOKUP($E111,武器奇术!$A:$R,15,FALSE)="武器",VLOOKUP($E111,武器奇术!$A:$R,17,FALSE)="牵丝"),$E$3*(1+$E$15),0),BY111)</f>
        <v>0</v>
      </c>
      <c r="CB111" s="110">
        <f>IF(($D$11+IF(VLOOKUP($E111,武器奇术!$A:$R,17,FALSE)="牵丝",$D$15,0)+IF(VLOOKUP($E111,武器奇术!$A:$R,18,FALSE)=1,4,0)+IF(VLOOKUP($E111,武器奇术!$A:$S,19,FALSE)=1,20,0)-VLOOKUP($F$7,目标属性!$A:$R,6,FALSE))&gt;0,($D$11+IF(VLOOKUP($E111,武器奇术!$A:$R,17,FALSE)="牵丝",$D$15,0)+IF(VLOOKUP($E111,武器奇术!$A:$R,18,FALSE)=1,4,0)+IF(VLOOKUP($E111,武器奇术!$A:$S,19,FALSE)=1,20,0)-VLOOKUP($F$7,目标属性!$A:$R,6,FALSE))/200,($D$11+IF(VLOOKUP($E111,武器奇术!$A:$R,17,FALSE)="牵丝",$D$15,0)+IF(VLOOKUP($E111,武器奇术!$A:$R,18,FALSE)=1,4,0)+IF(VLOOKUP($E111,武器奇术!$A:$S,19,FALSE)=1,20,0)-VLOOKUP($F$7,目标属性!$A:$R,6,FALSE))/100)</f>
        <v>-0.24</v>
      </c>
      <c r="CC111" s="111">
        <f t="shared" si="61"/>
        <v>0</v>
      </c>
      <c r="CD111" s="109">
        <v>1</v>
      </c>
      <c r="CE111" s="112">
        <f>BY111*IF(VLOOKUP($E111,武器奇术!$A:$R,17,FALSE)="牵丝",VLOOKUP($E111,武器奇术!$A:$R,4,FALSE),VLOOKUP($E111,武器奇术!$A:$R,2,FALSE))*(1+CB111)*(1+CC111)*CD111</f>
        <v>0</v>
      </c>
      <c r="CF111" s="110">
        <f>(1-IF(VLOOKUP($E111,武器奇术!$A:$T,20,FALSE)=1,1,$N111))*(1-$M111)</f>
        <v>0.01072666</v>
      </c>
      <c r="CG111" s="112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110">
        <f t="shared" si="62"/>
        <v>0.8813852</v>
      </c>
      <c r="CI111" s="112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110">
        <f t="shared" si="63"/>
        <v>0.0986</v>
      </c>
      <c r="CK111" s="112">
        <f>BZ111*IF(VLOOKUP($E111,武器奇术!$A:$R,17,FALSE)="牵丝",VLOOKUP($E111,武器奇术!$A:$R,4,FALSE),VLOOKUP($E111,武器奇术!$A:$R,2,FALSE))*(1+CB111)*(1+CC111)*CD111</f>
        <v>0</v>
      </c>
      <c r="CL111" s="110">
        <f t="shared" si="64"/>
        <v>0.00928814000000003</v>
      </c>
      <c r="CM111" s="113">
        <f t="shared" si="65"/>
        <v>0</v>
      </c>
      <c r="CN111" s="108">
        <f>$B$13*IF($G$5="撼天",1.05,1)+IF(AND(VLOOKUP($E111,武器奇术!$A:$R,15,FALSE)="武器",VLOOKUP($E111,武器奇术!$A:$R,17,FALSE)="破竹"),$E$3,0)*(1+$E$15)</f>
        <v>452.55</v>
      </c>
      <c r="CO111" s="99">
        <f>IF(VLOOKUP($E111,武器奇术!$A:$Z,20,FALSE)=1,(CP111-(CN111+CP111)*0.5)*($G$15-0.5)*2+(CN111+CP111)*0.5,(CN111+CP111)*0.5)</f>
        <v>679.35</v>
      </c>
      <c r="CP111" s="109">
        <f>MAX($C$13*IF($G$5="撼天",1.05,1)+IF(AND(VLOOKUP($E111,武器奇术!$A:$R,15,FALSE)="武器",VLOOKUP($E111,武器奇术!$A:$R,17,FALSE)="破竹"),$E$3*(1+$E$15),0),CN111)</f>
        <v>906.15</v>
      </c>
      <c r="CQ111" s="110">
        <f>IF(($D$13+IF(VLOOKUP($E111,武器奇术!$A:$R,17,FALSE)="破竹",$D$15,0)+IF(VLOOKUP($E111,武器奇术!$A:$R,18,FALSE)=1,4,0)+IF(VLOOKUP($E111,武器奇术!$A:$S,19,FALSE)=1,20,0)-VLOOKUP($F$7,目标属性!$A:$R,6,FALSE))&gt;0,($D$13+IF(VLOOKUP($E111,武器奇术!$A:$R,17,FALSE)="破竹",$D$15,0)+IF(VLOOKUP($E111,武器奇术!$A:$R,18,FALSE)=1,4,0)+IF(VLOOKUP($E111,武器奇术!$A:$S,19,FALSE)=1,20,0)-VLOOKUP($F$7,目标属性!$A:$R,6,FALSE))/200,($D$13+IF(VLOOKUP($E111,武器奇术!$A:$R,17,FALSE)="破竹",$D$15,0)+IF(VLOOKUP($E111,武器奇术!$A:$R,18,FALSE)=1,4,0)+IF(VLOOKUP($E111,武器奇术!$A:$S,19,FALSE)=1,20,0)-VLOOKUP($F$7,目标属性!$A:$R,6,FALSE))/100)</f>
        <v>0.025</v>
      </c>
      <c r="CR111" s="111">
        <f>$E$13+IF(VLOOKUP($E111,武器奇术!$A:$U,21,FALSE)=1,0,0.09)</f>
        <v>0.235</v>
      </c>
      <c r="CS111" s="109">
        <v>1</v>
      </c>
      <c r="CT111" s="112">
        <f>CN111*IF(VLOOKUP($E111,武器奇术!$A:$R,17,FALSE)="破竹",VLOOKUP($E111,武器奇术!$A:$R,4,FALSE),VLOOKUP($E111,武器奇术!$A:$R,2,FALSE))*(1+CQ111)*(1+CR111)*CS111</f>
        <v>572.87173125</v>
      </c>
      <c r="CU111" s="110">
        <f>(1-IF(VLOOKUP($E111,武器奇术!$A:$T,20,FALSE)=1,1,$N111))*(1-$M111)</f>
        <v>0.01072666</v>
      </c>
      <c r="CV111" s="112">
        <f>CO111*IF(VLOOKUP($E111,武器奇术!$A:$R,17,FALSE)="破竹",VLOOKUP($E111,武器奇术!$A:$R,4,FALSE),VLOOKUP($E111,武器奇术!$A:$R,2,FALSE))*(1+CQ111)*(1+CR111)*CS111*(1+$E$16+VLOOKUP($E111,武器奇术!$A:$R,8,FALSE))</f>
        <v>1410.35437725</v>
      </c>
      <c r="CW111" s="110">
        <f t="shared" si="66"/>
        <v>0.8813852</v>
      </c>
      <c r="CX111" s="112">
        <f>CP111*IF(VLOOKUP($E111,武器奇术!$A:$R,17,FALSE)="破竹",VLOOKUP($E111,武器奇术!$A:$R,4,FALSE),VLOOKUP($E111,武器奇术!$A:$R,2,FALSE))*(1+CQ111)*(1+CR111)*CS111*(1+$E$17+VLOOKUP($E111,武器奇术!$A:$R,10,FALSE))</f>
        <v>1548.5480521875</v>
      </c>
      <c r="CY111" s="110">
        <f t="shared" si="67"/>
        <v>0.0986</v>
      </c>
      <c r="CZ111" s="112">
        <f>CO111*IF(VLOOKUP($E111,武器奇术!$A:$R,17,FALSE)="破竹",VLOOKUP($E111,武器奇术!$A:$R,4,FALSE),VLOOKUP($E111,武器奇术!$A:$R,2,FALSE))*(1+CQ111)*(1+CR111)*CS111</f>
        <v>859.97218125</v>
      </c>
      <c r="DA111" s="110">
        <f t="shared" si="68"/>
        <v>0.00928814000000003</v>
      </c>
      <c r="DB111" s="113">
        <f t="shared" si="69"/>
        <v>1409.88485510934</v>
      </c>
      <c r="DC111" s="108">
        <f t="shared" si="36"/>
        <v>69.3</v>
      </c>
      <c r="DD111" s="99">
        <f>(DC111+DE111)*IF(VLOOKUP($E111,武器奇术!$A:$Z,21,FALSE)=1,$G$15,0.5)</f>
        <v>69.3</v>
      </c>
      <c r="DE111" s="109">
        <f t="shared" si="37"/>
        <v>69.3</v>
      </c>
      <c r="DF111" s="110">
        <f>IF(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100)</f>
        <v>0.025</v>
      </c>
      <c r="DG111" s="111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U,21,FALSE)=1,0,0.09)</f>
        <v>0.235</v>
      </c>
      <c r="DH111" s="109">
        <v>1</v>
      </c>
      <c r="DI111" s="112">
        <f>DC111*IF(VLOOKUP($E111,武器奇术!$A:$R,17,FALSE)="破竹",VLOOKUP($E111,武器奇术!$A:$R,4,FALSE),VLOOKUP($E111,武器奇术!$A:$R,2,FALSE))*(1+DF111)*(1+DG111)*DH111</f>
        <v>87.7251375</v>
      </c>
      <c r="DJ111" s="110">
        <f>(1-IF(VLOOKUP($E111,武器奇术!$A:$T,20,FALSE)=1,1,$N111))*(1-$M111)</f>
        <v>0.01072666</v>
      </c>
      <c r="DK111" s="112">
        <f>DD111*IF(VLOOKUP($E111,武器奇术!$A:$R,17,FALSE)="破竹",VLOOKUP($E111,武器奇术!$A:$R,4,FALSE),VLOOKUP($E111,武器奇术!$A:$R,2,FALSE))*(1+DF111)*(1+DG111)*DH111*(1+$E$16+VLOOKUP($E111,武器奇术!$A:$R,8,FALSE))</f>
        <v>143.8692255</v>
      </c>
      <c r="DL111" s="110">
        <f t="shared" si="70"/>
        <v>0.8813852</v>
      </c>
      <c r="DM111" s="112">
        <f>DE111*IF(VLOOKUP($E111,武器奇术!$A:$R,17,FALSE)="破竹",VLOOKUP($E111,武器奇术!$A:$R,4,FALSE),VLOOKUP($E111,武器奇术!$A:$R,2,FALSE))*(1+DF111)*(1+DG111)*DH111*(1+$E$17+VLOOKUP($E111,武器奇术!$A:$R,10,FALSE))</f>
        <v>118.428935625</v>
      </c>
      <c r="DN111" s="110">
        <f t="shared" si="71"/>
        <v>0.0986</v>
      </c>
      <c r="DO111" s="112">
        <f>DD111*IF(VLOOKUP($E111,武器奇术!$A:$R,17,FALSE)="破竹",VLOOKUP($E111,武器奇术!$A:$R,4,FALSE),VLOOKUP($E111,武器奇术!$A:$R,2,FALSE))*(1+DF111)*(1+DG111)*DH111</f>
        <v>87.7251375</v>
      </c>
      <c r="DP111" s="110">
        <f t="shared" si="72"/>
        <v>0.00928814000000003</v>
      </c>
      <c r="DQ111" s="113">
        <f t="shared" si="73"/>
        <v>140.237100225823</v>
      </c>
    </row>
    <row r="112" spans="1:121">
      <c r="B112" t="s">
        <v>158</v>
      </c>
      <c r="C112" s="147">
        <v>0.2</v>
      </c>
      <c r="D112" s="148"/>
      <c r="E112" s="98" t="s">
        <v>177</v>
      </c>
      <c r="F112" s="99">
        <f t="shared" si="75"/>
        <v>1</v>
      </c>
      <c r="G112" s="115"/>
      <c r="H112" s="100">
        <f>IF(VLOOKUP($E112,武器奇术!$A:$R,18,FALSE)="天工",AE112,(AE112+AT112+BI112+BX112+CM112+DB112+DQ112))*(1+J112)*F112*K112*(1+G112)</f>
        <v>11751.0864674956</v>
      </c>
      <c r="I112" s="101">
        <f t="shared" si="42"/>
        <v>0.00145082337603703</v>
      </c>
      <c r="J112" s="101">
        <f>$F$3+VLOOKUP($E112,武器奇术!$A:$R,12,FALSE)+VLOOKUP($E112,武器奇术!$A:$R,14,FALSE)*$G$3+$P112</f>
        <v>0.303</v>
      </c>
      <c r="K112" s="102">
        <f>VLOOKUP($E112,武器奇术!$A:$R,11,FALSE)</f>
        <v>1</v>
      </c>
      <c r="L112" s="117">
        <f>IF(VLOOKUP($E112,武器奇术!$A:$R,15,FALSE)="天工",0%,IF($C$17+VLOOKUP($E112,武器奇术!$A:$R,7,FALSE)&gt;80%,80%,$C$17+VLOOKUP($E112,武器奇术!$A:$R,7,FALSE))+IF($C$19&gt;20%,20%,$C$19))</f>
        <v>0.892</v>
      </c>
      <c r="M112" s="118">
        <f>IF(VLOOKUP($E112,武器奇术!$A:$R,15,FALSE)="天工",0%,IF($C$18+VLOOKUP($E112,武器奇术!$A:$R,9,FALSE)&gt;40%,40%,$C$18+VLOOKUP($E112,武器奇术!$A:$R,9,FALSE))+IF($C$20&gt;10%,10%,$C$20))</f>
        <v>0.0986</v>
      </c>
      <c r="N112" s="119">
        <f>IF(VLOOKUP($E112,武器奇术!$A:$R,15,FALSE)="天工",100%,MIN($C$16,1))</f>
        <v>0.9881</v>
      </c>
      <c r="O112" s="120" t="str">
        <f>VLOOKUP($E112,武器奇术!$A:$R,16,FALSE)</f>
        <v>N/A</v>
      </c>
      <c r="P112" s="121">
        <f t="shared" si="74"/>
        <v>0</v>
      </c>
      <c r="Q112" s="108">
        <f>$B$5*(1+VLOOKUP($E112,武器奇术!$A:$R,5,FALSE)+IF($G$5="飞隼",0.1,0)+IF($G$5="撼天",0.05,0))-$F$9+IF($I$5="√",160,0)</f>
        <v>1731.135</v>
      </c>
      <c r="R112" s="99">
        <f>IF(VLOOKUP($E112,武器奇术!$A:$Z,20,FALSE)=1,(S112-(Q112+S112)*0.5)*($G$15-0.5)*2+(Q112+S112)*0.5,(Q112+S112)*0.5)</f>
        <v>3256.775</v>
      </c>
      <c r="S112" s="109">
        <f>MAX($C$5,$B$5)*(1+VLOOKUP($E112,武器奇术!$A:$R,5,FALSE)+IF($G$5="飞隼",0.1,0)+IF($G$5="撼天",0.05,0))-$F$9+IF($I$5="√",320,0)</f>
        <v>4782.415</v>
      </c>
      <c r="T112" s="101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U112" s="111">
        <f>$E$5+IF(VLOOKUP($E112,武器奇术!$A:$U,21,FALSE)=1,0,0.09)</f>
        <v>0.115</v>
      </c>
      <c r="V112" s="109">
        <v>1</v>
      </c>
      <c r="W112" s="112">
        <f>Q112*VLOOKUP($E112,武器奇术!$A:$R,2,FALSE)*(1+T112)*(1+U112)*V112</f>
        <v>2397.32768205</v>
      </c>
      <c r="X112" s="110">
        <f>(1-IF(VLOOKUP($E112,武器奇术!$A:$T,20,FALSE)=1,1,$N112))*(1-$M112)</f>
        <v>0.01072666</v>
      </c>
      <c r="Y112" s="112">
        <f>R112*VLOOKUP($E112,武器奇术!$A:$R,2,FALSE)*(1+T112)*(1+U112)*V112*(1+$E$16+VLOOKUP($E112,武器奇术!$A:$R,8,FALSE))</f>
        <v>7396.53074613</v>
      </c>
      <c r="Z112" s="110">
        <f t="shared" si="39"/>
        <v>0.8813852</v>
      </c>
      <c r="AA112" s="112">
        <f>S112*VLOOKUP($E112,武器奇术!$A:$R,2,FALSE)*(1+T112)*(1+U112)*V112*(1+$E$17+VLOOKUP($E112,武器奇术!$A:$R,10,FALSE))</f>
        <v>8940.8228820075</v>
      </c>
      <c r="AB112" s="110">
        <f t="shared" si="40"/>
        <v>0.0986</v>
      </c>
      <c r="AC112" s="112">
        <f>R112*VLOOKUP($E112,武器奇术!$A:$R,2,FALSE)*(1+T112)*(1+U112)*V112</f>
        <v>4510.07972325</v>
      </c>
      <c r="AD112" s="110">
        <f t="shared" si="43"/>
        <v>0.00928814000000003</v>
      </c>
      <c r="AE112" s="113">
        <f t="shared" si="44"/>
        <v>7468.36343798453</v>
      </c>
      <c r="AF112" s="114">
        <f>VLOOKUP($E112,武器奇术!$A:$R,3,FALSE)*(1+IF(VLOOKUP($E112,武器奇术!$A:$R,15,FALSE)="武器",$E$15,0))</f>
        <v>0</v>
      </c>
      <c r="AG112" s="112">
        <f t="shared" si="45"/>
        <v>0</v>
      </c>
      <c r="AH112" s="112">
        <f>VLOOKUP($E112,武器奇术!$A:$R,3,FALSE)*(1+IF(VLOOKUP($E112,武器奇术!$A:$R,15,FALSE)="武器",$E$15,0))</f>
        <v>0</v>
      </c>
      <c r="AI112" s="101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AJ112" s="111">
        <f>$E$5+IF(VLOOKUP($E112,武器奇术!$A:$U,21,FALSE)=1,0,0.09)</f>
        <v>0.115</v>
      </c>
      <c r="AK112" s="109">
        <v>1</v>
      </c>
      <c r="AL112" s="112">
        <f t="shared" si="41"/>
        <v>0</v>
      </c>
      <c r="AM112" s="110">
        <f>(1-IF(VLOOKUP($E112,武器奇术!$A:$T,20,FALSE)=1,1,$N112))*(1-$M112)</f>
        <v>0.01072666</v>
      </c>
      <c r="AN112" s="112">
        <f>AG112*(1+AI112)*(1+AJ112)*AK112*(1+$E$16+VLOOKUP($E112,武器奇术!$A:$R,8,FALSE))</f>
        <v>0</v>
      </c>
      <c r="AO112" s="110">
        <f t="shared" si="46"/>
        <v>0.8813852</v>
      </c>
      <c r="AP112" s="112">
        <f>AH112*(1+AI112)*(1+AJ112)*AK112*(1+$E$17+VLOOKUP($E112,武器奇术!$A:$R,10,FALSE))</f>
        <v>0</v>
      </c>
      <c r="AQ112" s="110">
        <f t="shared" si="47"/>
        <v>0.0986</v>
      </c>
      <c r="AR112" s="112">
        <f t="shared" si="48"/>
        <v>0</v>
      </c>
      <c r="AS112" s="110">
        <f t="shared" si="49"/>
        <v>0.00928814000000003</v>
      </c>
      <c r="AT112" s="113">
        <f t="shared" si="50"/>
        <v>0</v>
      </c>
      <c r="AU112" s="108">
        <f>$B$7*IF($G$5="撼天",1.05,1)+IF(AND(VLOOKUP($E112,武器奇术!$A:$R,15,FALSE)="武器",VLOOKUP($E112,武器奇术!$A:$R,17,FALSE)="鸣金"),$E$3,0)*(1+$E$15)</f>
        <v>0</v>
      </c>
      <c r="AV112" s="99">
        <f>(AU112+AW112)*IF(VLOOKUP($E112,武器奇术!$A:$Z,21,FALSE)=1,$G$15,0.5)</f>
        <v>0</v>
      </c>
      <c r="AW112" s="109">
        <f>MAX($C$7*IF($G$5="撼天",1.05,1)+IF(AND(VLOOKUP($E112,武器奇术!$A:$R,15,FALSE)="武器",VLOOKUP($E112,武器奇术!$A:$R,17,FALSE)="鸣金"),$E$3*(1+$E$15),0),AU112)</f>
        <v>0</v>
      </c>
      <c r="AX112" s="110">
        <f>IF(($D$7+IF(VLOOKUP($E112,武器奇术!$A:$R,17,FALSE)="鸣金",$D$15,0)+IF(VLOOKUP($E112,武器奇术!$A:$R,18,FALSE)=1,4,0)+IF(VLOOKUP($E112,武器奇术!$A:$S,19,FALSE)=1,20,0)-VLOOKUP($F$7,目标属性!$A:$R,6,FALSE))&gt;0,($D$7+IF(VLOOKUP($E112,武器奇术!$A:$R,17,FALSE)="鸣金",$D$15,0)+IF(VLOOKUP($E112,武器奇术!$A:$R,18,FALSE)=1,4,0)+IF(VLOOKUP($E112,武器奇术!$A:$S,19,FALSE)=1,20,0)-VLOOKUP($F$7,目标属性!$A:$R,6,FALSE))/200,($D$7+IF(VLOOKUP($E112,武器奇术!$A:$R,17,FALSE)="鸣金",$D$15,0)+IF(VLOOKUP($E112,武器奇术!$A:$R,18,FALSE)=1,4,0)+IF(VLOOKUP($E112,武器奇术!$A:$S,19,FALSE)=1,20,0)-VLOOKUP($F$7,目标属性!$A:$R,6,FALSE))/100)</f>
        <v>-0.24</v>
      </c>
      <c r="AY112" s="111">
        <f t="shared" si="51"/>
        <v>0</v>
      </c>
      <c r="AZ112" s="109">
        <v>1</v>
      </c>
      <c r="BA112" s="112">
        <f>AU112*IF(VLOOKUP($E112,武器奇术!$A:$R,17,FALSE)="鸣金",VLOOKUP($E112,武器奇术!$A:$R,4,FALSE),VLOOKUP($E112,武器奇术!$A:$R,2,FALSE))*(1+AX112)*(1+AY112)*AZ112</f>
        <v>0</v>
      </c>
      <c r="BB112" s="110">
        <f>(1-IF(VLOOKUP($E112,武器奇术!$A:$T,20,FALSE)=1,1,$N112))*(1-$M112)</f>
        <v>0.01072666</v>
      </c>
      <c r="BC112" s="112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110">
        <f t="shared" si="52"/>
        <v>0.8813852</v>
      </c>
      <c r="BE112" s="112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110">
        <f t="shared" si="53"/>
        <v>0.0986</v>
      </c>
      <c r="BG112" s="112">
        <f>AV112*IF(VLOOKUP($E112,武器奇术!$A:$R,17,FALSE)="鸣金",VLOOKUP($E112,武器奇术!$A:$R,4,FALSE),VLOOKUP($E112,武器奇术!$A:$R,2,FALSE))*(1+AX112)*(1+AY112)*AZ112</f>
        <v>0</v>
      </c>
      <c r="BH112" s="110">
        <f t="shared" si="54"/>
        <v>0.00928814000000003</v>
      </c>
      <c r="BI112" s="113">
        <f t="shared" si="55"/>
        <v>0</v>
      </c>
      <c r="BJ112" s="108">
        <f>$B$9*IF($G$5="撼天",1.05,1)+IF(AND(VLOOKUP($E112,武器奇术!$A:$R,15,FALSE)="武器",VLOOKUP($E112,武器奇术!$A:$R,17,FALSE)="裂石"),$E$3,0)*(1+$E$15)</f>
        <v>0</v>
      </c>
      <c r="BK112" s="99">
        <f>(BJ112+BL112)*IF(VLOOKUP($E112,武器奇术!$A:$Z,21,FALSE)=1,$G$15,0.5)</f>
        <v>0</v>
      </c>
      <c r="BL112" s="109">
        <f>MAX($C$9*IF($G$5="撼天",1.05,1)+IF(AND(VLOOKUP($E112,武器奇术!$A:$R,15,FALSE)="武器",VLOOKUP($E112,武器奇术!$A:$R,17,FALSE)="裂石"),$E$3*(1+$E$15),0),BJ112)</f>
        <v>0</v>
      </c>
      <c r="BM112" s="110">
        <f>IF(($D$9+IF(VLOOKUP($E112,武器奇术!$A:$R,17,FALSE)="裂石",$D$15,0)+IF(VLOOKUP($E112,武器奇术!$A:$R,18,FALSE)=1,4,0)+IF(VLOOKUP($E112,武器奇术!$A:$S,19,FALSE)=1,20,0)-VLOOKUP($F$7,目标属性!$A:$R,6,FALSE))&gt;0,($D$9+IF(VLOOKUP($E112,武器奇术!$A:$R,17,FALSE)="裂石",$D$15,0)+IF(VLOOKUP($E112,武器奇术!$A:$R,18,FALSE)=1,4,0)+IF(VLOOKUP($E112,武器奇术!$A:$S,19,FALSE)=1,20,0)-VLOOKUP($F$7,目标属性!$A:$R,6,FALSE))/200,($D$9+IF(VLOOKUP($E112,武器奇术!$A:$R,17,FALSE)="裂石",$D$15,0)+IF(VLOOKUP($E112,武器奇术!$A:$R,18,FALSE)=1,4,0)+IF(VLOOKUP($E112,武器奇术!$A:$S,19,FALSE)=1,20,0)-VLOOKUP($F$7,目标属性!$A:$R,6,FALSE))/100)</f>
        <v>-0.24</v>
      </c>
      <c r="BN112" s="111">
        <f t="shared" si="56"/>
        <v>0</v>
      </c>
      <c r="BO112" s="109">
        <v>1</v>
      </c>
      <c r="BP112" s="112">
        <f>BJ112*IF(VLOOKUP($E112,武器奇术!$A:$R,17,FALSE)="裂石",VLOOKUP($E112,武器奇术!$A:$R,4,FALSE),VLOOKUP($E112,武器奇术!$A:$R,2,FALSE))*(1+BM112)*(1+BN112)*BO112</f>
        <v>0</v>
      </c>
      <c r="BQ112" s="110">
        <f>(1-IF(VLOOKUP($E112,武器奇术!$A:$T,20,FALSE)=1,1,$N112))*(1-$M112)</f>
        <v>0.01072666</v>
      </c>
      <c r="BR112" s="112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110">
        <f t="shared" si="57"/>
        <v>0.8813852</v>
      </c>
      <c r="BT112" s="112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110">
        <f t="shared" si="58"/>
        <v>0.0986</v>
      </c>
      <c r="BV112" s="112">
        <f>BK112*IF(VLOOKUP($E112,武器奇术!$A:$R,17,FALSE)="裂石",VLOOKUP($E112,武器奇术!$A:$R,4,FALSE),VLOOKUP($E112,武器奇术!$A:$R,2,FALSE))*(1+BM112)*(1+BN112)*BO112</f>
        <v>0</v>
      </c>
      <c r="BW112" s="110">
        <f t="shared" si="59"/>
        <v>0.00928814000000003</v>
      </c>
      <c r="BX112" s="113">
        <f t="shared" si="60"/>
        <v>0</v>
      </c>
      <c r="BY112" s="108">
        <f>$B$11*IF($G$5="撼天",1.05,1)+IF(AND(VLOOKUP($E112,武器奇术!$A:$R,15,FALSE)="武器",VLOOKUP($E112,武器奇术!$A:$R,17,FALSE)="牵丝"),$E$3,0)*(1+$E$15)</f>
        <v>0</v>
      </c>
      <c r="BZ112" s="99">
        <f>(BY112+CA112)*IF(VLOOKUP($E112,武器奇术!$A:$Z,21,FALSE)=1,$G$15,0.5)</f>
        <v>0</v>
      </c>
      <c r="CA112" s="109">
        <f>MAX($C$11*IF($G$5="撼天",1.05,1)+IF(AND(VLOOKUP($E112,武器奇术!$A:$R,15,FALSE)="武器",VLOOKUP($E112,武器奇术!$A:$R,17,FALSE)="牵丝"),$E$3*(1+$E$15),0),BY112)</f>
        <v>0</v>
      </c>
      <c r="CB112" s="110">
        <f>IF(($D$11+IF(VLOOKUP($E112,武器奇术!$A:$R,17,FALSE)="牵丝",$D$15,0)+IF(VLOOKUP($E112,武器奇术!$A:$R,18,FALSE)=1,4,0)+IF(VLOOKUP($E112,武器奇术!$A:$S,19,FALSE)=1,20,0)-VLOOKUP($F$7,目标属性!$A:$R,6,FALSE))&gt;0,($D$11+IF(VLOOKUP($E112,武器奇术!$A:$R,17,FALSE)="牵丝",$D$15,0)+IF(VLOOKUP($E112,武器奇术!$A:$R,18,FALSE)=1,4,0)+IF(VLOOKUP($E112,武器奇术!$A:$S,19,FALSE)=1,20,0)-VLOOKUP($F$7,目标属性!$A:$R,6,FALSE))/200,($D$11+IF(VLOOKUP($E112,武器奇术!$A:$R,17,FALSE)="牵丝",$D$15,0)+IF(VLOOKUP($E112,武器奇术!$A:$R,18,FALSE)=1,4,0)+IF(VLOOKUP($E112,武器奇术!$A:$S,19,FALSE)=1,20,0)-VLOOKUP($F$7,目标属性!$A:$R,6,FALSE))/100)</f>
        <v>-0.24</v>
      </c>
      <c r="CC112" s="111">
        <f t="shared" si="61"/>
        <v>0</v>
      </c>
      <c r="CD112" s="109">
        <v>1</v>
      </c>
      <c r="CE112" s="112">
        <f>BY112*IF(VLOOKUP($E112,武器奇术!$A:$R,17,FALSE)="牵丝",VLOOKUP($E112,武器奇术!$A:$R,4,FALSE),VLOOKUP($E112,武器奇术!$A:$R,2,FALSE))*(1+CB112)*(1+CC112)*CD112</f>
        <v>0</v>
      </c>
      <c r="CF112" s="110">
        <f>(1-IF(VLOOKUP($E112,武器奇术!$A:$T,20,FALSE)=1,1,$N112))*(1-$M112)</f>
        <v>0.01072666</v>
      </c>
      <c r="CG112" s="112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110">
        <f t="shared" si="62"/>
        <v>0.8813852</v>
      </c>
      <c r="CI112" s="112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110">
        <f t="shared" si="63"/>
        <v>0.0986</v>
      </c>
      <c r="CK112" s="112">
        <f>BZ112*IF(VLOOKUP($E112,武器奇术!$A:$R,17,FALSE)="牵丝",VLOOKUP($E112,武器奇术!$A:$R,4,FALSE),VLOOKUP($E112,武器奇术!$A:$R,2,FALSE))*(1+CB112)*(1+CC112)*CD112</f>
        <v>0</v>
      </c>
      <c r="CL112" s="110">
        <f t="shared" si="64"/>
        <v>0.00928814000000003</v>
      </c>
      <c r="CM112" s="113">
        <f t="shared" si="65"/>
        <v>0</v>
      </c>
      <c r="CN112" s="108">
        <f>$B$13*IF($G$5="撼天",1.05,1)+IF(AND(VLOOKUP($E112,武器奇术!$A:$R,15,FALSE)="武器",VLOOKUP($E112,武器奇术!$A:$R,17,FALSE)="破竹"),$E$3,0)*(1+$E$15)</f>
        <v>452.55</v>
      </c>
      <c r="CO112" s="99">
        <f>IF(VLOOKUP($E112,武器奇术!$A:$Z,20,FALSE)=1,(CP112-(CN112+CP112)*0.5)*($G$15-0.5)*2+(CN112+CP112)*0.5,(CN112+CP112)*0.5)</f>
        <v>679.35</v>
      </c>
      <c r="CP112" s="109">
        <f>MAX($C$13*IF($G$5="撼天",1.05,1)+IF(AND(VLOOKUP($E112,武器奇术!$A:$R,15,FALSE)="武器",VLOOKUP($E112,武器奇术!$A:$R,17,FALSE)="破竹"),$E$3*(1+$E$15),0),CN112)</f>
        <v>906.15</v>
      </c>
      <c r="CQ112" s="110">
        <f>IF(($D$13+IF(VLOOKUP($E112,武器奇术!$A:$R,17,FALSE)="破竹",$D$15,0)+IF(VLOOKUP($E112,武器奇术!$A:$R,18,FALSE)=1,4,0)+IF(VLOOKUP($E112,武器奇术!$A:$S,19,FALSE)=1,20,0)-VLOOKUP($F$7,目标属性!$A:$R,6,FALSE))&gt;0,($D$13+IF(VLOOKUP($E112,武器奇术!$A:$R,17,FALSE)="破竹",$D$15,0)+IF(VLOOKUP($E112,武器奇术!$A:$R,18,FALSE)=1,4,0)+IF(VLOOKUP($E112,武器奇术!$A:$S,19,FALSE)=1,20,0)-VLOOKUP($F$7,目标属性!$A:$R,6,FALSE))/200,($D$13+IF(VLOOKUP($E112,武器奇术!$A:$R,17,FALSE)="破竹",$D$15,0)+IF(VLOOKUP($E112,武器奇术!$A:$R,18,FALSE)=1,4,0)+IF(VLOOKUP($E112,武器奇术!$A:$S,19,FALSE)=1,20,0)-VLOOKUP($F$7,目标属性!$A:$R,6,FALSE))/100)</f>
        <v>0.025</v>
      </c>
      <c r="CR112" s="111">
        <f>$E$13+IF(VLOOKUP($E112,武器奇术!$A:$U,21,FALSE)=1,0,0.09)</f>
        <v>0.235</v>
      </c>
      <c r="CS112" s="109">
        <v>1</v>
      </c>
      <c r="CT112" s="112">
        <f>CN112*IF(VLOOKUP($E112,武器奇术!$A:$R,17,FALSE)="破竹",VLOOKUP($E112,武器奇术!$A:$R,4,FALSE),VLOOKUP($E112,武器奇术!$A:$R,2,FALSE))*(1+CQ112)*(1+CR112)*CS112</f>
        <v>572.87173125</v>
      </c>
      <c r="CU112" s="110">
        <f>(1-IF(VLOOKUP($E112,武器奇术!$A:$T,20,FALSE)=1,1,$N112))*(1-$M112)</f>
        <v>0.01072666</v>
      </c>
      <c r="CV112" s="112">
        <f>CO112*IF(VLOOKUP($E112,武器奇术!$A:$R,17,FALSE)="破竹",VLOOKUP($E112,武器奇术!$A:$R,4,FALSE),VLOOKUP($E112,武器奇术!$A:$R,2,FALSE))*(1+CQ112)*(1+CR112)*CS112*(1+$E$16+VLOOKUP($E112,武器奇术!$A:$R,8,FALSE))</f>
        <v>1410.35437725</v>
      </c>
      <c r="CW112" s="110">
        <f t="shared" si="66"/>
        <v>0.8813852</v>
      </c>
      <c r="CX112" s="112">
        <f>CP112*IF(VLOOKUP($E112,武器奇术!$A:$R,17,FALSE)="破竹",VLOOKUP($E112,武器奇术!$A:$R,4,FALSE),VLOOKUP($E112,武器奇术!$A:$R,2,FALSE))*(1+CQ112)*(1+CR112)*CS112*(1+$E$17+VLOOKUP($E112,武器奇术!$A:$R,10,FALSE))</f>
        <v>1548.5480521875</v>
      </c>
      <c r="CY112" s="110">
        <f t="shared" si="67"/>
        <v>0.0986</v>
      </c>
      <c r="CZ112" s="112">
        <f>CO112*IF(VLOOKUP($E112,武器奇术!$A:$R,17,FALSE)="破竹",VLOOKUP($E112,武器奇术!$A:$R,4,FALSE),VLOOKUP($E112,武器奇术!$A:$R,2,FALSE))*(1+CQ112)*(1+CR112)*CS112</f>
        <v>859.97218125</v>
      </c>
      <c r="DA112" s="110">
        <f t="shared" si="68"/>
        <v>0.00928814000000003</v>
      </c>
      <c r="DB112" s="113">
        <f t="shared" si="69"/>
        <v>1409.88485510934</v>
      </c>
      <c r="DC112" s="108">
        <f t="shared" si="36"/>
        <v>69.3</v>
      </c>
      <c r="DD112" s="99">
        <f>(DC112+DE112)*IF(VLOOKUP($E112,武器奇术!$A:$Z,21,FALSE)=1,$G$15,0.5)</f>
        <v>69.3</v>
      </c>
      <c r="DE112" s="109">
        <f t="shared" si="37"/>
        <v>69.3</v>
      </c>
      <c r="DF112" s="110">
        <f>IF(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100)</f>
        <v>0.025</v>
      </c>
      <c r="DG112" s="111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U,21,FALSE)=1,0,0.09)</f>
        <v>0.235</v>
      </c>
      <c r="DH112" s="109">
        <v>1</v>
      </c>
      <c r="DI112" s="112">
        <f>DC112*IF(VLOOKUP($E112,武器奇术!$A:$R,17,FALSE)="破竹",VLOOKUP($E112,武器奇术!$A:$R,4,FALSE),VLOOKUP($E112,武器奇术!$A:$R,2,FALSE))*(1+DF112)*(1+DG112)*DH112</f>
        <v>87.7251375</v>
      </c>
      <c r="DJ112" s="110">
        <f>(1-IF(VLOOKUP($E112,武器奇术!$A:$T,20,FALSE)=1,1,$N112))*(1-$M112)</f>
        <v>0.01072666</v>
      </c>
      <c r="DK112" s="112">
        <f>DD112*IF(VLOOKUP($E112,武器奇术!$A:$R,17,FALSE)="破竹",VLOOKUP($E112,武器奇术!$A:$R,4,FALSE),VLOOKUP($E112,武器奇术!$A:$R,2,FALSE))*(1+DF112)*(1+DG112)*DH112*(1+$E$16+VLOOKUP($E112,武器奇术!$A:$R,8,FALSE))</f>
        <v>143.8692255</v>
      </c>
      <c r="DL112" s="110">
        <f t="shared" si="70"/>
        <v>0.8813852</v>
      </c>
      <c r="DM112" s="112">
        <f>DE112*IF(VLOOKUP($E112,武器奇术!$A:$R,17,FALSE)="破竹",VLOOKUP($E112,武器奇术!$A:$R,4,FALSE),VLOOKUP($E112,武器奇术!$A:$R,2,FALSE))*(1+DF112)*(1+DG112)*DH112*(1+$E$17+VLOOKUP($E112,武器奇术!$A:$R,10,FALSE))</f>
        <v>118.428935625</v>
      </c>
      <c r="DN112" s="110">
        <f t="shared" si="71"/>
        <v>0.0986</v>
      </c>
      <c r="DO112" s="112">
        <f>DD112*IF(VLOOKUP($E112,武器奇术!$A:$R,17,FALSE)="破竹",VLOOKUP($E112,武器奇术!$A:$R,4,FALSE),VLOOKUP($E112,武器奇术!$A:$R,2,FALSE))*(1+DF112)*(1+DG112)*DH112</f>
        <v>87.7251375</v>
      </c>
      <c r="DP112" s="110">
        <f t="shared" si="72"/>
        <v>0.00928814000000003</v>
      </c>
      <c r="DQ112" s="113">
        <f t="shared" si="73"/>
        <v>140.237100225823</v>
      </c>
    </row>
    <row r="113" spans="1:121">
      <c r="B113" t="s">
        <v>167</v>
      </c>
      <c r="C113" s="147">
        <v>1.7</v>
      </c>
      <c r="D113" s="148"/>
      <c r="E113" s="98" t="s">
        <v>177</v>
      </c>
      <c r="F113" s="99">
        <f>IF($J$3="√",2,0)</f>
        <v>2</v>
      </c>
      <c r="G113" s="115"/>
      <c r="H113" s="149">
        <f>IF(VLOOKUP($E113,武器奇术!$A:$R,18,FALSE)="天工",AE113,(AE113+AT113+BI113+BX113+CM113+DB113+DQ113))*(1+J113)*F113*K113*(1+G113)*(1+$G$21*5%)</f>
        <v>31727.933462238</v>
      </c>
      <c r="I113" s="101">
        <f t="shared" si="42"/>
        <v>0.00391722311529998</v>
      </c>
      <c r="J113" s="101">
        <f>$F$3+VLOOKUP($E113,武器奇术!$A:$R,12,FALSE)+VLOOKUP($E113,武器奇术!$A:$R,14,FALSE)*$G$3+$P113</f>
        <v>0.303</v>
      </c>
      <c r="K113" s="102">
        <f>VLOOKUP($E113,武器奇术!$A:$R,11,FALSE)</f>
        <v>1</v>
      </c>
      <c r="L113" s="117">
        <f>IF(VLOOKUP($E113,武器奇术!$A:$R,15,FALSE)="天工",0%,IF($C$17+VLOOKUP($E113,武器奇术!$A:$R,7,FALSE)&gt;80%,80%,$C$17+VLOOKUP($E113,武器奇术!$A:$R,7,FALSE))+IF($C$19&gt;20%,20%,$C$19))</f>
        <v>0.892</v>
      </c>
      <c r="M113" s="118">
        <f>IF(VLOOKUP($E113,武器奇术!$A:$R,15,FALSE)="天工",0%,IF($C$18+VLOOKUP($E113,武器奇术!$A:$R,9,FALSE)&gt;40%,40%,$C$18+VLOOKUP($E113,武器奇术!$A:$R,9,FALSE))+IF($C$20&gt;10%,10%,$C$20))</f>
        <v>0.0986</v>
      </c>
      <c r="N113" s="119">
        <f>IF(VLOOKUP($E113,武器奇术!$A:$R,15,FALSE)="天工",100%,MIN($C$16,1))</f>
        <v>0.9881</v>
      </c>
      <c r="O113" s="120" t="str">
        <f>VLOOKUP($E113,武器奇术!$A:$R,16,FALSE)</f>
        <v>N/A</v>
      </c>
      <c r="P113" s="121">
        <f t="shared" si="74"/>
        <v>0</v>
      </c>
      <c r="Q113" s="108">
        <f>$B$5*(1+VLOOKUP($E113,武器奇术!$A:$R,5,FALSE)+IF($G$5="飞隼",0.1,0)+IF($G$5="撼天",0.05,0))-$F$9+IF($I$5="√",160,0)</f>
        <v>1731.135</v>
      </c>
      <c r="R113" s="99">
        <f>IF(VLOOKUP($E113,武器奇术!$A:$Z,20,FALSE)=1,(S113-(Q113+S113)*0.5)*($G$15-0.5)*2+(Q113+S113)*0.5,(Q113+S113)*0.5)</f>
        <v>3256.775</v>
      </c>
      <c r="S113" s="109">
        <f>MAX($C$5,$B$5)*(1+VLOOKUP($E113,武器奇术!$A:$R,5,FALSE)+IF($G$5="飞隼",0.1,0)+IF($G$5="撼天",0.05,0))-$F$9+IF($I$5="√",320,0)</f>
        <v>4782.415</v>
      </c>
      <c r="T113" s="101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U113" s="111">
        <f>$E$5+IF(VLOOKUP($E113,武器奇术!$A:$U,21,FALSE)=1,0,0.09)</f>
        <v>0.115</v>
      </c>
      <c r="V113" s="109">
        <v>1</v>
      </c>
      <c r="W113" s="112">
        <f>Q113*VLOOKUP($E113,武器奇术!$A:$R,2,FALSE)*(1+T113)*(1+U113)*V113</f>
        <v>2397.32768205</v>
      </c>
      <c r="X113" s="110">
        <f>(1-IF(VLOOKUP($E113,武器奇术!$A:$T,20,FALSE)=1,1,$N113))*(1-$M113)</f>
        <v>0.01072666</v>
      </c>
      <c r="Y113" s="112">
        <f>R113*VLOOKUP($E113,武器奇术!$A:$R,2,FALSE)*(1+T113)*(1+U113)*V113*(1+$E$16+VLOOKUP($E113,武器奇术!$A:$R,8,FALSE))</f>
        <v>7396.53074613</v>
      </c>
      <c r="Z113" s="110">
        <f t="shared" si="39"/>
        <v>0.8813852</v>
      </c>
      <c r="AA113" s="112">
        <f>S113*VLOOKUP($E113,武器奇术!$A:$R,2,FALSE)*(1+T113)*(1+U113)*V113*(1+$E$17+VLOOKUP($E113,武器奇术!$A:$R,10,FALSE))</f>
        <v>8940.8228820075</v>
      </c>
      <c r="AB113" s="110">
        <f t="shared" si="40"/>
        <v>0.0986</v>
      </c>
      <c r="AC113" s="112">
        <f>R113*VLOOKUP($E113,武器奇术!$A:$R,2,FALSE)*(1+T113)*(1+U113)*V113</f>
        <v>4510.07972325</v>
      </c>
      <c r="AD113" s="110">
        <f t="shared" si="43"/>
        <v>0.00928814000000003</v>
      </c>
      <c r="AE113" s="113">
        <f t="shared" si="44"/>
        <v>7468.36343798453</v>
      </c>
      <c r="AF113" s="114">
        <f>VLOOKUP($E113,武器奇术!$A:$R,3,FALSE)*(1+IF(VLOOKUP($E113,武器奇术!$A:$R,15,FALSE)="武器",$E$15,0))</f>
        <v>0</v>
      </c>
      <c r="AG113" s="112">
        <f t="shared" si="45"/>
        <v>0</v>
      </c>
      <c r="AH113" s="112">
        <f>VLOOKUP($E113,武器奇术!$A:$R,3,FALSE)*(1+IF(VLOOKUP($E113,武器奇术!$A:$R,15,FALSE)="武器",$E$15,0))</f>
        <v>0</v>
      </c>
      <c r="AI113" s="101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AJ113" s="111">
        <f>$E$5+IF(VLOOKUP($E113,武器奇术!$A:$U,21,FALSE)=1,0,0.09)</f>
        <v>0.115</v>
      </c>
      <c r="AK113" s="109">
        <v>1</v>
      </c>
      <c r="AL113" s="112">
        <f t="shared" si="41"/>
        <v>0</v>
      </c>
      <c r="AM113" s="110">
        <f>(1-IF(VLOOKUP($E113,武器奇术!$A:$T,20,FALSE)=1,1,$N113))*(1-$M113)</f>
        <v>0.01072666</v>
      </c>
      <c r="AN113" s="112">
        <f>AG113*(1+AI113)*(1+AJ113)*AK113*(1+$E$16+VLOOKUP($E113,武器奇术!$A:$R,8,FALSE))</f>
        <v>0</v>
      </c>
      <c r="AO113" s="110">
        <f t="shared" si="46"/>
        <v>0.8813852</v>
      </c>
      <c r="AP113" s="112">
        <f>AH113*(1+AI113)*(1+AJ113)*AK113*(1+$E$17+VLOOKUP($E113,武器奇术!$A:$R,10,FALSE))</f>
        <v>0</v>
      </c>
      <c r="AQ113" s="110">
        <f t="shared" si="47"/>
        <v>0.0986</v>
      </c>
      <c r="AR113" s="112">
        <f t="shared" si="48"/>
        <v>0</v>
      </c>
      <c r="AS113" s="110">
        <f t="shared" si="49"/>
        <v>0.00928814000000003</v>
      </c>
      <c r="AT113" s="113">
        <f t="shared" si="50"/>
        <v>0</v>
      </c>
      <c r="AU113" s="108">
        <f>$B$7*IF($G$5="撼天",1.05,1)+IF(AND(VLOOKUP($E113,武器奇术!$A:$R,15,FALSE)="武器",VLOOKUP($E113,武器奇术!$A:$R,17,FALSE)="鸣金"),$E$3,0)*(1+$E$15)</f>
        <v>0</v>
      </c>
      <c r="AV113" s="99">
        <f>(AU113+AW113)*IF(VLOOKUP($E113,武器奇术!$A:$Z,21,FALSE)=1,$G$15,0.5)</f>
        <v>0</v>
      </c>
      <c r="AW113" s="109">
        <f>MAX($C$7*IF($G$5="撼天",1.05,1)+IF(AND(VLOOKUP($E113,武器奇术!$A:$R,15,FALSE)="武器",VLOOKUP($E113,武器奇术!$A:$R,17,FALSE)="鸣金"),$E$3*(1+$E$15),0),AU113)</f>
        <v>0</v>
      </c>
      <c r="AX113" s="110">
        <f>IF(($D$7+IF(VLOOKUP($E113,武器奇术!$A:$R,17,FALSE)="鸣金",$D$15,0)+IF(VLOOKUP($E113,武器奇术!$A:$R,18,FALSE)=1,4,0)+IF(VLOOKUP($E113,武器奇术!$A:$S,19,FALSE)=1,20,0)-VLOOKUP($F$7,目标属性!$A:$R,6,FALSE))&gt;0,($D$7+IF(VLOOKUP($E113,武器奇术!$A:$R,17,FALSE)="鸣金",$D$15,0)+IF(VLOOKUP($E113,武器奇术!$A:$R,18,FALSE)=1,4,0)+IF(VLOOKUP($E113,武器奇术!$A:$S,19,FALSE)=1,20,0)-VLOOKUP($F$7,目标属性!$A:$R,6,FALSE))/200,($D$7+IF(VLOOKUP($E113,武器奇术!$A:$R,17,FALSE)="鸣金",$D$15,0)+IF(VLOOKUP($E113,武器奇术!$A:$R,18,FALSE)=1,4,0)+IF(VLOOKUP($E113,武器奇术!$A:$S,19,FALSE)=1,20,0)-VLOOKUP($F$7,目标属性!$A:$R,6,FALSE))/100)</f>
        <v>-0.24</v>
      </c>
      <c r="AY113" s="111">
        <f t="shared" si="51"/>
        <v>0</v>
      </c>
      <c r="AZ113" s="109">
        <v>1</v>
      </c>
      <c r="BA113" s="112">
        <f>AU113*IF(VLOOKUP($E113,武器奇术!$A:$R,17,FALSE)="鸣金",VLOOKUP($E113,武器奇术!$A:$R,4,FALSE),VLOOKUP($E113,武器奇术!$A:$R,2,FALSE))*(1+AX113)*(1+AY113)*AZ113</f>
        <v>0</v>
      </c>
      <c r="BB113" s="110">
        <f>(1-IF(VLOOKUP($E113,武器奇术!$A:$T,20,FALSE)=1,1,$N113))*(1-$M113)</f>
        <v>0.01072666</v>
      </c>
      <c r="BC113" s="112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110">
        <f t="shared" si="52"/>
        <v>0.8813852</v>
      </c>
      <c r="BE113" s="112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110">
        <f t="shared" si="53"/>
        <v>0.0986</v>
      </c>
      <c r="BG113" s="112">
        <f>AV113*IF(VLOOKUP($E113,武器奇术!$A:$R,17,FALSE)="鸣金",VLOOKUP($E113,武器奇术!$A:$R,4,FALSE),VLOOKUP($E113,武器奇术!$A:$R,2,FALSE))*(1+AX113)*(1+AY113)*AZ113</f>
        <v>0</v>
      </c>
      <c r="BH113" s="110">
        <f t="shared" si="54"/>
        <v>0.00928814000000003</v>
      </c>
      <c r="BI113" s="113">
        <f t="shared" si="55"/>
        <v>0</v>
      </c>
      <c r="BJ113" s="108">
        <f>$B$9*IF($G$5="撼天",1.05,1)+IF(AND(VLOOKUP($E113,武器奇术!$A:$R,15,FALSE)="武器",VLOOKUP($E113,武器奇术!$A:$R,17,FALSE)="裂石"),$E$3,0)*(1+$E$15)</f>
        <v>0</v>
      </c>
      <c r="BK113" s="99">
        <f>(BJ113+BL113)*IF(VLOOKUP($E113,武器奇术!$A:$Z,21,FALSE)=1,$G$15,0.5)</f>
        <v>0</v>
      </c>
      <c r="BL113" s="109">
        <f>MAX($C$9*IF($G$5="撼天",1.05,1)+IF(AND(VLOOKUP($E113,武器奇术!$A:$R,15,FALSE)="武器",VLOOKUP($E113,武器奇术!$A:$R,17,FALSE)="裂石"),$E$3*(1+$E$15),0),BJ113)</f>
        <v>0</v>
      </c>
      <c r="BM113" s="110">
        <f>IF(($D$9+IF(VLOOKUP($E113,武器奇术!$A:$R,17,FALSE)="裂石",$D$15,0)+IF(VLOOKUP($E113,武器奇术!$A:$R,18,FALSE)=1,4,0)+IF(VLOOKUP($E113,武器奇术!$A:$S,19,FALSE)=1,20,0)-VLOOKUP($F$7,目标属性!$A:$R,6,FALSE))&gt;0,($D$9+IF(VLOOKUP($E113,武器奇术!$A:$R,17,FALSE)="裂石",$D$15,0)+IF(VLOOKUP($E113,武器奇术!$A:$R,18,FALSE)=1,4,0)+IF(VLOOKUP($E113,武器奇术!$A:$S,19,FALSE)=1,20,0)-VLOOKUP($F$7,目标属性!$A:$R,6,FALSE))/200,($D$9+IF(VLOOKUP($E113,武器奇术!$A:$R,17,FALSE)="裂石",$D$15,0)+IF(VLOOKUP($E113,武器奇术!$A:$R,18,FALSE)=1,4,0)+IF(VLOOKUP($E113,武器奇术!$A:$S,19,FALSE)=1,20,0)-VLOOKUP($F$7,目标属性!$A:$R,6,FALSE))/100)</f>
        <v>-0.24</v>
      </c>
      <c r="BN113" s="111">
        <f t="shared" si="56"/>
        <v>0</v>
      </c>
      <c r="BO113" s="109">
        <v>1</v>
      </c>
      <c r="BP113" s="112">
        <f>BJ113*IF(VLOOKUP($E113,武器奇术!$A:$R,17,FALSE)="裂石",VLOOKUP($E113,武器奇术!$A:$R,4,FALSE),VLOOKUP($E113,武器奇术!$A:$R,2,FALSE))*(1+BM113)*(1+BN113)*BO113</f>
        <v>0</v>
      </c>
      <c r="BQ113" s="110">
        <f>(1-IF(VLOOKUP($E113,武器奇术!$A:$T,20,FALSE)=1,1,$N113))*(1-$M113)</f>
        <v>0.01072666</v>
      </c>
      <c r="BR113" s="112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110">
        <f t="shared" si="57"/>
        <v>0.8813852</v>
      </c>
      <c r="BT113" s="112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110">
        <f t="shared" si="58"/>
        <v>0.0986</v>
      </c>
      <c r="BV113" s="112">
        <f>BK113*IF(VLOOKUP($E113,武器奇术!$A:$R,17,FALSE)="裂石",VLOOKUP($E113,武器奇术!$A:$R,4,FALSE),VLOOKUP($E113,武器奇术!$A:$R,2,FALSE))*(1+BM113)*(1+BN113)*BO113</f>
        <v>0</v>
      </c>
      <c r="BW113" s="110">
        <f t="shared" si="59"/>
        <v>0.00928814000000003</v>
      </c>
      <c r="BX113" s="113">
        <f t="shared" si="60"/>
        <v>0</v>
      </c>
      <c r="BY113" s="108">
        <f>$B$11*IF($G$5="撼天",1.05,1)+IF(AND(VLOOKUP($E113,武器奇术!$A:$R,15,FALSE)="武器",VLOOKUP($E113,武器奇术!$A:$R,17,FALSE)="牵丝"),$E$3,0)*(1+$E$15)</f>
        <v>0</v>
      </c>
      <c r="BZ113" s="99">
        <f>(BY113+CA113)*IF(VLOOKUP($E113,武器奇术!$A:$Z,21,FALSE)=1,$G$15,0.5)</f>
        <v>0</v>
      </c>
      <c r="CA113" s="109">
        <f>MAX($C$11*IF($G$5="撼天",1.05,1)+IF(AND(VLOOKUP($E113,武器奇术!$A:$R,15,FALSE)="武器",VLOOKUP($E113,武器奇术!$A:$R,17,FALSE)="牵丝"),$E$3*(1+$E$15),0),BY113)</f>
        <v>0</v>
      </c>
      <c r="CB113" s="110">
        <f>IF(($D$11+IF(VLOOKUP($E113,武器奇术!$A:$R,17,FALSE)="牵丝",$D$15,0)+IF(VLOOKUP($E113,武器奇术!$A:$R,18,FALSE)=1,4,0)+IF(VLOOKUP($E113,武器奇术!$A:$S,19,FALSE)=1,20,0)-VLOOKUP($F$7,目标属性!$A:$R,6,FALSE))&gt;0,($D$11+IF(VLOOKUP($E113,武器奇术!$A:$R,17,FALSE)="牵丝",$D$15,0)+IF(VLOOKUP($E113,武器奇术!$A:$R,18,FALSE)=1,4,0)+IF(VLOOKUP($E113,武器奇术!$A:$S,19,FALSE)=1,20,0)-VLOOKUP($F$7,目标属性!$A:$R,6,FALSE))/200,($D$11+IF(VLOOKUP($E113,武器奇术!$A:$R,17,FALSE)="牵丝",$D$15,0)+IF(VLOOKUP($E113,武器奇术!$A:$R,18,FALSE)=1,4,0)+IF(VLOOKUP($E113,武器奇术!$A:$S,19,FALSE)=1,20,0)-VLOOKUP($F$7,目标属性!$A:$R,6,FALSE))/100)</f>
        <v>-0.24</v>
      </c>
      <c r="CC113" s="111">
        <f t="shared" si="61"/>
        <v>0</v>
      </c>
      <c r="CD113" s="109">
        <v>1</v>
      </c>
      <c r="CE113" s="112">
        <f>BY113*IF(VLOOKUP($E113,武器奇术!$A:$R,17,FALSE)="牵丝",VLOOKUP($E113,武器奇术!$A:$R,4,FALSE),VLOOKUP($E113,武器奇术!$A:$R,2,FALSE))*(1+CB113)*(1+CC113)*CD113</f>
        <v>0</v>
      </c>
      <c r="CF113" s="110">
        <f>(1-IF(VLOOKUP($E113,武器奇术!$A:$T,20,FALSE)=1,1,$N113))*(1-$M113)</f>
        <v>0.01072666</v>
      </c>
      <c r="CG113" s="112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110">
        <f t="shared" si="62"/>
        <v>0.8813852</v>
      </c>
      <c r="CI113" s="112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110">
        <f t="shared" si="63"/>
        <v>0.0986</v>
      </c>
      <c r="CK113" s="112">
        <f>BZ113*IF(VLOOKUP($E113,武器奇术!$A:$R,17,FALSE)="牵丝",VLOOKUP($E113,武器奇术!$A:$R,4,FALSE),VLOOKUP($E113,武器奇术!$A:$R,2,FALSE))*(1+CB113)*(1+CC113)*CD113</f>
        <v>0</v>
      </c>
      <c r="CL113" s="110">
        <f t="shared" si="64"/>
        <v>0.00928814000000003</v>
      </c>
      <c r="CM113" s="113">
        <f t="shared" si="65"/>
        <v>0</v>
      </c>
      <c r="CN113" s="108">
        <f>$B$13*IF($G$5="撼天",1.05,1)+IF(AND(VLOOKUP($E113,武器奇术!$A:$R,15,FALSE)="武器",VLOOKUP($E113,武器奇术!$A:$R,17,FALSE)="破竹"),$E$3,0)*(1+$E$15)</f>
        <v>452.55</v>
      </c>
      <c r="CO113" s="99">
        <f>IF(VLOOKUP($E113,武器奇术!$A:$Z,20,FALSE)=1,(CP113-(CN113+CP113)*0.5)*($G$15-0.5)*2+(CN113+CP113)*0.5,(CN113+CP113)*0.5)</f>
        <v>679.35</v>
      </c>
      <c r="CP113" s="109">
        <f>MAX($C$13*IF($G$5="撼天",1.05,1)+IF(AND(VLOOKUP($E113,武器奇术!$A:$R,15,FALSE)="武器",VLOOKUP($E113,武器奇术!$A:$R,17,FALSE)="破竹"),$E$3*(1+$E$15),0),CN113)</f>
        <v>906.15</v>
      </c>
      <c r="CQ113" s="110">
        <f>IF(($D$13+IF(VLOOKUP($E113,武器奇术!$A:$R,17,FALSE)="破竹",$D$15,0)+IF(VLOOKUP($E113,武器奇术!$A:$R,18,FALSE)=1,4,0)+IF(VLOOKUP($E113,武器奇术!$A:$S,19,FALSE)=1,20,0)-VLOOKUP($F$7,目标属性!$A:$R,6,FALSE))&gt;0,($D$13+IF(VLOOKUP($E113,武器奇术!$A:$R,17,FALSE)="破竹",$D$15,0)+IF(VLOOKUP($E113,武器奇术!$A:$R,18,FALSE)=1,4,0)+IF(VLOOKUP($E113,武器奇术!$A:$S,19,FALSE)=1,20,0)-VLOOKUP($F$7,目标属性!$A:$R,6,FALSE))/200,($D$13+IF(VLOOKUP($E113,武器奇术!$A:$R,17,FALSE)="破竹",$D$15,0)+IF(VLOOKUP($E113,武器奇术!$A:$R,18,FALSE)=1,4,0)+IF(VLOOKUP($E113,武器奇术!$A:$S,19,FALSE)=1,20,0)-VLOOKUP($F$7,目标属性!$A:$R,6,FALSE))/100)</f>
        <v>0.025</v>
      </c>
      <c r="CR113" s="111">
        <f>$E$13+IF(VLOOKUP($E113,武器奇术!$A:$U,21,FALSE)=1,0,0.09)</f>
        <v>0.235</v>
      </c>
      <c r="CS113" s="109">
        <v>1</v>
      </c>
      <c r="CT113" s="112">
        <f>CN113*IF(VLOOKUP($E113,武器奇术!$A:$R,17,FALSE)="破竹",VLOOKUP($E113,武器奇术!$A:$R,4,FALSE),VLOOKUP($E113,武器奇术!$A:$R,2,FALSE))*(1+CQ113)*(1+CR113)*CS113</f>
        <v>572.87173125</v>
      </c>
      <c r="CU113" s="110">
        <f>(1-IF(VLOOKUP($E113,武器奇术!$A:$T,20,FALSE)=1,1,$N113))*(1-$M113)</f>
        <v>0.01072666</v>
      </c>
      <c r="CV113" s="112">
        <f>CO113*IF(VLOOKUP($E113,武器奇术!$A:$R,17,FALSE)="破竹",VLOOKUP($E113,武器奇术!$A:$R,4,FALSE),VLOOKUP($E113,武器奇术!$A:$R,2,FALSE))*(1+CQ113)*(1+CR113)*CS113*(1+$E$16+VLOOKUP($E113,武器奇术!$A:$R,8,FALSE))</f>
        <v>1410.35437725</v>
      </c>
      <c r="CW113" s="110">
        <f t="shared" si="66"/>
        <v>0.8813852</v>
      </c>
      <c r="CX113" s="112">
        <f>CP113*IF(VLOOKUP($E113,武器奇术!$A:$R,17,FALSE)="破竹",VLOOKUP($E113,武器奇术!$A:$R,4,FALSE),VLOOKUP($E113,武器奇术!$A:$R,2,FALSE))*(1+CQ113)*(1+CR113)*CS113*(1+$E$17+VLOOKUP($E113,武器奇术!$A:$R,10,FALSE))</f>
        <v>1548.5480521875</v>
      </c>
      <c r="CY113" s="110">
        <f t="shared" si="67"/>
        <v>0.0986</v>
      </c>
      <c r="CZ113" s="112">
        <f>CO113*IF(VLOOKUP($E113,武器奇术!$A:$R,17,FALSE)="破竹",VLOOKUP($E113,武器奇术!$A:$R,4,FALSE),VLOOKUP($E113,武器奇术!$A:$R,2,FALSE))*(1+CQ113)*(1+CR113)*CS113</f>
        <v>859.97218125</v>
      </c>
      <c r="DA113" s="110">
        <f t="shared" si="68"/>
        <v>0.00928814000000003</v>
      </c>
      <c r="DB113" s="113">
        <f t="shared" si="69"/>
        <v>1409.88485510934</v>
      </c>
      <c r="DC113" s="108">
        <f t="shared" si="36"/>
        <v>69.3</v>
      </c>
      <c r="DD113" s="99">
        <f>(DC113+DE113)*IF(VLOOKUP($E113,武器奇术!$A:$Z,21,FALSE)=1,$G$15,0.5)</f>
        <v>69.3</v>
      </c>
      <c r="DE113" s="109">
        <f t="shared" si="37"/>
        <v>69.3</v>
      </c>
      <c r="DF113" s="110">
        <f>IF(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100)</f>
        <v>0.025</v>
      </c>
      <c r="DG113" s="111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U,21,FALSE)=1,0,0.09)</f>
        <v>0.235</v>
      </c>
      <c r="DH113" s="109">
        <v>1</v>
      </c>
      <c r="DI113" s="112">
        <f>DC113*IF(VLOOKUP($E113,武器奇术!$A:$R,17,FALSE)="破竹",VLOOKUP($E113,武器奇术!$A:$R,4,FALSE),VLOOKUP($E113,武器奇术!$A:$R,2,FALSE))*(1+DF113)*(1+DG113)*DH113</f>
        <v>87.7251375</v>
      </c>
      <c r="DJ113" s="110">
        <f>(1-IF(VLOOKUP($E113,武器奇术!$A:$T,20,FALSE)=1,1,$N113))*(1-$M113)</f>
        <v>0.01072666</v>
      </c>
      <c r="DK113" s="112">
        <f>DD113*IF(VLOOKUP($E113,武器奇术!$A:$R,17,FALSE)="破竹",VLOOKUP($E113,武器奇术!$A:$R,4,FALSE),VLOOKUP($E113,武器奇术!$A:$R,2,FALSE))*(1+DF113)*(1+DG113)*DH113*(1+$E$16+VLOOKUP($E113,武器奇术!$A:$R,8,FALSE))</f>
        <v>143.8692255</v>
      </c>
      <c r="DL113" s="110">
        <f t="shared" si="70"/>
        <v>0.8813852</v>
      </c>
      <c r="DM113" s="112">
        <f>DE113*IF(VLOOKUP($E113,武器奇术!$A:$R,17,FALSE)="破竹",VLOOKUP($E113,武器奇术!$A:$R,4,FALSE),VLOOKUP($E113,武器奇术!$A:$R,2,FALSE))*(1+DF113)*(1+DG113)*DH113*(1+$E$17+VLOOKUP($E113,武器奇术!$A:$R,10,FALSE))</f>
        <v>118.428935625</v>
      </c>
      <c r="DN113" s="110">
        <f t="shared" si="71"/>
        <v>0.0986</v>
      </c>
      <c r="DO113" s="112">
        <f>DD113*IF(VLOOKUP($E113,武器奇术!$A:$R,17,FALSE)="破竹",VLOOKUP($E113,武器奇术!$A:$R,4,FALSE),VLOOKUP($E113,武器奇术!$A:$R,2,FALSE))*(1+DF113)*(1+DG113)*DH113</f>
        <v>87.7251375</v>
      </c>
      <c r="DP113" s="110">
        <f t="shared" si="72"/>
        <v>0.00928814000000003</v>
      </c>
      <c r="DQ113" s="113">
        <f t="shared" si="73"/>
        <v>140.237100225823</v>
      </c>
    </row>
    <row r="114" spans="1:121">
      <c r="B114" t="s">
        <v>154</v>
      </c>
      <c r="C114">
        <v>0.9</v>
      </c>
      <c r="E114" s="98" t="s">
        <v>178</v>
      </c>
      <c r="F114" s="99">
        <f>IF($J$3="√",1,0)</f>
        <v>1</v>
      </c>
      <c r="G114" s="115"/>
      <c r="H114" s="149">
        <f>IF(VLOOKUP($E114,武器奇术!$A:$R,18,FALSE)="天工",AE114,(AE114+AT114+BI114+BX114+CM114+DB114+DQ114))*(1+J114)*F114*K114*(1+G114)*(1+$G$21*5%)</f>
        <v>17081.4622592172</v>
      </c>
      <c r="I114" s="101">
        <f t="shared" si="42"/>
        <v>0.00210892710313349</v>
      </c>
      <c r="J114" s="101">
        <f>$F$3+VLOOKUP($E114,武器奇术!$A:$R,12,FALSE)+VLOOKUP($E114,武器奇术!$A:$R,14,FALSE)*$G$3+$P114</f>
        <v>0.403</v>
      </c>
      <c r="K114" s="102">
        <f>VLOOKUP($E114,武器奇术!$A:$R,11,FALSE)</f>
        <v>1</v>
      </c>
      <c r="L114" s="117">
        <f>IF(VLOOKUP($E114,武器奇术!$A:$R,15,FALSE)="天工",0%,IF($C$17+VLOOKUP($E114,武器奇术!$A:$R,7,FALSE)&gt;80%,80%,$C$17+VLOOKUP($E114,武器奇术!$A:$R,7,FALSE))+IF($C$19&gt;20%,20%,$C$19))</f>
        <v>0.892</v>
      </c>
      <c r="M114" s="118">
        <f>IF(VLOOKUP($E114,武器奇术!$A:$R,15,FALSE)="天工",0%,IF($C$18+VLOOKUP($E114,武器奇术!$A:$R,9,FALSE)&gt;40%,40%,$C$18+VLOOKUP($E114,武器奇术!$A:$R,9,FALSE))+IF($C$20&gt;10%,10%,$C$20))</f>
        <v>0.0986</v>
      </c>
      <c r="N114" s="119">
        <f>IF(VLOOKUP($E114,武器奇术!$A:$R,15,FALSE)="天工",100%,MIN($C$16,1))</f>
        <v>0.9881</v>
      </c>
      <c r="O114" s="120" t="str">
        <f>VLOOKUP($E114,武器奇术!$A:$R,16,FALSE)</f>
        <v>N/A</v>
      </c>
      <c r="P114" s="121">
        <f t="shared" si="74"/>
        <v>0</v>
      </c>
      <c r="Q114" s="108">
        <f>$B$5*(1+VLOOKUP($E114,武器奇术!$A:$R,5,FALSE)+IF($G$5="飞隼",0.1,0)+IF($G$5="撼天",0.05,0))-$F$9+IF($I$5="√",160,0)</f>
        <v>1731.135</v>
      </c>
      <c r="R114" s="99">
        <f>IF(VLOOKUP($E114,武器奇术!$A:$Z,20,FALSE)=1,(S114-(Q114+S114)*0.5)*($G$15-0.5)*2+(Q114+S114)*0.5,(Q114+S114)*0.5)</f>
        <v>3256.775</v>
      </c>
      <c r="S114" s="109">
        <f>MAX($C$5,$B$5)*(1+VLOOKUP($E114,武器奇术!$A:$R,5,FALSE)+IF($G$5="飞隼",0.1,0)+IF($G$5="撼天",0.05,0))-$F$9+IF($I$5="√",320,0)</f>
        <v>4782.415</v>
      </c>
      <c r="T114" s="101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U114" s="111">
        <f>$E$5+IF(VLOOKUP($E114,武器奇术!$A:$U,21,FALSE)=1,0,0.09)</f>
        <v>0.115</v>
      </c>
      <c r="V114" s="109">
        <v>1</v>
      </c>
      <c r="W114" s="112">
        <f>Q114*VLOOKUP($E114,武器奇术!$A:$R,2,FALSE)*(1+T114)*(1+U114)*V114</f>
        <v>2397.32768205</v>
      </c>
      <c r="X114" s="110">
        <f>(1-IF(VLOOKUP($E114,武器奇术!$A:$T,20,FALSE)=1,1,$N114))*(1-$M114)</f>
        <v>0.01072666</v>
      </c>
      <c r="Y114" s="112">
        <f>R114*VLOOKUP($E114,武器奇术!$A:$R,2,FALSE)*(1+T114)*(1+U114)*V114*(1+$E$16+VLOOKUP($E114,武器奇术!$A:$R,8,FALSE))</f>
        <v>7396.53074613</v>
      </c>
      <c r="Z114" s="110">
        <f t="shared" si="39"/>
        <v>0.8813852</v>
      </c>
      <c r="AA114" s="112">
        <f>S114*VLOOKUP($E114,武器奇术!$A:$R,2,FALSE)*(1+T114)*(1+U114)*V114*(1+$E$17+VLOOKUP($E114,武器奇术!$A:$R,10,FALSE))</f>
        <v>8940.8228820075</v>
      </c>
      <c r="AB114" s="110">
        <f t="shared" si="40"/>
        <v>0.0986</v>
      </c>
      <c r="AC114" s="112">
        <f>R114*VLOOKUP($E114,武器奇术!$A:$R,2,FALSE)*(1+T114)*(1+U114)*V114</f>
        <v>4510.07972325</v>
      </c>
      <c r="AD114" s="110">
        <f t="shared" si="43"/>
        <v>0.00928814000000003</v>
      </c>
      <c r="AE114" s="113">
        <f t="shared" si="44"/>
        <v>7468.36343798453</v>
      </c>
      <c r="AF114" s="114">
        <f>VLOOKUP($E114,武器奇术!$A:$R,3,FALSE)*(1+IF(VLOOKUP($E114,武器奇术!$A:$R,15,FALSE)="武器",$E$15,0))</f>
        <v>0</v>
      </c>
      <c r="AG114" s="112">
        <f t="shared" si="45"/>
        <v>0</v>
      </c>
      <c r="AH114" s="112">
        <f>VLOOKUP($E114,武器奇术!$A:$R,3,FALSE)*(1+IF(VLOOKUP($E114,武器奇术!$A:$R,15,FALSE)="武器",$E$15,0))</f>
        <v>0</v>
      </c>
      <c r="AI114" s="101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AJ114" s="111">
        <f>$E$5+IF(VLOOKUP($E114,武器奇术!$A:$U,21,FALSE)=1,0,0.09)</f>
        <v>0.115</v>
      </c>
      <c r="AK114" s="109">
        <v>1</v>
      </c>
      <c r="AL114" s="112">
        <f t="shared" si="41"/>
        <v>0</v>
      </c>
      <c r="AM114" s="110">
        <f>(1-IF(VLOOKUP($E114,武器奇术!$A:$T,20,FALSE)=1,1,$N114))*(1-$M114)</f>
        <v>0.01072666</v>
      </c>
      <c r="AN114" s="112">
        <f>AG114*(1+AI114)*(1+AJ114)*AK114*(1+$E$16+VLOOKUP($E114,武器奇术!$A:$R,8,FALSE))</f>
        <v>0</v>
      </c>
      <c r="AO114" s="110">
        <f t="shared" si="46"/>
        <v>0.8813852</v>
      </c>
      <c r="AP114" s="112">
        <f>AH114*(1+AI114)*(1+AJ114)*AK114*(1+$E$17+VLOOKUP($E114,武器奇术!$A:$R,10,FALSE))</f>
        <v>0</v>
      </c>
      <c r="AQ114" s="110">
        <f t="shared" si="47"/>
        <v>0.0986</v>
      </c>
      <c r="AR114" s="112">
        <f t="shared" si="48"/>
        <v>0</v>
      </c>
      <c r="AS114" s="110">
        <f t="shared" si="49"/>
        <v>0.00928814000000003</v>
      </c>
      <c r="AT114" s="113">
        <f t="shared" si="50"/>
        <v>0</v>
      </c>
      <c r="AU114" s="108">
        <f>$B$7*IF($G$5="撼天",1.05,1)+IF(AND(VLOOKUP($E114,武器奇术!$A:$R,15,FALSE)="武器",VLOOKUP($E114,武器奇术!$A:$R,17,FALSE)="鸣金"),$E$3,0)*(1+$E$15)</f>
        <v>0</v>
      </c>
      <c r="AV114" s="99">
        <f>(AU114+AW114)*IF(VLOOKUP($E114,武器奇术!$A:$Z,21,FALSE)=1,$G$15,0.5)</f>
        <v>0</v>
      </c>
      <c r="AW114" s="109">
        <f>MAX($C$7*IF($G$5="撼天",1.05,1)+IF(AND(VLOOKUP($E114,武器奇术!$A:$R,15,FALSE)="武器",VLOOKUP($E114,武器奇术!$A:$R,17,FALSE)="鸣金"),$E$3*(1+$E$15),0),AU114)</f>
        <v>0</v>
      </c>
      <c r="AX114" s="110">
        <f>IF(($D$7+IF(VLOOKUP($E114,武器奇术!$A:$R,17,FALSE)="鸣金",$D$15,0)+IF(VLOOKUP($E114,武器奇术!$A:$R,18,FALSE)=1,4,0)+IF(VLOOKUP($E114,武器奇术!$A:$S,19,FALSE)=1,20,0)-VLOOKUP($F$7,目标属性!$A:$R,6,FALSE))&gt;0,($D$7+IF(VLOOKUP($E114,武器奇术!$A:$R,17,FALSE)="鸣金",$D$15,0)+IF(VLOOKUP($E114,武器奇术!$A:$R,18,FALSE)=1,4,0)+IF(VLOOKUP($E114,武器奇术!$A:$S,19,FALSE)=1,20,0)-VLOOKUP($F$7,目标属性!$A:$R,6,FALSE))/200,($D$7+IF(VLOOKUP($E114,武器奇术!$A:$R,17,FALSE)="鸣金",$D$15,0)+IF(VLOOKUP($E114,武器奇术!$A:$R,18,FALSE)=1,4,0)+IF(VLOOKUP($E114,武器奇术!$A:$S,19,FALSE)=1,20,0)-VLOOKUP($F$7,目标属性!$A:$R,6,FALSE))/100)</f>
        <v>-0.24</v>
      </c>
      <c r="AY114" s="111">
        <f t="shared" si="51"/>
        <v>0</v>
      </c>
      <c r="AZ114" s="109">
        <v>1</v>
      </c>
      <c r="BA114" s="112">
        <f>AU114*IF(VLOOKUP($E114,武器奇术!$A:$R,17,FALSE)="鸣金",VLOOKUP($E114,武器奇术!$A:$R,4,FALSE),VLOOKUP($E114,武器奇术!$A:$R,2,FALSE))*(1+AX114)*(1+AY114)*AZ114</f>
        <v>0</v>
      </c>
      <c r="BB114" s="110">
        <f>(1-IF(VLOOKUP($E114,武器奇术!$A:$T,20,FALSE)=1,1,$N114))*(1-$M114)</f>
        <v>0.01072666</v>
      </c>
      <c r="BC114" s="112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110">
        <f t="shared" si="52"/>
        <v>0.8813852</v>
      </c>
      <c r="BE114" s="112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110">
        <f t="shared" si="53"/>
        <v>0.0986</v>
      </c>
      <c r="BG114" s="112">
        <f>AV114*IF(VLOOKUP($E114,武器奇术!$A:$R,17,FALSE)="鸣金",VLOOKUP($E114,武器奇术!$A:$R,4,FALSE),VLOOKUP($E114,武器奇术!$A:$R,2,FALSE))*(1+AX114)*(1+AY114)*AZ114</f>
        <v>0</v>
      </c>
      <c r="BH114" s="110">
        <f t="shared" si="54"/>
        <v>0.00928814000000003</v>
      </c>
      <c r="BI114" s="113">
        <f t="shared" si="55"/>
        <v>0</v>
      </c>
      <c r="BJ114" s="108">
        <f>$B$9*IF($G$5="撼天",1.05,1)+IF(AND(VLOOKUP($E114,武器奇术!$A:$R,15,FALSE)="武器",VLOOKUP($E114,武器奇术!$A:$R,17,FALSE)="裂石"),$E$3,0)*(1+$E$15)</f>
        <v>0</v>
      </c>
      <c r="BK114" s="99">
        <f>(BJ114+BL114)*IF(VLOOKUP($E114,武器奇术!$A:$Z,21,FALSE)=1,$G$15,0.5)</f>
        <v>0</v>
      </c>
      <c r="BL114" s="109">
        <f>MAX($C$9*IF($G$5="撼天",1.05,1)+IF(AND(VLOOKUP($E114,武器奇术!$A:$R,15,FALSE)="武器",VLOOKUP($E114,武器奇术!$A:$R,17,FALSE)="裂石"),$E$3*(1+$E$15),0),BJ114)</f>
        <v>0</v>
      </c>
      <c r="BM114" s="110">
        <f>IF(($D$9+IF(VLOOKUP($E114,武器奇术!$A:$R,17,FALSE)="裂石",$D$15,0)+IF(VLOOKUP($E114,武器奇术!$A:$R,18,FALSE)=1,4,0)+IF(VLOOKUP($E114,武器奇术!$A:$S,19,FALSE)=1,20,0)-VLOOKUP($F$7,目标属性!$A:$R,6,FALSE))&gt;0,($D$9+IF(VLOOKUP($E114,武器奇术!$A:$R,17,FALSE)="裂石",$D$15,0)+IF(VLOOKUP($E114,武器奇术!$A:$R,18,FALSE)=1,4,0)+IF(VLOOKUP($E114,武器奇术!$A:$S,19,FALSE)=1,20,0)-VLOOKUP($F$7,目标属性!$A:$R,6,FALSE))/200,($D$9+IF(VLOOKUP($E114,武器奇术!$A:$R,17,FALSE)="裂石",$D$15,0)+IF(VLOOKUP($E114,武器奇术!$A:$R,18,FALSE)=1,4,0)+IF(VLOOKUP($E114,武器奇术!$A:$S,19,FALSE)=1,20,0)-VLOOKUP($F$7,目标属性!$A:$R,6,FALSE))/100)</f>
        <v>-0.24</v>
      </c>
      <c r="BN114" s="111">
        <f t="shared" si="56"/>
        <v>0</v>
      </c>
      <c r="BO114" s="109">
        <v>1</v>
      </c>
      <c r="BP114" s="112">
        <f>BJ114*IF(VLOOKUP($E114,武器奇术!$A:$R,17,FALSE)="裂石",VLOOKUP($E114,武器奇术!$A:$R,4,FALSE),VLOOKUP($E114,武器奇术!$A:$R,2,FALSE))*(1+BM114)*(1+BN114)*BO114</f>
        <v>0</v>
      </c>
      <c r="BQ114" s="110">
        <f>(1-IF(VLOOKUP($E114,武器奇术!$A:$T,20,FALSE)=1,1,$N114))*(1-$M114)</f>
        <v>0.01072666</v>
      </c>
      <c r="BR114" s="112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110">
        <f t="shared" si="57"/>
        <v>0.8813852</v>
      </c>
      <c r="BT114" s="112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110">
        <f t="shared" si="58"/>
        <v>0.0986</v>
      </c>
      <c r="BV114" s="112">
        <f>BK114*IF(VLOOKUP($E114,武器奇术!$A:$R,17,FALSE)="裂石",VLOOKUP($E114,武器奇术!$A:$R,4,FALSE),VLOOKUP($E114,武器奇术!$A:$R,2,FALSE))*(1+BM114)*(1+BN114)*BO114</f>
        <v>0</v>
      </c>
      <c r="BW114" s="110">
        <f t="shared" si="59"/>
        <v>0.00928814000000003</v>
      </c>
      <c r="BX114" s="113">
        <f t="shared" si="60"/>
        <v>0</v>
      </c>
      <c r="BY114" s="108">
        <f>$B$11*IF($G$5="撼天",1.05,1)+IF(AND(VLOOKUP($E114,武器奇术!$A:$R,15,FALSE)="武器",VLOOKUP($E114,武器奇术!$A:$R,17,FALSE)="牵丝"),$E$3,0)*(1+$E$15)</f>
        <v>0</v>
      </c>
      <c r="BZ114" s="99">
        <f>(BY114+CA114)*IF(VLOOKUP($E114,武器奇术!$A:$Z,21,FALSE)=1,$G$15,0.5)</f>
        <v>0</v>
      </c>
      <c r="CA114" s="109">
        <f>MAX($C$11*IF($G$5="撼天",1.05,1)+IF(AND(VLOOKUP($E114,武器奇术!$A:$R,15,FALSE)="武器",VLOOKUP($E114,武器奇术!$A:$R,17,FALSE)="牵丝"),$E$3*(1+$E$15),0),BY114)</f>
        <v>0</v>
      </c>
      <c r="CB114" s="110">
        <f>IF(($D$11+IF(VLOOKUP($E114,武器奇术!$A:$R,17,FALSE)="牵丝",$D$15,0)+IF(VLOOKUP($E114,武器奇术!$A:$R,18,FALSE)=1,4,0)+IF(VLOOKUP($E114,武器奇术!$A:$S,19,FALSE)=1,20,0)-VLOOKUP($F$7,目标属性!$A:$R,6,FALSE))&gt;0,($D$11+IF(VLOOKUP($E114,武器奇术!$A:$R,17,FALSE)="牵丝",$D$15,0)+IF(VLOOKUP($E114,武器奇术!$A:$R,18,FALSE)=1,4,0)+IF(VLOOKUP($E114,武器奇术!$A:$S,19,FALSE)=1,20,0)-VLOOKUP($F$7,目标属性!$A:$R,6,FALSE))/200,($D$11+IF(VLOOKUP($E114,武器奇术!$A:$R,17,FALSE)="牵丝",$D$15,0)+IF(VLOOKUP($E114,武器奇术!$A:$R,18,FALSE)=1,4,0)+IF(VLOOKUP($E114,武器奇术!$A:$S,19,FALSE)=1,20,0)-VLOOKUP($F$7,目标属性!$A:$R,6,FALSE))/100)</f>
        <v>-0.24</v>
      </c>
      <c r="CC114" s="111">
        <f t="shared" si="61"/>
        <v>0</v>
      </c>
      <c r="CD114" s="109">
        <v>1</v>
      </c>
      <c r="CE114" s="112">
        <f>BY114*IF(VLOOKUP($E114,武器奇术!$A:$R,17,FALSE)="牵丝",VLOOKUP($E114,武器奇术!$A:$R,4,FALSE),VLOOKUP($E114,武器奇术!$A:$R,2,FALSE))*(1+CB114)*(1+CC114)*CD114</f>
        <v>0</v>
      </c>
      <c r="CF114" s="110">
        <f>(1-IF(VLOOKUP($E114,武器奇术!$A:$T,20,FALSE)=1,1,$N114))*(1-$M114)</f>
        <v>0.01072666</v>
      </c>
      <c r="CG114" s="112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110">
        <f t="shared" si="62"/>
        <v>0.8813852</v>
      </c>
      <c r="CI114" s="112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110">
        <f t="shared" si="63"/>
        <v>0.0986</v>
      </c>
      <c r="CK114" s="112">
        <f>BZ114*IF(VLOOKUP($E114,武器奇术!$A:$R,17,FALSE)="牵丝",VLOOKUP($E114,武器奇术!$A:$R,4,FALSE),VLOOKUP($E114,武器奇术!$A:$R,2,FALSE))*(1+CB114)*(1+CC114)*CD114</f>
        <v>0</v>
      </c>
      <c r="CL114" s="110">
        <f t="shared" si="64"/>
        <v>0.00928814000000003</v>
      </c>
      <c r="CM114" s="113">
        <f t="shared" si="65"/>
        <v>0</v>
      </c>
      <c r="CN114" s="108">
        <f>$B$13*IF($G$5="撼天",1.05,1)+IF(AND(VLOOKUP($E114,武器奇术!$A:$R,15,FALSE)="武器",VLOOKUP($E114,武器奇术!$A:$R,17,FALSE)="破竹"),$E$3,0)*(1+$E$15)</f>
        <v>452.55</v>
      </c>
      <c r="CO114" s="99">
        <f>IF(VLOOKUP($E114,武器奇术!$A:$Z,20,FALSE)=1,(CP114-(CN114+CP114)*0.5)*($G$15-0.5)*2+(CN114+CP114)*0.5,(CN114+CP114)*0.5)</f>
        <v>679.35</v>
      </c>
      <c r="CP114" s="109">
        <f>MAX($C$13*IF($G$5="撼天",1.05,1)+IF(AND(VLOOKUP($E114,武器奇术!$A:$R,15,FALSE)="武器",VLOOKUP($E114,武器奇术!$A:$R,17,FALSE)="破竹"),$E$3*(1+$E$15),0),CN114)</f>
        <v>906.15</v>
      </c>
      <c r="CQ114" s="110">
        <f>IF(($D$13+IF(VLOOKUP($E114,武器奇术!$A:$R,17,FALSE)="破竹",$D$15,0)+IF(VLOOKUP($E114,武器奇术!$A:$R,18,FALSE)=1,4,0)+IF(VLOOKUP($E114,武器奇术!$A:$S,19,FALSE)=1,20,0)-VLOOKUP($F$7,目标属性!$A:$R,6,FALSE))&gt;0,($D$13+IF(VLOOKUP($E114,武器奇术!$A:$R,17,FALSE)="破竹",$D$15,0)+IF(VLOOKUP($E114,武器奇术!$A:$R,18,FALSE)=1,4,0)+IF(VLOOKUP($E114,武器奇术!$A:$S,19,FALSE)=1,20,0)-VLOOKUP($F$7,目标属性!$A:$R,6,FALSE))/200,($D$13+IF(VLOOKUP($E114,武器奇术!$A:$R,17,FALSE)="破竹",$D$15,0)+IF(VLOOKUP($E114,武器奇术!$A:$R,18,FALSE)=1,4,0)+IF(VLOOKUP($E114,武器奇术!$A:$S,19,FALSE)=1,20,0)-VLOOKUP($F$7,目标属性!$A:$R,6,FALSE))/100)</f>
        <v>0.025</v>
      </c>
      <c r="CR114" s="111">
        <f>$E$13+IF(VLOOKUP($E114,武器奇术!$A:$U,21,FALSE)=1,0,0.09)</f>
        <v>0.235</v>
      </c>
      <c r="CS114" s="109">
        <v>1</v>
      </c>
      <c r="CT114" s="112">
        <f>CN114*IF(VLOOKUP($E114,武器奇术!$A:$R,17,FALSE)="破竹",VLOOKUP($E114,武器奇术!$A:$R,4,FALSE),VLOOKUP($E114,武器奇术!$A:$R,2,FALSE))*(1+CQ114)*(1+CR114)*CS114</f>
        <v>572.87173125</v>
      </c>
      <c r="CU114" s="110">
        <f>(1-IF(VLOOKUP($E114,武器奇术!$A:$T,20,FALSE)=1,1,$N114))*(1-$M114)</f>
        <v>0.01072666</v>
      </c>
      <c r="CV114" s="112">
        <f>CO114*IF(VLOOKUP($E114,武器奇术!$A:$R,17,FALSE)="破竹",VLOOKUP($E114,武器奇术!$A:$R,4,FALSE),VLOOKUP($E114,武器奇术!$A:$R,2,FALSE))*(1+CQ114)*(1+CR114)*CS114*(1+$E$16+VLOOKUP($E114,武器奇术!$A:$R,8,FALSE))</f>
        <v>1410.35437725</v>
      </c>
      <c r="CW114" s="110">
        <f t="shared" si="66"/>
        <v>0.8813852</v>
      </c>
      <c r="CX114" s="112">
        <f>CP114*IF(VLOOKUP($E114,武器奇术!$A:$R,17,FALSE)="破竹",VLOOKUP($E114,武器奇术!$A:$R,4,FALSE),VLOOKUP($E114,武器奇术!$A:$R,2,FALSE))*(1+CQ114)*(1+CR114)*CS114*(1+$E$17+VLOOKUP($E114,武器奇术!$A:$R,10,FALSE))</f>
        <v>1548.5480521875</v>
      </c>
      <c r="CY114" s="110">
        <f t="shared" si="67"/>
        <v>0.0986</v>
      </c>
      <c r="CZ114" s="112">
        <f>CO114*IF(VLOOKUP($E114,武器奇术!$A:$R,17,FALSE)="破竹",VLOOKUP($E114,武器奇术!$A:$R,4,FALSE),VLOOKUP($E114,武器奇术!$A:$R,2,FALSE))*(1+CQ114)*(1+CR114)*CS114</f>
        <v>859.97218125</v>
      </c>
      <c r="DA114" s="110">
        <f t="shared" si="68"/>
        <v>0.00928814000000003</v>
      </c>
      <c r="DB114" s="113">
        <f t="shared" si="69"/>
        <v>1409.88485510934</v>
      </c>
      <c r="DC114" s="108">
        <f t="shared" si="36"/>
        <v>69.3</v>
      </c>
      <c r="DD114" s="99">
        <f>(DC114+DE114)*IF(VLOOKUP($E114,武器奇术!$A:$Z,21,FALSE)=1,$G$15,0.5)</f>
        <v>69.3</v>
      </c>
      <c r="DE114" s="109">
        <f t="shared" si="37"/>
        <v>69.3</v>
      </c>
      <c r="DF114" s="110">
        <f>IF(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100)</f>
        <v>0.025</v>
      </c>
      <c r="DG114" s="111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U,21,FALSE)=1,0,0.09)</f>
        <v>0.235</v>
      </c>
      <c r="DH114" s="109">
        <v>1</v>
      </c>
      <c r="DI114" s="112">
        <f>DC114*IF(VLOOKUP($E114,武器奇术!$A:$R,17,FALSE)="破竹",VLOOKUP($E114,武器奇术!$A:$R,4,FALSE),VLOOKUP($E114,武器奇术!$A:$R,2,FALSE))*(1+DF114)*(1+DG114)*DH114</f>
        <v>87.7251375</v>
      </c>
      <c r="DJ114" s="110">
        <f>(1-IF(VLOOKUP($E114,武器奇术!$A:$T,20,FALSE)=1,1,$N114))*(1-$M114)</f>
        <v>0.01072666</v>
      </c>
      <c r="DK114" s="112">
        <f>DD114*IF(VLOOKUP($E114,武器奇术!$A:$R,17,FALSE)="破竹",VLOOKUP($E114,武器奇术!$A:$R,4,FALSE),VLOOKUP($E114,武器奇术!$A:$R,2,FALSE))*(1+DF114)*(1+DG114)*DH114*(1+$E$16+VLOOKUP($E114,武器奇术!$A:$R,8,FALSE))</f>
        <v>143.8692255</v>
      </c>
      <c r="DL114" s="110">
        <f t="shared" si="70"/>
        <v>0.8813852</v>
      </c>
      <c r="DM114" s="112">
        <f>DE114*IF(VLOOKUP($E114,武器奇术!$A:$R,17,FALSE)="破竹",VLOOKUP($E114,武器奇术!$A:$R,4,FALSE),VLOOKUP($E114,武器奇术!$A:$R,2,FALSE))*(1+DF114)*(1+DG114)*DH114*(1+$E$17+VLOOKUP($E114,武器奇术!$A:$R,10,FALSE))</f>
        <v>118.428935625</v>
      </c>
      <c r="DN114" s="110">
        <f t="shared" si="71"/>
        <v>0.0986</v>
      </c>
      <c r="DO114" s="112">
        <f>DD114*IF(VLOOKUP($E114,武器奇术!$A:$R,17,FALSE)="破竹",VLOOKUP($E114,武器奇术!$A:$R,4,FALSE),VLOOKUP($E114,武器奇术!$A:$R,2,FALSE))*(1+DF114)*(1+DG114)*DH114</f>
        <v>87.7251375</v>
      </c>
      <c r="DP114" s="110">
        <f t="shared" si="72"/>
        <v>0.00928814000000003</v>
      </c>
      <c r="DQ114" s="113">
        <f t="shared" si="73"/>
        <v>140.237100225823</v>
      </c>
    </row>
    <row r="115" spans="1:121">
      <c r="B115" t="s">
        <v>158</v>
      </c>
      <c r="C115" s="147">
        <v>0.2</v>
      </c>
      <c r="E115" s="98" t="s">
        <v>177</v>
      </c>
      <c r="F115" s="99">
        <f>IF($J$3="√",1,0)</f>
        <v>1</v>
      </c>
      <c r="G115" s="115"/>
      <c r="H115" s="149">
        <f>IF(VLOOKUP($E115,武器奇术!$A:$R,18,FALSE)="天工",AE115,(AE115+AT115+BI115+BX115+CM115+DB115+DQ115))*(1+J115)*F115*K115*(1+G115)*(1+$G$21*5%)</f>
        <v>15863.966731119</v>
      </c>
      <c r="I115" s="101">
        <f t="shared" si="42"/>
        <v>0.00195861155764999</v>
      </c>
      <c r="J115" s="101">
        <f>$F$3+VLOOKUP($E115,武器奇术!$A:$R,12,FALSE)+VLOOKUP($E115,武器奇术!$A:$R,14,FALSE)*$G$3+$P115</f>
        <v>0.303</v>
      </c>
      <c r="K115" s="102">
        <f>VLOOKUP($E115,武器奇术!$A:$R,11,FALSE)</f>
        <v>1</v>
      </c>
      <c r="L115" s="117">
        <f>IF(VLOOKUP($E115,武器奇术!$A:$R,15,FALSE)="天工",0%,IF($C$17+VLOOKUP($E115,武器奇术!$A:$R,7,FALSE)&gt;80%,80%,$C$17+VLOOKUP($E115,武器奇术!$A:$R,7,FALSE))+IF($C$19&gt;20%,20%,$C$19))</f>
        <v>0.892</v>
      </c>
      <c r="M115" s="118">
        <f>IF(VLOOKUP($E115,武器奇术!$A:$R,15,FALSE)="天工",0%,IF($C$18+VLOOKUP($E115,武器奇术!$A:$R,9,FALSE)&gt;40%,40%,$C$18+VLOOKUP($E115,武器奇术!$A:$R,9,FALSE))+IF($C$20&gt;10%,10%,$C$20))</f>
        <v>0.0986</v>
      </c>
      <c r="N115" s="119">
        <f>IF(VLOOKUP($E115,武器奇术!$A:$R,15,FALSE)="天工",100%,MIN($C$16,1))</f>
        <v>0.9881</v>
      </c>
      <c r="O115" s="120" t="str">
        <f>VLOOKUP($E115,武器奇术!$A:$R,16,FALSE)</f>
        <v>N/A</v>
      </c>
      <c r="P115" s="121">
        <f t="shared" si="74"/>
        <v>0</v>
      </c>
      <c r="Q115" s="108">
        <f>$B$5*(1+VLOOKUP($E115,武器奇术!$A:$R,5,FALSE)+IF($G$5="飞隼",0.1,0)+IF($G$5="撼天",0.05,0))-$F$9+IF($I$5="√",160,0)</f>
        <v>1731.135</v>
      </c>
      <c r="R115" s="99">
        <f>IF(VLOOKUP($E115,武器奇术!$A:$Z,20,FALSE)=1,(S115-(Q115+S115)*0.5)*($G$15-0.5)*2+(Q115+S115)*0.5,(Q115+S115)*0.5)</f>
        <v>3256.775</v>
      </c>
      <c r="S115" s="109">
        <f>MAX($C$5,$B$5)*(1+VLOOKUP($E115,武器奇术!$A:$R,5,FALSE)+IF($G$5="飞隼",0.1,0)+IF($G$5="撼天",0.05,0))-$F$9+IF($I$5="√",320,0)</f>
        <v>4782.415</v>
      </c>
      <c r="T115" s="101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U115" s="111">
        <f>$E$5+IF(VLOOKUP($E115,武器奇术!$A:$U,21,FALSE)=1,0,0.09)</f>
        <v>0.115</v>
      </c>
      <c r="V115" s="109">
        <v>1</v>
      </c>
      <c r="W115" s="112">
        <f>Q115*VLOOKUP($E115,武器奇术!$A:$R,2,FALSE)*(1+T115)*(1+U115)*V115</f>
        <v>2397.32768205</v>
      </c>
      <c r="X115" s="110">
        <f>(1-IF(VLOOKUP($E115,武器奇术!$A:$T,20,FALSE)=1,1,$N115))*(1-$M115)</f>
        <v>0.01072666</v>
      </c>
      <c r="Y115" s="112">
        <f>R115*VLOOKUP($E115,武器奇术!$A:$R,2,FALSE)*(1+T115)*(1+U115)*V115*(1+$E$16+VLOOKUP($E115,武器奇术!$A:$R,8,FALSE))</f>
        <v>7396.53074613</v>
      </c>
      <c r="Z115" s="110">
        <f t="shared" si="39"/>
        <v>0.8813852</v>
      </c>
      <c r="AA115" s="112">
        <f>S115*VLOOKUP($E115,武器奇术!$A:$R,2,FALSE)*(1+T115)*(1+U115)*V115*(1+$E$17+VLOOKUP($E115,武器奇术!$A:$R,10,FALSE))</f>
        <v>8940.8228820075</v>
      </c>
      <c r="AB115" s="110">
        <f t="shared" si="40"/>
        <v>0.0986</v>
      </c>
      <c r="AC115" s="112">
        <f>R115*VLOOKUP($E115,武器奇术!$A:$R,2,FALSE)*(1+T115)*(1+U115)*V115</f>
        <v>4510.07972325</v>
      </c>
      <c r="AD115" s="110">
        <f t="shared" si="43"/>
        <v>0.00928814000000003</v>
      </c>
      <c r="AE115" s="113">
        <f t="shared" si="44"/>
        <v>7468.36343798453</v>
      </c>
      <c r="AF115" s="114">
        <f>VLOOKUP($E115,武器奇术!$A:$R,3,FALSE)*(1+IF(VLOOKUP($E115,武器奇术!$A:$R,15,FALSE)="武器",$E$15,0))</f>
        <v>0</v>
      </c>
      <c r="AG115" s="112">
        <f t="shared" si="45"/>
        <v>0</v>
      </c>
      <c r="AH115" s="112">
        <f>VLOOKUP($E115,武器奇术!$A:$R,3,FALSE)*(1+IF(VLOOKUP($E115,武器奇术!$A:$R,15,FALSE)="武器",$E$15,0))</f>
        <v>0</v>
      </c>
      <c r="AI115" s="101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AJ115" s="111">
        <f>$E$5+IF(VLOOKUP($E115,武器奇术!$A:$U,21,FALSE)=1,0,0.09)</f>
        <v>0.115</v>
      </c>
      <c r="AK115" s="109">
        <v>1</v>
      </c>
      <c r="AL115" s="112">
        <f t="shared" si="41"/>
        <v>0</v>
      </c>
      <c r="AM115" s="110">
        <f>(1-IF(VLOOKUP($E115,武器奇术!$A:$T,20,FALSE)=1,1,$N115))*(1-$M115)</f>
        <v>0.01072666</v>
      </c>
      <c r="AN115" s="112">
        <f>AG115*(1+AI115)*(1+AJ115)*AK115*(1+$E$16+VLOOKUP($E115,武器奇术!$A:$R,8,FALSE))</f>
        <v>0</v>
      </c>
      <c r="AO115" s="110">
        <f t="shared" si="46"/>
        <v>0.8813852</v>
      </c>
      <c r="AP115" s="112">
        <f>AH115*(1+AI115)*(1+AJ115)*AK115*(1+$E$17+VLOOKUP($E115,武器奇术!$A:$R,10,FALSE))</f>
        <v>0</v>
      </c>
      <c r="AQ115" s="110">
        <f t="shared" si="47"/>
        <v>0.0986</v>
      </c>
      <c r="AR115" s="112">
        <f t="shared" si="48"/>
        <v>0</v>
      </c>
      <c r="AS115" s="110">
        <f t="shared" si="49"/>
        <v>0.00928814000000003</v>
      </c>
      <c r="AT115" s="113">
        <f t="shared" si="50"/>
        <v>0</v>
      </c>
      <c r="AU115" s="108">
        <f>$B$7*IF($G$5="撼天",1.05,1)+IF(AND(VLOOKUP($E115,武器奇术!$A:$R,15,FALSE)="武器",VLOOKUP($E115,武器奇术!$A:$R,17,FALSE)="鸣金"),$E$3,0)*(1+$E$15)</f>
        <v>0</v>
      </c>
      <c r="AV115" s="99">
        <f>(AU115+AW115)*IF(VLOOKUP($E115,武器奇术!$A:$Z,21,FALSE)=1,$G$15,0.5)</f>
        <v>0</v>
      </c>
      <c r="AW115" s="109">
        <f>MAX($C$7*IF($G$5="撼天",1.05,1)+IF(AND(VLOOKUP($E115,武器奇术!$A:$R,15,FALSE)="武器",VLOOKUP($E115,武器奇术!$A:$R,17,FALSE)="鸣金"),$E$3*(1+$E$15),0),AU115)</f>
        <v>0</v>
      </c>
      <c r="AX115" s="110">
        <f>IF(($D$7+IF(VLOOKUP($E115,武器奇术!$A:$R,17,FALSE)="鸣金",$D$15,0)+IF(VLOOKUP($E115,武器奇术!$A:$R,18,FALSE)=1,4,0)+IF(VLOOKUP($E115,武器奇术!$A:$S,19,FALSE)=1,20,0)-VLOOKUP($F$7,目标属性!$A:$R,6,FALSE))&gt;0,($D$7+IF(VLOOKUP($E115,武器奇术!$A:$R,17,FALSE)="鸣金",$D$15,0)+IF(VLOOKUP($E115,武器奇术!$A:$R,18,FALSE)=1,4,0)+IF(VLOOKUP($E115,武器奇术!$A:$S,19,FALSE)=1,20,0)-VLOOKUP($F$7,目标属性!$A:$R,6,FALSE))/200,($D$7+IF(VLOOKUP($E115,武器奇术!$A:$R,17,FALSE)="鸣金",$D$15,0)+IF(VLOOKUP($E115,武器奇术!$A:$R,18,FALSE)=1,4,0)+IF(VLOOKUP($E115,武器奇术!$A:$S,19,FALSE)=1,20,0)-VLOOKUP($F$7,目标属性!$A:$R,6,FALSE))/100)</f>
        <v>-0.24</v>
      </c>
      <c r="AY115" s="111">
        <f t="shared" si="51"/>
        <v>0</v>
      </c>
      <c r="AZ115" s="109">
        <v>1</v>
      </c>
      <c r="BA115" s="112">
        <f>AU115*IF(VLOOKUP($E115,武器奇术!$A:$R,17,FALSE)="鸣金",VLOOKUP($E115,武器奇术!$A:$R,4,FALSE),VLOOKUP($E115,武器奇术!$A:$R,2,FALSE))*(1+AX115)*(1+AY115)*AZ115</f>
        <v>0</v>
      </c>
      <c r="BB115" s="110">
        <f>(1-IF(VLOOKUP($E115,武器奇术!$A:$T,20,FALSE)=1,1,$N115))*(1-$M115)</f>
        <v>0.01072666</v>
      </c>
      <c r="BC115" s="112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110">
        <f t="shared" si="52"/>
        <v>0.8813852</v>
      </c>
      <c r="BE115" s="112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110">
        <f t="shared" si="53"/>
        <v>0.0986</v>
      </c>
      <c r="BG115" s="112">
        <f>AV115*IF(VLOOKUP($E115,武器奇术!$A:$R,17,FALSE)="鸣金",VLOOKUP($E115,武器奇术!$A:$R,4,FALSE),VLOOKUP($E115,武器奇术!$A:$R,2,FALSE))*(1+AX115)*(1+AY115)*AZ115</f>
        <v>0</v>
      </c>
      <c r="BH115" s="110">
        <f t="shared" si="54"/>
        <v>0.00928814000000003</v>
      </c>
      <c r="BI115" s="113">
        <f t="shared" si="55"/>
        <v>0</v>
      </c>
      <c r="BJ115" s="108">
        <f>$B$9*IF($G$5="撼天",1.05,1)+IF(AND(VLOOKUP($E115,武器奇术!$A:$R,15,FALSE)="武器",VLOOKUP($E115,武器奇术!$A:$R,17,FALSE)="裂石"),$E$3,0)*(1+$E$15)</f>
        <v>0</v>
      </c>
      <c r="BK115" s="99">
        <f>(BJ115+BL115)*IF(VLOOKUP($E115,武器奇术!$A:$Z,21,FALSE)=1,$G$15,0.5)</f>
        <v>0</v>
      </c>
      <c r="BL115" s="109">
        <f>MAX($C$9*IF($G$5="撼天",1.05,1)+IF(AND(VLOOKUP($E115,武器奇术!$A:$R,15,FALSE)="武器",VLOOKUP($E115,武器奇术!$A:$R,17,FALSE)="裂石"),$E$3*(1+$E$15),0),BJ115)</f>
        <v>0</v>
      </c>
      <c r="BM115" s="110">
        <f>IF(($D$9+IF(VLOOKUP($E115,武器奇术!$A:$R,17,FALSE)="裂石",$D$15,0)+IF(VLOOKUP($E115,武器奇术!$A:$R,18,FALSE)=1,4,0)+IF(VLOOKUP($E115,武器奇术!$A:$S,19,FALSE)=1,20,0)-VLOOKUP($F$7,目标属性!$A:$R,6,FALSE))&gt;0,($D$9+IF(VLOOKUP($E115,武器奇术!$A:$R,17,FALSE)="裂石",$D$15,0)+IF(VLOOKUP($E115,武器奇术!$A:$R,18,FALSE)=1,4,0)+IF(VLOOKUP($E115,武器奇术!$A:$S,19,FALSE)=1,20,0)-VLOOKUP($F$7,目标属性!$A:$R,6,FALSE))/200,($D$9+IF(VLOOKUP($E115,武器奇术!$A:$R,17,FALSE)="裂石",$D$15,0)+IF(VLOOKUP($E115,武器奇术!$A:$R,18,FALSE)=1,4,0)+IF(VLOOKUP($E115,武器奇术!$A:$S,19,FALSE)=1,20,0)-VLOOKUP($F$7,目标属性!$A:$R,6,FALSE))/100)</f>
        <v>-0.24</v>
      </c>
      <c r="BN115" s="111">
        <f t="shared" si="56"/>
        <v>0</v>
      </c>
      <c r="BO115" s="109">
        <v>1</v>
      </c>
      <c r="BP115" s="112">
        <f>BJ115*IF(VLOOKUP($E115,武器奇术!$A:$R,17,FALSE)="裂石",VLOOKUP($E115,武器奇术!$A:$R,4,FALSE),VLOOKUP($E115,武器奇术!$A:$R,2,FALSE))*(1+BM115)*(1+BN115)*BO115</f>
        <v>0</v>
      </c>
      <c r="BQ115" s="110">
        <f>(1-IF(VLOOKUP($E115,武器奇术!$A:$T,20,FALSE)=1,1,$N115))*(1-$M115)</f>
        <v>0.01072666</v>
      </c>
      <c r="BR115" s="112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110">
        <f t="shared" si="57"/>
        <v>0.8813852</v>
      </c>
      <c r="BT115" s="112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110">
        <f t="shared" si="58"/>
        <v>0.0986</v>
      </c>
      <c r="BV115" s="112">
        <f>BK115*IF(VLOOKUP($E115,武器奇术!$A:$R,17,FALSE)="裂石",VLOOKUP($E115,武器奇术!$A:$R,4,FALSE),VLOOKUP($E115,武器奇术!$A:$R,2,FALSE))*(1+BM115)*(1+BN115)*BO115</f>
        <v>0</v>
      </c>
      <c r="BW115" s="110">
        <f t="shared" si="59"/>
        <v>0.00928814000000003</v>
      </c>
      <c r="BX115" s="113">
        <f t="shared" si="60"/>
        <v>0</v>
      </c>
      <c r="BY115" s="108">
        <f>$B$11*IF($G$5="撼天",1.05,1)+IF(AND(VLOOKUP($E115,武器奇术!$A:$R,15,FALSE)="武器",VLOOKUP($E115,武器奇术!$A:$R,17,FALSE)="牵丝"),$E$3,0)*(1+$E$15)</f>
        <v>0</v>
      </c>
      <c r="BZ115" s="99">
        <f>(BY115+CA115)*IF(VLOOKUP($E115,武器奇术!$A:$Z,21,FALSE)=1,$G$15,0.5)</f>
        <v>0</v>
      </c>
      <c r="CA115" s="109">
        <f>MAX($C$11*IF($G$5="撼天",1.05,1)+IF(AND(VLOOKUP($E115,武器奇术!$A:$R,15,FALSE)="武器",VLOOKUP($E115,武器奇术!$A:$R,17,FALSE)="牵丝"),$E$3*(1+$E$15),0),BY115)</f>
        <v>0</v>
      </c>
      <c r="CB115" s="110">
        <f>IF(($D$11+IF(VLOOKUP($E115,武器奇术!$A:$R,17,FALSE)="牵丝",$D$15,0)+IF(VLOOKUP($E115,武器奇术!$A:$R,18,FALSE)=1,4,0)+IF(VLOOKUP($E115,武器奇术!$A:$S,19,FALSE)=1,20,0)-VLOOKUP($F$7,目标属性!$A:$R,6,FALSE))&gt;0,($D$11+IF(VLOOKUP($E115,武器奇术!$A:$R,17,FALSE)="牵丝",$D$15,0)+IF(VLOOKUP($E115,武器奇术!$A:$R,18,FALSE)=1,4,0)+IF(VLOOKUP($E115,武器奇术!$A:$S,19,FALSE)=1,20,0)-VLOOKUP($F$7,目标属性!$A:$R,6,FALSE))/200,($D$11+IF(VLOOKUP($E115,武器奇术!$A:$R,17,FALSE)="牵丝",$D$15,0)+IF(VLOOKUP($E115,武器奇术!$A:$R,18,FALSE)=1,4,0)+IF(VLOOKUP($E115,武器奇术!$A:$S,19,FALSE)=1,20,0)-VLOOKUP($F$7,目标属性!$A:$R,6,FALSE))/100)</f>
        <v>-0.24</v>
      </c>
      <c r="CC115" s="111">
        <f t="shared" si="61"/>
        <v>0</v>
      </c>
      <c r="CD115" s="109">
        <v>1</v>
      </c>
      <c r="CE115" s="112">
        <f>BY115*IF(VLOOKUP($E115,武器奇术!$A:$R,17,FALSE)="牵丝",VLOOKUP($E115,武器奇术!$A:$R,4,FALSE),VLOOKUP($E115,武器奇术!$A:$R,2,FALSE))*(1+CB115)*(1+CC115)*CD115</f>
        <v>0</v>
      </c>
      <c r="CF115" s="110">
        <f>(1-IF(VLOOKUP($E115,武器奇术!$A:$T,20,FALSE)=1,1,$N115))*(1-$M115)</f>
        <v>0.01072666</v>
      </c>
      <c r="CG115" s="112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110">
        <f t="shared" si="62"/>
        <v>0.8813852</v>
      </c>
      <c r="CI115" s="112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110">
        <f t="shared" si="63"/>
        <v>0.0986</v>
      </c>
      <c r="CK115" s="112">
        <f>BZ115*IF(VLOOKUP($E115,武器奇术!$A:$R,17,FALSE)="牵丝",VLOOKUP($E115,武器奇术!$A:$R,4,FALSE),VLOOKUP($E115,武器奇术!$A:$R,2,FALSE))*(1+CB115)*(1+CC115)*CD115</f>
        <v>0</v>
      </c>
      <c r="CL115" s="110">
        <f t="shared" si="64"/>
        <v>0.00928814000000003</v>
      </c>
      <c r="CM115" s="113">
        <f t="shared" si="65"/>
        <v>0</v>
      </c>
      <c r="CN115" s="108">
        <f>$B$13*IF($G$5="撼天",1.05,1)+IF(AND(VLOOKUP($E115,武器奇术!$A:$R,15,FALSE)="武器",VLOOKUP($E115,武器奇术!$A:$R,17,FALSE)="破竹"),$E$3,0)*(1+$E$15)</f>
        <v>452.55</v>
      </c>
      <c r="CO115" s="99">
        <f>IF(VLOOKUP($E115,武器奇术!$A:$Z,20,FALSE)=1,(CP115-(CN115+CP115)*0.5)*($G$15-0.5)*2+(CN115+CP115)*0.5,(CN115+CP115)*0.5)</f>
        <v>679.35</v>
      </c>
      <c r="CP115" s="109">
        <f>MAX($C$13*IF($G$5="撼天",1.05,1)+IF(AND(VLOOKUP($E115,武器奇术!$A:$R,15,FALSE)="武器",VLOOKUP($E115,武器奇术!$A:$R,17,FALSE)="破竹"),$E$3*(1+$E$15),0),CN115)</f>
        <v>906.15</v>
      </c>
      <c r="CQ115" s="110">
        <f>IF(($D$13+IF(VLOOKUP($E115,武器奇术!$A:$R,17,FALSE)="破竹",$D$15,0)+IF(VLOOKUP($E115,武器奇术!$A:$R,18,FALSE)=1,4,0)+IF(VLOOKUP($E115,武器奇术!$A:$S,19,FALSE)=1,20,0)-VLOOKUP($F$7,目标属性!$A:$R,6,FALSE))&gt;0,($D$13+IF(VLOOKUP($E115,武器奇术!$A:$R,17,FALSE)="破竹",$D$15,0)+IF(VLOOKUP($E115,武器奇术!$A:$R,18,FALSE)=1,4,0)+IF(VLOOKUP($E115,武器奇术!$A:$S,19,FALSE)=1,20,0)-VLOOKUP($F$7,目标属性!$A:$R,6,FALSE))/200,($D$13+IF(VLOOKUP($E115,武器奇术!$A:$R,17,FALSE)="破竹",$D$15,0)+IF(VLOOKUP($E115,武器奇术!$A:$R,18,FALSE)=1,4,0)+IF(VLOOKUP($E115,武器奇术!$A:$S,19,FALSE)=1,20,0)-VLOOKUP($F$7,目标属性!$A:$R,6,FALSE))/100)</f>
        <v>0.025</v>
      </c>
      <c r="CR115" s="111">
        <f>$E$13+IF(VLOOKUP($E115,武器奇术!$A:$U,21,FALSE)=1,0,0.09)</f>
        <v>0.235</v>
      </c>
      <c r="CS115" s="109">
        <v>1</v>
      </c>
      <c r="CT115" s="112">
        <f>CN115*IF(VLOOKUP($E115,武器奇术!$A:$R,17,FALSE)="破竹",VLOOKUP($E115,武器奇术!$A:$R,4,FALSE),VLOOKUP($E115,武器奇术!$A:$R,2,FALSE))*(1+CQ115)*(1+CR115)*CS115</f>
        <v>572.87173125</v>
      </c>
      <c r="CU115" s="110">
        <f>(1-IF(VLOOKUP($E115,武器奇术!$A:$T,20,FALSE)=1,1,$N115))*(1-$M115)</f>
        <v>0.01072666</v>
      </c>
      <c r="CV115" s="112">
        <f>CO115*IF(VLOOKUP($E115,武器奇术!$A:$R,17,FALSE)="破竹",VLOOKUP($E115,武器奇术!$A:$R,4,FALSE),VLOOKUP($E115,武器奇术!$A:$R,2,FALSE))*(1+CQ115)*(1+CR115)*CS115*(1+$E$16+VLOOKUP($E115,武器奇术!$A:$R,8,FALSE))</f>
        <v>1410.35437725</v>
      </c>
      <c r="CW115" s="110">
        <f t="shared" si="66"/>
        <v>0.8813852</v>
      </c>
      <c r="CX115" s="112">
        <f>CP115*IF(VLOOKUP($E115,武器奇术!$A:$R,17,FALSE)="破竹",VLOOKUP($E115,武器奇术!$A:$R,4,FALSE),VLOOKUP($E115,武器奇术!$A:$R,2,FALSE))*(1+CQ115)*(1+CR115)*CS115*(1+$E$17+VLOOKUP($E115,武器奇术!$A:$R,10,FALSE))</f>
        <v>1548.5480521875</v>
      </c>
      <c r="CY115" s="110">
        <f t="shared" si="67"/>
        <v>0.0986</v>
      </c>
      <c r="CZ115" s="112">
        <f>CO115*IF(VLOOKUP($E115,武器奇术!$A:$R,17,FALSE)="破竹",VLOOKUP($E115,武器奇术!$A:$R,4,FALSE),VLOOKUP($E115,武器奇术!$A:$R,2,FALSE))*(1+CQ115)*(1+CR115)*CS115</f>
        <v>859.97218125</v>
      </c>
      <c r="DA115" s="110">
        <f t="shared" si="68"/>
        <v>0.00928814000000003</v>
      </c>
      <c r="DB115" s="113">
        <f t="shared" si="69"/>
        <v>1409.88485510934</v>
      </c>
      <c r="DC115" s="108">
        <f t="shared" si="36"/>
        <v>69.3</v>
      </c>
      <c r="DD115" s="99">
        <f>(DC115+DE115)*IF(VLOOKUP($E115,武器奇术!$A:$Z,21,FALSE)=1,$G$15,0.5)</f>
        <v>69.3</v>
      </c>
      <c r="DE115" s="109">
        <f t="shared" si="37"/>
        <v>69.3</v>
      </c>
      <c r="DF115" s="110">
        <f>IF(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100)</f>
        <v>0.025</v>
      </c>
      <c r="DG115" s="111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U,21,FALSE)=1,0,0.09)</f>
        <v>0.235</v>
      </c>
      <c r="DH115" s="109">
        <v>1</v>
      </c>
      <c r="DI115" s="112">
        <f>DC115*IF(VLOOKUP($E115,武器奇术!$A:$R,17,FALSE)="破竹",VLOOKUP($E115,武器奇术!$A:$R,4,FALSE),VLOOKUP($E115,武器奇术!$A:$R,2,FALSE))*(1+DF115)*(1+DG115)*DH115</f>
        <v>87.7251375</v>
      </c>
      <c r="DJ115" s="110">
        <f>(1-IF(VLOOKUP($E115,武器奇术!$A:$T,20,FALSE)=1,1,$N115))*(1-$M115)</f>
        <v>0.01072666</v>
      </c>
      <c r="DK115" s="112">
        <f>DD115*IF(VLOOKUP($E115,武器奇术!$A:$R,17,FALSE)="破竹",VLOOKUP($E115,武器奇术!$A:$R,4,FALSE),VLOOKUP($E115,武器奇术!$A:$R,2,FALSE))*(1+DF115)*(1+DG115)*DH115*(1+$E$16+VLOOKUP($E115,武器奇术!$A:$R,8,FALSE))</f>
        <v>143.8692255</v>
      </c>
      <c r="DL115" s="110">
        <f t="shared" si="70"/>
        <v>0.8813852</v>
      </c>
      <c r="DM115" s="112">
        <f>DE115*IF(VLOOKUP($E115,武器奇术!$A:$R,17,FALSE)="破竹",VLOOKUP($E115,武器奇术!$A:$R,4,FALSE),VLOOKUP($E115,武器奇术!$A:$R,2,FALSE))*(1+DF115)*(1+DG115)*DH115*(1+$E$17+VLOOKUP($E115,武器奇术!$A:$R,10,FALSE))</f>
        <v>118.428935625</v>
      </c>
      <c r="DN115" s="110">
        <f t="shared" si="71"/>
        <v>0.0986</v>
      </c>
      <c r="DO115" s="112">
        <f>DD115*IF(VLOOKUP($E115,武器奇术!$A:$R,17,FALSE)="破竹",VLOOKUP($E115,武器奇术!$A:$R,4,FALSE),VLOOKUP($E115,武器奇术!$A:$R,2,FALSE))*(1+DF115)*(1+DG115)*DH115</f>
        <v>87.7251375</v>
      </c>
      <c r="DP115" s="110">
        <f t="shared" si="72"/>
        <v>0.00928814000000003</v>
      </c>
      <c r="DQ115" s="113">
        <f t="shared" si="73"/>
        <v>140.237100225823</v>
      </c>
    </row>
    <row r="116" spans="1:121">
      <c r="B116" t="s">
        <v>168</v>
      </c>
      <c r="C116" s="147">
        <v>0.7</v>
      </c>
    </row>
    <row r="117" spans="1:121">
      <c r="B117" t="s">
        <v>169</v>
      </c>
      <c r="C117" s="147">
        <v>0.83</v>
      </c>
    </row>
    <row r="118" spans="1:121">
      <c r="B118" t="s">
        <v>164</v>
      </c>
      <c r="C118" s="147">
        <v>1.16</v>
      </c>
    </row>
    <row r="119" spans="1:121">
      <c r="B119" t="s">
        <v>159</v>
      </c>
      <c r="C119" s="147">
        <v>0.7</v>
      </c>
    </row>
    <row r="120" spans="1:121">
      <c r="B120" t="s">
        <v>160</v>
      </c>
      <c r="C120">
        <v>0.8</v>
      </c>
    </row>
    <row r="121" spans="1:121">
      <c r="B121" t="s">
        <v>161</v>
      </c>
      <c r="C121">
        <v>2.15</v>
      </c>
    </row>
    <row r="122" spans="1:121">
      <c r="A122" s="36" t="s">
        <v>170</v>
      </c>
      <c r="B122" t="s">
        <v>179</v>
      </c>
      <c r="C122">
        <v>6</v>
      </c>
    </row>
    <row r="123" spans="1:121">
      <c r="A123" s="36"/>
      <c r="B123" t="s">
        <v>162</v>
      </c>
      <c r="C123" s="147">
        <v>2.13</v>
      </c>
    </row>
    <row r="124" spans="1:121">
      <c r="A124" s="36"/>
      <c r="B124" t="s">
        <v>163</v>
      </c>
      <c r="C124">
        <v>1.13</v>
      </c>
    </row>
    <row r="125" spans="1:121">
      <c r="A125" s="36"/>
      <c r="B125" t="s">
        <v>164</v>
      </c>
      <c r="C125" s="147">
        <v>1.16</v>
      </c>
    </row>
    <row r="126" spans="1:121">
      <c r="A126" s="36"/>
      <c r="B126" t="s">
        <v>165</v>
      </c>
      <c r="C126" s="147"/>
    </row>
    <row r="127" spans="1:121">
      <c r="B127" t="s">
        <v>158</v>
      </c>
      <c r="C127" s="147">
        <v>0.2</v>
      </c>
    </row>
    <row r="128" spans="1:121">
      <c r="B128" t="s">
        <v>167</v>
      </c>
      <c r="C128" s="147">
        <v>1.7</v>
      </c>
    </row>
    <row r="129" spans="2:3">
      <c r="B129" t="s">
        <v>154</v>
      </c>
      <c r="C129">
        <v>0.9</v>
      </c>
    </row>
    <row r="130" spans="2:3">
      <c r="B130" t="s">
        <v>158</v>
      </c>
      <c r="C130" s="147">
        <v>0.2</v>
      </c>
    </row>
    <row r="131" spans="2:3">
      <c r="B131" t="s">
        <v>159</v>
      </c>
      <c r="C131" s="147">
        <v>0.7</v>
      </c>
    </row>
    <row r="132" spans="2:3">
      <c r="B132" t="s">
        <v>160</v>
      </c>
      <c r="C132">
        <v>0.8</v>
      </c>
    </row>
    <row r="133" spans="2:3">
      <c r="B133" t="s">
        <v>180</v>
      </c>
      <c r="C133">
        <v>1.4</v>
      </c>
    </row>
    <row r="134" spans="2:3">
      <c r="C134" s="147"/>
    </row>
    <row r="135" spans="2:3">
      <c r="B135" t="s">
        <v>181</v>
      </c>
      <c r="C135" s="147">
        <v>0.75</v>
      </c>
    </row>
    <row r="136" spans="2:3">
      <c r="C136" s="147"/>
    </row>
    <row r="137" spans="2:3">
      <c r="C137" s="147"/>
    </row>
    <row r="138" spans="2:3">
      <c r="C138" s="147"/>
    </row>
    <row r="139" spans="2:3">
      <c r="C139" s="147"/>
    </row>
    <row r="140" spans="2:3">
      <c r="C140" s="147"/>
    </row>
    <row r="141" spans="2:3">
      <c r="C141" s="147"/>
    </row>
    <row r="142" spans="2:3">
      <c r="C142" s="147"/>
    </row>
    <row r="143" spans="2:3">
      <c r="C143" s="147"/>
    </row>
    <row r="144" spans="2:3">
      <c r="C144" s="147"/>
    </row>
    <row r="145" spans="2:3">
      <c r="C145" s="147"/>
    </row>
    <row r="146" spans="2:3">
      <c r="C146" s="147"/>
    </row>
    <row r="147" spans="2:3">
      <c r="C147" s="147"/>
    </row>
    <row r="148" spans="2:3">
      <c r="B148" t="s">
        <v>182</v>
      </c>
      <c r="C148" s="147">
        <v>1.16</v>
      </c>
    </row>
    <row r="149" spans="2:3">
      <c r="B149" t="s">
        <v>183</v>
      </c>
      <c r="C149" s="147">
        <v>0.85</v>
      </c>
    </row>
    <row r="150" spans="2:3">
      <c r="B150" t="s">
        <v>184</v>
      </c>
      <c r="C150">
        <v>1.36</v>
      </c>
    </row>
    <row r="152" spans="2:3">
      <c r="B152" t="s">
        <v>164</v>
      </c>
      <c r="C152" s="147">
        <v>1.16</v>
      </c>
    </row>
    <row r="153" spans="2:3">
      <c r="B153" t="s">
        <v>185</v>
      </c>
      <c r="C153" s="147">
        <v>2.13</v>
      </c>
    </row>
    <row r="154" spans="2:3">
      <c r="B154" t="s">
        <v>163</v>
      </c>
      <c r="C154">
        <v>1.06</v>
      </c>
    </row>
    <row r="155" spans="2:3">
      <c r="B155" t="s">
        <v>186</v>
      </c>
      <c r="C155">
        <v>0.93</v>
      </c>
    </row>
    <row r="156" spans="2:3">
      <c r="B156" t="s">
        <v>187</v>
      </c>
      <c r="C156" s="147">
        <v>1.53</v>
      </c>
    </row>
    <row r="180" spans="4:4">
      <c r="D180" s="75"/>
    </row>
    <row r="181" spans="4:4">
      <c r="D181" s="75"/>
    </row>
    <row r="182" spans="4:4">
      <c r="D182" s="75"/>
    </row>
    <row r="183" spans="4:4">
      <c r="D183" s="75"/>
    </row>
    <row r="184" spans="4:4">
      <c r="D184" s="75"/>
    </row>
    <row r="185" spans="4:4">
      <c r="D185" s="75"/>
    </row>
    <row r="186" spans="4:4">
      <c r="D186" s="75"/>
    </row>
    <row r="187" spans="4:4">
      <c r="D187" s="75"/>
    </row>
    <row r="188" spans="4:4">
      <c r="D188" s="75"/>
    </row>
    <row r="189" spans="4:4">
      <c r="D189" s="75"/>
    </row>
  </sheetData>
  <mergeCells count="64">
    <mergeCell ref="M1:N1"/>
    <mergeCell ref="O1:P1"/>
    <mergeCell ref="Q5:R5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B21:C21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E28:K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64:A81"/>
    <mergeCell ref="A87:A95"/>
    <mergeCell ref="A122:A126"/>
    <mergeCell ref="B28:B29"/>
    <mergeCell ref="B30:B34"/>
    <mergeCell ref="B35:B39"/>
    <mergeCell ref="B40:B44"/>
    <mergeCell ref="B45:B49"/>
    <mergeCell ref="B50:B54"/>
    <mergeCell ref="B55:B59"/>
    <mergeCell ref="G8:J13"/>
    <mergeCell ref="Q2:R4"/>
    <mergeCell ref="Q6:R7"/>
    <mergeCell ref="C35:D39"/>
    <mergeCell ref="C45:D49"/>
    <mergeCell ref="C50:D54"/>
    <mergeCell ref="C55:D59"/>
    <mergeCell ref="C40:D44"/>
    <mergeCell ref="C28:D29"/>
    <mergeCell ref="C30:D34"/>
  </mergeCells>
  <conditionalFormatting sqref="Q2">
    <cfRule type="cellIs" dxfId="0" priority="2" operator="lessThan">
      <formula>0</formula>
    </cfRule>
    <cfRule type="cellIs" dxfId="1" priority="1" operator="greaterThan">
      <formula>0</formula>
    </cfRule>
  </conditionalFormatting>
  <dataValidations count="8">
    <dataValidation type="list" allowBlank="1" showInputMessage="1" showErrorMessage="1" sqref="C2">
      <formula1>"鸣金,裂石,牵丝,破竹"</formula1>
    </dataValidation>
    <dataValidation type="list" allowBlank="1" showInputMessage="1" showErrorMessage="1" sqref="H3:J3 I5 F19:G19 F21">
      <formula1>"√,×"</formula1>
    </dataValidation>
    <dataValidation type="list" allowBlank="1" showInputMessage="1" showErrorMessage="1" sqref="G5">
      <formula1>"撼天,时雨,烟柳,N/a"</formula1>
    </dataValidation>
    <dataValidation type="list" allowBlank="1" showInputMessage="1" showErrorMessage="1" sqref="H5">
      <formula1>"火,毒"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G15">
      <formula1>"50%,60%,70%,80%,85%,90%"</formula1>
    </dataValidation>
    <dataValidation type="list" allowBlank="1" showInputMessage="1" showErrorMessage="1" sqref="E30:E115">
      <formula1>武器奇术!$A:$A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94"/>
  <sheetViews>
    <sheetView workbookViewId="0">
      <selection activeCell="K21" sqref="K21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33"/>
    <col min="9" max="9" width="10.375" style="32"/>
    <col min="10" max="10" width="9" style="32"/>
    <col min="17" max="17" width="9.375"/>
    <col min="18" max="18" width="10.375"/>
    <col min="19" max="19" width="9.375"/>
    <col min="20" max="20" width="12.875" style="32" customWidth="1"/>
    <col min="21" max="21" width="13.125" style="35" customWidth="1"/>
    <col min="22" max="22" width="13.125" customWidth="1"/>
    <col min="23" max="23" width="12.25" style="33" customWidth="1"/>
    <col min="24" max="24" width="9.75" style="32" customWidth="1"/>
    <col min="25" max="25" width="10.5" style="33" customWidth="1"/>
    <col min="26" max="26" width="9.375" style="32"/>
    <col min="27" max="27" width="9.375" style="33"/>
    <col min="28" max="28" width="9" style="32"/>
    <col min="29" max="29" width="12.625" style="33"/>
    <col min="30" max="30" width="9.375" style="32"/>
    <col min="31" max="31" width="10.375" style="33"/>
    <col min="32" max="32" width="9.375" style="33"/>
    <col min="33" max="34" width="9" style="33"/>
    <col min="41" max="41" width="9" style="32"/>
    <col min="43" max="43" width="9" style="32"/>
    <col min="56" max="56" width="9" style="32"/>
    <col min="58" max="58" width="9" style="32"/>
    <col min="71" max="71" width="9" style="32"/>
    <col min="73" max="73" width="9" style="32"/>
    <col min="86" max="86" width="9" style="32"/>
    <col min="88" max="88" width="9" style="32"/>
    <col min="92" max="92" width="10.375"/>
    <col min="94" max="94" width="11.5"/>
    <col min="98" max="98" width="9.375"/>
    <col min="101" max="101" width="9" style="32"/>
    <col min="103" max="103" width="9" style="32"/>
  </cols>
  <sheetData>
    <row r="1" spans="1:24">
      <c r="L1" s="7"/>
      <c r="M1" s="7"/>
      <c r="N1" s="7"/>
      <c r="O1" s="7"/>
      <c r="P1" s="7"/>
    </row>
    <row r="2" spans="1:24">
      <c r="B2" s="36" t="s">
        <v>2</v>
      </c>
      <c r="C2" s="37" t="str">
        <f>期望!C2</f>
        <v>破竹</v>
      </c>
      <c r="D2" s="38" t="s">
        <v>4</v>
      </c>
      <c r="E2" s="36" t="s">
        <v>5</v>
      </c>
      <c r="F2" s="39" t="s">
        <v>6</v>
      </c>
      <c r="G2" s="40" t="s">
        <v>7</v>
      </c>
      <c r="H2" s="41" t="s">
        <v>8</v>
      </c>
      <c r="I2" s="41" t="s">
        <v>9</v>
      </c>
      <c r="J2" s="42" t="s">
        <v>10</v>
      </c>
      <c r="K2" s="39"/>
      <c r="L2" s="7"/>
      <c r="M2" s="43"/>
      <c r="N2" s="43"/>
      <c r="O2" s="43"/>
      <c r="P2" s="44"/>
    </row>
    <row r="3" spans="1:24">
      <c r="E3" s="37">
        <f>期望!E3</f>
        <v>150.7</v>
      </c>
      <c r="F3" s="41">
        <f>期望!F3-期望!M22+期望!O22</f>
        <v>0.303</v>
      </c>
      <c r="G3" s="41">
        <f>期望!G3</f>
        <v>0</v>
      </c>
      <c r="H3" s="41" t="str">
        <f>期望!H3</f>
        <v>×</v>
      </c>
      <c r="I3" s="41" t="str">
        <f>期望!I3</f>
        <v>√</v>
      </c>
      <c r="J3" s="41" t="str">
        <f>期望!J3</f>
        <v>√</v>
      </c>
      <c r="L3" s="7"/>
      <c r="M3" s="43"/>
      <c r="N3" s="43"/>
      <c r="O3" s="43"/>
      <c r="P3" s="44"/>
      <c r="R3" s="31"/>
      <c r="S3" s="31"/>
    </row>
    <row r="4" spans="1:24">
      <c r="B4" s="45" t="s">
        <v>15</v>
      </c>
      <c r="C4" s="45" t="s">
        <v>16</v>
      </c>
      <c r="D4" s="45" t="s">
        <v>17</v>
      </c>
      <c r="E4" s="46" t="s">
        <v>18</v>
      </c>
      <c r="G4" s="39" t="s">
        <v>19</v>
      </c>
      <c r="H4" s="39" t="s">
        <v>20</v>
      </c>
      <c r="I4" s="39" t="s">
        <v>21</v>
      </c>
      <c r="L4" s="7"/>
      <c r="M4" s="47"/>
      <c r="N4" s="47"/>
      <c r="O4" s="47"/>
      <c r="P4" s="48"/>
      <c r="Q4" s="31"/>
      <c r="S4" s="31"/>
    </row>
    <row r="5" spans="1:24">
      <c r="B5" s="45">
        <f>期望!B5-期望!M2*0.22-期望!N2*0.22-期望!M3*0.9-期望!N3*0.9-期望!M5-期望!N5+期望!O2*0.22+期望!P2*0.22+期望!O3*0.9+期望!P3*0.9+期望!O5+期望!P5-L11+M11</f>
        <v>2028.7</v>
      </c>
      <c r="C5" s="45">
        <f>期望!C5-期望!M2*1.36-期望!N2*1.36-期望!M4*0.9-期望!N4*0.9-期望!M6-期望!N6+期望!O2*1.36+期望!P2*1.36+期望!O4*0.9+期望!P4*0.9+期望!O6+期望!P6</f>
        <v>4782.3</v>
      </c>
      <c r="D5" s="45">
        <f>期望!D5-期望!M23+期望!O23</f>
        <v>58.4</v>
      </c>
      <c r="E5" s="49">
        <f>期望!E5</f>
        <v>0.025</v>
      </c>
      <c r="G5" s="41" t="str">
        <f>期望!G5</f>
        <v>撼天</v>
      </c>
      <c r="H5" s="41" t="str">
        <f>期望!H5</f>
        <v>火</v>
      </c>
      <c r="I5" s="41" t="str">
        <f>期望!I5</f>
        <v>√</v>
      </c>
      <c r="L5" s="47"/>
      <c r="M5" s="47"/>
      <c r="N5" s="47"/>
      <c r="O5" s="47"/>
      <c r="P5" s="48"/>
    </row>
    <row r="6" spans="1:24">
      <c r="B6" s="45" t="s">
        <v>27</v>
      </c>
      <c r="C6" s="45" t="s">
        <v>28</v>
      </c>
      <c r="D6" s="45" t="s">
        <v>29</v>
      </c>
      <c r="E6" s="46" t="s">
        <v>30</v>
      </c>
      <c r="F6" s="39" t="s">
        <v>31</v>
      </c>
      <c r="L6" s="47"/>
      <c r="M6" s="47"/>
      <c r="N6" s="47"/>
      <c r="O6" s="47"/>
      <c r="P6" s="48"/>
    </row>
    <row r="7" ht="14.25" spans="1:24">
      <c r="B7" s="45">
        <f>期望!B7-期望!M12+期望!O12</f>
        <v>0</v>
      </c>
      <c r="C7" s="45">
        <f>期望!C7-期望!M13+期望!O13</f>
        <v>0</v>
      </c>
      <c r="D7" s="45">
        <f>期望!D7</f>
        <v>0</v>
      </c>
      <c r="E7" s="49">
        <f>期望!E7</f>
        <v>0</v>
      </c>
      <c r="F7" s="40" t="str">
        <f>期望!F7</f>
        <v>笃山衔蝉</v>
      </c>
      <c r="G7" s="38" t="s">
        <v>34</v>
      </c>
      <c r="L7" s="47"/>
      <c r="M7" s="47"/>
      <c r="N7" s="47"/>
      <c r="O7" s="47"/>
      <c r="P7" s="48"/>
    </row>
    <row r="8" spans="1:24">
      <c r="B8" s="45" t="s">
        <v>36</v>
      </c>
      <c r="C8" s="45" t="s">
        <v>37</v>
      </c>
      <c r="D8" s="45" t="s">
        <v>38</v>
      </c>
      <c r="E8" s="46" t="s">
        <v>39</v>
      </c>
      <c r="F8" s="39" t="s">
        <v>40</v>
      </c>
      <c r="G8" s="50" t="s">
        <v>188</v>
      </c>
      <c r="H8" s="51"/>
      <c r="I8" s="51"/>
      <c r="J8" s="52"/>
      <c r="K8" s="53"/>
      <c r="L8" s="33" t="s">
        <v>189</v>
      </c>
      <c r="M8" s="54" t="s">
        <v>190</v>
      </c>
      <c r="N8" s="47"/>
      <c r="O8" s="47"/>
      <c r="P8" s="48"/>
      <c r="Q8" s="55"/>
      <c r="R8" s="55"/>
      <c r="S8" s="53"/>
      <c r="T8" s="53"/>
      <c r="U8" s="53"/>
      <c r="V8" s="53"/>
      <c r="W8" s="53"/>
      <c r="X8" s="53"/>
    </row>
    <row r="9" spans="1:24">
      <c r="B9" s="45">
        <f>期望!B9-期望!M14+期望!O14</f>
        <v>0</v>
      </c>
      <c r="C9" s="45">
        <f>期望!C9-期望!M15+期望!O15</f>
        <v>0</v>
      </c>
      <c r="D9" s="45">
        <f>期望!D9</f>
        <v>0</v>
      </c>
      <c r="E9" s="49">
        <f>期望!E9</f>
        <v>0</v>
      </c>
      <c r="F9" s="40">
        <f>期望!F9</f>
        <v>559</v>
      </c>
      <c r="G9" s="56"/>
      <c r="H9" s="57"/>
      <c r="I9" s="57"/>
      <c r="J9" s="58"/>
      <c r="K9" s="53"/>
      <c r="L9" s="59">
        <f>期望!Q6</f>
        <v>442.4</v>
      </c>
      <c r="M9" s="59">
        <f>期望!Q6-期望!M3-期望!N3+期望!O3+期望!P3</f>
        <v>442.4</v>
      </c>
      <c r="N9" s="60"/>
      <c r="O9" s="60"/>
      <c r="P9" s="61"/>
      <c r="Q9" s="55"/>
      <c r="R9" s="55"/>
      <c r="S9" s="53"/>
      <c r="T9" s="53"/>
      <c r="U9" s="53"/>
      <c r="V9" s="53"/>
      <c r="W9" s="53"/>
      <c r="X9" s="53"/>
    </row>
    <row r="10" spans="1:24">
      <c r="B10" s="45" t="s">
        <v>44</v>
      </c>
      <c r="C10" s="45" t="s">
        <v>45</v>
      </c>
      <c r="D10" s="45" t="s">
        <v>46</v>
      </c>
      <c r="E10" s="46" t="s">
        <v>47</v>
      </c>
      <c r="F10" t="s">
        <v>48</v>
      </c>
      <c r="G10" s="56"/>
      <c r="H10" s="57"/>
      <c r="I10" s="57"/>
      <c r="J10" s="58"/>
      <c r="K10" s="53" t="s">
        <v>191</v>
      </c>
      <c r="L10" s="62">
        <f>IF(L9&lt;365,12.3%*L9/365,12.3%)</f>
        <v>0.123</v>
      </c>
      <c r="M10" s="62">
        <f>IF(M9&lt;365,12.3%*M9/365,12.3%)</f>
        <v>0.123</v>
      </c>
      <c r="N10" s="60"/>
      <c r="O10" s="60"/>
      <c r="P10" s="61"/>
      <c r="Q10" s="55"/>
      <c r="R10" s="55"/>
      <c r="S10" s="53"/>
      <c r="T10" s="53"/>
      <c r="U10" s="53"/>
      <c r="V10" s="53"/>
      <c r="W10" s="53"/>
      <c r="X10" s="53"/>
    </row>
    <row r="11" spans="1:24">
      <c r="B11" s="45">
        <f>期望!B11-期望!M16+期望!O16</f>
        <v>0</v>
      </c>
      <c r="C11" s="45">
        <f>期望!C11-期望!M17+期望!O17</f>
        <v>0</v>
      </c>
      <c r="D11" s="45">
        <f>期望!D11</f>
        <v>0</v>
      </c>
      <c r="E11" s="49">
        <f>期望!E11</f>
        <v>0</v>
      </c>
      <c r="F11" s="36">
        <f>期望!F11</f>
        <v>2.15</v>
      </c>
      <c r="G11" s="56"/>
      <c r="H11" s="57"/>
      <c r="I11" s="57"/>
      <c r="J11" s="58"/>
      <c r="K11" s="53" t="s">
        <v>192</v>
      </c>
      <c r="L11" s="37">
        <f>IF(L9&lt;365,106.9*L9/365,106.9)</f>
        <v>106.9</v>
      </c>
      <c r="M11" s="37">
        <f>IF(M9&lt;365,106.9*M9/365,106.9)</f>
        <v>106.9</v>
      </c>
      <c r="N11" s="60"/>
      <c r="O11" s="60"/>
      <c r="P11" s="61"/>
      <c r="Q11" s="55"/>
      <c r="R11" s="55"/>
      <c r="S11" s="53"/>
      <c r="T11" s="53"/>
      <c r="U11" s="53"/>
      <c r="V11" s="53"/>
      <c r="W11" s="53"/>
      <c r="X11" s="53"/>
    </row>
    <row r="12" spans="1:24">
      <c r="B12" s="45" t="s">
        <v>51</v>
      </c>
      <c r="C12" s="45" t="s">
        <v>52</v>
      </c>
      <c r="D12" s="45" t="s">
        <v>53</v>
      </c>
      <c r="E12" s="46" t="s">
        <v>54</v>
      </c>
      <c r="G12" s="56"/>
      <c r="H12" s="57"/>
      <c r="I12" s="57"/>
      <c r="J12" s="58"/>
      <c r="K12" s="53"/>
      <c r="L12" s="47"/>
      <c r="M12" s="47"/>
      <c r="N12" s="47"/>
      <c r="O12" s="47"/>
      <c r="P12" s="47"/>
      <c r="Q12" s="55"/>
      <c r="R12" s="55"/>
      <c r="S12" s="53"/>
      <c r="T12" s="53"/>
      <c r="U12" s="53"/>
      <c r="V12" s="53"/>
      <c r="W12" s="53"/>
      <c r="X12" s="53"/>
    </row>
    <row r="13" ht="14.25" spans="1:24">
      <c r="B13" s="45">
        <f>期望!B13-期望!M18+期望!O18</f>
        <v>431</v>
      </c>
      <c r="C13" s="45">
        <f>期望!C13-期望!M19+期望!O19</f>
        <v>863</v>
      </c>
      <c r="D13" s="45">
        <f>期望!D13</f>
        <v>29</v>
      </c>
      <c r="E13" s="49">
        <f>期望!E13</f>
        <v>0.145</v>
      </c>
      <c r="G13" s="63"/>
      <c r="H13" s="64"/>
      <c r="I13" s="64"/>
      <c r="J13" s="65"/>
      <c r="K13" s="53"/>
      <c r="L13" s="47"/>
      <c r="M13" s="47"/>
      <c r="N13" s="47"/>
      <c r="O13" s="47"/>
      <c r="P13" s="47"/>
      <c r="Q13" s="55"/>
      <c r="R13" s="55"/>
      <c r="S13" s="53"/>
      <c r="T13" s="53"/>
      <c r="U13" s="53"/>
      <c r="V13" s="53"/>
      <c r="W13" s="53"/>
      <c r="X13" s="53"/>
    </row>
    <row r="14" spans="1:24">
      <c r="A14" s="57"/>
      <c r="B14" s="45" t="s">
        <v>57</v>
      </c>
      <c r="C14" s="45" t="s">
        <v>58</v>
      </c>
      <c r="D14" s="45" t="s">
        <v>59</v>
      </c>
      <c r="E14" s="66" t="s">
        <v>60</v>
      </c>
      <c r="G14" s="67" t="s">
        <v>61</v>
      </c>
      <c r="I14" s="53"/>
      <c r="J14" s="53"/>
      <c r="K14" s="53"/>
      <c r="L14" s="47"/>
      <c r="M14" s="47"/>
      <c r="N14" s="47"/>
      <c r="O14" s="47"/>
      <c r="P14" s="47"/>
      <c r="Q14" s="55"/>
      <c r="R14" s="55"/>
      <c r="S14" s="53"/>
      <c r="T14" s="53"/>
      <c r="U14" s="53"/>
      <c r="V14" s="53"/>
      <c r="W14" s="53"/>
      <c r="X14" s="53"/>
    </row>
    <row r="15" spans="1:24">
      <c r="A15" s="57"/>
      <c r="B15" s="45">
        <f>期望!B15-期望!M7-期望!N7+期望!O7+期望!P7</f>
        <v>66</v>
      </c>
      <c r="C15" s="45">
        <f>期望!C15-期望!M8-期望!N8+期望!O8+期望!P8</f>
        <v>66</v>
      </c>
      <c r="D15" s="45">
        <f>期望!D15</f>
        <v>0</v>
      </c>
      <c r="E15" s="66">
        <f>期望!E15</f>
        <v>0.3</v>
      </c>
      <c r="G15" s="36">
        <f>期望!G15</f>
        <v>0.5</v>
      </c>
      <c r="H15" s="33" t="s">
        <v>63</v>
      </c>
      <c r="I15" s="53"/>
      <c r="J15" s="53"/>
      <c r="K15" s="53"/>
      <c r="L15" s="43"/>
      <c r="M15" s="43"/>
      <c r="N15" s="43"/>
      <c r="O15" s="43"/>
      <c r="P15" s="43"/>
      <c r="Q15" s="55"/>
      <c r="R15" s="55"/>
      <c r="S15" s="53"/>
      <c r="T15" s="53"/>
      <c r="U15" s="53"/>
      <c r="V15" s="53"/>
      <c r="W15" s="53"/>
      <c r="X15" s="53"/>
    </row>
    <row r="16" spans="1:24">
      <c r="A16" s="57" t="s">
        <v>65</v>
      </c>
      <c r="B16" s="45" t="s">
        <v>66</v>
      </c>
      <c r="C16" s="68">
        <f>期望!C16+(-期望!M9-期望!N9+期望!O9+期望!P9)/期望!F11</f>
        <v>0.9881</v>
      </c>
      <c r="D16" s="46" t="s">
        <v>67</v>
      </c>
      <c r="E16" s="66">
        <f>期望!E16</f>
        <v>0.64</v>
      </c>
      <c r="I16" s="53"/>
      <c r="J16" s="53"/>
      <c r="K16" s="53"/>
      <c r="L16" s="43"/>
      <c r="M16" s="43"/>
      <c r="N16" s="43"/>
      <c r="O16" s="43"/>
      <c r="P16" s="43"/>
      <c r="Q16" s="55"/>
      <c r="R16" s="55"/>
      <c r="S16" s="53"/>
      <c r="T16" s="53"/>
      <c r="U16" s="53"/>
      <c r="V16" s="53"/>
      <c r="W16" s="53"/>
      <c r="X16" s="53"/>
    </row>
    <row r="17" spans="1:121">
      <c r="A17" s="57"/>
      <c r="B17" s="45" t="s">
        <v>69</v>
      </c>
      <c r="C17" s="68">
        <f>期望!C17+(-期望!M10-期望!N10+期望!O10+期望!P10+(-期望!M3-期望!N3+期望!O3+期望!P3)*0.00076-L10+M10)/期望!F11</f>
        <v>0.8015</v>
      </c>
      <c r="D17" s="46" t="s">
        <v>70</v>
      </c>
      <c r="E17" s="66">
        <f>期望!E17</f>
        <v>0.35</v>
      </c>
      <c r="H17" s="69"/>
      <c r="I17" s="53"/>
      <c r="J17" s="53"/>
      <c r="K17" s="53"/>
      <c r="L17" s="43"/>
      <c r="M17" s="43"/>
      <c r="N17" s="43"/>
      <c r="O17" s="43"/>
      <c r="P17" s="43"/>
      <c r="Q17" s="55"/>
      <c r="R17" s="55"/>
      <c r="S17" s="53"/>
      <c r="T17" s="53"/>
      <c r="U17" s="53"/>
      <c r="V17" s="53"/>
      <c r="W17" s="53"/>
      <c r="X17" s="53"/>
    </row>
    <row r="18" spans="1:121">
      <c r="A18" s="57"/>
      <c r="B18" s="45" t="s">
        <v>72</v>
      </c>
      <c r="C18" s="68">
        <f>期望!C18+(-期望!M11-期望!N11+期望!O11+期望!P11+(-期望!M4-期望!N4+期望!O4+期望!P4)*0.00038)/期望!F11</f>
        <v>0.0986</v>
      </c>
      <c r="D18" s="45" t="s">
        <v>73</v>
      </c>
      <c r="E18" s="68">
        <f>期望!E18-期望!M22+期望!O22</f>
        <v>0.088</v>
      </c>
      <c r="F18" s="36" t="s">
        <v>74</v>
      </c>
      <c r="G18" s="36" t="s">
        <v>75</v>
      </c>
      <c r="J18" s="53"/>
      <c r="K18" s="53"/>
      <c r="L18" s="43"/>
      <c r="M18" s="43"/>
      <c r="N18" s="43"/>
      <c r="O18" s="43"/>
      <c r="P18" s="43"/>
      <c r="Q18" s="55"/>
      <c r="R18" s="55"/>
      <c r="S18" s="53"/>
      <c r="T18" s="53"/>
      <c r="U18" s="53"/>
      <c r="V18" s="53"/>
      <c r="W18" s="53"/>
      <c r="X18" s="53"/>
    </row>
    <row r="19" spans="1:121">
      <c r="B19" s="45" t="s">
        <v>77</v>
      </c>
      <c r="C19" s="68">
        <f>期望!C19</f>
        <v>0.092</v>
      </c>
      <c r="D19" s="39"/>
      <c r="E19" s="39"/>
      <c r="F19" s="70" t="s">
        <v>13</v>
      </c>
      <c r="G19" s="70" t="s">
        <v>12</v>
      </c>
      <c r="L19" s="43"/>
      <c r="M19" s="43"/>
      <c r="N19" s="43"/>
      <c r="O19" s="43"/>
      <c r="P19" s="43"/>
    </row>
    <row r="20" spans="1:121">
      <c r="B20" s="45" t="s">
        <v>79</v>
      </c>
      <c r="C20" s="68">
        <f>期望!C20</f>
        <v>0</v>
      </c>
      <c r="F20" s="36" t="s">
        <v>80</v>
      </c>
      <c r="G20" s="36" t="s">
        <v>81</v>
      </c>
      <c r="L20" s="7"/>
      <c r="M20" s="71"/>
      <c r="N20" s="71"/>
      <c r="O20" s="72"/>
      <c r="P20" s="72"/>
    </row>
    <row r="21" spans="1:121">
      <c r="B21" s="45" t="s">
        <v>83</v>
      </c>
      <c r="C21" s="45"/>
      <c r="F21" s="70" t="s">
        <v>13</v>
      </c>
      <c r="G21" s="36">
        <v>7</v>
      </c>
      <c r="L21" s="7"/>
      <c r="M21" s="43"/>
      <c r="N21" s="43"/>
      <c r="O21" s="43"/>
      <c r="P21" s="43"/>
    </row>
    <row r="22" spans="1:121">
      <c r="B22" s="73" t="s">
        <v>85</v>
      </c>
      <c r="C22" s="68">
        <f>期望!C22-期望!M20+期望!O20</f>
        <v>0.086</v>
      </c>
      <c r="D22" s="39"/>
      <c r="E22" s="62"/>
      <c r="F22" s="74"/>
      <c r="G22" s="74"/>
      <c r="L22" s="7"/>
      <c r="M22" s="43"/>
      <c r="N22" s="43"/>
      <c r="O22" s="43"/>
      <c r="P22" s="43"/>
    </row>
    <row r="23" spans="1:121">
      <c r="B23" s="73" t="s">
        <v>87</v>
      </c>
      <c r="C23" s="68">
        <f>期望!C23</f>
        <v>0</v>
      </c>
      <c r="D23" s="45" t="s">
        <v>88</v>
      </c>
      <c r="E23" s="68">
        <f>期望!E23-期望!M26+期望!O26</f>
        <v>0.32</v>
      </c>
      <c r="F23" s="75"/>
      <c r="G23" s="75"/>
      <c r="L23" s="7"/>
      <c r="M23" s="76"/>
      <c r="N23" s="76"/>
      <c r="O23" s="76"/>
      <c r="P23" s="76"/>
    </row>
    <row r="24" spans="1:121">
      <c r="B24" s="73" t="s">
        <v>89</v>
      </c>
      <c r="C24" s="68">
        <f>期望!C24-期望!M21+期望!O21</f>
        <v>0.084</v>
      </c>
      <c r="G24" s="31"/>
      <c r="L24" s="7"/>
      <c r="M24" s="76"/>
      <c r="N24" s="76"/>
      <c r="O24" s="76"/>
      <c r="P24" s="76"/>
    </row>
    <row r="25" spans="1:121">
      <c r="B25" s="77" t="s">
        <v>90</v>
      </c>
      <c r="C25" s="68">
        <f>期望!C25-期望!M24+期望!O24</f>
        <v>0</v>
      </c>
      <c r="E25" s="31"/>
      <c r="L25" s="78"/>
      <c r="M25" s="76"/>
      <c r="N25" s="76"/>
      <c r="O25" s="76"/>
      <c r="P25" s="76"/>
    </row>
    <row r="26" spans="1:121">
      <c r="B26" s="77" t="s">
        <v>91</v>
      </c>
      <c r="C26" s="68">
        <f>期望!C26-期望!M25+期望!O25</f>
        <v>0</v>
      </c>
      <c r="E26" s="31"/>
      <c r="L26" s="78"/>
      <c r="M26" s="76"/>
      <c r="N26" s="76"/>
      <c r="O26" s="76"/>
      <c r="P26" s="76"/>
    </row>
    <row r="27" ht="14.25" spans="1:121">
      <c r="B27" s="73" t="s">
        <v>93</v>
      </c>
      <c r="C27" s="68">
        <v>0</v>
      </c>
      <c r="E27" s="31"/>
      <c r="L27" s="78"/>
      <c r="M27" s="76"/>
      <c r="N27" s="76"/>
      <c r="O27" s="76"/>
      <c r="P27" s="76"/>
    </row>
    <row r="28" ht="14.25" spans="1:121">
      <c r="B28" s="79" t="s">
        <v>94</v>
      </c>
      <c r="C28" s="80">
        <f>期望!C28</f>
        <v>76.9</v>
      </c>
      <c r="D28" s="81"/>
      <c r="E28" s="82" t="s">
        <v>95</v>
      </c>
      <c r="F28" s="83"/>
      <c r="G28" s="83"/>
      <c r="H28" s="83"/>
      <c r="I28" s="83"/>
      <c r="J28" s="83"/>
      <c r="K28" s="84"/>
      <c r="L28" s="85"/>
      <c r="M28" s="86"/>
      <c r="N28" s="87"/>
      <c r="O28" s="88"/>
      <c r="P28" s="87"/>
      <c r="Q28" s="89" t="s">
        <v>96</v>
      </c>
      <c r="R28" s="90"/>
      <c r="S28" s="90"/>
      <c r="T28" s="90"/>
      <c r="U28" s="90"/>
      <c r="V28" s="90"/>
      <c r="W28" s="91"/>
      <c r="X28" s="92"/>
      <c r="Y28" s="91"/>
      <c r="Z28" s="92"/>
      <c r="AA28" s="91"/>
      <c r="AB28" s="92"/>
      <c r="AC28" s="91"/>
      <c r="AD28" s="92"/>
      <c r="AE28" s="93"/>
      <c r="AF28" s="94" t="s">
        <v>97</v>
      </c>
      <c r="AG28" s="91"/>
      <c r="AH28" s="91"/>
      <c r="AI28" s="90"/>
      <c r="AJ28" s="90"/>
      <c r="AK28" s="90"/>
      <c r="AL28" s="91"/>
      <c r="AM28" s="92"/>
      <c r="AN28" s="91"/>
      <c r="AO28" s="92"/>
      <c r="AP28" s="91"/>
      <c r="AQ28" s="92"/>
      <c r="AR28" s="91"/>
      <c r="AS28" s="92"/>
      <c r="AT28" s="93"/>
      <c r="AU28" s="89" t="s">
        <v>98</v>
      </c>
      <c r="AV28" s="90"/>
      <c r="AW28" s="90"/>
      <c r="AX28" s="90"/>
      <c r="AY28" s="90"/>
      <c r="AZ28" s="90"/>
      <c r="BA28" s="91"/>
      <c r="BB28" s="92"/>
      <c r="BC28" s="91"/>
      <c r="BD28" s="92"/>
      <c r="BE28" s="91"/>
      <c r="BF28" s="92"/>
      <c r="BG28" s="91"/>
      <c r="BH28" s="92"/>
      <c r="BI28" s="93"/>
      <c r="BJ28" s="89" t="s">
        <v>99</v>
      </c>
      <c r="BK28" s="90"/>
      <c r="BL28" s="90"/>
      <c r="BM28" s="90"/>
      <c r="BN28" s="90"/>
      <c r="BO28" s="90"/>
      <c r="BP28" s="91"/>
      <c r="BQ28" s="92"/>
      <c r="BR28" s="91"/>
      <c r="BS28" s="92"/>
      <c r="BT28" s="91"/>
      <c r="BU28" s="92"/>
      <c r="BV28" s="91"/>
      <c r="BW28" s="92"/>
      <c r="BX28" s="93"/>
      <c r="BY28" s="89" t="s">
        <v>100</v>
      </c>
      <c r="BZ28" s="90"/>
      <c r="CA28" s="90"/>
      <c r="CB28" s="90"/>
      <c r="CC28" s="90"/>
      <c r="CD28" s="90"/>
      <c r="CE28" s="91"/>
      <c r="CF28" s="92"/>
      <c r="CG28" s="91"/>
      <c r="CH28" s="92"/>
      <c r="CI28" s="91"/>
      <c r="CJ28" s="92"/>
      <c r="CK28" s="91"/>
      <c r="CL28" s="92"/>
      <c r="CM28" s="93"/>
      <c r="CN28" s="89" t="s">
        <v>3</v>
      </c>
      <c r="CO28" s="90"/>
      <c r="CP28" s="90"/>
      <c r="CQ28" s="90"/>
      <c r="CR28" s="90"/>
      <c r="CS28" s="90"/>
      <c r="CT28" s="91"/>
      <c r="CU28" s="92"/>
      <c r="CV28" s="91"/>
      <c r="CW28" s="92"/>
      <c r="CX28" s="91"/>
      <c r="CY28" s="92"/>
      <c r="CZ28" s="91"/>
      <c r="DA28" s="92"/>
      <c r="DB28" s="93"/>
      <c r="DC28" s="89" t="s">
        <v>101</v>
      </c>
      <c r="DD28" s="90"/>
      <c r="DE28" s="90"/>
      <c r="DF28" s="90"/>
      <c r="DG28" s="90"/>
      <c r="DH28" s="90"/>
      <c r="DI28" s="91"/>
      <c r="DJ28" s="92"/>
      <c r="DK28" s="91"/>
      <c r="DL28" s="92"/>
      <c r="DM28" s="91"/>
      <c r="DN28" s="92"/>
      <c r="DO28" s="91"/>
      <c r="DP28" s="92"/>
      <c r="DQ28" s="93"/>
    </row>
    <row r="29" ht="14.25" spans="1:121">
      <c r="B29" s="95"/>
      <c r="C29" s="96"/>
      <c r="D29" s="97"/>
      <c r="E29" s="98"/>
      <c r="F29" s="99" t="s">
        <v>102</v>
      </c>
      <c r="G29" s="99" t="s">
        <v>103</v>
      </c>
      <c r="H29" s="100" t="s">
        <v>104</v>
      </c>
      <c r="I29" s="101" t="s">
        <v>105</v>
      </c>
      <c r="J29" s="101" t="s">
        <v>83</v>
      </c>
      <c r="K29" s="102" t="s">
        <v>106</v>
      </c>
      <c r="L29" s="103" t="s">
        <v>107</v>
      </c>
      <c r="M29" s="104" t="s">
        <v>108</v>
      </c>
      <c r="N29" s="105" t="s">
        <v>109</v>
      </c>
      <c r="O29" s="106" t="s">
        <v>110</v>
      </c>
      <c r="P29" s="107" t="s">
        <v>111</v>
      </c>
      <c r="Q29" s="108" t="s">
        <v>112</v>
      </c>
      <c r="R29" s="109" t="s">
        <v>113</v>
      </c>
      <c r="S29" s="109" t="s">
        <v>114</v>
      </c>
      <c r="T29" s="110" t="s">
        <v>115</v>
      </c>
      <c r="U29" s="111" t="s">
        <v>116</v>
      </c>
      <c r="V29" s="109" t="s">
        <v>117</v>
      </c>
      <c r="W29" s="112" t="s">
        <v>118</v>
      </c>
      <c r="X29" s="110" t="s">
        <v>119</v>
      </c>
      <c r="Y29" s="112" t="s">
        <v>120</v>
      </c>
      <c r="Z29" s="110" t="s">
        <v>121</v>
      </c>
      <c r="AA29" s="112" t="s">
        <v>122</v>
      </c>
      <c r="AB29" s="110" t="s">
        <v>123</v>
      </c>
      <c r="AC29" s="112" t="s">
        <v>124</v>
      </c>
      <c r="AD29" s="110" t="s">
        <v>125</v>
      </c>
      <c r="AE29" s="113" t="s">
        <v>126</v>
      </c>
      <c r="AF29" s="114" t="s">
        <v>112</v>
      </c>
      <c r="AG29" s="112" t="s">
        <v>113</v>
      </c>
      <c r="AH29" s="112" t="s">
        <v>114</v>
      </c>
      <c r="AI29" s="110" t="s">
        <v>115</v>
      </c>
      <c r="AJ29" s="111" t="s">
        <v>116</v>
      </c>
      <c r="AK29" s="109" t="s">
        <v>117</v>
      </c>
      <c r="AL29" s="112" t="s">
        <v>118</v>
      </c>
      <c r="AM29" s="110" t="s">
        <v>119</v>
      </c>
      <c r="AN29" s="112" t="s">
        <v>120</v>
      </c>
      <c r="AO29" s="110" t="s">
        <v>121</v>
      </c>
      <c r="AP29" s="112" t="s">
        <v>122</v>
      </c>
      <c r="AQ29" s="110" t="s">
        <v>123</v>
      </c>
      <c r="AR29" s="112" t="s">
        <v>124</v>
      </c>
      <c r="AS29" s="110" t="s">
        <v>125</v>
      </c>
      <c r="AT29" s="113" t="s">
        <v>126</v>
      </c>
      <c r="AU29" s="108" t="s">
        <v>112</v>
      </c>
      <c r="AV29" s="109" t="s">
        <v>113</v>
      </c>
      <c r="AW29" s="109" t="s">
        <v>114</v>
      </c>
      <c r="AX29" s="110" t="s">
        <v>115</v>
      </c>
      <c r="AY29" s="111" t="s">
        <v>116</v>
      </c>
      <c r="AZ29" s="109" t="s">
        <v>117</v>
      </c>
      <c r="BA29" s="112" t="s">
        <v>118</v>
      </c>
      <c r="BB29" s="110" t="s">
        <v>119</v>
      </c>
      <c r="BC29" s="112" t="s">
        <v>120</v>
      </c>
      <c r="BD29" s="110" t="s">
        <v>121</v>
      </c>
      <c r="BE29" s="112" t="s">
        <v>122</v>
      </c>
      <c r="BF29" s="110" t="s">
        <v>123</v>
      </c>
      <c r="BG29" s="112" t="s">
        <v>124</v>
      </c>
      <c r="BH29" s="110" t="s">
        <v>125</v>
      </c>
      <c r="BI29" s="113" t="s">
        <v>126</v>
      </c>
      <c r="BJ29" s="108" t="s">
        <v>112</v>
      </c>
      <c r="BK29" s="109" t="s">
        <v>113</v>
      </c>
      <c r="BL29" s="109" t="s">
        <v>114</v>
      </c>
      <c r="BM29" s="110" t="s">
        <v>115</v>
      </c>
      <c r="BN29" s="111" t="s">
        <v>116</v>
      </c>
      <c r="BO29" s="109" t="s">
        <v>117</v>
      </c>
      <c r="BP29" s="112" t="s">
        <v>118</v>
      </c>
      <c r="BQ29" s="110" t="s">
        <v>119</v>
      </c>
      <c r="BR29" s="112" t="s">
        <v>120</v>
      </c>
      <c r="BS29" s="110" t="s">
        <v>121</v>
      </c>
      <c r="BT29" s="112" t="s">
        <v>122</v>
      </c>
      <c r="BU29" s="110" t="s">
        <v>123</v>
      </c>
      <c r="BV29" s="112" t="s">
        <v>124</v>
      </c>
      <c r="BW29" s="110" t="s">
        <v>125</v>
      </c>
      <c r="BX29" s="113" t="s">
        <v>126</v>
      </c>
      <c r="BY29" s="108" t="s">
        <v>112</v>
      </c>
      <c r="BZ29" s="109" t="s">
        <v>113</v>
      </c>
      <c r="CA29" s="109" t="s">
        <v>114</v>
      </c>
      <c r="CB29" s="110" t="s">
        <v>115</v>
      </c>
      <c r="CC29" s="111" t="s">
        <v>116</v>
      </c>
      <c r="CD29" s="109" t="s">
        <v>117</v>
      </c>
      <c r="CE29" s="112" t="s">
        <v>118</v>
      </c>
      <c r="CF29" s="110" t="s">
        <v>119</v>
      </c>
      <c r="CG29" s="112" t="s">
        <v>120</v>
      </c>
      <c r="CH29" s="110" t="s">
        <v>121</v>
      </c>
      <c r="CI29" s="112" t="s">
        <v>122</v>
      </c>
      <c r="CJ29" s="110" t="s">
        <v>123</v>
      </c>
      <c r="CK29" s="112" t="s">
        <v>124</v>
      </c>
      <c r="CL29" s="110" t="s">
        <v>125</v>
      </c>
      <c r="CM29" s="113" t="s">
        <v>126</v>
      </c>
      <c r="CN29" s="108" t="s">
        <v>112</v>
      </c>
      <c r="CO29" s="109" t="s">
        <v>113</v>
      </c>
      <c r="CP29" s="109" t="s">
        <v>114</v>
      </c>
      <c r="CQ29" s="110" t="s">
        <v>115</v>
      </c>
      <c r="CR29" s="111" t="s">
        <v>116</v>
      </c>
      <c r="CS29" s="109" t="s">
        <v>117</v>
      </c>
      <c r="CT29" s="112" t="s">
        <v>118</v>
      </c>
      <c r="CU29" s="110" t="s">
        <v>119</v>
      </c>
      <c r="CV29" s="112" t="s">
        <v>120</v>
      </c>
      <c r="CW29" s="110" t="s">
        <v>121</v>
      </c>
      <c r="CX29" s="112" t="s">
        <v>122</v>
      </c>
      <c r="CY29" s="110" t="s">
        <v>123</v>
      </c>
      <c r="CZ29" s="112" t="s">
        <v>124</v>
      </c>
      <c r="DA29" s="110" t="s">
        <v>125</v>
      </c>
      <c r="DB29" s="113" t="s">
        <v>126</v>
      </c>
      <c r="DC29" s="108" t="s">
        <v>112</v>
      </c>
      <c r="DD29" s="109" t="s">
        <v>113</v>
      </c>
      <c r="DE29" s="109" t="s">
        <v>114</v>
      </c>
      <c r="DF29" s="110" t="s">
        <v>115</v>
      </c>
      <c r="DG29" s="111" t="s">
        <v>116</v>
      </c>
      <c r="DH29" s="109" t="s">
        <v>117</v>
      </c>
      <c r="DI29" s="112" t="s">
        <v>118</v>
      </c>
      <c r="DJ29" s="110" t="s">
        <v>119</v>
      </c>
      <c r="DK29" s="112" t="s">
        <v>120</v>
      </c>
      <c r="DL29" s="110" t="s">
        <v>121</v>
      </c>
      <c r="DM29" s="112" t="s">
        <v>122</v>
      </c>
      <c r="DN29" s="110" t="s">
        <v>123</v>
      </c>
      <c r="DO29" s="112" t="s">
        <v>124</v>
      </c>
      <c r="DP29" s="110" t="s">
        <v>125</v>
      </c>
      <c r="DQ29" s="113" t="s">
        <v>126</v>
      </c>
    </row>
    <row r="30" spans="1:121">
      <c r="B30" s="79" t="s">
        <v>127</v>
      </c>
      <c r="C30" s="80">
        <f>SUM(H30:H115)</f>
        <v>8099598.24302943</v>
      </c>
      <c r="D30" s="81"/>
      <c r="E30" s="98" t="str">
        <f>期望!E30</f>
        <v>绳标Q卸</v>
      </c>
      <c r="F30" s="99">
        <f>期望!F30</f>
        <v>1</v>
      </c>
      <c r="G30" s="115"/>
      <c r="H30" s="100">
        <f>IF(VLOOKUP($E30,武器奇术!$A:$R,18,FALSE)="天工",AE30,(AE30+AT30+BI30+BX30+CM30+DB30+DQ30))*(1+J30)*F30*K30*(1+G30)</f>
        <v>7993.32833154372</v>
      </c>
      <c r="I30" s="101">
        <f t="shared" ref="I30:I93" si="0">H30/$C$30</f>
        <v>0.000986879607074688</v>
      </c>
      <c r="J30" s="116">
        <f>$F$3+VLOOKUP($E30,武器奇术!$A:$R,12,FALSE)+VLOOKUP($E30,武器奇术!$A:$R,14,FALSE)*$G$3+$P30+IF($F$21="√",5%,0)</f>
        <v>0.437</v>
      </c>
      <c r="K30" s="102">
        <f>VLOOKUP($E30,武器奇术!$A:$R,11,FALSE)</f>
        <v>1</v>
      </c>
      <c r="L30" s="117">
        <f>IF(VLOOKUP($E30,武器奇术!$A:$R,15,FALSE)="天工",0%,IF($C$17+VLOOKUP($E30,武器奇术!$A:$R,7,FALSE)&gt;80%,80%,$C$17+VLOOKUP($E30,武器奇术!$A:$R,7,FALSE))+IF($C$19&gt;20%,20%,$C$19))</f>
        <v>0.892</v>
      </c>
      <c r="M30" s="118">
        <f>IF(VLOOKUP($E30,武器奇术!$A:$R,15,FALSE)="天工",0%,IF($C$18+VLOOKUP($E30,武器奇术!$A:$R,9,FALSE)&gt;40%,40%,$C$18+VLOOKUP($E30,武器奇术!$A:$R,9,FALSE))+IF($C$20&gt;10%,10%,$C$20))</f>
        <v>0.0986</v>
      </c>
      <c r="N30" s="119">
        <f>IF(VLOOKUP($E30,武器奇术!$A:$R,15,FALSE)="天工",100%,MIN($C$16,1))</f>
        <v>0.9881</v>
      </c>
      <c r="O30" s="120" t="str">
        <f>VLOOKUP($E30,武器奇术!$A:$R,16,FALSE)</f>
        <v>绳标</v>
      </c>
      <c r="P30" s="121">
        <f>VLOOKUP($O30,$B$22:$C$27,2,FALSE)+IF(OR($O30="拳甲",$O30="绳标"),$C$24,0)</f>
        <v>0.084</v>
      </c>
      <c r="Q30" s="108">
        <f>$B$5*(1+VLOOKUP($E30,武器奇术!$A:$R,5,FALSE)+IF($G$5="飞隼",0.1,0)+IF($G$5="撼天",0.05,0))-$F$9+IF($I$5="√",160,0)</f>
        <v>1731.135</v>
      </c>
      <c r="R30" s="99">
        <f>IF(VLOOKUP($E30,武器奇术!$A:$Z,20,FALSE)=1,(S30-(Q30+S30)*0.5)*($G$15-0.5)*2+(Q30+S30)*0.5,(Q30+S30)*0.5)</f>
        <v>3256.775</v>
      </c>
      <c r="S30" s="109">
        <f>MAX($C$5,$B$5)*(1+VLOOKUP($E30,武器奇术!$A:$R,5,FALSE)+IF($G$5="飞隼",0.1,0)+IF($G$5="撼天",0.05,0))-$F$9+IF($I$5="√",320,0)</f>
        <v>4782.415</v>
      </c>
      <c r="T30" s="101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U30" s="111">
        <f>$E$5+IF(VLOOKUP($E30,武器奇术!$A:$U,21,FALSE)=1,0,0.09)</f>
        <v>0.115</v>
      </c>
      <c r="V30" s="109">
        <v>1</v>
      </c>
      <c r="W30" s="112">
        <f>Q30*VLOOKUP($E30,武器奇术!$A:$R,2,FALSE)*(1+T30)*(1+U30)*V30</f>
        <v>1192.67052181988</v>
      </c>
      <c r="X30" s="110">
        <f>(1-IF(VLOOKUP($E30,武器奇术!$A:$T,20,FALSE)=1,1,$N30))*(1-$M30)</f>
        <v>0.01072666</v>
      </c>
      <c r="Y30" s="112">
        <f>R30*VLOOKUP($E30,武器奇术!$A:$R,2,FALSE)*(1+T30)*(1+U30)*V30*(1+$E$16+VLOOKUP($E30,武器奇术!$A:$R,8,FALSE))</f>
        <v>3679.77404619968</v>
      </c>
      <c r="Z30" s="110">
        <f t="shared" ref="Z30:Z93" si="1">IF($L30+$M30&lt;=100%,$N30*$L30,$N30*(1-$M30))</f>
        <v>0.8813852</v>
      </c>
      <c r="AA30" s="112">
        <f>S30*VLOOKUP($E30,武器奇术!$A:$R,2,FALSE)*(1+T30)*(1+U30)*V30*(1+$E$17+VLOOKUP($E30,武器奇术!$A:$R,10,FALSE))</f>
        <v>4448.05938379873</v>
      </c>
      <c r="AB30" s="110">
        <f t="shared" ref="AB30:AB93" si="2">$M30</f>
        <v>0.0986</v>
      </c>
      <c r="AC30" s="112">
        <f>R30*VLOOKUP($E30,武器奇术!$A:$R,2,FALSE)*(1+T30)*(1+U30)*V30</f>
        <v>2243.76466231687</v>
      </c>
      <c r="AD30" s="110">
        <f t="shared" ref="AD30:AD93" si="3">MAX((1-X30-Z30-AB30),0)</f>
        <v>0.00928814000000003</v>
      </c>
      <c r="AE30" s="113">
        <f t="shared" ref="AE30:AE93" si="4">W30*X30+Y30*Z30+AA30*AB30+AC30*AD30</f>
        <v>3715.5108103973</v>
      </c>
      <c r="AF30" s="114">
        <f>VLOOKUP($E30,武器奇术!$A:$R,3,FALSE)*(1+IF(VLOOKUP($E30,武器奇术!$A:$R,15,FALSE)="武器",$E$15,0))</f>
        <v>178.1</v>
      </c>
      <c r="AG30" s="112">
        <f t="shared" ref="AG30:AG93" si="5">(AF30+AH30)/2</f>
        <v>178.1</v>
      </c>
      <c r="AH30" s="112">
        <f>VLOOKUP($E30,武器奇术!$A:$R,3,FALSE)*(1+IF(VLOOKUP($E30,武器奇术!$A:$R,15,FALSE)="武器",$E$15,0))</f>
        <v>178.1</v>
      </c>
      <c r="AI30" s="101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0.242</v>
      </c>
      <c r="AJ30" s="111">
        <f>$E$5+IF(VLOOKUP($E30,武器奇术!$A:$U,21,FALSE)=1,0,0.09)</f>
        <v>0.115</v>
      </c>
      <c r="AK30" s="109">
        <v>1</v>
      </c>
      <c r="AL30" s="112">
        <f t="shared" ref="AL30:AL93" si="6">AF30*(1+AI30)*(1+AJ30)*AK30</f>
        <v>246.638223</v>
      </c>
      <c r="AM30" s="110">
        <f>(1-IF(VLOOKUP($E30,武器奇术!$A:$T,20,FALSE)=1,1,$N30))*(1-$M30)</f>
        <v>0.01072666</v>
      </c>
      <c r="AN30" s="112">
        <f>AG30*(1+AI30)*(1+AJ30)*AK30*(1+$E$16+VLOOKUP($E30,武器奇术!$A:$R,8,FALSE))</f>
        <v>404.48668572</v>
      </c>
      <c r="AO30" s="110">
        <f t="shared" ref="AO30:AO93" si="7">IF($L30+$M30&lt;=100%,$N30*$L30,$N30*(1-$M30))</f>
        <v>0.8813852</v>
      </c>
      <c r="AP30" s="112">
        <f>AH30*(1+AI30)*(1+AJ30)*AK30*(1+$E$17+VLOOKUP($E30,武器奇术!$A:$R,10,FALSE))</f>
        <v>332.96160105</v>
      </c>
      <c r="AQ30" s="110">
        <f t="shared" ref="AQ30:AQ93" si="8">$M30</f>
        <v>0.0986</v>
      </c>
      <c r="AR30" s="112">
        <f t="shared" ref="AR30:AR93" si="9">AG30*(1+AI30)*(1+AJ30)*AK30</f>
        <v>246.638223</v>
      </c>
      <c r="AS30" s="110">
        <f t="shared" ref="AS30:AS93" si="10">MAX((1-AM30-AO30-AQ30),0)</f>
        <v>0.00928814000000003</v>
      </c>
      <c r="AT30" s="113">
        <f t="shared" ref="AT30:AT93" si="11">AL30*AM30+AN30*AO30+AP30*AQ30+AR30*AS30</f>
        <v>394.27500695989</v>
      </c>
      <c r="AU30" s="108">
        <f>$B$7*IF($G$5="撼天",1.05,1)+IF(AND(VLOOKUP($E30,武器奇术!$A:$R,15,FALSE)="武器",VLOOKUP($E30,武器奇术!$A:$R,17,FALSE)="鸣金"),$E$3,0)*(1+$E$15)</f>
        <v>0</v>
      </c>
      <c r="AV30" s="99">
        <f>(AU30+AW30)*IF(VLOOKUP($E30,武器奇术!$A:$Z,21,FALSE)=1,$G$15,0.5)</f>
        <v>0</v>
      </c>
      <c r="AW30" s="109">
        <f>MAX($C$7*IF($G$5="撼天",1.05,1)+IF(AND(VLOOKUP($E30,武器奇术!$A:$R,15,FALSE)="武器",VLOOKUP($E30,武器奇术!$A:$R,17,FALSE)="鸣金"),$E$3*(1+$E$15),0),AU30)</f>
        <v>0</v>
      </c>
      <c r="AX30" s="110">
        <f>IF(($D$7+IF(VLOOKUP($E30,武器奇术!$A:$R,17,FALSE)="鸣金",$D$15,0)+IF(VLOOKUP($E30,武器奇术!$A:$R,18,FALSE)=1,4,0)+IF(VLOOKUP($E30,武器奇术!$A:$S,19,FALSE)=1,20,0)-VLOOKUP($F$7,目标属性!$A:$R,6,FALSE))&gt;0,($D$7+IF(VLOOKUP($E30,武器奇术!$A:$R,17,FALSE)="鸣金",$D$15,0)+IF(VLOOKUP($E30,武器奇术!$A:$R,18,FALSE)=1,4,0)+IF(VLOOKUP($E30,武器奇术!$A:$S,19,FALSE)=1,20,0)-VLOOKUP($F$7,目标属性!$A:$R,6,FALSE))/200,($D$7+IF(VLOOKUP($E30,武器奇术!$A:$R,17,FALSE)="鸣金",$D$15,0)+IF(VLOOKUP($E30,武器奇术!$A:$R,18,FALSE)=1,4,0)+IF(VLOOKUP($E30,武器奇术!$A:$S,19,FALSE)=1,20,0)-VLOOKUP($F$7,目标属性!$A:$R,6,FALSE))/100)</f>
        <v>-0.24</v>
      </c>
      <c r="AY30" s="111">
        <f t="shared" ref="AY30:AY93" si="12">$E$7</f>
        <v>0</v>
      </c>
      <c r="AZ30" s="109">
        <v>1</v>
      </c>
      <c r="BA30" s="112">
        <f>AU30*IF(VLOOKUP($E30,武器奇术!$A:$R,17,FALSE)="鸣金",VLOOKUP($E30,武器奇术!$A:$R,4,FALSE),VLOOKUP($E30,武器奇术!$A:$R,2,FALSE))*(1+AX30)*(1+AY30)*AZ30</f>
        <v>0</v>
      </c>
      <c r="BB30" s="110">
        <f>(1-IF(VLOOKUP($E30,武器奇术!$A:$T,20,FALSE)=1,1,$N30))*(1-$M30)</f>
        <v>0.01072666</v>
      </c>
      <c r="BC30" s="112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10">
        <f t="shared" ref="BD30:BD93" si="13">IF($L30+$M30&lt;=100%,$N30*$L30,$N30*(1-$M30))</f>
        <v>0.8813852</v>
      </c>
      <c r="BE30" s="112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10">
        <f t="shared" ref="BF30:BF93" si="14">$M30</f>
        <v>0.0986</v>
      </c>
      <c r="BG30" s="112">
        <f>AV30*IF(VLOOKUP($E30,武器奇术!$A:$R,17,FALSE)="鸣金",VLOOKUP($E30,武器奇术!$A:$R,4,FALSE),VLOOKUP($E30,武器奇术!$A:$R,2,FALSE))*(1+AX30)*(1+AY30)*AZ30</f>
        <v>0</v>
      </c>
      <c r="BH30" s="110">
        <f t="shared" ref="BH30:BH93" si="15">MAX((1-BB30-BD30-BF30),0)</f>
        <v>0.00928814000000003</v>
      </c>
      <c r="BI30" s="113">
        <f t="shared" ref="BI30:BI93" si="16">BA30*BB30+BC30*BD30+BE30*BF30+BG30*BH30</f>
        <v>0</v>
      </c>
      <c r="BJ30" s="108">
        <f>$B$9*IF($G$5="撼天",1.05,1)+IF(AND(VLOOKUP($E30,武器奇术!$A:$R,15,FALSE)="武器",VLOOKUP($E30,武器奇术!$A:$R,17,FALSE)="裂石"),$E$3,0)*(1+$E$15)</f>
        <v>0</v>
      </c>
      <c r="BK30" s="99">
        <f>(BJ30+BL30)*IF(VLOOKUP($E30,武器奇术!$A:$Z,21,FALSE)=1,$G$15,0.5)</f>
        <v>0</v>
      </c>
      <c r="BL30" s="109">
        <f>MAX($C$9*IF($G$5="撼天",1.05,1)+IF(AND(VLOOKUP($E30,武器奇术!$A:$R,15,FALSE)="武器",VLOOKUP($E30,武器奇术!$A:$R,17,FALSE)="裂石"),$E$3*(1+$E$15),0),BJ30)</f>
        <v>0</v>
      </c>
      <c r="BM30" s="110">
        <f>IF(($D$9+IF(VLOOKUP($E30,武器奇术!$A:$R,17,FALSE)="裂石",$D$15,0)+IF(VLOOKUP($E30,武器奇术!$A:$R,18,FALSE)=1,4,0)+IF(VLOOKUP($E30,武器奇术!$A:$S,19,FALSE)=1,20,0)-VLOOKUP($F$7,目标属性!$A:$R,6,FALSE))&gt;0,($D$9+IF(VLOOKUP($E30,武器奇术!$A:$R,17,FALSE)="裂石",$D$15,0)+IF(VLOOKUP($E30,武器奇术!$A:$R,18,FALSE)=1,4,0)+IF(VLOOKUP($E30,武器奇术!$A:$S,19,FALSE)=1,20,0)-VLOOKUP($F$7,目标属性!$A:$R,6,FALSE))/200,($D$9+IF(VLOOKUP($E30,武器奇术!$A:$R,17,FALSE)="裂石",$D$15,0)+IF(VLOOKUP($E30,武器奇术!$A:$R,18,FALSE)=1,4,0)+IF(VLOOKUP($E30,武器奇术!$A:$S,19,FALSE)=1,20,0)-VLOOKUP($F$7,目标属性!$A:$R,6,FALSE))/100)</f>
        <v>-0.24</v>
      </c>
      <c r="BN30" s="111">
        <f t="shared" ref="BN30:BN93" si="17">$E$9</f>
        <v>0</v>
      </c>
      <c r="BO30" s="109">
        <v>1</v>
      </c>
      <c r="BP30" s="112">
        <f>BJ30*IF(VLOOKUP($E30,武器奇术!$A:$R,17,FALSE)="裂石",VLOOKUP($E30,武器奇术!$A:$R,4,FALSE),VLOOKUP($E30,武器奇术!$A:$R,2,FALSE))*(1+BM30)*(1+BN30)*BO30</f>
        <v>0</v>
      </c>
      <c r="BQ30" s="110">
        <f>(1-IF(VLOOKUP($E30,武器奇术!$A:$T,20,FALSE)=1,1,$N30))*(1-$M30)</f>
        <v>0.01072666</v>
      </c>
      <c r="BR30" s="112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10">
        <f t="shared" ref="BS30:BS93" si="18">IF($L30+$M30&lt;=100%,$N30*$L30,$N30*(1-$M30))</f>
        <v>0.8813852</v>
      </c>
      <c r="BT30" s="112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10">
        <f t="shared" ref="BU30:BU93" si="19">$M30</f>
        <v>0.0986</v>
      </c>
      <c r="BV30" s="112">
        <f>BK30*IF(VLOOKUP($E30,武器奇术!$A:$R,17,FALSE)="裂石",VLOOKUP($E30,武器奇术!$A:$R,4,FALSE),VLOOKUP($E30,武器奇术!$A:$R,2,FALSE))*(1+BM30)*(1+BN30)*BO30</f>
        <v>0</v>
      </c>
      <c r="BW30" s="110">
        <f t="shared" ref="BW30:BW93" si="20">MAX((1-BQ30-BS30-BU30),0)</f>
        <v>0.00928814000000003</v>
      </c>
      <c r="BX30" s="113">
        <f t="shared" ref="BX30:BX93" si="21">BP30*BQ30+BR30*BS30+BT30*BU30+BV30*BW30</f>
        <v>0</v>
      </c>
      <c r="BY30" s="108">
        <f>$B$11*IF($G$5="撼天",1.05,1)+IF(AND(VLOOKUP($E30,武器奇术!$A:$R,15,FALSE)="武器",VLOOKUP($E30,武器奇术!$A:$R,17,FALSE)="牵丝"),$E$3,0)*(1+$E$15)</f>
        <v>0</v>
      </c>
      <c r="BZ30" s="99">
        <f>(BY30+CA30)*IF(VLOOKUP($E30,武器奇术!$A:$Z,21,FALSE)=1,$G$15,0.5)</f>
        <v>0</v>
      </c>
      <c r="CA30" s="109">
        <f>MAX($C$11*IF($G$5="撼天",1.05,1)+IF(AND(VLOOKUP($E30,武器奇术!$A:$R,15,FALSE)="武器",VLOOKUP($E30,武器奇术!$A:$R,17,FALSE)="牵丝"),$E$3*(1+$E$15),0),BY30)</f>
        <v>0</v>
      </c>
      <c r="CB30" s="110">
        <f>IF(($D$11+IF(VLOOKUP($E30,武器奇术!$A:$R,17,FALSE)="牵丝",$D$15,0)+IF(VLOOKUP($E30,武器奇术!$A:$R,18,FALSE)=1,4,0)+IF(VLOOKUP($E30,武器奇术!$A:$S,19,FALSE)=1,20,0)-VLOOKUP($F$7,目标属性!$A:$R,6,FALSE))&gt;0,($D$11+IF(VLOOKUP($E30,武器奇术!$A:$R,17,FALSE)="牵丝",$D$15,0)+IF(VLOOKUP($E30,武器奇术!$A:$R,18,FALSE)=1,4,0)+IF(VLOOKUP($E30,武器奇术!$A:$S,19,FALSE)=1,20,0)-VLOOKUP($F$7,目标属性!$A:$R,6,FALSE))/200,($D$11+IF(VLOOKUP($E30,武器奇术!$A:$R,17,FALSE)="牵丝",$D$15,0)+IF(VLOOKUP($E30,武器奇术!$A:$R,18,FALSE)=1,4,0)+IF(VLOOKUP($E30,武器奇术!$A:$S,19,FALSE)=1,20,0)-VLOOKUP($F$7,目标属性!$A:$R,6,FALSE))/100)</f>
        <v>-0.24</v>
      </c>
      <c r="CC30" s="111">
        <f t="shared" ref="CC30:CC93" si="22">$E$11</f>
        <v>0</v>
      </c>
      <c r="CD30" s="109">
        <v>1</v>
      </c>
      <c r="CE30" s="112">
        <f>BY30*IF(VLOOKUP($E30,武器奇术!$A:$R,17,FALSE)="牵丝",VLOOKUP($E30,武器奇术!$A:$R,4,FALSE),VLOOKUP($E30,武器奇术!$A:$R,2,FALSE))*(1+CB30)*(1+CC30)*CD30</f>
        <v>0</v>
      </c>
      <c r="CF30" s="110">
        <f>(1-IF(VLOOKUP($E30,武器奇术!$A:$T,20,FALSE)=1,1,$N30))*(1-$M30)</f>
        <v>0.01072666</v>
      </c>
      <c r="CG30" s="112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110">
        <f t="shared" ref="CH30:CH93" si="23">IF($L30+$M30&lt;=100%,$N30*$L30,$N30*(1-$M30))</f>
        <v>0.8813852</v>
      </c>
      <c r="CI30" s="112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110">
        <f t="shared" ref="CJ30:CJ93" si="24">$M30</f>
        <v>0.0986</v>
      </c>
      <c r="CK30" s="112">
        <f>BZ30*IF(VLOOKUP($E30,武器奇术!$A:$R,17,FALSE)="牵丝",VLOOKUP($E30,武器奇术!$A:$R,4,FALSE),VLOOKUP($E30,武器奇术!$A:$R,2,FALSE))*(1+CB30)*(1+CC30)*CD30</f>
        <v>0</v>
      </c>
      <c r="CL30" s="110">
        <f t="shared" ref="CL30:CL93" si="25">MAX((1-CF30-CH30-CJ30),0)</f>
        <v>0.00928814000000003</v>
      </c>
      <c r="CM30" s="113">
        <f t="shared" ref="CM30:CM93" si="26">CE30*CF30+CG30*CH30+CI30*CJ30+CK30*CL30</f>
        <v>0</v>
      </c>
      <c r="CN30" s="108">
        <f>$B$13*IF($G$5="撼天",1.05,1)+IF(AND(VLOOKUP($E30,武器奇术!$A:$R,15,FALSE)="武器",VLOOKUP($E30,武器奇术!$A:$R,17,FALSE)="破竹"),$E$3,0)*(1+$E$15)</f>
        <v>648.46</v>
      </c>
      <c r="CO30" s="99">
        <f>(CN30+CP30)*IF(VLOOKUP($E30,武器奇术!$A:$Z,21,FALSE)=1,$G$15,0.5)</f>
        <v>875.26</v>
      </c>
      <c r="CP30" s="109">
        <f>MAX($C$13*IF($G$5="撼天",1.05,1)+IF(AND(VLOOKUP($E30,武器奇术!$A:$R,15,FALSE)="武器",VLOOKUP($E30,武器奇术!$A:$R,17,FALSE)="破竹"),$E$3*(1+$E$15),0),CN30)</f>
        <v>1102.06</v>
      </c>
      <c r="CQ30" s="110">
        <f>IF(($D$13+IF(VLOOKUP($E30,武器奇术!$A:$R,17,FALSE)="破竹",$D$15,0)+IF(VLOOKUP($E30,武器奇术!$A:$R,18,FALSE)=1,4,0)+IF(VLOOKUP($E30,武器奇术!$A:$S,19,FALSE)=1,20,0)-VLOOKUP($F$7,目标属性!$A:$R,6,FALSE))&gt;0,($D$13+IF(VLOOKUP($E30,武器奇术!$A:$R,17,FALSE)="破竹",$D$15,0)+IF(VLOOKUP($E30,武器奇术!$A:$R,18,FALSE)=1,4,0)+IF(VLOOKUP($E30,武器奇术!$A:$S,19,FALSE)=1,20,0)-VLOOKUP($F$7,目标属性!$A:$R,6,FALSE))/200,($D$13+IF(VLOOKUP($E30,武器奇术!$A:$R,17,FALSE)="破竹",$D$15,0)+IF(VLOOKUP($E30,武器奇术!$A:$R,18,FALSE)=1,4,0)+IF(VLOOKUP($E30,武器奇术!$A:$S,19,FALSE)=1,20,0)-VLOOKUP($F$7,目标属性!$A:$R,6,FALSE))/100)</f>
        <v>0.025</v>
      </c>
      <c r="CR30" s="111">
        <f>$E$13+IF(VLOOKUP($E30,武器奇术!$A:$U,21,FALSE)=1,0,0.09)</f>
        <v>0.235</v>
      </c>
      <c r="CS30" s="109">
        <v>1</v>
      </c>
      <c r="CT30" s="112">
        <f>CN30*IF(VLOOKUP($E30,武器奇术!$A:$R,17,FALSE)="破竹",VLOOKUP($E30,武器奇术!$A:$R,4,FALSE),VLOOKUP($E30,武器奇术!$A:$R,2,FALSE))*(1+CQ30)*(1+CR30)*CS30</f>
        <v>612.61476045575</v>
      </c>
      <c r="CU30" s="110">
        <f>(1-IF(VLOOKUP($E30,武器奇术!$A:$T,20,FALSE)=1,1,$N30))*(1-$M30)</f>
        <v>0.01072666</v>
      </c>
      <c r="CV30" s="112">
        <f>CO30*IF(VLOOKUP($E30,武器奇术!$A:$R,17,FALSE)="破竹",VLOOKUP($E30,武器奇术!$A:$R,4,FALSE),VLOOKUP($E30,武器奇术!$A:$R,2,FALSE))*(1+CQ30)*(1+CR30)*CS30*(1+$E$16+VLOOKUP($E30,武器奇术!$A:$R,8,FALSE))</f>
        <v>1356.07963511683</v>
      </c>
      <c r="CW30" s="110">
        <f t="shared" ref="CW30:CW93" si="27">IF($L30+$M30&lt;=100%,$N30*$L30,$N30*(1-$M30))</f>
        <v>0.8813852</v>
      </c>
      <c r="CX30" s="112">
        <f>CP30*IF(VLOOKUP($E30,武器奇术!$A:$R,17,FALSE)="破竹",VLOOKUP($E30,武器奇术!$A:$R,4,FALSE),VLOOKUP($E30,武器奇术!$A:$R,2,FALSE))*(1+CQ30)*(1+CR30)*CS30*(1+$E$17+VLOOKUP($E30,武器奇术!$A:$R,10,FALSE))</f>
        <v>1405.54020436976</v>
      </c>
      <c r="CY30" s="110">
        <f t="shared" ref="CY30:CY93" si="28">$M30</f>
        <v>0.0986</v>
      </c>
      <c r="CZ30" s="112">
        <f>CO30*IF(VLOOKUP($E30,武器奇术!$A:$R,17,FALSE)="破竹",VLOOKUP($E30,武器奇术!$A:$R,4,FALSE),VLOOKUP($E30,武器奇术!$A:$R,2,FALSE))*(1+CQ30)*(1+CR30)*CS30</f>
        <v>826.87782629075</v>
      </c>
      <c r="DA30" s="110">
        <f t="shared" ref="DA30:DA93" si="29">MAX((1-CU30-CW30-CY30),0)</f>
        <v>0.00928814000000003</v>
      </c>
      <c r="DB30" s="113">
        <f t="shared" ref="DB30:DB93" si="30">CT30*CU30+CV30*CW30+CX30*CY30+CZ30*DA30</f>
        <v>1348.06625182411</v>
      </c>
      <c r="DC30" s="108">
        <f t="shared" ref="DC30:DC93" si="31">$B$15*IF($G$5="撼天",1.05,1)</f>
        <v>69.3</v>
      </c>
      <c r="DD30" s="99">
        <f>(DC30+DE30)*IF(VLOOKUP($E30,武器奇术!$A:$Z,21,FALSE)=1,$G$15,0.5)</f>
        <v>69.3</v>
      </c>
      <c r="DE30" s="109">
        <f t="shared" ref="DE30:DE93" si="32">$C$15*IF($G$5="撼天",1.05,1)</f>
        <v>69.3</v>
      </c>
      <c r="DF30" s="110">
        <f>IF(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R,18,FALSE)=1,4,0)+IF(VLOOKUP($E30,武器奇术!$A:$S,19,FALSE)=1,20,0)-VLOOKUP($F$7,目标属性!$A:$R,6,FALSE))/100)</f>
        <v>0.025</v>
      </c>
      <c r="DG30" s="111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U,21,FALSE)=1,0,0.09)</f>
        <v>0.235</v>
      </c>
      <c r="DH30" s="109">
        <v>1</v>
      </c>
      <c r="DI30" s="112">
        <f>DC30*IF(VLOOKUP($E30,武器奇术!$A:$R,17,FALSE)="破竹",VLOOKUP($E30,武器奇术!$A:$R,4,FALSE),VLOOKUP($E30,武器奇术!$A:$R,2,FALSE))*(1+DF30)*(1+DG30)*DH30</f>
        <v>65.46927011625</v>
      </c>
      <c r="DJ30" s="110">
        <f>(1-IF(VLOOKUP($E30,武器奇术!$A:$T,20,FALSE)=1,1,$N30))*(1-$M30)</f>
        <v>0.01072666</v>
      </c>
      <c r="DK30" s="112">
        <f>DD30*IF(VLOOKUP($E30,武器奇术!$A:$R,17,FALSE)="破竹",VLOOKUP($E30,武器奇术!$A:$R,4,FALSE),VLOOKUP($E30,武器奇术!$A:$R,2,FALSE))*(1+DF30)*(1+DG30)*DH30*(1+$E$16+VLOOKUP($E30,武器奇术!$A:$R,8,FALSE))</f>
        <v>107.36960299065</v>
      </c>
      <c r="DL30" s="110">
        <f t="shared" ref="DL30:DL93" si="33">IF($L30+$M30&lt;=100%,$N30*$L30,$N30*(1-$M30))</f>
        <v>0.8813852</v>
      </c>
      <c r="DM30" s="112">
        <f>DE30*IF(VLOOKUP($E30,武器奇术!$A:$R,17,FALSE)="破竹",VLOOKUP($E30,武器奇术!$A:$R,4,FALSE),VLOOKUP($E30,武器奇术!$A:$R,2,FALSE))*(1+DF30)*(1+DG30)*DH30*(1+$E$17+VLOOKUP($E30,武器奇术!$A:$R,10,FALSE))</f>
        <v>88.3835146569375</v>
      </c>
      <c r="DN30" s="110">
        <f t="shared" ref="DN30:DN93" si="34">$M30</f>
        <v>0.0986</v>
      </c>
      <c r="DO30" s="112">
        <f>DD30*IF(VLOOKUP($E30,武器奇术!$A:$R,17,FALSE)="破竹",VLOOKUP($E30,武器奇术!$A:$R,4,FALSE),VLOOKUP($E30,武器奇术!$A:$R,2,FALSE))*(1+DF30)*(1+DG30)*DH30</f>
        <v>65.46927011625</v>
      </c>
      <c r="DP30" s="110">
        <f t="shared" ref="DP30:DP93" si="35">MAX((1-DJ30-DL30-DN30),0)</f>
        <v>0.00928814000000003</v>
      </c>
      <c r="DQ30" s="113">
        <f t="shared" ref="DQ30:DQ93" si="36">DI30*DJ30+DK30*DL30+DM30*DN30+DO30*DP30</f>
        <v>104.658947898531</v>
      </c>
    </row>
    <row r="31" spans="1:121">
      <c r="B31" s="122"/>
      <c r="C31" s="123"/>
      <c r="D31" s="40"/>
      <c r="E31" s="98" t="str">
        <f>期望!E31</f>
        <v>鹰隼追击(绳标)</v>
      </c>
      <c r="F31" s="99">
        <f>期望!F31</f>
        <v>1</v>
      </c>
      <c r="G31" s="115"/>
      <c r="H31" s="100">
        <f>IF(VLOOKUP($E31,武器奇术!$A:$R,18,FALSE)="天工",AE31,(AE31+AT31+BI31+BX31+CM31+DB31+DQ31))*(1+J31)*F31*K31*(1+G31)</f>
        <v>46431.9505353918</v>
      </c>
      <c r="I31" s="101">
        <f t="shared" si="0"/>
        <v>0.00573262390827242</v>
      </c>
      <c r="J31" s="116">
        <f>$F$3+VLOOKUP($E31,武器奇术!$A:$R,12,FALSE)+VLOOKUP($E31,武器奇术!$A:$R,14,FALSE)*$G$3+$P31+IF($F$21="√",5%,0)</f>
        <v>0.737</v>
      </c>
      <c r="K31" s="102">
        <f>VLOOKUP($E31,武器奇术!$A:$R,11,FALSE)</f>
        <v>1</v>
      </c>
      <c r="L31" s="117">
        <f>IF(VLOOKUP($E31,武器奇术!$A:$R,15,FALSE)="天工",0%,IF($C$17+VLOOKUP($E31,武器奇术!$A:$R,7,FALSE)&gt;80%,80%,$C$17+VLOOKUP($E31,武器奇术!$A:$R,7,FALSE))+IF($C$19&gt;20%,20%,$C$19))</f>
        <v>0.892</v>
      </c>
      <c r="M31" s="118">
        <f>IF(VLOOKUP($E31,武器奇术!$A:$R,15,FALSE)="天工",0%,IF($C$18+VLOOKUP($E31,武器奇术!$A:$R,9,FALSE)&gt;40%,40%,$C$18+VLOOKUP($E31,武器奇术!$A:$R,9,FALSE))+IF($C$20&gt;10%,10%,$C$20))</f>
        <v>0.0986</v>
      </c>
      <c r="N31" s="119">
        <f>IF(VLOOKUP($E31,武器奇术!$A:$R,15,FALSE)="天工",100%,MIN($C$16,1))</f>
        <v>0.9881</v>
      </c>
      <c r="O31" s="120" t="str">
        <f>VLOOKUP($E31,武器奇术!$A:$R,16,FALSE)</f>
        <v>绳标</v>
      </c>
      <c r="P31" s="121">
        <f t="shared" ref="P31:P62" si="37">VLOOKUP($O31,$B$22:$C$27,2,FALSE)+IF(OR($O31="拳甲",$O31="绳标"),$C$24,0)</f>
        <v>0.084</v>
      </c>
      <c r="Q31" s="108">
        <f>$B$5*(1+VLOOKUP($E31,武器奇术!$A:$R,5,FALSE)+IF($G$5="飞隼",0.1,0)+IF($G$5="撼天",0.05,0))-$F$9+IF($I$5="√",160,0)</f>
        <v>1731.135</v>
      </c>
      <c r="R31" s="99">
        <f>IF(VLOOKUP($E31,武器奇术!$A:$Z,20,FALSE)=1,(S31-(Q31+S31)*0.5)*($G$15-0.5)*2+(Q31+S31)*0.5,(Q31+S31)*0.5)</f>
        <v>3256.775</v>
      </c>
      <c r="S31" s="109">
        <f>MAX($C$5,$B$5)*(1+VLOOKUP($E31,武器奇术!$A:$R,5,FALSE)+IF($G$5="飞隼",0.1,0)+IF($G$5="撼天",0.05,0))-$F$9+IF($I$5="√",320,0)</f>
        <v>4782.415</v>
      </c>
      <c r="T31" s="101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U31" s="111">
        <f>$E$5+IF(VLOOKUP($E31,武器奇术!$A:$U,21,FALSE)=1,0,0.09)</f>
        <v>0.115</v>
      </c>
      <c r="V31" s="109">
        <v>1</v>
      </c>
      <c r="W31" s="112">
        <f>Q31*VLOOKUP($E31,武器奇术!$A:$R,2,FALSE)*(1+T31)*(1+U31)*V31</f>
        <v>5595.154346628</v>
      </c>
      <c r="X31" s="110">
        <f>(1-IF(VLOOKUP($E31,武器奇术!$A:$T,20,FALSE)=1,1,$N31))*(1-$M31)</f>
        <v>0.01072666</v>
      </c>
      <c r="Y31" s="112">
        <f>R31*VLOOKUP($E31,武器奇术!$A:$R,2,FALSE)*(1+T31)*(1+U31)*V31*(1+$E$16+VLOOKUP($E31,武器奇术!$A:$R,8,FALSE))</f>
        <v>20420.6997528468</v>
      </c>
      <c r="Z31" s="110">
        <f t="shared" si="1"/>
        <v>0.8813852</v>
      </c>
      <c r="AA31" s="112">
        <f>S31*VLOOKUP($E31,武器奇术!$A:$R,2,FALSE)*(1+T31)*(1+U31)*V31*(1+$E$17+VLOOKUP($E31,武器奇术!$A:$R,10,FALSE))</f>
        <v>20867.1031437462</v>
      </c>
      <c r="AB31" s="110">
        <f t="shared" si="2"/>
        <v>0.0986</v>
      </c>
      <c r="AC31" s="112">
        <f>R31*VLOOKUP($E31,武器奇术!$A:$R,2,FALSE)*(1+T31)*(1+U31)*V31</f>
        <v>10526.13389322</v>
      </c>
      <c r="AD31" s="110">
        <f t="shared" si="3"/>
        <v>0.00928814000000003</v>
      </c>
      <c r="AE31" s="113">
        <f t="shared" si="4"/>
        <v>20213.784429359</v>
      </c>
      <c r="AF31" s="114">
        <f>VLOOKUP($E31,武器奇术!$A:$R,3,FALSE)*(1+IF(VLOOKUP($E31,武器奇术!$A:$R,15,FALSE)="武器",$E$15,0))</f>
        <v>0</v>
      </c>
      <c r="AG31" s="112">
        <f t="shared" si="5"/>
        <v>0</v>
      </c>
      <c r="AH31" s="112">
        <f>VLOOKUP($E31,武器奇术!$A:$R,3,FALSE)*(1+IF(VLOOKUP($E31,武器奇术!$A:$R,15,FALSE)="武器",$E$15,0))</f>
        <v>0</v>
      </c>
      <c r="AI31" s="101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0.342</v>
      </c>
      <c r="AJ31" s="111">
        <f>$E$5+IF(VLOOKUP($E31,武器奇术!$A:$U,21,FALSE)=1,0,0.09)</f>
        <v>0.115</v>
      </c>
      <c r="AK31" s="109">
        <v>1</v>
      </c>
      <c r="AL31" s="112">
        <f t="shared" si="6"/>
        <v>0</v>
      </c>
      <c r="AM31" s="110">
        <f>(1-IF(VLOOKUP($E31,武器奇术!$A:$T,20,FALSE)=1,1,$N31))*(1-$M31)</f>
        <v>0.01072666</v>
      </c>
      <c r="AN31" s="112">
        <f>AG31*(1+AI31)*(1+AJ31)*AK31*(1+$E$16+VLOOKUP($E31,武器奇术!$A:$R,8,FALSE))</f>
        <v>0</v>
      </c>
      <c r="AO31" s="110">
        <f t="shared" si="7"/>
        <v>0.8813852</v>
      </c>
      <c r="AP31" s="112">
        <f>AH31*(1+AI31)*(1+AJ31)*AK31*(1+$E$17+VLOOKUP($E31,武器奇术!$A:$R,10,FALSE))</f>
        <v>0</v>
      </c>
      <c r="AQ31" s="110">
        <f t="shared" si="8"/>
        <v>0.0986</v>
      </c>
      <c r="AR31" s="112">
        <f t="shared" si="9"/>
        <v>0</v>
      </c>
      <c r="AS31" s="110">
        <f t="shared" si="10"/>
        <v>0.00928814000000003</v>
      </c>
      <c r="AT31" s="113">
        <f t="shared" si="11"/>
        <v>0</v>
      </c>
      <c r="AU31" s="108">
        <f>$B$7*IF($G$5="撼天",1.05,1)+IF(AND(VLOOKUP($E31,武器奇术!$A:$R,15,FALSE)="武器",VLOOKUP($E31,武器奇术!$A:$R,17,FALSE)="鸣金"),$E$3,0)*(1+$E$15)</f>
        <v>0</v>
      </c>
      <c r="AV31" s="99">
        <f>(AU31+AW31)*IF(VLOOKUP($E31,武器奇术!$A:$Z,21,FALSE)=1,$G$15,0.5)</f>
        <v>0</v>
      </c>
      <c r="AW31" s="109">
        <f>MAX($C$7*IF($G$5="撼天",1.05,1)+IF(AND(VLOOKUP($E31,武器奇术!$A:$R,15,FALSE)="武器",VLOOKUP($E31,武器奇术!$A:$R,17,FALSE)="鸣金"),$E$3*(1+$E$15),0),AU31)</f>
        <v>0</v>
      </c>
      <c r="AX31" s="110">
        <f>IF(($D$7+IF(VLOOKUP($E31,武器奇术!$A:$R,17,FALSE)="鸣金",$D$15,0)+IF(VLOOKUP($E31,武器奇术!$A:$R,18,FALSE)=1,4,0)+IF(VLOOKUP($E31,武器奇术!$A:$S,19,FALSE)=1,20,0)-VLOOKUP($F$7,目标属性!$A:$R,6,FALSE))&gt;0,($D$7+IF(VLOOKUP($E31,武器奇术!$A:$R,17,FALSE)="鸣金",$D$15,0)+IF(VLOOKUP($E31,武器奇术!$A:$R,18,FALSE)=1,4,0)+IF(VLOOKUP($E31,武器奇术!$A:$S,19,FALSE)=1,20,0)-VLOOKUP($F$7,目标属性!$A:$R,6,FALSE))/200,($D$7+IF(VLOOKUP($E31,武器奇术!$A:$R,17,FALSE)="鸣金",$D$15,0)+IF(VLOOKUP($E31,武器奇术!$A:$R,18,FALSE)=1,4,0)+IF(VLOOKUP($E31,武器奇术!$A:$S,19,FALSE)=1,20,0)-VLOOKUP($F$7,目标属性!$A:$R,6,FALSE))/100)</f>
        <v>0</v>
      </c>
      <c r="AY31" s="111">
        <f t="shared" si="12"/>
        <v>0</v>
      </c>
      <c r="AZ31" s="109">
        <v>1</v>
      </c>
      <c r="BA31" s="112">
        <f>AU31*IF(VLOOKUP($E31,武器奇术!$A:$R,17,FALSE)="鸣金",VLOOKUP($E31,武器奇术!$A:$R,4,FALSE),VLOOKUP($E31,武器奇术!$A:$R,2,FALSE))*(1+AX31)*(1+AY31)*AZ31</f>
        <v>0</v>
      </c>
      <c r="BB31" s="110">
        <f>(1-IF(VLOOKUP($E31,武器奇术!$A:$T,20,FALSE)=1,1,$N31))*(1-$M31)</f>
        <v>0.01072666</v>
      </c>
      <c r="BC31" s="112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10">
        <f t="shared" si="13"/>
        <v>0.8813852</v>
      </c>
      <c r="BE31" s="112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10">
        <f t="shared" si="14"/>
        <v>0.0986</v>
      </c>
      <c r="BG31" s="112">
        <f>AV31*IF(VLOOKUP($E31,武器奇术!$A:$R,17,FALSE)="鸣金",VLOOKUP($E31,武器奇术!$A:$R,4,FALSE),VLOOKUP($E31,武器奇术!$A:$R,2,FALSE))*(1+AX31)*(1+AY31)*AZ31</f>
        <v>0</v>
      </c>
      <c r="BH31" s="110">
        <f t="shared" si="15"/>
        <v>0.00928814000000003</v>
      </c>
      <c r="BI31" s="113">
        <f t="shared" si="16"/>
        <v>0</v>
      </c>
      <c r="BJ31" s="108">
        <f>$B$9*IF($G$5="撼天",1.05,1)+IF(AND(VLOOKUP($E31,武器奇术!$A:$R,15,FALSE)="武器",VLOOKUP($E31,武器奇术!$A:$R,17,FALSE)="裂石"),$E$3,0)*(1+$E$15)</f>
        <v>0</v>
      </c>
      <c r="BK31" s="99">
        <f>(BJ31+BL31)*IF(VLOOKUP($E31,武器奇术!$A:$Z,21,FALSE)=1,$G$15,0.5)</f>
        <v>0</v>
      </c>
      <c r="BL31" s="109">
        <f>MAX($C$9*IF($G$5="撼天",1.05,1)+IF(AND(VLOOKUP($E31,武器奇术!$A:$R,15,FALSE)="武器",VLOOKUP($E31,武器奇术!$A:$R,17,FALSE)="裂石"),$E$3*(1+$E$15),0),BJ31)</f>
        <v>0</v>
      </c>
      <c r="BM31" s="110">
        <f>IF(($D$9+IF(VLOOKUP($E31,武器奇术!$A:$R,17,FALSE)="裂石",$D$15,0)+IF(VLOOKUP($E31,武器奇术!$A:$R,18,FALSE)=1,4,0)+IF(VLOOKUP($E31,武器奇术!$A:$S,19,FALSE)=1,20,0)-VLOOKUP($F$7,目标属性!$A:$R,6,FALSE))&gt;0,($D$9+IF(VLOOKUP($E31,武器奇术!$A:$R,17,FALSE)="裂石",$D$15,0)+IF(VLOOKUP($E31,武器奇术!$A:$R,18,FALSE)=1,4,0)+IF(VLOOKUP($E31,武器奇术!$A:$S,19,FALSE)=1,20,0)-VLOOKUP($F$7,目标属性!$A:$R,6,FALSE))/200,($D$9+IF(VLOOKUP($E31,武器奇术!$A:$R,17,FALSE)="裂石",$D$15,0)+IF(VLOOKUP($E31,武器奇术!$A:$R,18,FALSE)=1,4,0)+IF(VLOOKUP($E31,武器奇术!$A:$S,19,FALSE)=1,20,0)-VLOOKUP($F$7,目标属性!$A:$R,6,FALSE))/100)</f>
        <v>0</v>
      </c>
      <c r="BN31" s="111">
        <f t="shared" si="17"/>
        <v>0</v>
      </c>
      <c r="BO31" s="109">
        <v>1</v>
      </c>
      <c r="BP31" s="112">
        <f>BJ31*IF(VLOOKUP($E31,武器奇术!$A:$R,17,FALSE)="裂石",VLOOKUP($E31,武器奇术!$A:$R,4,FALSE),VLOOKUP($E31,武器奇术!$A:$R,2,FALSE))*(1+BM31)*(1+BN31)*BO31</f>
        <v>0</v>
      </c>
      <c r="BQ31" s="110">
        <f>(1-IF(VLOOKUP($E31,武器奇术!$A:$T,20,FALSE)=1,1,$N31))*(1-$M31)</f>
        <v>0.01072666</v>
      </c>
      <c r="BR31" s="112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10">
        <f t="shared" si="18"/>
        <v>0.8813852</v>
      </c>
      <c r="BT31" s="112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10">
        <f t="shared" si="19"/>
        <v>0.0986</v>
      </c>
      <c r="BV31" s="112">
        <f>BK31*IF(VLOOKUP($E31,武器奇术!$A:$R,17,FALSE)="裂石",VLOOKUP($E31,武器奇术!$A:$R,4,FALSE),VLOOKUP($E31,武器奇术!$A:$R,2,FALSE))*(1+BM31)*(1+BN31)*BO31</f>
        <v>0</v>
      </c>
      <c r="BW31" s="110">
        <f t="shared" si="20"/>
        <v>0.00928814000000003</v>
      </c>
      <c r="BX31" s="113">
        <f t="shared" si="21"/>
        <v>0</v>
      </c>
      <c r="BY31" s="108">
        <f>$B$11*IF($G$5="撼天",1.05,1)+IF(AND(VLOOKUP($E31,武器奇术!$A:$R,15,FALSE)="武器",VLOOKUP($E31,武器奇术!$A:$R,17,FALSE)="牵丝"),$E$3,0)*(1+$E$15)</f>
        <v>0</v>
      </c>
      <c r="BZ31" s="99">
        <f>(BY31+CA31)*IF(VLOOKUP($E31,武器奇术!$A:$Z,21,FALSE)=1,$G$15,0.5)</f>
        <v>0</v>
      </c>
      <c r="CA31" s="109">
        <f>MAX($C$11*IF($G$5="撼天",1.05,1)+IF(AND(VLOOKUP($E31,武器奇术!$A:$R,15,FALSE)="武器",VLOOKUP($E31,武器奇术!$A:$R,17,FALSE)="牵丝"),$E$3*(1+$E$15),0),BY31)</f>
        <v>0</v>
      </c>
      <c r="CB31" s="110">
        <f>IF(($D$11+IF(VLOOKUP($E31,武器奇术!$A:$R,17,FALSE)="牵丝",$D$15,0)+IF(VLOOKUP($E31,武器奇术!$A:$R,18,FALSE)=1,4,0)+IF(VLOOKUP($E31,武器奇术!$A:$S,19,FALSE)=1,20,0)-VLOOKUP($F$7,目标属性!$A:$R,6,FALSE))&gt;0,($D$11+IF(VLOOKUP($E31,武器奇术!$A:$R,17,FALSE)="牵丝",$D$15,0)+IF(VLOOKUP($E31,武器奇术!$A:$R,18,FALSE)=1,4,0)+IF(VLOOKUP($E31,武器奇术!$A:$S,19,FALSE)=1,20,0)-VLOOKUP($F$7,目标属性!$A:$R,6,FALSE))/200,($D$11+IF(VLOOKUP($E31,武器奇术!$A:$R,17,FALSE)="牵丝",$D$15,0)+IF(VLOOKUP($E31,武器奇术!$A:$R,18,FALSE)=1,4,0)+IF(VLOOKUP($E31,武器奇术!$A:$S,19,FALSE)=1,20,0)-VLOOKUP($F$7,目标属性!$A:$R,6,FALSE))/100)</f>
        <v>0</v>
      </c>
      <c r="CC31" s="111">
        <f t="shared" si="22"/>
        <v>0</v>
      </c>
      <c r="CD31" s="109">
        <v>1</v>
      </c>
      <c r="CE31" s="112">
        <f>BY31*IF(VLOOKUP($E31,武器奇术!$A:$R,17,FALSE)="牵丝",VLOOKUP($E31,武器奇术!$A:$R,4,FALSE),VLOOKUP($E31,武器奇术!$A:$R,2,FALSE))*(1+CB31)*(1+CC31)*CD31</f>
        <v>0</v>
      </c>
      <c r="CF31" s="110">
        <f>(1-IF(VLOOKUP($E31,武器奇术!$A:$T,20,FALSE)=1,1,$N31))*(1-$M31)</f>
        <v>0.01072666</v>
      </c>
      <c r="CG31" s="112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110">
        <f t="shared" si="23"/>
        <v>0.8813852</v>
      </c>
      <c r="CI31" s="112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110">
        <f t="shared" si="24"/>
        <v>0.0986</v>
      </c>
      <c r="CK31" s="112">
        <f>BZ31*IF(VLOOKUP($E31,武器奇术!$A:$R,17,FALSE)="牵丝",VLOOKUP($E31,武器奇术!$A:$R,4,FALSE),VLOOKUP($E31,武器奇术!$A:$R,2,FALSE))*(1+CB31)*(1+CC31)*CD31</f>
        <v>0</v>
      </c>
      <c r="CL31" s="110">
        <f t="shared" si="25"/>
        <v>0.00928814000000003</v>
      </c>
      <c r="CM31" s="113">
        <f t="shared" si="26"/>
        <v>0</v>
      </c>
      <c r="CN31" s="108">
        <f>$B$13*IF($G$5="撼天",1.05,1)+IF(AND(VLOOKUP($E31,武器奇术!$A:$R,15,FALSE)="武器",VLOOKUP($E31,武器奇术!$A:$R,17,FALSE)="破竹"),$E$3,0)*(1+$E$15)</f>
        <v>452.55</v>
      </c>
      <c r="CO31" s="99">
        <f>(CN31+CP31)*IF(VLOOKUP($E31,武器奇术!$A:$Z,21,FALSE)=1,$G$15,0.5)</f>
        <v>679.35</v>
      </c>
      <c r="CP31" s="109">
        <f>MAX($C$13*IF($G$5="撼天",1.05,1)+IF(AND(VLOOKUP($E31,武器奇术!$A:$R,15,FALSE)="武器",VLOOKUP($E31,武器奇术!$A:$R,17,FALSE)="破竹"),$E$3*(1+$E$15),0),CN31)</f>
        <v>906.15</v>
      </c>
      <c r="CQ31" s="110">
        <f>IF(($D$13+IF(VLOOKUP($E31,武器奇术!$A:$R,17,FALSE)="破竹",$D$15,0)+IF(VLOOKUP($E31,武器奇术!$A:$R,18,FALSE)=1,4,0)+IF(VLOOKUP($E31,武器奇术!$A:$S,19,FALSE)=1,20,0)-VLOOKUP($F$7,目标属性!$A:$R,6,FALSE))&gt;0,($D$13+IF(VLOOKUP($E31,武器奇术!$A:$R,17,FALSE)="破竹",$D$15,0)+IF(VLOOKUP($E31,武器奇术!$A:$R,18,FALSE)=1,4,0)+IF(VLOOKUP($E31,武器奇术!$A:$S,19,FALSE)=1,20,0)-VLOOKUP($F$7,目标属性!$A:$R,6,FALSE))/200,($D$13+IF(VLOOKUP($E31,武器奇术!$A:$R,17,FALSE)="破竹",$D$15,0)+IF(VLOOKUP($E31,武器奇术!$A:$R,18,FALSE)=1,4,0)+IF(VLOOKUP($E31,武器奇术!$A:$S,19,FALSE)=1,20,0)-VLOOKUP($F$7,目标属性!$A:$R,6,FALSE))/100)</f>
        <v>0.145</v>
      </c>
      <c r="CR31" s="111">
        <f>$E$13+IF(VLOOKUP($E31,武器奇术!$A:$U,21,FALSE)=1,0,0.09)</f>
        <v>0.235</v>
      </c>
      <c r="CS31" s="109">
        <v>1</v>
      </c>
      <c r="CT31" s="112">
        <f>CN31*IF(VLOOKUP($E31,武器奇术!$A:$R,17,FALSE)="破竹",VLOOKUP($E31,武器奇术!$A:$R,4,FALSE),VLOOKUP($E31,武器奇术!$A:$R,2,FALSE))*(1+CQ31)*(1+CR31)*CS31</f>
        <v>2073.40443765</v>
      </c>
      <c r="CU31" s="110">
        <f>(1-IF(VLOOKUP($E31,武器奇术!$A:$T,20,FALSE)=1,1,$N31))*(1-$M31)</f>
        <v>0.01072666</v>
      </c>
      <c r="CV31" s="112">
        <f>CO31*IF(VLOOKUP($E31,武器奇术!$A:$R,17,FALSE)="破竹",VLOOKUP($E31,武器奇术!$A:$R,4,FALSE),VLOOKUP($E31,武器奇术!$A:$R,2,FALSE))*(1+CQ31)*(1+CR31)*CS31*(1+$E$16+VLOOKUP($E31,武器奇术!$A:$R,8,FALSE))</f>
        <v>6038.273276217</v>
      </c>
      <c r="CW31" s="110">
        <f t="shared" si="27"/>
        <v>0.8813852</v>
      </c>
      <c r="CX31" s="112">
        <f>CP31*IF(VLOOKUP($E31,武器奇术!$A:$R,17,FALSE)="破竹",VLOOKUP($E31,武器奇术!$A:$R,4,FALSE),VLOOKUP($E31,武器奇术!$A:$R,2,FALSE))*(1+CQ31)*(1+CR31)*CS31*(1+$E$17+VLOOKUP($E31,武器奇术!$A:$R,10,FALSE))</f>
        <v>5604.6864039075</v>
      </c>
      <c r="CY31" s="110">
        <f t="shared" si="28"/>
        <v>0.0986</v>
      </c>
      <c r="CZ31" s="112">
        <f>CO31*IF(VLOOKUP($E31,武器奇术!$A:$R,17,FALSE)="破竹",VLOOKUP($E31,武器奇术!$A:$R,4,FALSE),VLOOKUP($E31,武器奇术!$A:$R,2,FALSE))*(1+CQ31)*(1+CR31)*CS31</f>
        <v>3112.51199805</v>
      </c>
      <c r="DA31" s="110">
        <f t="shared" si="29"/>
        <v>0.00928814000000003</v>
      </c>
      <c r="DB31" s="113">
        <f t="shared" si="30"/>
        <v>5925.81693027318</v>
      </c>
      <c r="DC31" s="108">
        <f t="shared" si="31"/>
        <v>69.3</v>
      </c>
      <c r="DD31" s="99">
        <f>(DC31+DE31)*IF(VLOOKUP($E31,武器奇术!$A:$Z,21,FALSE)=1,$G$15,0.5)</f>
        <v>69.3</v>
      </c>
      <c r="DE31" s="109">
        <f t="shared" si="32"/>
        <v>69.3</v>
      </c>
      <c r="DF31" s="110">
        <f>IF(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R,18,FALSE)=1,4,0)+IF(VLOOKUP($E31,武器奇术!$A:$S,19,FALSE)=1,20,0)-VLOOKUP($F$7,目标属性!$A:$R,6,FALSE))/100)</f>
        <v>0.145</v>
      </c>
      <c r="DG31" s="111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U,21,FALSE)=1,0,0.09)</f>
        <v>0.235</v>
      </c>
      <c r="DH31" s="109">
        <v>1</v>
      </c>
      <c r="DI31" s="112">
        <f>DC31*IF(VLOOKUP($E31,武器奇术!$A:$R,17,FALSE)="破竹",VLOOKUP($E31,武器奇术!$A:$R,4,FALSE),VLOOKUP($E31,武器奇术!$A:$R,2,FALSE))*(1+DF31)*(1+DG31)*DH31</f>
        <v>317.5050879</v>
      </c>
      <c r="DJ31" s="110">
        <f>(1-IF(VLOOKUP($E31,武器奇术!$A:$T,20,FALSE)=1,1,$N31))*(1-$M31)</f>
        <v>0.01072666</v>
      </c>
      <c r="DK31" s="112">
        <f>DD31*IF(VLOOKUP($E31,武器奇术!$A:$R,17,FALSE)="破竹",VLOOKUP($E31,武器奇术!$A:$R,4,FALSE),VLOOKUP($E31,武器奇术!$A:$R,2,FALSE))*(1+DF31)*(1+DG31)*DH31*(1+$E$16+VLOOKUP($E31,武器奇术!$A:$R,8,FALSE))</f>
        <v>615.959870526</v>
      </c>
      <c r="DL31" s="110">
        <f t="shared" si="33"/>
        <v>0.8813852</v>
      </c>
      <c r="DM31" s="112">
        <f>DE31*IF(VLOOKUP($E31,武器奇术!$A:$R,17,FALSE)="破竹",VLOOKUP($E31,武器奇术!$A:$R,4,FALSE),VLOOKUP($E31,武器奇术!$A:$R,2,FALSE))*(1+DF31)*(1+DG31)*DH31*(1+$E$17+VLOOKUP($E31,武器奇术!$A:$R,10,FALSE))</f>
        <v>428.631868665</v>
      </c>
      <c r="DN31" s="110">
        <f t="shared" si="34"/>
        <v>0.0986</v>
      </c>
      <c r="DO31" s="112">
        <f>DD31*IF(VLOOKUP($E31,武器奇术!$A:$R,17,FALSE)="破竹",VLOOKUP($E31,武器奇术!$A:$R,4,FALSE),VLOOKUP($E31,武器奇术!$A:$R,2,FALSE))*(1+DF31)*(1+DG31)*DH31</f>
        <v>317.5050879</v>
      </c>
      <c r="DP31" s="110">
        <f t="shared" si="35"/>
        <v>0.00928814000000003</v>
      </c>
      <c r="DQ31" s="113">
        <f t="shared" si="36"/>
        <v>591.515816759203</v>
      </c>
    </row>
    <row r="32" spans="1:121">
      <c r="B32" s="122"/>
      <c r="C32" s="123"/>
      <c r="D32" s="40"/>
      <c r="E32" s="98" t="str">
        <f>期望!E32</f>
        <v>拳甲R蓄4天志</v>
      </c>
      <c r="F32" s="99">
        <f>期望!F32</f>
        <v>1</v>
      </c>
      <c r="G32" s="115">
        <f>$E$23</f>
        <v>0.32</v>
      </c>
      <c r="H32" s="100">
        <f>IF(VLOOKUP($E32,武器奇术!$A:$R,18,FALSE)="天工",AE32,(AE32+AT32+BI32+BX32+CM32+DB32+DQ32))*(1+J32)*F32*K32*(1+G32)</f>
        <v>844267.914300063</v>
      </c>
      <c r="I32" s="101">
        <f t="shared" si="0"/>
        <v>0.104235776759254</v>
      </c>
      <c r="J32" s="116">
        <f>$F$3+VLOOKUP($E32,武器奇术!$A:$R,12,FALSE)+VLOOKUP($E32,武器奇术!$A:$R,14,FALSE)*$G$3+$P32+IF($F$21="√",5%,0)</f>
        <v>0.823</v>
      </c>
      <c r="K32" s="102">
        <f>VLOOKUP($E32,武器奇术!$A:$R,11,FALSE)</f>
        <v>1</v>
      </c>
      <c r="L32" s="117">
        <f>IF(VLOOKUP($E32,武器奇术!$A:$R,15,FALSE)="天工",0%,IF($C$17+VLOOKUP($E32,武器奇术!$A:$R,7,FALSE)&gt;80%,80%,$C$17+VLOOKUP($E32,武器奇术!$A:$R,7,FALSE))+IF($C$19&gt;20%,20%,$C$19))</f>
        <v>0.892</v>
      </c>
      <c r="M32" s="118">
        <f>IF(VLOOKUP($E32,武器奇术!$A:$R,15,FALSE)="天工",0%,IF($C$18+VLOOKUP($E32,武器奇术!$A:$R,9,FALSE)&gt;40%,40%,$C$18+VLOOKUP($E32,武器奇术!$A:$R,9,FALSE))+IF($C$20&gt;10%,10%,$C$20))</f>
        <v>0.0986</v>
      </c>
      <c r="N32" s="119">
        <f>IF(VLOOKUP($E32,武器奇术!$A:$R,15,FALSE)="天工",100%,MIN($C$16,1))</f>
        <v>0.9881</v>
      </c>
      <c r="O32" s="120" t="str">
        <f>VLOOKUP($E32,武器奇术!$A:$R,16,FALSE)</f>
        <v>拳甲</v>
      </c>
      <c r="P32" s="121">
        <f t="shared" si="37"/>
        <v>0.17</v>
      </c>
      <c r="Q32" s="108">
        <f>$B$5*(1+VLOOKUP($E32,武器奇术!$A:$R,5,FALSE)+IF($G$5="飞隼",0.1,0)+IF($G$5="撼天",0.05,0))-$F$9+IF($I$5="√",160,0)</f>
        <v>1731.135</v>
      </c>
      <c r="R32" s="99">
        <f>IF(VLOOKUP($E32,武器奇术!$A:$Z,20,FALSE)=1,(S32-(Q32+S32)*0.5)*($G$15-0.5)*2+(Q32+S32)*0.5,(Q32+S32)*0.5)</f>
        <v>3256.775</v>
      </c>
      <c r="S32" s="109">
        <f>MAX($C$5,$B$5)*(1+VLOOKUP($E32,武器奇术!$A:$R,5,FALSE)+IF($G$5="飞隼",0.1,0)+IF($G$5="撼天",0.05,0))-$F$9+IF($I$5="√",320,0)</f>
        <v>4782.415</v>
      </c>
      <c r="T32" s="101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U32" s="111">
        <f>$E$5+IF(VLOOKUP($E32,武器奇术!$A:$U,21,FALSE)=1,0,0.09)</f>
        <v>0.115</v>
      </c>
      <c r="V32" s="109">
        <v>1</v>
      </c>
      <c r="W32" s="112">
        <f>Q32*VLOOKUP($E32,武器奇术!$A:$R,2,FALSE)*(1+T32)*(1+U32)*V32</f>
        <v>58678.4041054908</v>
      </c>
      <c r="X32" s="110">
        <f>(1-IF(VLOOKUP($E32,武器奇术!$A:$T,20,FALSE)=1,1,$N32))*(1-$M32)</f>
        <v>0</v>
      </c>
      <c r="Y32" s="112">
        <f>R32*VLOOKUP($E32,武器奇术!$A:$R,2,FALSE)*(1+T32)*(1+U32)*V32*(1+$E$16+VLOOKUP($E32,武器奇术!$A:$R,8,FALSE))</f>
        <v>236237.525898103</v>
      </c>
      <c r="Z32" s="110">
        <f t="shared" si="1"/>
        <v>0.8813852</v>
      </c>
      <c r="AA32" s="112">
        <f>S32*VLOOKUP($E32,武器奇术!$A:$R,2,FALSE)*(1+T32)*(1+U32)*V32*(1+$E$17+VLOOKUP($E32,武器奇术!$A:$R,10,FALSE))</f>
        <v>218840.846011268</v>
      </c>
      <c r="AB32" s="110">
        <f t="shared" si="2"/>
        <v>0.0986</v>
      </c>
      <c r="AC32" s="112">
        <f>R32*VLOOKUP($E32,武器奇术!$A:$R,2,FALSE)*(1+T32)*(1+U32)*V32</f>
        <v>110391.367242104</v>
      </c>
      <c r="AD32" s="110">
        <f t="shared" si="3"/>
        <v>0.0200148</v>
      </c>
      <c r="AE32" s="113">
        <f t="shared" si="4"/>
        <v>232003.427564993</v>
      </c>
      <c r="AF32" s="114">
        <f>VLOOKUP($E32,武器奇术!$A:$R,3,FALSE)*(1+IF(VLOOKUP($E32,武器奇术!$A:$R,15,FALSE)="武器",$E$15,0))</f>
        <v>8140.86</v>
      </c>
      <c r="AG32" s="112">
        <f t="shared" si="5"/>
        <v>8140.86</v>
      </c>
      <c r="AH32" s="112">
        <f>VLOOKUP($E32,武器奇术!$A:$R,3,FALSE)*(1+IF(VLOOKUP($E32,武器奇术!$A:$R,15,FALSE)="武器",$E$15,0))</f>
        <v>8140.86</v>
      </c>
      <c r="AI32" s="101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0.342</v>
      </c>
      <c r="AJ32" s="111">
        <f>$E$5+IF(VLOOKUP($E32,武器奇术!$A:$U,21,FALSE)=1,0,0.09)</f>
        <v>0.115</v>
      </c>
      <c r="AK32" s="109">
        <v>1</v>
      </c>
      <c r="AL32" s="112">
        <f t="shared" si="6"/>
        <v>12181.4130438</v>
      </c>
      <c r="AM32" s="110">
        <f>(1-IF(VLOOKUP($E32,武器奇术!$A:$T,20,FALSE)=1,1,$N32))*(1-$M32)</f>
        <v>0</v>
      </c>
      <c r="AN32" s="112">
        <f>AG32*(1+AI32)*(1+AJ32)*AK32*(1+$E$16+VLOOKUP($E32,武器奇术!$A:$R,8,FALSE))</f>
        <v>26068.223913732</v>
      </c>
      <c r="AO32" s="110">
        <f t="shared" si="7"/>
        <v>0.8813852</v>
      </c>
      <c r="AP32" s="112">
        <f>AH32*(1+AI32)*(1+AJ32)*AK32*(1+$E$17+VLOOKUP($E32,武器奇术!$A:$R,10,FALSE))</f>
        <v>16444.90760913</v>
      </c>
      <c r="AQ32" s="110">
        <f t="shared" si="8"/>
        <v>0.0986</v>
      </c>
      <c r="AR32" s="112">
        <f t="shared" si="9"/>
        <v>12181.4130438</v>
      </c>
      <c r="AS32" s="110">
        <f t="shared" si="10"/>
        <v>0.0200148</v>
      </c>
      <c r="AT32" s="113">
        <f t="shared" si="11"/>
        <v>24841.4231838987</v>
      </c>
      <c r="AU32" s="108">
        <f>$B$7*IF($G$5="撼天",1.05,1)+IF(AND(VLOOKUP($E32,武器奇术!$A:$R,15,FALSE)="武器",VLOOKUP($E32,武器奇术!$A:$R,17,FALSE)="鸣金"),$E$3,0)*(1+$E$15)</f>
        <v>0</v>
      </c>
      <c r="AV32" s="99">
        <f>(AU32+AW32)*IF(VLOOKUP($E32,武器奇术!$A:$Z,21,FALSE)=1,$G$15,0.5)</f>
        <v>0</v>
      </c>
      <c r="AW32" s="109">
        <f>MAX($C$7*IF($G$5="撼天",1.05,1)+IF(AND(VLOOKUP($E32,武器奇术!$A:$R,15,FALSE)="武器",VLOOKUP($E32,武器奇术!$A:$R,17,FALSE)="鸣金"),$E$3*(1+$E$15),0),AU32)</f>
        <v>0</v>
      </c>
      <c r="AX32" s="110">
        <f>IF(($D$7+IF(VLOOKUP($E32,武器奇术!$A:$R,17,FALSE)="鸣金",$D$15,0)+IF(VLOOKUP($E32,武器奇术!$A:$R,18,FALSE)=1,4,0)+IF(VLOOKUP($E32,武器奇术!$A:$S,19,FALSE)=1,20,0)-VLOOKUP($F$7,目标属性!$A:$R,6,FALSE))&gt;0,($D$7+IF(VLOOKUP($E32,武器奇术!$A:$R,17,FALSE)="鸣金",$D$15,0)+IF(VLOOKUP($E32,武器奇术!$A:$R,18,FALSE)=1,4,0)+IF(VLOOKUP($E32,武器奇术!$A:$S,19,FALSE)=1,20,0)-VLOOKUP($F$7,目标属性!$A:$R,6,FALSE))/200,($D$7+IF(VLOOKUP($E32,武器奇术!$A:$R,17,FALSE)="鸣金",$D$15,0)+IF(VLOOKUP($E32,武器奇术!$A:$R,18,FALSE)=1,4,0)+IF(VLOOKUP($E32,武器奇术!$A:$S,19,FALSE)=1,20,0)-VLOOKUP($F$7,目标属性!$A:$R,6,FALSE))/100)</f>
        <v>0</v>
      </c>
      <c r="AY32" s="111">
        <f t="shared" si="12"/>
        <v>0</v>
      </c>
      <c r="AZ32" s="109">
        <v>1</v>
      </c>
      <c r="BA32" s="112">
        <f>AU32*IF(VLOOKUP($E32,武器奇术!$A:$R,17,FALSE)="鸣金",VLOOKUP($E32,武器奇术!$A:$R,4,FALSE),VLOOKUP($E32,武器奇术!$A:$R,2,FALSE))*(1+AX32)*(1+AY32)*AZ32</f>
        <v>0</v>
      </c>
      <c r="BB32" s="110">
        <f>(1-IF(VLOOKUP($E32,武器奇术!$A:$T,20,FALSE)=1,1,$N32))*(1-$M32)</f>
        <v>0</v>
      </c>
      <c r="BC32" s="112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10">
        <f t="shared" si="13"/>
        <v>0.8813852</v>
      </c>
      <c r="BE32" s="112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10">
        <f t="shared" si="14"/>
        <v>0.0986</v>
      </c>
      <c r="BG32" s="112">
        <f>AV32*IF(VLOOKUP($E32,武器奇术!$A:$R,17,FALSE)="鸣金",VLOOKUP($E32,武器奇术!$A:$R,4,FALSE),VLOOKUP($E32,武器奇术!$A:$R,2,FALSE))*(1+AX32)*(1+AY32)*AZ32</f>
        <v>0</v>
      </c>
      <c r="BH32" s="110">
        <f t="shared" si="15"/>
        <v>0.0200148</v>
      </c>
      <c r="BI32" s="113">
        <f t="shared" si="16"/>
        <v>0</v>
      </c>
      <c r="BJ32" s="108">
        <f>$B$9*IF($G$5="撼天",1.05,1)+IF(AND(VLOOKUP($E32,武器奇术!$A:$R,15,FALSE)="武器",VLOOKUP($E32,武器奇术!$A:$R,17,FALSE)="裂石"),$E$3,0)*(1+$E$15)</f>
        <v>0</v>
      </c>
      <c r="BK32" s="99">
        <f>(BJ32+BL32)*IF(VLOOKUP($E32,武器奇术!$A:$Z,21,FALSE)=1,$G$15,0.5)</f>
        <v>0</v>
      </c>
      <c r="BL32" s="109">
        <f>MAX($C$9*IF($G$5="撼天",1.05,1)+IF(AND(VLOOKUP($E32,武器奇术!$A:$R,15,FALSE)="武器",VLOOKUP($E32,武器奇术!$A:$R,17,FALSE)="裂石"),$E$3*(1+$E$15),0),BJ32)</f>
        <v>0</v>
      </c>
      <c r="BM32" s="110">
        <f>IF(($D$9+IF(VLOOKUP($E32,武器奇术!$A:$R,17,FALSE)="裂石",$D$15,0)+IF(VLOOKUP($E32,武器奇术!$A:$R,18,FALSE)=1,4,0)+IF(VLOOKUP($E32,武器奇术!$A:$S,19,FALSE)=1,20,0)-VLOOKUP($F$7,目标属性!$A:$R,6,FALSE))&gt;0,($D$9+IF(VLOOKUP($E32,武器奇术!$A:$R,17,FALSE)="裂石",$D$15,0)+IF(VLOOKUP($E32,武器奇术!$A:$R,18,FALSE)=1,4,0)+IF(VLOOKUP($E32,武器奇术!$A:$S,19,FALSE)=1,20,0)-VLOOKUP($F$7,目标属性!$A:$R,6,FALSE))/200,($D$9+IF(VLOOKUP($E32,武器奇术!$A:$R,17,FALSE)="裂石",$D$15,0)+IF(VLOOKUP($E32,武器奇术!$A:$R,18,FALSE)=1,4,0)+IF(VLOOKUP($E32,武器奇术!$A:$S,19,FALSE)=1,20,0)-VLOOKUP($F$7,目标属性!$A:$R,6,FALSE))/100)</f>
        <v>0</v>
      </c>
      <c r="BN32" s="111">
        <f t="shared" si="17"/>
        <v>0</v>
      </c>
      <c r="BO32" s="109">
        <v>1</v>
      </c>
      <c r="BP32" s="112">
        <f>BJ32*IF(VLOOKUP($E32,武器奇术!$A:$R,17,FALSE)="裂石",VLOOKUP($E32,武器奇术!$A:$R,4,FALSE),VLOOKUP($E32,武器奇术!$A:$R,2,FALSE))*(1+BM32)*(1+BN32)*BO32</f>
        <v>0</v>
      </c>
      <c r="BQ32" s="110">
        <f>(1-IF(VLOOKUP($E32,武器奇术!$A:$T,20,FALSE)=1,1,$N32))*(1-$M32)</f>
        <v>0</v>
      </c>
      <c r="BR32" s="112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10">
        <f t="shared" si="18"/>
        <v>0.8813852</v>
      </c>
      <c r="BT32" s="112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10">
        <f t="shared" si="19"/>
        <v>0.0986</v>
      </c>
      <c r="BV32" s="112">
        <f>BK32*IF(VLOOKUP($E32,武器奇术!$A:$R,17,FALSE)="裂石",VLOOKUP($E32,武器奇术!$A:$R,4,FALSE),VLOOKUP($E32,武器奇术!$A:$R,2,FALSE))*(1+BM32)*(1+BN32)*BO32</f>
        <v>0</v>
      </c>
      <c r="BW32" s="110">
        <f t="shared" si="20"/>
        <v>0.0200148</v>
      </c>
      <c r="BX32" s="113">
        <f t="shared" si="21"/>
        <v>0</v>
      </c>
      <c r="BY32" s="108">
        <f>$B$11*IF($G$5="撼天",1.05,1)+IF(AND(VLOOKUP($E32,武器奇术!$A:$R,15,FALSE)="武器",VLOOKUP($E32,武器奇术!$A:$R,17,FALSE)="牵丝"),$E$3,0)*(1+$E$15)</f>
        <v>0</v>
      </c>
      <c r="BZ32" s="99">
        <f>(BY32+CA32)*IF(VLOOKUP($E32,武器奇术!$A:$Z,21,FALSE)=1,$G$15,0.5)</f>
        <v>0</v>
      </c>
      <c r="CA32" s="109">
        <f>MAX($C$11*IF($G$5="撼天",1.05,1)+IF(AND(VLOOKUP($E32,武器奇术!$A:$R,15,FALSE)="武器",VLOOKUP($E32,武器奇术!$A:$R,17,FALSE)="牵丝"),$E$3*(1+$E$15),0),BY32)</f>
        <v>0</v>
      </c>
      <c r="CB32" s="110">
        <f>IF(($D$11+IF(VLOOKUP($E32,武器奇术!$A:$R,17,FALSE)="牵丝",$D$15,0)+IF(VLOOKUP($E32,武器奇术!$A:$R,18,FALSE)=1,4,0)+IF(VLOOKUP($E32,武器奇术!$A:$S,19,FALSE)=1,20,0)-VLOOKUP($F$7,目标属性!$A:$R,6,FALSE))&gt;0,($D$11+IF(VLOOKUP($E32,武器奇术!$A:$R,17,FALSE)="牵丝",$D$15,0)+IF(VLOOKUP($E32,武器奇术!$A:$R,18,FALSE)=1,4,0)+IF(VLOOKUP($E32,武器奇术!$A:$S,19,FALSE)=1,20,0)-VLOOKUP($F$7,目标属性!$A:$R,6,FALSE))/200,($D$11+IF(VLOOKUP($E32,武器奇术!$A:$R,17,FALSE)="牵丝",$D$15,0)+IF(VLOOKUP($E32,武器奇术!$A:$R,18,FALSE)=1,4,0)+IF(VLOOKUP($E32,武器奇术!$A:$S,19,FALSE)=1,20,0)-VLOOKUP($F$7,目标属性!$A:$R,6,FALSE))/100)</f>
        <v>0</v>
      </c>
      <c r="CC32" s="111">
        <f t="shared" si="22"/>
        <v>0</v>
      </c>
      <c r="CD32" s="109">
        <v>1</v>
      </c>
      <c r="CE32" s="112">
        <f>BY32*IF(VLOOKUP($E32,武器奇术!$A:$R,17,FALSE)="牵丝",VLOOKUP($E32,武器奇术!$A:$R,4,FALSE),VLOOKUP($E32,武器奇术!$A:$R,2,FALSE))*(1+CB32)*(1+CC32)*CD32</f>
        <v>0</v>
      </c>
      <c r="CF32" s="110">
        <f>(1-IF(VLOOKUP($E32,武器奇术!$A:$T,20,FALSE)=1,1,$N32))*(1-$M32)</f>
        <v>0</v>
      </c>
      <c r="CG32" s="112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110">
        <f t="shared" si="23"/>
        <v>0.8813852</v>
      </c>
      <c r="CI32" s="112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110">
        <f t="shared" si="24"/>
        <v>0.0986</v>
      </c>
      <c r="CK32" s="112">
        <f>BZ32*IF(VLOOKUP($E32,武器奇术!$A:$R,17,FALSE)="牵丝",VLOOKUP($E32,武器奇术!$A:$R,4,FALSE),VLOOKUP($E32,武器奇术!$A:$R,2,FALSE))*(1+CB32)*(1+CC32)*CD32</f>
        <v>0</v>
      </c>
      <c r="CL32" s="110">
        <f t="shared" si="25"/>
        <v>0.0200148</v>
      </c>
      <c r="CM32" s="113">
        <f t="shared" si="26"/>
        <v>0</v>
      </c>
      <c r="CN32" s="108">
        <f>$B$13*IF($G$5="撼天",1.05,1)+IF(AND(VLOOKUP($E32,武器奇术!$A:$R,15,FALSE)="武器",VLOOKUP($E32,武器奇术!$A:$R,17,FALSE)="破竹"),$E$3,0)*(1+$E$15)</f>
        <v>648.46</v>
      </c>
      <c r="CO32" s="99">
        <f>(CN32+CP32)*IF(VLOOKUP($E32,武器奇术!$A:$Z,21,FALSE)=1,$G$15,0.5)</f>
        <v>875.26</v>
      </c>
      <c r="CP32" s="109">
        <f>MAX($C$13*IF($G$5="撼天",1.05,1)+IF(AND(VLOOKUP($E32,武器奇术!$A:$R,15,FALSE)="武器",VLOOKUP($E32,武器奇术!$A:$R,17,FALSE)="破竹"),$E$3*(1+$E$15),0),CN32)</f>
        <v>1102.06</v>
      </c>
      <c r="CQ32" s="110">
        <f>IF(($D$13+IF(VLOOKUP($E32,武器奇术!$A:$R,17,FALSE)="破竹",$D$15,0)+IF(VLOOKUP($E32,武器奇术!$A:$R,18,FALSE)=1,4,0)+IF(VLOOKUP($E32,武器奇术!$A:$S,19,FALSE)=1,20,0)-VLOOKUP($F$7,目标属性!$A:$R,6,FALSE))&gt;0,($D$13+IF(VLOOKUP($E32,武器奇术!$A:$R,17,FALSE)="破竹",$D$15,0)+IF(VLOOKUP($E32,武器奇术!$A:$R,18,FALSE)=1,4,0)+IF(VLOOKUP($E32,武器奇术!$A:$S,19,FALSE)=1,20,0)-VLOOKUP($F$7,目标属性!$A:$R,6,FALSE))/200,($D$13+IF(VLOOKUP($E32,武器奇术!$A:$R,17,FALSE)="破竹",$D$15,0)+IF(VLOOKUP($E32,武器奇术!$A:$R,18,FALSE)=1,4,0)+IF(VLOOKUP($E32,武器奇术!$A:$S,19,FALSE)=1,20,0)-VLOOKUP($F$7,目标属性!$A:$R,6,FALSE))/100)</f>
        <v>0.145</v>
      </c>
      <c r="CR32" s="111">
        <f>$E$13+IF(VLOOKUP($E32,武器奇术!$A:$U,21,FALSE)=1,0,0.09)</f>
        <v>0.235</v>
      </c>
      <c r="CS32" s="109">
        <v>1</v>
      </c>
      <c r="CT32" s="112">
        <f>CN32*IF(VLOOKUP($E32,武器奇术!$A:$R,17,FALSE)="破竹",VLOOKUP($E32,武器奇术!$A:$R,4,FALSE),VLOOKUP($E32,武器奇术!$A:$R,2,FALSE))*(1+CQ32)*(1+CR32)*CS32</f>
        <v>31157.741801014</v>
      </c>
      <c r="CU32" s="110">
        <f>(1-IF(VLOOKUP($E32,武器奇术!$A:$T,20,FALSE)=1,1,$N32))*(1-$M32)</f>
        <v>0</v>
      </c>
      <c r="CV32" s="112">
        <f>CO32*IF(VLOOKUP($E32,武器奇术!$A:$R,17,FALSE)="破竹",VLOOKUP($E32,武器奇术!$A:$R,4,FALSE),VLOOKUP($E32,武器奇术!$A:$R,2,FALSE))*(1+CQ32)*(1+CR32)*CS32*(1+$E$16+VLOOKUP($E32,武器奇术!$A:$R,8,FALSE))</f>
        <v>89998.16132057</v>
      </c>
      <c r="CW32" s="110">
        <f t="shared" si="27"/>
        <v>0.8813852</v>
      </c>
      <c r="CX32" s="112">
        <f>CP32*IF(VLOOKUP($E32,武器奇术!$A:$R,17,FALSE)="破竹",VLOOKUP($E32,武器奇术!$A:$R,4,FALSE),VLOOKUP($E32,武器奇术!$A:$R,2,FALSE))*(1+CQ32)*(1+CR32)*CS32*(1+$E$17+VLOOKUP($E32,武器奇术!$A:$R,10,FALSE))</f>
        <v>71486.1306086026</v>
      </c>
      <c r="CY32" s="110">
        <f t="shared" si="28"/>
        <v>0.0986</v>
      </c>
      <c r="CZ32" s="112">
        <f>CO32*IF(VLOOKUP($E32,武器奇术!$A:$R,17,FALSE)="破竹",VLOOKUP($E32,武器奇术!$A:$R,4,FALSE),VLOOKUP($E32,武器奇术!$A:$R,2,FALSE))*(1+CQ32)*(1+CR32)*CS32</f>
        <v>42055.2155703598</v>
      </c>
      <c r="DA32" s="110">
        <f t="shared" si="29"/>
        <v>0.0200148</v>
      </c>
      <c r="DB32" s="113">
        <f t="shared" si="30"/>
        <v>87213.3066217687</v>
      </c>
      <c r="DC32" s="108">
        <f t="shared" si="31"/>
        <v>69.3</v>
      </c>
      <c r="DD32" s="99">
        <f>(DC32+DE32)*IF(VLOOKUP($E32,武器奇术!$A:$Z,21,FALSE)=1,$G$15,0.5)</f>
        <v>69.3</v>
      </c>
      <c r="DE32" s="109">
        <f t="shared" si="32"/>
        <v>69.3</v>
      </c>
      <c r="DF32" s="110">
        <f>IF(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R,18,FALSE)=1,4,0)+IF(VLOOKUP($E32,武器奇术!$A:$S,19,FALSE)=1,20,0)-VLOOKUP($F$7,目标属性!$A:$R,6,FALSE))/100)</f>
        <v>0.145</v>
      </c>
      <c r="DG32" s="111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U,21,FALSE)=1,0,0.09)</f>
        <v>0.235</v>
      </c>
      <c r="DH32" s="109">
        <v>1</v>
      </c>
      <c r="DI32" s="112">
        <f>DC32*IF(VLOOKUP($E32,武器奇术!$A:$R,17,FALSE)="破竹",VLOOKUP($E32,武器奇术!$A:$R,4,FALSE),VLOOKUP($E32,武器奇术!$A:$R,2,FALSE))*(1+DF32)*(1+DG32)*DH32</f>
        <v>3329.78365174455</v>
      </c>
      <c r="DJ32" s="110">
        <f>(1-IF(VLOOKUP($E32,武器奇术!$A:$T,20,FALSE)=1,1,$N32))*(1-$M32)</f>
        <v>0</v>
      </c>
      <c r="DK32" s="112">
        <f>DD32*IF(VLOOKUP($E32,武器奇术!$A:$R,17,FALSE)="破竹",VLOOKUP($E32,武器奇术!$A:$R,4,FALSE),VLOOKUP($E32,武器奇术!$A:$R,2,FALSE))*(1+DF32)*(1+DG32)*DH32*(1+$E$16+VLOOKUP($E32,武器奇术!$A:$R,8,FALSE))</f>
        <v>7125.73701473334</v>
      </c>
      <c r="DL32" s="110">
        <f t="shared" si="33"/>
        <v>0.8813852</v>
      </c>
      <c r="DM32" s="112">
        <f>DE32*IF(VLOOKUP($E32,武器奇术!$A:$R,17,FALSE)="破竹",VLOOKUP($E32,武器奇术!$A:$R,4,FALSE),VLOOKUP($E32,武器奇术!$A:$R,2,FALSE))*(1+DF32)*(1+DG32)*DH32*(1+$E$17+VLOOKUP($E32,武器奇术!$A:$R,10,FALSE))</f>
        <v>4495.20792985514</v>
      </c>
      <c r="DN32" s="110">
        <f t="shared" si="34"/>
        <v>0.0986</v>
      </c>
      <c r="DO32" s="112">
        <f>DD32*IF(VLOOKUP($E32,武器奇术!$A:$R,17,FALSE)="破竹",VLOOKUP($E32,武器奇术!$A:$R,4,FALSE),VLOOKUP($E32,武器奇术!$A:$R,2,FALSE))*(1+DF32)*(1+DG32)*DH32</f>
        <v>3329.78365174455</v>
      </c>
      <c r="DP32" s="110">
        <f t="shared" si="35"/>
        <v>0.0200148</v>
      </c>
      <c r="DQ32" s="113">
        <f t="shared" si="36"/>
        <v>6790.3915995948</v>
      </c>
    </row>
    <row r="33" spans="2:121">
      <c r="B33" s="122"/>
      <c r="C33" s="123"/>
      <c r="D33" s="40"/>
      <c r="E33" s="98" t="str">
        <f>期望!E33</f>
        <v>拳甲Q一段(面板2:8实际3:7远距离强化1.2倍)</v>
      </c>
      <c r="F33" s="99">
        <f>期望!F33</f>
        <v>1</v>
      </c>
      <c r="G33" s="115"/>
      <c r="H33" s="100">
        <f>IF(VLOOKUP($E33,武器奇术!$A:$R,18,FALSE)="天工",AE33,(AE33+AT33+BI33+BX33+CM33+DB33+DQ33))*(1+J33)*F33*K33*(1+G33)</f>
        <v>18747.9816723475</v>
      </c>
      <c r="I33" s="101">
        <f t="shared" si="0"/>
        <v>0.00231468044584583</v>
      </c>
      <c r="J33" s="116">
        <f>$F$3+VLOOKUP($E33,武器奇术!$A:$R,12,FALSE)+VLOOKUP($E33,武器奇术!$A:$R,14,FALSE)*$G$3+$P33+IF($F$21="√",5%,0)</f>
        <v>0.523</v>
      </c>
      <c r="K33" s="102">
        <f>VLOOKUP($E33,武器奇术!$A:$R,11,FALSE)</f>
        <v>1</v>
      </c>
      <c r="L33" s="117">
        <f>IF(VLOOKUP($E33,武器奇术!$A:$R,15,FALSE)="天工",0%,IF($C$17+VLOOKUP($E33,武器奇术!$A:$R,7,FALSE)&gt;80%,80%,$C$17+VLOOKUP($E33,武器奇术!$A:$R,7,FALSE))+IF($C$19&gt;20%,20%,$C$19))</f>
        <v>0.892</v>
      </c>
      <c r="M33" s="118">
        <f>IF(VLOOKUP($E33,武器奇术!$A:$R,15,FALSE)="天工",0%,IF($C$18+VLOOKUP($E33,武器奇术!$A:$R,9,FALSE)&gt;40%,40%,$C$18+VLOOKUP($E33,武器奇术!$A:$R,9,FALSE))+IF($C$20&gt;10%,10%,$C$20))</f>
        <v>0.0986</v>
      </c>
      <c r="N33" s="119">
        <f>IF(VLOOKUP($E33,武器奇术!$A:$R,15,FALSE)="天工",100%,MIN($C$16,1))</f>
        <v>0.9881</v>
      </c>
      <c r="O33" s="120" t="str">
        <f>VLOOKUP($E33,武器奇术!$A:$R,16,FALSE)</f>
        <v>拳甲</v>
      </c>
      <c r="P33" s="121">
        <f t="shared" si="37"/>
        <v>0.17</v>
      </c>
      <c r="Q33" s="108">
        <f>$B$5*(1+VLOOKUP($E33,武器奇术!$A:$R,5,FALSE)+IF($G$5="飞隼",0.1,0)+IF($G$5="撼天",0.05,0))-$F$9+IF($I$5="√",160,0)</f>
        <v>1731.135</v>
      </c>
      <c r="R33" s="99">
        <f>IF(VLOOKUP($E33,武器奇术!$A:$Z,20,FALSE)=1,(S33-(Q33+S33)*0.5)*($G$15-0.5)*2+(Q33+S33)*0.5,(Q33+S33)*0.5)</f>
        <v>3256.775</v>
      </c>
      <c r="S33" s="109">
        <f>MAX($C$5,$B$5)*(1+VLOOKUP($E33,武器奇术!$A:$R,5,FALSE)+IF($G$5="飞隼",0.1,0)+IF($G$5="撼天",0.05,0))-$F$9+IF($I$5="√",320,0)</f>
        <v>4782.415</v>
      </c>
      <c r="T33" s="101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U33" s="111">
        <f>$E$5+IF(VLOOKUP($E33,武器奇术!$A:$U,21,FALSE)=1,0,0.09)</f>
        <v>0.115</v>
      </c>
      <c r="V33" s="109">
        <v>1</v>
      </c>
      <c r="W33" s="112">
        <f>Q33*VLOOKUP($E33,武器奇术!$A:$R,2,FALSE)*(1+T33)*(1+U33)*V33</f>
        <v>2638.25911409603</v>
      </c>
      <c r="X33" s="110">
        <f>(1-IF(VLOOKUP($E33,武器奇术!$A:$T,20,FALSE)=1,1,$N33))*(1-$M33)</f>
        <v>0.01072666</v>
      </c>
      <c r="Y33" s="112">
        <f>R33*VLOOKUP($E33,武器奇术!$A:$R,2,FALSE)*(1+T33)*(1+U33)*V33*(1+$E$16+VLOOKUP($E33,武器奇术!$A:$R,8,FALSE))</f>
        <v>8139.88208611607</v>
      </c>
      <c r="Z33" s="110">
        <f t="shared" si="1"/>
        <v>0.8813852</v>
      </c>
      <c r="AA33" s="112">
        <f>S33*VLOOKUP($E33,武器奇术!$A:$R,2,FALSE)*(1+T33)*(1+U33)*V33*(1+$E$17+VLOOKUP($E33,武器奇术!$A:$R,10,FALSE))</f>
        <v>9839.37558164925</v>
      </c>
      <c r="AB33" s="110">
        <f t="shared" si="2"/>
        <v>0.0986</v>
      </c>
      <c r="AC33" s="112">
        <f>R33*VLOOKUP($E33,武器奇术!$A:$R,2,FALSE)*(1+T33)*(1+U33)*V33</f>
        <v>4963.34273543662</v>
      </c>
      <c r="AD33" s="110">
        <f t="shared" si="3"/>
        <v>0.00928814000000003</v>
      </c>
      <c r="AE33" s="113">
        <f t="shared" si="4"/>
        <v>8218.93396350197</v>
      </c>
      <c r="AF33" s="114">
        <f>VLOOKUP($E33,武器奇术!$A:$R,3,FALSE)*(1+IF(VLOOKUP($E33,武器奇术!$A:$R,15,FALSE)="武器",$E$15,0))</f>
        <v>396.5</v>
      </c>
      <c r="AG33" s="112">
        <f t="shared" si="5"/>
        <v>396.5</v>
      </c>
      <c r="AH33" s="112">
        <f>VLOOKUP($E33,武器奇术!$A:$R,3,FALSE)*(1+IF(VLOOKUP($E33,武器奇术!$A:$R,15,FALSE)="武器",$E$15,0))</f>
        <v>396.5</v>
      </c>
      <c r="AI33" s="101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0.242</v>
      </c>
      <c r="AJ33" s="111">
        <f>$E$5+IF(VLOOKUP($E33,武器奇术!$A:$U,21,FALSE)=1,0,0.09)</f>
        <v>0.115</v>
      </c>
      <c r="AK33" s="109">
        <v>1</v>
      </c>
      <c r="AL33" s="112">
        <f t="shared" si="6"/>
        <v>549.085095</v>
      </c>
      <c r="AM33" s="110">
        <f>(1-IF(VLOOKUP($E33,武器奇术!$A:$T,20,FALSE)=1,1,$N33))*(1-$M33)</f>
        <v>0.01072666</v>
      </c>
      <c r="AN33" s="112">
        <f>AG33*(1+AI33)*(1+AJ33)*AK33*(1+$E$16+VLOOKUP($E33,武器奇术!$A:$R,8,FALSE))</f>
        <v>900.4995558</v>
      </c>
      <c r="AO33" s="110">
        <f t="shared" si="7"/>
        <v>0.8813852</v>
      </c>
      <c r="AP33" s="112">
        <f>AH33*(1+AI33)*(1+AJ33)*AK33*(1+$E$17+VLOOKUP($E33,武器奇术!$A:$R,10,FALSE))</f>
        <v>741.26487825</v>
      </c>
      <c r="AQ33" s="110">
        <f t="shared" si="8"/>
        <v>0.0986</v>
      </c>
      <c r="AR33" s="112">
        <f t="shared" si="9"/>
        <v>549.085095</v>
      </c>
      <c r="AS33" s="110">
        <f t="shared" si="10"/>
        <v>0.00928814000000003</v>
      </c>
      <c r="AT33" s="113">
        <f t="shared" si="11"/>
        <v>877.76552644355</v>
      </c>
      <c r="AU33" s="108">
        <f>$B$7*IF($G$5="撼天",1.05,1)+IF(AND(VLOOKUP($E33,武器奇术!$A:$R,15,FALSE)="武器",VLOOKUP($E33,武器奇术!$A:$R,17,FALSE)="鸣金"),$E$3,0)*(1+$E$15)</f>
        <v>0</v>
      </c>
      <c r="AV33" s="99">
        <f>(AU33+AW33)*IF(VLOOKUP($E33,武器奇术!$A:$Z,21,FALSE)=1,$G$15,0.5)</f>
        <v>0</v>
      </c>
      <c r="AW33" s="109">
        <f>MAX($C$7*IF($G$5="撼天",1.05,1)+IF(AND(VLOOKUP($E33,武器奇术!$A:$R,15,FALSE)="武器",VLOOKUP($E33,武器奇术!$A:$R,17,FALSE)="鸣金"),$E$3*(1+$E$15),0),AU33)</f>
        <v>0</v>
      </c>
      <c r="AX33" s="110">
        <f>IF(($D$7+IF(VLOOKUP($E33,武器奇术!$A:$R,17,FALSE)="鸣金",$D$15,0)+IF(VLOOKUP($E33,武器奇术!$A:$R,18,FALSE)=1,4,0)+IF(VLOOKUP($E33,武器奇术!$A:$S,19,FALSE)=1,20,0)-VLOOKUP($F$7,目标属性!$A:$R,6,FALSE))&gt;0,($D$7+IF(VLOOKUP($E33,武器奇术!$A:$R,17,FALSE)="鸣金",$D$15,0)+IF(VLOOKUP($E33,武器奇术!$A:$R,18,FALSE)=1,4,0)+IF(VLOOKUP($E33,武器奇术!$A:$S,19,FALSE)=1,20,0)-VLOOKUP($F$7,目标属性!$A:$R,6,FALSE))/200,($D$7+IF(VLOOKUP($E33,武器奇术!$A:$R,17,FALSE)="鸣金",$D$15,0)+IF(VLOOKUP($E33,武器奇术!$A:$R,18,FALSE)=1,4,0)+IF(VLOOKUP($E33,武器奇术!$A:$S,19,FALSE)=1,20,0)-VLOOKUP($F$7,目标属性!$A:$R,6,FALSE))/100)</f>
        <v>-0.24</v>
      </c>
      <c r="AY33" s="111">
        <f t="shared" si="12"/>
        <v>0</v>
      </c>
      <c r="AZ33" s="109">
        <v>1</v>
      </c>
      <c r="BA33" s="112">
        <f>AU33*IF(VLOOKUP($E33,武器奇术!$A:$R,17,FALSE)="鸣金",VLOOKUP($E33,武器奇术!$A:$R,4,FALSE),VLOOKUP($E33,武器奇术!$A:$R,2,FALSE))*(1+AX33)*(1+AY33)*AZ33</f>
        <v>0</v>
      </c>
      <c r="BB33" s="110">
        <f>(1-IF(VLOOKUP($E33,武器奇术!$A:$T,20,FALSE)=1,1,$N33))*(1-$M33)</f>
        <v>0.01072666</v>
      </c>
      <c r="BC33" s="112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10">
        <f t="shared" si="13"/>
        <v>0.8813852</v>
      </c>
      <c r="BE33" s="112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10">
        <f t="shared" si="14"/>
        <v>0.0986</v>
      </c>
      <c r="BG33" s="112">
        <f>AV33*IF(VLOOKUP($E33,武器奇术!$A:$R,17,FALSE)="鸣金",VLOOKUP($E33,武器奇术!$A:$R,4,FALSE),VLOOKUP($E33,武器奇术!$A:$R,2,FALSE))*(1+AX33)*(1+AY33)*AZ33</f>
        <v>0</v>
      </c>
      <c r="BH33" s="110">
        <f t="shared" si="15"/>
        <v>0.00928814000000003</v>
      </c>
      <c r="BI33" s="113">
        <f t="shared" si="16"/>
        <v>0</v>
      </c>
      <c r="BJ33" s="108">
        <f>$B$9*IF($G$5="撼天",1.05,1)+IF(AND(VLOOKUP($E33,武器奇术!$A:$R,15,FALSE)="武器",VLOOKUP($E33,武器奇术!$A:$R,17,FALSE)="裂石"),$E$3,0)*(1+$E$15)</f>
        <v>0</v>
      </c>
      <c r="BK33" s="99">
        <f>(BJ33+BL33)*IF(VLOOKUP($E33,武器奇术!$A:$Z,21,FALSE)=1,$G$15,0.5)</f>
        <v>0</v>
      </c>
      <c r="BL33" s="109">
        <f>MAX($C$9*IF($G$5="撼天",1.05,1)+IF(AND(VLOOKUP($E33,武器奇术!$A:$R,15,FALSE)="武器",VLOOKUP($E33,武器奇术!$A:$R,17,FALSE)="裂石"),$E$3*(1+$E$15),0),BJ33)</f>
        <v>0</v>
      </c>
      <c r="BM33" s="110">
        <f>IF(($D$9+IF(VLOOKUP($E33,武器奇术!$A:$R,17,FALSE)="裂石",$D$15,0)+IF(VLOOKUP($E33,武器奇术!$A:$R,18,FALSE)=1,4,0)+IF(VLOOKUP($E33,武器奇术!$A:$S,19,FALSE)=1,20,0)-VLOOKUP($F$7,目标属性!$A:$R,6,FALSE))&gt;0,($D$9+IF(VLOOKUP($E33,武器奇术!$A:$R,17,FALSE)="裂石",$D$15,0)+IF(VLOOKUP($E33,武器奇术!$A:$R,18,FALSE)=1,4,0)+IF(VLOOKUP($E33,武器奇术!$A:$S,19,FALSE)=1,20,0)-VLOOKUP($F$7,目标属性!$A:$R,6,FALSE))/200,($D$9+IF(VLOOKUP($E33,武器奇术!$A:$R,17,FALSE)="裂石",$D$15,0)+IF(VLOOKUP($E33,武器奇术!$A:$R,18,FALSE)=1,4,0)+IF(VLOOKUP($E33,武器奇术!$A:$S,19,FALSE)=1,20,0)-VLOOKUP($F$7,目标属性!$A:$R,6,FALSE))/100)</f>
        <v>-0.24</v>
      </c>
      <c r="BN33" s="111">
        <f t="shared" si="17"/>
        <v>0</v>
      </c>
      <c r="BO33" s="109">
        <v>1</v>
      </c>
      <c r="BP33" s="112">
        <f>BJ33*IF(VLOOKUP($E33,武器奇术!$A:$R,17,FALSE)="裂石",VLOOKUP($E33,武器奇术!$A:$R,4,FALSE),VLOOKUP($E33,武器奇术!$A:$R,2,FALSE))*(1+BM33)*(1+BN33)*BO33</f>
        <v>0</v>
      </c>
      <c r="BQ33" s="110">
        <f>(1-IF(VLOOKUP($E33,武器奇术!$A:$T,20,FALSE)=1,1,$N33))*(1-$M33)</f>
        <v>0.01072666</v>
      </c>
      <c r="BR33" s="112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10">
        <f t="shared" si="18"/>
        <v>0.8813852</v>
      </c>
      <c r="BT33" s="112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10">
        <f t="shared" si="19"/>
        <v>0.0986</v>
      </c>
      <c r="BV33" s="112">
        <f>BK33*IF(VLOOKUP($E33,武器奇术!$A:$R,17,FALSE)="裂石",VLOOKUP($E33,武器奇术!$A:$R,4,FALSE),VLOOKUP($E33,武器奇术!$A:$R,2,FALSE))*(1+BM33)*(1+BN33)*BO33</f>
        <v>0</v>
      </c>
      <c r="BW33" s="110">
        <f t="shared" si="20"/>
        <v>0.00928814000000003</v>
      </c>
      <c r="BX33" s="113">
        <f t="shared" si="21"/>
        <v>0</v>
      </c>
      <c r="BY33" s="108">
        <f>$B$11*IF($G$5="撼天",1.05,1)+IF(AND(VLOOKUP($E33,武器奇术!$A:$R,15,FALSE)="武器",VLOOKUP($E33,武器奇术!$A:$R,17,FALSE)="牵丝"),$E$3,0)*(1+$E$15)</f>
        <v>0</v>
      </c>
      <c r="BZ33" s="99">
        <f>(BY33+CA33)*IF(VLOOKUP($E33,武器奇术!$A:$Z,21,FALSE)=1,$G$15,0.5)</f>
        <v>0</v>
      </c>
      <c r="CA33" s="109">
        <f>MAX($C$11*IF($G$5="撼天",1.05,1)+IF(AND(VLOOKUP($E33,武器奇术!$A:$R,15,FALSE)="武器",VLOOKUP($E33,武器奇术!$A:$R,17,FALSE)="牵丝"),$E$3*(1+$E$15),0),BY33)</f>
        <v>0</v>
      </c>
      <c r="CB33" s="110">
        <f>IF(($D$11+IF(VLOOKUP($E33,武器奇术!$A:$R,17,FALSE)="牵丝",$D$15,0)+IF(VLOOKUP($E33,武器奇术!$A:$R,18,FALSE)=1,4,0)+IF(VLOOKUP($E33,武器奇术!$A:$S,19,FALSE)=1,20,0)-VLOOKUP($F$7,目标属性!$A:$R,6,FALSE))&gt;0,($D$11+IF(VLOOKUP($E33,武器奇术!$A:$R,17,FALSE)="牵丝",$D$15,0)+IF(VLOOKUP($E33,武器奇术!$A:$R,18,FALSE)=1,4,0)+IF(VLOOKUP($E33,武器奇术!$A:$S,19,FALSE)=1,20,0)-VLOOKUP($F$7,目标属性!$A:$R,6,FALSE))/200,($D$11+IF(VLOOKUP($E33,武器奇术!$A:$R,17,FALSE)="牵丝",$D$15,0)+IF(VLOOKUP($E33,武器奇术!$A:$R,18,FALSE)=1,4,0)+IF(VLOOKUP($E33,武器奇术!$A:$S,19,FALSE)=1,20,0)-VLOOKUP($F$7,目标属性!$A:$R,6,FALSE))/100)</f>
        <v>-0.24</v>
      </c>
      <c r="CC33" s="111">
        <f t="shared" si="22"/>
        <v>0</v>
      </c>
      <c r="CD33" s="109">
        <v>1</v>
      </c>
      <c r="CE33" s="112">
        <f>BY33*IF(VLOOKUP($E33,武器奇术!$A:$R,17,FALSE)="牵丝",VLOOKUP($E33,武器奇术!$A:$R,4,FALSE),VLOOKUP($E33,武器奇术!$A:$R,2,FALSE))*(1+CB33)*(1+CC33)*CD33</f>
        <v>0</v>
      </c>
      <c r="CF33" s="110">
        <f>(1-IF(VLOOKUP($E33,武器奇术!$A:$T,20,FALSE)=1,1,$N33))*(1-$M33)</f>
        <v>0.01072666</v>
      </c>
      <c r="CG33" s="112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110">
        <f t="shared" si="23"/>
        <v>0.8813852</v>
      </c>
      <c r="CI33" s="112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110">
        <f t="shared" si="24"/>
        <v>0.0986</v>
      </c>
      <c r="CK33" s="112">
        <f>BZ33*IF(VLOOKUP($E33,武器奇术!$A:$R,17,FALSE)="牵丝",VLOOKUP($E33,武器奇术!$A:$R,4,FALSE),VLOOKUP($E33,武器奇术!$A:$R,2,FALSE))*(1+CB33)*(1+CC33)*CD33</f>
        <v>0</v>
      </c>
      <c r="CL33" s="110">
        <f t="shared" si="25"/>
        <v>0.00928814000000003</v>
      </c>
      <c r="CM33" s="113">
        <f t="shared" si="26"/>
        <v>0</v>
      </c>
      <c r="CN33" s="108">
        <f>$B$13*IF($G$5="撼天",1.05,1)+IF(AND(VLOOKUP($E33,武器奇术!$A:$R,15,FALSE)="武器",VLOOKUP($E33,武器奇术!$A:$R,17,FALSE)="破竹"),$E$3,0)*(1+$E$15)</f>
        <v>648.46</v>
      </c>
      <c r="CO33" s="99">
        <f>(CN33+CP33)*IF(VLOOKUP($E33,武器奇术!$A:$Z,21,FALSE)=1,$G$15,0.5)</f>
        <v>875.26</v>
      </c>
      <c r="CP33" s="109">
        <f>MAX($C$13*IF($G$5="撼天",1.05,1)+IF(AND(VLOOKUP($E33,武器奇术!$A:$R,15,FALSE)="武器",VLOOKUP($E33,武器奇术!$A:$R,17,FALSE)="破竹"),$E$3*(1+$E$15),0),CN33)</f>
        <v>1102.06</v>
      </c>
      <c r="CQ33" s="110">
        <f>IF(($D$13+IF(VLOOKUP($E33,武器奇术!$A:$R,17,FALSE)="破竹",$D$15,0)+IF(VLOOKUP($E33,武器奇术!$A:$R,18,FALSE)=1,4,0)+IF(VLOOKUP($E33,武器奇术!$A:$S,19,FALSE)=1,20,0)-VLOOKUP($F$7,目标属性!$A:$R,6,FALSE))&gt;0,($D$13+IF(VLOOKUP($E33,武器奇术!$A:$R,17,FALSE)="破竹",$D$15,0)+IF(VLOOKUP($E33,武器奇术!$A:$R,18,FALSE)=1,4,0)+IF(VLOOKUP($E33,武器奇术!$A:$S,19,FALSE)=1,20,0)-VLOOKUP($F$7,目标属性!$A:$R,6,FALSE))/200,($D$13+IF(VLOOKUP($E33,武器奇术!$A:$R,17,FALSE)="破竹",$D$15,0)+IF(VLOOKUP($E33,武器奇术!$A:$R,18,FALSE)=1,4,0)+IF(VLOOKUP($E33,武器奇术!$A:$S,19,FALSE)=1,20,0)-VLOOKUP($F$7,目标属性!$A:$R,6,FALSE))/100)</f>
        <v>0.025</v>
      </c>
      <c r="CR33" s="111">
        <f>$E$13+IF(VLOOKUP($E33,武器奇术!$A:$U,21,FALSE)=1,0,0.09)</f>
        <v>0.235</v>
      </c>
      <c r="CS33" s="109">
        <v>1</v>
      </c>
      <c r="CT33" s="112">
        <f>CN33*IF(VLOOKUP($E33,武器奇术!$A:$R,17,FALSE)="破竹",VLOOKUP($E33,武器奇术!$A:$R,4,FALSE),VLOOKUP($E33,武器奇术!$A:$R,2,FALSE))*(1+CQ33)*(1+CR33)*CS33</f>
        <v>1355.00895763675</v>
      </c>
      <c r="CU33" s="110">
        <f>(1-IF(VLOOKUP($E33,武器奇术!$A:$T,20,FALSE)=1,1,$N33))*(1-$M33)</f>
        <v>0.01072666</v>
      </c>
      <c r="CV33" s="112">
        <f>CO33*IF(VLOOKUP($E33,武器奇术!$A:$R,17,FALSE)="破竹",VLOOKUP($E33,武器奇术!$A:$R,4,FALSE),VLOOKUP($E33,武器奇术!$A:$R,2,FALSE))*(1+CQ33)*(1+CR33)*CS33*(1+$E$16+VLOOKUP($E33,武器奇术!$A:$R,8,FALSE))</f>
        <v>2999.43809954087</v>
      </c>
      <c r="CW33" s="110">
        <f t="shared" si="27"/>
        <v>0.8813852</v>
      </c>
      <c r="CX33" s="112">
        <f>CP33*IF(VLOOKUP($E33,武器奇术!$A:$R,17,FALSE)="破竹",VLOOKUP($E33,武器奇术!$A:$R,4,FALSE),VLOOKUP($E33,武器奇术!$A:$R,2,FALSE))*(1+CQ33)*(1+CR33)*CS33*(1+$E$17+VLOOKUP($E33,武器奇术!$A:$R,10,FALSE))</f>
        <v>3108.83721741011</v>
      </c>
      <c r="CY33" s="110">
        <f t="shared" si="28"/>
        <v>0.0986</v>
      </c>
      <c r="CZ33" s="112">
        <f>CO33*IF(VLOOKUP($E33,武器奇术!$A:$R,17,FALSE)="破竹",VLOOKUP($E33,武器奇术!$A:$R,4,FALSE),VLOOKUP($E33,武器奇术!$A:$R,2,FALSE))*(1+CQ33)*(1+CR33)*CS33</f>
        <v>1828.92567045175</v>
      </c>
      <c r="DA33" s="110">
        <f t="shared" si="29"/>
        <v>0.00928814000000003</v>
      </c>
      <c r="DB33" s="113">
        <f t="shared" si="30"/>
        <v>2981.71373695036</v>
      </c>
      <c r="DC33" s="108">
        <f t="shared" si="31"/>
        <v>69.3</v>
      </c>
      <c r="DD33" s="99">
        <f>(DC33+DE33)*IF(VLOOKUP($E33,武器奇术!$A:$Z,21,FALSE)=1,$G$15,0.5)</f>
        <v>69.3</v>
      </c>
      <c r="DE33" s="109">
        <f t="shared" si="32"/>
        <v>69.3</v>
      </c>
      <c r="DF33" s="110">
        <f>IF(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R,18,FALSE)=1,4,0)+IF(VLOOKUP($E33,武器奇术!$A:$S,19,FALSE)=1,20,0)-VLOOKUP($F$7,目标属性!$A:$R,6,FALSE))/100)</f>
        <v>0.025</v>
      </c>
      <c r="DG33" s="111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U,21,FALSE)=1,0,0.09)</f>
        <v>0.235</v>
      </c>
      <c r="DH33" s="109">
        <v>1</v>
      </c>
      <c r="DI33" s="112">
        <f>DC33*IF(VLOOKUP($E33,武器奇术!$A:$R,17,FALSE)="破竹",VLOOKUP($E33,武器奇术!$A:$R,4,FALSE),VLOOKUP($E33,武器奇术!$A:$R,2,FALSE))*(1+DF33)*(1+DG33)*DH33</f>
        <v>144.80788447125</v>
      </c>
      <c r="DJ33" s="110">
        <f>(1-IF(VLOOKUP($E33,武器奇术!$A:$T,20,FALSE)=1,1,$N33))*(1-$M33)</f>
        <v>0.01072666</v>
      </c>
      <c r="DK33" s="112">
        <f>DD33*IF(VLOOKUP($E33,武器奇术!$A:$R,17,FALSE)="破竹",VLOOKUP($E33,武器奇术!$A:$R,4,FALSE),VLOOKUP($E33,武器奇术!$A:$R,2,FALSE))*(1+DF33)*(1+DG33)*DH33*(1+$E$16+VLOOKUP($E33,武器奇术!$A:$R,8,FALSE))</f>
        <v>237.48493053285</v>
      </c>
      <c r="DL33" s="110">
        <f t="shared" si="33"/>
        <v>0.8813852</v>
      </c>
      <c r="DM33" s="112">
        <f>DE33*IF(VLOOKUP($E33,武器奇术!$A:$R,17,FALSE)="破竹",VLOOKUP($E33,武器奇术!$A:$R,4,FALSE),VLOOKUP($E33,武器奇术!$A:$R,2,FALSE))*(1+DF33)*(1+DG33)*DH33*(1+$E$17+VLOOKUP($E33,武器奇术!$A:$R,10,FALSE))</f>
        <v>195.490644036187</v>
      </c>
      <c r="DN33" s="110">
        <f t="shared" si="34"/>
        <v>0.0986</v>
      </c>
      <c r="DO33" s="112">
        <f>DD33*IF(VLOOKUP($E33,武器奇术!$A:$R,17,FALSE)="破竹",VLOOKUP($E33,武器奇术!$A:$R,4,FALSE),VLOOKUP($E33,武器奇术!$A:$R,2,FALSE))*(1+DF33)*(1+DG33)*DH33</f>
        <v>144.80788447125</v>
      </c>
      <c r="DP33" s="110">
        <f t="shared" si="35"/>
        <v>0.00928814000000003</v>
      </c>
      <c r="DQ33" s="113">
        <f t="shared" si="36"/>
        <v>231.489381342765</v>
      </c>
    </row>
    <row r="34" ht="14.25" spans="2:121">
      <c r="B34" s="95"/>
      <c r="C34" s="96"/>
      <c r="D34" s="97"/>
      <c r="E34" s="98" t="str">
        <f>期望!E34</f>
        <v>拳甲～</v>
      </c>
      <c r="F34" s="99">
        <f>期望!F34</f>
        <v>1</v>
      </c>
      <c r="G34" s="115"/>
      <c r="H34" s="100">
        <f>IF(VLOOKUP($E34,武器奇术!$A:$R,18,FALSE)="天工",AE34,(AE34+AT34+BI34+BX34+CM34+DB34+DQ34))*(1+J34)*F34*K34*(1+G34)</f>
        <v>41596.405622604</v>
      </c>
      <c r="I34" s="101">
        <f t="shared" si="0"/>
        <v>0.00513561344334605</v>
      </c>
      <c r="J34" s="116">
        <f>$F$3+VLOOKUP($E34,武器奇术!$A:$R,12,FALSE)+VLOOKUP($E34,武器奇术!$A:$R,14,FALSE)*$G$3+$P34+IF($F$21="√",5%,0)</f>
        <v>0.523</v>
      </c>
      <c r="K34" s="102">
        <f>VLOOKUP($E34,武器奇术!$A:$R,11,FALSE)</f>
        <v>1</v>
      </c>
      <c r="L34" s="117">
        <f>IF(VLOOKUP($E34,武器奇术!$A:$R,15,FALSE)="天工",0%,IF($C$17+VLOOKUP($E34,武器奇术!$A:$R,7,FALSE)&gt;80%,80%,$C$17+VLOOKUP($E34,武器奇术!$A:$R,7,FALSE))+IF($C$19&gt;20%,20%,$C$19))</f>
        <v>0.892</v>
      </c>
      <c r="M34" s="118">
        <f>IF(VLOOKUP($E34,武器奇术!$A:$R,15,FALSE)="天工",0%,IF($C$18+VLOOKUP($E34,武器奇术!$A:$R,9,FALSE)&gt;40%,40%,$C$18+VLOOKUP($E34,武器奇术!$A:$R,9,FALSE))+IF($C$20&gt;10%,10%,$C$20))</f>
        <v>0.0986</v>
      </c>
      <c r="N34" s="119">
        <f>IF(VLOOKUP($E34,武器奇术!$A:$R,15,FALSE)="天工",100%,MIN($C$16,1))</f>
        <v>0.9881</v>
      </c>
      <c r="O34" s="120" t="str">
        <f>VLOOKUP($E34,武器奇术!$A:$R,16,FALSE)</f>
        <v>拳甲</v>
      </c>
      <c r="P34" s="121">
        <f t="shared" si="37"/>
        <v>0.17</v>
      </c>
      <c r="Q34" s="108">
        <f>$B$5*(1+VLOOKUP($E34,武器奇术!$A:$R,5,FALSE)+IF($G$5="飞隼",0.1,0)+IF($G$5="撼天",0.05,0))-$F$9+IF($I$5="√",160,0)</f>
        <v>1731.135</v>
      </c>
      <c r="R34" s="99">
        <f>IF(VLOOKUP($E34,武器奇术!$A:$Z,20,FALSE)=1,(S34-(Q34+S34)*0.5)*($G$15-0.5)*2+(Q34+S34)*0.5,(Q34+S34)*0.5)</f>
        <v>3256.775</v>
      </c>
      <c r="S34" s="109">
        <f>MAX($C$5,$B$5)*(1+VLOOKUP($E34,武器奇术!$A:$R,5,FALSE)+IF($G$5="飞隼",0.1,0)+IF($G$5="撼天",0.05,0))-$F$9+IF($I$5="√",320,0)</f>
        <v>4782.415</v>
      </c>
      <c r="T34" s="101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U34" s="111">
        <f>$E$5+IF(VLOOKUP($E34,武器奇术!$A:$U,21,FALSE)=1,0,0.09)</f>
        <v>0.115</v>
      </c>
      <c r="V34" s="109">
        <v>1</v>
      </c>
      <c r="W34" s="112">
        <f>Q34*VLOOKUP($E34,武器奇术!$A:$R,2,FALSE)*(1+T34)*(1+U34)*V34</f>
        <v>5854.51393233431</v>
      </c>
      <c r="X34" s="110">
        <f>(1-IF(VLOOKUP($E34,武器奇术!$A:$T,20,FALSE)=1,1,$N34))*(1-$M34)</f>
        <v>0.01072666</v>
      </c>
      <c r="Y34" s="112">
        <f>R34*VLOOKUP($E34,武器奇术!$A:$R,2,FALSE)*(1+T34)*(1+U34)*V34*(1+$E$16+VLOOKUP($E34,武器奇术!$A:$R,8,FALSE))</f>
        <v>18063.0677351241</v>
      </c>
      <c r="Z34" s="110">
        <f t="shared" si="1"/>
        <v>0.8813852</v>
      </c>
      <c r="AA34" s="112">
        <f>S34*VLOOKUP($E34,武器奇术!$A:$R,2,FALSE)*(1+T34)*(1+U34)*V34*(1+$E$17+VLOOKUP($E34,武器奇术!$A:$R,10,FALSE))</f>
        <v>21834.3835601505</v>
      </c>
      <c r="AB34" s="110">
        <f t="shared" si="2"/>
        <v>0.0986</v>
      </c>
      <c r="AC34" s="112">
        <f>R34*VLOOKUP($E34,武器奇术!$A:$R,2,FALSE)*(1+T34)*(1+U34)*V34</f>
        <v>11014.0656921488</v>
      </c>
      <c r="AD34" s="110">
        <f t="shared" si="3"/>
        <v>0.00928814000000003</v>
      </c>
      <c r="AE34" s="113">
        <f t="shared" si="4"/>
        <v>18238.490351902</v>
      </c>
      <c r="AF34" s="114">
        <f>VLOOKUP($E34,武器奇术!$A:$R,3,FALSE)*(1+IF(VLOOKUP($E34,武器奇术!$A:$R,15,FALSE)="武器",$E$15,0))</f>
        <v>877.5</v>
      </c>
      <c r="AG34" s="112">
        <f t="shared" si="5"/>
        <v>877.5</v>
      </c>
      <c r="AH34" s="112">
        <f>VLOOKUP($E34,武器奇术!$A:$R,3,FALSE)*(1+IF(VLOOKUP($E34,武器奇术!$A:$R,15,FALSE)="武器",$E$15,0))</f>
        <v>877.5</v>
      </c>
      <c r="AI34" s="101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0.242</v>
      </c>
      <c r="AJ34" s="111">
        <f>$E$5+IF(VLOOKUP($E34,武器奇术!$A:$U,21,FALSE)=1,0,0.09)</f>
        <v>0.115</v>
      </c>
      <c r="AK34" s="109">
        <v>1</v>
      </c>
      <c r="AL34" s="112">
        <f t="shared" si="6"/>
        <v>1215.188325</v>
      </c>
      <c r="AM34" s="110">
        <f>(1-IF(VLOOKUP($E34,武器奇术!$A:$T,20,FALSE)=1,1,$N34))*(1-$M34)</f>
        <v>0.01072666</v>
      </c>
      <c r="AN34" s="112">
        <f>AG34*(1+AI34)*(1+AJ34)*AK34*(1+$E$16+VLOOKUP($E34,武器奇术!$A:$R,8,FALSE))</f>
        <v>1992.908853</v>
      </c>
      <c r="AO34" s="110">
        <f t="shared" si="7"/>
        <v>0.8813852</v>
      </c>
      <c r="AP34" s="112">
        <f>AH34*(1+AI34)*(1+AJ34)*AK34*(1+$E$17+VLOOKUP($E34,武器奇术!$A:$R,10,FALSE))</f>
        <v>1640.50423875</v>
      </c>
      <c r="AQ34" s="110">
        <f t="shared" si="8"/>
        <v>0.0986</v>
      </c>
      <c r="AR34" s="112">
        <f t="shared" si="9"/>
        <v>1215.188325</v>
      </c>
      <c r="AS34" s="110">
        <f t="shared" si="10"/>
        <v>0.00928814000000003</v>
      </c>
      <c r="AT34" s="113">
        <f t="shared" si="11"/>
        <v>1942.59583721114</v>
      </c>
      <c r="AU34" s="108">
        <f>$B$7*IF($G$5="撼天",1.05,1)+IF(AND(VLOOKUP($E34,武器奇术!$A:$R,15,FALSE)="武器",VLOOKUP($E34,武器奇术!$A:$R,17,FALSE)="鸣金"),$E$3,0)*(1+$E$15)</f>
        <v>0</v>
      </c>
      <c r="AV34" s="99">
        <f>(AU34+AW34)*IF(VLOOKUP($E34,武器奇术!$A:$Z,21,FALSE)=1,$G$15,0.5)</f>
        <v>0</v>
      </c>
      <c r="AW34" s="109">
        <f>MAX($C$7*IF($G$5="撼天",1.05,1)+IF(AND(VLOOKUP($E34,武器奇术!$A:$R,15,FALSE)="武器",VLOOKUP($E34,武器奇术!$A:$R,17,FALSE)="鸣金"),$E$3*(1+$E$15),0),AU34)</f>
        <v>0</v>
      </c>
      <c r="AX34" s="110">
        <f>IF(($D$7+IF(VLOOKUP($E34,武器奇术!$A:$R,17,FALSE)="鸣金",$D$15,0)+IF(VLOOKUP($E34,武器奇术!$A:$R,18,FALSE)=1,4,0)+IF(VLOOKUP($E34,武器奇术!$A:$S,19,FALSE)=1,20,0)-VLOOKUP($F$7,目标属性!$A:$R,6,FALSE))&gt;0,($D$7+IF(VLOOKUP($E34,武器奇术!$A:$R,17,FALSE)="鸣金",$D$15,0)+IF(VLOOKUP($E34,武器奇术!$A:$R,18,FALSE)=1,4,0)+IF(VLOOKUP($E34,武器奇术!$A:$S,19,FALSE)=1,20,0)-VLOOKUP($F$7,目标属性!$A:$R,6,FALSE))/200,($D$7+IF(VLOOKUP($E34,武器奇术!$A:$R,17,FALSE)="鸣金",$D$15,0)+IF(VLOOKUP($E34,武器奇术!$A:$R,18,FALSE)=1,4,0)+IF(VLOOKUP($E34,武器奇术!$A:$S,19,FALSE)=1,20,0)-VLOOKUP($F$7,目标属性!$A:$R,6,FALSE))/100)</f>
        <v>-0.24</v>
      </c>
      <c r="AY34" s="111">
        <f t="shared" si="12"/>
        <v>0</v>
      </c>
      <c r="AZ34" s="109">
        <v>1</v>
      </c>
      <c r="BA34" s="112">
        <f>AU34*IF(VLOOKUP($E34,武器奇术!$A:$R,17,FALSE)="鸣金",VLOOKUP($E34,武器奇术!$A:$R,4,FALSE),VLOOKUP($E34,武器奇术!$A:$R,2,FALSE))*(1+AX34)*(1+AY34)*AZ34</f>
        <v>0</v>
      </c>
      <c r="BB34" s="110">
        <f>(1-IF(VLOOKUP($E34,武器奇术!$A:$T,20,FALSE)=1,1,$N34))*(1-$M34)</f>
        <v>0.01072666</v>
      </c>
      <c r="BC34" s="112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10">
        <f t="shared" si="13"/>
        <v>0.8813852</v>
      </c>
      <c r="BE34" s="112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10">
        <f t="shared" si="14"/>
        <v>0.0986</v>
      </c>
      <c r="BG34" s="112">
        <f>AV34*IF(VLOOKUP($E34,武器奇术!$A:$R,17,FALSE)="鸣金",VLOOKUP($E34,武器奇术!$A:$R,4,FALSE),VLOOKUP($E34,武器奇术!$A:$R,2,FALSE))*(1+AX34)*(1+AY34)*AZ34</f>
        <v>0</v>
      </c>
      <c r="BH34" s="110">
        <f t="shared" si="15"/>
        <v>0.00928814000000003</v>
      </c>
      <c r="BI34" s="113">
        <f t="shared" si="16"/>
        <v>0</v>
      </c>
      <c r="BJ34" s="108">
        <f>$B$9*IF($G$5="撼天",1.05,1)+IF(AND(VLOOKUP($E34,武器奇术!$A:$R,15,FALSE)="武器",VLOOKUP($E34,武器奇术!$A:$R,17,FALSE)="裂石"),$E$3,0)*(1+$E$15)</f>
        <v>0</v>
      </c>
      <c r="BK34" s="99">
        <f>(BJ34+BL34)*IF(VLOOKUP($E34,武器奇术!$A:$Z,21,FALSE)=1,$G$15,0.5)</f>
        <v>0</v>
      </c>
      <c r="BL34" s="109">
        <f>MAX($C$9*IF($G$5="撼天",1.05,1)+IF(AND(VLOOKUP($E34,武器奇术!$A:$R,15,FALSE)="武器",VLOOKUP($E34,武器奇术!$A:$R,17,FALSE)="裂石"),$E$3*(1+$E$15),0),BJ34)</f>
        <v>0</v>
      </c>
      <c r="BM34" s="110">
        <f>IF(($D$9+IF(VLOOKUP($E34,武器奇术!$A:$R,17,FALSE)="裂石",$D$15,0)+IF(VLOOKUP($E34,武器奇术!$A:$R,18,FALSE)=1,4,0)+IF(VLOOKUP($E34,武器奇术!$A:$S,19,FALSE)=1,20,0)-VLOOKUP($F$7,目标属性!$A:$R,6,FALSE))&gt;0,($D$9+IF(VLOOKUP($E34,武器奇术!$A:$R,17,FALSE)="裂石",$D$15,0)+IF(VLOOKUP($E34,武器奇术!$A:$R,18,FALSE)=1,4,0)+IF(VLOOKUP($E34,武器奇术!$A:$S,19,FALSE)=1,20,0)-VLOOKUP($F$7,目标属性!$A:$R,6,FALSE))/200,($D$9+IF(VLOOKUP($E34,武器奇术!$A:$R,17,FALSE)="裂石",$D$15,0)+IF(VLOOKUP($E34,武器奇术!$A:$R,18,FALSE)=1,4,0)+IF(VLOOKUP($E34,武器奇术!$A:$S,19,FALSE)=1,20,0)-VLOOKUP($F$7,目标属性!$A:$R,6,FALSE))/100)</f>
        <v>-0.24</v>
      </c>
      <c r="BN34" s="111">
        <f t="shared" si="17"/>
        <v>0</v>
      </c>
      <c r="BO34" s="109">
        <v>1</v>
      </c>
      <c r="BP34" s="112">
        <f>BJ34*IF(VLOOKUP($E34,武器奇术!$A:$R,17,FALSE)="裂石",VLOOKUP($E34,武器奇术!$A:$R,4,FALSE),VLOOKUP($E34,武器奇术!$A:$R,2,FALSE))*(1+BM34)*(1+BN34)*BO34</f>
        <v>0</v>
      </c>
      <c r="BQ34" s="110">
        <f>(1-IF(VLOOKUP($E34,武器奇术!$A:$T,20,FALSE)=1,1,$N34))*(1-$M34)</f>
        <v>0.01072666</v>
      </c>
      <c r="BR34" s="112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10">
        <f t="shared" si="18"/>
        <v>0.8813852</v>
      </c>
      <c r="BT34" s="112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10">
        <f t="shared" si="19"/>
        <v>0.0986</v>
      </c>
      <c r="BV34" s="112">
        <f>BK34*IF(VLOOKUP($E34,武器奇术!$A:$R,17,FALSE)="裂石",VLOOKUP($E34,武器奇术!$A:$R,4,FALSE),VLOOKUP($E34,武器奇术!$A:$R,2,FALSE))*(1+BM34)*(1+BN34)*BO34</f>
        <v>0</v>
      </c>
      <c r="BW34" s="110">
        <f t="shared" si="20"/>
        <v>0.00928814000000003</v>
      </c>
      <c r="BX34" s="113">
        <f t="shared" si="21"/>
        <v>0</v>
      </c>
      <c r="BY34" s="108">
        <f>$B$11*IF($G$5="撼天",1.05,1)+IF(AND(VLOOKUP($E34,武器奇术!$A:$R,15,FALSE)="武器",VLOOKUP($E34,武器奇术!$A:$R,17,FALSE)="牵丝"),$E$3,0)*(1+$E$15)</f>
        <v>0</v>
      </c>
      <c r="BZ34" s="99">
        <f>(BY34+CA34)*IF(VLOOKUP($E34,武器奇术!$A:$Z,21,FALSE)=1,$G$15,0.5)</f>
        <v>0</v>
      </c>
      <c r="CA34" s="109">
        <f>MAX($C$11*IF($G$5="撼天",1.05,1)+IF(AND(VLOOKUP($E34,武器奇术!$A:$R,15,FALSE)="武器",VLOOKUP($E34,武器奇术!$A:$R,17,FALSE)="牵丝"),$E$3*(1+$E$15),0),BY34)</f>
        <v>0</v>
      </c>
      <c r="CB34" s="110">
        <f>IF(($D$11+IF(VLOOKUP($E34,武器奇术!$A:$R,17,FALSE)="牵丝",$D$15,0)+IF(VLOOKUP($E34,武器奇术!$A:$R,18,FALSE)=1,4,0)+IF(VLOOKUP($E34,武器奇术!$A:$S,19,FALSE)=1,20,0)-VLOOKUP($F$7,目标属性!$A:$R,6,FALSE))&gt;0,($D$11+IF(VLOOKUP($E34,武器奇术!$A:$R,17,FALSE)="牵丝",$D$15,0)+IF(VLOOKUP($E34,武器奇术!$A:$R,18,FALSE)=1,4,0)+IF(VLOOKUP($E34,武器奇术!$A:$S,19,FALSE)=1,20,0)-VLOOKUP($F$7,目标属性!$A:$R,6,FALSE))/200,($D$11+IF(VLOOKUP($E34,武器奇术!$A:$R,17,FALSE)="牵丝",$D$15,0)+IF(VLOOKUP($E34,武器奇术!$A:$R,18,FALSE)=1,4,0)+IF(VLOOKUP($E34,武器奇术!$A:$S,19,FALSE)=1,20,0)-VLOOKUP($F$7,目标属性!$A:$R,6,FALSE))/100)</f>
        <v>-0.24</v>
      </c>
      <c r="CC34" s="111">
        <f t="shared" si="22"/>
        <v>0</v>
      </c>
      <c r="CD34" s="109">
        <v>1</v>
      </c>
      <c r="CE34" s="112">
        <f>BY34*IF(VLOOKUP($E34,武器奇术!$A:$R,17,FALSE)="牵丝",VLOOKUP($E34,武器奇术!$A:$R,4,FALSE),VLOOKUP($E34,武器奇术!$A:$R,2,FALSE))*(1+CB34)*(1+CC34)*CD34</f>
        <v>0</v>
      </c>
      <c r="CF34" s="110">
        <f>(1-IF(VLOOKUP($E34,武器奇术!$A:$T,20,FALSE)=1,1,$N34))*(1-$M34)</f>
        <v>0.01072666</v>
      </c>
      <c r="CG34" s="112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110">
        <f t="shared" si="23"/>
        <v>0.8813852</v>
      </c>
      <c r="CI34" s="112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110">
        <f t="shared" si="24"/>
        <v>0.0986</v>
      </c>
      <c r="CK34" s="112">
        <f>BZ34*IF(VLOOKUP($E34,武器奇术!$A:$R,17,FALSE)="牵丝",VLOOKUP($E34,武器奇术!$A:$R,4,FALSE),VLOOKUP($E34,武器奇术!$A:$R,2,FALSE))*(1+CB34)*(1+CC34)*CD34</f>
        <v>0</v>
      </c>
      <c r="CL34" s="110">
        <f t="shared" si="25"/>
        <v>0.00928814000000003</v>
      </c>
      <c r="CM34" s="113">
        <f t="shared" si="26"/>
        <v>0</v>
      </c>
      <c r="CN34" s="108">
        <f>$B$13*IF($G$5="撼天",1.05,1)+IF(AND(VLOOKUP($E34,武器奇术!$A:$R,15,FALSE)="武器",VLOOKUP($E34,武器奇术!$A:$R,17,FALSE)="破竹"),$E$3,0)*(1+$E$15)</f>
        <v>648.46</v>
      </c>
      <c r="CO34" s="99">
        <f>(CN34+CP34)*IF(VLOOKUP($E34,武器奇术!$A:$Z,21,FALSE)=1,$G$15,0.5)</f>
        <v>875.26</v>
      </c>
      <c r="CP34" s="109">
        <f>MAX($C$13*IF($G$5="撼天",1.05,1)+IF(AND(VLOOKUP($E34,武器奇术!$A:$R,15,FALSE)="武器",VLOOKUP($E34,武器奇术!$A:$R,17,FALSE)="破竹"),$E$3*(1+$E$15),0),CN34)</f>
        <v>1102.06</v>
      </c>
      <c r="CQ34" s="110">
        <f>IF(($D$13+IF(VLOOKUP($E34,武器奇术!$A:$R,17,FALSE)="破竹",$D$15,0)+IF(VLOOKUP($E34,武器奇术!$A:$R,18,FALSE)=1,4,0)+IF(VLOOKUP($E34,武器奇术!$A:$S,19,FALSE)=1,20,0)-VLOOKUP($F$7,目标属性!$A:$R,6,FALSE))&gt;0,($D$13+IF(VLOOKUP($E34,武器奇术!$A:$R,17,FALSE)="破竹",$D$15,0)+IF(VLOOKUP($E34,武器奇术!$A:$R,18,FALSE)=1,4,0)+IF(VLOOKUP($E34,武器奇术!$A:$S,19,FALSE)=1,20,0)-VLOOKUP($F$7,目标属性!$A:$R,6,FALSE))/200,($D$13+IF(VLOOKUP($E34,武器奇术!$A:$R,17,FALSE)="破竹",$D$15,0)+IF(VLOOKUP($E34,武器奇术!$A:$R,18,FALSE)=1,4,0)+IF(VLOOKUP($E34,武器奇术!$A:$S,19,FALSE)=1,20,0)-VLOOKUP($F$7,目标属性!$A:$R,6,FALSE))/100)</f>
        <v>0.025</v>
      </c>
      <c r="CR34" s="111">
        <f>$E$13+IF(VLOOKUP($E34,武器奇术!$A:$U,21,FALSE)=1,0,0.09)</f>
        <v>0.235</v>
      </c>
      <c r="CS34" s="109">
        <v>1</v>
      </c>
      <c r="CT34" s="112">
        <f>CN34*IF(VLOOKUP($E34,武器奇术!$A:$R,17,FALSE)="破竹",VLOOKUP($E34,武器奇术!$A:$R,4,FALSE),VLOOKUP($E34,武器奇术!$A:$R,2,FALSE))*(1+CQ34)*(1+CR34)*CS34</f>
        <v>3007.1726027785</v>
      </c>
      <c r="CU34" s="110">
        <f>(1-IF(VLOOKUP($E34,武器奇术!$A:$T,20,FALSE)=1,1,$N34))*(1-$M34)</f>
        <v>0.01072666</v>
      </c>
      <c r="CV34" s="112">
        <f>CO34*IF(VLOOKUP($E34,武器奇术!$A:$R,17,FALSE)="破竹",VLOOKUP($E34,武器奇术!$A:$R,4,FALSE),VLOOKUP($E34,武器奇术!$A:$R,2,FALSE))*(1+CQ34)*(1+CR34)*CS34*(1+$E$16+VLOOKUP($E34,武器奇术!$A:$R,8,FALSE))</f>
        <v>6656.65568174594</v>
      </c>
      <c r="CW34" s="110">
        <f t="shared" si="27"/>
        <v>0.8813852</v>
      </c>
      <c r="CX34" s="112">
        <f>CP34*IF(VLOOKUP($E34,武器奇术!$A:$R,17,FALSE)="破竹",VLOOKUP($E34,武器奇术!$A:$R,4,FALSE),VLOOKUP($E34,武器奇术!$A:$R,2,FALSE))*(1+CQ34)*(1+CR34)*CS34*(1+$E$17+VLOOKUP($E34,武器奇术!$A:$R,10,FALSE))</f>
        <v>6899.44524278198</v>
      </c>
      <c r="CY34" s="110">
        <f t="shared" si="28"/>
        <v>0.0986</v>
      </c>
      <c r="CZ34" s="112">
        <f>CO34*IF(VLOOKUP($E34,武器奇术!$A:$R,17,FALSE)="破竹",VLOOKUP($E34,武器奇术!$A:$R,4,FALSE),VLOOKUP($E34,武器奇术!$A:$R,2,FALSE))*(1+CQ34)*(1+CR34)*CS34</f>
        <v>4058.9363913085</v>
      </c>
      <c r="DA34" s="110">
        <f t="shared" si="29"/>
        <v>0.00928814000000003</v>
      </c>
      <c r="DB34" s="113">
        <f t="shared" si="30"/>
        <v>6617.31998784997</v>
      </c>
      <c r="DC34" s="108">
        <f t="shared" si="31"/>
        <v>69.3</v>
      </c>
      <c r="DD34" s="99">
        <f>(DC34+DE34)*IF(VLOOKUP($E34,武器奇术!$A:$Z,21,FALSE)=1,$G$15,0.5)</f>
        <v>69.3</v>
      </c>
      <c r="DE34" s="109">
        <f t="shared" si="32"/>
        <v>69.3</v>
      </c>
      <c r="DF34" s="110">
        <f>IF(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R,18,FALSE)=1,4,0)+IF(VLOOKUP($E34,武器奇术!$A:$S,19,FALSE)=1,20,0)-VLOOKUP($F$7,目标属性!$A:$R,6,FALSE))/100)</f>
        <v>0.025</v>
      </c>
      <c r="DG34" s="111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U,21,FALSE)=1,0,0.09)</f>
        <v>0.235</v>
      </c>
      <c r="DH34" s="109">
        <v>1</v>
      </c>
      <c r="DI34" s="112">
        <f>DC34*IF(VLOOKUP($E34,武器奇术!$A:$R,17,FALSE)="破竹",VLOOKUP($E34,武器奇术!$A:$R,4,FALSE),VLOOKUP($E34,武器奇术!$A:$R,2,FALSE))*(1+DF34)*(1+DG34)*DH34</f>
        <v>321.3722687175</v>
      </c>
      <c r="DJ34" s="110">
        <f>(1-IF(VLOOKUP($E34,武器奇术!$A:$T,20,FALSE)=1,1,$N34))*(1-$M34)</f>
        <v>0.01072666</v>
      </c>
      <c r="DK34" s="112">
        <f>DD34*IF(VLOOKUP($E34,武器奇术!$A:$R,17,FALSE)="破竹",VLOOKUP($E34,武器奇术!$A:$R,4,FALSE),VLOOKUP($E34,武器奇术!$A:$R,2,FALSE))*(1+DF34)*(1+DG34)*DH34*(1+$E$16+VLOOKUP($E34,武器奇术!$A:$R,8,FALSE))</f>
        <v>527.0505206967</v>
      </c>
      <c r="DL34" s="110">
        <f t="shared" si="33"/>
        <v>0.8813852</v>
      </c>
      <c r="DM34" s="112">
        <f>DE34*IF(VLOOKUP($E34,武器奇术!$A:$R,17,FALSE)="破竹",VLOOKUP($E34,武器奇术!$A:$R,4,FALSE),VLOOKUP($E34,武器奇术!$A:$R,2,FALSE))*(1+DF34)*(1+DG34)*DH34*(1+$E$17+VLOOKUP($E34,武器奇术!$A:$R,10,FALSE))</f>
        <v>433.852562768625</v>
      </c>
      <c r="DN34" s="110">
        <f t="shared" si="34"/>
        <v>0.0986</v>
      </c>
      <c r="DO34" s="112">
        <f>DD34*IF(VLOOKUP($E34,武器奇术!$A:$R,17,FALSE)="破竹",VLOOKUP($E34,武器奇术!$A:$R,4,FALSE),VLOOKUP($E34,武器奇术!$A:$R,2,FALSE))*(1+DF34)*(1+DG34)*DH34</f>
        <v>321.3722687175</v>
      </c>
      <c r="DP34" s="110">
        <f t="shared" si="35"/>
        <v>0.00928814000000003</v>
      </c>
      <c r="DQ34" s="113">
        <f t="shared" si="36"/>
        <v>513.744592967279</v>
      </c>
    </row>
    <row r="35" spans="2:121">
      <c r="B35" s="124" t="s">
        <v>133</v>
      </c>
      <c r="C35" s="125">
        <f>C30/C28</f>
        <v>105326.375071904</v>
      </c>
      <c r="D35" s="126"/>
      <c r="E35" s="98" t="str">
        <f>期望!E35</f>
        <v>拳甲普攻56</v>
      </c>
      <c r="F35" s="99">
        <f>期望!F35</f>
        <v>1</v>
      </c>
      <c r="G35" s="115"/>
      <c r="H35" s="100">
        <f>IF(VLOOKUP($E35,武器奇术!$A:$R,18,FALSE)="天工",AE35,(AE35+AT35+BI35+BX35+CM35+DB35+DQ35))*(1+J35)*F35*K35*(1+G35)</f>
        <v>21940.2933760744</v>
      </c>
      <c r="I35" s="101">
        <f t="shared" si="0"/>
        <v>0.0027088125506665</v>
      </c>
      <c r="J35" s="116">
        <f>$F$3+VLOOKUP($E35,武器奇术!$A:$R,12,FALSE)+VLOOKUP($E35,武器奇术!$A:$R,14,FALSE)*$G$3+$P35+IF($F$21="√",5%,0)</f>
        <v>0.523</v>
      </c>
      <c r="K35" s="102">
        <f>VLOOKUP($E35,武器奇术!$A:$R,11,FALSE)</f>
        <v>1</v>
      </c>
      <c r="L35" s="117">
        <f>IF(VLOOKUP($E35,武器奇术!$A:$R,15,FALSE)="天工",0%,IF($C$17+VLOOKUP($E35,武器奇术!$A:$R,7,FALSE)&gt;80%,80%,$C$17+VLOOKUP($E35,武器奇术!$A:$R,7,FALSE))+IF($C$19&gt;20%,20%,$C$19))</f>
        <v>0.892</v>
      </c>
      <c r="M35" s="118">
        <f>IF(VLOOKUP($E35,武器奇术!$A:$R,15,FALSE)="天工",0%,IF($C$18+VLOOKUP($E35,武器奇术!$A:$R,9,FALSE)&gt;40%,40%,$C$18+VLOOKUP($E35,武器奇术!$A:$R,9,FALSE))+IF($C$20&gt;10%,10%,$C$20))</f>
        <v>0.0986</v>
      </c>
      <c r="N35" s="119">
        <f>IF(VLOOKUP($E35,武器奇术!$A:$R,15,FALSE)="天工",100%,MIN($C$16,1))</f>
        <v>0.9881</v>
      </c>
      <c r="O35" s="120" t="str">
        <f>VLOOKUP($E35,武器奇术!$A:$R,16,FALSE)</f>
        <v>拳甲</v>
      </c>
      <c r="P35" s="121">
        <f t="shared" si="37"/>
        <v>0.17</v>
      </c>
      <c r="Q35" s="108">
        <f>$B$5*(1+VLOOKUP($E35,武器奇术!$A:$R,5,FALSE)+IF($G$5="飞隼",0.1,0)+IF($G$5="撼天",0.05,0))-$F$9+IF($I$5="√",160,0)</f>
        <v>1731.135</v>
      </c>
      <c r="R35" s="99">
        <f>IF(VLOOKUP($E35,武器奇术!$A:$Z,20,FALSE)=1,(S35-(Q35+S35)*0.5)*($G$15-0.5)*2+(Q35+S35)*0.5,(Q35+S35)*0.5)</f>
        <v>3256.775</v>
      </c>
      <c r="S35" s="109">
        <f>MAX($C$5,$B$5)*(1+VLOOKUP($E35,武器奇术!$A:$R,5,FALSE)+IF($G$5="飞隼",0.1,0)+IF($G$5="撼天",0.05,0))-$F$9+IF($I$5="√",320,0)</f>
        <v>4782.415</v>
      </c>
      <c r="T35" s="101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U35" s="111">
        <f>$E$5+IF(VLOOKUP($E35,武器奇术!$A:$U,21,FALSE)=1,0,0.09)</f>
        <v>0.115</v>
      </c>
      <c r="V35" s="109">
        <v>1</v>
      </c>
      <c r="W35" s="112">
        <f>Q35*VLOOKUP($E35,武器奇术!$A:$R,2,FALSE)*(1+T35)*(1+U35)*V35</f>
        <v>3086.79912340758</v>
      </c>
      <c r="X35" s="110">
        <f>(1-IF(VLOOKUP($E35,武器奇术!$A:$T,20,FALSE)=1,1,$N35))*(1-$M35)</f>
        <v>0.01072666</v>
      </c>
      <c r="Y35" s="112">
        <f>R35*VLOOKUP($E35,武器奇术!$A:$R,2,FALSE)*(1+T35)*(1+U35)*V35*(1+$E$16+VLOOKUP($E35,武器奇术!$A:$R,8,FALSE))</f>
        <v>9523.77298871699</v>
      </c>
      <c r="Z35" s="110">
        <f t="shared" si="1"/>
        <v>0.8813852</v>
      </c>
      <c r="AA35" s="112">
        <f>S35*VLOOKUP($E35,武器奇术!$A:$R,2,FALSE)*(1+T35)*(1+U35)*V35*(1+$E$17+VLOOKUP($E35,武器奇术!$A:$R,10,FALSE))</f>
        <v>11512.2035428729</v>
      </c>
      <c r="AB35" s="110">
        <f t="shared" si="2"/>
        <v>0.0986</v>
      </c>
      <c r="AC35" s="112">
        <f>R35*VLOOKUP($E35,武器奇术!$A:$R,2,FALSE)*(1+T35)*(1+U35)*V35</f>
        <v>5807.1786516567</v>
      </c>
      <c r="AD35" s="110">
        <f t="shared" si="3"/>
        <v>0.00928814000000003</v>
      </c>
      <c r="AE35" s="113">
        <f t="shared" si="4"/>
        <v>9616.26476274887</v>
      </c>
      <c r="AF35" s="114">
        <f>VLOOKUP($E35,武器奇术!$A:$R,3,FALSE)*(1+IF(VLOOKUP($E35,武器奇术!$A:$R,15,FALSE)="武器",$E$15,0))</f>
        <v>465.4</v>
      </c>
      <c r="AG35" s="112">
        <f t="shared" si="5"/>
        <v>465.4</v>
      </c>
      <c r="AH35" s="112">
        <f>VLOOKUP($E35,武器奇术!$A:$R,3,FALSE)*(1+IF(VLOOKUP($E35,武器奇术!$A:$R,15,FALSE)="武器",$E$15,0))</f>
        <v>465.4</v>
      </c>
      <c r="AI35" s="101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0.242</v>
      </c>
      <c r="AJ35" s="111">
        <f>$E$5+IF(VLOOKUP($E35,武器奇术!$A:$U,21,FALSE)=1,0,0.09)</f>
        <v>0.115</v>
      </c>
      <c r="AK35" s="109">
        <v>1</v>
      </c>
      <c r="AL35" s="112">
        <f t="shared" si="6"/>
        <v>644.499882</v>
      </c>
      <c r="AM35" s="110">
        <f>(1-IF(VLOOKUP($E35,武器奇术!$A:$T,20,FALSE)=1,1,$N35))*(1-$M35)</f>
        <v>0.01072666</v>
      </c>
      <c r="AN35" s="112">
        <f>AG35*(1+AI35)*(1+AJ35)*AK35*(1+$E$16+VLOOKUP($E35,武器奇术!$A:$R,8,FALSE))</f>
        <v>1056.97980648</v>
      </c>
      <c r="AO35" s="110">
        <f t="shared" si="7"/>
        <v>0.8813852</v>
      </c>
      <c r="AP35" s="112">
        <f>AH35*(1+AI35)*(1+AJ35)*AK35*(1+$E$17+VLOOKUP($E35,武器奇术!$A:$R,10,FALSE))</f>
        <v>870.0748407</v>
      </c>
      <c r="AQ35" s="110">
        <f t="shared" si="8"/>
        <v>0.0986</v>
      </c>
      <c r="AR35" s="112">
        <f t="shared" si="9"/>
        <v>644.499882</v>
      </c>
      <c r="AS35" s="110">
        <f t="shared" si="10"/>
        <v>0.00928814000000003</v>
      </c>
      <c r="AT35" s="113">
        <f t="shared" si="11"/>
        <v>1030.29527366161</v>
      </c>
      <c r="AU35" s="108">
        <f>$B$7*IF($G$5="撼天",1.05,1)+IF(AND(VLOOKUP($E35,武器奇术!$A:$R,15,FALSE)="武器",VLOOKUP($E35,武器奇术!$A:$R,17,FALSE)="鸣金"),$E$3,0)*(1+$E$15)</f>
        <v>0</v>
      </c>
      <c r="AV35" s="99">
        <f>(AU35+AW35)*IF(VLOOKUP($E35,武器奇术!$A:$Z,21,FALSE)=1,$G$15,0.5)</f>
        <v>0</v>
      </c>
      <c r="AW35" s="109">
        <f>MAX($C$7*IF($G$5="撼天",1.05,1)+IF(AND(VLOOKUP($E35,武器奇术!$A:$R,15,FALSE)="武器",VLOOKUP($E35,武器奇术!$A:$R,17,FALSE)="鸣金"),$E$3*(1+$E$15),0),AU35)</f>
        <v>0</v>
      </c>
      <c r="AX35" s="110">
        <f>IF(($D$7+IF(VLOOKUP($E35,武器奇术!$A:$R,17,FALSE)="鸣金",$D$15,0)+IF(VLOOKUP($E35,武器奇术!$A:$R,18,FALSE)=1,4,0)+IF(VLOOKUP($E35,武器奇术!$A:$S,19,FALSE)=1,20,0)-VLOOKUP($F$7,目标属性!$A:$R,6,FALSE))&gt;0,($D$7+IF(VLOOKUP($E35,武器奇术!$A:$R,17,FALSE)="鸣金",$D$15,0)+IF(VLOOKUP($E35,武器奇术!$A:$R,18,FALSE)=1,4,0)+IF(VLOOKUP($E35,武器奇术!$A:$S,19,FALSE)=1,20,0)-VLOOKUP($F$7,目标属性!$A:$R,6,FALSE))/200,($D$7+IF(VLOOKUP($E35,武器奇术!$A:$R,17,FALSE)="鸣金",$D$15,0)+IF(VLOOKUP($E35,武器奇术!$A:$R,18,FALSE)=1,4,0)+IF(VLOOKUP($E35,武器奇术!$A:$S,19,FALSE)=1,20,0)-VLOOKUP($F$7,目标属性!$A:$R,6,FALSE))/100)</f>
        <v>-0.24</v>
      </c>
      <c r="AY35" s="111">
        <f t="shared" si="12"/>
        <v>0</v>
      </c>
      <c r="AZ35" s="109">
        <v>1</v>
      </c>
      <c r="BA35" s="112">
        <f>AU35*IF(VLOOKUP($E35,武器奇术!$A:$R,17,FALSE)="鸣金",VLOOKUP($E35,武器奇术!$A:$R,4,FALSE),VLOOKUP($E35,武器奇术!$A:$R,2,FALSE))*(1+AX35)*(1+AY35)*AZ35</f>
        <v>0</v>
      </c>
      <c r="BB35" s="110">
        <f>(1-IF(VLOOKUP($E35,武器奇术!$A:$T,20,FALSE)=1,1,$N35))*(1-$M35)</f>
        <v>0.01072666</v>
      </c>
      <c r="BC35" s="112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10">
        <f t="shared" si="13"/>
        <v>0.8813852</v>
      </c>
      <c r="BE35" s="112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10">
        <f t="shared" si="14"/>
        <v>0.0986</v>
      </c>
      <c r="BG35" s="112">
        <f>AV35*IF(VLOOKUP($E35,武器奇术!$A:$R,17,FALSE)="鸣金",VLOOKUP($E35,武器奇术!$A:$R,4,FALSE),VLOOKUP($E35,武器奇术!$A:$R,2,FALSE))*(1+AX35)*(1+AY35)*AZ35</f>
        <v>0</v>
      </c>
      <c r="BH35" s="110">
        <f t="shared" si="15"/>
        <v>0.00928814000000003</v>
      </c>
      <c r="BI35" s="113">
        <f t="shared" si="16"/>
        <v>0</v>
      </c>
      <c r="BJ35" s="108">
        <f>$B$9*IF($G$5="撼天",1.05,1)+IF(AND(VLOOKUP($E35,武器奇术!$A:$R,15,FALSE)="武器",VLOOKUP($E35,武器奇术!$A:$R,17,FALSE)="裂石"),$E$3,0)*(1+$E$15)</f>
        <v>0</v>
      </c>
      <c r="BK35" s="99">
        <f>(BJ35+BL35)*IF(VLOOKUP($E35,武器奇术!$A:$Z,21,FALSE)=1,$G$15,0.5)</f>
        <v>0</v>
      </c>
      <c r="BL35" s="109">
        <f>MAX($C$9*IF($G$5="撼天",1.05,1)+IF(AND(VLOOKUP($E35,武器奇术!$A:$R,15,FALSE)="武器",VLOOKUP($E35,武器奇术!$A:$R,17,FALSE)="裂石"),$E$3*(1+$E$15),0),BJ35)</f>
        <v>0</v>
      </c>
      <c r="BM35" s="110">
        <f>IF(($D$9+IF(VLOOKUP($E35,武器奇术!$A:$R,17,FALSE)="裂石",$D$15,0)+IF(VLOOKUP($E35,武器奇术!$A:$R,18,FALSE)=1,4,0)+IF(VLOOKUP($E35,武器奇术!$A:$S,19,FALSE)=1,20,0)-VLOOKUP($F$7,目标属性!$A:$R,6,FALSE))&gt;0,($D$9+IF(VLOOKUP($E35,武器奇术!$A:$R,17,FALSE)="裂石",$D$15,0)+IF(VLOOKUP($E35,武器奇术!$A:$R,18,FALSE)=1,4,0)+IF(VLOOKUP($E35,武器奇术!$A:$S,19,FALSE)=1,20,0)-VLOOKUP($F$7,目标属性!$A:$R,6,FALSE))/200,($D$9+IF(VLOOKUP($E35,武器奇术!$A:$R,17,FALSE)="裂石",$D$15,0)+IF(VLOOKUP($E35,武器奇术!$A:$R,18,FALSE)=1,4,0)+IF(VLOOKUP($E35,武器奇术!$A:$S,19,FALSE)=1,20,0)-VLOOKUP($F$7,目标属性!$A:$R,6,FALSE))/100)</f>
        <v>-0.24</v>
      </c>
      <c r="BN35" s="111">
        <f t="shared" si="17"/>
        <v>0</v>
      </c>
      <c r="BO35" s="109">
        <v>1</v>
      </c>
      <c r="BP35" s="112">
        <f>BJ35*IF(VLOOKUP($E35,武器奇术!$A:$R,17,FALSE)="裂石",VLOOKUP($E35,武器奇术!$A:$R,4,FALSE),VLOOKUP($E35,武器奇术!$A:$R,2,FALSE))*(1+BM35)*(1+BN35)*BO35</f>
        <v>0</v>
      </c>
      <c r="BQ35" s="110">
        <f>(1-IF(VLOOKUP($E35,武器奇术!$A:$T,20,FALSE)=1,1,$N35))*(1-$M35)</f>
        <v>0.01072666</v>
      </c>
      <c r="BR35" s="112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10">
        <f t="shared" si="18"/>
        <v>0.8813852</v>
      </c>
      <c r="BT35" s="112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10">
        <f t="shared" si="19"/>
        <v>0.0986</v>
      </c>
      <c r="BV35" s="112">
        <f>BK35*IF(VLOOKUP($E35,武器奇术!$A:$R,17,FALSE)="裂石",VLOOKUP($E35,武器奇术!$A:$R,4,FALSE),VLOOKUP($E35,武器奇术!$A:$R,2,FALSE))*(1+BM35)*(1+BN35)*BO35</f>
        <v>0</v>
      </c>
      <c r="BW35" s="110">
        <f t="shared" si="20"/>
        <v>0.00928814000000003</v>
      </c>
      <c r="BX35" s="113">
        <f t="shared" si="21"/>
        <v>0</v>
      </c>
      <c r="BY35" s="108">
        <f>$B$11*IF($G$5="撼天",1.05,1)+IF(AND(VLOOKUP($E35,武器奇术!$A:$R,15,FALSE)="武器",VLOOKUP($E35,武器奇术!$A:$R,17,FALSE)="牵丝"),$E$3,0)*(1+$E$15)</f>
        <v>0</v>
      </c>
      <c r="BZ35" s="99">
        <f>(BY35+CA35)*IF(VLOOKUP($E35,武器奇术!$A:$Z,21,FALSE)=1,$G$15,0.5)</f>
        <v>0</v>
      </c>
      <c r="CA35" s="109">
        <f>MAX($C$11*IF($G$5="撼天",1.05,1)+IF(AND(VLOOKUP($E35,武器奇术!$A:$R,15,FALSE)="武器",VLOOKUP($E35,武器奇术!$A:$R,17,FALSE)="牵丝"),$E$3*(1+$E$15),0),BY35)</f>
        <v>0</v>
      </c>
      <c r="CB35" s="110">
        <f>IF(($D$11+IF(VLOOKUP($E35,武器奇术!$A:$R,17,FALSE)="牵丝",$D$15,0)+IF(VLOOKUP($E35,武器奇术!$A:$R,18,FALSE)=1,4,0)+IF(VLOOKUP($E35,武器奇术!$A:$S,19,FALSE)=1,20,0)-VLOOKUP($F$7,目标属性!$A:$R,6,FALSE))&gt;0,($D$11+IF(VLOOKUP($E35,武器奇术!$A:$R,17,FALSE)="牵丝",$D$15,0)+IF(VLOOKUP($E35,武器奇术!$A:$R,18,FALSE)=1,4,0)+IF(VLOOKUP($E35,武器奇术!$A:$S,19,FALSE)=1,20,0)-VLOOKUP($F$7,目标属性!$A:$R,6,FALSE))/200,($D$11+IF(VLOOKUP($E35,武器奇术!$A:$R,17,FALSE)="牵丝",$D$15,0)+IF(VLOOKUP($E35,武器奇术!$A:$R,18,FALSE)=1,4,0)+IF(VLOOKUP($E35,武器奇术!$A:$S,19,FALSE)=1,20,0)-VLOOKUP($F$7,目标属性!$A:$R,6,FALSE))/100)</f>
        <v>-0.24</v>
      </c>
      <c r="CC35" s="111">
        <f t="shared" si="22"/>
        <v>0</v>
      </c>
      <c r="CD35" s="109">
        <v>1</v>
      </c>
      <c r="CE35" s="112">
        <f>BY35*IF(VLOOKUP($E35,武器奇术!$A:$R,17,FALSE)="牵丝",VLOOKUP($E35,武器奇术!$A:$R,4,FALSE),VLOOKUP($E35,武器奇术!$A:$R,2,FALSE))*(1+CB35)*(1+CC35)*CD35</f>
        <v>0</v>
      </c>
      <c r="CF35" s="110">
        <f>(1-IF(VLOOKUP($E35,武器奇术!$A:$T,20,FALSE)=1,1,$N35))*(1-$M35)</f>
        <v>0.01072666</v>
      </c>
      <c r="CG35" s="112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110">
        <f t="shared" si="23"/>
        <v>0.8813852</v>
      </c>
      <c r="CI35" s="112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110">
        <f t="shared" si="24"/>
        <v>0.0986</v>
      </c>
      <c r="CK35" s="112">
        <f>BZ35*IF(VLOOKUP($E35,武器奇术!$A:$R,17,FALSE)="牵丝",VLOOKUP($E35,武器奇术!$A:$R,4,FALSE),VLOOKUP($E35,武器奇术!$A:$R,2,FALSE))*(1+CB35)*(1+CC35)*CD35</f>
        <v>0</v>
      </c>
      <c r="CL35" s="110">
        <f t="shared" si="25"/>
        <v>0.00928814000000003</v>
      </c>
      <c r="CM35" s="113">
        <f t="shared" si="26"/>
        <v>0</v>
      </c>
      <c r="CN35" s="108">
        <f>$B$13*IF($G$5="撼天",1.05,1)+IF(AND(VLOOKUP($E35,武器奇术!$A:$R,15,FALSE)="武器",VLOOKUP($E35,武器奇术!$A:$R,17,FALSE)="破竹"),$E$3,0)*(1+$E$15)</f>
        <v>648.46</v>
      </c>
      <c r="CO35" s="99">
        <f>(CN35+CP35)*IF(VLOOKUP($E35,武器奇术!$A:$Z,21,FALSE)=1,$G$15,0.5)</f>
        <v>875.26</v>
      </c>
      <c r="CP35" s="109">
        <f>MAX($C$13*IF($G$5="撼天",1.05,1)+IF(AND(VLOOKUP($E35,武器奇术!$A:$R,15,FALSE)="武器",VLOOKUP($E35,武器奇术!$A:$R,17,FALSE)="破竹"),$E$3*(1+$E$15),0),CN35)</f>
        <v>1102.06</v>
      </c>
      <c r="CQ35" s="110">
        <f>IF(($D$13+IF(VLOOKUP($E35,武器奇术!$A:$R,17,FALSE)="破竹",$D$15,0)+IF(VLOOKUP($E35,武器奇术!$A:$R,18,FALSE)=1,4,0)+IF(VLOOKUP($E35,武器奇术!$A:$S,19,FALSE)=1,20,0)-VLOOKUP($F$7,目标属性!$A:$R,6,FALSE))&gt;0,($D$13+IF(VLOOKUP($E35,武器奇术!$A:$R,17,FALSE)="破竹",$D$15,0)+IF(VLOOKUP($E35,武器奇术!$A:$R,18,FALSE)=1,4,0)+IF(VLOOKUP($E35,武器奇术!$A:$S,19,FALSE)=1,20,0)-VLOOKUP($F$7,目标属性!$A:$R,6,FALSE))/200,($D$13+IF(VLOOKUP($E35,武器奇术!$A:$R,17,FALSE)="破竹",$D$15,0)+IF(VLOOKUP($E35,武器奇术!$A:$R,18,FALSE)=1,4,0)+IF(VLOOKUP($E35,武器奇术!$A:$S,19,FALSE)=1,20,0)-VLOOKUP($F$7,目标属性!$A:$R,6,FALSE))/100)</f>
        <v>0.025</v>
      </c>
      <c r="CR35" s="111">
        <f>$E$13+IF(VLOOKUP($E35,武器奇术!$A:$U,21,FALSE)=1,0,0.09)</f>
        <v>0.235</v>
      </c>
      <c r="CS35" s="109">
        <v>1</v>
      </c>
      <c r="CT35" s="112">
        <f>CN35*IF(VLOOKUP($E35,武器奇术!$A:$R,17,FALSE)="破竹",VLOOKUP($E35,武器奇术!$A:$R,4,FALSE),VLOOKUP($E35,武器奇术!$A:$R,2,FALSE))*(1+CQ35)*(1+CR35)*CS35</f>
        <v>1585.34488391825</v>
      </c>
      <c r="CU35" s="110">
        <f>(1-IF(VLOOKUP($E35,武器奇术!$A:$T,20,FALSE)=1,1,$N35))*(1-$M35)</f>
        <v>0.01072666</v>
      </c>
      <c r="CV35" s="112">
        <f>CO35*IF(VLOOKUP($E35,武器奇术!$A:$R,17,FALSE)="破竹",VLOOKUP($E35,武器奇术!$A:$R,4,FALSE),VLOOKUP($E35,武器奇术!$A:$R,2,FALSE))*(1+CQ35)*(1+CR35)*CS35*(1+$E$16+VLOOKUP($E35,武器奇术!$A:$R,8,FALSE))</f>
        <v>3509.30805212533</v>
      </c>
      <c r="CW35" s="110">
        <f t="shared" si="27"/>
        <v>0.8813852</v>
      </c>
      <c r="CX35" s="112">
        <f>CP35*IF(VLOOKUP($E35,武器奇术!$A:$R,17,FALSE)="破竹",VLOOKUP($E35,武器奇术!$A:$R,4,FALSE),VLOOKUP($E35,武器奇术!$A:$R,2,FALSE))*(1+CQ35)*(1+CR35)*CS35*(1+$E$17+VLOOKUP($E35,武器奇术!$A:$R,10,FALSE))</f>
        <v>3637.30376081914</v>
      </c>
      <c r="CY35" s="110">
        <f t="shared" si="28"/>
        <v>0.0986</v>
      </c>
      <c r="CZ35" s="112">
        <f>CO35*IF(VLOOKUP($E35,武器奇术!$A:$R,17,FALSE)="破竹",VLOOKUP($E35,武器奇术!$A:$R,4,FALSE),VLOOKUP($E35,武器奇术!$A:$R,2,FALSE))*(1+CQ35)*(1+CR35)*CS35</f>
        <v>2139.82198300325</v>
      </c>
      <c r="DA35" s="110">
        <f t="shared" si="29"/>
        <v>0.00928814000000003</v>
      </c>
      <c r="DB35" s="113">
        <f t="shared" si="30"/>
        <v>3488.5707519066</v>
      </c>
      <c r="DC35" s="108">
        <f t="shared" si="31"/>
        <v>69.3</v>
      </c>
      <c r="DD35" s="99">
        <f>(DC35+DE35)*IF(VLOOKUP($E35,武器奇术!$A:$Z,21,FALSE)=1,$G$15,0.5)</f>
        <v>69.3</v>
      </c>
      <c r="DE35" s="109">
        <f t="shared" si="32"/>
        <v>69.3</v>
      </c>
      <c r="DF35" s="110">
        <f>IF(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R,18,FALSE)=1,4,0)+IF(VLOOKUP($E35,武器奇术!$A:$S,19,FALSE)=1,20,0)-VLOOKUP($F$7,目标属性!$A:$R,6,FALSE))/100)</f>
        <v>0.025</v>
      </c>
      <c r="DG35" s="111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U,21,FALSE)=1,0,0.09)</f>
        <v>0.235</v>
      </c>
      <c r="DH35" s="109">
        <v>1</v>
      </c>
      <c r="DI35" s="112">
        <f>DC35*IF(VLOOKUP($E35,武器奇术!$A:$R,17,FALSE)="破竹",VLOOKUP($E35,武器奇术!$A:$R,4,FALSE),VLOOKUP($E35,武器奇术!$A:$R,2,FALSE))*(1+DF35)*(1+DG35)*DH35</f>
        <v>169.42355805375</v>
      </c>
      <c r="DJ35" s="110">
        <f>(1-IF(VLOOKUP($E35,武器奇术!$A:$T,20,FALSE)=1,1,$N35))*(1-$M35)</f>
        <v>0.01072666</v>
      </c>
      <c r="DK35" s="112">
        <f>DD35*IF(VLOOKUP($E35,武器奇术!$A:$R,17,FALSE)="破竹",VLOOKUP($E35,武器奇术!$A:$R,4,FALSE),VLOOKUP($E35,武器奇术!$A:$R,2,FALSE))*(1+DF35)*(1+DG35)*DH35*(1+$E$16+VLOOKUP($E35,武器奇术!$A:$R,8,FALSE))</f>
        <v>277.85463520815</v>
      </c>
      <c r="DL35" s="110">
        <f t="shared" si="33"/>
        <v>0.8813852</v>
      </c>
      <c r="DM35" s="112">
        <f>DE35*IF(VLOOKUP($E35,武器奇术!$A:$R,17,FALSE)="破竹",VLOOKUP($E35,武器奇术!$A:$R,4,FALSE),VLOOKUP($E35,武器奇术!$A:$R,2,FALSE))*(1+DF35)*(1+DG35)*DH35*(1+$E$17+VLOOKUP($E35,武器奇术!$A:$R,10,FALSE))</f>
        <v>228.721803372562</v>
      </c>
      <c r="DN35" s="110">
        <f t="shared" si="34"/>
        <v>0.0986</v>
      </c>
      <c r="DO35" s="112">
        <f>DD35*IF(VLOOKUP($E35,武器奇术!$A:$R,17,FALSE)="破竹",VLOOKUP($E35,武器奇术!$A:$R,4,FALSE),VLOOKUP($E35,武器奇术!$A:$R,2,FALSE))*(1+DF35)*(1+DG35)*DH35</f>
        <v>169.42355805375</v>
      </c>
      <c r="DP35" s="110">
        <f t="shared" si="35"/>
        <v>0.00928814000000003</v>
      </c>
      <c r="DQ35" s="113">
        <f t="shared" si="36"/>
        <v>270.839911666131</v>
      </c>
    </row>
    <row r="36" spans="2:121">
      <c r="B36" s="127"/>
      <c r="C36" s="128"/>
      <c r="D36" s="129"/>
      <c r="E36" s="98" t="str">
        <f>期望!E36</f>
        <v>鹰隼追击(拳甲)</v>
      </c>
      <c r="F36" s="99">
        <f>期望!F36</f>
        <v>1</v>
      </c>
      <c r="G36" s="115"/>
      <c r="H36" s="100">
        <f>IF(VLOOKUP($E36,武器奇术!$A:$R,18,FALSE)="天工",AE36,(AE36+AT36+BI36+BX36+CM36+DB36+DQ36))*(1+J36)*F36*K36*(1+G36)</f>
        <v>48730.8266125615</v>
      </c>
      <c r="I36" s="101">
        <f t="shared" si="0"/>
        <v>0.00601644984731181</v>
      </c>
      <c r="J36" s="116">
        <f>$F$3+VLOOKUP($E36,武器奇术!$A:$R,12,FALSE)+VLOOKUP($E36,武器奇术!$A:$R,14,FALSE)*$G$3+$P36+IF($F$21="√",5%,0)</f>
        <v>0.823</v>
      </c>
      <c r="K36" s="102">
        <f>VLOOKUP($E36,武器奇术!$A:$R,11,FALSE)</f>
        <v>1</v>
      </c>
      <c r="L36" s="117">
        <f>IF(VLOOKUP($E36,武器奇术!$A:$R,15,FALSE)="天工",0%,IF($C$17+VLOOKUP($E36,武器奇术!$A:$R,7,FALSE)&gt;80%,80%,$C$17+VLOOKUP($E36,武器奇术!$A:$R,7,FALSE))+IF($C$19&gt;20%,20%,$C$19))</f>
        <v>0.892</v>
      </c>
      <c r="M36" s="118">
        <f>IF(VLOOKUP($E36,武器奇术!$A:$R,15,FALSE)="天工",0%,IF($C$18+VLOOKUP($E36,武器奇术!$A:$R,9,FALSE)&gt;40%,40%,$C$18+VLOOKUP($E36,武器奇术!$A:$R,9,FALSE))+IF($C$20&gt;10%,10%,$C$20))</f>
        <v>0.0986</v>
      </c>
      <c r="N36" s="119">
        <f>IF(VLOOKUP($E36,武器奇术!$A:$R,15,FALSE)="天工",100%,MIN($C$16,1))</f>
        <v>0.9881</v>
      </c>
      <c r="O36" s="120" t="str">
        <f>VLOOKUP($E36,武器奇术!$A:$R,16,FALSE)</f>
        <v>拳甲</v>
      </c>
      <c r="P36" s="121">
        <f t="shared" si="37"/>
        <v>0.17</v>
      </c>
      <c r="Q36" s="108">
        <f>$B$5*(1+VLOOKUP($E36,武器奇术!$A:$R,5,FALSE)+IF($G$5="飞隼",0.1,0)+IF($G$5="撼天",0.05,0))-$F$9+IF($I$5="√",160,0)</f>
        <v>1731.135</v>
      </c>
      <c r="R36" s="99">
        <f>IF(VLOOKUP($E36,武器奇术!$A:$Z,20,FALSE)=1,(S36-(Q36+S36)*0.5)*($G$15-0.5)*2+(Q36+S36)*0.5,(Q36+S36)*0.5)</f>
        <v>3256.775</v>
      </c>
      <c r="S36" s="109">
        <f>MAX($C$5,$B$5)*(1+VLOOKUP($E36,武器奇术!$A:$R,5,FALSE)+IF($G$5="飞隼",0.1,0)+IF($G$5="撼天",0.05,0))-$F$9+IF($I$5="√",320,0)</f>
        <v>4782.415</v>
      </c>
      <c r="T36" s="101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U36" s="111">
        <f>$E$5+IF(VLOOKUP($E36,武器奇术!$A:$U,21,FALSE)=1,0,0.09)</f>
        <v>0.115</v>
      </c>
      <c r="V36" s="109">
        <v>1</v>
      </c>
      <c r="W36" s="112">
        <f>Q36*VLOOKUP($E36,武器奇术!$A:$R,2,FALSE)*(1+T36)*(1+U36)*V36</f>
        <v>5595.154346628</v>
      </c>
      <c r="X36" s="110">
        <f>(1-IF(VLOOKUP($E36,武器奇术!$A:$T,20,FALSE)=1,1,$N36))*(1-$M36)</f>
        <v>0.01072666</v>
      </c>
      <c r="Y36" s="112">
        <f>R36*VLOOKUP($E36,武器奇术!$A:$R,2,FALSE)*(1+T36)*(1+U36)*V36*(1+$E$16+VLOOKUP($E36,武器奇术!$A:$R,8,FALSE))</f>
        <v>20420.6997528468</v>
      </c>
      <c r="Z36" s="110">
        <f t="shared" si="1"/>
        <v>0.8813852</v>
      </c>
      <c r="AA36" s="112">
        <f>S36*VLOOKUP($E36,武器奇术!$A:$R,2,FALSE)*(1+T36)*(1+U36)*V36*(1+$E$17+VLOOKUP($E36,武器奇术!$A:$R,10,FALSE))</f>
        <v>20867.1031437462</v>
      </c>
      <c r="AB36" s="110">
        <f t="shared" si="2"/>
        <v>0.0986</v>
      </c>
      <c r="AC36" s="112">
        <f>R36*VLOOKUP($E36,武器奇术!$A:$R,2,FALSE)*(1+T36)*(1+U36)*V36</f>
        <v>10526.13389322</v>
      </c>
      <c r="AD36" s="110">
        <f t="shared" si="3"/>
        <v>0.00928814000000003</v>
      </c>
      <c r="AE36" s="113">
        <f t="shared" si="4"/>
        <v>20213.784429359</v>
      </c>
      <c r="AF36" s="114">
        <f>VLOOKUP($E36,武器奇术!$A:$R,3,FALSE)*(1+IF(VLOOKUP($E36,武器奇术!$A:$R,15,FALSE)="武器",$E$15,0))</f>
        <v>0</v>
      </c>
      <c r="AG36" s="112">
        <f t="shared" si="5"/>
        <v>0</v>
      </c>
      <c r="AH36" s="112">
        <f>VLOOKUP($E36,武器奇术!$A:$R,3,FALSE)*(1+IF(VLOOKUP($E36,武器奇术!$A:$R,15,FALSE)="武器",$E$15,0))</f>
        <v>0</v>
      </c>
      <c r="AI36" s="101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0.342</v>
      </c>
      <c r="AJ36" s="111">
        <f>$E$5+IF(VLOOKUP($E36,武器奇术!$A:$U,21,FALSE)=1,0,0.09)</f>
        <v>0.115</v>
      </c>
      <c r="AK36" s="109">
        <v>1</v>
      </c>
      <c r="AL36" s="112">
        <f t="shared" si="6"/>
        <v>0</v>
      </c>
      <c r="AM36" s="110">
        <f>(1-IF(VLOOKUP($E36,武器奇术!$A:$T,20,FALSE)=1,1,$N36))*(1-$M36)</f>
        <v>0.01072666</v>
      </c>
      <c r="AN36" s="112">
        <f>AG36*(1+AI36)*(1+AJ36)*AK36*(1+$E$16+VLOOKUP($E36,武器奇术!$A:$R,8,FALSE))</f>
        <v>0</v>
      </c>
      <c r="AO36" s="110">
        <f t="shared" si="7"/>
        <v>0.8813852</v>
      </c>
      <c r="AP36" s="112">
        <f>AH36*(1+AI36)*(1+AJ36)*AK36*(1+$E$17+VLOOKUP($E36,武器奇术!$A:$R,10,FALSE))</f>
        <v>0</v>
      </c>
      <c r="AQ36" s="110">
        <f t="shared" si="8"/>
        <v>0.0986</v>
      </c>
      <c r="AR36" s="112">
        <f t="shared" si="9"/>
        <v>0</v>
      </c>
      <c r="AS36" s="110">
        <f t="shared" si="10"/>
        <v>0.00928814000000003</v>
      </c>
      <c r="AT36" s="113">
        <f t="shared" si="11"/>
        <v>0</v>
      </c>
      <c r="AU36" s="108">
        <f>$B$7*IF($G$5="撼天",1.05,1)+IF(AND(VLOOKUP($E36,武器奇术!$A:$R,15,FALSE)="武器",VLOOKUP($E36,武器奇术!$A:$R,17,FALSE)="鸣金"),$E$3,0)*(1+$E$15)</f>
        <v>0</v>
      </c>
      <c r="AV36" s="99">
        <f>(AU36+AW36)*IF(VLOOKUP($E36,武器奇术!$A:$Z,21,FALSE)=1,$G$15,0.5)</f>
        <v>0</v>
      </c>
      <c r="AW36" s="109">
        <f>MAX($C$7*IF($G$5="撼天",1.05,1)+IF(AND(VLOOKUP($E36,武器奇术!$A:$R,15,FALSE)="武器",VLOOKUP($E36,武器奇术!$A:$R,17,FALSE)="鸣金"),$E$3*(1+$E$15),0),AU36)</f>
        <v>0</v>
      </c>
      <c r="AX36" s="110">
        <f>IF(($D$7+IF(VLOOKUP($E36,武器奇术!$A:$R,17,FALSE)="鸣金",$D$15,0)+IF(VLOOKUP($E36,武器奇术!$A:$R,18,FALSE)=1,4,0)+IF(VLOOKUP($E36,武器奇术!$A:$S,19,FALSE)=1,20,0)-VLOOKUP($F$7,目标属性!$A:$R,6,FALSE))&gt;0,($D$7+IF(VLOOKUP($E36,武器奇术!$A:$R,17,FALSE)="鸣金",$D$15,0)+IF(VLOOKUP($E36,武器奇术!$A:$R,18,FALSE)=1,4,0)+IF(VLOOKUP($E36,武器奇术!$A:$S,19,FALSE)=1,20,0)-VLOOKUP($F$7,目标属性!$A:$R,6,FALSE))/200,($D$7+IF(VLOOKUP($E36,武器奇术!$A:$R,17,FALSE)="鸣金",$D$15,0)+IF(VLOOKUP($E36,武器奇术!$A:$R,18,FALSE)=1,4,0)+IF(VLOOKUP($E36,武器奇术!$A:$S,19,FALSE)=1,20,0)-VLOOKUP($F$7,目标属性!$A:$R,6,FALSE))/100)</f>
        <v>0</v>
      </c>
      <c r="AY36" s="111">
        <f t="shared" si="12"/>
        <v>0</v>
      </c>
      <c r="AZ36" s="109">
        <v>1</v>
      </c>
      <c r="BA36" s="112">
        <f>AU36*IF(VLOOKUP($E36,武器奇术!$A:$R,17,FALSE)="鸣金",VLOOKUP($E36,武器奇术!$A:$R,4,FALSE),VLOOKUP($E36,武器奇术!$A:$R,2,FALSE))*(1+AX36)*(1+AY36)*AZ36</f>
        <v>0</v>
      </c>
      <c r="BB36" s="110">
        <f>(1-IF(VLOOKUP($E36,武器奇术!$A:$T,20,FALSE)=1,1,$N36))*(1-$M36)</f>
        <v>0.01072666</v>
      </c>
      <c r="BC36" s="112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10">
        <f t="shared" si="13"/>
        <v>0.8813852</v>
      </c>
      <c r="BE36" s="112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10">
        <f t="shared" si="14"/>
        <v>0.0986</v>
      </c>
      <c r="BG36" s="112">
        <f>AV36*IF(VLOOKUP($E36,武器奇术!$A:$R,17,FALSE)="鸣金",VLOOKUP($E36,武器奇术!$A:$R,4,FALSE),VLOOKUP($E36,武器奇术!$A:$R,2,FALSE))*(1+AX36)*(1+AY36)*AZ36</f>
        <v>0</v>
      </c>
      <c r="BH36" s="110">
        <f t="shared" si="15"/>
        <v>0.00928814000000003</v>
      </c>
      <c r="BI36" s="113">
        <f t="shared" si="16"/>
        <v>0</v>
      </c>
      <c r="BJ36" s="108">
        <f>$B$9*IF($G$5="撼天",1.05,1)+IF(AND(VLOOKUP($E36,武器奇术!$A:$R,15,FALSE)="武器",VLOOKUP($E36,武器奇术!$A:$R,17,FALSE)="裂石"),$E$3,0)*(1+$E$15)</f>
        <v>0</v>
      </c>
      <c r="BK36" s="99">
        <f>(BJ36+BL36)*IF(VLOOKUP($E36,武器奇术!$A:$Z,21,FALSE)=1,$G$15,0.5)</f>
        <v>0</v>
      </c>
      <c r="BL36" s="109">
        <f>MAX($C$9*IF($G$5="撼天",1.05,1)+IF(AND(VLOOKUP($E36,武器奇术!$A:$R,15,FALSE)="武器",VLOOKUP($E36,武器奇术!$A:$R,17,FALSE)="裂石"),$E$3*(1+$E$15),0),BJ36)</f>
        <v>0</v>
      </c>
      <c r="BM36" s="110">
        <f>IF(($D$9+IF(VLOOKUP($E36,武器奇术!$A:$R,17,FALSE)="裂石",$D$15,0)+IF(VLOOKUP($E36,武器奇术!$A:$R,18,FALSE)=1,4,0)+IF(VLOOKUP($E36,武器奇术!$A:$S,19,FALSE)=1,20,0)-VLOOKUP($F$7,目标属性!$A:$R,6,FALSE))&gt;0,($D$9+IF(VLOOKUP($E36,武器奇术!$A:$R,17,FALSE)="裂石",$D$15,0)+IF(VLOOKUP($E36,武器奇术!$A:$R,18,FALSE)=1,4,0)+IF(VLOOKUP($E36,武器奇术!$A:$S,19,FALSE)=1,20,0)-VLOOKUP($F$7,目标属性!$A:$R,6,FALSE))/200,($D$9+IF(VLOOKUP($E36,武器奇术!$A:$R,17,FALSE)="裂石",$D$15,0)+IF(VLOOKUP($E36,武器奇术!$A:$R,18,FALSE)=1,4,0)+IF(VLOOKUP($E36,武器奇术!$A:$S,19,FALSE)=1,20,0)-VLOOKUP($F$7,目标属性!$A:$R,6,FALSE))/100)</f>
        <v>0</v>
      </c>
      <c r="BN36" s="111">
        <f t="shared" si="17"/>
        <v>0</v>
      </c>
      <c r="BO36" s="109">
        <v>1</v>
      </c>
      <c r="BP36" s="112">
        <f>BJ36*IF(VLOOKUP($E36,武器奇术!$A:$R,17,FALSE)="裂石",VLOOKUP($E36,武器奇术!$A:$R,4,FALSE),VLOOKUP($E36,武器奇术!$A:$R,2,FALSE))*(1+BM36)*(1+BN36)*BO36</f>
        <v>0</v>
      </c>
      <c r="BQ36" s="110">
        <f>(1-IF(VLOOKUP($E36,武器奇术!$A:$T,20,FALSE)=1,1,$N36))*(1-$M36)</f>
        <v>0.01072666</v>
      </c>
      <c r="BR36" s="112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10">
        <f t="shared" si="18"/>
        <v>0.8813852</v>
      </c>
      <c r="BT36" s="112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10">
        <f t="shared" si="19"/>
        <v>0.0986</v>
      </c>
      <c r="BV36" s="112">
        <f>BK36*IF(VLOOKUP($E36,武器奇术!$A:$R,17,FALSE)="裂石",VLOOKUP($E36,武器奇术!$A:$R,4,FALSE),VLOOKUP($E36,武器奇术!$A:$R,2,FALSE))*(1+BM36)*(1+BN36)*BO36</f>
        <v>0</v>
      </c>
      <c r="BW36" s="110">
        <f t="shared" si="20"/>
        <v>0.00928814000000003</v>
      </c>
      <c r="BX36" s="113">
        <f t="shared" si="21"/>
        <v>0</v>
      </c>
      <c r="BY36" s="108">
        <f>$B$11*IF($G$5="撼天",1.05,1)+IF(AND(VLOOKUP($E36,武器奇术!$A:$R,15,FALSE)="武器",VLOOKUP($E36,武器奇术!$A:$R,17,FALSE)="牵丝"),$E$3,0)*(1+$E$15)</f>
        <v>0</v>
      </c>
      <c r="BZ36" s="99">
        <f>(BY36+CA36)*IF(VLOOKUP($E36,武器奇术!$A:$Z,21,FALSE)=1,$G$15,0.5)</f>
        <v>0</v>
      </c>
      <c r="CA36" s="109">
        <f>MAX($C$11*IF($G$5="撼天",1.05,1)+IF(AND(VLOOKUP($E36,武器奇术!$A:$R,15,FALSE)="武器",VLOOKUP($E36,武器奇术!$A:$R,17,FALSE)="牵丝"),$E$3*(1+$E$15),0),BY36)</f>
        <v>0</v>
      </c>
      <c r="CB36" s="110">
        <f>IF(($D$11+IF(VLOOKUP($E36,武器奇术!$A:$R,17,FALSE)="牵丝",$D$15,0)+IF(VLOOKUP($E36,武器奇术!$A:$R,18,FALSE)=1,4,0)+IF(VLOOKUP($E36,武器奇术!$A:$S,19,FALSE)=1,20,0)-VLOOKUP($F$7,目标属性!$A:$R,6,FALSE))&gt;0,($D$11+IF(VLOOKUP($E36,武器奇术!$A:$R,17,FALSE)="牵丝",$D$15,0)+IF(VLOOKUP($E36,武器奇术!$A:$R,18,FALSE)=1,4,0)+IF(VLOOKUP($E36,武器奇术!$A:$S,19,FALSE)=1,20,0)-VLOOKUP($F$7,目标属性!$A:$R,6,FALSE))/200,($D$11+IF(VLOOKUP($E36,武器奇术!$A:$R,17,FALSE)="牵丝",$D$15,0)+IF(VLOOKUP($E36,武器奇术!$A:$R,18,FALSE)=1,4,0)+IF(VLOOKUP($E36,武器奇术!$A:$S,19,FALSE)=1,20,0)-VLOOKUP($F$7,目标属性!$A:$R,6,FALSE))/100)</f>
        <v>0</v>
      </c>
      <c r="CC36" s="111">
        <f t="shared" si="22"/>
        <v>0</v>
      </c>
      <c r="CD36" s="109">
        <v>1</v>
      </c>
      <c r="CE36" s="112">
        <f>BY36*IF(VLOOKUP($E36,武器奇术!$A:$R,17,FALSE)="牵丝",VLOOKUP($E36,武器奇术!$A:$R,4,FALSE),VLOOKUP($E36,武器奇术!$A:$R,2,FALSE))*(1+CB36)*(1+CC36)*CD36</f>
        <v>0</v>
      </c>
      <c r="CF36" s="110">
        <f>(1-IF(VLOOKUP($E36,武器奇术!$A:$T,20,FALSE)=1,1,$N36))*(1-$M36)</f>
        <v>0.01072666</v>
      </c>
      <c r="CG36" s="112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110">
        <f t="shared" si="23"/>
        <v>0.8813852</v>
      </c>
      <c r="CI36" s="112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110">
        <f t="shared" si="24"/>
        <v>0.0986</v>
      </c>
      <c r="CK36" s="112">
        <f>BZ36*IF(VLOOKUP($E36,武器奇术!$A:$R,17,FALSE)="牵丝",VLOOKUP($E36,武器奇术!$A:$R,4,FALSE),VLOOKUP($E36,武器奇术!$A:$R,2,FALSE))*(1+CB36)*(1+CC36)*CD36</f>
        <v>0</v>
      </c>
      <c r="CL36" s="110">
        <f t="shared" si="25"/>
        <v>0.00928814000000003</v>
      </c>
      <c r="CM36" s="113">
        <f t="shared" si="26"/>
        <v>0</v>
      </c>
      <c r="CN36" s="108">
        <f>$B$13*IF($G$5="撼天",1.05,1)+IF(AND(VLOOKUP($E36,武器奇术!$A:$R,15,FALSE)="武器",VLOOKUP($E36,武器奇术!$A:$R,17,FALSE)="破竹"),$E$3,0)*(1+$E$15)</f>
        <v>452.55</v>
      </c>
      <c r="CO36" s="99">
        <f>(CN36+CP36)*IF(VLOOKUP($E36,武器奇术!$A:$Z,21,FALSE)=1,$G$15,0.5)</f>
        <v>679.35</v>
      </c>
      <c r="CP36" s="109">
        <f>MAX($C$13*IF($G$5="撼天",1.05,1)+IF(AND(VLOOKUP($E36,武器奇术!$A:$R,15,FALSE)="武器",VLOOKUP($E36,武器奇术!$A:$R,17,FALSE)="破竹"),$E$3*(1+$E$15),0),CN36)</f>
        <v>906.15</v>
      </c>
      <c r="CQ36" s="110">
        <f>IF(($D$13+IF(VLOOKUP($E36,武器奇术!$A:$R,17,FALSE)="破竹",$D$15,0)+IF(VLOOKUP($E36,武器奇术!$A:$R,18,FALSE)=1,4,0)+IF(VLOOKUP($E36,武器奇术!$A:$S,19,FALSE)=1,20,0)-VLOOKUP($F$7,目标属性!$A:$R,6,FALSE))&gt;0,($D$13+IF(VLOOKUP($E36,武器奇术!$A:$R,17,FALSE)="破竹",$D$15,0)+IF(VLOOKUP($E36,武器奇术!$A:$R,18,FALSE)=1,4,0)+IF(VLOOKUP($E36,武器奇术!$A:$S,19,FALSE)=1,20,0)-VLOOKUP($F$7,目标属性!$A:$R,6,FALSE))/200,($D$13+IF(VLOOKUP($E36,武器奇术!$A:$R,17,FALSE)="破竹",$D$15,0)+IF(VLOOKUP($E36,武器奇术!$A:$R,18,FALSE)=1,4,0)+IF(VLOOKUP($E36,武器奇术!$A:$S,19,FALSE)=1,20,0)-VLOOKUP($F$7,目标属性!$A:$R,6,FALSE))/100)</f>
        <v>0.145</v>
      </c>
      <c r="CR36" s="111">
        <f>$E$13+IF(VLOOKUP($E36,武器奇术!$A:$U,21,FALSE)=1,0,0.09)</f>
        <v>0.235</v>
      </c>
      <c r="CS36" s="109">
        <v>1</v>
      </c>
      <c r="CT36" s="112">
        <f>CN36*IF(VLOOKUP($E36,武器奇术!$A:$R,17,FALSE)="破竹",VLOOKUP($E36,武器奇术!$A:$R,4,FALSE),VLOOKUP($E36,武器奇术!$A:$R,2,FALSE))*(1+CQ36)*(1+CR36)*CS36</f>
        <v>2073.40443765</v>
      </c>
      <c r="CU36" s="110">
        <f>(1-IF(VLOOKUP($E36,武器奇术!$A:$T,20,FALSE)=1,1,$N36))*(1-$M36)</f>
        <v>0.01072666</v>
      </c>
      <c r="CV36" s="112">
        <f>CO36*IF(VLOOKUP($E36,武器奇术!$A:$R,17,FALSE)="破竹",VLOOKUP($E36,武器奇术!$A:$R,4,FALSE),VLOOKUP($E36,武器奇术!$A:$R,2,FALSE))*(1+CQ36)*(1+CR36)*CS36*(1+$E$16+VLOOKUP($E36,武器奇术!$A:$R,8,FALSE))</f>
        <v>6038.273276217</v>
      </c>
      <c r="CW36" s="110">
        <f t="shared" si="27"/>
        <v>0.8813852</v>
      </c>
      <c r="CX36" s="112">
        <f>CP36*IF(VLOOKUP($E36,武器奇术!$A:$R,17,FALSE)="破竹",VLOOKUP($E36,武器奇术!$A:$R,4,FALSE),VLOOKUP($E36,武器奇术!$A:$R,2,FALSE))*(1+CQ36)*(1+CR36)*CS36*(1+$E$17+VLOOKUP($E36,武器奇术!$A:$R,10,FALSE))</f>
        <v>5604.6864039075</v>
      </c>
      <c r="CY36" s="110">
        <f t="shared" si="28"/>
        <v>0.0986</v>
      </c>
      <c r="CZ36" s="112">
        <f>CO36*IF(VLOOKUP($E36,武器奇术!$A:$R,17,FALSE)="破竹",VLOOKUP($E36,武器奇术!$A:$R,4,FALSE),VLOOKUP($E36,武器奇术!$A:$R,2,FALSE))*(1+CQ36)*(1+CR36)*CS36</f>
        <v>3112.51199805</v>
      </c>
      <c r="DA36" s="110">
        <f t="shared" si="29"/>
        <v>0.00928814000000003</v>
      </c>
      <c r="DB36" s="113">
        <f t="shared" si="30"/>
        <v>5925.81693027318</v>
      </c>
      <c r="DC36" s="108">
        <f t="shared" si="31"/>
        <v>69.3</v>
      </c>
      <c r="DD36" s="99">
        <f>(DC36+DE36)*IF(VLOOKUP($E36,武器奇术!$A:$Z,21,FALSE)=1,$G$15,0.5)</f>
        <v>69.3</v>
      </c>
      <c r="DE36" s="109">
        <f t="shared" si="32"/>
        <v>69.3</v>
      </c>
      <c r="DF36" s="110">
        <f>IF(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R,18,FALSE)=1,4,0)+IF(VLOOKUP($E36,武器奇术!$A:$S,19,FALSE)=1,20,0)-VLOOKUP($F$7,目标属性!$A:$R,6,FALSE))/100)</f>
        <v>0.145</v>
      </c>
      <c r="DG36" s="111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U,21,FALSE)=1,0,0.09)</f>
        <v>0.235</v>
      </c>
      <c r="DH36" s="109">
        <v>1</v>
      </c>
      <c r="DI36" s="112">
        <f>DC36*IF(VLOOKUP($E36,武器奇术!$A:$R,17,FALSE)="破竹",VLOOKUP($E36,武器奇术!$A:$R,4,FALSE),VLOOKUP($E36,武器奇术!$A:$R,2,FALSE))*(1+DF36)*(1+DG36)*DH36</f>
        <v>317.5050879</v>
      </c>
      <c r="DJ36" s="110">
        <f>(1-IF(VLOOKUP($E36,武器奇术!$A:$T,20,FALSE)=1,1,$N36))*(1-$M36)</f>
        <v>0.01072666</v>
      </c>
      <c r="DK36" s="112">
        <f>DD36*IF(VLOOKUP($E36,武器奇术!$A:$R,17,FALSE)="破竹",VLOOKUP($E36,武器奇术!$A:$R,4,FALSE),VLOOKUP($E36,武器奇术!$A:$R,2,FALSE))*(1+DF36)*(1+DG36)*DH36*(1+$E$16+VLOOKUP($E36,武器奇术!$A:$R,8,FALSE))</f>
        <v>615.959870526</v>
      </c>
      <c r="DL36" s="110">
        <f t="shared" si="33"/>
        <v>0.8813852</v>
      </c>
      <c r="DM36" s="112">
        <f>DE36*IF(VLOOKUP($E36,武器奇术!$A:$R,17,FALSE)="破竹",VLOOKUP($E36,武器奇术!$A:$R,4,FALSE),VLOOKUP($E36,武器奇术!$A:$R,2,FALSE))*(1+DF36)*(1+DG36)*DH36*(1+$E$17+VLOOKUP($E36,武器奇术!$A:$R,10,FALSE))</f>
        <v>428.631868665</v>
      </c>
      <c r="DN36" s="110">
        <f t="shared" si="34"/>
        <v>0.0986</v>
      </c>
      <c r="DO36" s="112">
        <f>DD36*IF(VLOOKUP($E36,武器奇术!$A:$R,17,FALSE)="破竹",VLOOKUP($E36,武器奇术!$A:$R,4,FALSE),VLOOKUP($E36,武器奇术!$A:$R,2,FALSE))*(1+DF36)*(1+DG36)*DH36</f>
        <v>317.5050879</v>
      </c>
      <c r="DP36" s="110">
        <f t="shared" si="35"/>
        <v>0.00928814000000003</v>
      </c>
      <c r="DQ36" s="113">
        <f t="shared" si="36"/>
        <v>591.515816759203</v>
      </c>
    </row>
    <row r="37" spans="2:121">
      <c r="B37" s="127"/>
      <c r="C37" s="128"/>
      <c r="D37" s="129"/>
      <c r="E37" s="98" t="str">
        <f>期望!E37</f>
        <v>拳甲Q二段</v>
      </c>
      <c r="F37" s="99">
        <f>期望!F37</f>
        <v>1</v>
      </c>
      <c r="G37" s="115"/>
      <c r="H37" s="100">
        <f>IF(VLOOKUP($E37,武器奇术!$A:$R,18,FALSE)="天工",AE37,(AE37+AT37+BI37+BX37+CM37+DB37+DQ37))*(1+J37)*F37*K37*(1+G37)</f>
        <v>67143.0696268726</v>
      </c>
      <c r="I37" s="101">
        <f t="shared" si="0"/>
        <v>0.00828967902014849</v>
      </c>
      <c r="J37" s="116">
        <f>$F$3+VLOOKUP($E37,武器奇术!$A:$R,12,FALSE)+VLOOKUP($E37,武器奇术!$A:$R,14,FALSE)*$G$3+$P37+IF($F$21="√",5%,0)</f>
        <v>0.823</v>
      </c>
      <c r="K37" s="102">
        <f>VLOOKUP($E37,武器奇术!$A:$R,11,FALSE)</f>
        <v>1</v>
      </c>
      <c r="L37" s="117">
        <f>IF(VLOOKUP($E37,武器奇术!$A:$R,15,FALSE)="天工",0%,IF($C$17+VLOOKUP($E37,武器奇术!$A:$R,7,FALSE)&gt;80%,80%,$C$17+VLOOKUP($E37,武器奇术!$A:$R,7,FALSE))+IF($C$19&gt;20%,20%,$C$19))</f>
        <v>0.892</v>
      </c>
      <c r="M37" s="118">
        <f>IF(VLOOKUP($E37,武器奇术!$A:$R,15,FALSE)="天工",0%,IF($C$18+VLOOKUP($E37,武器奇术!$A:$R,9,FALSE)&gt;40%,40%,$C$18+VLOOKUP($E37,武器奇术!$A:$R,9,FALSE))+IF($C$20&gt;10%,10%,$C$20))</f>
        <v>0.0986</v>
      </c>
      <c r="N37" s="119">
        <f>IF(VLOOKUP($E37,武器奇术!$A:$R,15,FALSE)="天工",100%,MIN($C$16,1))</f>
        <v>0.9881</v>
      </c>
      <c r="O37" s="120" t="str">
        <f>VLOOKUP($E37,武器奇术!$A:$R,16,FALSE)</f>
        <v>拳甲</v>
      </c>
      <c r="P37" s="121">
        <f t="shared" si="37"/>
        <v>0.17</v>
      </c>
      <c r="Q37" s="108">
        <f>$B$5*(1+VLOOKUP($E37,武器奇术!$A:$R,5,FALSE)+IF($G$5="飞隼",0.1,0)+IF($G$5="撼天",0.05,0))-$F$9+IF($I$5="√",160,0)</f>
        <v>1731.135</v>
      </c>
      <c r="R37" s="99">
        <f>IF(VLOOKUP($E37,武器奇术!$A:$Z,20,FALSE)=1,(S37-(Q37+S37)*0.5)*($G$15-0.5)*2+(Q37+S37)*0.5,(Q37+S37)*0.5)</f>
        <v>3256.775</v>
      </c>
      <c r="S37" s="109">
        <f>MAX($C$5,$B$5)*(1+VLOOKUP($E37,武器奇术!$A:$R,5,FALSE)+IF($G$5="飞隼",0.1,0)+IF($G$5="撼天",0.05,0))-$F$9+IF($I$5="√",320,0)</f>
        <v>4782.415</v>
      </c>
      <c r="T37" s="101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U37" s="111">
        <f>$E$5+IF(VLOOKUP($E37,武器奇术!$A:$U,21,FALSE)=1,0,0.09)</f>
        <v>0.115</v>
      </c>
      <c r="V37" s="109">
        <v>1</v>
      </c>
      <c r="W37" s="112">
        <f>Q37*VLOOKUP($E37,武器奇术!$A:$R,2,FALSE)*(1+T37)*(1+U37)*V37</f>
        <v>6596.6306895897</v>
      </c>
      <c r="X37" s="110">
        <f>(1-IF(VLOOKUP($E37,武器奇术!$A:$T,20,FALSE)=1,1,$N37))*(1-$M37)</f>
        <v>0.01072666</v>
      </c>
      <c r="Y37" s="112">
        <f>R37*VLOOKUP($E37,武器奇术!$A:$R,2,FALSE)*(1+T37)*(1+U37)*V37*(1+$E$16+VLOOKUP($E37,武器奇术!$A:$R,8,FALSE))</f>
        <v>24075.7995842795</v>
      </c>
      <c r="Z37" s="110">
        <f t="shared" si="1"/>
        <v>0.8813852</v>
      </c>
      <c r="AA37" s="112">
        <f>S37*VLOOKUP($E37,武器奇术!$A:$R,2,FALSE)*(1+T37)*(1+U37)*V37*(1+$E$17+VLOOKUP($E37,武器奇术!$A:$R,10,FALSE))</f>
        <v>24602.1046915048</v>
      </c>
      <c r="AB37" s="110">
        <f t="shared" si="2"/>
        <v>0.0986</v>
      </c>
      <c r="AC37" s="112">
        <f>R37*VLOOKUP($E37,武器奇术!$A:$R,2,FALSE)*(1+T37)*(1+U37)*V37</f>
        <v>12410.2059712781</v>
      </c>
      <c r="AD37" s="110">
        <f t="shared" si="3"/>
        <v>0.00928814000000003</v>
      </c>
      <c r="AE37" s="113">
        <f t="shared" si="4"/>
        <v>23831.8484993753</v>
      </c>
      <c r="AF37" s="114">
        <f>VLOOKUP($E37,武器奇术!$A:$R,3,FALSE)*(1+IF(VLOOKUP($E37,武器奇术!$A:$R,15,FALSE)="武器",$E$15,0))</f>
        <v>994.5</v>
      </c>
      <c r="AG37" s="112">
        <f t="shared" si="5"/>
        <v>994.5</v>
      </c>
      <c r="AH37" s="112">
        <f>VLOOKUP($E37,武器奇术!$A:$R,3,FALSE)*(1+IF(VLOOKUP($E37,武器奇术!$A:$R,15,FALSE)="武器",$E$15,0))</f>
        <v>994.5</v>
      </c>
      <c r="AI37" s="101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0.242</v>
      </c>
      <c r="AJ37" s="111">
        <f>$E$5+IF(VLOOKUP($E37,武器奇术!$A:$U,21,FALSE)=1,0,0.09)</f>
        <v>0.115</v>
      </c>
      <c r="AK37" s="109">
        <v>1</v>
      </c>
      <c r="AL37" s="112">
        <f t="shared" si="6"/>
        <v>1377.213435</v>
      </c>
      <c r="AM37" s="110">
        <f>(1-IF(VLOOKUP($E37,武器奇术!$A:$T,20,FALSE)=1,1,$N37))*(1-$M37)</f>
        <v>0.01072666</v>
      </c>
      <c r="AN37" s="112">
        <f>AG37*(1+AI37)*(1+AJ37)*AK37*(1+$E$16+VLOOKUP($E37,武器奇术!$A:$R,8,FALSE))</f>
        <v>2671.7940639</v>
      </c>
      <c r="AO37" s="110">
        <f t="shared" si="7"/>
        <v>0.8813852</v>
      </c>
      <c r="AP37" s="112">
        <f>AH37*(1+AI37)*(1+AJ37)*AK37*(1+$E$17+VLOOKUP($E37,武器奇术!$A:$R,10,FALSE))</f>
        <v>1859.23813725</v>
      </c>
      <c r="AQ37" s="110">
        <f t="shared" si="8"/>
        <v>0.0986</v>
      </c>
      <c r="AR37" s="112">
        <f t="shared" si="9"/>
        <v>1377.213435</v>
      </c>
      <c r="AS37" s="110">
        <f t="shared" si="10"/>
        <v>0.00928814000000003</v>
      </c>
      <c r="AT37" s="113">
        <f t="shared" si="11"/>
        <v>2565.765277161</v>
      </c>
      <c r="AU37" s="108">
        <f>$B$7*IF($G$5="撼天",1.05,1)+IF(AND(VLOOKUP($E37,武器奇术!$A:$R,15,FALSE)="武器",VLOOKUP($E37,武器奇术!$A:$R,17,FALSE)="鸣金"),$E$3,0)*(1+$E$15)</f>
        <v>0</v>
      </c>
      <c r="AV37" s="99">
        <f>(AU37+AW37)*IF(VLOOKUP($E37,武器奇术!$A:$Z,21,FALSE)=1,$G$15,0.5)</f>
        <v>0</v>
      </c>
      <c r="AW37" s="109">
        <f>MAX($C$7*IF($G$5="撼天",1.05,1)+IF(AND(VLOOKUP($E37,武器奇术!$A:$R,15,FALSE)="武器",VLOOKUP($E37,武器奇术!$A:$R,17,FALSE)="鸣金"),$E$3*(1+$E$15),0),AU37)</f>
        <v>0</v>
      </c>
      <c r="AX37" s="110">
        <f>IF(($D$7+IF(VLOOKUP($E37,武器奇术!$A:$R,17,FALSE)="鸣金",$D$15,0)+IF(VLOOKUP($E37,武器奇术!$A:$R,18,FALSE)=1,4,0)+IF(VLOOKUP($E37,武器奇术!$A:$S,19,FALSE)=1,20,0)-VLOOKUP($F$7,目标属性!$A:$R,6,FALSE))&gt;0,($D$7+IF(VLOOKUP($E37,武器奇术!$A:$R,17,FALSE)="鸣金",$D$15,0)+IF(VLOOKUP($E37,武器奇术!$A:$R,18,FALSE)=1,4,0)+IF(VLOOKUP($E37,武器奇术!$A:$S,19,FALSE)=1,20,0)-VLOOKUP($F$7,目标属性!$A:$R,6,FALSE))/200,($D$7+IF(VLOOKUP($E37,武器奇术!$A:$R,17,FALSE)="鸣金",$D$15,0)+IF(VLOOKUP($E37,武器奇术!$A:$R,18,FALSE)=1,4,0)+IF(VLOOKUP($E37,武器奇术!$A:$S,19,FALSE)=1,20,0)-VLOOKUP($F$7,目标属性!$A:$R,6,FALSE))/100)</f>
        <v>0</v>
      </c>
      <c r="AY37" s="111">
        <f t="shared" si="12"/>
        <v>0</v>
      </c>
      <c r="AZ37" s="109">
        <v>1</v>
      </c>
      <c r="BA37" s="112">
        <f>AU37*IF(VLOOKUP($E37,武器奇术!$A:$R,17,FALSE)="鸣金",VLOOKUP($E37,武器奇术!$A:$R,4,FALSE),VLOOKUP($E37,武器奇术!$A:$R,2,FALSE))*(1+AX37)*(1+AY37)*AZ37</f>
        <v>0</v>
      </c>
      <c r="BB37" s="110">
        <f>(1-IF(VLOOKUP($E37,武器奇术!$A:$T,20,FALSE)=1,1,$N37))*(1-$M37)</f>
        <v>0.01072666</v>
      </c>
      <c r="BC37" s="112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10">
        <f t="shared" si="13"/>
        <v>0.8813852</v>
      </c>
      <c r="BE37" s="112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10">
        <f t="shared" si="14"/>
        <v>0.0986</v>
      </c>
      <c r="BG37" s="112">
        <f>AV37*IF(VLOOKUP($E37,武器奇术!$A:$R,17,FALSE)="鸣金",VLOOKUP($E37,武器奇术!$A:$R,4,FALSE),VLOOKUP($E37,武器奇术!$A:$R,2,FALSE))*(1+AX37)*(1+AY37)*AZ37</f>
        <v>0</v>
      </c>
      <c r="BH37" s="110">
        <f t="shared" si="15"/>
        <v>0.00928814000000003</v>
      </c>
      <c r="BI37" s="113">
        <f t="shared" si="16"/>
        <v>0</v>
      </c>
      <c r="BJ37" s="108">
        <f>$B$9*IF($G$5="撼天",1.05,1)+IF(AND(VLOOKUP($E37,武器奇术!$A:$R,15,FALSE)="武器",VLOOKUP($E37,武器奇术!$A:$R,17,FALSE)="裂石"),$E$3,0)*(1+$E$15)</f>
        <v>0</v>
      </c>
      <c r="BK37" s="99">
        <f>(BJ37+BL37)*IF(VLOOKUP($E37,武器奇术!$A:$Z,21,FALSE)=1,$G$15,0.5)</f>
        <v>0</v>
      </c>
      <c r="BL37" s="109">
        <f>MAX($C$9*IF($G$5="撼天",1.05,1)+IF(AND(VLOOKUP($E37,武器奇术!$A:$R,15,FALSE)="武器",VLOOKUP($E37,武器奇术!$A:$R,17,FALSE)="裂石"),$E$3*(1+$E$15),0),BJ37)</f>
        <v>0</v>
      </c>
      <c r="BM37" s="110">
        <f>IF(($D$9+IF(VLOOKUP($E37,武器奇术!$A:$R,17,FALSE)="裂石",$D$15,0)+IF(VLOOKUP($E37,武器奇术!$A:$R,18,FALSE)=1,4,0)+IF(VLOOKUP($E37,武器奇术!$A:$S,19,FALSE)=1,20,0)-VLOOKUP($F$7,目标属性!$A:$R,6,FALSE))&gt;0,($D$9+IF(VLOOKUP($E37,武器奇术!$A:$R,17,FALSE)="裂石",$D$15,0)+IF(VLOOKUP($E37,武器奇术!$A:$R,18,FALSE)=1,4,0)+IF(VLOOKUP($E37,武器奇术!$A:$S,19,FALSE)=1,20,0)-VLOOKUP($F$7,目标属性!$A:$R,6,FALSE))/200,($D$9+IF(VLOOKUP($E37,武器奇术!$A:$R,17,FALSE)="裂石",$D$15,0)+IF(VLOOKUP($E37,武器奇术!$A:$R,18,FALSE)=1,4,0)+IF(VLOOKUP($E37,武器奇术!$A:$S,19,FALSE)=1,20,0)-VLOOKUP($F$7,目标属性!$A:$R,6,FALSE))/100)</f>
        <v>0</v>
      </c>
      <c r="BN37" s="111">
        <f t="shared" si="17"/>
        <v>0</v>
      </c>
      <c r="BO37" s="109">
        <v>1</v>
      </c>
      <c r="BP37" s="112">
        <f>BJ37*IF(VLOOKUP($E37,武器奇术!$A:$R,17,FALSE)="裂石",VLOOKUP($E37,武器奇术!$A:$R,4,FALSE),VLOOKUP($E37,武器奇术!$A:$R,2,FALSE))*(1+BM37)*(1+BN37)*BO37</f>
        <v>0</v>
      </c>
      <c r="BQ37" s="110">
        <f>(1-IF(VLOOKUP($E37,武器奇术!$A:$T,20,FALSE)=1,1,$N37))*(1-$M37)</f>
        <v>0.01072666</v>
      </c>
      <c r="BR37" s="112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10">
        <f t="shared" si="18"/>
        <v>0.8813852</v>
      </c>
      <c r="BT37" s="112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10">
        <f t="shared" si="19"/>
        <v>0.0986</v>
      </c>
      <c r="BV37" s="112">
        <f>BK37*IF(VLOOKUP($E37,武器奇术!$A:$R,17,FALSE)="裂石",VLOOKUP($E37,武器奇术!$A:$R,4,FALSE),VLOOKUP($E37,武器奇术!$A:$R,2,FALSE))*(1+BM37)*(1+BN37)*BO37</f>
        <v>0</v>
      </c>
      <c r="BW37" s="110">
        <f t="shared" si="20"/>
        <v>0.00928814000000003</v>
      </c>
      <c r="BX37" s="113">
        <f t="shared" si="21"/>
        <v>0</v>
      </c>
      <c r="BY37" s="108">
        <f>$B$11*IF($G$5="撼天",1.05,1)+IF(AND(VLOOKUP($E37,武器奇术!$A:$R,15,FALSE)="武器",VLOOKUP($E37,武器奇术!$A:$R,17,FALSE)="牵丝"),$E$3,0)*(1+$E$15)</f>
        <v>0</v>
      </c>
      <c r="BZ37" s="99">
        <f>(BY37+CA37)*IF(VLOOKUP($E37,武器奇术!$A:$Z,21,FALSE)=1,$G$15,0.5)</f>
        <v>0</v>
      </c>
      <c r="CA37" s="109">
        <f>MAX($C$11*IF($G$5="撼天",1.05,1)+IF(AND(VLOOKUP($E37,武器奇术!$A:$R,15,FALSE)="武器",VLOOKUP($E37,武器奇术!$A:$R,17,FALSE)="牵丝"),$E$3*(1+$E$15),0),BY37)</f>
        <v>0</v>
      </c>
      <c r="CB37" s="110">
        <f>IF(($D$11+IF(VLOOKUP($E37,武器奇术!$A:$R,17,FALSE)="牵丝",$D$15,0)+IF(VLOOKUP($E37,武器奇术!$A:$R,18,FALSE)=1,4,0)+IF(VLOOKUP($E37,武器奇术!$A:$S,19,FALSE)=1,20,0)-VLOOKUP($F$7,目标属性!$A:$R,6,FALSE))&gt;0,($D$11+IF(VLOOKUP($E37,武器奇术!$A:$R,17,FALSE)="牵丝",$D$15,0)+IF(VLOOKUP($E37,武器奇术!$A:$R,18,FALSE)=1,4,0)+IF(VLOOKUP($E37,武器奇术!$A:$S,19,FALSE)=1,20,0)-VLOOKUP($F$7,目标属性!$A:$R,6,FALSE))/200,($D$11+IF(VLOOKUP($E37,武器奇术!$A:$R,17,FALSE)="牵丝",$D$15,0)+IF(VLOOKUP($E37,武器奇术!$A:$R,18,FALSE)=1,4,0)+IF(VLOOKUP($E37,武器奇术!$A:$S,19,FALSE)=1,20,0)-VLOOKUP($F$7,目标属性!$A:$R,6,FALSE))/100)</f>
        <v>0</v>
      </c>
      <c r="CC37" s="111">
        <f t="shared" si="22"/>
        <v>0</v>
      </c>
      <c r="CD37" s="109">
        <v>1</v>
      </c>
      <c r="CE37" s="112">
        <f>BY37*IF(VLOOKUP($E37,武器奇术!$A:$R,17,FALSE)="牵丝",VLOOKUP($E37,武器奇术!$A:$R,4,FALSE),VLOOKUP($E37,武器奇术!$A:$R,2,FALSE))*(1+CB37)*(1+CC37)*CD37</f>
        <v>0</v>
      </c>
      <c r="CF37" s="110">
        <f>(1-IF(VLOOKUP($E37,武器奇术!$A:$T,20,FALSE)=1,1,$N37))*(1-$M37)</f>
        <v>0.01072666</v>
      </c>
      <c r="CG37" s="112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110">
        <f t="shared" si="23"/>
        <v>0.8813852</v>
      </c>
      <c r="CI37" s="112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110">
        <f t="shared" si="24"/>
        <v>0.0986</v>
      </c>
      <c r="CK37" s="112">
        <f>BZ37*IF(VLOOKUP($E37,武器奇术!$A:$R,17,FALSE)="牵丝",VLOOKUP($E37,武器奇术!$A:$R,4,FALSE),VLOOKUP($E37,武器奇术!$A:$R,2,FALSE))*(1+CB37)*(1+CC37)*CD37</f>
        <v>0</v>
      </c>
      <c r="CL37" s="110">
        <f t="shared" si="25"/>
        <v>0.00928814000000003</v>
      </c>
      <c r="CM37" s="113">
        <f t="shared" si="26"/>
        <v>0</v>
      </c>
      <c r="CN37" s="108">
        <f>$B$13*IF($G$5="撼天",1.05,1)+IF(AND(VLOOKUP($E37,武器奇术!$A:$R,15,FALSE)="武器",VLOOKUP($E37,武器奇术!$A:$R,17,FALSE)="破竹"),$E$3,0)*(1+$E$15)</f>
        <v>648.46</v>
      </c>
      <c r="CO37" s="99">
        <f>(CN37+CP37)*IF(VLOOKUP($E37,武器奇术!$A:$Z,21,FALSE)=1,$G$15,0.5)</f>
        <v>875.26</v>
      </c>
      <c r="CP37" s="109">
        <f>MAX($C$13*IF($G$5="撼天",1.05,1)+IF(AND(VLOOKUP($E37,武器奇术!$A:$R,15,FALSE)="武器",VLOOKUP($E37,武器奇术!$A:$R,17,FALSE)="破竹"),$E$3*(1+$E$15),0),CN37)</f>
        <v>1102.06</v>
      </c>
      <c r="CQ37" s="110">
        <f>IF(($D$13+IF(VLOOKUP($E37,武器奇术!$A:$R,17,FALSE)="破竹",$D$15,0)+IF(VLOOKUP($E37,武器奇术!$A:$R,18,FALSE)=1,4,0)+IF(VLOOKUP($E37,武器奇术!$A:$S,19,FALSE)=1,20,0)-VLOOKUP($F$7,目标属性!$A:$R,6,FALSE))&gt;0,($D$13+IF(VLOOKUP($E37,武器奇术!$A:$R,17,FALSE)="破竹",$D$15,0)+IF(VLOOKUP($E37,武器奇术!$A:$R,18,FALSE)=1,4,0)+IF(VLOOKUP($E37,武器奇术!$A:$S,19,FALSE)=1,20,0)-VLOOKUP($F$7,目标属性!$A:$R,6,FALSE))/200,($D$13+IF(VLOOKUP($E37,武器奇术!$A:$R,17,FALSE)="破竹",$D$15,0)+IF(VLOOKUP($E37,武器奇术!$A:$R,18,FALSE)=1,4,0)+IF(VLOOKUP($E37,武器奇术!$A:$S,19,FALSE)=1,20,0)-VLOOKUP($F$7,目标属性!$A:$R,6,FALSE))/100)</f>
        <v>0.145</v>
      </c>
      <c r="CR37" s="111">
        <f>$E$13+IF(VLOOKUP($E37,武器奇术!$A:$U,21,FALSE)=1,0,0.09)</f>
        <v>0.235</v>
      </c>
      <c r="CS37" s="109">
        <v>1</v>
      </c>
      <c r="CT37" s="112">
        <f>CN37*IF(VLOOKUP($E37,武器奇术!$A:$R,17,FALSE)="破竹",VLOOKUP($E37,武器奇术!$A:$R,4,FALSE),VLOOKUP($E37,武器奇术!$A:$R,2,FALSE))*(1+CQ37)*(1+CR37)*CS37</f>
        <v>3785.03652247812</v>
      </c>
      <c r="CU37" s="110">
        <f>(1-IF(VLOOKUP($E37,武器奇术!$A:$T,20,FALSE)=1,1,$N37))*(1-$M37)</f>
        <v>0.01072666</v>
      </c>
      <c r="CV37" s="112">
        <f>CO37*IF(VLOOKUP($E37,武器奇术!$A:$R,17,FALSE)="破竹",VLOOKUP($E37,武器奇术!$A:$R,4,FALSE),VLOOKUP($E37,武器奇术!$A:$R,2,FALSE))*(1+CQ37)*(1+CR37)*CS37*(1+$E$16+VLOOKUP($E37,武器奇术!$A:$R,8,FALSE))</f>
        <v>9911.18753558978</v>
      </c>
      <c r="CW37" s="110">
        <f t="shared" si="27"/>
        <v>0.8813852</v>
      </c>
      <c r="CX37" s="112">
        <f>CP37*IF(VLOOKUP($E37,武器奇术!$A:$R,17,FALSE)="破竹",VLOOKUP($E37,武器奇术!$A:$R,4,FALSE),VLOOKUP($E37,武器奇术!$A:$R,2,FALSE))*(1+CQ37)*(1+CR37)*CS37*(1+$E$17+VLOOKUP($E37,武器奇术!$A:$R,10,FALSE))</f>
        <v>8684.12149160938</v>
      </c>
      <c r="CY37" s="110">
        <f t="shared" si="28"/>
        <v>0.0986</v>
      </c>
      <c r="CZ37" s="112">
        <f>CO37*IF(VLOOKUP($E37,武器奇术!$A:$R,17,FALSE)="破竹",VLOOKUP($E37,武器奇术!$A:$R,4,FALSE),VLOOKUP($E37,武器奇术!$A:$R,2,FALSE))*(1+CQ37)*(1+CR37)*CS37</f>
        <v>5108.85955442772</v>
      </c>
      <c r="DA37" s="110">
        <f t="shared" si="29"/>
        <v>0.00928814000000003</v>
      </c>
      <c r="DB37" s="113">
        <f t="shared" si="30"/>
        <v>9679.88099001206</v>
      </c>
      <c r="DC37" s="108">
        <f t="shared" si="31"/>
        <v>69.3</v>
      </c>
      <c r="DD37" s="99">
        <f>(DC37+DE37)*IF(VLOOKUP($E37,武器奇术!$A:$Z,21,FALSE)=1,$G$15,0.5)</f>
        <v>69.3</v>
      </c>
      <c r="DE37" s="109">
        <f t="shared" si="32"/>
        <v>69.3</v>
      </c>
      <c r="DF37" s="110">
        <f>IF(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R,18,FALSE)=1,4,0)+IF(VLOOKUP($E37,武器奇术!$A:$S,19,FALSE)=1,20,0)-VLOOKUP($F$7,目标属性!$A:$R,6,FALSE))/100)</f>
        <v>0.145</v>
      </c>
      <c r="DG37" s="111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U,21,FALSE)=1,0,0.09)</f>
        <v>0.235</v>
      </c>
      <c r="DH37" s="109">
        <v>1</v>
      </c>
      <c r="DI37" s="112">
        <f>DC37*IF(VLOOKUP($E37,武器奇术!$A:$R,17,FALSE)="破竹",VLOOKUP($E37,武器奇术!$A:$R,4,FALSE),VLOOKUP($E37,武器奇术!$A:$R,2,FALSE))*(1+DF37)*(1+DG37)*DH37</f>
        <v>404.5014819846</v>
      </c>
      <c r="DJ37" s="110">
        <f>(1-IF(VLOOKUP($E37,武器奇术!$A:$T,20,FALSE)=1,1,$N37))*(1-$M37)</f>
        <v>0.01072666</v>
      </c>
      <c r="DK37" s="112">
        <f>DD37*IF(VLOOKUP($E37,武器奇术!$A:$R,17,FALSE)="破竹",VLOOKUP($E37,武器奇术!$A:$R,4,FALSE),VLOOKUP($E37,武器奇术!$A:$R,2,FALSE))*(1+DF37)*(1+DG37)*DH37*(1+$E$16+VLOOKUP($E37,武器奇术!$A:$R,8,FALSE))</f>
        <v>784.732875050124</v>
      </c>
      <c r="DL37" s="110">
        <f t="shared" si="33"/>
        <v>0.8813852</v>
      </c>
      <c r="DM37" s="112">
        <f>DE37*IF(VLOOKUP($E37,武器奇术!$A:$R,17,FALSE)="破竹",VLOOKUP($E37,武器奇术!$A:$R,4,FALSE),VLOOKUP($E37,武器奇术!$A:$R,2,FALSE))*(1+DF37)*(1+DG37)*DH37*(1+$E$17+VLOOKUP($E37,武器奇术!$A:$R,10,FALSE))</f>
        <v>546.07700067921</v>
      </c>
      <c r="DN37" s="110">
        <f t="shared" si="34"/>
        <v>0.0986</v>
      </c>
      <c r="DO37" s="112">
        <f>DD37*IF(VLOOKUP($E37,武器奇术!$A:$R,17,FALSE)="破竹",VLOOKUP($E37,武器奇术!$A:$R,4,FALSE),VLOOKUP($E37,武器奇术!$A:$R,2,FALSE))*(1+DF37)*(1+DG37)*DH37</f>
        <v>404.5014819846</v>
      </c>
      <c r="DP37" s="110">
        <f t="shared" si="35"/>
        <v>0.00928814000000003</v>
      </c>
      <c r="DQ37" s="113">
        <f t="shared" si="36"/>
        <v>753.591150551224</v>
      </c>
    </row>
    <row r="38" spans="2:121">
      <c r="B38" s="127"/>
      <c r="C38" s="128"/>
      <c r="D38" s="129"/>
      <c r="E38" s="98" t="str">
        <f>期望!E38</f>
        <v>拳甲普攻56</v>
      </c>
      <c r="F38" s="99">
        <f>期望!F38</f>
        <v>1</v>
      </c>
      <c r="G38" s="115"/>
      <c r="H38" s="100">
        <f>IF(VLOOKUP($E38,武器奇术!$A:$R,18,FALSE)="天工",AE38,(AE38+AT38+BI38+BX38+CM38+DB38+DQ38))*(1+J38)*F38*K38*(1+G38)</f>
        <v>21940.2933760744</v>
      </c>
      <c r="I38" s="101">
        <f t="shared" si="0"/>
        <v>0.0027088125506665</v>
      </c>
      <c r="J38" s="116">
        <f>$F$3+VLOOKUP($E38,武器奇术!$A:$R,12,FALSE)+VLOOKUP($E38,武器奇术!$A:$R,14,FALSE)*$G$3+$P38+IF($F$21="√",5%,0)</f>
        <v>0.523</v>
      </c>
      <c r="K38" s="102">
        <f>VLOOKUP($E38,武器奇术!$A:$R,11,FALSE)</f>
        <v>1</v>
      </c>
      <c r="L38" s="117">
        <f>IF(VLOOKUP($E38,武器奇术!$A:$R,15,FALSE)="天工",0%,IF($C$17+VLOOKUP($E38,武器奇术!$A:$R,7,FALSE)&gt;80%,80%,$C$17+VLOOKUP($E38,武器奇术!$A:$R,7,FALSE))+IF($C$19&gt;20%,20%,$C$19))</f>
        <v>0.892</v>
      </c>
      <c r="M38" s="118">
        <f>IF(VLOOKUP($E38,武器奇术!$A:$R,15,FALSE)="天工",0%,IF($C$18+VLOOKUP($E38,武器奇术!$A:$R,9,FALSE)&gt;40%,40%,$C$18+VLOOKUP($E38,武器奇术!$A:$R,9,FALSE))+IF($C$20&gt;10%,10%,$C$20))</f>
        <v>0.0986</v>
      </c>
      <c r="N38" s="119">
        <f>IF(VLOOKUP($E38,武器奇术!$A:$R,15,FALSE)="天工",100%,MIN($C$16,1))</f>
        <v>0.9881</v>
      </c>
      <c r="O38" s="120" t="str">
        <f>VLOOKUP($E38,武器奇术!$A:$R,16,FALSE)</f>
        <v>拳甲</v>
      </c>
      <c r="P38" s="121">
        <f t="shared" si="37"/>
        <v>0.17</v>
      </c>
      <c r="Q38" s="108">
        <f>$B$5*(1+VLOOKUP($E38,武器奇术!$A:$R,5,FALSE)+IF($G$5="飞隼",0.1,0)+IF($G$5="撼天",0.05,0))-$F$9+IF($I$5="√",160,0)</f>
        <v>1731.135</v>
      </c>
      <c r="R38" s="99">
        <f>IF(VLOOKUP($E38,武器奇术!$A:$Z,20,FALSE)=1,(S38-(Q38+S38)*0.5)*($G$15-0.5)*2+(Q38+S38)*0.5,(Q38+S38)*0.5)</f>
        <v>3256.775</v>
      </c>
      <c r="S38" s="109">
        <f>MAX($C$5,$B$5)*(1+VLOOKUP($E38,武器奇术!$A:$R,5,FALSE)+IF($G$5="飞隼",0.1,0)+IF($G$5="撼天",0.05,0))-$F$9+IF($I$5="√",320,0)</f>
        <v>4782.415</v>
      </c>
      <c r="T38" s="101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U38" s="111">
        <f>$E$5+IF(VLOOKUP($E38,武器奇术!$A:$U,21,FALSE)=1,0,0.09)</f>
        <v>0.115</v>
      </c>
      <c r="V38" s="109">
        <v>1</v>
      </c>
      <c r="W38" s="112">
        <f>Q38*VLOOKUP($E38,武器奇术!$A:$R,2,FALSE)*(1+T38)*(1+U38)*V38</f>
        <v>3086.79912340758</v>
      </c>
      <c r="X38" s="110">
        <f>(1-IF(VLOOKUP($E38,武器奇术!$A:$T,20,FALSE)=1,1,$N38))*(1-$M38)</f>
        <v>0.01072666</v>
      </c>
      <c r="Y38" s="112">
        <f>R38*VLOOKUP($E38,武器奇术!$A:$R,2,FALSE)*(1+T38)*(1+U38)*V38*(1+$E$16+VLOOKUP($E38,武器奇术!$A:$R,8,FALSE))</f>
        <v>9523.77298871699</v>
      </c>
      <c r="Z38" s="110">
        <f t="shared" si="1"/>
        <v>0.8813852</v>
      </c>
      <c r="AA38" s="112">
        <f>S38*VLOOKUP($E38,武器奇术!$A:$R,2,FALSE)*(1+T38)*(1+U38)*V38*(1+$E$17+VLOOKUP($E38,武器奇术!$A:$R,10,FALSE))</f>
        <v>11512.2035428729</v>
      </c>
      <c r="AB38" s="110">
        <f t="shared" si="2"/>
        <v>0.0986</v>
      </c>
      <c r="AC38" s="112">
        <f>R38*VLOOKUP($E38,武器奇术!$A:$R,2,FALSE)*(1+T38)*(1+U38)*V38</f>
        <v>5807.1786516567</v>
      </c>
      <c r="AD38" s="110">
        <f t="shared" si="3"/>
        <v>0.00928814000000003</v>
      </c>
      <c r="AE38" s="113">
        <f t="shared" si="4"/>
        <v>9616.26476274887</v>
      </c>
      <c r="AF38" s="114">
        <f>VLOOKUP($E38,武器奇术!$A:$R,3,FALSE)*(1+IF(VLOOKUP($E38,武器奇术!$A:$R,15,FALSE)="武器",$E$15,0))</f>
        <v>465.4</v>
      </c>
      <c r="AG38" s="112">
        <f t="shared" si="5"/>
        <v>465.4</v>
      </c>
      <c r="AH38" s="112">
        <f>VLOOKUP($E38,武器奇术!$A:$R,3,FALSE)*(1+IF(VLOOKUP($E38,武器奇术!$A:$R,15,FALSE)="武器",$E$15,0))</f>
        <v>465.4</v>
      </c>
      <c r="AI38" s="101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0.242</v>
      </c>
      <c r="AJ38" s="111">
        <f>$E$5+IF(VLOOKUP($E38,武器奇术!$A:$U,21,FALSE)=1,0,0.09)</f>
        <v>0.115</v>
      </c>
      <c r="AK38" s="109">
        <v>1</v>
      </c>
      <c r="AL38" s="112">
        <f t="shared" si="6"/>
        <v>644.499882</v>
      </c>
      <c r="AM38" s="110">
        <f>(1-IF(VLOOKUP($E38,武器奇术!$A:$T,20,FALSE)=1,1,$N38))*(1-$M38)</f>
        <v>0.01072666</v>
      </c>
      <c r="AN38" s="112">
        <f>AG38*(1+AI38)*(1+AJ38)*AK38*(1+$E$16+VLOOKUP($E38,武器奇术!$A:$R,8,FALSE))</f>
        <v>1056.97980648</v>
      </c>
      <c r="AO38" s="110">
        <f t="shared" si="7"/>
        <v>0.8813852</v>
      </c>
      <c r="AP38" s="112">
        <f>AH38*(1+AI38)*(1+AJ38)*AK38*(1+$E$17+VLOOKUP($E38,武器奇术!$A:$R,10,FALSE))</f>
        <v>870.0748407</v>
      </c>
      <c r="AQ38" s="110">
        <f t="shared" si="8"/>
        <v>0.0986</v>
      </c>
      <c r="AR38" s="112">
        <f t="shared" si="9"/>
        <v>644.499882</v>
      </c>
      <c r="AS38" s="110">
        <f t="shared" si="10"/>
        <v>0.00928814000000003</v>
      </c>
      <c r="AT38" s="113">
        <f t="shared" si="11"/>
        <v>1030.29527366161</v>
      </c>
      <c r="AU38" s="108">
        <f>$B$7*IF($G$5="撼天",1.05,1)+IF(AND(VLOOKUP($E38,武器奇术!$A:$R,15,FALSE)="武器",VLOOKUP($E38,武器奇术!$A:$R,17,FALSE)="鸣金"),$E$3,0)*(1+$E$15)</f>
        <v>0</v>
      </c>
      <c r="AV38" s="99">
        <f>(AU38+AW38)*IF(VLOOKUP($E38,武器奇术!$A:$Z,21,FALSE)=1,$G$15,0.5)</f>
        <v>0</v>
      </c>
      <c r="AW38" s="109">
        <f>MAX($C$7*IF($G$5="撼天",1.05,1)+IF(AND(VLOOKUP($E38,武器奇术!$A:$R,15,FALSE)="武器",VLOOKUP($E38,武器奇术!$A:$R,17,FALSE)="鸣金"),$E$3*(1+$E$15),0),AU38)</f>
        <v>0</v>
      </c>
      <c r="AX38" s="110">
        <f>IF(($D$7+IF(VLOOKUP($E38,武器奇术!$A:$R,17,FALSE)="鸣金",$D$15,0)+IF(VLOOKUP($E38,武器奇术!$A:$R,18,FALSE)=1,4,0)+IF(VLOOKUP($E38,武器奇术!$A:$S,19,FALSE)=1,20,0)-VLOOKUP($F$7,目标属性!$A:$R,6,FALSE))&gt;0,($D$7+IF(VLOOKUP($E38,武器奇术!$A:$R,17,FALSE)="鸣金",$D$15,0)+IF(VLOOKUP($E38,武器奇术!$A:$R,18,FALSE)=1,4,0)+IF(VLOOKUP($E38,武器奇术!$A:$S,19,FALSE)=1,20,0)-VLOOKUP($F$7,目标属性!$A:$R,6,FALSE))/200,($D$7+IF(VLOOKUP($E38,武器奇术!$A:$R,17,FALSE)="鸣金",$D$15,0)+IF(VLOOKUP($E38,武器奇术!$A:$R,18,FALSE)=1,4,0)+IF(VLOOKUP($E38,武器奇术!$A:$S,19,FALSE)=1,20,0)-VLOOKUP($F$7,目标属性!$A:$R,6,FALSE))/100)</f>
        <v>-0.24</v>
      </c>
      <c r="AY38" s="111">
        <f t="shared" si="12"/>
        <v>0</v>
      </c>
      <c r="AZ38" s="109">
        <v>1</v>
      </c>
      <c r="BA38" s="112">
        <f>AU38*IF(VLOOKUP($E38,武器奇术!$A:$R,17,FALSE)="鸣金",VLOOKUP($E38,武器奇术!$A:$R,4,FALSE),VLOOKUP($E38,武器奇术!$A:$R,2,FALSE))*(1+AX38)*(1+AY38)*AZ38</f>
        <v>0</v>
      </c>
      <c r="BB38" s="110">
        <f>(1-IF(VLOOKUP($E38,武器奇术!$A:$T,20,FALSE)=1,1,$N38))*(1-$M38)</f>
        <v>0.01072666</v>
      </c>
      <c r="BC38" s="112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10">
        <f t="shared" si="13"/>
        <v>0.8813852</v>
      </c>
      <c r="BE38" s="112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10">
        <f t="shared" si="14"/>
        <v>0.0986</v>
      </c>
      <c r="BG38" s="112">
        <f>AV38*IF(VLOOKUP($E38,武器奇术!$A:$R,17,FALSE)="鸣金",VLOOKUP($E38,武器奇术!$A:$R,4,FALSE),VLOOKUP($E38,武器奇术!$A:$R,2,FALSE))*(1+AX38)*(1+AY38)*AZ38</f>
        <v>0</v>
      </c>
      <c r="BH38" s="110">
        <f t="shared" si="15"/>
        <v>0.00928814000000003</v>
      </c>
      <c r="BI38" s="113">
        <f t="shared" si="16"/>
        <v>0</v>
      </c>
      <c r="BJ38" s="108">
        <f>$B$9*IF($G$5="撼天",1.05,1)+IF(AND(VLOOKUP($E38,武器奇术!$A:$R,15,FALSE)="武器",VLOOKUP($E38,武器奇术!$A:$R,17,FALSE)="裂石"),$E$3,0)*(1+$E$15)</f>
        <v>0</v>
      </c>
      <c r="BK38" s="99">
        <f>(BJ38+BL38)*IF(VLOOKUP($E38,武器奇术!$A:$Z,21,FALSE)=1,$G$15,0.5)</f>
        <v>0</v>
      </c>
      <c r="BL38" s="109">
        <f>MAX($C$9*IF($G$5="撼天",1.05,1)+IF(AND(VLOOKUP($E38,武器奇术!$A:$R,15,FALSE)="武器",VLOOKUP($E38,武器奇术!$A:$R,17,FALSE)="裂石"),$E$3*(1+$E$15),0),BJ38)</f>
        <v>0</v>
      </c>
      <c r="BM38" s="110">
        <f>IF(($D$9+IF(VLOOKUP($E38,武器奇术!$A:$R,17,FALSE)="裂石",$D$15,0)+IF(VLOOKUP($E38,武器奇术!$A:$R,18,FALSE)=1,4,0)+IF(VLOOKUP($E38,武器奇术!$A:$S,19,FALSE)=1,20,0)-VLOOKUP($F$7,目标属性!$A:$R,6,FALSE))&gt;0,($D$9+IF(VLOOKUP($E38,武器奇术!$A:$R,17,FALSE)="裂石",$D$15,0)+IF(VLOOKUP($E38,武器奇术!$A:$R,18,FALSE)=1,4,0)+IF(VLOOKUP($E38,武器奇术!$A:$S,19,FALSE)=1,20,0)-VLOOKUP($F$7,目标属性!$A:$R,6,FALSE))/200,($D$9+IF(VLOOKUP($E38,武器奇术!$A:$R,17,FALSE)="裂石",$D$15,0)+IF(VLOOKUP($E38,武器奇术!$A:$R,18,FALSE)=1,4,0)+IF(VLOOKUP($E38,武器奇术!$A:$S,19,FALSE)=1,20,0)-VLOOKUP($F$7,目标属性!$A:$R,6,FALSE))/100)</f>
        <v>-0.24</v>
      </c>
      <c r="BN38" s="111">
        <f t="shared" si="17"/>
        <v>0</v>
      </c>
      <c r="BO38" s="109">
        <v>1</v>
      </c>
      <c r="BP38" s="112">
        <f>BJ38*IF(VLOOKUP($E38,武器奇术!$A:$R,17,FALSE)="裂石",VLOOKUP($E38,武器奇术!$A:$R,4,FALSE),VLOOKUP($E38,武器奇术!$A:$R,2,FALSE))*(1+BM38)*(1+BN38)*BO38</f>
        <v>0</v>
      </c>
      <c r="BQ38" s="110">
        <f>(1-IF(VLOOKUP($E38,武器奇术!$A:$T,20,FALSE)=1,1,$N38))*(1-$M38)</f>
        <v>0.01072666</v>
      </c>
      <c r="BR38" s="112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10">
        <f t="shared" si="18"/>
        <v>0.8813852</v>
      </c>
      <c r="BT38" s="112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10">
        <f t="shared" si="19"/>
        <v>0.0986</v>
      </c>
      <c r="BV38" s="112">
        <f>BK38*IF(VLOOKUP($E38,武器奇术!$A:$R,17,FALSE)="裂石",VLOOKUP($E38,武器奇术!$A:$R,4,FALSE),VLOOKUP($E38,武器奇术!$A:$R,2,FALSE))*(1+BM38)*(1+BN38)*BO38</f>
        <v>0</v>
      </c>
      <c r="BW38" s="110">
        <f t="shared" si="20"/>
        <v>0.00928814000000003</v>
      </c>
      <c r="BX38" s="113">
        <f t="shared" si="21"/>
        <v>0</v>
      </c>
      <c r="BY38" s="108">
        <f>$B$11*IF($G$5="撼天",1.05,1)+IF(AND(VLOOKUP($E38,武器奇术!$A:$R,15,FALSE)="武器",VLOOKUP($E38,武器奇术!$A:$R,17,FALSE)="牵丝"),$E$3,0)*(1+$E$15)</f>
        <v>0</v>
      </c>
      <c r="BZ38" s="99">
        <f>(BY38+CA38)*IF(VLOOKUP($E38,武器奇术!$A:$Z,21,FALSE)=1,$G$15,0.5)</f>
        <v>0</v>
      </c>
      <c r="CA38" s="109">
        <f>MAX($C$11*IF($G$5="撼天",1.05,1)+IF(AND(VLOOKUP($E38,武器奇术!$A:$R,15,FALSE)="武器",VLOOKUP($E38,武器奇术!$A:$R,17,FALSE)="牵丝"),$E$3*(1+$E$15),0),BY38)</f>
        <v>0</v>
      </c>
      <c r="CB38" s="110">
        <f>IF(($D$11+IF(VLOOKUP($E38,武器奇术!$A:$R,17,FALSE)="牵丝",$D$15,0)+IF(VLOOKUP($E38,武器奇术!$A:$R,18,FALSE)=1,4,0)+IF(VLOOKUP($E38,武器奇术!$A:$S,19,FALSE)=1,20,0)-VLOOKUP($F$7,目标属性!$A:$R,6,FALSE))&gt;0,($D$11+IF(VLOOKUP($E38,武器奇术!$A:$R,17,FALSE)="牵丝",$D$15,0)+IF(VLOOKUP($E38,武器奇术!$A:$R,18,FALSE)=1,4,0)+IF(VLOOKUP($E38,武器奇术!$A:$S,19,FALSE)=1,20,0)-VLOOKUP($F$7,目标属性!$A:$R,6,FALSE))/200,($D$11+IF(VLOOKUP($E38,武器奇术!$A:$R,17,FALSE)="牵丝",$D$15,0)+IF(VLOOKUP($E38,武器奇术!$A:$R,18,FALSE)=1,4,0)+IF(VLOOKUP($E38,武器奇术!$A:$S,19,FALSE)=1,20,0)-VLOOKUP($F$7,目标属性!$A:$R,6,FALSE))/100)</f>
        <v>-0.24</v>
      </c>
      <c r="CC38" s="111">
        <f t="shared" si="22"/>
        <v>0</v>
      </c>
      <c r="CD38" s="109">
        <v>1</v>
      </c>
      <c r="CE38" s="112">
        <f>BY38*IF(VLOOKUP($E38,武器奇术!$A:$R,17,FALSE)="牵丝",VLOOKUP($E38,武器奇术!$A:$R,4,FALSE),VLOOKUP($E38,武器奇术!$A:$R,2,FALSE))*(1+CB38)*(1+CC38)*CD38</f>
        <v>0</v>
      </c>
      <c r="CF38" s="110">
        <f>(1-IF(VLOOKUP($E38,武器奇术!$A:$T,20,FALSE)=1,1,$N38))*(1-$M38)</f>
        <v>0.01072666</v>
      </c>
      <c r="CG38" s="112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110">
        <f t="shared" si="23"/>
        <v>0.8813852</v>
      </c>
      <c r="CI38" s="112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110">
        <f t="shared" si="24"/>
        <v>0.0986</v>
      </c>
      <c r="CK38" s="112">
        <f>BZ38*IF(VLOOKUP($E38,武器奇术!$A:$R,17,FALSE)="牵丝",VLOOKUP($E38,武器奇术!$A:$R,4,FALSE),VLOOKUP($E38,武器奇术!$A:$R,2,FALSE))*(1+CB38)*(1+CC38)*CD38</f>
        <v>0</v>
      </c>
      <c r="CL38" s="110">
        <f t="shared" si="25"/>
        <v>0.00928814000000003</v>
      </c>
      <c r="CM38" s="113">
        <f t="shared" si="26"/>
        <v>0</v>
      </c>
      <c r="CN38" s="108">
        <f>$B$13*IF($G$5="撼天",1.05,1)+IF(AND(VLOOKUP($E38,武器奇术!$A:$R,15,FALSE)="武器",VLOOKUP($E38,武器奇术!$A:$R,17,FALSE)="破竹"),$E$3,0)*(1+$E$15)</f>
        <v>648.46</v>
      </c>
      <c r="CO38" s="99">
        <f>(CN38+CP38)*IF(VLOOKUP($E38,武器奇术!$A:$Z,21,FALSE)=1,$G$15,0.5)</f>
        <v>875.26</v>
      </c>
      <c r="CP38" s="109">
        <f>MAX($C$13*IF($G$5="撼天",1.05,1)+IF(AND(VLOOKUP($E38,武器奇术!$A:$R,15,FALSE)="武器",VLOOKUP($E38,武器奇术!$A:$R,17,FALSE)="破竹"),$E$3*(1+$E$15),0),CN38)</f>
        <v>1102.06</v>
      </c>
      <c r="CQ38" s="110">
        <f>IF(($D$13+IF(VLOOKUP($E38,武器奇术!$A:$R,17,FALSE)="破竹",$D$15,0)+IF(VLOOKUP($E38,武器奇术!$A:$R,18,FALSE)=1,4,0)+IF(VLOOKUP($E38,武器奇术!$A:$S,19,FALSE)=1,20,0)-VLOOKUP($F$7,目标属性!$A:$R,6,FALSE))&gt;0,($D$13+IF(VLOOKUP($E38,武器奇术!$A:$R,17,FALSE)="破竹",$D$15,0)+IF(VLOOKUP($E38,武器奇术!$A:$R,18,FALSE)=1,4,0)+IF(VLOOKUP($E38,武器奇术!$A:$S,19,FALSE)=1,20,0)-VLOOKUP($F$7,目标属性!$A:$R,6,FALSE))/200,($D$13+IF(VLOOKUP($E38,武器奇术!$A:$R,17,FALSE)="破竹",$D$15,0)+IF(VLOOKUP($E38,武器奇术!$A:$R,18,FALSE)=1,4,0)+IF(VLOOKUP($E38,武器奇术!$A:$S,19,FALSE)=1,20,0)-VLOOKUP($F$7,目标属性!$A:$R,6,FALSE))/100)</f>
        <v>0.025</v>
      </c>
      <c r="CR38" s="111">
        <f>$E$13+IF(VLOOKUP($E38,武器奇术!$A:$U,21,FALSE)=1,0,0.09)</f>
        <v>0.235</v>
      </c>
      <c r="CS38" s="109">
        <v>1</v>
      </c>
      <c r="CT38" s="112">
        <f>CN38*IF(VLOOKUP($E38,武器奇术!$A:$R,17,FALSE)="破竹",VLOOKUP($E38,武器奇术!$A:$R,4,FALSE),VLOOKUP($E38,武器奇术!$A:$R,2,FALSE))*(1+CQ38)*(1+CR38)*CS38</f>
        <v>1585.34488391825</v>
      </c>
      <c r="CU38" s="110">
        <f>(1-IF(VLOOKUP($E38,武器奇术!$A:$T,20,FALSE)=1,1,$N38))*(1-$M38)</f>
        <v>0.01072666</v>
      </c>
      <c r="CV38" s="112">
        <f>CO38*IF(VLOOKUP($E38,武器奇术!$A:$R,17,FALSE)="破竹",VLOOKUP($E38,武器奇术!$A:$R,4,FALSE),VLOOKUP($E38,武器奇术!$A:$R,2,FALSE))*(1+CQ38)*(1+CR38)*CS38*(1+$E$16+VLOOKUP($E38,武器奇术!$A:$R,8,FALSE))</f>
        <v>3509.30805212533</v>
      </c>
      <c r="CW38" s="110">
        <f t="shared" si="27"/>
        <v>0.8813852</v>
      </c>
      <c r="CX38" s="112">
        <f>CP38*IF(VLOOKUP($E38,武器奇术!$A:$R,17,FALSE)="破竹",VLOOKUP($E38,武器奇术!$A:$R,4,FALSE),VLOOKUP($E38,武器奇术!$A:$R,2,FALSE))*(1+CQ38)*(1+CR38)*CS38*(1+$E$17+VLOOKUP($E38,武器奇术!$A:$R,10,FALSE))</f>
        <v>3637.30376081914</v>
      </c>
      <c r="CY38" s="110">
        <f t="shared" si="28"/>
        <v>0.0986</v>
      </c>
      <c r="CZ38" s="112">
        <f>CO38*IF(VLOOKUP($E38,武器奇术!$A:$R,17,FALSE)="破竹",VLOOKUP($E38,武器奇术!$A:$R,4,FALSE),VLOOKUP($E38,武器奇术!$A:$R,2,FALSE))*(1+CQ38)*(1+CR38)*CS38</f>
        <v>2139.82198300325</v>
      </c>
      <c r="DA38" s="110">
        <f t="shared" si="29"/>
        <v>0.00928814000000003</v>
      </c>
      <c r="DB38" s="113">
        <f t="shared" si="30"/>
        <v>3488.5707519066</v>
      </c>
      <c r="DC38" s="108">
        <f t="shared" si="31"/>
        <v>69.3</v>
      </c>
      <c r="DD38" s="99">
        <f>(DC38+DE38)*IF(VLOOKUP($E38,武器奇术!$A:$Z,21,FALSE)=1,$G$15,0.5)</f>
        <v>69.3</v>
      </c>
      <c r="DE38" s="109">
        <f t="shared" si="32"/>
        <v>69.3</v>
      </c>
      <c r="DF38" s="110">
        <f>IF(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R,18,FALSE)=1,4,0)+IF(VLOOKUP($E38,武器奇术!$A:$S,19,FALSE)=1,20,0)-VLOOKUP($F$7,目标属性!$A:$R,6,FALSE))/100)</f>
        <v>0.025</v>
      </c>
      <c r="DG38" s="111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U,21,FALSE)=1,0,0.09)</f>
        <v>0.235</v>
      </c>
      <c r="DH38" s="109">
        <v>1</v>
      </c>
      <c r="DI38" s="112">
        <f>DC38*IF(VLOOKUP($E38,武器奇术!$A:$R,17,FALSE)="破竹",VLOOKUP($E38,武器奇术!$A:$R,4,FALSE),VLOOKUP($E38,武器奇术!$A:$R,2,FALSE))*(1+DF38)*(1+DG38)*DH38</f>
        <v>169.42355805375</v>
      </c>
      <c r="DJ38" s="110">
        <f>(1-IF(VLOOKUP($E38,武器奇术!$A:$T,20,FALSE)=1,1,$N38))*(1-$M38)</f>
        <v>0.01072666</v>
      </c>
      <c r="DK38" s="112">
        <f>DD38*IF(VLOOKUP($E38,武器奇术!$A:$R,17,FALSE)="破竹",VLOOKUP($E38,武器奇术!$A:$R,4,FALSE),VLOOKUP($E38,武器奇术!$A:$R,2,FALSE))*(1+DF38)*(1+DG38)*DH38*(1+$E$16+VLOOKUP($E38,武器奇术!$A:$R,8,FALSE))</f>
        <v>277.85463520815</v>
      </c>
      <c r="DL38" s="110">
        <f t="shared" si="33"/>
        <v>0.8813852</v>
      </c>
      <c r="DM38" s="112">
        <f>DE38*IF(VLOOKUP($E38,武器奇术!$A:$R,17,FALSE)="破竹",VLOOKUP($E38,武器奇术!$A:$R,4,FALSE),VLOOKUP($E38,武器奇术!$A:$R,2,FALSE))*(1+DF38)*(1+DG38)*DH38*(1+$E$17+VLOOKUP($E38,武器奇术!$A:$R,10,FALSE))</f>
        <v>228.721803372562</v>
      </c>
      <c r="DN38" s="110">
        <f t="shared" si="34"/>
        <v>0.0986</v>
      </c>
      <c r="DO38" s="112">
        <f>DD38*IF(VLOOKUP($E38,武器奇术!$A:$R,17,FALSE)="破竹",VLOOKUP($E38,武器奇术!$A:$R,4,FALSE),VLOOKUP($E38,武器奇术!$A:$R,2,FALSE))*(1+DF38)*(1+DG38)*DH38</f>
        <v>169.42355805375</v>
      </c>
      <c r="DP38" s="110">
        <f t="shared" si="35"/>
        <v>0.00928814000000003</v>
      </c>
      <c r="DQ38" s="113">
        <f t="shared" si="36"/>
        <v>270.839911666131</v>
      </c>
    </row>
    <row r="39" spans="2:121">
      <c r="B39" s="130"/>
      <c r="C39" s="131"/>
      <c r="D39" s="132"/>
      <c r="E39" s="98" t="str">
        <f>期望!E39</f>
        <v>鹰隼追击(拳甲)</v>
      </c>
      <c r="F39" s="99">
        <f>期望!F39</f>
        <v>1</v>
      </c>
      <c r="G39" s="115"/>
      <c r="H39" s="100">
        <f>IF(VLOOKUP($E39,武器奇术!$A:$R,18,FALSE)="天工",AE39,(AE39+AT39+BI39+BX39+CM39+DB39+DQ39))*(1+J39)*F39*K39*(1+G39)</f>
        <v>48730.8266125615</v>
      </c>
      <c r="I39" s="101">
        <f t="shared" si="0"/>
        <v>0.00601644984731181</v>
      </c>
      <c r="J39" s="116">
        <f>$F$3+VLOOKUP($E39,武器奇术!$A:$R,12,FALSE)+VLOOKUP($E39,武器奇术!$A:$R,14,FALSE)*$G$3+$P39+IF($F$21="√",5%,0)</f>
        <v>0.823</v>
      </c>
      <c r="K39" s="102">
        <f>VLOOKUP($E39,武器奇术!$A:$R,11,FALSE)</f>
        <v>1</v>
      </c>
      <c r="L39" s="117">
        <f>IF(VLOOKUP($E39,武器奇术!$A:$R,15,FALSE)="天工",0%,IF($C$17+VLOOKUP($E39,武器奇术!$A:$R,7,FALSE)&gt;80%,80%,$C$17+VLOOKUP($E39,武器奇术!$A:$R,7,FALSE))+IF($C$19&gt;20%,20%,$C$19))</f>
        <v>0.892</v>
      </c>
      <c r="M39" s="118">
        <f>IF(VLOOKUP($E39,武器奇术!$A:$R,15,FALSE)="天工",0%,IF($C$18+VLOOKUP($E39,武器奇术!$A:$R,9,FALSE)&gt;40%,40%,$C$18+VLOOKUP($E39,武器奇术!$A:$R,9,FALSE))+IF($C$20&gt;10%,10%,$C$20))</f>
        <v>0.0986</v>
      </c>
      <c r="N39" s="119">
        <f>IF(VLOOKUP($E39,武器奇术!$A:$R,15,FALSE)="天工",100%,MIN($C$16,1))</f>
        <v>0.9881</v>
      </c>
      <c r="O39" s="120" t="str">
        <f>VLOOKUP($E39,武器奇术!$A:$R,16,FALSE)</f>
        <v>拳甲</v>
      </c>
      <c r="P39" s="121">
        <f t="shared" si="37"/>
        <v>0.17</v>
      </c>
      <c r="Q39" s="108">
        <f>$B$5*(1+VLOOKUP($E39,武器奇术!$A:$R,5,FALSE)+IF($G$5="飞隼",0.1,0)+IF($G$5="撼天",0.05,0))-$F$9+IF($I$5="√",160,0)</f>
        <v>1731.135</v>
      </c>
      <c r="R39" s="99">
        <f>IF(VLOOKUP($E39,武器奇术!$A:$Z,20,FALSE)=1,(S39-(Q39+S39)*0.5)*($G$15-0.5)*2+(Q39+S39)*0.5,(Q39+S39)*0.5)</f>
        <v>3256.775</v>
      </c>
      <c r="S39" s="109">
        <f>MAX($C$5,$B$5)*(1+VLOOKUP($E39,武器奇术!$A:$R,5,FALSE)+IF($G$5="飞隼",0.1,0)+IF($G$5="撼天",0.05,0))-$F$9+IF($I$5="√",320,0)</f>
        <v>4782.415</v>
      </c>
      <c r="T39" s="101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U39" s="111">
        <f>$E$5+IF(VLOOKUP($E39,武器奇术!$A:$U,21,FALSE)=1,0,0.09)</f>
        <v>0.115</v>
      </c>
      <c r="V39" s="109">
        <v>1</v>
      </c>
      <c r="W39" s="112">
        <f>Q39*VLOOKUP($E39,武器奇术!$A:$R,2,FALSE)*(1+T39)*(1+U39)*V39</f>
        <v>5595.154346628</v>
      </c>
      <c r="X39" s="110">
        <f>(1-IF(VLOOKUP($E39,武器奇术!$A:$T,20,FALSE)=1,1,$N39))*(1-$M39)</f>
        <v>0.01072666</v>
      </c>
      <c r="Y39" s="112">
        <f>R39*VLOOKUP($E39,武器奇术!$A:$R,2,FALSE)*(1+T39)*(1+U39)*V39*(1+$E$16+VLOOKUP($E39,武器奇术!$A:$R,8,FALSE))</f>
        <v>20420.6997528468</v>
      </c>
      <c r="Z39" s="110">
        <f t="shared" si="1"/>
        <v>0.8813852</v>
      </c>
      <c r="AA39" s="112">
        <f>S39*VLOOKUP($E39,武器奇术!$A:$R,2,FALSE)*(1+T39)*(1+U39)*V39*(1+$E$17+VLOOKUP($E39,武器奇术!$A:$R,10,FALSE))</f>
        <v>20867.1031437462</v>
      </c>
      <c r="AB39" s="110">
        <f t="shared" si="2"/>
        <v>0.0986</v>
      </c>
      <c r="AC39" s="112">
        <f>R39*VLOOKUP($E39,武器奇术!$A:$R,2,FALSE)*(1+T39)*(1+U39)*V39</f>
        <v>10526.13389322</v>
      </c>
      <c r="AD39" s="110">
        <f t="shared" si="3"/>
        <v>0.00928814000000003</v>
      </c>
      <c r="AE39" s="113">
        <f t="shared" si="4"/>
        <v>20213.784429359</v>
      </c>
      <c r="AF39" s="114">
        <f>VLOOKUP($E39,武器奇术!$A:$R,3,FALSE)*(1+IF(VLOOKUP($E39,武器奇术!$A:$R,15,FALSE)="武器",$E$15,0))</f>
        <v>0</v>
      </c>
      <c r="AG39" s="112">
        <f t="shared" si="5"/>
        <v>0</v>
      </c>
      <c r="AH39" s="112">
        <f>VLOOKUP($E39,武器奇术!$A:$R,3,FALSE)*(1+IF(VLOOKUP($E39,武器奇术!$A:$R,15,FALSE)="武器",$E$15,0))</f>
        <v>0</v>
      </c>
      <c r="AI39" s="101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0.342</v>
      </c>
      <c r="AJ39" s="111">
        <f>$E$5+IF(VLOOKUP($E39,武器奇术!$A:$U,21,FALSE)=1,0,0.09)</f>
        <v>0.115</v>
      </c>
      <c r="AK39" s="109">
        <v>1</v>
      </c>
      <c r="AL39" s="112">
        <f t="shared" si="6"/>
        <v>0</v>
      </c>
      <c r="AM39" s="110">
        <f>(1-IF(VLOOKUP($E39,武器奇术!$A:$T,20,FALSE)=1,1,$N39))*(1-$M39)</f>
        <v>0.01072666</v>
      </c>
      <c r="AN39" s="112">
        <f>AG39*(1+AI39)*(1+AJ39)*AK39*(1+$E$16+VLOOKUP($E39,武器奇术!$A:$R,8,FALSE))</f>
        <v>0</v>
      </c>
      <c r="AO39" s="110">
        <f t="shared" si="7"/>
        <v>0.8813852</v>
      </c>
      <c r="AP39" s="112">
        <f>AH39*(1+AI39)*(1+AJ39)*AK39*(1+$E$17+VLOOKUP($E39,武器奇术!$A:$R,10,FALSE))</f>
        <v>0</v>
      </c>
      <c r="AQ39" s="110">
        <f t="shared" si="8"/>
        <v>0.0986</v>
      </c>
      <c r="AR39" s="112">
        <f t="shared" si="9"/>
        <v>0</v>
      </c>
      <c r="AS39" s="110">
        <f t="shared" si="10"/>
        <v>0.00928814000000003</v>
      </c>
      <c r="AT39" s="113">
        <f t="shared" si="11"/>
        <v>0</v>
      </c>
      <c r="AU39" s="108">
        <f>$B$7*IF($G$5="撼天",1.05,1)+IF(AND(VLOOKUP($E39,武器奇术!$A:$R,15,FALSE)="武器",VLOOKUP($E39,武器奇术!$A:$R,17,FALSE)="鸣金"),$E$3,0)*(1+$E$15)</f>
        <v>0</v>
      </c>
      <c r="AV39" s="99">
        <f>(AU39+AW39)*IF(VLOOKUP($E39,武器奇术!$A:$Z,21,FALSE)=1,$G$15,0.5)</f>
        <v>0</v>
      </c>
      <c r="AW39" s="109">
        <f>MAX($C$7*IF($G$5="撼天",1.05,1)+IF(AND(VLOOKUP($E39,武器奇术!$A:$R,15,FALSE)="武器",VLOOKUP($E39,武器奇术!$A:$R,17,FALSE)="鸣金"),$E$3*(1+$E$15),0),AU39)</f>
        <v>0</v>
      </c>
      <c r="AX39" s="110">
        <f>IF(($D$7+IF(VLOOKUP($E39,武器奇术!$A:$R,17,FALSE)="鸣金",$D$15,0)+IF(VLOOKUP($E39,武器奇术!$A:$R,18,FALSE)=1,4,0)+IF(VLOOKUP($E39,武器奇术!$A:$S,19,FALSE)=1,20,0)-VLOOKUP($F$7,目标属性!$A:$R,6,FALSE))&gt;0,($D$7+IF(VLOOKUP($E39,武器奇术!$A:$R,17,FALSE)="鸣金",$D$15,0)+IF(VLOOKUP($E39,武器奇术!$A:$R,18,FALSE)=1,4,0)+IF(VLOOKUP($E39,武器奇术!$A:$S,19,FALSE)=1,20,0)-VLOOKUP($F$7,目标属性!$A:$R,6,FALSE))/200,($D$7+IF(VLOOKUP($E39,武器奇术!$A:$R,17,FALSE)="鸣金",$D$15,0)+IF(VLOOKUP($E39,武器奇术!$A:$R,18,FALSE)=1,4,0)+IF(VLOOKUP($E39,武器奇术!$A:$S,19,FALSE)=1,20,0)-VLOOKUP($F$7,目标属性!$A:$R,6,FALSE))/100)</f>
        <v>0</v>
      </c>
      <c r="AY39" s="111">
        <f t="shared" si="12"/>
        <v>0</v>
      </c>
      <c r="AZ39" s="109">
        <v>1</v>
      </c>
      <c r="BA39" s="112">
        <f>AU39*IF(VLOOKUP($E39,武器奇术!$A:$R,17,FALSE)="鸣金",VLOOKUP($E39,武器奇术!$A:$R,4,FALSE),VLOOKUP($E39,武器奇术!$A:$R,2,FALSE))*(1+AX39)*(1+AY39)*AZ39</f>
        <v>0</v>
      </c>
      <c r="BB39" s="110">
        <f>(1-IF(VLOOKUP($E39,武器奇术!$A:$T,20,FALSE)=1,1,$N39))*(1-$M39)</f>
        <v>0.01072666</v>
      </c>
      <c r="BC39" s="112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10">
        <f t="shared" si="13"/>
        <v>0.8813852</v>
      </c>
      <c r="BE39" s="112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10">
        <f t="shared" si="14"/>
        <v>0.0986</v>
      </c>
      <c r="BG39" s="112">
        <f>AV39*IF(VLOOKUP($E39,武器奇术!$A:$R,17,FALSE)="鸣金",VLOOKUP($E39,武器奇术!$A:$R,4,FALSE),VLOOKUP($E39,武器奇术!$A:$R,2,FALSE))*(1+AX39)*(1+AY39)*AZ39</f>
        <v>0</v>
      </c>
      <c r="BH39" s="110">
        <f t="shared" si="15"/>
        <v>0.00928814000000003</v>
      </c>
      <c r="BI39" s="113">
        <f t="shared" si="16"/>
        <v>0</v>
      </c>
      <c r="BJ39" s="108">
        <f>$B$9*IF($G$5="撼天",1.05,1)+IF(AND(VLOOKUP($E39,武器奇术!$A:$R,15,FALSE)="武器",VLOOKUP($E39,武器奇术!$A:$R,17,FALSE)="裂石"),$E$3,0)*(1+$E$15)</f>
        <v>0</v>
      </c>
      <c r="BK39" s="99">
        <f>(BJ39+BL39)*IF(VLOOKUP($E39,武器奇术!$A:$Z,21,FALSE)=1,$G$15,0.5)</f>
        <v>0</v>
      </c>
      <c r="BL39" s="109">
        <f>MAX($C$9*IF($G$5="撼天",1.05,1)+IF(AND(VLOOKUP($E39,武器奇术!$A:$R,15,FALSE)="武器",VLOOKUP($E39,武器奇术!$A:$R,17,FALSE)="裂石"),$E$3*(1+$E$15),0),BJ39)</f>
        <v>0</v>
      </c>
      <c r="BM39" s="110">
        <f>IF(($D$9+IF(VLOOKUP($E39,武器奇术!$A:$R,17,FALSE)="裂石",$D$15,0)+IF(VLOOKUP($E39,武器奇术!$A:$R,18,FALSE)=1,4,0)+IF(VLOOKUP($E39,武器奇术!$A:$S,19,FALSE)=1,20,0)-VLOOKUP($F$7,目标属性!$A:$R,6,FALSE))&gt;0,($D$9+IF(VLOOKUP($E39,武器奇术!$A:$R,17,FALSE)="裂石",$D$15,0)+IF(VLOOKUP($E39,武器奇术!$A:$R,18,FALSE)=1,4,0)+IF(VLOOKUP($E39,武器奇术!$A:$S,19,FALSE)=1,20,0)-VLOOKUP($F$7,目标属性!$A:$R,6,FALSE))/200,($D$9+IF(VLOOKUP($E39,武器奇术!$A:$R,17,FALSE)="裂石",$D$15,0)+IF(VLOOKUP($E39,武器奇术!$A:$R,18,FALSE)=1,4,0)+IF(VLOOKUP($E39,武器奇术!$A:$S,19,FALSE)=1,20,0)-VLOOKUP($F$7,目标属性!$A:$R,6,FALSE))/100)</f>
        <v>0</v>
      </c>
      <c r="BN39" s="111">
        <f t="shared" si="17"/>
        <v>0</v>
      </c>
      <c r="BO39" s="109">
        <v>1</v>
      </c>
      <c r="BP39" s="112">
        <f>BJ39*IF(VLOOKUP($E39,武器奇术!$A:$R,17,FALSE)="裂石",VLOOKUP($E39,武器奇术!$A:$R,4,FALSE),VLOOKUP($E39,武器奇术!$A:$R,2,FALSE))*(1+BM39)*(1+BN39)*BO39</f>
        <v>0</v>
      </c>
      <c r="BQ39" s="110">
        <f>(1-IF(VLOOKUP($E39,武器奇术!$A:$T,20,FALSE)=1,1,$N39))*(1-$M39)</f>
        <v>0.01072666</v>
      </c>
      <c r="BR39" s="112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10">
        <f t="shared" si="18"/>
        <v>0.8813852</v>
      </c>
      <c r="BT39" s="112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10">
        <f t="shared" si="19"/>
        <v>0.0986</v>
      </c>
      <c r="BV39" s="112">
        <f>BK39*IF(VLOOKUP($E39,武器奇术!$A:$R,17,FALSE)="裂石",VLOOKUP($E39,武器奇术!$A:$R,4,FALSE),VLOOKUP($E39,武器奇术!$A:$R,2,FALSE))*(1+BM39)*(1+BN39)*BO39</f>
        <v>0</v>
      </c>
      <c r="BW39" s="110">
        <f t="shared" si="20"/>
        <v>0.00928814000000003</v>
      </c>
      <c r="BX39" s="113">
        <f t="shared" si="21"/>
        <v>0</v>
      </c>
      <c r="BY39" s="108">
        <f>$B$11*IF($G$5="撼天",1.05,1)+IF(AND(VLOOKUP($E39,武器奇术!$A:$R,15,FALSE)="武器",VLOOKUP($E39,武器奇术!$A:$R,17,FALSE)="牵丝"),$E$3,0)*(1+$E$15)</f>
        <v>0</v>
      </c>
      <c r="BZ39" s="99">
        <f>(BY39+CA39)*IF(VLOOKUP($E39,武器奇术!$A:$Z,21,FALSE)=1,$G$15,0.5)</f>
        <v>0</v>
      </c>
      <c r="CA39" s="109">
        <f>MAX($C$11*IF($G$5="撼天",1.05,1)+IF(AND(VLOOKUP($E39,武器奇术!$A:$R,15,FALSE)="武器",VLOOKUP($E39,武器奇术!$A:$R,17,FALSE)="牵丝"),$E$3*(1+$E$15),0),BY39)</f>
        <v>0</v>
      </c>
      <c r="CB39" s="110">
        <f>IF(($D$11+IF(VLOOKUP($E39,武器奇术!$A:$R,17,FALSE)="牵丝",$D$15,0)+IF(VLOOKUP($E39,武器奇术!$A:$R,18,FALSE)=1,4,0)+IF(VLOOKUP($E39,武器奇术!$A:$S,19,FALSE)=1,20,0)-VLOOKUP($F$7,目标属性!$A:$R,6,FALSE))&gt;0,($D$11+IF(VLOOKUP($E39,武器奇术!$A:$R,17,FALSE)="牵丝",$D$15,0)+IF(VLOOKUP($E39,武器奇术!$A:$R,18,FALSE)=1,4,0)+IF(VLOOKUP($E39,武器奇术!$A:$S,19,FALSE)=1,20,0)-VLOOKUP($F$7,目标属性!$A:$R,6,FALSE))/200,($D$11+IF(VLOOKUP($E39,武器奇术!$A:$R,17,FALSE)="牵丝",$D$15,0)+IF(VLOOKUP($E39,武器奇术!$A:$R,18,FALSE)=1,4,0)+IF(VLOOKUP($E39,武器奇术!$A:$S,19,FALSE)=1,20,0)-VLOOKUP($F$7,目标属性!$A:$R,6,FALSE))/100)</f>
        <v>0</v>
      </c>
      <c r="CC39" s="111">
        <f t="shared" si="22"/>
        <v>0</v>
      </c>
      <c r="CD39" s="109">
        <v>1</v>
      </c>
      <c r="CE39" s="112">
        <f>BY39*IF(VLOOKUP($E39,武器奇术!$A:$R,17,FALSE)="牵丝",VLOOKUP($E39,武器奇术!$A:$R,4,FALSE),VLOOKUP($E39,武器奇术!$A:$R,2,FALSE))*(1+CB39)*(1+CC39)*CD39</f>
        <v>0</v>
      </c>
      <c r="CF39" s="110">
        <f>(1-IF(VLOOKUP($E39,武器奇术!$A:$T,20,FALSE)=1,1,$N39))*(1-$M39)</f>
        <v>0.01072666</v>
      </c>
      <c r="CG39" s="112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110">
        <f t="shared" si="23"/>
        <v>0.8813852</v>
      </c>
      <c r="CI39" s="112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110">
        <f t="shared" si="24"/>
        <v>0.0986</v>
      </c>
      <c r="CK39" s="112">
        <f>BZ39*IF(VLOOKUP($E39,武器奇术!$A:$R,17,FALSE)="牵丝",VLOOKUP($E39,武器奇术!$A:$R,4,FALSE),VLOOKUP($E39,武器奇术!$A:$R,2,FALSE))*(1+CB39)*(1+CC39)*CD39</f>
        <v>0</v>
      </c>
      <c r="CL39" s="110">
        <f t="shared" si="25"/>
        <v>0.00928814000000003</v>
      </c>
      <c r="CM39" s="113">
        <f t="shared" si="26"/>
        <v>0</v>
      </c>
      <c r="CN39" s="108">
        <f>$B$13*IF($G$5="撼天",1.05,1)+IF(AND(VLOOKUP($E39,武器奇术!$A:$R,15,FALSE)="武器",VLOOKUP($E39,武器奇术!$A:$R,17,FALSE)="破竹"),$E$3,0)*(1+$E$15)</f>
        <v>452.55</v>
      </c>
      <c r="CO39" s="99">
        <f>(CN39+CP39)*IF(VLOOKUP($E39,武器奇术!$A:$Z,21,FALSE)=1,$G$15,0.5)</f>
        <v>679.35</v>
      </c>
      <c r="CP39" s="109">
        <f>MAX($C$13*IF($G$5="撼天",1.05,1)+IF(AND(VLOOKUP($E39,武器奇术!$A:$R,15,FALSE)="武器",VLOOKUP($E39,武器奇术!$A:$R,17,FALSE)="破竹"),$E$3*(1+$E$15),0),CN39)</f>
        <v>906.15</v>
      </c>
      <c r="CQ39" s="110">
        <f>IF(($D$13+IF(VLOOKUP($E39,武器奇术!$A:$R,17,FALSE)="破竹",$D$15,0)+IF(VLOOKUP($E39,武器奇术!$A:$R,18,FALSE)=1,4,0)+IF(VLOOKUP($E39,武器奇术!$A:$S,19,FALSE)=1,20,0)-VLOOKUP($F$7,目标属性!$A:$R,6,FALSE))&gt;0,($D$13+IF(VLOOKUP($E39,武器奇术!$A:$R,17,FALSE)="破竹",$D$15,0)+IF(VLOOKUP($E39,武器奇术!$A:$R,18,FALSE)=1,4,0)+IF(VLOOKUP($E39,武器奇术!$A:$S,19,FALSE)=1,20,0)-VLOOKUP($F$7,目标属性!$A:$R,6,FALSE))/200,($D$13+IF(VLOOKUP($E39,武器奇术!$A:$R,17,FALSE)="破竹",$D$15,0)+IF(VLOOKUP($E39,武器奇术!$A:$R,18,FALSE)=1,4,0)+IF(VLOOKUP($E39,武器奇术!$A:$S,19,FALSE)=1,20,0)-VLOOKUP($F$7,目标属性!$A:$R,6,FALSE))/100)</f>
        <v>0.145</v>
      </c>
      <c r="CR39" s="111">
        <f>$E$13+IF(VLOOKUP($E39,武器奇术!$A:$U,21,FALSE)=1,0,0.09)</f>
        <v>0.235</v>
      </c>
      <c r="CS39" s="109">
        <v>1</v>
      </c>
      <c r="CT39" s="112">
        <f>CN39*IF(VLOOKUP($E39,武器奇术!$A:$R,17,FALSE)="破竹",VLOOKUP($E39,武器奇术!$A:$R,4,FALSE),VLOOKUP($E39,武器奇术!$A:$R,2,FALSE))*(1+CQ39)*(1+CR39)*CS39</f>
        <v>2073.40443765</v>
      </c>
      <c r="CU39" s="110">
        <f>(1-IF(VLOOKUP($E39,武器奇术!$A:$T,20,FALSE)=1,1,$N39))*(1-$M39)</f>
        <v>0.01072666</v>
      </c>
      <c r="CV39" s="112">
        <f>CO39*IF(VLOOKUP($E39,武器奇术!$A:$R,17,FALSE)="破竹",VLOOKUP($E39,武器奇术!$A:$R,4,FALSE),VLOOKUP($E39,武器奇术!$A:$R,2,FALSE))*(1+CQ39)*(1+CR39)*CS39*(1+$E$16+VLOOKUP($E39,武器奇术!$A:$R,8,FALSE))</f>
        <v>6038.273276217</v>
      </c>
      <c r="CW39" s="110">
        <f t="shared" si="27"/>
        <v>0.8813852</v>
      </c>
      <c r="CX39" s="112">
        <f>CP39*IF(VLOOKUP($E39,武器奇术!$A:$R,17,FALSE)="破竹",VLOOKUP($E39,武器奇术!$A:$R,4,FALSE),VLOOKUP($E39,武器奇术!$A:$R,2,FALSE))*(1+CQ39)*(1+CR39)*CS39*(1+$E$17+VLOOKUP($E39,武器奇术!$A:$R,10,FALSE))</f>
        <v>5604.6864039075</v>
      </c>
      <c r="CY39" s="110">
        <f t="shared" si="28"/>
        <v>0.0986</v>
      </c>
      <c r="CZ39" s="112">
        <f>CO39*IF(VLOOKUP($E39,武器奇术!$A:$R,17,FALSE)="破竹",VLOOKUP($E39,武器奇术!$A:$R,4,FALSE),VLOOKUP($E39,武器奇术!$A:$R,2,FALSE))*(1+CQ39)*(1+CR39)*CS39</f>
        <v>3112.51199805</v>
      </c>
      <c r="DA39" s="110">
        <f t="shared" si="29"/>
        <v>0.00928814000000003</v>
      </c>
      <c r="DB39" s="113">
        <f t="shared" si="30"/>
        <v>5925.81693027318</v>
      </c>
      <c r="DC39" s="108">
        <f t="shared" si="31"/>
        <v>69.3</v>
      </c>
      <c r="DD39" s="99">
        <f>(DC39+DE39)*IF(VLOOKUP($E39,武器奇术!$A:$Z,21,FALSE)=1,$G$15,0.5)</f>
        <v>69.3</v>
      </c>
      <c r="DE39" s="109">
        <f t="shared" si="32"/>
        <v>69.3</v>
      </c>
      <c r="DF39" s="110">
        <f>IF(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R,18,FALSE)=1,4,0)+IF(VLOOKUP($E39,武器奇术!$A:$S,19,FALSE)=1,20,0)-VLOOKUP($F$7,目标属性!$A:$R,6,FALSE))/100)</f>
        <v>0.145</v>
      </c>
      <c r="DG39" s="111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U,21,FALSE)=1,0,0.09)</f>
        <v>0.235</v>
      </c>
      <c r="DH39" s="109">
        <v>1</v>
      </c>
      <c r="DI39" s="112">
        <f>DC39*IF(VLOOKUP($E39,武器奇术!$A:$R,17,FALSE)="破竹",VLOOKUP($E39,武器奇术!$A:$R,4,FALSE),VLOOKUP($E39,武器奇术!$A:$R,2,FALSE))*(1+DF39)*(1+DG39)*DH39</f>
        <v>317.5050879</v>
      </c>
      <c r="DJ39" s="110">
        <f>(1-IF(VLOOKUP($E39,武器奇术!$A:$T,20,FALSE)=1,1,$N39))*(1-$M39)</f>
        <v>0.01072666</v>
      </c>
      <c r="DK39" s="112">
        <f>DD39*IF(VLOOKUP($E39,武器奇术!$A:$R,17,FALSE)="破竹",VLOOKUP($E39,武器奇术!$A:$R,4,FALSE),VLOOKUP($E39,武器奇术!$A:$R,2,FALSE))*(1+DF39)*(1+DG39)*DH39*(1+$E$16+VLOOKUP($E39,武器奇术!$A:$R,8,FALSE))</f>
        <v>615.959870526</v>
      </c>
      <c r="DL39" s="110">
        <f t="shared" si="33"/>
        <v>0.8813852</v>
      </c>
      <c r="DM39" s="112">
        <f>DE39*IF(VLOOKUP($E39,武器奇术!$A:$R,17,FALSE)="破竹",VLOOKUP($E39,武器奇术!$A:$R,4,FALSE),VLOOKUP($E39,武器奇术!$A:$R,2,FALSE))*(1+DF39)*(1+DG39)*DH39*(1+$E$17+VLOOKUP($E39,武器奇术!$A:$R,10,FALSE))</f>
        <v>428.631868665</v>
      </c>
      <c r="DN39" s="110">
        <f t="shared" si="34"/>
        <v>0.0986</v>
      </c>
      <c r="DO39" s="112">
        <f>DD39*IF(VLOOKUP($E39,武器奇术!$A:$R,17,FALSE)="破竹",VLOOKUP($E39,武器奇术!$A:$R,4,FALSE),VLOOKUP($E39,武器奇术!$A:$R,2,FALSE))*(1+DF39)*(1+DG39)*DH39</f>
        <v>317.5050879</v>
      </c>
      <c r="DP39" s="110">
        <f t="shared" si="35"/>
        <v>0.00928814000000003</v>
      </c>
      <c r="DQ39" s="113">
        <f t="shared" si="36"/>
        <v>591.515816759203</v>
      </c>
    </row>
    <row r="40" spans="2:121">
      <c r="B40" s="103" t="s">
        <v>137</v>
      </c>
      <c r="C40" s="133">
        <f>C35/105326.38</f>
        <v>0.999999953211191</v>
      </c>
      <c r="D40" s="134"/>
      <c r="E40" s="98" t="str">
        <f>期望!E40</f>
        <v>骑龙回马打满</v>
      </c>
      <c r="F40" s="99">
        <f>期望!F40</f>
        <v>1</v>
      </c>
      <c r="G40" s="115"/>
      <c r="H40" s="100">
        <f>IF(VLOOKUP($E40,武器奇术!$A:$R,18,FALSE)="天工",AE40,(AE40+AT40+BI40+BX40+CM40+DB40+DQ40))*(1+J40)*F40*K40*(1+G40)</f>
        <v>97965.5214537074</v>
      </c>
      <c r="I40" s="101">
        <f t="shared" si="0"/>
        <v>0.012095108734315</v>
      </c>
      <c r="J40" s="116">
        <f>$F$3+VLOOKUP($E40,武器奇术!$A:$R,12,FALSE)+VLOOKUP($E40,武器奇术!$A:$R,14,FALSE)*$G$3+$P40+IF($F$21="√",5%,0)</f>
        <v>0.353</v>
      </c>
      <c r="K40" s="102">
        <f>VLOOKUP($E40,武器奇术!$A:$R,11,FALSE)</f>
        <v>1</v>
      </c>
      <c r="L40" s="117">
        <f>IF(VLOOKUP($E40,武器奇术!$A:$R,15,FALSE)="天工",0%,IF($C$17+VLOOKUP($E40,武器奇术!$A:$R,7,FALSE)&gt;80%,80%,$C$17+VLOOKUP($E40,武器奇术!$A:$R,7,FALSE))+IF($C$19&gt;20%,20%,$C$19))</f>
        <v>0.892</v>
      </c>
      <c r="M40" s="118">
        <f>IF(VLOOKUP($E40,武器奇术!$A:$R,15,FALSE)="天工",0%,IF($C$18+VLOOKUP($E40,武器奇术!$A:$R,9,FALSE)&gt;40%,40%,$C$18+VLOOKUP($E40,武器奇术!$A:$R,9,FALSE))+IF($C$20&gt;10%,10%,$C$20))</f>
        <v>0.0986</v>
      </c>
      <c r="N40" s="119">
        <f>IF(VLOOKUP($E40,武器奇术!$A:$R,15,FALSE)="天工",100%,MIN($C$16,1))</f>
        <v>0.9881</v>
      </c>
      <c r="O40" s="120" t="str">
        <f>VLOOKUP($E40,武器奇术!$A:$R,16,FALSE)</f>
        <v>单体奇术</v>
      </c>
      <c r="P40" s="121">
        <f t="shared" si="37"/>
        <v>0</v>
      </c>
      <c r="Q40" s="108">
        <f>$B$5*(1+VLOOKUP($E40,武器奇术!$A:$R,5,FALSE)+IF($G$5="飞隼",0.1,0)+IF($G$5="撼天",0.05,0))-$F$9+IF($I$5="√",160,0)</f>
        <v>1731.135</v>
      </c>
      <c r="R40" s="99">
        <f>IF(VLOOKUP($E40,武器奇术!$A:$Z,20,FALSE)=1,(S40-(Q40+S40)*0.5)*($G$15-0.5)*2+(Q40+S40)*0.5,(Q40+S40)*0.5)</f>
        <v>3256.775</v>
      </c>
      <c r="S40" s="109">
        <f>MAX($C$5,$B$5)*(1+VLOOKUP($E40,武器奇术!$A:$R,5,FALSE)+IF($G$5="飞隼",0.1,0)+IF($G$5="撼天",0.05,0))-$F$9+IF($I$5="√",320,0)</f>
        <v>4782.415</v>
      </c>
      <c r="T40" s="101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U40" s="111">
        <f>$E$5+IF(VLOOKUP($E40,武器奇术!$A:$U,21,FALSE)=1,0,0.09)</f>
        <v>0.115</v>
      </c>
      <c r="V40" s="109">
        <v>1</v>
      </c>
      <c r="W40" s="112">
        <f>Q40*VLOOKUP($E40,武器奇术!$A:$R,2,FALSE)*(1+T40)*(1+U40)*V40</f>
        <v>17036.3694397201</v>
      </c>
      <c r="X40" s="110">
        <f>(1-IF(VLOOKUP($E40,武器奇术!$A:$T,20,FALSE)=1,1,$N40))*(1-$M40)</f>
        <v>0.01072666</v>
      </c>
      <c r="Y40" s="112">
        <f>R40*VLOOKUP($E40,武器奇术!$A:$R,2,FALSE)*(1+T40)*(1+U40)*V40*(1+$E$16+VLOOKUP($E40,武器奇术!$A:$R,8,FALSE))</f>
        <v>52562.7060942982</v>
      </c>
      <c r="Z40" s="110">
        <f t="shared" si="1"/>
        <v>0.8813852</v>
      </c>
      <c r="AA40" s="112">
        <f>S40*VLOOKUP($E40,武器奇术!$A:$R,2,FALSE)*(1+T40)*(1+U40)*V40*(1+$E$17+VLOOKUP($E40,武器奇术!$A:$R,10,FALSE))</f>
        <v>63537.0637286981</v>
      </c>
      <c r="AB40" s="110">
        <f t="shared" si="2"/>
        <v>0.0986</v>
      </c>
      <c r="AC40" s="112">
        <f>R40*VLOOKUP($E40,武器奇术!$A:$R,2,FALSE)*(1+T40)*(1+U40)*V40</f>
        <v>32050.4305453038</v>
      </c>
      <c r="AD40" s="110">
        <f t="shared" si="3"/>
        <v>0.00928814000000003</v>
      </c>
      <c r="AE40" s="113">
        <f t="shared" si="4"/>
        <v>53073.1779356932</v>
      </c>
      <c r="AF40" s="114">
        <f>VLOOKUP($E40,武器奇术!$A:$R,3,FALSE)*(1+IF(VLOOKUP($E40,武器奇术!$A:$R,15,FALSE)="武器",$E$15,0))</f>
        <v>1269</v>
      </c>
      <c r="AG40" s="112">
        <f t="shared" si="5"/>
        <v>1269</v>
      </c>
      <c r="AH40" s="112">
        <f>VLOOKUP($E40,武器奇术!$A:$R,3,FALSE)*(1+IF(VLOOKUP($E40,武器奇术!$A:$R,15,FALSE)="武器",$E$15,0))</f>
        <v>1269</v>
      </c>
      <c r="AI40" s="101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0.242</v>
      </c>
      <c r="AJ40" s="111">
        <f>$E$5+IF(VLOOKUP($E40,武器奇术!$A:$U,21,FALSE)=1,0,0.09)</f>
        <v>0.115</v>
      </c>
      <c r="AK40" s="109">
        <v>1</v>
      </c>
      <c r="AL40" s="112">
        <f t="shared" si="6"/>
        <v>1757.34927</v>
      </c>
      <c r="AM40" s="110">
        <f>(1-IF(VLOOKUP($E40,武器奇术!$A:$T,20,FALSE)=1,1,$N40))*(1-$M40)</f>
        <v>0.01072666</v>
      </c>
      <c r="AN40" s="112">
        <f>AG40*(1+AI40)*(1+AJ40)*AK40*(1+$E$16+VLOOKUP($E40,武器奇术!$A:$R,8,FALSE))</f>
        <v>2882.0528028</v>
      </c>
      <c r="AO40" s="110">
        <f t="shared" si="7"/>
        <v>0.8813852</v>
      </c>
      <c r="AP40" s="112">
        <f>AH40*(1+AI40)*(1+AJ40)*AK40*(1+$E$17+VLOOKUP($E40,武器奇术!$A:$R,10,FALSE))</f>
        <v>2372.4215145</v>
      </c>
      <c r="AQ40" s="110">
        <f t="shared" si="8"/>
        <v>0.0986</v>
      </c>
      <c r="AR40" s="112">
        <f t="shared" si="9"/>
        <v>1757.34927</v>
      </c>
      <c r="AS40" s="110">
        <f t="shared" si="10"/>
        <v>0.00928814000000003</v>
      </c>
      <c r="AT40" s="113">
        <f t="shared" si="11"/>
        <v>2809.29244150533</v>
      </c>
      <c r="AU40" s="108">
        <f>$B$7*IF($G$5="撼天",1.05,1)+IF(AND(VLOOKUP($E40,武器奇术!$A:$R,15,FALSE)="武器",VLOOKUP($E40,武器奇术!$A:$R,17,FALSE)="鸣金"),$E$3,0)*(1+$E$15)</f>
        <v>0</v>
      </c>
      <c r="AV40" s="99">
        <f>(AU40+AW40)*IF(VLOOKUP($E40,武器奇术!$A:$Z,21,FALSE)=1,$G$15,0.5)</f>
        <v>0</v>
      </c>
      <c r="AW40" s="109">
        <f>MAX($C$7*IF($G$5="撼天",1.05,1)+IF(AND(VLOOKUP($E40,武器奇术!$A:$R,15,FALSE)="武器",VLOOKUP($E40,武器奇术!$A:$R,17,FALSE)="鸣金"),$E$3*(1+$E$15),0),AU40)</f>
        <v>0</v>
      </c>
      <c r="AX40" s="110">
        <f>IF(($D$7+IF(VLOOKUP($E40,武器奇术!$A:$R,17,FALSE)="鸣金",$D$15,0)+IF(VLOOKUP($E40,武器奇术!$A:$R,18,FALSE)=1,4,0)+IF(VLOOKUP($E40,武器奇术!$A:$S,19,FALSE)=1,20,0)-VLOOKUP($F$7,目标属性!$A:$R,6,FALSE))&gt;0,($D$7+IF(VLOOKUP($E40,武器奇术!$A:$R,17,FALSE)="鸣金",$D$15,0)+IF(VLOOKUP($E40,武器奇术!$A:$R,18,FALSE)=1,4,0)+IF(VLOOKUP($E40,武器奇术!$A:$S,19,FALSE)=1,20,0)-VLOOKUP($F$7,目标属性!$A:$R,6,FALSE))/200,($D$7+IF(VLOOKUP($E40,武器奇术!$A:$R,17,FALSE)="鸣金",$D$15,0)+IF(VLOOKUP($E40,武器奇术!$A:$R,18,FALSE)=1,4,0)+IF(VLOOKUP($E40,武器奇术!$A:$S,19,FALSE)=1,20,0)-VLOOKUP($F$7,目标属性!$A:$R,6,FALSE))/100)</f>
        <v>-0.24</v>
      </c>
      <c r="AY40" s="111">
        <f t="shared" si="12"/>
        <v>0</v>
      </c>
      <c r="AZ40" s="109">
        <v>1</v>
      </c>
      <c r="BA40" s="112">
        <f>AU40*IF(VLOOKUP($E40,武器奇术!$A:$R,17,FALSE)="鸣金",VLOOKUP($E40,武器奇术!$A:$R,4,FALSE),VLOOKUP($E40,武器奇术!$A:$R,2,FALSE))*(1+AX40)*(1+AY40)*AZ40</f>
        <v>0</v>
      </c>
      <c r="BB40" s="110">
        <f>(1-IF(VLOOKUP($E40,武器奇术!$A:$T,20,FALSE)=1,1,$N40))*(1-$M40)</f>
        <v>0.01072666</v>
      </c>
      <c r="BC40" s="112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10">
        <f t="shared" si="13"/>
        <v>0.8813852</v>
      </c>
      <c r="BE40" s="112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10">
        <f t="shared" si="14"/>
        <v>0.0986</v>
      </c>
      <c r="BG40" s="112">
        <f>AV40*IF(VLOOKUP($E40,武器奇术!$A:$R,17,FALSE)="鸣金",VLOOKUP($E40,武器奇术!$A:$R,4,FALSE),VLOOKUP($E40,武器奇术!$A:$R,2,FALSE))*(1+AX40)*(1+AY40)*AZ40</f>
        <v>0</v>
      </c>
      <c r="BH40" s="110">
        <f t="shared" si="15"/>
        <v>0.00928814000000003</v>
      </c>
      <c r="BI40" s="113">
        <f t="shared" si="16"/>
        <v>0</v>
      </c>
      <c r="BJ40" s="108">
        <f>$B$9*IF($G$5="撼天",1.05,1)+IF(AND(VLOOKUP($E40,武器奇术!$A:$R,15,FALSE)="武器",VLOOKUP($E40,武器奇术!$A:$R,17,FALSE)="裂石"),$E$3,0)*(1+$E$15)</f>
        <v>0</v>
      </c>
      <c r="BK40" s="99">
        <f>(BJ40+BL40)*IF(VLOOKUP($E40,武器奇术!$A:$Z,21,FALSE)=1,$G$15,0.5)</f>
        <v>0</v>
      </c>
      <c r="BL40" s="109">
        <f>MAX($C$9*IF($G$5="撼天",1.05,1)+IF(AND(VLOOKUP($E40,武器奇术!$A:$R,15,FALSE)="武器",VLOOKUP($E40,武器奇术!$A:$R,17,FALSE)="裂石"),$E$3*(1+$E$15),0),BJ40)</f>
        <v>0</v>
      </c>
      <c r="BM40" s="110">
        <f>IF(($D$9+IF(VLOOKUP($E40,武器奇术!$A:$R,17,FALSE)="裂石",$D$15,0)+IF(VLOOKUP($E40,武器奇术!$A:$R,18,FALSE)=1,4,0)+IF(VLOOKUP($E40,武器奇术!$A:$S,19,FALSE)=1,20,0)-VLOOKUP($F$7,目标属性!$A:$R,6,FALSE))&gt;0,($D$9+IF(VLOOKUP($E40,武器奇术!$A:$R,17,FALSE)="裂石",$D$15,0)+IF(VLOOKUP($E40,武器奇术!$A:$R,18,FALSE)=1,4,0)+IF(VLOOKUP($E40,武器奇术!$A:$S,19,FALSE)=1,20,0)-VLOOKUP($F$7,目标属性!$A:$R,6,FALSE))/200,($D$9+IF(VLOOKUP($E40,武器奇术!$A:$R,17,FALSE)="裂石",$D$15,0)+IF(VLOOKUP($E40,武器奇术!$A:$R,18,FALSE)=1,4,0)+IF(VLOOKUP($E40,武器奇术!$A:$S,19,FALSE)=1,20,0)-VLOOKUP($F$7,目标属性!$A:$R,6,FALSE))/100)</f>
        <v>-0.24</v>
      </c>
      <c r="BN40" s="111">
        <f t="shared" si="17"/>
        <v>0</v>
      </c>
      <c r="BO40" s="109">
        <v>1</v>
      </c>
      <c r="BP40" s="112">
        <f>BJ40*IF(VLOOKUP($E40,武器奇术!$A:$R,17,FALSE)="裂石",VLOOKUP($E40,武器奇术!$A:$R,4,FALSE),VLOOKUP($E40,武器奇术!$A:$R,2,FALSE))*(1+BM40)*(1+BN40)*BO40</f>
        <v>0</v>
      </c>
      <c r="BQ40" s="110">
        <f>(1-IF(VLOOKUP($E40,武器奇术!$A:$T,20,FALSE)=1,1,$N40))*(1-$M40)</f>
        <v>0.01072666</v>
      </c>
      <c r="BR40" s="112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10">
        <f t="shared" si="18"/>
        <v>0.8813852</v>
      </c>
      <c r="BT40" s="112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10">
        <f t="shared" si="19"/>
        <v>0.0986</v>
      </c>
      <c r="BV40" s="112">
        <f>BK40*IF(VLOOKUP($E40,武器奇术!$A:$R,17,FALSE)="裂石",VLOOKUP($E40,武器奇术!$A:$R,4,FALSE),VLOOKUP($E40,武器奇术!$A:$R,2,FALSE))*(1+BM40)*(1+BN40)*BO40</f>
        <v>0</v>
      </c>
      <c r="BW40" s="110">
        <f t="shared" si="20"/>
        <v>0.00928814000000003</v>
      </c>
      <c r="BX40" s="113">
        <f t="shared" si="21"/>
        <v>0</v>
      </c>
      <c r="BY40" s="108">
        <f>$B$11*IF($G$5="撼天",1.05,1)+IF(AND(VLOOKUP($E40,武器奇术!$A:$R,15,FALSE)="武器",VLOOKUP($E40,武器奇术!$A:$R,17,FALSE)="牵丝"),$E$3,0)*(1+$E$15)</f>
        <v>0</v>
      </c>
      <c r="BZ40" s="99">
        <f>(BY40+CA40)*IF(VLOOKUP($E40,武器奇术!$A:$Z,21,FALSE)=1,$G$15,0.5)</f>
        <v>0</v>
      </c>
      <c r="CA40" s="109">
        <f>MAX($C$11*IF($G$5="撼天",1.05,1)+IF(AND(VLOOKUP($E40,武器奇术!$A:$R,15,FALSE)="武器",VLOOKUP($E40,武器奇术!$A:$R,17,FALSE)="牵丝"),$E$3*(1+$E$15),0),BY40)</f>
        <v>0</v>
      </c>
      <c r="CB40" s="110">
        <f>IF(($D$11+IF(VLOOKUP($E40,武器奇术!$A:$R,17,FALSE)="牵丝",$D$15,0)+IF(VLOOKUP($E40,武器奇术!$A:$R,18,FALSE)=1,4,0)+IF(VLOOKUP($E40,武器奇术!$A:$S,19,FALSE)=1,20,0)-VLOOKUP($F$7,目标属性!$A:$R,6,FALSE))&gt;0,($D$11+IF(VLOOKUP($E40,武器奇术!$A:$R,17,FALSE)="牵丝",$D$15,0)+IF(VLOOKUP($E40,武器奇术!$A:$R,18,FALSE)=1,4,0)+IF(VLOOKUP($E40,武器奇术!$A:$S,19,FALSE)=1,20,0)-VLOOKUP($F$7,目标属性!$A:$R,6,FALSE))/200,($D$11+IF(VLOOKUP($E40,武器奇术!$A:$R,17,FALSE)="牵丝",$D$15,0)+IF(VLOOKUP($E40,武器奇术!$A:$R,18,FALSE)=1,4,0)+IF(VLOOKUP($E40,武器奇术!$A:$S,19,FALSE)=1,20,0)-VLOOKUP($F$7,目标属性!$A:$R,6,FALSE))/100)</f>
        <v>-0.24</v>
      </c>
      <c r="CC40" s="111">
        <f t="shared" si="22"/>
        <v>0</v>
      </c>
      <c r="CD40" s="109">
        <v>1</v>
      </c>
      <c r="CE40" s="112">
        <f>BY40*IF(VLOOKUP($E40,武器奇术!$A:$R,17,FALSE)="牵丝",VLOOKUP($E40,武器奇术!$A:$R,4,FALSE),VLOOKUP($E40,武器奇术!$A:$R,2,FALSE))*(1+CB40)*(1+CC40)*CD40</f>
        <v>0</v>
      </c>
      <c r="CF40" s="110">
        <f>(1-IF(VLOOKUP($E40,武器奇术!$A:$T,20,FALSE)=1,1,$N40))*(1-$M40)</f>
        <v>0.01072666</v>
      </c>
      <c r="CG40" s="112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110">
        <f t="shared" si="23"/>
        <v>0.8813852</v>
      </c>
      <c r="CI40" s="112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110">
        <f t="shared" si="24"/>
        <v>0.0986</v>
      </c>
      <c r="CK40" s="112">
        <f>BZ40*IF(VLOOKUP($E40,武器奇术!$A:$R,17,FALSE)="牵丝",VLOOKUP($E40,武器奇术!$A:$R,4,FALSE),VLOOKUP($E40,武器奇术!$A:$R,2,FALSE))*(1+CB40)*(1+CC40)*CD40</f>
        <v>0</v>
      </c>
      <c r="CL40" s="110">
        <f t="shared" si="25"/>
        <v>0.00928814000000003</v>
      </c>
      <c r="CM40" s="113">
        <f t="shared" si="26"/>
        <v>0</v>
      </c>
      <c r="CN40" s="108">
        <f>$B$13*IF($G$5="撼天",1.05,1)+IF(AND(VLOOKUP($E40,武器奇术!$A:$R,15,FALSE)="武器",VLOOKUP($E40,武器奇术!$A:$R,17,FALSE)="破竹"),$E$3,0)*(1+$E$15)</f>
        <v>452.55</v>
      </c>
      <c r="CO40" s="99">
        <f>(CN40+CP40)*IF(VLOOKUP($E40,武器奇术!$A:$Z,21,FALSE)=1,$G$15,0.5)</f>
        <v>679.35</v>
      </c>
      <c r="CP40" s="109">
        <f>MAX($C$13*IF($G$5="撼天",1.05,1)+IF(AND(VLOOKUP($E40,武器奇术!$A:$R,15,FALSE)="武器",VLOOKUP($E40,武器奇术!$A:$R,17,FALSE)="破竹"),$E$3*(1+$E$15),0),CN40)</f>
        <v>906.15</v>
      </c>
      <c r="CQ40" s="110">
        <f>IF(($D$13+IF(VLOOKUP($E40,武器奇术!$A:$R,17,FALSE)="破竹",$D$15,0)+IF(VLOOKUP($E40,武器奇术!$A:$R,18,FALSE)=1,4,0)+IF(VLOOKUP($E40,武器奇术!$A:$S,19,FALSE)=1,20,0)-VLOOKUP($F$7,目标属性!$A:$R,6,FALSE))&gt;0,($D$13+IF(VLOOKUP($E40,武器奇术!$A:$R,17,FALSE)="破竹",$D$15,0)+IF(VLOOKUP($E40,武器奇术!$A:$R,18,FALSE)=1,4,0)+IF(VLOOKUP($E40,武器奇术!$A:$S,19,FALSE)=1,20,0)-VLOOKUP($F$7,目标属性!$A:$R,6,FALSE))/200,($D$13+IF(VLOOKUP($E40,武器奇术!$A:$R,17,FALSE)="破竹",$D$15,0)+IF(VLOOKUP($E40,武器奇术!$A:$R,18,FALSE)=1,4,0)+IF(VLOOKUP($E40,武器奇术!$A:$S,19,FALSE)=1,20,0)-VLOOKUP($F$7,目标属性!$A:$R,6,FALSE))/100)</f>
        <v>0.025</v>
      </c>
      <c r="CR40" s="111">
        <f>$E$13+IF(VLOOKUP($E40,武器奇术!$A:$U,21,FALSE)=1,0,0.09)</f>
        <v>0.235</v>
      </c>
      <c r="CS40" s="109">
        <v>1</v>
      </c>
      <c r="CT40" s="112">
        <f>CN40*IF(VLOOKUP($E40,武器奇术!$A:$R,17,FALSE)="破竹",VLOOKUP($E40,武器奇术!$A:$R,4,FALSE),VLOOKUP($E40,武器奇术!$A:$R,2,FALSE))*(1+CQ40)*(1+CR40)*CS40</f>
        <v>6106.5835064325</v>
      </c>
      <c r="CU40" s="110">
        <f>(1-IF(VLOOKUP($E40,武器奇术!$A:$T,20,FALSE)=1,1,$N40))*(1-$M40)</f>
        <v>0.01072666</v>
      </c>
      <c r="CV40" s="112">
        <f>CO40*IF(VLOOKUP($E40,武器奇术!$A:$R,17,FALSE)="破竹",VLOOKUP($E40,武器奇术!$A:$R,4,FALSE),VLOOKUP($E40,武器奇术!$A:$R,2,FALSE))*(1+CQ40)*(1+CR40)*CS40*(1+$E$16+VLOOKUP($E40,武器奇术!$A:$R,8,FALSE))</f>
        <v>15033.8135197341</v>
      </c>
      <c r="CW40" s="110">
        <f t="shared" si="27"/>
        <v>0.8813852</v>
      </c>
      <c r="CX40" s="112">
        <f>CP40*IF(VLOOKUP($E40,武器奇术!$A:$R,17,FALSE)="破竹",VLOOKUP($E40,武器奇术!$A:$R,4,FALSE),VLOOKUP($E40,武器奇术!$A:$R,2,FALSE))*(1+CQ40)*(1+CR40)*CS40*(1+$E$17+VLOOKUP($E40,武器奇术!$A:$R,10,FALSE))</f>
        <v>16506.9028170979</v>
      </c>
      <c r="CY40" s="110">
        <f t="shared" si="28"/>
        <v>0.0986</v>
      </c>
      <c r="CZ40" s="112">
        <f>CO40*IF(VLOOKUP($E40,武器奇术!$A:$R,17,FALSE)="破竹",VLOOKUP($E40,武器奇术!$A:$R,4,FALSE),VLOOKUP($E40,武器奇术!$A:$R,2,FALSE))*(1+CQ40)*(1+CR40)*CS40</f>
        <v>9166.9594632525</v>
      </c>
      <c r="DA40" s="110">
        <f t="shared" si="29"/>
        <v>0.00928814000000003</v>
      </c>
      <c r="DB40" s="113">
        <f t="shared" si="30"/>
        <v>15028.8086015235</v>
      </c>
      <c r="DC40" s="108">
        <f t="shared" si="31"/>
        <v>69.3</v>
      </c>
      <c r="DD40" s="99">
        <f>(DC40+DE40)*IF(VLOOKUP($E40,武器奇术!$A:$Z,21,FALSE)=1,$G$15,0.5)</f>
        <v>69.3</v>
      </c>
      <c r="DE40" s="109">
        <f t="shared" si="32"/>
        <v>69.3</v>
      </c>
      <c r="DF40" s="110">
        <f>IF(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R,18,FALSE)=1,4,0)+IF(VLOOKUP($E40,武器奇术!$A:$S,19,FALSE)=1,20,0)-VLOOKUP($F$7,目标属性!$A:$R,6,FALSE))/100)</f>
        <v>0.025</v>
      </c>
      <c r="DG40" s="111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U,21,FALSE)=1,0,0.09)</f>
        <v>0.235</v>
      </c>
      <c r="DH40" s="109">
        <v>1</v>
      </c>
      <c r="DI40" s="112">
        <f>DC40*IF(VLOOKUP($E40,武器奇术!$A:$R,17,FALSE)="破竹",VLOOKUP($E40,武器奇术!$A:$R,4,FALSE),VLOOKUP($E40,武器奇术!$A:$R,2,FALSE))*(1+DF40)*(1+DG40)*DH40</f>
        <v>935.114875695</v>
      </c>
      <c r="DJ40" s="110">
        <f>(1-IF(VLOOKUP($E40,武器奇术!$A:$T,20,FALSE)=1,1,$N40))*(1-$M40)</f>
        <v>0.01072666</v>
      </c>
      <c r="DK40" s="112">
        <f>DD40*IF(VLOOKUP($E40,武器奇术!$A:$R,17,FALSE)="破竹",VLOOKUP($E40,武器奇术!$A:$R,4,FALSE),VLOOKUP($E40,武器奇术!$A:$R,2,FALSE))*(1+DF40)*(1+DG40)*DH40*(1+$E$16+VLOOKUP($E40,武器奇术!$A:$R,8,FALSE))</f>
        <v>1533.5883961398</v>
      </c>
      <c r="DL40" s="110">
        <f t="shared" si="33"/>
        <v>0.8813852</v>
      </c>
      <c r="DM40" s="112">
        <f>DE40*IF(VLOOKUP($E40,武器奇术!$A:$R,17,FALSE)="破竹",VLOOKUP($E40,武器奇术!$A:$R,4,FALSE),VLOOKUP($E40,武器奇术!$A:$R,2,FALSE))*(1+DF40)*(1+DG40)*DH40*(1+$E$17+VLOOKUP($E40,武器奇术!$A:$R,10,FALSE))</f>
        <v>1262.40508218825</v>
      </c>
      <c r="DN40" s="110">
        <f t="shared" si="34"/>
        <v>0.0986</v>
      </c>
      <c r="DO40" s="112">
        <f>DD40*IF(VLOOKUP($E40,武器奇术!$A:$R,17,FALSE)="破竹",VLOOKUP($E40,武器奇术!$A:$R,4,FALSE),VLOOKUP($E40,武器奇术!$A:$R,2,FALSE))*(1+DF40)*(1+DG40)*DH40</f>
        <v>935.114875695</v>
      </c>
      <c r="DP40" s="110">
        <f t="shared" si="35"/>
        <v>0.00928814000000003</v>
      </c>
      <c r="DQ40" s="113">
        <f t="shared" si="36"/>
        <v>1494.87139356718</v>
      </c>
    </row>
    <row r="41" spans="2:121">
      <c r="B41" s="135"/>
      <c r="C41" s="136"/>
      <c r="D41" s="137"/>
      <c r="E41" s="98" t="str">
        <f>期望!E41</f>
        <v>拳甲～</v>
      </c>
      <c r="F41" s="99">
        <f>期望!F41</f>
        <v>1</v>
      </c>
      <c r="G41" s="115"/>
      <c r="H41" s="100">
        <f>IF(VLOOKUP($E41,武器奇术!$A:$R,18,FALSE)="天工",AE41,(AE41+AT41+BI41+BX41+CM41+DB41+DQ41))*(1+J41)*F41*K41*(1+G41)</f>
        <v>41596.405622604</v>
      </c>
      <c r="I41" s="101">
        <f t="shared" si="0"/>
        <v>0.00513561344334605</v>
      </c>
      <c r="J41" s="116">
        <f>$F$3+VLOOKUP($E41,武器奇术!$A:$R,12,FALSE)+VLOOKUP($E41,武器奇术!$A:$R,14,FALSE)*$G$3+$P41+IF($F$21="√",5%,0)</f>
        <v>0.523</v>
      </c>
      <c r="K41" s="102">
        <f>VLOOKUP($E41,武器奇术!$A:$R,11,FALSE)</f>
        <v>1</v>
      </c>
      <c r="L41" s="117">
        <f>IF(VLOOKUP($E41,武器奇术!$A:$R,15,FALSE)="天工",0%,IF($C$17+VLOOKUP($E41,武器奇术!$A:$R,7,FALSE)&gt;80%,80%,$C$17+VLOOKUP($E41,武器奇术!$A:$R,7,FALSE))+IF($C$19&gt;20%,20%,$C$19))</f>
        <v>0.892</v>
      </c>
      <c r="M41" s="118">
        <f>IF(VLOOKUP($E41,武器奇术!$A:$R,15,FALSE)="天工",0%,IF($C$18+VLOOKUP($E41,武器奇术!$A:$R,9,FALSE)&gt;40%,40%,$C$18+VLOOKUP($E41,武器奇术!$A:$R,9,FALSE))+IF($C$20&gt;10%,10%,$C$20))</f>
        <v>0.0986</v>
      </c>
      <c r="N41" s="119">
        <f>IF(VLOOKUP($E41,武器奇术!$A:$R,15,FALSE)="天工",100%,MIN($C$16,1))</f>
        <v>0.9881</v>
      </c>
      <c r="O41" s="120" t="str">
        <f>VLOOKUP($E41,武器奇术!$A:$R,16,FALSE)</f>
        <v>拳甲</v>
      </c>
      <c r="P41" s="121">
        <f t="shared" si="37"/>
        <v>0.17</v>
      </c>
      <c r="Q41" s="108">
        <f>$B$5*(1+VLOOKUP($E41,武器奇术!$A:$R,5,FALSE)+IF($G$5="飞隼",0.1,0)+IF($G$5="撼天",0.05,0))-$F$9+IF($I$5="√",160,0)</f>
        <v>1731.135</v>
      </c>
      <c r="R41" s="99">
        <f>IF(VLOOKUP($E41,武器奇术!$A:$Z,20,FALSE)=1,(S41-(Q41+S41)*0.5)*($G$15-0.5)*2+(Q41+S41)*0.5,(Q41+S41)*0.5)</f>
        <v>3256.775</v>
      </c>
      <c r="S41" s="109">
        <f>MAX($C$5,$B$5)*(1+VLOOKUP($E41,武器奇术!$A:$R,5,FALSE)+IF($G$5="飞隼",0.1,0)+IF($G$5="撼天",0.05,0))-$F$9+IF($I$5="√",320,0)</f>
        <v>4782.415</v>
      </c>
      <c r="T41" s="101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U41" s="111">
        <f>$E$5+IF(VLOOKUP($E41,武器奇术!$A:$U,21,FALSE)=1,0,0.09)</f>
        <v>0.115</v>
      </c>
      <c r="V41" s="109">
        <v>1</v>
      </c>
      <c r="W41" s="112">
        <f>Q41*VLOOKUP($E41,武器奇术!$A:$R,2,FALSE)*(1+T41)*(1+U41)*V41</f>
        <v>5854.51393233431</v>
      </c>
      <c r="X41" s="110">
        <f>(1-IF(VLOOKUP($E41,武器奇术!$A:$T,20,FALSE)=1,1,$N41))*(1-$M41)</f>
        <v>0.01072666</v>
      </c>
      <c r="Y41" s="112">
        <f>R41*VLOOKUP($E41,武器奇术!$A:$R,2,FALSE)*(1+T41)*(1+U41)*V41*(1+$E$16+VLOOKUP($E41,武器奇术!$A:$R,8,FALSE))</f>
        <v>18063.0677351241</v>
      </c>
      <c r="Z41" s="110">
        <f t="shared" si="1"/>
        <v>0.8813852</v>
      </c>
      <c r="AA41" s="112">
        <f>S41*VLOOKUP($E41,武器奇术!$A:$R,2,FALSE)*(1+T41)*(1+U41)*V41*(1+$E$17+VLOOKUP($E41,武器奇术!$A:$R,10,FALSE))</f>
        <v>21834.3835601505</v>
      </c>
      <c r="AB41" s="110">
        <f t="shared" si="2"/>
        <v>0.0986</v>
      </c>
      <c r="AC41" s="112">
        <f>R41*VLOOKUP($E41,武器奇术!$A:$R,2,FALSE)*(1+T41)*(1+U41)*V41</f>
        <v>11014.0656921488</v>
      </c>
      <c r="AD41" s="110">
        <f t="shared" si="3"/>
        <v>0.00928814000000003</v>
      </c>
      <c r="AE41" s="113">
        <f t="shared" si="4"/>
        <v>18238.490351902</v>
      </c>
      <c r="AF41" s="114">
        <f>VLOOKUP($E41,武器奇术!$A:$R,3,FALSE)*(1+IF(VLOOKUP($E41,武器奇术!$A:$R,15,FALSE)="武器",$E$15,0))</f>
        <v>877.5</v>
      </c>
      <c r="AG41" s="112">
        <f t="shared" si="5"/>
        <v>877.5</v>
      </c>
      <c r="AH41" s="112">
        <f>VLOOKUP($E41,武器奇术!$A:$R,3,FALSE)*(1+IF(VLOOKUP($E41,武器奇术!$A:$R,15,FALSE)="武器",$E$15,0))</f>
        <v>877.5</v>
      </c>
      <c r="AI41" s="101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0.242</v>
      </c>
      <c r="AJ41" s="111">
        <f>$E$5+IF(VLOOKUP($E41,武器奇术!$A:$U,21,FALSE)=1,0,0.09)</f>
        <v>0.115</v>
      </c>
      <c r="AK41" s="109">
        <v>1</v>
      </c>
      <c r="AL41" s="112">
        <f t="shared" si="6"/>
        <v>1215.188325</v>
      </c>
      <c r="AM41" s="110">
        <f>(1-IF(VLOOKUP($E41,武器奇术!$A:$T,20,FALSE)=1,1,$N41))*(1-$M41)</f>
        <v>0.01072666</v>
      </c>
      <c r="AN41" s="112">
        <f>AG41*(1+AI41)*(1+AJ41)*AK41*(1+$E$16+VLOOKUP($E41,武器奇术!$A:$R,8,FALSE))</f>
        <v>1992.908853</v>
      </c>
      <c r="AO41" s="110">
        <f t="shared" si="7"/>
        <v>0.8813852</v>
      </c>
      <c r="AP41" s="112">
        <f>AH41*(1+AI41)*(1+AJ41)*AK41*(1+$E$17+VLOOKUP($E41,武器奇术!$A:$R,10,FALSE))</f>
        <v>1640.50423875</v>
      </c>
      <c r="AQ41" s="110">
        <f t="shared" si="8"/>
        <v>0.0986</v>
      </c>
      <c r="AR41" s="112">
        <f t="shared" si="9"/>
        <v>1215.188325</v>
      </c>
      <c r="AS41" s="110">
        <f t="shared" si="10"/>
        <v>0.00928814000000003</v>
      </c>
      <c r="AT41" s="113">
        <f t="shared" si="11"/>
        <v>1942.59583721114</v>
      </c>
      <c r="AU41" s="108">
        <f>$B$7*IF($G$5="撼天",1.05,1)+IF(AND(VLOOKUP($E41,武器奇术!$A:$R,15,FALSE)="武器",VLOOKUP($E41,武器奇术!$A:$R,17,FALSE)="鸣金"),$E$3,0)*(1+$E$15)</f>
        <v>0</v>
      </c>
      <c r="AV41" s="99">
        <f>(AU41+AW41)*IF(VLOOKUP($E41,武器奇术!$A:$Z,21,FALSE)=1,$G$15,0.5)</f>
        <v>0</v>
      </c>
      <c r="AW41" s="109">
        <f>MAX($C$7*IF($G$5="撼天",1.05,1)+IF(AND(VLOOKUP($E41,武器奇术!$A:$R,15,FALSE)="武器",VLOOKUP($E41,武器奇术!$A:$R,17,FALSE)="鸣金"),$E$3*(1+$E$15),0),AU41)</f>
        <v>0</v>
      </c>
      <c r="AX41" s="110">
        <f>IF(($D$7+IF(VLOOKUP($E41,武器奇术!$A:$R,17,FALSE)="鸣金",$D$15,0)+IF(VLOOKUP($E41,武器奇术!$A:$R,18,FALSE)=1,4,0)+IF(VLOOKUP($E41,武器奇术!$A:$S,19,FALSE)=1,20,0)-VLOOKUP($F$7,目标属性!$A:$R,6,FALSE))&gt;0,($D$7+IF(VLOOKUP($E41,武器奇术!$A:$R,17,FALSE)="鸣金",$D$15,0)+IF(VLOOKUP($E41,武器奇术!$A:$R,18,FALSE)=1,4,0)+IF(VLOOKUP($E41,武器奇术!$A:$S,19,FALSE)=1,20,0)-VLOOKUP($F$7,目标属性!$A:$R,6,FALSE))/200,($D$7+IF(VLOOKUP($E41,武器奇术!$A:$R,17,FALSE)="鸣金",$D$15,0)+IF(VLOOKUP($E41,武器奇术!$A:$R,18,FALSE)=1,4,0)+IF(VLOOKUP($E41,武器奇术!$A:$S,19,FALSE)=1,20,0)-VLOOKUP($F$7,目标属性!$A:$R,6,FALSE))/100)</f>
        <v>-0.24</v>
      </c>
      <c r="AY41" s="111">
        <f t="shared" si="12"/>
        <v>0</v>
      </c>
      <c r="AZ41" s="109">
        <v>1</v>
      </c>
      <c r="BA41" s="112">
        <f>AU41*IF(VLOOKUP($E41,武器奇术!$A:$R,17,FALSE)="鸣金",VLOOKUP($E41,武器奇术!$A:$R,4,FALSE),VLOOKUP($E41,武器奇术!$A:$R,2,FALSE))*(1+AX41)*(1+AY41)*AZ41</f>
        <v>0</v>
      </c>
      <c r="BB41" s="110">
        <f>(1-IF(VLOOKUP($E41,武器奇术!$A:$T,20,FALSE)=1,1,$N41))*(1-$M41)</f>
        <v>0.01072666</v>
      </c>
      <c r="BC41" s="112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10">
        <f t="shared" si="13"/>
        <v>0.8813852</v>
      </c>
      <c r="BE41" s="112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10">
        <f t="shared" si="14"/>
        <v>0.0986</v>
      </c>
      <c r="BG41" s="112">
        <f>AV41*IF(VLOOKUP($E41,武器奇术!$A:$R,17,FALSE)="鸣金",VLOOKUP($E41,武器奇术!$A:$R,4,FALSE),VLOOKUP($E41,武器奇术!$A:$R,2,FALSE))*(1+AX41)*(1+AY41)*AZ41</f>
        <v>0</v>
      </c>
      <c r="BH41" s="110">
        <f t="shared" si="15"/>
        <v>0.00928814000000003</v>
      </c>
      <c r="BI41" s="113">
        <f t="shared" si="16"/>
        <v>0</v>
      </c>
      <c r="BJ41" s="108">
        <f>$B$9*IF($G$5="撼天",1.05,1)+IF(AND(VLOOKUP($E41,武器奇术!$A:$R,15,FALSE)="武器",VLOOKUP($E41,武器奇术!$A:$R,17,FALSE)="裂石"),$E$3,0)*(1+$E$15)</f>
        <v>0</v>
      </c>
      <c r="BK41" s="99">
        <f>(BJ41+BL41)*IF(VLOOKUP($E41,武器奇术!$A:$Z,21,FALSE)=1,$G$15,0.5)</f>
        <v>0</v>
      </c>
      <c r="BL41" s="109">
        <f>MAX($C$9*IF($G$5="撼天",1.05,1)+IF(AND(VLOOKUP($E41,武器奇术!$A:$R,15,FALSE)="武器",VLOOKUP($E41,武器奇术!$A:$R,17,FALSE)="裂石"),$E$3*(1+$E$15),0),BJ41)</f>
        <v>0</v>
      </c>
      <c r="BM41" s="110">
        <f>IF(($D$9+IF(VLOOKUP($E41,武器奇术!$A:$R,17,FALSE)="裂石",$D$15,0)+IF(VLOOKUP($E41,武器奇术!$A:$R,18,FALSE)=1,4,0)+IF(VLOOKUP($E41,武器奇术!$A:$S,19,FALSE)=1,20,0)-VLOOKUP($F$7,目标属性!$A:$R,6,FALSE))&gt;0,($D$9+IF(VLOOKUP($E41,武器奇术!$A:$R,17,FALSE)="裂石",$D$15,0)+IF(VLOOKUP($E41,武器奇术!$A:$R,18,FALSE)=1,4,0)+IF(VLOOKUP($E41,武器奇术!$A:$S,19,FALSE)=1,20,0)-VLOOKUP($F$7,目标属性!$A:$R,6,FALSE))/200,($D$9+IF(VLOOKUP($E41,武器奇术!$A:$R,17,FALSE)="裂石",$D$15,0)+IF(VLOOKUP($E41,武器奇术!$A:$R,18,FALSE)=1,4,0)+IF(VLOOKUP($E41,武器奇术!$A:$S,19,FALSE)=1,20,0)-VLOOKUP($F$7,目标属性!$A:$R,6,FALSE))/100)</f>
        <v>-0.24</v>
      </c>
      <c r="BN41" s="111">
        <f t="shared" si="17"/>
        <v>0</v>
      </c>
      <c r="BO41" s="109">
        <v>1</v>
      </c>
      <c r="BP41" s="112">
        <f>BJ41*IF(VLOOKUP($E41,武器奇术!$A:$R,17,FALSE)="裂石",VLOOKUP($E41,武器奇术!$A:$R,4,FALSE),VLOOKUP($E41,武器奇术!$A:$R,2,FALSE))*(1+BM41)*(1+BN41)*BO41</f>
        <v>0</v>
      </c>
      <c r="BQ41" s="110">
        <f>(1-IF(VLOOKUP($E41,武器奇术!$A:$T,20,FALSE)=1,1,$N41))*(1-$M41)</f>
        <v>0.01072666</v>
      </c>
      <c r="BR41" s="112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10">
        <f t="shared" si="18"/>
        <v>0.8813852</v>
      </c>
      <c r="BT41" s="112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10">
        <f t="shared" si="19"/>
        <v>0.0986</v>
      </c>
      <c r="BV41" s="112">
        <f>BK41*IF(VLOOKUP($E41,武器奇术!$A:$R,17,FALSE)="裂石",VLOOKUP($E41,武器奇术!$A:$R,4,FALSE),VLOOKUP($E41,武器奇术!$A:$R,2,FALSE))*(1+BM41)*(1+BN41)*BO41</f>
        <v>0</v>
      </c>
      <c r="BW41" s="110">
        <f t="shared" si="20"/>
        <v>0.00928814000000003</v>
      </c>
      <c r="BX41" s="113">
        <f t="shared" si="21"/>
        <v>0</v>
      </c>
      <c r="BY41" s="108">
        <f>$B$11*IF($G$5="撼天",1.05,1)+IF(AND(VLOOKUP($E41,武器奇术!$A:$R,15,FALSE)="武器",VLOOKUP($E41,武器奇术!$A:$R,17,FALSE)="牵丝"),$E$3,0)*(1+$E$15)</f>
        <v>0</v>
      </c>
      <c r="BZ41" s="99">
        <f>(BY41+CA41)*IF(VLOOKUP($E41,武器奇术!$A:$Z,21,FALSE)=1,$G$15,0.5)</f>
        <v>0</v>
      </c>
      <c r="CA41" s="109">
        <f>MAX($C$11*IF($G$5="撼天",1.05,1)+IF(AND(VLOOKUP($E41,武器奇术!$A:$R,15,FALSE)="武器",VLOOKUP($E41,武器奇术!$A:$R,17,FALSE)="牵丝"),$E$3*(1+$E$15),0),BY41)</f>
        <v>0</v>
      </c>
      <c r="CB41" s="110">
        <f>IF(($D$11+IF(VLOOKUP($E41,武器奇术!$A:$R,17,FALSE)="牵丝",$D$15,0)+IF(VLOOKUP($E41,武器奇术!$A:$R,18,FALSE)=1,4,0)+IF(VLOOKUP($E41,武器奇术!$A:$S,19,FALSE)=1,20,0)-VLOOKUP($F$7,目标属性!$A:$R,6,FALSE))&gt;0,($D$11+IF(VLOOKUP($E41,武器奇术!$A:$R,17,FALSE)="牵丝",$D$15,0)+IF(VLOOKUP($E41,武器奇术!$A:$R,18,FALSE)=1,4,0)+IF(VLOOKUP($E41,武器奇术!$A:$S,19,FALSE)=1,20,0)-VLOOKUP($F$7,目标属性!$A:$R,6,FALSE))/200,($D$11+IF(VLOOKUP($E41,武器奇术!$A:$R,17,FALSE)="牵丝",$D$15,0)+IF(VLOOKUP($E41,武器奇术!$A:$R,18,FALSE)=1,4,0)+IF(VLOOKUP($E41,武器奇术!$A:$S,19,FALSE)=1,20,0)-VLOOKUP($F$7,目标属性!$A:$R,6,FALSE))/100)</f>
        <v>-0.24</v>
      </c>
      <c r="CC41" s="111">
        <f t="shared" si="22"/>
        <v>0</v>
      </c>
      <c r="CD41" s="109">
        <v>1</v>
      </c>
      <c r="CE41" s="112">
        <f>BY41*IF(VLOOKUP($E41,武器奇术!$A:$R,17,FALSE)="牵丝",VLOOKUP($E41,武器奇术!$A:$R,4,FALSE),VLOOKUP($E41,武器奇术!$A:$R,2,FALSE))*(1+CB41)*(1+CC41)*CD41</f>
        <v>0</v>
      </c>
      <c r="CF41" s="110">
        <f>(1-IF(VLOOKUP($E41,武器奇术!$A:$T,20,FALSE)=1,1,$N41))*(1-$M41)</f>
        <v>0.01072666</v>
      </c>
      <c r="CG41" s="112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110">
        <f t="shared" si="23"/>
        <v>0.8813852</v>
      </c>
      <c r="CI41" s="112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110">
        <f t="shared" si="24"/>
        <v>0.0986</v>
      </c>
      <c r="CK41" s="112">
        <f>BZ41*IF(VLOOKUP($E41,武器奇术!$A:$R,17,FALSE)="牵丝",VLOOKUP($E41,武器奇术!$A:$R,4,FALSE),VLOOKUP($E41,武器奇术!$A:$R,2,FALSE))*(1+CB41)*(1+CC41)*CD41</f>
        <v>0</v>
      </c>
      <c r="CL41" s="110">
        <f t="shared" si="25"/>
        <v>0.00928814000000003</v>
      </c>
      <c r="CM41" s="113">
        <f t="shared" si="26"/>
        <v>0</v>
      </c>
      <c r="CN41" s="108">
        <f>$B$13*IF($G$5="撼天",1.05,1)+IF(AND(VLOOKUP($E41,武器奇术!$A:$R,15,FALSE)="武器",VLOOKUP($E41,武器奇术!$A:$R,17,FALSE)="破竹"),$E$3,0)*(1+$E$15)</f>
        <v>648.46</v>
      </c>
      <c r="CO41" s="99">
        <f>(CN41+CP41)*IF(VLOOKUP($E41,武器奇术!$A:$Z,21,FALSE)=1,$G$15,0.5)</f>
        <v>875.26</v>
      </c>
      <c r="CP41" s="109">
        <f>MAX($C$13*IF($G$5="撼天",1.05,1)+IF(AND(VLOOKUP($E41,武器奇术!$A:$R,15,FALSE)="武器",VLOOKUP($E41,武器奇术!$A:$R,17,FALSE)="破竹"),$E$3*(1+$E$15),0),CN41)</f>
        <v>1102.06</v>
      </c>
      <c r="CQ41" s="110">
        <f>IF(($D$13+IF(VLOOKUP($E41,武器奇术!$A:$R,17,FALSE)="破竹",$D$15,0)+IF(VLOOKUP($E41,武器奇术!$A:$R,18,FALSE)=1,4,0)+IF(VLOOKUP($E41,武器奇术!$A:$S,19,FALSE)=1,20,0)-VLOOKUP($F$7,目标属性!$A:$R,6,FALSE))&gt;0,($D$13+IF(VLOOKUP($E41,武器奇术!$A:$R,17,FALSE)="破竹",$D$15,0)+IF(VLOOKUP($E41,武器奇术!$A:$R,18,FALSE)=1,4,0)+IF(VLOOKUP($E41,武器奇术!$A:$S,19,FALSE)=1,20,0)-VLOOKUP($F$7,目标属性!$A:$R,6,FALSE))/200,($D$13+IF(VLOOKUP($E41,武器奇术!$A:$R,17,FALSE)="破竹",$D$15,0)+IF(VLOOKUP($E41,武器奇术!$A:$R,18,FALSE)=1,4,0)+IF(VLOOKUP($E41,武器奇术!$A:$S,19,FALSE)=1,20,0)-VLOOKUP($F$7,目标属性!$A:$R,6,FALSE))/100)</f>
        <v>0.025</v>
      </c>
      <c r="CR41" s="111">
        <f>$E$13+IF(VLOOKUP($E41,武器奇术!$A:$U,21,FALSE)=1,0,0.09)</f>
        <v>0.235</v>
      </c>
      <c r="CS41" s="109">
        <v>1</v>
      </c>
      <c r="CT41" s="112">
        <f>CN41*IF(VLOOKUP($E41,武器奇术!$A:$R,17,FALSE)="破竹",VLOOKUP($E41,武器奇术!$A:$R,4,FALSE),VLOOKUP($E41,武器奇术!$A:$R,2,FALSE))*(1+CQ41)*(1+CR41)*CS41</f>
        <v>3007.1726027785</v>
      </c>
      <c r="CU41" s="110">
        <f>(1-IF(VLOOKUP($E41,武器奇术!$A:$T,20,FALSE)=1,1,$N41))*(1-$M41)</f>
        <v>0.01072666</v>
      </c>
      <c r="CV41" s="112">
        <f>CO41*IF(VLOOKUP($E41,武器奇术!$A:$R,17,FALSE)="破竹",VLOOKUP($E41,武器奇术!$A:$R,4,FALSE),VLOOKUP($E41,武器奇术!$A:$R,2,FALSE))*(1+CQ41)*(1+CR41)*CS41*(1+$E$16+VLOOKUP($E41,武器奇术!$A:$R,8,FALSE))</f>
        <v>6656.65568174594</v>
      </c>
      <c r="CW41" s="110">
        <f t="shared" si="27"/>
        <v>0.8813852</v>
      </c>
      <c r="CX41" s="112">
        <f>CP41*IF(VLOOKUP($E41,武器奇术!$A:$R,17,FALSE)="破竹",VLOOKUP($E41,武器奇术!$A:$R,4,FALSE),VLOOKUP($E41,武器奇术!$A:$R,2,FALSE))*(1+CQ41)*(1+CR41)*CS41*(1+$E$17+VLOOKUP($E41,武器奇术!$A:$R,10,FALSE))</f>
        <v>6899.44524278198</v>
      </c>
      <c r="CY41" s="110">
        <f t="shared" si="28"/>
        <v>0.0986</v>
      </c>
      <c r="CZ41" s="112">
        <f>CO41*IF(VLOOKUP($E41,武器奇术!$A:$R,17,FALSE)="破竹",VLOOKUP($E41,武器奇术!$A:$R,4,FALSE),VLOOKUP($E41,武器奇术!$A:$R,2,FALSE))*(1+CQ41)*(1+CR41)*CS41</f>
        <v>4058.9363913085</v>
      </c>
      <c r="DA41" s="110">
        <f t="shared" si="29"/>
        <v>0.00928814000000003</v>
      </c>
      <c r="DB41" s="113">
        <f t="shared" si="30"/>
        <v>6617.31998784997</v>
      </c>
      <c r="DC41" s="108">
        <f t="shared" si="31"/>
        <v>69.3</v>
      </c>
      <c r="DD41" s="99">
        <f>(DC41+DE41)*IF(VLOOKUP($E41,武器奇术!$A:$Z,21,FALSE)=1,$G$15,0.5)</f>
        <v>69.3</v>
      </c>
      <c r="DE41" s="109">
        <f t="shared" si="32"/>
        <v>69.3</v>
      </c>
      <c r="DF41" s="110">
        <f>IF(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R,18,FALSE)=1,4,0)+IF(VLOOKUP($E41,武器奇术!$A:$S,19,FALSE)=1,20,0)-VLOOKUP($F$7,目标属性!$A:$R,6,FALSE))/100)</f>
        <v>0.025</v>
      </c>
      <c r="DG41" s="111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U,21,FALSE)=1,0,0.09)</f>
        <v>0.235</v>
      </c>
      <c r="DH41" s="109">
        <v>1</v>
      </c>
      <c r="DI41" s="112">
        <f>DC41*IF(VLOOKUP($E41,武器奇术!$A:$R,17,FALSE)="破竹",VLOOKUP($E41,武器奇术!$A:$R,4,FALSE),VLOOKUP($E41,武器奇术!$A:$R,2,FALSE))*(1+DF41)*(1+DG41)*DH41</f>
        <v>321.3722687175</v>
      </c>
      <c r="DJ41" s="110">
        <f>(1-IF(VLOOKUP($E41,武器奇术!$A:$T,20,FALSE)=1,1,$N41))*(1-$M41)</f>
        <v>0.01072666</v>
      </c>
      <c r="DK41" s="112">
        <f>DD41*IF(VLOOKUP($E41,武器奇术!$A:$R,17,FALSE)="破竹",VLOOKUP($E41,武器奇术!$A:$R,4,FALSE),VLOOKUP($E41,武器奇术!$A:$R,2,FALSE))*(1+DF41)*(1+DG41)*DH41*(1+$E$16+VLOOKUP($E41,武器奇术!$A:$R,8,FALSE))</f>
        <v>527.0505206967</v>
      </c>
      <c r="DL41" s="110">
        <f t="shared" si="33"/>
        <v>0.8813852</v>
      </c>
      <c r="DM41" s="112">
        <f>DE41*IF(VLOOKUP($E41,武器奇术!$A:$R,17,FALSE)="破竹",VLOOKUP($E41,武器奇术!$A:$R,4,FALSE),VLOOKUP($E41,武器奇术!$A:$R,2,FALSE))*(1+DF41)*(1+DG41)*DH41*(1+$E$17+VLOOKUP($E41,武器奇术!$A:$R,10,FALSE))</f>
        <v>433.852562768625</v>
      </c>
      <c r="DN41" s="110">
        <f t="shared" si="34"/>
        <v>0.0986</v>
      </c>
      <c r="DO41" s="112">
        <f>DD41*IF(VLOOKUP($E41,武器奇术!$A:$R,17,FALSE)="破竹",VLOOKUP($E41,武器奇术!$A:$R,4,FALSE),VLOOKUP($E41,武器奇术!$A:$R,2,FALSE))*(1+DF41)*(1+DG41)*DH41</f>
        <v>321.3722687175</v>
      </c>
      <c r="DP41" s="110">
        <f t="shared" si="35"/>
        <v>0.00928814000000003</v>
      </c>
      <c r="DQ41" s="113">
        <f t="shared" si="36"/>
        <v>513.744592967279</v>
      </c>
    </row>
    <row r="42" spans="2:121">
      <c r="B42" s="135"/>
      <c r="C42" s="136"/>
      <c r="D42" s="137"/>
      <c r="E42" s="98" t="str">
        <f>期望!E42</f>
        <v>拳甲普攻56</v>
      </c>
      <c r="F42" s="99">
        <f>期望!F42</f>
        <v>1</v>
      </c>
      <c r="G42" s="115"/>
      <c r="H42" s="100">
        <f>IF(VLOOKUP($E42,武器奇术!$A:$R,18,FALSE)="天工",AE42,(AE42+AT42+BI42+BX42+CM42+DB42+DQ42))*(1+J42)*F42*K42*(1+G42)</f>
        <v>21940.2933760744</v>
      </c>
      <c r="I42" s="101">
        <f t="shared" si="0"/>
        <v>0.0027088125506665</v>
      </c>
      <c r="J42" s="116">
        <f>$F$3+VLOOKUP($E42,武器奇术!$A:$R,12,FALSE)+VLOOKUP($E42,武器奇术!$A:$R,14,FALSE)*$G$3+$P42+IF($F$21="√",5%,0)</f>
        <v>0.523</v>
      </c>
      <c r="K42" s="102">
        <f>VLOOKUP($E42,武器奇术!$A:$R,11,FALSE)</f>
        <v>1</v>
      </c>
      <c r="L42" s="117">
        <f>IF(VLOOKUP($E42,武器奇术!$A:$R,15,FALSE)="天工",0%,IF($C$17+VLOOKUP($E42,武器奇术!$A:$R,7,FALSE)&gt;80%,80%,$C$17+VLOOKUP($E42,武器奇术!$A:$R,7,FALSE))+IF($C$19&gt;20%,20%,$C$19))</f>
        <v>0.892</v>
      </c>
      <c r="M42" s="118">
        <f>IF(VLOOKUP($E42,武器奇术!$A:$R,15,FALSE)="天工",0%,IF($C$18+VLOOKUP($E42,武器奇术!$A:$R,9,FALSE)&gt;40%,40%,$C$18+VLOOKUP($E42,武器奇术!$A:$R,9,FALSE))+IF($C$20&gt;10%,10%,$C$20))</f>
        <v>0.0986</v>
      </c>
      <c r="N42" s="119">
        <f>IF(VLOOKUP($E42,武器奇术!$A:$R,15,FALSE)="天工",100%,MIN($C$16,1))</f>
        <v>0.9881</v>
      </c>
      <c r="O42" s="120" t="str">
        <f>VLOOKUP($E42,武器奇术!$A:$R,16,FALSE)</f>
        <v>拳甲</v>
      </c>
      <c r="P42" s="121">
        <f t="shared" si="37"/>
        <v>0.17</v>
      </c>
      <c r="Q42" s="108">
        <f>$B$5*(1+VLOOKUP($E42,武器奇术!$A:$R,5,FALSE)+IF($G$5="飞隼",0.1,0)+IF($G$5="撼天",0.05,0))-$F$9+IF($I$5="√",160,0)</f>
        <v>1731.135</v>
      </c>
      <c r="R42" s="99">
        <f>IF(VLOOKUP($E42,武器奇术!$A:$Z,20,FALSE)=1,(S42-(Q42+S42)*0.5)*($G$15-0.5)*2+(Q42+S42)*0.5,(Q42+S42)*0.5)</f>
        <v>3256.775</v>
      </c>
      <c r="S42" s="109">
        <f>MAX($C$5,$B$5)*(1+VLOOKUP($E42,武器奇术!$A:$R,5,FALSE)+IF($G$5="飞隼",0.1,0)+IF($G$5="撼天",0.05,0))-$F$9+IF($I$5="√",320,0)</f>
        <v>4782.415</v>
      </c>
      <c r="T42" s="101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U42" s="111">
        <f>$E$5+IF(VLOOKUP($E42,武器奇术!$A:$U,21,FALSE)=1,0,0.09)</f>
        <v>0.115</v>
      </c>
      <c r="V42" s="109">
        <v>1</v>
      </c>
      <c r="W42" s="112">
        <f>Q42*VLOOKUP($E42,武器奇术!$A:$R,2,FALSE)*(1+T42)*(1+U42)*V42</f>
        <v>3086.79912340758</v>
      </c>
      <c r="X42" s="110">
        <f>(1-IF(VLOOKUP($E42,武器奇术!$A:$T,20,FALSE)=1,1,$N42))*(1-$M42)</f>
        <v>0.01072666</v>
      </c>
      <c r="Y42" s="112">
        <f>R42*VLOOKUP($E42,武器奇术!$A:$R,2,FALSE)*(1+T42)*(1+U42)*V42*(1+$E$16+VLOOKUP($E42,武器奇术!$A:$R,8,FALSE))</f>
        <v>9523.77298871699</v>
      </c>
      <c r="Z42" s="110">
        <f t="shared" si="1"/>
        <v>0.8813852</v>
      </c>
      <c r="AA42" s="112">
        <f>S42*VLOOKUP($E42,武器奇术!$A:$R,2,FALSE)*(1+T42)*(1+U42)*V42*(1+$E$17+VLOOKUP($E42,武器奇术!$A:$R,10,FALSE))</f>
        <v>11512.2035428729</v>
      </c>
      <c r="AB42" s="110">
        <f t="shared" si="2"/>
        <v>0.0986</v>
      </c>
      <c r="AC42" s="112">
        <f>R42*VLOOKUP($E42,武器奇术!$A:$R,2,FALSE)*(1+T42)*(1+U42)*V42</f>
        <v>5807.1786516567</v>
      </c>
      <c r="AD42" s="110">
        <f t="shared" si="3"/>
        <v>0.00928814000000003</v>
      </c>
      <c r="AE42" s="113">
        <f t="shared" si="4"/>
        <v>9616.26476274887</v>
      </c>
      <c r="AF42" s="114">
        <f>VLOOKUP($E42,武器奇术!$A:$R,3,FALSE)*(1+IF(VLOOKUP($E42,武器奇术!$A:$R,15,FALSE)="武器",$E$15,0))</f>
        <v>465.4</v>
      </c>
      <c r="AG42" s="112">
        <f t="shared" si="5"/>
        <v>465.4</v>
      </c>
      <c r="AH42" s="112">
        <f>VLOOKUP($E42,武器奇术!$A:$R,3,FALSE)*(1+IF(VLOOKUP($E42,武器奇术!$A:$R,15,FALSE)="武器",$E$15,0))</f>
        <v>465.4</v>
      </c>
      <c r="AI42" s="101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0.242</v>
      </c>
      <c r="AJ42" s="111">
        <f>$E$5+IF(VLOOKUP($E42,武器奇术!$A:$U,21,FALSE)=1,0,0.09)</f>
        <v>0.115</v>
      </c>
      <c r="AK42" s="109">
        <v>1</v>
      </c>
      <c r="AL42" s="112">
        <f t="shared" si="6"/>
        <v>644.499882</v>
      </c>
      <c r="AM42" s="110">
        <f>(1-IF(VLOOKUP($E42,武器奇术!$A:$T,20,FALSE)=1,1,$N42))*(1-$M42)</f>
        <v>0.01072666</v>
      </c>
      <c r="AN42" s="112">
        <f>AG42*(1+AI42)*(1+AJ42)*AK42*(1+$E$16+VLOOKUP($E42,武器奇术!$A:$R,8,FALSE))</f>
        <v>1056.97980648</v>
      </c>
      <c r="AO42" s="110">
        <f t="shared" si="7"/>
        <v>0.8813852</v>
      </c>
      <c r="AP42" s="112">
        <f>AH42*(1+AI42)*(1+AJ42)*AK42*(1+$E$17+VLOOKUP($E42,武器奇术!$A:$R,10,FALSE))</f>
        <v>870.0748407</v>
      </c>
      <c r="AQ42" s="110">
        <f t="shared" si="8"/>
        <v>0.0986</v>
      </c>
      <c r="AR42" s="112">
        <f t="shared" si="9"/>
        <v>644.499882</v>
      </c>
      <c r="AS42" s="110">
        <f t="shared" si="10"/>
        <v>0.00928814000000003</v>
      </c>
      <c r="AT42" s="113">
        <f t="shared" si="11"/>
        <v>1030.29527366161</v>
      </c>
      <c r="AU42" s="108">
        <f>$B$7*IF($G$5="撼天",1.05,1)+IF(AND(VLOOKUP($E42,武器奇术!$A:$R,15,FALSE)="武器",VLOOKUP($E42,武器奇术!$A:$R,17,FALSE)="鸣金"),$E$3,0)*(1+$E$15)</f>
        <v>0</v>
      </c>
      <c r="AV42" s="99">
        <f>(AU42+AW42)*IF(VLOOKUP($E42,武器奇术!$A:$Z,21,FALSE)=1,$G$15,0.5)</f>
        <v>0</v>
      </c>
      <c r="AW42" s="109">
        <f>MAX($C$7*IF($G$5="撼天",1.05,1)+IF(AND(VLOOKUP($E42,武器奇术!$A:$R,15,FALSE)="武器",VLOOKUP($E42,武器奇术!$A:$R,17,FALSE)="鸣金"),$E$3*(1+$E$15),0),AU42)</f>
        <v>0</v>
      </c>
      <c r="AX42" s="110">
        <f>IF(($D$7+IF(VLOOKUP($E42,武器奇术!$A:$R,17,FALSE)="鸣金",$D$15,0)+IF(VLOOKUP($E42,武器奇术!$A:$R,18,FALSE)=1,4,0)+IF(VLOOKUP($E42,武器奇术!$A:$S,19,FALSE)=1,20,0)-VLOOKUP($F$7,目标属性!$A:$R,6,FALSE))&gt;0,($D$7+IF(VLOOKUP($E42,武器奇术!$A:$R,17,FALSE)="鸣金",$D$15,0)+IF(VLOOKUP($E42,武器奇术!$A:$R,18,FALSE)=1,4,0)+IF(VLOOKUP($E42,武器奇术!$A:$S,19,FALSE)=1,20,0)-VLOOKUP($F$7,目标属性!$A:$R,6,FALSE))/200,($D$7+IF(VLOOKUP($E42,武器奇术!$A:$R,17,FALSE)="鸣金",$D$15,0)+IF(VLOOKUP($E42,武器奇术!$A:$R,18,FALSE)=1,4,0)+IF(VLOOKUP($E42,武器奇术!$A:$S,19,FALSE)=1,20,0)-VLOOKUP($F$7,目标属性!$A:$R,6,FALSE))/100)</f>
        <v>-0.24</v>
      </c>
      <c r="AY42" s="111">
        <f t="shared" si="12"/>
        <v>0</v>
      </c>
      <c r="AZ42" s="109">
        <v>1</v>
      </c>
      <c r="BA42" s="112">
        <f>AU42*IF(VLOOKUP($E42,武器奇术!$A:$R,17,FALSE)="鸣金",VLOOKUP($E42,武器奇术!$A:$R,4,FALSE),VLOOKUP($E42,武器奇术!$A:$R,2,FALSE))*(1+AX42)*(1+AY42)*AZ42</f>
        <v>0</v>
      </c>
      <c r="BB42" s="110">
        <f>(1-IF(VLOOKUP($E42,武器奇术!$A:$T,20,FALSE)=1,1,$N42))*(1-$M42)</f>
        <v>0.01072666</v>
      </c>
      <c r="BC42" s="112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10">
        <f t="shared" si="13"/>
        <v>0.8813852</v>
      </c>
      <c r="BE42" s="112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10">
        <f t="shared" si="14"/>
        <v>0.0986</v>
      </c>
      <c r="BG42" s="112">
        <f>AV42*IF(VLOOKUP($E42,武器奇术!$A:$R,17,FALSE)="鸣金",VLOOKUP($E42,武器奇术!$A:$R,4,FALSE),VLOOKUP($E42,武器奇术!$A:$R,2,FALSE))*(1+AX42)*(1+AY42)*AZ42</f>
        <v>0</v>
      </c>
      <c r="BH42" s="110">
        <f t="shared" si="15"/>
        <v>0.00928814000000003</v>
      </c>
      <c r="BI42" s="113">
        <f t="shared" si="16"/>
        <v>0</v>
      </c>
      <c r="BJ42" s="108">
        <f>$B$9*IF($G$5="撼天",1.05,1)+IF(AND(VLOOKUP($E42,武器奇术!$A:$R,15,FALSE)="武器",VLOOKUP($E42,武器奇术!$A:$R,17,FALSE)="裂石"),$E$3,0)*(1+$E$15)</f>
        <v>0</v>
      </c>
      <c r="BK42" s="99">
        <f>(BJ42+BL42)*IF(VLOOKUP($E42,武器奇术!$A:$Z,21,FALSE)=1,$G$15,0.5)</f>
        <v>0</v>
      </c>
      <c r="BL42" s="109">
        <f>MAX($C$9*IF($G$5="撼天",1.05,1)+IF(AND(VLOOKUP($E42,武器奇术!$A:$R,15,FALSE)="武器",VLOOKUP($E42,武器奇术!$A:$R,17,FALSE)="裂石"),$E$3*(1+$E$15),0),BJ42)</f>
        <v>0</v>
      </c>
      <c r="BM42" s="110">
        <f>IF(($D$9+IF(VLOOKUP($E42,武器奇术!$A:$R,17,FALSE)="裂石",$D$15,0)+IF(VLOOKUP($E42,武器奇术!$A:$R,18,FALSE)=1,4,0)+IF(VLOOKUP($E42,武器奇术!$A:$S,19,FALSE)=1,20,0)-VLOOKUP($F$7,目标属性!$A:$R,6,FALSE))&gt;0,($D$9+IF(VLOOKUP($E42,武器奇术!$A:$R,17,FALSE)="裂石",$D$15,0)+IF(VLOOKUP($E42,武器奇术!$A:$R,18,FALSE)=1,4,0)+IF(VLOOKUP($E42,武器奇术!$A:$S,19,FALSE)=1,20,0)-VLOOKUP($F$7,目标属性!$A:$R,6,FALSE))/200,($D$9+IF(VLOOKUP($E42,武器奇术!$A:$R,17,FALSE)="裂石",$D$15,0)+IF(VLOOKUP($E42,武器奇术!$A:$R,18,FALSE)=1,4,0)+IF(VLOOKUP($E42,武器奇术!$A:$S,19,FALSE)=1,20,0)-VLOOKUP($F$7,目标属性!$A:$R,6,FALSE))/100)</f>
        <v>-0.24</v>
      </c>
      <c r="BN42" s="111">
        <f t="shared" si="17"/>
        <v>0</v>
      </c>
      <c r="BO42" s="109">
        <v>1</v>
      </c>
      <c r="BP42" s="112">
        <f>BJ42*IF(VLOOKUP($E42,武器奇术!$A:$R,17,FALSE)="裂石",VLOOKUP($E42,武器奇术!$A:$R,4,FALSE),VLOOKUP($E42,武器奇术!$A:$R,2,FALSE))*(1+BM42)*(1+BN42)*BO42</f>
        <v>0</v>
      </c>
      <c r="BQ42" s="110">
        <f>(1-IF(VLOOKUP($E42,武器奇术!$A:$T,20,FALSE)=1,1,$N42))*(1-$M42)</f>
        <v>0.01072666</v>
      </c>
      <c r="BR42" s="112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10">
        <f t="shared" si="18"/>
        <v>0.8813852</v>
      </c>
      <c r="BT42" s="112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10">
        <f t="shared" si="19"/>
        <v>0.0986</v>
      </c>
      <c r="BV42" s="112">
        <f>BK42*IF(VLOOKUP($E42,武器奇术!$A:$R,17,FALSE)="裂石",VLOOKUP($E42,武器奇术!$A:$R,4,FALSE),VLOOKUP($E42,武器奇术!$A:$R,2,FALSE))*(1+BM42)*(1+BN42)*BO42</f>
        <v>0</v>
      </c>
      <c r="BW42" s="110">
        <f t="shared" si="20"/>
        <v>0.00928814000000003</v>
      </c>
      <c r="BX42" s="113">
        <f t="shared" si="21"/>
        <v>0</v>
      </c>
      <c r="BY42" s="108">
        <f>$B$11*IF($G$5="撼天",1.05,1)+IF(AND(VLOOKUP($E42,武器奇术!$A:$R,15,FALSE)="武器",VLOOKUP($E42,武器奇术!$A:$R,17,FALSE)="牵丝"),$E$3,0)*(1+$E$15)</f>
        <v>0</v>
      </c>
      <c r="BZ42" s="99">
        <f>(BY42+CA42)*IF(VLOOKUP($E42,武器奇术!$A:$Z,21,FALSE)=1,$G$15,0.5)</f>
        <v>0</v>
      </c>
      <c r="CA42" s="109">
        <f>MAX($C$11*IF($G$5="撼天",1.05,1)+IF(AND(VLOOKUP($E42,武器奇术!$A:$R,15,FALSE)="武器",VLOOKUP($E42,武器奇术!$A:$R,17,FALSE)="牵丝"),$E$3*(1+$E$15),0),BY42)</f>
        <v>0</v>
      </c>
      <c r="CB42" s="110">
        <f>IF(($D$11+IF(VLOOKUP($E42,武器奇术!$A:$R,17,FALSE)="牵丝",$D$15,0)+IF(VLOOKUP($E42,武器奇术!$A:$R,18,FALSE)=1,4,0)+IF(VLOOKUP($E42,武器奇术!$A:$S,19,FALSE)=1,20,0)-VLOOKUP($F$7,目标属性!$A:$R,6,FALSE))&gt;0,($D$11+IF(VLOOKUP($E42,武器奇术!$A:$R,17,FALSE)="牵丝",$D$15,0)+IF(VLOOKUP($E42,武器奇术!$A:$R,18,FALSE)=1,4,0)+IF(VLOOKUP($E42,武器奇术!$A:$S,19,FALSE)=1,20,0)-VLOOKUP($F$7,目标属性!$A:$R,6,FALSE))/200,($D$11+IF(VLOOKUP($E42,武器奇术!$A:$R,17,FALSE)="牵丝",$D$15,0)+IF(VLOOKUP($E42,武器奇术!$A:$R,18,FALSE)=1,4,0)+IF(VLOOKUP($E42,武器奇术!$A:$S,19,FALSE)=1,20,0)-VLOOKUP($F$7,目标属性!$A:$R,6,FALSE))/100)</f>
        <v>-0.24</v>
      </c>
      <c r="CC42" s="111">
        <f t="shared" si="22"/>
        <v>0</v>
      </c>
      <c r="CD42" s="109">
        <v>1</v>
      </c>
      <c r="CE42" s="112">
        <f>BY42*IF(VLOOKUP($E42,武器奇术!$A:$R,17,FALSE)="牵丝",VLOOKUP($E42,武器奇术!$A:$R,4,FALSE),VLOOKUP($E42,武器奇术!$A:$R,2,FALSE))*(1+CB42)*(1+CC42)*CD42</f>
        <v>0</v>
      </c>
      <c r="CF42" s="110">
        <f>(1-IF(VLOOKUP($E42,武器奇术!$A:$T,20,FALSE)=1,1,$N42))*(1-$M42)</f>
        <v>0.01072666</v>
      </c>
      <c r="CG42" s="112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110">
        <f t="shared" si="23"/>
        <v>0.8813852</v>
      </c>
      <c r="CI42" s="112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110">
        <f t="shared" si="24"/>
        <v>0.0986</v>
      </c>
      <c r="CK42" s="112">
        <f>BZ42*IF(VLOOKUP($E42,武器奇术!$A:$R,17,FALSE)="牵丝",VLOOKUP($E42,武器奇术!$A:$R,4,FALSE),VLOOKUP($E42,武器奇术!$A:$R,2,FALSE))*(1+CB42)*(1+CC42)*CD42</f>
        <v>0</v>
      </c>
      <c r="CL42" s="110">
        <f t="shared" si="25"/>
        <v>0.00928814000000003</v>
      </c>
      <c r="CM42" s="113">
        <f t="shared" si="26"/>
        <v>0</v>
      </c>
      <c r="CN42" s="108">
        <f>$B$13*IF($G$5="撼天",1.05,1)+IF(AND(VLOOKUP($E42,武器奇术!$A:$R,15,FALSE)="武器",VLOOKUP($E42,武器奇术!$A:$R,17,FALSE)="破竹"),$E$3,0)*(1+$E$15)</f>
        <v>648.46</v>
      </c>
      <c r="CO42" s="99">
        <f>(CN42+CP42)*IF(VLOOKUP($E42,武器奇术!$A:$Z,21,FALSE)=1,$G$15,0.5)</f>
        <v>875.26</v>
      </c>
      <c r="CP42" s="109">
        <f>MAX($C$13*IF($G$5="撼天",1.05,1)+IF(AND(VLOOKUP($E42,武器奇术!$A:$R,15,FALSE)="武器",VLOOKUP($E42,武器奇术!$A:$R,17,FALSE)="破竹"),$E$3*(1+$E$15),0),CN42)</f>
        <v>1102.06</v>
      </c>
      <c r="CQ42" s="110">
        <f>IF(($D$13+IF(VLOOKUP($E42,武器奇术!$A:$R,17,FALSE)="破竹",$D$15,0)+IF(VLOOKUP($E42,武器奇术!$A:$R,18,FALSE)=1,4,0)+IF(VLOOKUP($E42,武器奇术!$A:$S,19,FALSE)=1,20,0)-VLOOKUP($F$7,目标属性!$A:$R,6,FALSE))&gt;0,($D$13+IF(VLOOKUP($E42,武器奇术!$A:$R,17,FALSE)="破竹",$D$15,0)+IF(VLOOKUP($E42,武器奇术!$A:$R,18,FALSE)=1,4,0)+IF(VLOOKUP($E42,武器奇术!$A:$S,19,FALSE)=1,20,0)-VLOOKUP($F$7,目标属性!$A:$R,6,FALSE))/200,($D$13+IF(VLOOKUP($E42,武器奇术!$A:$R,17,FALSE)="破竹",$D$15,0)+IF(VLOOKUP($E42,武器奇术!$A:$R,18,FALSE)=1,4,0)+IF(VLOOKUP($E42,武器奇术!$A:$S,19,FALSE)=1,20,0)-VLOOKUP($F$7,目标属性!$A:$R,6,FALSE))/100)</f>
        <v>0.025</v>
      </c>
      <c r="CR42" s="111">
        <f>$E$13+IF(VLOOKUP($E42,武器奇术!$A:$U,21,FALSE)=1,0,0.09)</f>
        <v>0.235</v>
      </c>
      <c r="CS42" s="109">
        <v>1</v>
      </c>
      <c r="CT42" s="112">
        <f>CN42*IF(VLOOKUP($E42,武器奇术!$A:$R,17,FALSE)="破竹",VLOOKUP($E42,武器奇术!$A:$R,4,FALSE),VLOOKUP($E42,武器奇术!$A:$R,2,FALSE))*(1+CQ42)*(1+CR42)*CS42</f>
        <v>1585.34488391825</v>
      </c>
      <c r="CU42" s="110">
        <f>(1-IF(VLOOKUP($E42,武器奇术!$A:$T,20,FALSE)=1,1,$N42))*(1-$M42)</f>
        <v>0.01072666</v>
      </c>
      <c r="CV42" s="112">
        <f>CO42*IF(VLOOKUP($E42,武器奇术!$A:$R,17,FALSE)="破竹",VLOOKUP($E42,武器奇术!$A:$R,4,FALSE),VLOOKUP($E42,武器奇术!$A:$R,2,FALSE))*(1+CQ42)*(1+CR42)*CS42*(1+$E$16+VLOOKUP($E42,武器奇术!$A:$R,8,FALSE))</f>
        <v>3509.30805212533</v>
      </c>
      <c r="CW42" s="110">
        <f t="shared" si="27"/>
        <v>0.8813852</v>
      </c>
      <c r="CX42" s="112">
        <f>CP42*IF(VLOOKUP($E42,武器奇术!$A:$R,17,FALSE)="破竹",VLOOKUP($E42,武器奇术!$A:$R,4,FALSE),VLOOKUP($E42,武器奇术!$A:$R,2,FALSE))*(1+CQ42)*(1+CR42)*CS42*(1+$E$17+VLOOKUP($E42,武器奇术!$A:$R,10,FALSE))</f>
        <v>3637.30376081914</v>
      </c>
      <c r="CY42" s="110">
        <f t="shared" si="28"/>
        <v>0.0986</v>
      </c>
      <c r="CZ42" s="112">
        <f>CO42*IF(VLOOKUP($E42,武器奇术!$A:$R,17,FALSE)="破竹",VLOOKUP($E42,武器奇术!$A:$R,4,FALSE),VLOOKUP($E42,武器奇术!$A:$R,2,FALSE))*(1+CQ42)*(1+CR42)*CS42</f>
        <v>2139.82198300325</v>
      </c>
      <c r="DA42" s="110">
        <f t="shared" si="29"/>
        <v>0.00928814000000003</v>
      </c>
      <c r="DB42" s="113">
        <f t="shared" si="30"/>
        <v>3488.5707519066</v>
      </c>
      <c r="DC42" s="108">
        <f t="shared" si="31"/>
        <v>69.3</v>
      </c>
      <c r="DD42" s="99">
        <f>(DC42+DE42)*IF(VLOOKUP($E42,武器奇术!$A:$Z,21,FALSE)=1,$G$15,0.5)</f>
        <v>69.3</v>
      </c>
      <c r="DE42" s="109">
        <f t="shared" si="32"/>
        <v>69.3</v>
      </c>
      <c r="DF42" s="110">
        <f>IF(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R,18,FALSE)=1,4,0)+IF(VLOOKUP($E42,武器奇术!$A:$S,19,FALSE)=1,20,0)-VLOOKUP($F$7,目标属性!$A:$R,6,FALSE))/100)</f>
        <v>0.025</v>
      </c>
      <c r="DG42" s="111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U,21,FALSE)=1,0,0.09)</f>
        <v>0.235</v>
      </c>
      <c r="DH42" s="109">
        <v>1</v>
      </c>
      <c r="DI42" s="112">
        <f>DC42*IF(VLOOKUP($E42,武器奇术!$A:$R,17,FALSE)="破竹",VLOOKUP($E42,武器奇术!$A:$R,4,FALSE),VLOOKUP($E42,武器奇术!$A:$R,2,FALSE))*(1+DF42)*(1+DG42)*DH42</f>
        <v>169.42355805375</v>
      </c>
      <c r="DJ42" s="110">
        <f>(1-IF(VLOOKUP($E42,武器奇术!$A:$T,20,FALSE)=1,1,$N42))*(1-$M42)</f>
        <v>0.01072666</v>
      </c>
      <c r="DK42" s="112">
        <f>DD42*IF(VLOOKUP($E42,武器奇术!$A:$R,17,FALSE)="破竹",VLOOKUP($E42,武器奇术!$A:$R,4,FALSE),VLOOKUP($E42,武器奇术!$A:$R,2,FALSE))*(1+DF42)*(1+DG42)*DH42*(1+$E$16+VLOOKUP($E42,武器奇术!$A:$R,8,FALSE))</f>
        <v>277.85463520815</v>
      </c>
      <c r="DL42" s="110">
        <f t="shared" si="33"/>
        <v>0.8813852</v>
      </c>
      <c r="DM42" s="112">
        <f>DE42*IF(VLOOKUP($E42,武器奇术!$A:$R,17,FALSE)="破竹",VLOOKUP($E42,武器奇术!$A:$R,4,FALSE),VLOOKUP($E42,武器奇术!$A:$R,2,FALSE))*(1+DF42)*(1+DG42)*DH42*(1+$E$17+VLOOKUP($E42,武器奇术!$A:$R,10,FALSE))</f>
        <v>228.721803372562</v>
      </c>
      <c r="DN42" s="110">
        <f t="shared" si="34"/>
        <v>0.0986</v>
      </c>
      <c r="DO42" s="112">
        <f>DD42*IF(VLOOKUP($E42,武器奇术!$A:$R,17,FALSE)="破竹",VLOOKUP($E42,武器奇术!$A:$R,4,FALSE),VLOOKUP($E42,武器奇术!$A:$R,2,FALSE))*(1+DF42)*(1+DG42)*DH42</f>
        <v>169.42355805375</v>
      </c>
      <c r="DP42" s="110">
        <f t="shared" si="35"/>
        <v>0.00928814000000003</v>
      </c>
      <c r="DQ42" s="113">
        <f t="shared" si="36"/>
        <v>270.839911666131</v>
      </c>
    </row>
    <row r="43" spans="2:121">
      <c r="B43" s="135"/>
      <c r="C43" s="136"/>
      <c r="D43" s="137"/>
      <c r="E43" s="98" t="str">
        <f>期望!E43</f>
        <v>鹰隼追击(拳甲)</v>
      </c>
      <c r="F43" s="99">
        <f>期望!F43</f>
        <v>1</v>
      </c>
      <c r="G43" s="115"/>
      <c r="H43" s="100">
        <f>IF(VLOOKUP($E43,武器奇术!$A:$R,18,FALSE)="天工",AE43,(AE43+AT43+BI43+BX43+CM43+DB43+DQ43))*(1+J43)*F43*K43*(1+G43)</f>
        <v>48730.8266125615</v>
      </c>
      <c r="I43" s="101">
        <f t="shared" si="0"/>
        <v>0.00601644984731181</v>
      </c>
      <c r="J43" s="116">
        <f>$F$3+VLOOKUP($E43,武器奇术!$A:$R,12,FALSE)+VLOOKUP($E43,武器奇术!$A:$R,14,FALSE)*$G$3+$P43+IF($F$21="√",5%,0)</f>
        <v>0.823</v>
      </c>
      <c r="K43" s="102">
        <f>VLOOKUP($E43,武器奇术!$A:$R,11,FALSE)</f>
        <v>1</v>
      </c>
      <c r="L43" s="117">
        <f>IF(VLOOKUP($E43,武器奇术!$A:$R,15,FALSE)="天工",0%,IF($C$17+VLOOKUP($E43,武器奇术!$A:$R,7,FALSE)&gt;80%,80%,$C$17+VLOOKUP($E43,武器奇术!$A:$R,7,FALSE))+IF($C$19&gt;20%,20%,$C$19))</f>
        <v>0.892</v>
      </c>
      <c r="M43" s="118">
        <f>IF(VLOOKUP($E43,武器奇术!$A:$R,15,FALSE)="天工",0%,IF($C$18+VLOOKUP($E43,武器奇术!$A:$R,9,FALSE)&gt;40%,40%,$C$18+VLOOKUP($E43,武器奇术!$A:$R,9,FALSE))+IF($C$20&gt;10%,10%,$C$20))</f>
        <v>0.0986</v>
      </c>
      <c r="N43" s="119">
        <f>IF(VLOOKUP($E43,武器奇术!$A:$R,15,FALSE)="天工",100%,MIN($C$16,1))</f>
        <v>0.9881</v>
      </c>
      <c r="O43" s="120" t="str">
        <f>VLOOKUP($E43,武器奇术!$A:$R,16,FALSE)</f>
        <v>拳甲</v>
      </c>
      <c r="P43" s="121">
        <f t="shared" si="37"/>
        <v>0.17</v>
      </c>
      <c r="Q43" s="108">
        <f>$B$5*(1+VLOOKUP($E43,武器奇术!$A:$R,5,FALSE)+IF($G$5="飞隼",0.1,0)+IF($G$5="撼天",0.05,0))-$F$9+IF($I$5="√",160,0)</f>
        <v>1731.135</v>
      </c>
      <c r="R43" s="99">
        <f>IF(VLOOKUP($E43,武器奇术!$A:$Z,20,FALSE)=1,(S43-(Q43+S43)*0.5)*($G$15-0.5)*2+(Q43+S43)*0.5,(Q43+S43)*0.5)</f>
        <v>3256.775</v>
      </c>
      <c r="S43" s="109">
        <f>MAX($C$5,$B$5)*(1+VLOOKUP($E43,武器奇术!$A:$R,5,FALSE)+IF($G$5="飞隼",0.1,0)+IF($G$5="撼天",0.05,0))-$F$9+IF($I$5="√",320,0)</f>
        <v>4782.415</v>
      </c>
      <c r="T43" s="101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U43" s="111">
        <f>$E$5+IF(VLOOKUP($E43,武器奇术!$A:$U,21,FALSE)=1,0,0.09)</f>
        <v>0.115</v>
      </c>
      <c r="V43" s="109">
        <v>1</v>
      </c>
      <c r="W43" s="112">
        <f>Q43*VLOOKUP($E43,武器奇术!$A:$R,2,FALSE)*(1+T43)*(1+U43)*V43</f>
        <v>5595.154346628</v>
      </c>
      <c r="X43" s="110">
        <f>(1-IF(VLOOKUP($E43,武器奇术!$A:$T,20,FALSE)=1,1,$N43))*(1-$M43)</f>
        <v>0.01072666</v>
      </c>
      <c r="Y43" s="112">
        <f>R43*VLOOKUP($E43,武器奇术!$A:$R,2,FALSE)*(1+T43)*(1+U43)*V43*(1+$E$16+VLOOKUP($E43,武器奇术!$A:$R,8,FALSE))</f>
        <v>20420.6997528468</v>
      </c>
      <c r="Z43" s="110">
        <f t="shared" si="1"/>
        <v>0.8813852</v>
      </c>
      <c r="AA43" s="112">
        <f>S43*VLOOKUP($E43,武器奇术!$A:$R,2,FALSE)*(1+T43)*(1+U43)*V43*(1+$E$17+VLOOKUP($E43,武器奇术!$A:$R,10,FALSE))</f>
        <v>20867.1031437462</v>
      </c>
      <c r="AB43" s="110">
        <f t="shared" si="2"/>
        <v>0.0986</v>
      </c>
      <c r="AC43" s="112">
        <f>R43*VLOOKUP($E43,武器奇术!$A:$R,2,FALSE)*(1+T43)*(1+U43)*V43</f>
        <v>10526.13389322</v>
      </c>
      <c r="AD43" s="110">
        <f t="shared" si="3"/>
        <v>0.00928814000000003</v>
      </c>
      <c r="AE43" s="113">
        <f t="shared" si="4"/>
        <v>20213.784429359</v>
      </c>
      <c r="AF43" s="114">
        <f>VLOOKUP($E43,武器奇术!$A:$R,3,FALSE)*(1+IF(VLOOKUP($E43,武器奇术!$A:$R,15,FALSE)="武器",$E$15,0))</f>
        <v>0</v>
      </c>
      <c r="AG43" s="112">
        <f t="shared" si="5"/>
        <v>0</v>
      </c>
      <c r="AH43" s="112">
        <f>VLOOKUP($E43,武器奇术!$A:$R,3,FALSE)*(1+IF(VLOOKUP($E43,武器奇术!$A:$R,15,FALSE)="武器",$E$15,0))</f>
        <v>0</v>
      </c>
      <c r="AI43" s="101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0.342</v>
      </c>
      <c r="AJ43" s="111">
        <f>$E$5+IF(VLOOKUP($E43,武器奇术!$A:$U,21,FALSE)=1,0,0.09)</f>
        <v>0.115</v>
      </c>
      <c r="AK43" s="109">
        <v>1</v>
      </c>
      <c r="AL43" s="112">
        <f t="shared" si="6"/>
        <v>0</v>
      </c>
      <c r="AM43" s="110">
        <f>(1-IF(VLOOKUP($E43,武器奇术!$A:$T,20,FALSE)=1,1,$N43))*(1-$M43)</f>
        <v>0.01072666</v>
      </c>
      <c r="AN43" s="112">
        <f>AG43*(1+AI43)*(1+AJ43)*AK43*(1+$E$16+VLOOKUP($E43,武器奇术!$A:$R,8,FALSE))</f>
        <v>0</v>
      </c>
      <c r="AO43" s="110">
        <f t="shared" si="7"/>
        <v>0.8813852</v>
      </c>
      <c r="AP43" s="112">
        <f>AH43*(1+AI43)*(1+AJ43)*AK43*(1+$E$17+VLOOKUP($E43,武器奇术!$A:$R,10,FALSE))</f>
        <v>0</v>
      </c>
      <c r="AQ43" s="110">
        <f t="shared" si="8"/>
        <v>0.0986</v>
      </c>
      <c r="AR43" s="112">
        <f t="shared" si="9"/>
        <v>0</v>
      </c>
      <c r="AS43" s="110">
        <f t="shared" si="10"/>
        <v>0.00928814000000003</v>
      </c>
      <c r="AT43" s="113">
        <f t="shared" si="11"/>
        <v>0</v>
      </c>
      <c r="AU43" s="108">
        <f>$B$7*IF($G$5="撼天",1.05,1)+IF(AND(VLOOKUP($E43,武器奇术!$A:$R,15,FALSE)="武器",VLOOKUP($E43,武器奇术!$A:$R,17,FALSE)="鸣金"),$E$3,0)*(1+$E$15)</f>
        <v>0</v>
      </c>
      <c r="AV43" s="99">
        <f>(AU43+AW43)*IF(VLOOKUP($E43,武器奇术!$A:$Z,21,FALSE)=1,$G$15,0.5)</f>
        <v>0</v>
      </c>
      <c r="AW43" s="109">
        <f>MAX($C$7*IF($G$5="撼天",1.05,1)+IF(AND(VLOOKUP($E43,武器奇术!$A:$R,15,FALSE)="武器",VLOOKUP($E43,武器奇术!$A:$R,17,FALSE)="鸣金"),$E$3*(1+$E$15),0),AU43)</f>
        <v>0</v>
      </c>
      <c r="AX43" s="110">
        <f>IF(($D$7+IF(VLOOKUP($E43,武器奇术!$A:$R,17,FALSE)="鸣金",$D$15,0)+IF(VLOOKUP($E43,武器奇术!$A:$R,18,FALSE)=1,4,0)+IF(VLOOKUP($E43,武器奇术!$A:$S,19,FALSE)=1,20,0)-VLOOKUP($F$7,目标属性!$A:$R,6,FALSE))&gt;0,($D$7+IF(VLOOKUP($E43,武器奇术!$A:$R,17,FALSE)="鸣金",$D$15,0)+IF(VLOOKUP($E43,武器奇术!$A:$R,18,FALSE)=1,4,0)+IF(VLOOKUP($E43,武器奇术!$A:$S,19,FALSE)=1,20,0)-VLOOKUP($F$7,目标属性!$A:$R,6,FALSE))/200,($D$7+IF(VLOOKUP($E43,武器奇术!$A:$R,17,FALSE)="鸣金",$D$15,0)+IF(VLOOKUP($E43,武器奇术!$A:$R,18,FALSE)=1,4,0)+IF(VLOOKUP($E43,武器奇术!$A:$S,19,FALSE)=1,20,0)-VLOOKUP($F$7,目标属性!$A:$R,6,FALSE))/100)</f>
        <v>0</v>
      </c>
      <c r="AY43" s="111">
        <f t="shared" si="12"/>
        <v>0</v>
      </c>
      <c r="AZ43" s="109">
        <v>1</v>
      </c>
      <c r="BA43" s="112">
        <f>AU43*IF(VLOOKUP($E43,武器奇术!$A:$R,17,FALSE)="鸣金",VLOOKUP($E43,武器奇术!$A:$R,4,FALSE),VLOOKUP($E43,武器奇术!$A:$R,2,FALSE))*(1+AX43)*(1+AY43)*AZ43</f>
        <v>0</v>
      </c>
      <c r="BB43" s="110">
        <f>(1-IF(VLOOKUP($E43,武器奇术!$A:$T,20,FALSE)=1,1,$N43))*(1-$M43)</f>
        <v>0.01072666</v>
      </c>
      <c r="BC43" s="112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10">
        <f t="shared" si="13"/>
        <v>0.8813852</v>
      </c>
      <c r="BE43" s="112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10">
        <f t="shared" si="14"/>
        <v>0.0986</v>
      </c>
      <c r="BG43" s="112">
        <f>AV43*IF(VLOOKUP($E43,武器奇术!$A:$R,17,FALSE)="鸣金",VLOOKUP($E43,武器奇术!$A:$R,4,FALSE),VLOOKUP($E43,武器奇术!$A:$R,2,FALSE))*(1+AX43)*(1+AY43)*AZ43</f>
        <v>0</v>
      </c>
      <c r="BH43" s="110">
        <f t="shared" si="15"/>
        <v>0.00928814000000003</v>
      </c>
      <c r="BI43" s="113">
        <f t="shared" si="16"/>
        <v>0</v>
      </c>
      <c r="BJ43" s="108">
        <f>$B$9*IF($G$5="撼天",1.05,1)+IF(AND(VLOOKUP($E43,武器奇术!$A:$R,15,FALSE)="武器",VLOOKUP($E43,武器奇术!$A:$R,17,FALSE)="裂石"),$E$3,0)*(1+$E$15)</f>
        <v>0</v>
      </c>
      <c r="BK43" s="99">
        <f>(BJ43+BL43)*IF(VLOOKUP($E43,武器奇术!$A:$Z,21,FALSE)=1,$G$15,0.5)</f>
        <v>0</v>
      </c>
      <c r="BL43" s="109">
        <f>MAX($C$9*IF($G$5="撼天",1.05,1)+IF(AND(VLOOKUP($E43,武器奇术!$A:$R,15,FALSE)="武器",VLOOKUP($E43,武器奇术!$A:$R,17,FALSE)="裂石"),$E$3*(1+$E$15),0),BJ43)</f>
        <v>0</v>
      </c>
      <c r="BM43" s="110">
        <f>IF(($D$9+IF(VLOOKUP($E43,武器奇术!$A:$R,17,FALSE)="裂石",$D$15,0)+IF(VLOOKUP($E43,武器奇术!$A:$R,18,FALSE)=1,4,0)+IF(VLOOKUP($E43,武器奇术!$A:$S,19,FALSE)=1,20,0)-VLOOKUP($F$7,目标属性!$A:$R,6,FALSE))&gt;0,($D$9+IF(VLOOKUP($E43,武器奇术!$A:$R,17,FALSE)="裂石",$D$15,0)+IF(VLOOKUP($E43,武器奇术!$A:$R,18,FALSE)=1,4,0)+IF(VLOOKUP($E43,武器奇术!$A:$S,19,FALSE)=1,20,0)-VLOOKUP($F$7,目标属性!$A:$R,6,FALSE))/200,($D$9+IF(VLOOKUP($E43,武器奇术!$A:$R,17,FALSE)="裂石",$D$15,0)+IF(VLOOKUP($E43,武器奇术!$A:$R,18,FALSE)=1,4,0)+IF(VLOOKUP($E43,武器奇术!$A:$S,19,FALSE)=1,20,0)-VLOOKUP($F$7,目标属性!$A:$R,6,FALSE))/100)</f>
        <v>0</v>
      </c>
      <c r="BN43" s="111">
        <f t="shared" si="17"/>
        <v>0</v>
      </c>
      <c r="BO43" s="109">
        <v>1</v>
      </c>
      <c r="BP43" s="112">
        <f>BJ43*IF(VLOOKUP($E43,武器奇术!$A:$R,17,FALSE)="裂石",VLOOKUP($E43,武器奇术!$A:$R,4,FALSE),VLOOKUP($E43,武器奇术!$A:$R,2,FALSE))*(1+BM43)*(1+BN43)*BO43</f>
        <v>0</v>
      </c>
      <c r="BQ43" s="110">
        <f>(1-IF(VLOOKUP($E43,武器奇术!$A:$T,20,FALSE)=1,1,$N43))*(1-$M43)</f>
        <v>0.01072666</v>
      </c>
      <c r="BR43" s="112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10">
        <f t="shared" si="18"/>
        <v>0.8813852</v>
      </c>
      <c r="BT43" s="112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10">
        <f t="shared" si="19"/>
        <v>0.0986</v>
      </c>
      <c r="BV43" s="112">
        <f>BK43*IF(VLOOKUP($E43,武器奇术!$A:$R,17,FALSE)="裂石",VLOOKUP($E43,武器奇术!$A:$R,4,FALSE),VLOOKUP($E43,武器奇术!$A:$R,2,FALSE))*(1+BM43)*(1+BN43)*BO43</f>
        <v>0</v>
      </c>
      <c r="BW43" s="110">
        <f t="shared" si="20"/>
        <v>0.00928814000000003</v>
      </c>
      <c r="BX43" s="113">
        <f t="shared" si="21"/>
        <v>0</v>
      </c>
      <c r="BY43" s="108">
        <f>$B$11*IF($G$5="撼天",1.05,1)+IF(AND(VLOOKUP($E43,武器奇术!$A:$R,15,FALSE)="武器",VLOOKUP($E43,武器奇术!$A:$R,17,FALSE)="牵丝"),$E$3,0)*(1+$E$15)</f>
        <v>0</v>
      </c>
      <c r="BZ43" s="99">
        <f>(BY43+CA43)*IF(VLOOKUP($E43,武器奇术!$A:$Z,21,FALSE)=1,$G$15,0.5)</f>
        <v>0</v>
      </c>
      <c r="CA43" s="109">
        <f>MAX($C$11*IF($G$5="撼天",1.05,1)+IF(AND(VLOOKUP($E43,武器奇术!$A:$R,15,FALSE)="武器",VLOOKUP($E43,武器奇术!$A:$R,17,FALSE)="牵丝"),$E$3*(1+$E$15),0),BY43)</f>
        <v>0</v>
      </c>
      <c r="CB43" s="110">
        <f>IF(($D$11+IF(VLOOKUP($E43,武器奇术!$A:$R,17,FALSE)="牵丝",$D$15,0)+IF(VLOOKUP($E43,武器奇术!$A:$R,18,FALSE)=1,4,0)+IF(VLOOKUP($E43,武器奇术!$A:$S,19,FALSE)=1,20,0)-VLOOKUP($F$7,目标属性!$A:$R,6,FALSE))&gt;0,($D$11+IF(VLOOKUP($E43,武器奇术!$A:$R,17,FALSE)="牵丝",$D$15,0)+IF(VLOOKUP($E43,武器奇术!$A:$R,18,FALSE)=1,4,0)+IF(VLOOKUP($E43,武器奇术!$A:$S,19,FALSE)=1,20,0)-VLOOKUP($F$7,目标属性!$A:$R,6,FALSE))/200,($D$11+IF(VLOOKUP($E43,武器奇术!$A:$R,17,FALSE)="牵丝",$D$15,0)+IF(VLOOKUP($E43,武器奇术!$A:$R,18,FALSE)=1,4,0)+IF(VLOOKUP($E43,武器奇术!$A:$S,19,FALSE)=1,20,0)-VLOOKUP($F$7,目标属性!$A:$R,6,FALSE))/100)</f>
        <v>0</v>
      </c>
      <c r="CC43" s="111">
        <f t="shared" si="22"/>
        <v>0</v>
      </c>
      <c r="CD43" s="109">
        <v>1</v>
      </c>
      <c r="CE43" s="112">
        <f>BY43*IF(VLOOKUP($E43,武器奇术!$A:$R,17,FALSE)="牵丝",VLOOKUP($E43,武器奇术!$A:$R,4,FALSE),VLOOKUP($E43,武器奇术!$A:$R,2,FALSE))*(1+CB43)*(1+CC43)*CD43</f>
        <v>0</v>
      </c>
      <c r="CF43" s="110">
        <f>(1-IF(VLOOKUP($E43,武器奇术!$A:$T,20,FALSE)=1,1,$N43))*(1-$M43)</f>
        <v>0.01072666</v>
      </c>
      <c r="CG43" s="112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110">
        <f t="shared" si="23"/>
        <v>0.8813852</v>
      </c>
      <c r="CI43" s="112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110">
        <f t="shared" si="24"/>
        <v>0.0986</v>
      </c>
      <c r="CK43" s="112">
        <f>BZ43*IF(VLOOKUP($E43,武器奇术!$A:$R,17,FALSE)="牵丝",VLOOKUP($E43,武器奇术!$A:$R,4,FALSE),VLOOKUP($E43,武器奇术!$A:$R,2,FALSE))*(1+CB43)*(1+CC43)*CD43</f>
        <v>0</v>
      </c>
      <c r="CL43" s="110">
        <f t="shared" si="25"/>
        <v>0.00928814000000003</v>
      </c>
      <c r="CM43" s="113">
        <f t="shared" si="26"/>
        <v>0</v>
      </c>
      <c r="CN43" s="108">
        <f>$B$13*IF($G$5="撼天",1.05,1)+IF(AND(VLOOKUP($E43,武器奇术!$A:$R,15,FALSE)="武器",VLOOKUP($E43,武器奇术!$A:$R,17,FALSE)="破竹"),$E$3,0)*(1+$E$15)</f>
        <v>452.55</v>
      </c>
      <c r="CO43" s="99">
        <f>(CN43+CP43)*IF(VLOOKUP($E43,武器奇术!$A:$Z,21,FALSE)=1,$G$15,0.5)</f>
        <v>679.35</v>
      </c>
      <c r="CP43" s="109">
        <f>MAX($C$13*IF($G$5="撼天",1.05,1)+IF(AND(VLOOKUP($E43,武器奇术!$A:$R,15,FALSE)="武器",VLOOKUP($E43,武器奇术!$A:$R,17,FALSE)="破竹"),$E$3*(1+$E$15),0),CN43)</f>
        <v>906.15</v>
      </c>
      <c r="CQ43" s="110">
        <f>IF(($D$13+IF(VLOOKUP($E43,武器奇术!$A:$R,17,FALSE)="破竹",$D$15,0)+IF(VLOOKUP($E43,武器奇术!$A:$R,18,FALSE)=1,4,0)+IF(VLOOKUP($E43,武器奇术!$A:$S,19,FALSE)=1,20,0)-VLOOKUP($F$7,目标属性!$A:$R,6,FALSE))&gt;0,($D$13+IF(VLOOKUP($E43,武器奇术!$A:$R,17,FALSE)="破竹",$D$15,0)+IF(VLOOKUP($E43,武器奇术!$A:$R,18,FALSE)=1,4,0)+IF(VLOOKUP($E43,武器奇术!$A:$S,19,FALSE)=1,20,0)-VLOOKUP($F$7,目标属性!$A:$R,6,FALSE))/200,($D$13+IF(VLOOKUP($E43,武器奇术!$A:$R,17,FALSE)="破竹",$D$15,0)+IF(VLOOKUP($E43,武器奇术!$A:$R,18,FALSE)=1,4,0)+IF(VLOOKUP($E43,武器奇术!$A:$S,19,FALSE)=1,20,0)-VLOOKUP($F$7,目标属性!$A:$R,6,FALSE))/100)</f>
        <v>0.145</v>
      </c>
      <c r="CR43" s="111">
        <f>$E$13+IF(VLOOKUP($E43,武器奇术!$A:$U,21,FALSE)=1,0,0.09)</f>
        <v>0.235</v>
      </c>
      <c r="CS43" s="109">
        <v>1</v>
      </c>
      <c r="CT43" s="112">
        <f>CN43*IF(VLOOKUP($E43,武器奇术!$A:$R,17,FALSE)="破竹",VLOOKUP($E43,武器奇术!$A:$R,4,FALSE),VLOOKUP($E43,武器奇术!$A:$R,2,FALSE))*(1+CQ43)*(1+CR43)*CS43</f>
        <v>2073.40443765</v>
      </c>
      <c r="CU43" s="110">
        <f>(1-IF(VLOOKUP($E43,武器奇术!$A:$T,20,FALSE)=1,1,$N43))*(1-$M43)</f>
        <v>0.01072666</v>
      </c>
      <c r="CV43" s="112">
        <f>CO43*IF(VLOOKUP($E43,武器奇术!$A:$R,17,FALSE)="破竹",VLOOKUP($E43,武器奇术!$A:$R,4,FALSE),VLOOKUP($E43,武器奇术!$A:$R,2,FALSE))*(1+CQ43)*(1+CR43)*CS43*(1+$E$16+VLOOKUP($E43,武器奇术!$A:$R,8,FALSE))</f>
        <v>6038.273276217</v>
      </c>
      <c r="CW43" s="110">
        <f t="shared" si="27"/>
        <v>0.8813852</v>
      </c>
      <c r="CX43" s="112">
        <f>CP43*IF(VLOOKUP($E43,武器奇术!$A:$R,17,FALSE)="破竹",VLOOKUP($E43,武器奇术!$A:$R,4,FALSE),VLOOKUP($E43,武器奇术!$A:$R,2,FALSE))*(1+CQ43)*(1+CR43)*CS43*(1+$E$17+VLOOKUP($E43,武器奇术!$A:$R,10,FALSE))</f>
        <v>5604.6864039075</v>
      </c>
      <c r="CY43" s="110">
        <f t="shared" si="28"/>
        <v>0.0986</v>
      </c>
      <c r="CZ43" s="112">
        <f>CO43*IF(VLOOKUP($E43,武器奇术!$A:$R,17,FALSE)="破竹",VLOOKUP($E43,武器奇术!$A:$R,4,FALSE),VLOOKUP($E43,武器奇术!$A:$R,2,FALSE))*(1+CQ43)*(1+CR43)*CS43</f>
        <v>3112.51199805</v>
      </c>
      <c r="DA43" s="110">
        <f t="shared" si="29"/>
        <v>0.00928814000000003</v>
      </c>
      <c r="DB43" s="113">
        <f t="shared" si="30"/>
        <v>5925.81693027318</v>
      </c>
      <c r="DC43" s="108">
        <f t="shared" si="31"/>
        <v>69.3</v>
      </c>
      <c r="DD43" s="99">
        <f>(DC43+DE43)*IF(VLOOKUP($E43,武器奇术!$A:$Z,21,FALSE)=1,$G$15,0.5)</f>
        <v>69.3</v>
      </c>
      <c r="DE43" s="109">
        <f t="shared" si="32"/>
        <v>69.3</v>
      </c>
      <c r="DF43" s="110">
        <f>IF(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R,18,FALSE)=1,4,0)+IF(VLOOKUP($E43,武器奇术!$A:$S,19,FALSE)=1,20,0)-VLOOKUP($F$7,目标属性!$A:$R,6,FALSE))/100)</f>
        <v>0.145</v>
      </c>
      <c r="DG43" s="111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U,21,FALSE)=1,0,0.09)</f>
        <v>0.235</v>
      </c>
      <c r="DH43" s="109">
        <v>1</v>
      </c>
      <c r="DI43" s="112">
        <f>DC43*IF(VLOOKUP($E43,武器奇术!$A:$R,17,FALSE)="破竹",VLOOKUP($E43,武器奇术!$A:$R,4,FALSE),VLOOKUP($E43,武器奇术!$A:$R,2,FALSE))*(1+DF43)*(1+DG43)*DH43</f>
        <v>317.5050879</v>
      </c>
      <c r="DJ43" s="110">
        <f>(1-IF(VLOOKUP($E43,武器奇术!$A:$T,20,FALSE)=1,1,$N43))*(1-$M43)</f>
        <v>0.01072666</v>
      </c>
      <c r="DK43" s="112">
        <f>DD43*IF(VLOOKUP($E43,武器奇术!$A:$R,17,FALSE)="破竹",VLOOKUP($E43,武器奇术!$A:$R,4,FALSE),VLOOKUP($E43,武器奇术!$A:$R,2,FALSE))*(1+DF43)*(1+DG43)*DH43*(1+$E$16+VLOOKUP($E43,武器奇术!$A:$R,8,FALSE))</f>
        <v>615.959870526</v>
      </c>
      <c r="DL43" s="110">
        <f t="shared" si="33"/>
        <v>0.8813852</v>
      </c>
      <c r="DM43" s="112">
        <f>DE43*IF(VLOOKUP($E43,武器奇术!$A:$R,17,FALSE)="破竹",VLOOKUP($E43,武器奇术!$A:$R,4,FALSE),VLOOKUP($E43,武器奇术!$A:$R,2,FALSE))*(1+DF43)*(1+DG43)*DH43*(1+$E$17+VLOOKUP($E43,武器奇术!$A:$R,10,FALSE))</f>
        <v>428.631868665</v>
      </c>
      <c r="DN43" s="110">
        <f t="shared" si="34"/>
        <v>0.0986</v>
      </c>
      <c r="DO43" s="112">
        <f>DD43*IF(VLOOKUP($E43,武器奇术!$A:$R,17,FALSE)="破竹",VLOOKUP($E43,武器奇术!$A:$R,4,FALSE),VLOOKUP($E43,武器奇术!$A:$R,2,FALSE))*(1+DF43)*(1+DG43)*DH43</f>
        <v>317.5050879</v>
      </c>
      <c r="DP43" s="110">
        <f t="shared" si="35"/>
        <v>0.00928814000000003</v>
      </c>
      <c r="DQ43" s="113">
        <f t="shared" si="36"/>
        <v>591.515816759203</v>
      </c>
    </row>
    <row r="44" customFormat="1" ht="14.25" spans="2:121">
      <c r="B44" s="138"/>
      <c r="C44" s="139"/>
      <c r="D44" s="140"/>
      <c r="E44" s="98" t="str">
        <f>期望!E44</f>
        <v>绳标～</v>
      </c>
      <c r="F44" s="99">
        <f>期望!F44</f>
        <v>1</v>
      </c>
      <c r="G44" s="115"/>
      <c r="H44" s="100">
        <f>IF(VLOOKUP($E44,武器奇术!$A:$R,18,FALSE)="天工",AE44,(AE44+AT44+BI44+BX44+CM44+DB44+DQ44))*(1+J44)*F44*K44*(1+G44)</f>
        <v>20099.4986533765</v>
      </c>
      <c r="I44" s="101">
        <f t="shared" si="0"/>
        <v>0.00248154267042496</v>
      </c>
      <c r="J44" s="116">
        <f>$F$3+VLOOKUP($E44,武器奇术!$A:$R,12,FALSE)+VLOOKUP($E44,武器奇术!$A:$R,14,FALSE)*$G$3+$P44+IF($F$21="√",5%,0)</f>
        <v>0.437</v>
      </c>
      <c r="K44" s="102">
        <f>VLOOKUP($E44,武器奇术!$A:$R,11,FALSE)</f>
        <v>1</v>
      </c>
      <c r="L44" s="117">
        <f>IF(VLOOKUP($E44,武器奇术!$A:$R,15,FALSE)="天工",0%,IF($C$17+VLOOKUP($E44,武器奇术!$A:$R,7,FALSE)&gt;80%,80%,$C$17+VLOOKUP($E44,武器奇术!$A:$R,7,FALSE))+IF($C$19&gt;20%,20%,$C$19))</f>
        <v>0.892</v>
      </c>
      <c r="M44" s="118">
        <f>IF(VLOOKUP($E44,武器奇术!$A:$R,15,FALSE)="天工",0%,IF($C$18+VLOOKUP($E44,武器奇术!$A:$R,9,FALSE)&gt;40%,40%,$C$18+VLOOKUP($E44,武器奇术!$A:$R,9,FALSE))+IF($C$20&gt;10%,10%,$C$20))</f>
        <v>0.0986</v>
      </c>
      <c r="N44" s="119">
        <f>IF(VLOOKUP($E44,武器奇术!$A:$R,15,FALSE)="天工",100%,MIN($C$16,1))</f>
        <v>0.9881</v>
      </c>
      <c r="O44" s="120" t="str">
        <f>VLOOKUP($E44,武器奇术!$A:$R,16,FALSE)</f>
        <v>绳标</v>
      </c>
      <c r="P44" s="121">
        <f t="shared" si="37"/>
        <v>0.084</v>
      </c>
      <c r="Q44" s="108">
        <f>$B$5*(1+VLOOKUP($E44,武器奇术!$A:$R,5,FALSE)+IF($G$5="飞隼",0.1,0)+IF($G$5="撼天",0.05,0))-$F$9+IF($I$5="√",160,0)</f>
        <v>1731.135</v>
      </c>
      <c r="R44" s="99">
        <f>IF(VLOOKUP($E44,武器奇术!$A:$Z,20,FALSE)=1,(S44-(Q44+S44)*0.5)*($G$15-0.5)*2+(Q44+S44)*0.5,(Q44+S44)*0.5)</f>
        <v>3256.775</v>
      </c>
      <c r="S44" s="109">
        <f>MAX($C$5,$B$5)*(1+VLOOKUP($E44,武器奇术!$A:$R,5,FALSE)+IF($G$5="飞隼",0.1,0)+IF($G$5="撼天",0.05,0))-$F$9+IF($I$5="√",320,0)</f>
        <v>4782.415</v>
      </c>
      <c r="T44" s="101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U44" s="111">
        <f>$E$5+IF(VLOOKUP($E44,武器奇术!$A:$U,21,FALSE)=1,0,0.09)</f>
        <v>0.115</v>
      </c>
      <c r="V44" s="109">
        <v>1</v>
      </c>
      <c r="W44" s="112">
        <f>Q44*VLOOKUP($E44,武器奇术!$A:$R,2,FALSE)*(1+T44)*(1+U44)*V44</f>
        <v>2997.37880086712</v>
      </c>
      <c r="X44" s="110">
        <f>(1-IF(VLOOKUP($E44,武器奇术!$A:$T,20,FALSE)=1,1,$N44))*(1-$M44)</f>
        <v>0.01072666</v>
      </c>
      <c r="Y44" s="112">
        <f>R44*VLOOKUP($E44,武器奇术!$A:$R,2,FALSE)*(1+T44)*(1+U44)*V44*(1+$E$16+VLOOKUP($E44,武器奇术!$A:$R,8,FALSE))</f>
        <v>9247.88239188634</v>
      </c>
      <c r="Z44" s="110">
        <f t="shared" si="1"/>
        <v>0.8813852</v>
      </c>
      <c r="AA44" s="112">
        <f>S44*VLOOKUP($E44,武器奇术!$A:$R,2,FALSE)*(1+T44)*(1+U44)*V44*(1+$E$17+VLOOKUP($E44,武器奇术!$A:$R,10,FALSE))</f>
        <v>11178.710849374</v>
      </c>
      <c r="AB44" s="110">
        <f t="shared" si="2"/>
        <v>0.0986</v>
      </c>
      <c r="AC44" s="112">
        <f>R44*VLOOKUP($E44,武器奇术!$A:$R,2,FALSE)*(1+T44)*(1+U44)*V44</f>
        <v>5638.95267797948</v>
      </c>
      <c r="AD44" s="110">
        <f t="shared" si="3"/>
        <v>0.00928814000000003</v>
      </c>
      <c r="AE44" s="113">
        <f t="shared" si="4"/>
        <v>9337.69480651205</v>
      </c>
      <c r="AF44" s="114">
        <f>VLOOKUP($E44,武器奇术!$A:$R,3,FALSE)*(1+IF(VLOOKUP($E44,武器奇术!$A:$R,15,FALSE)="武器",$E$15,0))</f>
        <v>451.1</v>
      </c>
      <c r="AG44" s="112">
        <f t="shared" si="5"/>
        <v>451.1</v>
      </c>
      <c r="AH44" s="112">
        <f>VLOOKUP($E44,武器奇术!$A:$R,3,FALSE)*(1+IF(VLOOKUP($E44,武器奇术!$A:$R,15,FALSE)="武器",$E$15,0))</f>
        <v>451.1</v>
      </c>
      <c r="AI44" s="101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0.242</v>
      </c>
      <c r="AJ44" s="111">
        <f>$E$5+IF(VLOOKUP($E44,武器奇术!$A:$U,21,FALSE)=1,0,0.09)</f>
        <v>0.115</v>
      </c>
      <c r="AK44" s="109">
        <v>1</v>
      </c>
      <c r="AL44" s="112">
        <f t="shared" si="6"/>
        <v>624.696813</v>
      </c>
      <c r="AM44" s="110">
        <f>(1-IF(VLOOKUP($E44,武器奇术!$A:$T,20,FALSE)=1,1,$N44))*(1-$M44)</f>
        <v>0.01072666</v>
      </c>
      <c r="AN44" s="112">
        <f>AG44*(1+AI44)*(1+AJ44)*AK44*(1+$E$16+VLOOKUP($E44,武器奇术!$A:$R,8,FALSE))</f>
        <v>1024.50277332</v>
      </c>
      <c r="AO44" s="110">
        <f t="shared" si="7"/>
        <v>0.8813852</v>
      </c>
      <c r="AP44" s="112">
        <f>AH44*(1+AI44)*(1+AJ44)*AK44*(1+$E$17+VLOOKUP($E44,武器奇术!$A:$R,10,FALSE))</f>
        <v>843.34069755</v>
      </c>
      <c r="AQ44" s="110">
        <f t="shared" si="8"/>
        <v>0.0986</v>
      </c>
      <c r="AR44" s="112">
        <f t="shared" si="9"/>
        <v>624.696813</v>
      </c>
      <c r="AS44" s="110">
        <f t="shared" si="10"/>
        <v>0.00928814000000003</v>
      </c>
      <c r="AT44" s="113">
        <f t="shared" si="11"/>
        <v>998.638156314466</v>
      </c>
      <c r="AU44" s="108">
        <f>$B$7*IF($G$5="撼天",1.05,1)+IF(AND(VLOOKUP($E44,武器奇术!$A:$R,15,FALSE)="武器",VLOOKUP($E44,武器奇术!$A:$R,17,FALSE)="鸣金"),$E$3,0)*(1+$E$15)</f>
        <v>0</v>
      </c>
      <c r="AV44" s="99">
        <f>(AU44+AW44)*IF(VLOOKUP($E44,武器奇术!$A:$Z,21,FALSE)=1,$G$15,0.5)</f>
        <v>0</v>
      </c>
      <c r="AW44" s="109">
        <f>MAX($C$7*IF($G$5="撼天",1.05,1)+IF(AND(VLOOKUP($E44,武器奇术!$A:$R,15,FALSE)="武器",VLOOKUP($E44,武器奇术!$A:$R,17,FALSE)="鸣金"),$E$3*(1+$E$15),0),AU44)</f>
        <v>0</v>
      </c>
      <c r="AX44" s="110">
        <f>IF(($D$7+IF(VLOOKUP($E44,武器奇术!$A:$R,17,FALSE)="鸣金",$D$15,0)+IF(VLOOKUP($E44,武器奇术!$A:$R,18,FALSE)=1,4,0)+IF(VLOOKUP($E44,武器奇术!$A:$S,19,FALSE)=1,20,0)-VLOOKUP($F$7,目标属性!$A:$R,6,FALSE))&gt;0,($D$7+IF(VLOOKUP($E44,武器奇术!$A:$R,17,FALSE)="鸣金",$D$15,0)+IF(VLOOKUP($E44,武器奇术!$A:$R,18,FALSE)=1,4,0)+IF(VLOOKUP($E44,武器奇术!$A:$S,19,FALSE)=1,20,0)-VLOOKUP($F$7,目标属性!$A:$R,6,FALSE))/200,($D$7+IF(VLOOKUP($E44,武器奇术!$A:$R,17,FALSE)="鸣金",$D$15,0)+IF(VLOOKUP($E44,武器奇术!$A:$R,18,FALSE)=1,4,0)+IF(VLOOKUP($E44,武器奇术!$A:$S,19,FALSE)=1,20,0)-VLOOKUP($F$7,目标属性!$A:$R,6,FALSE))/100)</f>
        <v>-0.24</v>
      </c>
      <c r="AY44" s="111">
        <f t="shared" si="12"/>
        <v>0</v>
      </c>
      <c r="AZ44" s="109">
        <v>1</v>
      </c>
      <c r="BA44" s="112">
        <f>AU44*IF(VLOOKUP($E44,武器奇术!$A:$R,17,FALSE)="鸣金",VLOOKUP($E44,武器奇术!$A:$R,4,FALSE),VLOOKUP($E44,武器奇术!$A:$R,2,FALSE))*(1+AX44)*(1+AY44)*AZ44</f>
        <v>0</v>
      </c>
      <c r="BB44" s="110">
        <f>(1-IF(VLOOKUP($E44,武器奇术!$A:$T,20,FALSE)=1,1,$N44))*(1-$M44)</f>
        <v>0.01072666</v>
      </c>
      <c r="BC44" s="112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10">
        <f t="shared" si="13"/>
        <v>0.8813852</v>
      </c>
      <c r="BE44" s="112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10">
        <f t="shared" si="14"/>
        <v>0.0986</v>
      </c>
      <c r="BG44" s="112">
        <f>AV44*IF(VLOOKUP($E44,武器奇术!$A:$R,17,FALSE)="鸣金",VLOOKUP($E44,武器奇术!$A:$R,4,FALSE),VLOOKUP($E44,武器奇术!$A:$R,2,FALSE))*(1+AX44)*(1+AY44)*AZ44</f>
        <v>0</v>
      </c>
      <c r="BH44" s="110">
        <f t="shared" si="15"/>
        <v>0.00928814000000003</v>
      </c>
      <c r="BI44" s="113">
        <f t="shared" si="16"/>
        <v>0</v>
      </c>
      <c r="BJ44" s="108">
        <f>$B$9*IF($G$5="撼天",1.05,1)+IF(AND(VLOOKUP($E44,武器奇术!$A:$R,15,FALSE)="武器",VLOOKUP($E44,武器奇术!$A:$R,17,FALSE)="裂石"),$E$3,0)*(1+$E$15)</f>
        <v>0</v>
      </c>
      <c r="BK44" s="99">
        <f>(BJ44+BL44)*IF(VLOOKUP($E44,武器奇术!$A:$Z,21,FALSE)=1,$G$15,0.5)</f>
        <v>0</v>
      </c>
      <c r="BL44" s="109">
        <f>MAX($C$9*IF($G$5="撼天",1.05,1)+IF(AND(VLOOKUP($E44,武器奇术!$A:$R,15,FALSE)="武器",VLOOKUP($E44,武器奇术!$A:$R,17,FALSE)="裂石"),$E$3*(1+$E$15),0),BJ44)</f>
        <v>0</v>
      </c>
      <c r="BM44" s="110">
        <f>IF(($D$9+IF(VLOOKUP($E44,武器奇术!$A:$R,17,FALSE)="裂石",$D$15,0)+IF(VLOOKUP($E44,武器奇术!$A:$R,18,FALSE)=1,4,0)+IF(VLOOKUP($E44,武器奇术!$A:$S,19,FALSE)=1,20,0)-VLOOKUP($F$7,目标属性!$A:$R,6,FALSE))&gt;0,($D$9+IF(VLOOKUP($E44,武器奇术!$A:$R,17,FALSE)="裂石",$D$15,0)+IF(VLOOKUP($E44,武器奇术!$A:$R,18,FALSE)=1,4,0)+IF(VLOOKUP($E44,武器奇术!$A:$S,19,FALSE)=1,20,0)-VLOOKUP($F$7,目标属性!$A:$R,6,FALSE))/200,($D$9+IF(VLOOKUP($E44,武器奇术!$A:$R,17,FALSE)="裂石",$D$15,0)+IF(VLOOKUP($E44,武器奇术!$A:$R,18,FALSE)=1,4,0)+IF(VLOOKUP($E44,武器奇术!$A:$S,19,FALSE)=1,20,0)-VLOOKUP($F$7,目标属性!$A:$R,6,FALSE))/100)</f>
        <v>-0.24</v>
      </c>
      <c r="BN44" s="111">
        <f t="shared" si="17"/>
        <v>0</v>
      </c>
      <c r="BO44" s="109">
        <v>1</v>
      </c>
      <c r="BP44" s="112">
        <f>BJ44*IF(VLOOKUP($E44,武器奇术!$A:$R,17,FALSE)="裂石",VLOOKUP($E44,武器奇术!$A:$R,4,FALSE),VLOOKUP($E44,武器奇术!$A:$R,2,FALSE))*(1+BM44)*(1+BN44)*BO44</f>
        <v>0</v>
      </c>
      <c r="BQ44" s="110">
        <f>(1-IF(VLOOKUP($E44,武器奇术!$A:$T,20,FALSE)=1,1,$N44))*(1-$M44)</f>
        <v>0.01072666</v>
      </c>
      <c r="BR44" s="112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10">
        <f t="shared" si="18"/>
        <v>0.8813852</v>
      </c>
      <c r="BT44" s="112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10">
        <f t="shared" si="19"/>
        <v>0.0986</v>
      </c>
      <c r="BV44" s="112">
        <f>BK44*IF(VLOOKUP($E44,武器奇术!$A:$R,17,FALSE)="裂石",VLOOKUP($E44,武器奇术!$A:$R,4,FALSE),VLOOKUP($E44,武器奇术!$A:$R,2,FALSE))*(1+BM44)*(1+BN44)*BO44</f>
        <v>0</v>
      </c>
      <c r="BW44" s="110">
        <f t="shared" si="20"/>
        <v>0.00928814000000003</v>
      </c>
      <c r="BX44" s="113">
        <f t="shared" si="21"/>
        <v>0</v>
      </c>
      <c r="BY44" s="108">
        <f>$B$11*IF($G$5="撼天",1.05,1)+IF(AND(VLOOKUP($E44,武器奇术!$A:$R,15,FALSE)="武器",VLOOKUP($E44,武器奇术!$A:$R,17,FALSE)="牵丝"),$E$3,0)*(1+$E$15)</f>
        <v>0</v>
      </c>
      <c r="BZ44" s="99">
        <f>(BY44+CA44)*IF(VLOOKUP($E44,武器奇术!$A:$Z,21,FALSE)=1,$G$15,0.5)</f>
        <v>0</v>
      </c>
      <c r="CA44" s="109">
        <f>MAX($C$11*IF($G$5="撼天",1.05,1)+IF(AND(VLOOKUP($E44,武器奇术!$A:$R,15,FALSE)="武器",VLOOKUP($E44,武器奇术!$A:$R,17,FALSE)="牵丝"),$E$3*(1+$E$15),0),BY44)</f>
        <v>0</v>
      </c>
      <c r="CB44" s="110">
        <f>IF(($D$11+IF(VLOOKUP($E44,武器奇术!$A:$R,17,FALSE)="牵丝",$D$15,0)+IF(VLOOKUP($E44,武器奇术!$A:$R,18,FALSE)=1,4,0)+IF(VLOOKUP($E44,武器奇术!$A:$S,19,FALSE)=1,20,0)-VLOOKUP($F$7,目标属性!$A:$R,6,FALSE))&gt;0,($D$11+IF(VLOOKUP($E44,武器奇术!$A:$R,17,FALSE)="牵丝",$D$15,0)+IF(VLOOKUP($E44,武器奇术!$A:$R,18,FALSE)=1,4,0)+IF(VLOOKUP($E44,武器奇术!$A:$S,19,FALSE)=1,20,0)-VLOOKUP($F$7,目标属性!$A:$R,6,FALSE))/200,($D$11+IF(VLOOKUP($E44,武器奇术!$A:$R,17,FALSE)="牵丝",$D$15,0)+IF(VLOOKUP($E44,武器奇术!$A:$R,18,FALSE)=1,4,0)+IF(VLOOKUP($E44,武器奇术!$A:$S,19,FALSE)=1,20,0)-VLOOKUP($F$7,目标属性!$A:$R,6,FALSE))/100)</f>
        <v>-0.24</v>
      </c>
      <c r="CC44" s="111">
        <f t="shared" si="22"/>
        <v>0</v>
      </c>
      <c r="CD44" s="109">
        <v>1</v>
      </c>
      <c r="CE44" s="112">
        <f>BY44*IF(VLOOKUP($E44,武器奇术!$A:$R,17,FALSE)="牵丝",VLOOKUP($E44,武器奇术!$A:$R,4,FALSE),VLOOKUP($E44,武器奇术!$A:$R,2,FALSE))*(1+CB44)*(1+CC44)*CD44</f>
        <v>0</v>
      </c>
      <c r="CF44" s="110">
        <f>(1-IF(VLOOKUP($E44,武器奇术!$A:$T,20,FALSE)=1,1,$N44))*(1-$M44)</f>
        <v>0.01072666</v>
      </c>
      <c r="CG44" s="112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110">
        <f t="shared" si="23"/>
        <v>0.8813852</v>
      </c>
      <c r="CI44" s="112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110">
        <f t="shared" si="24"/>
        <v>0.0986</v>
      </c>
      <c r="CK44" s="112">
        <f>BZ44*IF(VLOOKUP($E44,武器奇术!$A:$R,17,FALSE)="牵丝",VLOOKUP($E44,武器奇术!$A:$R,4,FALSE),VLOOKUP($E44,武器奇术!$A:$R,2,FALSE))*(1+CB44)*(1+CC44)*CD44</f>
        <v>0</v>
      </c>
      <c r="CL44" s="110">
        <f t="shared" si="25"/>
        <v>0.00928814000000003</v>
      </c>
      <c r="CM44" s="113">
        <f t="shared" si="26"/>
        <v>0</v>
      </c>
      <c r="CN44" s="108">
        <f>$B$13*IF($G$5="撼天",1.05,1)+IF(AND(VLOOKUP($E44,武器奇术!$A:$R,15,FALSE)="武器",VLOOKUP($E44,武器奇术!$A:$R,17,FALSE)="破竹"),$E$3,0)*(1+$E$15)</f>
        <v>648.46</v>
      </c>
      <c r="CO44" s="99">
        <f>(CN44+CP44)*IF(VLOOKUP($E44,武器奇术!$A:$Z,21,FALSE)=1,$G$15,0.5)</f>
        <v>875.26</v>
      </c>
      <c r="CP44" s="109">
        <f>MAX($C$13*IF($G$5="撼天",1.05,1)+IF(AND(VLOOKUP($E44,武器奇术!$A:$R,15,FALSE)="武器",VLOOKUP($E44,武器奇术!$A:$R,17,FALSE)="破竹"),$E$3*(1+$E$15),0),CN44)</f>
        <v>1102.06</v>
      </c>
      <c r="CQ44" s="110">
        <f>IF(($D$13+IF(VLOOKUP($E44,武器奇术!$A:$R,17,FALSE)="破竹",$D$15,0)+IF(VLOOKUP($E44,武器奇术!$A:$R,18,FALSE)=1,4,0)+IF(VLOOKUP($E44,武器奇术!$A:$S,19,FALSE)=1,20,0)-VLOOKUP($F$7,目标属性!$A:$R,6,FALSE))&gt;0,($D$13+IF(VLOOKUP($E44,武器奇术!$A:$R,17,FALSE)="破竹",$D$15,0)+IF(VLOOKUP($E44,武器奇术!$A:$R,18,FALSE)=1,4,0)+IF(VLOOKUP($E44,武器奇术!$A:$S,19,FALSE)=1,20,0)-VLOOKUP($F$7,目标属性!$A:$R,6,FALSE))/200,($D$13+IF(VLOOKUP($E44,武器奇术!$A:$R,17,FALSE)="破竹",$D$15,0)+IF(VLOOKUP($E44,武器奇术!$A:$R,18,FALSE)=1,4,0)+IF(VLOOKUP($E44,武器奇术!$A:$S,19,FALSE)=1,20,0)-VLOOKUP($F$7,目标属性!$A:$R,6,FALSE))/100)</f>
        <v>0.025</v>
      </c>
      <c r="CR44" s="111">
        <f>$E$13+IF(VLOOKUP($E44,武器奇术!$A:$U,21,FALSE)=1,0,0.09)</f>
        <v>0.235</v>
      </c>
      <c r="CS44" s="109">
        <v>1</v>
      </c>
      <c r="CT44" s="112">
        <f>CN44*IF(VLOOKUP($E44,武器奇术!$A:$R,17,FALSE)="破竹",VLOOKUP($E44,武器奇术!$A:$R,4,FALSE),VLOOKUP($E44,武器奇术!$A:$R,2,FALSE))*(1+CQ44)*(1+CR44)*CS44</f>
        <v>1539.54037683875</v>
      </c>
      <c r="CU44" s="110">
        <f>(1-IF(VLOOKUP($E44,武器奇术!$A:$T,20,FALSE)=1,1,$N44))*(1-$M44)</f>
        <v>0.01072666</v>
      </c>
      <c r="CV44" s="112">
        <f>CO44*IF(VLOOKUP($E44,武器奇术!$A:$R,17,FALSE)="破竹",VLOOKUP($E44,武器奇术!$A:$R,4,FALSE),VLOOKUP($E44,武器奇术!$A:$R,2,FALSE))*(1+CQ44)*(1+CR44)*CS44*(1+$E$16+VLOOKUP($E44,武器奇术!$A:$R,8,FALSE))</f>
        <v>3407.91552413455</v>
      </c>
      <c r="CW44" s="110">
        <f t="shared" si="27"/>
        <v>0.8813852</v>
      </c>
      <c r="CX44" s="112">
        <f>CP44*IF(VLOOKUP($E44,武器奇术!$A:$R,17,FALSE)="破竹",VLOOKUP($E44,武器奇术!$A:$R,4,FALSE),VLOOKUP($E44,武器奇术!$A:$R,2,FALSE))*(1+CQ44)*(1+CR44)*CS44*(1+$E$17+VLOOKUP($E44,武器奇术!$A:$R,10,FALSE))</f>
        <v>3532.21312246481</v>
      </c>
      <c r="CY44" s="110">
        <f t="shared" si="28"/>
        <v>0.0986</v>
      </c>
      <c r="CZ44" s="112">
        <f>CO44*IF(VLOOKUP($E44,武器奇术!$A:$R,17,FALSE)="破竹",VLOOKUP($E44,武器奇术!$A:$R,4,FALSE),VLOOKUP($E44,武器奇术!$A:$R,2,FALSE))*(1+CQ44)*(1+CR44)*CS44</f>
        <v>2077.99727081375</v>
      </c>
      <c r="DA44" s="110">
        <f t="shared" si="29"/>
        <v>0.00928814000000003</v>
      </c>
      <c r="DB44" s="113">
        <f t="shared" si="30"/>
        <v>3387.77737544702</v>
      </c>
      <c r="DC44" s="108">
        <f t="shared" si="31"/>
        <v>69.3</v>
      </c>
      <c r="DD44" s="99">
        <f>(DC44+DE44)*IF(VLOOKUP($E44,武器奇术!$A:$Z,21,FALSE)=1,$G$15,0.5)</f>
        <v>69.3</v>
      </c>
      <c r="DE44" s="109">
        <f t="shared" si="32"/>
        <v>69.3</v>
      </c>
      <c r="DF44" s="110">
        <f>IF(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R,18,FALSE)=1,4,0)+IF(VLOOKUP($E44,武器奇术!$A:$S,19,FALSE)=1,20,0)-VLOOKUP($F$7,目标属性!$A:$R,6,FALSE))/100)</f>
        <v>0.025</v>
      </c>
      <c r="DG44" s="111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U,21,FALSE)=1,0,0.09)</f>
        <v>0.235</v>
      </c>
      <c r="DH44" s="109">
        <v>1</v>
      </c>
      <c r="DI44" s="112">
        <f>DC44*IF(VLOOKUP($E44,武器奇术!$A:$R,17,FALSE)="破竹",VLOOKUP($E44,武器奇术!$A:$R,4,FALSE),VLOOKUP($E44,武器奇术!$A:$R,2,FALSE))*(1+DF44)*(1+DG44)*DH44</f>
        <v>164.52849538125</v>
      </c>
      <c r="DJ44" s="110">
        <f>(1-IF(VLOOKUP($E44,武器奇术!$A:$T,20,FALSE)=1,1,$N44))*(1-$M44)</f>
        <v>0.01072666</v>
      </c>
      <c r="DK44" s="112">
        <f>DD44*IF(VLOOKUP($E44,武器奇术!$A:$R,17,FALSE)="破竹",VLOOKUP($E44,武器奇术!$A:$R,4,FALSE),VLOOKUP($E44,武器奇术!$A:$R,2,FALSE))*(1+DF44)*(1+DG44)*DH44*(1+$E$16+VLOOKUP($E44,武器奇术!$A:$R,8,FALSE))</f>
        <v>269.82673242525</v>
      </c>
      <c r="DL44" s="110">
        <f t="shared" si="33"/>
        <v>0.8813852</v>
      </c>
      <c r="DM44" s="112">
        <f>DE44*IF(VLOOKUP($E44,武器奇术!$A:$R,17,FALSE)="破竹",VLOOKUP($E44,武器奇术!$A:$R,4,FALSE),VLOOKUP($E44,武器奇术!$A:$R,2,FALSE))*(1+DF44)*(1+DG44)*DH44*(1+$E$17+VLOOKUP($E44,武器奇术!$A:$R,10,FALSE))</f>
        <v>222.113468764687</v>
      </c>
      <c r="DN44" s="110">
        <f t="shared" si="34"/>
        <v>0.0986</v>
      </c>
      <c r="DO44" s="112">
        <f>DD44*IF(VLOOKUP($E44,武器奇术!$A:$R,17,FALSE)="破竹",VLOOKUP($E44,武器奇术!$A:$R,4,FALSE),VLOOKUP($E44,武器奇术!$A:$R,2,FALSE))*(1+DF44)*(1+DG44)*DH44</f>
        <v>164.52849538125</v>
      </c>
      <c r="DP44" s="110">
        <f t="shared" si="35"/>
        <v>0.00928814000000003</v>
      </c>
      <c r="DQ44" s="113">
        <f t="shared" si="36"/>
        <v>263.01468147353</v>
      </c>
    </row>
    <row r="45" customFormat="1" spans="2:121">
      <c r="B45" s="124" t="s">
        <v>140</v>
      </c>
      <c r="C45" s="141"/>
      <c r="D45" s="142"/>
      <c r="E45" s="98" t="str">
        <f>期望!E45</f>
        <v>鹰隼追击(绳特殊技)</v>
      </c>
      <c r="F45" s="99">
        <f>期望!F45</f>
        <v>1</v>
      </c>
      <c r="G45" s="115"/>
      <c r="H45" s="100">
        <f>IF(VLOOKUP($E45,武器奇术!$A:$R,18,FALSE)="天工",AE45,(AE45+AT45+BI45+BX45+CM45+DB45+DQ45))*(1+J45)*F45*K45*(1+G45)</f>
        <v>38693.2921128265</v>
      </c>
      <c r="I45" s="101">
        <f t="shared" si="0"/>
        <v>0.00477718659022702</v>
      </c>
      <c r="J45" s="116">
        <f>$F$3+VLOOKUP($E45,武器奇术!$A:$R,12,FALSE)+VLOOKUP($E45,武器奇术!$A:$R,14,FALSE)*$G$3+$P45+IF($F$21="√",5%,0)</f>
        <v>0.737</v>
      </c>
      <c r="K45" s="102">
        <f>VLOOKUP($E45,武器奇术!$A:$R,11,FALSE)</f>
        <v>1</v>
      </c>
      <c r="L45" s="117">
        <f>IF(VLOOKUP($E45,武器奇术!$A:$R,15,FALSE)="天工",0%,IF($C$17+VLOOKUP($E45,武器奇术!$A:$R,7,FALSE)&gt;80%,80%,$C$17+VLOOKUP($E45,武器奇术!$A:$R,7,FALSE))+IF($C$19&gt;20%,20%,$C$19))</f>
        <v>0.892</v>
      </c>
      <c r="M45" s="118">
        <f>IF(VLOOKUP($E45,武器奇术!$A:$R,15,FALSE)="天工",0%,IF($C$18+VLOOKUP($E45,武器奇术!$A:$R,9,FALSE)&gt;40%,40%,$C$18+VLOOKUP($E45,武器奇术!$A:$R,9,FALSE))+IF($C$20&gt;10%,10%,$C$20))</f>
        <v>0.0986</v>
      </c>
      <c r="N45" s="119">
        <f>IF(VLOOKUP($E45,武器奇术!$A:$R,15,FALSE)="天工",100%,MIN($C$16,1))</f>
        <v>0.9881</v>
      </c>
      <c r="O45" s="120" t="str">
        <f>VLOOKUP($E45,武器奇术!$A:$R,16,FALSE)</f>
        <v>绳标</v>
      </c>
      <c r="P45" s="121">
        <f t="shared" si="37"/>
        <v>0.084</v>
      </c>
      <c r="Q45" s="108">
        <f>$B$5*(1+VLOOKUP($E45,武器奇术!$A:$R,5,FALSE)+IF($G$5="飞隼",0.1,0)+IF($G$5="撼天",0.05,0))-$F$9+IF($I$5="√",160,0)</f>
        <v>1731.135</v>
      </c>
      <c r="R45" s="99">
        <f>IF(VLOOKUP($E45,武器奇术!$A:$Z,20,FALSE)=1,(S45-(Q45+S45)*0.5)*($G$15-0.5)*2+(Q45+S45)*0.5,(Q45+S45)*0.5)</f>
        <v>3256.775</v>
      </c>
      <c r="S45" s="109">
        <f>MAX($C$5,$B$5)*(1+VLOOKUP($E45,武器奇术!$A:$R,5,FALSE)+IF($G$5="飞隼",0.1,0)+IF($G$5="撼天",0.05,0))-$F$9+IF($I$5="√",320,0)</f>
        <v>4782.415</v>
      </c>
      <c r="T45" s="101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U45" s="111">
        <f>$E$5+IF(VLOOKUP($E45,武器奇术!$A:$U,21,FALSE)=1,0,0.09)</f>
        <v>0.115</v>
      </c>
      <c r="V45" s="109">
        <v>1</v>
      </c>
      <c r="W45" s="112">
        <f>Q45*VLOOKUP($E45,武器奇术!$A:$R,2,FALSE)*(1+T45)*(1+U45)*V45</f>
        <v>4662.62862219</v>
      </c>
      <c r="X45" s="110">
        <f>(1-IF(VLOOKUP($E45,武器奇术!$A:$T,20,FALSE)=1,1,$N45))*(1-$M45)</f>
        <v>0.01072666</v>
      </c>
      <c r="Y45" s="112">
        <f>R45*VLOOKUP($E45,武器奇术!$A:$R,2,FALSE)*(1+T45)*(1+U45)*V45*(1+$E$16+VLOOKUP($E45,武器奇术!$A:$R,8,FALSE))</f>
        <v>17017.249794039</v>
      </c>
      <c r="Z45" s="110">
        <f t="shared" si="1"/>
        <v>0.8813852</v>
      </c>
      <c r="AA45" s="112">
        <f>S45*VLOOKUP($E45,武器奇术!$A:$R,2,FALSE)*(1+T45)*(1+U45)*V45*(1+$E$17+VLOOKUP($E45,武器奇术!$A:$R,10,FALSE))</f>
        <v>17389.2526197885</v>
      </c>
      <c r="AB45" s="110">
        <f t="shared" si="2"/>
        <v>0.0986</v>
      </c>
      <c r="AC45" s="112">
        <f>R45*VLOOKUP($E45,武器奇术!$A:$R,2,FALSE)*(1+T45)*(1+U45)*V45</f>
        <v>8771.77824435</v>
      </c>
      <c r="AD45" s="110">
        <f t="shared" si="3"/>
        <v>0.00928814000000003</v>
      </c>
      <c r="AE45" s="113">
        <f t="shared" si="4"/>
        <v>16844.8203577992</v>
      </c>
      <c r="AF45" s="114">
        <f>VLOOKUP($E45,武器奇术!$A:$R,3,FALSE)*(1+IF(VLOOKUP($E45,武器奇术!$A:$R,15,FALSE)="武器",$E$15,0))</f>
        <v>0</v>
      </c>
      <c r="AG45" s="112">
        <f t="shared" si="5"/>
        <v>0</v>
      </c>
      <c r="AH45" s="112">
        <f>VLOOKUP($E45,武器奇术!$A:$R,3,FALSE)*(1+IF(VLOOKUP($E45,武器奇术!$A:$R,15,FALSE)="武器",$E$15,0))</f>
        <v>0</v>
      </c>
      <c r="AI45" s="101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0.342</v>
      </c>
      <c r="AJ45" s="111">
        <f>$E$5+IF(VLOOKUP($E45,武器奇术!$A:$U,21,FALSE)=1,0,0.09)</f>
        <v>0.115</v>
      </c>
      <c r="AK45" s="109">
        <v>1</v>
      </c>
      <c r="AL45" s="112">
        <f t="shared" si="6"/>
        <v>0</v>
      </c>
      <c r="AM45" s="110">
        <f>(1-IF(VLOOKUP($E45,武器奇术!$A:$T,20,FALSE)=1,1,$N45))*(1-$M45)</f>
        <v>0.01072666</v>
      </c>
      <c r="AN45" s="112">
        <f>AG45*(1+AI45)*(1+AJ45)*AK45*(1+$E$16+VLOOKUP($E45,武器奇术!$A:$R,8,FALSE))</f>
        <v>0</v>
      </c>
      <c r="AO45" s="110">
        <f t="shared" si="7"/>
        <v>0.8813852</v>
      </c>
      <c r="AP45" s="112">
        <f>AH45*(1+AI45)*(1+AJ45)*AK45*(1+$E$17+VLOOKUP($E45,武器奇术!$A:$R,10,FALSE))</f>
        <v>0</v>
      </c>
      <c r="AQ45" s="110">
        <f t="shared" si="8"/>
        <v>0.0986</v>
      </c>
      <c r="AR45" s="112">
        <f t="shared" si="9"/>
        <v>0</v>
      </c>
      <c r="AS45" s="110">
        <f t="shared" si="10"/>
        <v>0.00928814000000003</v>
      </c>
      <c r="AT45" s="113">
        <f t="shared" si="11"/>
        <v>0</v>
      </c>
      <c r="AU45" s="108">
        <f>$B$7*IF($G$5="撼天",1.05,1)+IF(AND(VLOOKUP($E45,武器奇术!$A:$R,15,FALSE)="武器",VLOOKUP($E45,武器奇术!$A:$R,17,FALSE)="鸣金"),$E$3,0)*(1+$E$15)</f>
        <v>0</v>
      </c>
      <c r="AV45" s="99">
        <f>(AU45+AW45)*IF(VLOOKUP($E45,武器奇术!$A:$Z,21,FALSE)=1,$G$15,0.5)</f>
        <v>0</v>
      </c>
      <c r="AW45" s="109">
        <f>MAX($C$7*IF($G$5="撼天",1.05,1)+IF(AND(VLOOKUP($E45,武器奇术!$A:$R,15,FALSE)="武器",VLOOKUP($E45,武器奇术!$A:$R,17,FALSE)="鸣金"),$E$3*(1+$E$15),0),AU45)</f>
        <v>0</v>
      </c>
      <c r="AX45" s="110">
        <f>IF(($D$7+IF(VLOOKUP($E45,武器奇术!$A:$R,17,FALSE)="鸣金",$D$15,0)+IF(VLOOKUP($E45,武器奇术!$A:$R,18,FALSE)=1,4,0)+IF(VLOOKUP($E45,武器奇术!$A:$S,19,FALSE)=1,20,0)-VLOOKUP($F$7,目标属性!$A:$R,6,FALSE))&gt;0,($D$7+IF(VLOOKUP($E45,武器奇术!$A:$R,17,FALSE)="鸣金",$D$15,0)+IF(VLOOKUP($E45,武器奇术!$A:$R,18,FALSE)=1,4,0)+IF(VLOOKUP($E45,武器奇术!$A:$S,19,FALSE)=1,20,0)-VLOOKUP($F$7,目标属性!$A:$R,6,FALSE))/200,($D$7+IF(VLOOKUP($E45,武器奇术!$A:$R,17,FALSE)="鸣金",$D$15,0)+IF(VLOOKUP($E45,武器奇术!$A:$R,18,FALSE)=1,4,0)+IF(VLOOKUP($E45,武器奇术!$A:$S,19,FALSE)=1,20,0)-VLOOKUP($F$7,目标属性!$A:$R,6,FALSE))/100)</f>
        <v>0</v>
      </c>
      <c r="AY45" s="111">
        <f t="shared" si="12"/>
        <v>0</v>
      </c>
      <c r="AZ45" s="109">
        <v>1</v>
      </c>
      <c r="BA45" s="112">
        <f>AU45*IF(VLOOKUP($E45,武器奇术!$A:$R,17,FALSE)="鸣金",VLOOKUP($E45,武器奇术!$A:$R,4,FALSE),VLOOKUP($E45,武器奇术!$A:$R,2,FALSE))*(1+AX45)*(1+AY45)*AZ45</f>
        <v>0</v>
      </c>
      <c r="BB45" s="110">
        <f>(1-IF(VLOOKUP($E45,武器奇术!$A:$T,20,FALSE)=1,1,$N45))*(1-$M45)</f>
        <v>0.01072666</v>
      </c>
      <c r="BC45" s="112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10">
        <f t="shared" si="13"/>
        <v>0.8813852</v>
      </c>
      <c r="BE45" s="112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10">
        <f t="shared" si="14"/>
        <v>0.0986</v>
      </c>
      <c r="BG45" s="112">
        <f>AV45*IF(VLOOKUP($E45,武器奇术!$A:$R,17,FALSE)="鸣金",VLOOKUP($E45,武器奇术!$A:$R,4,FALSE),VLOOKUP($E45,武器奇术!$A:$R,2,FALSE))*(1+AX45)*(1+AY45)*AZ45</f>
        <v>0</v>
      </c>
      <c r="BH45" s="110">
        <f t="shared" si="15"/>
        <v>0.00928814000000003</v>
      </c>
      <c r="BI45" s="113">
        <f t="shared" si="16"/>
        <v>0</v>
      </c>
      <c r="BJ45" s="108">
        <f>$B$9*IF($G$5="撼天",1.05,1)+IF(AND(VLOOKUP($E45,武器奇术!$A:$R,15,FALSE)="武器",VLOOKUP($E45,武器奇术!$A:$R,17,FALSE)="裂石"),$E$3,0)*(1+$E$15)</f>
        <v>0</v>
      </c>
      <c r="BK45" s="99">
        <f>(BJ45+BL45)*IF(VLOOKUP($E45,武器奇术!$A:$Z,21,FALSE)=1,$G$15,0.5)</f>
        <v>0</v>
      </c>
      <c r="BL45" s="109">
        <f>MAX($C$9*IF($G$5="撼天",1.05,1)+IF(AND(VLOOKUP($E45,武器奇术!$A:$R,15,FALSE)="武器",VLOOKUP($E45,武器奇术!$A:$R,17,FALSE)="裂石"),$E$3*(1+$E$15),0),BJ45)</f>
        <v>0</v>
      </c>
      <c r="BM45" s="110">
        <f>IF(($D$9+IF(VLOOKUP($E45,武器奇术!$A:$R,17,FALSE)="裂石",$D$15,0)+IF(VLOOKUP($E45,武器奇术!$A:$R,18,FALSE)=1,4,0)+IF(VLOOKUP($E45,武器奇术!$A:$S,19,FALSE)=1,20,0)-VLOOKUP($F$7,目标属性!$A:$R,6,FALSE))&gt;0,($D$9+IF(VLOOKUP($E45,武器奇术!$A:$R,17,FALSE)="裂石",$D$15,0)+IF(VLOOKUP($E45,武器奇术!$A:$R,18,FALSE)=1,4,0)+IF(VLOOKUP($E45,武器奇术!$A:$S,19,FALSE)=1,20,0)-VLOOKUP($F$7,目标属性!$A:$R,6,FALSE))/200,($D$9+IF(VLOOKUP($E45,武器奇术!$A:$R,17,FALSE)="裂石",$D$15,0)+IF(VLOOKUP($E45,武器奇术!$A:$R,18,FALSE)=1,4,0)+IF(VLOOKUP($E45,武器奇术!$A:$S,19,FALSE)=1,20,0)-VLOOKUP($F$7,目标属性!$A:$R,6,FALSE))/100)</f>
        <v>0</v>
      </c>
      <c r="BN45" s="111">
        <f t="shared" si="17"/>
        <v>0</v>
      </c>
      <c r="BO45" s="109">
        <v>1</v>
      </c>
      <c r="BP45" s="112">
        <f>BJ45*IF(VLOOKUP($E45,武器奇术!$A:$R,17,FALSE)="裂石",VLOOKUP($E45,武器奇术!$A:$R,4,FALSE),VLOOKUP($E45,武器奇术!$A:$R,2,FALSE))*(1+BM45)*(1+BN45)*BO45</f>
        <v>0</v>
      </c>
      <c r="BQ45" s="110">
        <f>(1-IF(VLOOKUP($E45,武器奇术!$A:$T,20,FALSE)=1,1,$N45))*(1-$M45)</f>
        <v>0.01072666</v>
      </c>
      <c r="BR45" s="112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10">
        <f t="shared" si="18"/>
        <v>0.8813852</v>
      </c>
      <c r="BT45" s="112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10">
        <f t="shared" si="19"/>
        <v>0.0986</v>
      </c>
      <c r="BV45" s="112">
        <f>BK45*IF(VLOOKUP($E45,武器奇术!$A:$R,17,FALSE)="裂石",VLOOKUP($E45,武器奇术!$A:$R,4,FALSE),VLOOKUP($E45,武器奇术!$A:$R,2,FALSE))*(1+BM45)*(1+BN45)*BO45</f>
        <v>0</v>
      </c>
      <c r="BW45" s="110">
        <f t="shared" si="20"/>
        <v>0.00928814000000003</v>
      </c>
      <c r="BX45" s="113">
        <f t="shared" si="21"/>
        <v>0</v>
      </c>
      <c r="BY45" s="108">
        <f>$B$11*IF($G$5="撼天",1.05,1)+IF(AND(VLOOKUP($E45,武器奇术!$A:$R,15,FALSE)="武器",VLOOKUP($E45,武器奇术!$A:$R,17,FALSE)="牵丝"),$E$3,0)*(1+$E$15)</f>
        <v>0</v>
      </c>
      <c r="BZ45" s="99">
        <f>(BY45+CA45)*IF(VLOOKUP($E45,武器奇术!$A:$Z,21,FALSE)=1,$G$15,0.5)</f>
        <v>0</v>
      </c>
      <c r="CA45" s="109">
        <f>MAX($C$11*IF($G$5="撼天",1.05,1)+IF(AND(VLOOKUP($E45,武器奇术!$A:$R,15,FALSE)="武器",VLOOKUP($E45,武器奇术!$A:$R,17,FALSE)="牵丝"),$E$3*(1+$E$15),0),BY45)</f>
        <v>0</v>
      </c>
      <c r="CB45" s="110">
        <f>IF(($D$11+IF(VLOOKUP($E45,武器奇术!$A:$R,17,FALSE)="牵丝",$D$15,0)+IF(VLOOKUP($E45,武器奇术!$A:$R,18,FALSE)=1,4,0)+IF(VLOOKUP($E45,武器奇术!$A:$S,19,FALSE)=1,20,0)-VLOOKUP($F$7,目标属性!$A:$R,6,FALSE))&gt;0,($D$11+IF(VLOOKUP($E45,武器奇术!$A:$R,17,FALSE)="牵丝",$D$15,0)+IF(VLOOKUP($E45,武器奇术!$A:$R,18,FALSE)=1,4,0)+IF(VLOOKUP($E45,武器奇术!$A:$S,19,FALSE)=1,20,0)-VLOOKUP($F$7,目标属性!$A:$R,6,FALSE))/200,($D$11+IF(VLOOKUP($E45,武器奇术!$A:$R,17,FALSE)="牵丝",$D$15,0)+IF(VLOOKUP($E45,武器奇术!$A:$R,18,FALSE)=1,4,0)+IF(VLOOKUP($E45,武器奇术!$A:$S,19,FALSE)=1,20,0)-VLOOKUP($F$7,目标属性!$A:$R,6,FALSE))/100)</f>
        <v>0</v>
      </c>
      <c r="CC45" s="111">
        <f t="shared" si="22"/>
        <v>0</v>
      </c>
      <c r="CD45" s="109">
        <v>1</v>
      </c>
      <c r="CE45" s="112">
        <f>BY45*IF(VLOOKUP($E45,武器奇术!$A:$R,17,FALSE)="牵丝",VLOOKUP($E45,武器奇术!$A:$R,4,FALSE),VLOOKUP($E45,武器奇术!$A:$R,2,FALSE))*(1+CB45)*(1+CC45)*CD45</f>
        <v>0</v>
      </c>
      <c r="CF45" s="110">
        <f>(1-IF(VLOOKUP($E45,武器奇术!$A:$T,20,FALSE)=1,1,$N45))*(1-$M45)</f>
        <v>0.01072666</v>
      </c>
      <c r="CG45" s="112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110">
        <f t="shared" si="23"/>
        <v>0.8813852</v>
      </c>
      <c r="CI45" s="112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110">
        <f t="shared" si="24"/>
        <v>0.0986</v>
      </c>
      <c r="CK45" s="112">
        <f>BZ45*IF(VLOOKUP($E45,武器奇术!$A:$R,17,FALSE)="牵丝",VLOOKUP($E45,武器奇术!$A:$R,4,FALSE),VLOOKUP($E45,武器奇术!$A:$R,2,FALSE))*(1+CB45)*(1+CC45)*CD45</f>
        <v>0</v>
      </c>
      <c r="CL45" s="110">
        <f t="shared" si="25"/>
        <v>0.00928814000000003</v>
      </c>
      <c r="CM45" s="113">
        <f t="shared" si="26"/>
        <v>0</v>
      </c>
      <c r="CN45" s="108">
        <f>$B$13*IF($G$5="撼天",1.05,1)+IF(AND(VLOOKUP($E45,武器奇术!$A:$R,15,FALSE)="武器",VLOOKUP($E45,武器奇术!$A:$R,17,FALSE)="破竹"),$E$3,0)*(1+$E$15)</f>
        <v>452.55</v>
      </c>
      <c r="CO45" s="99">
        <f>(CN45+CP45)*IF(VLOOKUP($E45,武器奇术!$A:$Z,21,FALSE)=1,$G$15,0.5)</f>
        <v>679.35</v>
      </c>
      <c r="CP45" s="109">
        <f>MAX($C$13*IF($G$5="撼天",1.05,1)+IF(AND(VLOOKUP($E45,武器奇术!$A:$R,15,FALSE)="武器",VLOOKUP($E45,武器奇术!$A:$R,17,FALSE)="破竹"),$E$3*(1+$E$15),0),CN45)</f>
        <v>906.15</v>
      </c>
      <c r="CQ45" s="110">
        <f>IF(($D$13+IF(VLOOKUP($E45,武器奇术!$A:$R,17,FALSE)="破竹",$D$15,0)+IF(VLOOKUP($E45,武器奇术!$A:$R,18,FALSE)=1,4,0)+IF(VLOOKUP($E45,武器奇术!$A:$S,19,FALSE)=1,20,0)-VLOOKUP($F$7,目标属性!$A:$R,6,FALSE))&gt;0,($D$13+IF(VLOOKUP($E45,武器奇术!$A:$R,17,FALSE)="破竹",$D$15,0)+IF(VLOOKUP($E45,武器奇术!$A:$R,18,FALSE)=1,4,0)+IF(VLOOKUP($E45,武器奇术!$A:$S,19,FALSE)=1,20,0)-VLOOKUP($F$7,目标属性!$A:$R,6,FALSE))/200,($D$13+IF(VLOOKUP($E45,武器奇术!$A:$R,17,FALSE)="破竹",$D$15,0)+IF(VLOOKUP($E45,武器奇术!$A:$R,18,FALSE)=1,4,0)+IF(VLOOKUP($E45,武器奇术!$A:$S,19,FALSE)=1,20,0)-VLOOKUP($F$7,目标属性!$A:$R,6,FALSE))/100)</f>
        <v>0.145</v>
      </c>
      <c r="CR45" s="111">
        <f>$E$13+IF(VLOOKUP($E45,武器奇术!$A:$U,21,FALSE)=1,0,0.09)</f>
        <v>0.235</v>
      </c>
      <c r="CS45" s="109">
        <v>1</v>
      </c>
      <c r="CT45" s="112">
        <f>CN45*IF(VLOOKUP($E45,武器奇术!$A:$R,17,FALSE)="破竹",VLOOKUP($E45,武器奇术!$A:$R,4,FALSE),VLOOKUP($E45,武器奇术!$A:$R,2,FALSE))*(1+CQ45)*(1+CR45)*CS45</f>
        <v>1727.837031375</v>
      </c>
      <c r="CU45" s="110">
        <f>(1-IF(VLOOKUP($E45,武器奇术!$A:$T,20,FALSE)=1,1,$N45))*(1-$M45)</f>
        <v>0.01072666</v>
      </c>
      <c r="CV45" s="112">
        <f>CO45*IF(VLOOKUP($E45,武器奇术!$A:$R,17,FALSE)="破竹",VLOOKUP($E45,武器奇术!$A:$R,4,FALSE),VLOOKUP($E45,武器奇术!$A:$R,2,FALSE))*(1+CQ45)*(1+CR45)*CS45*(1+$E$16+VLOOKUP($E45,武器奇术!$A:$R,8,FALSE))</f>
        <v>5031.8943968475</v>
      </c>
      <c r="CW45" s="110">
        <f t="shared" si="27"/>
        <v>0.8813852</v>
      </c>
      <c r="CX45" s="112">
        <f>CP45*IF(VLOOKUP($E45,武器奇术!$A:$R,17,FALSE)="破竹",VLOOKUP($E45,武器奇术!$A:$R,4,FALSE),VLOOKUP($E45,武器奇术!$A:$R,2,FALSE))*(1+CQ45)*(1+CR45)*CS45*(1+$E$17+VLOOKUP($E45,武器奇术!$A:$R,10,FALSE))</f>
        <v>4670.57200325625</v>
      </c>
      <c r="CY45" s="110">
        <f t="shared" si="28"/>
        <v>0.0986</v>
      </c>
      <c r="CZ45" s="112">
        <f>CO45*IF(VLOOKUP($E45,武器奇术!$A:$R,17,FALSE)="破竹",VLOOKUP($E45,武器奇术!$A:$R,4,FALSE),VLOOKUP($E45,武器奇术!$A:$R,2,FALSE))*(1+CQ45)*(1+CR45)*CS45</f>
        <v>2593.759998375</v>
      </c>
      <c r="DA45" s="110">
        <f t="shared" si="29"/>
        <v>0.00928814000000003</v>
      </c>
      <c r="DB45" s="113">
        <f t="shared" si="30"/>
        <v>4938.18077522766</v>
      </c>
      <c r="DC45" s="108">
        <f t="shared" si="31"/>
        <v>69.3</v>
      </c>
      <c r="DD45" s="99">
        <f>(DC45+DE45)*IF(VLOOKUP($E45,武器奇术!$A:$Z,21,FALSE)=1,$G$15,0.5)</f>
        <v>69.3</v>
      </c>
      <c r="DE45" s="109">
        <f t="shared" si="32"/>
        <v>69.3</v>
      </c>
      <c r="DF45" s="110">
        <f>IF(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R,18,FALSE)=1,4,0)+IF(VLOOKUP($E45,武器奇术!$A:$S,19,FALSE)=1,20,0)-VLOOKUP($F$7,目标属性!$A:$R,6,FALSE))/100)</f>
        <v>0.145</v>
      </c>
      <c r="DG45" s="111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U,21,FALSE)=1,0,0.09)</f>
        <v>0.235</v>
      </c>
      <c r="DH45" s="109">
        <v>1</v>
      </c>
      <c r="DI45" s="112">
        <f>DC45*IF(VLOOKUP($E45,武器奇术!$A:$R,17,FALSE)="破竹",VLOOKUP($E45,武器奇术!$A:$R,4,FALSE),VLOOKUP($E45,武器奇术!$A:$R,2,FALSE))*(1+DF45)*(1+DG45)*DH45</f>
        <v>264.58757325</v>
      </c>
      <c r="DJ45" s="110">
        <f>(1-IF(VLOOKUP($E45,武器奇术!$A:$T,20,FALSE)=1,1,$N45))*(1-$M45)</f>
        <v>0.01072666</v>
      </c>
      <c r="DK45" s="112">
        <f>DD45*IF(VLOOKUP($E45,武器奇术!$A:$R,17,FALSE)="破竹",VLOOKUP($E45,武器奇术!$A:$R,4,FALSE),VLOOKUP($E45,武器奇术!$A:$R,2,FALSE))*(1+DF45)*(1+DG45)*DH45*(1+$E$16+VLOOKUP($E45,武器奇术!$A:$R,8,FALSE))</f>
        <v>513.299892105</v>
      </c>
      <c r="DL45" s="110">
        <f t="shared" si="33"/>
        <v>0.8813852</v>
      </c>
      <c r="DM45" s="112">
        <f>DE45*IF(VLOOKUP($E45,武器奇术!$A:$R,17,FALSE)="破竹",VLOOKUP($E45,武器奇术!$A:$R,4,FALSE),VLOOKUP($E45,武器奇术!$A:$R,2,FALSE))*(1+DF45)*(1+DG45)*DH45*(1+$E$17+VLOOKUP($E45,武器奇术!$A:$R,10,FALSE))</f>
        <v>357.1932238875</v>
      </c>
      <c r="DN45" s="110">
        <f t="shared" si="34"/>
        <v>0.0986</v>
      </c>
      <c r="DO45" s="112">
        <f>DD45*IF(VLOOKUP($E45,武器奇术!$A:$R,17,FALSE)="破竹",VLOOKUP($E45,武器奇术!$A:$R,4,FALSE),VLOOKUP($E45,武器奇术!$A:$R,2,FALSE))*(1+DF45)*(1+DG45)*DH45</f>
        <v>264.58757325</v>
      </c>
      <c r="DP45" s="110">
        <f t="shared" si="35"/>
        <v>0.00928814000000003</v>
      </c>
      <c r="DQ45" s="113">
        <f t="shared" si="36"/>
        <v>492.929847299336</v>
      </c>
    </row>
    <row r="46" customFormat="1" spans="2:121">
      <c r="B46" s="122"/>
      <c r="C46" s="143"/>
      <c r="D46" s="144"/>
      <c r="E46" s="98" t="str">
        <f>期望!E46</f>
        <v>绳标Q</v>
      </c>
      <c r="F46" s="99">
        <f>期望!F46</f>
        <v>1</v>
      </c>
      <c r="G46" s="115"/>
      <c r="H46" s="100">
        <f>IF(VLOOKUP($E46,武器奇术!$A:$R,18,FALSE)="天工",AE46,(AE46+AT46+BI46+BX46+CM46+DB46+DQ46))*(1+J46)*F46*K46*(1+G46)</f>
        <v>26650.4708538805</v>
      </c>
      <c r="I46" s="101">
        <f t="shared" si="0"/>
        <v>0.00329034478676965</v>
      </c>
      <c r="J46" s="116">
        <f>$F$3+VLOOKUP($E46,武器奇术!$A:$R,12,FALSE)+VLOOKUP($E46,武器奇术!$A:$R,14,FALSE)*$G$3+$P46+IF($F$21="√",5%,0)</f>
        <v>0.437</v>
      </c>
      <c r="K46" s="102">
        <f>VLOOKUP($E46,武器奇术!$A:$R,11,FALSE)</f>
        <v>1</v>
      </c>
      <c r="L46" s="117">
        <f>IF(VLOOKUP($E46,武器奇术!$A:$R,15,FALSE)="天工",0%,IF($C$17+VLOOKUP($E46,武器奇术!$A:$R,7,FALSE)&gt;80%,80%,$C$17+VLOOKUP($E46,武器奇术!$A:$R,7,FALSE))+IF($C$19&gt;20%,20%,$C$19))</f>
        <v>0.892</v>
      </c>
      <c r="M46" s="118">
        <f>IF(VLOOKUP($E46,武器奇术!$A:$R,15,FALSE)="天工",0%,IF($C$18+VLOOKUP($E46,武器奇术!$A:$R,9,FALSE)&gt;40%,40%,$C$18+VLOOKUP($E46,武器奇术!$A:$R,9,FALSE))+IF($C$20&gt;10%,10%,$C$20))</f>
        <v>0.0986</v>
      </c>
      <c r="N46" s="119">
        <f>IF(VLOOKUP($E46,武器奇术!$A:$R,15,FALSE)="天工",100%,MIN($C$16,1))</f>
        <v>0.9881</v>
      </c>
      <c r="O46" s="120" t="str">
        <f>VLOOKUP($E46,武器奇术!$A:$R,16,FALSE)</f>
        <v>绳标</v>
      </c>
      <c r="P46" s="121">
        <f t="shared" si="37"/>
        <v>0.084</v>
      </c>
      <c r="Q46" s="108">
        <f>$B$5*(1+VLOOKUP($E46,武器奇术!$A:$R,5,FALSE)+IF($G$5="飞隼",0.1,0)+IF($G$5="撼天",0.05,0))-$F$9+IF($I$5="√",160,0)</f>
        <v>1731.135</v>
      </c>
      <c r="R46" s="99">
        <f>IF(VLOOKUP($E46,武器奇术!$A:$Z,20,FALSE)=1,(S46-(Q46+S46)*0.5)*($G$15-0.5)*2+(Q46+S46)*0.5,(Q46+S46)*0.5)</f>
        <v>3256.775</v>
      </c>
      <c r="S46" s="109">
        <f>MAX($C$5,$B$5)*(1+VLOOKUP($E46,武器奇术!$A:$R,5,FALSE)+IF($G$5="飞隼",0.1,0)+IF($G$5="撼天",0.05,0))-$F$9+IF($I$5="√",320,0)</f>
        <v>4782.415</v>
      </c>
      <c r="T46" s="101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U46" s="111">
        <f>$E$5+IF(VLOOKUP($E46,武器奇术!$A:$U,21,FALSE)=1,0,0.09)</f>
        <v>0.115</v>
      </c>
      <c r="V46" s="109">
        <v>1</v>
      </c>
      <c r="W46" s="112">
        <f>Q46*VLOOKUP($E46,武器奇术!$A:$R,2,FALSE)*(1+T46)*(1+U46)*V46</f>
        <v>3975.72822791172</v>
      </c>
      <c r="X46" s="110">
        <f>(1-IF(VLOOKUP($E46,武器奇术!$A:$T,20,FALSE)=1,1,$N46))*(1-$M46)</f>
        <v>0.01072666</v>
      </c>
      <c r="Y46" s="112">
        <f>R46*VLOOKUP($E46,武器奇术!$A:$R,2,FALSE)*(1+T46)*(1+U46)*V46*(1+$E$16+VLOOKUP($E46,武器奇术!$A:$R,8,FALSE))</f>
        <v>12266.406589382</v>
      </c>
      <c r="Z46" s="110">
        <f t="shared" si="1"/>
        <v>0.8813852</v>
      </c>
      <c r="AA46" s="112">
        <f>S46*VLOOKUP($E46,武器奇术!$A:$R,2,FALSE)*(1+T46)*(1+U46)*V46*(1+$E$17+VLOOKUP($E46,武器奇术!$A:$R,10,FALSE))</f>
        <v>14827.4606675212</v>
      </c>
      <c r="AB46" s="110">
        <f t="shared" si="2"/>
        <v>0.0986</v>
      </c>
      <c r="AC46" s="112">
        <f>R46*VLOOKUP($E46,武器奇术!$A:$R,2,FALSE)*(1+T46)*(1+U46)*V46</f>
        <v>7479.5162130378</v>
      </c>
      <c r="AD46" s="110">
        <f t="shared" si="3"/>
        <v>0.00928814000000003</v>
      </c>
      <c r="AE46" s="113">
        <f t="shared" si="4"/>
        <v>12385.5339255535</v>
      </c>
      <c r="AF46" s="114">
        <f>VLOOKUP($E46,武器奇术!$A:$R,3,FALSE)*(1+IF(VLOOKUP($E46,武器奇术!$A:$R,15,FALSE)="武器",$E$15,0))</f>
        <v>595.4</v>
      </c>
      <c r="AG46" s="112">
        <f t="shared" si="5"/>
        <v>595.4</v>
      </c>
      <c r="AH46" s="112">
        <f>VLOOKUP($E46,武器奇术!$A:$R,3,FALSE)*(1+IF(VLOOKUP($E46,武器奇术!$A:$R,15,FALSE)="武器",$E$15,0))</f>
        <v>595.4</v>
      </c>
      <c r="AI46" s="101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0.242</v>
      </c>
      <c r="AJ46" s="111">
        <f>$E$5+IF(VLOOKUP($E46,武器奇术!$A:$U,21,FALSE)=1,0,0.09)</f>
        <v>0.115</v>
      </c>
      <c r="AK46" s="109">
        <v>1</v>
      </c>
      <c r="AL46" s="112">
        <f t="shared" si="6"/>
        <v>824.527782</v>
      </c>
      <c r="AM46" s="110">
        <f>(1-IF(VLOOKUP($E46,武器奇术!$A:$T,20,FALSE)=1,1,$N46))*(1-$M46)</f>
        <v>0.01072666</v>
      </c>
      <c r="AN46" s="112">
        <f>AG46*(1+AI46)*(1+AJ46)*AK46*(1+$E$16+VLOOKUP($E46,武器奇术!$A:$R,8,FALSE))</f>
        <v>1352.22556248</v>
      </c>
      <c r="AO46" s="110">
        <f t="shared" si="7"/>
        <v>0.8813852</v>
      </c>
      <c r="AP46" s="112">
        <f>AH46*(1+AI46)*(1+AJ46)*AK46*(1+$E$17+VLOOKUP($E46,武器奇术!$A:$R,10,FALSE))</f>
        <v>1113.1125057</v>
      </c>
      <c r="AQ46" s="110">
        <f t="shared" si="8"/>
        <v>0.0986</v>
      </c>
      <c r="AR46" s="112">
        <f t="shared" si="9"/>
        <v>824.527782</v>
      </c>
      <c r="AS46" s="110">
        <f t="shared" si="10"/>
        <v>0.00928814000000003</v>
      </c>
      <c r="AT46" s="113">
        <f t="shared" si="11"/>
        <v>1318.08724954474</v>
      </c>
      <c r="AU46" s="108">
        <f>$B$7*IF($G$5="撼天",1.05,1)+IF(AND(VLOOKUP($E46,武器奇术!$A:$R,15,FALSE)="武器",VLOOKUP($E46,武器奇术!$A:$R,17,FALSE)="鸣金"),$E$3,0)*(1+$E$15)</f>
        <v>0</v>
      </c>
      <c r="AV46" s="99">
        <f>(AU46+AW46)*IF(VLOOKUP($E46,武器奇术!$A:$Z,21,FALSE)=1,$G$15,0.5)</f>
        <v>0</v>
      </c>
      <c r="AW46" s="109">
        <f>MAX($C$7*IF($G$5="撼天",1.05,1)+IF(AND(VLOOKUP($E46,武器奇术!$A:$R,15,FALSE)="武器",VLOOKUP($E46,武器奇术!$A:$R,17,FALSE)="鸣金"),$E$3*(1+$E$15),0),AU46)</f>
        <v>0</v>
      </c>
      <c r="AX46" s="110">
        <f>IF(($D$7+IF(VLOOKUP($E46,武器奇术!$A:$R,17,FALSE)="鸣金",$D$15,0)+IF(VLOOKUP($E46,武器奇术!$A:$R,18,FALSE)=1,4,0)+IF(VLOOKUP($E46,武器奇术!$A:$S,19,FALSE)=1,20,0)-VLOOKUP($F$7,目标属性!$A:$R,6,FALSE))&gt;0,($D$7+IF(VLOOKUP($E46,武器奇术!$A:$R,17,FALSE)="鸣金",$D$15,0)+IF(VLOOKUP($E46,武器奇术!$A:$R,18,FALSE)=1,4,0)+IF(VLOOKUP($E46,武器奇术!$A:$S,19,FALSE)=1,20,0)-VLOOKUP($F$7,目标属性!$A:$R,6,FALSE))/200,($D$7+IF(VLOOKUP($E46,武器奇术!$A:$R,17,FALSE)="鸣金",$D$15,0)+IF(VLOOKUP($E46,武器奇术!$A:$R,18,FALSE)=1,4,0)+IF(VLOOKUP($E46,武器奇术!$A:$S,19,FALSE)=1,20,0)-VLOOKUP($F$7,目标属性!$A:$R,6,FALSE))/100)</f>
        <v>-0.24</v>
      </c>
      <c r="AY46" s="111">
        <f t="shared" si="12"/>
        <v>0</v>
      </c>
      <c r="AZ46" s="109">
        <v>1</v>
      </c>
      <c r="BA46" s="112">
        <f>AU46*IF(VLOOKUP($E46,武器奇术!$A:$R,17,FALSE)="鸣金",VLOOKUP($E46,武器奇术!$A:$R,4,FALSE),VLOOKUP($E46,武器奇术!$A:$R,2,FALSE))*(1+AX46)*(1+AY46)*AZ46</f>
        <v>0</v>
      </c>
      <c r="BB46" s="110">
        <f>(1-IF(VLOOKUP($E46,武器奇术!$A:$T,20,FALSE)=1,1,$N46))*(1-$M46)</f>
        <v>0.01072666</v>
      </c>
      <c r="BC46" s="112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10">
        <f t="shared" si="13"/>
        <v>0.8813852</v>
      </c>
      <c r="BE46" s="112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10">
        <f t="shared" si="14"/>
        <v>0.0986</v>
      </c>
      <c r="BG46" s="112">
        <f>AV46*IF(VLOOKUP($E46,武器奇术!$A:$R,17,FALSE)="鸣金",VLOOKUP($E46,武器奇术!$A:$R,4,FALSE),VLOOKUP($E46,武器奇术!$A:$R,2,FALSE))*(1+AX46)*(1+AY46)*AZ46</f>
        <v>0</v>
      </c>
      <c r="BH46" s="110">
        <f t="shared" si="15"/>
        <v>0.00928814000000003</v>
      </c>
      <c r="BI46" s="113">
        <f t="shared" si="16"/>
        <v>0</v>
      </c>
      <c r="BJ46" s="108">
        <f>$B$9*IF($G$5="撼天",1.05,1)+IF(AND(VLOOKUP($E46,武器奇术!$A:$R,15,FALSE)="武器",VLOOKUP($E46,武器奇术!$A:$R,17,FALSE)="裂石"),$E$3,0)*(1+$E$15)</f>
        <v>0</v>
      </c>
      <c r="BK46" s="99">
        <f>(BJ46+BL46)*IF(VLOOKUP($E46,武器奇术!$A:$Z,21,FALSE)=1,$G$15,0.5)</f>
        <v>0</v>
      </c>
      <c r="BL46" s="109">
        <f>MAX($C$9*IF($G$5="撼天",1.05,1)+IF(AND(VLOOKUP($E46,武器奇术!$A:$R,15,FALSE)="武器",VLOOKUP($E46,武器奇术!$A:$R,17,FALSE)="裂石"),$E$3*(1+$E$15),0),BJ46)</f>
        <v>0</v>
      </c>
      <c r="BM46" s="110">
        <f>IF(($D$9+IF(VLOOKUP($E46,武器奇术!$A:$R,17,FALSE)="裂石",$D$15,0)+IF(VLOOKUP($E46,武器奇术!$A:$R,18,FALSE)=1,4,0)+IF(VLOOKUP($E46,武器奇术!$A:$S,19,FALSE)=1,20,0)-VLOOKUP($F$7,目标属性!$A:$R,6,FALSE))&gt;0,($D$9+IF(VLOOKUP($E46,武器奇术!$A:$R,17,FALSE)="裂石",$D$15,0)+IF(VLOOKUP($E46,武器奇术!$A:$R,18,FALSE)=1,4,0)+IF(VLOOKUP($E46,武器奇术!$A:$S,19,FALSE)=1,20,0)-VLOOKUP($F$7,目标属性!$A:$R,6,FALSE))/200,($D$9+IF(VLOOKUP($E46,武器奇术!$A:$R,17,FALSE)="裂石",$D$15,0)+IF(VLOOKUP($E46,武器奇术!$A:$R,18,FALSE)=1,4,0)+IF(VLOOKUP($E46,武器奇术!$A:$S,19,FALSE)=1,20,0)-VLOOKUP($F$7,目标属性!$A:$R,6,FALSE))/100)</f>
        <v>-0.24</v>
      </c>
      <c r="BN46" s="111">
        <f t="shared" si="17"/>
        <v>0</v>
      </c>
      <c r="BO46" s="109">
        <v>1</v>
      </c>
      <c r="BP46" s="112">
        <f>BJ46*IF(VLOOKUP($E46,武器奇术!$A:$R,17,FALSE)="裂石",VLOOKUP($E46,武器奇术!$A:$R,4,FALSE),VLOOKUP($E46,武器奇术!$A:$R,2,FALSE))*(1+BM46)*(1+BN46)*BO46</f>
        <v>0</v>
      </c>
      <c r="BQ46" s="110">
        <f>(1-IF(VLOOKUP($E46,武器奇术!$A:$T,20,FALSE)=1,1,$N46))*(1-$M46)</f>
        <v>0.01072666</v>
      </c>
      <c r="BR46" s="112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10">
        <f t="shared" si="18"/>
        <v>0.8813852</v>
      </c>
      <c r="BT46" s="112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10">
        <f t="shared" si="19"/>
        <v>0.0986</v>
      </c>
      <c r="BV46" s="112">
        <f>BK46*IF(VLOOKUP($E46,武器奇术!$A:$R,17,FALSE)="裂石",VLOOKUP($E46,武器奇术!$A:$R,4,FALSE),VLOOKUP($E46,武器奇术!$A:$R,2,FALSE))*(1+BM46)*(1+BN46)*BO46</f>
        <v>0</v>
      </c>
      <c r="BW46" s="110">
        <f t="shared" si="20"/>
        <v>0.00928814000000003</v>
      </c>
      <c r="BX46" s="113">
        <f t="shared" si="21"/>
        <v>0</v>
      </c>
      <c r="BY46" s="108">
        <f>$B$11*IF($G$5="撼天",1.05,1)+IF(AND(VLOOKUP($E46,武器奇术!$A:$R,15,FALSE)="武器",VLOOKUP($E46,武器奇术!$A:$R,17,FALSE)="牵丝"),$E$3,0)*(1+$E$15)</f>
        <v>0</v>
      </c>
      <c r="BZ46" s="99">
        <f>(BY46+CA46)*IF(VLOOKUP($E46,武器奇术!$A:$Z,21,FALSE)=1,$G$15,0.5)</f>
        <v>0</v>
      </c>
      <c r="CA46" s="109">
        <f>MAX($C$11*IF($G$5="撼天",1.05,1)+IF(AND(VLOOKUP($E46,武器奇术!$A:$R,15,FALSE)="武器",VLOOKUP($E46,武器奇术!$A:$R,17,FALSE)="牵丝"),$E$3*(1+$E$15),0),BY46)</f>
        <v>0</v>
      </c>
      <c r="CB46" s="110">
        <f>IF(($D$11+IF(VLOOKUP($E46,武器奇术!$A:$R,17,FALSE)="牵丝",$D$15,0)+IF(VLOOKUP($E46,武器奇术!$A:$R,18,FALSE)=1,4,0)+IF(VLOOKUP($E46,武器奇术!$A:$S,19,FALSE)=1,20,0)-VLOOKUP($F$7,目标属性!$A:$R,6,FALSE))&gt;0,($D$11+IF(VLOOKUP($E46,武器奇术!$A:$R,17,FALSE)="牵丝",$D$15,0)+IF(VLOOKUP($E46,武器奇术!$A:$R,18,FALSE)=1,4,0)+IF(VLOOKUP($E46,武器奇术!$A:$S,19,FALSE)=1,20,0)-VLOOKUP($F$7,目标属性!$A:$R,6,FALSE))/200,($D$11+IF(VLOOKUP($E46,武器奇术!$A:$R,17,FALSE)="牵丝",$D$15,0)+IF(VLOOKUP($E46,武器奇术!$A:$R,18,FALSE)=1,4,0)+IF(VLOOKUP($E46,武器奇术!$A:$S,19,FALSE)=1,20,0)-VLOOKUP($F$7,目标属性!$A:$R,6,FALSE))/100)</f>
        <v>-0.24</v>
      </c>
      <c r="CC46" s="111">
        <f t="shared" si="22"/>
        <v>0</v>
      </c>
      <c r="CD46" s="109">
        <v>1</v>
      </c>
      <c r="CE46" s="112">
        <f>BY46*IF(VLOOKUP($E46,武器奇术!$A:$R,17,FALSE)="牵丝",VLOOKUP($E46,武器奇术!$A:$R,4,FALSE),VLOOKUP($E46,武器奇术!$A:$R,2,FALSE))*(1+CB46)*(1+CC46)*CD46</f>
        <v>0</v>
      </c>
      <c r="CF46" s="110">
        <f>(1-IF(VLOOKUP($E46,武器奇术!$A:$T,20,FALSE)=1,1,$N46))*(1-$M46)</f>
        <v>0.01072666</v>
      </c>
      <c r="CG46" s="112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110">
        <f t="shared" si="23"/>
        <v>0.8813852</v>
      </c>
      <c r="CI46" s="112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110">
        <f t="shared" si="24"/>
        <v>0.0986</v>
      </c>
      <c r="CK46" s="112">
        <f>BZ46*IF(VLOOKUP($E46,武器奇术!$A:$R,17,FALSE)="牵丝",VLOOKUP($E46,武器奇术!$A:$R,4,FALSE),VLOOKUP($E46,武器奇术!$A:$R,2,FALSE))*(1+CB46)*(1+CC46)*CD46</f>
        <v>0</v>
      </c>
      <c r="CL46" s="110">
        <f t="shared" si="25"/>
        <v>0.00928814000000003</v>
      </c>
      <c r="CM46" s="113">
        <f t="shared" si="26"/>
        <v>0</v>
      </c>
      <c r="CN46" s="108">
        <f>$B$13*IF($G$5="撼天",1.05,1)+IF(AND(VLOOKUP($E46,武器奇术!$A:$R,15,FALSE)="武器",VLOOKUP($E46,武器奇术!$A:$R,17,FALSE)="破竹"),$E$3,0)*(1+$E$15)</f>
        <v>648.46</v>
      </c>
      <c r="CO46" s="99">
        <f>(CN46+CP46)*IF(VLOOKUP($E46,武器奇术!$A:$Z,21,FALSE)=1,$G$15,0.5)</f>
        <v>875.26</v>
      </c>
      <c r="CP46" s="109">
        <f>MAX($C$13*IF($G$5="撼天",1.05,1)+IF(AND(VLOOKUP($E46,武器奇术!$A:$R,15,FALSE)="武器",VLOOKUP($E46,武器奇术!$A:$R,17,FALSE)="破竹"),$E$3*(1+$E$15),0),CN46)</f>
        <v>1102.06</v>
      </c>
      <c r="CQ46" s="110">
        <f>IF(($D$13+IF(VLOOKUP($E46,武器奇术!$A:$R,17,FALSE)="破竹",$D$15,0)+IF(VLOOKUP($E46,武器奇术!$A:$R,18,FALSE)=1,4,0)+IF(VLOOKUP($E46,武器奇术!$A:$S,19,FALSE)=1,20,0)-VLOOKUP($F$7,目标属性!$A:$R,6,FALSE))&gt;0,($D$13+IF(VLOOKUP($E46,武器奇术!$A:$R,17,FALSE)="破竹",$D$15,0)+IF(VLOOKUP($E46,武器奇术!$A:$R,18,FALSE)=1,4,0)+IF(VLOOKUP($E46,武器奇术!$A:$S,19,FALSE)=1,20,0)-VLOOKUP($F$7,目标属性!$A:$R,6,FALSE))/200,($D$13+IF(VLOOKUP($E46,武器奇术!$A:$R,17,FALSE)="破竹",$D$15,0)+IF(VLOOKUP($E46,武器奇术!$A:$R,18,FALSE)=1,4,0)+IF(VLOOKUP($E46,武器奇术!$A:$S,19,FALSE)=1,20,0)-VLOOKUP($F$7,目标属性!$A:$R,6,FALSE))/100)</f>
        <v>0.025</v>
      </c>
      <c r="CR46" s="111">
        <f>$E$13+IF(VLOOKUP($E46,武器奇术!$A:$U,21,FALSE)=1,0,0.09)</f>
        <v>0.235</v>
      </c>
      <c r="CS46" s="109">
        <v>1</v>
      </c>
      <c r="CT46" s="112">
        <f>CN46*IF(VLOOKUP($E46,武器奇术!$A:$R,17,FALSE)="破竹",VLOOKUP($E46,武器奇术!$A:$R,4,FALSE),VLOOKUP($E46,武器奇术!$A:$R,2,FALSE))*(1+CQ46)*(1+CR46)*CS46</f>
        <v>2041.994476899</v>
      </c>
      <c r="CU46" s="110">
        <f>(1-IF(VLOOKUP($E46,武器奇术!$A:$T,20,FALSE)=1,1,$N46))*(1-$M46)</f>
        <v>0.01072666</v>
      </c>
      <c r="CV46" s="112">
        <f>CO46*IF(VLOOKUP($E46,武器奇术!$A:$R,17,FALSE)="破竹",VLOOKUP($E46,武器奇术!$A:$R,4,FALSE),VLOOKUP($E46,武器奇术!$A:$R,2,FALSE))*(1+CQ46)*(1+CR46)*CS46*(1+$E$16+VLOOKUP($E46,武器奇术!$A:$R,8,FALSE))</f>
        <v>4520.14431236316</v>
      </c>
      <c r="CW46" s="110">
        <f t="shared" si="27"/>
        <v>0.8813852</v>
      </c>
      <c r="CX46" s="112">
        <f>CP46*IF(VLOOKUP($E46,武器奇术!$A:$R,17,FALSE)="破竹",VLOOKUP($E46,武器奇术!$A:$R,4,FALSE),VLOOKUP($E46,武器奇术!$A:$R,2,FALSE))*(1+CQ46)*(1+CR46)*CS46*(1+$E$17+VLOOKUP($E46,武器奇术!$A:$R,10,FALSE))</f>
        <v>4685.00845824765</v>
      </c>
      <c r="CY46" s="110">
        <f t="shared" si="28"/>
        <v>0.0986</v>
      </c>
      <c r="CZ46" s="112">
        <f>CO46*IF(VLOOKUP($E46,武器奇术!$A:$R,17,FALSE)="破竹",VLOOKUP($E46,武器奇术!$A:$R,4,FALSE),VLOOKUP($E46,武器奇术!$A:$R,2,FALSE))*(1+CQ46)*(1+CR46)*CS46</f>
        <v>2756.185556319</v>
      </c>
      <c r="DA46" s="110">
        <f t="shared" si="29"/>
        <v>0.00928814000000003</v>
      </c>
      <c r="DB46" s="113">
        <f t="shared" si="30"/>
        <v>4493.43375055293</v>
      </c>
      <c r="DC46" s="108">
        <f t="shared" si="31"/>
        <v>69.3</v>
      </c>
      <c r="DD46" s="99">
        <f>(DC46+DE46)*IF(VLOOKUP($E46,武器奇术!$A:$Z,21,FALSE)=1,$G$15,0.5)</f>
        <v>69.3</v>
      </c>
      <c r="DE46" s="109">
        <f t="shared" si="32"/>
        <v>69.3</v>
      </c>
      <c r="DF46" s="110">
        <f>IF(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R,18,FALSE)=1,4,0)+IF(VLOOKUP($E46,武器奇术!$A:$S,19,FALSE)=1,20,0)-VLOOKUP($F$7,目标属性!$A:$R,6,FALSE))/100)</f>
        <v>0.025</v>
      </c>
      <c r="DG46" s="111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U,21,FALSE)=1,0,0.09)</f>
        <v>0.235</v>
      </c>
      <c r="DH46" s="109">
        <v>1</v>
      </c>
      <c r="DI46" s="112">
        <f>DC46*IF(VLOOKUP($E46,武器奇术!$A:$R,17,FALSE)="破竹",VLOOKUP($E46,武器奇术!$A:$R,4,FALSE),VLOOKUP($E46,武器奇术!$A:$R,2,FALSE))*(1+DF46)*(1+DG46)*DH46</f>
        <v>218.225052045</v>
      </c>
      <c r="DJ46" s="110">
        <f>(1-IF(VLOOKUP($E46,武器奇术!$A:$T,20,FALSE)=1,1,$N46))*(1-$M46)</f>
        <v>0.01072666</v>
      </c>
      <c r="DK46" s="112">
        <f>DD46*IF(VLOOKUP($E46,武器奇术!$A:$R,17,FALSE)="破竹",VLOOKUP($E46,武器奇术!$A:$R,4,FALSE),VLOOKUP($E46,武器奇术!$A:$R,2,FALSE))*(1+DF46)*(1+DG46)*DH46*(1+$E$16+VLOOKUP($E46,武器奇术!$A:$R,8,FALSE))</f>
        <v>357.8890853538</v>
      </c>
      <c r="DL46" s="110">
        <f t="shared" si="33"/>
        <v>0.8813852</v>
      </c>
      <c r="DM46" s="112">
        <f>DE46*IF(VLOOKUP($E46,武器奇术!$A:$R,17,FALSE)="破竹",VLOOKUP($E46,武器奇术!$A:$R,4,FALSE),VLOOKUP($E46,武器奇术!$A:$R,2,FALSE))*(1+DF46)*(1+DG46)*DH46*(1+$E$17+VLOOKUP($E46,武器奇术!$A:$R,10,FALSE))</f>
        <v>294.60382026075</v>
      </c>
      <c r="DN46" s="110">
        <f t="shared" si="34"/>
        <v>0.0986</v>
      </c>
      <c r="DO46" s="112">
        <f>DD46*IF(VLOOKUP($E46,武器奇术!$A:$R,17,FALSE)="破竹",VLOOKUP($E46,武器奇术!$A:$R,4,FALSE),VLOOKUP($E46,武器奇术!$A:$R,2,FALSE))*(1+DF46)*(1+DG46)*DH46</f>
        <v>218.225052045</v>
      </c>
      <c r="DP46" s="110">
        <f t="shared" si="35"/>
        <v>0.00928814000000003</v>
      </c>
      <c r="DQ46" s="113">
        <f t="shared" si="36"/>
        <v>348.853810521756</v>
      </c>
    </row>
    <row r="47" customFormat="1" spans="2:121">
      <c r="B47" s="122"/>
      <c r="C47" s="143"/>
      <c r="D47" s="144"/>
      <c r="E47" s="98" t="str">
        <f>期望!E47</f>
        <v>鹰隼追击(绳标)</v>
      </c>
      <c r="F47" s="99">
        <f>期望!F47</f>
        <v>1</v>
      </c>
      <c r="G47" s="115"/>
      <c r="H47" s="100">
        <f>IF(VLOOKUP($E47,武器奇术!$A:$R,18,FALSE)="天工",AE47,(AE47+AT47+BI47+BX47+CM47+DB47+DQ47))*(1+J47)*F47*K47*(1+G47)</f>
        <v>46431.9505353918</v>
      </c>
      <c r="I47" s="101">
        <f t="shared" si="0"/>
        <v>0.00573262390827242</v>
      </c>
      <c r="J47" s="116">
        <f>$F$3+VLOOKUP($E47,武器奇术!$A:$R,12,FALSE)+VLOOKUP($E47,武器奇术!$A:$R,14,FALSE)*$G$3+$P47+IF($F$21="√",5%,0)</f>
        <v>0.737</v>
      </c>
      <c r="K47" s="102">
        <f>VLOOKUP($E47,武器奇术!$A:$R,11,FALSE)</f>
        <v>1</v>
      </c>
      <c r="L47" s="117">
        <f>IF(VLOOKUP($E47,武器奇术!$A:$R,15,FALSE)="天工",0%,IF($C$17+VLOOKUP($E47,武器奇术!$A:$R,7,FALSE)&gt;80%,80%,$C$17+VLOOKUP($E47,武器奇术!$A:$R,7,FALSE))+IF($C$19&gt;20%,20%,$C$19))</f>
        <v>0.892</v>
      </c>
      <c r="M47" s="118">
        <f>IF(VLOOKUP($E47,武器奇术!$A:$R,15,FALSE)="天工",0%,IF($C$18+VLOOKUP($E47,武器奇术!$A:$R,9,FALSE)&gt;40%,40%,$C$18+VLOOKUP($E47,武器奇术!$A:$R,9,FALSE))+IF($C$20&gt;10%,10%,$C$20))</f>
        <v>0.0986</v>
      </c>
      <c r="N47" s="119">
        <f>IF(VLOOKUP($E47,武器奇术!$A:$R,15,FALSE)="天工",100%,MIN($C$16,1))</f>
        <v>0.9881</v>
      </c>
      <c r="O47" s="120" t="str">
        <f>VLOOKUP($E47,武器奇术!$A:$R,16,FALSE)</f>
        <v>绳标</v>
      </c>
      <c r="P47" s="121">
        <f t="shared" si="37"/>
        <v>0.084</v>
      </c>
      <c r="Q47" s="108">
        <f>$B$5*(1+VLOOKUP($E47,武器奇术!$A:$R,5,FALSE)+IF($G$5="飞隼",0.1,0)+IF($G$5="撼天",0.05,0))-$F$9+IF($I$5="√",160,0)</f>
        <v>1731.135</v>
      </c>
      <c r="R47" s="99">
        <f>IF(VLOOKUP($E47,武器奇术!$A:$Z,20,FALSE)=1,(S47-(Q47+S47)*0.5)*($G$15-0.5)*2+(Q47+S47)*0.5,(Q47+S47)*0.5)</f>
        <v>3256.775</v>
      </c>
      <c r="S47" s="109">
        <f>MAX($C$5,$B$5)*(1+VLOOKUP($E47,武器奇术!$A:$R,5,FALSE)+IF($G$5="飞隼",0.1,0)+IF($G$5="撼天",0.05,0))-$F$9+IF($I$5="√",320,0)</f>
        <v>4782.415</v>
      </c>
      <c r="T47" s="101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U47" s="111">
        <f>$E$5+IF(VLOOKUP($E47,武器奇术!$A:$U,21,FALSE)=1,0,0.09)</f>
        <v>0.115</v>
      </c>
      <c r="V47" s="109">
        <v>1</v>
      </c>
      <c r="W47" s="112">
        <f>Q47*VLOOKUP($E47,武器奇术!$A:$R,2,FALSE)*(1+T47)*(1+U47)*V47</f>
        <v>5595.154346628</v>
      </c>
      <c r="X47" s="110">
        <f>(1-IF(VLOOKUP($E47,武器奇术!$A:$T,20,FALSE)=1,1,$N47))*(1-$M47)</f>
        <v>0.01072666</v>
      </c>
      <c r="Y47" s="112">
        <f>R47*VLOOKUP($E47,武器奇术!$A:$R,2,FALSE)*(1+T47)*(1+U47)*V47*(1+$E$16+VLOOKUP($E47,武器奇术!$A:$R,8,FALSE))</f>
        <v>20420.6997528468</v>
      </c>
      <c r="Z47" s="110">
        <f t="shared" si="1"/>
        <v>0.8813852</v>
      </c>
      <c r="AA47" s="112">
        <f>S47*VLOOKUP($E47,武器奇术!$A:$R,2,FALSE)*(1+T47)*(1+U47)*V47*(1+$E$17+VLOOKUP($E47,武器奇术!$A:$R,10,FALSE))</f>
        <v>20867.1031437462</v>
      </c>
      <c r="AB47" s="110">
        <f t="shared" si="2"/>
        <v>0.0986</v>
      </c>
      <c r="AC47" s="112">
        <f>R47*VLOOKUP($E47,武器奇术!$A:$R,2,FALSE)*(1+T47)*(1+U47)*V47</f>
        <v>10526.13389322</v>
      </c>
      <c r="AD47" s="110">
        <f t="shared" si="3"/>
        <v>0.00928814000000003</v>
      </c>
      <c r="AE47" s="113">
        <f t="shared" si="4"/>
        <v>20213.784429359</v>
      </c>
      <c r="AF47" s="114">
        <f>VLOOKUP($E47,武器奇术!$A:$R,3,FALSE)*(1+IF(VLOOKUP($E47,武器奇术!$A:$R,15,FALSE)="武器",$E$15,0))</f>
        <v>0</v>
      </c>
      <c r="AG47" s="112">
        <f t="shared" si="5"/>
        <v>0</v>
      </c>
      <c r="AH47" s="112">
        <f>VLOOKUP($E47,武器奇术!$A:$R,3,FALSE)*(1+IF(VLOOKUP($E47,武器奇术!$A:$R,15,FALSE)="武器",$E$15,0))</f>
        <v>0</v>
      </c>
      <c r="AI47" s="101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0.342</v>
      </c>
      <c r="AJ47" s="111">
        <f>$E$5+IF(VLOOKUP($E47,武器奇术!$A:$U,21,FALSE)=1,0,0.09)</f>
        <v>0.115</v>
      </c>
      <c r="AK47" s="109">
        <v>1</v>
      </c>
      <c r="AL47" s="112">
        <f t="shared" si="6"/>
        <v>0</v>
      </c>
      <c r="AM47" s="110">
        <f>(1-IF(VLOOKUP($E47,武器奇术!$A:$T,20,FALSE)=1,1,$N47))*(1-$M47)</f>
        <v>0.01072666</v>
      </c>
      <c r="AN47" s="112">
        <f>AG47*(1+AI47)*(1+AJ47)*AK47*(1+$E$16+VLOOKUP($E47,武器奇术!$A:$R,8,FALSE))</f>
        <v>0</v>
      </c>
      <c r="AO47" s="110">
        <f t="shared" si="7"/>
        <v>0.8813852</v>
      </c>
      <c r="AP47" s="112">
        <f>AH47*(1+AI47)*(1+AJ47)*AK47*(1+$E$17+VLOOKUP($E47,武器奇术!$A:$R,10,FALSE))</f>
        <v>0</v>
      </c>
      <c r="AQ47" s="110">
        <f t="shared" si="8"/>
        <v>0.0986</v>
      </c>
      <c r="AR47" s="112">
        <f t="shared" si="9"/>
        <v>0</v>
      </c>
      <c r="AS47" s="110">
        <f t="shared" si="10"/>
        <v>0.00928814000000003</v>
      </c>
      <c r="AT47" s="113">
        <f t="shared" si="11"/>
        <v>0</v>
      </c>
      <c r="AU47" s="108">
        <f>$B$7*IF($G$5="撼天",1.05,1)+IF(AND(VLOOKUP($E47,武器奇术!$A:$R,15,FALSE)="武器",VLOOKUP($E47,武器奇术!$A:$R,17,FALSE)="鸣金"),$E$3,0)*(1+$E$15)</f>
        <v>0</v>
      </c>
      <c r="AV47" s="99">
        <f>(AU47+AW47)*IF(VLOOKUP($E47,武器奇术!$A:$Z,21,FALSE)=1,$G$15,0.5)</f>
        <v>0</v>
      </c>
      <c r="AW47" s="109">
        <f>MAX($C$7*IF($G$5="撼天",1.05,1)+IF(AND(VLOOKUP($E47,武器奇术!$A:$R,15,FALSE)="武器",VLOOKUP($E47,武器奇术!$A:$R,17,FALSE)="鸣金"),$E$3*(1+$E$15),0),AU47)</f>
        <v>0</v>
      </c>
      <c r="AX47" s="110">
        <f>IF(($D$7+IF(VLOOKUP($E47,武器奇术!$A:$R,17,FALSE)="鸣金",$D$15,0)+IF(VLOOKUP($E47,武器奇术!$A:$R,18,FALSE)=1,4,0)+IF(VLOOKUP($E47,武器奇术!$A:$S,19,FALSE)=1,20,0)-VLOOKUP($F$7,目标属性!$A:$R,6,FALSE))&gt;0,($D$7+IF(VLOOKUP($E47,武器奇术!$A:$R,17,FALSE)="鸣金",$D$15,0)+IF(VLOOKUP($E47,武器奇术!$A:$R,18,FALSE)=1,4,0)+IF(VLOOKUP($E47,武器奇术!$A:$S,19,FALSE)=1,20,0)-VLOOKUP($F$7,目标属性!$A:$R,6,FALSE))/200,($D$7+IF(VLOOKUP($E47,武器奇术!$A:$R,17,FALSE)="鸣金",$D$15,0)+IF(VLOOKUP($E47,武器奇术!$A:$R,18,FALSE)=1,4,0)+IF(VLOOKUP($E47,武器奇术!$A:$S,19,FALSE)=1,20,0)-VLOOKUP($F$7,目标属性!$A:$R,6,FALSE))/100)</f>
        <v>0</v>
      </c>
      <c r="AY47" s="111">
        <f t="shared" si="12"/>
        <v>0</v>
      </c>
      <c r="AZ47" s="109">
        <v>1</v>
      </c>
      <c r="BA47" s="112">
        <f>AU47*IF(VLOOKUP($E47,武器奇术!$A:$R,17,FALSE)="鸣金",VLOOKUP($E47,武器奇术!$A:$R,4,FALSE),VLOOKUP($E47,武器奇术!$A:$R,2,FALSE))*(1+AX47)*(1+AY47)*AZ47</f>
        <v>0</v>
      </c>
      <c r="BB47" s="110">
        <f>(1-IF(VLOOKUP($E47,武器奇术!$A:$T,20,FALSE)=1,1,$N47))*(1-$M47)</f>
        <v>0.01072666</v>
      </c>
      <c r="BC47" s="112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10">
        <f t="shared" si="13"/>
        <v>0.8813852</v>
      </c>
      <c r="BE47" s="112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10">
        <f t="shared" si="14"/>
        <v>0.0986</v>
      </c>
      <c r="BG47" s="112">
        <f>AV47*IF(VLOOKUP($E47,武器奇术!$A:$R,17,FALSE)="鸣金",VLOOKUP($E47,武器奇术!$A:$R,4,FALSE),VLOOKUP($E47,武器奇术!$A:$R,2,FALSE))*(1+AX47)*(1+AY47)*AZ47</f>
        <v>0</v>
      </c>
      <c r="BH47" s="110">
        <f t="shared" si="15"/>
        <v>0.00928814000000003</v>
      </c>
      <c r="BI47" s="113">
        <f t="shared" si="16"/>
        <v>0</v>
      </c>
      <c r="BJ47" s="108">
        <f>$B$9*IF($G$5="撼天",1.05,1)+IF(AND(VLOOKUP($E47,武器奇术!$A:$R,15,FALSE)="武器",VLOOKUP($E47,武器奇术!$A:$R,17,FALSE)="裂石"),$E$3,0)*(1+$E$15)</f>
        <v>0</v>
      </c>
      <c r="BK47" s="99">
        <f>(BJ47+BL47)*IF(VLOOKUP($E47,武器奇术!$A:$Z,21,FALSE)=1,$G$15,0.5)</f>
        <v>0</v>
      </c>
      <c r="BL47" s="109">
        <f>MAX($C$9*IF($G$5="撼天",1.05,1)+IF(AND(VLOOKUP($E47,武器奇术!$A:$R,15,FALSE)="武器",VLOOKUP($E47,武器奇术!$A:$R,17,FALSE)="裂石"),$E$3*(1+$E$15),0),BJ47)</f>
        <v>0</v>
      </c>
      <c r="BM47" s="110">
        <f>IF(($D$9+IF(VLOOKUP($E47,武器奇术!$A:$R,17,FALSE)="裂石",$D$15,0)+IF(VLOOKUP($E47,武器奇术!$A:$R,18,FALSE)=1,4,0)+IF(VLOOKUP($E47,武器奇术!$A:$S,19,FALSE)=1,20,0)-VLOOKUP($F$7,目标属性!$A:$R,6,FALSE))&gt;0,($D$9+IF(VLOOKUP($E47,武器奇术!$A:$R,17,FALSE)="裂石",$D$15,0)+IF(VLOOKUP($E47,武器奇术!$A:$R,18,FALSE)=1,4,0)+IF(VLOOKUP($E47,武器奇术!$A:$S,19,FALSE)=1,20,0)-VLOOKUP($F$7,目标属性!$A:$R,6,FALSE))/200,($D$9+IF(VLOOKUP($E47,武器奇术!$A:$R,17,FALSE)="裂石",$D$15,0)+IF(VLOOKUP($E47,武器奇术!$A:$R,18,FALSE)=1,4,0)+IF(VLOOKUP($E47,武器奇术!$A:$S,19,FALSE)=1,20,0)-VLOOKUP($F$7,目标属性!$A:$R,6,FALSE))/100)</f>
        <v>0</v>
      </c>
      <c r="BN47" s="111">
        <f t="shared" si="17"/>
        <v>0</v>
      </c>
      <c r="BO47" s="109">
        <v>1</v>
      </c>
      <c r="BP47" s="112">
        <f>BJ47*IF(VLOOKUP($E47,武器奇术!$A:$R,17,FALSE)="裂石",VLOOKUP($E47,武器奇术!$A:$R,4,FALSE),VLOOKUP($E47,武器奇术!$A:$R,2,FALSE))*(1+BM47)*(1+BN47)*BO47</f>
        <v>0</v>
      </c>
      <c r="BQ47" s="110">
        <f>(1-IF(VLOOKUP($E47,武器奇术!$A:$T,20,FALSE)=1,1,$N47))*(1-$M47)</f>
        <v>0.01072666</v>
      </c>
      <c r="BR47" s="112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10">
        <f t="shared" si="18"/>
        <v>0.8813852</v>
      </c>
      <c r="BT47" s="112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10">
        <f t="shared" si="19"/>
        <v>0.0986</v>
      </c>
      <c r="BV47" s="112">
        <f>BK47*IF(VLOOKUP($E47,武器奇术!$A:$R,17,FALSE)="裂石",VLOOKUP($E47,武器奇术!$A:$R,4,FALSE),VLOOKUP($E47,武器奇术!$A:$R,2,FALSE))*(1+BM47)*(1+BN47)*BO47</f>
        <v>0</v>
      </c>
      <c r="BW47" s="110">
        <f t="shared" si="20"/>
        <v>0.00928814000000003</v>
      </c>
      <c r="BX47" s="113">
        <f t="shared" si="21"/>
        <v>0</v>
      </c>
      <c r="BY47" s="108">
        <f>$B$11*IF($G$5="撼天",1.05,1)+IF(AND(VLOOKUP($E47,武器奇术!$A:$R,15,FALSE)="武器",VLOOKUP($E47,武器奇术!$A:$R,17,FALSE)="牵丝"),$E$3,0)*(1+$E$15)</f>
        <v>0</v>
      </c>
      <c r="BZ47" s="99">
        <f>(BY47+CA47)*IF(VLOOKUP($E47,武器奇术!$A:$Z,21,FALSE)=1,$G$15,0.5)</f>
        <v>0</v>
      </c>
      <c r="CA47" s="109">
        <f>MAX($C$11*IF($G$5="撼天",1.05,1)+IF(AND(VLOOKUP($E47,武器奇术!$A:$R,15,FALSE)="武器",VLOOKUP($E47,武器奇术!$A:$R,17,FALSE)="牵丝"),$E$3*(1+$E$15),0),BY47)</f>
        <v>0</v>
      </c>
      <c r="CB47" s="110">
        <f>IF(($D$11+IF(VLOOKUP($E47,武器奇术!$A:$R,17,FALSE)="牵丝",$D$15,0)+IF(VLOOKUP($E47,武器奇术!$A:$R,18,FALSE)=1,4,0)+IF(VLOOKUP($E47,武器奇术!$A:$S,19,FALSE)=1,20,0)-VLOOKUP($F$7,目标属性!$A:$R,6,FALSE))&gt;0,($D$11+IF(VLOOKUP($E47,武器奇术!$A:$R,17,FALSE)="牵丝",$D$15,0)+IF(VLOOKUP($E47,武器奇术!$A:$R,18,FALSE)=1,4,0)+IF(VLOOKUP($E47,武器奇术!$A:$S,19,FALSE)=1,20,0)-VLOOKUP($F$7,目标属性!$A:$R,6,FALSE))/200,($D$11+IF(VLOOKUP($E47,武器奇术!$A:$R,17,FALSE)="牵丝",$D$15,0)+IF(VLOOKUP($E47,武器奇术!$A:$R,18,FALSE)=1,4,0)+IF(VLOOKUP($E47,武器奇术!$A:$S,19,FALSE)=1,20,0)-VLOOKUP($F$7,目标属性!$A:$R,6,FALSE))/100)</f>
        <v>0</v>
      </c>
      <c r="CC47" s="111">
        <f t="shared" si="22"/>
        <v>0</v>
      </c>
      <c r="CD47" s="109">
        <v>1</v>
      </c>
      <c r="CE47" s="112">
        <f>BY47*IF(VLOOKUP($E47,武器奇术!$A:$R,17,FALSE)="牵丝",VLOOKUP($E47,武器奇术!$A:$R,4,FALSE),VLOOKUP($E47,武器奇术!$A:$R,2,FALSE))*(1+CB47)*(1+CC47)*CD47</f>
        <v>0</v>
      </c>
      <c r="CF47" s="110">
        <f>(1-IF(VLOOKUP($E47,武器奇术!$A:$T,20,FALSE)=1,1,$N47))*(1-$M47)</f>
        <v>0.01072666</v>
      </c>
      <c r="CG47" s="112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110">
        <f t="shared" si="23"/>
        <v>0.8813852</v>
      </c>
      <c r="CI47" s="112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110">
        <f t="shared" si="24"/>
        <v>0.0986</v>
      </c>
      <c r="CK47" s="112">
        <f>BZ47*IF(VLOOKUP($E47,武器奇术!$A:$R,17,FALSE)="牵丝",VLOOKUP($E47,武器奇术!$A:$R,4,FALSE),VLOOKUP($E47,武器奇术!$A:$R,2,FALSE))*(1+CB47)*(1+CC47)*CD47</f>
        <v>0</v>
      </c>
      <c r="CL47" s="110">
        <f t="shared" si="25"/>
        <v>0.00928814000000003</v>
      </c>
      <c r="CM47" s="113">
        <f t="shared" si="26"/>
        <v>0</v>
      </c>
      <c r="CN47" s="108">
        <f>$B$13*IF($G$5="撼天",1.05,1)+IF(AND(VLOOKUP($E47,武器奇术!$A:$R,15,FALSE)="武器",VLOOKUP($E47,武器奇术!$A:$R,17,FALSE)="破竹"),$E$3,0)*(1+$E$15)</f>
        <v>452.55</v>
      </c>
      <c r="CO47" s="99">
        <f>(CN47+CP47)*IF(VLOOKUP($E47,武器奇术!$A:$Z,21,FALSE)=1,$G$15,0.5)</f>
        <v>679.35</v>
      </c>
      <c r="CP47" s="109">
        <f>MAX($C$13*IF($G$5="撼天",1.05,1)+IF(AND(VLOOKUP($E47,武器奇术!$A:$R,15,FALSE)="武器",VLOOKUP($E47,武器奇术!$A:$R,17,FALSE)="破竹"),$E$3*(1+$E$15),0),CN47)</f>
        <v>906.15</v>
      </c>
      <c r="CQ47" s="110">
        <f>IF(($D$13+IF(VLOOKUP($E47,武器奇术!$A:$R,17,FALSE)="破竹",$D$15,0)+IF(VLOOKUP($E47,武器奇术!$A:$R,18,FALSE)=1,4,0)+IF(VLOOKUP($E47,武器奇术!$A:$S,19,FALSE)=1,20,0)-VLOOKUP($F$7,目标属性!$A:$R,6,FALSE))&gt;0,($D$13+IF(VLOOKUP($E47,武器奇术!$A:$R,17,FALSE)="破竹",$D$15,0)+IF(VLOOKUP($E47,武器奇术!$A:$R,18,FALSE)=1,4,0)+IF(VLOOKUP($E47,武器奇术!$A:$S,19,FALSE)=1,20,0)-VLOOKUP($F$7,目标属性!$A:$R,6,FALSE))/200,($D$13+IF(VLOOKUP($E47,武器奇术!$A:$R,17,FALSE)="破竹",$D$15,0)+IF(VLOOKUP($E47,武器奇术!$A:$R,18,FALSE)=1,4,0)+IF(VLOOKUP($E47,武器奇术!$A:$S,19,FALSE)=1,20,0)-VLOOKUP($F$7,目标属性!$A:$R,6,FALSE))/100)</f>
        <v>0.145</v>
      </c>
      <c r="CR47" s="111">
        <f>$E$13+IF(VLOOKUP($E47,武器奇术!$A:$U,21,FALSE)=1,0,0.09)</f>
        <v>0.235</v>
      </c>
      <c r="CS47" s="109">
        <v>1</v>
      </c>
      <c r="CT47" s="112">
        <f>CN47*IF(VLOOKUP($E47,武器奇术!$A:$R,17,FALSE)="破竹",VLOOKUP($E47,武器奇术!$A:$R,4,FALSE),VLOOKUP($E47,武器奇术!$A:$R,2,FALSE))*(1+CQ47)*(1+CR47)*CS47</f>
        <v>2073.40443765</v>
      </c>
      <c r="CU47" s="110">
        <f>(1-IF(VLOOKUP($E47,武器奇术!$A:$T,20,FALSE)=1,1,$N47))*(1-$M47)</f>
        <v>0.01072666</v>
      </c>
      <c r="CV47" s="112">
        <f>CO47*IF(VLOOKUP($E47,武器奇术!$A:$R,17,FALSE)="破竹",VLOOKUP($E47,武器奇术!$A:$R,4,FALSE),VLOOKUP($E47,武器奇术!$A:$R,2,FALSE))*(1+CQ47)*(1+CR47)*CS47*(1+$E$16+VLOOKUP($E47,武器奇术!$A:$R,8,FALSE))</f>
        <v>6038.273276217</v>
      </c>
      <c r="CW47" s="110">
        <f t="shared" si="27"/>
        <v>0.8813852</v>
      </c>
      <c r="CX47" s="112">
        <f>CP47*IF(VLOOKUP($E47,武器奇术!$A:$R,17,FALSE)="破竹",VLOOKUP($E47,武器奇术!$A:$R,4,FALSE),VLOOKUP($E47,武器奇术!$A:$R,2,FALSE))*(1+CQ47)*(1+CR47)*CS47*(1+$E$17+VLOOKUP($E47,武器奇术!$A:$R,10,FALSE))</f>
        <v>5604.6864039075</v>
      </c>
      <c r="CY47" s="110">
        <f t="shared" si="28"/>
        <v>0.0986</v>
      </c>
      <c r="CZ47" s="112">
        <f>CO47*IF(VLOOKUP($E47,武器奇术!$A:$R,17,FALSE)="破竹",VLOOKUP($E47,武器奇术!$A:$R,4,FALSE),VLOOKUP($E47,武器奇术!$A:$R,2,FALSE))*(1+CQ47)*(1+CR47)*CS47</f>
        <v>3112.51199805</v>
      </c>
      <c r="DA47" s="110">
        <f t="shared" si="29"/>
        <v>0.00928814000000003</v>
      </c>
      <c r="DB47" s="113">
        <f t="shared" si="30"/>
        <v>5925.81693027318</v>
      </c>
      <c r="DC47" s="108">
        <f t="shared" si="31"/>
        <v>69.3</v>
      </c>
      <c r="DD47" s="99">
        <f>(DC47+DE47)*IF(VLOOKUP($E47,武器奇术!$A:$Z,21,FALSE)=1,$G$15,0.5)</f>
        <v>69.3</v>
      </c>
      <c r="DE47" s="109">
        <f t="shared" si="32"/>
        <v>69.3</v>
      </c>
      <c r="DF47" s="110">
        <f>IF(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R,18,FALSE)=1,4,0)+IF(VLOOKUP($E47,武器奇术!$A:$S,19,FALSE)=1,20,0)-VLOOKUP($F$7,目标属性!$A:$R,6,FALSE))/100)</f>
        <v>0.145</v>
      </c>
      <c r="DG47" s="111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U,21,FALSE)=1,0,0.09)</f>
        <v>0.235</v>
      </c>
      <c r="DH47" s="109">
        <v>1</v>
      </c>
      <c r="DI47" s="112">
        <f>DC47*IF(VLOOKUP($E47,武器奇术!$A:$R,17,FALSE)="破竹",VLOOKUP($E47,武器奇术!$A:$R,4,FALSE),VLOOKUP($E47,武器奇术!$A:$R,2,FALSE))*(1+DF47)*(1+DG47)*DH47</f>
        <v>317.5050879</v>
      </c>
      <c r="DJ47" s="110">
        <f>(1-IF(VLOOKUP($E47,武器奇术!$A:$T,20,FALSE)=1,1,$N47))*(1-$M47)</f>
        <v>0.01072666</v>
      </c>
      <c r="DK47" s="112">
        <f>DD47*IF(VLOOKUP($E47,武器奇术!$A:$R,17,FALSE)="破竹",VLOOKUP($E47,武器奇术!$A:$R,4,FALSE),VLOOKUP($E47,武器奇术!$A:$R,2,FALSE))*(1+DF47)*(1+DG47)*DH47*(1+$E$16+VLOOKUP($E47,武器奇术!$A:$R,8,FALSE))</f>
        <v>615.959870526</v>
      </c>
      <c r="DL47" s="110">
        <f t="shared" si="33"/>
        <v>0.8813852</v>
      </c>
      <c r="DM47" s="112">
        <f>DE47*IF(VLOOKUP($E47,武器奇术!$A:$R,17,FALSE)="破竹",VLOOKUP($E47,武器奇术!$A:$R,4,FALSE),VLOOKUP($E47,武器奇术!$A:$R,2,FALSE))*(1+DF47)*(1+DG47)*DH47*(1+$E$17+VLOOKUP($E47,武器奇术!$A:$R,10,FALSE))</f>
        <v>428.631868665</v>
      </c>
      <c r="DN47" s="110">
        <f t="shared" si="34"/>
        <v>0.0986</v>
      </c>
      <c r="DO47" s="112">
        <f>DD47*IF(VLOOKUP($E47,武器奇术!$A:$R,17,FALSE)="破竹",VLOOKUP($E47,武器奇术!$A:$R,4,FALSE),VLOOKUP($E47,武器奇术!$A:$R,2,FALSE))*(1+DF47)*(1+DG47)*DH47</f>
        <v>317.5050879</v>
      </c>
      <c r="DP47" s="110">
        <f t="shared" si="35"/>
        <v>0.00928814000000003</v>
      </c>
      <c r="DQ47" s="113">
        <f t="shared" si="36"/>
        <v>591.515816759203</v>
      </c>
    </row>
    <row r="48" customFormat="1" spans="2:121">
      <c r="B48" s="122"/>
      <c r="C48" s="143"/>
      <c r="D48" s="144"/>
      <c r="E48" s="98" t="str">
        <f>期望!E48</f>
        <v>拳甲重击1</v>
      </c>
      <c r="F48" s="99">
        <f>期望!F48</f>
        <v>1</v>
      </c>
      <c r="G48" s="115"/>
      <c r="H48" s="100">
        <f>IF(VLOOKUP($E48,武器奇术!$A:$R,18,FALSE)="天工",AE48,(AE48+AT48+BI48+BX48+CM48+DB48+DQ48))*(1+J48)*F48*K48*(1+G48)</f>
        <v>7410.86799781137</v>
      </c>
      <c r="I48" s="101">
        <f t="shared" si="0"/>
        <v>0.00091496735707715</v>
      </c>
      <c r="J48" s="116">
        <f>$F$3+VLOOKUP($E48,武器奇术!$A:$R,12,FALSE)+VLOOKUP($E48,武器奇术!$A:$R,14,FALSE)*$G$3+$P48+IF($F$21="√",5%,0)</f>
        <v>0.523</v>
      </c>
      <c r="K48" s="102">
        <f>VLOOKUP($E48,武器奇术!$A:$R,11,FALSE)</f>
        <v>1</v>
      </c>
      <c r="L48" s="117">
        <f>IF(VLOOKUP($E48,武器奇术!$A:$R,15,FALSE)="天工",0%,IF($C$17+VLOOKUP($E48,武器奇术!$A:$R,7,FALSE)&gt;80%,80%,$C$17+VLOOKUP($E48,武器奇术!$A:$R,7,FALSE))+IF($C$19&gt;20%,20%,$C$19))</f>
        <v>0.892</v>
      </c>
      <c r="M48" s="118">
        <f>IF(VLOOKUP($E48,武器奇术!$A:$R,15,FALSE)="天工",0%,IF($C$18+VLOOKUP($E48,武器奇术!$A:$R,9,FALSE)&gt;40%,40%,$C$18+VLOOKUP($E48,武器奇术!$A:$R,9,FALSE))+IF($C$20&gt;10%,10%,$C$20))</f>
        <v>0.0986</v>
      </c>
      <c r="N48" s="119">
        <f>IF(VLOOKUP($E48,武器奇术!$A:$R,15,FALSE)="天工",100%,MIN($C$16,1))</f>
        <v>0.9881</v>
      </c>
      <c r="O48" s="120" t="str">
        <f>VLOOKUP($E48,武器奇术!$A:$R,16,FALSE)</f>
        <v>拳甲</v>
      </c>
      <c r="P48" s="121">
        <f t="shared" si="37"/>
        <v>0.17</v>
      </c>
      <c r="Q48" s="108">
        <f>$B$5*(1+VLOOKUP($E48,武器奇术!$A:$R,5,FALSE)+IF($G$5="飞隼",0.1,0)+IF($G$5="撼天",0.05,0))-$F$9+IF($I$5="√",160,0)</f>
        <v>1731.135</v>
      </c>
      <c r="R48" s="99">
        <f>IF(VLOOKUP($E48,武器奇术!$A:$Z,20,FALSE)=1,(S48-(Q48+S48)*0.5)*($G$15-0.5)*2+(Q48+S48)*0.5,(Q48+S48)*0.5)</f>
        <v>3256.775</v>
      </c>
      <c r="S48" s="109">
        <f>MAX($C$5,$B$5)*(1+VLOOKUP($E48,武器奇术!$A:$R,5,FALSE)+IF($G$5="飞隼",0.1,0)+IF($G$5="撼天",0.05,0))-$F$9+IF($I$5="√",320,0)</f>
        <v>4782.415</v>
      </c>
      <c r="T48" s="101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U48" s="111">
        <f>$E$5+IF(VLOOKUP($E48,武器奇术!$A:$U,21,FALSE)=1,0,0.09)</f>
        <v>0.115</v>
      </c>
      <c r="V48" s="109">
        <v>1</v>
      </c>
      <c r="W48" s="112">
        <f>Q48*VLOOKUP($E48,武器奇术!$A:$R,2,FALSE)*(1+T48)*(1+U48)*V48</f>
        <v>1042.59780892355</v>
      </c>
      <c r="X48" s="110">
        <f>(1-IF(VLOOKUP($E48,武器奇术!$A:$T,20,FALSE)=1,1,$N48))*(1-$M48)</f>
        <v>0.01072666</v>
      </c>
      <c r="Y48" s="112">
        <f>R48*VLOOKUP($E48,武器奇术!$A:$R,2,FALSE)*(1+T48)*(1+U48)*V48*(1+$E$16+VLOOKUP($E48,武器奇术!$A:$R,8,FALSE))</f>
        <v>3216.75122149194</v>
      </c>
      <c r="Z48" s="110">
        <f t="shared" si="1"/>
        <v>0.8813852</v>
      </c>
      <c r="AA48" s="112">
        <f>S48*VLOOKUP($E48,武器奇术!$A:$R,2,FALSE)*(1+T48)*(1+U48)*V48*(1+$E$17+VLOOKUP($E48,武器奇术!$A:$R,10,FALSE))</f>
        <v>3888.36387138506</v>
      </c>
      <c r="AB48" s="110">
        <f t="shared" si="2"/>
        <v>0.0986</v>
      </c>
      <c r="AC48" s="112">
        <f>R48*VLOOKUP($E48,武器奇术!$A:$R,2,FALSE)*(1+T48)*(1+U48)*V48</f>
        <v>1961.43367164143</v>
      </c>
      <c r="AD48" s="110">
        <f t="shared" si="3"/>
        <v>0.00928814000000003</v>
      </c>
      <c r="AE48" s="113">
        <f t="shared" si="4"/>
        <v>3247.99125917947</v>
      </c>
      <c r="AF48" s="114">
        <f>VLOOKUP($E48,武器奇术!$A:$R,3,FALSE)*(1+IF(VLOOKUP($E48,武器奇术!$A:$R,15,FALSE)="武器",$E$15,0))</f>
        <v>157.3</v>
      </c>
      <c r="AG48" s="112">
        <f t="shared" si="5"/>
        <v>157.3</v>
      </c>
      <c r="AH48" s="112">
        <f>VLOOKUP($E48,武器奇术!$A:$R,3,FALSE)*(1+IF(VLOOKUP($E48,武器奇术!$A:$R,15,FALSE)="武器",$E$15,0))</f>
        <v>157.3</v>
      </c>
      <c r="AI48" s="101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0.242</v>
      </c>
      <c r="AJ48" s="111">
        <f>$E$5+IF(VLOOKUP($E48,武器奇术!$A:$U,21,FALSE)=1,0,0.09)</f>
        <v>0.115</v>
      </c>
      <c r="AK48" s="109">
        <v>1</v>
      </c>
      <c r="AL48" s="112">
        <f t="shared" si="6"/>
        <v>217.833759</v>
      </c>
      <c r="AM48" s="110">
        <f>(1-IF(VLOOKUP($E48,武器奇术!$A:$T,20,FALSE)=1,1,$N48))*(1-$M48)</f>
        <v>0.01072666</v>
      </c>
      <c r="AN48" s="112">
        <f>AG48*(1+AI48)*(1+AJ48)*AK48*(1+$E$16+VLOOKUP($E48,武器奇术!$A:$R,8,FALSE))</f>
        <v>357.24736476</v>
      </c>
      <c r="AO48" s="110">
        <f t="shared" si="7"/>
        <v>0.8813852</v>
      </c>
      <c r="AP48" s="112">
        <f>AH48*(1+AI48)*(1+AJ48)*AK48*(1+$E$17+VLOOKUP($E48,武器奇术!$A:$R,10,FALSE))</f>
        <v>294.07557465</v>
      </c>
      <c r="AQ48" s="110">
        <f t="shared" si="8"/>
        <v>0.0986</v>
      </c>
      <c r="AR48" s="112">
        <f t="shared" si="9"/>
        <v>217.833759</v>
      </c>
      <c r="AS48" s="110">
        <f t="shared" si="10"/>
        <v>0.00928814000000003</v>
      </c>
      <c r="AT48" s="113">
        <f t="shared" si="11"/>
        <v>348.228290818589</v>
      </c>
      <c r="AU48" s="108">
        <f>$B$7*IF($G$5="撼天",1.05,1)+IF(AND(VLOOKUP($E48,武器奇术!$A:$R,15,FALSE)="武器",VLOOKUP($E48,武器奇术!$A:$R,17,FALSE)="鸣金"),$E$3,0)*(1+$E$15)</f>
        <v>0</v>
      </c>
      <c r="AV48" s="99">
        <f>(AU48+AW48)*IF(VLOOKUP($E48,武器奇术!$A:$Z,21,FALSE)=1,$G$15,0.5)</f>
        <v>0</v>
      </c>
      <c r="AW48" s="109">
        <f>MAX($C$7*IF($G$5="撼天",1.05,1)+IF(AND(VLOOKUP($E48,武器奇术!$A:$R,15,FALSE)="武器",VLOOKUP($E48,武器奇术!$A:$R,17,FALSE)="鸣金"),$E$3*(1+$E$15),0),AU48)</f>
        <v>0</v>
      </c>
      <c r="AX48" s="110">
        <f>IF(($D$7+IF(VLOOKUP($E48,武器奇术!$A:$R,17,FALSE)="鸣金",$D$15,0)+IF(VLOOKUP($E48,武器奇术!$A:$R,18,FALSE)=1,4,0)+IF(VLOOKUP($E48,武器奇术!$A:$S,19,FALSE)=1,20,0)-VLOOKUP($F$7,目标属性!$A:$R,6,FALSE))&gt;0,($D$7+IF(VLOOKUP($E48,武器奇术!$A:$R,17,FALSE)="鸣金",$D$15,0)+IF(VLOOKUP($E48,武器奇术!$A:$R,18,FALSE)=1,4,0)+IF(VLOOKUP($E48,武器奇术!$A:$S,19,FALSE)=1,20,0)-VLOOKUP($F$7,目标属性!$A:$R,6,FALSE))/200,($D$7+IF(VLOOKUP($E48,武器奇术!$A:$R,17,FALSE)="鸣金",$D$15,0)+IF(VLOOKUP($E48,武器奇术!$A:$R,18,FALSE)=1,4,0)+IF(VLOOKUP($E48,武器奇术!$A:$S,19,FALSE)=1,20,0)-VLOOKUP($F$7,目标属性!$A:$R,6,FALSE))/100)</f>
        <v>-0.24</v>
      </c>
      <c r="AY48" s="111">
        <f t="shared" si="12"/>
        <v>0</v>
      </c>
      <c r="AZ48" s="109">
        <v>1</v>
      </c>
      <c r="BA48" s="112">
        <f>AU48*IF(VLOOKUP($E48,武器奇术!$A:$R,17,FALSE)="鸣金",VLOOKUP($E48,武器奇术!$A:$R,4,FALSE),VLOOKUP($E48,武器奇术!$A:$R,2,FALSE))*(1+AX48)*(1+AY48)*AZ48</f>
        <v>0</v>
      </c>
      <c r="BB48" s="110">
        <f>(1-IF(VLOOKUP($E48,武器奇术!$A:$T,20,FALSE)=1,1,$N48))*(1-$M48)</f>
        <v>0.01072666</v>
      </c>
      <c r="BC48" s="112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10">
        <f t="shared" si="13"/>
        <v>0.8813852</v>
      </c>
      <c r="BE48" s="112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10">
        <f t="shared" si="14"/>
        <v>0.0986</v>
      </c>
      <c r="BG48" s="112">
        <f>AV48*IF(VLOOKUP($E48,武器奇术!$A:$R,17,FALSE)="鸣金",VLOOKUP($E48,武器奇术!$A:$R,4,FALSE),VLOOKUP($E48,武器奇术!$A:$R,2,FALSE))*(1+AX48)*(1+AY48)*AZ48</f>
        <v>0</v>
      </c>
      <c r="BH48" s="110">
        <f t="shared" si="15"/>
        <v>0.00928814000000003</v>
      </c>
      <c r="BI48" s="113">
        <f t="shared" si="16"/>
        <v>0</v>
      </c>
      <c r="BJ48" s="108">
        <f>$B$9*IF($G$5="撼天",1.05,1)+IF(AND(VLOOKUP($E48,武器奇术!$A:$R,15,FALSE)="武器",VLOOKUP($E48,武器奇术!$A:$R,17,FALSE)="裂石"),$E$3,0)*(1+$E$15)</f>
        <v>0</v>
      </c>
      <c r="BK48" s="99">
        <f>(BJ48+BL48)*IF(VLOOKUP($E48,武器奇术!$A:$Z,21,FALSE)=1,$G$15,0.5)</f>
        <v>0</v>
      </c>
      <c r="BL48" s="109">
        <f>MAX($C$9*IF($G$5="撼天",1.05,1)+IF(AND(VLOOKUP($E48,武器奇术!$A:$R,15,FALSE)="武器",VLOOKUP($E48,武器奇术!$A:$R,17,FALSE)="裂石"),$E$3*(1+$E$15),0),BJ48)</f>
        <v>0</v>
      </c>
      <c r="BM48" s="110">
        <f>IF(($D$9+IF(VLOOKUP($E48,武器奇术!$A:$R,17,FALSE)="裂石",$D$15,0)+IF(VLOOKUP($E48,武器奇术!$A:$R,18,FALSE)=1,4,0)+IF(VLOOKUP($E48,武器奇术!$A:$S,19,FALSE)=1,20,0)-VLOOKUP($F$7,目标属性!$A:$R,6,FALSE))&gt;0,($D$9+IF(VLOOKUP($E48,武器奇术!$A:$R,17,FALSE)="裂石",$D$15,0)+IF(VLOOKUP($E48,武器奇术!$A:$R,18,FALSE)=1,4,0)+IF(VLOOKUP($E48,武器奇术!$A:$S,19,FALSE)=1,20,0)-VLOOKUP($F$7,目标属性!$A:$R,6,FALSE))/200,($D$9+IF(VLOOKUP($E48,武器奇术!$A:$R,17,FALSE)="裂石",$D$15,0)+IF(VLOOKUP($E48,武器奇术!$A:$R,18,FALSE)=1,4,0)+IF(VLOOKUP($E48,武器奇术!$A:$S,19,FALSE)=1,20,0)-VLOOKUP($F$7,目标属性!$A:$R,6,FALSE))/100)</f>
        <v>-0.24</v>
      </c>
      <c r="BN48" s="111">
        <f t="shared" si="17"/>
        <v>0</v>
      </c>
      <c r="BO48" s="109">
        <v>1</v>
      </c>
      <c r="BP48" s="112">
        <f>BJ48*IF(VLOOKUP($E48,武器奇术!$A:$R,17,FALSE)="裂石",VLOOKUP($E48,武器奇术!$A:$R,4,FALSE),VLOOKUP($E48,武器奇术!$A:$R,2,FALSE))*(1+BM48)*(1+BN48)*BO48</f>
        <v>0</v>
      </c>
      <c r="BQ48" s="110">
        <f>(1-IF(VLOOKUP($E48,武器奇术!$A:$T,20,FALSE)=1,1,$N48))*(1-$M48)</f>
        <v>0.01072666</v>
      </c>
      <c r="BR48" s="112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10">
        <f t="shared" si="18"/>
        <v>0.8813852</v>
      </c>
      <c r="BT48" s="112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10">
        <f t="shared" si="19"/>
        <v>0.0986</v>
      </c>
      <c r="BV48" s="112">
        <f>BK48*IF(VLOOKUP($E48,武器奇术!$A:$R,17,FALSE)="裂石",VLOOKUP($E48,武器奇术!$A:$R,4,FALSE),VLOOKUP($E48,武器奇术!$A:$R,2,FALSE))*(1+BM48)*(1+BN48)*BO48</f>
        <v>0</v>
      </c>
      <c r="BW48" s="110">
        <f t="shared" si="20"/>
        <v>0.00928814000000003</v>
      </c>
      <c r="BX48" s="113">
        <f t="shared" si="21"/>
        <v>0</v>
      </c>
      <c r="BY48" s="108">
        <f>$B$11*IF($G$5="撼天",1.05,1)+IF(AND(VLOOKUP($E48,武器奇术!$A:$R,15,FALSE)="武器",VLOOKUP($E48,武器奇术!$A:$R,17,FALSE)="牵丝"),$E$3,0)*(1+$E$15)</f>
        <v>0</v>
      </c>
      <c r="BZ48" s="99">
        <f>(BY48+CA48)*IF(VLOOKUP($E48,武器奇术!$A:$Z,21,FALSE)=1,$G$15,0.5)</f>
        <v>0</v>
      </c>
      <c r="CA48" s="109">
        <f>MAX($C$11*IF($G$5="撼天",1.05,1)+IF(AND(VLOOKUP($E48,武器奇术!$A:$R,15,FALSE)="武器",VLOOKUP($E48,武器奇术!$A:$R,17,FALSE)="牵丝"),$E$3*(1+$E$15),0),BY48)</f>
        <v>0</v>
      </c>
      <c r="CB48" s="110">
        <f>IF(($D$11+IF(VLOOKUP($E48,武器奇术!$A:$R,17,FALSE)="牵丝",$D$15,0)+IF(VLOOKUP($E48,武器奇术!$A:$R,18,FALSE)=1,4,0)+IF(VLOOKUP($E48,武器奇术!$A:$S,19,FALSE)=1,20,0)-VLOOKUP($F$7,目标属性!$A:$R,6,FALSE))&gt;0,($D$11+IF(VLOOKUP($E48,武器奇术!$A:$R,17,FALSE)="牵丝",$D$15,0)+IF(VLOOKUP($E48,武器奇术!$A:$R,18,FALSE)=1,4,0)+IF(VLOOKUP($E48,武器奇术!$A:$S,19,FALSE)=1,20,0)-VLOOKUP($F$7,目标属性!$A:$R,6,FALSE))/200,($D$11+IF(VLOOKUP($E48,武器奇术!$A:$R,17,FALSE)="牵丝",$D$15,0)+IF(VLOOKUP($E48,武器奇术!$A:$R,18,FALSE)=1,4,0)+IF(VLOOKUP($E48,武器奇术!$A:$S,19,FALSE)=1,20,0)-VLOOKUP($F$7,目标属性!$A:$R,6,FALSE))/100)</f>
        <v>-0.24</v>
      </c>
      <c r="CC48" s="111">
        <f t="shared" si="22"/>
        <v>0</v>
      </c>
      <c r="CD48" s="109">
        <v>1</v>
      </c>
      <c r="CE48" s="112">
        <f>BY48*IF(VLOOKUP($E48,武器奇术!$A:$R,17,FALSE)="牵丝",VLOOKUP($E48,武器奇术!$A:$R,4,FALSE),VLOOKUP($E48,武器奇术!$A:$R,2,FALSE))*(1+CB48)*(1+CC48)*CD48</f>
        <v>0</v>
      </c>
      <c r="CF48" s="110">
        <f>(1-IF(VLOOKUP($E48,武器奇术!$A:$T,20,FALSE)=1,1,$N48))*(1-$M48)</f>
        <v>0.01072666</v>
      </c>
      <c r="CG48" s="112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110">
        <f t="shared" si="23"/>
        <v>0.8813852</v>
      </c>
      <c r="CI48" s="112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110">
        <f t="shared" si="24"/>
        <v>0.0986</v>
      </c>
      <c r="CK48" s="112">
        <f>BZ48*IF(VLOOKUP($E48,武器奇术!$A:$R,17,FALSE)="牵丝",VLOOKUP($E48,武器奇术!$A:$R,4,FALSE),VLOOKUP($E48,武器奇术!$A:$R,2,FALSE))*(1+CB48)*(1+CC48)*CD48</f>
        <v>0</v>
      </c>
      <c r="CL48" s="110">
        <f t="shared" si="25"/>
        <v>0.00928814000000003</v>
      </c>
      <c r="CM48" s="113">
        <f t="shared" si="26"/>
        <v>0</v>
      </c>
      <c r="CN48" s="108">
        <f>$B$13*IF($G$5="撼天",1.05,1)+IF(AND(VLOOKUP($E48,武器奇术!$A:$R,15,FALSE)="武器",VLOOKUP($E48,武器奇术!$A:$R,17,FALSE)="破竹"),$E$3,0)*(1+$E$15)</f>
        <v>648.46</v>
      </c>
      <c r="CO48" s="99">
        <f>(CN48+CP48)*IF(VLOOKUP($E48,武器奇术!$A:$Z,21,FALSE)=1,$G$15,0.5)</f>
        <v>875.26</v>
      </c>
      <c r="CP48" s="109">
        <f>MAX($C$13*IF($G$5="撼天",1.05,1)+IF(AND(VLOOKUP($E48,武器奇术!$A:$R,15,FALSE)="武器",VLOOKUP($E48,武器奇术!$A:$R,17,FALSE)="破竹"),$E$3*(1+$E$15),0),CN48)</f>
        <v>1102.06</v>
      </c>
      <c r="CQ48" s="110">
        <f>IF(($D$13+IF(VLOOKUP($E48,武器奇术!$A:$R,17,FALSE)="破竹",$D$15,0)+IF(VLOOKUP($E48,武器奇术!$A:$R,18,FALSE)=1,4,0)+IF(VLOOKUP($E48,武器奇术!$A:$S,19,FALSE)=1,20,0)-VLOOKUP($F$7,目标属性!$A:$R,6,FALSE))&gt;0,($D$13+IF(VLOOKUP($E48,武器奇术!$A:$R,17,FALSE)="破竹",$D$15,0)+IF(VLOOKUP($E48,武器奇术!$A:$R,18,FALSE)=1,4,0)+IF(VLOOKUP($E48,武器奇术!$A:$S,19,FALSE)=1,20,0)-VLOOKUP($F$7,目标属性!$A:$R,6,FALSE))/200,($D$13+IF(VLOOKUP($E48,武器奇术!$A:$R,17,FALSE)="破竹",$D$15,0)+IF(VLOOKUP($E48,武器奇术!$A:$R,18,FALSE)=1,4,0)+IF(VLOOKUP($E48,武器奇术!$A:$S,19,FALSE)=1,20,0)-VLOOKUP($F$7,目标属性!$A:$R,6,FALSE))/100)</f>
        <v>0.025</v>
      </c>
      <c r="CR48" s="111">
        <f>$E$13+IF(VLOOKUP($E48,武器奇术!$A:$U,21,FALSE)=1,0,0.09)</f>
        <v>0.235</v>
      </c>
      <c r="CS48" s="109">
        <v>1</v>
      </c>
      <c r="CT48" s="112">
        <f>CN48*IF(VLOOKUP($E48,武器奇术!$A:$R,17,FALSE)="破竹",VLOOKUP($E48,武器奇术!$A:$R,4,FALSE),VLOOKUP($E48,武器奇术!$A:$R,2,FALSE))*(1+CQ48)*(1+CR48)*CS48</f>
        <v>535.45304602075</v>
      </c>
      <c r="CU48" s="110">
        <f>(1-IF(VLOOKUP($E48,武器奇术!$A:$T,20,FALSE)=1,1,$N48))*(1-$M48)</f>
        <v>0.01072666</v>
      </c>
      <c r="CV48" s="112">
        <f>CO48*IF(VLOOKUP($E48,武器奇术!$A:$R,17,FALSE)="破竹",VLOOKUP($E48,武器奇术!$A:$R,4,FALSE),VLOOKUP($E48,武器奇术!$A:$R,2,FALSE))*(1+CQ48)*(1+CR48)*CS48*(1+$E$16+VLOOKUP($E48,武器奇术!$A:$R,8,FALSE))</f>
        <v>1185.27501807143</v>
      </c>
      <c r="CW48" s="110">
        <f t="shared" si="27"/>
        <v>0.8813852</v>
      </c>
      <c r="CX48" s="112">
        <f>CP48*IF(VLOOKUP($E48,武器奇术!$A:$R,17,FALSE)="破竹",VLOOKUP($E48,武器奇术!$A:$R,4,FALSE),VLOOKUP($E48,武器奇术!$A:$R,2,FALSE))*(1+CQ48)*(1+CR48)*CS48*(1+$E$17+VLOOKUP($E48,武器奇术!$A:$R,10,FALSE))</f>
        <v>1228.50579567251</v>
      </c>
      <c r="CY48" s="110">
        <f t="shared" si="28"/>
        <v>0.0986</v>
      </c>
      <c r="CZ48" s="112">
        <f>CO48*IF(VLOOKUP($E48,武器奇术!$A:$R,17,FALSE)="破竹",VLOOKUP($E48,武器奇术!$A:$R,4,FALSE),VLOOKUP($E48,武器奇术!$A:$R,2,FALSE))*(1+CQ48)*(1+CR48)*CS48</f>
        <v>722.72866955575</v>
      </c>
      <c r="DA48" s="110">
        <f t="shared" si="29"/>
        <v>0.00928814000000003</v>
      </c>
      <c r="DB48" s="113">
        <f t="shared" si="30"/>
        <v>1178.27095814668</v>
      </c>
      <c r="DC48" s="108">
        <f t="shared" si="31"/>
        <v>69.3</v>
      </c>
      <c r="DD48" s="99">
        <f>(DC48+DE48)*IF(VLOOKUP($E48,武器奇术!$A:$Z,21,FALSE)=1,$G$15,0.5)</f>
        <v>69.3</v>
      </c>
      <c r="DE48" s="109">
        <f t="shared" si="32"/>
        <v>69.3</v>
      </c>
      <c r="DF48" s="110">
        <f>IF(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R,18,FALSE)=1,4,0)+IF(VLOOKUP($E48,武器奇术!$A:$S,19,FALSE)=1,20,0)-VLOOKUP($F$7,目标属性!$A:$R,6,FALSE))/100)</f>
        <v>0.025</v>
      </c>
      <c r="DG48" s="111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U,21,FALSE)=1,0,0.09)</f>
        <v>0.235</v>
      </c>
      <c r="DH48" s="109">
        <v>1</v>
      </c>
      <c r="DI48" s="112">
        <f>DC48*IF(VLOOKUP($E48,武器奇术!$A:$R,17,FALSE)="破竹",VLOOKUP($E48,武器奇术!$A:$R,4,FALSE),VLOOKUP($E48,武器奇术!$A:$R,2,FALSE))*(1+DF48)*(1+DG48)*DH48</f>
        <v>57.22310719125</v>
      </c>
      <c r="DJ48" s="110">
        <f>(1-IF(VLOOKUP($E48,武器奇术!$A:$T,20,FALSE)=1,1,$N48))*(1-$M48)</f>
        <v>0.01072666</v>
      </c>
      <c r="DK48" s="112">
        <f>DD48*IF(VLOOKUP($E48,武器奇术!$A:$R,17,FALSE)="破竹",VLOOKUP($E48,武器奇术!$A:$R,4,FALSE),VLOOKUP($E48,武器奇术!$A:$R,2,FALSE))*(1+DF48)*(1+DG48)*DH48*(1+$E$16+VLOOKUP($E48,武器奇术!$A:$R,8,FALSE))</f>
        <v>93.84589579365</v>
      </c>
      <c r="DL48" s="110">
        <f t="shared" si="33"/>
        <v>0.8813852</v>
      </c>
      <c r="DM48" s="112">
        <f>DE48*IF(VLOOKUP($E48,武器奇术!$A:$R,17,FALSE)="破竹",VLOOKUP($E48,武器奇术!$A:$R,4,FALSE),VLOOKUP($E48,武器奇术!$A:$R,2,FALSE))*(1+DF48)*(1+DG48)*DH48*(1+$E$17+VLOOKUP($E48,武器奇术!$A:$R,10,FALSE))</f>
        <v>77.2511947081875</v>
      </c>
      <c r="DN48" s="110">
        <f t="shared" si="34"/>
        <v>0.0986</v>
      </c>
      <c r="DO48" s="112">
        <f>DD48*IF(VLOOKUP($E48,武器奇术!$A:$R,17,FALSE)="破竹",VLOOKUP($E48,武器奇术!$A:$R,4,FALSE),VLOOKUP($E48,武器奇术!$A:$R,2,FALSE))*(1+DF48)*(1+DG48)*DH48</f>
        <v>57.22310719125</v>
      </c>
      <c r="DP48" s="110">
        <f t="shared" si="35"/>
        <v>0.00928814000000003</v>
      </c>
      <c r="DQ48" s="113">
        <f t="shared" si="36"/>
        <v>91.4766604773041</v>
      </c>
    </row>
    <row r="49" customFormat="1" ht="14.25" spans="1:121">
      <c r="B49" s="95"/>
      <c r="C49" s="145"/>
      <c r="D49" s="146"/>
      <c r="E49" s="98" t="str">
        <f>期望!E49</f>
        <v>拳甲普攻3</v>
      </c>
      <c r="F49" s="99">
        <f>期望!F49</f>
        <v>1</v>
      </c>
      <c r="G49" s="115"/>
      <c r="H49" s="100">
        <f>IF(VLOOKUP($E49,武器奇术!$A:$R,18,FALSE)="天工",AE49,(AE49+AT49+BI49+BX49+CM49+DB49+DQ49))*(1+J49)*F49*K49*(1+G49)</f>
        <v>4170.96164603952</v>
      </c>
      <c r="I49" s="101">
        <f t="shared" si="0"/>
        <v>0.000514959078325777</v>
      </c>
      <c r="J49" s="101">
        <f>$F$3+VLOOKUP($E49,武器奇术!$A:$R,12,FALSE)+VLOOKUP($E49,武器奇术!$A:$R,14,FALSE)*$G$3+$P49</f>
        <v>0.473</v>
      </c>
      <c r="K49" s="102">
        <f>VLOOKUP($E49,武器奇术!$A:$R,11,FALSE)</f>
        <v>1</v>
      </c>
      <c r="L49" s="117">
        <f>IF(VLOOKUP($E49,武器奇术!$A:$R,15,FALSE)="天工",0%,IF($C$17+VLOOKUP($E49,武器奇术!$A:$R,7,FALSE)&gt;80%,80%,$C$17+VLOOKUP($E49,武器奇术!$A:$R,7,FALSE))+IF($C$19&gt;20%,20%,$C$19))</f>
        <v>0.892</v>
      </c>
      <c r="M49" s="118">
        <f>IF(VLOOKUP($E49,武器奇术!$A:$R,15,FALSE)="天工",0%,IF($C$18+VLOOKUP($E49,武器奇术!$A:$R,9,FALSE)&gt;40%,40%,$C$18+VLOOKUP($E49,武器奇术!$A:$R,9,FALSE))+IF($C$20&gt;10%,10%,$C$20))</f>
        <v>0.0986</v>
      </c>
      <c r="N49" s="119">
        <f>IF(VLOOKUP($E49,武器奇术!$A:$R,15,FALSE)="天工",100%,MIN($C$16,1))</f>
        <v>0.9881</v>
      </c>
      <c r="O49" s="120" t="str">
        <f>VLOOKUP($E49,武器奇术!$A:$R,16,FALSE)</f>
        <v>拳甲</v>
      </c>
      <c r="P49" s="121">
        <f t="shared" si="37"/>
        <v>0.17</v>
      </c>
      <c r="Q49" s="108">
        <f>$B$5*(1+VLOOKUP($E49,武器奇术!$A:$R,5,FALSE)+IF($G$5="飞隼",0.1,0)+IF($G$5="撼天",0.05,0))-$F$9+IF($I$5="√",160,0)</f>
        <v>1731.135</v>
      </c>
      <c r="R49" s="99">
        <f>IF(VLOOKUP($E49,武器奇术!$A:$Z,20,FALSE)=1,(S49-(Q49+S49)*0.5)*($G$15-0.5)*2+(Q49+S49)*0.5,(Q49+S49)*0.5)</f>
        <v>3256.775</v>
      </c>
      <c r="S49" s="109">
        <f>MAX($C$5,$B$5)*(1+VLOOKUP($E49,武器奇术!$A:$R,5,FALSE)+IF($G$5="飞隼",0.1,0)+IF($G$5="撼天",0.05,0))-$F$9+IF($I$5="√",320,0)</f>
        <v>4782.415</v>
      </c>
      <c r="T49" s="101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U49" s="111">
        <f>$E$5+IF(VLOOKUP($E49,武器奇术!$A:$U,21,FALSE)=1,0,0.09)</f>
        <v>0.115</v>
      </c>
      <c r="V49" s="109">
        <v>1</v>
      </c>
      <c r="W49" s="112">
        <f>Q49*VLOOKUP($E49,武器奇术!$A:$R,2,FALSE)*(1+T49)*(1+U49)*V49</f>
        <v>606.284170790445</v>
      </c>
      <c r="X49" s="110">
        <f>(1-IF(VLOOKUP($E49,武器奇术!$A:$T,20,FALSE)=1,1,$N49))*(1-$M49)</f>
        <v>0.01072666</v>
      </c>
      <c r="Y49" s="112">
        <f>R49*VLOOKUP($E49,武器奇术!$A:$R,2,FALSE)*(1+T49)*(1+U49)*V49*(1+$E$16+VLOOKUP($E49,武器奇术!$A:$R,8,FALSE))</f>
        <v>1870.58262569628</v>
      </c>
      <c r="Z49" s="110">
        <f t="shared" si="1"/>
        <v>0.8813852</v>
      </c>
      <c r="AA49" s="112">
        <f>S49*VLOOKUP($E49,武器奇术!$A:$R,2,FALSE)*(1+T49)*(1+U49)*V49*(1+$E$17+VLOOKUP($E49,武器奇术!$A:$R,10,FALSE))</f>
        <v>2261.1341068597</v>
      </c>
      <c r="AB49" s="110">
        <f t="shared" si="2"/>
        <v>0.0986</v>
      </c>
      <c r="AC49" s="112">
        <f>R49*VLOOKUP($E49,武器奇术!$A:$R,2,FALSE)*(1+T49)*(1+U49)*V49</f>
        <v>1140.59916200993</v>
      </c>
      <c r="AD49" s="110">
        <f t="shared" si="3"/>
        <v>0.00928814000000003</v>
      </c>
      <c r="AE49" s="113">
        <f t="shared" si="4"/>
        <v>1888.74911346629</v>
      </c>
      <c r="AF49" s="114">
        <f>VLOOKUP($E49,武器奇术!$A:$R,3,FALSE)*(1+IF(VLOOKUP($E49,武器奇术!$A:$R,15,FALSE)="武器",$E$15,0))</f>
        <v>92.3</v>
      </c>
      <c r="AG49" s="112">
        <f t="shared" si="5"/>
        <v>92.3</v>
      </c>
      <c r="AH49" s="112">
        <f>VLOOKUP($E49,武器奇术!$A:$R,3,FALSE)*(1+IF(VLOOKUP($E49,武器奇术!$A:$R,15,FALSE)="武器",$E$15,0))</f>
        <v>92.3</v>
      </c>
      <c r="AI49" s="101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0.242</v>
      </c>
      <c r="AJ49" s="111">
        <f>$E$5+IF(VLOOKUP($E49,武器奇术!$A:$U,21,FALSE)=1,0,0.09)</f>
        <v>0.115</v>
      </c>
      <c r="AK49" s="109">
        <v>1</v>
      </c>
      <c r="AL49" s="112">
        <f t="shared" si="6"/>
        <v>127.819809</v>
      </c>
      <c r="AM49" s="110">
        <f>(1-IF(VLOOKUP($E49,武器奇术!$A:$T,20,FALSE)=1,1,$N49))*(1-$M49)</f>
        <v>0.01072666</v>
      </c>
      <c r="AN49" s="112">
        <f>AG49*(1+AI49)*(1+AJ49)*AK49*(1+$E$16+VLOOKUP($E49,武器奇术!$A:$R,8,FALSE))</f>
        <v>209.62448676</v>
      </c>
      <c r="AO49" s="110">
        <f t="shared" si="7"/>
        <v>0.8813852</v>
      </c>
      <c r="AP49" s="112">
        <f>AH49*(1+AI49)*(1+AJ49)*AK49*(1+$E$17+VLOOKUP($E49,武器奇术!$A:$R,10,FALSE))</f>
        <v>172.55674215</v>
      </c>
      <c r="AQ49" s="110">
        <f t="shared" si="8"/>
        <v>0.0986</v>
      </c>
      <c r="AR49" s="112">
        <f t="shared" si="9"/>
        <v>127.819809</v>
      </c>
      <c r="AS49" s="110">
        <f t="shared" si="10"/>
        <v>0.00928814000000003</v>
      </c>
      <c r="AT49" s="113">
        <f t="shared" si="11"/>
        <v>204.332302877023</v>
      </c>
      <c r="AU49" s="108">
        <f>$B$7*IF($G$5="撼天",1.05,1)+IF(AND(VLOOKUP($E49,武器奇术!$A:$R,15,FALSE)="武器",VLOOKUP($E49,武器奇术!$A:$R,17,FALSE)="鸣金"),$E$3,0)*(1+$E$15)</f>
        <v>0</v>
      </c>
      <c r="AV49" s="99">
        <f>(AU49+AW49)*IF(VLOOKUP($E49,武器奇术!$A:$Z,21,FALSE)=1,$G$15,0.5)</f>
        <v>0</v>
      </c>
      <c r="AW49" s="109">
        <f>MAX($C$7*IF($G$5="撼天",1.05,1)+IF(AND(VLOOKUP($E49,武器奇术!$A:$R,15,FALSE)="武器",VLOOKUP($E49,武器奇术!$A:$R,17,FALSE)="鸣金"),$E$3*(1+$E$15),0),AU49)</f>
        <v>0</v>
      </c>
      <c r="AX49" s="110">
        <f>IF(($D$7+IF(VLOOKUP($E49,武器奇术!$A:$R,17,FALSE)="鸣金",$D$15,0)+IF(VLOOKUP($E49,武器奇术!$A:$R,18,FALSE)=1,4,0)+IF(VLOOKUP($E49,武器奇术!$A:$S,19,FALSE)=1,20,0)-VLOOKUP($F$7,目标属性!$A:$R,6,FALSE))&gt;0,($D$7+IF(VLOOKUP($E49,武器奇术!$A:$R,17,FALSE)="鸣金",$D$15,0)+IF(VLOOKUP($E49,武器奇术!$A:$R,18,FALSE)=1,4,0)+IF(VLOOKUP($E49,武器奇术!$A:$S,19,FALSE)=1,20,0)-VLOOKUP($F$7,目标属性!$A:$R,6,FALSE))/200,($D$7+IF(VLOOKUP($E49,武器奇术!$A:$R,17,FALSE)="鸣金",$D$15,0)+IF(VLOOKUP($E49,武器奇术!$A:$R,18,FALSE)=1,4,0)+IF(VLOOKUP($E49,武器奇术!$A:$S,19,FALSE)=1,20,0)-VLOOKUP($F$7,目标属性!$A:$R,6,FALSE))/100)</f>
        <v>-0.24</v>
      </c>
      <c r="AY49" s="111">
        <f t="shared" si="12"/>
        <v>0</v>
      </c>
      <c r="AZ49" s="109">
        <v>1</v>
      </c>
      <c r="BA49" s="112">
        <f>AU49*IF(VLOOKUP($E49,武器奇术!$A:$R,17,FALSE)="鸣金",VLOOKUP($E49,武器奇术!$A:$R,4,FALSE),VLOOKUP($E49,武器奇术!$A:$R,2,FALSE))*(1+AX49)*(1+AY49)*AZ49</f>
        <v>0</v>
      </c>
      <c r="BB49" s="110">
        <f>(1-IF(VLOOKUP($E49,武器奇术!$A:$T,20,FALSE)=1,1,$N49))*(1-$M49)</f>
        <v>0.01072666</v>
      </c>
      <c r="BC49" s="112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10">
        <f t="shared" si="13"/>
        <v>0.8813852</v>
      </c>
      <c r="BE49" s="112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10">
        <f t="shared" si="14"/>
        <v>0.0986</v>
      </c>
      <c r="BG49" s="112">
        <f>AV49*IF(VLOOKUP($E49,武器奇术!$A:$R,17,FALSE)="鸣金",VLOOKUP($E49,武器奇术!$A:$R,4,FALSE),VLOOKUP($E49,武器奇术!$A:$R,2,FALSE))*(1+AX49)*(1+AY49)*AZ49</f>
        <v>0</v>
      </c>
      <c r="BH49" s="110">
        <f t="shared" si="15"/>
        <v>0.00928814000000003</v>
      </c>
      <c r="BI49" s="113">
        <f t="shared" si="16"/>
        <v>0</v>
      </c>
      <c r="BJ49" s="108">
        <f>$B$9*IF($G$5="撼天",1.05,1)+IF(AND(VLOOKUP($E49,武器奇术!$A:$R,15,FALSE)="武器",VLOOKUP($E49,武器奇术!$A:$R,17,FALSE)="裂石"),$E$3,0)*(1+$E$15)</f>
        <v>0</v>
      </c>
      <c r="BK49" s="99">
        <f>(BJ49+BL49)*IF(VLOOKUP($E49,武器奇术!$A:$Z,21,FALSE)=1,$G$15,0.5)</f>
        <v>0</v>
      </c>
      <c r="BL49" s="109">
        <f>MAX($C$9*IF($G$5="撼天",1.05,1)+IF(AND(VLOOKUP($E49,武器奇术!$A:$R,15,FALSE)="武器",VLOOKUP($E49,武器奇术!$A:$R,17,FALSE)="裂石"),$E$3*(1+$E$15),0),BJ49)</f>
        <v>0</v>
      </c>
      <c r="BM49" s="110">
        <f>IF(($D$9+IF(VLOOKUP($E49,武器奇术!$A:$R,17,FALSE)="裂石",$D$15,0)+IF(VLOOKUP($E49,武器奇术!$A:$R,18,FALSE)=1,4,0)+IF(VLOOKUP($E49,武器奇术!$A:$S,19,FALSE)=1,20,0)-VLOOKUP($F$7,目标属性!$A:$R,6,FALSE))&gt;0,($D$9+IF(VLOOKUP($E49,武器奇术!$A:$R,17,FALSE)="裂石",$D$15,0)+IF(VLOOKUP($E49,武器奇术!$A:$R,18,FALSE)=1,4,0)+IF(VLOOKUP($E49,武器奇术!$A:$S,19,FALSE)=1,20,0)-VLOOKUP($F$7,目标属性!$A:$R,6,FALSE))/200,($D$9+IF(VLOOKUP($E49,武器奇术!$A:$R,17,FALSE)="裂石",$D$15,0)+IF(VLOOKUP($E49,武器奇术!$A:$R,18,FALSE)=1,4,0)+IF(VLOOKUP($E49,武器奇术!$A:$S,19,FALSE)=1,20,0)-VLOOKUP($F$7,目标属性!$A:$R,6,FALSE))/100)</f>
        <v>-0.24</v>
      </c>
      <c r="BN49" s="111">
        <f t="shared" si="17"/>
        <v>0</v>
      </c>
      <c r="BO49" s="109">
        <v>1</v>
      </c>
      <c r="BP49" s="112">
        <f>BJ49*IF(VLOOKUP($E49,武器奇术!$A:$R,17,FALSE)="裂石",VLOOKUP($E49,武器奇术!$A:$R,4,FALSE),VLOOKUP($E49,武器奇术!$A:$R,2,FALSE))*(1+BM49)*(1+BN49)*BO49</f>
        <v>0</v>
      </c>
      <c r="BQ49" s="110">
        <f>(1-IF(VLOOKUP($E49,武器奇术!$A:$T,20,FALSE)=1,1,$N49))*(1-$M49)</f>
        <v>0.01072666</v>
      </c>
      <c r="BR49" s="112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10">
        <f t="shared" si="18"/>
        <v>0.8813852</v>
      </c>
      <c r="BT49" s="112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10">
        <f t="shared" si="19"/>
        <v>0.0986</v>
      </c>
      <c r="BV49" s="112">
        <f>BK49*IF(VLOOKUP($E49,武器奇术!$A:$R,17,FALSE)="裂石",VLOOKUP($E49,武器奇术!$A:$R,4,FALSE),VLOOKUP($E49,武器奇术!$A:$R,2,FALSE))*(1+BM49)*(1+BN49)*BO49</f>
        <v>0</v>
      </c>
      <c r="BW49" s="110">
        <f t="shared" si="20"/>
        <v>0.00928814000000003</v>
      </c>
      <c r="BX49" s="113">
        <f t="shared" si="21"/>
        <v>0</v>
      </c>
      <c r="BY49" s="108">
        <f>$B$11*IF($G$5="撼天",1.05,1)+IF(AND(VLOOKUP($E49,武器奇术!$A:$R,15,FALSE)="武器",VLOOKUP($E49,武器奇术!$A:$R,17,FALSE)="牵丝"),$E$3,0)*(1+$E$15)</f>
        <v>0</v>
      </c>
      <c r="BZ49" s="99">
        <f>(BY49+CA49)*IF(VLOOKUP($E49,武器奇术!$A:$Z,21,FALSE)=1,$G$15,0.5)</f>
        <v>0</v>
      </c>
      <c r="CA49" s="109">
        <f>MAX($C$11*IF($G$5="撼天",1.05,1)+IF(AND(VLOOKUP($E49,武器奇术!$A:$R,15,FALSE)="武器",VLOOKUP($E49,武器奇术!$A:$R,17,FALSE)="牵丝"),$E$3*(1+$E$15),0),BY49)</f>
        <v>0</v>
      </c>
      <c r="CB49" s="110">
        <f>IF(($D$11+IF(VLOOKUP($E49,武器奇术!$A:$R,17,FALSE)="牵丝",$D$15,0)+IF(VLOOKUP($E49,武器奇术!$A:$R,18,FALSE)=1,4,0)+IF(VLOOKUP($E49,武器奇术!$A:$S,19,FALSE)=1,20,0)-VLOOKUP($F$7,目标属性!$A:$R,6,FALSE))&gt;0,($D$11+IF(VLOOKUP($E49,武器奇术!$A:$R,17,FALSE)="牵丝",$D$15,0)+IF(VLOOKUP($E49,武器奇术!$A:$R,18,FALSE)=1,4,0)+IF(VLOOKUP($E49,武器奇术!$A:$S,19,FALSE)=1,20,0)-VLOOKUP($F$7,目标属性!$A:$R,6,FALSE))/200,($D$11+IF(VLOOKUP($E49,武器奇术!$A:$R,17,FALSE)="牵丝",$D$15,0)+IF(VLOOKUP($E49,武器奇术!$A:$R,18,FALSE)=1,4,0)+IF(VLOOKUP($E49,武器奇术!$A:$S,19,FALSE)=1,20,0)-VLOOKUP($F$7,目标属性!$A:$R,6,FALSE))/100)</f>
        <v>-0.24</v>
      </c>
      <c r="CC49" s="111">
        <f t="shared" si="22"/>
        <v>0</v>
      </c>
      <c r="CD49" s="109">
        <v>1</v>
      </c>
      <c r="CE49" s="112">
        <f>BY49*IF(VLOOKUP($E49,武器奇术!$A:$R,17,FALSE)="牵丝",VLOOKUP($E49,武器奇术!$A:$R,4,FALSE),VLOOKUP($E49,武器奇术!$A:$R,2,FALSE))*(1+CB49)*(1+CC49)*CD49</f>
        <v>0</v>
      </c>
      <c r="CF49" s="110">
        <f>(1-IF(VLOOKUP($E49,武器奇术!$A:$T,20,FALSE)=1,1,$N49))*(1-$M49)</f>
        <v>0.01072666</v>
      </c>
      <c r="CG49" s="112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110">
        <f t="shared" si="23"/>
        <v>0.8813852</v>
      </c>
      <c r="CI49" s="112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110">
        <f t="shared" si="24"/>
        <v>0.0986</v>
      </c>
      <c r="CK49" s="112">
        <f>BZ49*IF(VLOOKUP($E49,武器奇术!$A:$R,17,FALSE)="牵丝",VLOOKUP($E49,武器奇术!$A:$R,4,FALSE),VLOOKUP($E49,武器奇术!$A:$R,2,FALSE))*(1+CB49)*(1+CC49)*CD49</f>
        <v>0</v>
      </c>
      <c r="CL49" s="110">
        <f t="shared" si="25"/>
        <v>0.00928814000000003</v>
      </c>
      <c r="CM49" s="113">
        <f t="shared" si="26"/>
        <v>0</v>
      </c>
      <c r="CN49" s="108">
        <f>$B$13*IF($G$5="撼天",1.05,1)+IF(AND(VLOOKUP($E49,武器奇术!$A:$R,15,FALSE)="武器",VLOOKUP($E49,武器奇术!$A:$R,17,FALSE)="破竹"),$E$3,0)*(1+$E$15)</f>
        <v>648.46</v>
      </c>
      <c r="CO49" s="99">
        <f>(CN49+CP49)*IF(VLOOKUP($E49,武器奇术!$A:$Z,21,FALSE)=1,$G$15,0.5)</f>
        <v>875.26</v>
      </c>
      <c r="CP49" s="109">
        <f>MAX($C$13*IF($G$5="撼天",1.05,1)+IF(AND(VLOOKUP($E49,武器奇术!$A:$R,15,FALSE)="武器",VLOOKUP($E49,武器奇术!$A:$R,17,FALSE)="破竹"),$E$3*(1+$E$15),0),CN49)</f>
        <v>1102.06</v>
      </c>
      <c r="CQ49" s="110">
        <f>IF(($D$13+IF(VLOOKUP($E49,武器奇术!$A:$R,17,FALSE)="破竹",$D$15,0)+IF(VLOOKUP($E49,武器奇术!$A:$R,18,FALSE)=1,4,0)+IF(VLOOKUP($E49,武器奇术!$A:$S,19,FALSE)=1,20,0)-VLOOKUP($F$7,目标属性!$A:$R,6,FALSE))&gt;0,($D$13+IF(VLOOKUP($E49,武器奇术!$A:$R,17,FALSE)="破竹",$D$15,0)+IF(VLOOKUP($E49,武器奇术!$A:$R,18,FALSE)=1,4,0)+IF(VLOOKUP($E49,武器奇术!$A:$S,19,FALSE)=1,20,0)-VLOOKUP($F$7,目标属性!$A:$R,6,FALSE))/200,($D$13+IF(VLOOKUP($E49,武器奇术!$A:$R,17,FALSE)="破竹",$D$15,0)+IF(VLOOKUP($E49,武器奇术!$A:$R,18,FALSE)=1,4,0)+IF(VLOOKUP($E49,武器奇术!$A:$S,19,FALSE)=1,20,0)-VLOOKUP($F$7,目标属性!$A:$R,6,FALSE))/100)</f>
        <v>0.025</v>
      </c>
      <c r="CR49" s="111">
        <f>$E$13+IF(VLOOKUP($E49,武器奇术!$A:$U,21,FALSE)=1,0,0.09)</f>
        <v>0.235</v>
      </c>
      <c r="CS49" s="109">
        <v>1</v>
      </c>
      <c r="CT49" s="112">
        <f>CN49*IF(VLOOKUP($E49,武器奇术!$A:$R,17,FALSE)="破竹",VLOOKUP($E49,武器奇术!$A:$R,4,FALSE),VLOOKUP($E49,武器奇术!$A:$R,2,FALSE))*(1+CQ49)*(1+CR49)*CS49</f>
        <v>311.4378133685</v>
      </c>
      <c r="CU49" s="110">
        <f>(1-IF(VLOOKUP($E49,武器奇术!$A:$T,20,FALSE)=1,1,$N49))*(1-$M49)</f>
        <v>0.01072666</v>
      </c>
      <c r="CV49" s="112">
        <f>CO49*IF(VLOOKUP($E49,武器奇术!$A:$R,17,FALSE)="破竹",VLOOKUP($E49,武器奇术!$A:$R,4,FALSE),VLOOKUP($E49,武器奇术!$A:$R,2,FALSE))*(1+CQ49)*(1+CR49)*CS49*(1+$E$16+VLOOKUP($E49,武器奇术!$A:$R,8,FALSE))</f>
        <v>689.39650752154</v>
      </c>
      <c r="CW49" s="110">
        <f t="shared" si="27"/>
        <v>0.8813852</v>
      </c>
      <c r="CX49" s="112">
        <f>CP49*IF(VLOOKUP($E49,武器奇术!$A:$R,17,FALSE)="破竹",VLOOKUP($E49,武器奇术!$A:$R,4,FALSE),VLOOKUP($E49,武器奇术!$A:$R,2,FALSE))*(1+CQ49)*(1+CR49)*CS49*(1+$E$17+VLOOKUP($E49,武器奇术!$A:$R,10,FALSE))</f>
        <v>714.541007018475</v>
      </c>
      <c r="CY49" s="110">
        <f t="shared" si="28"/>
        <v>0.0986</v>
      </c>
      <c r="CZ49" s="112">
        <f>CO49*IF(VLOOKUP($E49,武器奇术!$A:$R,17,FALSE)="破竹",VLOOKUP($E49,武器奇术!$A:$R,4,FALSE),VLOOKUP($E49,武器奇术!$A:$R,2,FALSE))*(1+CQ49)*(1+CR49)*CS49</f>
        <v>420.3637240985</v>
      </c>
      <c r="DA49" s="110">
        <f t="shared" si="29"/>
        <v>0.00928814000000003</v>
      </c>
      <c r="DB49" s="113">
        <f t="shared" si="30"/>
        <v>685.322706608691</v>
      </c>
      <c r="DC49" s="108">
        <f t="shared" si="31"/>
        <v>69.3</v>
      </c>
      <c r="DD49" s="99">
        <f>(DC49+DE49)*IF(VLOOKUP($E49,武器奇术!$A:$Z,21,FALSE)=1,$G$15,0.5)</f>
        <v>69.3</v>
      </c>
      <c r="DE49" s="109">
        <f t="shared" si="32"/>
        <v>69.3</v>
      </c>
      <c r="DF49" s="110">
        <f>IF(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R,18,FALSE)=1,4,0)+IF(VLOOKUP($E49,武器奇术!$A:$S,19,FALSE)=1,20,0)-VLOOKUP($F$7,目标属性!$A:$R,6,FALSE))/100)</f>
        <v>0.025</v>
      </c>
      <c r="DG49" s="111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U,21,FALSE)=1,0,0.09)</f>
        <v>0.235</v>
      </c>
      <c r="DH49" s="109">
        <v>1</v>
      </c>
      <c r="DI49" s="112">
        <f>DC49*IF(VLOOKUP($E49,武器奇术!$A:$R,17,FALSE)="破竹",VLOOKUP($E49,武器奇术!$A:$R,4,FALSE),VLOOKUP($E49,武器奇术!$A:$R,2,FALSE))*(1+DF49)*(1+DG49)*DH49</f>
        <v>33.2829171675</v>
      </c>
      <c r="DJ49" s="110">
        <f>(1-IF(VLOOKUP($E49,武器奇术!$A:$T,20,FALSE)=1,1,$N49))*(1-$M49)</f>
        <v>0.01072666</v>
      </c>
      <c r="DK49" s="112">
        <f>DD49*IF(VLOOKUP($E49,武器奇术!$A:$R,17,FALSE)="破竹",VLOOKUP($E49,武器奇术!$A:$R,4,FALSE),VLOOKUP($E49,武器奇术!$A:$R,2,FALSE))*(1+DF49)*(1+DG49)*DH49*(1+$E$16+VLOOKUP($E49,武器奇术!$A:$R,8,FALSE))</f>
        <v>54.5839841547</v>
      </c>
      <c r="DL49" s="110">
        <f t="shared" si="33"/>
        <v>0.8813852</v>
      </c>
      <c r="DM49" s="112">
        <f>DE49*IF(VLOOKUP($E49,武器奇术!$A:$R,17,FALSE)="破竹",VLOOKUP($E49,武器奇术!$A:$R,4,FALSE),VLOOKUP($E49,武器奇术!$A:$R,2,FALSE))*(1+DF49)*(1+DG49)*DH49*(1+$E$17+VLOOKUP($E49,武器奇术!$A:$R,10,FALSE))</f>
        <v>44.931938176125</v>
      </c>
      <c r="DN49" s="110">
        <f t="shared" si="34"/>
        <v>0.0986</v>
      </c>
      <c r="DO49" s="112">
        <f>DD49*IF(VLOOKUP($E49,武器奇术!$A:$R,17,FALSE)="破竹",VLOOKUP($E49,武器奇术!$A:$R,4,FALSE),VLOOKUP($E49,武器奇术!$A:$R,2,FALSE))*(1+DF49)*(1+DG49)*DH49</f>
        <v>33.2829171675</v>
      </c>
      <c r="DP49" s="110">
        <f t="shared" si="35"/>
        <v>0.00928814000000003</v>
      </c>
      <c r="DQ49" s="113">
        <f t="shared" si="36"/>
        <v>53.2059558256771</v>
      </c>
    </row>
    <row r="50" customFormat="1" spans="1:121">
      <c r="B50" s="79" t="s">
        <v>145</v>
      </c>
      <c r="C50" s="141"/>
      <c r="D50" s="142"/>
      <c r="E50" s="98" t="str">
        <f>期望!E50</f>
        <v>拳甲普攻4</v>
      </c>
      <c r="F50" s="99">
        <f>期望!F50</f>
        <v>1</v>
      </c>
      <c r="G50" s="115"/>
      <c r="H50" s="100">
        <f>IF(VLOOKUP($E50,武器奇术!$A:$R,18,FALSE)="天工",AE50,(AE50+AT50+BI50+BX50+CM50+DB50+DQ50))*(1+J50)*F50*K50*(1+G50)</f>
        <v>5247.72079509985</v>
      </c>
      <c r="I50" s="101">
        <f t="shared" si="0"/>
        <v>0.000647898900370283</v>
      </c>
      <c r="J50" s="101">
        <f>$F$3+VLOOKUP($E50,武器奇术!$A:$R,12,FALSE)+VLOOKUP($E50,武器奇术!$A:$R,14,FALSE)*$G$3+$P50</f>
        <v>0.473</v>
      </c>
      <c r="K50" s="102">
        <f>VLOOKUP($E50,武器奇术!$A:$R,11,FALSE)</f>
        <v>1</v>
      </c>
      <c r="L50" s="117">
        <f>IF(VLOOKUP($E50,武器奇术!$A:$R,15,FALSE)="天工",0%,IF($C$17+VLOOKUP($E50,武器奇术!$A:$R,7,FALSE)&gt;80%,80%,$C$17+VLOOKUP($E50,武器奇术!$A:$R,7,FALSE))+IF($C$19&gt;20%,20%,$C$19))</f>
        <v>0.892</v>
      </c>
      <c r="M50" s="118">
        <f>IF(VLOOKUP($E50,武器奇术!$A:$R,15,FALSE)="天工",0%,IF($C$18+VLOOKUP($E50,武器奇术!$A:$R,9,FALSE)&gt;40%,40%,$C$18+VLOOKUP($E50,武器奇术!$A:$R,9,FALSE))+IF($C$20&gt;10%,10%,$C$20))</f>
        <v>0.0986</v>
      </c>
      <c r="N50" s="119">
        <f>IF(VLOOKUP($E50,武器奇术!$A:$R,15,FALSE)="天工",100%,MIN($C$16,1))</f>
        <v>0.9881</v>
      </c>
      <c r="O50" s="120" t="str">
        <f>VLOOKUP($E50,武器奇术!$A:$R,16,FALSE)</f>
        <v>拳甲</v>
      </c>
      <c r="P50" s="121">
        <f t="shared" si="37"/>
        <v>0.17</v>
      </c>
      <c r="Q50" s="108">
        <f>$B$5*(1+VLOOKUP($E50,武器奇术!$A:$R,5,FALSE)+IF($G$5="飞隼",0.1,0)+IF($G$5="撼天",0.05,0))-$F$9+IF($I$5="√",160,0)</f>
        <v>1731.135</v>
      </c>
      <c r="R50" s="99">
        <f>IF(VLOOKUP($E50,武器奇术!$A:$Z,20,FALSE)=1,(S50-(Q50+S50)*0.5)*($G$15-0.5)*2+(Q50+S50)*0.5,(Q50+S50)*0.5)</f>
        <v>3256.775</v>
      </c>
      <c r="S50" s="109">
        <f>MAX($C$5,$B$5)*(1+VLOOKUP($E50,武器奇术!$A:$R,5,FALSE)+IF($G$5="飞隼",0.1,0)+IF($G$5="撼天",0.05,0))-$F$9+IF($I$5="√",320,0)</f>
        <v>4782.415</v>
      </c>
      <c r="T50" s="101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U50" s="111">
        <f>$E$5+IF(VLOOKUP($E50,武器奇术!$A:$U,21,FALSE)=1,0,0.09)</f>
        <v>0.115</v>
      </c>
      <c r="V50" s="109">
        <v>1</v>
      </c>
      <c r="W50" s="112">
        <f>Q50*VLOOKUP($E50,武器奇术!$A:$R,2,FALSE)*(1+T50)*(1+U50)*V50</f>
        <v>763.069401196515</v>
      </c>
      <c r="X50" s="110">
        <f>(1-IF(VLOOKUP($E50,武器奇术!$A:$T,20,FALSE)=1,1,$N50))*(1-$M50)</f>
        <v>0.01072666</v>
      </c>
      <c r="Y50" s="112">
        <f>R50*VLOOKUP($E50,武器奇术!$A:$R,2,FALSE)*(1+T50)*(1+U50)*V50*(1+$E$16+VLOOKUP($E50,武器奇术!$A:$R,8,FALSE))</f>
        <v>2354.31573649318</v>
      </c>
      <c r="Z50" s="110">
        <f t="shared" si="1"/>
        <v>0.8813852</v>
      </c>
      <c r="AA50" s="112">
        <f>S50*VLOOKUP($E50,武器奇术!$A:$R,2,FALSE)*(1+T50)*(1+U50)*V50*(1+$E$17+VLOOKUP($E50,武器奇术!$A:$R,10,FALSE))</f>
        <v>2845.86392334299</v>
      </c>
      <c r="AB50" s="110">
        <f t="shared" si="2"/>
        <v>0.0986</v>
      </c>
      <c r="AC50" s="112">
        <f>R50*VLOOKUP($E50,武器奇术!$A:$R,2,FALSE)*(1+T50)*(1+U50)*V50</f>
        <v>1435.55837591048</v>
      </c>
      <c r="AD50" s="110">
        <f t="shared" si="3"/>
        <v>0.00928814000000003</v>
      </c>
      <c r="AE50" s="113">
        <f t="shared" si="4"/>
        <v>2377.18008231047</v>
      </c>
      <c r="AF50" s="114">
        <f>VLOOKUP($E50,武器奇术!$A:$R,3,FALSE)*(1+IF(VLOOKUP($E50,武器奇术!$A:$R,15,FALSE)="武器",$E$15,0))</f>
        <v>115.7</v>
      </c>
      <c r="AG50" s="112">
        <f t="shared" si="5"/>
        <v>115.7</v>
      </c>
      <c r="AH50" s="112">
        <f>VLOOKUP($E50,武器奇术!$A:$R,3,FALSE)*(1+IF(VLOOKUP($E50,武器奇术!$A:$R,15,FALSE)="武器",$E$15,0))</f>
        <v>115.7</v>
      </c>
      <c r="AI50" s="101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0.242</v>
      </c>
      <c r="AJ50" s="111">
        <f>$E$5+IF(VLOOKUP($E50,武器奇术!$A:$U,21,FALSE)=1,0,0.09)</f>
        <v>0.115</v>
      </c>
      <c r="AK50" s="109">
        <v>1</v>
      </c>
      <c r="AL50" s="112">
        <f t="shared" si="6"/>
        <v>160.224831</v>
      </c>
      <c r="AM50" s="110">
        <f>(1-IF(VLOOKUP($E50,武器奇术!$A:$T,20,FALSE)=1,1,$N50))*(1-$M50)</f>
        <v>0.01072666</v>
      </c>
      <c r="AN50" s="112">
        <f>AG50*(1+AI50)*(1+AJ50)*AK50*(1+$E$16+VLOOKUP($E50,武器奇术!$A:$R,8,FALSE))</f>
        <v>262.76872284</v>
      </c>
      <c r="AO50" s="110">
        <f t="shared" si="7"/>
        <v>0.8813852</v>
      </c>
      <c r="AP50" s="112">
        <f>AH50*(1+AI50)*(1+AJ50)*AK50*(1+$E$17+VLOOKUP($E50,武器奇术!$A:$R,10,FALSE))</f>
        <v>216.30352185</v>
      </c>
      <c r="AQ50" s="110">
        <f t="shared" si="8"/>
        <v>0.0986</v>
      </c>
      <c r="AR50" s="112">
        <f t="shared" si="9"/>
        <v>160.224831</v>
      </c>
      <c r="AS50" s="110">
        <f t="shared" si="10"/>
        <v>0.00928814000000003</v>
      </c>
      <c r="AT50" s="113">
        <f t="shared" si="11"/>
        <v>256.134858535987</v>
      </c>
      <c r="AU50" s="108">
        <f>$B$7*IF($G$5="撼天",1.05,1)+IF(AND(VLOOKUP($E50,武器奇术!$A:$R,15,FALSE)="武器",VLOOKUP($E50,武器奇术!$A:$R,17,FALSE)="鸣金"),$E$3,0)*(1+$E$15)</f>
        <v>0</v>
      </c>
      <c r="AV50" s="99">
        <f>(AU50+AW50)*IF(VLOOKUP($E50,武器奇术!$A:$Z,21,FALSE)=1,$G$15,0.5)</f>
        <v>0</v>
      </c>
      <c r="AW50" s="109">
        <f>MAX($C$7*IF($G$5="撼天",1.05,1)+IF(AND(VLOOKUP($E50,武器奇术!$A:$R,15,FALSE)="武器",VLOOKUP($E50,武器奇术!$A:$R,17,FALSE)="鸣金"),$E$3*(1+$E$15),0),AU50)</f>
        <v>0</v>
      </c>
      <c r="AX50" s="110">
        <f>IF(($D$7+IF(VLOOKUP($E50,武器奇术!$A:$R,17,FALSE)="鸣金",$D$15,0)+IF(VLOOKUP($E50,武器奇术!$A:$R,18,FALSE)=1,4,0)+IF(VLOOKUP($E50,武器奇术!$A:$S,19,FALSE)=1,20,0)-VLOOKUP($F$7,目标属性!$A:$R,6,FALSE))&gt;0,($D$7+IF(VLOOKUP($E50,武器奇术!$A:$R,17,FALSE)="鸣金",$D$15,0)+IF(VLOOKUP($E50,武器奇术!$A:$R,18,FALSE)=1,4,0)+IF(VLOOKUP($E50,武器奇术!$A:$S,19,FALSE)=1,20,0)-VLOOKUP($F$7,目标属性!$A:$R,6,FALSE))/200,($D$7+IF(VLOOKUP($E50,武器奇术!$A:$R,17,FALSE)="鸣金",$D$15,0)+IF(VLOOKUP($E50,武器奇术!$A:$R,18,FALSE)=1,4,0)+IF(VLOOKUP($E50,武器奇术!$A:$S,19,FALSE)=1,20,0)-VLOOKUP($F$7,目标属性!$A:$R,6,FALSE))/100)</f>
        <v>-0.24</v>
      </c>
      <c r="AY50" s="111">
        <f t="shared" si="12"/>
        <v>0</v>
      </c>
      <c r="AZ50" s="109">
        <v>1</v>
      </c>
      <c r="BA50" s="112">
        <f>AU50*IF(VLOOKUP($E50,武器奇术!$A:$R,17,FALSE)="鸣金",VLOOKUP($E50,武器奇术!$A:$R,4,FALSE),VLOOKUP($E50,武器奇术!$A:$R,2,FALSE))*(1+AX50)*(1+AY50)*AZ50</f>
        <v>0</v>
      </c>
      <c r="BB50" s="110">
        <f>(1-IF(VLOOKUP($E50,武器奇术!$A:$T,20,FALSE)=1,1,$N50))*(1-$M50)</f>
        <v>0.01072666</v>
      </c>
      <c r="BC50" s="112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10">
        <f t="shared" si="13"/>
        <v>0.8813852</v>
      </c>
      <c r="BE50" s="112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10">
        <f t="shared" si="14"/>
        <v>0.0986</v>
      </c>
      <c r="BG50" s="112">
        <f>AV50*IF(VLOOKUP($E50,武器奇术!$A:$R,17,FALSE)="鸣金",VLOOKUP($E50,武器奇术!$A:$R,4,FALSE),VLOOKUP($E50,武器奇术!$A:$R,2,FALSE))*(1+AX50)*(1+AY50)*AZ50</f>
        <v>0</v>
      </c>
      <c r="BH50" s="110">
        <f t="shared" si="15"/>
        <v>0.00928814000000003</v>
      </c>
      <c r="BI50" s="113">
        <f t="shared" si="16"/>
        <v>0</v>
      </c>
      <c r="BJ50" s="108">
        <f>$B$9*IF($G$5="撼天",1.05,1)+IF(AND(VLOOKUP($E50,武器奇术!$A:$R,15,FALSE)="武器",VLOOKUP($E50,武器奇术!$A:$R,17,FALSE)="裂石"),$E$3,0)*(1+$E$15)</f>
        <v>0</v>
      </c>
      <c r="BK50" s="99">
        <f>(BJ50+BL50)*IF(VLOOKUP($E50,武器奇术!$A:$Z,21,FALSE)=1,$G$15,0.5)</f>
        <v>0</v>
      </c>
      <c r="BL50" s="109">
        <f>MAX($C$9*IF($G$5="撼天",1.05,1)+IF(AND(VLOOKUP($E50,武器奇术!$A:$R,15,FALSE)="武器",VLOOKUP($E50,武器奇术!$A:$R,17,FALSE)="裂石"),$E$3*(1+$E$15),0),BJ50)</f>
        <v>0</v>
      </c>
      <c r="BM50" s="110">
        <f>IF(($D$9+IF(VLOOKUP($E50,武器奇术!$A:$R,17,FALSE)="裂石",$D$15,0)+IF(VLOOKUP($E50,武器奇术!$A:$R,18,FALSE)=1,4,0)+IF(VLOOKUP($E50,武器奇术!$A:$S,19,FALSE)=1,20,0)-VLOOKUP($F$7,目标属性!$A:$R,6,FALSE))&gt;0,($D$9+IF(VLOOKUP($E50,武器奇术!$A:$R,17,FALSE)="裂石",$D$15,0)+IF(VLOOKUP($E50,武器奇术!$A:$R,18,FALSE)=1,4,0)+IF(VLOOKUP($E50,武器奇术!$A:$S,19,FALSE)=1,20,0)-VLOOKUP($F$7,目标属性!$A:$R,6,FALSE))/200,($D$9+IF(VLOOKUP($E50,武器奇术!$A:$R,17,FALSE)="裂石",$D$15,0)+IF(VLOOKUP($E50,武器奇术!$A:$R,18,FALSE)=1,4,0)+IF(VLOOKUP($E50,武器奇术!$A:$S,19,FALSE)=1,20,0)-VLOOKUP($F$7,目标属性!$A:$R,6,FALSE))/100)</f>
        <v>-0.24</v>
      </c>
      <c r="BN50" s="111">
        <f t="shared" si="17"/>
        <v>0</v>
      </c>
      <c r="BO50" s="109">
        <v>1</v>
      </c>
      <c r="BP50" s="112">
        <f>BJ50*IF(VLOOKUP($E50,武器奇术!$A:$R,17,FALSE)="裂石",VLOOKUP($E50,武器奇术!$A:$R,4,FALSE),VLOOKUP($E50,武器奇术!$A:$R,2,FALSE))*(1+BM50)*(1+BN50)*BO50</f>
        <v>0</v>
      </c>
      <c r="BQ50" s="110">
        <f>(1-IF(VLOOKUP($E50,武器奇术!$A:$T,20,FALSE)=1,1,$N50))*(1-$M50)</f>
        <v>0.01072666</v>
      </c>
      <c r="BR50" s="112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10">
        <f t="shared" si="18"/>
        <v>0.8813852</v>
      </c>
      <c r="BT50" s="112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10">
        <f t="shared" si="19"/>
        <v>0.0986</v>
      </c>
      <c r="BV50" s="112">
        <f>BK50*IF(VLOOKUP($E50,武器奇术!$A:$R,17,FALSE)="裂石",VLOOKUP($E50,武器奇术!$A:$R,4,FALSE),VLOOKUP($E50,武器奇术!$A:$R,2,FALSE))*(1+BM50)*(1+BN50)*BO50</f>
        <v>0</v>
      </c>
      <c r="BW50" s="110">
        <f t="shared" si="20"/>
        <v>0.00928814000000003</v>
      </c>
      <c r="BX50" s="113">
        <f t="shared" si="21"/>
        <v>0</v>
      </c>
      <c r="BY50" s="108">
        <f>$B$11*IF($G$5="撼天",1.05,1)+IF(AND(VLOOKUP($E50,武器奇术!$A:$R,15,FALSE)="武器",VLOOKUP($E50,武器奇术!$A:$R,17,FALSE)="牵丝"),$E$3,0)*(1+$E$15)</f>
        <v>0</v>
      </c>
      <c r="BZ50" s="99">
        <f>(BY50+CA50)*IF(VLOOKUP($E50,武器奇术!$A:$Z,21,FALSE)=1,$G$15,0.5)</f>
        <v>0</v>
      </c>
      <c r="CA50" s="109">
        <f>MAX($C$11*IF($G$5="撼天",1.05,1)+IF(AND(VLOOKUP($E50,武器奇术!$A:$R,15,FALSE)="武器",VLOOKUP($E50,武器奇术!$A:$R,17,FALSE)="牵丝"),$E$3*(1+$E$15),0),BY50)</f>
        <v>0</v>
      </c>
      <c r="CB50" s="110">
        <f>IF(($D$11+IF(VLOOKUP($E50,武器奇术!$A:$R,17,FALSE)="牵丝",$D$15,0)+IF(VLOOKUP($E50,武器奇术!$A:$R,18,FALSE)=1,4,0)+IF(VLOOKUP($E50,武器奇术!$A:$S,19,FALSE)=1,20,0)-VLOOKUP($F$7,目标属性!$A:$R,6,FALSE))&gt;0,($D$11+IF(VLOOKUP($E50,武器奇术!$A:$R,17,FALSE)="牵丝",$D$15,0)+IF(VLOOKUP($E50,武器奇术!$A:$R,18,FALSE)=1,4,0)+IF(VLOOKUP($E50,武器奇术!$A:$S,19,FALSE)=1,20,0)-VLOOKUP($F$7,目标属性!$A:$R,6,FALSE))/200,($D$11+IF(VLOOKUP($E50,武器奇术!$A:$R,17,FALSE)="牵丝",$D$15,0)+IF(VLOOKUP($E50,武器奇术!$A:$R,18,FALSE)=1,4,0)+IF(VLOOKUP($E50,武器奇术!$A:$S,19,FALSE)=1,20,0)-VLOOKUP($F$7,目标属性!$A:$R,6,FALSE))/100)</f>
        <v>-0.24</v>
      </c>
      <c r="CC50" s="111">
        <f t="shared" si="22"/>
        <v>0</v>
      </c>
      <c r="CD50" s="109">
        <v>1</v>
      </c>
      <c r="CE50" s="112">
        <f>BY50*IF(VLOOKUP($E50,武器奇术!$A:$R,17,FALSE)="牵丝",VLOOKUP($E50,武器奇术!$A:$R,4,FALSE),VLOOKUP($E50,武器奇术!$A:$R,2,FALSE))*(1+CB50)*(1+CC50)*CD50</f>
        <v>0</v>
      </c>
      <c r="CF50" s="110">
        <f>(1-IF(VLOOKUP($E50,武器奇术!$A:$T,20,FALSE)=1,1,$N50))*(1-$M50)</f>
        <v>0.01072666</v>
      </c>
      <c r="CG50" s="112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110">
        <f t="shared" si="23"/>
        <v>0.8813852</v>
      </c>
      <c r="CI50" s="112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110">
        <f t="shared" si="24"/>
        <v>0.0986</v>
      </c>
      <c r="CK50" s="112">
        <f>BZ50*IF(VLOOKUP($E50,武器奇术!$A:$R,17,FALSE)="牵丝",VLOOKUP($E50,武器奇术!$A:$R,4,FALSE),VLOOKUP($E50,武器奇术!$A:$R,2,FALSE))*(1+CB50)*(1+CC50)*CD50</f>
        <v>0</v>
      </c>
      <c r="CL50" s="110">
        <f t="shared" si="25"/>
        <v>0.00928814000000003</v>
      </c>
      <c r="CM50" s="113">
        <f t="shared" si="26"/>
        <v>0</v>
      </c>
      <c r="CN50" s="108">
        <f>$B$13*IF($G$5="撼天",1.05,1)+IF(AND(VLOOKUP($E50,武器奇术!$A:$R,15,FALSE)="武器",VLOOKUP($E50,武器奇术!$A:$R,17,FALSE)="破竹"),$E$3,0)*(1+$E$15)</f>
        <v>648.46</v>
      </c>
      <c r="CO50" s="99">
        <f>(CN50+CP50)*IF(VLOOKUP($E50,武器奇术!$A:$Z,21,FALSE)=1,$G$15,0.5)</f>
        <v>875.26</v>
      </c>
      <c r="CP50" s="109">
        <f>MAX($C$13*IF($G$5="撼天",1.05,1)+IF(AND(VLOOKUP($E50,武器奇术!$A:$R,15,FALSE)="武器",VLOOKUP($E50,武器奇术!$A:$R,17,FALSE)="破竹"),$E$3*(1+$E$15),0),CN50)</f>
        <v>1102.06</v>
      </c>
      <c r="CQ50" s="110">
        <f>IF(($D$13+IF(VLOOKUP($E50,武器奇术!$A:$R,17,FALSE)="破竹",$D$15,0)+IF(VLOOKUP($E50,武器奇术!$A:$R,18,FALSE)=1,4,0)+IF(VLOOKUP($E50,武器奇术!$A:$S,19,FALSE)=1,20,0)-VLOOKUP($F$7,目标属性!$A:$R,6,FALSE))&gt;0,($D$13+IF(VLOOKUP($E50,武器奇术!$A:$R,17,FALSE)="破竹",$D$15,0)+IF(VLOOKUP($E50,武器奇术!$A:$R,18,FALSE)=1,4,0)+IF(VLOOKUP($E50,武器奇术!$A:$S,19,FALSE)=1,20,0)-VLOOKUP($F$7,目标属性!$A:$R,6,FALSE))/200,($D$13+IF(VLOOKUP($E50,武器奇术!$A:$R,17,FALSE)="破竹",$D$15,0)+IF(VLOOKUP($E50,武器奇术!$A:$R,18,FALSE)=1,4,0)+IF(VLOOKUP($E50,武器奇术!$A:$S,19,FALSE)=1,20,0)-VLOOKUP($F$7,目标属性!$A:$R,6,FALSE))/100)</f>
        <v>0.025</v>
      </c>
      <c r="CR50" s="111">
        <f>$E$13+IF(VLOOKUP($E50,武器奇术!$A:$U,21,FALSE)=1,0,0.09)</f>
        <v>0.235</v>
      </c>
      <c r="CS50" s="109">
        <v>1</v>
      </c>
      <c r="CT50" s="112">
        <f>CN50*IF(VLOOKUP($E50,武器奇术!$A:$R,17,FALSE)="破竹",VLOOKUP($E50,武器奇术!$A:$R,4,FALSE),VLOOKUP($E50,武器奇术!$A:$R,2,FALSE))*(1+CQ50)*(1+CR50)*CS50</f>
        <v>391.8830050135</v>
      </c>
      <c r="CU50" s="110">
        <f>(1-IF(VLOOKUP($E50,武器奇术!$A:$T,20,FALSE)=1,1,$N50))*(1-$M50)</f>
        <v>0.01072666</v>
      </c>
      <c r="CV50" s="112">
        <f>CO50*IF(VLOOKUP($E50,武器奇术!$A:$R,17,FALSE)="破竹",VLOOKUP($E50,武器奇术!$A:$R,4,FALSE),VLOOKUP($E50,武器奇术!$A:$R,2,FALSE))*(1+CQ50)*(1+CR50)*CS50*(1+$E$16+VLOOKUP($E50,武器奇术!$A:$R,8,FALSE))</f>
        <v>867.46940614334</v>
      </c>
      <c r="CW50" s="110">
        <f t="shared" si="27"/>
        <v>0.8813852</v>
      </c>
      <c r="CX50" s="112">
        <f>CP50*IF(VLOOKUP($E50,武器奇术!$A:$R,17,FALSE)="破竹",VLOOKUP($E50,武器奇术!$A:$R,4,FALSE),VLOOKUP($E50,武器奇术!$A:$R,2,FALSE))*(1+CQ50)*(1+CR50)*CS50*(1+$E$17+VLOOKUP($E50,武器奇术!$A:$R,10,FALSE))</f>
        <v>899.108794809225</v>
      </c>
      <c r="CY50" s="110">
        <f t="shared" si="28"/>
        <v>0.0986</v>
      </c>
      <c r="CZ50" s="112">
        <f>CO50*IF(VLOOKUP($E50,武器奇术!$A:$R,17,FALSE)="破竹",VLOOKUP($E50,武器奇术!$A:$R,4,FALSE),VLOOKUP($E50,武器奇术!$A:$R,2,FALSE))*(1+CQ50)*(1+CR50)*CS50</f>
        <v>528.9447598435</v>
      </c>
      <c r="DA50" s="110">
        <f t="shared" si="29"/>
        <v>0.00928814000000003</v>
      </c>
      <c r="DB50" s="113">
        <f t="shared" si="30"/>
        <v>862.343331931969</v>
      </c>
      <c r="DC50" s="108">
        <f t="shared" si="31"/>
        <v>69.3</v>
      </c>
      <c r="DD50" s="99">
        <f>(DC50+DE50)*IF(VLOOKUP($E50,武器奇术!$A:$Z,21,FALSE)=1,$G$15,0.5)</f>
        <v>69.3</v>
      </c>
      <c r="DE50" s="109">
        <f t="shared" si="32"/>
        <v>69.3</v>
      </c>
      <c r="DF50" s="110">
        <f>IF(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R,18,FALSE)=1,4,0)+IF(VLOOKUP($E50,武器奇术!$A:$S,19,FALSE)=1,20,0)-VLOOKUP($F$7,目标属性!$A:$R,6,FALSE))/100)</f>
        <v>0.025</v>
      </c>
      <c r="DG50" s="111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U,21,FALSE)=1,0,0.09)</f>
        <v>0.235</v>
      </c>
      <c r="DH50" s="109">
        <v>1</v>
      </c>
      <c r="DI50" s="112">
        <f>DC50*IF(VLOOKUP($E50,武器奇术!$A:$R,17,FALSE)="破竹",VLOOKUP($E50,武器奇术!$A:$R,4,FALSE),VLOOKUP($E50,武器奇术!$A:$R,2,FALSE))*(1+DF50)*(1+DG50)*DH50</f>
        <v>41.8799806425</v>
      </c>
      <c r="DJ50" s="110">
        <f>(1-IF(VLOOKUP($E50,武器奇术!$A:$T,20,FALSE)=1,1,$N50))*(1-$M50)</f>
        <v>0.01072666</v>
      </c>
      <c r="DK50" s="112">
        <f>DD50*IF(VLOOKUP($E50,武器奇术!$A:$R,17,FALSE)="破竹",VLOOKUP($E50,武器奇术!$A:$R,4,FALSE),VLOOKUP($E50,武器奇术!$A:$R,2,FALSE))*(1+DF50)*(1+DG50)*DH50*(1+$E$16+VLOOKUP($E50,武器奇术!$A:$R,8,FALSE))</f>
        <v>68.6831682537</v>
      </c>
      <c r="DL50" s="110">
        <f t="shared" si="33"/>
        <v>0.8813852</v>
      </c>
      <c r="DM50" s="112">
        <f>DE50*IF(VLOOKUP($E50,武器奇术!$A:$R,17,FALSE)="破竹",VLOOKUP($E50,武器奇术!$A:$R,4,FALSE),VLOOKUP($E50,武器奇术!$A:$R,2,FALSE))*(1+DF50)*(1+DG50)*DH50*(1+$E$17+VLOOKUP($E50,武器奇术!$A:$R,10,FALSE))</f>
        <v>56.537973867375</v>
      </c>
      <c r="DN50" s="110">
        <f t="shared" si="34"/>
        <v>0.0986</v>
      </c>
      <c r="DO50" s="112">
        <f>DD50*IF(VLOOKUP($E50,武器奇术!$A:$R,17,FALSE)="破竹",VLOOKUP($E50,武器奇术!$A:$R,4,FALSE),VLOOKUP($E50,武器奇术!$A:$R,2,FALSE))*(1+DF50)*(1+DG50)*DH50</f>
        <v>41.8799806425</v>
      </c>
      <c r="DP50" s="110">
        <f t="shared" si="35"/>
        <v>0.00928814000000003</v>
      </c>
      <c r="DQ50" s="113">
        <f t="shared" si="36"/>
        <v>66.9491916478077</v>
      </c>
    </row>
    <row r="51" customFormat="1" spans="1:121">
      <c r="B51" s="122"/>
      <c r="C51" s="143"/>
      <c r="D51" s="144"/>
      <c r="E51" s="98" t="str">
        <f>期望!E51</f>
        <v>拳甲普攻56</v>
      </c>
      <c r="F51" s="99">
        <f>期望!F51</f>
        <v>1</v>
      </c>
      <c r="G51" s="115"/>
      <c r="H51" s="100">
        <f>IF(VLOOKUP($E51,武器奇术!$A:$R,18,FALSE)="天工",AE51,(AE51+AT51+BI51+BX51+CM51+DB51+DQ51))*(1+J51)*F51*K51*(1+G51)</f>
        <v>21219.9948410753</v>
      </c>
      <c r="I51" s="101">
        <f t="shared" si="0"/>
        <v>0.0026198823947024</v>
      </c>
      <c r="J51" s="101">
        <f>$F$3+VLOOKUP($E51,武器奇术!$A:$R,12,FALSE)+VLOOKUP($E51,武器奇术!$A:$R,14,FALSE)*$G$3+$P51</f>
        <v>0.473</v>
      </c>
      <c r="K51" s="102">
        <f>VLOOKUP($E51,武器奇术!$A:$R,11,FALSE)</f>
        <v>1</v>
      </c>
      <c r="L51" s="117">
        <f>IF(VLOOKUP($E51,武器奇术!$A:$R,15,FALSE)="天工",0%,IF($C$17+VLOOKUP($E51,武器奇术!$A:$R,7,FALSE)&gt;80%,80%,$C$17+VLOOKUP($E51,武器奇术!$A:$R,7,FALSE))+IF($C$19&gt;20%,20%,$C$19))</f>
        <v>0.892</v>
      </c>
      <c r="M51" s="118">
        <f>IF(VLOOKUP($E51,武器奇术!$A:$R,15,FALSE)="天工",0%,IF($C$18+VLOOKUP($E51,武器奇术!$A:$R,9,FALSE)&gt;40%,40%,$C$18+VLOOKUP($E51,武器奇术!$A:$R,9,FALSE))+IF($C$20&gt;10%,10%,$C$20))</f>
        <v>0.0986</v>
      </c>
      <c r="N51" s="119">
        <f>IF(VLOOKUP($E51,武器奇术!$A:$R,15,FALSE)="天工",100%,MIN($C$16,1))</f>
        <v>0.9881</v>
      </c>
      <c r="O51" s="120" t="str">
        <f>VLOOKUP($E51,武器奇术!$A:$R,16,FALSE)</f>
        <v>拳甲</v>
      </c>
      <c r="P51" s="121">
        <f t="shared" si="37"/>
        <v>0.17</v>
      </c>
      <c r="Q51" s="108">
        <f>$B$5*(1+VLOOKUP($E51,武器奇术!$A:$R,5,FALSE)+IF($G$5="飞隼",0.1,0)+IF($G$5="撼天",0.05,0))-$F$9+IF($I$5="√",160,0)</f>
        <v>1731.135</v>
      </c>
      <c r="R51" s="99">
        <f>IF(VLOOKUP($E51,武器奇术!$A:$Z,20,FALSE)=1,(S51-(Q51+S51)*0.5)*($G$15-0.5)*2+(Q51+S51)*0.5,(Q51+S51)*0.5)</f>
        <v>3256.775</v>
      </c>
      <c r="S51" s="109">
        <f>MAX($C$5,$B$5)*(1+VLOOKUP($E51,武器奇术!$A:$R,5,FALSE)+IF($G$5="飞隼",0.1,0)+IF($G$5="撼天",0.05,0))-$F$9+IF($I$5="√",320,0)</f>
        <v>4782.415</v>
      </c>
      <c r="T51" s="101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U51" s="111">
        <f>$E$5+IF(VLOOKUP($E51,武器奇术!$A:$U,21,FALSE)=1,0,0.09)</f>
        <v>0.115</v>
      </c>
      <c r="V51" s="109">
        <v>1</v>
      </c>
      <c r="W51" s="112">
        <f>Q51*VLOOKUP($E51,武器奇术!$A:$R,2,FALSE)*(1+T51)*(1+U51)*V51</f>
        <v>3086.79912340758</v>
      </c>
      <c r="X51" s="110">
        <f>(1-IF(VLOOKUP($E51,武器奇术!$A:$T,20,FALSE)=1,1,$N51))*(1-$M51)</f>
        <v>0.01072666</v>
      </c>
      <c r="Y51" s="112">
        <f>R51*VLOOKUP($E51,武器奇术!$A:$R,2,FALSE)*(1+T51)*(1+U51)*V51*(1+$E$16+VLOOKUP($E51,武器奇术!$A:$R,8,FALSE))</f>
        <v>9523.77298871699</v>
      </c>
      <c r="Z51" s="110">
        <f t="shared" si="1"/>
        <v>0.8813852</v>
      </c>
      <c r="AA51" s="112">
        <f>S51*VLOOKUP($E51,武器奇术!$A:$R,2,FALSE)*(1+T51)*(1+U51)*V51*(1+$E$17+VLOOKUP($E51,武器奇术!$A:$R,10,FALSE))</f>
        <v>11512.2035428729</v>
      </c>
      <c r="AB51" s="110">
        <f t="shared" si="2"/>
        <v>0.0986</v>
      </c>
      <c r="AC51" s="112">
        <f>R51*VLOOKUP($E51,武器奇术!$A:$R,2,FALSE)*(1+T51)*(1+U51)*V51</f>
        <v>5807.1786516567</v>
      </c>
      <c r="AD51" s="110">
        <f t="shared" si="3"/>
        <v>0.00928814000000003</v>
      </c>
      <c r="AE51" s="113">
        <f t="shared" si="4"/>
        <v>9616.26476274887</v>
      </c>
      <c r="AF51" s="114">
        <f>VLOOKUP($E51,武器奇术!$A:$R,3,FALSE)*(1+IF(VLOOKUP($E51,武器奇术!$A:$R,15,FALSE)="武器",$E$15,0))</f>
        <v>465.4</v>
      </c>
      <c r="AG51" s="112">
        <f t="shared" si="5"/>
        <v>465.4</v>
      </c>
      <c r="AH51" s="112">
        <f>VLOOKUP($E51,武器奇术!$A:$R,3,FALSE)*(1+IF(VLOOKUP($E51,武器奇术!$A:$R,15,FALSE)="武器",$E$15,0))</f>
        <v>465.4</v>
      </c>
      <c r="AI51" s="101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0.242</v>
      </c>
      <c r="AJ51" s="111">
        <f>$E$5+IF(VLOOKUP($E51,武器奇术!$A:$U,21,FALSE)=1,0,0.09)</f>
        <v>0.115</v>
      </c>
      <c r="AK51" s="109">
        <v>1</v>
      </c>
      <c r="AL51" s="112">
        <f t="shared" si="6"/>
        <v>644.499882</v>
      </c>
      <c r="AM51" s="110">
        <f>(1-IF(VLOOKUP($E51,武器奇术!$A:$T,20,FALSE)=1,1,$N51))*(1-$M51)</f>
        <v>0.01072666</v>
      </c>
      <c r="AN51" s="112">
        <f>AG51*(1+AI51)*(1+AJ51)*AK51*(1+$E$16+VLOOKUP($E51,武器奇术!$A:$R,8,FALSE))</f>
        <v>1056.97980648</v>
      </c>
      <c r="AO51" s="110">
        <f t="shared" si="7"/>
        <v>0.8813852</v>
      </c>
      <c r="AP51" s="112">
        <f>AH51*(1+AI51)*(1+AJ51)*AK51*(1+$E$17+VLOOKUP($E51,武器奇术!$A:$R,10,FALSE))</f>
        <v>870.0748407</v>
      </c>
      <c r="AQ51" s="110">
        <f t="shared" si="8"/>
        <v>0.0986</v>
      </c>
      <c r="AR51" s="112">
        <f t="shared" si="9"/>
        <v>644.499882</v>
      </c>
      <c r="AS51" s="110">
        <f t="shared" si="10"/>
        <v>0.00928814000000003</v>
      </c>
      <c r="AT51" s="113">
        <f t="shared" si="11"/>
        <v>1030.29527366161</v>
      </c>
      <c r="AU51" s="108">
        <f>$B$7*IF($G$5="撼天",1.05,1)+IF(AND(VLOOKUP($E51,武器奇术!$A:$R,15,FALSE)="武器",VLOOKUP($E51,武器奇术!$A:$R,17,FALSE)="鸣金"),$E$3,0)*(1+$E$15)</f>
        <v>0</v>
      </c>
      <c r="AV51" s="99">
        <f>(AU51+AW51)*IF(VLOOKUP($E51,武器奇术!$A:$Z,21,FALSE)=1,$G$15,0.5)</f>
        <v>0</v>
      </c>
      <c r="AW51" s="109">
        <f>MAX($C$7*IF($G$5="撼天",1.05,1)+IF(AND(VLOOKUP($E51,武器奇术!$A:$R,15,FALSE)="武器",VLOOKUP($E51,武器奇术!$A:$R,17,FALSE)="鸣金"),$E$3*(1+$E$15),0),AU51)</f>
        <v>0</v>
      </c>
      <c r="AX51" s="110">
        <f>IF(($D$7+IF(VLOOKUP($E51,武器奇术!$A:$R,17,FALSE)="鸣金",$D$15,0)+IF(VLOOKUP($E51,武器奇术!$A:$R,18,FALSE)=1,4,0)+IF(VLOOKUP($E51,武器奇术!$A:$S,19,FALSE)=1,20,0)-VLOOKUP($F$7,目标属性!$A:$R,6,FALSE))&gt;0,($D$7+IF(VLOOKUP($E51,武器奇术!$A:$R,17,FALSE)="鸣金",$D$15,0)+IF(VLOOKUP($E51,武器奇术!$A:$R,18,FALSE)=1,4,0)+IF(VLOOKUP($E51,武器奇术!$A:$S,19,FALSE)=1,20,0)-VLOOKUP($F$7,目标属性!$A:$R,6,FALSE))/200,($D$7+IF(VLOOKUP($E51,武器奇术!$A:$R,17,FALSE)="鸣金",$D$15,0)+IF(VLOOKUP($E51,武器奇术!$A:$R,18,FALSE)=1,4,0)+IF(VLOOKUP($E51,武器奇术!$A:$S,19,FALSE)=1,20,0)-VLOOKUP($F$7,目标属性!$A:$R,6,FALSE))/100)</f>
        <v>-0.24</v>
      </c>
      <c r="AY51" s="111">
        <f t="shared" si="12"/>
        <v>0</v>
      </c>
      <c r="AZ51" s="109">
        <v>1</v>
      </c>
      <c r="BA51" s="112">
        <f>AU51*IF(VLOOKUP($E51,武器奇术!$A:$R,17,FALSE)="鸣金",VLOOKUP($E51,武器奇术!$A:$R,4,FALSE),VLOOKUP($E51,武器奇术!$A:$R,2,FALSE))*(1+AX51)*(1+AY51)*AZ51</f>
        <v>0</v>
      </c>
      <c r="BB51" s="110">
        <f>(1-IF(VLOOKUP($E51,武器奇术!$A:$T,20,FALSE)=1,1,$N51))*(1-$M51)</f>
        <v>0.01072666</v>
      </c>
      <c r="BC51" s="112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10">
        <f t="shared" si="13"/>
        <v>0.8813852</v>
      </c>
      <c r="BE51" s="112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10">
        <f t="shared" si="14"/>
        <v>0.0986</v>
      </c>
      <c r="BG51" s="112">
        <f>AV51*IF(VLOOKUP($E51,武器奇术!$A:$R,17,FALSE)="鸣金",VLOOKUP($E51,武器奇术!$A:$R,4,FALSE),VLOOKUP($E51,武器奇术!$A:$R,2,FALSE))*(1+AX51)*(1+AY51)*AZ51</f>
        <v>0</v>
      </c>
      <c r="BH51" s="110">
        <f t="shared" si="15"/>
        <v>0.00928814000000003</v>
      </c>
      <c r="BI51" s="113">
        <f t="shared" si="16"/>
        <v>0</v>
      </c>
      <c r="BJ51" s="108">
        <f>$B$9*IF($G$5="撼天",1.05,1)+IF(AND(VLOOKUP($E51,武器奇术!$A:$R,15,FALSE)="武器",VLOOKUP($E51,武器奇术!$A:$R,17,FALSE)="裂石"),$E$3,0)*(1+$E$15)</f>
        <v>0</v>
      </c>
      <c r="BK51" s="99">
        <f>(BJ51+BL51)*IF(VLOOKUP($E51,武器奇术!$A:$Z,21,FALSE)=1,$G$15,0.5)</f>
        <v>0</v>
      </c>
      <c r="BL51" s="109">
        <f>MAX($C$9*IF($G$5="撼天",1.05,1)+IF(AND(VLOOKUP($E51,武器奇术!$A:$R,15,FALSE)="武器",VLOOKUP($E51,武器奇术!$A:$R,17,FALSE)="裂石"),$E$3*(1+$E$15),0),BJ51)</f>
        <v>0</v>
      </c>
      <c r="BM51" s="110">
        <f>IF(($D$9+IF(VLOOKUP($E51,武器奇术!$A:$R,17,FALSE)="裂石",$D$15,0)+IF(VLOOKUP($E51,武器奇术!$A:$R,18,FALSE)=1,4,0)+IF(VLOOKUP($E51,武器奇术!$A:$S,19,FALSE)=1,20,0)-VLOOKUP($F$7,目标属性!$A:$R,6,FALSE))&gt;0,($D$9+IF(VLOOKUP($E51,武器奇术!$A:$R,17,FALSE)="裂石",$D$15,0)+IF(VLOOKUP($E51,武器奇术!$A:$R,18,FALSE)=1,4,0)+IF(VLOOKUP($E51,武器奇术!$A:$S,19,FALSE)=1,20,0)-VLOOKUP($F$7,目标属性!$A:$R,6,FALSE))/200,($D$9+IF(VLOOKUP($E51,武器奇术!$A:$R,17,FALSE)="裂石",$D$15,0)+IF(VLOOKUP($E51,武器奇术!$A:$R,18,FALSE)=1,4,0)+IF(VLOOKUP($E51,武器奇术!$A:$S,19,FALSE)=1,20,0)-VLOOKUP($F$7,目标属性!$A:$R,6,FALSE))/100)</f>
        <v>-0.24</v>
      </c>
      <c r="BN51" s="111">
        <f t="shared" si="17"/>
        <v>0</v>
      </c>
      <c r="BO51" s="109">
        <v>1</v>
      </c>
      <c r="BP51" s="112">
        <f>BJ51*IF(VLOOKUP($E51,武器奇术!$A:$R,17,FALSE)="裂石",VLOOKUP($E51,武器奇术!$A:$R,4,FALSE),VLOOKUP($E51,武器奇术!$A:$R,2,FALSE))*(1+BM51)*(1+BN51)*BO51</f>
        <v>0</v>
      </c>
      <c r="BQ51" s="110">
        <f>(1-IF(VLOOKUP($E51,武器奇术!$A:$T,20,FALSE)=1,1,$N51))*(1-$M51)</f>
        <v>0.01072666</v>
      </c>
      <c r="BR51" s="112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10">
        <f t="shared" si="18"/>
        <v>0.8813852</v>
      </c>
      <c r="BT51" s="112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10">
        <f t="shared" si="19"/>
        <v>0.0986</v>
      </c>
      <c r="BV51" s="112">
        <f>BK51*IF(VLOOKUP($E51,武器奇术!$A:$R,17,FALSE)="裂石",VLOOKUP($E51,武器奇术!$A:$R,4,FALSE),VLOOKUP($E51,武器奇术!$A:$R,2,FALSE))*(1+BM51)*(1+BN51)*BO51</f>
        <v>0</v>
      </c>
      <c r="BW51" s="110">
        <f t="shared" si="20"/>
        <v>0.00928814000000003</v>
      </c>
      <c r="BX51" s="113">
        <f t="shared" si="21"/>
        <v>0</v>
      </c>
      <c r="BY51" s="108">
        <f>$B$11*IF($G$5="撼天",1.05,1)+IF(AND(VLOOKUP($E51,武器奇术!$A:$R,15,FALSE)="武器",VLOOKUP($E51,武器奇术!$A:$R,17,FALSE)="牵丝"),$E$3,0)*(1+$E$15)</f>
        <v>0</v>
      </c>
      <c r="BZ51" s="99">
        <f>(BY51+CA51)*IF(VLOOKUP($E51,武器奇术!$A:$Z,21,FALSE)=1,$G$15,0.5)</f>
        <v>0</v>
      </c>
      <c r="CA51" s="109">
        <f>MAX($C$11*IF($G$5="撼天",1.05,1)+IF(AND(VLOOKUP($E51,武器奇术!$A:$R,15,FALSE)="武器",VLOOKUP($E51,武器奇术!$A:$R,17,FALSE)="牵丝"),$E$3*(1+$E$15),0),BY51)</f>
        <v>0</v>
      </c>
      <c r="CB51" s="110">
        <f>IF(($D$11+IF(VLOOKUP($E51,武器奇术!$A:$R,17,FALSE)="牵丝",$D$15,0)+IF(VLOOKUP($E51,武器奇术!$A:$R,18,FALSE)=1,4,0)+IF(VLOOKUP($E51,武器奇术!$A:$S,19,FALSE)=1,20,0)-VLOOKUP($F$7,目标属性!$A:$R,6,FALSE))&gt;0,($D$11+IF(VLOOKUP($E51,武器奇术!$A:$R,17,FALSE)="牵丝",$D$15,0)+IF(VLOOKUP($E51,武器奇术!$A:$R,18,FALSE)=1,4,0)+IF(VLOOKUP($E51,武器奇术!$A:$S,19,FALSE)=1,20,0)-VLOOKUP($F$7,目标属性!$A:$R,6,FALSE))/200,($D$11+IF(VLOOKUP($E51,武器奇术!$A:$R,17,FALSE)="牵丝",$D$15,0)+IF(VLOOKUP($E51,武器奇术!$A:$R,18,FALSE)=1,4,0)+IF(VLOOKUP($E51,武器奇术!$A:$S,19,FALSE)=1,20,0)-VLOOKUP($F$7,目标属性!$A:$R,6,FALSE))/100)</f>
        <v>-0.24</v>
      </c>
      <c r="CC51" s="111">
        <f t="shared" si="22"/>
        <v>0</v>
      </c>
      <c r="CD51" s="109">
        <v>1</v>
      </c>
      <c r="CE51" s="112">
        <f>BY51*IF(VLOOKUP($E51,武器奇术!$A:$R,17,FALSE)="牵丝",VLOOKUP($E51,武器奇术!$A:$R,4,FALSE),VLOOKUP($E51,武器奇术!$A:$R,2,FALSE))*(1+CB51)*(1+CC51)*CD51</f>
        <v>0</v>
      </c>
      <c r="CF51" s="110">
        <f>(1-IF(VLOOKUP($E51,武器奇术!$A:$T,20,FALSE)=1,1,$N51))*(1-$M51)</f>
        <v>0.01072666</v>
      </c>
      <c r="CG51" s="112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110">
        <f t="shared" si="23"/>
        <v>0.8813852</v>
      </c>
      <c r="CI51" s="112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110">
        <f t="shared" si="24"/>
        <v>0.0986</v>
      </c>
      <c r="CK51" s="112">
        <f>BZ51*IF(VLOOKUP($E51,武器奇术!$A:$R,17,FALSE)="牵丝",VLOOKUP($E51,武器奇术!$A:$R,4,FALSE),VLOOKUP($E51,武器奇术!$A:$R,2,FALSE))*(1+CB51)*(1+CC51)*CD51</f>
        <v>0</v>
      </c>
      <c r="CL51" s="110">
        <f t="shared" si="25"/>
        <v>0.00928814000000003</v>
      </c>
      <c r="CM51" s="113">
        <f t="shared" si="26"/>
        <v>0</v>
      </c>
      <c r="CN51" s="108">
        <f>$B$13*IF($G$5="撼天",1.05,1)+IF(AND(VLOOKUP($E51,武器奇术!$A:$R,15,FALSE)="武器",VLOOKUP($E51,武器奇术!$A:$R,17,FALSE)="破竹"),$E$3,0)*(1+$E$15)</f>
        <v>648.46</v>
      </c>
      <c r="CO51" s="99">
        <f>(CN51+CP51)*IF(VLOOKUP($E51,武器奇术!$A:$Z,21,FALSE)=1,$G$15,0.5)</f>
        <v>875.26</v>
      </c>
      <c r="CP51" s="109">
        <f>MAX($C$13*IF($G$5="撼天",1.05,1)+IF(AND(VLOOKUP($E51,武器奇术!$A:$R,15,FALSE)="武器",VLOOKUP($E51,武器奇术!$A:$R,17,FALSE)="破竹"),$E$3*(1+$E$15),0),CN51)</f>
        <v>1102.06</v>
      </c>
      <c r="CQ51" s="110">
        <f>IF(($D$13+IF(VLOOKUP($E51,武器奇术!$A:$R,17,FALSE)="破竹",$D$15,0)+IF(VLOOKUP($E51,武器奇术!$A:$R,18,FALSE)=1,4,0)+IF(VLOOKUP($E51,武器奇术!$A:$S,19,FALSE)=1,20,0)-VLOOKUP($F$7,目标属性!$A:$R,6,FALSE))&gt;0,($D$13+IF(VLOOKUP($E51,武器奇术!$A:$R,17,FALSE)="破竹",$D$15,0)+IF(VLOOKUP($E51,武器奇术!$A:$R,18,FALSE)=1,4,0)+IF(VLOOKUP($E51,武器奇术!$A:$S,19,FALSE)=1,20,0)-VLOOKUP($F$7,目标属性!$A:$R,6,FALSE))/200,($D$13+IF(VLOOKUP($E51,武器奇术!$A:$R,17,FALSE)="破竹",$D$15,0)+IF(VLOOKUP($E51,武器奇术!$A:$R,18,FALSE)=1,4,0)+IF(VLOOKUP($E51,武器奇术!$A:$S,19,FALSE)=1,20,0)-VLOOKUP($F$7,目标属性!$A:$R,6,FALSE))/100)</f>
        <v>0.025</v>
      </c>
      <c r="CR51" s="111">
        <f>$E$13+IF(VLOOKUP($E51,武器奇术!$A:$U,21,FALSE)=1,0,0.09)</f>
        <v>0.235</v>
      </c>
      <c r="CS51" s="109">
        <v>1</v>
      </c>
      <c r="CT51" s="112">
        <f>CN51*IF(VLOOKUP($E51,武器奇术!$A:$R,17,FALSE)="破竹",VLOOKUP($E51,武器奇术!$A:$R,4,FALSE),VLOOKUP($E51,武器奇术!$A:$R,2,FALSE))*(1+CQ51)*(1+CR51)*CS51</f>
        <v>1585.34488391825</v>
      </c>
      <c r="CU51" s="110">
        <f>(1-IF(VLOOKUP($E51,武器奇术!$A:$T,20,FALSE)=1,1,$N51))*(1-$M51)</f>
        <v>0.01072666</v>
      </c>
      <c r="CV51" s="112">
        <f>CO51*IF(VLOOKUP($E51,武器奇术!$A:$R,17,FALSE)="破竹",VLOOKUP($E51,武器奇术!$A:$R,4,FALSE),VLOOKUP($E51,武器奇术!$A:$R,2,FALSE))*(1+CQ51)*(1+CR51)*CS51*(1+$E$16+VLOOKUP($E51,武器奇术!$A:$R,8,FALSE))</f>
        <v>3509.30805212533</v>
      </c>
      <c r="CW51" s="110">
        <f t="shared" si="27"/>
        <v>0.8813852</v>
      </c>
      <c r="CX51" s="112">
        <f>CP51*IF(VLOOKUP($E51,武器奇术!$A:$R,17,FALSE)="破竹",VLOOKUP($E51,武器奇术!$A:$R,4,FALSE),VLOOKUP($E51,武器奇术!$A:$R,2,FALSE))*(1+CQ51)*(1+CR51)*CS51*(1+$E$17+VLOOKUP($E51,武器奇术!$A:$R,10,FALSE))</f>
        <v>3637.30376081914</v>
      </c>
      <c r="CY51" s="110">
        <f t="shared" si="28"/>
        <v>0.0986</v>
      </c>
      <c r="CZ51" s="112">
        <f>CO51*IF(VLOOKUP($E51,武器奇术!$A:$R,17,FALSE)="破竹",VLOOKUP($E51,武器奇术!$A:$R,4,FALSE),VLOOKUP($E51,武器奇术!$A:$R,2,FALSE))*(1+CQ51)*(1+CR51)*CS51</f>
        <v>2139.82198300325</v>
      </c>
      <c r="DA51" s="110">
        <f t="shared" si="29"/>
        <v>0.00928814000000003</v>
      </c>
      <c r="DB51" s="113">
        <f t="shared" si="30"/>
        <v>3488.5707519066</v>
      </c>
      <c r="DC51" s="108">
        <f t="shared" si="31"/>
        <v>69.3</v>
      </c>
      <c r="DD51" s="99">
        <f>(DC51+DE51)*IF(VLOOKUP($E51,武器奇术!$A:$Z,21,FALSE)=1,$G$15,0.5)</f>
        <v>69.3</v>
      </c>
      <c r="DE51" s="109">
        <f t="shared" si="32"/>
        <v>69.3</v>
      </c>
      <c r="DF51" s="110">
        <f>IF(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R,18,FALSE)=1,4,0)+IF(VLOOKUP($E51,武器奇术!$A:$S,19,FALSE)=1,20,0)-VLOOKUP($F$7,目标属性!$A:$R,6,FALSE))/100)</f>
        <v>0.025</v>
      </c>
      <c r="DG51" s="111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U,21,FALSE)=1,0,0.09)</f>
        <v>0.235</v>
      </c>
      <c r="DH51" s="109">
        <v>1</v>
      </c>
      <c r="DI51" s="112">
        <f>DC51*IF(VLOOKUP($E51,武器奇术!$A:$R,17,FALSE)="破竹",VLOOKUP($E51,武器奇术!$A:$R,4,FALSE),VLOOKUP($E51,武器奇术!$A:$R,2,FALSE))*(1+DF51)*(1+DG51)*DH51</f>
        <v>169.42355805375</v>
      </c>
      <c r="DJ51" s="110">
        <f>(1-IF(VLOOKUP($E51,武器奇术!$A:$T,20,FALSE)=1,1,$N51))*(1-$M51)</f>
        <v>0.01072666</v>
      </c>
      <c r="DK51" s="112">
        <f>DD51*IF(VLOOKUP($E51,武器奇术!$A:$R,17,FALSE)="破竹",VLOOKUP($E51,武器奇术!$A:$R,4,FALSE),VLOOKUP($E51,武器奇术!$A:$R,2,FALSE))*(1+DF51)*(1+DG51)*DH51*(1+$E$16+VLOOKUP($E51,武器奇术!$A:$R,8,FALSE))</f>
        <v>277.85463520815</v>
      </c>
      <c r="DL51" s="110">
        <f t="shared" si="33"/>
        <v>0.8813852</v>
      </c>
      <c r="DM51" s="112">
        <f>DE51*IF(VLOOKUP($E51,武器奇术!$A:$R,17,FALSE)="破竹",VLOOKUP($E51,武器奇术!$A:$R,4,FALSE),VLOOKUP($E51,武器奇术!$A:$R,2,FALSE))*(1+DF51)*(1+DG51)*DH51*(1+$E$17+VLOOKUP($E51,武器奇术!$A:$R,10,FALSE))</f>
        <v>228.721803372562</v>
      </c>
      <c r="DN51" s="110">
        <f t="shared" si="34"/>
        <v>0.0986</v>
      </c>
      <c r="DO51" s="112">
        <f>DD51*IF(VLOOKUP($E51,武器奇术!$A:$R,17,FALSE)="破竹",VLOOKUP($E51,武器奇术!$A:$R,4,FALSE),VLOOKUP($E51,武器奇术!$A:$R,2,FALSE))*(1+DF51)*(1+DG51)*DH51</f>
        <v>169.42355805375</v>
      </c>
      <c r="DP51" s="110">
        <f t="shared" si="35"/>
        <v>0.00928814000000003</v>
      </c>
      <c r="DQ51" s="113">
        <f t="shared" si="36"/>
        <v>270.839911666131</v>
      </c>
    </row>
    <row r="52" customFormat="1" spans="1:121">
      <c r="B52" s="122"/>
      <c r="C52" s="143"/>
      <c r="D52" s="144"/>
      <c r="E52" s="98" t="str">
        <f>期望!E52</f>
        <v>鹰隼追击(拳甲)</v>
      </c>
      <c r="F52" s="99">
        <f>期望!F52</f>
        <v>1</v>
      </c>
      <c r="G52" s="115"/>
      <c r="H52" s="100">
        <f>IF(VLOOKUP($E52,武器奇术!$A:$R,18,FALSE)="天工",AE52,(AE52+AT52+BI52+BX52+CM52+DB52+DQ52))*(1+J52)*F52*K52*(1+G52)</f>
        <v>47394.2707537419</v>
      </c>
      <c r="I52" s="101">
        <f t="shared" si="0"/>
        <v>0.00585143476647496</v>
      </c>
      <c r="J52" s="101">
        <f>$F$3+VLOOKUP($E52,武器奇术!$A:$R,12,FALSE)+VLOOKUP($E52,武器奇术!$A:$R,14,FALSE)*$G$3+$P52</f>
        <v>0.773</v>
      </c>
      <c r="K52" s="102">
        <f>VLOOKUP($E52,武器奇术!$A:$R,11,FALSE)</f>
        <v>1</v>
      </c>
      <c r="L52" s="117">
        <f>IF(VLOOKUP($E52,武器奇术!$A:$R,15,FALSE)="天工",0%,IF($C$17+VLOOKUP($E52,武器奇术!$A:$R,7,FALSE)&gt;80%,80%,$C$17+VLOOKUP($E52,武器奇术!$A:$R,7,FALSE))+IF($C$19&gt;20%,20%,$C$19))</f>
        <v>0.892</v>
      </c>
      <c r="M52" s="118">
        <f>IF(VLOOKUP($E52,武器奇术!$A:$R,15,FALSE)="天工",0%,IF($C$18+VLOOKUP($E52,武器奇术!$A:$R,9,FALSE)&gt;40%,40%,$C$18+VLOOKUP($E52,武器奇术!$A:$R,9,FALSE))+IF($C$20&gt;10%,10%,$C$20))</f>
        <v>0.0986</v>
      </c>
      <c r="N52" s="119">
        <f>IF(VLOOKUP($E52,武器奇术!$A:$R,15,FALSE)="天工",100%,MIN($C$16,1))</f>
        <v>0.9881</v>
      </c>
      <c r="O52" s="120" t="str">
        <f>VLOOKUP($E52,武器奇术!$A:$R,16,FALSE)</f>
        <v>拳甲</v>
      </c>
      <c r="P52" s="121">
        <f t="shared" si="37"/>
        <v>0.17</v>
      </c>
      <c r="Q52" s="108">
        <f>$B$5*(1+VLOOKUP($E52,武器奇术!$A:$R,5,FALSE)+IF($G$5="飞隼",0.1,0)+IF($G$5="撼天",0.05,0))-$F$9+IF($I$5="√",160,0)</f>
        <v>1731.135</v>
      </c>
      <c r="R52" s="99">
        <f>IF(VLOOKUP($E52,武器奇术!$A:$Z,20,FALSE)=1,(S52-(Q52+S52)*0.5)*($G$15-0.5)*2+(Q52+S52)*0.5,(Q52+S52)*0.5)</f>
        <v>3256.775</v>
      </c>
      <c r="S52" s="109">
        <f>MAX($C$5,$B$5)*(1+VLOOKUP($E52,武器奇术!$A:$R,5,FALSE)+IF($G$5="飞隼",0.1,0)+IF($G$5="撼天",0.05,0))-$F$9+IF($I$5="√",320,0)</f>
        <v>4782.415</v>
      </c>
      <c r="T52" s="101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U52" s="111">
        <f>$E$5+IF(VLOOKUP($E52,武器奇术!$A:$U,21,FALSE)=1,0,0.09)</f>
        <v>0.115</v>
      </c>
      <c r="V52" s="109">
        <v>1</v>
      </c>
      <c r="W52" s="112">
        <f>Q52*VLOOKUP($E52,武器奇术!$A:$R,2,FALSE)*(1+T52)*(1+U52)*V52</f>
        <v>5595.154346628</v>
      </c>
      <c r="X52" s="110">
        <f>(1-IF(VLOOKUP($E52,武器奇术!$A:$T,20,FALSE)=1,1,$N52))*(1-$M52)</f>
        <v>0.01072666</v>
      </c>
      <c r="Y52" s="112">
        <f>R52*VLOOKUP($E52,武器奇术!$A:$R,2,FALSE)*(1+T52)*(1+U52)*V52*(1+$E$16+VLOOKUP($E52,武器奇术!$A:$R,8,FALSE))</f>
        <v>20420.6997528468</v>
      </c>
      <c r="Z52" s="110">
        <f t="shared" si="1"/>
        <v>0.8813852</v>
      </c>
      <c r="AA52" s="112">
        <f>S52*VLOOKUP($E52,武器奇术!$A:$R,2,FALSE)*(1+T52)*(1+U52)*V52*(1+$E$17+VLOOKUP($E52,武器奇术!$A:$R,10,FALSE))</f>
        <v>20867.1031437462</v>
      </c>
      <c r="AB52" s="110">
        <f t="shared" si="2"/>
        <v>0.0986</v>
      </c>
      <c r="AC52" s="112">
        <f>R52*VLOOKUP($E52,武器奇术!$A:$R,2,FALSE)*(1+T52)*(1+U52)*V52</f>
        <v>10526.13389322</v>
      </c>
      <c r="AD52" s="110">
        <f t="shared" si="3"/>
        <v>0.00928814000000003</v>
      </c>
      <c r="AE52" s="113">
        <f t="shared" si="4"/>
        <v>20213.784429359</v>
      </c>
      <c r="AF52" s="114">
        <f>VLOOKUP($E52,武器奇术!$A:$R,3,FALSE)*(1+IF(VLOOKUP($E52,武器奇术!$A:$R,15,FALSE)="武器",$E$15,0))</f>
        <v>0</v>
      </c>
      <c r="AG52" s="112">
        <f t="shared" si="5"/>
        <v>0</v>
      </c>
      <c r="AH52" s="112">
        <f>VLOOKUP($E52,武器奇术!$A:$R,3,FALSE)*(1+IF(VLOOKUP($E52,武器奇术!$A:$R,15,FALSE)="武器",$E$15,0))</f>
        <v>0</v>
      </c>
      <c r="AI52" s="101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0.342</v>
      </c>
      <c r="AJ52" s="111">
        <f>$E$5+IF(VLOOKUP($E52,武器奇术!$A:$U,21,FALSE)=1,0,0.09)</f>
        <v>0.115</v>
      </c>
      <c r="AK52" s="109">
        <v>1</v>
      </c>
      <c r="AL52" s="112">
        <f t="shared" si="6"/>
        <v>0</v>
      </c>
      <c r="AM52" s="110">
        <f>(1-IF(VLOOKUP($E52,武器奇术!$A:$T,20,FALSE)=1,1,$N52))*(1-$M52)</f>
        <v>0.01072666</v>
      </c>
      <c r="AN52" s="112">
        <f>AG52*(1+AI52)*(1+AJ52)*AK52*(1+$E$16+VLOOKUP($E52,武器奇术!$A:$R,8,FALSE))</f>
        <v>0</v>
      </c>
      <c r="AO52" s="110">
        <f t="shared" si="7"/>
        <v>0.8813852</v>
      </c>
      <c r="AP52" s="112">
        <f>AH52*(1+AI52)*(1+AJ52)*AK52*(1+$E$17+VLOOKUP($E52,武器奇术!$A:$R,10,FALSE))</f>
        <v>0</v>
      </c>
      <c r="AQ52" s="110">
        <f t="shared" si="8"/>
        <v>0.0986</v>
      </c>
      <c r="AR52" s="112">
        <f t="shared" si="9"/>
        <v>0</v>
      </c>
      <c r="AS52" s="110">
        <f t="shared" si="10"/>
        <v>0.00928814000000003</v>
      </c>
      <c r="AT52" s="113">
        <f t="shared" si="11"/>
        <v>0</v>
      </c>
      <c r="AU52" s="108">
        <f>$B$7*IF($G$5="撼天",1.05,1)+IF(AND(VLOOKUP($E52,武器奇术!$A:$R,15,FALSE)="武器",VLOOKUP($E52,武器奇术!$A:$R,17,FALSE)="鸣金"),$E$3,0)*(1+$E$15)</f>
        <v>0</v>
      </c>
      <c r="AV52" s="99">
        <f>(AU52+AW52)*IF(VLOOKUP($E52,武器奇术!$A:$Z,21,FALSE)=1,$G$15,0.5)</f>
        <v>0</v>
      </c>
      <c r="AW52" s="109">
        <f>MAX($C$7*IF($G$5="撼天",1.05,1)+IF(AND(VLOOKUP($E52,武器奇术!$A:$R,15,FALSE)="武器",VLOOKUP($E52,武器奇术!$A:$R,17,FALSE)="鸣金"),$E$3*(1+$E$15),0),AU52)</f>
        <v>0</v>
      </c>
      <c r="AX52" s="110">
        <f>IF(($D$7+IF(VLOOKUP($E52,武器奇术!$A:$R,17,FALSE)="鸣金",$D$15,0)+IF(VLOOKUP($E52,武器奇术!$A:$R,18,FALSE)=1,4,0)+IF(VLOOKUP($E52,武器奇术!$A:$S,19,FALSE)=1,20,0)-VLOOKUP($F$7,目标属性!$A:$R,6,FALSE))&gt;0,($D$7+IF(VLOOKUP($E52,武器奇术!$A:$R,17,FALSE)="鸣金",$D$15,0)+IF(VLOOKUP($E52,武器奇术!$A:$R,18,FALSE)=1,4,0)+IF(VLOOKUP($E52,武器奇术!$A:$S,19,FALSE)=1,20,0)-VLOOKUP($F$7,目标属性!$A:$R,6,FALSE))/200,($D$7+IF(VLOOKUP($E52,武器奇术!$A:$R,17,FALSE)="鸣金",$D$15,0)+IF(VLOOKUP($E52,武器奇术!$A:$R,18,FALSE)=1,4,0)+IF(VLOOKUP($E52,武器奇术!$A:$S,19,FALSE)=1,20,0)-VLOOKUP($F$7,目标属性!$A:$R,6,FALSE))/100)</f>
        <v>0</v>
      </c>
      <c r="AY52" s="111">
        <f t="shared" si="12"/>
        <v>0</v>
      </c>
      <c r="AZ52" s="109">
        <v>1</v>
      </c>
      <c r="BA52" s="112">
        <f>AU52*IF(VLOOKUP($E52,武器奇术!$A:$R,17,FALSE)="鸣金",VLOOKUP($E52,武器奇术!$A:$R,4,FALSE),VLOOKUP($E52,武器奇术!$A:$R,2,FALSE))*(1+AX52)*(1+AY52)*AZ52</f>
        <v>0</v>
      </c>
      <c r="BB52" s="110">
        <f>(1-IF(VLOOKUP($E52,武器奇术!$A:$T,20,FALSE)=1,1,$N52))*(1-$M52)</f>
        <v>0.01072666</v>
      </c>
      <c r="BC52" s="112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10">
        <f t="shared" si="13"/>
        <v>0.8813852</v>
      </c>
      <c r="BE52" s="112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10">
        <f t="shared" si="14"/>
        <v>0.0986</v>
      </c>
      <c r="BG52" s="112">
        <f>AV52*IF(VLOOKUP($E52,武器奇术!$A:$R,17,FALSE)="鸣金",VLOOKUP($E52,武器奇术!$A:$R,4,FALSE),VLOOKUP($E52,武器奇术!$A:$R,2,FALSE))*(1+AX52)*(1+AY52)*AZ52</f>
        <v>0</v>
      </c>
      <c r="BH52" s="110">
        <f t="shared" si="15"/>
        <v>0.00928814000000003</v>
      </c>
      <c r="BI52" s="113">
        <f t="shared" si="16"/>
        <v>0</v>
      </c>
      <c r="BJ52" s="108">
        <f>$B$9*IF($G$5="撼天",1.05,1)+IF(AND(VLOOKUP($E52,武器奇术!$A:$R,15,FALSE)="武器",VLOOKUP($E52,武器奇术!$A:$R,17,FALSE)="裂石"),$E$3,0)*(1+$E$15)</f>
        <v>0</v>
      </c>
      <c r="BK52" s="99">
        <f>(BJ52+BL52)*IF(VLOOKUP($E52,武器奇术!$A:$Z,21,FALSE)=1,$G$15,0.5)</f>
        <v>0</v>
      </c>
      <c r="BL52" s="109">
        <f>MAX($C$9*IF($G$5="撼天",1.05,1)+IF(AND(VLOOKUP($E52,武器奇术!$A:$R,15,FALSE)="武器",VLOOKUP($E52,武器奇术!$A:$R,17,FALSE)="裂石"),$E$3*(1+$E$15),0),BJ52)</f>
        <v>0</v>
      </c>
      <c r="BM52" s="110">
        <f>IF(($D$9+IF(VLOOKUP($E52,武器奇术!$A:$R,17,FALSE)="裂石",$D$15,0)+IF(VLOOKUP($E52,武器奇术!$A:$R,18,FALSE)=1,4,0)+IF(VLOOKUP($E52,武器奇术!$A:$S,19,FALSE)=1,20,0)-VLOOKUP($F$7,目标属性!$A:$R,6,FALSE))&gt;0,($D$9+IF(VLOOKUP($E52,武器奇术!$A:$R,17,FALSE)="裂石",$D$15,0)+IF(VLOOKUP($E52,武器奇术!$A:$R,18,FALSE)=1,4,0)+IF(VLOOKUP($E52,武器奇术!$A:$S,19,FALSE)=1,20,0)-VLOOKUP($F$7,目标属性!$A:$R,6,FALSE))/200,($D$9+IF(VLOOKUP($E52,武器奇术!$A:$R,17,FALSE)="裂石",$D$15,0)+IF(VLOOKUP($E52,武器奇术!$A:$R,18,FALSE)=1,4,0)+IF(VLOOKUP($E52,武器奇术!$A:$S,19,FALSE)=1,20,0)-VLOOKUP($F$7,目标属性!$A:$R,6,FALSE))/100)</f>
        <v>0</v>
      </c>
      <c r="BN52" s="111">
        <f t="shared" si="17"/>
        <v>0</v>
      </c>
      <c r="BO52" s="109">
        <v>1</v>
      </c>
      <c r="BP52" s="112">
        <f>BJ52*IF(VLOOKUP($E52,武器奇术!$A:$R,17,FALSE)="裂石",VLOOKUP($E52,武器奇术!$A:$R,4,FALSE),VLOOKUP($E52,武器奇术!$A:$R,2,FALSE))*(1+BM52)*(1+BN52)*BO52</f>
        <v>0</v>
      </c>
      <c r="BQ52" s="110">
        <f>(1-IF(VLOOKUP($E52,武器奇术!$A:$T,20,FALSE)=1,1,$N52))*(1-$M52)</f>
        <v>0.01072666</v>
      </c>
      <c r="BR52" s="112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10">
        <f t="shared" si="18"/>
        <v>0.8813852</v>
      </c>
      <c r="BT52" s="112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10">
        <f t="shared" si="19"/>
        <v>0.0986</v>
      </c>
      <c r="BV52" s="112">
        <f>BK52*IF(VLOOKUP($E52,武器奇术!$A:$R,17,FALSE)="裂石",VLOOKUP($E52,武器奇术!$A:$R,4,FALSE),VLOOKUP($E52,武器奇术!$A:$R,2,FALSE))*(1+BM52)*(1+BN52)*BO52</f>
        <v>0</v>
      </c>
      <c r="BW52" s="110">
        <f t="shared" si="20"/>
        <v>0.00928814000000003</v>
      </c>
      <c r="BX52" s="113">
        <f t="shared" si="21"/>
        <v>0</v>
      </c>
      <c r="BY52" s="108">
        <f>$B$11*IF($G$5="撼天",1.05,1)+IF(AND(VLOOKUP($E52,武器奇术!$A:$R,15,FALSE)="武器",VLOOKUP($E52,武器奇术!$A:$R,17,FALSE)="牵丝"),$E$3,0)*(1+$E$15)</f>
        <v>0</v>
      </c>
      <c r="BZ52" s="99">
        <f>(BY52+CA52)*IF(VLOOKUP($E52,武器奇术!$A:$Z,21,FALSE)=1,$G$15,0.5)</f>
        <v>0</v>
      </c>
      <c r="CA52" s="109">
        <f>MAX($C$11*IF($G$5="撼天",1.05,1)+IF(AND(VLOOKUP($E52,武器奇术!$A:$R,15,FALSE)="武器",VLOOKUP($E52,武器奇术!$A:$R,17,FALSE)="牵丝"),$E$3*(1+$E$15),0),BY52)</f>
        <v>0</v>
      </c>
      <c r="CB52" s="110">
        <f>IF(($D$11+IF(VLOOKUP($E52,武器奇术!$A:$R,17,FALSE)="牵丝",$D$15,0)+IF(VLOOKUP($E52,武器奇术!$A:$R,18,FALSE)=1,4,0)+IF(VLOOKUP($E52,武器奇术!$A:$S,19,FALSE)=1,20,0)-VLOOKUP($F$7,目标属性!$A:$R,6,FALSE))&gt;0,($D$11+IF(VLOOKUP($E52,武器奇术!$A:$R,17,FALSE)="牵丝",$D$15,0)+IF(VLOOKUP($E52,武器奇术!$A:$R,18,FALSE)=1,4,0)+IF(VLOOKUP($E52,武器奇术!$A:$S,19,FALSE)=1,20,0)-VLOOKUP($F$7,目标属性!$A:$R,6,FALSE))/200,($D$11+IF(VLOOKUP($E52,武器奇术!$A:$R,17,FALSE)="牵丝",$D$15,0)+IF(VLOOKUP($E52,武器奇术!$A:$R,18,FALSE)=1,4,0)+IF(VLOOKUP($E52,武器奇术!$A:$S,19,FALSE)=1,20,0)-VLOOKUP($F$7,目标属性!$A:$R,6,FALSE))/100)</f>
        <v>0</v>
      </c>
      <c r="CC52" s="111">
        <f t="shared" si="22"/>
        <v>0</v>
      </c>
      <c r="CD52" s="109">
        <v>1</v>
      </c>
      <c r="CE52" s="112">
        <f>BY52*IF(VLOOKUP($E52,武器奇术!$A:$R,17,FALSE)="牵丝",VLOOKUP($E52,武器奇术!$A:$R,4,FALSE),VLOOKUP($E52,武器奇术!$A:$R,2,FALSE))*(1+CB52)*(1+CC52)*CD52</f>
        <v>0</v>
      </c>
      <c r="CF52" s="110">
        <f>(1-IF(VLOOKUP($E52,武器奇术!$A:$T,20,FALSE)=1,1,$N52))*(1-$M52)</f>
        <v>0.01072666</v>
      </c>
      <c r="CG52" s="112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110">
        <f t="shared" si="23"/>
        <v>0.8813852</v>
      </c>
      <c r="CI52" s="112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110">
        <f t="shared" si="24"/>
        <v>0.0986</v>
      </c>
      <c r="CK52" s="112">
        <f>BZ52*IF(VLOOKUP($E52,武器奇术!$A:$R,17,FALSE)="牵丝",VLOOKUP($E52,武器奇术!$A:$R,4,FALSE),VLOOKUP($E52,武器奇术!$A:$R,2,FALSE))*(1+CB52)*(1+CC52)*CD52</f>
        <v>0</v>
      </c>
      <c r="CL52" s="110">
        <f t="shared" si="25"/>
        <v>0.00928814000000003</v>
      </c>
      <c r="CM52" s="113">
        <f t="shared" si="26"/>
        <v>0</v>
      </c>
      <c r="CN52" s="108">
        <f>$B$13*IF($G$5="撼天",1.05,1)+IF(AND(VLOOKUP($E52,武器奇术!$A:$R,15,FALSE)="武器",VLOOKUP($E52,武器奇术!$A:$R,17,FALSE)="破竹"),$E$3,0)*(1+$E$15)</f>
        <v>452.55</v>
      </c>
      <c r="CO52" s="99">
        <f>(CN52+CP52)*IF(VLOOKUP($E52,武器奇术!$A:$Z,21,FALSE)=1,$G$15,0.5)</f>
        <v>679.35</v>
      </c>
      <c r="CP52" s="109">
        <f>MAX($C$13*IF($G$5="撼天",1.05,1)+IF(AND(VLOOKUP($E52,武器奇术!$A:$R,15,FALSE)="武器",VLOOKUP($E52,武器奇术!$A:$R,17,FALSE)="破竹"),$E$3*(1+$E$15),0),CN52)</f>
        <v>906.15</v>
      </c>
      <c r="CQ52" s="110">
        <f>IF(($D$13+IF(VLOOKUP($E52,武器奇术!$A:$R,17,FALSE)="破竹",$D$15,0)+IF(VLOOKUP($E52,武器奇术!$A:$R,18,FALSE)=1,4,0)+IF(VLOOKUP($E52,武器奇术!$A:$S,19,FALSE)=1,20,0)-VLOOKUP($F$7,目标属性!$A:$R,6,FALSE))&gt;0,($D$13+IF(VLOOKUP($E52,武器奇术!$A:$R,17,FALSE)="破竹",$D$15,0)+IF(VLOOKUP($E52,武器奇术!$A:$R,18,FALSE)=1,4,0)+IF(VLOOKUP($E52,武器奇术!$A:$S,19,FALSE)=1,20,0)-VLOOKUP($F$7,目标属性!$A:$R,6,FALSE))/200,($D$13+IF(VLOOKUP($E52,武器奇术!$A:$R,17,FALSE)="破竹",$D$15,0)+IF(VLOOKUP($E52,武器奇术!$A:$R,18,FALSE)=1,4,0)+IF(VLOOKUP($E52,武器奇术!$A:$S,19,FALSE)=1,20,0)-VLOOKUP($F$7,目标属性!$A:$R,6,FALSE))/100)</f>
        <v>0.145</v>
      </c>
      <c r="CR52" s="111">
        <f>$E$13+IF(VLOOKUP($E52,武器奇术!$A:$U,21,FALSE)=1,0,0.09)</f>
        <v>0.235</v>
      </c>
      <c r="CS52" s="109">
        <v>1</v>
      </c>
      <c r="CT52" s="112">
        <f>CN52*IF(VLOOKUP($E52,武器奇术!$A:$R,17,FALSE)="破竹",VLOOKUP($E52,武器奇术!$A:$R,4,FALSE),VLOOKUP($E52,武器奇术!$A:$R,2,FALSE))*(1+CQ52)*(1+CR52)*CS52</f>
        <v>2073.40443765</v>
      </c>
      <c r="CU52" s="110">
        <f>(1-IF(VLOOKUP($E52,武器奇术!$A:$T,20,FALSE)=1,1,$N52))*(1-$M52)</f>
        <v>0.01072666</v>
      </c>
      <c r="CV52" s="112">
        <f>CO52*IF(VLOOKUP($E52,武器奇术!$A:$R,17,FALSE)="破竹",VLOOKUP($E52,武器奇术!$A:$R,4,FALSE),VLOOKUP($E52,武器奇术!$A:$R,2,FALSE))*(1+CQ52)*(1+CR52)*CS52*(1+$E$16+VLOOKUP($E52,武器奇术!$A:$R,8,FALSE))</f>
        <v>6038.273276217</v>
      </c>
      <c r="CW52" s="110">
        <f t="shared" si="27"/>
        <v>0.8813852</v>
      </c>
      <c r="CX52" s="112">
        <f>CP52*IF(VLOOKUP($E52,武器奇术!$A:$R,17,FALSE)="破竹",VLOOKUP($E52,武器奇术!$A:$R,4,FALSE),VLOOKUP($E52,武器奇术!$A:$R,2,FALSE))*(1+CQ52)*(1+CR52)*CS52*(1+$E$17+VLOOKUP($E52,武器奇术!$A:$R,10,FALSE))</f>
        <v>5604.6864039075</v>
      </c>
      <c r="CY52" s="110">
        <f t="shared" si="28"/>
        <v>0.0986</v>
      </c>
      <c r="CZ52" s="112">
        <f>CO52*IF(VLOOKUP($E52,武器奇术!$A:$R,17,FALSE)="破竹",VLOOKUP($E52,武器奇术!$A:$R,4,FALSE),VLOOKUP($E52,武器奇术!$A:$R,2,FALSE))*(1+CQ52)*(1+CR52)*CS52</f>
        <v>3112.51199805</v>
      </c>
      <c r="DA52" s="110">
        <f t="shared" si="29"/>
        <v>0.00928814000000003</v>
      </c>
      <c r="DB52" s="113">
        <f t="shared" si="30"/>
        <v>5925.81693027318</v>
      </c>
      <c r="DC52" s="108">
        <f t="shared" si="31"/>
        <v>69.3</v>
      </c>
      <c r="DD52" s="99">
        <f>(DC52+DE52)*IF(VLOOKUP($E52,武器奇术!$A:$Z,21,FALSE)=1,$G$15,0.5)</f>
        <v>69.3</v>
      </c>
      <c r="DE52" s="109">
        <f t="shared" si="32"/>
        <v>69.3</v>
      </c>
      <c r="DF52" s="110">
        <f>IF(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R,18,FALSE)=1,4,0)+IF(VLOOKUP($E52,武器奇术!$A:$S,19,FALSE)=1,20,0)-VLOOKUP($F$7,目标属性!$A:$R,6,FALSE))/100)</f>
        <v>0.145</v>
      </c>
      <c r="DG52" s="111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U,21,FALSE)=1,0,0.09)</f>
        <v>0.235</v>
      </c>
      <c r="DH52" s="109">
        <v>1</v>
      </c>
      <c r="DI52" s="112">
        <f>DC52*IF(VLOOKUP($E52,武器奇术!$A:$R,17,FALSE)="破竹",VLOOKUP($E52,武器奇术!$A:$R,4,FALSE),VLOOKUP($E52,武器奇术!$A:$R,2,FALSE))*(1+DF52)*(1+DG52)*DH52</f>
        <v>317.5050879</v>
      </c>
      <c r="DJ52" s="110">
        <f>(1-IF(VLOOKUP($E52,武器奇术!$A:$T,20,FALSE)=1,1,$N52))*(1-$M52)</f>
        <v>0.01072666</v>
      </c>
      <c r="DK52" s="112">
        <f>DD52*IF(VLOOKUP($E52,武器奇术!$A:$R,17,FALSE)="破竹",VLOOKUP($E52,武器奇术!$A:$R,4,FALSE),VLOOKUP($E52,武器奇术!$A:$R,2,FALSE))*(1+DF52)*(1+DG52)*DH52*(1+$E$16+VLOOKUP($E52,武器奇术!$A:$R,8,FALSE))</f>
        <v>615.959870526</v>
      </c>
      <c r="DL52" s="110">
        <f t="shared" si="33"/>
        <v>0.8813852</v>
      </c>
      <c r="DM52" s="112">
        <f>DE52*IF(VLOOKUP($E52,武器奇术!$A:$R,17,FALSE)="破竹",VLOOKUP($E52,武器奇术!$A:$R,4,FALSE),VLOOKUP($E52,武器奇术!$A:$R,2,FALSE))*(1+DF52)*(1+DG52)*DH52*(1+$E$17+VLOOKUP($E52,武器奇术!$A:$R,10,FALSE))</f>
        <v>428.631868665</v>
      </c>
      <c r="DN52" s="110">
        <f t="shared" si="34"/>
        <v>0.0986</v>
      </c>
      <c r="DO52" s="112">
        <f>DD52*IF(VLOOKUP($E52,武器奇术!$A:$R,17,FALSE)="破竹",VLOOKUP($E52,武器奇术!$A:$R,4,FALSE),VLOOKUP($E52,武器奇术!$A:$R,2,FALSE))*(1+DF52)*(1+DG52)*DH52</f>
        <v>317.5050879</v>
      </c>
      <c r="DP52" s="110">
        <f t="shared" si="35"/>
        <v>0.00928814000000003</v>
      </c>
      <c r="DQ52" s="113">
        <f t="shared" si="36"/>
        <v>591.515816759203</v>
      </c>
    </row>
    <row r="53" customFormat="1" spans="1:121">
      <c r="B53" s="122"/>
      <c r="C53" s="143"/>
      <c r="D53" s="144"/>
      <c r="E53" s="98" t="str">
        <f>期望!E53</f>
        <v>拳甲R蓄4天志</v>
      </c>
      <c r="F53" s="99">
        <f>期望!F53</f>
        <v>1</v>
      </c>
      <c r="G53" s="115">
        <f>$E$23</f>
        <v>0.32</v>
      </c>
      <c r="H53" s="100">
        <f>IF(VLOOKUP($E53,武器奇术!$A:$R,18,FALSE)="天工",AE53,(AE53+AT53+BI53+BX53+CM53+DB53+DQ53))*(1+J53)*F53*K53*(1+G53)</f>
        <v>821111.910068026</v>
      </c>
      <c r="I53" s="101">
        <f t="shared" si="0"/>
        <v>0.101376869003926</v>
      </c>
      <c r="J53" s="101">
        <f>$F$3+VLOOKUP($E53,武器奇术!$A:$R,12,FALSE)+VLOOKUP($E53,武器奇术!$A:$R,14,FALSE)*$G$3+$P53</f>
        <v>0.773</v>
      </c>
      <c r="K53" s="102">
        <f>VLOOKUP($E53,武器奇术!$A:$R,11,FALSE)</f>
        <v>1</v>
      </c>
      <c r="L53" s="117">
        <f>IF(VLOOKUP($E53,武器奇术!$A:$R,15,FALSE)="天工",0%,IF($C$17+VLOOKUP($E53,武器奇术!$A:$R,7,FALSE)&gt;80%,80%,$C$17+VLOOKUP($E53,武器奇术!$A:$R,7,FALSE))+IF($C$19&gt;20%,20%,$C$19))</f>
        <v>0.892</v>
      </c>
      <c r="M53" s="118">
        <f>IF(VLOOKUP($E53,武器奇术!$A:$R,15,FALSE)="天工",0%,IF($C$18+VLOOKUP($E53,武器奇术!$A:$R,9,FALSE)&gt;40%,40%,$C$18+VLOOKUP($E53,武器奇术!$A:$R,9,FALSE))+IF($C$20&gt;10%,10%,$C$20))</f>
        <v>0.0986</v>
      </c>
      <c r="N53" s="119">
        <f>IF(VLOOKUP($E53,武器奇术!$A:$R,15,FALSE)="天工",100%,MIN($C$16,1))</f>
        <v>0.9881</v>
      </c>
      <c r="O53" s="120" t="str">
        <f>VLOOKUP($E53,武器奇术!$A:$R,16,FALSE)</f>
        <v>拳甲</v>
      </c>
      <c r="P53" s="121">
        <f t="shared" si="37"/>
        <v>0.17</v>
      </c>
      <c r="Q53" s="108">
        <f>$B$5*(1+VLOOKUP($E53,武器奇术!$A:$R,5,FALSE)+IF($G$5="飞隼",0.1,0)+IF($G$5="撼天",0.05,0))-$F$9+IF($I$5="√",160,0)</f>
        <v>1731.135</v>
      </c>
      <c r="R53" s="99">
        <f>IF(VLOOKUP($E53,武器奇术!$A:$Z,20,FALSE)=1,(S53-(Q53+S53)*0.5)*($G$15-0.5)*2+(Q53+S53)*0.5,(Q53+S53)*0.5)</f>
        <v>3256.775</v>
      </c>
      <c r="S53" s="109">
        <f>MAX($C$5,$B$5)*(1+VLOOKUP($E53,武器奇术!$A:$R,5,FALSE)+IF($G$5="飞隼",0.1,0)+IF($G$5="撼天",0.05,0))-$F$9+IF($I$5="√",320,0)</f>
        <v>4782.415</v>
      </c>
      <c r="T53" s="101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U53" s="111">
        <f>$E$5+IF(VLOOKUP($E53,武器奇术!$A:$U,21,FALSE)=1,0,0.09)</f>
        <v>0.115</v>
      </c>
      <c r="V53" s="109">
        <v>1</v>
      </c>
      <c r="W53" s="112">
        <f>Q53*VLOOKUP($E53,武器奇术!$A:$R,2,FALSE)*(1+T53)*(1+U53)*V53</f>
        <v>58678.4041054908</v>
      </c>
      <c r="X53" s="110">
        <f>(1-IF(VLOOKUP($E53,武器奇术!$A:$T,20,FALSE)=1,1,$N53))*(1-$M53)</f>
        <v>0</v>
      </c>
      <c r="Y53" s="112">
        <f>R53*VLOOKUP($E53,武器奇术!$A:$R,2,FALSE)*(1+T53)*(1+U53)*V53*(1+$E$16+VLOOKUP($E53,武器奇术!$A:$R,8,FALSE))</f>
        <v>236237.525898103</v>
      </c>
      <c r="Z53" s="110">
        <f t="shared" si="1"/>
        <v>0.8813852</v>
      </c>
      <c r="AA53" s="112">
        <f>S53*VLOOKUP($E53,武器奇术!$A:$R,2,FALSE)*(1+T53)*(1+U53)*V53*(1+$E$17+VLOOKUP($E53,武器奇术!$A:$R,10,FALSE))</f>
        <v>218840.846011268</v>
      </c>
      <c r="AB53" s="110">
        <f t="shared" si="2"/>
        <v>0.0986</v>
      </c>
      <c r="AC53" s="112">
        <f>R53*VLOOKUP($E53,武器奇术!$A:$R,2,FALSE)*(1+T53)*(1+U53)*V53</f>
        <v>110391.367242104</v>
      </c>
      <c r="AD53" s="110">
        <f t="shared" si="3"/>
        <v>0.0200148</v>
      </c>
      <c r="AE53" s="113">
        <f t="shared" si="4"/>
        <v>232003.427564993</v>
      </c>
      <c r="AF53" s="114">
        <f>VLOOKUP($E53,武器奇术!$A:$R,3,FALSE)*(1+IF(VLOOKUP($E53,武器奇术!$A:$R,15,FALSE)="武器",$E$15,0))</f>
        <v>8140.86</v>
      </c>
      <c r="AG53" s="112">
        <f t="shared" si="5"/>
        <v>8140.86</v>
      </c>
      <c r="AH53" s="112">
        <f>VLOOKUP($E53,武器奇术!$A:$R,3,FALSE)*(1+IF(VLOOKUP($E53,武器奇术!$A:$R,15,FALSE)="武器",$E$15,0))</f>
        <v>8140.86</v>
      </c>
      <c r="AI53" s="101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0.342</v>
      </c>
      <c r="AJ53" s="111">
        <f>$E$5+IF(VLOOKUP($E53,武器奇术!$A:$U,21,FALSE)=1,0,0.09)</f>
        <v>0.115</v>
      </c>
      <c r="AK53" s="109">
        <v>1</v>
      </c>
      <c r="AL53" s="112">
        <f t="shared" si="6"/>
        <v>12181.4130438</v>
      </c>
      <c r="AM53" s="110">
        <f>(1-IF(VLOOKUP($E53,武器奇术!$A:$T,20,FALSE)=1,1,$N53))*(1-$M53)</f>
        <v>0</v>
      </c>
      <c r="AN53" s="112">
        <f>AG53*(1+AI53)*(1+AJ53)*AK53*(1+$E$16+VLOOKUP($E53,武器奇术!$A:$R,8,FALSE))</f>
        <v>26068.223913732</v>
      </c>
      <c r="AO53" s="110">
        <f t="shared" si="7"/>
        <v>0.8813852</v>
      </c>
      <c r="AP53" s="112">
        <f>AH53*(1+AI53)*(1+AJ53)*AK53*(1+$E$17+VLOOKUP($E53,武器奇术!$A:$R,10,FALSE))</f>
        <v>16444.90760913</v>
      </c>
      <c r="AQ53" s="110">
        <f t="shared" si="8"/>
        <v>0.0986</v>
      </c>
      <c r="AR53" s="112">
        <f t="shared" si="9"/>
        <v>12181.4130438</v>
      </c>
      <c r="AS53" s="110">
        <f t="shared" si="10"/>
        <v>0.0200148</v>
      </c>
      <c r="AT53" s="113">
        <f t="shared" si="11"/>
        <v>24841.4231838987</v>
      </c>
      <c r="AU53" s="108">
        <f>$B$7*IF($G$5="撼天",1.05,1)+IF(AND(VLOOKUP($E53,武器奇术!$A:$R,15,FALSE)="武器",VLOOKUP($E53,武器奇术!$A:$R,17,FALSE)="鸣金"),$E$3,0)*(1+$E$15)</f>
        <v>0</v>
      </c>
      <c r="AV53" s="99">
        <f>(AU53+AW53)*IF(VLOOKUP($E53,武器奇术!$A:$Z,21,FALSE)=1,$G$15,0.5)</f>
        <v>0</v>
      </c>
      <c r="AW53" s="109">
        <f>MAX($C$7*IF($G$5="撼天",1.05,1)+IF(AND(VLOOKUP($E53,武器奇术!$A:$R,15,FALSE)="武器",VLOOKUP($E53,武器奇术!$A:$R,17,FALSE)="鸣金"),$E$3*(1+$E$15),0),AU53)</f>
        <v>0</v>
      </c>
      <c r="AX53" s="110">
        <f>IF(($D$7+IF(VLOOKUP($E53,武器奇术!$A:$R,17,FALSE)="鸣金",$D$15,0)+IF(VLOOKUP($E53,武器奇术!$A:$R,18,FALSE)=1,4,0)+IF(VLOOKUP($E53,武器奇术!$A:$S,19,FALSE)=1,20,0)-VLOOKUP($F$7,目标属性!$A:$R,6,FALSE))&gt;0,($D$7+IF(VLOOKUP($E53,武器奇术!$A:$R,17,FALSE)="鸣金",$D$15,0)+IF(VLOOKUP($E53,武器奇术!$A:$R,18,FALSE)=1,4,0)+IF(VLOOKUP($E53,武器奇术!$A:$S,19,FALSE)=1,20,0)-VLOOKUP($F$7,目标属性!$A:$R,6,FALSE))/200,($D$7+IF(VLOOKUP($E53,武器奇术!$A:$R,17,FALSE)="鸣金",$D$15,0)+IF(VLOOKUP($E53,武器奇术!$A:$R,18,FALSE)=1,4,0)+IF(VLOOKUP($E53,武器奇术!$A:$S,19,FALSE)=1,20,0)-VLOOKUP($F$7,目标属性!$A:$R,6,FALSE))/100)</f>
        <v>0</v>
      </c>
      <c r="AY53" s="111">
        <f t="shared" si="12"/>
        <v>0</v>
      </c>
      <c r="AZ53" s="109">
        <v>1</v>
      </c>
      <c r="BA53" s="112">
        <f>AU53*IF(VLOOKUP($E53,武器奇术!$A:$R,17,FALSE)="鸣金",VLOOKUP($E53,武器奇术!$A:$R,4,FALSE),VLOOKUP($E53,武器奇术!$A:$R,2,FALSE))*(1+AX53)*(1+AY53)*AZ53</f>
        <v>0</v>
      </c>
      <c r="BB53" s="110">
        <f>(1-IF(VLOOKUP($E53,武器奇术!$A:$T,20,FALSE)=1,1,$N53))*(1-$M53)</f>
        <v>0</v>
      </c>
      <c r="BC53" s="112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10">
        <f t="shared" si="13"/>
        <v>0.8813852</v>
      </c>
      <c r="BE53" s="112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10">
        <f t="shared" si="14"/>
        <v>0.0986</v>
      </c>
      <c r="BG53" s="112">
        <f>AV53*IF(VLOOKUP($E53,武器奇术!$A:$R,17,FALSE)="鸣金",VLOOKUP($E53,武器奇术!$A:$R,4,FALSE),VLOOKUP($E53,武器奇术!$A:$R,2,FALSE))*(1+AX53)*(1+AY53)*AZ53</f>
        <v>0</v>
      </c>
      <c r="BH53" s="110">
        <f t="shared" si="15"/>
        <v>0.0200148</v>
      </c>
      <c r="BI53" s="113">
        <f t="shared" si="16"/>
        <v>0</v>
      </c>
      <c r="BJ53" s="108">
        <f>$B$9*IF($G$5="撼天",1.05,1)+IF(AND(VLOOKUP($E53,武器奇术!$A:$R,15,FALSE)="武器",VLOOKUP($E53,武器奇术!$A:$R,17,FALSE)="裂石"),$E$3,0)*(1+$E$15)</f>
        <v>0</v>
      </c>
      <c r="BK53" s="99">
        <f>(BJ53+BL53)*IF(VLOOKUP($E53,武器奇术!$A:$Z,21,FALSE)=1,$G$15,0.5)</f>
        <v>0</v>
      </c>
      <c r="BL53" s="109">
        <f>MAX($C$9*IF($G$5="撼天",1.05,1)+IF(AND(VLOOKUP($E53,武器奇术!$A:$R,15,FALSE)="武器",VLOOKUP($E53,武器奇术!$A:$R,17,FALSE)="裂石"),$E$3*(1+$E$15),0),BJ53)</f>
        <v>0</v>
      </c>
      <c r="BM53" s="110">
        <f>IF(($D$9+IF(VLOOKUP($E53,武器奇术!$A:$R,17,FALSE)="裂石",$D$15,0)+IF(VLOOKUP($E53,武器奇术!$A:$R,18,FALSE)=1,4,0)+IF(VLOOKUP($E53,武器奇术!$A:$S,19,FALSE)=1,20,0)-VLOOKUP($F$7,目标属性!$A:$R,6,FALSE))&gt;0,($D$9+IF(VLOOKUP($E53,武器奇术!$A:$R,17,FALSE)="裂石",$D$15,0)+IF(VLOOKUP($E53,武器奇术!$A:$R,18,FALSE)=1,4,0)+IF(VLOOKUP($E53,武器奇术!$A:$S,19,FALSE)=1,20,0)-VLOOKUP($F$7,目标属性!$A:$R,6,FALSE))/200,($D$9+IF(VLOOKUP($E53,武器奇术!$A:$R,17,FALSE)="裂石",$D$15,0)+IF(VLOOKUP($E53,武器奇术!$A:$R,18,FALSE)=1,4,0)+IF(VLOOKUP($E53,武器奇术!$A:$S,19,FALSE)=1,20,0)-VLOOKUP($F$7,目标属性!$A:$R,6,FALSE))/100)</f>
        <v>0</v>
      </c>
      <c r="BN53" s="111">
        <f t="shared" si="17"/>
        <v>0</v>
      </c>
      <c r="BO53" s="109">
        <v>1</v>
      </c>
      <c r="BP53" s="112">
        <f>BJ53*IF(VLOOKUP($E53,武器奇术!$A:$R,17,FALSE)="裂石",VLOOKUP($E53,武器奇术!$A:$R,4,FALSE),VLOOKUP($E53,武器奇术!$A:$R,2,FALSE))*(1+BM53)*(1+BN53)*BO53</f>
        <v>0</v>
      </c>
      <c r="BQ53" s="110">
        <f>(1-IF(VLOOKUP($E53,武器奇术!$A:$T,20,FALSE)=1,1,$N53))*(1-$M53)</f>
        <v>0</v>
      </c>
      <c r="BR53" s="112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10">
        <f t="shared" si="18"/>
        <v>0.8813852</v>
      </c>
      <c r="BT53" s="112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10">
        <f t="shared" si="19"/>
        <v>0.0986</v>
      </c>
      <c r="BV53" s="112">
        <f>BK53*IF(VLOOKUP($E53,武器奇术!$A:$R,17,FALSE)="裂石",VLOOKUP($E53,武器奇术!$A:$R,4,FALSE),VLOOKUP($E53,武器奇术!$A:$R,2,FALSE))*(1+BM53)*(1+BN53)*BO53</f>
        <v>0</v>
      </c>
      <c r="BW53" s="110">
        <f t="shared" si="20"/>
        <v>0.0200148</v>
      </c>
      <c r="BX53" s="113">
        <f t="shared" si="21"/>
        <v>0</v>
      </c>
      <c r="BY53" s="108">
        <f>$B$11*IF($G$5="撼天",1.05,1)+IF(AND(VLOOKUP($E53,武器奇术!$A:$R,15,FALSE)="武器",VLOOKUP($E53,武器奇术!$A:$R,17,FALSE)="牵丝"),$E$3,0)*(1+$E$15)</f>
        <v>0</v>
      </c>
      <c r="BZ53" s="99">
        <f>(BY53+CA53)*IF(VLOOKUP($E53,武器奇术!$A:$Z,21,FALSE)=1,$G$15,0.5)</f>
        <v>0</v>
      </c>
      <c r="CA53" s="109">
        <f>MAX($C$11*IF($G$5="撼天",1.05,1)+IF(AND(VLOOKUP($E53,武器奇术!$A:$R,15,FALSE)="武器",VLOOKUP($E53,武器奇术!$A:$R,17,FALSE)="牵丝"),$E$3*(1+$E$15),0),BY53)</f>
        <v>0</v>
      </c>
      <c r="CB53" s="110">
        <f>IF(($D$11+IF(VLOOKUP($E53,武器奇术!$A:$R,17,FALSE)="牵丝",$D$15,0)+IF(VLOOKUP($E53,武器奇术!$A:$R,18,FALSE)=1,4,0)+IF(VLOOKUP($E53,武器奇术!$A:$S,19,FALSE)=1,20,0)-VLOOKUP($F$7,目标属性!$A:$R,6,FALSE))&gt;0,($D$11+IF(VLOOKUP($E53,武器奇术!$A:$R,17,FALSE)="牵丝",$D$15,0)+IF(VLOOKUP($E53,武器奇术!$A:$R,18,FALSE)=1,4,0)+IF(VLOOKUP($E53,武器奇术!$A:$S,19,FALSE)=1,20,0)-VLOOKUP($F$7,目标属性!$A:$R,6,FALSE))/200,($D$11+IF(VLOOKUP($E53,武器奇术!$A:$R,17,FALSE)="牵丝",$D$15,0)+IF(VLOOKUP($E53,武器奇术!$A:$R,18,FALSE)=1,4,0)+IF(VLOOKUP($E53,武器奇术!$A:$S,19,FALSE)=1,20,0)-VLOOKUP($F$7,目标属性!$A:$R,6,FALSE))/100)</f>
        <v>0</v>
      </c>
      <c r="CC53" s="111">
        <f t="shared" si="22"/>
        <v>0</v>
      </c>
      <c r="CD53" s="109">
        <v>1</v>
      </c>
      <c r="CE53" s="112">
        <f>BY53*IF(VLOOKUP($E53,武器奇术!$A:$R,17,FALSE)="牵丝",VLOOKUP($E53,武器奇术!$A:$R,4,FALSE),VLOOKUP($E53,武器奇术!$A:$R,2,FALSE))*(1+CB53)*(1+CC53)*CD53</f>
        <v>0</v>
      </c>
      <c r="CF53" s="110">
        <f>(1-IF(VLOOKUP($E53,武器奇术!$A:$T,20,FALSE)=1,1,$N53))*(1-$M53)</f>
        <v>0</v>
      </c>
      <c r="CG53" s="112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110">
        <f t="shared" si="23"/>
        <v>0.8813852</v>
      </c>
      <c r="CI53" s="112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110">
        <f t="shared" si="24"/>
        <v>0.0986</v>
      </c>
      <c r="CK53" s="112">
        <f>BZ53*IF(VLOOKUP($E53,武器奇术!$A:$R,17,FALSE)="牵丝",VLOOKUP($E53,武器奇术!$A:$R,4,FALSE),VLOOKUP($E53,武器奇术!$A:$R,2,FALSE))*(1+CB53)*(1+CC53)*CD53</f>
        <v>0</v>
      </c>
      <c r="CL53" s="110">
        <f t="shared" si="25"/>
        <v>0.0200148</v>
      </c>
      <c r="CM53" s="113">
        <f t="shared" si="26"/>
        <v>0</v>
      </c>
      <c r="CN53" s="108">
        <f>$B$13*IF($G$5="撼天",1.05,1)+IF(AND(VLOOKUP($E53,武器奇术!$A:$R,15,FALSE)="武器",VLOOKUP($E53,武器奇术!$A:$R,17,FALSE)="破竹"),$E$3,0)*(1+$E$15)</f>
        <v>648.46</v>
      </c>
      <c r="CO53" s="99">
        <f>(CN53+CP53)*IF(VLOOKUP($E53,武器奇术!$A:$Z,21,FALSE)=1,$G$15,0.5)</f>
        <v>875.26</v>
      </c>
      <c r="CP53" s="109">
        <f>MAX($C$13*IF($G$5="撼天",1.05,1)+IF(AND(VLOOKUP($E53,武器奇术!$A:$R,15,FALSE)="武器",VLOOKUP($E53,武器奇术!$A:$R,17,FALSE)="破竹"),$E$3*(1+$E$15),0),CN53)</f>
        <v>1102.06</v>
      </c>
      <c r="CQ53" s="110">
        <f>IF(($D$13+IF(VLOOKUP($E53,武器奇术!$A:$R,17,FALSE)="破竹",$D$15,0)+IF(VLOOKUP($E53,武器奇术!$A:$R,18,FALSE)=1,4,0)+IF(VLOOKUP($E53,武器奇术!$A:$S,19,FALSE)=1,20,0)-VLOOKUP($F$7,目标属性!$A:$R,6,FALSE))&gt;0,($D$13+IF(VLOOKUP($E53,武器奇术!$A:$R,17,FALSE)="破竹",$D$15,0)+IF(VLOOKUP($E53,武器奇术!$A:$R,18,FALSE)=1,4,0)+IF(VLOOKUP($E53,武器奇术!$A:$S,19,FALSE)=1,20,0)-VLOOKUP($F$7,目标属性!$A:$R,6,FALSE))/200,($D$13+IF(VLOOKUP($E53,武器奇术!$A:$R,17,FALSE)="破竹",$D$15,0)+IF(VLOOKUP($E53,武器奇术!$A:$R,18,FALSE)=1,4,0)+IF(VLOOKUP($E53,武器奇术!$A:$S,19,FALSE)=1,20,0)-VLOOKUP($F$7,目标属性!$A:$R,6,FALSE))/100)</f>
        <v>0.145</v>
      </c>
      <c r="CR53" s="111">
        <f>$E$13+IF(VLOOKUP($E53,武器奇术!$A:$U,21,FALSE)=1,0,0.09)</f>
        <v>0.235</v>
      </c>
      <c r="CS53" s="109">
        <v>1</v>
      </c>
      <c r="CT53" s="112">
        <f>CN53*IF(VLOOKUP($E53,武器奇术!$A:$R,17,FALSE)="破竹",VLOOKUP($E53,武器奇术!$A:$R,4,FALSE),VLOOKUP($E53,武器奇术!$A:$R,2,FALSE))*(1+CQ53)*(1+CR53)*CS53</f>
        <v>31157.741801014</v>
      </c>
      <c r="CU53" s="110">
        <f>(1-IF(VLOOKUP($E53,武器奇术!$A:$T,20,FALSE)=1,1,$N53))*(1-$M53)</f>
        <v>0</v>
      </c>
      <c r="CV53" s="112">
        <f>CO53*IF(VLOOKUP($E53,武器奇术!$A:$R,17,FALSE)="破竹",VLOOKUP($E53,武器奇术!$A:$R,4,FALSE),VLOOKUP($E53,武器奇术!$A:$R,2,FALSE))*(1+CQ53)*(1+CR53)*CS53*(1+$E$16+VLOOKUP($E53,武器奇术!$A:$R,8,FALSE))</f>
        <v>89998.16132057</v>
      </c>
      <c r="CW53" s="110">
        <f t="shared" si="27"/>
        <v>0.8813852</v>
      </c>
      <c r="CX53" s="112">
        <f>CP53*IF(VLOOKUP($E53,武器奇术!$A:$R,17,FALSE)="破竹",VLOOKUP($E53,武器奇术!$A:$R,4,FALSE),VLOOKUP($E53,武器奇术!$A:$R,2,FALSE))*(1+CQ53)*(1+CR53)*CS53*(1+$E$17+VLOOKUP($E53,武器奇术!$A:$R,10,FALSE))</f>
        <v>71486.1306086026</v>
      </c>
      <c r="CY53" s="110">
        <f t="shared" si="28"/>
        <v>0.0986</v>
      </c>
      <c r="CZ53" s="112">
        <f>CO53*IF(VLOOKUP($E53,武器奇术!$A:$R,17,FALSE)="破竹",VLOOKUP($E53,武器奇术!$A:$R,4,FALSE),VLOOKUP($E53,武器奇术!$A:$R,2,FALSE))*(1+CQ53)*(1+CR53)*CS53</f>
        <v>42055.2155703598</v>
      </c>
      <c r="DA53" s="110">
        <f t="shared" si="29"/>
        <v>0.0200148</v>
      </c>
      <c r="DB53" s="113">
        <f t="shared" si="30"/>
        <v>87213.3066217687</v>
      </c>
      <c r="DC53" s="108">
        <f t="shared" si="31"/>
        <v>69.3</v>
      </c>
      <c r="DD53" s="99">
        <f>(DC53+DE53)*IF(VLOOKUP($E53,武器奇术!$A:$Z,21,FALSE)=1,$G$15,0.5)</f>
        <v>69.3</v>
      </c>
      <c r="DE53" s="109">
        <f t="shared" si="32"/>
        <v>69.3</v>
      </c>
      <c r="DF53" s="110">
        <f>IF(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R,18,FALSE)=1,4,0)+IF(VLOOKUP($E53,武器奇术!$A:$S,19,FALSE)=1,20,0)-VLOOKUP($F$7,目标属性!$A:$R,6,FALSE))/100)</f>
        <v>0.145</v>
      </c>
      <c r="DG53" s="111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U,21,FALSE)=1,0,0.09)</f>
        <v>0.235</v>
      </c>
      <c r="DH53" s="109">
        <v>1</v>
      </c>
      <c r="DI53" s="112">
        <f>DC53*IF(VLOOKUP($E53,武器奇术!$A:$R,17,FALSE)="破竹",VLOOKUP($E53,武器奇术!$A:$R,4,FALSE),VLOOKUP($E53,武器奇术!$A:$R,2,FALSE))*(1+DF53)*(1+DG53)*DH53</f>
        <v>3329.78365174455</v>
      </c>
      <c r="DJ53" s="110">
        <f>(1-IF(VLOOKUP($E53,武器奇术!$A:$T,20,FALSE)=1,1,$N53))*(1-$M53)</f>
        <v>0</v>
      </c>
      <c r="DK53" s="112">
        <f>DD53*IF(VLOOKUP($E53,武器奇术!$A:$R,17,FALSE)="破竹",VLOOKUP($E53,武器奇术!$A:$R,4,FALSE),VLOOKUP($E53,武器奇术!$A:$R,2,FALSE))*(1+DF53)*(1+DG53)*DH53*(1+$E$16+VLOOKUP($E53,武器奇术!$A:$R,8,FALSE))</f>
        <v>7125.73701473334</v>
      </c>
      <c r="DL53" s="110">
        <f t="shared" si="33"/>
        <v>0.8813852</v>
      </c>
      <c r="DM53" s="112">
        <f>DE53*IF(VLOOKUP($E53,武器奇术!$A:$R,17,FALSE)="破竹",VLOOKUP($E53,武器奇术!$A:$R,4,FALSE),VLOOKUP($E53,武器奇术!$A:$R,2,FALSE))*(1+DF53)*(1+DG53)*DH53*(1+$E$17+VLOOKUP($E53,武器奇术!$A:$R,10,FALSE))</f>
        <v>4495.20792985514</v>
      </c>
      <c r="DN53" s="110">
        <f t="shared" si="34"/>
        <v>0.0986</v>
      </c>
      <c r="DO53" s="112">
        <f>DD53*IF(VLOOKUP($E53,武器奇术!$A:$R,17,FALSE)="破竹",VLOOKUP($E53,武器奇术!$A:$R,4,FALSE),VLOOKUP($E53,武器奇术!$A:$R,2,FALSE))*(1+DF53)*(1+DG53)*DH53</f>
        <v>3329.78365174455</v>
      </c>
      <c r="DP53" s="110">
        <f t="shared" si="35"/>
        <v>0.0200148</v>
      </c>
      <c r="DQ53" s="113">
        <f t="shared" si="36"/>
        <v>6790.3915995948</v>
      </c>
    </row>
    <row r="54" customFormat="1" ht="14.25" spans="1:121">
      <c r="B54" s="95"/>
      <c r="C54" s="145"/>
      <c r="D54" s="146"/>
      <c r="E54" s="98" t="str">
        <f>期望!E54</f>
        <v>N/A</v>
      </c>
      <c r="F54" s="99">
        <f>期望!F54</f>
        <v>1</v>
      </c>
      <c r="G54" s="115"/>
      <c r="H54" s="100">
        <f>IF(VLOOKUP($E54,武器奇术!$A:$R,18,FALSE)="天工",AE54,(AE54+AT54+BI54+BX54+CM54+DB54+DQ54))*(1+J54)*F54*K54*(1+G54)</f>
        <v>0</v>
      </c>
      <c r="I54" s="101">
        <f t="shared" si="0"/>
        <v>0</v>
      </c>
      <c r="J54" s="101">
        <f>$F$3+VLOOKUP($E54,武器奇术!$A:$R,12,FALSE)+VLOOKUP($E54,武器奇术!$A:$R,14,FALSE)*$G$3+$P54</f>
        <v>0.303</v>
      </c>
      <c r="K54" s="102">
        <f>VLOOKUP($E54,武器奇术!$A:$R,11,FALSE)</f>
        <v>1</v>
      </c>
      <c r="L54" s="117">
        <f>IF(VLOOKUP($E54,武器奇术!$A:$R,15,FALSE)="天工",0%,IF($C$17+VLOOKUP($E54,武器奇术!$A:$R,7,FALSE)&gt;80%,80%,$C$17+VLOOKUP($E54,武器奇术!$A:$R,7,FALSE))+IF($C$19&gt;20%,20%,$C$19))</f>
        <v>0.892</v>
      </c>
      <c r="M54" s="118">
        <f>IF(VLOOKUP($E54,武器奇术!$A:$R,15,FALSE)="天工",0%,IF($C$18+VLOOKUP($E54,武器奇术!$A:$R,9,FALSE)&gt;40%,40%,$C$18+VLOOKUP($E54,武器奇术!$A:$R,9,FALSE))+IF($C$20&gt;10%,10%,$C$20))</f>
        <v>0.0986</v>
      </c>
      <c r="N54" s="119">
        <f>IF(VLOOKUP($E54,武器奇术!$A:$R,15,FALSE)="天工",100%,MIN($C$16,1))</f>
        <v>0.9881</v>
      </c>
      <c r="O54" s="120" t="str">
        <f>VLOOKUP($E54,武器奇术!$A:$R,16,FALSE)</f>
        <v>N/A</v>
      </c>
      <c r="P54" s="121">
        <f t="shared" si="37"/>
        <v>0</v>
      </c>
      <c r="Q54" s="108">
        <f>$B$5*(1+VLOOKUP($E54,武器奇术!$A:$R,5,FALSE)+IF($G$5="飞隼",0.1,0)+IF($G$5="撼天",0.05,0))-$F$9+IF($I$5="√",160,0)</f>
        <v>1731.135</v>
      </c>
      <c r="R54" s="99">
        <f>IF(VLOOKUP($E54,武器奇术!$A:$Z,20,FALSE)=1,(S54-(Q54+S54)*0.5)*($G$15-0.5)*2+(Q54+S54)*0.5,(Q54+S54)*0.5)</f>
        <v>3256.775</v>
      </c>
      <c r="S54" s="109">
        <f>MAX($C$5,$B$5)*(1+VLOOKUP($E54,武器奇术!$A:$R,5,FALSE)+IF($G$5="飞隼",0.1,0)+IF($G$5="撼天",0.05,0))-$F$9+IF($I$5="√",320,0)</f>
        <v>4782.415</v>
      </c>
      <c r="T54" s="101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U54" s="111">
        <f>$E$5+IF(VLOOKUP($E54,武器奇术!$A:$U,21,FALSE)=1,0,0.09)</f>
        <v>0.115</v>
      </c>
      <c r="V54" s="109">
        <v>1</v>
      </c>
      <c r="W54" s="112">
        <f>Q54*VLOOKUP($E54,武器奇术!$A:$R,2,FALSE)*(1+T54)*(1+U54)*V54</f>
        <v>0</v>
      </c>
      <c r="X54" s="110">
        <f>(1-IF(VLOOKUP($E54,武器奇术!$A:$T,20,FALSE)=1,1,$N54))*(1-$M54)</f>
        <v>0.01072666</v>
      </c>
      <c r="Y54" s="112">
        <f>R54*VLOOKUP($E54,武器奇术!$A:$R,2,FALSE)*(1+T54)*(1+U54)*V54*(1+$E$16+VLOOKUP($E54,武器奇术!$A:$R,8,FALSE))</f>
        <v>0</v>
      </c>
      <c r="Z54" s="110">
        <f t="shared" si="1"/>
        <v>0.8813852</v>
      </c>
      <c r="AA54" s="112">
        <f>S54*VLOOKUP($E54,武器奇术!$A:$R,2,FALSE)*(1+T54)*(1+U54)*V54*(1+$E$17+VLOOKUP($E54,武器奇术!$A:$R,10,FALSE))</f>
        <v>0</v>
      </c>
      <c r="AB54" s="110">
        <f t="shared" si="2"/>
        <v>0.0986</v>
      </c>
      <c r="AC54" s="112">
        <f>R54*VLOOKUP($E54,武器奇术!$A:$R,2,FALSE)*(1+T54)*(1+U54)*V54</f>
        <v>0</v>
      </c>
      <c r="AD54" s="110">
        <f t="shared" si="3"/>
        <v>0.00928814000000003</v>
      </c>
      <c r="AE54" s="113">
        <f t="shared" si="4"/>
        <v>0</v>
      </c>
      <c r="AF54" s="114">
        <f>VLOOKUP($E54,武器奇术!$A:$R,3,FALSE)*(1+IF(VLOOKUP($E54,武器奇术!$A:$R,15,FALSE)="武器",$E$15,0))</f>
        <v>0</v>
      </c>
      <c r="AG54" s="112">
        <f t="shared" si="5"/>
        <v>0</v>
      </c>
      <c r="AH54" s="112">
        <f>VLOOKUP($E54,武器奇术!$A:$R,3,FALSE)*(1+IF(VLOOKUP($E54,武器奇术!$A:$R,15,FALSE)="武器",$E$15,0))</f>
        <v>0</v>
      </c>
      <c r="AI54" s="101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0.242</v>
      </c>
      <c r="AJ54" s="111">
        <f>$E$5+IF(VLOOKUP($E54,武器奇术!$A:$U,21,FALSE)=1,0,0.09)</f>
        <v>0.115</v>
      </c>
      <c r="AK54" s="109">
        <v>1</v>
      </c>
      <c r="AL54" s="112">
        <f t="shared" si="6"/>
        <v>0</v>
      </c>
      <c r="AM54" s="110">
        <f>(1-IF(VLOOKUP($E54,武器奇术!$A:$T,20,FALSE)=1,1,$N54))*(1-$M54)</f>
        <v>0.01072666</v>
      </c>
      <c r="AN54" s="112">
        <f>AG54*(1+AI54)*(1+AJ54)*AK54*(1+$E$16+VLOOKUP($E54,武器奇术!$A:$R,8,FALSE))</f>
        <v>0</v>
      </c>
      <c r="AO54" s="110">
        <f t="shared" si="7"/>
        <v>0.8813852</v>
      </c>
      <c r="AP54" s="112">
        <f>AH54*(1+AI54)*(1+AJ54)*AK54*(1+$E$17+VLOOKUP($E54,武器奇术!$A:$R,10,FALSE))</f>
        <v>0</v>
      </c>
      <c r="AQ54" s="110">
        <f t="shared" si="8"/>
        <v>0.0986</v>
      </c>
      <c r="AR54" s="112">
        <f t="shared" si="9"/>
        <v>0</v>
      </c>
      <c r="AS54" s="110">
        <f t="shared" si="10"/>
        <v>0.00928814000000003</v>
      </c>
      <c r="AT54" s="113">
        <f t="shared" si="11"/>
        <v>0</v>
      </c>
      <c r="AU54" s="108">
        <f>$B$7*IF($G$5="撼天",1.05,1)+IF(AND(VLOOKUP($E54,武器奇术!$A:$R,15,FALSE)="武器",VLOOKUP($E54,武器奇术!$A:$R,17,FALSE)="鸣金"),$E$3,0)*(1+$E$15)</f>
        <v>0</v>
      </c>
      <c r="AV54" s="99">
        <f>(AU54+AW54)*IF(VLOOKUP($E54,武器奇术!$A:$Z,21,FALSE)=1,$G$15,0.5)</f>
        <v>0</v>
      </c>
      <c r="AW54" s="109">
        <f>MAX($C$7*IF($G$5="撼天",1.05,1)+IF(AND(VLOOKUP($E54,武器奇术!$A:$R,15,FALSE)="武器",VLOOKUP($E54,武器奇术!$A:$R,17,FALSE)="鸣金"),$E$3*(1+$E$15),0),AU54)</f>
        <v>0</v>
      </c>
      <c r="AX54" s="110">
        <f>IF(($D$7+IF(VLOOKUP($E54,武器奇术!$A:$R,17,FALSE)="鸣金",$D$15,0)+IF(VLOOKUP($E54,武器奇术!$A:$R,18,FALSE)=1,4,0)+IF(VLOOKUP($E54,武器奇术!$A:$S,19,FALSE)=1,20,0)-VLOOKUP($F$7,目标属性!$A:$R,6,FALSE))&gt;0,($D$7+IF(VLOOKUP($E54,武器奇术!$A:$R,17,FALSE)="鸣金",$D$15,0)+IF(VLOOKUP($E54,武器奇术!$A:$R,18,FALSE)=1,4,0)+IF(VLOOKUP($E54,武器奇术!$A:$S,19,FALSE)=1,20,0)-VLOOKUP($F$7,目标属性!$A:$R,6,FALSE))/200,($D$7+IF(VLOOKUP($E54,武器奇术!$A:$R,17,FALSE)="鸣金",$D$15,0)+IF(VLOOKUP($E54,武器奇术!$A:$R,18,FALSE)=1,4,0)+IF(VLOOKUP($E54,武器奇术!$A:$S,19,FALSE)=1,20,0)-VLOOKUP($F$7,目标属性!$A:$R,6,FALSE))/100)</f>
        <v>-0.24</v>
      </c>
      <c r="AY54" s="111">
        <f t="shared" si="12"/>
        <v>0</v>
      </c>
      <c r="AZ54" s="109">
        <v>1</v>
      </c>
      <c r="BA54" s="112">
        <f>AU54*IF(VLOOKUP($E54,武器奇术!$A:$R,17,FALSE)="鸣金",VLOOKUP($E54,武器奇术!$A:$R,4,FALSE),VLOOKUP($E54,武器奇术!$A:$R,2,FALSE))*(1+AX54)*(1+AY54)*AZ54</f>
        <v>0</v>
      </c>
      <c r="BB54" s="110">
        <f>(1-IF(VLOOKUP($E54,武器奇术!$A:$T,20,FALSE)=1,1,$N54))*(1-$M54)</f>
        <v>0.01072666</v>
      </c>
      <c r="BC54" s="112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10">
        <f t="shared" si="13"/>
        <v>0.8813852</v>
      </c>
      <c r="BE54" s="112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10">
        <f t="shared" si="14"/>
        <v>0.0986</v>
      </c>
      <c r="BG54" s="112">
        <f>AV54*IF(VLOOKUP($E54,武器奇术!$A:$R,17,FALSE)="鸣金",VLOOKUP($E54,武器奇术!$A:$R,4,FALSE),VLOOKUP($E54,武器奇术!$A:$R,2,FALSE))*(1+AX54)*(1+AY54)*AZ54</f>
        <v>0</v>
      </c>
      <c r="BH54" s="110">
        <f t="shared" si="15"/>
        <v>0.00928814000000003</v>
      </c>
      <c r="BI54" s="113">
        <f t="shared" si="16"/>
        <v>0</v>
      </c>
      <c r="BJ54" s="108">
        <f>$B$9*IF($G$5="撼天",1.05,1)+IF(AND(VLOOKUP($E54,武器奇术!$A:$R,15,FALSE)="武器",VLOOKUP($E54,武器奇术!$A:$R,17,FALSE)="裂石"),$E$3,0)*(1+$E$15)</f>
        <v>0</v>
      </c>
      <c r="BK54" s="99">
        <f>(BJ54+BL54)*IF(VLOOKUP($E54,武器奇术!$A:$Z,21,FALSE)=1,$G$15,0.5)</f>
        <v>0</v>
      </c>
      <c r="BL54" s="109">
        <f>MAX($C$9*IF($G$5="撼天",1.05,1)+IF(AND(VLOOKUP($E54,武器奇术!$A:$R,15,FALSE)="武器",VLOOKUP($E54,武器奇术!$A:$R,17,FALSE)="裂石"),$E$3*(1+$E$15),0),BJ54)</f>
        <v>0</v>
      </c>
      <c r="BM54" s="110">
        <f>IF(($D$9+IF(VLOOKUP($E54,武器奇术!$A:$R,17,FALSE)="裂石",$D$15,0)+IF(VLOOKUP($E54,武器奇术!$A:$R,18,FALSE)=1,4,0)+IF(VLOOKUP($E54,武器奇术!$A:$S,19,FALSE)=1,20,0)-VLOOKUP($F$7,目标属性!$A:$R,6,FALSE))&gt;0,($D$9+IF(VLOOKUP($E54,武器奇术!$A:$R,17,FALSE)="裂石",$D$15,0)+IF(VLOOKUP($E54,武器奇术!$A:$R,18,FALSE)=1,4,0)+IF(VLOOKUP($E54,武器奇术!$A:$S,19,FALSE)=1,20,0)-VLOOKUP($F$7,目标属性!$A:$R,6,FALSE))/200,($D$9+IF(VLOOKUP($E54,武器奇术!$A:$R,17,FALSE)="裂石",$D$15,0)+IF(VLOOKUP($E54,武器奇术!$A:$R,18,FALSE)=1,4,0)+IF(VLOOKUP($E54,武器奇术!$A:$S,19,FALSE)=1,20,0)-VLOOKUP($F$7,目标属性!$A:$R,6,FALSE))/100)</f>
        <v>-0.24</v>
      </c>
      <c r="BN54" s="111">
        <f t="shared" si="17"/>
        <v>0</v>
      </c>
      <c r="BO54" s="109">
        <v>1</v>
      </c>
      <c r="BP54" s="112">
        <f>BJ54*IF(VLOOKUP($E54,武器奇术!$A:$R,17,FALSE)="裂石",VLOOKUP($E54,武器奇术!$A:$R,4,FALSE),VLOOKUP($E54,武器奇术!$A:$R,2,FALSE))*(1+BM54)*(1+BN54)*BO54</f>
        <v>0</v>
      </c>
      <c r="BQ54" s="110">
        <f>(1-IF(VLOOKUP($E54,武器奇术!$A:$T,20,FALSE)=1,1,$N54))*(1-$M54)</f>
        <v>0.01072666</v>
      </c>
      <c r="BR54" s="112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10">
        <f t="shared" si="18"/>
        <v>0.8813852</v>
      </c>
      <c r="BT54" s="112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10">
        <f t="shared" si="19"/>
        <v>0.0986</v>
      </c>
      <c r="BV54" s="112">
        <f>BK54*IF(VLOOKUP($E54,武器奇术!$A:$R,17,FALSE)="裂石",VLOOKUP($E54,武器奇术!$A:$R,4,FALSE),VLOOKUP($E54,武器奇术!$A:$R,2,FALSE))*(1+BM54)*(1+BN54)*BO54</f>
        <v>0</v>
      </c>
      <c r="BW54" s="110">
        <f t="shared" si="20"/>
        <v>0.00928814000000003</v>
      </c>
      <c r="BX54" s="113">
        <f t="shared" si="21"/>
        <v>0</v>
      </c>
      <c r="BY54" s="108">
        <f>$B$11*IF($G$5="撼天",1.05,1)+IF(AND(VLOOKUP($E54,武器奇术!$A:$R,15,FALSE)="武器",VLOOKUP($E54,武器奇术!$A:$R,17,FALSE)="牵丝"),$E$3,0)*(1+$E$15)</f>
        <v>0</v>
      </c>
      <c r="BZ54" s="99">
        <f>(BY54+CA54)*IF(VLOOKUP($E54,武器奇术!$A:$Z,21,FALSE)=1,$G$15,0.5)</f>
        <v>0</v>
      </c>
      <c r="CA54" s="109">
        <f>MAX($C$11*IF($G$5="撼天",1.05,1)+IF(AND(VLOOKUP($E54,武器奇术!$A:$R,15,FALSE)="武器",VLOOKUP($E54,武器奇术!$A:$R,17,FALSE)="牵丝"),$E$3*(1+$E$15),0),BY54)</f>
        <v>0</v>
      </c>
      <c r="CB54" s="110">
        <f>IF(($D$11+IF(VLOOKUP($E54,武器奇术!$A:$R,17,FALSE)="牵丝",$D$15,0)+IF(VLOOKUP($E54,武器奇术!$A:$R,18,FALSE)=1,4,0)+IF(VLOOKUP($E54,武器奇术!$A:$S,19,FALSE)=1,20,0)-VLOOKUP($F$7,目标属性!$A:$R,6,FALSE))&gt;0,($D$11+IF(VLOOKUP($E54,武器奇术!$A:$R,17,FALSE)="牵丝",$D$15,0)+IF(VLOOKUP($E54,武器奇术!$A:$R,18,FALSE)=1,4,0)+IF(VLOOKUP($E54,武器奇术!$A:$S,19,FALSE)=1,20,0)-VLOOKUP($F$7,目标属性!$A:$R,6,FALSE))/200,($D$11+IF(VLOOKUP($E54,武器奇术!$A:$R,17,FALSE)="牵丝",$D$15,0)+IF(VLOOKUP($E54,武器奇术!$A:$R,18,FALSE)=1,4,0)+IF(VLOOKUP($E54,武器奇术!$A:$S,19,FALSE)=1,20,0)-VLOOKUP($F$7,目标属性!$A:$R,6,FALSE))/100)</f>
        <v>-0.24</v>
      </c>
      <c r="CC54" s="111">
        <f t="shared" si="22"/>
        <v>0</v>
      </c>
      <c r="CD54" s="109">
        <v>1</v>
      </c>
      <c r="CE54" s="112">
        <f>BY54*IF(VLOOKUP($E54,武器奇术!$A:$R,17,FALSE)="牵丝",VLOOKUP($E54,武器奇术!$A:$R,4,FALSE),VLOOKUP($E54,武器奇术!$A:$R,2,FALSE))*(1+CB54)*(1+CC54)*CD54</f>
        <v>0</v>
      </c>
      <c r="CF54" s="110">
        <f>(1-IF(VLOOKUP($E54,武器奇术!$A:$T,20,FALSE)=1,1,$N54))*(1-$M54)</f>
        <v>0.01072666</v>
      </c>
      <c r="CG54" s="112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110">
        <f t="shared" si="23"/>
        <v>0.8813852</v>
      </c>
      <c r="CI54" s="112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110">
        <f t="shared" si="24"/>
        <v>0.0986</v>
      </c>
      <c r="CK54" s="112">
        <f>BZ54*IF(VLOOKUP($E54,武器奇术!$A:$R,17,FALSE)="牵丝",VLOOKUP($E54,武器奇术!$A:$R,4,FALSE),VLOOKUP($E54,武器奇术!$A:$R,2,FALSE))*(1+CB54)*(1+CC54)*CD54</f>
        <v>0</v>
      </c>
      <c r="CL54" s="110">
        <f t="shared" si="25"/>
        <v>0.00928814000000003</v>
      </c>
      <c r="CM54" s="113">
        <f t="shared" si="26"/>
        <v>0</v>
      </c>
      <c r="CN54" s="108">
        <f>$B$13*IF($G$5="撼天",1.05,1)+IF(AND(VLOOKUP($E54,武器奇术!$A:$R,15,FALSE)="武器",VLOOKUP($E54,武器奇术!$A:$R,17,FALSE)="破竹"),$E$3,0)*(1+$E$15)</f>
        <v>452.55</v>
      </c>
      <c r="CO54" s="99">
        <f>(CN54+CP54)*IF(VLOOKUP($E54,武器奇术!$A:$Z,21,FALSE)=1,$G$15,0.5)</f>
        <v>679.35</v>
      </c>
      <c r="CP54" s="109">
        <f>MAX($C$13*IF($G$5="撼天",1.05,1)+IF(AND(VLOOKUP($E54,武器奇术!$A:$R,15,FALSE)="武器",VLOOKUP($E54,武器奇术!$A:$R,17,FALSE)="破竹"),$E$3*(1+$E$15),0),CN54)</f>
        <v>906.15</v>
      </c>
      <c r="CQ54" s="110">
        <f>IF(($D$13+IF(VLOOKUP($E54,武器奇术!$A:$R,17,FALSE)="破竹",$D$15,0)+IF(VLOOKUP($E54,武器奇术!$A:$R,18,FALSE)=1,4,0)+IF(VLOOKUP($E54,武器奇术!$A:$S,19,FALSE)=1,20,0)-VLOOKUP($F$7,目标属性!$A:$R,6,FALSE))&gt;0,($D$13+IF(VLOOKUP($E54,武器奇术!$A:$R,17,FALSE)="破竹",$D$15,0)+IF(VLOOKUP($E54,武器奇术!$A:$R,18,FALSE)=1,4,0)+IF(VLOOKUP($E54,武器奇术!$A:$S,19,FALSE)=1,20,0)-VLOOKUP($F$7,目标属性!$A:$R,6,FALSE))/200,($D$13+IF(VLOOKUP($E54,武器奇术!$A:$R,17,FALSE)="破竹",$D$15,0)+IF(VLOOKUP($E54,武器奇术!$A:$R,18,FALSE)=1,4,0)+IF(VLOOKUP($E54,武器奇术!$A:$S,19,FALSE)=1,20,0)-VLOOKUP($F$7,目标属性!$A:$R,6,FALSE))/100)</f>
        <v>0.025</v>
      </c>
      <c r="CR54" s="111">
        <f>$E$13+IF(VLOOKUP($E54,武器奇术!$A:$U,21,FALSE)=1,0,0.09)</f>
        <v>0.235</v>
      </c>
      <c r="CS54" s="109">
        <v>1</v>
      </c>
      <c r="CT54" s="112">
        <f>CN54*IF(VLOOKUP($E54,武器奇术!$A:$R,17,FALSE)="破竹",VLOOKUP($E54,武器奇术!$A:$R,4,FALSE),VLOOKUP($E54,武器奇术!$A:$R,2,FALSE))*(1+CQ54)*(1+CR54)*CS54</f>
        <v>0</v>
      </c>
      <c r="CU54" s="110">
        <f>(1-IF(VLOOKUP($E54,武器奇术!$A:$T,20,FALSE)=1,1,$N54))*(1-$M54)</f>
        <v>0.01072666</v>
      </c>
      <c r="CV54" s="112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10">
        <f t="shared" si="27"/>
        <v>0.8813852</v>
      </c>
      <c r="CX54" s="112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10">
        <f t="shared" si="28"/>
        <v>0.0986</v>
      </c>
      <c r="CZ54" s="112">
        <f>CO54*IF(VLOOKUP($E54,武器奇术!$A:$R,17,FALSE)="破竹",VLOOKUP($E54,武器奇术!$A:$R,4,FALSE),VLOOKUP($E54,武器奇术!$A:$R,2,FALSE))*(1+CQ54)*(1+CR54)*CS54</f>
        <v>0</v>
      </c>
      <c r="DA54" s="110">
        <f t="shared" si="29"/>
        <v>0.00928814000000003</v>
      </c>
      <c r="DB54" s="113">
        <f t="shared" si="30"/>
        <v>0</v>
      </c>
      <c r="DC54" s="108">
        <f t="shared" si="31"/>
        <v>69.3</v>
      </c>
      <c r="DD54" s="99">
        <f>(DC54+DE54)*IF(VLOOKUP($E54,武器奇术!$A:$Z,21,FALSE)=1,$G$15,0.5)</f>
        <v>69.3</v>
      </c>
      <c r="DE54" s="109">
        <f t="shared" si="32"/>
        <v>69.3</v>
      </c>
      <c r="DF54" s="110">
        <f>IF(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R,18,FALSE)=1,4,0)+IF(VLOOKUP($E54,武器奇术!$A:$S,19,FALSE)=1,20,0)-VLOOKUP($F$7,目标属性!$A:$R,6,FALSE))/100)</f>
        <v>0.025</v>
      </c>
      <c r="DG54" s="111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U,21,FALSE)=1,0,0.09)</f>
        <v>0.235</v>
      </c>
      <c r="DH54" s="109">
        <v>1</v>
      </c>
      <c r="DI54" s="112">
        <f>DC54*IF(VLOOKUP($E54,武器奇术!$A:$R,17,FALSE)="破竹",VLOOKUP($E54,武器奇术!$A:$R,4,FALSE),VLOOKUP($E54,武器奇术!$A:$R,2,FALSE))*(1+DF54)*(1+DG54)*DH54</f>
        <v>0</v>
      </c>
      <c r="DJ54" s="110">
        <f>(1-IF(VLOOKUP($E54,武器奇术!$A:$T,20,FALSE)=1,1,$N54))*(1-$M54)</f>
        <v>0.01072666</v>
      </c>
      <c r="DK54" s="112">
        <f>DD54*IF(VLOOKUP($E54,武器奇术!$A:$R,17,FALSE)="破竹",VLOOKUP($E54,武器奇术!$A:$R,4,FALSE),VLOOKUP($E54,武器奇术!$A:$R,2,FALSE))*(1+DF54)*(1+DG54)*DH54*(1+$E$16+VLOOKUP($E54,武器奇术!$A:$R,8,FALSE))</f>
        <v>0</v>
      </c>
      <c r="DL54" s="110">
        <f t="shared" si="33"/>
        <v>0.8813852</v>
      </c>
      <c r="DM54" s="112">
        <f>DE54*IF(VLOOKUP($E54,武器奇术!$A:$R,17,FALSE)="破竹",VLOOKUP($E54,武器奇术!$A:$R,4,FALSE),VLOOKUP($E54,武器奇术!$A:$R,2,FALSE))*(1+DF54)*(1+DG54)*DH54*(1+$E$17+VLOOKUP($E54,武器奇术!$A:$R,10,FALSE))</f>
        <v>0</v>
      </c>
      <c r="DN54" s="110">
        <f t="shared" si="34"/>
        <v>0.0986</v>
      </c>
      <c r="DO54" s="112">
        <f>DD54*IF(VLOOKUP($E54,武器奇术!$A:$R,17,FALSE)="破竹",VLOOKUP($E54,武器奇术!$A:$R,4,FALSE),VLOOKUP($E54,武器奇术!$A:$R,2,FALSE))*(1+DF54)*(1+DG54)*DH54</f>
        <v>0</v>
      </c>
      <c r="DP54" s="110">
        <f t="shared" si="35"/>
        <v>0.00928814000000003</v>
      </c>
      <c r="DQ54" s="113">
        <f t="shared" si="36"/>
        <v>0</v>
      </c>
    </row>
    <row r="55" customFormat="1" spans="1:121">
      <c r="B55" s="103" t="s">
        <v>147</v>
      </c>
      <c r="C55" s="141"/>
      <c r="D55" s="142"/>
      <c r="E55" s="98" t="str">
        <f>期望!E55</f>
        <v>拳甲Q一段(气竭)</v>
      </c>
      <c r="F55" s="99">
        <f>期望!F55</f>
        <v>1</v>
      </c>
      <c r="G55" s="115"/>
      <c r="H55" s="100">
        <f>IF(VLOOKUP($E55,武器奇术!$A:$R,18,FALSE)="天工",AE55,(AE55+AT55+BI55+BX55+CM55+DB55+DQ55))*(1+J55)*F55*K55*(1+G55)</f>
        <v>19363.4768027594</v>
      </c>
      <c r="I55" s="101">
        <f t="shared" si="0"/>
        <v>0.00239067126809947</v>
      </c>
      <c r="J55" s="101">
        <f>$F$3+VLOOKUP($E55,武器奇术!$A:$R,12,FALSE)+VLOOKUP($E55,武器奇术!$A:$R,14,FALSE)*$G$3+$P55</f>
        <v>0.573</v>
      </c>
      <c r="K55" s="102">
        <f>VLOOKUP($E55,武器奇术!$A:$R,11,FALSE)</f>
        <v>1</v>
      </c>
      <c r="L55" s="117">
        <f>IF(VLOOKUP($E55,武器奇术!$A:$R,15,FALSE)="天工",0%,IF($C$17+VLOOKUP($E55,武器奇术!$A:$R,7,FALSE)&gt;80%,80%,$C$17+VLOOKUP($E55,武器奇术!$A:$R,7,FALSE))+IF($C$19&gt;20%,20%,$C$19))</f>
        <v>0.892</v>
      </c>
      <c r="M55" s="118">
        <f>IF(VLOOKUP($E55,武器奇术!$A:$R,15,FALSE)="天工",0%,IF($C$18+VLOOKUP($E55,武器奇术!$A:$R,9,FALSE)&gt;40%,40%,$C$18+VLOOKUP($E55,武器奇术!$A:$R,9,FALSE))+IF($C$20&gt;10%,10%,$C$20))</f>
        <v>0.0986</v>
      </c>
      <c r="N55" s="119">
        <f>IF(VLOOKUP($E55,武器奇术!$A:$R,15,FALSE)="天工",100%,MIN($C$16,1))</f>
        <v>0.9881</v>
      </c>
      <c r="O55" s="120" t="str">
        <f>VLOOKUP($E55,武器奇术!$A:$R,16,FALSE)</f>
        <v>拳甲</v>
      </c>
      <c r="P55" s="121">
        <f t="shared" si="37"/>
        <v>0.17</v>
      </c>
      <c r="Q55" s="108">
        <f>$B$5*(1+VLOOKUP($E55,武器奇术!$A:$R,5,FALSE)+IF($G$5="飞隼",0.1,0)+IF($G$5="撼天",0.05,0))-$F$9+IF($I$5="√",160,0)</f>
        <v>1731.135</v>
      </c>
      <c r="R55" s="99">
        <f>IF(VLOOKUP($E55,武器奇术!$A:$Z,20,FALSE)=1,(S55-(Q55+S55)*0.5)*($G$15-0.5)*2+(Q55+S55)*0.5,(Q55+S55)*0.5)</f>
        <v>3256.775</v>
      </c>
      <c r="S55" s="109">
        <f>MAX($C$5,$B$5)*(1+VLOOKUP($E55,武器奇术!$A:$R,5,FALSE)+IF($G$5="飞隼",0.1,0)+IF($G$5="撼天",0.05,0))-$F$9+IF($I$5="√",320,0)</f>
        <v>4782.415</v>
      </c>
      <c r="T55" s="101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U55" s="111">
        <f>$E$5+IF(VLOOKUP($E55,武器奇术!$A:$U,21,FALSE)=1,0,0.09)</f>
        <v>0.115</v>
      </c>
      <c r="V55" s="109">
        <v>1</v>
      </c>
      <c r="W55" s="112">
        <f>Q55*VLOOKUP($E55,武器奇术!$A:$R,2,FALSE)*(1+T55)*(1+U55)*V55</f>
        <v>2638.25911409603</v>
      </c>
      <c r="X55" s="110">
        <f>(1-IF(VLOOKUP($E55,武器奇术!$A:$T,20,FALSE)=1,1,$N55))*(1-$M55)</f>
        <v>0.01072666</v>
      </c>
      <c r="Y55" s="112">
        <f>R55*VLOOKUP($E55,武器奇术!$A:$R,2,FALSE)*(1+T55)*(1+U55)*V55*(1+$E$16+VLOOKUP($E55,武器奇术!$A:$R,8,FALSE))</f>
        <v>8139.88208611607</v>
      </c>
      <c r="Z55" s="110">
        <f t="shared" si="1"/>
        <v>0.8813852</v>
      </c>
      <c r="AA55" s="112">
        <f>S55*VLOOKUP($E55,武器奇术!$A:$R,2,FALSE)*(1+T55)*(1+U55)*V55*(1+$E$17+VLOOKUP($E55,武器奇术!$A:$R,10,FALSE))</f>
        <v>9839.37558164925</v>
      </c>
      <c r="AB55" s="110">
        <f t="shared" si="2"/>
        <v>0.0986</v>
      </c>
      <c r="AC55" s="112">
        <f>R55*VLOOKUP($E55,武器奇术!$A:$R,2,FALSE)*(1+T55)*(1+U55)*V55</f>
        <v>4963.34273543662</v>
      </c>
      <c r="AD55" s="110">
        <f t="shared" si="3"/>
        <v>0.00928814000000003</v>
      </c>
      <c r="AE55" s="113">
        <f t="shared" si="4"/>
        <v>8218.93396350197</v>
      </c>
      <c r="AF55" s="114">
        <f>VLOOKUP($E55,武器奇术!$A:$R,3,FALSE)*(1+IF(VLOOKUP($E55,武器奇术!$A:$R,15,FALSE)="武器",$E$15,0))</f>
        <v>396.5</v>
      </c>
      <c r="AG55" s="112">
        <f t="shared" si="5"/>
        <v>396.5</v>
      </c>
      <c r="AH55" s="112">
        <f>VLOOKUP($E55,武器奇术!$A:$R,3,FALSE)*(1+IF(VLOOKUP($E55,武器奇术!$A:$R,15,FALSE)="武器",$E$15,0))</f>
        <v>396.5</v>
      </c>
      <c r="AI55" s="101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0.242</v>
      </c>
      <c r="AJ55" s="111">
        <f>$E$5+IF(VLOOKUP($E55,武器奇术!$A:$U,21,FALSE)=1,0,0.09)</f>
        <v>0.115</v>
      </c>
      <c r="AK55" s="109">
        <v>1</v>
      </c>
      <c r="AL55" s="112">
        <f t="shared" si="6"/>
        <v>549.085095</v>
      </c>
      <c r="AM55" s="110">
        <f>(1-IF(VLOOKUP($E55,武器奇术!$A:$T,20,FALSE)=1,1,$N55))*(1-$M55)</f>
        <v>0.01072666</v>
      </c>
      <c r="AN55" s="112">
        <f>AG55*(1+AI55)*(1+AJ55)*AK55*(1+$E$16+VLOOKUP($E55,武器奇术!$A:$R,8,FALSE))</f>
        <v>900.4995558</v>
      </c>
      <c r="AO55" s="110">
        <f t="shared" si="7"/>
        <v>0.8813852</v>
      </c>
      <c r="AP55" s="112">
        <f>AH55*(1+AI55)*(1+AJ55)*AK55*(1+$E$17+VLOOKUP($E55,武器奇术!$A:$R,10,FALSE))</f>
        <v>741.26487825</v>
      </c>
      <c r="AQ55" s="110">
        <f t="shared" si="8"/>
        <v>0.0986</v>
      </c>
      <c r="AR55" s="112">
        <f t="shared" si="9"/>
        <v>549.085095</v>
      </c>
      <c r="AS55" s="110">
        <f t="shared" si="10"/>
        <v>0.00928814000000003</v>
      </c>
      <c r="AT55" s="113">
        <f t="shared" si="11"/>
        <v>877.76552644355</v>
      </c>
      <c r="AU55" s="108">
        <f>$B$7*IF($G$5="撼天",1.05,1)+IF(AND(VLOOKUP($E55,武器奇术!$A:$R,15,FALSE)="武器",VLOOKUP($E55,武器奇术!$A:$R,17,FALSE)="鸣金"),$E$3,0)*(1+$E$15)</f>
        <v>0</v>
      </c>
      <c r="AV55" s="99">
        <f>(AU55+AW55)*IF(VLOOKUP($E55,武器奇术!$A:$Z,21,FALSE)=1,$G$15,0.5)</f>
        <v>0</v>
      </c>
      <c r="AW55" s="109">
        <f>MAX($C$7*IF($G$5="撼天",1.05,1)+IF(AND(VLOOKUP($E55,武器奇术!$A:$R,15,FALSE)="武器",VLOOKUP($E55,武器奇术!$A:$R,17,FALSE)="鸣金"),$E$3*(1+$E$15),0),AU55)</f>
        <v>0</v>
      </c>
      <c r="AX55" s="110">
        <f>IF(($D$7+IF(VLOOKUP($E55,武器奇术!$A:$R,17,FALSE)="鸣金",$D$15,0)+IF(VLOOKUP($E55,武器奇术!$A:$R,18,FALSE)=1,4,0)+IF(VLOOKUP($E55,武器奇术!$A:$S,19,FALSE)=1,20,0)-VLOOKUP($F$7,目标属性!$A:$R,6,FALSE))&gt;0,($D$7+IF(VLOOKUP($E55,武器奇术!$A:$R,17,FALSE)="鸣金",$D$15,0)+IF(VLOOKUP($E55,武器奇术!$A:$R,18,FALSE)=1,4,0)+IF(VLOOKUP($E55,武器奇术!$A:$S,19,FALSE)=1,20,0)-VLOOKUP($F$7,目标属性!$A:$R,6,FALSE))/200,($D$7+IF(VLOOKUP($E55,武器奇术!$A:$R,17,FALSE)="鸣金",$D$15,0)+IF(VLOOKUP($E55,武器奇术!$A:$R,18,FALSE)=1,4,0)+IF(VLOOKUP($E55,武器奇术!$A:$S,19,FALSE)=1,20,0)-VLOOKUP($F$7,目标属性!$A:$R,6,FALSE))/100)</f>
        <v>-0.24</v>
      </c>
      <c r="AY55" s="111">
        <f t="shared" si="12"/>
        <v>0</v>
      </c>
      <c r="AZ55" s="109">
        <v>1</v>
      </c>
      <c r="BA55" s="112">
        <f>AU55*IF(VLOOKUP($E55,武器奇术!$A:$R,17,FALSE)="鸣金",VLOOKUP($E55,武器奇术!$A:$R,4,FALSE),VLOOKUP($E55,武器奇术!$A:$R,2,FALSE))*(1+AX55)*(1+AY55)*AZ55</f>
        <v>0</v>
      </c>
      <c r="BB55" s="110">
        <f>(1-IF(VLOOKUP($E55,武器奇术!$A:$T,20,FALSE)=1,1,$N55))*(1-$M55)</f>
        <v>0.01072666</v>
      </c>
      <c r="BC55" s="112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10">
        <f t="shared" si="13"/>
        <v>0.8813852</v>
      </c>
      <c r="BE55" s="112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10">
        <f t="shared" si="14"/>
        <v>0.0986</v>
      </c>
      <c r="BG55" s="112">
        <f>AV55*IF(VLOOKUP($E55,武器奇术!$A:$R,17,FALSE)="鸣金",VLOOKUP($E55,武器奇术!$A:$R,4,FALSE),VLOOKUP($E55,武器奇术!$A:$R,2,FALSE))*(1+AX55)*(1+AY55)*AZ55</f>
        <v>0</v>
      </c>
      <c r="BH55" s="110">
        <f t="shared" si="15"/>
        <v>0.00928814000000003</v>
      </c>
      <c r="BI55" s="113">
        <f t="shared" si="16"/>
        <v>0</v>
      </c>
      <c r="BJ55" s="108">
        <f>$B$9*IF($G$5="撼天",1.05,1)+IF(AND(VLOOKUP($E55,武器奇术!$A:$R,15,FALSE)="武器",VLOOKUP($E55,武器奇术!$A:$R,17,FALSE)="裂石"),$E$3,0)*(1+$E$15)</f>
        <v>0</v>
      </c>
      <c r="BK55" s="99">
        <f>(BJ55+BL55)*IF(VLOOKUP($E55,武器奇术!$A:$Z,21,FALSE)=1,$G$15,0.5)</f>
        <v>0</v>
      </c>
      <c r="BL55" s="109">
        <f>MAX($C$9*IF($G$5="撼天",1.05,1)+IF(AND(VLOOKUP($E55,武器奇术!$A:$R,15,FALSE)="武器",VLOOKUP($E55,武器奇术!$A:$R,17,FALSE)="裂石"),$E$3*(1+$E$15),0),BJ55)</f>
        <v>0</v>
      </c>
      <c r="BM55" s="110">
        <f>IF(($D$9+IF(VLOOKUP($E55,武器奇术!$A:$R,17,FALSE)="裂石",$D$15,0)+IF(VLOOKUP($E55,武器奇术!$A:$R,18,FALSE)=1,4,0)+IF(VLOOKUP($E55,武器奇术!$A:$S,19,FALSE)=1,20,0)-VLOOKUP($F$7,目标属性!$A:$R,6,FALSE))&gt;0,($D$9+IF(VLOOKUP($E55,武器奇术!$A:$R,17,FALSE)="裂石",$D$15,0)+IF(VLOOKUP($E55,武器奇术!$A:$R,18,FALSE)=1,4,0)+IF(VLOOKUP($E55,武器奇术!$A:$S,19,FALSE)=1,20,0)-VLOOKUP($F$7,目标属性!$A:$R,6,FALSE))/200,($D$9+IF(VLOOKUP($E55,武器奇术!$A:$R,17,FALSE)="裂石",$D$15,0)+IF(VLOOKUP($E55,武器奇术!$A:$R,18,FALSE)=1,4,0)+IF(VLOOKUP($E55,武器奇术!$A:$S,19,FALSE)=1,20,0)-VLOOKUP($F$7,目标属性!$A:$R,6,FALSE))/100)</f>
        <v>-0.24</v>
      </c>
      <c r="BN55" s="111">
        <f t="shared" si="17"/>
        <v>0</v>
      </c>
      <c r="BO55" s="109">
        <v>1</v>
      </c>
      <c r="BP55" s="112">
        <f>BJ55*IF(VLOOKUP($E55,武器奇术!$A:$R,17,FALSE)="裂石",VLOOKUP($E55,武器奇术!$A:$R,4,FALSE),VLOOKUP($E55,武器奇术!$A:$R,2,FALSE))*(1+BM55)*(1+BN55)*BO55</f>
        <v>0</v>
      </c>
      <c r="BQ55" s="110">
        <f>(1-IF(VLOOKUP($E55,武器奇术!$A:$T,20,FALSE)=1,1,$N55))*(1-$M55)</f>
        <v>0.01072666</v>
      </c>
      <c r="BR55" s="112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10">
        <f t="shared" si="18"/>
        <v>0.8813852</v>
      </c>
      <c r="BT55" s="112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10">
        <f t="shared" si="19"/>
        <v>0.0986</v>
      </c>
      <c r="BV55" s="112">
        <f>BK55*IF(VLOOKUP($E55,武器奇术!$A:$R,17,FALSE)="裂石",VLOOKUP($E55,武器奇术!$A:$R,4,FALSE),VLOOKUP($E55,武器奇术!$A:$R,2,FALSE))*(1+BM55)*(1+BN55)*BO55</f>
        <v>0</v>
      </c>
      <c r="BW55" s="110">
        <f t="shared" si="20"/>
        <v>0.00928814000000003</v>
      </c>
      <c r="BX55" s="113">
        <f t="shared" si="21"/>
        <v>0</v>
      </c>
      <c r="BY55" s="108">
        <f>$B$11*IF($G$5="撼天",1.05,1)+IF(AND(VLOOKUP($E55,武器奇术!$A:$R,15,FALSE)="武器",VLOOKUP($E55,武器奇术!$A:$R,17,FALSE)="牵丝"),$E$3,0)*(1+$E$15)</f>
        <v>0</v>
      </c>
      <c r="BZ55" s="99">
        <f>(BY55+CA55)*IF(VLOOKUP($E55,武器奇术!$A:$Z,21,FALSE)=1,$G$15,0.5)</f>
        <v>0</v>
      </c>
      <c r="CA55" s="109">
        <f>MAX($C$11*IF($G$5="撼天",1.05,1)+IF(AND(VLOOKUP($E55,武器奇术!$A:$R,15,FALSE)="武器",VLOOKUP($E55,武器奇术!$A:$R,17,FALSE)="牵丝"),$E$3*(1+$E$15),0),BY55)</f>
        <v>0</v>
      </c>
      <c r="CB55" s="110">
        <f>IF(($D$11+IF(VLOOKUP($E55,武器奇术!$A:$R,17,FALSE)="牵丝",$D$15,0)+IF(VLOOKUP($E55,武器奇术!$A:$R,18,FALSE)=1,4,0)+IF(VLOOKUP($E55,武器奇术!$A:$S,19,FALSE)=1,20,0)-VLOOKUP($F$7,目标属性!$A:$R,6,FALSE))&gt;0,($D$11+IF(VLOOKUP($E55,武器奇术!$A:$R,17,FALSE)="牵丝",$D$15,0)+IF(VLOOKUP($E55,武器奇术!$A:$R,18,FALSE)=1,4,0)+IF(VLOOKUP($E55,武器奇术!$A:$S,19,FALSE)=1,20,0)-VLOOKUP($F$7,目标属性!$A:$R,6,FALSE))/200,($D$11+IF(VLOOKUP($E55,武器奇术!$A:$R,17,FALSE)="牵丝",$D$15,0)+IF(VLOOKUP($E55,武器奇术!$A:$R,18,FALSE)=1,4,0)+IF(VLOOKUP($E55,武器奇术!$A:$S,19,FALSE)=1,20,0)-VLOOKUP($F$7,目标属性!$A:$R,6,FALSE))/100)</f>
        <v>-0.24</v>
      </c>
      <c r="CC55" s="111">
        <f t="shared" si="22"/>
        <v>0</v>
      </c>
      <c r="CD55" s="109">
        <v>1</v>
      </c>
      <c r="CE55" s="112">
        <f>BY55*IF(VLOOKUP($E55,武器奇术!$A:$R,17,FALSE)="牵丝",VLOOKUP($E55,武器奇术!$A:$R,4,FALSE),VLOOKUP($E55,武器奇术!$A:$R,2,FALSE))*(1+CB55)*(1+CC55)*CD55</f>
        <v>0</v>
      </c>
      <c r="CF55" s="110">
        <f>(1-IF(VLOOKUP($E55,武器奇术!$A:$T,20,FALSE)=1,1,$N55))*(1-$M55)</f>
        <v>0.01072666</v>
      </c>
      <c r="CG55" s="112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110">
        <f t="shared" si="23"/>
        <v>0.8813852</v>
      </c>
      <c r="CI55" s="112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110">
        <f t="shared" si="24"/>
        <v>0.0986</v>
      </c>
      <c r="CK55" s="112">
        <f>BZ55*IF(VLOOKUP($E55,武器奇术!$A:$R,17,FALSE)="牵丝",VLOOKUP($E55,武器奇术!$A:$R,4,FALSE),VLOOKUP($E55,武器奇术!$A:$R,2,FALSE))*(1+CB55)*(1+CC55)*CD55</f>
        <v>0</v>
      </c>
      <c r="CL55" s="110">
        <f t="shared" si="25"/>
        <v>0.00928814000000003</v>
      </c>
      <c r="CM55" s="113">
        <f t="shared" si="26"/>
        <v>0</v>
      </c>
      <c r="CN55" s="108">
        <f>$B$13*IF($G$5="撼天",1.05,1)+IF(AND(VLOOKUP($E55,武器奇术!$A:$R,15,FALSE)="武器",VLOOKUP($E55,武器奇术!$A:$R,17,FALSE)="破竹"),$E$3,0)*(1+$E$15)</f>
        <v>648.46</v>
      </c>
      <c r="CO55" s="99">
        <f>(CN55+CP55)*IF(VLOOKUP($E55,武器奇术!$A:$Z,21,FALSE)=1,$G$15,0.5)</f>
        <v>875.26</v>
      </c>
      <c r="CP55" s="109">
        <f>MAX($C$13*IF($G$5="撼天",1.05,1)+IF(AND(VLOOKUP($E55,武器奇术!$A:$R,15,FALSE)="武器",VLOOKUP($E55,武器奇术!$A:$R,17,FALSE)="破竹"),$E$3*(1+$E$15),0),CN55)</f>
        <v>1102.06</v>
      </c>
      <c r="CQ55" s="110">
        <f>IF(($D$13+IF(VLOOKUP($E55,武器奇术!$A:$R,17,FALSE)="破竹",$D$15,0)+IF(VLOOKUP($E55,武器奇术!$A:$R,18,FALSE)=1,4,0)+IF(VLOOKUP($E55,武器奇术!$A:$S,19,FALSE)=1,20,0)-VLOOKUP($F$7,目标属性!$A:$R,6,FALSE))&gt;0,($D$13+IF(VLOOKUP($E55,武器奇术!$A:$R,17,FALSE)="破竹",$D$15,0)+IF(VLOOKUP($E55,武器奇术!$A:$R,18,FALSE)=1,4,0)+IF(VLOOKUP($E55,武器奇术!$A:$S,19,FALSE)=1,20,0)-VLOOKUP($F$7,目标属性!$A:$R,6,FALSE))/200,($D$13+IF(VLOOKUP($E55,武器奇术!$A:$R,17,FALSE)="破竹",$D$15,0)+IF(VLOOKUP($E55,武器奇术!$A:$R,18,FALSE)=1,4,0)+IF(VLOOKUP($E55,武器奇术!$A:$S,19,FALSE)=1,20,0)-VLOOKUP($F$7,目标属性!$A:$R,6,FALSE))/100)</f>
        <v>0.025</v>
      </c>
      <c r="CR55" s="111">
        <f>$E$13+IF(VLOOKUP($E55,武器奇术!$A:$U,21,FALSE)=1,0,0.09)</f>
        <v>0.235</v>
      </c>
      <c r="CS55" s="109">
        <v>1</v>
      </c>
      <c r="CT55" s="112">
        <f>CN55*IF(VLOOKUP($E55,武器奇术!$A:$R,17,FALSE)="破竹",VLOOKUP($E55,武器奇术!$A:$R,4,FALSE),VLOOKUP($E55,武器奇术!$A:$R,2,FALSE))*(1+CQ55)*(1+CR55)*CS55</f>
        <v>1355.00895763675</v>
      </c>
      <c r="CU55" s="110">
        <f>(1-IF(VLOOKUP($E55,武器奇术!$A:$T,20,FALSE)=1,1,$N55))*(1-$M55)</f>
        <v>0.01072666</v>
      </c>
      <c r="CV55" s="112">
        <f>CO55*IF(VLOOKUP($E55,武器奇术!$A:$R,17,FALSE)="破竹",VLOOKUP($E55,武器奇术!$A:$R,4,FALSE),VLOOKUP($E55,武器奇术!$A:$R,2,FALSE))*(1+CQ55)*(1+CR55)*CS55*(1+$E$16+VLOOKUP($E55,武器奇术!$A:$R,8,FALSE))</f>
        <v>2999.43809954087</v>
      </c>
      <c r="CW55" s="110">
        <f t="shared" si="27"/>
        <v>0.8813852</v>
      </c>
      <c r="CX55" s="112">
        <f>CP55*IF(VLOOKUP($E55,武器奇术!$A:$R,17,FALSE)="破竹",VLOOKUP($E55,武器奇术!$A:$R,4,FALSE),VLOOKUP($E55,武器奇术!$A:$R,2,FALSE))*(1+CQ55)*(1+CR55)*CS55*(1+$E$17+VLOOKUP($E55,武器奇术!$A:$R,10,FALSE))</f>
        <v>3108.83721741011</v>
      </c>
      <c r="CY55" s="110">
        <f t="shared" si="28"/>
        <v>0.0986</v>
      </c>
      <c r="CZ55" s="112">
        <f>CO55*IF(VLOOKUP($E55,武器奇术!$A:$R,17,FALSE)="破竹",VLOOKUP($E55,武器奇术!$A:$R,4,FALSE),VLOOKUP($E55,武器奇术!$A:$R,2,FALSE))*(1+CQ55)*(1+CR55)*CS55</f>
        <v>1828.92567045175</v>
      </c>
      <c r="DA55" s="110">
        <f t="shared" si="29"/>
        <v>0.00928814000000003</v>
      </c>
      <c r="DB55" s="113">
        <f t="shared" si="30"/>
        <v>2981.71373695036</v>
      </c>
      <c r="DC55" s="108">
        <f t="shared" si="31"/>
        <v>69.3</v>
      </c>
      <c r="DD55" s="99">
        <f>(DC55+DE55)*IF(VLOOKUP($E55,武器奇术!$A:$Z,21,FALSE)=1,$G$15,0.5)</f>
        <v>69.3</v>
      </c>
      <c r="DE55" s="109">
        <f t="shared" si="32"/>
        <v>69.3</v>
      </c>
      <c r="DF55" s="110">
        <f>IF(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R,18,FALSE)=1,4,0)+IF(VLOOKUP($E55,武器奇术!$A:$S,19,FALSE)=1,20,0)-VLOOKUP($F$7,目标属性!$A:$R,6,FALSE))/100)</f>
        <v>0.025</v>
      </c>
      <c r="DG55" s="111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U,21,FALSE)=1,0,0.09)</f>
        <v>0.235</v>
      </c>
      <c r="DH55" s="109">
        <v>1</v>
      </c>
      <c r="DI55" s="112">
        <f>DC55*IF(VLOOKUP($E55,武器奇术!$A:$R,17,FALSE)="破竹",VLOOKUP($E55,武器奇术!$A:$R,4,FALSE),VLOOKUP($E55,武器奇术!$A:$R,2,FALSE))*(1+DF55)*(1+DG55)*DH55</f>
        <v>144.80788447125</v>
      </c>
      <c r="DJ55" s="110">
        <f>(1-IF(VLOOKUP($E55,武器奇术!$A:$T,20,FALSE)=1,1,$N55))*(1-$M55)</f>
        <v>0.01072666</v>
      </c>
      <c r="DK55" s="112">
        <f>DD55*IF(VLOOKUP($E55,武器奇术!$A:$R,17,FALSE)="破竹",VLOOKUP($E55,武器奇术!$A:$R,4,FALSE),VLOOKUP($E55,武器奇术!$A:$R,2,FALSE))*(1+DF55)*(1+DG55)*DH55*(1+$E$16+VLOOKUP($E55,武器奇术!$A:$R,8,FALSE))</f>
        <v>237.48493053285</v>
      </c>
      <c r="DL55" s="110">
        <f t="shared" si="33"/>
        <v>0.8813852</v>
      </c>
      <c r="DM55" s="112">
        <f>DE55*IF(VLOOKUP($E55,武器奇术!$A:$R,17,FALSE)="破竹",VLOOKUP($E55,武器奇术!$A:$R,4,FALSE),VLOOKUP($E55,武器奇术!$A:$R,2,FALSE))*(1+DF55)*(1+DG55)*DH55*(1+$E$17+VLOOKUP($E55,武器奇术!$A:$R,10,FALSE))</f>
        <v>195.490644036187</v>
      </c>
      <c r="DN55" s="110">
        <f t="shared" si="34"/>
        <v>0.0986</v>
      </c>
      <c r="DO55" s="112">
        <f>DD55*IF(VLOOKUP($E55,武器奇术!$A:$R,17,FALSE)="破竹",VLOOKUP($E55,武器奇术!$A:$R,4,FALSE),VLOOKUP($E55,武器奇术!$A:$R,2,FALSE))*(1+DF55)*(1+DG55)*DH55</f>
        <v>144.80788447125</v>
      </c>
      <c r="DP55" s="110">
        <f t="shared" si="35"/>
        <v>0.00928814000000003</v>
      </c>
      <c r="DQ55" s="113">
        <f t="shared" si="36"/>
        <v>231.489381342765</v>
      </c>
    </row>
    <row r="56" customFormat="1" spans="1:121">
      <c r="B56" s="135"/>
      <c r="C56" s="143"/>
      <c r="D56" s="144"/>
      <c r="E56" s="98" t="str">
        <f>期望!E56</f>
        <v>拳甲～(气竭)</v>
      </c>
      <c r="F56" s="99">
        <f>期望!F56</f>
        <v>1</v>
      </c>
      <c r="G56" s="115"/>
      <c r="H56" s="100">
        <f>IF(VLOOKUP($E56,武器奇术!$A:$R,18,FALSE)="天工",AE56,(AE56+AT56+BI56+BX56+CM56+DB56+DQ56))*(1+J56)*F56*K56*(1+G56)</f>
        <v>42962.0131611005</v>
      </c>
      <c r="I56" s="101">
        <f t="shared" si="0"/>
        <v>0.00530421532920771</v>
      </c>
      <c r="J56" s="101">
        <f>$F$3+VLOOKUP($E56,武器奇术!$A:$R,12,FALSE)+VLOOKUP($E56,武器奇术!$A:$R,14,FALSE)*$G$3+$P56</f>
        <v>0.573</v>
      </c>
      <c r="K56" s="102">
        <f>VLOOKUP($E56,武器奇术!$A:$R,11,FALSE)</f>
        <v>1</v>
      </c>
      <c r="L56" s="117">
        <f>IF(VLOOKUP($E56,武器奇术!$A:$R,15,FALSE)="天工",0%,IF($C$17+VLOOKUP($E56,武器奇术!$A:$R,7,FALSE)&gt;80%,80%,$C$17+VLOOKUP($E56,武器奇术!$A:$R,7,FALSE))+IF($C$19&gt;20%,20%,$C$19))</f>
        <v>0.892</v>
      </c>
      <c r="M56" s="118">
        <f>IF(VLOOKUP($E56,武器奇术!$A:$R,15,FALSE)="天工",0%,IF($C$18+VLOOKUP($E56,武器奇术!$A:$R,9,FALSE)&gt;40%,40%,$C$18+VLOOKUP($E56,武器奇术!$A:$R,9,FALSE))+IF($C$20&gt;10%,10%,$C$20))</f>
        <v>0.0986</v>
      </c>
      <c r="N56" s="119">
        <f>IF(VLOOKUP($E56,武器奇术!$A:$R,15,FALSE)="天工",100%,MIN($C$16,1))</f>
        <v>0.9881</v>
      </c>
      <c r="O56" s="120" t="str">
        <f>VLOOKUP($E56,武器奇术!$A:$R,16,FALSE)</f>
        <v>拳甲</v>
      </c>
      <c r="P56" s="121">
        <f t="shared" si="37"/>
        <v>0.17</v>
      </c>
      <c r="Q56" s="108">
        <f>$B$5*(1+VLOOKUP($E56,武器奇术!$A:$R,5,FALSE)+IF($G$5="飞隼",0.1,0)+IF($G$5="撼天",0.05,0))-$F$9+IF($I$5="√",160,0)</f>
        <v>1731.135</v>
      </c>
      <c r="R56" s="99">
        <f>IF(VLOOKUP($E56,武器奇术!$A:$Z,20,FALSE)=1,(S56-(Q56+S56)*0.5)*($G$15-0.5)*2+(Q56+S56)*0.5,(Q56+S56)*0.5)</f>
        <v>3256.775</v>
      </c>
      <c r="S56" s="109">
        <f>MAX($C$5,$B$5)*(1+VLOOKUP($E56,武器奇术!$A:$R,5,FALSE)+IF($G$5="飞隼",0.1,0)+IF($G$5="撼天",0.05,0))-$F$9+IF($I$5="√",320,0)</f>
        <v>4782.415</v>
      </c>
      <c r="T56" s="101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U56" s="111">
        <f>$E$5+IF(VLOOKUP($E56,武器奇术!$A:$U,21,FALSE)=1,0,0.09)</f>
        <v>0.115</v>
      </c>
      <c r="V56" s="109">
        <v>1</v>
      </c>
      <c r="W56" s="112">
        <f>Q56*VLOOKUP($E56,武器奇术!$A:$R,2,FALSE)*(1+T56)*(1+U56)*V56</f>
        <v>5854.51393233431</v>
      </c>
      <c r="X56" s="110">
        <f>(1-IF(VLOOKUP($E56,武器奇术!$A:$T,20,FALSE)=1,1,$N56))*(1-$M56)</f>
        <v>0.01072666</v>
      </c>
      <c r="Y56" s="112">
        <f>R56*VLOOKUP($E56,武器奇术!$A:$R,2,FALSE)*(1+T56)*(1+U56)*V56*(1+$E$16+VLOOKUP($E56,武器奇术!$A:$R,8,FALSE))</f>
        <v>18063.0677351241</v>
      </c>
      <c r="Z56" s="110">
        <f t="shared" si="1"/>
        <v>0.8813852</v>
      </c>
      <c r="AA56" s="112">
        <f>S56*VLOOKUP($E56,武器奇术!$A:$R,2,FALSE)*(1+T56)*(1+U56)*V56*(1+$E$17+VLOOKUP($E56,武器奇术!$A:$R,10,FALSE))</f>
        <v>21834.3835601505</v>
      </c>
      <c r="AB56" s="110">
        <f t="shared" si="2"/>
        <v>0.0986</v>
      </c>
      <c r="AC56" s="112">
        <f>R56*VLOOKUP($E56,武器奇术!$A:$R,2,FALSE)*(1+T56)*(1+U56)*V56</f>
        <v>11014.0656921488</v>
      </c>
      <c r="AD56" s="110">
        <f t="shared" si="3"/>
        <v>0.00928814000000003</v>
      </c>
      <c r="AE56" s="113">
        <f t="shared" si="4"/>
        <v>18238.490351902</v>
      </c>
      <c r="AF56" s="114">
        <f>VLOOKUP($E56,武器奇术!$A:$R,3,FALSE)*(1+IF(VLOOKUP($E56,武器奇术!$A:$R,15,FALSE)="武器",$E$15,0))</f>
        <v>877.5</v>
      </c>
      <c r="AG56" s="112">
        <f t="shared" si="5"/>
        <v>877.5</v>
      </c>
      <c r="AH56" s="112">
        <f>VLOOKUP($E56,武器奇术!$A:$R,3,FALSE)*(1+IF(VLOOKUP($E56,武器奇术!$A:$R,15,FALSE)="武器",$E$15,0))</f>
        <v>877.5</v>
      </c>
      <c r="AI56" s="101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0.242</v>
      </c>
      <c r="AJ56" s="111">
        <f>$E$5+IF(VLOOKUP($E56,武器奇术!$A:$U,21,FALSE)=1,0,0.09)</f>
        <v>0.115</v>
      </c>
      <c r="AK56" s="109">
        <v>1</v>
      </c>
      <c r="AL56" s="112">
        <f t="shared" si="6"/>
        <v>1215.188325</v>
      </c>
      <c r="AM56" s="110">
        <f>(1-IF(VLOOKUP($E56,武器奇术!$A:$T,20,FALSE)=1,1,$N56))*(1-$M56)</f>
        <v>0.01072666</v>
      </c>
      <c r="AN56" s="112">
        <f>AG56*(1+AI56)*(1+AJ56)*AK56*(1+$E$16+VLOOKUP($E56,武器奇术!$A:$R,8,FALSE))</f>
        <v>1992.908853</v>
      </c>
      <c r="AO56" s="110">
        <f t="shared" si="7"/>
        <v>0.8813852</v>
      </c>
      <c r="AP56" s="112">
        <f>AH56*(1+AI56)*(1+AJ56)*AK56*(1+$E$17+VLOOKUP($E56,武器奇术!$A:$R,10,FALSE))</f>
        <v>1640.50423875</v>
      </c>
      <c r="AQ56" s="110">
        <f t="shared" si="8"/>
        <v>0.0986</v>
      </c>
      <c r="AR56" s="112">
        <f t="shared" si="9"/>
        <v>1215.188325</v>
      </c>
      <c r="AS56" s="110">
        <f t="shared" si="10"/>
        <v>0.00928814000000003</v>
      </c>
      <c r="AT56" s="113">
        <f t="shared" si="11"/>
        <v>1942.59583721114</v>
      </c>
      <c r="AU56" s="108">
        <f>$B$7*IF($G$5="撼天",1.05,1)+IF(AND(VLOOKUP($E56,武器奇术!$A:$R,15,FALSE)="武器",VLOOKUP($E56,武器奇术!$A:$R,17,FALSE)="鸣金"),$E$3,0)*(1+$E$15)</f>
        <v>0</v>
      </c>
      <c r="AV56" s="99">
        <f>(AU56+AW56)*IF(VLOOKUP($E56,武器奇术!$A:$Z,21,FALSE)=1,$G$15,0.5)</f>
        <v>0</v>
      </c>
      <c r="AW56" s="109">
        <f>MAX($C$7*IF($G$5="撼天",1.05,1)+IF(AND(VLOOKUP($E56,武器奇术!$A:$R,15,FALSE)="武器",VLOOKUP($E56,武器奇术!$A:$R,17,FALSE)="鸣金"),$E$3*(1+$E$15),0),AU56)</f>
        <v>0</v>
      </c>
      <c r="AX56" s="110">
        <f>IF(($D$7+IF(VLOOKUP($E56,武器奇术!$A:$R,17,FALSE)="鸣金",$D$15,0)+IF(VLOOKUP($E56,武器奇术!$A:$R,18,FALSE)=1,4,0)+IF(VLOOKUP($E56,武器奇术!$A:$S,19,FALSE)=1,20,0)-VLOOKUP($F$7,目标属性!$A:$R,6,FALSE))&gt;0,($D$7+IF(VLOOKUP($E56,武器奇术!$A:$R,17,FALSE)="鸣金",$D$15,0)+IF(VLOOKUP($E56,武器奇术!$A:$R,18,FALSE)=1,4,0)+IF(VLOOKUP($E56,武器奇术!$A:$S,19,FALSE)=1,20,0)-VLOOKUP($F$7,目标属性!$A:$R,6,FALSE))/200,($D$7+IF(VLOOKUP($E56,武器奇术!$A:$R,17,FALSE)="鸣金",$D$15,0)+IF(VLOOKUP($E56,武器奇术!$A:$R,18,FALSE)=1,4,0)+IF(VLOOKUP($E56,武器奇术!$A:$S,19,FALSE)=1,20,0)-VLOOKUP($F$7,目标属性!$A:$R,6,FALSE))/100)</f>
        <v>-0.24</v>
      </c>
      <c r="AY56" s="111">
        <f t="shared" si="12"/>
        <v>0</v>
      </c>
      <c r="AZ56" s="109">
        <v>1</v>
      </c>
      <c r="BA56" s="112">
        <f>AU56*IF(VLOOKUP($E56,武器奇术!$A:$R,17,FALSE)="鸣金",VLOOKUP($E56,武器奇术!$A:$R,4,FALSE),VLOOKUP($E56,武器奇术!$A:$R,2,FALSE))*(1+AX56)*(1+AY56)*AZ56</f>
        <v>0</v>
      </c>
      <c r="BB56" s="110">
        <f>(1-IF(VLOOKUP($E56,武器奇术!$A:$T,20,FALSE)=1,1,$N56))*(1-$M56)</f>
        <v>0.01072666</v>
      </c>
      <c r="BC56" s="112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10">
        <f t="shared" si="13"/>
        <v>0.8813852</v>
      </c>
      <c r="BE56" s="112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10">
        <f t="shared" si="14"/>
        <v>0.0986</v>
      </c>
      <c r="BG56" s="112">
        <f>AV56*IF(VLOOKUP($E56,武器奇术!$A:$R,17,FALSE)="鸣金",VLOOKUP($E56,武器奇术!$A:$R,4,FALSE),VLOOKUP($E56,武器奇术!$A:$R,2,FALSE))*(1+AX56)*(1+AY56)*AZ56</f>
        <v>0</v>
      </c>
      <c r="BH56" s="110">
        <f t="shared" si="15"/>
        <v>0.00928814000000003</v>
      </c>
      <c r="BI56" s="113">
        <f t="shared" si="16"/>
        <v>0</v>
      </c>
      <c r="BJ56" s="108">
        <f>$B$9*IF($G$5="撼天",1.05,1)+IF(AND(VLOOKUP($E56,武器奇术!$A:$R,15,FALSE)="武器",VLOOKUP($E56,武器奇术!$A:$R,17,FALSE)="裂石"),$E$3,0)*(1+$E$15)</f>
        <v>0</v>
      </c>
      <c r="BK56" s="99">
        <f>(BJ56+BL56)*IF(VLOOKUP($E56,武器奇术!$A:$Z,21,FALSE)=1,$G$15,0.5)</f>
        <v>0</v>
      </c>
      <c r="BL56" s="109">
        <f>MAX($C$9*IF($G$5="撼天",1.05,1)+IF(AND(VLOOKUP($E56,武器奇术!$A:$R,15,FALSE)="武器",VLOOKUP($E56,武器奇术!$A:$R,17,FALSE)="裂石"),$E$3*(1+$E$15),0),BJ56)</f>
        <v>0</v>
      </c>
      <c r="BM56" s="110">
        <f>IF(($D$9+IF(VLOOKUP($E56,武器奇术!$A:$R,17,FALSE)="裂石",$D$15,0)+IF(VLOOKUP($E56,武器奇术!$A:$R,18,FALSE)=1,4,0)+IF(VLOOKUP($E56,武器奇术!$A:$S,19,FALSE)=1,20,0)-VLOOKUP($F$7,目标属性!$A:$R,6,FALSE))&gt;0,($D$9+IF(VLOOKUP($E56,武器奇术!$A:$R,17,FALSE)="裂石",$D$15,0)+IF(VLOOKUP($E56,武器奇术!$A:$R,18,FALSE)=1,4,0)+IF(VLOOKUP($E56,武器奇术!$A:$S,19,FALSE)=1,20,0)-VLOOKUP($F$7,目标属性!$A:$R,6,FALSE))/200,($D$9+IF(VLOOKUP($E56,武器奇术!$A:$R,17,FALSE)="裂石",$D$15,0)+IF(VLOOKUP($E56,武器奇术!$A:$R,18,FALSE)=1,4,0)+IF(VLOOKUP($E56,武器奇术!$A:$S,19,FALSE)=1,20,0)-VLOOKUP($F$7,目标属性!$A:$R,6,FALSE))/100)</f>
        <v>-0.24</v>
      </c>
      <c r="BN56" s="111">
        <f t="shared" si="17"/>
        <v>0</v>
      </c>
      <c r="BO56" s="109">
        <v>1</v>
      </c>
      <c r="BP56" s="112">
        <f>BJ56*IF(VLOOKUP($E56,武器奇术!$A:$R,17,FALSE)="裂石",VLOOKUP($E56,武器奇术!$A:$R,4,FALSE),VLOOKUP($E56,武器奇术!$A:$R,2,FALSE))*(1+BM56)*(1+BN56)*BO56</f>
        <v>0</v>
      </c>
      <c r="BQ56" s="110">
        <f>(1-IF(VLOOKUP($E56,武器奇术!$A:$T,20,FALSE)=1,1,$N56))*(1-$M56)</f>
        <v>0.01072666</v>
      </c>
      <c r="BR56" s="112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10">
        <f t="shared" si="18"/>
        <v>0.8813852</v>
      </c>
      <c r="BT56" s="112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10">
        <f t="shared" si="19"/>
        <v>0.0986</v>
      </c>
      <c r="BV56" s="112">
        <f>BK56*IF(VLOOKUP($E56,武器奇术!$A:$R,17,FALSE)="裂石",VLOOKUP($E56,武器奇术!$A:$R,4,FALSE),VLOOKUP($E56,武器奇术!$A:$R,2,FALSE))*(1+BM56)*(1+BN56)*BO56</f>
        <v>0</v>
      </c>
      <c r="BW56" s="110">
        <f t="shared" si="20"/>
        <v>0.00928814000000003</v>
      </c>
      <c r="BX56" s="113">
        <f t="shared" si="21"/>
        <v>0</v>
      </c>
      <c r="BY56" s="108">
        <f>$B$11*IF($G$5="撼天",1.05,1)+IF(AND(VLOOKUP($E56,武器奇术!$A:$R,15,FALSE)="武器",VLOOKUP($E56,武器奇术!$A:$R,17,FALSE)="牵丝"),$E$3,0)*(1+$E$15)</f>
        <v>0</v>
      </c>
      <c r="BZ56" s="99">
        <f>(BY56+CA56)*IF(VLOOKUP($E56,武器奇术!$A:$Z,21,FALSE)=1,$G$15,0.5)</f>
        <v>0</v>
      </c>
      <c r="CA56" s="109">
        <f>MAX($C$11*IF($G$5="撼天",1.05,1)+IF(AND(VLOOKUP($E56,武器奇术!$A:$R,15,FALSE)="武器",VLOOKUP($E56,武器奇术!$A:$R,17,FALSE)="牵丝"),$E$3*(1+$E$15),0),BY56)</f>
        <v>0</v>
      </c>
      <c r="CB56" s="110">
        <f>IF(($D$11+IF(VLOOKUP($E56,武器奇术!$A:$R,17,FALSE)="牵丝",$D$15,0)+IF(VLOOKUP($E56,武器奇术!$A:$R,18,FALSE)=1,4,0)+IF(VLOOKUP($E56,武器奇术!$A:$S,19,FALSE)=1,20,0)-VLOOKUP($F$7,目标属性!$A:$R,6,FALSE))&gt;0,($D$11+IF(VLOOKUP($E56,武器奇术!$A:$R,17,FALSE)="牵丝",$D$15,0)+IF(VLOOKUP($E56,武器奇术!$A:$R,18,FALSE)=1,4,0)+IF(VLOOKUP($E56,武器奇术!$A:$S,19,FALSE)=1,20,0)-VLOOKUP($F$7,目标属性!$A:$R,6,FALSE))/200,($D$11+IF(VLOOKUP($E56,武器奇术!$A:$R,17,FALSE)="牵丝",$D$15,0)+IF(VLOOKUP($E56,武器奇术!$A:$R,18,FALSE)=1,4,0)+IF(VLOOKUP($E56,武器奇术!$A:$S,19,FALSE)=1,20,0)-VLOOKUP($F$7,目标属性!$A:$R,6,FALSE))/100)</f>
        <v>-0.24</v>
      </c>
      <c r="CC56" s="111">
        <f t="shared" si="22"/>
        <v>0</v>
      </c>
      <c r="CD56" s="109">
        <v>1</v>
      </c>
      <c r="CE56" s="112">
        <f>BY56*IF(VLOOKUP($E56,武器奇术!$A:$R,17,FALSE)="牵丝",VLOOKUP($E56,武器奇术!$A:$R,4,FALSE),VLOOKUP($E56,武器奇术!$A:$R,2,FALSE))*(1+CB56)*(1+CC56)*CD56</f>
        <v>0</v>
      </c>
      <c r="CF56" s="110">
        <f>(1-IF(VLOOKUP($E56,武器奇术!$A:$T,20,FALSE)=1,1,$N56))*(1-$M56)</f>
        <v>0.01072666</v>
      </c>
      <c r="CG56" s="112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110">
        <f t="shared" si="23"/>
        <v>0.8813852</v>
      </c>
      <c r="CI56" s="112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110">
        <f t="shared" si="24"/>
        <v>0.0986</v>
      </c>
      <c r="CK56" s="112">
        <f>BZ56*IF(VLOOKUP($E56,武器奇术!$A:$R,17,FALSE)="牵丝",VLOOKUP($E56,武器奇术!$A:$R,4,FALSE),VLOOKUP($E56,武器奇术!$A:$R,2,FALSE))*(1+CB56)*(1+CC56)*CD56</f>
        <v>0</v>
      </c>
      <c r="CL56" s="110">
        <f t="shared" si="25"/>
        <v>0.00928814000000003</v>
      </c>
      <c r="CM56" s="113">
        <f t="shared" si="26"/>
        <v>0</v>
      </c>
      <c r="CN56" s="108">
        <f>$B$13*IF($G$5="撼天",1.05,1)+IF(AND(VLOOKUP($E56,武器奇术!$A:$R,15,FALSE)="武器",VLOOKUP($E56,武器奇术!$A:$R,17,FALSE)="破竹"),$E$3,0)*(1+$E$15)</f>
        <v>648.46</v>
      </c>
      <c r="CO56" s="99">
        <f>(CN56+CP56)*IF(VLOOKUP($E56,武器奇术!$A:$Z,21,FALSE)=1,$G$15,0.5)</f>
        <v>875.26</v>
      </c>
      <c r="CP56" s="109">
        <f>MAX($C$13*IF($G$5="撼天",1.05,1)+IF(AND(VLOOKUP($E56,武器奇术!$A:$R,15,FALSE)="武器",VLOOKUP($E56,武器奇术!$A:$R,17,FALSE)="破竹"),$E$3*(1+$E$15),0),CN56)</f>
        <v>1102.06</v>
      </c>
      <c r="CQ56" s="110">
        <f>IF(($D$13+IF(VLOOKUP($E56,武器奇术!$A:$R,17,FALSE)="破竹",$D$15,0)+IF(VLOOKUP($E56,武器奇术!$A:$R,18,FALSE)=1,4,0)+IF(VLOOKUP($E56,武器奇术!$A:$S,19,FALSE)=1,20,0)-VLOOKUP($F$7,目标属性!$A:$R,6,FALSE))&gt;0,($D$13+IF(VLOOKUP($E56,武器奇术!$A:$R,17,FALSE)="破竹",$D$15,0)+IF(VLOOKUP($E56,武器奇术!$A:$R,18,FALSE)=1,4,0)+IF(VLOOKUP($E56,武器奇术!$A:$S,19,FALSE)=1,20,0)-VLOOKUP($F$7,目标属性!$A:$R,6,FALSE))/200,($D$13+IF(VLOOKUP($E56,武器奇术!$A:$R,17,FALSE)="破竹",$D$15,0)+IF(VLOOKUP($E56,武器奇术!$A:$R,18,FALSE)=1,4,0)+IF(VLOOKUP($E56,武器奇术!$A:$S,19,FALSE)=1,20,0)-VLOOKUP($F$7,目标属性!$A:$R,6,FALSE))/100)</f>
        <v>0.025</v>
      </c>
      <c r="CR56" s="111">
        <f>$E$13+IF(VLOOKUP($E56,武器奇术!$A:$U,21,FALSE)=1,0,0.09)</f>
        <v>0.235</v>
      </c>
      <c r="CS56" s="109">
        <v>1</v>
      </c>
      <c r="CT56" s="112">
        <f>CN56*IF(VLOOKUP($E56,武器奇术!$A:$R,17,FALSE)="破竹",VLOOKUP($E56,武器奇术!$A:$R,4,FALSE),VLOOKUP($E56,武器奇术!$A:$R,2,FALSE))*(1+CQ56)*(1+CR56)*CS56</f>
        <v>3007.1726027785</v>
      </c>
      <c r="CU56" s="110">
        <f>(1-IF(VLOOKUP($E56,武器奇术!$A:$T,20,FALSE)=1,1,$N56))*(1-$M56)</f>
        <v>0.01072666</v>
      </c>
      <c r="CV56" s="112">
        <f>CO56*IF(VLOOKUP($E56,武器奇术!$A:$R,17,FALSE)="破竹",VLOOKUP($E56,武器奇术!$A:$R,4,FALSE),VLOOKUP($E56,武器奇术!$A:$R,2,FALSE))*(1+CQ56)*(1+CR56)*CS56*(1+$E$16+VLOOKUP($E56,武器奇术!$A:$R,8,FALSE))</f>
        <v>6656.65568174594</v>
      </c>
      <c r="CW56" s="110">
        <f t="shared" si="27"/>
        <v>0.8813852</v>
      </c>
      <c r="CX56" s="112">
        <f>CP56*IF(VLOOKUP($E56,武器奇术!$A:$R,17,FALSE)="破竹",VLOOKUP($E56,武器奇术!$A:$R,4,FALSE),VLOOKUP($E56,武器奇术!$A:$R,2,FALSE))*(1+CQ56)*(1+CR56)*CS56*(1+$E$17+VLOOKUP($E56,武器奇术!$A:$R,10,FALSE))</f>
        <v>6899.44524278198</v>
      </c>
      <c r="CY56" s="110">
        <f t="shared" si="28"/>
        <v>0.0986</v>
      </c>
      <c r="CZ56" s="112">
        <f>CO56*IF(VLOOKUP($E56,武器奇术!$A:$R,17,FALSE)="破竹",VLOOKUP($E56,武器奇术!$A:$R,4,FALSE),VLOOKUP($E56,武器奇术!$A:$R,2,FALSE))*(1+CQ56)*(1+CR56)*CS56</f>
        <v>4058.9363913085</v>
      </c>
      <c r="DA56" s="110">
        <f t="shared" si="29"/>
        <v>0.00928814000000003</v>
      </c>
      <c r="DB56" s="113">
        <f t="shared" si="30"/>
        <v>6617.31998784997</v>
      </c>
      <c r="DC56" s="108">
        <f t="shared" si="31"/>
        <v>69.3</v>
      </c>
      <c r="DD56" s="99">
        <f>(DC56+DE56)*IF(VLOOKUP($E56,武器奇术!$A:$Z,21,FALSE)=1,$G$15,0.5)</f>
        <v>69.3</v>
      </c>
      <c r="DE56" s="109">
        <f t="shared" si="32"/>
        <v>69.3</v>
      </c>
      <c r="DF56" s="110">
        <f>IF(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R,18,FALSE)=1,4,0)+IF(VLOOKUP($E56,武器奇术!$A:$S,19,FALSE)=1,20,0)-VLOOKUP($F$7,目标属性!$A:$R,6,FALSE))/100)</f>
        <v>0.025</v>
      </c>
      <c r="DG56" s="111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U,21,FALSE)=1,0,0.09)</f>
        <v>0.235</v>
      </c>
      <c r="DH56" s="109">
        <v>1</v>
      </c>
      <c r="DI56" s="112">
        <f>DC56*IF(VLOOKUP($E56,武器奇术!$A:$R,17,FALSE)="破竹",VLOOKUP($E56,武器奇术!$A:$R,4,FALSE),VLOOKUP($E56,武器奇术!$A:$R,2,FALSE))*(1+DF56)*(1+DG56)*DH56</f>
        <v>321.3722687175</v>
      </c>
      <c r="DJ56" s="110">
        <f>(1-IF(VLOOKUP($E56,武器奇术!$A:$T,20,FALSE)=1,1,$N56))*(1-$M56)</f>
        <v>0.01072666</v>
      </c>
      <c r="DK56" s="112">
        <f>DD56*IF(VLOOKUP($E56,武器奇术!$A:$R,17,FALSE)="破竹",VLOOKUP($E56,武器奇术!$A:$R,4,FALSE),VLOOKUP($E56,武器奇术!$A:$R,2,FALSE))*(1+DF56)*(1+DG56)*DH56*(1+$E$16+VLOOKUP($E56,武器奇术!$A:$R,8,FALSE))</f>
        <v>527.0505206967</v>
      </c>
      <c r="DL56" s="110">
        <f t="shared" si="33"/>
        <v>0.8813852</v>
      </c>
      <c r="DM56" s="112">
        <f>DE56*IF(VLOOKUP($E56,武器奇术!$A:$R,17,FALSE)="破竹",VLOOKUP($E56,武器奇术!$A:$R,4,FALSE),VLOOKUP($E56,武器奇术!$A:$R,2,FALSE))*(1+DF56)*(1+DG56)*DH56*(1+$E$17+VLOOKUP($E56,武器奇术!$A:$R,10,FALSE))</f>
        <v>433.852562768625</v>
      </c>
      <c r="DN56" s="110">
        <f t="shared" si="34"/>
        <v>0.0986</v>
      </c>
      <c r="DO56" s="112">
        <f>DD56*IF(VLOOKUP($E56,武器奇术!$A:$R,17,FALSE)="破竹",VLOOKUP($E56,武器奇术!$A:$R,4,FALSE),VLOOKUP($E56,武器奇术!$A:$R,2,FALSE))*(1+DF56)*(1+DG56)*DH56</f>
        <v>321.3722687175</v>
      </c>
      <c r="DP56" s="110">
        <f t="shared" si="35"/>
        <v>0.00928814000000003</v>
      </c>
      <c r="DQ56" s="113">
        <f t="shared" si="36"/>
        <v>513.744592967279</v>
      </c>
    </row>
    <row r="57" customFormat="1" spans="1:121">
      <c r="B57" s="135"/>
      <c r="C57" s="143"/>
      <c r="D57" s="144"/>
      <c r="E57" s="98" t="str">
        <f>期望!E57</f>
        <v>拳甲普攻56(气竭)</v>
      </c>
      <c r="F57" s="99">
        <f>期望!F57</f>
        <v>1</v>
      </c>
      <c r="G57" s="115"/>
      <c r="H57" s="100">
        <f>IF(VLOOKUP($E57,武器奇术!$A:$R,18,FALSE)="天工",AE57,(AE57+AT57+BI57+BX57+CM57+DB57+DQ57))*(1+J57)*F57*K57*(1+G57)</f>
        <v>22660.5919110736</v>
      </c>
      <c r="I57" s="101">
        <f t="shared" si="0"/>
        <v>0.0027977427066306</v>
      </c>
      <c r="J57" s="101">
        <f>$F$3+VLOOKUP($E57,武器奇术!$A:$R,12,FALSE)+VLOOKUP($E57,武器奇术!$A:$R,14,FALSE)*$G$3+$P57</f>
        <v>0.573</v>
      </c>
      <c r="K57" s="102">
        <f>VLOOKUP($E57,武器奇术!$A:$R,11,FALSE)</f>
        <v>1</v>
      </c>
      <c r="L57" s="117">
        <f>IF(VLOOKUP($E57,武器奇术!$A:$R,15,FALSE)="天工",0%,IF($C$17+VLOOKUP($E57,武器奇术!$A:$R,7,FALSE)&gt;80%,80%,$C$17+VLOOKUP($E57,武器奇术!$A:$R,7,FALSE))+IF($C$19&gt;20%,20%,$C$19))</f>
        <v>0.892</v>
      </c>
      <c r="M57" s="118">
        <f>IF(VLOOKUP($E57,武器奇术!$A:$R,15,FALSE)="天工",0%,IF($C$18+VLOOKUP($E57,武器奇术!$A:$R,9,FALSE)&gt;40%,40%,$C$18+VLOOKUP($E57,武器奇术!$A:$R,9,FALSE))+IF($C$20&gt;10%,10%,$C$20))</f>
        <v>0.0986</v>
      </c>
      <c r="N57" s="119">
        <f>IF(VLOOKUP($E57,武器奇术!$A:$R,15,FALSE)="天工",100%,MIN($C$16,1))</f>
        <v>0.9881</v>
      </c>
      <c r="O57" s="120" t="str">
        <f>VLOOKUP($E57,武器奇术!$A:$R,16,FALSE)</f>
        <v>拳甲</v>
      </c>
      <c r="P57" s="121">
        <f t="shared" si="37"/>
        <v>0.17</v>
      </c>
      <c r="Q57" s="108">
        <f>$B$5*(1+VLOOKUP($E57,武器奇术!$A:$R,5,FALSE)+IF($G$5="飞隼",0.1,0)+IF($G$5="撼天",0.05,0))-$F$9+IF($I$5="√",160,0)</f>
        <v>1731.135</v>
      </c>
      <c r="R57" s="99">
        <f>IF(VLOOKUP($E57,武器奇术!$A:$Z,20,FALSE)=1,(S57-(Q57+S57)*0.5)*($G$15-0.5)*2+(Q57+S57)*0.5,(Q57+S57)*0.5)</f>
        <v>3256.775</v>
      </c>
      <c r="S57" s="109">
        <f>MAX($C$5,$B$5)*(1+VLOOKUP($E57,武器奇术!$A:$R,5,FALSE)+IF($G$5="飞隼",0.1,0)+IF($G$5="撼天",0.05,0))-$F$9+IF($I$5="√",320,0)</f>
        <v>4782.415</v>
      </c>
      <c r="T57" s="101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U57" s="111">
        <f>$E$5+IF(VLOOKUP($E57,武器奇术!$A:$U,21,FALSE)=1,0,0.09)</f>
        <v>0.115</v>
      </c>
      <c r="V57" s="109">
        <v>1</v>
      </c>
      <c r="W57" s="112">
        <f>Q57*VLOOKUP($E57,武器奇术!$A:$R,2,FALSE)*(1+T57)*(1+U57)*V57</f>
        <v>3086.79912340758</v>
      </c>
      <c r="X57" s="110">
        <f>(1-IF(VLOOKUP($E57,武器奇术!$A:$T,20,FALSE)=1,1,$N57))*(1-$M57)</f>
        <v>0.01072666</v>
      </c>
      <c r="Y57" s="112">
        <f>R57*VLOOKUP($E57,武器奇术!$A:$R,2,FALSE)*(1+T57)*(1+U57)*V57*(1+$E$16+VLOOKUP($E57,武器奇术!$A:$R,8,FALSE))</f>
        <v>9523.77298871699</v>
      </c>
      <c r="Z57" s="110">
        <f t="shared" si="1"/>
        <v>0.8813852</v>
      </c>
      <c r="AA57" s="112">
        <f>S57*VLOOKUP($E57,武器奇术!$A:$R,2,FALSE)*(1+T57)*(1+U57)*V57*(1+$E$17+VLOOKUP($E57,武器奇术!$A:$R,10,FALSE))</f>
        <v>11512.2035428729</v>
      </c>
      <c r="AB57" s="110">
        <f t="shared" si="2"/>
        <v>0.0986</v>
      </c>
      <c r="AC57" s="112">
        <f>R57*VLOOKUP($E57,武器奇术!$A:$R,2,FALSE)*(1+T57)*(1+U57)*V57</f>
        <v>5807.1786516567</v>
      </c>
      <c r="AD57" s="110">
        <f t="shared" si="3"/>
        <v>0.00928814000000003</v>
      </c>
      <c r="AE57" s="113">
        <f t="shared" si="4"/>
        <v>9616.26476274887</v>
      </c>
      <c r="AF57" s="114">
        <f>VLOOKUP($E57,武器奇术!$A:$R,3,FALSE)*(1+IF(VLOOKUP($E57,武器奇术!$A:$R,15,FALSE)="武器",$E$15,0))</f>
        <v>465.4</v>
      </c>
      <c r="AG57" s="112">
        <f t="shared" si="5"/>
        <v>465.4</v>
      </c>
      <c r="AH57" s="112">
        <f>VLOOKUP($E57,武器奇术!$A:$R,3,FALSE)*(1+IF(VLOOKUP($E57,武器奇术!$A:$R,15,FALSE)="武器",$E$15,0))</f>
        <v>465.4</v>
      </c>
      <c r="AI57" s="101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0.242</v>
      </c>
      <c r="AJ57" s="111">
        <f>$E$5+IF(VLOOKUP($E57,武器奇术!$A:$U,21,FALSE)=1,0,0.09)</f>
        <v>0.115</v>
      </c>
      <c r="AK57" s="109">
        <v>1</v>
      </c>
      <c r="AL57" s="112">
        <f t="shared" si="6"/>
        <v>644.499882</v>
      </c>
      <c r="AM57" s="110">
        <f>(1-IF(VLOOKUP($E57,武器奇术!$A:$T,20,FALSE)=1,1,$N57))*(1-$M57)</f>
        <v>0.01072666</v>
      </c>
      <c r="AN57" s="112">
        <f>AG57*(1+AI57)*(1+AJ57)*AK57*(1+$E$16+VLOOKUP($E57,武器奇术!$A:$R,8,FALSE))</f>
        <v>1056.97980648</v>
      </c>
      <c r="AO57" s="110">
        <f t="shared" si="7"/>
        <v>0.8813852</v>
      </c>
      <c r="AP57" s="112">
        <f>AH57*(1+AI57)*(1+AJ57)*AK57*(1+$E$17+VLOOKUP($E57,武器奇术!$A:$R,10,FALSE))</f>
        <v>870.0748407</v>
      </c>
      <c r="AQ57" s="110">
        <f t="shared" si="8"/>
        <v>0.0986</v>
      </c>
      <c r="AR57" s="112">
        <f t="shared" si="9"/>
        <v>644.499882</v>
      </c>
      <c r="AS57" s="110">
        <f t="shared" si="10"/>
        <v>0.00928814000000003</v>
      </c>
      <c r="AT57" s="113">
        <f t="shared" si="11"/>
        <v>1030.29527366161</v>
      </c>
      <c r="AU57" s="108">
        <f>$B$7*IF($G$5="撼天",1.05,1)+IF(AND(VLOOKUP($E57,武器奇术!$A:$R,15,FALSE)="武器",VLOOKUP($E57,武器奇术!$A:$R,17,FALSE)="鸣金"),$E$3,0)*(1+$E$15)</f>
        <v>0</v>
      </c>
      <c r="AV57" s="99">
        <f>(AU57+AW57)*IF(VLOOKUP($E57,武器奇术!$A:$Z,21,FALSE)=1,$G$15,0.5)</f>
        <v>0</v>
      </c>
      <c r="AW57" s="109">
        <f>MAX($C$7*IF($G$5="撼天",1.05,1)+IF(AND(VLOOKUP($E57,武器奇术!$A:$R,15,FALSE)="武器",VLOOKUP($E57,武器奇术!$A:$R,17,FALSE)="鸣金"),$E$3*(1+$E$15),0),AU57)</f>
        <v>0</v>
      </c>
      <c r="AX57" s="110">
        <f>IF(($D$7+IF(VLOOKUP($E57,武器奇术!$A:$R,17,FALSE)="鸣金",$D$15,0)+IF(VLOOKUP($E57,武器奇术!$A:$R,18,FALSE)=1,4,0)+IF(VLOOKUP($E57,武器奇术!$A:$S,19,FALSE)=1,20,0)-VLOOKUP($F$7,目标属性!$A:$R,6,FALSE))&gt;0,($D$7+IF(VLOOKUP($E57,武器奇术!$A:$R,17,FALSE)="鸣金",$D$15,0)+IF(VLOOKUP($E57,武器奇术!$A:$R,18,FALSE)=1,4,0)+IF(VLOOKUP($E57,武器奇术!$A:$S,19,FALSE)=1,20,0)-VLOOKUP($F$7,目标属性!$A:$R,6,FALSE))/200,($D$7+IF(VLOOKUP($E57,武器奇术!$A:$R,17,FALSE)="鸣金",$D$15,0)+IF(VLOOKUP($E57,武器奇术!$A:$R,18,FALSE)=1,4,0)+IF(VLOOKUP($E57,武器奇术!$A:$S,19,FALSE)=1,20,0)-VLOOKUP($F$7,目标属性!$A:$R,6,FALSE))/100)</f>
        <v>-0.24</v>
      </c>
      <c r="AY57" s="111">
        <f t="shared" si="12"/>
        <v>0</v>
      </c>
      <c r="AZ57" s="109">
        <v>1</v>
      </c>
      <c r="BA57" s="112">
        <f>AU57*IF(VLOOKUP($E57,武器奇术!$A:$R,17,FALSE)="鸣金",VLOOKUP($E57,武器奇术!$A:$R,4,FALSE),VLOOKUP($E57,武器奇术!$A:$R,2,FALSE))*(1+AX57)*(1+AY57)*AZ57</f>
        <v>0</v>
      </c>
      <c r="BB57" s="110">
        <f>(1-IF(VLOOKUP($E57,武器奇术!$A:$T,20,FALSE)=1,1,$N57))*(1-$M57)</f>
        <v>0.01072666</v>
      </c>
      <c r="BC57" s="112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10">
        <f t="shared" si="13"/>
        <v>0.8813852</v>
      </c>
      <c r="BE57" s="112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10">
        <f t="shared" si="14"/>
        <v>0.0986</v>
      </c>
      <c r="BG57" s="112">
        <f>AV57*IF(VLOOKUP($E57,武器奇术!$A:$R,17,FALSE)="鸣金",VLOOKUP($E57,武器奇术!$A:$R,4,FALSE),VLOOKUP($E57,武器奇术!$A:$R,2,FALSE))*(1+AX57)*(1+AY57)*AZ57</f>
        <v>0</v>
      </c>
      <c r="BH57" s="110">
        <f t="shared" si="15"/>
        <v>0.00928814000000003</v>
      </c>
      <c r="BI57" s="113">
        <f t="shared" si="16"/>
        <v>0</v>
      </c>
      <c r="BJ57" s="108">
        <f>$B$9*IF($G$5="撼天",1.05,1)+IF(AND(VLOOKUP($E57,武器奇术!$A:$R,15,FALSE)="武器",VLOOKUP($E57,武器奇术!$A:$R,17,FALSE)="裂石"),$E$3,0)*(1+$E$15)</f>
        <v>0</v>
      </c>
      <c r="BK57" s="99">
        <f>(BJ57+BL57)*IF(VLOOKUP($E57,武器奇术!$A:$Z,21,FALSE)=1,$G$15,0.5)</f>
        <v>0</v>
      </c>
      <c r="BL57" s="109">
        <f>MAX($C$9*IF($G$5="撼天",1.05,1)+IF(AND(VLOOKUP($E57,武器奇术!$A:$R,15,FALSE)="武器",VLOOKUP($E57,武器奇术!$A:$R,17,FALSE)="裂石"),$E$3*(1+$E$15),0),BJ57)</f>
        <v>0</v>
      </c>
      <c r="BM57" s="110">
        <f>IF(($D$9+IF(VLOOKUP($E57,武器奇术!$A:$R,17,FALSE)="裂石",$D$15,0)+IF(VLOOKUP($E57,武器奇术!$A:$R,18,FALSE)=1,4,0)+IF(VLOOKUP($E57,武器奇术!$A:$S,19,FALSE)=1,20,0)-VLOOKUP($F$7,目标属性!$A:$R,6,FALSE))&gt;0,($D$9+IF(VLOOKUP($E57,武器奇术!$A:$R,17,FALSE)="裂石",$D$15,0)+IF(VLOOKUP($E57,武器奇术!$A:$R,18,FALSE)=1,4,0)+IF(VLOOKUP($E57,武器奇术!$A:$S,19,FALSE)=1,20,0)-VLOOKUP($F$7,目标属性!$A:$R,6,FALSE))/200,($D$9+IF(VLOOKUP($E57,武器奇术!$A:$R,17,FALSE)="裂石",$D$15,0)+IF(VLOOKUP($E57,武器奇术!$A:$R,18,FALSE)=1,4,0)+IF(VLOOKUP($E57,武器奇术!$A:$S,19,FALSE)=1,20,0)-VLOOKUP($F$7,目标属性!$A:$R,6,FALSE))/100)</f>
        <v>-0.24</v>
      </c>
      <c r="BN57" s="111">
        <f t="shared" si="17"/>
        <v>0</v>
      </c>
      <c r="BO57" s="109">
        <v>1</v>
      </c>
      <c r="BP57" s="112">
        <f>BJ57*IF(VLOOKUP($E57,武器奇术!$A:$R,17,FALSE)="裂石",VLOOKUP($E57,武器奇术!$A:$R,4,FALSE),VLOOKUP($E57,武器奇术!$A:$R,2,FALSE))*(1+BM57)*(1+BN57)*BO57</f>
        <v>0</v>
      </c>
      <c r="BQ57" s="110">
        <f>(1-IF(VLOOKUP($E57,武器奇术!$A:$T,20,FALSE)=1,1,$N57))*(1-$M57)</f>
        <v>0.01072666</v>
      </c>
      <c r="BR57" s="112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10">
        <f t="shared" si="18"/>
        <v>0.8813852</v>
      </c>
      <c r="BT57" s="112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10">
        <f t="shared" si="19"/>
        <v>0.0986</v>
      </c>
      <c r="BV57" s="112">
        <f>BK57*IF(VLOOKUP($E57,武器奇术!$A:$R,17,FALSE)="裂石",VLOOKUP($E57,武器奇术!$A:$R,4,FALSE),VLOOKUP($E57,武器奇术!$A:$R,2,FALSE))*(1+BM57)*(1+BN57)*BO57</f>
        <v>0</v>
      </c>
      <c r="BW57" s="110">
        <f t="shared" si="20"/>
        <v>0.00928814000000003</v>
      </c>
      <c r="BX57" s="113">
        <f t="shared" si="21"/>
        <v>0</v>
      </c>
      <c r="BY57" s="108">
        <f>$B$11*IF($G$5="撼天",1.05,1)+IF(AND(VLOOKUP($E57,武器奇术!$A:$R,15,FALSE)="武器",VLOOKUP($E57,武器奇术!$A:$R,17,FALSE)="牵丝"),$E$3,0)*(1+$E$15)</f>
        <v>0</v>
      </c>
      <c r="BZ57" s="99">
        <f>(BY57+CA57)*IF(VLOOKUP($E57,武器奇术!$A:$Z,21,FALSE)=1,$G$15,0.5)</f>
        <v>0</v>
      </c>
      <c r="CA57" s="109">
        <f>MAX($C$11*IF($G$5="撼天",1.05,1)+IF(AND(VLOOKUP($E57,武器奇术!$A:$R,15,FALSE)="武器",VLOOKUP($E57,武器奇术!$A:$R,17,FALSE)="牵丝"),$E$3*(1+$E$15),0),BY57)</f>
        <v>0</v>
      </c>
      <c r="CB57" s="110">
        <f>IF(($D$11+IF(VLOOKUP($E57,武器奇术!$A:$R,17,FALSE)="牵丝",$D$15,0)+IF(VLOOKUP($E57,武器奇术!$A:$R,18,FALSE)=1,4,0)+IF(VLOOKUP($E57,武器奇术!$A:$S,19,FALSE)=1,20,0)-VLOOKUP($F$7,目标属性!$A:$R,6,FALSE))&gt;0,($D$11+IF(VLOOKUP($E57,武器奇术!$A:$R,17,FALSE)="牵丝",$D$15,0)+IF(VLOOKUP($E57,武器奇术!$A:$R,18,FALSE)=1,4,0)+IF(VLOOKUP($E57,武器奇术!$A:$S,19,FALSE)=1,20,0)-VLOOKUP($F$7,目标属性!$A:$R,6,FALSE))/200,($D$11+IF(VLOOKUP($E57,武器奇术!$A:$R,17,FALSE)="牵丝",$D$15,0)+IF(VLOOKUP($E57,武器奇术!$A:$R,18,FALSE)=1,4,0)+IF(VLOOKUP($E57,武器奇术!$A:$S,19,FALSE)=1,20,0)-VLOOKUP($F$7,目标属性!$A:$R,6,FALSE))/100)</f>
        <v>-0.24</v>
      </c>
      <c r="CC57" s="111">
        <f t="shared" si="22"/>
        <v>0</v>
      </c>
      <c r="CD57" s="109">
        <v>1</v>
      </c>
      <c r="CE57" s="112">
        <f>BY57*IF(VLOOKUP($E57,武器奇术!$A:$R,17,FALSE)="牵丝",VLOOKUP($E57,武器奇术!$A:$R,4,FALSE),VLOOKUP($E57,武器奇术!$A:$R,2,FALSE))*(1+CB57)*(1+CC57)*CD57</f>
        <v>0</v>
      </c>
      <c r="CF57" s="110">
        <f>(1-IF(VLOOKUP($E57,武器奇术!$A:$T,20,FALSE)=1,1,$N57))*(1-$M57)</f>
        <v>0.01072666</v>
      </c>
      <c r="CG57" s="112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110">
        <f t="shared" si="23"/>
        <v>0.8813852</v>
      </c>
      <c r="CI57" s="112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110">
        <f t="shared" si="24"/>
        <v>0.0986</v>
      </c>
      <c r="CK57" s="112">
        <f>BZ57*IF(VLOOKUP($E57,武器奇术!$A:$R,17,FALSE)="牵丝",VLOOKUP($E57,武器奇术!$A:$R,4,FALSE),VLOOKUP($E57,武器奇术!$A:$R,2,FALSE))*(1+CB57)*(1+CC57)*CD57</f>
        <v>0</v>
      </c>
      <c r="CL57" s="110">
        <f t="shared" si="25"/>
        <v>0.00928814000000003</v>
      </c>
      <c r="CM57" s="113">
        <f t="shared" si="26"/>
        <v>0</v>
      </c>
      <c r="CN57" s="108">
        <f>$B$13*IF($G$5="撼天",1.05,1)+IF(AND(VLOOKUP($E57,武器奇术!$A:$R,15,FALSE)="武器",VLOOKUP($E57,武器奇术!$A:$R,17,FALSE)="破竹"),$E$3,0)*(1+$E$15)</f>
        <v>648.46</v>
      </c>
      <c r="CO57" s="99">
        <f>(CN57+CP57)*IF(VLOOKUP($E57,武器奇术!$A:$Z,21,FALSE)=1,$G$15,0.5)</f>
        <v>875.26</v>
      </c>
      <c r="CP57" s="109">
        <f>MAX($C$13*IF($G$5="撼天",1.05,1)+IF(AND(VLOOKUP($E57,武器奇术!$A:$R,15,FALSE)="武器",VLOOKUP($E57,武器奇术!$A:$R,17,FALSE)="破竹"),$E$3*(1+$E$15),0),CN57)</f>
        <v>1102.06</v>
      </c>
      <c r="CQ57" s="110">
        <f>IF(($D$13+IF(VLOOKUP($E57,武器奇术!$A:$R,17,FALSE)="破竹",$D$15,0)+IF(VLOOKUP($E57,武器奇术!$A:$R,18,FALSE)=1,4,0)+IF(VLOOKUP($E57,武器奇术!$A:$S,19,FALSE)=1,20,0)-VLOOKUP($F$7,目标属性!$A:$R,6,FALSE))&gt;0,($D$13+IF(VLOOKUP($E57,武器奇术!$A:$R,17,FALSE)="破竹",$D$15,0)+IF(VLOOKUP($E57,武器奇术!$A:$R,18,FALSE)=1,4,0)+IF(VLOOKUP($E57,武器奇术!$A:$S,19,FALSE)=1,20,0)-VLOOKUP($F$7,目标属性!$A:$R,6,FALSE))/200,($D$13+IF(VLOOKUP($E57,武器奇术!$A:$R,17,FALSE)="破竹",$D$15,0)+IF(VLOOKUP($E57,武器奇术!$A:$R,18,FALSE)=1,4,0)+IF(VLOOKUP($E57,武器奇术!$A:$S,19,FALSE)=1,20,0)-VLOOKUP($F$7,目标属性!$A:$R,6,FALSE))/100)</f>
        <v>0.025</v>
      </c>
      <c r="CR57" s="111">
        <f>$E$13+IF(VLOOKUP($E57,武器奇术!$A:$U,21,FALSE)=1,0,0.09)</f>
        <v>0.235</v>
      </c>
      <c r="CS57" s="109">
        <v>1</v>
      </c>
      <c r="CT57" s="112">
        <f>CN57*IF(VLOOKUP($E57,武器奇术!$A:$R,17,FALSE)="破竹",VLOOKUP($E57,武器奇术!$A:$R,4,FALSE),VLOOKUP($E57,武器奇术!$A:$R,2,FALSE))*(1+CQ57)*(1+CR57)*CS57</f>
        <v>1585.34488391825</v>
      </c>
      <c r="CU57" s="110">
        <f>(1-IF(VLOOKUP($E57,武器奇术!$A:$T,20,FALSE)=1,1,$N57))*(1-$M57)</f>
        <v>0.01072666</v>
      </c>
      <c r="CV57" s="112">
        <f>CO57*IF(VLOOKUP($E57,武器奇术!$A:$R,17,FALSE)="破竹",VLOOKUP($E57,武器奇术!$A:$R,4,FALSE),VLOOKUP($E57,武器奇术!$A:$R,2,FALSE))*(1+CQ57)*(1+CR57)*CS57*(1+$E$16+VLOOKUP($E57,武器奇术!$A:$R,8,FALSE))</f>
        <v>3509.30805212533</v>
      </c>
      <c r="CW57" s="110">
        <f t="shared" si="27"/>
        <v>0.8813852</v>
      </c>
      <c r="CX57" s="112">
        <f>CP57*IF(VLOOKUP($E57,武器奇术!$A:$R,17,FALSE)="破竹",VLOOKUP($E57,武器奇术!$A:$R,4,FALSE),VLOOKUP($E57,武器奇术!$A:$R,2,FALSE))*(1+CQ57)*(1+CR57)*CS57*(1+$E$17+VLOOKUP($E57,武器奇术!$A:$R,10,FALSE))</f>
        <v>3637.30376081914</v>
      </c>
      <c r="CY57" s="110">
        <f t="shared" si="28"/>
        <v>0.0986</v>
      </c>
      <c r="CZ57" s="112">
        <f>CO57*IF(VLOOKUP($E57,武器奇术!$A:$R,17,FALSE)="破竹",VLOOKUP($E57,武器奇术!$A:$R,4,FALSE),VLOOKUP($E57,武器奇术!$A:$R,2,FALSE))*(1+CQ57)*(1+CR57)*CS57</f>
        <v>2139.82198300325</v>
      </c>
      <c r="DA57" s="110">
        <f t="shared" si="29"/>
        <v>0.00928814000000003</v>
      </c>
      <c r="DB57" s="113">
        <f t="shared" si="30"/>
        <v>3488.5707519066</v>
      </c>
      <c r="DC57" s="108">
        <f t="shared" si="31"/>
        <v>69.3</v>
      </c>
      <c r="DD57" s="99">
        <f>(DC57+DE57)*IF(VLOOKUP($E57,武器奇术!$A:$Z,21,FALSE)=1,$G$15,0.5)</f>
        <v>69.3</v>
      </c>
      <c r="DE57" s="109">
        <f t="shared" si="32"/>
        <v>69.3</v>
      </c>
      <c r="DF57" s="110">
        <f>IF(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R,18,FALSE)=1,4,0)+IF(VLOOKUP($E57,武器奇术!$A:$S,19,FALSE)=1,20,0)-VLOOKUP($F$7,目标属性!$A:$R,6,FALSE))/100)</f>
        <v>0.025</v>
      </c>
      <c r="DG57" s="111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U,21,FALSE)=1,0,0.09)</f>
        <v>0.235</v>
      </c>
      <c r="DH57" s="109">
        <v>1</v>
      </c>
      <c r="DI57" s="112">
        <f>DC57*IF(VLOOKUP($E57,武器奇术!$A:$R,17,FALSE)="破竹",VLOOKUP($E57,武器奇术!$A:$R,4,FALSE),VLOOKUP($E57,武器奇术!$A:$R,2,FALSE))*(1+DF57)*(1+DG57)*DH57</f>
        <v>169.42355805375</v>
      </c>
      <c r="DJ57" s="110">
        <f>(1-IF(VLOOKUP($E57,武器奇术!$A:$T,20,FALSE)=1,1,$N57))*(1-$M57)</f>
        <v>0.01072666</v>
      </c>
      <c r="DK57" s="112">
        <f>DD57*IF(VLOOKUP($E57,武器奇术!$A:$R,17,FALSE)="破竹",VLOOKUP($E57,武器奇术!$A:$R,4,FALSE),VLOOKUP($E57,武器奇术!$A:$R,2,FALSE))*(1+DF57)*(1+DG57)*DH57*(1+$E$16+VLOOKUP($E57,武器奇术!$A:$R,8,FALSE))</f>
        <v>277.85463520815</v>
      </c>
      <c r="DL57" s="110">
        <f t="shared" si="33"/>
        <v>0.8813852</v>
      </c>
      <c r="DM57" s="112">
        <f>DE57*IF(VLOOKUP($E57,武器奇术!$A:$R,17,FALSE)="破竹",VLOOKUP($E57,武器奇术!$A:$R,4,FALSE),VLOOKUP($E57,武器奇术!$A:$R,2,FALSE))*(1+DF57)*(1+DG57)*DH57*(1+$E$17+VLOOKUP($E57,武器奇术!$A:$R,10,FALSE))</f>
        <v>228.721803372562</v>
      </c>
      <c r="DN57" s="110">
        <f t="shared" si="34"/>
        <v>0.0986</v>
      </c>
      <c r="DO57" s="112">
        <f>DD57*IF(VLOOKUP($E57,武器奇术!$A:$R,17,FALSE)="破竹",VLOOKUP($E57,武器奇术!$A:$R,4,FALSE),VLOOKUP($E57,武器奇术!$A:$R,2,FALSE))*(1+DF57)*(1+DG57)*DH57</f>
        <v>169.42355805375</v>
      </c>
      <c r="DP57" s="110">
        <f t="shared" si="35"/>
        <v>0.00928814000000003</v>
      </c>
      <c r="DQ57" s="113">
        <f t="shared" si="36"/>
        <v>270.839911666131</v>
      </c>
    </row>
    <row r="58" customFormat="1" spans="1:121">
      <c r="B58" s="135"/>
      <c r="C58" s="143"/>
      <c r="D58" s="144"/>
      <c r="E58" s="98" t="str">
        <f>期望!E58</f>
        <v>鹰隼追击(拳甲)+气竭</v>
      </c>
      <c r="F58" s="99">
        <f>期望!F58</f>
        <v>1</v>
      </c>
      <c r="G58" s="115"/>
      <c r="H58" s="100">
        <f>IF(VLOOKUP($E58,武器奇术!$A:$R,18,FALSE)="天工",AE58,(AE58+AT58+BI58+BX58+CM58+DB58+DQ58))*(1+J58)*F58*K58*(1+G58)</f>
        <v>50067.382471381</v>
      </c>
      <c r="I58" s="101">
        <f t="shared" si="0"/>
        <v>0.00618146492814867</v>
      </c>
      <c r="J58" s="101">
        <f>$F$3+VLOOKUP($E58,武器奇术!$A:$R,12,FALSE)+VLOOKUP($E58,武器奇术!$A:$R,14,FALSE)*$G$3+$P58</f>
        <v>0.873</v>
      </c>
      <c r="K58" s="102">
        <f>VLOOKUP($E58,武器奇术!$A:$R,11,FALSE)</f>
        <v>1</v>
      </c>
      <c r="L58" s="117">
        <f>IF(VLOOKUP($E58,武器奇术!$A:$R,15,FALSE)="天工",0%,IF($C$17+VLOOKUP($E58,武器奇术!$A:$R,7,FALSE)&gt;80%,80%,$C$17+VLOOKUP($E58,武器奇术!$A:$R,7,FALSE))+IF($C$19&gt;20%,20%,$C$19))</f>
        <v>0.892</v>
      </c>
      <c r="M58" s="118">
        <f>IF(VLOOKUP($E58,武器奇术!$A:$R,15,FALSE)="天工",0%,IF($C$18+VLOOKUP($E58,武器奇术!$A:$R,9,FALSE)&gt;40%,40%,$C$18+VLOOKUP($E58,武器奇术!$A:$R,9,FALSE))+IF($C$20&gt;10%,10%,$C$20))</f>
        <v>0.0986</v>
      </c>
      <c r="N58" s="119">
        <f>IF(VLOOKUP($E58,武器奇术!$A:$R,15,FALSE)="天工",100%,MIN($C$16,1))</f>
        <v>0.9881</v>
      </c>
      <c r="O58" s="120" t="str">
        <f>VLOOKUP($E58,武器奇术!$A:$R,16,FALSE)</f>
        <v>拳甲</v>
      </c>
      <c r="P58" s="121">
        <f t="shared" si="37"/>
        <v>0.17</v>
      </c>
      <c r="Q58" s="108">
        <f>$B$5*(1+VLOOKUP($E58,武器奇术!$A:$R,5,FALSE)+IF($G$5="飞隼",0.1,0)+IF($G$5="撼天",0.05,0))-$F$9+IF($I$5="√",160,0)</f>
        <v>1731.135</v>
      </c>
      <c r="R58" s="99">
        <f>IF(VLOOKUP($E58,武器奇术!$A:$Z,20,FALSE)=1,(S58-(Q58+S58)*0.5)*($G$15-0.5)*2+(Q58+S58)*0.5,(Q58+S58)*0.5)</f>
        <v>3256.775</v>
      </c>
      <c r="S58" s="109">
        <f>MAX($C$5,$B$5)*(1+VLOOKUP($E58,武器奇术!$A:$R,5,FALSE)+IF($G$5="飞隼",0.1,0)+IF($G$5="撼天",0.05,0))-$F$9+IF($I$5="√",320,0)</f>
        <v>4782.415</v>
      </c>
      <c r="T58" s="101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U58" s="111">
        <f>$E$5+IF(VLOOKUP($E58,武器奇术!$A:$U,21,FALSE)=1,0,0.09)</f>
        <v>0.115</v>
      </c>
      <c r="V58" s="109">
        <v>1</v>
      </c>
      <c r="W58" s="112">
        <f>Q58*VLOOKUP($E58,武器奇术!$A:$R,2,FALSE)*(1+T58)*(1+U58)*V58</f>
        <v>5595.154346628</v>
      </c>
      <c r="X58" s="110">
        <f>(1-IF(VLOOKUP($E58,武器奇术!$A:$T,20,FALSE)=1,1,$N58))*(1-$M58)</f>
        <v>0.01072666</v>
      </c>
      <c r="Y58" s="112">
        <f>R58*VLOOKUP($E58,武器奇术!$A:$R,2,FALSE)*(1+T58)*(1+U58)*V58*(1+$E$16+VLOOKUP($E58,武器奇术!$A:$R,8,FALSE))</f>
        <v>20420.6997528468</v>
      </c>
      <c r="Z58" s="110">
        <f t="shared" si="1"/>
        <v>0.8813852</v>
      </c>
      <c r="AA58" s="112">
        <f>S58*VLOOKUP($E58,武器奇术!$A:$R,2,FALSE)*(1+T58)*(1+U58)*V58*(1+$E$17+VLOOKUP($E58,武器奇术!$A:$R,10,FALSE))</f>
        <v>20867.1031437462</v>
      </c>
      <c r="AB58" s="110">
        <f t="shared" si="2"/>
        <v>0.0986</v>
      </c>
      <c r="AC58" s="112">
        <f>R58*VLOOKUP($E58,武器奇术!$A:$R,2,FALSE)*(1+T58)*(1+U58)*V58</f>
        <v>10526.13389322</v>
      </c>
      <c r="AD58" s="110">
        <f t="shared" si="3"/>
        <v>0.00928814000000003</v>
      </c>
      <c r="AE58" s="113">
        <f t="shared" si="4"/>
        <v>20213.784429359</v>
      </c>
      <c r="AF58" s="114">
        <f>VLOOKUP($E58,武器奇术!$A:$R,3,FALSE)*(1+IF(VLOOKUP($E58,武器奇术!$A:$R,15,FALSE)="武器",$E$15,0))</f>
        <v>0</v>
      </c>
      <c r="AG58" s="112">
        <f t="shared" si="5"/>
        <v>0</v>
      </c>
      <c r="AH58" s="112">
        <f>VLOOKUP($E58,武器奇术!$A:$R,3,FALSE)*(1+IF(VLOOKUP($E58,武器奇术!$A:$R,15,FALSE)="武器",$E$15,0))</f>
        <v>0</v>
      </c>
      <c r="AI58" s="101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0.342</v>
      </c>
      <c r="AJ58" s="111">
        <f>$E$5+IF(VLOOKUP($E58,武器奇术!$A:$U,21,FALSE)=1,0,0.09)</f>
        <v>0.115</v>
      </c>
      <c r="AK58" s="109">
        <v>1</v>
      </c>
      <c r="AL58" s="112">
        <f t="shared" si="6"/>
        <v>0</v>
      </c>
      <c r="AM58" s="110">
        <f>(1-IF(VLOOKUP($E58,武器奇术!$A:$T,20,FALSE)=1,1,$N58))*(1-$M58)</f>
        <v>0.01072666</v>
      </c>
      <c r="AN58" s="112">
        <f>AG58*(1+AI58)*(1+AJ58)*AK58*(1+$E$16+VLOOKUP($E58,武器奇术!$A:$R,8,FALSE))</f>
        <v>0</v>
      </c>
      <c r="AO58" s="110">
        <f t="shared" si="7"/>
        <v>0.8813852</v>
      </c>
      <c r="AP58" s="112">
        <f>AH58*(1+AI58)*(1+AJ58)*AK58*(1+$E$17+VLOOKUP($E58,武器奇术!$A:$R,10,FALSE))</f>
        <v>0</v>
      </c>
      <c r="AQ58" s="110">
        <f t="shared" si="8"/>
        <v>0.0986</v>
      </c>
      <c r="AR58" s="112">
        <f t="shared" si="9"/>
        <v>0</v>
      </c>
      <c r="AS58" s="110">
        <f t="shared" si="10"/>
        <v>0.00928814000000003</v>
      </c>
      <c r="AT58" s="113">
        <f t="shared" si="11"/>
        <v>0</v>
      </c>
      <c r="AU58" s="108">
        <f>$B$7*IF($G$5="撼天",1.05,1)+IF(AND(VLOOKUP($E58,武器奇术!$A:$R,15,FALSE)="武器",VLOOKUP($E58,武器奇术!$A:$R,17,FALSE)="鸣金"),$E$3,0)*(1+$E$15)</f>
        <v>0</v>
      </c>
      <c r="AV58" s="99">
        <f>(AU58+AW58)*IF(VLOOKUP($E58,武器奇术!$A:$Z,21,FALSE)=1,$G$15,0.5)</f>
        <v>0</v>
      </c>
      <c r="AW58" s="109">
        <f>MAX($C$7*IF($G$5="撼天",1.05,1)+IF(AND(VLOOKUP($E58,武器奇术!$A:$R,15,FALSE)="武器",VLOOKUP($E58,武器奇术!$A:$R,17,FALSE)="鸣金"),$E$3*(1+$E$15),0),AU58)</f>
        <v>0</v>
      </c>
      <c r="AX58" s="110">
        <f>IF(($D$7+IF(VLOOKUP($E58,武器奇术!$A:$R,17,FALSE)="鸣金",$D$15,0)+IF(VLOOKUP($E58,武器奇术!$A:$R,18,FALSE)=1,4,0)+IF(VLOOKUP($E58,武器奇术!$A:$S,19,FALSE)=1,20,0)-VLOOKUP($F$7,目标属性!$A:$R,6,FALSE))&gt;0,($D$7+IF(VLOOKUP($E58,武器奇术!$A:$R,17,FALSE)="鸣金",$D$15,0)+IF(VLOOKUP($E58,武器奇术!$A:$R,18,FALSE)=1,4,0)+IF(VLOOKUP($E58,武器奇术!$A:$S,19,FALSE)=1,20,0)-VLOOKUP($F$7,目标属性!$A:$R,6,FALSE))/200,($D$7+IF(VLOOKUP($E58,武器奇术!$A:$R,17,FALSE)="鸣金",$D$15,0)+IF(VLOOKUP($E58,武器奇术!$A:$R,18,FALSE)=1,4,0)+IF(VLOOKUP($E58,武器奇术!$A:$S,19,FALSE)=1,20,0)-VLOOKUP($F$7,目标属性!$A:$R,6,FALSE))/100)</f>
        <v>0</v>
      </c>
      <c r="AY58" s="111">
        <f t="shared" si="12"/>
        <v>0</v>
      </c>
      <c r="AZ58" s="109">
        <v>1</v>
      </c>
      <c r="BA58" s="112">
        <f>AU58*IF(VLOOKUP($E58,武器奇术!$A:$R,17,FALSE)="鸣金",VLOOKUP($E58,武器奇术!$A:$R,4,FALSE),VLOOKUP($E58,武器奇术!$A:$R,2,FALSE))*(1+AX58)*(1+AY58)*AZ58</f>
        <v>0</v>
      </c>
      <c r="BB58" s="110">
        <f>(1-IF(VLOOKUP($E58,武器奇术!$A:$T,20,FALSE)=1,1,$N58))*(1-$M58)</f>
        <v>0.01072666</v>
      </c>
      <c r="BC58" s="112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10">
        <f t="shared" si="13"/>
        <v>0.8813852</v>
      </c>
      <c r="BE58" s="112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10">
        <f t="shared" si="14"/>
        <v>0.0986</v>
      </c>
      <c r="BG58" s="112">
        <f>AV58*IF(VLOOKUP($E58,武器奇术!$A:$R,17,FALSE)="鸣金",VLOOKUP($E58,武器奇术!$A:$R,4,FALSE),VLOOKUP($E58,武器奇术!$A:$R,2,FALSE))*(1+AX58)*(1+AY58)*AZ58</f>
        <v>0</v>
      </c>
      <c r="BH58" s="110">
        <f t="shared" si="15"/>
        <v>0.00928814000000003</v>
      </c>
      <c r="BI58" s="113">
        <f t="shared" si="16"/>
        <v>0</v>
      </c>
      <c r="BJ58" s="108">
        <f>$B$9*IF($G$5="撼天",1.05,1)+IF(AND(VLOOKUP($E58,武器奇术!$A:$R,15,FALSE)="武器",VLOOKUP($E58,武器奇术!$A:$R,17,FALSE)="裂石"),$E$3,0)*(1+$E$15)</f>
        <v>0</v>
      </c>
      <c r="BK58" s="99">
        <f>(BJ58+BL58)*IF(VLOOKUP($E58,武器奇术!$A:$Z,21,FALSE)=1,$G$15,0.5)</f>
        <v>0</v>
      </c>
      <c r="BL58" s="109">
        <f>MAX($C$9*IF($G$5="撼天",1.05,1)+IF(AND(VLOOKUP($E58,武器奇术!$A:$R,15,FALSE)="武器",VLOOKUP($E58,武器奇术!$A:$R,17,FALSE)="裂石"),$E$3*(1+$E$15),0),BJ58)</f>
        <v>0</v>
      </c>
      <c r="BM58" s="110">
        <f>IF(($D$9+IF(VLOOKUP($E58,武器奇术!$A:$R,17,FALSE)="裂石",$D$15,0)+IF(VLOOKUP($E58,武器奇术!$A:$R,18,FALSE)=1,4,0)+IF(VLOOKUP($E58,武器奇术!$A:$S,19,FALSE)=1,20,0)-VLOOKUP($F$7,目标属性!$A:$R,6,FALSE))&gt;0,($D$9+IF(VLOOKUP($E58,武器奇术!$A:$R,17,FALSE)="裂石",$D$15,0)+IF(VLOOKUP($E58,武器奇术!$A:$R,18,FALSE)=1,4,0)+IF(VLOOKUP($E58,武器奇术!$A:$S,19,FALSE)=1,20,0)-VLOOKUP($F$7,目标属性!$A:$R,6,FALSE))/200,($D$9+IF(VLOOKUP($E58,武器奇术!$A:$R,17,FALSE)="裂石",$D$15,0)+IF(VLOOKUP($E58,武器奇术!$A:$R,18,FALSE)=1,4,0)+IF(VLOOKUP($E58,武器奇术!$A:$S,19,FALSE)=1,20,0)-VLOOKUP($F$7,目标属性!$A:$R,6,FALSE))/100)</f>
        <v>0</v>
      </c>
      <c r="BN58" s="111">
        <f t="shared" si="17"/>
        <v>0</v>
      </c>
      <c r="BO58" s="109">
        <v>1</v>
      </c>
      <c r="BP58" s="112">
        <f>BJ58*IF(VLOOKUP($E58,武器奇术!$A:$R,17,FALSE)="裂石",VLOOKUP($E58,武器奇术!$A:$R,4,FALSE),VLOOKUP($E58,武器奇术!$A:$R,2,FALSE))*(1+BM58)*(1+BN58)*BO58</f>
        <v>0</v>
      </c>
      <c r="BQ58" s="110">
        <f>(1-IF(VLOOKUP($E58,武器奇术!$A:$T,20,FALSE)=1,1,$N58))*(1-$M58)</f>
        <v>0.01072666</v>
      </c>
      <c r="BR58" s="112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10">
        <f t="shared" si="18"/>
        <v>0.8813852</v>
      </c>
      <c r="BT58" s="112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10">
        <f t="shared" si="19"/>
        <v>0.0986</v>
      </c>
      <c r="BV58" s="112">
        <f>BK58*IF(VLOOKUP($E58,武器奇术!$A:$R,17,FALSE)="裂石",VLOOKUP($E58,武器奇术!$A:$R,4,FALSE),VLOOKUP($E58,武器奇术!$A:$R,2,FALSE))*(1+BM58)*(1+BN58)*BO58</f>
        <v>0</v>
      </c>
      <c r="BW58" s="110">
        <f t="shared" si="20"/>
        <v>0.00928814000000003</v>
      </c>
      <c r="BX58" s="113">
        <f t="shared" si="21"/>
        <v>0</v>
      </c>
      <c r="BY58" s="108">
        <f>$B$11*IF($G$5="撼天",1.05,1)+IF(AND(VLOOKUP($E58,武器奇术!$A:$R,15,FALSE)="武器",VLOOKUP($E58,武器奇术!$A:$R,17,FALSE)="牵丝"),$E$3,0)*(1+$E$15)</f>
        <v>0</v>
      </c>
      <c r="BZ58" s="99">
        <f>(BY58+CA58)*IF(VLOOKUP($E58,武器奇术!$A:$Z,21,FALSE)=1,$G$15,0.5)</f>
        <v>0</v>
      </c>
      <c r="CA58" s="109">
        <f>MAX($C$11*IF($G$5="撼天",1.05,1)+IF(AND(VLOOKUP($E58,武器奇术!$A:$R,15,FALSE)="武器",VLOOKUP($E58,武器奇术!$A:$R,17,FALSE)="牵丝"),$E$3*(1+$E$15),0),BY58)</f>
        <v>0</v>
      </c>
      <c r="CB58" s="110">
        <f>IF(($D$11+IF(VLOOKUP($E58,武器奇术!$A:$R,17,FALSE)="牵丝",$D$15,0)+IF(VLOOKUP($E58,武器奇术!$A:$R,18,FALSE)=1,4,0)+IF(VLOOKUP($E58,武器奇术!$A:$S,19,FALSE)=1,20,0)-VLOOKUP($F$7,目标属性!$A:$R,6,FALSE))&gt;0,($D$11+IF(VLOOKUP($E58,武器奇术!$A:$R,17,FALSE)="牵丝",$D$15,0)+IF(VLOOKUP($E58,武器奇术!$A:$R,18,FALSE)=1,4,0)+IF(VLOOKUP($E58,武器奇术!$A:$S,19,FALSE)=1,20,0)-VLOOKUP($F$7,目标属性!$A:$R,6,FALSE))/200,($D$11+IF(VLOOKUP($E58,武器奇术!$A:$R,17,FALSE)="牵丝",$D$15,0)+IF(VLOOKUP($E58,武器奇术!$A:$R,18,FALSE)=1,4,0)+IF(VLOOKUP($E58,武器奇术!$A:$S,19,FALSE)=1,20,0)-VLOOKUP($F$7,目标属性!$A:$R,6,FALSE))/100)</f>
        <v>0</v>
      </c>
      <c r="CC58" s="111">
        <f t="shared" si="22"/>
        <v>0</v>
      </c>
      <c r="CD58" s="109">
        <v>1</v>
      </c>
      <c r="CE58" s="112">
        <f>BY58*IF(VLOOKUP($E58,武器奇术!$A:$R,17,FALSE)="牵丝",VLOOKUP($E58,武器奇术!$A:$R,4,FALSE),VLOOKUP($E58,武器奇术!$A:$R,2,FALSE))*(1+CB58)*(1+CC58)*CD58</f>
        <v>0</v>
      </c>
      <c r="CF58" s="110">
        <f>(1-IF(VLOOKUP($E58,武器奇术!$A:$T,20,FALSE)=1,1,$N58))*(1-$M58)</f>
        <v>0.01072666</v>
      </c>
      <c r="CG58" s="112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110">
        <f t="shared" si="23"/>
        <v>0.8813852</v>
      </c>
      <c r="CI58" s="112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110">
        <f t="shared" si="24"/>
        <v>0.0986</v>
      </c>
      <c r="CK58" s="112">
        <f>BZ58*IF(VLOOKUP($E58,武器奇术!$A:$R,17,FALSE)="牵丝",VLOOKUP($E58,武器奇术!$A:$R,4,FALSE),VLOOKUP($E58,武器奇术!$A:$R,2,FALSE))*(1+CB58)*(1+CC58)*CD58</f>
        <v>0</v>
      </c>
      <c r="CL58" s="110">
        <f t="shared" si="25"/>
        <v>0.00928814000000003</v>
      </c>
      <c r="CM58" s="113">
        <f t="shared" si="26"/>
        <v>0</v>
      </c>
      <c r="CN58" s="108">
        <f>$B$13*IF($G$5="撼天",1.05,1)+IF(AND(VLOOKUP($E58,武器奇术!$A:$R,15,FALSE)="武器",VLOOKUP($E58,武器奇术!$A:$R,17,FALSE)="破竹"),$E$3,0)*(1+$E$15)</f>
        <v>452.55</v>
      </c>
      <c r="CO58" s="99">
        <f>(CN58+CP58)*IF(VLOOKUP($E58,武器奇术!$A:$Z,21,FALSE)=1,$G$15,0.5)</f>
        <v>679.35</v>
      </c>
      <c r="CP58" s="109">
        <f>MAX($C$13*IF($G$5="撼天",1.05,1)+IF(AND(VLOOKUP($E58,武器奇术!$A:$R,15,FALSE)="武器",VLOOKUP($E58,武器奇术!$A:$R,17,FALSE)="破竹"),$E$3*(1+$E$15),0),CN58)</f>
        <v>906.15</v>
      </c>
      <c r="CQ58" s="110">
        <f>IF(($D$13+IF(VLOOKUP($E58,武器奇术!$A:$R,17,FALSE)="破竹",$D$15,0)+IF(VLOOKUP($E58,武器奇术!$A:$R,18,FALSE)=1,4,0)+IF(VLOOKUP($E58,武器奇术!$A:$S,19,FALSE)=1,20,0)-VLOOKUP($F$7,目标属性!$A:$R,6,FALSE))&gt;0,($D$13+IF(VLOOKUP($E58,武器奇术!$A:$R,17,FALSE)="破竹",$D$15,0)+IF(VLOOKUP($E58,武器奇术!$A:$R,18,FALSE)=1,4,0)+IF(VLOOKUP($E58,武器奇术!$A:$S,19,FALSE)=1,20,0)-VLOOKUP($F$7,目标属性!$A:$R,6,FALSE))/200,($D$13+IF(VLOOKUP($E58,武器奇术!$A:$R,17,FALSE)="破竹",$D$15,0)+IF(VLOOKUP($E58,武器奇术!$A:$R,18,FALSE)=1,4,0)+IF(VLOOKUP($E58,武器奇术!$A:$S,19,FALSE)=1,20,0)-VLOOKUP($F$7,目标属性!$A:$R,6,FALSE))/100)</f>
        <v>0.145</v>
      </c>
      <c r="CR58" s="111">
        <f>$E$13+IF(VLOOKUP($E58,武器奇术!$A:$U,21,FALSE)=1,0,0.09)</f>
        <v>0.235</v>
      </c>
      <c r="CS58" s="109">
        <v>1</v>
      </c>
      <c r="CT58" s="112">
        <f>CN58*IF(VLOOKUP($E58,武器奇术!$A:$R,17,FALSE)="破竹",VLOOKUP($E58,武器奇术!$A:$R,4,FALSE),VLOOKUP($E58,武器奇术!$A:$R,2,FALSE))*(1+CQ58)*(1+CR58)*CS58</f>
        <v>2073.40443765</v>
      </c>
      <c r="CU58" s="110">
        <f>(1-IF(VLOOKUP($E58,武器奇术!$A:$T,20,FALSE)=1,1,$N58))*(1-$M58)</f>
        <v>0.01072666</v>
      </c>
      <c r="CV58" s="112">
        <f>CO58*IF(VLOOKUP($E58,武器奇术!$A:$R,17,FALSE)="破竹",VLOOKUP($E58,武器奇术!$A:$R,4,FALSE),VLOOKUP($E58,武器奇术!$A:$R,2,FALSE))*(1+CQ58)*(1+CR58)*CS58*(1+$E$16+VLOOKUP($E58,武器奇术!$A:$R,8,FALSE))</f>
        <v>6038.273276217</v>
      </c>
      <c r="CW58" s="110">
        <f t="shared" si="27"/>
        <v>0.8813852</v>
      </c>
      <c r="CX58" s="112">
        <f>CP58*IF(VLOOKUP($E58,武器奇术!$A:$R,17,FALSE)="破竹",VLOOKUP($E58,武器奇术!$A:$R,4,FALSE),VLOOKUP($E58,武器奇术!$A:$R,2,FALSE))*(1+CQ58)*(1+CR58)*CS58*(1+$E$17+VLOOKUP($E58,武器奇术!$A:$R,10,FALSE))</f>
        <v>5604.6864039075</v>
      </c>
      <c r="CY58" s="110">
        <f t="shared" si="28"/>
        <v>0.0986</v>
      </c>
      <c r="CZ58" s="112">
        <f>CO58*IF(VLOOKUP($E58,武器奇术!$A:$R,17,FALSE)="破竹",VLOOKUP($E58,武器奇术!$A:$R,4,FALSE),VLOOKUP($E58,武器奇术!$A:$R,2,FALSE))*(1+CQ58)*(1+CR58)*CS58</f>
        <v>3112.51199805</v>
      </c>
      <c r="DA58" s="110">
        <f t="shared" si="29"/>
        <v>0.00928814000000003</v>
      </c>
      <c r="DB58" s="113">
        <f t="shared" si="30"/>
        <v>5925.81693027318</v>
      </c>
      <c r="DC58" s="108">
        <f t="shared" si="31"/>
        <v>69.3</v>
      </c>
      <c r="DD58" s="99">
        <f>(DC58+DE58)*IF(VLOOKUP($E58,武器奇术!$A:$Z,21,FALSE)=1,$G$15,0.5)</f>
        <v>69.3</v>
      </c>
      <c r="DE58" s="109">
        <f t="shared" si="32"/>
        <v>69.3</v>
      </c>
      <c r="DF58" s="110">
        <f>IF(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R,18,FALSE)=1,4,0)+IF(VLOOKUP($E58,武器奇术!$A:$S,19,FALSE)=1,20,0)-VLOOKUP($F$7,目标属性!$A:$R,6,FALSE))/100)</f>
        <v>0.145</v>
      </c>
      <c r="DG58" s="111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U,21,FALSE)=1,0,0.09)</f>
        <v>0.235</v>
      </c>
      <c r="DH58" s="109">
        <v>1</v>
      </c>
      <c r="DI58" s="112">
        <f>DC58*IF(VLOOKUP($E58,武器奇术!$A:$R,17,FALSE)="破竹",VLOOKUP($E58,武器奇术!$A:$R,4,FALSE),VLOOKUP($E58,武器奇术!$A:$R,2,FALSE))*(1+DF58)*(1+DG58)*DH58</f>
        <v>317.5050879</v>
      </c>
      <c r="DJ58" s="110">
        <f>(1-IF(VLOOKUP($E58,武器奇术!$A:$T,20,FALSE)=1,1,$N58))*(1-$M58)</f>
        <v>0.01072666</v>
      </c>
      <c r="DK58" s="112">
        <f>DD58*IF(VLOOKUP($E58,武器奇术!$A:$R,17,FALSE)="破竹",VLOOKUP($E58,武器奇术!$A:$R,4,FALSE),VLOOKUP($E58,武器奇术!$A:$R,2,FALSE))*(1+DF58)*(1+DG58)*DH58*(1+$E$16+VLOOKUP($E58,武器奇术!$A:$R,8,FALSE))</f>
        <v>615.959870526</v>
      </c>
      <c r="DL58" s="110">
        <f t="shared" si="33"/>
        <v>0.8813852</v>
      </c>
      <c r="DM58" s="112">
        <f>DE58*IF(VLOOKUP($E58,武器奇术!$A:$R,17,FALSE)="破竹",VLOOKUP($E58,武器奇术!$A:$R,4,FALSE),VLOOKUP($E58,武器奇术!$A:$R,2,FALSE))*(1+DF58)*(1+DG58)*DH58*(1+$E$17+VLOOKUP($E58,武器奇术!$A:$R,10,FALSE))</f>
        <v>428.631868665</v>
      </c>
      <c r="DN58" s="110">
        <f t="shared" si="34"/>
        <v>0.0986</v>
      </c>
      <c r="DO58" s="112">
        <f>DD58*IF(VLOOKUP($E58,武器奇术!$A:$R,17,FALSE)="破竹",VLOOKUP($E58,武器奇术!$A:$R,4,FALSE),VLOOKUP($E58,武器奇术!$A:$R,2,FALSE))*(1+DF58)*(1+DG58)*DH58</f>
        <v>317.5050879</v>
      </c>
      <c r="DP58" s="110">
        <f t="shared" si="35"/>
        <v>0.00928814000000003</v>
      </c>
      <c r="DQ58" s="113">
        <f t="shared" si="36"/>
        <v>591.515816759203</v>
      </c>
    </row>
    <row r="59" customFormat="1" ht="14.25" spans="1:121">
      <c r="B59" s="138"/>
      <c r="C59" s="145"/>
      <c r="D59" s="146"/>
      <c r="E59" s="98" t="str">
        <f>期望!E59</f>
        <v>拳甲Q二段(气竭)</v>
      </c>
      <c r="F59" s="99">
        <f>期望!F59</f>
        <v>1</v>
      </c>
      <c r="G59" s="115"/>
      <c r="H59" s="100">
        <f>IF(VLOOKUP($E59,武器奇术!$A:$R,18,FALSE)="天工",AE59,(AE59+AT59+BI59+BX59+CM59+DB59+DQ59))*(1+J59)*F59*K59*(1+G59)</f>
        <v>66936.5652342446</v>
      </c>
      <c r="I59" s="101">
        <f t="shared" si="0"/>
        <v>0.00826418338611433</v>
      </c>
      <c r="J59" s="101">
        <f>$F$3+VLOOKUP($E59,武器奇术!$A:$R,12,FALSE)+VLOOKUP($E59,武器奇术!$A:$R,14,FALSE)*$G$3+$P59</f>
        <v>0.873</v>
      </c>
      <c r="K59" s="102">
        <f>VLOOKUP($E59,武器奇术!$A:$R,11,FALSE)</f>
        <v>1</v>
      </c>
      <c r="L59" s="117">
        <f>IF(VLOOKUP($E59,武器奇术!$A:$R,15,FALSE)="天工",0%,IF($C$17+VLOOKUP($E59,武器奇术!$A:$R,7,FALSE)&gt;80%,80%,$C$17+VLOOKUP($E59,武器奇术!$A:$R,7,FALSE))+IF($C$19&gt;20%,20%,$C$19))</f>
        <v>0.892</v>
      </c>
      <c r="M59" s="118">
        <f>IF(VLOOKUP($E59,武器奇术!$A:$R,15,FALSE)="天工",0%,IF($C$18+VLOOKUP($E59,武器奇术!$A:$R,9,FALSE)&gt;40%,40%,$C$18+VLOOKUP($E59,武器奇术!$A:$R,9,FALSE))+IF($C$20&gt;10%,10%,$C$20))</f>
        <v>0.0986</v>
      </c>
      <c r="N59" s="119">
        <f>IF(VLOOKUP($E59,武器奇术!$A:$R,15,FALSE)="天工",100%,MIN($C$16,1))</f>
        <v>0.9881</v>
      </c>
      <c r="O59" s="120" t="str">
        <f>VLOOKUP($E59,武器奇术!$A:$R,16,FALSE)</f>
        <v>拳甲</v>
      </c>
      <c r="P59" s="121">
        <f t="shared" si="37"/>
        <v>0.17</v>
      </c>
      <c r="Q59" s="108">
        <f>$B$5*(1+VLOOKUP($E59,武器奇术!$A:$R,5,FALSE)+IF($G$5="飞隼",0.1,0)+IF($G$5="撼天",0.05,0))-$F$9+IF($I$5="√",160,0)</f>
        <v>1731.135</v>
      </c>
      <c r="R59" s="99">
        <f>IF(VLOOKUP($E59,武器奇术!$A:$Z,20,FALSE)=1,(S59-(Q59+S59)*0.5)*($G$15-0.5)*2+(Q59+S59)*0.5,(Q59+S59)*0.5)</f>
        <v>3256.775</v>
      </c>
      <c r="S59" s="109">
        <f>MAX($C$5,$B$5)*(1+VLOOKUP($E59,武器奇术!$A:$R,5,FALSE)+IF($G$5="飞隼",0.1,0)+IF($G$5="撼天",0.05,0))-$F$9+IF($I$5="√",320,0)</f>
        <v>4782.415</v>
      </c>
      <c r="T59" s="101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U59" s="111">
        <f>$E$5+IF(VLOOKUP($E59,武器奇术!$A:$U,21,FALSE)=1,0,0.09)</f>
        <v>0.115</v>
      </c>
      <c r="V59" s="109">
        <v>1</v>
      </c>
      <c r="W59" s="112">
        <f>Q59*VLOOKUP($E59,武器奇术!$A:$R,2,FALSE)*(1+T59)*(1+U59)*V59</f>
        <v>6596.6306895897</v>
      </c>
      <c r="X59" s="110">
        <f>(1-IF(VLOOKUP($E59,武器奇术!$A:$T,20,FALSE)=1,1,$N59))*(1-$M59)</f>
        <v>0.01072666</v>
      </c>
      <c r="Y59" s="112">
        <f>R59*VLOOKUP($E59,武器奇术!$A:$R,2,FALSE)*(1+T59)*(1+U59)*V59*(1+$E$16+VLOOKUP($E59,武器奇术!$A:$R,8,FALSE))</f>
        <v>24075.7995842795</v>
      </c>
      <c r="Z59" s="110">
        <f t="shared" si="1"/>
        <v>0.8813852</v>
      </c>
      <c r="AA59" s="112">
        <f>S59*VLOOKUP($E59,武器奇术!$A:$R,2,FALSE)*(1+T59)*(1+U59)*V59*(1+$E$17+VLOOKUP($E59,武器奇术!$A:$R,10,FALSE))</f>
        <v>24602.1046915048</v>
      </c>
      <c r="AB59" s="110">
        <f t="shared" si="2"/>
        <v>0.0986</v>
      </c>
      <c r="AC59" s="112">
        <f>R59*VLOOKUP($E59,武器奇术!$A:$R,2,FALSE)*(1+T59)*(1+U59)*V59</f>
        <v>12410.2059712781</v>
      </c>
      <c r="AD59" s="110">
        <f t="shared" si="3"/>
        <v>0.00928814000000003</v>
      </c>
      <c r="AE59" s="113">
        <f t="shared" si="4"/>
        <v>23831.8484993753</v>
      </c>
      <c r="AF59" s="114">
        <f>VLOOKUP($E59,武器奇术!$A:$R,3,FALSE)*(1+IF(VLOOKUP($E59,武器奇术!$A:$R,15,FALSE)="武器",$E$15,0))</f>
        <v>994.5</v>
      </c>
      <c r="AG59" s="112">
        <f t="shared" si="5"/>
        <v>994.5</v>
      </c>
      <c r="AH59" s="112">
        <f>VLOOKUP($E59,武器奇术!$A:$R,3,FALSE)*(1+IF(VLOOKUP($E59,武器奇术!$A:$R,15,FALSE)="武器",$E$15,0))</f>
        <v>994.5</v>
      </c>
      <c r="AI59" s="101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0.242</v>
      </c>
      <c r="AJ59" s="111">
        <f>$E$5+IF(VLOOKUP($E59,武器奇术!$A:$U,21,FALSE)=1,0,0.09)</f>
        <v>0.115</v>
      </c>
      <c r="AK59" s="109">
        <v>1</v>
      </c>
      <c r="AL59" s="112">
        <f t="shared" si="6"/>
        <v>1377.213435</v>
      </c>
      <c r="AM59" s="110">
        <f>(1-IF(VLOOKUP($E59,武器奇术!$A:$T,20,FALSE)=1,1,$N59))*(1-$M59)</f>
        <v>0.01072666</v>
      </c>
      <c r="AN59" s="112">
        <f>AG59*(1+AI59)*(1+AJ59)*AK59*(1+$E$16+VLOOKUP($E59,武器奇术!$A:$R,8,FALSE))</f>
        <v>2671.7940639</v>
      </c>
      <c r="AO59" s="110">
        <f t="shared" si="7"/>
        <v>0.8813852</v>
      </c>
      <c r="AP59" s="112">
        <f>AH59*(1+AI59)*(1+AJ59)*AK59*(1+$E$17+VLOOKUP($E59,武器奇术!$A:$R,10,FALSE))</f>
        <v>1859.23813725</v>
      </c>
      <c r="AQ59" s="110">
        <f t="shared" si="8"/>
        <v>0.0986</v>
      </c>
      <c r="AR59" s="112">
        <f t="shared" si="9"/>
        <v>1377.213435</v>
      </c>
      <c r="AS59" s="110">
        <f t="shared" si="10"/>
        <v>0.00928814000000003</v>
      </c>
      <c r="AT59" s="113">
        <f t="shared" si="11"/>
        <v>2565.765277161</v>
      </c>
      <c r="AU59" s="108">
        <f>$B$7*IF($G$5="撼天",1.05,1)+IF(AND(VLOOKUP($E59,武器奇术!$A:$R,15,FALSE)="武器",VLOOKUP($E59,武器奇术!$A:$R,17,FALSE)="鸣金"),$E$3,0)*(1+$E$15)</f>
        <v>0</v>
      </c>
      <c r="AV59" s="99">
        <f>(AU59+AW59)*IF(VLOOKUP($E59,武器奇术!$A:$Z,21,FALSE)=1,$G$15,0.5)</f>
        <v>0</v>
      </c>
      <c r="AW59" s="109">
        <f>MAX($C$7*IF($G$5="撼天",1.05,1)+IF(AND(VLOOKUP($E59,武器奇术!$A:$R,15,FALSE)="武器",VLOOKUP($E59,武器奇术!$A:$R,17,FALSE)="鸣金"),$E$3*(1+$E$15),0),AU59)</f>
        <v>0</v>
      </c>
      <c r="AX59" s="110">
        <f>IF(($D$7+IF(VLOOKUP($E59,武器奇术!$A:$R,17,FALSE)="鸣金",$D$15,0)+IF(VLOOKUP($E59,武器奇术!$A:$R,18,FALSE)=1,4,0)+IF(VLOOKUP($E59,武器奇术!$A:$S,19,FALSE)=1,20,0)-VLOOKUP($F$7,目标属性!$A:$R,6,FALSE))&gt;0,($D$7+IF(VLOOKUP($E59,武器奇术!$A:$R,17,FALSE)="鸣金",$D$15,0)+IF(VLOOKUP($E59,武器奇术!$A:$R,18,FALSE)=1,4,0)+IF(VLOOKUP($E59,武器奇术!$A:$S,19,FALSE)=1,20,0)-VLOOKUP($F$7,目标属性!$A:$R,6,FALSE))/200,($D$7+IF(VLOOKUP($E59,武器奇术!$A:$R,17,FALSE)="鸣金",$D$15,0)+IF(VLOOKUP($E59,武器奇术!$A:$R,18,FALSE)=1,4,0)+IF(VLOOKUP($E59,武器奇术!$A:$S,19,FALSE)=1,20,0)-VLOOKUP($F$7,目标属性!$A:$R,6,FALSE))/100)</f>
        <v>-0.24</v>
      </c>
      <c r="AY59" s="111">
        <f t="shared" si="12"/>
        <v>0</v>
      </c>
      <c r="AZ59" s="109">
        <v>1</v>
      </c>
      <c r="BA59" s="112">
        <f>AU59*IF(VLOOKUP($E59,武器奇术!$A:$R,17,FALSE)="鸣金",VLOOKUP($E59,武器奇术!$A:$R,4,FALSE),VLOOKUP($E59,武器奇术!$A:$R,2,FALSE))*(1+AX59)*(1+AY59)*AZ59</f>
        <v>0</v>
      </c>
      <c r="BB59" s="110">
        <f>(1-IF(VLOOKUP($E59,武器奇术!$A:$T,20,FALSE)=1,1,$N59))*(1-$M59)</f>
        <v>0.01072666</v>
      </c>
      <c r="BC59" s="112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10">
        <f t="shared" si="13"/>
        <v>0.8813852</v>
      </c>
      <c r="BE59" s="112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10">
        <f t="shared" si="14"/>
        <v>0.0986</v>
      </c>
      <c r="BG59" s="112">
        <f>AV59*IF(VLOOKUP($E59,武器奇术!$A:$R,17,FALSE)="鸣金",VLOOKUP($E59,武器奇术!$A:$R,4,FALSE),VLOOKUP($E59,武器奇术!$A:$R,2,FALSE))*(1+AX59)*(1+AY59)*AZ59</f>
        <v>0</v>
      </c>
      <c r="BH59" s="110">
        <f t="shared" si="15"/>
        <v>0.00928814000000003</v>
      </c>
      <c r="BI59" s="113">
        <f t="shared" si="16"/>
        <v>0</v>
      </c>
      <c r="BJ59" s="108">
        <f>$B$9*IF($G$5="撼天",1.05,1)+IF(AND(VLOOKUP($E59,武器奇术!$A:$R,15,FALSE)="武器",VLOOKUP($E59,武器奇术!$A:$R,17,FALSE)="裂石"),$E$3,0)*(1+$E$15)</f>
        <v>0</v>
      </c>
      <c r="BK59" s="99">
        <f>(BJ59+BL59)*IF(VLOOKUP($E59,武器奇术!$A:$Z,21,FALSE)=1,$G$15,0.5)</f>
        <v>0</v>
      </c>
      <c r="BL59" s="109">
        <f>MAX($C$9*IF($G$5="撼天",1.05,1)+IF(AND(VLOOKUP($E59,武器奇术!$A:$R,15,FALSE)="武器",VLOOKUP($E59,武器奇术!$A:$R,17,FALSE)="裂石"),$E$3*(1+$E$15),0),BJ59)</f>
        <v>0</v>
      </c>
      <c r="BM59" s="110">
        <f>IF(($D$9+IF(VLOOKUP($E59,武器奇术!$A:$R,17,FALSE)="裂石",$D$15,0)+IF(VLOOKUP($E59,武器奇术!$A:$R,18,FALSE)=1,4,0)+IF(VLOOKUP($E59,武器奇术!$A:$S,19,FALSE)=1,20,0)-VLOOKUP($F$7,目标属性!$A:$R,6,FALSE))&gt;0,($D$9+IF(VLOOKUP($E59,武器奇术!$A:$R,17,FALSE)="裂石",$D$15,0)+IF(VLOOKUP($E59,武器奇术!$A:$R,18,FALSE)=1,4,0)+IF(VLOOKUP($E59,武器奇术!$A:$S,19,FALSE)=1,20,0)-VLOOKUP($F$7,目标属性!$A:$R,6,FALSE))/200,($D$9+IF(VLOOKUP($E59,武器奇术!$A:$R,17,FALSE)="裂石",$D$15,0)+IF(VLOOKUP($E59,武器奇术!$A:$R,18,FALSE)=1,4,0)+IF(VLOOKUP($E59,武器奇术!$A:$S,19,FALSE)=1,20,0)-VLOOKUP($F$7,目标属性!$A:$R,6,FALSE))/100)</f>
        <v>-0.24</v>
      </c>
      <c r="BN59" s="111">
        <f t="shared" si="17"/>
        <v>0</v>
      </c>
      <c r="BO59" s="109">
        <v>1</v>
      </c>
      <c r="BP59" s="112">
        <f>BJ59*IF(VLOOKUP($E59,武器奇术!$A:$R,17,FALSE)="裂石",VLOOKUP($E59,武器奇术!$A:$R,4,FALSE),VLOOKUP($E59,武器奇术!$A:$R,2,FALSE))*(1+BM59)*(1+BN59)*BO59</f>
        <v>0</v>
      </c>
      <c r="BQ59" s="110">
        <f>(1-IF(VLOOKUP($E59,武器奇术!$A:$T,20,FALSE)=1,1,$N59))*(1-$M59)</f>
        <v>0.01072666</v>
      </c>
      <c r="BR59" s="112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10">
        <f t="shared" si="18"/>
        <v>0.8813852</v>
      </c>
      <c r="BT59" s="112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10">
        <f t="shared" si="19"/>
        <v>0.0986</v>
      </c>
      <c r="BV59" s="112">
        <f>BK59*IF(VLOOKUP($E59,武器奇术!$A:$R,17,FALSE)="裂石",VLOOKUP($E59,武器奇术!$A:$R,4,FALSE),VLOOKUP($E59,武器奇术!$A:$R,2,FALSE))*(1+BM59)*(1+BN59)*BO59</f>
        <v>0</v>
      </c>
      <c r="BW59" s="110">
        <f t="shared" si="20"/>
        <v>0.00928814000000003</v>
      </c>
      <c r="BX59" s="113">
        <f t="shared" si="21"/>
        <v>0</v>
      </c>
      <c r="BY59" s="108">
        <f>$B$11*IF($G$5="撼天",1.05,1)+IF(AND(VLOOKUP($E59,武器奇术!$A:$R,15,FALSE)="武器",VLOOKUP($E59,武器奇术!$A:$R,17,FALSE)="牵丝"),$E$3,0)*(1+$E$15)</f>
        <v>0</v>
      </c>
      <c r="BZ59" s="99">
        <f>(BY59+CA59)*IF(VLOOKUP($E59,武器奇术!$A:$Z,21,FALSE)=1,$G$15,0.5)</f>
        <v>0</v>
      </c>
      <c r="CA59" s="109">
        <f>MAX($C$11*IF($G$5="撼天",1.05,1)+IF(AND(VLOOKUP($E59,武器奇术!$A:$R,15,FALSE)="武器",VLOOKUP($E59,武器奇术!$A:$R,17,FALSE)="牵丝"),$E$3*(1+$E$15),0),BY59)</f>
        <v>0</v>
      </c>
      <c r="CB59" s="110">
        <f>IF(($D$11+IF(VLOOKUP($E59,武器奇术!$A:$R,17,FALSE)="牵丝",$D$15,0)+IF(VLOOKUP($E59,武器奇术!$A:$R,18,FALSE)=1,4,0)+IF(VLOOKUP($E59,武器奇术!$A:$S,19,FALSE)=1,20,0)-VLOOKUP($F$7,目标属性!$A:$R,6,FALSE))&gt;0,($D$11+IF(VLOOKUP($E59,武器奇术!$A:$R,17,FALSE)="牵丝",$D$15,0)+IF(VLOOKUP($E59,武器奇术!$A:$R,18,FALSE)=1,4,0)+IF(VLOOKUP($E59,武器奇术!$A:$S,19,FALSE)=1,20,0)-VLOOKUP($F$7,目标属性!$A:$R,6,FALSE))/200,($D$11+IF(VLOOKUP($E59,武器奇术!$A:$R,17,FALSE)="牵丝",$D$15,0)+IF(VLOOKUP($E59,武器奇术!$A:$R,18,FALSE)=1,4,0)+IF(VLOOKUP($E59,武器奇术!$A:$S,19,FALSE)=1,20,0)-VLOOKUP($F$7,目标属性!$A:$R,6,FALSE))/100)</f>
        <v>-0.24</v>
      </c>
      <c r="CC59" s="111">
        <f t="shared" si="22"/>
        <v>0</v>
      </c>
      <c r="CD59" s="109">
        <v>1</v>
      </c>
      <c r="CE59" s="112">
        <f>BY59*IF(VLOOKUP($E59,武器奇术!$A:$R,17,FALSE)="牵丝",VLOOKUP($E59,武器奇术!$A:$R,4,FALSE),VLOOKUP($E59,武器奇术!$A:$R,2,FALSE))*(1+CB59)*(1+CC59)*CD59</f>
        <v>0</v>
      </c>
      <c r="CF59" s="110">
        <f>(1-IF(VLOOKUP($E59,武器奇术!$A:$T,20,FALSE)=1,1,$N59))*(1-$M59)</f>
        <v>0.01072666</v>
      </c>
      <c r="CG59" s="112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110">
        <f t="shared" si="23"/>
        <v>0.8813852</v>
      </c>
      <c r="CI59" s="112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110">
        <f t="shared" si="24"/>
        <v>0.0986</v>
      </c>
      <c r="CK59" s="112">
        <f>BZ59*IF(VLOOKUP($E59,武器奇术!$A:$R,17,FALSE)="牵丝",VLOOKUP($E59,武器奇术!$A:$R,4,FALSE),VLOOKUP($E59,武器奇术!$A:$R,2,FALSE))*(1+CB59)*(1+CC59)*CD59</f>
        <v>0</v>
      </c>
      <c r="CL59" s="110">
        <f t="shared" si="25"/>
        <v>0.00928814000000003</v>
      </c>
      <c r="CM59" s="113">
        <f t="shared" si="26"/>
        <v>0</v>
      </c>
      <c r="CN59" s="108">
        <f>$B$13*IF($G$5="撼天",1.05,1)+IF(AND(VLOOKUP($E59,武器奇术!$A:$R,15,FALSE)="武器",VLOOKUP($E59,武器奇术!$A:$R,17,FALSE)="破竹"),$E$3,0)*(1+$E$15)</f>
        <v>648.46</v>
      </c>
      <c r="CO59" s="99">
        <f>(CN59+CP59)*IF(VLOOKUP($E59,武器奇术!$A:$Z,21,FALSE)=1,$G$15,0.5)</f>
        <v>875.26</v>
      </c>
      <c r="CP59" s="109">
        <f>MAX($C$13*IF($G$5="撼天",1.05,1)+IF(AND(VLOOKUP($E59,武器奇术!$A:$R,15,FALSE)="武器",VLOOKUP($E59,武器奇术!$A:$R,17,FALSE)="破竹"),$E$3*(1+$E$15),0),CN59)</f>
        <v>1102.06</v>
      </c>
      <c r="CQ59" s="110">
        <f>IF(($D$13+IF(VLOOKUP($E59,武器奇术!$A:$R,17,FALSE)="破竹",$D$15,0)+IF(VLOOKUP($E59,武器奇术!$A:$R,18,FALSE)=1,4,0)+IF(VLOOKUP($E59,武器奇术!$A:$S,19,FALSE)=1,20,0)-VLOOKUP($F$7,目标属性!$A:$R,6,FALSE))&gt;0,($D$13+IF(VLOOKUP($E59,武器奇术!$A:$R,17,FALSE)="破竹",$D$15,0)+IF(VLOOKUP($E59,武器奇术!$A:$R,18,FALSE)=1,4,0)+IF(VLOOKUP($E59,武器奇术!$A:$S,19,FALSE)=1,20,0)-VLOOKUP($F$7,目标属性!$A:$R,6,FALSE))/200,($D$13+IF(VLOOKUP($E59,武器奇术!$A:$R,17,FALSE)="破竹",$D$15,0)+IF(VLOOKUP($E59,武器奇术!$A:$R,18,FALSE)=1,4,0)+IF(VLOOKUP($E59,武器奇术!$A:$S,19,FALSE)=1,20,0)-VLOOKUP($F$7,目标属性!$A:$R,6,FALSE))/100)</f>
        <v>0.025</v>
      </c>
      <c r="CR59" s="111">
        <f>$E$13+IF(VLOOKUP($E59,武器奇术!$A:$U,21,FALSE)=1,0,0.09)</f>
        <v>0.235</v>
      </c>
      <c r="CS59" s="109">
        <v>1</v>
      </c>
      <c r="CT59" s="112">
        <f>CN59*IF(VLOOKUP($E59,武器奇术!$A:$R,17,FALSE)="破竹",VLOOKUP($E59,武器奇术!$A:$R,4,FALSE),VLOOKUP($E59,武器奇术!$A:$R,2,FALSE))*(1+CQ59)*(1+CR59)*CS59</f>
        <v>3388.3514720874</v>
      </c>
      <c r="CU59" s="110">
        <f>(1-IF(VLOOKUP($E59,武器奇术!$A:$T,20,FALSE)=1,1,$N59))*(1-$M59)</f>
        <v>0.01072666</v>
      </c>
      <c r="CV59" s="112">
        <f>CO59*IF(VLOOKUP($E59,武器奇术!$A:$R,17,FALSE)="破竹",VLOOKUP($E59,武器奇术!$A:$R,4,FALSE),VLOOKUP($E59,武器奇术!$A:$R,2,FALSE))*(1+CQ59)*(1+CR59)*CS59*(1+$E$16+VLOOKUP($E59,武器奇术!$A:$R,8,FALSE))</f>
        <v>8872.46045762404</v>
      </c>
      <c r="CW59" s="110">
        <f t="shared" si="27"/>
        <v>0.8813852</v>
      </c>
      <c r="CX59" s="112">
        <f>CP59*IF(VLOOKUP($E59,武器奇术!$A:$R,17,FALSE)="破竹",VLOOKUP($E59,武器奇术!$A:$R,4,FALSE),VLOOKUP($E59,武器奇术!$A:$R,2,FALSE))*(1+CQ59)*(1+CR59)*CS59*(1+$E$17+VLOOKUP($E59,武器奇术!$A:$R,10,FALSE))</f>
        <v>7773.99522174639</v>
      </c>
      <c r="CY59" s="110">
        <f t="shared" si="28"/>
        <v>0.0986</v>
      </c>
      <c r="CZ59" s="112">
        <f>CO59*IF(VLOOKUP($E59,武器奇术!$A:$R,17,FALSE)="破竹",VLOOKUP($E59,武器奇术!$A:$R,4,FALSE),VLOOKUP($E59,武器奇术!$A:$R,2,FALSE))*(1+CQ59)*(1+CR59)*CS59</f>
        <v>4573.4332255794</v>
      </c>
      <c r="DA59" s="110">
        <f t="shared" si="29"/>
        <v>0.00928814000000003</v>
      </c>
      <c r="DB59" s="113">
        <f t="shared" si="30"/>
        <v>8665.39564608066</v>
      </c>
      <c r="DC59" s="108">
        <f t="shared" si="31"/>
        <v>69.3</v>
      </c>
      <c r="DD59" s="99">
        <f>(DC59+DE59)*IF(VLOOKUP($E59,武器奇术!$A:$Z,21,FALSE)=1,$G$15,0.5)</f>
        <v>69.3</v>
      </c>
      <c r="DE59" s="109">
        <f t="shared" si="32"/>
        <v>69.3</v>
      </c>
      <c r="DF59" s="110">
        <f>IF(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R,18,FALSE)=1,4,0)+IF(VLOOKUP($E59,武器奇术!$A:$S,19,FALSE)=1,20,0)-VLOOKUP($F$7,目标属性!$A:$R,6,FALSE))/100)</f>
        <v>0.025</v>
      </c>
      <c r="DG59" s="111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U,21,FALSE)=1,0,0.09)</f>
        <v>0.235</v>
      </c>
      <c r="DH59" s="109">
        <v>1</v>
      </c>
      <c r="DI59" s="112">
        <f>DC59*IF(VLOOKUP($E59,武器奇术!$A:$R,17,FALSE)="破竹",VLOOKUP($E59,武器奇术!$A:$R,4,FALSE),VLOOKUP($E59,武器奇术!$A:$R,2,FALSE))*(1+DF59)*(1+DG59)*DH59</f>
        <v>362.108313567</v>
      </c>
      <c r="DJ59" s="110">
        <f>(1-IF(VLOOKUP($E59,武器奇术!$A:$T,20,FALSE)=1,1,$N59))*(1-$M59)</f>
        <v>0.01072666</v>
      </c>
      <c r="DK59" s="112">
        <f>DD59*IF(VLOOKUP($E59,武器奇术!$A:$R,17,FALSE)="破竹",VLOOKUP($E59,武器奇术!$A:$R,4,FALSE),VLOOKUP($E59,武器奇术!$A:$R,2,FALSE))*(1+DF59)*(1+DG59)*DH59*(1+$E$16+VLOOKUP($E59,武器奇术!$A:$R,8,FALSE))</f>
        <v>702.49012831998</v>
      </c>
      <c r="DL59" s="110">
        <f t="shared" si="33"/>
        <v>0.8813852</v>
      </c>
      <c r="DM59" s="112">
        <f>DE59*IF(VLOOKUP($E59,武器奇术!$A:$R,17,FALSE)="破竹",VLOOKUP($E59,武器奇术!$A:$R,4,FALSE),VLOOKUP($E59,武器奇术!$A:$R,2,FALSE))*(1+DF59)*(1+DG59)*DH59*(1+$E$17+VLOOKUP($E59,武器奇术!$A:$R,10,FALSE))</f>
        <v>488.84622331545</v>
      </c>
      <c r="DN59" s="110">
        <f t="shared" si="34"/>
        <v>0.0986</v>
      </c>
      <c r="DO59" s="112">
        <f>DD59*IF(VLOOKUP($E59,武器奇术!$A:$R,17,FALSE)="破竹",VLOOKUP($E59,武器奇术!$A:$R,4,FALSE),VLOOKUP($E59,武器奇术!$A:$R,2,FALSE))*(1+DF59)*(1+DG59)*DH59</f>
        <v>362.108313567</v>
      </c>
      <c r="DP59" s="110">
        <f t="shared" si="35"/>
        <v>0.00928814000000003</v>
      </c>
      <c r="DQ59" s="113">
        <f t="shared" si="36"/>
        <v>674.612165340615</v>
      </c>
    </row>
    <row r="60" customFormat="1" spans="1:121">
      <c r="C60" s="147"/>
      <c r="D60" s="147"/>
      <c r="E60" s="98" t="str">
        <f>期望!E60</f>
        <v>拳甲普攻56(气竭)</v>
      </c>
      <c r="F60" s="99">
        <f>期望!F60</f>
        <v>1</v>
      </c>
      <c r="G60" s="115"/>
      <c r="H60" s="100">
        <f>IF(VLOOKUP($E60,武器奇术!$A:$R,18,FALSE)="天工",AE60,(AE60+AT60+BI60+BX60+CM60+DB60+DQ60))*(1+J60)*F60*K60*(1+G60)</f>
        <v>22660.5919110736</v>
      </c>
      <c r="I60" s="101">
        <f t="shared" si="0"/>
        <v>0.0027977427066306</v>
      </c>
      <c r="J60" s="101">
        <f>$F$3+VLOOKUP($E60,武器奇术!$A:$R,12,FALSE)+VLOOKUP($E60,武器奇术!$A:$R,14,FALSE)*$G$3+$P60</f>
        <v>0.573</v>
      </c>
      <c r="K60" s="102">
        <f>VLOOKUP($E60,武器奇术!$A:$R,11,FALSE)</f>
        <v>1</v>
      </c>
      <c r="L60" s="117">
        <f>IF(VLOOKUP($E60,武器奇术!$A:$R,15,FALSE)="天工",0%,IF($C$17+VLOOKUP($E60,武器奇术!$A:$R,7,FALSE)&gt;80%,80%,$C$17+VLOOKUP($E60,武器奇术!$A:$R,7,FALSE))+IF($C$19&gt;20%,20%,$C$19))</f>
        <v>0.892</v>
      </c>
      <c r="M60" s="118">
        <f>IF(VLOOKUP($E60,武器奇术!$A:$R,15,FALSE)="天工",0%,IF($C$18+VLOOKUP($E60,武器奇术!$A:$R,9,FALSE)&gt;40%,40%,$C$18+VLOOKUP($E60,武器奇术!$A:$R,9,FALSE))+IF($C$20&gt;10%,10%,$C$20))</f>
        <v>0.0986</v>
      </c>
      <c r="N60" s="119">
        <f>IF(VLOOKUP($E60,武器奇术!$A:$R,15,FALSE)="天工",100%,MIN($C$16,1))</f>
        <v>0.9881</v>
      </c>
      <c r="O60" s="120" t="str">
        <f>VLOOKUP($E60,武器奇术!$A:$R,16,FALSE)</f>
        <v>拳甲</v>
      </c>
      <c r="P60" s="121">
        <f t="shared" si="37"/>
        <v>0.17</v>
      </c>
      <c r="Q60" s="108">
        <f>$B$5*(1+VLOOKUP($E60,武器奇术!$A:$R,5,FALSE)+IF($G$5="飞隼",0.1,0)+IF($G$5="撼天",0.05,0))-$F$9+IF($I$5="√",160,0)</f>
        <v>1731.135</v>
      </c>
      <c r="R60" s="99">
        <f>IF(VLOOKUP($E60,武器奇术!$A:$Z,20,FALSE)=1,(S60-(Q60+S60)*0.5)*($G$15-0.5)*2+(Q60+S60)*0.5,(Q60+S60)*0.5)</f>
        <v>3256.775</v>
      </c>
      <c r="S60" s="109">
        <f>MAX($C$5,$B$5)*(1+VLOOKUP($E60,武器奇术!$A:$R,5,FALSE)+IF($G$5="飞隼",0.1,0)+IF($G$5="撼天",0.05,0))-$F$9+IF($I$5="√",320,0)</f>
        <v>4782.415</v>
      </c>
      <c r="T60" s="101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U60" s="111">
        <f>$E$5+IF(VLOOKUP($E60,武器奇术!$A:$U,21,FALSE)=1,0,0.09)</f>
        <v>0.115</v>
      </c>
      <c r="V60" s="109">
        <v>1</v>
      </c>
      <c r="W60" s="112">
        <f>Q60*VLOOKUP($E60,武器奇术!$A:$R,2,FALSE)*(1+T60)*(1+U60)*V60</f>
        <v>3086.79912340758</v>
      </c>
      <c r="X60" s="110">
        <f>(1-IF(VLOOKUP($E60,武器奇术!$A:$T,20,FALSE)=1,1,$N60))*(1-$M60)</f>
        <v>0.01072666</v>
      </c>
      <c r="Y60" s="112">
        <f>R60*VLOOKUP($E60,武器奇术!$A:$R,2,FALSE)*(1+T60)*(1+U60)*V60*(1+$E$16+VLOOKUP($E60,武器奇术!$A:$R,8,FALSE))</f>
        <v>9523.77298871699</v>
      </c>
      <c r="Z60" s="110">
        <f t="shared" si="1"/>
        <v>0.8813852</v>
      </c>
      <c r="AA60" s="112">
        <f>S60*VLOOKUP($E60,武器奇术!$A:$R,2,FALSE)*(1+T60)*(1+U60)*V60*(1+$E$17+VLOOKUP($E60,武器奇术!$A:$R,10,FALSE))</f>
        <v>11512.2035428729</v>
      </c>
      <c r="AB60" s="110">
        <f t="shared" si="2"/>
        <v>0.0986</v>
      </c>
      <c r="AC60" s="112">
        <f>R60*VLOOKUP($E60,武器奇术!$A:$R,2,FALSE)*(1+T60)*(1+U60)*V60</f>
        <v>5807.1786516567</v>
      </c>
      <c r="AD60" s="110">
        <f t="shared" si="3"/>
        <v>0.00928814000000003</v>
      </c>
      <c r="AE60" s="113">
        <f t="shared" si="4"/>
        <v>9616.26476274887</v>
      </c>
      <c r="AF60" s="114">
        <f>VLOOKUP($E60,武器奇术!$A:$R,3,FALSE)*(1+IF(VLOOKUP($E60,武器奇术!$A:$R,15,FALSE)="武器",$E$15,0))</f>
        <v>465.4</v>
      </c>
      <c r="AG60" s="112">
        <f t="shared" si="5"/>
        <v>465.4</v>
      </c>
      <c r="AH60" s="112">
        <f>VLOOKUP($E60,武器奇术!$A:$R,3,FALSE)*(1+IF(VLOOKUP($E60,武器奇术!$A:$R,15,FALSE)="武器",$E$15,0))</f>
        <v>465.4</v>
      </c>
      <c r="AI60" s="101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0.242</v>
      </c>
      <c r="AJ60" s="111">
        <f>$E$5+IF(VLOOKUP($E60,武器奇术!$A:$U,21,FALSE)=1,0,0.09)</f>
        <v>0.115</v>
      </c>
      <c r="AK60" s="109">
        <v>1</v>
      </c>
      <c r="AL60" s="112">
        <f t="shared" si="6"/>
        <v>644.499882</v>
      </c>
      <c r="AM60" s="110">
        <f>(1-IF(VLOOKUP($E60,武器奇术!$A:$T,20,FALSE)=1,1,$N60))*(1-$M60)</f>
        <v>0.01072666</v>
      </c>
      <c r="AN60" s="112">
        <f>AG60*(1+AI60)*(1+AJ60)*AK60*(1+$E$16+VLOOKUP($E60,武器奇术!$A:$R,8,FALSE))</f>
        <v>1056.97980648</v>
      </c>
      <c r="AO60" s="110">
        <f t="shared" si="7"/>
        <v>0.8813852</v>
      </c>
      <c r="AP60" s="112">
        <f>AH60*(1+AI60)*(1+AJ60)*AK60*(1+$E$17+VLOOKUP($E60,武器奇术!$A:$R,10,FALSE))</f>
        <v>870.0748407</v>
      </c>
      <c r="AQ60" s="110">
        <f t="shared" si="8"/>
        <v>0.0986</v>
      </c>
      <c r="AR60" s="112">
        <f t="shared" si="9"/>
        <v>644.499882</v>
      </c>
      <c r="AS60" s="110">
        <f t="shared" si="10"/>
        <v>0.00928814000000003</v>
      </c>
      <c r="AT60" s="113">
        <f t="shared" si="11"/>
        <v>1030.29527366161</v>
      </c>
      <c r="AU60" s="108">
        <f>$B$7*IF($G$5="撼天",1.05,1)+IF(AND(VLOOKUP($E60,武器奇术!$A:$R,15,FALSE)="武器",VLOOKUP($E60,武器奇术!$A:$R,17,FALSE)="鸣金"),$E$3,0)*(1+$E$15)</f>
        <v>0</v>
      </c>
      <c r="AV60" s="99">
        <f>(AU60+AW60)*IF(VLOOKUP($E60,武器奇术!$A:$Z,21,FALSE)=1,$G$15,0.5)</f>
        <v>0</v>
      </c>
      <c r="AW60" s="109">
        <f>MAX($C$7*IF($G$5="撼天",1.05,1)+IF(AND(VLOOKUP($E60,武器奇术!$A:$R,15,FALSE)="武器",VLOOKUP($E60,武器奇术!$A:$R,17,FALSE)="鸣金"),$E$3*(1+$E$15),0),AU60)</f>
        <v>0</v>
      </c>
      <c r="AX60" s="110">
        <f>IF(($D$7+IF(VLOOKUP($E60,武器奇术!$A:$R,17,FALSE)="鸣金",$D$15,0)+IF(VLOOKUP($E60,武器奇术!$A:$R,18,FALSE)=1,4,0)+IF(VLOOKUP($E60,武器奇术!$A:$S,19,FALSE)=1,20,0)-VLOOKUP($F$7,目标属性!$A:$R,6,FALSE))&gt;0,($D$7+IF(VLOOKUP($E60,武器奇术!$A:$R,17,FALSE)="鸣金",$D$15,0)+IF(VLOOKUP($E60,武器奇术!$A:$R,18,FALSE)=1,4,0)+IF(VLOOKUP($E60,武器奇术!$A:$S,19,FALSE)=1,20,0)-VLOOKUP($F$7,目标属性!$A:$R,6,FALSE))/200,($D$7+IF(VLOOKUP($E60,武器奇术!$A:$R,17,FALSE)="鸣金",$D$15,0)+IF(VLOOKUP($E60,武器奇术!$A:$R,18,FALSE)=1,4,0)+IF(VLOOKUP($E60,武器奇术!$A:$S,19,FALSE)=1,20,0)-VLOOKUP($F$7,目标属性!$A:$R,6,FALSE))/100)</f>
        <v>-0.24</v>
      </c>
      <c r="AY60" s="111">
        <f t="shared" si="12"/>
        <v>0</v>
      </c>
      <c r="AZ60" s="109">
        <v>1</v>
      </c>
      <c r="BA60" s="112">
        <f>AU60*IF(VLOOKUP($E60,武器奇术!$A:$R,17,FALSE)="鸣金",VLOOKUP($E60,武器奇术!$A:$R,4,FALSE),VLOOKUP($E60,武器奇术!$A:$R,2,FALSE))*(1+AX60)*(1+AY60)*AZ60</f>
        <v>0</v>
      </c>
      <c r="BB60" s="110">
        <f>(1-IF(VLOOKUP($E60,武器奇术!$A:$T,20,FALSE)=1,1,$N60))*(1-$M60)</f>
        <v>0.01072666</v>
      </c>
      <c r="BC60" s="112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10">
        <f t="shared" si="13"/>
        <v>0.8813852</v>
      </c>
      <c r="BE60" s="112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10">
        <f t="shared" si="14"/>
        <v>0.0986</v>
      </c>
      <c r="BG60" s="112">
        <f>AV60*IF(VLOOKUP($E60,武器奇术!$A:$R,17,FALSE)="鸣金",VLOOKUP($E60,武器奇术!$A:$R,4,FALSE),VLOOKUP($E60,武器奇术!$A:$R,2,FALSE))*(1+AX60)*(1+AY60)*AZ60</f>
        <v>0</v>
      </c>
      <c r="BH60" s="110">
        <f t="shared" si="15"/>
        <v>0.00928814000000003</v>
      </c>
      <c r="BI60" s="113">
        <f t="shared" si="16"/>
        <v>0</v>
      </c>
      <c r="BJ60" s="108">
        <f>$B$9*IF($G$5="撼天",1.05,1)+IF(AND(VLOOKUP($E60,武器奇术!$A:$R,15,FALSE)="武器",VLOOKUP($E60,武器奇术!$A:$R,17,FALSE)="裂石"),$E$3,0)*(1+$E$15)</f>
        <v>0</v>
      </c>
      <c r="BK60" s="99">
        <f>(BJ60+BL60)*IF(VLOOKUP($E60,武器奇术!$A:$Z,21,FALSE)=1,$G$15,0.5)</f>
        <v>0</v>
      </c>
      <c r="BL60" s="109">
        <f>MAX($C$9*IF($G$5="撼天",1.05,1)+IF(AND(VLOOKUP($E60,武器奇术!$A:$R,15,FALSE)="武器",VLOOKUP($E60,武器奇术!$A:$R,17,FALSE)="裂石"),$E$3*(1+$E$15),0),BJ60)</f>
        <v>0</v>
      </c>
      <c r="BM60" s="110">
        <f>IF(($D$9+IF(VLOOKUP($E60,武器奇术!$A:$R,17,FALSE)="裂石",$D$15,0)+IF(VLOOKUP($E60,武器奇术!$A:$R,18,FALSE)=1,4,0)+IF(VLOOKUP($E60,武器奇术!$A:$S,19,FALSE)=1,20,0)-VLOOKUP($F$7,目标属性!$A:$R,6,FALSE))&gt;0,($D$9+IF(VLOOKUP($E60,武器奇术!$A:$R,17,FALSE)="裂石",$D$15,0)+IF(VLOOKUP($E60,武器奇术!$A:$R,18,FALSE)=1,4,0)+IF(VLOOKUP($E60,武器奇术!$A:$S,19,FALSE)=1,20,0)-VLOOKUP($F$7,目标属性!$A:$R,6,FALSE))/200,($D$9+IF(VLOOKUP($E60,武器奇术!$A:$R,17,FALSE)="裂石",$D$15,0)+IF(VLOOKUP($E60,武器奇术!$A:$R,18,FALSE)=1,4,0)+IF(VLOOKUP($E60,武器奇术!$A:$S,19,FALSE)=1,20,0)-VLOOKUP($F$7,目标属性!$A:$R,6,FALSE))/100)</f>
        <v>-0.24</v>
      </c>
      <c r="BN60" s="111">
        <f t="shared" si="17"/>
        <v>0</v>
      </c>
      <c r="BO60" s="109">
        <v>1</v>
      </c>
      <c r="BP60" s="112">
        <f>BJ60*IF(VLOOKUP($E60,武器奇术!$A:$R,17,FALSE)="裂石",VLOOKUP($E60,武器奇术!$A:$R,4,FALSE),VLOOKUP($E60,武器奇术!$A:$R,2,FALSE))*(1+BM60)*(1+BN60)*BO60</f>
        <v>0</v>
      </c>
      <c r="BQ60" s="110">
        <f>(1-IF(VLOOKUP($E60,武器奇术!$A:$T,20,FALSE)=1,1,$N60))*(1-$M60)</f>
        <v>0.01072666</v>
      </c>
      <c r="BR60" s="112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10">
        <f t="shared" si="18"/>
        <v>0.8813852</v>
      </c>
      <c r="BT60" s="112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10">
        <f t="shared" si="19"/>
        <v>0.0986</v>
      </c>
      <c r="BV60" s="112">
        <f>BK60*IF(VLOOKUP($E60,武器奇术!$A:$R,17,FALSE)="裂石",VLOOKUP($E60,武器奇术!$A:$R,4,FALSE),VLOOKUP($E60,武器奇术!$A:$R,2,FALSE))*(1+BM60)*(1+BN60)*BO60</f>
        <v>0</v>
      </c>
      <c r="BW60" s="110">
        <f t="shared" si="20"/>
        <v>0.00928814000000003</v>
      </c>
      <c r="BX60" s="113">
        <f t="shared" si="21"/>
        <v>0</v>
      </c>
      <c r="BY60" s="108">
        <f>$B$11*IF($G$5="撼天",1.05,1)+IF(AND(VLOOKUP($E60,武器奇术!$A:$R,15,FALSE)="武器",VLOOKUP($E60,武器奇术!$A:$R,17,FALSE)="牵丝"),$E$3,0)*(1+$E$15)</f>
        <v>0</v>
      </c>
      <c r="BZ60" s="99">
        <f>(BY60+CA60)*IF(VLOOKUP($E60,武器奇术!$A:$Z,21,FALSE)=1,$G$15,0.5)</f>
        <v>0</v>
      </c>
      <c r="CA60" s="109">
        <f>MAX($C$11*IF($G$5="撼天",1.05,1)+IF(AND(VLOOKUP($E60,武器奇术!$A:$R,15,FALSE)="武器",VLOOKUP($E60,武器奇术!$A:$R,17,FALSE)="牵丝"),$E$3*(1+$E$15),0),BY60)</f>
        <v>0</v>
      </c>
      <c r="CB60" s="110">
        <f>IF(($D$11+IF(VLOOKUP($E60,武器奇术!$A:$R,17,FALSE)="牵丝",$D$15,0)+IF(VLOOKUP($E60,武器奇术!$A:$R,18,FALSE)=1,4,0)+IF(VLOOKUP($E60,武器奇术!$A:$S,19,FALSE)=1,20,0)-VLOOKUP($F$7,目标属性!$A:$R,6,FALSE))&gt;0,($D$11+IF(VLOOKUP($E60,武器奇术!$A:$R,17,FALSE)="牵丝",$D$15,0)+IF(VLOOKUP($E60,武器奇术!$A:$R,18,FALSE)=1,4,0)+IF(VLOOKUP($E60,武器奇术!$A:$S,19,FALSE)=1,20,0)-VLOOKUP($F$7,目标属性!$A:$R,6,FALSE))/200,($D$11+IF(VLOOKUP($E60,武器奇术!$A:$R,17,FALSE)="牵丝",$D$15,0)+IF(VLOOKUP($E60,武器奇术!$A:$R,18,FALSE)=1,4,0)+IF(VLOOKUP($E60,武器奇术!$A:$S,19,FALSE)=1,20,0)-VLOOKUP($F$7,目标属性!$A:$R,6,FALSE))/100)</f>
        <v>-0.24</v>
      </c>
      <c r="CC60" s="111">
        <f t="shared" si="22"/>
        <v>0</v>
      </c>
      <c r="CD60" s="109">
        <v>1</v>
      </c>
      <c r="CE60" s="112">
        <f>BY60*IF(VLOOKUP($E60,武器奇术!$A:$R,17,FALSE)="牵丝",VLOOKUP($E60,武器奇术!$A:$R,4,FALSE),VLOOKUP($E60,武器奇术!$A:$R,2,FALSE))*(1+CB60)*(1+CC60)*CD60</f>
        <v>0</v>
      </c>
      <c r="CF60" s="110">
        <f>(1-IF(VLOOKUP($E60,武器奇术!$A:$T,20,FALSE)=1,1,$N60))*(1-$M60)</f>
        <v>0.01072666</v>
      </c>
      <c r="CG60" s="112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110">
        <f t="shared" si="23"/>
        <v>0.8813852</v>
      </c>
      <c r="CI60" s="112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110">
        <f t="shared" si="24"/>
        <v>0.0986</v>
      </c>
      <c r="CK60" s="112">
        <f>BZ60*IF(VLOOKUP($E60,武器奇术!$A:$R,17,FALSE)="牵丝",VLOOKUP($E60,武器奇术!$A:$R,4,FALSE),VLOOKUP($E60,武器奇术!$A:$R,2,FALSE))*(1+CB60)*(1+CC60)*CD60</f>
        <v>0</v>
      </c>
      <c r="CL60" s="110">
        <f t="shared" si="25"/>
        <v>0.00928814000000003</v>
      </c>
      <c r="CM60" s="113">
        <f t="shared" si="26"/>
        <v>0</v>
      </c>
      <c r="CN60" s="108">
        <f>$B$13*IF($G$5="撼天",1.05,1)+IF(AND(VLOOKUP($E60,武器奇术!$A:$R,15,FALSE)="武器",VLOOKUP($E60,武器奇术!$A:$R,17,FALSE)="破竹"),$E$3,0)*(1+$E$15)</f>
        <v>648.46</v>
      </c>
      <c r="CO60" s="99">
        <f>(CN60+CP60)*IF(VLOOKUP($E60,武器奇术!$A:$Z,21,FALSE)=1,$G$15,0.5)</f>
        <v>875.26</v>
      </c>
      <c r="CP60" s="109">
        <f>MAX($C$13*IF($G$5="撼天",1.05,1)+IF(AND(VLOOKUP($E60,武器奇术!$A:$R,15,FALSE)="武器",VLOOKUP($E60,武器奇术!$A:$R,17,FALSE)="破竹"),$E$3*(1+$E$15),0),CN60)</f>
        <v>1102.06</v>
      </c>
      <c r="CQ60" s="110">
        <f>IF(($D$13+IF(VLOOKUP($E60,武器奇术!$A:$R,17,FALSE)="破竹",$D$15,0)+IF(VLOOKUP($E60,武器奇术!$A:$R,18,FALSE)=1,4,0)+IF(VLOOKUP($E60,武器奇术!$A:$S,19,FALSE)=1,20,0)-VLOOKUP($F$7,目标属性!$A:$R,6,FALSE))&gt;0,($D$13+IF(VLOOKUP($E60,武器奇术!$A:$R,17,FALSE)="破竹",$D$15,0)+IF(VLOOKUP($E60,武器奇术!$A:$R,18,FALSE)=1,4,0)+IF(VLOOKUP($E60,武器奇术!$A:$S,19,FALSE)=1,20,0)-VLOOKUP($F$7,目标属性!$A:$R,6,FALSE))/200,($D$13+IF(VLOOKUP($E60,武器奇术!$A:$R,17,FALSE)="破竹",$D$15,0)+IF(VLOOKUP($E60,武器奇术!$A:$R,18,FALSE)=1,4,0)+IF(VLOOKUP($E60,武器奇术!$A:$S,19,FALSE)=1,20,0)-VLOOKUP($F$7,目标属性!$A:$R,6,FALSE))/100)</f>
        <v>0.025</v>
      </c>
      <c r="CR60" s="111">
        <f>$E$13+IF(VLOOKUP($E60,武器奇术!$A:$U,21,FALSE)=1,0,0.09)</f>
        <v>0.235</v>
      </c>
      <c r="CS60" s="109">
        <v>1</v>
      </c>
      <c r="CT60" s="112">
        <f>CN60*IF(VLOOKUP($E60,武器奇术!$A:$R,17,FALSE)="破竹",VLOOKUP($E60,武器奇术!$A:$R,4,FALSE),VLOOKUP($E60,武器奇术!$A:$R,2,FALSE))*(1+CQ60)*(1+CR60)*CS60</f>
        <v>1585.34488391825</v>
      </c>
      <c r="CU60" s="110">
        <f>(1-IF(VLOOKUP($E60,武器奇术!$A:$T,20,FALSE)=1,1,$N60))*(1-$M60)</f>
        <v>0.01072666</v>
      </c>
      <c r="CV60" s="112">
        <f>CO60*IF(VLOOKUP($E60,武器奇术!$A:$R,17,FALSE)="破竹",VLOOKUP($E60,武器奇术!$A:$R,4,FALSE),VLOOKUP($E60,武器奇术!$A:$R,2,FALSE))*(1+CQ60)*(1+CR60)*CS60*(1+$E$16+VLOOKUP($E60,武器奇术!$A:$R,8,FALSE))</f>
        <v>3509.30805212533</v>
      </c>
      <c r="CW60" s="110">
        <f t="shared" si="27"/>
        <v>0.8813852</v>
      </c>
      <c r="CX60" s="112">
        <f>CP60*IF(VLOOKUP($E60,武器奇术!$A:$R,17,FALSE)="破竹",VLOOKUP($E60,武器奇术!$A:$R,4,FALSE),VLOOKUP($E60,武器奇术!$A:$R,2,FALSE))*(1+CQ60)*(1+CR60)*CS60*(1+$E$17+VLOOKUP($E60,武器奇术!$A:$R,10,FALSE))</f>
        <v>3637.30376081914</v>
      </c>
      <c r="CY60" s="110">
        <f t="shared" si="28"/>
        <v>0.0986</v>
      </c>
      <c r="CZ60" s="112">
        <f>CO60*IF(VLOOKUP($E60,武器奇术!$A:$R,17,FALSE)="破竹",VLOOKUP($E60,武器奇术!$A:$R,4,FALSE),VLOOKUP($E60,武器奇术!$A:$R,2,FALSE))*(1+CQ60)*(1+CR60)*CS60</f>
        <v>2139.82198300325</v>
      </c>
      <c r="DA60" s="110">
        <f t="shared" si="29"/>
        <v>0.00928814000000003</v>
      </c>
      <c r="DB60" s="113">
        <f t="shared" si="30"/>
        <v>3488.5707519066</v>
      </c>
      <c r="DC60" s="108">
        <f t="shared" si="31"/>
        <v>69.3</v>
      </c>
      <c r="DD60" s="99">
        <f>(DC60+DE60)*IF(VLOOKUP($E60,武器奇术!$A:$Z,21,FALSE)=1,$G$15,0.5)</f>
        <v>69.3</v>
      </c>
      <c r="DE60" s="109">
        <f t="shared" si="32"/>
        <v>69.3</v>
      </c>
      <c r="DF60" s="110">
        <f>IF(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R,18,FALSE)=1,4,0)+IF(VLOOKUP($E60,武器奇术!$A:$S,19,FALSE)=1,20,0)-VLOOKUP($F$7,目标属性!$A:$R,6,FALSE))/100)</f>
        <v>0.025</v>
      </c>
      <c r="DG60" s="111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U,21,FALSE)=1,0,0.09)</f>
        <v>0.235</v>
      </c>
      <c r="DH60" s="109">
        <v>1</v>
      </c>
      <c r="DI60" s="112">
        <f>DC60*IF(VLOOKUP($E60,武器奇术!$A:$R,17,FALSE)="破竹",VLOOKUP($E60,武器奇术!$A:$R,4,FALSE),VLOOKUP($E60,武器奇术!$A:$R,2,FALSE))*(1+DF60)*(1+DG60)*DH60</f>
        <v>169.42355805375</v>
      </c>
      <c r="DJ60" s="110">
        <f>(1-IF(VLOOKUP($E60,武器奇术!$A:$T,20,FALSE)=1,1,$N60))*(1-$M60)</f>
        <v>0.01072666</v>
      </c>
      <c r="DK60" s="112">
        <f>DD60*IF(VLOOKUP($E60,武器奇术!$A:$R,17,FALSE)="破竹",VLOOKUP($E60,武器奇术!$A:$R,4,FALSE),VLOOKUP($E60,武器奇术!$A:$R,2,FALSE))*(1+DF60)*(1+DG60)*DH60*(1+$E$16+VLOOKUP($E60,武器奇术!$A:$R,8,FALSE))</f>
        <v>277.85463520815</v>
      </c>
      <c r="DL60" s="110">
        <f t="shared" si="33"/>
        <v>0.8813852</v>
      </c>
      <c r="DM60" s="112">
        <f>DE60*IF(VLOOKUP($E60,武器奇术!$A:$R,17,FALSE)="破竹",VLOOKUP($E60,武器奇术!$A:$R,4,FALSE),VLOOKUP($E60,武器奇术!$A:$R,2,FALSE))*(1+DF60)*(1+DG60)*DH60*(1+$E$17+VLOOKUP($E60,武器奇术!$A:$R,10,FALSE))</f>
        <v>228.721803372562</v>
      </c>
      <c r="DN60" s="110">
        <f t="shared" si="34"/>
        <v>0.0986</v>
      </c>
      <c r="DO60" s="112">
        <f>DD60*IF(VLOOKUP($E60,武器奇术!$A:$R,17,FALSE)="破竹",VLOOKUP($E60,武器奇术!$A:$R,4,FALSE),VLOOKUP($E60,武器奇术!$A:$R,2,FALSE))*(1+DF60)*(1+DG60)*DH60</f>
        <v>169.42355805375</v>
      </c>
      <c r="DP60" s="110">
        <f t="shared" si="35"/>
        <v>0.00928814000000003</v>
      </c>
      <c r="DQ60" s="113">
        <f t="shared" si="36"/>
        <v>270.839911666131</v>
      </c>
    </row>
    <row r="61" customFormat="1" spans="1:121">
      <c r="C61" s="147"/>
      <c r="D61" s="147"/>
      <c r="E61" s="98" t="str">
        <f>期望!E61</f>
        <v>鹰隼追击(拳甲)+气竭</v>
      </c>
      <c r="F61" s="99">
        <f>期望!F61</f>
        <v>1</v>
      </c>
      <c r="G61" s="115"/>
      <c r="H61" s="100">
        <f>IF(VLOOKUP($E61,武器奇术!$A:$R,18,FALSE)="天工",AE61,(AE61+AT61+BI61+BX61+CM61+DB61+DQ61))*(1+J61)*F61*K61*(1+G61)</f>
        <v>50067.382471381</v>
      </c>
      <c r="I61" s="101">
        <f t="shared" si="0"/>
        <v>0.00618146492814867</v>
      </c>
      <c r="J61" s="101">
        <f>$F$3+VLOOKUP($E61,武器奇术!$A:$R,12,FALSE)+VLOOKUP($E61,武器奇术!$A:$R,14,FALSE)*$G$3+$P61</f>
        <v>0.873</v>
      </c>
      <c r="K61" s="102">
        <f>VLOOKUP($E61,武器奇术!$A:$R,11,FALSE)</f>
        <v>1</v>
      </c>
      <c r="L61" s="117">
        <f>IF(VLOOKUP($E61,武器奇术!$A:$R,15,FALSE)="天工",0%,IF($C$17+VLOOKUP($E61,武器奇术!$A:$R,7,FALSE)&gt;80%,80%,$C$17+VLOOKUP($E61,武器奇术!$A:$R,7,FALSE))+IF($C$19&gt;20%,20%,$C$19))</f>
        <v>0.892</v>
      </c>
      <c r="M61" s="118">
        <f>IF(VLOOKUP($E61,武器奇术!$A:$R,15,FALSE)="天工",0%,IF($C$18+VLOOKUP($E61,武器奇术!$A:$R,9,FALSE)&gt;40%,40%,$C$18+VLOOKUP($E61,武器奇术!$A:$R,9,FALSE))+IF($C$20&gt;10%,10%,$C$20))</f>
        <v>0.0986</v>
      </c>
      <c r="N61" s="119">
        <f>IF(VLOOKUP($E61,武器奇术!$A:$R,15,FALSE)="天工",100%,MIN($C$16,1))</f>
        <v>0.9881</v>
      </c>
      <c r="O61" s="120" t="str">
        <f>VLOOKUP($E61,武器奇术!$A:$R,16,FALSE)</f>
        <v>拳甲</v>
      </c>
      <c r="P61" s="121">
        <f t="shared" si="37"/>
        <v>0.17</v>
      </c>
      <c r="Q61" s="108">
        <f>$B$5*(1+VLOOKUP($E61,武器奇术!$A:$R,5,FALSE)+IF($G$5="飞隼",0.1,0)+IF($G$5="撼天",0.05,0))-$F$9+IF($I$5="√",160,0)</f>
        <v>1731.135</v>
      </c>
      <c r="R61" s="99">
        <f>IF(VLOOKUP($E61,武器奇术!$A:$Z,20,FALSE)=1,(S61-(Q61+S61)*0.5)*($G$15-0.5)*2+(Q61+S61)*0.5,(Q61+S61)*0.5)</f>
        <v>3256.775</v>
      </c>
      <c r="S61" s="109">
        <f>MAX($C$5,$B$5)*(1+VLOOKUP($E61,武器奇术!$A:$R,5,FALSE)+IF($G$5="飞隼",0.1,0)+IF($G$5="撼天",0.05,0))-$F$9+IF($I$5="√",320,0)</f>
        <v>4782.415</v>
      </c>
      <c r="T61" s="101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U61" s="111">
        <f>$E$5+IF(VLOOKUP($E61,武器奇术!$A:$U,21,FALSE)=1,0,0.09)</f>
        <v>0.115</v>
      </c>
      <c r="V61" s="109">
        <v>1</v>
      </c>
      <c r="W61" s="112">
        <f>Q61*VLOOKUP($E61,武器奇术!$A:$R,2,FALSE)*(1+T61)*(1+U61)*V61</f>
        <v>5595.154346628</v>
      </c>
      <c r="X61" s="110">
        <f>(1-IF(VLOOKUP($E61,武器奇术!$A:$T,20,FALSE)=1,1,$N61))*(1-$M61)</f>
        <v>0.01072666</v>
      </c>
      <c r="Y61" s="112">
        <f>R61*VLOOKUP($E61,武器奇术!$A:$R,2,FALSE)*(1+T61)*(1+U61)*V61*(1+$E$16+VLOOKUP($E61,武器奇术!$A:$R,8,FALSE))</f>
        <v>20420.6997528468</v>
      </c>
      <c r="Z61" s="110">
        <f t="shared" si="1"/>
        <v>0.8813852</v>
      </c>
      <c r="AA61" s="112">
        <f>S61*VLOOKUP($E61,武器奇术!$A:$R,2,FALSE)*(1+T61)*(1+U61)*V61*(1+$E$17+VLOOKUP($E61,武器奇术!$A:$R,10,FALSE))</f>
        <v>20867.1031437462</v>
      </c>
      <c r="AB61" s="110">
        <f t="shared" si="2"/>
        <v>0.0986</v>
      </c>
      <c r="AC61" s="112">
        <f>R61*VLOOKUP($E61,武器奇术!$A:$R,2,FALSE)*(1+T61)*(1+U61)*V61</f>
        <v>10526.13389322</v>
      </c>
      <c r="AD61" s="110">
        <f t="shared" si="3"/>
        <v>0.00928814000000003</v>
      </c>
      <c r="AE61" s="113">
        <f t="shared" si="4"/>
        <v>20213.784429359</v>
      </c>
      <c r="AF61" s="114">
        <f>VLOOKUP($E61,武器奇术!$A:$R,3,FALSE)*(1+IF(VLOOKUP($E61,武器奇术!$A:$R,15,FALSE)="武器",$E$15,0))</f>
        <v>0</v>
      </c>
      <c r="AG61" s="112">
        <f t="shared" si="5"/>
        <v>0</v>
      </c>
      <c r="AH61" s="112">
        <f>VLOOKUP($E61,武器奇术!$A:$R,3,FALSE)*(1+IF(VLOOKUP($E61,武器奇术!$A:$R,15,FALSE)="武器",$E$15,0))</f>
        <v>0</v>
      </c>
      <c r="AI61" s="101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0.342</v>
      </c>
      <c r="AJ61" s="111">
        <f>$E$5+IF(VLOOKUP($E61,武器奇术!$A:$U,21,FALSE)=1,0,0.09)</f>
        <v>0.115</v>
      </c>
      <c r="AK61" s="109">
        <v>1</v>
      </c>
      <c r="AL61" s="112">
        <f t="shared" si="6"/>
        <v>0</v>
      </c>
      <c r="AM61" s="110">
        <f>(1-IF(VLOOKUP($E61,武器奇术!$A:$T,20,FALSE)=1,1,$N61))*(1-$M61)</f>
        <v>0.01072666</v>
      </c>
      <c r="AN61" s="112">
        <f>AG61*(1+AI61)*(1+AJ61)*AK61*(1+$E$16+VLOOKUP($E61,武器奇术!$A:$R,8,FALSE))</f>
        <v>0</v>
      </c>
      <c r="AO61" s="110">
        <f t="shared" si="7"/>
        <v>0.8813852</v>
      </c>
      <c r="AP61" s="112">
        <f>AH61*(1+AI61)*(1+AJ61)*AK61*(1+$E$17+VLOOKUP($E61,武器奇术!$A:$R,10,FALSE))</f>
        <v>0</v>
      </c>
      <c r="AQ61" s="110">
        <f t="shared" si="8"/>
        <v>0.0986</v>
      </c>
      <c r="AR61" s="112">
        <f t="shared" si="9"/>
        <v>0</v>
      </c>
      <c r="AS61" s="110">
        <f t="shared" si="10"/>
        <v>0.00928814000000003</v>
      </c>
      <c r="AT61" s="113">
        <f t="shared" si="11"/>
        <v>0</v>
      </c>
      <c r="AU61" s="108">
        <f>$B$7*IF($G$5="撼天",1.05,1)+IF(AND(VLOOKUP($E61,武器奇术!$A:$R,15,FALSE)="武器",VLOOKUP($E61,武器奇术!$A:$R,17,FALSE)="鸣金"),$E$3,0)*(1+$E$15)</f>
        <v>0</v>
      </c>
      <c r="AV61" s="99">
        <f>(AU61+AW61)*IF(VLOOKUP($E61,武器奇术!$A:$Z,21,FALSE)=1,$G$15,0.5)</f>
        <v>0</v>
      </c>
      <c r="AW61" s="109">
        <f>MAX($C$7*IF($G$5="撼天",1.05,1)+IF(AND(VLOOKUP($E61,武器奇术!$A:$R,15,FALSE)="武器",VLOOKUP($E61,武器奇术!$A:$R,17,FALSE)="鸣金"),$E$3*(1+$E$15),0),AU61)</f>
        <v>0</v>
      </c>
      <c r="AX61" s="110">
        <f>IF(($D$7+IF(VLOOKUP($E61,武器奇术!$A:$R,17,FALSE)="鸣金",$D$15,0)+IF(VLOOKUP($E61,武器奇术!$A:$R,18,FALSE)=1,4,0)+IF(VLOOKUP($E61,武器奇术!$A:$S,19,FALSE)=1,20,0)-VLOOKUP($F$7,目标属性!$A:$R,6,FALSE))&gt;0,($D$7+IF(VLOOKUP($E61,武器奇术!$A:$R,17,FALSE)="鸣金",$D$15,0)+IF(VLOOKUP($E61,武器奇术!$A:$R,18,FALSE)=1,4,0)+IF(VLOOKUP($E61,武器奇术!$A:$S,19,FALSE)=1,20,0)-VLOOKUP($F$7,目标属性!$A:$R,6,FALSE))/200,($D$7+IF(VLOOKUP($E61,武器奇术!$A:$R,17,FALSE)="鸣金",$D$15,0)+IF(VLOOKUP($E61,武器奇术!$A:$R,18,FALSE)=1,4,0)+IF(VLOOKUP($E61,武器奇术!$A:$S,19,FALSE)=1,20,0)-VLOOKUP($F$7,目标属性!$A:$R,6,FALSE))/100)</f>
        <v>0</v>
      </c>
      <c r="AY61" s="111">
        <f t="shared" si="12"/>
        <v>0</v>
      </c>
      <c r="AZ61" s="109">
        <v>1</v>
      </c>
      <c r="BA61" s="112">
        <f>AU61*IF(VLOOKUP($E61,武器奇术!$A:$R,17,FALSE)="鸣金",VLOOKUP($E61,武器奇术!$A:$R,4,FALSE),VLOOKUP($E61,武器奇术!$A:$R,2,FALSE))*(1+AX61)*(1+AY61)*AZ61</f>
        <v>0</v>
      </c>
      <c r="BB61" s="110">
        <f>(1-IF(VLOOKUP($E61,武器奇术!$A:$T,20,FALSE)=1,1,$N61))*(1-$M61)</f>
        <v>0.01072666</v>
      </c>
      <c r="BC61" s="112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10">
        <f t="shared" si="13"/>
        <v>0.8813852</v>
      </c>
      <c r="BE61" s="112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10">
        <f t="shared" si="14"/>
        <v>0.0986</v>
      </c>
      <c r="BG61" s="112">
        <f>AV61*IF(VLOOKUP($E61,武器奇术!$A:$R,17,FALSE)="鸣金",VLOOKUP($E61,武器奇术!$A:$R,4,FALSE),VLOOKUP($E61,武器奇术!$A:$R,2,FALSE))*(1+AX61)*(1+AY61)*AZ61</f>
        <v>0</v>
      </c>
      <c r="BH61" s="110">
        <f t="shared" si="15"/>
        <v>0.00928814000000003</v>
      </c>
      <c r="BI61" s="113">
        <f t="shared" si="16"/>
        <v>0</v>
      </c>
      <c r="BJ61" s="108">
        <f>$B$9*IF($G$5="撼天",1.05,1)+IF(AND(VLOOKUP($E61,武器奇术!$A:$R,15,FALSE)="武器",VLOOKUP($E61,武器奇术!$A:$R,17,FALSE)="裂石"),$E$3,0)*(1+$E$15)</f>
        <v>0</v>
      </c>
      <c r="BK61" s="99">
        <f>(BJ61+BL61)*IF(VLOOKUP($E61,武器奇术!$A:$Z,21,FALSE)=1,$G$15,0.5)</f>
        <v>0</v>
      </c>
      <c r="BL61" s="109">
        <f>MAX($C$9*IF($G$5="撼天",1.05,1)+IF(AND(VLOOKUP($E61,武器奇术!$A:$R,15,FALSE)="武器",VLOOKUP($E61,武器奇术!$A:$R,17,FALSE)="裂石"),$E$3*(1+$E$15),0),BJ61)</f>
        <v>0</v>
      </c>
      <c r="BM61" s="110">
        <f>IF(($D$9+IF(VLOOKUP($E61,武器奇术!$A:$R,17,FALSE)="裂石",$D$15,0)+IF(VLOOKUP($E61,武器奇术!$A:$R,18,FALSE)=1,4,0)+IF(VLOOKUP($E61,武器奇术!$A:$S,19,FALSE)=1,20,0)-VLOOKUP($F$7,目标属性!$A:$R,6,FALSE))&gt;0,($D$9+IF(VLOOKUP($E61,武器奇术!$A:$R,17,FALSE)="裂石",$D$15,0)+IF(VLOOKUP($E61,武器奇术!$A:$R,18,FALSE)=1,4,0)+IF(VLOOKUP($E61,武器奇术!$A:$S,19,FALSE)=1,20,0)-VLOOKUP($F$7,目标属性!$A:$R,6,FALSE))/200,($D$9+IF(VLOOKUP($E61,武器奇术!$A:$R,17,FALSE)="裂石",$D$15,0)+IF(VLOOKUP($E61,武器奇术!$A:$R,18,FALSE)=1,4,0)+IF(VLOOKUP($E61,武器奇术!$A:$S,19,FALSE)=1,20,0)-VLOOKUP($F$7,目标属性!$A:$R,6,FALSE))/100)</f>
        <v>0</v>
      </c>
      <c r="BN61" s="111">
        <f t="shared" si="17"/>
        <v>0</v>
      </c>
      <c r="BO61" s="109">
        <v>1</v>
      </c>
      <c r="BP61" s="112">
        <f>BJ61*IF(VLOOKUP($E61,武器奇术!$A:$R,17,FALSE)="裂石",VLOOKUP($E61,武器奇术!$A:$R,4,FALSE),VLOOKUP($E61,武器奇术!$A:$R,2,FALSE))*(1+BM61)*(1+BN61)*BO61</f>
        <v>0</v>
      </c>
      <c r="BQ61" s="110">
        <f>(1-IF(VLOOKUP($E61,武器奇术!$A:$T,20,FALSE)=1,1,$N61))*(1-$M61)</f>
        <v>0.01072666</v>
      </c>
      <c r="BR61" s="112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10">
        <f t="shared" si="18"/>
        <v>0.8813852</v>
      </c>
      <c r="BT61" s="112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10">
        <f t="shared" si="19"/>
        <v>0.0986</v>
      </c>
      <c r="BV61" s="112">
        <f>BK61*IF(VLOOKUP($E61,武器奇术!$A:$R,17,FALSE)="裂石",VLOOKUP($E61,武器奇术!$A:$R,4,FALSE),VLOOKUP($E61,武器奇术!$A:$R,2,FALSE))*(1+BM61)*(1+BN61)*BO61</f>
        <v>0</v>
      </c>
      <c r="BW61" s="110">
        <f t="shared" si="20"/>
        <v>0.00928814000000003</v>
      </c>
      <c r="BX61" s="113">
        <f t="shared" si="21"/>
        <v>0</v>
      </c>
      <c r="BY61" s="108">
        <f>$B$11*IF($G$5="撼天",1.05,1)+IF(AND(VLOOKUP($E61,武器奇术!$A:$R,15,FALSE)="武器",VLOOKUP($E61,武器奇术!$A:$R,17,FALSE)="牵丝"),$E$3,0)*(1+$E$15)</f>
        <v>0</v>
      </c>
      <c r="BZ61" s="99">
        <f>(BY61+CA61)*IF(VLOOKUP($E61,武器奇术!$A:$Z,21,FALSE)=1,$G$15,0.5)</f>
        <v>0</v>
      </c>
      <c r="CA61" s="109">
        <f>MAX($C$11*IF($G$5="撼天",1.05,1)+IF(AND(VLOOKUP($E61,武器奇术!$A:$R,15,FALSE)="武器",VLOOKUP($E61,武器奇术!$A:$R,17,FALSE)="牵丝"),$E$3*(1+$E$15),0),BY61)</f>
        <v>0</v>
      </c>
      <c r="CB61" s="110">
        <f>IF(($D$11+IF(VLOOKUP($E61,武器奇术!$A:$R,17,FALSE)="牵丝",$D$15,0)+IF(VLOOKUP($E61,武器奇术!$A:$R,18,FALSE)=1,4,0)+IF(VLOOKUP($E61,武器奇术!$A:$S,19,FALSE)=1,20,0)-VLOOKUP($F$7,目标属性!$A:$R,6,FALSE))&gt;0,($D$11+IF(VLOOKUP($E61,武器奇术!$A:$R,17,FALSE)="牵丝",$D$15,0)+IF(VLOOKUP($E61,武器奇术!$A:$R,18,FALSE)=1,4,0)+IF(VLOOKUP($E61,武器奇术!$A:$S,19,FALSE)=1,20,0)-VLOOKUP($F$7,目标属性!$A:$R,6,FALSE))/200,($D$11+IF(VLOOKUP($E61,武器奇术!$A:$R,17,FALSE)="牵丝",$D$15,0)+IF(VLOOKUP($E61,武器奇术!$A:$R,18,FALSE)=1,4,0)+IF(VLOOKUP($E61,武器奇术!$A:$S,19,FALSE)=1,20,0)-VLOOKUP($F$7,目标属性!$A:$R,6,FALSE))/100)</f>
        <v>0</v>
      </c>
      <c r="CC61" s="111">
        <f t="shared" si="22"/>
        <v>0</v>
      </c>
      <c r="CD61" s="109">
        <v>1</v>
      </c>
      <c r="CE61" s="112">
        <f>BY61*IF(VLOOKUP($E61,武器奇术!$A:$R,17,FALSE)="牵丝",VLOOKUP($E61,武器奇术!$A:$R,4,FALSE),VLOOKUP($E61,武器奇术!$A:$R,2,FALSE))*(1+CB61)*(1+CC61)*CD61</f>
        <v>0</v>
      </c>
      <c r="CF61" s="110">
        <f>(1-IF(VLOOKUP($E61,武器奇术!$A:$T,20,FALSE)=1,1,$N61))*(1-$M61)</f>
        <v>0.01072666</v>
      </c>
      <c r="CG61" s="112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110">
        <f t="shared" si="23"/>
        <v>0.8813852</v>
      </c>
      <c r="CI61" s="112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110">
        <f t="shared" si="24"/>
        <v>0.0986</v>
      </c>
      <c r="CK61" s="112">
        <f>BZ61*IF(VLOOKUP($E61,武器奇术!$A:$R,17,FALSE)="牵丝",VLOOKUP($E61,武器奇术!$A:$R,4,FALSE),VLOOKUP($E61,武器奇术!$A:$R,2,FALSE))*(1+CB61)*(1+CC61)*CD61</f>
        <v>0</v>
      </c>
      <c r="CL61" s="110">
        <f t="shared" si="25"/>
        <v>0.00928814000000003</v>
      </c>
      <c r="CM61" s="113">
        <f t="shared" si="26"/>
        <v>0</v>
      </c>
      <c r="CN61" s="108">
        <f>$B$13*IF($G$5="撼天",1.05,1)+IF(AND(VLOOKUP($E61,武器奇术!$A:$R,15,FALSE)="武器",VLOOKUP($E61,武器奇术!$A:$R,17,FALSE)="破竹"),$E$3,0)*(1+$E$15)</f>
        <v>452.55</v>
      </c>
      <c r="CO61" s="99">
        <f>(CN61+CP61)*IF(VLOOKUP($E61,武器奇术!$A:$Z,21,FALSE)=1,$G$15,0.5)</f>
        <v>679.35</v>
      </c>
      <c r="CP61" s="109">
        <f>MAX($C$13*IF($G$5="撼天",1.05,1)+IF(AND(VLOOKUP($E61,武器奇术!$A:$R,15,FALSE)="武器",VLOOKUP($E61,武器奇术!$A:$R,17,FALSE)="破竹"),$E$3*(1+$E$15),0),CN61)</f>
        <v>906.15</v>
      </c>
      <c r="CQ61" s="110">
        <f>IF(($D$13+IF(VLOOKUP($E61,武器奇术!$A:$R,17,FALSE)="破竹",$D$15,0)+IF(VLOOKUP($E61,武器奇术!$A:$R,18,FALSE)=1,4,0)+IF(VLOOKUP($E61,武器奇术!$A:$S,19,FALSE)=1,20,0)-VLOOKUP($F$7,目标属性!$A:$R,6,FALSE))&gt;0,($D$13+IF(VLOOKUP($E61,武器奇术!$A:$R,17,FALSE)="破竹",$D$15,0)+IF(VLOOKUP($E61,武器奇术!$A:$R,18,FALSE)=1,4,0)+IF(VLOOKUP($E61,武器奇术!$A:$S,19,FALSE)=1,20,0)-VLOOKUP($F$7,目标属性!$A:$R,6,FALSE))/200,($D$13+IF(VLOOKUP($E61,武器奇术!$A:$R,17,FALSE)="破竹",$D$15,0)+IF(VLOOKUP($E61,武器奇术!$A:$R,18,FALSE)=1,4,0)+IF(VLOOKUP($E61,武器奇术!$A:$S,19,FALSE)=1,20,0)-VLOOKUP($F$7,目标属性!$A:$R,6,FALSE))/100)</f>
        <v>0.145</v>
      </c>
      <c r="CR61" s="111">
        <f>$E$13+IF(VLOOKUP($E61,武器奇术!$A:$U,21,FALSE)=1,0,0.09)</f>
        <v>0.235</v>
      </c>
      <c r="CS61" s="109">
        <v>1</v>
      </c>
      <c r="CT61" s="112">
        <f>CN61*IF(VLOOKUP($E61,武器奇术!$A:$R,17,FALSE)="破竹",VLOOKUP($E61,武器奇术!$A:$R,4,FALSE),VLOOKUP($E61,武器奇术!$A:$R,2,FALSE))*(1+CQ61)*(1+CR61)*CS61</f>
        <v>2073.40443765</v>
      </c>
      <c r="CU61" s="110">
        <f>(1-IF(VLOOKUP($E61,武器奇术!$A:$T,20,FALSE)=1,1,$N61))*(1-$M61)</f>
        <v>0.01072666</v>
      </c>
      <c r="CV61" s="112">
        <f>CO61*IF(VLOOKUP($E61,武器奇术!$A:$R,17,FALSE)="破竹",VLOOKUP($E61,武器奇术!$A:$R,4,FALSE),VLOOKUP($E61,武器奇术!$A:$R,2,FALSE))*(1+CQ61)*(1+CR61)*CS61*(1+$E$16+VLOOKUP($E61,武器奇术!$A:$R,8,FALSE))</f>
        <v>6038.273276217</v>
      </c>
      <c r="CW61" s="110">
        <f t="shared" si="27"/>
        <v>0.8813852</v>
      </c>
      <c r="CX61" s="112">
        <f>CP61*IF(VLOOKUP($E61,武器奇术!$A:$R,17,FALSE)="破竹",VLOOKUP($E61,武器奇术!$A:$R,4,FALSE),VLOOKUP($E61,武器奇术!$A:$R,2,FALSE))*(1+CQ61)*(1+CR61)*CS61*(1+$E$17+VLOOKUP($E61,武器奇术!$A:$R,10,FALSE))</f>
        <v>5604.6864039075</v>
      </c>
      <c r="CY61" s="110">
        <f t="shared" si="28"/>
        <v>0.0986</v>
      </c>
      <c r="CZ61" s="112">
        <f>CO61*IF(VLOOKUP($E61,武器奇术!$A:$R,17,FALSE)="破竹",VLOOKUP($E61,武器奇术!$A:$R,4,FALSE),VLOOKUP($E61,武器奇术!$A:$R,2,FALSE))*(1+CQ61)*(1+CR61)*CS61</f>
        <v>3112.51199805</v>
      </c>
      <c r="DA61" s="110">
        <f t="shared" si="29"/>
        <v>0.00928814000000003</v>
      </c>
      <c r="DB61" s="113">
        <f t="shared" si="30"/>
        <v>5925.81693027318</v>
      </c>
      <c r="DC61" s="108">
        <f t="shared" si="31"/>
        <v>69.3</v>
      </c>
      <c r="DD61" s="99">
        <f>(DC61+DE61)*IF(VLOOKUP($E61,武器奇术!$A:$Z,21,FALSE)=1,$G$15,0.5)</f>
        <v>69.3</v>
      </c>
      <c r="DE61" s="109">
        <f t="shared" si="32"/>
        <v>69.3</v>
      </c>
      <c r="DF61" s="110">
        <f>IF(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R,18,FALSE)=1,4,0)+IF(VLOOKUP($E61,武器奇术!$A:$S,19,FALSE)=1,20,0)-VLOOKUP($F$7,目标属性!$A:$R,6,FALSE))/100)</f>
        <v>0.145</v>
      </c>
      <c r="DG61" s="111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U,21,FALSE)=1,0,0.09)</f>
        <v>0.235</v>
      </c>
      <c r="DH61" s="109">
        <v>1</v>
      </c>
      <c r="DI61" s="112">
        <f>DC61*IF(VLOOKUP($E61,武器奇术!$A:$R,17,FALSE)="破竹",VLOOKUP($E61,武器奇术!$A:$R,4,FALSE),VLOOKUP($E61,武器奇术!$A:$R,2,FALSE))*(1+DF61)*(1+DG61)*DH61</f>
        <v>317.5050879</v>
      </c>
      <c r="DJ61" s="110">
        <f>(1-IF(VLOOKUP($E61,武器奇术!$A:$T,20,FALSE)=1,1,$N61))*(1-$M61)</f>
        <v>0.01072666</v>
      </c>
      <c r="DK61" s="112">
        <f>DD61*IF(VLOOKUP($E61,武器奇术!$A:$R,17,FALSE)="破竹",VLOOKUP($E61,武器奇术!$A:$R,4,FALSE),VLOOKUP($E61,武器奇术!$A:$R,2,FALSE))*(1+DF61)*(1+DG61)*DH61*(1+$E$16+VLOOKUP($E61,武器奇术!$A:$R,8,FALSE))</f>
        <v>615.959870526</v>
      </c>
      <c r="DL61" s="110">
        <f t="shared" si="33"/>
        <v>0.8813852</v>
      </c>
      <c r="DM61" s="112">
        <f>DE61*IF(VLOOKUP($E61,武器奇术!$A:$R,17,FALSE)="破竹",VLOOKUP($E61,武器奇术!$A:$R,4,FALSE),VLOOKUP($E61,武器奇术!$A:$R,2,FALSE))*(1+DF61)*(1+DG61)*DH61*(1+$E$17+VLOOKUP($E61,武器奇术!$A:$R,10,FALSE))</f>
        <v>428.631868665</v>
      </c>
      <c r="DN61" s="110">
        <f t="shared" si="34"/>
        <v>0.0986</v>
      </c>
      <c r="DO61" s="112">
        <f>DD61*IF(VLOOKUP($E61,武器奇术!$A:$R,17,FALSE)="破竹",VLOOKUP($E61,武器奇术!$A:$R,4,FALSE),VLOOKUP($E61,武器奇术!$A:$R,2,FALSE))*(1+DF61)*(1+DG61)*DH61</f>
        <v>317.5050879</v>
      </c>
      <c r="DP61" s="110">
        <f t="shared" si="35"/>
        <v>0.00928814000000003</v>
      </c>
      <c r="DQ61" s="113">
        <f t="shared" si="36"/>
        <v>591.515816759203</v>
      </c>
    </row>
    <row r="62" customFormat="1" spans="1:121">
      <c r="C62" s="147"/>
      <c r="D62" s="147"/>
      <c r="E62" s="98" t="str">
        <f>期望!E62</f>
        <v>骑龙回马打满(气竭)</v>
      </c>
      <c r="F62" s="99">
        <f>期望!F62</f>
        <v>1</v>
      </c>
      <c r="G62" s="115"/>
      <c r="H62" s="100">
        <f>IF(VLOOKUP($E62,武器奇术!$A:$R,18,FALSE)="天工",AE62,(AE62+AT62+BI62+BX62+CM62+DB62+DQ62))*(1+J62)*F62*K62*(1+G62)</f>
        <v>101585.828972322</v>
      </c>
      <c r="I62" s="101">
        <f t="shared" si="0"/>
        <v>0.012542082449552</v>
      </c>
      <c r="J62" s="101">
        <f>$F$3+VLOOKUP($E62,武器奇术!$A:$R,12,FALSE)+VLOOKUP($E62,武器奇术!$A:$R,14,FALSE)*$G$3+$P62</f>
        <v>0.403</v>
      </c>
      <c r="K62" s="102">
        <f>VLOOKUP($E62,武器奇术!$A:$R,11,FALSE)</f>
        <v>1</v>
      </c>
      <c r="L62" s="117">
        <f>IF(VLOOKUP($E62,武器奇术!$A:$R,15,FALSE)="天工",0%,IF($C$17+VLOOKUP($E62,武器奇术!$A:$R,7,FALSE)&gt;80%,80%,$C$17+VLOOKUP($E62,武器奇术!$A:$R,7,FALSE))+IF($C$19&gt;20%,20%,$C$19))</f>
        <v>0.892</v>
      </c>
      <c r="M62" s="118">
        <f>IF(VLOOKUP($E62,武器奇术!$A:$R,15,FALSE)="天工",0%,IF($C$18+VLOOKUP($E62,武器奇术!$A:$R,9,FALSE)&gt;40%,40%,$C$18+VLOOKUP($E62,武器奇术!$A:$R,9,FALSE))+IF($C$20&gt;10%,10%,$C$20))</f>
        <v>0.0986</v>
      </c>
      <c r="N62" s="119">
        <f>IF(VLOOKUP($E62,武器奇术!$A:$R,15,FALSE)="天工",100%,MIN($C$16,1))</f>
        <v>0.9881</v>
      </c>
      <c r="O62" s="120" t="str">
        <f>VLOOKUP($E62,武器奇术!$A:$R,16,FALSE)</f>
        <v>单体奇术</v>
      </c>
      <c r="P62" s="121">
        <f t="shared" si="37"/>
        <v>0</v>
      </c>
      <c r="Q62" s="108">
        <f>$B$5*(1+VLOOKUP($E62,武器奇术!$A:$R,5,FALSE)+IF($G$5="飞隼",0.1,0)+IF($G$5="撼天",0.05,0))-$F$9+IF($I$5="√",160,0)</f>
        <v>1731.135</v>
      </c>
      <c r="R62" s="99">
        <f>IF(VLOOKUP($E62,武器奇术!$A:$Z,20,FALSE)=1,(S62-(Q62+S62)*0.5)*($G$15-0.5)*2+(Q62+S62)*0.5,(Q62+S62)*0.5)</f>
        <v>3256.775</v>
      </c>
      <c r="S62" s="109">
        <f>MAX($C$5,$B$5)*(1+VLOOKUP($E62,武器奇术!$A:$R,5,FALSE)+IF($G$5="飞隼",0.1,0)+IF($G$5="撼天",0.05,0))-$F$9+IF($I$5="√",320,0)</f>
        <v>4782.415</v>
      </c>
      <c r="T62" s="101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U62" s="111">
        <f>$E$5+IF(VLOOKUP($E62,武器奇术!$A:$U,21,FALSE)=1,0,0.09)</f>
        <v>0.115</v>
      </c>
      <c r="V62" s="109">
        <v>1</v>
      </c>
      <c r="W62" s="112">
        <f>Q62*VLOOKUP($E62,武器奇术!$A:$R,2,FALSE)*(1+T62)*(1+U62)*V62</f>
        <v>17036.3694397201</v>
      </c>
      <c r="X62" s="110">
        <f>(1-IF(VLOOKUP($E62,武器奇术!$A:$T,20,FALSE)=1,1,$N62))*(1-$M62)</f>
        <v>0.01072666</v>
      </c>
      <c r="Y62" s="112">
        <f>R62*VLOOKUP($E62,武器奇术!$A:$R,2,FALSE)*(1+T62)*(1+U62)*V62*(1+$E$16+VLOOKUP($E62,武器奇术!$A:$R,8,FALSE))</f>
        <v>52562.7060942982</v>
      </c>
      <c r="Z62" s="110">
        <f t="shared" si="1"/>
        <v>0.8813852</v>
      </c>
      <c r="AA62" s="112">
        <f>S62*VLOOKUP($E62,武器奇术!$A:$R,2,FALSE)*(1+T62)*(1+U62)*V62*(1+$E$17+VLOOKUP($E62,武器奇术!$A:$R,10,FALSE))</f>
        <v>63537.0637286981</v>
      </c>
      <c r="AB62" s="110">
        <f t="shared" si="2"/>
        <v>0.0986</v>
      </c>
      <c r="AC62" s="112">
        <f>R62*VLOOKUP($E62,武器奇术!$A:$R,2,FALSE)*(1+T62)*(1+U62)*V62</f>
        <v>32050.4305453038</v>
      </c>
      <c r="AD62" s="110">
        <f t="shared" si="3"/>
        <v>0.00928814000000003</v>
      </c>
      <c r="AE62" s="113">
        <f t="shared" si="4"/>
        <v>53073.1779356932</v>
      </c>
      <c r="AF62" s="114">
        <f>VLOOKUP($E62,武器奇术!$A:$R,3,FALSE)*(1+IF(VLOOKUP($E62,武器奇术!$A:$R,15,FALSE)="武器",$E$15,0))</f>
        <v>1269</v>
      </c>
      <c r="AG62" s="112">
        <f t="shared" si="5"/>
        <v>1269</v>
      </c>
      <c r="AH62" s="112">
        <f>VLOOKUP($E62,武器奇术!$A:$R,3,FALSE)*(1+IF(VLOOKUP($E62,武器奇术!$A:$R,15,FALSE)="武器",$E$15,0))</f>
        <v>1269</v>
      </c>
      <c r="AI62" s="101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0.242</v>
      </c>
      <c r="AJ62" s="111">
        <f>$E$5+IF(VLOOKUP($E62,武器奇术!$A:$U,21,FALSE)=1,0,0.09)</f>
        <v>0.115</v>
      </c>
      <c r="AK62" s="109">
        <v>1</v>
      </c>
      <c r="AL62" s="112">
        <f t="shared" si="6"/>
        <v>1757.34927</v>
      </c>
      <c r="AM62" s="110">
        <f>(1-IF(VLOOKUP($E62,武器奇术!$A:$T,20,FALSE)=1,1,$N62))*(1-$M62)</f>
        <v>0.01072666</v>
      </c>
      <c r="AN62" s="112">
        <f>AG62*(1+AI62)*(1+AJ62)*AK62*(1+$E$16+VLOOKUP($E62,武器奇术!$A:$R,8,FALSE))</f>
        <v>2882.0528028</v>
      </c>
      <c r="AO62" s="110">
        <f t="shared" si="7"/>
        <v>0.8813852</v>
      </c>
      <c r="AP62" s="112">
        <f>AH62*(1+AI62)*(1+AJ62)*AK62*(1+$E$17+VLOOKUP($E62,武器奇术!$A:$R,10,FALSE))</f>
        <v>2372.4215145</v>
      </c>
      <c r="AQ62" s="110">
        <f t="shared" si="8"/>
        <v>0.0986</v>
      </c>
      <c r="AR62" s="112">
        <f t="shared" si="9"/>
        <v>1757.34927</v>
      </c>
      <c r="AS62" s="110">
        <f t="shared" si="10"/>
        <v>0.00928814000000003</v>
      </c>
      <c r="AT62" s="113">
        <f t="shared" si="11"/>
        <v>2809.29244150533</v>
      </c>
      <c r="AU62" s="108">
        <f>$B$7*IF($G$5="撼天",1.05,1)+IF(AND(VLOOKUP($E62,武器奇术!$A:$R,15,FALSE)="武器",VLOOKUP($E62,武器奇术!$A:$R,17,FALSE)="鸣金"),$E$3,0)*(1+$E$15)</f>
        <v>0</v>
      </c>
      <c r="AV62" s="99">
        <f>(AU62+AW62)*IF(VLOOKUP($E62,武器奇术!$A:$Z,21,FALSE)=1,$G$15,0.5)</f>
        <v>0</v>
      </c>
      <c r="AW62" s="109">
        <f>MAX($C$7*IF($G$5="撼天",1.05,1)+IF(AND(VLOOKUP($E62,武器奇术!$A:$R,15,FALSE)="武器",VLOOKUP($E62,武器奇术!$A:$R,17,FALSE)="鸣金"),$E$3*(1+$E$15),0),AU62)</f>
        <v>0</v>
      </c>
      <c r="AX62" s="110">
        <f>IF(($D$7+IF(VLOOKUP($E62,武器奇术!$A:$R,17,FALSE)="鸣金",$D$15,0)+IF(VLOOKUP($E62,武器奇术!$A:$R,18,FALSE)=1,4,0)+IF(VLOOKUP($E62,武器奇术!$A:$S,19,FALSE)=1,20,0)-VLOOKUP($F$7,目标属性!$A:$R,6,FALSE))&gt;0,($D$7+IF(VLOOKUP($E62,武器奇术!$A:$R,17,FALSE)="鸣金",$D$15,0)+IF(VLOOKUP($E62,武器奇术!$A:$R,18,FALSE)=1,4,0)+IF(VLOOKUP($E62,武器奇术!$A:$S,19,FALSE)=1,20,0)-VLOOKUP($F$7,目标属性!$A:$R,6,FALSE))/200,($D$7+IF(VLOOKUP($E62,武器奇术!$A:$R,17,FALSE)="鸣金",$D$15,0)+IF(VLOOKUP($E62,武器奇术!$A:$R,18,FALSE)=1,4,0)+IF(VLOOKUP($E62,武器奇术!$A:$S,19,FALSE)=1,20,0)-VLOOKUP($F$7,目标属性!$A:$R,6,FALSE))/100)</f>
        <v>-0.24</v>
      </c>
      <c r="AY62" s="111">
        <f t="shared" si="12"/>
        <v>0</v>
      </c>
      <c r="AZ62" s="109">
        <v>1</v>
      </c>
      <c r="BA62" s="112">
        <f>AU62*IF(VLOOKUP($E62,武器奇术!$A:$R,17,FALSE)="鸣金",VLOOKUP($E62,武器奇术!$A:$R,4,FALSE),VLOOKUP($E62,武器奇术!$A:$R,2,FALSE))*(1+AX62)*(1+AY62)*AZ62</f>
        <v>0</v>
      </c>
      <c r="BB62" s="110">
        <f>(1-IF(VLOOKUP($E62,武器奇术!$A:$T,20,FALSE)=1,1,$N62))*(1-$M62)</f>
        <v>0.01072666</v>
      </c>
      <c r="BC62" s="112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10">
        <f t="shared" si="13"/>
        <v>0.8813852</v>
      </c>
      <c r="BE62" s="112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10">
        <f t="shared" si="14"/>
        <v>0.0986</v>
      </c>
      <c r="BG62" s="112">
        <f>AV62*IF(VLOOKUP($E62,武器奇术!$A:$R,17,FALSE)="鸣金",VLOOKUP($E62,武器奇术!$A:$R,4,FALSE),VLOOKUP($E62,武器奇术!$A:$R,2,FALSE))*(1+AX62)*(1+AY62)*AZ62</f>
        <v>0</v>
      </c>
      <c r="BH62" s="110">
        <f t="shared" si="15"/>
        <v>0.00928814000000003</v>
      </c>
      <c r="BI62" s="113">
        <f t="shared" si="16"/>
        <v>0</v>
      </c>
      <c r="BJ62" s="108">
        <f>$B$9*IF($G$5="撼天",1.05,1)+IF(AND(VLOOKUP($E62,武器奇术!$A:$R,15,FALSE)="武器",VLOOKUP($E62,武器奇术!$A:$R,17,FALSE)="裂石"),$E$3,0)*(1+$E$15)</f>
        <v>0</v>
      </c>
      <c r="BK62" s="99">
        <f>(BJ62+BL62)*IF(VLOOKUP($E62,武器奇术!$A:$Z,21,FALSE)=1,$G$15,0.5)</f>
        <v>0</v>
      </c>
      <c r="BL62" s="109">
        <f>MAX($C$9*IF($G$5="撼天",1.05,1)+IF(AND(VLOOKUP($E62,武器奇术!$A:$R,15,FALSE)="武器",VLOOKUP($E62,武器奇术!$A:$R,17,FALSE)="裂石"),$E$3*(1+$E$15),0),BJ62)</f>
        <v>0</v>
      </c>
      <c r="BM62" s="110">
        <f>IF(($D$9+IF(VLOOKUP($E62,武器奇术!$A:$R,17,FALSE)="裂石",$D$15,0)+IF(VLOOKUP($E62,武器奇术!$A:$R,18,FALSE)=1,4,0)+IF(VLOOKUP($E62,武器奇术!$A:$S,19,FALSE)=1,20,0)-VLOOKUP($F$7,目标属性!$A:$R,6,FALSE))&gt;0,($D$9+IF(VLOOKUP($E62,武器奇术!$A:$R,17,FALSE)="裂石",$D$15,0)+IF(VLOOKUP($E62,武器奇术!$A:$R,18,FALSE)=1,4,0)+IF(VLOOKUP($E62,武器奇术!$A:$S,19,FALSE)=1,20,0)-VLOOKUP($F$7,目标属性!$A:$R,6,FALSE))/200,($D$9+IF(VLOOKUP($E62,武器奇术!$A:$R,17,FALSE)="裂石",$D$15,0)+IF(VLOOKUP($E62,武器奇术!$A:$R,18,FALSE)=1,4,0)+IF(VLOOKUP($E62,武器奇术!$A:$S,19,FALSE)=1,20,0)-VLOOKUP($F$7,目标属性!$A:$R,6,FALSE))/100)</f>
        <v>-0.24</v>
      </c>
      <c r="BN62" s="111">
        <f t="shared" si="17"/>
        <v>0</v>
      </c>
      <c r="BO62" s="109">
        <v>1</v>
      </c>
      <c r="BP62" s="112">
        <f>BJ62*IF(VLOOKUP($E62,武器奇术!$A:$R,17,FALSE)="裂石",VLOOKUP($E62,武器奇术!$A:$R,4,FALSE),VLOOKUP($E62,武器奇术!$A:$R,2,FALSE))*(1+BM62)*(1+BN62)*BO62</f>
        <v>0</v>
      </c>
      <c r="BQ62" s="110">
        <f>(1-IF(VLOOKUP($E62,武器奇术!$A:$T,20,FALSE)=1,1,$N62))*(1-$M62)</f>
        <v>0.01072666</v>
      </c>
      <c r="BR62" s="112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10">
        <f t="shared" si="18"/>
        <v>0.8813852</v>
      </c>
      <c r="BT62" s="112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10">
        <f t="shared" si="19"/>
        <v>0.0986</v>
      </c>
      <c r="BV62" s="112">
        <f>BK62*IF(VLOOKUP($E62,武器奇术!$A:$R,17,FALSE)="裂石",VLOOKUP($E62,武器奇术!$A:$R,4,FALSE),VLOOKUP($E62,武器奇术!$A:$R,2,FALSE))*(1+BM62)*(1+BN62)*BO62</f>
        <v>0</v>
      </c>
      <c r="BW62" s="110">
        <f t="shared" si="20"/>
        <v>0.00928814000000003</v>
      </c>
      <c r="BX62" s="113">
        <f t="shared" si="21"/>
        <v>0</v>
      </c>
      <c r="BY62" s="108">
        <f>$B$11*IF($G$5="撼天",1.05,1)+IF(AND(VLOOKUP($E62,武器奇术!$A:$R,15,FALSE)="武器",VLOOKUP($E62,武器奇术!$A:$R,17,FALSE)="牵丝"),$E$3,0)*(1+$E$15)</f>
        <v>0</v>
      </c>
      <c r="BZ62" s="99">
        <f>(BY62+CA62)*IF(VLOOKUP($E62,武器奇术!$A:$Z,21,FALSE)=1,$G$15,0.5)</f>
        <v>0</v>
      </c>
      <c r="CA62" s="109">
        <f>MAX($C$11*IF($G$5="撼天",1.05,1)+IF(AND(VLOOKUP($E62,武器奇术!$A:$R,15,FALSE)="武器",VLOOKUP($E62,武器奇术!$A:$R,17,FALSE)="牵丝"),$E$3*(1+$E$15),0),BY62)</f>
        <v>0</v>
      </c>
      <c r="CB62" s="110">
        <f>IF(($D$11+IF(VLOOKUP($E62,武器奇术!$A:$R,17,FALSE)="牵丝",$D$15,0)+IF(VLOOKUP($E62,武器奇术!$A:$R,18,FALSE)=1,4,0)+IF(VLOOKUP($E62,武器奇术!$A:$S,19,FALSE)=1,20,0)-VLOOKUP($F$7,目标属性!$A:$R,6,FALSE))&gt;0,($D$11+IF(VLOOKUP($E62,武器奇术!$A:$R,17,FALSE)="牵丝",$D$15,0)+IF(VLOOKUP($E62,武器奇术!$A:$R,18,FALSE)=1,4,0)+IF(VLOOKUP($E62,武器奇术!$A:$S,19,FALSE)=1,20,0)-VLOOKUP($F$7,目标属性!$A:$R,6,FALSE))/200,($D$11+IF(VLOOKUP($E62,武器奇术!$A:$R,17,FALSE)="牵丝",$D$15,0)+IF(VLOOKUP($E62,武器奇术!$A:$R,18,FALSE)=1,4,0)+IF(VLOOKUP($E62,武器奇术!$A:$S,19,FALSE)=1,20,0)-VLOOKUP($F$7,目标属性!$A:$R,6,FALSE))/100)</f>
        <v>-0.24</v>
      </c>
      <c r="CC62" s="111">
        <f t="shared" si="22"/>
        <v>0</v>
      </c>
      <c r="CD62" s="109">
        <v>1</v>
      </c>
      <c r="CE62" s="112">
        <f>BY62*IF(VLOOKUP($E62,武器奇术!$A:$R,17,FALSE)="牵丝",VLOOKUP($E62,武器奇术!$A:$R,4,FALSE),VLOOKUP($E62,武器奇术!$A:$R,2,FALSE))*(1+CB62)*(1+CC62)*CD62</f>
        <v>0</v>
      </c>
      <c r="CF62" s="110">
        <f>(1-IF(VLOOKUP($E62,武器奇术!$A:$T,20,FALSE)=1,1,$N62))*(1-$M62)</f>
        <v>0.01072666</v>
      </c>
      <c r="CG62" s="112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110">
        <f t="shared" si="23"/>
        <v>0.8813852</v>
      </c>
      <c r="CI62" s="112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110">
        <f t="shared" si="24"/>
        <v>0.0986</v>
      </c>
      <c r="CK62" s="112">
        <f>BZ62*IF(VLOOKUP($E62,武器奇术!$A:$R,17,FALSE)="牵丝",VLOOKUP($E62,武器奇术!$A:$R,4,FALSE),VLOOKUP($E62,武器奇术!$A:$R,2,FALSE))*(1+CB62)*(1+CC62)*CD62</f>
        <v>0</v>
      </c>
      <c r="CL62" s="110">
        <f t="shared" si="25"/>
        <v>0.00928814000000003</v>
      </c>
      <c r="CM62" s="113">
        <f t="shared" si="26"/>
        <v>0</v>
      </c>
      <c r="CN62" s="108">
        <f>$B$13*IF($G$5="撼天",1.05,1)+IF(AND(VLOOKUP($E62,武器奇术!$A:$R,15,FALSE)="武器",VLOOKUP($E62,武器奇术!$A:$R,17,FALSE)="破竹"),$E$3,0)*(1+$E$15)</f>
        <v>452.55</v>
      </c>
      <c r="CO62" s="99">
        <f>(CN62+CP62)*IF(VLOOKUP($E62,武器奇术!$A:$Z,21,FALSE)=1,$G$15,0.5)</f>
        <v>679.35</v>
      </c>
      <c r="CP62" s="109">
        <f>MAX($C$13*IF($G$5="撼天",1.05,1)+IF(AND(VLOOKUP($E62,武器奇术!$A:$R,15,FALSE)="武器",VLOOKUP($E62,武器奇术!$A:$R,17,FALSE)="破竹"),$E$3*(1+$E$15),0),CN62)</f>
        <v>906.15</v>
      </c>
      <c r="CQ62" s="110">
        <f>IF(($D$13+IF(VLOOKUP($E62,武器奇术!$A:$R,17,FALSE)="破竹",$D$15,0)+IF(VLOOKUP($E62,武器奇术!$A:$R,18,FALSE)=1,4,0)+IF(VLOOKUP($E62,武器奇术!$A:$S,19,FALSE)=1,20,0)-VLOOKUP($F$7,目标属性!$A:$R,6,FALSE))&gt;0,($D$13+IF(VLOOKUP($E62,武器奇术!$A:$R,17,FALSE)="破竹",$D$15,0)+IF(VLOOKUP($E62,武器奇术!$A:$R,18,FALSE)=1,4,0)+IF(VLOOKUP($E62,武器奇术!$A:$S,19,FALSE)=1,20,0)-VLOOKUP($F$7,目标属性!$A:$R,6,FALSE))/200,($D$13+IF(VLOOKUP($E62,武器奇术!$A:$R,17,FALSE)="破竹",$D$15,0)+IF(VLOOKUP($E62,武器奇术!$A:$R,18,FALSE)=1,4,0)+IF(VLOOKUP($E62,武器奇术!$A:$S,19,FALSE)=1,20,0)-VLOOKUP($F$7,目标属性!$A:$R,6,FALSE))/100)</f>
        <v>0.025</v>
      </c>
      <c r="CR62" s="111">
        <f>$E$13+IF(VLOOKUP($E62,武器奇术!$A:$U,21,FALSE)=1,0,0.09)</f>
        <v>0.235</v>
      </c>
      <c r="CS62" s="109">
        <v>1</v>
      </c>
      <c r="CT62" s="112">
        <f>CN62*IF(VLOOKUP($E62,武器奇术!$A:$R,17,FALSE)="破竹",VLOOKUP($E62,武器奇术!$A:$R,4,FALSE),VLOOKUP($E62,武器奇术!$A:$R,2,FALSE))*(1+CQ62)*(1+CR62)*CS62</f>
        <v>6106.5835064325</v>
      </c>
      <c r="CU62" s="110">
        <f>(1-IF(VLOOKUP($E62,武器奇术!$A:$T,20,FALSE)=1,1,$N62))*(1-$M62)</f>
        <v>0.01072666</v>
      </c>
      <c r="CV62" s="112">
        <f>CO62*IF(VLOOKUP($E62,武器奇术!$A:$R,17,FALSE)="破竹",VLOOKUP($E62,武器奇术!$A:$R,4,FALSE),VLOOKUP($E62,武器奇术!$A:$R,2,FALSE))*(1+CQ62)*(1+CR62)*CS62*(1+$E$16+VLOOKUP($E62,武器奇术!$A:$R,8,FALSE))</f>
        <v>15033.8135197341</v>
      </c>
      <c r="CW62" s="110">
        <f t="shared" si="27"/>
        <v>0.8813852</v>
      </c>
      <c r="CX62" s="112">
        <f>CP62*IF(VLOOKUP($E62,武器奇术!$A:$R,17,FALSE)="破竹",VLOOKUP($E62,武器奇术!$A:$R,4,FALSE),VLOOKUP($E62,武器奇术!$A:$R,2,FALSE))*(1+CQ62)*(1+CR62)*CS62*(1+$E$17+VLOOKUP($E62,武器奇术!$A:$R,10,FALSE))</f>
        <v>16506.9028170979</v>
      </c>
      <c r="CY62" s="110">
        <f t="shared" si="28"/>
        <v>0.0986</v>
      </c>
      <c r="CZ62" s="112">
        <f>CO62*IF(VLOOKUP($E62,武器奇术!$A:$R,17,FALSE)="破竹",VLOOKUP($E62,武器奇术!$A:$R,4,FALSE),VLOOKUP($E62,武器奇术!$A:$R,2,FALSE))*(1+CQ62)*(1+CR62)*CS62</f>
        <v>9166.9594632525</v>
      </c>
      <c r="DA62" s="110">
        <f t="shared" si="29"/>
        <v>0.00928814000000003</v>
      </c>
      <c r="DB62" s="113">
        <f t="shared" si="30"/>
        <v>15028.8086015235</v>
      </c>
      <c r="DC62" s="108">
        <f t="shared" si="31"/>
        <v>69.3</v>
      </c>
      <c r="DD62" s="99">
        <f>(DC62+DE62)*IF(VLOOKUP($E62,武器奇术!$A:$Z,21,FALSE)=1,$G$15,0.5)</f>
        <v>69.3</v>
      </c>
      <c r="DE62" s="109">
        <f t="shared" si="32"/>
        <v>69.3</v>
      </c>
      <c r="DF62" s="110">
        <f>IF(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R,18,FALSE)=1,4,0)+IF(VLOOKUP($E62,武器奇术!$A:$S,19,FALSE)=1,20,0)-VLOOKUP($F$7,目标属性!$A:$R,6,FALSE))/100)</f>
        <v>0.025</v>
      </c>
      <c r="DG62" s="111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U,21,FALSE)=1,0,0.09)</f>
        <v>0.235</v>
      </c>
      <c r="DH62" s="109">
        <v>1</v>
      </c>
      <c r="DI62" s="112">
        <f>DC62*IF(VLOOKUP($E62,武器奇术!$A:$R,17,FALSE)="破竹",VLOOKUP($E62,武器奇术!$A:$R,4,FALSE),VLOOKUP($E62,武器奇术!$A:$R,2,FALSE))*(1+DF62)*(1+DG62)*DH62</f>
        <v>935.114875695</v>
      </c>
      <c r="DJ62" s="110">
        <f>(1-IF(VLOOKUP($E62,武器奇术!$A:$T,20,FALSE)=1,1,$N62))*(1-$M62)</f>
        <v>0.01072666</v>
      </c>
      <c r="DK62" s="112">
        <f>DD62*IF(VLOOKUP($E62,武器奇术!$A:$R,17,FALSE)="破竹",VLOOKUP($E62,武器奇术!$A:$R,4,FALSE),VLOOKUP($E62,武器奇术!$A:$R,2,FALSE))*(1+DF62)*(1+DG62)*DH62*(1+$E$16+VLOOKUP($E62,武器奇术!$A:$R,8,FALSE))</f>
        <v>1533.5883961398</v>
      </c>
      <c r="DL62" s="110">
        <f t="shared" si="33"/>
        <v>0.8813852</v>
      </c>
      <c r="DM62" s="112">
        <f>DE62*IF(VLOOKUP($E62,武器奇术!$A:$R,17,FALSE)="破竹",VLOOKUP($E62,武器奇术!$A:$R,4,FALSE),VLOOKUP($E62,武器奇术!$A:$R,2,FALSE))*(1+DF62)*(1+DG62)*DH62*(1+$E$17+VLOOKUP($E62,武器奇术!$A:$R,10,FALSE))</f>
        <v>1262.40508218825</v>
      </c>
      <c r="DN62" s="110">
        <f t="shared" si="34"/>
        <v>0.0986</v>
      </c>
      <c r="DO62" s="112">
        <f>DD62*IF(VLOOKUP($E62,武器奇术!$A:$R,17,FALSE)="破竹",VLOOKUP($E62,武器奇术!$A:$R,4,FALSE),VLOOKUP($E62,武器奇术!$A:$R,2,FALSE))*(1+DF62)*(1+DG62)*DH62</f>
        <v>935.114875695</v>
      </c>
      <c r="DP62" s="110">
        <f t="shared" si="35"/>
        <v>0.00928814000000003</v>
      </c>
      <c r="DQ62" s="113">
        <f t="shared" si="36"/>
        <v>1494.87139356718</v>
      </c>
    </row>
    <row r="63" customFormat="1" spans="1:121">
      <c r="C63" s="147"/>
      <c r="D63" s="147"/>
      <c r="E63" s="98" t="str">
        <f>期望!E63</f>
        <v>拳甲～(气竭)</v>
      </c>
      <c r="F63" s="99">
        <f>期望!F63</f>
        <v>1</v>
      </c>
      <c r="G63" s="115"/>
      <c r="H63" s="100">
        <f>IF(VLOOKUP($E63,武器奇术!$A:$R,18,FALSE)="天工",AE63,(AE63+AT63+BI63+BX63+CM63+DB63+DQ63))*(1+J63)*F63*K63*(1+G63)</f>
        <v>42962.0131611005</v>
      </c>
      <c r="I63" s="101">
        <f t="shared" si="0"/>
        <v>0.00530421532920771</v>
      </c>
      <c r="J63" s="101">
        <f>$F$3+VLOOKUP($E63,武器奇术!$A:$R,12,FALSE)+VLOOKUP($E63,武器奇术!$A:$R,14,FALSE)*$G$3+$P63</f>
        <v>0.573</v>
      </c>
      <c r="K63" s="102">
        <f>VLOOKUP($E63,武器奇术!$A:$R,11,FALSE)</f>
        <v>1</v>
      </c>
      <c r="L63" s="117">
        <f>IF(VLOOKUP($E63,武器奇术!$A:$R,15,FALSE)="天工",0%,IF($C$17+VLOOKUP($E63,武器奇术!$A:$R,7,FALSE)&gt;80%,80%,$C$17+VLOOKUP($E63,武器奇术!$A:$R,7,FALSE))+IF($C$19&gt;20%,20%,$C$19))</f>
        <v>0.892</v>
      </c>
      <c r="M63" s="118">
        <f>IF(VLOOKUP($E63,武器奇术!$A:$R,15,FALSE)="天工",0%,IF($C$18+VLOOKUP($E63,武器奇术!$A:$R,9,FALSE)&gt;40%,40%,$C$18+VLOOKUP($E63,武器奇术!$A:$R,9,FALSE))+IF($C$20&gt;10%,10%,$C$20))</f>
        <v>0.0986</v>
      </c>
      <c r="N63" s="119">
        <f>IF(VLOOKUP($E63,武器奇术!$A:$R,15,FALSE)="天工",100%,MIN($C$16,1))</f>
        <v>0.9881</v>
      </c>
      <c r="O63" s="120" t="str">
        <f>VLOOKUP($E63,武器奇术!$A:$R,16,FALSE)</f>
        <v>拳甲</v>
      </c>
      <c r="P63" s="121">
        <f t="shared" ref="P63:P94" si="38">VLOOKUP($O63,$B$22:$C$27,2,FALSE)+IF(OR($O63="拳甲",$O63="绳标"),$C$24,0)</f>
        <v>0.17</v>
      </c>
      <c r="Q63" s="108">
        <f>$B$5*(1+VLOOKUP($E63,武器奇术!$A:$R,5,FALSE)+IF($G$5="飞隼",0.1,0)+IF($G$5="撼天",0.05,0))-$F$9+IF($I$5="√",160,0)</f>
        <v>1731.135</v>
      </c>
      <c r="R63" s="99">
        <f>IF(VLOOKUP($E63,武器奇术!$A:$Z,20,FALSE)=1,(S63-(Q63+S63)*0.5)*($G$15-0.5)*2+(Q63+S63)*0.5,(Q63+S63)*0.5)</f>
        <v>3256.775</v>
      </c>
      <c r="S63" s="109">
        <f>MAX($C$5,$B$5)*(1+VLOOKUP($E63,武器奇术!$A:$R,5,FALSE)+IF($G$5="飞隼",0.1,0)+IF($G$5="撼天",0.05,0))-$F$9+IF($I$5="√",320,0)</f>
        <v>4782.415</v>
      </c>
      <c r="T63" s="101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U63" s="111">
        <f>$E$5+IF(VLOOKUP($E63,武器奇术!$A:$U,21,FALSE)=1,0,0.09)</f>
        <v>0.115</v>
      </c>
      <c r="V63" s="109">
        <v>1</v>
      </c>
      <c r="W63" s="112">
        <f>Q63*VLOOKUP($E63,武器奇术!$A:$R,2,FALSE)*(1+T63)*(1+U63)*V63</f>
        <v>5854.51393233431</v>
      </c>
      <c r="X63" s="110">
        <f>(1-IF(VLOOKUP($E63,武器奇术!$A:$T,20,FALSE)=1,1,$N63))*(1-$M63)</f>
        <v>0.01072666</v>
      </c>
      <c r="Y63" s="112">
        <f>R63*VLOOKUP($E63,武器奇术!$A:$R,2,FALSE)*(1+T63)*(1+U63)*V63*(1+$E$16+VLOOKUP($E63,武器奇术!$A:$R,8,FALSE))</f>
        <v>18063.0677351241</v>
      </c>
      <c r="Z63" s="110">
        <f t="shared" si="1"/>
        <v>0.8813852</v>
      </c>
      <c r="AA63" s="112">
        <f>S63*VLOOKUP($E63,武器奇术!$A:$R,2,FALSE)*(1+T63)*(1+U63)*V63*(1+$E$17+VLOOKUP($E63,武器奇术!$A:$R,10,FALSE))</f>
        <v>21834.3835601505</v>
      </c>
      <c r="AB63" s="110">
        <f t="shared" si="2"/>
        <v>0.0986</v>
      </c>
      <c r="AC63" s="112">
        <f>R63*VLOOKUP($E63,武器奇术!$A:$R,2,FALSE)*(1+T63)*(1+U63)*V63</f>
        <v>11014.0656921488</v>
      </c>
      <c r="AD63" s="110">
        <f t="shared" si="3"/>
        <v>0.00928814000000003</v>
      </c>
      <c r="AE63" s="113">
        <f t="shared" si="4"/>
        <v>18238.490351902</v>
      </c>
      <c r="AF63" s="114">
        <f>VLOOKUP($E63,武器奇术!$A:$R,3,FALSE)*(1+IF(VLOOKUP($E63,武器奇术!$A:$R,15,FALSE)="武器",$E$15,0))</f>
        <v>877.5</v>
      </c>
      <c r="AG63" s="112">
        <f t="shared" si="5"/>
        <v>877.5</v>
      </c>
      <c r="AH63" s="112">
        <f>VLOOKUP($E63,武器奇术!$A:$R,3,FALSE)*(1+IF(VLOOKUP($E63,武器奇术!$A:$R,15,FALSE)="武器",$E$15,0))</f>
        <v>877.5</v>
      </c>
      <c r="AI63" s="101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0.242</v>
      </c>
      <c r="AJ63" s="111">
        <f>$E$5+IF(VLOOKUP($E63,武器奇术!$A:$U,21,FALSE)=1,0,0.09)</f>
        <v>0.115</v>
      </c>
      <c r="AK63" s="109">
        <v>1</v>
      </c>
      <c r="AL63" s="112">
        <f t="shared" si="6"/>
        <v>1215.188325</v>
      </c>
      <c r="AM63" s="110">
        <f>(1-IF(VLOOKUP($E63,武器奇术!$A:$T,20,FALSE)=1,1,$N63))*(1-$M63)</f>
        <v>0.01072666</v>
      </c>
      <c r="AN63" s="112">
        <f>AG63*(1+AI63)*(1+AJ63)*AK63*(1+$E$16+VLOOKUP($E63,武器奇术!$A:$R,8,FALSE))</f>
        <v>1992.908853</v>
      </c>
      <c r="AO63" s="110">
        <f t="shared" si="7"/>
        <v>0.8813852</v>
      </c>
      <c r="AP63" s="112">
        <f>AH63*(1+AI63)*(1+AJ63)*AK63*(1+$E$17+VLOOKUP($E63,武器奇术!$A:$R,10,FALSE))</f>
        <v>1640.50423875</v>
      </c>
      <c r="AQ63" s="110">
        <f t="shared" si="8"/>
        <v>0.0986</v>
      </c>
      <c r="AR63" s="112">
        <f t="shared" si="9"/>
        <v>1215.188325</v>
      </c>
      <c r="AS63" s="110">
        <f t="shared" si="10"/>
        <v>0.00928814000000003</v>
      </c>
      <c r="AT63" s="113">
        <f t="shared" si="11"/>
        <v>1942.59583721114</v>
      </c>
      <c r="AU63" s="108">
        <f>$B$7*IF($G$5="撼天",1.05,1)+IF(AND(VLOOKUP($E63,武器奇术!$A:$R,15,FALSE)="武器",VLOOKUP($E63,武器奇术!$A:$R,17,FALSE)="鸣金"),$E$3,0)*(1+$E$15)</f>
        <v>0</v>
      </c>
      <c r="AV63" s="99">
        <f>(AU63+AW63)*IF(VLOOKUP($E63,武器奇术!$A:$Z,21,FALSE)=1,$G$15,0.5)</f>
        <v>0</v>
      </c>
      <c r="AW63" s="109">
        <f>MAX($C$7*IF($G$5="撼天",1.05,1)+IF(AND(VLOOKUP($E63,武器奇术!$A:$R,15,FALSE)="武器",VLOOKUP($E63,武器奇术!$A:$R,17,FALSE)="鸣金"),$E$3*(1+$E$15),0),AU63)</f>
        <v>0</v>
      </c>
      <c r="AX63" s="110">
        <f>IF(($D$7+IF(VLOOKUP($E63,武器奇术!$A:$R,17,FALSE)="鸣金",$D$15,0)+IF(VLOOKUP($E63,武器奇术!$A:$R,18,FALSE)=1,4,0)+IF(VLOOKUP($E63,武器奇术!$A:$S,19,FALSE)=1,20,0)-VLOOKUP($F$7,目标属性!$A:$R,6,FALSE))&gt;0,($D$7+IF(VLOOKUP($E63,武器奇术!$A:$R,17,FALSE)="鸣金",$D$15,0)+IF(VLOOKUP($E63,武器奇术!$A:$R,18,FALSE)=1,4,0)+IF(VLOOKUP($E63,武器奇术!$A:$S,19,FALSE)=1,20,0)-VLOOKUP($F$7,目标属性!$A:$R,6,FALSE))/200,($D$7+IF(VLOOKUP($E63,武器奇术!$A:$R,17,FALSE)="鸣金",$D$15,0)+IF(VLOOKUP($E63,武器奇术!$A:$R,18,FALSE)=1,4,0)+IF(VLOOKUP($E63,武器奇术!$A:$S,19,FALSE)=1,20,0)-VLOOKUP($F$7,目标属性!$A:$R,6,FALSE))/100)</f>
        <v>-0.24</v>
      </c>
      <c r="AY63" s="111">
        <f t="shared" si="12"/>
        <v>0</v>
      </c>
      <c r="AZ63" s="109">
        <v>1</v>
      </c>
      <c r="BA63" s="112">
        <f>AU63*IF(VLOOKUP($E63,武器奇术!$A:$R,17,FALSE)="鸣金",VLOOKUP($E63,武器奇术!$A:$R,4,FALSE),VLOOKUP($E63,武器奇术!$A:$R,2,FALSE))*(1+AX63)*(1+AY63)*AZ63</f>
        <v>0</v>
      </c>
      <c r="BB63" s="110">
        <f>(1-IF(VLOOKUP($E63,武器奇术!$A:$T,20,FALSE)=1,1,$N63))*(1-$M63)</f>
        <v>0.01072666</v>
      </c>
      <c r="BC63" s="112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10">
        <f t="shared" si="13"/>
        <v>0.8813852</v>
      </c>
      <c r="BE63" s="112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10">
        <f t="shared" si="14"/>
        <v>0.0986</v>
      </c>
      <c r="BG63" s="112">
        <f>AV63*IF(VLOOKUP($E63,武器奇术!$A:$R,17,FALSE)="鸣金",VLOOKUP($E63,武器奇术!$A:$R,4,FALSE),VLOOKUP($E63,武器奇术!$A:$R,2,FALSE))*(1+AX63)*(1+AY63)*AZ63</f>
        <v>0</v>
      </c>
      <c r="BH63" s="110">
        <f t="shared" si="15"/>
        <v>0.00928814000000003</v>
      </c>
      <c r="BI63" s="113">
        <f t="shared" si="16"/>
        <v>0</v>
      </c>
      <c r="BJ63" s="108">
        <f>$B$9*IF($G$5="撼天",1.05,1)+IF(AND(VLOOKUP($E63,武器奇术!$A:$R,15,FALSE)="武器",VLOOKUP($E63,武器奇术!$A:$R,17,FALSE)="裂石"),$E$3,0)*(1+$E$15)</f>
        <v>0</v>
      </c>
      <c r="BK63" s="99">
        <f>(BJ63+BL63)*IF(VLOOKUP($E63,武器奇术!$A:$Z,21,FALSE)=1,$G$15,0.5)</f>
        <v>0</v>
      </c>
      <c r="BL63" s="109">
        <f>MAX($C$9*IF($G$5="撼天",1.05,1)+IF(AND(VLOOKUP($E63,武器奇术!$A:$R,15,FALSE)="武器",VLOOKUP($E63,武器奇术!$A:$R,17,FALSE)="裂石"),$E$3*(1+$E$15),0),BJ63)</f>
        <v>0</v>
      </c>
      <c r="BM63" s="110">
        <f>IF(($D$9+IF(VLOOKUP($E63,武器奇术!$A:$R,17,FALSE)="裂石",$D$15,0)+IF(VLOOKUP($E63,武器奇术!$A:$R,18,FALSE)=1,4,0)+IF(VLOOKUP($E63,武器奇术!$A:$S,19,FALSE)=1,20,0)-VLOOKUP($F$7,目标属性!$A:$R,6,FALSE))&gt;0,($D$9+IF(VLOOKUP($E63,武器奇术!$A:$R,17,FALSE)="裂石",$D$15,0)+IF(VLOOKUP($E63,武器奇术!$A:$R,18,FALSE)=1,4,0)+IF(VLOOKUP($E63,武器奇术!$A:$S,19,FALSE)=1,20,0)-VLOOKUP($F$7,目标属性!$A:$R,6,FALSE))/200,($D$9+IF(VLOOKUP($E63,武器奇术!$A:$R,17,FALSE)="裂石",$D$15,0)+IF(VLOOKUP($E63,武器奇术!$A:$R,18,FALSE)=1,4,0)+IF(VLOOKUP($E63,武器奇术!$A:$S,19,FALSE)=1,20,0)-VLOOKUP($F$7,目标属性!$A:$R,6,FALSE))/100)</f>
        <v>-0.24</v>
      </c>
      <c r="BN63" s="111">
        <f t="shared" si="17"/>
        <v>0</v>
      </c>
      <c r="BO63" s="109">
        <v>1</v>
      </c>
      <c r="BP63" s="112">
        <f>BJ63*IF(VLOOKUP($E63,武器奇术!$A:$R,17,FALSE)="裂石",VLOOKUP($E63,武器奇术!$A:$R,4,FALSE),VLOOKUP($E63,武器奇术!$A:$R,2,FALSE))*(1+BM63)*(1+BN63)*BO63</f>
        <v>0</v>
      </c>
      <c r="BQ63" s="110">
        <f>(1-IF(VLOOKUP($E63,武器奇术!$A:$T,20,FALSE)=1,1,$N63))*(1-$M63)</f>
        <v>0.01072666</v>
      </c>
      <c r="BR63" s="112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10">
        <f t="shared" si="18"/>
        <v>0.8813852</v>
      </c>
      <c r="BT63" s="112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10">
        <f t="shared" si="19"/>
        <v>0.0986</v>
      </c>
      <c r="BV63" s="112">
        <f>BK63*IF(VLOOKUP($E63,武器奇术!$A:$R,17,FALSE)="裂石",VLOOKUP($E63,武器奇术!$A:$R,4,FALSE),VLOOKUP($E63,武器奇术!$A:$R,2,FALSE))*(1+BM63)*(1+BN63)*BO63</f>
        <v>0</v>
      </c>
      <c r="BW63" s="110">
        <f t="shared" si="20"/>
        <v>0.00928814000000003</v>
      </c>
      <c r="BX63" s="113">
        <f t="shared" si="21"/>
        <v>0</v>
      </c>
      <c r="BY63" s="108">
        <f>$B$11*IF($G$5="撼天",1.05,1)+IF(AND(VLOOKUP($E63,武器奇术!$A:$R,15,FALSE)="武器",VLOOKUP($E63,武器奇术!$A:$R,17,FALSE)="牵丝"),$E$3,0)*(1+$E$15)</f>
        <v>0</v>
      </c>
      <c r="BZ63" s="99">
        <f>(BY63+CA63)*IF(VLOOKUP($E63,武器奇术!$A:$Z,21,FALSE)=1,$G$15,0.5)</f>
        <v>0</v>
      </c>
      <c r="CA63" s="109">
        <f>MAX($C$11*IF($G$5="撼天",1.05,1)+IF(AND(VLOOKUP($E63,武器奇术!$A:$R,15,FALSE)="武器",VLOOKUP($E63,武器奇术!$A:$R,17,FALSE)="牵丝"),$E$3*(1+$E$15),0),BY63)</f>
        <v>0</v>
      </c>
      <c r="CB63" s="110">
        <f>IF(($D$11+IF(VLOOKUP($E63,武器奇术!$A:$R,17,FALSE)="牵丝",$D$15,0)+IF(VLOOKUP($E63,武器奇术!$A:$R,18,FALSE)=1,4,0)+IF(VLOOKUP($E63,武器奇术!$A:$S,19,FALSE)=1,20,0)-VLOOKUP($F$7,目标属性!$A:$R,6,FALSE))&gt;0,($D$11+IF(VLOOKUP($E63,武器奇术!$A:$R,17,FALSE)="牵丝",$D$15,0)+IF(VLOOKUP($E63,武器奇术!$A:$R,18,FALSE)=1,4,0)+IF(VLOOKUP($E63,武器奇术!$A:$S,19,FALSE)=1,20,0)-VLOOKUP($F$7,目标属性!$A:$R,6,FALSE))/200,($D$11+IF(VLOOKUP($E63,武器奇术!$A:$R,17,FALSE)="牵丝",$D$15,0)+IF(VLOOKUP($E63,武器奇术!$A:$R,18,FALSE)=1,4,0)+IF(VLOOKUP($E63,武器奇术!$A:$S,19,FALSE)=1,20,0)-VLOOKUP($F$7,目标属性!$A:$R,6,FALSE))/100)</f>
        <v>-0.24</v>
      </c>
      <c r="CC63" s="111">
        <f t="shared" si="22"/>
        <v>0</v>
      </c>
      <c r="CD63" s="109">
        <v>1</v>
      </c>
      <c r="CE63" s="112">
        <f>BY63*IF(VLOOKUP($E63,武器奇术!$A:$R,17,FALSE)="牵丝",VLOOKUP($E63,武器奇术!$A:$R,4,FALSE),VLOOKUP($E63,武器奇术!$A:$R,2,FALSE))*(1+CB63)*(1+CC63)*CD63</f>
        <v>0</v>
      </c>
      <c r="CF63" s="110">
        <f>(1-IF(VLOOKUP($E63,武器奇术!$A:$T,20,FALSE)=1,1,$N63))*(1-$M63)</f>
        <v>0.01072666</v>
      </c>
      <c r="CG63" s="112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110">
        <f t="shared" si="23"/>
        <v>0.8813852</v>
      </c>
      <c r="CI63" s="112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110">
        <f t="shared" si="24"/>
        <v>0.0986</v>
      </c>
      <c r="CK63" s="112">
        <f>BZ63*IF(VLOOKUP($E63,武器奇术!$A:$R,17,FALSE)="牵丝",VLOOKUP($E63,武器奇术!$A:$R,4,FALSE),VLOOKUP($E63,武器奇术!$A:$R,2,FALSE))*(1+CB63)*(1+CC63)*CD63</f>
        <v>0</v>
      </c>
      <c r="CL63" s="110">
        <f t="shared" si="25"/>
        <v>0.00928814000000003</v>
      </c>
      <c r="CM63" s="113">
        <f t="shared" si="26"/>
        <v>0</v>
      </c>
      <c r="CN63" s="108">
        <f>$B$13*IF($G$5="撼天",1.05,1)+IF(AND(VLOOKUP($E63,武器奇术!$A:$R,15,FALSE)="武器",VLOOKUP($E63,武器奇术!$A:$R,17,FALSE)="破竹"),$E$3,0)*(1+$E$15)</f>
        <v>648.46</v>
      </c>
      <c r="CO63" s="99">
        <f>(CN63+CP63)*IF(VLOOKUP($E63,武器奇术!$A:$Z,21,FALSE)=1,$G$15,0.5)</f>
        <v>875.26</v>
      </c>
      <c r="CP63" s="109">
        <f>MAX($C$13*IF($G$5="撼天",1.05,1)+IF(AND(VLOOKUP($E63,武器奇术!$A:$R,15,FALSE)="武器",VLOOKUP($E63,武器奇术!$A:$R,17,FALSE)="破竹"),$E$3*(1+$E$15),0),CN63)</f>
        <v>1102.06</v>
      </c>
      <c r="CQ63" s="110">
        <f>IF(($D$13+IF(VLOOKUP($E63,武器奇术!$A:$R,17,FALSE)="破竹",$D$15,0)+IF(VLOOKUP($E63,武器奇术!$A:$R,18,FALSE)=1,4,0)+IF(VLOOKUP($E63,武器奇术!$A:$S,19,FALSE)=1,20,0)-VLOOKUP($F$7,目标属性!$A:$R,6,FALSE))&gt;0,($D$13+IF(VLOOKUP($E63,武器奇术!$A:$R,17,FALSE)="破竹",$D$15,0)+IF(VLOOKUP($E63,武器奇术!$A:$R,18,FALSE)=1,4,0)+IF(VLOOKUP($E63,武器奇术!$A:$S,19,FALSE)=1,20,0)-VLOOKUP($F$7,目标属性!$A:$R,6,FALSE))/200,($D$13+IF(VLOOKUP($E63,武器奇术!$A:$R,17,FALSE)="破竹",$D$15,0)+IF(VLOOKUP($E63,武器奇术!$A:$R,18,FALSE)=1,4,0)+IF(VLOOKUP($E63,武器奇术!$A:$S,19,FALSE)=1,20,0)-VLOOKUP($F$7,目标属性!$A:$R,6,FALSE))/100)</f>
        <v>0.025</v>
      </c>
      <c r="CR63" s="111">
        <f>$E$13+IF(VLOOKUP($E63,武器奇术!$A:$U,21,FALSE)=1,0,0.09)</f>
        <v>0.235</v>
      </c>
      <c r="CS63" s="109">
        <v>1</v>
      </c>
      <c r="CT63" s="112">
        <f>CN63*IF(VLOOKUP($E63,武器奇术!$A:$R,17,FALSE)="破竹",VLOOKUP($E63,武器奇术!$A:$R,4,FALSE),VLOOKUP($E63,武器奇术!$A:$R,2,FALSE))*(1+CQ63)*(1+CR63)*CS63</f>
        <v>3007.1726027785</v>
      </c>
      <c r="CU63" s="110">
        <f>(1-IF(VLOOKUP($E63,武器奇术!$A:$T,20,FALSE)=1,1,$N63))*(1-$M63)</f>
        <v>0.01072666</v>
      </c>
      <c r="CV63" s="112">
        <f>CO63*IF(VLOOKUP($E63,武器奇术!$A:$R,17,FALSE)="破竹",VLOOKUP($E63,武器奇术!$A:$R,4,FALSE),VLOOKUP($E63,武器奇术!$A:$R,2,FALSE))*(1+CQ63)*(1+CR63)*CS63*(1+$E$16+VLOOKUP($E63,武器奇术!$A:$R,8,FALSE))</f>
        <v>6656.65568174594</v>
      </c>
      <c r="CW63" s="110">
        <f t="shared" si="27"/>
        <v>0.8813852</v>
      </c>
      <c r="CX63" s="112">
        <f>CP63*IF(VLOOKUP($E63,武器奇术!$A:$R,17,FALSE)="破竹",VLOOKUP($E63,武器奇术!$A:$R,4,FALSE),VLOOKUP($E63,武器奇术!$A:$R,2,FALSE))*(1+CQ63)*(1+CR63)*CS63*(1+$E$17+VLOOKUP($E63,武器奇术!$A:$R,10,FALSE))</f>
        <v>6899.44524278198</v>
      </c>
      <c r="CY63" s="110">
        <f t="shared" si="28"/>
        <v>0.0986</v>
      </c>
      <c r="CZ63" s="112">
        <f>CO63*IF(VLOOKUP($E63,武器奇术!$A:$R,17,FALSE)="破竹",VLOOKUP($E63,武器奇术!$A:$R,4,FALSE),VLOOKUP($E63,武器奇术!$A:$R,2,FALSE))*(1+CQ63)*(1+CR63)*CS63</f>
        <v>4058.9363913085</v>
      </c>
      <c r="DA63" s="110">
        <f t="shared" si="29"/>
        <v>0.00928814000000003</v>
      </c>
      <c r="DB63" s="113">
        <f t="shared" si="30"/>
        <v>6617.31998784997</v>
      </c>
      <c r="DC63" s="108">
        <f t="shared" si="31"/>
        <v>69.3</v>
      </c>
      <c r="DD63" s="99">
        <f>(DC63+DE63)*IF(VLOOKUP($E63,武器奇术!$A:$Z,21,FALSE)=1,$G$15,0.5)</f>
        <v>69.3</v>
      </c>
      <c r="DE63" s="109">
        <f t="shared" si="32"/>
        <v>69.3</v>
      </c>
      <c r="DF63" s="110">
        <f>IF(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R,18,FALSE)=1,4,0)+IF(VLOOKUP($E63,武器奇术!$A:$S,19,FALSE)=1,20,0)-VLOOKUP($F$7,目标属性!$A:$R,6,FALSE))/100)</f>
        <v>0.025</v>
      </c>
      <c r="DG63" s="111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U,21,FALSE)=1,0,0.09)</f>
        <v>0.235</v>
      </c>
      <c r="DH63" s="109">
        <v>1</v>
      </c>
      <c r="DI63" s="112">
        <f>DC63*IF(VLOOKUP($E63,武器奇术!$A:$R,17,FALSE)="破竹",VLOOKUP($E63,武器奇术!$A:$R,4,FALSE),VLOOKUP($E63,武器奇术!$A:$R,2,FALSE))*(1+DF63)*(1+DG63)*DH63</f>
        <v>321.3722687175</v>
      </c>
      <c r="DJ63" s="110">
        <f>(1-IF(VLOOKUP($E63,武器奇术!$A:$T,20,FALSE)=1,1,$N63))*(1-$M63)</f>
        <v>0.01072666</v>
      </c>
      <c r="DK63" s="112">
        <f>DD63*IF(VLOOKUP($E63,武器奇术!$A:$R,17,FALSE)="破竹",VLOOKUP($E63,武器奇术!$A:$R,4,FALSE),VLOOKUP($E63,武器奇术!$A:$R,2,FALSE))*(1+DF63)*(1+DG63)*DH63*(1+$E$16+VLOOKUP($E63,武器奇术!$A:$R,8,FALSE))</f>
        <v>527.0505206967</v>
      </c>
      <c r="DL63" s="110">
        <f t="shared" si="33"/>
        <v>0.8813852</v>
      </c>
      <c r="DM63" s="112">
        <f>DE63*IF(VLOOKUP($E63,武器奇术!$A:$R,17,FALSE)="破竹",VLOOKUP($E63,武器奇术!$A:$R,4,FALSE),VLOOKUP($E63,武器奇术!$A:$R,2,FALSE))*(1+DF63)*(1+DG63)*DH63*(1+$E$17+VLOOKUP($E63,武器奇术!$A:$R,10,FALSE))</f>
        <v>433.852562768625</v>
      </c>
      <c r="DN63" s="110">
        <f t="shared" si="34"/>
        <v>0.0986</v>
      </c>
      <c r="DO63" s="112">
        <f>DD63*IF(VLOOKUP($E63,武器奇术!$A:$R,17,FALSE)="破竹",VLOOKUP($E63,武器奇术!$A:$R,4,FALSE),VLOOKUP($E63,武器奇术!$A:$R,2,FALSE))*(1+DF63)*(1+DG63)*DH63</f>
        <v>321.3722687175</v>
      </c>
      <c r="DP63" s="110">
        <f t="shared" si="35"/>
        <v>0.00928814000000003</v>
      </c>
      <c r="DQ63" s="113">
        <f t="shared" si="36"/>
        <v>513.744592967279</v>
      </c>
    </row>
    <row r="64" customFormat="1" spans="1:121">
      <c r="A64" s="75"/>
      <c r="B64" s="75"/>
      <c r="C64" s="75"/>
      <c r="D64" s="75"/>
      <c r="E64" s="98" t="str">
        <f>期望!E64</f>
        <v>拳甲普攻56(气竭)</v>
      </c>
      <c r="F64" s="99">
        <f>期望!F64</f>
        <v>1</v>
      </c>
      <c r="G64" s="115"/>
      <c r="H64" s="100">
        <f>IF(VLOOKUP($E64,武器奇术!$A:$R,18,FALSE)="天工",AE64,(AE64+AT64+BI64+BX64+CM64+DB64+DQ64))*(1+J64)*F64*K64*(1+G64)</f>
        <v>22660.5919110736</v>
      </c>
      <c r="I64" s="101">
        <f t="shared" si="0"/>
        <v>0.0027977427066306</v>
      </c>
      <c r="J64" s="101">
        <f>$F$3+VLOOKUP($E64,武器奇术!$A:$R,12,FALSE)+VLOOKUP($E64,武器奇术!$A:$R,14,FALSE)*$G$3+$P64</f>
        <v>0.573</v>
      </c>
      <c r="K64" s="102">
        <f>VLOOKUP($E64,武器奇术!$A:$R,11,FALSE)</f>
        <v>1</v>
      </c>
      <c r="L64" s="117">
        <f>IF(VLOOKUP($E64,武器奇术!$A:$R,15,FALSE)="天工",0%,IF($C$17+VLOOKUP($E64,武器奇术!$A:$R,7,FALSE)&gt;80%,80%,$C$17+VLOOKUP($E64,武器奇术!$A:$R,7,FALSE))+IF($C$19&gt;20%,20%,$C$19))</f>
        <v>0.892</v>
      </c>
      <c r="M64" s="118">
        <f>IF(VLOOKUP($E64,武器奇术!$A:$R,15,FALSE)="天工",0%,IF($C$18+VLOOKUP($E64,武器奇术!$A:$R,9,FALSE)&gt;40%,40%,$C$18+VLOOKUP($E64,武器奇术!$A:$R,9,FALSE))+IF($C$20&gt;10%,10%,$C$20))</f>
        <v>0.0986</v>
      </c>
      <c r="N64" s="119">
        <f>IF(VLOOKUP($E64,武器奇术!$A:$R,15,FALSE)="天工",100%,MIN($C$16,1))</f>
        <v>0.9881</v>
      </c>
      <c r="O64" s="120" t="str">
        <f>VLOOKUP($E64,武器奇术!$A:$R,16,FALSE)</f>
        <v>拳甲</v>
      </c>
      <c r="P64" s="121">
        <f t="shared" si="38"/>
        <v>0.17</v>
      </c>
      <c r="Q64" s="108">
        <f>$B$5*(1+VLOOKUP($E64,武器奇术!$A:$R,5,FALSE)+IF($G$5="飞隼",0.1,0)+IF($G$5="撼天",0.05,0))-$F$9+IF($I$5="√",160,0)</f>
        <v>1731.135</v>
      </c>
      <c r="R64" s="99">
        <f>IF(VLOOKUP($E64,武器奇术!$A:$Z,20,FALSE)=1,(S64-(Q64+S64)*0.5)*($G$15-0.5)*2+(Q64+S64)*0.5,(Q64+S64)*0.5)</f>
        <v>3256.775</v>
      </c>
      <c r="S64" s="109">
        <f>MAX($C$5,$B$5)*(1+VLOOKUP($E64,武器奇术!$A:$R,5,FALSE)+IF($G$5="飞隼",0.1,0)+IF($G$5="撼天",0.05,0))-$F$9+IF($I$5="√",320,0)</f>
        <v>4782.415</v>
      </c>
      <c r="T64" s="101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U64" s="111">
        <f>$E$5+IF(VLOOKUP($E64,武器奇术!$A:$U,21,FALSE)=1,0,0.09)</f>
        <v>0.115</v>
      </c>
      <c r="V64" s="109">
        <v>1</v>
      </c>
      <c r="W64" s="112">
        <f>Q64*VLOOKUP($E64,武器奇术!$A:$R,2,FALSE)*(1+T64)*(1+U64)*V64</f>
        <v>3086.79912340758</v>
      </c>
      <c r="X64" s="110">
        <f>(1-IF(VLOOKUP($E64,武器奇术!$A:$T,20,FALSE)=1,1,$N64))*(1-$M64)</f>
        <v>0.01072666</v>
      </c>
      <c r="Y64" s="112">
        <f>R64*VLOOKUP($E64,武器奇术!$A:$R,2,FALSE)*(1+T64)*(1+U64)*V64*(1+$E$16+VLOOKUP($E64,武器奇术!$A:$R,8,FALSE))</f>
        <v>9523.77298871699</v>
      </c>
      <c r="Z64" s="110">
        <f t="shared" si="1"/>
        <v>0.8813852</v>
      </c>
      <c r="AA64" s="112">
        <f>S64*VLOOKUP($E64,武器奇术!$A:$R,2,FALSE)*(1+T64)*(1+U64)*V64*(1+$E$17+VLOOKUP($E64,武器奇术!$A:$R,10,FALSE))</f>
        <v>11512.2035428729</v>
      </c>
      <c r="AB64" s="110">
        <f t="shared" si="2"/>
        <v>0.0986</v>
      </c>
      <c r="AC64" s="112">
        <f>R64*VLOOKUP($E64,武器奇术!$A:$R,2,FALSE)*(1+T64)*(1+U64)*V64</f>
        <v>5807.1786516567</v>
      </c>
      <c r="AD64" s="110">
        <f t="shared" si="3"/>
        <v>0.00928814000000003</v>
      </c>
      <c r="AE64" s="113">
        <f t="shared" si="4"/>
        <v>9616.26476274887</v>
      </c>
      <c r="AF64" s="114">
        <f>VLOOKUP($E64,武器奇术!$A:$R,3,FALSE)*(1+IF(VLOOKUP($E64,武器奇术!$A:$R,15,FALSE)="武器",$E$15,0))</f>
        <v>465.4</v>
      </c>
      <c r="AG64" s="112">
        <f t="shared" si="5"/>
        <v>465.4</v>
      </c>
      <c r="AH64" s="112">
        <f>VLOOKUP($E64,武器奇术!$A:$R,3,FALSE)*(1+IF(VLOOKUP($E64,武器奇术!$A:$R,15,FALSE)="武器",$E$15,0))</f>
        <v>465.4</v>
      </c>
      <c r="AI64" s="101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0.242</v>
      </c>
      <c r="AJ64" s="111">
        <f>$E$5+IF(VLOOKUP($E64,武器奇术!$A:$U,21,FALSE)=1,0,0.09)</f>
        <v>0.115</v>
      </c>
      <c r="AK64" s="109">
        <v>1</v>
      </c>
      <c r="AL64" s="112">
        <f t="shared" si="6"/>
        <v>644.499882</v>
      </c>
      <c r="AM64" s="110">
        <f>(1-IF(VLOOKUP($E64,武器奇术!$A:$T,20,FALSE)=1,1,$N64))*(1-$M64)</f>
        <v>0.01072666</v>
      </c>
      <c r="AN64" s="112">
        <f>AG64*(1+AI64)*(1+AJ64)*AK64*(1+$E$16+VLOOKUP($E64,武器奇术!$A:$R,8,FALSE))</f>
        <v>1056.97980648</v>
      </c>
      <c r="AO64" s="110">
        <f t="shared" si="7"/>
        <v>0.8813852</v>
      </c>
      <c r="AP64" s="112">
        <f>AH64*(1+AI64)*(1+AJ64)*AK64*(1+$E$17+VLOOKUP($E64,武器奇术!$A:$R,10,FALSE))</f>
        <v>870.0748407</v>
      </c>
      <c r="AQ64" s="110">
        <f t="shared" si="8"/>
        <v>0.0986</v>
      </c>
      <c r="AR64" s="112">
        <f t="shared" si="9"/>
        <v>644.499882</v>
      </c>
      <c r="AS64" s="110">
        <f t="shared" si="10"/>
        <v>0.00928814000000003</v>
      </c>
      <c r="AT64" s="113">
        <f t="shared" si="11"/>
        <v>1030.29527366161</v>
      </c>
      <c r="AU64" s="108">
        <f>$B$7*IF($G$5="撼天",1.05,1)+IF(AND(VLOOKUP($E64,武器奇术!$A:$R,15,FALSE)="武器",VLOOKUP($E64,武器奇术!$A:$R,17,FALSE)="鸣金"),$E$3,0)*(1+$E$15)</f>
        <v>0</v>
      </c>
      <c r="AV64" s="99">
        <f>(AU64+AW64)*IF(VLOOKUP($E64,武器奇术!$A:$Z,21,FALSE)=1,$G$15,0.5)</f>
        <v>0</v>
      </c>
      <c r="AW64" s="109">
        <f>MAX($C$7*IF($G$5="撼天",1.05,1)+IF(AND(VLOOKUP($E64,武器奇术!$A:$R,15,FALSE)="武器",VLOOKUP($E64,武器奇术!$A:$R,17,FALSE)="鸣金"),$E$3*(1+$E$15),0),AU64)</f>
        <v>0</v>
      </c>
      <c r="AX64" s="110">
        <f>IF(($D$7+IF(VLOOKUP($E64,武器奇术!$A:$R,17,FALSE)="鸣金",$D$15,0)+IF(VLOOKUP($E64,武器奇术!$A:$R,18,FALSE)=1,4,0)+IF(VLOOKUP($E64,武器奇术!$A:$S,19,FALSE)=1,20,0)-VLOOKUP($F$7,目标属性!$A:$R,6,FALSE))&gt;0,($D$7+IF(VLOOKUP($E64,武器奇术!$A:$R,17,FALSE)="鸣金",$D$15,0)+IF(VLOOKUP($E64,武器奇术!$A:$R,18,FALSE)=1,4,0)+IF(VLOOKUP($E64,武器奇术!$A:$S,19,FALSE)=1,20,0)-VLOOKUP($F$7,目标属性!$A:$R,6,FALSE))/200,($D$7+IF(VLOOKUP($E64,武器奇术!$A:$R,17,FALSE)="鸣金",$D$15,0)+IF(VLOOKUP($E64,武器奇术!$A:$R,18,FALSE)=1,4,0)+IF(VLOOKUP($E64,武器奇术!$A:$S,19,FALSE)=1,20,0)-VLOOKUP($F$7,目标属性!$A:$R,6,FALSE))/100)</f>
        <v>-0.24</v>
      </c>
      <c r="AY64" s="111">
        <f t="shared" si="12"/>
        <v>0</v>
      </c>
      <c r="AZ64" s="109">
        <v>1</v>
      </c>
      <c r="BA64" s="112">
        <f>AU64*IF(VLOOKUP($E64,武器奇术!$A:$R,17,FALSE)="鸣金",VLOOKUP($E64,武器奇术!$A:$R,4,FALSE),VLOOKUP($E64,武器奇术!$A:$R,2,FALSE))*(1+AX64)*(1+AY64)*AZ64</f>
        <v>0</v>
      </c>
      <c r="BB64" s="110">
        <f>(1-IF(VLOOKUP($E64,武器奇术!$A:$T,20,FALSE)=1,1,$N64))*(1-$M64)</f>
        <v>0.01072666</v>
      </c>
      <c r="BC64" s="112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10">
        <f t="shared" si="13"/>
        <v>0.8813852</v>
      </c>
      <c r="BE64" s="112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10">
        <f t="shared" si="14"/>
        <v>0.0986</v>
      </c>
      <c r="BG64" s="112">
        <f>AV64*IF(VLOOKUP($E64,武器奇术!$A:$R,17,FALSE)="鸣金",VLOOKUP($E64,武器奇术!$A:$R,4,FALSE),VLOOKUP($E64,武器奇术!$A:$R,2,FALSE))*(1+AX64)*(1+AY64)*AZ64</f>
        <v>0</v>
      </c>
      <c r="BH64" s="110">
        <f t="shared" si="15"/>
        <v>0.00928814000000003</v>
      </c>
      <c r="BI64" s="113">
        <f t="shared" si="16"/>
        <v>0</v>
      </c>
      <c r="BJ64" s="108">
        <f>$B$9*IF($G$5="撼天",1.05,1)+IF(AND(VLOOKUP($E64,武器奇术!$A:$R,15,FALSE)="武器",VLOOKUP($E64,武器奇术!$A:$R,17,FALSE)="裂石"),$E$3,0)*(1+$E$15)</f>
        <v>0</v>
      </c>
      <c r="BK64" s="99">
        <f>(BJ64+BL64)*IF(VLOOKUP($E64,武器奇术!$A:$Z,21,FALSE)=1,$G$15,0.5)</f>
        <v>0</v>
      </c>
      <c r="BL64" s="109">
        <f>MAX($C$9*IF($G$5="撼天",1.05,1)+IF(AND(VLOOKUP($E64,武器奇术!$A:$R,15,FALSE)="武器",VLOOKUP($E64,武器奇术!$A:$R,17,FALSE)="裂石"),$E$3*(1+$E$15),0),BJ64)</f>
        <v>0</v>
      </c>
      <c r="BM64" s="110">
        <f>IF(($D$9+IF(VLOOKUP($E64,武器奇术!$A:$R,17,FALSE)="裂石",$D$15,0)+IF(VLOOKUP($E64,武器奇术!$A:$R,18,FALSE)=1,4,0)+IF(VLOOKUP($E64,武器奇术!$A:$S,19,FALSE)=1,20,0)-VLOOKUP($F$7,目标属性!$A:$R,6,FALSE))&gt;0,($D$9+IF(VLOOKUP($E64,武器奇术!$A:$R,17,FALSE)="裂石",$D$15,0)+IF(VLOOKUP($E64,武器奇术!$A:$R,18,FALSE)=1,4,0)+IF(VLOOKUP($E64,武器奇术!$A:$S,19,FALSE)=1,20,0)-VLOOKUP($F$7,目标属性!$A:$R,6,FALSE))/200,($D$9+IF(VLOOKUP($E64,武器奇术!$A:$R,17,FALSE)="裂石",$D$15,0)+IF(VLOOKUP($E64,武器奇术!$A:$R,18,FALSE)=1,4,0)+IF(VLOOKUP($E64,武器奇术!$A:$S,19,FALSE)=1,20,0)-VLOOKUP($F$7,目标属性!$A:$R,6,FALSE))/100)</f>
        <v>-0.24</v>
      </c>
      <c r="BN64" s="111">
        <f t="shared" si="17"/>
        <v>0</v>
      </c>
      <c r="BO64" s="109">
        <v>1</v>
      </c>
      <c r="BP64" s="112">
        <f>BJ64*IF(VLOOKUP($E64,武器奇术!$A:$R,17,FALSE)="裂石",VLOOKUP($E64,武器奇术!$A:$R,4,FALSE),VLOOKUP($E64,武器奇术!$A:$R,2,FALSE))*(1+BM64)*(1+BN64)*BO64</f>
        <v>0</v>
      </c>
      <c r="BQ64" s="110">
        <f>(1-IF(VLOOKUP($E64,武器奇术!$A:$T,20,FALSE)=1,1,$N64))*(1-$M64)</f>
        <v>0.01072666</v>
      </c>
      <c r="BR64" s="112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10">
        <f t="shared" si="18"/>
        <v>0.8813852</v>
      </c>
      <c r="BT64" s="112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10">
        <f t="shared" si="19"/>
        <v>0.0986</v>
      </c>
      <c r="BV64" s="112">
        <f>BK64*IF(VLOOKUP($E64,武器奇术!$A:$R,17,FALSE)="裂石",VLOOKUP($E64,武器奇术!$A:$R,4,FALSE),VLOOKUP($E64,武器奇术!$A:$R,2,FALSE))*(1+BM64)*(1+BN64)*BO64</f>
        <v>0</v>
      </c>
      <c r="BW64" s="110">
        <f t="shared" si="20"/>
        <v>0.00928814000000003</v>
      </c>
      <c r="BX64" s="113">
        <f t="shared" si="21"/>
        <v>0</v>
      </c>
      <c r="BY64" s="108">
        <f>$B$11*IF($G$5="撼天",1.05,1)+IF(AND(VLOOKUP($E64,武器奇术!$A:$R,15,FALSE)="武器",VLOOKUP($E64,武器奇术!$A:$R,17,FALSE)="牵丝"),$E$3,0)*(1+$E$15)</f>
        <v>0</v>
      </c>
      <c r="BZ64" s="99">
        <f>(BY64+CA64)*IF(VLOOKUP($E64,武器奇术!$A:$Z,21,FALSE)=1,$G$15,0.5)</f>
        <v>0</v>
      </c>
      <c r="CA64" s="109">
        <f>MAX($C$11*IF($G$5="撼天",1.05,1)+IF(AND(VLOOKUP($E64,武器奇术!$A:$R,15,FALSE)="武器",VLOOKUP($E64,武器奇术!$A:$R,17,FALSE)="牵丝"),$E$3*(1+$E$15),0),BY64)</f>
        <v>0</v>
      </c>
      <c r="CB64" s="110">
        <f>IF(($D$11+IF(VLOOKUP($E64,武器奇术!$A:$R,17,FALSE)="牵丝",$D$15,0)+IF(VLOOKUP($E64,武器奇术!$A:$R,18,FALSE)=1,4,0)+IF(VLOOKUP($E64,武器奇术!$A:$S,19,FALSE)=1,20,0)-VLOOKUP($F$7,目标属性!$A:$R,6,FALSE))&gt;0,($D$11+IF(VLOOKUP($E64,武器奇术!$A:$R,17,FALSE)="牵丝",$D$15,0)+IF(VLOOKUP($E64,武器奇术!$A:$R,18,FALSE)=1,4,0)+IF(VLOOKUP($E64,武器奇术!$A:$S,19,FALSE)=1,20,0)-VLOOKUP($F$7,目标属性!$A:$R,6,FALSE))/200,($D$11+IF(VLOOKUP($E64,武器奇术!$A:$R,17,FALSE)="牵丝",$D$15,0)+IF(VLOOKUP($E64,武器奇术!$A:$R,18,FALSE)=1,4,0)+IF(VLOOKUP($E64,武器奇术!$A:$S,19,FALSE)=1,20,0)-VLOOKUP($F$7,目标属性!$A:$R,6,FALSE))/100)</f>
        <v>-0.24</v>
      </c>
      <c r="CC64" s="111">
        <f t="shared" si="22"/>
        <v>0</v>
      </c>
      <c r="CD64" s="109">
        <v>1</v>
      </c>
      <c r="CE64" s="112">
        <f>BY64*IF(VLOOKUP($E64,武器奇术!$A:$R,17,FALSE)="牵丝",VLOOKUP($E64,武器奇术!$A:$R,4,FALSE),VLOOKUP($E64,武器奇术!$A:$R,2,FALSE))*(1+CB64)*(1+CC64)*CD64</f>
        <v>0</v>
      </c>
      <c r="CF64" s="110">
        <f>(1-IF(VLOOKUP($E64,武器奇术!$A:$T,20,FALSE)=1,1,$N64))*(1-$M64)</f>
        <v>0.01072666</v>
      </c>
      <c r="CG64" s="112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110">
        <f t="shared" si="23"/>
        <v>0.8813852</v>
      </c>
      <c r="CI64" s="112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110">
        <f t="shared" si="24"/>
        <v>0.0986</v>
      </c>
      <c r="CK64" s="112">
        <f>BZ64*IF(VLOOKUP($E64,武器奇术!$A:$R,17,FALSE)="牵丝",VLOOKUP($E64,武器奇术!$A:$R,4,FALSE),VLOOKUP($E64,武器奇术!$A:$R,2,FALSE))*(1+CB64)*(1+CC64)*CD64</f>
        <v>0</v>
      </c>
      <c r="CL64" s="110">
        <f t="shared" si="25"/>
        <v>0.00928814000000003</v>
      </c>
      <c r="CM64" s="113">
        <f t="shared" si="26"/>
        <v>0</v>
      </c>
      <c r="CN64" s="108">
        <f>$B$13*IF($G$5="撼天",1.05,1)+IF(AND(VLOOKUP($E64,武器奇术!$A:$R,15,FALSE)="武器",VLOOKUP($E64,武器奇术!$A:$R,17,FALSE)="破竹"),$E$3,0)*(1+$E$15)</f>
        <v>648.46</v>
      </c>
      <c r="CO64" s="99">
        <f>(CN64+CP64)*IF(VLOOKUP($E64,武器奇术!$A:$Z,21,FALSE)=1,$G$15,0.5)</f>
        <v>875.26</v>
      </c>
      <c r="CP64" s="109">
        <f>MAX($C$13*IF($G$5="撼天",1.05,1)+IF(AND(VLOOKUP($E64,武器奇术!$A:$R,15,FALSE)="武器",VLOOKUP($E64,武器奇术!$A:$R,17,FALSE)="破竹"),$E$3*(1+$E$15),0),CN64)</f>
        <v>1102.06</v>
      </c>
      <c r="CQ64" s="110">
        <f>IF(($D$13+IF(VLOOKUP($E64,武器奇术!$A:$R,17,FALSE)="破竹",$D$15,0)+IF(VLOOKUP($E64,武器奇术!$A:$R,18,FALSE)=1,4,0)+IF(VLOOKUP($E64,武器奇术!$A:$S,19,FALSE)=1,20,0)-VLOOKUP($F$7,目标属性!$A:$R,6,FALSE))&gt;0,($D$13+IF(VLOOKUP($E64,武器奇术!$A:$R,17,FALSE)="破竹",$D$15,0)+IF(VLOOKUP($E64,武器奇术!$A:$R,18,FALSE)=1,4,0)+IF(VLOOKUP($E64,武器奇术!$A:$S,19,FALSE)=1,20,0)-VLOOKUP($F$7,目标属性!$A:$R,6,FALSE))/200,($D$13+IF(VLOOKUP($E64,武器奇术!$A:$R,17,FALSE)="破竹",$D$15,0)+IF(VLOOKUP($E64,武器奇术!$A:$R,18,FALSE)=1,4,0)+IF(VLOOKUP($E64,武器奇术!$A:$S,19,FALSE)=1,20,0)-VLOOKUP($F$7,目标属性!$A:$R,6,FALSE))/100)</f>
        <v>0.025</v>
      </c>
      <c r="CR64" s="111">
        <f>$E$13+IF(VLOOKUP($E64,武器奇术!$A:$U,21,FALSE)=1,0,0.09)</f>
        <v>0.235</v>
      </c>
      <c r="CS64" s="109">
        <v>1</v>
      </c>
      <c r="CT64" s="112">
        <f>CN64*IF(VLOOKUP($E64,武器奇术!$A:$R,17,FALSE)="破竹",VLOOKUP($E64,武器奇术!$A:$R,4,FALSE),VLOOKUP($E64,武器奇术!$A:$R,2,FALSE))*(1+CQ64)*(1+CR64)*CS64</f>
        <v>1585.34488391825</v>
      </c>
      <c r="CU64" s="110">
        <f>(1-IF(VLOOKUP($E64,武器奇术!$A:$T,20,FALSE)=1,1,$N64))*(1-$M64)</f>
        <v>0.01072666</v>
      </c>
      <c r="CV64" s="112">
        <f>CO64*IF(VLOOKUP($E64,武器奇术!$A:$R,17,FALSE)="破竹",VLOOKUP($E64,武器奇术!$A:$R,4,FALSE),VLOOKUP($E64,武器奇术!$A:$R,2,FALSE))*(1+CQ64)*(1+CR64)*CS64*(1+$E$16+VLOOKUP($E64,武器奇术!$A:$R,8,FALSE))</f>
        <v>3509.30805212533</v>
      </c>
      <c r="CW64" s="110">
        <f t="shared" si="27"/>
        <v>0.8813852</v>
      </c>
      <c r="CX64" s="112">
        <f>CP64*IF(VLOOKUP($E64,武器奇术!$A:$R,17,FALSE)="破竹",VLOOKUP($E64,武器奇术!$A:$R,4,FALSE),VLOOKUP($E64,武器奇术!$A:$R,2,FALSE))*(1+CQ64)*(1+CR64)*CS64*(1+$E$17+VLOOKUP($E64,武器奇术!$A:$R,10,FALSE))</f>
        <v>3637.30376081914</v>
      </c>
      <c r="CY64" s="110">
        <f t="shared" si="28"/>
        <v>0.0986</v>
      </c>
      <c r="CZ64" s="112">
        <f>CO64*IF(VLOOKUP($E64,武器奇术!$A:$R,17,FALSE)="破竹",VLOOKUP($E64,武器奇术!$A:$R,4,FALSE),VLOOKUP($E64,武器奇术!$A:$R,2,FALSE))*(1+CQ64)*(1+CR64)*CS64</f>
        <v>2139.82198300325</v>
      </c>
      <c r="DA64" s="110">
        <f t="shared" si="29"/>
        <v>0.00928814000000003</v>
      </c>
      <c r="DB64" s="113">
        <f t="shared" si="30"/>
        <v>3488.5707519066</v>
      </c>
      <c r="DC64" s="108">
        <f t="shared" si="31"/>
        <v>69.3</v>
      </c>
      <c r="DD64" s="99">
        <f>(DC64+DE64)*IF(VLOOKUP($E64,武器奇术!$A:$Z,21,FALSE)=1,$G$15,0.5)</f>
        <v>69.3</v>
      </c>
      <c r="DE64" s="109">
        <f t="shared" si="32"/>
        <v>69.3</v>
      </c>
      <c r="DF64" s="110">
        <f>IF(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R,18,FALSE)=1,4,0)+IF(VLOOKUP($E64,武器奇术!$A:$S,19,FALSE)=1,20,0)-VLOOKUP($F$7,目标属性!$A:$R,6,FALSE))/100)</f>
        <v>0.025</v>
      </c>
      <c r="DG64" s="111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U,21,FALSE)=1,0,0.09)</f>
        <v>0.235</v>
      </c>
      <c r="DH64" s="109">
        <v>1</v>
      </c>
      <c r="DI64" s="112">
        <f>DC64*IF(VLOOKUP($E64,武器奇术!$A:$R,17,FALSE)="破竹",VLOOKUP($E64,武器奇术!$A:$R,4,FALSE),VLOOKUP($E64,武器奇术!$A:$R,2,FALSE))*(1+DF64)*(1+DG64)*DH64</f>
        <v>169.42355805375</v>
      </c>
      <c r="DJ64" s="110">
        <f>(1-IF(VLOOKUP($E64,武器奇术!$A:$T,20,FALSE)=1,1,$N64))*(1-$M64)</f>
        <v>0.01072666</v>
      </c>
      <c r="DK64" s="112">
        <f>DD64*IF(VLOOKUP($E64,武器奇术!$A:$R,17,FALSE)="破竹",VLOOKUP($E64,武器奇术!$A:$R,4,FALSE),VLOOKUP($E64,武器奇术!$A:$R,2,FALSE))*(1+DF64)*(1+DG64)*DH64*(1+$E$16+VLOOKUP($E64,武器奇术!$A:$R,8,FALSE))</f>
        <v>277.85463520815</v>
      </c>
      <c r="DL64" s="110">
        <f t="shared" si="33"/>
        <v>0.8813852</v>
      </c>
      <c r="DM64" s="112">
        <f>DE64*IF(VLOOKUP($E64,武器奇术!$A:$R,17,FALSE)="破竹",VLOOKUP($E64,武器奇术!$A:$R,4,FALSE),VLOOKUP($E64,武器奇术!$A:$R,2,FALSE))*(1+DF64)*(1+DG64)*DH64*(1+$E$17+VLOOKUP($E64,武器奇术!$A:$R,10,FALSE))</f>
        <v>228.721803372562</v>
      </c>
      <c r="DN64" s="110">
        <f t="shared" si="34"/>
        <v>0.0986</v>
      </c>
      <c r="DO64" s="112">
        <f>DD64*IF(VLOOKUP($E64,武器奇术!$A:$R,17,FALSE)="破竹",VLOOKUP($E64,武器奇术!$A:$R,4,FALSE),VLOOKUP($E64,武器奇术!$A:$R,2,FALSE))*(1+DF64)*(1+DG64)*DH64</f>
        <v>169.42355805375</v>
      </c>
      <c r="DP64" s="110">
        <f t="shared" si="35"/>
        <v>0.00928814000000003</v>
      </c>
      <c r="DQ64" s="113">
        <f t="shared" si="36"/>
        <v>270.839911666131</v>
      </c>
    </row>
    <row r="65" customFormat="1" spans="1:121">
      <c r="A65" s="75"/>
      <c r="B65" s="75"/>
      <c r="C65" s="148"/>
      <c r="D65" s="75"/>
      <c r="E65" s="98" t="str">
        <f>期望!E65</f>
        <v>N/A</v>
      </c>
      <c r="F65" s="99">
        <f>期望!F65</f>
        <v>1</v>
      </c>
      <c r="G65" s="115"/>
      <c r="H65" s="100">
        <f>IF(VLOOKUP($E65,武器奇术!$A:$R,18,FALSE)="天工",AE65,(AE65+AT65+BI65+BX65+CM65+DB65+DQ65))*(1+J65)*F65*K65*(1+G65)</f>
        <v>0</v>
      </c>
      <c r="I65" s="101">
        <f t="shared" si="0"/>
        <v>0</v>
      </c>
      <c r="J65" s="101">
        <f>$F$3+VLOOKUP($E65,武器奇术!$A:$R,12,FALSE)+VLOOKUP($E65,武器奇术!$A:$R,14,FALSE)*$G$3+$P65</f>
        <v>0.303</v>
      </c>
      <c r="K65" s="102">
        <f>VLOOKUP($E65,武器奇术!$A:$R,11,FALSE)</f>
        <v>1</v>
      </c>
      <c r="L65" s="117">
        <f>IF(VLOOKUP($E65,武器奇术!$A:$R,15,FALSE)="天工",0%,IF($C$17+VLOOKUP($E65,武器奇术!$A:$R,7,FALSE)&gt;80%,80%,$C$17+VLOOKUP($E65,武器奇术!$A:$R,7,FALSE))+IF($C$19&gt;20%,20%,$C$19))</f>
        <v>0.892</v>
      </c>
      <c r="M65" s="118">
        <f>IF(VLOOKUP($E65,武器奇术!$A:$R,15,FALSE)="天工",0%,IF($C$18+VLOOKUP($E65,武器奇术!$A:$R,9,FALSE)&gt;40%,40%,$C$18+VLOOKUP($E65,武器奇术!$A:$R,9,FALSE))+IF($C$20&gt;10%,10%,$C$20))</f>
        <v>0.0986</v>
      </c>
      <c r="N65" s="119">
        <f>IF(VLOOKUP($E65,武器奇术!$A:$R,15,FALSE)="天工",100%,MIN($C$16,1))</f>
        <v>0.9881</v>
      </c>
      <c r="O65" s="120" t="str">
        <f>VLOOKUP($E65,武器奇术!$A:$R,16,FALSE)</f>
        <v>N/A</v>
      </c>
      <c r="P65" s="121">
        <f t="shared" si="38"/>
        <v>0</v>
      </c>
      <c r="Q65" s="108">
        <f>$B$5*(1+VLOOKUP($E65,武器奇术!$A:$R,5,FALSE)+IF($G$5="飞隼",0.1,0)+IF($G$5="撼天",0.05,0))-$F$9+IF($I$5="√",160,0)</f>
        <v>1731.135</v>
      </c>
      <c r="R65" s="99">
        <f>IF(VLOOKUP($E65,武器奇术!$A:$Z,20,FALSE)=1,(S65-(Q65+S65)*0.5)*($G$15-0.5)*2+(Q65+S65)*0.5,(Q65+S65)*0.5)</f>
        <v>3256.775</v>
      </c>
      <c r="S65" s="109">
        <f>MAX($C$5,$B$5)*(1+VLOOKUP($E65,武器奇术!$A:$R,5,FALSE)+IF($G$5="飞隼",0.1,0)+IF($G$5="撼天",0.05,0))-$F$9+IF($I$5="√",320,0)</f>
        <v>4782.415</v>
      </c>
      <c r="T65" s="101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U65" s="111">
        <f>$E$5+IF(VLOOKUP($E65,武器奇术!$A:$U,21,FALSE)=1,0,0.09)</f>
        <v>0.115</v>
      </c>
      <c r="V65" s="109">
        <v>1</v>
      </c>
      <c r="W65" s="112">
        <f>Q65*VLOOKUP($E65,武器奇术!$A:$R,2,FALSE)*(1+T65)*(1+U65)*V65</f>
        <v>0</v>
      </c>
      <c r="X65" s="110">
        <f>(1-IF(VLOOKUP($E65,武器奇术!$A:$T,20,FALSE)=1,1,$N65))*(1-$M65)</f>
        <v>0.01072666</v>
      </c>
      <c r="Y65" s="112">
        <f>R65*VLOOKUP($E65,武器奇术!$A:$R,2,FALSE)*(1+T65)*(1+U65)*V65*(1+$E$16+VLOOKUP($E65,武器奇术!$A:$R,8,FALSE))</f>
        <v>0</v>
      </c>
      <c r="Z65" s="110">
        <f t="shared" si="1"/>
        <v>0.8813852</v>
      </c>
      <c r="AA65" s="112">
        <f>S65*VLOOKUP($E65,武器奇术!$A:$R,2,FALSE)*(1+T65)*(1+U65)*V65*(1+$E$17+VLOOKUP($E65,武器奇术!$A:$R,10,FALSE))</f>
        <v>0</v>
      </c>
      <c r="AB65" s="110">
        <f t="shared" si="2"/>
        <v>0.0986</v>
      </c>
      <c r="AC65" s="112">
        <f>R65*VLOOKUP($E65,武器奇术!$A:$R,2,FALSE)*(1+T65)*(1+U65)*V65</f>
        <v>0</v>
      </c>
      <c r="AD65" s="110">
        <f t="shared" si="3"/>
        <v>0.00928814000000003</v>
      </c>
      <c r="AE65" s="113">
        <f t="shared" si="4"/>
        <v>0</v>
      </c>
      <c r="AF65" s="114">
        <f>VLOOKUP($E65,武器奇术!$A:$R,3,FALSE)*(1+IF(VLOOKUP($E65,武器奇术!$A:$R,15,FALSE)="武器",$E$15,0))</f>
        <v>0</v>
      </c>
      <c r="AG65" s="112">
        <f t="shared" si="5"/>
        <v>0</v>
      </c>
      <c r="AH65" s="112">
        <f>VLOOKUP($E65,武器奇术!$A:$R,3,FALSE)*(1+IF(VLOOKUP($E65,武器奇术!$A:$R,15,FALSE)="武器",$E$15,0))</f>
        <v>0</v>
      </c>
      <c r="AI65" s="101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0.242</v>
      </c>
      <c r="AJ65" s="111">
        <f>$E$5+IF(VLOOKUP($E65,武器奇术!$A:$U,21,FALSE)=1,0,0.09)</f>
        <v>0.115</v>
      </c>
      <c r="AK65" s="109">
        <v>1</v>
      </c>
      <c r="AL65" s="112">
        <f t="shared" si="6"/>
        <v>0</v>
      </c>
      <c r="AM65" s="110">
        <f>(1-IF(VLOOKUP($E65,武器奇术!$A:$T,20,FALSE)=1,1,$N65))*(1-$M65)</f>
        <v>0.01072666</v>
      </c>
      <c r="AN65" s="112">
        <f>AG65*(1+AI65)*(1+AJ65)*AK65*(1+$E$16+VLOOKUP($E65,武器奇术!$A:$R,8,FALSE))</f>
        <v>0</v>
      </c>
      <c r="AO65" s="110">
        <f t="shared" si="7"/>
        <v>0.8813852</v>
      </c>
      <c r="AP65" s="112">
        <f>AH65*(1+AI65)*(1+AJ65)*AK65*(1+$E$17+VLOOKUP($E65,武器奇术!$A:$R,10,FALSE))</f>
        <v>0</v>
      </c>
      <c r="AQ65" s="110">
        <f t="shared" si="8"/>
        <v>0.0986</v>
      </c>
      <c r="AR65" s="112">
        <f t="shared" si="9"/>
        <v>0</v>
      </c>
      <c r="AS65" s="110">
        <f t="shared" si="10"/>
        <v>0.00928814000000003</v>
      </c>
      <c r="AT65" s="113">
        <f t="shared" si="11"/>
        <v>0</v>
      </c>
      <c r="AU65" s="108">
        <f>$B$7*IF($G$5="撼天",1.05,1)+IF(AND(VLOOKUP($E65,武器奇术!$A:$R,15,FALSE)="武器",VLOOKUP($E65,武器奇术!$A:$R,17,FALSE)="鸣金"),$E$3,0)*(1+$E$15)</f>
        <v>0</v>
      </c>
      <c r="AV65" s="99">
        <f>(AU65+AW65)*IF(VLOOKUP($E65,武器奇术!$A:$Z,21,FALSE)=1,$G$15,0.5)</f>
        <v>0</v>
      </c>
      <c r="AW65" s="109">
        <f>MAX($C$7*IF($G$5="撼天",1.05,1)+IF(AND(VLOOKUP($E65,武器奇术!$A:$R,15,FALSE)="武器",VLOOKUP($E65,武器奇术!$A:$R,17,FALSE)="鸣金"),$E$3*(1+$E$15),0),AU65)</f>
        <v>0</v>
      </c>
      <c r="AX65" s="110">
        <f>IF(($D$7+IF(VLOOKUP($E65,武器奇术!$A:$R,17,FALSE)="鸣金",$D$15,0)+IF(VLOOKUP($E65,武器奇术!$A:$R,18,FALSE)=1,4,0)+IF(VLOOKUP($E65,武器奇术!$A:$S,19,FALSE)=1,20,0)-VLOOKUP($F$7,目标属性!$A:$R,6,FALSE))&gt;0,($D$7+IF(VLOOKUP($E65,武器奇术!$A:$R,17,FALSE)="鸣金",$D$15,0)+IF(VLOOKUP($E65,武器奇术!$A:$R,18,FALSE)=1,4,0)+IF(VLOOKUP($E65,武器奇术!$A:$S,19,FALSE)=1,20,0)-VLOOKUP($F$7,目标属性!$A:$R,6,FALSE))/200,($D$7+IF(VLOOKUP($E65,武器奇术!$A:$R,17,FALSE)="鸣金",$D$15,0)+IF(VLOOKUP($E65,武器奇术!$A:$R,18,FALSE)=1,4,0)+IF(VLOOKUP($E65,武器奇术!$A:$S,19,FALSE)=1,20,0)-VLOOKUP($F$7,目标属性!$A:$R,6,FALSE))/100)</f>
        <v>-0.24</v>
      </c>
      <c r="AY65" s="111">
        <f t="shared" si="12"/>
        <v>0</v>
      </c>
      <c r="AZ65" s="109">
        <v>1</v>
      </c>
      <c r="BA65" s="112">
        <f>AU65*IF(VLOOKUP($E65,武器奇术!$A:$R,17,FALSE)="鸣金",VLOOKUP($E65,武器奇术!$A:$R,4,FALSE),VLOOKUP($E65,武器奇术!$A:$R,2,FALSE))*(1+AX65)*(1+AY65)*AZ65</f>
        <v>0</v>
      </c>
      <c r="BB65" s="110">
        <f>(1-IF(VLOOKUP($E65,武器奇术!$A:$T,20,FALSE)=1,1,$N65))*(1-$M65)</f>
        <v>0.01072666</v>
      </c>
      <c r="BC65" s="112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10">
        <f t="shared" si="13"/>
        <v>0.8813852</v>
      </c>
      <c r="BE65" s="112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10">
        <f t="shared" si="14"/>
        <v>0.0986</v>
      </c>
      <c r="BG65" s="112">
        <f>AV65*IF(VLOOKUP($E65,武器奇术!$A:$R,17,FALSE)="鸣金",VLOOKUP($E65,武器奇术!$A:$R,4,FALSE),VLOOKUP($E65,武器奇术!$A:$R,2,FALSE))*(1+AX65)*(1+AY65)*AZ65</f>
        <v>0</v>
      </c>
      <c r="BH65" s="110">
        <f t="shared" si="15"/>
        <v>0.00928814000000003</v>
      </c>
      <c r="BI65" s="113">
        <f t="shared" si="16"/>
        <v>0</v>
      </c>
      <c r="BJ65" s="108">
        <f>$B$9*IF($G$5="撼天",1.05,1)+IF(AND(VLOOKUP($E65,武器奇术!$A:$R,15,FALSE)="武器",VLOOKUP($E65,武器奇术!$A:$R,17,FALSE)="裂石"),$E$3,0)*(1+$E$15)</f>
        <v>0</v>
      </c>
      <c r="BK65" s="99">
        <f>(BJ65+BL65)*IF(VLOOKUP($E65,武器奇术!$A:$Z,21,FALSE)=1,$G$15,0.5)</f>
        <v>0</v>
      </c>
      <c r="BL65" s="109">
        <f>MAX($C$9*IF($G$5="撼天",1.05,1)+IF(AND(VLOOKUP($E65,武器奇术!$A:$R,15,FALSE)="武器",VLOOKUP($E65,武器奇术!$A:$R,17,FALSE)="裂石"),$E$3*(1+$E$15),0),BJ65)</f>
        <v>0</v>
      </c>
      <c r="BM65" s="110">
        <f>IF(($D$9+IF(VLOOKUP($E65,武器奇术!$A:$R,17,FALSE)="裂石",$D$15,0)+IF(VLOOKUP($E65,武器奇术!$A:$R,18,FALSE)=1,4,0)+IF(VLOOKUP($E65,武器奇术!$A:$S,19,FALSE)=1,20,0)-VLOOKUP($F$7,目标属性!$A:$R,6,FALSE))&gt;0,($D$9+IF(VLOOKUP($E65,武器奇术!$A:$R,17,FALSE)="裂石",$D$15,0)+IF(VLOOKUP($E65,武器奇术!$A:$R,18,FALSE)=1,4,0)+IF(VLOOKUP($E65,武器奇术!$A:$S,19,FALSE)=1,20,0)-VLOOKUP($F$7,目标属性!$A:$R,6,FALSE))/200,($D$9+IF(VLOOKUP($E65,武器奇术!$A:$R,17,FALSE)="裂石",$D$15,0)+IF(VLOOKUP($E65,武器奇术!$A:$R,18,FALSE)=1,4,0)+IF(VLOOKUP($E65,武器奇术!$A:$S,19,FALSE)=1,20,0)-VLOOKUP($F$7,目标属性!$A:$R,6,FALSE))/100)</f>
        <v>-0.24</v>
      </c>
      <c r="BN65" s="111">
        <f t="shared" si="17"/>
        <v>0</v>
      </c>
      <c r="BO65" s="109">
        <v>1</v>
      </c>
      <c r="BP65" s="112">
        <f>BJ65*IF(VLOOKUP($E65,武器奇术!$A:$R,17,FALSE)="裂石",VLOOKUP($E65,武器奇术!$A:$R,4,FALSE),VLOOKUP($E65,武器奇术!$A:$R,2,FALSE))*(1+BM65)*(1+BN65)*BO65</f>
        <v>0</v>
      </c>
      <c r="BQ65" s="110">
        <f>(1-IF(VLOOKUP($E65,武器奇术!$A:$T,20,FALSE)=1,1,$N65))*(1-$M65)</f>
        <v>0.01072666</v>
      </c>
      <c r="BR65" s="112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10">
        <f t="shared" si="18"/>
        <v>0.8813852</v>
      </c>
      <c r="BT65" s="112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10">
        <f t="shared" si="19"/>
        <v>0.0986</v>
      </c>
      <c r="BV65" s="112">
        <f>BK65*IF(VLOOKUP($E65,武器奇术!$A:$R,17,FALSE)="裂石",VLOOKUP($E65,武器奇术!$A:$R,4,FALSE),VLOOKUP($E65,武器奇术!$A:$R,2,FALSE))*(1+BM65)*(1+BN65)*BO65</f>
        <v>0</v>
      </c>
      <c r="BW65" s="110">
        <f t="shared" si="20"/>
        <v>0.00928814000000003</v>
      </c>
      <c r="BX65" s="113">
        <f t="shared" si="21"/>
        <v>0</v>
      </c>
      <c r="BY65" s="108">
        <f>$B$11*IF($G$5="撼天",1.05,1)+IF(AND(VLOOKUP($E65,武器奇术!$A:$R,15,FALSE)="武器",VLOOKUP($E65,武器奇术!$A:$R,17,FALSE)="牵丝"),$E$3,0)*(1+$E$15)</f>
        <v>0</v>
      </c>
      <c r="BZ65" s="99">
        <f>(BY65+CA65)*IF(VLOOKUP($E65,武器奇术!$A:$Z,21,FALSE)=1,$G$15,0.5)</f>
        <v>0</v>
      </c>
      <c r="CA65" s="109">
        <f>MAX($C$11*IF($G$5="撼天",1.05,1)+IF(AND(VLOOKUP($E65,武器奇术!$A:$R,15,FALSE)="武器",VLOOKUP($E65,武器奇术!$A:$R,17,FALSE)="牵丝"),$E$3*(1+$E$15),0),BY65)</f>
        <v>0</v>
      </c>
      <c r="CB65" s="110">
        <f>IF(($D$11+IF(VLOOKUP($E65,武器奇术!$A:$R,17,FALSE)="牵丝",$D$15,0)+IF(VLOOKUP($E65,武器奇术!$A:$R,18,FALSE)=1,4,0)+IF(VLOOKUP($E65,武器奇术!$A:$S,19,FALSE)=1,20,0)-VLOOKUP($F$7,目标属性!$A:$R,6,FALSE))&gt;0,($D$11+IF(VLOOKUP($E65,武器奇术!$A:$R,17,FALSE)="牵丝",$D$15,0)+IF(VLOOKUP($E65,武器奇术!$A:$R,18,FALSE)=1,4,0)+IF(VLOOKUP($E65,武器奇术!$A:$S,19,FALSE)=1,20,0)-VLOOKUP($F$7,目标属性!$A:$R,6,FALSE))/200,($D$11+IF(VLOOKUP($E65,武器奇术!$A:$R,17,FALSE)="牵丝",$D$15,0)+IF(VLOOKUP($E65,武器奇术!$A:$R,18,FALSE)=1,4,0)+IF(VLOOKUP($E65,武器奇术!$A:$S,19,FALSE)=1,20,0)-VLOOKUP($F$7,目标属性!$A:$R,6,FALSE))/100)</f>
        <v>-0.24</v>
      </c>
      <c r="CC65" s="111">
        <f t="shared" si="22"/>
        <v>0</v>
      </c>
      <c r="CD65" s="109">
        <v>1</v>
      </c>
      <c r="CE65" s="112">
        <f>BY65*IF(VLOOKUP($E65,武器奇术!$A:$R,17,FALSE)="牵丝",VLOOKUP($E65,武器奇术!$A:$R,4,FALSE),VLOOKUP($E65,武器奇术!$A:$R,2,FALSE))*(1+CB65)*(1+CC65)*CD65</f>
        <v>0</v>
      </c>
      <c r="CF65" s="110">
        <f>(1-IF(VLOOKUP($E65,武器奇术!$A:$T,20,FALSE)=1,1,$N65))*(1-$M65)</f>
        <v>0.01072666</v>
      </c>
      <c r="CG65" s="112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110">
        <f t="shared" si="23"/>
        <v>0.8813852</v>
      </c>
      <c r="CI65" s="112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110">
        <f t="shared" si="24"/>
        <v>0.0986</v>
      </c>
      <c r="CK65" s="112">
        <f>BZ65*IF(VLOOKUP($E65,武器奇术!$A:$R,17,FALSE)="牵丝",VLOOKUP($E65,武器奇术!$A:$R,4,FALSE),VLOOKUP($E65,武器奇术!$A:$R,2,FALSE))*(1+CB65)*(1+CC65)*CD65</f>
        <v>0</v>
      </c>
      <c r="CL65" s="110">
        <f t="shared" si="25"/>
        <v>0.00928814000000003</v>
      </c>
      <c r="CM65" s="113">
        <f t="shared" si="26"/>
        <v>0</v>
      </c>
      <c r="CN65" s="108">
        <f>$B$13*IF($G$5="撼天",1.05,1)+IF(AND(VLOOKUP($E65,武器奇术!$A:$R,15,FALSE)="武器",VLOOKUP($E65,武器奇术!$A:$R,17,FALSE)="破竹"),$E$3,0)*(1+$E$15)</f>
        <v>452.55</v>
      </c>
      <c r="CO65" s="99">
        <f>(CN65+CP65)*IF(VLOOKUP($E65,武器奇术!$A:$Z,21,FALSE)=1,$G$15,0.5)</f>
        <v>679.35</v>
      </c>
      <c r="CP65" s="109">
        <f>MAX($C$13*IF($G$5="撼天",1.05,1)+IF(AND(VLOOKUP($E65,武器奇术!$A:$R,15,FALSE)="武器",VLOOKUP($E65,武器奇术!$A:$R,17,FALSE)="破竹"),$E$3*(1+$E$15),0),CN65)</f>
        <v>906.15</v>
      </c>
      <c r="CQ65" s="110">
        <f>IF(($D$13+IF(VLOOKUP($E65,武器奇术!$A:$R,17,FALSE)="破竹",$D$15,0)+IF(VLOOKUP($E65,武器奇术!$A:$R,18,FALSE)=1,4,0)+IF(VLOOKUP($E65,武器奇术!$A:$S,19,FALSE)=1,20,0)-VLOOKUP($F$7,目标属性!$A:$R,6,FALSE))&gt;0,($D$13+IF(VLOOKUP($E65,武器奇术!$A:$R,17,FALSE)="破竹",$D$15,0)+IF(VLOOKUP($E65,武器奇术!$A:$R,18,FALSE)=1,4,0)+IF(VLOOKUP($E65,武器奇术!$A:$S,19,FALSE)=1,20,0)-VLOOKUP($F$7,目标属性!$A:$R,6,FALSE))/200,($D$13+IF(VLOOKUP($E65,武器奇术!$A:$R,17,FALSE)="破竹",$D$15,0)+IF(VLOOKUP($E65,武器奇术!$A:$R,18,FALSE)=1,4,0)+IF(VLOOKUP($E65,武器奇术!$A:$S,19,FALSE)=1,20,0)-VLOOKUP($F$7,目标属性!$A:$R,6,FALSE))/100)</f>
        <v>0.025</v>
      </c>
      <c r="CR65" s="111">
        <f>$E$13+IF(VLOOKUP($E65,武器奇术!$A:$U,21,FALSE)=1,0,0.09)</f>
        <v>0.235</v>
      </c>
      <c r="CS65" s="109">
        <v>1</v>
      </c>
      <c r="CT65" s="112">
        <f>CN65*IF(VLOOKUP($E65,武器奇术!$A:$R,17,FALSE)="破竹",VLOOKUP($E65,武器奇术!$A:$R,4,FALSE),VLOOKUP($E65,武器奇术!$A:$R,2,FALSE))*(1+CQ65)*(1+CR65)*CS65</f>
        <v>0</v>
      </c>
      <c r="CU65" s="110">
        <f>(1-IF(VLOOKUP($E65,武器奇术!$A:$T,20,FALSE)=1,1,$N65))*(1-$M65)</f>
        <v>0.01072666</v>
      </c>
      <c r="CV65" s="112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10">
        <f t="shared" si="27"/>
        <v>0.8813852</v>
      </c>
      <c r="CX65" s="112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10">
        <f t="shared" si="28"/>
        <v>0.0986</v>
      </c>
      <c r="CZ65" s="112">
        <f>CO65*IF(VLOOKUP($E65,武器奇术!$A:$R,17,FALSE)="破竹",VLOOKUP($E65,武器奇术!$A:$R,4,FALSE),VLOOKUP($E65,武器奇术!$A:$R,2,FALSE))*(1+CQ65)*(1+CR65)*CS65</f>
        <v>0</v>
      </c>
      <c r="DA65" s="110">
        <f t="shared" si="29"/>
        <v>0.00928814000000003</v>
      </c>
      <c r="DB65" s="113">
        <f t="shared" si="30"/>
        <v>0</v>
      </c>
      <c r="DC65" s="108">
        <f t="shared" si="31"/>
        <v>69.3</v>
      </c>
      <c r="DD65" s="99">
        <f>(DC65+DE65)*IF(VLOOKUP($E65,武器奇术!$A:$Z,21,FALSE)=1,$G$15,0.5)</f>
        <v>69.3</v>
      </c>
      <c r="DE65" s="109">
        <f t="shared" si="32"/>
        <v>69.3</v>
      </c>
      <c r="DF65" s="110">
        <f>IF(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R,18,FALSE)=1,4,0)+IF(VLOOKUP($E65,武器奇术!$A:$S,19,FALSE)=1,20,0)-VLOOKUP($F$7,目标属性!$A:$R,6,FALSE))/100)</f>
        <v>0.025</v>
      </c>
      <c r="DG65" s="111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U,21,FALSE)=1,0,0.09)</f>
        <v>0.235</v>
      </c>
      <c r="DH65" s="109">
        <v>1</v>
      </c>
      <c r="DI65" s="112">
        <f>DC65*IF(VLOOKUP($E65,武器奇术!$A:$R,17,FALSE)="破竹",VLOOKUP($E65,武器奇术!$A:$R,4,FALSE),VLOOKUP($E65,武器奇术!$A:$R,2,FALSE))*(1+DF65)*(1+DG65)*DH65</f>
        <v>0</v>
      </c>
      <c r="DJ65" s="110">
        <f>(1-IF(VLOOKUP($E65,武器奇术!$A:$T,20,FALSE)=1,1,$N65))*(1-$M65)</f>
        <v>0.01072666</v>
      </c>
      <c r="DK65" s="112">
        <f>DD65*IF(VLOOKUP($E65,武器奇术!$A:$R,17,FALSE)="破竹",VLOOKUP($E65,武器奇术!$A:$R,4,FALSE),VLOOKUP($E65,武器奇术!$A:$R,2,FALSE))*(1+DF65)*(1+DG65)*DH65*(1+$E$16+VLOOKUP($E65,武器奇术!$A:$R,8,FALSE))</f>
        <v>0</v>
      </c>
      <c r="DL65" s="110">
        <f t="shared" si="33"/>
        <v>0.8813852</v>
      </c>
      <c r="DM65" s="112">
        <f>DE65*IF(VLOOKUP($E65,武器奇术!$A:$R,17,FALSE)="破竹",VLOOKUP($E65,武器奇术!$A:$R,4,FALSE),VLOOKUP($E65,武器奇术!$A:$R,2,FALSE))*(1+DF65)*(1+DG65)*DH65*(1+$E$17+VLOOKUP($E65,武器奇术!$A:$R,10,FALSE))</f>
        <v>0</v>
      </c>
      <c r="DN65" s="110">
        <f t="shared" si="34"/>
        <v>0.0986</v>
      </c>
      <c r="DO65" s="112">
        <f>DD65*IF(VLOOKUP($E65,武器奇术!$A:$R,17,FALSE)="破竹",VLOOKUP($E65,武器奇术!$A:$R,4,FALSE),VLOOKUP($E65,武器奇术!$A:$R,2,FALSE))*(1+DF65)*(1+DG65)*DH65</f>
        <v>0</v>
      </c>
      <c r="DP65" s="110">
        <f t="shared" si="35"/>
        <v>0.00928814000000003</v>
      </c>
      <c r="DQ65" s="113">
        <f t="shared" si="36"/>
        <v>0</v>
      </c>
    </row>
    <row r="66" customFormat="1" spans="1:121">
      <c r="A66" s="75"/>
      <c r="B66" s="75"/>
      <c r="C66" s="75"/>
      <c r="D66" s="75"/>
      <c r="E66" s="98" t="str">
        <f>期望!E66</f>
        <v>绳标Q</v>
      </c>
      <c r="F66" s="99">
        <f>期望!F66</f>
        <v>1</v>
      </c>
      <c r="G66" s="115"/>
      <c r="H66" s="100">
        <f>IF(VLOOKUP($E66,武器奇术!$A:$R,18,FALSE)="天工",AE66,(AE66+AT66+BI66+BX66+CM66+DB66+DQ66))*(1+J66)*F66*K66*(1+G66)</f>
        <v>25723.1754170719</v>
      </c>
      <c r="I66" s="101">
        <f t="shared" si="0"/>
        <v>0.00317585819015276</v>
      </c>
      <c r="J66" s="101">
        <f>$F$3+VLOOKUP($E66,武器奇术!$A:$R,12,FALSE)+VLOOKUP($E66,武器奇术!$A:$R,14,FALSE)*$G$3+$P66</f>
        <v>0.387</v>
      </c>
      <c r="K66" s="102">
        <f>VLOOKUP($E66,武器奇术!$A:$R,11,FALSE)</f>
        <v>1</v>
      </c>
      <c r="L66" s="117">
        <f>IF(VLOOKUP($E66,武器奇术!$A:$R,15,FALSE)="天工",0%,IF($C$17+VLOOKUP($E66,武器奇术!$A:$R,7,FALSE)&gt;80%,80%,$C$17+VLOOKUP($E66,武器奇术!$A:$R,7,FALSE))+IF($C$19&gt;20%,20%,$C$19))</f>
        <v>0.892</v>
      </c>
      <c r="M66" s="118">
        <f>IF(VLOOKUP($E66,武器奇术!$A:$R,15,FALSE)="天工",0%,IF($C$18+VLOOKUP($E66,武器奇术!$A:$R,9,FALSE)&gt;40%,40%,$C$18+VLOOKUP($E66,武器奇术!$A:$R,9,FALSE))+IF($C$20&gt;10%,10%,$C$20))</f>
        <v>0.0986</v>
      </c>
      <c r="N66" s="119">
        <f>IF(VLOOKUP($E66,武器奇术!$A:$R,15,FALSE)="天工",100%,MIN($C$16,1))</f>
        <v>0.9881</v>
      </c>
      <c r="O66" s="120" t="str">
        <f>VLOOKUP($E66,武器奇术!$A:$R,16,FALSE)</f>
        <v>绳标</v>
      </c>
      <c r="P66" s="121">
        <f t="shared" si="38"/>
        <v>0.084</v>
      </c>
      <c r="Q66" s="108">
        <f>$B$5*(1+VLOOKUP($E66,武器奇术!$A:$R,5,FALSE)+IF($G$5="飞隼",0.1,0)+IF($G$5="撼天",0.05,0))-$F$9+IF($I$5="√",160,0)</f>
        <v>1731.135</v>
      </c>
      <c r="R66" s="99">
        <f>IF(VLOOKUP($E66,武器奇术!$A:$Z,20,FALSE)=1,(S66-(Q66+S66)*0.5)*($G$15-0.5)*2+(Q66+S66)*0.5,(Q66+S66)*0.5)</f>
        <v>3256.775</v>
      </c>
      <c r="S66" s="109">
        <f>MAX($C$5,$B$5)*(1+VLOOKUP($E66,武器奇术!$A:$R,5,FALSE)+IF($G$5="飞隼",0.1,0)+IF($G$5="撼天",0.05,0))-$F$9+IF($I$5="√",320,0)</f>
        <v>4782.415</v>
      </c>
      <c r="T66" s="101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U66" s="111">
        <f>$E$5+IF(VLOOKUP($E66,武器奇术!$A:$U,21,FALSE)=1,0,0.09)</f>
        <v>0.115</v>
      </c>
      <c r="V66" s="109">
        <v>1</v>
      </c>
      <c r="W66" s="112">
        <f>Q66*VLOOKUP($E66,武器奇术!$A:$R,2,FALSE)*(1+T66)*(1+U66)*V66</f>
        <v>3975.72822791172</v>
      </c>
      <c r="X66" s="110">
        <f>(1-IF(VLOOKUP($E66,武器奇术!$A:$T,20,FALSE)=1,1,$N66))*(1-$M66)</f>
        <v>0.01072666</v>
      </c>
      <c r="Y66" s="112">
        <f>R66*VLOOKUP($E66,武器奇术!$A:$R,2,FALSE)*(1+T66)*(1+U66)*V66*(1+$E$16+VLOOKUP($E66,武器奇术!$A:$R,8,FALSE))</f>
        <v>12266.406589382</v>
      </c>
      <c r="Z66" s="110">
        <f t="shared" si="1"/>
        <v>0.8813852</v>
      </c>
      <c r="AA66" s="112">
        <f>S66*VLOOKUP($E66,武器奇术!$A:$R,2,FALSE)*(1+T66)*(1+U66)*V66*(1+$E$17+VLOOKUP($E66,武器奇术!$A:$R,10,FALSE))</f>
        <v>14827.4606675212</v>
      </c>
      <c r="AB66" s="110">
        <f t="shared" si="2"/>
        <v>0.0986</v>
      </c>
      <c r="AC66" s="112">
        <f>R66*VLOOKUP($E66,武器奇术!$A:$R,2,FALSE)*(1+T66)*(1+U66)*V66</f>
        <v>7479.5162130378</v>
      </c>
      <c r="AD66" s="110">
        <f t="shared" si="3"/>
        <v>0.00928814000000003</v>
      </c>
      <c r="AE66" s="113">
        <f t="shared" si="4"/>
        <v>12385.5339255535</v>
      </c>
      <c r="AF66" s="114">
        <f>VLOOKUP($E66,武器奇术!$A:$R,3,FALSE)*(1+IF(VLOOKUP($E66,武器奇术!$A:$R,15,FALSE)="武器",$E$15,0))</f>
        <v>595.4</v>
      </c>
      <c r="AG66" s="112">
        <f t="shared" si="5"/>
        <v>595.4</v>
      </c>
      <c r="AH66" s="112">
        <f>VLOOKUP($E66,武器奇术!$A:$R,3,FALSE)*(1+IF(VLOOKUP($E66,武器奇术!$A:$R,15,FALSE)="武器",$E$15,0))</f>
        <v>595.4</v>
      </c>
      <c r="AI66" s="101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0.242</v>
      </c>
      <c r="AJ66" s="111">
        <f>$E$5+IF(VLOOKUP($E66,武器奇术!$A:$U,21,FALSE)=1,0,0.09)</f>
        <v>0.115</v>
      </c>
      <c r="AK66" s="109">
        <v>1</v>
      </c>
      <c r="AL66" s="112">
        <f t="shared" si="6"/>
        <v>824.527782</v>
      </c>
      <c r="AM66" s="110">
        <f>(1-IF(VLOOKUP($E66,武器奇术!$A:$T,20,FALSE)=1,1,$N66))*(1-$M66)</f>
        <v>0.01072666</v>
      </c>
      <c r="AN66" s="112">
        <f>AG66*(1+AI66)*(1+AJ66)*AK66*(1+$E$16+VLOOKUP($E66,武器奇术!$A:$R,8,FALSE))</f>
        <v>1352.22556248</v>
      </c>
      <c r="AO66" s="110">
        <f t="shared" si="7"/>
        <v>0.8813852</v>
      </c>
      <c r="AP66" s="112">
        <f>AH66*(1+AI66)*(1+AJ66)*AK66*(1+$E$17+VLOOKUP($E66,武器奇术!$A:$R,10,FALSE))</f>
        <v>1113.1125057</v>
      </c>
      <c r="AQ66" s="110">
        <f t="shared" si="8"/>
        <v>0.0986</v>
      </c>
      <c r="AR66" s="112">
        <f t="shared" si="9"/>
        <v>824.527782</v>
      </c>
      <c r="AS66" s="110">
        <f t="shared" si="10"/>
        <v>0.00928814000000003</v>
      </c>
      <c r="AT66" s="113">
        <f t="shared" si="11"/>
        <v>1318.08724954474</v>
      </c>
      <c r="AU66" s="108">
        <f>$B$7*IF($G$5="撼天",1.05,1)+IF(AND(VLOOKUP($E66,武器奇术!$A:$R,15,FALSE)="武器",VLOOKUP($E66,武器奇术!$A:$R,17,FALSE)="鸣金"),$E$3,0)*(1+$E$15)</f>
        <v>0</v>
      </c>
      <c r="AV66" s="99">
        <f>(AU66+AW66)*IF(VLOOKUP($E66,武器奇术!$A:$Z,21,FALSE)=1,$G$15,0.5)</f>
        <v>0</v>
      </c>
      <c r="AW66" s="109">
        <f>MAX($C$7*IF($G$5="撼天",1.05,1)+IF(AND(VLOOKUP($E66,武器奇术!$A:$R,15,FALSE)="武器",VLOOKUP($E66,武器奇术!$A:$R,17,FALSE)="鸣金"),$E$3*(1+$E$15),0),AU66)</f>
        <v>0</v>
      </c>
      <c r="AX66" s="110">
        <f>IF(($D$7+IF(VLOOKUP($E66,武器奇术!$A:$R,17,FALSE)="鸣金",$D$15,0)+IF(VLOOKUP($E66,武器奇术!$A:$R,18,FALSE)=1,4,0)+IF(VLOOKUP($E66,武器奇术!$A:$S,19,FALSE)=1,20,0)-VLOOKUP($F$7,目标属性!$A:$R,6,FALSE))&gt;0,($D$7+IF(VLOOKUP($E66,武器奇术!$A:$R,17,FALSE)="鸣金",$D$15,0)+IF(VLOOKUP($E66,武器奇术!$A:$R,18,FALSE)=1,4,0)+IF(VLOOKUP($E66,武器奇术!$A:$S,19,FALSE)=1,20,0)-VLOOKUP($F$7,目标属性!$A:$R,6,FALSE))/200,($D$7+IF(VLOOKUP($E66,武器奇术!$A:$R,17,FALSE)="鸣金",$D$15,0)+IF(VLOOKUP($E66,武器奇术!$A:$R,18,FALSE)=1,4,0)+IF(VLOOKUP($E66,武器奇术!$A:$S,19,FALSE)=1,20,0)-VLOOKUP($F$7,目标属性!$A:$R,6,FALSE))/100)</f>
        <v>-0.24</v>
      </c>
      <c r="AY66" s="111">
        <f t="shared" si="12"/>
        <v>0</v>
      </c>
      <c r="AZ66" s="109">
        <v>1</v>
      </c>
      <c r="BA66" s="112">
        <f>AU66*IF(VLOOKUP($E66,武器奇术!$A:$R,17,FALSE)="鸣金",VLOOKUP($E66,武器奇术!$A:$R,4,FALSE),VLOOKUP($E66,武器奇术!$A:$R,2,FALSE))*(1+AX66)*(1+AY66)*AZ66</f>
        <v>0</v>
      </c>
      <c r="BB66" s="110">
        <f>(1-IF(VLOOKUP($E66,武器奇术!$A:$T,20,FALSE)=1,1,$N66))*(1-$M66)</f>
        <v>0.01072666</v>
      </c>
      <c r="BC66" s="112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10">
        <f t="shared" si="13"/>
        <v>0.8813852</v>
      </c>
      <c r="BE66" s="112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10">
        <f t="shared" si="14"/>
        <v>0.0986</v>
      </c>
      <c r="BG66" s="112">
        <f>AV66*IF(VLOOKUP($E66,武器奇术!$A:$R,17,FALSE)="鸣金",VLOOKUP($E66,武器奇术!$A:$R,4,FALSE),VLOOKUP($E66,武器奇术!$A:$R,2,FALSE))*(1+AX66)*(1+AY66)*AZ66</f>
        <v>0</v>
      </c>
      <c r="BH66" s="110">
        <f t="shared" si="15"/>
        <v>0.00928814000000003</v>
      </c>
      <c r="BI66" s="113">
        <f t="shared" si="16"/>
        <v>0</v>
      </c>
      <c r="BJ66" s="108">
        <f>$B$9*IF($G$5="撼天",1.05,1)+IF(AND(VLOOKUP($E66,武器奇术!$A:$R,15,FALSE)="武器",VLOOKUP($E66,武器奇术!$A:$R,17,FALSE)="裂石"),$E$3,0)*(1+$E$15)</f>
        <v>0</v>
      </c>
      <c r="BK66" s="99">
        <f>(BJ66+BL66)*IF(VLOOKUP($E66,武器奇术!$A:$Z,21,FALSE)=1,$G$15,0.5)</f>
        <v>0</v>
      </c>
      <c r="BL66" s="109">
        <f>MAX($C$9*IF($G$5="撼天",1.05,1)+IF(AND(VLOOKUP($E66,武器奇术!$A:$R,15,FALSE)="武器",VLOOKUP($E66,武器奇术!$A:$R,17,FALSE)="裂石"),$E$3*(1+$E$15),0),BJ66)</f>
        <v>0</v>
      </c>
      <c r="BM66" s="110">
        <f>IF(($D$9+IF(VLOOKUP($E66,武器奇术!$A:$R,17,FALSE)="裂石",$D$15,0)+IF(VLOOKUP($E66,武器奇术!$A:$R,18,FALSE)=1,4,0)+IF(VLOOKUP($E66,武器奇术!$A:$S,19,FALSE)=1,20,0)-VLOOKUP($F$7,目标属性!$A:$R,6,FALSE))&gt;0,($D$9+IF(VLOOKUP($E66,武器奇术!$A:$R,17,FALSE)="裂石",$D$15,0)+IF(VLOOKUP($E66,武器奇术!$A:$R,18,FALSE)=1,4,0)+IF(VLOOKUP($E66,武器奇术!$A:$S,19,FALSE)=1,20,0)-VLOOKUP($F$7,目标属性!$A:$R,6,FALSE))/200,($D$9+IF(VLOOKUP($E66,武器奇术!$A:$R,17,FALSE)="裂石",$D$15,0)+IF(VLOOKUP($E66,武器奇术!$A:$R,18,FALSE)=1,4,0)+IF(VLOOKUP($E66,武器奇术!$A:$S,19,FALSE)=1,20,0)-VLOOKUP($F$7,目标属性!$A:$R,6,FALSE))/100)</f>
        <v>-0.24</v>
      </c>
      <c r="BN66" s="111">
        <f t="shared" si="17"/>
        <v>0</v>
      </c>
      <c r="BO66" s="109">
        <v>1</v>
      </c>
      <c r="BP66" s="112">
        <f>BJ66*IF(VLOOKUP($E66,武器奇术!$A:$R,17,FALSE)="裂石",VLOOKUP($E66,武器奇术!$A:$R,4,FALSE),VLOOKUP($E66,武器奇术!$A:$R,2,FALSE))*(1+BM66)*(1+BN66)*BO66</f>
        <v>0</v>
      </c>
      <c r="BQ66" s="110">
        <f>(1-IF(VLOOKUP($E66,武器奇术!$A:$T,20,FALSE)=1,1,$N66))*(1-$M66)</f>
        <v>0.01072666</v>
      </c>
      <c r="BR66" s="112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10">
        <f t="shared" si="18"/>
        <v>0.8813852</v>
      </c>
      <c r="BT66" s="112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10">
        <f t="shared" si="19"/>
        <v>0.0986</v>
      </c>
      <c r="BV66" s="112">
        <f>BK66*IF(VLOOKUP($E66,武器奇术!$A:$R,17,FALSE)="裂石",VLOOKUP($E66,武器奇术!$A:$R,4,FALSE),VLOOKUP($E66,武器奇术!$A:$R,2,FALSE))*(1+BM66)*(1+BN66)*BO66</f>
        <v>0</v>
      </c>
      <c r="BW66" s="110">
        <f t="shared" si="20"/>
        <v>0.00928814000000003</v>
      </c>
      <c r="BX66" s="113">
        <f t="shared" si="21"/>
        <v>0</v>
      </c>
      <c r="BY66" s="108">
        <f>$B$11*IF($G$5="撼天",1.05,1)+IF(AND(VLOOKUP($E66,武器奇术!$A:$R,15,FALSE)="武器",VLOOKUP($E66,武器奇术!$A:$R,17,FALSE)="牵丝"),$E$3,0)*(1+$E$15)</f>
        <v>0</v>
      </c>
      <c r="BZ66" s="99">
        <f>(BY66+CA66)*IF(VLOOKUP($E66,武器奇术!$A:$Z,21,FALSE)=1,$G$15,0.5)</f>
        <v>0</v>
      </c>
      <c r="CA66" s="109">
        <f>MAX($C$11*IF($G$5="撼天",1.05,1)+IF(AND(VLOOKUP($E66,武器奇术!$A:$R,15,FALSE)="武器",VLOOKUP($E66,武器奇术!$A:$R,17,FALSE)="牵丝"),$E$3*(1+$E$15),0),BY66)</f>
        <v>0</v>
      </c>
      <c r="CB66" s="110">
        <f>IF(($D$11+IF(VLOOKUP($E66,武器奇术!$A:$R,17,FALSE)="牵丝",$D$15,0)+IF(VLOOKUP($E66,武器奇术!$A:$R,18,FALSE)=1,4,0)+IF(VLOOKUP($E66,武器奇术!$A:$S,19,FALSE)=1,20,0)-VLOOKUP($F$7,目标属性!$A:$R,6,FALSE))&gt;0,($D$11+IF(VLOOKUP($E66,武器奇术!$A:$R,17,FALSE)="牵丝",$D$15,0)+IF(VLOOKUP($E66,武器奇术!$A:$R,18,FALSE)=1,4,0)+IF(VLOOKUP($E66,武器奇术!$A:$S,19,FALSE)=1,20,0)-VLOOKUP($F$7,目标属性!$A:$R,6,FALSE))/200,($D$11+IF(VLOOKUP($E66,武器奇术!$A:$R,17,FALSE)="牵丝",$D$15,0)+IF(VLOOKUP($E66,武器奇术!$A:$R,18,FALSE)=1,4,0)+IF(VLOOKUP($E66,武器奇术!$A:$S,19,FALSE)=1,20,0)-VLOOKUP($F$7,目标属性!$A:$R,6,FALSE))/100)</f>
        <v>-0.24</v>
      </c>
      <c r="CC66" s="111">
        <f t="shared" si="22"/>
        <v>0</v>
      </c>
      <c r="CD66" s="109">
        <v>1</v>
      </c>
      <c r="CE66" s="112">
        <f>BY66*IF(VLOOKUP($E66,武器奇术!$A:$R,17,FALSE)="牵丝",VLOOKUP($E66,武器奇术!$A:$R,4,FALSE),VLOOKUP($E66,武器奇术!$A:$R,2,FALSE))*(1+CB66)*(1+CC66)*CD66</f>
        <v>0</v>
      </c>
      <c r="CF66" s="110">
        <f>(1-IF(VLOOKUP($E66,武器奇术!$A:$T,20,FALSE)=1,1,$N66))*(1-$M66)</f>
        <v>0.01072666</v>
      </c>
      <c r="CG66" s="112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110">
        <f t="shared" si="23"/>
        <v>0.8813852</v>
      </c>
      <c r="CI66" s="112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110">
        <f t="shared" si="24"/>
        <v>0.0986</v>
      </c>
      <c r="CK66" s="112">
        <f>BZ66*IF(VLOOKUP($E66,武器奇术!$A:$R,17,FALSE)="牵丝",VLOOKUP($E66,武器奇术!$A:$R,4,FALSE),VLOOKUP($E66,武器奇术!$A:$R,2,FALSE))*(1+CB66)*(1+CC66)*CD66</f>
        <v>0</v>
      </c>
      <c r="CL66" s="110">
        <f t="shared" si="25"/>
        <v>0.00928814000000003</v>
      </c>
      <c r="CM66" s="113">
        <f t="shared" si="26"/>
        <v>0</v>
      </c>
      <c r="CN66" s="108">
        <f>$B$13*IF($G$5="撼天",1.05,1)+IF(AND(VLOOKUP($E66,武器奇术!$A:$R,15,FALSE)="武器",VLOOKUP($E66,武器奇术!$A:$R,17,FALSE)="破竹"),$E$3,0)*(1+$E$15)</f>
        <v>648.46</v>
      </c>
      <c r="CO66" s="99">
        <f>(CN66+CP66)*IF(VLOOKUP($E66,武器奇术!$A:$Z,21,FALSE)=1,$G$15,0.5)</f>
        <v>875.26</v>
      </c>
      <c r="CP66" s="109">
        <f>MAX($C$13*IF($G$5="撼天",1.05,1)+IF(AND(VLOOKUP($E66,武器奇术!$A:$R,15,FALSE)="武器",VLOOKUP($E66,武器奇术!$A:$R,17,FALSE)="破竹"),$E$3*(1+$E$15),0),CN66)</f>
        <v>1102.06</v>
      </c>
      <c r="CQ66" s="110">
        <f>IF(($D$13+IF(VLOOKUP($E66,武器奇术!$A:$R,17,FALSE)="破竹",$D$15,0)+IF(VLOOKUP($E66,武器奇术!$A:$R,18,FALSE)=1,4,0)+IF(VLOOKUP($E66,武器奇术!$A:$S,19,FALSE)=1,20,0)-VLOOKUP($F$7,目标属性!$A:$R,6,FALSE))&gt;0,($D$13+IF(VLOOKUP($E66,武器奇术!$A:$R,17,FALSE)="破竹",$D$15,0)+IF(VLOOKUP($E66,武器奇术!$A:$R,18,FALSE)=1,4,0)+IF(VLOOKUP($E66,武器奇术!$A:$S,19,FALSE)=1,20,0)-VLOOKUP($F$7,目标属性!$A:$R,6,FALSE))/200,($D$13+IF(VLOOKUP($E66,武器奇术!$A:$R,17,FALSE)="破竹",$D$15,0)+IF(VLOOKUP($E66,武器奇术!$A:$R,18,FALSE)=1,4,0)+IF(VLOOKUP($E66,武器奇术!$A:$S,19,FALSE)=1,20,0)-VLOOKUP($F$7,目标属性!$A:$R,6,FALSE))/100)</f>
        <v>0.025</v>
      </c>
      <c r="CR66" s="111">
        <f>$E$13+IF(VLOOKUP($E66,武器奇术!$A:$U,21,FALSE)=1,0,0.09)</f>
        <v>0.235</v>
      </c>
      <c r="CS66" s="109">
        <v>1</v>
      </c>
      <c r="CT66" s="112">
        <f>CN66*IF(VLOOKUP($E66,武器奇术!$A:$R,17,FALSE)="破竹",VLOOKUP($E66,武器奇术!$A:$R,4,FALSE),VLOOKUP($E66,武器奇术!$A:$R,2,FALSE))*(1+CQ66)*(1+CR66)*CS66</f>
        <v>2041.994476899</v>
      </c>
      <c r="CU66" s="110">
        <f>(1-IF(VLOOKUP($E66,武器奇术!$A:$T,20,FALSE)=1,1,$N66))*(1-$M66)</f>
        <v>0.01072666</v>
      </c>
      <c r="CV66" s="112">
        <f>CO66*IF(VLOOKUP($E66,武器奇术!$A:$R,17,FALSE)="破竹",VLOOKUP($E66,武器奇术!$A:$R,4,FALSE),VLOOKUP($E66,武器奇术!$A:$R,2,FALSE))*(1+CQ66)*(1+CR66)*CS66*(1+$E$16+VLOOKUP($E66,武器奇术!$A:$R,8,FALSE))</f>
        <v>4520.14431236316</v>
      </c>
      <c r="CW66" s="110">
        <f t="shared" si="27"/>
        <v>0.8813852</v>
      </c>
      <c r="CX66" s="112">
        <f>CP66*IF(VLOOKUP($E66,武器奇术!$A:$R,17,FALSE)="破竹",VLOOKUP($E66,武器奇术!$A:$R,4,FALSE),VLOOKUP($E66,武器奇术!$A:$R,2,FALSE))*(1+CQ66)*(1+CR66)*CS66*(1+$E$17+VLOOKUP($E66,武器奇术!$A:$R,10,FALSE))</f>
        <v>4685.00845824765</v>
      </c>
      <c r="CY66" s="110">
        <f t="shared" si="28"/>
        <v>0.0986</v>
      </c>
      <c r="CZ66" s="112">
        <f>CO66*IF(VLOOKUP($E66,武器奇术!$A:$R,17,FALSE)="破竹",VLOOKUP($E66,武器奇术!$A:$R,4,FALSE),VLOOKUP($E66,武器奇术!$A:$R,2,FALSE))*(1+CQ66)*(1+CR66)*CS66</f>
        <v>2756.185556319</v>
      </c>
      <c r="DA66" s="110">
        <f t="shared" si="29"/>
        <v>0.00928814000000003</v>
      </c>
      <c r="DB66" s="113">
        <f t="shared" si="30"/>
        <v>4493.43375055293</v>
      </c>
      <c r="DC66" s="108">
        <f t="shared" si="31"/>
        <v>69.3</v>
      </c>
      <c r="DD66" s="99">
        <f>(DC66+DE66)*IF(VLOOKUP($E66,武器奇术!$A:$Z,21,FALSE)=1,$G$15,0.5)</f>
        <v>69.3</v>
      </c>
      <c r="DE66" s="109">
        <f t="shared" si="32"/>
        <v>69.3</v>
      </c>
      <c r="DF66" s="110">
        <f>IF(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R,18,FALSE)=1,4,0)+IF(VLOOKUP($E66,武器奇术!$A:$S,19,FALSE)=1,20,0)-VLOOKUP($F$7,目标属性!$A:$R,6,FALSE))/100)</f>
        <v>0.025</v>
      </c>
      <c r="DG66" s="111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U,21,FALSE)=1,0,0.09)</f>
        <v>0.235</v>
      </c>
      <c r="DH66" s="109">
        <v>1</v>
      </c>
      <c r="DI66" s="112">
        <f>DC66*IF(VLOOKUP($E66,武器奇术!$A:$R,17,FALSE)="破竹",VLOOKUP($E66,武器奇术!$A:$R,4,FALSE),VLOOKUP($E66,武器奇术!$A:$R,2,FALSE))*(1+DF66)*(1+DG66)*DH66</f>
        <v>218.225052045</v>
      </c>
      <c r="DJ66" s="110">
        <f>(1-IF(VLOOKUP($E66,武器奇术!$A:$T,20,FALSE)=1,1,$N66))*(1-$M66)</f>
        <v>0.01072666</v>
      </c>
      <c r="DK66" s="112">
        <f>DD66*IF(VLOOKUP($E66,武器奇术!$A:$R,17,FALSE)="破竹",VLOOKUP($E66,武器奇术!$A:$R,4,FALSE),VLOOKUP($E66,武器奇术!$A:$R,2,FALSE))*(1+DF66)*(1+DG66)*DH66*(1+$E$16+VLOOKUP($E66,武器奇术!$A:$R,8,FALSE))</f>
        <v>357.8890853538</v>
      </c>
      <c r="DL66" s="110">
        <f t="shared" si="33"/>
        <v>0.8813852</v>
      </c>
      <c r="DM66" s="112">
        <f>DE66*IF(VLOOKUP($E66,武器奇术!$A:$R,17,FALSE)="破竹",VLOOKUP($E66,武器奇术!$A:$R,4,FALSE),VLOOKUP($E66,武器奇术!$A:$R,2,FALSE))*(1+DF66)*(1+DG66)*DH66*(1+$E$17+VLOOKUP($E66,武器奇术!$A:$R,10,FALSE))</f>
        <v>294.60382026075</v>
      </c>
      <c r="DN66" s="110">
        <f t="shared" si="34"/>
        <v>0.0986</v>
      </c>
      <c r="DO66" s="112">
        <f>DD66*IF(VLOOKUP($E66,武器奇术!$A:$R,17,FALSE)="破竹",VLOOKUP($E66,武器奇术!$A:$R,4,FALSE),VLOOKUP($E66,武器奇术!$A:$R,2,FALSE))*(1+DF66)*(1+DG66)*DH66</f>
        <v>218.225052045</v>
      </c>
      <c r="DP66" s="110">
        <f t="shared" si="35"/>
        <v>0.00928814000000003</v>
      </c>
      <c r="DQ66" s="113">
        <f t="shared" si="36"/>
        <v>348.853810521756</v>
      </c>
    </row>
    <row r="67" customFormat="1" spans="1:121">
      <c r="A67" s="75"/>
      <c r="B67" s="75"/>
      <c r="C67" s="148"/>
      <c r="D67" s="75"/>
      <c r="E67" s="98" t="str">
        <f>期望!E67</f>
        <v>鹰隼追击(绳标)</v>
      </c>
      <c r="F67" s="99">
        <f>期望!F67</f>
        <v>1</v>
      </c>
      <c r="G67" s="115"/>
      <c r="H67" s="100">
        <f>IF(VLOOKUP($E67,武器奇术!$A:$R,18,FALSE)="天工",AE67,(AE67+AT67+BI67+BX67+CM67+DB67+DQ67))*(1+J67)*F67*K67*(1+G67)</f>
        <v>45095.3946765722</v>
      </c>
      <c r="I67" s="101">
        <f t="shared" si="0"/>
        <v>0.00556760882743556</v>
      </c>
      <c r="J67" s="101">
        <f>$F$3+VLOOKUP($E67,武器奇术!$A:$R,12,FALSE)+VLOOKUP($E67,武器奇术!$A:$R,14,FALSE)*$G$3+$P67</f>
        <v>0.687</v>
      </c>
      <c r="K67" s="102">
        <f>VLOOKUP($E67,武器奇术!$A:$R,11,FALSE)</f>
        <v>1</v>
      </c>
      <c r="L67" s="117">
        <f>IF(VLOOKUP($E67,武器奇术!$A:$R,15,FALSE)="天工",0%,IF($C$17+VLOOKUP($E67,武器奇术!$A:$R,7,FALSE)&gt;80%,80%,$C$17+VLOOKUP($E67,武器奇术!$A:$R,7,FALSE))+IF($C$19&gt;20%,20%,$C$19))</f>
        <v>0.892</v>
      </c>
      <c r="M67" s="118">
        <f>IF(VLOOKUP($E67,武器奇术!$A:$R,15,FALSE)="天工",0%,IF($C$18+VLOOKUP($E67,武器奇术!$A:$R,9,FALSE)&gt;40%,40%,$C$18+VLOOKUP($E67,武器奇术!$A:$R,9,FALSE))+IF($C$20&gt;10%,10%,$C$20))</f>
        <v>0.0986</v>
      </c>
      <c r="N67" s="119">
        <f>IF(VLOOKUP($E67,武器奇术!$A:$R,15,FALSE)="天工",100%,MIN($C$16,1))</f>
        <v>0.9881</v>
      </c>
      <c r="O67" s="120" t="str">
        <f>VLOOKUP($E67,武器奇术!$A:$R,16,FALSE)</f>
        <v>绳标</v>
      </c>
      <c r="P67" s="121">
        <f t="shared" si="38"/>
        <v>0.084</v>
      </c>
      <c r="Q67" s="108">
        <f>$B$5*(1+VLOOKUP($E67,武器奇术!$A:$R,5,FALSE)+IF($G$5="飞隼",0.1,0)+IF($G$5="撼天",0.05,0))-$F$9+IF($I$5="√",160,0)</f>
        <v>1731.135</v>
      </c>
      <c r="R67" s="99">
        <f>IF(VLOOKUP($E67,武器奇术!$A:$Z,20,FALSE)=1,(S67-(Q67+S67)*0.5)*($G$15-0.5)*2+(Q67+S67)*0.5,(Q67+S67)*0.5)</f>
        <v>3256.775</v>
      </c>
      <c r="S67" s="109">
        <f>MAX($C$5,$B$5)*(1+VLOOKUP($E67,武器奇术!$A:$R,5,FALSE)+IF($G$5="飞隼",0.1,0)+IF($G$5="撼天",0.05,0))-$F$9+IF($I$5="√",320,0)</f>
        <v>4782.415</v>
      </c>
      <c r="T67" s="101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U67" s="111">
        <f>$E$5+IF(VLOOKUP($E67,武器奇术!$A:$U,21,FALSE)=1,0,0.09)</f>
        <v>0.115</v>
      </c>
      <c r="V67" s="109">
        <v>1</v>
      </c>
      <c r="W67" s="112">
        <f>Q67*VLOOKUP($E67,武器奇术!$A:$R,2,FALSE)*(1+T67)*(1+U67)*V67</f>
        <v>5595.154346628</v>
      </c>
      <c r="X67" s="110">
        <f>(1-IF(VLOOKUP($E67,武器奇术!$A:$T,20,FALSE)=1,1,$N67))*(1-$M67)</f>
        <v>0.01072666</v>
      </c>
      <c r="Y67" s="112">
        <f>R67*VLOOKUP($E67,武器奇术!$A:$R,2,FALSE)*(1+T67)*(1+U67)*V67*(1+$E$16+VLOOKUP($E67,武器奇术!$A:$R,8,FALSE))</f>
        <v>20420.6997528468</v>
      </c>
      <c r="Z67" s="110">
        <f t="shared" si="1"/>
        <v>0.8813852</v>
      </c>
      <c r="AA67" s="112">
        <f>S67*VLOOKUP($E67,武器奇术!$A:$R,2,FALSE)*(1+T67)*(1+U67)*V67*(1+$E$17+VLOOKUP($E67,武器奇术!$A:$R,10,FALSE))</f>
        <v>20867.1031437462</v>
      </c>
      <c r="AB67" s="110">
        <f t="shared" si="2"/>
        <v>0.0986</v>
      </c>
      <c r="AC67" s="112">
        <f>R67*VLOOKUP($E67,武器奇术!$A:$R,2,FALSE)*(1+T67)*(1+U67)*V67</f>
        <v>10526.13389322</v>
      </c>
      <c r="AD67" s="110">
        <f t="shared" si="3"/>
        <v>0.00928814000000003</v>
      </c>
      <c r="AE67" s="113">
        <f t="shared" si="4"/>
        <v>20213.784429359</v>
      </c>
      <c r="AF67" s="114">
        <f>VLOOKUP($E67,武器奇术!$A:$R,3,FALSE)*(1+IF(VLOOKUP($E67,武器奇术!$A:$R,15,FALSE)="武器",$E$15,0))</f>
        <v>0</v>
      </c>
      <c r="AG67" s="112">
        <f t="shared" si="5"/>
        <v>0</v>
      </c>
      <c r="AH67" s="112">
        <f>VLOOKUP($E67,武器奇术!$A:$R,3,FALSE)*(1+IF(VLOOKUP($E67,武器奇术!$A:$R,15,FALSE)="武器",$E$15,0))</f>
        <v>0</v>
      </c>
      <c r="AI67" s="101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0.342</v>
      </c>
      <c r="AJ67" s="111">
        <f>$E$5+IF(VLOOKUP($E67,武器奇术!$A:$U,21,FALSE)=1,0,0.09)</f>
        <v>0.115</v>
      </c>
      <c r="AK67" s="109">
        <v>1</v>
      </c>
      <c r="AL67" s="112">
        <f t="shared" si="6"/>
        <v>0</v>
      </c>
      <c r="AM67" s="110">
        <f>(1-IF(VLOOKUP($E67,武器奇术!$A:$T,20,FALSE)=1,1,$N67))*(1-$M67)</f>
        <v>0.01072666</v>
      </c>
      <c r="AN67" s="112">
        <f>AG67*(1+AI67)*(1+AJ67)*AK67*(1+$E$16+VLOOKUP($E67,武器奇术!$A:$R,8,FALSE))</f>
        <v>0</v>
      </c>
      <c r="AO67" s="110">
        <f t="shared" si="7"/>
        <v>0.8813852</v>
      </c>
      <c r="AP67" s="112">
        <f>AH67*(1+AI67)*(1+AJ67)*AK67*(1+$E$17+VLOOKUP($E67,武器奇术!$A:$R,10,FALSE))</f>
        <v>0</v>
      </c>
      <c r="AQ67" s="110">
        <f t="shared" si="8"/>
        <v>0.0986</v>
      </c>
      <c r="AR67" s="112">
        <f t="shared" si="9"/>
        <v>0</v>
      </c>
      <c r="AS67" s="110">
        <f t="shared" si="10"/>
        <v>0.00928814000000003</v>
      </c>
      <c r="AT67" s="113">
        <f t="shared" si="11"/>
        <v>0</v>
      </c>
      <c r="AU67" s="108">
        <f>$B$7*IF($G$5="撼天",1.05,1)+IF(AND(VLOOKUP($E67,武器奇术!$A:$R,15,FALSE)="武器",VLOOKUP($E67,武器奇术!$A:$R,17,FALSE)="鸣金"),$E$3,0)*(1+$E$15)</f>
        <v>0</v>
      </c>
      <c r="AV67" s="99">
        <f>(AU67+AW67)*IF(VLOOKUP($E67,武器奇术!$A:$Z,21,FALSE)=1,$G$15,0.5)</f>
        <v>0</v>
      </c>
      <c r="AW67" s="109">
        <f>MAX($C$7*IF($G$5="撼天",1.05,1)+IF(AND(VLOOKUP($E67,武器奇术!$A:$R,15,FALSE)="武器",VLOOKUP($E67,武器奇术!$A:$R,17,FALSE)="鸣金"),$E$3*(1+$E$15),0),AU67)</f>
        <v>0</v>
      </c>
      <c r="AX67" s="110">
        <f>IF(($D$7+IF(VLOOKUP($E67,武器奇术!$A:$R,17,FALSE)="鸣金",$D$15,0)+IF(VLOOKUP($E67,武器奇术!$A:$R,18,FALSE)=1,4,0)+IF(VLOOKUP($E67,武器奇术!$A:$S,19,FALSE)=1,20,0)-VLOOKUP($F$7,目标属性!$A:$R,6,FALSE))&gt;0,($D$7+IF(VLOOKUP($E67,武器奇术!$A:$R,17,FALSE)="鸣金",$D$15,0)+IF(VLOOKUP($E67,武器奇术!$A:$R,18,FALSE)=1,4,0)+IF(VLOOKUP($E67,武器奇术!$A:$S,19,FALSE)=1,20,0)-VLOOKUP($F$7,目标属性!$A:$R,6,FALSE))/200,($D$7+IF(VLOOKUP($E67,武器奇术!$A:$R,17,FALSE)="鸣金",$D$15,0)+IF(VLOOKUP($E67,武器奇术!$A:$R,18,FALSE)=1,4,0)+IF(VLOOKUP($E67,武器奇术!$A:$S,19,FALSE)=1,20,0)-VLOOKUP($F$7,目标属性!$A:$R,6,FALSE))/100)</f>
        <v>0</v>
      </c>
      <c r="AY67" s="111">
        <f t="shared" si="12"/>
        <v>0</v>
      </c>
      <c r="AZ67" s="109">
        <v>1</v>
      </c>
      <c r="BA67" s="112">
        <f>AU67*IF(VLOOKUP($E67,武器奇术!$A:$R,17,FALSE)="鸣金",VLOOKUP($E67,武器奇术!$A:$R,4,FALSE),VLOOKUP($E67,武器奇术!$A:$R,2,FALSE))*(1+AX67)*(1+AY67)*AZ67</f>
        <v>0</v>
      </c>
      <c r="BB67" s="110">
        <f>(1-IF(VLOOKUP($E67,武器奇术!$A:$T,20,FALSE)=1,1,$N67))*(1-$M67)</f>
        <v>0.01072666</v>
      </c>
      <c r="BC67" s="112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10">
        <f t="shared" si="13"/>
        <v>0.8813852</v>
      </c>
      <c r="BE67" s="112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10">
        <f t="shared" si="14"/>
        <v>0.0986</v>
      </c>
      <c r="BG67" s="112">
        <f>AV67*IF(VLOOKUP($E67,武器奇术!$A:$R,17,FALSE)="鸣金",VLOOKUP($E67,武器奇术!$A:$R,4,FALSE),VLOOKUP($E67,武器奇术!$A:$R,2,FALSE))*(1+AX67)*(1+AY67)*AZ67</f>
        <v>0</v>
      </c>
      <c r="BH67" s="110">
        <f t="shared" si="15"/>
        <v>0.00928814000000003</v>
      </c>
      <c r="BI67" s="113">
        <f t="shared" si="16"/>
        <v>0</v>
      </c>
      <c r="BJ67" s="108">
        <f>$B$9*IF($G$5="撼天",1.05,1)+IF(AND(VLOOKUP($E67,武器奇术!$A:$R,15,FALSE)="武器",VLOOKUP($E67,武器奇术!$A:$R,17,FALSE)="裂石"),$E$3,0)*(1+$E$15)</f>
        <v>0</v>
      </c>
      <c r="BK67" s="99">
        <f>(BJ67+BL67)*IF(VLOOKUP($E67,武器奇术!$A:$Z,21,FALSE)=1,$G$15,0.5)</f>
        <v>0</v>
      </c>
      <c r="BL67" s="109">
        <f>MAX($C$9*IF($G$5="撼天",1.05,1)+IF(AND(VLOOKUP($E67,武器奇术!$A:$R,15,FALSE)="武器",VLOOKUP($E67,武器奇术!$A:$R,17,FALSE)="裂石"),$E$3*(1+$E$15),0),BJ67)</f>
        <v>0</v>
      </c>
      <c r="BM67" s="110">
        <f>IF(($D$9+IF(VLOOKUP($E67,武器奇术!$A:$R,17,FALSE)="裂石",$D$15,0)+IF(VLOOKUP($E67,武器奇术!$A:$R,18,FALSE)=1,4,0)+IF(VLOOKUP($E67,武器奇术!$A:$S,19,FALSE)=1,20,0)-VLOOKUP($F$7,目标属性!$A:$R,6,FALSE))&gt;0,($D$9+IF(VLOOKUP($E67,武器奇术!$A:$R,17,FALSE)="裂石",$D$15,0)+IF(VLOOKUP($E67,武器奇术!$A:$R,18,FALSE)=1,4,0)+IF(VLOOKUP($E67,武器奇术!$A:$S,19,FALSE)=1,20,0)-VLOOKUP($F$7,目标属性!$A:$R,6,FALSE))/200,($D$9+IF(VLOOKUP($E67,武器奇术!$A:$R,17,FALSE)="裂石",$D$15,0)+IF(VLOOKUP($E67,武器奇术!$A:$R,18,FALSE)=1,4,0)+IF(VLOOKUP($E67,武器奇术!$A:$S,19,FALSE)=1,20,0)-VLOOKUP($F$7,目标属性!$A:$R,6,FALSE))/100)</f>
        <v>0</v>
      </c>
      <c r="BN67" s="111">
        <f t="shared" si="17"/>
        <v>0</v>
      </c>
      <c r="BO67" s="109">
        <v>1</v>
      </c>
      <c r="BP67" s="112">
        <f>BJ67*IF(VLOOKUP($E67,武器奇术!$A:$R,17,FALSE)="裂石",VLOOKUP($E67,武器奇术!$A:$R,4,FALSE),VLOOKUP($E67,武器奇术!$A:$R,2,FALSE))*(1+BM67)*(1+BN67)*BO67</f>
        <v>0</v>
      </c>
      <c r="BQ67" s="110">
        <f>(1-IF(VLOOKUP($E67,武器奇术!$A:$T,20,FALSE)=1,1,$N67))*(1-$M67)</f>
        <v>0.01072666</v>
      </c>
      <c r="BR67" s="112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10">
        <f t="shared" si="18"/>
        <v>0.8813852</v>
      </c>
      <c r="BT67" s="112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10">
        <f t="shared" si="19"/>
        <v>0.0986</v>
      </c>
      <c r="BV67" s="112">
        <f>BK67*IF(VLOOKUP($E67,武器奇术!$A:$R,17,FALSE)="裂石",VLOOKUP($E67,武器奇术!$A:$R,4,FALSE),VLOOKUP($E67,武器奇术!$A:$R,2,FALSE))*(1+BM67)*(1+BN67)*BO67</f>
        <v>0</v>
      </c>
      <c r="BW67" s="110">
        <f t="shared" si="20"/>
        <v>0.00928814000000003</v>
      </c>
      <c r="BX67" s="113">
        <f t="shared" si="21"/>
        <v>0</v>
      </c>
      <c r="BY67" s="108">
        <f>$B$11*IF($G$5="撼天",1.05,1)+IF(AND(VLOOKUP($E67,武器奇术!$A:$R,15,FALSE)="武器",VLOOKUP($E67,武器奇术!$A:$R,17,FALSE)="牵丝"),$E$3,0)*(1+$E$15)</f>
        <v>0</v>
      </c>
      <c r="BZ67" s="99">
        <f>(BY67+CA67)*IF(VLOOKUP($E67,武器奇术!$A:$Z,21,FALSE)=1,$G$15,0.5)</f>
        <v>0</v>
      </c>
      <c r="CA67" s="109">
        <f>MAX($C$11*IF($G$5="撼天",1.05,1)+IF(AND(VLOOKUP($E67,武器奇术!$A:$R,15,FALSE)="武器",VLOOKUP($E67,武器奇术!$A:$R,17,FALSE)="牵丝"),$E$3*(1+$E$15),0),BY67)</f>
        <v>0</v>
      </c>
      <c r="CB67" s="110">
        <f>IF(($D$11+IF(VLOOKUP($E67,武器奇术!$A:$R,17,FALSE)="牵丝",$D$15,0)+IF(VLOOKUP($E67,武器奇术!$A:$R,18,FALSE)=1,4,0)+IF(VLOOKUP($E67,武器奇术!$A:$S,19,FALSE)=1,20,0)-VLOOKUP($F$7,目标属性!$A:$R,6,FALSE))&gt;0,($D$11+IF(VLOOKUP($E67,武器奇术!$A:$R,17,FALSE)="牵丝",$D$15,0)+IF(VLOOKUP($E67,武器奇术!$A:$R,18,FALSE)=1,4,0)+IF(VLOOKUP($E67,武器奇术!$A:$S,19,FALSE)=1,20,0)-VLOOKUP($F$7,目标属性!$A:$R,6,FALSE))/200,($D$11+IF(VLOOKUP($E67,武器奇术!$A:$R,17,FALSE)="牵丝",$D$15,0)+IF(VLOOKUP($E67,武器奇术!$A:$R,18,FALSE)=1,4,0)+IF(VLOOKUP($E67,武器奇术!$A:$S,19,FALSE)=1,20,0)-VLOOKUP($F$7,目标属性!$A:$R,6,FALSE))/100)</f>
        <v>0</v>
      </c>
      <c r="CC67" s="111">
        <f t="shared" si="22"/>
        <v>0</v>
      </c>
      <c r="CD67" s="109">
        <v>1</v>
      </c>
      <c r="CE67" s="112">
        <f>BY67*IF(VLOOKUP($E67,武器奇术!$A:$R,17,FALSE)="牵丝",VLOOKUP($E67,武器奇术!$A:$R,4,FALSE),VLOOKUP($E67,武器奇术!$A:$R,2,FALSE))*(1+CB67)*(1+CC67)*CD67</f>
        <v>0</v>
      </c>
      <c r="CF67" s="110">
        <f>(1-IF(VLOOKUP($E67,武器奇术!$A:$T,20,FALSE)=1,1,$N67))*(1-$M67)</f>
        <v>0.01072666</v>
      </c>
      <c r="CG67" s="112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110">
        <f t="shared" si="23"/>
        <v>0.8813852</v>
      </c>
      <c r="CI67" s="112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110">
        <f t="shared" si="24"/>
        <v>0.0986</v>
      </c>
      <c r="CK67" s="112">
        <f>BZ67*IF(VLOOKUP($E67,武器奇术!$A:$R,17,FALSE)="牵丝",VLOOKUP($E67,武器奇术!$A:$R,4,FALSE),VLOOKUP($E67,武器奇术!$A:$R,2,FALSE))*(1+CB67)*(1+CC67)*CD67</f>
        <v>0</v>
      </c>
      <c r="CL67" s="110">
        <f t="shared" si="25"/>
        <v>0.00928814000000003</v>
      </c>
      <c r="CM67" s="113">
        <f t="shared" si="26"/>
        <v>0</v>
      </c>
      <c r="CN67" s="108">
        <f>$B$13*IF($G$5="撼天",1.05,1)+IF(AND(VLOOKUP($E67,武器奇术!$A:$R,15,FALSE)="武器",VLOOKUP($E67,武器奇术!$A:$R,17,FALSE)="破竹"),$E$3,0)*(1+$E$15)</f>
        <v>452.55</v>
      </c>
      <c r="CO67" s="99">
        <f>(CN67+CP67)*IF(VLOOKUP($E67,武器奇术!$A:$Z,21,FALSE)=1,$G$15,0.5)</f>
        <v>679.35</v>
      </c>
      <c r="CP67" s="109">
        <f>MAX($C$13*IF($G$5="撼天",1.05,1)+IF(AND(VLOOKUP($E67,武器奇术!$A:$R,15,FALSE)="武器",VLOOKUP($E67,武器奇术!$A:$R,17,FALSE)="破竹"),$E$3*(1+$E$15),0),CN67)</f>
        <v>906.15</v>
      </c>
      <c r="CQ67" s="110">
        <f>IF(($D$13+IF(VLOOKUP($E67,武器奇术!$A:$R,17,FALSE)="破竹",$D$15,0)+IF(VLOOKUP($E67,武器奇术!$A:$R,18,FALSE)=1,4,0)+IF(VLOOKUP($E67,武器奇术!$A:$S,19,FALSE)=1,20,0)-VLOOKUP($F$7,目标属性!$A:$R,6,FALSE))&gt;0,($D$13+IF(VLOOKUP($E67,武器奇术!$A:$R,17,FALSE)="破竹",$D$15,0)+IF(VLOOKUP($E67,武器奇术!$A:$R,18,FALSE)=1,4,0)+IF(VLOOKUP($E67,武器奇术!$A:$S,19,FALSE)=1,20,0)-VLOOKUP($F$7,目标属性!$A:$R,6,FALSE))/200,($D$13+IF(VLOOKUP($E67,武器奇术!$A:$R,17,FALSE)="破竹",$D$15,0)+IF(VLOOKUP($E67,武器奇术!$A:$R,18,FALSE)=1,4,0)+IF(VLOOKUP($E67,武器奇术!$A:$S,19,FALSE)=1,20,0)-VLOOKUP($F$7,目标属性!$A:$R,6,FALSE))/100)</f>
        <v>0.145</v>
      </c>
      <c r="CR67" s="111">
        <f>$E$13+IF(VLOOKUP($E67,武器奇术!$A:$U,21,FALSE)=1,0,0.09)</f>
        <v>0.235</v>
      </c>
      <c r="CS67" s="109">
        <v>1</v>
      </c>
      <c r="CT67" s="112">
        <f>CN67*IF(VLOOKUP($E67,武器奇术!$A:$R,17,FALSE)="破竹",VLOOKUP($E67,武器奇术!$A:$R,4,FALSE),VLOOKUP($E67,武器奇术!$A:$R,2,FALSE))*(1+CQ67)*(1+CR67)*CS67</f>
        <v>2073.40443765</v>
      </c>
      <c r="CU67" s="110">
        <f>(1-IF(VLOOKUP($E67,武器奇术!$A:$T,20,FALSE)=1,1,$N67))*(1-$M67)</f>
        <v>0.01072666</v>
      </c>
      <c r="CV67" s="112">
        <f>CO67*IF(VLOOKUP($E67,武器奇术!$A:$R,17,FALSE)="破竹",VLOOKUP($E67,武器奇术!$A:$R,4,FALSE),VLOOKUP($E67,武器奇术!$A:$R,2,FALSE))*(1+CQ67)*(1+CR67)*CS67*(1+$E$16+VLOOKUP($E67,武器奇术!$A:$R,8,FALSE))</f>
        <v>6038.273276217</v>
      </c>
      <c r="CW67" s="110">
        <f t="shared" si="27"/>
        <v>0.8813852</v>
      </c>
      <c r="CX67" s="112">
        <f>CP67*IF(VLOOKUP($E67,武器奇术!$A:$R,17,FALSE)="破竹",VLOOKUP($E67,武器奇术!$A:$R,4,FALSE),VLOOKUP($E67,武器奇术!$A:$R,2,FALSE))*(1+CQ67)*(1+CR67)*CS67*(1+$E$17+VLOOKUP($E67,武器奇术!$A:$R,10,FALSE))</f>
        <v>5604.6864039075</v>
      </c>
      <c r="CY67" s="110">
        <f t="shared" si="28"/>
        <v>0.0986</v>
      </c>
      <c r="CZ67" s="112">
        <f>CO67*IF(VLOOKUP($E67,武器奇术!$A:$R,17,FALSE)="破竹",VLOOKUP($E67,武器奇术!$A:$R,4,FALSE),VLOOKUP($E67,武器奇术!$A:$R,2,FALSE))*(1+CQ67)*(1+CR67)*CS67</f>
        <v>3112.51199805</v>
      </c>
      <c r="DA67" s="110">
        <f t="shared" si="29"/>
        <v>0.00928814000000003</v>
      </c>
      <c r="DB67" s="113">
        <f t="shared" si="30"/>
        <v>5925.81693027318</v>
      </c>
      <c r="DC67" s="108">
        <f t="shared" si="31"/>
        <v>69.3</v>
      </c>
      <c r="DD67" s="99">
        <f>(DC67+DE67)*IF(VLOOKUP($E67,武器奇术!$A:$Z,21,FALSE)=1,$G$15,0.5)</f>
        <v>69.3</v>
      </c>
      <c r="DE67" s="109">
        <f t="shared" si="32"/>
        <v>69.3</v>
      </c>
      <c r="DF67" s="110">
        <f>IF(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R,18,FALSE)=1,4,0)+IF(VLOOKUP($E67,武器奇术!$A:$S,19,FALSE)=1,20,0)-VLOOKUP($F$7,目标属性!$A:$R,6,FALSE))/100)</f>
        <v>0.145</v>
      </c>
      <c r="DG67" s="111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U,21,FALSE)=1,0,0.09)</f>
        <v>0.235</v>
      </c>
      <c r="DH67" s="109">
        <v>1</v>
      </c>
      <c r="DI67" s="112">
        <f>DC67*IF(VLOOKUP($E67,武器奇术!$A:$R,17,FALSE)="破竹",VLOOKUP($E67,武器奇术!$A:$R,4,FALSE),VLOOKUP($E67,武器奇术!$A:$R,2,FALSE))*(1+DF67)*(1+DG67)*DH67</f>
        <v>317.5050879</v>
      </c>
      <c r="DJ67" s="110">
        <f>(1-IF(VLOOKUP($E67,武器奇术!$A:$T,20,FALSE)=1,1,$N67))*(1-$M67)</f>
        <v>0.01072666</v>
      </c>
      <c r="DK67" s="112">
        <f>DD67*IF(VLOOKUP($E67,武器奇术!$A:$R,17,FALSE)="破竹",VLOOKUP($E67,武器奇术!$A:$R,4,FALSE),VLOOKUP($E67,武器奇术!$A:$R,2,FALSE))*(1+DF67)*(1+DG67)*DH67*(1+$E$16+VLOOKUP($E67,武器奇术!$A:$R,8,FALSE))</f>
        <v>615.959870526</v>
      </c>
      <c r="DL67" s="110">
        <f t="shared" si="33"/>
        <v>0.8813852</v>
      </c>
      <c r="DM67" s="112">
        <f>DE67*IF(VLOOKUP($E67,武器奇术!$A:$R,17,FALSE)="破竹",VLOOKUP($E67,武器奇术!$A:$R,4,FALSE),VLOOKUP($E67,武器奇术!$A:$R,2,FALSE))*(1+DF67)*(1+DG67)*DH67*(1+$E$17+VLOOKUP($E67,武器奇术!$A:$R,10,FALSE))</f>
        <v>428.631868665</v>
      </c>
      <c r="DN67" s="110">
        <f t="shared" si="34"/>
        <v>0.0986</v>
      </c>
      <c r="DO67" s="112">
        <f>DD67*IF(VLOOKUP($E67,武器奇术!$A:$R,17,FALSE)="破竹",VLOOKUP($E67,武器奇术!$A:$R,4,FALSE),VLOOKUP($E67,武器奇术!$A:$R,2,FALSE))*(1+DF67)*(1+DG67)*DH67</f>
        <v>317.5050879</v>
      </c>
      <c r="DP67" s="110">
        <f t="shared" si="35"/>
        <v>0.00928814000000003</v>
      </c>
      <c r="DQ67" s="113">
        <f t="shared" si="36"/>
        <v>591.515816759203</v>
      </c>
    </row>
    <row r="68" customFormat="1" spans="1:121">
      <c r="A68" s="75"/>
      <c r="B68" s="75"/>
      <c r="C68" s="148"/>
      <c r="D68" s="75"/>
      <c r="E68" s="98" t="str">
        <f>期望!E68</f>
        <v>绳标～</v>
      </c>
      <c r="F68" s="99">
        <f>期望!F68</f>
        <v>1</v>
      </c>
      <c r="G68" s="115"/>
      <c r="H68" s="100">
        <f>IF(VLOOKUP($E68,武器奇术!$A:$R,18,FALSE)="天工",AE68,(AE68+AT68+BI68+BX68+CM68+DB68+DQ68))*(1+J68)*F68*K68*(1+G68)</f>
        <v>19400.1424023892</v>
      </c>
      <c r="I68" s="101">
        <f t="shared" si="0"/>
        <v>0.00239519810986737</v>
      </c>
      <c r="J68" s="101">
        <f>$F$3+VLOOKUP($E68,武器奇术!$A:$R,12,FALSE)+VLOOKUP($E68,武器奇术!$A:$R,14,FALSE)*$G$3+$P68</f>
        <v>0.387</v>
      </c>
      <c r="K68" s="102">
        <f>VLOOKUP($E68,武器奇术!$A:$R,11,FALSE)</f>
        <v>1</v>
      </c>
      <c r="L68" s="117">
        <f>IF(VLOOKUP($E68,武器奇术!$A:$R,15,FALSE)="天工",0%,IF($C$17+VLOOKUP($E68,武器奇术!$A:$R,7,FALSE)&gt;80%,80%,$C$17+VLOOKUP($E68,武器奇术!$A:$R,7,FALSE))+IF($C$19&gt;20%,20%,$C$19))</f>
        <v>0.892</v>
      </c>
      <c r="M68" s="118">
        <f>IF(VLOOKUP($E68,武器奇术!$A:$R,15,FALSE)="天工",0%,IF($C$18+VLOOKUP($E68,武器奇术!$A:$R,9,FALSE)&gt;40%,40%,$C$18+VLOOKUP($E68,武器奇术!$A:$R,9,FALSE))+IF($C$20&gt;10%,10%,$C$20))</f>
        <v>0.0986</v>
      </c>
      <c r="N68" s="119">
        <f>IF(VLOOKUP($E68,武器奇术!$A:$R,15,FALSE)="天工",100%,MIN($C$16,1))</f>
        <v>0.9881</v>
      </c>
      <c r="O68" s="120" t="str">
        <f>VLOOKUP($E68,武器奇术!$A:$R,16,FALSE)</f>
        <v>绳标</v>
      </c>
      <c r="P68" s="121">
        <f t="shared" si="38"/>
        <v>0.084</v>
      </c>
      <c r="Q68" s="108">
        <f>$B$5*(1+VLOOKUP($E68,武器奇术!$A:$R,5,FALSE)+IF($G$5="飞隼",0.1,0)+IF($G$5="撼天",0.05,0))-$F$9+IF($I$5="√",160,0)</f>
        <v>1731.135</v>
      </c>
      <c r="R68" s="99">
        <f>IF(VLOOKUP($E68,武器奇术!$A:$Z,20,FALSE)=1,(S68-(Q68+S68)*0.5)*($G$15-0.5)*2+(Q68+S68)*0.5,(Q68+S68)*0.5)</f>
        <v>3256.775</v>
      </c>
      <c r="S68" s="109">
        <f>MAX($C$5,$B$5)*(1+VLOOKUP($E68,武器奇术!$A:$R,5,FALSE)+IF($G$5="飞隼",0.1,0)+IF($G$5="撼天",0.05,0))-$F$9+IF($I$5="√",320,0)</f>
        <v>4782.415</v>
      </c>
      <c r="T68" s="101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U68" s="111">
        <f>$E$5+IF(VLOOKUP($E68,武器奇术!$A:$U,21,FALSE)=1,0,0.09)</f>
        <v>0.115</v>
      </c>
      <c r="V68" s="109">
        <v>1</v>
      </c>
      <c r="W68" s="112">
        <f>Q68*VLOOKUP($E68,武器奇术!$A:$R,2,FALSE)*(1+T68)*(1+U68)*V68</f>
        <v>2997.37880086712</v>
      </c>
      <c r="X68" s="110">
        <f>(1-IF(VLOOKUP($E68,武器奇术!$A:$T,20,FALSE)=1,1,$N68))*(1-$M68)</f>
        <v>0.01072666</v>
      </c>
      <c r="Y68" s="112">
        <f>R68*VLOOKUP($E68,武器奇术!$A:$R,2,FALSE)*(1+T68)*(1+U68)*V68*(1+$E$16+VLOOKUP($E68,武器奇术!$A:$R,8,FALSE))</f>
        <v>9247.88239188634</v>
      </c>
      <c r="Z68" s="110">
        <f t="shared" si="1"/>
        <v>0.8813852</v>
      </c>
      <c r="AA68" s="112">
        <f>S68*VLOOKUP($E68,武器奇术!$A:$R,2,FALSE)*(1+T68)*(1+U68)*V68*(1+$E$17+VLOOKUP($E68,武器奇术!$A:$R,10,FALSE))</f>
        <v>11178.710849374</v>
      </c>
      <c r="AB68" s="110">
        <f t="shared" si="2"/>
        <v>0.0986</v>
      </c>
      <c r="AC68" s="112">
        <f>R68*VLOOKUP($E68,武器奇术!$A:$R,2,FALSE)*(1+T68)*(1+U68)*V68</f>
        <v>5638.95267797948</v>
      </c>
      <c r="AD68" s="110">
        <f t="shared" si="3"/>
        <v>0.00928814000000003</v>
      </c>
      <c r="AE68" s="113">
        <f t="shared" si="4"/>
        <v>9337.69480651205</v>
      </c>
      <c r="AF68" s="114">
        <f>VLOOKUP($E68,武器奇术!$A:$R,3,FALSE)*(1+IF(VLOOKUP($E68,武器奇术!$A:$R,15,FALSE)="武器",$E$15,0))</f>
        <v>451.1</v>
      </c>
      <c r="AG68" s="112">
        <f t="shared" si="5"/>
        <v>451.1</v>
      </c>
      <c r="AH68" s="112">
        <f>VLOOKUP($E68,武器奇术!$A:$R,3,FALSE)*(1+IF(VLOOKUP($E68,武器奇术!$A:$R,15,FALSE)="武器",$E$15,0))</f>
        <v>451.1</v>
      </c>
      <c r="AI68" s="101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0.242</v>
      </c>
      <c r="AJ68" s="111">
        <f>$E$5+IF(VLOOKUP($E68,武器奇术!$A:$U,21,FALSE)=1,0,0.09)</f>
        <v>0.115</v>
      </c>
      <c r="AK68" s="109">
        <v>1</v>
      </c>
      <c r="AL68" s="112">
        <f t="shared" si="6"/>
        <v>624.696813</v>
      </c>
      <c r="AM68" s="110">
        <f>(1-IF(VLOOKUP($E68,武器奇术!$A:$T,20,FALSE)=1,1,$N68))*(1-$M68)</f>
        <v>0.01072666</v>
      </c>
      <c r="AN68" s="112">
        <f>AG68*(1+AI68)*(1+AJ68)*AK68*(1+$E$16+VLOOKUP($E68,武器奇术!$A:$R,8,FALSE))</f>
        <v>1024.50277332</v>
      </c>
      <c r="AO68" s="110">
        <f t="shared" si="7"/>
        <v>0.8813852</v>
      </c>
      <c r="AP68" s="112">
        <f>AH68*(1+AI68)*(1+AJ68)*AK68*(1+$E$17+VLOOKUP($E68,武器奇术!$A:$R,10,FALSE))</f>
        <v>843.34069755</v>
      </c>
      <c r="AQ68" s="110">
        <f t="shared" si="8"/>
        <v>0.0986</v>
      </c>
      <c r="AR68" s="112">
        <f t="shared" si="9"/>
        <v>624.696813</v>
      </c>
      <c r="AS68" s="110">
        <f t="shared" si="10"/>
        <v>0.00928814000000003</v>
      </c>
      <c r="AT68" s="113">
        <f t="shared" si="11"/>
        <v>998.638156314466</v>
      </c>
      <c r="AU68" s="108">
        <f>$B$7*IF($G$5="撼天",1.05,1)+IF(AND(VLOOKUP($E68,武器奇术!$A:$R,15,FALSE)="武器",VLOOKUP($E68,武器奇术!$A:$R,17,FALSE)="鸣金"),$E$3,0)*(1+$E$15)</f>
        <v>0</v>
      </c>
      <c r="AV68" s="99">
        <f>(AU68+AW68)*IF(VLOOKUP($E68,武器奇术!$A:$Z,21,FALSE)=1,$G$15,0.5)</f>
        <v>0</v>
      </c>
      <c r="AW68" s="109">
        <f>MAX($C$7*IF($G$5="撼天",1.05,1)+IF(AND(VLOOKUP($E68,武器奇术!$A:$R,15,FALSE)="武器",VLOOKUP($E68,武器奇术!$A:$R,17,FALSE)="鸣金"),$E$3*(1+$E$15),0),AU68)</f>
        <v>0</v>
      </c>
      <c r="AX68" s="110">
        <f>IF(($D$7+IF(VLOOKUP($E68,武器奇术!$A:$R,17,FALSE)="鸣金",$D$15,0)+IF(VLOOKUP($E68,武器奇术!$A:$R,18,FALSE)=1,4,0)+IF(VLOOKUP($E68,武器奇术!$A:$S,19,FALSE)=1,20,0)-VLOOKUP($F$7,目标属性!$A:$R,6,FALSE))&gt;0,($D$7+IF(VLOOKUP($E68,武器奇术!$A:$R,17,FALSE)="鸣金",$D$15,0)+IF(VLOOKUP($E68,武器奇术!$A:$R,18,FALSE)=1,4,0)+IF(VLOOKUP($E68,武器奇术!$A:$S,19,FALSE)=1,20,0)-VLOOKUP($F$7,目标属性!$A:$R,6,FALSE))/200,($D$7+IF(VLOOKUP($E68,武器奇术!$A:$R,17,FALSE)="鸣金",$D$15,0)+IF(VLOOKUP($E68,武器奇术!$A:$R,18,FALSE)=1,4,0)+IF(VLOOKUP($E68,武器奇术!$A:$S,19,FALSE)=1,20,0)-VLOOKUP($F$7,目标属性!$A:$R,6,FALSE))/100)</f>
        <v>-0.24</v>
      </c>
      <c r="AY68" s="111">
        <f t="shared" si="12"/>
        <v>0</v>
      </c>
      <c r="AZ68" s="109">
        <v>1</v>
      </c>
      <c r="BA68" s="112">
        <f>AU68*IF(VLOOKUP($E68,武器奇术!$A:$R,17,FALSE)="鸣金",VLOOKUP($E68,武器奇术!$A:$R,4,FALSE),VLOOKUP($E68,武器奇术!$A:$R,2,FALSE))*(1+AX68)*(1+AY68)*AZ68</f>
        <v>0</v>
      </c>
      <c r="BB68" s="110">
        <f>(1-IF(VLOOKUP($E68,武器奇术!$A:$T,20,FALSE)=1,1,$N68))*(1-$M68)</f>
        <v>0.01072666</v>
      </c>
      <c r="BC68" s="112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10">
        <f t="shared" si="13"/>
        <v>0.8813852</v>
      </c>
      <c r="BE68" s="112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10">
        <f t="shared" si="14"/>
        <v>0.0986</v>
      </c>
      <c r="BG68" s="112">
        <f>AV68*IF(VLOOKUP($E68,武器奇术!$A:$R,17,FALSE)="鸣金",VLOOKUP($E68,武器奇术!$A:$R,4,FALSE),VLOOKUP($E68,武器奇术!$A:$R,2,FALSE))*(1+AX68)*(1+AY68)*AZ68</f>
        <v>0</v>
      </c>
      <c r="BH68" s="110">
        <f t="shared" si="15"/>
        <v>0.00928814000000003</v>
      </c>
      <c r="BI68" s="113">
        <f t="shared" si="16"/>
        <v>0</v>
      </c>
      <c r="BJ68" s="108">
        <f>$B$9*IF($G$5="撼天",1.05,1)+IF(AND(VLOOKUP($E68,武器奇术!$A:$R,15,FALSE)="武器",VLOOKUP($E68,武器奇术!$A:$R,17,FALSE)="裂石"),$E$3,0)*(1+$E$15)</f>
        <v>0</v>
      </c>
      <c r="BK68" s="99">
        <f>(BJ68+BL68)*IF(VLOOKUP($E68,武器奇术!$A:$Z,21,FALSE)=1,$G$15,0.5)</f>
        <v>0</v>
      </c>
      <c r="BL68" s="109">
        <f>MAX($C$9*IF($G$5="撼天",1.05,1)+IF(AND(VLOOKUP($E68,武器奇术!$A:$R,15,FALSE)="武器",VLOOKUP($E68,武器奇术!$A:$R,17,FALSE)="裂石"),$E$3*(1+$E$15),0),BJ68)</f>
        <v>0</v>
      </c>
      <c r="BM68" s="110">
        <f>IF(($D$9+IF(VLOOKUP($E68,武器奇术!$A:$R,17,FALSE)="裂石",$D$15,0)+IF(VLOOKUP($E68,武器奇术!$A:$R,18,FALSE)=1,4,0)+IF(VLOOKUP($E68,武器奇术!$A:$S,19,FALSE)=1,20,0)-VLOOKUP($F$7,目标属性!$A:$R,6,FALSE))&gt;0,($D$9+IF(VLOOKUP($E68,武器奇术!$A:$R,17,FALSE)="裂石",$D$15,0)+IF(VLOOKUP($E68,武器奇术!$A:$R,18,FALSE)=1,4,0)+IF(VLOOKUP($E68,武器奇术!$A:$S,19,FALSE)=1,20,0)-VLOOKUP($F$7,目标属性!$A:$R,6,FALSE))/200,($D$9+IF(VLOOKUP($E68,武器奇术!$A:$R,17,FALSE)="裂石",$D$15,0)+IF(VLOOKUP($E68,武器奇术!$A:$R,18,FALSE)=1,4,0)+IF(VLOOKUP($E68,武器奇术!$A:$S,19,FALSE)=1,20,0)-VLOOKUP($F$7,目标属性!$A:$R,6,FALSE))/100)</f>
        <v>-0.24</v>
      </c>
      <c r="BN68" s="111">
        <f t="shared" si="17"/>
        <v>0</v>
      </c>
      <c r="BO68" s="109">
        <v>1</v>
      </c>
      <c r="BP68" s="112">
        <f>BJ68*IF(VLOOKUP($E68,武器奇术!$A:$R,17,FALSE)="裂石",VLOOKUP($E68,武器奇术!$A:$R,4,FALSE),VLOOKUP($E68,武器奇术!$A:$R,2,FALSE))*(1+BM68)*(1+BN68)*BO68</f>
        <v>0</v>
      </c>
      <c r="BQ68" s="110">
        <f>(1-IF(VLOOKUP($E68,武器奇术!$A:$T,20,FALSE)=1,1,$N68))*(1-$M68)</f>
        <v>0.01072666</v>
      </c>
      <c r="BR68" s="112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10">
        <f t="shared" si="18"/>
        <v>0.8813852</v>
      </c>
      <c r="BT68" s="112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10">
        <f t="shared" si="19"/>
        <v>0.0986</v>
      </c>
      <c r="BV68" s="112">
        <f>BK68*IF(VLOOKUP($E68,武器奇术!$A:$R,17,FALSE)="裂石",VLOOKUP($E68,武器奇术!$A:$R,4,FALSE),VLOOKUP($E68,武器奇术!$A:$R,2,FALSE))*(1+BM68)*(1+BN68)*BO68</f>
        <v>0</v>
      </c>
      <c r="BW68" s="110">
        <f t="shared" si="20"/>
        <v>0.00928814000000003</v>
      </c>
      <c r="BX68" s="113">
        <f t="shared" si="21"/>
        <v>0</v>
      </c>
      <c r="BY68" s="108">
        <f>$B$11*IF($G$5="撼天",1.05,1)+IF(AND(VLOOKUP($E68,武器奇术!$A:$R,15,FALSE)="武器",VLOOKUP($E68,武器奇术!$A:$R,17,FALSE)="牵丝"),$E$3,0)*(1+$E$15)</f>
        <v>0</v>
      </c>
      <c r="BZ68" s="99">
        <f>(BY68+CA68)*IF(VLOOKUP($E68,武器奇术!$A:$Z,21,FALSE)=1,$G$15,0.5)</f>
        <v>0</v>
      </c>
      <c r="CA68" s="109">
        <f>MAX($C$11*IF($G$5="撼天",1.05,1)+IF(AND(VLOOKUP($E68,武器奇术!$A:$R,15,FALSE)="武器",VLOOKUP($E68,武器奇术!$A:$R,17,FALSE)="牵丝"),$E$3*(1+$E$15),0),BY68)</f>
        <v>0</v>
      </c>
      <c r="CB68" s="110">
        <f>IF(($D$11+IF(VLOOKUP($E68,武器奇术!$A:$R,17,FALSE)="牵丝",$D$15,0)+IF(VLOOKUP($E68,武器奇术!$A:$R,18,FALSE)=1,4,0)+IF(VLOOKUP($E68,武器奇术!$A:$S,19,FALSE)=1,20,0)-VLOOKUP($F$7,目标属性!$A:$R,6,FALSE))&gt;0,($D$11+IF(VLOOKUP($E68,武器奇术!$A:$R,17,FALSE)="牵丝",$D$15,0)+IF(VLOOKUP($E68,武器奇术!$A:$R,18,FALSE)=1,4,0)+IF(VLOOKUP($E68,武器奇术!$A:$S,19,FALSE)=1,20,0)-VLOOKUP($F$7,目标属性!$A:$R,6,FALSE))/200,($D$11+IF(VLOOKUP($E68,武器奇术!$A:$R,17,FALSE)="牵丝",$D$15,0)+IF(VLOOKUP($E68,武器奇术!$A:$R,18,FALSE)=1,4,0)+IF(VLOOKUP($E68,武器奇术!$A:$S,19,FALSE)=1,20,0)-VLOOKUP($F$7,目标属性!$A:$R,6,FALSE))/100)</f>
        <v>-0.24</v>
      </c>
      <c r="CC68" s="111">
        <f t="shared" si="22"/>
        <v>0</v>
      </c>
      <c r="CD68" s="109">
        <v>1</v>
      </c>
      <c r="CE68" s="112">
        <f>BY68*IF(VLOOKUP($E68,武器奇术!$A:$R,17,FALSE)="牵丝",VLOOKUP($E68,武器奇术!$A:$R,4,FALSE),VLOOKUP($E68,武器奇术!$A:$R,2,FALSE))*(1+CB68)*(1+CC68)*CD68</f>
        <v>0</v>
      </c>
      <c r="CF68" s="110">
        <f>(1-IF(VLOOKUP($E68,武器奇术!$A:$T,20,FALSE)=1,1,$N68))*(1-$M68)</f>
        <v>0.01072666</v>
      </c>
      <c r="CG68" s="112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110">
        <f t="shared" si="23"/>
        <v>0.8813852</v>
      </c>
      <c r="CI68" s="112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110">
        <f t="shared" si="24"/>
        <v>0.0986</v>
      </c>
      <c r="CK68" s="112">
        <f>BZ68*IF(VLOOKUP($E68,武器奇术!$A:$R,17,FALSE)="牵丝",VLOOKUP($E68,武器奇术!$A:$R,4,FALSE),VLOOKUP($E68,武器奇术!$A:$R,2,FALSE))*(1+CB68)*(1+CC68)*CD68</f>
        <v>0</v>
      </c>
      <c r="CL68" s="110">
        <f t="shared" si="25"/>
        <v>0.00928814000000003</v>
      </c>
      <c r="CM68" s="113">
        <f t="shared" si="26"/>
        <v>0</v>
      </c>
      <c r="CN68" s="108">
        <f>$B$13*IF($G$5="撼天",1.05,1)+IF(AND(VLOOKUP($E68,武器奇术!$A:$R,15,FALSE)="武器",VLOOKUP($E68,武器奇术!$A:$R,17,FALSE)="破竹"),$E$3,0)*(1+$E$15)</f>
        <v>648.46</v>
      </c>
      <c r="CO68" s="99">
        <f>(CN68+CP68)*IF(VLOOKUP($E68,武器奇术!$A:$Z,21,FALSE)=1,$G$15,0.5)</f>
        <v>875.26</v>
      </c>
      <c r="CP68" s="109">
        <f>MAX($C$13*IF($G$5="撼天",1.05,1)+IF(AND(VLOOKUP($E68,武器奇术!$A:$R,15,FALSE)="武器",VLOOKUP($E68,武器奇术!$A:$R,17,FALSE)="破竹"),$E$3*(1+$E$15),0),CN68)</f>
        <v>1102.06</v>
      </c>
      <c r="CQ68" s="110">
        <f>IF(($D$13+IF(VLOOKUP($E68,武器奇术!$A:$R,17,FALSE)="破竹",$D$15,0)+IF(VLOOKUP($E68,武器奇术!$A:$R,18,FALSE)=1,4,0)+IF(VLOOKUP($E68,武器奇术!$A:$S,19,FALSE)=1,20,0)-VLOOKUP($F$7,目标属性!$A:$R,6,FALSE))&gt;0,($D$13+IF(VLOOKUP($E68,武器奇术!$A:$R,17,FALSE)="破竹",$D$15,0)+IF(VLOOKUP($E68,武器奇术!$A:$R,18,FALSE)=1,4,0)+IF(VLOOKUP($E68,武器奇术!$A:$S,19,FALSE)=1,20,0)-VLOOKUP($F$7,目标属性!$A:$R,6,FALSE))/200,($D$13+IF(VLOOKUP($E68,武器奇术!$A:$R,17,FALSE)="破竹",$D$15,0)+IF(VLOOKUP($E68,武器奇术!$A:$R,18,FALSE)=1,4,0)+IF(VLOOKUP($E68,武器奇术!$A:$S,19,FALSE)=1,20,0)-VLOOKUP($F$7,目标属性!$A:$R,6,FALSE))/100)</f>
        <v>0.025</v>
      </c>
      <c r="CR68" s="111">
        <f>$E$13+IF(VLOOKUP($E68,武器奇术!$A:$U,21,FALSE)=1,0,0.09)</f>
        <v>0.235</v>
      </c>
      <c r="CS68" s="109">
        <v>1</v>
      </c>
      <c r="CT68" s="112">
        <f>CN68*IF(VLOOKUP($E68,武器奇术!$A:$R,17,FALSE)="破竹",VLOOKUP($E68,武器奇术!$A:$R,4,FALSE),VLOOKUP($E68,武器奇术!$A:$R,2,FALSE))*(1+CQ68)*(1+CR68)*CS68</f>
        <v>1539.54037683875</v>
      </c>
      <c r="CU68" s="110">
        <f>(1-IF(VLOOKUP($E68,武器奇术!$A:$T,20,FALSE)=1,1,$N68))*(1-$M68)</f>
        <v>0.01072666</v>
      </c>
      <c r="CV68" s="112">
        <f>CO68*IF(VLOOKUP($E68,武器奇术!$A:$R,17,FALSE)="破竹",VLOOKUP($E68,武器奇术!$A:$R,4,FALSE),VLOOKUP($E68,武器奇术!$A:$R,2,FALSE))*(1+CQ68)*(1+CR68)*CS68*(1+$E$16+VLOOKUP($E68,武器奇术!$A:$R,8,FALSE))</f>
        <v>3407.91552413455</v>
      </c>
      <c r="CW68" s="110">
        <f t="shared" si="27"/>
        <v>0.8813852</v>
      </c>
      <c r="CX68" s="112">
        <f>CP68*IF(VLOOKUP($E68,武器奇术!$A:$R,17,FALSE)="破竹",VLOOKUP($E68,武器奇术!$A:$R,4,FALSE),VLOOKUP($E68,武器奇术!$A:$R,2,FALSE))*(1+CQ68)*(1+CR68)*CS68*(1+$E$17+VLOOKUP($E68,武器奇术!$A:$R,10,FALSE))</f>
        <v>3532.21312246481</v>
      </c>
      <c r="CY68" s="110">
        <f t="shared" si="28"/>
        <v>0.0986</v>
      </c>
      <c r="CZ68" s="112">
        <f>CO68*IF(VLOOKUP($E68,武器奇术!$A:$R,17,FALSE)="破竹",VLOOKUP($E68,武器奇术!$A:$R,4,FALSE),VLOOKUP($E68,武器奇术!$A:$R,2,FALSE))*(1+CQ68)*(1+CR68)*CS68</f>
        <v>2077.99727081375</v>
      </c>
      <c r="DA68" s="110">
        <f t="shared" si="29"/>
        <v>0.00928814000000003</v>
      </c>
      <c r="DB68" s="113">
        <f t="shared" si="30"/>
        <v>3387.77737544702</v>
      </c>
      <c r="DC68" s="108">
        <f t="shared" si="31"/>
        <v>69.3</v>
      </c>
      <c r="DD68" s="99">
        <f>(DC68+DE68)*IF(VLOOKUP($E68,武器奇术!$A:$Z,21,FALSE)=1,$G$15,0.5)</f>
        <v>69.3</v>
      </c>
      <c r="DE68" s="109">
        <f t="shared" si="32"/>
        <v>69.3</v>
      </c>
      <c r="DF68" s="110">
        <f>IF(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R,18,FALSE)=1,4,0)+IF(VLOOKUP($E68,武器奇术!$A:$S,19,FALSE)=1,20,0)-VLOOKUP($F$7,目标属性!$A:$R,6,FALSE))/100)</f>
        <v>0.025</v>
      </c>
      <c r="DG68" s="111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U,21,FALSE)=1,0,0.09)</f>
        <v>0.235</v>
      </c>
      <c r="DH68" s="109">
        <v>1</v>
      </c>
      <c r="DI68" s="112">
        <f>DC68*IF(VLOOKUP($E68,武器奇术!$A:$R,17,FALSE)="破竹",VLOOKUP($E68,武器奇术!$A:$R,4,FALSE),VLOOKUP($E68,武器奇术!$A:$R,2,FALSE))*(1+DF68)*(1+DG68)*DH68</f>
        <v>164.52849538125</v>
      </c>
      <c r="DJ68" s="110">
        <f>(1-IF(VLOOKUP($E68,武器奇术!$A:$T,20,FALSE)=1,1,$N68))*(1-$M68)</f>
        <v>0.01072666</v>
      </c>
      <c r="DK68" s="112">
        <f>DD68*IF(VLOOKUP($E68,武器奇术!$A:$R,17,FALSE)="破竹",VLOOKUP($E68,武器奇术!$A:$R,4,FALSE),VLOOKUP($E68,武器奇术!$A:$R,2,FALSE))*(1+DF68)*(1+DG68)*DH68*(1+$E$16+VLOOKUP($E68,武器奇术!$A:$R,8,FALSE))</f>
        <v>269.82673242525</v>
      </c>
      <c r="DL68" s="110">
        <f t="shared" si="33"/>
        <v>0.8813852</v>
      </c>
      <c r="DM68" s="112">
        <f>DE68*IF(VLOOKUP($E68,武器奇术!$A:$R,17,FALSE)="破竹",VLOOKUP($E68,武器奇术!$A:$R,4,FALSE),VLOOKUP($E68,武器奇术!$A:$R,2,FALSE))*(1+DF68)*(1+DG68)*DH68*(1+$E$17+VLOOKUP($E68,武器奇术!$A:$R,10,FALSE))</f>
        <v>222.113468764687</v>
      </c>
      <c r="DN68" s="110">
        <f t="shared" si="34"/>
        <v>0.0986</v>
      </c>
      <c r="DO68" s="112">
        <f>DD68*IF(VLOOKUP($E68,武器奇术!$A:$R,17,FALSE)="破竹",VLOOKUP($E68,武器奇术!$A:$R,4,FALSE),VLOOKUP($E68,武器奇术!$A:$R,2,FALSE))*(1+DF68)*(1+DG68)*DH68</f>
        <v>164.52849538125</v>
      </c>
      <c r="DP68" s="110">
        <f t="shared" si="35"/>
        <v>0.00928814000000003</v>
      </c>
      <c r="DQ68" s="113">
        <f t="shared" si="36"/>
        <v>263.01468147353</v>
      </c>
    </row>
    <row r="69" customFormat="1" spans="1:121">
      <c r="A69" s="75"/>
      <c r="B69" s="75"/>
      <c r="C69" s="75"/>
      <c r="D69" s="75"/>
      <c r="E69" s="98" t="str">
        <f>期望!E69</f>
        <v>鹰隼追击(绳特殊技)</v>
      </c>
      <c r="F69" s="99">
        <f>期望!F69</f>
        <v>1</v>
      </c>
      <c r="G69" s="115"/>
      <c r="H69" s="100">
        <f>IF(VLOOKUP($E69,武器奇术!$A:$R,18,FALSE)="天工",AE69,(AE69+AT69+BI69+BX69+CM69+DB69+DQ69))*(1+J69)*F69*K69*(1+G69)</f>
        <v>37579.4955638102</v>
      </c>
      <c r="I69" s="101">
        <f t="shared" si="0"/>
        <v>0.00463967402286297</v>
      </c>
      <c r="J69" s="101">
        <f>$F$3+VLOOKUP($E69,武器奇术!$A:$R,12,FALSE)+VLOOKUP($E69,武器奇术!$A:$R,14,FALSE)*$G$3+$P69</f>
        <v>0.687</v>
      </c>
      <c r="K69" s="102">
        <f>VLOOKUP($E69,武器奇术!$A:$R,11,FALSE)</f>
        <v>1</v>
      </c>
      <c r="L69" s="117">
        <f>IF(VLOOKUP($E69,武器奇术!$A:$R,15,FALSE)="天工",0%,IF($C$17+VLOOKUP($E69,武器奇术!$A:$R,7,FALSE)&gt;80%,80%,$C$17+VLOOKUP($E69,武器奇术!$A:$R,7,FALSE))+IF($C$19&gt;20%,20%,$C$19))</f>
        <v>0.892</v>
      </c>
      <c r="M69" s="118">
        <f>IF(VLOOKUP($E69,武器奇术!$A:$R,15,FALSE)="天工",0%,IF($C$18+VLOOKUP($E69,武器奇术!$A:$R,9,FALSE)&gt;40%,40%,$C$18+VLOOKUP($E69,武器奇术!$A:$R,9,FALSE))+IF($C$20&gt;10%,10%,$C$20))</f>
        <v>0.0986</v>
      </c>
      <c r="N69" s="119">
        <f>IF(VLOOKUP($E69,武器奇术!$A:$R,15,FALSE)="天工",100%,MIN($C$16,1))</f>
        <v>0.9881</v>
      </c>
      <c r="O69" s="120" t="str">
        <f>VLOOKUP($E69,武器奇术!$A:$R,16,FALSE)</f>
        <v>绳标</v>
      </c>
      <c r="P69" s="121">
        <f t="shared" si="38"/>
        <v>0.084</v>
      </c>
      <c r="Q69" s="108">
        <f>$B$5*(1+VLOOKUP($E69,武器奇术!$A:$R,5,FALSE)+IF($G$5="飞隼",0.1,0)+IF($G$5="撼天",0.05,0))-$F$9+IF($I$5="√",160,0)</f>
        <v>1731.135</v>
      </c>
      <c r="R69" s="99">
        <f>IF(VLOOKUP($E69,武器奇术!$A:$Z,20,FALSE)=1,(S69-(Q69+S69)*0.5)*($G$15-0.5)*2+(Q69+S69)*0.5,(Q69+S69)*0.5)</f>
        <v>3256.775</v>
      </c>
      <c r="S69" s="109">
        <f>MAX($C$5,$B$5)*(1+VLOOKUP($E69,武器奇术!$A:$R,5,FALSE)+IF($G$5="飞隼",0.1,0)+IF($G$5="撼天",0.05,0))-$F$9+IF($I$5="√",320,0)</f>
        <v>4782.415</v>
      </c>
      <c r="T69" s="101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U69" s="111">
        <f>$E$5+IF(VLOOKUP($E69,武器奇术!$A:$U,21,FALSE)=1,0,0.09)</f>
        <v>0.115</v>
      </c>
      <c r="V69" s="109">
        <v>1</v>
      </c>
      <c r="W69" s="112">
        <f>Q69*VLOOKUP($E69,武器奇术!$A:$R,2,FALSE)*(1+T69)*(1+U69)*V69</f>
        <v>4662.62862219</v>
      </c>
      <c r="X69" s="110">
        <f>(1-IF(VLOOKUP($E69,武器奇术!$A:$T,20,FALSE)=1,1,$N69))*(1-$M69)</f>
        <v>0.01072666</v>
      </c>
      <c r="Y69" s="112">
        <f>R69*VLOOKUP($E69,武器奇术!$A:$R,2,FALSE)*(1+T69)*(1+U69)*V69*(1+$E$16+VLOOKUP($E69,武器奇术!$A:$R,8,FALSE))</f>
        <v>17017.249794039</v>
      </c>
      <c r="Z69" s="110">
        <f t="shared" si="1"/>
        <v>0.8813852</v>
      </c>
      <c r="AA69" s="112">
        <f>S69*VLOOKUP($E69,武器奇术!$A:$R,2,FALSE)*(1+T69)*(1+U69)*V69*(1+$E$17+VLOOKUP($E69,武器奇术!$A:$R,10,FALSE))</f>
        <v>17389.2526197885</v>
      </c>
      <c r="AB69" s="110">
        <f t="shared" si="2"/>
        <v>0.0986</v>
      </c>
      <c r="AC69" s="112">
        <f>R69*VLOOKUP($E69,武器奇术!$A:$R,2,FALSE)*(1+T69)*(1+U69)*V69</f>
        <v>8771.77824435</v>
      </c>
      <c r="AD69" s="110">
        <f t="shared" si="3"/>
        <v>0.00928814000000003</v>
      </c>
      <c r="AE69" s="113">
        <f t="shared" si="4"/>
        <v>16844.8203577992</v>
      </c>
      <c r="AF69" s="114">
        <f>VLOOKUP($E69,武器奇术!$A:$R,3,FALSE)*(1+IF(VLOOKUP($E69,武器奇术!$A:$R,15,FALSE)="武器",$E$15,0))</f>
        <v>0</v>
      </c>
      <c r="AG69" s="112">
        <f t="shared" si="5"/>
        <v>0</v>
      </c>
      <c r="AH69" s="112">
        <f>VLOOKUP($E69,武器奇术!$A:$R,3,FALSE)*(1+IF(VLOOKUP($E69,武器奇术!$A:$R,15,FALSE)="武器",$E$15,0))</f>
        <v>0</v>
      </c>
      <c r="AI69" s="101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0.342</v>
      </c>
      <c r="AJ69" s="111">
        <f>$E$5+IF(VLOOKUP($E69,武器奇术!$A:$U,21,FALSE)=1,0,0.09)</f>
        <v>0.115</v>
      </c>
      <c r="AK69" s="109">
        <v>1</v>
      </c>
      <c r="AL69" s="112">
        <f t="shared" si="6"/>
        <v>0</v>
      </c>
      <c r="AM69" s="110">
        <f>(1-IF(VLOOKUP($E69,武器奇术!$A:$T,20,FALSE)=1,1,$N69))*(1-$M69)</f>
        <v>0.01072666</v>
      </c>
      <c r="AN69" s="112">
        <f>AG69*(1+AI69)*(1+AJ69)*AK69*(1+$E$16+VLOOKUP($E69,武器奇术!$A:$R,8,FALSE))</f>
        <v>0</v>
      </c>
      <c r="AO69" s="110">
        <f t="shared" si="7"/>
        <v>0.8813852</v>
      </c>
      <c r="AP69" s="112">
        <f>AH69*(1+AI69)*(1+AJ69)*AK69*(1+$E$17+VLOOKUP($E69,武器奇术!$A:$R,10,FALSE))</f>
        <v>0</v>
      </c>
      <c r="AQ69" s="110">
        <f t="shared" si="8"/>
        <v>0.0986</v>
      </c>
      <c r="AR69" s="112">
        <f t="shared" si="9"/>
        <v>0</v>
      </c>
      <c r="AS69" s="110">
        <f t="shared" si="10"/>
        <v>0.00928814000000003</v>
      </c>
      <c r="AT69" s="113">
        <f t="shared" si="11"/>
        <v>0</v>
      </c>
      <c r="AU69" s="108">
        <f>$B$7*IF($G$5="撼天",1.05,1)+IF(AND(VLOOKUP($E69,武器奇术!$A:$R,15,FALSE)="武器",VLOOKUP($E69,武器奇术!$A:$R,17,FALSE)="鸣金"),$E$3,0)*(1+$E$15)</f>
        <v>0</v>
      </c>
      <c r="AV69" s="99">
        <f>(AU69+AW69)*IF(VLOOKUP($E69,武器奇术!$A:$Z,21,FALSE)=1,$G$15,0.5)</f>
        <v>0</v>
      </c>
      <c r="AW69" s="109">
        <f>MAX($C$7*IF($G$5="撼天",1.05,1)+IF(AND(VLOOKUP($E69,武器奇术!$A:$R,15,FALSE)="武器",VLOOKUP($E69,武器奇术!$A:$R,17,FALSE)="鸣金"),$E$3*(1+$E$15),0),AU69)</f>
        <v>0</v>
      </c>
      <c r="AX69" s="110">
        <f>IF(($D$7+IF(VLOOKUP($E69,武器奇术!$A:$R,17,FALSE)="鸣金",$D$15,0)+IF(VLOOKUP($E69,武器奇术!$A:$R,18,FALSE)=1,4,0)+IF(VLOOKUP($E69,武器奇术!$A:$S,19,FALSE)=1,20,0)-VLOOKUP($F$7,目标属性!$A:$R,6,FALSE))&gt;0,($D$7+IF(VLOOKUP($E69,武器奇术!$A:$R,17,FALSE)="鸣金",$D$15,0)+IF(VLOOKUP($E69,武器奇术!$A:$R,18,FALSE)=1,4,0)+IF(VLOOKUP($E69,武器奇术!$A:$S,19,FALSE)=1,20,0)-VLOOKUP($F$7,目标属性!$A:$R,6,FALSE))/200,($D$7+IF(VLOOKUP($E69,武器奇术!$A:$R,17,FALSE)="鸣金",$D$15,0)+IF(VLOOKUP($E69,武器奇术!$A:$R,18,FALSE)=1,4,0)+IF(VLOOKUP($E69,武器奇术!$A:$S,19,FALSE)=1,20,0)-VLOOKUP($F$7,目标属性!$A:$R,6,FALSE))/100)</f>
        <v>0</v>
      </c>
      <c r="AY69" s="111">
        <f t="shared" si="12"/>
        <v>0</v>
      </c>
      <c r="AZ69" s="109">
        <v>1</v>
      </c>
      <c r="BA69" s="112">
        <f>AU69*IF(VLOOKUP($E69,武器奇术!$A:$R,17,FALSE)="鸣金",VLOOKUP($E69,武器奇术!$A:$R,4,FALSE),VLOOKUP($E69,武器奇术!$A:$R,2,FALSE))*(1+AX69)*(1+AY69)*AZ69</f>
        <v>0</v>
      </c>
      <c r="BB69" s="110">
        <f>(1-IF(VLOOKUP($E69,武器奇术!$A:$T,20,FALSE)=1,1,$N69))*(1-$M69)</f>
        <v>0.01072666</v>
      </c>
      <c r="BC69" s="112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10">
        <f t="shared" si="13"/>
        <v>0.8813852</v>
      </c>
      <c r="BE69" s="112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10">
        <f t="shared" si="14"/>
        <v>0.0986</v>
      </c>
      <c r="BG69" s="112">
        <f>AV69*IF(VLOOKUP($E69,武器奇术!$A:$R,17,FALSE)="鸣金",VLOOKUP($E69,武器奇术!$A:$R,4,FALSE),VLOOKUP($E69,武器奇术!$A:$R,2,FALSE))*(1+AX69)*(1+AY69)*AZ69</f>
        <v>0</v>
      </c>
      <c r="BH69" s="110">
        <f t="shared" si="15"/>
        <v>0.00928814000000003</v>
      </c>
      <c r="BI69" s="113">
        <f t="shared" si="16"/>
        <v>0</v>
      </c>
      <c r="BJ69" s="108">
        <f>$B$9*IF($G$5="撼天",1.05,1)+IF(AND(VLOOKUP($E69,武器奇术!$A:$R,15,FALSE)="武器",VLOOKUP($E69,武器奇术!$A:$R,17,FALSE)="裂石"),$E$3,0)*(1+$E$15)</f>
        <v>0</v>
      </c>
      <c r="BK69" s="99">
        <f>(BJ69+BL69)*IF(VLOOKUP($E69,武器奇术!$A:$Z,21,FALSE)=1,$G$15,0.5)</f>
        <v>0</v>
      </c>
      <c r="BL69" s="109">
        <f>MAX($C$9*IF($G$5="撼天",1.05,1)+IF(AND(VLOOKUP($E69,武器奇术!$A:$R,15,FALSE)="武器",VLOOKUP($E69,武器奇术!$A:$R,17,FALSE)="裂石"),$E$3*(1+$E$15),0),BJ69)</f>
        <v>0</v>
      </c>
      <c r="BM69" s="110">
        <f>IF(($D$9+IF(VLOOKUP($E69,武器奇术!$A:$R,17,FALSE)="裂石",$D$15,0)+IF(VLOOKUP($E69,武器奇术!$A:$R,18,FALSE)=1,4,0)+IF(VLOOKUP($E69,武器奇术!$A:$S,19,FALSE)=1,20,0)-VLOOKUP($F$7,目标属性!$A:$R,6,FALSE))&gt;0,($D$9+IF(VLOOKUP($E69,武器奇术!$A:$R,17,FALSE)="裂石",$D$15,0)+IF(VLOOKUP($E69,武器奇术!$A:$R,18,FALSE)=1,4,0)+IF(VLOOKUP($E69,武器奇术!$A:$S,19,FALSE)=1,20,0)-VLOOKUP($F$7,目标属性!$A:$R,6,FALSE))/200,($D$9+IF(VLOOKUP($E69,武器奇术!$A:$R,17,FALSE)="裂石",$D$15,0)+IF(VLOOKUP($E69,武器奇术!$A:$R,18,FALSE)=1,4,0)+IF(VLOOKUP($E69,武器奇术!$A:$S,19,FALSE)=1,20,0)-VLOOKUP($F$7,目标属性!$A:$R,6,FALSE))/100)</f>
        <v>0</v>
      </c>
      <c r="BN69" s="111">
        <f t="shared" si="17"/>
        <v>0</v>
      </c>
      <c r="BO69" s="109">
        <v>1</v>
      </c>
      <c r="BP69" s="112">
        <f>BJ69*IF(VLOOKUP($E69,武器奇术!$A:$R,17,FALSE)="裂石",VLOOKUP($E69,武器奇术!$A:$R,4,FALSE),VLOOKUP($E69,武器奇术!$A:$R,2,FALSE))*(1+BM69)*(1+BN69)*BO69</f>
        <v>0</v>
      </c>
      <c r="BQ69" s="110">
        <f>(1-IF(VLOOKUP($E69,武器奇术!$A:$T,20,FALSE)=1,1,$N69))*(1-$M69)</f>
        <v>0.01072666</v>
      </c>
      <c r="BR69" s="112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10">
        <f t="shared" si="18"/>
        <v>0.8813852</v>
      </c>
      <c r="BT69" s="112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10">
        <f t="shared" si="19"/>
        <v>0.0986</v>
      </c>
      <c r="BV69" s="112">
        <f>BK69*IF(VLOOKUP($E69,武器奇术!$A:$R,17,FALSE)="裂石",VLOOKUP($E69,武器奇术!$A:$R,4,FALSE),VLOOKUP($E69,武器奇术!$A:$R,2,FALSE))*(1+BM69)*(1+BN69)*BO69</f>
        <v>0</v>
      </c>
      <c r="BW69" s="110">
        <f t="shared" si="20"/>
        <v>0.00928814000000003</v>
      </c>
      <c r="BX69" s="113">
        <f t="shared" si="21"/>
        <v>0</v>
      </c>
      <c r="BY69" s="108">
        <f>$B$11*IF($G$5="撼天",1.05,1)+IF(AND(VLOOKUP($E69,武器奇术!$A:$R,15,FALSE)="武器",VLOOKUP($E69,武器奇术!$A:$R,17,FALSE)="牵丝"),$E$3,0)*(1+$E$15)</f>
        <v>0</v>
      </c>
      <c r="BZ69" s="99">
        <f>(BY69+CA69)*IF(VLOOKUP($E69,武器奇术!$A:$Z,21,FALSE)=1,$G$15,0.5)</f>
        <v>0</v>
      </c>
      <c r="CA69" s="109">
        <f>MAX($C$11*IF($G$5="撼天",1.05,1)+IF(AND(VLOOKUP($E69,武器奇术!$A:$R,15,FALSE)="武器",VLOOKUP($E69,武器奇术!$A:$R,17,FALSE)="牵丝"),$E$3*(1+$E$15),0),BY69)</f>
        <v>0</v>
      </c>
      <c r="CB69" s="110">
        <f>IF(($D$11+IF(VLOOKUP($E69,武器奇术!$A:$R,17,FALSE)="牵丝",$D$15,0)+IF(VLOOKUP($E69,武器奇术!$A:$R,18,FALSE)=1,4,0)+IF(VLOOKUP($E69,武器奇术!$A:$S,19,FALSE)=1,20,0)-VLOOKUP($F$7,目标属性!$A:$R,6,FALSE))&gt;0,($D$11+IF(VLOOKUP($E69,武器奇术!$A:$R,17,FALSE)="牵丝",$D$15,0)+IF(VLOOKUP($E69,武器奇术!$A:$R,18,FALSE)=1,4,0)+IF(VLOOKUP($E69,武器奇术!$A:$S,19,FALSE)=1,20,0)-VLOOKUP($F$7,目标属性!$A:$R,6,FALSE))/200,($D$11+IF(VLOOKUP($E69,武器奇术!$A:$R,17,FALSE)="牵丝",$D$15,0)+IF(VLOOKUP($E69,武器奇术!$A:$R,18,FALSE)=1,4,0)+IF(VLOOKUP($E69,武器奇术!$A:$S,19,FALSE)=1,20,0)-VLOOKUP($F$7,目标属性!$A:$R,6,FALSE))/100)</f>
        <v>0</v>
      </c>
      <c r="CC69" s="111">
        <f t="shared" si="22"/>
        <v>0</v>
      </c>
      <c r="CD69" s="109">
        <v>1</v>
      </c>
      <c r="CE69" s="112">
        <f>BY69*IF(VLOOKUP($E69,武器奇术!$A:$R,17,FALSE)="牵丝",VLOOKUP($E69,武器奇术!$A:$R,4,FALSE),VLOOKUP($E69,武器奇术!$A:$R,2,FALSE))*(1+CB69)*(1+CC69)*CD69</f>
        <v>0</v>
      </c>
      <c r="CF69" s="110">
        <f>(1-IF(VLOOKUP($E69,武器奇术!$A:$T,20,FALSE)=1,1,$N69))*(1-$M69)</f>
        <v>0.01072666</v>
      </c>
      <c r="CG69" s="112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110">
        <f t="shared" si="23"/>
        <v>0.8813852</v>
      </c>
      <c r="CI69" s="112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110">
        <f t="shared" si="24"/>
        <v>0.0986</v>
      </c>
      <c r="CK69" s="112">
        <f>BZ69*IF(VLOOKUP($E69,武器奇术!$A:$R,17,FALSE)="牵丝",VLOOKUP($E69,武器奇术!$A:$R,4,FALSE),VLOOKUP($E69,武器奇术!$A:$R,2,FALSE))*(1+CB69)*(1+CC69)*CD69</f>
        <v>0</v>
      </c>
      <c r="CL69" s="110">
        <f t="shared" si="25"/>
        <v>0.00928814000000003</v>
      </c>
      <c r="CM69" s="113">
        <f t="shared" si="26"/>
        <v>0</v>
      </c>
      <c r="CN69" s="108">
        <f>$B$13*IF($G$5="撼天",1.05,1)+IF(AND(VLOOKUP($E69,武器奇术!$A:$R,15,FALSE)="武器",VLOOKUP($E69,武器奇术!$A:$R,17,FALSE)="破竹"),$E$3,0)*(1+$E$15)</f>
        <v>452.55</v>
      </c>
      <c r="CO69" s="99">
        <f>(CN69+CP69)*IF(VLOOKUP($E69,武器奇术!$A:$Z,21,FALSE)=1,$G$15,0.5)</f>
        <v>679.35</v>
      </c>
      <c r="CP69" s="109">
        <f>MAX($C$13*IF($G$5="撼天",1.05,1)+IF(AND(VLOOKUP($E69,武器奇术!$A:$R,15,FALSE)="武器",VLOOKUP($E69,武器奇术!$A:$R,17,FALSE)="破竹"),$E$3*(1+$E$15),0),CN69)</f>
        <v>906.15</v>
      </c>
      <c r="CQ69" s="110">
        <f>IF(($D$13+IF(VLOOKUP($E69,武器奇术!$A:$R,17,FALSE)="破竹",$D$15,0)+IF(VLOOKUP($E69,武器奇术!$A:$R,18,FALSE)=1,4,0)+IF(VLOOKUP($E69,武器奇术!$A:$S,19,FALSE)=1,20,0)-VLOOKUP($F$7,目标属性!$A:$R,6,FALSE))&gt;0,($D$13+IF(VLOOKUP($E69,武器奇术!$A:$R,17,FALSE)="破竹",$D$15,0)+IF(VLOOKUP($E69,武器奇术!$A:$R,18,FALSE)=1,4,0)+IF(VLOOKUP($E69,武器奇术!$A:$S,19,FALSE)=1,20,0)-VLOOKUP($F$7,目标属性!$A:$R,6,FALSE))/200,($D$13+IF(VLOOKUP($E69,武器奇术!$A:$R,17,FALSE)="破竹",$D$15,0)+IF(VLOOKUP($E69,武器奇术!$A:$R,18,FALSE)=1,4,0)+IF(VLOOKUP($E69,武器奇术!$A:$S,19,FALSE)=1,20,0)-VLOOKUP($F$7,目标属性!$A:$R,6,FALSE))/100)</f>
        <v>0.145</v>
      </c>
      <c r="CR69" s="111">
        <f>$E$13+IF(VLOOKUP($E69,武器奇术!$A:$U,21,FALSE)=1,0,0.09)</f>
        <v>0.235</v>
      </c>
      <c r="CS69" s="109">
        <v>1</v>
      </c>
      <c r="CT69" s="112">
        <f>CN69*IF(VLOOKUP($E69,武器奇术!$A:$R,17,FALSE)="破竹",VLOOKUP($E69,武器奇术!$A:$R,4,FALSE),VLOOKUP($E69,武器奇术!$A:$R,2,FALSE))*(1+CQ69)*(1+CR69)*CS69</f>
        <v>1727.837031375</v>
      </c>
      <c r="CU69" s="110">
        <f>(1-IF(VLOOKUP($E69,武器奇术!$A:$T,20,FALSE)=1,1,$N69))*(1-$M69)</f>
        <v>0.01072666</v>
      </c>
      <c r="CV69" s="112">
        <f>CO69*IF(VLOOKUP($E69,武器奇术!$A:$R,17,FALSE)="破竹",VLOOKUP($E69,武器奇术!$A:$R,4,FALSE),VLOOKUP($E69,武器奇术!$A:$R,2,FALSE))*(1+CQ69)*(1+CR69)*CS69*(1+$E$16+VLOOKUP($E69,武器奇术!$A:$R,8,FALSE))</f>
        <v>5031.8943968475</v>
      </c>
      <c r="CW69" s="110">
        <f t="shared" si="27"/>
        <v>0.8813852</v>
      </c>
      <c r="CX69" s="112">
        <f>CP69*IF(VLOOKUP($E69,武器奇术!$A:$R,17,FALSE)="破竹",VLOOKUP($E69,武器奇术!$A:$R,4,FALSE),VLOOKUP($E69,武器奇术!$A:$R,2,FALSE))*(1+CQ69)*(1+CR69)*CS69*(1+$E$17+VLOOKUP($E69,武器奇术!$A:$R,10,FALSE))</f>
        <v>4670.57200325625</v>
      </c>
      <c r="CY69" s="110">
        <f t="shared" si="28"/>
        <v>0.0986</v>
      </c>
      <c r="CZ69" s="112">
        <f>CO69*IF(VLOOKUP($E69,武器奇术!$A:$R,17,FALSE)="破竹",VLOOKUP($E69,武器奇术!$A:$R,4,FALSE),VLOOKUP($E69,武器奇术!$A:$R,2,FALSE))*(1+CQ69)*(1+CR69)*CS69</f>
        <v>2593.759998375</v>
      </c>
      <c r="DA69" s="110">
        <f t="shared" si="29"/>
        <v>0.00928814000000003</v>
      </c>
      <c r="DB69" s="113">
        <f t="shared" si="30"/>
        <v>4938.18077522766</v>
      </c>
      <c r="DC69" s="108">
        <f t="shared" si="31"/>
        <v>69.3</v>
      </c>
      <c r="DD69" s="99">
        <f>(DC69+DE69)*IF(VLOOKUP($E69,武器奇术!$A:$Z,21,FALSE)=1,$G$15,0.5)</f>
        <v>69.3</v>
      </c>
      <c r="DE69" s="109">
        <f t="shared" si="32"/>
        <v>69.3</v>
      </c>
      <c r="DF69" s="110">
        <f>IF(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R,18,FALSE)=1,4,0)+IF(VLOOKUP($E69,武器奇术!$A:$S,19,FALSE)=1,20,0)-VLOOKUP($F$7,目标属性!$A:$R,6,FALSE))/100)</f>
        <v>0.145</v>
      </c>
      <c r="DG69" s="111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U,21,FALSE)=1,0,0.09)</f>
        <v>0.235</v>
      </c>
      <c r="DH69" s="109">
        <v>1</v>
      </c>
      <c r="DI69" s="112">
        <f>DC69*IF(VLOOKUP($E69,武器奇术!$A:$R,17,FALSE)="破竹",VLOOKUP($E69,武器奇术!$A:$R,4,FALSE),VLOOKUP($E69,武器奇术!$A:$R,2,FALSE))*(1+DF69)*(1+DG69)*DH69</f>
        <v>264.58757325</v>
      </c>
      <c r="DJ69" s="110">
        <f>(1-IF(VLOOKUP($E69,武器奇术!$A:$T,20,FALSE)=1,1,$N69))*(1-$M69)</f>
        <v>0.01072666</v>
      </c>
      <c r="DK69" s="112">
        <f>DD69*IF(VLOOKUP($E69,武器奇术!$A:$R,17,FALSE)="破竹",VLOOKUP($E69,武器奇术!$A:$R,4,FALSE),VLOOKUP($E69,武器奇术!$A:$R,2,FALSE))*(1+DF69)*(1+DG69)*DH69*(1+$E$16+VLOOKUP($E69,武器奇术!$A:$R,8,FALSE))</f>
        <v>513.299892105</v>
      </c>
      <c r="DL69" s="110">
        <f t="shared" si="33"/>
        <v>0.8813852</v>
      </c>
      <c r="DM69" s="112">
        <f>DE69*IF(VLOOKUP($E69,武器奇术!$A:$R,17,FALSE)="破竹",VLOOKUP($E69,武器奇术!$A:$R,4,FALSE),VLOOKUP($E69,武器奇术!$A:$R,2,FALSE))*(1+DF69)*(1+DG69)*DH69*(1+$E$17+VLOOKUP($E69,武器奇术!$A:$R,10,FALSE))</f>
        <v>357.1932238875</v>
      </c>
      <c r="DN69" s="110">
        <f t="shared" si="34"/>
        <v>0.0986</v>
      </c>
      <c r="DO69" s="112">
        <f>DD69*IF(VLOOKUP($E69,武器奇术!$A:$R,17,FALSE)="破竹",VLOOKUP($E69,武器奇术!$A:$R,4,FALSE),VLOOKUP($E69,武器奇术!$A:$R,2,FALSE))*(1+DF69)*(1+DG69)*DH69</f>
        <v>264.58757325</v>
      </c>
      <c r="DP69" s="110">
        <f t="shared" si="35"/>
        <v>0.00928814000000003</v>
      </c>
      <c r="DQ69" s="113">
        <f t="shared" si="36"/>
        <v>492.929847299336</v>
      </c>
    </row>
    <row r="70" customFormat="1" spans="1:121">
      <c r="A70" s="75"/>
      <c r="B70" s="75"/>
      <c r="C70" s="148"/>
      <c r="D70" s="75"/>
      <c r="E70" s="98" t="str">
        <f>期望!E70</f>
        <v>N/A</v>
      </c>
      <c r="F70" s="99">
        <f>期望!F70</f>
        <v>1</v>
      </c>
      <c r="G70" s="115"/>
      <c r="H70" s="100">
        <f>IF(VLOOKUP($E70,武器奇术!$A:$R,18,FALSE)="天工",AE70,(AE70+AT70+BI70+BX70+CM70+DB70+DQ70))*(1+J70)*F70*K70*(1+G70)</f>
        <v>0</v>
      </c>
      <c r="I70" s="101">
        <f t="shared" si="0"/>
        <v>0</v>
      </c>
      <c r="J70" s="101">
        <f>$F$3+VLOOKUP($E70,武器奇术!$A:$R,12,FALSE)+VLOOKUP($E70,武器奇术!$A:$R,14,FALSE)*$G$3+$P70</f>
        <v>0.303</v>
      </c>
      <c r="K70" s="102">
        <f>VLOOKUP($E70,武器奇术!$A:$R,11,FALSE)</f>
        <v>1</v>
      </c>
      <c r="L70" s="117">
        <f>IF(VLOOKUP($E70,武器奇术!$A:$R,15,FALSE)="天工",0%,IF($C$17+VLOOKUP($E70,武器奇术!$A:$R,7,FALSE)&gt;80%,80%,$C$17+VLOOKUP($E70,武器奇术!$A:$R,7,FALSE))+IF($C$19&gt;20%,20%,$C$19))</f>
        <v>0.892</v>
      </c>
      <c r="M70" s="118">
        <f>IF(VLOOKUP($E70,武器奇术!$A:$R,15,FALSE)="天工",0%,IF($C$18+VLOOKUP($E70,武器奇术!$A:$R,9,FALSE)&gt;40%,40%,$C$18+VLOOKUP($E70,武器奇术!$A:$R,9,FALSE))+IF($C$20&gt;10%,10%,$C$20))</f>
        <v>0.0986</v>
      </c>
      <c r="N70" s="119">
        <f>IF(VLOOKUP($E70,武器奇术!$A:$R,15,FALSE)="天工",100%,MIN($C$16,1))</f>
        <v>0.9881</v>
      </c>
      <c r="O70" s="120" t="str">
        <f>VLOOKUP($E70,武器奇术!$A:$R,16,FALSE)</f>
        <v>N/A</v>
      </c>
      <c r="P70" s="121">
        <f t="shared" si="38"/>
        <v>0</v>
      </c>
      <c r="Q70" s="108">
        <f>$B$5*(1+VLOOKUP($E70,武器奇术!$A:$R,5,FALSE)+IF($G$5="飞隼",0.1,0)+IF($G$5="撼天",0.05,0))-$F$9+IF($I$5="√",160,0)</f>
        <v>1731.135</v>
      </c>
      <c r="R70" s="99">
        <f>IF(VLOOKUP($E70,武器奇术!$A:$Z,20,FALSE)=1,(S70-(Q70+S70)*0.5)*($G$15-0.5)*2+(Q70+S70)*0.5,(Q70+S70)*0.5)</f>
        <v>3256.775</v>
      </c>
      <c r="S70" s="109">
        <f>MAX($C$5,$B$5)*(1+VLOOKUP($E70,武器奇术!$A:$R,5,FALSE)+IF($G$5="飞隼",0.1,0)+IF($G$5="撼天",0.05,0))-$F$9+IF($I$5="√",320,0)</f>
        <v>4782.415</v>
      </c>
      <c r="T70" s="101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U70" s="111">
        <f>$E$5+IF(VLOOKUP($E70,武器奇术!$A:$U,21,FALSE)=1,0,0.09)</f>
        <v>0.115</v>
      </c>
      <c r="V70" s="109">
        <v>1</v>
      </c>
      <c r="W70" s="112">
        <f>Q70*VLOOKUP($E70,武器奇术!$A:$R,2,FALSE)*(1+T70)*(1+U70)*V70</f>
        <v>0</v>
      </c>
      <c r="X70" s="110">
        <f>(1-IF(VLOOKUP($E70,武器奇术!$A:$T,20,FALSE)=1,1,$N70))*(1-$M70)</f>
        <v>0.01072666</v>
      </c>
      <c r="Y70" s="112">
        <f>R70*VLOOKUP($E70,武器奇术!$A:$R,2,FALSE)*(1+T70)*(1+U70)*V70*(1+$E$16+VLOOKUP($E70,武器奇术!$A:$R,8,FALSE))</f>
        <v>0</v>
      </c>
      <c r="Z70" s="110">
        <f t="shared" si="1"/>
        <v>0.8813852</v>
      </c>
      <c r="AA70" s="112">
        <f>S70*VLOOKUP($E70,武器奇术!$A:$R,2,FALSE)*(1+T70)*(1+U70)*V70*(1+$E$17+VLOOKUP($E70,武器奇术!$A:$R,10,FALSE))</f>
        <v>0</v>
      </c>
      <c r="AB70" s="110">
        <f t="shared" si="2"/>
        <v>0.0986</v>
      </c>
      <c r="AC70" s="112">
        <f>R70*VLOOKUP($E70,武器奇术!$A:$R,2,FALSE)*(1+T70)*(1+U70)*V70</f>
        <v>0</v>
      </c>
      <c r="AD70" s="110">
        <f t="shared" si="3"/>
        <v>0.00928814000000003</v>
      </c>
      <c r="AE70" s="113">
        <f t="shared" si="4"/>
        <v>0</v>
      </c>
      <c r="AF70" s="114">
        <f>VLOOKUP($E70,武器奇术!$A:$R,3,FALSE)*(1+IF(VLOOKUP($E70,武器奇术!$A:$R,15,FALSE)="武器",$E$15,0))</f>
        <v>0</v>
      </c>
      <c r="AG70" s="112">
        <f t="shared" si="5"/>
        <v>0</v>
      </c>
      <c r="AH70" s="112">
        <f>VLOOKUP($E70,武器奇术!$A:$R,3,FALSE)*(1+IF(VLOOKUP($E70,武器奇术!$A:$R,15,FALSE)="武器",$E$15,0))</f>
        <v>0</v>
      </c>
      <c r="AI70" s="101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0.242</v>
      </c>
      <c r="AJ70" s="111">
        <f>$E$5+IF(VLOOKUP($E70,武器奇术!$A:$U,21,FALSE)=1,0,0.09)</f>
        <v>0.115</v>
      </c>
      <c r="AK70" s="109">
        <v>1</v>
      </c>
      <c r="AL70" s="112">
        <f t="shared" si="6"/>
        <v>0</v>
      </c>
      <c r="AM70" s="110">
        <f>(1-IF(VLOOKUP($E70,武器奇术!$A:$T,20,FALSE)=1,1,$N70))*(1-$M70)</f>
        <v>0.01072666</v>
      </c>
      <c r="AN70" s="112">
        <f>AG70*(1+AI70)*(1+AJ70)*AK70*(1+$E$16+VLOOKUP($E70,武器奇术!$A:$R,8,FALSE))</f>
        <v>0</v>
      </c>
      <c r="AO70" s="110">
        <f t="shared" si="7"/>
        <v>0.8813852</v>
      </c>
      <c r="AP70" s="112">
        <f>AH70*(1+AI70)*(1+AJ70)*AK70*(1+$E$17+VLOOKUP($E70,武器奇术!$A:$R,10,FALSE))</f>
        <v>0</v>
      </c>
      <c r="AQ70" s="110">
        <f t="shared" si="8"/>
        <v>0.0986</v>
      </c>
      <c r="AR70" s="112">
        <f t="shared" si="9"/>
        <v>0</v>
      </c>
      <c r="AS70" s="110">
        <f t="shared" si="10"/>
        <v>0.00928814000000003</v>
      </c>
      <c r="AT70" s="113">
        <f t="shared" si="11"/>
        <v>0</v>
      </c>
      <c r="AU70" s="108">
        <f>$B$7*IF($G$5="撼天",1.05,1)+IF(AND(VLOOKUP($E70,武器奇术!$A:$R,15,FALSE)="武器",VLOOKUP($E70,武器奇术!$A:$R,17,FALSE)="鸣金"),$E$3,0)*(1+$E$15)</f>
        <v>0</v>
      </c>
      <c r="AV70" s="99">
        <f>(AU70+AW70)*IF(VLOOKUP($E70,武器奇术!$A:$Z,21,FALSE)=1,$G$15,0.5)</f>
        <v>0</v>
      </c>
      <c r="AW70" s="109">
        <f>MAX($C$7*IF($G$5="撼天",1.05,1)+IF(AND(VLOOKUP($E70,武器奇术!$A:$R,15,FALSE)="武器",VLOOKUP($E70,武器奇术!$A:$R,17,FALSE)="鸣金"),$E$3*(1+$E$15),0),AU70)</f>
        <v>0</v>
      </c>
      <c r="AX70" s="110">
        <f>IF(($D$7+IF(VLOOKUP($E70,武器奇术!$A:$R,17,FALSE)="鸣金",$D$15,0)+IF(VLOOKUP($E70,武器奇术!$A:$R,18,FALSE)=1,4,0)+IF(VLOOKUP($E70,武器奇术!$A:$S,19,FALSE)=1,20,0)-VLOOKUP($F$7,目标属性!$A:$R,6,FALSE))&gt;0,($D$7+IF(VLOOKUP($E70,武器奇术!$A:$R,17,FALSE)="鸣金",$D$15,0)+IF(VLOOKUP($E70,武器奇术!$A:$R,18,FALSE)=1,4,0)+IF(VLOOKUP($E70,武器奇术!$A:$S,19,FALSE)=1,20,0)-VLOOKUP($F$7,目标属性!$A:$R,6,FALSE))/200,($D$7+IF(VLOOKUP($E70,武器奇术!$A:$R,17,FALSE)="鸣金",$D$15,0)+IF(VLOOKUP($E70,武器奇术!$A:$R,18,FALSE)=1,4,0)+IF(VLOOKUP($E70,武器奇术!$A:$S,19,FALSE)=1,20,0)-VLOOKUP($F$7,目标属性!$A:$R,6,FALSE))/100)</f>
        <v>-0.24</v>
      </c>
      <c r="AY70" s="111">
        <f t="shared" si="12"/>
        <v>0</v>
      </c>
      <c r="AZ70" s="109">
        <v>1</v>
      </c>
      <c r="BA70" s="112">
        <f>AU70*IF(VLOOKUP($E70,武器奇术!$A:$R,17,FALSE)="鸣金",VLOOKUP($E70,武器奇术!$A:$R,4,FALSE),VLOOKUP($E70,武器奇术!$A:$R,2,FALSE))*(1+AX70)*(1+AY70)*AZ70</f>
        <v>0</v>
      </c>
      <c r="BB70" s="110">
        <f>(1-IF(VLOOKUP($E70,武器奇术!$A:$T,20,FALSE)=1,1,$N70))*(1-$M70)</f>
        <v>0.01072666</v>
      </c>
      <c r="BC70" s="112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10">
        <f t="shared" si="13"/>
        <v>0.8813852</v>
      </c>
      <c r="BE70" s="112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10">
        <f t="shared" si="14"/>
        <v>0.0986</v>
      </c>
      <c r="BG70" s="112">
        <f>AV70*IF(VLOOKUP($E70,武器奇术!$A:$R,17,FALSE)="鸣金",VLOOKUP($E70,武器奇术!$A:$R,4,FALSE),VLOOKUP($E70,武器奇术!$A:$R,2,FALSE))*(1+AX70)*(1+AY70)*AZ70</f>
        <v>0</v>
      </c>
      <c r="BH70" s="110">
        <f t="shared" si="15"/>
        <v>0.00928814000000003</v>
      </c>
      <c r="BI70" s="113">
        <f t="shared" si="16"/>
        <v>0</v>
      </c>
      <c r="BJ70" s="108">
        <f>$B$9*IF($G$5="撼天",1.05,1)+IF(AND(VLOOKUP($E70,武器奇术!$A:$R,15,FALSE)="武器",VLOOKUP($E70,武器奇术!$A:$R,17,FALSE)="裂石"),$E$3,0)*(1+$E$15)</f>
        <v>0</v>
      </c>
      <c r="BK70" s="99">
        <f>(BJ70+BL70)*IF(VLOOKUP($E70,武器奇术!$A:$Z,21,FALSE)=1,$G$15,0.5)</f>
        <v>0</v>
      </c>
      <c r="BL70" s="109">
        <f>MAX($C$9*IF($G$5="撼天",1.05,1)+IF(AND(VLOOKUP($E70,武器奇术!$A:$R,15,FALSE)="武器",VLOOKUP($E70,武器奇术!$A:$R,17,FALSE)="裂石"),$E$3*(1+$E$15),0),BJ70)</f>
        <v>0</v>
      </c>
      <c r="BM70" s="110">
        <f>IF(($D$9+IF(VLOOKUP($E70,武器奇术!$A:$R,17,FALSE)="裂石",$D$15,0)+IF(VLOOKUP($E70,武器奇术!$A:$R,18,FALSE)=1,4,0)+IF(VLOOKUP($E70,武器奇术!$A:$S,19,FALSE)=1,20,0)-VLOOKUP($F$7,目标属性!$A:$R,6,FALSE))&gt;0,($D$9+IF(VLOOKUP($E70,武器奇术!$A:$R,17,FALSE)="裂石",$D$15,0)+IF(VLOOKUP($E70,武器奇术!$A:$R,18,FALSE)=1,4,0)+IF(VLOOKUP($E70,武器奇术!$A:$S,19,FALSE)=1,20,0)-VLOOKUP($F$7,目标属性!$A:$R,6,FALSE))/200,($D$9+IF(VLOOKUP($E70,武器奇术!$A:$R,17,FALSE)="裂石",$D$15,0)+IF(VLOOKUP($E70,武器奇术!$A:$R,18,FALSE)=1,4,0)+IF(VLOOKUP($E70,武器奇术!$A:$S,19,FALSE)=1,20,0)-VLOOKUP($F$7,目标属性!$A:$R,6,FALSE))/100)</f>
        <v>-0.24</v>
      </c>
      <c r="BN70" s="111">
        <f t="shared" si="17"/>
        <v>0</v>
      </c>
      <c r="BO70" s="109">
        <v>1</v>
      </c>
      <c r="BP70" s="112">
        <f>BJ70*IF(VLOOKUP($E70,武器奇术!$A:$R,17,FALSE)="裂石",VLOOKUP($E70,武器奇术!$A:$R,4,FALSE),VLOOKUP($E70,武器奇术!$A:$R,2,FALSE))*(1+BM70)*(1+BN70)*BO70</f>
        <v>0</v>
      </c>
      <c r="BQ70" s="110">
        <f>(1-IF(VLOOKUP($E70,武器奇术!$A:$T,20,FALSE)=1,1,$N70))*(1-$M70)</f>
        <v>0.01072666</v>
      </c>
      <c r="BR70" s="112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10">
        <f t="shared" si="18"/>
        <v>0.8813852</v>
      </c>
      <c r="BT70" s="112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10">
        <f t="shared" si="19"/>
        <v>0.0986</v>
      </c>
      <c r="BV70" s="112">
        <f>BK70*IF(VLOOKUP($E70,武器奇术!$A:$R,17,FALSE)="裂石",VLOOKUP($E70,武器奇术!$A:$R,4,FALSE),VLOOKUP($E70,武器奇术!$A:$R,2,FALSE))*(1+BM70)*(1+BN70)*BO70</f>
        <v>0</v>
      </c>
      <c r="BW70" s="110">
        <f t="shared" si="20"/>
        <v>0.00928814000000003</v>
      </c>
      <c r="BX70" s="113">
        <f t="shared" si="21"/>
        <v>0</v>
      </c>
      <c r="BY70" s="108">
        <f>$B$11*IF($G$5="撼天",1.05,1)+IF(AND(VLOOKUP($E70,武器奇术!$A:$R,15,FALSE)="武器",VLOOKUP($E70,武器奇术!$A:$R,17,FALSE)="牵丝"),$E$3,0)*(1+$E$15)</f>
        <v>0</v>
      </c>
      <c r="BZ70" s="99">
        <f>(BY70+CA70)*IF(VLOOKUP($E70,武器奇术!$A:$Z,21,FALSE)=1,$G$15,0.5)</f>
        <v>0</v>
      </c>
      <c r="CA70" s="109">
        <f>MAX($C$11*IF($G$5="撼天",1.05,1)+IF(AND(VLOOKUP($E70,武器奇术!$A:$R,15,FALSE)="武器",VLOOKUP($E70,武器奇术!$A:$R,17,FALSE)="牵丝"),$E$3*(1+$E$15),0),BY70)</f>
        <v>0</v>
      </c>
      <c r="CB70" s="110">
        <f>IF(($D$11+IF(VLOOKUP($E70,武器奇术!$A:$R,17,FALSE)="牵丝",$D$15,0)+IF(VLOOKUP($E70,武器奇术!$A:$R,18,FALSE)=1,4,0)+IF(VLOOKUP($E70,武器奇术!$A:$S,19,FALSE)=1,20,0)-VLOOKUP($F$7,目标属性!$A:$R,6,FALSE))&gt;0,($D$11+IF(VLOOKUP($E70,武器奇术!$A:$R,17,FALSE)="牵丝",$D$15,0)+IF(VLOOKUP($E70,武器奇术!$A:$R,18,FALSE)=1,4,0)+IF(VLOOKUP($E70,武器奇术!$A:$S,19,FALSE)=1,20,0)-VLOOKUP($F$7,目标属性!$A:$R,6,FALSE))/200,($D$11+IF(VLOOKUP($E70,武器奇术!$A:$R,17,FALSE)="牵丝",$D$15,0)+IF(VLOOKUP($E70,武器奇术!$A:$R,18,FALSE)=1,4,0)+IF(VLOOKUP($E70,武器奇术!$A:$S,19,FALSE)=1,20,0)-VLOOKUP($F$7,目标属性!$A:$R,6,FALSE))/100)</f>
        <v>-0.24</v>
      </c>
      <c r="CC70" s="111">
        <f t="shared" si="22"/>
        <v>0</v>
      </c>
      <c r="CD70" s="109">
        <v>1</v>
      </c>
      <c r="CE70" s="112">
        <f>BY70*IF(VLOOKUP($E70,武器奇术!$A:$R,17,FALSE)="牵丝",VLOOKUP($E70,武器奇术!$A:$R,4,FALSE),VLOOKUP($E70,武器奇术!$A:$R,2,FALSE))*(1+CB70)*(1+CC70)*CD70</f>
        <v>0</v>
      </c>
      <c r="CF70" s="110">
        <f>(1-IF(VLOOKUP($E70,武器奇术!$A:$T,20,FALSE)=1,1,$N70))*(1-$M70)</f>
        <v>0.01072666</v>
      </c>
      <c r="CG70" s="112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110">
        <f t="shared" si="23"/>
        <v>0.8813852</v>
      </c>
      <c r="CI70" s="112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110">
        <f t="shared" si="24"/>
        <v>0.0986</v>
      </c>
      <c r="CK70" s="112">
        <f>BZ70*IF(VLOOKUP($E70,武器奇术!$A:$R,17,FALSE)="牵丝",VLOOKUP($E70,武器奇术!$A:$R,4,FALSE),VLOOKUP($E70,武器奇术!$A:$R,2,FALSE))*(1+CB70)*(1+CC70)*CD70</f>
        <v>0</v>
      </c>
      <c r="CL70" s="110">
        <f t="shared" si="25"/>
        <v>0.00928814000000003</v>
      </c>
      <c r="CM70" s="113">
        <f t="shared" si="26"/>
        <v>0</v>
      </c>
      <c r="CN70" s="108">
        <f>$B$13*IF($G$5="撼天",1.05,1)+IF(AND(VLOOKUP($E70,武器奇术!$A:$R,15,FALSE)="武器",VLOOKUP($E70,武器奇术!$A:$R,17,FALSE)="破竹"),$E$3,0)*(1+$E$15)</f>
        <v>452.55</v>
      </c>
      <c r="CO70" s="99">
        <f>(CN70+CP70)*IF(VLOOKUP($E70,武器奇术!$A:$Z,21,FALSE)=1,$G$15,0.5)</f>
        <v>679.35</v>
      </c>
      <c r="CP70" s="109">
        <f>MAX($C$13*IF($G$5="撼天",1.05,1)+IF(AND(VLOOKUP($E70,武器奇术!$A:$R,15,FALSE)="武器",VLOOKUP($E70,武器奇术!$A:$R,17,FALSE)="破竹"),$E$3*(1+$E$15),0),CN70)</f>
        <v>906.15</v>
      </c>
      <c r="CQ70" s="110">
        <f>IF(($D$13+IF(VLOOKUP($E70,武器奇术!$A:$R,17,FALSE)="破竹",$D$15,0)+IF(VLOOKUP($E70,武器奇术!$A:$R,18,FALSE)=1,4,0)+IF(VLOOKUP($E70,武器奇术!$A:$S,19,FALSE)=1,20,0)-VLOOKUP($F$7,目标属性!$A:$R,6,FALSE))&gt;0,($D$13+IF(VLOOKUP($E70,武器奇术!$A:$R,17,FALSE)="破竹",$D$15,0)+IF(VLOOKUP($E70,武器奇术!$A:$R,18,FALSE)=1,4,0)+IF(VLOOKUP($E70,武器奇术!$A:$S,19,FALSE)=1,20,0)-VLOOKUP($F$7,目标属性!$A:$R,6,FALSE))/200,($D$13+IF(VLOOKUP($E70,武器奇术!$A:$R,17,FALSE)="破竹",$D$15,0)+IF(VLOOKUP($E70,武器奇术!$A:$R,18,FALSE)=1,4,0)+IF(VLOOKUP($E70,武器奇术!$A:$S,19,FALSE)=1,20,0)-VLOOKUP($F$7,目标属性!$A:$R,6,FALSE))/100)</f>
        <v>0.025</v>
      </c>
      <c r="CR70" s="111">
        <f>$E$13+IF(VLOOKUP($E70,武器奇术!$A:$U,21,FALSE)=1,0,0.09)</f>
        <v>0.235</v>
      </c>
      <c r="CS70" s="109">
        <v>1</v>
      </c>
      <c r="CT70" s="112">
        <f>CN70*IF(VLOOKUP($E70,武器奇术!$A:$R,17,FALSE)="破竹",VLOOKUP($E70,武器奇术!$A:$R,4,FALSE),VLOOKUP($E70,武器奇术!$A:$R,2,FALSE))*(1+CQ70)*(1+CR70)*CS70</f>
        <v>0</v>
      </c>
      <c r="CU70" s="110">
        <f>(1-IF(VLOOKUP($E70,武器奇术!$A:$T,20,FALSE)=1,1,$N70))*(1-$M70)</f>
        <v>0.01072666</v>
      </c>
      <c r="CV70" s="112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10">
        <f t="shared" si="27"/>
        <v>0.8813852</v>
      </c>
      <c r="CX70" s="112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10">
        <f t="shared" si="28"/>
        <v>0.0986</v>
      </c>
      <c r="CZ70" s="112">
        <f>CO70*IF(VLOOKUP($E70,武器奇术!$A:$R,17,FALSE)="破竹",VLOOKUP($E70,武器奇术!$A:$R,4,FALSE),VLOOKUP($E70,武器奇术!$A:$R,2,FALSE))*(1+CQ70)*(1+CR70)*CS70</f>
        <v>0</v>
      </c>
      <c r="DA70" s="110">
        <f t="shared" si="29"/>
        <v>0.00928814000000003</v>
      </c>
      <c r="DB70" s="113">
        <f t="shared" si="30"/>
        <v>0</v>
      </c>
      <c r="DC70" s="108">
        <f t="shared" si="31"/>
        <v>69.3</v>
      </c>
      <c r="DD70" s="99">
        <f>(DC70+DE70)*IF(VLOOKUP($E70,武器奇术!$A:$Z,21,FALSE)=1,$G$15,0.5)</f>
        <v>69.3</v>
      </c>
      <c r="DE70" s="109">
        <f t="shared" si="32"/>
        <v>69.3</v>
      </c>
      <c r="DF70" s="110">
        <f>IF(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R,18,FALSE)=1,4,0)+IF(VLOOKUP($E70,武器奇术!$A:$S,19,FALSE)=1,20,0)-VLOOKUP($F$7,目标属性!$A:$R,6,FALSE))/100)</f>
        <v>0.025</v>
      </c>
      <c r="DG70" s="111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U,21,FALSE)=1,0,0.09)</f>
        <v>0.235</v>
      </c>
      <c r="DH70" s="109">
        <v>1</v>
      </c>
      <c r="DI70" s="112">
        <f>DC70*IF(VLOOKUP($E70,武器奇术!$A:$R,17,FALSE)="破竹",VLOOKUP($E70,武器奇术!$A:$R,4,FALSE),VLOOKUP($E70,武器奇术!$A:$R,2,FALSE))*(1+DF70)*(1+DG70)*DH70</f>
        <v>0</v>
      </c>
      <c r="DJ70" s="110">
        <f>(1-IF(VLOOKUP($E70,武器奇术!$A:$T,20,FALSE)=1,1,$N70))*(1-$M70)</f>
        <v>0.01072666</v>
      </c>
      <c r="DK70" s="112">
        <f>DD70*IF(VLOOKUP($E70,武器奇术!$A:$R,17,FALSE)="破竹",VLOOKUP($E70,武器奇术!$A:$R,4,FALSE),VLOOKUP($E70,武器奇术!$A:$R,2,FALSE))*(1+DF70)*(1+DG70)*DH70*(1+$E$16+VLOOKUP($E70,武器奇术!$A:$R,8,FALSE))</f>
        <v>0</v>
      </c>
      <c r="DL70" s="110">
        <f t="shared" si="33"/>
        <v>0.8813852</v>
      </c>
      <c r="DM70" s="112">
        <f>DE70*IF(VLOOKUP($E70,武器奇术!$A:$R,17,FALSE)="破竹",VLOOKUP($E70,武器奇术!$A:$R,4,FALSE),VLOOKUP($E70,武器奇术!$A:$R,2,FALSE))*(1+DF70)*(1+DG70)*DH70*(1+$E$17+VLOOKUP($E70,武器奇术!$A:$R,10,FALSE))</f>
        <v>0</v>
      </c>
      <c r="DN70" s="110">
        <f t="shared" si="34"/>
        <v>0.0986</v>
      </c>
      <c r="DO70" s="112">
        <f>DD70*IF(VLOOKUP($E70,武器奇术!$A:$R,17,FALSE)="破竹",VLOOKUP($E70,武器奇术!$A:$R,4,FALSE),VLOOKUP($E70,武器奇术!$A:$R,2,FALSE))*(1+DF70)*(1+DG70)*DH70</f>
        <v>0</v>
      </c>
      <c r="DP70" s="110">
        <f t="shared" si="35"/>
        <v>0.00928814000000003</v>
      </c>
      <c r="DQ70" s="113">
        <f t="shared" si="36"/>
        <v>0</v>
      </c>
    </row>
    <row r="71" customFormat="1" spans="1:121">
      <c r="A71" s="75"/>
      <c r="B71" s="75"/>
      <c r="C71" s="148"/>
      <c r="D71" s="75"/>
      <c r="E71" s="98" t="str">
        <f>期望!E71</f>
        <v>拳甲R蓄4天志</v>
      </c>
      <c r="F71" s="99">
        <f>期望!F71</f>
        <v>1</v>
      </c>
      <c r="G71" s="115">
        <f>$E$23</f>
        <v>0.32</v>
      </c>
      <c r="H71" s="149">
        <f>IF(VLOOKUP($E71,武器奇术!$A:$R,18,FALSE)="天工",AE71,(AE71+AT71+BI71+BX71+CM71+DB71+DQ71))*(1+J71)*F71*K71*(1+G71)*(1+$G$21*5%)</f>
        <v>1108501.07859183</v>
      </c>
      <c r="I71" s="101">
        <f t="shared" si="0"/>
        <v>0.1368587731553</v>
      </c>
      <c r="J71" s="101">
        <f>$F$3+VLOOKUP($E71,武器奇术!$A:$R,12,FALSE)+VLOOKUP($E71,武器奇术!$A:$R,14,FALSE)*$G$3+$P71</f>
        <v>0.773</v>
      </c>
      <c r="K71" s="102">
        <f>VLOOKUP($E71,武器奇术!$A:$R,11,FALSE)</f>
        <v>1</v>
      </c>
      <c r="L71" s="117">
        <f>IF(VLOOKUP($E71,武器奇术!$A:$R,15,FALSE)="天工",0%,IF($C$17+VLOOKUP($E71,武器奇术!$A:$R,7,FALSE)&gt;80%,80%,$C$17+VLOOKUP($E71,武器奇术!$A:$R,7,FALSE))+IF($C$19&gt;20%,20%,$C$19))</f>
        <v>0.892</v>
      </c>
      <c r="M71" s="118">
        <f>IF(VLOOKUP($E71,武器奇术!$A:$R,15,FALSE)="天工",0%,IF($C$18+VLOOKUP($E71,武器奇术!$A:$R,9,FALSE)&gt;40%,40%,$C$18+VLOOKUP($E71,武器奇术!$A:$R,9,FALSE))+IF($C$20&gt;10%,10%,$C$20))</f>
        <v>0.0986</v>
      </c>
      <c r="N71" s="119">
        <f>IF(VLOOKUP($E71,武器奇术!$A:$R,15,FALSE)="天工",100%,MIN($C$16,1))</f>
        <v>0.9881</v>
      </c>
      <c r="O71" s="120" t="str">
        <f>VLOOKUP($E71,武器奇术!$A:$R,16,FALSE)</f>
        <v>拳甲</v>
      </c>
      <c r="P71" s="121">
        <f t="shared" si="38"/>
        <v>0.17</v>
      </c>
      <c r="Q71" s="108">
        <f>$B$5*(1+VLOOKUP($E71,武器奇术!$A:$R,5,FALSE)+IF($G$5="飞隼",0.1,0)+IF($G$5="撼天",0.05,0))-$F$9+IF($I$5="√",160,0)</f>
        <v>1731.135</v>
      </c>
      <c r="R71" s="99">
        <f>IF(VLOOKUP($E71,武器奇术!$A:$Z,20,FALSE)=1,(S71-(Q71+S71)*0.5)*($G$15-0.5)*2+(Q71+S71)*0.5,(Q71+S71)*0.5)</f>
        <v>3256.775</v>
      </c>
      <c r="S71" s="109">
        <f>MAX($C$5,$B$5)*(1+VLOOKUP($E71,武器奇术!$A:$R,5,FALSE)+IF($G$5="飞隼",0.1,0)+IF($G$5="撼天",0.05,0))-$F$9+IF($I$5="√",320,0)</f>
        <v>4782.415</v>
      </c>
      <c r="T71" s="101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U71" s="111">
        <f>$E$5+IF(VLOOKUP($E71,武器奇术!$A:$U,21,FALSE)=1,0,0.09)</f>
        <v>0.115</v>
      </c>
      <c r="V71" s="109">
        <v>1</v>
      </c>
      <c r="W71" s="112">
        <f>Q71*VLOOKUP($E71,武器奇术!$A:$R,2,FALSE)*(1+T71)*(1+U71)*V71</f>
        <v>58678.4041054908</v>
      </c>
      <c r="X71" s="110">
        <f>(1-IF(VLOOKUP($E71,武器奇术!$A:$T,20,FALSE)=1,1,$N71))*(1-$M71)</f>
        <v>0</v>
      </c>
      <c r="Y71" s="112">
        <f>R71*VLOOKUP($E71,武器奇术!$A:$R,2,FALSE)*(1+T71)*(1+U71)*V71*(1+$E$16+VLOOKUP($E71,武器奇术!$A:$R,8,FALSE))</f>
        <v>236237.525898103</v>
      </c>
      <c r="Z71" s="110">
        <f t="shared" si="1"/>
        <v>0.8813852</v>
      </c>
      <c r="AA71" s="112">
        <f>S71*VLOOKUP($E71,武器奇术!$A:$R,2,FALSE)*(1+T71)*(1+U71)*V71*(1+$E$17+VLOOKUP($E71,武器奇术!$A:$R,10,FALSE))</f>
        <v>218840.846011268</v>
      </c>
      <c r="AB71" s="110">
        <f t="shared" si="2"/>
        <v>0.0986</v>
      </c>
      <c r="AC71" s="112">
        <f>R71*VLOOKUP($E71,武器奇术!$A:$R,2,FALSE)*(1+T71)*(1+U71)*V71</f>
        <v>110391.367242104</v>
      </c>
      <c r="AD71" s="110">
        <f t="shared" si="3"/>
        <v>0.0200148</v>
      </c>
      <c r="AE71" s="113">
        <f t="shared" si="4"/>
        <v>232003.427564993</v>
      </c>
      <c r="AF71" s="114">
        <f>VLOOKUP($E71,武器奇术!$A:$R,3,FALSE)*(1+IF(VLOOKUP($E71,武器奇术!$A:$R,15,FALSE)="武器",$E$15,0))</f>
        <v>8140.86</v>
      </c>
      <c r="AG71" s="112">
        <f t="shared" si="5"/>
        <v>8140.86</v>
      </c>
      <c r="AH71" s="112">
        <f>VLOOKUP($E71,武器奇术!$A:$R,3,FALSE)*(1+IF(VLOOKUP($E71,武器奇术!$A:$R,15,FALSE)="武器",$E$15,0))</f>
        <v>8140.86</v>
      </c>
      <c r="AI71" s="101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0.342</v>
      </c>
      <c r="AJ71" s="111">
        <f>$E$5+IF(VLOOKUP($E71,武器奇术!$A:$U,21,FALSE)=1,0,0.09)</f>
        <v>0.115</v>
      </c>
      <c r="AK71" s="109">
        <v>1</v>
      </c>
      <c r="AL71" s="112">
        <f t="shared" si="6"/>
        <v>12181.4130438</v>
      </c>
      <c r="AM71" s="110">
        <f>(1-IF(VLOOKUP($E71,武器奇术!$A:$T,20,FALSE)=1,1,$N71))*(1-$M71)</f>
        <v>0</v>
      </c>
      <c r="AN71" s="112">
        <f>AG71*(1+AI71)*(1+AJ71)*AK71*(1+$E$16+VLOOKUP($E71,武器奇术!$A:$R,8,FALSE))</f>
        <v>26068.223913732</v>
      </c>
      <c r="AO71" s="110">
        <f t="shared" si="7"/>
        <v>0.8813852</v>
      </c>
      <c r="AP71" s="112">
        <f>AH71*(1+AI71)*(1+AJ71)*AK71*(1+$E$17+VLOOKUP($E71,武器奇术!$A:$R,10,FALSE))</f>
        <v>16444.90760913</v>
      </c>
      <c r="AQ71" s="110">
        <f t="shared" si="8"/>
        <v>0.0986</v>
      </c>
      <c r="AR71" s="112">
        <f t="shared" si="9"/>
        <v>12181.4130438</v>
      </c>
      <c r="AS71" s="110">
        <f t="shared" si="10"/>
        <v>0.0200148</v>
      </c>
      <c r="AT71" s="113">
        <f t="shared" si="11"/>
        <v>24841.4231838987</v>
      </c>
      <c r="AU71" s="108">
        <f>$B$7*IF($G$5="撼天",1.05,1)+IF(AND(VLOOKUP($E71,武器奇术!$A:$R,15,FALSE)="武器",VLOOKUP($E71,武器奇术!$A:$R,17,FALSE)="鸣金"),$E$3,0)*(1+$E$15)</f>
        <v>0</v>
      </c>
      <c r="AV71" s="99">
        <f>(AU71+AW71)*IF(VLOOKUP($E71,武器奇术!$A:$Z,21,FALSE)=1,$G$15,0.5)</f>
        <v>0</v>
      </c>
      <c r="AW71" s="109">
        <f>MAX($C$7*IF($G$5="撼天",1.05,1)+IF(AND(VLOOKUP($E71,武器奇术!$A:$R,15,FALSE)="武器",VLOOKUP($E71,武器奇术!$A:$R,17,FALSE)="鸣金"),$E$3*(1+$E$15),0),AU71)</f>
        <v>0</v>
      </c>
      <c r="AX71" s="110">
        <f>IF(($D$7+IF(VLOOKUP($E71,武器奇术!$A:$R,17,FALSE)="鸣金",$D$15,0)+IF(VLOOKUP($E71,武器奇术!$A:$R,18,FALSE)=1,4,0)+IF(VLOOKUP($E71,武器奇术!$A:$S,19,FALSE)=1,20,0)-VLOOKUP($F$7,目标属性!$A:$R,6,FALSE))&gt;0,($D$7+IF(VLOOKUP($E71,武器奇术!$A:$R,17,FALSE)="鸣金",$D$15,0)+IF(VLOOKUP($E71,武器奇术!$A:$R,18,FALSE)=1,4,0)+IF(VLOOKUP($E71,武器奇术!$A:$S,19,FALSE)=1,20,0)-VLOOKUP($F$7,目标属性!$A:$R,6,FALSE))/200,($D$7+IF(VLOOKUP($E71,武器奇术!$A:$R,17,FALSE)="鸣金",$D$15,0)+IF(VLOOKUP($E71,武器奇术!$A:$R,18,FALSE)=1,4,0)+IF(VLOOKUP($E71,武器奇术!$A:$S,19,FALSE)=1,20,0)-VLOOKUP($F$7,目标属性!$A:$R,6,FALSE))/100)</f>
        <v>0</v>
      </c>
      <c r="AY71" s="111">
        <f t="shared" si="12"/>
        <v>0</v>
      </c>
      <c r="AZ71" s="109">
        <v>1</v>
      </c>
      <c r="BA71" s="112">
        <f>AU71*IF(VLOOKUP($E71,武器奇术!$A:$R,17,FALSE)="鸣金",VLOOKUP($E71,武器奇术!$A:$R,4,FALSE),VLOOKUP($E71,武器奇术!$A:$R,2,FALSE))*(1+AX71)*(1+AY71)*AZ71</f>
        <v>0</v>
      </c>
      <c r="BB71" s="110">
        <f>(1-IF(VLOOKUP($E71,武器奇术!$A:$T,20,FALSE)=1,1,$N71))*(1-$M71)</f>
        <v>0</v>
      </c>
      <c r="BC71" s="112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10">
        <f t="shared" si="13"/>
        <v>0.8813852</v>
      </c>
      <c r="BE71" s="112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10">
        <f t="shared" si="14"/>
        <v>0.0986</v>
      </c>
      <c r="BG71" s="112">
        <f>AV71*IF(VLOOKUP($E71,武器奇术!$A:$R,17,FALSE)="鸣金",VLOOKUP($E71,武器奇术!$A:$R,4,FALSE),VLOOKUP($E71,武器奇术!$A:$R,2,FALSE))*(1+AX71)*(1+AY71)*AZ71</f>
        <v>0</v>
      </c>
      <c r="BH71" s="110">
        <f t="shared" si="15"/>
        <v>0.0200148</v>
      </c>
      <c r="BI71" s="113">
        <f t="shared" si="16"/>
        <v>0</v>
      </c>
      <c r="BJ71" s="108">
        <f>$B$9*IF($G$5="撼天",1.05,1)+IF(AND(VLOOKUP($E71,武器奇术!$A:$R,15,FALSE)="武器",VLOOKUP($E71,武器奇术!$A:$R,17,FALSE)="裂石"),$E$3,0)*(1+$E$15)</f>
        <v>0</v>
      </c>
      <c r="BK71" s="99">
        <f>(BJ71+BL71)*IF(VLOOKUP($E71,武器奇术!$A:$Z,21,FALSE)=1,$G$15,0.5)</f>
        <v>0</v>
      </c>
      <c r="BL71" s="109">
        <f>MAX($C$9*IF($G$5="撼天",1.05,1)+IF(AND(VLOOKUP($E71,武器奇术!$A:$R,15,FALSE)="武器",VLOOKUP($E71,武器奇术!$A:$R,17,FALSE)="裂石"),$E$3*(1+$E$15),0),BJ71)</f>
        <v>0</v>
      </c>
      <c r="BM71" s="110">
        <f>IF(($D$9+IF(VLOOKUP($E71,武器奇术!$A:$R,17,FALSE)="裂石",$D$15,0)+IF(VLOOKUP($E71,武器奇术!$A:$R,18,FALSE)=1,4,0)+IF(VLOOKUP($E71,武器奇术!$A:$S,19,FALSE)=1,20,0)-VLOOKUP($F$7,目标属性!$A:$R,6,FALSE))&gt;0,($D$9+IF(VLOOKUP($E71,武器奇术!$A:$R,17,FALSE)="裂石",$D$15,0)+IF(VLOOKUP($E71,武器奇术!$A:$R,18,FALSE)=1,4,0)+IF(VLOOKUP($E71,武器奇术!$A:$S,19,FALSE)=1,20,0)-VLOOKUP($F$7,目标属性!$A:$R,6,FALSE))/200,($D$9+IF(VLOOKUP($E71,武器奇术!$A:$R,17,FALSE)="裂石",$D$15,0)+IF(VLOOKUP($E71,武器奇术!$A:$R,18,FALSE)=1,4,0)+IF(VLOOKUP($E71,武器奇术!$A:$S,19,FALSE)=1,20,0)-VLOOKUP($F$7,目标属性!$A:$R,6,FALSE))/100)</f>
        <v>0</v>
      </c>
      <c r="BN71" s="111">
        <f t="shared" si="17"/>
        <v>0</v>
      </c>
      <c r="BO71" s="109">
        <v>1</v>
      </c>
      <c r="BP71" s="112">
        <f>BJ71*IF(VLOOKUP($E71,武器奇术!$A:$R,17,FALSE)="裂石",VLOOKUP($E71,武器奇术!$A:$R,4,FALSE),VLOOKUP($E71,武器奇术!$A:$R,2,FALSE))*(1+BM71)*(1+BN71)*BO71</f>
        <v>0</v>
      </c>
      <c r="BQ71" s="110">
        <f>(1-IF(VLOOKUP($E71,武器奇术!$A:$T,20,FALSE)=1,1,$N71))*(1-$M71)</f>
        <v>0</v>
      </c>
      <c r="BR71" s="112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10">
        <f t="shared" si="18"/>
        <v>0.8813852</v>
      </c>
      <c r="BT71" s="112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10">
        <f t="shared" si="19"/>
        <v>0.0986</v>
      </c>
      <c r="BV71" s="112">
        <f>BK71*IF(VLOOKUP($E71,武器奇术!$A:$R,17,FALSE)="裂石",VLOOKUP($E71,武器奇术!$A:$R,4,FALSE),VLOOKUP($E71,武器奇术!$A:$R,2,FALSE))*(1+BM71)*(1+BN71)*BO71</f>
        <v>0</v>
      </c>
      <c r="BW71" s="110">
        <f t="shared" si="20"/>
        <v>0.0200148</v>
      </c>
      <c r="BX71" s="113">
        <f t="shared" si="21"/>
        <v>0</v>
      </c>
      <c r="BY71" s="108">
        <f>$B$11*IF($G$5="撼天",1.05,1)+IF(AND(VLOOKUP($E71,武器奇术!$A:$R,15,FALSE)="武器",VLOOKUP($E71,武器奇术!$A:$R,17,FALSE)="牵丝"),$E$3,0)*(1+$E$15)</f>
        <v>0</v>
      </c>
      <c r="BZ71" s="99">
        <f>(BY71+CA71)*IF(VLOOKUP($E71,武器奇术!$A:$Z,21,FALSE)=1,$G$15,0.5)</f>
        <v>0</v>
      </c>
      <c r="CA71" s="109">
        <f>MAX($C$11*IF($G$5="撼天",1.05,1)+IF(AND(VLOOKUP($E71,武器奇术!$A:$R,15,FALSE)="武器",VLOOKUP($E71,武器奇术!$A:$R,17,FALSE)="牵丝"),$E$3*(1+$E$15),0),BY71)</f>
        <v>0</v>
      </c>
      <c r="CB71" s="110">
        <f>IF(($D$11+IF(VLOOKUP($E71,武器奇术!$A:$R,17,FALSE)="牵丝",$D$15,0)+IF(VLOOKUP($E71,武器奇术!$A:$R,18,FALSE)=1,4,0)+IF(VLOOKUP($E71,武器奇术!$A:$S,19,FALSE)=1,20,0)-VLOOKUP($F$7,目标属性!$A:$R,6,FALSE))&gt;0,($D$11+IF(VLOOKUP($E71,武器奇术!$A:$R,17,FALSE)="牵丝",$D$15,0)+IF(VLOOKUP($E71,武器奇术!$A:$R,18,FALSE)=1,4,0)+IF(VLOOKUP($E71,武器奇术!$A:$S,19,FALSE)=1,20,0)-VLOOKUP($F$7,目标属性!$A:$R,6,FALSE))/200,($D$11+IF(VLOOKUP($E71,武器奇术!$A:$R,17,FALSE)="牵丝",$D$15,0)+IF(VLOOKUP($E71,武器奇术!$A:$R,18,FALSE)=1,4,0)+IF(VLOOKUP($E71,武器奇术!$A:$S,19,FALSE)=1,20,0)-VLOOKUP($F$7,目标属性!$A:$R,6,FALSE))/100)</f>
        <v>0</v>
      </c>
      <c r="CC71" s="111">
        <f t="shared" si="22"/>
        <v>0</v>
      </c>
      <c r="CD71" s="109">
        <v>1</v>
      </c>
      <c r="CE71" s="112">
        <f>BY71*IF(VLOOKUP($E71,武器奇术!$A:$R,17,FALSE)="牵丝",VLOOKUP($E71,武器奇术!$A:$R,4,FALSE),VLOOKUP($E71,武器奇术!$A:$R,2,FALSE))*(1+CB71)*(1+CC71)*CD71</f>
        <v>0</v>
      </c>
      <c r="CF71" s="110">
        <f>(1-IF(VLOOKUP($E71,武器奇术!$A:$T,20,FALSE)=1,1,$N71))*(1-$M71)</f>
        <v>0</v>
      </c>
      <c r="CG71" s="112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110">
        <f t="shared" si="23"/>
        <v>0.8813852</v>
      </c>
      <c r="CI71" s="112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110">
        <f t="shared" si="24"/>
        <v>0.0986</v>
      </c>
      <c r="CK71" s="112">
        <f>BZ71*IF(VLOOKUP($E71,武器奇术!$A:$R,17,FALSE)="牵丝",VLOOKUP($E71,武器奇术!$A:$R,4,FALSE),VLOOKUP($E71,武器奇术!$A:$R,2,FALSE))*(1+CB71)*(1+CC71)*CD71</f>
        <v>0</v>
      </c>
      <c r="CL71" s="110">
        <f t="shared" si="25"/>
        <v>0.0200148</v>
      </c>
      <c r="CM71" s="113">
        <f t="shared" si="26"/>
        <v>0</v>
      </c>
      <c r="CN71" s="108">
        <f>$B$13*IF($G$5="撼天",1.05,1)+IF(AND(VLOOKUP($E71,武器奇术!$A:$R,15,FALSE)="武器",VLOOKUP($E71,武器奇术!$A:$R,17,FALSE)="破竹"),$E$3,0)*(1+$E$15)</f>
        <v>648.46</v>
      </c>
      <c r="CO71" s="99">
        <f>(CN71+CP71)*IF(VLOOKUP($E71,武器奇术!$A:$Z,21,FALSE)=1,$G$15,0.5)</f>
        <v>875.26</v>
      </c>
      <c r="CP71" s="109">
        <f>MAX($C$13*IF($G$5="撼天",1.05,1)+IF(AND(VLOOKUP($E71,武器奇术!$A:$R,15,FALSE)="武器",VLOOKUP($E71,武器奇术!$A:$R,17,FALSE)="破竹"),$E$3*(1+$E$15),0),CN71)</f>
        <v>1102.06</v>
      </c>
      <c r="CQ71" s="110">
        <f>IF(($D$13+IF(VLOOKUP($E71,武器奇术!$A:$R,17,FALSE)="破竹",$D$15,0)+IF(VLOOKUP($E71,武器奇术!$A:$R,18,FALSE)=1,4,0)+IF(VLOOKUP($E71,武器奇术!$A:$S,19,FALSE)=1,20,0)-VLOOKUP($F$7,目标属性!$A:$R,6,FALSE))&gt;0,($D$13+IF(VLOOKUP($E71,武器奇术!$A:$R,17,FALSE)="破竹",$D$15,0)+IF(VLOOKUP($E71,武器奇术!$A:$R,18,FALSE)=1,4,0)+IF(VLOOKUP($E71,武器奇术!$A:$S,19,FALSE)=1,20,0)-VLOOKUP($F$7,目标属性!$A:$R,6,FALSE))/200,($D$13+IF(VLOOKUP($E71,武器奇术!$A:$R,17,FALSE)="破竹",$D$15,0)+IF(VLOOKUP($E71,武器奇术!$A:$R,18,FALSE)=1,4,0)+IF(VLOOKUP($E71,武器奇术!$A:$S,19,FALSE)=1,20,0)-VLOOKUP($F$7,目标属性!$A:$R,6,FALSE))/100)</f>
        <v>0.145</v>
      </c>
      <c r="CR71" s="111">
        <f>$E$13+IF(VLOOKUP($E71,武器奇术!$A:$U,21,FALSE)=1,0,0.09)</f>
        <v>0.235</v>
      </c>
      <c r="CS71" s="109">
        <v>1</v>
      </c>
      <c r="CT71" s="112">
        <f>CN71*IF(VLOOKUP($E71,武器奇术!$A:$R,17,FALSE)="破竹",VLOOKUP($E71,武器奇术!$A:$R,4,FALSE),VLOOKUP($E71,武器奇术!$A:$R,2,FALSE))*(1+CQ71)*(1+CR71)*CS71</f>
        <v>31157.741801014</v>
      </c>
      <c r="CU71" s="110">
        <f>(1-IF(VLOOKUP($E71,武器奇术!$A:$T,20,FALSE)=1,1,$N71))*(1-$M71)</f>
        <v>0</v>
      </c>
      <c r="CV71" s="112">
        <f>CO71*IF(VLOOKUP($E71,武器奇术!$A:$R,17,FALSE)="破竹",VLOOKUP($E71,武器奇术!$A:$R,4,FALSE),VLOOKUP($E71,武器奇术!$A:$R,2,FALSE))*(1+CQ71)*(1+CR71)*CS71*(1+$E$16+VLOOKUP($E71,武器奇术!$A:$R,8,FALSE))</f>
        <v>89998.16132057</v>
      </c>
      <c r="CW71" s="110">
        <f t="shared" si="27"/>
        <v>0.8813852</v>
      </c>
      <c r="CX71" s="112">
        <f>CP71*IF(VLOOKUP($E71,武器奇术!$A:$R,17,FALSE)="破竹",VLOOKUP($E71,武器奇术!$A:$R,4,FALSE),VLOOKUP($E71,武器奇术!$A:$R,2,FALSE))*(1+CQ71)*(1+CR71)*CS71*(1+$E$17+VLOOKUP($E71,武器奇术!$A:$R,10,FALSE))</f>
        <v>71486.1306086026</v>
      </c>
      <c r="CY71" s="110">
        <f t="shared" si="28"/>
        <v>0.0986</v>
      </c>
      <c r="CZ71" s="112">
        <f>CO71*IF(VLOOKUP($E71,武器奇术!$A:$R,17,FALSE)="破竹",VLOOKUP($E71,武器奇术!$A:$R,4,FALSE),VLOOKUP($E71,武器奇术!$A:$R,2,FALSE))*(1+CQ71)*(1+CR71)*CS71</f>
        <v>42055.2155703598</v>
      </c>
      <c r="DA71" s="110">
        <f t="shared" si="29"/>
        <v>0.0200148</v>
      </c>
      <c r="DB71" s="113">
        <f t="shared" si="30"/>
        <v>87213.3066217687</v>
      </c>
      <c r="DC71" s="108">
        <f t="shared" si="31"/>
        <v>69.3</v>
      </c>
      <c r="DD71" s="99">
        <f>(DC71+DE71)*IF(VLOOKUP($E71,武器奇术!$A:$Z,21,FALSE)=1,$G$15,0.5)</f>
        <v>69.3</v>
      </c>
      <c r="DE71" s="109">
        <f t="shared" si="32"/>
        <v>69.3</v>
      </c>
      <c r="DF71" s="110">
        <f>IF(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R,18,FALSE)=1,4,0)+IF(VLOOKUP($E71,武器奇术!$A:$S,19,FALSE)=1,20,0)-VLOOKUP($F$7,目标属性!$A:$R,6,FALSE))/100)</f>
        <v>0.145</v>
      </c>
      <c r="DG71" s="111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U,21,FALSE)=1,0,0.09)</f>
        <v>0.235</v>
      </c>
      <c r="DH71" s="109">
        <v>1</v>
      </c>
      <c r="DI71" s="112">
        <f>DC71*IF(VLOOKUP($E71,武器奇术!$A:$R,17,FALSE)="破竹",VLOOKUP($E71,武器奇术!$A:$R,4,FALSE),VLOOKUP($E71,武器奇术!$A:$R,2,FALSE))*(1+DF71)*(1+DG71)*DH71</f>
        <v>3329.78365174455</v>
      </c>
      <c r="DJ71" s="110">
        <f>(1-IF(VLOOKUP($E71,武器奇术!$A:$T,20,FALSE)=1,1,$N71))*(1-$M71)</f>
        <v>0</v>
      </c>
      <c r="DK71" s="112">
        <f>DD71*IF(VLOOKUP($E71,武器奇术!$A:$R,17,FALSE)="破竹",VLOOKUP($E71,武器奇术!$A:$R,4,FALSE),VLOOKUP($E71,武器奇术!$A:$R,2,FALSE))*(1+DF71)*(1+DG71)*DH71*(1+$E$16+VLOOKUP($E71,武器奇术!$A:$R,8,FALSE))</f>
        <v>7125.73701473334</v>
      </c>
      <c r="DL71" s="110">
        <f t="shared" si="33"/>
        <v>0.8813852</v>
      </c>
      <c r="DM71" s="112">
        <f>DE71*IF(VLOOKUP($E71,武器奇术!$A:$R,17,FALSE)="破竹",VLOOKUP($E71,武器奇术!$A:$R,4,FALSE),VLOOKUP($E71,武器奇术!$A:$R,2,FALSE))*(1+DF71)*(1+DG71)*DH71*(1+$E$17+VLOOKUP($E71,武器奇术!$A:$R,10,FALSE))</f>
        <v>4495.20792985514</v>
      </c>
      <c r="DN71" s="110">
        <f t="shared" si="34"/>
        <v>0.0986</v>
      </c>
      <c r="DO71" s="112">
        <f>DD71*IF(VLOOKUP($E71,武器奇术!$A:$R,17,FALSE)="破竹",VLOOKUP($E71,武器奇术!$A:$R,4,FALSE),VLOOKUP($E71,武器奇术!$A:$R,2,FALSE))*(1+DF71)*(1+DG71)*DH71</f>
        <v>3329.78365174455</v>
      </c>
      <c r="DP71" s="110">
        <f t="shared" si="35"/>
        <v>0.0200148</v>
      </c>
      <c r="DQ71" s="113">
        <f t="shared" si="36"/>
        <v>6790.3915995948</v>
      </c>
    </row>
    <row r="72" customFormat="1" spans="1:121">
      <c r="A72" s="75"/>
      <c r="B72" s="75"/>
      <c r="C72" s="148"/>
      <c r="D72" s="75"/>
      <c r="E72" s="98" t="str">
        <f>期望!E72</f>
        <v>拳甲Q一段(面板2:8实际3:7远距离强化1.2倍)</v>
      </c>
      <c r="F72" s="99">
        <f>期望!F72</f>
        <v>1</v>
      </c>
      <c r="G72" s="115"/>
      <c r="H72" s="149">
        <f>IF(VLOOKUP($E72,武器奇术!$A:$R,18,FALSE)="天工",AE72,(AE72+AT72+BI72+BX72+CM72+DB72+DQ72))*(1+J72)*F72*K72*(1+G72)*(1+$G$21*5%)</f>
        <v>24478.856831613</v>
      </c>
      <c r="I72" s="101">
        <f t="shared" si="0"/>
        <v>0.00302223099184946</v>
      </c>
      <c r="J72" s="101">
        <f>$F$3+VLOOKUP($E72,武器奇术!$A:$R,12,FALSE)+VLOOKUP($E72,武器奇术!$A:$R,14,FALSE)*$G$3+$P72</f>
        <v>0.473</v>
      </c>
      <c r="K72" s="102">
        <f>VLOOKUP($E72,武器奇术!$A:$R,11,FALSE)</f>
        <v>1</v>
      </c>
      <c r="L72" s="117">
        <f>IF(VLOOKUP($E72,武器奇术!$A:$R,15,FALSE)="天工",0%,IF($C$17+VLOOKUP($E72,武器奇术!$A:$R,7,FALSE)&gt;80%,80%,$C$17+VLOOKUP($E72,武器奇术!$A:$R,7,FALSE))+IF($C$19&gt;20%,20%,$C$19))</f>
        <v>0.892</v>
      </c>
      <c r="M72" s="118">
        <f>IF(VLOOKUP($E72,武器奇术!$A:$R,15,FALSE)="天工",0%,IF($C$18+VLOOKUP($E72,武器奇术!$A:$R,9,FALSE)&gt;40%,40%,$C$18+VLOOKUP($E72,武器奇术!$A:$R,9,FALSE))+IF($C$20&gt;10%,10%,$C$20))</f>
        <v>0.0986</v>
      </c>
      <c r="N72" s="119">
        <f>IF(VLOOKUP($E72,武器奇术!$A:$R,15,FALSE)="天工",100%,MIN($C$16,1))</f>
        <v>0.9881</v>
      </c>
      <c r="O72" s="120" t="str">
        <f>VLOOKUP($E72,武器奇术!$A:$R,16,FALSE)</f>
        <v>拳甲</v>
      </c>
      <c r="P72" s="121">
        <f t="shared" si="38"/>
        <v>0.17</v>
      </c>
      <c r="Q72" s="108">
        <f>$B$5*(1+VLOOKUP($E72,武器奇术!$A:$R,5,FALSE)+IF($G$5="飞隼",0.1,0)+IF($G$5="撼天",0.05,0))-$F$9+IF($I$5="√",160,0)</f>
        <v>1731.135</v>
      </c>
      <c r="R72" s="99">
        <f>IF(VLOOKUP($E72,武器奇术!$A:$Z,20,FALSE)=1,(S72-(Q72+S72)*0.5)*($G$15-0.5)*2+(Q72+S72)*0.5,(Q72+S72)*0.5)</f>
        <v>3256.775</v>
      </c>
      <c r="S72" s="109">
        <f>MAX($C$5,$B$5)*(1+VLOOKUP($E72,武器奇术!$A:$R,5,FALSE)+IF($G$5="飞隼",0.1,0)+IF($G$5="撼天",0.05,0))-$F$9+IF($I$5="√",320,0)</f>
        <v>4782.415</v>
      </c>
      <c r="T72" s="101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U72" s="111">
        <f>$E$5+IF(VLOOKUP($E72,武器奇术!$A:$U,21,FALSE)=1,0,0.09)</f>
        <v>0.115</v>
      </c>
      <c r="V72" s="109">
        <v>1</v>
      </c>
      <c r="W72" s="112">
        <f>Q72*VLOOKUP($E72,武器奇术!$A:$R,2,FALSE)*(1+T72)*(1+U72)*V72</f>
        <v>2638.25911409603</v>
      </c>
      <c r="X72" s="110">
        <f>(1-IF(VLOOKUP($E72,武器奇术!$A:$T,20,FALSE)=1,1,$N72))*(1-$M72)</f>
        <v>0.01072666</v>
      </c>
      <c r="Y72" s="112">
        <f>R72*VLOOKUP($E72,武器奇术!$A:$R,2,FALSE)*(1+T72)*(1+U72)*V72*(1+$E$16+VLOOKUP($E72,武器奇术!$A:$R,8,FALSE))</f>
        <v>8139.88208611607</v>
      </c>
      <c r="Z72" s="110">
        <f t="shared" si="1"/>
        <v>0.8813852</v>
      </c>
      <c r="AA72" s="112">
        <f>S72*VLOOKUP($E72,武器奇术!$A:$R,2,FALSE)*(1+T72)*(1+U72)*V72*(1+$E$17+VLOOKUP($E72,武器奇术!$A:$R,10,FALSE))</f>
        <v>9839.37558164925</v>
      </c>
      <c r="AB72" s="110">
        <f t="shared" si="2"/>
        <v>0.0986</v>
      </c>
      <c r="AC72" s="112">
        <f>R72*VLOOKUP($E72,武器奇术!$A:$R,2,FALSE)*(1+T72)*(1+U72)*V72</f>
        <v>4963.34273543662</v>
      </c>
      <c r="AD72" s="110">
        <f t="shared" si="3"/>
        <v>0.00928814000000003</v>
      </c>
      <c r="AE72" s="113">
        <f t="shared" si="4"/>
        <v>8218.93396350197</v>
      </c>
      <c r="AF72" s="114">
        <f>VLOOKUP($E72,武器奇术!$A:$R,3,FALSE)*(1+IF(VLOOKUP($E72,武器奇术!$A:$R,15,FALSE)="武器",$E$15,0))</f>
        <v>396.5</v>
      </c>
      <c r="AG72" s="112">
        <f t="shared" si="5"/>
        <v>396.5</v>
      </c>
      <c r="AH72" s="112">
        <f>VLOOKUP($E72,武器奇术!$A:$R,3,FALSE)*(1+IF(VLOOKUP($E72,武器奇术!$A:$R,15,FALSE)="武器",$E$15,0))</f>
        <v>396.5</v>
      </c>
      <c r="AI72" s="101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0.242</v>
      </c>
      <c r="AJ72" s="111">
        <f>$E$5+IF(VLOOKUP($E72,武器奇术!$A:$U,21,FALSE)=1,0,0.09)</f>
        <v>0.115</v>
      </c>
      <c r="AK72" s="109">
        <v>1</v>
      </c>
      <c r="AL72" s="112">
        <f t="shared" si="6"/>
        <v>549.085095</v>
      </c>
      <c r="AM72" s="110">
        <f>(1-IF(VLOOKUP($E72,武器奇术!$A:$T,20,FALSE)=1,1,$N72))*(1-$M72)</f>
        <v>0.01072666</v>
      </c>
      <c r="AN72" s="112">
        <f>AG72*(1+AI72)*(1+AJ72)*AK72*(1+$E$16+VLOOKUP($E72,武器奇术!$A:$R,8,FALSE))</f>
        <v>900.4995558</v>
      </c>
      <c r="AO72" s="110">
        <f t="shared" si="7"/>
        <v>0.8813852</v>
      </c>
      <c r="AP72" s="112">
        <f>AH72*(1+AI72)*(1+AJ72)*AK72*(1+$E$17+VLOOKUP($E72,武器奇术!$A:$R,10,FALSE))</f>
        <v>741.26487825</v>
      </c>
      <c r="AQ72" s="110">
        <f t="shared" si="8"/>
        <v>0.0986</v>
      </c>
      <c r="AR72" s="112">
        <f t="shared" si="9"/>
        <v>549.085095</v>
      </c>
      <c r="AS72" s="110">
        <f t="shared" si="10"/>
        <v>0.00928814000000003</v>
      </c>
      <c r="AT72" s="113">
        <f t="shared" si="11"/>
        <v>877.76552644355</v>
      </c>
      <c r="AU72" s="108">
        <f>$B$7*IF($G$5="撼天",1.05,1)+IF(AND(VLOOKUP($E72,武器奇术!$A:$R,15,FALSE)="武器",VLOOKUP($E72,武器奇术!$A:$R,17,FALSE)="鸣金"),$E$3,0)*(1+$E$15)</f>
        <v>0</v>
      </c>
      <c r="AV72" s="99">
        <f>(AU72+AW72)*IF(VLOOKUP($E72,武器奇术!$A:$Z,21,FALSE)=1,$G$15,0.5)</f>
        <v>0</v>
      </c>
      <c r="AW72" s="109">
        <f>MAX($C$7*IF($G$5="撼天",1.05,1)+IF(AND(VLOOKUP($E72,武器奇术!$A:$R,15,FALSE)="武器",VLOOKUP($E72,武器奇术!$A:$R,17,FALSE)="鸣金"),$E$3*(1+$E$15),0),AU72)</f>
        <v>0</v>
      </c>
      <c r="AX72" s="110">
        <f>IF(($D$7+IF(VLOOKUP($E72,武器奇术!$A:$R,17,FALSE)="鸣金",$D$15,0)+IF(VLOOKUP($E72,武器奇术!$A:$R,18,FALSE)=1,4,0)+IF(VLOOKUP($E72,武器奇术!$A:$S,19,FALSE)=1,20,0)-VLOOKUP($F$7,目标属性!$A:$R,6,FALSE))&gt;0,($D$7+IF(VLOOKUP($E72,武器奇术!$A:$R,17,FALSE)="鸣金",$D$15,0)+IF(VLOOKUP($E72,武器奇术!$A:$R,18,FALSE)=1,4,0)+IF(VLOOKUP($E72,武器奇术!$A:$S,19,FALSE)=1,20,0)-VLOOKUP($F$7,目标属性!$A:$R,6,FALSE))/200,($D$7+IF(VLOOKUP($E72,武器奇术!$A:$R,17,FALSE)="鸣金",$D$15,0)+IF(VLOOKUP($E72,武器奇术!$A:$R,18,FALSE)=1,4,0)+IF(VLOOKUP($E72,武器奇术!$A:$S,19,FALSE)=1,20,0)-VLOOKUP($F$7,目标属性!$A:$R,6,FALSE))/100)</f>
        <v>-0.24</v>
      </c>
      <c r="AY72" s="111">
        <f t="shared" si="12"/>
        <v>0</v>
      </c>
      <c r="AZ72" s="109">
        <v>1</v>
      </c>
      <c r="BA72" s="112">
        <f>AU72*IF(VLOOKUP($E72,武器奇术!$A:$R,17,FALSE)="鸣金",VLOOKUP($E72,武器奇术!$A:$R,4,FALSE),VLOOKUP($E72,武器奇术!$A:$R,2,FALSE))*(1+AX72)*(1+AY72)*AZ72</f>
        <v>0</v>
      </c>
      <c r="BB72" s="110">
        <f>(1-IF(VLOOKUP($E72,武器奇术!$A:$T,20,FALSE)=1,1,$N72))*(1-$M72)</f>
        <v>0.01072666</v>
      </c>
      <c r="BC72" s="112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10">
        <f t="shared" si="13"/>
        <v>0.8813852</v>
      </c>
      <c r="BE72" s="112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10">
        <f t="shared" si="14"/>
        <v>0.0986</v>
      </c>
      <c r="BG72" s="112">
        <f>AV72*IF(VLOOKUP($E72,武器奇术!$A:$R,17,FALSE)="鸣金",VLOOKUP($E72,武器奇术!$A:$R,4,FALSE),VLOOKUP($E72,武器奇术!$A:$R,2,FALSE))*(1+AX72)*(1+AY72)*AZ72</f>
        <v>0</v>
      </c>
      <c r="BH72" s="110">
        <f t="shared" si="15"/>
        <v>0.00928814000000003</v>
      </c>
      <c r="BI72" s="113">
        <f t="shared" si="16"/>
        <v>0</v>
      </c>
      <c r="BJ72" s="108">
        <f>$B$9*IF($G$5="撼天",1.05,1)+IF(AND(VLOOKUP($E72,武器奇术!$A:$R,15,FALSE)="武器",VLOOKUP($E72,武器奇术!$A:$R,17,FALSE)="裂石"),$E$3,0)*(1+$E$15)</f>
        <v>0</v>
      </c>
      <c r="BK72" s="99">
        <f>(BJ72+BL72)*IF(VLOOKUP($E72,武器奇术!$A:$Z,21,FALSE)=1,$G$15,0.5)</f>
        <v>0</v>
      </c>
      <c r="BL72" s="109">
        <f>MAX($C$9*IF($G$5="撼天",1.05,1)+IF(AND(VLOOKUP($E72,武器奇术!$A:$R,15,FALSE)="武器",VLOOKUP($E72,武器奇术!$A:$R,17,FALSE)="裂石"),$E$3*(1+$E$15),0),BJ72)</f>
        <v>0</v>
      </c>
      <c r="BM72" s="110">
        <f>IF(($D$9+IF(VLOOKUP($E72,武器奇术!$A:$R,17,FALSE)="裂石",$D$15,0)+IF(VLOOKUP($E72,武器奇术!$A:$R,18,FALSE)=1,4,0)+IF(VLOOKUP($E72,武器奇术!$A:$S,19,FALSE)=1,20,0)-VLOOKUP($F$7,目标属性!$A:$R,6,FALSE))&gt;0,($D$9+IF(VLOOKUP($E72,武器奇术!$A:$R,17,FALSE)="裂石",$D$15,0)+IF(VLOOKUP($E72,武器奇术!$A:$R,18,FALSE)=1,4,0)+IF(VLOOKUP($E72,武器奇术!$A:$S,19,FALSE)=1,20,0)-VLOOKUP($F$7,目标属性!$A:$R,6,FALSE))/200,($D$9+IF(VLOOKUP($E72,武器奇术!$A:$R,17,FALSE)="裂石",$D$15,0)+IF(VLOOKUP($E72,武器奇术!$A:$R,18,FALSE)=1,4,0)+IF(VLOOKUP($E72,武器奇术!$A:$S,19,FALSE)=1,20,0)-VLOOKUP($F$7,目标属性!$A:$R,6,FALSE))/100)</f>
        <v>-0.24</v>
      </c>
      <c r="BN72" s="111">
        <f t="shared" si="17"/>
        <v>0</v>
      </c>
      <c r="BO72" s="109">
        <v>1</v>
      </c>
      <c r="BP72" s="112">
        <f>BJ72*IF(VLOOKUP($E72,武器奇术!$A:$R,17,FALSE)="裂石",VLOOKUP($E72,武器奇术!$A:$R,4,FALSE),VLOOKUP($E72,武器奇术!$A:$R,2,FALSE))*(1+BM72)*(1+BN72)*BO72</f>
        <v>0</v>
      </c>
      <c r="BQ72" s="110">
        <f>(1-IF(VLOOKUP($E72,武器奇术!$A:$T,20,FALSE)=1,1,$N72))*(1-$M72)</f>
        <v>0.01072666</v>
      </c>
      <c r="BR72" s="112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10">
        <f t="shared" si="18"/>
        <v>0.8813852</v>
      </c>
      <c r="BT72" s="112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10">
        <f t="shared" si="19"/>
        <v>0.0986</v>
      </c>
      <c r="BV72" s="112">
        <f>BK72*IF(VLOOKUP($E72,武器奇术!$A:$R,17,FALSE)="裂石",VLOOKUP($E72,武器奇术!$A:$R,4,FALSE),VLOOKUP($E72,武器奇术!$A:$R,2,FALSE))*(1+BM72)*(1+BN72)*BO72</f>
        <v>0</v>
      </c>
      <c r="BW72" s="110">
        <f t="shared" si="20"/>
        <v>0.00928814000000003</v>
      </c>
      <c r="BX72" s="113">
        <f t="shared" si="21"/>
        <v>0</v>
      </c>
      <c r="BY72" s="108">
        <f>$B$11*IF($G$5="撼天",1.05,1)+IF(AND(VLOOKUP($E72,武器奇术!$A:$R,15,FALSE)="武器",VLOOKUP($E72,武器奇术!$A:$R,17,FALSE)="牵丝"),$E$3,0)*(1+$E$15)</f>
        <v>0</v>
      </c>
      <c r="BZ72" s="99">
        <f>(BY72+CA72)*IF(VLOOKUP($E72,武器奇术!$A:$Z,21,FALSE)=1,$G$15,0.5)</f>
        <v>0</v>
      </c>
      <c r="CA72" s="109">
        <f>MAX($C$11*IF($G$5="撼天",1.05,1)+IF(AND(VLOOKUP($E72,武器奇术!$A:$R,15,FALSE)="武器",VLOOKUP($E72,武器奇术!$A:$R,17,FALSE)="牵丝"),$E$3*(1+$E$15),0),BY72)</f>
        <v>0</v>
      </c>
      <c r="CB72" s="110">
        <f>IF(($D$11+IF(VLOOKUP($E72,武器奇术!$A:$R,17,FALSE)="牵丝",$D$15,0)+IF(VLOOKUP($E72,武器奇术!$A:$R,18,FALSE)=1,4,0)+IF(VLOOKUP($E72,武器奇术!$A:$S,19,FALSE)=1,20,0)-VLOOKUP($F$7,目标属性!$A:$R,6,FALSE))&gt;0,($D$11+IF(VLOOKUP($E72,武器奇术!$A:$R,17,FALSE)="牵丝",$D$15,0)+IF(VLOOKUP($E72,武器奇术!$A:$R,18,FALSE)=1,4,0)+IF(VLOOKUP($E72,武器奇术!$A:$S,19,FALSE)=1,20,0)-VLOOKUP($F$7,目标属性!$A:$R,6,FALSE))/200,($D$11+IF(VLOOKUP($E72,武器奇术!$A:$R,17,FALSE)="牵丝",$D$15,0)+IF(VLOOKUP($E72,武器奇术!$A:$R,18,FALSE)=1,4,0)+IF(VLOOKUP($E72,武器奇术!$A:$S,19,FALSE)=1,20,0)-VLOOKUP($F$7,目标属性!$A:$R,6,FALSE))/100)</f>
        <v>-0.24</v>
      </c>
      <c r="CC72" s="111">
        <f t="shared" si="22"/>
        <v>0</v>
      </c>
      <c r="CD72" s="109">
        <v>1</v>
      </c>
      <c r="CE72" s="112">
        <f>BY72*IF(VLOOKUP($E72,武器奇术!$A:$R,17,FALSE)="牵丝",VLOOKUP($E72,武器奇术!$A:$R,4,FALSE),VLOOKUP($E72,武器奇术!$A:$R,2,FALSE))*(1+CB72)*(1+CC72)*CD72</f>
        <v>0</v>
      </c>
      <c r="CF72" s="110">
        <f>(1-IF(VLOOKUP($E72,武器奇术!$A:$T,20,FALSE)=1,1,$N72))*(1-$M72)</f>
        <v>0.01072666</v>
      </c>
      <c r="CG72" s="112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110">
        <f t="shared" si="23"/>
        <v>0.8813852</v>
      </c>
      <c r="CI72" s="112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110">
        <f t="shared" si="24"/>
        <v>0.0986</v>
      </c>
      <c r="CK72" s="112">
        <f>BZ72*IF(VLOOKUP($E72,武器奇术!$A:$R,17,FALSE)="牵丝",VLOOKUP($E72,武器奇术!$A:$R,4,FALSE),VLOOKUP($E72,武器奇术!$A:$R,2,FALSE))*(1+CB72)*(1+CC72)*CD72</f>
        <v>0</v>
      </c>
      <c r="CL72" s="110">
        <f t="shared" si="25"/>
        <v>0.00928814000000003</v>
      </c>
      <c r="CM72" s="113">
        <f t="shared" si="26"/>
        <v>0</v>
      </c>
      <c r="CN72" s="108">
        <f>$B$13*IF($G$5="撼天",1.05,1)+IF(AND(VLOOKUP($E72,武器奇术!$A:$R,15,FALSE)="武器",VLOOKUP($E72,武器奇术!$A:$R,17,FALSE)="破竹"),$E$3,0)*(1+$E$15)</f>
        <v>648.46</v>
      </c>
      <c r="CO72" s="99">
        <f>(CN72+CP72)*IF(VLOOKUP($E72,武器奇术!$A:$Z,21,FALSE)=1,$G$15,0.5)</f>
        <v>875.26</v>
      </c>
      <c r="CP72" s="109">
        <f>MAX($C$13*IF($G$5="撼天",1.05,1)+IF(AND(VLOOKUP($E72,武器奇术!$A:$R,15,FALSE)="武器",VLOOKUP($E72,武器奇术!$A:$R,17,FALSE)="破竹"),$E$3*(1+$E$15),0),CN72)</f>
        <v>1102.06</v>
      </c>
      <c r="CQ72" s="110">
        <f>IF(($D$13+IF(VLOOKUP($E72,武器奇术!$A:$R,17,FALSE)="破竹",$D$15,0)+IF(VLOOKUP($E72,武器奇术!$A:$R,18,FALSE)=1,4,0)+IF(VLOOKUP($E72,武器奇术!$A:$S,19,FALSE)=1,20,0)-VLOOKUP($F$7,目标属性!$A:$R,6,FALSE))&gt;0,($D$13+IF(VLOOKUP($E72,武器奇术!$A:$R,17,FALSE)="破竹",$D$15,0)+IF(VLOOKUP($E72,武器奇术!$A:$R,18,FALSE)=1,4,0)+IF(VLOOKUP($E72,武器奇术!$A:$S,19,FALSE)=1,20,0)-VLOOKUP($F$7,目标属性!$A:$R,6,FALSE))/200,($D$13+IF(VLOOKUP($E72,武器奇术!$A:$R,17,FALSE)="破竹",$D$15,0)+IF(VLOOKUP($E72,武器奇术!$A:$R,18,FALSE)=1,4,0)+IF(VLOOKUP($E72,武器奇术!$A:$S,19,FALSE)=1,20,0)-VLOOKUP($F$7,目标属性!$A:$R,6,FALSE))/100)</f>
        <v>0.025</v>
      </c>
      <c r="CR72" s="111">
        <f>$E$13+IF(VLOOKUP($E72,武器奇术!$A:$U,21,FALSE)=1,0,0.09)</f>
        <v>0.235</v>
      </c>
      <c r="CS72" s="109">
        <v>1</v>
      </c>
      <c r="CT72" s="112">
        <f>CN72*IF(VLOOKUP($E72,武器奇术!$A:$R,17,FALSE)="破竹",VLOOKUP($E72,武器奇术!$A:$R,4,FALSE),VLOOKUP($E72,武器奇术!$A:$R,2,FALSE))*(1+CQ72)*(1+CR72)*CS72</f>
        <v>1355.00895763675</v>
      </c>
      <c r="CU72" s="110">
        <f>(1-IF(VLOOKUP($E72,武器奇术!$A:$T,20,FALSE)=1,1,$N72))*(1-$M72)</f>
        <v>0.01072666</v>
      </c>
      <c r="CV72" s="112">
        <f>CO72*IF(VLOOKUP($E72,武器奇术!$A:$R,17,FALSE)="破竹",VLOOKUP($E72,武器奇术!$A:$R,4,FALSE),VLOOKUP($E72,武器奇术!$A:$R,2,FALSE))*(1+CQ72)*(1+CR72)*CS72*(1+$E$16+VLOOKUP($E72,武器奇术!$A:$R,8,FALSE))</f>
        <v>2999.43809954087</v>
      </c>
      <c r="CW72" s="110">
        <f t="shared" si="27"/>
        <v>0.8813852</v>
      </c>
      <c r="CX72" s="112">
        <f>CP72*IF(VLOOKUP($E72,武器奇术!$A:$R,17,FALSE)="破竹",VLOOKUP($E72,武器奇术!$A:$R,4,FALSE),VLOOKUP($E72,武器奇术!$A:$R,2,FALSE))*(1+CQ72)*(1+CR72)*CS72*(1+$E$17+VLOOKUP($E72,武器奇术!$A:$R,10,FALSE))</f>
        <v>3108.83721741011</v>
      </c>
      <c r="CY72" s="110">
        <f t="shared" si="28"/>
        <v>0.0986</v>
      </c>
      <c r="CZ72" s="112">
        <f>CO72*IF(VLOOKUP($E72,武器奇术!$A:$R,17,FALSE)="破竹",VLOOKUP($E72,武器奇术!$A:$R,4,FALSE),VLOOKUP($E72,武器奇术!$A:$R,2,FALSE))*(1+CQ72)*(1+CR72)*CS72</f>
        <v>1828.92567045175</v>
      </c>
      <c r="DA72" s="110">
        <f t="shared" si="29"/>
        <v>0.00928814000000003</v>
      </c>
      <c r="DB72" s="113">
        <f t="shared" si="30"/>
        <v>2981.71373695036</v>
      </c>
      <c r="DC72" s="108">
        <f t="shared" si="31"/>
        <v>69.3</v>
      </c>
      <c r="DD72" s="99">
        <f>(DC72+DE72)*IF(VLOOKUP($E72,武器奇术!$A:$Z,21,FALSE)=1,$G$15,0.5)</f>
        <v>69.3</v>
      </c>
      <c r="DE72" s="109">
        <f t="shared" si="32"/>
        <v>69.3</v>
      </c>
      <c r="DF72" s="110">
        <f>IF(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R,18,FALSE)=1,4,0)+IF(VLOOKUP($E72,武器奇术!$A:$S,19,FALSE)=1,20,0)-VLOOKUP($F$7,目标属性!$A:$R,6,FALSE))/100)</f>
        <v>0.025</v>
      </c>
      <c r="DG72" s="111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U,21,FALSE)=1,0,0.09)</f>
        <v>0.235</v>
      </c>
      <c r="DH72" s="109">
        <v>1</v>
      </c>
      <c r="DI72" s="112">
        <f>DC72*IF(VLOOKUP($E72,武器奇术!$A:$R,17,FALSE)="破竹",VLOOKUP($E72,武器奇术!$A:$R,4,FALSE),VLOOKUP($E72,武器奇术!$A:$R,2,FALSE))*(1+DF72)*(1+DG72)*DH72</f>
        <v>144.80788447125</v>
      </c>
      <c r="DJ72" s="110">
        <f>(1-IF(VLOOKUP($E72,武器奇术!$A:$T,20,FALSE)=1,1,$N72))*(1-$M72)</f>
        <v>0.01072666</v>
      </c>
      <c r="DK72" s="112">
        <f>DD72*IF(VLOOKUP($E72,武器奇术!$A:$R,17,FALSE)="破竹",VLOOKUP($E72,武器奇术!$A:$R,4,FALSE),VLOOKUP($E72,武器奇术!$A:$R,2,FALSE))*(1+DF72)*(1+DG72)*DH72*(1+$E$16+VLOOKUP($E72,武器奇术!$A:$R,8,FALSE))</f>
        <v>237.48493053285</v>
      </c>
      <c r="DL72" s="110">
        <f t="shared" si="33"/>
        <v>0.8813852</v>
      </c>
      <c r="DM72" s="112">
        <f>DE72*IF(VLOOKUP($E72,武器奇术!$A:$R,17,FALSE)="破竹",VLOOKUP($E72,武器奇术!$A:$R,4,FALSE),VLOOKUP($E72,武器奇术!$A:$R,2,FALSE))*(1+DF72)*(1+DG72)*DH72*(1+$E$17+VLOOKUP($E72,武器奇术!$A:$R,10,FALSE))</f>
        <v>195.490644036187</v>
      </c>
      <c r="DN72" s="110">
        <f t="shared" si="34"/>
        <v>0.0986</v>
      </c>
      <c r="DO72" s="112">
        <f>DD72*IF(VLOOKUP($E72,武器奇术!$A:$R,17,FALSE)="破竹",VLOOKUP($E72,武器奇术!$A:$R,4,FALSE),VLOOKUP($E72,武器奇术!$A:$R,2,FALSE))*(1+DF72)*(1+DG72)*DH72</f>
        <v>144.80788447125</v>
      </c>
      <c r="DP72" s="110">
        <f t="shared" si="35"/>
        <v>0.00928814000000003</v>
      </c>
      <c r="DQ72" s="113">
        <f t="shared" si="36"/>
        <v>231.489381342765</v>
      </c>
    </row>
    <row r="73" customFormat="1" spans="1:121">
      <c r="A73" s="75"/>
      <c r="B73" s="75"/>
      <c r="C73" s="75"/>
      <c r="D73" s="75"/>
      <c r="E73" s="98" t="str">
        <f>期望!E73</f>
        <v>拳甲～</v>
      </c>
      <c r="F73" s="99">
        <f>期望!F73</f>
        <v>1</v>
      </c>
      <c r="G73" s="115"/>
      <c r="H73" s="149">
        <f>IF(VLOOKUP($E73,武器奇术!$A:$R,18,FALSE)="天工",AE73,(AE73+AT73+BI73+BX73+CM73+DB73+DQ73))*(1+J73)*F73*K73*(1+G73)*(1+$G$21*5%)</f>
        <v>54311.5774135451</v>
      </c>
      <c r="I73" s="101">
        <f t="shared" si="0"/>
        <v>0.00670546560260393</v>
      </c>
      <c r="J73" s="101">
        <f>$F$3+VLOOKUP($E73,武器奇术!$A:$R,12,FALSE)+VLOOKUP($E73,武器奇术!$A:$R,14,FALSE)*$G$3+$P73</f>
        <v>0.473</v>
      </c>
      <c r="K73" s="102">
        <f>VLOOKUP($E73,武器奇术!$A:$R,11,FALSE)</f>
        <v>1</v>
      </c>
      <c r="L73" s="117">
        <f>IF(VLOOKUP($E73,武器奇术!$A:$R,15,FALSE)="天工",0%,IF($C$17+VLOOKUP($E73,武器奇术!$A:$R,7,FALSE)&gt;80%,80%,$C$17+VLOOKUP($E73,武器奇术!$A:$R,7,FALSE))+IF($C$19&gt;20%,20%,$C$19))</f>
        <v>0.892</v>
      </c>
      <c r="M73" s="118">
        <f>IF(VLOOKUP($E73,武器奇术!$A:$R,15,FALSE)="天工",0%,IF($C$18+VLOOKUP($E73,武器奇术!$A:$R,9,FALSE)&gt;40%,40%,$C$18+VLOOKUP($E73,武器奇术!$A:$R,9,FALSE))+IF($C$20&gt;10%,10%,$C$20))</f>
        <v>0.0986</v>
      </c>
      <c r="N73" s="119">
        <f>IF(VLOOKUP($E73,武器奇术!$A:$R,15,FALSE)="天工",100%,MIN($C$16,1))</f>
        <v>0.9881</v>
      </c>
      <c r="O73" s="120" t="str">
        <f>VLOOKUP($E73,武器奇术!$A:$R,16,FALSE)</f>
        <v>拳甲</v>
      </c>
      <c r="P73" s="121">
        <f t="shared" si="38"/>
        <v>0.17</v>
      </c>
      <c r="Q73" s="108">
        <f>$B$5*(1+VLOOKUP($E73,武器奇术!$A:$R,5,FALSE)+IF($G$5="飞隼",0.1,0)+IF($G$5="撼天",0.05,0))-$F$9+IF($I$5="√",160,0)</f>
        <v>1731.135</v>
      </c>
      <c r="R73" s="99">
        <f>IF(VLOOKUP($E73,武器奇术!$A:$Z,20,FALSE)=1,(S73-(Q73+S73)*0.5)*($G$15-0.5)*2+(Q73+S73)*0.5,(Q73+S73)*0.5)</f>
        <v>3256.775</v>
      </c>
      <c r="S73" s="109">
        <f>MAX($C$5,$B$5)*(1+VLOOKUP($E73,武器奇术!$A:$R,5,FALSE)+IF($G$5="飞隼",0.1,0)+IF($G$5="撼天",0.05,0))-$F$9+IF($I$5="√",320,0)</f>
        <v>4782.415</v>
      </c>
      <c r="T73" s="101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U73" s="111">
        <f>$E$5+IF(VLOOKUP($E73,武器奇术!$A:$U,21,FALSE)=1,0,0.09)</f>
        <v>0.115</v>
      </c>
      <c r="V73" s="109">
        <v>1</v>
      </c>
      <c r="W73" s="112">
        <f>Q73*VLOOKUP($E73,武器奇术!$A:$R,2,FALSE)*(1+T73)*(1+U73)*V73</f>
        <v>5854.51393233431</v>
      </c>
      <c r="X73" s="110">
        <f>(1-IF(VLOOKUP($E73,武器奇术!$A:$T,20,FALSE)=1,1,$N73))*(1-$M73)</f>
        <v>0.01072666</v>
      </c>
      <c r="Y73" s="112">
        <f>R73*VLOOKUP($E73,武器奇术!$A:$R,2,FALSE)*(1+T73)*(1+U73)*V73*(1+$E$16+VLOOKUP($E73,武器奇术!$A:$R,8,FALSE))</f>
        <v>18063.0677351241</v>
      </c>
      <c r="Z73" s="110">
        <f t="shared" si="1"/>
        <v>0.8813852</v>
      </c>
      <c r="AA73" s="112">
        <f>S73*VLOOKUP($E73,武器奇术!$A:$R,2,FALSE)*(1+T73)*(1+U73)*V73*(1+$E$17+VLOOKUP($E73,武器奇术!$A:$R,10,FALSE))</f>
        <v>21834.3835601505</v>
      </c>
      <c r="AB73" s="110">
        <f t="shared" si="2"/>
        <v>0.0986</v>
      </c>
      <c r="AC73" s="112">
        <f>R73*VLOOKUP($E73,武器奇术!$A:$R,2,FALSE)*(1+T73)*(1+U73)*V73</f>
        <v>11014.0656921488</v>
      </c>
      <c r="AD73" s="110">
        <f t="shared" si="3"/>
        <v>0.00928814000000003</v>
      </c>
      <c r="AE73" s="113">
        <f t="shared" si="4"/>
        <v>18238.490351902</v>
      </c>
      <c r="AF73" s="114">
        <f>VLOOKUP($E73,武器奇术!$A:$R,3,FALSE)*(1+IF(VLOOKUP($E73,武器奇术!$A:$R,15,FALSE)="武器",$E$15,0))</f>
        <v>877.5</v>
      </c>
      <c r="AG73" s="112">
        <f t="shared" si="5"/>
        <v>877.5</v>
      </c>
      <c r="AH73" s="112">
        <f>VLOOKUP($E73,武器奇术!$A:$R,3,FALSE)*(1+IF(VLOOKUP($E73,武器奇术!$A:$R,15,FALSE)="武器",$E$15,0))</f>
        <v>877.5</v>
      </c>
      <c r="AI73" s="101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0.242</v>
      </c>
      <c r="AJ73" s="111">
        <f>$E$5+IF(VLOOKUP($E73,武器奇术!$A:$U,21,FALSE)=1,0,0.09)</f>
        <v>0.115</v>
      </c>
      <c r="AK73" s="109">
        <v>1</v>
      </c>
      <c r="AL73" s="112">
        <f t="shared" si="6"/>
        <v>1215.188325</v>
      </c>
      <c r="AM73" s="110">
        <f>(1-IF(VLOOKUP($E73,武器奇术!$A:$T,20,FALSE)=1,1,$N73))*(1-$M73)</f>
        <v>0.01072666</v>
      </c>
      <c r="AN73" s="112">
        <f>AG73*(1+AI73)*(1+AJ73)*AK73*(1+$E$16+VLOOKUP($E73,武器奇术!$A:$R,8,FALSE))</f>
        <v>1992.908853</v>
      </c>
      <c r="AO73" s="110">
        <f t="shared" si="7"/>
        <v>0.8813852</v>
      </c>
      <c r="AP73" s="112">
        <f>AH73*(1+AI73)*(1+AJ73)*AK73*(1+$E$17+VLOOKUP($E73,武器奇术!$A:$R,10,FALSE))</f>
        <v>1640.50423875</v>
      </c>
      <c r="AQ73" s="110">
        <f t="shared" si="8"/>
        <v>0.0986</v>
      </c>
      <c r="AR73" s="112">
        <f t="shared" si="9"/>
        <v>1215.188325</v>
      </c>
      <c r="AS73" s="110">
        <f t="shared" si="10"/>
        <v>0.00928814000000003</v>
      </c>
      <c r="AT73" s="113">
        <f t="shared" si="11"/>
        <v>1942.59583721114</v>
      </c>
      <c r="AU73" s="108">
        <f>$B$7*IF($G$5="撼天",1.05,1)+IF(AND(VLOOKUP($E73,武器奇术!$A:$R,15,FALSE)="武器",VLOOKUP($E73,武器奇术!$A:$R,17,FALSE)="鸣金"),$E$3,0)*(1+$E$15)</f>
        <v>0</v>
      </c>
      <c r="AV73" s="99">
        <f>(AU73+AW73)*IF(VLOOKUP($E73,武器奇术!$A:$Z,21,FALSE)=1,$G$15,0.5)</f>
        <v>0</v>
      </c>
      <c r="AW73" s="109">
        <f>MAX($C$7*IF($G$5="撼天",1.05,1)+IF(AND(VLOOKUP($E73,武器奇术!$A:$R,15,FALSE)="武器",VLOOKUP($E73,武器奇术!$A:$R,17,FALSE)="鸣金"),$E$3*(1+$E$15),0),AU73)</f>
        <v>0</v>
      </c>
      <c r="AX73" s="110">
        <f>IF(($D$7+IF(VLOOKUP($E73,武器奇术!$A:$R,17,FALSE)="鸣金",$D$15,0)+IF(VLOOKUP($E73,武器奇术!$A:$R,18,FALSE)=1,4,0)+IF(VLOOKUP($E73,武器奇术!$A:$S,19,FALSE)=1,20,0)-VLOOKUP($F$7,目标属性!$A:$R,6,FALSE))&gt;0,($D$7+IF(VLOOKUP($E73,武器奇术!$A:$R,17,FALSE)="鸣金",$D$15,0)+IF(VLOOKUP($E73,武器奇术!$A:$R,18,FALSE)=1,4,0)+IF(VLOOKUP($E73,武器奇术!$A:$S,19,FALSE)=1,20,0)-VLOOKUP($F$7,目标属性!$A:$R,6,FALSE))/200,($D$7+IF(VLOOKUP($E73,武器奇术!$A:$R,17,FALSE)="鸣金",$D$15,0)+IF(VLOOKUP($E73,武器奇术!$A:$R,18,FALSE)=1,4,0)+IF(VLOOKUP($E73,武器奇术!$A:$S,19,FALSE)=1,20,0)-VLOOKUP($F$7,目标属性!$A:$R,6,FALSE))/100)</f>
        <v>-0.24</v>
      </c>
      <c r="AY73" s="111">
        <f t="shared" si="12"/>
        <v>0</v>
      </c>
      <c r="AZ73" s="109">
        <v>1</v>
      </c>
      <c r="BA73" s="112">
        <f>AU73*IF(VLOOKUP($E73,武器奇术!$A:$R,17,FALSE)="鸣金",VLOOKUP($E73,武器奇术!$A:$R,4,FALSE),VLOOKUP($E73,武器奇术!$A:$R,2,FALSE))*(1+AX73)*(1+AY73)*AZ73</f>
        <v>0</v>
      </c>
      <c r="BB73" s="110">
        <f>(1-IF(VLOOKUP($E73,武器奇术!$A:$T,20,FALSE)=1,1,$N73))*(1-$M73)</f>
        <v>0.01072666</v>
      </c>
      <c r="BC73" s="112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10">
        <f t="shared" si="13"/>
        <v>0.8813852</v>
      </c>
      <c r="BE73" s="112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10">
        <f t="shared" si="14"/>
        <v>0.0986</v>
      </c>
      <c r="BG73" s="112">
        <f>AV73*IF(VLOOKUP($E73,武器奇术!$A:$R,17,FALSE)="鸣金",VLOOKUP($E73,武器奇术!$A:$R,4,FALSE),VLOOKUP($E73,武器奇术!$A:$R,2,FALSE))*(1+AX73)*(1+AY73)*AZ73</f>
        <v>0</v>
      </c>
      <c r="BH73" s="110">
        <f t="shared" si="15"/>
        <v>0.00928814000000003</v>
      </c>
      <c r="BI73" s="113">
        <f t="shared" si="16"/>
        <v>0</v>
      </c>
      <c r="BJ73" s="108">
        <f>$B$9*IF($G$5="撼天",1.05,1)+IF(AND(VLOOKUP($E73,武器奇术!$A:$R,15,FALSE)="武器",VLOOKUP($E73,武器奇术!$A:$R,17,FALSE)="裂石"),$E$3,0)*(1+$E$15)</f>
        <v>0</v>
      </c>
      <c r="BK73" s="99">
        <f>(BJ73+BL73)*IF(VLOOKUP($E73,武器奇术!$A:$Z,21,FALSE)=1,$G$15,0.5)</f>
        <v>0</v>
      </c>
      <c r="BL73" s="109">
        <f>MAX($C$9*IF($G$5="撼天",1.05,1)+IF(AND(VLOOKUP($E73,武器奇术!$A:$R,15,FALSE)="武器",VLOOKUP($E73,武器奇术!$A:$R,17,FALSE)="裂石"),$E$3*(1+$E$15),0),BJ73)</f>
        <v>0</v>
      </c>
      <c r="BM73" s="110">
        <f>IF(($D$9+IF(VLOOKUP($E73,武器奇术!$A:$R,17,FALSE)="裂石",$D$15,0)+IF(VLOOKUP($E73,武器奇术!$A:$R,18,FALSE)=1,4,0)+IF(VLOOKUP($E73,武器奇术!$A:$S,19,FALSE)=1,20,0)-VLOOKUP($F$7,目标属性!$A:$R,6,FALSE))&gt;0,($D$9+IF(VLOOKUP($E73,武器奇术!$A:$R,17,FALSE)="裂石",$D$15,0)+IF(VLOOKUP($E73,武器奇术!$A:$R,18,FALSE)=1,4,0)+IF(VLOOKUP($E73,武器奇术!$A:$S,19,FALSE)=1,20,0)-VLOOKUP($F$7,目标属性!$A:$R,6,FALSE))/200,($D$9+IF(VLOOKUP($E73,武器奇术!$A:$R,17,FALSE)="裂石",$D$15,0)+IF(VLOOKUP($E73,武器奇术!$A:$R,18,FALSE)=1,4,0)+IF(VLOOKUP($E73,武器奇术!$A:$S,19,FALSE)=1,20,0)-VLOOKUP($F$7,目标属性!$A:$R,6,FALSE))/100)</f>
        <v>-0.24</v>
      </c>
      <c r="BN73" s="111">
        <f t="shared" si="17"/>
        <v>0</v>
      </c>
      <c r="BO73" s="109">
        <v>1</v>
      </c>
      <c r="BP73" s="112">
        <f>BJ73*IF(VLOOKUP($E73,武器奇术!$A:$R,17,FALSE)="裂石",VLOOKUP($E73,武器奇术!$A:$R,4,FALSE),VLOOKUP($E73,武器奇术!$A:$R,2,FALSE))*(1+BM73)*(1+BN73)*BO73</f>
        <v>0</v>
      </c>
      <c r="BQ73" s="110">
        <f>(1-IF(VLOOKUP($E73,武器奇术!$A:$T,20,FALSE)=1,1,$N73))*(1-$M73)</f>
        <v>0.01072666</v>
      </c>
      <c r="BR73" s="112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10">
        <f t="shared" si="18"/>
        <v>0.8813852</v>
      </c>
      <c r="BT73" s="112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10">
        <f t="shared" si="19"/>
        <v>0.0986</v>
      </c>
      <c r="BV73" s="112">
        <f>BK73*IF(VLOOKUP($E73,武器奇术!$A:$R,17,FALSE)="裂石",VLOOKUP($E73,武器奇术!$A:$R,4,FALSE),VLOOKUP($E73,武器奇术!$A:$R,2,FALSE))*(1+BM73)*(1+BN73)*BO73</f>
        <v>0</v>
      </c>
      <c r="BW73" s="110">
        <f t="shared" si="20"/>
        <v>0.00928814000000003</v>
      </c>
      <c r="BX73" s="113">
        <f t="shared" si="21"/>
        <v>0</v>
      </c>
      <c r="BY73" s="108">
        <f>$B$11*IF($G$5="撼天",1.05,1)+IF(AND(VLOOKUP($E73,武器奇术!$A:$R,15,FALSE)="武器",VLOOKUP($E73,武器奇术!$A:$R,17,FALSE)="牵丝"),$E$3,0)*(1+$E$15)</f>
        <v>0</v>
      </c>
      <c r="BZ73" s="99">
        <f>(BY73+CA73)*IF(VLOOKUP($E73,武器奇术!$A:$Z,21,FALSE)=1,$G$15,0.5)</f>
        <v>0</v>
      </c>
      <c r="CA73" s="109">
        <f>MAX($C$11*IF($G$5="撼天",1.05,1)+IF(AND(VLOOKUP($E73,武器奇术!$A:$R,15,FALSE)="武器",VLOOKUP($E73,武器奇术!$A:$R,17,FALSE)="牵丝"),$E$3*(1+$E$15),0),BY73)</f>
        <v>0</v>
      </c>
      <c r="CB73" s="110">
        <f>IF(($D$11+IF(VLOOKUP($E73,武器奇术!$A:$R,17,FALSE)="牵丝",$D$15,0)+IF(VLOOKUP($E73,武器奇术!$A:$R,18,FALSE)=1,4,0)+IF(VLOOKUP($E73,武器奇术!$A:$S,19,FALSE)=1,20,0)-VLOOKUP($F$7,目标属性!$A:$R,6,FALSE))&gt;0,($D$11+IF(VLOOKUP($E73,武器奇术!$A:$R,17,FALSE)="牵丝",$D$15,0)+IF(VLOOKUP($E73,武器奇术!$A:$R,18,FALSE)=1,4,0)+IF(VLOOKUP($E73,武器奇术!$A:$S,19,FALSE)=1,20,0)-VLOOKUP($F$7,目标属性!$A:$R,6,FALSE))/200,($D$11+IF(VLOOKUP($E73,武器奇术!$A:$R,17,FALSE)="牵丝",$D$15,0)+IF(VLOOKUP($E73,武器奇术!$A:$R,18,FALSE)=1,4,0)+IF(VLOOKUP($E73,武器奇术!$A:$S,19,FALSE)=1,20,0)-VLOOKUP($F$7,目标属性!$A:$R,6,FALSE))/100)</f>
        <v>-0.24</v>
      </c>
      <c r="CC73" s="111">
        <f t="shared" si="22"/>
        <v>0</v>
      </c>
      <c r="CD73" s="109">
        <v>1</v>
      </c>
      <c r="CE73" s="112">
        <f>BY73*IF(VLOOKUP($E73,武器奇术!$A:$R,17,FALSE)="牵丝",VLOOKUP($E73,武器奇术!$A:$R,4,FALSE),VLOOKUP($E73,武器奇术!$A:$R,2,FALSE))*(1+CB73)*(1+CC73)*CD73</f>
        <v>0</v>
      </c>
      <c r="CF73" s="110">
        <f>(1-IF(VLOOKUP($E73,武器奇术!$A:$T,20,FALSE)=1,1,$N73))*(1-$M73)</f>
        <v>0.01072666</v>
      </c>
      <c r="CG73" s="112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110">
        <f t="shared" si="23"/>
        <v>0.8813852</v>
      </c>
      <c r="CI73" s="112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110">
        <f t="shared" si="24"/>
        <v>0.0986</v>
      </c>
      <c r="CK73" s="112">
        <f>BZ73*IF(VLOOKUP($E73,武器奇术!$A:$R,17,FALSE)="牵丝",VLOOKUP($E73,武器奇术!$A:$R,4,FALSE),VLOOKUP($E73,武器奇术!$A:$R,2,FALSE))*(1+CB73)*(1+CC73)*CD73</f>
        <v>0</v>
      </c>
      <c r="CL73" s="110">
        <f t="shared" si="25"/>
        <v>0.00928814000000003</v>
      </c>
      <c r="CM73" s="113">
        <f t="shared" si="26"/>
        <v>0</v>
      </c>
      <c r="CN73" s="108">
        <f>$B$13*IF($G$5="撼天",1.05,1)+IF(AND(VLOOKUP($E73,武器奇术!$A:$R,15,FALSE)="武器",VLOOKUP($E73,武器奇术!$A:$R,17,FALSE)="破竹"),$E$3,0)*(1+$E$15)</f>
        <v>648.46</v>
      </c>
      <c r="CO73" s="99">
        <f>(CN73+CP73)*IF(VLOOKUP($E73,武器奇术!$A:$Z,21,FALSE)=1,$G$15,0.5)</f>
        <v>875.26</v>
      </c>
      <c r="CP73" s="109">
        <f>MAX($C$13*IF($G$5="撼天",1.05,1)+IF(AND(VLOOKUP($E73,武器奇术!$A:$R,15,FALSE)="武器",VLOOKUP($E73,武器奇术!$A:$R,17,FALSE)="破竹"),$E$3*(1+$E$15),0),CN73)</f>
        <v>1102.06</v>
      </c>
      <c r="CQ73" s="110">
        <f>IF(($D$13+IF(VLOOKUP($E73,武器奇术!$A:$R,17,FALSE)="破竹",$D$15,0)+IF(VLOOKUP($E73,武器奇术!$A:$R,18,FALSE)=1,4,0)+IF(VLOOKUP($E73,武器奇术!$A:$S,19,FALSE)=1,20,0)-VLOOKUP($F$7,目标属性!$A:$R,6,FALSE))&gt;0,($D$13+IF(VLOOKUP($E73,武器奇术!$A:$R,17,FALSE)="破竹",$D$15,0)+IF(VLOOKUP($E73,武器奇术!$A:$R,18,FALSE)=1,4,0)+IF(VLOOKUP($E73,武器奇术!$A:$S,19,FALSE)=1,20,0)-VLOOKUP($F$7,目标属性!$A:$R,6,FALSE))/200,($D$13+IF(VLOOKUP($E73,武器奇术!$A:$R,17,FALSE)="破竹",$D$15,0)+IF(VLOOKUP($E73,武器奇术!$A:$R,18,FALSE)=1,4,0)+IF(VLOOKUP($E73,武器奇术!$A:$S,19,FALSE)=1,20,0)-VLOOKUP($F$7,目标属性!$A:$R,6,FALSE))/100)</f>
        <v>0.025</v>
      </c>
      <c r="CR73" s="111">
        <f>$E$13+IF(VLOOKUP($E73,武器奇术!$A:$U,21,FALSE)=1,0,0.09)</f>
        <v>0.235</v>
      </c>
      <c r="CS73" s="109">
        <v>1</v>
      </c>
      <c r="CT73" s="112">
        <f>CN73*IF(VLOOKUP($E73,武器奇术!$A:$R,17,FALSE)="破竹",VLOOKUP($E73,武器奇术!$A:$R,4,FALSE),VLOOKUP($E73,武器奇术!$A:$R,2,FALSE))*(1+CQ73)*(1+CR73)*CS73</f>
        <v>3007.1726027785</v>
      </c>
      <c r="CU73" s="110">
        <f>(1-IF(VLOOKUP($E73,武器奇术!$A:$T,20,FALSE)=1,1,$N73))*(1-$M73)</f>
        <v>0.01072666</v>
      </c>
      <c r="CV73" s="112">
        <f>CO73*IF(VLOOKUP($E73,武器奇术!$A:$R,17,FALSE)="破竹",VLOOKUP($E73,武器奇术!$A:$R,4,FALSE),VLOOKUP($E73,武器奇术!$A:$R,2,FALSE))*(1+CQ73)*(1+CR73)*CS73*(1+$E$16+VLOOKUP($E73,武器奇术!$A:$R,8,FALSE))</f>
        <v>6656.65568174594</v>
      </c>
      <c r="CW73" s="110">
        <f t="shared" si="27"/>
        <v>0.8813852</v>
      </c>
      <c r="CX73" s="112">
        <f>CP73*IF(VLOOKUP($E73,武器奇术!$A:$R,17,FALSE)="破竹",VLOOKUP($E73,武器奇术!$A:$R,4,FALSE),VLOOKUP($E73,武器奇术!$A:$R,2,FALSE))*(1+CQ73)*(1+CR73)*CS73*(1+$E$17+VLOOKUP($E73,武器奇术!$A:$R,10,FALSE))</f>
        <v>6899.44524278198</v>
      </c>
      <c r="CY73" s="110">
        <f t="shared" si="28"/>
        <v>0.0986</v>
      </c>
      <c r="CZ73" s="112">
        <f>CO73*IF(VLOOKUP($E73,武器奇术!$A:$R,17,FALSE)="破竹",VLOOKUP($E73,武器奇术!$A:$R,4,FALSE),VLOOKUP($E73,武器奇术!$A:$R,2,FALSE))*(1+CQ73)*(1+CR73)*CS73</f>
        <v>4058.9363913085</v>
      </c>
      <c r="DA73" s="110">
        <f t="shared" si="29"/>
        <v>0.00928814000000003</v>
      </c>
      <c r="DB73" s="113">
        <f t="shared" si="30"/>
        <v>6617.31998784997</v>
      </c>
      <c r="DC73" s="108">
        <f t="shared" si="31"/>
        <v>69.3</v>
      </c>
      <c r="DD73" s="99">
        <f>(DC73+DE73)*IF(VLOOKUP($E73,武器奇术!$A:$Z,21,FALSE)=1,$G$15,0.5)</f>
        <v>69.3</v>
      </c>
      <c r="DE73" s="109">
        <f t="shared" si="32"/>
        <v>69.3</v>
      </c>
      <c r="DF73" s="110">
        <f>IF(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R,18,FALSE)=1,4,0)+IF(VLOOKUP($E73,武器奇术!$A:$S,19,FALSE)=1,20,0)-VLOOKUP($F$7,目标属性!$A:$R,6,FALSE))/100)</f>
        <v>0.025</v>
      </c>
      <c r="DG73" s="111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U,21,FALSE)=1,0,0.09)</f>
        <v>0.235</v>
      </c>
      <c r="DH73" s="109">
        <v>1</v>
      </c>
      <c r="DI73" s="112">
        <f>DC73*IF(VLOOKUP($E73,武器奇术!$A:$R,17,FALSE)="破竹",VLOOKUP($E73,武器奇术!$A:$R,4,FALSE),VLOOKUP($E73,武器奇术!$A:$R,2,FALSE))*(1+DF73)*(1+DG73)*DH73</f>
        <v>321.3722687175</v>
      </c>
      <c r="DJ73" s="110">
        <f>(1-IF(VLOOKUP($E73,武器奇术!$A:$T,20,FALSE)=1,1,$N73))*(1-$M73)</f>
        <v>0.01072666</v>
      </c>
      <c r="DK73" s="112">
        <f>DD73*IF(VLOOKUP($E73,武器奇术!$A:$R,17,FALSE)="破竹",VLOOKUP($E73,武器奇术!$A:$R,4,FALSE),VLOOKUP($E73,武器奇术!$A:$R,2,FALSE))*(1+DF73)*(1+DG73)*DH73*(1+$E$16+VLOOKUP($E73,武器奇术!$A:$R,8,FALSE))</f>
        <v>527.0505206967</v>
      </c>
      <c r="DL73" s="110">
        <f t="shared" si="33"/>
        <v>0.8813852</v>
      </c>
      <c r="DM73" s="112">
        <f>DE73*IF(VLOOKUP($E73,武器奇术!$A:$R,17,FALSE)="破竹",VLOOKUP($E73,武器奇术!$A:$R,4,FALSE),VLOOKUP($E73,武器奇术!$A:$R,2,FALSE))*(1+DF73)*(1+DG73)*DH73*(1+$E$17+VLOOKUP($E73,武器奇术!$A:$R,10,FALSE))</f>
        <v>433.852562768625</v>
      </c>
      <c r="DN73" s="110">
        <f t="shared" si="34"/>
        <v>0.0986</v>
      </c>
      <c r="DO73" s="112">
        <f>DD73*IF(VLOOKUP($E73,武器奇术!$A:$R,17,FALSE)="破竹",VLOOKUP($E73,武器奇术!$A:$R,4,FALSE),VLOOKUP($E73,武器奇术!$A:$R,2,FALSE))*(1+DF73)*(1+DG73)*DH73</f>
        <v>321.3722687175</v>
      </c>
      <c r="DP73" s="110">
        <f t="shared" si="35"/>
        <v>0.00928814000000003</v>
      </c>
      <c r="DQ73" s="113">
        <f t="shared" si="36"/>
        <v>513.744592967279</v>
      </c>
    </row>
    <row r="74" customFormat="1" spans="1:121">
      <c r="A74" s="75"/>
      <c r="B74" s="75"/>
      <c r="C74" s="75"/>
      <c r="D74" s="75"/>
      <c r="E74" s="98" t="str">
        <f>期望!E74</f>
        <v>拳甲普攻56</v>
      </c>
      <c r="F74" s="99">
        <f>期望!F74</f>
        <v>1</v>
      </c>
      <c r="G74" s="115"/>
      <c r="H74" s="149">
        <f>IF(VLOOKUP($E74,武器奇术!$A:$R,18,FALSE)="天工",AE74,(AE74+AT74+BI74+BX74+CM74+DB74+DQ74))*(1+J74)*F74*K74*(1+G74)*(1+$G$21*5%)</f>
        <v>28646.9930354516</v>
      </c>
      <c r="I74" s="101">
        <f t="shared" si="0"/>
        <v>0.00353684123284824</v>
      </c>
      <c r="J74" s="101">
        <f>$F$3+VLOOKUP($E74,武器奇术!$A:$R,12,FALSE)+VLOOKUP($E74,武器奇术!$A:$R,14,FALSE)*$G$3+$P74</f>
        <v>0.473</v>
      </c>
      <c r="K74" s="102">
        <f>VLOOKUP($E74,武器奇术!$A:$R,11,FALSE)</f>
        <v>1</v>
      </c>
      <c r="L74" s="117">
        <f>IF(VLOOKUP($E74,武器奇术!$A:$R,15,FALSE)="天工",0%,IF($C$17+VLOOKUP($E74,武器奇术!$A:$R,7,FALSE)&gt;80%,80%,$C$17+VLOOKUP($E74,武器奇术!$A:$R,7,FALSE))+IF($C$19&gt;20%,20%,$C$19))</f>
        <v>0.892</v>
      </c>
      <c r="M74" s="118">
        <f>IF(VLOOKUP($E74,武器奇术!$A:$R,15,FALSE)="天工",0%,IF($C$18+VLOOKUP($E74,武器奇术!$A:$R,9,FALSE)&gt;40%,40%,$C$18+VLOOKUP($E74,武器奇术!$A:$R,9,FALSE))+IF($C$20&gt;10%,10%,$C$20))</f>
        <v>0.0986</v>
      </c>
      <c r="N74" s="119">
        <f>IF(VLOOKUP($E74,武器奇术!$A:$R,15,FALSE)="天工",100%,MIN($C$16,1))</f>
        <v>0.9881</v>
      </c>
      <c r="O74" s="120" t="str">
        <f>VLOOKUP($E74,武器奇术!$A:$R,16,FALSE)</f>
        <v>拳甲</v>
      </c>
      <c r="P74" s="121">
        <f t="shared" si="38"/>
        <v>0.17</v>
      </c>
      <c r="Q74" s="108">
        <f>$B$5*(1+VLOOKUP($E74,武器奇术!$A:$R,5,FALSE)+IF($G$5="飞隼",0.1,0)+IF($G$5="撼天",0.05,0))-$F$9+IF($I$5="√",160,0)</f>
        <v>1731.135</v>
      </c>
      <c r="R74" s="99">
        <f>IF(VLOOKUP($E74,武器奇术!$A:$Z,20,FALSE)=1,(S74-(Q74+S74)*0.5)*($G$15-0.5)*2+(Q74+S74)*0.5,(Q74+S74)*0.5)</f>
        <v>3256.775</v>
      </c>
      <c r="S74" s="109">
        <f>MAX($C$5,$B$5)*(1+VLOOKUP($E74,武器奇术!$A:$R,5,FALSE)+IF($G$5="飞隼",0.1,0)+IF($G$5="撼天",0.05,0))-$F$9+IF($I$5="√",320,0)</f>
        <v>4782.415</v>
      </c>
      <c r="T74" s="101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U74" s="111">
        <f>$E$5+IF(VLOOKUP($E74,武器奇术!$A:$U,21,FALSE)=1,0,0.09)</f>
        <v>0.115</v>
      </c>
      <c r="V74" s="109">
        <v>1</v>
      </c>
      <c r="W74" s="112">
        <f>Q74*VLOOKUP($E74,武器奇术!$A:$R,2,FALSE)*(1+T74)*(1+U74)*V74</f>
        <v>3086.79912340758</v>
      </c>
      <c r="X74" s="110">
        <f>(1-IF(VLOOKUP($E74,武器奇术!$A:$T,20,FALSE)=1,1,$N74))*(1-$M74)</f>
        <v>0.01072666</v>
      </c>
      <c r="Y74" s="112">
        <f>R74*VLOOKUP($E74,武器奇术!$A:$R,2,FALSE)*(1+T74)*(1+U74)*V74*(1+$E$16+VLOOKUP($E74,武器奇术!$A:$R,8,FALSE))</f>
        <v>9523.77298871699</v>
      </c>
      <c r="Z74" s="110">
        <f t="shared" si="1"/>
        <v>0.8813852</v>
      </c>
      <c r="AA74" s="112">
        <f>S74*VLOOKUP($E74,武器奇术!$A:$R,2,FALSE)*(1+T74)*(1+U74)*V74*(1+$E$17+VLOOKUP($E74,武器奇术!$A:$R,10,FALSE))</f>
        <v>11512.2035428729</v>
      </c>
      <c r="AB74" s="110">
        <f t="shared" si="2"/>
        <v>0.0986</v>
      </c>
      <c r="AC74" s="112">
        <f>R74*VLOOKUP($E74,武器奇术!$A:$R,2,FALSE)*(1+T74)*(1+U74)*V74</f>
        <v>5807.1786516567</v>
      </c>
      <c r="AD74" s="110">
        <f t="shared" si="3"/>
        <v>0.00928814000000003</v>
      </c>
      <c r="AE74" s="113">
        <f t="shared" si="4"/>
        <v>9616.26476274887</v>
      </c>
      <c r="AF74" s="114">
        <f>VLOOKUP($E74,武器奇术!$A:$R,3,FALSE)*(1+IF(VLOOKUP($E74,武器奇术!$A:$R,15,FALSE)="武器",$E$15,0))</f>
        <v>465.4</v>
      </c>
      <c r="AG74" s="112">
        <f t="shared" si="5"/>
        <v>465.4</v>
      </c>
      <c r="AH74" s="112">
        <f>VLOOKUP($E74,武器奇术!$A:$R,3,FALSE)*(1+IF(VLOOKUP($E74,武器奇术!$A:$R,15,FALSE)="武器",$E$15,0))</f>
        <v>465.4</v>
      </c>
      <c r="AI74" s="101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0.242</v>
      </c>
      <c r="AJ74" s="111">
        <f>$E$5+IF(VLOOKUP($E74,武器奇术!$A:$U,21,FALSE)=1,0,0.09)</f>
        <v>0.115</v>
      </c>
      <c r="AK74" s="109">
        <v>1</v>
      </c>
      <c r="AL74" s="112">
        <f t="shared" si="6"/>
        <v>644.499882</v>
      </c>
      <c r="AM74" s="110">
        <f>(1-IF(VLOOKUP($E74,武器奇术!$A:$T,20,FALSE)=1,1,$N74))*(1-$M74)</f>
        <v>0.01072666</v>
      </c>
      <c r="AN74" s="112">
        <f>AG74*(1+AI74)*(1+AJ74)*AK74*(1+$E$16+VLOOKUP($E74,武器奇术!$A:$R,8,FALSE))</f>
        <v>1056.97980648</v>
      </c>
      <c r="AO74" s="110">
        <f t="shared" si="7"/>
        <v>0.8813852</v>
      </c>
      <c r="AP74" s="112">
        <f>AH74*(1+AI74)*(1+AJ74)*AK74*(1+$E$17+VLOOKUP($E74,武器奇术!$A:$R,10,FALSE))</f>
        <v>870.0748407</v>
      </c>
      <c r="AQ74" s="110">
        <f t="shared" si="8"/>
        <v>0.0986</v>
      </c>
      <c r="AR74" s="112">
        <f t="shared" si="9"/>
        <v>644.499882</v>
      </c>
      <c r="AS74" s="110">
        <f t="shared" si="10"/>
        <v>0.00928814000000003</v>
      </c>
      <c r="AT74" s="113">
        <f t="shared" si="11"/>
        <v>1030.29527366161</v>
      </c>
      <c r="AU74" s="108">
        <f>$B$7*IF($G$5="撼天",1.05,1)+IF(AND(VLOOKUP($E74,武器奇术!$A:$R,15,FALSE)="武器",VLOOKUP($E74,武器奇术!$A:$R,17,FALSE)="鸣金"),$E$3,0)*(1+$E$15)</f>
        <v>0</v>
      </c>
      <c r="AV74" s="99">
        <f>(AU74+AW74)*IF(VLOOKUP($E74,武器奇术!$A:$Z,21,FALSE)=1,$G$15,0.5)</f>
        <v>0</v>
      </c>
      <c r="AW74" s="109">
        <f>MAX($C$7*IF($G$5="撼天",1.05,1)+IF(AND(VLOOKUP($E74,武器奇术!$A:$R,15,FALSE)="武器",VLOOKUP($E74,武器奇术!$A:$R,17,FALSE)="鸣金"),$E$3*(1+$E$15),0),AU74)</f>
        <v>0</v>
      </c>
      <c r="AX74" s="110">
        <f>IF(($D$7+IF(VLOOKUP($E74,武器奇术!$A:$R,17,FALSE)="鸣金",$D$15,0)+IF(VLOOKUP($E74,武器奇术!$A:$R,18,FALSE)=1,4,0)+IF(VLOOKUP($E74,武器奇术!$A:$S,19,FALSE)=1,20,0)-VLOOKUP($F$7,目标属性!$A:$R,6,FALSE))&gt;0,($D$7+IF(VLOOKUP($E74,武器奇术!$A:$R,17,FALSE)="鸣金",$D$15,0)+IF(VLOOKUP($E74,武器奇术!$A:$R,18,FALSE)=1,4,0)+IF(VLOOKUP($E74,武器奇术!$A:$S,19,FALSE)=1,20,0)-VLOOKUP($F$7,目标属性!$A:$R,6,FALSE))/200,($D$7+IF(VLOOKUP($E74,武器奇术!$A:$R,17,FALSE)="鸣金",$D$15,0)+IF(VLOOKUP($E74,武器奇术!$A:$R,18,FALSE)=1,4,0)+IF(VLOOKUP($E74,武器奇术!$A:$S,19,FALSE)=1,20,0)-VLOOKUP($F$7,目标属性!$A:$R,6,FALSE))/100)</f>
        <v>-0.24</v>
      </c>
      <c r="AY74" s="111">
        <f t="shared" si="12"/>
        <v>0</v>
      </c>
      <c r="AZ74" s="109">
        <v>1</v>
      </c>
      <c r="BA74" s="112">
        <f>AU74*IF(VLOOKUP($E74,武器奇术!$A:$R,17,FALSE)="鸣金",VLOOKUP($E74,武器奇术!$A:$R,4,FALSE),VLOOKUP($E74,武器奇术!$A:$R,2,FALSE))*(1+AX74)*(1+AY74)*AZ74</f>
        <v>0</v>
      </c>
      <c r="BB74" s="110">
        <f>(1-IF(VLOOKUP($E74,武器奇术!$A:$T,20,FALSE)=1,1,$N74))*(1-$M74)</f>
        <v>0.01072666</v>
      </c>
      <c r="BC74" s="112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10">
        <f t="shared" si="13"/>
        <v>0.8813852</v>
      </c>
      <c r="BE74" s="112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10">
        <f t="shared" si="14"/>
        <v>0.0986</v>
      </c>
      <c r="BG74" s="112">
        <f>AV74*IF(VLOOKUP($E74,武器奇术!$A:$R,17,FALSE)="鸣金",VLOOKUP($E74,武器奇术!$A:$R,4,FALSE),VLOOKUP($E74,武器奇术!$A:$R,2,FALSE))*(1+AX74)*(1+AY74)*AZ74</f>
        <v>0</v>
      </c>
      <c r="BH74" s="110">
        <f t="shared" si="15"/>
        <v>0.00928814000000003</v>
      </c>
      <c r="BI74" s="113">
        <f t="shared" si="16"/>
        <v>0</v>
      </c>
      <c r="BJ74" s="108">
        <f>$B$9*IF($G$5="撼天",1.05,1)+IF(AND(VLOOKUP($E74,武器奇术!$A:$R,15,FALSE)="武器",VLOOKUP($E74,武器奇术!$A:$R,17,FALSE)="裂石"),$E$3,0)*(1+$E$15)</f>
        <v>0</v>
      </c>
      <c r="BK74" s="99">
        <f>(BJ74+BL74)*IF(VLOOKUP($E74,武器奇术!$A:$Z,21,FALSE)=1,$G$15,0.5)</f>
        <v>0</v>
      </c>
      <c r="BL74" s="109">
        <f>MAX($C$9*IF($G$5="撼天",1.05,1)+IF(AND(VLOOKUP($E74,武器奇术!$A:$R,15,FALSE)="武器",VLOOKUP($E74,武器奇术!$A:$R,17,FALSE)="裂石"),$E$3*(1+$E$15),0),BJ74)</f>
        <v>0</v>
      </c>
      <c r="BM74" s="110">
        <f>IF(($D$9+IF(VLOOKUP($E74,武器奇术!$A:$R,17,FALSE)="裂石",$D$15,0)+IF(VLOOKUP($E74,武器奇术!$A:$R,18,FALSE)=1,4,0)+IF(VLOOKUP($E74,武器奇术!$A:$S,19,FALSE)=1,20,0)-VLOOKUP($F$7,目标属性!$A:$R,6,FALSE))&gt;0,($D$9+IF(VLOOKUP($E74,武器奇术!$A:$R,17,FALSE)="裂石",$D$15,0)+IF(VLOOKUP($E74,武器奇术!$A:$R,18,FALSE)=1,4,0)+IF(VLOOKUP($E74,武器奇术!$A:$S,19,FALSE)=1,20,0)-VLOOKUP($F$7,目标属性!$A:$R,6,FALSE))/200,($D$9+IF(VLOOKUP($E74,武器奇术!$A:$R,17,FALSE)="裂石",$D$15,0)+IF(VLOOKUP($E74,武器奇术!$A:$R,18,FALSE)=1,4,0)+IF(VLOOKUP($E74,武器奇术!$A:$S,19,FALSE)=1,20,0)-VLOOKUP($F$7,目标属性!$A:$R,6,FALSE))/100)</f>
        <v>-0.24</v>
      </c>
      <c r="BN74" s="111">
        <f t="shared" si="17"/>
        <v>0</v>
      </c>
      <c r="BO74" s="109">
        <v>1</v>
      </c>
      <c r="BP74" s="112">
        <f>BJ74*IF(VLOOKUP($E74,武器奇术!$A:$R,17,FALSE)="裂石",VLOOKUP($E74,武器奇术!$A:$R,4,FALSE),VLOOKUP($E74,武器奇术!$A:$R,2,FALSE))*(1+BM74)*(1+BN74)*BO74</f>
        <v>0</v>
      </c>
      <c r="BQ74" s="110">
        <f>(1-IF(VLOOKUP($E74,武器奇术!$A:$T,20,FALSE)=1,1,$N74))*(1-$M74)</f>
        <v>0.01072666</v>
      </c>
      <c r="BR74" s="112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10">
        <f t="shared" si="18"/>
        <v>0.8813852</v>
      </c>
      <c r="BT74" s="112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10">
        <f t="shared" si="19"/>
        <v>0.0986</v>
      </c>
      <c r="BV74" s="112">
        <f>BK74*IF(VLOOKUP($E74,武器奇术!$A:$R,17,FALSE)="裂石",VLOOKUP($E74,武器奇术!$A:$R,4,FALSE),VLOOKUP($E74,武器奇术!$A:$R,2,FALSE))*(1+BM74)*(1+BN74)*BO74</f>
        <v>0</v>
      </c>
      <c r="BW74" s="110">
        <f t="shared" si="20"/>
        <v>0.00928814000000003</v>
      </c>
      <c r="BX74" s="113">
        <f t="shared" si="21"/>
        <v>0</v>
      </c>
      <c r="BY74" s="108">
        <f>$B$11*IF($G$5="撼天",1.05,1)+IF(AND(VLOOKUP($E74,武器奇术!$A:$R,15,FALSE)="武器",VLOOKUP($E74,武器奇术!$A:$R,17,FALSE)="牵丝"),$E$3,0)*(1+$E$15)</f>
        <v>0</v>
      </c>
      <c r="BZ74" s="99">
        <f>(BY74+CA74)*IF(VLOOKUP($E74,武器奇术!$A:$Z,21,FALSE)=1,$G$15,0.5)</f>
        <v>0</v>
      </c>
      <c r="CA74" s="109">
        <f>MAX($C$11*IF($G$5="撼天",1.05,1)+IF(AND(VLOOKUP($E74,武器奇术!$A:$R,15,FALSE)="武器",VLOOKUP($E74,武器奇术!$A:$R,17,FALSE)="牵丝"),$E$3*(1+$E$15),0),BY74)</f>
        <v>0</v>
      </c>
      <c r="CB74" s="110">
        <f>IF(($D$11+IF(VLOOKUP($E74,武器奇术!$A:$R,17,FALSE)="牵丝",$D$15,0)+IF(VLOOKUP($E74,武器奇术!$A:$R,18,FALSE)=1,4,0)+IF(VLOOKUP($E74,武器奇术!$A:$S,19,FALSE)=1,20,0)-VLOOKUP($F$7,目标属性!$A:$R,6,FALSE))&gt;0,($D$11+IF(VLOOKUP($E74,武器奇术!$A:$R,17,FALSE)="牵丝",$D$15,0)+IF(VLOOKUP($E74,武器奇术!$A:$R,18,FALSE)=1,4,0)+IF(VLOOKUP($E74,武器奇术!$A:$S,19,FALSE)=1,20,0)-VLOOKUP($F$7,目标属性!$A:$R,6,FALSE))/200,($D$11+IF(VLOOKUP($E74,武器奇术!$A:$R,17,FALSE)="牵丝",$D$15,0)+IF(VLOOKUP($E74,武器奇术!$A:$R,18,FALSE)=1,4,0)+IF(VLOOKUP($E74,武器奇术!$A:$S,19,FALSE)=1,20,0)-VLOOKUP($F$7,目标属性!$A:$R,6,FALSE))/100)</f>
        <v>-0.24</v>
      </c>
      <c r="CC74" s="111">
        <f t="shared" si="22"/>
        <v>0</v>
      </c>
      <c r="CD74" s="109">
        <v>1</v>
      </c>
      <c r="CE74" s="112">
        <f>BY74*IF(VLOOKUP($E74,武器奇术!$A:$R,17,FALSE)="牵丝",VLOOKUP($E74,武器奇术!$A:$R,4,FALSE),VLOOKUP($E74,武器奇术!$A:$R,2,FALSE))*(1+CB74)*(1+CC74)*CD74</f>
        <v>0</v>
      </c>
      <c r="CF74" s="110">
        <f>(1-IF(VLOOKUP($E74,武器奇术!$A:$T,20,FALSE)=1,1,$N74))*(1-$M74)</f>
        <v>0.01072666</v>
      </c>
      <c r="CG74" s="112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110">
        <f t="shared" si="23"/>
        <v>0.8813852</v>
      </c>
      <c r="CI74" s="112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110">
        <f t="shared" si="24"/>
        <v>0.0986</v>
      </c>
      <c r="CK74" s="112">
        <f>BZ74*IF(VLOOKUP($E74,武器奇术!$A:$R,17,FALSE)="牵丝",VLOOKUP($E74,武器奇术!$A:$R,4,FALSE),VLOOKUP($E74,武器奇术!$A:$R,2,FALSE))*(1+CB74)*(1+CC74)*CD74</f>
        <v>0</v>
      </c>
      <c r="CL74" s="110">
        <f t="shared" si="25"/>
        <v>0.00928814000000003</v>
      </c>
      <c r="CM74" s="113">
        <f t="shared" si="26"/>
        <v>0</v>
      </c>
      <c r="CN74" s="108">
        <f>$B$13*IF($G$5="撼天",1.05,1)+IF(AND(VLOOKUP($E74,武器奇术!$A:$R,15,FALSE)="武器",VLOOKUP($E74,武器奇术!$A:$R,17,FALSE)="破竹"),$E$3,0)*(1+$E$15)</f>
        <v>648.46</v>
      </c>
      <c r="CO74" s="99">
        <f>(CN74+CP74)*IF(VLOOKUP($E74,武器奇术!$A:$Z,21,FALSE)=1,$G$15,0.5)</f>
        <v>875.26</v>
      </c>
      <c r="CP74" s="109">
        <f>MAX($C$13*IF($G$5="撼天",1.05,1)+IF(AND(VLOOKUP($E74,武器奇术!$A:$R,15,FALSE)="武器",VLOOKUP($E74,武器奇术!$A:$R,17,FALSE)="破竹"),$E$3*(1+$E$15),0),CN74)</f>
        <v>1102.06</v>
      </c>
      <c r="CQ74" s="110">
        <f>IF(($D$13+IF(VLOOKUP($E74,武器奇术!$A:$R,17,FALSE)="破竹",$D$15,0)+IF(VLOOKUP($E74,武器奇术!$A:$R,18,FALSE)=1,4,0)+IF(VLOOKUP($E74,武器奇术!$A:$S,19,FALSE)=1,20,0)-VLOOKUP($F$7,目标属性!$A:$R,6,FALSE))&gt;0,($D$13+IF(VLOOKUP($E74,武器奇术!$A:$R,17,FALSE)="破竹",$D$15,0)+IF(VLOOKUP($E74,武器奇术!$A:$R,18,FALSE)=1,4,0)+IF(VLOOKUP($E74,武器奇术!$A:$S,19,FALSE)=1,20,0)-VLOOKUP($F$7,目标属性!$A:$R,6,FALSE))/200,($D$13+IF(VLOOKUP($E74,武器奇术!$A:$R,17,FALSE)="破竹",$D$15,0)+IF(VLOOKUP($E74,武器奇术!$A:$R,18,FALSE)=1,4,0)+IF(VLOOKUP($E74,武器奇术!$A:$S,19,FALSE)=1,20,0)-VLOOKUP($F$7,目标属性!$A:$R,6,FALSE))/100)</f>
        <v>0.025</v>
      </c>
      <c r="CR74" s="111">
        <f>$E$13+IF(VLOOKUP($E74,武器奇术!$A:$U,21,FALSE)=1,0,0.09)</f>
        <v>0.235</v>
      </c>
      <c r="CS74" s="109">
        <v>1</v>
      </c>
      <c r="CT74" s="112">
        <f>CN74*IF(VLOOKUP($E74,武器奇术!$A:$R,17,FALSE)="破竹",VLOOKUP($E74,武器奇术!$A:$R,4,FALSE),VLOOKUP($E74,武器奇术!$A:$R,2,FALSE))*(1+CQ74)*(1+CR74)*CS74</f>
        <v>1585.34488391825</v>
      </c>
      <c r="CU74" s="110">
        <f>(1-IF(VLOOKUP($E74,武器奇术!$A:$T,20,FALSE)=1,1,$N74))*(1-$M74)</f>
        <v>0.01072666</v>
      </c>
      <c r="CV74" s="112">
        <f>CO74*IF(VLOOKUP($E74,武器奇术!$A:$R,17,FALSE)="破竹",VLOOKUP($E74,武器奇术!$A:$R,4,FALSE),VLOOKUP($E74,武器奇术!$A:$R,2,FALSE))*(1+CQ74)*(1+CR74)*CS74*(1+$E$16+VLOOKUP($E74,武器奇术!$A:$R,8,FALSE))</f>
        <v>3509.30805212533</v>
      </c>
      <c r="CW74" s="110">
        <f t="shared" si="27"/>
        <v>0.8813852</v>
      </c>
      <c r="CX74" s="112">
        <f>CP74*IF(VLOOKUP($E74,武器奇术!$A:$R,17,FALSE)="破竹",VLOOKUP($E74,武器奇术!$A:$R,4,FALSE),VLOOKUP($E74,武器奇术!$A:$R,2,FALSE))*(1+CQ74)*(1+CR74)*CS74*(1+$E$17+VLOOKUP($E74,武器奇术!$A:$R,10,FALSE))</f>
        <v>3637.30376081914</v>
      </c>
      <c r="CY74" s="110">
        <f t="shared" si="28"/>
        <v>0.0986</v>
      </c>
      <c r="CZ74" s="112">
        <f>CO74*IF(VLOOKUP($E74,武器奇术!$A:$R,17,FALSE)="破竹",VLOOKUP($E74,武器奇术!$A:$R,4,FALSE),VLOOKUP($E74,武器奇术!$A:$R,2,FALSE))*(1+CQ74)*(1+CR74)*CS74</f>
        <v>2139.82198300325</v>
      </c>
      <c r="DA74" s="110">
        <f t="shared" si="29"/>
        <v>0.00928814000000003</v>
      </c>
      <c r="DB74" s="113">
        <f t="shared" si="30"/>
        <v>3488.5707519066</v>
      </c>
      <c r="DC74" s="108">
        <f t="shared" si="31"/>
        <v>69.3</v>
      </c>
      <c r="DD74" s="99">
        <f>(DC74+DE74)*IF(VLOOKUP($E74,武器奇术!$A:$Z,21,FALSE)=1,$G$15,0.5)</f>
        <v>69.3</v>
      </c>
      <c r="DE74" s="109">
        <f t="shared" si="32"/>
        <v>69.3</v>
      </c>
      <c r="DF74" s="110">
        <f>IF(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R,18,FALSE)=1,4,0)+IF(VLOOKUP($E74,武器奇术!$A:$S,19,FALSE)=1,20,0)-VLOOKUP($F$7,目标属性!$A:$R,6,FALSE))/100)</f>
        <v>0.025</v>
      </c>
      <c r="DG74" s="111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U,21,FALSE)=1,0,0.09)</f>
        <v>0.235</v>
      </c>
      <c r="DH74" s="109">
        <v>1</v>
      </c>
      <c r="DI74" s="112">
        <f>DC74*IF(VLOOKUP($E74,武器奇术!$A:$R,17,FALSE)="破竹",VLOOKUP($E74,武器奇术!$A:$R,4,FALSE),VLOOKUP($E74,武器奇术!$A:$R,2,FALSE))*(1+DF74)*(1+DG74)*DH74</f>
        <v>169.42355805375</v>
      </c>
      <c r="DJ74" s="110">
        <f>(1-IF(VLOOKUP($E74,武器奇术!$A:$T,20,FALSE)=1,1,$N74))*(1-$M74)</f>
        <v>0.01072666</v>
      </c>
      <c r="DK74" s="112">
        <f>DD74*IF(VLOOKUP($E74,武器奇术!$A:$R,17,FALSE)="破竹",VLOOKUP($E74,武器奇术!$A:$R,4,FALSE),VLOOKUP($E74,武器奇术!$A:$R,2,FALSE))*(1+DF74)*(1+DG74)*DH74*(1+$E$16+VLOOKUP($E74,武器奇术!$A:$R,8,FALSE))</f>
        <v>277.85463520815</v>
      </c>
      <c r="DL74" s="110">
        <f t="shared" si="33"/>
        <v>0.8813852</v>
      </c>
      <c r="DM74" s="112">
        <f>DE74*IF(VLOOKUP($E74,武器奇术!$A:$R,17,FALSE)="破竹",VLOOKUP($E74,武器奇术!$A:$R,4,FALSE),VLOOKUP($E74,武器奇术!$A:$R,2,FALSE))*(1+DF74)*(1+DG74)*DH74*(1+$E$17+VLOOKUP($E74,武器奇术!$A:$R,10,FALSE))</f>
        <v>228.721803372562</v>
      </c>
      <c r="DN74" s="110">
        <f t="shared" si="34"/>
        <v>0.0986</v>
      </c>
      <c r="DO74" s="112">
        <f>DD74*IF(VLOOKUP($E74,武器奇术!$A:$R,17,FALSE)="破竹",VLOOKUP($E74,武器奇术!$A:$R,4,FALSE),VLOOKUP($E74,武器奇术!$A:$R,2,FALSE))*(1+DF74)*(1+DG74)*DH74</f>
        <v>169.42355805375</v>
      </c>
      <c r="DP74" s="110">
        <f t="shared" si="35"/>
        <v>0.00928814000000003</v>
      </c>
      <c r="DQ74" s="113">
        <f t="shared" si="36"/>
        <v>270.839911666131</v>
      </c>
    </row>
    <row r="75" customFormat="1" spans="1:121">
      <c r="A75" s="75"/>
      <c r="B75" s="75"/>
      <c r="C75" s="75"/>
      <c r="D75" s="75"/>
      <c r="E75" s="98" t="str">
        <f>期望!E75</f>
        <v>鹰隼追击(拳甲)</v>
      </c>
      <c r="F75" s="99">
        <f>期望!F75</f>
        <v>1</v>
      </c>
      <c r="G75" s="115"/>
      <c r="H75" s="149">
        <f>IF(VLOOKUP($E75,武器奇术!$A:$R,18,FALSE)="天工",AE75,(AE75+AT75+BI75+BX75+CM75+DB75+DQ75))*(1+J75)*F75*K75*(1+G75)*(1+$G$21*5%)</f>
        <v>63982.2655175516</v>
      </c>
      <c r="I75" s="101">
        <f t="shared" si="0"/>
        <v>0.00789943693474119</v>
      </c>
      <c r="J75" s="101">
        <f>$F$3+VLOOKUP($E75,武器奇术!$A:$R,12,FALSE)+VLOOKUP($E75,武器奇术!$A:$R,14,FALSE)*$G$3+$P75</f>
        <v>0.773</v>
      </c>
      <c r="K75" s="102">
        <f>VLOOKUP($E75,武器奇术!$A:$R,11,FALSE)</f>
        <v>1</v>
      </c>
      <c r="L75" s="117">
        <f>IF(VLOOKUP($E75,武器奇术!$A:$R,15,FALSE)="天工",0%,IF($C$17+VLOOKUP($E75,武器奇术!$A:$R,7,FALSE)&gt;80%,80%,$C$17+VLOOKUP($E75,武器奇术!$A:$R,7,FALSE))+IF($C$19&gt;20%,20%,$C$19))</f>
        <v>0.892</v>
      </c>
      <c r="M75" s="118">
        <f>IF(VLOOKUP($E75,武器奇术!$A:$R,15,FALSE)="天工",0%,IF($C$18+VLOOKUP($E75,武器奇术!$A:$R,9,FALSE)&gt;40%,40%,$C$18+VLOOKUP($E75,武器奇术!$A:$R,9,FALSE))+IF($C$20&gt;10%,10%,$C$20))</f>
        <v>0.0986</v>
      </c>
      <c r="N75" s="119">
        <f>IF(VLOOKUP($E75,武器奇术!$A:$R,15,FALSE)="天工",100%,MIN($C$16,1))</f>
        <v>0.9881</v>
      </c>
      <c r="O75" s="120" t="str">
        <f>VLOOKUP($E75,武器奇术!$A:$R,16,FALSE)</f>
        <v>拳甲</v>
      </c>
      <c r="P75" s="121">
        <f t="shared" si="38"/>
        <v>0.17</v>
      </c>
      <c r="Q75" s="108">
        <f>$B$5*(1+VLOOKUP($E75,武器奇术!$A:$R,5,FALSE)+IF($G$5="飞隼",0.1,0)+IF($G$5="撼天",0.05,0))-$F$9+IF($I$5="√",160,0)</f>
        <v>1731.135</v>
      </c>
      <c r="R75" s="99">
        <f>IF(VLOOKUP($E75,武器奇术!$A:$Z,20,FALSE)=1,(S75-(Q75+S75)*0.5)*($G$15-0.5)*2+(Q75+S75)*0.5,(Q75+S75)*0.5)</f>
        <v>3256.775</v>
      </c>
      <c r="S75" s="109">
        <f>MAX($C$5,$B$5)*(1+VLOOKUP($E75,武器奇术!$A:$R,5,FALSE)+IF($G$5="飞隼",0.1,0)+IF($G$5="撼天",0.05,0))-$F$9+IF($I$5="√",320,0)</f>
        <v>4782.415</v>
      </c>
      <c r="T75" s="101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U75" s="111">
        <f>$E$5+IF(VLOOKUP($E75,武器奇术!$A:$U,21,FALSE)=1,0,0.09)</f>
        <v>0.115</v>
      </c>
      <c r="V75" s="109">
        <v>1</v>
      </c>
      <c r="W75" s="112">
        <f>Q75*VLOOKUP($E75,武器奇术!$A:$R,2,FALSE)*(1+T75)*(1+U75)*V75</f>
        <v>5595.154346628</v>
      </c>
      <c r="X75" s="110">
        <f>(1-IF(VLOOKUP($E75,武器奇术!$A:$T,20,FALSE)=1,1,$N75))*(1-$M75)</f>
        <v>0.01072666</v>
      </c>
      <c r="Y75" s="112">
        <f>R75*VLOOKUP($E75,武器奇术!$A:$R,2,FALSE)*(1+T75)*(1+U75)*V75*(1+$E$16+VLOOKUP($E75,武器奇术!$A:$R,8,FALSE))</f>
        <v>20420.6997528468</v>
      </c>
      <c r="Z75" s="110">
        <f t="shared" si="1"/>
        <v>0.8813852</v>
      </c>
      <c r="AA75" s="112">
        <f>S75*VLOOKUP($E75,武器奇术!$A:$R,2,FALSE)*(1+T75)*(1+U75)*V75*(1+$E$17+VLOOKUP($E75,武器奇术!$A:$R,10,FALSE))</f>
        <v>20867.1031437462</v>
      </c>
      <c r="AB75" s="110">
        <f t="shared" si="2"/>
        <v>0.0986</v>
      </c>
      <c r="AC75" s="112">
        <f>R75*VLOOKUP($E75,武器奇术!$A:$R,2,FALSE)*(1+T75)*(1+U75)*V75</f>
        <v>10526.13389322</v>
      </c>
      <c r="AD75" s="110">
        <f t="shared" si="3"/>
        <v>0.00928814000000003</v>
      </c>
      <c r="AE75" s="113">
        <f t="shared" si="4"/>
        <v>20213.784429359</v>
      </c>
      <c r="AF75" s="114">
        <f>VLOOKUP($E75,武器奇术!$A:$R,3,FALSE)*(1+IF(VLOOKUP($E75,武器奇术!$A:$R,15,FALSE)="武器",$E$15,0))</f>
        <v>0</v>
      </c>
      <c r="AG75" s="112">
        <f t="shared" si="5"/>
        <v>0</v>
      </c>
      <c r="AH75" s="112">
        <f>VLOOKUP($E75,武器奇术!$A:$R,3,FALSE)*(1+IF(VLOOKUP($E75,武器奇术!$A:$R,15,FALSE)="武器",$E$15,0))</f>
        <v>0</v>
      </c>
      <c r="AI75" s="101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0.342</v>
      </c>
      <c r="AJ75" s="111">
        <f>$E$5+IF(VLOOKUP($E75,武器奇术!$A:$U,21,FALSE)=1,0,0.09)</f>
        <v>0.115</v>
      </c>
      <c r="AK75" s="109">
        <v>1</v>
      </c>
      <c r="AL75" s="112">
        <f t="shared" si="6"/>
        <v>0</v>
      </c>
      <c r="AM75" s="110">
        <f>(1-IF(VLOOKUP($E75,武器奇术!$A:$T,20,FALSE)=1,1,$N75))*(1-$M75)</f>
        <v>0.01072666</v>
      </c>
      <c r="AN75" s="112">
        <f>AG75*(1+AI75)*(1+AJ75)*AK75*(1+$E$16+VLOOKUP($E75,武器奇术!$A:$R,8,FALSE))</f>
        <v>0</v>
      </c>
      <c r="AO75" s="110">
        <f t="shared" si="7"/>
        <v>0.8813852</v>
      </c>
      <c r="AP75" s="112">
        <f>AH75*(1+AI75)*(1+AJ75)*AK75*(1+$E$17+VLOOKUP($E75,武器奇术!$A:$R,10,FALSE))</f>
        <v>0</v>
      </c>
      <c r="AQ75" s="110">
        <f t="shared" si="8"/>
        <v>0.0986</v>
      </c>
      <c r="AR75" s="112">
        <f t="shared" si="9"/>
        <v>0</v>
      </c>
      <c r="AS75" s="110">
        <f t="shared" si="10"/>
        <v>0.00928814000000003</v>
      </c>
      <c r="AT75" s="113">
        <f t="shared" si="11"/>
        <v>0</v>
      </c>
      <c r="AU75" s="108">
        <f>$B$7*IF($G$5="撼天",1.05,1)+IF(AND(VLOOKUP($E75,武器奇术!$A:$R,15,FALSE)="武器",VLOOKUP($E75,武器奇术!$A:$R,17,FALSE)="鸣金"),$E$3,0)*(1+$E$15)</f>
        <v>0</v>
      </c>
      <c r="AV75" s="99">
        <f>(AU75+AW75)*IF(VLOOKUP($E75,武器奇术!$A:$Z,21,FALSE)=1,$G$15,0.5)</f>
        <v>0</v>
      </c>
      <c r="AW75" s="109">
        <f>MAX($C$7*IF($G$5="撼天",1.05,1)+IF(AND(VLOOKUP($E75,武器奇术!$A:$R,15,FALSE)="武器",VLOOKUP($E75,武器奇术!$A:$R,17,FALSE)="鸣金"),$E$3*(1+$E$15),0),AU75)</f>
        <v>0</v>
      </c>
      <c r="AX75" s="110">
        <f>IF(($D$7+IF(VLOOKUP($E75,武器奇术!$A:$R,17,FALSE)="鸣金",$D$15,0)+IF(VLOOKUP($E75,武器奇术!$A:$R,18,FALSE)=1,4,0)+IF(VLOOKUP($E75,武器奇术!$A:$S,19,FALSE)=1,20,0)-VLOOKUP($F$7,目标属性!$A:$R,6,FALSE))&gt;0,($D$7+IF(VLOOKUP($E75,武器奇术!$A:$R,17,FALSE)="鸣金",$D$15,0)+IF(VLOOKUP($E75,武器奇术!$A:$R,18,FALSE)=1,4,0)+IF(VLOOKUP($E75,武器奇术!$A:$S,19,FALSE)=1,20,0)-VLOOKUP($F$7,目标属性!$A:$R,6,FALSE))/200,($D$7+IF(VLOOKUP($E75,武器奇术!$A:$R,17,FALSE)="鸣金",$D$15,0)+IF(VLOOKUP($E75,武器奇术!$A:$R,18,FALSE)=1,4,0)+IF(VLOOKUP($E75,武器奇术!$A:$S,19,FALSE)=1,20,0)-VLOOKUP($F$7,目标属性!$A:$R,6,FALSE))/100)</f>
        <v>0</v>
      </c>
      <c r="AY75" s="111">
        <f t="shared" si="12"/>
        <v>0</v>
      </c>
      <c r="AZ75" s="109">
        <v>1</v>
      </c>
      <c r="BA75" s="112">
        <f>AU75*IF(VLOOKUP($E75,武器奇术!$A:$R,17,FALSE)="鸣金",VLOOKUP($E75,武器奇术!$A:$R,4,FALSE),VLOOKUP($E75,武器奇术!$A:$R,2,FALSE))*(1+AX75)*(1+AY75)*AZ75</f>
        <v>0</v>
      </c>
      <c r="BB75" s="110">
        <f>(1-IF(VLOOKUP($E75,武器奇术!$A:$T,20,FALSE)=1,1,$N75))*(1-$M75)</f>
        <v>0.01072666</v>
      </c>
      <c r="BC75" s="112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10">
        <f t="shared" si="13"/>
        <v>0.8813852</v>
      </c>
      <c r="BE75" s="112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10">
        <f t="shared" si="14"/>
        <v>0.0986</v>
      </c>
      <c r="BG75" s="112">
        <f>AV75*IF(VLOOKUP($E75,武器奇术!$A:$R,17,FALSE)="鸣金",VLOOKUP($E75,武器奇术!$A:$R,4,FALSE),VLOOKUP($E75,武器奇术!$A:$R,2,FALSE))*(1+AX75)*(1+AY75)*AZ75</f>
        <v>0</v>
      </c>
      <c r="BH75" s="110">
        <f t="shared" si="15"/>
        <v>0.00928814000000003</v>
      </c>
      <c r="BI75" s="113">
        <f t="shared" si="16"/>
        <v>0</v>
      </c>
      <c r="BJ75" s="108">
        <f>$B$9*IF($G$5="撼天",1.05,1)+IF(AND(VLOOKUP($E75,武器奇术!$A:$R,15,FALSE)="武器",VLOOKUP($E75,武器奇术!$A:$R,17,FALSE)="裂石"),$E$3,0)*(1+$E$15)</f>
        <v>0</v>
      </c>
      <c r="BK75" s="99">
        <f>(BJ75+BL75)*IF(VLOOKUP($E75,武器奇术!$A:$Z,21,FALSE)=1,$G$15,0.5)</f>
        <v>0</v>
      </c>
      <c r="BL75" s="109">
        <f>MAX($C$9*IF($G$5="撼天",1.05,1)+IF(AND(VLOOKUP($E75,武器奇术!$A:$R,15,FALSE)="武器",VLOOKUP($E75,武器奇术!$A:$R,17,FALSE)="裂石"),$E$3*(1+$E$15),0),BJ75)</f>
        <v>0</v>
      </c>
      <c r="BM75" s="110">
        <f>IF(($D$9+IF(VLOOKUP($E75,武器奇术!$A:$R,17,FALSE)="裂石",$D$15,0)+IF(VLOOKUP($E75,武器奇术!$A:$R,18,FALSE)=1,4,0)+IF(VLOOKUP($E75,武器奇术!$A:$S,19,FALSE)=1,20,0)-VLOOKUP($F$7,目标属性!$A:$R,6,FALSE))&gt;0,($D$9+IF(VLOOKUP($E75,武器奇术!$A:$R,17,FALSE)="裂石",$D$15,0)+IF(VLOOKUP($E75,武器奇术!$A:$R,18,FALSE)=1,4,0)+IF(VLOOKUP($E75,武器奇术!$A:$S,19,FALSE)=1,20,0)-VLOOKUP($F$7,目标属性!$A:$R,6,FALSE))/200,($D$9+IF(VLOOKUP($E75,武器奇术!$A:$R,17,FALSE)="裂石",$D$15,0)+IF(VLOOKUP($E75,武器奇术!$A:$R,18,FALSE)=1,4,0)+IF(VLOOKUP($E75,武器奇术!$A:$S,19,FALSE)=1,20,0)-VLOOKUP($F$7,目标属性!$A:$R,6,FALSE))/100)</f>
        <v>0</v>
      </c>
      <c r="BN75" s="111">
        <f t="shared" si="17"/>
        <v>0</v>
      </c>
      <c r="BO75" s="109">
        <v>1</v>
      </c>
      <c r="BP75" s="112">
        <f>BJ75*IF(VLOOKUP($E75,武器奇术!$A:$R,17,FALSE)="裂石",VLOOKUP($E75,武器奇术!$A:$R,4,FALSE),VLOOKUP($E75,武器奇术!$A:$R,2,FALSE))*(1+BM75)*(1+BN75)*BO75</f>
        <v>0</v>
      </c>
      <c r="BQ75" s="110">
        <f>(1-IF(VLOOKUP($E75,武器奇术!$A:$T,20,FALSE)=1,1,$N75))*(1-$M75)</f>
        <v>0.01072666</v>
      </c>
      <c r="BR75" s="112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10">
        <f t="shared" si="18"/>
        <v>0.8813852</v>
      </c>
      <c r="BT75" s="112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10">
        <f t="shared" si="19"/>
        <v>0.0986</v>
      </c>
      <c r="BV75" s="112">
        <f>BK75*IF(VLOOKUP($E75,武器奇术!$A:$R,17,FALSE)="裂石",VLOOKUP($E75,武器奇术!$A:$R,4,FALSE),VLOOKUP($E75,武器奇术!$A:$R,2,FALSE))*(1+BM75)*(1+BN75)*BO75</f>
        <v>0</v>
      </c>
      <c r="BW75" s="110">
        <f t="shared" si="20"/>
        <v>0.00928814000000003</v>
      </c>
      <c r="BX75" s="113">
        <f t="shared" si="21"/>
        <v>0</v>
      </c>
      <c r="BY75" s="108">
        <f>$B$11*IF($G$5="撼天",1.05,1)+IF(AND(VLOOKUP($E75,武器奇术!$A:$R,15,FALSE)="武器",VLOOKUP($E75,武器奇术!$A:$R,17,FALSE)="牵丝"),$E$3,0)*(1+$E$15)</f>
        <v>0</v>
      </c>
      <c r="BZ75" s="99">
        <f>(BY75+CA75)*IF(VLOOKUP($E75,武器奇术!$A:$Z,21,FALSE)=1,$G$15,0.5)</f>
        <v>0</v>
      </c>
      <c r="CA75" s="109">
        <f>MAX($C$11*IF($G$5="撼天",1.05,1)+IF(AND(VLOOKUP($E75,武器奇术!$A:$R,15,FALSE)="武器",VLOOKUP($E75,武器奇术!$A:$R,17,FALSE)="牵丝"),$E$3*(1+$E$15),0),BY75)</f>
        <v>0</v>
      </c>
      <c r="CB75" s="110">
        <f>IF(($D$11+IF(VLOOKUP($E75,武器奇术!$A:$R,17,FALSE)="牵丝",$D$15,0)+IF(VLOOKUP($E75,武器奇术!$A:$R,18,FALSE)=1,4,0)+IF(VLOOKUP($E75,武器奇术!$A:$S,19,FALSE)=1,20,0)-VLOOKUP($F$7,目标属性!$A:$R,6,FALSE))&gt;0,($D$11+IF(VLOOKUP($E75,武器奇术!$A:$R,17,FALSE)="牵丝",$D$15,0)+IF(VLOOKUP($E75,武器奇术!$A:$R,18,FALSE)=1,4,0)+IF(VLOOKUP($E75,武器奇术!$A:$S,19,FALSE)=1,20,0)-VLOOKUP($F$7,目标属性!$A:$R,6,FALSE))/200,($D$11+IF(VLOOKUP($E75,武器奇术!$A:$R,17,FALSE)="牵丝",$D$15,0)+IF(VLOOKUP($E75,武器奇术!$A:$R,18,FALSE)=1,4,0)+IF(VLOOKUP($E75,武器奇术!$A:$S,19,FALSE)=1,20,0)-VLOOKUP($F$7,目标属性!$A:$R,6,FALSE))/100)</f>
        <v>0</v>
      </c>
      <c r="CC75" s="111">
        <f t="shared" si="22"/>
        <v>0</v>
      </c>
      <c r="CD75" s="109">
        <v>1</v>
      </c>
      <c r="CE75" s="112">
        <f>BY75*IF(VLOOKUP($E75,武器奇术!$A:$R,17,FALSE)="牵丝",VLOOKUP($E75,武器奇术!$A:$R,4,FALSE),VLOOKUP($E75,武器奇术!$A:$R,2,FALSE))*(1+CB75)*(1+CC75)*CD75</f>
        <v>0</v>
      </c>
      <c r="CF75" s="110">
        <f>(1-IF(VLOOKUP($E75,武器奇术!$A:$T,20,FALSE)=1,1,$N75))*(1-$M75)</f>
        <v>0.01072666</v>
      </c>
      <c r="CG75" s="112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110">
        <f t="shared" si="23"/>
        <v>0.8813852</v>
      </c>
      <c r="CI75" s="112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110">
        <f t="shared" si="24"/>
        <v>0.0986</v>
      </c>
      <c r="CK75" s="112">
        <f>BZ75*IF(VLOOKUP($E75,武器奇术!$A:$R,17,FALSE)="牵丝",VLOOKUP($E75,武器奇术!$A:$R,4,FALSE),VLOOKUP($E75,武器奇术!$A:$R,2,FALSE))*(1+CB75)*(1+CC75)*CD75</f>
        <v>0</v>
      </c>
      <c r="CL75" s="110">
        <f t="shared" si="25"/>
        <v>0.00928814000000003</v>
      </c>
      <c r="CM75" s="113">
        <f t="shared" si="26"/>
        <v>0</v>
      </c>
      <c r="CN75" s="108">
        <f>$B$13*IF($G$5="撼天",1.05,1)+IF(AND(VLOOKUP($E75,武器奇术!$A:$R,15,FALSE)="武器",VLOOKUP($E75,武器奇术!$A:$R,17,FALSE)="破竹"),$E$3,0)*(1+$E$15)</f>
        <v>452.55</v>
      </c>
      <c r="CO75" s="99">
        <f>(CN75+CP75)*IF(VLOOKUP($E75,武器奇术!$A:$Z,21,FALSE)=1,$G$15,0.5)</f>
        <v>679.35</v>
      </c>
      <c r="CP75" s="109">
        <f>MAX($C$13*IF($G$5="撼天",1.05,1)+IF(AND(VLOOKUP($E75,武器奇术!$A:$R,15,FALSE)="武器",VLOOKUP($E75,武器奇术!$A:$R,17,FALSE)="破竹"),$E$3*(1+$E$15),0),CN75)</f>
        <v>906.15</v>
      </c>
      <c r="CQ75" s="110">
        <f>IF(($D$13+IF(VLOOKUP($E75,武器奇术!$A:$R,17,FALSE)="破竹",$D$15,0)+IF(VLOOKUP($E75,武器奇术!$A:$R,18,FALSE)=1,4,0)+IF(VLOOKUP($E75,武器奇术!$A:$S,19,FALSE)=1,20,0)-VLOOKUP($F$7,目标属性!$A:$R,6,FALSE))&gt;0,($D$13+IF(VLOOKUP($E75,武器奇术!$A:$R,17,FALSE)="破竹",$D$15,0)+IF(VLOOKUP($E75,武器奇术!$A:$R,18,FALSE)=1,4,0)+IF(VLOOKUP($E75,武器奇术!$A:$S,19,FALSE)=1,20,0)-VLOOKUP($F$7,目标属性!$A:$R,6,FALSE))/200,($D$13+IF(VLOOKUP($E75,武器奇术!$A:$R,17,FALSE)="破竹",$D$15,0)+IF(VLOOKUP($E75,武器奇术!$A:$R,18,FALSE)=1,4,0)+IF(VLOOKUP($E75,武器奇术!$A:$S,19,FALSE)=1,20,0)-VLOOKUP($F$7,目标属性!$A:$R,6,FALSE))/100)</f>
        <v>0.145</v>
      </c>
      <c r="CR75" s="111">
        <f>$E$13+IF(VLOOKUP($E75,武器奇术!$A:$U,21,FALSE)=1,0,0.09)</f>
        <v>0.235</v>
      </c>
      <c r="CS75" s="109">
        <v>1</v>
      </c>
      <c r="CT75" s="112">
        <f>CN75*IF(VLOOKUP($E75,武器奇术!$A:$R,17,FALSE)="破竹",VLOOKUP($E75,武器奇术!$A:$R,4,FALSE),VLOOKUP($E75,武器奇术!$A:$R,2,FALSE))*(1+CQ75)*(1+CR75)*CS75</f>
        <v>2073.40443765</v>
      </c>
      <c r="CU75" s="110">
        <f>(1-IF(VLOOKUP($E75,武器奇术!$A:$T,20,FALSE)=1,1,$N75))*(1-$M75)</f>
        <v>0.01072666</v>
      </c>
      <c r="CV75" s="112">
        <f>CO75*IF(VLOOKUP($E75,武器奇术!$A:$R,17,FALSE)="破竹",VLOOKUP($E75,武器奇术!$A:$R,4,FALSE),VLOOKUP($E75,武器奇术!$A:$R,2,FALSE))*(1+CQ75)*(1+CR75)*CS75*(1+$E$16+VLOOKUP($E75,武器奇术!$A:$R,8,FALSE))</f>
        <v>6038.273276217</v>
      </c>
      <c r="CW75" s="110">
        <f t="shared" si="27"/>
        <v>0.8813852</v>
      </c>
      <c r="CX75" s="112">
        <f>CP75*IF(VLOOKUP($E75,武器奇术!$A:$R,17,FALSE)="破竹",VLOOKUP($E75,武器奇术!$A:$R,4,FALSE),VLOOKUP($E75,武器奇术!$A:$R,2,FALSE))*(1+CQ75)*(1+CR75)*CS75*(1+$E$17+VLOOKUP($E75,武器奇术!$A:$R,10,FALSE))</f>
        <v>5604.6864039075</v>
      </c>
      <c r="CY75" s="110">
        <f t="shared" si="28"/>
        <v>0.0986</v>
      </c>
      <c r="CZ75" s="112">
        <f>CO75*IF(VLOOKUP($E75,武器奇术!$A:$R,17,FALSE)="破竹",VLOOKUP($E75,武器奇术!$A:$R,4,FALSE),VLOOKUP($E75,武器奇术!$A:$R,2,FALSE))*(1+CQ75)*(1+CR75)*CS75</f>
        <v>3112.51199805</v>
      </c>
      <c r="DA75" s="110">
        <f t="shared" si="29"/>
        <v>0.00928814000000003</v>
      </c>
      <c r="DB75" s="113">
        <f t="shared" si="30"/>
        <v>5925.81693027318</v>
      </c>
      <c r="DC75" s="108">
        <f t="shared" si="31"/>
        <v>69.3</v>
      </c>
      <c r="DD75" s="99">
        <f>(DC75+DE75)*IF(VLOOKUP($E75,武器奇术!$A:$Z,21,FALSE)=1,$G$15,0.5)</f>
        <v>69.3</v>
      </c>
      <c r="DE75" s="109">
        <f t="shared" si="32"/>
        <v>69.3</v>
      </c>
      <c r="DF75" s="110">
        <f>IF(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R,18,FALSE)=1,4,0)+IF(VLOOKUP($E75,武器奇术!$A:$S,19,FALSE)=1,20,0)-VLOOKUP($F$7,目标属性!$A:$R,6,FALSE))/100)</f>
        <v>0.145</v>
      </c>
      <c r="DG75" s="111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U,21,FALSE)=1,0,0.09)</f>
        <v>0.235</v>
      </c>
      <c r="DH75" s="109">
        <v>1</v>
      </c>
      <c r="DI75" s="112">
        <f>DC75*IF(VLOOKUP($E75,武器奇术!$A:$R,17,FALSE)="破竹",VLOOKUP($E75,武器奇术!$A:$R,4,FALSE),VLOOKUP($E75,武器奇术!$A:$R,2,FALSE))*(1+DF75)*(1+DG75)*DH75</f>
        <v>317.5050879</v>
      </c>
      <c r="DJ75" s="110">
        <f>(1-IF(VLOOKUP($E75,武器奇术!$A:$T,20,FALSE)=1,1,$N75))*(1-$M75)</f>
        <v>0.01072666</v>
      </c>
      <c r="DK75" s="112">
        <f>DD75*IF(VLOOKUP($E75,武器奇术!$A:$R,17,FALSE)="破竹",VLOOKUP($E75,武器奇术!$A:$R,4,FALSE),VLOOKUP($E75,武器奇术!$A:$R,2,FALSE))*(1+DF75)*(1+DG75)*DH75*(1+$E$16+VLOOKUP($E75,武器奇术!$A:$R,8,FALSE))</f>
        <v>615.959870526</v>
      </c>
      <c r="DL75" s="110">
        <f t="shared" si="33"/>
        <v>0.8813852</v>
      </c>
      <c r="DM75" s="112">
        <f>DE75*IF(VLOOKUP($E75,武器奇术!$A:$R,17,FALSE)="破竹",VLOOKUP($E75,武器奇术!$A:$R,4,FALSE),VLOOKUP($E75,武器奇术!$A:$R,2,FALSE))*(1+DF75)*(1+DG75)*DH75*(1+$E$17+VLOOKUP($E75,武器奇术!$A:$R,10,FALSE))</f>
        <v>428.631868665</v>
      </c>
      <c r="DN75" s="110">
        <f t="shared" si="34"/>
        <v>0.0986</v>
      </c>
      <c r="DO75" s="112">
        <f>DD75*IF(VLOOKUP($E75,武器奇术!$A:$R,17,FALSE)="破竹",VLOOKUP($E75,武器奇术!$A:$R,4,FALSE),VLOOKUP($E75,武器奇术!$A:$R,2,FALSE))*(1+DF75)*(1+DG75)*DH75</f>
        <v>317.5050879</v>
      </c>
      <c r="DP75" s="110">
        <f t="shared" si="35"/>
        <v>0.00928814000000003</v>
      </c>
      <c r="DQ75" s="113">
        <f t="shared" si="36"/>
        <v>591.515816759203</v>
      </c>
    </row>
    <row r="76" customFormat="1" spans="1:121">
      <c r="A76" s="75"/>
      <c r="B76" s="75"/>
      <c r="C76" s="148"/>
      <c r="D76" s="75"/>
      <c r="E76" s="98" t="str">
        <f>期望!E76</f>
        <v>拳甲Q二段</v>
      </c>
      <c r="F76" s="99">
        <f>期望!F76</f>
        <v>1</v>
      </c>
      <c r="G76" s="115"/>
      <c r="H76" s="149">
        <f>IF(VLOOKUP($E76,武器奇术!$A:$R,18,FALSE)="天工",AE76,(AE76+AT76+BI76+BX76+CM76+DB76+DQ76))*(1+J76)*F76*K76*(1+G76)*(1+$G$21*5%)</f>
        <v>88157.0456968738</v>
      </c>
      <c r="I76" s="101">
        <f t="shared" si="0"/>
        <v>0.0108841257370688</v>
      </c>
      <c r="J76" s="101">
        <f>$F$3+VLOOKUP($E76,武器奇术!$A:$R,12,FALSE)+VLOOKUP($E76,武器奇术!$A:$R,14,FALSE)*$G$3+$P76</f>
        <v>0.773</v>
      </c>
      <c r="K76" s="102">
        <f>VLOOKUP($E76,武器奇术!$A:$R,11,FALSE)</f>
        <v>1</v>
      </c>
      <c r="L76" s="117">
        <f>IF(VLOOKUP($E76,武器奇术!$A:$R,15,FALSE)="天工",0%,IF($C$17+VLOOKUP($E76,武器奇术!$A:$R,7,FALSE)&gt;80%,80%,$C$17+VLOOKUP($E76,武器奇术!$A:$R,7,FALSE))+IF($C$19&gt;20%,20%,$C$19))</f>
        <v>0.892</v>
      </c>
      <c r="M76" s="118">
        <f>IF(VLOOKUP($E76,武器奇术!$A:$R,15,FALSE)="天工",0%,IF($C$18+VLOOKUP($E76,武器奇术!$A:$R,9,FALSE)&gt;40%,40%,$C$18+VLOOKUP($E76,武器奇术!$A:$R,9,FALSE))+IF($C$20&gt;10%,10%,$C$20))</f>
        <v>0.0986</v>
      </c>
      <c r="N76" s="119">
        <f>IF(VLOOKUP($E76,武器奇术!$A:$R,15,FALSE)="天工",100%,MIN($C$16,1))</f>
        <v>0.9881</v>
      </c>
      <c r="O76" s="120" t="str">
        <f>VLOOKUP($E76,武器奇术!$A:$R,16,FALSE)</f>
        <v>拳甲</v>
      </c>
      <c r="P76" s="121">
        <f t="shared" si="38"/>
        <v>0.17</v>
      </c>
      <c r="Q76" s="108">
        <f>$B$5*(1+VLOOKUP($E76,武器奇术!$A:$R,5,FALSE)+IF($G$5="飞隼",0.1,0)+IF($G$5="撼天",0.05,0))-$F$9+IF($I$5="√",160,0)</f>
        <v>1731.135</v>
      </c>
      <c r="R76" s="99">
        <f>IF(VLOOKUP($E76,武器奇术!$A:$Z,20,FALSE)=1,(S76-(Q76+S76)*0.5)*($G$15-0.5)*2+(Q76+S76)*0.5,(Q76+S76)*0.5)</f>
        <v>3256.775</v>
      </c>
      <c r="S76" s="109">
        <f>MAX($C$5,$B$5)*(1+VLOOKUP($E76,武器奇术!$A:$R,5,FALSE)+IF($G$5="飞隼",0.1,0)+IF($G$5="撼天",0.05,0))-$F$9+IF($I$5="√",320,0)</f>
        <v>4782.415</v>
      </c>
      <c r="T76" s="101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U76" s="111">
        <f>$E$5+IF(VLOOKUP($E76,武器奇术!$A:$U,21,FALSE)=1,0,0.09)</f>
        <v>0.115</v>
      </c>
      <c r="V76" s="109">
        <v>1</v>
      </c>
      <c r="W76" s="112">
        <f>Q76*VLOOKUP($E76,武器奇术!$A:$R,2,FALSE)*(1+T76)*(1+U76)*V76</f>
        <v>6596.6306895897</v>
      </c>
      <c r="X76" s="110">
        <f>(1-IF(VLOOKUP($E76,武器奇术!$A:$T,20,FALSE)=1,1,$N76))*(1-$M76)</f>
        <v>0.01072666</v>
      </c>
      <c r="Y76" s="112">
        <f>R76*VLOOKUP($E76,武器奇术!$A:$R,2,FALSE)*(1+T76)*(1+U76)*V76*(1+$E$16+VLOOKUP($E76,武器奇术!$A:$R,8,FALSE))</f>
        <v>24075.7995842795</v>
      </c>
      <c r="Z76" s="110">
        <f t="shared" si="1"/>
        <v>0.8813852</v>
      </c>
      <c r="AA76" s="112">
        <f>S76*VLOOKUP($E76,武器奇术!$A:$R,2,FALSE)*(1+T76)*(1+U76)*V76*(1+$E$17+VLOOKUP($E76,武器奇术!$A:$R,10,FALSE))</f>
        <v>24602.1046915048</v>
      </c>
      <c r="AB76" s="110">
        <f t="shared" si="2"/>
        <v>0.0986</v>
      </c>
      <c r="AC76" s="112">
        <f>R76*VLOOKUP($E76,武器奇术!$A:$R,2,FALSE)*(1+T76)*(1+U76)*V76</f>
        <v>12410.2059712781</v>
      </c>
      <c r="AD76" s="110">
        <f t="shared" si="3"/>
        <v>0.00928814000000003</v>
      </c>
      <c r="AE76" s="113">
        <f t="shared" si="4"/>
        <v>23831.8484993753</v>
      </c>
      <c r="AF76" s="114">
        <f>VLOOKUP($E76,武器奇术!$A:$R,3,FALSE)*(1+IF(VLOOKUP($E76,武器奇术!$A:$R,15,FALSE)="武器",$E$15,0))</f>
        <v>994.5</v>
      </c>
      <c r="AG76" s="112">
        <f t="shared" si="5"/>
        <v>994.5</v>
      </c>
      <c r="AH76" s="112">
        <f>VLOOKUP($E76,武器奇术!$A:$R,3,FALSE)*(1+IF(VLOOKUP($E76,武器奇术!$A:$R,15,FALSE)="武器",$E$15,0))</f>
        <v>994.5</v>
      </c>
      <c r="AI76" s="101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0.242</v>
      </c>
      <c r="AJ76" s="111">
        <f>$E$5+IF(VLOOKUP($E76,武器奇术!$A:$U,21,FALSE)=1,0,0.09)</f>
        <v>0.115</v>
      </c>
      <c r="AK76" s="109">
        <v>1</v>
      </c>
      <c r="AL76" s="112">
        <f t="shared" si="6"/>
        <v>1377.213435</v>
      </c>
      <c r="AM76" s="110">
        <f>(1-IF(VLOOKUP($E76,武器奇术!$A:$T,20,FALSE)=1,1,$N76))*(1-$M76)</f>
        <v>0.01072666</v>
      </c>
      <c r="AN76" s="112">
        <f>AG76*(1+AI76)*(1+AJ76)*AK76*(1+$E$16+VLOOKUP($E76,武器奇术!$A:$R,8,FALSE))</f>
        <v>2671.7940639</v>
      </c>
      <c r="AO76" s="110">
        <f t="shared" si="7"/>
        <v>0.8813852</v>
      </c>
      <c r="AP76" s="112">
        <f>AH76*(1+AI76)*(1+AJ76)*AK76*(1+$E$17+VLOOKUP($E76,武器奇术!$A:$R,10,FALSE))</f>
        <v>1859.23813725</v>
      </c>
      <c r="AQ76" s="110">
        <f t="shared" si="8"/>
        <v>0.0986</v>
      </c>
      <c r="AR76" s="112">
        <f t="shared" si="9"/>
        <v>1377.213435</v>
      </c>
      <c r="AS76" s="110">
        <f t="shared" si="10"/>
        <v>0.00928814000000003</v>
      </c>
      <c r="AT76" s="113">
        <f t="shared" si="11"/>
        <v>2565.765277161</v>
      </c>
      <c r="AU76" s="108">
        <f>$B$7*IF($G$5="撼天",1.05,1)+IF(AND(VLOOKUP($E76,武器奇术!$A:$R,15,FALSE)="武器",VLOOKUP($E76,武器奇术!$A:$R,17,FALSE)="鸣金"),$E$3,0)*(1+$E$15)</f>
        <v>0</v>
      </c>
      <c r="AV76" s="99">
        <f>(AU76+AW76)*IF(VLOOKUP($E76,武器奇术!$A:$Z,21,FALSE)=1,$G$15,0.5)</f>
        <v>0</v>
      </c>
      <c r="AW76" s="109">
        <f>MAX($C$7*IF($G$5="撼天",1.05,1)+IF(AND(VLOOKUP($E76,武器奇术!$A:$R,15,FALSE)="武器",VLOOKUP($E76,武器奇术!$A:$R,17,FALSE)="鸣金"),$E$3*(1+$E$15),0),AU76)</f>
        <v>0</v>
      </c>
      <c r="AX76" s="110">
        <f>IF(($D$7+IF(VLOOKUP($E76,武器奇术!$A:$R,17,FALSE)="鸣金",$D$15,0)+IF(VLOOKUP($E76,武器奇术!$A:$R,18,FALSE)=1,4,0)+IF(VLOOKUP($E76,武器奇术!$A:$S,19,FALSE)=1,20,0)-VLOOKUP($F$7,目标属性!$A:$R,6,FALSE))&gt;0,($D$7+IF(VLOOKUP($E76,武器奇术!$A:$R,17,FALSE)="鸣金",$D$15,0)+IF(VLOOKUP($E76,武器奇术!$A:$R,18,FALSE)=1,4,0)+IF(VLOOKUP($E76,武器奇术!$A:$S,19,FALSE)=1,20,0)-VLOOKUP($F$7,目标属性!$A:$R,6,FALSE))/200,($D$7+IF(VLOOKUP($E76,武器奇术!$A:$R,17,FALSE)="鸣金",$D$15,0)+IF(VLOOKUP($E76,武器奇术!$A:$R,18,FALSE)=1,4,0)+IF(VLOOKUP($E76,武器奇术!$A:$S,19,FALSE)=1,20,0)-VLOOKUP($F$7,目标属性!$A:$R,6,FALSE))/100)</f>
        <v>0</v>
      </c>
      <c r="AY76" s="111">
        <f t="shared" si="12"/>
        <v>0</v>
      </c>
      <c r="AZ76" s="109">
        <v>1</v>
      </c>
      <c r="BA76" s="112">
        <f>AU76*IF(VLOOKUP($E76,武器奇术!$A:$R,17,FALSE)="鸣金",VLOOKUP($E76,武器奇术!$A:$R,4,FALSE),VLOOKUP($E76,武器奇术!$A:$R,2,FALSE))*(1+AX76)*(1+AY76)*AZ76</f>
        <v>0</v>
      </c>
      <c r="BB76" s="110">
        <f>(1-IF(VLOOKUP($E76,武器奇术!$A:$T,20,FALSE)=1,1,$N76))*(1-$M76)</f>
        <v>0.01072666</v>
      </c>
      <c r="BC76" s="112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10">
        <f t="shared" si="13"/>
        <v>0.8813852</v>
      </c>
      <c r="BE76" s="112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10">
        <f t="shared" si="14"/>
        <v>0.0986</v>
      </c>
      <c r="BG76" s="112">
        <f>AV76*IF(VLOOKUP($E76,武器奇术!$A:$R,17,FALSE)="鸣金",VLOOKUP($E76,武器奇术!$A:$R,4,FALSE),VLOOKUP($E76,武器奇术!$A:$R,2,FALSE))*(1+AX76)*(1+AY76)*AZ76</f>
        <v>0</v>
      </c>
      <c r="BH76" s="110">
        <f t="shared" si="15"/>
        <v>0.00928814000000003</v>
      </c>
      <c r="BI76" s="113">
        <f t="shared" si="16"/>
        <v>0</v>
      </c>
      <c r="BJ76" s="108">
        <f>$B$9*IF($G$5="撼天",1.05,1)+IF(AND(VLOOKUP($E76,武器奇术!$A:$R,15,FALSE)="武器",VLOOKUP($E76,武器奇术!$A:$R,17,FALSE)="裂石"),$E$3,0)*(1+$E$15)</f>
        <v>0</v>
      </c>
      <c r="BK76" s="99">
        <f>(BJ76+BL76)*IF(VLOOKUP($E76,武器奇术!$A:$Z,21,FALSE)=1,$G$15,0.5)</f>
        <v>0</v>
      </c>
      <c r="BL76" s="109">
        <f>MAX($C$9*IF($G$5="撼天",1.05,1)+IF(AND(VLOOKUP($E76,武器奇术!$A:$R,15,FALSE)="武器",VLOOKUP($E76,武器奇术!$A:$R,17,FALSE)="裂石"),$E$3*(1+$E$15),0),BJ76)</f>
        <v>0</v>
      </c>
      <c r="BM76" s="110">
        <f>IF(($D$9+IF(VLOOKUP($E76,武器奇术!$A:$R,17,FALSE)="裂石",$D$15,0)+IF(VLOOKUP($E76,武器奇术!$A:$R,18,FALSE)=1,4,0)+IF(VLOOKUP($E76,武器奇术!$A:$S,19,FALSE)=1,20,0)-VLOOKUP($F$7,目标属性!$A:$R,6,FALSE))&gt;0,($D$9+IF(VLOOKUP($E76,武器奇术!$A:$R,17,FALSE)="裂石",$D$15,0)+IF(VLOOKUP($E76,武器奇术!$A:$R,18,FALSE)=1,4,0)+IF(VLOOKUP($E76,武器奇术!$A:$S,19,FALSE)=1,20,0)-VLOOKUP($F$7,目标属性!$A:$R,6,FALSE))/200,($D$9+IF(VLOOKUP($E76,武器奇术!$A:$R,17,FALSE)="裂石",$D$15,0)+IF(VLOOKUP($E76,武器奇术!$A:$R,18,FALSE)=1,4,0)+IF(VLOOKUP($E76,武器奇术!$A:$S,19,FALSE)=1,20,0)-VLOOKUP($F$7,目标属性!$A:$R,6,FALSE))/100)</f>
        <v>0</v>
      </c>
      <c r="BN76" s="111">
        <f t="shared" si="17"/>
        <v>0</v>
      </c>
      <c r="BO76" s="109">
        <v>1</v>
      </c>
      <c r="BP76" s="112">
        <f>BJ76*IF(VLOOKUP($E76,武器奇术!$A:$R,17,FALSE)="裂石",VLOOKUP($E76,武器奇术!$A:$R,4,FALSE),VLOOKUP($E76,武器奇术!$A:$R,2,FALSE))*(1+BM76)*(1+BN76)*BO76</f>
        <v>0</v>
      </c>
      <c r="BQ76" s="110">
        <f>(1-IF(VLOOKUP($E76,武器奇术!$A:$T,20,FALSE)=1,1,$N76))*(1-$M76)</f>
        <v>0.01072666</v>
      </c>
      <c r="BR76" s="112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10">
        <f t="shared" si="18"/>
        <v>0.8813852</v>
      </c>
      <c r="BT76" s="112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10">
        <f t="shared" si="19"/>
        <v>0.0986</v>
      </c>
      <c r="BV76" s="112">
        <f>BK76*IF(VLOOKUP($E76,武器奇术!$A:$R,17,FALSE)="裂石",VLOOKUP($E76,武器奇术!$A:$R,4,FALSE),VLOOKUP($E76,武器奇术!$A:$R,2,FALSE))*(1+BM76)*(1+BN76)*BO76</f>
        <v>0</v>
      </c>
      <c r="BW76" s="110">
        <f t="shared" si="20"/>
        <v>0.00928814000000003</v>
      </c>
      <c r="BX76" s="113">
        <f t="shared" si="21"/>
        <v>0</v>
      </c>
      <c r="BY76" s="108">
        <f>$B$11*IF($G$5="撼天",1.05,1)+IF(AND(VLOOKUP($E76,武器奇术!$A:$R,15,FALSE)="武器",VLOOKUP($E76,武器奇术!$A:$R,17,FALSE)="牵丝"),$E$3,0)*(1+$E$15)</f>
        <v>0</v>
      </c>
      <c r="BZ76" s="99">
        <f>(BY76+CA76)*IF(VLOOKUP($E76,武器奇术!$A:$Z,21,FALSE)=1,$G$15,0.5)</f>
        <v>0</v>
      </c>
      <c r="CA76" s="109">
        <f>MAX($C$11*IF($G$5="撼天",1.05,1)+IF(AND(VLOOKUP($E76,武器奇术!$A:$R,15,FALSE)="武器",VLOOKUP($E76,武器奇术!$A:$R,17,FALSE)="牵丝"),$E$3*(1+$E$15),0),BY76)</f>
        <v>0</v>
      </c>
      <c r="CB76" s="110">
        <f>IF(($D$11+IF(VLOOKUP($E76,武器奇术!$A:$R,17,FALSE)="牵丝",$D$15,0)+IF(VLOOKUP($E76,武器奇术!$A:$R,18,FALSE)=1,4,0)+IF(VLOOKUP($E76,武器奇术!$A:$S,19,FALSE)=1,20,0)-VLOOKUP($F$7,目标属性!$A:$R,6,FALSE))&gt;0,($D$11+IF(VLOOKUP($E76,武器奇术!$A:$R,17,FALSE)="牵丝",$D$15,0)+IF(VLOOKUP($E76,武器奇术!$A:$R,18,FALSE)=1,4,0)+IF(VLOOKUP($E76,武器奇术!$A:$S,19,FALSE)=1,20,0)-VLOOKUP($F$7,目标属性!$A:$R,6,FALSE))/200,($D$11+IF(VLOOKUP($E76,武器奇术!$A:$R,17,FALSE)="牵丝",$D$15,0)+IF(VLOOKUP($E76,武器奇术!$A:$R,18,FALSE)=1,4,0)+IF(VLOOKUP($E76,武器奇术!$A:$S,19,FALSE)=1,20,0)-VLOOKUP($F$7,目标属性!$A:$R,6,FALSE))/100)</f>
        <v>0</v>
      </c>
      <c r="CC76" s="111">
        <f t="shared" si="22"/>
        <v>0</v>
      </c>
      <c r="CD76" s="109">
        <v>1</v>
      </c>
      <c r="CE76" s="112">
        <f>BY76*IF(VLOOKUP($E76,武器奇术!$A:$R,17,FALSE)="牵丝",VLOOKUP($E76,武器奇术!$A:$R,4,FALSE),VLOOKUP($E76,武器奇术!$A:$R,2,FALSE))*(1+CB76)*(1+CC76)*CD76</f>
        <v>0</v>
      </c>
      <c r="CF76" s="110">
        <f>(1-IF(VLOOKUP($E76,武器奇术!$A:$T,20,FALSE)=1,1,$N76))*(1-$M76)</f>
        <v>0.01072666</v>
      </c>
      <c r="CG76" s="112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110">
        <f t="shared" si="23"/>
        <v>0.8813852</v>
      </c>
      <c r="CI76" s="112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110">
        <f t="shared" si="24"/>
        <v>0.0986</v>
      </c>
      <c r="CK76" s="112">
        <f>BZ76*IF(VLOOKUP($E76,武器奇术!$A:$R,17,FALSE)="牵丝",VLOOKUP($E76,武器奇术!$A:$R,4,FALSE),VLOOKUP($E76,武器奇术!$A:$R,2,FALSE))*(1+CB76)*(1+CC76)*CD76</f>
        <v>0</v>
      </c>
      <c r="CL76" s="110">
        <f t="shared" si="25"/>
        <v>0.00928814000000003</v>
      </c>
      <c r="CM76" s="113">
        <f t="shared" si="26"/>
        <v>0</v>
      </c>
      <c r="CN76" s="108">
        <f>$B$13*IF($G$5="撼天",1.05,1)+IF(AND(VLOOKUP($E76,武器奇术!$A:$R,15,FALSE)="武器",VLOOKUP($E76,武器奇术!$A:$R,17,FALSE)="破竹"),$E$3,0)*(1+$E$15)</f>
        <v>648.46</v>
      </c>
      <c r="CO76" s="99">
        <f>(CN76+CP76)*IF(VLOOKUP($E76,武器奇术!$A:$Z,21,FALSE)=1,$G$15,0.5)</f>
        <v>875.26</v>
      </c>
      <c r="CP76" s="109">
        <f>MAX($C$13*IF($G$5="撼天",1.05,1)+IF(AND(VLOOKUP($E76,武器奇术!$A:$R,15,FALSE)="武器",VLOOKUP($E76,武器奇术!$A:$R,17,FALSE)="破竹"),$E$3*(1+$E$15),0),CN76)</f>
        <v>1102.06</v>
      </c>
      <c r="CQ76" s="110">
        <f>IF(($D$13+IF(VLOOKUP($E76,武器奇术!$A:$R,17,FALSE)="破竹",$D$15,0)+IF(VLOOKUP($E76,武器奇术!$A:$R,18,FALSE)=1,4,0)+IF(VLOOKUP($E76,武器奇术!$A:$S,19,FALSE)=1,20,0)-VLOOKUP($F$7,目标属性!$A:$R,6,FALSE))&gt;0,($D$13+IF(VLOOKUP($E76,武器奇术!$A:$R,17,FALSE)="破竹",$D$15,0)+IF(VLOOKUP($E76,武器奇术!$A:$R,18,FALSE)=1,4,0)+IF(VLOOKUP($E76,武器奇术!$A:$S,19,FALSE)=1,20,0)-VLOOKUP($F$7,目标属性!$A:$R,6,FALSE))/200,($D$13+IF(VLOOKUP($E76,武器奇术!$A:$R,17,FALSE)="破竹",$D$15,0)+IF(VLOOKUP($E76,武器奇术!$A:$R,18,FALSE)=1,4,0)+IF(VLOOKUP($E76,武器奇术!$A:$S,19,FALSE)=1,20,0)-VLOOKUP($F$7,目标属性!$A:$R,6,FALSE))/100)</f>
        <v>0.145</v>
      </c>
      <c r="CR76" s="111">
        <f>$E$13+IF(VLOOKUP($E76,武器奇术!$A:$U,21,FALSE)=1,0,0.09)</f>
        <v>0.235</v>
      </c>
      <c r="CS76" s="109">
        <v>1</v>
      </c>
      <c r="CT76" s="112">
        <f>CN76*IF(VLOOKUP($E76,武器奇术!$A:$R,17,FALSE)="破竹",VLOOKUP($E76,武器奇术!$A:$R,4,FALSE),VLOOKUP($E76,武器奇术!$A:$R,2,FALSE))*(1+CQ76)*(1+CR76)*CS76</f>
        <v>3785.03652247812</v>
      </c>
      <c r="CU76" s="110">
        <f>(1-IF(VLOOKUP($E76,武器奇术!$A:$T,20,FALSE)=1,1,$N76))*(1-$M76)</f>
        <v>0.01072666</v>
      </c>
      <c r="CV76" s="112">
        <f>CO76*IF(VLOOKUP($E76,武器奇术!$A:$R,17,FALSE)="破竹",VLOOKUP($E76,武器奇术!$A:$R,4,FALSE),VLOOKUP($E76,武器奇术!$A:$R,2,FALSE))*(1+CQ76)*(1+CR76)*CS76*(1+$E$16+VLOOKUP($E76,武器奇术!$A:$R,8,FALSE))</f>
        <v>9911.18753558978</v>
      </c>
      <c r="CW76" s="110">
        <f t="shared" si="27"/>
        <v>0.8813852</v>
      </c>
      <c r="CX76" s="112">
        <f>CP76*IF(VLOOKUP($E76,武器奇术!$A:$R,17,FALSE)="破竹",VLOOKUP($E76,武器奇术!$A:$R,4,FALSE),VLOOKUP($E76,武器奇术!$A:$R,2,FALSE))*(1+CQ76)*(1+CR76)*CS76*(1+$E$17+VLOOKUP($E76,武器奇术!$A:$R,10,FALSE))</f>
        <v>8684.12149160938</v>
      </c>
      <c r="CY76" s="110">
        <f t="shared" si="28"/>
        <v>0.0986</v>
      </c>
      <c r="CZ76" s="112">
        <f>CO76*IF(VLOOKUP($E76,武器奇术!$A:$R,17,FALSE)="破竹",VLOOKUP($E76,武器奇术!$A:$R,4,FALSE),VLOOKUP($E76,武器奇术!$A:$R,2,FALSE))*(1+CQ76)*(1+CR76)*CS76</f>
        <v>5108.85955442772</v>
      </c>
      <c r="DA76" s="110">
        <f t="shared" si="29"/>
        <v>0.00928814000000003</v>
      </c>
      <c r="DB76" s="113">
        <f t="shared" si="30"/>
        <v>9679.88099001206</v>
      </c>
      <c r="DC76" s="108">
        <f t="shared" si="31"/>
        <v>69.3</v>
      </c>
      <c r="DD76" s="99">
        <f>(DC76+DE76)*IF(VLOOKUP($E76,武器奇术!$A:$Z,21,FALSE)=1,$G$15,0.5)</f>
        <v>69.3</v>
      </c>
      <c r="DE76" s="109">
        <f t="shared" si="32"/>
        <v>69.3</v>
      </c>
      <c r="DF76" s="110">
        <f>IF(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R,18,FALSE)=1,4,0)+IF(VLOOKUP($E76,武器奇术!$A:$S,19,FALSE)=1,20,0)-VLOOKUP($F$7,目标属性!$A:$R,6,FALSE))/100)</f>
        <v>0.145</v>
      </c>
      <c r="DG76" s="111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U,21,FALSE)=1,0,0.09)</f>
        <v>0.235</v>
      </c>
      <c r="DH76" s="109">
        <v>1</v>
      </c>
      <c r="DI76" s="112">
        <f>DC76*IF(VLOOKUP($E76,武器奇术!$A:$R,17,FALSE)="破竹",VLOOKUP($E76,武器奇术!$A:$R,4,FALSE),VLOOKUP($E76,武器奇术!$A:$R,2,FALSE))*(1+DF76)*(1+DG76)*DH76</f>
        <v>404.5014819846</v>
      </c>
      <c r="DJ76" s="110">
        <f>(1-IF(VLOOKUP($E76,武器奇术!$A:$T,20,FALSE)=1,1,$N76))*(1-$M76)</f>
        <v>0.01072666</v>
      </c>
      <c r="DK76" s="112">
        <f>DD76*IF(VLOOKUP($E76,武器奇术!$A:$R,17,FALSE)="破竹",VLOOKUP($E76,武器奇术!$A:$R,4,FALSE),VLOOKUP($E76,武器奇术!$A:$R,2,FALSE))*(1+DF76)*(1+DG76)*DH76*(1+$E$16+VLOOKUP($E76,武器奇术!$A:$R,8,FALSE))</f>
        <v>784.732875050124</v>
      </c>
      <c r="DL76" s="110">
        <f t="shared" si="33"/>
        <v>0.8813852</v>
      </c>
      <c r="DM76" s="112">
        <f>DE76*IF(VLOOKUP($E76,武器奇术!$A:$R,17,FALSE)="破竹",VLOOKUP($E76,武器奇术!$A:$R,4,FALSE),VLOOKUP($E76,武器奇术!$A:$R,2,FALSE))*(1+DF76)*(1+DG76)*DH76*(1+$E$17+VLOOKUP($E76,武器奇术!$A:$R,10,FALSE))</f>
        <v>546.07700067921</v>
      </c>
      <c r="DN76" s="110">
        <f t="shared" si="34"/>
        <v>0.0986</v>
      </c>
      <c r="DO76" s="112">
        <f>DD76*IF(VLOOKUP($E76,武器奇术!$A:$R,17,FALSE)="破竹",VLOOKUP($E76,武器奇术!$A:$R,4,FALSE),VLOOKUP($E76,武器奇术!$A:$R,2,FALSE))*(1+DF76)*(1+DG76)*DH76</f>
        <v>404.5014819846</v>
      </c>
      <c r="DP76" s="110">
        <f t="shared" si="35"/>
        <v>0.00928814000000003</v>
      </c>
      <c r="DQ76" s="113">
        <f t="shared" si="36"/>
        <v>753.591150551224</v>
      </c>
    </row>
    <row r="77" customFormat="1" spans="1:121">
      <c r="A77" s="75"/>
      <c r="B77" s="75"/>
      <c r="C77" s="148"/>
      <c r="D77" s="75"/>
      <c r="E77" s="98" t="str">
        <f>期望!E77</f>
        <v>拳甲普攻56</v>
      </c>
      <c r="F77" s="99">
        <f>期望!F77</f>
        <v>1</v>
      </c>
      <c r="G77" s="115"/>
      <c r="H77" s="149">
        <f>IF(VLOOKUP($E77,武器奇术!$A:$R,18,FALSE)="天工",AE77,(AE77+AT77+BI77+BX77+CM77+DB77+DQ77))*(1+J77)*F77*K77*(1+G77)*(1+$G$21*5%)</f>
        <v>28646.9930354516</v>
      </c>
      <c r="I77" s="101">
        <f t="shared" si="0"/>
        <v>0.00353684123284824</v>
      </c>
      <c r="J77" s="101">
        <f>$F$3+VLOOKUP($E77,武器奇术!$A:$R,12,FALSE)+VLOOKUP($E77,武器奇术!$A:$R,14,FALSE)*$G$3+$P77</f>
        <v>0.473</v>
      </c>
      <c r="K77" s="102">
        <f>VLOOKUP($E77,武器奇术!$A:$R,11,FALSE)</f>
        <v>1</v>
      </c>
      <c r="L77" s="117">
        <f>IF(VLOOKUP($E77,武器奇术!$A:$R,15,FALSE)="天工",0%,IF($C$17+VLOOKUP($E77,武器奇术!$A:$R,7,FALSE)&gt;80%,80%,$C$17+VLOOKUP($E77,武器奇术!$A:$R,7,FALSE))+IF($C$19&gt;20%,20%,$C$19))</f>
        <v>0.892</v>
      </c>
      <c r="M77" s="118">
        <f>IF(VLOOKUP($E77,武器奇术!$A:$R,15,FALSE)="天工",0%,IF($C$18+VLOOKUP($E77,武器奇术!$A:$R,9,FALSE)&gt;40%,40%,$C$18+VLOOKUP($E77,武器奇术!$A:$R,9,FALSE))+IF($C$20&gt;10%,10%,$C$20))</f>
        <v>0.0986</v>
      </c>
      <c r="N77" s="119">
        <f>IF(VLOOKUP($E77,武器奇术!$A:$R,15,FALSE)="天工",100%,MIN($C$16,1))</f>
        <v>0.9881</v>
      </c>
      <c r="O77" s="120" t="str">
        <f>VLOOKUP($E77,武器奇术!$A:$R,16,FALSE)</f>
        <v>拳甲</v>
      </c>
      <c r="P77" s="121">
        <f t="shared" si="38"/>
        <v>0.17</v>
      </c>
      <c r="Q77" s="108">
        <f>$B$5*(1+VLOOKUP($E77,武器奇术!$A:$R,5,FALSE)+IF($G$5="飞隼",0.1,0)+IF($G$5="撼天",0.05,0))-$F$9+IF($I$5="√",160,0)</f>
        <v>1731.135</v>
      </c>
      <c r="R77" s="99">
        <f>IF(VLOOKUP($E77,武器奇术!$A:$Z,20,FALSE)=1,(S77-(Q77+S77)*0.5)*($G$15-0.5)*2+(Q77+S77)*0.5,(Q77+S77)*0.5)</f>
        <v>3256.775</v>
      </c>
      <c r="S77" s="109">
        <f>MAX($C$5,$B$5)*(1+VLOOKUP($E77,武器奇术!$A:$R,5,FALSE)+IF($G$5="飞隼",0.1,0)+IF($G$5="撼天",0.05,0))-$F$9+IF($I$5="√",320,0)</f>
        <v>4782.415</v>
      </c>
      <c r="T77" s="101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U77" s="111">
        <f>$E$5+IF(VLOOKUP($E77,武器奇术!$A:$U,21,FALSE)=1,0,0.09)</f>
        <v>0.115</v>
      </c>
      <c r="V77" s="109">
        <v>1</v>
      </c>
      <c r="W77" s="112">
        <f>Q77*VLOOKUP($E77,武器奇术!$A:$R,2,FALSE)*(1+T77)*(1+U77)*V77</f>
        <v>3086.79912340758</v>
      </c>
      <c r="X77" s="110">
        <f>(1-IF(VLOOKUP($E77,武器奇术!$A:$T,20,FALSE)=1,1,$N77))*(1-$M77)</f>
        <v>0.01072666</v>
      </c>
      <c r="Y77" s="112">
        <f>R77*VLOOKUP($E77,武器奇术!$A:$R,2,FALSE)*(1+T77)*(1+U77)*V77*(1+$E$16+VLOOKUP($E77,武器奇术!$A:$R,8,FALSE))</f>
        <v>9523.77298871699</v>
      </c>
      <c r="Z77" s="110">
        <f t="shared" si="1"/>
        <v>0.8813852</v>
      </c>
      <c r="AA77" s="112">
        <f>S77*VLOOKUP($E77,武器奇术!$A:$R,2,FALSE)*(1+T77)*(1+U77)*V77*(1+$E$17+VLOOKUP($E77,武器奇术!$A:$R,10,FALSE))</f>
        <v>11512.2035428729</v>
      </c>
      <c r="AB77" s="110">
        <f t="shared" si="2"/>
        <v>0.0986</v>
      </c>
      <c r="AC77" s="112">
        <f>R77*VLOOKUP($E77,武器奇术!$A:$R,2,FALSE)*(1+T77)*(1+U77)*V77</f>
        <v>5807.1786516567</v>
      </c>
      <c r="AD77" s="110">
        <f t="shared" si="3"/>
        <v>0.00928814000000003</v>
      </c>
      <c r="AE77" s="113">
        <f t="shared" si="4"/>
        <v>9616.26476274887</v>
      </c>
      <c r="AF77" s="114">
        <f>VLOOKUP($E77,武器奇术!$A:$R,3,FALSE)*(1+IF(VLOOKUP($E77,武器奇术!$A:$R,15,FALSE)="武器",$E$15,0))</f>
        <v>465.4</v>
      </c>
      <c r="AG77" s="112">
        <f t="shared" si="5"/>
        <v>465.4</v>
      </c>
      <c r="AH77" s="112">
        <f>VLOOKUP($E77,武器奇术!$A:$R,3,FALSE)*(1+IF(VLOOKUP($E77,武器奇术!$A:$R,15,FALSE)="武器",$E$15,0))</f>
        <v>465.4</v>
      </c>
      <c r="AI77" s="101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0.242</v>
      </c>
      <c r="AJ77" s="111">
        <f>$E$5+IF(VLOOKUP($E77,武器奇术!$A:$U,21,FALSE)=1,0,0.09)</f>
        <v>0.115</v>
      </c>
      <c r="AK77" s="109">
        <v>1</v>
      </c>
      <c r="AL77" s="112">
        <f t="shared" si="6"/>
        <v>644.499882</v>
      </c>
      <c r="AM77" s="110">
        <f>(1-IF(VLOOKUP($E77,武器奇术!$A:$T,20,FALSE)=1,1,$N77))*(1-$M77)</f>
        <v>0.01072666</v>
      </c>
      <c r="AN77" s="112">
        <f>AG77*(1+AI77)*(1+AJ77)*AK77*(1+$E$16+VLOOKUP($E77,武器奇术!$A:$R,8,FALSE))</f>
        <v>1056.97980648</v>
      </c>
      <c r="AO77" s="110">
        <f t="shared" si="7"/>
        <v>0.8813852</v>
      </c>
      <c r="AP77" s="112">
        <f>AH77*(1+AI77)*(1+AJ77)*AK77*(1+$E$17+VLOOKUP($E77,武器奇术!$A:$R,10,FALSE))</f>
        <v>870.0748407</v>
      </c>
      <c r="AQ77" s="110">
        <f t="shared" si="8"/>
        <v>0.0986</v>
      </c>
      <c r="AR77" s="112">
        <f t="shared" si="9"/>
        <v>644.499882</v>
      </c>
      <c r="AS77" s="110">
        <f t="shared" si="10"/>
        <v>0.00928814000000003</v>
      </c>
      <c r="AT77" s="113">
        <f t="shared" si="11"/>
        <v>1030.29527366161</v>
      </c>
      <c r="AU77" s="108">
        <f>$B$7*IF($G$5="撼天",1.05,1)+IF(AND(VLOOKUP($E77,武器奇术!$A:$R,15,FALSE)="武器",VLOOKUP($E77,武器奇术!$A:$R,17,FALSE)="鸣金"),$E$3,0)*(1+$E$15)</f>
        <v>0</v>
      </c>
      <c r="AV77" s="99">
        <f>(AU77+AW77)*IF(VLOOKUP($E77,武器奇术!$A:$Z,21,FALSE)=1,$G$15,0.5)</f>
        <v>0</v>
      </c>
      <c r="AW77" s="109">
        <f>MAX($C$7*IF($G$5="撼天",1.05,1)+IF(AND(VLOOKUP($E77,武器奇术!$A:$R,15,FALSE)="武器",VLOOKUP($E77,武器奇术!$A:$R,17,FALSE)="鸣金"),$E$3*(1+$E$15),0),AU77)</f>
        <v>0</v>
      </c>
      <c r="AX77" s="110">
        <f>IF(($D$7+IF(VLOOKUP($E77,武器奇术!$A:$R,17,FALSE)="鸣金",$D$15,0)+IF(VLOOKUP($E77,武器奇术!$A:$R,18,FALSE)=1,4,0)+IF(VLOOKUP($E77,武器奇术!$A:$S,19,FALSE)=1,20,0)-VLOOKUP($F$7,目标属性!$A:$R,6,FALSE))&gt;0,($D$7+IF(VLOOKUP($E77,武器奇术!$A:$R,17,FALSE)="鸣金",$D$15,0)+IF(VLOOKUP($E77,武器奇术!$A:$R,18,FALSE)=1,4,0)+IF(VLOOKUP($E77,武器奇术!$A:$S,19,FALSE)=1,20,0)-VLOOKUP($F$7,目标属性!$A:$R,6,FALSE))/200,($D$7+IF(VLOOKUP($E77,武器奇术!$A:$R,17,FALSE)="鸣金",$D$15,0)+IF(VLOOKUP($E77,武器奇术!$A:$R,18,FALSE)=1,4,0)+IF(VLOOKUP($E77,武器奇术!$A:$S,19,FALSE)=1,20,0)-VLOOKUP($F$7,目标属性!$A:$R,6,FALSE))/100)</f>
        <v>-0.24</v>
      </c>
      <c r="AY77" s="111">
        <f t="shared" si="12"/>
        <v>0</v>
      </c>
      <c r="AZ77" s="109">
        <v>1</v>
      </c>
      <c r="BA77" s="112">
        <f>AU77*IF(VLOOKUP($E77,武器奇术!$A:$R,17,FALSE)="鸣金",VLOOKUP($E77,武器奇术!$A:$R,4,FALSE),VLOOKUP($E77,武器奇术!$A:$R,2,FALSE))*(1+AX77)*(1+AY77)*AZ77</f>
        <v>0</v>
      </c>
      <c r="BB77" s="110">
        <f>(1-IF(VLOOKUP($E77,武器奇术!$A:$T,20,FALSE)=1,1,$N77))*(1-$M77)</f>
        <v>0.01072666</v>
      </c>
      <c r="BC77" s="112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10">
        <f t="shared" si="13"/>
        <v>0.8813852</v>
      </c>
      <c r="BE77" s="112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10">
        <f t="shared" si="14"/>
        <v>0.0986</v>
      </c>
      <c r="BG77" s="112">
        <f>AV77*IF(VLOOKUP($E77,武器奇术!$A:$R,17,FALSE)="鸣金",VLOOKUP($E77,武器奇术!$A:$R,4,FALSE),VLOOKUP($E77,武器奇术!$A:$R,2,FALSE))*(1+AX77)*(1+AY77)*AZ77</f>
        <v>0</v>
      </c>
      <c r="BH77" s="110">
        <f t="shared" si="15"/>
        <v>0.00928814000000003</v>
      </c>
      <c r="BI77" s="113">
        <f t="shared" si="16"/>
        <v>0</v>
      </c>
      <c r="BJ77" s="108">
        <f>$B$9*IF($G$5="撼天",1.05,1)+IF(AND(VLOOKUP($E77,武器奇术!$A:$R,15,FALSE)="武器",VLOOKUP($E77,武器奇术!$A:$R,17,FALSE)="裂石"),$E$3,0)*(1+$E$15)</f>
        <v>0</v>
      </c>
      <c r="BK77" s="99">
        <f>(BJ77+BL77)*IF(VLOOKUP($E77,武器奇术!$A:$Z,21,FALSE)=1,$G$15,0.5)</f>
        <v>0</v>
      </c>
      <c r="BL77" s="109">
        <f>MAX($C$9*IF($G$5="撼天",1.05,1)+IF(AND(VLOOKUP($E77,武器奇术!$A:$R,15,FALSE)="武器",VLOOKUP($E77,武器奇术!$A:$R,17,FALSE)="裂石"),$E$3*(1+$E$15),0),BJ77)</f>
        <v>0</v>
      </c>
      <c r="BM77" s="110">
        <f>IF(($D$9+IF(VLOOKUP($E77,武器奇术!$A:$R,17,FALSE)="裂石",$D$15,0)+IF(VLOOKUP($E77,武器奇术!$A:$R,18,FALSE)=1,4,0)+IF(VLOOKUP($E77,武器奇术!$A:$S,19,FALSE)=1,20,0)-VLOOKUP($F$7,目标属性!$A:$R,6,FALSE))&gt;0,($D$9+IF(VLOOKUP($E77,武器奇术!$A:$R,17,FALSE)="裂石",$D$15,0)+IF(VLOOKUP($E77,武器奇术!$A:$R,18,FALSE)=1,4,0)+IF(VLOOKUP($E77,武器奇术!$A:$S,19,FALSE)=1,20,0)-VLOOKUP($F$7,目标属性!$A:$R,6,FALSE))/200,($D$9+IF(VLOOKUP($E77,武器奇术!$A:$R,17,FALSE)="裂石",$D$15,0)+IF(VLOOKUP($E77,武器奇术!$A:$R,18,FALSE)=1,4,0)+IF(VLOOKUP($E77,武器奇术!$A:$S,19,FALSE)=1,20,0)-VLOOKUP($F$7,目标属性!$A:$R,6,FALSE))/100)</f>
        <v>-0.24</v>
      </c>
      <c r="BN77" s="111">
        <f t="shared" si="17"/>
        <v>0</v>
      </c>
      <c r="BO77" s="109">
        <v>1</v>
      </c>
      <c r="BP77" s="112">
        <f>BJ77*IF(VLOOKUP($E77,武器奇术!$A:$R,17,FALSE)="裂石",VLOOKUP($E77,武器奇术!$A:$R,4,FALSE),VLOOKUP($E77,武器奇术!$A:$R,2,FALSE))*(1+BM77)*(1+BN77)*BO77</f>
        <v>0</v>
      </c>
      <c r="BQ77" s="110">
        <f>(1-IF(VLOOKUP($E77,武器奇术!$A:$T,20,FALSE)=1,1,$N77))*(1-$M77)</f>
        <v>0.01072666</v>
      </c>
      <c r="BR77" s="112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10">
        <f t="shared" si="18"/>
        <v>0.8813852</v>
      </c>
      <c r="BT77" s="112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10">
        <f t="shared" si="19"/>
        <v>0.0986</v>
      </c>
      <c r="BV77" s="112">
        <f>BK77*IF(VLOOKUP($E77,武器奇术!$A:$R,17,FALSE)="裂石",VLOOKUP($E77,武器奇术!$A:$R,4,FALSE),VLOOKUP($E77,武器奇术!$A:$R,2,FALSE))*(1+BM77)*(1+BN77)*BO77</f>
        <v>0</v>
      </c>
      <c r="BW77" s="110">
        <f t="shared" si="20"/>
        <v>0.00928814000000003</v>
      </c>
      <c r="BX77" s="113">
        <f t="shared" si="21"/>
        <v>0</v>
      </c>
      <c r="BY77" s="108">
        <f>$B$11*IF($G$5="撼天",1.05,1)+IF(AND(VLOOKUP($E77,武器奇术!$A:$R,15,FALSE)="武器",VLOOKUP($E77,武器奇术!$A:$R,17,FALSE)="牵丝"),$E$3,0)*(1+$E$15)</f>
        <v>0</v>
      </c>
      <c r="BZ77" s="99">
        <f>(BY77+CA77)*IF(VLOOKUP($E77,武器奇术!$A:$Z,21,FALSE)=1,$G$15,0.5)</f>
        <v>0</v>
      </c>
      <c r="CA77" s="109">
        <f>MAX($C$11*IF($G$5="撼天",1.05,1)+IF(AND(VLOOKUP($E77,武器奇术!$A:$R,15,FALSE)="武器",VLOOKUP($E77,武器奇术!$A:$R,17,FALSE)="牵丝"),$E$3*(1+$E$15),0),BY77)</f>
        <v>0</v>
      </c>
      <c r="CB77" s="110">
        <f>IF(($D$11+IF(VLOOKUP($E77,武器奇术!$A:$R,17,FALSE)="牵丝",$D$15,0)+IF(VLOOKUP($E77,武器奇术!$A:$R,18,FALSE)=1,4,0)+IF(VLOOKUP($E77,武器奇术!$A:$S,19,FALSE)=1,20,0)-VLOOKUP($F$7,目标属性!$A:$R,6,FALSE))&gt;0,($D$11+IF(VLOOKUP($E77,武器奇术!$A:$R,17,FALSE)="牵丝",$D$15,0)+IF(VLOOKUP($E77,武器奇术!$A:$R,18,FALSE)=1,4,0)+IF(VLOOKUP($E77,武器奇术!$A:$S,19,FALSE)=1,20,0)-VLOOKUP($F$7,目标属性!$A:$R,6,FALSE))/200,($D$11+IF(VLOOKUP($E77,武器奇术!$A:$R,17,FALSE)="牵丝",$D$15,0)+IF(VLOOKUP($E77,武器奇术!$A:$R,18,FALSE)=1,4,0)+IF(VLOOKUP($E77,武器奇术!$A:$S,19,FALSE)=1,20,0)-VLOOKUP($F$7,目标属性!$A:$R,6,FALSE))/100)</f>
        <v>-0.24</v>
      </c>
      <c r="CC77" s="111">
        <f t="shared" si="22"/>
        <v>0</v>
      </c>
      <c r="CD77" s="109">
        <v>1</v>
      </c>
      <c r="CE77" s="112">
        <f>BY77*IF(VLOOKUP($E77,武器奇术!$A:$R,17,FALSE)="牵丝",VLOOKUP($E77,武器奇术!$A:$R,4,FALSE),VLOOKUP($E77,武器奇术!$A:$R,2,FALSE))*(1+CB77)*(1+CC77)*CD77</f>
        <v>0</v>
      </c>
      <c r="CF77" s="110">
        <f>(1-IF(VLOOKUP($E77,武器奇术!$A:$T,20,FALSE)=1,1,$N77))*(1-$M77)</f>
        <v>0.01072666</v>
      </c>
      <c r="CG77" s="112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110">
        <f t="shared" si="23"/>
        <v>0.8813852</v>
      </c>
      <c r="CI77" s="112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110">
        <f t="shared" si="24"/>
        <v>0.0986</v>
      </c>
      <c r="CK77" s="112">
        <f>BZ77*IF(VLOOKUP($E77,武器奇术!$A:$R,17,FALSE)="牵丝",VLOOKUP($E77,武器奇术!$A:$R,4,FALSE),VLOOKUP($E77,武器奇术!$A:$R,2,FALSE))*(1+CB77)*(1+CC77)*CD77</f>
        <v>0</v>
      </c>
      <c r="CL77" s="110">
        <f t="shared" si="25"/>
        <v>0.00928814000000003</v>
      </c>
      <c r="CM77" s="113">
        <f t="shared" si="26"/>
        <v>0</v>
      </c>
      <c r="CN77" s="108">
        <f>$B$13*IF($G$5="撼天",1.05,1)+IF(AND(VLOOKUP($E77,武器奇术!$A:$R,15,FALSE)="武器",VLOOKUP($E77,武器奇术!$A:$R,17,FALSE)="破竹"),$E$3,0)*(1+$E$15)</f>
        <v>648.46</v>
      </c>
      <c r="CO77" s="99">
        <f>(CN77+CP77)*IF(VLOOKUP($E77,武器奇术!$A:$Z,21,FALSE)=1,$G$15,0.5)</f>
        <v>875.26</v>
      </c>
      <c r="CP77" s="109">
        <f>MAX($C$13*IF($G$5="撼天",1.05,1)+IF(AND(VLOOKUP($E77,武器奇术!$A:$R,15,FALSE)="武器",VLOOKUP($E77,武器奇术!$A:$R,17,FALSE)="破竹"),$E$3*(1+$E$15),0),CN77)</f>
        <v>1102.06</v>
      </c>
      <c r="CQ77" s="110">
        <f>IF(($D$13+IF(VLOOKUP($E77,武器奇术!$A:$R,17,FALSE)="破竹",$D$15,0)+IF(VLOOKUP($E77,武器奇术!$A:$R,18,FALSE)=1,4,0)+IF(VLOOKUP($E77,武器奇术!$A:$S,19,FALSE)=1,20,0)-VLOOKUP($F$7,目标属性!$A:$R,6,FALSE))&gt;0,($D$13+IF(VLOOKUP($E77,武器奇术!$A:$R,17,FALSE)="破竹",$D$15,0)+IF(VLOOKUP($E77,武器奇术!$A:$R,18,FALSE)=1,4,0)+IF(VLOOKUP($E77,武器奇术!$A:$S,19,FALSE)=1,20,0)-VLOOKUP($F$7,目标属性!$A:$R,6,FALSE))/200,($D$13+IF(VLOOKUP($E77,武器奇术!$A:$R,17,FALSE)="破竹",$D$15,0)+IF(VLOOKUP($E77,武器奇术!$A:$R,18,FALSE)=1,4,0)+IF(VLOOKUP($E77,武器奇术!$A:$S,19,FALSE)=1,20,0)-VLOOKUP($F$7,目标属性!$A:$R,6,FALSE))/100)</f>
        <v>0.025</v>
      </c>
      <c r="CR77" s="111">
        <f>$E$13+IF(VLOOKUP($E77,武器奇术!$A:$U,21,FALSE)=1,0,0.09)</f>
        <v>0.235</v>
      </c>
      <c r="CS77" s="109">
        <v>1</v>
      </c>
      <c r="CT77" s="112">
        <f>CN77*IF(VLOOKUP($E77,武器奇术!$A:$R,17,FALSE)="破竹",VLOOKUP($E77,武器奇术!$A:$R,4,FALSE),VLOOKUP($E77,武器奇术!$A:$R,2,FALSE))*(1+CQ77)*(1+CR77)*CS77</f>
        <v>1585.34488391825</v>
      </c>
      <c r="CU77" s="110">
        <f>(1-IF(VLOOKUP($E77,武器奇术!$A:$T,20,FALSE)=1,1,$N77))*(1-$M77)</f>
        <v>0.01072666</v>
      </c>
      <c r="CV77" s="112">
        <f>CO77*IF(VLOOKUP($E77,武器奇术!$A:$R,17,FALSE)="破竹",VLOOKUP($E77,武器奇术!$A:$R,4,FALSE),VLOOKUP($E77,武器奇术!$A:$R,2,FALSE))*(1+CQ77)*(1+CR77)*CS77*(1+$E$16+VLOOKUP($E77,武器奇术!$A:$R,8,FALSE))</f>
        <v>3509.30805212533</v>
      </c>
      <c r="CW77" s="110">
        <f t="shared" si="27"/>
        <v>0.8813852</v>
      </c>
      <c r="CX77" s="112">
        <f>CP77*IF(VLOOKUP($E77,武器奇术!$A:$R,17,FALSE)="破竹",VLOOKUP($E77,武器奇术!$A:$R,4,FALSE),VLOOKUP($E77,武器奇术!$A:$R,2,FALSE))*(1+CQ77)*(1+CR77)*CS77*(1+$E$17+VLOOKUP($E77,武器奇术!$A:$R,10,FALSE))</f>
        <v>3637.30376081914</v>
      </c>
      <c r="CY77" s="110">
        <f t="shared" si="28"/>
        <v>0.0986</v>
      </c>
      <c r="CZ77" s="112">
        <f>CO77*IF(VLOOKUP($E77,武器奇术!$A:$R,17,FALSE)="破竹",VLOOKUP($E77,武器奇术!$A:$R,4,FALSE),VLOOKUP($E77,武器奇术!$A:$R,2,FALSE))*(1+CQ77)*(1+CR77)*CS77</f>
        <v>2139.82198300325</v>
      </c>
      <c r="DA77" s="110">
        <f t="shared" si="29"/>
        <v>0.00928814000000003</v>
      </c>
      <c r="DB77" s="113">
        <f t="shared" si="30"/>
        <v>3488.5707519066</v>
      </c>
      <c r="DC77" s="108">
        <f t="shared" si="31"/>
        <v>69.3</v>
      </c>
      <c r="DD77" s="99">
        <f>(DC77+DE77)*IF(VLOOKUP($E77,武器奇术!$A:$Z,21,FALSE)=1,$G$15,0.5)</f>
        <v>69.3</v>
      </c>
      <c r="DE77" s="109">
        <f t="shared" si="32"/>
        <v>69.3</v>
      </c>
      <c r="DF77" s="110">
        <f>IF(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R,18,FALSE)=1,4,0)+IF(VLOOKUP($E77,武器奇术!$A:$S,19,FALSE)=1,20,0)-VLOOKUP($F$7,目标属性!$A:$R,6,FALSE))/100)</f>
        <v>0.025</v>
      </c>
      <c r="DG77" s="111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U,21,FALSE)=1,0,0.09)</f>
        <v>0.235</v>
      </c>
      <c r="DH77" s="109">
        <v>1</v>
      </c>
      <c r="DI77" s="112">
        <f>DC77*IF(VLOOKUP($E77,武器奇术!$A:$R,17,FALSE)="破竹",VLOOKUP($E77,武器奇术!$A:$R,4,FALSE),VLOOKUP($E77,武器奇术!$A:$R,2,FALSE))*(1+DF77)*(1+DG77)*DH77</f>
        <v>169.42355805375</v>
      </c>
      <c r="DJ77" s="110">
        <f>(1-IF(VLOOKUP($E77,武器奇术!$A:$T,20,FALSE)=1,1,$N77))*(1-$M77)</f>
        <v>0.01072666</v>
      </c>
      <c r="DK77" s="112">
        <f>DD77*IF(VLOOKUP($E77,武器奇术!$A:$R,17,FALSE)="破竹",VLOOKUP($E77,武器奇术!$A:$R,4,FALSE),VLOOKUP($E77,武器奇术!$A:$R,2,FALSE))*(1+DF77)*(1+DG77)*DH77*(1+$E$16+VLOOKUP($E77,武器奇术!$A:$R,8,FALSE))</f>
        <v>277.85463520815</v>
      </c>
      <c r="DL77" s="110">
        <f t="shared" si="33"/>
        <v>0.8813852</v>
      </c>
      <c r="DM77" s="112">
        <f>DE77*IF(VLOOKUP($E77,武器奇术!$A:$R,17,FALSE)="破竹",VLOOKUP($E77,武器奇术!$A:$R,4,FALSE),VLOOKUP($E77,武器奇术!$A:$R,2,FALSE))*(1+DF77)*(1+DG77)*DH77*(1+$E$17+VLOOKUP($E77,武器奇术!$A:$R,10,FALSE))</f>
        <v>228.721803372562</v>
      </c>
      <c r="DN77" s="110">
        <f t="shared" si="34"/>
        <v>0.0986</v>
      </c>
      <c r="DO77" s="112">
        <f>DD77*IF(VLOOKUP($E77,武器奇术!$A:$R,17,FALSE)="破竹",VLOOKUP($E77,武器奇术!$A:$R,4,FALSE),VLOOKUP($E77,武器奇术!$A:$R,2,FALSE))*(1+DF77)*(1+DG77)*DH77</f>
        <v>169.42355805375</v>
      </c>
      <c r="DP77" s="110">
        <f t="shared" si="35"/>
        <v>0.00928814000000003</v>
      </c>
      <c r="DQ77" s="113">
        <f t="shared" si="36"/>
        <v>270.839911666131</v>
      </c>
    </row>
    <row r="78" customFormat="1" spans="1:121">
      <c r="A78" s="75"/>
      <c r="B78" s="75"/>
      <c r="C78" s="148"/>
      <c r="D78" s="75"/>
      <c r="E78" s="98" t="str">
        <f>期望!E78</f>
        <v>鹰隼追击(拳甲)</v>
      </c>
      <c r="F78" s="99">
        <f>期望!F78</f>
        <v>1</v>
      </c>
      <c r="G78" s="150"/>
      <c r="H78" s="149">
        <f>IF(VLOOKUP($E78,武器奇术!$A:$R,18,FALSE)="天工",AE78,(AE78+AT78+BI78+BX78+CM78+DB78+DQ78))*(1+J78)*F78*K78*(1+G78)*(1+$G$21*5%)</f>
        <v>63982.2655175516</v>
      </c>
      <c r="I78" s="101">
        <f t="shared" si="0"/>
        <v>0.00789943693474119</v>
      </c>
      <c r="J78" s="101">
        <f>$F$3+VLOOKUP($E78,武器奇术!$A:$R,12,FALSE)+VLOOKUP($E78,武器奇术!$A:$R,14,FALSE)*$G$3+$P78</f>
        <v>0.773</v>
      </c>
      <c r="K78" s="102">
        <f>VLOOKUP($E78,武器奇术!$A:$R,11,FALSE)</f>
        <v>1</v>
      </c>
      <c r="L78" s="117">
        <f>IF(VLOOKUP($E78,武器奇术!$A:$R,15,FALSE)="天工",0%,IF($C$17+VLOOKUP($E78,武器奇术!$A:$R,7,FALSE)&gt;80%,80%,$C$17+VLOOKUP($E78,武器奇术!$A:$R,7,FALSE))+IF($C$19&gt;20%,20%,$C$19))</f>
        <v>0.892</v>
      </c>
      <c r="M78" s="118">
        <f>IF(VLOOKUP($E78,武器奇术!$A:$R,15,FALSE)="天工",0%,IF($C$18+VLOOKUP($E78,武器奇术!$A:$R,9,FALSE)&gt;40%,40%,$C$18+VLOOKUP($E78,武器奇术!$A:$R,9,FALSE))+IF($C$20&gt;10%,10%,$C$20))</f>
        <v>0.0986</v>
      </c>
      <c r="N78" s="119">
        <f>IF(VLOOKUP($E78,武器奇术!$A:$R,15,FALSE)="天工",100%,MIN($C$16,1))</f>
        <v>0.9881</v>
      </c>
      <c r="O78" s="120" t="str">
        <f>VLOOKUP($E78,武器奇术!$A:$R,16,FALSE)</f>
        <v>拳甲</v>
      </c>
      <c r="P78" s="121">
        <f t="shared" si="38"/>
        <v>0.17</v>
      </c>
      <c r="Q78" s="108">
        <f>$B$5*(1+VLOOKUP($E78,武器奇术!$A:$R,5,FALSE)+IF($G$5="飞隼",0.1,0)+IF($G$5="撼天",0.05,0))-$F$9+IF($I$5="√",160,0)</f>
        <v>1731.135</v>
      </c>
      <c r="R78" s="99">
        <f>IF(VLOOKUP($E78,武器奇术!$A:$Z,20,FALSE)=1,(S78-(Q78+S78)*0.5)*($G$15-0.5)*2+(Q78+S78)*0.5,(Q78+S78)*0.5)</f>
        <v>3256.775</v>
      </c>
      <c r="S78" s="109">
        <f>MAX($C$5,$B$5)*(1+VLOOKUP($E78,武器奇术!$A:$R,5,FALSE)+IF($G$5="飞隼",0.1,0)+IF($G$5="撼天",0.05,0))-$F$9+IF($I$5="√",320,0)</f>
        <v>4782.415</v>
      </c>
      <c r="T78" s="101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U78" s="111">
        <f>$E$5+IF(VLOOKUP($E78,武器奇术!$A:$U,21,FALSE)=1,0,0.09)</f>
        <v>0.115</v>
      </c>
      <c r="V78" s="109">
        <v>1</v>
      </c>
      <c r="W78" s="112">
        <f>Q78*VLOOKUP($E78,武器奇术!$A:$R,2,FALSE)*(1+T78)*(1+U78)*V78</f>
        <v>5595.154346628</v>
      </c>
      <c r="X78" s="110">
        <f>(1-IF(VLOOKUP($E78,武器奇术!$A:$T,20,FALSE)=1,1,$N78))*(1-$M78)</f>
        <v>0.01072666</v>
      </c>
      <c r="Y78" s="112">
        <f>R78*VLOOKUP($E78,武器奇术!$A:$R,2,FALSE)*(1+T78)*(1+U78)*V78*(1+$E$16+VLOOKUP($E78,武器奇术!$A:$R,8,FALSE))</f>
        <v>20420.6997528468</v>
      </c>
      <c r="Z78" s="110">
        <f t="shared" si="1"/>
        <v>0.8813852</v>
      </c>
      <c r="AA78" s="112">
        <f>S78*VLOOKUP($E78,武器奇术!$A:$R,2,FALSE)*(1+T78)*(1+U78)*V78*(1+$E$17+VLOOKUP($E78,武器奇术!$A:$R,10,FALSE))</f>
        <v>20867.1031437462</v>
      </c>
      <c r="AB78" s="110">
        <f t="shared" si="2"/>
        <v>0.0986</v>
      </c>
      <c r="AC78" s="112">
        <f>R78*VLOOKUP($E78,武器奇术!$A:$R,2,FALSE)*(1+T78)*(1+U78)*V78</f>
        <v>10526.13389322</v>
      </c>
      <c r="AD78" s="110">
        <f t="shared" si="3"/>
        <v>0.00928814000000003</v>
      </c>
      <c r="AE78" s="113">
        <f t="shared" si="4"/>
        <v>20213.784429359</v>
      </c>
      <c r="AF78" s="114">
        <f>VLOOKUP($E78,武器奇术!$A:$R,3,FALSE)*(1+IF(VLOOKUP($E78,武器奇术!$A:$R,15,FALSE)="武器",$E$15,0))</f>
        <v>0</v>
      </c>
      <c r="AG78" s="112">
        <f t="shared" si="5"/>
        <v>0</v>
      </c>
      <c r="AH78" s="112">
        <f>VLOOKUP($E78,武器奇术!$A:$R,3,FALSE)*(1+IF(VLOOKUP($E78,武器奇术!$A:$R,15,FALSE)="武器",$E$15,0))</f>
        <v>0</v>
      </c>
      <c r="AI78" s="101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0.342</v>
      </c>
      <c r="AJ78" s="111">
        <f>$E$5+IF(VLOOKUP($E78,武器奇术!$A:$U,21,FALSE)=1,0,0.09)</f>
        <v>0.115</v>
      </c>
      <c r="AK78" s="109">
        <v>1</v>
      </c>
      <c r="AL78" s="112">
        <f t="shared" si="6"/>
        <v>0</v>
      </c>
      <c r="AM78" s="110">
        <f>(1-IF(VLOOKUP($E78,武器奇术!$A:$T,20,FALSE)=1,1,$N78))*(1-$M78)</f>
        <v>0.01072666</v>
      </c>
      <c r="AN78" s="112">
        <f>AG78*(1+AI78)*(1+AJ78)*AK78*(1+$E$16+VLOOKUP($E78,武器奇术!$A:$R,8,FALSE))</f>
        <v>0</v>
      </c>
      <c r="AO78" s="110">
        <f t="shared" si="7"/>
        <v>0.8813852</v>
      </c>
      <c r="AP78" s="112">
        <f>AH78*(1+AI78)*(1+AJ78)*AK78*(1+$E$17+VLOOKUP($E78,武器奇术!$A:$R,10,FALSE))</f>
        <v>0</v>
      </c>
      <c r="AQ78" s="110">
        <f t="shared" si="8"/>
        <v>0.0986</v>
      </c>
      <c r="AR78" s="112">
        <f t="shared" si="9"/>
        <v>0</v>
      </c>
      <c r="AS78" s="110">
        <f t="shared" si="10"/>
        <v>0.00928814000000003</v>
      </c>
      <c r="AT78" s="113">
        <f t="shared" si="11"/>
        <v>0</v>
      </c>
      <c r="AU78" s="108">
        <f>$B$7*IF($G$5="撼天",1.05,1)+IF(AND(VLOOKUP($E78,武器奇术!$A:$R,15,FALSE)="武器",VLOOKUP($E78,武器奇术!$A:$R,17,FALSE)="鸣金"),$E$3,0)*(1+$E$15)</f>
        <v>0</v>
      </c>
      <c r="AV78" s="99">
        <f>(AU78+AW78)*IF(VLOOKUP($E78,武器奇术!$A:$Z,21,FALSE)=1,$G$15,0.5)</f>
        <v>0</v>
      </c>
      <c r="AW78" s="109">
        <f>MAX($C$7*IF($G$5="撼天",1.05,1)+IF(AND(VLOOKUP($E78,武器奇术!$A:$R,15,FALSE)="武器",VLOOKUP($E78,武器奇术!$A:$R,17,FALSE)="鸣金"),$E$3*(1+$E$15),0),AU78)</f>
        <v>0</v>
      </c>
      <c r="AX78" s="110">
        <f>IF(($D$7+IF(VLOOKUP($E78,武器奇术!$A:$R,17,FALSE)="鸣金",$D$15,0)+IF(VLOOKUP($E78,武器奇术!$A:$R,18,FALSE)=1,4,0)+IF(VLOOKUP($E78,武器奇术!$A:$S,19,FALSE)=1,20,0)-VLOOKUP($F$7,目标属性!$A:$R,6,FALSE))&gt;0,($D$7+IF(VLOOKUP($E78,武器奇术!$A:$R,17,FALSE)="鸣金",$D$15,0)+IF(VLOOKUP($E78,武器奇术!$A:$R,18,FALSE)=1,4,0)+IF(VLOOKUP($E78,武器奇术!$A:$S,19,FALSE)=1,20,0)-VLOOKUP($F$7,目标属性!$A:$R,6,FALSE))/200,($D$7+IF(VLOOKUP($E78,武器奇术!$A:$R,17,FALSE)="鸣金",$D$15,0)+IF(VLOOKUP($E78,武器奇术!$A:$R,18,FALSE)=1,4,0)+IF(VLOOKUP($E78,武器奇术!$A:$S,19,FALSE)=1,20,0)-VLOOKUP($F$7,目标属性!$A:$R,6,FALSE))/100)</f>
        <v>0</v>
      </c>
      <c r="AY78" s="111">
        <f t="shared" si="12"/>
        <v>0</v>
      </c>
      <c r="AZ78" s="109">
        <v>1</v>
      </c>
      <c r="BA78" s="112">
        <f>AU78*IF(VLOOKUP($E78,武器奇术!$A:$R,17,FALSE)="鸣金",VLOOKUP($E78,武器奇术!$A:$R,4,FALSE),VLOOKUP($E78,武器奇术!$A:$R,2,FALSE))*(1+AX78)*(1+AY78)*AZ78</f>
        <v>0</v>
      </c>
      <c r="BB78" s="110">
        <f>(1-IF(VLOOKUP($E78,武器奇术!$A:$T,20,FALSE)=1,1,$N78))*(1-$M78)</f>
        <v>0.01072666</v>
      </c>
      <c r="BC78" s="112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10">
        <f t="shared" si="13"/>
        <v>0.8813852</v>
      </c>
      <c r="BE78" s="112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10">
        <f t="shared" si="14"/>
        <v>0.0986</v>
      </c>
      <c r="BG78" s="112">
        <f>AV78*IF(VLOOKUP($E78,武器奇术!$A:$R,17,FALSE)="鸣金",VLOOKUP($E78,武器奇术!$A:$R,4,FALSE),VLOOKUP($E78,武器奇术!$A:$R,2,FALSE))*(1+AX78)*(1+AY78)*AZ78</f>
        <v>0</v>
      </c>
      <c r="BH78" s="110">
        <f t="shared" si="15"/>
        <v>0.00928814000000003</v>
      </c>
      <c r="BI78" s="113">
        <f t="shared" si="16"/>
        <v>0</v>
      </c>
      <c r="BJ78" s="108">
        <f>$B$9*IF($G$5="撼天",1.05,1)+IF(AND(VLOOKUP($E78,武器奇术!$A:$R,15,FALSE)="武器",VLOOKUP($E78,武器奇术!$A:$R,17,FALSE)="裂石"),$E$3,0)*(1+$E$15)</f>
        <v>0</v>
      </c>
      <c r="BK78" s="99">
        <f>(BJ78+BL78)*IF(VLOOKUP($E78,武器奇术!$A:$Z,21,FALSE)=1,$G$15,0.5)</f>
        <v>0</v>
      </c>
      <c r="BL78" s="109">
        <f>MAX($C$9*IF($G$5="撼天",1.05,1)+IF(AND(VLOOKUP($E78,武器奇术!$A:$R,15,FALSE)="武器",VLOOKUP($E78,武器奇术!$A:$R,17,FALSE)="裂石"),$E$3*(1+$E$15),0),BJ78)</f>
        <v>0</v>
      </c>
      <c r="BM78" s="110">
        <f>IF(($D$9+IF(VLOOKUP($E78,武器奇术!$A:$R,17,FALSE)="裂石",$D$15,0)+IF(VLOOKUP($E78,武器奇术!$A:$R,18,FALSE)=1,4,0)+IF(VLOOKUP($E78,武器奇术!$A:$S,19,FALSE)=1,20,0)-VLOOKUP($F$7,目标属性!$A:$R,6,FALSE))&gt;0,($D$9+IF(VLOOKUP($E78,武器奇术!$A:$R,17,FALSE)="裂石",$D$15,0)+IF(VLOOKUP($E78,武器奇术!$A:$R,18,FALSE)=1,4,0)+IF(VLOOKUP($E78,武器奇术!$A:$S,19,FALSE)=1,20,0)-VLOOKUP($F$7,目标属性!$A:$R,6,FALSE))/200,($D$9+IF(VLOOKUP($E78,武器奇术!$A:$R,17,FALSE)="裂石",$D$15,0)+IF(VLOOKUP($E78,武器奇术!$A:$R,18,FALSE)=1,4,0)+IF(VLOOKUP($E78,武器奇术!$A:$S,19,FALSE)=1,20,0)-VLOOKUP($F$7,目标属性!$A:$R,6,FALSE))/100)</f>
        <v>0</v>
      </c>
      <c r="BN78" s="111">
        <f t="shared" si="17"/>
        <v>0</v>
      </c>
      <c r="BO78" s="109">
        <v>1</v>
      </c>
      <c r="BP78" s="112">
        <f>BJ78*IF(VLOOKUP($E78,武器奇术!$A:$R,17,FALSE)="裂石",VLOOKUP($E78,武器奇术!$A:$R,4,FALSE),VLOOKUP($E78,武器奇术!$A:$R,2,FALSE))*(1+BM78)*(1+BN78)*BO78</f>
        <v>0</v>
      </c>
      <c r="BQ78" s="110">
        <f>(1-IF(VLOOKUP($E78,武器奇术!$A:$T,20,FALSE)=1,1,$N78))*(1-$M78)</f>
        <v>0.01072666</v>
      </c>
      <c r="BR78" s="112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10">
        <f t="shared" si="18"/>
        <v>0.8813852</v>
      </c>
      <c r="BT78" s="112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10">
        <f t="shared" si="19"/>
        <v>0.0986</v>
      </c>
      <c r="BV78" s="112">
        <f>BK78*IF(VLOOKUP($E78,武器奇术!$A:$R,17,FALSE)="裂石",VLOOKUP($E78,武器奇术!$A:$R,4,FALSE),VLOOKUP($E78,武器奇术!$A:$R,2,FALSE))*(1+BM78)*(1+BN78)*BO78</f>
        <v>0</v>
      </c>
      <c r="BW78" s="110">
        <f t="shared" si="20"/>
        <v>0.00928814000000003</v>
      </c>
      <c r="BX78" s="113">
        <f t="shared" si="21"/>
        <v>0</v>
      </c>
      <c r="BY78" s="108">
        <f>$B$11*IF($G$5="撼天",1.05,1)+IF(AND(VLOOKUP($E78,武器奇术!$A:$R,15,FALSE)="武器",VLOOKUP($E78,武器奇术!$A:$R,17,FALSE)="牵丝"),$E$3,0)*(1+$E$15)</f>
        <v>0</v>
      </c>
      <c r="BZ78" s="99">
        <f>(BY78+CA78)*IF(VLOOKUP($E78,武器奇术!$A:$Z,21,FALSE)=1,$G$15,0.5)</f>
        <v>0</v>
      </c>
      <c r="CA78" s="109">
        <f>MAX($C$11*IF($G$5="撼天",1.05,1)+IF(AND(VLOOKUP($E78,武器奇术!$A:$R,15,FALSE)="武器",VLOOKUP($E78,武器奇术!$A:$R,17,FALSE)="牵丝"),$E$3*(1+$E$15),0),BY78)</f>
        <v>0</v>
      </c>
      <c r="CB78" s="110">
        <f>IF(($D$11+IF(VLOOKUP($E78,武器奇术!$A:$R,17,FALSE)="牵丝",$D$15,0)+IF(VLOOKUP($E78,武器奇术!$A:$R,18,FALSE)=1,4,0)+IF(VLOOKUP($E78,武器奇术!$A:$S,19,FALSE)=1,20,0)-VLOOKUP($F$7,目标属性!$A:$R,6,FALSE))&gt;0,($D$11+IF(VLOOKUP($E78,武器奇术!$A:$R,17,FALSE)="牵丝",$D$15,0)+IF(VLOOKUP($E78,武器奇术!$A:$R,18,FALSE)=1,4,0)+IF(VLOOKUP($E78,武器奇术!$A:$S,19,FALSE)=1,20,0)-VLOOKUP($F$7,目标属性!$A:$R,6,FALSE))/200,($D$11+IF(VLOOKUP($E78,武器奇术!$A:$R,17,FALSE)="牵丝",$D$15,0)+IF(VLOOKUP($E78,武器奇术!$A:$R,18,FALSE)=1,4,0)+IF(VLOOKUP($E78,武器奇术!$A:$S,19,FALSE)=1,20,0)-VLOOKUP($F$7,目标属性!$A:$R,6,FALSE))/100)</f>
        <v>0</v>
      </c>
      <c r="CC78" s="111">
        <f t="shared" si="22"/>
        <v>0</v>
      </c>
      <c r="CD78" s="109">
        <v>1</v>
      </c>
      <c r="CE78" s="112">
        <f>BY78*IF(VLOOKUP($E78,武器奇术!$A:$R,17,FALSE)="牵丝",VLOOKUP($E78,武器奇术!$A:$R,4,FALSE),VLOOKUP($E78,武器奇术!$A:$R,2,FALSE))*(1+CB78)*(1+CC78)*CD78</f>
        <v>0</v>
      </c>
      <c r="CF78" s="110">
        <f>(1-IF(VLOOKUP($E78,武器奇术!$A:$T,20,FALSE)=1,1,$N78))*(1-$M78)</f>
        <v>0.01072666</v>
      </c>
      <c r="CG78" s="112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110">
        <f t="shared" si="23"/>
        <v>0.8813852</v>
      </c>
      <c r="CI78" s="112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110">
        <f t="shared" si="24"/>
        <v>0.0986</v>
      </c>
      <c r="CK78" s="112">
        <f>BZ78*IF(VLOOKUP($E78,武器奇术!$A:$R,17,FALSE)="牵丝",VLOOKUP($E78,武器奇术!$A:$R,4,FALSE),VLOOKUP($E78,武器奇术!$A:$R,2,FALSE))*(1+CB78)*(1+CC78)*CD78</f>
        <v>0</v>
      </c>
      <c r="CL78" s="110">
        <f t="shared" si="25"/>
        <v>0.00928814000000003</v>
      </c>
      <c r="CM78" s="113">
        <f t="shared" si="26"/>
        <v>0</v>
      </c>
      <c r="CN78" s="108">
        <f>$B$13*IF($G$5="撼天",1.05,1)+IF(AND(VLOOKUP($E78,武器奇术!$A:$R,15,FALSE)="武器",VLOOKUP($E78,武器奇术!$A:$R,17,FALSE)="破竹"),$E$3,0)*(1+$E$15)</f>
        <v>452.55</v>
      </c>
      <c r="CO78" s="99">
        <f>(CN78+CP78)*IF(VLOOKUP($E78,武器奇术!$A:$Z,21,FALSE)=1,$G$15,0.5)</f>
        <v>679.35</v>
      </c>
      <c r="CP78" s="109">
        <f>MAX($C$13*IF($G$5="撼天",1.05,1)+IF(AND(VLOOKUP($E78,武器奇术!$A:$R,15,FALSE)="武器",VLOOKUP($E78,武器奇术!$A:$R,17,FALSE)="破竹"),$E$3*(1+$E$15),0),CN78)</f>
        <v>906.15</v>
      </c>
      <c r="CQ78" s="110">
        <f>IF(($D$13+IF(VLOOKUP($E78,武器奇术!$A:$R,17,FALSE)="破竹",$D$15,0)+IF(VLOOKUP($E78,武器奇术!$A:$R,18,FALSE)=1,4,0)+IF(VLOOKUP($E78,武器奇术!$A:$S,19,FALSE)=1,20,0)-VLOOKUP($F$7,目标属性!$A:$R,6,FALSE))&gt;0,($D$13+IF(VLOOKUP($E78,武器奇术!$A:$R,17,FALSE)="破竹",$D$15,0)+IF(VLOOKUP($E78,武器奇术!$A:$R,18,FALSE)=1,4,0)+IF(VLOOKUP($E78,武器奇术!$A:$S,19,FALSE)=1,20,0)-VLOOKUP($F$7,目标属性!$A:$R,6,FALSE))/200,($D$13+IF(VLOOKUP($E78,武器奇术!$A:$R,17,FALSE)="破竹",$D$15,0)+IF(VLOOKUP($E78,武器奇术!$A:$R,18,FALSE)=1,4,0)+IF(VLOOKUP($E78,武器奇术!$A:$S,19,FALSE)=1,20,0)-VLOOKUP($F$7,目标属性!$A:$R,6,FALSE))/100)</f>
        <v>0.145</v>
      </c>
      <c r="CR78" s="111">
        <f>$E$13+IF(VLOOKUP($E78,武器奇术!$A:$U,21,FALSE)=1,0,0.09)</f>
        <v>0.235</v>
      </c>
      <c r="CS78" s="109">
        <v>1</v>
      </c>
      <c r="CT78" s="112">
        <f>CN78*IF(VLOOKUP($E78,武器奇术!$A:$R,17,FALSE)="破竹",VLOOKUP($E78,武器奇术!$A:$R,4,FALSE),VLOOKUP($E78,武器奇术!$A:$R,2,FALSE))*(1+CQ78)*(1+CR78)*CS78</f>
        <v>2073.40443765</v>
      </c>
      <c r="CU78" s="110">
        <f>(1-IF(VLOOKUP($E78,武器奇术!$A:$T,20,FALSE)=1,1,$N78))*(1-$M78)</f>
        <v>0.01072666</v>
      </c>
      <c r="CV78" s="112">
        <f>CO78*IF(VLOOKUP($E78,武器奇术!$A:$R,17,FALSE)="破竹",VLOOKUP($E78,武器奇术!$A:$R,4,FALSE),VLOOKUP($E78,武器奇术!$A:$R,2,FALSE))*(1+CQ78)*(1+CR78)*CS78*(1+$E$16+VLOOKUP($E78,武器奇术!$A:$R,8,FALSE))</f>
        <v>6038.273276217</v>
      </c>
      <c r="CW78" s="110">
        <f t="shared" si="27"/>
        <v>0.8813852</v>
      </c>
      <c r="CX78" s="112">
        <f>CP78*IF(VLOOKUP($E78,武器奇术!$A:$R,17,FALSE)="破竹",VLOOKUP($E78,武器奇术!$A:$R,4,FALSE),VLOOKUP($E78,武器奇术!$A:$R,2,FALSE))*(1+CQ78)*(1+CR78)*CS78*(1+$E$17+VLOOKUP($E78,武器奇术!$A:$R,10,FALSE))</f>
        <v>5604.6864039075</v>
      </c>
      <c r="CY78" s="110">
        <f t="shared" si="28"/>
        <v>0.0986</v>
      </c>
      <c r="CZ78" s="112">
        <f>CO78*IF(VLOOKUP($E78,武器奇术!$A:$R,17,FALSE)="破竹",VLOOKUP($E78,武器奇术!$A:$R,4,FALSE),VLOOKUP($E78,武器奇术!$A:$R,2,FALSE))*(1+CQ78)*(1+CR78)*CS78</f>
        <v>3112.51199805</v>
      </c>
      <c r="DA78" s="110">
        <f t="shared" si="29"/>
        <v>0.00928814000000003</v>
      </c>
      <c r="DB78" s="113">
        <f t="shared" si="30"/>
        <v>5925.81693027318</v>
      </c>
      <c r="DC78" s="108">
        <f t="shared" si="31"/>
        <v>69.3</v>
      </c>
      <c r="DD78" s="99">
        <f>(DC78+DE78)*IF(VLOOKUP($E78,武器奇术!$A:$Z,21,FALSE)=1,$G$15,0.5)</f>
        <v>69.3</v>
      </c>
      <c r="DE78" s="109">
        <f t="shared" si="32"/>
        <v>69.3</v>
      </c>
      <c r="DF78" s="110">
        <f>IF(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R,18,FALSE)=1,4,0)+IF(VLOOKUP($E78,武器奇术!$A:$S,19,FALSE)=1,20,0)-VLOOKUP($F$7,目标属性!$A:$R,6,FALSE))/100)</f>
        <v>0.145</v>
      </c>
      <c r="DG78" s="111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U,21,FALSE)=1,0,0.09)</f>
        <v>0.235</v>
      </c>
      <c r="DH78" s="109">
        <v>1</v>
      </c>
      <c r="DI78" s="112">
        <f>DC78*IF(VLOOKUP($E78,武器奇术!$A:$R,17,FALSE)="破竹",VLOOKUP($E78,武器奇术!$A:$R,4,FALSE),VLOOKUP($E78,武器奇术!$A:$R,2,FALSE))*(1+DF78)*(1+DG78)*DH78</f>
        <v>317.5050879</v>
      </c>
      <c r="DJ78" s="110">
        <f>(1-IF(VLOOKUP($E78,武器奇术!$A:$T,20,FALSE)=1,1,$N78))*(1-$M78)</f>
        <v>0.01072666</v>
      </c>
      <c r="DK78" s="112">
        <f>DD78*IF(VLOOKUP($E78,武器奇术!$A:$R,17,FALSE)="破竹",VLOOKUP($E78,武器奇术!$A:$R,4,FALSE),VLOOKUP($E78,武器奇术!$A:$R,2,FALSE))*(1+DF78)*(1+DG78)*DH78*(1+$E$16+VLOOKUP($E78,武器奇术!$A:$R,8,FALSE))</f>
        <v>615.959870526</v>
      </c>
      <c r="DL78" s="110">
        <f t="shared" si="33"/>
        <v>0.8813852</v>
      </c>
      <c r="DM78" s="112">
        <f>DE78*IF(VLOOKUP($E78,武器奇术!$A:$R,17,FALSE)="破竹",VLOOKUP($E78,武器奇术!$A:$R,4,FALSE),VLOOKUP($E78,武器奇术!$A:$R,2,FALSE))*(1+DF78)*(1+DG78)*DH78*(1+$E$17+VLOOKUP($E78,武器奇术!$A:$R,10,FALSE))</f>
        <v>428.631868665</v>
      </c>
      <c r="DN78" s="110">
        <f t="shared" si="34"/>
        <v>0.0986</v>
      </c>
      <c r="DO78" s="112">
        <f>DD78*IF(VLOOKUP($E78,武器奇术!$A:$R,17,FALSE)="破竹",VLOOKUP($E78,武器奇术!$A:$R,4,FALSE),VLOOKUP($E78,武器奇术!$A:$R,2,FALSE))*(1+DF78)*(1+DG78)*DH78</f>
        <v>317.5050879</v>
      </c>
      <c r="DP78" s="110">
        <f t="shared" si="35"/>
        <v>0.00928814000000003</v>
      </c>
      <c r="DQ78" s="113">
        <f t="shared" si="36"/>
        <v>591.515816759203</v>
      </c>
    </row>
    <row r="79" customFormat="1" spans="1:121">
      <c r="A79" s="75"/>
      <c r="B79" s="75"/>
      <c r="C79" s="148"/>
      <c r="D79" s="75"/>
      <c r="E79" s="98" t="str">
        <f>期望!E79</f>
        <v>骑龙回马打满</v>
      </c>
      <c r="F79" s="99">
        <f>期望!F79</f>
        <v>1</v>
      </c>
      <c r="G79" s="150"/>
      <c r="H79" s="149">
        <f>IF(VLOOKUP($E79,武器奇术!$A:$R,18,FALSE)="天工",AE79,(AE79+AT79+BI79+BX79+CM79+DB79+DQ79))*(1+J79)*F79*K79*(1+G79)*(1+$G$21*5%)</f>
        <v>127366.038812375</v>
      </c>
      <c r="I79" s="101">
        <f t="shared" si="0"/>
        <v>0.0157249822757552</v>
      </c>
      <c r="J79" s="101">
        <f>$F$3+VLOOKUP($E79,武器奇术!$A:$R,12,FALSE)+VLOOKUP($E79,武器奇术!$A:$R,14,FALSE)*$G$3+$P79</f>
        <v>0.303</v>
      </c>
      <c r="K79" s="102">
        <f>VLOOKUP($E79,武器奇术!$A:$R,11,FALSE)</f>
        <v>1</v>
      </c>
      <c r="L79" s="117">
        <f>IF(VLOOKUP($E79,武器奇术!$A:$R,15,FALSE)="天工",0%,IF($C$17+VLOOKUP($E79,武器奇术!$A:$R,7,FALSE)&gt;80%,80%,$C$17+VLOOKUP($E79,武器奇术!$A:$R,7,FALSE))+IF($C$19&gt;20%,20%,$C$19))</f>
        <v>0.892</v>
      </c>
      <c r="M79" s="118">
        <f>IF(VLOOKUP($E79,武器奇术!$A:$R,15,FALSE)="天工",0%,IF($C$18+VLOOKUP($E79,武器奇术!$A:$R,9,FALSE)&gt;40%,40%,$C$18+VLOOKUP($E79,武器奇术!$A:$R,9,FALSE))+IF($C$20&gt;10%,10%,$C$20))</f>
        <v>0.0986</v>
      </c>
      <c r="N79" s="119">
        <f>IF(VLOOKUP($E79,武器奇术!$A:$R,15,FALSE)="天工",100%,MIN($C$16,1))</f>
        <v>0.9881</v>
      </c>
      <c r="O79" s="120" t="str">
        <f>VLOOKUP($E79,武器奇术!$A:$R,16,FALSE)</f>
        <v>单体奇术</v>
      </c>
      <c r="P79" s="121">
        <f t="shared" si="38"/>
        <v>0</v>
      </c>
      <c r="Q79" s="108">
        <f>$B$5*(1+VLOOKUP($E79,武器奇术!$A:$R,5,FALSE)+IF($G$5="飞隼",0.1,0)+IF($G$5="撼天",0.05,0))-$F$9+IF($I$5="√",160,0)</f>
        <v>1731.135</v>
      </c>
      <c r="R79" s="99">
        <f>IF(VLOOKUP($E79,武器奇术!$A:$Z,20,FALSE)=1,(S79-(Q79+S79)*0.5)*($G$15-0.5)*2+(Q79+S79)*0.5,(Q79+S79)*0.5)</f>
        <v>3256.775</v>
      </c>
      <c r="S79" s="109">
        <f>MAX($C$5,$B$5)*(1+VLOOKUP($E79,武器奇术!$A:$R,5,FALSE)+IF($G$5="飞隼",0.1,0)+IF($G$5="撼天",0.05,0))-$F$9+IF($I$5="√",320,0)</f>
        <v>4782.415</v>
      </c>
      <c r="T79" s="101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U79" s="111">
        <f>$E$5+IF(VLOOKUP($E79,武器奇术!$A:$U,21,FALSE)=1,0,0.09)</f>
        <v>0.115</v>
      </c>
      <c r="V79" s="109">
        <v>1</v>
      </c>
      <c r="W79" s="112">
        <f>Q79*VLOOKUP($E79,武器奇术!$A:$R,2,FALSE)*(1+T79)*(1+U79)*V79</f>
        <v>17036.3694397201</v>
      </c>
      <c r="X79" s="110">
        <f>(1-IF(VLOOKUP($E79,武器奇术!$A:$T,20,FALSE)=1,1,$N79))*(1-$M79)</f>
        <v>0.01072666</v>
      </c>
      <c r="Y79" s="112">
        <f>R79*VLOOKUP($E79,武器奇术!$A:$R,2,FALSE)*(1+T79)*(1+U79)*V79*(1+$E$16+VLOOKUP($E79,武器奇术!$A:$R,8,FALSE))</f>
        <v>52562.7060942982</v>
      </c>
      <c r="Z79" s="110">
        <f t="shared" si="1"/>
        <v>0.8813852</v>
      </c>
      <c r="AA79" s="112">
        <f>S79*VLOOKUP($E79,武器奇术!$A:$R,2,FALSE)*(1+T79)*(1+U79)*V79*(1+$E$17+VLOOKUP($E79,武器奇术!$A:$R,10,FALSE))</f>
        <v>63537.0637286981</v>
      </c>
      <c r="AB79" s="110">
        <f t="shared" si="2"/>
        <v>0.0986</v>
      </c>
      <c r="AC79" s="112">
        <f>R79*VLOOKUP($E79,武器奇术!$A:$R,2,FALSE)*(1+T79)*(1+U79)*V79</f>
        <v>32050.4305453038</v>
      </c>
      <c r="AD79" s="110">
        <f t="shared" si="3"/>
        <v>0.00928814000000003</v>
      </c>
      <c r="AE79" s="113">
        <f t="shared" si="4"/>
        <v>53073.1779356932</v>
      </c>
      <c r="AF79" s="114">
        <f>VLOOKUP($E79,武器奇术!$A:$R,3,FALSE)*(1+IF(VLOOKUP($E79,武器奇术!$A:$R,15,FALSE)="武器",$E$15,0))</f>
        <v>1269</v>
      </c>
      <c r="AG79" s="112">
        <f t="shared" si="5"/>
        <v>1269</v>
      </c>
      <c r="AH79" s="112">
        <f>VLOOKUP($E79,武器奇术!$A:$R,3,FALSE)*(1+IF(VLOOKUP($E79,武器奇术!$A:$R,15,FALSE)="武器",$E$15,0))</f>
        <v>1269</v>
      </c>
      <c r="AI79" s="101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0.242</v>
      </c>
      <c r="AJ79" s="111">
        <f>$E$5+IF(VLOOKUP($E79,武器奇术!$A:$U,21,FALSE)=1,0,0.09)</f>
        <v>0.115</v>
      </c>
      <c r="AK79" s="109">
        <v>1</v>
      </c>
      <c r="AL79" s="112">
        <f t="shared" si="6"/>
        <v>1757.34927</v>
      </c>
      <c r="AM79" s="110">
        <f>(1-IF(VLOOKUP($E79,武器奇术!$A:$T,20,FALSE)=1,1,$N79))*(1-$M79)</f>
        <v>0.01072666</v>
      </c>
      <c r="AN79" s="112">
        <f>AG79*(1+AI79)*(1+AJ79)*AK79*(1+$E$16+VLOOKUP($E79,武器奇术!$A:$R,8,FALSE))</f>
        <v>2882.0528028</v>
      </c>
      <c r="AO79" s="110">
        <f t="shared" si="7"/>
        <v>0.8813852</v>
      </c>
      <c r="AP79" s="112">
        <f>AH79*(1+AI79)*(1+AJ79)*AK79*(1+$E$17+VLOOKUP($E79,武器奇术!$A:$R,10,FALSE))</f>
        <v>2372.4215145</v>
      </c>
      <c r="AQ79" s="110">
        <f t="shared" si="8"/>
        <v>0.0986</v>
      </c>
      <c r="AR79" s="112">
        <f t="shared" si="9"/>
        <v>1757.34927</v>
      </c>
      <c r="AS79" s="110">
        <f t="shared" si="10"/>
        <v>0.00928814000000003</v>
      </c>
      <c r="AT79" s="113">
        <f t="shared" si="11"/>
        <v>2809.29244150533</v>
      </c>
      <c r="AU79" s="108">
        <f>$B$7*IF($G$5="撼天",1.05,1)+IF(AND(VLOOKUP($E79,武器奇术!$A:$R,15,FALSE)="武器",VLOOKUP($E79,武器奇术!$A:$R,17,FALSE)="鸣金"),$E$3,0)*(1+$E$15)</f>
        <v>0</v>
      </c>
      <c r="AV79" s="99">
        <f>(AU79+AW79)*IF(VLOOKUP($E79,武器奇术!$A:$Z,21,FALSE)=1,$G$15,0.5)</f>
        <v>0</v>
      </c>
      <c r="AW79" s="109">
        <f>MAX($C$7*IF($G$5="撼天",1.05,1)+IF(AND(VLOOKUP($E79,武器奇术!$A:$R,15,FALSE)="武器",VLOOKUP($E79,武器奇术!$A:$R,17,FALSE)="鸣金"),$E$3*(1+$E$15),0),AU79)</f>
        <v>0</v>
      </c>
      <c r="AX79" s="110">
        <f>IF(($D$7+IF(VLOOKUP($E79,武器奇术!$A:$R,17,FALSE)="鸣金",$D$15,0)+IF(VLOOKUP($E79,武器奇术!$A:$R,18,FALSE)=1,4,0)+IF(VLOOKUP($E79,武器奇术!$A:$S,19,FALSE)=1,20,0)-VLOOKUP($F$7,目标属性!$A:$R,6,FALSE))&gt;0,($D$7+IF(VLOOKUP($E79,武器奇术!$A:$R,17,FALSE)="鸣金",$D$15,0)+IF(VLOOKUP($E79,武器奇术!$A:$R,18,FALSE)=1,4,0)+IF(VLOOKUP($E79,武器奇术!$A:$S,19,FALSE)=1,20,0)-VLOOKUP($F$7,目标属性!$A:$R,6,FALSE))/200,($D$7+IF(VLOOKUP($E79,武器奇术!$A:$R,17,FALSE)="鸣金",$D$15,0)+IF(VLOOKUP($E79,武器奇术!$A:$R,18,FALSE)=1,4,0)+IF(VLOOKUP($E79,武器奇术!$A:$S,19,FALSE)=1,20,0)-VLOOKUP($F$7,目标属性!$A:$R,6,FALSE))/100)</f>
        <v>-0.24</v>
      </c>
      <c r="AY79" s="111">
        <f t="shared" si="12"/>
        <v>0</v>
      </c>
      <c r="AZ79" s="109">
        <v>1</v>
      </c>
      <c r="BA79" s="112">
        <f>AU79*IF(VLOOKUP($E79,武器奇术!$A:$R,17,FALSE)="鸣金",VLOOKUP($E79,武器奇术!$A:$R,4,FALSE),VLOOKUP($E79,武器奇术!$A:$R,2,FALSE))*(1+AX79)*(1+AY79)*AZ79</f>
        <v>0</v>
      </c>
      <c r="BB79" s="110">
        <f>(1-IF(VLOOKUP($E79,武器奇术!$A:$T,20,FALSE)=1,1,$N79))*(1-$M79)</f>
        <v>0.01072666</v>
      </c>
      <c r="BC79" s="112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10">
        <f t="shared" si="13"/>
        <v>0.8813852</v>
      </c>
      <c r="BE79" s="112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10">
        <f t="shared" si="14"/>
        <v>0.0986</v>
      </c>
      <c r="BG79" s="112">
        <f>AV79*IF(VLOOKUP($E79,武器奇术!$A:$R,17,FALSE)="鸣金",VLOOKUP($E79,武器奇术!$A:$R,4,FALSE),VLOOKUP($E79,武器奇术!$A:$R,2,FALSE))*(1+AX79)*(1+AY79)*AZ79</f>
        <v>0</v>
      </c>
      <c r="BH79" s="110">
        <f t="shared" si="15"/>
        <v>0.00928814000000003</v>
      </c>
      <c r="BI79" s="113">
        <f t="shared" si="16"/>
        <v>0</v>
      </c>
      <c r="BJ79" s="108">
        <f>$B$9*IF($G$5="撼天",1.05,1)+IF(AND(VLOOKUP($E79,武器奇术!$A:$R,15,FALSE)="武器",VLOOKUP($E79,武器奇术!$A:$R,17,FALSE)="裂石"),$E$3,0)*(1+$E$15)</f>
        <v>0</v>
      </c>
      <c r="BK79" s="99">
        <f>(BJ79+BL79)*IF(VLOOKUP($E79,武器奇术!$A:$Z,21,FALSE)=1,$G$15,0.5)</f>
        <v>0</v>
      </c>
      <c r="BL79" s="109">
        <f>MAX($C$9*IF($G$5="撼天",1.05,1)+IF(AND(VLOOKUP($E79,武器奇术!$A:$R,15,FALSE)="武器",VLOOKUP($E79,武器奇术!$A:$R,17,FALSE)="裂石"),$E$3*(1+$E$15),0),BJ79)</f>
        <v>0</v>
      </c>
      <c r="BM79" s="110">
        <f>IF(($D$9+IF(VLOOKUP($E79,武器奇术!$A:$R,17,FALSE)="裂石",$D$15,0)+IF(VLOOKUP($E79,武器奇术!$A:$R,18,FALSE)=1,4,0)+IF(VLOOKUP($E79,武器奇术!$A:$S,19,FALSE)=1,20,0)-VLOOKUP($F$7,目标属性!$A:$R,6,FALSE))&gt;0,($D$9+IF(VLOOKUP($E79,武器奇术!$A:$R,17,FALSE)="裂石",$D$15,0)+IF(VLOOKUP($E79,武器奇术!$A:$R,18,FALSE)=1,4,0)+IF(VLOOKUP($E79,武器奇术!$A:$S,19,FALSE)=1,20,0)-VLOOKUP($F$7,目标属性!$A:$R,6,FALSE))/200,($D$9+IF(VLOOKUP($E79,武器奇术!$A:$R,17,FALSE)="裂石",$D$15,0)+IF(VLOOKUP($E79,武器奇术!$A:$R,18,FALSE)=1,4,0)+IF(VLOOKUP($E79,武器奇术!$A:$S,19,FALSE)=1,20,0)-VLOOKUP($F$7,目标属性!$A:$R,6,FALSE))/100)</f>
        <v>-0.24</v>
      </c>
      <c r="BN79" s="111">
        <f t="shared" si="17"/>
        <v>0</v>
      </c>
      <c r="BO79" s="109">
        <v>1</v>
      </c>
      <c r="BP79" s="112">
        <f>BJ79*IF(VLOOKUP($E79,武器奇术!$A:$R,17,FALSE)="裂石",VLOOKUP($E79,武器奇术!$A:$R,4,FALSE),VLOOKUP($E79,武器奇术!$A:$R,2,FALSE))*(1+BM79)*(1+BN79)*BO79</f>
        <v>0</v>
      </c>
      <c r="BQ79" s="110">
        <f>(1-IF(VLOOKUP($E79,武器奇术!$A:$T,20,FALSE)=1,1,$N79))*(1-$M79)</f>
        <v>0.01072666</v>
      </c>
      <c r="BR79" s="112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10">
        <f t="shared" si="18"/>
        <v>0.8813852</v>
      </c>
      <c r="BT79" s="112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10">
        <f t="shared" si="19"/>
        <v>0.0986</v>
      </c>
      <c r="BV79" s="112">
        <f>BK79*IF(VLOOKUP($E79,武器奇术!$A:$R,17,FALSE)="裂石",VLOOKUP($E79,武器奇术!$A:$R,4,FALSE),VLOOKUP($E79,武器奇术!$A:$R,2,FALSE))*(1+BM79)*(1+BN79)*BO79</f>
        <v>0</v>
      </c>
      <c r="BW79" s="110">
        <f t="shared" si="20"/>
        <v>0.00928814000000003</v>
      </c>
      <c r="BX79" s="113">
        <f t="shared" si="21"/>
        <v>0</v>
      </c>
      <c r="BY79" s="108">
        <f>$B$11*IF($G$5="撼天",1.05,1)+IF(AND(VLOOKUP($E79,武器奇术!$A:$R,15,FALSE)="武器",VLOOKUP($E79,武器奇术!$A:$R,17,FALSE)="牵丝"),$E$3,0)*(1+$E$15)</f>
        <v>0</v>
      </c>
      <c r="BZ79" s="99">
        <f>(BY79+CA79)*IF(VLOOKUP($E79,武器奇术!$A:$Z,21,FALSE)=1,$G$15,0.5)</f>
        <v>0</v>
      </c>
      <c r="CA79" s="109">
        <f>MAX($C$11*IF($G$5="撼天",1.05,1)+IF(AND(VLOOKUP($E79,武器奇术!$A:$R,15,FALSE)="武器",VLOOKUP($E79,武器奇术!$A:$R,17,FALSE)="牵丝"),$E$3*(1+$E$15),0),BY79)</f>
        <v>0</v>
      </c>
      <c r="CB79" s="110">
        <f>IF(($D$11+IF(VLOOKUP($E79,武器奇术!$A:$R,17,FALSE)="牵丝",$D$15,0)+IF(VLOOKUP($E79,武器奇术!$A:$R,18,FALSE)=1,4,0)+IF(VLOOKUP($E79,武器奇术!$A:$S,19,FALSE)=1,20,0)-VLOOKUP($F$7,目标属性!$A:$R,6,FALSE))&gt;0,($D$11+IF(VLOOKUP($E79,武器奇术!$A:$R,17,FALSE)="牵丝",$D$15,0)+IF(VLOOKUP($E79,武器奇术!$A:$R,18,FALSE)=1,4,0)+IF(VLOOKUP($E79,武器奇术!$A:$S,19,FALSE)=1,20,0)-VLOOKUP($F$7,目标属性!$A:$R,6,FALSE))/200,($D$11+IF(VLOOKUP($E79,武器奇术!$A:$R,17,FALSE)="牵丝",$D$15,0)+IF(VLOOKUP($E79,武器奇术!$A:$R,18,FALSE)=1,4,0)+IF(VLOOKUP($E79,武器奇术!$A:$S,19,FALSE)=1,20,0)-VLOOKUP($F$7,目标属性!$A:$R,6,FALSE))/100)</f>
        <v>-0.24</v>
      </c>
      <c r="CC79" s="111">
        <f t="shared" si="22"/>
        <v>0</v>
      </c>
      <c r="CD79" s="109">
        <v>1</v>
      </c>
      <c r="CE79" s="112">
        <f>BY79*IF(VLOOKUP($E79,武器奇术!$A:$R,17,FALSE)="牵丝",VLOOKUP($E79,武器奇术!$A:$R,4,FALSE),VLOOKUP($E79,武器奇术!$A:$R,2,FALSE))*(1+CB79)*(1+CC79)*CD79</f>
        <v>0</v>
      </c>
      <c r="CF79" s="110">
        <f>(1-IF(VLOOKUP($E79,武器奇术!$A:$T,20,FALSE)=1,1,$N79))*(1-$M79)</f>
        <v>0.01072666</v>
      </c>
      <c r="CG79" s="112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110">
        <f t="shared" si="23"/>
        <v>0.8813852</v>
      </c>
      <c r="CI79" s="112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110">
        <f t="shared" si="24"/>
        <v>0.0986</v>
      </c>
      <c r="CK79" s="112">
        <f>BZ79*IF(VLOOKUP($E79,武器奇术!$A:$R,17,FALSE)="牵丝",VLOOKUP($E79,武器奇术!$A:$R,4,FALSE),VLOOKUP($E79,武器奇术!$A:$R,2,FALSE))*(1+CB79)*(1+CC79)*CD79</f>
        <v>0</v>
      </c>
      <c r="CL79" s="110">
        <f t="shared" si="25"/>
        <v>0.00928814000000003</v>
      </c>
      <c r="CM79" s="113">
        <f t="shared" si="26"/>
        <v>0</v>
      </c>
      <c r="CN79" s="108">
        <f>$B$13*IF($G$5="撼天",1.05,1)+IF(AND(VLOOKUP($E79,武器奇术!$A:$R,15,FALSE)="武器",VLOOKUP($E79,武器奇术!$A:$R,17,FALSE)="破竹"),$E$3,0)*(1+$E$15)</f>
        <v>452.55</v>
      </c>
      <c r="CO79" s="99">
        <f>(CN79+CP79)*IF(VLOOKUP($E79,武器奇术!$A:$Z,21,FALSE)=1,$G$15,0.5)</f>
        <v>679.35</v>
      </c>
      <c r="CP79" s="109">
        <f>MAX($C$13*IF($G$5="撼天",1.05,1)+IF(AND(VLOOKUP($E79,武器奇术!$A:$R,15,FALSE)="武器",VLOOKUP($E79,武器奇术!$A:$R,17,FALSE)="破竹"),$E$3*(1+$E$15),0),CN79)</f>
        <v>906.15</v>
      </c>
      <c r="CQ79" s="110">
        <f>IF(($D$13+IF(VLOOKUP($E79,武器奇术!$A:$R,17,FALSE)="破竹",$D$15,0)+IF(VLOOKUP($E79,武器奇术!$A:$R,18,FALSE)=1,4,0)+IF(VLOOKUP($E79,武器奇术!$A:$S,19,FALSE)=1,20,0)-VLOOKUP($F$7,目标属性!$A:$R,6,FALSE))&gt;0,($D$13+IF(VLOOKUP($E79,武器奇术!$A:$R,17,FALSE)="破竹",$D$15,0)+IF(VLOOKUP($E79,武器奇术!$A:$R,18,FALSE)=1,4,0)+IF(VLOOKUP($E79,武器奇术!$A:$S,19,FALSE)=1,20,0)-VLOOKUP($F$7,目标属性!$A:$R,6,FALSE))/200,($D$13+IF(VLOOKUP($E79,武器奇术!$A:$R,17,FALSE)="破竹",$D$15,0)+IF(VLOOKUP($E79,武器奇术!$A:$R,18,FALSE)=1,4,0)+IF(VLOOKUP($E79,武器奇术!$A:$S,19,FALSE)=1,20,0)-VLOOKUP($F$7,目标属性!$A:$R,6,FALSE))/100)</f>
        <v>0.025</v>
      </c>
      <c r="CR79" s="111">
        <f>$E$13+IF(VLOOKUP($E79,武器奇术!$A:$U,21,FALSE)=1,0,0.09)</f>
        <v>0.235</v>
      </c>
      <c r="CS79" s="109">
        <v>1</v>
      </c>
      <c r="CT79" s="112">
        <f>CN79*IF(VLOOKUP($E79,武器奇术!$A:$R,17,FALSE)="破竹",VLOOKUP($E79,武器奇术!$A:$R,4,FALSE),VLOOKUP($E79,武器奇术!$A:$R,2,FALSE))*(1+CQ79)*(1+CR79)*CS79</f>
        <v>6106.5835064325</v>
      </c>
      <c r="CU79" s="110">
        <f>(1-IF(VLOOKUP($E79,武器奇术!$A:$T,20,FALSE)=1,1,$N79))*(1-$M79)</f>
        <v>0.01072666</v>
      </c>
      <c r="CV79" s="112">
        <f>CO79*IF(VLOOKUP($E79,武器奇术!$A:$R,17,FALSE)="破竹",VLOOKUP($E79,武器奇术!$A:$R,4,FALSE),VLOOKUP($E79,武器奇术!$A:$R,2,FALSE))*(1+CQ79)*(1+CR79)*CS79*(1+$E$16+VLOOKUP($E79,武器奇术!$A:$R,8,FALSE))</f>
        <v>15033.8135197341</v>
      </c>
      <c r="CW79" s="110">
        <f t="shared" si="27"/>
        <v>0.8813852</v>
      </c>
      <c r="CX79" s="112">
        <f>CP79*IF(VLOOKUP($E79,武器奇术!$A:$R,17,FALSE)="破竹",VLOOKUP($E79,武器奇术!$A:$R,4,FALSE),VLOOKUP($E79,武器奇术!$A:$R,2,FALSE))*(1+CQ79)*(1+CR79)*CS79*(1+$E$17+VLOOKUP($E79,武器奇术!$A:$R,10,FALSE))</f>
        <v>16506.9028170979</v>
      </c>
      <c r="CY79" s="110">
        <f t="shared" si="28"/>
        <v>0.0986</v>
      </c>
      <c r="CZ79" s="112">
        <f>CO79*IF(VLOOKUP($E79,武器奇术!$A:$R,17,FALSE)="破竹",VLOOKUP($E79,武器奇术!$A:$R,4,FALSE),VLOOKUP($E79,武器奇术!$A:$R,2,FALSE))*(1+CQ79)*(1+CR79)*CS79</f>
        <v>9166.9594632525</v>
      </c>
      <c r="DA79" s="110">
        <f t="shared" si="29"/>
        <v>0.00928814000000003</v>
      </c>
      <c r="DB79" s="113">
        <f t="shared" si="30"/>
        <v>15028.8086015235</v>
      </c>
      <c r="DC79" s="108">
        <f t="shared" si="31"/>
        <v>69.3</v>
      </c>
      <c r="DD79" s="99">
        <f>(DC79+DE79)*IF(VLOOKUP($E79,武器奇术!$A:$Z,21,FALSE)=1,$G$15,0.5)</f>
        <v>69.3</v>
      </c>
      <c r="DE79" s="109">
        <f t="shared" si="32"/>
        <v>69.3</v>
      </c>
      <c r="DF79" s="110">
        <f>IF(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R,18,FALSE)=1,4,0)+IF(VLOOKUP($E79,武器奇术!$A:$S,19,FALSE)=1,20,0)-VLOOKUP($F$7,目标属性!$A:$R,6,FALSE))/100)</f>
        <v>0.025</v>
      </c>
      <c r="DG79" s="111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U,21,FALSE)=1,0,0.09)</f>
        <v>0.235</v>
      </c>
      <c r="DH79" s="109">
        <v>1</v>
      </c>
      <c r="DI79" s="112">
        <f>DC79*IF(VLOOKUP($E79,武器奇术!$A:$R,17,FALSE)="破竹",VLOOKUP($E79,武器奇术!$A:$R,4,FALSE),VLOOKUP($E79,武器奇术!$A:$R,2,FALSE))*(1+DF79)*(1+DG79)*DH79</f>
        <v>935.114875695</v>
      </c>
      <c r="DJ79" s="110">
        <f>(1-IF(VLOOKUP($E79,武器奇术!$A:$T,20,FALSE)=1,1,$N79))*(1-$M79)</f>
        <v>0.01072666</v>
      </c>
      <c r="DK79" s="112">
        <f>DD79*IF(VLOOKUP($E79,武器奇术!$A:$R,17,FALSE)="破竹",VLOOKUP($E79,武器奇术!$A:$R,4,FALSE),VLOOKUP($E79,武器奇术!$A:$R,2,FALSE))*(1+DF79)*(1+DG79)*DH79*(1+$E$16+VLOOKUP($E79,武器奇术!$A:$R,8,FALSE))</f>
        <v>1533.5883961398</v>
      </c>
      <c r="DL79" s="110">
        <f t="shared" si="33"/>
        <v>0.8813852</v>
      </c>
      <c r="DM79" s="112">
        <f>DE79*IF(VLOOKUP($E79,武器奇术!$A:$R,17,FALSE)="破竹",VLOOKUP($E79,武器奇术!$A:$R,4,FALSE),VLOOKUP($E79,武器奇术!$A:$R,2,FALSE))*(1+DF79)*(1+DG79)*DH79*(1+$E$17+VLOOKUP($E79,武器奇术!$A:$R,10,FALSE))</f>
        <v>1262.40508218825</v>
      </c>
      <c r="DN79" s="110">
        <f t="shared" si="34"/>
        <v>0.0986</v>
      </c>
      <c r="DO79" s="112">
        <f>DD79*IF(VLOOKUP($E79,武器奇术!$A:$R,17,FALSE)="破竹",VLOOKUP($E79,武器奇术!$A:$R,4,FALSE),VLOOKUP($E79,武器奇术!$A:$R,2,FALSE))*(1+DF79)*(1+DG79)*DH79</f>
        <v>935.114875695</v>
      </c>
      <c r="DP79" s="110">
        <f t="shared" si="35"/>
        <v>0.00928814000000003</v>
      </c>
      <c r="DQ79" s="113">
        <f t="shared" si="36"/>
        <v>1494.87139356718</v>
      </c>
    </row>
    <row r="80" customFormat="1" spans="1:121">
      <c r="A80" s="75"/>
      <c r="B80" s="75"/>
      <c r="C80" s="148"/>
      <c r="D80" s="75"/>
      <c r="E80" s="98" t="str">
        <f>期望!E80</f>
        <v>拳甲～</v>
      </c>
      <c r="F80" s="99">
        <f>期望!F80</f>
        <v>1</v>
      </c>
      <c r="G80" s="115"/>
      <c r="H80" s="149">
        <f>IF(VLOOKUP($E80,武器奇术!$A:$R,18,FALSE)="天工",AE80,(AE80+AT80+BI80+BX80+CM80+DB80+DQ80))*(1+J80)*F80*K80*(1+G80)*(1+$G$21*5%)</f>
        <v>54311.5774135451</v>
      </c>
      <c r="I80" s="101">
        <f t="shared" si="0"/>
        <v>0.00670546560260393</v>
      </c>
      <c r="J80" s="101">
        <f>$F$3+VLOOKUP($E80,武器奇术!$A:$R,12,FALSE)+VLOOKUP($E80,武器奇术!$A:$R,14,FALSE)*$G$3+$P80</f>
        <v>0.473</v>
      </c>
      <c r="K80" s="102">
        <f>VLOOKUP($E80,武器奇术!$A:$R,11,FALSE)</f>
        <v>1</v>
      </c>
      <c r="L80" s="117">
        <f>IF(VLOOKUP($E80,武器奇术!$A:$R,15,FALSE)="天工",0%,IF($C$17+VLOOKUP($E80,武器奇术!$A:$R,7,FALSE)&gt;80%,80%,$C$17+VLOOKUP($E80,武器奇术!$A:$R,7,FALSE))+IF($C$19&gt;20%,20%,$C$19))</f>
        <v>0.892</v>
      </c>
      <c r="M80" s="118">
        <f>IF(VLOOKUP($E80,武器奇术!$A:$R,15,FALSE)="天工",0%,IF($C$18+VLOOKUP($E80,武器奇术!$A:$R,9,FALSE)&gt;40%,40%,$C$18+VLOOKUP($E80,武器奇术!$A:$R,9,FALSE))+IF($C$20&gt;10%,10%,$C$20))</f>
        <v>0.0986</v>
      </c>
      <c r="N80" s="119">
        <f>IF(VLOOKUP($E80,武器奇术!$A:$R,15,FALSE)="天工",100%,MIN($C$16,1))</f>
        <v>0.9881</v>
      </c>
      <c r="O80" s="120" t="str">
        <f>VLOOKUP($E80,武器奇术!$A:$R,16,FALSE)</f>
        <v>拳甲</v>
      </c>
      <c r="P80" s="121">
        <f t="shared" si="38"/>
        <v>0.17</v>
      </c>
      <c r="Q80" s="108">
        <f>$B$5*(1+VLOOKUP($E80,武器奇术!$A:$R,5,FALSE)+IF($G$5="飞隼",0.1,0)+IF($G$5="撼天",0.05,0))-$F$9+IF($I$5="√",160,0)</f>
        <v>1731.135</v>
      </c>
      <c r="R80" s="99">
        <f>IF(VLOOKUP($E80,武器奇术!$A:$Z,20,FALSE)=1,(S80-(Q80+S80)*0.5)*($G$15-0.5)*2+(Q80+S80)*0.5,(Q80+S80)*0.5)</f>
        <v>3256.775</v>
      </c>
      <c r="S80" s="109">
        <f>MAX($C$5,$B$5)*(1+VLOOKUP($E80,武器奇术!$A:$R,5,FALSE)+IF($G$5="飞隼",0.1,0)+IF($G$5="撼天",0.05,0))-$F$9+IF($I$5="√",320,0)</f>
        <v>4782.415</v>
      </c>
      <c r="T80" s="101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U80" s="111">
        <f>$E$5+IF(VLOOKUP($E80,武器奇术!$A:$U,21,FALSE)=1,0,0.09)</f>
        <v>0.115</v>
      </c>
      <c r="V80" s="109">
        <v>1</v>
      </c>
      <c r="W80" s="112">
        <f>Q80*VLOOKUP($E80,武器奇术!$A:$R,2,FALSE)*(1+T80)*(1+U80)*V80</f>
        <v>5854.51393233431</v>
      </c>
      <c r="X80" s="110">
        <f>(1-IF(VLOOKUP($E80,武器奇术!$A:$T,20,FALSE)=1,1,$N80))*(1-$M80)</f>
        <v>0.01072666</v>
      </c>
      <c r="Y80" s="112">
        <f>R80*VLOOKUP($E80,武器奇术!$A:$R,2,FALSE)*(1+T80)*(1+U80)*V80*(1+$E$16+VLOOKUP($E80,武器奇术!$A:$R,8,FALSE))</f>
        <v>18063.0677351241</v>
      </c>
      <c r="Z80" s="110">
        <f t="shared" si="1"/>
        <v>0.8813852</v>
      </c>
      <c r="AA80" s="112">
        <f>S80*VLOOKUP($E80,武器奇术!$A:$R,2,FALSE)*(1+T80)*(1+U80)*V80*(1+$E$17+VLOOKUP($E80,武器奇术!$A:$R,10,FALSE))</f>
        <v>21834.3835601505</v>
      </c>
      <c r="AB80" s="110">
        <f t="shared" si="2"/>
        <v>0.0986</v>
      </c>
      <c r="AC80" s="112">
        <f>R80*VLOOKUP($E80,武器奇术!$A:$R,2,FALSE)*(1+T80)*(1+U80)*V80</f>
        <v>11014.0656921488</v>
      </c>
      <c r="AD80" s="110">
        <f t="shared" si="3"/>
        <v>0.00928814000000003</v>
      </c>
      <c r="AE80" s="113">
        <f t="shared" si="4"/>
        <v>18238.490351902</v>
      </c>
      <c r="AF80" s="114">
        <f>VLOOKUP($E80,武器奇术!$A:$R,3,FALSE)*(1+IF(VLOOKUP($E80,武器奇术!$A:$R,15,FALSE)="武器",$E$15,0))</f>
        <v>877.5</v>
      </c>
      <c r="AG80" s="112">
        <f t="shared" si="5"/>
        <v>877.5</v>
      </c>
      <c r="AH80" s="112">
        <f>VLOOKUP($E80,武器奇术!$A:$R,3,FALSE)*(1+IF(VLOOKUP($E80,武器奇术!$A:$R,15,FALSE)="武器",$E$15,0))</f>
        <v>877.5</v>
      </c>
      <c r="AI80" s="101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0.242</v>
      </c>
      <c r="AJ80" s="111">
        <f>$E$5+IF(VLOOKUP($E80,武器奇术!$A:$U,21,FALSE)=1,0,0.09)</f>
        <v>0.115</v>
      </c>
      <c r="AK80" s="109">
        <v>1</v>
      </c>
      <c r="AL80" s="112">
        <f t="shared" si="6"/>
        <v>1215.188325</v>
      </c>
      <c r="AM80" s="110">
        <f>(1-IF(VLOOKUP($E80,武器奇术!$A:$T,20,FALSE)=1,1,$N80))*(1-$M80)</f>
        <v>0.01072666</v>
      </c>
      <c r="AN80" s="112">
        <f>AG80*(1+AI80)*(1+AJ80)*AK80*(1+$E$16+VLOOKUP($E80,武器奇术!$A:$R,8,FALSE))</f>
        <v>1992.908853</v>
      </c>
      <c r="AO80" s="110">
        <f t="shared" si="7"/>
        <v>0.8813852</v>
      </c>
      <c r="AP80" s="112">
        <f>AH80*(1+AI80)*(1+AJ80)*AK80*(1+$E$17+VLOOKUP($E80,武器奇术!$A:$R,10,FALSE))</f>
        <v>1640.50423875</v>
      </c>
      <c r="AQ80" s="110">
        <f t="shared" si="8"/>
        <v>0.0986</v>
      </c>
      <c r="AR80" s="112">
        <f t="shared" si="9"/>
        <v>1215.188325</v>
      </c>
      <c r="AS80" s="110">
        <f t="shared" si="10"/>
        <v>0.00928814000000003</v>
      </c>
      <c r="AT80" s="113">
        <f t="shared" si="11"/>
        <v>1942.59583721114</v>
      </c>
      <c r="AU80" s="108">
        <f>$B$7*IF($G$5="撼天",1.05,1)+IF(AND(VLOOKUP($E80,武器奇术!$A:$R,15,FALSE)="武器",VLOOKUP($E80,武器奇术!$A:$R,17,FALSE)="鸣金"),$E$3,0)*(1+$E$15)</f>
        <v>0</v>
      </c>
      <c r="AV80" s="99">
        <f>(AU80+AW80)*IF(VLOOKUP($E80,武器奇术!$A:$Z,21,FALSE)=1,$G$15,0.5)</f>
        <v>0</v>
      </c>
      <c r="AW80" s="109">
        <f>MAX($C$7*IF($G$5="撼天",1.05,1)+IF(AND(VLOOKUP($E80,武器奇术!$A:$R,15,FALSE)="武器",VLOOKUP($E80,武器奇术!$A:$R,17,FALSE)="鸣金"),$E$3*(1+$E$15),0),AU80)</f>
        <v>0</v>
      </c>
      <c r="AX80" s="110">
        <f>IF(($D$7+IF(VLOOKUP($E80,武器奇术!$A:$R,17,FALSE)="鸣金",$D$15,0)+IF(VLOOKUP($E80,武器奇术!$A:$R,18,FALSE)=1,4,0)+IF(VLOOKUP($E80,武器奇术!$A:$S,19,FALSE)=1,20,0)-VLOOKUP($F$7,目标属性!$A:$R,6,FALSE))&gt;0,($D$7+IF(VLOOKUP($E80,武器奇术!$A:$R,17,FALSE)="鸣金",$D$15,0)+IF(VLOOKUP($E80,武器奇术!$A:$R,18,FALSE)=1,4,0)+IF(VLOOKUP($E80,武器奇术!$A:$S,19,FALSE)=1,20,0)-VLOOKUP($F$7,目标属性!$A:$R,6,FALSE))/200,($D$7+IF(VLOOKUP($E80,武器奇术!$A:$R,17,FALSE)="鸣金",$D$15,0)+IF(VLOOKUP($E80,武器奇术!$A:$R,18,FALSE)=1,4,0)+IF(VLOOKUP($E80,武器奇术!$A:$S,19,FALSE)=1,20,0)-VLOOKUP($F$7,目标属性!$A:$R,6,FALSE))/100)</f>
        <v>-0.24</v>
      </c>
      <c r="AY80" s="111">
        <f t="shared" si="12"/>
        <v>0</v>
      </c>
      <c r="AZ80" s="109">
        <v>1</v>
      </c>
      <c r="BA80" s="112">
        <f>AU80*IF(VLOOKUP($E80,武器奇术!$A:$R,17,FALSE)="鸣金",VLOOKUP($E80,武器奇术!$A:$R,4,FALSE),VLOOKUP($E80,武器奇术!$A:$R,2,FALSE))*(1+AX80)*(1+AY80)*AZ80</f>
        <v>0</v>
      </c>
      <c r="BB80" s="110">
        <f>(1-IF(VLOOKUP($E80,武器奇术!$A:$T,20,FALSE)=1,1,$N80))*(1-$M80)</f>
        <v>0.01072666</v>
      </c>
      <c r="BC80" s="112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10">
        <f t="shared" si="13"/>
        <v>0.8813852</v>
      </c>
      <c r="BE80" s="112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10">
        <f t="shared" si="14"/>
        <v>0.0986</v>
      </c>
      <c r="BG80" s="112">
        <f>AV80*IF(VLOOKUP($E80,武器奇术!$A:$R,17,FALSE)="鸣金",VLOOKUP($E80,武器奇术!$A:$R,4,FALSE),VLOOKUP($E80,武器奇术!$A:$R,2,FALSE))*(1+AX80)*(1+AY80)*AZ80</f>
        <v>0</v>
      </c>
      <c r="BH80" s="110">
        <f t="shared" si="15"/>
        <v>0.00928814000000003</v>
      </c>
      <c r="BI80" s="113">
        <f t="shared" si="16"/>
        <v>0</v>
      </c>
      <c r="BJ80" s="108">
        <f>$B$9*IF($G$5="撼天",1.05,1)+IF(AND(VLOOKUP($E80,武器奇术!$A:$R,15,FALSE)="武器",VLOOKUP($E80,武器奇术!$A:$R,17,FALSE)="裂石"),$E$3,0)*(1+$E$15)</f>
        <v>0</v>
      </c>
      <c r="BK80" s="99">
        <f>(BJ80+BL80)*IF(VLOOKUP($E80,武器奇术!$A:$Z,21,FALSE)=1,$G$15,0.5)</f>
        <v>0</v>
      </c>
      <c r="BL80" s="109">
        <f>MAX($C$9*IF($G$5="撼天",1.05,1)+IF(AND(VLOOKUP($E80,武器奇术!$A:$R,15,FALSE)="武器",VLOOKUP($E80,武器奇术!$A:$R,17,FALSE)="裂石"),$E$3*(1+$E$15),0),BJ80)</f>
        <v>0</v>
      </c>
      <c r="BM80" s="110">
        <f>IF(($D$9+IF(VLOOKUP($E80,武器奇术!$A:$R,17,FALSE)="裂石",$D$15,0)+IF(VLOOKUP($E80,武器奇术!$A:$R,18,FALSE)=1,4,0)+IF(VLOOKUP($E80,武器奇术!$A:$S,19,FALSE)=1,20,0)-VLOOKUP($F$7,目标属性!$A:$R,6,FALSE))&gt;0,($D$9+IF(VLOOKUP($E80,武器奇术!$A:$R,17,FALSE)="裂石",$D$15,0)+IF(VLOOKUP($E80,武器奇术!$A:$R,18,FALSE)=1,4,0)+IF(VLOOKUP($E80,武器奇术!$A:$S,19,FALSE)=1,20,0)-VLOOKUP($F$7,目标属性!$A:$R,6,FALSE))/200,($D$9+IF(VLOOKUP($E80,武器奇术!$A:$R,17,FALSE)="裂石",$D$15,0)+IF(VLOOKUP($E80,武器奇术!$A:$R,18,FALSE)=1,4,0)+IF(VLOOKUP($E80,武器奇术!$A:$S,19,FALSE)=1,20,0)-VLOOKUP($F$7,目标属性!$A:$R,6,FALSE))/100)</f>
        <v>-0.24</v>
      </c>
      <c r="BN80" s="111">
        <f t="shared" si="17"/>
        <v>0</v>
      </c>
      <c r="BO80" s="109">
        <v>1</v>
      </c>
      <c r="BP80" s="112">
        <f>BJ80*IF(VLOOKUP($E80,武器奇术!$A:$R,17,FALSE)="裂石",VLOOKUP($E80,武器奇术!$A:$R,4,FALSE),VLOOKUP($E80,武器奇术!$A:$R,2,FALSE))*(1+BM80)*(1+BN80)*BO80</f>
        <v>0</v>
      </c>
      <c r="BQ80" s="110">
        <f>(1-IF(VLOOKUP($E80,武器奇术!$A:$T,20,FALSE)=1,1,$N80))*(1-$M80)</f>
        <v>0.01072666</v>
      </c>
      <c r="BR80" s="112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10">
        <f t="shared" si="18"/>
        <v>0.8813852</v>
      </c>
      <c r="BT80" s="112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10">
        <f t="shared" si="19"/>
        <v>0.0986</v>
      </c>
      <c r="BV80" s="112">
        <f>BK80*IF(VLOOKUP($E80,武器奇术!$A:$R,17,FALSE)="裂石",VLOOKUP($E80,武器奇术!$A:$R,4,FALSE),VLOOKUP($E80,武器奇术!$A:$R,2,FALSE))*(1+BM80)*(1+BN80)*BO80</f>
        <v>0</v>
      </c>
      <c r="BW80" s="110">
        <f t="shared" si="20"/>
        <v>0.00928814000000003</v>
      </c>
      <c r="BX80" s="113">
        <f t="shared" si="21"/>
        <v>0</v>
      </c>
      <c r="BY80" s="108">
        <f>$B$11*IF($G$5="撼天",1.05,1)+IF(AND(VLOOKUP($E80,武器奇术!$A:$R,15,FALSE)="武器",VLOOKUP($E80,武器奇术!$A:$R,17,FALSE)="牵丝"),$E$3,0)*(1+$E$15)</f>
        <v>0</v>
      </c>
      <c r="BZ80" s="99">
        <f>(BY80+CA80)*IF(VLOOKUP($E80,武器奇术!$A:$Z,21,FALSE)=1,$G$15,0.5)</f>
        <v>0</v>
      </c>
      <c r="CA80" s="109">
        <f>MAX($C$11*IF($G$5="撼天",1.05,1)+IF(AND(VLOOKUP($E80,武器奇术!$A:$R,15,FALSE)="武器",VLOOKUP($E80,武器奇术!$A:$R,17,FALSE)="牵丝"),$E$3*(1+$E$15),0),BY80)</f>
        <v>0</v>
      </c>
      <c r="CB80" s="110">
        <f>IF(($D$11+IF(VLOOKUP($E80,武器奇术!$A:$R,17,FALSE)="牵丝",$D$15,0)+IF(VLOOKUP($E80,武器奇术!$A:$R,18,FALSE)=1,4,0)+IF(VLOOKUP($E80,武器奇术!$A:$S,19,FALSE)=1,20,0)-VLOOKUP($F$7,目标属性!$A:$R,6,FALSE))&gt;0,($D$11+IF(VLOOKUP($E80,武器奇术!$A:$R,17,FALSE)="牵丝",$D$15,0)+IF(VLOOKUP($E80,武器奇术!$A:$R,18,FALSE)=1,4,0)+IF(VLOOKUP($E80,武器奇术!$A:$S,19,FALSE)=1,20,0)-VLOOKUP($F$7,目标属性!$A:$R,6,FALSE))/200,($D$11+IF(VLOOKUP($E80,武器奇术!$A:$R,17,FALSE)="牵丝",$D$15,0)+IF(VLOOKUP($E80,武器奇术!$A:$R,18,FALSE)=1,4,0)+IF(VLOOKUP($E80,武器奇术!$A:$S,19,FALSE)=1,20,0)-VLOOKUP($F$7,目标属性!$A:$R,6,FALSE))/100)</f>
        <v>-0.24</v>
      </c>
      <c r="CC80" s="111">
        <f t="shared" si="22"/>
        <v>0</v>
      </c>
      <c r="CD80" s="109">
        <v>1</v>
      </c>
      <c r="CE80" s="112">
        <f>BY80*IF(VLOOKUP($E80,武器奇术!$A:$R,17,FALSE)="牵丝",VLOOKUP($E80,武器奇术!$A:$R,4,FALSE),VLOOKUP($E80,武器奇术!$A:$R,2,FALSE))*(1+CB80)*(1+CC80)*CD80</f>
        <v>0</v>
      </c>
      <c r="CF80" s="110">
        <f>(1-IF(VLOOKUP($E80,武器奇术!$A:$T,20,FALSE)=1,1,$N80))*(1-$M80)</f>
        <v>0.01072666</v>
      </c>
      <c r="CG80" s="112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110">
        <f t="shared" si="23"/>
        <v>0.8813852</v>
      </c>
      <c r="CI80" s="112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110">
        <f t="shared" si="24"/>
        <v>0.0986</v>
      </c>
      <c r="CK80" s="112">
        <f>BZ80*IF(VLOOKUP($E80,武器奇术!$A:$R,17,FALSE)="牵丝",VLOOKUP($E80,武器奇术!$A:$R,4,FALSE),VLOOKUP($E80,武器奇术!$A:$R,2,FALSE))*(1+CB80)*(1+CC80)*CD80</f>
        <v>0</v>
      </c>
      <c r="CL80" s="110">
        <f t="shared" si="25"/>
        <v>0.00928814000000003</v>
      </c>
      <c r="CM80" s="113">
        <f t="shared" si="26"/>
        <v>0</v>
      </c>
      <c r="CN80" s="108">
        <f>$B$13*IF($G$5="撼天",1.05,1)+IF(AND(VLOOKUP($E80,武器奇术!$A:$R,15,FALSE)="武器",VLOOKUP($E80,武器奇术!$A:$R,17,FALSE)="破竹"),$E$3,0)*(1+$E$15)</f>
        <v>648.46</v>
      </c>
      <c r="CO80" s="99">
        <f>(CN80+CP80)*IF(VLOOKUP($E80,武器奇术!$A:$Z,21,FALSE)=1,$G$15,0.5)</f>
        <v>875.26</v>
      </c>
      <c r="CP80" s="109">
        <f>MAX($C$13*IF($G$5="撼天",1.05,1)+IF(AND(VLOOKUP($E80,武器奇术!$A:$R,15,FALSE)="武器",VLOOKUP($E80,武器奇术!$A:$R,17,FALSE)="破竹"),$E$3*(1+$E$15),0),CN80)</f>
        <v>1102.06</v>
      </c>
      <c r="CQ80" s="110">
        <f>IF(($D$13+IF(VLOOKUP($E80,武器奇术!$A:$R,17,FALSE)="破竹",$D$15,0)+IF(VLOOKUP($E80,武器奇术!$A:$R,18,FALSE)=1,4,0)+IF(VLOOKUP($E80,武器奇术!$A:$S,19,FALSE)=1,20,0)-VLOOKUP($F$7,目标属性!$A:$R,6,FALSE))&gt;0,($D$13+IF(VLOOKUP($E80,武器奇术!$A:$R,17,FALSE)="破竹",$D$15,0)+IF(VLOOKUP($E80,武器奇术!$A:$R,18,FALSE)=1,4,0)+IF(VLOOKUP($E80,武器奇术!$A:$S,19,FALSE)=1,20,0)-VLOOKUP($F$7,目标属性!$A:$R,6,FALSE))/200,($D$13+IF(VLOOKUP($E80,武器奇术!$A:$R,17,FALSE)="破竹",$D$15,0)+IF(VLOOKUP($E80,武器奇术!$A:$R,18,FALSE)=1,4,0)+IF(VLOOKUP($E80,武器奇术!$A:$S,19,FALSE)=1,20,0)-VLOOKUP($F$7,目标属性!$A:$R,6,FALSE))/100)</f>
        <v>0.025</v>
      </c>
      <c r="CR80" s="111">
        <f>$E$13+IF(VLOOKUP($E80,武器奇术!$A:$U,21,FALSE)=1,0,0.09)</f>
        <v>0.235</v>
      </c>
      <c r="CS80" s="109">
        <v>1</v>
      </c>
      <c r="CT80" s="112">
        <f>CN80*IF(VLOOKUP($E80,武器奇术!$A:$R,17,FALSE)="破竹",VLOOKUP($E80,武器奇术!$A:$R,4,FALSE),VLOOKUP($E80,武器奇术!$A:$R,2,FALSE))*(1+CQ80)*(1+CR80)*CS80</f>
        <v>3007.1726027785</v>
      </c>
      <c r="CU80" s="110">
        <f>(1-IF(VLOOKUP($E80,武器奇术!$A:$T,20,FALSE)=1,1,$N80))*(1-$M80)</f>
        <v>0.01072666</v>
      </c>
      <c r="CV80" s="112">
        <f>CO80*IF(VLOOKUP($E80,武器奇术!$A:$R,17,FALSE)="破竹",VLOOKUP($E80,武器奇术!$A:$R,4,FALSE),VLOOKUP($E80,武器奇术!$A:$R,2,FALSE))*(1+CQ80)*(1+CR80)*CS80*(1+$E$16+VLOOKUP($E80,武器奇术!$A:$R,8,FALSE))</f>
        <v>6656.65568174594</v>
      </c>
      <c r="CW80" s="110">
        <f t="shared" si="27"/>
        <v>0.8813852</v>
      </c>
      <c r="CX80" s="112">
        <f>CP80*IF(VLOOKUP($E80,武器奇术!$A:$R,17,FALSE)="破竹",VLOOKUP($E80,武器奇术!$A:$R,4,FALSE),VLOOKUP($E80,武器奇术!$A:$R,2,FALSE))*(1+CQ80)*(1+CR80)*CS80*(1+$E$17+VLOOKUP($E80,武器奇术!$A:$R,10,FALSE))</f>
        <v>6899.44524278198</v>
      </c>
      <c r="CY80" s="110">
        <f t="shared" si="28"/>
        <v>0.0986</v>
      </c>
      <c r="CZ80" s="112">
        <f>CO80*IF(VLOOKUP($E80,武器奇术!$A:$R,17,FALSE)="破竹",VLOOKUP($E80,武器奇术!$A:$R,4,FALSE),VLOOKUP($E80,武器奇术!$A:$R,2,FALSE))*(1+CQ80)*(1+CR80)*CS80</f>
        <v>4058.9363913085</v>
      </c>
      <c r="DA80" s="110">
        <f t="shared" si="29"/>
        <v>0.00928814000000003</v>
      </c>
      <c r="DB80" s="113">
        <f t="shared" si="30"/>
        <v>6617.31998784997</v>
      </c>
      <c r="DC80" s="108">
        <f t="shared" si="31"/>
        <v>69.3</v>
      </c>
      <c r="DD80" s="99">
        <f>(DC80+DE80)*IF(VLOOKUP($E80,武器奇术!$A:$Z,21,FALSE)=1,$G$15,0.5)</f>
        <v>69.3</v>
      </c>
      <c r="DE80" s="109">
        <f t="shared" si="32"/>
        <v>69.3</v>
      </c>
      <c r="DF80" s="110">
        <f>IF(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R,18,FALSE)=1,4,0)+IF(VLOOKUP($E80,武器奇术!$A:$S,19,FALSE)=1,20,0)-VLOOKUP($F$7,目标属性!$A:$R,6,FALSE))/100)</f>
        <v>0.025</v>
      </c>
      <c r="DG80" s="111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U,21,FALSE)=1,0,0.09)</f>
        <v>0.235</v>
      </c>
      <c r="DH80" s="109">
        <v>1</v>
      </c>
      <c r="DI80" s="112">
        <f>DC80*IF(VLOOKUP($E80,武器奇术!$A:$R,17,FALSE)="破竹",VLOOKUP($E80,武器奇术!$A:$R,4,FALSE),VLOOKUP($E80,武器奇术!$A:$R,2,FALSE))*(1+DF80)*(1+DG80)*DH80</f>
        <v>321.3722687175</v>
      </c>
      <c r="DJ80" s="110">
        <f>(1-IF(VLOOKUP($E80,武器奇术!$A:$T,20,FALSE)=1,1,$N80))*(1-$M80)</f>
        <v>0.01072666</v>
      </c>
      <c r="DK80" s="112">
        <f>DD80*IF(VLOOKUP($E80,武器奇术!$A:$R,17,FALSE)="破竹",VLOOKUP($E80,武器奇术!$A:$R,4,FALSE),VLOOKUP($E80,武器奇术!$A:$R,2,FALSE))*(1+DF80)*(1+DG80)*DH80*(1+$E$16+VLOOKUP($E80,武器奇术!$A:$R,8,FALSE))</f>
        <v>527.0505206967</v>
      </c>
      <c r="DL80" s="110">
        <f t="shared" si="33"/>
        <v>0.8813852</v>
      </c>
      <c r="DM80" s="112">
        <f>DE80*IF(VLOOKUP($E80,武器奇术!$A:$R,17,FALSE)="破竹",VLOOKUP($E80,武器奇术!$A:$R,4,FALSE),VLOOKUP($E80,武器奇术!$A:$R,2,FALSE))*(1+DF80)*(1+DG80)*DH80*(1+$E$17+VLOOKUP($E80,武器奇术!$A:$R,10,FALSE))</f>
        <v>433.852562768625</v>
      </c>
      <c r="DN80" s="110">
        <f t="shared" si="34"/>
        <v>0.0986</v>
      </c>
      <c r="DO80" s="112">
        <f>DD80*IF(VLOOKUP($E80,武器奇术!$A:$R,17,FALSE)="破竹",VLOOKUP($E80,武器奇术!$A:$R,4,FALSE),VLOOKUP($E80,武器奇术!$A:$R,2,FALSE))*(1+DF80)*(1+DG80)*DH80</f>
        <v>321.3722687175</v>
      </c>
      <c r="DP80" s="110">
        <f t="shared" si="35"/>
        <v>0.00928814000000003</v>
      </c>
      <c r="DQ80" s="113">
        <f t="shared" si="36"/>
        <v>513.744592967279</v>
      </c>
    </row>
    <row r="81" customFormat="1" spans="1:121">
      <c r="A81" s="75"/>
      <c r="B81" s="75"/>
      <c r="C81" s="75"/>
      <c r="D81" s="75"/>
      <c r="E81" s="98" t="str">
        <f>期望!E81</f>
        <v>拳甲普攻56</v>
      </c>
      <c r="F81" s="99">
        <f>期望!F81</f>
        <v>1</v>
      </c>
      <c r="G81" s="115"/>
      <c r="H81" s="149">
        <f>IF(VLOOKUP($E81,武器奇术!$A:$R,18,FALSE)="天工",AE81,(AE81+AT81+BI81+BX81+CM81+DB81+DQ81))*(1+J81)*F81*K81*(1+G81)*(1+$G$21*5%)</f>
        <v>28646.9930354516</v>
      </c>
      <c r="I81" s="101">
        <f t="shared" si="0"/>
        <v>0.00353684123284824</v>
      </c>
      <c r="J81" s="101">
        <f>$F$3+VLOOKUP($E81,武器奇术!$A:$R,12,FALSE)+VLOOKUP($E81,武器奇术!$A:$R,14,FALSE)*$G$3+$P81</f>
        <v>0.473</v>
      </c>
      <c r="K81" s="102">
        <f>VLOOKUP($E81,武器奇术!$A:$R,11,FALSE)</f>
        <v>1</v>
      </c>
      <c r="L81" s="117">
        <f>IF(VLOOKUP($E81,武器奇术!$A:$R,15,FALSE)="天工",0%,IF($C$17+VLOOKUP($E81,武器奇术!$A:$R,7,FALSE)&gt;80%,80%,$C$17+VLOOKUP($E81,武器奇术!$A:$R,7,FALSE))+IF($C$19&gt;20%,20%,$C$19))</f>
        <v>0.892</v>
      </c>
      <c r="M81" s="118">
        <f>IF(VLOOKUP($E81,武器奇术!$A:$R,15,FALSE)="天工",0%,IF($C$18+VLOOKUP($E81,武器奇术!$A:$R,9,FALSE)&gt;40%,40%,$C$18+VLOOKUP($E81,武器奇术!$A:$R,9,FALSE))+IF($C$20&gt;10%,10%,$C$20))</f>
        <v>0.0986</v>
      </c>
      <c r="N81" s="119">
        <f>IF(VLOOKUP($E81,武器奇术!$A:$R,15,FALSE)="天工",100%,MIN($C$16,1))</f>
        <v>0.9881</v>
      </c>
      <c r="O81" s="120" t="str">
        <f>VLOOKUP($E81,武器奇术!$A:$R,16,FALSE)</f>
        <v>拳甲</v>
      </c>
      <c r="P81" s="121">
        <f t="shared" si="38"/>
        <v>0.17</v>
      </c>
      <c r="Q81" s="108">
        <f>$B$5*(1+VLOOKUP($E81,武器奇术!$A:$R,5,FALSE)+IF($G$5="飞隼",0.1,0)+IF($G$5="撼天",0.05,0))-$F$9+IF($I$5="√",160,0)</f>
        <v>1731.135</v>
      </c>
      <c r="R81" s="99">
        <f>IF(VLOOKUP($E81,武器奇术!$A:$Z,20,FALSE)=1,(S81-(Q81+S81)*0.5)*($G$15-0.5)*2+(Q81+S81)*0.5,(Q81+S81)*0.5)</f>
        <v>3256.775</v>
      </c>
      <c r="S81" s="109">
        <f>MAX($C$5,$B$5)*(1+VLOOKUP($E81,武器奇术!$A:$R,5,FALSE)+IF($G$5="飞隼",0.1,0)+IF($G$5="撼天",0.05,0))-$F$9+IF($I$5="√",320,0)</f>
        <v>4782.415</v>
      </c>
      <c r="T81" s="101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U81" s="111">
        <f>$E$5+IF(VLOOKUP($E81,武器奇术!$A:$U,21,FALSE)=1,0,0.09)</f>
        <v>0.115</v>
      </c>
      <c r="V81" s="109">
        <v>1</v>
      </c>
      <c r="W81" s="112">
        <f>Q81*VLOOKUP($E81,武器奇术!$A:$R,2,FALSE)*(1+T81)*(1+U81)*V81</f>
        <v>3086.79912340758</v>
      </c>
      <c r="X81" s="110">
        <f>(1-IF(VLOOKUP($E81,武器奇术!$A:$T,20,FALSE)=1,1,$N81))*(1-$M81)</f>
        <v>0.01072666</v>
      </c>
      <c r="Y81" s="112">
        <f>R81*VLOOKUP($E81,武器奇术!$A:$R,2,FALSE)*(1+T81)*(1+U81)*V81*(1+$E$16+VLOOKUP($E81,武器奇术!$A:$R,8,FALSE))</f>
        <v>9523.77298871699</v>
      </c>
      <c r="Z81" s="110">
        <f t="shared" si="1"/>
        <v>0.8813852</v>
      </c>
      <c r="AA81" s="112">
        <f>S81*VLOOKUP($E81,武器奇术!$A:$R,2,FALSE)*(1+T81)*(1+U81)*V81*(1+$E$17+VLOOKUP($E81,武器奇术!$A:$R,10,FALSE))</f>
        <v>11512.2035428729</v>
      </c>
      <c r="AB81" s="110">
        <f t="shared" si="2"/>
        <v>0.0986</v>
      </c>
      <c r="AC81" s="112">
        <f>R81*VLOOKUP($E81,武器奇术!$A:$R,2,FALSE)*(1+T81)*(1+U81)*V81</f>
        <v>5807.1786516567</v>
      </c>
      <c r="AD81" s="110">
        <f t="shared" si="3"/>
        <v>0.00928814000000003</v>
      </c>
      <c r="AE81" s="113">
        <f t="shared" si="4"/>
        <v>9616.26476274887</v>
      </c>
      <c r="AF81" s="114">
        <f>VLOOKUP($E81,武器奇术!$A:$R,3,FALSE)*(1+IF(VLOOKUP($E81,武器奇术!$A:$R,15,FALSE)="武器",$E$15,0))</f>
        <v>465.4</v>
      </c>
      <c r="AG81" s="112">
        <f t="shared" si="5"/>
        <v>465.4</v>
      </c>
      <c r="AH81" s="112">
        <f>VLOOKUP($E81,武器奇术!$A:$R,3,FALSE)*(1+IF(VLOOKUP($E81,武器奇术!$A:$R,15,FALSE)="武器",$E$15,0))</f>
        <v>465.4</v>
      </c>
      <c r="AI81" s="101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0.242</v>
      </c>
      <c r="AJ81" s="111">
        <f>$E$5+IF(VLOOKUP($E81,武器奇术!$A:$U,21,FALSE)=1,0,0.09)</f>
        <v>0.115</v>
      </c>
      <c r="AK81" s="109">
        <v>1</v>
      </c>
      <c r="AL81" s="112">
        <f t="shared" si="6"/>
        <v>644.499882</v>
      </c>
      <c r="AM81" s="110">
        <f>(1-IF(VLOOKUP($E81,武器奇术!$A:$T,20,FALSE)=1,1,$N81))*(1-$M81)</f>
        <v>0.01072666</v>
      </c>
      <c r="AN81" s="112">
        <f>AG81*(1+AI81)*(1+AJ81)*AK81*(1+$E$16+VLOOKUP($E81,武器奇术!$A:$R,8,FALSE))</f>
        <v>1056.97980648</v>
      </c>
      <c r="AO81" s="110">
        <f t="shared" si="7"/>
        <v>0.8813852</v>
      </c>
      <c r="AP81" s="112">
        <f>AH81*(1+AI81)*(1+AJ81)*AK81*(1+$E$17+VLOOKUP($E81,武器奇术!$A:$R,10,FALSE))</f>
        <v>870.0748407</v>
      </c>
      <c r="AQ81" s="110">
        <f t="shared" si="8"/>
        <v>0.0986</v>
      </c>
      <c r="AR81" s="112">
        <f t="shared" si="9"/>
        <v>644.499882</v>
      </c>
      <c r="AS81" s="110">
        <f t="shared" si="10"/>
        <v>0.00928814000000003</v>
      </c>
      <c r="AT81" s="113">
        <f t="shared" si="11"/>
        <v>1030.29527366161</v>
      </c>
      <c r="AU81" s="108">
        <f>$B$7*IF($G$5="撼天",1.05,1)+IF(AND(VLOOKUP($E81,武器奇术!$A:$R,15,FALSE)="武器",VLOOKUP($E81,武器奇术!$A:$R,17,FALSE)="鸣金"),$E$3,0)*(1+$E$15)</f>
        <v>0</v>
      </c>
      <c r="AV81" s="99">
        <f>(AU81+AW81)*IF(VLOOKUP($E81,武器奇术!$A:$Z,21,FALSE)=1,$G$15,0.5)</f>
        <v>0</v>
      </c>
      <c r="AW81" s="109">
        <f>MAX($C$7*IF($G$5="撼天",1.05,1)+IF(AND(VLOOKUP($E81,武器奇术!$A:$R,15,FALSE)="武器",VLOOKUP($E81,武器奇术!$A:$R,17,FALSE)="鸣金"),$E$3*(1+$E$15),0),AU81)</f>
        <v>0</v>
      </c>
      <c r="AX81" s="110">
        <f>IF(($D$7+IF(VLOOKUP($E81,武器奇术!$A:$R,17,FALSE)="鸣金",$D$15,0)+IF(VLOOKUP($E81,武器奇术!$A:$R,18,FALSE)=1,4,0)+IF(VLOOKUP($E81,武器奇术!$A:$S,19,FALSE)=1,20,0)-VLOOKUP($F$7,目标属性!$A:$R,6,FALSE))&gt;0,($D$7+IF(VLOOKUP($E81,武器奇术!$A:$R,17,FALSE)="鸣金",$D$15,0)+IF(VLOOKUP($E81,武器奇术!$A:$R,18,FALSE)=1,4,0)+IF(VLOOKUP($E81,武器奇术!$A:$S,19,FALSE)=1,20,0)-VLOOKUP($F$7,目标属性!$A:$R,6,FALSE))/200,($D$7+IF(VLOOKUP($E81,武器奇术!$A:$R,17,FALSE)="鸣金",$D$15,0)+IF(VLOOKUP($E81,武器奇术!$A:$R,18,FALSE)=1,4,0)+IF(VLOOKUP($E81,武器奇术!$A:$S,19,FALSE)=1,20,0)-VLOOKUP($F$7,目标属性!$A:$R,6,FALSE))/100)</f>
        <v>-0.24</v>
      </c>
      <c r="AY81" s="111">
        <f t="shared" si="12"/>
        <v>0</v>
      </c>
      <c r="AZ81" s="109">
        <v>1</v>
      </c>
      <c r="BA81" s="112">
        <f>AU81*IF(VLOOKUP($E81,武器奇术!$A:$R,17,FALSE)="鸣金",VLOOKUP($E81,武器奇术!$A:$R,4,FALSE),VLOOKUP($E81,武器奇术!$A:$R,2,FALSE))*(1+AX81)*(1+AY81)*AZ81</f>
        <v>0</v>
      </c>
      <c r="BB81" s="110">
        <f>(1-IF(VLOOKUP($E81,武器奇术!$A:$T,20,FALSE)=1,1,$N81))*(1-$M81)</f>
        <v>0.01072666</v>
      </c>
      <c r="BC81" s="112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10">
        <f t="shared" si="13"/>
        <v>0.8813852</v>
      </c>
      <c r="BE81" s="112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10">
        <f t="shared" si="14"/>
        <v>0.0986</v>
      </c>
      <c r="BG81" s="112">
        <f>AV81*IF(VLOOKUP($E81,武器奇术!$A:$R,17,FALSE)="鸣金",VLOOKUP($E81,武器奇术!$A:$R,4,FALSE),VLOOKUP($E81,武器奇术!$A:$R,2,FALSE))*(1+AX81)*(1+AY81)*AZ81</f>
        <v>0</v>
      </c>
      <c r="BH81" s="110">
        <f t="shared" si="15"/>
        <v>0.00928814000000003</v>
      </c>
      <c r="BI81" s="113">
        <f t="shared" si="16"/>
        <v>0</v>
      </c>
      <c r="BJ81" s="108">
        <f>$B$9*IF($G$5="撼天",1.05,1)+IF(AND(VLOOKUP($E81,武器奇术!$A:$R,15,FALSE)="武器",VLOOKUP($E81,武器奇术!$A:$R,17,FALSE)="裂石"),$E$3,0)*(1+$E$15)</f>
        <v>0</v>
      </c>
      <c r="BK81" s="99">
        <f>(BJ81+BL81)*IF(VLOOKUP($E81,武器奇术!$A:$Z,21,FALSE)=1,$G$15,0.5)</f>
        <v>0</v>
      </c>
      <c r="BL81" s="109">
        <f>MAX($C$9*IF($G$5="撼天",1.05,1)+IF(AND(VLOOKUP($E81,武器奇术!$A:$R,15,FALSE)="武器",VLOOKUP($E81,武器奇术!$A:$R,17,FALSE)="裂石"),$E$3*(1+$E$15),0),BJ81)</f>
        <v>0</v>
      </c>
      <c r="BM81" s="110">
        <f>IF(($D$9+IF(VLOOKUP($E81,武器奇术!$A:$R,17,FALSE)="裂石",$D$15,0)+IF(VLOOKUP($E81,武器奇术!$A:$R,18,FALSE)=1,4,0)+IF(VLOOKUP($E81,武器奇术!$A:$S,19,FALSE)=1,20,0)-VLOOKUP($F$7,目标属性!$A:$R,6,FALSE))&gt;0,($D$9+IF(VLOOKUP($E81,武器奇术!$A:$R,17,FALSE)="裂石",$D$15,0)+IF(VLOOKUP($E81,武器奇术!$A:$R,18,FALSE)=1,4,0)+IF(VLOOKUP($E81,武器奇术!$A:$S,19,FALSE)=1,20,0)-VLOOKUP($F$7,目标属性!$A:$R,6,FALSE))/200,($D$9+IF(VLOOKUP($E81,武器奇术!$A:$R,17,FALSE)="裂石",$D$15,0)+IF(VLOOKUP($E81,武器奇术!$A:$R,18,FALSE)=1,4,0)+IF(VLOOKUP($E81,武器奇术!$A:$S,19,FALSE)=1,20,0)-VLOOKUP($F$7,目标属性!$A:$R,6,FALSE))/100)</f>
        <v>-0.24</v>
      </c>
      <c r="BN81" s="111">
        <f t="shared" si="17"/>
        <v>0</v>
      </c>
      <c r="BO81" s="109">
        <v>1</v>
      </c>
      <c r="BP81" s="112">
        <f>BJ81*IF(VLOOKUP($E81,武器奇术!$A:$R,17,FALSE)="裂石",VLOOKUP($E81,武器奇术!$A:$R,4,FALSE),VLOOKUP($E81,武器奇术!$A:$R,2,FALSE))*(1+BM81)*(1+BN81)*BO81</f>
        <v>0</v>
      </c>
      <c r="BQ81" s="110">
        <f>(1-IF(VLOOKUP($E81,武器奇术!$A:$T,20,FALSE)=1,1,$N81))*(1-$M81)</f>
        <v>0.01072666</v>
      </c>
      <c r="BR81" s="112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10">
        <f t="shared" si="18"/>
        <v>0.8813852</v>
      </c>
      <c r="BT81" s="112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10">
        <f t="shared" si="19"/>
        <v>0.0986</v>
      </c>
      <c r="BV81" s="112">
        <f>BK81*IF(VLOOKUP($E81,武器奇术!$A:$R,17,FALSE)="裂石",VLOOKUP($E81,武器奇术!$A:$R,4,FALSE),VLOOKUP($E81,武器奇术!$A:$R,2,FALSE))*(1+BM81)*(1+BN81)*BO81</f>
        <v>0</v>
      </c>
      <c r="BW81" s="110">
        <f t="shared" si="20"/>
        <v>0.00928814000000003</v>
      </c>
      <c r="BX81" s="113">
        <f t="shared" si="21"/>
        <v>0</v>
      </c>
      <c r="BY81" s="108">
        <f>$B$11*IF($G$5="撼天",1.05,1)+IF(AND(VLOOKUP($E81,武器奇术!$A:$R,15,FALSE)="武器",VLOOKUP($E81,武器奇术!$A:$R,17,FALSE)="牵丝"),$E$3,0)*(1+$E$15)</f>
        <v>0</v>
      </c>
      <c r="BZ81" s="99">
        <f>(BY81+CA81)*IF(VLOOKUP($E81,武器奇术!$A:$Z,21,FALSE)=1,$G$15,0.5)</f>
        <v>0</v>
      </c>
      <c r="CA81" s="109">
        <f>MAX($C$11*IF($G$5="撼天",1.05,1)+IF(AND(VLOOKUP($E81,武器奇术!$A:$R,15,FALSE)="武器",VLOOKUP($E81,武器奇术!$A:$R,17,FALSE)="牵丝"),$E$3*(1+$E$15),0),BY81)</f>
        <v>0</v>
      </c>
      <c r="CB81" s="110">
        <f>IF(($D$11+IF(VLOOKUP($E81,武器奇术!$A:$R,17,FALSE)="牵丝",$D$15,0)+IF(VLOOKUP($E81,武器奇术!$A:$R,18,FALSE)=1,4,0)+IF(VLOOKUP($E81,武器奇术!$A:$S,19,FALSE)=1,20,0)-VLOOKUP($F$7,目标属性!$A:$R,6,FALSE))&gt;0,($D$11+IF(VLOOKUP($E81,武器奇术!$A:$R,17,FALSE)="牵丝",$D$15,0)+IF(VLOOKUP($E81,武器奇术!$A:$R,18,FALSE)=1,4,0)+IF(VLOOKUP($E81,武器奇术!$A:$S,19,FALSE)=1,20,0)-VLOOKUP($F$7,目标属性!$A:$R,6,FALSE))/200,($D$11+IF(VLOOKUP($E81,武器奇术!$A:$R,17,FALSE)="牵丝",$D$15,0)+IF(VLOOKUP($E81,武器奇术!$A:$R,18,FALSE)=1,4,0)+IF(VLOOKUP($E81,武器奇术!$A:$S,19,FALSE)=1,20,0)-VLOOKUP($F$7,目标属性!$A:$R,6,FALSE))/100)</f>
        <v>-0.24</v>
      </c>
      <c r="CC81" s="111">
        <f t="shared" si="22"/>
        <v>0</v>
      </c>
      <c r="CD81" s="109">
        <v>1</v>
      </c>
      <c r="CE81" s="112">
        <f>BY81*IF(VLOOKUP($E81,武器奇术!$A:$R,17,FALSE)="牵丝",VLOOKUP($E81,武器奇术!$A:$R,4,FALSE),VLOOKUP($E81,武器奇术!$A:$R,2,FALSE))*(1+CB81)*(1+CC81)*CD81</f>
        <v>0</v>
      </c>
      <c r="CF81" s="110">
        <f>(1-IF(VLOOKUP($E81,武器奇术!$A:$T,20,FALSE)=1,1,$N81))*(1-$M81)</f>
        <v>0.01072666</v>
      </c>
      <c r="CG81" s="112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110">
        <f t="shared" si="23"/>
        <v>0.8813852</v>
      </c>
      <c r="CI81" s="112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110">
        <f t="shared" si="24"/>
        <v>0.0986</v>
      </c>
      <c r="CK81" s="112">
        <f>BZ81*IF(VLOOKUP($E81,武器奇术!$A:$R,17,FALSE)="牵丝",VLOOKUP($E81,武器奇术!$A:$R,4,FALSE),VLOOKUP($E81,武器奇术!$A:$R,2,FALSE))*(1+CB81)*(1+CC81)*CD81</f>
        <v>0</v>
      </c>
      <c r="CL81" s="110">
        <f t="shared" si="25"/>
        <v>0.00928814000000003</v>
      </c>
      <c r="CM81" s="113">
        <f t="shared" si="26"/>
        <v>0</v>
      </c>
      <c r="CN81" s="108">
        <f>$B$13*IF($G$5="撼天",1.05,1)+IF(AND(VLOOKUP($E81,武器奇术!$A:$R,15,FALSE)="武器",VLOOKUP($E81,武器奇术!$A:$R,17,FALSE)="破竹"),$E$3,0)*(1+$E$15)</f>
        <v>648.46</v>
      </c>
      <c r="CO81" s="99">
        <f>(CN81+CP81)*IF(VLOOKUP($E81,武器奇术!$A:$Z,21,FALSE)=1,$G$15,0.5)</f>
        <v>875.26</v>
      </c>
      <c r="CP81" s="109">
        <f>MAX($C$13*IF($G$5="撼天",1.05,1)+IF(AND(VLOOKUP($E81,武器奇术!$A:$R,15,FALSE)="武器",VLOOKUP($E81,武器奇术!$A:$R,17,FALSE)="破竹"),$E$3*(1+$E$15),0),CN81)</f>
        <v>1102.06</v>
      </c>
      <c r="CQ81" s="110">
        <f>IF(($D$13+IF(VLOOKUP($E81,武器奇术!$A:$R,17,FALSE)="破竹",$D$15,0)+IF(VLOOKUP($E81,武器奇术!$A:$R,18,FALSE)=1,4,0)+IF(VLOOKUP($E81,武器奇术!$A:$S,19,FALSE)=1,20,0)-VLOOKUP($F$7,目标属性!$A:$R,6,FALSE))&gt;0,($D$13+IF(VLOOKUP($E81,武器奇术!$A:$R,17,FALSE)="破竹",$D$15,0)+IF(VLOOKUP($E81,武器奇术!$A:$R,18,FALSE)=1,4,0)+IF(VLOOKUP($E81,武器奇术!$A:$S,19,FALSE)=1,20,0)-VLOOKUP($F$7,目标属性!$A:$R,6,FALSE))/200,($D$13+IF(VLOOKUP($E81,武器奇术!$A:$R,17,FALSE)="破竹",$D$15,0)+IF(VLOOKUP($E81,武器奇术!$A:$R,18,FALSE)=1,4,0)+IF(VLOOKUP($E81,武器奇术!$A:$S,19,FALSE)=1,20,0)-VLOOKUP($F$7,目标属性!$A:$R,6,FALSE))/100)</f>
        <v>0.025</v>
      </c>
      <c r="CR81" s="111">
        <f>$E$13+IF(VLOOKUP($E81,武器奇术!$A:$U,21,FALSE)=1,0,0.09)</f>
        <v>0.235</v>
      </c>
      <c r="CS81" s="109">
        <v>1</v>
      </c>
      <c r="CT81" s="112">
        <f>CN81*IF(VLOOKUP($E81,武器奇术!$A:$R,17,FALSE)="破竹",VLOOKUP($E81,武器奇术!$A:$R,4,FALSE),VLOOKUP($E81,武器奇术!$A:$R,2,FALSE))*(1+CQ81)*(1+CR81)*CS81</f>
        <v>1585.34488391825</v>
      </c>
      <c r="CU81" s="110">
        <f>(1-IF(VLOOKUP($E81,武器奇术!$A:$T,20,FALSE)=1,1,$N81))*(1-$M81)</f>
        <v>0.01072666</v>
      </c>
      <c r="CV81" s="112">
        <f>CO81*IF(VLOOKUP($E81,武器奇术!$A:$R,17,FALSE)="破竹",VLOOKUP($E81,武器奇术!$A:$R,4,FALSE),VLOOKUP($E81,武器奇术!$A:$R,2,FALSE))*(1+CQ81)*(1+CR81)*CS81*(1+$E$16+VLOOKUP($E81,武器奇术!$A:$R,8,FALSE))</f>
        <v>3509.30805212533</v>
      </c>
      <c r="CW81" s="110">
        <f t="shared" si="27"/>
        <v>0.8813852</v>
      </c>
      <c r="CX81" s="112">
        <f>CP81*IF(VLOOKUP($E81,武器奇术!$A:$R,17,FALSE)="破竹",VLOOKUP($E81,武器奇术!$A:$R,4,FALSE),VLOOKUP($E81,武器奇术!$A:$R,2,FALSE))*(1+CQ81)*(1+CR81)*CS81*(1+$E$17+VLOOKUP($E81,武器奇术!$A:$R,10,FALSE))</f>
        <v>3637.30376081914</v>
      </c>
      <c r="CY81" s="110">
        <f t="shared" si="28"/>
        <v>0.0986</v>
      </c>
      <c r="CZ81" s="112">
        <f>CO81*IF(VLOOKUP($E81,武器奇术!$A:$R,17,FALSE)="破竹",VLOOKUP($E81,武器奇术!$A:$R,4,FALSE),VLOOKUP($E81,武器奇术!$A:$R,2,FALSE))*(1+CQ81)*(1+CR81)*CS81</f>
        <v>2139.82198300325</v>
      </c>
      <c r="DA81" s="110">
        <f t="shared" si="29"/>
        <v>0.00928814000000003</v>
      </c>
      <c r="DB81" s="113">
        <f t="shared" si="30"/>
        <v>3488.5707519066</v>
      </c>
      <c r="DC81" s="108">
        <f t="shared" si="31"/>
        <v>69.3</v>
      </c>
      <c r="DD81" s="99">
        <f>(DC81+DE81)*IF(VLOOKUP($E81,武器奇术!$A:$Z,21,FALSE)=1,$G$15,0.5)</f>
        <v>69.3</v>
      </c>
      <c r="DE81" s="109">
        <f t="shared" si="32"/>
        <v>69.3</v>
      </c>
      <c r="DF81" s="110">
        <f>IF(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R,18,FALSE)=1,4,0)+IF(VLOOKUP($E81,武器奇术!$A:$S,19,FALSE)=1,20,0)-VLOOKUP($F$7,目标属性!$A:$R,6,FALSE))/100)</f>
        <v>0.025</v>
      </c>
      <c r="DG81" s="111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U,21,FALSE)=1,0,0.09)</f>
        <v>0.235</v>
      </c>
      <c r="DH81" s="109">
        <v>1</v>
      </c>
      <c r="DI81" s="112">
        <f>DC81*IF(VLOOKUP($E81,武器奇术!$A:$R,17,FALSE)="破竹",VLOOKUP($E81,武器奇术!$A:$R,4,FALSE),VLOOKUP($E81,武器奇术!$A:$R,2,FALSE))*(1+DF81)*(1+DG81)*DH81</f>
        <v>169.42355805375</v>
      </c>
      <c r="DJ81" s="110">
        <f>(1-IF(VLOOKUP($E81,武器奇术!$A:$T,20,FALSE)=1,1,$N81))*(1-$M81)</f>
        <v>0.01072666</v>
      </c>
      <c r="DK81" s="112">
        <f>DD81*IF(VLOOKUP($E81,武器奇术!$A:$R,17,FALSE)="破竹",VLOOKUP($E81,武器奇术!$A:$R,4,FALSE),VLOOKUP($E81,武器奇术!$A:$R,2,FALSE))*(1+DF81)*(1+DG81)*DH81*(1+$E$16+VLOOKUP($E81,武器奇术!$A:$R,8,FALSE))</f>
        <v>277.85463520815</v>
      </c>
      <c r="DL81" s="110">
        <f t="shared" si="33"/>
        <v>0.8813852</v>
      </c>
      <c r="DM81" s="112">
        <f>DE81*IF(VLOOKUP($E81,武器奇术!$A:$R,17,FALSE)="破竹",VLOOKUP($E81,武器奇术!$A:$R,4,FALSE),VLOOKUP($E81,武器奇术!$A:$R,2,FALSE))*(1+DF81)*(1+DG81)*DH81*(1+$E$17+VLOOKUP($E81,武器奇术!$A:$R,10,FALSE))</f>
        <v>228.721803372562</v>
      </c>
      <c r="DN81" s="110">
        <f t="shared" si="34"/>
        <v>0.0986</v>
      </c>
      <c r="DO81" s="112">
        <f>DD81*IF(VLOOKUP($E81,武器奇术!$A:$R,17,FALSE)="破竹",VLOOKUP($E81,武器奇术!$A:$R,4,FALSE),VLOOKUP($E81,武器奇术!$A:$R,2,FALSE))*(1+DF81)*(1+DG81)*DH81</f>
        <v>169.42355805375</v>
      </c>
      <c r="DP81" s="110">
        <f t="shared" si="35"/>
        <v>0.00928814000000003</v>
      </c>
      <c r="DQ81" s="113">
        <f t="shared" si="36"/>
        <v>270.839911666131</v>
      </c>
    </row>
    <row r="82" customFormat="1" spans="1:121">
      <c r="A82" s="75"/>
      <c r="B82" s="75"/>
      <c r="C82" s="75"/>
      <c r="D82" s="75"/>
      <c r="E82" s="98" t="str">
        <f>期望!E82</f>
        <v>鹰隼追击(拳甲)</v>
      </c>
      <c r="F82" s="99">
        <f>期望!F82</f>
        <v>1</v>
      </c>
      <c r="G82" s="115"/>
      <c r="H82" s="149">
        <f>IF(VLOOKUP($E82,武器奇术!$A:$R,18,FALSE)="天工",AE82,(AE82+AT82+BI82+BX82+CM82+DB82+DQ82))*(1+J82)*F82*K82*(1+G82)*(1+$G$21*5%)</f>
        <v>63982.2655175516</v>
      </c>
      <c r="I82" s="101">
        <f t="shared" si="0"/>
        <v>0.00789943693474119</v>
      </c>
      <c r="J82" s="101">
        <f>$F$3+VLOOKUP($E82,武器奇术!$A:$R,12,FALSE)+VLOOKUP($E82,武器奇术!$A:$R,14,FALSE)*$G$3+$P82</f>
        <v>0.773</v>
      </c>
      <c r="K82" s="102">
        <f>VLOOKUP($E82,武器奇术!$A:$R,11,FALSE)</f>
        <v>1</v>
      </c>
      <c r="L82" s="117">
        <f>IF(VLOOKUP($E82,武器奇术!$A:$R,15,FALSE)="天工",0%,IF($C$17+VLOOKUP($E82,武器奇术!$A:$R,7,FALSE)&gt;80%,80%,$C$17+VLOOKUP($E82,武器奇术!$A:$R,7,FALSE))+IF($C$19&gt;20%,20%,$C$19))</f>
        <v>0.892</v>
      </c>
      <c r="M82" s="118">
        <f>IF(VLOOKUP($E82,武器奇术!$A:$R,15,FALSE)="天工",0%,IF($C$18+VLOOKUP($E82,武器奇术!$A:$R,9,FALSE)&gt;40%,40%,$C$18+VLOOKUP($E82,武器奇术!$A:$R,9,FALSE))+IF($C$20&gt;10%,10%,$C$20))</f>
        <v>0.0986</v>
      </c>
      <c r="N82" s="119">
        <f>IF(VLOOKUP($E82,武器奇术!$A:$R,15,FALSE)="天工",100%,MIN($C$16,1))</f>
        <v>0.9881</v>
      </c>
      <c r="O82" s="120" t="str">
        <f>VLOOKUP($E82,武器奇术!$A:$R,16,FALSE)</f>
        <v>拳甲</v>
      </c>
      <c r="P82" s="121">
        <f t="shared" si="38"/>
        <v>0.17</v>
      </c>
      <c r="Q82" s="108">
        <f>$B$5*(1+VLOOKUP($E82,武器奇术!$A:$R,5,FALSE)+IF($G$5="飞隼",0.1,0)+IF($G$5="撼天",0.05,0))-$F$9+IF($I$5="√",160,0)</f>
        <v>1731.135</v>
      </c>
      <c r="R82" s="99">
        <f>IF(VLOOKUP($E82,武器奇术!$A:$Z,20,FALSE)=1,(S82-(Q82+S82)*0.5)*($G$15-0.5)*2+(Q82+S82)*0.5,(Q82+S82)*0.5)</f>
        <v>3256.775</v>
      </c>
      <c r="S82" s="109">
        <f>MAX($C$5,$B$5)*(1+VLOOKUP($E82,武器奇术!$A:$R,5,FALSE)+IF($G$5="飞隼",0.1,0)+IF($G$5="撼天",0.05,0))-$F$9+IF($I$5="√",320,0)</f>
        <v>4782.415</v>
      </c>
      <c r="T82" s="101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U82" s="111">
        <f>$E$5+IF(VLOOKUP($E82,武器奇术!$A:$U,21,FALSE)=1,0,0.09)</f>
        <v>0.115</v>
      </c>
      <c r="V82" s="109">
        <v>1</v>
      </c>
      <c r="W82" s="112">
        <f>Q82*VLOOKUP($E82,武器奇术!$A:$R,2,FALSE)*(1+T82)*(1+U82)*V82</f>
        <v>5595.154346628</v>
      </c>
      <c r="X82" s="110">
        <f>(1-IF(VLOOKUP($E82,武器奇术!$A:$T,20,FALSE)=1,1,$N82))*(1-$M82)</f>
        <v>0.01072666</v>
      </c>
      <c r="Y82" s="112">
        <f>R82*VLOOKUP($E82,武器奇术!$A:$R,2,FALSE)*(1+T82)*(1+U82)*V82*(1+$E$16+VLOOKUP($E82,武器奇术!$A:$R,8,FALSE))</f>
        <v>20420.6997528468</v>
      </c>
      <c r="Z82" s="110">
        <f t="shared" si="1"/>
        <v>0.8813852</v>
      </c>
      <c r="AA82" s="112">
        <f>S82*VLOOKUP($E82,武器奇术!$A:$R,2,FALSE)*(1+T82)*(1+U82)*V82*(1+$E$17+VLOOKUP($E82,武器奇术!$A:$R,10,FALSE))</f>
        <v>20867.1031437462</v>
      </c>
      <c r="AB82" s="110">
        <f t="shared" si="2"/>
        <v>0.0986</v>
      </c>
      <c r="AC82" s="112">
        <f>R82*VLOOKUP($E82,武器奇术!$A:$R,2,FALSE)*(1+T82)*(1+U82)*V82</f>
        <v>10526.13389322</v>
      </c>
      <c r="AD82" s="110">
        <f t="shared" si="3"/>
        <v>0.00928814000000003</v>
      </c>
      <c r="AE82" s="113">
        <f t="shared" si="4"/>
        <v>20213.784429359</v>
      </c>
      <c r="AF82" s="114">
        <f>VLOOKUP($E82,武器奇术!$A:$R,3,FALSE)*(1+IF(VLOOKUP($E82,武器奇术!$A:$R,15,FALSE)="武器",$E$15,0))</f>
        <v>0</v>
      </c>
      <c r="AG82" s="112">
        <f t="shared" si="5"/>
        <v>0</v>
      </c>
      <c r="AH82" s="112">
        <f>VLOOKUP($E82,武器奇术!$A:$R,3,FALSE)*(1+IF(VLOOKUP($E82,武器奇术!$A:$R,15,FALSE)="武器",$E$15,0))</f>
        <v>0</v>
      </c>
      <c r="AI82" s="101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0.342</v>
      </c>
      <c r="AJ82" s="111">
        <f>$E$5+IF(VLOOKUP($E82,武器奇术!$A:$U,21,FALSE)=1,0,0.09)</f>
        <v>0.115</v>
      </c>
      <c r="AK82" s="109">
        <v>1</v>
      </c>
      <c r="AL82" s="112">
        <f t="shared" si="6"/>
        <v>0</v>
      </c>
      <c r="AM82" s="110">
        <f>(1-IF(VLOOKUP($E82,武器奇术!$A:$T,20,FALSE)=1,1,$N82))*(1-$M82)</f>
        <v>0.01072666</v>
      </c>
      <c r="AN82" s="112">
        <f>AG82*(1+AI82)*(1+AJ82)*AK82*(1+$E$16+VLOOKUP($E82,武器奇术!$A:$R,8,FALSE))</f>
        <v>0</v>
      </c>
      <c r="AO82" s="110">
        <f t="shared" si="7"/>
        <v>0.8813852</v>
      </c>
      <c r="AP82" s="112">
        <f>AH82*(1+AI82)*(1+AJ82)*AK82*(1+$E$17+VLOOKUP($E82,武器奇术!$A:$R,10,FALSE))</f>
        <v>0</v>
      </c>
      <c r="AQ82" s="110">
        <f t="shared" si="8"/>
        <v>0.0986</v>
      </c>
      <c r="AR82" s="112">
        <f t="shared" si="9"/>
        <v>0</v>
      </c>
      <c r="AS82" s="110">
        <f t="shared" si="10"/>
        <v>0.00928814000000003</v>
      </c>
      <c r="AT82" s="113">
        <f t="shared" si="11"/>
        <v>0</v>
      </c>
      <c r="AU82" s="108">
        <f>$B$7*IF($G$5="撼天",1.05,1)+IF(AND(VLOOKUP($E82,武器奇术!$A:$R,15,FALSE)="武器",VLOOKUP($E82,武器奇术!$A:$R,17,FALSE)="鸣金"),$E$3,0)*(1+$E$15)</f>
        <v>0</v>
      </c>
      <c r="AV82" s="99">
        <f>(AU82+AW82)*IF(VLOOKUP($E82,武器奇术!$A:$Z,21,FALSE)=1,$G$15,0.5)</f>
        <v>0</v>
      </c>
      <c r="AW82" s="109">
        <f>MAX($C$7*IF($G$5="撼天",1.05,1)+IF(AND(VLOOKUP($E82,武器奇术!$A:$R,15,FALSE)="武器",VLOOKUP($E82,武器奇术!$A:$R,17,FALSE)="鸣金"),$E$3*(1+$E$15),0),AU82)</f>
        <v>0</v>
      </c>
      <c r="AX82" s="110">
        <f>IF(($D$7+IF(VLOOKUP($E82,武器奇术!$A:$R,17,FALSE)="鸣金",$D$15,0)+IF(VLOOKUP($E82,武器奇术!$A:$R,18,FALSE)=1,4,0)+IF(VLOOKUP($E82,武器奇术!$A:$S,19,FALSE)=1,20,0)-VLOOKUP($F$7,目标属性!$A:$R,6,FALSE))&gt;0,($D$7+IF(VLOOKUP($E82,武器奇术!$A:$R,17,FALSE)="鸣金",$D$15,0)+IF(VLOOKUP($E82,武器奇术!$A:$R,18,FALSE)=1,4,0)+IF(VLOOKUP($E82,武器奇术!$A:$S,19,FALSE)=1,20,0)-VLOOKUP($F$7,目标属性!$A:$R,6,FALSE))/200,($D$7+IF(VLOOKUP($E82,武器奇术!$A:$R,17,FALSE)="鸣金",$D$15,0)+IF(VLOOKUP($E82,武器奇术!$A:$R,18,FALSE)=1,4,0)+IF(VLOOKUP($E82,武器奇术!$A:$S,19,FALSE)=1,20,0)-VLOOKUP($F$7,目标属性!$A:$R,6,FALSE))/100)</f>
        <v>0</v>
      </c>
      <c r="AY82" s="111">
        <f t="shared" si="12"/>
        <v>0</v>
      </c>
      <c r="AZ82" s="109">
        <v>1</v>
      </c>
      <c r="BA82" s="112">
        <f>AU82*IF(VLOOKUP($E82,武器奇术!$A:$R,17,FALSE)="鸣金",VLOOKUP($E82,武器奇术!$A:$R,4,FALSE),VLOOKUP($E82,武器奇术!$A:$R,2,FALSE))*(1+AX82)*(1+AY82)*AZ82</f>
        <v>0</v>
      </c>
      <c r="BB82" s="110">
        <f>(1-IF(VLOOKUP($E82,武器奇术!$A:$T,20,FALSE)=1,1,$N82))*(1-$M82)</f>
        <v>0.01072666</v>
      </c>
      <c r="BC82" s="112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10">
        <f t="shared" si="13"/>
        <v>0.8813852</v>
      </c>
      <c r="BE82" s="112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10">
        <f t="shared" si="14"/>
        <v>0.0986</v>
      </c>
      <c r="BG82" s="112">
        <f>AV82*IF(VLOOKUP($E82,武器奇术!$A:$R,17,FALSE)="鸣金",VLOOKUP($E82,武器奇术!$A:$R,4,FALSE),VLOOKUP($E82,武器奇术!$A:$R,2,FALSE))*(1+AX82)*(1+AY82)*AZ82</f>
        <v>0</v>
      </c>
      <c r="BH82" s="110">
        <f t="shared" si="15"/>
        <v>0.00928814000000003</v>
      </c>
      <c r="BI82" s="113">
        <f t="shared" si="16"/>
        <v>0</v>
      </c>
      <c r="BJ82" s="108">
        <f>$B$9*IF($G$5="撼天",1.05,1)+IF(AND(VLOOKUP($E82,武器奇术!$A:$R,15,FALSE)="武器",VLOOKUP($E82,武器奇术!$A:$R,17,FALSE)="裂石"),$E$3,0)*(1+$E$15)</f>
        <v>0</v>
      </c>
      <c r="BK82" s="99">
        <f>(BJ82+BL82)*IF(VLOOKUP($E82,武器奇术!$A:$Z,21,FALSE)=1,$G$15,0.5)</f>
        <v>0</v>
      </c>
      <c r="BL82" s="109">
        <f>MAX($C$9*IF($G$5="撼天",1.05,1)+IF(AND(VLOOKUP($E82,武器奇术!$A:$R,15,FALSE)="武器",VLOOKUP($E82,武器奇术!$A:$R,17,FALSE)="裂石"),$E$3*(1+$E$15),0),BJ82)</f>
        <v>0</v>
      </c>
      <c r="BM82" s="110">
        <f>IF(($D$9+IF(VLOOKUP($E82,武器奇术!$A:$R,17,FALSE)="裂石",$D$15,0)+IF(VLOOKUP($E82,武器奇术!$A:$R,18,FALSE)=1,4,0)+IF(VLOOKUP($E82,武器奇术!$A:$S,19,FALSE)=1,20,0)-VLOOKUP($F$7,目标属性!$A:$R,6,FALSE))&gt;0,($D$9+IF(VLOOKUP($E82,武器奇术!$A:$R,17,FALSE)="裂石",$D$15,0)+IF(VLOOKUP($E82,武器奇术!$A:$R,18,FALSE)=1,4,0)+IF(VLOOKUP($E82,武器奇术!$A:$S,19,FALSE)=1,20,0)-VLOOKUP($F$7,目标属性!$A:$R,6,FALSE))/200,($D$9+IF(VLOOKUP($E82,武器奇术!$A:$R,17,FALSE)="裂石",$D$15,0)+IF(VLOOKUP($E82,武器奇术!$A:$R,18,FALSE)=1,4,0)+IF(VLOOKUP($E82,武器奇术!$A:$S,19,FALSE)=1,20,0)-VLOOKUP($F$7,目标属性!$A:$R,6,FALSE))/100)</f>
        <v>0</v>
      </c>
      <c r="BN82" s="111">
        <f t="shared" si="17"/>
        <v>0</v>
      </c>
      <c r="BO82" s="109">
        <v>1</v>
      </c>
      <c r="BP82" s="112">
        <f>BJ82*IF(VLOOKUP($E82,武器奇术!$A:$R,17,FALSE)="裂石",VLOOKUP($E82,武器奇术!$A:$R,4,FALSE),VLOOKUP($E82,武器奇术!$A:$R,2,FALSE))*(1+BM82)*(1+BN82)*BO82</f>
        <v>0</v>
      </c>
      <c r="BQ82" s="110">
        <f>(1-IF(VLOOKUP($E82,武器奇术!$A:$T,20,FALSE)=1,1,$N82))*(1-$M82)</f>
        <v>0.01072666</v>
      </c>
      <c r="BR82" s="112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10">
        <f t="shared" si="18"/>
        <v>0.8813852</v>
      </c>
      <c r="BT82" s="112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10">
        <f t="shared" si="19"/>
        <v>0.0986</v>
      </c>
      <c r="BV82" s="112">
        <f>BK82*IF(VLOOKUP($E82,武器奇术!$A:$R,17,FALSE)="裂石",VLOOKUP($E82,武器奇术!$A:$R,4,FALSE),VLOOKUP($E82,武器奇术!$A:$R,2,FALSE))*(1+BM82)*(1+BN82)*BO82</f>
        <v>0</v>
      </c>
      <c r="BW82" s="110">
        <f t="shared" si="20"/>
        <v>0.00928814000000003</v>
      </c>
      <c r="BX82" s="113">
        <f t="shared" si="21"/>
        <v>0</v>
      </c>
      <c r="BY82" s="108">
        <f>$B$11*IF($G$5="撼天",1.05,1)+IF(AND(VLOOKUP($E82,武器奇术!$A:$R,15,FALSE)="武器",VLOOKUP($E82,武器奇术!$A:$R,17,FALSE)="牵丝"),$E$3,0)*(1+$E$15)</f>
        <v>0</v>
      </c>
      <c r="BZ82" s="99">
        <f>(BY82+CA82)*IF(VLOOKUP($E82,武器奇术!$A:$Z,21,FALSE)=1,$G$15,0.5)</f>
        <v>0</v>
      </c>
      <c r="CA82" s="109">
        <f>MAX($C$11*IF($G$5="撼天",1.05,1)+IF(AND(VLOOKUP($E82,武器奇术!$A:$R,15,FALSE)="武器",VLOOKUP($E82,武器奇术!$A:$R,17,FALSE)="牵丝"),$E$3*(1+$E$15),0),BY82)</f>
        <v>0</v>
      </c>
      <c r="CB82" s="110">
        <f>IF(($D$11+IF(VLOOKUP($E82,武器奇术!$A:$R,17,FALSE)="牵丝",$D$15,0)+IF(VLOOKUP($E82,武器奇术!$A:$R,18,FALSE)=1,4,0)+IF(VLOOKUP($E82,武器奇术!$A:$S,19,FALSE)=1,20,0)-VLOOKUP($F$7,目标属性!$A:$R,6,FALSE))&gt;0,($D$11+IF(VLOOKUP($E82,武器奇术!$A:$R,17,FALSE)="牵丝",$D$15,0)+IF(VLOOKUP($E82,武器奇术!$A:$R,18,FALSE)=1,4,0)+IF(VLOOKUP($E82,武器奇术!$A:$S,19,FALSE)=1,20,0)-VLOOKUP($F$7,目标属性!$A:$R,6,FALSE))/200,($D$11+IF(VLOOKUP($E82,武器奇术!$A:$R,17,FALSE)="牵丝",$D$15,0)+IF(VLOOKUP($E82,武器奇术!$A:$R,18,FALSE)=1,4,0)+IF(VLOOKUP($E82,武器奇术!$A:$S,19,FALSE)=1,20,0)-VLOOKUP($F$7,目标属性!$A:$R,6,FALSE))/100)</f>
        <v>0</v>
      </c>
      <c r="CC82" s="111">
        <f t="shared" si="22"/>
        <v>0</v>
      </c>
      <c r="CD82" s="109">
        <v>1</v>
      </c>
      <c r="CE82" s="112">
        <f>BY82*IF(VLOOKUP($E82,武器奇术!$A:$R,17,FALSE)="牵丝",VLOOKUP($E82,武器奇术!$A:$R,4,FALSE),VLOOKUP($E82,武器奇术!$A:$R,2,FALSE))*(1+CB82)*(1+CC82)*CD82</f>
        <v>0</v>
      </c>
      <c r="CF82" s="110">
        <f>(1-IF(VLOOKUP($E82,武器奇术!$A:$T,20,FALSE)=1,1,$N82))*(1-$M82)</f>
        <v>0.01072666</v>
      </c>
      <c r="CG82" s="112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110">
        <f t="shared" si="23"/>
        <v>0.8813852</v>
      </c>
      <c r="CI82" s="112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110">
        <f t="shared" si="24"/>
        <v>0.0986</v>
      </c>
      <c r="CK82" s="112">
        <f>BZ82*IF(VLOOKUP($E82,武器奇术!$A:$R,17,FALSE)="牵丝",VLOOKUP($E82,武器奇术!$A:$R,4,FALSE),VLOOKUP($E82,武器奇术!$A:$R,2,FALSE))*(1+CB82)*(1+CC82)*CD82</f>
        <v>0</v>
      </c>
      <c r="CL82" s="110">
        <f t="shared" si="25"/>
        <v>0.00928814000000003</v>
      </c>
      <c r="CM82" s="113">
        <f t="shared" si="26"/>
        <v>0</v>
      </c>
      <c r="CN82" s="108">
        <f>$B$13*IF($G$5="撼天",1.05,1)+IF(AND(VLOOKUP($E82,武器奇术!$A:$R,15,FALSE)="武器",VLOOKUP($E82,武器奇术!$A:$R,17,FALSE)="破竹"),$E$3,0)*(1+$E$15)</f>
        <v>452.55</v>
      </c>
      <c r="CO82" s="99">
        <f>(CN82+CP82)*IF(VLOOKUP($E82,武器奇术!$A:$Z,21,FALSE)=1,$G$15,0.5)</f>
        <v>679.35</v>
      </c>
      <c r="CP82" s="109">
        <f>MAX($C$13*IF($G$5="撼天",1.05,1)+IF(AND(VLOOKUP($E82,武器奇术!$A:$R,15,FALSE)="武器",VLOOKUP($E82,武器奇术!$A:$R,17,FALSE)="破竹"),$E$3*(1+$E$15),0),CN82)</f>
        <v>906.15</v>
      </c>
      <c r="CQ82" s="110">
        <f>IF(($D$13+IF(VLOOKUP($E82,武器奇术!$A:$R,17,FALSE)="破竹",$D$15,0)+IF(VLOOKUP($E82,武器奇术!$A:$R,18,FALSE)=1,4,0)+IF(VLOOKUP($E82,武器奇术!$A:$S,19,FALSE)=1,20,0)-VLOOKUP($F$7,目标属性!$A:$R,6,FALSE))&gt;0,($D$13+IF(VLOOKUP($E82,武器奇术!$A:$R,17,FALSE)="破竹",$D$15,0)+IF(VLOOKUP($E82,武器奇术!$A:$R,18,FALSE)=1,4,0)+IF(VLOOKUP($E82,武器奇术!$A:$S,19,FALSE)=1,20,0)-VLOOKUP($F$7,目标属性!$A:$R,6,FALSE))/200,($D$13+IF(VLOOKUP($E82,武器奇术!$A:$R,17,FALSE)="破竹",$D$15,0)+IF(VLOOKUP($E82,武器奇术!$A:$R,18,FALSE)=1,4,0)+IF(VLOOKUP($E82,武器奇术!$A:$S,19,FALSE)=1,20,0)-VLOOKUP($F$7,目标属性!$A:$R,6,FALSE))/100)</f>
        <v>0.145</v>
      </c>
      <c r="CR82" s="111">
        <f>$E$13+IF(VLOOKUP($E82,武器奇术!$A:$U,21,FALSE)=1,0,0.09)</f>
        <v>0.235</v>
      </c>
      <c r="CS82" s="109">
        <v>1</v>
      </c>
      <c r="CT82" s="112">
        <f>CN82*IF(VLOOKUP($E82,武器奇术!$A:$R,17,FALSE)="破竹",VLOOKUP($E82,武器奇术!$A:$R,4,FALSE),VLOOKUP($E82,武器奇术!$A:$R,2,FALSE))*(1+CQ82)*(1+CR82)*CS82</f>
        <v>2073.40443765</v>
      </c>
      <c r="CU82" s="110">
        <f>(1-IF(VLOOKUP($E82,武器奇术!$A:$T,20,FALSE)=1,1,$N82))*(1-$M82)</f>
        <v>0.01072666</v>
      </c>
      <c r="CV82" s="112">
        <f>CO82*IF(VLOOKUP($E82,武器奇术!$A:$R,17,FALSE)="破竹",VLOOKUP($E82,武器奇术!$A:$R,4,FALSE),VLOOKUP($E82,武器奇术!$A:$R,2,FALSE))*(1+CQ82)*(1+CR82)*CS82*(1+$E$16+VLOOKUP($E82,武器奇术!$A:$R,8,FALSE))</f>
        <v>6038.273276217</v>
      </c>
      <c r="CW82" s="110">
        <f t="shared" si="27"/>
        <v>0.8813852</v>
      </c>
      <c r="CX82" s="112">
        <f>CP82*IF(VLOOKUP($E82,武器奇术!$A:$R,17,FALSE)="破竹",VLOOKUP($E82,武器奇术!$A:$R,4,FALSE),VLOOKUP($E82,武器奇术!$A:$R,2,FALSE))*(1+CQ82)*(1+CR82)*CS82*(1+$E$17+VLOOKUP($E82,武器奇术!$A:$R,10,FALSE))</f>
        <v>5604.6864039075</v>
      </c>
      <c r="CY82" s="110">
        <f t="shared" si="28"/>
        <v>0.0986</v>
      </c>
      <c r="CZ82" s="112">
        <f>CO82*IF(VLOOKUP($E82,武器奇术!$A:$R,17,FALSE)="破竹",VLOOKUP($E82,武器奇术!$A:$R,4,FALSE),VLOOKUP($E82,武器奇术!$A:$R,2,FALSE))*(1+CQ82)*(1+CR82)*CS82</f>
        <v>3112.51199805</v>
      </c>
      <c r="DA82" s="110">
        <f t="shared" si="29"/>
        <v>0.00928814000000003</v>
      </c>
      <c r="DB82" s="113">
        <f t="shared" si="30"/>
        <v>5925.81693027318</v>
      </c>
      <c r="DC82" s="108">
        <f t="shared" si="31"/>
        <v>69.3</v>
      </c>
      <c r="DD82" s="99">
        <f>(DC82+DE82)*IF(VLOOKUP($E82,武器奇术!$A:$Z,21,FALSE)=1,$G$15,0.5)</f>
        <v>69.3</v>
      </c>
      <c r="DE82" s="109">
        <f t="shared" si="32"/>
        <v>69.3</v>
      </c>
      <c r="DF82" s="110">
        <f>IF(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R,18,FALSE)=1,4,0)+IF(VLOOKUP($E82,武器奇术!$A:$S,19,FALSE)=1,20,0)-VLOOKUP($F$7,目标属性!$A:$R,6,FALSE))/100)</f>
        <v>0.145</v>
      </c>
      <c r="DG82" s="111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U,21,FALSE)=1,0,0.09)</f>
        <v>0.235</v>
      </c>
      <c r="DH82" s="109">
        <v>1</v>
      </c>
      <c r="DI82" s="112">
        <f>DC82*IF(VLOOKUP($E82,武器奇术!$A:$R,17,FALSE)="破竹",VLOOKUP($E82,武器奇术!$A:$R,4,FALSE),VLOOKUP($E82,武器奇术!$A:$R,2,FALSE))*(1+DF82)*(1+DG82)*DH82</f>
        <v>317.5050879</v>
      </c>
      <c r="DJ82" s="110">
        <f>(1-IF(VLOOKUP($E82,武器奇术!$A:$T,20,FALSE)=1,1,$N82))*(1-$M82)</f>
        <v>0.01072666</v>
      </c>
      <c r="DK82" s="112">
        <f>DD82*IF(VLOOKUP($E82,武器奇术!$A:$R,17,FALSE)="破竹",VLOOKUP($E82,武器奇术!$A:$R,4,FALSE),VLOOKUP($E82,武器奇术!$A:$R,2,FALSE))*(1+DF82)*(1+DG82)*DH82*(1+$E$16+VLOOKUP($E82,武器奇术!$A:$R,8,FALSE))</f>
        <v>615.959870526</v>
      </c>
      <c r="DL82" s="110">
        <f t="shared" si="33"/>
        <v>0.8813852</v>
      </c>
      <c r="DM82" s="112">
        <f>DE82*IF(VLOOKUP($E82,武器奇术!$A:$R,17,FALSE)="破竹",VLOOKUP($E82,武器奇术!$A:$R,4,FALSE),VLOOKUP($E82,武器奇术!$A:$R,2,FALSE))*(1+DF82)*(1+DG82)*DH82*(1+$E$17+VLOOKUP($E82,武器奇术!$A:$R,10,FALSE))</f>
        <v>428.631868665</v>
      </c>
      <c r="DN82" s="110">
        <f t="shared" si="34"/>
        <v>0.0986</v>
      </c>
      <c r="DO82" s="112">
        <f>DD82*IF(VLOOKUP($E82,武器奇术!$A:$R,17,FALSE)="破竹",VLOOKUP($E82,武器奇术!$A:$R,4,FALSE),VLOOKUP($E82,武器奇术!$A:$R,2,FALSE))*(1+DF82)*(1+DG82)*DH82</f>
        <v>317.5050879</v>
      </c>
      <c r="DP82" s="110">
        <f t="shared" si="35"/>
        <v>0.00928814000000003</v>
      </c>
      <c r="DQ82" s="113">
        <f t="shared" si="36"/>
        <v>591.515816759203</v>
      </c>
    </row>
    <row r="83" customFormat="1" spans="1:121">
      <c r="A83" s="75"/>
      <c r="B83" s="75"/>
      <c r="C83" s="148"/>
      <c r="D83" s="75"/>
      <c r="E83" s="98" t="str">
        <f>期望!E83</f>
        <v>绳标Q</v>
      </c>
      <c r="F83" s="99">
        <f>期望!F83</f>
        <v>1</v>
      </c>
      <c r="G83" s="115"/>
      <c r="H83" s="149">
        <f>IF(VLOOKUP($E83,武器奇术!$A:$R,18,FALSE)="天工",AE83,(AE83+AT83+BI83+BX83+CM83+DB83+DQ83))*(1+J83)*F83*K83*(1+G83)*(1+$G$21*5%)</f>
        <v>34726.2868130471</v>
      </c>
      <c r="I83" s="101">
        <f t="shared" si="0"/>
        <v>0.00428740855670622</v>
      </c>
      <c r="J83" s="101">
        <f>$F$3+VLOOKUP($E83,武器奇术!$A:$R,12,FALSE)+VLOOKUP($E83,武器奇术!$A:$R,14,FALSE)*$G$3+$P83</f>
        <v>0.387</v>
      </c>
      <c r="K83" s="102">
        <f>VLOOKUP($E83,武器奇术!$A:$R,11,FALSE)</f>
        <v>1</v>
      </c>
      <c r="L83" s="117">
        <f>IF(VLOOKUP($E83,武器奇术!$A:$R,15,FALSE)="天工",0%,IF($C$17+VLOOKUP($E83,武器奇术!$A:$R,7,FALSE)&gt;80%,80%,$C$17+VLOOKUP($E83,武器奇术!$A:$R,7,FALSE))+IF($C$19&gt;20%,20%,$C$19))</f>
        <v>0.892</v>
      </c>
      <c r="M83" s="118">
        <f>IF(VLOOKUP($E83,武器奇术!$A:$R,15,FALSE)="天工",0%,IF($C$18+VLOOKUP($E83,武器奇术!$A:$R,9,FALSE)&gt;40%,40%,$C$18+VLOOKUP($E83,武器奇术!$A:$R,9,FALSE))+IF($C$20&gt;10%,10%,$C$20))</f>
        <v>0.0986</v>
      </c>
      <c r="N83" s="119">
        <f>IF(VLOOKUP($E83,武器奇术!$A:$R,15,FALSE)="天工",100%,MIN($C$16,1))</f>
        <v>0.9881</v>
      </c>
      <c r="O83" s="120" t="str">
        <f>VLOOKUP($E83,武器奇术!$A:$R,16,FALSE)</f>
        <v>绳标</v>
      </c>
      <c r="P83" s="121">
        <f t="shared" si="38"/>
        <v>0.084</v>
      </c>
      <c r="Q83" s="108">
        <f>$B$5*(1+VLOOKUP($E83,武器奇术!$A:$R,5,FALSE)+IF($G$5="飞隼",0.1,0)+IF($G$5="撼天",0.05,0))-$F$9+IF($I$5="√",160,0)</f>
        <v>1731.135</v>
      </c>
      <c r="R83" s="99">
        <f>IF(VLOOKUP($E83,武器奇术!$A:$Z,20,FALSE)=1,(S83-(Q83+S83)*0.5)*($G$15-0.5)*2+(Q83+S83)*0.5,(Q83+S83)*0.5)</f>
        <v>3256.775</v>
      </c>
      <c r="S83" s="109">
        <f>MAX($C$5,$B$5)*(1+VLOOKUP($E83,武器奇术!$A:$R,5,FALSE)+IF($G$5="飞隼",0.1,0)+IF($G$5="撼天",0.05,0))-$F$9+IF($I$5="√",320,0)</f>
        <v>4782.415</v>
      </c>
      <c r="T83" s="101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U83" s="111">
        <f>$E$5+IF(VLOOKUP($E83,武器奇术!$A:$U,21,FALSE)=1,0,0.09)</f>
        <v>0.115</v>
      </c>
      <c r="V83" s="109">
        <v>1</v>
      </c>
      <c r="W83" s="112">
        <f>Q83*VLOOKUP($E83,武器奇术!$A:$R,2,FALSE)*(1+T83)*(1+U83)*V83</f>
        <v>3975.72822791172</v>
      </c>
      <c r="X83" s="110">
        <f>(1-IF(VLOOKUP($E83,武器奇术!$A:$T,20,FALSE)=1,1,$N83))*(1-$M83)</f>
        <v>0.01072666</v>
      </c>
      <c r="Y83" s="112">
        <f>R83*VLOOKUP($E83,武器奇术!$A:$R,2,FALSE)*(1+T83)*(1+U83)*V83*(1+$E$16+VLOOKUP($E83,武器奇术!$A:$R,8,FALSE))</f>
        <v>12266.406589382</v>
      </c>
      <c r="Z83" s="110">
        <f t="shared" si="1"/>
        <v>0.8813852</v>
      </c>
      <c r="AA83" s="112">
        <f>S83*VLOOKUP($E83,武器奇术!$A:$R,2,FALSE)*(1+T83)*(1+U83)*V83*(1+$E$17+VLOOKUP($E83,武器奇术!$A:$R,10,FALSE))</f>
        <v>14827.4606675212</v>
      </c>
      <c r="AB83" s="110">
        <f t="shared" si="2"/>
        <v>0.0986</v>
      </c>
      <c r="AC83" s="112">
        <f>R83*VLOOKUP($E83,武器奇术!$A:$R,2,FALSE)*(1+T83)*(1+U83)*V83</f>
        <v>7479.5162130378</v>
      </c>
      <c r="AD83" s="110">
        <f t="shared" si="3"/>
        <v>0.00928814000000003</v>
      </c>
      <c r="AE83" s="113">
        <f t="shared" si="4"/>
        <v>12385.5339255535</v>
      </c>
      <c r="AF83" s="114">
        <f>VLOOKUP($E83,武器奇术!$A:$R,3,FALSE)*(1+IF(VLOOKUP($E83,武器奇术!$A:$R,15,FALSE)="武器",$E$15,0))</f>
        <v>595.4</v>
      </c>
      <c r="AG83" s="112">
        <f t="shared" si="5"/>
        <v>595.4</v>
      </c>
      <c r="AH83" s="112">
        <f>VLOOKUP($E83,武器奇术!$A:$R,3,FALSE)*(1+IF(VLOOKUP($E83,武器奇术!$A:$R,15,FALSE)="武器",$E$15,0))</f>
        <v>595.4</v>
      </c>
      <c r="AI83" s="101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0.242</v>
      </c>
      <c r="AJ83" s="111">
        <f>$E$5+IF(VLOOKUP($E83,武器奇术!$A:$U,21,FALSE)=1,0,0.09)</f>
        <v>0.115</v>
      </c>
      <c r="AK83" s="109">
        <v>1</v>
      </c>
      <c r="AL83" s="112">
        <f t="shared" si="6"/>
        <v>824.527782</v>
      </c>
      <c r="AM83" s="110">
        <f>(1-IF(VLOOKUP($E83,武器奇术!$A:$T,20,FALSE)=1,1,$N83))*(1-$M83)</f>
        <v>0.01072666</v>
      </c>
      <c r="AN83" s="112">
        <f>AG83*(1+AI83)*(1+AJ83)*AK83*(1+$E$16+VLOOKUP($E83,武器奇术!$A:$R,8,FALSE))</f>
        <v>1352.22556248</v>
      </c>
      <c r="AO83" s="110">
        <f t="shared" si="7"/>
        <v>0.8813852</v>
      </c>
      <c r="AP83" s="112">
        <f>AH83*(1+AI83)*(1+AJ83)*AK83*(1+$E$17+VLOOKUP($E83,武器奇术!$A:$R,10,FALSE))</f>
        <v>1113.1125057</v>
      </c>
      <c r="AQ83" s="110">
        <f t="shared" si="8"/>
        <v>0.0986</v>
      </c>
      <c r="AR83" s="112">
        <f t="shared" si="9"/>
        <v>824.527782</v>
      </c>
      <c r="AS83" s="110">
        <f t="shared" si="10"/>
        <v>0.00928814000000003</v>
      </c>
      <c r="AT83" s="113">
        <f t="shared" si="11"/>
        <v>1318.08724954474</v>
      </c>
      <c r="AU83" s="108">
        <f>$B$7*IF($G$5="撼天",1.05,1)+IF(AND(VLOOKUP($E83,武器奇术!$A:$R,15,FALSE)="武器",VLOOKUP($E83,武器奇术!$A:$R,17,FALSE)="鸣金"),$E$3,0)*(1+$E$15)</f>
        <v>0</v>
      </c>
      <c r="AV83" s="99">
        <f>(AU83+AW83)*IF(VLOOKUP($E83,武器奇术!$A:$Z,21,FALSE)=1,$G$15,0.5)</f>
        <v>0</v>
      </c>
      <c r="AW83" s="109">
        <f>MAX($C$7*IF($G$5="撼天",1.05,1)+IF(AND(VLOOKUP($E83,武器奇术!$A:$R,15,FALSE)="武器",VLOOKUP($E83,武器奇术!$A:$R,17,FALSE)="鸣金"),$E$3*(1+$E$15),0),AU83)</f>
        <v>0</v>
      </c>
      <c r="AX83" s="110">
        <f>IF(($D$7+IF(VLOOKUP($E83,武器奇术!$A:$R,17,FALSE)="鸣金",$D$15,0)+IF(VLOOKUP($E83,武器奇术!$A:$R,18,FALSE)=1,4,0)+IF(VLOOKUP($E83,武器奇术!$A:$S,19,FALSE)=1,20,0)-VLOOKUP($F$7,目标属性!$A:$R,6,FALSE))&gt;0,($D$7+IF(VLOOKUP($E83,武器奇术!$A:$R,17,FALSE)="鸣金",$D$15,0)+IF(VLOOKUP($E83,武器奇术!$A:$R,18,FALSE)=1,4,0)+IF(VLOOKUP($E83,武器奇术!$A:$S,19,FALSE)=1,20,0)-VLOOKUP($F$7,目标属性!$A:$R,6,FALSE))/200,($D$7+IF(VLOOKUP($E83,武器奇术!$A:$R,17,FALSE)="鸣金",$D$15,0)+IF(VLOOKUP($E83,武器奇术!$A:$R,18,FALSE)=1,4,0)+IF(VLOOKUP($E83,武器奇术!$A:$S,19,FALSE)=1,20,0)-VLOOKUP($F$7,目标属性!$A:$R,6,FALSE))/100)</f>
        <v>-0.24</v>
      </c>
      <c r="AY83" s="111">
        <f t="shared" si="12"/>
        <v>0</v>
      </c>
      <c r="AZ83" s="109">
        <v>1</v>
      </c>
      <c r="BA83" s="112">
        <f>AU83*IF(VLOOKUP($E83,武器奇术!$A:$R,17,FALSE)="鸣金",VLOOKUP($E83,武器奇术!$A:$R,4,FALSE),VLOOKUP($E83,武器奇术!$A:$R,2,FALSE))*(1+AX83)*(1+AY83)*AZ83</f>
        <v>0</v>
      </c>
      <c r="BB83" s="110">
        <f>(1-IF(VLOOKUP($E83,武器奇术!$A:$T,20,FALSE)=1,1,$N83))*(1-$M83)</f>
        <v>0.01072666</v>
      </c>
      <c r="BC83" s="112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10">
        <f t="shared" si="13"/>
        <v>0.8813852</v>
      </c>
      <c r="BE83" s="112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10">
        <f t="shared" si="14"/>
        <v>0.0986</v>
      </c>
      <c r="BG83" s="112">
        <f>AV83*IF(VLOOKUP($E83,武器奇术!$A:$R,17,FALSE)="鸣金",VLOOKUP($E83,武器奇术!$A:$R,4,FALSE),VLOOKUP($E83,武器奇术!$A:$R,2,FALSE))*(1+AX83)*(1+AY83)*AZ83</f>
        <v>0</v>
      </c>
      <c r="BH83" s="110">
        <f t="shared" si="15"/>
        <v>0.00928814000000003</v>
      </c>
      <c r="BI83" s="113">
        <f t="shared" si="16"/>
        <v>0</v>
      </c>
      <c r="BJ83" s="108">
        <f>$B$9*IF($G$5="撼天",1.05,1)+IF(AND(VLOOKUP($E83,武器奇术!$A:$R,15,FALSE)="武器",VLOOKUP($E83,武器奇术!$A:$R,17,FALSE)="裂石"),$E$3,0)*(1+$E$15)</f>
        <v>0</v>
      </c>
      <c r="BK83" s="99">
        <f>(BJ83+BL83)*IF(VLOOKUP($E83,武器奇术!$A:$Z,21,FALSE)=1,$G$15,0.5)</f>
        <v>0</v>
      </c>
      <c r="BL83" s="109">
        <f>MAX($C$9*IF($G$5="撼天",1.05,1)+IF(AND(VLOOKUP($E83,武器奇术!$A:$R,15,FALSE)="武器",VLOOKUP($E83,武器奇术!$A:$R,17,FALSE)="裂石"),$E$3*(1+$E$15),0),BJ83)</f>
        <v>0</v>
      </c>
      <c r="BM83" s="110">
        <f>IF(($D$9+IF(VLOOKUP($E83,武器奇术!$A:$R,17,FALSE)="裂石",$D$15,0)+IF(VLOOKUP($E83,武器奇术!$A:$R,18,FALSE)=1,4,0)+IF(VLOOKUP($E83,武器奇术!$A:$S,19,FALSE)=1,20,0)-VLOOKUP($F$7,目标属性!$A:$R,6,FALSE))&gt;0,($D$9+IF(VLOOKUP($E83,武器奇术!$A:$R,17,FALSE)="裂石",$D$15,0)+IF(VLOOKUP($E83,武器奇术!$A:$R,18,FALSE)=1,4,0)+IF(VLOOKUP($E83,武器奇术!$A:$S,19,FALSE)=1,20,0)-VLOOKUP($F$7,目标属性!$A:$R,6,FALSE))/200,($D$9+IF(VLOOKUP($E83,武器奇术!$A:$R,17,FALSE)="裂石",$D$15,0)+IF(VLOOKUP($E83,武器奇术!$A:$R,18,FALSE)=1,4,0)+IF(VLOOKUP($E83,武器奇术!$A:$S,19,FALSE)=1,20,0)-VLOOKUP($F$7,目标属性!$A:$R,6,FALSE))/100)</f>
        <v>-0.24</v>
      </c>
      <c r="BN83" s="111">
        <f t="shared" si="17"/>
        <v>0</v>
      </c>
      <c r="BO83" s="109">
        <v>1</v>
      </c>
      <c r="BP83" s="112">
        <f>BJ83*IF(VLOOKUP($E83,武器奇术!$A:$R,17,FALSE)="裂石",VLOOKUP($E83,武器奇术!$A:$R,4,FALSE),VLOOKUP($E83,武器奇术!$A:$R,2,FALSE))*(1+BM83)*(1+BN83)*BO83</f>
        <v>0</v>
      </c>
      <c r="BQ83" s="110">
        <f>(1-IF(VLOOKUP($E83,武器奇术!$A:$T,20,FALSE)=1,1,$N83))*(1-$M83)</f>
        <v>0.01072666</v>
      </c>
      <c r="BR83" s="112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10">
        <f t="shared" si="18"/>
        <v>0.8813852</v>
      </c>
      <c r="BT83" s="112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10">
        <f t="shared" si="19"/>
        <v>0.0986</v>
      </c>
      <c r="BV83" s="112">
        <f>BK83*IF(VLOOKUP($E83,武器奇术!$A:$R,17,FALSE)="裂石",VLOOKUP($E83,武器奇术!$A:$R,4,FALSE),VLOOKUP($E83,武器奇术!$A:$R,2,FALSE))*(1+BM83)*(1+BN83)*BO83</f>
        <v>0</v>
      </c>
      <c r="BW83" s="110">
        <f t="shared" si="20"/>
        <v>0.00928814000000003</v>
      </c>
      <c r="BX83" s="113">
        <f t="shared" si="21"/>
        <v>0</v>
      </c>
      <c r="BY83" s="108">
        <f>$B$11*IF($G$5="撼天",1.05,1)+IF(AND(VLOOKUP($E83,武器奇术!$A:$R,15,FALSE)="武器",VLOOKUP($E83,武器奇术!$A:$R,17,FALSE)="牵丝"),$E$3,0)*(1+$E$15)</f>
        <v>0</v>
      </c>
      <c r="BZ83" s="99">
        <f>(BY83+CA83)*IF(VLOOKUP($E83,武器奇术!$A:$Z,21,FALSE)=1,$G$15,0.5)</f>
        <v>0</v>
      </c>
      <c r="CA83" s="109">
        <f>MAX($C$11*IF($G$5="撼天",1.05,1)+IF(AND(VLOOKUP($E83,武器奇术!$A:$R,15,FALSE)="武器",VLOOKUP($E83,武器奇术!$A:$R,17,FALSE)="牵丝"),$E$3*(1+$E$15),0),BY83)</f>
        <v>0</v>
      </c>
      <c r="CB83" s="110">
        <f>IF(($D$11+IF(VLOOKUP($E83,武器奇术!$A:$R,17,FALSE)="牵丝",$D$15,0)+IF(VLOOKUP($E83,武器奇术!$A:$R,18,FALSE)=1,4,0)+IF(VLOOKUP($E83,武器奇术!$A:$S,19,FALSE)=1,20,0)-VLOOKUP($F$7,目标属性!$A:$R,6,FALSE))&gt;0,($D$11+IF(VLOOKUP($E83,武器奇术!$A:$R,17,FALSE)="牵丝",$D$15,0)+IF(VLOOKUP($E83,武器奇术!$A:$R,18,FALSE)=1,4,0)+IF(VLOOKUP($E83,武器奇术!$A:$S,19,FALSE)=1,20,0)-VLOOKUP($F$7,目标属性!$A:$R,6,FALSE))/200,($D$11+IF(VLOOKUP($E83,武器奇术!$A:$R,17,FALSE)="牵丝",$D$15,0)+IF(VLOOKUP($E83,武器奇术!$A:$R,18,FALSE)=1,4,0)+IF(VLOOKUP($E83,武器奇术!$A:$S,19,FALSE)=1,20,0)-VLOOKUP($F$7,目标属性!$A:$R,6,FALSE))/100)</f>
        <v>-0.24</v>
      </c>
      <c r="CC83" s="111">
        <f t="shared" si="22"/>
        <v>0</v>
      </c>
      <c r="CD83" s="109">
        <v>1</v>
      </c>
      <c r="CE83" s="112">
        <f>BY83*IF(VLOOKUP($E83,武器奇术!$A:$R,17,FALSE)="牵丝",VLOOKUP($E83,武器奇术!$A:$R,4,FALSE),VLOOKUP($E83,武器奇术!$A:$R,2,FALSE))*(1+CB83)*(1+CC83)*CD83</f>
        <v>0</v>
      </c>
      <c r="CF83" s="110">
        <f>(1-IF(VLOOKUP($E83,武器奇术!$A:$T,20,FALSE)=1,1,$N83))*(1-$M83)</f>
        <v>0.01072666</v>
      </c>
      <c r="CG83" s="112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110">
        <f t="shared" si="23"/>
        <v>0.8813852</v>
      </c>
      <c r="CI83" s="112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110">
        <f t="shared" si="24"/>
        <v>0.0986</v>
      </c>
      <c r="CK83" s="112">
        <f>BZ83*IF(VLOOKUP($E83,武器奇术!$A:$R,17,FALSE)="牵丝",VLOOKUP($E83,武器奇术!$A:$R,4,FALSE),VLOOKUP($E83,武器奇术!$A:$R,2,FALSE))*(1+CB83)*(1+CC83)*CD83</f>
        <v>0</v>
      </c>
      <c r="CL83" s="110">
        <f t="shared" si="25"/>
        <v>0.00928814000000003</v>
      </c>
      <c r="CM83" s="113">
        <f t="shared" si="26"/>
        <v>0</v>
      </c>
      <c r="CN83" s="108">
        <f>$B$13*IF($G$5="撼天",1.05,1)+IF(AND(VLOOKUP($E83,武器奇术!$A:$R,15,FALSE)="武器",VLOOKUP($E83,武器奇术!$A:$R,17,FALSE)="破竹"),$E$3,0)*(1+$E$15)</f>
        <v>648.46</v>
      </c>
      <c r="CO83" s="99">
        <f>(CN83+CP83)*IF(VLOOKUP($E83,武器奇术!$A:$Z,21,FALSE)=1,$G$15,0.5)</f>
        <v>875.26</v>
      </c>
      <c r="CP83" s="109">
        <f>MAX($C$13*IF($G$5="撼天",1.05,1)+IF(AND(VLOOKUP($E83,武器奇术!$A:$R,15,FALSE)="武器",VLOOKUP($E83,武器奇术!$A:$R,17,FALSE)="破竹"),$E$3*(1+$E$15),0),CN83)</f>
        <v>1102.06</v>
      </c>
      <c r="CQ83" s="110">
        <f>IF(($D$13+IF(VLOOKUP($E83,武器奇术!$A:$R,17,FALSE)="破竹",$D$15,0)+IF(VLOOKUP($E83,武器奇术!$A:$R,18,FALSE)=1,4,0)+IF(VLOOKUP($E83,武器奇术!$A:$S,19,FALSE)=1,20,0)-VLOOKUP($F$7,目标属性!$A:$R,6,FALSE))&gt;0,($D$13+IF(VLOOKUP($E83,武器奇术!$A:$R,17,FALSE)="破竹",$D$15,0)+IF(VLOOKUP($E83,武器奇术!$A:$R,18,FALSE)=1,4,0)+IF(VLOOKUP($E83,武器奇术!$A:$S,19,FALSE)=1,20,0)-VLOOKUP($F$7,目标属性!$A:$R,6,FALSE))/200,($D$13+IF(VLOOKUP($E83,武器奇术!$A:$R,17,FALSE)="破竹",$D$15,0)+IF(VLOOKUP($E83,武器奇术!$A:$R,18,FALSE)=1,4,0)+IF(VLOOKUP($E83,武器奇术!$A:$S,19,FALSE)=1,20,0)-VLOOKUP($F$7,目标属性!$A:$R,6,FALSE))/100)</f>
        <v>0.025</v>
      </c>
      <c r="CR83" s="111">
        <f>$E$13+IF(VLOOKUP($E83,武器奇术!$A:$U,21,FALSE)=1,0,0.09)</f>
        <v>0.235</v>
      </c>
      <c r="CS83" s="109">
        <v>1</v>
      </c>
      <c r="CT83" s="112">
        <f>CN83*IF(VLOOKUP($E83,武器奇术!$A:$R,17,FALSE)="破竹",VLOOKUP($E83,武器奇术!$A:$R,4,FALSE),VLOOKUP($E83,武器奇术!$A:$R,2,FALSE))*(1+CQ83)*(1+CR83)*CS83</f>
        <v>2041.994476899</v>
      </c>
      <c r="CU83" s="110">
        <f>(1-IF(VLOOKUP($E83,武器奇术!$A:$T,20,FALSE)=1,1,$N83))*(1-$M83)</f>
        <v>0.01072666</v>
      </c>
      <c r="CV83" s="112">
        <f>CO83*IF(VLOOKUP($E83,武器奇术!$A:$R,17,FALSE)="破竹",VLOOKUP($E83,武器奇术!$A:$R,4,FALSE),VLOOKUP($E83,武器奇术!$A:$R,2,FALSE))*(1+CQ83)*(1+CR83)*CS83*(1+$E$16+VLOOKUP($E83,武器奇术!$A:$R,8,FALSE))</f>
        <v>4520.14431236316</v>
      </c>
      <c r="CW83" s="110">
        <f t="shared" si="27"/>
        <v>0.8813852</v>
      </c>
      <c r="CX83" s="112">
        <f>CP83*IF(VLOOKUP($E83,武器奇术!$A:$R,17,FALSE)="破竹",VLOOKUP($E83,武器奇术!$A:$R,4,FALSE),VLOOKUP($E83,武器奇术!$A:$R,2,FALSE))*(1+CQ83)*(1+CR83)*CS83*(1+$E$17+VLOOKUP($E83,武器奇术!$A:$R,10,FALSE))</f>
        <v>4685.00845824765</v>
      </c>
      <c r="CY83" s="110">
        <f t="shared" si="28"/>
        <v>0.0986</v>
      </c>
      <c r="CZ83" s="112">
        <f>CO83*IF(VLOOKUP($E83,武器奇术!$A:$R,17,FALSE)="破竹",VLOOKUP($E83,武器奇术!$A:$R,4,FALSE),VLOOKUP($E83,武器奇术!$A:$R,2,FALSE))*(1+CQ83)*(1+CR83)*CS83</f>
        <v>2756.185556319</v>
      </c>
      <c r="DA83" s="110">
        <f t="shared" si="29"/>
        <v>0.00928814000000003</v>
      </c>
      <c r="DB83" s="113">
        <f t="shared" si="30"/>
        <v>4493.43375055293</v>
      </c>
      <c r="DC83" s="108">
        <f t="shared" si="31"/>
        <v>69.3</v>
      </c>
      <c r="DD83" s="99">
        <f>(DC83+DE83)*IF(VLOOKUP($E83,武器奇术!$A:$Z,21,FALSE)=1,$G$15,0.5)</f>
        <v>69.3</v>
      </c>
      <c r="DE83" s="109">
        <f t="shared" si="32"/>
        <v>69.3</v>
      </c>
      <c r="DF83" s="110">
        <f>IF(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R,18,FALSE)=1,4,0)+IF(VLOOKUP($E83,武器奇术!$A:$S,19,FALSE)=1,20,0)-VLOOKUP($F$7,目标属性!$A:$R,6,FALSE))/100)</f>
        <v>0.025</v>
      </c>
      <c r="DG83" s="111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U,21,FALSE)=1,0,0.09)</f>
        <v>0.235</v>
      </c>
      <c r="DH83" s="109">
        <v>1</v>
      </c>
      <c r="DI83" s="112">
        <f>DC83*IF(VLOOKUP($E83,武器奇术!$A:$R,17,FALSE)="破竹",VLOOKUP($E83,武器奇术!$A:$R,4,FALSE),VLOOKUP($E83,武器奇术!$A:$R,2,FALSE))*(1+DF83)*(1+DG83)*DH83</f>
        <v>218.225052045</v>
      </c>
      <c r="DJ83" s="110">
        <f>(1-IF(VLOOKUP($E83,武器奇术!$A:$T,20,FALSE)=1,1,$N83))*(1-$M83)</f>
        <v>0.01072666</v>
      </c>
      <c r="DK83" s="112">
        <f>DD83*IF(VLOOKUP($E83,武器奇术!$A:$R,17,FALSE)="破竹",VLOOKUP($E83,武器奇术!$A:$R,4,FALSE),VLOOKUP($E83,武器奇术!$A:$R,2,FALSE))*(1+DF83)*(1+DG83)*DH83*(1+$E$16+VLOOKUP($E83,武器奇术!$A:$R,8,FALSE))</f>
        <v>357.8890853538</v>
      </c>
      <c r="DL83" s="110">
        <f t="shared" si="33"/>
        <v>0.8813852</v>
      </c>
      <c r="DM83" s="112">
        <f>DE83*IF(VLOOKUP($E83,武器奇术!$A:$R,17,FALSE)="破竹",VLOOKUP($E83,武器奇术!$A:$R,4,FALSE),VLOOKUP($E83,武器奇术!$A:$R,2,FALSE))*(1+DF83)*(1+DG83)*DH83*(1+$E$17+VLOOKUP($E83,武器奇术!$A:$R,10,FALSE))</f>
        <v>294.60382026075</v>
      </c>
      <c r="DN83" s="110">
        <f t="shared" si="34"/>
        <v>0.0986</v>
      </c>
      <c r="DO83" s="112">
        <f>DD83*IF(VLOOKUP($E83,武器奇术!$A:$R,17,FALSE)="破竹",VLOOKUP($E83,武器奇术!$A:$R,4,FALSE),VLOOKUP($E83,武器奇术!$A:$R,2,FALSE))*(1+DF83)*(1+DG83)*DH83</f>
        <v>218.225052045</v>
      </c>
      <c r="DP83" s="110">
        <f t="shared" si="35"/>
        <v>0.00928814000000003</v>
      </c>
      <c r="DQ83" s="113">
        <f t="shared" si="36"/>
        <v>348.853810521756</v>
      </c>
    </row>
    <row r="84" customFormat="1" spans="1:121">
      <c r="A84" s="75"/>
      <c r="B84" s="75"/>
      <c r="C84" s="148"/>
      <c r="D84" s="75"/>
      <c r="E84" s="98" t="str">
        <f>期望!E84</f>
        <v>鹰隼追击(绳标)</v>
      </c>
      <c r="F84" s="99">
        <f>期望!F84</f>
        <v>1</v>
      </c>
      <c r="G84" s="115"/>
      <c r="H84" s="149">
        <f>IF(VLOOKUP($E84,武器奇术!$A:$R,18,FALSE)="天工",AE84,(AE84+AT84+BI84+BX84+CM84+DB84+DQ84))*(1+J84)*F84*K84*(1+G84)*(1+$G$21*5%)</f>
        <v>60878.7828133725</v>
      </c>
      <c r="I84" s="101">
        <f t="shared" si="0"/>
        <v>0.00751627191703801</v>
      </c>
      <c r="J84" s="101">
        <f>$F$3+VLOOKUP($E84,武器奇术!$A:$R,12,FALSE)+VLOOKUP($E84,武器奇术!$A:$R,14,FALSE)*$G$3+$P84</f>
        <v>0.687</v>
      </c>
      <c r="K84" s="102">
        <f>VLOOKUP($E84,武器奇术!$A:$R,11,FALSE)</f>
        <v>1</v>
      </c>
      <c r="L84" s="117">
        <f>IF(VLOOKUP($E84,武器奇术!$A:$R,15,FALSE)="天工",0%,IF($C$17+VLOOKUP($E84,武器奇术!$A:$R,7,FALSE)&gt;80%,80%,$C$17+VLOOKUP($E84,武器奇术!$A:$R,7,FALSE))+IF($C$19&gt;20%,20%,$C$19))</f>
        <v>0.892</v>
      </c>
      <c r="M84" s="118">
        <f>IF(VLOOKUP($E84,武器奇术!$A:$R,15,FALSE)="天工",0%,IF($C$18+VLOOKUP($E84,武器奇术!$A:$R,9,FALSE)&gt;40%,40%,$C$18+VLOOKUP($E84,武器奇术!$A:$R,9,FALSE))+IF($C$20&gt;10%,10%,$C$20))</f>
        <v>0.0986</v>
      </c>
      <c r="N84" s="119">
        <f>IF(VLOOKUP($E84,武器奇术!$A:$R,15,FALSE)="天工",100%,MIN($C$16,1))</f>
        <v>0.9881</v>
      </c>
      <c r="O84" s="120" t="str">
        <f>VLOOKUP($E84,武器奇术!$A:$R,16,FALSE)</f>
        <v>绳标</v>
      </c>
      <c r="P84" s="121">
        <f t="shared" si="38"/>
        <v>0.084</v>
      </c>
      <c r="Q84" s="108">
        <f>$B$5*(1+VLOOKUP($E84,武器奇术!$A:$R,5,FALSE)+IF($G$5="飞隼",0.1,0)+IF($G$5="撼天",0.05,0))-$F$9+IF($I$5="√",160,0)</f>
        <v>1731.135</v>
      </c>
      <c r="R84" s="99">
        <f>IF(VLOOKUP($E84,武器奇术!$A:$Z,20,FALSE)=1,(S84-(Q84+S84)*0.5)*($G$15-0.5)*2+(Q84+S84)*0.5,(Q84+S84)*0.5)</f>
        <v>3256.775</v>
      </c>
      <c r="S84" s="109">
        <f>MAX($C$5,$B$5)*(1+VLOOKUP($E84,武器奇术!$A:$R,5,FALSE)+IF($G$5="飞隼",0.1,0)+IF($G$5="撼天",0.05,0))-$F$9+IF($I$5="√",320,0)</f>
        <v>4782.415</v>
      </c>
      <c r="T84" s="101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U84" s="111">
        <f>$E$5+IF(VLOOKUP($E84,武器奇术!$A:$U,21,FALSE)=1,0,0.09)</f>
        <v>0.115</v>
      </c>
      <c r="V84" s="109">
        <v>1</v>
      </c>
      <c r="W84" s="112">
        <f>Q84*VLOOKUP($E84,武器奇术!$A:$R,2,FALSE)*(1+T84)*(1+U84)*V84</f>
        <v>5595.154346628</v>
      </c>
      <c r="X84" s="110">
        <f>(1-IF(VLOOKUP($E84,武器奇术!$A:$T,20,FALSE)=1,1,$N84))*(1-$M84)</f>
        <v>0.01072666</v>
      </c>
      <c r="Y84" s="112">
        <f>R84*VLOOKUP($E84,武器奇术!$A:$R,2,FALSE)*(1+T84)*(1+U84)*V84*(1+$E$16+VLOOKUP($E84,武器奇术!$A:$R,8,FALSE))</f>
        <v>20420.6997528468</v>
      </c>
      <c r="Z84" s="110">
        <f t="shared" si="1"/>
        <v>0.8813852</v>
      </c>
      <c r="AA84" s="112">
        <f>S84*VLOOKUP($E84,武器奇术!$A:$R,2,FALSE)*(1+T84)*(1+U84)*V84*(1+$E$17+VLOOKUP($E84,武器奇术!$A:$R,10,FALSE))</f>
        <v>20867.1031437462</v>
      </c>
      <c r="AB84" s="110">
        <f t="shared" si="2"/>
        <v>0.0986</v>
      </c>
      <c r="AC84" s="112">
        <f>R84*VLOOKUP($E84,武器奇术!$A:$R,2,FALSE)*(1+T84)*(1+U84)*V84</f>
        <v>10526.13389322</v>
      </c>
      <c r="AD84" s="110">
        <f t="shared" si="3"/>
        <v>0.00928814000000003</v>
      </c>
      <c r="AE84" s="113">
        <f t="shared" si="4"/>
        <v>20213.784429359</v>
      </c>
      <c r="AF84" s="114">
        <f>VLOOKUP($E84,武器奇术!$A:$R,3,FALSE)*(1+IF(VLOOKUP($E84,武器奇术!$A:$R,15,FALSE)="武器",$E$15,0))</f>
        <v>0</v>
      </c>
      <c r="AG84" s="112">
        <f t="shared" si="5"/>
        <v>0</v>
      </c>
      <c r="AH84" s="112">
        <f>VLOOKUP($E84,武器奇术!$A:$R,3,FALSE)*(1+IF(VLOOKUP($E84,武器奇术!$A:$R,15,FALSE)="武器",$E$15,0))</f>
        <v>0</v>
      </c>
      <c r="AI84" s="101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0.342</v>
      </c>
      <c r="AJ84" s="111">
        <f>$E$5+IF(VLOOKUP($E84,武器奇术!$A:$U,21,FALSE)=1,0,0.09)</f>
        <v>0.115</v>
      </c>
      <c r="AK84" s="109">
        <v>1</v>
      </c>
      <c r="AL84" s="112">
        <f t="shared" si="6"/>
        <v>0</v>
      </c>
      <c r="AM84" s="110">
        <f>(1-IF(VLOOKUP($E84,武器奇术!$A:$T,20,FALSE)=1,1,$N84))*(1-$M84)</f>
        <v>0.01072666</v>
      </c>
      <c r="AN84" s="112">
        <f>AG84*(1+AI84)*(1+AJ84)*AK84*(1+$E$16+VLOOKUP($E84,武器奇术!$A:$R,8,FALSE))</f>
        <v>0</v>
      </c>
      <c r="AO84" s="110">
        <f t="shared" si="7"/>
        <v>0.8813852</v>
      </c>
      <c r="AP84" s="112">
        <f>AH84*(1+AI84)*(1+AJ84)*AK84*(1+$E$17+VLOOKUP($E84,武器奇术!$A:$R,10,FALSE))</f>
        <v>0</v>
      </c>
      <c r="AQ84" s="110">
        <f t="shared" si="8"/>
        <v>0.0986</v>
      </c>
      <c r="AR84" s="112">
        <f t="shared" si="9"/>
        <v>0</v>
      </c>
      <c r="AS84" s="110">
        <f t="shared" si="10"/>
        <v>0.00928814000000003</v>
      </c>
      <c r="AT84" s="113">
        <f t="shared" si="11"/>
        <v>0</v>
      </c>
      <c r="AU84" s="108">
        <f>$B$7*IF($G$5="撼天",1.05,1)+IF(AND(VLOOKUP($E84,武器奇术!$A:$R,15,FALSE)="武器",VLOOKUP($E84,武器奇术!$A:$R,17,FALSE)="鸣金"),$E$3,0)*(1+$E$15)</f>
        <v>0</v>
      </c>
      <c r="AV84" s="99">
        <f>(AU84+AW84)*IF(VLOOKUP($E84,武器奇术!$A:$Z,21,FALSE)=1,$G$15,0.5)</f>
        <v>0</v>
      </c>
      <c r="AW84" s="109">
        <f>MAX($C$7*IF($G$5="撼天",1.05,1)+IF(AND(VLOOKUP($E84,武器奇术!$A:$R,15,FALSE)="武器",VLOOKUP($E84,武器奇术!$A:$R,17,FALSE)="鸣金"),$E$3*(1+$E$15),0),AU84)</f>
        <v>0</v>
      </c>
      <c r="AX84" s="110">
        <f>IF(($D$7+IF(VLOOKUP($E84,武器奇术!$A:$R,17,FALSE)="鸣金",$D$15,0)+IF(VLOOKUP($E84,武器奇术!$A:$R,18,FALSE)=1,4,0)+IF(VLOOKUP($E84,武器奇术!$A:$S,19,FALSE)=1,20,0)-VLOOKUP($F$7,目标属性!$A:$R,6,FALSE))&gt;0,($D$7+IF(VLOOKUP($E84,武器奇术!$A:$R,17,FALSE)="鸣金",$D$15,0)+IF(VLOOKUP($E84,武器奇术!$A:$R,18,FALSE)=1,4,0)+IF(VLOOKUP($E84,武器奇术!$A:$S,19,FALSE)=1,20,0)-VLOOKUP($F$7,目标属性!$A:$R,6,FALSE))/200,($D$7+IF(VLOOKUP($E84,武器奇术!$A:$R,17,FALSE)="鸣金",$D$15,0)+IF(VLOOKUP($E84,武器奇术!$A:$R,18,FALSE)=1,4,0)+IF(VLOOKUP($E84,武器奇术!$A:$S,19,FALSE)=1,20,0)-VLOOKUP($F$7,目标属性!$A:$R,6,FALSE))/100)</f>
        <v>0</v>
      </c>
      <c r="AY84" s="111">
        <f t="shared" si="12"/>
        <v>0</v>
      </c>
      <c r="AZ84" s="109">
        <v>1</v>
      </c>
      <c r="BA84" s="112">
        <f>AU84*IF(VLOOKUP($E84,武器奇术!$A:$R,17,FALSE)="鸣金",VLOOKUP($E84,武器奇术!$A:$R,4,FALSE),VLOOKUP($E84,武器奇术!$A:$R,2,FALSE))*(1+AX84)*(1+AY84)*AZ84</f>
        <v>0</v>
      </c>
      <c r="BB84" s="110">
        <f>(1-IF(VLOOKUP($E84,武器奇术!$A:$T,20,FALSE)=1,1,$N84))*(1-$M84)</f>
        <v>0.01072666</v>
      </c>
      <c r="BC84" s="112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10">
        <f t="shared" si="13"/>
        <v>0.8813852</v>
      </c>
      <c r="BE84" s="112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10">
        <f t="shared" si="14"/>
        <v>0.0986</v>
      </c>
      <c r="BG84" s="112">
        <f>AV84*IF(VLOOKUP($E84,武器奇术!$A:$R,17,FALSE)="鸣金",VLOOKUP($E84,武器奇术!$A:$R,4,FALSE),VLOOKUP($E84,武器奇术!$A:$R,2,FALSE))*(1+AX84)*(1+AY84)*AZ84</f>
        <v>0</v>
      </c>
      <c r="BH84" s="110">
        <f t="shared" si="15"/>
        <v>0.00928814000000003</v>
      </c>
      <c r="BI84" s="113">
        <f t="shared" si="16"/>
        <v>0</v>
      </c>
      <c r="BJ84" s="108">
        <f>$B$9*IF($G$5="撼天",1.05,1)+IF(AND(VLOOKUP($E84,武器奇术!$A:$R,15,FALSE)="武器",VLOOKUP($E84,武器奇术!$A:$R,17,FALSE)="裂石"),$E$3,0)*(1+$E$15)</f>
        <v>0</v>
      </c>
      <c r="BK84" s="99">
        <f>(BJ84+BL84)*IF(VLOOKUP($E84,武器奇术!$A:$Z,21,FALSE)=1,$G$15,0.5)</f>
        <v>0</v>
      </c>
      <c r="BL84" s="109">
        <f>MAX($C$9*IF($G$5="撼天",1.05,1)+IF(AND(VLOOKUP($E84,武器奇术!$A:$R,15,FALSE)="武器",VLOOKUP($E84,武器奇术!$A:$R,17,FALSE)="裂石"),$E$3*(1+$E$15),0),BJ84)</f>
        <v>0</v>
      </c>
      <c r="BM84" s="110">
        <f>IF(($D$9+IF(VLOOKUP($E84,武器奇术!$A:$R,17,FALSE)="裂石",$D$15,0)+IF(VLOOKUP($E84,武器奇术!$A:$R,18,FALSE)=1,4,0)+IF(VLOOKUP($E84,武器奇术!$A:$S,19,FALSE)=1,20,0)-VLOOKUP($F$7,目标属性!$A:$R,6,FALSE))&gt;0,($D$9+IF(VLOOKUP($E84,武器奇术!$A:$R,17,FALSE)="裂石",$D$15,0)+IF(VLOOKUP($E84,武器奇术!$A:$R,18,FALSE)=1,4,0)+IF(VLOOKUP($E84,武器奇术!$A:$S,19,FALSE)=1,20,0)-VLOOKUP($F$7,目标属性!$A:$R,6,FALSE))/200,($D$9+IF(VLOOKUP($E84,武器奇术!$A:$R,17,FALSE)="裂石",$D$15,0)+IF(VLOOKUP($E84,武器奇术!$A:$R,18,FALSE)=1,4,0)+IF(VLOOKUP($E84,武器奇术!$A:$S,19,FALSE)=1,20,0)-VLOOKUP($F$7,目标属性!$A:$R,6,FALSE))/100)</f>
        <v>0</v>
      </c>
      <c r="BN84" s="111">
        <f t="shared" si="17"/>
        <v>0</v>
      </c>
      <c r="BO84" s="109">
        <v>1</v>
      </c>
      <c r="BP84" s="112">
        <f>BJ84*IF(VLOOKUP($E84,武器奇术!$A:$R,17,FALSE)="裂石",VLOOKUP($E84,武器奇术!$A:$R,4,FALSE),VLOOKUP($E84,武器奇术!$A:$R,2,FALSE))*(1+BM84)*(1+BN84)*BO84</f>
        <v>0</v>
      </c>
      <c r="BQ84" s="110">
        <f>(1-IF(VLOOKUP($E84,武器奇术!$A:$T,20,FALSE)=1,1,$N84))*(1-$M84)</f>
        <v>0.01072666</v>
      </c>
      <c r="BR84" s="112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10">
        <f t="shared" si="18"/>
        <v>0.8813852</v>
      </c>
      <c r="BT84" s="112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10">
        <f t="shared" si="19"/>
        <v>0.0986</v>
      </c>
      <c r="BV84" s="112">
        <f>BK84*IF(VLOOKUP($E84,武器奇术!$A:$R,17,FALSE)="裂石",VLOOKUP($E84,武器奇术!$A:$R,4,FALSE),VLOOKUP($E84,武器奇术!$A:$R,2,FALSE))*(1+BM84)*(1+BN84)*BO84</f>
        <v>0</v>
      </c>
      <c r="BW84" s="110">
        <f t="shared" si="20"/>
        <v>0.00928814000000003</v>
      </c>
      <c r="BX84" s="113">
        <f t="shared" si="21"/>
        <v>0</v>
      </c>
      <c r="BY84" s="108">
        <f>$B$11*IF($G$5="撼天",1.05,1)+IF(AND(VLOOKUP($E84,武器奇术!$A:$R,15,FALSE)="武器",VLOOKUP($E84,武器奇术!$A:$R,17,FALSE)="牵丝"),$E$3,0)*(1+$E$15)</f>
        <v>0</v>
      </c>
      <c r="BZ84" s="99">
        <f>(BY84+CA84)*IF(VLOOKUP($E84,武器奇术!$A:$Z,21,FALSE)=1,$G$15,0.5)</f>
        <v>0</v>
      </c>
      <c r="CA84" s="109">
        <f>MAX($C$11*IF($G$5="撼天",1.05,1)+IF(AND(VLOOKUP($E84,武器奇术!$A:$R,15,FALSE)="武器",VLOOKUP($E84,武器奇术!$A:$R,17,FALSE)="牵丝"),$E$3*(1+$E$15),0),BY84)</f>
        <v>0</v>
      </c>
      <c r="CB84" s="110">
        <f>IF(($D$11+IF(VLOOKUP($E84,武器奇术!$A:$R,17,FALSE)="牵丝",$D$15,0)+IF(VLOOKUP($E84,武器奇术!$A:$R,18,FALSE)=1,4,0)+IF(VLOOKUP($E84,武器奇术!$A:$S,19,FALSE)=1,20,0)-VLOOKUP($F$7,目标属性!$A:$R,6,FALSE))&gt;0,($D$11+IF(VLOOKUP($E84,武器奇术!$A:$R,17,FALSE)="牵丝",$D$15,0)+IF(VLOOKUP($E84,武器奇术!$A:$R,18,FALSE)=1,4,0)+IF(VLOOKUP($E84,武器奇术!$A:$S,19,FALSE)=1,20,0)-VLOOKUP($F$7,目标属性!$A:$R,6,FALSE))/200,($D$11+IF(VLOOKUP($E84,武器奇术!$A:$R,17,FALSE)="牵丝",$D$15,0)+IF(VLOOKUP($E84,武器奇术!$A:$R,18,FALSE)=1,4,0)+IF(VLOOKUP($E84,武器奇术!$A:$S,19,FALSE)=1,20,0)-VLOOKUP($F$7,目标属性!$A:$R,6,FALSE))/100)</f>
        <v>0</v>
      </c>
      <c r="CC84" s="111">
        <f t="shared" si="22"/>
        <v>0</v>
      </c>
      <c r="CD84" s="109">
        <v>1</v>
      </c>
      <c r="CE84" s="112">
        <f>BY84*IF(VLOOKUP($E84,武器奇术!$A:$R,17,FALSE)="牵丝",VLOOKUP($E84,武器奇术!$A:$R,4,FALSE),VLOOKUP($E84,武器奇术!$A:$R,2,FALSE))*(1+CB84)*(1+CC84)*CD84</f>
        <v>0</v>
      </c>
      <c r="CF84" s="110">
        <f>(1-IF(VLOOKUP($E84,武器奇术!$A:$T,20,FALSE)=1,1,$N84))*(1-$M84)</f>
        <v>0.01072666</v>
      </c>
      <c r="CG84" s="112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110">
        <f t="shared" si="23"/>
        <v>0.8813852</v>
      </c>
      <c r="CI84" s="112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110">
        <f t="shared" si="24"/>
        <v>0.0986</v>
      </c>
      <c r="CK84" s="112">
        <f>BZ84*IF(VLOOKUP($E84,武器奇术!$A:$R,17,FALSE)="牵丝",VLOOKUP($E84,武器奇术!$A:$R,4,FALSE),VLOOKUP($E84,武器奇术!$A:$R,2,FALSE))*(1+CB84)*(1+CC84)*CD84</f>
        <v>0</v>
      </c>
      <c r="CL84" s="110">
        <f t="shared" si="25"/>
        <v>0.00928814000000003</v>
      </c>
      <c r="CM84" s="113">
        <f t="shared" si="26"/>
        <v>0</v>
      </c>
      <c r="CN84" s="108">
        <f>$B$13*IF($G$5="撼天",1.05,1)+IF(AND(VLOOKUP($E84,武器奇术!$A:$R,15,FALSE)="武器",VLOOKUP($E84,武器奇术!$A:$R,17,FALSE)="破竹"),$E$3,0)*(1+$E$15)</f>
        <v>452.55</v>
      </c>
      <c r="CO84" s="99">
        <f>(CN84+CP84)*IF(VLOOKUP($E84,武器奇术!$A:$Z,21,FALSE)=1,$G$15,0.5)</f>
        <v>679.35</v>
      </c>
      <c r="CP84" s="109">
        <f>MAX($C$13*IF($G$5="撼天",1.05,1)+IF(AND(VLOOKUP($E84,武器奇术!$A:$R,15,FALSE)="武器",VLOOKUP($E84,武器奇术!$A:$R,17,FALSE)="破竹"),$E$3*(1+$E$15),0),CN84)</f>
        <v>906.15</v>
      </c>
      <c r="CQ84" s="110">
        <f>IF(($D$13+IF(VLOOKUP($E84,武器奇术!$A:$R,17,FALSE)="破竹",$D$15,0)+IF(VLOOKUP($E84,武器奇术!$A:$R,18,FALSE)=1,4,0)+IF(VLOOKUP($E84,武器奇术!$A:$S,19,FALSE)=1,20,0)-VLOOKUP($F$7,目标属性!$A:$R,6,FALSE))&gt;0,($D$13+IF(VLOOKUP($E84,武器奇术!$A:$R,17,FALSE)="破竹",$D$15,0)+IF(VLOOKUP($E84,武器奇术!$A:$R,18,FALSE)=1,4,0)+IF(VLOOKUP($E84,武器奇术!$A:$S,19,FALSE)=1,20,0)-VLOOKUP($F$7,目标属性!$A:$R,6,FALSE))/200,($D$13+IF(VLOOKUP($E84,武器奇术!$A:$R,17,FALSE)="破竹",$D$15,0)+IF(VLOOKUP($E84,武器奇术!$A:$R,18,FALSE)=1,4,0)+IF(VLOOKUP($E84,武器奇术!$A:$S,19,FALSE)=1,20,0)-VLOOKUP($F$7,目标属性!$A:$R,6,FALSE))/100)</f>
        <v>0.145</v>
      </c>
      <c r="CR84" s="111">
        <f>$E$13+IF(VLOOKUP($E84,武器奇术!$A:$U,21,FALSE)=1,0,0.09)</f>
        <v>0.235</v>
      </c>
      <c r="CS84" s="109">
        <v>1</v>
      </c>
      <c r="CT84" s="112">
        <f>CN84*IF(VLOOKUP($E84,武器奇术!$A:$R,17,FALSE)="破竹",VLOOKUP($E84,武器奇术!$A:$R,4,FALSE),VLOOKUP($E84,武器奇术!$A:$R,2,FALSE))*(1+CQ84)*(1+CR84)*CS84</f>
        <v>2073.40443765</v>
      </c>
      <c r="CU84" s="110">
        <f>(1-IF(VLOOKUP($E84,武器奇术!$A:$T,20,FALSE)=1,1,$N84))*(1-$M84)</f>
        <v>0.01072666</v>
      </c>
      <c r="CV84" s="112">
        <f>CO84*IF(VLOOKUP($E84,武器奇术!$A:$R,17,FALSE)="破竹",VLOOKUP($E84,武器奇术!$A:$R,4,FALSE),VLOOKUP($E84,武器奇术!$A:$R,2,FALSE))*(1+CQ84)*(1+CR84)*CS84*(1+$E$16+VLOOKUP($E84,武器奇术!$A:$R,8,FALSE))</f>
        <v>6038.273276217</v>
      </c>
      <c r="CW84" s="110">
        <f t="shared" si="27"/>
        <v>0.8813852</v>
      </c>
      <c r="CX84" s="112">
        <f>CP84*IF(VLOOKUP($E84,武器奇术!$A:$R,17,FALSE)="破竹",VLOOKUP($E84,武器奇术!$A:$R,4,FALSE),VLOOKUP($E84,武器奇术!$A:$R,2,FALSE))*(1+CQ84)*(1+CR84)*CS84*(1+$E$17+VLOOKUP($E84,武器奇术!$A:$R,10,FALSE))</f>
        <v>5604.6864039075</v>
      </c>
      <c r="CY84" s="110">
        <f t="shared" si="28"/>
        <v>0.0986</v>
      </c>
      <c r="CZ84" s="112">
        <f>CO84*IF(VLOOKUP($E84,武器奇术!$A:$R,17,FALSE)="破竹",VLOOKUP($E84,武器奇术!$A:$R,4,FALSE),VLOOKUP($E84,武器奇术!$A:$R,2,FALSE))*(1+CQ84)*(1+CR84)*CS84</f>
        <v>3112.51199805</v>
      </c>
      <c r="DA84" s="110">
        <f t="shared" si="29"/>
        <v>0.00928814000000003</v>
      </c>
      <c r="DB84" s="113">
        <f t="shared" si="30"/>
        <v>5925.81693027318</v>
      </c>
      <c r="DC84" s="108">
        <f t="shared" si="31"/>
        <v>69.3</v>
      </c>
      <c r="DD84" s="99">
        <f>(DC84+DE84)*IF(VLOOKUP($E84,武器奇术!$A:$Z,21,FALSE)=1,$G$15,0.5)</f>
        <v>69.3</v>
      </c>
      <c r="DE84" s="109">
        <f t="shared" si="32"/>
        <v>69.3</v>
      </c>
      <c r="DF84" s="110">
        <f>IF(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R,18,FALSE)=1,4,0)+IF(VLOOKUP($E84,武器奇术!$A:$S,19,FALSE)=1,20,0)-VLOOKUP($F$7,目标属性!$A:$R,6,FALSE))/100)</f>
        <v>0.145</v>
      </c>
      <c r="DG84" s="111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U,21,FALSE)=1,0,0.09)</f>
        <v>0.235</v>
      </c>
      <c r="DH84" s="109">
        <v>1</v>
      </c>
      <c r="DI84" s="112">
        <f>DC84*IF(VLOOKUP($E84,武器奇术!$A:$R,17,FALSE)="破竹",VLOOKUP($E84,武器奇术!$A:$R,4,FALSE),VLOOKUP($E84,武器奇术!$A:$R,2,FALSE))*(1+DF84)*(1+DG84)*DH84</f>
        <v>317.5050879</v>
      </c>
      <c r="DJ84" s="110">
        <f>(1-IF(VLOOKUP($E84,武器奇术!$A:$T,20,FALSE)=1,1,$N84))*(1-$M84)</f>
        <v>0.01072666</v>
      </c>
      <c r="DK84" s="112">
        <f>DD84*IF(VLOOKUP($E84,武器奇术!$A:$R,17,FALSE)="破竹",VLOOKUP($E84,武器奇术!$A:$R,4,FALSE),VLOOKUP($E84,武器奇术!$A:$R,2,FALSE))*(1+DF84)*(1+DG84)*DH84*(1+$E$16+VLOOKUP($E84,武器奇术!$A:$R,8,FALSE))</f>
        <v>615.959870526</v>
      </c>
      <c r="DL84" s="110">
        <f t="shared" si="33"/>
        <v>0.8813852</v>
      </c>
      <c r="DM84" s="112">
        <f>DE84*IF(VLOOKUP($E84,武器奇术!$A:$R,17,FALSE)="破竹",VLOOKUP($E84,武器奇术!$A:$R,4,FALSE),VLOOKUP($E84,武器奇术!$A:$R,2,FALSE))*(1+DF84)*(1+DG84)*DH84*(1+$E$17+VLOOKUP($E84,武器奇术!$A:$R,10,FALSE))</f>
        <v>428.631868665</v>
      </c>
      <c r="DN84" s="110">
        <f t="shared" si="34"/>
        <v>0.0986</v>
      </c>
      <c r="DO84" s="112">
        <f>DD84*IF(VLOOKUP($E84,武器奇术!$A:$R,17,FALSE)="破竹",VLOOKUP($E84,武器奇术!$A:$R,4,FALSE),VLOOKUP($E84,武器奇术!$A:$R,2,FALSE))*(1+DF84)*(1+DG84)*DH84</f>
        <v>317.5050879</v>
      </c>
      <c r="DP84" s="110">
        <f t="shared" si="35"/>
        <v>0.00928814000000003</v>
      </c>
      <c r="DQ84" s="113">
        <f t="shared" si="36"/>
        <v>591.515816759203</v>
      </c>
    </row>
    <row r="85" customFormat="1" spans="1:121">
      <c r="A85" s="75"/>
      <c r="B85" s="75"/>
      <c r="C85" s="148"/>
      <c r="D85" s="75"/>
      <c r="E85" s="98" t="str">
        <f>期望!E85</f>
        <v>绳标～</v>
      </c>
      <c r="F85" s="99">
        <f>期望!F85</f>
        <v>1</v>
      </c>
      <c r="G85" s="115"/>
      <c r="H85" s="149">
        <f>IF(VLOOKUP($E85,武器奇术!$A:$R,18,FALSE)="天工",AE85,(AE85+AT85+BI85+BX85+CM85+DB85+DQ85))*(1+J85)*F85*K85*(1+G85)*(1+$G$21*5%)</f>
        <v>26190.1922432254</v>
      </c>
      <c r="I85" s="101">
        <f t="shared" si="0"/>
        <v>0.00323351744832095</v>
      </c>
      <c r="J85" s="101">
        <f>$F$3+VLOOKUP($E85,武器奇术!$A:$R,12,FALSE)+VLOOKUP($E85,武器奇术!$A:$R,14,FALSE)*$G$3+$P85</f>
        <v>0.387</v>
      </c>
      <c r="K85" s="102">
        <f>VLOOKUP($E85,武器奇术!$A:$R,11,FALSE)</f>
        <v>1</v>
      </c>
      <c r="L85" s="117">
        <f>IF(VLOOKUP($E85,武器奇术!$A:$R,15,FALSE)="天工",0%,IF($C$17+VLOOKUP($E85,武器奇术!$A:$R,7,FALSE)&gt;80%,80%,$C$17+VLOOKUP($E85,武器奇术!$A:$R,7,FALSE))+IF($C$19&gt;20%,20%,$C$19))</f>
        <v>0.892</v>
      </c>
      <c r="M85" s="118">
        <f>IF(VLOOKUP($E85,武器奇术!$A:$R,15,FALSE)="天工",0%,IF($C$18+VLOOKUP($E85,武器奇术!$A:$R,9,FALSE)&gt;40%,40%,$C$18+VLOOKUP($E85,武器奇术!$A:$R,9,FALSE))+IF($C$20&gt;10%,10%,$C$20))</f>
        <v>0.0986</v>
      </c>
      <c r="N85" s="119">
        <f>IF(VLOOKUP($E85,武器奇术!$A:$R,15,FALSE)="天工",100%,MIN($C$16,1))</f>
        <v>0.9881</v>
      </c>
      <c r="O85" s="120" t="str">
        <f>VLOOKUP($E85,武器奇术!$A:$R,16,FALSE)</f>
        <v>绳标</v>
      </c>
      <c r="P85" s="121">
        <f t="shared" si="38"/>
        <v>0.084</v>
      </c>
      <c r="Q85" s="108">
        <f>$B$5*(1+VLOOKUP($E85,武器奇术!$A:$R,5,FALSE)+IF($G$5="飞隼",0.1,0)+IF($G$5="撼天",0.05,0))-$F$9+IF($I$5="√",160,0)</f>
        <v>1731.135</v>
      </c>
      <c r="R85" s="99">
        <f>IF(VLOOKUP($E85,武器奇术!$A:$Z,20,FALSE)=1,(S85-(Q85+S85)*0.5)*($G$15-0.5)*2+(Q85+S85)*0.5,(Q85+S85)*0.5)</f>
        <v>3256.775</v>
      </c>
      <c r="S85" s="109">
        <f>MAX($C$5,$B$5)*(1+VLOOKUP($E85,武器奇术!$A:$R,5,FALSE)+IF($G$5="飞隼",0.1,0)+IF($G$5="撼天",0.05,0))-$F$9+IF($I$5="√",320,0)</f>
        <v>4782.415</v>
      </c>
      <c r="T85" s="101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U85" s="111">
        <f>$E$5+IF(VLOOKUP($E85,武器奇术!$A:$U,21,FALSE)=1,0,0.09)</f>
        <v>0.115</v>
      </c>
      <c r="V85" s="109">
        <v>1</v>
      </c>
      <c r="W85" s="112">
        <f>Q85*VLOOKUP($E85,武器奇术!$A:$R,2,FALSE)*(1+T85)*(1+U85)*V85</f>
        <v>2997.37880086712</v>
      </c>
      <c r="X85" s="110">
        <f>(1-IF(VLOOKUP($E85,武器奇术!$A:$T,20,FALSE)=1,1,$N85))*(1-$M85)</f>
        <v>0.01072666</v>
      </c>
      <c r="Y85" s="112">
        <f>R85*VLOOKUP($E85,武器奇术!$A:$R,2,FALSE)*(1+T85)*(1+U85)*V85*(1+$E$16+VLOOKUP($E85,武器奇术!$A:$R,8,FALSE))</f>
        <v>9247.88239188634</v>
      </c>
      <c r="Z85" s="110">
        <f t="shared" si="1"/>
        <v>0.8813852</v>
      </c>
      <c r="AA85" s="112">
        <f>S85*VLOOKUP($E85,武器奇术!$A:$R,2,FALSE)*(1+T85)*(1+U85)*V85*(1+$E$17+VLOOKUP($E85,武器奇术!$A:$R,10,FALSE))</f>
        <v>11178.710849374</v>
      </c>
      <c r="AB85" s="110">
        <f t="shared" si="2"/>
        <v>0.0986</v>
      </c>
      <c r="AC85" s="112">
        <f>R85*VLOOKUP($E85,武器奇术!$A:$R,2,FALSE)*(1+T85)*(1+U85)*V85</f>
        <v>5638.95267797948</v>
      </c>
      <c r="AD85" s="110">
        <f t="shared" si="3"/>
        <v>0.00928814000000003</v>
      </c>
      <c r="AE85" s="113">
        <f t="shared" si="4"/>
        <v>9337.69480651205</v>
      </c>
      <c r="AF85" s="114">
        <f>VLOOKUP($E85,武器奇术!$A:$R,3,FALSE)*(1+IF(VLOOKUP($E85,武器奇术!$A:$R,15,FALSE)="武器",$E$15,0))</f>
        <v>451.1</v>
      </c>
      <c r="AG85" s="112">
        <f t="shared" si="5"/>
        <v>451.1</v>
      </c>
      <c r="AH85" s="112">
        <f>VLOOKUP($E85,武器奇术!$A:$R,3,FALSE)*(1+IF(VLOOKUP($E85,武器奇术!$A:$R,15,FALSE)="武器",$E$15,0))</f>
        <v>451.1</v>
      </c>
      <c r="AI85" s="101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0.242</v>
      </c>
      <c r="AJ85" s="111">
        <f>$E$5+IF(VLOOKUP($E85,武器奇术!$A:$U,21,FALSE)=1,0,0.09)</f>
        <v>0.115</v>
      </c>
      <c r="AK85" s="109">
        <v>1</v>
      </c>
      <c r="AL85" s="112">
        <f t="shared" si="6"/>
        <v>624.696813</v>
      </c>
      <c r="AM85" s="110">
        <f>(1-IF(VLOOKUP($E85,武器奇术!$A:$T,20,FALSE)=1,1,$N85))*(1-$M85)</f>
        <v>0.01072666</v>
      </c>
      <c r="AN85" s="112">
        <f>AG85*(1+AI85)*(1+AJ85)*AK85*(1+$E$16+VLOOKUP($E85,武器奇术!$A:$R,8,FALSE))</f>
        <v>1024.50277332</v>
      </c>
      <c r="AO85" s="110">
        <f t="shared" si="7"/>
        <v>0.8813852</v>
      </c>
      <c r="AP85" s="112">
        <f>AH85*(1+AI85)*(1+AJ85)*AK85*(1+$E$17+VLOOKUP($E85,武器奇术!$A:$R,10,FALSE))</f>
        <v>843.34069755</v>
      </c>
      <c r="AQ85" s="110">
        <f t="shared" si="8"/>
        <v>0.0986</v>
      </c>
      <c r="AR85" s="112">
        <f t="shared" si="9"/>
        <v>624.696813</v>
      </c>
      <c r="AS85" s="110">
        <f t="shared" si="10"/>
        <v>0.00928814000000003</v>
      </c>
      <c r="AT85" s="113">
        <f t="shared" si="11"/>
        <v>998.638156314466</v>
      </c>
      <c r="AU85" s="108">
        <f>$B$7*IF($G$5="撼天",1.05,1)+IF(AND(VLOOKUP($E85,武器奇术!$A:$R,15,FALSE)="武器",VLOOKUP($E85,武器奇术!$A:$R,17,FALSE)="鸣金"),$E$3,0)*(1+$E$15)</f>
        <v>0</v>
      </c>
      <c r="AV85" s="99">
        <f>(AU85+AW85)*IF(VLOOKUP($E85,武器奇术!$A:$Z,21,FALSE)=1,$G$15,0.5)</f>
        <v>0</v>
      </c>
      <c r="AW85" s="109">
        <f>MAX($C$7*IF($G$5="撼天",1.05,1)+IF(AND(VLOOKUP($E85,武器奇术!$A:$R,15,FALSE)="武器",VLOOKUP($E85,武器奇术!$A:$R,17,FALSE)="鸣金"),$E$3*(1+$E$15),0),AU85)</f>
        <v>0</v>
      </c>
      <c r="AX85" s="110">
        <f>IF(($D$7+IF(VLOOKUP($E85,武器奇术!$A:$R,17,FALSE)="鸣金",$D$15,0)+IF(VLOOKUP($E85,武器奇术!$A:$R,18,FALSE)=1,4,0)+IF(VLOOKUP($E85,武器奇术!$A:$S,19,FALSE)=1,20,0)-VLOOKUP($F$7,目标属性!$A:$R,6,FALSE))&gt;0,($D$7+IF(VLOOKUP($E85,武器奇术!$A:$R,17,FALSE)="鸣金",$D$15,0)+IF(VLOOKUP($E85,武器奇术!$A:$R,18,FALSE)=1,4,0)+IF(VLOOKUP($E85,武器奇术!$A:$S,19,FALSE)=1,20,0)-VLOOKUP($F$7,目标属性!$A:$R,6,FALSE))/200,($D$7+IF(VLOOKUP($E85,武器奇术!$A:$R,17,FALSE)="鸣金",$D$15,0)+IF(VLOOKUP($E85,武器奇术!$A:$R,18,FALSE)=1,4,0)+IF(VLOOKUP($E85,武器奇术!$A:$S,19,FALSE)=1,20,0)-VLOOKUP($F$7,目标属性!$A:$R,6,FALSE))/100)</f>
        <v>-0.24</v>
      </c>
      <c r="AY85" s="111">
        <f t="shared" si="12"/>
        <v>0</v>
      </c>
      <c r="AZ85" s="109">
        <v>1</v>
      </c>
      <c r="BA85" s="112">
        <f>AU85*IF(VLOOKUP($E85,武器奇术!$A:$R,17,FALSE)="鸣金",VLOOKUP($E85,武器奇术!$A:$R,4,FALSE),VLOOKUP($E85,武器奇术!$A:$R,2,FALSE))*(1+AX85)*(1+AY85)*AZ85</f>
        <v>0</v>
      </c>
      <c r="BB85" s="110">
        <f>(1-IF(VLOOKUP($E85,武器奇术!$A:$T,20,FALSE)=1,1,$N85))*(1-$M85)</f>
        <v>0.01072666</v>
      </c>
      <c r="BC85" s="112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10">
        <f t="shared" si="13"/>
        <v>0.8813852</v>
      </c>
      <c r="BE85" s="112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10">
        <f t="shared" si="14"/>
        <v>0.0986</v>
      </c>
      <c r="BG85" s="112">
        <f>AV85*IF(VLOOKUP($E85,武器奇术!$A:$R,17,FALSE)="鸣金",VLOOKUP($E85,武器奇术!$A:$R,4,FALSE),VLOOKUP($E85,武器奇术!$A:$R,2,FALSE))*(1+AX85)*(1+AY85)*AZ85</f>
        <v>0</v>
      </c>
      <c r="BH85" s="110">
        <f t="shared" si="15"/>
        <v>0.00928814000000003</v>
      </c>
      <c r="BI85" s="113">
        <f t="shared" si="16"/>
        <v>0</v>
      </c>
      <c r="BJ85" s="108">
        <f>$B$9*IF($G$5="撼天",1.05,1)+IF(AND(VLOOKUP($E85,武器奇术!$A:$R,15,FALSE)="武器",VLOOKUP($E85,武器奇术!$A:$R,17,FALSE)="裂石"),$E$3,0)*(1+$E$15)</f>
        <v>0</v>
      </c>
      <c r="BK85" s="99">
        <f>(BJ85+BL85)*IF(VLOOKUP($E85,武器奇术!$A:$Z,21,FALSE)=1,$G$15,0.5)</f>
        <v>0</v>
      </c>
      <c r="BL85" s="109">
        <f>MAX($C$9*IF($G$5="撼天",1.05,1)+IF(AND(VLOOKUP($E85,武器奇术!$A:$R,15,FALSE)="武器",VLOOKUP($E85,武器奇术!$A:$R,17,FALSE)="裂石"),$E$3*(1+$E$15),0),BJ85)</f>
        <v>0</v>
      </c>
      <c r="BM85" s="110">
        <f>IF(($D$9+IF(VLOOKUP($E85,武器奇术!$A:$R,17,FALSE)="裂石",$D$15,0)+IF(VLOOKUP($E85,武器奇术!$A:$R,18,FALSE)=1,4,0)+IF(VLOOKUP($E85,武器奇术!$A:$S,19,FALSE)=1,20,0)-VLOOKUP($F$7,目标属性!$A:$R,6,FALSE))&gt;0,($D$9+IF(VLOOKUP($E85,武器奇术!$A:$R,17,FALSE)="裂石",$D$15,0)+IF(VLOOKUP($E85,武器奇术!$A:$R,18,FALSE)=1,4,0)+IF(VLOOKUP($E85,武器奇术!$A:$S,19,FALSE)=1,20,0)-VLOOKUP($F$7,目标属性!$A:$R,6,FALSE))/200,($D$9+IF(VLOOKUP($E85,武器奇术!$A:$R,17,FALSE)="裂石",$D$15,0)+IF(VLOOKUP($E85,武器奇术!$A:$R,18,FALSE)=1,4,0)+IF(VLOOKUP($E85,武器奇术!$A:$S,19,FALSE)=1,20,0)-VLOOKUP($F$7,目标属性!$A:$R,6,FALSE))/100)</f>
        <v>-0.24</v>
      </c>
      <c r="BN85" s="111">
        <f t="shared" si="17"/>
        <v>0</v>
      </c>
      <c r="BO85" s="109">
        <v>1</v>
      </c>
      <c r="BP85" s="112">
        <f>BJ85*IF(VLOOKUP($E85,武器奇术!$A:$R,17,FALSE)="裂石",VLOOKUP($E85,武器奇术!$A:$R,4,FALSE),VLOOKUP($E85,武器奇术!$A:$R,2,FALSE))*(1+BM85)*(1+BN85)*BO85</f>
        <v>0</v>
      </c>
      <c r="BQ85" s="110">
        <f>(1-IF(VLOOKUP($E85,武器奇术!$A:$T,20,FALSE)=1,1,$N85))*(1-$M85)</f>
        <v>0.01072666</v>
      </c>
      <c r="BR85" s="112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10">
        <f t="shared" si="18"/>
        <v>0.8813852</v>
      </c>
      <c r="BT85" s="112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10">
        <f t="shared" si="19"/>
        <v>0.0986</v>
      </c>
      <c r="BV85" s="112">
        <f>BK85*IF(VLOOKUP($E85,武器奇术!$A:$R,17,FALSE)="裂石",VLOOKUP($E85,武器奇术!$A:$R,4,FALSE),VLOOKUP($E85,武器奇术!$A:$R,2,FALSE))*(1+BM85)*(1+BN85)*BO85</f>
        <v>0</v>
      </c>
      <c r="BW85" s="110">
        <f t="shared" si="20"/>
        <v>0.00928814000000003</v>
      </c>
      <c r="BX85" s="113">
        <f t="shared" si="21"/>
        <v>0</v>
      </c>
      <c r="BY85" s="108">
        <f>$B$11*IF($G$5="撼天",1.05,1)+IF(AND(VLOOKUP($E85,武器奇术!$A:$R,15,FALSE)="武器",VLOOKUP($E85,武器奇术!$A:$R,17,FALSE)="牵丝"),$E$3,0)*(1+$E$15)</f>
        <v>0</v>
      </c>
      <c r="BZ85" s="99">
        <f>(BY85+CA85)*IF(VLOOKUP($E85,武器奇术!$A:$Z,21,FALSE)=1,$G$15,0.5)</f>
        <v>0</v>
      </c>
      <c r="CA85" s="109">
        <f>MAX($C$11*IF($G$5="撼天",1.05,1)+IF(AND(VLOOKUP($E85,武器奇术!$A:$R,15,FALSE)="武器",VLOOKUP($E85,武器奇术!$A:$R,17,FALSE)="牵丝"),$E$3*(1+$E$15),0),BY85)</f>
        <v>0</v>
      </c>
      <c r="CB85" s="110">
        <f>IF(($D$11+IF(VLOOKUP($E85,武器奇术!$A:$R,17,FALSE)="牵丝",$D$15,0)+IF(VLOOKUP($E85,武器奇术!$A:$R,18,FALSE)=1,4,0)+IF(VLOOKUP($E85,武器奇术!$A:$S,19,FALSE)=1,20,0)-VLOOKUP($F$7,目标属性!$A:$R,6,FALSE))&gt;0,($D$11+IF(VLOOKUP($E85,武器奇术!$A:$R,17,FALSE)="牵丝",$D$15,0)+IF(VLOOKUP($E85,武器奇术!$A:$R,18,FALSE)=1,4,0)+IF(VLOOKUP($E85,武器奇术!$A:$S,19,FALSE)=1,20,0)-VLOOKUP($F$7,目标属性!$A:$R,6,FALSE))/200,($D$11+IF(VLOOKUP($E85,武器奇术!$A:$R,17,FALSE)="牵丝",$D$15,0)+IF(VLOOKUP($E85,武器奇术!$A:$R,18,FALSE)=1,4,0)+IF(VLOOKUP($E85,武器奇术!$A:$S,19,FALSE)=1,20,0)-VLOOKUP($F$7,目标属性!$A:$R,6,FALSE))/100)</f>
        <v>-0.24</v>
      </c>
      <c r="CC85" s="111">
        <f t="shared" si="22"/>
        <v>0</v>
      </c>
      <c r="CD85" s="109">
        <v>1</v>
      </c>
      <c r="CE85" s="112">
        <f>BY85*IF(VLOOKUP($E85,武器奇术!$A:$R,17,FALSE)="牵丝",VLOOKUP($E85,武器奇术!$A:$R,4,FALSE),VLOOKUP($E85,武器奇术!$A:$R,2,FALSE))*(1+CB85)*(1+CC85)*CD85</f>
        <v>0</v>
      </c>
      <c r="CF85" s="110">
        <f>(1-IF(VLOOKUP($E85,武器奇术!$A:$T,20,FALSE)=1,1,$N85))*(1-$M85)</f>
        <v>0.01072666</v>
      </c>
      <c r="CG85" s="112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110">
        <f t="shared" si="23"/>
        <v>0.8813852</v>
      </c>
      <c r="CI85" s="112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110">
        <f t="shared" si="24"/>
        <v>0.0986</v>
      </c>
      <c r="CK85" s="112">
        <f>BZ85*IF(VLOOKUP($E85,武器奇术!$A:$R,17,FALSE)="牵丝",VLOOKUP($E85,武器奇术!$A:$R,4,FALSE),VLOOKUP($E85,武器奇术!$A:$R,2,FALSE))*(1+CB85)*(1+CC85)*CD85</f>
        <v>0</v>
      </c>
      <c r="CL85" s="110">
        <f t="shared" si="25"/>
        <v>0.00928814000000003</v>
      </c>
      <c r="CM85" s="113">
        <f t="shared" si="26"/>
        <v>0</v>
      </c>
      <c r="CN85" s="108">
        <f>$B$13*IF($G$5="撼天",1.05,1)+IF(AND(VLOOKUP($E85,武器奇术!$A:$R,15,FALSE)="武器",VLOOKUP($E85,武器奇术!$A:$R,17,FALSE)="破竹"),$E$3,0)*(1+$E$15)</f>
        <v>648.46</v>
      </c>
      <c r="CO85" s="99">
        <f>(CN85+CP85)*IF(VLOOKUP($E85,武器奇术!$A:$Z,21,FALSE)=1,$G$15,0.5)</f>
        <v>875.26</v>
      </c>
      <c r="CP85" s="109">
        <f>MAX($C$13*IF($G$5="撼天",1.05,1)+IF(AND(VLOOKUP($E85,武器奇术!$A:$R,15,FALSE)="武器",VLOOKUP($E85,武器奇术!$A:$R,17,FALSE)="破竹"),$E$3*(1+$E$15),0),CN85)</f>
        <v>1102.06</v>
      </c>
      <c r="CQ85" s="110">
        <f>IF(($D$13+IF(VLOOKUP($E85,武器奇术!$A:$R,17,FALSE)="破竹",$D$15,0)+IF(VLOOKUP($E85,武器奇术!$A:$R,18,FALSE)=1,4,0)+IF(VLOOKUP($E85,武器奇术!$A:$S,19,FALSE)=1,20,0)-VLOOKUP($F$7,目标属性!$A:$R,6,FALSE))&gt;0,($D$13+IF(VLOOKUP($E85,武器奇术!$A:$R,17,FALSE)="破竹",$D$15,0)+IF(VLOOKUP($E85,武器奇术!$A:$R,18,FALSE)=1,4,0)+IF(VLOOKUP($E85,武器奇术!$A:$S,19,FALSE)=1,20,0)-VLOOKUP($F$7,目标属性!$A:$R,6,FALSE))/200,($D$13+IF(VLOOKUP($E85,武器奇术!$A:$R,17,FALSE)="破竹",$D$15,0)+IF(VLOOKUP($E85,武器奇术!$A:$R,18,FALSE)=1,4,0)+IF(VLOOKUP($E85,武器奇术!$A:$S,19,FALSE)=1,20,0)-VLOOKUP($F$7,目标属性!$A:$R,6,FALSE))/100)</f>
        <v>0.025</v>
      </c>
      <c r="CR85" s="111">
        <f>$E$13+IF(VLOOKUP($E85,武器奇术!$A:$U,21,FALSE)=1,0,0.09)</f>
        <v>0.235</v>
      </c>
      <c r="CS85" s="109">
        <v>1</v>
      </c>
      <c r="CT85" s="112">
        <f>CN85*IF(VLOOKUP($E85,武器奇术!$A:$R,17,FALSE)="破竹",VLOOKUP($E85,武器奇术!$A:$R,4,FALSE),VLOOKUP($E85,武器奇术!$A:$R,2,FALSE))*(1+CQ85)*(1+CR85)*CS85</f>
        <v>1539.54037683875</v>
      </c>
      <c r="CU85" s="110">
        <f>(1-IF(VLOOKUP($E85,武器奇术!$A:$T,20,FALSE)=1,1,$N85))*(1-$M85)</f>
        <v>0.01072666</v>
      </c>
      <c r="CV85" s="112">
        <f>CO85*IF(VLOOKUP($E85,武器奇术!$A:$R,17,FALSE)="破竹",VLOOKUP($E85,武器奇术!$A:$R,4,FALSE),VLOOKUP($E85,武器奇术!$A:$R,2,FALSE))*(1+CQ85)*(1+CR85)*CS85*(1+$E$16+VLOOKUP($E85,武器奇术!$A:$R,8,FALSE))</f>
        <v>3407.91552413455</v>
      </c>
      <c r="CW85" s="110">
        <f t="shared" si="27"/>
        <v>0.8813852</v>
      </c>
      <c r="CX85" s="112">
        <f>CP85*IF(VLOOKUP($E85,武器奇术!$A:$R,17,FALSE)="破竹",VLOOKUP($E85,武器奇术!$A:$R,4,FALSE),VLOOKUP($E85,武器奇术!$A:$R,2,FALSE))*(1+CQ85)*(1+CR85)*CS85*(1+$E$17+VLOOKUP($E85,武器奇术!$A:$R,10,FALSE))</f>
        <v>3532.21312246481</v>
      </c>
      <c r="CY85" s="110">
        <f t="shared" si="28"/>
        <v>0.0986</v>
      </c>
      <c r="CZ85" s="112">
        <f>CO85*IF(VLOOKUP($E85,武器奇术!$A:$R,17,FALSE)="破竹",VLOOKUP($E85,武器奇术!$A:$R,4,FALSE),VLOOKUP($E85,武器奇术!$A:$R,2,FALSE))*(1+CQ85)*(1+CR85)*CS85</f>
        <v>2077.99727081375</v>
      </c>
      <c r="DA85" s="110">
        <f t="shared" si="29"/>
        <v>0.00928814000000003</v>
      </c>
      <c r="DB85" s="113">
        <f t="shared" si="30"/>
        <v>3387.77737544702</v>
      </c>
      <c r="DC85" s="108">
        <f t="shared" si="31"/>
        <v>69.3</v>
      </c>
      <c r="DD85" s="99">
        <f>(DC85+DE85)*IF(VLOOKUP($E85,武器奇术!$A:$Z,21,FALSE)=1,$G$15,0.5)</f>
        <v>69.3</v>
      </c>
      <c r="DE85" s="109">
        <f t="shared" si="32"/>
        <v>69.3</v>
      </c>
      <c r="DF85" s="110">
        <f>IF(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R,18,FALSE)=1,4,0)+IF(VLOOKUP($E85,武器奇术!$A:$S,19,FALSE)=1,20,0)-VLOOKUP($F$7,目标属性!$A:$R,6,FALSE))/100)</f>
        <v>0.025</v>
      </c>
      <c r="DG85" s="111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U,21,FALSE)=1,0,0.09)</f>
        <v>0.235</v>
      </c>
      <c r="DH85" s="109">
        <v>1</v>
      </c>
      <c r="DI85" s="112">
        <f>DC85*IF(VLOOKUP($E85,武器奇术!$A:$R,17,FALSE)="破竹",VLOOKUP($E85,武器奇术!$A:$R,4,FALSE),VLOOKUP($E85,武器奇术!$A:$R,2,FALSE))*(1+DF85)*(1+DG85)*DH85</f>
        <v>164.52849538125</v>
      </c>
      <c r="DJ85" s="110">
        <f>(1-IF(VLOOKUP($E85,武器奇术!$A:$T,20,FALSE)=1,1,$N85))*(1-$M85)</f>
        <v>0.01072666</v>
      </c>
      <c r="DK85" s="112">
        <f>DD85*IF(VLOOKUP($E85,武器奇术!$A:$R,17,FALSE)="破竹",VLOOKUP($E85,武器奇术!$A:$R,4,FALSE),VLOOKUP($E85,武器奇术!$A:$R,2,FALSE))*(1+DF85)*(1+DG85)*DH85*(1+$E$16+VLOOKUP($E85,武器奇术!$A:$R,8,FALSE))</f>
        <v>269.82673242525</v>
      </c>
      <c r="DL85" s="110">
        <f t="shared" si="33"/>
        <v>0.8813852</v>
      </c>
      <c r="DM85" s="112">
        <f>DE85*IF(VLOOKUP($E85,武器奇术!$A:$R,17,FALSE)="破竹",VLOOKUP($E85,武器奇术!$A:$R,4,FALSE),VLOOKUP($E85,武器奇术!$A:$R,2,FALSE))*(1+DF85)*(1+DG85)*DH85*(1+$E$17+VLOOKUP($E85,武器奇术!$A:$R,10,FALSE))</f>
        <v>222.113468764687</v>
      </c>
      <c r="DN85" s="110">
        <f t="shared" si="34"/>
        <v>0.0986</v>
      </c>
      <c r="DO85" s="112">
        <f>DD85*IF(VLOOKUP($E85,武器奇术!$A:$R,17,FALSE)="破竹",VLOOKUP($E85,武器奇术!$A:$R,4,FALSE),VLOOKUP($E85,武器奇术!$A:$R,2,FALSE))*(1+DF85)*(1+DG85)*DH85</f>
        <v>164.52849538125</v>
      </c>
      <c r="DP85" s="110">
        <f t="shared" si="35"/>
        <v>0.00928814000000003</v>
      </c>
      <c r="DQ85" s="113">
        <f t="shared" si="36"/>
        <v>263.01468147353</v>
      </c>
    </row>
    <row r="86" customFormat="1" spans="1:121">
      <c r="A86" s="75"/>
      <c r="B86" s="75"/>
      <c r="C86" s="148"/>
      <c r="D86" s="75"/>
      <c r="E86" s="98" t="str">
        <f>期望!E86</f>
        <v>鹰隼追击(绳特殊技)</v>
      </c>
      <c r="F86" s="99">
        <f>期望!F86</f>
        <v>1</v>
      </c>
      <c r="G86" s="115"/>
      <c r="H86" s="149">
        <f>IF(VLOOKUP($E86,武器奇术!$A:$R,18,FALSE)="天工",AE86,(AE86+AT86+BI86+BX86+CM86+DB86+DQ86))*(1+J86)*F86*K86*(1+G86)*(1+$G$21*5%)</f>
        <v>50732.3190111438</v>
      </c>
      <c r="I86" s="101">
        <f t="shared" si="0"/>
        <v>0.00626355993086501</v>
      </c>
      <c r="J86" s="101">
        <f>$F$3+VLOOKUP($E86,武器奇术!$A:$R,12,FALSE)+VLOOKUP($E86,武器奇术!$A:$R,14,FALSE)*$G$3+$P86</f>
        <v>0.687</v>
      </c>
      <c r="K86" s="102">
        <f>VLOOKUP($E86,武器奇术!$A:$R,11,FALSE)</f>
        <v>1</v>
      </c>
      <c r="L86" s="117">
        <f>IF(VLOOKUP($E86,武器奇术!$A:$R,15,FALSE)="天工",0%,IF($C$17+VLOOKUP($E86,武器奇术!$A:$R,7,FALSE)&gt;80%,80%,$C$17+VLOOKUP($E86,武器奇术!$A:$R,7,FALSE))+IF($C$19&gt;20%,20%,$C$19))</f>
        <v>0.892</v>
      </c>
      <c r="M86" s="118">
        <f>IF(VLOOKUP($E86,武器奇术!$A:$R,15,FALSE)="天工",0%,IF($C$18+VLOOKUP($E86,武器奇术!$A:$R,9,FALSE)&gt;40%,40%,$C$18+VLOOKUP($E86,武器奇术!$A:$R,9,FALSE))+IF($C$20&gt;10%,10%,$C$20))</f>
        <v>0.0986</v>
      </c>
      <c r="N86" s="119">
        <f>IF(VLOOKUP($E86,武器奇术!$A:$R,15,FALSE)="天工",100%,MIN($C$16,1))</f>
        <v>0.9881</v>
      </c>
      <c r="O86" s="120" t="str">
        <f>VLOOKUP($E86,武器奇术!$A:$R,16,FALSE)</f>
        <v>绳标</v>
      </c>
      <c r="P86" s="121">
        <f t="shared" si="38"/>
        <v>0.084</v>
      </c>
      <c r="Q86" s="108">
        <f>$B$5*(1+VLOOKUP($E86,武器奇术!$A:$R,5,FALSE)+IF($G$5="飞隼",0.1,0)+IF($G$5="撼天",0.05,0))-$F$9+IF($I$5="√",160,0)</f>
        <v>1731.135</v>
      </c>
      <c r="R86" s="99">
        <f>IF(VLOOKUP($E86,武器奇术!$A:$Z,20,FALSE)=1,(S86-(Q86+S86)*0.5)*($G$15-0.5)*2+(Q86+S86)*0.5,(Q86+S86)*0.5)</f>
        <v>3256.775</v>
      </c>
      <c r="S86" s="109">
        <f>MAX($C$5,$B$5)*(1+VLOOKUP($E86,武器奇术!$A:$R,5,FALSE)+IF($G$5="飞隼",0.1,0)+IF($G$5="撼天",0.05,0))-$F$9+IF($I$5="√",320,0)</f>
        <v>4782.415</v>
      </c>
      <c r="T86" s="101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U86" s="111">
        <f>$E$5+IF(VLOOKUP($E86,武器奇术!$A:$U,21,FALSE)=1,0,0.09)</f>
        <v>0.115</v>
      </c>
      <c r="V86" s="109">
        <v>1</v>
      </c>
      <c r="W86" s="112">
        <f>Q86*VLOOKUP($E86,武器奇术!$A:$R,2,FALSE)*(1+T86)*(1+U86)*V86</f>
        <v>4662.62862219</v>
      </c>
      <c r="X86" s="110">
        <f>(1-IF(VLOOKUP($E86,武器奇术!$A:$T,20,FALSE)=1,1,$N86))*(1-$M86)</f>
        <v>0.01072666</v>
      </c>
      <c r="Y86" s="112">
        <f>R86*VLOOKUP($E86,武器奇术!$A:$R,2,FALSE)*(1+T86)*(1+U86)*V86*(1+$E$16+VLOOKUP($E86,武器奇术!$A:$R,8,FALSE))</f>
        <v>17017.249794039</v>
      </c>
      <c r="Z86" s="110">
        <f t="shared" si="1"/>
        <v>0.8813852</v>
      </c>
      <c r="AA86" s="112">
        <f>S86*VLOOKUP($E86,武器奇术!$A:$R,2,FALSE)*(1+T86)*(1+U86)*V86*(1+$E$17+VLOOKUP($E86,武器奇术!$A:$R,10,FALSE))</f>
        <v>17389.2526197885</v>
      </c>
      <c r="AB86" s="110">
        <f t="shared" si="2"/>
        <v>0.0986</v>
      </c>
      <c r="AC86" s="112">
        <f>R86*VLOOKUP($E86,武器奇术!$A:$R,2,FALSE)*(1+T86)*(1+U86)*V86</f>
        <v>8771.77824435</v>
      </c>
      <c r="AD86" s="110">
        <f t="shared" si="3"/>
        <v>0.00928814000000003</v>
      </c>
      <c r="AE86" s="113">
        <f t="shared" si="4"/>
        <v>16844.8203577992</v>
      </c>
      <c r="AF86" s="114">
        <f>VLOOKUP($E86,武器奇术!$A:$R,3,FALSE)*(1+IF(VLOOKUP($E86,武器奇术!$A:$R,15,FALSE)="武器",$E$15,0))</f>
        <v>0</v>
      </c>
      <c r="AG86" s="112">
        <f t="shared" si="5"/>
        <v>0</v>
      </c>
      <c r="AH86" s="112">
        <f>VLOOKUP($E86,武器奇术!$A:$R,3,FALSE)*(1+IF(VLOOKUP($E86,武器奇术!$A:$R,15,FALSE)="武器",$E$15,0))</f>
        <v>0</v>
      </c>
      <c r="AI86" s="101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0.342</v>
      </c>
      <c r="AJ86" s="111">
        <f>$E$5+IF(VLOOKUP($E86,武器奇术!$A:$U,21,FALSE)=1,0,0.09)</f>
        <v>0.115</v>
      </c>
      <c r="AK86" s="109">
        <v>1</v>
      </c>
      <c r="AL86" s="112">
        <f t="shared" si="6"/>
        <v>0</v>
      </c>
      <c r="AM86" s="110">
        <f>(1-IF(VLOOKUP($E86,武器奇术!$A:$T,20,FALSE)=1,1,$N86))*(1-$M86)</f>
        <v>0.01072666</v>
      </c>
      <c r="AN86" s="112">
        <f>AG86*(1+AI86)*(1+AJ86)*AK86*(1+$E$16+VLOOKUP($E86,武器奇术!$A:$R,8,FALSE))</f>
        <v>0</v>
      </c>
      <c r="AO86" s="110">
        <f t="shared" si="7"/>
        <v>0.8813852</v>
      </c>
      <c r="AP86" s="112">
        <f>AH86*(1+AI86)*(1+AJ86)*AK86*(1+$E$17+VLOOKUP($E86,武器奇术!$A:$R,10,FALSE))</f>
        <v>0</v>
      </c>
      <c r="AQ86" s="110">
        <f t="shared" si="8"/>
        <v>0.0986</v>
      </c>
      <c r="AR86" s="112">
        <f t="shared" si="9"/>
        <v>0</v>
      </c>
      <c r="AS86" s="110">
        <f t="shared" si="10"/>
        <v>0.00928814000000003</v>
      </c>
      <c r="AT86" s="113">
        <f t="shared" si="11"/>
        <v>0</v>
      </c>
      <c r="AU86" s="108">
        <f>$B$7*IF($G$5="撼天",1.05,1)+IF(AND(VLOOKUP($E86,武器奇术!$A:$R,15,FALSE)="武器",VLOOKUP($E86,武器奇术!$A:$R,17,FALSE)="鸣金"),$E$3,0)*(1+$E$15)</f>
        <v>0</v>
      </c>
      <c r="AV86" s="99">
        <f>(AU86+AW86)*IF(VLOOKUP($E86,武器奇术!$A:$Z,21,FALSE)=1,$G$15,0.5)</f>
        <v>0</v>
      </c>
      <c r="AW86" s="109">
        <f>MAX($C$7*IF($G$5="撼天",1.05,1)+IF(AND(VLOOKUP($E86,武器奇术!$A:$R,15,FALSE)="武器",VLOOKUP($E86,武器奇术!$A:$R,17,FALSE)="鸣金"),$E$3*(1+$E$15),0),AU86)</f>
        <v>0</v>
      </c>
      <c r="AX86" s="110">
        <f>IF(($D$7+IF(VLOOKUP($E86,武器奇术!$A:$R,17,FALSE)="鸣金",$D$15,0)+IF(VLOOKUP($E86,武器奇术!$A:$R,18,FALSE)=1,4,0)+IF(VLOOKUP($E86,武器奇术!$A:$S,19,FALSE)=1,20,0)-VLOOKUP($F$7,目标属性!$A:$R,6,FALSE))&gt;0,($D$7+IF(VLOOKUP($E86,武器奇术!$A:$R,17,FALSE)="鸣金",$D$15,0)+IF(VLOOKUP($E86,武器奇术!$A:$R,18,FALSE)=1,4,0)+IF(VLOOKUP($E86,武器奇术!$A:$S,19,FALSE)=1,20,0)-VLOOKUP($F$7,目标属性!$A:$R,6,FALSE))/200,($D$7+IF(VLOOKUP($E86,武器奇术!$A:$R,17,FALSE)="鸣金",$D$15,0)+IF(VLOOKUP($E86,武器奇术!$A:$R,18,FALSE)=1,4,0)+IF(VLOOKUP($E86,武器奇术!$A:$S,19,FALSE)=1,20,0)-VLOOKUP($F$7,目标属性!$A:$R,6,FALSE))/100)</f>
        <v>0</v>
      </c>
      <c r="AY86" s="111">
        <f t="shared" si="12"/>
        <v>0</v>
      </c>
      <c r="AZ86" s="109">
        <v>1</v>
      </c>
      <c r="BA86" s="112">
        <f>AU86*IF(VLOOKUP($E86,武器奇术!$A:$R,17,FALSE)="鸣金",VLOOKUP($E86,武器奇术!$A:$R,4,FALSE),VLOOKUP($E86,武器奇术!$A:$R,2,FALSE))*(1+AX86)*(1+AY86)*AZ86</f>
        <v>0</v>
      </c>
      <c r="BB86" s="110">
        <f>(1-IF(VLOOKUP($E86,武器奇术!$A:$T,20,FALSE)=1,1,$N86))*(1-$M86)</f>
        <v>0.01072666</v>
      </c>
      <c r="BC86" s="112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10">
        <f t="shared" si="13"/>
        <v>0.8813852</v>
      </c>
      <c r="BE86" s="112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10">
        <f t="shared" si="14"/>
        <v>0.0986</v>
      </c>
      <c r="BG86" s="112">
        <f>AV86*IF(VLOOKUP($E86,武器奇术!$A:$R,17,FALSE)="鸣金",VLOOKUP($E86,武器奇术!$A:$R,4,FALSE),VLOOKUP($E86,武器奇术!$A:$R,2,FALSE))*(1+AX86)*(1+AY86)*AZ86</f>
        <v>0</v>
      </c>
      <c r="BH86" s="110">
        <f t="shared" si="15"/>
        <v>0.00928814000000003</v>
      </c>
      <c r="BI86" s="113">
        <f t="shared" si="16"/>
        <v>0</v>
      </c>
      <c r="BJ86" s="108">
        <f>$B$9*IF($G$5="撼天",1.05,1)+IF(AND(VLOOKUP($E86,武器奇术!$A:$R,15,FALSE)="武器",VLOOKUP($E86,武器奇术!$A:$R,17,FALSE)="裂石"),$E$3,0)*(1+$E$15)</f>
        <v>0</v>
      </c>
      <c r="BK86" s="99">
        <f>(BJ86+BL86)*IF(VLOOKUP($E86,武器奇术!$A:$Z,21,FALSE)=1,$G$15,0.5)</f>
        <v>0</v>
      </c>
      <c r="BL86" s="109">
        <f>MAX($C$9*IF($G$5="撼天",1.05,1)+IF(AND(VLOOKUP($E86,武器奇术!$A:$R,15,FALSE)="武器",VLOOKUP($E86,武器奇术!$A:$R,17,FALSE)="裂石"),$E$3*(1+$E$15),0),BJ86)</f>
        <v>0</v>
      </c>
      <c r="BM86" s="110">
        <f>IF(($D$9+IF(VLOOKUP($E86,武器奇术!$A:$R,17,FALSE)="裂石",$D$15,0)+IF(VLOOKUP($E86,武器奇术!$A:$R,18,FALSE)=1,4,0)+IF(VLOOKUP($E86,武器奇术!$A:$S,19,FALSE)=1,20,0)-VLOOKUP($F$7,目标属性!$A:$R,6,FALSE))&gt;0,($D$9+IF(VLOOKUP($E86,武器奇术!$A:$R,17,FALSE)="裂石",$D$15,0)+IF(VLOOKUP($E86,武器奇术!$A:$R,18,FALSE)=1,4,0)+IF(VLOOKUP($E86,武器奇术!$A:$S,19,FALSE)=1,20,0)-VLOOKUP($F$7,目标属性!$A:$R,6,FALSE))/200,($D$9+IF(VLOOKUP($E86,武器奇术!$A:$R,17,FALSE)="裂石",$D$15,0)+IF(VLOOKUP($E86,武器奇术!$A:$R,18,FALSE)=1,4,0)+IF(VLOOKUP($E86,武器奇术!$A:$S,19,FALSE)=1,20,0)-VLOOKUP($F$7,目标属性!$A:$R,6,FALSE))/100)</f>
        <v>0</v>
      </c>
      <c r="BN86" s="111">
        <f t="shared" si="17"/>
        <v>0</v>
      </c>
      <c r="BO86" s="109">
        <v>1</v>
      </c>
      <c r="BP86" s="112">
        <f>BJ86*IF(VLOOKUP($E86,武器奇术!$A:$R,17,FALSE)="裂石",VLOOKUP($E86,武器奇术!$A:$R,4,FALSE),VLOOKUP($E86,武器奇术!$A:$R,2,FALSE))*(1+BM86)*(1+BN86)*BO86</f>
        <v>0</v>
      </c>
      <c r="BQ86" s="110">
        <f>(1-IF(VLOOKUP($E86,武器奇术!$A:$T,20,FALSE)=1,1,$N86))*(1-$M86)</f>
        <v>0.01072666</v>
      </c>
      <c r="BR86" s="112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10">
        <f t="shared" si="18"/>
        <v>0.8813852</v>
      </c>
      <c r="BT86" s="112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10">
        <f t="shared" si="19"/>
        <v>0.0986</v>
      </c>
      <c r="BV86" s="112">
        <f>BK86*IF(VLOOKUP($E86,武器奇术!$A:$R,17,FALSE)="裂石",VLOOKUP($E86,武器奇术!$A:$R,4,FALSE),VLOOKUP($E86,武器奇术!$A:$R,2,FALSE))*(1+BM86)*(1+BN86)*BO86</f>
        <v>0</v>
      </c>
      <c r="BW86" s="110">
        <f t="shared" si="20"/>
        <v>0.00928814000000003</v>
      </c>
      <c r="BX86" s="113">
        <f t="shared" si="21"/>
        <v>0</v>
      </c>
      <c r="BY86" s="108">
        <f>$B$11*IF($G$5="撼天",1.05,1)+IF(AND(VLOOKUP($E86,武器奇术!$A:$R,15,FALSE)="武器",VLOOKUP($E86,武器奇术!$A:$R,17,FALSE)="牵丝"),$E$3,0)*(1+$E$15)</f>
        <v>0</v>
      </c>
      <c r="BZ86" s="99">
        <f>(BY86+CA86)*IF(VLOOKUP($E86,武器奇术!$A:$Z,21,FALSE)=1,$G$15,0.5)</f>
        <v>0</v>
      </c>
      <c r="CA86" s="109">
        <f>MAX($C$11*IF($G$5="撼天",1.05,1)+IF(AND(VLOOKUP($E86,武器奇术!$A:$R,15,FALSE)="武器",VLOOKUP($E86,武器奇术!$A:$R,17,FALSE)="牵丝"),$E$3*(1+$E$15),0),BY86)</f>
        <v>0</v>
      </c>
      <c r="CB86" s="110">
        <f>IF(($D$11+IF(VLOOKUP($E86,武器奇术!$A:$R,17,FALSE)="牵丝",$D$15,0)+IF(VLOOKUP($E86,武器奇术!$A:$R,18,FALSE)=1,4,0)+IF(VLOOKUP($E86,武器奇术!$A:$S,19,FALSE)=1,20,0)-VLOOKUP($F$7,目标属性!$A:$R,6,FALSE))&gt;0,($D$11+IF(VLOOKUP($E86,武器奇术!$A:$R,17,FALSE)="牵丝",$D$15,0)+IF(VLOOKUP($E86,武器奇术!$A:$R,18,FALSE)=1,4,0)+IF(VLOOKUP($E86,武器奇术!$A:$S,19,FALSE)=1,20,0)-VLOOKUP($F$7,目标属性!$A:$R,6,FALSE))/200,($D$11+IF(VLOOKUP($E86,武器奇术!$A:$R,17,FALSE)="牵丝",$D$15,0)+IF(VLOOKUP($E86,武器奇术!$A:$R,18,FALSE)=1,4,0)+IF(VLOOKUP($E86,武器奇术!$A:$S,19,FALSE)=1,20,0)-VLOOKUP($F$7,目标属性!$A:$R,6,FALSE))/100)</f>
        <v>0</v>
      </c>
      <c r="CC86" s="111">
        <f t="shared" si="22"/>
        <v>0</v>
      </c>
      <c r="CD86" s="109">
        <v>1</v>
      </c>
      <c r="CE86" s="112">
        <f>BY86*IF(VLOOKUP($E86,武器奇术!$A:$R,17,FALSE)="牵丝",VLOOKUP($E86,武器奇术!$A:$R,4,FALSE),VLOOKUP($E86,武器奇术!$A:$R,2,FALSE))*(1+CB86)*(1+CC86)*CD86</f>
        <v>0</v>
      </c>
      <c r="CF86" s="110">
        <f>(1-IF(VLOOKUP($E86,武器奇术!$A:$T,20,FALSE)=1,1,$N86))*(1-$M86)</f>
        <v>0.01072666</v>
      </c>
      <c r="CG86" s="112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110">
        <f t="shared" si="23"/>
        <v>0.8813852</v>
      </c>
      <c r="CI86" s="112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110">
        <f t="shared" si="24"/>
        <v>0.0986</v>
      </c>
      <c r="CK86" s="112">
        <f>BZ86*IF(VLOOKUP($E86,武器奇术!$A:$R,17,FALSE)="牵丝",VLOOKUP($E86,武器奇术!$A:$R,4,FALSE),VLOOKUP($E86,武器奇术!$A:$R,2,FALSE))*(1+CB86)*(1+CC86)*CD86</f>
        <v>0</v>
      </c>
      <c r="CL86" s="110">
        <f t="shared" si="25"/>
        <v>0.00928814000000003</v>
      </c>
      <c r="CM86" s="113">
        <f t="shared" si="26"/>
        <v>0</v>
      </c>
      <c r="CN86" s="108">
        <f>$B$13*IF($G$5="撼天",1.05,1)+IF(AND(VLOOKUP($E86,武器奇术!$A:$R,15,FALSE)="武器",VLOOKUP($E86,武器奇术!$A:$R,17,FALSE)="破竹"),$E$3,0)*(1+$E$15)</f>
        <v>452.55</v>
      </c>
      <c r="CO86" s="99">
        <f>(CN86+CP86)*IF(VLOOKUP($E86,武器奇术!$A:$Z,21,FALSE)=1,$G$15,0.5)</f>
        <v>679.35</v>
      </c>
      <c r="CP86" s="109">
        <f>MAX($C$13*IF($G$5="撼天",1.05,1)+IF(AND(VLOOKUP($E86,武器奇术!$A:$R,15,FALSE)="武器",VLOOKUP($E86,武器奇术!$A:$R,17,FALSE)="破竹"),$E$3*(1+$E$15),0),CN86)</f>
        <v>906.15</v>
      </c>
      <c r="CQ86" s="110">
        <f>IF(($D$13+IF(VLOOKUP($E86,武器奇术!$A:$R,17,FALSE)="破竹",$D$15,0)+IF(VLOOKUP($E86,武器奇术!$A:$R,18,FALSE)=1,4,0)+IF(VLOOKUP($E86,武器奇术!$A:$S,19,FALSE)=1,20,0)-VLOOKUP($F$7,目标属性!$A:$R,6,FALSE))&gt;0,($D$13+IF(VLOOKUP($E86,武器奇术!$A:$R,17,FALSE)="破竹",$D$15,0)+IF(VLOOKUP($E86,武器奇术!$A:$R,18,FALSE)=1,4,0)+IF(VLOOKUP($E86,武器奇术!$A:$S,19,FALSE)=1,20,0)-VLOOKUP($F$7,目标属性!$A:$R,6,FALSE))/200,($D$13+IF(VLOOKUP($E86,武器奇术!$A:$R,17,FALSE)="破竹",$D$15,0)+IF(VLOOKUP($E86,武器奇术!$A:$R,18,FALSE)=1,4,0)+IF(VLOOKUP($E86,武器奇术!$A:$S,19,FALSE)=1,20,0)-VLOOKUP($F$7,目标属性!$A:$R,6,FALSE))/100)</f>
        <v>0.145</v>
      </c>
      <c r="CR86" s="111">
        <f>$E$13+IF(VLOOKUP($E86,武器奇术!$A:$U,21,FALSE)=1,0,0.09)</f>
        <v>0.235</v>
      </c>
      <c r="CS86" s="109">
        <v>1</v>
      </c>
      <c r="CT86" s="112">
        <f>CN86*IF(VLOOKUP($E86,武器奇术!$A:$R,17,FALSE)="破竹",VLOOKUP($E86,武器奇术!$A:$R,4,FALSE),VLOOKUP($E86,武器奇术!$A:$R,2,FALSE))*(1+CQ86)*(1+CR86)*CS86</f>
        <v>1727.837031375</v>
      </c>
      <c r="CU86" s="110">
        <f>(1-IF(VLOOKUP($E86,武器奇术!$A:$T,20,FALSE)=1,1,$N86))*(1-$M86)</f>
        <v>0.01072666</v>
      </c>
      <c r="CV86" s="112">
        <f>CO86*IF(VLOOKUP($E86,武器奇术!$A:$R,17,FALSE)="破竹",VLOOKUP($E86,武器奇术!$A:$R,4,FALSE),VLOOKUP($E86,武器奇术!$A:$R,2,FALSE))*(1+CQ86)*(1+CR86)*CS86*(1+$E$16+VLOOKUP($E86,武器奇术!$A:$R,8,FALSE))</f>
        <v>5031.8943968475</v>
      </c>
      <c r="CW86" s="110">
        <f t="shared" si="27"/>
        <v>0.8813852</v>
      </c>
      <c r="CX86" s="112">
        <f>CP86*IF(VLOOKUP($E86,武器奇术!$A:$R,17,FALSE)="破竹",VLOOKUP($E86,武器奇术!$A:$R,4,FALSE),VLOOKUP($E86,武器奇术!$A:$R,2,FALSE))*(1+CQ86)*(1+CR86)*CS86*(1+$E$17+VLOOKUP($E86,武器奇术!$A:$R,10,FALSE))</f>
        <v>4670.57200325625</v>
      </c>
      <c r="CY86" s="110">
        <f t="shared" si="28"/>
        <v>0.0986</v>
      </c>
      <c r="CZ86" s="112">
        <f>CO86*IF(VLOOKUP($E86,武器奇术!$A:$R,17,FALSE)="破竹",VLOOKUP($E86,武器奇术!$A:$R,4,FALSE),VLOOKUP($E86,武器奇术!$A:$R,2,FALSE))*(1+CQ86)*(1+CR86)*CS86</f>
        <v>2593.759998375</v>
      </c>
      <c r="DA86" s="110">
        <f t="shared" si="29"/>
        <v>0.00928814000000003</v>
      </c>
      <c r="DB86" s="113">
        <f t="shared" si="30"/>
        <v>4938.18077522766</v>
      </c>
      <c r="DC86" s="108">
        <f t="shared" si="31"/>
        <v>69.3</v>
      </c>
      <c r="DD86" s="99">
        <f>(DC86+DE86)*IF(VLOOKUP($E86,武器奇术!$A:$Z,21,FALSE)=1,$G$15,0.5)</f>
        <v>69.3</v>
      </c>
      <c r="DE86" s="109">
        <f t="shared" si="32"/>
        <v>69.3</v>
      </c>
      <c r="DF86" s="110">
        <f>IF(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R,18,FALSE)=1,4,0)+IF(VLOOKUP($E86,武器奇术!$A:$S,19,FALSE)=1,20,0)-VLOOKUP($F$7,目标属性!$A:$R,6,FALSE))/100)</f>
        <v>0.145</v>
      </c>
      <c r="DG86" s="111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U,21,FALSE)=1,0,0.09)</f>
        <v>0.235</v>
      </c>
      <c r="DH86" s="109">
        <v>1</v>
      </c>
      <c r="DI86" s="112">
        <f>DC86*IF(VLOOKUP($E86,武器奇术!$A:$R,17,FALSE)="破竹",VLOOKUP($E86,武器奇术!$A:$R,4,FALSE),VLOOKUP($E86,武器奇术!$A:$R,2,FALSE))*(1+DF86)*(1+DG86)*DH86</f>
        <v>264.58757325</v>
      </c>
      <c r="DJ86" s="110">
        <f>(1-IF(VLOOKUP($E86,武器奇术!$A:$T,20,FALSE)=1,1,$N86))*(1-$M86)</f>
        <v>0.01072666</v>
      </c>
      <c r="DK86" s="112">
        <f>DD86*IF(VLOOKUP($E86,武器奇术!$A:$R,17,FALSE)="破竹",VLOOKUP($E86,武器奇术!$A:$R,4,FALSE),VLOOKUP($E86,武器奇术!$A:$R,2,FALSE))*(1+DF86)*(1+DG86)*DH86*(1+$E$16+VLOOKUP($E86,武器奇术!$A:$R,8,FALSE))</f>
        <v>513.299892105</v>
      </c>
      <c r="DL86" s="110">
        <f t="shared" si="33"/>
        <v>0.8813852</v>
      </c>
      <c r="DM86" s="112">
        <f>DE86*IF(VLOOKUP($E86,武器奇术!$A:$R,17,FALSE)="破竹",VLOOKUP($E86,武器奇术!$A:$R,4,FALSE),VLOOKUP($E86,武器奇术!$A:$R,2,FALSE))*(1+DF86)*(1+DG86)*DH86*(1+$E$17+VLOOKUP($E86,武器奇术!$A:$R,10,FALSE))</f>
        <v>357.1932238875</v>
      </c>
      <c r="DN86" s="110">
        <f t="shared" si="34"/>
        <v>0.0986</v>
      </c>
      <c r="DO86" s="112">
        <f>DD86*IF(VLOOKUP($E86,武器奇术!$A:$R,17,FALSE)="破竹",VLOOKUP($E86,武器奇术!$A:$R,4,FALSE),VLOOKUP($E86,武器奇术!$A:$R,2,FALSE))*(1+DF86)*(1+DG86)*DH86</f>
        <v>264.58757325</v>
      </c>
      <c r="DP86" s="110">
        <f t="shared" si="35"/>
        <v>0.00928814000000003</v>
      </c>
      <c r="DQ86" s="113">
        <f t="shared" si="36"/>
        <v>492.929847299336</v>
      </c>
    </row>
    <row r="87" customFormat="1" spans="1:121">
      <c r="A87" s="75"/>
      <c r="B87" s="75"/>
      <c r="C87" s="148"/>
      <c r="D87" s="75"/>
      <c r="E87" s="98" t="str">
        <f>期望!E87</f>
        <v>拳甲重击1</v>
      </c>
      <c r="F87" s="99">
        <f>期望!F87</f>
        <v>1</v>
      </c>
      <c r="G87" s="115"/>
      <c r="H87" s="149">
        <f>IF(VLOOKUP($E87,武器奇术!$A:$R,18,FALSE)="天工",AE87,(AE87+AT87+BI87+BX87+CM87+DB87+DQ87))*(1+J87)*F87*K87*(1+G87)*(1+$G$21*5%)</f>
        <v>9676.21901316336</v>
      </c>
      <c r="I87" s="101">
        <f t="shared" si="0"/>
        <v>0.00119465419429794</v>
      </c>
      <c r="J87" s="101">
        <f>$F$3+VLOOKUP($E87,武器奇术!$A:$R,12,FALSE)+VLOOKUP($E87,武器奇术!$A:$R,14,FALSE)*$G$3+$P87</f>
        <v>0.473</v>
      </c>
      <c r="K87" s="102">
        <f>VLOOKUP($E87,武器奇术!$A:$R,11,FALSE)</f>
        <v>1</v>
      </c>
      <c r="L87" s="117">
        <f>IF(VLOOKUP($E87,武器奇术!$A:$R,15,FALSE)="天工",0%,IF($C$17+VLOOKUP($E87,武器奇术!$A:$R,7,FALSE)&gt;80%,80%,$C$17+VLOOKUP($E87,武器奇术!$A:$R,7,FALSE))+IF($C$19&gt;20%,20%,$C$19))</f>
        <v>0.892</v>
      </c>
      <c r="M87" s="118">
        <f>IF(VLOOKUP($E87,武器奇术!$A:$R,15,FALSE)="天工",0%,IF($C$18+VLOOKUP($E87,武器奇术!$A:$R,9,FALSE)&gt;40%,40%,$C$18+VLOOKUP($E87,武器奇术!$A:$R,9,FALSE))+IF($C$20&gt;10%,10%,$C$20))</f>
        <v>0.0986</v>
      </c>
      <c r="N87" s="119">
        <f>IF(VLOOKUP($E87,武器奇术!$A:$R,15,FALSE)="天工",100%,MIN($C$16,1))</f>
        <v>0.9881</v>
      </c>
      <c r="O87" s="120" t="str">
        <f>VLOOKUP($E87,武器奇术!$A:$R,16,FALSE)</f>
        <v>拳甲</v>
      </c>
      <c r="P87" s="121">
        <f t="shared" si="38"/>
        <v>0.17</v>
      </c>
      <c r="Q87" s="108">
        <f>$B$5*(1+VLOOKUP($E87,武器奇术!$A:$R,5,FALSE)+IF($G$5="飞隼",0.1,0)+IF($G$5="撼天",0.05,0))-$F$9+IF($I$5="√",160,0)</f>
        <v>1731.135</v>
      </c>
      <c r="R87" s="99">
        <f>IF(VLOOKUP($E87,武器奇术!$A:$Z,20,FALSE)=1,(S87-(Q87+S87)*0.5)*($G$15-0.5)*2+(Q87+S87)*0.5,(Q87+S87)*0.5)</f>
        <v>3256.775</v>
      </c>
      <c r="S87" s="109">
        <f>MAX($C$5,$B$5)*(1+VLOOKUP($E87,武器奇术!$A:$R,5,FALSE)+IF($G$5="飞隼",0.1,0)+IF($G$5="撼天",0.05,0))-$F$9+IF($I$5="√",320,0)</f>
        <v>4782.415</v>
      </c>
      <c r="T87" s="101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U87" s="111">
        <f>$E$5+IF(VLOOKUP($E87,武器奇术!$A:$U,21,FALSE)=1,0,0.09)</f>
        <v>0.115</v>
      </c>
      <c r="V87" s="109">
        <v>1</v>
      </c>
      <c r="W87" s="112">
        <f>Q87*VLOOKUP($E87,武器奇术!$A:$R,2,FALSE)*(1+T87)*(1+U87)*V87</f>
        <v>1042.59780892355</v>
      </c>
      <c r="X87" s="110">
        <f>(1-IF(VLOOKUP($E87,武器奇术!$A:$T,20,FALSE)=1,1,$N87))*(1-$M87)</f>
        <v>0.01072666</v>
      </c>
      <c r="Y87" s="112">
        <f>R87*VLOOKUP($E87,武器奇术!$A:$R,2,FALSE)*(1+T87)*(1+U87)*V87*(1+$E$16+VLOOKUP($E87,武器奇术!$A:$R,8,FALSE))</f>
        <v>3216.75122149194</v>
      </c>
      <c r="Z87" s="110">
        <f t="shared" si="1"/>
        <v>0.8813852</v>
      </c>
      <c r="AA87" s="112">
        <f>S87*VLOOKUP($E87,武器奇术!$A:$R,2,FALSE)*(1+T87)*(1+U87)*V87*(1+$E$17+VLOOKUP($E87,武器奇术!$A:$R,10,FALSE))</f>
        <v>3888.36387138506</v>
      </c>
      <c r="AB87" s="110">
        <f t="shared" si="2"/>
        <v>0.0986</v>
      </c>
      <c r="AC87" s="112">
        <f>R87*VLOOKUP($E87,武器奇术!$A:$R,2,FALSE)*(1+T87)*(1+U87)*V87</f>
        <v>1961.43367164143</v>
      </c>
      <c r="AD87" s="110">
        <f t="shared" si="3"/>
        <v>0.00928814000000003</v>
      </c>
      <c r="AE87" s="113">
        <f t="shared" si="4"/>
        <v>3247.99125917947</v>
      </c>
      <c r="AF87" s="114">
        <f>VLOOKUP($E87,武器奇术!$A:$R,3,FALSE)*(1+IF(VLOOKUP($E87,武器奇术!$A:$R,15,FALSE)="武器",$E$15,0))</f>
        <v>157.3</v>
      </c>
      <c r="AG87" s="112">
        <f t="shared" si="5"/>
        <v>157.3</v>
      </c>
      <c r="AH87" s="112">
        <f>VLOOKUP($E87,武器奇术!$A:$R,3,FALSE)*(1+IF(VLOOKUP($E87,武器奇术!$A:$R,15,FALSE)="武器",$E$15,0))</f>
        <v>157.3</v>
      </c>
      <c r="AI87" s="101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0.242</v>
      </c>
      <c r="AJ87" s="111">
        <f>$E$5+IF(VLOOKUP($E87,武器奇术!$A:$U,21,FALSE)=1,0,0.09)</f>
        <v>0.115</v>
      </c>
      <c r="AK87" s="109">
        <v>1</v>
      </c>
      <c r="AL87" s="112">
        <f t="shared" si="6"/>
        <v>217.833759</v>
      </c>
      <c r="AM87" s="110">
        <f>(1-IF(VLOOKUP($E87,武器奇术!$A:$T,20,FALSE)=1,1,$N87))*(1-$M87)</f>
        <v>0.01072666</v>
      </c>
      <c r="AN87" s="112">
        <f>AG87*(1+AI87)*(1+AJ87)*AK87*(1+$E$16+VLOOKUP($E87,武器奇术!$A:$R,8,FALSE))</f>
        <v>357.24736476</v>
      </c>
      <c r="AO87" s="110">
        <f t="shared" si="7"/>
        <v>0.8813852</v>
      </c>
      <c r="AP87" s="112">
        <f>AH87*(1+AI87)*(1+AJ87)*AK87*(1+$E$17+VLOOKUP($E87,武器奇术!$A:$R,10,FALSE))</f>
        <v>294.07557465</v>
      </c>
      <c r="AQ87" s="110">
        <f t="shared" si="8"/>
        <v>0.0986</v>
      </c>
      <c r="AR87" s="112">
        <f t="shared" si="9"/>
        <v>217.833759</v>
      </c>
      <c r="AS87" s="110">
        <f t="shared" si="10"/>
        <v>0.00928814000000003</v>
      </c>
      <c r="AT87" s="113">
        <f t="shared" si="11"/>
        <v>348.228290818589</v>
      </c>
      <c r="AU87" s="108">
        <f>$B$7*IF($G$5="撼天",1.05,1)+IF(AND(VLOOKUP($E87,武器奇术!$A:$R,15,FALSE)="武器",VLOOKUP($E87,武器奇术!$A:$R,17,FALSE)="鸣金"),$E$3,0)*(1+$E$15)</f>
        <v>0</v>
      </c>
      <c r="AV87" s="99">
        <f>(AU87+AW87)*IF(VLOOKUP($E87,武器奇术!$A:$Z,21,FALSE)=1,$G$15,0.5)</f>
        <v>0</v>
      </c>
      <c r="AW87" s="109">
        <f>MAX($C$7*IF($G$5="撼天",1.05,1)+IF(AND(VLOOKUP($E87,武器奇术!$A:$R,15,FALSE)="武器",VLOOKUP($E87,武器奇术!$A:$R,17,FALSE)="鸣金"),$E$3*(1+$E$15),0),AU87)</f>
        <v>0</v>
      </c>
      <c r="AX87" s="110">
        <f>IF(($D$7+IF(VLOOKUP($E87,武器奇术!$A:$R,17,FALSE)="鸣金",$D$15,0)+IF(VLOOKUP($E87,武器奇术!$A:$R,18,FALSE)=1,4,0)+IF(VLOOKUP($E87,武器奇术!$A:$S,19,FALSE)=1,20,0)-VLOOKUP($F$7,目标属性!$A:$R,6,FALSE))&gt;0,($D$7+IF(VLOOKUP($E87,武器奇术!$A:$R,17,FALSE)="鸣金",$D$15,0)+IF(VLOOKUP($E87,武器奇术!$A:$R,18,FALSE)=1,4,0)+IF(VLOOKUP($E87,武器奇术!$A:$S,19,FALSE)=1,20,0)-VLOOKUP($F$7,目标属性!$A:$R,6,FALSE))/200,($D$7+IF(VLOOKUP($E87,武器奇术!$A:$R,17,FALSE)="鸣金",$D$15,0)+IF(VLOOKUP($E87,武器奇术!$A:$R,18,FALSE)=1,4,0)+IF(VLOOKUP($E87,武器奇术!$A:$S,19,FALSE)=1,20,0)-VLOOKUP($F$7,目标属性!$A:$R,6,FALSE))/100)</f>
        <v>-0.24</v>
      </c>
      <c r="AY87" s="111">
        <f t="shared" si="12"/>
        <v>0</v>
      </c>
      <c r="AZ87" s="109">
        <v>1</v>
      </c>
      <c r="BA87" s="112">
        <f>AU87*IF(VLOOKUP($E87,武器奇术!$A:$R,17,FALSE)="鸣金",VLOOKUP($E87,武器奇术!$A:$R,4,FALSE),VLOOKUP($E87,武器奇术!$A:$R,2,FALSE))*(1+AX87)*(1+AY87)*AZ87</f>
        <v>0</v>
      </c>
      <c r="BB87" s="110">
        <f>(1-IF(VLOOKUP($E87,武器奇术!$A:$T,20,FALSE)=1,1,$N87))*(1-$M87)</f>
        <v>0.01072666</v>
      </c>
      <c r="BC87" s="112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10">
        <f t="shared" si="13"/>
        <v>0.8813852</v>
      </c>
      <c r="BE87" s="112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10">
        <f t="shared" si="14"/>
        <v>0.0986</v>
      </c>
      <c r="BG87" s="112">
        <f>AV87*IF(VLOOKUP($E87,武器奇术!$A:$R,17,FALSE)="鸣金",VLOOKUP($E87,武器奇术!$A:$R,4,FALSE),VLOOKUP($E87,武器奇术!$A:$R,2,FALSE))*(1+AX87)*(1+AY87)*AZ87</f>
        <v>0</v>
      </c>
      <c r="BH87" s="110">
        <f t="shared" si="15"/>
        <v>0.00928814000000003</v>
      </c>
      <c r="BI87" s="113">
        <f t="shared" si="16"/>
        <v>0</v>
      </c>
      <c r="BJ87" s="108">
        <f>$B$9*IF($G$5="撼天",1.05,1)+IF(AND(VLOOKUP($E87,武器奇术!$A:$R,15,FALSE)="武器",VLOOKUP($E87,武器奇术!$A:$R,17,FALSE)="裂石"),$E$3,0)*(1+$E$15)</f>
        <v>0</v>
      </c>
      <c r="BK87" s="99">
        <f>(BJ87+BL87)*IF(VLOOKUP($E87,武器奇术!$A:$Z,21,FALSE)=1,$G$15,0.5)</f>
        <v>0</v>
      </c>
      <c r="BL87" s="109">
        <f>MAX($C$9*IF($G$5="撼天",1.05,1)+IF(AND(VLOOKUP($E87,武器奇术!$A:$R,15,FALSE)="武器",VLOOKUP($E87,武器奇术!$A:$R,17,FALSE)="裂石"),$E$3*(1+$E$15),0),BJ87)</f>
        <v>0</v>
      </c>
      <c r="BM87" s="110">
        <f>IF(($D$9+IF(VLOOKUP($E87,武器奇术!$A:$R,17,FALSE)="裂石",$D$15,0)+IF(VLOOKUP($E87,武器奇术!$A:$R,18,FALSE)=1,4,0)+IF(VLOOKUP($E87,武器奇术!$A:$S,19,FALSE)=1,20,0)-VLOOKUP($F$7,目标属性!$A:$R,6,FALSE))&gt;0,($D$9+IF(VLOOKUP($E87,武器奇术!$A:$R,17,FALSE)="裂石",$D$15,0)+IF(VLOOKUP($E87,武器奇术!$A:$R,18,FALSE)=1,4,0)+IF(VLOOKUP($E87,武器奇术!$A:$S,19,FALSE)=1,20,0)-VLOOKUP($F$7,目标属性!$A:$R,6,FALSE))/200,($D$9+IF(VLOOKUP($E87,武器奇术!$A:$R,17,FALSE)="裂石",$D$15,0)+IF(VLOOKUP($E87,武器奇术!$A:$R,18,FALSE)=1,4,0)+IF(VLOOKUP($E87,武器奇术!$A:$S,19,FALSE)=1,20,0)-VLOOKUP($F$7,目标属性!$A:$R,6,FALSE))/100)</f>
        <v>-0.24</v>
      </c>
      <c r="BN87" s="111">
        <f t="shared" si="17"/>
        <v>0</v>
      </c>
      <c r="BO87" s="109">
        <v>1</v>
      </c>
      <c r="BP87" s="112">
        <f>BJ87*IF(VLOOKUP($E87,武器奇术!$A:$R,17,FALSE)="裂石",VLOOKUP($E87,武器奇术!$A:$R,4,FALSE),VLOOKUP($E87,武器奇术!$A:$R,2,FALSE))*(1+BM87)*(1+BN87)*BO87</f>
        <v>0</v>
      </c>
      <c r="BQ87" s="110">
        <f>(1-IF(VLOOKUP($E87,武器奇术!$A:$T,20,FALSE)=1,1,$N87))*(1-$M87)</f>
        <v>0.01072666</v>
      </c>
      <c r="BR87" s="112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10">
        <f t="shared" si="18"/>
        <v>0.8813852</v>
      </c>
      <c r="BT87" s="112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10">
        <f t="shared" si="19"/>
        <v>0.0986</v>
      </c>
      <c r="BV87" s="112">
        <f>BK87*IF(VLOOKUP($E87,武器奇术!$A:$R,17,FALSE)="裂石",VLOOKUP($E87,武器奇术!$A:$R,4,FALSE),VLOOKUP($E87,武器奇术!$A:$R,2,FALSE))*(1+BM87)*(1+BN87)*BO87</f>
        <v>0</v>
      </c>
      <c r="BW87" s="110">
        <f t="shared" si="20"/>
        <v>0.00928814000000003</v>
      </c>
      <c r="BX87" s="113">
        <f t="shared" si="21"/>
        <v>0</v>
      </c>
      <c r="BY87" s="108">
        <f>$B$11*IF($G$5="撼天",1.05,1)+IF(AND(VLOOKUP($E87,武器奇术!$A:$R,15,FALSE)="武器",VLOOKUP($E87,武器奇术!$A:$R,17,FALSE)="牵丝"),$E$3,0)*(1+$E$15)</f>
        <v>0</v>
      </c>
      <c r="BZ87" s="99">
        <f>(BY87+CA87)*IF(VLOOKUP($E87,武器奇术!$A:$Z,21,FALSE)=1,$G$15,0.5)</f>
        <v>0</v>
      </c>
      <c r="CA87" s="109">
        <f>MAX($C$11*IF($G$5="撼天",1.05,1)+IF(AND(VLOOKUP($E87,武器奇术!$A:$R,15,FALSE)="武器",VLOOKUP($E87,武器奇术!$A:$R,17,FALSE)="牵丝"),$E$3*(1+$E$15),0),BY87)</f>
        <v>0</v>
      </c>
      <c r="CB87" s="110">
        <f>IF(($D$11+IF(VLOOKUP($E87,武器奇术!$A:$R,17,FALSE)="牵丝",$D$15,0)+IF(VLOOKUP($E87,武器奇术!$A:$R,18,FALSE)=1,4,0)+IF(VLOOKUP($E87,武器奇术!$A:$S,19,FALSE)=1,20,0)-VLOOKUP($F$7,目标属性!$A:$R,6,FALSE))&gt;0,($D$11+IF(VLOOKUP($E87,武器奇术!$A:$R,17,FALSE)="牵丝",$D$15,0)+IF(VLOOKUP($E87,武器奇术!$A:$R,18,FALSE)=1,4,0)+IF(VLOOKUP($E87,武器奇术!$A:$S,19,FALSE)=1,20,0)-VLOOKUP($F$7,目标属性!$A:$R,6,FALSE))/200,($D$11+IF(VLOOKUP($E87,武器奇术!$A:$R,17,FALSE)="牵丝",$D$15,0)+IF(VLOOKUP($E87,武器奇术!$A:$R,18,FALSE)=1,4,0)+IF(VLOOKUP($E87,武器奇术!$A:$S,19,FALSE)=1,20,0)-VLOOKUP($F$7,目标属性!$A:$R,6,FALSE))/100)</f>
        <v>-0.24</v>
      </c>
      <c r="CC87" s="111">
        <f t="shared" si="22"/>
        <v>0</v>
      </c>
      <c r="CD87" s="109">
        <v>1</v>
      </c>
      <c r="CE87" s="112">
        <f>BY87*IF(VLOOKUP($E87,武器奇术!$A:$R,17,FALSE)="牵丝",VLOOKUP($E87,武器奇术!$A:$R,4,FALSE),VLOOKUP($E87,武器奇术!$A:$R,2,FALSE))*(1+CB87)*(1+CC87)*CD87</f>
        <v>0</v>
      </c>
      <c r="CF87" s="110">
        <f>(1-IF(VLOOKUP($E87,武器奇术!$A:$T,20,FALSE)=1,1,$N87))*(1-$M87)</f>
        <v>0.01072666</v>
      </c>
      <c r="CG87" s="112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110">
        <f t="shared" si="23"/>
        <v>0.8813852</v>
      </c>
      <c r="CI87" s="112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110">
        <f t="shared" si="24"/>
        <v>0.0986</v>
      </c>
      <c r="CK87" s="112">
        <f>BZ87*IF(VLOOKUP($E87,武器奇术!$A:$R,17,FALSE)="牵丝",VLOOKUP($E87,武器奇术!$A:$R,4,FALSE),VLOOKUP($E87,武器奇术!$A:$R,2,FALSE))*(1+CB87)*(1+CC87)*CD87</f>
        <v>0</v>
      </c>
      <c r="CL87" s="110">
        <f t="shared" si="25"/>
        <v>0.00928814000000003</v>
      </c>
      <c r="CM87" s="113">
        <f t="shared" si="26"/>
        <v>0</v>
      </c>
      <c r="CN87" s="108">
        <f>$B$13*IF($G$5="撼天",1.05,1)+IF(AND(VLOOKUP($E87,武器奇术!$A:$R,15,FALSE)="武器",VLOOKUP($E87,武器奇术!$A:$R,17,FALSE)="破竹"),$E$3,0)*(1+$E$15)</f>
        <v>648.46</v>
      </c>
      <c r="CO87" s="99">
        <f>(CN87+CP87)*IF(VLOOKUP($E87,武器奇术!$A:$Z,21,FALSE)=1,$G$15,0.5)</f>
        <v>875.26</v>
      </c>
      <c r="CP87" s="109">
        <f>MAX($C$13*IF($G$5="撼天",1.05,1)+IF(AND(VLOOKUP($E87,武器奇术!$A:$R,15,FALSE)="武器",VLOOKUP($E87,武器奇术!$A:$R,17,FALSE)="破竹"),$E$3*(1+$E$15),0),CN87)</f>
        <v>1102.06</v>
      </c>
      <c r="CQ87" s="110">
        <f>IF(($D$13+IF(VLOOKUP($E87,武器奇术!$A:$R,17,FALSE)="破竹",$D$15,0)+IF(VLOOKUP($E87,武器奇术!$A:$R,18,FALSE)=1,4,0)+IF(VLOOKUP($E87,武器奇术!$A:$S,19,FALSE)=1,20,0)-VLOOKUP($F$7,目标属性!$A:$R,6,FALSE))&gt;0,($D$13+IF(VLOOKUP($E87,武器奇术!$A:$R,17,FALSE)="破竹",$D$15,0)+IF(VLOOKUP($E87,武器奇术!$A:$R,18,FALSE)=1,4,0)+IF(VLOOKUP($E87,武器奇术!$A:$S,19,FALSE)=1,20,0)-VLOOKUP($F$7,目标属性!$A:$R,6,FALSE))/200,($D$13+IF(VLOOKUP($E87,武器奇术!$A:$R,17,FALSE)="破竹",$D$15,0)+IF(VLOOKUP($E87,武器奇术!$A:$R,18,FALSE)=1,4,0)+IF(VLOOKUP($E87,武器奇术!$A:$S,19,FALSE)=1,20,0)-VLOOKUP($F$7,目标属性!$A:$R,6,FALSE))/100)</f>
        <v>0.025</v>
      </c>
      <c r="CR87" s="111">
        <f>$E$13+IF(VLOOKUP($E87,武器奇术!$A:$U,21,FALSE)=1,0,0.09)</f>
        <v>0.235</v>
      </c>
      <c r="CS87" s="109">
        <v>1</v>
      </c>
      <c r="CT87" s="112">
        <f>CN87*IF(VLOOKUP($E87,武器奇术!$A:$R,17,FALSE)="破竹",VLOOKUP($E87,武器奇术!$A:$R,4,FALSE),VLOOKUP($E87,武器奇术!$A:$R,2,FALSE))*(1+CQ87)*(1+CR87)*CS87</f>
        <v>535.45304602075</v>
      </c>
      <c r="CU87" s="110">
        <f>(1-IF(VLOOKUP($E87,武器奇术!$A:$T,20,FALSE)=1,1,$N87))*(1-$M87)</f>
        <v>0.01072666</v>
      </c>
      <c r="CV87" s="112">
        <f>CO87*IF(VLOOKUP($E87,武器奇术!$A:$R,17,FALSE)="破竹",VLOOKUP($E87,武器奇术!$A:$R,4,FALSE),VLOOKUP($E87,武器奇术!$A:$R,2,FALSE))*(1+CQ87)*(1+CR87)*CS87*(1+$E$16+VLOOKUP($E87,武器奇术!$A:$R,8,FALSE))</f>
        <v>1185.27501807143</v>
      </c>
      <c r="CW87" s="110">
        <f t="shared" si="27"/>
        <v>0.8813852</v>
      </c>
      <c r="CX87" s="112">
        <f>CP87*IF(VLOOKUP($E87,武器奇术!$A:$R,17,FALSE)="破竹",VLOOKUP($E87,武器奇术!$A:$R,4,FALSE),VLOOKUP($E87,武器奇术!$A:$R,2,FALSE))*(1+CQ87)*(1+CR87)*CS87*(1+$E$17+VLOOKUP($E87,武器奇术!$A:$R,10,FALSE))</f>
        <v>1228.50579567251</v>
      </c>
      <c r="CY87" s="110">
        <f t="shared" si="28"/>
        <v>0.0986</v>
      </c>
      <c r="CZ87" s="112">
        <f>CO87*IF(VLOOKUP($E87,武器奇术!$A:$R,17,FALSE)="破竹",VLOOKUP($E87,武器奇术!$A:$R,4,FALSE),VLOOKUP($E87,武器奇术!$A:$R,2,FALSE))*(1+CQ87)*(1+CR87)*CS87</f>
        <v>722.72866955575</v>
      </c>
      <c r="DA87" s="110">
        <f t="shared" si="29"/>
        <v>0.00928814000000003</v>
      </c>
      <c r="DB87" s="113">
        <f t="shared" si="30"/>
        <v>1178.27095814668</v>
      </c>
      <c r="DC87" s="108">
        <f t="shared" si="31"/>
        <v>69.3</v>
      </c>
      <c r="DD87" s="99">
        <f>(DC87+DE87)*IF(VLOOKUP($E87,武器奇术!$A:$Z,21,FALSE)=1,$G$15,0.5)</f>
        <v>69.3</v>
      </c>
      <c r="DE87" s="109">
        <f t="shared" si="32"/>
        <v>69.3</v>
      </c>
      <c r="DF87" s="110">
        <f>IF(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R,18,FALSE)=1,4,0)+IF(VLOOKUP($E87,武器奇术!$A:$S,19,FALSE)=1,20,0)-VLOOKUP($F$7,目标属性!$A:$R,6,FALSE))/100)</f>
        <v>0.025</v>
      </c>
      <c r="DG87" s="111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U,21,FALSE)=1,0,0.09)</f>
        <v>0.235</v>
      </c>
      <c r="DH87" s="109">
        <v>1</v>
      </c>
      <c r="DI87" s="112">
        <f>DC87*IF(VLOOKUP($E87,武器奇术!$A:$R,17,FALSE)="破竹",VLOOKUP($E87,武器奇术!$A:$R,4,FALSE),VLOOKUP($E87,武器奇术!$A:$R,2,FALSE))*(1+DF87)*(1+DG87)*DH87</f>
        <v>57.22310719125</v>
      </c>
      <c r="DJ87" s="110">
        <f>(1-IF(VLOOKUP($E87,武器奇术!$A:$T,20,FALSE)=1,1,$N87))*(1-$M87)</f>
        <v>0.01072666</v>
      </c>
      <c r="DK87" s="112">
        <f>DD87*IF(VLOOKUP($E87,武器奇术!$A:$R,17,FALSE)="破竹",VLOOKUP($E87,武器奇术!$A:$R,4,FALSE),VLOOKUP($E87,武器奇术!$A:$R,2,FALSE))*(1+DF87)*(1+DG87)*DH87*(1+$E$16+VLOOKUP($E87,武器奇术!$A:$R,8,FALSE))</f>
        <v>93.84589579365</v>
      </c>
      <c r="DL87" s="110">
        <f t="shared" si="33"/>
        <v>0.8813852</v>
      </c>
      <c r="DM87" s="112">
        <f>DE87*IF(VLOOKUP($E87,武器奇术!$A:$R,17,FALSE)="破竹",VLOOKUP($E87,武器奇术!$A:$R,4,FALSE),VLOOKUP($E87,武器奇术!$A:$R,2,FALSE))*(1+DF87)*(1+DG87)*DH87*(1+$E$17+VLOOKUP($E87,武器奇术!$A:$R,10,FALSE))</f>
        <v>77.2511947081875</v>
      </c>
      <c r="DN87" s="110">
        <f t="shared" si="34"/>
        <v>0.0986</v>
      </c>
      <c r="DO87" s="112">
        <f>DD87*IF(VLOOKUP($E87,武器奇术!$A:$R,17,FALSE)="破竹",VLOOKUP($E87,武器奇术!$A:$R,4,FALSE),VLOOKUP($E87,武器奇术!$A:$R,2,FALSE))*(1+DF87)*(1+DG87)*DH87</f>
        <v>57.22310719125</v>
      </c>
      <c r="DP87" s="110">
        <f t="shared" si="35"/>
        <v>0.00928814000000003</v>
      </c>
      <c r="DQ87" s="113">
        <f t="shared" si="36"/>
        <v>91.4766604773041</v>
      </c>
    </row>
    <row r="88" customFormat="1" spans="1:121">
      <c r="A88" s="75"/>
      <c r="B88" s="75"/>
      <c r="C88" s="75"/>
      <c r="D88" s="75"/>
      <c r="E88" s="98" t="str">
        <f>期望!E88</f>
        <v>拳甲普攻3</v>
      </c>
      <c r="F88" s="99">
        <f>期望!F88</f>
        <v>1</v>
      </c>
      <c r="G88" s="115"/>
      <c r="H88" s="149">
        <f>IF(VLOOKUP($E88,武器奇术!$A:$R,18,FALSE)="天工",AE88,(AE88+AT88+BI88+BX88+CM88+DB88+DQ88))*(1+J88)*F88*K88*(1+G88)*(1+$G$21*5%)</f>
        <v>5630.79822215335</v>
      </c>
      <c r="I88" s="101">
        <f t="shared" si="0"/>
        <v>0.000695194755739799</v>
      </c>
      <c r="J88" s="101">
        <f>$F$3+VLOOKUP($E88,武器奇术!$A:$R,12,FALSE)+VLOOKUP($E88,武器奇术!$A:$R,14,FALSE)*$G$3+$P88</f>
        <v>0.473</v>
      </c>
      <c r="K88" s="102">
        <f>VLOOKUP($E88,武器奇术!$A:$R,11,FALSE)</f>
        <v>1</v>
      </c>
      <c r="L88" s="117">
        <f>IF(VLOOKUP($E88,武器奇术!$A:$R,15,FALSE)="天工",0%,IF($C$17+VLOOKUP($E88,武器奇术!$A:$R,7,FALSE)&gt;80%,80%,$C$17+VLOOKUP($E88,武器奇术!$A:$R,7,FALSE))+IF($C$19&gt;20%,20%,$C$19))</f>
        <v>0.892</v>
      </c>
      <c r="M88" s="118">
        <f>IF(VLOOKUP($E88,武器奇术!$A:$R,15,FALSE)="天工",0%,IF($C$18+VLOOKUP($E88,武器奇术!$A:$R,9,FALSE)&gt;40%,40%,$C$18+VLOOKUP($E88,武器奇术!$A:$R,9,FALSE))+IF($C$20&gt;10%,10%,$C$20))</f>
        <v>0.0986</v>
      </c>
      <c r="N88" s="119">
        <f>IF(VLOOKUP($E88,武器奇术!$A:$R,15,FALSE)="天工",100%,MIN($C$16,1))</f>
        <v>0.9881</v>
      </c>
      <c r="O88" s="120" t="str">
        <f>VLOOKUP($E88,武器奇术!$A:$R,16,FALSE)</f>
        <v>拳甲</v>
      </c>
      <c r="P88" s="121">
        <f t="shared" si="38"/>
        <v>0.17</v>
      </c>
      <c r="Q88" s="108">
        <f>$B$5*(1+VLOOKUP($E88,武器奇术!$A:$R,5,FALSE)+IF($G$5="飞隼",0.1,0)+IF($G$5="撼天",0.05,0))-$F$9+IF($I$5="√",160,0)</f>
        <v>1731.135</v>
      </c>
      <c r="R88" s="99">
        <f>IF(VLOOKUP($E88,武器奇术!$A:$Z,20,FALSE)=1,(S88-(Q88+S88)*0.5)*($G$15-0.5)*2+(Q88+S88)*0.5,(Q88+S88)*0.5)</f>
        <v>3256.775</v>
      </c>
      <c r="S88" s="109">
        <f>MAX($C$5,$B$5)*(1+VLOOKUP($E88,武器奇术!$A:$R,5,FALSE)+IF($G$5="飞隼",0.1,0)+IF($G$5="撼天",0.05,0))-$F$9+IF($I$5="√",320,0)</f>
        <v>4782.415</v>
      </c>
      <c r="T88" s="101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U88" s="111">
        <f>$E$5+IF(VLOOKUP($E88,武器奇术!$A:$U,21,FALSE)=1,0,0.09)</f>
        <v>0.115</v>
      </c>
      <c r="V88" s="109">
        <v>1</v>
      </c>
      <c r="W88" s="112">
        <f>Q88*VLOOKUP($E88,武器奇术!$A:$R,2,FALSE)*(1+T88)*(1+U88)*V88</f>
        <v>606.284170790445</v>
      </c>
      <c r="X88" s="110">
        <f>(1-IF(VLOOKUP($E88,武器奇术!$A:$T,20,FALSE)=1,1,$N88))*(1-$M88)</f>
        <v>0.01072666</v>
      </c>
      <c r="Y88" s="112">
        <f>R88*VLOOKUP($E88,武器奇术!$A:$R,2,FALSE)*(1+T88)*(1+U88)*V88*(1+$E$16+VLOOKUP($E88,武器奇术!$A:$R,8,FALSE))</f>
        <v>1870.58262569628</v>
      </c>
      <c r="Z88" s="110">
        <f t="shared" si="1"/>
        <v>0.8813852</v>
      </c>
      <c r="AA88" s="112">
        <f>S88*VLOOKUP($E88,武器奇术!$A:$R,2,FALSE)*(1+T88)*(1+U88)*V88*(1+$E$17+VLOOKUP($E88,武器奇术!$A:$R,10,FALSE))</f>
        <v>2261.1341068597</v>
      </c>
      <c r="AB88" s="110">
        <f t="shared" si="2"/>
        <v>0.0986</v>
      </c>
      <c r="AC88" s="112">
        <f>R88*VLOOKUP($E88,武器奇术!$A:$R,2,FALSE)*(1+T88)*(1+U88)*V88</f>
        <v>1140.59916200993</v>
      </c>
      <c r="AD88" s="110">
        <f t="shared" si="3"/>
        <v>0.00928814000000003</v>
      </c>
      <c r="AE88" s="113">
        <f t="shared" si="4"/>
        <v>1888.74911346629</v>
      </c>
      <c r="AF88" s="114">
        <f>VLOOKUP($E88,武器奇术!$A:$R,3,FALSE)*(1+IF(VLOOKUP($E88,武器奇术!$A:$R,15,FALSE)="武器",$E$15,0))</f>
        <v>92.3</v>
      </c>
      <c r="AG88" s="112">
        <f t="shared" si="5"/>
        <v>92.3</v>
      </c>
      <c r="AH88" s="112">
        <f>VLOOKUP($E88,武器奇术!$A:$R,3,FALSE)*(1+IF(VLOOKUP($E88,武器奇术!$A:$R,15,FALSE)="武器",$E$15,0))</f>
        <v>92.3</v>
      </c>
      <c r="AI88" s="101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0.242</v>
      </c>
      <c r="AJ88" s="111">
        <f>$E$5+IF(VLOOKUP($E88,武器奇术!$A:$U,21,FALSE)=1,0,0.09)</f>
        <v>0.115</v>
      </c>
      <c r="AK88" s="109">
        <v>1</v>
      </c>
      <c r="AL88" s="112">
        <f t="shared" si="6"/>
        <v>127.819809</v>
      </c>
      <c r="AM88" s="110">
        <f>(1-IF(VLOOKUP($E88,武器奇术!$A:$T,20,FALSE)=1,1,$N88))*(1-$M88)</f>
        <v>0.01072666</v>
      </c>
      <c r="AN88" s="112">
        <f>AG88*(1+AI88)*(1+AJ88)*AK88*(1+$E$16+VLOOKUP($E88,武器奇术!$A:$R,8,FALSE))</f>
        <v>209.62448676</v>
      </c>
      <c r="AO88" s="110">
        <f t="shared" si="7"/>
        <v>0.8813852</v>
      </c>
      <c r="AP88" s="112">
        <f>AH88*(1+AI88)*(1+AJ88)*AK88*(1+$E$17+VLOOKUP($E88,武器奇术!$A:$R,10,FALSE))</f>
        <v>172.55674215</v>
      </c>
      <c r="AQ88" s="110">
        <f t="shared" si="8"/>
        <v>0.0986</v>
      </c>
      <c r="AR88" s="112">
        <f t="shared" si="9"/>
        <v>127.819809</v>
      </c>
      <c r="AS88" s="110">
        <f t="shared" si="10"/>
        <v>0.00928814000000003</v>
      </c>
      <c r="AT88" s="113">
        <f t="shared" si="11"/>
        <v>204.332302877023</v>
      </c>
      <c r="AU88" s="108">
        <f>$B$7*IF($G$5="撼天",1.05,1)+IF(AND(VLOOKUP($E88,武器奇术!$A:$R,15,FALSE)="武器",VLOOKUP($E88,武器奇术!$A:$R,17,FALSE)="鸣金"),$E$3,0)*(1+$E$15)</f>
        <v>0</v>
      </c>
      <c r="AV88" s="99">
        <f>(AU88+AW88)*IF(VLOOKUP($E88,武器奇术!$A:$Z,21,FALSE)=1,$G$15,0.5)</f>
        <v>0</v>
      </c>
      <c r="AW88" s="109">
        <f>MAX($C$7*IF($G$5="撼天",1.05,1)+IF(AND(VLOOKUP($E88,武器奇术!$A:$R,15,FALSE)="武器",VLOOKUP($E88,武器奇术!$A:$R,17,FALSE)="鸣金"),$E$3*(1+$E$15),0),AU88)</f>
        <v>0</v>
      </c>
      <c r="AX88" s="110">
        <f>IF(($D$7+IF(VLOOKUP($E88,武器奇术!$A:$R,17,FALSE)="鸣金",$D$15,0)+IF(VLOOKUP($E88,武器奇术!$A:$R,18,FALSE)=1,4,0)+IF(VLOOKUP($E88,武器奇术!$A:$S,19,FALSE)=1,20,0)-VLOOKUP($F$7,目标属性!$A:$R,6,FALSE))&gt;0,($D$7+IF(VLOOKUP($E88,武器奇术!$A:$R,17,FALSE)="鸣金",$D$15,0)+IF(VLOOKUP($E88,武器奇术!$A:$R,18,FALSE)=1,4,0)+IF(VLOOKUP($E88,武器奇术!$A:$S,19,FALSE)=1,20,0)-VLOOKUP($F$7,目标属性!$A:$R,6,FALSE))/200,($D$7+IF(VLOOKUP($E88,武器奇术!$A:$R,17,FALSE)="鸣金",$D$15,0)+IF(VLOOKUP($E88,武器奇术!$A:$R,18,FALSE)=1,4,0)+IF(VLOOKUP($E88,武器奇术!$A:$S,19,FALSE)=1,20,0)-VLOOKUP($F$7,目标属性!$A:$R,6,FALSE))/100)</f>
        <v>-0.24</v>
      </c>
      <c r="AY88" s="111">
        <f t="shared" si="12"/>
        <v>0</v>
      </c>
      <c r="AZ88" s="109">
        <v>1</v>
      </c>
      <c r="BA88" s="112">
        <f>AU88*IF(VLOOKUP($E88,武器奇术!$A:$R,17,FALSE)="鸣金",VLOOKUP($E88,武器奇术!$A:$R,4,FALSE),VLOOKUP($E88,武器奇术!$A:$R,2,FALSE))*(1+AX88)*(1+AY88)*AZ88</f>
        <v>0</v>
      </c>
      <c r="BB88" s="110">
        <f>(1-IF(VLOOKUP($E88,武器奇术!$A:$T,20,FALSE)=1,1,$N88))*(1-$M88)</f>
        <v>0.01072666</v>
      </c>
      <c r="BC88" s="112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10">
        <f t="shared" si="13"/>
        <v>0.8813852</v>
      </c>
      <c r="BE88" s="112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10">
        <f t="shared" si="14"/>
        <v>0.0986</v>
      </c>
      <c r="BG88" s="112">
        <f>AV88*IF(VLOOKUP($E88,武器奇术!$A:$R,17,FALSE)="鸣金",VLOOKUP($E88,武器奇术!$A:$R,4,FALSE),VLOOKUP($E88,武器奇术!$A:$R,2,FALSE))*(1+AX88)*(1+AY88)*AZ88</f>
        <v>0</v>
      </c>
      <c r="BH88" s="110">
        <f t="shared" si="15"/>
        <v>0.00928814000000003</v>
      </c>
      <c r="BI88" s="113">
        <f t="shared" si="16"/>
        <v>0</v>
      </c>
      <c r="BJ88" s="108">
        <f>$B$9*IF($G$5="撼天",1.05,1)+IF(AND(VLOOKUP($E88,武器奇术!$A:$R,15,FALSE)="武器",VLOOKUP($E88,武器奇术!$A:$R,17,FALSE)="裂石"),$E$3,0)*(1+$E$15)</f>
        <v>0</v>
      </c>
      <c r="BK88" s="99">
        <f>(BJ88+BL88)*IF(VLOOKUP($E88,武器奇术!$A:$Z,21,FALSE)=1,$G$15,0.5)</f>
        <v>0</v>
      </c>
      <c r="BL88" s="109">
        <f>MAX($C$9*IF($G$5="撼天",1.05,1)+IF(AND(VLOOKUP($E88,武器奇术!$A:$R,15,FALSE)="武器",VLOOKUP($E88,武器奇术!$A:$R,17,FALSE)="裂石"),$E$3*(1+$E$15),0),BJ88)</f>
        <v>0</v>
      </c>
      <c r="BM88" s="110">
        <f>IF(($D$9+IF(VLOOKUP($E88,武器奇术!$A:$R,17,FALSE)="裂石",$D$15,0)+IF(VLOOKUP($E88,武器奇术!$A:$R,18,FALSE)=1,4,0)+IF(VLOOKUP($E88,武器奇术!$A:$S,19,FALSE)=1,20,0)-VLOOKUP($F$7,目标属性!$A:$R,6,FALSE))&gt;0,($D$9+IF(VLOOKUP($E88,武器奇术!$A:$R,17,FALSE)="裂石",$D$15,0)+IF(VLOOKUP($E88,武器奇术!$A:$R,18,FALSE)=1,4,0)+IF(VLOOKUP($E88,武器奇术!$A:$S,19,FALSE)=1,20,0)-VLOOKUP($F$7,目标属性!$A:$R,6,FALSE))/200,($D$9+IF(VLOOKUP($E88,武器奇术!$A:$R,17,FALSE)="裂石",$D$15,0)+IF(VLOOKUP($E88,武器奇术!$A:$R,18,FALSE)=1,4,0)+IF(VLOOKUP($E88,武器奇术!$A:$S,19,FALSE)=1,20,0)-VLOOKUP($F$7,目标属性!$A:$R,6,FALSE))/100)</f>
        <v>-0.24</v>
      </c>
      <c r="BN88" s="111">
        <f t="shared" si="17"/>
        <v>0</v>
      </c>
      <c r="BO88" s="109">
        <v>1</v>
      </c>
      <c r="BP88" s="112">
        <f>BJ88*IF(VLOOKUP($E88,武器奇术!$A:$R,17,FALSE)="裂石",VLOOKUP($E88,武器奇术!$A:$R,4,FALSE),VLOOKUP($E88,武器奇术!$A:$R,2,FALSE))*(1+BM88)*(1+BN88)*BO88</f>
        <v>0</v>
      </c>
      <c r="BQ88" s="110">
        <f>(1-IF(VLOOKUP($E88,武器奇术!$A:$T,20,FALSE)=1,1,$N88))*(1-$M88)</f>
        <v>0.01072666</v>
      </c>
      <c r="BR88" s="112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10">
        <f t="shared" si="18"/>
        <v>0.8813852</v>
      </c>
      <c r="BT88" s="112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10">
        <f t="shared" si="19"/>
        <v>0.0986</v>
      </c>
      <c r="BV88" s="112">
        <f>BK88*IF(VLOOKUP($E88,武器奇术!$A:$R,17,FALSE)="裂石",VLOOKUP($E88,武器奇术!$A:$R,4,FALSE),VLOOKUP($E88,武器奇术!$A:$R,2,FALSE))*(1+BM88)*(1+BN88)*BO88</f>
        <v>0</v>
      </c>
      <c r="BW88" s="110">
        <f t="shared" si="20"/>
        <v>0.00928814000000003</v>
      </c>
      <c r="BX88" s="113">
        <f t="shared" si="21"/>
        <v>0</v>
      </c>
      <c r="BY88" s="108">
        <f>$B$11*IF($G$5="撼天",1.05,1)+IF(AND(VLOOKUP($E88,武器奇术!$A:$R,15,FALSE)="武器",VLOOKUP($E88,武器奇术!$A:$R,17,FALSE)="牵丝"),$E$3,0)*(1+$E$15)</f>
        <v>0</v>
      </c>
      <c r="BZ88" s="99">
        <f>(BY88+CA88)*IF(VLOOKUP($E88,武器奇术!$A:$Z,21,FALSE)=1,$G$15,0.5)</f>
        <v>0</v>
      </c>
      <c r="CA88" s="109">
        <f>MAX($C$11*IF($G$5="撼天",1.05,1)+IF(AND(VLOOKUP($E88,武器奇术!$A:$R,15,FALSE)="武器",VLOOKUP($E88,武器奇术!$A:$R,17,FALSE)="牵丝"),$E$3*(1+$E$15),0),BY88)</f>
        <v>0</v>
      </c>
      <c r="CB88" s="110">
        <f>IF(($D$11+IF(VLOOKUP($E88,武器奇术!$A:$R,17,FALSE)="牵丝",$D$15,0)+IF(VLOOKUP($E88,武器奇术!$A:$R,18,FALSE)=1,4,0)+IF(VLOOKUP($E88,武器奇术!$A:$S,19,FALSE)=1,20,0)-VLOOKUP($F$7,目标属性!$A:$R,6,FALSE))&gt;0,($D$11+IF(VLOOKUP($E88,武器奇术!$A:$R,17,FALSE)="牵丝",$D$15,0)+IF(VLOOKUP($E88,武器奇术!$A:$R,18,FALSE)=1,4,0)+IF(VLOOKUP($E88,武器奇术!$A:$S,19,FALSE)=1,20,0)-VLOOKUP($F$7,目标属性!$A:$R,6,FALSE))/200,($D$11+IF(VLOOKUP($E88,武器奇术!$A:$R,17,FALSE)="牵丝",$D$15,0)+IF(VLOOKUP($E88,武器奇术!$A:$R,18,FALSE)=1,4,0)+IF(VLOOKUP($E88,武器奇术!$A:$S,19,FALSE)=1,20,0)-VLOOKUP($F$7,目标属性!$A:$R,6,FALSE))/100)</f>
        <v>-0.24</v>
      </c>
      <c r="CC88" s="111">
        <f t="shared" si="22"/>
        <v>0</v>
      </c>
      <c r="CD88" s="109">
        <v>1</v>
      </c>
      <c r="CE88" s="112">
        <f>BY88*IF(VLOOKUP($E88,武器奇术!$A:$R,17,FALSE)="牵丝",VLOOKUP($E88,武器奇术!$A:$R,4,FALSE),VLOOKUP($E88,武器奇术!$A:$R,2,FALSE))*(1+CB88)*(1+CC88)*CD88</f>
        <v>0</v>
      </c>
      <c r="CF88" s="110">
        <f>(1-IF(VLOOKUP($E88,武器奇术!$A:$T,20,FALSE)=1,1,$N88))*(1-$M88)</f>
        <v>0.01072666</v>
      </c>
      <c r="CG88" s="112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110">
        <f t="shared" si="23"/>
        <v>0.8813852</v>
      </c>
      <c r="CI88" s="112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110">
        <f t="shared" si="24"/>
        <v>0.0986</v>
      </c>
      <c r="CK88" s="112">
        <f>BZ88*IF(VLOOKUP($E88,武器奇术!$A:$R,17,FALSE)="牵丝",VLOOKUP($E88,武器奇术!$A:$R,4,FALSE),VLOOKUP($E88,武器奇术!$A:$R,2,FALSE))*(1+CB88)*(1+CC88)*CD88</f>
        <v>0</v>
      </c>
      <c r="CL88" s="110">
        <f t="shared" si="25"/>
        <v>0.00928814000000003</v>
      </c>
      <c r="CM88" s="113">
        <f t="shared" si="26"/>
        <v>0</v>
      </c>
      <c r="CN88" s="108">
        <f>$B$13*IF($G$5="撼天",1.05,1)+IF(AND(VLOOKUP($E88,武器奇术!$A:$R,15,FALSE)="武器",VLOOKUP($E88,武器奇术!$A:$R,17,FALSE)="破竹"),$E$3,0)*(1+$E$15)</f>
        <v>648.46</v>
      </c>
      <c r="CO88" s="99">
        <f>(CN88+CP88)*IF(VLOOKUP($E88,武器奇术!$A:$Z,21,FALSE)=1,$G$15,0.5)</f>
        <v>875.26</v>
      </c>
      <c r="CP88" s="109">
        <f>MAX($C$13*IF($G$5="撼天",1.05,1)+IF(AND(VLOOKUP($E88,武器奇术!$A:$R,15,FALSE)="武器",VLOOKUP($E88,武器奇术!$A:$R,17,FALSE)="破竹"),$E$3*(1+$E$15),0),CN88)</f>
        <v>1102.06</v>
      </c>
      <c r="CQ88" s="110">
        <f>IF(($D$13+IF(VLOOKUP($E88,武器奇术!$A:$R,17,FALSE)="破竹",$D$15,0)+IF(VLOOKUP($E88,武器奇术!$A:$R,18,FALSE)=1,4,0)+IF(VLOOKUP($E88,武器奇术!$A:$S,19,FALSE)=1,20,0)-VLOOKUP($F$7,目标属性!$A:$R,6,FALSE))&gt;0,($D$13+IF(VLOOKUP($E88,武器奇术!$A:$R,17,FALSE)="破竹",$D$15,0)+IF(VLOOKUP($E88,武器奇术!$A:$R,18,FALSE)=1,4,0)+IF(VLOOKUP($E88,武器奇术!$A:$S,19,FALSE)=1,20,0)-VLOOKUP($F$7,目标属性!$A:$R,6,FALSE))/200,($D$13+IF(VLOOKUP($E88,武器奇术!$A:$R,17,FALSE)="破竹",$D$15,0)+IF(VLOOKUP($E88,武器奇术!$A:$R,18,FALSE)=1,4,0)+IF(VLOOKUP($E88,武器奇术!$A:$S,19,FALSE)=1,20,0)-VLOOKUP($F$7,目标属性!$A:$R,6,FALSE))/100)</f>
        <v>0.025</v>
      </c>
      <c r="CR88" s="111">
        <f>$E$13+IF(VLOOKUP($E88,武器奇术!$A:$U,21,FALSE)=1,0,0.09)</f>
        <v>0.235</v>
      </c>
      <c r="CS88" s="109">
        <v>1</v>
      </c>
      <c r="CT88" s="112">
        <f>CN88*IF(VLOOKUP($E88,武器奇术!$A:$R,17,FALSE)="破竹",VLOOKUP($E88,武器奇术!$A:$R,4,FALSE),VLOOKUP($E88,武器奇术!$A:$R,2,FALSE))*(1+CQ88)*(1+CR88)*CS88</f>
        <v>311.4378133685</v>
      </c>
      <c r="CU88" s="110">
        <f>(1-IF(VLOOKUP($E88,武器奇术!$A:$T,20,FALSE)=1,1,$N88))*(1-$M88)</f>
        <v>0.01072666</v>
      </c>
      <c r="CV88" s="112">
        <f>CO88*IF(VLOOKUP($E88,武器奇术!$A:$R,17,FALSE)="破竹",VLOOKUP($E88,武器奇术!$A:$R,4,FALSE),VLOOKUP($E88,武器奇术!$A:$R,2,FALSE))*(1+CQ88)*(1+CR88)*CS88*(1+$E$16+VLOOKUP($E88,武器奇术!$A:$R,8,FALSE))</f>
        <v>689.39650752154</v>
      </c>
      <c r="CW88" s="110">
        <f t="shared" si="27"/>
        <v>0.8813852</v>
      </c>
      <c r="CX88" s="112">
        <f>CP88*IF(VLOOKUP($E88,武器奇术!$A:$R,17,FALSE)="破竹",VLOOKUP($E88,武器奇术!$A:$R,4,FALSE),VLOOKUP($E88,武器奇术!$A:$R,2,FALSE))*(1+CQ88)*(1+CR88)*CS88*(1+$E$17+VLOOKUP($E88,武器奇术!$A:$R,10,FALSE))</f>
        <v>714.541007018475</v>
      </c>
      <c r="CY88" s="110">
        <f t="shared" si="28"/>
        <v>0.0986</v>
      </c>
      <c r="CZ88" s="112">
        <f>CO88*IF(VLOOKUP($E88,武器奇术!$A:$R,17,FALSE)="破竹",VLOOKUP($E88,武器奇术!$A:$R,4,FALSE),VLOOKUP($E88,武器奇术!$A:$R,2,FALSE))*(1+CQ88)*(1+CR88)*CS88</f>
        <v>420.3637240985</v>
      </c>
      <c r="DA88" s="110">
        <f t="shared" si="29"/>
        <v>0.00928814000000003</v>
      </c>
      <c r="DB88" s="113">
        <f t="shared" si="30"/>
        <v>685.322706608691</v>
      </c>
      <c r="DC88" s="108">
        <f t="shared" si="31"/>
        <v>69.3</v>
      </c>
      <c r="DD88" s="99">
        <f>(DC88+DE88)*IF(VLOOKUP($E88,武器奇术!$A:$Z,21,FALSE)=1,$G$15,0.5)</f>
        <v>69.3</v>
      </c>
      <c r="DE88" s="109">
        <f t="shared" si="32"/>
        <v>69.3</v>
      </c>
      <c r="DF88" s="110">
        <f>IF(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R,18,FALSE)=1,4,0)+IF(VLOOKUP($E88,武器奇术!$A:$S,19,FALSE)=1,20,0)-VLOOKUP($F$7,目标属性!$A:$R,6,FALSE))/100)</f>
        <v>0.025</v>
      </c>
      <c r="DG88" s="111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U,21,FALSE)=1,0,0.09)</f>
        <v>0.235</v>
      </c>
      <c r="DH88" s="109">
        <v>1</v>
      </c>
      <c r="DI88" s="112">
        <f>DC88*IF(VLOOKUP($E88,武器奇术!$A:$R,17,FALSE)="破竹",VLOOKUP($E88,武器奇术!$A:$R,4,FALSE),VLOOKUP($E88,武器奇术!$A:$R,2,FALSE))*(1+DF88)*(1+DG88)*DH88</f>
        <v>33.2829171675</v>
      </c>
      <c r="DJ88" s="110">
        <f>(1-IF(VLOOKUP($E88,武器奇术!$A:$T,20,FALSE)=1,1,$N88))*(1-$M88)</f>
        <v>0.01072666</v>
      </c>
      <c r="DK88" s="112">
        <f>DD88*IF(VLOOKUP($E88,武器奇术!$A:$R,17,FALSE)="破竹",VLOOKUP($E88,武器奇术!$A:$R,4,FALSE),VLOOKUP($E88,武器奇术!$A:$R,2,FALSE))*(1+DF88)*(1+DG88)*DH88*(1+$E$16+VLOOKUP($E88,武器奇术!$A:$R,8,FALSE))</f>
        <v>54.5839841547</v>
      </c>
      <c r="DL88" s="110">
        <f t="shared" si="33"/>
        <v>0.8813852</v>
      </c>
      <c r="DM88" s="112">
        <f>DE88*IF(VLOOKUP($E88,武器奇术!$A:$R,17,FALSE)="破竹",VLOOKUP($E88,武器奇术!$A:$R,4,FALSE),VLOOKUP($E88,武器奇术!$A:$R,2,FALSE))*(1+DF88)*(1+DG88)*DH88*(1+$E$17+VLOOKUP($E88,武器奇术!$A:$R,10,FALSE))</f>
        <v>44.931938176125</v>
      </c>
      <c r="DN88" s="110">
        <f t="shared" si="34"/>
        <v>0.0986</v>
      </c>
      <c r="DO88" s="112">
        <f>DD88*IF(VLOOKUP($E88,武器奇术!$A:$R,17,FALSE)="破竹",VLOOKUP($E88,武器奇术!$A:$R,4,FALSE),VLOOKUP($E88,武器奇术!$A:$R,2,FALSE))*(1+DF88)*(1+DG88)*DH88</f>
        <v>33.2829171675</v>
      </c>
      <c r="DP88" s="110">
        <f t="shared" si="35"/>
        <v>0.00928814000000003</v>
      </c>
      <c r="DQ88" s="113">
        <f t="shared" si="36"/>
        <v>53.2059558256771</v>
      </c>
    </row>
    <row r="89" customFormat="1" spans="1:121">
      <c r="A89" s="75"/>
      <c r="B89" s="75"/>
      <c r="C89" s="75"/>
      <c r="D89" s="75"/>
      <c r="E89" s="98" t="str">
        <f>期望!E89</f>
        <v>拳甲普攻4</v>
      </c>
      <c r="F89" s="99">
        <f>期望!F89</f>
        <v>1</v>
      </c>
      <c r="G89" s="115"/>
      <c r="H89" s="149">
        <f>IF(VLOOKUP($E89,武器奇术!$A:$R,18,FALSE)="天工",AE89,(AE89+AT89+BI89+BX89+CM89+DB89+DQ89))*(1+J89)*F89*K89*(1+G89)*(1+$G$21*5%)</f>
        <v>7084.4230733848</v>
      </c>
      <c r="I89" s="101">
        <f t="shared" si="0"/>
        <v>0.000874663515499883</v>
      </c>
      <c r="J89" s="101">
        <f>$F$3+VLOOKUP($E89,武器奇术!$A:$R,12,FALSE)+VLOOKUP($E89,武器奇术!$A:$R,14,FALSE)*$G$3+$P89</f>
        <v>0.473</v>
      </c>
      <c r="K89" s="102">
        <f>VLOOKUP($E89,武器奇术!$A:$R,11,FALSE)</f>
        <v>1</v>
      </c>
      <c r="L89" s="117">
        <f>IF(VLOOKUP($E89,武器奇术!$A:$R,15,FALSE)="天工",0%,IF($C$17+VLOOKUP($E89,武器奇术!$A:$R,7,FALSE)&gt;80%,80%,$C$17+VLOOKUP($E89,武器奇术!$A:$R,7,FALSE))+IF($C$19&gt;20%,20%,$C$19))</f>
        <v>0.892</v>
      </c>
      <c r="M89" s="118">
        <f>IF(VLOOKUP($E89,武器奇术!$A:$R,15,FALSE)="天工",0%,IF($C$18+VLOOKUP($E89,武器奇术!$A:$R,9,FALSE)&gt;40%,40%,$C$18+VLOOKUP($E89,武器奇术!$A:$R,9,FALSE))+IF($C$20&gt;10%,10%,$C$20))</f>
        <v>0.0986</v>
      </c>
      <c r="N89" s="119">
        <f>IF(VLOOKUP($E89,武器奇术!$A:$R,15,FALSE)="天工",100%,MIN($C$16,1))</f>
        <v>0.9881</v>
      </c>
      <c r="O89" s="120" t="str">
        <f>VLOOKUP($E89,武器奇术!$A:$R,16,FALSE)</f>
        <v>拳甲</v>
      </c>
      <c r="P89" s="121">
        <f t="shared" si="38"/>
        <v>0.17</v>
      </c>
      <c r="Q89" s="108">
        <f>$B$5*(1+VLOOKUP($E89,武器奇术!$A:$R,5,FALSE)+IF($G$5="飞隼",0.1,0)+IF($G$5="撼天",0.05,0))-$F$9+IF($I$5="√",160,0)</f>
        <v>1731.135</v>
      </c>
      <c r="R89" s="99">
        <f>IF(VLOOKUP($E89,武器奇术!$A:$Z,20,FALSE)=1,(S89-(Q89+S89)*0.5)*($G$15-0.5)*2+(Q89+S89)*0.5,(Q89+S89)*0.5)</f>
        <v>3256.775</v>
      </c>
      <c r="S89" s="109">
        <f>MAX($C$5,$B$5)*(1+VLOOKUP($E89,武器奇术!$A:$R,5,FALSE)+IF($G$5="飞隼",0.1,0)+IF($G$5="撼天",0.05,0))-$F$9+IF($I$5="√",320,0)</f>
        <v>4782.415</v>
      </c>
      <c r="T89" s="101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U89" s="111">
        <f>$E$5+IF(VLOOKUP($E89,武器奇术!$A:$U,21,FALSE)=1,0,0.09)</f>
        <v>0.115</v>
      </c>
      <c r="V89" s="109">
        <v>1</v>
      </c>
      <c r="W89" s="112">
        <f>Q89*VLOOKUP($E89,武器奇术!$A:$R,2,FALSE)*(1+T89)*(1+U89)*V89</f>
        <v>763.069401196515</v>
      </c>
      <c r="X89" s="110">
        <f>(1-IF(VLOOKUP($E89,武器奇术!$A:$T,20,FALSE)=1,1,$N89))*(1-$M89)</f>
        <v>0.01072666</v>
      </c>
      <c r="Y89" s="112">
        <f>R89*VLOOKUP($E89,武器奇术!$A:$R,2,FALSE)*(1+T89)*(1+U89)*V89*(1+$E$16+VLOOKUP($E89,武器奇术!$A:$R,8,FALSE))</f>
        <v>2354.31573649318</v>
      </c>
      <c r="Z89" s="110">
        <f t="shared" si="1"/>
        <v>0.8813852</v>
      </c>
      <c r="AA89" s="112">
        <f>S89*VLOOKUP($E89,武器奇术!$A:$R,2,FALSE)*(1+T89)*(1+U89)*V89*(1+$E$17+VLOOKUP($E89,武器奇术!$A:$R,10,FALSE))</f>
        <v>2845.86392334299</v>
      </c>
      <c r="AB89" s="110">
        <f t="shared" si="2"/>
        <v>0.0986</v>
      </c>
      <c r="AC89" s="112">
        <f>R89*VLOOKUP($E89,武器奇术!$A:$R,2,FALSE)*(1+T89)*(1+U89)*V89</f>
        <v>1435.55837591048</v>
      </c>
      <c r="AD89" s="110">
        <f t="shared" si="3"/>
        <v>0.00928814000000003</v>
      </c>
      <c r="AE89" s="113">
        <f t="shared" si="4"/>
        <v>2377.18008231047</v>
      </c>
      <c r="AF89" s="114">
        <f>VLOOKUP($E89,武器奇术!$A:$R,3,FALSE)*(1+IF(VLOOKUP($E89,武器奇术!$A:$R,15,FALSE)="武器",$E$15,0))</f>
        <v>115.7</v>
      </c>
      <c r="AG89" s="112">
        <f t="shared" si="5"/>
        <v>115.7</v>
      </c>
      <c r="AH89" s="112">
        <f>VLOOKUP($E89,武器奇术!$A:$R,3,FALSE)*(1+IF(VLOOKUP($E89,武器奇术!$A:$R,15,FALSE)="武器",$E$15,0))</f>
        <v>115.7</v>
      </c>
      <c r="AI89" s="101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0.242</v>
      </c>
      <c r="AJ89" s="111">
        <f>$E$5+IF(VLOOKUP($E89,武器奇术!$A:$U,21,FALSE)=1,0,0.09)</f>
        <v>0.115</v>
      </c>
      <c r="AK89" s="109">
        <v>1</v>
      </c>
      <c r="AL89" s="112">
        <f t="shared" si="6"/>
        <v>160.224831</v>
      </c>
      <c r="AM89" s="110">
        <f>(1-IF(VLOOKUP($E89,武器奇术!$A:$T,20,FALSE)=1,1,$N89))*(1-$M89)</f>
        <v>0.01072666</v>
      </c>
      <c r="AN89" s="112">
        <f>AG89*(1+AI89)*(1+AJ89)*AK89*(1+$E$16+VLOOKUP($E89,武器奇术!$A:$R,8,FALSE))</f>
        <v>262.76872284</v>
      </c>
      <c r="AO89" s="110">
        <f t="shared" si="7"/>
        <v>0.8813852</v>
      </c>
      <c r="AP89" s="112">
        <f>AH89*(1+AI89)*(1+AJ89)*AK89*(1+$E$17+VLOOKUP($E89,武器奇术!$A:$R,10,FALSE))</f>
        <v>216.30352185</v>
      </c>
      <c r="AQ89" s="110">
        <f t="shared" si="8"/>
        <v>0.0986</v>
      </c>
      <c r="AR89" s="112">
        <f t="shared" si="9"/>
        <v>160.224831</v>
      </c>
      <c r="AS89" s="110">
        <f t="shared" si="10"/>
        <v>0.00928814000000003</v>
      </c>
      <c r="AT89" s="113">
        <f t="shared" si="11"/>
        <v>256.134858535987</v>
      </c>
      <c r="AU89" s="108">
        <f>$B$7*IF($G$5="撼天",1.05,1)+IF(AND(VLOOKUP($E89,武器奇术!$A:$R,15,FALSE)="武器",VLOOKUP($E89,武器奇术!$A:$R,17,FALSE)="鸣金"),$E$3,0)*(1+$E$15)</f>
        <v>0</v>
      </c>
      <c r="AV89" s="99">
        <f>(AU89+AW89)*IF(VLOOKUP($E89,武器奇术!$A:$Z,21,FALSE)=1,$G$15,0.5)</f>
        <v>0</v>
      </c>
      <c r="AW89" s="109">
        <f>MAX($C$7*IF($G$5="撼天",1.05,1)+IF(AND(VLOOKUP($E89,武器奇术!$A:$R,15,FALSE)="武器",VLOOKUP($E89,武器奇术!$A:$R,17,FALSE)="鸣金"),$E$3*(1+$E$15),0),AU89)</f>
        <v>0</v>
      </c>
      <c r="AX89" s="110">
        <f>IF(($D$7+IF(VLOOKUP($E89,武器奇术!$A:$R,17,FALSE)="鸣金",$D$15,0)+IF(VLOOKUP($E89,武器奇术!$A:$R,18,FALSE)=1,4,0)+IF(VLOOKUP($E89,武器奇术!$A:$S,19,FALSE)=1,20,0)-VLOOKUP($F$7,目标属性!$A:$R,6,FALSE))&gt;0,($D$7+IF(VLOOKUP($E89,武器奇术!$A:$R,17,FALSE)="鸣金",$D$15,0)+IF(VLOOKUP($E89,武器奇术!$A:$R,18,FALSE)=1,4,0)+IF(VLOOKUP($E89,武器奇术!$A:$S,19,FALSE)=1,20,0)-VLOOKUP($F$7,目标属性!$A:$R,6,FALSE))/200,($D$7+IF(VLOOKUP($E89,武器奇术!$A:$R,17,FALSE)="鸣金",$D$15,0)+IF(VLOOKUP($E89,武器奇术!$A:$R,18,FALSE)=1,4,0)+IF(VLOOKUP($E89,武器奇术!$A:$S,19,FALSE)=1,20,0)-VLOOKUP($F$7,目标属性!$A:$R,6,FALSE))/100)</f>
        <v>-0.24</v>
      </c>
      <c r="AY89" s="111">
        <f t="shared" si="12"/>
        <v>0</v>
      </c>
      <c r="AZ89" s="109">
        <v>1</v>
      </c>
      <c r="BA89" s="112">
        <f>AU89*IF(VLOOKUP($E89,武器奇术!$A:$R,17,FALSE)="鸣金",VLOOKUP($E89,武器奇术!$A:$R,4,FALSE),VLOOKUP($E89,武器奇术!$A:$R,2,FALSE))*(1+AX89)*(1+AY89)*AZ89</f>
        <v>0</v>
      </c>
      <c r="BB89" s="110">
        <f>(1-IF(VLOOKUP($E89,武器奇术!$A:$T,20,FALSE)=1,1,$N89))*(1-$M89)</f>
        <v>0.01072666</v>
      </c>
      <c r="BC89" s="112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10">
        <f t="shared" si="13"/>
        <v>0.8813852</v>
      </c>
      <c r="BE89" s="112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10">
        <f t="shared" si="14"/>
        <v>0.0986</v>
      </c>
      <c r="BG89" s="112">
        <f>AV89*IF(VLOOKUP($E89,武器奇术!$A:$R,17,FALSE)="鸣金",VLOOKUP($E89,武器奇术!$A:$R,4,FALSE),VLOOKUP($E89,武器奇术!$A:$R,2,FALSE))*(1+AX89)*(1+AY89)*AZ89</f>
        <v>0</v>
      </c>
      <c r="BH89" s="110">
        <f t="shared" si="15"/>
        <v>0.00928814000000003</v>
      </c>
      <c r="BI89" s="113">
        <f t="shared" si="16"/>
        <v>0</v>
      </c>
      <c r="BJ89" s="108">
        <f>$B$9*IF($G$5="撼天",1.05,1)+IF(AND(VLOOKUP($E89,武器奇术!$A:$R,15,FALSE)="武器",VLOOKUP($E89,武器奇术!$A:$R,17,FALSE)="裂石"),$E$3,0)*(1+$E$15)</f>
        <v>0</v>
      </c>
      <c r="BK89" s="99">
        <f>(BJ89+BL89)*IF(VLOOKUP($E89,武器奇术!$A:$Z,21,FALSE)=1,$G$15,0.5)</f>
        <v>0</v>
      </c>
      <c r="BL89" s="109">
        <f>MAX($C$9*IF($G$5="撼天",1.05,1)+IF(AND(VLOOKUP($E89,武器奇术!$A:$R,15,FALSE)="武器",VLOOKUP($E89,武器奇术!$A:$R,17,FALSE)="裂石"),$E$3*(1+$E$15),0),BJ89)</f>
        <v>0</v>
      </c>
      <c r="BM89" s="110">
        <f>IF(($D$9+IF(VLOOKUP($E89,武器奇术!$A:$R,17,FALSE)="裂石",$D$15,0)+IF(VLOOKUP($E89,武器奇术!$A:$R,18,FALSE)=1,4,0)+IF(VLOOKUP($E89,武器奇术!$A:$S,19,FALSE)=1,20,0)-VLOOKUP($F$7,目标属性!$A:$R,6,FALSE))&gt;0,($D$9+IF(VLOOKUP($E89,武器奇术!$A:$R,17,FALSE)="裂石",$D$15,0)+IF(VLOOKUP($E89,武器奇术!$A:$R,18,FALSE)=1,4,0)+IF(VLOOKUP($E89,武器奇术!$A:$S,19,FALSE)=1,20,0)-VLOOKUP($F$7,目标属性!$A:$R,6,FALSE))/200,($D$9+IF(VLOOKUP($E89,武器奇术!$A:$R,17,FALSE)="裂石",$D$15,0)+IF(VLOOKUP($E89,武器奇术!$A:$R,18,FALSE)=1,4,0)+IF(VLOOKUP($E89,武器奇术!$A:$S,19,FALSE)=1,20,0)-VLOOKUP($F$7,目标属性!$A:$R,6,FALSE))/100)</f>
        <v>-0.24</v>
      </c>
      <c r="BN89" s="111">
        <f t="shared" si="17"/>
        <v>0</v>
      </c>
      <c r="BO89" s="109">
        <v>1</v>
      </c>
      <c r="BP89" s="112">
        <f>BJ89*IF(VLOOKUP($E89,武器奇术!$A:$R,17,FALSE)="裂石",VLOOKUP($E89,武器奇术!$A:$R,4,FALSE),VLOOKUP($E89,武器奇术!$A:$R,2,FALSE))*(1+BM89)*(1+BN89)*BO89</f>
        <v>0</v>
      </c>
      <c r="BQ89" s="110">
        <f>(1-IF(VLOOKUP($E89,武器奇术!$A:$T,20,FALSE)=1,1,$N89))*(1-$M89)</f>
        <v>0.01072666</v>
      </c>
      <c r="BR89" s="112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10">
        <f t="shared" si="18"/>
        <v>0.8813852</v>
      </c>
      <c r="BT89" s="112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10">
        <f t="shared" si="19"/>
        <v>0.0986</v>
      </c>
      <c r="BV89" s="112">
        <f>BK89*IF(VLOOKUP($E89,武器奇术!$A:$R,17,FALSE)="裂石",VLOOKUP($E89,武器奇术!$A:$R,4,FALSE),VLOOKUP($E89,武器奇术!$A:$R,2,FALSE))*(1+BM89)*(1+BN89)*BO89</f>
        <v>0</v>
      </c>
      <c r="BW89" s="110">
        <f t="shared" si="20"/>
        <v>0.00928814000000003</v>
      </c>
      <c r="BX89" s="113">
        <f t="shared" si="21"/>
        <v>0</v>
      </c>
      <c r="BY89" s="108">
        <f>$B$11*IF($G$5="撼天",1.05,1)+IF(AND(VLOOKUP($E89,武器奇术!$A:$R,15,FALSE)="武器",VLOOKUP($E89,武器奇术!$A:$R,17,FALSE)="牵丝"),$E$3,0)*(1+$E$15)</f>
        <v>0</v>
      </c>
      <c r="BZ89" s="99">
        <f>(BY89+CA89)*IF(VLOOKUP($E89,武器奇术!$A:$Z,21,FALSE)=1,$G$15,0.5)</f>
        <v>0</v>
      </c>
      <c r="CA89" s="109">
        <f>MAX($C$11*IF($G$5="撼天",1.05,1)+IF(AND(VLOOKUP($E89,武器奇术!$A:$R,15,FALSE)="武器",VLOOKUP($E89,武器奇术!$A:$R,17,FALSE)="牵丝"),$E$3*(1+$E$15),0),BY89)</f>
        <v>0</v>
      </c>
      <c r="CB89" s="110">
        <f>IF(($D$11+IF(VLOOKUP($E89,武器奇术!$A:$R,17,FALSE)="牵丝",$D$15,0)+IF(VLOOKUP($E89,武器奇术!$A:$R,18,FALSE)=1,4,0)+IF(VLOOKUP($E89,武器奇术!$A:$S,19,FALSE)=1,20,0)-VLOOKUP($F$7,目标属性!$A:$R,6,FALSE))&gt;0,($D$11+IF(VLOOKUP($E89,武器奇术!$A:$R,17,FALSE)="牵丝",$D$15,0)+IF(VLOOKUP($E89,武器奇术!$A:$R,18,FALSE)=1,4,0)+IF(VLOOKUP($E89,武器奇术!$A:$S,19,FALSE)=1,20,0)-VLOOKUP($F$7,目标属性!$A:$R,6,FALSE))/200,($D$11+IF(VLOOKUP($E89,武器奇术!$A:$R,17,FALSE)="牵丝",$D$15,0)+IF(VLOOKUP($E89,武器奇术!$A:$R,18,FALSE)=1,4,0)+IF(VLOOKUP($E89,武器奇术!$A:$S,19,FALSE)=1,20,0)-VLOOKUP($F$7,目标属性!$A:$R,6,FALSE))/100)</f>
        <v>-0.24</v>
      </c>
      <c r="CC89" s="111">
        <f t="shared" si="22"/>
        <v>0</v>
      </c>
      <c r="CD89" s="109">
        <v>1</v>
      </c>
      <c r="CE89" s="112">
        <f>BY89*IF(VLOOKUP($E89,武器奇术!$A:$R,17,FALSE)="牵丝",VLOOKUP($E89,武器奇术!$A:$R,4,FALSE),VLOOKUP($E89,武器奇术!$A:$R,2,FALSE))*(1+CB89)*(1+CC89)*CD89</f>
        <v>0</v>
      </c>
      <c r="CF89" s="110">
        <f>(1-IF(VLOOKUP($E89,武器奇术!$A:$T,20,FALSE)=1,1,$N89))*(1-$M89)</f>
        <v>0.01072666</v>
      </c>
      <c r="CG89" s="112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110">
        <f t="shared" si="23"/>
        <v>0.8813852</v>
      </c>
      <c r="CI89" s="112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110">
        <f t="shared" si="24"/>
        <v>0.0986</v>
      </c>
      <c r="CK89" s="112">
        <f>BZ89*IF(VLOOKUP($E89,武器奇术!$A:$R,17,FALSE)="牵丝",VLOOKUP($E89,武器奇术!$A:$R,4,FALSE),VLOOKUP($E89,武器奇术!$A:$R,2,FALSE))*(1+CB89)*(1+CC89)*CD89</f>
        <v>0</v>
      </c>
      <c r="CL89" s="110">
        <f t="shared" si="25"/>
        <v>0.00928814000000003</v>
      </c>
      <c r="CM89" s="113">
        <f t="shared" si="26"/>
        <v>0</v>
      </c>
      <c r="CN89" s="108">
        <f>$B$13*IF($G$5="撼天",1.05,1)+IF(AND(VLOOKUP($E89,武器奇术!$A:$R,15,FALSE)="武器",VLOOKUP($E89,武器奇术!$A:$R,17,FALSE)="破竹"),$E$3,0)*(1+$E$15)</f>
        <v>648.46</v>
      </c>
      <c r="CO89" s="99">
        <f>(CN89+CP89)*IF(VLOOKUP($E89,武器奇术!$A:$Z,21,FALSE)=1,$G$15,0.5)</f>
        <v>875.26</v>
      </c>
      <c r="CP89" s="109">
        <f>MAX($C$13*IF($G$5="撼天",1.05,1)+IF(AND(VLOOKUP($E89,武器奇术!$A:$R,15,FALSE)="武器",VLOOKUP($E89,武器奇术!$A:$R,17,FALSE)="破竹"),$E$3*(1+$E$15),0),CN89)</f>
        <v>1102.06</v>
      </c>
      <c r="CQ89" s="110">
        <f>IF(($D$13+IF(VLOOKUP($E89,武器奇术!$A:$R,17,FALSE)="破竹",$D$15,0)+IF(VLOOKUP($E89,武器奇术!$A:$R,18,FALSE)=1,4,0)+IF(VLOOKUP($E89,武器奇术!$A:$S,19,FALSE)=1,20,0)-VLOOKUP($F$7,目标属性!$A:$R,6,FALSE))&gt;0,($D$13+IF(VLOOKUP($E89,武器奇术!$A:$R,17,FALSE)="破竹",$D$15,0)+IF(VLOOKUP($E89,武器奇术!$A:$R,18,FALSE)=1,4,0)+IF(VLOOKUP($E89,武器奇术!$A:$S,19,FALSE)=1,20,0)-VLOOKUP($F$7,目标属性!$A:$R,6,FALSE))/200,($D$13+IF(VLOOKUP($E89,武器奇术!$A:$R,17,FALSE)="破竹",$D$15,0)+IF(VLOOKUP($E89,武器奇术!$A:$R,18,FALSE)=1,4,0)+IF(VLOOKUP($E89,武器奇术!$A:$S,19,FALSE)=1,20,0)-VLOOKUP($F$7,目标属性!$A:$R,6,FALSE))/100)</f>
        <v>0.025</v>
      </c>
      <c r="CR89" s="111">
        <f>$E$13+IF(VLOOKUP($E89,武器奇术!$A:$U,21,FALSE)=1,0,0.09)</f>
        <v>0.235</v>
      </c>
      <c r="CS89" s="109">
        <v>1</v>
      </c>
      <c r="CT89" s="112">
        <f>CN89*IF(VLOOKUP($E89,武器奇术!$A:$R,17,FALSE)="破竹",VLOOKUP($E89,武器奇术!$A:$R,4,FALSE),VLOOKUP($E89,武器奇术!$A:$R,2,FALSE))*(1+CQ89)*(1+CR89)*CS89</f>
        <v>391.8830050135</v>
      </c>
      <c r="CU89" s="110">
        <f>(1-IF(VLOOKUP($E89,武器奇术!$A:$T,20,FALSE)=1,1,$N89))*(1-$M89)</f>
        <v>0.01072666</v>
      </c>
      <c r="CV89" s="112">
        <f>CO89*IF(VLOOKUP($E89,武器奇术!$A:$R,17,FALSE)="破竹",VLOOKUP($E89,武器奇术!$A:$R,4,FALSE),VLOOKUP($E89,武器奇术!$A:$R,2,FALSE))*(1+CQ89)*(1+CR89)*CS89*(1+$E$16+VLOOKUP($E89,武器奇术!$A:$R,8,FALSE))</f>
        <v>867.46940614334</v>
      </c>
      <c r="CW89" s="110">
        <f t="shared" si="27"/>
        <v>0.8813852</v>
      </c>
      <c r="CX89" s="112">
        <f>CP89*IF(VLOOKUP($E89,武器奇术!$A:$R,17,FALSE)="破竹",VLOOKUP($E89,武器奇术!$A:$R,4,FALSE),VLOOKUP($E89,武器奇术!$A:$R,2,FALSE))*(1+CQ89)*(1+CR89)*CS89*(1+$E$17+VLOOKUP($E89,武器奇术!$A:$R,10,FALSE))</f>
        <v>899.108794809225</v>
      </c>
      <c r="CY89" s="110">
        <f t="shared" si="28"/>
        <v>0.0986</v>
      </c>
      <c r="CZ89" s="112">
        <f>CO89*IF(VLOOKUP($E89,武器奇术!$A:$R,17,FALSE)="破竹",VLOOKUP($E89,武器奇术!$A:$R,4,FALSE),VLOOKUP($E89,武器奇术!$A:$R,2,FALSE))*(1+CQ89)*(1+CR89)*CS89</f>
        <v>528.9447598435</v>
      </c>
      <c r="DA89" s="110">
        <f t="shared" si="29"/>
        <v>0.00928814000000003</v>
      </c>
      <c r="DB89" s="113">
        <f t="shared" si="30"/>
        <v>862.343331931969</v>
      </c>
      <c r="DC89" s="108">
        <f t="shared" si="31"/>
        <v>69.3</v>
      </c>
      <c r="DD89" s="99">
        <f>(DC89+DE89)*IF(VLOOKUP($E89,武器奇术!$A:$Z,21,FALSE)=1,$G$15,0.5)</f>
        <v>69.3</v>
      </c>
      <c r="DE89" s="109">
        <f t="shared" si="32"/>
        <v>69.3</v>
      </c>
      <c r="DF89" s="110">
        <f>IF(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R,18,FALSE)=1,4,0)+IF(VLOOKUP($E89,武器奇术!$A:$S,19,FALSE)=1,20,0)-VLOOKUP($F$7,目标属性!$A:$R,6,FALSE))/100)</f>
        <v>0.025</v>
      </c>
      <c r="DG89" s="111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U,21,FALSE)=1,0,0.09)</f>
        <v>0.235</v>
      </c>
      <c r="DH89" s="109">
        <v>1</v>
      </c>
      <c r="DI89" s="112">
        <f>DC89*IF(VLOOKUP($E89,武器奇术!$A:$R,17,FALSE)="破竹",VLOOKUP($E89,武器奇术!$A:$R,4,FALSE),VLOOKUP($E89,武器奇术!$A:$R,2,FALSE))*(1+DF89)*(1+DG89)*DH89</f>
        <v>41.8799806425</v>
      </c>
      <c r="DJ89" s="110">
        <f>(1-IF(VLOOKUP($E89,武器奇术!$A:$T,20,FALSE)=1,1,$N89))*(1-$M89)</f>
        <v>0.01072666</v>
      </c>
      <c r="DK89" s="112">
        <f>DD89*IF(VLOOKUP($E89,武器奇术!$A:$R,17,FALSE)="破竹",VLOOKUP($E89,武器奇术!$A:$R,4,FALSE),VLOOKUP($E89,武器奇术!$A:$R,2,FALSE))*(1+DF89)*(1+DG89)*DH89*(1+$E$16+VLOOKUP($E89,武器奇术!$A:$R,8,FALSE))</f>
        <v>68.6831682537</v>
      </c>
      <c r="DL89" s="110">
        <f t="shared" si="33"/>
        <v>0.8813852</v>
      </c>
      <c r="DM89" s="112">
        <f>DE89*IF(VLOOKUP($E89,武器奇术!$A:$R,17,FALSE)="破竹",VLOOKUP($E89,武器奇术!$A:$R,4,FALSE),VLOOKUP($E89,武器奇术!$A:$R,2,FALSE))*(1+DF89)*(1+DG89)*DH89*(1+$E$17+VLOOKUP($E89,武器奇术!$A:$R,10,FALSE))</f>
        <v>56.537973867375</v>
      </c>
      <c r="DN89" s="110">
        <f t="shared" si="34"/>
        <v>0.0986</v>
      </c>
      <c r="DO89" s="112">
        <f>DD89*IF(VLOOKUP($E89,武器奇术!$A:$R,17,FALSE)="破竹",VLOOKUP($E89,武器奇术!$A:$R,4,FALSE),VLOOKUP($E89,武器奇术!$A:$R,2,FALSE))*(1+DF89)*(1+DG89)*DH89</f>
        <v>41.8799806425</v>
      </c>
      <c r="DP89" s="110">
        <f t="shared" si="35"/>
        <v>0.00928814000000003</v>
      </c>
      <c r="DQ89" s="113">
        <f t="shared" si="36"/>
        <v>66.9491916478077</v>
      </c>
    </row>
    <row r="90" spans="1:121">
      <c r="A90" s="75"/>
      <c r="B90" s="75"/>
      <c r="C90" s="75"/>
      <c r="D90" s="75"/>
      <c r="E90" s="98" t="str">
        <f>期望!E90</f>
        <v>拳甲普攻56</v>
      </c>
      <c r="F90" s="99">
        <f>期望!F90</f>
        <v>1</v>
      </c>
      <c r="G90" s="115"/>
      <c r="H90" s="149">
        <f>IF(VLOOKUP($E90,武器奇术!$A:$R,18,FALSE)="天工",AE90,(AE90+AT90+BI90+BX90+CM90+DB90+DQ90))*(1+J90)*F90*K90*(1+G90)*(1+$G$21*5%)</f>
        <v>28646.9930354516</v>
      </c>
      <c r="I90" s="101">
        <f t="shared" si="0"/>
        <v>0.00353684123284824</v>
      </c>
      <c r="J90" s="101">
        <f>$F$3+VLOOKUP($E90,武器奇术!$A:$R,12,FALSE)+VLOOKUP($E90,武器奇术!$A:$R,14,FALSE)*$G$3+$P90</f>
        <v>0.473</v>
      </c>
      <c r="K90" s="102">
        <f>VLOOKUP($E90,武器奇术!$A:$R,11,FALSE)</f>
        <v>1</v>
      </c>
      <c r="L90" s="117">
        <f>IF(VLOOKUP($E90,武器奇术!$A:$R,15,FALSE)="天工",0%,IF($C$17+VLOOKUP($E90,武器奇术!$A:$R,7,FALSE)&gt;80%,80%,$C$17+VLOOKUP($E90,武器奇术!$A:$R,7,FALSE))+IF($C$19&gt;20%,20%,$C$19))</f>
        <v>0.892</v>
      </c>
      <c r="M90" s="118">
        <f>IF(VLOOKUP($E90,武器奇术!$A:$R,15,FALSE)="天工",0%,IF($C$18+VLOOKUP($E90,武器奇术!$A:$R,9,FALSE)&gt;40%,40%,$C$18+VLOOKUP($E90,武器奇术!$A:$R,9,FALSE))+IF($C$20&gt;10%,10%,$C$20))</f>
        <v>0.0986</v>
      </c>
      <c r="N90" s="119">
        <f>IF(VLOOKUP($E90,武器奇术!$A:$R,15,FALSE)="天工",100%,MIN($C$16,1))</f>
        <v>0.9881</v>
      </c>
      <c r="O90" s="120" t="str">
        <f>VLOOKUP($E90,武器奇术!$A:$R,16,FALSE)</f>
        <v>拳甲</v>
      </c>
      <c r="P90" s="121">
        <f t="shared" si="38"/>
        <v>0.17</v>
      </c>
      <c r="Q90" s="108">
        <f>$B$5*(1+VLOOKUP($E90,武器奇术!$A:$R,5,FALSE)+IF($G$5="飞隼",0.1,0)+IF($G$5="撼天",0.05,0))-$F$9+IF($I$5="√",160,0)</f>
        <v>1731.135</v>
      </c>
      <c r="R90" s="99">
        <f>IF(VLOOKUP($E90,武器奇术!$A:$Z,20,FALSE)=1,(S90-(Q90+S90)*0.5)*($G$15-0.5)*2+(Q90+S90)*0.5,(Q90+S90)*0.5)</f>
        <v>3256.775</v>
      </c>
      <c r="S90" s="109">
        <f>MAX($C$5,$B$5)*(1+VLOOKUP($E90,武器奇术!$A:$R,5,FALSE)+IF($G$5="飞隼",0.1,0)+IF($G$5="撼天",0.05,0))-$F$9+IF($I$5="√",320,0)</f>
        <v>4782.415</v>
      </c>
      <c r="T90" s="101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U90" s="111">
        <f>$E$5+IF(VLOOKUP($E90,武器奇术!$A:$U,21,FALSE)=1,0,0.09)</f>
        <v>0.115</v>
      </c>
      <c r="V90" s="109">
        <v>1</v>
      </c>
      <c r="W90" s="112">
        <f>Q90*VLOOKUP($E90,武器奇术!$A:$R,2,FALSE)*(1+T90)*(1+U90)*V90</f>
        <v>3086.79912340758</v>
      </c>
      <c r="X90" s="110">
        <f>(1-IF(VLOOKUP($E90,武器奇术!$A:$T,20,FALSE)=1,1,$N90))*(1-$M90)</f>
        <v>0.01072666</v>
      </c>
      <c r="Y90" s="112">
        <f>R90*VLOOKUP($E90,武器奇术!$A:$R,2,FALSE)*(1+T90)*(1+U90)*V90*(1+$E$16+VLOOKUP($E90,武器奇术!$A:$R,8,FALSE))</f>
        <v>9523.77298871699</v>
      </c>
      <c r="Z90" s="110">
        <f t="shared" si="1"/>
        <v>0.8813852</v>
      </c>
      <c r="AA90" s="112">
        <f>S90*VLOOKUP($E90,武器奇术!$A:$R,2,FALSE)*(1+T90)*(1+U90)*V90*(1+$E$17+VLOOKUP($E90,武器奇术!$A:$R,10,FALSE))</f>
        <v>11512.2035428729</v>
      </c>
      <c r="AB90" s="110">
        <f t="shared" si="2"/>
        <v>0.0986</v>
      </c>
      <c r="AC90" s="112">
        <f>R90*VLOOKUP($E90,武器奇术!$A:$R,2,FALSE)*(1+T90)*(1+U90)*V90</f>
        <v>5807.1786516567</v>
      </c>
      <c r="AD90" s="110">
        <f t="shared" si="3"/>
        <v>0.00928814000000003</v>
      </c>
      <c r="AE90" s="113">
        <f t="shared" si="4"/>
        <v>9616.26476274887</v>
      </c>
      <c r="AF90" s="114">
        <f>VLOOKUP($E90,武器奇术!$A:$R,3,FALSE)*(1+IF(VLOOKUP($E90,武器奇术!$A:$R,15,FALSE)="武器",$E$15,0))</f>
        <v>465.4</v>
      </c>
      <c r="AG90" s="112">
        <f t="shared" si="5"/>
        <v>465.4</v>
      </c>
      <c r="AH90" s="112">
        <f>VLOOKUP($E90,武器奇术!$A:$R,3,FALSE)*(1+IF(VLOOKUP($E90,武器奇术!$A:$R,15,FALSE)="武器",$E$15,0))</f>
        <v>465.4</v>
      </c>
      <c r="AI90" s="101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0.242</v>
      </c>
      <c r="AJ90" s="111">
        <f>$E$5+IF(VLOOKUP($E90,武器奇术!$A:$U,21,FALSE)=1,0,0.09)</f>
        <v>0.115</v>
      </c>
      <c r="AK90" s="109">
        <v>1</v>
      </c>
      <c r="AL90" s="112">
        <f t="shared" si="6"/>
        <v>644.499882</v>
      </c>
      <c r="AM90" s="110">
        <f>(1-IF(VLOOKUP($E90,武器奇术!$A:$T,20,FALSE)=1,1,$N90))*(1-$M90)</f>
        <v>0.01072666</v>
      </c>
      <c r="AN90" s="112">
        <f>AG90*(1+AI90)*(1+AJ90)*AK90*(1+$E$16+VLOOKUP($E90,武器奇术!$A:$R,8,FALSE))</f>
        <v>1056.97980648</v>
      </c>
      <c r="AO90" s="110">
        <f t="shared" si="7"/>
        <v>0.8813852</v>
      </c>
      <c r="AP90" s="112">
        <f>AH90*(1+AI90)*(1+AJ90)*AK90*(1+$E$17+VLOOKUP($E90,武器奇术!$A:$R,10,FALSE))</f>
        <v>870.0748407</v>
      </c>
      <c r="AQ90" s="110">
        <f t="shared" si="8"/>
        <v>0.0986</v>
      </c>
      <c r="AR90" s="112">
        <f t="shared" si="9"/>
        <v>644.499882</v>
      </c>
      <c r="AS90" s="110">
        <f t="shared" si="10"/>
        <v>0.00928814000000003</v>
      </c>
      <c r="AT90" s="113">
        <f t="shared" si="11"/>
        <v>1030.29527366161</v>
      </c>
      <c r="AU90" s="108">
        <f>$B$7*IF($G$5="撼天",1.05,1)+IF(AND(VLOOKUP($E90,武器奇术!$A:$R,15,FALSE)="武器",VLOOKUP($E90,武器奇术!$A:$R,17,FALSE)="鸣金"),$E$3,0)*(1+$E$15)</f>
        <v>0</v>
      </c>
      <c r="AV90" s="99">
        <f>(AU90+AW90)*IF(VLOOKUP($E90,武器奇术!$A:$Z,21,FALSE)=1,$G$15,0.5)</f>
        <v>0</v>
      </c>
      <c r="AW90" s="109">
        <f>MAX($C$7*IF($G$5="撼天",1.05,1)+IF(AND(VLOOKUP($E90,武器奇术!$A:$R,15,FALSE)="武器",VLOOKUP($E90,武器奇术!$A:$R,17,FALSE)="鸣金"),$E$3*(1+$E$15),0),AU90)</f>
        <v>0</v>
      </c>
      <c r="AX90" s="110">
        <f>IF(($D$7+IF(VLOOKUP($E90,武器奇术!$A:$R,17,FALSE)="鸣金",$D$15,0)+IF(VLOOKUP($E90,武器奇术!$A:$R,18,FALSE)=1,4,0)+IF(VLOOKUP($E90,武器奇术!$A:$S,19,FALSE)=1,20,0)-VLOOKUP($F$7,目标属性!$A:$R,6,FALSE))&gt;0,($D$7+IF(VLOOKUP($E90,武器奇术!$A:$R,17,FALSE)="鸣金",$D$15,0)+IF(VLOOKUP($E90,武器奇术!$A:$R,18,FALSE)=1,4,0)+IF(VLOOKUP($E90,武器奇术!$A:$S,19,FALSE)=1,20,0)-VLOOKUP($F$7,目标属性!$A:$R,6,FALSE))/200,($D$7+IF(VLOOKUP($E90,武器奇术!$A:$R,17,FALSE)="鸣金",$D$15,0)+IF(VLOOKUP($E90,武器奇术!$A:$R,18,FALSE)=1,4,0)+IF(VLOOKUP($E90,武器奇术!$A:$S,19,FALSE)=1,20,0)-VLOOKUP($F$7,目标属性!$A:$R,6,FALSE))/100)</f>
        <v>-0.24</v>
      </c>
      <c r="AY90" s="111">
        <f t="shared" si="12"/>
        <v>0</v>
      </c>
      <c r="AZ90" s="109">
        <v>1</v>
      </c>
      <c r="BA90" s="112">
        <f>AU90*IF(VLOOKUP($E90,武器奇术!$A:$R,17,FALSE)="鸣金",VLOOKUP($E90,武器奇术!$A:$R,4,FALSE),VLOOKUP($E90,武器奇术!$A:$R,2,FALSE))*(1+AX90)*(1+AY90)*AZ90</f>
        <v>0</v>
      </c>
      <c r="BB90" s="110">
        <f>(1-IF(VLOOKUP($E90,武器奇术!$A:$T,20,FALSE)=1,1,$N90))*(1-$M90)</f>
        <v>0.01072666</v>
      </c>
      <c r="BC90" s="112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10">
        <f t="shared" si="13"/>
        <v>0.8813852</v>
      </c>
      <c r="BE90" s="112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10">
        <f t="shared" si="14"/>
        <v>0.0986</v>
      </c>
      <c r="BG90" s="112">
        <f>AV90*IF(VLOOKUP($E90,武器奇术!$A:$R,17,FALSE)="鸣金",VLOOKUP($E90,武器奇术!$A:$R,4,FALSE),VLOOKUP($E90,武器奇术!$A:$R,2,FALSE))*(1+AX90)*(1+AY90)*AZ90</f>
        <v>0</v>
      </c>
      <c r="BH90" s="110">
        <f t="shared" si="15"/>
        <v>0.00928814000000003</v>
      </c>
      <c r="BI90" s="113">
        <f t="shared" si="16"/>
        <v>0</v>
      </c>
      <c r="BJ90" s="108">
        <f>$B$9*IF($G$5="撼天",1.05,1)+IF(AND(VLOOKUP($E90,武器奇术!$A:$R,15,FALSE)="武器",VLOOKUP($E90,武器奇术!$A:$R,17,FALSE)="裂石"),$E$3,0)*(1+$E$15)</f>
        <v>0</v>
      </c>
      <c r="BK90" s="99">
        <f>(BJ90+BL90)*IF(VLOOKUP($E90,武器奇术!$A:$Z,21,FALSE)=1,$G$15,0.5)</f>
        <v>0</v>
      </c>
      <c r="BL90" s="109">
        <f>MAX($C$9*IF($G$5="撼天",1.05,1)+IF(AND(VLOOKUP($E90,武器奇术!$A:$R,15,FALSE)="武器",VLOOKUP($E90,武器奇术!$A:$R,17,FALSE)="裂石"),$E$3*(1+$E$15),0),BJ90)</f>
        <v>0</v>
      </c>
      <c r="BM90" s="110">
        <f>IF(($D$9+IF(VLOOKUP($E90,武器奇术!$A:$R,17,FALSE)="裂石",$D$15,0)+IF(VLOOKUP($E90,武器奇术!$A:$R,18,FALSE)=1,4,0)+IF(VLOOKUP($E90,武器奇术!$A:$S,19,FALSE)=1,20,0)-VLOOKUP($F$7,目标属性!$A:$R,6,FALSE))&gt;0,($D$9+IF(VLOOKUP($E90,武器奇术!$A:$R,17,FALSE)="裂石",$D$15,0)+IF(VLOOKUP($E90,武器奇术!$A:$R,18,FALSE)=1,4,0)+IF(VLOOKUP($E90,武器奇术!$A:$S,19,FALSE)=1,20,0)-VLOOKUP($F$7,目标属性!$A:$R,6,FALSE))/200,($D$9+IF(VLOOKUP($E90,武器奇术!$A:$R,17,FALSE)="裂石",$D$15,0)+IF(VLOOKUP($E90,武器奇术!$A:$R,18,FALSE)=1,4,0)+IF(VLOOKUP($E90,武器奇术!$A:$S,19,FALSE)=1,20,0)-VLOOKUP($F$7,目标属性!$A:$R,6,FALSE))/100)</f>
        <v>-0.24</v>
      </c>
      <c r="BN90" s="111">
        <f t="shared" si="17"/>
        <v>0</v>
      </c>
      <c r="BO90" s="109">
        <v>1</v>
      </c>
      <c r="BP90" s="112">
        <f>BJ90*IF(VLOOKUP($E90,武器奇术!$A:$R,17,FALSE)="裂石",VLOOKUP($E90,武器奇术!$A:$R,4,FALSE),VLOOKUP($E90,武器奇术!$A:$R,2,FALSE))*(1+BM90)*(1+BN90)*BO90</f>
        <v>0</v>
      </c>
      <c r="BQ90" s="110">
        <f>(1-IF(VLOOKUP($E90,武器奇术!$A:$T,20,FALSE)=1,1,$N90))*(1-$M90)</f>
        <v>0.01072666</v>
      </c>
      <c r="BR90" s="112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10">
        <f t="shared" si="18"/>
        <v>0.8813852</v>
      </c>
      <c r="BT90" s="112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10">
        <f t="shared" si="19"/>
        <v>0.0986</v>
      </c>
      <c r="BV90" s="112">
        <f>BK90*IF(VLOOKUP($E90,武器奇术!$A:$R,17,FALSE)="裂石",VLOOKUP($E90,武器奇术!$A:$R,4,FALSE),VLOOKUP($E90,武器奇术!$A:$R,2,FALSE))*(1+BM90)*(1+BN90)*BO90</f>
        <v>0</v>
      </c>
      <c r="BW90" s="110">
        <f t="shared" si="20"/>
        <v>0.00928814000000003</v>
      </c>
      <c r="BX90" s="113">
        <f t="shared" si="21"/>
        <v>0</v>
      </c>
      <c r="BY90" s="108">
        <f>$B$11*IF($G$5="撼天",1.05,1)+IF(AND(VLOOKUP($E90,武器奇术!$A:$R,15,FALSE)="武器",VLOOKUP($E90,武器奇术!$A:$R,17,FALSE)="牵丝"),$E$3,0)*(1+$E$15)</f>
        <v>0</v>
      </c>
      <c r="BZ90" s="99">
        <f>(BY90+CA90)*IF(VLOOKUP($E90,武器奇术!$A:$Z,21,FALSE)=1,$G$15,0.5)</f>
        <v>0</v>
      </c>
      <c r="CA90" s="109">
        <f>MAX($C$11*IF($G$5="撼天",1.05,1)+IF(AND(VLOOKUP($E90,武器奇术!$A:$R,15,FALSE)="武器",VLOOKUP($E90,武器奇术!$A:$R,17,FALSE)="牵丝"),$E$3*(1+$E$15),0),BY90)</f>
        <v>0</v>
      </c>
      <c r="CB90" s="110">
        <f>IF(($D$11+IF(VLOOKUP($E90,武器奇术!$A:$R,17,FALSE)="牵丝",$D$15,0)+IF(VLOOKUP($E90,武器奇术!$A:$R,18,FALSE)=1,4,0)+IF(VLOOKUP($E90,武器奇术!$A:$S,19,FALSE)=1,20,0)-VLOOKUP($F$7,目标属性!$A:$R,6,FALSE))&gt;0,($D$11+IF(VLOOKUP($E90,武器奇术!$A:$R,17,FALSE)="牵丝",$D$15,0)+IF(VLOOKUP($E90,武器奇术!$A:$R,18,FALSE)=1,4,0)+IF(VLOOKUP($E90,武器奇术!$A:$S,19,FALSE)=1,20,0)-VLOOKUP($F$7,目标属性!$A:$R,6,FALSE))/200,($D$11+IF(VLOOKUP($E90,武器奇术!$A:$R,17,FALSE)="牵丝",$D$15,0)+IF(VLOOKUP($E90,武器奇术!$A:$R,18,FALSE)=1,4,0)+IF(VLOOKUP($E90,武器奇术!$A:$S,19,FALSE)=1,20,0)-VLOOKUP($F$7,目标属性!$A:$R,6,FALSE))/100)</f>
        <v>-0.24</v>
      </c>
      <c r="CC90" s="111">
        <f t="shared" si="22"/>
        <v>0</v>
      </c>
      <c r="CD90" s="109">
        <v>1</v>
      </c>
      <c r="CE90" s="112">
        <f>BY90*IF(VLOOKUP($E90,武器奇术!$A:$R,17,FALSE)="牵丝",VLOOKUP($E90,武器奇术!$A:$R,4,FALSE),VLOOKUP($E90,武器奇术!$A:$R,2,FALSE))*(1+CB90)*(1+CC90)*CD90</f>
        <v>0</v>
      </c>
      <c r="CF90" s="110">
        <f>(1-IF(VLOOKUP($E90,武器奇术!$A:$T,20,FALSE)=1,1,$N90))*(1-$M90)</f>
        <v>0.01072666</v>
      </c>
      <c r="CG90" s="112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110">
        <f t="shared" si="23"/>
        <v>0.8813852</v>
      </c>
      <c r="CI90" s="112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110">
        <f t="shared" si="24"/>
        <v>0.0986</v>
      </c>
      <c r="CK90" s="112">
        <f>BZ90*IF(VLOOKUP($E90,武器奇术!$A:$R,17,FALSE)="牵丝",VLOOKUP($E90,武器奇术!$A:$R,4,FALSE),VLOOKUP($E90,武器奇术!$A:$R,2,FALSE))*(1+CB90)*(1+CC90)*CD90</f>
        <v>0</v>
      </c>
      <c r="CL90" s="110">
        <f t="shared" si="25"/>
        <v>0.00928814000000003</v>
      </c>
      <c r="CM90" s="113">
        <f t="shared" si="26"/>
        <v>0</v>
      </c>
      <c r="CN90" s="108">
        <f>$B$13*IF($G$5="撼天",1.05,1)+IF(AND(VLOOKUP($E90,武器奇术!$A:$R,15,FALSE)="武器",VLOOKUP($E90,武器奇术!$A:$R,17,FALSE)="破竹"),$E$3,0)*(1+$E$15)</f>
        <v>648.46</v>
      </c>
      <c r="CO90" s="99">
        <f>(CN90+CP90)*IF(VLOOKUP($E90,武器奇术!$A:$Z,21,FALSE)=1,$G$15,0.5)</f>
        <v>875.26</v>
      </c>
      <c r="CP90" s="109">
        <f>MAX($C$13*IF($G$5="撼天",1.05,1)+IF(AND(VLOOKUP($E90,武器奇术!$A:$R,15,FALSE)="武器",VLOOKUP($E90,武器奇术!$A:$R,17,FALSE)="破竹"),$E$3*(1+$E$15),0),CN90)</f>
        <v>1102.06</v>
      </c>
      <c r="CQ90" s="110">
        <f>IF(($D$13+IF(VLOOKUP($E90,武器奇术!$A:$R,17,FALSE)="破竹",$D$15,0)+IF(VLOOKUP($E90,武器奇术!$A:$R,18,FALSE)=1,4,0)+IF(VLOOKUP($E90,武器奇术!$A:$S,19,FALSE)=1,20,0)-VLOOKUP($F$7,目标属性!$A:$R,6,FALSE))&gt;0,($D$13+IF(VLOOKUP($E90,武器奇术!$A:$R,17,FALSE)="破竹",$D$15,0)+IF(VLOOKUP($E90,武器奇术!$A:$R,18,FALSE)=1,4,0)+IF(VLOOKUP($E90,武器奇术!$A:$S,19,FALSE)=1,20,0)-VLOOKUP($F$7,目标属性!$A:$R,6,FALSE))/200,($D$13+IF(VLOOKUP($E90,武器奇术!$A:$R,17,FALSE)="破竹",$D$15,0)+IF(VLOOKUP($E90,武器奇术!$A:$R,18,FALSE)=1,4,0)+IF(VLOOKUP($E90,武器奇术!$A:$S,19,FALSE)=1,20,0)-VLOOKUP($F$7,目标属性!$A:$R,6,FALSE))/100)</f>
        <v>0.025</v>
      </c>
      <c r="CR90" s="111">
        <f>$E$13+IF(VLOOKUP($E90,武器奇术!$A:$U,21,FALSE)=1,0,0.09)</f>
        <v>0.235</v>
      </c>
      <c r="CS90" s="109">
        <v>1</v>
      </c>
      <c r="CT90" s="112">
        <f>CN90*IF(VLOOKUP($E90,武器奇术!$A:$R,17,FALSE)="破竹",VLOOKUP($E90,武器奇术!$A:$R,4,FALSE),VLOOKUP($E90,武器奇术!$A:$R,2,FALSE))*(1+CQ90)*(1+CR90)*CS90</f>
        <v>1585.34488391825</v>
      </c>
      <c r="CU90" s="110">
        <f>(1-IF(VLOOKUP($E90,武器奇术!$A:$T,20,FALSE)=1,1,$N90))*(1-$M90)</f>
        <v>0.01072666</v>
      </c>
      <c r="CV90" s="112">
        <f>CO90*IF(VLOOKUP($E90,武器奇术!$A:$R,17,FALSE)="破竹",VLOOKUP($E90,武器奇术!$A:$R,4,FALSE),VLOOKUP($E90,武器奇术!$A:$R,2,FALSE))*(1+CQ90)*(1+CR90)*CS90*(1+$E$16+VLOOKUP($E90,武器奇术!$A:$R,8,FALSE))</f>
        <v>3509.30805212533</v>
      </c>
      <c r="CW90" s="110">
        <f t="shared" si="27"/>
        <v>0.8813852</v>
      </c>
      <c r="CX90" s="112">
        <f>CP90*IF(VLOOKUP($E90,武器奇术!$A:$R,17,FALSE)="破竹",VLOOKUP($E90,武器奇术!$A:$R,4,FALSE),VLOOKUP($E90,武器奇术!$A:$R,2,FALSE))*(1+CQ90)*(1+CR90)*CS90*(1+$E$17+VLOOKUP($E90,武器奇术!$A:$R,10,FALSE))</f>
        <v>3637.30376081914</v>
      </c>
      <c r="CY90" s="110">
        <f t="shared" si="28"/>
        <v>0.0986</v>
      </c>
      <c r="CZ90" s="112">
        <f>CO90*IF(VLOOKUP($E90,武器奇术!$A:$R,17,FALSE)="破竹",VLOOKUP($E90,武器奇术!$A:$R,4,FALSE),VLOOKUP($E90,武器奇术!$A:$R,2,FALSE))*(1+CQ90)*(1+CR90)*CS90</f>
        <v>2139.82198300325</v>
      </c>
      <c r="DA90" s="110">
        <f t="shared" si="29"/>
        <v>0.00928814000000003</v>
      </c>
      <c r="DB90" s="113">
        <f t="shared" si="30"/>
        <v>3488.5707519066</v>
      </c>
      <c r="DC90" s="108">
        <f t="shared" si="31"/>
        <v>69.3</v>
      </c>
      <c r="DD90" s="99">
        <f>(DC90+DE90)*IF(VLOOKUP($E90,武器奇术!$A:$Z,21,FALSE)=1,$G$15,0.5)</f>
        <v>69.3</v>
      </c>
      <c r="DE90" s="109">
        <f t="shared" si="32"/>
        <v>69.3</v>
      </c>
      <c r="DF90" s="110">
        <f>IF(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R,18,FALSE)=1,4,0)+IF(VLOOKUP($E90,武器奇术!$A:$S,19,FALSE)=1,20,0)-VLOOKUP($F$7,目标属性!$A:$R,6,FALSE))/100)</f>
        <v>0.025</v>
      </c>
      <c r="DG90" s="111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U,21,FALSE)=1,0,0.09)</f>
        <v>0.235</v>
      </c>
      <c r="DH90" s="109">
        <v>1</v>
      </c>
      <c r="DI90" s="112">
        <f>DC90*IF(VLOOKUP($E90,武器奇术!$A:$R,17,FALSE)="破竹",VLOOKUP($E90,武器奇术!$A:$R,4,FALSE),VLOOKUP($E90,武器奇术!$A:$R,2,FALSE))*(1+DF90)*(1+DG90)*DH90</f>
        <v>169.42355805375</v>
      </c>
      <c r="DJ90" s="110">
        <f>(1-IF(VLOOKUP($E90,武器奇术!$A:$T,20,FALSE)=1,1,$N90))*(1-$M90)</f>
        <v>0.01072666</v>
      </c>
      <c r="DK90" s="112">
        <f>DD90*IF(VLOOKUP($E90,武器奇术!$A:$R,17,FALSE)="破竹",VLOOKUP($E90,武器奇术!$A:$R,4,FALSE),VLOOKUP($E90,武器奇术!$A:$R,2,FALSE))*(1+DF90)*(1+DG90)*DH90*(1+$E$16+VLOOKUP($E90,武器奇术!$A:$R,8,FALSE))</f>
        <v>277.85463520815</v>
      </c>
      <c r="DL90" s="110">
        <f t="shared" si="33"/>
        <v>0.8813852</v>
      </c>
      <c r="DM90" s="112">
        <f>DE90*IF(VLOOKUP($E90,武器奇术!$A:$R,17,FALSE)="破竹",VLOOKUP($E90,武器奇术!$A:$R,4,FALSE),VLOOKUP($E90,武器奇术!$A:$R,2,FALSE))*(1+DF90)*(1+DG90)*DH90*(1+$E$17+VLOOKUP($E90,武器奇术!$A:$R,10,FALSE))</f>
        <v>228.721803372562</v>
      </c>
      <c r="DN90" s="110">
        <f t="shared" si="34"/>
        <v>0.0986</v>
      </c>
      <c r="DO90" s="112">
        <f>DD90*IF(VLOOKUP($E90,武器奇术!$A:$R,17,FALSE)="破竹",VLOOKUP($E90,武器奇术!$A:$R,4,FALSE),VLOOKUP($E90,武器奇术!$A:$R,2,FALSE))*(1+DF90)*(1+DG90)*DH90</f>
        <v>169.42355805375</v>
      </c>
      <c r="DP90" s="110">
        <f t="shared" si="35"/>
        <v>0.00928814000000003</v>
      </c>
      <c r="DQ90" s="113">
        <f t="shared" si="36"/>
        <v>270.839911666131</v>
      </c>
    </row>
    <row r="91" spans="1:121">
      <c r="A91" s="75"/>
      <c r="B91" s="75"/>
      <c r="C91" s="148"/>
      <c r="D91" s="75"/>
      <c r="E91" s="98" t="str">
        <f>期望!E91</f>
        <v>鹰隼追击(拳甲)</v>
      </c>
      <c r="F91" s="99">
        <f>期望!F91</f>
        <v>1</v>
      </c>
      <c r="G91" s="115"/>
      <c r="H91" s="149">
        <f>IF(VLOOKUP($E91,武器奇术!$A:$R,18,FALSE)="天工",AE91,(AE91+AT91+BI91+BX91+CM91+DB91+DQ91))*(1+J91)*F91*K91*(1+G91)*(1+$G$21*5%)</f>
        <v>63982.2655175516</v>
      </c>
      <c r="I91" s="101">
        <f t="shared" si="0"/>
        <v>0.00789943693474119</v>
      </c>
      <c r="J91" s="101">
        <f>$F$3+VLOOKUP($E91,武器奇术!$A:$R,12,FALSE)+VLOOKUP($E91,武器奇术!$A:$R,14,FALSE)*$G$3+$P91</f>
        <v>0.773</v>
      </c>
      <c r="K91" s="102">
        <f>VLOOKUP($E91,武器奇术!$A:$R,11,FALSE)</f>
        <v>1</v>
      </c>
      <c r="L91" s="117">
        <f>IF(VLOOKUP($E91,武器奇术!$A:$R,15,FALSE)="天工",0%,IF($C$17+VLOOKUP($E91,武器奇术!$A:$R,7,FALSE)&gt;80%,80%,$C$17+VLOOKUP($E91,武器奇术!$A:$R,7,FALSE))+IF($C$19&gt;20%,20%,$C$19))</f>
        <v>0.892</v>
      </c>
      <c r="M91" s="118">
        <f>IF(VLOOKUP($E91,武器奇术!$A:$R,15,FALSE)="天工",0%,IF($C$18+VLOOKUP($E91,武器奇术!$A:$R,9,FALSE)&gt;40%,40%,$C$18+VLOOKUP($E91,武器奇术!$A:$R,9,FALSE))+IF($C$20&gt;10%,10%,$C$20))</f>
        <v>0.0986</v>
      </c>
      <c r="N91" s="119">
        <f>IF(VLOOKUP($E91,武器奇术!$A:$R,15,FALSE)="天工",100%,MIN($C$16,1))</f>
        <v>0.9881</v>
      </c>
      <c r="O91" s="120" t="str">
        <f>VLOOKUP($E91,武器奇术!$A:$R,16,FALSE)</f>
        <v>拳甲</v>
      </c>
      <c r="P91" s="121">
        <f t="shared" si="38"/>
        <v>0.17</v>
      </c>
      <c r="Q91" s="108">
        <f>$B$5*(1+VLOOKUP($E91,武器奇术!$A:$R,5,FALSE)+IF($G$5="飞隼",0.1,0)+IF($G$5="撼天",0.05,0))-$F$9+IF($I$5="√",160,0)</f>
        <v>1731.135</v>
      </c>
      <c r="R91" s="99">
        <f>IF(VLOOKUP($E91,武器奇术!$A:$Z,20,FALSE)=1,(S91-(Q91+S91)*0.5)*($G$15-0.5)*2+(Q91+S91)*0.5,(Q91+S91)*0.5)</f>
        <v>3256.775</v>
      </c>
      <c r="S91" s="109">
        <f>MAX($C$5,$B$5)*(1+VLOOKUP($E91,武器奇术!$A:$R,5,FALSE)+IF($G$5="飞隼",0.1,0)+IF($G$5="撼天",0.05,0))-$F$9+IF($I$5="√",320,0)</f>
        <v>4782.415</v>
      </c>
      <c r="T91" s="101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U91" s="111">
        <f>$E$5+IF(VLOOKUP($E91,武器奇术!$A:$U,21,FALSE)=1,0,0.09)</f>
        <v>0.115</v>
      </c>
      <c r="V91" s="109">
        <v>1</v>
      </c>
      <c r="W91" s="112">
        <f>Q91*VLOOKUP($E91,武器奇术!$A:$R,2,FALSE)*(1+T91)*(1+U91)*V91</f>
        <v>5595.154346628</v>
      </c>
      <c r="X91" s="110">
        <f>(1-IF(VLOOKUP($E91,武器奇术!$A:$T,20,FALSE)=1,1,$N91))*(1-$M91)</f>
        <v>0.01072666</v>
      </c>
      <c r="Y91" s="112">
        <f>R91*VLOOKUP($E91,武器奇术!$A:$R,2,FALSE)*(1+T91)*(1+U91)*V91*(1+$E$16+VLOOKUP($E91,武器奇术!$A:$R,8,FALSE))</f>
        <v>20420.6997528468</v>
      </c>
      <c r="Z91" s="110">
        <f t="shared" si="1"/>
        <v>0.8813852</v>
      </c>
      <c r="AA91" s="112">
        <f>S91*VLOOKUP($E91,武器奇术!$A:$R,2,FALSE)*(1+T91)*(1+U91)*V91*(1+$E$17+VLOOKUP($E91,武器奇术!$A:$R,10,FALSE))</f>
        <v>20867.1031437462</v>
      </c>
      <c r="AB91" s="110">
        <f t="shared" si="2"/>
        <v>0.0986</v>
      </c>
      <c r="AC91" s="112">
        <f>R91*VLOOKUP($E91,武器奇术!$A:$R,2,FALSE)*(1+T91)*(1+U91)*V91</f>
        <v>10526.13389322</v>
      </c>
      <c r="AD91" s="110">
        <f t="shared" si="3"/>
        <v>0.00928814000000003</v>
      </c>
      <c r="AE91" s="113">
        <f t="shared" si="4"/>
        <v>20213.784429359</v>
      </c>
      <c r="AF91" s="114">
        <f>VLOOKUP($E91,武器奇术!$A:$R,3,FALSE)*(1+IF(VLOOKUP($E91,武器奇术!$A:$R,15,FALSE)="武器",$E$15,0))</f>
        <v>0</v>
      </c>
      <c r="AG91" s="112">
        <f t="shared" si="5"/>
        <v>0</v>
      </c>
      <c r="AH91" s="112">
        <f>VLOOKUP($E91,武器奇术!$A:$R,3,FALSE)*(1+IF(VLOOKUP($E91,武器奇术!$A:$R,15,FALSE)="武器",$E$15,0))</f>
        <v>0</v>
      </c>
      <c r="AI91" s="101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0.342</v>
      </c>
      <c r="AJ91" s="111">
        <f>$E$5+IF(VLOOKUP($E91,武器奇术!$A:$U,21,FALSE)=1,0,0.09)</f>
        <v>0.115</v>
      </c>
      <c r="AK91" s="109">
        <v>1</v>
      </c>
      <c r="AL91" s="112">
        <f t="shared" si="6"/>
        <v>0</v>
      </c>
      <c r="AM91" s="110">
        <f>(1-IF(VLOOKUP($E91,武器奇术!$A:$T,20,FALSE)=1,1,$N91))*(1-$M91)</f>
        <v>0.01072666</v>
      </c>
      <c r="AN91" s="112">
        <f>AG91*(1+AI91)*(1+AJ91)*AK91*(1+$E$16+VLOOKUP($E91,武器奇术!$A:$R,8,FALSE))</f>
        <v>0</v>
      </c>
      <c r="AO91" s="110">
        <f t="shared" si="7"/>
        <v>0.8813852</v>
      </c>
      <c r="AP91" s="112">
        <f>AH91*(1+AI91)*(1+AJ91)*AK91*(1+$E$17+VLOOKUP($E91,武器奇术!$A:$R,10,FALSE))</f>
        <v>0</v>
      </c>
      <c r="AQ91" s="110">
        <f t="shared" si="8"/>
        <v>0.0986</v>
      </c>
      <c r="AR91" s="112">
        <f t="shared" si="9"/>
        <v>0</v>
      </c>
      <c r="AS91" s="110">
        <f t="shared" si="10"/>
        <v>0.00928814000000003</v>
      </c>
      <c r="AT91" s="113">
        <f t="shared" si="11"/>
        <v>0</v>
      </c>
      <c r="AU91" s="108">
        <f>$B$7*IF($G$5="撼天",1.05,1)+IF(AND(VLOOKUP($E91,武器奇术!$A:$R,15,FALSE)="武器",VLOOKUP($E91,武器奇术!$A:$R,17,FALSE)="鸣金"),$E$3,0)*(1+$E$15)</f>
        <v>0</v>
      </c>
      <c r="AV91" s="99">
        <f>(AU91+AW91)*IF(VLOOKUP($E91,武器奇术!$A:$Z,21,FALSE)=1,$G$15,0.5)</f>
        <v>0</v>
      </c>
      <c r="AW91" s="109">
        <f>MAX($C$7*IF($G$5="撼天",1.05,1)+IF(AND(VLOOKUP($E91,武器奇术!$A:$R,15,FALSE)="武器",VLOOKUP($E91,武器奇术!$A:$R,17,FALSE)="鸣金"),$E$3*(1+$E$15),0),AU91)</f>
        <v>0</v>
      </c>
      <c r="AX91" s="110">
        <f>IF(($D$7+IF(VLOOKUP($E91,武器奇术!$A:$R,17,FALSE)="鸣金",$D$15,0)+IF(VLOOKUP($E91,武器奇术!$A:$R,18,FALSE)=1,4,0)+IF(VLOOKUP($E91,武器奇术!$A:$S,19,FALSE)=1,20,0)-VLOOKUP($F$7,目标属性!$A:$R,6,FALSE))&gt;0,($D$7+IF(VLOOKUP($E91,武器奇术!$A:$R,17,FALSE)="鸣金",$D$15,0)+IF(VLOOKUP($E91,武器奇术!$A:$R,18,FALSE)=1,4,0)+IF(VLOOKUP($E91,武器奇术!$A:$S,19,FALSE)=1,20,0)-VLOOKUP($F$7,目标属性!$A:$R,6,FALSE))/200,($D$7+IF(VLOOKUP($E91,武器奇术!$A:$R,17,FALSE)="鸣金",$D$15,0)+IF(VLOOKUP($E91,武器奇术!$A:$R,18,FALSE)=1,4,0)+IF(VLOOKUP($E91,武器奇术!$A:$S,19,FALSE)=1,20,0)-VLOOKUP($F$7,目标属性!$A:$R,6,FALSE))/100)</f>
        <v>0</v>
      </c>
      <c r="AY91" s="111">
        <f t="shared" si="12"/>
        <v>0</v>
      </c>
      <c r="AZ91" s="109">
        <v>1</v>
      </c>
      <c r="BA91" s="112">
        <f>AU91*IF(VLOOKUP($E91,武器奇术!$A:$R,17,FALSE)="鸣金",VLOOKUP($E91,武器奇术!$A:$R,4,FALSE),VLOOKUP($E91,武器奇术!$A:$R,2,FALSE))*(1+AX91)*(1+AY91)*AZ91</f>
        <v>0</v>
      </c>
      <c r="BB91" s="110">
        <f>(1-IF(VLOOKUP($E91,武器奇术!$A:$T,20,FALSE)=1,1,$N91))*(1-$M91)</f>
        <v>0.01072666</v>
      </c>
      <c r="BC91" s="112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10">
        <f t="shared" si="13"/>
        <v>0.8813852</v>
      </c>
      <c r="BE91" s="112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10">
        <f t="shared" si="14"/>
        <v>0.0986</v>
      </c>
      <c r="BG91" s="112">
        <f>AV91*IF(VLOOKUP($E91,武器奇术!$A:$R,17,FALSE)="鸣金",VLOOKUP($E91,武器奇术!$A:$R,4,FALSE),VLOOKUP($E91,武器奇术!$A:$R,2,FALSE))*(1+AX91)*(1+AY91)*AZ91</f>
        <v>0</v>
      </c>
      <c r="BH91" s="110">
        <f t="shared" si="15"/>
        <v>0.00928814000000003</v>
      </c>
      <c r="BI91" s="113">
        <f t="shared" si="16"/>
        <v>0</v>
      </c>
      <c r="BJ91" s="108">
        <f>$B$9*IF($G$5="撼天",1.05,1)+IF(AND(VLOOKUP($E91,武器奇术!$A:$R,15,FALSE)="武器",VLOOKUP($E91,武器奇术!$A:$R,17,FALSE)="裂石"),$E$3,0)*(1+$E$15)</f>
        <v>0</v>
      </c>
      <c r="BK91" s="99">
        <f>(BJ91+BL91)*IF(VLOOKUP($E91,武器奇术!$A:$Z,21,FALSE)=1,$G$15,0.5)</f>
        <v>0</v>
      </c>
      <c r="BL91" s="109">
        <f>MAX($C$9*IF($G$5="撼天",1.05,1)+IF(AND(VLOOKUP($E91,武器奇术!$A:$R,15,FALSE)="武器",VLOOKUP($E91,武器奇术!$A:$R,17,FALSE)="裂石"),$E$3*(1+$E$15),0),BJ91)</f>
        <v>0</v>
      </c>
      <c r="BM91" s="110">
        <f>IF(($D$9+IF(VLOOKUP($E91,武器奇术!$A:$R,17,FALSE)="裂石",$D$15,0)+IF(VLOOKUP($E91,武器奇术!$A:$R,18,FALSE)=1,4,0)+IF(VLOOKUP($E91,武器奇术!$A:$S,19,FALSE)=1,20,0)-VLOOKUP($F$7,目标属性!$A:$R,6,FALSE))&gt;0,($D$9+IF(VLOOKUP($E91,武器奇术!$A:$R,17,FALSE)="裂石",$D$15,0)+IF(VLOOKUP($E91,武器奇术!$A:$R,18,FALSE)=1,4,0)+IF(VLOOKUP($E91,武器奇术!$A:$S,19,FALSE)=1,20,0)-VLOOKUP($F$7,目标属性!$A:$R,6,FALSE))/200,($D$9+IF(VLOOKUP($E91,武器奇术!$A:$R,17,FALSE)="裂石",$D$15,0)+IF(VLOOKUP($E91,武器奇术!$A:$R,18,FALSE)=1,4,0)+IF(VLOOKUP($E91,武器奇术!$A:$S,19,FALSE)=1,20,0)-VLOOKUP($F$7,目标属性!$A:$R,6,FALSE))/100)</f>
        <v>0</v>
      </c>
      <c r="BN91" s="111">
        <f t="shared" si="17"/>
        <v>0</v>
      </c>
      <c r="BO91" s="109">
        <v>1</v>
      </c>
      <c r="BP91" s="112">
        <f>BJ91*IF(VLOOKUP($E91,武器奇术!$A:$R,17,FALSE)="裂石",VLOOKUP($E91,武器奇术!$A:$R,4,FALSE),VLOOKUP($E91,武器奇术!$A:$R,2,FALSE))*(1+BM91)*(1+BN91)*BO91</f>
        <v>0</v>
      </c>
      <c r="BQ91" s="110">
        <f>(1-IF(VLOOKUP($E91,武器奇术!$A:$T,20,FALSE)=1,1,$N91))*(1-$M91)</f>
        <v>0.01072666</v>
      </c>
      <c r="BR91" s="112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10">
        <f t="shared" si="18"/>
        <v>0.8813852</v>
      </c>
      <c r="BT91" s="112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10">
        <f t="shared" si="19"/>
        <v>0.0986</v>
      </c>
      <c r="BV91" s="112">
        <f>BK91*IF(VLOOKUP($E91,武器奇术!$A:$R,17,FALSE)="裂石",VLOOKUP($E91,武器奇术!$A:$R,4,FALSE),VLOOKUP($E91,武器奇术!$A:$R,2,FALSE))*(1+BM91)*(1+BN91)*BO91</f>
        <v>0</v>
      </c>
      <c r="BW91" s="110">
        <f t="shared" si="20"/>
        <v>0.00928814000000003</v>
      </c>
      <c r="BX91" s="113">
        <f t="shared" si="21"/>
        <v>0</v>
      </c>
      <c r="BY91" s="108">
        <f>$B$11*IF($G$5="撼天",1.05,1)+IF(AND(VLOOKUP($E91,武器奇术!$A:$R,15,FALSE)="武器",VLOOKUP($E91,武器奇术!$A:$R,17,FALSE)="牵丝"),$E$3,0)*(1+$E$15)</f>
        <v>0</v>
      </c>
      <c r="BZ91" s="99">
        <f>(BY91+CA91)*IF(VLOOKUP($E91,武器奇术!$A:$Z,21,FALSE)=1,$G$15,0.5)</f>
        <v>0</v>
      </c>
      <c r="CA91" s="109">
        <f>MAX($C$11*IF($G$5="撼天",1.05,1)+IF(AND(VLOOKUP($E91,武器奇术!$A:$R,15,FALSE)="武器",VLOOKUP($E91,武器奇术!$A:$R,17,FALSE)="牵丝"),$E$3*(1+$E$15),0),BY91)</f>
        <v>0</v>
      </c>
      <c r="CB91" s="110">
        <f>IF(($D$11+IF(VLOOKUP($E91,武器奇术!$A:$R,17,FALSE)="牵丝",$D$15,0)+IF(VLOOKUP($E91,武器奇术!$A:$R,18,FALSE)=1,4,0)+IF(VLOOKUP($E91,武器奇术!$A:$S,19,FALSE)=1,20,0)-VLOOKUP($F$7,目标属性!$A:$R,6,FALSE))&gt;0,($D$11+IF(VLOOKUP($E91,武器奇术!$A:$R,17,FALSE)="牵丝",$D$15,0)+IF(VLOOKUP($E91,武器奇术!$A:$R,18,FALSE)=1,4,0)+IF(VLOOKUP($E91,武器奇术!$A:$S,19,FALSE)=1,20,0)-VLOOKUP($F$7,目标属性!$A:$R,6,FALSE))/200,($D$11+IF(VLOOKUP($E91,武器奇术!$A:$R,17,FALSE)="牵丝",$D$15,0)+IF(VLOOKUP($E91,武器奇术!$A:$R,18,FALSE)=1,4,0)+IF(VLOOKUP($E91,武器奇术!$A:$S,19,FALSE)=1,20,0)-VLOOKUP($F$7,目标属性!$A:$R,6,FALSE))/100)</f>
        <v>0</v>
      </c>
      <c r="CC91" s="111">
        <f t="shared" si="22"/>
        <v>0</v>
      </c>
      <c r="CD91" s="109">
        <v>1</v>
      </c>
      <c r="CE91" s="112">
        <f>BY91*IF(VLOOKUP($E91,武器奇术!$A:$R,17,FALSE)="牵丝",VLOOKUP($E91,武器奇术!$A:$R,4,FALSE),VLOOKUP($E91,武器奇术!$A:$R,2,FALSE))*(1+CB91)*(1+CC91)*CD91</f>
        <v>0</v>
      </c>
      <c r="CF91" s="110">
        <f>(1-IF(VLOOKUP($E91,武器奇术!$A:$T,20,FALSE)=1,1,$N91))*(1-$M91)</f>
        <v>0.01072666</v>
      </c>
      <c r="CG91" s="112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110">
        <f t="shared" si="23"/>
        <v>0.8813852</v>
      </c>
      <c r="CI91" s="112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110">
        <f t="shared" si="24"/>
        <v>0.0986</v>
      </c>
      <c r="CK91" s="112">
        <f>BZ91*IF(VLOOKUP($E91,武器奇术!$A:$R,17,FALSE)="牵丝",VLOOKUP($E91,武器奇术!$A:$R,4,FALSE),VLOOKUP($E91,武器奇术!$A:$R,2,FALSE))*(1+CB91)*(1+CC91)*CD91</f>
        <v>0</v>
      </c>
      <c r="CL91" s="110">
        <f t="shared" si="25"/>
        <v>0.00928814000000003</v>
      </c>
      <c r="CM91" s="113">
        <f t="shared" si="26"/>
        <v>0</v>
      </c>
      <c r="CN91" s="108">
        <f>$B$13*IF($G$5="撼天",1.05,1)+IF(AND(VLOOKUP($E91,武器奇术!$A:$R,15,FALSE)="武器",VLOOKUP($E91,武器奇术!$A:$R,17,FALSE)="破竹"),$E$3,0)*(1+$E$15)</f>
        <v>452.55</v>
      </c>
      <c r="CO91" s="99">
        <f>(CN91+CP91)*IF(VLOOKUP($E91,武器奇术!$A:$Z,21,FALSE)=1,$G$15,0.5)</f>
        <v>679.35</v>
      </c>
      <c r="CP91" s="109">
        <f>MAX($C$13*IF($G$5="撼天",1.05,1)+IF(AND(VLOOKUP($E91,武器奇术!$A:$R,15,FALSE)="武器",VLOOKUP($E91,武器奇术!$A:$R,17,FALSE)="破竹"),$E$3*(1+$E$15),0),CN91)</f>
        <v>906.15</v>
      </c>
      <c r="CQ91" s="110">
        <f>IF(($D$13+IF(VLOOKUP($E91,武器奇术!$A:$R,17,FALSE)="破竹",$D$15,0)+IF(VLOOKUP($E91,武器奇术!$A:$R,18,FALSE)=1,4,0)+IF(VLOOKUP($E91,武器奇术!$A:$S,19,FALSE)=1,20,0)-VLOOKUP($F$7,目标属性!$A:$R,6,FALSE))&gt;0,($D$13+IF(VLOOKUP($E91,武器奇术!$A:$R,17,FALSE)="破竹",$D$15,0)+IF(VLOOKUP($E91,武器奇术!$A:$R,18,FALSE)=1,4,0)+IF(VLOOKUP($E91,武器奇术!$A:$S,19,FALSE)=1,20,0)-VLOOKUP($F$7,目标属性!$A:$R,6,FALSE))/200,($D$13+IF(VLOOKUP($E91,武器奇术!$A:$R,17,FALSE)="破竹",$D$15,0)+IF(VLOOKUP($E91,武器奇术!$A:$R,18,FALSE)=1,4,0)+IF(VLOOKUP($E91,武器奇术!$A:$S,19,FALSE)=1,20,0)-VLOOKUP($F$7,目标属性!$A:$R,6,FALSE))/100)</f>
        <v>0.145</v>
      </c>
      <c r="CR91" s="111">
        <f>$E$13+IF(VLOOKUP($E91,武器奇术!$A:$U,21,FALSE)=1,0,0.09)</f>
        <v>0.235</v>
      </c>
      <c r="CS91" s="109">
        <v>1</v>
      </c>
      <c r="CT91" s="112">
        <f>CN91*IF(VLOOKUP($E91,武器奇术!$A:$R,17,FALSE)="破竹",VLOOKUP($E91,武器奇术!$A:$R,4,FALSE),VLOOKUP($E91,武器奇术!$A:$R,2,FALSE))*(1+CQ91)*(1+CR91)*CS91</f>
        <v>2073.40443765</v>
      </c>
      <c r="CU91" s="110">
        <f>(1-IF(VLOOKUP($E91,武器奇术!$A:$T,20,FALSE)=1,1,$N91))*(1-$M91)</f>
        <v>0.01072666</v>
      </c>
      <c r="CV91" s="112">
        <f>CO91*IF(VLOOKUP($E91,武器奇术!$A:$R,17,FALSE)="破竹",VLOOKUP($E91,武器奇术!$A:$R,4,FALSE),VLOOKUP($E91,武器奇术!$A:$R,2,FALSE))*(1+CQ91)*(1+CR91)*CS91*(1+$E$16+VLOOKUP($E91,武器奇术!$A:$R,8,FALSE))</f>
        <v>6038.273276217</v>
      </c>
      <c r="CW91" s="110">
        <f t="shared" si="27"/>
        <v>0.8813852</v>
      </c>
      <c r="CX91" s="112">
        <f>CP91*IF(VLOOKUP($E91,武器奇术!$A:$R,17,FALSE)="破竹",VLOOKUP($E91,武器奇术!$A:$R,4,FALSE),VLOOKUP($E91,武器奇术!$A:$R,2,FALSE))*(1+CQ91)*(1+CR91)*CS91*(1+$E$17+VLOOKUP($E91,武器奇术!$A:$R,10,FALSE))</f>
        <v>5604.6864039075</v>
      </c>
      <c r="CY91" s="110">
        <f t="shared" si="28"/>
        <v>0.0986</v>
      </c>
      <c r="CZ91" s="112">
        <f>CO91*IF(VLOOKUP($E91,武器奇术!$A:$R,17,FALSE)="破竹",VLOOKUP($E91,武器奇术!$A:$R,4,FALSE),VLOOKUP($E91,武器奇术!$A:$R,2,FALSE))*(1+CQ91)*(1+CR91)*CS91</f>
        <v>3112.51199805</v>
      </c>
      <c r="DA91" s="110">
        <f t="shared" si="29"/>
        <v>0.00928814000000003</v>
      </c>
      <c r="DB91" s="113">
        <f t="shared" si="30"/>
        <v>5925.81693027318</v>
      </c>
      <c r="DC91" s="108">
        <f t="shared" si="31"/>
        <v>69.3</v>
      </c>
      <c r="DD91" s="99">
        <f>(DC91+DE91)*IF(VLOOKUP($E91,武器奇术!$A:$Z,21,FALSE)=1,$G$15,0.5)</f>
        <v>69.3</v>
      </c>
      <c r="DE91" s="109">
        <f t="shared" si="32"/>
        <v>69.3</v>
      </c>
      <c r="DF91" s="110">
        <f>IF(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R,18,FALSE)=1,4,0)+IF(VLOOKUP($E91,武器奇术!$A:$S,19,FALSE)=1,20,0)-VLOOKUP($F$7,目标属性!$A:$R,6,FALSE))/100)</f>
        <v>0.145</v>
      </c>
      <c r="DG91" s="111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U,21,FALSE)=1,0,0.09)</f>
        <v>0.235</v>
      </c>
      <c r="DH91" s="109">
        <v>1</v>
      </c>
      <c r="DI91" s="112">
        <f>DC91*IF(VLOOKUP($E91,武器奇术!$A:$R,17,FALSE)="破竹",VLOOKUP($E91,武器奇术!$A:$R,4,FALSE),VLOOKUP($E91,武器奇术!$A:$R,2,FALSE))*(1+DF91)*(1+DG91)*DH91</f>
        <v>317.5050879</v>
      </c>
      <c r="DJ91" s="110">
        <f>(1-IF(VLOOKUP($E91,武器奇术!$A:$T,20,FALSE)=1,1,$N91))*(1-$M91)</f>
        <v>0.01072666</v>
      </c>
      <c r="DK91" s="112">
        <f>DD91*IF(VLOOKUP($E91,武器奇术!$A:$R,17,FALSE)="破竹",VLOOKUP($E91,武器奇术!$A:$R,4,FALSE),VLOOKUP($E91,武器奇术!$A:$R,2,FALSE))*(1+DF91)*(1+DG91)*DH91*(1+$E$16+VLOOKUP($E91,武器奇术!$A:$R,8,FALSE))</f>
        <v>615.959870526</v>
      </c>
      <c r="DL91" s="110">
        <f t="shared" si="33"/>
        <v>0.8813852</v>
      </c>
      <c r="DM91" s="112">
        <f>DE91*IF(VLOOKUP($E91,武器奇术!$A:$R,17,FALSE)="破竹",VLOOKUP($E91,武器奇术!$A:$R,4,FALSE),VLOOKUP($E91,武器奇术!$A:$R,2,FALSE))*(1+DF91)*(1+DG91)*DH91*(1+$E$17+VLOOKUP($E91,武器奇术!$A:$R,10,FALSE))</f>
        <v>428.631868665</v>
      </c>
      <c r="DN91" s="110">
        <f t="shared" si="34"/>
        <v>0.0986</v>
      </c>
      <c r="DO91" s="112">
        <f>DD91*IF(VLOOKUP($E91,武器奇术!$A:$R,17,FALSE)="破竹",VLOOKUP($E91,武器奇术!$A:$R,4,FALSE),VLOOKUP($E91,武器奇术!$A:$R,2,FALSE))*(1+DF91)*(1+DG91)*DH91</f>
        <v>317.5050879</v>
      </c>
      <c r="DP91" s="110">
        <f t="shared" si="35"/>
        <v>0.00928814000000003</v>
      </c>
      <c r="DQ91" s="113">
        <f t="shared" si="36"/>
        <v>591.515816759203</v>
      </c>
    </row>
    <row r="92" spans="1:121">
      <c r="A92" s="75"/>
      <c r="B92" s="75"/>
      <c r="C92" s="148"/>
      <c r="D92" s="75"/>
      <c r="E92" s="98" t="str">
        <f>期望!E92</f>
        <v>拳甲R蓄4天志</v>
      </c>
      <c r="F92" s="99">
        <f>期望!F92</f>
        <v>1</v>
      </c>
      <c r="G92" s="115">
        <f>$E$23</f>
        <v>0.32</v>
      </c>
      <c r="H92" s="149">
        <f>IF(VLOOKUP($E92,武器奇术!$A:$R,18,FALSE)="天工",AE92,(AE92+AT92+BI92+BX92+CM92+DB92+DQ92))*(1+J92)*F92*K92*(1+G92)*(1+$G$21*5%)</f>
        <v>1108501.07859183</v>
      </c>
      <c r="I92" s="101">
        <f t="shared" si="0"/>
        <v>0.1368587731553</v>
      </c>
      <c r="J92" s="101">
        <f>$F$3+VLOOKUP($E92,武器奇术!$A:$R,12,FALSE)+VLOOKUP($E92,武器奇术!$A:$R,14,FALSE)*$G$3+$P92</f>
        <v>0.773</v>
      </c>
      <c r="K92" s="102">
        <f>VLOOKUP($E92,武器奇术!$A:$R,11,FALSE)</f>
        <v>1</v>
      </c>
      <c r="L92" s="117">
        <f>IF(VLOOKUP($E92,武器奇术!$A:$R,15,FALSE)="天工",0%,IF($C$17+VLOOKUP($E92,武器奇术!$A:$R,7,FALSE)&gt;80%,80%,$C$17+VLOOKUP($E92,武器奇术!$A:$R,7,FALSE))+IF($C$19&gt;20%,20%,$C$19))</f>
        <v>0.892</v>
      </c>
      <c r="M92" s="118">
        <f>IF(VLOOKUP($E92,武器奇术!$A:$R,15,FALSE)="天工",0%,IF($C$18+VLOOKUP($E92,武器奇术!$A:$R,9,FALSE)&gt;40%,40%,$C$18+VLOOKUP($E92,武器奇术!$A:$R,9,FALSE))+IF($C$20&gt;10%,10%,$C$20))</f>
        <v>0.0986</v>
      </c>
      <c r="N92" s="119">
        <f>IF(VLOOKUP($E92,武器奇术!$A:$R,15,FALSE)="天工",100%,MIN($C$16,1))</f>
        <v>0.9881</v>
      </c>
      <c r="O92" s="120" t="str">
        <f>VLOOKUP($E92,武器奇术!$A:$R,16,FALSE)</f>
        <v>拳甲</v>
      </c>
      <c r="P92" s="121">
        <f t="shared" si="38"/>
        <v>0.17</v>
      </c>
      <c r="Q92" s="108">
        <f>$B$5*(1+VLOOKUP($E92,武器奇术!$A:$R,5,FALSE)+IF($G$5="飞隼",0.1,0)+IF($G$5="撼天",0.05,0))-$F$9+IF($I$5="√",160,0)</f>
        <v>1731.135</v>
      </c>
      <c r="R92" s="99">
        <f>IF(VLOOKUP($E92,武器奇术!$A:$Z,20,FALSE)=1,(S92-(Q92+S92)*0.5)*($G$15-0.5)*2+(Q92+S92)*0.5,(Q92+S92)*0.5)</f>
        <v>3256.775</v>
      </c>
      <c r="S92" s="109">
        <f>MAX($C$5,$B$5)*(1+VLOOKUP($E92,武器奇术!$A:$R,5,FALSE)+IF($G$5="飞隼",0.1,0)+IF($G$5="撼天",0.05,0))-$F$9+IF($I$5="√",320,0)</f>
        <v>4782.415</v>
      </c>
      <c r="T92" s="101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U92" s="111">
        <f>$E$5+IF(VLOOKUP($E92,武器奇术!$A:$U,21,FALSE)=1,0,0.09)</f>
        <v>0.115</v>
      </c>
      <c r="V92" s="109">
        <v>1</v>
      </c>
      <c r="W92" s="112">
        <f>Q92*VLOOKUP($E92,武器奇术!$A:$R,2,FALSE)*(1+T92)*(1+U92)*V92</f>
        <v>58678.4041054908</v>
      </c>
      <c r="X92" s="110">
        <f>(1-IF(VLOOKUP($E92,武器奇术!$A:$T,20,FALSE)=1,1,$N92))*(1-$M92)</f>
        <v>0</v>
      </c>
      <c r="Y92" s="112">
        <f>R92*VLOOKUP($E92,武器奇术!$A:$R,2,FALSE)*(1+T92)*(1+U92)*V92*(1+$E$16+VLOOKUP($E92,武器奇术!$A:$R,8,FALSE))</f>
        <v>236237.525898103</v>
      </c>
      <c r="Z92" s="110">
        <f t="shared" si="1"/>
        <v>0.8813852</v>
      </c>
      <c r="AA92" s="112">
        <f>S92*VLOOKUP($E92,武器奇术!$A:$R,2,FALSE)*(1+T92)*(1+U92)*V92*(1+$E$17+VLOOKUP($E92,武器奇术!$A:$R,10,FALSE))</f>
        <v>218840.846011268</v>
      </c>
      <c r="AB92" s="110">
        <f t="shared" si="2"/>
        <v>0.0986</v>
      </c>
      <c r="AC92" s="112">
        <f>R92*VLOOKUP($E92,武器奇术!$A:$R,2,FALSE)*(1+T92)*(1+U92)*V92</f>
        <v>110391.367242104</v>
      </c>
      <c r="AD92" s="110">
        <f t="shared" si="3"/>
        <v>0.0200148</v>
      </c>
      <c r="AE92" s="113">
        <f t="shared" si="4"/>
        <v>232003.427564993</v>
      </c>
      <c r="AF92" s="114">
        <f>VLOOKUP($E92,武器奇术!$A:$R,3,FALSE)*(1+IF(VLOOKUP($E92,武器奇术!$A:$R,15,FALSE)="武器",$E$15,0))</f>
        <v>8140.86</v>
      </c>
      <c r="AG92" s="112">
        <f t="shared" si="5"/>
        <v>8140.86</v>
      </c>
      <c r="AH92" s="112">
        <f>VLOOKUP($E92,武器奇术!$A:$R,3,FALSE)*(1+IF(VLOOKUP($E92,武器奇术!$A:$R,15,FALSE)="武器",$E$15,0))</f>
        <v>8140.86</v>
      </c>
      <c r="AI92" s="101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0.342</v>
      </c>
      <c r="AJ92" s="111">
        <f>$E$5+IF(VLOOKUP($E92,武器奇术!$A:$U,21,FALSE)=1,0,0.09)</f>
        <v>0.115</v>
      </c>
      <c r="AK92" s="109">
        <v>1</v>
      </c>
      <c r="AL92" s="112">
        <f t="shared" si="6"/>
        <v>12181.4130438</v>
      </c>
      <c r="AM92" s="110">
        <f>(1-IF(VLOOKUP($E92,武器奇术!$A:$T,20,FALSE)=1,1,$N92))*(1-$M92)</f>
        <v>0</v>
      </c>
      <c r="AN92" s="112">
        <f>AG92*(1+AI92)*(1+AJ92)*AK92*(1+$E$16+VLOOKUP($E92,武器奇术!$A:$R,8,FALSE))</f>
        <v>26068.223913732</v>
      </c>
      <c r="AO92" s="110">
        <f t="shared" si="7"/>
        <v>0.8813852</v>
      </c>
      <c r="AP92" s="112">
        <f>AH92*(1+AI92)*(1+AJ92)*AK92*(1+$E$17+VLOOKUP($E92,武器奇术!$A:$R,10,FALSE))</f>
        <v>16444.90760913</v>
      </c>
      <c r="AQ92" s="110">
        <f t="shared" si="8"/>
        <v>0.0986</v>
      </c>
      <c r="AR92" s="112">
        <f t="shared" si="9"/>
        <v>12181.4130438</v>
      </c>
      <c r="AS92" s="110">
        <f t="shared" si="10"/>
        <v>0.0200148</v>
      </c>
      <c r="AT92" s="113">
        <f t="shared" si="11"/>
        <v>24841.4231838987</v>
      </c>
      <c r="AU92" s="108">
        <f>$B$7*IF($G$5="撼天",1.05,1)+IF(AND(VLOOKUP($E92,武器奇术!$A:$R,15,FALSE)="武器",VLOOKUP($E92,武器奇术!$A:$R,17,FALSE)="鸣金"),$E$3,0)*(1+$E$15)</f>
        <v>0</v>
      </c>
      <c r="AV92" s="99">
        <f>(AU92+AW92)*IF(VLOOKUP($E92,武器奇术!$A:$Z,21,FALSE)=1,$G$15,0.5)</f>
        <v>0</v>
      </c>
      <c r="AW92" s="109">
        <f>MAX($C$7*IF($G$5="撼天",1.05,1)+IF(AND(VLOOKUP($E92,武器奇术!$A:$R,15,FALSE)="武器",VLOOKUP($E92,武器奇术!$A:$R,17,FALSE)="鸣金"),$E$3*(1+$E$15),0),AU92)</f>
        <v>0</v>
      </c>
      <c r="AX92" s="110">
        <f>IF(($D$7+IF(VLOOKUP($E92,武器奇术!$A:$R,17,FALSE)="鸣金",$D$15,0)+IF(VLOOKUP($E92,武器奇术!$A:$R,18,FALSE)=1,4,0)+IF(VLOOKUP($E92,武器奇术!$A:$S,19,FALSE)=1,20,0)-VLOOKUP($F$7,目标属性!$A:$R,6,FALSE))&gt;0,($D$7+IF(VLOOKUP($E92,武器奇术!$A:$R,17,FALSE)="鸣金",$D$15,0)+IF(VLOOKUP($E92,武器奇术!$A:$R,18,FALSE)=1,4,0)+IF(VLOOKUP($E92,武器奇术!$A:$S,19,FALSE)=1,20,0)-VLOOKUP($F$7,目标属性!$A:$R,6,FALSE))/200,($D$7+IF(VLOOKUP($E92,武器奇术!$A:$R,17,FALSE)="鸣金",$D$15,0)+IF(VLOOKUP($E92,武器奇术!$A:$R,18,FALSE)=1,4,0)+IF(VLOOKUP($E92,武器奇术!$A:$S,19,FALSE)=1,20,0)-VLOOKUP($F$7,目标属性!$A:$R,6,FALSE))/100)</f>
        <v>0</v>
      </c>
      <c r="AY92" s="111">
        <f t="shared" si="12"/>
        <v>0</v>
      </c>
      <c r="AZ92" s="109">
        <v>1</v>
      </c>
      <c r="BA92" s="112">
        <f>AU92*IF(VLOOKUP($E92,武器奇术!$A:$R,17,FALSE)="鸣金",VLOOKUP($E92,武器奇术!$A:$R,4,FALSE),VLOOKUP($E92,武器奇术!$A:$R,2,FALSE))*(1+AX92)*(1+AY92)*AZ92</f>
        <v>0</v>
      </c>
      <c r="BB92" s="110">
        <f>(1-IF(VLOOKUP($E92,武器奇术!$A:$T,20,FALSE)=1,1,$N92))*(1-$M92)</f>
        <v>0</v>
      </c>
      <c r="BC92" s="112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10">
        <f t="shared" si="13"/>
        <v>0.8813852</v>
      </c>
      <c r="BE92" s="112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10">
        <f t="shared" si="14"/>
        <v>0.0986</v>
      </c>
      <c r="BG92" s="112">
        <f>AV92*IF(VLOOKUP($E92,武器奇术!$A:$R,17,FALSE)="鸣金",VLOOKUP($E92,武器奇术!$A:$R,4,FALSE),VLOOKUP($E92,武器奇术!$A:$R,2,FALSE))*(1+AX92)*(1+AY92)*AZ92</f>
        <v>0</v>
      </c>
      <c r="BH92" s="110">
        <f t="shared" si="15"/>
        <v>0.0200148</v>
      </c>
      <c r="BI92" s="113">
        <f t="shared" si="16"/>
        <v>0</v>
      </c>
      <c r="BJ92" s="108">
        <f>$B$9*IF($G$5="撼天",1.05,1)+IF(AND(VLOOKUP($E92,武器奇术!$A:$R,15,FALSE)="武器",VLOOKUP($E92,武器奇术!$A:$R,17,FALSE)="裂石"),$E$3,0)*(1+$E$15)</f>
        <v>0</v>
      </c>
      <c r="BK92" s="99">
        <f>(BJ92+BL92)*IF(VLOOKUP($E92,武器奇术!$A:$Z,21,FALSE)=1,$G$15,0.5)</f>
        <v>0</v>
      </c>
      <c r="BL92" s="109">
        <f>MAX($C$9*IF($G$5="撼天",1.05,1)+IF(AND(VLOOKUP($E92,武器奇术!$A:$R,15,FALSE)="武器",VLOOKUP($E92,武器奇术!$A:$R,17,FALSE)="裂石"),$E$3*(1+$E$15),0),BJ92)</f>
        <v>0</v>
      </c>
      <c r="BM92" s="110">
        <f>IF(($D$9+IF(VLOOKUP($E92,武器奇术!$A:$R,17,FALSE)="裂石",$D$15,0)+IF(VLOOKUP($E92,武器奇术!$A:$R,18,FALSE)=1,4,0)+IF(VLOOKUP($E92,武器奇术!$A:$S,19,FALSE)=1,20,0)-VLOOKUP($F$7,目标属性!$A:$R,6,FALSE))&gt;0,($D$9+IF(VLOOKUP($E92,武器奇术!$A:$R,17,FALSE)="裂石",$D$15,0)+IF(VLOOKUP($E92,武器奇术!$A:$R,18,FALSE)=1,4,0)+IF(VLOOKUP($E92,武器奇术!$A:$S,19,FALSE)=1,20,0)-VLOOKUP($F$7,目标属性!$A:$R,6,FALSE))/200,($D$9+IF(VLOOKUP($E92,武器奇术!$A:$R,17,FALSE)="裂石",$D$15,0)+IF(VLOOKUP($E92,武器奇术!$A:$R,18,FALSE)=1,4,0)+IF(VLOOKUP($E92,武器奇术!$A:$S,19,FALSE)=1,20,0)-VLOOKUP($F$7,目标属性!$A:$R,6,FALSE))/100)</f>
        <v>0</v>
      </c>
      <c r="BN92" s="111">
        <f t="shared" si="17"/>
        <v>0</v>
      </c>
      <c r="BO92" s="109">
        <v>1</v>
      </c>
      <c r="BP92" s="112">
        <f>BJ92*IF(VLOOKUP($E92,武器奇术!$A:$R,17,FALSE)="裂石",VLOOKUP($E92,武器奇术!$A:$R,4,FALSE),VLOOKUP($E92,武器奇术!$A:$R,2,FALSE))*(1+BM92)*(1+BN92)*BO92</f>
        <v>0</v>
      </c>
      <c r="BQ92" s="110">
        <f>(1-IF(VLOOKUP($E92,武器奇术!$A:$T,20,FALSE)=1,1,$N92))*(1-$M92)</f>
        <v>0</v>
      </c>
      <c r="BR92" s="112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10">
        <f t="shared" si="18"/>
        <v>0.8813852</v>
      </c>
      <c r="BT92" s="112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10">
        <f t="shared" si="19"/>
        <v>0.0986</v>
      </c>
      <c r="BV92" s="112">
        <f>BK92*IF(VLOOKUP($E92,武器奇术!$A:$R,17,FALSE)="裂石",VLOOKUP($E92,武器奇术!$A:$R,4,FALSE),VLOOKUP($E92,武器奇术!$A:$R,2,FALSE))*(1+BM92)*(1+BN92)*BO92</f>
        <v>0</v>
      </c>
      <c r="BW92" s="110">
        <f t="shared" si="20"/>
        <v>0.0200148</v>
      </c>
      <c r="BX92" s="113">
        <f t="shared" si="21"/>
        <v>0</v>
      </c>
      <c r="BY92" s="108">
        <f>$B$11*IF($G$5="撼天",1.05,1)+IF(AND(VLOOKUP($E92,武器奇术!$A:$R,15,FALSE)="武器",VLOOKUP($E92,武器奇术!$A:$R,17,FALSE)="牵丝"),$E$3,0)*(1+$E$15)</f>
        <v>0</v>
      </c>
      <c r="BZ92" s="99">
        <f>(BY92+CA92)*IF(VLOOKUP($E92,武器奇术!$A:$Z,21,FALSE)=1,$G$15,0.5)</f>
        <v>0</v>
      </c>
      <c r="CA92" s="109">
        <f>MAX($C$11*IF($G$5="撼天",1.05,1)+IF(AND(VLOOKUP($E92,武器奇术!$A:$R,15,FALSE)="武器",VLOOKUP($E92,武器奇术!$A:$R,17,FALSE)="牵丝"),$E$3*(1+$E$15),0),BY92)</f>
        <v>0</v>
      </c>
      <c r="CB92" s="110">
        <f>IF(($D$11+IF(VLOOKUP($E92,武器奇术!$A:$R,17,FALSE)="牵丝",$D$15,0)+IF(VLOOKUP($E92,武器奇术!$A:$R,18,FALSE)=1,4,0)+IF(VLOOKUP($E92,武器奇术!$A:$S,19,FALSE)=1,20,0)-VLOOKUP($F$7,目标属性!$A:$R,6,FALSE))&gt;0,($D$11+IF(VLOOKUP($E92,武器奇术!$A:$R,17,FALSE)="牵丝",$D$15,0)+IF(VLOOKUP($E92,武器奇术!$A:$R,18,FALSE)=1,4,0)+IF(VLOOKUP($E92,武器奇术!$A:$S,19,FALSE)=1,20,0)-VLOOKUP($F$7,目标属性!$A:$R,6,FALSE))/200,($D$11+IF(VLOOKUP($E92,武器奇术!$A:$R,17,FALSE)="牵丝",$D$15,0)+IF(VLOOKUP($E92,武器奇术!$A:$R,18,FALSE)=1,4,0)+IF(VLOOKUP($E92,武器奇术!$A:$S,19,FALSE)=1,20,0)-VLOOKUP($F$7,目标属性!$A:$R,6,FALSE))/100)</f>
        <v>0</v>
      </c>
      <c r="CC92" s="111">
        <f t="shared" si="22"/>
        <v>0</v>
      </c>
      <c r="CD92" s="109">
        <v>1</v>
      </c>
      <c r="CE92" s="112">
        <f>BY92*IF(VLOOKUP($E92,武器奇术!$A:$R,17,FALSE)="牵丝",VLOOKUP($E92,武器奇术!$A:$R,4,FALSE),VLOOKUP($E92,武器奇术!$A:$R,2,FALSE))*(1+CB92)*(1+CC92)*CD92</f>
        <v>0</v>
      </c>
      <c r="CF92" s="110">
        <f>(1-IF(VLOOKUP($E92,武器奇术!$A:$T,20,FALSE)=1,1,$N92))*(1-$M92)</f>
        <v>0</v>
      </c>
      <c r="CG92" s="112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110">
        <f t="shared" si="23"/>
        <v>0.8813852</v>
      </c>
      <c r="CI92" s="112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110">
        <f t="shared" si="24"/>
        <v>0.0986</v>
      </c>
      <c r="CK92" s="112">
        <f>BZ92*IF(VLOOKUP($E92,武器奇术!$A:$R,17,FALSE)="牵丝",VLOOKUP($E92,武器奇术!$A:$R,4,FALSE),VLOOKUP($E92,武器奇术!$A:$R,2,FALSE))*(1+CB92)*(1+CC92)*CD92</f>
        <v>0</v>
      </c>
      <c r="CL92" s="110">
        <f t="shared" si="25"/>
        <v>0.0200148</v>
      </c>
      <c r="CM92" s="113">
        <f t="shared" si="26"/>
        <v>0</v>
      </c>
      <c r="CN92" s="108">
        <f>$B$13*IF($G$5="撼天",1.05,1)+IF(AND(VLOOKUP($E92,武器奇术!$A:$R,15,FALSE)="武器",VLOOKUP($E92,武器奇术!$A:$R,17,FALSE)="破竹"),$E$3,0)*(1+$E$15)</f>
        <v>648.46</v>
      </c>
      <c r="CO92" s="99">
        <f>(CN92+CP92)*IF(VLOOKUP($E92,武器奇术!$A:$Z,21,FALSE)=1,$G$15,0.5)</f>
        <v>875.26</v>
      </c>
      <c r="CP92" s="109">
        <f>MAX($C$13*IF($G$5="撼天",1.05,1)+IF(AND(VLOOKUP($E92,武器奇术!$A:$R,15,FALSE)="武器",VLOOKUP($E92,武器奇术!$A:$R,17,FALSE)="破竹"),$E$3*(1+$E$15),0),CN92)</f>
        <v>1102.06</v>
      </c>
      <c r="CQ92" s="110">
        <f>IF(($D$13+IF(VLOOKUP($E92,武器奇术!$A:$R,17,FALSE)="破竹",$D$15,0)+IF(VLOOKUP($E92,武器奇术!$A:$R,18,FALSE)=1,4,0)+IF(VLOOKUP($E92,武器奇术!$A:$S,19,FALSE)=1,20,0)-VLOOKUP($F$7,目标属性!$A:$R,6,FALSE))&gt;0,($D$13+IF(VLOOKUP($E92,武器奇术!$A:$R,17,FALSE)="破竹",$D$15,0)+IF(VLOOKUP($E92,武器奇术!$A:$R,18,FALSE)=1,4,0)+IF(VLOOKUP($E92,武器奇术!$A:$S,19,FALSE)=1,20,0)-VLOOKUP($F$7,目标属性!$A:$R,6,FALSE))/200,($D$13+IF(VLOOKUP($E92,武器奇术!$A:$R,17,FALSE)="破竹",$D$15,0)+IF(VLOOKUP($E92,武器奇术!$A:$R,18,FALSE)=1,4,0)+IF(VLOOKUP($E92,武器奇术!$A:$S,19,FALSE)=1,20,0)-VLOOKUP($F$7,目标属性!$A:$R,6,FALSE))/100)</f>
        <v>0.145</v>
      </c>
      <c r="CR92" s="111">
        <f>$E$13+IF(VLOOKUP($E92,武器奇术!$A:$U,21,FALSE)=1,0,0.09)</f>
        <v>0.235</v>
      </c>
      <c r="CS92" s="109">
        <v>1</v>
      </c>
      <c r="CT92" s="112">
        <f>CN92*IF(VLOOKUP($E92,武器奇术!$A:$R,17,FALSE)="破竹",VLOOKUP($E92,武器奇术!$A:$R,4,FALSE),VLOOKUP($E92,武器奇术!$A:$R,2,FALSE))*(1+CQ92)*(1+CR92)*CS92</f>
        <v>31157.741801014</v>
      </c>
      <c r="CU92" s="110">
        <f>(1-IF(VLOOKUP($E92,武器奇术!$A:$T,20,FALSE)=1,1,$N92))*(1-$M92)</f>
        <v>0</v>
      </c>
      <c r="CV92" s="112">
        <f>CO92*IF(VLOOKUP($E92,武器奇术!$A:$R,17,FALSE)="破竹",VLOOKUP($E92,武器奇术!$A:$R,4,FALSE),VLOOKUP($E92,武器奇术!$A:$R,2,FALSE))*(1+CQ92)*(1+CR92)*CS92*(1+$E$16+VLOOKUP($E92,武器奇术!$A:$R,8,FALSE))</f>
        <v>89998.16132057</v>
      </c>
      <c r="CW92" s="110">
        <f t="shared" si="27"/>
        <v>0.8813852</v>
      </c>
      <c r="CX92" s="112">
        <f>CP92*IF(VLOOKUP($E92,武器奇术!$A:$R,17,FALSE)="破竹",VLOOKUP($E92,武器奇术!$A:$R,4,FALSE),VLOOKUP($E92,武器奇术!$A:$R,2,FALSE))*(1+CQ92)*(1+CR92)*CS92*(1+$E$17+VLOOKUP($E92,武器奇术!$A:$R,10,FALSE))</f>
        <v>71486.1306086026</v>
      </c>
      <c r="CY92" s="110">
        <f t="shared" si="28"/>
        <v>0.0986</v>
      </c>
      <c r="CZ92" s="112">
        <f>CO92*IF(VLOOKUP($E92,武器奇术!$A:$R,17,FALSE)="破竹",VLOOKUP($E92,武器奇术!$A:$R,4,FALSE),VLOOKUP($E92,武器奇术!$A:$R,2,FALSE))*(1+CQ92)*(1+CR92)*CS92</f>
        <v>42055.2155703598</v>
      </c>
      <c r="DA92" s="110">
        <f t="shared" si="29"/>
        <v>0.0200148</v>
      </c>
      <c r="DB92" s="113">
        <f t="shared" si="30"/>
        <v>87213.3066217687</v>
      </c>
      <c r="DC92" s="108">
        <f t="shared" si="31"/>
        <v>69.3</v>
      </c>
      <c r="DD92" s="99">
        <f>(DC92+DE92)*IF(VLOOKUP($E92,武器奇术!$A:$Z,21,FALSE)=1,$G$15,0.5)</f>
        <v>69.3</v>
      </c>
      <c r="DE92" s="109">
        <f t="shared" si="32"/>
        <v>69.3</v>
      </c>
      <c r="DF92" s="110">
        <f>IF(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R,18,FALSE)=1,4,0)+IF(VLOOKUP($E92,武器奇术!$A:$S,19,FALSE)=1,20,0)-VLOOKUP($F$7,目标属性!$A:$R,6,FALSE))/100)</f>
        <v>0.145</v>
      </c>
      <c r="DG92" s="111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U,21,FALSE)=1,0,0.09)</f>
        <v>0.235</v>
      </c>
      <c r="DH92" s="109">
        <v>1</v>
      </c>
      <c r="DI92" s="112">
        <f>DC92*IF(VLOOKUP($E92,武器奇术!$A:$R,17,FALSE)="破竹",VLOOKUP($E92,武器奇术!$A:$R,4,FALSE),VLOOKUP($E92,武器奇术!$A:$R,2,FALSE))*(1+DF92)*(1+DG92)*DH92</f>
        <v>3329.78365174455</v>
      </c>
      <c r="DJ92" s="110">
        <f>(1-IF(VLOOKUP($E92,武器奇术!$A:$T,20,FALSE)=1,1,$N92))*(1-$M92)</f>
        <v>0</v>
      </c>
      <c r="DK92" s="112">
        <f>DD92*IF(VLOOKUP($E92,武器奇术!$A:$R,17,FALSE)="破竹",VLOOKUP($E92,武器奇术!$A:$R,4,FALSE),VLOOKUP($E92,武器奇术!$A:$R,2,FALSE))*(1+DF92)*(1+DG92)*DH92*(1+$E$16+VLOOKUP($E92,武器奇术!$A:$R,8,FALSE))</f>
        <v>7125.73701473334</v>
      </c>
      <c r="DL92" s="110">
        <f t="shared" si="33"/>
        <v>0.8813852</v>
      </c>
      <c r="DM92" s="112">
        <f>DE92*IF(VLOOKUP($E92,武器奇术!$A:$R,17,FALSE)="破竹",VLOOKUP($E92,武器奇术!$A:$R,4,FALSE),VLOOKUP($E92,武器奇术!$A:$R,2,FALSE))*(1+DF92)*(1+DG92)*DH92*(1+$E$17+VLOOKUP($E92,武器奇术!$A:$R,10,FALSE))</f>
        <v>4495.20792985514</v>
      </c>
      <c r="DN92" s="110">
        <f t="shared" si="34"/>
        <v>0.0986</v>
      </c>
      <c r="DO92" s="112">
        <f>DD92*IF(VLOOKUP($E92,武器奇术!$A:$R,17,FALSE)="破竹",VLOOKUP($E92,武器奇术!$A:$R,4,FALSE),VLOOKUP($E92,武器奇术!$A:$R,2,FALSE))*(1+DF92)*(1+DG92)*DH92</f>
        <v>3329.78365174455</v>
      </c>
      <c r="DP92" s="110">
        <f t="shared" si="35"/>
        <v>0.0200148</v>
      </c>
      <c r="DQ92" s="113">
        <f t="shared" si="36"/>
        <v>6790.3915995948</v>
      </c>
    </row>
    <row r="93" spans="1:121">
      <c r="A93" s="75"/>
      <c r="B93" s="75"/>
      <c r="C93" s="148"/>
      <c r="D93" s="75"/>
      <c r="E93" s="98" t="str">
        <f>期望!E93</f>
        <v>叶龙骧首(60%HP+32层+气竭)</v>
      </c>
      <c r="F93" s="99">
        <f>期望!F93</f>
        <v>1</v>
      </c>
      <c r="G93" s="115"/>
      <c r="H93" s="149">
        <f>IF(VLOOKUP($E93,武器奇术!$A:$R,18,FALSE)="天工",AE93,(AE93+AT93+BI93+BX93+CM93+DB93+DQ93))*(1+J93)*F93*K93*(1+G93)*(1+$G$21*5%)</f>
        <v>694388.564390061</v>
      </c>
      <c r="I93" s="101">
        <f t="shared" si="0"/>
        <v>0.085731235495249</v>
      </c>
      <c r="J93" s="101">
        <f>$F$3+VLOOKUP($E93,武器奇术!$A:$R,12,FALSE)+VLOOKUP($E93,武器奇术!$A:$R,14,FALSE)*$G$3+$P93</f>
        <v>1.003</v>
      </c>
      <c r="K93" s="102">
        <f>VLOOKUP($E93,武器奇术!$A:$R,11,FALSE)</f>
        <v>1</v>
      </c>
      <c r="L93" s="117">
        <f>IF(VLOOKUP($E93,武器奇术!$A:$R,15,FALSE)="天工",0%,IF($C$17+VLOOKUP($E93,武器奇术!$A:$R,7,FALSE)&gt;80%,80%,$C$17+VLOOKUP($E93,武器奇术!$A:$R,7,FALSE))+IF($C$19&gt;20%,20%,$C$19))</f>
        <v>0.892</v>
      </c>
      <c r="M93" s="118">
        <f>IF(VLOOKUP($E93,武器奇术!$A:$R,15,FALSE)="天工",0%,IF($C$18+VLOOKUP($E93,武器奇术!$A:$R,9,FALSE)&gt;40%,40%,$C$18+VLOOKUP($E93,武器奇术!$A:$R,9,FALSE))+IF($C$20&gt;10%,10%,$C$20))</f>
        <v>0.0986</v>
      </c>
      <c r="N93" s="119">
        <f>IF(VLOOKUP($E93,武器奇术!$A:$R,15,FALSE)="天工",100%,MIN($C$16,1))</f>
        <v>0.9881</v>
      </c>
      <c r="O93" s="120" t="str">
        <f>VLOOKUP($E93,武器奇术!$A:$R,16,FALSE)</f>
        <v>单体奇术</v>
      </c>
      <c r="P93" s="121">
        <f t="shared" si="38"/>
        <v>0</v>
      </c>
      <c r="Q93" s="108">
        <f>$B$5*(1+VLOOKUP($E93,武器奇术!$A:$R,5,FALSE)+IF($G$5="飞隼",0.1,0)+IF($G$5="撼天",0.05,0))-$F$9+IF($I$5="√",160,0)</f>
        <v>1731.135</v>
      </c>
      <c r="R93" s="99">
        <f>IF(VLOOKUP($E93,武器奇术!$A:$Z,20,FALSE)=1,(S93-(Q93+S93)*0.5)*($G$15-0.5)*2+(Q93+S93)*0.5,(Q93+S93)*0.5)</f>
        <v>3256.775</v>
      </c>
      <c r="S93" s="109">
        <f>MAX($C$5,$B$5)*(1+VLOOKUP($E93,武器奇术!$A:$R,5,FALSE)+IF($G$5="飞隼",0.1,0)+IF($G$5="撼天",0.05,0))-$F$9+IF($I$5="√",320,0)</f>
        <v>4782.415</v>
      </c>
      <c r="T93" s="101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U93" s="111">
        <f>$E$5+IF(VLOOKUP($E93,武器奇术!$A:$U,21,FALSE)=1,0,0.09)</f>
        <v>0.115</v>
      </c>
      <c r="V93" s="109">
        <v>1</v>
      </c>
      <c r="W93" s="112">
        <f>Q93*VLOOKUP($E93,武器奇术!$A:$R,2,FALSE)*(1+T93)*(1+U93)*V93</f>
        <v>60409.9390180686</v>
      </c>
      <c r="X93" s="110">
        <f>(1-IF(VLOOKUP($E93,武器奇术!$A:$T,20,FALSE)=1,1,$N93))*(1-$M93)</f>
        <v>0.01072666</v>
      </c>
      <c r="Y93" s="112">
        <f>R93*VLOOKUP($E93,武器奇术!$A:$R,2,FALSE)*(1+T93)*(1+U93)*V93*(1+$E$16+VLOOKUP($E93,武器奇术!$A:$R,8,FALSE))</f>
        <v>186384.18713661</v>
      </c>
      <c r="Z93" s="110">
        <f t="shared" si="1"/>
        <v>0.8813852</v>
      </c>
      <c r="AA93" s="112">
        <f>S93*VLOOKUP($E93,武器奇术!$A:$R,2,FALSE)*(1+T93)*(1+U93)*V93*(1+$E$17+VLOOKUP($E93,武器奇术!$A:$R,10,FALSE))</f>
        <v>225298.597733441</v>
      </c>
      <c r="AB93" s="110">
        <f t="shared" si="2"/>
        <v>0.0986</v>
      </c>
      <c r="AC93" s="112">
        <f>R93*VLOOKUP($E93,武器奇术!$A:$R,2,FALSE)*(1+T93)*(1+U93)*V93</f>
        <v>113648.894595494</v>
      </c>
      <c r="AD93" s="110">
        <f t="shared" si="3"/>
        <v>0.00928814000000003</v>
      </c>
      <c r="AE93" s="113">
        <f t="shared" si="4"/>
        <v>188194.289513071</v>
      </c>
      <c r="AF93" s="114">
        <f>VLOOKUP($E93,武器奇术!$A:$R,3,FALSE)*(1+IF(VLOOKUP($E93,武器奇术!$A:$R,15,FALSE)="武器",$E$15,0))</f>
        <v>4521.44</v>
      </c>
      <c r="AG93" s="112">
        <f t="shared" si="5"/>
        <v>4521.44</v>
      </c>
      <c r="AH93" s="112">
        <f>VLOOKUP($E93,武器奇术!$A:$R,3,FALSE)*(1+IF(VLOOKUP($E93,武器奇术!$A:$R,15,FALSE)="武器",$E$15,0))</f>
        <v>4521.44</v>
      </c>
      <c r="AI93" s="101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0.242</v>
      </c>
      <c r="AJ93" s="111">
        <f>$E$5+IF(VLOOKUP($E93,武器奇术!$A:$U,21,FALSE)=1,0,0.09)</f>
        <v>0.115</v>
      </c>
      <c r="AK93" s="109">
        <v>1</v>
      </c>
      <c r="AL93" s="112">
        <f t="shared" si="6"/>
        <v>6261.4257552</v>
      </c>
      <c r="AM93" s="110">
        <f>(1-IF(VLOOKUP($E93,武器奇术!$A:$T,20,FALSE)=1,1,$N93))*(1-$M93)</f>
        <v>0.01072666</v>
      </c>
      <c r="AN93" s="112">
        <f>AG93*(1+AI93)*(1+AJ93)*AK93*(1+$E$16+VLOOKUP($E93,武器奇术!$A:$R,8,FALSE))</f>
        <v>10268.738238528</v>
      </c>
      <c r="AO93" s="110">
        <f t="shared" si="7"/>
        <v>0.8813852</v>
      </c>
      <c r="AP93" s="112">
        <f>AH93*(1+AI93)*(1+AJ93)*AK93*(1+$E$17+VLOOKUP($E93,武器奇术!$A:$R,10,FALSE))</f>
        <v>8452.92476952</v>
      </c>
      <c r="AQ93" s="110">
        <f t="shared" si="8"/>
        <v>0.0986</v>
      </c>
      <c r="AR93" s="112">
        <f t="shared" si="9"/>
        <v>6261.4257552</v>
      </c>
      <c r="AS93" s="110">
        <f t="shared" si="10"/>
        <v>0.00928814000000003</v>
      </c>
      <c r="AT93" s="113">
        <f t="shared" si="11"/>
        <v>10009.4934725925</v>
      </c>
      <c r="AU93" s="108">
        <f>$B$7*IF($G$5="撼天",1.05,1)+IF(AND(VLOOKUP($E93,武器奇术!$A:$R,15,FALSE)="武器",VLOOKUP($E93,武器奇术!$A:$R,17,FALSE)="鸣金"),$E$3,0)*(1+$E$15)</f>
        <v>0</v>
      </c>
      <c r="AV93" s="99">
        <f>(AU93+AW93)*IF(VLOOKUP($E93,武器奇术!$A:$Z,21,FALSE)=1,$G$15,0.5)</f>
        <v>0</v>
      </c>
      <c r="AW93" s="109">
        <f>MAX($C$7*IF($G$5="撼天",1.05,1)+IF(AND(VLOOKUP($E93,武器奇术!$A:$R,15,FALSE)="武器",VLOOKUP($E93,武器奇术!$A:$R,17,FALSE)="鸣金"),$E$3*(1+$E$15),0),AU93)</f>
        <v>0</v>
      </c>
      <c r="AX93" s="110">
        <f>IF(($D$7+IF(VLOOKUP($E93,武器奇术!$A:$R,17,FALSE)="鸣金",$D$15,0)+IF(VLOOKUP($E93,武器奇术!$A:$R,18,FALSE)=1,4,0)+IF(VLOOKUP($E93,武器奇术!$A:$S,19,FALSE)=1,20,0)-VLOOKUP($F$7,目标属性!$A:$R,6,FALSE))&gt;0,($D$7+IF(VLOOKUP($E93,武器奇术!$A:$R,17,FALSE)="鸣金",$D$15,0)+IF(VLOOKUP($E93,武器奇术!$A:$R,18,FALSE)=1,4,0)+IF(VLOOKUP($E93,武器奇术!$A:$S,19,FALSE)=1,20,0)-VLOOKUP($F$7,目标属性!$A:$R,6,FALSE))/200,($D$7+IF(VLOOKUP($E93,武器奇术!$A:$R,17,FALSE)="鸣金",$D$15,0)+IF(VLOOKUP($E93,武器奇术!$A:$R,18,FALSE)=1,4,0)+IF(VLOOKUP($E93,武器奇术!$A:$S,19,FALSE)=1,20,0)-VLOOKUP($F$7,目标属性!$A:$R,6,FALSE))/100)</f>
        <v>-0.24</v>
      </c>
      <c r="AY93" s="111">
        <f t="shared" si="12"/>
        <v>0</v>
      </c>
      <c r="AZ93" s="109">
        <v>1</v>
      </c>
      <c r="BA93" s="112">
        <f>AU93*IF(VLOOKUP($E93,武器奇术!$A:$R,17,FALSE)="鸣金",VLOOKUP($E93,武器奇术!$A:$R,4,FALSE),VLOOKUP($E93,武器奇术!$A:$R,2,FALSE))*(1+AX93)*(1+AY93)*AZ93</f>
        <v>0</v>
      </c>
      <c r="BB93" s="110">
        <f>(1-IF(VLOOKUP($E93,武器奇术!$A:$T,20,FALSE)=1,1,$N93))*(1-$M93)</f>
        <v>0.01072666</v>
      </c>
      <c r="BC93" s="112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10">
        <f t="shared" si="13"/>
        <v>0.8813852</v>
      </c>
      <c r="BE93" s="112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10">
        <f t="shared" si="14"/>
        <v>0.0986</v>
      </c>
      <c r="BG93" s="112">
        <f>AV93*IF(VLOOKUP($E93,武器奇术!$A:$R,17,FALSE)="鸣金",VLOOKUP($E93,武器奇术!$A:$R,4,FALSE),VLOOKUP($E93,武器奇术!$A:$R,2,FALSE))*(1+AX93)*(1+AY93)*AZ93</f>
        <v>0</v>
      </c>
      <c r="BH93" s="110">
        <f t="shared" si="15"/>
        <v>0.00928814000000003</v>
      </c>
      <c r="BI93" s="113">
        <f t="shared" si="16"/>
        <v>0</v>
      </c>
      <c r="BJ93" s="108">
        <f>$B$9*IF($G$5="撼天",1.05,1)+IF(AND(VLOOKUP($E93,武器奇术!$A:$R,15,FALSE)="武器",VLOOKUP($E93,武器奇术!$A:$R,17,FALSE)="裂石"),$E$3,0)*(1+$E$15)</f>
        <v>0</v>
      </c>
      <c r="BK93" s="99">
        <f>(BJ93+BL93)*IF(VLOOKUP($E93,武器奇术!$A:$Z,21,FALSE)=1,$G$15,0.5)</f>
        <v>0</v>
      </c>
      <c r="BL93" s="109">
        <f>MAX($C$9*IF($G$5="撼天",1.05,1)+IF(AND(VLOOKUP($E93,武器奇术!$A:$R,15,FALSE)="武器",VLOOKUP($E93,武器奇术!$A:$R,17,FALSE)="裂石"),$E$3*(1+$E$15),0),BJ93)</f>
        <v>0</v>
      </c>
      <c r="BM93" s="110">
        <f>IF(($D$9+IF(VLOOKUP($E93,武器奇术!$A:$R,17,FALSE)="裂石",$D$15,0)+IF(VLOOKUP($E93,武器奇术!$A:$R,18,FALSE)=1,4,0)+IF(VLOOKUP($E93,武器奇术!$A:$S,19,FALSE)=1,20,0)-VLOOKUP($F$7,目标属性!$A:$R,6,FALSE))&gt;0,($D$9+IF(VLOOKUP($E93,武器奇术!$A:$R,17,FALSE)="裂石",$D$15,0)+IF(VLOOKUP($E93,武器奇术!$A:$R,18,FALSE)=1,4,0)+IF(VLOOKUP($E93,武器奇术!$A:$S,19,FALSE)=1,20,0)-VLOOKUP($F$7,目标属性!$A:$R,6,FALSE))/200,($D$9+IF(VLOOKUP($E93,武器奇术!$A:$R,17,FALSE)="裂石",$D$15,0)+IF(VLOOKUP($E93,武器奇术!$A:$R,18,FALSE)=1,4,0)+IF(VLOOKUP($E93,武器奇术!$A:$S,19,FALSE)=1,20,0)-VLOOKUP($F$7,目标属性!$A:$R,6,FALSE))/100)</f>
        <v>-0.24</v>
      </c>
      <c r="BN93" s="111">
        <f t="shared" si="17"/>
        <v>0</v>
      </c>
      <c r="BO93" s="109">
        <v>1</v>
      </c>
      <c r="BP93" s="112">
        <f>BJ93*IF(VLOOKUP($E93,武器奇术!$A:$R,17,FALSE)="裂石",VLOOKUP($E93,武器奇术!$A:$R,4,FALSE),VLOOKUP($E93,武器奇术!$A:$R,2,FALSE))*(1+BM93)*(1+BN93)*BO93</f>
        <v>0</v>
      </c>
      <c r="BQ93" s="110">
        <f>(1-IF(VLOOKUP($E93,武器奇术!$A:$T,20,FALSE)=1,1,$N93))*(1-$M93)</f>
        <v>0.01072666</v>
      </c>
      <c r="BR93" s="112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10">
        <f t="shared" si="18"/>
        <v>0.8813852</v>
      </c>
      <c r="BT93" s="112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10">
        <f t="shared" si="19"/>
        <v>0.0986</v>
      </c>
      <c r="BV93" s="112">
        <f>BK93*IF(VLOOKUP($E93,武器奇术!$A:$R,17,FALSE)="裂石",VLOOKUP($E93,武器奇术!$A:$R,4,FALSE),VLOOKUP($E93,武器奇术!$A:$R,2,FALSE))*(1+BM93)*(1+BN93)*BO93</f>
        <v>0</v>
      </c>
      <c r="BW93" s="110">
        <f t="shared" si="20"/>
        <v>0.00928814000000003</v>
      </c>
      <c r="BX93" s="113">
        <f t="shared" si="21"/>
        <v>0</v>
      </c>
      <c r="BY93" s="108">
        <f>$B$11*IF($G$5="撼天",1.05,1)+IF(AND(VLOOKUP($E93,武器奇术!$A:$R,15,FALSE)="武器",VLOOKUP($E93,武器奇术!$A:$R,17,FALSE)="牵丝"),$E$3,0)*(1+$E$15)</f>
        <v>0</v>
      </c>
      <c r="BZ93" s="99">
        <f>(BY93+CA93)*IF(VLOOKUP($E93,武器奇术!$A:$Z,21,FALSE)=1,$G$15,0.5)</f>
        <v>0</v>
      </c>
      <c r="CA93" s="109">
        <f>MAX($C$11*IF($G$5="撼天",1.05,1)+IF(AND(VLOOKUP($E93,武器奇术!$A:$R,15,FALSE)="武器",VLOOKUP($E93,武器奇术!$A:$R,17,FALSE)="牵丝"),$E$3*(1+$E$15),0),BY93)</f>
        <v>0</v>
      </c>
      <c r="CB93" s="110">
        <f>IF(($D$11+IF(VLOOKUP($E93,武器奇术!$A:$R,17,FALSE)="牵丝",$D$15,0)+IF(VLOOKUP($E93,武器奇术!$A:$R,18,FALSE)=1,4,0)+IF(VLOOKUP($E93,武器奇术!$A:$S,19,FALSE)=1,20,0)-VLOOKUP($F$7,目标属性!$A:$R,6,FALSE))&gt;0,($D$11+IF(VLOOKUP($E93,武器奇术!$A:$R,17,FALSE)="牵丝",$D$15,0)+IF(VLOOKUP($E93,武器奇术!$A:$R,18,FALSE)=1,4,0)+IF(VLOOKUP($E93,武器奇术!$A:$S,19,FALSE)=1,20,0)-VLOOKUP($F$7,目标属性!$A:$R,6,FALSE))/200,($D$11+IF(VLOOKUP($E93,武器奇术!$A:$R,17,FALSE)="牵丝",$D$15,0)+IF(VLOOKUP($E93,武器奇术!$A:$R,18,FALSE)=1,4,0)+IF(VLOOKUP($E93,武器奇术!$A:$S,19,FALSE)=1,20,0)-VLOOKUP($F$7,目标属性!$A:$R,6,FALSE))/100)</f>
        <v>-0.24</v>
      </c>
      <c r="CC93" s="111">
        <f t="shared" si="22"/>
        <v>0</v>
      </c>
      <c r="CD93" s="109">
        <v>1</v>
      </c>
      <c r="CE93" s="112">
        <f>BY93*IF(VLOOKUP($E93,武器奇术!$A:$R,17,FALSE)="牵丝",VLOOKUP($E93,武器奇术!$A:$R,4,FALSE),VLOOKUP($E93,武器奇术!$A:$R,2,FALSE))*(1+CB93)*(1+CC93)*CD93</f>
        <v>0</v>
      </c>
      <c r="CF93" s="110">
        <f>(1-IF(VLOOKUP($E93,武器奇术!$A:$T,20,FALSE)=1,1,$N93))*(1-$M93)</f>
        <v>0.01072666</v>
      </c>
      <c r="CG93" s="112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110">
        <f t="shared" si="23"/>
        <v>0.8813852</v>
      </c>
      <c r="CI93" s="112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110">
        <f t="shared" si="24"/>
        <v>0.0986</v>
      </c>
      <c r="CK93" s="112">
        <f>BZ93*IF(VLOOKUP($E93,武器奇术!$A:$R,17,FALSE)="牵丝",VLOOKUP($E93,武器奇术!$A:$R,4,FALSE),VLOOKUP($E93,武器奇术!$A:$R,2,FALSE))*(1+CB93)*(1+CC93)*CD93</f>
        <v>0</v>
      </c>
      <c r="CL93" s="110">
        <f t="shared" si="25"/>
        <v>0.00928814000000003</v>
      </c>
      <c r="CM93" s="113">
        <f t="shared" si="26"/>
        <v>0</v>
      </c>
      <c r="CN93" s="108">
        <f>$B$13*IF($G$5="撼天",1.05,1)+IF(AND(VLOOKUP($E93,武器奇术!$A:$R,15,FALSE)="武器",VLOOKUP($E93,武器奇术!$A:$R,17,FALSE)="破竹"),$E$3,0)*(1+$E$15)</f>
        <v>452.55</v>
      </c>
      <c r="CO93" s="99">
        <f>(CN93+CP93)*IF(VLOOKUP($E93,武器奇术!$A:$Z,21,FALSE)=1,$G$15,0.5)</f>
        <v>679.35</v>
      </c>
      <c r="CP93" s="109">
        <f>MAX($C$13*IF($G$5="撼天",1.05,1)+IF(AND(VLOOKUP($E93,武器奇术!$A:$R,15,FALSE)="武器",VLOOKUP($E93,武器奇术!$A:$R,17,FALSE)="破竹"),$E$3*(1+$E$15),0),CN93)</f>
        <v>906.15</v>
      </c>
      <c r="CQ93" s="110">
        <f>IF(($D$13+IF(VLOOKUP($E93,武器奇术!$A:$R,17,FALSE)="破竹",$D$15,0)+IF(VLOOKUP($E93,武器奇术!$A:$R,18,FALSE)=1,4,0)+IF(VLOOKUP($E93,武器奇术!$A:$S,19,FALSE)=1,20,0)-VLOOKUP($F$7,目标属性!$A:$R,6,FALSE))&gt;0,($D$13+IF(VLOOKUP($E93,武器奇术!$A:$R,17,FALSE)="破竹",$D$15,0)+IF(VLOOKUP($E93,武器奇术!$A:$R,18,FALSE)=1,4,0)+IF(VLOOKUP($E93,武器奇术!$A:$S,19,FALSE)=1,20,0)-VLOOKUP($F$7,目标属性!$A:$R,6,FALSE))/200,($D$13+IF(VLOOKUP($E93,武器奇术!$A:$R,17,FALSE)="破竹",$D$15,0)+IF(VLOOKUP($E93,武器奇术!$A:$R,18,FALSE)=1,4,0)+IF(VLOOKUP($E93,武器奇术!$A:$S,19,FALSE)=1,20,0)-VLOOKUP($F$7,目标属性!$A:$R,6,FALSE))/100)</f>
        <v>0.025</v>
      </c>
      <c r="CR93" s="111">
        <f>$E$13+IF(VLOOKUP($E93,武器奇术!$A:$U,21,FALSE)=1,0,0.09)</f>
        <v>0.235</v>
      </c>
      <c r="CS93" s="109">
        <v>1</v>
      </c>
      <c r="CT93" s="112">
        <f>CN93*IF(VLOOKUP($E93,武器奇术!$A:$R,17,FALSE)="破竹",VLOOKUP($E93,武器奇术!$A:$R,4,FALSE),VLOOKUP($E93,武器奇术!$A:$R,2,FALSE))*(1+CQ93)*(1+CR93)*CS93</f>
        <v>21653.5769864351</v>
      </c>
      <c r="CU93" s="110">
        <f>(1-IF(VLOOKUP($E93,武器奇术!$A:$T,20,FALSE)=1,1,$N93))*(1-$M93)</f>
        <v>0.01072666</v>
      </c>
      <c r="CV93" s="112">
        <f>CO93*IF(VLOOKUP($E93,武器奇术!$A:$R,17,FALSE)="破竹",VLOOKUP($E93,武器奇术!$A:$R,4,FALSE),VLOOKUP($E93,武器奇术!$A:$R,2,FALSE))*(1+CQ93)*(1+CR93)*CS93*(1+$E$16+VLOOKUP($E93,武器奇术!$A:$R,8,FALSE))</f>
        <v>53308.9964472543</v>
      </c>
      <c r="CW93" s="110">
        <f t="shared" si="27"/>
        <v>0.8813852</v>
      </c>
      <c r="CX93" s="112">
        <f>CP93*IF(VLOOKUP($E93,武器奇术!$A:$R,17,FALSE)="破竹",VLOOKUP($E93,武器奇术!$A:$R,4,FALSE),VLOOKUP($E93,武器奇术!$A:$R,2,FALSE))*(1+CQ93)*(1+CR93)*CS93*(1+$E$17+VLOOKUP($E93,武器奇术!$A:$R,10,FALSE))</f>
        <v>58532.4822924507</v>
      </c>
      <c r="CY93" s="110">
        <f t="shared" si="28"/>
        <v>0.0986</v>
      </c>
      <c r="CZ93" s="112">
        <f>CO93*IF(VLOOKUP($E93,武器奇术!$A:$R,17,FALSE)="破竹",VLOOKUP($E93,武器奇术!$A:$R,4,FALSE),VLOOKUP($E93,武器奇术!$A:$R,2,FALSE))*(1+CQ93)*(1+CR93)*CS93</f>
        <v>32505.4856385697</v>
      </c>
      <c r="DA93" s="110">
        <f t="shared" si="29"/>
        <v>0.00928814000000003</v>
      </c>
      <c r="DB93" s="113">
        <f t="shared" si="30"/>
        <v>53291.2493089945</v>
      </c>
      <c r="DC93" s="108">
        <f t="shared" si="31"/>
        <v>69.3</v>
      </c>
      <c r="DD93" s="99">
        <f>(DC93+DE93)*IF(VLOOKUP($E93,武器奇术!$A:$Z,21,FALSE)=1,$G$15,0.5)</f>
        <v>69.3</v>
      </c>
      <c r="DE93" s="109">
        <f t="shared" si="32"/>
        <v>69.3</v>
      </c>
      <c r="DF93" s="110">
        <f>IF(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R,18,FALSE)=1,4,0)+IF(VLOOKUP($E93,武器奇术!$A:$S,19,FALSE)=1,20,0)-VLOOKUP($F$7,目标属性!$A:$R,6,FALSE))/100)</f>
        <v>0.025</v>
      </c>
      <c r="DG93" s="111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U,21,FALSE)=1,0,0.09)</f>
        <v>0.235</v>
      </c>
      <c r="DH93" s="109">
        <v>1</v>
      </c>
      <c r="DI93" s="112">
        <f>DC93*IF(VLOOKUP($E93,武器奇术!$A:$R,17,FALSE)="破竹",VLOOKUP($E93,武器奇术!$A:$R,4,FALSE),VLOOKUP($E93,武器奇术!$A:$R,2,FALSE))*(1+DF93)*(1+DG93)*DH93</f>
        <v>3315.86097704111</v>
      </c>
      <c r="DJ93" s="110">
        <f>(1-IF(VLOOKUP($E93,武器奇术!$A:$T,20,FALSE)=1,1,$N93))*(1-$M93)</f>
        <v>0.01072666</v>
      </c>
      <c r="DK93" s="112">
        <f>DD93*IF(VLOOKUP($E93,武器奇术!$A:$R,17,FALSE)="破竹",VLOOKUP($E93,武器奇术!$A:$R,4,FALSE),VLOOKUP($E93,武器奇术!$A:$R,2,FALSE))*(1+DF93)*(1+DG93)*DH93*(1+$E$16+VLOOKUP($E93,武器奇术!$A:$R,8,FALSE))</f>
        <v>5438.01200234742</v>
      </c>
      <c r="DL93" s="110">
        <f t="shared" si="33"/>
        <v>0.8813852</v>
      </c>
      <c r="DM93" s="112">
        <f>DE93*IF(VLOOKUP($E93,武器奇术!$A:$R,17,FALSE)="破竹",VLOOKUP($E93,武器奇术!$A:$R,4,FALSE),VLOOKUP($E93,武器奇术!$A:$R,2,FALSE))*(1+DF93)*(1+DG93)*DH93*(1+$E$17+VLOOKUP($E93,武器奇术!$A:$R,10,FALSE))</f>
        <v>4476.4123190055</v>
      </c>
      <c r="DN93" s="110">
        <f t="shared" si="34"/>
        <v>0.0986</v>
      </c>
      <c r="DO93" s="112">
        <f>DD93*IF(VLOOKUP($E93,武器奇术!$A:$R,17,FALSE)="破竹",VLOOKUP($E93,武器奇术!$A:$R,4,FALSE),VLOOKUP($E93,武器奇术!$A:$R,2,FALSE))*(1+DF93)*(1+DG93)*DH93</f>
        <v>3315.86097704111</v>
      </c>
      <c r="DP93" s="110">
        <f t="shared" si="35"/>
        <v>0.00928814000000003</v>
      </c>
      <c r="DQ93" s="113">
        <f t="shared" si="36"/>
        <v>5300.72384522861</v>
      </c>
    </row>
    <row r="94" spans="1:121">
      <c r="A94" s="75"/>
      <c r="B94" s="75"/>
      <c r="C94" s="148"/>
      <c r="D94" s="75"/>
      <c r="E94" s="98" t="str">
        <f>期望!E94</f>
        <v>拳甲Q一段(气竭)</v>
      </c>
      <c r="F94" s="99">
        <f>期望!F94</f>
        <v>1</v>
      </c>
      <c r="G94" s="115"/>
      <c r="H94" s="149">
        <f>IF(VLOOKUP($E94,武器奇术!$A:$R,18,FALSE)="天工",AE94,(AE94+AT94+BI94+BX94+CM94+DB94+DQ94))*(1+J94)*F94*K94*(1+G94)*(1+$G$21*5%)</f>
        <v>26140.6936837252</v>
      </c>
      <c r="I94" s="101">
        <f t="shared" ref="I94:I115" si="39">H94/$C$30</f>
        <v>0.00322740621193428</v>
      </c>
      <c r="J94" s="101">
        <f>$F$3+VLOOKUP($E94,武器奇术!$A:$R,12,FALSE)+VLOOKUP($E94,武器奇术!$A:$R,14,FALSE)*$G$3+$P94</f>
        <v>0.573</v>
      </c>
      <c r="K94" s="102">
        <f>VLOOKUP($E94,武器奇术!$A:$R,11,FALSE)</f>
        <v>1</v>
      </c>
      <c r="L94" s="117">
        <f>IF(VLOOKUP($E94,武器奇术!$A:$R,15,FALSE)="天工",0%,IF($C$17+VLOOKUP($E94,武器奇术!$A:$R,7,FALSE)&gt;80%,80%,$C$17+VLOOKUP($E94,武器奇术!$A:$R,7,FALSE))+IF($C$19&gt;20%,20%,$C$19))</f>
        <v>0.892</v>
      </c>
      <c r="M94" s="118">
        <f>IF(VLOOKUP($E94,武器奇术!$A:$R,15,FALSE)="天工",0%,IF($C$18+VLOOKUP($E94,武器奇术!$A:$R,9,FALSE)&gt;40%,40%,$C$18+VLOOKUP($E94,武器奇术!$A:$R,9,FALSE))+IF($C$20&gt;10%,10%,$C$20))</f>
        <v>0.0986</v>
      </c>
      <c r="N94" s="119">
        <f>IF(VLOOKUP($E94,武器奇术!$A:$R,15,FALSE)="天工",100%,MIN($C$16,1))</f>
        <v>0.9881</v>
      </c>
      <c r="O94" s="120" t="str">
        <f>VLOOKUP($E94,武器奇术!$A:$R,16,FALSE)</f>
        <v>拳甲</v>
      </c>
      <c r="P94" s="121">
        <f t="shared" si="38"/>
        <v>0.17</v>
      </c>
      <c r="Q94" s="108">
        <f>$B$5*(1+VLOOKUP($E94,武器奇术!$A:$R,5,FALSE)+IF($G$5="飞隼",0.1,0)+IF($G$5="撼天",0.05,0))-$F$9+IF($I$5="√",160,0)</f>
        <v>1731.135</v>
      </c>
      <c r="R94" s="99">
        <f>IF(VLOOKUP($E94,武器奇术!$A:$Z,20,FALSE)=1,(S94-(Q94+S94)*0.5)*($G$15-0.5)*2+(Q94+S94)*0.5,(Q94+S94)*0.5)</f>
        <v>3256.775</v>
      </c>
      <c r="S94" s="109">
        <f>MAX($C$5,$B$5)*(1+VLOOKUP($E94,武器奇术!$A:$R,5,FALSE)+IF($G$5="飞隼",0.1,0)+IF($G$5="撼天",0.05,0))-$F$9+IF($I$5="√",320,0)</f>
        <v>4782.415</v>
      </c>
      <c r="T94" s="101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U94" s="111">
        <f>$E$5+IF(VLOOKUP($E94,武器奇术!$A:$U,21,FALSE)=1,0,0.09)</f>
        <v>0.115</v>
      </c>
      <c r="V94" s="109">
        <v>1</v>
      </c>
      <c r="W94" s="112">
        <f>Q94*VLOOKUP($E94,武器奇术!$A:$R,2,FALSE)*(1+T94)*(1+U94)*V94</f>
        <v>2638.25911409603</v>
      </c>
      <c r="X94" s="110">
        <f>(1-IF(VLOOKUP($E94,武器奇术!$A:$T,20,FALSE)=1,1,$N94))*(1-$M94)</f>
        <v>0.01072666</v>
      </c>
      <c r="Y94" s="112">
        <f>R94*VLOOKUP($E94,武器奇术!$A:$R,2,FALSE)*(1+T94)*(1+U94)*V94*(1+$E$16+VLOOKUP($E94,武器奇术!$A:$R,8,FALSE))</f>
        <v>8139.88208611607</v>
      </c>
      <c r="Z94" s="110">
        <f t="shared" ref="Z94:Z115" si="40">IF($L94+$M94&lt;=100%,$N94*$L94,$N94*(1-$M94))</f>
        <v>0.8813852</v>
      </c>
      <c r="AA94" s="112">
        <f>S94*VLOOKUP($E94,武器奇术!$A:$R,2,FALSE)*(1+T94)*(1+U94)*V94*(1+$E$17+VLOOKUP($E94,武器奇术!$A:$R,10,FALSE))</f>
        <v>9839.37558164925</v>
      </c>
      <c r="AB94" s="110">
        <f t="shared" ref="AB94:AB115" si="41">$M94</f>
        <v>0.0986</v>
      </c>
      <c r="AC94" s="112">
        <f>R94*VLOOKUP($E94,武器奇术!$A:$R,2,FALSE)*(1+T94)*(1+U94)*V94</f>
        <v>4963.34273543662</v>
      </c>
      <c r="AD94" s="110">
        <f t="shared" ref="AD94:AD115" si="42">MAX((1-X94-Z94-AB94),0)</f>
        <v>0.00928814000000003</v>
      </c>
      <c r="AE94" s="113">
        <f t="shared" ref="AE94:AE115" si="43">W94*X94+Y94*Z94+AA94*AB94+AC94*AD94</f>
        <v>8218.93396350197</v>
      </c>
      <c r="AF94" s="114">
        <f>VLOOKUP($E94,武器奇术!$A:$R,3,FALSE)*(1+IF(VLOOKUP($E94,武器奇术!$A:$R,15,FALSE)="武器",$E$15,0))</f>
        <v>396.5</v>
      </c>
      <c r="AG94" s="112">
        <f t="shared" ref="AG94:AG115" si="44">(AF94+AH94)/2</f>
        <v>396.5</v>
      </c>
      <c r="AH94" s="112">
        <f>VLOOKUP($E94,武器奇术!$A:$R,3,FALSE)*(1+IF(VLOOKUP($E94,武器奇术!$A:$R,15,FALSE)="武器",$E$15,0))</f>
        <v>396.5</v>
      </c>
      <c r="AI94" s="101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0.242</v>
      </c>
      <c r="AJ94" s="111">
        <f>$E$5+IF(VLOOKUP($E94,武器奇术!$A:$U,21,FALSE)=1,0,0.09)</f>
        <v>0.115</v>
      </c>
      <c r="AK94" s="109">
        <v>1</v>
      </c>
      <c r="AL94" s="112">
        <f t="shared" ref="AL94:AL115" si="45">AF94*(1+AI94)*(1+AJ94)*AK94</f>
        <v>549.085095</v>
      </c>
      <c r="AM94" s="110">
        <f>(1-IF(VLOOKUP($E94,武器奇术!$A:$T,20,FALSE)=1,1,$N94))*(1-$M94)</f>
        <v>0.01072666</v>
      </c>
      <c r="AN94" s="112">
        <f>AG94*(1+AI94)*(1+AJ94)*AK94*(1+$E$16+VLOOKUP($E94,武器奇术!$A:$R,8,FALSE))</f>
        <v>900.4995558</v>
      </c>
      <c r="AO94" s="110">
        <f t="shared" ref="AO94:AO115" si="46">IF($L94+$M94&lt;=100%,$N94*$L94,$N94*(1-$M94))</f>
        <v>0.8813852</v>
      </c>
      <c r="AP94" s="112">
        <f>AH94*(1+AI94)*(1+AJ94)*AK94*(1+$E$17+VLOOKUP($E94,武器奇术!$A:$R,10,FALSE))</f>
        <v>741.26487825</v>
      </c>
      <c r="AQ94" s="110">
        <f t="shared" ref="AQ94:AQ115" si="47">$M94</f>
        <v>0.0986</v>
      </c>
      <c r="AR94" s="112">
        <f t="shared" ref="AR94:AR115" si="48">AG94*(1+AI94)*(1+AJ94)*AK94</f>
        <v>549.085095</v>
      </c>
      <c r="AS94" s="110">
        <f t="shared" ref="AS94:AS115" si="49">MAX((1-AM94-AO94-AQ94),0)</f>
        <v>0.00928814000000003</v>
      </c>
      <c r="AT94" s="113">
        <f t="shared" ref="AT94:AT115" si="50">AL94*AM94+AN94*AO94+AP94*AQ94+AR94*AS94</f>
        <v>877.76552644355</v>
      </c>
      <c r="AU94" s="108">
        <f>$B$7*IF($G$5="撼天",1.05,1)+IF(AND(VLOOKUP($E94,武器奇术!$A:$R,15,FALSE)="武器",VLOOKUP($E94,武器奇术!$A:$R,17,FALSE)="鸣金"),$E$3,0)*(1+$E$15)</f>
        <v>0</v>
      </c>
      <c r="AV94" s="99">
        <f>(AU94+AW94)*IF(VLOOKUP($E94,武器奇术!$A:$Z,21,FALSE)=1,$G$15,0.5)</f>
        <v>0</v>
      </c>
      <c r="AW94" s="109">
        <f>MAX($C$7*IF($G$5="撼天",1.05,1)+IF(AND(VLOOKUP($E94,武器奇术!$A:$R,15,FALSE)="武器",VLOOKUP($E94,武器奇术!$A:$R,17,FALSE)="鸣金"),$E$3*(1+$E$15),0),AU94)</f>
        <v>0</v>
      </c>
      <c r="AX94" s="110">
        <f>IF(($D$7+IF(VLOOKUP($E94,武器奇术!$A:$R,17,FALSE)="鸣金",$D$15,0)+IF(VLOOKUP($E94,武器奇术!$A:$R,18,FALSE)=1,4,0)+IF(VLOOKUP($E94,武器奇术!$A:$S,19,FALSE)=1,20,0)-VLOOKUP($F$7,目标属性!$A:$R,6,FALSE))&gt;0,($D$7+IF(VLOOKUP($E94,武器奇术!$A:$R,17,FALSE)="鸣金",$D$15,0)+IF(VLOOKUP($E94,武器奇术!$A:$R,18,FALSE)=1,4,0)+IF(VLOOKUP($E94,武器奇术!$A:$S,19,FALSE)=1,20,0)-VLOOKUP($F$7,目标属性!$A:$R,6,FALSE))/200,($D$7+IF(VLOOKUP($E94,武器奇术!$A:$R,17,FALSE)="鸣金",$D$15,0)+IF(VLOOKUP($E94,武器奇术!$A:$R,18,FALSE)=1,4,0)+IF(VLOOKUP($E94,武器奇术!$A:$S,19,FALSE)=1,20,0)-VLOOKUP($F$7,目标属性!$A:$R,6,FALSE))/100)</f>
        <v>-0.24</v>
      </c>
      <c r="AY94" s="111">
        <f t="shared" ref="AY94:AY115" si="51">$E$7</f>
        <v>0</v>
      </c>
      <c r="AZ94" s="109">
        <v>1</v>
      </c>
      <c r="BA94" s="112">
        <f>AU94*IF(VLOOKUP($E94,武器奇术!$A:$R,17,FALSE)="鸣金",VLOOKUP($E94,武器奇术!$A:$R,4,FALSE),VLOOKUP($E94,武器奇术!$A:$R,2,FALSE))*(1+AX94)*(1+AY94)*AZ94</f>
        <v>0</v>
      </c>
      <c r="BB94" s="110">
        <f>(1-IF(VLOOKUP($E94,武器奇术!$A:$T,20,FALSE)=1,1,$N94))*(1-$M94)</f>
        <v>0.01072666</v>
      </c>
      <c r="BC94" s="112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10">
        <f t="shared" ref="BD94:BD115" si="52">IF($L94+$M94&lt;=100%,$N94*$L94,$N94*(1-$M94))</f>
        <v>0.8813852</v>
      </c>
      <c r="BE94" s="112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10">
        <f t="shared" ref="BF94:BF115" si="53">$M94</f>
        <v>0.0986</v>
      </c>
      <c r="BG94" s="112">
        <f>AV94*IF(VLOOKUP($E94,武器奇术!$A:$R,17,FALSE)="鸣金",VLOOKUP($E94,武器奇术!$A:$R,4,FALSE),VLOOKUP($E94,武器奇术!$A:$R,2,FALSE))*(1+AX94)*(1+AY94)*AZ94</f>
        <v>0</v>
      </c>
      <c r="BH94" s="110">
        <f t="shared" ref="BH94:BH115" si="54">MAX((1-BB94-BD94-BF94),0)</f>
        <v>0.00928814000000003</v>
      </c>
      <c r="BI94" s="113">
        <f t="shared" ref="BI94:BI115" si="55">BA94*BB94+BC94*BD94+BE94*BF94+BG94*BH94</f>
        <v>0</v>
      </c>
      <c r="BJ94" s="108">
        <f>$B$9*IF($G$5="撼天",1.05,1)+IF(AND(VLOOKUP($E94,武器奇术!$A:$R,15,FALSE)="武器",VLOOKUP($E94,武器奇术!$A:$R,17,FALSE)="裂石"),$E$3,0)*(1+$E$15)</f>
        <v>0</v>
      </c>
      <c r="BK94" s="99">
        <f>(BJ94+BL94)*IF(VLOOKUP($E94,武器奇术!$A:$Z,21,FALSE)=1,$G$15,0.5)</f>
        <v>0</v>
      </c>
      <c r="BL94" s="109">
        <f>MAX($C$9*IF($G$5="撼天",1.05,1)+IF(AND(VLOOKUP($E94,武器奇术!$A:$R,15,FALSE)="武器",VLOOKUP($E94,武器奇术!$A:$R,17,FALSE)="裂石"),$E$3*(1+$E$15),0),BJ94)</f>
        <v>0</v>
      </c>
      <c r="BM94" s="110">
        <f>IF(($D$9+IF(VLOOKUP($E94,武器奇术!$A:$R,17,FALSE)="裂石",$D$15,0)+IF(VLOOKUP($E94,武器奇术!$A:$R,18,FALSE)=1,4,0)+IF(VLOOKUP($E94,武器奇术!$A:$S,19,FALSE)=1,20,0)-VLOOKUP($F$7,目标属性!$A:$R,6,FALSE))&gt;0,($D$9+IF(VLOOKUP($E94,武器奇术!$A:$R,17,FALSE)="裂石",$D$15,0)+IF(VLOOKUP($E94,武器奇术!$A:$R,18,FALSE)=1,4,0)+IF(VLOOKUP($E94,武器奇术!$A:$S,19,FALSE)=1,20,0)-VLOOKUP($F$7,目标属性!$A:$R,6,FALSE))/200,($D$9+IF(VLOOKUP($E94,武器奇术!$A:$R,17,FALSE)="裂石",$D$15,0)+IF(VLOOKUP($E94,武器奇术!$A:$R,18,FALSE)=1,4,0)+IF(VLOOKUP($E94,武器奇术!$A:$S,19,FALSE)=1,20,0)-VLOOKUP($F$7,目标属性!$A:$R,6,FALSE))/100)</f>
        <v>-0.24</v>
      </c>
      <c r="BN94" s="111">
        <f t="shared" ref="BN94:BN115" si="56">$E$9</f>
        <v>0</v>
      </c>
      <c r="BO94" s="109">
        <v>1</v>
      </c>
      <c r="BP94" s="112">
        <f>BJ94*IF(VLOOKUP($E94,武器奇术!$A:$R,17,FALSE)="裂石",VLOOKUP($E94,武器奇术!$A:$R,4,FALSE),VLOOKUP($E94,武器奇术!$A:$R,2,FALSE))*(1+BM94)*(1+BN94)*BO94</f>
        <v>0</v>
      </c>
      <c r="BQ94" s="110">
        <f>(1-IF(VLOOKUP($E94,武器奇术!$A:$T,20,FALSE)=1,1,$N94))*(1-$M94)</f>
        <v>0.01072666</v>
      </c>
      <c r="BR94" s="112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10">
        <f t="shared" ref="BS94:BS115" si="57">IF($L94+$M94&lt;=100%,$N94*$L94,$N94*(1-$M94))</f>
        <v>0.8813852</v>
      </c>
      <c r="BT94" s="112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10">
        <f t="shared" ref="BU94:BU115" si="58">$M94</f>
        <v>0.0986</v>
      </c>
      <c r="BV94" s="112">
        <f>BK94*IF(VLOOKUP($E94,武器奇术!$A:$R,17,FALSE)="裂石",VLOOKUP($E94,武器奇术!$A:$R,4,FALSE),VLOOKUP($E94,武器奇术!$A:$R,2,FALSE))*(1+BM94)*(1+BN94)*BO94</f>
        <v>0</v>
      </c>
      <c r="BW94" s="110">
        <f t="shared" ref="BW94:BW115" si="59">MAX((1-BQ94-BS94-BU94),0)</f>
        <v>0.00928814000000003</v>
      </c>
      <c r="BX94" s="113">
        <f t="shared" ref="BX94:BX115" si="60">BP94*BQ94+BR94*BS94+BT94*BU94+BV94*BW94</f>
        <v>0</v>
      </c>
      <c r="BY94" s="108">
        <f>$B$11*IF($G$5="撼天",1.05,1)+IF(AND(VLOOKUP($E94,武器奇术!$A:$R,15,FALSE)="武器",VLOOKUP($E94,武器奇术!$A:$R,17,FALSE)="牵丝"),$E$3,0)*(1+$E$15)</f>
        <v>0</v>
      </c>
      <c r="BZ94" s="99">
        <f>(BY94+CA94)*IF(VLOOKUP($E94,武器奇术!$A:$Z,21,FALSE)=1,$G$15,0.5)</f>
        <v>0</v>
      </c>
      <c r="CA94" s="109">
        <f>MAX($C$11*IF($G$5="撼天",1.05,1)+IF(AND(VLOOKUP($E94,武器奇术!$A:$R,15,FALSE)="武器",VLOOKUP($E94,武器奇术!$A:$R,17,FALSE)="牵丝"),$E$3*(1+$E$15),0),BY94)</f>
        <v>0</v>
      </c>
      <c r="CB94" s="110">
        <f>IF(($D$11+IF(VLOOKUP($E94,武器奇术!$A:$R,17,FALSE)="牵丝",$D$15,0)+IF(VLOOKUP($E94,武器奇术!$A:$R,18,FALSE)=1,4,0)+IF(VLOOKUP($E94,武器奇术!$A:$S,19,FALSE)=1,20,0)-VLOOKUP($F$7,目标属性!$A:$R,6,FALSE))&gt;0,($D$11+IF(VLOOKUP($E94,武器奇术!$A:$R,17,FALSE)="牵丝",$D$15,0)+IF(VLOOKUP($E94,武器奇术!$A:$R,18,FALSE)=1,4,0)+IF(VLOOKUP($E94,武器奇术!$A:$S,19,FALSE)=1,20,0)-VLOOKUP($F$7,目标属性!$A:$R,6,FALSE))/200,($D$11+IF(VLOOKUP($E94,武器奇术!$A:$R,17,FALSE)="牵丝",$D$15,0)+IF(VLOOKUP($E94,武器奇术!$A:$R,18,FALSE)=1,4,0)+IF(VLOOKUP($E94,武器奇术!$A:$S,19,FALSE)=1,20,0)-VLOOKUP($F$7,目标属性!$A:$R,6,FALSE))/100)</f>
        <v>-0.24</v>
      </c>
      <c r="CC94" s="111">
        <f t="shared" ref="CC94:CC115" si="61">$E$11</f>
        <v>0</v>
      </c>
      <c r="CD94" s="109">
        <v>1</v>
      </c>
      <c r="CE94" s="112">
        <f>BY94*IF(VLOOKUP($E94,武器奇术!$A:$R,17,FALSE)="牵丝",VLOOKUP($E94,武器奇术!$A:$R,4,FALSE),VLOOKUP($E94,武器奇术!$A:$R,2,FALSE))*(1+CB94)*(1+CC94)*CD94</f>
        <v>0</v>
      </c>
      <c r="CF94" s="110">
        <f>(1-IF(VLOOKUP($E94,武器奇术!$A:$T,20,FALSE)=1,1,$N94))*(1-$M94)</f>
        <v>0.01072666</v>
      </c>
      <c r="CG94" s="112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10">
        <f t="shared" ref="CH94:CH115" si="62">IF($L94+$M94&lt;=100%,$N94*$L94,$N94*(1-$M94))</f>
        <v>0.8813852</v>
      </c>
      <c r="CI94" s="112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10">
        <f t="shared" ref="CJ94:CJ115" si="63">$M94</f>
        <v>0.0986</v>
      </c>
      <c r="CK94" s="112">
        <f>BZ94*IF(VLOOKUP($E94,武器奇术!$A:$R,17,FALSE)="牵丝",VLOOKUP($E94,武器奇术!$A:$R,4,FALSE),VLOOKUP($E94,武器奇术!$A:$R,2,FALSE))*(1+CB94)*(1+CC94)*CD94</f>
        <v>0</v>
      </c>
      <c r="CL94" s="110">
        <f t="shared" ref="CL94:CL115" si="64">MAX((1-CF94-CH94-CJ94),0)</f>
        <v>0.00928814000000003</v>
      </c>
      <c r="CM94" s="113">
        <f t="shared" ref="CM94:CM115" si="65">CE94*CF94+CG94*CH94+CI94*CJ94+CK94*CL94</f>
        <v>0</v>
      </c>
      <c r="CN94" s="108">
        <f>$B$13*IF($G$5="撼天",1.05,1)+IF(AND(VLOOKUP($E94,武器奇术!$A:$R,15,FALSE)="武器",VLOOKUP($E94,武器奇术!$A:$R,17,FALSE)="破竹"),$E$3,0)*(1+$E$15)</f>
        <v>648.46</v>
      </c>
      <c r="CO94" s="99">
        <f>(CN94+CP94)*IF(VLOOKUP($E94,武器奇术!$A:$Z,21,FALSE)=1,$G$15,0.5)</f>
        <v>875.26</v>
      </c>
      <c r="CP94" s="109">
        <f>MAX($C$13*IF($G$5="撼天",1.05,1)+IF(AND(VLOOKUP($E94,武器奇术!$A:$R,15,FALSE)="武器",VLOOKUP($E94,武器奇术!$A:$R,17,FALSE)="破竹"),$E$3*(1+$E$15),0),CN94)</f>
        <v>1102.06</v>
      </c>
      <c r="CQ94" s="110">
        <f>IF(($D$13+IF(VLOOKUP($E94,武器奇术!$A:$R,17,FALSE)="破竹",$D$15,0)+IF(VLOOKUP($E94,武器奇术!$A:$R,18,FALSE)=1,4,0)+IF(VLOOKUP($E94,武器奇术!$A:$S,19,FALSE)=1,20,0)-VLOOKUP($F$7,目标属性!$A:$R,6,FALSE))&gt;0,($D$13+IF(VLOOKUP($E94,武器奇术!$A:$R,17,FALSE)="破竹",$D$15,0)+IF(VLOOKUP($E94,武器奇术!$A:$R,18,FALSE)=1,4,0)+IF(VLOOKUP($E94,武器奇术!$A:$S,19,FALSE)=1,20,0)-VLOOKUP($F$7,目标属性!$A:$R,6,FALSE))/200,($D$13+IF(VLOOKUP($E94,武器奇术!$A:$R,17,FALSE)="破竹",$D$15,0)+IF(VLOOKUP($E94,武器奇术!$A:$R,18,FALSE)=1,4,0)+IF(VLOOKUP($E94,武器奇术!$A:$S,19,FALSE)=1,20,0)-VLOOKUP($F$7,目标属性!$A:$R,6,FALSE))/100)</f>
        <v>0.025</v>
      </c>
      <c r="CR94" s="111">
        <f>$E$13+IF(VLOOKUP($E94,武器奇术!$A:$U,21,FALSE)=1,0,0.09)</f>
        <v>0.235</v>
      </c>
      <c r="CS94" s="109">
        <v>1</v>
      </c>
      <c r="CT94" s="112">
        <f>CN94*IF(VLOOKUP($E94,武器奇术!$A:$R,17,FALSE)="破竹",VLOOKUP($E94,武器奇术!$A:$R,4,FALSE),VLOOKUP($E94,武器奇术!$A:$R,2,FALSE))*(1+CQ94)*(1+CR94)*CS94</f>
        <v>1355.00895763675</v>
      </c>
      <c r="CU94" s="110">
        <f>(1-IF(VLOOKUP($E94,武器奇术!$A:$T,20,FALSE)=1,1,$N94))*(1-$M94)</f>
        <v>0.01072666</v>
      </c>
      <c r="CV94" s="112">
        <f>CO94*IF(VLOOKUP($E94,武器奇术!$A:$R,17,FALSE)="破竹",VLOOKUP($E94,武器奇术!$A:$R,4,FALSE),VLOOKUP($E94,武器奇术!$A:$R,2,FALSE))*(1+CQ94)*(1+CR94)*CS94*(1+$E$16+VLOOKUP($E94,武器奇术!$A:$R,8,FALSE))</f>
        <v>2999.43809954087</v>
      </c>
      <c r="CW94" s="110">
        <f t="shared" ref="CW94:CW115" si="66">IF($L94+$M94&lt;=100%,$N94*$L94,$N94*(1-$M94))</f>
        <v>0.8813852</v>
      </c>
      <c r="CX94" s="112">
        <f>CP94*IF(VLOOKUP($E94,武器奇术!$A:$R,17,FALSE)="破竹",VLOOKUP($E94,武器奇术!$A:$R,4,FALSE),VLOOKUP($E94,武器奇术!$A:$R,2,FALSE))*(1+CQ94)*(1+CR94)*CS94*(1+$E$17+VLOOKUP($E94,武器奇术!$A:$R,10,FALSE))</f>
        <v>3108.83721741011</v>
      </c>
      <c r="CY94" s="110">
        <f t="shared" ref="CY94:CY115" si="67">$M94</f>
        <v>0.0986</v>
      </c>
      <c r="CZ94" s="112">
        <f>CO94*IF(VLOOKUP($E94,武器奇术!$A:$R,17,FALSE)="破竹",VLOOKUP($E94,武器奇术!$A:$R,4,FALSE),VLOOKUP($E94,武器奇术!$A:$R,2,FALSE))*(1+CQ94)*(1+CR94)*CS94</f>
        <v>1828.92567045175</v>
      </c>
      <c r="DA94" s="110">
        <f t="shared" ref="DA94:DA115" si="68">MAX((1-CU94-CW94-CY94),0)</f>
        <v>0.00928814000000003</v>
      </c>
      <c r="DB94" s="113">
        <f t="shared" ref="DB94:DB115" si="69">CT94*CU94+CV94*CW94+CX94*CY94+CZ94*DA94</f>
        <v>2981.71373695036</v>
      </c>
      <c r="DC94" s="108">
        <f t="shared" ref="DC94:DC115" si="70">$B$15*IF($G$5="撼天",1.05,1)</f>
        <v>69.3</v>
      </c>
      <c r="DD94" s="99">
        <f>(DC94+DE94)*IF(VLOOKUP($E94,武器奇术!$A:$Z,21,FALSE)=1,$G$15,0.5)</f>
        <v>69.3</v>
      </c>
      <c r="DE94" s="109">
        <f t="shared" ref="DE94:DE115" si="71">$C$15*IF($G$5="撼天",1.05,1)</f>
        <v>69.3</v>
      </c>
      <c r="DF94" s="110">
        <f>IF(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R,18,FALSE)=1,4,0)+IF(VLOOKUP($E94,武器奇术!$A:$S,19,FALSE)=1,20,0)-VLOOKUP($F$7,目标属性!$A:$R,6,FALSE))/100)</f>
        <v>0.025</v>
      </c>
      <c r="DG94" s="111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U,21,FALSE)=1,0,0.09)</f>
        <v>0.235</v>
      </c>
      <c r="DH94" s="109">
        <v>1</v>
      </c>
      <c r="DI94" s="112">
        <f>DC94*IF(VLOOKUP($E94,武器奇术!$A:$R,17,FALSE)="破竹",VLOOKUP($E94,武器奇术!$A:$R,4,FALSE),VLOOKUP($E94,武器奇术!$A:$R,2,FALSE))*(1+DF94)*(1+DG94)*DH94</f>
        <v>144.80788447125</v>
      </c>
      <c r="DJ94" s="110">
        <f>(1-IF(VLOOKUP($E94,武器奇术!$A:$T,20,FALSE)=1,1,$N94))*(1-$M94)</f>
        <v>0.01072666</v>
      </c>
      <c r="DK94" s="112">
        <f>DD94*IF(VLOOKUP($E94,武器奇术!$A:$R,17,FALSE)="破竹",VLOOKUP($E94,武器奇术!$A:$R,4,FALSE),VLOOKUP($E94,武器奇术!$A:$R,2,FALSE))*(1+DF94)*(1+DG94)*DH94*(1+$E$16+VLOOKUP($E94,武器奇术!$A:$R,8,FALSE))</f>
        <v>237.48493053285</v>
      </c>
      <c r="DL94" s="110">
        <f t="shared" ref="DL94:DL115" si="72">IF($L94+$M94&lt;=100%,$N94*$L94,$N94*(1-$M94))</f>
        <v>0.8813852</v>
      </c>
      <c r="DM94" s="112">
        <f>DE94*IF(VLOOKUP($E94,武器奇术!$A:$R,17,FALSE)="破竹",VLOOKUP($E94,武器奇术!$A:$R,4,FALSE),VLOOKUP($E94,武器奇术!$A:$R,2,FALSE))*(1+DF94)*(1+DG94)*DH94*(1+$E$17+VLOOKUP($E94,武器奇术!$A:$R,10,FALSE))</f>
        <v>195.490644036187</v>
      </c>
      <c r="DN94" s="110">
        <f t="shared" ref="DN94:DN115" si="73">$M94</f>
        <v>0.0986</v>
      </c>
      <c r="DO94" s="112">
        <f>DD94*IF(VLOOKUP($E94,武器奇术!$A:$R,17,FALSE)="破竹",VLOOKUP($E94,武器奇术!$A:$R,4,FALSE),VLOOKUP($E94,武器奇术!$A:$R,2,FALSE))*(1+DF94)*(1+DG94)*DH94</f>
        <v>144.80788447125</v>
      </c>
      <c r="DP94" s="110">
        <f t="shared" ref="DP94:DP115" si="74">MAX((1-DJ94-DL94-DN94),0)</f>
        <v>0.00928814000000003</v>
      </c>
      <c r="DQ94" s="113">
        <f t="shared" ref="DQ94:DQ115" si="75">DI94*DJ94+DK94*DL94+DM94*DN94+DO94*DP94</f>
        <v>231.489381342765</v>
      </c>
    </row>
    <row r="95" spans="1:121">
      <c r="A95" s="75"/>
      <c r="B95" s="75"/>
      <c r="C95" s="75"/>
      <c r="D95" s="75"/>
      <c r="E95" s="98" t="str">
        <f>期望!E95</f>
        <v>拳甲～(气竭)</v>
      </c>
      <c r="F95" s="99">
        <f>期望!F95</f>
        <v>1</v>
      </c>
      <c r="G95" s="115"/>
      <c r="H95" s="149">
        <f>IF(VLOOKUP($E95,武器奇术!$A:$R,18,FALSE)="天工",AE95,(AE95+AT95+BI95+BX95+CM95+DB95+DQ95))*(1+J95)*F95*K95*(1+G95)*(1+$G$21*5%)</f>
        <v>57998.7177674857</v>
      </c>
      <c r="I95" s="101">
        <f t="shared" si="39"/>
        <v>0.0071606906944304</v>
      </c>
      <c r="J95" s="101">
        <f>$F$3+VLOOKUP($E95,武器奇术!$A:$R,12,FALSE)+VLOOKUP($E95,武器奇术!$A:$R,14,FALSE)*$G$3+$P95</f>
        <v>0.573</v>
      </c>
      <c r="K95" s="102">
        <f>VLOOKUP($E95,武器奇术!$A:$R,11,FALSE)</f>
        <v>1</v>
      </c>
      <c r="L95" s="117">
        <f>IF(VLOOKUP($E95,武器奇术!$A:$R,15,FALSE)="天工",0%,IF($C$17+VLOOKUP($E95,武器奇术!$A:$R,7,FALSE)&gt;80%,80%,$C$17+VLOOKUP($E95,武器奇术!$A:$R,7,FALSE))+IF($C$19&gt;20%,20%,$C$19))</f>
        <v>0.892</v>
      </c>
      <c r="M95" s="118">
        <f>IF(VLOOKUP($E95,武器奇术!$A:$R,15,FALSE)="天工",0%,IF($C$18+VLOOKUP($E95,武器奇术!$A:$R,9,FALSE)&gt;40%,40%,$C$18+VLOOKUP($E95,武器奇术!$A:$R,9,FALSE))+IF($C$20&gt;10%,10%,$C$20))</f>
        <v>0.0986</v>
      </c>
      <c r="N95" s="119">
        <f>IF(VLOOKUP($E95,武器奇术!$A:$R,15,FALSE)="天工",100%,MIN($C$16,1))</f>
        <v>0.9881</v>
      </c>
      <c r="O95" s="120" t="str">
        <f>VLOOKUP($E95,武器奇术!$A:$R,16,FALSE)</f>
        <v>拳甲</v>
      </c>
      <c r="P95" s="121">
        <f t="shared" ref="P95:P115" si="76">VLOOKUP($O95,$B$22:$C$27,2,FALSE)+IF(OR($O95="拳甲",$O95="绳标"),$C$24,0)</f>
        <v>0.17</v>
      </c>
      <c r="Q95" s="108">
        <f>$B$5*(1+VLOOKUP($E95,武器奇术!$A:$R,5,FALSE)+IF($G$5="飞隼",0.1,0)+IF($G$5="撼天",0.05,0))-$F$9+IF($I$5="√",160,0)</f>
        <v>1731.135</v>
      </c>
      <c r="R95" s="99">
        <f>IF(VLOOKUP($E95,武器奇术!$A:$Z,20,FALSE)=1,(S95-(Q95+S95)*0.5)*($G$15-0.5)*2+(Q95+S95)*0.5,(Q95+S95)*0.5)</f>
        <v>3256.775</v>
      </c>
      <c r="S95" s="109">
        <f>MAX($C$5,$B$5)*(1+VLOOKUP($E95,武器奇术!$A:$R,5,FALSE)+IF($G$5="飞隼",0.1,0)+IF($G$5="撼天",0.05,0))-$F$9+IF($I$5="√",320,0)</f>
        <v>4782.415</v>
      </c>
      <c r="T95" s="101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U95" s="111">
        <f>$E$5+IF(VLOOKUP($E95,武器奇术!$A:$U,21,FALSE)=1,0,0.09)</f>
        <v>0.115</v>
      </c>
      <c r="V95" s="109">
        <v>1</v>
      </c>
      <c r="W95" s="112">
        <f>Q95*VLOOKUP($E95,武器奇术!$A:$R,2,FALSE)*(1+T95)*(1+U95)*V95</f>
        <v>5854.51393233431</v>
      </c>
      <c r="X95" s="110">
        <f>(1-IF(VLOOKUP($E95,武器奇术!$A:$T,20,FALSE)=1,1,$N95))*(1-$M95)</f>
        <v>0.01072666</v>
      </c>
      <c r="Y95" s="112">
        <f>R95*VLOOKUP($E95,武器奇术!$A:$R,2,FALSE)*(1+T95)*(1+U95)*V95*(1+$E$16+VLOOKUP($E95,武器奇术!$A:$R,8,FALSE))</f>
        <v>18063.0677351241</v>
      </c>
      <c r="Z95" s="110">
        <f t="shared" si="40"/>
        <v>0.8813852</v>
      </c>
      <c r="AA95" s="112">
        <f>S95*VLOOKUP($E95,武器奇术!$A:$R,2,FALSE)*(1+T95)*(1+U95)*V95*(1+$E$17+VLOOKUP($E95,武器奇术!$A:$R,10,FALSE))</f>
        <v>21834.3835601505</v>
      </c>
      <c r="AB95" s="110">
        <f t="shared" si="41"/>
        <v>0.0986</v>
      </c>
      <c r="AC95" s="112">
        <f>R95*VLOOKUP($E95,武器奇术!$A:$R,2,FALSE)*(1+T95)*(1+U95)*V95</f>
        <v>11014.0656921488</v>
      </c>
      <c r="AD95" s="110">
        <f t="shared" si="42"/>
        <v>0.00928814000000003</v>
      </c>
      <c r="AE95" s="113">
        <f t="shared" si="43"/>
        <v>18238.490351902</v>
      </c>
      <c r="AF95" s="114">
        <f>VLOOKUP($E95,武器奇术!$A:$R,3,FALSE)*(1+IF(VLOOKUP($E95,武器奇术!$A:$R,15,FALSE)="武器",$E$15,0))</f>
        <v>877.5</v>
      </c>
      <c r="AG95" s="112">
        <f t="shared" si="44"/>
        <v>877.5</v>
      </c>
      <c r="AH95" s="112">
        <f>VLOOKUP($E95,武器奇术!$A:$R,3,FALSE)*(1+IF(VLOOKUP($E95,武器奇术!$A:$R,15,FALSE)="武器",$E$15,0))</f>
        <v>877.5</v>
      </c>
      <c r="AI95" s="101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0.242</v>
      </c>
      <c r="AJ95" s="111">
        <f>$E$5+IF(VLOOKUP($E95,武器奇术!$A:$U,21,FALSE)=1,0,0.09)</f>
        <v>0.115</v>
      </c>
      <c r="AK95" s="109">
        <v>1</v>
      </c>
      <c r="AL95" s="112">
        <f t="shared" si="45"/>
        <v>1215.188325</v>
      </c>
      <c r="AM95" s="110">
        <f>(1-IF(VLOOKUP($E95,武器奇术!$A:$T,20,FALSE)=1,1,$N95))*(1-$M95)</f>
        <v>0.01072666</v>
      </c>
      <c r="AN95" s="112">
        <f>AG95*(1+AI95)*(1+AJ95)*AK95*(1+$E$16+VLOOKUP($E95,武器奇术!$A:$R,8,FALSE))</f>
        <v>1992.908853</v>
      </c>
      <c r="AO95" s="110">
        <f t="shared" si="46"/>
        <v>0.8813852</v>
      </c>
      <c r="AP95" s="112">
        <f>AH95*(1+AI95)*(1+AJ95)*AK95*(1+$E$17+VLOOKUP($E95,武器奇术!$A:$R,10,FALSE))</f>
        <v>1640.50423875</v>
      </c>
      <c r="AQ95" s="110">
        <f t="shared" si="47"/>
        <v>0.0986</v>
      </c>
      <c r="AR95" s="112">
        <f t="shared" si="48"/>
        <v>1215.188325</v>
      </c>
      <c r="AS95" s="110">
        <f t="shared" si="49"/>
        <v>0.00928814000000003</v>
      </c>
      <c r="AT95" s="113">
        <f t="shared" si="50"/>
        <v>1942.59583721114</v>
      </c>
      <c r="AU95" s="108">
        <f>$B$7*IF($G$5="撼天",1.05,1)+IF(AND(VLOOKUP($E95,武器奇术!$A:$R,15,FALSE)="武器",VLOOKUP($E95,武器奇术!$A:$R,17,FALSE)="鸣金"),$E$3,0)*(1+$E$15)</f>
        <v>0</v>
      </c>
      <c r="AV95" s="99">
        <f>(AU95+AW95)*IF(VLOOKUP($E95,武器奇术!$A:$Z,21,FALSE)=1,$G$15,0.5)</f>
        <v>0</v>
      </c>
      <c r="AW95" s="109">
        <f>MAX($C$7*IF($G$5="撼天",1.05,1)+IF(AND(VLOOKUP($E95,武器奇术!$A:$R,15,FALSE)="武器",VLOOKUP($E95,武器奇术!$A:$R,17,FALSE)="鸣金"),$E$3*(1+$E$15),0),AU95)</f>
        <v>0</v>
      </c>
      <c r="AX95" s="110">
        <f>IF(($D$7+IF(VLOOKUP($E95,武器奇术!$A:$R,17,FALSE)="鸣金",$D$15,0)+IF(VLOOKUP($E95,武器奇术!$A:$R,18,FALSE)=1,4,0)+IF(VLOOKUP($E95,武器奇术!$A:$S,19,FALSE)=1,20,0)-VLOOKUP($F$7,目标属性!$A:$R,6,FALSE))&gt;0,($D$7+IF(VLOOKUP($E95,武器奇术!$A:$R,17,FALSE)="鸣金",$D$15,0)+IF(VLOOKUP($E95,武器奇术!$A:$R,18,FALSE)=1,4,0)+IF(VLOOKUP($E95,武器奇术!$A:$S,19,FALSE)=1,20,0)-VLOOKUP($F$7,目标属性!$A:$R,6,FALSE))/200,($D$7+IF(VLOOKUP($E95,武器奇术!$A:$R,17,FALSE)="鸣金",$D$15,0)+IF(VLOOKUP($E95,武器奇术!$A:$R,18,FALSE)=1,4,0)+IF(VLOOKUP($E95,武器奇术!$A:$S,19,FALSE)=1,20,0)-VLOOKUP($F$7,目标属性!$A:$R,6,FALSE))/100)</f>
        <v>-0.24</v>
      </c>
      <c r="AY95" s="111">
        <f t="shared" si="51"/>
        <v>0</v>
      </c>
      <c r="AZ95" s="109">
        <v>1</v>
      </c>
      <c r="BA95" s="112">
        <f>AU95*IF(VLOOKUP($E95,武器奇术!$A:$R,17,FALSE)="鸣金",VLOOKUP($E95,武器奇术!$A:$R,4,FALSE),VLOOKUP($E95,武器奇术!$A:$R,2,FALSE))*(1+AX95)*(1+AY95)*AZ95</f>
        <v>0</v>
      </c>
      <c r="BB95" s="110">
        <f>(1-IF(VLOOKUP($E95,武器奇术!$A:$T,20,FALSE)=1,1,$N95))*(1-$M95)</f>
        <v>0.01072666</v>
      </c>
      <c r="BC95" s="112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10">
        <f t="shared" si="52"/>
        <v>0.8813852</v>
      </c>
      <c r="BE95" s="112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10">
        <f t="shared" si="53"/>
        <v>0.0986</v>
      </c>
      <c r="BG95" s="112">
        <f>AV95*IF(VLOOKUP($E95,武器奇术!$A:$R,17,FALSE)="鸣金",VLOOKUP($E95,武器奇术!$A:$R,4,FALSE),VLOOKUP($E95,武器奇术!$A:$R,2,FALSE))*(1+AX95)*(1+AY95)*AZ95</f>
        <v>0</v>
      </c>
      <c r="BH95" s="110">
        <f t="shared" si="54"/>
        <v>0.00928814000000003</v>
      </c>
      <c r="BI95" s="113">
        <f t="shared" si="55"/>
        <v>0</v>
      </c>
      <c r="BJ95" s="108">
        <f>$B$9*IF($G$5="撼天",1.05,1)+IF(AND(VLOOKUP($E95,武器奇术!$A:$R,15,FALSE)="武器",VLOOKUP($E95,武器奇术!$A:$R,17,FALSE)="裂石"),$E$3,0)*(1+$E$15)</f>
        <v>0</v>
      </c>
      <c r="BK95" s="99">
        <f>(BJ95+BL95)*IF(VLOOKUP($E95,武器奇术!$A:$Z,21,FALSE)=1,$G$15,0.5)</f>
        <v>0</v>
      </c>
      <c r="BL95" s="109">
        <f>MAX($C$9*IF($G$5="撼天",1.05,1)+IF(AND(VLOOKUP($E95,武器奇术!$A:$R,15,FALSE)="武器",VLOOKUP($E95,武器奇术!$A:$R,17,FALSE)="裂石"),$E$3*(1+$E$15),0),BJ95)</f>
        <v>0</v>
      </c>
      <c r="BM95" s="110">
        <f>IF(($D$9+IF(VLOOKUP($E95,武器奇术!$A:$R,17,FALSE)="裂石",$D$15,0)+IF(VLOOKUP($E95,武器奇术!$A:$R,18,FALSE)=1,4,0)+IF(VLOOKUP($E95,武器奇术!$A:$S,19,FALSE)=1,20,0)-VLOOKUP($F$7,目标属性!$A:$R,6,FALSE))&gt;0,($D$9+IF(VLOOKUP($E95,武器奇术!$A:$R,17,FALSE)="裂石",$D$15,0)+IF(VLOOKUP($E95,武器奇术!$A:$R,18,FALSE)=1,4,0)+IF(VLOOKUP($E95,武器奇术!$A:$S,19,FALSE)=1,20,0)-VLOOKUP($F$7,目标属性!$A:$R,6,FALSE))/200,($D$9+IF(VLOOKUP($E95,武器奇术!$A:$R,17,FALSE)="裂石",$D$15,0)+IF(VLOOKUP($E95,武器奇术!$A:$R,18,FALSE)=1,4,0)+IF(VLOOKUP($E95,武器奇术!$A:$S,19,FALSE)=1,20,0)-VLOOKUP($F$7,目标属性!$A:$R,6,FALSE))/100)</f>
        <v>-0.24</v>
      </c>
      <c r="BN95" s="111">
        <f t="shared" si="56"/>
        <v>0</v>
      </c>
      <c r="BO95" s="109">
        <v>1</v>
      </c>
      <c r="BP95" s="112">
        <f>BJ95*IF(VLOOKUP($E95,武器奇术!$A:$R,17,FALSE)="裂石",VLOOKUP($E95,武器奇术!$A:$R,4,FALSE),VLOOKUP($E95,武器奇术!$A:$R,2,FALSE))*(1+BM95)*(1+BN95)*BO95</f>
        <v>0</v>
      </c>
      <c r="BQ95" s="110">
        <f>(1-IF(VLOOKUP($E95,武器奇术!$A:$T,20,FALSE)=1,1,$N95))*(1-$M95)</f>
        <v>0.01072666</v>
      </c>
      <c r="BR95" s="112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10">
        <f t="shared" si="57"/>
        <v>0.8813852</v>
      </c>
      <c r="BT95" s="112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10">
        <f t="shared" si="58"/>
        <v>0.0986</v>
      </c>
      <c r="BV95" s="112">
        <f>BK95*IF(VLOOKUP($E95,武器奇术!$A:$R,17,FALSE)="裂石",VLOOKUP($E95,武器奇术!$A:$R,4,FALSE),VLOOKUP($E95,武器奇术!$A:$R,2,FALSE))*(1+BM95)*(1+BN95)*BO95</f>
        <v>0</v>
      </c>
      <c r="BW95" s="110">
        <f t="shared" si="59"/>
        <v>0.00928814000000003</v>
      </c>
      <c r="BX95" s="113">
        <f t="shared" si="60"/>
        <v>0</v>
      </c>
      <c r="BY95" s="108">
        <f>$B$11*IF($G$5="撼天",1.05,1)+IF(AND(VLOOKUP($E95,武器奇术!$A:$R,15,FALSE)="武器",VLOOKUP($E95,武器奇术!$A:$R,17,FALSE)="牵丝"),$E$3,0)*(1+$E$15)</f>
        <v>0</v>
      </c>
      <c r="BZ95" s="99">
        <f>(BY95+CA95)*IF(VLOOKUP($E95,武器奇术!$A:$Z,21,FALSE)=1,$G$15,0.5)</f>
        <v>0</v>
      </c>
      <c r="CA95" s="109">
        <f>MAX($C$11*IF($G$5="撼天",1.05,1)+IF(AND(VLOOKUP($E95,武器奇术!$A:$R,15,FALSE)="武器",VLOOKUP($E95,武器奇术!$A:$R,17,FALSE)="牵丝"),$E$3*(1+$E$15),0),BY95)</f>
        <v>0</v>
      </c>
      <c r="CB95" s="110">
        <f>IF(($D$11+IF(VLOOKUP($E95,武器奇术!$A:$R,17,FALSE)="牵丝",$D$15,0)+IF(VLOOKUP($E95,武器奇术!$A:$R,18,FALSE)=1,4,0)+IF(VLOOKUP($E95,武器奇术!$A:$S,19,FALSE)=1,20,0)-VLOOKUP($F$7,目标属性!$A:$R,6,FALSE))&gt;0,($D$11+IF(VLOOKUP($E95,武器奇术!$A:$R,17,FALSE)="牵丝",$D$15,0)+IF(VLOOKUP($E95,武器奇术!$A:$R,18,FALSE)=1,4,0)+IF(VLOOKUP($E95,武器奇术!$A:$S,19,FALSE)=1,20,0)-VLOOKUP($F$7,目标属性!$A:$R,6,FALSE))/200,($D$11+IF(VLOOKUP($E95,武器奇术!$A:$R,17,FALSE)="牵丝",$D$15,0)+IF(VLOOKUP($E95,武器奇术!$A:$R,18,FALSE)=1,4,0)+IF(VLOOKUP($E95,武器奇术!$A:$S,19,FALSE)=1,20,0)-VLOOKUP($F$7,目标属性!$A:$R,6,FALSE))/100)</f>
        <v>-0.24</v>
      </c>
      <c r="CC95" s="111">
        <f t="shared" si="61"/>
        <v>0</v>
      </c>
      <c r="CD95" s="109">
        <v>1</v>
      </c>
      <c r="CE95" s="112">
        <f>BY95*IF(VLOOKUP($E95,武器奇术!$A:$R,17,FALSE)="牵丝",VLOOKUP($E95,武器奇术!$A:$R,4,FALSE),VLOOKUP($E95,武器奇术!$A:$R,2,FALSE))*(1+CB95)*(1+CC95)*CD95</f>
        <v>0</v>
      </c>
      <c r="CF95" s="110">
        <f>(1-IF(VLOOKUP($E95,武器奇术!$A:$T,20,FALSE)=1,1,$N95))*(1-$M95)</f>
        <v>0.01072666</v>
      </c>
      <c r="CG95" s="112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10">
        <f t="shared" si="62"/>
        <v>0.8813852</v>
      </c>
      <c r="CI95" s="112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10">
        <f t="shared" si="63"/>
        <v>0.0986</v>
      </c>
      <c r="CK95" s="112">
        <f>BZ95*IF(VLOOKUP($E95,武器奇术!$A:$R,17,FALSE)="牵丝",VLOOKUP($E95,武器奇术!$A:$R,4,FALSE),VLOOKUP($E95,武器奇术!$A:$R,2,FALSE))*(1+CB95)*(1+CC95)*CD95</f>
        <v>0</v>
      </c>
      <c r="CL95" s="110">
        <f t="shared" si="64"/>
        <v>0.00928814000000003</v>
      </c>
      <c r="CM95" s="113">
        <f t="shared" si="65"/>
        <v>0</v>
      </c>
      <c r="CN95" s="108">
        <f>$B$13*IF($G$5="撼天",1.05,1)+IF(AND(VLOOKUP($E95,武器奇术!$A:$R,15,FALSE)="武器",VLOOKUP($E95,武器奇术!$A:$R,17,FALSE)="破竹"),$E$3,0)*(1+$E$15)</f>
        <v>648.46</v>
      </c>
      <c r="CO95" s="99">
        <f>(CN95+CP95)*IF(VLOOKUP($E95,武器奇术!$A:$Z,21,FALSE)=1,$G$15,0.5)</f>
        <v>875.26</v>
      </c>
      <c r="CP95" s="109">
        <f>MAX($C$13*IF($G$5="撼天",1.05,1)+IF(AND(VLOOKUP($E95,武器奇术!$A:$R,15,FALSE)="武器",VLOOKUP($E95,武器奇术!$A:$R,17,FALSE)="破竹"),$E$3*(1+$E$15),0),CN95)</f>
        <v>1102.06</v>
      </c>
      <c r="CQ95" s="110">
        <f>IF(($D$13+IF(VLOOKUP($E95,武器奇术!$A:$R,17,FALSE)="破竹",$D$15,0)+IF(VLOOKUP($E95,武器奇术!$A:$R,18,FALSE)=1,4,0)+IF(VLOOKUP($E95,武器奇术!$A:$S,19,FALSE)=1,20,0)-VLOOKUP($F$7,目标属性!$A:$R,6,FALSE))&gt;0,($D$13+IF(VLOOKUP($E95,武器奇术!$A:$R,17,FALSE)="破竹",$D$15,0)+IF(VLOOKUP($E95,武器奇术!$A:$R,18,FALSE)=1,4,0)+IF(VLOOKUP($E95,武器奇术!$A:$S,19,FALSE)=1,20,0)-VLOOKUP($F$7,目标属性!$A:$R,6,FALSE))/200,($D$13+IF(VLOOKUP($E95,武器奇术!$A:$R,17,FALSE)="破竹",$D$15,0)+IF(VLOOKUP($E95,武器奇术!$A:$R,18,FALSE)=1,4,0)+IF(VLOOKUP($E95,武器奇术!$A:$S,19,FALSE)=1,20,0)-VLOOKUP($F$7,目标属性!$A:$R,6,FALSE))/100)</f>
        <v>0.025</v>
      </c>
      <c r="CR95" s="111">
        <f>$E$13+IF(VLOOKUP($E95,武器奇术!$A:$U,21,FALSE)=1,0,0.09)</f>
        <v>0.235</v>
      </c>
      <c r="CS95" s="109">
        <v>1</v>
      </c>
      <c r="CT95" s="112">
        <f>CN95*IF(VLOOKUP($E95,武器奇术!$A:$R,17,FALSE)="破竹",VLOOKUP($E95,武器奇术!$A:$R,4,FALSE),VLOOKUP($E95,武器奇术!$A:$R,2,FALSE))*(1+CQ95)*(1+CR95)*CS95</f>
        <v>3007.1726027785</v>
      </c>
      <c r="CU95" s="110">
        <f>(1-IF(VLOOKUP($E95,武器奇术!$A:$T,20,FALSE)=1,1,$N95))*(1-$M95)</f>
        <v>0.01072666</v>
      </c>
      <c r="CV95" s="112">
        <f>CO95*IF(VLOOKUP($E95,武器奇术!$A:$R,17,FALSE)="破竹",VLOOKUP($E95,武器奇术!$A:$R,4,FALSE),VLOOKUP($E95,武器奇术!$A:$R,2,FALSE))*(1+CQ95)*(1+CR95)*CS95*(1+$E$16+VLOOKUP($E95,武器奇术!$A:$R,8,FALSE))</f>
        <v>6656.65568174594</v>
      </c>
      <c r="CW95" s="110">
        <f t="shared" si="66"/>
        <v>0.8813852</v>
      </c>
      <c r="CX95" s="112">
        <f>CP95*IF(VLOOKUP($E95,武器奇术!$A:$R,17,FALSE)="破竹",VLOOKUP($E95,武器奇术!$A:$R,4,FALSE),VLOOKUP($E95,武器奇术!$A:$R,2,FALSE))*(1+CQ95)*(1+CR95)*CS95*(1+$E$17+VLOOKUP($E95,武器奇术!$A:$R,10,FALSE))</f>
        <v>6899.44524278198</v>
      </c>
      <c r="CY95" s="110">
        <f t="shared" si="67"/>
        <v>0.0986</v>
      </c>
      <c r="CZ95" s="112">
        <f>CO95*IF(VLOOKUP($E95,武器奇术!$A:$R,17,FALSE)="破竹",VLOOKUP($E95,武器奇术!$A:$R,4,FALSE),VLOOKUP($E95,武器奇术!$A:$R,2,FALSE))*(1+CQ95)*(1+CR95)*CS95</f>
        <v>4058.9363913085</v>
      </c>
      <c r="DA95" s="110">
        <f t="shared" si="68"/>
        <v>0.00928814000000003</v>
      </c>
      <c r="DB95" s="113">
        <f t="shared" si="69"/>
        <v>6617.31998784997</v>
      </c>
      <c r="DC95" s="108">
        <f t="shared" si="70"/>
        <v>69.3</v>
      </c>
      <c r="DD95" s="99">
        <f>(DC95+DE95)*IF(VLOOKUP($E95,武器奇术!$A:$Z,21,FALSE)=1,$G$15,0.5)</f>
        <v>69.3</v>
      </c>
      <c r="DE95" s="109">
        <f t="shared" si="71"/>
        <v>69.3</v>
      </c>
      <c r="DF95" s="110">
        <f>IF(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R,18,FALSE)=1,4,0)+IF(VLOOKUP($E95,武器奇术!$A:$S,19,FALSE)=1,20,0)-VLOOKUP($F$7,目标属性!$A:$R,6,FALSE))/100)</f>
        <v>0.025</v>
      </c>
      <c r="DG95" s="111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U,21,FALSE)=1,0,0.09)</f>
        <v>0.235</v>
      </c>
      <c r="DH95" s="109">
        <v>1</v>
      </c>
      <c r="DI95" s="112">
        <f>DC95*IF(VLOOKUP($E95,武器奇术!$A:$R,17,FALSE)="破竹",VLOOKUP($E95,武器奇术!$A:$R,4,FALSE),VLOOKUP($E95,武器奇术!$A:$R,2,FALSE))*(1+DF95)*(1+DG95)*DH95</f>
        <v>321.3722687175</v>
      </c>
      <c r="DJ95" s="110">
        <f>(1-IF(VLOOKUP($E95,武器奇术!$A:$T,20,FALSE)=1,1,$N95))*(1-$M95)</f>
        <v>0.01072666</v>
      </c>
      <c r="DK95" s="112">
        <f>DD95*IF(VLOOKUP($E95,武器奇术!$A:$R,17,FALSE)="破竹",VLOOKUP($E95,武器奇术!$A:$R,4,FALSE),VLOOKUP($E95,武器奇术!$A:$R,2,FALSE))*(1+DF95)*(1+DG95)*DH95*(1+$E$16+VLOOKUP($E95,武器奇术!$A:$R,8,FALSE))</f>
        <v>527.0505206967</v>
      </c>
      <c r="DL95" s="110">
        <f t="shared" si="72"/>
        <v>0.8813852</v>
      </c>
      <c r="DM95" s="112">
        <f>DE95*IF(VLOOKUP($E95,武器奇术!$A:$R,17,FALSE)="破竹",VLOOKUP($E95,武器奇术!$A:$R,4,FALSE),VLOOKUP($E95,武器奇术!$A:$R,2,FALSE))*(1+DF95)*(1+DG95)*DH95*(1+$E$17+VLOOKUP($E95,武器奇术!$A:$R,10,FALSE))</f>
        <v>433.852562768625</v>
      </c>
      <c r="DN95" s="110">
        <f t="shared" si="73"/>
        <v>0.0986</v>
      </c>
      <c r="DO95" s="112">
        <f>DD95*IF(VLOOKUP($E95,武器奇术!$A:$R,17,FALSE)="破竹",VLOOKUP($E95,武器奇术!$A:$R,4,FALSE),VLOOKUP($E95,武器奇术!$A:$R,2,FALSE))*(1+DF95)*(1+DG95)*DH95</f>
        <v>321.3722687175</v>
      </c>
      <c r="DP95" s="110">
        <f t="shared" si="74"/>
        <v>0.00928814000000003</v>
      </c>
      <c r="DQ95" s="113">
        <f t="shared" si="75"/>
        <v>513.744592967279</v>
      </c>
    </row>
    <row r="96" spans="1:121">
      <c r="A96" s="75"/>
      <c r="B96" s="75"/>
      <c r="C96" s="75"/>
      <c r="D96" s="75"/>
      <c r="E96" s="98" t="str">
        <f>期望!E96</f>
        <v>拳甲普攻56(气竭)</v>
      </c>
      <c r="F96" s="99">
        <f>期望!F96</f>
        <v>1</v>
      </c>
      <c r="G96" s="115"/>
      <c r="H96" s="149">
        <f>IF(VLOOKUP($E96,武器奇术!$A:$R,18,FALSE)="天工",AE96,(AE96+AT96+BI96+BX96+CM96+DB96+DQ96))*(1+J96)*F96*K96*(1+G96)*(1+$G$21*5%)</f>
        <v>30591.7990799494</v>
      </c>
      <c r="I96" s="101">
        <f t="shared" si="39"/>
        <v>0.00377695265395131</v>
      </c>
      <c r="J96" s="101">
        <f>$F$3+VLOOKUP($E96,武器奇术!$A:$R,12,FALSE)+VLOOKUP($E96,武器奇术!$A:$R,14,FALSE)*$G$3+$P96</f>
        <v>0.573</v>
      </c>
      <c r="K96" s="102">
        <f>VLOOKUP($E96,武器奇术!$A:$R,11,FALSE)</f>
        <v>1</v>
      </c>
      <c r="L96" s="117">
        <f>IF(VLOOKUP($E96,武器奇术!$A:$R,15,FALSE)="天工",0%,IF($C$17+VLOOKUP($E96,武器奇术!$A:$R,7,FALSE)&gt;80%,80%,$C$17+VLOOKUP($E96,武器奇术!$A:$R,7,FALSE))+IF($C$19&gt;20%,20%,$C$19))</f>
        <v>0.892</v>
      </c>
      <c r="M96" s="118">
        <f>IF(VLOOKUP($E96,武器奇术!$A:$R,15,FALSE)="天工",0%,IF($C$18+VLOOKUP($E96,武器奇术!$A:$R,9,FALSE)&gt;40%,40%,$C$18+VLOOKUP($E96,武器奇术!$A:$R,9,FALSE))+IF($C$20&gt;10%,10%,$C$20))</f>
        <v>0.0986</v>
      </c>
      <c r="N96" s="119">
        <f>IF(VLOOKUP($E96,武器奇术!$A:$R,15,FALSE)="天工",100%,MIN($C$16,1))</f>
        <v>0.9881</v>
      </c>
      <c r="O96" s="120" t="str">
        <f>VLOOKUP($E96,武器奇术!$A:$R,16,FALSE)</f>
        <v>拳甲</v>
      </c>
      <c r="P96" s="121">
        <f t="shared" si="76"/>
        <v>0.17</v>
      </c>
      <c r="Q96" s="108">
        <f>$B$5*(1+VLOOKUP($E96,武器奇术!$A:$R,5,FALSE)+IF($G$5="飞隼",0.1,0)+IF($G$5="撼天",0.05,0))-$F$9+IF($I$5="√",160,0)</f>
        <v>1731.135</v>
      </c>
      <c r="R96" s="99">
        <f>IF(VLOOKUP($E96,武器奇术!$A:$Z,20,FALSE)=1,(S96-(Q96+S96)*0.5)*($G$15-0.5)*2+(Q96+S96)*0.5,(Q96+S96)*0.5)</f>
        <v>3256.775</v>
      </c>
      <c r="S96" s="109">
        <f>MAX($C$5,$B$5)*(1+VLOOKUP($E96,武器奇术!$A:$R,5,FALSE)+IF($G$5="飞隼",0.1,0)+IF($G$5="撼天",0.05,0))-$F$9+IF($I$5="√",320,0)</f>
        <v>4782.415</v>
      </c>
      <c r="T96" s="101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U96" s="111">
        <f>$E$5+IF(VLOOKUP($E96,武器奇术!$A:$U,21,FALSE)=1,0,0.09)</f>
        <v>0.115</v>
      </c>
      <c r="V96" s="109">
        <v>1</v>
      </c>
      <c r="W96" s="112">
        <f>Q96*VLOOKUP($E96,武器奇术!$A:$R,2,FALSE)*(1+T96)*(1+U96)*V96</f>
        <v>3086.79912340758</v>
      </c>
      <c r="X96" s="110">
        <f>(1-IF(VLOOKUP($E96,武器奇术!$A:$T,20,FALSE)=1,1,$N96))*(1-$M96)</f>
        <v>0.01072666</v>
      </c>
      <c r="Y96" s="112">
        <f>R96*VLOOKUP($E96,武器奇术!$A:$R,2,FALSE)*(1+T96)*(1+U96)*V96*(1+$E$16+VLOOKUP($E96,武器奇术!$A:$R,8,FALSE))</f>
        <v>9523.77298871699</v>
      </c>
      <c r="Z96" s="110">
        <f t="shared" si="40"/>
        <v>0.8813852</v>
      </c>
      <c r="AA96" s="112">
        <f>S96*VLOOKUP($E96,武器奇术!$A:$R,2,FALSE)*(1+T96)*(1+U96)*V96*(1+$E$17+VLOOKUP($E96,武器奇术!$A:$R,10,FALSE))</f>
        <v>11512.2035428729</v>
      </c>
      <c r="AB96" s="110">
        <f t="shared" si="41"/>
        <v>0.0986</v>
      </c>
      <c r="AC96" s="112">
        <f>R96*VLOOKUP($E96,武器奇术!$A:$R,2,FALSE)*(1+T96)*(1+U96)*V96</f>
        <v>5807.1786516567</v>
      </c>
      <c r="AD96" s="110">
        <f t="shared" si="42"/>
        <v>0.00928814000000003</v>
      </c>
      <c r="AE96" s="113">
        <f t="shared" si="43"/>
        <v>9616.26476274887</v>
      </c>
      <c r="AF96" s="114">
        <f>VLOOKUP($E96,武器奇术!$A:$R,3,FALSE)*(1+IF(VLOOKUP($E96,武器奇术!$A:$R,15,FALSE)="武器",$E$15,0))</f>
        <v>465.4</v>
      </c>
      <c r="AG96" s="112">
        <f t="shared" si="44"/>
        <v>465.4</v>
      </c>
      <c r="AH96" s="112">
        <f>VLOOKUP($E96,武器奇术!$A:$R,3,FALSE)*(1+IF(VLOOKUP($E96,武器奇术!$A:$R,15,FALSE)="武器",$E$15,0))</f>
        <v>465.4</v>
      </c>
      <c r="AI96" s="101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0.242</v>
      </c>
      <c r="AJ96" s="111">
        <f>$E$5+IF(VLOOKUP($E96,武器奇术!$A:$U,21,FALSE)=1,0,0.09)</f>
        <v>0.115</v>
      </c>
      <c r="AK96" s="109">
        <v>1</v>
      </c>
      <c r="AL96" s="112">
        <f t="shared" si="45"/>
        <v>644.499882</v>
      </c>
      <c r="AM96" s="110">
        <f>(1-IF(VLOOKUP($E96,武器奇术!$A:$T,20,FALSE)=1,1,$N96))*(1-$M96)</f>
        <v>0.01072666</v>
      </c>
      <c r="AN96" s="112">
        <f>AG96*(1+AI96)*(1+AJ96)*AK96*(1+$E$16+VLOOKUP($E96,武器奇术!$A:$R,8,FALSE))</f>
        <v>1056.97980648</v>
      </c>
      <c r="AO96" s="110">
        <f t="shared" si="46"/>
        <v>0.8813852</v>
      </c>
      <c r="AP96" s="112">
        <f>AH96*(1+AI96)*(1+AJ96)*AK96*(1+$E$17+VLOOKUP($E96,武器奇术!$A:$R,10,FALSE))</f>
        <v>870.0748407</v>
      </c>
      <c r="AQ96" s="110">
        <f t="shared" si="47"/>
        <v>0.0986</v>
      </c>
      <c r="AR96" s="112">
        <f t="shared" si="48"/>
        <v>644.499882</v>
      </c>
      <c r="AS96" s="110">
        <f t="shared" si="49"/>
        <v>0.00928814000000003</v>
      </c>
      <c r="AT96" s="113">
        <f t="shared" si="50"/>
        <v>1030.29527366161</v>
      </c>
      <c r="AU96" s="108">
        <f>$B$7*IF($G$5="撼天",1.05,1)+IF(AND(VLOOKUP($E96,武器奇术!$A:$R,15,FALSE)="武器",VLOOKUP($E96,武器奇术!$A:$R,17,FALSE)="鸣金"),$E$3,0)*(1+$E$15)</f>
        <v>0</v>
      </c>
      <c r="AV96" s="99">
        <f>(AU96+AW96)*IF(VLOOKUP($E96,武器奇术!$A:$Z,21,FALSE)=1,$G$15,0.5)</f>
        <v>0</v>
      </c>
      <c r="AW96" s="109">
        <f>MAX($C$7*IF($G$5="撼天",1.05,1)+IF(AND(VLOOKUP($E96,武器奇术!$A:$R,15,FALSE)="武器",VLOOKUP($E96,武器奇术!$A:$R,17,FALSE)="鸣金"),$E$3*(1+$E$15),0),AU96)</f>
        <v>0</v>
      </c>
      <c r="AX96" s="110">
        <f>IF(($D$7+IF(VLOOKUP($E96,武器奇术!$A:$R,17,FALSE)="鸣金",$D$15,0)+IF(VLOOKUP($E96,武器奇术!$A:$R,18,FALSE)=1,4,0)+IF(VLOOKUP($E96,武器奇术!$A:$S,19,FALSE)=1,20,0)-VLOOKUP($F$7,目标属性!$A:$R,6,FALSE))&gt;0,($D$7+IF(VLOOKUP($E96,武器奇术!$A:$R,17,FALSE)="鸣金",$D$15,0)+IF(VLOOKUP($E96,武器奇术!$A:$R,18,FALSE)=1,4,0)+IF(VLOOKUP($E96,武器奇术!$A:$S,19,FALSE)=1,20,0)-VLOOKUP($F$7,目标属性!$A:$R,6,FALSE))/200,($D$7+IF(VLOOKUP($E96,武器奇术!$A:$R,17,FALSE)="鸣金",$D$15,0)+IF(VLOOKUP($E96,武器奇术!$A:$R,18,FALSE)=1,4,0)+IF(VLOOKUP($E96,武器奇术!$A:$S,19,FALSE)=1,20,0)-VLOOKUP($F$7,目标属性!$A:$R,6,FALSE))/100)</f>
        <v>-0.24</v>
      </c>
      <c r="AY96" s="111">
        <f t="shared" si="51"/>
        <v>0</v>
      </c>
      <c r="AZ96" s="109">
        <v>1</v>
      </c>
      <c r="BA96" s="112">
        <f>AU96*IF(VLOOKUP($E96,武器奇术!$A:$R,17,FALSE)="鸣金",VLOOKUP($E96,武器奇术!$A:$R,4,FALSE),VLOOKUP($E96,武器奇术!$A:$R,2,FALSE))*(1+AX96)*(1+AY96)*AZ96</f>
        <v>0</v>
      </c>
      <c r="BB96" s="110">
        <f>(1-IF(VLOOKUP($E96,武器奇术!$A:$T,20,FALSE)=1,1,$N96))*(1-$M96)</f>
        <v>0.01072666</v>
      </c>
      <c r="BC96" s="112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10">
        <f t="shared" si="52"/>
        <v>0.8813852</v>
      </c>
      <c r="BE96" s="112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10">
        <f t="shared" si="53"/>
        <v>0.0986</v>
      </c>
      <c r="BG96" s="112">
        <f>AV96*IF(VLOOKUP($E96,武器奇术!$A:$R,17,FALSE)="鸣金",VLOOKUP($E96,武器奇术!$A:$R,4,FALSE),VLOOKUP($E96,武器奇术!$A:$R,2,FALSE))*(1+AX96)*(1+AY96)*AZ96</f>
        <v>0</v>
      </c>
      <c r="BH96" s="110">
        <f t="shared" si="54"/>
        <v>0.00928814000000003</v>
      </c>
      <c r="BI96" s="113">
        <f t="shared" si="55"/>
        <v>0</v>
      </c>
      <c r="BJ96" s="108">
        <f>$B$9*IF($G$5="撼天",1.05,1)+IF(AND(VLOOKUP($E96,武器奇术!$A:$R,15,FALSE)="武器",VLOOKUP($E96,武器奇术!$A:$R,17,FALSE)="裂石"),$E$3,0)*(1+$E$15)</f>
        <v>0</v>
      </c>
      <c r="BK96" s="99">
        <f>(BJ96+BL96)*IF(VLOOKUP($E96,武器奇术!$A:$Z,21,FALSE)=1,$G$15,0.5)</f>
        <v>0</v>
      </c>
      <c r="BL96" s="109">
        <f>MAX($C$9*IF($G$5="撼天",1.05,1)+IF(AND(VLOOKUP($E96,武器奇术!$A:$R,15,FALSE)="武器",VLOOKUP($E96,武器奇术!$A:$R,17,FALSE)="裂石"),$E$3*(1+$E$15),0),BJ96)</f>
        <v>0</v>
      </c>
      <c r="BM96" s="110">
        <f>IF(($D$9+IF(VLOOKUP($E96,武器奇术!$A:$R,17,FALSE)="裂石",$D$15,0)+IF(VLOOKUP($E96,武器奇术!$A:$R,18,FALSE)=1,4,0)+IF(VLOOKUP($E96,武器奇术!$A:$S,19,FALSE)=1,20,0)-VLOOKUP($F$7,目标属性!$A:$R,6,FALSE))&gt;0,($D$9+IF(VLOOKUP($E96,武器奇术!$A:$R,17,FALSE)="裂石",$D$15,0)+IF(VLOOKUP($E96,武器奇术!$A:$R,18,FALSE)=1,4,0)+IF(VLOOKUP($E96,武器奇术!$A:$S,19,FALSE)=1,20,0)-VLOOKUP($F$7,目标属性!$A:$R,6,FALSE))/200,($D$9+IF(VLOOKUP($E96,武器奇术!$A:$R,17,FALSE)="裂石",$D$15,0)+IF(VLOOKUP($E96,武器奇术!$A:$R,18,FALSE)=1,4,0)+IF(VLOOKUP($E96,武器奇术!$A:$S,19,FALSE)=1,20,0)-VLOOKUP($F$7,目标属性!$A:$R,6,FALSE))/100)</f>
        <v>-0.24</v>
      </c>
      <c r="BN96" s="111">
        <f t="shared" si="56"/>
        <v>0</v>
      </c>
      <c r="BO96" s="109">
        <v>1</v>
      </c>
      <c r="BP96" s="112">
        <f>BJ96*IF(VLOOKUP($E96,武器奇术!$A:$R,17,FALSE)="裂石",VLOOKUP($E96,武器奇术!$A:$R,4,FALSE),VLOOKUP($E96,武器奇术!$A:$R,2,FALSE))*(1+BM96)*(1+BN96)*BO96</f>
        <v>0</v>
      </c>
      <c r="BQ96" s="110">
        <f>(1-IF(VLOOKUP($E96,武器奇术!$A:$T,20,FALSE)=1,1,$N96))*(1-$M96)</f>
        <v>0.01072666</v>
      </c>
      <c r="BR96" s="112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10">
        <f t="shared" si="57"/>
        <v>0.8813852</v>
      </c>
      <c r="BT96" s="112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10">
        <f t="shared" si="58"/>
        <v>0.0986</v>
      </c>
      <c r="BV96" s="112">
        <f>BK96*IF(VLOOKUP($E96,武器奇术!$A:$R,17,FALSE)="裂石",VLOOKUP($E96,武器奇术!$A:$R,4,FALSE),VLOOKUP($E96,武器奇术!$A:$R,2,FALSE))*(1+BM96)*(1+BN96)*BO96</f>
        <v>0</v>
      </c>
      <c r="BW96" s="110">
        <f t="shared" si="59"/>
        <v>0.00928814000000003</v>
      </c>
      <c r="BX96" s="113">
        <f t="shared" si="60"/>
        <v>0</v>
      </c>
      <c r="BY96" s="108">
        <f>$B$11*IF($G$5="撼天",1.05,1)+IF(AND(VLOOKUP($E96,武器奇术!$A:$R,15,FALSE)="武器",VLOOKUP($E96,武器奇术!$A:$R,17,FALSE)="牵丝"),$E$3,0)*(1+$E$15)</f>
        <v>0</v>
      </c>
      <c r="BZ96" s="99">
        <f>(BY96+CA96)*IF(VLOOKUP($E96,武器奇术!$A:$Z,21,FALSE)=1,$G$15,0.5)</f>
        <v>0</v>
      </c>
      <c r="CA96" s="109">
        <f>MAX($C$11*IF($G$5="撼天",1.05,1)+IF(AND(VLOOKUP($E96,武器奇术!$A:$R,15,FALSE)="武器",VLOOKUP($E96,武器奇术!$A:$R,17,FALSE)="牵丝"),$E$3*(1+$E$15),0),BY96)</f>
        <v>0</v>
      </c>
      <c r="CB96" s="110">
        <f>IF(($D$11+IF(VLOOKUP($E96,武器奇术!$A:$R,17,FALSE)="牵丝",$D$15,0)+IF(VLOOKUP($E96,武器奇术!$A:$R,18,FALSE)=1,4,0)+IF(VLOOKUP($E96,武器奇术!$A:$S,19,FALSE)=1,20,0)-VLOOKUP($F$7,目标属性!$A:$R,6,FALSE))&gt;0,($D$11+IF(VLOOKUP($E96,武器奇术!$A:$R,17,FALSE)="牵丝",$D$15,0)+IF(VLOOKUP($E96,武器奇术!$A:$R,18,FALSE)=1,4,0)+IF(VLOOKUP($E96,武器奇术!$A:$S,19,FALSE)=1,20,0)-VLOOKUP($F$7,目标属性!$A:$R,6,FALSE))/200,($D$11+IF(VLOOKUP($E96,武器奇术!$A:$R,17,FALSE)="牵丝",$D$15,0)+IF(VLOOKUP($E96,武器奇术!$A:$R,18,FALSE)=1,4,0)+IF(VLOOKUP($E96,武器奇术!$A:$S,19,FALSE)=1,20,0)-VLOOKUP($F$7,目标属性!$A:$R,6,FALSE))/100)</f>
        <v>-0.24</v>
      </c>
      <c r="CC96" s="111">
        <f t="shared" si="61"/>
        <v>0</v>
      </c>
      <c r="CD96" s="109">
        <v>1</v>
      </c>
      <c r="CE96" s="112">
        <f>BY96*IF(VLOOKUP($E96,武器奇术!$A:$R,17,FALSE)="牵丝",VLOOKUP($E96,武器奇术!$A:$R,4,FALSE),VLOOKUP($E96,武器奇术!$A:$R,2,FALSE))*(1+CB96)*(1+CC96)*CD96</f>
        <v>0</v>
      </c>
      <c r="CF96" s="110">
        <f>(1-IF(VLOOKUP($E96,武器奇术!$A:$T,20,FALSE)=1,1,$N96))*(1-$M96)</f>
        <v>0.01072666</v>
      </c>
      <c r="CG96" s="112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110">
        <f t="shared" si="62"/>
        <v>0.8813852</v>
      </c>
      <c r="CI96" s="112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110">
        <f t="shared" si="63"/>
        <v>0.0986</v>
      </c>
      <c r="CK96" s="112">
        <f>BZ96*IF(VLOOKUP($E96,武器奇术!$A:$R,17,FALSE)="牵丝",VLOOKUP($E96,武器奇术!$A:$R,4,FALSE),VLOOKUP($E96,武器奇术!$A:$R,2,FALSE))*(1+CB96)*(1+CC96)*CD96</f>
        <v>0</v>
      </c>
      <c r="CL96" s="110">
        <f t="shared" si="64"/>
        <v>0.00928814000000003</v>
      </c>
      <c r="CM96" s="113">
        <f t="shared" si="65"/>
        <v>0</v>
      </c>
      <c r="CN96" s="108">
        <f>$B$13*IF($G$5="撼天",1.05,1)+IF(AND(VLOOKUP($E96,武器奇术!$A:$R,15,FALSE)="武器",VLOOKUP($E96,武器奇术!$A:$R,17,FALSE)="破竹"),$E$3,0)*(1+$E$15)</f>
        <v>648.46</v>
      </c>
      <c r="CO96" s="99">
        <f>(CN96+CP96)*IF(VLOOKUP($E96,武器奇术!$A:$Z,21,FALSE)=1,$G$15,0.5)</f>
        <v>875.26</v>
      </c>
      <c r="CP96" s="109">
        <f>MAX($C$13*IF($G$5="撼天",1.05,1)+IF(AND(VLOOKUP($E96,武器奇术!$A:$R,15,FALSE)="武器",VLOOKUP($E96,武器奇术!$A:$R,17,FALSE)="破竹"),$E$3*(1+$E$15),0),CN96)</f>
        <v>1102.06</v>
      </c>
      <c r="CQ96" s="110">
        <f>IF(($D$13+IF(VLOOKUP($E96,武器奇术!$A:$R,17,FALSE)="破竹",$D$15,0)+IF(VLOOKUP($E96,武器奇术!$A:$R,18,FALSE)=1,4,0)+IF(VLOOKUP($E96,武器奇术!$A:$S,19,FALSE)=1,20,0)-VLOOKUP($F$7,目标属性!$A:$R,6,FALSE))&gt;0,($D$13+IF(VLOOKUP($E96,武器奇术!$A:$R,17,FALSE)="破竹",$D$15,0)+IF(VLOOKUP($E96,武器奇术!$A:$R,18,FALSE)=1,4,0)+IF(VLOOKUP($E96,武器奇术!$A:$S,19,FALSE)=1,20,0)-VLOOKUP($F$7,目标属性!$A:$R,6,FALSE))/200,($D$13+IF(VLOOKUP($E96,武器奇术!$A:$R,17,FALSE)="破竹",$D$15,0)+IF(VLOOKUP($E96,武器奇术!$A:$R,18,FALSE)=1,4,0)+IF(VLOOKUP($E96,武器奇术!$A:$S,19,FALSE)=1,20,0)-VLOOKUP($F$7,目标属性!$A:$R,6,FALSE))/100)</f>
        <v>0.025</v>
      </c>
      <c r="CR96" s="111">
        <f>$E$13+IF(VLOOKUP($E96,武器奇术!$A:$U,21,FALSE)=1,0,0.09)</f>
        <v>0.235</v>
      </c>
      <c r="CS96" s="109">
        <v>1</v>
      </c>
      <c r="CT96" s="112">
        <f>CN96*IF(VLOOKUP($E96,武器奇术!$A:$R,17,FALSE)="破竹",VLOOKUP($E96,武器奇术!$A:$R,4,FALSE),VLOOKUP($E96,武器奇术!$A:$R,2,FALSE))*(1+CQ96)*(1+CR96)*CS96</f>
        <v>1585.34488391825</v>
      </c>
      <c r="CU96" s="110">
        <f>(1-IF(VLOOKUP($E96,武器奇术!$A:$T,20,FALSE)=1,1,$N96))*(1-$M96)</f>
        <v>0.01072666</v>
      </c>
      <c r="CV96" s="112">
        <f>CO96*IF(VLOOKUP($E96,武器奇术!$A:$R,17,FALSE)="破竹",VLOOKUP($E96,武器奇术!$A:$R,4,FALSE),VLOOKUP($E96,武器奇术!$A:$R,2,FALSE))*(1+CQ96)*(1+CR96)*CS96*(1+$E$16+VLOOKUP($E96,武器奇术!$A:$R,8,FALSE))</f>
        <v>3509.30805212533</v>
      </c>
      <c r="CW96" s="110">
        <f t="shared" si="66"/>
        <v>0.8813852</v>
      </c>
      <c r="CX96" s="112">
        <f>CP96*IF(VLOOKUP($E96,武器奇术!$A:$R,17,FALSE)="破竹",VLOOKUP($E96,武器奇术!$A:$R,4,FALSE),VLOOKUP($E96,武器奇术!$A:$R,2,FALSE))*(1+CQ96)*(1+CR96)*CS96*(1+$E$17+VLOOKUP($E96,武器奇术!$A:$R,10,FALSE))</f>
        <v>3637.30376081914</v>
      </c>
      <c r="CY96" s="110">
        <f t="shared" si="67"/>
        <v>0.0986</v>
      </c>
      <c r="CZ96" s="112">
        <f>CO96*IF(VLOOKUP($E96,武器奇术!$A:$R,17,FALSE)="破竹",VLOOKUP($E96,武器奇术!$A:$R,4,FALSE),VLOOKUP($E96,武器奇术!$A:$R,2,FALSE))*(1+CQ96)*(1+CR96)*CS96</f>
        <v>2139.82198300325</v>
      </c>
      <c r="DA96" s="110">
        <f t="shared" si="68"/>
        <v>0.00928814000000003</v>
      </c>
      <c r="DB96" s="113">
        <f t="shared" si="69"/>
        <v>3488.5707519066</v>
      </c>
      <c r="DC96" s="108">
        <f t="shared" si="70"/>
        <v>69.3</v>
      </c>
      <c r="DD96" s="99">
        <f>(DC96+DE96)*IF(VLOOKUP($E96,武器奇术!$A:$Z,21,FALSE)=1,$G$15,0.5)</f>
        <v>69.3</v>
      </c>
      <c r="DE96" s="109">
        <f t="shared" si="71"/>
        <v>69.3</v>
      </c>
      <c r="DF96" s="110">
        <f>IF(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R,18,FALSE)=1,4,0)+IF(VLOOKUP($E96,武器奇术!$A:$S,19,FALSE)=1,20,0)-VLOOKUP($F$7,目标属性!$A:$R,6,FALSE))/100)</f>
        <v>0.025</v>
      </c>
      <c r="DG96" s="111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U,21,FALSE)=1,0,0.09)</f>
        <v>0.235</v>
      </c>
      <c r="DH96" s="109">
        <v>1</v>
      </c>
      <c r="DI96" s="112">
        <f>DC96*IF(VLOOKUP($E96,武器奇术!$A:$R,17,FALSE)="破竹",VLOOKUP($E96,武器奇术!$A:$R,4,FALSE),VLOOKUP($E96,武器奇术!$A:$R,2,FALSE))*(1+DF96)*(1+DG96)*DH96</f>
        <v>169.42355805375</v>
      </c>
      <c r="DJ96" s="110">
        <f>(1-IF(VLOOKUP($E96,武器奇术!$A:$T,20,FALSE)=1,1,$N96))*(1-$M96)</f>
        <v>0.01072666</v>
      </c>
      <c r="DK96" s="112">
        <f>DD96*IF(VLOOKUP($E96,武器奇术!$A:$R,17,FALSE)="破竹",VLOOKUP($E96,武器奇术!$A:$R,4,FALSE),VLOOKUP($E96,武器奇术!$A:$R,2,FALSE))*(1+DF96)*(1+DG96)*DH96*(1+$E$16+VLOOKUP($E96,武器奇术!$A:$R,8,FALSE))</f>
        <v>277.85463520815</v>
      </c>
      <c r="DL96" s="110">
        <f t="shared" si="72"/>
        <v>0.8813852</v>
      </c>
      <c r="DM96" s="112">
        <f>DE96*IF(VLOOKUP($E96,武器奇术!$A:$R,17,FALSE)="破竹",VLOOKUP($E96,武器奇术!$A:$R,4,FALSE),VLOOKUP($E96,武器奇术!$A:$R,2,FALSE))*(1+DF96)*(1+DG96)*DH96*(1+$E$17+VLOOKUP($E96,武器奇术!$A:$R,10,FALSE))</f>
        <v>228.721803372562</v>
      </c>
      <c r="DN96" s="110">
        <f t="shared" si="73"/>
        <v>0.0986</v>
      </c>
      <c r="DO96" s="112">
        <f>DD96*IF(VLOOKUP($E96,武器奇术!$A:$R,17,FALSE)="破竹",VLOOKUP($E96,武器奇术!$A:$R,4,FALSE),VLOOKUP($E96,武器奇术!$A:$R,2,FALSE))*(1+DF96)*(1+DG96)*DH96</f>
        <v>169.42355805375</v>
      </c>
      <c r="DP96" s="110">
        <f t="shared" si="74"/>
        <v>0.00928814000000003</v>
      </c>
      <c r="DQ96" s="113">
        <f t="shared" si="75"/>
        <v>270.839911666131</v>
      </c>
    </row>
    <row r="97" spans="1:121">
      <c r="A97" s="75"/>
      <c r="B97" s="75"/>
      <c r="C97" s="148"/>
      <c r="D97" s="75"/>
      <c r="E97" s="98" t="str">
        <f>期望!E97</f>
        <v>鹰隼追击(拳甲)+气竭</v>
      </c>
      <c r="F97" s="99">
        <f>期望!F97</f>
        <v>1</v>
      </c>
      <c r="G97" s="115"/>
      <c r="H97" s="149">
        <f>IF(VLOOKUP($E97,武器奇术!$A:$R,18,FALSE)="天工",AE97,(AE97+AT97+BI97+BX97+CM97+DB97+DQ97))*(1+J97)*F97*K97*(1+G97)*(1+$G$21*5%)</f>
        <v>67590.9663363644</v>
      </c>
      <c r="I97" s="101">
        <f t="shared" si="39"/>
        <v>0.00834497765300071</v>
      </c>
      <c r="J97" s="101">
        <f>$F$3+VLOOKUP($E97,武器奇术!$A:$R,12,FALSE)+VLOOKUP($E97,武器奇术!$A:$R,14,FALSE)*$G$3+$P97</f>
        <v>0.873</v>
      </c>
      <c r="K97" s="102">
        <f>VLOOKUP($E97,武器奇术!$A:$R,11,FALSE)</f>
        <v>1</v>
      </c>
      <c r="L97" s="117">
        <f>IF(VLOOKUP($E97,武器奇术!$A:$R,15,FALSE)="天工",0%,IF($C$17+VLOOKUP($E97,武器奇术!$A:$R,7,FALSE)&gt;80%,80%,$C$17+VLOOKUP($E97,武器奇术!$A:$R,7,FALSE))+IF($C$19&gt;20%,20%,$C$19))</f>
        <v>0.892</v>
      </c>
      <c r="M97" s="118">
        <f>IF(VLOOKUP($E97,武器奇术!$A:$R,15,FALSE)="天工",0%,IF($C$18+VLOOKUP($E97,武器奇术!$A:$R,9,FALSE)&gt;40%,40%,$C$18+VLOOKUP($E97,武器奇术!$A:$R,9,FALSE))+IF($C$20&gt;10%,10%,$C$20))</f>
        <v>0.0986</v>
      </c>
      <c r="N97" s="119">
        <f>IF(VLOOKUP($E97,武器奇术!$A:$R,15,FALSE)="天工",100%,MIN($C$16,1))</f>
        <v>0.9881</v>
      </c>
      <c r="O97" s="120" t="str">
        <f>VLOOKUP($E97,武器奇术!$A:$R,16,FALSE)</f>
        <v>拳甲</v>
      </c>
      <c r="P97" s="121">
        <f t="shared" si="76"/>
        <v>0.17</v>
      </c>
      <c r="Q97" s="108">
        <f>$B$5*(1+VLOOKUP($E97,武器奇术!$A:$R,5,FALSE)+IF($G$5="飞隼",0.1,0)+IF($G$5="撼天",0.05,0))-$F$9+IF($I$5="√",160,0)</f>
        <v>1731.135</v>
      </c>
      <c r="R97" s="99">
        <f>IF(VLOOKUP($E97,武器奇术!$A:$Z,20,FALSE)=1,(S97-(Q97+S97)*0.5)*($G$15-0.5)*2+(Q97+S97)*0.5,(Q97+S97)*0.5)</f>
        <v>3256.775</v>
      </c>
      <c r="S97" s="109">
        <f>MAX($C$5,$B$5)*(1+VLOOKUP($E97,武器奇术!$A:$R,5,FALSE)+IF($G$5="飞隼",0.1,0)+IF($G$5="撼天",0.05,0))-$F$9+IF($I$5="√",320,0)</f>
        <v>4782.415</v>
      </c>
      <c r="T97" s="101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U97" s="111">
        <f>$E$5+IF(VLOOKUP($E97,武器奇术!$A:$U,21,FALSE)=1,0,0.09)</f>
        <v>0.115</v>
      </c>
      <c r="V97" s="109">
        <v>1</v>
      </c>
      <c r="W97" s="112">
        <f>Q97*VLOOKUP($E97,武器奇术!$A:$R,2,FALSE)*(1+T97)*(1+U97)*V97</f>
        <v>5595.154346628</v>
      </c>
      <c r="X97" s="110">
        <f>(1-IF(VLOOKUP($E97,武器奇术!$A:$T,20,FALSE)=1,1,$N97))*(1-$M97)</f>
        <v>0.01072666</v>
      </c>
      <c r="Y97" s="112">
        <f>R97*VLOOKUP($E97,武器奇术!$A:$R,2,FALSE)*(1+T97)*(1+U97)*V97*(1+$E$16+VLOOKUP($E97,武器奇术!$A:$R,8,FALSE))</f>
        <v>20420.6997528468</v>
      </c>
      <c r="Z97" s="110">
        <f t="shared" si="40"/>
        <v>0.8813852</v>
      </c>
      <c r="AA97" s="112">
        <f>S97*VLOOKUP($E97,武器奇术!$A:$R,2,FALSE)*(1+T97)*(1+U97)*V97*(1+$E$17+VLOOKUP($E97,武器奇术!$A:$R,10,FALSE))</f>
        <v>20867.1031437462</v>
      </c>
      <c r="AB97" s="110">
        <f t="shared" si="41"/>
        <v>0.0986</v>
      </c>
      <c r="AC97" s="112">
        <f>R97*VLOOKUP($E97,武器奇术!$A:$R,2,FALSE)*(1+T97)*(1+U97)*V97</f>
        <v>10526.13389322</v>
      </c>
      <c r="AD97" s="110">
        <f t="shared" si="42"/>
        <v>0.00928814000000003</v>
      </c>
      <c r="AE97" s="113">
        <f t="shared" si="43"/>
        <v>20213.784429359</v>
      </c>
      <c r="AF97" s="114">
        <f>VLOOKUP($E97,武器奇术!$A:$R,3,FALSE)*(1+IF(VLOOKUP($E97,武器奇术!$A:$R,15,FALSE)="武器",$E$15,0))</f>
        <v>0</v>
      </c>
      <c r="AG97" s="112">
        <f t="shared" si="44"/>
        <v>0</v>
      </c>
      <c r="AH97" s="112">
        <f>VLOOKUP($E97,武器奇术!$A:$R,3,FALSE)*(1+IF(VLOOKUP($E97,武器奇术!$A:$R,15,FALSE)="武器",$E$15,0))</f>
        <v>0</v>
      </c>
      <c r="AI97" s="101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0.342</v>
      </c>
      <c r="AJ97" s="111">
        <f>$E$5+IF(VLOOKUP($E97,武器奇术!$A:$U,21,FALSE)=1,0,0.09)</f>
        <v>0.115</v>
      </c>
      <c r="AK97" s="109">
        <v>1</v>
      </c>
      <c r="AL97" s="112">
        <f t="shared" si="45"/>
        <v>0</v>
      </c>
      <c r="AM97" s="110">
        <f>(1-IF(VLOOKUP($E97,武器奇术!$A:$T,20,FALSE)=1,1,$N97))*(1-$M97)</f>
        <v>0.01072666</v>
      </c>
      <c r="AN97" s="112">
        <f>AG97*(1+AI97)*(1+AJ97)*AK97*(1+$E$16+VLOOKUP($E97,武器奇术!$A:$R,8,FALSE))</f>
        <v>0</v>
      </c>
      <c r="AO97" s="110">
        <f t="shared" si="46"/>
        <v>0.8813852</v>
      </c>
      <c r="AP97" s="112">
        <f>AH97*(1+AI97)*(1+AJ97)*AK97*(1+$E$17+VLOOKUP($E97,武器奇术!$A:$R,10,FALSE))</f>
        <v>0</v>
      </c>
      <c r="AQ97" s="110">
        <f t="shared" si="47"/>
        <v>0.0986</v>
      </c>
      <c r="AR97" s="112">
        <f t="shared" si="48"/>
        <v>0</v>
      </c>
      <c r="AS97" s="110">
        <f t="shared" si="49"/>
        <v>0.00928814000000003</v>
      </c>
      <c r="AT97" s="113">
        <f t="shared" si="50"/>
        <v>0</v>
      </c>
      <c r="AU97" s="108">
        <f>$B$7*IF($G$5="撼天",1.05,1)+IF(AND(VLOOKUP($E97,武器奇术!$A:$R,15,FALSE)="武器",VLOOKUP($E97,武器奇术!$A:$R,17,FALSE)="鸣金"),$E$3,0)*(1+$E$15)</f>
        <v>0</v>
      </c>
      <c r="AV97" s="99">
        <f>(AU97+AW97)*IF(VLOOKUP($E97,武器奇术!$A:$Z,21,FALSE)=1,$G$15,0.5)</f>
        <v>0</v>
      </c>
      <c r="AW97" s="109">
        <f>MAX($C$7*IF($G$5="撼天",1.05,1)+IF(AND(VLOOKUP($E97,武器奇术!$A:$R,15,FALSE)="武器",VLOOKUP($E97,武器奇术!$A:$R,17,FALSE)="鸣金"),$E$3*(1+$E$15),0),AU97)</f>
        <v>0</v>
      </c>
      <c r="AX97" s="110">
        <f>IF(($D$7+IF(VLOOKUP($E97,武器奇术!$A:$R,17,FALSE)="鸣金",$D$15,0)+IF(VLOOKUP($E97,武器奇术!$A:$R,18,FALSE)=1,4,0)+IF(VLOOKUP($E97,武器奇术!$A:$S,19,FALSE)=1,20,0)-VLOOKUP($F$7,目标属性!$A:$R,6,FALSE))&gt;0,($D$7+IF(VLOOKUP($E97,武器奇术!$A:$R,17,FALSE)="鸣金",$D$15,0)+IF(VLOOKUP($E97,武器奇术!$A:$R,18,FALSE)=1,4,0)+IF(VLOOKUP($E97,武器奇术!$A:$S,19,FALSE)=1,20,0)-VLOOKUP($F$7,目标属性!$A:$R,6,FALSE))/200,($D$7+IF(VLOOKUP($E97,武器奇术!$A:$R,17,FALSE)="鸣金",$D$15,0)+IF(VLOOKUP($E97,武器奇术!$A:$R,18,FALSE)=1,4,0)+IF(VLOOKUP($E97,武器奇术!$A:$S,19,FALSE)=1,20,0)-VLOOKUP($F$7,目标属性!$A:$R,6,FALSE))/100)</f>
        <v>0</v>
      </c>
      <c r="AY97" s="111">
        <f t="shared" si="51"/>
        <v>0</v>
      </c>
      <c r="AZ97" s="109">
        <v>1</v>
      </c>
      <c r="BA97" s="112">
        <f>AU97*IF(VLOOKUP($E97,武器奇术!$A:$R,17,FALSE)="鸣金",VLOOKUP($E97,武器奇术!$A:$R,4,FALSE),VLOOKUP($E97,武器奇术!$A:$R,2,FALSE))*(1+AX97)*(1+AY97)*AZ97</f>
        <v>0</v>
      </c>
      <c r="BB97" s="110">
        <f>(1-IF(VLOOKUP($E97,武器奇术!$A:$T,20,FALSE)=1,1,$N97))*(1-$M97)</f>
        <v>0.01072666</v>
      </c>
      <c r="BC97" s="112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10">
        <f t="shared" si="52"/>
        <v>0.8813852</v>
      </c>
      <c r="BE97" s="112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10">
        <f t="shared" si="53"/>
        <v>0.0986</v>
      </c>
      <c r="BG97" s="112">
        <f>AV97*IF(VLOOKUP($E97,武器奇术!$A:$R,17,FALSE)="鸣金",VLOOKUP($E97,武器奇术!$A:$R,4,FALSE),VLOOKUP($E97,武器奇术!$A:$R,2,FALSE))*(1+AX97)*(1+AY97)*AZ97</f>
        <v>0</v>
      </c>
      <c r="BH97" s="110">
        <f t="shared" si="54"/>
        <v>0.00928814000000003</v>
      </c>
      <c r="BI97" s="113">
        <f t="shared" si="55"/>
        <v>0</v>
      </c>
      <c r="BJ97" s="108">
        <f>$B$9*IF($G$5="撼天",1.05,1)+IF(AND(VLOOKUP($E97,武器奇术!$A:$R,15,FALSE)="武器",VLOOKUP($E97,武器奇术!$A:$R,17,FALSE)="裂石"),$E$3,0)*(1+$E$15)</f>
        <v>0</v>
      </c>
      <c r="BK97" s="99">
        <f>(BJ97+BL97)*IF(VLOOKUP($E97,武器奇术!$A:$Z,21,FALSE)=1,$G$15,0.5)</f>
        <v>0</v>
      </c>
      <c r="BL97" s="109">
        <f>MAX($C$9*IF($G$5="撼天",1.05,1)+IF(AND(VLOOKUP($E97,武器奇术!$A:$R,15,FALSE)="武器",VLOOKUP($E97,武器奇术!$A:$R,17,FALSE)="裂石"),$E$3*(1+$E$15),0),BJ97)</f>
        <v>0</v>
      </c>
      <c r="BM97" s="110">
        <f>IF(($D$9+IF(VLOOKUP($E97,武器奇术!$A:$R,17,FALSE)="裂石",$D$15,0)+IF(VLOOKUP($E97,武器奇术!$A:$R,18,FALSE)=1,4,0)+IF(VLOOKUP($E97,武器奇术!$A:$S,19,FALSE)=1,20,0)-VLOOKUP($F$7,目标属性!$A:$R,6,FALSE))&gt;0,($D$9+IF(VLOOKUP($E97,武器奇术!$A:$R,17,FALSE)="裂石",$D$15,0)+IF(VLOOKUP($E97,武器奇术!$A:$R,18,FALSE)=1,4,0)+IF(VLOOKUP($E97,武器奇术!$A:$S,19,FALSE)=1,20,0)-VLOOKUP($F$7,目标属性!$A:$R,6,FALSE))/200,($D$9+IF(VLOOKUP($E97,武器奇术!$A:$R,17,FALSE)="裂石",$D$15,0)+IF(VLOOKUP($E97,武器奇术!$A:$R,18,FALSE)=1,4,0)+IF(VLOOKUP($E97,武器奇术!$A:$S,19,FALSE)=1,20,0)-VLOOKUP($F$7,目标属性!$A:$R,6,FALSE))/100)</f>
        <v>0</v>
      </c>
      <c r="BN97" s="111">
        <f t="shared" si="56"/>
        <v>0</v>
      </c>
      <c r="BO97" s="109">
        <v>1</v>
      </c>
      <c r="BP97" s="112">
        <f>BJ97*IF(VLOOKUP($E97,武器奇术!$A:$R,17,FALSE)="裂石",VLOOKUP($E97,武器奇术!$A:$R,4,FALSE),VLOOKUP($E97,武器奇术!$A:$R,2,FALSE))*(1+BM97)*(1+BN97)*BO97</f>
        <v>0</v>
      </c>
      <c r="BQ97" s="110">
        <f>(1-IF(VLOOKUP($E97,武器奇术!$A:$T,20,FALSE)=1,1,$N97))*(1-$M97)</f>
        <v>0.01072666</v>
      </c>
      <c r="BR97" s="112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10">
        <f t="shared" si="57"/>
        <v>0.8813852</v>
      </c>
      <c r="BT97" s="112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10">
        <f t="shared" si="58"/>
        <v>0.0986</v>
      </c>
      <c r="BV97" s="112">
        <f>BK97*IF(VLOOKUP($E97,武器奇术!$A:$R,17,FALSE)="裂石",VLOOKUP($E97,武器奇术!$A:$R,4,FALSE),VLOOKUP($E97,武器奇术!$A:$R,2,FALSE))*(1+BM97)*(1+BN97)*BO97</f>
        <v>0</v>
      </c>
      <c r="BW97" s="110">
        <f t="shared" si="59"/>
        <v>0.00928814000000003</v>
      </c>
      <c r="BX97" s="113">
        <f t="shared" si="60"/>
        <v>0</v>
      </c>
      <c r="BY97" s="108">
        <f>$B$11*IF($G$5="撼天",1.05,1)+IF(AND(VLOOKUP($E97,武器奇术!$A:$R,15,FALSE)="武器",VLOOKUP($E97,武器奇术!$A:$R,17,FALSE)="牵丝"),$E$3,0)*(1+$E$15)</f>
        <v>0</v>
      </c>
      <c r="BZ97" s="99">
        <f>(BY97+CA97)*IF(VLOOKUP($E97,武器奇术!$A:$Z,21,FALSE)=1,$G$15,0.5)</f>
        <v>0</v>
      </c>
      <c r="CA97" s="109">
        <f>MAX($C$11*IF($G$5="撼天",1.05,1)+IF(AND(VLOOKUP($E97,武器奇术!$A:$R,15,FALSE)="武器",VLOOKUP($E97,武器奇术!$A:$R,17,FALSE)="牵丝"),$E$3*(1+$E$15),0),BY97)</f>
        <v>0</v>
      </c>
      <c r="CB97" s="110">
        <f>IF(($D$11+IF(VLOOKUP($E97,武器奇术!$A:$R,17,FALSE)="牵丝",$D$15,0)+IF(VLOOKUP($E97,武器奇术!$A:$R,18,FALSE)=1,4,0)+IF(VLOOKUP($E97,武器奇术!$A:$S,19,FALSE)=1,20,0)-VLOOKUP($F$7,目标属性!$A:$R,6,FALSE))&gt;0,($D$11+IF(VLOOKUP($E97,武器奇术!$A:$R,17,FALSE)="牵丝",$D$15,0)+IF(VLOOKUP($E97,武器奇术!$A:$R,18,FALSE)=1,4,0)+IF(VLOOKUP($E97,武器奇术!$A:$S,19,FALSE)=1,20,0)-VLOOKUP($F$7,目标属性!$A:$R,6,FALSE))/200,($D$11+IF(VLOOKUP($E97,武器奇术!$A:$R,17,FALSE)="牵丝",$D$15,0)+IF(VLOOKUP($E97,武器奇术!$A:$R,18,FALSE)=1,4,0)+IF(VLOOKUP($E97,武器奇术!$A:$S,19,FALSE)=1,20,0)-VLOOKUP($F$7,目标属性!$A:$R,6,FALSE))/100)</f>
        <v>0</v>
      </c>
      <c r="CC97" s="111">
        <f t="shared" si="61"/>
        <v>0</v>
      </c>
      <c r="CD97" s="109">
        <v>1</v>
      </c>
      <c r="CE97" s="112">
        <f>BY97*IF(VLOOKUP($E97,武器奇术!$A:$R,17,FALSE)="牵丝",VLOOKUP($E97,武器奇术!$A:$R,4,FALSE),VLOOKUP($E97,武器奇术!$A:$R,2,FALSE))*(1+CB97)*(1+CC97)*CD97</f>
        <v>0</v>
      </c>
      <c r="CF97" s="110">
        <f>(1-IF(VLOOKUP($E97,武器奇术!$A:$T,20,FALSE)=1,1,$N97))*(1-$M97)</f>
        <v>0.01072666</v>
      </c>
      <c r="CG97" s="112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110">
        <f t="shared" si="62"/>
        <v>0.8813852</v>
      </c>
      <c r="CI97" s="112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110">
        <f t="shared" si="63"/>
        <v>0.0986</v>
      </c>
      <c r="CK97" s="112">
        <f>BZ97*IF(VLOOKUP($E97,武器奇术!$A:$R,17,FALSE)="牵丝",VLOOKUP($E97,武器奇术!$A:$R,4,FALSE),VLOOKUP($E97,武器奇术!$A:$R,2,FALSE))*(1+CB97)*(1+CC97)*CD97</f>
        <v>0</v>
      </c>
      <c r="CL97" s="110">
        <f t="shared" si="64"/>
        <v>0.00928814000000003</v>
      </c>
      <c r="CM97" s="113">
        <f t="shared" si="65"/>
        <v>0</v>
      </c>
      <c r="CN97" s="108">
        <f>$B$13*IF($G$5="撼天",1.05,1)+IF(AND(VLOOKUP($E97,武器奇术!$A:$R,15,FALSE)="武器",VLOOKUP($E97,武器奇术!$A:$R,17,FALSE)="破竹"),$E$3,0)*(1+$E$15)</f>
        <v>452.55</v>
      </c>
      <c r="CO97" s="99">
        <f>(CN97+CP97)*IF(VLOOKUP($E97,武器奇术!$A:$Z,21,FALSE)=1,$G$15,0.5)</f>
        <v>679.35</v>
      </c>
      <c r="CP97" s="109">
        <f>MAX($C$13*IF($G$5="撼天",1.05,1)+IF(AND(VLOOKUP($E97,武器奇术!$A:$R,15,FALSE)="武器",VLOOKUP($E97,武器奇术!$A:$R,17,FALSE)="破竹"),$E$3*(1+$E$15),0),CN97)</f>
        <v>906.15</v>
      </c>
      <c r="CQ97" s="110">
        <f>IF(($D$13+IF(VLOOKUP($E97,武器奇术!$A:$R,17,FALSE)="破竹",$D$15,0)+IF(VLOOKUP($E97,武器奇术!$A:$R,18,FALSE)=1,4,0)+IF(VLOOKUP($E97,武器奇术!$A:$S,19,FALSE)=1,20,0)-VLOOKUP($F$7,目标属性!$A:$R,6,FALSE))&gt;0,($D$13+IF(VLOOKUP($E97,武器奇术!$A:$R,17,FALSE)="破竹",$D$15,0)+IF(VLOOKUP($E97,武器奇术!$A:$R,18,FALSE)=1,4,0)+IF(VLOOKUP($E97,武器奇术!$A:$S,19,FALSE)=1,20,0)-VLOOKUP($F$7,目标属性!$A:$R,6,FALSE))/200,($D$13+IF(VLOOKUP($E97,武器奇术!$A:$R,17,FALSE)="破竹",$D$15,0)+IF(VLOOKUP($E97,武器奇术!$A:$R,18,FALSE)=1,4,0)+IF(VLOOKUP($E97,武器奇术!$A:$S,19,FALSE)=1,20,0)-VLOOKUP($F$7,目标属性!$A:$R,6,FALSE))/100)</f>
        <v>0.145</v>
      </c>
      <c r="CR97" s="111">
        <f>$E$13+IF(VLOOKUP($E97,武器奇术!$A:$U,21,FALSE)=1,0,0.09)</f>
        <v>0.235</v>
      </c>
      <c r="CS97" s="109">
        <v>1</v>
      </c>
      <c r="CT97" s="112">
        <f>CN97*IF(VLOOKUP($E97,武器奇术!$A:$R,17,FALSE)="破竹",VLOOKUP($E97,武器奇术!$A:$R,4,FALSE),VLOOKUP($E97,武器奇术!$A:$R,2,FALSE))*(1+CQ97)*(1+CR97)*CS97</f>
        <v>2073.40443765</v>
      </c>
      <c r="CU97" s="110">
        <f>(1-IF(VLOOKUP($E97,武器奇术!$A:$T,20,FALSE)=1,1,$N97))*(1-$M97)</f>
        <v>0.01072666</v>
      </c>
      <c r="CV97" s="112">
        <f>CO97*IF(VLOOKUP($E97,武器奇术!$A:$R,17,FALSE)="破竹",VLOOKUP($E97,武器奇术!$A:$R,4,FALSE),VLOOKUP($E97,武器奇术!$A:$R,2,FALSE))*(1+CQ97)*(1+CR97)*CS97*(1+$E$16+VLOOKUP($E97,武器奇术!$A:$R,8,FALSE))</f>
        <v>6038.273276217</v>
      </c>
      <c r="CW97" s="110">
        <f t="shared" si="66"/>
        <v>0.8813852</v>
      </c>
      <c r="CX97" s="112">
        <f>CP97*IF(VLOOKUP($E97,武器奇术!$A:$R,17,FALSE)="破竹",VLOOKUP($E97,武器奇术!$A:$R,4,FALSE),VLOOKUP($E97,武器奇术!$A:$R,2,FALSE))*(1+CQ97)*(1+CR97)*CS97*(1+$E$17+VLOOKUP($E97,武器奇术!$A:$R,10,FALSE))</f>
        <v>5604.6864039075</v>
      </c>
      <c r="CY97" s="110">
        <f t="shared" si="67"/>
        <v>0.0986</v>
      </c>
      <c r="CZ97" s="112">
        <f>CO97*IF(VLOOKUP($E97,武器奇术!$A:$R,17,FALSE)="破竹",VLOOKUP($E97,武器奇术!$A:$R,4,FALSE),VLOOKUP($E97,武器奇术!$A:$R,2,FALSE))*(1+CQ97)*(1+CR97)*CS97</f>
        <v>3112.51199805</v>
      </c>
      <c r="DA97" s="110">
        <f t="shared" si="68"/>
        <v>0.00928814000000003</v>
      </c>
      <c r="DB97" s="113">
        <f t="shared" si="69"/>
        <v>5925.81693027318</v>
      </c>
      <c r="DC97" s="108">
        <f t="shared" si="70"/>
        <v>69.3</v>
      </c>
      <c r="DD97" s="99">
        <f>(DC97+DE97)*IF(VLOOKUP($E97,武器奇术!$A:$Z,21,FALSE)=1,$G$15,0.5)</f>
        <v>69.3</v>
      </c>
      <c r="DE97" s="109">
        <f t="shared" si="71"/>
        <v>69.3</v>
      </c>
      <c r="DF97" s="110">
        <f>IF(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R,18,FALSE)=1,4,0)+IF(VLOOKUP($E97,武器奇术!$A:$S,19,FALSE)=1,20,0)-VLOOKUP($F$7,目标属性!$A:$R,6,FALSE))/100)</f>
        <v>0.145</v>
      </c>
      <c r="DG97" s="111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U,21,FALSE)=1,0,0.09)</f>
        <v>0.235</v>
      </c>
      <c r="DH97" s="109">
        <v>1</v>
      </c>
      <c r="DI97" s="112">
        <f>DC97*IF(VLOOKUP($E97,武器奇术!$A:$R,17,FALSE)="破竹",VLOOKUP($E97,武器奇术!$A:$R,4,FALSE),VLOOKUP($E97,武器奇术!$A:$R,2,FALSE))*(1+DF97)*(1+DG97)*DH97</f>
        <v>317.5050879</v>
      </c>
      <c r="DJ97" s="110">
        <f>(1-IF(VLOOKUP($E97,武器奇术!$A:$T,20,FALSE)=1,1,$N97))*(1-$M97)</f>
        <v>0.01072666</v>
      </c>
      <c r="DK97" s="112">
        <f>DD97*IF(VLOOKUP($E97,武器奇术!$A:$R,17,FALSE)="破竹",VLOOKUP($E97,武器奇术!$A:$R,4,FALSE),VLOOKUP($E97,武器奇术!$A:$R,2,FALSE))*(1+DF97)*(1+DG97)*DH97*(1+$E$16+VLOOKUP($E97,武器奇术!$A:$R,8,FALSE))</f>
        <v>615.959870526</v>
      </c>
      <c r="DL97" s="110">
        <f t="shared" si="72"/>
        <v>0.8813852</v>
      </c>
      <c r="DM97" s="112">
        <f>DE97*IF(VLOOKUP($E97,武器奇术!$A:$R,17,FALSE)="破竹",VLOOKUP($E97,武器奇术!$A:$R,4,FALSE),VLOOKUP($E97,武器奇术!$A:$R,2,FALSE))*(1+DF97)*(1+DG97)*DH97*(1+$E$17+VLOOKUP($E97,武器奇术!$A:$R,10,FALSE))</f>
        <v>428.631868665</v>
      </c>
      <c r="DN97" s="110">
        <f t="shared" si="73"/>
        <v>0.0986</v>
      </c>
      <c r="DO97" s="112">
        <f>DD97*IF(VLOOKUP($E97,武器奇术!$A:$R,17,FALSE)="破竹",VLOOKUP($E97,武器奇术!$A:$R,4,FALSE),VLOOKUP($E97,武器奇术!$A:$R,2,FALSE))*(1+DF97)*(1+DG97)*DH97</f>
        <v>317.5050879</v>
      </c>
      <c r="DP97" s="110">
        <f t="shared" si="74"/>
        <v>0.00928814000000003</v>
      </c>
      <c r="DQ97" s="113">
        <f t="shared" si="75"/>
        <v>591.515816759203</v>
      </c>
    </row>
    <row r="98" spans="1:121">
      <c r="A98" s="75"/>
      <c r="B98" s="75"/>
      <c r="C98" s="148"/>
      <c r="D98" s="75"/>
      <c r="E98" s="98" t="str">
        <f>期望!E98</f>
        <v>拳甲Q二段(气竭)</v>
      </c>
      <c r="F98" s="99">
        <f>期望!F98</f>
        <v>1</v>
      </c>
      <c r="G98" s="115"/>
      <c r="H98" s="149">
        <f>IF(VLOOKUP($E98,武器奇术!$A:$R,18,FALSE)="天工",AE98,(AE98+AT98+BI98+BX98+CM98+DB98+DQ98))*(1+J98)*F98*K98*(1+G98)*(1+$G$21*5%)</f>
        <v>90364.3630662302</v>
      </c>
      <c r="I98" s="101">
        <f t="shared" si="39"/>
        <v>0.0111566475712543</v>
      </c>
      <c r="J98" s="101">
        <f>$F$3+VLOOKUP($E98,武器奇术!$A:$R,12,FALSE)+VLOOKUP($E98,武器奇术!$A:$R,14,FALSE)*$G$3+$P98</f>
        <v>0.873</v>
      </c>
      <c r="K98" s="102">
        <f>VLOOKUP($E98,武器奇术!$A:$R,11,FALSE)</f>
        <v>1</v>
      </c>
      <c r="L98" s="117">
        <f>IF(VLOOKUP($E98,武器奇术!$A:$R,15,FALSE)="天工",0%,IF($C$17+VLOOKUP($E98,武器奇术!$A:$R,7,FALSE)&gt;80%,80%,$C$17+VLOOKUP($E98,武器奇术!$A:$R,7,FALSE))+IF($C$19&gt;20%,20%,$C$19))</f>
        <v>0.892</v>
      </c>
      <c r="M98" s="118">
        <f>IF(VLOOKUP($E98,武器奇术!$A:$R,15,FALSE)="天工",0%,IF($C$18+VLOOKUP($E98,武器奇术!$A:$R,9,FALSE)&gt;40%,40%,$C$18+VLOOKUP($E98,武器奇术!$A:$R,9,FALSE))+IF($C$20&gt;10%,10%,$C$20))</f>
        <v>0.0986</v>
      </c>
      <c r="N98" s="119">
        <f>IF(VLOOKUP($E98,武器奇术!$A:$R,15,FALSE)="天工",100%,MIN($C$16,1))</f>
        <v>0.9881</v>
      </c>
      <c r="O98" s="120" t="str">
        <f>VLOOKUP($E98,武器奇术!$A:$R,16,FALSE)</f>
        <v>拳甲</v>
      </c>
      <c r="P98" s="121">
        <f t="shared" si="76"/>
        <v>0.17</v>
      </c>
      <c r="Q98" s="108">
        <f>$B$5*(1+VLOOKUP($E98,武器奇术!$A:$R,5,FALSE)+IF($G$5="飞隼",0.1,0)+IF($G$5="撼天",0.05,0))-$F$9+IF($I$5="√",160,0)</f>
        <v>1731.135</v>
      </c>
      <c r="R98" s="99">
        <f>IF(VLOOKUP($E98,武器奇术!$A:$Z,20,FALSE)=1,(S98-(Q98+S98)*0.5)*($G$15-0.5)*2+(Q98+S98)*0.5,(Q98+S98)*0.5)</f>
        <v>3256.775</v>
      </c>
      <c r="S98" s="109">
        <f>MAX($C$5,$B$5)*(1+VLOOKUP($E98,武器奇术!$A:$R,5,FALSE)+IF($G$5="飞隼",0.1,0)+IF($G$5="撼天",0.05,0))-$F$9+IF($I$5="√",320,0)</f>
        <v>4782.415</v>
      </c>
      <c r="T98" s="101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U98" s="111">
        <f>$E$5+IF(VLOOKUP($E98,武器奇术!$A:$U,21,FALSE)=1,0,0.09)</f>
        <v>0.115</v>
      </c>
      <c r="V98" s="109">
        <v>1</v>
      </c>
      <c r="W98" s="112">
        <f>Q98*VLOOKUP($E98,武器奇术!$A:$R,2,FALSE)*(1+T98)*(1+U98)*V98</f>
        <v>6596.6306895897</v>
      </c>
      <c r="X98" s="110">
        <f>(1-IF(VLOOKUP($E98,武器奇术!$A:$T,20,FALSE)=1,1,$N98))*(1-$M98)</f>
        <v>0.01072666</v>
      </c>
      <c r="Y98" s="112">
        <f>R98*VLOOKUP($E98,武器奇术!$A:$R,2,FALSE)*(1+T98)*(1+U98)*V98*(1+$E$16+VLOOKUP($E98,武器奇术!$A:$R,8,FALSE))</f>
        <v>24075.7995842795</v>
      </c>
      <c r="Z98" s="110">
        <f t="shared" si="40"/>
        <v>0.8813852</v>
      </c>
      <c r="AA98" s="112">
        <f>S98*VLOOKUP($E98,武器奇术!$A:$R,2,FALSE)*(1+T98)*(1+U98)*V98*(1+$E$17+VLOOKUP($E98,武器奇术!$A:$R,10,FALSE))</f>
        <v>24602.1046915048</v>
      </c>
      <c r="AB98" s="110">
        <f t="shared" si="41"/>
        <v>0.0986</v>
      </c>
      <c r="AC98" s="112">
        <f>R98*VLOOKUP($E98,武器奇术!$A:$R,2,FALSE)*(1+T98)*(1+U98)*V98</f>
        <v>12410.2059712781</v>
      </c>
      <c r="AD98" s="110">
        <f t="shared" si="42"/>
        <v>0.00928814000000003</v>
      </c>
      <c r="AE98" s="113">
        <f t="shared" si="43"/>
        <v>23831.8484993753</v>
      </c>
      <c r="AF98" s="114">
        <f>VLOOKUP($E98,武器奇术!$A:$R,3,FALSE)*(1+IF(VLOOKUP($E98,武器奇术!$A:$R,15,FALSE)="武器",$E$15,0))</f>
        <v>994.5</v>
      </c>
      <c r="AG98" s="112">
        <f t="shared" si="44"/>
        <v>994.5</v>
      </c>
      <c r="AH98" s="112">
        <f>VLOOKUP($E98,武器奇术!$A:$R,3,FALSE)*(1+IF(VLOOKUP($E98,武器奇术!$A:$R,15,FALSE)="武器",$E$15,0))</f>
        <v>994.5</v>
      </c>
      <c r="AI98" s="101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0.242</v>
      </c>
      <c r="AJ98" s="111">
        <f>$E$5+IF(VLOOKUP($E98,武器奇术!$A:$U,21,FALSE)=1,0,0.09)</f>
        <v>0.115</v>
      </c>
      <c r="AK98" s="109">
        <v>1</v>
      </c>
      <c r="AL98" s="112">
        <f t="shared" si="45"/>
        <v>1377.213435</v>
      </c>
      <c r="AM98" s="110">
        <f>(1-IF(VLOOKUP($E98,武器奇术!$A:$T,20,FALSE)=1,1,$N98))*(1-$M98)</f>
        <v>0.01072666</v>
      </c>
      <c r="AN98" s="112">
        <f>AG98*(1+AI98)*(1+AJ98)*AK98*(1+$E$16+VLOOKUP($E98,武器奇术!$A:$R,8,FALSE))</f>
        <v>2671.7940639</v>
      </c>
      <c r="AO98" s="110">
        <f t="shared" si="46"/>
        <v>0.8813852</v>
      </c>
      <c r="AP98" s="112">
        <f>AH98*(1+AI98)*(1+AJ98)*AK98*(1+$E$17+VLOOKUP($E98,武器奇术!$A:$R,10,FALSE))</f>
        <v>1859.23813725</v>
      </c>
      <c r="AQ98" s="110">
        <f t="shared" si="47"/>
        <v>0.0986</v>
      </c>
      <c r="AR98" s="112">
        <f t="shared" si="48"/>
        <v>1377.213435</v>
      </c>
      <c r="AS98" s="110">
        <f t="shared" si="49"/>
        <v>0.00928814000000003</v>
      </c>
      <c r="AT98" s="113">
        <f t="shared" si="50"/>
        <v>2565.765277161</v>
      </c>
      <c r="AU98" s="108">
        <f>$B$7*IF($G$5="撼天",1.05,1)+IF(AND(VLOOKUP($E98,武器奇术!$A:$R,15,FALSE)="武器",VLOOKUP($E98,武器奇术!$A:$R,17,FALSE)="鸣金"),$E$3,0)*(1+$E$15)</f>
        <v>0</v>
      </c>
      <c r="AV98" s="99">
        <f>(AU98+AW98)*IF(VLOOKUP($E98,武器奇术!$A:$Z,21,FALSE)=1,$G$15,0.5)</f>
        <v>0</v>
      </c>
      <c r="AW98" s="109">
        <f>MAX($C$7*IF($G$5="撼天",1.05,1)+IF(AND(VLOOKUP($E98,武器奇术!$A:$R,15,FALSE)="武器",VLOOKUP($E98,武器奇术!$A:$R,17,FALSE)="鸣金"),$E$3*(1+$E$15),0),AU98)</f>
        <v>0</v>
      </c>
      <c r="AX98" s="110">
        <f>IF(($D$7+IF(VLOOKUP($E98,武器奇术!$A:$R,17,FALSE)="鸣金",$D$15,0)+IF(VLOOKUP($E98,武器奇术!$A:$R,18,FALSE)=1,4,0)+IF(VLOOKUP($E98,武器奇术!$A:$S,19,FALSE)=1,20,0)-VLOOKUP($F$7,目标属性!$A:$R,6,FALSE))&gt;0,($D$7+IF(VLOOKUP($E98,武器奇术!$A:$R,17,FALSE)="鸣金",$D$15,0)+IF(VLOOKUP($E98,武器奇术!$A:$R,18,FALSE)=1,4,0)+IF(VLOOKUP($E98,武器奇术!$A:$S,19,FALSE)=1,20,0)-VLOOKUP($F$7,目标属性!$A:$R,6,FALSE))/200,($D$7+IF(VLOOKUP($E98,武器奇术!$A:$R,17,FALSE)="鸣金",$D$15,0)+IF(VLOOKUP($E98,武器奇术!$A:$R,18,FALSE)=1,4,0)+IF(VLOOKUP($E98,武器奇术!$A:$S,19,FALSE)=1,20,0)-VLOOKUP($F$7,目标属性!$A:$R,6,FALSE))/100)</f>
        <v>-0.24</v>
      </c>
      <c r="AY98" s="111">
        <f t="shared" si="51"/>
        <v>0</v>
      </c>
      <c r="AZ98" s="109">
        <v>1</v>
      </c>
      <c r="BA98" s="112">
        <f>AU98*IF(VLOOKUP($E98,武器奇术!$A:$R,17,FALSE)="鸣金",VLOOKUP($E98,武器奇术!$A:$R,4,FALSE),VLOOKUP($E98,武器奇术!$A:$R,2,FALSE))*(1+AX98)*(1+AY98)*AZ98</f>
        <v>0</v>
      </c>
      <c r="BB98" s="110">
        <f>(1-IF(VLOOKUP($E98,武器奇术!$A:$T,20,FALSE)=1,1,$N98))*(1-$M98)</f>
        <v>0.01072666</v>
      </c>
      <c r="BC98" s="112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10">
        <f t="shared" si="52"/>
        <v>0.8813852</v>
      </c>
      <c r="BE98" s="112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10">
        <f t="shared" si="53"/>
        <v>0.0986</v>
      </c>
      <c r="BG98" s="112">
        <f>AV98*IF(VLOOKUP($E98,武器奇术!$A:$R,17,FALSE)="鸣金",VLOOKUP($E98,武器奇术!$A:$R,4,FALSE),VLOOKUP($E98,武器奇术!$A:$R,2,FALSE))*(1+AX98)*(1+AY98)*AZ98</f>
        <v>0</v>
      </c>
      <c r="BH98" s="110">
        <f t="shared" si="54"/>
        <v>0.00928814000000003</v>
      </c>
      <c r="BI98" s="113">
        <f t="shared" si="55"/>
        <v>0</v>
      </c>
      <c r="BJ98" s="108">
        <f>$B$9*IF($G$5="撼天",1.05,1)+IF(AND(VLOOKUP($E98,武器奇术!$A:$R,15,FALSE)="武器",VLOOKUP($E98,武器奇术!$A:$R,17,FALSE)="裂石"),$E$3,0)*(1+$E$15)</f>
        <v>0</v>
      </c>
      <c r="BK98" s="99">
        <f>(BJ98+BL98)*IF(VLOOKUP($E98,武器奇术!$A:$Z,21,FALSE)=1,$G$15,0.5)</f>
        <v>0</v>
      </c>
      <c r="BL98" s="109">
        <f>MAX($C$9*IF($G$5="撼天",1.05,1)+IF(AND(VLOOKUP($E98,武器奇术!$A:$R,15,FALSE)="武器",VLOOKUP($E98,武器奇术!$A:$R,17,FALSE)="裂石"),$E$3*(1+$E$15),0),BJ98)</f>
        <v>0</v>
      </c>
      <c r="BM98" s="110">
        <f>IF(($D$9+IF(VLOOKUP($E98,武器奇术!$A:$R,17,FALSE)="裂石",$D$15,0)+IF(VLOOKUP($E98,武器奇术!$A:$R,18,FALSE)=1,4,0)+IF(VLOOKUP($E98,武器奇术!$A:$S,19,FALSE)=1,20,0)-VLOOKUP($F$7,目标属性!$A:$R,6,FALSE))&gt;0,($D$9+IF(VLOOKUP($E98,武器奇术!$A:$R,17,FALSE)="裂石",$D$15,0)+IF(VLOOKUP($E98,武器奇术!$A:$R,18,FALSE)=1,4,0)+IF(VLOOKUP($E98,武器奇术!$A:$S,19,FALSE)=1,20,0)-VLOOKUP($F$7,目标属性!$A:$R,6,FALSE))/200,($D$9+IF(VLOOKUP($E98,武器奇术!$A:$R,17,FALSE)="裂石",$D$15,0)+IF(VLOOKUP($E98,武器奇术!$A:$R,18,FALSE)=1,4,0)+IF(VLOOKUP($E98,武器奇术!$A:$S,19,FALSE)=1,20,0)-VLOOKUP($F$7,目标属性!$A:$R,6,FALSE))/100)</f>
        <v>-0.24</v>
      </c>
      <c r="BN98" s="111">
        <f t="shared" si="56"/>
        <v>0</v>
      </c>
      <c r="BO98" s="109">
        <v>1</v>
      </c>
      <c r="BP98" s="112">
        <f>BJ98*IF(VLOOKUP($E98,武器奇术!$A:$R,17,FALSE)="裂石",VLOOKUP($E98,武器奇术!$A:$R,4,FALSE),VLOOKUP($E98,武器奇术!$A:$R,2,FALSE))*(1+BM98)*(1+BN98)*BO98</f>
        <v>0</v>
      </c>
      <c r="BQ98" s="110">
        <f>(1-IF(VLOOKUP($E98,武器奇术!$A:$T,20,FALSE)=1,1,$N98))*(1-$M98)</f>
        <v>0.01072666</v>
      </c>
      <c r="BR98" s="112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10">
        <f t="shared" si="57"/>
        <v>0.8813852</v>
      </c>
      <c r="BT98" s="112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10">
        <f t="shared" si="58"/>
        <v>0.0986</v>
      </c>
      <c r="BV98" s="112">
        <f>BK98*IF(VLOOKUP($E98,武器奇术!$A:$R,17,FALSE)="裂石",VLOOKUP($E98,武器奇术!$A:$R,4,FALSE),VLOOKUP($E98,武器奇术!$A:$R,2,FALSE))*(1+BM98)*(1+BN98)*BO98</f>
        <v>0</v>
      </c>
      <c r="BW98" s="110">
        <f t="shared" si="59"/>
        <v>0.00928814000000003</v>
      </c>
      <c r="BX98" s="113">
        <f t="shared" si="60"/>
        <v>0</v>
      </c>
      <c r="BY98" s="108">
        <f>$B$11*IF($G$5="撼天",1.05,1)+IF(AND(VLOOKUP($E98,武器奇术!$A:$R,15,FALSE)="武器",VLOOKUP($E98,武器奇术!$A:$R,17,FALSE)="牵丝"),$E$3,0)*(1+$E$15)</f>
        <v>0</v>
      </c>
      <c r="BZ98" s="99">
        <f>(BY98+CA98)*IF(VLOOKUP($E98,武器奇术!$A:$Z,21,FALSE)=1,$G$15,0.5)</f>
        <v>0</v>
      </c>
      <c r="CA98" s="109">
        <f>MAX($C$11*IF($G$5="撼天",1.05,1)+IF(AND(VLOOKUP($E98,武器奇术!$A:$R,15,FALSE)="武器",VLOOKUP($E98,武器奇术!$A:$R,17,FALSE)="牵丝"),$E$3*(1+$E$15),0),BY98)</f>
        <v>0</v>
      </c>
      <c r="CB98" s="110">
        <f>IF(($D$11+IF(VLOOKUP($E98,武器奇术!$A:$R,17,FALSE)="牵丝",$D$15,0)+IF(VLOOKUP($E98,武器奇术!$A:$R,18,FALSE)=1,4,0)+IF(VLOOKUP($E98,武器奇术!$A:$S,19,FALSE)=1,20,0)-VLOOKUP($F$7,目标属性!$A:$R,6,FALSE))&gt;0,($D$11+IF(VLOOKUP($E98,武器奇术!$A:$R,17,FALSE)="牵丝",$D$15,0)+IF(VLOOKUP($E98,武器奇术!$A:$R,18,FALSE)=1,4,0)+IF(VLOOKUP($E98,武器奇术!$A:$S,19,FALSE)=1,20,0)-VLOOKUP($F$7,目标属性!$A:$R,6,FALSE))/200,($D$11+IF(VLOOKUP($E98,武器奇术!$A:$R,17,FALSE)="牵丝",$D$15,0)+IF(VLOOKUP($E98,武器奇术!$A:$R,18,FALSE)=1,4,0)+IF(VLOOKUP($E98,武器奇术!$A:$S,19,FALSE)=1,20,0)-VLOOKUP($F$7,目标属性!$A:$R,6,FALSE))/100)</f>
        <v>-0.24</v>
      </c>
      <c r="CC98" s="111">
        <f t="shared" si="61"/>
        <v>0</v>
      </c>
      <c r="CD98" s="109">
        <v>1</v>
      </c>
      <c r="CE98" s="112">
        <f>BY98*IF(VLOOKUP($E98,武器奇术!$A:$R,17,FALSE)="牵丝",VLOOKUP($E98,武器奇术!$A:$R,4,FALSE),VLOOKUP($E98,武器奇术!$A:$R,2,FALSE))*(1+CB98)*(1+CC98)*CD98</f>
        <v>0</v>
      </c>
      <c r="CF98" s="110">
        <f>(1-IF(VLOOKUP($E98,武器奇术!$A:$T,20,FALSE)=1,1,$N98))*(1-$M98)</f>
        <v>0.01072666</v>
      </c>
      <c r="CG98" s="112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110">
        <f t="shared" si="62"/>
        <v>0.8813852</v>
      </c>
      <c r="CI98" s="112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110">
        <f t="shared" si="63"/>
        <v>0.0986</v>
      </c>
      <c r="CK98" s="112">
        <f>BZ98*IF(VLOOKUP($E98,武器奇术!$A:$R,17,FALSE)="牵丝",VLOOKUP($E98,武器奇术!$A:$R,4,FALSE),VLOOKUP($E98,武器奇术!$A:$R,2,FALSE))*(1+CB98)*(1+CC98)*CD98</f>
        <v>0</v>
      </c>
      <c r="CL98" s="110">
        <f t="shared" si="64"/>
        <v>0.00928814000000003</v>
      </c>
      <c r="CM98" s="113">
        <f t="shared" si="65"/>
        <v>0</v>
      </c>
      <c r="CN98" s="108">
        <f>$B$13*IF($G$5="撼天",1.05,1)+IF(AND(VLOOKUP($E98,武器奇术!$A:$R,15,FALSE)="武器",VLOOKUP($E98,武器奇术!$A:$R,17,FALSE)="破竹"),$E$3,0)*(1+$E$15)</f>
        <v>648.46</v>
      </c>
      <c r="CO98" s="99">
        <f>(CN98+CP98)*IF(VLOOKUP($E98,武器奇术!$A:$Z,21,FALSE)=1,$G$15,0.5)</f>
        <v>875.26</v>
      </c>
      <c r="CP98" s="109">
        <f>MAX($C$13*IF($G$5="撼天",1.05,1)+IF(AND(VLOOKUP($E98,武器奇术!$A:$R,15,FALSE)="武器",VLOOKUP($E98,武器奇术!$A:$R,17,FALSE)="破竹"),$E$3*(1+$E$15),0),CN98)</f>
        <v>1102.06</v>
      </c>
      <c r="CQ98" s="110">
        <f>IF(($D$13+IF(VLOOKUP($E98,武器奇术!$A:$R,17,FALSE)="破竹",$D$15,0)+IF(VLOOKUP($E98,武器奇术!$A:$R,18,FALSE)=1,4,0)+IF(VLOOKUP($E98,武器奇术!$A:$S,19,FALSE)=1,20,0)-VLOOKUP($F$7,目标属性!$A:$R,6,FALSE))&gt;0,($D$13+IF(VLOOKUP($E98,武器奇术!$A:$R,17,FALSE)="破竹",$D$15,0)+IF(VLOOKUP($E98,武器奇术!$A:$R,18,FALSE)=1,4,0)+IF(VLOOKUP($E98,武器奇术!$A:$S,19,FALSE)=1,20,0)-VLOOKUP($F$7,目标属性!$A:$R,6,FALSE))/200,($D$13+IF(VLOOKUP($E98,武器奇术!$A:$R,17,FALSE)="破竹",$D$15,0)+IF(VLOOKUP($E98,武器奇术!$A:$R,18,FALSE)=1,4,0)+IF(VLOOKUP($E98,武器奇术!$A:$S,19,FALSE)=1,20,0)-VLOOKUP($F$7,目标属性!$A:$R,6,FALSE))/100)</f>
        <v>0.025</v>
      </c>
      <c r="CR98" s="111">
        <f>$E$13+IF(VLOOKUP($E98,武器奇术!$A:$U,21,FALSE)=1,0,0.09)</f>
        <v>0.235</v>
      </c>
      <c r="CS98" s="109">
        <v>1</v>
      </c>
      <c r="CT98" s="112">
        <f>CN98*IF(VLOOKUP($E98,武器奇术!$A:$R,17,FALSE)="破竹",VLOOKUP($E98,武器奇术!$A:$R,4,FALSE),VLOOKUP($E98,武器奇术!$A:$R,2,FALSE))*(1+CQ98)*(1+CR98)*CS98</f>
        <v>3388.3514720874</v>
      </c>
      <c r="CU98" s="110">
        <f>(1-IF(VLOOKUP($E98,武器奇术!$A:$T,20,FALSE)=1,1,$N98))*(1-$M98)</f>
        <v>0.01072666</v>
      </c>
      <c r="CV98" s="112">
        <f>CO98*IF(VLOOKUP($E98,武器奇术!$A:$R,17,FALSE)="破竹",VLOOKUP($E98,武器奇术!$A:$R,4,FALSE),VLOOKUP($E98,武器奇术!$A:$R,2,FALSE))*(1+CQ98)*(1+CR98)*CS98*(1+$E$16+VLOOKUP($E98,武器奇术!$A:$R,8,FALSE))</f>
        <v>8872.46045762404</v>
      </c>
      <c r="CW98" s="110">
        <f t="shared" si="66"/>
        <v>0.8813852</v>
      </c>
      <c r="CX98" s="112">
        <f>CP98*IF(VLOOKUP($E98,武器奇术!$A:$R,17,FALSE)="破竹",VLOOKUP($E98,武器奇术!$A:$R,4,FALSE),VLOOKUP($E98,武器奇术!$A:$R,2,FALSE))*(1+CQ98)*(1+CR98)*CS98*(1+$E$17+VLOOKUP($E98,武器奇术!$A:$R,10,FALSE))</f>
        <v>7773.99522174639</v>
      </c>
      <c r="CY98" s="110">
        <f t="shared" si="67"/>
        <v>0.0986</v>
      </c>
      <c r="CZ98" s="112">
        <f>CO98*IF(VLOOKUP($E98,武器奇术!$A:$R,17,FALSE)="破竹",VLOOKUP($E98,武器奇术!$A:$R,4,FALSE),VLOOKUP($E98,武器奇术!$A:$R,2,FALSE))*(1+CQ98)*(1+CR98)*CS98</f>
        <v>4573.4332255794</v>
      </c>
      <c r="DA98" s="110">
        <f t="shared" si="68"/>
        <v>0.00928814000000003</v>
      </c>
      <c r="DB98" s="113">
        <f t="shared" si="69"/>
        <v>8665.39564608066</v>
      </c>
      <c r="DC98" s="108">
        <f t="shared" si="70"/>
        <v>69.3</v>
      </c>
      <c r="DD98" s="99">
        <f>(DC98+DE98)*IF(VLOOKUP($E98,武器奇术!$A:$Z,21,FALSE)=1,$G$15,0.5)</f>
        <v>69.3</v>
      </c>
      <c r="DE98" s="109">
        <f t="shared" si="71"/>
        <v>69.3</v>
      </c>
      <c r="DF98" s="110">
        <f>IF(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R,18,FALSE)=1,4,0)+IF(VLOOKUP($E98,武器奇术!$A:$S,19,FALSE)=1,20,0)-VLOOKUP($F$7,目标属性!$A:$R,6,FALSE))/100)</f>
        <v>0.025</v>
      </c>
      <c r="DG98" s="111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U,21,FALSE)=1,0,0.09)</f>
        <v>0.235</v>
      </c>
      <c r="DH98" s="109">
        <v>1</v>
      </c>
      <c r="DI98" s="112">
        <f>DC98*IF(VLOOKUP($E98,武器奇术!$A:$R,17,FALSE)="破竹",VLOOKUP($E98,武器奇术!$A:$R,4,FALSE),VLOOKUP($E98,武器奇术!$A:$R,2,FALSE))*(1+DF98)*(1+DG98)*DH98</f>
        <v>362.108313567</v>
      </c>
      <c r="DJ98" s="110">
        <f>(1-IF(VLOOKUP($E98,武器奇术!$A:$T,20,FALSE)=1,1,$N98))*(1-$M98)</f>
        <v>0.01072666</v>
      </c>
      <c r="DK98" s="112">
        <f>DD98*IF(VLOOKUP($E98,武器奇术!$A:$R,17,FALSE)="破竹",VLOOKUP($E98,武器奇术!$A:$R,4,FALSE),VLOOKUP($E98,武器奇术!$A:$R,2,FALSE))*(1+DF98)*(1+DG98)*DH98*(1+$E$16+VLOOKUP($E98,武器奇术!$A:$R,8,FALSE))</f>
        <v>702.49012831998</v>
      </c>
      <c r="DL98" s="110">
        <f t="shared" si="72"/>
        <v>0.8813852</v>
      </c>
      <c r="DM98" s="112">
        <f>DE98*IF(VLOOKUP($E98,武器奇术!$A:$R,17,FALSE)="破竹",VLOOKUP($E98,武器奇术!$A:$R,4,FALSE),VLOOKUP($E98,武器奇术!$A:$R,2,FALSE))*(1+DF98)*(1+DG98)*DH98*(1+$E$17+VLOOKUP($E98,武器奇术!$A:$R,10,FALSE))</f>
        <v>488.84622331545</v>
      </c>
      <c r="DN98" s="110">
        <f t="shared" si="73"/>
        <v>0.0986</v>
      </c>
      <c r="DO98" s="112">
        <f>DD98*IF(VLOOKUP($E98,武器奇术!$A:$R,17,FALSE)="破竹",VLOOKUP($E98,武器奇术!$A:$R,4,FALSE),VLOOKUP($E98,武器奇术!$A:$R,2,FALSE))*(1+DF98)*(1+DG98)*DH98</f>
        <v>362.108313567</v>
      </c>
      <c r="DP98" s="110">
        <f t="shared" si="74"/>
        <v>0.00928814000000003</v>
      </c>
      <c r="DQ98" s="113">
        <f t="shared" si="75"/>
        <v>674.612165340615</v>
      </c>
    </row>
    <row r="99" spans="1:121">
      <c r="A99" s="75"/>
      <c r="B99" s="75"/>
      <c r="C99" s="148"/>
      <c r="D99" s="75"/>
      <c r="E99" s="98" t="str">
        <f>期望!E99</f>
        <v>绳标Q</v>
      </c>
      <c r="F99" s="99">
        <f>期望!F99</f>
        <v>1</v>
      </c>
      <c r="G99" s="115"/>
      <c r="H99" s="149">
        <f>IF(VLOOKUP($E99,武器奇术!$A:$R,18,FALSE)="天工",AE99,(AE99+AT99+BI99+BX99+CM99+DB99+DQ99))*(1+J99)*F99*K99*(1+G99)*(1+$G$21*5%)</f>
        <v>34726.2868130471</v>
      </c>
      <c r="I99" s="101">
        <f t="shared" si="39"/>
        <v>0.00428740855670622</v>
      </c>
      <c r="J99" s="101">
        <f>$F$3+VLOOKUP($E99,武器奇术!$A:$R,12,FALSE)+VLOOKUP($E99,武器奇术!$A:$R,14,FALSE)*$G$3+$P99</f>
        <v>0.387</v>
      </c>
      <c r="K99" s="102">
        <f>VLOOKUP($E99,武器奇术!$A:$R,11,FALSE)</f>
        <v>1</v>
      </c>
      <c r="L99" s="117">
        <f>IF(VLOOKUP($E99,武器奇术!$A:$R,15,FALSE)="天工",0%,IF($C$17+VLOOKUP($E99,武器奇术!$A:$R,7,FALSE)&gt;80%,80%,$C$17+VLOOKUP($E99,武器奇术!$A:$R,7,FALSE))+IF($C$19&gt;20%,20%,$C$19))</f>
        <v>0.892</v>
      </c>
      <c r="M99" s="118">
        <f>IF(VLOOKUP($E99,武器奇术!$A:$R,15,FALSE)="天工",0%,IF($C$18+VLOOKUP($E99,武器奇术!$A:$R,9,FALSE)&gt;40%,40%,$C$18+VLOOKUP($E99,武器奇术!$A:$R,9,FALSE))+IF($C$20&gt;10%,10%,$C$20))</f>
        <v>0.0986</v>
      </c>
      <c r="N99" s="119">
        <f>IF(VLOOKUP($E99,武器奇术!$A:$R,15,FALSE)="天工",100%,MIN($C$16,1))</f>
        <v>0.9881</v>
      </c>
      <c r="O99" s="120" t="str">
        <f>VLOOKUP($E99,武器奇术!$A:$R,16,FALSE)</f>
        <v>绳标</v>
      </c>
      <c r="P99" s="121">
        <f t="shared" si="76"/>
        <v>0.084</v>
      </c>
      <c r="Q99" s="108">
        <f>$B$5*(1+VLOOKUP($E99,武器奇术!$A:$R,5,FALSE)+IF($G$5="飞隼",0.1,0)+IF($G$5="撼天",0.05,0))-$F$9+IF($I$5="√",160,0)</f>
        <v>1731.135</v>
      </c>
      <c r="R99" s="99">
        <f>IF(VLOOKUP($E99,武器奇术!$A:$Z,20,FALSE)=1,(S99-(Q99+S99)*0.5)*($G$15-0.5)*2+(Q99+S99)*0.5,(Q99+S99)*0.5)</f>
        <v>3256.775</v>
      </c>
      <c r="S99" s="109">
        <f>MAX($C$5,$B$5)*(1+VLOOKUP($E99,武器奇术!$A:$R,5,FALSE)+IF($G$5="飞隼",0.1,0)+IF($G$5="撼天",0.05,0))-$F$9+IF($I$5="√",320,0)</f>
        <v>4782.415</v>
      </c>
      <c r="T99" s="101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U99" s="111">
        <f>$E$5+IF(VLOOKUP($E99,武器奇术!$A:$U,21,FALSE)=1,0,0.09)</f>
        <v>0.115</v>
      </c>
      <c r="V99" s="109">
        <v>1</v>
      </c>
      <c r="W99" s="112">
        <f>Q99*VLOOKUP($E99,武器奇术!$A:$R,2,FALSE)*(1+T99)*(1+U99)*V99</f>
        <v>3975.72822791172</v>
      </c>
      <c r="X99" s="110">
        <f>(1-IF(VLOOKUP($E99,武器奇术!$A:$T,20,FALSE)=1,1,$N99))*(1-$M99)</f>
        <v>0.01072666</v>
      </c>
      <c r="Y99" s="112">
        <f>R99*VLOOKUP($E99,武器奇术!$A:$R,2,FALSE)*(1+T99)*(1+U99)*V99*(1+$E$16+VLOOKUP($E99,武器奇术!$A:$R,8,FALSE))</f>
        <v>12266.406589382</v>
      </c>
      <c r="Z99" s="110">
        <f t="shared" si="40"/>
        <v>0.8813852</v>
      </c>
      <c r="AA99" s="112">
        <f>S99*VLOOKUP($E99,武器奇术!$A:$R,2,FALSE)*(1+T99)*(1+U99)*V99*(1+$E$17+VLOOKUP($E99,武器奇术!$A:$R,10,FALSE))</f>
        <v>14827.4606675212</v>
      </c>
      <c r="AB99" s="110">
        <f t="shared" si="41"/>
        <v>0.0986</v>
      </c>
      <c r="AC99" s="112">
        <f>R99*VLOOKUP($E99,武器奇术!$A:$R,2,FALSE)*(1+T99)*(1+U99)*V99</f>
        <v>7479.5162130378</v>
      </c>
      <c r="AD99" s="110">
        <f t="shared" si="42"/>
        <v>0.00928814000000003</v>
      </c>
      <c r="AE99" s="113">
        <f t="shared" si="43"/>
        <v>12385.5339255535</v>
      </c>
      <c r="AF99" s="114">
        <f>VLOOKUP($E99,武器奇术!$A:$R,3,FALSE)*(1+IF(VLOOKUP($E99,武器奇术!$A:$R,15,FALSE)="武器",$E$15,0))</f>
        <v>595.4</v>
      </c>
      <c r="AG99" s="112">
        <f t="shared" si="44"/>
        <v>595.4</v>
      </c>
      <c r="AH99" s="112">
        <f>VLOOKUP($E99,武器奇术!$A:$R,3,FALSE)*(1+IF(VLOOKUP($E99,武器奇术!$A:$R,15,FALSE)="武器",$E$15,0))</f>
        <v>595.4</v>
      </c>
      <c r="AI99" s="101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0.242</v>
      </c>
      <c r="AJ99" s="111">
        <f>$E$5+IF(VLOOKUP($E99,武器奇术!$A:$U,21,FALSE)=1,0,0.09)</f>
        <v>0.115</v>
      </c>
      <c r="AK99" s="109">
        <v>1</v>
      </c>
      <c r="AL99" s="112">
        <f t="shared" si="45"/>
        <v>824.527782</v>
      </c>
      <c r="AM99" s="110">
        <f>(1-IF(VLOOKUP($E99,武器奇术!$A:$T,20,FALSE)=1,1,$N99))*(1-$M99)</f>
        <v>0.01072666</v>
      </c>
      <c r="AN99" s="112">
        <f>AG99*(1+AI99)*(1+AJ99)*AK99*(1+$E$16+VLOOKUP($E99,武器奇术!$A:$R,8,FALSE))</f>
        <v>1352.22556248</v>
      </c>
      <c r="AO99" s="110">
        <f t="shared" si="46"/>
        <v>0.8813852</v>
      </c>
      <c r="AP99" s="112">
        <f>AH99*(1+AI99)*(1+AJ99)*AK99*(1+$E$17+VLOOKUP($E99,武器奇术!$A:$R,10,FALSE))</f>
        <v>1113.1125057</v>
      </c>
      <c r="AQ99" s="110">
        <f t="shared" si="47"/>
        <v>0.0986</v>
      </c>
      <c r="AR99" s="112">
        <f t="shared" si="48"/>
        <v>824.527782</v>
      </c>
      <c r="AS99" s="110">
        <f t="shared" si="49"/>
        <v>0.00928814000000003</v>
      </c>
      <c r="AT99" s="113">
        <f t="shared" si="50"/>
        <v>1318.08724954474</v>
      </c>
      <c r="AU99" s="108">
        <f>$B$7*IF($G$5="撼天",1.05,1)+IF(AND(VLOOKUP($E99,武器奇术!$A:$R,15,FALSE)="武器",VLOOKUP($E99,武器奇术!$A:$R,17,FALSE)="鸣金"),$E$3,0)*(1+$E$15)</f>
        <v>0</v>
      </c>
      <c r="AV99" s="99">
        <f>(AU99+AW99)*IF(VLOOKUP($E99,武器奇术!$A:$Z,21,FALSE)=1,$G$15,0.5)</f>
        <v>0</v>
      </c>
      <c r="AW99" s="109">
        <f>MAX($C$7*IF($G$5="撼天",1.05,1)+IF(AND(VLOOKUP($E99,武器奇术!$A:$R,15,FALSE)="武器",VLOOKUP($E99,武器奇术!$A:$R,17,FALSE)="鸣金"),$E$3*(1+$E$15),0),AU99)</f>
        <v>0</v>
      </c>
      <c r="AX99" s="110">
        <f>IF(($D$7+IF(VLOOKUP($E99,武器奇术!$A:$R,17,FALSE)="鸣金",$D$15,0)+IF(VLOOKUP($E99,武器奇术!$A:$R,18,FALSE)=1,4,0)+IF(VLOOKUP($E99,武器奇术!$A:$S,19,FALSE)=1,20,0)-VLOOKUP($F$7,目标属性!$A:$R,6,FALSE))&gt;0,($D$7+IF(VLOOKUP($E99,武器奇术!$A:$R,17,FALSE)="鸣金",$D$15,0)+IF(VLOOKUP($E99,武器奇术!$A:$R,18,FALSE)=1,4,0)+IF(VLOOKUP($E99,武器奇术!$A:$S,19,FALSE)=1,20,0)-VLOOKUP($F$7,目标属性!$A:$R,6,FALSE))/200,($D$7+IF(VLOOKUP($E99,武器奇术!$A:$R,17,FALSE)="鸣金",$D$15,0)+IF(VLOOKUP($E99,武器奇术!$A:$R,18,FALSE)=1,4,0)+IF(VLOOKUP($E99,武器奇术!$A:$S,19,FALSE)=1,20,0)-VLOOKUP($F$7,目标属性!$A:$R,6,FALSE))/100)</f>
        <v>-0.24</v>
      </c>
      <c r="AY99" s="111">
        <f t="shared" si="51"/>
        <v>0</v>
      </c>
      <c r="AZ99" s="109">
        <v>1</v>
      </c>
      <c r="BA99" s="112">
        <f>AU99*IF(VLOOKUP($E99,武器奇术!$A:$R,17,FALSE)="鸣金",VLOOKUP($E99,武器奇术!$A:$R,4,FALSE),VLOOKUP($E99,武器奇术!$A:$R,2,FALSE))*(1+AX99)*(1+AY99)*AZ99</f>
        <v>0</v>
      </c>
      <c r="BB99" s="110">
        <f>(1-IF(VLOOKUP($E99,武器奇术!$A:$T,20,FALSE)=1,1,$N99))*(1-$M99)</f>
        <v>0.01072666</v>
      </c>
      <c r="BC99" s="112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10">
        <f t="shared" si="52"/>
        <v>0.8813852</v>
      </c>
      <c r="BE99" s="112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10">
        <f t="shared" si="53"/>
        <v>0.0986</v>
      </c>
      <c r="BG99" s="112">
        <f>AV99*IF(VLOOKUP($E99,武器奇术!$A:$R,17,FALSE)="鸣金",VLOOKUP($E99,武器奇术!$A:$R,4,FALSE),VLOOKUP($E99,武器奇术!$A:$R,2,FALSE))*(1+AX99)*(1+AY99)*AZ99</f>
        <v>0</v>
      </c>
      <c r="BH99" s="110">
        <f t="shared" si="54"/>
        <v>0.00928814000000003</v>
      </c>
      <c r="BI99" s="113">
        <f t="shared" si="55"/>
        <v>0</v>
      </c>
      <c r="BJ99" s="108">
        <f>$B$9*IF($G$5="撼天",1.05,1)+IF(AND(VLOOKUP($E99,武器奇术!$A:$R,15,FALSE)="武器",VLOOKUP($E99,武器奇术!$A:$R,17,FALSE)="裂石"),$E$3,0)*(1+$E$15)</f>
        <v>0</v>
      </c>
      <c r="BK99" s="99">
        <f>(BJ99+BL99)*IF(VLOOKUP($E99,武器奇术!$A:$Z,21,FALSE)=1,$G$15,0.5)</f>
        <v>0</v>
      </c>
      <c r="BL99" s="109">
        <f>MAX($C$9*IF($G$5="撼天",1.05,1)+IF(AND(VLOOKUP($E99,武器奇术!$A:$R,15,FALSE)="武器",VLOOKUP($E99,武器奇术!$A:$R,17,FALSE)="裂石"),$E$3*(1+$E$15),0),BJ99)</f>
        <v>0</v>
      </c>
      <c r="BM99" s="110">
        <f>IF(($D$9+IF(VLOOKUP($E99,武器奇术!$A:$R,17,FALSE)="裂石",$D$15,0)+IF(VLOOKUP($E99,武器奇术!$A:$R,18,FALSE)=1,4,0)+IF(VLOOKUP($E99,武器奇术!$A:$S,19,FALSE)=1,20,0)-VLOOKUP($F$7,目标属性!$A:$R,6,FALSE))&gt;0,($D$9+IF(VLOOKUP($E99,武器奇术!$A:$R,17,FALSE)="裂石",$D$15,0)+IF(VLOOKUP($E99,武器奇术!$A:$R,18,FALSE)=1,4,0)+IF(VLOOKUP($E99,武器奇术!$A:$S,19,FALSE)=1,20,0)-VLOOKUP($F$7,目标属性!$A:$R,6,FALSE))/200,($D$9+IF(VLOOKUP($E99,武器奇术!$A:$R,17,FALSE)="裂石",$D$15,0)+IF(VLOOKUP($E99,武器奇术!$A:$R,18,FALSE)=1,4,0)+IF(VLOOKUP($E99,武器奇术!$A:$S,19,FALSE)=1,20,0)-VLOOKUP($F$7,目标属性!$A:$R,6,FALSE))/100)</f>
        <v>-0.24</v>
      </c>
      <c r="BN99" s="111">
        <f t="shared" si="56"/>
        <v>0</v>
      </c>
      <c r="BO99" s="109">
        <v>1</v>
      </c>
      <c r="BP99" s="112">
        <f>BJ99*IF(VLOOKUP($E99,武器奇术!$A:$R,17,FALSE)="裂石",VLOOKUP($E99,武器奇术!$A:$R,4,FALSE),VLOOKUP($E99,武器奇术!$A:$R,2,FALSE))*(1+BM99)*(1+BN99)*BO99</f>
        <v>0</v>
      </c>
      <c r="BQ99" s="110">
        <f>(1-IF(VLOOKUP($E99,武器奇术!$A:$T,20,FALSE)=1,1,$N99))*(1-$M99)</f>
        <v>0.01072666</v>
      </c>
      <c r="BR99" s="112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10">
        <f t="shared" si="57"/>
        <v>0.8813852</v>
      </c>
      <c r="BT99" s="112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10">
        <f t="shared" si="58"/>
        <v>0.0986</v>
      </c>
      <c r="BV99" s="112">
        <f>BK99*IF(VLOOKUP($E99,武器奇术!$A:$R,17,FALSE)="裂石",VLOOKUP($E99,武器奇术!$A:$R,4,FALSE),VLOOKUP($E99,武器奇术!$A:$R,2,FALSE))*(1+BM99)*(1+BN99)*BO99</f>
        <v>0</v>
      </c>
      <c r="BW99" s="110">
        <f t="shared" si="59"/>
        <v>0.00928814000000003</v>
      </c>
      <c r="BX99" s="113">
        <f t="shared" si="60"/>
        <v>0</v>
      </c>
      <c r="BY99" s="108">
        <f>$B$11*IF($G$5="撼天",1.05,1)+IF(AND(VLOOKUP($E99,武器奇术!$A:$R,15,FALSE)="武器",VLOOKUP($E99,武器奇术!$A:$R,17,FALSE)="牵丝"),$E$3,0)*(1+$E$15)</f>
        <v>0</v>
      </c>
      <c r="BZ99" s="99">
        <f>(BY99+CA99)*IF(VLOOKUP($E99,武器奇术!$A:$Z,21,FALSE)=1,$G$15,0.5)</f>
        <v>0</v>
      </c>
      <c r="CA99" s="109">
        <f>MAX($C$11*IF($G$5="撼天",1.05,1)+IF(AND(VLOOKUP($E99,武器奇术!$A:$R,15,FALSE)="武器",VLOOKUP($E99,武器奇术!$A:$R,17,FALSE)="牵丝"),$E$3*(1+$E$15),0),BY99)</f>
        <v>0</v>
      </c>
      <c r="CB99" s="110">
        <f>IF(($D$11+IF(VLOOKUP($E99,武器奇术!$A:$R,17,FALSE)="牵丝",$D$15,0)+IF(VLOOKUP($E99,武器奇术!$A:$R,18,FALSE)=1,4,0)+IF(VLOOKUP($E99,武器奇术!$A:$S,19,FALSE)=1,20,0)-VLOOKUP($F$7,目标属性!$A:$R,6,FALSE))&gt;0,($D$11+IF(VLOOKUP($E99,武器奇术!$A:$R,17,FALSE)="牵丝",$D$15,0)+IF(VLOOKUP($E99,武器奇术!$A:$R,18,FALSE)=1,4,0)+IF(VLOOKUP($E99,武器奇术!$A:$S,19,FALSE)=1,20,0)-VLOOKUP($F$7,目标属性!$A:$R,6,FALSE))/200,($D$11+IF(VLOOKUP($E99,武器奇术!$A:$R,17,FALSE)="牵丝",$D$15,0)+IF(VLOOKUP($E99,武器奇术!$A:$R,18,FALSE)=1,4,0)+IF(VLOOKUP($E99,武器奇术!$A:$S,19,FALSE)=1,20,0)-VLOOKUP($F$7,目标属性!$A:$R,6,FALSE))/100)</f>
        <v>-0.24</v>
      </c>
      <c r="CC99" s="111">
        <f t="shared" si="61"/>
        <v>0</v>
      </c>
      <c r="CD99" s="109">
        <v>1</v>
      </c>
      <c r="CE99" s="112">
        <f>BY99*IF(VLOOKUP($E99,武器奇术!$A:$R,17,FALSE)="牵丝",VLOOKUP($E99,武器奇术!$A:$R,4,FALSE),VLOOKUP($E99,武器奇术!$A:$R,2,FALSE))*(1+CB99)*(1+CC99)*CD99</f>
        <v>0</v>
      </c>
      <c r="CF99" s="110">
        <f>(1-IF(VLOOKUP($E99,武器奇术!$A:$T,20,FALSE)=1,1,$N99))*(1-$M99)</f>
        <v>0.01072666</v>
      </c>
      <c r="CG99" s="112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110">
        <f t="shared" si="62"/>
        <v>0.8813852</v>
      </c>
      <c r="CI99" s="112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110">
        <f t="shared" si="63"/>
        <v>0.0986</v>
      </c>
      <c r="CK99" s="112">
        <f>BZ99*IF(VLOOKUP($E99,武器奇术!$A:$R,17,FALSE)="牵丝",VLOOKUP($E99,武器奇术!$A:$R,4,FALSE),VLOOKUP($E99,武器奇术!$A:$R,2,FALSE))*(1+CB99)*(1+CC99)*CD99</f>
        <v>0</v>
      </c>
      <c r="CL99" s="110">
        <f t="shared" si="64"/>
        <v>0.00928814000000003</v>
      </c>
      <c r="CM99" s="113">
        <f t="shared" si="65"/>
        <v>0</v>
      </c>
      <c r="CN99" s="108">
        <f>$B$13*IF($G$5="撼天",1.05,1)+IF(AND(VLOOKUP($E99,武器奇术!$A:$R,15,FALSE)="武器",VLOOKUP($E99,武器奇术!$A:$R,17,FALSE)="破竹"),$E$3,0)*(1+$E$15)</f>
        <v>648.46</v>
      </c>
      <c r="CO99" s="99">
        <f>(CN99+CP99)*IF(VLOOKUP($E99,武器奇术!$A:$Z,21,FALSE)=1,$G$15,0.5)</f>
        <v>875.26</v>
      </c>
      <c r="CP99" s="109">
        <f>MAX($C$13*IF($G$5="撼天",1.05,1)+IF(AND(VLOOKUP($E99,武器奇术!$A:$R,15,FALSE)="武器",VLOOKUP($E99,武器奇术!$A:$R,17,FALSE)="破竹"),$E$3*(1+$E$15),0),CN99)</f>
        <v>1102.06</v>
      </c>
      <c r="CQ99" s="110">
        <f>IF(($D$13+IF(VLOOKUP($E99,武器奇术!$A:$R,17,FALSE)="破竹",$D$15,0)+IF(VLOOKUP($E99,武器奇术!$A:$R,18,FALSE)=1,4,0)+IF(VLOOKUP($E99,武器奇术!$A:$S,19,FALSE)=1,20,0)-VLOOKUP($F$7,目标属性!$A:$R,6,FALSE))&gt;0,($D$13+IF(VLOOKUP($E99,武器奇术!$A:$R,17,FALSE)="破竹",$D$15,0)+IF(VLOOKUP($E99,武器奇术!$A:$R,18,FALSE)=1,4,0)+IF(VLOOKUP($E99,武器奇术!$A:$S,19,FALSE)=1,20,0)-VLOOKUP($F$7,目标属性!$A:$R,6,FALSE))/200,($D$13+IF(VLOOKUP($E99,武器奇术!$A:$R,17,FALSE)="破竹",$D$15,0)+IF(VLOOKUP($E99,武器奇术!$A:$R,18,FALSE)=1,4,0)+IF(VLOOKUP($E99,武器奇术!$A:$S,19,FALSE)=1,20,0)-VLOOKUP($F$7,目标属性!$A:$R,6,FALSE))/100)</f>
        <v>0.025</v>
      </c>
      <c r="CR99" s="111">
        <f>$E$13+IF(VLOOKUP($E99,武器奇术!$A:$U,21,FALSE)=1,0,0.09)</f>
        <v>0.235</v>
      </c>
      <c r="CS99" s="109">
        <v>1</v>
      </c>
      <c r="CT99" s="112">
        <f>CN99*IF(VLOOKUP($E99,武器奇术!$A:$R,17,FALSE)="破竹",VLOOKUP($E99,武器奇术!$A:$R,4,FALSE),VLOOKUP($E99,武器奇术!$A:$R,2,FALSE))*(1+CQ99)*(1+CR99)*CS99</f>
        <v>2041.994476899</v>
      </c>
      <c r="CU99" s="110">
        <f>(1-IF(VLOOKUP($E99,武器奇术!$A:$T,20,FALSE)=1,1,$N99))*(1-$M99)</f>
        <v>0.01072666</v>
      </c>
      <c r="CV99" s="112">
        <f>CO99*IF(VLOOKUP($E99,武器奇术!$A:$R,17,FALSE)="破竹",VLOOKUP($E99,武器奇术!$A:$R,4,FALSE),VLOOKUP($E99,武器奇术!$A:$R,2,FALSE))*(1+CQ99)*(1+CR99)*CS99*(1+$E$16+VLOOKUP($E99,武器奇术!$A:$R,8,FALSE))</f>
        <v>4520.14431236316</v>
      </c>
      <c r="CW99" s="110">
        <f t="shared" si="66"/>
        <v>0.8813852</v>
      </c>
      <c r="CX99" s="112">
        <f>CP99*IF(VLOOKUP($E99,武器奇术!$A:$R,17,FALSE)="破竹",VLOOKUP($E99,武器奇术!$A:$R,4,FALSE),VLOOKUP($E99,武器奇术!$A:$R,2,FALSE))*(1+CQ99)*(1+CR99)*CS99*(1+$E$17+VLOOKUP($E99,武器奇术!$A:$R,10,FALSE))</f>
        <v>4685.00845824765</v>
      </c>
      <c r="CY99" s="110">
        <f t="shared" si="67"/>
        <v>0.0986</v>
      </c>
      <c r="CZ99" s="112">
        <f>CO99*IF(VLOOKUP($E99,武器奇术!$A:$R,17,FALSE)="破竹",VLOOKUP($E99,武器奇术!$A:$R,4,FALSE),VLOOKUP($E99,武器奇术!$A:$R,2,FALSE))*(1+CQ99)*(1+CR99)*CS99</f>
        <v>2756.185556319</v>
      </c>
      <c r="DA99" s="110">
        <f t="shared" si="68"/>
        <v>0.00928814000000003</v>
      </c>
      <c r="DB99" s="113">
        <f t="shared" si="69"/>
        <v>4493.43375055293</v>
      </c>
      <c r="DC99" s="108">
        <f t="shared" si="70"/>
        <v>69.3</v>
      </c>
      <c r="DD99" s="99">
        <f>(DC99+DE99)*IF(VLOOKUP($E99,武器奇术!$A:$Z,21,FALSE)=1,$G$15,0.5)</f>
        <v>69.3</v>
      </c>
      <c r="DE99" s="109">
        <f t="shared" si="71"/>
        <v>69.3</v>
      </c>
      <c r="DF99" s="110">
        <f>IF(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R,18,FALSE)=1,4,0)+IF(VLOOKUP($E99,武器奇术!$A:$S,19,FALSE)=1,20,0)-VLOOKUP($F$7,目标属性!$A:$R,6,FALSE))/100)</f>
        <v>0.025</v>
      </c>
      <c r="DG99" s="111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U,21,FALSE)=1,0,0.09)</f>
        <v>0.235</v>
      </c>
      <c r="DH99" s="109">
        <v>1</v>
      </c>
      <c r="DI99" s="112">
        <f>DC99*IF(VLOOKUP($E99,武器奇术!$A:$R,17,FALSE)="破竹",VLOOKUP($E99,武器奇术!$A:$R,4,FALSE),VLOOKUP($E99,武器奇术!$A:$R,2,FALSE))*(1+DF99)*(1+DG99)*DH99</f>
        <v>218.225052045</v>
      </c>
      <c r="DJ99" s="110">
        <f>(1-IF(VLOOKUP($E99,武器奇术!$A:$T,20,FALSE)=1,1,$N99))*(1-$M99)</f>
        <v>0.01072666</v>
      </c>
      <c r="DK99" s="112">
        <f>DD99*IF(VLOOKUP($E99,武器奇术!$A:$R,17,FALSE)="破竹",VLOOKUP($E99,武器奇术!$A:$R,4,FALSE),VLOOKUP($E99,武器奇术!$A:$R,2,FALSE))*(1+DF99)*(1+DG99)*DH99*(1+$E$16+VLOOKUP($E99,武器奇术!$A:$R,8,FALSE))</f>
        <v>357.8890853538</v>
      </c>
      <c r="DL99" s="110">
        <f t="shared" si="72"/>
        <v>0.8813852</v>
      </c>
      <c r="DM99" s="112">
        <f>DE99*IF(VLOOKUP($E99,武器奇术!$A:$R,17,FALSE)="破竹",VLOOKUP($E99,武器奇术!$A:$R,4,FALSE),VLOOKUP($E99,武器奇术!$A:$R,2,FALSE))*(1+DF99)*(1+DG99)*DH99*(1+$E$17+VLOOKUP($E99,武器奇术!$A:$R,10,FALSE))</f>
        <v>294.60382026075</v>
      </c>
      <c r="DN99" s="110">
        <f t="shared" si="73"/>
        <v>0.0986</v>
      </c>
      <c r="DO99" s="112">
        <f>DD99*IF(VLOOKUP($E99,武器奇术!$A:$R,17,FALSE)="破竹",VLOOKUP($E99,武器奇术!$A:$R,4,FALSE),VLOOKUP($E99,武器奇术!$A:$R,2,FALSE))*(1+DF99)*(1+DG99)*DH99</f>
        <v>218.225052045</v>
      </c>
      <c r="DP99" s="110">
        <f t="shared" si="74"/>
        <v>0.00928814000000003</v>
      </c>
      <c r="DQ99" s="113">
        <f t="shared" si="75"/>
        <v>348.853810521756</v>
      </c>
    </row>
    <row r="100" spans="1:121">
      <c r="A100" s="75"/>
      <c r="B100" s="75"/>
      <c r="C100" s="75"/>
      <c r="D100" s="75"/>
      <c r="E100" s="98" t="str">
        <f>期望!E100</f>
        <v>鹰隼追击(绳标)</v>
      </c>
      <c r="F100" s="99">
        <f>期望!F100</f>
        <v>1</v>
      </c>
      <c r="G100" s="115"/>
      <c r="H100" s="149">
        <f>IF(VLOOKUP($E100,武器奇术!$A:$R,18,FALSE)="天工",AE100,(AE100+AT100+BI100+BX100+CM100+DB100+DQ100))*(1+J100)*F100*K100*(1+G100)*(1+$G$21*5%)</f>
        <v>60878.7828133725</v>
      </c>
      <c r="I100" s="101">
        <f t="shared" si="39"/>
        <v>0.00751627191703801</v>
      </c>
      <c r="J100" s="101">
        <f>$F$3+VLOOKUP($E100,武器奇术!$A:$R,12,FALSE)+VLOOKUP($E100,武器奇术!$A:$R,14,FALSE)*$G$3+$P100</f>
        <v>0.687</v>
      </c>
      <c r="K100" s="102">
        <f>VLOOKUP($E100,武器奇术!$A:$R,11,FALSE)</f>
        <v>1</v>
      </c>
      <c r="L100" s="117">
        <f>IF(VLOOKUP($E100,武器奇术!$A:$R,15,FALSE)="天工",0%,IF($C$17+VLOOKUP($E100,武器奇术!$A:$R,7,FALSE)&gt;80%,80%,$C$17+VLOOKUP($E100,武器奇术!$A:$R,7,FALSE))+IF($C$19&gt;20%,20%,$C$19))</f>
        <v>0.892</v>
      </c>
      <c r="M100" s="118">
        <f>IF(VLOOKUP($E100,武器奇术!$A:$R,15,FALSE)="天工",0%,IF($C$18+VLOOKUP($E100,武器奇术!$A:$R,9,FALSE)&gt;40%,40%,$C$18+VLOOKUP($E100,武器奇术!$A:$R,9,FALSE))+IF($C$20&gt;10%,10%,$C$20))</f>
        <v>0.0986</v>
      </c>
      <c r="N100" s="119">
        <f>IF(VLOOKUP($E100,武器奇术!$A:$R,15,FALSE)="天工",100%,MIN($C$16,1))</f>
        <v>0.9881</v>
      </c>
      <c r="O100" s="120" t="str">
        <f>VLOOKUP($E100,武器奇术!$A:$R,16,FALSE)</f>
        <v>绳标</v>
      </c>
      <c r="P100" s="121">
        <f t="shared" si="76"/>
        <v>0.084</v>
      </c>
      <c r="Q100" s="108">
        <f>$B$5*(1+VLOOKUP($E100,武器奇术!$A:$R,5,FALSE)+IF($G$5="飞隼",0.1,0)+IF($G$5="撼天",0.05,0))-$F$9+IF($I$5="√",160,0)</f>
        <v>1731.135</v>
      </c>
      <c r="R100" s="99">
        <f>IF(VLOOKUP($E100,武器奇术!$A:$Z,20,FALSE)=1,(S100-(Q100+S100)*0.5)*($G$15-0.5)*2+(Q100+S100)*0.5,(Q100+S100)*0.5)</f>
        <v>3256.775</v>
      </c>
      <c r="S100" s="109">
        <f>MAX($C$5,$B$5)*(1+VLOOKUP($E100,武器奇术!$A:$R,5,FALSE)+IF($G$5="飞隼",0.1,0)+IF($G$5="撼天",0.05,0))-$F$9+IF($I$5="√",320,0)</f>
        <v>4782.415</v>
      </c>
      <c r="T100" s="101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U100" s="111">
        <f>$E$5+IF(VLOOKUP($E100,武器奇术!$A:$U,21,FALSE)=1,0,0.09)</f>
        <v>0.115</v>
      </c>
      <c r="V100" s="109">
        <v>1</v>
      </c>
      <c r="W100" s="112">
        <f>Q100*VLOOKUP($E100,武器奇术!$A:$R,2,FALSE)*(1+T100)*(1+U100)*V100</f>
        <v>5595.154346628</v>
      </c>
      <c r="X100" s="110">
        <f>(1-IF(VLOOKUP($E100,武器奇术!$A:$T,20,FALSE)=1,1,$N100))*(1-$M100)</f>
        <v>0.01072666</v>
      </c>
      <c r="Y100" s="112">
        <f>R100*VLOOKUP($E100,武器奇术!$A:$R,2,FALSE)*(1+T100)*(1+U100)*V100*(1+$E$16+VLOOKUP($E100,武器奇术!$A:$R,8,FALSE))</f>
        <v>20420.6997528468</v>
      </c>
      <c r="Z100" s="110">
        <f t="shared" si="40"/>
        <v>0.8813852</v>
      </c>
      <c r="AA100" s="112">
        <f>S100*VLOOKUP($E100,武器奇术!$A:$R,2,FALSE)*(1+T100)*(1+U100)*V100*(1+$E$17+VLOOKUP($E100,武器奇术!$A:$R,10,FALSE))</f>
        <v>20867.1031437462</v>
      </c>
      <c r="AB100" s="110">
        <f t="shared" si="41"/>
        <v>0.0986</v>
      </c>
      <c r="AC100" s="112">
        <f>R100*VLOOKUP($E100,武器奇术!$A:$R,2,FALSE)*(1+T100)*(1+U100)*V100</f>
        <v>10526.13389322</v>
      </c>
      <c r="AD100" s="110">
        <f t="shared" si="42"/>
        <v>0.00928814000000003</v>
      </c>
      <c r="AE100" s="113">
        <f t="shared" si="43"/>
        <v>20213.784429359</v>
      </c>
      <c r="AF100" s="114">
        <f>VLOOKUP($E100,武器奇术!$A:$R,3,FALSE)*(1+IF(VLOOKUP($E100,武器奇术!$A:$R,15,FALSE)="武器",$E$15,0))</f>
        <v>0</v>
      </c>
      <c r="AG100" s="112">
        <f t="shared" si="44"/>
        <v>0</v>
      </c>
      <c r="AH100" s="112">
        <f>VLOOKUP($E100,武器奇术!$A:$R,3,FALSE)*(1+IF(VLOOKUP($E100,武器奇术!$A:$R,15,FALSE)="武器",$E$15,0))</f>
        <v>0</v>
      </c>
      <c r="AI100" s="101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0.342</v>
      </c>
      <c r="AJ100" s="111">
        <f>$E$5+IF(VLOOKUP($E100,武器奇术!$A:$U,21,FALSE)=1,0,0.09)</f>
        <v>0.115</v>
      </c>
      <c r="AK100" s="109">
        <v>1</v>
      </c>
      <c r="AL100" s="112">
        <f t="shared" si="45"/>
        <v>0</v>
      </c>
      <c r="AM100" s="110">
        <f>(1-IF(VLOOKUP($E100,武器奇术!$A:$T,20,FALSE)=1,1,$N100))*(1-$M100)</f>
        <v>0.01072666</v>
      </c>
      <c r="AN100" s="112">
        <f>AG100*(1+AI100)*(1+AJ100)*AK100*(1+$E$16+VLOOKUP($E100,武器奇术!$A:$R,8,FALSE))</f>
        <v>0</v>
      </c>
      <c r="AO100" s="110">
        <f t="shared" si="46"/>
        <v>0.8813852</v>
      </c>
      <c r="AP100" s="112">
        <f>AH100*(1+AI100)*(1+AJ100)*AK100*(1+$E$17+VLOOKUP($E100,武器奇术!$A:$R,10,FALSE))</f>
        <v>0</v>
      </c>
      <c r="AQ100" s="110">
        <f t="shared" si="47"/>
        <v>0.0986</v>
      </c>
      <c r="AR100" s="112">
        <f t="shared" si="48"/>
        <v>0</v>
      </c>
      <c r="AS100" s="110">
        <f t="shared" si="49"/>
        <v>0.00928814000000003</v>
      </c>
      <c r="AT100" s="113">
        <f t="shared" si="50"/>
        <v>0</v>
      </c>
      <c r="AU100" s="108">
        <f>$B$7*IF($G$5="撼天",1.05,1)+IF(AND(VLOOKUP($E100,武器奇术!$A:$R,15,FALSE)="武器",VLOOKUP($E100,武器奇术!$A:$R,17,FALSE)="鸣金"),$E$3,0)*(1+$E$15)</f>
        <v>0</v>
      </c>
      <c r="AV100" s="99">
        <f>(AU100+AW100)*IF(VLOOKUP($E100,武器奇术!$A:$Z,21,FALSE)=1,$G$15,0.5)</f>
        <v>0</v>
      </c>
      <c r="AW100" s="109">
        <f>MAX($C$7*IF($G$5="撼天",1.05,1)+IF(AND(VLOOKUP($E100,武器奇术!$A:$R,15,FALSE)="武器",VLOOKUP($E100,武器奇术!$A:$R,17,FALSE)="鸣金"),$E$3*(1+$E$15),0),AU100)</f>
        <v>0</v>
      </c>
      <c r="AX100" s="110">
        <f>IF(($D$7+IF(VLOOKUP($E100,武器奇术!$A:$R,17,FALSE)="鸣金",$D$15,0)+IF(VLOOKUP($E100,武器奇术!$A:$R,18,FALSE)=1,4,0)+IF(VLOOKUP($E100,武器奇术!$A:$S,19,FALSE)=1,20,0)-VLOOKUP($F$7,目标属性!$A:$R,6,FALSE))&gt;0,($D$7+IF(VLOOKUP($E100,武器奇术!$A:$R,17,FALSE)="鸣金",$D$15,0)+IF(VLOOKUP($E100,武器奇术!$A:$R,18,FALSE)=1,4,0)+IF(VLOOKUP($E100,武器奇术!$A:$S,19,FALSE)=1,20,0)-VLOOKUP($F$7,目标属性!$A:$R,6,FALSE))/200,($D$7+IF(VLOOKUP($E100,武器奇术!$A:$R,17,FALSE)="鸣金",$D$15,0)+IF(VLOOKUP($E100,武器奇术!$A:$R,18,FALSE)=1,4,0)+IF(VLOOKUP($E100,武器奇术!$A:$S,19,FALSE)=1,20,0)-VLOOKUP($F$7,目标属性!$A:$R,6,FALSE))/100)</f>
        <v>0</v>
      </c>
      <c r="AY100" s="111">
        <f t="shared" si="51"/>
        <v>0</v>
      </c>
      <c r="AZ100" s="109">
        <v>1</v>
      </c>
      <c r="BA100" s="112">
        <f>AU100*IF(VLOOKUP($E100,武器奇术!$A:$R,17,FALSE)="鸣金",VLOOKUP($E100,武器奇术!$A:$R,4,FALSE),VLOOKUP($E100,武器奇术!$A:$R,2,FALSE))*(1+AX100)*(1+AY100)*AZ100</f>
        <v>0</v>
      </c>
      <c r="BB100" s="110">
        <f>(1-IF(VLOOKUP($E100,武器奇术!$A:$T,20,FALSE)=1,1,$N100))*(1-$M100)</f>
        <v>0.01072666</v>
      </c>
      <c r="BC100" s="112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10">
        <f t="shared" si="52"/>
        <v>0.8813852</v>
      </c>
      <c r="BE100" s="112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10">
        <f t="shared" si="53"/>
        <v>0.0986</v>
      </c>
      <c r="BG100" s="112">
        <f>AV100*IF(VLOOKUP($E100,武器奇术!$A:$R,17,FALSE)="鸣金",VLOOKUP($E100,武器奇术!$A:$R,4,FALSE),VLOOKUP($E100,武器奇术!$A:$R,2,FALSE))*(1+AX100)*(1+AY100)*AZ100</f>
        <v>0</v>
      </c>
      <c r="BH100" s="110">
        <f t="shared" si="54"/>
        <v>0.00928814000000003</v>
      </c>
      <c r="BI100" s="113">
        <f t="shared" si="55"/>
        <v>0</v>
      </c>
      <c r="BJ100" s="108">
        <f>$B$9*IF($G$5="撼天",1.05,1)+IF(AND(VLOOKUP($E100,武器奇术!$A:$R,15,FALSE)="武器",VLOOKUP($E100,武器奇术!$A:$R,17,FALSE)="裂石"),$E$3,0)*(1+$E$15)</f>
        <v>0</v>
      </c>
      <c r="BK100" s="99">
        <f>(BJ100+BL100)*IF(VLOOKUP($E100,武器奇术!$A:$Z,21,FALSE)=1,$G$15,0.5)</f>
        <v>0</v>
      </c>
      <c r="BL100" s="109">
        <f>MAX($C$9*IF($G$5="撼天",1.05,1)+IF(AND(VLOOKUP($E100,武器奇术!$A:$R,15,FALSE)="武器",VLOOKUP($E100,武器奇术!$A:$R,17,FALSE)="裂石"),$E$3*(1+$E$15),0),BJ100)</f>
        <v>0</v>
      </c>
      <c r="BM100" s="110">
        <f>IF(($D$9+IF(VLOOKUP($E100,武器奇术!$A:$R,17,FALSE)="裂石",$D$15,0)+IF(VLOOKUP($E100,武器奇术!$A:$R,18,FALSE)=1,4,0)+IF(VLOOKUP($E100,武器奇术!$A:$S,19,FALSE)=1,20,0)-VLOOKUP($F$7,目标属性!$A:$R,6,FALSE))&gt;0,($D$9+IF(VLOOKUP($E100,武器奇术!$A:$R,17,FALSE)="裂石",$D$15,0)+IF(VLOOKUP($E100,武器奇术!$A:$R,18,FALSE)=1,4,0)+IF(VLOOKUP($E100,武器奇术!$A:$S,19,FALSE)=1,20,0)-VLOOKUP($F$7,目标属性!$A:$R,6,FALSE))/200,($D$9+IF(VLOOKUP($E100,武器奇术!$A:$R,17,FALSE)="裂石",$D$15,0)+IF(VLOOKUP($E100,武器奇术!$A:$R,18,FALSE)=1,4,0)+IF(VLOOKUP($E100,武器奇术!$A:$S,19,FALSE)=1,20,0)-VLOOKUP($F$7,目标属性!$A:$R,6,FALSE))/100)</f>
        <v>0</v>
      </c>
      <c r="BN100" s="111">
        <f t="shared" si="56"/>
        <v>0</v>
      </c>
      <c r="BO100" s="109">
        <v>1</v>
      </c>
      <c r="BP100" s="112">
        <f>BJ100*IF(VLOOKUP($E100,武器奇术!$A:$R,17,FALSE)="裂石",VLOOKUP($E100,武器奇术!$A:$R,4,FALSE),VLOOKUP($E100,武器奇术!$A:$R,2,FALSE))*(1+BM100)*(1+BN100)*BO100</f>
        <v>0</v>
      </c>
      <c r="BQ100" s="110">
        <f>(1-IF(VLOOKUP($E100,武器奇术!$A:$T,20,FALSE)=1,1,$N100))*(1-$M100)</f>
        <v>0.01072666</v>
      </c>
      <c r="BR100" s="112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10">
        <f t="shared" si="57"/>
        <v>0.8813852</v>
      </c>
      <c r="BT100" s="112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10">
        <f t="shared" si="58"/>
        <v>0.0986</v>
      </c>
      <c r="BV100" s="112">
        <f>BK100*IF(VLOOKUP($E100,武器奇术!$A:$R,17,FALSE)="裂石",VLOOKUP($E100,武器奇术!$A:$R,4,FALSE),VLOOKUP($E100,武器奇术!$A:$R,2,FALSE))*(1+BM100)*(1+BN100)*BO100</f>
        <v>0</v>
      </c>
      <c r="BW100" s="110">
        <f t="shared" si="59"/>
        <v>0.00928814000000003</v>
      </c>
      <c r="BX100" s="113">
        <f t="shared" si="60"/>
        <v>0</v>
      </c>
      <c r="BY100" s="108">
        <f>$B$11*IF($G$5="撼天",1.05,1)+IF(AND(VLOOKUP($E100,武器奇术!$A:$R,15,FALSE)="武器",VLOOKUP($E100,武器奇术!$A:$R,17,FALSE)="牵丝"),$E$3,0)*(1+$E$15)</f>
        <v>0</v>
      </c>
      <c r="BZ100" s="99">
        <f>(BY100+CA100)*IF(VLOOKUP($E100,武器奇术!$A:$Z,21,FALSE)=1,$G$15,0.5)</f>
        <v>0</v>
      </c>
      <c r="CA100" s="109">
        <f>MAX($C$11*IF($G$5="撼天",1.05,1)+IF(AND(VLOOKUP($E100,武器奇术!$A:$R,15,FALSE)="武器",VLOOKUP($E100,武器奇术!$A:$R,17,FALSE)="牵丝"),$E$3*(1+$E$15),0),BY100)</f>
        <v>0</v>
      </c>
      <c r="CB100" s="110">
        <f>IF(($D$11+IF(VLOOKUP($E100,武器奇术!$A:$R,17,FALSE)="牵丝",$D$15,0)+IF(VLOOKUP($E100,武器奇术!$A:$R,18,FALSE)=1,4,0)+IF(VLOOKUP($E100,武器奇术!$A:$S,19,FALSE)=1,20,0)-VLOOKUP($F$7,目标属性!$A:$R,6,FALSE))&gt;0,($D$11+IF(VLOOKUP($E100,武器奇术!$A:$R,17,FALSE)="牵丝",$D$15,0)+IF(VLOOKUP($E100,武器奇术!$A:$R,18,FALSE)=1,4,0)+IF(VLOOKUP($E100,武器奇术!$A:$S,19,FALSE)=1,20,0)-VLOOKUP($F$7,目标属性!$A:$R,6,FALSE))/200,($D$11+IF(VLOOKUP($E100,武器奇术!$A:$R,17,FALSE)="牵丝",$D$15,0)+IF(VLOOKUP($E100,武器奇术!$A:$R,18,FALSE)=1,4,0)+IF(VLOOKUP($E100,武器奇术!$A:$S,19,FALSE)=1,20,0)-VLOOKUP($F$7,目标属性!$A:$R,6,FALSE))/100)</f>
        <v>0</v>
      </c>
      <c r="CC100" s="111">
        <f t="shared" si="61"/>
        <v>0</v>
      </c>
      <c r="CD100" s="109">
        <v>1</v>
      </c>
      <c r="CE100" s="112">
        <f>BY100*IF(VLOOKUP($E100,武器奇术!$A:$R,17,FALSE)="牵丝",VLOOKUP($E100,武器奇术!$A:$R,4,FALSE),VLOOKUP($E100,武器奇术!$A:$R,2,FALSE))*(1+CB100)*(1+CC100)*CD100</f>
        <v>0</v>
      </c>
      <c r="CF100" s="110">
        <f>(1-IF(VLOOKUP($E100,武器奇术!$A:$T,20,FALSE)=1,1,$N100))*(1-$M100)</f>
        <v>0.01072666</v>
      </c>
      <c r="CG100" s="112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110">
        <f t="shared" si="62"/>
        <v>0.8813852</v>
      </c>
      <c r="CI100" s="112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110">
        <f t="shared" si="63"/>
        <v>0.0986</v>
      </c>
      <c r="CK100" s="112">
        <f>BZ100*IF(VLOOKUP($E100,武器奇术!$A:$R,17,FALSE)="牵丝",VLOOKUP($E100,武器奇术!$A:$R,4,FALSE),VLOOKUP($E100,武器奇术!$A:$R,2,FALSE))*(1+CB100)*(1+CC100)*CD100</f>
        <v>0</v>
      </c>
      <c r="CL100" s="110">
        <f t="shared" si="64"/>
        <v>0.00928814000000003</v>
      </c>
      <c r="CM100" s="113">
        <f t="shared" si="65"/>
        <v>0</v>
      </c>
      <c r="CN100" s="108">
        <f>$B$13*IF($G$5="撼天",1.05,1)+IF(AND(VLOOKUP($E100,武器奇术!$A:$R,15,FALSE)="武器",VLOOKUP($E100,武器奇术!$A:$R,17,FALSE)="破竹"),$E$3,0)*(1+$E$15)</f>
        <v>452.55</v>
      </c>
      <c r="CO100" s="99">
        <f>(CN100+CP100)*IF(VLOOKUP($E100,武器奇术!$A:$Z,21,FALSE)=1,$G$15,0.5)</f>
        <v>679.35</v>
      </c>
      <c r="CP100" s="109">
        <f>MAX($C$13*IF($G$5="撼天",1.05,1)+IF(AND(VLOOKUP($E100,武器奇术!$A:$R,15,FALSE)="武器",VLOOKUP($E100,武器奇术!$A:$R,17,FALSE)="破竹"),$E$3*(1+$E$15),0),CN100)</f>
        <v>906.15</v>
      </c>
      <c r="CQ100" s="110">
        <f>IF(($D$13+IF(VLOOKUP($E100,武器奇术!$A:$R,17,FALSE)="破竹",$D$15,0)+IF(VLOOKUP($E100,武器奇术!$A:$R,18,FALSE)=1,4,0)+IF(VLOOKUP($E100,武器奇术!$A:$S,19,FALSE)=1,20,0)-VLOOKUP($F$7,目标属性!$A:$R,6,FALSE))&gt;0,($D$13+IF(VLOOKUP($E100,武器奇术!$A:$R,17,FALSE)="破竹",$D$15,0)+IF(VLOOKUP($E100,武器奇术!$A:$R,18,FALSE)=1,4,0)+IF(VLOOKUP($E100,武器奇术!$A:$S,19,FALSE)=1,20,0)-VLOOKUP($F$7,目标属性!$A:$R,6,FALSE))/200,($D$13+IF(VLOOKUP($E100,武器奇术!$A:$R,17,FALSE)="破竹",$D$15,0)+IF(VLOOKUP($E100,武器奇术!$A:$R,18,FALSE)=1,4,0)+IF(VLOOKUP($E100,武器奇术!$A:$S,19,FALSE)=1,20,0)-VLOOKUP($F$7,目标属性!$A:$R,6,FALSE))/100)</f>
        <v>0.145</v>
      </c>
      <c r="CR100" s="111">
        <f>$E$13+IF(VLOOKUP($E100,武器奇术!$A:$U,21,FALSE)=1,0,0.09)</f>
        <v>0.235</v>
      </c>
      <c r="CS100" s="109">
        <v>1</v>
      </c>
      <c r="CT100" s="112">
        <f>CN100*IF(VLOOKUP($E100,武器奇术!$A:$R,17,FALSE)="破竹",VLOOKUP($E100,武器奇术!$A:$R,4,FALSE),VLOOKUP($E100,武器奇术!$A:$R,2,FALSE))*(1+CQ100)*(1+CR100)*CS100</f>
        <v>2073.40443765</v>
      </c>
      <c r="CU100" s="110">
        <f>(1-IF(VLOOKUP($E100,武器奇术!$A:$T,20,FALSE)=1,1,$N100))*(1-$M100)</f>
        <v>0.01072666</v>
      </c>
      <c r="CV100" s="112">
        <f>CO100*IF(VLOOKUP($E100,武器奇术!$A:$R,17,FALSE)="破竹",VLOOKUP($E100,武器奇术!$A:$R,4,FALSE),VLOOKUP($E100,武器奇术!$A:$R,2,FALSE))*(1+CQ100)*(1+CR100)*CS100*(1+$E$16+VLOOKUP($E100,武器奇术!$A:$R,8,FALSE))</f>
        <v>6038.273276217</v>
      </c>
      <c r="CW100" s="110">
        <f t="shared" si="66"/>
        <v>0.8813852</v>
      </c>
      <c r="CX100" s="112">
        <f>CP100*IF(VLOOKUP($E100,武器奇术!$A:$R,17,FALSE)="破竹",VLOOKUP($E100,武器奇术!$A:$R,4,FALSE),VLOOKUP($E100,武器奇术!$A:$R,2,FALSE))*(1+CQ100)*(1+CR100)*CS100*(1+$E$17+VLOOKUP($E100,武器奇术!$A:$R,10,FALSE))</f>
        <v>5604.6864039075</v>
      </c>
      <c r="CY100" s="110">
        <f t="shared" si="67"/>
        <v>0.0986</v>
      </c>
      <c r="CZ100" s="112">
        <f>CO100*IF(VLOOKUP($E100,武器奇术!$A:$R,17,FALSE)="破竹",VLOOKUP($E100,武器奇术!$A:$R,4,FALSE),VLOOKUP($E100,武器奇术!$A:$R,2,FALSE))*(1+CQ100)*(1+CR100)*CS100</f>
        <v>3112.51199805</v>
      </c>
      <c r="DA100" s="110">
        <f t="shared" si="68"/>
        <v>0.00928814000000003</v>
      </c>
      <c r="DB100" s="113">
        <f t="shared" si="69"/>
        <v>5925.81693027318</v>
      </c>
      <c r="DC100" s="108">
        <f t="shared" si="70"/>
        <v>69.3</v>
      </c>
      <c r="DD100" s="99">
        <f>(DC100+DE100)*IF(VLOOKUP($E100,武器奇术!$A:$Z,21,FALSE)=1,$G$15,0.5)</f>
        <v>69.3</v>
      </c>
      <c r="DE100" s="109">
        <f t="shared" si="71"/>
        <v>69.3</v>
      </c>
      <c r="DF100" s="110">
        <f>IF(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R,18,FALSE)=1,4,0)+IF(VLOOKUP($E100,武器奇术!$A:$S,19,FALSE)=1,20,0)-VLOOKUP($F$7,目标属性!$A:$R,6,FALSE))/100)</f>
        <v>0.145</v>
      </c>
      <c r="DG100" s="111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U,21,FALSE)=1,0,0.09)</f>
        <v>0.235</v>
      </c>
      <c r="DH100" s="109">
        <v>1</v>
      </c>
      <c r="DI100" s="112">
        <f>DC100*IF(VLOOKUP($E100,武器奇术!$A:$R,17,FALSE)="破竹",VLOOKUP($E100,武器奇术!$A:$R,4,FALSE),VLOOKUP($E100,武器奇术!$A:$R,2,FALSE))*(1+DF100)*(1+DG100)*DH100</f>
        <v>317.5050879</v>
      </c>
      <c r="DJ100" s="110">
        <f>(1-IF(VLOOKUP($E100,武器奇术!$A:$T,20,FALSE)=1,1,$N100))*(1-$M100)</f>
        <v>0.01072666</v>
      </c>
      <c r="DK100" s="112">
        <f>DD100*IF(VLOOKUP($E100,武器奇术!$A:$R,17,FALSE)="破竹",VLOOKUP($E100,武器奇术!$A:$R,4,FALSE),VLOOKUP($E100,武器奇术!$A:$R,2,FALSE))*(1+DF100)*(1+DG100)*DH100*(1+$E$16+VLOOKUP($E100,武器奇术!$A:$R,8,FALSE))</f>
        <v>615.959870526</v>
      </c>
      <c r="DL100" s="110">
        <f t="shared" si="72"/>
        <v>0.8813852</v>
      </c>
      <c r="DM100" s="112">
        <f>DE100*IF(VLOOKUP($E100,武器奇术!$A:$R,17,FALSE)="破竹",VLOOKUP($E100,武器奇术!$A:$R,4,FALSE),VLOOKUP($E100,武器奇术!$A:$R,2,FALSE))*(1+DF100)*(1+DG100)*DH100*(1+$E$17+VLOOKUP($E100,武器奇术!$A:$R,10,FALSE))</f>
        <v>428.631868665</v>
      </c>
      <c r="DN100" s="110">
        <f t="shared" si="73"/>
        <v>0.0986</v>
      </c>
      <c r="DO100" s="112">
        <f>DD100*IF(VLOOKUP($E100,武器奇术!$A:$R,17,FALSE)="破竹",VLOOKUP($E100,武器奇术!$A:$R,4,FALSE),VLOOKUP($E100,武器奇术!$A:$R,2,FALSE))*(1+DF100)*(1+DG100)*DH100</f>
        <v>317.5050879</v>
      </c>
      <c r="DP100" s="110">
        <f t="shared" si="74"/>
        <v>0.00928814000000003</v>
      </c>
      <c r="DQ100" s="113">
        <f t="shared" si="75"/>
        <v>591.515816759203</v>
      </c>
    </row>
    <row r="101" spans="1:121">
      <c r="A101" s="75"/>
      <c r="B101" s="75"/>
      <c r="C101" s="75"/>
      <c r="D101" s="75"/>
      <c r="E101" s="98" t="str">
        <f>期望!E101</f>
        <v>绳标～</v>
      </c>
      <c r="F101" s="99">
        <f>期望!F101</f>
        <v>1</v>
      </c>
      <c r="G101" s="115"/>
      <c r="H101" s="149">
        <f>IF(VLOOKUP($E101,武器奇术!$A:$R,18,FALSE)="天工",AE101,(AE101+AT101+BI101+BX101+CM101+DB101+DQ101))*(1+J101)*F101*K101*(1+G101)*(1+$G$21*5%)</f>
        <v>26190.1922432254</v>
      </c>
      <c r="I101" s="101">
        <f t="shared" si="39"/>
        <v>0.00323351744832095</v>
      </c>
      <c r="J101" s="101">
        <f>$F$3+VLOOKUP($E101,武器奇术!$A:$R,12,FALSE)+VLOOKUP($E101,武器奇术!$A:$R,14,FALSE)*$G$3+$P101</f>
        <v>0.387</v>
      </c>
      <c r="K101" s="102">
        <f>VLOOKUP($E101,武器奇术!$A:$R,11,FALSE)</f>
        <v>1</v>
      </c>
      <c r="L101" s="117">
        <f>IF(VLOOKUP($E101,武器奇术!$A:$R,15,FALSE)="天工",0%,IF($C$17+VLOOKUP($E101,武器奇术!$A:$R,7,FALSE)&gt;80%,80%,$C$17+VLOOKUP($E101,武器奇术!$A:$R,7,FALSE))+IF($C$19&gt;20%,20%,$C$19))</f>
        <v>0.892</v>
      </c>
      <c r="M101" s="118">
        <f>IF(VLOOKUP($E101,武器奇术!$A:$R,15,FALSE)="天工",0%,IF($C$18+VLOOKUP($E101,武器奇术!$A:$R,9,FALSE)&gt;40%,40%,$C$18+VLOOKUP($E101,武器奇术!$A:$R,9,FALSE))+IF($C$20&gt;10%,10%,$C$20))</f>
        <v>0.0986</v>
      </c>
      <c r="N101" s="119">
        <f>IF(VLOOKUP($E101,武器奇术!$A:$R,15,FALSE)="天工",100%,MIN($C$16,1))</f>
        <v>0.9881</v>
      </c>
      <c r="O101" s="120" t="str">
        <f>VLOOKUP($E101,武器奇术!$A:$R,16,FALSE)</f>
        <v>绳标</v>
      </c>
      <c r="P101" s="121">
        <f t="shared" si="76"/>
        <v>0.084</v>
      </c>
      <c r="Q101" s="108">
        <f>$B$5*(1+VLOOKUP($E101,武器奇术!$A:$R,5,FALSE)+IF($G$5="飞隼",0.1,0)+IF($G$5="撼天",0.05,0))-$F$9+IF($I$5="√",160,0)</f>
        <v>1731.135</v>
      </c>
      <c r="R101" s="99">
        <f>IF(VLOOKUP($E101,武器奇术!$A:$Z,20,FALSE)=1,(S101-(Q101+S101)*0.5)*($G$15-0.5)*2+(Q101+S101)*0.5,(Q101+S101)*0.5)</f>
        <v>3256.775</v>
      </c>
      <c r="S101" s="109">
        <f>MAX($C$5,$B$5)*(1+VLOOKUP($E101,武器奇术!$A:$R,5,FALSE)+IF($G$5="飞隼",0.1,0)+IF($G$5="撼天",0.05,0))-$F$9+IF($I$5="√",320,0)</f>
        <v>4782.415</v>
      </c>
      <c r="T101" s="101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U101" s="111">
        <f>$E$5+IF(VLOOKUP($E101,武器奇术!$A:$U,21,FALSE)=1,0,0.09)</f>
        <v>0.115</v>
      </c>
      <c r="V101" s="109">
        <v>1</v>
      </c>
      <c r="W101" s="112">
        <f>Q101*VLOOKUP($E101,武器奇术!$A:$R,2,FALSE)*(1+T101)*(1+U101)*V101</f>
        <v>2997.37880086712</v>
      </c>
      <c r="X101" s="110">
        <f>(1-IF(VLOOKUP($E101,武器奇术!$A:$T,20,FALSE)=1,1,$N101))*(1-$M101)</f>
        <v>0.01072666</v>
      </c>
      <c r="Y101" s="112">
        <f>R101*VLOOKUP($E101,武器奇术!$A:$R,2,FALSE)*(1+T101)*(1+U101)*V101*(1+$E$16+VLOOKUP($E101,武器奇术!$A:$R,8,FALSE))</f>
        <v>9247.88239188634</v>
      </c>
      <c r="Z101" s="110">
        <f t="shared" si="40"/>
        <v>0.8813852</v>
      </c>
      <c r="AA101" s="112">
        <f>S101*VLOOKUP($E101,武器奇术!$A:$R,2,FALSE)*(1+T101)*(1+U101)*V101*(1+$E$17+VLOOKUP($E101,武器奇术!$A:$R,10,FALSE))</f>
        <v>11178.710849374</v>
      </c>
      <c r="AB101" s="110">
        <f t="shared" si="41"/>
        <v>0.0986</v>
      </c>
      <c r="AC101" s="112">
        <f>R101*VLOOKUP($E101,武器奇术!$A:$R,2,FALSE)*(1+T101)*(1+U101)*V101</f>
        <v>5638.95267797948</v>
      </c>
      <c r="AD101" s="110">
        <f t="shared" si="42"/>
        <v>0.00928814000000003</v>
      </c>
      <c r="AE101" s="113">
        <f t="shared" si="43"/>
        <v>9337.69480651205</v>
      </c>
      <c r="AF101" s="114">
        <f>VLOOKUP($E101,武器奇术!$A:$R,3,FALSE)*(1+IF(VLOOKUP($E101,武器奇术!$A:$R,15,FALSE)="武器",$E$15,0))</f>
        <v>451.1</v>
      </c>
      <c r="AG101" s="112">
        <f t="shared" si="44"/>
        <v>451.1</v>
      </c>
      <c r="AH101" s="112">
        <f>VLOOKUP($E101,武器奇术!$A:$R,3,FALSE)*(1+IF(VLOOKUP($E101,武器奇术!$A:$R,15,FALSE)="武器",$E$15,0))</f>
        <v>451.1</v>
      </c>
      <c r="AI101" s="101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0.242</v>
      </c>
      <c r="AJ101" s="111">
        <f>$E$5+IF(VLOOKUP($E101,武器奇术!$A:$U,21,FALSE)=1,0,0.09)</f>
        <v>0.115</v>
      </c>
      <c r="AK101" s="109">
        <v>1</v>
      </c>
      <c r="AL101" s="112">
        <f t="shared" si="45"/>
        <v>624.696813</v>
      </c>
      <c r="AM101" s="110">
        <f>(1-IF(VLOOKUP($E101,武器奇术!$A:$T,20,FALSE)=1,1,$N101))*(1-$M101)</f>
        <v>0.01072666</v>
      </c>
      <c r="AN101" s="112">
        <f>AG101*(1+AI101)*(1+AJ101)*AK101*(1+$E$16+VLOOKUP($E101,武器奇术!$A:$R,8,FALSE))</f>
        <v>1024.50277332</v>
      </c>
      <c r="AO101" s="110">
        <f t="shared" si="46"/>
        <v>0.8813852</v>
      </c>
      <c r="AP101" s="112">
        <f>AH101*(1+AI101)*(1+AJ101)*AK101*(1+$E$17+VLOOKUP($E101,武器奇术!$A:$R,10,FALSE))</f>
        <v>843.34069755</v>
      </c>
      <c r="AQ101" s="110">
        <f t="shared" si="47"/>
        <v>0.0986</v>
      </c>
      <c r="AR101" s="112">
        <f t="shared" si="48"/>
        <v>624.696813</v>
      </c>
      <c r="AS101" s="110">
        <f t="shared" si="49"/>
        <v>0.00928814000000003</v>
      </c>
      <c r="AT101" s="113">
        <f t="shared" si="50"/>
        <v>998.638156314466</v>
      </c>
      <c r="AU101" s="108">
        <f>$B$7*IF($G$5="撼天",1.05,1)+IF(AND(VLOOKUP($E101,武器奇术!$A:$R,15,FALSE)="武器",VLOOKUP($E101,武器奇术!$A:$R,17,FALSE)="鸣金"),$E$3,0)*(1+$E$15)</f>
        <v>0</v>
      </c>
      <c r="AV101" s="99">
        <f>(AU101+AW101)*IF(VLOOKUP($E101,武器奇术!$A:$Z,21,FALSE)=1,$G$15,0.5)</f>
        <v>0</v>
      </c>
      <c r="AW101" s="109">
        <f>MAX($C$7*IF($G$5="撼天",1.05,1)+IF(AND(VLOOKUP($E101,武器奇术!$A:$R,15,FALSE)="武器",VLOOKUP($E101,武器奇术!$A:$R,17,FALSE)="鸣金"),$E$3*(1+$E$15),0),AU101)</f>
        <v>0</v>
      </c>
      <c r="AX101" s="110">
        <f>IF(($D$7+IF(VLOOKUP($E101,武器奇术!$A:$R,17,FALSE)="鸣金",$D$15,0)+IF(VLOOKUP($E101,武器奇术!$A:$R,18,FALSE)=1,4,0)+IF(VLOOKUP($E101,武器奇术!$A:$S,19,FALSE)=1,20,0)-VLOOKUP($F$7,目标属性!$A:$R,6,FALSE))&gt;0,($D$7+IF(VLOOKUP($E101,武器奇术!$A:$R,17,FALSE)="鸣金",$D$15,0)+IF(VLOOKUP($E101,武器奇术!$A:$R,18,FALSE)=1,4,0)+IF(VLOOKUP($E101,武器奇术!$A:$S,19,FALSE)=1,20,0)-VLOOKUP($F$7,目标属性!$A:$R,6,FALSE))/200,($D$7+IF(VLOOKUP($E101,武器奇术!$A:$R,17,FALSE)="鸣金",$D$15,0)+IF(VLOOKUP($E101,武器奇术!$A:$R,18,FALSE)=1,4,0)+IF(VLOOKUP($E101,武器奇术!$A:$S,19,FALSE)=1,20,0)-VLOOKUP($F$7,目标属性!$A:$R,6,FALSE))/100)</f>
        <v>-0.24</v>
      </c>
      <c r="AY101" s="111">
        <f t="shared" si="51"/>
        <v>0</v>
      </c>
      <c r="AZ101" s="109">
        <v>1</v>
      </c>
      <c r="BA101" s="112">
        <f>AU101*IF(VLOOKUP($E101,武器奇术!$A:$R,17,FALSE)="鸣金",VLOOKUP($E101,武器奇术!$A:$R,4,FALSE),VLOOKUP($E101,武器奇术!$A:$R,2,FALSE))*(1+AX101)*(1+AY101)*AZ101</f>
        <v>0</v>
      </c>
      <c r="BB101" s="110">
        <f>(1-IF(VLOOKUP($E101,武器奇术!$A:$T,20,FALSE)=1,1,$N101))*(1-$M101)</f>
        <v>0.01072666</v>
      </c>
      <c r="BC101" s="112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10">
        <f t="shared" si="52"/>
        <v>0.8813852</v>
      </c>
      <c r="BE101" s="112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10">
        <f t="shared" si="53"/>
        <v>0.0986</v>
      </c>
      <c r="BG101" s="112">
        <f>AV101*IF(VLOOKUP($E101,武器奇术!$A:$R,17,FALSE)="鸣金",VLOOKUP($E101,武器奇术!$A:$R,4,FALSE),VLOOKUP($E101,武器奇术!$A:$R,2,FALSE))*(1+AX101)*(1+AY101)*AZ101</f>
        <v>0</v>
      </c>
      <c r="BH101" s="110">
        <f t="shared" si="54"/>
        <v>0.00928814000000003</v>
      </c>
      <c r="BI101" s="113">
        <f t="shared" si="55"/>
        <v>0</v>
      </c>
      <c r="BJ101" s="108">
        <f>$B$9*IF($G$5="撼天",1.05,1)+IF(AND(VLOOKUP($E101,武器奇术!$A:$R,15,FALSE)="武器",VLOOKUP($E101,武器奇术!$A:$R,17,FALSE)="裂石"),$E$3,0)*(1+$E$15)</f>
        <v>0</v>
      </c>
      <c r="BK101" s="99">
        <f>(BJ101+BL101)*IF(VLOOKUP($E101,武器奇术!$A:$Z,21,FALSE)=1,$G$15,0.5)</f>
        <v>0</v>
      </c>
      <c r="BL101" s="109">
        <f>MAX($C$9*IF($G$5="撼天",1.05,1)+IF(AND(VLOOKUP($E101,武器奇术!$A:$R,15,FALSE)="武器",VLOOKUP($E101,武器奇术!$A:$R,17,FALSE)="裂石"),$E$3*(1+$E$15),0),BJ101)</f>
        <v>0</v>
      </c>
      <c r="BM101" s="110">
        <f>IF(($D$9+IF(VLOOKUP($E101,武器奇术!$A:$R,17,FALSE)="裂石",$D$15,0)+IF(VLOOKUP($E101,武器奇术!$A:$R,18,FALSE)=1,4,0)+IF(VLOOKUP($E101,武器奇术!$A:$S,19,FALSE)=1,20,0)-VLOOKUP($F$7,目标属性!$A:$R,6,FALSE))&gt;0,($D$9+IF(VLOOKUP($E101,武器奇术!$A:$R,17,FALSE)="裂石",$D$15,0)+IF(VLOOKUP($E101,武器奇术!$A:$R,18,FALSE)=1,4,0)+IF(VLOOKUP($E101,武器奇术!$A:$S,19,FALSE)=1,20,0)-VLOOKUP($F$7,目标属性!$A:$R,6,FALSE))/200,($D$9+IF(VLOOKUP($E101,武器奇术!$A:$R,17,FALSE)="裂石",$D$15,0)+IF(VLOOKUP($E101,武器奇术!$A:$R,18,FALSE)=1,4,0)+IF(VLOOKUP($E101,武器奇术!$A:$S,19,FALSE)=1,20,0)-VLOOKUP($F$7,目标属性!$A:$R,6,FALSE))/100)</f>
        <v>-0.24</v>
      </c>
      <c r="BN101" s="111">
        <f t="shared" si="56"/>
        <v>0</v>
      </c>
      <c r="BO101" s="109">
        <v>1</v>
      </c>
      <c r="BP101" s="112">
        <f>BJ101*IF(VLOOKUP($E101,武器奇术!$A:$R,17,FALSE)="裂石",VLOOKUP($E101,武器奇术!$A:$R,4,FALSE),VLOOKUP($E101,武器奇术!$A:$R,2,FALSE))*(1+BM101)*(1+BN101)*BO101</f>
        <v>0</v>
      </c>
      <c r="BQ101" s="110">
        <f>(1-IF(VLOOKUP($E101,武器奇术!$A:$T,20,FALSE)=1,1,$N101))*(1-$M101)</f>
        <v>0.01072666</v>
      </c>
      <c r="BR101" s="112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10">
        <f t="shared" si="57"/>
        <v>0.8813852</v>
      </c>
      <c r="BT101" s="112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10">
        <f t="shared" si="58"/>
        <v>0.0986</v>
      </c>
      <c r="BV101" s="112">
        <f>BK101*IF(VLOOKUP($E101,武器奇术!$A:$R,17,FALSE)="裂石",VLOOKUP($E101,武器奇术!$A:$R,4,FALSE),VLOOKUP($E101,武器奇术!$A:$R,2,FALSE))*(1+BM101)*(1+BN101)*BO101</f>
        <v>0</v>
      </c>
      <c r="BW101" s="110">
        <f t="shared" si="59"/>
        <v>0.00928814000000003</v>
      </c>
      <c r="BX101" s="113">
        <f t="shared" si="60"/>
        <v>0</v>
      </c>
      <c r="BY101" s="108">
        <f>$B$11*IF($G$5="撼天",1.05,1)+IF(AND(VLOOKUP($E101,武器奇术!$A:$R,15,FALSE)="武器",VLOOKUP($E101,武器奇术!$A:$R,17,FALSE)="牵丝"),$E$3,0)*(1+$E$15)</f>
        <v>0</v>
      </c>
      <c r="BZ101" s="99">
        <f>(BY101+CA101)*IF(VLOOKUP($E101,武器奇术!$A:$Z,21,FALSE)=1,$G$15,0.5)</f>
        <v>0</v>
      </c>
      <c r="CA101" s="109">
        <f>MAX($C$11*IF($G$5="撼天",1.05,1)+IF(AND(VLOOKUP($E101,武器奇术!$A:$R,15,FALSE)="武器",VLOOKUP($E101,武器奇术!$A:$R,17,FALSE)="牵丝"),$E$3*(1+$E$15),0),BY101)</f>
        <v>0</v>
      </c>
      <c r="CB101" s="110">
        <f>IF(($D$11+IF(VLOOKUP($E101,武器奇术!$A:$R,17,FALSE)="牵丝",$D$15,0)+IF(VLOOKUP($E101,武器奇术!$A:$R,18,FALSE)=1,4,0)+IF(VLOOKUP($E101,武器奇术!$A:$S,19,FALSE)=1,20,0)-VLOOKUP($F$7,目标属性!$A:$R,6,FALSE))&gt;0,($D$11+IF(VLOOKUP($E101,武器奇术!$A:$R,17,FALSE)="牵丝",$D$15,0)+IF(VLOOKUP($E101,武器奇术!$A:$R,18,FALSE)=1,4,0)+IF(VLOOKUP($E101,武器奇术!$A:$S,19,FALSE)=1,20,0)-VLOOKUP($F$7,目标属性!$A:$R,6,FALSE))/200,($D$11+IF(VLOOKUP($E101,武器奇术!$A:$R,17,FALSE)="牵丝",$D$15,0)+IF(VLOOKUP($E101,武器奇术!$A:$R,18,FALSE)=1,4,0)+IF(VLOOKUP($E101,武器奇术!$A:$S,19,FALSE)=1,20,0)-VLOOKUP($F$7,目标属性!$A:$R,6,FALSE))/100)</f>
        <v>-0.24</v>
      </c>
      <c r="CC101" s="111">
        <f t="shared" si="61"/>
        <v>0</v>
      </c>
      <c r="CD101" s="109">
        <v>1</v>
      </c>
      <c r="CE101" s="112">
        <f>BY101*IF(VLOOKUP($E101,武器奇术!$A:$R,17,FALSE)="牵丝",VLOOKUP($E101,武器奇术!$A:$R,4,FALSE),VLOOKUP($E101,武器奇术!$A:$R,2,FALSE))*(1+CB101)*(1+CC101)*CD101</f>
        <v>0</v>
      </c>
      <c r="CF101" s="110">
        <f>(1-IF(VLOOKUP($E101,武器奇术!$A:$T,20,FALSE)=1,1,$N101))*(1-$M101)</f>
        <v>0.01072666</v>
      </c>
      <c r="CG101" s="112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110">
        <f t="shared" si="62"/>
        <v>0.8813852</v>
      </c>
      <c r="CI101" s="112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110">
        <f t="shared" si="63"/>
        <v>0.0986</v>
      </c>
      <c r="CK101" s="112">
        <f>BZ101*IF(VLOOKUP($E101,武器奇术!$A:$R,17,FALSE)="牵丝",VLOOKUP($E101,武器奇术!$A:$R,4,FALSE),VLOOKUP($E101,武器奇术!$A:$R,2,FALSE))*(1+CB101)*(1+CC101)*CD101</f>
        <v>0</v>
      </c>
      <c r="CL101" s="110">
        <f t="shared" si="64"/>
        <v>0.00928814000000003</v>
      </c>
      <c r="CM101" s="113">
        <f t="shared" si="65"/>
        <v>0</v>
      </c>
      <c r="CN101" s="108">
        <f>$B$13*IF($G$5="撼天",1.05,1)+IF(AND(VLOOKUP($E101,武器奇术!$A:$R,15,FALSE)="武器",VLOOKUP($E101,武器奇术!$A:$R,17,FALSE)="破竹"),$E$3,0)*(1+$E$15)</f>
        <v>648.46</v>
      </c>
      <c r="CO101" s="99">
        <f>(CN101+CP101)*IF(VLOOKUP($E101,武器奇术!$A:$Z,21,FALSE)=1,$G$15,0.5)</f>
        <v>875.26</v>
      </c>
      <c r="CP101" s="109">
        <f>MAX($C$13*IF($G$5="撼天",1.05,1)+IF(AND(VLOOKUP($E101,武器奇术!$A:$R,15,FALSE)="武器",VLOOKUP($E101,武器奇术!$A:$R,17,FALSE)="破竹"),$E$3*(1+$E$15),0),CN101)</f>
        <v>1102.06</v>
      </c>
      <c r="CQ101" s="110">
        <f>IF(($D$13+IF(VLOOKUP($E101,武器奇术!$A:$R,17,FALSE)="破竹",$D$15,0)+IF(VLOOKUP($E101,武器奇术!$A:$R,18,FALSE)=1,4,0)+IF(VLOOKUP($E101,武器奇术!$A:$S,19,FALSE)=1,20,0)-VLOOKUP($F$7,目标属性!$A:$R,6,FALSE))&gt;0,($D$13+IF(VLOOKUP($E101,武器奇术!$A:$R,17,FALSE)="破竹",$D$15,0)+IF(VLOOKUP($E101,武器奇术!$A:$R,18,FALSE)=1,4,0)+IF(VLOOKUP($E101,武器奇术!$A:$S,19,FALSE)=1,20,0)-VLOOKUP($F$7,目标属性!$A:$R,6,FALSE))/200,($D$13+IF(VLOOKUP($E101,武器奇术!$A:$R,17,FALSE)="破竹",$D$15,0)+IF(VLOOKUP($E101,武器奇术!$A:$R,18,FALSE)=1,4,0)+IF(VLOOKUP($E101,武器奇术!$A:$S,19,FALSE)=1,20,0)-VLOOKUP($F$7,目标属性!$A:$R,6,FALSE))/100)</f>
        <v>0.025</v>
      </c>
      <c r="CR101" s="111">
        <f>$E$13+IF(VLOOKUP($E101,武器奇术!$A:$U,21,FALSE)=1,0,0.09)</f>
        <v>0.235</v>
      </c>
      <c r="CS101" s="109">
        <v>1</v>
      </c>
      <c r="CT101" s="112">
        <f>CN101*IF(VLOOKUP($E101,武器奇术!$A:$R,17,FALSE)="破竹",VLOOKUP($E101,武器奇术!$A:$R,4,FALSE),VLOOKUP($E101,武器奇术!$A:$R,2,FALSE))*(1+CQ101)*(1+CR101)*CS101</f>
        <v>1539.54037683875</v>
      </c>
      <c r="CU101" s="110">
        <f>(1-IF(VLOOKUP($E101,武器奇术!$A:$T,20,FALSE)=1,1,$N101))*(1-$M101)</f>
        <v>0.01072666</v>
      </c>
      <c r="CV101" s="112">
        <f>CO101*IF(VLOOKUP($E101,武器奇术!$A:$R,17,FALSE)="破竹",VLOOKUP($E101,武器奇术!$A:$R,4,FALSE),VLOOKUP($E101,武器奇术!$A:$R,2,FALSE))*(1+CQ101)*(1+CR101)*CS101*(1+$E$16+VLOOKUP($E101,武器奇术!$A:$R,8,FALSE))</f>
        <v>3407.91552413455</v>
      </c>
      <c r="CW101" s="110">
        <f t="shared" si="66"/>
        <v>0.8813852</v>
      </c>
      <c r="CX101" s="112">
        <f>CP101*IF(VLOOKUP($E101,武器奇术!$A:$R,17,FALSE)="破竹",VLOOKUP($E101,武器奇术!$A:$R,4,FALSE),VLOOKUP($E101,武器奇术!$A:$R,2,FALSE))*(1+CQ101)*(1+CR101)*CS101*(1+$E$17+VLOOKUP($E101,武器奇术!$A:$R,10,FALSE))</f>
        <v>3532.21312246481</v>
      </c>
      <c r="CY101" s="110">
        <f t="shared" si="67"/>
        <v>0.0986</v>
      </c>
      <c r="CZ101" s="112">
        <f>CO101*IF(VLOOKUP($E101,武器奇术!$A:$R,17,FALSE)="破竹",VLOOKUP($E101,武器奇术!$A:$R,4,FALSE),VLOOKUP($E101,武器奇术!$A:$R,2,FALSE))*(1+CQ101)*(1+CR101)*CS101</f>
        <v>2077.99727081375</v>
      </c>
      <c r="DA101" s="110">
        <f t="shared" si="68"/>
        <v>0.00928814000000003</v>
      </c>
      <c r="DB101" s="113">
        <f t="shared" si="69"/>
        <v>3387.77737544702</v>
      </c>
      <c r="DC101" s="108">
        <f t="shared" si="70"/>
        <v>69.3</v>
      </c>
      <c r="DD101" s="99">
        <f>(DC101+DE101)*IF(VLOOKUP($E101,武器奇术!$A:$Z,21,FALSE)=1,$G$15,0.5)</f>
        <v>69.3</v>
      </c>
      <c r="DE101" s="109">
        <f t="shared" si="71"/>
        <v>69.3</v>
      </c>
      <c r="DF101" s="110">
        <f>IF(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R,18,FALSE)=1,4,0)+IF(VLOOKUP($E101,武器奇术!$A:$S,19,FALSE)=1,20,0)-VLOOKUP($F$7,目标属性!$A:$R,6,FALSE))/100)</f>
        <v>0.025</v>
      </c>
      <c r="DG101" s="111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U,21,FALSE)=1,0,0.09)</f>
        <v>0.235</v>
      </c>
      <c r="DH101" s="109">
        <v>1</v>
      </c>
      <c r="DI101" s="112">
        <f>DC101*IF(VLOOKUP($E101,武器奇术!$A:$R,17,FALSE)="破竹",VLOOKUP($E101,武器奇术!$A:$R,4,FALSE),VLOOKUP($E101,武器奇术!$A:$R,2,FALSE))*(1+DF101)*(1+DG101)*DH101</f>
        <v>164.52849538125</v>
      </c>
      <c r="DJ101" s="110">
        <f>(1-IF(VLOOKUP($E101,武器奇术!$A:$T,20,FALSE)=1,1,$N101))*(1-$M101)</f>
        <v>0.01072666</v>
      </c>
      <c r="DK101" s="112">
        <f>DD101*IF(VLOOKUP($E101,武器奇术!$A:$R,17,FALSE)="破竹",VLOOKUP($E101,武器奇术!$A:$R,4,FALSE),VLOOKUP($E101,武器奇术!$A:$R,2,FALSE))*(1+DF101)*(1+DG101)*DH101*(1+$E$16+VLOOKUP($E101,武器奇术!$A:$R,8,FALSE))</f>
        <v>269.82673242525</v>
      </c>
      <c r="DL101" s="110">
        <f t="shared" si="72"/>
        <v>0.8813852</v>
      </c>
      <c r="DM101" s="112">
        <f>DE101*IF(VLOOKUP($E101,武器奇术!$A:$R,17,FALSE)="破竹",VLOOKUP($E101,武器奇术!$A:$R,4,FALSE),VLOOKUP($E101,武器奇术!$A:$R,2,FALSE))*(1+DF101)*(1+DG101)*DH101*(1+$E$17+VLOOKUP($E101,武器奇术!$A:$R,10,FALSE))</f>
        <v>222.113468764687</v>
      </c>
      <c r="DN101" s="110">
        <f t="shared" si="73"/>
        <v>0.0986</v>
      </c>
      <c r="DO101" s="112">
        <f>DD101*IF(VLOOKUP($E101,武器奇术!$A:$R,17,FALSE)="破竹",VLOOKUP($E101,武器奇术!$A:$R,4,FALSE),VLOOKUP($E101,武器奇术!$A:$R,2,FALSE))*(1+DF101)*(1+DG101)*DH101</f>
        <v>164.52849538125</v>
      </c>
      <c r="DP101" s="110">
        <f t="shared" si="74"/>
        <v>0.00928814000000003</v>
      </c>
      <c r="DQ101" s="113">
        <f t="shared" si="75"/>
        <v>263.01468147353</v>
      </c>
    </row>
    <row r="102" spans="1:121">
      <c r="A102" s="75"/>
      <c r="B102" s="75"/>
      <c r="C102" s="75"/>
      <c r="D102" s="75"/>
      <c r="E102" s="98" t="str">
        <f>期望!E102</f>
        <v>鹰隼追击(绳特殊技)</v>
      </c>
      <c r="F102" s="99">
        <f>期望!F102</f>
        <v>1</v>
      </c>
      <c r="G102" s="115"/>
      <c r="H102" s="149">
        <f>IF(VLOOKUP($E102,武器奇术!$A:$R,18,FALSE)="天工",AE102,(AE102+AT102+BI102+BX102+CM102+DB102+DQ102))*(1+J102)*F102*K102*(1+G102)*(1+$G$21*5%)</f>
        <v>50732.3190111438</v>
      </c>
      <c r="I102" s="101">
        <f t="shared" si="39"/>
        <v>0.00626355993086501</v>
      </c>
      <c r="J102" s="101">
        <f>$F$3+VLOOKUP($E102,武器奇术!$A:$R,12,FALSE)+VLOOKUP($E102,武器奇术!$A:$R,14,FALSE)*$G$3+$P102</f>
        <v>0.687</v>
      </c>
      <c r="K102" s="102">
        <f>VLOOKUP($E102,武器奇术!$A:$R,11,FALSE)</f>
        <v>1</v>
      </c>
      <c r="L102" s="117">
        <f>IF(VLOOKUP($E102,武器奇术!$A:$R,15,FALSE)="天工",0%,IF($C$17+VLOOKUP($E102,武器奇术!$A:$R,7,FALSE)&gt;80%,80%,$C$17+VLOOKUP($E102,武器奇术!$A:$R,7,FALSE))+IF($C$19&gt;20%,20%,$C$19))</f>
        <v>0.892</v>
      </c>
      <c r="M102" s="118">
        <f>IF(VLOOKUP($E102,武器奇术!$A:$R,15,FALSE)="天工",0%,IF($C$18+VLOOKUP($E102,武器奇术!$A:$R,9,FALSE)&gt;40%,40%,$C$18+VLOOKUP($E102,武器奇术!$A:$R,9,FALSE))+IF($C$20&gt;10%,10%,$C$20))</f>
        <v>0.0986</v>
      </c>
      <c r="N102" s="119">
        <f>IF(VLOOKUP($E102,武器奇术!$A:$R,15,FALSE)="天工",100%,MIN($C$16,1))</f>
        <v>0.9881</v>
      </c>
      <c r="O102" s="120" t="str">
        <f>VLOOKUP($E102,武器奇术!$A:$R,16,FALSE)</f>
        <v>绳标</v>
      </c>
      <c r="P102" s="121">
        <f t="shared" si="76"/>
        <v>0.084</v>
      </c>
      <c r="Q102" s="108">
        <f>$B$5*(1+VLOOKUP($E102,武器奇术!$A:$R,5,FALSE)+IF($G$5="飞隼",0.1,0)+IF($G$5="撼天",0.05,0))-$F$9+IF($I$5="√",160,0)</f>
        <v>1731.135</v>
      </c>
      <c r="R102" s="99">
        <f>IF(VLOOKUP($E102,武器奇术!$A:$Z,20,FALSE)=1,(S102-(Q102+S102)*0.5)*($G$15-0.5)*2+(Q102+S102)*0.5,(Q102+S102)*0.5)</f>
        <v>3256.775</v>
      </c>
      <c r="S102" s="109">
        <f>MAX($C$5,$B$5)*(1+VLOOKUP($E102,武器奇术!$A:$R,5,FALSE)+IF($G$5="飞隼",0.1,0)+IF($G$5="撼天",0.05,0))-$F$9+IF($I$5="√",320,0)</f>
        <v>4782.415</v>
      </c>
      <c r="T102" s="101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U102" s="111">
        <f>$E$5+IF(VLOOKUP($E102,武器奇术!$A:$U,21,FALSE)=1,0,0.09)</f>
        <v>0.115</v>
      </c>
      <c r="V102" s="109">
        <v>1</v>
      </c>
      <c r="W102" s="112">
        <f>Q102*VLOOKUP($E102,武器奇术!$A:$R,2,FALSE)*(1+T102)*(1+U102)*V102</f>
        <v>4662.62862219</v>
      </c>
      <c r="X102" s="110">
        <f>(1-IF(VLOOKUP($E102,武器奇术!$A:$T,20,FALSE)=1,1,$N102))*(1-$M102)</f>
        <v>0.01072666</v>
      </c>
      <c r="Y102" s="112">
        <f>R102*VLOOKUP($E102,武器奇术!$A:$R,2,FALSE)*(1+T102)*(1+U102)*V102*(1+$E$16+VLOOKUP($E102,武器奇术!$A:$R,8,FALSE))</f>
        <v>17017.249794039</v>
      </c>
      <c r="Z102" s="110">
        <f t="shared" si="40"/>
        <v>0.8813852</v>
      </c>
      <c r="AA102" s="112">
        <f>S102*VLOOKUP($E102,武器奇术!$A:$R,2,FALSE)*(1+T102)*(1+U102)*V102*(1+$E$17+VLOOKUP($E102,武器奇术!$A:$R,10,FALSE))</f>
        <v>17389.2526197885</v>
      </c>
      <c r="AB102" s="110">
        <f t="shared" si="41"/>
        <v>0.0986</v>
      </c>
      <c r="AC102" s="112">
        <f>R102*VLOOKUP($E102,武器奇术!$A:$R,2,FALSE)*(1+T102)*(1+U102)*V102</f>
        <v>8771.77824435</v>
      </c>
      <c r="AD102" s="110">
        <f t="shared" si="42"/>
        <v>0.00928814000000003</v>
      </c>
      <c r="AE102" s="113">
        <f t="shared" si="43"/>
        <v>16844.8203577992</v>
      </c>
      <c r="AF102" s="114">
        <f>VLOOKUP($E102,武器奇术!$A:$R,3,FALSE)*(1+IF(VLOOKUP($E102,武器奇术!$A:$R,15,FALSE)="武器",$E$15,0))</f>
        <v>0</v>
      </c>
      <c r="AG102" s="112">
        <f t="shared" si="44"/>
        <v>0</v>
      </c>
      <c r="AH102" s="112">
        <f>VLOOKUP($E102,武器奇术!$A:$R,3,FALSE)*(1+IF(VLOOKUP($E102,武器奇术!$A:$R,15,FALSE)="武器",$E$15,0))</f>
        <v>0</v>
      </c>
      <c r="AI102" s="101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0.342</v>
      </c>
      <c r="AJ102" s="111">
        <f>$E$5+IF(VLOOKUP($E102,武器奇术!$A:$U,21,FALSE)=1,0,0.09)</f>
        <v>0.115</v>
      </c>
      <c r="AK102" s="109">
        <v>1</v>
      </c>
      <c r="AL102" s="112">
        <f t="shared" si="45"/>
        <v>0</v>
      </c>
      <c r="AM102" s="110">
        <f>(1-IF(VLOOKUP($E102,武器奇术!$A:$T,20,FALSE)=1,1,$N102))*(1-$M102)</f>
        <v>0.01072666</v>
      </c>
      <c r="AN102" s="112">
        <f>AG102*(1+AI102)*(1+AJ102)*AK102*(1+$E$16+VLOOKUP($E102,武器奇术!$A:$R,8,FALSE))</f>
        <v>0</v>
      </c>
      <c r="AO102" s="110">
        <f t="shared" si="46"/>
        <v>0.8813852</v>
      </c>
      <c r="AP102" s="112">
        <f>AH102*(1+AI102)*(1+AJ102)*AK102*(1+$E$17+VLOOKUP($E102,武器奇术!$A:$R,10,FALSE))</f>
        <v>0</v>
      </c>
      <c r="AQ102" s="110">
        <f t="shared" si="47"/>
        <v>0.0986</v>
      </c>
      <c r="AR102" s="112">
        <f t="shared" si="48"/>
        <v>0</v>
      </c>
      <c r="AS102" s="110">
        <f t="shared" si="49"/>
        <v>0.00928814000000003</v>
      </c>
      <c r="AT102" s="113">
        <f t="shared" si="50"/>
        <v>0</v>
      </c>
      <c r="AU102" s="108">
        <f>$B$7*IF($G$5="撼天",1.05,1)+IF(AND(VLOOKUP($E102,武器奇术!$A:$R,15,FALSE)="武器",VLOOKUP($E102,武器奇术!$A:$R,17,FALSE)="鸣金"),$E$3,0)*(1+$E$15)</f>
        <v>0</v>
      </c>
      <c r="AV102" s="99">
        <f>(AU102+AW102)*IF(VLOOKUP($E102,武器奇术!$A:$Z,21,FALSE)=1,$G$15,0.5)</f>
        <v>0</v>
      </c>
      <c r="AW102" s="109">
        <f>MAX($C$7*IF($G$5="撼天",1.05,1)+IF(AND(VLOOKUP($E102,武器奇术!$A:$R,15,FALSE)="武器",VLOOKUP($E102,武器奇术!$A:$R,17,FALSE)="鸣金"),$E$3*(1+$E$15),0),AU102)</f>
        <v>0</v>
      </c>
      <c r="AX102" s="110">
        <f>IF(($D$7+IF(VLOOKUP($E102,武器奇术!$A:$R,17,FALSE)="鸣金",$D$15,0)+IF(VLOOKUP($E102,武器奇术!$A:$R,18,FALSE)=1,4,0)+IF(VLOOKUP($E102,武器奇术!$A:$S,19,FALSE)=1,20,0)-VLOOKUP($F$7,目标属性!$A:$R,6,FALSE))&gt;0,($D$7+IF(VLOOKUP($E102,武器奇术!$A:$R,17,FALSE)="鸣金",$D$15,0)+IF(VLOOKUP($E102,武器奇术!$A:$R,18,FALSE)=1,4,0)+IF(VLOOKUP($E102,武器奇术!$A:$S,19,FALSE)=1,20,0)-VLOOKUP($F$7,目标属性!$A:$R,6,FALSE))/200,($D$7+IF(VLOOKUP($E102,武器奇术!$A:$R,17,FALSE)="鸣金",$D$15,0)+IF(VLOOKUP($E102,武器奇术!$A:$R,18,FALSE)=1,4,0)+IF(VLOOKUP($E102,武器奇术!$A:$S,19,FALSE)=1,20,0)-VLOOKUP($F$7,目标属性!$A:$R,6,FALSE))/100)</f>
        <v>0</v>
      </c>
      <c r="AY102" s="111">
        <f t="shared" si="51"/>
        <v>0</v>
      </c>
      <c r="AZ102" s="109">
        <v>1</v>
      </c>
      <c r="BA102" s="112">
        <f>AU102*IF(VLOOKUP($E102,武器奇术!$A:$R,17,FALSE)="鸣金",VLOOKUP($E102,武器奇术!$A:$R,4,FALSE),VLOOKUP($E102,武器奇术!$A:$R,2,FALSE))*(1+AX102)*(1+AY102)*AZ102</f>
        <v>0</v>
      </c>
      <c r="BB102" s="110">
        <f>(1-IF(VLOOKUP($E102,武器奇术!$A:$T,20,FALSE)=1,1,$N102))*(1-$M102)</f>
        <v>0.01072666</v>
      </c>
      <c r="BC102" s="112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10">
        <f t="shared" si="52"/>
        <v>0.8813852</v>
      </c>
      <c r="BE102" s="112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10">
        <f t="shared" si="53"/>
        <v>0.0986</v>
      </c>
      <c r="BG102" s="112">
        <f>AV102*IF(VLOOKUP($E102,武器奇术!$A:$R,17,FALSE)="鸣金",VLOOKUP($E102,武器奇术!$A:$R,4,FALSE),VLOOKUP($E102,武器奇术!$A:$R,2,FALSE))*(1+AX102)*(1+AY102)*AZ102</f>
        <v>0</v>
      </c>
      <c r="BH102" s="110">
        <f t="shared" si="54"/>
        <v>0.00928814000000003</v>
      </c>
      <c r="BI102" s="113">
        <f t="shared" si="55"/>
        <v>0</v>
      </c>
      <c r="BJ102" s="108">
        <f>$B$9*IF($G$5="撼天",1.05,1)+IF(AND(VLOOKUP($E102,武器奇术!$A:$R,15,FALSE)="武器",VLOOKUP($E102,武器奇术!$A:$R,17,FALSE)="裂石"),$E$3,0)*(1+$E$15)</f>
        <v>0</v>
      </c>
      <c r="BK102" s="99">
        <f>(BJ102+BL102)*IF(VLOOKUP($E102,武器奇术!$A:$Z,21,FALSE)=1,$G$15,0.5)</f>
        <v>0</v>
      </c>
      <c r="BL102" s="109">
        <f>MAX($C$9*IF($G$5="撼天",1.05,1)+IF(AND(VLOOKUP($E102,武器奇术!$A:$R,15,FALSE)="武器",VLOOKUP($E102,武器奇术!$A:$R,17,FALSE)="裂石"),$E$3*(1+$E$15),0),BJ102)</f>
        <v>0</v>
      </c>
      <c r="BM102" s="110">
        <f>IF(($D$9+IF(VLOOKUP($E102,武器奇术!$A:$R,17,FALSE)="裂石",$D$15,0)+IF(VLOOKUP($E102,武器奇术!$A:$R,18,FALSE)=1,4,0)+IF(VLOOKUP($E102,武器奇术!$A:$S,19,FALSE)=1,20,0)-VLOOKUP($F$7,目标属性!$A:$R,6,FALSE))&gt;0,($D$9+IF(VLOOKUP($E102,武器奇术!$A:$R,17,FALSE)="裂石",$D$15,0)+IF(VLOOKUP($E102,武器奇术!$A:$R,18,FALSE)=1,4,0)+IF(VLOOKUP($E102,武器奇术!$A:$S,19,FALSE)=1,20,0)-VLOOKUP($F$7,目标属性!$A:$R,6,FALSE))/200,($D$9+IF(VLOOKUP($E102,武器奇术!$A:$R,17,FALSE)="裂石",$D$15,0)+IF(VLOOKUP($E102,武器奇术!$A:$R,18,FALSE)=1,4,0)+IF(VLOOKUP($E102,武器奇术!$A:$S,19,FALSE)=1,20,0)-VLOOKUP($F$7,目标属性!$A:$R,6,FALSE))/100)</f>
        <v>0</v>
      </c>
      <c r="BN102" s="111">
        <f t="shared" si="56"/>
        <v>0</v>
      </c>
      <c r="BO102" s="109">
        <v>1</v>
      </c>
      <c r="BP102" s="112">
        <f>BJ102*IF(VLOOKUP($E102,武器奇术!$A:$R,17,FALSE)="裂石",VLOOKUP($E102,武器奇术!$A:$R,4,FALSE),VLOOKUP($E102,武器奇术!$A:$R,2,FALSE))*(1+BM102)*(1+BN102)*BO102</f>
        <v>0</v>
      </c>
      <c r="BQ102" s="110">
        <f>(1-IF(VLOOKUP($E102,武器奇术!$A:$T,20,FALSE)=1,1,$N102))*(1-$M102)</f>
        <v>0.01072666</v>
      </c>
      <c r="BR102" s="112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10">
        <f t="shared" si="57"/>
        <v>0.8813852</v>
      </c>
      <c r="BT102" s="112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10">
        <f t="shared" si="58"/>
        <v>0.0986</v>
      </c>
      <c r="BV102" s="112">
        <f>BK102*IF(VLOOKUP($E102,武器奇术!$A:$R,17,FALSE)="裂石",VLOOKUP($E102,武器奇术!$A:$R,4,FALSE),VLOOKUP($E102,武器奇术!$A:$R,2,FALSE))*(1+BM102)*(1+BN102)*BO102</f>
        <v>0</v>
      </c>
      <c r="BW102" s="110">
        <f t="shared" si="59"/>
        <v>0.00928814000000003</v>
      </c>
      <c r="BX102" s="113">
        <f t="shared" si="60"/>
        <v>0</v>
      </c>
      <c r="BY102" s="108">
        <f>$B$11*IF($G$5="撼天",1.05,1)+IF(AND(VLOOKUP($E102,武器奇术!$A:$R,15,FALSE)="武器",VLOOKUP($E102,武器奇术!$A:$R,17,FALSE)="牵丝"),$E$3,0)*(1+$E$15)</f>
        <v>0</v>
      </c>
      <c r="BZ102" s="99">
        <f>(BY102+CA102)*IF(VLOOKUP($E102,武器奇术!$A:$Z,21,FALSE)=1,$G$15,0.5)</f>
        <v>0</v>
      </c>
      <c r="CA102" s="109">
        <f>MAX($C$11*IF($G$5="撼天",1.05,1)+IF(AND(VLOOKUP($E102,武器奇术!$A:$R,15,FALSE)="武器",VLOOKUP($E102,武器奇术!$A:$R,17,FALSE)="牵丝"),$E$3*(1+$E$15),0),BY102)</f>
        <v>0</v>
      </c>
      <c r="CB102" s="110">
        <f>IF(($D$11+IF(VLOOKUP($E102,武器奇术!$A:$R,17,FALSE)="牵丝",$D$15,0)+IF(VLOOKUP($E102,武器奇术!$A:$R,18,FALSE)=1,4,0)+IF(VLOOKUP($E102,武器奇术!$A:$S,19,FALSE)=1,20,0)-VLOOKUP($F$7,目标属性!$A:$R,6,FALSE))&gt;0,($D$11+IF(VLOOKUP($E102,武器奇术!$A:$R,17,FALSE)="牵丝",$D$15,0)+IF(VLOOKUP($E102,武器奇术!$A:$R,18,FALSE)=1,4,0)+IF(VLOOKUP($E102,武器奇术!$A:$S,19,FALSE)=1,20,0)-VLOOKUP($F$7,目标属性!$A:$R,6,FALSE))/200,($D$11+IF(VLOOKUP($E102,武器奇术!$A:$R,17,FALSE)="牵丝",$D$15,0)+IF(VLOOKUP($E102,武器奇术!$A:$R,18,FALSE)=1,4,0)+IF(VLOOKUP($E102,武器奇术!$A:$S,19,FALSE)=1,20,0)-VLOOKUP($F$7,目标属性!$A:$R,6,FALSE))/100)</f>
        <v>0</v>
      </c>
      <c r="CC102" s="111">
        <f t="shared" si="61"/>
        <v>0</v>
      </c>
      <c r="CD102" s="109">
        <v>1</v>
      </c>
      <c r="CE102" s="112">
        <f>BY102*IF(VLOOKUP($E102,武器奇术!$A:$R,17,FALSE)="牵丝",VLOOKUP($E102,武器奇术!$A:$R,4,FALSE),VLOOKUP($E102,武器奇术!$A:$R,2,FALSE))*(1+CB102)*(1+CC102)*CD102</f>
        <v>0</v>
      </c>
      <c r="CF102" s="110">
        <f>(1-IF(VLOOKUP($E102,武器奇术!$A:$T,20,FALSE)=1,1,$N102))*(1-$M102)</f>
        <v>0.01072666</v>
      </c>
      <c r="CG102" s="112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110">
        <f t="shared" si="62"/>
        <v>0.8813852</v>
      </c>
      <c r="CI102" s="112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110">
        <f t="shared" si="63"/>
        <v>0.0986</v>
      </c>
      <c r="CK102" s="112">
        <f>BZ102*IF(VLOOKUP($E102,武器奇术!$A:$R,17,FALSE)="牵丝",VLOOKUP($E102,武器奇术!$A:$R,4,FALSE),VLOOKUP($E102,武器奇术!$A:$R,2,FALSE))*(1+CB102)*(1+CC102)*CD102</f>
        <v>0</v>
      </c>
      <c r="CL102" s="110">
        <f t="shared" si="64"/>
        <v>0.00928814000000003</v>
      </c>
      <c r="CM102" s="113">
        <f t="shared" si="65"/>
        <v>0</v>
      </c>
      <c r="CN102" s="108">
        <f>$B$13*IF($G$5="撼天",1.05,1)+IF(AND(VLOOKUP($E102,武器奇术!$A:$R,15,FALSE)="武器",VLOOKUP($E102,武器奇术!$A:$R,17,FALSE)="破竹"),$E$3,0)*(1+$E$15)</f>
        <v>452.55</v>
      </c>
      <c r="CO102" s="99">
        <f>(CN102+CP102)*IF(VLOOKUP($E102,武器奇术!$A:$Z,21,FALSE)=1,$G$15,0.5)</f>
        <v>679.35</v>
      </c>
      <c r="CP102" s="109">
        <f>MAX($C$13*IF($G$5="撼天",1.05,1)+IF(AND(VLOOKUP($E102,武器奇术!$A:$R,15,FALSE)="武器",VLOOKUP($E102,武器奇术!$A:$R,17,FALSE)="破竹"),$E$3*(1+$E$15),0),CN102)</f>
        <v>906.15</v>
      </c>
      <c r="CQ102" s="110">
        <f>IF(($D$13+IF(VLOOKUP($E102,武器奇术!$A:$R,17,FALSE)="破竹",$D$15,0)+IF(VLOOKUP($E102,武器奇术!$A:$R,18,FALSE)=1,4,0)+IF(VLOOKUP($E102,武器奇术!$A:$S,19,FALSE)=1,20,0)-VLOOKUP($F$7,目标属性!$A:$R,6,FALSE))&gt;0,($D$13+IF(VLOOKUP($E102,武器奇术!$A:$R,17,FALSE)="破竹",$D$15,0)+IF(VLOOKUP($E102,武器奇术!$A:$R,18,FALSE)=1,4,0)+IF(VLOOKUP($E102,武器奇术!$A:$S,19,FALSE)=1,20,0)-VLOOKUP($F$7,目标属性!$A:$R,6,FALSE))/200,($D$13+IF(VLOOKUP($E102,武器奇术!$A:$R,17,FALSE)="破竹",$D$15,0)+IF(VLOOKUP($E102,武器奇术!$A:$R,18,FALSE)=1,4,0)+IF(VLOOKUP($E102,武器奇术!$A:$S,19,FALSE)=1,20,0)-VLOOKUP($F$7,目标属性!$A:$R,6,FALSE))/100)</f>
        <v>0.145</v>
      </c>
      <c r="CR102" s="111">
        <f>$E$13+IF(VLOOKUP($E102,武器奇术!$A:$U,21,FALSE)=1,0,0.09)</f>
        <v>0.235</v>
      </c>
      <c r="CS102" s="109">
        <v>1</v>
      </c>
      <c r="CT102" s="112">
        <f>CN102*IF(VLOOKUP($E102,武器奇术!$A:$R,17,FALSE)="破竹",VLOOKUP($E102,武器奇术!$A:$R,4,FALSE),VLOOKUP($E102,武器奇术!$A:$R,2,FALSE))*(1+CQ102)*(1+CR102)*CS102</f>
        <v>1727.837031375</v>
      </c>
      <c r="CU102" s="110">
        <f>(1-IF(VLOOKUP($E102,武器奇术!$A:$T,20,FALSE)=1,1,$N102))*(1-$M102)</f>
        <v>0.01072666</v>
      </c>
      <c r="CV102" s="112">
        <f>CO102*IF(VLOOKUP($E102,武器奇术!$A:$R,17,FALSE)="破竹",VLOOKUP($E102,武器奇术!$A:$R,4,FALSE),VLOOKUP($E102,武器奇术!$A:$R,2,FALSE))*(1+CQ102)*(1+CR102)*CS102*(1+$E$16+VLOOKUP($E102,武器奇术!$A:$R,8,FALSE))</f>
        <v>5031.8943968475</v>
      </c>
      <c r="CW102" s="110">
        <f t="shared" si="66"/>
        <v>0.8813852</v>
      </c>
      <c r="CX102" s="112">
        <f>CP102*IF(VLOOKUP($E102,武器奇术!$A:$R,17,FALSE)="破竹",VLOOKUP($E102,武器奇术!$A:$R,4,FALSE),VLOOKUP($E102,武器奇术!$A:$R,2,FALSE))*(1+CQ102)*(1+CR102)*CS102*(1+$E$17+VLOOKUP($E102,武器奇术!$A:$R,10,FALSE))</f>
        <v>4670.57200325625</v>
      </c>
      <c r="CY102" s="110">
        <f t="shared" si="67"/>
        <v>0.0986</v>
      </c>
      <c r="CZ102" s="112">
        <f>CO102*IF(VLOOKUP($E102,武器奇术!$A:$R,17,FALSE)="破竹",VLOOKUP($E102,武器奇术!$A:$R,4,FALSE),VLOOKUP($E102,武器奇术!$A:$R,2,FALSE))*(1+CQ102)*(1+CR102)*CS102</f>
        <v>2593.759998375</v>
      </c>
      <c r="DA102" s="110">
        <f t="shared" si="68"/>
        <v>0.00928814000000003</v>
      </c>
      <c r="DB102" s="113">
        <f t="shared" si="69"/>
        <v>4938.18077522766</v>
      </c>
      <c r="DC102" s="108">
        <f t="shared" si="70"/>
        <v>69.3</v>
      </c>
      <c r="DD102" s="99">
        <f>(DC102+DE102)*IF(VLOOKUP($E102,武器奇术!$A:$Z,21,FALSE)=1,$G$15,0.5)</f>
        <v>69.3</v>
      </c>
      <c r="DE102" s="109">
        <f t="shared" si="71"/>
        <v>69.3</v>
      </c>
      <c r="DF102" s="110">
        <f>IF(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R,18,FALSE)=1,4,0)+IF(VLOOKUP($E102,武器奇术!$A:$S,19,FALSE)=1,20,0)-VLOOKUP($F$7,目标属性!$A:$R,6,FALSE))/100)</f>
        <v>0.145</v>
      </c>
      <c r="DG102" s="111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U,21,FALSE)=1,0,0.09)</f>
        <v>0.235</v>
      </c>
      <c r="DH102" s="109">
        <v>1</v>
      </c>
      <c r="DI102" s="112">
        <f>DC102*IF(VLOOKUP($E102,武器奇术!$A:$R,17,FALSE)="破竹",VLOOKUP($E102,武器奇术!$A:$R,4,FALSE),VLOOKUP($E102,武器奇术!$A:$R,2,FALSE))*(1+DF102)*(1+DG102)*DH102</f>
        <v>264.58757325</v>
      </c>
      <c r="DJ102" s="110">
        <f>(1-IF(VLOOKUP($E102,武器奇术!$A:$T,20,FALSE)=1,1,$N102))*(1-$M102)</f>
        <v>0.01072666</v>
      </c>
      <c r="DK102" s="112">
        <f>DD102*IF(VLOOKUP($E102,武器奇术!$A:$R,17,FALSE)="破竹",VLOOKUP($E102,武器奇术!$A:$R,4,FALSE),VLOOKUP($E102,武器奇术!$A:$R,2,FALSE))*(1+DF102)*(1+DG102)*DH102*(1+$E$16+VLOOKUP($E102,武器奇术!$A:$R,8,FALSE))</f>
        <v>513.299892105</v>
      </c>
      <c r="DL102" s="110">
        <f t="shared" si="72"/>
        <v>0.8813852</v>
      </c>
      <c r="DM102" s="112">
        <f>DE102*IF(VLOOKUP($E102,武器奇术!$A:$R,17,FALSE)="破竹",VLOOKUP($E102,武器奇术!$A:$R,4,FALSE),VLOOKUP($E102,武器奇术!$A:$R,2,FALSE))*(1+DF102)*(1+DG102)*DH102*(1+$E$17+VLOOKUP($E102,武器奇术!$A:$R,10,FALSE))</f>
        <v>357.1932238875</v>
      </c>
      <c r="DN102" s="110">
        <f t="shared" si="73"/>
        <v>0.0986</v>
      </c>
      <c r="DO102" s="112">
        <f>DD102*IF(VLOOKUP($E102,武器奇术!$A:$R,17,FALSE)="破竹",VLOOKUP($E102,武器奇术!$A:$R,4,FALSE),VLOOKUP($E102,武器奇术!$A:$R,2,FALSE))*(1+DF102)*(1+DG102)*DH102</f>
        <v>264.58757325</v>
      </c>
      <c r="DP102" s="110">
        <f t="shared" si="74"/>
        <v>0.00928814000000003</v>
      </c>
      <c r="DQ102" s="113">
        <f t="shared" si="75"/>
        <v>492.929847299336</v>
      </c>
    </row>
    <row r="103" spans="1:121">
      <c r="A103" s="75"/>
      <c r="B103" s="75"/>
      <c r="C103" s="148"/>
      <c r="D103" s="75"/>
      <c r="E103" s="98" t="str">
        <f>期望!E103</f>
        <v>拳甲R蓄4天志(无返豆+无持续伤害)</v>
      </c>
      <c r="F103" s="99">
        <f>期望!F103</f>
        <v>1</v>
      </c>
      <c r="G103" s="115">
        <f>$E$23</f>
        <v>0.32</v>
      </c>
      <c r="H103" s="149">
        <f>IF(VLOOKUP($E103,武器奇术!$A:$R,18,FALSE)="天工",AE103,(AE103+AT103+BI103+BX103+CM103+DB103+DQ103))*(1+J103)*F103*K103*(1+G103)*(1+$G$21*5%)</f>
        <v>729539.32221482</v>
      </c>
      <c r="I103" s="101">
        <f t="shared" si="39"/>
        <v>0.0900710504799009</v>
      </c>
      <c r="J103" s="101">
        <f>$F$3+VLOOKUP($E103,武器奇术!$A:$R,12,FALSE)+VLOOKUP($E103,武器奇术!$A:$R,14,FALSE)*$G$3+$P103</f>
        <v>0.773</v>
      </c>
      <c r="K103" s="102">
        <f>VLOOKUP($E103,武器奇术!$A:$R,11,FALSE)</f>
        <v>1</v>
      </c>
      <c r="L103" s="117">
        <f>IF(VLOOKUP($E103,武器奇术!$A:$R,15,FALSE)="天工",0%,IF($C$17+VLOOKUP($E103,武器奇术!$A:$R,7,FALSE)&gt;80%,80%,$C$17+VLOOKUP($E103,武器奇术!$A:$R,7,FALSE))+IF($C$19&gt;20%,20%,$C$19))</f>
        <v>0.892</v>
      </c>
      <c r="M103" s="118">
        <f>IF(VLOOKUP($E103,武器奇术!$A:$R,15,FALSE)="天工",0%,IF($C$18+VLOOKUP($E103,武器奇术!$A:$R,9,FALSE)&gt;40%,40%,$C$18+VLOOKUP($E103,武器奇术!$A:$R,9,FALSE))+IF($C$20&gt;10%,10%,$C$20))</f>
        <v>0.0986</v>
      </c>
      <c r="N103" s="119">
        <f>IF(VLOOKUP($E103,武器奇术!$A:$R,15,FALSE)="天工",100%,MIN($C$16,1))</f>
        <v>0.9881</v>
      </c>
      <c r="O103" s="120" t="str">
        <f>VLOOKUP($E103,武器奇术!$A:$R,16,FALSE)</f>
        <v>拳甲</v>
      </c>
      <c r="P103" s="121">
        <f t="shared" si="76"/>
        <v>0.17</v>
      </c>
      <c r="Q103" s="108">
        <f>$B$5*(1+VLOOKUP($E103,武器奇术!$A:$R,5,FALSE)+IF($G$5="飞隼",0.1,0)+IF($G$5="撼天",0.05,0))-$F$9+IF($I$5="√",160,0)</f>
        <v>1731.135</v>
      </c>
      <c r="R103" s="99">
        <f>IF(VLOOKUP($E103,武器奇术!$A:$Z,20,FALSE)=1,(S103-(Q103+S103)*0.5)*($G$15-0.5)*2+(Q103+S103)*0.5,(Q103+S103)*0.5)</f>
        <v>3256.775</v>
      </c>
      <c r="S103" s="109">
        <f>MAX($C$5,$B$5)*(1+VLOOKUP($E103,武器奇术!$A:$R,5,FALSE)+IF($G$5="飞隼",0.1,0)+IF($G$5="撼天",0.05,0))-$F$9+IF($I$5="√",320,0)</f>
        <v>4782.415</v>
      </c>
      <c r="T103" s="101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U103" s="111">
        <f>$E$5+IF(VLOOKUP($E103,武器奇术!$A:$U,21,FALSE)=1,0,0.09)</f>
        <v>0.025</v>
      </c>
      <c r="V103" s="109">
        <v>1</v>
      </c>
      <c r="W103" s="112">
        <f>Q103*VLOOKUP($E103,武器奇术!$A:$R,2,FALSE)*(1+T103)*(1+U103)*V103</f>
        <v>38530.0219142396</v>
      </c>
      <c r="X103" s="110">
        <f>(1-IF(VLOOKUP($E103,武器奇术!$A:$T,20,FALSE)=1,1,$N103))*(1-$M103)</f>
        <v>0</v>
      </c>
      <c r="Y103" s="112">
        <f>R103*VLOOKUP($E103,武器奇术!$A:$R,2,FALSE)*(1+T103)*(1+U103)*V103*(1+$E$16+VLOOKUP($E103,武器奇术!$A:$R,8,FALSE))</f>
        <v>155120.732892732</v>
      </c>
      <c r="Z103" s="110">
        <f t="shared" si="40"/>
        <v>0.8813852</v>
      </c>
      <c r="AA103" s="112">
        <f>S103*VLOOKUP($E103,武器奇术!$A:$R,2,FALSE)*(1+T103)*(1+U103)*V103*(1+$E$17+VLOOKUP($E103,武器奇术!$A:$R,10,FALSE))</f>
        <v>143697.544626233</v>
      </c>
      <c r="AB103" s="110">
        <f t="shared" si="41"/>
        <v>0.0986</v>
      </c>
      <c r="AC103" s="112">
        <f>R103*VLOOKUP($E103,武器奇术!$A:$R,2,FALSE)*(1+T103)*(1+U103)*V103</f>
        <v>72486.3237816506</v>
      </c>
      <c r="AD103" s="110">
        <f t="shared" si="42"/>
        <v>0.0200148</v>
      </c>
      <c r="AE103" s="113">
        <f t="shared" si="43"/>
        <v>152340.495358179</v>
      </c>
      <c r="AF103" s="114">
        <f>VLOOKUP($E103,武器奇术!$A:$R,3,FALSE)*(1+IF(VLOOKUP($E103,武器奇术!$A:$R,15,FALSE)="武器",$E$15,0))</f>
        <v>5814.9</v>
      </c>
      <c r="AG103" s="112">
        <f t="shared" si="44"/>
        <v>5814.9</v>
      </c>
      <c r="AH103" s="112">
        <f>VLOOKUP($E103,武器奇术!$A:$R,3,FALSE)*(1+IF(VLOOKUP($E103,武器奇术!$A:$R,15,FALSE)="武器",$E$15,0))</f>
        <v>5814.9</v>
      </c>
      <c r="AI103" s="101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0.342</v>
      </c>
      <c r="AJ103" s="111">
        <f>$E$5+IF(VLOOKUP($E103,武器奇术!$A:$U,21,FALSE)=1,0,0.09)</f>
        <v>0.025</v>
      </c>
      <c r="AK103" s="109">
        <v>1</v>
      </c>
      <c r="AL103" s="112">
        <f t="shared" si="45"/>
        <v>7998.685695</v>
      </c>
      <c r="AM103" s="110">
        <f>(1-IF(VLOOKUP($E103,武器奇术!$A:$T,20,FALSE)=1,1,$N103))*(1-$M103)</f>
        <v>0</v>
      </c>
      <c r="AN103" s="112">
        <f>AG103*(1+AI103)*(1+AJ103)*AK103*(1+$E$16+VLOOKUP($E103,武器奇术!$A:$R,8,FALSE))</f>
        <v>17117.1873873</v>
      </c>
      <c r="AO103" s="110">
        <f t="shared" si="46"/>
        <v>0.8813852</v>
      </c>
      <c r="AP103" s="112">
        <f>AH103*(1+AI103)*(1+AJ103)*AK103*(1+$E$17+VLOOKUP($E103,武器奇术!$A:$R,10,FALSE))</f>
        <v>10798.22568825</v>
      </c>
      <c r="AQ103" s="110">
        <f t="shared" si="47"/>
        <v>0.0986</v>
      </c>
      <c r="AR103" s="112">
        <f t="shared" si="48"/>
        <v>7998.685695</v>
      </c>
      <c r="AS103" s="110">
        <f t="shared" si="49"/>
        <v>0.0200148</v>
      </c>
      <c r="AT103" s="113">
        <f t="shared" si="50"/>
        <v>16311.6327761026</v>
      </c>
      <c r="AU103" s="108">
        <f>$B$7*IF($G$5="撼天",1.05,1)+IF(AND(VLOOKUP($E103,武器奇术!$A:$R,15,FALSE)="武器",VLOOKUP($E103,武器奇术!$A:$R,17,FALSE)="鸣金"),$E$3,0)*(1+$E$15)</f>
        <v>0</v>
      </c>
      <c r="AV103" s="99">
        <f>(AU103+AW103)*IF(VLOOKUP($E103,武器奇术!$A:$Z,21,FALSE)=1,$G$15,0.5)</f>
        <v>0</v>
      </c>
      <c r="AW103" s="109">
        <f>MAX($C$7*IF($G$5="撼天",1.05,1)+IF(AND(VLOOKUP($E103,武器奇术!$A:$R,15,FALSE)="武器",VLOOKUP($E103,武器奇术!$A:$R,17,FALSE)="鸣金"),$E$3*(1+$E$15),0),AU103)</f>
        <v>0</v>
      </c>
      <c r="AX103" s="110">
        <f>IF(($D$7+IF(VLOOKUP($E103,武器奇术!$A:$R,17,FALSE)="鸣金",$D$15,0)+IF(VLOOKUP($E103,武器奇术!$A:$R,18,FALSE)=1,4,0)+IF(VLOOKUP($E103,武器奇术!$A:$S,19,FALSE)=1,20,0)-VLOOKUP($F$7,目标属性!$A:$R,6,FALSE))&gt;0,($D$7+IF(VLOOKUP($E103,武器奇术!$A:$R,17,FALSE)="鸣金",$D$15,0)+IF(VLOOKUP($E103,武器奇术!$A:$R,18,FALSE)=1,4,0)+IF(VLOOKUP($E103,武器奇术!$A:$S,19,FALSE)=1,20,0)-VLOOKUP($F$7,目标属性!$A:$R,6,FALSE))/200,($D$7+IF(VLOOKUP($E103,武器奇术!$A:$R,17,FALSE)="鸣金",$D$15,0)+IF(VLOOKUP($E103,武器奇术!$A:$R,18,FALSE)=1,4,0)+IF(VLOOKUP($E103,武器奇术!$A:$S,19,FALSE)=1,20,0)-VLOOKUP($F$7,目标属性!$A:$R,6,FALSE))/100)</f>
        <v>0</v>
      </c>
      <c r="AY103" s="111">
        <f t="shared" si="51"/>
        <v>0</v>
      </c>
      <c r="AZ103" s="109">
        <v>1</v>
      </c>
      <c r="BA103" s="112">
        <f>AU103*IF(VLOOKUP($E103,武器奇术!$A:$R,17,FALSE)="鸣金",VLOOKUP($E103,武器奇术!$A:$R,4,FALSE),VLOOKUP($E103,武器奇术!$A:$R,2,FALSE))*(1+AX103)*(1+AY103)*AZ103</f>
        <v>0</v>
      </c>
      <c r="BB103" s="110">
        <f>(1-IF(VLOOKUP($E103,武器奇术!$A:$T,20,FALSE)=1,1,$N103))*(1-$M103)</f>
        <v>0</v>
      </c>
      <c r="BC103" s="112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10">
        <f t="shared" si="52"/>
        <v>0.8813852</v>
      </c>
      <c r="BE103" s="112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10">
        <f t="shared" si="53"/>
        <v>0.0986</v>
      </c>
      <c r="BG103" s="112">
        <f>AV103*IF(VLOOKUP($E103,武器奇术!$A:$R,17,FALSE)="鸣金",VLOOKUP($E103,武器奇术!$A:$R,4,FALSE),VLOOKUP($E103,武器奇术!$A:$R,2,FALSE))*(1+AX103)*(1+AY103)*AZ103</f>
        <v>0</v>
      </c>
      <c r="BH103" s="110">
        <f t="shared" si="54"/>
        <v>0.0200148</v>
      </c>
      <c r="BI103" s="113">
        <f t="shared" si="55"/>
        <v>0</v>
      </c>
      <c r="BJ103" s="108">
        <f>$B$9*IF($G$5="撼天",1.05,1)+IF(AND(VLOOKUP($E103,武器奇术!$A:$R,15,FALSE)="武器",VLOOKUP($E103,武器奇术!$A:$R,17,FALSE)="裂石"),$E$3,0)*(1+$E$15)</f>
        <v>0</v>
      </c>
      <c r="BK103" s="99">
        <f>(BJ103+BL103)*IF(VLOOKUP($E103,武器奇术!$A:$Z,21,FALSE)=1,$G$15,0.5)</f>
        <v>0</v>
      </c>
      <c r="BL103" s="109">
        <f>MAX($C$9*IF($G$5="撼天",1.05,1)+IF(AND(VLOOKUP($E103,武器奇术!$A:$R,15,FALSE)="武器",VLOOKUP($E103,武器奇术!$A:$R,17,FALSE)="裂石"),$E$3*(1+$E$15),0),BJ103)</f>
        <v>0</v>
      </c>
      <c r="BM103" s="110">
        <f>IF(($D$9+IF(VLOOKUP($E103,武器奇术!$A:$R,17,FALSE)="裂石",$D$15,0)+IF(VLOOKUP($E103,武器奇术!$A:$R,18,FALSE)=1,4,0)+IF(VLOOKUP($E103,武器奇术!$A:$S,19,FALSE)=1,20,0)-VLOOKUP($F$7,目标属性!$A:$R,6,FALSE))&gt;0,($D$9+IF(VLOOKUP($E103,武器奇术!$A:$R,17,FALSE)="裂石",$D$15,0)+IF(VLOOKUP($E103,武器奇术!$A:$R,18,FALSE)=1,4,0)+IF(VLOOKUP($E103,武器奇术!$A:$S,19,FALSE)=1,20,0)-VLOOKUP($F$7,目标属性!$A:$R,6,FALSE))/200,($D$9+IF(VLOOKUP($E103,武器奇术!$A:$R,17,FALSE)="裂石",$D$15,0)+IF(VLOOKUP($E103,武器奇术!$A:$R,18,FALSE)=1,4,0)+IF(VLOOKUP($E103,武器奇术!$A:$S,19,FALSE)=1,20,0)-VLOOKUP($F$7,目标属性!$A:$R,6,FALSE))/100)</f>
        <v>0</v>
      </c>
      <c r="BN103" s="111">
        <f t="shared" si="56"/>
        <v>0</v>
      </c>
      <c r="BO103" s="109">
        <v>1</v>
      </c>
      <c r="BP103" s="112">
        <f>BJ103*IF(VLOOKUP($E103,武器奇术!$A:$R,17,FALSE)="裂石",VLOOKUP($E103,武器奇术!$A:$R,4,FALSE),VLOOKUP($E103,武器奇术!$A:$R,2,FALSE))*(1+BM103)*(1+BN103)*BO103</f>
        <v>0</v>
      </c>
      <c r="BQ103" s="110">
        <f>(1-IF(VLOOKUP($E103,武器奇术!$A:$T,20,FALSE)=1,1,$N103))*(1-$M103)</f>
        <v>0</v>
      </c>
      <c r="BR103" s="112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10">
        <f t="shared" si="57"/>
        <v>0.8813852</v>
      </c>
      <c r="BT103" s="112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10">
        <f t="shared" si="58"/>
        <v>0.0986</v>
      </c>
      <c r="BV103" s="112">
        <f>BK103*IF(VLOOKUP($E103,武器奇术!$A:$R,17,FALSE)="裂石",VLOOKUP($E103,武器奇术!$A:$R,4,FALSE),VLOOKUP($E103,武器奇术!$A:$R,2,FALSE))*(1+BM103)*(1+BN103)*BO103</f>
        <v>0</v>
      </c>
      <c r="BW103" s="110">
        <f t="shared" si="59"/>
        <v>0.0200148</v>
      </c>
      <c r="BX103" s="113">
        <f t="shared" si="60"/>
        <v>0</v>
      </c>
      <c r="BY103" s="108">
        <f>$B$11*IF($G$5="撼天",1.05,1)+IF(AND(VLOOKUP($E103,武器奇术!$A:$R,15,FALSE)="武器",VLOOKUP($E103,武器奇术!$A:$R,17,FALSE)="牵丝"),$E$3,0)*(1+$E$15)</f>
        <v>0</v>
      </c>
      <c r="BZ103" s="99">
        <f>(BY103+CA103)*IF(VLOOKUP($E103,武器奇术!$A:$Z,21,FALSE)=1,$G$15,0.5)</f>
        <v>0</v>
      </c>
      <c r="CA103" s="109">
        <f>MAX($C$11*IF($G$5="撼天",1.05,1)+IF(AND(VLOOKUP($E103,武器奇术!$A:$R,15,FALSE)="武器",VLOOKUP($E103,武器奇术!$A:$R,17,FALSE)="牵丝"),$E$3*(1+$E$15),0),BY103)</f>
        <v>0</v>
      </c>
      <c r="CB103" s="110">
        <f>IF(($D$11+IF(VLOOKUP($E103,武器奇术!$A:$R,17,FALSE)="牵丝",$D$15,0)+IF(VLOOKUP($E103,武器奇术!$A:$R,18,FALSE)=1,4,0)+IF(VLOOKUP($E103,武器奇术!$A:$S,19,FALSE)=1,20,0)-VLOOKUP($F$7,目标属性!$A:$R,6,FALSE))&gt;0,($D$11+IF(VLOOKUP($E103,武器奇术!$A:$R,17,FALSE)="牵丝",$D$15,0)+IF(VLOOKUP($E103,武器奇术!$A:$R,18,FALSE)=1,4,0)+IF(VLOOKUP($E103,武器奇术!$A:$S,19,FALSE)=1,20,0)-VLOOKUP($F$7,目标属性!$A:$R,6,FALSE))/200,($D$11+IF(VLOOKUP($E103,武器奇术!$A:$R,17,FALSE)="牵丝",$D$15,0)+IF(VLOOKUP($E103,武器奇术!$A:$R,18,FALSE)=1,4,0)+IF(VLOOKUP($E103,武器奇术!$A:$S,19,FALSE)=1,20,0)-VLOOKUP($F$7,目标属性!$A:$R,6,FALSE))/100)</f>
        <v>0</v>
      </c>
      <c r="CC103" s="111">
        <f t="shared" si="61"/>
        <v>0</v>
      </c>
      <c r="CD103" s="109">
        <v>1</v>
      </c>
      <c r="CE103" s="112">
        <f>BY103*IF(VLOOKUP($E103,武器奇术!$A:$R,17,FALSE)="牵丝",VLOOKUP($E103,武器奇术!$A:$R,4,FALSE),VLOOKUP($E103,武器奇术!$A:$R,2,FALSE))*(1+CB103)*(1+CC103)*CD103</f>
        <v>0</v>
      </c>
      <c r="CF103" s="110">
        <f>(1-IF(VLOOKUP($E103,武器奇术!$A:$T,20,FALSE)=1,1,$N103))*(1-$M103)</f>
        <v>0</v>
      </c>
      <c r="CG103" s="112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110">
        <f t="shared" si="62"/>
        <v>0.8813852</v>
      </c>
      <c r="CI103" s="112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110">
        <f t="shared" si="63"/>
        <v>0.0986</v>
      </c>
      <c r="CK103" s="112">
        <f>BZ103*IF(VLOOKUP($E103,武器奇术!$A:$R,17,FALSE)="牵丝",VLOOKUP($E103,武器奇术!$A:$R,4,FALSE),VLOOKUP($E103,武器奇术!$A:$R,2,FALSE))*(1+CB103)*(1+CC103)*CD103</f>
        <v>0</v>
      </c>
      <c r="CL103" s="110">
        <f t="shared" si="64"/>
        <v>0.0200148</v>
      </c>
      <c r="CM103" s="113">
        <f t="shared" si="65"/>
        <v>0</v>
      </c>
      <c r="CN103" s="108">
        <f>$B$13*IF($G$5="撼天",1.05,1)+IF(AND(VLOOKUP($E103,武器奇术!$A:$R,15,FALSE)="武器",VLOOKUP($E103,武器奇术!$A:$R,17,FALSE)="破竹"),$E$3,0)*(1+$E$15)</f>
        <v>648.46</v>
      </c>
      <c r="CO103" s="99">
        <f>(CN103+CP103)*IF(VLOOKUP($E103,武器奇术!$A:$Z,21,FALSE)=1,$G$15,0.5)</f>
        <v>875.26</v>
      </c>
      <c r="CP103" s="109">
        <f>MAX($C$13*IF($G$5="撼天",1.05,1)+IF(AND(VLOOKUP($E103,武器奇术!$A:$R,15,FALSE)="武器",VLOOKUP($E103,武器奇术!$A:$R,17,FALSE)="破竹"),$E$3*(1+$E$15),0),CN103)</f>
        <v>1102.06</v>
      </c>
      <c r="CQ103" s="110">
        <f>IF(($D$13+IF(VLOOKUP($E103,武器奇术!$A:$R,17,FALSE)="破竹",$D$15,0)+IF(VLOOKUP($E103,武器奇术!$A:$R,18,FALSE)=1,4,0)+IF(VLOOKUP($E103,武器奇术!$A:$S,19,FALSE)=1,20,0)-VLOOKUP($F$7,目标属性!$A:$R,6,FALSE))&gt;0,($D$13+IF(VLOOKUP($E103,武器奇术!$A:$R,17,FALSE)="破竹",$D$15,0)+IF(VLOOKUP($E103,武器奇术!$A:$R,18,FALSE)=1,4,0)+IF(VLOOKUP($E103,武器奇术!$A:$S,19,FALSE)=1,20,0)-VLOOKUP($F$7,目标属性!$A:$R,6,FALSE))/200,($D$13+IF(VLOOKUP($E103,武器奇术!$A:$R,17,FALSE)="破竹",$D$15,0)+IF(VLOOKUP($E103,武器奇术!$A:$R,18,FALSE)=1,4,0)+IF(VLOOKUP($E103,武器奇术!$A:$S,19,FALSE)=1,20,0)-VLOOKUP($F$7,目标属性!$A:$R,6,FALSE))/100)</f>
        <v>0.145</v>
      </c>
      <c r="CR103" s="111">
        <f>$E$13+IF(VLOOKUP($E103,武器奇术!$A:$U,21,FALSE)=1,0,0.09)</f>
        <v>0.145</v>
      </c>
      <c r="CS103" s="109">
        <v>1</v>
      </c>
      <c r="CT103" s="112">
        <f>CN103*IF(VLOOKUP($E103,武器奇术!$A:$R,17,FALSE)="破竹",VLOOKUP($E103,武器奇术!$A:$R,4,FALSE),VLOOKUP($E103,武器奇术!$A:$R,2,FALSE))*(1+CQ103)*(1+CR103)*CS103</f>
        <v>20633.6693823951</v>
      </c>
      <c r="CU103" s="110">
        <f>(1-IF(VLOOKUP($E103,武器奇术!$A:$T,20,FALSE)=1,1,$N103))*(1-$M103)</f>
        <v>0</v>
      </c>
      <c r="CV103" s="112">
        <f>CO103*IF(VLOOKUP($E103,武器奇术!$A:$R,17,FALSE)="破竹",VLOOKUP($E103,武器奇术!$A:$R,4,FALSE),VLOOKUP($E103,武器奇术!$A:$R,2,FALSE))*(1+CQ103)*(1+CR103)*CS103*(1+$E$16+VLOOKUP($E103,武器奇术!$A:$R,8,FALSE))</f>
        <v>59599.7077571155</v>
      </c>
      <c r="CW103" s="110">
        <f t="shared" si="66"/>
        <v>0.8813852</v>
      </c>
      <c r="CX103" s="112">
        <f>CP103*IF(VLOOKUP($E103,武器奇术!$A:$R,17,FALSE)="破竹",VLOOKUP($E103,武器奇术!$A:$R,4,FALSE),VLOOKUP($E103,武器奇术!$A:$R,2,FALSE))*(1+CQ103)*(1+CR103)*CS103*(1+$E$17+VLOOKUP($E103,武器奇术!$A:$R,10,FALSE))</f>
        <v>47340.4392983516</v>
      </c>
      <c r="CY103" s="110">
        <f t="shared" si="67"/>
        <v>0.0986</v>
      </c>
      <c r="CZ103" s="112">
        <f>CO103*IF(VLOOKUP($E103,武器奇术!$A:$R,17,FALSE)="破竹",VLOOKUP($E103,武器奇术!$A:$R,4,FALSE),VLOOKUP($E103,武器奇术!$A:$R,2,FALSE))*(1+CQ103)*(1+CR103)*CS103</f>
        <v>27850.3307276241</v>
      </c>
      <c r="DA103" s="110">
        <f t="shared" si="68"/>
        <v>0.0200148</v>
      </c>
      <c r="DB103" s="113">
        <f t="shared" si="69"/>
        <v>57755.4864557115</v>
      </c>
      <c r="DC103" s="108">
        <f t="shared" si="70"/>
        <v>69.3</v>
      </c>
      <c r="DD103" s="99">
        <f>(DC103+DE103)*IF(VLOOKUP($E103,武器奇术!$A:$Z,21,FALSE)=1,$G$15,0.5)</f>
        <v>69.3</v>
      </c>
      <c r="DE103" s="109">
        <f t="shared" si="71"/>
        <v>69.3</v>
      </c>
      <c r="DF103" s="110">
        <f>IF(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R,18,FALSE)=1,4,0)+IF(VLOOKUP($E103,武器奇术!$A:$S,19,FALSE)=1,20,0)-VLOOKUP($F$7,目标属性!$A:$R,6,FALSE))/100)</f>
        <v>0.145</v>
      </c>
      <c r="DG103" s="111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U,21,FALSE)=1,0,0.09)</f>
        <v>0.145</v>
      </c>
      <c r="DH103" s="109">
        <v>1</v>
      </c>
      <c r="DI103" s="112">
        <f>DC103*IF(VLOOKUP($E103,武器奇术!$A:$R,17,FALSE)="破竹",VLOOKUP($E103,武器奇术!$A:$R,4,FALSE),VLOOKUP($E103,武器奇术!$A:$R,2,FALSE))*(1+DF103)*(1+DG103)*DH103</f>
        <v>2205.09096659775</v>
      </c>
      <c r="DJ103" s="110">
        <f>(1-IF(VLOOKUP($E103,武器奇术!$A:$T,20,FALSE)=1,1,$N103))*(1-$M103)</f>
        <v>0</v>
      </c>
      <c r="DK103" s="112">
        <f>DD103*IF(VLOOKUP($E103,武器奇术!$A:$R,17,FALSE)="破竹",VLOOKUP($E103,武器奇术!$A:$R,4,FALSE),VLOOKUP($E103,武器奇术!$A:$R,2,FALSE))*(1+DF103)*(1+DG103)*DH103*(1+$E$16+VLOOKUP($E103,武器奇术!$A:$R,8,FALSE))</f>
        <v>4718.89466851919</v>
      </c>
      <c r="DL103" s="110">
        <f t="shared" si="72"/>
        <v>0.8813852</v>
      </c>
      <c r="DM103" s="112">
        <f>DE103*IF(VLOOKUP($E103,武器奇术!$A:$R,17,FALSE)="破竹",VLOOKUP($E103,武器奇术!$A:$R,4,FALSE),VLOOKUP($E103,武器奇术!$A:$R,2,FALSE))*(1+DF103)*(1+DG103)*DH103*(1+$E$17+VLOOKUP($E103,武器奇术!$A:$R,10,FALSE))</f>
        <v>2976.87280490696</v>
      </c>
      <c r="DN103" s="110">
        <f t="shared" si="73"/>
        <v>0.0986</v>
      </c>
      <c r="DO103" s="112">
        <f>DD103*IF(VLOOKUP($E103,武器奇术!$A:$R,17,FALSE)="破竹",VLOOKUP($E103,武器奇术!$A:$R,4,FALSE),VLOOKUP($E103,武器奇术!$A:$R,2,FALSE))*(1+DF103)*(1+DG103)*DH103</f>
        <v>2205.09096659775</v>
      </c>
      <c r="DP103" s="110">
        <f t="shared" si="74"/>
        <v>0.0200148</v>
      </c>
      <c r="DQ103" s="113">
        <f t="shared" si="75"/>
        <v>4496.8180344338</v>
      </c>
    </row>
    <row r="104" spans="1:121">
      <c r="A104" s="75"/>
      <c r="B104" s="75"/>
      <c r="C104" s="148"/>
      <c r="D104" s="75"/>
      <c r="E104" s="98" t="str">
        <f>期望!E104</f>
        <v>N/A</v>
      </c>
      <c r="F104" s="99">
        <f>期望!F104</f>
        <v>1</v>
      </c>
      <c r="G104" s="115"/>
      <c r="H104" s="100">
        <f>IF(VLOOKUP($E104,武器奇术!$A:$R,18,FALSE)="天工",AE104,(AE104+AT104+BI104+BX104+CM104+DB104+DQ104))*(1+J104)*F104*K104*(1+G104)</f>
        <v>0</v>
      </c>
      <c r="I104" s="101">
        <f t="shared" si="39"/>
        <v>0</v>
      </c>
      <c r="J104" s="101">
        <f>$F$3+VLOOKUP($E104,武器奇术!$A:$R,12,FALSE)+VLOOKUP($E104,武器奇术!$A:$R,14,FALSE)*$G$3+$P104</f>
        <v>0.303</v>
      </c>
      <c r="K104" s="102">
        <f>VLOOKUP($E104,武器奇术!$A:$R,11,FALSE)</f>
        <v>1</v>
      </c>
      <c r="L104" s="117">
        <f>IF(VLOOKUP($E104,武器奇术!$A:$R,15,FALSE)="天工",0%,IF($C$17+VLOOKUP($E104,武器奇术!$A:$R,7,FALSE)&gt;80%,80%,$C$17+VLOOKUP($E104,武器奇术!$A:$R,7,FALSE))+IF($C$19&gt;20%,20%,$C$19))</f>
        <v>0.892</v>
      </c>
      <c r="M104" s="118">
        <f>IF(VLOOKUP($E104,武器奇术!$A:$R,15,FALSE)="天工",0%,IF($C$18+VLOOKUP($E104,武器奇术!$A:$R,9,FALSE)&gt;40%,40%,$C$18+VLOOKUP($E104,武器奇术!$A:$R,9,FALSE))+IF($C$20&gt;10%,10%,$C$20))</f>
        <v>0.0986</v>
      </c>
      <c r="N104" s="119">
        <f>IF(VLOOKUP($E104,武器奇术!$A:$R,15,FALSE)="天工",100%,MIN($C$16,1))</f>
        <v>0.9881</v>
      </c>
      <c r="O104" s="120" t="str">
        <f>VLOOKUP($E104,武器奇术!$A:$R,16,FALSE)</f>
        <v>N/A</v>
      </c>
      <c r="P104" s="121">
        <f t="shared" si="76"/>
        <v>0</v>
      </c>
      <c r="Q104" s="108">
        <f>$B$5*(1+VLOOKUP($E104,武器奇术!$A:$R,5,FALSE)+IF($G$5="飞隼",0.1,0)+IF($G$5="撼天",0.05,0))-$F$9+IF($I$5="√",160,0)</f>
        <v>1731.135</v>
      </c>
      <c r="R104" s="99">
        <f>IF(VLOOKUP($E104,武器奇术!$A:$Z,20,FALSE)=1,(S104-(Q104+S104)*0.5)*($G$15-0.5)*2+(Q104+S104)*0.5,(Q104+S104)*0.5)</f>
        <v>3256.775</v>
      </c>
      <c r="S104" s="109">
        <f>MAX($C$5,$B$5)*(1+VLOOKUP($E104,武器奇术!$A:$R,5,FALSE)+IF($G$5="飞隼",0.1,0)+IF($G$5="撼天",0.05,0))-$F$9+IF($I$5="√",320,0)</f>
        <v>4782.415</v>
      </c>
      <c r="T104" s="101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U104" s="111">
        <f>$E$5+IF(VLOOKUP($E104,武器奇术!$A:$U,21,FALSE)=1,0,0.09)</f>
        <v>0.115</v>
      </c>
      <c r="V104" s="109">
        <v>1</v>
      </c>
      <c r="W104" s="112">
        <f>Q104*VLOOKUP($E104,武器奇术!$A:$R,2,FALSE)*(1+T104)*(1+U104)*V104</f>
        <v>0</v>
      </c>
      <c r="X104" s="110">
        <f>(1-IF(VLOOKUP($E104,武器奇术!$A:$T,20,FALSE)=1,1,$N104))*(1-$M104)</f>
        <v>0.01072666</v>
      </c>
      <c r="Y104" s="112">
        <f>R104*VLOOKUP($E104,武器奇术!$A:$R,2,FALSE)*(1+T104)*(1+U104)*V104*(1+$E$16+VLOOKUP($E104,武器奇术!$A:$R,8,FALSE))</f>
        <v>0</v>
      </c>
      <c r="Z104" s="110">
        <f t="shared" si="40"/>
        <v>0.8813852</v>
      </c>
      <c r="AA104" s="112">
        <f>S104*VLOOKUP($E104,武器奇术!$A:$R,2,FALSE)*(1+T104)*(1+U104)*V104*(1+$E$17+VLOOKUP($E104,武器奇术!$A:$R,10,FALSE))</f>
        <v>0</v>
      </c>
      <c r="AB104" s="110">
        <f t="shared" si="41"/>
        <v>0.0986</v>
      </c>
      <c r="AC104" s="112">
        <f>R104*VLOOKUP($E104,武器奇术!$A:$R,2,FALSE)*(1+T104)*(1+U104)*V104</f>
        <v>0</v>
      </c>
      <c r="AD104" s="110">
        <f t="shared" si="42"/>
        <v>0.00928814000000003</v>
      </c>
      <c r="AE104" s="113">
        <f t="shared" si="43"/>
        <v>0</v>
      </c>
      <c r="AF104" s="114">
        <f>VLOOKUP($E104,武器奇术!$A:$R,3,FALSE)*(1+IF(VLOOKUP($E104,武器奇术!$A:$R,15,FALSE)="武器",$E$15,0))</f>
        <v>0</v>
      </c>
      <c r="AG104" s="112">
        <f t="shared" si="44"/>
        <v>0</v>
      </c>
      <c r="AH104" s="112">
        <f>VLOOKUP($E104,武器奇术!$A:$R,3,FALSE)*(1+IF(VLOOKUP($E104,武器奇术!$A:$R,15,FALSE)="武器",$E$15,0))</f>
        <v>0</v>
      </c>
      <c r="AI104" s="101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0.242</v>
      </c>
      <c r="AJ104" s="111">
        <f>$E$5+IF(VLOOKUP($E104,武器奇术!$A:$U,21,FALSE)=1,0,0.09)</f>
        <v>0.115</v>
      </c>
      <c r="AK104" s="109">
        <v>1</v>
      </c>
      <c r="AL104" s="112">
        <f t="shared" si="45"/>
        <v>0</v>
      </c>
      <c r="AM104" s="110">
        <f>(1-IF(VLOOKUP($E104,武器奇术!$A:$T,20,FALSE)=1,1,$N104))*(1-$M104)</f>
        <v>0.01072666</v>
      </c>
      <c r="AN104" s="112">
        <f>AG104*(1+AI104)*(1+AJ104)*AK104*(1+$E$16+VLOOKUP($E104,武器奇术!$A:$R,8,FALSE))</f>
        <v>0</v>
      </c>
      <c r="AO104" s="110">
        <f t="shared" si="46"/>
        <v>0.8813852</v>
      </c>
      <c r="AP104" s="112">
        <f>AH104*(1+AI104)*(1+AJ104)*AK104*(1+$E$17+VLOOKUP($E104,武器奇术!$A:$R,10,FALSE))</f>
        <v>0</v>
      </c>
      <c r="AQ104" s="110">
        <f t="shared" si="47"/>
        <v>0.0986</v>
      </c>
      <c r="AR104" s="112">
        <f t="shared" si="48"/>
        <v>0</v>
      </c>
      <c r="AS104" s="110">
        <f t="shared" si="49"/>
        <v>0.00928814000000003</v>
      </c>
      <c r="AT104" s="113">
        <f t="shared" si="50"/>
        <v>0</v>
      </c>
      <c r="AU104" s="108">
        <f>$B$7*IF($G$5="撼天",1.05,1)+IF(AND(VLOOKUP($E104,武器奇术!$A:$R,15,FALSE)="武器",VLOOKUP($E104,武器奇术!$A:$R,17,FALSE)="鸣金"),$E$3,0)*(1+$E$15)</f>
        <v>0</v>
      </c>
      <c r="AV104" s="99">
        <f>(AU104+AW104)*IF(VLOOKUP($E104,武器奇术!$A:$Z,21,FALSE)=1,$G$15,0.5)</f>
        <v>0</v>
      </c>
      <c r="AW104" s="109">
        <f>MAX($C$7*IF($G$5="撼天",1.05,1)+IF(AND(VLOOKUP($E104,武器奇术!$A:$R,15,FALSE)="武器",VLOOKUP($E104,武器奇术!$A:$R,17,FALSE)="鸣金"),$E$3*(1+$E$15),0),AU104)</f>
        <v>0</v>
      </c>
      <c r="AX104" s="110">
        <f>IF(($D$7+IF(VLOOKUP($E104,武器奇术!$A:$R,17,FALSE)="鸣金",$D$15,0)+IF(VLOOKUP($E104,武器奇术!$A:$R,18,FALSE)=1,4,0)+IF(VLOOKUP($E104,武器奇术!$A:$S,19,FALSE)=1,20,0)-VLOOKUP($F$7,目标属性!$A:$R,6,FALSE))&gt;0,($D$7+IF(VLOOKUP($E104,武器奇术!$A:$R,17,FALSE)="鸣金",$D$15,0)+IF(VLOOKUP($E104,武器奇术!$A:$R,18,FALSE)=1,4,0)+IF(VLOOKUP($E104,武器奇术!$A:$S,19,FALSE)=1,20,0)-VLOOKUP($F$7,目标属性!$A:$R,6,FALSE))/200,($D$7+IF(VLOOKUP($E104,武器奇术!$A:$R,17,FALSE)="鸣金",$D$15,0)+IF(VLOOKUP($E104,武器奇术!$A:$R,18,FALSE)=1,4,0)+IF(VLOOKUP($E104,武器奇术!$A:$S,19,FALSE)=1,20,0)-VLOOKUP($F$7,目标属性!$A:$R,6,FALSE))/100)</f>
        <v>-0.24</v>
      </c>
      <c r="AY104" s="111">
        <f t="shared" si="51"/>
        <v>0</v>
      </c>
      <c r="AZ104" s="109">
        <v>1</v>
      </c>
      <c r="BA104" s="112">
        <f>AU104*IF(VLOOKUP($E104,武器奇术!$A:$R,17,FALSE)="鸣金",VLOOKUP($E104,武器奇术!$A:$R,4,FALSE),VLOOKUP($E104,武器奇术!$A:$R,2,FALSE))*(1+AX104)*(1+AY104)*AZ104</f>
        <v>0</v>
      </c>
      <c r="BB104" s="110">
        <f>(1-IF(VLOOKUP($E104,武器奇术!$A:$T,20,FALSE)=1,1,$N104))*(1-$M104)</f>
        <v>0.01072666</v>
      </c>
      <c r="BC104" s="112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110">
        <f t="shared" si="52"/>
        <v>0.8813852</v>
      </c>
      <c r="BE104" s="112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110">
        <f t="shared" si="53"/>
        <v>0.0986</v>
      </c>
      <c r="BG104" s="112">
        <f>AV104*IF(VLOOKUP($E104,武器奇术!$A:$R,17,FALSE)="鸣金",VLOOKUP($E104,武器奇术!$A:$R,4,FALSE),VLOOKUP($E104,武器奇术!$A:$R,2,FALSE))*(1+AX104)*(1+AY104)*AZ104</f>
        <v>0</v>
      </c>
      <c r="BH104" s="110">
        <f t="shared" si="54"/>
        <v>0.00928814000000003</v>
      </c>
      <c r="BI104" s="113">
        <f t="shared" si="55"/>
        <v>0</v>
      </c>
      <c r="BJ104" s="108">
        <f>$B$9*IF($G$5="撼天",1.05,1)+IF(AND(VLOOKUP($E104,武器奇术!$A:$R,15,FALSE)="武器",VLOOKUP($E104,武器奇术!$A:$R,17,FALSE)="裂石"),$E$3,0)*(1+$E$15)</f>
        <v>0</v>
      </c>
      <c r="BK104" s="99">
        <f>(BJ104+BL104)*IF(VLOOKUP($E104,武器奇术!$A:$Z,21,FALSE)=1,$G$15,0.5)</f>
        <v>0</v>
      </c>
      <c r="BL104" s="109">
        <f>MAX($C$9*IF($G$5="撼天",1.05,1)+IF(AND(VLOOKUP($E104,武器奇术!$A:$R,15,FALSE)="武器",VLOOKUP($E104,武器奇术!$A:$R,17,FALSE)="裂石"),$E$3*(1+$E$15),0),BJ104)</f>
        <v>0</v>
      </c>
      <c r="BM104" s="110">
        <f>IF(($D$9+IF(VLOOKUP($E104,武器奇术!$A:$R,17,FALSE)="裂石",$D$15,0)+IF(VLOOKUP($E104,武器奇术!$A:$R,18,FALSE)=1,4,0)+IF(VLOOKUP($E104,武器奇术!$A:$S,19,FALSE)=1,20,0)-VLOOKUP($F$7,目标属性!$A:$R,6,FALSE))&gt;0,($D$9+IF(VLOOKUP($E104,武器奇术!$A:$R,17,FALSE)="裂石",$D$15,0)+IF(VLOOKUP($E104,武器奇术!$A:$R,18,FALSE)=1,4,0)+IF(VLOOKUP($E104,武器奇术!$A:$S,19,FALSE)=1,20,0)-VLOOKUP($F$7,目标属性!$A:$R,6,FALSE))/200,($D$9+IF(VLOOKUP($E104,武器奇术!$A:$R,17,FALSE)="裂石",$D$15,0)+IF(VLOOKUP($E104,武器奇术!$A:$R,18,FALSE)=1,4,0)+IF(VLOOKUP($E104,武器奇术!$A:$S,19,FALSE)=1,20,0)-VLOOKUP($F$7,目标属性!$A:$R,6,FALSE))/100)</f>
        <v>-0.24</v>
      </c>
      <c r="BN104" s="111">
        <f t="shared" si="56"/>
        <v>0</v>
      </c>
      <c r="BO104" s="109">
        <v>1</v>
      </c>
      <c r="BP104" s="112">
        <f>BJ104*IF(VLOOKUP($E104,武器奇术!$A:$R,17,FALSE)="裂石",VLOOKUP($E104,武器奇术!$A:$R,4,FALSE),VLOOKUP($E104,武器奇术!$A:$R,2,FALSE))*(1+BM104)*(1+BN104)*BO104</f>
        <v>0</v>
      </c>
      <c r="BQ104" s="110">
        <f>(1-IF(VLOOKUP($E104,武器奇术!$A:$T,20,FALSE)=1,1,$N104))*(1-$M104)</f>
        <v>0.01072666</v>
      </c>
      <c r="BR104" s="112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110">
        <f t="shared" si="57"/>
        <v>0.8813852</v>
      </c>
      <c r="BT104" s="112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110">
        <f t="shared" si="58"/>
        <v>0.0986</v>
      </c>
      <c r="BV104" s="112">
        <f>BK104*IF(VLOOKUP($E104,武器奇术!$A:$R,17,FALSE)="裂石",VLOOKUP($E104,武器奇术!$A:$R,4,FALSE),VLOOKUP($E104,武器奇术!$A:$R,2,FALSE))*(1+BM104)*(1+BN104)*BO104</f>
        <v>0</v>
      </c>
      <c r="BW104" s="110">
        <f t="shared" si="59"/>
        <v>0.00928814000000003</v>
      </c>
      <c r="BX104" s="113">
        <f t="shared" si="60"/>
        <v>0</v>
      </c>
      <c r="BY104" s="108">
        <f>$B$11*IF($G$5="撼天",1.05,1)+IF(AND(VLOOKUP($E104,武器奇术!$A:$R,15,FALSE)="武器",VLOOKUP($E104,武器奇术!$A:$R,17,FALSE)="牵丝"),$E$3,0)*(1+$E$15)</f>
        <v>0</v>
      </c>
      <c r="BZ104" s="99">
        <f>(BY104+CA104)*IF(VLOOKUP($E104,武器奇术!$A:$Z,21,FALSE)=1,$G$15,0.5)</f>
        <v>0</v>
      </c>
      <c r="CA104" s="109">
        <f>MAX($C$11*IF($G$5="撼天",1.05,1)+IF(AND(VLOOKUP($E104,武器奇术!$A:$R,15,FALSE)="武器",VLOOKUP($E104,武器奇术!$A:$R,17,FALSE)="牵丝"),$E$3*(1+$E$15),0),BY104)</f>
        <v>0</v>
      </c>
      <c r="CB104" s="110">
        <f>IF(($D$11+IF(VLOOKUP($E104,武器奇术!$A:$R,17,FALSE)="牵丝",$D$15,0)+IF(VLOOKUP($E104,武器奇术!$A:$R,18,FALSE)=1,4,0)+IF(VLOOKUP($E104,武器奇术!$A:$S,19,FALSE)=1,20,0)-VLOOKUP($F$7,目标属性!$A:$R,6,FALSE))&gt;0,($D$11+IF(VLOOKUP($E104,武器奇术!$A:$R,17,FALSE)="牵丝",$D$15,0)+IF(VLOOKUP($E104,武器奇术!$A:$R,18,FALSE)=1,4,0)+IF(VLOOKUP($E104,武器奇术!$A:$S,19,FALSE)=1,20,0)-VLOOKUP($F$7,目标属性!$A:$R,6,FALSE))/200,($D$11+IF(VLOOKUP($E104,武器奇术!$A:$R,17,FALSE)="牵丝",$D$15,0)+IF(VLOOKUP($E104,武器奇术!$A:$R,18,FALSE)=1,4,0)+IF(VLOOKUP($E104,武器奇术!$A:$S,19,FALSE)=1,20,0)-VLOOKUP($F$7,目标属性!$A:$R,6,FALSE))/100)</f>
        <v>-0.24</v>
      </c>
      <c r="CC104" s="111">
        <f t="shared" si="61"/>
        <v>0</v>
      </c>
      <c r="CD104" s="109">
        <v>1</v>
      </c>
      <c r="CE104" s="112">
        <f>BY104*IF(VLOOKUP($E104,武器奇术!$A:$R,17,FALSE)="牵丝",VLOOKUP($E104,武器奇术!$A:$R,4,FALSE),VLOOKUP($E104,武器奇术!$A:$R,2,FALSE))*(1+CB104)*(1+CC104)*CD104</f>
        <v>0</v>
      </c>
      <c r="CF104" s="110">
        <f>(1-IF(VLOOKUP($E104,武器奇术!$A:$T,20,FALSE)=1,1,$N104))*(1-$M104)</f>
        <v>0.01072666</v>
      </c>
      <c r="CG104" s="112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110">
        <f t="shared" si="62"/>
        <v>0.8813852</v>
      </c>
      <c r="CI104" s="112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110">
        <f t="shared" si="63"/>
        <v>0.0986</v>
      </c>
      <c r="CK104" s="112">
        <f>BZ104*IF(VLOOKUP($E104,武器奇术!$A:$R,17,FALSE)="牵丝",VLOOKUP($E104,武器奇术!$A:$R,4,FALSE),VLOOKUP($E104,武器奇术!$A:$R,2,FALSE))*(1+CB104)*(1+CC104)*CD104</f>
        <v>0</v>
      </c>
      <c r="CL104" s="110">
        <f t="shared" si="64"/>
        <v>0.00928814000000003</v>
      </c>
      <c r="CM104" s="113">
        <f t="shared" si="65"/>
        <v>0</v>
      </c>
      <c r="CN104" s="108">
        <f>$B$13*IF($G$5="撼天",1.05,1)+IF(AND(VLOOKUP($E104,武器奇术!$A:$R,15,FALSE)="武器",VLOOKUP($E104,武器奇术!$A:$R,17,FALSE)="破竹"),$E$3,0)*(1+$E$15)</f>
        <v>452.55</v>
      </c>
      <c r="CO104" s="99">
        <f>(CN104+CP104)*IF(VLOOKUP($E104,武器奇术!$A:$Z,21,FALSE)=1,$G$15,0.5)</f>
        <v>679.35</v>
      </c>
      <c r="CP104" s="109">
        <f>MAX($C$13*IF($G$5="撼天",1.05,1)+IF(AND(VLOOKUP($E104,武器奇术!$A:$R,15,FALSE)="武器",VLOOKUP($E104,武器奇术!$A:$R,17,FALSE)="破竹"),$E$3*(1+$E$15),0),CN104)</f>
        <v>906.15</v>
      </c>
      <c r="CQ104" s="110">
        <f>IF(($D$13+IF(VLOOKUP($E104,武器奇术!$A:$R,17,FALSE)="破竹",$D$15,0)+IF(VLOOKUP($E104,武器奇术!$A:$R,18,FALSE)=1,4,0)+IF(VLOOKUP($E104,武器奇术!$A:$S,19,FALSE)=1,20,0)-VLOOKUP($F$7,目标属性!$A:$R,6,FALSE))&gt;0,($D$13+IF(VLOOKUP($E104,武器奇术!$A:$R,17,FALSE)="破竹",$D$15,0)+IF(VLOOKUP($E104,武器奇术!$A:$R,18,FALSE)=1,4,0)+IF(VLOOKUP($E104,武器奇术!$A:$S,19,FALSE)=1,20,0)-VLOOKUP($F$7,目标属性!$A:$R,6,FALSE))/200,($D$13+IF(VLOOKUP($E104,武器奇术!$A:$R,17,FALSE)="破竹",$D$15,0)+IF(VLOOKUP($E104,武器奇术!$A:$R,18,FALSE)=1,4,0)+IF(VLOOKUP($E104,武器奇术!$A:$S,19,FALSE)=1,20,0)-VLOOKUP($F$7,目标属性!$A:$R,6,FALSE))/100)</f>
        <v>0.025</v>
      </c>
      <c r="CR104" s="111">
        <f>$E$13+IF(VLOOKUP($E104,武器奇术!$A:$U,21,FALSE)=1,0,0.09)</f>
        <v>0.235</v>
      </c>
      <c r="CS104" s="109">
        <v>1</v>
      </c>
      <c r="CT104" s="112">
        <f>CN104*IF(VLOOKUP($E104,武器奇术!$A:$R,17,FALSE)="破竹",VLOOKUP($E104,武器奇术!$A:$R,4,FALSE),VLOOKUP($E104,武器奇术!$A:$R,2,FALSE))*(1+CQ104)*(1+CR104)*CS104</f>
        <v>0</v>
      </c>
      <c r="CU104" s="110">
        <f>(1-IF(VLOOKUP($E104,武器奇术!$A:$T,20,FALSE)=1,1,$N104))*(1-$M104)</f>
        <v>0.01072666</v>
      </c>
      <c r="CV104" s="112">
        <f>CO104*IF(VLOOKUP($E104,武器奇术!$A:$R,17,FALSE)="破竹",VLOOKUP($E104,武器奇术!$A:$R,4,FALSE),VLOOKUP($E104,武器奇术!$A:$R,2,FALSE))*(1+CQ104)*(1+CR104)*CS104*(1+$E$16+VLOOKUP($E104,武器奇术!$A:$R,8,FALSE))</f>
        <v>0</v>
      </c>
      <c r="CW104" s="110">
        <f t="shared" si="66"/>
        <v>0.8813852</v>
      </c>
      <c r="CX104" s="112">
        <f>CP104*IF(VLOOKUP($E104,武器奇术!$A:$R,17,FALSE)="破竹",VLOOKUP($E104,武器奇术!$A:$R,4,FALSE),VLOOKUP($E104,武器奇术!$A:$R,2,FALSE))*(1+CQ104)*(1+CR104)*CS104*(1+$E$17+VLOOKUP($E104,武器奇术!$A:$R,10,FALSE))</f>
        <v>0</v>
      </c>
      <c r="CY104" s="110">
        <f t="shared" si="67"/>
        <v>0.0986</v>
      </c>
      <c r="CZ104" s="112">
        <f>CO104*IF(VLOOKUP($E104,武器奇术!$A:$R,17,FALSE)="破竹",VLOOKUP($E104,武器奇术!$A:$R,4,FALSE),VLOOKUP($E104,武器奇术!$A:$R,2,FALSE))*(1+CQ104)*(1+CR104)*CS104</f>
        <v>0</v>
      </c>
      <c r="DA104" s="110">
        <f t="shared" si="68"/>
        <v>0.00928814000000003</v>
      </c>
      <c r="DB104" s="113">
        <f t="shared" si="69"/>
        <v>0</v>
      </c>
      <c r="DC104" s="108">
        <f t="shared" si="70"/>
        <v>69.3</v>
      </c>
      <c r="DD104" s="99">
        <f>(DC104+DE104)*IF(VLOOKUP($E104,武器奇术!$A:$Z,21,FALSE)=1,$G$15,0.5)</f>
        <v>69.3</v>
      </c>
      <c r="DE104" s="109">
        <f t="shared" si="71"/>
        <v>69.3</v>
      </c>
      <c r="DF104" s="110">
        <f>IF(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R,18,FALSE)=1,4,0)+IF(VLOOKUP($E104,武器奇术!$A:$S,19,FALSE)=1,20,0)-VLOOKUP($F$7,目标属性!$A:$R,6,FALSE))/100)</f>
        <v>0.025</v>
      </c>
      <c r="DG104" s="111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U,21,FALSE)=1,0,0.09)</f>
        <v>0.235</v>
      </c>
      <c r="DH104" s="109">
        <v>1</v>
      </c>
      <c r="DI104" s="112">
        <f>DC104*IF(VLOOKUP($E104,武器奇术!$A:$R,17,FALSE)="破竹",VLOOKUP($E104,武器奇术!$A:$R,4,FALSE),VLOOKUP($E104,武器奇术!$A:$R,2,FALSE))*(1+DF104)*(1+DG104)*DH104</f>
        <v>0</v>
      </c>
      <c r="DJ104" s="110">
        <f>(1-IF(VLOOKUP($E104,武器奇术!$A:$T,20,FALSE)=1,1,$N104))*(1-$M104)</f>
        <v>0.01072666</v>
      </c>
      <c r="DK104" s="112">
        <f>DD104*IF(VLOOKUP($E104,武器奇术!$A:$R,17,FALSE)="破竹",VLOOKUP($E104,武器奇术!$A:$R,4,FALSE),VLOOKUP($E104,武器奇术!$A:$R,2,FALSE))*(1+DF104)*(1+DG104)*DH104*(1+$E$16+VLOOKUP($E104,武器奇术!$A:$R,8,FALSE))</f>
        <v>0</v>
      </c>
      <c r="DL104" s="110">
        <f t="shared" si="72"/>
        <v>0.8813852</v>
      </c>
      <c r="DM104" s="112">
        <f>DE104*IF(VLOOKUP($E104,武器奇术!$A:$R,17,FALSE)="破竹",VLOOKUP($E104,武器奇术!$A:$R,4,FALSE),VLOOKUP($E104,武器奇术!$A:$R,2,FALSE))*(1+DF104)*(1+DG104)*DH104*(1+$E$17+VLOOKUP($E104,武器奇术!$A:$R,10,FALSE))</f>
        <v>0</v>
      </c>
      <c r="DN104" s="110">
        <f t="shared" si="73"/>
        <v>0.0986</v>
      </c>
      <c r="DO104" s="112">
        <f>DD104*IF(VLOOKUP($E104,武器奇术!$A:$R,17,FALSE)="破竹",VLOOKUP($E104,武器奇术!$A:$R,4,FALSE),VLOOKUP($E104,武器奇术!$A:$R,2,FALSE))*(1+DF104)*(1+DG104)*DH104</f>
        <v>0</v>
      </c>
      <c r="DP104" s="110">
        <f t="shared" si="74"/>
        <v>0.00928814000000003</v>
      </c>
      <c r="DQ104" s="113">
        <f t="shared" si="75"/>
        <v>0</v>
      </c>
    </row>
    <row r="105" spans="1:121">
      <c r="A105" s="75"/>
      <c r="B105" s="75"/>
      <c r="C105" s="148"/>
      <c r="D105" s="75"/>
      <c r="E105" s="98" t="str">
        <f>期望!E105</f>
        <v>N/A</v>
      </c>
      <c r="F105" s="99">
        <f>期望!F105</f>
        <v>1</v>
      </c>
      <c r="G105" s="115"/>
      <c r="H105" s="100">
        <f>IF(VLOOKUP($E105,武器奇术!$A:$R,18,FALSE)="天工",AE105,(AE105+AT105+BI105+BX105+CM105+DB105+DQ105))*(1+J105)*F105*K105*(1+G105)</f>
        <v>0</v>
      </c>
      <c r="I105" s="101">
        <f t="shared" si="39"/>
        <v>0</v>
      </c>
      <c r="J105" s="101">
        <f>$F$3+VLOOKUP($E105,武器奇术!$A:$R,12,FALSE)+VLOOKUP($E105,武器奇术!$A:$R,14,FALSE)*$G$3+$P105</f>
        <v>0.303</v>
      </c>
      <c r="K105" s="102">
        <f>VLOOKUP($E105,武器奇术!$A:$R,11,FALSE)</f>
        <v>1</v>
      </c>
      <c r="L105" s="117">
        <f>IF(VLOOKUP($E105,武器奇术!$A:$R,15,FALSE)="天工",0%,IF($C$17+VLOOKUP($E105,武器奇术!$A:$R,7,FALSE)&gt;80%,80%,$C$17+VLOOKUP($E105,武器奇术!$A:$R,7,FALSE))+IF($C$19&gt;20%,20%,$C$19))</f>
        <v>0.892</v>
      </c>
      <c r="M105" s="118">
        <f>IF(VLOOKUP($E105,武器奇术!$A:$R,15,FALSE)="天工",0%,IF($C$18+VLOOKUP($E105,武器奇术!$A:$R,9,FALSE)&gt;40%,40%,$C$18+VLOOKUP($E105,武器奇术!$A:$R,9,FALSE))+IF($C$20&gt;10%,10%,$C$20))</f>
        <v>0.0986</v>
      </c>
      <c r="N105" s="119">
        <f>IF(VLOOKUP($E105,武器奇术!$A:$R,15,FALSE)="天工",100%,MIN($C$16,1))</f>
        <v>0.9881</v>
      </c>
      <c r="O105" s="120" t="str">
        <f>VLOOKUP($E105,武器奇术!$A:$R,16,FALSE)</f>
        <v>N/A</v>
      </c>
      <c r="P105" s="121">
        <f t="shared" si="76"/>
        <v>0</v>
      </c>
      <c r="Q105" s="108">
        <f>$B$5*(1+VLOOKUP($E105,武器奇术!$A:$R,5,FALSE)+IF($G$5="飞隼",0.1,0)+IF($G$5="撼天",0.05,0))-$F$9+IF($I$5="√",160,0)</f>
        <v>1731.135</v>
      </c>
      <c r="R105" s="99">
        <f>IF(VLOOKUP($E105,武器奇术!$A:$Z,20,FALSE)=1,(S105-(Q105+S105)*0.5)*($G$15-0.5)*2+(Q105+S105)*0.5,(Q105+S105)*0.5)</f>
        <v>3256.775</v>
      </c>
      <c r="S105" s="109">
        <f>MAX($C$5,$B$5)*(1+VLOOKUP($E105,武器奇术!$A:$R,5,FALSE)+IF($G$5="飞隼",0.1,0)+IF($G$5="撼天",0.05,0))-$F$9+IF($I$5="√",320,0)</f>
        <v>4782.415</v>
      </c>
      <c r="T105" s="101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U105" s="111">
        <f>$E$5+IF(VLOOKUP($E105,武器奇术!$A:$U,21,FALSE)=1,0,0.09)</f>
        <v>0.115</v>
      </c>
      <c r="V105" s="109">
        <v>1</v>
      </c>
      <c r="W105" s="112">
        <f>Q105*VLOOKUP($E105,武器奇术!$A:$R,2,FALSE)*(1+T105)*(1+U105)*V105</f>
        <v>0</v>
      </c>
      <c r="X105" s="110">
        <f>(1-IF(VLOOKUP($E105,武器奇术!$A:$T,20,FALSE)=1,1,$N105))*(1-$M105)</f>
        <v>0.01072666</v>
      </c>
      <c r="Y105" s="112">
        <f>R105*VLOOKUP($E105,武器奇术!$A:$R,2,FALSE)*(1+T105)*(1+U105)*V105*(1+$E$16+VLOOKUP($E105,武器奇术!$A:$R,8,FALSE))</f>
        <v>0</v>
      </c>
      <c r="Z105" s="110">
        <f t="shared" si="40"/>
        <v>0.8813852</v>
      </c>
      <c r="AA105" s="112">
        <f>S105*VLOOKUP($E105,武器奇术!$A:$R,2,FALSE)*(1+T105)*(1+U105)*V105*(1+$E$17+VLOOKUP($E105,武器奇术!$A:$R,10,FALSE))</f>
        <v>0</v>
      </c>
      <c r="AB105" s="110">
        <f t="shared" si="41"/>
        <v>0.0986</v>
      </c>
      <c r="AC105" s="112">
        <f>R105*VLOOKUP($E105,武器奇术!$A:$R,2,FALSE)*(1+T105)*(1+U105)*V105</f>
        <v>0</v>
      </c>
      <c r="AD105" s="110">
        <f t="shared" si="42"/>
        <v>0.00928814000000003</v>
      </c>
      <c r="AE105" s="113">
        <f t="shared" si="43"/>
        <v>0</v>
      </c>
      <c r="AF105" s="114">
        <f>VLOOKUP($E105,武器奇术!$A:$R,3,FALSE)*(1+IF(VLOOKUP($E105,武器奇术!$A:$R,15,FALSE)="武器",$E$15,0))</f>
        <v>0</v>
      </c>
      <c r="AG105" s="112">
        <f t="shared" si="44"/>
        <v>0</v>
      </c>
      <c r="AH105" s="112">
        <f>VLOOKUP($E105,武器奇术!$A:$R,3,FALSE)*(1+IF(VLOOKUP($E105,武器奇术!$A:$R,15,FALSE)="武器",$E$15,0))</f>
        <v>0</v>
      </c>
      <c r="AI105" s="101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0.242</v>
      </c>
      <c r="AJ105" s="111">
        <f>$E$5+IF(VLOOKUP($E105,武器奇术!$A:$U,21,FALSE)=1,0,0.09)</f>
        <v>0.115</v>
      </c>
      <c r="AK105" s="109">
        <v>1</v>
      </c>
      <c r="AL105" s="112">
        <f t="shared" si="45"/>
        <v>0</v>
      </c>
      <c r="AM105" s="110">
        <f>(1-IF(VLOOKUP($E105,武器奇术!$A:$T,20,FALSE)=1,1,$N105))*(1-$M105)</f>
        <v>0.01072666</v>
      </c>
      <c r="AN105" s="112">
        <f>AG105*(1+AI105)*(1+AJ105)*AK105*(1+$E$16+VLOOKUP($E105,武器奇术!$A:$R,8,FALSE))</f>
        <v>0</v>
      </c>
      <c r="AO105" s="110">
        <f t="shared" si="46"/>
        <v>0.8813852</v>
      </c>
      <c r="AP105" s="112">
        <f>AH105*(1+AI105)*(1+AJ105)*AK105*(1+$E$17+VLOOKUP($E105,武器奇术!$A:$R,10,FALSE))</f>
        <v>0</v>
      </c>
      <c r="AQ105" s="110">
        <f t="shared" si="47"/>
        <v>0.0986</v>
      </c>
      <c r="AR105" s="112">
        <f t="shared" si="48"/>
        <v>0</v>
      </c>
      <c r="AS105" s="110">
        <f t="shared" si="49"/>
        <v>0.00928814000000003</v>
      </c>
      <c r="AT105" s="113">
        <f t="shared" si="50"/>
        <v>0</v>
      </c>
      <c r="AU105" s="108">
        <f>$B$7*IF($G$5="撼天",1.05,1)+IF(AND(VLOOKUP($E105,武器奇术!$A:$R,15,FALSE)="武器",VLOOKUP($E105,武器奇术!$A:$R,17,FALSE)="鸣金"),$E$3,0)*(1+$E$15)</f>
        <v>0</v>
      </c>
      <c r="AV105" s="99">
        <f>(AU105+AW105)*IF(VLOOKUP($E105,武器奇术!$A:$Z,21,FALSE)=1,$G$15,0.5)</f>
        <v>0</v>
      </c>
      <c r="AW105" s="109">
        <f>MAX($C$7*IF($G$5="撼天",1.05,1)+IF(AND(VLOOKUP($E105,武器奇术!$A:$R,15,FALSE)="武器",VLOOKUP($E105,武器奇术!$A:$R,17,FALSE)="鸣金"),$E$3*(1+$E$15),0),AU105)</f>
        <v>0</v>
      </c>
      <c r="AX105" s="110">
        <f>IF(($D$7+IF(VLOOKUP($E105,武器奇术!$A:$R,17,FALSE)="鸣金",$D$15,0)+IF(VLOOKUP($E105,武器奇术!$A:$R,18,FALSE)=1,4,0)+IF(VLOOKUP($E105,武器奇术!$A:$S,19,FALSE)=1,20,0)-VLOOKUP($F$7,目标属性!$A:$R,6,FALSE))&gt;0,($D$7+IF(VLOOKUP($E105,武器奇术!$A:$R,17,FALSE)="鸣金",$D$15,0)+IF(VLOOKUP($E105,武器奇术!$A:$R,18,FALSE)=1,4,0)+IF(VLOOKUP($E105,武器奇术!$A:$S,19,FALSE)=1,20,0)-VLOOKUP($F$7,目标属性!$A:$R,6,FALSE))/200,($D$7+IF(VLOOKUP($E105,武器奇术!$A:$R,17,FALSE)="鸣金",$D$15,0)+IF(VLOOKUP($E105,武器奇术!$A:$R,18,FALSE)=1,4,0)+IF(VLOOKUP($E105,武器奇术!$A:$S,19,FALSE)=1,20,0)-VLOOKUP($F$7,目标属性!$A:$R,6,FALSE))/100)</f>
        <v>-0.24</v>
      </c>
      <c r="AY105" s="111">
        <f t="shared" si="51"/>
        <v>0</v>
      </c>
      <c r="AZ105" s="109">
        <v>1</v>
      </c>
      <c r="BA105" s="112">
        <f>AU105*IF(VLOOKUP($E105,武器奇术!$A:$R,17,FALSE)="鸣金",VLOOKUP($E105,武器奇术!$A:$R,4,FALSE),VLOOKUP($E105,武器奇术!$A:$R,2,FALSE))*(1+AX105)*(1+AY105)*AZ105</f>
        <v>0</v>
      </c>
      <c r="BB105" s="110">
        <f>(1-IF(VLOOKUP($E105,武器奇术!$A:$T,20,FALSE)=1,1,$N105))*(1-$M105)</f>
        <v>0.01072666</v>
      </c>
      <c r="BC105" s="112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110">
        <f t="shared" si="52"/>
        <v>0.8813852</v>
      </c>
      <c r="BE105" s="112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110">
        <f t="shared" si="53"/>
        <v>0.0986</v>
      </c>
      <c r="BG105" s="112">
        <f>AV105*IF(VLOOKUP($E105,武器奇术!$A:$R,17,FALSE)="鸣金",VLOOKUP($E105,武器奇术!$A:$R,4,FALSE),VLOOKUP($E105,武器奇术!$A:$R,2,FALSE))*(1+AX105)*(1+AY105)*AZ105</f>
        <v>0</v>
      </c>
      <c r="BH105" s="110">
        <f t="shared" si="54"/>
        <v>0.00928814000000003</v>
      </c>
      <c r="BI105" s="113">
        <f t="shared" si="55"/>
        <v>0</v>
      </c>
      <c r="BJ105" s="108">
        <f>$B$9*IF($G$5="撼天",1.05,1)+IF(AND(VLOOKUP($E105,武器奇术!$A:$R,15,FALSE)="武器",VLOOKUP($E105,武器奇术!$A:$R,17,FALSE)="裂石"),$E$3,0)*(1+$E$15)</f>
        <v>0</v>
      </c>
      <c r="BK105" s="99">
        <f>(BJ105+BL105)*IF(VLOOKUP($E105,武器奇术!$A:$Z,21,FALSE)=1,$G$15,0.5)</f>
        <v>0</v>
      </c>
      <c r="BL105" s="109">
        <f>MAX($C$9*IF($G$5="撼天",1.05,1)+IF(AND(VLOOKUP($E105,武器奇术!$A:$R,15,FALSE)="武器",VLOOKUP($E105,武器奇术!$A:$R,17,FALSE)="裂石"),$E$3*(1+$E$15),0),BJ105)</f>
        <v>0</v>
      </c>
      <c r="BM105" s="110">
        <f>IF(($D$9+IF(VLOOKUP($E105,武器奇术!$A:$R,17,FALSE)="裂石",$D$15,0)+IF(VLOOKUP($E105,武器奇术!$A:$R,18,FALSE)=1,4,0)+IF(VLOOKUP($E105,武器奇术!$A:$S,19,FALSE)=1,20,0)-VLOOKUP($F$7,目标属性!$A:$R,6,FALSE))&gt;0,($D$9+IF(VLOOKUP($E105,武器奇术!$A:$R,17,FALSE)="裂石",$D$15,0)+IF(VLOOKUP($E105,武器奇术!$A:$R,18,FALSE)=1,4,0)+IF(VLOOKUP($E105,武器奇术!$A:$S,19,FALSE)=1,20,0)-VLOOKUP($F$7,目标属性!$A:$R,6,FALSE))/200,($D$9+IF(VLOOKUP($E105,武器奇术!$A:$R,17,FALSE)="裂石",$D$15,0)+IF(VLOOKUP($E105,武器奇术!$A:$R,18,FALSE)=1,4,0)+IF(VLOOKUP($E105,武器奇术!$A:$S,19,FALSE)=1,20,0)-VLOOKUP($F$7,目标属性!$A:$R,6,FALSE))/100)</f>
        <v>-0.24</v>
      </c>
      <c r="BN105" s="111">
        <f t="shared" si="56"/>
        <v>0</v>
      </c>
      <c r="BO105" s="109">
        <v>1</v>
      </c>
      <c r="BP105" s="112">
        <f>BJ105*IF(VLOOKUP($E105,武器奇术!$A:$R,17,FALSE)="裂石",VLOOKUP($E105,武器奇术!$A:$R,4,FALSE),VLOOKUP($E105,武器奇术!$A:$R,2,FALSE))*(1+BM105)*(1+BN105)*BO105</f>
        <v>0</v>
      </c>
      <c r="BQ105" s="110">
        <f>(1-IF(VLOOKUP($E105,武器奇术!$A:$T,20,FALSE)=1,1,$N105))*(1-$M105)</f>
        <v>0.01072666</v>
      </c>
      <c r="BR105" s="112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110">
        <f t="shared" si="57"/>
        <v>0.8813852</v>
      </c>
      <c r="BT105" s="112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110">
        <f t="shared" si="58"/>
        <v>0.0986</v>
      </c>
      <c r="BV105" s="112">
        <f>BK105*IF(VLOOKUP($E105,武器奇术!$A:$R,17,FALSE)="裂石",VLOOKUP($E105,武器奇术!$A:$R,4,FALSE),VLOOKUP($E105,武器奇术!$A:$R,2,FALSE))*(1+BM105)*(1+BN105)*BO105</f>
        <v>0</v>
      </c>
      <c r="BW105" s="110">
        <f t="shared" si="59"/>
        <v>0.00928814000000003</v>
      </c>
      <c r="BX105" s="113">
        <f t="shared" si="60"/>
        <v>0</v>
      </c>
      <c r="BY105" s="108">
        <f>$B$11*IF($G$5="撼天",1.05,1)+IF(AND(VLOOKUP($E105,武器奇术!$A:$R,15,FALSE)="武器",VLOOKUP($E105,武器奇术!$A:$R,17,FALSE)="牵丝"),$E$3,0)*(1+$E$15)</f>
        <v>0</v>
      </c>
      <c r="BZ105" s="99">
        <f>(BY105+CA105)*IF(VLOOKUP($E105,武器奇术!$A:$Z,21,FALSE)=1,$G$15,0.5)</f>
        <v>0</v>
      </c>
      <c r="CA105" s="109">
        <f>MAX($C$11*IF($G$5="撼天",1.05,1)+IF(AND(VLOOKUP($E105,武器奇术!$A:$R,15,FALSE)="武器",VLOOKUP($E105,武器奇术!$A:$R,17,FALSE)="牵丝"),$E$3*(1+$E$15),0),BY105)</f>
        <v>0</v>
      </c>
      <c r="CB105" s="110">
        <f>IF(($D$11+IF(VLOOKUP($E105,武器奇术!$A:$R,17,FALSE)="牵丝",$D$15,0)+IF(VLOOKUP($E105,武器奇术!$A:$R,18,FALSE)=1,4,0)+IF(VLOOKUP($E105,武器奇术!$A:$S,19,FALSE)=1,20,0)-VLOOKUP($F$7,目标属性!$A:$R,6,FALSE))&gt;0,($D$11+IF(VLOOKUP($E105,武器奇术!$A:$R,17,FALSE)="牵丝",$D$15,0)+IF(VLOOKUP($E105,武器奇术!$A:$R,18,FALSE)=1,4,0)+IF(VLOOKUP($E105,武器奇术!$A:$S,19,FALSE)=1,20,0)-VLOOKUP($F$7,目标属性!$A:$R,6,FALSE))/200,($D$11+IF(VLOOKUP($E105,武器奇术!$A:$R,17,FALSE)="牵丝",$D$15,0)+IF(VLOOKUP($E105,武器奇术!$A:$R,18,FALSE)=1,4,0)+IF(VLOOKUP($E105,武器奇术!$A:$S,19,FALSE)=1,20,0)-VLOOKUP($F$7,目标属性!$A:$R,6,FALSE))/100)</f>
        <v>-0.24</v>
      </c>
      <c r="CC105" s="111">
        <f t="shared" si="61"/>
        <v>0</v>
      </c>
      <c r="CD105" s="109">
        <v>1</v>
      </c>
      <c r="CE105" s="112">
        <f>BY105*IF(VLOOKUP($E105,武器奇术!$A:$R,17,FALSE)="牵丝",VLOOKUP($E105,武器奇术!$A:$R,4,FALSE),VLOOKUP($E105,武器奇术!$A:$R,2,FALSE))*(1+CB105)*(1+CC105)*CD105</f>
        <v>0</v>
      </c>
      <c r="CF105" s="110">
        <f>(1-IF(VLOOKUP($E105,武器奇术!$A:$T,20,FALSE)=1,1,$N105))*(1-$M105)</f>
        <v>0.01072666</v>
      </c>
      <c r="CG105" s="112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110">
        <f t="shared" si="62"/>
        <v>0.8813852</v>
      </c>
      <c r="CI105" s="112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110">
        <f t="shared" si="63"/>
        <v>0.0986</v>
      </c>
      <c r="CK105" s="112">
        <f>BZ105*IF(VLOOKUP($E105,武器奇术!$A:$R,17,FALSE)="牵丝",VLOOKUP($E105,武器奇术!$A:$R,4,FALSE),VLOOKUP($E105,武器奇术!$A:$R,2,FALSE))*(1+CB105)*(1+CC105)*CD105</f>
        <v>0</v>
      </c>
      <c r="CL105" s="110">
        <f t="shared" si="64"/>
        <v>0.00928814000000003</v>
      </c>
      <c r="CM105" s="113">
        <f t="shared" si="65"/>
        <v>0</v>
      </c>
      <c r="CN105" s="108">
        <f>$B$13*IF($G$5="撼天",1.05,1)+IF(AND(VLOOKUP($E105,武器奇术!$A:$R,15,FALSE)="武器",VLOOKUP($E105,武器奇术!$A:$R,17,FALSE)="破竹"),$E$3,0)*(1+$E$15)</f>
        <v>452.55</v>
      </c>
      <c r="CO105" s="99">
        <f>(CN105+CP105)*IF(VLOOKUP($E105,武器奇术!$A:$Z,21,FALSE)=1,$G$15,0.5)</f>
        <v>679.35</v>
      </c>
      <c r="CP105" s="109">
        <f>MAX($C$13*IF($G$5="撼天",1.05,1)+IF(AND(VLOOKUP($E105,武器奇术!$A:$R,15,FALSE)="武器",VLOOKUP($E105,武器奇术!$A:$R,17,FALSE)="破竹"),$E$3*(1+$E$15),0),CN105)</f>
        <v>906.15</v>
      </c>
      <c r="CQ105" s="110">
        <f>IF(($D$13+IF(VLOOKUP($E105,武器奇术!$A:$R,17,FALSE)="破竹",$D$15,0)+IF(VLOOKUP($E105,武器奇术!$A:$R,18,FALSE)=1,4,0)+IF(VLOOKUP($E105,武器奇术!$A:$S,19,FALSE)=1,20,0)-VLOOKUP($F$7,目标属性!$A:$R,6,FALSE))&gt;0,($D$13+IF(VLOOKUP($E105,武器奇术!$A:$R,17,FALSE)="破竹",$D$15,0)+IF(VLOOKUP($E105,武器奇术!$A:$R,18,FALSE)=1,4,0)+IF(VLOOKUP($E105,武器奇术!$A:$S,19,FALSE)=1,20,0)-VLOOKUP($F$7,目标属性!$A:$R,6,FALSE))/200,($D$13+IF(VLOOKUP($E105,武器奇术!$A:$R,17,FALSE)="破竹",$D$15,0)+IF(VLOOKUP($E105,武器奇术!$A:$R,18,FALSE)=1,4,0)+IF(VLOOKUP($E105,武器奇术!$A:$S,19,FALSE)=1,20,0)-VLOOKUP($F$7,目标属性!$A:$R,6,FALSE))/100)</f>
        <v>0.025</v>
      </c>
      <c r="CR105" s="111">
        <f>$E$13+IF(VLOOKUP($E105,武器奇术!$A:$U,21,FALSE)=1,0,0.09)</f>
        <v>0.235</v>
      </c>
      <c r="CS105" s="109">
        <v>1</v>
      </c>
      <c r="CT105" s="112">
        <f>CN105*IF(VLOOKUP($E105,武器奇术!$A:$R,17,FALSE)="破竹",VLOOKUP($E105,武器奇术!$A:$R,4,FALSE),VLOOKUP($E105,武器奇术!$A:$R,2,FALSE))*(1+CQ105)*(1+CR105)*CS105</f>
        <v>0</v>
      </c>
      <c r="CU105" s="110">
        <f>(1-IF(VLOOKUP($E105,武器奇术!$A:$T,20,FALSE)=1,1,$N105))*(1-$M105)</f>
        <v>0.01072666</v>
      </c>
      <c r="CV105" s="112">
        <f>CO105*IF(VLOOKUP($E105,武器奇术!$A:$R,17,FALSE)="破竹",VLOOKUP($E105,武器奇术!$A:$R,4,FALSE),VLOOKUP($E105,武器奇术!$A:$R,2,FALSE))*(1+CQ105)*(1+CR105)*CS105*(1+$E$16+VLOOKUP($E105,武器奇术!$A:$R,8,FALSE))</f>
        <v>0</v>
      </c>
      <c r="CW105" s="110">
        <f t="shared" si="66"/>
        <v>0.8813852</v>
      </c>
      <c r="CX105" s="112">
        <f>CP105*IF(VLOOKUP($E105,武器奇术!$A:$R,17,FALSE)="破竹",VLOOKUP($E105,武器奇术!$A:$R,4,FALSE),VLOOKUP($E105,武器奇术!$A:$R,2,FALSE))*(1+CQ105)*(1+CR105)*CS105*(1+$E$17+VLOOKUP($E105,武器奇术!$A:$R,10,FALSE))</f>
        <v>0</v>
      </c>
      <c r="CY105" s="110">
        <f t="shared" si="67"/>
        <v>0.0986</v>
      </c>
      <c r="CZ105" s="112">
        <f>CO105*IF(VLOOKUP($E105,武器奇术!$A:$R,17,FALSE)="破竹",VLOOKUP($E105,武器奇术!$A:$R,4,FALSE),VLOOKUP($E105,武器奇术!$A:$R,2,FALSE))*(1+CQ105)*(1+CR105)*CS105</f>
        <v>0</v>
      </c>
      <c r="DA105" s="110">
        <f t="shared" si="68"/>
        <v>0.00928814000000003</v>
      </c>
      <c r="DB105" s="113">
        <f t="shared" si="69"/>
        <v>0</v>
      </c>
      <c r="DC105" s="108">
        <f t="shared" si="70"/>
        <v>69.3</v>
      </c>
      <c r="DD105" s="99">
        <f>(DC105+DE105)*IF(VLOOKUP($E105,武器奇术!$A:$Z,21,FALSE)=1,$G$15,0.5)</f>
        <v>69.3</v>
      </c>
      <c r="DE105" s="109">
        <f t="shared" si="71"/>
        <v>69.3</v>
      </c>
      <c r="DF105" s="110">
        <f>IF(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R,18,FALSE)=1,4,0)+IF(VLOOKUP($E105,武器奇术!$A:$S,19,FALSE)=1,20,0)-VLOOKUP($F$7,目标属性!$A:$R,6,FALSE))/100)</f>
        <v>0.025</v>
      </c>
      <c r="DG105" s="111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U,21,FALSE)=1,0,0.09)</f>
        <v>0.235</v>
      </c>
      <c r="DH105" s="109">
        <v>1</v>
      </c>
      <c r="DI105" s="112">
        <f>DC105*IF(VLOOKUP($E105,武器奇术!$A:$R,17,FALSE)="破竹",VLOOKUP($E105,武器奇术!$A:$R,4,FALSE),VLOOKUP($E105,武器奇术!$A:$R,2,FALSE))*(1+DF105)*(1+DG105)*DH105</f>
        <v>0</v>
      </c>
      <c r="DJ105" s="110">
        <f>(1-IF(VLOOKUP($E105,武器奇术!$A:$T,20,FALSE)=1,1,$N105))*(1-$M105)</f>
        <v>0.01072666</v>
      </c>
      <c r="DK105" s="112">
        <f>DD105*IF(VLOOKUP($E105,武器奇术!$A:$R,17,FALSE)="破竹",VLOOKUP($E105,武器奇术!$A:$R,4,FALSE),VLOOKUP($E105,武器奇术!$A:$R,2,FALSE))*(1+DF105)*(1+DG105)*DH105*(1+$E$16+VLOOKUP($E105,武器奇术!$A:$R,8,FALSE))</f>
        <v>0</v>
      </c>
      <c r="DL105" s="110">
        <f t="shared" si="72"/>
        <v>0.8813852</v>
      </c>
      <c r="DM105" s="112">
        <f>DE105*IF(VLOOKUP($E105,武器奇术!$A:$R,17,FALSE)="破竹",VLOOKUP($E105,武器奇术!$A:$R,4,FALSE),VLOOKUP($E105,武器奇术!$A:$R,2,FALSE))*(1+DF105)*(1+DG105)*DH105*(1+$E$17+VLOOKUP($E105,武器奇术!$A:$R,10,FALSE))</f>
        <v>0</v>
      </c>
      <c r="DN105" s="110">
        <f t="shared" si="73"/>
        <v>0.0986</v>
      </c>
      <c r="DO105" s="112">
        <f>DD105*IF(VLOOKUP($E105,武器奇术!$A:$R,17,FALSE)="破竹",VLOOKUP($E105,武器奇术!$A:$R,4,FALSE),VLOOKUP($E105,武器奇术!$A:$R,2,FALSE))*(1+DF105)*(1+DG105)*DH105</f>
        <v>0</v>
      </c>
      <c r="DP105" s="110">
        <f t="shared" si="74"/>
        <v>0.00928814000000003</v>
      </c>
      <c r="DQ105" s="113">
        <f t="shared" si="75"/>
        <v>0</v>
      </c>
    </row>
    <row r="106" spans="1:121">
      <c r="A106" s="75"/>
      <c r="B106" s="75"/>
      <c r="C106" s="148"/>
      <c r="D106" s="75"/>
      <c r="E106" s="98" t="str">
        <f>期望!E106</f>
        <v>N/A</v>
      </c>
      <c r="F106" s="99">
        <f>期望!F106</f>
        <v>1</v>
      </c>
      <c r="G106" s="115"/>
      <c r="H106" s="100">
        <f>IF(VLOOKUP($E106,武器奇术!$A:$R,18,FALSE)="天工",AE106,(AE106+AT106+BI106+BX106+CM106+DB106+DQ106))*(1+J106)*F106*K106*(1+G106)</f>
        <v>0</v>
      </c>
      <c r="I106" s="101">
        <f t="shared" si="39"/>
        <v>0</v>
      </c>
      <c r="J106" s="101">
        <f>$F$3+VLOOKUP($E106,武器奇术!$A:$R,12,FALSE)+VLOOKUP($E106,武器奇术!$A:$R,14,FALSE)*$G$3+$P106</f>
        <v>0.303</v>
      </c>
      <c r="K106" s="102">
        <f>VLOOKUP($E106,武器奇术!$A:$R,11,FALSE)</f>
        <v>1</v>
      </c>
      <c r="L106" s="117">
        <f>IF(VLOOKUP($E106,武器奇术!$A:$R,15,FALSE)="天工",0%,IF($C$17+VLOOKUP($E106,武器奇术!$A:$R,7,FALSE)&gt;80%,80%,$C$17+VLOOKUP($E106,武器奇术!$A:$R,7,FALSE))+IF($C$19&gt;20%,20%,$C$19))</f>
        <v>0.892</v>
      </c>
      <c r="M106" s="118">
        <f>IF(VLOOKUP($E106,武器奇术!$A:$R,15,FALSE)="天工",0%,IF($C$18+VLOOKUP($E106,武器奇术!$A:$R,9,FALSE)&gt;40%,40%,$C$18+VLOOKUP($E106,武器奇术!$A:$R,9,FALSE))+IF($C$20&gt;10%,10%,$C$20))</f>
        <v>0.0986</v>
      </c>
      <c r="N106" s="119">
        <f>IF(VLOOKUP($E106,武器奇术!$A:$R,15,FALSE)="天工",100%,MIN($C$16,1))</f>
        <v>0.9881</v>
      </c>
      <c r="O106" s="120" t="str">
        <f>VLOOKUP($E106,武器奇术!$A:$R,16,FALSE)</f>
        <v>N/A</v>
      </c>
      <c r="P106" s="121">
        <f t="shared" si="76"/>
        <v>0</v>
      </c>
      <c r="Q106" s="108">
        <f>$B$5*(1+VLOOKUP($E106,武器奇术!$A:$R,5,FALSE)+IF($G$5="飞隼",0.1,0)+IF($G$5="撼天",0.05,0))-$F$9+IF($I$5="√",160,0)</f>
        <v>1731.135</v>
      </c>
      <c r="R106" s="99">
        <f>IF(VLOOKUP($E106,武器奇术!$A:$Z,20,FALSE)=1,(S106-(Q106+S106)*0.5)*($G$15-0.5)*2+(Q106+S106)*0.5,(Q106+S106)*0.5)</f>
        <v>3256.775</v>
      </c>
      <c r="S106" s="109">
        <f>MAX($C$5,$B$5)*(1+VLOOKUP($E106,武器奇术!$A:$R,5,FALSE)+IF($G$5="飞隼",0.1,0)+IF($G$5="撼天",0.05,0))-$F$9+IF($I$5="√",320,0)</f>
        <v>4782.415</v>
      </c>
      <c r="T106" s="101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U106" s="111">
        <f>$E$5+IF(VLOOKUP($E106,武器奇术!$A:$U,21,FALSE)=1,0,0.09)</f>
        <v>0.115</v>
      </c>
      <c r="V106" s="109">
        <v>1</v>
      </c>
      <c r="W106" s="112">
        <f>Q106*VLOOKUP($E106,武器奇术!$A:$R,2,FALSE)*(1+T106)*(1+U106)*V106</f>
        <v>0</v>
      </c>
      <c r="X106" s="110">
        <f>(1-IF(VLOOKUP($E106,武器奇术!$A:$T,20,FALSE)=1,1,$N106))*(1-$M106)</f>
        <v>0.01072666</v>
      </c>
      <c r="Y106" s="112">
        <f>R106*VLOOKUP($E106,武器奇术!$A:$R,2,FALSE)*(1+T106)*(1+U106)*V106*(1+$E$16+VLOOKUP($E106,武器奇术!$A:$R,8,FALSE))</f>
        <v>0</v>
      </c>
      <c r="Z106" s="110">
        <f t="shared" si="40"/>
        <v>0.8813852</v>
      </c>
      <c r="AA106" s="112">
        <f>S106*VLOOKUP($E106,武器奇术!$A:$R,2,FALSE)*(1+T106)*(1+U106)*V106*(1+$E$17+VLOOKUP($E106,武器奇术!$A:$R,10,FALSE))</f>
        <v>0</v>
      </c>
      <c r="AB106" s="110">
        <f t="shared" si="41"/>
        <v>0.0986</v>
      </c>
      <c r="AC106" s="112">
        <f>R106*VLOOKUP($E106,武器奇术!$A:$R,2,FALSE)*(1+T106)*(1+U106)*V106</f>
        <v>0</v>
      </c>
      <c r="AD106" s="110">
        <f t="shared" si="42"/>
        <v>0.00928814000000003</v>
      </c>
      <c r="AE106" s="113">
        <f t="shared" si="43"/>
        <v>0</v>
      </c>
      <c r="AF106" s="114">
        <f>VLOOKUP($E106,武器奇术!$A:$R,3,FALSE)*(1+IF(VLOOKUP($E106,武器奇术!$A:$R,15,FALSE)="武器",$E$15,0))</f>
        <v>0</v>
      </c>
      <c r="AG106" s="112">
        <f t="shared" si="44"/>
        <v>0</v>
      </c>
      <c r="AH106" s="112">
        <f>VLOOKUP($E106,武器奇术!$A:$R,3,FALSE)*(1+IF(VLOOKUP($E106,武器奇术!$A:$R,15,FALSE)="武器",$E$15,0))</f>
        <v>0</v>
      </c>
      <c r="AI106" s="101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0.242</v>
      </c>
      <c r="AJ106" s="111">
        <f>$E$5+IF(VLOOKUP($E106,武器奇术!$A:$U,21,FALSE)=1,0,0.09)</f>
        <v>0.115</v>
      </c>
      <c r="AK106" s="109">
        <v>1</v>
      </c>
      <c r="AL106" s="112">
        <f t="shared" si="45"/>
        <v>0</v>
      </c>
      <c r="AM106" s="110">
        <f>(1-IF(VLOOKUP($E106,武器奇术!$A:$T,20,FALSE)=1,1,$N106))*(1-$M106)</f>
        <v>0.01072666</v>
      </c>
      <c r="AN106" s="112">
        <f>AG106*(1+AI106)*(1+AJ106)*AK106*(1+$E$16+VLOOKUP($E106,武器奇术!$A:$R,8,FALSE))</f>
        <v>0</v>
      </c>
      <c r="AO106" s="110">
        <f t="shared" si="46"/>
        <v>0.8813852</v>
      </c>
      <c r="AP106" s="112">
        <f>AH106*(1+AI106)*(1+AJ106)*AK106*(1+$E$17+VLOOKUP($E106,武器奇术!$A:$R,10,FALSE))</f>
        <v>0</v>
      </c>
      <c r="AQ106" s="110">
        <f t="shared" si="47"/>
        <v>0.0986</v>
      </c>
      <c r="AR106" s="112">
        <f t="shared" si="48"/>
        <v>0</v>
      </c>
      <c r="AS106" s="110">
        <f t="shared" si="49"/>
        <v>0.00928814000000003</v>
      </c>
      <c r="AT106" s="113">
        <f t="shared" si="50"/>
        <v>0</v>
      </c>
      <c r="AU106" s="108">
        <f>$B$7*IF($G$5="撼天",1.05,1)+IF(AND(VLOOKUP($E106,武器奇术!$A:$R,15,FALSE)="武器",VLOOKUP($E106,武器奇术!$A:$R,17,FALSE)="鸣金"),$E$3,0)*(1+$E$15)</f>
        <v>0</v>
      </c>
      <c r="AV106" s="99">
        <f>(AU106+AW106)*IF(VLOOKUP($E106,武器奇术!$A:$Z,21,FALSE)=1,$G$15,0.5)</f>
        <v>0</v>
      </c>
      <c r="AW106" s="109">
        <f>MAX($C$7*IF($G$5="撼天",1.05,1)+IF(AND(VLOOKUP($E106,武器奇术!$A:$R,15,FALSE)="武器",VLOOKUP($E106,武器奇术!$A:$R,17,FALSE)="鸣金"),$E$3*(1+$E$15),0),AU106)</f>
        <v>0</v>
      </c>
      <c r="AX106" s="110">
        <f>IF(($D$7+IF(VLOOKUP($E106,武器奇术!$A:$R,17,FALSE)="鸣金",$D$15,0)+IF(VLOOKUP($E106,武器奇术!$A:$R,18,FALSE)=1,4,0)+IF(VLOOKUP($E106,武器奇术!$A:$S,19,FALSE)=1,20,0)-VLOOKUP($F$7,目标属性!$A:$R,6,FALSE))&gt;0,($D$7+IF(VLOOKUP($E106,武器奇术!$A:$R,17,FALSE)="鸣金",$D$15,0)+IF(VLOOKUP($E106,武器奇术!$A:$R,18,FALSE)=1,4,0)+IF(VLOOKUP($E106,武器奇术!$A:$S,19,FALSE)=1,20,0)-VLOOKUP($F$7,目标属性!$A:$R,6,FALSE))/200,($D$7+IF(VLOOKUP($E106,武器奇术!$A:$R,17,FALSE)="鸣金",$D$15,0)+IF(VLOOKUP($E106,武器奇术!$A:$R,18,FALSE)=1,4,0)+IF(VLOOKUP($E106,武器奇术!$A:$S,19,FALSE)=1,20,0)-VLOOKUP($F$7,目标属性!$A:$R,6,FALSE))/100)</f>
        <v>-0.24</v>
      </c>
      <c r="AY106" s="111">
        <f t="shared" si="51"/>
        <v>0</v>
      </c>
      <c r="AZ106" s="109">
        <v>1</v>
      </c>
      <c r="BA106" s="112">
        <f>AU106*IF(VLOOKUP($E106,武器奇术!$A:$R,17,FALSE)="鸣金",VLOOKUP($E106,武器奇术!$A:$R,4,FALSE),VLOOKUP($E106,武器奇术!$A:$R,2,FALSE))*(1+AX106)*(1+AY106)*AZ106</f>
        <v>0</v>
      </c>
      <c r="BB106" s="110">
        <f>(1-IF(VLOOKUP($E106,武器奇术!$A:$T,20,FALSE)=1,1,$N106))*(1-$M106)</f>
        <v>0.01072666</v>
      </c>
      <c r="BC106" s="112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110">
        <f t="shared" si="52"/>
        <v>0.8813852</v>
      </c>
      <c r="BE106" s="112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110">
        <f t="shared" si="53"/>
        <v>0.0986</v>
      </c>
      <c r="BG106" s="112">
        <f>AV106*IF(VLOOKUP($E106,武器奇术!$A:$R,17,FALSE)="鸣金",VLOOKUP($E106,武器奇术!$A:$R,4,FALSE),VLOOKUP($E106,武器奇术!$A:$R,2,FALSE))*(1+AX106)*(1+AY106)*AZ106</f>
        <v>0</v>
      </c>
      <c r="BH106" s="110">
        <f t="shared" si="54"/>
        <v>0.00928814000000003</v>
      </c>
      <c r="BI106" s="113">
        <f t="shared" si="55"/>
        <v>0</v>
      </c>
      <c r="BJ106" s="108">
        <f>$B$9*IF($G$5="撼天",1.05,1)+IF(AND(VLOOKUP($E106,武器奇术!$A:$R,15,FALSE)="武器",VLOOKUP($E106,武器奇术!$A:$R,17,FALSE)="裂石"),$E$3,0)*(1+$E$15)</f>
        <v>0</v>
      </c>
      <c r="BK106" s="99">
        <f>(BJ106+BL106)*IF(VLOOKUP($E106,武器奇术!$A:$Z,21,FALSE)=1,$G$15,0.5)</f>
        <v>0</v>
      </c>
      <c r="BL106" s="109">
        <f>MAX($C$9*IF($G$5="撼天",1.05,1)+IF(AND(VLOOKUP($E106,武器奇术!$A:$R,15,FALSE)="武器",VLOOKUP($E106,武器奇术!$A:$R,17,FALSE)="裂石"),$E$3*(1+$E$15),0),BJ106)</f>
        <v>0</v>
      </c>
      <c r="BM106" s="110">
        <f>IF(($D$9+IF(VLOOKUP($E106,武器奇术!$A:$R,17,FALSE)="裂石",$D$15,0)+IF(VLOOKUP($E106,武器奇术!$A:$R,18,FALSE)=1,4,0)+IF(VLOOKUP($E106,武器奇术!$A:$S,19,FALSE)=1,20,0)-VLOOKUP($F$7,目标属性!$A:$R,6,FALSE))&gt;0,($D$9+IF(VLOOKUP($E106,武器奇术!$A:$R,17,FALSE)="裂石",$D$15,0)+IF(VLOOKUP($E106,武器奇术!$A:$R,18,FALSE)=1,4,0)+IF(VLOOKUP($E106,武器奇术!$A:$S,19,FALSE)=1,20,0)-VLOOKUP($F$7,目标属性!$A:$R,6,FALSE))/200,($D$9+IF(VLOOKUP($E106,武器奇术!$A:$R,17,FALSE)="裂石",$D$15,0)+IF(VLOOKUP($E106,武器奇术!$A:$R,18,FALSE)=1,4,0)+IF(VLOOKUP($E106,武器奇术!$A:$S,19,FALSE)=1,20,0)-VLOOKUP($F$7,目标属性!$A:$R,6,FALSE))/100)</f>
        <v>-0.24</v>
      </c>
      <c r="BN106" s="111">
        <f t="shared" si="56"/>
        <v>0</v>
      </c>
      <c r="BO106" s="109">
        <v>1</v>
      </c>
      <c r="BP106" s="112">
        <f>BJ106*IF(VLOOKUP($E106,武器奇术!$A:$R,17,FALSE)="裂石",VLOOKUP($E106,武器奇术!$A:$R,4,FALSE),VLOOKUP($E106,武器奇术!$A:$R,2,FALSE))*(1+BM106)*(1+BN106)*BO106</f>
        <v>0</v>
      </c>
      <c r="BQ106" s="110">
        <f>(1-IF(VLOOKUP($E106,武器奇术!$A:$T,20,FALSE)=1,1,$N106))*(1-$M106)</f>
        <v>0.01072666</v>
      </c>
      <c r="BR106" s="112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110">
        <f t="shared" si="57"/>
        <v>0.8813852</v>
      </c>
      <c r="BT106" s="112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110">
        <f t="shared" si="58"/>
        <v>0.0986</v>
      </c>
      <c r="BV106" s="112">
        <f>BK106*IF(VLOOKUP($E106,武器奇术!$A:$R,17,FALSE)="裂石",VLOOKUP($E106,武器奇术!$A:$R,4,FALSE),VLOOKUP($E106,武器奇术!$A:$R,2,FALSE))*(1+BM106)*(1+BN106)*BO106</f>
        <v>0</v>
      </c>
      <c r="BW106" s="110">
        <f t="shared" si="59"/>
        <v>0.00928814000000003</v>
      </c>
      <c r="BX106" s="113">
        <f t="shared" si="60"/>
        <v>0</v>
      </c>
      <c r="BY106" s="108">
        <f>$B$11*IF($G$5="撼天",1.05,1)+IF(AND(VLOOKUP($E106,武器奇术!$A:$R,15,FALSE)="武器",VLOOKUP($E106,武器奇术!$A:$R,17,FALSE)="牵丝"),$E$3,0)*(1+$E$15)</f>
        <v>0</v>
      </c>
      <c r="BZ106" s="99">
        <f>(BY106+CA106)*IF(VLOOKUP($E106,武器奇术!$A:$Z,21,FALSE)=1,$G$15,0.5)</f>
        <v>0</v>
      </c>
      <c r="CA106" s="109">
        <f>MAX($C$11*IF($G$5="撼天",1.05,1)+IF(AND(VLOOKUP($E106,武器奇术!$A:$R,15,FALSE)="武器",VLOOKUP($E106,武器奇术!$A:$R,17,FALSE)="牵丝"),$E$3*(1+$E$15),0),BY106)</f>
        <v>0</v>
      </c>
      <c r="CB106" s="110">
        <f>IF(($D$11+IF(VLOOKUP($E106,武器奇术!$A:$R,17,FALSE)="牵丝",$D$15,0)+IF(VLOOKUP($E106,武器奇术!$A:$R,18,FALSE)=1,4,0)+IF(VLOOKUP($E106,武器奇术!$A:$S,19,FALSE)=1,20,0)-VLOOKUP($F$7,目标属性!$A:$R,6,FALSE))&gt;0,($D$11+IF(VLOOKUP($E106,武器奇术!$A:$R,17,FALSE)="牵丝",$D$15,0)+IF(VLOOKUP($E106,武器奇术!$A:$R,18,FALSE)=1,4,0)+IF(VLOOKUP($E106,武器奇术!$A:$S,19,FALSE)=1,20,0)-VLOOKUP($F$7,目标属性!$A:$R,6,FALSE))/200,($D$11+IF(VLOOKUP($E106,武器奇术!$A:$R,17,FALSE)="牵丝",$D$15,0)+IF(VLOOKUP($E106,武器奇术!$A:$R,18,FALSE)=1,4,0)+IF(VLOOKUP($E106,武器奇术!$A:$S,19,FALSE)=1,20,0)-VLOOKUP($F$7,目标属性!$A:$R,6,FALSE))/100)</f>
        <v>-0.24</v>
      </c>
      <c r="CC106" s="111">
        <f t="shared" si="61"/>
        <v>0</v>
      </c>
      <c r="CD106" s="109">
        <v>1</v>
      </c>
      <c r="CE106" s="112">
        <f>BY106*IF(VLOOKUP($E106,武器奇术!$A:$R,17,FALSE)="牵丝",VLOOKUP($E106,武器奇术!$A:$R,4,FALSE),VLOOKUP($E106,武器奇术!$A:$R,2,FALSE))*(1+CB106)*(1+CC106)*CD106</f>
        <v>0</v>
      </c>
      <c r="CF106" s="110">
        <f>(1-IF(VLOOKUP($E106,武器奇术!$A:$T,20,FALSE)=1,1,$N106))*(1-$M106)</f>
        <v>0.01072666</v>
      </c>
      <c r="CG106" s="112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110">
        <f t="shared" si="62"/>
        <v>0.8813852</v>
      </c>
      <c r="CI106" s="112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110">
        <f t="shared" si="63"/>
        <v>0.0986</v>
      </c>
      <c r="CK106" s="112">
        <f>BZ106*IF(VLOOKUP($E106,武器奇术!$A:$R,17,FALSE)="牵丝",VLOOKUP($E106,武器奇术!$A:$R,4,FALSE),VLOOKUP($E106,武器奇术!$A:$R,2,FALSE))*(1+CB106)*(1+CC106)*CD106</f>
        <v>0</v>
      </c>
      <c r="CL106" s="110">
        <f t="shared" si="64"/>
        <v>0.00928814000000003</v>
      </c>
      <c r="CM106" s="113">
        <f t="shared" si="65"/>
        <v>0</v>
      </c>
      <c r="CN106" s="108">
        <f>$B$13*IF($G$5="撼天",1.05,1)+IF(AND(VLOOKUP($E106,武器奇术!$A:$R,15,FALSE)="武器",VLOOKUP($E106,武器奇术!$A:$R,17,FALSE)="破竹"),$E$3,0)*(1+$E$15)</f>
        <v>452.55</v>
      </c>
      <c r="CO106" s="99">
        <f>(CN106+CP106)*IF(VLOOKUP($E106,武器奇术!$A:$Z,21,FALSE)=1,$G$15,0.5)</f>
        <v>679.35</v>
      </c>
      <c r="CP106" s="109">
        <f>MAX($C$13*IF($G$5="撼天",1.05,1)+IF(AND(VLOOKUP($E106,武器奇术!$A:$R,15,FALSE)="武器",VLOOKUP($E106,武器奇术!$A:$R,17,FALSE)="破竹"),$E$3*(1+$E$15),0),CN106)</f>
        <v>906.15</v>
      </c>
      <c r="CQ106" s="110">
        <f>IF(($D$13+IF(VLOOKUP($E106,武器奇术!$A:$R,17,FALSE)="破竹",$D$15,0)+IF(VLOOKUP($E106,武器奇术!$A:$R,18,FALSE)=1,4,0)+IF(VLOOKUP($E106,武器奇术!$A:$S,19,FALSE)=1,20,0)-VLOOKUP($F$7,目标属性!$A:$R,6,FALSE))&gt;0,($D$13+IF(VLOOKUP($E106,武器奇术!$A:$R,17,FALSE)="破竹",$D$15,0)+IF(VLOOKUP($E106,武器奇术!$A:$R,18,FALSE)=1,4,0)+IF(VLOOKUP($E106,武器奇术!$A:$S,19,FALSE)=1,20,0)-VLOOKUP($F$7,目标属性!$A:$R,6,FALSE))/200,($D$13+IF(VLOOKUP($E106,武器奇术!$A:$R,17,FALSE)="破竹",$D$15,0)+IF(VLOOKUP($E106,武器奇术!$A:$R,18,FALSE)=1,4,0)+IF(VLOOKUP($E106,武器奇术!$A:$S,19,FALSE)=1,20,0)-VLOOKUP($F$7,目标属性!$A:$R,6,FALSE))/100)</f>
        <v>0.025</v>
      </c>
      <c r="CR106" s="111">
        <f>$E$13+IF(VLOOKUP($E106,武器奇术!$A:$U,21,FALSE)=1,0,0.09)</f>
        <v>0.235</v>
      </c>
      <c r="CS106" s="109">
        <v>1</v>
      </c>
      <c r="CT106" s="112">
        <f>CN106*IF(VLOOKUP($E106,武器奇术!$A:$R,17,FALSE)="破竹",VLOOKUP($E106,武器奇术!$A:$R,4,FALSE),VLOOKUP($E106,武器奇术!$A:$R,2,FALSE))*(1+CQ106)*(1+CR106)*CS106</f>
        <v>0</v>
      </c>
      <c r="CU106" s="110">
        <f>(1-IF(VLOOKUP($E106,武器奇术!$A:$T,20,FALSE)=1,1,$N106))*(1-$M106)</f>
        <v>0.01072666</v>
      </c>
      <c r="CV106" s="112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110">
        <f t="shared" si="66"/>
        <v>0.8813852</v>
      </c>
      <c r="CX106" s="112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110">
        <f t="shared" si="67"/>
        <v>0.0986</v>
      </c>
      <c r="CZ106" s="112">
        <f>CO106*IF(VLOOKUP($E106,武器奇术!$A:$R,17,FALSE)="破竹",VLOOKUP($E106,武器奇术!$A:$R,4,FALSE),VLOOKUP($E106,武器奇术!$A:$R,2,FALSE))*(1+CQ106)*(1+CR106)*CS106</f>
        <v>0</v>
      </c>
      <c r="DA106" s="110">
        <f t="shared" si="68"/>
        <v>0.00928814000000003</v>
      </c>
      <c r="DB106" s="113">
        <f t="shared" si="69"/>
        <v>0</v>
      </c>
      <c r="DC106" s="108">
        <f t="shared" si="70"/>
        <v>69.3</v>
      </c>
      <c r="DD106" s="99">
        <f>(DC106+DE106)*IF(VLOOKUP($E106,武器奇术!$A:$Z,21,FALSE)=1,$G$15,0.5)</f>
        <v>69.3</v>
      </c>
      <c r="DE106" s="109">
        <f t="shared" si="71"/>
        <v>69.3</v>
      </c>
      <c r="DF106" s="110">
        <f>IF(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R,18,FALSE)=1,4,0)+IF(VLOOKUP($E106,武器奇术!$A:$S,19,FALSE)=1,20,0)-VLOOKUP($F$7,目标属性!$A:$R,6,FALSE))/100)</f>
        <v>0.025</v>
      </c>
      <c r="DG106" s="111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U,21,FALSE)=1,0,0.09)</f>
        <v>0.235</v>
      </c>
      <c r="DH106" s="109">
        <v>1</v>
      </c>
      <c r="DI106" s="112">
        <f>DC106*IF(VLOOKUP($E106,武器奇术!$A:$R,17,FALSE)="破竹",VLOOKUP($E106,武器奇术!$A:$R,4,FALSE),VLOOKUP($E106,武器奇术!$A:$R,2,FALSE))*(1+DF106)*(1+DG106)*DH106</f>
        <v>0</v>
      </c>
      <c r="DJ106" s="110">
        <f>(1-IF(VLOOKUP($E106,武器奇术!$A:$T,20,FALSE)=1,1,$N106))*(1-$M106)</f>
        <v>0.01072666</v>
      </c>
      <c r="DK106" s="112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110">
        <f t="shared" si="72"/>
        <v>0.8813852</v>
      </c>
      <c r="DM106" s="112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110">
        <f t="shared" si="73"/>
        <v>0.0986</v>
      </c>
      <c r="DO106" s="112">
        <f>DD106*IF(VLOOKUP($E106,武器奇术!$A:$R,17,FALSE)="破竹",VLOOKUP($E106,武器奇术!$A:$R,4,FALSE),VLOOKUP($E106,武器奇术!$A:$R,2,FALSE))*(1+DF106)*(1+DG106)*DH106</f>
        <v>0</v>
      </c>
      <c r="DP106" s="110">
        <f t="shared" si="74"/>
        <v>0.00928814000000003</v>
      </c>
      <c r="DQ106" s="113">
        <f t="shared" si="75"/>
        <v>0</v>
      </c>
    </row>
    <row r="107" spans="1:121">
      <c r="A107" s="75"/>
      <c r="B107" s="75"/>
      <c r="C107" s="75"/>
      <c r="D107" s="75"/>
      <c r="E107" s="98" t="str">
        <f>期望!E107</f>
        <v>N/A</v>
      </c>
      <c r="F107" s="99">
        <f>期望!F107</f>
        <v>1</v>
      </c>
      <c r="G107" s="115"/>
      <c r="H107" s="100">
        <f>IF(VLOOKUP($E107,武器奇术!$A:$R,18,FALSE)="天工",AE107,(AE107+AT107+BI107+BX107+CM107+DB107+DQ107))*(1+J107)*F107*K107*(1+G107)</f>
        <v>0</v>
      </c>
      <c r="I107" s="101">
        <f t="shared" si="39"/>
        <v>0</v>
      </c>
      <c r="J107" s="101">
        <f>$F$3+VLOOKUP($E107,武器奇术!$A:$R,12,FALSE)+VLOOKUP($E107,武器奇术!$A:$R,14,FALSE)*$G$3+$P107</f>
        <v>0.303</v>
      </c>
      <c r="K107" s="102">
        <f>VLOOKUP($E107,武器奇术!$A:$R,11,FALSE)</f>
        <v>1</v>
      </c>
      <c r="L107" s="117">
        <f>IF(VLOOKUP($E107,武器奇术!$A:$R,15,FALSE)="天工",0%,IF($C$17+VLOOKUP($E107,武器奇术!$A:$R,7,FALSE)&gt;80%,80%,$C$17+VLOOKUP($E107,武器奇术!$A:$R,7,FALSE))+IF($C$19&gt;20%,20%,$C$19))</f>
        <v>0.892</v>
      </c>
      <c r="M107" s="118">
        <f>IF(VLOOKUP($E107,武器奇术!$A:$R,15,FALSE)="天工",0%,IF($C$18+VLOOKUP($E107,武器奇术!$A:$R,9,FALSE)&gt;40%,40%,$C$18+VLOOKUP($E107,武器奇术!$A:$R,9,FALSE))+IF($C$20&gt;10%,10%,$C$20))</f>
        <v>0.0986</v>
      </c>
      <c r="N107" s="119">
        <f>IF(VLOOKUP($E107,武器奇术!$A:$R,15,FALSE)="天工",100%,MIN($C$16,1))</f>
        <v>0.9881</v>
      </c>
      <c r="O107" s="120" t="str">
        <f>VLOOKUP($E107,武器奇术!$A:$R,16,FALSE)</f>
        <v>N/A</v>
      </c>
      <c r="P107" s="121">
        <f t="shared" si="76"/>
        <v>0</v>
      </c>
      <c r="Q107" s="108">
        <f>$B$5*(1+VLOOKUP($E107,武器奇术!$A:$R,5,FALSE)+IF($G$5="飞隼",0.1,0)+IF($G$5="撼天",0.05,0))-$F$9+IF($I$5="√",160,0)</f>
        <v>1731.135</v>
      </c>
      <c r="R107" s="99">
        <f>IF(VLOOKUP($E107,武器奇术!$A:$Z,20,FALSE)=1,(S107-(Q107+S107)*0.5)*($G$15-0.5)*2+(Q107+S107)*0.5,(Q107+S107)*0.5)</f>
        <v>3256.775</v>
      </c>
      <c r="S107" s="109">
        <f>MAX($C$5,$B$5)*(1+VLOOKUP($E107,武器奇术!$A:$R,5,FALSE)+IF($G$5="飞隼",0.1,0)+IF($G$5="撼天",0.05,0))-$F$9+IF($I$5="√",320,0)</f>
        <v>4782.415</v>
      </c>
      <c r="T107" s="101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U107" s="111">
        <f>$E$5+IF(VLOOKUP($E107,武器奇术!$A:$U,21,FALSE)=1,0,0.09)</f>
        <v>0.115</v>
      </c>
      <c r="V107" s="109">
        <v>1</v>
      </c>
      <c r="W107" s="112">
        <f>Q107*VLOOKUP($E107,武器奇术!$A:$R,2,FALSE)*(1+T107)*(1+U107)*V107</f>
        <v>0</v>
      </c>
      <c r="X107" s="110">
        <f>(1-IF(VLOOKUP($E107,武器奇术!$A:$T,20,FALSE)=1,1,$N107))*(1-$M107)</f>
        <v>0.01072666</v>
      </c>
      <c r="Y107" s="112">
        <f>R107*VLOOKUP($E107,武器奇术!$A:$R,2,FALSE)*(1+T107)*(1+U107)*V107*(1+$E$16+VLOOKUP($E107,武器奇术!$A:$R,8,FALSE))</f>
        <v>0</v>
      </c>
      <c r="Z107" s="110">
        <f t="shared" si="40"/>
        <v>0.8813852</v>
      </c>
      <c r="AA107" s="112">
        <f>S107*VLOOKUP($E107,武器奇术!$A:$R,2,FALSE)*(1+T107)*(1+U107)*V107*(1+$E$17+VLOOKUP($E107,武器奇术!$A:$R,10,FALSE))</f>
        <v>0</v>
      </c>
      <c r="AB107" s="110">
        <f t="shared" si="41"/>
        <v>0.0986</v>
      </c>
      <c r="AC107" s="112">
        <f>R107*VLOOKUP($E107,武器奇术!$A:$R,2,FALSE)*(1+T107)*(1+U107)*V107</f>
        <v>0</v>
      </c>
      <c r="AD107" s="110">
        <f t="shared" si="42"/>
        <v>0.00928814000000003</v>
      </c>
      <c r="AE107" s="113">
        <f t="shared" si="43"/>
        <v>0</v>
      </c>
      <c r="AF107" s="114">
        <f>VLOOKUP($E107,武器奇术!$A:$R,3,FALSE)*(1+IF(VLOOKUP($E107,武器奇术!$A:$R,15,FALSE)="武器",$E$15,0))</f>
        <v>0</v>
      </c>
      <c r="AG107" s="112">
        <f t="shared" si="44"/>
        <v>0</v>
      </c>
      <c r="AH107" s="112">
        <f>VLOOKUP($E107,武器奇术!$A:$R,3,FALSE)*(1+IF(VLOOKUP($E107,武器奇术!$A:$R,15,FALSE)="武器",$E$15,0))</f>
        <v>0</v>
      </c>
      <c r="AI107" s="101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0.242</v>
      </c>
      <c r="AJ107" s="111">
        <f>$E$5+IF(VLOOKUP($E107,武器奇术!$A:$U,21,FALSE)=1,0,0.09)</f>
        <v>0.115</v>
      </c>
      <c r="AK107" s="109">
        <v>1</v>
      </c>
      <c r="AL107" s="112">
        <f t="shared" si="45"/>
        <v>0</v>
      </c>
      <c r="AM107" s="110">
        <f>(1-IF(VLOOKUP($E107,武器奇术!$A:$T,20,FALSE)=1,1,$N107))*(1-$M107)</f>
        <v>0.01072666</v>
      </c>
      <c r="AN107" s="112">
        <f>AG107*(1+AI107)*(1+AJ107)*AK107*(1+$E$16+VLOOKUP($E107,武器奇术!$A:$R,8,FALSE))</f>
        <v>0</v>
      </c>
      <c r="AO107" s="110">
        <f t="shared" si="46"/>
        <v>0.8813852</v>
      </c>
      <c r="AP107" s="112">
        <f>AH107*(1+AI107)*(1+AJ107)*AK107*(1+$E$17+VLOOKUP($E107,武器奇术!$A:$R,10,FALSE))</f>
        <v>0</v>
      </c>
      <c r="AQ107" s="110">
        <f t="shared" si="47"/>
        <v>0.0986</v>
      </c>
      <c r="AR107" s="112">
        <f t="shared" si="48"/>
        <v>0</v>
      </c>
      <c r="AS107" s="110">
        <f t="shared" si="49"/>
        <v>0.00928814000000003</v>
      </c>
      <c r="AT107" s="113">
        <f t="shared" si="50"/>
        <v>0</v>
      </c>
      <c r="AU107" s="108">
        <f>$B$7*IF($G$5="撼天",1.05,1)+IF(AND(VLOOKUP($E107,武器奇术!$A:$R,15,FALSE)="武器",VLOOKUP($E107,武器奇术!$A:$R,17,FALSE)="鸣金"),$E$3,0)*(1+$E$15)</f>
        <v>0</v>
      </c>
      <c r="AV107" s="99">
        <f>(AU107+AW107)*IF(VLOOKUP($E107,武器奇术!$A:$Z,21,FALSE)=1,$G$15,0.5)</f>
        <v>0</v>
      </c>
      <c r="AW107" s="109">
        <f>MAX($C$7*IF($G$5="撼天",1.05,1)+IF(AND(VLOOKUP($E107,武器奇术!$A:$R,15,FALSE)="武器",VLOOKUP($E107,武器奇术!$A:$R,17,FALSE)="鸣金"),$E$3*(1+$E$15),0),AU107)</f>
        <v>0</v>
      </c>
      <c r="AX107" s="110">
        <f>IF(($D$7+IF(VLOOKUP($E107,武器奇术!$A:$R,17,FALSE)="鸣金",$D$15,0)+IF(VLOOKUP($E107,武器奇术!$A:$R,18,FALSE)=1,4,0)+IF(VLOOKUP($E107,武器奇术!$A:$S,19,FALSE)=1,20,0)-VLOOKUP($F$7,目标属性!$A:$R,6,FALSE))&gt;0,($D$7+IF(VLOOKUP($E107,武器奇术!$A:$R,17,FALSE)="鸣金",$D$15,0)+IF(VLOOKUP($E107,武器奇术!$A:$R,18,FALSE)=1,4,0)+IF(VLOOKUP($E107,武器奇术!$A:$S,19,FALSE)=1,20,0)-VLOOKUP($F$7,目标属性!$A:$R,6,FALSE))/200,($D$7+IF(VLOOKUP($E107,武器奇术!$A:$R,17,FALSE)="鸣金",$D$15,0)+IF(VLOOKUP($E107,武器奇术!$A:$R,18,FALSE)=1,4,0)+IF(VLOOKUP($E107,武器奇术!$A:$S,19,FALSE)=1,20,0)-VLOOKUP($F$7,目标属性!$A:$R,6,FALSE))/100)</f>
        <v>-0.24</v>
      </c>
      <c r="AY107" s="111">
        <f t="shared" si="51"/>
        <v>0</v>
      </c>
      <c r="AZ107" s="109">
        <v>1</v>
      </c>
      <c r="BA107" s="112">
        <f>AU107*IF(VLOOKUP($E107,武器奇术!$A:$R,17,FALSE)="鸣金",VLOOKUP($E107,武器奇术!$A:$R,4,FALSE),VLOOKUP($E107,武器奇术!$A:$R,2,FALSE))*(1+AX107)*(1+AY107)*AZ107</f>
        <v>0</v>
      </c>
      <c r="BB107" s="110">
        <f>(1-IF(VLOOKUP($E107,武器奇术!$A:$T,20,FALSE)=1,1,$N107))*(1-$M107)</f>
        <v>0.01072666</v>
      </c>
      <c r="BC107" s="112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110">
        <f t="shared" si="52"/>
        <v>0.8813852</v>
      </c>
      <c r="BE107" s="112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110">
        <f t="shared" si="53"/>
        <v>0.0986</v>
      </c>
      <c r="BG107" s="112">
        <f>AV107*IF(VLOOKUP($E107,武器奇术!$A:$R,17,FALSE)="鸣金",VLOOKUP($E107,武器奇术!$A:$R,4,FALSE),VLOOKUP($E107,武器奇术!$A:$R,2,FALSE))*(1+AX107)*(1+AY107)*AZ107</f>
        <v>0</v>
      </c>
      <c r="BH107" s="110">
        <f t="shared" si="54"/>
        <v>0.00928814000000003</v>
      </c>
      <c r="BI107" s="113">
        <f t="shared" si="55"/>
        <v>0</v>
      </c>
      <c r="BJ107" s="108">
        <f>$B$9*IF($G$5="撼天",1.05,1)+IF(AND(VLOOKUP($E107,武器奇术!$A:$R,15,FALSE)="武器",VLOOKUP($E107,武器奇术!$A:$R,17,FALSE)="裂石"),$E$3,0)*(1+$E$15)</f>
        <v>0</v>
      </c>
      <c r="BK107" s="99">
        <f>(BJ107+BL107)*IF(VLOOKUP($E107,武器奇术!$A:$Z,21,FALSE)=1,$G$15,0.5)</f>
        <v>0</v>
      </c>
      <c r="BL107" s="109">
        <f>MAX($C$9*IF($G$5="撼天",1.05,1)+IF(AND(VLOOKUP($E107,武器奇术!$A:$R,15,FALSE)="武器",VLOOKUP($E107,武器奇术!$A:$R,17,FALSE)="裂石"),$E$3*(1+$E$15),0),BJ107)</f>
        <v>0</v>
      </c>
      <c r="BM107" s="110">
        <f>IF(($D$9+IF(VLOOKUP($E107,武器奇术!$A:$R,17,FALSE)="裂石",$D$15,0)+IF(VLOOKUP($E107,武器奇术!$A:$R,18,FALSE)=1,4,0)+IF(VLOOKUP($E107,武器奇术!$A:$S,19,FALSE)=1,20,0)-VLOOKUP($F$7,目标属性!$A:$R,6,FALSE))&gt;0,($D$9+IF(VLOOKUP($E107,武器奇术!$A:$R,17,FALSE)="裂石",$D$15,0)+IF(VLOOKUP($E107,武器奇术!$A:$R,18,FALSE)=1,4,0)+IF(VLOOKUP($E107,武器奇术!$A:$S,19,FALSE)=1,20,0)-VLOOKUP($F$7,目标属性!$A:$R,6,FALSE))/200,($D$9+IF(VLOOKUP($E107,武器奇术!$A:$R,17,FALSE)="裂石",$D$15,0)+IF(VLOOKUP($E107,武器奇术!$A:$R,18,FALSE)=1,4,0)+IF(VLOOKUP($E107,武器奇术!$A:$S,19,FALSE)=1,20,0)-VLOOKUP($F$7,目标属性!$A:$R,6,FALSE))/100)</f>
        <v>-0.24</v>
      </c>
      <c r="BN107" s="111">
        <f t="shared" si="56"/>
        <v>0</v>
      </c>
      <c r="BO107" s="109">
        <v>1</v>
      </c>
      <c r="BP107" s="112">
        <f>BJ107*IF(VLOOKUP($E107,武器奇术!$A:$R,17,FALSE)="裂石",VLOOKUP($E107,武器奇术!$A:$R,4,FALSE),VLOOKUP($E107,武器奇术!$A:$R,2,FALSE))*(1+BM107)*(1+BN107)*BO107</f>
        <v>0</v>
      </c>
      <c r="BQ107" s="110">
        <f>(1-IF(VLOOKUP($E107,武器奇术!$A:$T,20,FALSE)=1,1,$N107))*(1-$M107)</f>
        <v>0.01072666</v>
      </c>
      <c r="BR107" s="112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110">
        <f t="shared" si="57"/>
        <v>0.8813852</v>
      </c>
      <c r="BT107" s="112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110">
        <f t="shared" si="58"/>
        <v>0.0986</v>
      </c>
      <c r="BV107" s="112">
        <f>BK107*IF(VLOOKUP($E107,武器奇术!$A:$R,17,FALSE)="裂石",VLOOKUP($E107,武器奇术!$A:$R,4,FALSE),VLOOKUP($E107,武器奇术!$A:$R,2,FALSE))*(1+BM107)*(1+BN107)*BO107</f>
        <v>0</v>
      </c>
      <c r="BW107" s="110">
        <f t="shared" si="59"/>
        <v>0.00928814000000003</v>
      </c>
      <c r="BX107" s="113">
        <f t="shared" si="60"/>
        <v>0</v>
      </c>
      <c r="BY107" s="108">
        <f>$B$11*IF($G$5="撼天",1.05,1)+IF(AND(VLOOKUP($E107,武器奇术!$A:$R,15,FALSE)="武器",VLOOKUP($E107,武器奇术!$A:$R,17,FALSE)="牵丝"),$E$3,0)*(1+$E$15)</f>
        <v>0</v>
      </c>
      <c r="BZ107" s="99">
        <f>(BY107+CA107)*IF(VLOOKUP($E107,武器奇术!$A:$Z,21,FALSE)=1,$G$15,0.5)</f>
        <v>0</v>
      </c>
      <c r="CA107" s="109">
        <f>MAX($C$11*IF($G$5="撼天",1.05,1)+IF(AND(VLOOKUP($E107,武器奇术!$A:$R,15,FALSE)="武器",VLOOKUP($E107,武器奇术!$A:$R,17,FALSE)="牵丝"),$E$3*(1+$E$15),0),BY107)</f>
        <v>0</v>
      </c>
      <c r="CB107" s="110">
        <f>IF(($D$11+IF(VLOOKUP($E107,武器奇术!$A:$R,17,FALSE)="牵丝",$D$15,0)+IF(VLOOKUP($E107,武器奇术!$A:$R,18,FALSE)=1,4,0)+IF(VLOOKUP($E107,武器奇术!$A:$S,19,FALSE)=1,20,0)-VLOOKUP($F$7,目标属性!$A:$R,6,FALSE))&gt;0,($D$11+IF(VLOOKUP($E107,武器奇术!$A:$R,17,FALSE)="牵丝",$D$15,0)+IF(VLOOKUP($E107,武器奇术!$A:$R,18,FALSE)=1,4,0)+IF(VLOOKUP($E107,武器奇术!$A:$S,19,FALSE)=1,20,0)-VLOOKUP($F$7,目标属性!$A:$R,6,FALSE))/200,($D$11+IF(VLOOKUP($E107,武器奇术!$A:$R,17,FALSE)="牵丝",$D$15,0)+IF(VLOOKUP($E107,武器奇术!$A:$R,18,FALSE)=1,4,0)+IF(VLOOKUP($E107,武器奇术!$A:$S,19,FALSE)=1,20,0)-VLOOKUP($F$7,目标属性!$A:$R,6,FALSE))/100)</f>
        <v>-0.24</v>
      </c>
      <c r="CC107" s="111">
        <f t="shared" si="61"/>
        <v>0</v>
      </c>
      <c r="CD107" s="109">
        <v>1</v>
      </c>
      <c r="CE107" s="112">
        <f>BY107*IF(VLOOKUP($E107,武器奇术!$A:$R,17,FALSE)="牵丝",VLOOKUP($E107,武器奇术!$A:$R,4,FALSE),VLOOKUP($E107,武器奇术!$A:$R,2,FALSE))*(1+CB107)*(1+CC107)*CD107</f>
        <v>0</v>
      </c>
      <c r="CF107" s="110">
        <f>(1-IF(VLOOKUP($E107,武器奇术!$A:$T,20,FALSE)=1,1,$N107))*(1-$M107)</f>
        <v>0.01072666</v>
      </c>
      <c r="CG107" s="112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110">
        <f t="shared" si="62"/>
        <v>0.8813852</v>
      </c>
      <c r="CI107" s="112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110">
        <f t="shared" si="63"/>
        <v>0.0986</v>
      </c>
      <c r="CK107" s="112">
        <f>BZ107*IF(VLOOKUP($E107,武器奇术!$A:$R,17,FALSE)="牵丝",VLOOKUP($E107,武器奇术!$A:$R,4,FALSE),VLOOKUP($E107,武器奇术!$A:$R,2,FALSE))*(1+CB107)*(1+CC107)*CD107</f>
        <v>0</v>
      </c>
      <c r="CL107" s="110">
        <f t="shared" si="64"/>
        <v>0.00928814000000003</v>
      </c>
      <c r="CM107" s="113">
        <f t="shared" si="65"/>
        <v>0</v>
      </c>
      <c r="CN107" s="108">
        <f>$B$13*IF($G$5="撼天",1.05,1)+IF(AND(VLOOKUP($E107,武器奇术!$A:$R,15,FALSE)="武器",VLOOKUP($E107,武器奇术!$A:$R,17,FALSE)="破竹"),$E$3,0)*(1+$E$15)</f>
        <v>452.55</v>
      </c>
      <c r="CO107" s="99">
        <f>(CN107+CP107)*IF(VLOOKUP($E107,武器奇术!$A:$Z,21,FALSE)=1,$G$15,0.5)</f>
        <v>679.35</v>
      </c>
      <c r="CP107" s="109">
        <f>MAX($C$13*IF($G$5="撼天",1.05,1)+IF(AND(VLOOKUP($E107,武器奇术!$A:$R,15,FALSE)="武器",VLOOKUP($E107,武器奇术!$A:$R,17,FALSE)="破竹"),$E$3*(1+$E$15),0),CN107)</f>
        <v>906.15</v>
      </c>
      <c r="CQ107" s="110">
        <f>IF(($D$13+IF(VLOOKUP($E107,武器奇术!$A:$R,17,FALSE)="破竹",$D$15,0)+IF(VLOOKUP($E107,武器奇术!$A:$R,18,FALSE)=1,4,0)+IF(VLOOKUP($E107,武器奇术!$A:$S,19,FALSE)=1,20,0)-VLOOKUP($F$7,目标属性!$A:$R,6,FALSE))&gt;0,($D$13+IF(VLOOKUP($E107,武器奇术!$A:$R,17,FALSE)="破竹",$D$15,0)+IF(VLOOKUP($E107,武器奇术!$A:$R,18,FALSE)=1,4,0)+IF(VLOOKUP($E107,武器奇术!$A:$S,19,FALSE)=1,20,0)-VLOOKUP($F$7,目标属性!$A:$R,6,FALSE))/200,($D$13+IF(VLOOKUP($E107,武器奇术!$A:$R,17,FALSE)="破竹",$D$15,0)+IF(VLOOKUP($E107,武器奇术!$A:$R,18,FALSE)=1,4,0)+IF(VLOOKUP($E107,武器奇术!$A:$S,19,FALSE)=1,20,0)-VLOOKUP($F$7,目标属性!$A:$R,6,FALSE))/100)</f>
        <v>0.025</v>
      </c>
      <c r="CR107" s="111">
        <f>$E$13+IF(VLOOKUP($E107,武器奇术!$A:$U,21,FALSE)=1,0,0.09)</f>
        <v>0.235</v>
      </c>
      <c r="CS107" s="109">
        <v>1</v>
      </c>
      <c r="CT107" s="112">
        <f>CN107*IF(VLOOKUP($E107,武器奇术!$A:$R,17,FALSE)="破竹",VLOOKUP($E107,武器奇术!$A:$R,4,FALSE),VLOOKUP($E107,武器奇术!$A:$R,2,FALSE))*(1+CQ107)*(1+CR107)*CS107</f>
        <v>0</v>
      </c>
      <c r="CU107" s="110">
        <f>(1-IF(VLOOKUP($E107,武器奇术!$A:$T,20,FALSE)=1,1,$N107))*(1-$M107)</f>
        <v>0.01072666</v>
      </c>
      <c r="CV107" s="112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110">
        <f t="shared" si="66"/>
        <v>0.8813852</v>
      </c>
      <c r="CX107" s="112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110">
        <f t="shared" si="67"/>
        <v>0.0986</v>
      </c>
      <c r="CZ107" s="112">
        <f>CO107*IF(VLOOKUP($E107,武器奇术!$A:$R,17,FALSE)="破竹",VLOOKUP($E107,武器奇术!$A:$R,4,FALSE),VLOOKUP($E107,武器奇术!$A:$R,2,FALSE))*(1+CQ107)*(1+CR107)*CS107</f>
        <v>0</v>
      </c>
      <c r="DA107" s="110">
        <f t="shared" si="68"/>
        <v>0.00928814000000003</v>
      </c>
      <c r="DB107" s="113">
        <f t="shared" si="69"/>
        <v>0</v>
      </c>
      <c r="DC107" s="108">
        <f t="shared" si="70"/>
        <v>69.3</v>
      </c>
      <c r="DD107" s="99">
        <f>(DC107+DE107)*IF(VLOOKUP($E107,武器奇术!$A:$Z,21,FALSE)=1,$G$15,0.5)</f>
        <v>69.3</v>
      </c>
      <c r="DE107" s="109">
        <f t="shared" si="71"/>
        <v>69.3</v>
      </c>
      <c r="DF107" s="110">
        <f>IF(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R,18,FALSE)=1,4,0)+IF(VLOOKUP($E107,武器奇术!$A:$S,19,FALSE)=1,20,0)-VLOOKUP($F$7,目标属性!$A:$R,6,FALSE))/100)</f>
        <v>0.025</v>
      </c>
      <c r="DG107" s="111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U,21,FALSE)=1,0,0.09)</f>
        <v>0.235</v>
      </c>
      <c r="DH107" s="109">
        <v>1</v>
      </c>
      <c r="DI107" s="112">
        <f>DC107*IF(VLOOKUP($E107,武器奇术!$A:$R,17,FALSE)="破竹",VLOOKUP($E107,武器奇术!$A:$R,4,FALSE),VLOOKUP($E107,武器奇术!$A:$R,2,FALSE))*(1+DF107)*(1+DG107)*DH107</f>
        <v>0</v>
      </c>
      <c r="DJ107" s="110">
        <f>(1-IF(VLOOKUP($E107,武器奇术!$A:$T,20,FALSE)=1,1,$N107))*(1-$M107)</f>
        <v>0.01072666</v>
      </c>
      <c r="DK107" s="112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110">
        <f t="shared" si="72"/>
        <v>0.8813852</v>
      </c>
      <c r="DM107" s="112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110">
        <f t="shared" si="73"/>
        <v>0.0986</v>
      </c>
      <c r="DO107" s="112">
        <f>DD107*IF(VLOOKUP($E107,武器奇术!$A:$R,17,FALSE)="破竹",VLOOKUP($E107,武器奇术!$A:$R,4,FALSE),VLOOKUP($E107,武器奇术!$A:$R,2,FALSE))*(1+DF107)*(1+DG107)*DH107</f>
        <v>0</v>
      </c>
      <c r="DP107" s="110">
        <f t="shared" si="74"/>
        <v>0.00928814000000003</v>
      </c>
      <c r="DQ107" s="113">
        <f t="shared" si="75"/>
        <v>0</v>
      </c>
    </row>
    <row r="108" spans="1:121">
      <c r="A108" s="75"/>
      <c r="C108" s="147"/>
      <c r="E108" s="98" t="str">
        <f>期望!E108</f>
        <v>N/A</v>
      </c>
      <c r="F108" s="99">
        <f>期望!F108</f>
        <v>1</v>
      </c>
      <c r="G108" s="115"/>
      <c r="H108" s="100">
        <f>IF(VLOOKUP($E108,武器奇术!$A:$R,18,FALSE)="天工",AE108,(AE108+AT108+BI108+BX108+CM108+DB108+DQ108))*(1+J108)*F108*K108*(1+G108)</f>
        <v>0</v>
      </c>
      <c r="I108" s="101">
        <f t="shared" si="39"/>
        <v>0</v>
      </c>
      <c r="J108" s="101">
        <f>$F$3+VLOOKUP($E108,武器奇术!$A:$R,12,FALSE)+VLOOKUP($E108,武器奇术!$A:$R,14,FALSE)*$G$3+$P108</f>
        <v>0.303</v>
      </c>
      <c r="K108" s="102">
        <f>VLOOKUP($E108,武器奇术!$A:$R,11,FALSE)</f>
        <v>1</v>
      </c>
      <c r="L108" s="117">
        <f>IF(VLOOKUP($E108,武器奇术!$A:$R,15,FALSE)="天工",0%,IF($C$17+VLOOKUP($E108,武器奇术!$A:$R,7,FALSE)&gt;80%,80%,$C$17+VLOOKUP($E108,武器奇术!$A:$R,7,FALSE))+IF($C$19&gt;20%,20%,$C$19))</f>
        <v>0.892</v>
      </c>
      <c r="M108" s="118">
        <f>IF(VLOOKUP($E108,武器奇术!$A:$R,15,FALSE)="天工",0%,IF($C$18+VLOOKUP($E108,武器奇术!$A:$R,9,FALSE)&gt;40%,40%,$C$18+VLOOKUP($E108,武器奇术!$A:$R,9,FALSE))+IF($C$20&gt;10%,10%,$C$20))</f>
        <v>0.0986</v>
      </c>
      <c r="N108" s="119">
        <f>IF(VLOOKUP($E108,武器奇术!$A:$R,15,FALSE)="天工",100%,MIN($C$16,1))</f>
        <v>0.9881</v>
      </c>
      <c r="O108" s="120" t="str">
        <f>VLOOKUP($E108,武器奇术!$A:$R,16,FALSE)</f>
        <v>N/A</v>
      </c>
      <c r="P108" s="121">
        <f t="shared" si="76"/>
        <v>0</v>
      </c>
      <c r="Q108" s="108">
        <f>$B$5*(1+VLOOKUP($E108,武器奇术!$A:$R,5,FALSE)+IF($G$5="飞隼",0.1,0)+IF($G$5="撼天",0.05,0))-$F$9+IF($I$5="√",160,0)</f>
        <v>1731.135</v>
      </c>
      <c r="R108" s="99">
        <f>IF(VLOOKUP($E108,武器奇术!$A:$Z,20,FALSE)=1,(S108-(Q108+S108)*0.5)*($G$15-0.5)*2+(Q108+S108)*0.5,(Q108+S108)*0.5)</f>
        <v>3256.775</v>
      </c>
      <c r="S108" s="109">
        <f>MAX($C$5,$B$5)*(1+VLOOKUP($E108,武器奇术!$A:$R,5,FALSE)+IF($G$5="飞隼",0.1,0)+IF($G$5="撼天",0.05,0))-$F$9+IF($I$5="√",320,0)</f>
        <v>4782.415</v>
      </c>
      <c r="T108" s="101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U108" s="111">
        <f>$E$5+IF(VLOOKUP($E108,武器奇术!$A:$U,21,FALSE)=1,0,0.09)</f>
        <v>0.115</v>
      </c>
      <c r="V108" s="109">
        <v>1</v>
      </c>
      <c r="W108" s="112">
        <f>Q108*VLOOKUP($E108,武器奇术!$A:$R,2,FALSE)*(1+T108)*(1+U108)*V108</f>
        <v>0</v>
      </c>
      <c r="X108" s="110">
        <f>(1-IF(VLOOKUP($E108,武器奇术!$A:$T,20,FALSE)=1,1,$N108))*(1-$M108)</f>
        <v>0.01072666</v>
      </c>
      <c r="Y108" s="112">
        <f>R108*VLOOKUP($E108,武器奇术!$A:$R,2,FALSE)*(1+T108)*(1+U108)*V108*(1+$E$16+VLOOKUP($E108,武器奇术!$A:$R,8,FALSE))</f>
        <v>0</v>
      </c>
      <c r="Z108" s="110">
        <f t="shared" si="40"/>
        <v>0.8813852</v>
      </c>
      <c r="AA108" s="112">
        <f>S108*VLOOKUP($E108,武器奇术!$A:$R,2,FALSE)*(1+T108)*(1+U108)*V108*(1+$E$17+VLOOKUP($E108,武器奇术!$A:$R,10,FALSE))</f>
        <v>0</v>
      </c>
      <c r="AB108" s="110">
        <f t="shared" si="41"/>
        <v>0.0986</v>
      </c>
      <c r="AC108" s="112">
        <f>R108*VLOOKUP($E108,武器奇术!$A:$R,2,FALSE)*(1+T108)*(1+U108)*V108</f>
        <v>0</v>
      </c>
      <c r="AD108" s="110">
        <f t="shared" si="42"/>
        <v>0.00928814000000003</v>
      </c>
      <c r="AE108" s="113">
        <f t="shared" si="43"/>
        <v>0</v>
      </c>
      <c r="AF108" s="114">
        <f>VLOOKUP($E108,武器奇术!$A:$R,3,FALSE)*(1+IF(VLOOKUP($E108,武器奇术!$A:$R,15,FALSE)="武器",$E$15,0))</f>
        <v>0</v>
      </c>
      <c r="AG108" s="112">
        <f t="shared" si="44"/>
        <v>0</v>
      </c>
      <c r="AH108" s="112">
        <f>VLOOKUP($E108,武器奇术!$A:$R,3,FALSE)*(1+IF(VLOOKUP($E108,武器奇术!$A:$R,15,FALSE)="武器",$E$15,0))</f>
        <v>0</v>
      </c>
      <c r="AI108" s="101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0.242</v>
      </c>
      <c r="AJ108" s="111">
        <f>$E$5+IF(VLOOKUP($E108,武器奇术!$A:$U,21,FALSE)=1,0,0.09)</f>
        <v>0.115</v>
      </c>
      <c r="AK108" s="109">
        <v>1</v>
      </c>
      <c r="AL108" s="112">
        <f t="shared" si="45"/>
        <v>0</v>
      </c>
      <c r="AM108" s="110">
        <f>(1-IF(VLOOKUP($E108,武器奇术!$A:$T,20,FALSE)=1,1,$N108))*(1-$M108)</f>
        <v>0.01072666</v>
      </c>
      <c r="AN108" s="112">
        <f>AG108*(1+AI108)*(1+AJ108)*AK108*(1+$E$16+VLOOKUP($E108,武器奇术!$A:$R,8,FALSE))</f>
        <v>0</v>
      </c>
      <c r="AO108" s="110">
        <f t="shared" si="46"/>
        <v>0.8813852</v>
      </c>
      <c r="AP108" s="112">
        <f>AH108*(1+AI108)*(1+AJ108)*AK108*(1+$E$17+VLOOKUP($E108,武器奇术!$A:$R,10,FALSE))</f>
        <v>0</v>
      </c>
      <c r="AQ108" s="110">
        <f t="shared" si="47"/>
        <v>0.0986</v>
      </c>
      <c r="AR108" s="112">
        <f t="shared" si="48"/>
        <v>0</v>
      </c>
      <c r="AS108" s="110">
        <f t="shared" si="49"/>
        <v>0.00928814000000003</v>
      </c>
      <c r="AT108" s="113">
        <f t="shared" si="50"/>
        <v>0</v>
      </c>
      <c r="AU108" s="108">
        <f>$B$7*IF($G$5="撼天",1.05,1)+IF(AND(VLOOKUP($E108,武器奇术!$A:$R,15,FALSE)="武器",VLOOKUP($E108,武器奇术!$A:$R,17,FALSE)="鸣金"),$E$3,0)*(1+$E$15)</f>
        <v>0</v>
      </c>
      <c r="AV108" s="99">
        <f>(AU108+AW108)*IF(VLOOKUP($E108,武器奇术!$A:$Z,21,FALSE)=1,$G$15,0.5)</f>
        <v>0</v>
      </c>
      <c r="AW108" s="109">
        <f>MAX($C$7*IF($G$5="撼天",1.05,1)+IF(AND(VLOOKUP($E108,武器奇术!$A:$R,15,FALSE)="武器",VLOOKUP($E108,武器奇术!$A:$R,17,FALSE)="鸣金"),$E$3*(1+$E$15),0),AU108)</f>
        <v>0</v>
      </c>
      <c r="AX108" s="110">
        <f>IF(($D$7+IF(VLOOKUP($E108,武器奇术!$A:$R,17,FALSE)="鸣金",$D$15,0)+IF(VLOOKUP($E108,武器奇术!$A:$R,18,FALSE)=1,4,0)+IF(VLOOKUP($E108,武器奇术!$A:$S,19,FALSE)=1,20,0)-VLOOKUP($F$7,目标属性!$A:$R,6,FALSE))&gt;0,($D$7+IF(VLOOKUP($E108,武器奇术!$A:$R,17,FALSE)="鸣金",$D$15,0)+IF(VLOOKUP($E108,武器奇术!$A:$R,18,FALSE)=1,4,0)+IF(VLOOKUP($E108,武器奇术!$A:$S,19,FALSE)=1,20,0)-VLOOKUP($F$7,目标属性!$A:$R,6,FALSE))/200,($D$7+IF(VLOOKUP($E108,武器奇术!$A:$R,17,FALSE)="鸣金",$D$15,0)+IF(VLOOKUP($E108,武器奇术!$A:$R,18,FALSE)=1,4,0)+IF(VLOOKUP($E108,武器奇术!$A:$S,19,FALSE)=1,20,0)-VLOOKUP($F$7,目标属性!$A:$R,6,FALSE))/100)</f>
        <v>-0.24</v>
      </c>
      <c r="AY108" s="111">
        <f t="shared" si="51"/>
        <v>0</v>
      </c>
      <c r="AZ108" s="109">
        <v>1</v>
      </c>
      <c r="BA108" s="112">
        <f>AU108*IF(VLOOKUP($E108,武器奇术!$A:$R,17,FALSE)="鸣金",VLOOKUP($E108,武器奇术!$A:$R,4,FALSE),VLOOKUP($E108,武器奇术!$A:$R,2,FALSE))*(1+AX108)*(1+AY108)*AZ108</f>
        <v>0</v>
      </c>
      <c r="BB108" s="110">
        <f>(1-IF(VLOOKUP($E108,武器奇术!$A:$T,20,FALSE)=1,1,$N108))*(1-$M108)</f>
        <v>0.01072666</v>
      </c>
      <c r="BC108" s="112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110">
        <f t="shared" si="52"/>
        <v>0.8813852</v>
      </c>
      <c r="BE108" s="112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110">
        <f t="shared" si="53"/>
        <v>0.0986</v>
      </c>
      <c r="BG108" s="112">
        <f>AV108*IF(VLOOKUP($E108,武器奇术!$A:$R,17,FALSE)="鸣金",VLOOKUP($E108,武器奇术!$A:$R,4,FALSE),VLOOKUP($E108,武器奇术!$A:$R,2,FALSE))*(1+AX108)*(1+AY108)*AZ108</f>
        <v>0</v>
      </c>
      <c r="BH108" s="110">
        <f t="shared" si="54"/>
        <v>0.00928814000000003</v>
      </c>
      <c r="BI108" s="113">
        <f t="shared" si="55"/>
        <v>0</v>
      </c>
      <c r="BJ108" s="108">
        <f>$B$9*IF($G$5="撼天",1.05,1)+IF(AND(VLOOKUP($E108,武器奇术!$A:$R,15,FALSE)="武器",VLOOKUP($E108,武器奇术!$A:$R,17,FALSE)="裂石"),$E$3,0)*(1+$E$15)</f>
        <v>0</v>
      </c>
      <c r="BK108" s="99">
        <f>(BJ108+BL108)*IF(VLOOKUP($E108,武器奇术!$A:$Z,21,FALSE)=1,$G$15,0.5)</f>
        <v>0</v>
      </c>
      <c r="BL108" s="109">
        <f>MAX($C$9*IF($G$5="撼天",1.05,1)+IF(AND(VLOOKUP($E108,武器奇术!$A:$R,15,FALSE)="武器",VLOOKUP($E108,武器奇术!$A:$R,17,FALSE)="裂石"),$E$3*(1+$E$15),0),BJ108)</f>
        <v>0</v>
      </c>
      <c r="BM108" s="110">
        <f>IF(($D$9+IF(VLOOKUP($E108,武器奇术!$A:$R,17,FALSE)="裂石",$D$15,0)+IF(VLOOKUP($E108,武器奇术!$A:$R,18,FALSE)=1,4,0)+IF(VLOOKUP($E108,武器奇术!$A:$S,19,FALSE)=1,20,0)-VLOOKUP($F$7,目标属性!$A:$R,6,FALSE))&gt;0,($D$9+IF(VLOOKUP($E108,武器奇术!$A:$R,17,FALSE)="裂石",$D$15,0)+IF(VLOOKUP($E108,武器奇术!$A:$R,18,FALSE)=1,4,0)+IF(VLOOKUP($E108,武器奇术!$A:$S,19,FALSE)=1,20,0)-VLOOKUP($F$7,目标属性!$A:$R,6,FALSE))/200,($D$9+IF(VLOOKUP($E108,武器奇术!$A:$R,17,FALSE)="裂石",$D$15,0)+IF(VLOOKUP($E108,武器奇术!$A:$R,18,FALSE)=1,4,0)+IF(VLOOKUP($E108,武器奇术!$A:$S,19,FALSE)=1,20,0)-VLOOKUP($F$7,目标属性!$A:$R,6,FALSE))/100)</f>
        <v>-0.24</v>
      </c>
      <c r="BN108" s="111">
        <f t="shared" si="56"/>
        <v>0</v>
      </c>
      <c r="BO108" s="109">
        <v>1</v>
      </c>
      <c r="BP108" s="112">
        <f>BJ108*IF(VLOOKUP($E108,武器奇术!$A:$R,17,FALSE)="裂石",VLOOKUP($E108,武器奇术!$A:$R,4,FALSE),VLOOKUP($E108,武器奇术!$A:$R,2,FALSE))*(1+BM108)*(1+BN108)*BO108</f>
        <v>0</v>
      </c>
      <c r="BQ108" s="110">
        <f>(1-IF(VLOOKUP($E108,武器奇术!$A:$T,20,FALSE)=1,1,$N108))*(1-$M108)</f>
        <v>0.01072666</v>
      </c>
      <c r="BR108" s="112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110">
        <f t="shared" si="57"/>
        <v>0.8813852</v>
      </c>
      <c r="BT108" s="112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110">
        <f t="shared" si="58"/>
        <v>0.0986</v>
      </c>
      <c r="BV108" s="112">
        <f>BK108*IF(VLOOKUP($E108,武器奇术!$A:$R,17,FALSE)="裂石",VLOOKUP($E108,武器奇术!$A:$R,4,FALSE),VLOOKUP($E108,武器奇术!$A:$R,2,FALSE))*(1+BM108)*(1+BN108)*BO108</f>
        <v>0</v>
      </c>
      <c r="BW108" s="110">
        <f t="shared" si="59"/>
        <v>0.00928814000000003</v>
      </c>
      <c r="BX108" s="113">
        <f t="shared" si="60"/>
        <v>0</v>
      </c>
      <c r="BY108" s="108">
        <f>$B$11*IF($G$5="撼天",1.05,1)+IF(AND(VLOOKUP($E108,武器奇术!$A:$R,15,FALSE)="武器",VLOOKUP($E108,武器奇术!$A:$R,17,FALSE)="牵丝"),$E$3,0)*(1+$E$15)</f>
        <v>0</v>
      </c>
      <c r="BZ108" s="99">
        <f>(BY108+CA108)*IF(VLOOKUP($E108,武器奇术!$A:$Z,21,FALSE)=1,$G$15,0.5)</f>
        <v>0</v>
      </c>
      <c r="CA108" s="109">
        <f>MAX($C$11*IF($G$5="撼天",1.05,1)+IF(AND(VLOOKUP($E108,武器奇术!$A:$R,15,FALSE)="武器",VLOOKUP($E108,武器奇术!$A:$R,17,FALSE)="牵丝"),$E$3*(1+$E$15),0),BY108)</f>
        <v>0</v>
      </c>
      <c r="CB108" s="110">
        <f>IF(($D$11+IF(VLOOKUP($E108,武器奇术!$A:$R,17,FALSE)="牵丝",$D$15,0)+IF(VLOOKUP($E108,武器奇术!$A:$R,18,FALSE)=1,4,0)+IF(VLOOKUP($E108,武器奇术!$A:$S,19,FALSE)=1,20,0)-VLOOKUP($F$7,目标属性!$A:$R,6,FALSE))&gt;0,($D$11+IF(VLOOKUP($E108,武器奇术!$A:$R,17,FALSE)="牵丝",$D$15,0)+IF(VLOOKUP($E108,武器奇术!$A:$R,18,FALSE)=1,4,0)+IF(VLOOKUP($E108,武器奇术!$A:$S,19,FALSE)=1,20,0)-VLOOKUP($F$7,目标属性!$A:$R,6,FALSE))/200,($D$11+IF(VLOOKUP($E108,武器奇术!$A:$R,17,FALSE)="牵丝",$D$15,0)+IF(VLOOKUP($E108,武器奇术!$A:$R,18,FALSE)=1,4,0)+IF(VLOOKUP($E108,武器奇术!$A:$S,19,FALSE)=1,20,0)-VLOOKUP($F$7,目标属性!$A:$R,6,FALSE))/100)</f>
        <v>-0.24</v>
      </c>
      <c r="CC108" s="111">
        <f t="shared" si="61"/>
        <v>0</v>
      </c>
      <c r="CD108" s="109">
        <v>1</v>
      </c>
      <c r="CE108" s="112">
        <f>BY108*IF(VLOOKUP($E108,武器奇术!$A:$R,17,FALSE)="牵丝",VLOOKUP($E108,武器奇术!$A:$R,4,FALSE),VLOOKUP($E108,武器奇术!$A:$R,2,FALSE))*(1+CB108)*(1+CC108)*CD108</f>
        <v>0</v>
      </c>
      <c r="CF108" s="110">
        <f>(1-IF(VLOOKUP($E108,武器奇术!$A:$T,20,FALSE)=1,1,$N108))*(1-$M108)</f>
        <v>0.01072666</v>
      </c>
      <c r="CG108" s="112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110">
        <f t="shared" si="62"/>
        <v>0.8813852</v>
      </c>
      <c r="CI108" s="112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110">
        <f t="shared" si="63"/>
        <v>0.0986</v>
      </c>
      <c r="CK108" s="112">
        <f>BZ108*IF(VLOOKUP($E108,武器奇术!$A:$R,17,FALSE)="牵丝",VLOOKUP($E108,武器奇术!$A:$R,4,FALSE),VLOOKUP($E108,武器奇术!$A:$R,2,FALSE))*(1+CB108)*(1+CC108)*CD108</f>
        <v>0</v>
      </c>
      <c r="CL108" s="110">
        <f t="shared" si="64"/>
        <v>0.00928814000000003</v>
      </c>
      <c r="CM108" s="113">
        <f t="shared" si="65"/>
        <v>0</v>
      </c>
      <c r="CN108" s="108">
        <f>$B$13*IF($G$5="撼天",1.05,1)+IF(AND(VLOOKUP($E108,武器奇术!$A:$R,15,FALSE)="武器",VLOOKUP($E108,武器奇术!$A:$R,17,FALSE)="破竹"),$E$3,0)*(1+$E$15)</f>
        <v>452.55</v>
      </c>
      <c r="CO108" s="99">
        <f>(CN108+CP108)*IF(VLOOKUP($E108,武器奇术!$A:$Z,21,FALSE)=1,$G$15,0.5)</f>
        <v>679.35</v>
      </c>
      <c r="CP108" s="109">
        <f>MAX($C$13*IF($G$5="撼天",1.05,1)+IF(AND(VLOOKUP($E108,武器奇术!$A:$R,15,FALSE)="武器",VLOOKUP($E108,武器奇术!$A:$R,17,FALSE)="破竹"),$E$3*(1+$E$15),0),CN108)</f>
        <v>906.15</v>
      </c>
      <c r="CQ108" s="110">
        <f>IF(($D$13+IF(VLOOKUP($E108,武器奇术!$A:$R,17,FALSE)="破竹",$D$15,0)+IF(VLOOKUP($E108,武器奇术!$A:$R,18,FALSE)=1,4,0)+IF(VLOOKUP($E108,武器奇术!$A:$S,19,FALSE)=1,20,0)-VLOOKUP($F$7,目标属性!$A:$R,6,FALSE))&gt;0,($D$13+IF(VLOOKUP($E108,武器奇术!$A:$R,17,FALSE)="破竹",$D$15,0)+IF(VLOOKUP($E108,武器奇术!$A:$R,18,FALSE)=1,4,0)+IF(VLOOKUP($E108,武器奇术!$A:$S,19,FALSE)=1,20,0)-VLOOKUP($F$7,目标属性!$A:$R,6,FALSE))/200,($D$13+IF(VLOOKUP($E108,武器奇术!$A:$R,17,FALSE)="破竹",$D$15,0)+IF(VLOOKUP($E108,武器奇术!$A:$R,18,FALSE)=1,4,0)+IF(VLOOKUP($E108,武器奇术!$A:$S,19,FALSE)=1,20,0)-VLOOKUP($F$7,目标属性!$A:$R,6,FALSE))/100)</f>
        <v>0.025</v>
      </c>
      <c r="CR108" s="111">
        <f>$E$13+IF(VLOOKUP($E108,武器奇术!$A:$U,21,FALSE)=1,0,0.09)</f>
        <v>0.235</v>
      </c>
      <c r="CS108" s="109">
        <v>1</v>
      </c>
      <c r="CT108" s="112">
        <f>CN108*IF(VLOOKUP($E108,武器奇术!$A:$R,17,FALSE)="破竹",VLOOKUP($E108,武器奇术!$A:$R,4,FALSE),VLOOKUP($E108,武器奇术!$A:$R,2,FALSE))*(1+CQ108)*(1+CR108)*CS108</f>
        <v>0</v>
      </c>
      <c r="CU108" s="110">
        <f>(1-IF(VLOOKUP($E108,武器奇术!$A:$T,20,FALSE)=1,1,$N108))*(1-$M108)</f>
        <v>0.01072666</v>
      </c>
      <c r="CV108" s="112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110">
        <f t="shared" si="66"/>
        <v>0.8813852</v>
      </c>
      <c r="CX108" s="112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110">
        <f t="shared" si="67"/>
        <v>0.0986</v>
      </c>
      <c r="CZ108" s="112">
        <f>CO108*IF(VLOOKUP($E108,武器奇术!$A:$R,17,FALSE)="破竹",VLOOKUP($E108,武器奇术!$A:$R,4,FALSE),VLOOKUP($E108,武器奇术!$A:$R,2,FALSE))*(1+CQ108)*(1+CR108)*CS108</f>
        <v>0</v>
      </c>
      <c r="DA108" s="110">
        <f t="shared" si="68"/>
        <v>0.00928814000000003</v>
      </c>
      <c r="DB108" s="113">
        <f t="shared" si="69"/>
        <v>0</v>
      </c>
      <c r="DC108" s="108">
        <f t="shared" si="70"/>
        <v>69.3</v>
      </c>
      <c r="DD108" s="99">
        <f>(DC108+DE108)*IF(VLOOKUP($E108,武器奇术!$A:$Z,21,FALSE)=1,$G$15,0.5)</f>
        <v>69.3</v>
      </c>
      <c r="DE108" s="109">
        <f t="shared" si="71"/>
        <v>69.3</v>
      </c>
      <c r="DF108" s="110">
        <f>IF(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R,18,FALSE)=1,4,0)+IF(VLOOKUP($E108,武器奇术!$A:$S,19,FALSE)=1,20,0)-VLOOKUP($F$7,目标属性!$A:$R,6,FALSE))/100)</f>
        <v>0.025</v>
      </c>
      <c r="DG108" s="111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U,21,FALSE)=1,0,0.09)</f>
        <v>0.235</v>
      </c>
      <c r="DH108" s="109">
        <v>1</v>
      </c>
      <c r="DI108" s="112">
        <f>DC108*IF(VLOOKUP($E108,武器奇术!$A:$R,17,FALSE)="破竹",VLOOKUP($E108,武器奇术!$A:$R,4,FALSE),VLOOKUP($E108,武器奇术!$A:$R,2,FALSE))*(1+DF108)*(1+DG108)*DH108</f>
        <v>0</v>
      </c>
      <c r="DJ108" s="110">
        <f>(1-IF(VLOOKUP($E108,武器奇术!$A:$T,20,FALSE)=1,1,$N108))*(1-$M108)</f>
        <v>0.01072666</v>
      </c>
      <c r="DK108" s="112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110">
        <f t="shared" si="72"/>
        <v>0.8813852</v>
      </c>
      <c r="DM108" s="112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110">
        <f t="shared" si="73"/>
        <v>0.0986</v>
      </c>
      <c r="DO108" s="112">
        <f>DD108*IF(VLOOKUP($E108,武器奇术!$A:$R,17,FALSE)="破竹",VLOOKUP($E108,武器奇术!$A:$R,4,FALSE),VLOOKUP($E108,武器奇术!$A:$R,2,FALSE))*(1+DF108)*(1+DG108)*DH108</f>
        <v>0</v>
      </c>
      <c r="DP108" s="110">
        <f t="shared" si="74"/>
        <v>0.00928814000000003</v>
      </c>
      <c r="DQ108" s="113">
        <f t="shared" si="75"/>
        <v>0</v>
      </c>
    </row>
    <row r="109" spans="1:121">
      <c r="C109" s="147"/>
      <c r="E109" s="98" t="str">
        <f>期望!E109</f>
        <v>N/A</v>
      </c>
      <c r="F109" s="99">
        <f>期望!F109</f>
        <v>0</v>
      </c>
      <c r="G109" s="115"/>
      <c r="H109" s="100">
        <f>IF(VLOOKUP($E109,武器奇术!$A:$R,18,FALSE)="天工",AE109,(AE109+AT109+BI109+BX109+CM109+DB109+DQ109))*(1+J109)*F109*K109*(1+G109)</f>
        <v>0</v>
      </c>
      <c r="I109" s="101">
        <f t="shared" si="39"/>
        <v>0</v>
      </c>
      <c r="J109" s="101">
        <f>$F$3+VLOOKUP($E109,武器奇术!$A:$R,12,FALSE)+VLOOKUP($E109,武器奇术!$A:$R,14,FALSE)*$G$3+$P109</f>
        <v>0.303</v>
      </c>
      <c r="K109" s="102">
        <f>VLOOKUP($E109,武器奇术!$A:$R,11,FALSE)</f>
        <v>1</v>
      </c>
      <c r="L109" s="117">
        <f>IF(VLOOKUP($E109,武器奇术!$A:$R,15,FALSE)="天工",0%,IF($C$17+VLOOKUP($E109,武器奇术!$A:$R,7,FALSE)&gt;80%,80%,$C$17+VLOOKUP($E109,武器奇术!$A:$R,7,FALSE))+IF($C$19&gt;20%,20%,$C$19))</f>
        <v>0.892</v>
      </c>
      <c r="M109" s="118">
        <f>IF(VLOOKUP($E109,武器奇术!$A:$R,15,FALSE)="天工",0%,IF($C$18+VLOOKUP($E109,武器奇术!$A:$R,9,FALSE)&gt;40%,40%,$C$18+VLOOKUP($E109,武器奇术!$A:$R,9,FALSE))+IF($C$20&gt;10%,10%,$C$20))</f>
        <v>0.0986</v>
      </c>
      <c r="N109" s="119">
        <f>IF(VLOOKUP($E109,武器奇术!$A:$R,15,FALSE)="天工",100%,MIN($C$16,1))</f>
        <v>0.9881</v>
      </c>
      <c r="O109" s="120" t="str">
        <f>VLOOKUP($E109,武器奇术!$A:$R,16,FALSE)</f>
        <v>N/A</v>
      </c>
      <c r="P109" s="121">
        <f t="shared" si="76"/>
        <v>0</v>
      </c>
      <c r="Q109" s="108">
        <f>$B$5*(1+VLOOKUP($E109,武器奇术!$A:$R,5,FALSE)+IF($G$5="飞隼",0.1,0)+IF($G$5="撼天",0.05,0))-$F$9+IF($I$5="√",160,0)</f>
        <v>1731.135</v>
      </c>
      <c r="R109" s="99">
        <f>IF(VLOOKUP($E109,武器奇术!$A:$Z,20,FALSE)=1,(S109-(Q109+S109)*0.5)*($G$15-0.5)*2+(Q109+S109)*0.5,(Q109+S109)*0.5)</f>
        <v>3256.775</v>
      </c>
      <c r="S109" s="109">
        <f>MAX($C$5,$B$5)*(1+VLOOKUP($E109,武器奇术!$A:$R,5,FALSE)+IF($G$5="飞隼",0.1,0)+IF($G$5="撼天",0.05,0))-$F$9+IF($I$5="√",320,0)</f>
        <v>4782.415</v>
      </c>
      <c r="T109" s="101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U109" s="111">
        <f>$E$5+IF(VLOOKUP($E109,武器奇术!$A:$U,21,FALSE)=1,0,0.09)</f>
        <v>0.115</v>
      </c>
      <c r="V109" s="109">
        <v>1</v>
      </c>
      <c r="W109" s="112">
        <f>Q109*VLOOKUP($E109,武器奇术!$A:$R,2,FALSE)*(1+T109)*(1+U109)*V109</f>
        <v>0</v>
      </c>
      <c r="X109" s="110">
        <f>(1-IF(VLOOKUP($E109,武器奇术!$A:$T,20,FALSE)=1,1,$N109))*(1-$M109)</f>
        <v>0.01072666</v>
      </c>
      <c r="Y109" s="112">
        <f>R109*VLOOKUP($E109,武器奇术!$A:$R,2,FALSE)*(1+T109)*(1+U109)*V109*(1+$E$16+VLOOKUP($E109,武器奇术!$A:$R,8,FALSE))</f>
        <v>0</v>
      </c>
      <c r="Z109" s="110">
        <f t="shared" si="40"/>
        <v>0.8813852</v>
      </c>
      <c r="AA109" s="112">
        <f>S109*VLOOKUP($E109,武器奇术!$A:$R,2,FALSE)*(1+T109)*(1+U109)*V109*(1+$E$17+VLOOKUP($E109,武器奇术!$A:$R,10,FALSE))</f>
        <v>0</v>
      </c>
      <c r="AB109" s="110">
        <f t="shared" si="41"/>
        <v>0.0986</v>
      </c>
      <c r="AC109" s="112">
        <f>R109*VLOOKUP($E109,武器奇术!$A:$R,2,FALSE)*(1+T109)*(1+U109)*V109</f>
        <v>0</v>
      </c>
      <c r="AD109" s="110">
        <f t="shared" si="42"/>
        <v>0.00928814000000003</v>
      </c>
      <c r="AE109" s="113">
        <f t="shared" si="43"/>
        <v>0</v>
      </c>
      <c r="AF109" s="114">
        <f>VLOOKUP($E109,武器奇术!$A:$R,3,FALSE)*(1+IF(VLOOKUP($E109,武器奇术!$A:$R,15,FALSE)="武器",$E$15,0))</f>
        <v>0</v>
      </c>
      <c r="AG109" s="112">
        <f t="shared" si="44"/>
        <v>0</v>
      </c>
      <c r="AH109" s="112">
        <f>VLOOKUP($E109,武器奇术!$A:$R,3,FALSE)*(1+IF(VLOOKUP($E109,武器奇术!$A:$R,15,FALSE)="武器",$E$15,0))</f>
        <v>0</v>
      </c>
      <c r="AI109" s="101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0.242</v>
      </c>
      <c r="AJ109" s="111">
        <f>$E$5+IF(VLOOKUP($E109,武器奇术!$A:$U,21,FALSE)=1,0,0.09)</f>
        <v>0.115</v>
      </c>
      <c r="AK109" s="109">
        <v>1</v>
      </c>
      <c r="AL109" s="112">
        <f t="shared" si="45"/>
        <v>0</v>
      </c>
      <c r="AM109" s="110">
        <f>(1-IF(VLOOKUP($E109,武器奇术!$A:$T,20,FALSE)=1,1,$N109))*(1-$M109)</f>
        <v>0.01072666</v>
      </c>
      <c r="AN109" s="112">
        <f>AG109*(1+AI109)*(1+AJ109)*AK109*(1+$E$16+VLOOKUP($E109,武器奇术!$A:$R,8,FALSE))</f>
        <v>0</v>
      </c>
      <c r="AO109" s="110">
        <f t="shared" si="46"/>
        <v>0.8813852</v>
      </c>
      <c r="AP109" s="112">
        <f>AH109*(1+AI109)*(1+AJ109)*AK109*(1+$E$17+VLOOKUP($E109,武器奇术!$A:$R,10,FALSE))</f>
        <v>0</v>
      </c>
      <c r="AQ109" s="110">
        <f t="shared" si="47"/>
        <v>0.0986</v>
      </c>
      <c r="AR109" s="112">
        <f t="shared" si="48"/>
        <v>0</v>
      </c>
      <c r="AS109" s="110">
        <f t="shared" si="49"/>
        <v>0.00928814000000003</v>
      </c>
      <c r="AT109" s="113">
        <f t="shared" si="50"/>
        <v>0</v>
      </c>
      <c r="AU109" s="108">
        <f>$B$7*IF($G$5="撼天",1.05,1)+IF(AND(VLOOKUP($E109,武器奇术!$A:$R,15,FALSE)="武器",VLOOKUP($E109,武器奇术!$A:$R,17,FALSE)="鸣金"),$E$3,0)*(1+$E$15)</f>
        <v>0</v>
      </c>
      <c r="AV109" s="99">
        <f>(AU109+AW109)*IF(VLOOKUP($E109,武器奇术!$A:$Z,21,FALSE)=1,$G$15,0.5)</f>
        <v>0</v>
      </c>
      <c r="AW109" s="109">
        <f>MAX($C$7*IF($G$5="撼天",1.05,1)+IF(AND(VLOOKUP($E109,武器奇术!$A:$R,15,FALSE)="武器",VLOOKUP($E109,武器奇术!$A:$R,17,FALSE)="鸣金"),$E$3*(1+$E$15),0),AU109)</f>
        <v>0</v>
      </c>
      <c r="AX109" s="110">
        <f>IF(($D$7+IF(VLOOKUP($E109,武器奇术!$A:$R,17,FALSE)="鸣金",$D$15,0)+IF(VLOOKUP($E109,武器奇术!$A:$R,18,FALSE)=1,4,0)+IF(VLOOKUP($E109,武器奇术!$A:$S,19,FALSE)=1,20,0)-VLOOKUP($F$7,目标属性!$A:$R,6,FALSE))&gt;0,($D$7+IF(VLOOKUP($E109,武器奇术!$A:$R,17,FALSE)="鸣金",$D$15,0)+IF(VLOOKUP($E109,武器奇术!$A:$R,18,FALSE)=1,4,0)+IF(VLOOKUP($E109,武器奇术!$A:$S,19,FALSE)=1,20,0)-VLOOKUP($F$7,目标属性!$A:$R,6,FALSE))/200,($D$7+IF(VLOOKUP($E109,武器奇术!$A:$R,17,FALSE)="鸣金",$D$15,0)+IF(VLOOKUP($E109,武器奇术!$A:$R,18,FALSE)=1,4,0)+IF(VLOOKUP($E109,武器奇术!$A:$S,19,FALSE)=1,20,0)-VLOOKUP($F$7,目标属性!$A:$R,6,FALSE))/100)</f>
        <v>-0.24</v>
      </c>
      <c r="AY109" s="111">
        <f t="shared" si="51"/>
        <v>0</v>
      </c>
      <c r="AZ109" s="109">
        <v>1</v>
      </c>
      <c r="BA109" s="112">
        <f>AU109*IF(VLOOKUP($E109,武器奇术!$A:$R,17,FALSE)="鸣金",VLOOKUP($E109,武器奇术!$A:$R,4,FALSE),VLOOKUP($E109,武器奇术!$A:$R,2,FALSE))*(1+AX109)*(1+AY109)*AZ109</f>
        <v>0</v>
      </c>
      <c r="BB109" s="110">
        <f>(1-IF(VLOOKUP($E109,武器奇术!$A:$T,20,FALSE)=1,1,$N109))*(1-$M109)</f>
        <v>0.01072666</v>
      </c>
      <c r="BC109" s="112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110">
        <f t="shared" si="52"/>
        <v>0.8813852</v>
      </c>
      <c r="BE109" s="112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110">
        <f t="shared" si="53"/>
        <v>0.0986</v>
      </c>
      <c r="BG109" s="112">
        <f>AV109*IF(VLOOKUP($E109,武器奇术!$A:$R,17,FALSE)="鸣金",VLOOKUP($E109,武器奇术!$A:$R,4,FALSE),VLOOKUP($E109,武器奇术!$A:$R,2,FALSE))*(1+AX109)*(1+AY109)*AZ109</f>
        <v>0</v>
      </c>
      <c r="BH109" s="110">
        <f t="shared" si="54"/>
        <v>0.00928814000000003</v>
      </c>
      <c r="BI109" s="113">
        <f t="shared" si="55"/>
        <v>0</v>
      </c>
      <c r="BJ109" s="108">
        <f>$B$9*IF($G$5="撼天",1.05,1)+IF(AND(VLOOKUP($E109,武器奇术!$A:$R,15,FALSE)="武器",VLOOKUP($E109,武器奇术!$A:$R,17,FALSE)="裂石"),$E$3,0)*(1+$E$15)</f>
        <v>0</v>
      </c>
      <c r="BK109" s="99">
        <f>(BJ109+BL109)*IF(VLOOKUP($E109,武器奇术!$A:$Z,21,FALSE)=1,$G$15,0.5)</f>
        <v>0</v>
      </c>
      <c r="BL109" s="109">
        <f>MAX($C$9*IF($G$5="撼天",1.05,1)+IF(AND(VLOOKUP($E109,武器奇术!$A:$R,15,FALSE)="武器",VLOOKUP($E109,武器奇术!$A:$R,17,FALSE)="裂石"),$E$3*(1+$E$15),0),BJ109)</f>
        <v>0</v>
      </c>
      <c r="BM109" s="110">
        <f>IF(($D$9+IF(VLOOKUP($E109,武器奇术!$A:$R,17,FALSE)="裂石",$D$15,0)+IF(VLOOKUP($E109,武器奇术!$A:$R,18,FALSE)=1,4,0)+IF(VLOOKUP($E109,武器奇术!$A:$S,19,FALSE)=1,20,0)-VLOOKUP($F$7,目标属性!$A:$R,6,FALSE))&gt;0,($D$9+IF(VLOOKUP($E109,武器奇术!$A:$R,17,FALSE)="裂石",$D$15,0)+IF(VLOOKUP($E109,武器奇术!$A:$R,18,FALSE)=1,4,0)+IF(VLOOKUP($E109,武器奇术!$A:$S,19,FALSE)=1,20,0)-VLOOKUP($F$7,目标属性!$A:$R,6,FALSE))/200,($D$9+IF(VLOOKUP($E109,武器奇术!$A:$R,17,FALSE)="裂石",$D$15,0)+IF(VLOOKUP($E109,武器奇术!$A:$R,18,FALSE)=1,4,0)+IF(VLOOKUP($E109,武器奇术!$A:$S,19,FALSE)=1,20,0)-VLOOKUP($F$7,目标属性!$A:$R,6,FALSE))/100)</f>
        <v>-0.24</v>
      </c>
      <c r="BN109" s="111">
        <f t="shared" si="56"/>
        <v>0</v>
      </c>
      <c r="BO109" s="109">
        <v>1</v>
      </c>
      <c r="BP109" s="112">
        <f>BJ109*IF(VLOOKUP($E109,武器奇术!$A:$R,17,FALSE)="裂石",VLOOKUP($E109,武器奇术!$A:$R,4,FALSE),VLOOKUP($E109,武器奇术!$A:$R,2,FALSE))*(1+BM109)*(1+BN109)*BO109</f>
        <v>0</v>
      </c>
      <c r="BQ109" s="110">
        <f>(1-IF(VLOOKUP($E109,武器奇术!$A:$T,20,FALSE)=1,1,$N109))*(1-$M109)</f>
        <v>0.01072666</v>
      </c>
      <c r="BR109" s="112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110">
        <f t="shared" si="57"/>
        <v>0.8813852</v>
      </c>
      <c r="BT109" s="112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110">
        <f t="shared" si="58"/>
        <v>0.0986</v>
      </c>
      <c r="BV109" s="112">
        <f>BK109*IF(VLOOKUP($E109,武器奇术!$A:$R,17,FALSE)="裂石",VLOOKUP($E109,武器奇术!$A:$R,4,FALSE),VLOOKUP($E109,武器奇术!$A:$R,2,FALSE))*(1+BM109)*(1+BN109)*BO109</f>
        <v>0</v>
      </c>
      <c r="BW109" s="110">
        <f t="shared" si="59"/>
        <v>0.00928814000000003</v>
      </c>
      <c r="BX109" s="113">
        <f t="shared" si="60"/>
        <v>0</v>
      </c>
      <c r="BY109" s="108">
        <f>$B$11*IF($G$5="撼天",1.05,1)+IF(AND(VLOOKUP($E109,武器奇术!$A:$R,15,FALSE)="武器",VLOOKUP($E109,武器奇术!$A:$R,17,FALSE)="牵丝"),$E$3,0)*(1+$E$15)</f>
        <v>0</v>
      </c>
      <c r="BZ109" s="99">
        <f>(BY109+CA109)*IF(VLOOKUP($E109,武器奇术!$A:$Z,21,FALSE)=1,$G$15,0.5)</f>
        <v>0</v>
      </c>
      <c r="CA109" s="109">
        <f>MAX($C$11*IF($G$5="撼天",1.05,1)+IF(AND(VLOOKUP($E109,武器奇术!$A:$R,15,FALSE)="武器",VLOOKUP($E109,武器奇术!$A:$R,17,FALSE)="牵丝"),$E$3*(1+$E$15),0),BY109)</f>
        <v>0</v>
      </c>
      <c r="CB109" s="110">
        <f>IF(($D$11+IF(VLOOKUP($E109,武器奇术!$A:$R,17,FALSE)="牵丝",$D$15,0)+IF(VLOOKUP($E109,武器奇术!$A:$R,18,FALSE)=1,4,0)+IF(VLOOKUP($E109,武器奇术!$A:$S,19,FALSE)=1,20,0)-VLOOKUP($F$7,目标属性!$A:$R,6,FALSE))&gt;0,($D$11+IF(VLOOKUP($E109,武器奇术!$A:$R,17,FALSE)="牵丝",$D$15,0)+IF(VLOOKUP($E109,武器奇术!$A:$R,18,FALSE)=1,4,0)+IF(VLOOKUP($E109,武器奇术!$A:$S,19,FALSE)=1,20,0)-VLOOKUP($F$7,目标属性!$A:$R,6,FALSE))/200,($D$11+IF(VLOOKUP($E109,武器奇术!$A:$R,17,FALSE)="牵丝",$D$15,0)+IF(VLOOKUP($E109,武器奇术!$A:$R,18,FALSE)=1,4,0)+IF(VLOOKUP($E109,武器奇术!$A:$S,19,FALSE)=1,20,0)-VLOOKUP($F$7,目标属性!$A:$R,6,FALSE))/100)</f>
        <v>-0.24</v>
      </c>
      <c r="CC109" s="111">
        <f t="shared" si="61"/>
        <v>0</v>
      </c>
      <c r="CD109" s="109">
        <v>1</v>
      </c>
      <c r="CE109" s="112">
        <f>BY109*IF(VLOOKUP($E109,武器奇术!$A:$R,17,FALSE)="牵丝",VLOOKUP($E109,武器奇术!$A:$R,4,FALSE),VLOOKUP($E109,武器奇术!$A:$R,2,FALSE))*(1+CB109)*(1+CC109)*CD109</f>
        <v>0</v>
      </c>
      <c r="CF109" s="110">
        <f>(1-IF(VLOOKUP($E109,武器奇术!$A:$T,20,FALSE)=1,1,$N109))*(1-$M109)</f>
        <v>0.01072666</v>
      </c>
      <c r="CG109" s="112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110">
        <f t="shared" si="62"/>
        <v>0.8813852</v>
      </c>
      <c r="CI109" s="112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110">
        <f t="shared" si="63"/>
        <v>0.0986</v>
      </c>
      <c r="CK109" s="112">
        <f>BZ109*IF(VLOOKUP($E109,武器奇术!$A:$R,17,FALSE)="牵丝",VLOOKUP($E109,武器奇术!$A:$R,4,FALSE),VLOOKUP($E109,武器奇术!$A:$R,2,FALSE))*(1+CB109)*(1+CC109)*CD109</f>
        <v>0</v>
      </c>
      <c r="CL109" s="110">
        <f t="shared" si="64"/>
        <v>0.00928814000000003</v>
      </c>
      <c r="CM109" s="113">
        <f t="shared" si="65"/>
        <v>0</v>
      </c>
      <c r="CN109" s="108">
        <f>$B$13*IF($G$5="撼天",1.05,1)+IF(AND(VLOOKUP($E109,武器奇术!$A:$R,15,FALSE)="武器",VLOOKUP($E109,武器奇术!$A:$R,17,FALSE)="破竹"),$E$3,0)*(1+$E$15)</f>
        <v>452.55</v>
      </c>
      <c r="CO109" s="99">
        <f>(CN109+CP109)*IF(VLOOKUP($E109,武器奇术!$A:$Z,21,FALSE)=1,$G$15,0.5)</f>
        <v>679.35</v>
      </c>
      <c r="CP109" s="109">
        <f>MAX($C$13*IF($G$5="撼天",1.05,1)+IF(AND(VLOOKUP($E109,武器奇术!$A:$R,15,FALSE)="武器",VLOOKUP($E109,武器奇术!$A:$R,17,FALSE)="破竹"),$E$3*(1+$E$15),0),CN109)</f>
        <v>906.15</v>
      </c>
      <c r="CQ109" s="110">
        <f>IF(($D$13+IF(VLOOKUP($E109,武器奇术!$A:$R,17,FALSE)="破竹",$D$15,0)+IF(VLOOKUP($E109,武器奇术!$A:$R,18,FALSE)=1,4,0)+IF(VLOOKUP($E109,武器奇术!$A:$S,19,FALSE)=1,20,0)-VLOOKUP($F$7,目标属性!$A:$R,6,FALSE))&gt;0,($D$13+IF(VLOOKUP($E109,武器奇术!$A:$R,17,FALSE)="破竹",$D$15,0)+IF(VLOOKUP($E109,武器奇术!$A:$R,18,FALSE)=1,4,0)+IF(VLOOKUP($E109,武器奇术!$A:$S,19,FALSE)=1,20,0)-VLOOKUP($F$7,目标属性!$A:$R,6,FALSE))/200,($D$13+IF(VLOOKUP($E109,武器奇术!$A:$R,17,FALSE)="破竹",$D$15,0)+IF(VLOOKUP($E109,武器奇术!$A:$R,18,FALSE)=1,4,0)+IF(VLOOKUP($E109,武器奇术!$A:$S,19,FALSE)=1,20,0)-VLOOKUP($F$7,目标属性!$A:$R,6,FALSE))/100)</f>
        <v>0.025</v>
      </c>
      <c r="CR109" s="111">
        <f>$E$13+IF(VLOOKUP($E109,武器奇术!$A:$U,21,FALSE)=1,0,0.09)</f>
        <v>0.235</v>
      </c>
      <c r="CS109" s="109">
        <v>1</v>
      </c>
      <c r="CT109" s="112">
        <f>CN109*IF(VLOOKUP($E109,武器奇术!$A:$R,17,FALSE)="破竹",VLOOKUP($E109,武器奇术!$A:$R,4,FALSE),VLOOKUP($E109,武器奇术!$A:$R,2,FALSE))*(1+CQ109)*(1+CR109)*CS109</f>
        <v>0</v>
      </c>
      <c r="CU109" s="110">
        <f>(1-IF(VLOOKUP($E109,武器奇术!$A:$T,20,FALSE)=1,1,$N109))*(1-$M109)</f>
        <v>0.01072666</v>
      </c>
      <c r="CV109" s="112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110">
        <f t="shared" si="66"/>
        <v>0.8813852</v>
      </c>
      <c r="CX109" s="112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110">
        <f t="shared" si="67"/>
        <v>0.0986</v>
      </c>
      <c r="CZ109" s="112">
        <f>CO109*IF(VLOOKUP($E109,武器奇术!$A:$R,17,FALSE)="破竹",VLOOKUP($E109,武器奇术!$A:$R,4,FALSE),VLOOKUP($E109,武器奇术!$A:$R,2,FALSE))*(1+CQ109)*(1+CR109)*CS109</f>
        <v>0</v>
      </c>
      <c r="DA109" s="110">
        <f t="shared" si="68"/>
        <v>0.00928814000000003</v>
      </c>
      <c r="DB109" s="113">
        <f t="shared" si="69"/>
        <v>0</v>
      </c>
      <c r="DC109" s="108">
        <f t="shared" si="70"/>
        <v>69.3</v>
      </c>
      <c r="DD109" s="99">
        <f>(DC109+DE109)*IF(VLOOKUP($E109,武器奇术!$A:$Z,21,FALSE)=1,$G$15,0.5)</f>
        <v>69.3</v>
      </c>
      <c r="DE109" s="109">
        <f t="shared" si="71"/>
        <v>69.3</v>
      </c>
      <c r="DF109" s="110">
        <f>IF(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R,18,FALSE)=1,4,0)+IF(VLOOKUP($E109,武器奇术!$A:$S,19,FALSE)=1,20,0)-VLOOKUP($F$7,目标属性!$A:$R,6,FALSE))/100)</f>
        <v>0.025</v>
      </c>
      <c r="DG109" s="111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U,21,FALSE)=1,0,0.09)</f>
        <v>0.235</v>
      </c>
      <c r="DH109" s="109">
        <v>1</v>
      </c>
      <c r="DI109" s="112">
        <f>DC109*IF(VLOOKUP($E109,武器奇术!$A:$R,17,FALSE)="破竹",VLOOKUP($E109,武器奇术!$A:$R,4,FALSE),VLOOKUP($E109,武器奇术!$A:$R,2,FALSE))*(1+DF109)*(1+DG109)*DH109</f>
        <v>0</v>
      </c>
      <c r="DJ109" s="110">
        <f>(1-IF(VLOOKUP($E109,武器奇术!$A:$T,20,FALSE)=1,1,$N109))*(1-$M109)</f>
        <v>0.01072666</v>
      </c>
      <c r="DK109" s="112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110">
        <f t="shared" si="72"/>
        <v>0.8813852</v>
      </c>
      <c r="DM109" s="112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110">
        <f t="shared" si="73"/>
        <v>0.0986</v>
      </c>
      <c r="DO109" s="112">
        <f>DD109*IF(VLOOKUP($E109,武器奇术!$A:$R,17,FALSE)="破竹",VLOOKUP($E109,武器奇术!$A:$R,4,FALSE),VLOOKUP($E109,武器奇术!$A:$R,2,FALSE))*(1+DF109)*(1+DG109)*DH109</f>
        <v>0</v>
      </c>
      <c r="DP109" s="110">
        <f t="shared" si="74"/>
        <v>0.00928814000000003</v>
      </c>
      <c r="DQ109" s="113">
        <f t="shared" si="75"/>
        <v>0</v>
      </c>
    </row>
    <row r="110" spans="1:121">
      <c r="E110" s="98" t="str">
        <f>期望!E110</f>
        <v>易水歌6重</v>
      </c>
      <c r="F110" s="99">
        <f>期望!F110</f>
        <v>2</v>
      </c>
      <c r="G110" s="115"/>
      <c r="H110" s="100">
        <f>IF(VLOOKUP($E110,武器奇术!$A:$R,18,FALSE)="天工",AE110,(AE110+AT110+BI110+BX110+CM110+DB110+DQ110))*(1+J110)*F110*K110*(1+G110)</f>
        <v>24404.0214743231</v>
      </c>
      <c r="I110" s="101">
        <f t="shared" si="39"/>
        <v>0.00301299160058035</v>
      </c>
      <c r="J110" s="116">
        <f>$F$3+VLOOKUP($E110,武器奇术!$A:$R,12,FALSE)+VLOOKUP($E110,武器奇术!$A:$R,14,FALSE)*$G$3+$P110+IF($F$21="√",5%,0)</f>
        <v>0.353</v>
      </c>
      <c r="K110" s="102">
        <f>VLOOKUP($E110,武器奇术!$A:$R,11,FALSE)</f>
        <v>1</v>
      </c>
      <c r="L110" s="117">
        <f>IF(VLOOKUP($E110,武器奇术!$A:$R,15,FALSE)="天工",0%,IF($C$17+VLOOKUP($E110,武器奇术!$A:$R,7,FALSE)&gt;80%,80%,$C$17+VLOOKUP($E110,武器奇术!$A:$R,7,FALSE))+IF($C$19&gt;20%,20%,$C$19))</f>
        <v>0.892</v>
      </c>
      <c r="M110" s="118">
        <f>IF(VLOOKUP($E110,武器奇术!$A:$R,15,FALSE)="天工",0%,IF($C$18+VLOOKUP($E110,武器奇术!$A:$R,9,FALSE)&gt;40%,40%,$C$18+VLOOKUP($E110,武器奇术!$A:$R,9,FALSE))+IF($C$20&gt;10%,10%,$C$20))</f>
        <v>0.0986</v>
      </c>
      <c r="N110" s="119">
        <f>IF(VLOOKUP($E110,武器奇术!$A:$R,15,FALSE)="天工",100%,MIN($C$16,1))</f>
        <v>0.9881</v>
      </c>
      <c r="O110" s="120" t="str">
        <f>VLOOKUP($E110,武器奇术!$A:$R,16,FALSE)</f>
        <v>N/A</v>
      </c>
      <c r="P110" s="121">
        <f t="shared" si="76"/>
        <v>0</v>
      </c>
      <c r="Q110" s="108">
        <f>$B$5*(1+VLOOKUP($E110,武器奇术!$A:$R,5,FALSE)+IF($G$5="飞隼",0.1,0)+IF($G$5="撼天",0.05,0))-$F$9+IF($I$5="√",160,0)</f>
        <v>1731.135</v>
      </c>
      <c r="R110" s="99">
        <f>IF(VLOOKUP($E110,武器奇术!$A:$Z,20,FALSE)=1,(S110-(Q110+S110)*0.5)*($G$15-0.5)*2+(Q110+S110)*0.5,(Q110+S110)*0.5)</f>
        <v>3256.775</v>
      </c>
      <c r="S110" s="109">
        <f>MAX($C$5,$B$5)*(1+VLOOKUP($E110,武器奇术!$A:$R,5,FALSE)+IF($G$5="飞隼",0.1,0)+IF($G$5="撼天",0.05,0))-$F$9+IF($I$5="√",320,0)</f>
        <v>4782.415</v>
      </c>
      <c r="T110" s="101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U110" s="111">
        <f>$E$5+IF(VLOOKUP($E110,武器奇术!$A:$U,21,FALSE)=1,0,0.09)</f>
        <v>0.115</v>
      </c>
      <c r="V110" s="109">
        <v>1</v>
      </c>
      <c r="W110" s="112">
        <f>Q110*VLOOKUP($E110,武器奇术!$A:$R,2,FALSE)*(1+T110)*(1+U110)*V110</f>
        <v>2397.32768205</v>
      </c>
      <c r="X110" s="110">
        <f>(1-IF(VLOOKUP($E110,武器奇术!$A:$T,20,FALSE)=1,1,$N110))*(1-$M110)</f>
        <v>0.01072666</v>
      </c>
      <c r="Y110" s="112">
        <f>R110*VLOOKUP($E110,武器奇术!$A:$R,2,FALSE)*(1+T110)*(1+U110)*V110*(1+$E$16+VLOOKUP($E110,武器奇术!$A:$R,8,FALSE))</f>
        <v>7396.53074613</v>
      </c>
      <c r="Z110" s="110">
        <f t="shared" si="40"/>
        <v>0.8813852</v>
      </c>
      <c r="AA110" s="112">
        <f>S110*VLOOKUP($E110,武器奇术!$A:$R,2,FALSE)*(1+T110)*(1+U110)*V110*(1+$E$17+VLOOKUP($E110,武器奇术!$A:$R,10,FALSE))</f>
        <v>8940.8228820075</v>
      </c>
      <c r="AB110" s="110">
        <f t="shared" si="41"/>
        <v>0.0986</v>
      </c>
      <c r="AC110" s="112">
        <f>R110*VLOOKUP($E110,武器奇术!$A:$R,2,FALSE)*(1+T110)*(1+U110)*V110</f>
        <v>4510.07972325</v>
      </c>
      <c r="AD110" s="110">
        <f t="shared" si="42"/>
        <v>0.00928814000000003</v>
      </c>
      <c r="AE110" s="113">
        <f t="shared" si="43"/>
        <v>7468.36343798453</v>
      </c>
      <c r="AF110" s="114">
        <f>VLOOKUP($E110,武器奇术!$A:$R,3,FALSE)*(1+IF(VLOOKUP($E110,武器奇术!$A:$R,15,FALSE)="武器",$E$15,0))</f>
        <v>0</v>
      </c>
      <c r="AG110" s="112">
        <f t="shared" si="44"/>
        <v>0</v>
      </c>
      <c r="AH110" s="112">
        <f>VLOOKUP($E110,武器奇术!$A:$R,3,FALSE)*(1+IF(VLOOKUP($E110,武器奇术!$A:$R,15,FALSE)="武器",$E$15,0))</f>
        <v>0</v>
      </c>
      <c r="AI110" s="101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0.242</v>
      </c>
      <c r="AJ110" s="111">
        <f>$E$5+IF(VLOOKUP($E110,武器奇术!$A:$U,21,FALSE)=1,0,0.09)</f>
        <v>0.115</v>
      </c>
      <c r="AK110" s="109">
        <v>1</v>
      </c>
      <c r="AL110" s="112">
        <f t="shared" si="45"/>
        <v>0</v>
      </c>
      <c r="AM110" s="110">
        <f>(1-IF(VLOOKUP($E110,武器奇术!$A:$T,20,FALSE)=1,1,$N110))*(1-$M110)</f>
        <v>0.01072666</v>
      </c>
      <c r="AN110" s="112">
        <f>AG110*(1+AI110)*(1+AJ110)*AK110*(1+$E$16+VLOOKUP($E110,武器奇术!$A:$R,8,FALSE))</f>
        <v>0</v>
      </c>
      <c r="AO110" s="110">
        <f t="shared" si="46"/>
        <v>0.8813852</v>
      </c>
      <c r="AP110" s="112">
        <f>AH110*(1+AI110)*(1+AJ110)*AK110*(1+$E$17+VLOOKUP($E110,武器奇术!$A:$R,10,FALSE))</f>
        <v>0</v>
      </c>
      <c r="AQ110" s="110">
        <f t="shared" si="47"/>
        <v>0.0986</v>
      </c>
      <c r="AR110" s="112">
        <f t="shared" si="48"/>
        <v>0</v>
      </c>
      <c r="AS110" s="110">
        <f t="shared" si="49"/>
        <v>0.00928814000000003</v>
      </c>
      <c r="AT110" s="113">
        <f t="shared" si="50"/>
        <v>0</v>
      </c>
      <c r="AU110" s="108">
        <f>$B$7*IF($G$5="撼天",1.05,1)+IF(AND(VLOOKUP($E110,武器奇术!$A:$R,15,FALSE)="武器",VLOOKUP($E110,武器奇术!$A:$R,17,FALSE)="鸣金"),$E$3,0)*(1+$E$15)</f>
        <v>0</v>
      </c>
      <c r="AV110" s="99">
        <f>(AU110+AW110)*IF(VLOOKUP($E110,武器奇术!$A:$Z,21,FALSE)=1,$G$15,0.5)</f>
        <v>0</v>
      </c>
      <c r="AW110" s="109">
        <f>MAX($C$7*IF($G$5="撼天",1.05,1)+IF(AND(VLOOKUP($E110,武器奇术!$A:$R,15,FALSE)="武器",VLOOKUP($E110,武器奇术!$A:$R,17,FALSE)="鸣金"),$E$3*(1+$E$15),0),AU110)</f>
        <v>0</v>
      </c>
      <c r="AX110" s="110">
        <f>IF(($D$7+IF(VLOOKUP($E110,武器奇术!$A:$R,17,FALSE)="鸣金",$D$15,0)+IF(VLOOKUP($E110,武器奇术!$A:$R,18,FALSE)=1,4,0)+IF(VLOOKUP($E110,武器奇术!$A:$S,19,FALSE)=1,20,0)-VLOOKUP($F$7,目标属性!$A:$R,6,FALSE))&gt;0,($D$7+IF(VLOOKUP($E110,武器奇术!$A:$R,17,FALSE)="鸣金",$D$15,0)+IF(VLOOKUP($E110,武器奇术!$A:$R,18,FALSE)=1,4,0)+IF(VLOOKUP($E110,武器奇术!$A:$S,19,FALSE)=1,20,0)-VLOOKUP($F$7,目标属性!$A:$R,6,FALSE))/200,($D$7+IF(VLOOKUP($E110,武器奇术!$A:$R,17,FALSE)="鸣金",$D$15,0)+IF(VLOOKUP($E110,武器奇术!$A:$R,18,FALSE)=1,4,0)+IF(VLOOKUP($E110,武器奇术!$A:$S,19,FALSE)=1,20,0)-VLOOKUP($F$7,目标属性!$A:$R,6,FALSE))/100)</f>
        <v>-0.24</v>
      </c>
      <c r="AY110" s="111">
        <f t="shared" si="51"/>
        <v>0</v>
      </c>
      <c r="AZ110" s="109">
        <v>1</v>
      </c>
      <c r="BA110" s="112">
        <f>AU110*IF(VLOOKUP($E110,武器奇术!$A:$R,17,FALSE)="鸣金",VLOOKUP($E110,武器奇术!$A:$R,4,FALSE),VLOOKUP($E110,武器奇术!$A:$R,2,FALSE))*(1+AX110)*(1+AY110)*AZ110</f>
        <v>0</v>
      </c>
      <c r="BB110" s="110">
        <f>(1-IF(VLOOKUP($E110,武器奇术!$A:$T,20,FALSE)=1,1,$N110))*(1-$M110)</f>
        <v>0.01072666</v>
      </c>
      <c r="BC110" s="112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110">
        <f t="shared" si="52"/>
        <v>0.8813852</v>
      </c>
      <c r="BE110" s="112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110">
        <f t="shared" si="53"/>
        <v>0.0986</v>
      </c>
      <c r="BG110" s="112">
        <f>AV110*IF(VLOOKUP($E110,武器奇术!$A:$R,17,FALSE)="鸣金",VLOOKUP($E110,武器奇术!$A:$R,4,FALSE),VLOOKUP($E110,武器奇术!$A:$R,2,FALSE))*(1+AX110)*(1+AY110)*AZ110</f>
        <v>0</v>
      </c>
      <c r="BH110" s="110">
        <f t="shared" si="54"/>
        <v>0.00928814000000003</v>
      </c>
      <c r="BI110" s="113">
        <f t="shared" si="55"/>
        <v>0</v>
      </c>
      <c r="BJ110" s="108">
        <f>$B$9*IF($G$5="撼天",1.05,1)+IF(AND(VLOOKUP($E110,武器奇术!$A:$R,15,FALSE)="武器",VLOOKUP($E110,武器奇术!$A:$R,17,FALSE)="裂石"),$E$3,0)*(1+$E$15)</f>
        <v>0</v>
      </c>
      <c r="BK110" s="99">
        <f>(BJ110+BL110)*IF(VLOOKUP($E110,武器奇术!$A:$Z,21,FALSE)=1,$G$15,0.5)</f>
        <v>0</v>
      </c>
      <c r="BL110" s="109">
        <f>MAX($C$9*IF($G$5="撼天",1.05,1)+IF(AND(VLOOKUP($E110,武器奇术!$A:$R,15,FALSE)="武器",VLOOKUP($E110,武器奇术!$A:$R,17,FALSE)="裂石"),$E$3*(1+$E$15),0),BJ110)</f>
        <v>0</v>
      </c>
      <c r="BM110" s="110">
        <f>IF(($D$9+IF(VLOOKUP($E110,武器奇术!$A:$R,17,FALSE)="裂石",$D$15,0)+IF(VLOOKUP($E110,武器奇术!$A:$R,18,FALSE)=1,4,0)+IF(VLOOKUP($E110,武器奇术!$A:$S,19,FALSE)=1,20,0)-VLOOKUP($F$7,目标属性!$A:$R,6,FALSE))&gt;0,($D$9+IF(VLOOKUP($E110,武器奇术!$A:$R,17,FALSE)="裂石",$D$15,0)+IF(VLOOKUP($E110,武器奇术!$A:$R,18,FALSE)=1,4,0)+IF(VLOOKUP($E110,武器奇术!$A:$S,19,FALSE)=1,20,0)-VLOOKUP($F$7,目标属性!$A:$R,6,FALSE))/200,($D$9+IF(VLOOKUP($E110,武器奇术!$A:$R,17,FALSE)="裂石",$D$15,0)+IF(VLOOKUP($E110,武器奇术!$A:$R,18,FALSE)=1,4,0)+IF(VLOOKUP($E110,武器奇术!$A:$S,19,FALSE)=1,20,0)-VLOOKUP($F$7,目标属性!$A:$R,6,FALSE))/100)</f>
        <v>-0.24</v>
      </c>
      <c r="BN110" s="111">
        <f t="shared" si="56"/>
        <v>0</v>
      </c>
      <c r="BO110" s="109">
        <v>1</v>
      </c>
      <c r="BP110" s="112">
        <f>BJ110*IF(VLOOKUP($E110,武器奇术!$A:$R,17,FALSE)="裂石",VLOOKUP($E110,武器奇术!$A:$R,4,FALSE),VLOOKUP($E110,武器奇术!$A:$R,2,FALSE))*(1+BM110)*(1+BN110)*BO110</f>
        <v>0</v>
      </c>
      <c r="BQ110" s="110">
        <f>(1-IF(VLOOKUP($E110,武器奇术!$A:$T,20,FALSE)=1,1,$N110))*(1-$M110)</f>
        <v>0.01072666</v>
      </c>
      <c r="BR110" s="112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110">
        <f t="shared" si="57"/>
        <v>0.8813852</v>
      </c>
      <c r="BT110" s="112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110">
        <f t="shared" si="58"/>
        <v>0.0986</v>
      </c>
      <c r="BV110" s="112">
        <f>BK110*IF(VLOOKUP($E110,武器奇术!$A:$R,17,FALSE)="裂石",VLOOKUP($E110,武器奇术!$A:$R,4,FALSE),VLOOKUP($E110,武器奇术!$A:$R,2,FALSE))*(1+BM110)*(1+BN110)*BO110</f>
        <v>0</v>
      </c>
      <c r="BW110" s="110">
        <f t="shared" si="59"/>
        <v>0.00928814000000003</v>
      </c>
      <c r="BX110" s="113">
        <f t="shared" si="60"/>
        <v>0</v>
      </c>
      <c r="BY110" s="108">
        <f>$B$11*IF($G$5="撼天",1.05,1)+IF(AND(VLOOKUP($E110,武器奇术!$A:$R,15,FALSE)="武器",VLOOKUP($E110,武器奇术!$A:$R,17,FALSE)="牵丝"),$E$3,0)*(1+$E$15)</f>
        <v>0</v>
      </c>
      <c r="BZ110" s="99">
        <f>(BY110+CA110)*IF(VLOOKUP($E110,武器奇术!$A:$Z,21,FALSE)=1,$G$15,0.5)</f>
        <v>0</v>
      </c>
      <c r="CA110" s="109">
        <f>MAX($C$11*IF($G$5="撼天",1.05,1)+IF(AND(VLOOKUP($E110,武器奇术!$A:$R,15,FALSE)="武器",VLOOKUP($E110,武器奇术!$A:$R,17,FALSE)="牵丝"),$E$3*(1+$E$15),0),BY110)</f>
        <v>0</v>
      </c>
      <c r="CB110" s="110">
        <f>IF(($D$11+IF(VLOOKUP($E110,武器奇术!$A:$R,17,FALSE)="牵丝",$D$15,0)+IF(VLOOKUP($E110,武器奇术!$A:$R,18,FALSE)=1,4,0)+IF(VLOOKUP($E110,武器奇术!$A:$S,19,FALSE)=1,20,0)-VLOOKUP($F$7,目标属性!$A:$R,6,FALSE))&gt;0,($D$11+IF(VLOOKUP($E110,武器奇术!$A:$R,17,FALSE)="牵丝",$D$15,0)+IF(VLOOKUP($E110,武器奇术!$A:$R,18,FALSE)=1,4,0)+IF(VLOOKUP($E110,武器奇术!$A:$S,19,FALSE)=1,20,0)-VLOOKUP($F$7,目标属性!$A:$R,6,FALSE))/200,($D$11+IF(VLOOKUP($E110,武器奇术!$A:$R,17,FALSE)="牵丝",$D$15,0)+IF(VLOOKUP($E110,武器奇术!$A:$R,18,FALSE)=1,4,0)+IF(VLOOKUP($E110,武器奇术!$A:$S,19,FALSE)=1,20,0)-VLOOKUP($F$7,目标属性!$A:$R,6,FALSE))/100)</f>
        <v>-0.24</v>
      </c>
      <c r="CC110" s="111">
        <f t="shared" si="61"/>
        <v>0</v>
      </c>
      <c r="CD110" s="109">
        <v>1</v>
      </c>
      <c r="CE110" s="112">
        <f>BY110*IF(VLOOKUP($E110,武器奇术!$A:$R,17,FALSE)="牵丝",VLOOKUP($E110,武器奇术!$A:$R,4,FALSE),VLOOKUP($E110,武器奇术!$A:$R,2,FALSE))*(1+CB110)*(1+CC110)*CD110</f>
        <v>0</v>
      </c>
      <c r="CF110" s="110">
        <f>(1-IF(VLOOKUP($E110,武器奇术!$A:$T,20,FALSE)=1,1,$N110))*(1-$M110)</f>
        <v>0.01072666</v>
      </c>
      <c r="CG110" s="112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110">
        <f t="shared" si="62"/>
        <v>0.8813852</v>
      </c>
      <c r="CI110" s="112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110">
        <f t="shared" si="63"/>
        <v>0.0986</v>
      </c>
      <c r="CK110" s="112">
        <f>BZ110*IF(VLOOKUP($E110,武器奇术!$A:$R,17,FALSE)="牵丝",VLOOKUP($E110,武器奇术!$A:$R,4,FALSE),VLOOKUP($E110,武器奇术!$A:$R,2,FALSE))*(1+CB110)*(1+CC110)*CD110</f>
        <v>0</v>
      </c>
      <c r="CL110" s="110">
        <f t="shared" si="64"/>
        <v>0.00928814000000003</v>
      </c>
      <c r="CM110" s="113">
        <f t="shared" si="65"/>
        <v>0</v>
      </c>
      <c r="CN110" s="108">
        <f>$B$13*IF($G$5="撼天",1.05,1)+IF(AND(VLOOKUP($E110,武器奇术!$A:$R,15,FALSE)="武器",VLOOKUP($E110,武器奇术!$A:$R,17,FALSE)="破竹"),$E$3,0)*(1+$E$15)</f>
        <v>452.55</v>
      </c>
      <c r="CO110" s="99">
        <f>(CN110+CP110)*IF(VLOOKUP($E110,武器奇术!$A:$Z,21,FALSE)=1,$G$15,0.5)</f>
        <v>679.35</v>
      </c>
      <c r="CP110" s="109">
        <f>MAX($C$13*IF($G$5="撼天",1.05,1)+IF(AND(VLOOKUP($E110,武器奇术!$A:$R,15,FALSE)="武器",VLOOKUP($E110,武器奇术!$A:$R,17,FALSE)="破竹"),$E$3*(1+$E$15),0),CN110)</f>
        <v>906.15</v>
      </c>
      <c r="CQ110" s="110">
        <f>IF(($D$13+IF(VLOOKUP($E110,武器奇术!$A:$R,17,FALSE)="破竹",$D$15,0)+IF(VLOOKUP($E110,武器奇术!$A:$R,18,FALSE)=1,4,0)+IF(VLOOKUP($E110,武器奇术!$A:$S,19,FALSE)=1,20,0)-VLOOKUP($F$7,目标属性!$A:$R,6,FALSE))&gt;0,($D$13+IF(VLOOKUP($E110,武器奇术!$A:$R,17,FALSE)="破竹",$D$15,0)+IF(VLOOKUP($E110,武器奇术!$A:$R,18,FALSE)=1,4,0)+IF(VLOOKUP($E110,武器奇术!$A:$S,19,FALSE)=1,20,0)-VLOOKUP($F$7,目标属性!$A:$R,6,FALSE))/200,($D$13+IF(VLOOKUP($E110,武器奇术!$A:$R,17,FALSE)="破竹",$D$15,0)+IF(VLOOKUP($E110,武器奇术!$A:$R,18,FALSE)=1,4,0)+IF(VLOOKUP($E110,武器奇术!$A:$S,19,FALSE)=1,20,0)-VLOOKUP($F$7,目标属性!$A:$R,6,FALSE))/100)</f>
        <v>0.025</v>
      </c>
      <c r="CR110" s="111">
        <f>$E$13+IF(VLOOKUP($E110,武器奇术!$A:$U,21,FALSE)=1,0,0.09)</f>
        <v>0.235</v>
      </c>
      <c r="CS110" s="109">
        <v>1</v>
      </c>
      <c r="CT110" s="112">
        <f>CN110*IF(VLOOKUP($E110,武器奇术!$A:$R,17,FALSE)="破竹",VLOOKUP($E110,武器奇术!$A:$R,4,FALSE),VLOOKUP($E110,武器奇术!$A:$R,2,FALSE))*(1+CQ110)*(1+CR110)*CS110</f>
        <v>572.87173125</v>
      </c>
      <c r="CU110" s="110">
        <f>(1-IF(VLOOKUP($E110,武器奇术!$A:$T,20,FALSE)=1,1,$N110))*(1-$M110)</f>
        <v>0.01072666</v>
      </c>
      <c r="CV110" s="112">
        <f>CO110*IF(VLOOKUP($E110,武器奇术!$A:$R,17,FALSE)="破竹",VLOOKUP($E110,武器奇术!$A:$R,4,FALSE),VLOOKUP($E110,武器奇术!$A:$R,2,FALSE))*(1+CQ110)*(1+CR110)*CS110*(1+$E$16+VLOOKUP($E110,武器奇术!$A:$R,8,FALSE))</f>
        <v>1410.35437725</v>
      </c>
      <c r="CW110" s="110">
        <f t="shared" si="66"/>
        <v>0.8813852</v>
      </c>
      <c r="CX110" s="112">
        <f>CP110*IF(VLOOKUP($E110,武器奇术!$A:$R,17,FALSE)="破竹",VLOOKUP($E110,武器奇术!$A:$R,4,FALSE),VLOOKUP($E110,武器奇术!$A:$R,2,FALSE))*(1+CQ110)*(1+CR110)*CS110*(1+$E$17+VLOOKUP($E110,武器奇术!$A:$R,10,FALSE))</f>
        <v>1548.5480521875</v>
      </c>
      <c r="CY110" s="110">
        <f t="shared" si="67"/>
        <v>0.0986</v>
      </c>
      <c r="CZ110" s="112">
        <f>CO110*IF(VLOOKUP($E110,武器奇术!$A:$R,17,FALSE)="破竹",VLOOKUP($E110,武器奇术!$A:$R,4,FALSE),VLOOKUP($E110,武器奇术!$A:$R,2,FALSE))*(1+CQ110)*(1+CR110)*CS110</f>
        <v>859.97218125</v>
      </c>
      <c r="DA110" s="110">
        <f t="shared" si="68"/>
        <v>0.00928814000000003</v>
      </c>
      <c r="DB110" s="113">
        <f t="shared" si="69"/>
        <v>1409.88485510934</v>
      </c>
      <c r="DC110" s="108">
        <f t="shared" si="70"/>
        <v>69.3</v>
      </c>
      <c r="DD110" s="99">
        <f>(DC110+DE110)*IF(VLOOKUP($E110,武器奇术!$A:$Z,21,FALSE)=1,$G$15,0.5)</f>
        <v>69.3</v>
      </c>
      <c r="DE110" s="109">
        <f t="shared" si="71"/>
        <v>69.3</v>
      </c>
      <c r="DF110" s="110">
        <f>IF(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R,18,FALSE)=1,4,0)+IF(VLOOKUP($E110,武器奇术!$A:$S,19,FALSE)=1,20,0)-VLOOKUP($F$7,目标属性!$A:$R,6,FALSE))/100)</f>
        <v>0.025</v>
      </c>
      <c r="DG110" s="111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U,21,FALSE)=1,0,0.09)</f>
        <v>0.235</v>
      </c>
      <c r="DH110" s="109">
        <v>1</v>
      </c>
      <c r="DI110" s="112">
        <f>DC110*IF(VLOOKUP($E110,武器奇术!$A:$R,17,FALSE)="破竹",VLOOKUP($E110,武器奇术!$A:$R,4,FALSE),VLOOKUP($E110,武器奇术!$A:$R,2,FALSE))*(1+DF110)*(1+DG110)*DH110</f>
        <v>87.7251375</v>
      </c>
      <c r="DJ110" s="110">
        <f>(1-IF(VLOOKUP($E110,武器奇术!$A:$T,20,FALSE)=1,1,$N110))*(1-$M110)</f>
        <v>0.01072666</v>
      </c>
      <c r="DK110" s="112">
        <f>DD110*IF(VLOOKUP($E110,武器奇术!$A:$R,17,FALSE)="破竹",VLOOKUP($E110,武器奇术!$A:$R,4,FALSE),VLOOKUP($E110,武器奇术!$A:$R,2,FALSE))*(1+DF110)*(1+DG110)*DH110*(1+$E$16+VLOOKUP($E110,武器奇术!$A:$R,8,FALSE))</f>
        <v>143.8692255</v>
      </c>
      <c r="DL110" s="110">
        <f t="shared" si="72"/>
        <v>0.8813852</v>
      </c>
      <c r="DM110" s="112">
        <f>DE110*IF(VLOOKUP($E110,武器奇术!$A:$R,17,FALSE)="破竹",VLOOKUP($E110,武器奇术!$A:$R,4,FALSE),VLOOKUP($E110,武器奇术!$A:$R,2,FALSE))*(1+DF110)*(1+DG110)*DH110*(1+$E$17+VLOOKUP($E110,武器奇术!$A:$R,10,FALSE))</f>
        <v>118.428935625</v>
      </c>
      <c r="DN110" s="110">
        <f t="shared" si="73"/>
        <v>0.0986</v>
      </c>
      <c r="DO110" s="112">
        <f>DD110*IF(VLOOKUP($E110,武器奇术!$A:$R,17,FALSE)="破竹",VLOOKUP($E110,武器奇术!$A:$R,4,FALSE),VLOOKUP($E110,武器奇术!$A:$R,2,FALSE))*(1+DF110)*(1+DG110)*DH110</f>
        <v>87.7251375</v>
      </c>
      <c r="DP110" s="110">
        <f t="shared" si="74"/>
        <v>0.00928814000000003</v>
      </c>
      <c r="DQ110" s="113">
        <f t="shared" si="75"/>
        <v>140.237100225823</v>
      </c>
    </row>
    <row r="111" spans="1:121">
      <c r="A111" s="148"/>
      <c r="C111" s="147"/>
      <c r="D111" s="148"/>
      <c r="E111" s="98" t="str">
        <f>期望!E111</f>
        <v>易水歌6重(气竭)</v>
      </c>
      <c r="F111" s="99">
        <f>期望!F111</f>
        <v>1</v>
      </c>
      <c r="G111" s="115"/>
      <c r="H111" s="100">
        <f>IF(VLOOKUP($E111,武器奇术!$A:$R,18,FALSE)="天工",AE111,(AE111+AT111+BI111+BX111+CM111+DB111+DQ111))*(1+J111)*F111*K111*(1+G111)</f>
        <v>12652.9350068275</v>
      </c>
      <c r="I111" s="101">
        <f t="shared" si="39"/>
        <v>0.00156216822454332</v>
      </c>
      <c r="J111" s="101">
        <f>$F$3+VLOOKUP($E111,武器奇术!$A:$R,12,FALSE)+VLOOKUP($E111,武器奇术!$A:$R,14,FALSE)*$G$3+$P111</f>
        <v>0.403</v>
      </c>
      <c r="K111" s="102">
        <f>VLOOKUP($E111,武器奇术!$A:$R,11,FALSE)</f>
        <v>1</v>
      </c>
      <c r="L111" s="117">
        <f>IF(VLOOKUP($E111,武器奇术!$A:$R,15,FALSE)="天工",0%,IF($C$17+VLOOKUP($E111,武器奇术!$A:$R,7,FALSE)&gt;80%,80%,$C$17+VLOOKUP($E111,武器奇术!$A:$R,7,FALSE))+IF($C$19&gt;20%,20%,$C$19))</f>
        <v>0.892</v>
      </c>
      <c r="M111" s="118">
        <f>IF(VLOOKUP($E111,武器奇术!$A:$R,15,FALSE)="天工",0%,IF($C$18+VLOOKUP($E111,武器奇术!$A:$R,9,FALSE)&gt;40%,40%,$C$18+VLOOKUP($E111,武器奇术!$A:$R,9,FALSE))+IF($C$20&gt;10%,10%,$C$20))</f>
        <v>0.0986</v>
      </c>
      <c r="N111" s="119">
        <f>IF(VLOOKUP($E111,武器奇术!$A:$R,15,FALSE)="天工",100%,MIN($C$16,1))</f>
        <v>0.9881</v>
      </c>
      <c r="O111" s="120" t="str">
        <f>VLOOKUP($E111,武器奇术!$A:$R,16,FALSE)</f>
        <v>N/A</v>
      </c>
      <c r="P111" s="121">
        <f t="shared" si="76"/>
        <v>0</v>
      </c>
      <c r="Q111" s="108">
        <f>$B$5*(1+VLOOKUP($E111,武器奇术!$A:$R,5,FALSE)+IF($G$5="飞隼",0.1,0)+IF($G$5="撼天",0.05,0))-$F$9+IF($I$5="√",160,0)</f>
        <v>1731.135</v>
      </c>
      <c r="R111" s="99">
        <f>IF(VLOOKUP($E111,武器奇术!$A:$Z,20,FALSE)=1,(S111-(Q111+S111)*0.5)*($G$15-0.5)*2+(Q111+S111)*0.5,(Q111+S111)*0.5)</f>
        <v>3256.775</v>
      </c>
      <c r="S111" s="109">
        <f>MAX($C$5,$B$5)*(1+VLOOKUP($E111,武器奇术!$A:$R,5,FALSE)+IF($G$5="飞隼",0.1,0)+IF($G$5="撼天",0.05,0))-$F$9+IF($I$5="√",320,0)</f>
        <v>4782.415</v>
      </c>
      <c r="T111" s="101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U111" s="111">
        <f>$E$5+IF(VLOOKUP($E111,武器奇术!$A:$U,21,FALSE)=1,0,0.09)</f>
        <v>0.115</v>
      </c>
      <c r="V111" s="109">
        <v>1</v>
      </c>
      <c r="W111" s="112">
        <f>Q111*VLOOKUP($E111,武器奇术!$A:$R,2,FALSE)*(1+T111)*(1+U111)*V111</f>
        <v>2397.32768205</v>
      </c>
      <c r="X111" s="110">
        <f>(1-IF(VLOOKUP($E111,武器奇术!$A:$T,20,FALSE)=1,1,$N111))*(1-$M111)</f>
        <v>0.01072666</v>
      </c>
      <c r="Y111" s="112">
        <f>R111*VLOOKUP($E111,武器奇术!$A:$R,2,FALSE)*(1+T111)*(1+U111)*V111*(1+$E$16+VLOOKUP($E111,武器奇术!$A:$R,8,FALSE))</f>
        <v>7396.53074613</v>
      </c>
      <c r="Z111" s="110">
        <f t="shared" si="40"/>
        <v>0.8813852</v>
      </c>
      <c r="AA111" s="112">
        <f>S111*VLOOKUP($E111,武器奇术!$A:$R,2,FALSE)*(1+T111)*(1+U111)*V111*(1+$E$17+VLOOKUP($E111,武器奇术!$A:$R,10,FALSE))</f>
        <v>8940.8228820075</v>
      </c>
      <c r="AB111" s="110">
        <f t="shared" si="41"/>
        <v>0.0986</v>
      </c>
      <c r="AC111" s="112">
        <f>R111*VLOOKUP($E111,武器奇术!$A:$R,2,FALSE)*(1+T111)*(1+U111)*V111</f>
        <v>4510.07972325</v>
      </c>
      <c r="AD111" s="110">
        <f t="shared" si="42"/>
        <v>0.00928814000000003</v>
      </c>
      <c r="AE111" s="113">
        <f t="shared" si="43"/>
        <v>7468.36343798453</v>
      </c>
      <c r="AF111" s="114">
        <f>VLOOKUP($E111,武器奇术!$A:$R,3,FALSE)*(1+IF(VLOOKUP($E111,武器奇术!$A:$R,15,FALSE)="武器",$E$15,0))</f>
        <v>0</v>
      </c>
      <c r="AG111" s="112">
        <f t="shared" si="44"/>
        <v>0</v>
      </c>
      <c r="AH111" s="112">
        <f>VLOOKUP($E111,武器奇术!$A:$R,3,FALSE)*(1+IF(VLOOKUP($E111,武器奇术!$A:$R,15,FALSE)="武器",$E$15,0))</f>
        <v>0</v>
      </c>
      <c r="AI111" s="101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0.242</v>
      </c>
      <c r="AJ111" s="111">
        <f>$E$5+IF(VLOOKUP($E111,武器奇术!$A:$U,21,FALSE)=1,0,0.09)</f>
        <v>0.115</v>
      </c>
      <c r="AK111" s="109">
        <v>1</v>
      </c>
      <c r="AL111" s="112">
        <f t="shared" si="45"/>
        <v>0</v>
      </c>
      <c r="AM111" s="110">
        <f>(1-IF(VLOOKUP($E111,武器奇术!$A:$T,20,FALSE)=1,1,$N111))*(1-$M111)</f>
        <v>0.01072666</v>
      </c>
      <c r="AN111" s="112">
        <f>AG111*(1+AI111)*(1+AJ111)*AK111*(1+$E$16+VLOOKUP($E111,武器奇术!$A:$R,8,FALSE))</f>
        <v>0</v>
      </c>
      <c r="AO111" s="110">
        <f t="shared" si="46"/>
        <v>0.8813852</v>
      </c>
      <c r="AP111" s="112">
        <f>AH111*(1+AI111)*(1+AJ111)*AK111*(1+$E$17+VLOOKUP($E111,武器奇术!$A:$R,10,FALSE))</f>
        <v>0</v>
      </c>
      <c r="AQ111" s="110">
        <f t="shared" si="47"/>
        <v>0.0986</v>
      </c>
      <c r="AR111" s="112">
        <f t="shared" si="48"/>
        <v>0</v>
      </c>
      <c r="AS111" s="110">
        <f t="shared" si="49"/>
        <v>0.00928814000000003</v>
      </c>
      <c r="AT111" s="113">
        <f t="shared" si="50"/>
        <v>0</v>
      </c>
      <c r="AU111" s="108">
        <f>$B$7*IF($G$5="撼天",1.05,1)+IF(AND(VLOOKUP($E111,武器奇术!$A:$R,15,FALSE)="武器",VLOOKUP($E111,武器奇术!$A:$R,17,FALSE)="鸣金"),$E$3,0)*(1+$E$15)</f>
        <v>0</v>
      </c>
      <c r="AV111" s="99">
        <f>(AU111+AW111)*IF(VLOOKUP($E111,武器奇术!$A:$Z,21,FALSE)=1,$G$15,0.5)</f>
        <v>0</v>
      </c>
      <c r="AW111" s="109">
        <f>MAX($C$7*IF($G$5="撼天",1.05,1)+IF(AND(VLOOKUP($E111,武器奇术!$A:$R,15,FALSE)="武器",VLOOKUP($E111,武器奇术!$A:$R,17,FALSE)="鸣金"),$E$3*(1+$E$15),0),AU111)</f>
        <v>0</v>
      </c>
      <c r="AX111" s="110">
        <f>IF(($D$7+IF(VLOOKUP($E111,武器奇术!$A:$R,17,FALSE)="鸣金",$D$15,0)+IF(VLOOKUP($E111,武器奇术!$A:$R,18,FALSE)=1,4,0)+IF(VLOOKUP($E111,武器奇术!$A:$S,19,FALSE)=1,20,0)-VLOOKUP($F$7,目标属性!$A:$R,6,FALSE))&gt;0,($D$7+IF(VLOOKUP($E111,武器奇术!$A:$R,17,FALSE)="鸣金",$D$15,0)+IF(VLOOKUP($E111,武器奇术!$A:$R,18,FALSE)=1,4,0)+IF(VLOOKUP($E111,武器奇术!$A:$S,19,FALSE)=1,20,0)-VLOOKUP($F$7,目标属性!$A:$R,6,FALSE))/200,($D$7+IF(VLOOKUP($E111,武器奇术!$A:$R,17,FALSE)="鸣金",$D$15,0)+IF(VLOOKUP($E111,武器奇术!$A:$R,18,FALSE)=1,4,0)+IF(VLOOKUP($E111,武器奇术!$A:$S,19,FALSE)=1,20,0)-VLOOKUP($F$7,目标属性!$A:$R,6,FALSE))/100)</f>
        <v>-0.24</v>
      </c>
      <c r="AY111" s="111">
        <f t="shared" si="51"/>
        <v>0</v>
      </c>
      <c r="AZ111" s="109">
        <v>1</v>
      </c>
      <c r="BA111" s="112">
        <f>AU111*IF(VLOOKUP($E111,武器奇术!$A:$R,17,FALSE)="鸣金",VLOOKUP($E111,武器奇术!$A:$R,4,FALSE),VLOOKUP($E111,武器奇术!$A:$R,2,FALSE))*(1+AX111)*(1+AY111)*AZ111</f>
        <v>0</v>
      </c>
      <c r="BB111" s="110">
        <f>(1-IF(VLOOKUP($E111,武器奇术!$A:$T,20,FALSE)=1,1,$N111))*(1-$M111)</f>
        <v>0.01072666</v>
      </c>
      <c r="BC111" s="112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110">
        <f t="shared" si="52"/>
        <v>0.8813852</v>
      </c>
      <c r="BE111" s="112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110">
        <f t="shared" si="53"/>
        <v>0.0986</v>
      </c>
      <c r="BG111" s="112">
        <f>AV111*IF(VLOOKUP($E111,武器奇术!$A:$R,17,FALSE)="鸣金",VLOOKUP($E111,武器奇术!$A:$R,4,FALSE),VLOOKUP($E111,武器奇术!$A:$R,2,FALSE))*(1+AX111)*(1+AY111)*AZ111</f>
        <v>0</v>
      </c>
      <c r="BH111" s="110">
        <f t="shared" si="54"/>
        <v>0.00928814000000003</v>
      </c>
      <c r="BI111" s="113">
        <f t="shared" si="55"/>
        <v>0</v>
      </c>
      <c r="BJ111" s="108">
        <f>$B$9*IF($G$5="撼天",1.05,1)+IF(AND(VLOOKUP($E111,武器奇术!$A:$R,15,FALSE)="武器",VLOOKUP($E111,武器奇术!$A:$R,17,FALSE)="裂石"),$E$3,0)*(1+$E$15)</f>
        <v>0</v>
      </c>
      <c r="BK111" s="99">
        <f>(BJ111+BL111)*IF(VLOOKUP($E111,武器奇术!$A:$Z,21,FALSE)=1,$G$15,0.5)</f>
        <v>0</v>
      </c>
      <c r="BL111" s="109">
        <f>MAX($C$9*IF($G$5="撼天",1.05,1)+IF(AND(VLOOKUP($E111,武器奇术!$A:$R,15,FALSE)="武器",VLOOKUP($E111,武器奇术!$A:$R,17,FALSE)="裂石"),$E$3*(1+$E$15),0),BJ111)</f>
        <v>0</v>
      </c>
      <c r="BM111" s="110">
        <f>IF(($D$9+IF(VLOOKUP($E111,武器奇术!$A:$R,17,FALSE)="裂石",$D$15,0)+IF(VLOOKUP($E111,武器奇术!$A:$R,18,FALSE)=1,4,0)+IF(VLOOKUP($E111,武器奇术!$A:$S,19,FALSE)=1,20,0)-VLOOKUP($F$7,目标属性!$A:$R,6,FALSE))&gt;0,($D$9+IF(VLOOKUP($E111,武器奇术!$A:$R,17,FALSE)="裂石",$D$15,0)+IF(VLOOKUP($E111,武器奇术!$A:$R,18,FALSE)=1,4,0)+IF(VLOOKUP($E111,武器奇术!$A:$S,19,FALSE)=1,20,0)-VLOOKUP($F$7,目标属性!$A:$R,6,FALSE))/200,($D$9+IF(VLOOKUP($E111,武器奇术!$A:$R,17,FALSE)="裂石",$D$15,0)+IF(VLOOKUP($E111,武器奇术!$A:$R,18,FALSE)=1,4,0)+IF(VLOOKUP($E111,武器奇术!$A:$S,19,FALSE)=1,20,0)-VLOOKUP($F$7,目标属性!$A:$R,6,FALSE))/100)</f>
        <v>-0.24</v>
      </c>
      <c r="BN111" s="111">
        <f t="shared" si="56"/>
        <v>0</v>
      </c>
      <c r="BO111" s="109">
        <v>1</v>
      </c>
      <c r="BP111" s="112">
        <f>BJ111*IF(VLOOKUP($E111,武器奇术!$A:$R,17,FALSE)="裂石",VLOOKUP($E111,武器奇术!$A:$R,4,FALSE),VLOOKUP($E111,武器奇术!$A:$R,2,FALSE))*(1+BM111)*(1+BN111)*BO111</f>
        <v>0</v>
      </c>
      <c r="BQ111" s="110">
        <f>(1-IF(VLOOKUP($E111,武器奇术!$A:$T,20,FALSE)=1,1,$N111))*(1-$M111)</f>
        <v>0.01072666</v>
      </c>
      <c r="BR111" s="112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110">
        <f t="shared" si="57"/>
        <v>0.8813852</v>
      </c>
      <c r="BT111" s="112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110">
        <f t="shared" si="58"/>
        <v>0.0986</v>
      </c>
      <c r="BV111" s="112">
        <f>BK111*IF(VLOOKUP($E111,武器奇术!$A:$R,17,FALSE)="裂石",VLOOKUP($E111,武器奇术!$A:$R,4,FALSE),VLOOKUP($E111,武器奇术!$A:$R,2,FALSE))*(1+BM111)*(1+BN111)*BO111</f>
        <v>0</v>
      </c>
      <c r="BW111" s="110">
        <f t="shared" si="59"/>
        <v>0.00928814000000003</v>
      </c>
      <c r="BX111" s="113">
        <f t="shared" si="60"/>
        <v>0</v>
      </c>
      <c r="BY111" s="108">
        <f>$B$11*IF($G$5="撼天",1.05,1)+IF(AND(VLOOKUP($E111,武器奇术!$A:$R,15,FALSE)="武器",VLOOKUP($E111,武器奇术!$A:$R,17,FALSE)="牵丝"),$E$3,0)*(1+$E$15)</f>
        <v>0</v>
      </c>
      <c r="BZ111" s="99">
        <f>(BY111+CA111)*IF(VLOOKUP($E111,武器奇术!$A:$Z,21,FALSE)=1,$G$15,0.5)</f>
        <v>0</v>
      </c>
      <c r="CA111" s="109">
        <f>MAX($C$11*IF($G$5="撼天",1.05,1)+IF(AND(VLOOKUP($E111,武器奇术!$A:$R,15,FALSE)="武器",VLOOKUP($E111,武器奇术!$A:$R,17,FALSE)="牵丝"),$E$3*(1+$E$15),0),BY111)</f>
        <v>0</v>
      </c>
      <c r="CB111" s="110">
        <f>IF(($D$11+IF(VLOOKUP($E111,武器奇术!$A:$R,17,FALSE)="牵丝",$D$15,0)+IF(VLOOKUP($E111,武器奇术!$A:$R,18,FALSE)=1,4,0)+IF(VLOOKUP($E111,武器奇术!$A:$S,19,FALSE)=1,20,0)-VLOOKUP($F$7,目标属性!$A:$R,6,FALSE))&gt;0,($D$11+IF(VLOOKUP($E111,武器奇术!$A:$R,17,FALSE)="牵丝",$D$15,0)+IF(VLOOKUP($E111,武器奇术!$A:$R,18,FALSE)=1,4,0)+IF(VLOOKUP($E111,武器奇术!$A:$S,19,FALSE)=1,20,0)-VLOOKUP($F$7,目标属性!$A:$R,6,FALSE))/200,($D$11+IF(VLOOKUP($E111,武器奇术!$A:$R,17,FALSE)="牵丝",$D$15,0)+IF(VLOOKUP($E111,武器奇术!$A:$R,18,FALSE)=1,4,0)+IF(VLOOKUP($E111,武器奇术!$A:$S,19,FALSE)=1,20,0)-VLOOKUP($F$7,目标属性!$A:$R,6,FALSE))/100)</f>
        <v>-0.24</v>
      </c>
      <c r="CC111" s="111">
        <f t="shared" si="61"/>
        <v>0</v>
      </c>
      <c r="CD111" s="109">
        <v>1</v>
      </c>
      <c r="CE111" s="112">
        <f>BY111*IF(VLOOKUP($E111,武器奇术!$A:$R,17,FALSE)="牵丝",VLOOKUP($E111,武器奇术!$A:$R,4,FALSE),VLOOKUP($E111,武器奇术!$A:$R,2,FALSE))*(1+CB111)*(1+CC111)*CD111</f>
        <v>0</v>
      </c>
      <c r="CF111" s="110">
        <f>(1-IF(VLOOKUP($E111,武器奇术!$A:$T,20,FALSE)=1,1,$N111))*(1-$M111)</f>
        <v>0.01072666</v>
      </c>
      <c r="CG111" s="112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110">
        <f t="shared" si="62"/>
        <v>0.8813852</v>
      </c>
      <c r="CI111" s="112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110">
        <f t="shared" si="63"/>
        <v>0.0986</v>
      </c>
      <c r="CK111" s="112">
        <f>BZ111*IF(VLOOKUP($E111,武器奇术!$A:$R,17,FALSE)="牵丝",VLOOKUP($E111,武器奇术!$A:$R,4,FALSE),VLOOKUP($E111,武器奇术!$A:$R,2,FALSE))*(1+CB111)*(1+CC111)*CD111</f>
        <v>0</v>
      </c>
      <c r="CL111" s="110">
        <f t="shared" si="64"/>
        <v>0.00928814000000003</v>
      </c>
      <c r="CM111" s="113">
        <f t="shared" si="65"/>
        <v>0</v>
      </c>
      <c r="CN111" s="108">
        <f>$B$13*IF($G$5="撼天",1.05,1)+IF(AND(VLOOKUP($E111,武器奇术!$A:$R,15,FALSE)="武器",VLOOKUP($E111,武器奇术!$A:$R,17,FALSE)="破竹"),$E$3,0)*(1+$E$15)</f>
        <v>452.55</v>
      </c>
      <c r="CO111" s="99">
        <f>(CN111+CP111)*IF(VLOOKUP($E111,武器奇术!$A:$Z,21,FALSE)=1,$G$15,0.5)</f>
        <v>679.35</v>
      </c>
      <c r="CP111" s="109">
        <f>MAX($C$13*IF($G$5="撼天",1.05,1)+IF(AND(VLOOKUP($E111,武器奇术!$A:$R,15,FALSE)="武器",VLOOKUP($E111,武器奇术!$A:$R,17,FALSE)="破竹"),$E$3*(1+$E$15),0),CN111)</f>
        <v>906.15</v>
      </c>
      <c r="CQ111" s="110">
        <f>IF(($D$13+IF(VLOOKUP($E111,武器奇术!$A:$R,17,FALSE)="破竹",$D$15,0)+IF(VLOOKUP($E111,武器奇术!$A:$R,18,FALSE)=1,4,0)+IF(VLOOKUP($E111,武器奇术!$A:$S,19,FALSE)=1,20,0)-VLOOKUP($F$7,目标属性!$A:$R,6,FALSE))&gt;0,($D$13+IF(VLOOKUP($E111,武器奇术!$A:$R,17,FALSE)="破竹",$D$15,0)+IF(VLOOKUP($E111,武器奇术!$A:$R,18,FALSE)=1,4,0)+IF(VLOOKUP($E111,武器奇术!$A:$S,19,FALSE)=1,20,0)-VLOOKUP($F$7,目标属性!$A:$R,6,FALSE))/200,($D$13+IF(VLOOKUP($E111,武器奇术!$A:$R,17,FALSE)="破竹",$D$15,0)+IF(VLOOKUP($E111,武器奇术!$A:$R,18,FALSE)=1,4,0)+IF(VLOOKUP($E111,武器奇术!$A:$S,19,FALSE)=1,20,0)-VLOOKUP($F$7,目标属性!$A:$R,6,FALSE))/100)</f>
        <v>0.025</v>
      </c>
      <c r="CR111" s="111">
        <f>$E$13+IF(VLOOKUP($E111,武器奇术!$A:$U,21,FALSE)=1,0,0.09)</f>
        <v>0.235</v>
      </c>
      <c r="CS111" s="109">
        <v>1</v>
      </c>
      <c r="CT111" s="112">
        <f>CN111*IF(VLOOKUP($E111,武器奇术!$A:$R,17,FALSE)="破竹",VLOOKUP($E111,武器奇术!$A:$R,4,FALSE),VLOOKUP($E111,武器奇术!$A:$R,2,FALSE))*(1+CQ111)*(1+CR111)*CS111</f>
        <v>572.87173125</v>
      </c>
      <c r="CU111" s="110">
        <f>(1-IF(VLOOKUP($E111,武器奇术!$A:$T,20,FALSE)=1,1,$N111))*(1-$M111)</f>
        <v>0.01072666</v>
      </c>
      <c r="CV111" s="112">
        <f>CO111*IF(VLOOKUP($E111,武器奇术!$A:$R,17,FALSE)="破竹",VLOOKUP($E111,武器奇术!$A:$R,4,FALSE),VLOOKUP($E111,武器奇术!$A:$R,2,FALSE))*(1+CQ111)*(1+CR111)*CS111*(1+$E$16+VLOOKUP($E111,武器奇术!$A:$R,8,FALSE))</f>
        <v>1410.35437725</v>
      </c>
      <c r="CW111" s="110">
        <f t="shared" si="66"/>
        <v>0.8813852</v>
      </c>
      <c r="CX111" s="112">
        <f>CP111*IF(VLOOKUP($E111,武器奇术!$A:$R,17,FALSE)="破竹",VLOOKUP($E111,武器奇术!$A:$R,4,FALSE),VLOOKUP($E111,武器奇术!$A:$R,2,FALSE))*(1+CQ111)*(1+CR111)*CS111*(1+$E$17+VLOOKUP($E111,武器奇术!$A:$R,10,FALSE))</f>
        <v>1548.5480521875</v>
      </c>
      <c r="CY111" s="110">
        <f t="shared" si="67"/>
        <v>0.0986</v>
      </c>
      <c r="CZ111" s="112">
        <f>CO111*IF(VLOOKUP($E111,武器奇术!$A:$R,17,FALSE)="破竹",VLOOKUP($E111,武器奇术!$A:$R,4,FALSE),VLOOKUP($E111,武器奇术!$A:$R,2,FALSE))*(1+CQ111)*(1+CR111)*CS111</f>
        <v>859.97218125</v>
      </c>
      <c r="DA111" s="110">
        <f t="shared" si="68"/>
        <v>0.00928814000000003</v>
      </c>
      <c r="DB111" s="113">
        <f t="shared" si="69"/>
        <v>1409.88485510934</v>
      </c>
      <c r="DC111" s="108">
        <f t="shared" si="70"/>
        <v>69.3</v>
      </c>
      <c r="DD111" s="99">
        <f>(DC111+DE111)*IF(VLOOKUP($E111,武器奇术!$A:$Z,21,FALSE)=1,$G$15,0.5)</f>
        <v>69.3</v>
      </c>
      <c r="DE111" s="109">
        <f t="shared" si="71"/>
        <v>69.3</v>
      </c>
      <c r="DF111" s="110">
        <f>IF(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R,18,FALSE)=1,4,0)+IF(VLOOKUP($E111,武器奇术!$A:$S,19,FALSE)=1,20,0)-VLOOKUP($F$7,目标属性!$A:$R,6,FALSE))/100)</f>
        <v>0.025</v>
      </c>
      <c r="DG111" s="111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U,21,FALSE)=1,0,0.09)</f>
        <v>0.235</v>
      </c>
      <c r="DH111" s="109">
        <v>1</v>
      </c>
      <c r="DI111" s="112">
        <f>DC111*IF(VLOOKUP($E111,武器奇术!$A:$R,17,FALSE)="破竹",VLOOKUP($E111,武器奇术!$A:$R,4,FALSE),VLOOKUP($E111,武器奇术!$A:$R,2,FALSE))*(1+DF111)*(1+DG111)*DH111</f>
        <v>87.7251375</v>
      </c>
      <c r="DJ111" s="110">
        <f>(1-IF(VLOOKUP($E111,武器奇术!$A:$T,20,FALSE)=1,1,$N111))*(1-$M111)</f>
        <v>0.01072666</v>
      </c>
      <c r="DK111" s="112">
        <f>DD111*IF(VLOOKUP($E111,武器奇术!$A:$R,17,FALSE)="破竹",VLOOKUP($E111,武器奇术!$A:$R,4,FALSE),VLOOKUP($E111,武器奇术!$A:$R,2,FALSE))*(1+DF111)*(1+DG111)*DH111*(1+$E$16+VLOOKUP($E111,武器奇术!$A:$R,8,FALSE))</f>
        <v>143.8692255</v>
      </c>
      <c r="DL111" s="110">
        <f t="shared" si="72"/>
        <v>0.8813852</v>
      </c>
      <c r="DM111" s="112">
        <f>DE111*IF(VLOOKUP($E111,武器奇术!$A:$R,17,FALSE)="破竹",VLOOKUP($E111,武器奇术!$A:$R,4,FALSE),VLOOKUP($E111,武器奇术!$A:$R,2,FALSE))*(1+DF111)*(1+DG111)*DH111*(1+$E$17+VLOOKUP($E111,武器奇术!$A:$R,10,FALSE))</f>
        <v>118.428935625</v>
      </c>
      <c r="DN111" s="110">
        <f t="shared" si="73"/>
        <v>0.0986</v>
      </c>
      <c r="DO111" s="112">
        <f>DD111*IF(VLOOKUP($E111,武器奇术!$A:$R,17,FALSE)="破竹",VLOOKUP($E111,武器奇术!$A:$R,4,FALSE),VLOOKUP($E111,武器奇术!$A:$R,2,FALSE))*(1+DF111)*(1+DG111)*DH111</f>
        <v>87.7251375</v>
      </c>
      <c r="DP111" s="110">
        <f t="shared" si="74"/>
        <v>0.00928814000000003</v>
      </c>
      <c r="DQ111" s="113">
        <f t="shared" si="75"/>
        <v>140.237100225823</v>
      </c>
    </row>
    <row r="112" spans="1:121">
      <c r="A112" s="148"/>
      <c r="C112" s="147"/>
      <c r="D112" s="148"/>
      <c r="E112" s="98" t="str">
        <f>期望!E112</f>
        <v>易水歌6重</v>
      </c>
      <c r="F112" s="99">
        <f>期望!F112</f>
        <v>1</v>
      </c>
      <c r="G112" s="115"/>
      <c r="H112" s="100">
        <f>IF(VLOOKUP($E112,武器奇术!$A:$R,18,FALSE)="天工",AE112,(AE112+AT112+BI112+BX112+CM112+DB112+DQ112))*(1+J112)*F112*K112*(1+G112)</f>
        <v>11751.0864674956</v>
      </c>
      <c r="I112" s="101">
        <f t="shared" si="39"/>
        <v>0.00145082337603703</v>
      </c>
      <c r="J112" s="101">
        <f>$F$3+VLOOKUP($E112,武器奇术!$A:$R,12,FALSE)+VLOOKUP($E112,武器奇术!$A:$R,14,FALSE)*$G$3+$P112</f>
        <v>0.303</v>
      </c>
      <c r="K112" s="102">
        <f>VLOOKUP($E112,武器奇术!$A:$R,11,FALSE)</f>
        <v>1</v>
      </c>
      <c r="L112" s="117">
        <f>IF(VLOOKUP($E112,武器奇术!$A:$R,15,FALSE)="天工",0%,IF($C$17+VLOOKUP($E112,武器奇术!$A:$R,7,FALSE)&gt;80%,80%,$C$17+VLOOKUP($E112,武器奇术!$A:$R,7,FALSE))+IF($C$19&gt;20%,20%,$C$19))</f>
        <v>0.892</v>
      </c>
      <c r="M112" s="118">
        <f>IF(VLOOKUP($E112,武器奇术!$A:$R,15,FALSE)="天工",0%,IF($C$18+VLOOKUP($E112,武器奇术!$A:$R,9,FALSE)&gt;40%,40%,$C$18+VLOOKUP($E112,武器奇术!$A:$R,9,FALSE))+IF($C$20&gt;10%,10%,$C$20))</f>
        <v>0.0986</v>
      </c>
      <c r="N112" s="119">
        <f>IF(VLOOKUP($E112,武器奇术!$A:$R,15,FALSE)="天工",100%,MIN($C$16,1))</f>
        <v>0.9881</v>
      </c>
      <c r="O112" s="120" t="str">
        <f>VLOOKUP($E112,武器奇术!$A:$R,16,FALSE)</f>
        <v>N/A</v>
      </c>
      <c r="P112" s="121">
        <f t="shared" si="76"/>
        <v>0</v>
      </c>
      <c r="Q112" s="108">
        <f>$B$5*(1+VLOOKUP($E112,武器奇术!$A:$R,5,FALSE)+IF($G$5="飞隼",0.1,0)+IF($G$5="撼天",0.05,0))-$F$9+IF($I$5="√",160,0)</f>
        <v>1731.135</v>
      </c>
      <c r="R112" s="99">
        <f>IF(VLOOKUP($E112,武器奇术!$A:$Z,20,FALSE)=1,(S112-(Q112+S112)*0.5)*($G$15-0.5)*2+(Q112+S112)*0.5,(Q112+S112)*0.5)</f>
        <v>3256.775</v>
      </c>
      <c r="S112" s="109">
        <f>MAX($C$5,$B$5)*(1+VLOOKUP($E112,武器奇术!$A:$R,5,FALSE)+IF($G$5="飞隼",0.1,0)+IF($G$5="撼天",0.05,0))-$F$9+IF($I$5="√",320,0)</f>
        <v>4782.415</v>
      </c>
      <c r="T112" s="101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U112" s="111">
        <f>$E$5+IF(VLOOKUP($E112,武器奇术!$A:$U,21,FALSE)=1,0,0.09)</f>
        <v>0.115</v>
      </c>
      <c r="V112" s="109">
        <v>1</v>
      </c>
      <c r="W112" s="112">
        <f>Q112*VLOOKUP($E112,武器奇术!$A:$R,2,FALSE)*(1+T112)*(1+U112)*V112</f>
        <v>2397.32768205</v>
      </c>
      <c r="X112" s="110">
        <f>(1-IF(VLOOKUP($E112,武器奇术!$A:$T,20,FALSE)=1,1,$N112))*(1-$M112)</f>
        <v>0.01072666</v>
      </c>
      <c r="Y112" s="112">
        <f>R112*VLOOKUP($E112,武器奇术!$A:$R,2,FALSE)*(1+T112)*(1+U112)*V112*(1+$E$16+VLOOKUP($E112,武器奇术!$A:$R,8,FALSE))</f>
        <v>7396.53074613</v>
      </c>
      <c r="Z112" s="110">
        <f t="shared" si="40"/>
        <v>0.8813852</v>
      </c>
      <c r="AA112" s="112">
        <f>S112*VLOOKUP($E112,武器奇术!$A:$R,2,FALSE)*(1+T112)*(1+U112)*V112*(1+$E$17+VLOOKUP($E112,武器奇术!$A:$R,10,FALSE))</f>
        <v>8940.8228820075</v>
      </c>
      <c r="AB112" s="110">
        <f t="shared" si="41"/>
        <v>0.0986</v>
      </c>
      <c r="AC112" s="112">
        <f>R112*VLOOKUP($E112,武器奇术!$A:$R,2,FALSE)*(1+T112)*(1+U112)*V112</f>
        <v>4510.07972325</v>
      </c>
      <c r="AD112" s="110">
        <f t="shared" si="42"/>
        <v>0.00928814000000003</v>
      </c>
      <c r="AE112" s="113">
        <f t="shared" si="43"/>
        <v>7468.36343798453</v>
      </c>
      <c r="AF112" s="114">
        <f>VLOOKUP($E112,武器奇术!$A:$R,3,FALSE)*(1+IF(VLOOKUP($E112,武器奇术!$A:$R,15,FALSE)="武器",$E$15,0))</f>
        <v>0</v>
      </c>
      <c r="AG112" s="112">
        <f t="shared" si="44"/>
        <v>0</v>
      </c>
      <c r="AH112" s="112">
        <f>VLOOKUP($E112,武器奇术!$A:$R,3,FALSE)*(1+IF(VLOOKUP($E112,武器奇术!$A:$R,15,FALSE)="武器",$E$15,0))</f>
        <v>0</v>
      </c>
      <c r="AI112" s="101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0.242</v>
      </c>
      <c r="AJ112" s="111">
        <f>$E$5+IF(VLOOKUP($E112,武器奇术!$A:$U,21,FALSE)=1,0,0.09)</f>
        <v>0.115</v>
      </c>
      <c r="AK112" s="109">
        <v>1</v>
      </c>
      <c r="AL112" s="112">
        <f t="shared" si="45"/>
        <v>0</v>
      </c>
      <c r="AM112" s="110">
        <f>(1-IF(VLOOKUP($E112,武器奇术!$A:$T,20,FALSE)=1,1,$N112))*(1-$M112)</f>
        <v>0.01072666</v>
      </c>
      <c r="AN112" s="112">
        <f>AG112*(1+AI112)*(1+AJ112)*AK112*(1+$E$16+VLOOKUP($E112,武器奇术!$A:$R,8,FALSE))</f>
        <v>0</v>
      </c>
      <c r="AO112" s="110">
        <f t="shared" si="46"/>
        <v>0.8813852</v>
      </c>
      <c r="AP112" s="112">
        <f>AH112*(1+AI112)*(1+AJ112)*AK112*(1+$E$17+VLOOKUP($E112,武器奇术!$A:$R,10,FALSE))</f>
        <v>0</v>
      </c>
      <c r="AQ112" s="110">
        <f t="shared" si="47"/>
        <v>0.0986</v>
      </c>
      <c r="AR112" s="112">
        <f t="shared" si="48"/>
        <v>0</v>
      </c>
      <c r="AS112" s="110">
        <f t="shared" si="49"/>
        <v>0.00928814000000003</v>
      </c>
      <c r="AT112" s="113">
        <f t="shared" si="50"/>
        <v>0</v>
      </c>
      <c r="AU112" s="108">
        <f>$B$7*IF($G$5="撼天",1.05,1)+IF(AND(VLOOKUP($E112,武器奇术!$A:$R,15,FALSE)="武器",VLOOKUP($E112,武器奇术!$A:$R,17,FALSE)="鸣金"),$E$3,0)*(1+$E$15)</f>
        <v>0</v>
      </c>
      <c r="AV112" s="99">
        <f>(AU112+AW112)*IF(VLOOKUP($E112,武器奇术!$A:$Z,21,FALSE)=1,$G$15,0.5)</f>
        <v>0</v>
      </c>
      <c r="AW112" s="109">
        <f>MAX($C$7*IF($G$5="撼天",1.05,1)+IF(AND(VLOOKUP($E112,武器奇术!$A:$R,15,FALSE)="武器",VLOOKUP($E112,武器奇术!$A:$R,17,FALSE)="鸣金"),$E$3*(1+$E$15),0),AU112)</f>
        <v>0</v>
      </c>
      <c r="AX112" s="110">
        <f>IF(($D$7+IF(VLOOKUP($E112,武器奇术!$A:$R,17,FALSE)="鸣金",$D$15,0)+IF(VLOOKUP($E112,武器奇术!$A:$R,18,FALSE)=1,4,0)+IF(VLOOKUP($E112,武器奇术!$A:$S,19,FALSE)=1,20,0)-VLOOKUP($F$7,目标属性!$A:$R,6,FALSE))&gt;0,($D$7+IF(VLOOKUP($E112,武器奇术!$A:$R,17,FALSE)="鸣金",$D$15,0)+IF(VLOOKUP($E112,武器奇术!$A:$R,18,FALSE)=1,4,0)+IF(VLOOKUP($E112,武器奇术!$A:$S,19,FALSE)=1,20,0)-VLOOKUP($F$7,目标属性!$A:$R,6,FALSE))/200,($D$7+IF(VLOOKUP($E112,武器奇术!$A:$R,17,FALSE)="鸣金",$D$15,0)+IF(VLOOKUP($E112,武器奇术!$A:$R,18,FALSE)=1,4,0)+IF(VLOOKUP($E112,武器奇术!$A:$S,19,FALSE)=1,20,0)-VLOOKUP($F$7,目标属性!$A:$R,6,FALSE))/100)</f>
        <v>-0.24</v>
      </c>
      <c r="AY112" s="111">
        <f t="shared" si="51"/>
        <v>0</v>
      </c>
      <c r="AZ112" s="109">
        <v>1</v>
      </c>
      <c r="BA112" s="112">
        <f>AU112*IF(VLOOKUP($E112,武器奇术!$A:$R,17,FALSE)="鸣金",VLOOKUP($E112,武器奇术!$A:$R,4,FALSE),VLOOKUP($E112,武器奇术!$A:$R,2,FALSE))*(1+AX112)*(1+AY112)*AZ112</f>
        <v>0</v>
      </c>
      <c r="BB112" s="110">
        <f>(1-IF(VLOOKUP($E112,武器奇术!$A:$T,20,FALSE)=1,1,$N112))*(1-$M112)</f>
        <v>0.01072666</v>
      </c>
      <c r="BC112" s="112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110">
        <f t="shared" si="52"/>
        <v>0.8813852</v>
      </c>
      <c r="BE112" s="112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110">
        <f t="shared" si="53"/>
        <v>0.0986</v>
      </c>
      <c r="BG112" s="112">
        <f>AV112*IF(VLOOKUP($E112,武器奇术!$A:$R,17,FALSE)="鸣金",VLOOKUP($E112,武器奇术!$A:$R,4,FALSE),VLOOKUP($E112,武器奇术!$A:$R,2,FALSE))*(1+AX112)*(1+AY112)*AZ112</f>
        <v>0</v>
      </c>
      <c r="BH112" s="110">
        <f t="shared" si="54"/>
        <v>0.00928814000000003</v>
      </c>
      <c r="BI112" s="113">
        <f t="shared" si="55"/>
        <v>0</v>
      </c>
      <c r="BJ112" s="108">
        <f>$B$9*IF($G$5="撼天",1.05,1)+IF(AND(VLOOKUP($E112,武器奇术!$A:$R,15,FALSE)="武器",VLOOKUP($E112,武器奇术!$A:$R,17,FALSE)="裂石"),$E$3,0)*(1+$E$15)</f>
        <v>0</v>
      </c>
      <c r="BK112" s="99">
        <f>(BJ112+BL112)*IF(VLOOKUP($E112,武器奇术!$A:$Z,21,FALSE)=1,$G$15,0.5)</f>
        <v>0</v>
      </c>
      <c r="BL112" s="109">
        <f>MAX($C$9*IF($G$5="撼天",1.05,1)+IF(AND(VLOOKUP($E112,武器奇术!$A:$R,15,FALSE)="武器",VLOOKUP($E112,武器奇术!$A:$R,17,FALSE)="裂石"),$E$3*(1+$E$15),0),BJ112)</f>
        <v>0</v>
      </c>
      <c r="BM112" s="110">
        <f>IF(($D$9+IF(VLOOKUP($E112,武器奇术!$A:$R,17,FALSE)="裂石",$D$15,0)+IF(VLOOKUP($E112,武器奇术!$A:$R,18,FALSE)=1,4,0)+IF(VLOOKUP($E112,武器奇术!$A:$S,19,FALSE)=1,20,0)-VLOOKUP($F$7,目标属性!$A:$R,6,FALSE))&gt;0,($D$9+IF(VLOOKUP($E112,武器奇术!$A:$R,17,FALSE)="裂石",$D$15,0)+IF(VLOOKUP($E112,武器奇术!$A:$R,18,FALSE)=1,4,0)+IF(VLOOKUP($E112,武器奇术!$A:$S,19,FALSE)=1,20,0)-VLOOKUP($F$7,目标属性!$A:$R,6,FALSE))/200,($D$9+IF(VLOOKUP($E112,武器奇术!$A:$R,17,FALSE)="裂石",$D$15,0)+IF(VLOOKUP($E112,武器奇术!$A:$R,18,FALSE)=1,4,0)+IF(VLOOKUP($E112,武器奇术!$A:$S,19,FALSE)=1,20,0)-VLOOKUP($F$7,目标属性!$A:$R,6,FALSE))/100)</f>
        <v>-0.24</v>
      </c>
      <c r="BN112" s="111">
        <f t="shared" si="56"/>
        <v>0</v>
      </c>
      <c r="BO112" s="109">
        <v>1</v>
      </c>
      <c r="BP112" s="112">
        <f>BJ112*IF(VLOOKUP($E112,武器奇术!$A:$R,17,FALSE)="裂石",VLOOKUP($E112,武器奇术!$A:$R,4,FALSE),VLOOKUP($E112,武器奇术!$A:$R,2,FALSE))*(1+BM112)*(1+BN112)*BO112</f>
        <v>0</v>
      </c>
      <c r="BQ112" s="110">
        <f>(1-IF(VLOOKUP($E112,武器奇术!$A:$T,20,FALSE)=1,1,$N112))*(1-$M112)</f>
        <v>0.01072666</v>
      </c>
      <c r="BR112" s="112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110">
        <f t="shared" si="57"/>
        <v>0.8813852</v>
      </c>
      <c r="BT112" s="112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110">
        <f t="shared" si="58"/>
        <v>0.0986</v>
      </c>
      <c r="BV112" s="112">
        <f>BK112*IF(VLOOKUP($E112,武器奇术!$A:$R,17,FALSE)="裂石",VLOOKUP($E112,武器奇术!$A:$R,4,FALSE),VLOOKUP($E112,武器奇术!$A:$R,2,FALSE))*(1+BM112)*(1+BN112)*BO112</f>
        <v>0</v>
      </c>
      <c r="BW112" s="110">
        <f t="shared" si="59"/>
        <v>0.00928814000000003</v>
      </c>
      <c r="BX112" s="113">
        <f t="shared" si="60"/>
        <v>0</v>
      </c>
      <c r="BY112" s="108">
        <f>$B$11*IF($G$5="撼天",1.05,1)+IF(AND(VLOOKUP($E112,武器奇术!$A:$R,15,FALSE)="武器",VLOOKUP($E112,武器奇术!$A:$R,17,FALSE)="牵丝"),$E$3,0)*(1+$E$15)</f>
        <v>0</v>
      </c>
      <c r="BZ112" s="99">
        <f>(BY112+CA112)*IF(VLOOKUP($E112,武器奇术!$A:$Z,21,FALSE)=1,$G$15,0.5)</f>
        <v>0</v>
      </c>
      <c r="CA112" s="109">
        <f>MAX($C$11*IF($G$5="撼天",1.05,1)+IF(AND(VLOOKUP($E112,武器奇术!$A:$R,15,FALSE)="武器",VLOOKUP($E112,武器奇术!$A:$R,17,FALSE)="牵丝"),$E$3*(1+$E$15),0),BY112)</f>
        <v>0</v>
      </c>
      <c r="CB112" s="110">
        <f>IF(($D$11+IF(VLOOKUP($E112,武器奇术!$A:$R,17,FALSE)="牵丝",$D$15,0)+IF(VLOOKUP($E112,武器奇术!$A:$R,18,FALSE)=1,4,0)+IF(VLOOKUP($E112,武器奇术!$A:$S,19,FALSE)=1,20,0)-VLOOKUP($F$7,目标属性!$A:$R,6,FALSE))&gt;0,($D$11+IF(VLOOKUP($E112,武器奇术!$A:$R,17,FALSE)="牵丝",$D$15,0)+IF(VLOOKUP($E112,武器奇术!$A:$R,18,FALSE)=1,4,0)+IF(VLOOKUP($E112,武器奇术!$A:$S,19,FALSE)=1,20,0)-VLOOKUP($F$7,目标属性!$A:$R,6,FALSE))/200,($D$11+IF(VLOOKUP($E112,武器奇术!$A:$R,17,FALSE)="牵丝",$D$15,0)+IF(VLOOKUP($E112,武器奇术!$A:$R,18,FALSE)=1,4,0)+IF(VLOOKUP($E112,武器奇术!$A:$S,19,FALSE)=1,20,0)-VLOOKUP($F$7,目标属性!$A:$R,6,FALSE))/100)</f>
        <v>-0.24</v>
      </c>
      <c r="CC112" s="111">
        <f t="shared" si="61"/>
        <v>0</v>
      </c>
      <c r="CD112" s="109">
        <v>1</v>
      </c>
      <c r="CE112" s="112">
        <f>BY112*IF(VLOOKUP($E112,武器奇术!$A:$R,17,FALSE)="牵丝",VLOOKUP($E112,武器奇术!$A:$R,4,FALSE),VLOOKUP($E112,武器奇术!$A:$R,2,FALSE))*(1+CB112)*(1+CC112)*CD112</f>
        <v>0</v>
      </c>
      <c r="CF112" s="110">
        <f>(1-IF(VLOOKUP($E112,武器奇术!$A:$T,20,FALSE)=1,1,$N112))*(1-$M112)</f>
        <v>0.01072666</v>
      </c>
      <c r="CG112" s="112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110">
        <f t="shared" si="62"/>
        <v>0.8813852</v>
      </c>
      <c r="CI112" s="112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110">
        <f t="shared" si="63"/>
        <v>0.0986</v>
      </c>
      <c r="CK112" s="112">
        <f>BZ112*IF(VLOOKUP($E112,武器奇术!$A:$R,17,FALSE)="牵丝",VLOOKUP($E112,武器奇术!$A:$R,4,FALSE),VLOOKUP($E112,武器奇术!$A:$R,2,FALSE))*(1+CB112)*(1+CC112)*CD112</f>
        <v>0</v>
      </c>
      <c r="CL112" s="110">
        <f t="shared" si="64"/>
        <v>0.00928814000000003</v>
      </c>
      <c r="CM112" s="113">
        <f t="shared" si="65"/>
        <v>0</v>
      </c>
      <c r="CN112" s="108">
        <f>$B$13*IF($G$5="撼天",1.05,1)+IF(AND(VLOOKUP($E112,武器奇术!$A:$R,15,FALSE)="武器",VLOOKUP($E112,武器奇术!$A:$R,17,FALSE)="破竹"),$E$3,0)*(1+$E$15)</f>
        <v>452.55</v>
      </c>
      <c r="CO112" s="99">
        <f>(CN112+CP112)*IF(VLOOKUP($E112,武器奇术!$A:$Z,21,FALSE)=1,$G$15,0.5)</f>
        <v>679.35</v>
      </c>
      <c r="CP112" s="109">
        <f>MAX($C$13*IF($G$5="撼天",1.05,1)+IF(AND(VLOOKUP($E112,武器奇术!$A:$R,15,FALSE)="武器",VLOOKUP($E112,武器奇术!$A:$R,17,FALSE)="破竹"),$E$3*(1+$E$15),0),CN112)</f>
        <v>906.15</v>
      </c>
      <c r="CQ112" s="110">
        <f>IF(($D$13+IF(VLOOKUP($E112,武器奇术!$A:$R,17,FALSE)="破竹",$D$15,0)+IF(VLOOKUP($E112,武器奇术!$A:$R,18,FALSE)=1,4,0)+IF(VLOOKUP($E112,武器奇术!$A:$S,19,FALSE)=1,20,0)-VLOOKUP($F$7,目标属性!$A:$R,6,FALSE))&gt;0,($D$13+IF(VLOOKUP($E112,武器奇术!$A:$R,17,FALSE)="破竹",$D$15,0)+IF(VLOOKUP($E112,武器奇术!$A:$R,18,FALSE)=1,4,0)+IF(VLOOKUP($E112,武器奇术!$A:$S,19,FALSE)=1,20,0)-VLOOKUP($F$7,目标属性!$A:$R,6,FALSE))/200,($D$13+IF(VLOOKUP($E112,武器奇术!$A:$R,17,FALSE)="破竹",$D$15,0)+IF(VLOOKUP($E112,武器奇术!$A:$R,18,FALSE)=1,4,0)+IF(VLOOKUP($E112,武器奇术!$A:$S,19,FALSE)=1,20,0)-VLOOKUP($F$7,目标属性!$A:$R,6,FALSE))/100)</f>
        <v>0.025</v>
      </c>
      <c r="CR112" s="111">
        <f>$E$13+IF(VLOOKUP($E112,武器奇术!$A:$U,21,FALSE)=1,0,0.09)</f>
        <v>0.235</v>
      </c>
      <c r="CS112" s="109">
        <v>1</v>
      </c>
      <c r="CT112" s="112">
        <f>CN112*IF(VLOOKUP($E112,武器奇术!$A:$R,17,FALSE)="破竹",VLOOKUP($E112,武器奇术!$A:$R,4,FALSE),VLOOKUP($E112,武器奇术!$A:$R,2,FALSE))*(1+CQ112)*(1+CR112)*CS112</f>
        <v>572.87173125</v>
      </c>
      <c r="CU112" s="110">
        <f>(1-IF(VLOOKUP($E112,武器奇术!$A:$T,20,FALSE)=1,1,$N112))*(1-$M112)</f>
        <v>0.01072666</v>
      </c>
      <c r="CV112" s="112">
        <f>CO112*IF(VLOOKUP($E112,武器奇术!$A:$R,17,FALSE)="破竹",VLOOKUP($E112,武器奇术!$A:$R,4,FALSE),VLOOKUP($E112,武器奇术!$A:$R,2,FALSE))*(1+CQ112)*(1+CR112)*CS112*(1+$E$16+VLOOKUP($E112,武器奇术!$A:$R,8,FALSE))</f>
        <v>1410.35437725</v>
      </c>
      <c r="CW112" s="110">
        <f t="shared" si="66"/>
        <v>0.8813852</v>
      </c>
      <c r="CX112" s="112">
        <f>CP112*IF(VLOOKUP($E112,武器奇术!$A:$R,17,FALSE)="破竹",VLOOKUP($E112,武器奇术!$A:$R,4,FALSE),VLOOKUP($E112,武器奇术!$A:$R,2,FALSE))*(1+CQ112)*(1+CR112)*CS112*(1+$E$17+VLOOKUP($E112,武器奇术!$A:$R,10,FALSE))</f>
        <v>1548.5480521875</v>
      </c>
      <c r="CY112" s="110">
        <f t="shared" si="67"/>
        <v>0.0986</v>
      </c>
      <c r="CZ112" s="112">
        <f>CO112*IF(VLOOKUP($E112,武器奇术!$A:$R,17,FALSE)="破竹",VLOOKUP($E112,武器奇术!$A:$R,4,FALSE),VLOOKUP($E112,武器奇术!$A:$R,2,FALSE))*(1+CQ112)*(1+CR112)*CS112</f>
        <v>859.97218125</v>
      </c>
      <c r="DA112" s="110">
        <f t="shared" si="68"/>
        <v>0.00928814000000003</v>
      </c>
      <c r="DB112" s="113">
        <f t="shared" si="69"/>
        <v>1409.88485510934</v>
      </c>
      <c r="DC112" s="108">
        <f t="shared" si="70"/>
        <v>69.3</v>
      </c>
      <c r="DD112" s="99">
        <f>(DC112+DE112)*IF(VLOOKUP($E112,武器奇术!$A:$Z,21,FALSE)=1,$G$15,0.5)</f>
        <v>69.3</v>
      </c>
      <c r="DE112" s="109">
        <f t="shared" si="71"/>
        <v>69.3</v>
      </c>
      <c r="DF112" s="110">
        <f>IF(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R,18,FALSE)=1,4,0)+IF(VLOOKUP($E112,武器奇术!$A:$S,19,FALSE)=1,20,0)-VLOOKUP($F$7,目标属性!$A:$R,6,FALSE))/100)</f>
        <v>0.025</v>
      </c>
      <c r="DG112" s="111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U,21,FALSE)=1,0,0.09)</f>
        <v>0.235</v>
      </c>
      <c r="DH112" s="109">
        <v>1</v>
      </c>
      <c r="DI112" s="112">
        <f>DC112*IF(VLOOKUP($E112,武器奇术!$A:$R,17,FALSE)="破竹",VLOOKUP($E112,武器奇术!$A:$R,4,FALSE),VLOOKUP($E112,武器奇术!$A:$R,2,FALSE))*(1+DF112)*(1+DG112)*DH112</f>
        <v>87.7251375</v>
      </c>
      <c r="DJ112" s="110">
        <f>(1-IF(VLOOKUP($E112,武器奇术!$A:$T,20,FALSE)=1,1,$N112))*(1-$M112)</f>
        <v>0.01072666</v>
      </c>
      <c r="DK112" s="112">
        <f>DD112*IF(VLOOKUP($E112,武器奇术!$A:$R,17,FALSE)="破竹",VLOOKUP($E112,武器奇术!$A:$R,4,FALSE),VLOOKUP($E112,武器奇术!$A:$R,2,FALSE))*(1+DF112)*(1+DG112)*DH112*(1+$E$16+VLOOKUP($E112,武器奇术!$A:$R,8,FALSE))</f>
        <v>143.8692255</v>
      </c>
      <c r="DL112" s="110">
        <f t="shared" si="72"/>
        <v>0.8813852</v>
      </c>
      <c r="DM112" s="112">
        <f>DE112*IF(VLOOKUP($E112,武器奇术!$A:$R,17,FALSE)="破竹",VLOOKUP($E112,武器奇术!$A:$R,4,FALSE),VLOOKUP($E112,武器奇术!$A:$R,2,FALSE))*(1+DF112)*(1+DG112)*DH112*(1+$E$17+VLOOKUP($E112,武器奇术!$A:$R,10,FALSE))</f>
        <v>118.428935625</v>
      </c>
      <c r="DN112" s="110">
        <f t="shared" si="73"/>
        <v>0.0986</v>
      </c>
      <c r="DO112" s="112">
        <f>DD112*IF(VLOOKUP($E112,武器奇术!$A:$R,17,FALSE)="破竹",VLOOKUP($E112,武器奇术!$A:$R,4,FALSE),VLOOKUP($E112,武器奇术!$A:$R,2,FALSE))*(1+DF112)*(1+DG112)*DH112</f>
        <v>87.7251375</v>
      </c>
      <c r="DP112" s="110">
        <f t="shared" si="74"/>
        <v>0.00928814000000003</v>
      </c>
      <c r="DQ112" s="113">
        <f t="shared" si="75"/>
        <v>140.237100225823</v>
      </c>
    </row>
    <row r="113" spans="1:121">
      <c r="A113" s="148"/>
      <c r="D113" s="148"/>
      <c r="E113" s="98" t="str">
        <f>期望!E113</f>
        <v>易水歌6重</v>
      </c>
      <c r="F113" s="99">
        <f>期望!F113</f>
        <v>2</v>
      </c>
      <c r="G113" s="115"/>
      <c r="H113" s="149">
        <f>IF(VLOOKUP($E113,武器奇术!$A:$R,18,FALSE)="天工",AE113,(AE113+AT113+BI113+BX113+CM113+DB113+DQ113))*(1+J113)*F113*K113*(1+G113)*(1+$G$21*5%)</f>
        <v>31727.933462238</v>
      </c>
      <c r="I113" s="101">
        <f t="shared" si="39"/>
        <v>0.00391722311529998</v>
      </c>
      <c r="J113" s="101">
        <f>$F$3+VLOOKUP($E113,武器奇术!$A:$R,12,FALSE)+VLOOKUP($E113,武器奇术!$A:$R,14,FALSE)*$G$3+$P113</f>
        <v>0.303</v>
      </c>
      <c r="K113" s="102">
        <f>VLOOKUP($E113,武器奇术!$A:$R,11,FALSE)</f>
        <v>1</v>
      </c>
      <c r="L113" s="117">
        <f>IF(VLOOKUP($E113,武器奇术!$A:$R,15,FALSE)="天工",0%,IF($C$17+VLOOKUP($E113,武器奇术!$A:$R,7,FALSE)&gt;80%,80%,$C$17+VLOOKUP($E113,武器奇术!$A:$R,7,FALSE))+IF($C$19&gt;20%,20%,$C$19))</f>
        <v>0.892</v>
      </c>
      <c r="M113" s="118">
        <f>IF(VLOOKUP($E113,武器奇术!$A:$R,15,FALSE)="天工",0%,IF($C$18+VLOOKUP($E113,武器奇术!$A:$R,9,FALSE)&gt;40%,40%,$C$18+VLOOKUP($E113,武器奇术!$A:$R,9,FALSE))+IF($C$20&gt;10%,10%,$C$20))</f>
        <v>0.0986</v>
      </c>
      <c r="N113" s="119">
        <f>IF(VLOOKUP($E113,武器奇术!$A:$R,15,FALSE)="天工",100%,MIN($C$16,1))</f>
        <v>0.9881</v>
      </c>
      <c r="O113" s="120" t="str">
        <f>VLOOKUP($E113,武器奇术!$A:$R,16,FALSE)</f>
        <v>N/A</v>
      </c>
      <c r="P113" s="121">
        <f t="shared" si="76"/>
        <v>0</v>
      </c>
      <c r="Q113" s="108">
        <f>$B$5*(1+VLOOKUP($E113,武器奇术!$A:$R,5,FALSE)+IF($G$5="飞隼",0.1,0)+IF($G$5="撼天",0.05,0))-$F$9+IF($I$5="√",160,0)</f>
        <v>1731.135</v>
      </c>
      <c r="R113" s="99">
        <f>IF(VLOOKUP($E113,武器奇术!$A:$Z,20,FALSE)=1,(S113-(Q113+S113)*0.5)*($G$15-0.5)*2+(Q113+S113)*0.5,(Q113+S113)*0.5)</f>
        <v>3256.775</v>
      </c>
      <c r="S113" s="109">
        <f>MAX($C$5,$B$5)*(1+VLOOKUP($E113,武器奇术!$A:$R,5,FALSE)+IF($G$5="飞隼",0.1,0)+IF($G$5="撼天",0.05,0))-$F$9+IF($I$5="√",320,0)</f>
        <v>4782.415</v>
      </c>
      <c r="T113" s="101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U113" s="111">
        <f>$E$5+IF(VLOOKUP($E113,武器奇术!$A:$U,21,FALSE)=1,0,0.09)</f>
        <v>0.115</v>
      </c>
      <c r="V113" s="109">
        <v>1</v>
      </c>
      <c r="W113" s="112">
        <f>Q113*VLOOKUP($E113,武器奇术!$A:$R,2,FALSE)*(1+T113)*(1+U113)*V113</f>
        <v>2397.32768205</v>
      </c>
      <c r="X113" s="110">
        <f>(1-IF(VLOOKUP($E113,武器奇术!$A:$T,20,FALSE)=1,1,$N113))*(1-$M113)</f>
        <v>0.01072666</v>
      </c>
      <c r="Y113" s="112">
        <f>R113*VLOOKUP($E113,武器奇术!$A:$R,2,FALSE)*(1+T113)*(1+U113)*V113*(1+$E$16+VLOOKUP($E113,武器奇术!$A:$R,8,FALSE))</f>
        <v>7396.53074613</v>
      </c>
      <c r="Z113" s="110">
        <f t="shared" si="40"/>
        <v>0.8813852</v>
      </c>
      <c r="AA113" s="112">
        <f>S113*VLOOKUP($E113,武器奇术!$A:$R,2,FALSE)*(1+T113)*(1+U113)*V113*(1+$E$17+VLOOKUP($E113,武器奇术!$A:$R,10,FALSE))</f>
        <v>8940.8228820075</v>
      </c>
      <c r="AB113" s="110">
        <f t="shared" si="41"/>
        <v>0.0986</v>
      </c>
      <c r="AC113" s="112">
        <f>R113*VLOOKUP($E113,武器奇术!$A:$R,2,FALSE)*(1+T113)*(1+U113)*V113</f>
        <v>4510.07972325</v>
      </c>
      <c r="AD113" s="110">
        <f t="shared" si="42"/>
        <v>0.00928814000000003</v>
      </c>
      <c r="AE113" s="113">
        <f t="shared" si="43"/>
        <v>7468.36343798453</v>
      </c>
      <c r="AF113" s="114">
        <f>VLOOKUP($E113,武器奇术!$A:$R,3,FALSE)*(1+IF(VLOOKUP($E113,武器奇术!$A:$R,15,FALSE)="武器",$E$15,0))</f>
        <v>0</v>
      </c>
      <c r="AG113" s="112">
        <f t="shared" si="44"/>
        <v>0</v>
      </c>
      <c r="AH113" s="112">
        <f>VLOOKUP($E113,武器奇术!$A:$R,3,FALSE)*(1+IF(VLOOKUP($E113,武器奇术!$A:$R,15,FALSE)="武器",$E$15,0))</f>
        <v>0</v>
      </c>
      <c r="AI113" s="101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0.242</v>
      </c>
      <c r="AJ113" s="111">
        <f>$E$5+IF(VLOOKUP($E113,武器奇术!$A:$U,21,FALSE)=1,0,0.09)</f>
        <v>0.115</v>
      </c>
      <c r="AK113" s="109">
        <v>1</v>
      </c>
      <c r="AL113" s="112">
        <f t="shared" si="45"/>
        <v>0</v>
      </c>
      <c r="AM113" s="110">
        <f>(1-IF(VLOOKUP($E113,武器奇术!$A:$T,20,FALSE)=1,1,$N113))*(1-$M113)</f>
        <v>0.01072666</v>
      </c>
      <c r="AN113" s="112">
        <f>AG113*(1+AI113)*(1+AJ113)*AK113*(1+$E$16+VLOOKUP($E113,武器奇术!$A:$R,8,FALSE))</f>
        <v>0</v>
      </c>
      <c r="AO113" s="110">
        <f t="shared" si="46"/>
        <v>0.8813852</v>
      </c>
      <c r="AP113" s="112">
        <f>AH113*(1+AI113)*(1+AJ113)*AK113*(1+$E$17+VLOOKUP($E113,武器奇术!$A:$R,10,FALSE))</f>
        <v>0</v>
      </c>
      <c r="AQ113" s="110">
        <f t="shared" si="47"/>
        <v>0.0986</v>
      </c>
      <c r="AR113" s="112">
        <f t="shared" si="48"/>
        <v>0</v>
      </c>
      <c r="AS113" s="110">
        <f t="shared" si="49"/>
        <v>0.00928814000000003</v>
      </c>
      <c r="AT113" s="113">
        <f t="shared" si="50"/>
        <v>0</v>
      </c>
      <c r="AU113" s="108">
        <f>$B$7*IF($G$5="撼天",1.05,1)+IF(AND(VLOOKUP($E113,武器奇术!$A:$R,15,FALSE)="武器",VLOOKUP($E113,武器奇术!$A:$R,17,FALSE)="鸣金"),$E$3,0)*(1+$E$15)</f>
        <v>0</v>
      </c>
      <c r="AV113" s="99">
        <f>(AU113+AW113)*IF(VLOOKUP($E113,武器奇术!$A:$Z,21,FALSE)=1,$G$15,0.5)</f>
        <v>0</v>
      </c>
      <c r="AW113" s="109">
        <f>MAX($C$7*IF($G$5="撼天",1.05,1)+IF(AND(VLOOKUP($E113,武器奇术!$A:$R,15,FALSE)="武器",VLOOKUP($E113,武器奇术!$A:$R,17,FALSE)="鸣金"),$E$3*(1+$E$15),0),AU113)</f>
        <v>0</v>
      </c>
      <c r="AX113" s="110">
        <f>IF(($D$7+IF(VLOOKUP($E113,武器奇术!$A:$R,17,FALSE)="鸣金",$D$15,0)+IF(VLOOKUP($E113,武器奇术!$A:$R,18,FALSE)=1,4,0)+IF(VLOOKUP($E113,武器奇术!$A:$S,19,FALSE)=1,20,0)-VLOOKUP($F$7,目标属性!$A:$R,6,FALSE))&gt;0,($D$7+IF(VLOOKUP($E113,武器奇术!$A:$R,17,FALSE)="鸣金",$D$15,0)+IF(VLOOKUP($E113,武器奇术!$A:$R,18,FALSE)=1,4,0)+IF(VLOOKUP($E113,武器奇术!$A:$S,19,FALSE)=1,20,0)-VLOOKUP($F$7,目标属性!$A:$R,6,FALSE))/200,($D$7+IF(VLOOKUP($E113,武器奇术!$A:$R,17,FALSE)="鸣金",$D$15,0)+IF(VLOOKUP($E113,武器奇术!$A:$R,18,FALSE)=1,4,0)+IF(VLOOKUP($E113,武器奇术!$A:$S,19,FALSE)=1,20,0)-VLOOKUP($F$7,目标属性!$A:$R,6,FALSE))/100)</f>
        <v>-0.24</v>
      </c>
      <c r="AY113" s="111">
        <f t="shared" si="51"/>
        <v>0</v>
      </c>
      <c r="AZ113" s="109">
        <v>1</v>
      </c>
      <c r="BA113" s="112">
        <f>AU113*IF(VLOOKUP($E113,武器奇术!$A:$R,17,FALSE)="鸣金",VLOOKUP($E113,武器奇术!$A:$R,4,FALSE),VLOOKUP($E113,武器奇术!$A:$R,2,FALSE))*(1+AX113)*(1+AY113)*AZ113</f>
        <v>0</v>
      </c>
      <c r="BB113" s="110">
        <f>(1-IF(VLOOKUP($E113,武器奇术!$A:$T,20,FALSE)=1,1,$N113))*(1-$M113)</f>
        <v>0.01072666</v>
      </c>
      <c r="BC113" s="112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110">
        <f t="shared" si="52"/>
        <v>0.8813852</v>
      </c>
      <c r="BE113" s="112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110">
        <f t="shared" si="53"/>
        <v>0.0986</v>
      </c>
      <c r="BG113" s="112">
        <f>AV113*IF(VLOOKUP($E113,武器奇术!$A:$R,17,FALSE)="鸣金",VLOOKUP($E113,武器奇术!$A:$R,4,FALSE),VLOOKUP($E113,武器奇术!$A:$R,2,FALSE))*(1+AX113)*(1+AY113)*AZ113</f>
        <v>0</v>
      </c>
      <c r="BH113" s="110">
        <f t="shared" si="54"/>
        <v>0.00928814000000003</v>
      </c>
      <c r="BI113" s="113">
        <f t="shared" si="55"/>
        <v>0</v>
      </c>
      <c r="BJ113" s="108">
        <f>$B$9*IF($G$5="撼天",1.05,1)+IF(AND(VLOOKUP($E113,武器奇术!$A:$R,15,FALSE)="武器",VLOOKUP($E113,武器奇术!$A:$R,17,FALSE)="裂石"),$E$3,0)*(1+$E$15)</f>
        <v>0</v>
      </c>
      <c r="BK113" s="99">
        <f>(BJ113+BL113)*IF(VLOOKUP($E113,武器奇术!$A:$Z,21,FALSE)=1,$G$15,0.5)</f>
        <v>0</v>
      </c>
      <c r="BL113" s="109">
        <f>MAX($C$9*IF($G$5="撼天",1.05,1)+IF(AND(VLOOKUP($E113,武器奇术!$A:$R,15,FALSE)="武器",VLOOKUP($E113,武器奇术!$A:$R,17,FALSE)="裂石"),$E$3*(1+$E$15),0),BJ113)</f>
        <v>0</v>
      </c>
      <c r="BM113" s="110">
        <f>IF(($D$9+IF(VLOOKUP($E113,武器奇术!$A:$R,17,FALSE)="裂石",$D$15,0)+IF(VLOOKUP($E113,武器奇术!$A:$R,18,FALSE)=1,4,0)+IF(VLOOKUP($E113,武器奇术!$A:$S,19,FALSE)=1,20,0)-VLOOKUP($F$7,目标属性!$A:$R,6,FALSE))&gt;0,($D$9+IF(VLOOKUP($E113,武器奇术!$A:$R,17,FALSE)="裂石",$D$15,0)+IF(VLOOKUP($E113,武器奇术!$A:$R,18,FALSE)=1,4,0)+IF(VLOOKUP($E113,武器奇术!$A:$S,19,FALSE)=1,20,0)-VLOOKUP($F$7,目标属性!$A:$R,6,FALSE))/200,($D$9+IF(VLOOKUP($E113,武器奇术!$A:$R,17,FALSE)="裂石",$D$15,0)+IF(VLOOKUP($E113,武器奇术!$A:$R,18,FALSE)=1,4,0)+IF(VLOOKUP($E113,武器奇术!$A:$S,19,FALSE)=1,20,0)-VLOOKUP($F$7,目标属性!$A:$R,6,FALSE))/100)</f>
        <v>-0.24</v>
      </c>
      <c r="BN113" s="111">
        <f t="shared" si="56"/>
        <v>0</v>
      </c>
      <c r="BO113" s="109">
        <v>1</v>
      </c>
      <c r="BP113" s="112">
        <f>BJ113*IF(VLOOKUP($E113,武器奇术!$A:$R,17,FALSE)="裂石",VLOOKUP($E113,武器奇术!$A:$R,4,FALSE),VLOOKUP($E113,武器奇术!$A:$R,2,FALSE))*(1+BM113)*(1+BN113)*BO113</f>
        <v>0</v>
      </c>
      <c r="BQ113" s="110">
        <f>(1-IF(VLOOKUP($E113,武器奇术!$A:$T,20,FALSE)=1,1,$N113))*(1-$M113)</f>
        <v>0.01072666</v>
      </c>
      <c r="BR113" s="112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110">
        <f t="shared" si="57"/>
        <v>0.8813852</v>
      </c>
      <c r="BT113" s="112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110">
        <f t="shared" si="58"/>
        <v>0.0986</v>
      </c>
      <c r="BV113" s="112">
        <f>BK113*IF(VLOOKUP($E113,武器奇术!$A:$R,17,FALSE)="裂石",VLOOKUP($E113,武器奇术!$A:$R,4,FALSE),VLOOKUP($E113,武器奇术!$A:$R,2,FALSE))*(1+BM113)*(1+BN113)*BO113</f>
        <v>0</v>
      </c>
      <c r="BW113" s="110">
        <f t="shared" si="59"/>
        <v>0.00928814000000003</v>
      </c>
      <c r="BX113" s="113">
        <f t="shared" si="60"/>
        <v>0</v>
      </c>
      <c r="BY113" s="108">
        <f>$B$11*IF($G$5="撼天",1.05,1)+IF(AND(VLOOKUP($E113,武器奇术!$A:$R,15,FALSE)="武器",VLOOKUP($E113,武器奇术!$A:$R,17,FALSE)="牵丝"),$E$3,0)*(1+$E$15)</f>
        <v>0</v>
      </c>
      <c r="BZ113" s="99">
        <f>(BY113+CA113)*IF(VLOOKUP($E113,武器奇术!$A:$Z,21,FALSE)=1,$G$15,0.5)</f>
        <v>0</v>
      </c>
      <c r="CA113" s="109">
        <f>MAX($C$11*IF($G$5="撼天",1.05,1)+IF(AND(VLOOKUP($E113,武器奇术!$A:$R,15,FALSE)="武器",VLOOKUP($E113,武器奇术!$A:$R,17,FALSE)="牵丝"),$E$3*(1+$E$15),0),BY113)</f>
        <v>0</v>
      </c>
      <c r="CB113" s="110">
        <f>IF(($D$11+IF(VLOOKUP($E113,武器奇术!$A:$R,17,FALSE)="牵丝",$D$15,0)+IF(VLOOKUP($E113,武器奇术!$A:$R,18,FALSE)=1,4,0)+IF(VLOOKUP($E113,武器奇术!$A:$S,19,FALSE)=1,20,0)-VLOOKUP($F$7,目标属性!$A:$R,6,FALSE))&gt;0,($D$11+IF(VLOOKUP($E113,武器奇术!$A:$R,17,FALSE)="牵丝",$D$15,0)+IF(VLOOKUP($E113,武器奇术!$A:$R,18,FALSE)=1,4,0)+IF(VLOOKUP($E113,武器奇术!$A:$S,19,FALSE)=1,20,0)-VLOOKUP($F$7,目标属性!$A:$R,6,FALSE))/200,($D$11+IF(VLOOKUP($E113,武器奇术!$A:$R,17,FALSE)="牵丝",$D$15,0)+IF(VLOOKUP($E113,武器奇术!$A:$R,18,FALSE)=1,4,0)+IF(VLOOKUP($E113,武器奇术!$A:$S,19,FALSE)=1,20,0)-VLOOKUP($F$7,目标属性!$A:$R,6,FALSE))/100)</f>
        <v>-0.24</v>
      </c>
      <c r="CC113" s="111">
        <f t="shared" si="61"/>
        <v>0</v>
      </c>
      <c r="CD113" s="109">
        <v>1</v>
      </c>
      <c r="CE113" s="112">
        <f>BY113*IF(VLOOKUP($E113,武器奇术!$A:$R,17,FALSE)="牵丝",VLOOKUP($E113,武器奇术!$A:$R,4,FALSE),VLOOKUP($E113,武器奇术!$A:$R,2,FALSE))*(1+CB113)*(1+CC113)*CD113</f>
        <v>0</v>
      </c>
      <c r="CF113" s="110">
        <f>(1-IF(VLOOKUP($E113,武器奇术!$A:$T,20,FALSE)=1,1,$N113))*(1-$M113)</f>
        <v>0.01072666</v>
      </c>
      <c r="CG113" s="112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110">
        <f t="shared" si="62"/>
        <v>0.8813852</v>
      </c>
      <c r="CI113" s="112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110">
        <f t="shared" si="63"/>
        <v>0.0986</v>
      </c>
      <c r="CK113" s="112">
        <f>BZ113*IF(VLOOKUP($E113,武器奇术!$A:$R,17,FALSE)="牵丝",VLOOKUP($E113,武器奇术!$A:$R,4,FALSE),VLOOKUP($E113,武器奇术!$A:$R,2,FALSE))*(1+CB113)*(1+CC113)*CD113</f>
        <v>0</v>
      </c>
      <c r="CL113" s="110">
        <f t="shared" si="64"/>
        <v>0.00928814000000003</v>
      </c>
      <c r="CM113" s="113">
        <f t="shared" si="65"/>
        <v>0</v>
      </c>
      <c r="CN113" s="108">
        <f>$B$13*IF($G$5="撼天",1.05,1)+IF(AND(VLOOKUP($E113,武器奇术!$A:$R,15,FALSE)="武器",VLOOKUP($E113,武器奇术!$A:$R,17,FALSE)="破竹"),$E$3,0)*(1+$E$15)</f>
        <v>452.55</v>
      </c>
      <c r="CO113" s="99">
        <f>(CN113+CP113)*IF(VLOOKUP($E113,武器奇术!$A:$Z,21,FALSE)=1,$G$15,0.5)</f>
        <v>679.35</v>
      </c>
      <c r="CP113" s="109">
        <f>MAX($C$13*IF($G$5="撼天",1.05,1)+IF(AND(VLOOKUP($E113,武器奇术!$A:$R,15,FALSE)="武器",VLOOKUP($E113,武器奇术!$A:$R,17,FALSE)="破竹"),$E$3*(1+$E$15),0),CN113)</f>
        <v>906.15</v>
      </c>
      <c r="CQ113" s="110">
        <f>IF(($D$13+IF(VLOOKUP($E113,武器奇术!$A:$R,17,FALSE)="破竹",$D$15,0)+IF(VLOOKUP($E113,武器奇术!$A:$R,18,FALSE)=1,4,0)+IF(VLOOKUP($E113,武器奇术!$A:$S,19,FALSE)=1,20,0)-VLOOKUP($F$7,目标属性!$A:$R,6,FALSE))&gt;0,($D$13+IF(VLOOKUP($E113,武器奇术!$A:$R,17,FALSE)="破竹",$D$15,0)+IF(VLOOKUP($E113,武器奇术!$A:$R,18,FALSE)=1,4,0)+IF(VLOOKUP($E113,武器奇术!$A:$S,19,FALSE)=1,20,0)-VLOOKUP($F$7,目标属性!$A:$R,6,FALSE))/200,($D$13+IF(VLOOKUP($E113,武器奇术!$A:$R,17,FALSE)="破竹",$D$15,0)+IF(VLOOKUP($E113,武器奇术!$A:$R,18,FALSE)=1,4,0)+IF(VLOOKUP($E113,武器奇术!$A:$S,19,FALSE)=1,20,0)-VLOOKUP($F$7,目标属性!$A:$R,6,FALSE))/100)</f>
        <v>0.025</v>
      </c>
      <c r="CR113" s="111">
        <f>$E$13+IF(VLOOKUP($E113,武器奇术!$A:$U,21,FALSE)=1,0,0.09)</f>
        <v>0.235</v>
      </c>
      <c r="CS113" s="109">
        <v>1</v>
      </c>
      <c r="CT113" s="112">
        <f>CN113*IF(VLOOKUP($E113,武器奇术!$A:$R,17,FALSE)="破竹",VLOOKUP($E113,武器奇术!$A:$R,4,FALSE),VLOOKUP($E113,武器奇术!$A:$R,2,FALSE))*(1+CQ113)*(1+CR113)*CS113</f>
        <v>572.87173125</v>
      </c>
      <c r="CU113" s="110">
        <f>(1-IF(VLOOKUP($E113,武器奇术!$A:$T,20,FALSE)=1,1,$N113))*(1-$M113)</f>
        <v>0.01072666</v>
      </c>
      <c r="CV113" s="112">
        <f>CO113*IF(VLOOKUP($E113,武器奇术!$A:$R,17,FALSE)="破竹",VLOOKUP($E113,武器奇术!$A:$R,4,FALSE),VLOOKUP($E113,武器奇术!$A:$R,2,FALSE))*(1+CQ113)*(1+CR113)*CS113*(1+$E$16+VLOOKUP($E113,武器奇术!$A:$R,8,FALSE))</f>
        <v>1410.35437725</v>
      </c>
      <c r="CW113" s="110">
        <f t="shared" si="66"/>
        <v>0.8813852</v>
      </c>
      <c r="CX113" s="112">
        <f>CP113*IF(VLOOKUP($E113,武器奇术!$A:$R,17,FALSE)="破竹",VLOOKUP($E113,武器奇术!$A:$R,4,FALSE),VLOOKUP($E113,武器奇术!$A:$R,2,FALSE))*(1+CQ113)*(1+CR113)*CS113*(1+$E$17+VLOOKUP($E113,武器奇术!$A:$R,10,FALSE))</f>
        <v>1548.5480521875</v>
      </c>
      <c r="CY113" s="110">
        <f t="shared" si="67"/>
        <v>0.0986</v>
      </c>
      <c r="CZ113" s="112">
        <f>CO113*IF(VLOOKUP($E113,武器奇术!$A:$R,17,FALSE)="破竹",VLOOKUP($E113,武器奇术!$A:$R,4,FALSE),VLOOKUP($E113,武器奇术!$A:$R,2,FALSE))*(1+CQ113)*(1+CR113)*CS113</f>
        <v>859.97218125</v>
      </c>
      <c r="DA113" s="110">
        <f t="shared" si="68"/>
        <v>0.00928814000000003</v>
      </c>
      <c r="DB113" s="113">
        <f t="shared" si="69"/>
        <v>1409.88485510934</v>
      </c>
      <c r="DC113" s="108">
        <f t="shared" si="70"/>
        <v>69.3</v>
      </c>
      <c r="DD113" s="99">
        <f>(DC113+DE113)*IF(VLOOKUP($E113,武器奇术!$A:$Z,21,FALSE)=1,$G$15,0.5)</f>
        <v>69.3</v>
      </c>
      <c r="DE113" s="109">
        <f t="shared" si="71"/>
        <v>69.3</v>
      </c>
      <c r="DF113" s="110">
        <f>IF(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R,18,FALSE)=1,4,0)+IF(VLOOKUP($E113,武器奇术!$A:$S,19,FALSE)=1,20,0)-VLOOKUP($F$7,目标属性!$A:$R,6,FALSE))/100)</f>
        <v>0.025</v>
      </c>
      <c r="DG113" s="111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U,21,FALSE)=1,0,0.09)</f>
        <v>0.235</v>
      </c>
      <c r="DH113" s="109">
        <v>1</v>
      </c>
      <c r="DI113" s="112">
        <f>DC113*IF(VLOOKUP($E113,武器奇术!$A:$R,17,FALSE)="破竹",VLOOKUP($E113,武器奇术!$A:$R,4,FALSE),VLOOKUP($E113,武器奇术!$A:$R,2,FALSE))*(1+DF113)*(1+DG113)*DH113</f>
        <v>87.7251375</v>
      </c>
      <c r="DJ113" s="110">
        <f>(1-IF(VLOOKUP($E113,武器奇术!$A:$T,20,FALSE)=1,1,$N113))*(1-$M113)</f>
        <v>0.01072666</v>
      </c>
      <c r="DK113" s="112">
        <f>DD113*IF(VLOOKUP($E113,武器奇术!$A:$R,17,FALSE)="破竹",VLOOKUP($E113,武器奇术!$A:$R,4,FALSE),VLOOKUP($E113,武器奇术!$A:$R,2,FALSE))*(1+DF113)*(1+DG113)*DH113*(1+$E$16+VLOOKUP($E113,武器奇术!$A:$R,8,FALSE))</f>
        <v>143.8692255</v>
      </c>
      <c r="DL113" s="110">
        <f t="shared" si="72"/>
        <v>0.8813852</v>
      </c>
      <c r="DM113" s="112">
        <f>DE113*IF(VLOOKUP($E113,武器奇术!$A:$R,17,FALSE)="破竹",VLOOKUP($E113,武器奇术!$A:$R,4,FALSE),VLOOKUP($E113,武器奇术!$A:$R,2,FALSE))*(1+DF113)*(1+DG113)*DH113*(1+$E$17+VLOOKUP($E113,武器奇术!$A:$R,10,FALSE))</f>
        <v>118.428935625</v>
      </c>
      <c r="DN113" s="110">
        <f t="shared" si="73"/>
        <v>0.0986</v>
      </c>
      <c r="DO113" s="112">
        <f>DD113*IF(VLOOKUP($E113,武器奇术!$A:$R,17,FALSE)="破竹",VLOOKUP($E113,武器奇术!$A:$R,4,FALSE),VLOOKUP($E113,武器奇术!$A:$R,2,FALSE))*(1+DF113)*(1+DG113)*DH113</f>
        <v>87.7251375</v>
      </c>
      <c r="DP113" s="110">
        <f t="shared" si="74"/>
        <v>0.00928814000000003</v>
      </c>
      <c r="DQ113" s="113">
        <f t="shared" si="75"/>
        <v>140.237100225823</v>
      </c>
    </row>
    <row r="114" spans="1:121">
      <c r="A114" s="148"/>
      <c r="C114" s="147"/>
      <c r="E114" s="98" t="str">
        <f>期望!E114</f>
        <v>易水歌6重(气竭)</v>
      </c>
      <c r="F114" s="99">
        <f>期望!F114</f>
        <v>1</v>
      </c>
      <c r="G114" s="115"/>
      <c r="H114" s="149">
        <f>IF(VLOOKUP($E114,武器奇术!$A:$R,18,FALSE)="天工",AE114,(AE114+AT114+BI114+BX114+CM114+DB114+DQ114))*(1+J114)*F114*K114*(1+G114)*(1+$G$21*5%)</f>
        <v>17081.4622592172</v>
      </c>
      <c r="I114" s="101">
        <f t="shared" si="39"/>
        <v>0.00210892710313349</v>
      </c>
      <c r="J114" s="101">
        <f>$F$3+VLOOKUP($E114,武器奇术!$A:$R,12,FALSE)+VLOOKUP($E114,武器奇术!$A:$R,14,FALSE)*$G$3+$P114</f>
        <v>0.403</v>
      </c>
      <c r="K114" s="102">
        <f>VLOOKUP($E114,武器奇术!$A:$R,11,FALSE)</f>
        <v>1</v>
      </c>
      <c r="L114" s="117">
        <f>IF(VLOOKUP($E114,武器奇术!$A:$R,15,FALSE)="天工",0%,IF($C$17+VLOOKUP($E114,武器奇术!$A:$R,7,FALSE)&gt;80%,80%,$C$17+VLOOKUP($E114,武器奇术!$A:$R,7,FALSE))+IF($C$19&gt;20%,20%,$C$19))</f>
        <v>0.892</v>
      </c>
      <c r="M114" s="118">
        <f>IF(VLOOKUP($E114,武器奇术!$A:$R,15,FALSE)="天工",0%,IF($C$18+VLOOKUP($E114,武器奇术!$A:$R,9,FALSE)&gt;40%,40%,$C$18+VLOOKUP($E114,武器奇术!$A:$R,9,FALSE))+IF($C$20&gt;10%,10%,$C$20))</f>
        <v>0.0986</v>
      </c>
      <c r="N114" s="119">
        <f>IF(VLOOKUP($E114,武器奇术!$A:$R,15,FALSE)="天工",100%,MIN($C$16,1))</f>
        <v>0.9881</v>
      </c>
      <c r="O114" s="120" t="str">
        <f>VLOOKUP($E114,武器奇术!$A:$R,16,FALSE)</f>
        <v>N/A</v>
      </c>
      <c r="P114" s="121">
        <f t="shared" si="76"/>
        <v>0</v>
      </c>
      <c r="Q114" s="108">
        <f>$B$5*(1+VLOOKUP($E114,武器奇术!$A:$R,5,FALSE)+IF($G$5="飞隼",0.1,0)+IF($G$5="撼天",0.05,0))-$F$9+IF($I$5="√",160,0)</f>
        <v>1731.135</v>
      </c>
      <c r="R114" s="99">
        <f>IF(VLOOKUP($E114,武器奇术!$A:$Z,20,FALSE)=1,(S114-(Q114+S114)*0.5)*($G$15-0.5)*2+(Q114+S114)*0.5,(Q114+S114)*0.5)</f>
        <v>3256.775</v>
      </c>
      <c r="S114" s="109">
        <f>MAX($C$5,$B$5)*(1+VLOOKUP($E114,武器奇术!$A:$R,5,FALSE)+IF($G$5="飞隼",0.1,0)+IF($G$5="撼天",0.05,0))-$F$9+IF($I$5="√",320,0)</f>
        <v>4782.415</v>
      </c>
      <c r="T114" s="101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U114" s="111">
        <f>$E$5+IF(VLOOKUP($E114,武器奇术!$A:$U,21,FALSE)=1,0,0.09)</f>
        <v>0.115</v>
      </c>
      <c r="V114" s="109">
        <v>1</v>
      </c>
      <c r="W114" s="112">
        <f>Q114*VLOOKUP($E114,武器奇术!$A:$R,2,FALSE)*(1+T114)*(1+U114)*V114</f>
        <v>2397.32768205</v>
      </c>
      <c r="X114" s="110">
        <f>(1-IF(VLOOKUP($E114,武器奇术!$A:$T,20,FALSE)=1,1,$N114))*(1-$M114)</f>
        <v>0.01072666</v>
      </c>
      <c r="Y114" s="112">
        <f>R114*VLOOKUP($E114,武器奇术!$A:$R,2,FALSE)*(1+T114)*(1+U114)*V114*(1+$E$16+VLOOKUP($E114,武器奇术!$A:$R,8,FALSE))</f>
        <v>7396.53074613</v>
      </c>
      <c r="Z114" s="110">
        <f t="shared" si="40"/>
        <v>0.8813852</v>
      </c>
      <c r="AA114" s="112">
        <f>S114*VLOOKUP($E114,武器奇术!$A:$R,2,FALSE)*(1+T114)*(1+U114)*V114*(1+$E$17+VLOOKUP($E114,武器奇术!$A:$R,10,FALSE))</f>
        <v>8940.8228820075</v>
      </c>
      <c r="AB114" s="110">
        <f t="shared" si="41"/>
        <v>0.0986</v>
      </c>
      <c r="AC114" s="112">
        <f>R114*VLOOKUP($E114,武器奇术!$A:$R,2,FALSE)*(1+T114)*(1+U114)*V114</f>
        <v>4510.07972325</v>
      </c>
      <c r="AD114" s="110">
        <f t="shared" si="42"/>
        <v>0.00928814000000003</v>
      </c>
      <c r="AE114" s="113">
        <f t="shared" si="43"/>
        <v>7468.36343798453</v>
      </c>
      <c r="AF114" s="114">
        <f>VLOOKUP($E114,武器奇术!$A:$R,3,FALSE)*(1+IF(VLOOKUP($E114,武器奇术!$A:$R,15,FALSE)="武器",$E$15,0))</f>
        <v>0</v>
      </c>
      <c r="AG114" s="112">
        <f t="shared" si="44"/>
        <v>0</v>
      </c>
      <c r="AH114" s="112">
        <f>VLOOKUP($E114,武器奇术!$A:$R,3,FALSE)*(1+IF(VLOOKUP($E114,武器奇术!$A:$R,15,FALSE)="武器",$E$15,0))</f>
        <v>0</v>
      </c>
      <c r="AI114" s="101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0.242</v>
      </c>
      <c r="AJ114" s="111">
        <f>$E$5+IF(VLOOKUP($E114,武器奇术!$A:$U,21,FALSE)=1,0,0.09)</f>
        <v>0.115</v>
      </c>
      <c r="AK114" s="109">
        <v>1</v>
      </c>
      <c r="AL114" s="112">
        <f t="shared" si="45"/>
        <v>0</v>
      </c>
      <c r="AM114" s="110">
        <f>(1-IF(VLOOKUP($E114,武器奇术!$A:$T,20,FALSE)=1,1,$N114))*(1-$M114)</f>
        <v>0.01072666</v>
      </c>
      <c r="AN114" s="112">
        <f>AG114*(1+AI114)*(1+AJ114)*AK114*(1+$E$16+VLOOKUP($E114,武器奇术!$A:$R,8,FALSE))</f>
        <v>0</v>
      </c>
      <c r="AO114" s="110">
        <f t="shared" si="46"/>
        <v>0.8813852</v>
      </c>
      <c r="AP114" s="112">
        <f>AH114*(1+AI114)*(1+AJ114)*AK114*(1+$E$17+VLOOKUP($E114,武器奇术!$A:$R,10,FALSE))</f>
        <v>0</v>
      </c>
      <c r="AQ114" s="110">
        <f t="shared" si="47"/>
        <v>0.0986</v>
      </c>
      <c r="AR114" s="112">
        <f t="shared" si="48"/>
        <v>0</v>
      </c>
      <c r="AS114" s="110">
        <f t="shared" si="49"/>
        <v>0.00928814000000003</v>
      </c>
      <c r="AT114" s="113">
        <f t="shared" si="50"/>
        <v>0</v>
      </c>
      <c r="AU114" s="108">
        <f>$B$7*IF($G$5="撼天",1.05,1)+IF(AND(VLOOKUP($E114,武器奇术!$A:$R,15,FALSE)="武器",VLOOKUP($E114,武器奇术!$A:$R,17,FALSE)="鸣金"),$E$3,0)*(1+$E$15)</f>
        <v>0</v>
      </c>
      <c r="AV114" s="99">
        <f>(AU114+AW114)*IF(VLOOKUP($E114,武器奇术!$A:$Z,21,FALSE)=1,$G$15,0.5)</f>
        <v>0</v>
      </c>
      <c r="AW114" s="109">
        <f>MAX($C$7*IF($G$5="撼天",1.05,1)+IF(AND(VLOOKUP($E114,武器奇术!$A:$R,15,FALSE)="武器",VLOOKUP($E114,武器奇术!$A:$R,17,FALSE)="鸣金"),$E$3*(1+$E$15),0),AU114)</f>
        <v>0</v>
      </c>
      <c r="AX114" s="110">
        <f>IF(($D$7+IF(VLOOKUP($E114,武器奇术!$A:$R,17,FALSE)="鸣金",$D$15,0)+IF(VLOOKUP($E114,武器奇术!$A:$R,18,FALSE)=1,4,0)+IF(VLOOKUP($E114,武器奇术!$A:$S,19,FALSE)=1,20,0)-VLOOKUP($F$7,目标属性!$A:$R,6,FALSE))&gt;0,($D$7+IF(VLOOKUP($E114,武器奇术!$A:$R,17,FALSE)="鸣金",$D$15,0)+IF(VLOOKUP($E114,武器奇术!$A:$R,18,FALSE)=1,4,0)+IF(VLOOKUP($E114,武器奇术!$A:$S,19,FALSE)=1,20,0)-VLOOKUP($F$7,目标属性!$A:$R,6,FALSE))/200,($D$7+IF(VLOOKUP($E114,武器奇术!$A:$R,17,FALSE)="鸣金",$D$15,0)+IF(VLOOKUP($E114,武器奇术!$A:$R,18,FALSE)=1,4,0)+IF(VLOOKUP($E114,武器奇术!$A:$S,19,FALSE)=1,20,0)-VLOOKUP($F$7,目标属性!$A:$R,6,FALSE))/100)</f>
        <v>-0.24</v>
      </c>
      <c r="AY114" s="111">
        <f t="shared" si="51"/>
        <v>0</v>
      </c>
      <c r="AZ114" s="109">
        <v>1</v>
      </c>
      <c r="BA114" s="112">
        <f>AU114*IF(VLOOKUP($E114,武器奇术!$A:$R,17,FALSE)="鸣金",VLOOKUP($E114,武器奇术!$A:$R,4,FALSE),VLOOKUP($E114,武器奇术!$A:$R,2,FALSE))*(1+AX114)*(1+AY114)*AZ114</f>
        <v>0</v>
      </c>
      <c r="BB114" s="110">
        <f>(1-IF(VLOOKUP($E114,武器奇术!$A:$T,20,FALSE)=1,1,$N114))*(1-$M114)</f>
        <v>0.01072666</v>
      </c>
      <c r="BC114" s="112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110">
        <f t="shared" si="52"/>
        <v>0.8813852</v>
      </c>
      <c r="BE114" s="112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110">
        <f t="shared" si="53"/>
        <v>0.0986</v>
      </c>
      <c r="BG114" s="112">
        <f>AV114*IF(VLOOKUP($E114,武器奇术!$A:$R,17,FALSE)="鸣金",VLOOKUP($E114,武器奇术!$A:$R,4,FALSE),VLOOKUP($E114,武器奇术!$A:$R,2,FALSE))*(1+AX114)*(1+AY114)*AZ114</f>
        <v>0</v>
      </c>
      <c r="BH114" s="110">
        <f t="shared" si="54"/>
        <v>0.00928814000000003</v>
      </c>
      <c r="BI114" s="113">
        <f t="shared" si="55"/>
        <v>0</v>
      </c>
      <c r="BJ114" s="108">
        <f>$B$9*IF($G$5="撼天",1.05,1)+IF(AND(VLOOKUP($E114,武器奇术!$A:$R,15,FALSE)="武器",VLOOKUP($E114,武器奇术!$A:$R,17,FALSE)="裂石"),$E$3,0)*(1+$E$15)</f>
        <v>0</v>
      </c>
      <c r="BK114" s="99">
        <f>(BJ114+BL114)*IF(VLOOKUP($E114,武器奇术!$A:$Z,21,FALSE)=1,$G$15,0.5)</f>
        <v>0</v>
      </c>
      <c r="BL114" s="109">
        <f>MAX($C$9*IF($G$5="撼天",1.05,1)+IF(AND(VLOOKUP($E114,武器奇术!$A:$R,15,FALSE)="武器",VLOOKUP($E114,武器奇术!$A:$R,17,FALSE)="裂石"),$E$3*(1+$E$15),0),BJ114)</f>
        <v>0</v>
      </c>
      <c r="BM114" s="110">
        <f>IF(($D$9+IF(VLOOKUP($E114,武器奇术!$A:$R,17,FALSE)="裂石",$D$15,0)+IF(VLOOKUP($E114,武器奇术!$A:$R,18,FALSE)=1,4,0)+IF(VLOOKUP($E114,武器奇术!$A:$S,19,FALSE)=1,20,0)-VLOOKUP($F$7,目标属性!$A:$R,6,FALSE))&gt;0,($D$9+IF(VLOOKUP($E114,武器奇术!$A:$R,17,FALSE)="裂石",$D$15,0)+IF(VLOOKUP($E114,武器奇术!$A:$R,18,FALSE)=1,4,0)+IF(VLOOKUP($E114,武器奇术!$A:$S,19,FALSE)=1,20,0)-VLOOKUP($F$7,目标属性!$A:$R,6,FALSE))/200,($D$9+IF(VLOOKUP($E114,武器奇术!$A:$R,17,FALSE)="裂石",$D$15,0)+IF(VLOOKUP($E114,武器奇术!$A:$R,18,FALSE)=1,4,0)+IF(VLOOKUP($E114,武器奇术!$A:$S,19,FALSE)=1,20,0)-VLOOKUP($F$7,目标属性!$A:$R,6,FALSE))/100)</f>
        <v>-0.24</v>
      </c>
      <c r="BN114" s="111">
        <f t="shared" si="56"/>
        <v>0</v>
      </c>
      <c r="BO114" s="109">
        <v>1</v>
      </c>
      <c r="BP114" s="112">
        <f>BJ114*IF(VLOOKUP($E114,武器奇术!$A:$R,17,FALSE)="裂石",VLOOKUP($E114,武器奇术!$A:$R,4,FALSE),VLOOKUP($E114,武器奇术!$A:$R,2,FALSE))*(1+BM114)*(1+BN114)*BO114</f>
        <v>0</v>
      </c>
      <c r="BQ114" s="110">
        <f>(1-IF(VLOOKUP($E114,武器奇术!$A:$T,20,FALSE)=1,1,$N114))*(1-$M114)</f>
        <v>0.01072666</v>
      </c>
      <c r="BR114" s="112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110">
        <f t="shared" si="57"/>
        <v>0.8813852</v>
      </c>
      <c r="BT114" s="112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110">
        <f t="shared" si="58"/>
        <v>0.0986</v>
      </c>
      <c r="BV114" s="112">
        <f>BK114*IF(VLOOKUP($E114,武器奇术!$A:$R,17,FALSE)="裂石",VLOOKUP($E114,武器奇术!$A:$R,4,FALSE),VLOOKUP($E114,武器奇术!$A:$R,2,FALSE))*(1+BM114)*(1+BN114)*BO114</f>
        <v>0</v>
      </c>
      <c r="BW114" s="110">
        <f t="shared" si="59"/>
        <v>0.00928814000000003</v>
      </c>
      <c r="BX114" s="113">
        <f t="shared" si="60"/>
        <v>0</v>
      </c>
      <c r="BY114" s="108">
        <f>$B$11*IF($G$5="撼天",1.05,1)+IF(AND(VLOOKUP($E114,武器奇术!$A:$R,15,FALSE)="武器",VLOOKUP($E114,武器奇术!$A:$R,17,FALSE)="牵丝"),$E$3,0)*(1+$E$15)</f>
        <v>0</v>
      </c>
      <c r="BZ114" s="99">
        <f>(BY114+CA114)*IF(VLOOKUP($E114,武器奇术!$A:$Z,21,FALSE)=1,$G$15,0.5)</f>
        <v>0</v>
      </c>
      <c r="CA114" s="109">
        <f>MAX($C$11*IF($G$5="撼天",1.05,1)+IF(AND(VLOOKUP($E114,武器奇术!$A:$R,15,FALSE)="武器",VLOOKUP($E114,武器奇术!$A:$R,17,FALSE)="牵丝"),$E$3*(1+$E$15),0),BY114)</f>
        <v>0</v>
      </c>
      <c r="CB114" s="110">
        <f>IF(($D$11+IF(VLOOKUP($E114,武器奇术!$A:$R,17,FALSE)="牵丝",$D$15,0)+IF(VLOOKUP($E114,武器奇术!$A:$R,18,FALSE)=1,4,0)+IF(VLOOKUP($E114,武器奇术!$A:$S,19,FALSE)=1,20,0)-VLOOKUP($F$7,目标属性!$A:$R,6,FALSE))&gt;0,($D$11+IF(VLOOKUP($E114,武器奇术!$A:$R,17,FALSE)="牵丝",$D$15,0)+IF(VLOOKUP($E114,武器奇术!$A:$R,18,FALSE)=1,4,0)+IF(VLOOKUP($E114,武器奇术!$A:$S,19,FALSE)=1,20,0)-VLOOKUP($F$7,目标属性!$A:$R,6,FALSE))/200,($D$11+IF(VLOOKUP($E114,武器奇术!$A:$R,17,FALSE)="牵丝",$D$15,0)+IF(VLOOKUP($E114,武器奇术!$A:$R,18,FALSE)=1,4,0)+IF(VLOOKUP($E114,武器奇术!$A:$S,19,FALSE)=1,20,0)-VLOOKUP($F$7,目标属性!$A:$R,6,FALSE))/100)</f>
        <v>-0.24</v>
      </c>
      <c r="CC114" s="111">
        <f t="shared" si="61"/>
        <v>0</v>
      </c>
      <c r="CD114" s="109">
        <v>1</v>
      </c>
      <c r="CE114" s="112">
        <f>BY114*IF(VLOOKUP($E114,武器奇术!$A:$R,17,FALSE)="牵丝",VLOOKUP($E114,武器奇术!$A:$R,4,FALSE),VLOOKUP($E114,武器奇术!$A:$R,2,FALSE))*(1+CB114)*(1+CC114)*CD114</f>
        <v>0</v>
      </c>
      <c r="CF114" s="110">
        <f>(1-IF(VLOOKUP($E114,武器奇术!$A:$T,20,FALSE)=1,1,$N114))*(1-$M114)</f>
        <v>0.01072666</v>
      </c>
      <c r="CG114" s="112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110">
        <f t="shared" si="62"/>
        <v>0.8813852</v>
      </c>
      <c r="CI114" s="112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110">
        <f t="shared" si="63"/>
        <v>0.0986</v>
      </c>
      <c r="CK114" s="112">
        <f>BZ114*IF(VLOOKUP($E114,武器奇术!$A:$R,17,FALSE)="牵丝",VLOOKUP($E114,武器奇术!$A:$R,4,FALSE),VLOOKUP($E114,武器奇术!$A:$R,2,FALSE))*(1+CB114)*(1+CC114)*CD114</f>
        <v>0</v>
      </c>
      <c r="CL114" s="110">
        <f t="shared" si="64"/>
        <v>0.00928814000000003</v>
      </c>
      <c r="CM114" s="113">
        <f t="shared" si="65"/>
        <v>0</v>
      </c>
      <c r="CN114" s="108">
        <f>$B$13*IF($G$5="撼天",1.05,1)+IF(AND(VLOOKUP($E114,武器奇术!$A:$R,15,FALSE)="武器",VLOOKUP($E114,武器奇术!$A:$R,17,FALSE)="破竹"),$E$3,0)*(1+$E$15)</f>
        <v>452.55</v>
      </c>
      <c r="CO114" s="99">
        <f>(CN114+CP114)*IF(VLOOKUP($E114,武器奇术!$A:$Z,21,FALSE)=1,$G$15,0.5)</f>
        <v>679.35</v>
      </c>
      <c r="CP114" s="109">
        <f>MAX($C$13*IF($G$5="撼天",1.05,1)+IF(AND(VLOOKUP($E114,武器奇术!$A:$R,15,FALSE)="武器",VLOOKUP($E114,武器奇术!$A:$R,17,FALSE)="破竹"),$E$3*(1+$E$15),0),CN114)</f>
        <v>906.15</v>
      </c>
      <c r="CQ114" s="110">
        <f>IF(($D$13+IF(VLOOKUP($E114,武器奇术!$A:$R,17,FALSE)="破竹",$D$15,0)+IF(VLOOKUP($E114,武器奇术!$A:$R,18,FALSE)=1,4,0)+IF(VLOOKUP($E114,武器奇术!$A:$S,19,FALSE)=1,20,0)-VLOOKUP($F$7,目标属性!$A:$R,6,FALSE))&gt;0,($D$13+IF(VLOOKUP($E114,武器奇术!$A:$R,17,FALSE)="破竹",$D$15,0)+IF(VLOOKUP($E114,武器奇术!$A:$R,18,FALSE)=1,4,0)+IF(VLOOKUP($E114,武器奇术!$A:$S,19,FALSE)=1,20,0)-VLOOKUP($F$7,目标属性!$A:$R,6,FALSE))/200,($D$13+IF(VLOOKUP($E114,武器奇术!$A:$R,17,FALSE)="破竹",$D$15,0)+IF(VLOOKUP($E114,武器奇术!$A:$R,18,FALSE)=1,4,0)+IF(VLOOKUP($E114,武器奇术!$A:$S,19,FALSE)=1,20,0)-VLOOKUP($F$7,目标属性!$A:$R,6,FALSE))/100)</f>
        <v>0.025</v>
      </c>
      <c r="CR114" s="111">
        <f>$E$13+IF(VLOOKUP($E114,武器奇术!$A:$U,21,FALSE)=1,0,0.09)</f>
        <v>0.235</v>
      </c>
      <c r="CS114" s="109">
        <v>1</v>
      </c>
      <c r="CT114" s="112">
        <f>CN114*IF(VLOOKUP($E114,武器奇术!$A:$R,17,FALSE)="破竹",VLOOKUP($E114,武器奇术!$A:$R,4,FALSE),VLOOKUP($E114,武器奇术!$A:$R,2,FALSE))*(1+CQ114)*(1+CR114)*CS114</f>
        <v>572.87173125</v>
      </c>
      <c r="CU114" s="110">
        <f>(1-IF(VLOOKUP($E114,武器奇术!$A:$T,20,FALSE)=1,1,$N114))*(1-$M114)</f>
        <v>0.01072666</v>
      </c>
      <c r="CV114" s="112">
        <f>CO114*IF(VLOOKUP($E114,武器奇术!$A:$R,17,FALSE)="破竹",VLOOKUP($E114,武器奇术!$A:$R,4,FALSE),VLOOKUP($E114,武器奇术!$A:$R,2,FALSE))*(1+CQ114)*(1+CR114)*CS114*(1+$E$16+VLOOKUP($E114,武器奇术!$A:$R,8,FALSE))</f>
        <v>1410.35437725</v>
      </c>
      <c r="CW114" s="110">
        <f t="shared" si="66"/>
        <v>0.8813852</v>
      </c>
      <c r="CX114" s="112">
        <f>CP114*IF(VLOOKUP($E114,武器奇术!$A:$R,17,FALSE)="破竹",VLOOKUP($E114,武器奇术!$A:$R,4,FALSE),VLOOKUP($E114,武器奇术!$A:$R,2,FALSE))*(1+CQ114)*(1+CR114)*CS114*(1+$E$17+VLOOKUP($E114,武器奇术!$A:$R,10,FALSE))</f>
        <v>1548.5480521875</v>
      </c>
      <c r="CY114" s="110">
        <f t="shared" si="67"/>
        <v>0.0986</v>
      </c>
      <c r="CZ114" s="112">
        <f>CO114*IF(VLOOKUP($E114,武器奇术!$A:$R,17,FALSE)="破竹",VLOOKUP($E114,武器奇术!$A:$R,4,FALSE),VLOOKUP($E114,武器奇术!$A:$R,2,FALSE))*(1+CQ114)*(1+CR114)*CS114</f>
        <v>859.97218125</v>
      </c>
      <c r="DA114" s="110">
        <f t="shared" si="68"/>
        <v>0.00928814000000003</v>
      </c>
      <c r="DB114" s="113">
        <f t="shared" si="69"/>
        <v>1409.88485510934</v>
      </c>
      <c r="DC114" s="108">
        <f t="shared" si="70"/>
        <v>69.3</v>
      </c>
      <c r="DD114" s="99">
        <f>(DC114+DE114)*IF(VLOOKUP($E114,武器奇术!$A:$Z,21,FALSE)=1,$G$15,0.5)</f>
        <v>69.3</v>
      </c>
      <c r="DE114" s="109">
        <f t="shared" si="71"/>
        <v>69.3</v>
      </c>
      <c r="DF114" s="110">
        <f>IF(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R,18,FALSE)=1,4,0)+IF(VLOOKUP($E114,武器奇术!$A:$S,19,FALSE)=1,20,0)-VLOOKUP($F$7,目标属性!$A:$R,6,FALSE))/100)</f>
        <v>0.025</v>
      </c>
      <c r="DG114" s="111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U,21,FALSE)=1,0,0.09)</f>
        <v>0.235</v>
      </c>
      <c r="DH114" s="109">
        <v>1</v>
      </c>
      <c r="DI114" s="112">
        <f>DC114*IF(VLOOKUP($E114,武器奇术!$A:$R,17,FALSE)="破竹",VLOOKUP($E114,武器奇术!$A:$R,4,FALSE),VLOOKUP($E114,武器奇术!$A:$R,2,FALSE))*(1+DF114)*(1+DG114)*DH114</f>
        <v>87.7251375</v>
      </c>
      <c r="DJ114" s="110">
        <f>(1-IF(VLOOKUP($E114,武器奇术!$A:$T,20,FALSE)=1,1,$N114))*(1-$M114)</f>
        <v>0.01072666</v>
      </c>
      <c r="DK114" s="112">
        <f>DD114*IF(VLOOKUP($E114,武器奇术!$A:$R,17,FALSE)="破竹",VLOOKUP($E114,武器奇术!$A:$R,4,FALSE),VLOOKUP($E114,武器奇术!$A:$R,2,FALSE))*(1+DF114)*(1+DG114)*DH114*(1+$E$16+VLOOKUP($E114,武器奇术!$A:$R,8,FALSE))</f>
        <v>143.8692255</v>
      </c>
      <c r="DL114" s="110">
        <f t="shared" si="72"/>
        <v>0.8813852</v>
      </c>
      <c r="DM114" s="112">
        <f>DE114*IF(VLOOKUP($E114,武器奇术!$A:$R,17,FALSE)="破竹",VLOOKUP($E114,武器奇术!$A:$R,4,FALSE),VLOOKUP($E114,武器奇术!$A:$R,2,FALSE))*(1+DF114)*(1+DG114)*DH114*(1+$E$17+VLOOKUP($E114,武器奇术!$A:$R,10,FALSE))</f>
        <v>118.428935625</v>
      </c>
      <c r="DN114" s="110">
        <f t="shared" si="73"/>
        <v>0.0986</v>
      </c>
      <c r="DO114" s="112">
        <f>DD114*IF(VLOOKUP($E114,武器奇术!$A:$R,17,FALSE)="破竹",VLOOKUP($E114,武器奇术!$A:$R,4,FALSE),VLOOKUP($E114,武器奇术!$A:$R,2,FALSE))*(1+DF114)*(1+DG114)*DH114</f>
        <v>87.7251375</v>
      </c>
      <c r="DP114" s="110">
        <f t="shared" si="74"/>
        <v>0.00928814000000003</v>
      </c>
      <c r="DQ114" s="113">
        <f t="shared" si="75"/>
        <v>140.237100225823</v>
      </c>
    </row>
    <row r="115" spans="1:121">
      <c r="A115" s="148"/>
      <c r="E115" s="98" t="str">
        <f>期望!E115</f>
        <v>易水歌6重</v>
      </c>
      <c r="F115" s="99">
        <f>期望!F115</f>
        <v>1</v>
      </c>
      <c r="G115" s="115"/>
      <c r="H115" s="149">
        <f>IF(VLOOKUP($E115,武器奇术!$A:$R,18,FALSE)="天工",AE115,(AE115+AT115+BI115+BX115+CM115+DB115+DQ115))*(1+J115)*F115*K115*(1+G115)*(1+$G$21*5%)</f>
        <v>15863.966731119</v>
      </c>
      <c r="I115" s="101">
        <f t="shared" si="39"/>
        <v>0.00195861155764999</v>
      </c>
      <c r="J115" s="101">
        <f>$F$3+VLOOKUP($E115,武器奇术!$A:$R,12,FALSE)+VLOOKUP($E115,武器奇术!$A:$R,14,FALSE)*$G$3+$P115</f>
        <v>0.303</v>
      </c>
      <c r="K115" s="102">
        <f>VLOOKUP($E115,武器奇术!$A:$R,11,FALSE)</f>
        <v>1</v>
      </c>
      <c r="L115" s="117">
        <f>IF(VLOOKUP($E115,武器奇术!$A:$R,15,FALSE)="天工",0%,IF($C$17+VLOOKUP($E115,武器奇术!$A:$R,7,FALSE)&gt;80%,80%,$C$17+VLOOKUP($E115,武器奇术!$A:$R,7,FALSE))+IF($C$19&gt;20%,20%,$C$19))</f>
        <v>0.892</v>
      </c>
      <c r="M115" s="118">
        <f>IF(VLOOKUP($E115,武器奇术!$A:$R,15,FALSE)="天工",0%,IF($C$18+VLOOKUP($E115,武器奇术!$A:$R,9,FALSE)&gt;40%,40%,$C$18+VLOOKUP($E115,武器奇术!$A:$R,9,FALSE))+IF($C$20&gt;10%,10%,$C$20))</f>
        <v>0.0986</v>
      </c>
      <c r="N115" s="119">
        <f>IF(VLOOKUP($E115,武器奇术!$A:$R,15,FALSE)="天工",100%,MIN($C$16,1))</f>
        <v>0.9881</v>
      </c>
      <c r="O115" s="120" t="str">
        <f>VLOOKUP($E115,武器奇术!$A:$R,16,FALSE)</f>
        <v>N/A</v>
      </c>
      <c r="P115" s="121">
        <f t="shared" si="76"/>
        <v>0</v>
      </c>
      <c r="Q115" s="108">
        <f>$B$5*(1+VLOOKUP($E115,武器奇术!$A:$R,5,FALSE)+IF($G$5="飞隼",0.1,0)+IF($G$5="撼天",0.05,0))-$F$9+IF($I$5="√",160,0)</f>
        <v>1731.135</v>
      </c>
      <c r="R115" s="99">
        <f>IF(VLOOKUP($E115,武器奇术!$A:$Z,20,FALSE)=1,(S115-(Q115+S115)*0.5)*($G$15-0.5)*2+(Q115+S115)*0.5,(Q115+S115)*0.5)</f>
        <v>3256.775</v>
      </c>
      <c r="S115" s="109">
        <f>MAX($C$5,$B$5)*(1+VLOOKUP($E115,武器奇术!$A:$R,5,FALSE)+IF($G$5="飞隼",0.1,0)+IF($G$5="撼天",0.05,0))-$F$9+IF($I$5="√",320,0)</f>
        <v>4782.415</v>
      </c>
      <c r="T115" s="101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U115" s="111">
        <f>$E$5+IF(VLOOKUP($E115,武器奇术!$A:$U,21,FALSE)=1,0,0.09)</f>
        <v>0.115</v>
      </c>
      <c r="V115" s="109">
        <v>1</v>
      </c>
      <c r="W115" s="112">
        <f>Q115*VLOOKUP($E115,武器奇术!$A:$R,2,FALSE)*(1+T115)*(1+U115)*V115</f>
        <v>2397.32768205</v>
      </c>
      <c r="X115" s="110">
        <f>(1-IF(VLOOKUP($E115,武器奇术!$A:$T,20,FALSE)=1,1,$N115))*(1-$M115)</f>
        <v>0.01072666</v>
      </c>
      <c r="Y115" s="112">
        <f>R115*VLOOKUP($E115,武器奇术!$A:$R,2,FALSE)*(1+T115)*(1+U115)*V115*(1+$E$16+VLOOKUP($E115,武器奇术!$A:$R,8,FALSE))</f>
        <v>7396.53074613</v>
      </c>
      <c r="Z115" s="110">
        <f t="shared" si="40"/>
        <v>0.8813852</v>
      </c>
      <c r="AA115" s="112">
        <f>S115*VLOOKUP($E115,武器奇术!$A:$R,2,FALSE)*(1+T115)*(1+U115)*V115*(1+$E$17+VLOOKUP($E115,武器奇术!$A:$R,10,FALSE))</f>
        <v>8940.8228820075</v>
      </c>
      <c r="AB115" s="110">
        <f t="shared" si="41"/>
        <v>0.0986</v>
      </c>
      <c r="AC115" s="112">
        <f>R115*VLOOKUP($E115,武器奇术!$A:$R,2,FALSE)*(1+T115)*(1+U115)*V115</f>
        <v>4510.07972325</v>
      </c>
      <c r="AD115" s="110">
        <f t="shared" si="42"/>
        <v>0.00928814000000003</v>
      </c>
      <c r="AE115" s="113">
        <f t="shared" si="43"/>
        <v>7468.36343798453</v>
      </c>
      <c r="AF115" s="114">
        <f>VLOOKUP($E115,武器奇术!$A:$R,3,FALSE)*(1+IF(VLOOKUP($E115,武器奇术!$A:$R,15,FALSE)="武器",$E$15,0))</f>
        <v>0</v>
      </c>
      <c r="AG115" s="112">
        <f t="shared" si="44"/>
        <v>0</v>
      </c>
      <c r="AH115" s="112">
        <f>VLOOKUP($E115,武器奇术!$A:$R,3,FALSE)*(1+IF(VLOOKUP($E115,武器奇术!$A:$R,15,FALSE)="武器",$E$15,0))</f>
        <v>0</v>
      </c>
      <c r="AI115" s="101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0.242</v>
      </c>
      <c r="AJ115" s="111">
        <f>$E$5+IF(VLOOKUP($E115,武器奇术!$A:$U,21,FALSE)=1,0,0.09)</f>
        <v>0.115</v>
      </c>
      <c r="AK115" s="109">
        <v>1</v>
      </c>
      <c r="AL115" s="112">
        <f t="shared" si="45"/>
        <v>0</v>
      </c>
      <c r="AM115" s="110">
        <f>(1-IF(VLOOKUP($E115,武器奇术!$A:$T,20,FALSE)=1,1,$N115))*(1-$M115)</f>
        <v>0.01072666</v>
      </c>
      <c r="AN115" s="112">
        <f>AG115*(1+AI115)*(1+AJ115)*AK115*(1+$E$16+VLOOKUP($E115,武器奇术!$A:$R,8,FALSE))</f>
        <v>0</v>
      </c>
      <c r="AO115" s="110">
        <f t="shared" si="46"/>
        <v>0.8813852</v>
      </c>
      <c r="AP115" s="112">
        <f>AH115*(1+AI115)*(1+AJ115)*AK115*(1+$E$17+VLOOKUP($E115,武器奇术!$A:$R,10,FALSE))</f>
        <v>0</v>
      </c>
      <c r="AQ115" s="110">
        <f t="shared" si="47"/>
        <v>0.0986</v>
      </c>
      <c r="AR115" s="112">
        <f t="shared" si="48"/>
        <v>0</v>
      </c>
      <c r="AS115" s="110">
        <f t="shared" si="49"/>
        <v>0.00928814000000003</v>
      </c>
      <c r="AT115" s="113">
        <f t="shared" si="50"/>
        <v>0</v>
      </c>
      <c r="AU115" s="108">
        <f>$B$7*IF($G$5="撼天",1.05,1)+IF(AND(VLOOKUP($E115,武器奇术!$A:$R,15,FALSE)="武器",VLOOKUP($E115,武器奇术!$A:$R,17,FALSE)="鸣金"),$E$3,0)*(1+$E$15)</f>
        <v>0</v>
      </c>
      <c r="AV115" s="99">
        <f>(AU115+AW115)*IF(VLOOKUP($E115,武器奇术!$A:$Z,21,FALSE)=1,$G$15,0.5)</f>
        <v>0</v>
      </c>
      <c r="AW115" s="109">
        <f>MAX($C$7*IF($G$5="撼天",1.05,1)+IF(AND(VLOOKUP($E115,武器奇术!$A:$R,15,FALSE)="武器",VLOOKUP($E115,武器奇术!$A:$R,17,FALSE)="鸣金"),$E$3*(1+$E$15),0),AU115)</f>
        <v>0</v>
      </c>
      <c r="AX115" s="110">
        <f>IF(($D$7+IF(VLOOKUP($E115,武器奇术!$A:$R,17,FALSE)="鸣金",$D$15,0)+IF(VLOOKUP($E115,武器奇术!$A:$R,18,FALSE)=1,4,0)+IF(VLOOKUP($E115,武器奇术!$A:$S,19,FALSE)=1,20,0)-VLOOKUP($F$7,目标属性!$A:$R,6,FALSE))&gt;0,($D$7+IF(VLOOKUP($E115,武器奇术!$A:$R,17,FALSE)="鸣金",$D$15,0)+IF(VLOOKUP($E115,武器奇术!$A:$R,18,FALSE)=1,4,0)+IF(VLOOKUP($E115,武器奇术!$A:$S,19,FALSE)=1,20,0)-VLOOKUP($F$7,目标属性!$A:$R,6,FALSE))/200,($D$7+IF(VLOOKUP($E115,武器奇术!$A:$R,17,FALSE)="鸣金",$D$15,0)+IF(VLOOKUP($E115,武器奇术!$A:$R,18,FALSE)=1,4,0)+IF(VLOOKUP($E115,武器奇术!$A:$S,19,FALSE)=1,20,0)-VLOOKUP($F$7,目标属性!$A:$R,6,FALSE))/100)</f>
        <v>-0.24</v>
      </c>
      <c r="AY115" s="111">
        <f t="shared" si="51"/>
        <v>0</v>
      </c>
      <c r="AZ115" s="109">
        <v>1</v>
      </c>
      <c r="BA115" s="112">
        <f>AU115*IF(VLOOKUP($E115,武器奇术!$A:$R,17,FALSE)="鸣金",VLOOKUP($E115,武器奇术!$A:$R,4,FALSE),VLOOKUP($E115,武器奇术!$A:$R,2,FALSE))*(1+AX115)*(1+AY115)*AZ115</f>
        <v>0</v>
      </c>
      <c r="BB115" s="110">
        <f>(1-IF(VLOOKUP($E115,武器奇术!$A:$T,20,FALSE)=1,1,$N115))*(1-$M115)</f>
        <v>0.01072666</v>
      </c>
      <c r="BC115" s="112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110">
        <f t="shared" si="52"/>
        <v>0.8813852</v>
      </c>
      <c r="BE115" s="112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110">
        <f t="shared" si="53"/>
        <v>0.0986</v>
      </c>
      <c r="BG115" s="112">
        <f>AV115*IF(VLOOKUP($E115,武器奇术!$A:$R,17,FALSE)="鸣金",VLOOKUP($E115,武器奇术!$A:$R,4,FALSE),VLOOKUP($E115,武器奇术!$A:$R,2,FALSE))*(1+AX115)*(1+AY115)*AZ115</f>
        <v>0</v>
      </c>
      <c r="BH115" s="110">
        <f t="shared" si="54"/>
        <v>0.00928814000000003</v>
      </c>
      <c r="BI115" s="113">
        <f t="shared" si="55"/>
        <v>0</v>
      </c>
      <c r="BJ115" s="108">
        <f>$B$9*IF($G$5="撼天",1.05,1)+IF(AND(VLOOKUP($E115,武器奇术!$A:$R,15,FALSE)="武器",VLOOKUP($E115,武器奇术!$A:$R,17,FALSE)="裂石"),$E$3,0)*(1+$E$15)</f>
        <v>0</v>
      </c>
      <c r="BK115" s="99">
        <f>(BJ115+BL115)*IF(VLOOKUP($E115,武器奇术!$A:$Z,21,FALSE)=1,$G$15,0.5)</f>
        <v>0</v>
      </c>
      <c r="BL115" s="109">
        <f>MAX($C$9*IF($G$5="撼天",1.05,1)+IF(AND(VLOOKUP($E115,武器奇术!$A:$R,15,FALSE)="武器",VLOOKUP($E115,武器奇术!$A:$R,17,FALSE)="裂石"),$E$3*(1+$E$15),0),BJ115)</f>
        <v>0</v>
      </c>
      <c r="BM115" s="110">
        <f>IF(($D$9+IF(VLOOKUP($E115,武器奇术!$A:$R,17,FALSE)="裂石",$D$15,0)+IF(VLOOKUP($E115,武器奇术!$A:$R,18,FALSE)=1,4,0)+IF(VLOOKUP($E115,武器奇术!$A:$S,19,FALSE)=1,20,0)-VLOOKUP($F$7,目标属性!$A:$R,6,FALSE))&gt;0,($D$9+IF(VLOOKUP($E115,武器奇术!$A:$R,17,FALSE)="裂石",$D$15,0)+IF(VLOOKUP($E115,武器奇术!$A:$R,18,FALSE)=1,4,0)+IF(VLOOKUP($E115,武器奇术!$A:$S,19,FALSE)=1,20,0)-VLOOKUP($F$7,目标属性!$A:$R,6,FALSE))/200,($D$9+IF(VLOOKUP($E115,武器奇术!$A:$R,17,FALSE)="裂石",$D$15,0)+IF(VLOOKUP($E115,武器奇术!$A:$R,18,FALSE)=1,4,0)+IF(VLOOKUP($E115,武器奇术!$A:$S,19,FALSE)=1,20,0)-VLOOKUP($F$7,目标属性!$A:$R,6,FALSE))/100)</f>
        <v>-0.24</v>
      </c>
      <c r="BN115" s="111">
        <f t="shared" si="56"/>
        <v>0</v>
      </c>
      <c r="BO115" s="109">
        <v>1</v>
      </c>
      <c r="BP115" s="112">
        <f>BJ115*IF(VLOOKUP($E115,武器奇术!$A:$R,17,FALSE)="裂石",VLOOKUP($E115,武器奇术!$A:$R,4,FALSE),VLOOKUP($E115,武器奇术!$A:$R,2,FALSE))*(1+BM115)*(1+BN115)*BO115</f>
        <v>0</v>
      </c>
      <c r="BQ115" s="110">
        <f>(1-IF(VLOOKUP($E115,武器奇术!$A:$T,20,FALSE)=1,1,$N115))*(1-$M115)</f>
        <v>0.01072666</v>
      </c>
      <c r="BR115" s="112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110">
        <f t="shared" si="57"/>
        <v>0.8813852</v>
      </c>
      <c r="BT115" s="112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110">
        <f t="shared" si="58"/>
        <v>0.0986</v>
      </c>
      <c r="BV115" s="112">
        <f>BK115*IF(VLOOKUP($E115,武器奇术!$A:$R,17,FALSE)="裂石",VLOOKUP($E115,武器奇术!$A:$R,4,FALSE),VLOOKUP($E115,武器奇术!$A:$R,2,FALSE))*(1+BM115)*(1+BN115)*BO115</f>
        <v>0</v>
      </c>
      <c r="BW115" s="110">
        <f t="shared" si="59"/>
        <v>0.00928814000000003</v>
      </c>
      <c r="BX115" s="113">
        <f t="shared" si="60"/>
        <v>0</v>
      </c>
      <c r="BY115" s="108">
        <f>$B$11*IF($G$5="撼天",1.05,1)+IF(AND(VLOOKUP($E115,武器奇术!$A:$R,15,FALSE)="武器",VLOOKUP($E115,武器奇术!$A:$R,17,FALSE)="牵丝"),$E$3,0)*(1+$E$15)</f>
        <v>0</v>
      </c>
      <c r="BZ115" s="99">
        <f>(BY115+CA115)*IF(VLOOKUP($E115,武器奇术!$A:$Z,21,FALSE)=1,$G$15,0.5)</f>
        <v>0</v>
      </c>
      <c r="CA115" s="109">
        <f>MAX($C$11*IF($G$5="撼天",1.05,1)+IF(AND(VLOOKUP($E115,武器奇术!$A:$R,15,FALSE)="武器",VLOOKUP($E115,武器奇术!$A:$R,17,FALSE)="牵丝"),$E$3*(1+$E$15),0),BY115)</f>
        <v>0</v>
      </c>
      <c r="CB115" s="110">
        <f>IF(($D$11+IF(VLOOKUP($E115,武器奇术!$A:$R,17,FALSE)="牵丝",$D$15,0)+IF(VLOOKUP($E115,武器奇术!$A:$R,18,FALSE)=1,4,0)+IF(VLOOKUP($E115,武器奇术!$A:$S,19,FALSE)=1,20,0)-VLOOKUP($F$7,目标属性!$A:$R,6,FALSE))&gt;0,($D$11+IF(VLOOKUP($E115,武器奇术!$A:$R,17,FALSE)="牵丝",$D$15,0)+IF(VLOOKUP($E115,武器奇术!$A:$R,18,FALSE)=1,4,0)+IF(VLOOKUP($E115,武器奇术!$A:$S,19,FALSE)=1,20,0)-VLOOKUP($F$7,目标属性!$A:$R,6,FALSE))/200,($D$11+IF(VLOOKUP($E115,武器奇术!$A:$R,17,FALSE)="牵丝",$D$15,0)+IF(VLOOKUP($E115,武器奇术!$A:$R,18,FALSE)=1,4,0)+IF(VLOOKUP($E115,武器奇术!$A:$S,19,FALSE)=1,20,0)-VLOOKUP($F$7,目标属性!$A:$R,6,FALSE))/100)</f>
        <v>-0.24</v>
      </c>
      <c r="CC115" s="111">
        <f t="shared" si="61"/>
        <v>0</v>
      </c>
      <c r="CD115" s="109">
        <v>1</v>
      </c>
      <c r="CE115" s="112">
        <f>BY115*IF(VLOOKUP($E115,武器奇术!$A:$R,17,FALSE)="牵丝",VLOOKUP($E115,武器奇术!$A:$R,4,FALSE),VLOOKUP($E115,武器奇术!$A:$R,2,FALSE))*(1+CB115)*(1+CC115)*CD115</f>
        <v>0</v>
      </c>
      <c r="CF115" s="110">
        <f>(1-IF(VLOOKUP($E115,武器奇术!$A:$T,20,FALSE)=1,1,$N115))*(1-$M115)</f>
        <v>0.01072666</v>
      </c>
      <c r="CG115" s="112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110">
        <f t="shared" si="62"/>
        <v>0.8813852</v>
      </c>
      <c r="CI115" s="112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110">
        <f t="shared" si="63"/>
        <v>0.0986</v>
      </c>
      <c r="CK115" s="112">
        <f>BZ115*IF(VLOOKUP($E115,武器奇术!$A:$R,17,FALSE)="牵丝",VLOOKUP($E115,武器奇术!$A:$R,4,FALSE),VLOOKUP($E115,武器奇术!$A:$R,2,FALSE))*(1+CB115)*(1+CC115)*CD115</f>
        <v>0</v>
      </c>
      <c r="CL115" s="110">
        <f t="shared" si="64"/>
        <v>0.00928814000000003</v>
      </c>
      <c r="CM115" s="113">
        <f t="shared" si="65"/>
        <v>0</v>
      </c>
      <c r="CN115" s="108">
        <f>$B$13*IF($G$5="撼天",1.05,1)+IF(AND(VLOOKUP($E115,武器奇术!$A:$R,15,FALSE)="武器",VLOOKUP($E115,武器奇术!$A:$R,17,FALSE)="破竹"),$E$3,0)*(1+$E$15)</f>
        <v>452.55</v>
      </c>
      <c r="CO115" s="99">
        <f>(CN115+CP115)*IF(VLOOKUP($E115,武器奇术!$A:$Z,21,FALSE)=1,$G$15,0.5)</f>
        <v>679.35</v>
      </c>
      <c r="CP115" s="109">
        <f>MAX($C$13*IF($G$5="撼天",1.05,1)+IF(AND(VLOOKUP($E115,武器奇术!$A:$R,15,FALSE)="武器",VLOOKUP($E115,武器奇术!$A:$R,17,FALSE)="破竹"),$E$3*(1+$E$15),0),CN115)</f>
        <v>906.15</v>
      </c>
      <c r="CQ115" s="110">
        <f>IF(($D$13+IF(VLOOKUP($E115,武器奇术!$A:$R,17,FALSE)="破竹",$D$15,0)+IF(VLOOKUP($E115,武器奇术!$A:$R,18,FALSE)=1,4,0)+IF(VLOOKUP($E115,武器奇术!$A:$S,19,FALSE)=1,20,0)-VLOOKUP($F$7,目标属性!$A:$R,6,FALSE))&gt;0,($D$13+IF(VLOOKUP($E115,武器奇术!$A:$R,17,FALSE)="破竹",$D$15,0)+IF(VLOOKUP($E115,武器奇术!$A:$R,18,FALSE)=1,4,0)+IF(VLOOKUP($E115,武器奇术!$A:$S,19,FALSE)=1,20,0)-VLOOKUP($F$7,目标属性!$A:$R,6,FALSE))/200,($D$13+IF(VLOOKUP($E115,武器奇术!$A:$R,17,FALSE)="破竹",$D$15,0)+IF(VLOOKUP($E115,武器奇术!$A:$R,18,FALSE)=1,4,0)+IF(VLOOKUP($E115,武器奇术!$A:$S,19,FALSE)=1,20,0)-VLOOKUP($F$7,目标属性!$A:$R,6,FALSE))/100)</f>
        <v>0.025</v>
      </c>
      <c r="CR115" s="111">
        <f>$E$13+IF(VLOOKUP($E115,武器奇术!$A:$U,21,FALSE)=1,0,0.09)</f>
        <v>0.235</v>
      </c>
      <c r="CS115" s="109">
        <v>1</v>
      </c>
      <c r="CT115" s="112">
        <f>CN115*IF(VLOOKUP($E115,武器奇术!$A:$R,17,FALSE)="破竹",VLOOKUP($E115,武器奇术!$A:$R,4,FALSE),VLOOKUP($E115,武器奇术!$A:$R,2,FALSE))*(1+CQ115)*(1+CR115)*CS115</f>
        <v>572.87173125</v>
      </c>
      <c r="CU115" s="110">
        <f>(1-IF(VLOOKUP($E115,武器奇术!$A:$T,20,FALSE)=1,1,$N115))*(1-$M115)</f>
        <v>0.01072666</v>
      </c>
      <c r="CV115" s="112">
        <f>CO115*IF(VLOOKUP($E115,武器奇术!$A:$R,17,FALSE)="破竹",VLOOKUP($E115,武器奇术!$A:$R,4,FALSE),VLOOKUP($E115,武器奇术!$A:$R,2,FALSE))*(1+CQ115)*(1+CR115)*CS115*(1+$E$16+VLOOKUP($E115,武器奇术!$A:$R,8,FALSE))</f>
        <v>1410.35437725</v>
      </c>
      <c r="CW115" s="110">
        <f t="shared" si="66"/>
        <v>0.8813852</v>
      </c>
      <c r="CX115" s="112">
        <f>CP115*IF(VLOOKUP($E115,武器奇术!$A:$R,17,FALSE)="破竹",VLOOKUP($E115,武器奇术!$A:$R,4,FALSE),VLOOKUP($E115,武器奇术!$A:$R,2,FALSE))*(1+CQ115)*(1+CR115)*CS115*(1+$E$17+VLOOKUP($E115,武器奇术!$A:$R,10,FALSE))</f>
        <v>1548.5480521875</v>
      </c>
      <c r="CY115" s="110">
        <f t="shared" si="67"/>
        <v>0.0986</v>
      </c>
      <c r="CZ115" s="112">
        <f>CO115*IF(VLOOKUP($E115,武器奇术!$A:$R,17,FALSE)="破竹",VLOOKUP($E115,武器奇术!$A:$R,4,FALSE),VLOOKUP($E115,武器奇术!$A:$R,2,FALSE))*(1+CQ115)*(1+CR115)*CS115</f>
        <v>859.97218125</v>
      </c>
      <c r="DA115" s="110">
        <f t="shared" si="68"/>
        <v>0.00928814000000003</v>
      </c>
      <c r="DB115" s="113">
        <f t="shared" si="69"/>
        <v>1409.88485510934</v>
      </c>
      <c r="DC115" s="108">
        <f t="shared" si="70"/>
        <v>69.3</v>
      </c>
      <c r="DD115" s="99">
        <f>(DC115+DE115)*IF(VLOOKUP($E115,武器奇术!$A:$Z,21,FALSE)=1,$G$15,0.5)</f>
        <v>69.3</v>
      </c>
      <c r="DE115" s="109">
        <f t="shared" si="71"/>
        <v>69.3</v>
      </c>
      <c r="DF115" s="110">
        <f>IF(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R,18,FALSE)=1,4,0)+IF(VLOOKUP($E115,武器奇术!$A:$S,19,FALSE)=1,20,0)-VLOOKUP($F$7,目标属性!$A:$R,6,FALSE))/100)</f>
        <v>0.025</v>
      </c>
      <c r="DG115" s="111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U,21,FALSE)=1,0,0.09)</f>
        <v>0.235</v>
      </c>
      <c r="DH115" s="109">
        <v>1</v>
      </c>
      <c r="DI115" s="112">
        <f>DC115*IF(VLOOKUP($E115,武器奇术!$A:$R,17,FALSE)="破竹",VLOOKUP($E115,武器奇术!$A:$R,4,FALSE),VLOOKUP($E115,武器奇术!$A:$R,2,FALSE))*(1+DF115)*(1+DG115)*DH115</f>
        <v>87.7251375</v>
      </c>
      <c r="DJ115" s="110">
        <f>(1-IF(VLOOKUP($E115,武器奇术!$A:$T,20,FALSE)=1,1,$N115))*(1-$M115)</f>
        <v>0.01072666</v>
      </c>
      <c r="DK115" s="112">
        <f>DD115*IF(VLOOKUP($E115,武器奇术!$A:$R,17,FALSE)="破竹",VLOOKUP($E115,武器奇术!$A:$R,4,FALSE),VLOOKUP($E115,武器奇术!$A:$R,2,FALSE))*(1+DF115)*(1+DG115)*DH115*(1+$E$16+VLOOKUP($E115,武器奇术!$A:$R,8,FALSE))</f>
        <v>143.8692255</v>
      </c>
      <c r="DL115" s="110">
        <f t="shared" si="72"/>
        <v>0.8813852</v>
      </c>
      <c r="DM115" s="112">
        <f>DE115*IF(VLOOKUP($E115,武器奇术!$A:$R,17,FALSE)="破竹",VLOOKUP($E115,武器奇术!$A:$R,4,FALSE),VLOOKUP($E115,武器奇术!$A:$R,2,FALSE))*(1+DF115)*(1+DG115)*DH115*(1+$E$17+VLOOKUP($E115,武器奇术!$A:$R,10,FALSE))</f>
        <v>118.428935625</v>
      </c>
      <c r="DN115" s="110">
        <f t="shared" si="73"/>
        <v>0.0986</v>
      </c>
      <c r="DO115" s="112">
        <f>DD115*IF(VLOOKUP($E115,武器奇术!$A:$R,17,FALSE)="破竹",VLOOKUP($E115,武器奇术!$A:$R,4,FALSE),VLOOKUP($E115,武器奇术!$A:$R,2,FALSE))*(1+DF115)*(1+DG115)*DH115</f>
        <v>87.7251375</v>
      </c>
      <c r="DP115" s="110">
        <f t="shared" si="74"/>
        <v>0.00928814000000003</v>
      </c>
      <c r="DQ115" s="113">
        <f t="shared" si="75"/>
        <v>140.237100225823</v>
      </c>
    </row>
    <row r="117" spans="1:121">
      <c r="C117" s="147"/>
    </row>
    <row r="119" spans="1:121">
      <c r="C119" s="147"/>
    </row>
    <row r="122" spans="1:121">
      <c r="C122" s="147"/>
    </row>
    <row r="124" spans="1:121">
      <c r="C124" s="147"/>
    </row>
    <row r="126" spans="1:121">
      <c r="C126" s="147"/>
    </row>
    <row r="127" spans="1:121">
      <c r="C127" s="147"/>
    </row>
    <row r="128" spans="1:121">
      <c r="D128">
        <v>24.2</v>
      </c>
    </row>
    <row r="129" spans="2:3">
      <c r="C129" s="147"/>
    </row>
    <row r="130" spans="2:3">
      <c r="C130" s="147"/>
    </row>
    <row r="131" spans="2:3">
      <c r="C131" s="147"/>
    </row>
    <row r="133" spans="2:3">
      <c r="C133" s="147"/>
    </row>
    <row r="134" spans="2:3">
      <c r="C134" s="147"/>
    </row>
    <row r="135" spans="2:3">
      <c r="C135" s="147"/>
    </row>
    <row r="136" spans="2:3">
      <c r="C136" s="147"/>
    </row>
    <row r="137" spans="2:3">
      <c r="C137" s="147"/>
    </row>
    <row r="138" spans="2:3">
      <c r="B138" t="s">
        <v>182</v>
      </c>
      <c r="C138" s="147">
        <v>1.16</v>
      </c>
    </row>
    <row r="139" spans="2:3">
      <c r="B139" t="s">
        <v>183</v>
      </c>
      <c r="C139" s="147">
        <v>0.85</v>
      </c>
    </row>
    <row r="140" spans="2:3">
      <c r="B140" t="s">
        <v>184</v>
      </c>
      <c r="C140">
        <v>1.36</v>
      </c>
    </row>
    <row r="142" spans="2:3">
      <c r="B142" t="s">
        <v>164</v>
      </c>
      <c r="C142" s="147">
        <v>1.16</v>
      </c>
    </row>
    <row r="143" spans="2:3">
      <c r="B143" t="s">
        <v>185</v>
      </c>
      <c r="C143" s="147">
        <v>2.13</v>
      </c>
    </row>
    <row r="144" spans="2:3">
      <c r="B144" t="s">
        <v>163</v>
      </c>
      <c r="C144">
        <v>1.06</v>
      </c>
    </row>
    <row r="145" spans="1:3">
      <c r="B145" t="s">
        <v>186</v>
      </c>
      <c r="C145">
        <v>0.93</v>
      </c>
    </row>
    <row r="146" spans="1:3">
      <c r="B146" t="s">
        <v>187</v>
      </c>
      <c r="C146" s="147">
        <v>1.53</v>
      </c>
    </row>
    <row r="150" spans="1:3">
      <c r="A150" s="36"/>
      <c r="C150" s="147"/>
    </row>
    <row r="151" spans="1:3">
      <c r="A151" s="36"/>
    </row>
    <row r="152" spans="1:3">
      <c r="A152" s="36"/>
      <c r="C152" s="147"/>
    </row>
    <row r="153" spans="1:3">
      <c r="A153" s="36"/>
      <c r="C153" s="147"/>
    </row>
    <row r="154" spans="1:3">
      <c r="A154" s="36"/>
    </row>
    <row r="155" spans="1:3">
      <c r="A155" s="36"/>
      <c r="C155" s="147"/>
    </row>
    <row r="156" spans="1:3">
      <c r="A156" s="36"/>
      <c r="C156" s="147"/>
    </row>
    <row r="157" spans="1:3">
      <c r="A157" s="36"/>
      <c r="C157" s="147"/>
    </row>
    <row r="158" spans="1:3">
      <c r="A158" s="36"/>
    </row>
    <row r="159" spans="1:3">
      <c r="A159" s="36"/>
    </row>
    <row r="160" spans="1:3">
      <c r="A160" s="75"/>
    </row>
    <row r="161" spans="1:4">
      <c r="A161" s="75"/>
      <c r="C161" s="147"/>
    </row>
    <row r="162" spans="1:4">
      <c r="C162" s="147"/>
    </row>
    <row r="163" spans="1:4">
      <c r="C163" s="147"/>
    </row>
    <row r="164" spans="1:4">
      <c r="C164" s="147"/>
    </row>
    <row r="165" spans="1:4">
      <c r="C165" s="147"/>
    </row>
    <row r="168" spans="1:4">
      <c r="C168" s="147"/>
    </row>
    <row r="169" spans="1:4">
      <c r="C169" s="147"/>
    </row>
    <row r="170" spans="1:4">
      <c r="C170" s="147"/>
      <c r="D170" s="36"/>
    </row>
    <row r="171" spans="1:4">
      <c r="A171" s="36"/>
      <c r="C171" s="147"/>
      <c r="D171" s="36"/>
    </row>
    <row r="172" spans="1:4">
      <c r="A172" s="36"/>
      <c r="C172" s="147"/>
      <c r="D172" s="36"/>
    </row>
    <row r="173" spans="1:4">
      <c r="A173" s="36"/>
      <c r="D173" s="36"/>
    </row>
    <row r="174" spans="1:4">
      <c r="A174" s="36"/>
      <c r="D174" s="36"/>
    </row>
    <row r="175" spans="1:4">
      <c r="A175" s="36"/>
      <c r="D175" s="36"/>
    </row>
    <row r="176" spans="1:4">
      <c r="A176" s="36"/>
      <c r="C176" s="147"/>
    </row>
    <row r="177" spans="1:3">
      <c r="A177" s="36"/>
      <c r="C177" s="147"/>
    </row>
    <row r="178" spans="1:3">
      <c r="A178" s="36"/>
      <c r="C178" s="147"/>
    </row>
    <row r="179" spans="1:3">
      <c r="A179" s="36"/>
      <c r="C179" s="147"/>
    </row>
    <row r="182" spans="1:3">
      <c r="A182" s="36"/>
      <c r="C182" s="147"/>
    </row>
    <row r="183" spans="1:3">
      <c r="A183" s="36"/>
      <c r="C183" s="147"/>
    </row>
    <row r="184" spans="1:3">
      <c r="A184" s="36"/>
      <c r="C184" s="147"/>
    </row>
    <row r="185" spans="1:3">
      <c r="A185" s="36"/>
    </row>
    <row r="186" spans="1:3">
      <c r="A186" s="36"/>
    </row>
    <row r="187" spans="1:3">
      <c r="A187" s="36"/>
    </row>
    <row r="188" spans="1:3">
      <c r="A188" s="36"/>
      <c r="C188" s="147"/>
    </row>
    <row r="189" spans="1:3">
      <c r="A189" s="36"/>
      <c r="C189" s="147"/>
    </row>
    <row r="190" spans="1:3">
      <c r="A190" s="36"/>
      <c r="C190" s="147"/>
    </row>
    <row r="191" spans="1:3">
      <c r="A191" s="36"/>
      <c r="C191" s="147"/>
    </row>
    <row r="192" spans="1:3">
      <c r="A192" s="36"/>
    </row>
    <row r="193" spans="3:3">
      <c r="C193" s="147"/>
    </row>
    <row r="194" spans="3:3">
      <c r="C194" s="147"/>
    </row>
  </sheetData>
  <mergeCells count="32">
    <mergeCell ref="D19:E19"/>
    <mergeCell ref="B21:C21"/>
    <mergeCell ref="E28:K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150:A159"/>
    <mergeCell ref="A171:A179"/>
    <mergeCell ref="A182:A189"/>
    <mergeCell ref="A190:A192"/>
    <mergeCell ref="B28:B29"/>
    <mergeCell ref="B30:B34"/>
    <mergeCell ref="B35:B39"/>
    <mergeCell ref="B40:B44"/>
    <mergeCell ref="B45:B49"/>
    <mergeCell ref="B50:B54"/>
    <mergeCell ref="B55:B59"/>
    <mergeCell ref="D170:D175"/>
    <mergeCell ref="G8:J13"/>
    <mergeCell ref="C28:D29"/>
    <mergeCell ref="C30:D34"/>
    <mergeCell ref="C35:D39"/>
    <mergeCell ref="C40:D44"/>
    <mergeCell ref="C45:D49"/>
    <mergeCell ref="C50:D54"/>
    <mergeCell ref="C55:D59"/>
  </mergeCells>
  <dataValidations count="3">
    <dataValidation type="list" allowBlank="1" showInputMessage="1" showErrorMessage="1" sqref="A10 A12">
      <formula1>"主属性,副属性"</formula1>
    </dataValidation>
    <dataValidation type="list" allowBlank="1" showInputMessage="1" showErrorMessage="1" sqref="F19:G19 F21">
      <formula1>"√,×"</formula1>
    </dataValidation>
    <dataValidation type="list" allowBlank="1" showInputMessage="1" showErrorMessage="1" sqref="E30:E115">
      <formula1>武器奇术!$A:$A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topLeftCell="A34" workbookViewId="0">
      <selection activeCell="C73" sqref="C73"/>
    </sheetView>
  </sheetViews>
  <sheetFormatPr defaultColWidth="9" defaultRowHeight="13.5"/>
  <cols>
    <col min="1" max="1" width="46.5" customWidth="1"/>
    <col min="2" max="2" width="11.5" style="32"/>
    <col min="3" max="3" width="9.375" style="33"/>
    <col min="4" max="4" width="10" style="32" customWidth="1"/>
    <col min="5" max="5" width="17.625" style="32" customWidth="1"/>
    <col min="6" max="6" width="16.875" style="32" customWidth="1"/>
    <col min="7" max="7" width="13" style="32" customWidth="1"/>
    <col min="8" max="8" width="15" style="32" customWidth="1"/>
    <col min="9" max="9" width="10.875" style="32" customWidth="1"/>
    <col min="10" max="10" width="13.5" customWidth="1"/>
    <col min="11" max="12" width="9" style="32"/>
    <col min="13" max="13" width="10.75" style="33" customWidth="1"/>
  </cols>
  <sheetData>
    <row r="1" spans="1:21">
      <c r="B1" s="32" t="s">
        <v>117</v>
      </c>
      <c r="C1" s="33" t="s">
        <v>97</v>
      </c>
      <c r="D1" s="32" t="s">
        <v>193</v>
      </c>
      <c r="E1" s="32" t="s">
        <v>194</v>
      </c>
      <c r="F1" s="32" t="s">
        <v>195</v>
      </c>
      <c r="G1" s="32" t="s">
        <v>196</v>
      </c>
      <c r="H1" s="32" t="s">
        <v>197</v>
      </c>
      <c r="I1" s="32" t="s">
        <v>198</v>
      </c>
      <c r="J1" t="s">
        <v>199</v>
      </c>
      <c r="K1" s="32" t="s">
        <v>106</v>
      </c>
      <c r="L1" s="32" t="s">
        <v>200</v>
      </c>
      <c r="M1" s="33" t="s">
        <v>201</v>
      </c>
      <c r="N1" t="s">
        <v>202</v>
      </c>
      <c r="O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</row>
    <row r="2" customFormat="1" spans="1:21">
      <c r="A2" s="34" t="s">
        <v>135</v>
      </c>
      <c r="B2" s="32">
        <v>2.16</v>
      </c>
      <c r="C2" s="33"/>
      <c r="D2" s="32">
        <v>3.24</v>
      </c>
      <c r="E2" s="32"/>
      <c r="F2" s="32"/>
      <c r="G2" s="32"/>
      <c r="H2" s="32">
        <v>0.3</v>
      </c>
      <c r="I2" s="32"/>
      <c r="J2" s="31"/>
      <c r="K2" s="32">
        <v>1</v>
      </c>
      <c r="L2" s="32">
        <v>0.3</v>
      </c>
      <c r="M2" s="33">
        <f>IF(期望!$I$3="√",20,0)</f>
        <v>20</v>
      </c>
      <c r="N2">
        <v>0</v>
      </c>
      <c r="O2" t="s">
        <v>209</v>
      </c>
      <c r="P2" t="s">
        <v>85</v>
      </c>
      <c r="Q2" t="s">
        <v>3</v>
      </c>
      <c r="R2">
        <f>IF(期望!$G$5="撼天",1,0)</f>
        <v>1</v>
      </c>
      <c r="S2">
        <f>IF(期望!$I$3="√",1,0)</f>
        <v>1</v>
      </c>
    </row>
    <row r="3" customFormat="1" spans="1:21">
      <c r="A3" s="34" t="s">
        <v>210</v>
      </c>
      <c r="B3" s="32">
        <v>2.16</v>
      </c>
      <c r="C3" s="33"/>
      <c r="D3" s="32">
        <v>3.24</v>
      </c>
      <c r="E3" s="32"/>
      <c r="F3" s="32"/>
      <c r="G3" s="32"/>
      <c r="H3" s="32">
        <f>30%+IF(期望!$G$19="√",10%,0)</f>
        <v>0.3</v>
      </c>
      <c r="I3" s="32"/>
      <c r="J3" s="31"/>
      <c r="K3" s="32">
        <v>1</v>
      </c>
      <c r="L3" s="32">
        <v>0.3</v>
      </c>
      <c r="M3" s="33">
        <f>IF(期望!$I$3="√",20,0)</f>
        <v>20</v>
      </c>
      <c r="N3">
        <v>0</v>
      </c>
      <c r="O3" t="s">
        <v>209</v>
      </c>
      <c r="P3" t="s">
        <v>85</v>
      </c>
      <c r="Q3" t="s">
        <v>3</v>
      </c>
      <c r="R3">
        <f>IF(期望!$G$5="撼天",1,0)</f>
        <v>1</v>
      </c>
      <c r="S3">
        <f>IF(期望!$I$3="√",1,0)</f>
        <v>1</v>
      </c>
    </row>
    <row r="4" customFormat="1" spans="1:21">
      <c r="A4" s="34" t="s">
        <v>211</v>
      </c>
      <c r="B4" s="32">
        <v>2.16</v>
      </c>
      <c r="C4" s="33"/>
      <c r="D4" s="32">
        <v>3.24</v>
      </c>
      <c r="E4" s="32"/>
      <c r="F4" s="32"/>
      <c r="G4" s="32"/>
      <c r="H4" s="32">
        <v>0.3</v>
      </c>
      <c r="I4" s="32"/>
      <c r="J4" s="31"/>
      <c r="K4" s="32">
        <v>1</v>
      </c>
      <c r="L4" s="32">
        <v>0.32</v>
      </c>
      <c r="M4" s="33">
        <f>IF(期望!$I$3="√",20,0)</f>
        <v>20</v>
      </c>
      <c r="N4">
        <v>0</v>
      </c>
      <c r="O4" t="s">
        <v>209</v>
      </c>
      <c r="P4" t="s">
        <v>85</v>
      </c>
      <c r="Q4" t="s">
        <v>3</v>
      </c>
      <c r="R4">
        <f>IF(期望!$G$5="撼天",1,0)</f>
        <v>1</v>
      </c>
      <c r="S4">
        <f>IF(期望!$I$3="√",1,0)</f>
        <v>1</v>
      </c>
    </row>
    <row r="5" customFormat="1" spans="1:21">
      <c r="A5" s="34" t="s">
        <v>151</v>
      </c>
      <c r="B5" s="32">
        <v>2.16</v>
      </c>
      <c r="C5" s="33"/>
      <c r="D5" s="32">
        <v>3.24</v>
      </c>
      <c r="E5" s="32"/>
      <c r="F5" s="32"/>
      <c r="G5" s="32"/>
      <c r="H5" s="32">
        <f>30%+IF(期望!$H$3="√",25%,0)</f>
        <v>0.3</v>
      </c>
      <c r="I5" s="32"/>
      <c r="J5" s="31"/>
      <c r="K5" s="32">
        <v>1</v>
      </c>
      <c r="L5" s="32">
        <f>30%+VLOOKUP(期望!$F$7,目标属性!$A:$R,4,FALSE)</f>
        <v>0.4</v>
      </c>
      <c r="M5" s="33">
        <f>IF(期望!$I$3="√",20,0)+IF(期望!$H$3="√",25,0)</f>
        <v>20</v>
      </c>
      <c r="N5">
        <v>0</v>
      </c>
      <c r="O5" t="s">
        <v>209</v>
      </c>
      <c r="P5" t="s">
        <v>85</v>
      </c>
      <c r="Q5" t="s">
        <v>3</v>
      </c>
      <c r="R5">
        <f>IF(期望!$G$5="撼天",1,0)</f>
        <v>1</v>
      </c>
      <c r="S5">
        <f>IF(期望!$I$3="√",1,0)</f>
        <v>1</v>
      </c>
    </row>
    <row r="6" customFormat="1" spans="1:21">
      <c r="A6" s="34" t="s">
        <v>129</v>
      </c>
      <c r="B6" s="32">
        <v>2.16</v>
      </c>
      <c r="C6" s="33"/>
      <c r="D6" s="32">
        <v>3.24</v>
      </c>
      <c r="E6" s="32"/>
      <c r="F6" s="32"/>
      <c r="G6" s="32"/>
      <c r="H6" s="32">
        <v>0.3</v>
      </c>
      <c r="I6" s="32"/>
      <c r="J6" s="31"/>
      <c r="K6" s="32">
        <v>1</v>
      </c>
      <c r="L6" s="32">
        <v>0.3</v>
      </c>
      <c r="M6" s="33">
        <f>IF(期望!$I$3="√",20,0)</f>
        <v>20</v>
      </c>
      <c r="N6">
        <v>0</v>
      </c>
      <c r="O6" t="s">
        <v>209</v>
      </c>
      <c r="P6" t="s">
        <v>87</v>
      </c>
      <c r="Q6" t="s">
        <v>3</v>
      </c>
      <c r="R6">
        <f>IF(期望!$G$5="撼天",1,0)</f>
        <v>1</v>
      </c>
      <c r="S6">
        <f>IF(期望!$I$3="√",1,0)</f>
        <v>1</v>
      </c>
    </row>
    <row r="7" customFormat="1" spans="1:21">
      <c r="A7" s="34" t="s">
        <v>212</v>
      </c>
      <c r="B7" s="32">
        <v>2.16</v>
      </c>
      <c r="C7" s="33"/>
      <c r="D7" s="32">
        <v>3.24</v>
      </c>
      <c r="E7" s="32"/>
      <c r="F7" s="32"/>
      <c r="G7" s="32"/>
      <c r="H7" s="32">
        <f>30%+IF(期望!$G$19="√",10%,0)</f>
        <v>0.3</v>
      </c>
      <c r="I7" s="32"/>
      <c r="J7" s="31"/>
      <c r="K7" s="32">
        <v>1</v>
      </c>
      <c r="L7" s="32">
        <v>0.3</v>
      </c>
      <c r="M7" s="33">
        <f>IF(期望!$I$3="√",20,0)</f>
        <v>20</v>
      </c>
      <c r="N7">
        <v>0</v>
      </c>
      <c r="O7" t="s">
        <v>209</v>
      </c>
      <c r="P7" t="s">
        <v>87</v>
      </c>
      <c r="Q7" t="s">
        <v>3</v>
      </c>
      <c r="R7">
        <f>IF(期望!$G$5="撼天",1,0)</f>
        <v>1</v>
      </c>
      <c r="S7">
        <f>IF(期望!$I$3="√",1,0)</f>
        <v>1</v>
      </c>
    </row>
    <row r="8" customFormat="1" spans="1:21">
      <c r="A8" s="34" t="s">
        <v>213</v>
      </c>
      <c r="B8" s="32">
        <v>2.16</v>
      </c>
      <c r="C8" s="33"/>
      <c r="D8" s="32">
        <v>3.24</v>
      </c>
      <c r="E8" s="32"/>
      <c r="F8" s="32"/>
      <c r="G8" s="32"/>
      <c r="H8" s="32">
        <v>0.3</v>
      </c>
      <c r="I8" s="32"/>
      <c r="J8" s="31"/>
      <c r="K8" s="32">
        <v>1</v>
      </c>
      <c r="L8" s="32">
        <f>30%+2%</f>
        <v>0.32</v>
      </c>
      <c r="M8" s="33">
        <f>IF(期望!$I$3="√",20,0)</f>
        <v>20</v>
      </c>
      <c r="N8">
        <v>0</v>
      </c>
      <c r="O8" t="s">
        <v>209</v>
      </c>
      <c r="P8" t="s">
        <v>87</v>
      </c>
      <c r="Q8" t="s">
        <v>3</v>
      </c>
      <c r="R8">
        <f>IF(期望!$G$5="撼天",1,0)</f>
        <v>1</v>
      </c>
      <c r="S8">
        <f>IF(期望!$I$3="√",1,0)</f>
        <v>1</v>
      </c>
    </row>
    <row r="9" customFormat="1" spans="1:21">
      <c r="A9" s="34" t="s">
        <v>214</v>
      </c>
      <c r="B9" s="32">
        <v>2.16</v>
      </c>
      <c r="C9" s="33"/>
      <c r="D9" s="32">
        <v>3.24</v>
      </c>
      <c r="E9" s="32"/>
      <c r="F9" s="32"/>
      <c r="G9" s="32"/>
      <c r="H9" s="32">
        <f>30%+IF(期望!$H$3="√",25%,0)</f>
        <v>0.3</v>
      </c>
      <c r="I9" s="32"/>
      <c r="J9" s="31"/>
      <c r="K9" s="32">
        <v>1</v>
      </c>
      <c r="L9" s="32">
        <f>30%+VLOOKUP(期望!$F$7,目标属性!$A:$R,4,FALSE)</f>
        <v>0.4</v>
      </c>
      <c r="M9" s="33">
        <f>IF(期望!$I$3="√",20,0)+IF(期望!$H$3="√",25,0)</f>
        <v>20</v>
      </c>
      <c r="N9">
        <v>0</v>
      </c>
      <c r="O9" t="s">
        <v>209</v>
      </c>
      <c r="P9" t="s">
        <v>87</v>
      </c>
      <c r="Q9" t="s">
        <v>3</v>
      </c>
      <c r="R9">
        <f>IF(期望!$G$5="撼天",1,0)</f>
        <v>1</v>
      </c>
      <c r="S9">
        <f>IF(期望!$I$3="√",1,0)</f>
        <v>1</v>
      </c>
    </row>
    <row r="10" customFormat="1" spans="1:21">
      <c r="A10" s="34" t="s">
        <v>141</v>
      </c>
      <c r="B10" s="32">
        <v>1.8</v>
      </c>
      <c r="C10" s="33"/>
      <c r="D10" s="32">
        <f t="shared" ref="D10:D13" si="0">B10*1.5</f>
        <v>2.7</v>
      </c>
      <c r="E10" s="32"/>
      <c r="F10" s="32"/>
      <c r="G10" s="32"/>
      <c r="H10" s="32">
        <v>0.3</v>
      </c>
      <c r="I10" s="32"/>
      <c r="J10" s="31"/>
      <c r="K10" s="32">
        <v>1</v>
      </c>
      <c r="L10" s="32">
        <v>0.3</v>
      </c>
      <c r="M10" s="33">
        <f>IF(期望!$I$3="√",20,0)</f>
        <v>20</v>
      </c>
      <c r="N10">
        <v>0</v>
      </c>
      <c r="O10" t="s">
        <v>209</v>
      </c>
      <c r="P10" t="s">
        <v>87</v>
      </c>
      <c r="Q10" t="s">
        <v>3</v>
      </c>
      <c r="R10">
        <f>IF(期望!$G$5="撼天",1,0)</f>
        <v>1</v>
      </c>
      <c r="S10">
        <f>IF(期望!$I$3="√",1,0)</f>
        <v>1</v>
      </c>
    </row>
    <row r="11" customFormat="1" spans="1:21">
      <c r="A11" s="34" t="s">
        <v>215</v>
      </c>
      <c r="B11" s="32">
        <v>1.8</v>
      </c>
      <c r="C11" s="33"/>
      <c r="D11" s="32">
        <f t="shared" si="0"/>
        <v>2.7</v>
      </c>
      <c r="E11" s="32"/>
      <c r="F11" s="32"/>
      <c r="G11" s="32"/>
      <c r="H11" s="32">
        <f>30%+IF(期望!$G$19="√",10%,0)</f>
        <v>0.3</v>
      </c>
      <c r="I11" s="32"/>
      <c r="J11" s="31"/>
      <c r="K11" s="32">
        <v>1</v>
      </c>
      <c r="L11" s="32">
        <v>0.3</v>
      </c>
      <c r="M11" s="33">
        <f>IF(期望!$I$3="√",20,0)</f>
        <v>20</v>
      </c>
      <c r="N11">
        <v>0</v>
      </c>
      <c r="O11" t="s">
        <v>209</v>
      </c>
      <c r="P11" t="s">
        <v>87</v>
      </c>
      <c r="Q11" t="s">
        <v>3</v>
      </c>
      <c r="R11">
        <f>IF(期望!$G$5="撼天",1,0)</f>
        <v>1</v>
      </c>
      <c r="S11">
        <f>IF(期望!$I$3="√",1,0)</f>
        <v>1</v>
      </c>
    </row>
    <row r="12" customFormat="1" spans="1:21">
      <c r="A12" s="34" t="s">
        <v>216</v>
      </c>
      <c r="B12" s="32">
        <v>1.8</v>
      </c>
      <c r="C12" s="33"/>
      <c r="D12" s="32">
        <f t="shared" si="0"/>
        <v>2.7</v>
      </c>
      <c r="E12" s="32"/>
      <c r="F12" s="32"/>
      <c r="G12" s="32"/>
      <c r="H12" s="32">
        <f>30%+IF(期望!$H$3="√",25%,0)</f>
        <v>0.3</v>
      </c>
      <c r="I12" s="32"/>
      <c r="J12" s="31"/>
      <c r="K12" s="32">
        <v>1</v>
      </c>
      <c r="L12" s="32">
        <f>30%+VLOOKUP(期望!$F$7,目标属性!$A:$R,4,FALSE)</f>
        <v>0.4</v>
      </c>
      <c r="M12" s="33">
        <f>IF(期望!$I$3="√",20,0)+IF(期望!$H$3="√",25,0)</f>
        <v>20</v>
      </c>
      <c r="N12">
        <v>0</v>
      </c>
      <c r="O12" t="s">
        <v>209</v>
      </c>
      <c r="P12" t="s">
        <v>87</v>
      </c>
      <c r="Q12" t="s">
        <v>3</v>
      </c>
      <c r="R12">
        <f>IF(期望!$G$5="撼天",1,0)</f>
        <v>1</v>
      </c>
      <c r="S12">
        <f>IF(期望!$I$3="√",1,0)</f>
        <v>1</v>
      </c>
    </row>
    <row r="13" customFormat="1" spans="1:21">
      <c r="A13" s="34" t="s">
        <v>217</v>
      </c>
      <c r="B13" s="32">
        <v>1.8</v>
      </c>
      <c r="C13" s="33"/>
      <c r="D13" s="32">
        <f t="shared" si="0"/>
        <v>2.7</v>
      </c>
      <c r="E13" s="32"/>
      <c r="F13" s="32"/>
      <c r="G13" s="32"/>
      <c r="H13" s="32">
        <v>0.3</v>
      </c>
      <c r="I13" s="32"/>
      <c r="J13" s="31"/>
      <c r="K13" s="32">
        <v>1</v>
      </c>
      <c r="L13" s="32">
        <v>0.32</v>
      </c>
      <c r="M13" s="33">
        <f>IF(期望!$I$3="√",20,0)</f>
        <v>20</v>
      </c>
      <c r="N13">
        <v>0</v>
      </c>
      <c r="O13" t="s">
        <v>209</v>
      </c>
      <c r="P13" t="s">
        <v>87</v>
      </c>
      <c r="Q13" t="s">
        <v>3</v>
      </c>
      <c r="R13">
        <f>IF(期望!$G$5="撼天",1,0)</f>
        <v>1</v>
      </c>
      <c r="S13">
        <f>IF(期望!$I$3="√",1,0)</f>
        <v>1</v>
      </c>
    </row>
    <row r="14" customFormat="1" spans="1:21">
      <c r="A14" s="34" t="s">
        <v>132</v>
      </c>
      <c r="B14" s="32">
        <f>48.84%*3+97.69%</f>
        <v>2.4421</v>
      </c>
      <c r="C14" s="33">
        <f>135*3+270</f>
        <v>675</v>
      </c>
      <c r="D14" s="32">
        <f>73.27%*3+146.53%</f>
        <v>3.6634</v>
      </c>
      <c r="E14" s="32"/>
      <c r="F14" s="32"/>
      <c r="G14" s="32"/>
      <c r="H14" s="32"/>
      <c r="I14" s="32"/>
      <c r="K14" s="32">
        <v>1</v>
      </c>
      <c r="L14" s="32"/>
      <c r="M14" s="33"/>
      <c r="N14">
        <v>0</v>
      </c>
      <c r="O14" t="s">
        <v>218</v>
      </c>
      <c r="P14" t="s">
        <v>85</v>
      </c>
      <c r="Q14" t="s">
        <v>3</v>
      </c>
    </row>
    <row r="15" customFormat="1" spans="1:21">
      <c r="A15" s="34" t="s">
        <v>219</v>
      </c>
      <c r="B15" s="32">
        <f>48.84%*3+97.69%</f>
        <v>2.4421</v>
      </c>
      <c r="C15" s="33">
        <f>135*3+270</f>
        <v>675</v>
      </c>
      <c r="D15" s="32">
        <f>73.27%*3+146.53%</f>
        <v>3.6634</v>
      </c>
      <c r="E15" s="32"/>
      <c r="F15" s="32"/>
      <c r="G15" s="32"/>
      <c r="H15" s="32">
        <f>IF(期望!$G$19="√",10%,0)</f>
        <v>0</v>
      </c>
      <c r="I15" s="32"/>
      <c r="K15" s="32">
        <v>1</v>
      </c>
      <c r="L15" s="32"/>
      <c r="M15" s="33"/>
      <c r="N15">
        <v>0</v>
      </c>
      <c r="O15" t="s">
        <v>218</v>
      </c>
      <c r="P15" t="s">
        <v>85</v>
      </c>
      <c r="Q15" t="s">
        <v>3</v>
      </c>
    </row>
    <row r="16" customFormat="1" spans="1:21">
      <c r="A16" s="34" t="s">
        <v>220</v>
      </c>
      <c r="B16" s="32">
        <f>48.84%*3+97.69%</f>
        <v>2.4421</v>
      </c>
      <c r="C16" s="33">
        <f>135*3+270</f>
        <v>675</v>
      </c>
      <c r="D16" s="32">
        <f>73.27%*3+146.53%</f>
        <v>3.6634</v>
      </c>
      <c r="E16" s="32"/>
      <c r="F16" s="32"/>
      <c r="G16" s="32"/>
      <c r="H16" s="32"/>
      <c r="I16" s="32"/>
      <c r="K16" s="32">
        <v>1</v>
      </c>
      <c r="L16" s="32">
        <v>0.02</v>
      </c>
      <c r="M16" s="33"/>
      <c r="N16">
        <v>0</v>
      </c>
      <c r="O16" t="s">
        <v>218</v>
      </c>
      <c r="P16" t="s">
        <v>85</v>
      </c>
      <c r="Q16" t="s">
        <v>3</v>
      </c>
    </row>
    <row r="17" customFormat="1" spans="1:19">
      <c r="A17" s="34" t="s">
        <v>149</v>
      </c>
      <c r="B17" s="32">
        <f>48.84%*3+97.69%</f>
        <v>2.4421</v>
      </c>
      <c r="C17" s="33">
        <f>135*3+270</f>
        <v>675</v>
      </c>
      <c r="D17" s="32">
        <f>73.27%*3+146.53%</f>
        <v>3.6634</v>
      </c>
      <c r="E17" s="32"/>
      <c r="F17" s="32"/>
      <c r="G17" s="32"/>
      <c r="H17" s="32">
        <f>IF(期望!$H$3="√",25%,0)</f>
        <v>0</v>
      </c>
      <c r="I17" s="32"/>
      <c r="K17" s="32">
        <v>1</v>
      </c>
      <c r="L17" s="32">
        <f>VLOOKUP(期望!$F$7,目标属性!$A:$R,4,FALSE)</f>
        <v>0.1</v>
      </c>
      <c r="M17" s="33">
        <f>IF(期望!$H$3="√",25,0)</f>
        <v>0</v>
      </c>
      <c r="N17">
        <v>0</v>
      </c>
      <c r="O17" t="s">
        <v>218</v>
      </c>
      <c r="P17" t="s">
        <v>85</v>
      </c>
      <c r="Q17" t="s">
        <v>3</v>
      </c>
    </row>
    <row r="18" customFormat="1" spans="1:19">
      <c r="A18" s="34" t="s">
        <v>131</v>
      </c>
      <c r="B18" s="32">
        <v>1.1005</v>
      </c>
      <c r="C18" s="33">
        <v>305</v>
      </c>
      <c r="D18" s="32">
        <v>1.6507</v>
      </c>
      <c r="E18" s="32"/>
      <c r="F18" s="32"/>
      <c r="G18" s="32"/>
      <c r="H18" s="32"/>
      <c r="I18" s="32"/>
      <c r="K18" s="32">
        <v>1</v>
      </c>
      <c r="L18" s="32"/>
      <c r="M18" s="33"/>
      <c r="N18">
        <v>0</v>
      </c>
      <c r="O18" t="s">
        <v>218</v>
      </c>
      <c r="P18" t="s">
        <v>85</v>
      </c>
      <c r="Q18" t="s">
        <v>3</v>
      </c>
    </row>
    <row r="19" customFormat="1" spans="1:19">
      <c r="A19" s="34" t="s">
        <v>136</v>
      </c>
      <c r="B19" s="32">
        <f>22.93%*4*1.8+61.15%*1.8</f>
        <v>2.75166</v>
      </c>
      <c r="C19" s="33">
        <f>64*4*1.8+169*1.8</f>
        <v>765</v>
      </c>
      <c r="D19" s="32">
        <f>34.4%*4*1.8+91.72%*1.8</f>
        <v>4.12776</v>
      </c>
      <c r="E19" s="32"/>
      <c r="F19" s="32"/>
      <c r="G19" s="32"/>
      <c r="H19" s="32">
        <v>0.3</v>
      </c>
      <c r="I19" s="32"/>
      <c r="K19" s="32">
        <v>1</v>
      </c>
      <c r="L19" s="32">
        <v>0.3</v>
      </c>
      <c r="M19" s="33"/>
      <c r="N19">
        <v>0</v>
      </c>
      <c r="O19" t="s">
        <v>218</v>
      </c>
      <c r="P19" t="s">
        <v>85</v>
      </c>
      <c r="Q19" t="s">
        <v>3</v>
      </c>
      <c r="R19">
        <v>1</v>
      </c>
      <c r="S19">
        <v>1</v>
      </c>
    </row>
    <row r="20" customFormat="1" spans="1:19">
      <c r="A20" s="34" t="s">
        <v>148</v>
      </c>
      <c r="B20" s="32">
        <v>1.1005</v>
      </c>
      <c r="C20" s="33">
        <v>305</v>
      </c>
      <c r="D20" s="32">
        <v>1.6507</v>
      </c>
      <c r="E20" s="32"/>
      <c r="F20" s="32"/>
      <c r="G20" s="32"/>
      <c r="H20" s="32">
        <f>IF(期望!$H$3="√",25%,0)</f>
        <v>0</v>
      </c>
      <c r="I20" s="32"/>
      <c r="K20" s="32">
        <v>1</v>
      </c>
      <c r="L20" s="32">
        <f>VLOOKUP(期望!$F$7,目标属性!$A:$R,4,FALSE)</f>
        <v>0.1</v>
      </c>
      <c r="M20" s="33">
        <f>IF(期望!$H$3="√",25,0)</f>
        <v>0</v>
      </c>
      <c r="N20">
        <v>0</v>
      </c>
      <c r="O20" t="s">
        <v>218</v>
      </c>
      <c r="P20" t="s">
        <v>85</v>
      </c>
      <c r="Q20" t="s">
        <v>3</v>
      </c>
    </row>
    <row r="21" customFormat="1" spans="1:19">
      <c r="A21" s="34" t="s">
        <v>152</v>
      </c>
      <c r="B21" s="32">
        <f>22.93%*4*1.8+61.15%*1.8</f>
        <v>2.75166</v>
      </c>
      <c r="C21" s="33">
        <f>64*4*1.8+169*1.8</f>
        <v>765</v>
      </c>
      <c r="D21" s="32">
        <f>34.4%*4*1.8+91.72%*1.8</f>
        <v>4.12776</v>
      </c>
      <c r="E21" s="32"/>
      <c r="F21" s="32"/>
      <c r="G21" s="32"/>
      <c r="H21" s="32">
        <f>IF(期望!$H$3="√",25%,0)+30%</f>
        <v>0.3</v>
      </c>
      <c r="I21" s="32"/>
      <c r="K21" s="32">
        <v>1</v>
      </c>
      <c r="L21" s="32">
        <f>30%+VLOOKUP(期望!$F$7,目标属性!$A:$R,4,FALSE)</f>
        <v>0.4</v>
      </c>
      <c r="M21" s="33">
        <f>IF(期望!$H$3="√",25,0)</f>
        <v>0</v>
      </c>
      <c r="N21">
        <v>0</v>
      </c>
      <c r="O21" t="s">
        <v>218</v>
      </c>
      <c r="P21" t="s">
        <v>85</v>
      </c>
      <c r="Q21" t="s">
        <v>3</v>
      </c>
    </row>
    <row r="22" customFormat="1" spans="1:19">
      <c r="A22" s="34" t="s">
        <v>221</v>
      </c>
      <c r="B22" s="32">
        <v>1.1005</v>
      </c>
      <c r="C22" s="33">
        <v>305</v>
      </c>
      <c r="D22" s="32">
        <v>1.6507</v>
      </c>
      <c r="E22" s="32"/>
      <c r="F22" s="32"/>
      <c r="G22" s="32"/>
      <c r="H22" s="32"/>
      <c r="I22" s="32"/>
      <c r="K22" s="32">
        <v>1</v>
      </c>
      <c r="L22" s="32">
        <v>0.02</v>
      </c>
      <c r="M22" s="33"/>
      <c r="N22">
        <v>0</v>
      </c>
      <c r="O22" t="s">
        <v>218</v>
      </c>
      <c r="P22" t="s">
        <v>85</v>
      </c>
      <c r="Q22" t="s">
        <v>3</v>
      </c>
    </row>
    <row r="23" customFormat="1" spans="1:19">
      <c r="A23" s="34" t="s">
        <v>222</v>
      </c>
      <c r="B23" s="32">
        <f>22.93%*4*1.8+61.15%*1.8</f>
        <v>2.75166</v>
      </c>
      <c r="C23" s="33">
        <f>64*4*1.8+169*1.8</f>
        <v>765</v>
      </c>
      <c r="D23" s="32">
        <f>34.4%*4*1.8+91.72%*1.8</f>
        <v>4.12776</v>
      </c>
      <c r="E23" s="32"/>
      <c r="F23" s="32"/>
      <c r="G23" s="32"/>
      <c r="H23" s="32">
        <v>0.3</v>
      </c>
      <c r="I23" s="32"/>
      <c r="K23" s="32">
        <v>1</v>
      </c>
      <c r="L23" s="32">
        <v>0.32</v>
      </c>
      <c r="M23" s="33"/>
      <c r="N23">
        <v>0</v>
      </c>
      <c r="O23" t="s">
        <v>218</v>
      </c>
      <c r="P23" t="s">
        <v>85</v>
      </c>
      <c r="Q23" t="s">
        <v>3</v>
      </c>
      <c r="R23">
        <v>1</v>
      </c>
      <c r="S23">
        <v>1</v>
      </c>
    </row>
    <row r="24" customFormat="1" spans="1:19">
      <c r="A24" s="34" t="s">
        <v>223</v>
      </c>
      <c r="B24" s="32">
        <v>1.1005</v>
      </c>
      <c r="C24" s="33">
        <v>305</v>
      </c>
      <c r="D24" s="32">
        <v>1.6507</v>
      </c>
      <c r="E24" s="32"/>
      <c r="F24" s="32"/>
      <c r="G24" s="32"/>
      <c r="H24" s="32">
        <f>IF(期望!$G$19="√",10%,0)</f>
        <v>0</v>
      </c>
      <c r="I24" s="32"/>
      <c r="K24" s="32">
        <v>1</v>
      </c>
      <c r="L24" s="32">
        <v>0.02</v>
      </c>
      <c r="M24" s="33"/>
      <c r="N24">
        <v>0</v>
      </c>
      <c r="O24" t="s">
        <v>218</v>
      </c>
      <c r="P24" t="s">
        <v>85</v>
      </c>
      <c r="Q24" t="s">
        <v>3</v>
      </c>
    </row>
    <row r="25" customFormat="1" spans="1:19">
      <c r="A25" s="34" t="s">
        <v>224</v>
      </c>
      <c r="B25" s="32">
        <f>22.93%*4*1.8+61.15%*1.8</f>
        <v>2.75166</v>
      </c>
      <c r="C25" s="33">
        <f>64*4*1.8+169*1.8</f>
        <v>765</v>
      </c>
      <c r="D25" s="32">
        <f>34.4%*4*1.8+91.72%*1.8</f>
        <v>4.12776</v>
      </c>
      <c r="E25" s="32"/>
      <c r="F25" s="32"/>
      <c r="G25" s="32"/>
      <c r="H25" s="32">
        <f>30%+IF(期望!$G$19="√",10%,0)</f>
        <v>0.3</v>
      </c>
      <c r="I25" s="32"/>
      <c r="K25" s="32">
        <v>1</v>
      </c>
      <c r="L25" s="32">
        <v>0.32</v>
      </c>
      <c r="M25" s="33"/>
      <c r="N25">
        <v>0</v>
      </c>
      <c r="O25" t="s">
        <v>218</v>
      </c>
      <c r="P25" t="s">
        <v>85</v>
      </c>
      <c r="Q25" t="s">
        <v>3</v>
      </c>
      <c r="R25">
        <v>1</v>
      </c>
      <c r="S25">
        <v>1</v>
      </c>
    </row>
    <row r="26" customFormat="1" spans="1:19">
      <c r="A26" s="34" t="s">
        <v>225</v>
      </c>
      <c r="B26" s="32">
        <v>0.3564</v>
      </c>
      <c r="C26" s="33">
        <v>100</v>
      </c>
      <c r="D26" s="32">
        <v>0.5346</v>
      </c>
      <c r="E26" s="32"/>
      <c r="F26" s="32"/>
      <c r="G26" s="32"/>
      <c r="H26" s="32"/>
      <c r="I26" s="32"/>
      <c r="K26" s="32">
        <v>1</v>
      </c>
      <c r="L26" s="32">
        <f>IF(期望!$G$5="烟柳",12%,0)</f>
        <v>0</v>
      </c>
      <c r="M26" s="33"/>
      <c r="N26">
        <v>0</v>
      </c>
      <c r="O26" t="s">
        <v>218</v>
      </c>
      <c r="P26" t="s">
        <v>85</v>
      </c>
      <c r="Q26" t="s">
        <v>3</v>
      </c>
    </row>
    <row r="27" customFormat="1" spans="1:19">
      <c r="A27" s="34" t="s">
        <v>226</v>
      </c>
      <c r="B27" s="32">
        <v>0.3921</v>
      </c>
      <c r="C27" s="33">
        <v>110</v>
      </c>
      <c r="D27" s="32">
        <v>0.5882</v>
      </c>
      <c r="E27" s="32"/>
      <c r="F27" s="32"/>
      <c r="G27" s="32"/>
      <c r="H27" s="32"/>
      <c r="I27" s="32"/>
      <c r="K27" s="32">
        <v>1</v>
      </c>
      <c r="L27" s="32">
        <f>IF(期望!$G$5="烟柳",12%,0)</f>
        <v>0</v>
      </c>
      <c r="M27" s="33"/>
      <c r="N27">
        <v>0</v>
      </c>
      <c r="O27" t="s">
        <v>218</v>
      </c>
      <c r="P27" t="s">
        <v>85</v>
      </c>
      <c r="Q27" t="s">
        <v>3</v>
      </c>
    </row>
    <row r="28" customFormat="1" spans="1:19">
      <c r="A28" s="34" t="s">
        <v>144</v>
      </c>
      <c r="B28" s="32">
        <v>0.2529</v>
      </c>
      <c r="C28" s="33">
        <v>71</v>
      </c>
      <c r="D28" s="32">
        <v>0.3794</v>
      </c>
      <c r="E28" s="32"/>
      <c r="F28" s="32"/>
      <c r="G28" s="32"/>
      <c r="H28" s="32"/>
      <c r="I28" s="32"/>
      <c r="K28" s="32">
        <v>1</v>
      </c>
      <c r="L28" s="32">
        <f>IF(期望!$G$5="烟柳",12%,0)</f>
        <v>0</v>
      </c>
      <c r="M28" s="33"/>
      <c r="N28">
        <v>0</v>
      </c>
      <c r="O28" t="s">
        <v>218</v>
      </c>
      <c r="P28" t="s">
        <v>85</v>
      </c>
      <c r="Q28" t="s">
        <v>3</v>
      </c>
    </row>
    <row r="29" customFormat="1" spans="1:19">
      <c r="A29" s="34" t="s">
        <v>146</v>
      </c>
      <c r="B29" s="32">
        <v>0.3183</v>
      </c>
      <c r="C29" s="33">
        <v>89</v>
      </c>
      <c r="D29" s="32">
        <v>0.4774</v>
      </c>
      <c r="E29" s="32"/>
      <c r="F29" s="32"/>
      <c r="G29" s="32"/>
      <c r="H29" s="32"/>
      <c r="I29" s="32"/>
      <c r="K29" s="32">
        <v>1</v>
      </c>
      <c r="L29" s="32">
        <f>IF(期望!$G$5="烟柳",12%,0)</f>
        <v>0</v>
      </c>
      <c r="M29" s="33"/>
      <c r="N29">
        <v>0</v>
      </c>
      <c r="O29" t="s">
        <v>218</v>
      </c>
      <c r="P29" t="s">
        <v>85</v>
      </c>
      <c r="Q29" t="s">
        <v>3</v>
      </c>
    </row>
    <row r="30" customFormat="1" spans="1:19">
      <c r="A30" s="34" t="s">
        <v>227</v>
      </c>
      <c r="B30" s="32">
        <v>0.4674</v>
      </c>
      <c r="C30" s="33">
        <v>130</v>
      </c>
      <c r="D30" s="32">
        <v>0.701</v>
      </c>
      <c r="E30" s="32"/>
      <c r="F30" s="32"/>
      <c r="G30" s="32"/>
      <c r="H30" s="32"/>
      <c r="I30" s="32"/>
      <c r="K30" s="32">
        <v>1</v>
      </c>
      <c r="L30" s="32">
        <f>IF(期望!$G$5="烟柳",12%,0)</f>
        <v>0</v>
      </c>
      <c r="M30" s="33"/>
      <c r="N30">
        <v>0</v>
      </c>
      <c r="O30" t="s">
        <v>218</v>
      </c>
      <c r="P30" t="s">
        <v>85</v>
      </c>
      <c r="Q30" t="s">
        <v>3</v>
      </c>
    </row>
    <row r="31" customFormat="1" spans="1:19">
      <c r="A31" s="34" t="s">
        <v>228</v>
      </c>
      <c r="B31" s="32">
        <v>0.8202</v>
      </c>
      <c r="C31" s="33">
        <v>228</v>
      </c>
      <c r="D31" s="32">
        <v>1.2303</v>
      </c>
      <c r="E31" s="32"/>
      <c r="F31" s="32"/>
      <c r="G31" s="32"/>
      <c r="H31" s="32"/>
      <c r="I31" s="32"/>
      <c r="K31" s="32">
        <v>1</v>
      </c>
      <c r="L31" s="32">
        <f>IF(期望!$G$5="烟柳",12%,0)</f>
        <v>0</v>
      </c>
      <c r="M31" s="33"/>
      <c r="N31">
        <v>0</v>
      </c>
      <c r="O31" t="s">
        <v>218</v>
      </c>
      <c r="P31" t="s">
        <v>85</v>
      </c>
      <c r="Q31" t="s">
        <v>3</v>
      </c>
    </row>
    <row r="32" customFormat="1" spans="1:19">
      <c r="A32" s="34" t="s">
        <v>229</v>
      </c>
      <c r="B32" s="32">
        <v>0.9633</v>
      </c>
      <c r="C32" s="33">
        <v>270</v>
      </c>
      <c r="D32" s="32">
        <v>1.445</v>
      </c>
      <c r="E32" s="32"/>
      <c r="F32" s="32"/>
      <c r="G32" s="32"/>
      <c r="H32" s="32"/>
      <c r="I32" s="32"/>
      <c r="K32" s="32">
        <v>1</v>
      </c>
      <c r="L32" s="32">
        <f>IF(期望!$G$5="烟柳",12%,0)</f>
        <v>0</v>
      </c>
      <c r="M32" s="33"/>
      <c r="N32">
        <v>0</v>
      </c>
      <c r="O32" t="s">
        <v>218</v>
      </c>
      <c r="P32" t="s">
        <v>85</v>
      </c>
      <c r="Q32" t="s">
        <v>3</v>
      </c>
    </row>
    <row r="33" customFormat="1" spans="1:21">
      <c r="A33" s="34" t="s">
        <v>134</v>
      </c>
      <c r="B33" s="32">
        <v>1.2876</v>
      </c>
      <c r="C33" s="33">
        <v>358</v>
      </c>
      <c r="D33" s="32">
        <v>1.9313</v>
      </c>
      <c r="E33" s="32"/>
      <c r="F33" s="32"/>
      <c r="G33" s="32"/>
      <c r="H33" s="32"/>
      <c r="I33" s="32"/>
      <c r="K33" s="32">
        <v>1</v>
      </c>
      <c r="L33" s="32">
        <f>IF(期望!$G$5="烟柳",12%,0)</f>
        <v>0</v>
      </c>
      <c r="M33" s="33"/>
      <c r="N33">
        <v>0</v>
      </c>
      <c r="O33" t="s">
        <v>218</v>
      </c>
      <c r="P33" t="s">
        <v>85</v>
      </c>
      <c r="Q33" t="s">
        <v>3</v>
      </c>
    </row>
    <row r="34" customFormat="1" spans="1:21">
      <c r="A34" s="34" t="s">
        <v>230</v>
      </c>
      <c r="B34" s="32">
        <v>1.2876</v>
      </c>
      <c r="C34" s="33">
        <v>358</v>
      </c>
      <c r="D34" s="32">
        <v>1.9313</v>
      </c>
      <c r="E34" s="32"/>
      <c r="F34" s="32"/>
      <c r="G34" s="32"/>
      <c r="H34" s="32">
        <f>IF(期望!$G$19="√",10%,0)</f>
        <v>0</v>
      </c>
      <c r="I34" s="32"/>
      <c r="K34" s="32">
        <v>1</v>
      </c>
      <c r="L34" s="32">
        <f>IF(期望!$G$5="烟柳",12%,0)</f>
        <v>0</v>
      </c>
      <c r="M34" s="33"/>
      <c r="N34">
        <v>0</v>
      </c>
      <c r="O34" t="s">
        <v>218</v>
      </c>
      <c r="P34" t="s">
        <v>85</v>
      </c>
      <c r="Q34" t="s">
        <v>3</v>
      </c>
    </row>
    <row r="35" customFormat="1" spans="1:21">
      <c r="A35" s="34" t="s">
        <v>150</v>
      </c>
      <c r="B35" s="32">
        <v>1.2876</v>
      </c>
      <c r="C35" s="33">
        <v>358</v>
      </c>
      <c r="D35" s="32">
        <v>1.9313</v>
      </c>
      <c r="E35" s="32"/>
      <c r="F35" s="32"/>
      <c r="G35" s="32"/>
      <c r="H35" s="32">
        <f>IF(期望!$H$3="√",25%,0)</f>
        <v>0</v>
      </c>
      <c r="I35" s="32"/>
      <c r="K35" s="32">
        <v>1</v>
      </c>
      <c r="L35" s="32">
        <f>IF(期望!$G$5="烟柳",12%,0)+VLOOKUP(期望!$F$7,目标属性!$A:$R,4,FALSE)</f>
        <v>0.1</v>
      </c>
      <c r="M35" s="33">
        <f>IF(期望!$H$3="√",25,0)</f>
        <v>0</v>
      </c>
      <c r="N35">
        <v>0</v>
      </c>
      <c r="O35" t="s">
        <v>218</v>
      </c>
      <c r="P35" t="s">
        <v>85</v>
      </c>
      <c r="Q35" t="s">
        <v>3</v>
      </c>
    </row>
    <row r="36" customFormat="1" spans="1:21">
      <c r="A36" s="34" t="s">
        <v>231</v>
      </c>
      <c r="B36" s="32">
        <v>1.2876</v>
      </c>
      <c r="C36" s="33">
        <v>358</v>
      </c>
      <c r="D36" s="32">
        <v>1.9313</v>
      </c>
      <c r="E36" s="32"/>
      <c r="F36" s="32"/>
      <c r="G36" s="32"/>
      <c r="H36" s="32"/>
      <c r="I36" s="32"/>
      <c r="K36" s="32">
        <v>1</v>
      </c>
      <c r="L36" s="32">
        <f>2%+IF(期望!$G$5="烟柳",12%,0)</f>
        <v>0.02</v>
      </c>
      <c r="M36" s="33"/>
      <c r="N36">
        <v>0</v>
      </c>
      <c r="O36" t="s">
        <v>218</v>
      </c>
      <c r="P36" t="s">
        <v>85</v>
      </c>
      <c r="Q36" t="s">
        <v>3</v>
      </c>
    </row>
    <row r="37" customFormat="1" spans="1:21">
      <c r="A37" s="34" t="s">
        <v>143</v>
      </c>
      <c r="B37" s="32">
        <v>0.4349</v>
      </c>
      <c r="C37" s="33">
        <v>121</v>
      </c>
      <c r="D37" s="32">
        <v>0.6523</v>
      </c>
      <c r="E37" s="32"/>
      <c r="F37" s="32"/>
      <c r="G37" s="32"/>
      <c r="H37" s="32"/>
      <c r="I37" s="32"/>
      <c r="K37" s="32">
        <v>1</v>
      </c>
      <c r="L37" s="32">
        <f>IF(期望!$G$5="烟柳",12%,0)</f>
        <v>0</v>
      </c>
      <c r="M37" s="33"/>
      <c r="N37">
        <v>0</v>
      </c>
      <c r="O37" t="s">
        <v>218</v>
      </c>
      <c r="P37" t="s">
        <v>85</v>
      </c>
      <c r="Q37" t="s">
        <v>3</v>
      </c>
    </row>
    <row r="38" customFormat="1" ht="14" customHeight="1" spans="1:21">
      <c r="A38" s="34" t="s">
        <v>232</v>
      </c>
      <c r="B38" s="32">
        <f>1244.4%*1.4</f>
        <v>17.4216</v>
      </c>
      <c r="C38" s="33">
        <f>3441*1.4</f>
        <v>4817.4</v>
      </c>
      <c r="D38" s="32">
        <f>1866.6%*1.4</f>
        <v>26.1324</v>
      </c>
      <c r="E38" s="32"/>
      <c r="F38" s="32"/>
      <c r="G38" s="32"/>
      <c r="H38" s="32">
        <v>0.5</v>
      </c>
      <c r="I38" s="32"/>
      <c r="K38" s="32">
        <v>1</v>
      </c>
      <c r="L38" s="32">
        <f>30%+IF(期望!$G$5="烟柳",12%,0)</f>
        <v>0.3</v>
      </c>
      <c r="M38" s="33">
        <f>IF(期望!$I$3="√",20,0)</f>
        <v>20</v>
      </c>
      <c r="N38">
        <v>1</v>
      </c>
      <c r="O38" t="s">
        <v>218</v>
      </c>
      <c r="P38" t="s">
        <v>85</v>
      </c>
      <c r="Q38" t="s">
        <v>3</v>
      </c>
      <c r="R38">
        <f>IF(期望!$G$5="撼天",1,0)</f>
        <v>1</v>
      </c>
      <c r="S38">
        <f>IF(期望!$I$3="√",1,0)</f>
        <v>1</v>
      </c>
      <c r="T38">
        <v>1</v>
      </c>
    </row>
    <row r="39" customFormat="1" ht="12" customHeight="1" spans="1:21">
      <c r="A39" s="34" t="s">
        <v>130</v>
      </c>
      <c r="B39" s="32">
        <f>1618.05%*1.4</f>
        <v>22.6527</v>
      </c>
      <c r="C39" s="33">
        <f>4473*1.4</f>
        <v>6262.2</v>
      </c>
      <c r="D39" s="32">
        <f>2427.07%*1.4</f>
        <v>33.97898</v>
      </c>
      <c r="E39" s="32"/>
      <c r="F39" s="32"/>
      <c r="G39" s="32"/>
      <c r="H39" s="32">
        <f>50%</f>
        <v>0.5</v>
      </c>
      <c r="I39" s="32"/>
      <c r="K39" s="32">
        <v>1</v>
      </c>
      <c r="L39" s="32">
        <f>30%+IF(期望!$G$5="烟柳",12%,0)</f>
        <v>0.3</v>
      </c>
      <c r="M39" s="33">
        <f>IF(期望!$I$3="√",20,0)</f>
        <v>20</v>
      </c>
      <c r="N39">
        <v>1</v>
      </c>
      <c r="O39" t="s">
        <v>218</v>
      </c>
      <c r="P39" t="s">
        <v>85</v>
      </c>
      <c r="Q39" t="s">
        <v>3</v>
      </c>
      <c r="R39">
        <f>IF(期望!$G$5="撼天",1,0)</f>
        <v>1</v>
      </c>
      <c r="S39">
        <f>IF(期望!$I$3="√",1,0)</f>
        <v>1</v>
      </c>
      <c r="T39">
        <v>1</v>
      </c>
    </row>
    <row r="40" customFormat="1" spans="1:21">
      <c r="A40" s="34" t="s">
        <v>176</v>
      </c>
      <c r="B40" s="32">
        <f>1618.05%</f>
        <v>16.1805</v>
      </c>
      <c r="C40" s="33">
        <f>4473</f>
        <v>4473</v>
      </c>
      <c r="D40" s="32">
        <f>2427.07%</f>
        <v>24.2707</v>
      </c>
      <c r="E40" s="32"/>
      <c r="F40" s="32"/>
      <c r="G40" s="32"/>
      <c r="H40" s="32">
        <f>50%</f>
        <v>0.5</v>
      </c>
      <c r="I40" s="32"/>
      <c r="K40" s="32">
        <v>1</v>
      </c>
      <c r="L40" s="32">
        <f>30%+IF(期望!$G$5="烟柳",12%,0)</f>
        <v>0.3</v>
      </c>
      <c r="M40" s="33">
        <f>IF(期望!$I$3="√",20,0)</f>
        <v>20</v>
      </c>
      <c r="N40">
        <v>1</v>
      </c>
      <c r="O40" t="s">
        <v>218</v>
      </c>
      <c r="P40" t="s">
        <v>85</v>
      </c>
      <c r="Q40" t="s">
        <v>3</v>
      </c>
      <c r="R40">
        <f>IF(期望!$G$5="撼天",1,0)</f>
        <v>1</v>
      </c>
      <c r="S40">
        <f>IF(期望!$I$3="√",1,0)</f>
        <v>1</v>
      </c>
      <c r="T40">
        <v>1</v>
      </c>
      <c r="U40">
        <v>1</v>
      </c>
    </row>
    <row r="41" customFormat="1" spans="1:21">
      <c r="A41" s="34" t="s">
        <v>233</v>
      </c>
      <c r="B41" s="32">
        <f>1618.05%*1.4</f>
        <v>22.6527</v>
      </c>
      <c r="C41" s="33">
        <f>4473*1.4</f>
        <v>6262.2</v>
      </c>
      <c r="D41" s="32">
        <f>2427.07%*1.4</f>
        <v>33.97898</v>
      </c>
      <c r="E41" s="32"/>
      <c r="F41" s="32"/>
      <c r="G41" s="32"/>
      <c r="H41" s="32">
        <f>50%+IF(期望!$G$19="√",10%,0)</f>
        <v>0.5</v>
      </c>
      <c r="I41" s="32"/>
      <c r="K41" s="32">
        <v>1</v>
      </c>
      <c r="L41" s="32">
        <f>30%+IF(期望!$G$5="烟柳",12%,0)</f>
        <v>0.3</v>
      </c>
      <c r="M41" s="33">
        <f>IF(期望!$I$3="√",20,0)</f>
        <v>20</v>
      </c>
      <c r="N41">
        <v>1</v>
      </c>
      <c r="O41" t="s">
        <v>218</v>
      </c>
      <c r="P41" t="s">
        <v>85</v>
      </c>
      <c r="Q41" t="s">
        <v>3</v>
      </c>
      <c r="R41">
        <f>IF(期望!$G$5="撼天",1,0)</f>
        <v>1</v>
      </c>
      <c r="S41">
        <f>IF(期望!$I$3="√",1,0)</f>
        <v>1</v>
      </c>
      <c r="T41">
        <v>1</v>
      </c>
    </row>
    <row r="42" customFormat="1" spans="1:21">
      <c r="A42" s="34" t="s">
        <v>234</v>
      </c>
      <c r="B42" s="32">
        <f>1618.05%</f>
        <v>16.1805</v>
      </c>
      <c r="C42" s="33">
        <f>4473</f>
        <v>4473</v>
      </c>
      <c r="D42" s="32">
        <f>2427.07%</f>
        <v>24.2707</v>
      </c>
      <c r="E42" s="32"/>
      <c r="F42" s="32"/>
      <c r="G42" s="32"/>
      <c r="H42" s="32">
        <f>50%+IF(期望!$G$19="√",10%,0)</f>
        <v>0.5</v>
      </c>
      <c r="I42" s="32"/>
      <c r="K42" s="32">
        <v>1</v>
      </c>
      <c r="L42" s="32">
        <f>30%+IF(期望!$G$5="烟柳",12%,0)</f>
        <v>0.3</v>
      </c>
      <c r="M42" s="33">
        <f>IF(期望!$I$3="√",20,0)</f>
        <v>20</v>
      </c>
      <c r="N42">
        <v>1</v>
      </c>
      <c r="O42" t="s">
        <v>218</v>
      </c>
      <c r="P42" t="s">
        <v>85</v>
      </c>
      <c r="Q42" t="s">
        <v>3</v>
      </c>
      <c r="R42">
        <f>IF(期望!$G$5="撼天",1,0)</f>
        <v>1</v>
      </c>
      <c r="S42">
        <f>IF(期望!$I$3="√",1,0)</f>
        <v>1</v>
      </c>
      <c r="T42">
        <v>1</v>
      </c>
    </row>
    <row r="43" customFormat="1" spans="1:21">
      <c r="A43" s="34" t="s">
        <v>235</v>
      </c>
      <c r="B43" s="32">
        <f>1618.05%*1.4</f>
        <v>22.6527</v>
      </c>
      <c r="C43" s="33">
        <f>4473*1.4</f>
        <v>6262.2</v>
      </c>
      <c r="D43" s="32">
        <f>2427.07%*1.4</f>
        <v>33.97898</v>
      </c>
      <c r="E43" s="32"/>
      <c r="F43" s="32"/>
      <c r="G43" s="32"/>
      <c r="H43" s="32">
        <f>50%+IF(期望!$H$3="√",25%,0)</f>
        <v>0.5</v>
      </c>
      <c r="I43" s="32"/>
      <c r="K43" s="32">
        <v>1</v>
      </c>
      <c r="L43" s="32">
        <f>30%+IF(期望!$G$5="烟柳",12%,0)</f>
        <v>0.3</v>
      </c>
      <c r="M43" s="33">
        <f>IF(期望!$I$3="√",20,0)+IF(期望!$H$3="√",25,0)</f>
        <v>20</v>
      </c>
      <c r="N43">
        <v>1</v>
      </c>
      <c r="O43" t="s">
        <v>218</v>
      </c>
      <c r="P43" t="s">
        <v>85</v>
      </c>
      <c r="Q43" t="s">
        <v>3</v>
      </c>
      <c r="R43">
        <f>IF(期望!$G$5="撼天",1,0)</f>
        <v>1</v>
      </c>
      <c r="S43">
        <f>IF(期望!$I$3="√",1,0)</f>
        <v>1</v>
      </c>
      <c r="T43">
        <v>1</v>
      </c>
    </row>
    <row r="44" customFormat="1" spans="1:21">
      <c r="A44" s="34" t="s">
        <v>236</v>
      </c>
      <c r="B44" s="32">
        <f>1618.05%*1.4</f>
        <v>22.6527</v>
      </c>
      <c r="C44" s="33">
        <f>4473*1.4</f>
        <v>6262.2</v>
      </c>
      <c r="D44" s="32">
        <f>2427.07%*1.4</f>
        <v>33.97898</v>
      </c>
      <c r="E44" s="32"/>
      <c r="F44" s="32"/>
      <c r="G44" s="32"/>
      <c r="H44" s="32">
        <v>0.5</v>
      </c>
      <c r="I44" s="32"/>
      <c r="J44"/>
      <c r="K44" s="32">
        <v>1</v>
      </c>
      <c r="L44" s="32">
        <f>32%+IF(期望!$G$5="烟柳",12%,0)</f>
        <v>0.32</v>
      </c>
      <c r="M44" s="33">
        <f>IF(期望!$I$3="√",20,0)</f>
        <v>20</v>
      </c>
      <c r="N44">
        <v>1</v>
      </c>
      <c r="O44" t="s">
        <v>218</v>
      </c>
      <c r="P44" t="s">
        <v>85</v>
      </c>
      <c r="Q44" t="s">
        <v>3</v>
      </c>
      <c r="R44">
        <f>IF(期望!$G$5="撼天",1,0)</f>
        <v>1</v>
      </c>
      <c r="S44">
        <f>IF(期望!$I$3="√",1,0)</f>
        <v>1</v>
      </c>
      <c r="T44">
        <v>1</v>
      </c>
    </row>
    <row r="45" customFormat="1" spans="1:21">
      <c r="A45" s="34" t="s">
        <v>237</v>
      </c>
      <c r="B45" s="32">
        <v>0.7716</v>
      </c>
      <c r="C45" s="33">
        <v>214</v>
      </c>
      <c r="D45" s="32">
        <v>1.1574</v>
      </c>
      <c r="E45" s="32"/>
      <c r="F45" s="32"/>
      <c r="G45" s="32"/>
      <c r="H45" s="32"/>
      <c r="I45" s="32"/>
      <c r="J45"/>
      <c r="K45" s="32">
        <v>1</v>
      </c>
      <c r="L45" s="32"/>
      <c r="M45" s="33"/>
      <c r="N45">
        <v>0</v>
      </c>
      <c r="O45" t="s">
        <v>218</v>
      </c>
      <c r="P45" t="s">
        <v>85</v>
      </c>
      <c r="Q45" t="s">
        <v>3</v>
      </c>
    </row>
    <row r="46" customFormat="1" spans="1:21">
      <c r="A46" s="34" t="s">
        <v>142</v>
      </c>
      <c r="B46" s="32">
        <v>1.6584</v>
      </c>
      <c r="C46" s="33">
        <v>458</v>
      </c>
      <c r="D46" s="32">
        <v>2.4876</v>
      </c>
      <c r="E46" s="32"/>
      <c r="F46" s="32"/>
      <c r="G46" s="32"/>
      <c r="H46" s="32"/>
      <c r="I46" s="32"/>
      <c r="J46" s="31"/>
      <c r="K46" s="32">
        <v>1</v>
      </c>
      <c r="L46" s="32"/>
      <c r="M46" s="33"/>
      <c r="N46">
        <v>0</v>
      </c>
      <c r="O46" t="s">
        <v>218</v>
      </c>
      <c r="P46" t="s">
        <v>87</v>
      </c>
      <c r="Q46" t="s">
        <v>3</v>
      </c>
    </row>
    <row r="47" customFormat="1" spans="1:21">
      <c r="A47" s="34" t="s">
        <v>238</v>
      </c>
      <c r="B47" s="32">
        <v>1.6584</v>
      </c>
      <c r="C47" s="33">
        <v>458</v>
      </c>
      <c r="D47" s="32">
        <v>2.4876</v>
      </c>
      <c r="E47" s="32"/>
      <c r="F47" s="32"/>
      <c r="G47" s="32"/>
      <c r="H47" s="32"/>
      <c r="I47" s="32"/>
      <c r="J47" s="31"/>
      <c r="K47" s="32">
        <v>1</v>
      </c>
      <c r="L47" s="32">
        <v>0.02</v>
      </c>
      <c r="M47" s="33"/>
      <c r="N47">
        <v>0</v>
      </c>
      <c r="O47" t="s">
        <v>218</v>
      </c>
      <c r="P47" t="s">
        <v>87</v>
      </c>
      <c r="Q47" t="s">
        <v>3</v>
      </c>
    </row>
    <row r="48" customFormat="1" spans="1:21">
      <c r="A48" s="34" t="s">
        <v>239</v>
      </c>
      <c r="B48" s="32">
        <v>1.6584</v>
      </c>
      <c r="C48" s="33">
        <v>458</v>
      </c>
      <c r="D48" s="32">
        <v>2.4876</v>
      </c>
      <c r="E48" s="32"/>
      <c r="F48" s="32"/>
      <c r="G48" s="32"/>
      <c r="H48" s="32">
        <f>IF(期望!$G$19="√",10%,0)</f>
        <v>0</v>
      </c>
      <c r="I48" s="32"/>
      <c r="J48" s="31"/>
      <c r="K48" s="32">
        <v>1</v>
      </c>
      <c r="L48" s="32"/>
      <c r="M48" s="33"/>
      <c r="N48">
        <v>0</v>
      </c>
      <c r="O48" t="s">
        <v>218</v>
      </c>
      <c r="P48" t="s">
        <v>87</v>
      </c>
      <c r="Q48" t="s">
        <v>3</v>
      </c>
    </row>
    <row r="49" customFormat="1" spans="1:17">
      <c r="A49" s="34" t="s">
        <v>240</v>
      </c>
      <c r="B49" s="32">
        <v>1.6584</v>
      </c>
      <c r="C49" s="33">
        <v>458</v>
      </c>
      <c r="D49" s="32">
        <v>2.4876</v>
      </c>
      <c r="E49" s="32"/>
      <c r="F49" s="32"/>
      <c r="G49" s="32"/>
      <c r="H49" s="32">
        <f>IF(期望!$H$3="√",25%,0)</f>
        <v>0</v>
      </c>
      <c r="I49" s="32"/>
      <c r="J49" s="31"/>
      <c r="K49" s="32">
        <v>1</v>
      </c>
      <c r="L49" s="32">
        <f>VLOOKUP(期望!$F$7,目标属性!$A:$R,4,FALSE)</f>
        <v>0.1</v>
      </c>
      <c r="M49" s="33">
        <f>IF(期望!$H$3="√",25,0)</f>
        <v>0</v>
      </c>
      <c r="N49">
        <v>0</v>
      </c>
      <c r="O49" t="s">
        <v>218</v>
      </c>
      <c r="P49" t="s">
        <v>87</v>
      </c>
      <c r="Q49" t="s">
        <v>3</v>
      </c>
    </row>
    <row r="50" customFormat="1" spans="1:17">
      <c r="A50" s="34" t="s">
        <v>128</v>
      </c>
      <c r="B50" s="32">
        <v>0.4975</v>
      </c>
      <c r="C50" s="33">
        <v>137</v>
      </c>
      <c r="D50" s="32">
        <v>0.7463</v>
      </c>
      <c r="E50" s="32"/>
      <c r="F50" s="32"/>
      <c r="G50" s="32"/>
      <c r="H50" s="32"/>
      <c r="I50" s="32"/>
      <c r="J50" s="31"/>
      <c r="K50" s="32">
        <v>1</v>
      </c>
      <c r="L50" s="32"/>
      <c r="M50" s="33"/>
      <c r="N50">
        <v>0</v>
      </c>
      <c r="O50" t="s">
        <v>218</v>
      </c>
      <c r="P50" t="s">
        <v>87</v>
      </c>
      <c r="Q50" t="s">
        <v>3</v>
      </c>
    </row>
    <row r="51" customFormat="1" spans="1:17">
      <c r="A51" s="34" t="s">
        <v>241</v>
      </c>
      <c r="B51" s="32">
        <v>0.4975</v>
      </c>
      <c r="C51" s="33">
        <v>137</v>
      </c>
      <c r="D51" s="32">
        <v>0.7463</v>
      </c>
      <c r="E51" s="32"/>
      <c r="F51" s="32"/>
      <c r="G51" s="32"/>
      <c r="H51" s="32">
        <f>IF(期望!$G$19="√",10%,0)</f>
        <v>0</v>
      </c>
      <c r="I51" s="32"/>
      <c r="J51" s="31"/>
      <c r="K51" s="32">
        <v>1</v>
      </c>
      <c r="L51" s="32"/>
      <c r="M51" s="33"/>
      <c r="N51">
        <v>0</v>
      </c>
      <c r="O51" t="s">
        <v>218</v>
      </c>
      <c r="P51" t="s">
        <v>87</v>
      </c>
      <c r="Q51" t="s">
        <v>3</v>
      </c>
    </row>
    <row r="52" customFormat="1" spans="1:17">
      <c r="A52" s="34" t="s">
        <v>242</v>
      </c>
      <c r="B52" s="32">
        <v>0.4975</v>
      </c>
      <c r="C52" s="33">
        <v>137</v>
      </c>
      <c r="D52" s="32">
        <v>0.7463</v>
      </c>
      <c r="E52" s="32"/>
      <c r="F52" s="32"/>
      <c r="G52" s="32"/>
      <c r="H52" s="32"/>
      <c r="I52" s="32"/>
      <c r="J52" s="31"/>
      <c r="K52" s="32">
        <v>1</v>
      </c>
      <c r="L52" s="32">
        <v>0.02</v>
      </c>
      <c r="M52" s="33"/>
      <c r="N52">
        <v>0</v>
      </c>
      <c r="O52" t="s">
        <v>218</v>
      </c>
      <c r="P52" t="s">
        <v>87</v>
      </c>
      <c r="Q52" t="s">
        <v>3</v>
      </c>
    </row>
    <row r="53" customFormat="1" spans="1:17">
      <c r="A53" s="34" t="s">
        <v>139</v>
      </c>
      <c r="B53" s="32">
        <v>1.2503</v>
      </c>
      <c r="C53" s="33">
        <v>347</v>
      </c>
      <c r="D53" s="32">
        <v>1.8755</v>
      </c>
      <c r="E53" s="32"/>
      <c r="F53" s="32"/>
      <c r="G53" s="32"/>
      <c r="H53" s="32"/>
      <c r="I53" s="32"/>
      <c r="J53" s="31"/>
      <c r="K53" s="32">
        <v>1</v>
      </c>
      <c r="L53" s="32"/>
      <c r="M53" s="33"/>
      <c r="N53">
        <v>0</v>
      </c>
      <c r="O53" t="s">
        <v>218</v>
      </c>
      <c r="P53" t="s">
        <v>87</v>
      </c>
      <c r="Q53" t="s">
        <v>3</v>
      </c>
    </row>
    <row r="54" customFormat="1" spans="1:17">
      <c r="A54" s="34" t="s">
        <v>243</v>
      </c>
      <c r="B54" s="32">
        <v>1.2503</v>
      </c>
      <c r="C54" s="33">
        <v>347</v>
      </c>
      <c r="D54" s="32">
        <v>1.8755</v>
      </c>
      <c r="E54" s="32"/>
      <c r="F54" s="32"/>
      <c r="G54" s="32"/>
      <c r="H54" s="32">
        <f>IF(期望!$G$19="√",10%,0)</f>
        <v>0</v>
      </c>
      <c r="I54" s="32"/>
      <c r="J54" s="31"/>
      <c r="K54" s="32">
        <v>1</v>
      </c>
      <c r="L54" s="32"/>
      <c r="M54" s="33"/>
      <c r="N54">
        <v>0</v>
      </c>
      <c r="O54" t="s">
        <v>218</v>
      </c>
      <c r="P54" t="s">
        <v>87</v>
      </c>
      <c r="Q54" t="s">
        <v>3</v>
      </c>
    </row>
    <row r="55" customFormat="1" spans="1:17">
      <c r="A55" s="34" t="s">
        <v>244</v>
      </c>
      <c r="B55" s="32">
        <v>1.2503</v>
      </c>
      <c r="C55" s="33">
        <v>347</v>
      </c>
      <c r="D55" s="32">
        <v>1.8755</v>
      </c>
      <c r="E55" s="32"/>
      <c r="F55" s="32"/>
      <c r="G55" s="32"/>
      <c r="H55" s="32">
        <f>IF(期望!$H$3="√",25%,0)</f>
        <v>0</v>
      </c>
      <c r="I55" s="32"/>
      <c r="J55" s="31"/>
      <c r="K55" s="32">
        <v>1</v>
      </c>
      <c r="L55" s="32">
        <f>VLOOKUP(期望!$F$7,目标属性!$A:$R,4,FALSE)</f>
        <v>0.1</v>
      </c>
      <c r="M55" s="33">
        <f>IF(期望!$H$3="√",25,0)</f>
        <v>0</v>
      </c>
      <c r="N55">
        <v>0</v>
      </c>
      <c r="O55" t="s">
        <v>218</v>
      </c>
      <c r="P55" t="s">
        <v>87</v>
      </c>
      <c r="Q55" t="s">
        <v>3</v>
      </c>
    </row>
    <row r="56" customFormat="1" spans="1:17">
      <c r="A56" s="34" t="s">
        <v>245</v>
      </c>
      <c r="B56" s="32">
        <v>1.2503</v>
      </c>
      <c r="C56" s="33">
        <v>347</v>
      </c>
      <c r="D56" s="32">
        <v>1.8755</v>
      </c>
      <c r="E56" s="32"/>
      <c r="F56" s="32"/>
      <c r="G56" s="32"/>
      <c r="H56" s="32"/>
      <c r="I56" s="32"/>
      <c r="J56" s="31"/>
      <c r="K56" s="32">
        <v>1</v>
      </c>
      <c r="L56" s="32">
        <v>0.02</v>
      </c>
      <c r="M56" s="33"/>
      <c r="N56">
        <v>0</v>
      </c>
      <c r="O56" t="s">
        <v>218</v>
      </c>
      <c r="P56" t="s">
        <v>87</v>
      </c>
      <c r="Q56" t="s">
        <v>3</v>
      </c>
    </row>
    <row r="57" spans="1:17">
      <c r="A57" s="34" t="s">
        <v>246</v>
      </c>
      <c r="B57" s="32">
        <v>3.1979</v>
      </c>
      <c r="C57" s="33">
        <v>571</v>
      </c>
      <c r="D57" s="32">
        <v>4.79685</v>
      </c>
      <c r="H57" s="32">
        <f>IF(期望!$H$3="√",25%,0)</f>
        <v>0</v>
      </c>
      <c r="K57" s="32">
        <v>1</v>
      </c>
      <c r="M57" s="33">
        <f>IF(期望!$H$3="√",25,0)</f>
        <v>0</v>
      </c>
      <c r="N57">
        <v>0</v>
      </c>
      <c r="O57" t="s">
        <v>247</v>
      </c>
      <c r="P57" t="s">
        <v>90</v>
      </c>
      <c r="Q57" t="str">
        <f>期望!$C$2</f>
        <v>破竹</v>
      </c>
    </row>
    <row r="58" customFormat="1" spans="1:17">
      <c r="A58" s="34" t="s">
        <v>138</v>
      </c>
      <c r="B58" s="32">
        <v>7.1064</v>
      </c>
      <c r="C58" s="33">
        <v>1269</v>
      </c>
      <c r="D58" s="32">
        <v>10.6596</v>
      </c>
      <c r="E58" s="32"/>
      <c r="F58" s="32"/>
      <c r="G58" s="32"/>
      <c r="H58" s="32"/>
      <c r="I58" s="32"/>
      <c r="K58" s="32">
        <v>1</v>
      </c>
      <c r="L58" s="32"/>
      <c r="M58" s="33"/>
      <c r="N58">
        <v>0</v>
      </c>
      <c r="O58" t="s">
        <v>247</v>
      </c>
      <c r="P58" t="s">
        <v>90</v>
      </c>
      <c r="Q58" t="str">
        <f>期望!$C$2</f>
        <v>破竹</v>
      </c>
    </row>
    <row r="59" customFormat="1" spans="1:17">
      <c r="A59" s="34" t="s">
        <v>248</v>
      </c>
      <c r="B59" s="32">
        <v>7.1064</v>
      </c>
      <c r="C59" s="33">
        <v>1269</v>
      </c>
      <c r="D59" s="32">
        <v>10.6596</v>
      </c>
      <c r="E59" s="32"/>
      <c r="F59" s="32"/>
      <c r="G59" s="32"/>
      <c r="H59" s="32"/>
      <c r="I59" s="32"/>
      <c r="K59" s="32">
        <v>1</v>
      </c>
      <c r="L59" s="32">
        <v>0.01</v>
      </c>
      <c r="M59" s="33"/>
      <c r="N59">
        <v>0</v>
      </c>
      <c r="O59" t="s">
        <v>247</v>
      </c>
      <c r="P59" t="s">
        <v>90</v>
      </c>
      <c r="Q59" t="str">
        <f>期望!$C$2</f>
        <v>破竹</v>
      </c>
    </row>
    <row r="60" customFormat="1" spans="1:17">
      <c r="A60" s="34" t="s">
        <v>155</v>
      </c>
      <c r="B60" s="32">
        <v>7.1064</v>
      </c>
      <c r="C60" s="33">
        <v>1269</v>
      </c>
      <c r="D60" s="32">
        <v>10.6596</v>
      </c>
      <c r="E60" s="32"/>
      <c r="F60" s="32"/>
      <c r="G60" s="32"/>
      <c r="H60" s="32">
        <f>IF(期望!$H$3="√",25%,0)</f>
        <v>0</v>
      </c>
      <c r="I60" s="32"/>
      <c r="J60"/>
      <c r="K60" s="32">
        <v>1</v>
      </c>
      <c r="L60" s="32">
        <f>VLOOKUP(期望!$F$7,目标属性!$A:$R,4,FALSE)</f>
        <v>0.1</v>
      </c>
      <c r="M60" s="33">
        <f>IF(期望!$H$3="√",25,0)</f>
        <v>0</v>
      </c>
      <c r="N60">
        <v>0</v>
      </c>
      <c r="O60" t="s">
        <v>247</v>
      </c>
      <c r="P60" t="s">
        <v>90</v>
      </c>
      <c r="Q60" t="str">
        <f>期望!$C$2</f>
        <v>破竹</v>
      </c>
    </row>
    <row r="61" customFormat="1" spans="1:17">
      <c r="A61" s="34" t="s">
        <v>249</v>
      </c>
      <c r="B61" s="32">
        <v>7.1064</v>
      </c>
      <c r="C61" s="33">
        <v>1269</v>
      </c>
      <c r="D61" s="32">
        <v>10.6596</v>
      </c>
      <c r="E61" s="32"/>
      <c r="F61" s="32"/>
      <c r="G61" s="32"/>
      <c r="H61" s="32">
        <f>IF(期望!$G$19="√",10%,0)</f>
        <v>0</v>
      </c>
      <c r="I61" s="32"/>
      <c r="K61" s="32">
        <v>1</v>
      </c>
      <c r="L61" s="32"/>
      <c r="M61" s="33"/>
      <c r="N61">
        <v>0</v>
      </c>
      <c r="O61" t="s">
        <v>247</v>
      </c>
      <c r="P61" t="s">
        <v>90</v>
      </c>
      <c r="Q61" t="str">
        <f>期望!$C$2</f>
        <v>破竹</v>
      </c>
    </row>
    <row r="62" customFormat="1" spans="1:17">
      <c r="A62" s="34" t="s">
        <v>171</v>
      </c>
      <c r="B62" s="32">
        <f>1636.29%*0.7*1.1*2</f>
        <v>25.198866</v>
      </c>
      <c r="C62" s="33">
        <f>2936*0.7*1.1*2</f>
        <v>4521.44</v>
      </c>
      <c r="D62" s="32">
        <f>B62*1.5</f>
        <v>37.798299</v>
      </c>
      <c r="E62" s="32"/>
      <c r="F62" s="32"/>
      <c r="G62" s="32"/>
      <c r="H62" s="32">
        <f>IF(期望!$H$3="√",25%,0)</f>
        <v>0</v>
      </c>
      <c r="I62" s="32"/>
      <c r="J62"/>
      <c r="K62" s="32">
        <v>1</v>
      </c>
      <c r="L62" s="32">
        <f>20%+40%+VLOOKUP(期望!$F$7,目标属性!$A:$R,4,FALSE)</f>
        <v>0.7</v>
      </c>
      <c r="M62" s="33">
        <f>IF(期望!$H$3="√",25,0)</f>
        <v>0</v>
      </c>
      <c r="N62">
        <v>0</v>
      </c>
      <c r="O62" t="s">
        <v>247</v>
      </c>
      <c r="P62" t="s">
        <v>90</v>
      </c>
      <c r="Q62" t="str">
        <f>期望!$C$2</f>
        <v>破竹</v>
      </c>
    </row>
    <row r="63" customFormat="1" spans="1:17">
      <c r="A63" s="34" t="s">
        <v>250</v>
      </c>
      <c r="B63" s="32">
        <v>3.9742</v>
      </c>
      <c r="C63" s="33">
        <v>956</v>
      </c>
      <c r="D63" s="32">
        <v>5.9613</v>
      </c>
      <c r="E63" s="32"/>
      <c r="F63" s="32"/>
      <c r="G63" s="32"/>
      <c r="H63" s="32">
        <f>IF(期望!$G$19="√",10%,0)</f>
        <v>0</v>
      </c>
      <c r="I63" s="32"/>
      <c r="J63" s="32"/>
      <c r="K63" s="32">
        <v>1</v>
      </c>
      <c r="L63" s="32">
        <f>20%</f>
        <v>0.2</v>
      </c>
      <c r="M63" s="33"/>
      <c r="N63">
        <v>0</v>
      </c>
      <c r="O63" t="s">
        <v>247</v>
      </c>
      <c r="P63" t="s">
        <v>91</v>
      </c>
      <c r="Q63" t="str">
        <f>期望!$C$2</f>
        <v>破竹</v>
      </c>
    </row>
    <row r="64" customFormat="1" spans="1:17">
      <c r="A64" s="34" t="s">
        <v>251</v>
      </c>
      <c r="B64" s="32">
        <v>1.4902</v>
      </c>
      <c r="C64" s="33">
        <v>358</v>
      </c>
      <c r="D64" s="32">
        <v>2.2353</v>
      </c>
      <c r="E64" s="32"/>
      <c r="F64" s="32"/>
      <c r="G64" s="32"/>
      <c r="H64" s="32">
        <f>IF(期望!$G$19="√",10%,0)</f>
        <v>0</v>
      </c>
      <c r="I64" s="32"/>
      <c r="J64" s="32"/>
      <c r="K64" s="32">
        <v>1</v>
      </c>
      <c r="L64" s="32"/>
      <c r="M64" s="33"/>
      <c r="N64">
        <v>0</v>
      </c>
      <c r="O64" t="s">
        <v>247</v>
      </c>
      <c r="P64" t="s">
        <v>91</v>
      </c>
      <c r="Q64" t="str">
        <f>期望!$C$2</f>
        <v>破竹</v>
      </c>
    </row>
    <row r="65" customFormat="1" spans="1:17">
      <c r="A65" s="34" t="s">
        <v>252</v>
      </c>
      <c r="B65" s="32">
        <v>1.4902</v>
      </c>
      <c r="C65" s="33">
        <v>358</v>
      </c>
      <c r="D65" s="32">
        <v>2.2353</v>
      </c>
      <c r="E65" s="32"/>
      <c r="F65" s="32"/>
      <c r="G65" s="32"/>
      <c r="H65" s="32"/>
      <c r="I65" s="32"/>
      <c r="J65" s="32"/>
      <c r="K65" s="32">
        <v>1</v>
      </c>
      <c r="L65" s="32">
        <v>0.02</v>
      </c>
      <c r="M65" s="33"/>
      <c r="N65">
        <v>0</v>
      </c>
      <c r="O65" t="s">
        <v>247</v>
      </c>
      <c r="P65" t="s">
        <v>91</v>
      </c>
      <c r="Q65" t="str">
        <f>期望!$C$2</f>
        <v>破竹</v>
      </c>
    </row>
    <row r="66" spans="1:17">
      <c r="A66" s="34" t="s">
        <v>177</v>
      </c>
      <c r="B66" s="32">
        <v>1</v>
      </c>
      <c r="D66" s="32">
        <v>1</v>
      </c>
      <c r="K66" s="32">
        <v>1</v>
      </c>
      <c r="N66">
        <v>0</v>
      </c>
      <c r="O66" t="s">
        <v>209</v>
      </c>
      <c r="P66" t="s">
        <v>93</v>
      </c>
      <c r="Q66" t="str">
        <f>期望!$C$2</f>
        <v>破竹</v>
      </c>
    </row>
    <row r="67" customFormat="1" spans="1:17">
      <c r="A67" s="34" t="s">
        <v>253</v>
      </c>
      <c r="B67" s="32">
        <v>1</v>
      </c>
      <c r="C67" s="33"/>
      <c r="D67" s="32">
        <v>1</v>
      </c>
      <c r="E67" s="32"/>
      <c r="F67" s="32"/>
      <c r="G67" s="32"/>
      <c r="H67" s="32">
        <f>IF(期望!$G$19="√",10%,0)</f>
        <v>0</v>
      </c>
      <c r="I67" s="32"/>
      <c r="K67" s="32">
        <v>1</v>
      </c>
      <c r="L67" s="32"/>
      <c r="M67" s="33"/>
      <c r="N67">
        <v>0</v>
      </c>
      <c r="O67" t="s">
        <v>209</v>
      </c>
      <c r="P67" t="s">
        <v>93</v>
      </c>
      <c r="Q67" t="str">
        <f>期望!$C$2</f>
        <v>破竹</v>
      </c>
    </row>
    <row r="68" customFormat="1" spans="1:17">
      <c r="A68" s="34" t="s">
        <v>254</v>
      </c>
      <c r="B68" s="32">
        <v>1</v>
      </c>
      <c r="C68" s="33"/>
      <c r="D68" s="32">
        <v>1</v>
      </c>
      <c r="E68" s="32"/>
      <c r="F68" s="32"/>
      <c r="G68" s="32"/>
      <c r="H68" s="32"/>
      <c r="I68" s="32"/>
      <c r="K68" s="32">
        <v>1</v>
      </c>
      <c r="L68" s="32">
        <v>0.02</v>
      </c>
      <c r="M68" s="33"/>
      <c r="N68">
        <v>0</v>
      </c>
      <c r="O68" t="s">
        <v>209</v>
      </c>
      <c r="P68" t="s">
        <v>93</v>
      </c>
      <c r="Q68" t="str">
        <f>期望!$C$2</f>
        <v>破竹</v>
      </c>
    </row>
    <row r="69" customFormat="1" spans="1:17">
      <c r="A69" s="34" t="s">
        <v>178</v>
      </c>
      <c r="B69" s="32">
        <v>1</v>
      </c>
      <c r="C69" s="33"/>
      <c r="D69" s="32">
        <v>1</v>
      </c>
      <c r="E69" s="32"/>
      <c r="F69" s="32"/>
      <c r="G69" s="32"/>
      <c r="H69" s="32">
        <f>IF(期望!$H$3="√",25%,0)</f>
        <v>0</v>
      </c>
      <c r="I69" s="32"/>
      <c r="K69" s="32">
        <v>1</v>
      </c>
      <c r="L69" s="32">
        <f>VLOOKUP(期望!$F$7,目标属性!$A:$R,4,FALSE)</f>
        <v>0.1</v>
      </c>
      <c r="M69" s="33">
        <f>IF(期望!$H$3="√",25,0)</f>
        <v>0</v>
      </c>
      <c r="N69">
        <v>0</v>
      </c>
      <c r="O69" t="s">
        <v>209</v>
      </c>
      <c r="P69" t="s">
        <v>93</v>
      </c>
      <c r="Q69" t="str">
        <f>期望!$C$2</f>
        <v>破竹</v>
      </c>
    </row>
    <row r="70" spans="1:17">
      <c r="A70" t="s">
        <v>93</v>
      </c>
      <c r="B70" s="32">
        <v>0</v>
      </c>
      <c r="C70" s="33">
        <v>0</v>
      </c>
      <c r="D70" s="32">
        <v>0</v>
      </c>
      <c r="K70" s="32">
        <v>1</v>
      </c>
      <c r="N70">
        <v>0</v>
      </c>
      <c r="O70" t="s">
        <v>247</v>
      </c>
      <c r="P70" t="s">
        <v>93</v>
      </c>
      <c r="Q70" t="str">
        <f>期望!$C$2</f>
        <v>破竹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21" sqref="F21"/>
    </sheetView>
  </sheetViews>
  <sheetFormatPr defaultColWidth="9" defaultRowHeight="13.5" outlineLevelCol="5"/>
  <cols>
    <col min="1" max="1" width="11.125" customWidth="1"/>
  </cols>
  <sheetData>
    <row r="1" spans="1:6">
      <c r="B1" t="s">
        <v>255</v>
      </c>
      <c r="C1" t="s">
        <v>6</v>
      </c>
      <c r="D1" t="s">
        <v>256</v>
      </c>
      <c r="E1" t="s">
        <v>257</v>
      </c>
      <c r="F1" t="s">
        <v>258</v>
      </c>
    </row>
    <row r="2" spans="1:6">
      <c r="A2" t="s">
        <v>259</v>
      </c>
      <c r="B2">
        <v>10</v>
      </c>
      <c r="C2" s="31">
        <v>0.15</v>
      </c>
      <c r="D2" s="31">
        <v>0.4</v>
      </c>
    </row>
    <row r="3" spans="1:6">
      <c r="A3" t="s">
        <v>260</v>
      </c>
      <c r="B3">
        <v>29</v>
      </c>
      <c r="C3" s="31">
        <v>0.15</v>
      </c>
      <c r="D3" s="31">
        <v>0.4</v>
      </c>
    </row>
    <row r="4" spans="1:6">
      <c r="A4" t="s">
        <v>261</v>
      </c>
      <c r="B4">
        <v>307</v>
      </c>
      <c r="C4" s="31">
        <v>0.15</v>
      </c>
      <c r="D4" s="31">
        <v>0.1</v>
      </c>
    </row>
    <row r="5" spans="1:6">
      <c r="A5" t="s">
        <v>262</v>
      </c>
      <c r="B5">
        <v>350</v>
      </c>
      <c r="C5" s="31">
        <v>0.15</v>
      </c>
      <c r="D5" s="31">
        <v>0.1</v>
      </c>
    </row>
    <row r="6" spans="1:6">
      <c r="A6" t="s">
        <v>263</v>
      </c>
      <c r="B6">
        <v>405</v>
      </c>
      <c r="C6" s="31">
        <v>0.15</v>
      </c>
      <c r="D6" s="31">
        <v>0.1</v>
      </c>
    </row>
    <row r="7" spans="1:6">
      <c r="A7" t="s">
        <v>264</v>
      </c>
      <c r="B7">
        <v>405</v>
      </c>
      <c r="C7" s="31">
        <v>0.15</v>
      </c>
      <c r="D7" s="31">
        <v>0.1</v>
      </c>
    </row>
    <row r="8" spans="1:6">
      <c r="A8" t="s">
        <v>265</v>
      </c>
      <c r="B8">
        <v>498</v>
      </c>
      <c r="C8" s="31">
        <v>0.15</v>
      </c>
      <c r="D8" s="31">
        <v>0.1</v>
      </c>
    </row>
    <row r="9" spans="1:6">
      <c r="A9" t="s">
        <v>266</v>
      </c>
      <c r="B9">
        <v>498</v>
      </c>
      <c r="C9" s="31">
        <v>0.15</v>
      </c>
      <c r="D9" s="31">
        <v>0.1</v>
      </c>
    </row>
    <row r="10" spans="1:6">
      <c r="A10" t="s">
        <v>33</v>
      </c>
      <c r="B10">
        <v>559</v>
      </c>
      <c r="C10" s="31">
        <v>0.15</v>
      </c>
      <c r="D10" s="31">
        <v>0.1</v>
      </c>
      <c r="E10">
        <v>20</v>
      </c>
      <c r="F10">
        <v>24</v>
      </c>
    </row>
    <row r="11" spans="1:6">
      <c r="A11" t="s">
        <v>267</v>
      </c>
      <c r="B11">
        <v>559</v>
      </c>
      <c r="C11" s="31">
        <v>0.15</v>
      </c>
      <c r="D11" s="31">
        <v>0.1</v>
      </c>
      <c r="E11">
        <v>36</v>
      </c>
      <c r="F11">
        <v>41</v>
      </c>
    </row>
    <row r="12" spans="1:6">
      <c r="A12" t="s">
        <v>268</v>
      </c>
      <c r="B12">
        <v>559</v>
      </c>
      <c r="C12">
        <v>0</v>
      </c>
      <c r="D12" s="31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16" workbookViewId="0">
      <selection activeCell="D53" sqref="D53"/>
    </sheetView>
  </sheetViews>
  <sheetFormatPr defaultColWidth="9" defaultRowHeight="13.5" outlineLevelCol="3"/>
  <cols>
    <col min="1" max="1" width="9" style="1"/>
    <col min="3" max="3" width="69" customWidth="1"/>
    <col min="4" max="4" width="23" customWidth="1"/>
  </cols>
  <sheetData>
    <row r="1" ht="14.25" spans="1:4">
      <c r="A1" s="1" t="s">
        <v>269</v>
      </c>
      <c r="B1" t="s">
        <v>270</v>
      </c>
      <c r="C1" t="s">
        <v>271</v>
      </c>
      <c r="D1" s="2" t="s">
        <v>272</v>
      </c>
    </row>
    <row r="2" spans="1:4">
      <c r="A2" s="3">
        <v>1</v>
      </c>
      <c r="B2" s="4">
        <v>1</v>
      </c>
      <c r="C2" s="5" t="s">
        <v>273</v>
      </c>
      <c r="D2" t="s">
        <v>274</v>
      </c>
    </row>
    <row r="3" spans="1:4">
      <c r="A3" s="6"/>
      <c r="B3" s="7">
        <v>2</v>
      </c>
      <c r="C3" s="8" t="s">
        <v>275</v>
      </c>
    </row>
    <row r="4" spans="1:4">
      <c r="A4" s="6"/>
      <c r="B4" s="7"/>
      <c r="C4" s="8" t="s">
        <v>276</v>
      </c>
    </row>
    <row r="5" spans="1:4">
      <c r="A5" s="6"/>
      <c r="B5" s="7"/>
      <c r="C5" s="8" t="s">
        <v>277</v>
      </c>
    </row>
    <row r="6" spans="1:4">
      <c r="A6" s="6"/>
      <c r="B6" s="7">
        <v>3</v>
      </c>
      <c r="C6" s="8" t="s">
        <v>278</v>
      </c>
    </row>
    <row r="7" ht="14.25" spans="1:4">
      <c r="A7" s="9"/>
      <c r="B7" s="10"/>
      <c r="C7" s="11" t="s">
        <v>279</v>
      </c>
    </row>
    <row r="8" ht="14.25" spans="1:4">
      <c r="A8" s="12">
        <v>1.1</v>
      </c>
      <c r="B8" s="13">
        <v>1</v>
      </c>
      <c r="C8" s="14" t="s">
        <v>280</v>
      </c>
    </row>
    <row r="9" ht="14.25" spans="1:4">
      <c r="A9" s="12">
        <v>1.2</v>
      </c>
      <c r="B9" s="13">
        <v>1</v>
      </c>
      <c r="C9" s="14" t="s">
        <v>281</v>
      </c>
    </row>
    <row r="10" ht="14.25" spans="1:4">
      <c r="A10" s="12">
        <v>1.3</v>
      </c>
      <c r="B10" s="13">
        <v>1</v>
      </c>
      <c r="C10" s="14" t="s">
        <v>282</v>
      </c>
    </row>
    <row r="11" ht="14.25" spans="1:4">
      <c r="A11" s="12">
        <v>1.4</v>
      </c>
      <c r="B11" s="13">
        <v>1</v>
      </c>
      <c r="C11" s="14" t="s">
        <v>282</v>
      </c>
    </row>
    <row r="12" ht="14.25" spans="1:4">
      <c r="A12" s="12">
        <v>1.5</v>
      </c>
      <c r="B12" s="13">
        <v>1</v>
      </c>
      <c r="C12" s="14" t="s">
        <v>283</v>
      </c>
    </row>
    <row r="13" spans="1:4">
      <c r="A13" s="3">
        <v>2</v>
      </c>
      <c r="B13" s="4">
        <v>1</v>
      </c>
      <c r="C13" s="5" t="s">
        <v>284</v>
      </c>
    </row>
    <row r="14" spans="1:4">
      <c r="A14" s="6"/>
      <c r="B14" s="7">
        <v>2</v>
      </c>
      <c r="C14" s="8" t="s">
        <v>285</v>
      </c>
    </row>
    <row r="15" spans="1:4">
      <c r="A15" s="6"/>
      <c r="B15" s="7">
        <v>3</v>
      </c>
      <c r="C15" s="8" t="s">
        <v>286</v>
      </c>
    </row>
    <row r="16" spans="1:4">
      <c r="A16" s="6"/>
      <c r="B16" s="7">
        <v>4</v>
      </c>
      <c r="C16" s="8" t="s">
        <v>287</v>
      </c>
    </row>
    <row r="17" ht="14.25" spans="1:3">
      <c r="A17" s="9"/>
      <c r="B17" s="10">
        <v>5</v>
      </c>
      <c r="C17" s="11" t="s">
        <v>288</v>
      </c>
    </row>
    <row r="18" spans="1:3">
      <c r="A18" s="3">
        <v>2.1</v>
      </c>
      <c r="B18" s="4">
        <v>1</v>
      </c>
      <c r="C18" s="5" t="s">
        <v>289</v>
      </c>
    </row>
    <row r="19" ht="14.25" spans="1:3">
      <c r="A19" s="9"/>
      <c r="B19" s="10">
        <v>2</v>
      </c>
      <c r="C19" s="11" t="s">
        <v>290</v>
      </c>
    </row>
    <row r="20" spans="1:3">
      <c r="A20" s="3">
        <v>2.2</v>
      </c>
      <c r="B20" s="4">
        <v>1</v>
      </c>
      <c r="C20" s="5" t="s">
        <v>291</v>
      </c>
    </row>
    <row r="21" ht="14.25" spans="1:3">
      <c r="A21" s="9"/>
      <c r="B21" s="10">
        <v>2</v>
      </c>
      <c r="C21" s="15" t="s">
        <v>292</v>
      </c>
    </row>
    <row r="22" ht="14.25" spans="1:3">
      <c r="A22" s="12">
        <v>2.3</v>
      </c>
      <c r="B22" s="13">
        <v>1</v>
      </c>
      <c r="C22" s="16" t="s">
        <v>293</v>
      </c>
    </row>
    <row r="23" ht="14.25" spans="1:3">
      <c r="A23" s="12">
        <v>2.4</v>
      </c>
      <c r="B23" s="13">
        <v>1</v>
      </c>
      <c r="C23" s="16" t="s">
        <v>294</v>
      </c>
    </row>
    <row r="24" ht="14.25" spans="1:3">
      <c r="A24" s="12">
        <v>2.5</v>
      </c>
      <c r="B24" s="13">
        <v>1</v>
      </c>
      <c r="C24" s="16" t="s">
        <v>295</v>
      </c>
    </row>
    <row r="25" spans="1:3">
      <c r="A25" s="3">
        <v>2.6</v>
      </c>
      <c r="B25" s="4">
        <v>1</v>
      </c>
      <c r="C25" s="17" t="s">
        <v>296</v>
      </c>
    </row>
    <row r="26" ht="14.25" spans="1:3">
      <c r="A26" s="9"/>
      <c r="B26" s="10">
        <v>2</v>
      </c>
      <c r="C26" s="11" t="s">
        <v>297</v>
      </c>
    </row>
    <row r="27" ht="14.25" spans="1:3">
      <c r="A27" s="12">
        <v>2.7</v>
      </c>
      <c r="B27" s="13">
        <v>1</v>
      </c>
      <c r="C27" s="14" t="s">
        <v>298</v>
      </c>
    </row>
    <row r="28" ht="14.25" spans="1:3">
      <c r="A28" s="12">
        <v>2.8</v>
      </c>
      <c r="B28" s="13">
        <v>1</v>
      </c>
      <c r="C28" s="14" t="s">
        <v>282</v>
      </c>
    </row>
    <row r="29" ht="14.25" spans="1:3">
      <c r="A29" s="12">
        <v>2.9</v>
      </c>
      <c r="B29" s="13">
        <v>1</v>
      </c>
      <c r="C29" s="14" t="s">
        <v>282</v>
      </c>
    </row>
    <row r="30" ht="14.25" spans="1:3">
      <c r="A30" s="18">
        <v>2.1</v>
      </c>
      <c r="B30" s="13">
        <v>1</v>
      </c>
      <c r="C30" s="14" t="s">
        <v>299</v>
      </c>
    </row>
    <row r="31" ht="14.25" spans="1:3">
      <c r="A31" s="18">
        <v>2.11</v>
      </c>
      <c r="B31" s="13">
        <v>1</v>
      </c>
      <c r="C31" s="14" t="s">
        <v>300</v>
      </c>
    </row>
    <row r="32" spans="1:3">
      <c r="A32" s="3">
        <v>3</v>
      </c>
      <c r="B32" s="4">
        <v>1</v>
      </c>
      <c r="C32" s="5" t="s">
        <v>301</v>
      </c>
    </row>
    <row r="33" ht="14.25" spans="1:3">
      <c r="A33" s="9"/>
      <c r="B33" s="10">
        <v>2</v>
      </c>
      <c r="C33" s="11" t="s">
        <v>302</v>
      </c>
    </row>
    <row r="34" ht="14.25" spans="1:3">
      <c r="A34" s="12">
        <v>3.1</v>
      </c>
      <c r="B34" s="13">
        <v>1</v>
      </c>
      <c r="C34" s="14" t="s">
        <v>303</v>
      </c>
    </row>
    <row r="35" spans="1:3">
      <c r="A35" s="3">
        <v>3.2</v>
      </c>
      <c r="B35" s="4">
        <v>1</v>
      </c>
      <c r="C35" s="5" t="s">
        <v>304</v>
      </c>
    </row>
    <row r="36" ht="14.25" spans="1:3">
      <c r="A36" s="9"/>
      <c r="B36" s="10">
        <v>2</v>
      </c>
      <c r="C36" s="11" t="s">
        <v>305</v>
      </c>
    </row>
    <row r="37" ht="14.25" spans="1:3">
      <c r="A37" s="12">
        <v>3.3</v>
      </c>
      <c r="B37" s="19">
        <v>1</v>
      </c>
      <c r="C37" s="20" t="s">
        <v>306</v>
      </c>
    </row>
    <row r="38" spans="1:3">
      <c r="A38" s="3">
        <v>4</v>
      </c>
      <c r="B38" s="21">
        <v>1</v>
      </c>
      <c r="C38" s="22" t="s">
        <v>307</v>
      </c>
    </row>
    <row r="39" ht="14.25" spans="1:3">
      <c r="A39" s="9"/>
      <c r="B39" s="23">
        <v>2</v>
      </c>
      <c r="C39" s="24" t="s">
        <v>308</v>
      </c>
    </row>
    <row r="40" ht="14.25" spans="1:3">
      <c r="A40" s="12">
        <v>4.1</v>
      </c>
      <c r="B40" s="19">
        <v>1</v>
      </c>
      <c r="C40" s="20" t="s">
        <v>309</v>
      </c>
    </row>
    <row r="41" ht="14.25" spans="1:3">
      <c r="A41" s="12">
        <v>4.2</v>
      </c>
      <c r="B41" s="19">
        <v>1</v>
      </c>
      <c r="C41" s="20" t="s">
        <v>310</v>
      </c>
    </row>
    <row r="42" spans="1:3">
      <c r="A42" s="12">
        <v>4.3</v>
      </c>
      <c r="B42" s="19">
        <v>1</v>
      </c>
      <c r="C42" s="20" t="s">
        <v>311</v>
      </c>
    </row>
    <row r="43" ht="14.25" spans="1:3">
      <c r="A43" s="3">
        <v>4.4</v>
      </c>
      <c r="B43" s="21">
        <v>1</v>
      </c>
      <c r="C43" s="22" t="s">
        <v>312</v>
      </c>
    </row>
    <row r="44" spans="1:3">
      <c r="A44" s="25">
        <v>5</v>
      </c>
      <c r="B44" s="4">
        <v>1</v>
      </c>
      <c r="C44" s="22" t="s">
        <v>313</v>
      </c>
    </row>
    <row r="45" spans="1:3">
      <c r="A45" s="26"/>
      <c r="B45">
        <v>2</v>
      </c>
      <c r="C45" s="27" t="s">
        <v>314</v>
      </c>
    </row>
    <row r="46" spans="1:3">
      <c r="A46" s="26"/>
      <c r="C46" s="27" t="s">
        <v>315</v>
      </c>
    </row>
    <row r="47" ht="14.25" spans="1:3">
      <c r="A47" s="28"/>
      <c r="B47" s="29"/>
      <c r="C47" s="30" t="s">
        <v>316</v>
      </c>
    </row>
  </sheetData>
  <mergeCells count="9">
    <mergeCell ref="A2:A7"/>
    <mergeCell ref="A13:A17"/>
    <mergeCell ref="A18:A19"/>
    <mergeCell ref="A20:A21"/>
    <mergeCell ref="A25:A26"/>
    <mergeCell ref="A32:A33"/>
    <mergeCell ref="A35:A36"/>
    <mergeCell ref="A38:A39"/>
    <mergeCell ref="A44:A47"/>
  </mergeCells>
  <hyperlinks>
    <hyperlink ref="D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对比工具</vt:lpstr>
      <vt:lpstr>武器奇术</vt:lpstr>
      <vt:lpstr>目标属性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2025-01-24T10:16:00Z</dcterms:created>
  <dcterms:modified xsi:type="dcterms:W3CDTF">2026-05-08T18:23:10Z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3E72B6B649654DCE9159D5BBDF92B523_13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