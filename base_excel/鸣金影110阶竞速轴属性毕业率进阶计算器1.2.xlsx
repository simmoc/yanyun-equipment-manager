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<sst xmlns="http://schemas.openxmlformats.org/spreadsheetml/2006/main" count="8958" uniqueCount="218">
  <si>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</si>
  <si>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</si>
  <si>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</si>
  <si>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</si>
  <si>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</si>
  <si>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</si>
  <si>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</si>
  <si>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</si>
  <si>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</si>
  <si>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</si>
  <si>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</si>
  <si>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</si>
  <si>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</si>
  <si>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</si>
  <si>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</si>
  <si>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</si>
  <si>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</si>
  <si>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</si>
  <si>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</si>
  <si>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</si>
  <si>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</si>
  <si>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</si>
  <si>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</si>
  <si>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</si>
  <si>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</si>
  <si>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</si>
  <si>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</si>
  <si>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</si>
  <si>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</si>
  <si>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</si>
  <si>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</si>
  <si>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</si>
  <si>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</si>
  <si>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</si>
  <si>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</si>
  <si>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</si>
  <si>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</si>
  <si>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</si>
  <si>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</si>
  <si>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</si>
  <si>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</si>
  <si>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</si>
  <si>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</si>
  <si>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</si>
  <si>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</si>
  <si>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</si>
  <si>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</si>
  <si>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</si>
  <si>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</si>
  <si>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</si>
  <si>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</si>
  <si>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</si>
  <si>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</si>
  <si>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</si>
  <si>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</si>
  <si>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</si>
  <si>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</si>
  <si>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</si>
  <si>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</si>
  <si>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</si>
  <si>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</si>
  <si>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</si>
  <si>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</si>
  <si>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</si>
  <si>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</si>
  <si>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</si>
  <si>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</si>
  <si>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</si>
  <si>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</si>
  <si>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飞隼</t>
  </si>
  <si>
    <t>防御</t>
  </si>
  <si>
    <t>N/a</t>
  </si>
  <si>
    <t>无惧</t>
  </si>
  <si>
    <t>滴水</t>
  </si>
  <si>
    <t>秋瞑帖1层</t>
  </si>
  <si>
    <t>易水歌1层</t>
  </si>
  <si>
    <t>外抗</t>
  </si>
  <si>
    <t>神龙吐火暗灼2hit</t>
  </si>
  <si>
    <t>裂石</t>
  </si>
  <si>
    <t>剑</t>
  </si>
  <si>
    <t>属抗</t>
  </si>
  <si>
    <t>剑Q</t>
  </si>
  <si>
    <t>惧刃(拐)</t>
  </si>
  <si>
    <t>秋瞑帖2层</t>
  </si>
  <si>
    <t>易水歌2层</t>
  </si>
  <si>
    <t>牵丝</t>
  </si>
  <si>
    <t>枪</t>
  </si>
  <si>
    <t>副本天赋</t>
  </si>
  <si>
    <t>枪Q</t>
  </si>
  <si>
    <t>易水歌3层</t>
  </si>
  <si>
    <t>破竹</t>
  </si>
  <si>
    <t>单体奇术</t>
  </si>
  <si>
    <t>剑～</t>
  </si>
  <si>
    <t>看破</t>
  </si>
  <si>
    <t>强效江流</t>
  </si>
  <si>
    <t>秋瞑帖3层</t>
  </si>
  <si>
    <t>无相</t>
  </si>
  <si>
    <t>群体奇术</t>
  </si>
  <si>
    <t>爆血(剑)必定会意</t>
  </si>
  <si>
    <t>看破(持续)</t>
  </si>
  <si>
    <t>惊神5</t>
  </si>
  <si>
    <t>纵横剑意</t>
  </si>
  <si>
    <t>精准率</t>
  </si>
  <si>
    <t>实际属性</t>
  </si>
  <si>
    <t>战斗时间</t>
  </si>
  <si>
    <t>爆血(剑)</t>
  </si>
  <si>
    <t>会心率</t>
  </si>
  <si>
    <t>纵横剑(剑～)</t>
  </si>
  <si>
    <t>会意率</t>
  </si>
  <si>
    <t>总伤</t>
  </si>
  <si>
    <t>枪～(江流)</t>
  </si>
  <si>
    <t>特殊技减防</t>
  </si>
  <si>
    <t>易水歌4层</t>
  </si>
  <si>
    <t>直接会心率</t>
  </si>
  <si>
    <t>直接会意率</t>
  </si>
  <si>
    <t>ADPS</t>
  </si>
  <si>
    <t>秋瞑帖4层</t>
  </si>
  <si>
    <t>会心伤害加成</t>
  </si>
  <si>
    <t>会意伤害加成</t>
  </si>
  <si>
    <t>RDPS</t>
  </si>
  <si>
    <t>易水歌5层</t>
  </si>
  <si>
    <t>全武增</t>
  </si>
  <si>
    <t>团队增益</t>
  </si>
  <si>
    <t>首领增</t>
  </si>
  <si>
    <t>威</t>
  </si>
  <si>
    <t>√</t>
  </si>
  <si>
    <t>秋瞑帖</t>
  </si>
  <si>
    <t>毕业率</t>
  </si>
  <si>
    <t>剑增</t>
  </si>
  <si>
    <t>尘</t>
  </si>
  <si>
    <t>所恨年年</t>
  </si>
  <si>
    <t>枪增</t>
  </si>
  <si>
    <t>虹</t>
  </si>
  <si>
    <t>真气比例</t>
  </si>
  <si>
    <t>秋瞑帖5层</t>
  </si>
  <si>
    <t>单体奇术增</t>
  </si>
  <si>
    <t>钧</t>
  </si>
  <si>
    <t>群体奇术增</t>
  </si>
  <si>
    <t>流血定音</t>
  </si>
  <si>
    <t>第四心法</t>
  </si>
  <si>
    <t>固伤加成</t>
  </si>
  <si>
    <t>易水歌</t>
  </si>
  <si>
    <t>太白醉月1-4</t>
  </si>
  <si>
    <t>食物加成</t>
  </si>
  <si>
    <t>太白醉月暗灼</t>
  </si>
  <si>
    <t>秋瞑帖6层</t>
  </si>
  <si>
    <t>太白醉月5</t>
  </si>
  <si>
    <t>秋瞑帖7层</t>
  </si>
  <si>
    <t>秋瞑帖8层</t>
  </si>
  <si>
    <t>剑Q一段</t>
  </si>
  <si>
    <t>秋瞑帖9层</t>
  </si>
  <si>
    <t>叶龙骧首(32层+50%HP)</t>
  </si>
  <si>
    <t>气竭</t>
  </si>
  <si>
    <t>真气失衡</t>
  </si>
  <si>
    <t>秋瞑帖10层</t>
  </si>
  <si>
    <t>纵横剑(剑Q)</t>
  </si>
  <si>
    <t>骑龙回马</t>
  </si>
  <si>
    <t>萧呤千浪流星</t>
  </si>
  <si>
    <t>近战笛</t>
  </si>
  <si>
    <t>神龙吐火暗灼dot</t>
  </si>
  <si>
    <t>惊神1</t>
  </si>
  <si>
    <t>惊神3</t>
  </si>
  <si>
    <t>5层流血</t>
  </si>
  <si>
    <t>4层流血</t>
  </si>
  <si>
    <t>2层流血</t>
  </si>
  <si>
    <t>3层流血</t>
  </si>
  <si>
    <t>易水歌6重</t>
  </si>
  <si>
    <t>DPS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</si>
  <si>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</si>
  <si>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</si>
  <si>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</si>
  <si>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</si>
  <si>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</si>
  <si>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</si>
  <si>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</si>
  <si>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</si>
  <si>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</si>
  <si>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</si>
  <si>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</si>
  <si>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</si>
  <si>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</si>
  <si>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</si>
  <si>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1层流血</t>
  </si>
  <si>
    <t>流血</t>
  </si>
  <si>
    <t>纵横剑(剑R)</t>
  </si>
  <si>
    <t>剑R一段前3hit</t>
  </si>
  <si>
    <t>剑R一段打满</t>
  </si>
  <si>
    <t>枪～(滴水)</t>
  </si>
  <si>
    <t>枪～(涌泉)</t>
  </si>
  <si>
    <t>枪R零蓄</t>
  </si>
  <si>
    <t>枪R一蓄单hit</t>
  </si>
  <si>
    <t>萧呤千浪AOE</t>
  </si>
  <si>
    <t>衍九矢7hit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</si>
  <si>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</si>
  <si>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</si>
  <si>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</si>
  <si>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</si>
  <si>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</si>
  <si>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</si>
  <si>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</si>
  <si>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</si>
  <si>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</si>
  <si>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</si>
  <si>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</si>
  <si>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</si>
  <si>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</si>
  <si>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看上去好像很对,但又感觉哪里不对</t>
  </si>
  <si>
    <t>暗灼改动+9%,等效十人火9,流血改动+1.4%</t>
  </si>
  <si>
    <t>单增等效一个劲,下个版本更多,当前diy属性9劲8势12大剑增2全武2首领2单增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</si>
  <si>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</si>
  <si>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</si>
  <si>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</si>
  <si>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更新6月18日先琢改动,缩轴,+1%</t>
  </si>
  <si>
    <t>修正尘加成</t>
  </si>
  <si>
    <t>修正了火dot没有计算天赋的问题</t>
  </si>
  <si>
    <t>更新蕤宾叠奏上半数值,将铁花替换成了无惧</t>
  </si>
  <si>
    <t>修正心法数值错误</t>
  </si>
  <si>
    <t>修正了rd计算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</si>
</sst>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F33" sqref="F33"/>
    </sheetView>
  </sheetViews>
  <sheetFormatPr defaultColWidth="9" defaultRowHeight="13.5"/>
  <cols>
    <col min="1" max="1" width="12.875" customWidth="1"/>
    <col min="11" max="11" width="12.625" style="27" customWidth="1"/>
    <col min="12" max="16" width="12.625" style="21" customWidth="1"/>
    <col min="18" max="18" width="24.625" style="28" customWidth="1"/>
    <col min="19" max="33" width="9" style="28"/>
    <col min="35" max="35" width="9" style="20"/>
    <col min="36" max="36" width="9" style="21"/>
    <col min="37" max="37" width="9" style="20"/>
    <col min="38" max="38" width="9" style="21"/>
    <col min="39" max="40" width="9" style="20"/>
    <col min="43" max="45" width="9" style="29"/>
    <col min="48" max="49" width="9" style="29"/>
    <col min="62" max="66" width="9" style="20"/>
    <col min="67" max="68" width="9.00833333333333" style="20" customWidth="1"/>
    <col min="69" max="70" width="9" style="20"/>
  </cols>
  <sheetData>
    <row r="1" spans="1:70">
      <c r="A1" s="30"/>
      <c r="B1" s="31" t="s">
        <v>0</v>
      </c>
      <c r="C1" s="31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3" t="s">
        <v>6</v>
      </c>
      <c r="I1" s="34"/>
      <c r="K1" s="27" t="s">
        <v>7</v>
      </c>
      <c r="L1" s="27" t="s">
        <v>8</v>
      </c>
      <c r="M1" s="27" t="s">
        <v>9</v>
      </c>
      <c r="N1" s="27" t="s">
        <v>10</v>
      </c>
      <c r="O1" s="27" t="s">
        <v>11</v>
      </c>
      <c r="P1" s="27" t="s">
        <v>12</v>
      </c>
      <c r="Q1" s="35" t="s">
        <v>13</v>
      </c>
      <c r="R1" s="36" t="s">
        <v>14</v>
      </c>
      <c r="S1" s="36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  <c r="AD1" s="36" t="s">
        <v>26</v>
      </c>
      <c r="AE1" s="36" t="s">
        <v>27</v>
      </c>
      <c r="AF1" s="36" t="s">
        <v>28</v>
      </c>
      <c r="AG1" s="36" t="s">
        <v>29</v>
      </c>
      <c r="AH1" t="s">
        <v>30</v>
      </c>
      <c r="AI1" s="20" t="s">
        <v>31</v>
      </c>
      <c r="AJ1" s="21" t="s">
        <v>32</v>
      </c>
      <c r="AK1" s="20" t="s">
        <v>33</v>
      </c>
      <c r="AL1" s="21" t="s">
        <v>34</v>
      </c>
      <c r="AM1" s="20" t="s">
        <v>35</v>
      </c>
      <c r="AN1" s="20" t="s">
        <v>36</v>
      </c>
      <c r="AO1" t="s">
        <v>37</v>
      </c>
      <c r="AP1" t="s">
        <v>38</v>
      </c>
      <c r="AQ1" s="29" t="s">
        <v>39</v>
      </c>
      <c r="AR1" s="29" t="s">
        <v>40</v>
      </c>
      <c r="AS1" s="29" t="s">
        <v>41</v>
      </c>
      <c r="AT1" t="s">
        <v>42</v>
      </c>
      <c r="AU1" t="s">
        <v>43</v>
      </c>
      <c r="AV1" s="29" t="s">
        <v>44</v>
      </c>
      <c r="AW1" s="29" t="s">
        <v>45</v>
      </c>
      <c r="AX1" t="s">
        <v>46</v>
      </c>
      <c r="AY1" t="s">
        <v>47</v>
      </c>
      <c r="AZ1" s="29" t="s">
        <v>48</v>
      </c>
      <c r="BA1" s="29" t="s">
        <v>49</v>
      </c>
      <c r="BB1" t="s">
        <v>50</v>
      </c>
      <c r="BC1" t="s">
        <v>51</v>
      </c>
      <c r="BD1" s="29" t="s">
        <v>52</v>
      </c>
      <c r="BE1" s="29" t="s">
        <v>53</v>
      </c>
      <c r="BF1" t="s">
        <v>54</v>
      </c>
      <c r="BG1" t="s">
        <v>55</v>
      </c>
      <c r="BH1" s="29" t="s">
        <v>56</v>
      </c>
      <c r="BI1" s="29" t="s">
        <v>57</v>
      </c>
      <c r="BJ1" s="20" t="s">
        <v>58</v>
      </c>
      <c r="BK1" s="20" t="s">
        <v>59</v>
      </c>
      <c r="BL1" s="20" t="s">
        <v>60</v>
      </c>
      <c r="BM1" s="20" t="s">
        <v>61</v>
      </c>
      <c r="BN1" s="20" t="s">
        <v>62</v>
      </c>
      <c r="BO1" s="20" t="s">
        <v>63</v>
      </c>
      <c r="BP1" s="20" t="s">
        <v>64</v>
      </c>
      <c r="BQ1" s="20" t="s">
        <v>65</v>
      </c>
      <c r="BR1" s="20" t="s">
        <v>66</v>
      </c>
    </row>
    <row r="2" spans="1:70">
      <c r="A2" s="37" t="s">
        <v>67</v>
      </c>
      <c r="B2" s="28">
        <v>1743.2</v>
      </c>
      <c r="C2" s="28">
        <v>6189.6</v>
      </c>
      <c r="D2" s="28">
        <v>63.5</v>
      </c>
      <c r="E2" s="38"/>
      <c r="F2" s="39" t="s">
        <v>68</v>
      </c>
      <c r="G2" s="40" t="s">
        <v>69</v>
      </c>
      <c r="H2" s="41" t="s">
        <v>70</v>
      </c>
      <c r="I2" s="11">
        <f>620*IF(F17="√",0.94,1)</f>
        <v>582.8</v>
      </c>
      <c r="K2" s="27">
        <f>$L2*VLOOKUP($R2,武学奇术!$A:$ZZ,31,FALSE)</f>
        <v>0</v>
      </c>
      <c r="L2" s="27">
        <f>($M2*$BO2+$N2*$BM2+$O2*$BP2+$P2*$BQ2)</f>
        <v>0</v>
      </c>
      <c r="M2" s="27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0</v>
      </c>
      <c r="N2" s="27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0</v>
      </c>
      <c r="O2" s="27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0</v>
      </c>
      <c r="P2" s="27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0</v>
      </c>
      <c r="Q2" s="35">
        <v>1</v>
      </c>
      <c r="R2" s="36" t="s">
        <v>71</v>
      </c>
      <c r="S2" s="36" t="s">
        <v>71</v>
      </c>
      <c r="T2" s="36" t="s">
        <v>71</v>
      </c>
      <c r="U2" s="36" t="s">
        <v>71</v>
      </c>
      <c r="V2" s="36" t="s">
        <v>71</v>
      </c>
      <c r="W2" s="36" t="s">
        <v>71</v>
      </c>
      <c r="X2" s="36" t="s">
        <v>71</v>
      </c>
      <c r="Y2" s="36" t="s">
        <v>71</v>
      </c>
      <c r="Z2" s="36" t="s">
        <v>71</v>
      </c>
      <c r="AA2" s="36" t="s">
        <v>71</v>
      </c>
      <c r="AB2" s="36" t="s">
        <v>71</v>
      </c>
      <c r="AC2" s="36" t="s">
        <v>71</v>
      </c>
      <c r="AD2" s="36" t="s">
        <v>72</v>
      </c>
      <c r="AE2" s="36" t="s">
        <v>73</v>
      </c>
      <c r="AF2" s="36" t="s">
        <v>74</v>
      </c>
      <c r="AG2" s="36" t="s">
        <v>75</v>
      </c>
      <c r="AH2" t="str">
        <f>VLOOKUP($R2,武学奇术!$A:$ZZ,25,FALSE)</f>
        <v>心法</v>
      </c>
      <c r="AI2" s="20">
        <f>VLOOKUP($R2,武学奇术!$A:$ZZ,26,FALSE)</f>
        <v>0</v>
      </c>
      <c r="AJ2" s="21">
        <f>VLOOKUP($R2,武学奇术!$A:$ZZ,27,FALSE)*(1+IF(OR($AH2=$F$4,$AH2=$F$5),$B$22,0))</f>
        <v>0</v>
      </c>
      <c r="AK2" s="20">
        <f>VLOOKUP($R2,武学奇术!$A:$ZZ,28,FALSE)</f>
        <v>0</v>
      </c>
      <c r="AL2" s="21">
        <f>VLOOKUP($R2,武学奇术!$A:$ZZ,29,FALSE)*(1+IF(OR($AH2=$F$4,$AH2=$F$5),$B$22,0))</f>
        <v>0</v>
      </c>
      <c r="AM2" s="20" cm="1">
        <f t="array" ref="AM2">$G$3+IFERROR(VLOOKUP($AH2,$F$4:$G$7,2,FALSE),0)+VLOOKUP($R2,武学奇术!$A:$ZZ,2,FALSE)+SUM(_xlfn.XLOOKUP($S2:$AG2,增益!$A:$A,增益!$B:$B,0))</f>
        <v>0.2937</v>
      </c>
      <c r="AN2" s="20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1554.72</v>
      </c>
      <c r="AP2" cm="1">
        <f t="array" ref="AP2">$E$10*(1+$AN2)+VLOOKUP($R2,武学奇术!$A:$ZZ,4,FALSE)+SUM(_xlfn.XLOOKUP($S2:$AG2,增益!$A:$A,增益!$D:$D,0))-$I$2</f>
        <v>6665.76</v>
      </c>
      <c r="AQ2" s="29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0.3025</v>
      </c>
      <c r="AR2" s="29" cm="1">
        <f t="array" ref="AR2">$G$10+VLOOKUP($R2,武学奇术!$A:$ZZ,7,FALSE)+SUM(_xlfn.XLOOKUP(S2:AG2,增益!$A:$A,增益!$G:$G,0))</f>
        <v>0</v>
      </c>
      <c r="AS2" s="20" cm="1">
        <f t="array" ref="AS2">VLOOKUP($R2,武学奇术!$A:$ZZ,8,FALSE)+SUM(_xlfn.XLOOKUP(S2:AG2,增益!$A:$A,增益!$H:$H,0))</f>
        <v>0</v>
      </c>
      <c r="AT2">
        <f>$D$11*(1+$AS2)</f>
        <v>538</v>
      </c>
      <c r="AU2">
        <f>$E$11*(1+$AS2)</f>
        <v>1011</v>
      </c>
      <c r="AV2" s="29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29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29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29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29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29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29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29" cm="1">
        <f t="array" ref="BI2">$G$14+VLOOKUP($R2,武学奇术!$A:$ZZ,16,FALSE)+SUM(_xlfn.XLOOKUP(S2:AG2,增益!$A:$A,增益!$P:$P,0))</f>
        <v>0</v>
      </c>
      <c r="BJ2" s="20">
        <f>MIN(IF(VLOOKUP($R2,武学奇术!$A:$ZZ,23,FALSE)=1,100%,$B$8),100%)</f>
        <v>0.8271</v>
      </c>
      <c r="BK2" s="20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0.2249</v>
      </c>
      <c r="BL2" s="20" cm="1">
        <f t="array" ref="BL2">1+$B$13+VLOOKUP($R2,武学奇术!$A:$ZZ,18,FALSE)+SUM(_xlfn.XLOOKUP(S2:AG2,增益!$A:$A,增益!$R:$R,0))</f>
        <v>1.5</v>
      </c>
      <c r="BM2" s="20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0.4159</v>
      </c>
      <c r="BN2" s="20" cm="1">
        <f t="array" ref="BN2">1+$B$14+VLOOKUP($R2,武学奇术!$A:$ZZ,20,FALSE)+SUM(_xlfn.XLOOKUP(S2:AG2,增益!$A:$A,增益!$T:$T,0))</f>
        <v>1.412</v>
      </c>
      <c r="BO2" s="20">
        <f>MIN((1-BM2)*BJ2,BJ2*BK2)</f>
        <v>0.18601479</v>
      </c>
      <c r="BP2" s="20">
        <f>1-BM2-BO2-BQ2</f>
        <v>0.29709432</v>
      </c>
      <c r="BQ2" s="20">
        <f>IF(VLOOKUP($R2,武学奇术!$A:$ZZ,22,FALSE)=1,0,(1-$BJ2))*(1-$BM2)</f>
        <v>0.10099089</v>
      </c>
      <c r="BR2" s="20" cm="1">
        <f t="array" ref="BR2">SUM(_xlfn.XLOOKUP(S2:AG2,增益!$A:$A,增益!$W:$W,0))+$I$5</f>
        <v>0.11</v>
      </c>
    </row>
    <row r="3" spans="1:70">
      <c r="A3" s="42" t="s">
        <v>5</v>
      </c>
      <c r="B3" s="43">
        <v>472</v>
      </c>
      <c r="C3" s="43">
        <v>945</v>
      </c>
      <c r="D3" s="43">
        <v>30</v>
      </c>
      <c r="E3" s="44">
        <v>0.15</v>
      </c>
      <c r="F3" s="41" t="s">
        <v>35</v>
      </c>
      <c r="G3" s="45">
        <f>B16+1.5%+IF($D$16="√",8%,0)</f>
        <v>0.1837</v>
      </c>
      <c r="H3" s="41" t="s">
        <v>76</v>
      </c>
      <c r="I3" s="11">
        <f>25-IF(D17="√",10,0)-IF(F17="√",10,0)</f>
        <v>5</v>
      </c>
      <c r="K3" s="27">
        <f>$L3*VLOOKUP($R3,武学奇术!$A:$ZZ,31,FALSE)</f>
        <v>73116.7137433755</v>
      </c>
      <c r="L3" s="27">
        <f t="shared" ref="L3:L34" si="0">($M3*$BO3+$N3*$BM3+$O3*$BP3+$P3*$BQ3)</f>
        <v>73116.7137433755</v>
      </c>
      <c r="M3" s="27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71853.2988264259</v>
      </c>
      <c r="N3" s="27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104083.969608763</v>
      </c>
      <c r="O3" s="27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47902.1992176173</v>
      </c>
      <c r="P3" s="27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22090.5389389435</v>
      </c>
      <c r="Q3" s="35">
        <v>1</v>
      </c>
      <c r="R3" s="36" t="s">
        <v>77</v>
      </c>
      <c r="S3" s="36" t="s">
        <v>71</v>
      </c>
      <c r="T3" s="36" t="s">
        <v>71</v>
      </c>
      <c r="U3" s="36" t="s">
        <v>71</v>
      </c>
      <c r="V3" s="36" t="s">
        <v>71</v>
      </c>
      <c r="W3" s="36" t="s">
        <v>71</v>
      </c>
      <c r="X3" s="36" t="s">
        <v>71</v>
      </c>
      <c r="Y3" s="36" t="s">
        <v>71</v>
      </c>
      <c r="Z3" s="36" t="s">
        <v>71</v>
      </c>
      <c r="AA3" s="36" t="s">
        <v>71</v>
      </c>
      <c r="AB3" s="36" t="s">
        <v>71</v>
      </c>
      <c r="AC3" s="36" t="s">
        <v>71</v>
      </c>
      <c r="AD3" s="36" t="s">
        <v>72</v>
      </c>
      <c r="AE3" s="36" t="s">
        <v>73</v>
      </c>
      <c r="AF3" s="36" t="s">
        <v>74</v>
      </c>
      <c r="AG3" s="36" t="s">
        <v>75</v>
      </c>
      <c r="AH3" t="str">
        <f>VLOOKUP($R3,武学奇术!$A:$ZZ,25,FALSE)</f>
        <v>单体奇术</v>
      </c>
      <c r="AI3" s="20">
        <f>VLOOKUP($R3,武学奇术!$A:$ZZ,26,FALSE)</f>
        <v>3.9855</v>
      </c>
      <c r="AJ3" s="21">
        <f>VLOOKUP($R3,武学奇术!$A:$ZZ,27,FALSE)*(1+IF(OR($AH3=$F$4,$AH3=$F$5),$B$22,0))</f>
        <v>749</v>
      </c>
      <c r="AK3" s="20">
        <f>VLOOKUP($R3,武学奇术!$A:$ZZ,28,FALSE)</f>
        <v>5.97825</v>
      </c>
      <c r="AL3" s="21">
        <f>VLOOKUP($R3,武学奇术!$A:$ZZ,29,FALSE)*(1+IF(OR($AH3=$F$4,$AH3=$F$5),$B$22,0))</f>
        <v>0</v>
      </c>
      <c r="AM3" s="20" cm="1">
        <f t="array" ref="AM3">$G$3+IFERROR(VLOOKUP($AH3,$F$4:$G$7,2,FALSE),0)+VLOOKUP($R3,武学奇术!$A:$ZZ,2,FALSE)+SUM(_xlfn.XLOOKUP($S3:$AG3,增益!$A:$A,增益!$B:$B,0))</f>
        <v>0.5615</v>
      </c>
      <c r="AN3" s="20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1554.72</v>
      </c>
      <c r="AP3" cm="1">
        <f t="array" ref="AP3">$E$10*(1+$AN3)+VLOOKUP($R3,武学奇术!$A:$ZZ,4,FALSE)+SUM(_xlfn.XLOOKUP($S3:$AG3,增益!$A:$A,增益!$D:$D,0))-$I$2</f>
        <v>6665.76</v>
      </c>
      <c r="AQ3" s="29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0.3025</v>
      </c>
      <c r="AR3" s="29" cm="1">
        <f t="array" ref="AR3">$G$10+VLOOKUP($R3,武学奇术!$A:$ZZ,7,FALSE)+SUM(_xlfn.XLOOKUP(S3:AG3,增益!$A:$A,增益!$G:$G,0))</f>
        <v>0</v>
      </c>
      <c r="AS3" s="20" cm="1">
        <f t="array" ref="AS3">VLOOKUP($R3,武学奇术!$A:$ZZ,8,FALSE)+SUM(_xlfn.XLOOKUP(S3:AG3,增益!$A:$A,增益!$H:$H,0))</f>
        <v>0</v>
      </c>
      <c r="AT3">
        <f t="shared" ref="AT3:AT43" si="1">$D$11*(1+$AS3)</f>
        <v>538</v>
      </c>
      <c r="AU3">
        <f t="shared" ref="AU3:AU43" si="2">$E$11*(1+$AS3)</f>
        <v>1011</v>
      </c>
      <c r="AV3" s="29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29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29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29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29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29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29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29" cm="1">
        <f t="array" ref="BI3">$G$14+VLOOKUP($R3,武学奇术!$A:$ZZ,16,FALSE)+SUM(_xlfn.XLOOKUP(S3:AG3,增益!$A:$A,增益!$P:$P,0))</f>
        <v>0</v>
      </c>
      <c r="BJ3" s="20">
        <f>MIN(IF(VLOOKUP($R3,武学奇术!$A:$ZZ,23,FALSE)=1,100%,$B$8),100%)</f>
        <v>0.8271</v>
      </c>
      <c r="BK3" s="20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0.2249</v>
      </c>
      <c r="BL3" s="20" cm="1">
        <f t="array" ref="BL3">1+$B$13+VLOOKUP($R3,武学奇术!$A:$ZZ,18,FALSE)+SUM(_xlfn.XLOOKUP(S3:AG3,增益!$A:$A,增益!$R:$R,0))</f>
        <v>1.5</v>
      </c>
      <c r="BM3" s="20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0.4159</v>
      </c>
      <c r="BN3" s="20" cm="1">
        <f t="array" ref="BN3">1+$B$14+VLOOKUP($R3,武学奇术!$A:$ZZ,20,FALSE)+SUM(_xlfn.XLOOKUP(S3:AG3,增益!$A:$A,增益!$T:$T,0))</f>
        <v>1.412</v>
      </c>
      <c r="BO3" s="20">
        <f t="shared" ref="BO3:BO27" si="9">MIN((1-BM3)*BJ3,BJ3*BK3)</f>
        <v>0.18601479</v>
      </c>
      <c r="BP3" s="20">
        <f t="shared" ref="BP3:BP34" si="10">1-BM3-BO3-BQ3</f>
        <v>0.29709432</v>
      </c>
      <c r="BQ3" s="20">
        <f>IF(VLOOKUP($R3,武学奇术!$A:$ZZ,22,FALSE)=1,0,(1-$BJ3))*(1-$BM3)</f>
        <v>0.10099089</v>
      </c>
      <c r="BR3" s="20" cm="1">
        <f t="array" ref="BR3">SUM(_xlfn.XLOOKUP(S3:AG3,增益!$A:$A,增益!$W:$W,0))+$I$5</f>
        <v>0.11</v>
      </c>
    </row>
    <row r="4" ht="14.25" spans="1:70">
      <c r="A4" s="46" t="s">
        <v>78</v>
      </c>
      <c r="B4" s="47"/>
      <c r="C4" s="47"/>
      <c r="D4" s="47"/>
      <c r="E4" s="48"/>
      <c r="F4" s="41" t="s">
        <v>79</v>
      </c>
      <c r="G4" s="45">
        <f>B15+B17</f>
        <v>0.1704</v>
      </c>
      <c r="H4" s="49" t="s">
        <v>80</v>
      </c>
      <c r="I4" s="15">
        <f>30</f>
        <v>30</v>
      </c>
      <c r="K4" s="27">
        <f>$L4*VLOOKUP($R4,武学奇术!$A:$ZZ,31,FALSE)</f>
        <v>51964.3855883327</v>
      </c>
      <c r="L4" s="27">
        <f t="shared" si="0"/>
        <v>51964.3855883327</v>
      </c>
      <c r="M4" s="27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51651.2316019799</v>
      </c>
      <c r="N4" s="27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72985.537578084</v>
      </c>
      <c r="O4" s="27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34434.1544013199</v>
      </c>
      <c r="P4" s="27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17542.3330093318</v>
      </c>
      <c r="Q4" s="35">
        <v>1</v>
      </c>
      <c r="R4" s="36" t="s">
        <v>81</v>
      </c>
      <c r="S4" s="36" t="s">
        <v>71</v>
      </c>
      <c r="T4" s="36" t="s">
        <v>71</v>
      </c>
      <c r="U4" s="36" t="s">
        <v>71</v>
      </c>
      <c r="V4" s="36" t="s">
        <v>71</v>
      </c>
      <c r="W4" s="36" t="s">
        <v>71</v>
      </c>
      <c r="X4" s="36" t="s">
        <v>71</v>
      </c>
      <c r="Y4" s="36" t="s">
        <v>71</v>
      </c>
      <c r="Z4" s="36" t="s">
        <v>82</v>
      </c>
      <c r="AA4" s="36" t="s">
        <v>71</v>
      </c>
      <c r="AB4" s="36" t="s">
        <v>71</v>
      </c>
      <c r="AC4" s="36" t="s">
        <v>71</v>
      </c>
      <c r="AD4" s="36" t="s">
        <v>72</v>
      </c>
      <c r="AE4" s="36" t="s">
        <v>73</v>
      </c>
      <c r="AF4" s="36" t="s">
        <v>83</v>
      </c>
      <c r="AG4" s="36" t="s">
        <v>84</v>
      </c>
      <c r="AH4" t="str">
        <f>VLOOKUP($R4,武学奇术!$A:$ZZ,25,FALSE)</f>
        <v>剑</v>
      </c>
      <c r="AI4" s="20">
        <f>VLOOKUP($R4,武学奇术!$A:$ZZ,26,FALSE)</f>
        <v>2.7205</v>
      </c>
      <c r="AJ4" s="21">
        <f>VLOOKUP($R4,武学奇术!$A:$ZZ,27,FALSE)*(1+IF(OR($AH4=$F$4,$AH4=$F$5),$B$22,0))</f>
        <v>1048.6</v>
      </c>
      <c r="AK4" s="20">
        <f>VLOOKUP($R4,武学奇术!$A:$ZZ,28,FALSE)</f>
        <v>4.0806</v>
      </c>
      <c r="AL4" s="21">
        <f>VLOOKUP($R4,武学奇术!$A:$ZZ,29,FALSE)*(1+IF(OR($AH4=$F$4,$AH4=$F$5),$B$22,0))</f>
        <v>572.6</v>
      </c>
      <c r="AM4" s="20" cm="1">
        <f t="array" ref="AM4">$G$3+IFERROR(VLOOKUP($AH4,$F$4:$G$7,2,FALSE),0)+VLOOKUP($R4,武学奇术!$A:$ZZ,2,FALSE)+SUM(_xlfn.XLOOKUP($S4:$AG4,增益!$A:$A,增益!$B:$B,0))</f>
        <v>0.4741</v>
      </c>
      <c r="AN4" s="20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1554.72</v>
      </c>
      <c r="AP4" cm="1">
        <f t="array" ref="AP4">$E$10*(1+$AN4)+VLOOKUP($R4,武学奇术!$A:$ZZ,4,FALSE)+SUM(_xlfn.XLOOKUP($S4:$AG4,增益!$A:$A,增益!$D:$D,0))-$I$2</f>
        <v>6665.76</v>
      </c>
      <c r="AQ4" s="29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0.3125</v>
      </c>
      <c r="AR4" s="29" cm="1">
        <f t="array" ref="AR4">$G$10+VLOOKUP($R4,武学奇术!$A:$ZZ,7,FALSE)+SUM(_xlfn.XLOOKUP(S4:AG4,增益!$A:$A,增益!$G:$G,0))</f>
        <v>0</v>
      </c>
      <c r="AS4" s="20" cm="1">
        <f t="array" ref="AS4">VLOOKUP($R4,武学奇术!$A:$ZZ,8,FALSE)+SUM(_xlfn.XLOOKUP(S4:AG4,增益!$A:$A,增益!$H:$H,0))</f>
        <v>0</v>
      </c>
      <c r="AT4">
        <f t="shared" si="1"/>
        <v>538</v>
      </c>
      <c r="AU4">
        <f t="shared" si="2"/>
        <v>1011</v>
      </c>
      <c r="AV4" s="29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0.08</v>
      </c>
      <c r="AW4" s="29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29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-0.14</v>
      </c>
      <c r="BA4" s="29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29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-0.14</v>
      </c>
      <c r="BE4" s="29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29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-0.14</v>
      </c>
      <c r="BI4" s="29" cm="1">
        <f t="array" ref="BI4">$G$14+VLOOKUP($R4,武学奇术!$A:$ZZ,16,FALSE)+SUM(_xlfn.XLOOKUP(S4:AG4,增益!$A:$A,增益!$P:$P,0))</f>
        <v>0</v>
      </c>
      <c r="BJ4" s="20">
        <f>MIN(IF(VLOOKUP($R4,武学奇术!$A:$ZZ,23,FALSE)=1,100%,$B$8),100%)</f>
        <v>0.8271</v>
      </c>
      <c r="BK4" s="20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0.2249</v>
      </c>
      <c r="BL4" s="20" cm="1">
        <f t="array" ref="BL4">1+$B$13+VLOOKUP($R4,武学奇术!$A:$ZZ,18,FALSE)+SUM(_xlfn.XLOOKUP(S4:AG4,增益!$A:$A,增益!$R:$R,0))</f>
        <v>1.5</v>
      </c>
      <c r="BM4" s="20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0.4159</v>
      </c>
      <c r="BN4" s="20" cm="1">
        <f t="array" ref="BN4">1+$B$14+VLOOKUP($R4,武学奇术!$A:$ZZ,20,FALSE)+SUM(_xlfn.XLOOKUP(S4:AG4,增益!$A:$A,增益!$T:$T,0))</f>
        <v>1.422</v>
      </c>
      <c r="BO4" s="20">
        <f t="shared" si="9"/>
        <v>0.18601479</v>
      </c>
      <c r="BP4" s="20">
        <f t="shared" si="10"/>
        <v>0.29709432</v>
      </c>
      <c r="BQ4" s="20">
        <f>IF(VLOOKUP($R4,武学奇术!$A:$ZZ,22,FALSE)=1,0,(1-$BJ4))*(1-$BM4)</f>
        <v>0.10099089</v>
      </c>
      <c r="BR4" s="20" cm="1">
        <f t="array" ref="BR4">SUM(_xlfn.XLOOKUP(S4:AG4,增益!$A:$A,增益!$W:$W,0))+$I$5</f>
        <v>0.11</v>
      </c>
    </row>
    <row r="5" spans="1:70">
      <c r="A5" s="50" t="s">
        <v>85</v>
      </c>
      <c r="B5" s="51"/>
      <c r="C5" s="51"/>
      <c r="D5" s="51"/>
      <c r="E5" s="52"/>
      <c r="F5" s="41" t="s">
        <v>86</v>
      </c>
      <c r="G5" s="45">
        <f>B15+B18</f>
        <v>0.0852</v>
      </c>
      <c r="H5" t="s">
        <v>87</v>
      </c>
      <c r="I5" s="22">
        <v>0.06</v>
      </c>
      <c r="K5" s="27">
        <f>$L5*VLOOKUP($R5,武学奇术!$A:$ZZ,31,FALSE)</f>
        <v>39010.7281832286</v>
      </c>
      <c r="L5" s="27">
        <f t="shared" si="0"/>
        <v>39010.7281832286</v>
      </c>
      <c r="M5" s="27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38767.4575202793</v>
      </c>
      <c r="N5" s="27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54804.0402054419</v>
      </c>
      <c r="O5" s="27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25844.9716801862</v>
      </c>
      <c r="P5" s="27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13149.8306983177</v>
      </c>
      <c r="Q5" s="35">
        <v>1</v>
      </c>
      <c r="R5" s="36" t="s">
        <v>88</v>
      </c>
      <c r="S5" s="36" t="s">
        <v>71</v>
      </c>
      <c r="T5" s="36" t="s">
        <v>71</v>
      </c>
      <c r="U5" s="36" t="s">
        <v>71</v>
      </c>
      <c r="V5" s="36" t="s">
        <v>71</v>
      </c>
      <c r="W5" s="36" t="s">
        <v>71</v>
      </c>
      <c r="X5" s="36" t="s">
        <v>71</v>
      </c>
      <c r="Y5" s="36" t="s">
        <v>71</v>
      </c>
      <c r="Z5" s="36" t="s">
        <v>82</v>
      </c>
      <c r="AA5" s="36" t="s">
        <v>71</v>
      </c>
      <c r="AB5" s="36" t="s">
        <v>71</v>
      </c>
      <c r="AC5" s="36" t="s">
        <v>71</v>
      </c>
      <c r="AD5" s="36" t="s">
        <v>72</v>
      </c>
      <c r="AE5" s="36" t="s">
        <v>73</v>
      </c>
      <c r="AF5" s="36" t="s">
        <v>83</v>
      </c>
      <c r="AG5" s="36" t="s">
        <v>89</v>
      </c>
      <c r="AH5" t="str">
        <f>VLOOKUP($R5,武学奇术!$A:$ZZ,25,FALSE)</f>
        <v>枪</v>
      </c>
      <c r="AI5" s="20">
        <f>VLOOKUP($R5,武学奇术!$A:$ZZ,26,FALSE)</f>
        <v>2.1401</v>
      </c>
      <c r="AJ5" s="21">
        <f>VLOOKUP($R5,武学奇术!$A:$ZZ,27,FALSE)*(1+IF(OR($AH5=$F$4,$AH5=$F$5),$B$22,0))</f>
        <v>823.2</v>
      </c>
      <c r="AK5" s="20">
        <f>VLOOKUP($R5,武学奇术!$A:$ZZ,28,FALSE)</f>
        <v>3.2101</v>
      </c>
      <c r="AL5" s="21">
        <f>VLOOKUP($R5,武学奇术!$A:$ZZ,29,FALSE)*(1+IF(OR($AH5=$F$4,$AH5=$F$5),$B$22,0))</f>
        <v>448</v>
      </c>
      <c r="AM5" s="20" cm="1">
        <f t="array" ref="AM5">$G$3+IFERROR(VLOOKUP($AH5,$F$4:$G$7,2,FALSE),0)+VLOOKUP($R5,武学奇术!$A:$ZZ,2,FALSE)+SUM(_xlfn.XLOOKUP($S5:$AG5,增益!$A:$A,增益!$B:$B,0))</f>
        <v>0.3989</v>
      </c>
      <c r="AN5" s="20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1554.72</v>
      </c>
      <c r="AP5" cm="1">
        <f t="array" ref="AP5">$E$10*(1+$AN5)+VLOOKUP($R5,武学奇术!$A:$ZZ,4,FALSE)+SUM(_xlfn.XLOOKUP($S5:$AG5,增益!$A:$A,增益!$D:$D,0))-$I$2</f>
        <v>6665.76</v>
      </c>
      <c r="AQ5" s="29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0.3225</v>
      </c>
      <c r="AR5" s="29" cm="1">
        <f t="array" ref="AR5">$G$10+VLOOKUP($R5,武学奇术!$A:$ZZ,7,FALSE)+SUM(_xlfn.XLOOKUP(S5:AG5,增益!$A:$A,增益!$G:$G,0))</f>
        <v>0</v>
      </c>
      <c r="AS5" s="20" cm="1">
        <f t="array" ref="AS5">VLOOKUP($R5,武学奇术!$A:$ZZ,8,FALSE)+SUM(_xlfn.XLOOKUP(S5:AG5,增益!$A:$A,增益!$H:$H,0))</f>
        <v>0</v>
      </c>
      <c r="AT5">
        <f t="shared" si="1"/>
        <v>538</v>
      </c>
      <c r="AU5">
        <f t="shared" si="2"/>
        <v>1011</v>
      </c>
      <c r="AV5" s="29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0.08</v>
      </c>
      <c r="AW5" s="29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29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-0.14</v>
      </c>
      <c r="BA5" s="29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29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-0.14</v>
      </c>
      <c r="BE5" s="29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29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-0.14</v>
      </c>
      <c r="BI5" s="29" cm="1">
        <f t="array" ref="BI5">$G$14+VLOOKUP($R5,武学奇术!$A:$ZZ,16,FALSE)+SUM(_xlfn.XLOOKUP(S5:AG5,增益!$A:$A,增益!$P:$P,0))</f>
        <v>0</v>
      </c>
      <c r="BJ5" s="20">
        <f>MIN(IF(VLOOKUP($R5,武学奇术!$A:$ZZ,23,FALSE)=1,100%,$B$8),100%)</f>
        <v>0.8271</v>
      </c>
      <c r="BK5" s="20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0.2249</v>
      </c>
      <c r="BL5" s="20" cm="1">
        <f t="array" ref="BL5">1+$B$13+VLOOKUP($R5,武学奇术!$A:$ZZ,18,FALSE)+SUM(_xlfn.XLOOKUP(S5:AG5,增益!$A:$A,增益!$R:$R,0))</f>
        <v>1.5</v>
      </c>
      <c r="BM5" s="20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0.4159</v>
      </c>
      <c r="BN5" s="20" cm="1">
        <f t="array" ref="BN5">1+$B$14+VLOOKUP($R5,武学奇术!$A:$ZZ,20,FALSE)+SUM(_xlfn.XLOOKUP(S5:AG5,增益!$A:$A,增益!$T:$T,0))</f>
        <v>1.422</v>
      </c>
      <c r="BO5" s="20">
        <f t="shared" si="9"/>
        <v>0.18601479</v>
      </c>
      <c r="BP5" s="20">
        <f t="shared" si="10"/>
        <v>0.29709432</v>
      </c>
      <c r="BQ5" s="20">
        <f>IF(VLOOKUP($R5,武学奇术!$A:$ZZ,22,FALSE)=1,0,(1-$BJ5))*(1-$BM5)</f>
        <v>0.10099089</v>
      </c>
      <c r="BR5" s="20" cm="1">
        <f t="array" ref="BR5">SUM(_xlfn.XLOOKUP(S5:AG5,增益!$A:$A,增益!$W:$W,0))+$I$5</f>
        <v>0.11</v>
      </c>
    </row>
    <row r="6" spans="1:70">
      <c r="A6" s="53" t="s">
        <v>90</v>
      </c>
      <c r="B6" s="54"/>
      <c r="C6" s="54"/>
      <c r="D6" s="54"/>
      <c r="E6" s="55"/>
      <c r="F6" s="41" t="s">
        <v>91</v>
      </c>
      <c r="G6" s="45">
        <f>B19</f>
        <v>0.2678</v>
      </c>
      <c r="K6" s="27">
        <f>$L6*VLOOKUP($R6,武学奇术!$A:$ZZ,31,FALSE)</f>
        <v>27988.729285269</v>
      </c>
      <c r="L6" s="27">
        <f t="shared" si="0"/>
        <v>27988.729285269</v>
      </c>
      <c r="M6" s="27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25939.3081305765</v>
      </c>
      <c r="N6" s="27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39496.7365895438</v>
      </c>
      <c r="O6" s="27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17292.872087051</v>
      </c>
      <c r="P6" s="27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8804.58452035277</v>
      </c>
      <c r="Q6" s="35">
        <v>1</v>
      </c>
      <c r="R6" s="36" t="s">
        <v>92</v>
      </c>
      <c r="S6" s="36" t="s">
        <v>71</v>
      </c>
      <c r="T6" s="36" t="s">
        <v>93</v>
      </c>
      <c r="U6" s="36" t="s">
        <v>71</v>
      </c>
      <c r="V6" s="36" t="s">
        <v>71</v>
      </c>
      <c r="W6" s="36" t="s">
        <v>71</v>
      </c>
      <c r="X6" s="36" t="s">
        <v>71</v>
      </c>
      <c r="Y6" s="36" t="s">
        <v>71</v>
      </c>
      <c r="Z6" s="36" t="s">
        <v>82</v>
      </c>
      <c r="AA6" s="36" t="s">
        <v>71</v>
      </c>
      <c r="AB6" s="36" t="s">
        <v>71</v>
      </c>
      <c r="AC6" s="36" t="s">
        <v>71</v>
      </c>
      <c r="AD6" s="36" t="s">
        <v>72</v>
      </c>
      <c r="AE6" s="36" t="s">
        <v>94</v>
      </c>
      <c r="AF6" s="36" t="s">
        <v>95</v>
      </c>
      <c r="AG6" s="36" t="s">
        <v>89</v>
      </c>
      <c r="AH6" t="str">
        <f>VLOOKUP($R6,武学奇术!$A:$ZZ,25,FALSE)</f>
        <v>剑</v>
      </c>
      <c r="AI6" s="20">
        <f>VLOOKUP($R6,武学奇术!$A:$ZZ,26,FALSE)</f>
        <v>1.1781</v>
      </c>
      <c r="AJ6" s="21">
        <f>VLOOKUP($R6,武学奇术!$A:$ZZ,27,FALSE)*(1+IF(OR($AH6=$F$4,$AH6=$F$5),$B$22,0))</f>
        <v>456.4</v>
      </c>
      <c r="AK6" s="20">
        <f>VLOOKUP($R6,武学奇术!$A:$ZZ,28,FALSE)</f>
        <v>1.7672</v>
      </c>
      <c r="AL6" s="21">
        <f>VLOOKUP($R6,武学奇术!$A:$ZZ,29,FALSE)*(1+IF(OR($AH6=$F$4,$AH6=$F$5),$B$22,0))</f>
        <v>247.8</v>
      </c>
      <c r="AM6" s="20" cm="1">
        <f t="array" ref="AM6">$G$3+IFERROR(VLOOKUP($AH6,$F$4:$G$7,2,FALSE),0)+VLOOKUP($R6,武学奇术!$A:$ZZ,2,FALSE)+SUM(_xlfn.XLOOKUP($S6:$AG6,增益!$A:$A,增益!$B:$B,0))</f>
        <v>0.6991</v>
      </c>
      <c r="AN6" s="20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1554.72</v>
      </c>
      <c r="AP6" cm="1">
        <f t="array" ref="AP6">$E$10*(1+$AN6)+VLOOKUP($R6,武学奇术!$A:$ZZ,4,FALSE)+SUM(_xlfn.XLOOKUP($S6:$AG6,增益!$A:$A,增益!$D:$D,0))-$I$2</f>
        <v>6665.76</v>
      </c>
      <c r="AQ6" s="29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0.3225</v>
      </c>
      <c r="AR6" s="29" cm="1">
        <f t="array" ref="AR6">$G$10+VLOOKUP($R6,武学奇术!$A:$ZZ,7,FALSE)+SUM(_xlfn.XLOOKUP(S6:AG6,增益!$A:$A,增益!$G:$G,0))</f>
        <v>0</v>
      </c>
      <c r="AS6" s="20" cm="1">
        <f t="array" ref="AS6">VLOOKUP($R6,武学奇术!$A:$ZZ,8,FALSE)+SUM(_xlfn.XLOOKUP(S6:AG6,增益!$A:$A,增益!$H:$H,0))</f>
        <v>0</v>
      </c>
      <c r="AT6">
        <f t="shared" si="1"/>
        <v>538</v>
      </c>
      <c r="AU6">
        <f t="shared" si="2"/>
        <v>1011</v>
      </c>
      <c r="AV6" s="29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0.08</v>
      </c>
      <c r="AW6" s="29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29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-0.14</v>
      </c>
      <c r="BA6" s="29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29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-0.14</v>
      </c>
      <c r="BE6" s="29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29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-0.14</v>
      </c>
      <c r="BI6" s="29" cm="1">
        <f t="array" ref="BI6">$G$14+VLOOKUP($R6,武学奇术!$A:$ZZ,16,FALSE)+SUM(_xlfn.XLOOKUP(S6:AG6,增益!$A:$A,增益!$P:$P,0))</f>
        <v>0</v>
      </c>
      <c r="BJ6" s="20">
        <f>MIN(IF(VLOOKUP($R6,武学奇术!$A:$ZZ,23,FALSE)=1,100%,$B$8),100%)</f>
        <v>0.8271</v>
      </c>
      <c r="BK6" s="20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0.2249</v>
      </c>
      <c r="BL6" s="20" cm="1">
        <f t="array" ref="BL6">1+$B$13+VLOOKUP($R6,武学奇术!$A:$ZZ,18,FALSE)+SUM(_xlfn.XLOOKUP(S6:AG6,增益!$A:$A,增益!$R:$R,0))</f>
        <v>1.5</v>
      </c>
      <c r="BM6" s="20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0.4459</v>
      </c>
      <c r="BN6" s="20" cm="1">
        <f t="array" ref="BN6">1+$B$14+VLOOKUP($R6,武学奇术!$A:$ZZ,20,FALSE)+SUM(_xlfn.XLOOKUP(S6:AG6,增益!$A:$A,增益!$T:$T,0))</f>
        <v>1.532</v>
      </c>
      <c r="BO6" s="20">
        <f t="shared" si="9"/>
        <v>0.18601479</v>
      </c>
      <c r="BP6" s="20">
        <f t="shared" si="10"/>
        <v>0.27228132</v>
      </c>
      <c r="BQ6" s="20">
        <f>IF(VLOOKUP($R6,武学奇术!$A:$ZZ,22,FALSE)=1,0,(1-$BJ6))*(1-$BM6)</f>
        <v>0.09580389</v>
      </c>
      <c r="BR6" s="20" cm="1">
        <f t="array" ref="BR6">SUM(_xlfn.XLOOKUP(S6:AG6,增益!$A:$A,增益!$W:$W,0))+$I$5</f>
        <v>0.11</v>
      </c>
    </row>
    <row r="7" ht="14.25" spans="1:70">
      <c r="A7" s="83" t="s">
        <v>96</v>
      </c>
      <c r="B7" s="87">
        <v>66</v>
      </c>
      <c r="C7" s="56">
        <v>66</v>
      </c>
      <c r="D7" s="57"/>
      <c r="E7" s="58"/>
      <c r="F7" s="49" t="s">
        <v>97</v>
      </c>
      <c r="G7" s="59">
        <f>B20</f>
        <v>0</v>
      </c>
      <c r="K7" s="27">
        <f>$L7*VLOOKUP($R7,武学奇术!$A:$ZZ,31,FALSE)</f>
        <v>104236.801065705</v>
      </c>
      <c r="L7" s="27">
        <f t="shared" si="0"/>
        <v>173728.001776175</v>
      </c>
      <c r="M7" s="27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97903.2853881619</v>
      </c>
      <c r="N7" s="27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173728.001776175</v>
      </c>
      <c r="O7" s="27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65268.8569254412</v>
      </c>
      <c r="P7" s="27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29061.0772993782</v>
      </c>
      <c r="Q7" s="35">
        <v>1</v>
      </c>
      <c r="R7" s="36" t="s">
        <v>98</v>
      </c>
      <c r="S7" s="36" t="s">
        <v>71</v>
      </c>
      <c r="T7" s="36" t="s">
        <v>99</v>
      </c>
      <c r="U7" s="36" t="s">
        <v>100</v>
      </c>
      <c r="V7" s="36" t="s">
        <v>101</v>
      </c>
      <c r="W7" s="36" t="s">
        <v>71</v>
      </c>
      <c r="X7" s="36" t="s">
        <v>71</v>
      </c>
      <c r="Y7" s="36" t="s">
        <v>71</v>
      </c>
      <c r="Z7" s="36" t="s">
        <v>82</v>
      </c>
      <c r="AA7" s="36" t="s">
        <v>71</v>
      </c>
      <c r="AB7" s="36" t="s">
        <v>71</v>
      </c>
      <c r="AC7" s="36" t="s">
        <v>71</v>
      </c>
      <c r="AD7" s="36" t="s">
        <v>72</v>
      </c>
      <c r="AE7" s="36" t="s">
        <v>94</v>
      </c>
      <c r="AF7" s="36" t="s">
        <v>95</v>
      </c>
      <c r="AG7" s="36" t="s">
        <v>89</v>
      </c>
      <c r="AH7" t="str">
        <f>VLOOKUP($R7,武学奇术!$A:$ZZ,25,FALSE)</f>
        <v>剑</v>
      </c>
      <c r="AI7" s="20">
        <f>VLOOKUP($R7,武学奇术!$A:$ZZ,26,FALSE)</f>
        <v>2.496</v>
      </c>
      <c r="AJ7" s="21">
        <f>VLOOKUP($R7,武学奇术!$A:$ZZ,27,FALSE)*(1+IF(OR($AH7=$F$4,$AH7=$F$5),$B$22,0))</f>
        <v>0</v>
      </c>
      <c r="AK7" s="20">
        <f>VLOOKUP($R7,武学奇术!$A:$ZZ,28,FALSE)</f>
        <v>3.744</v>
      </c>
      <c r="AL7" s="21">
        <f>VLOOKUP($R7,武学奇术!$A:$ZZ,29,FALSE)*(1+IF(OR($AH7=$F$4,$AH7=$F$5),$B$22,0))</f>
        <v>0</v>
      </c>
      <c r="AM7" s="20" cm="1">
        <f t="array" ref="AM7">$G$3+IFERROR(VLOOKUP($AH7,$F$4:$G$7,2,FALSE),0)+VLOOKUP($R7,武学奇术!$A:$ZZ,2,FALSE)+SUM(_xlfn.XLOOKUP($S7:$AG7,增益!$A:$A,增益!$B:$B,0))</f>
        <v>1.4491</v>
      </c>
      <c r="AN7" s="20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1554.72</v>
      </c>
      <c r="AP7" cm="1">
        <f t="array" ref="AP7">$E$10*(1+$AN7)+VLOOKUP($R7,武学奇术!$A:$ZZ,4,FALSE)+SUM(_xlfn.XLOOKUP($S7:$AG7,增益!$A:$A,增益!$D:$D,0))-$I$2</f>
        <v>6665.76</v>
      </c>
      <c r="AQ7" s="29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0.3975</v>
      </c>
      <c r="AR7" s="29" cm="1">
        <f t="array" ref="AR7">$G$10+VLOOKUP($R7,武学奇术!$A:$ZZ,7,FALSE)+SUM(_xlfn.XLOOKUP(S7:AG7,增益!$A:$A,增益!$G:$G,0))</f>
        <v>0</v>
      </c>
      <c r="AS7" s="20" cm="1">
        <f t="array" ref="AS7">VLOOKUP($R7,武学奇术!$A:$ZZ,8,FALSE)+SUM(_xlfn.XLOOKUP(S7:AG7,增益!$A:$A,增益!$H:$H,0))</f>
        <v>0</v>
      </c>
      <c r="AT7">
        <f t="shared" si="1"/>
        <v>538</v>
      </c>
      <c r="AU7">
        <f t="shared" si="2"/>
        <v>1011</v>
      </c>
      <c r="AV7" s="29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0.155</v>
      </c>
      <c r="AW7" s="29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29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-0.14</v>
      </c>
      <c r="BA7" s="29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29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-0.14</v>
      </c>
      <c r="BE7" s="29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29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-0.14</v>
      </c>
      <c r="BI7" s="29" cm="1">
        <f t="array" ref="BI7">$G$14+VLOOKUP($R7,武学奇术!$A:$ZZ,16,FALSE)+SUM(_xlfn.XLOOKUP(S7:AG7,增益!$A:$A,增益!$P:$P,0))</f>
        <v>0</v>
      </c>
      <c r="BJ7" s="20">
        <f>MIN(IF(VLOOKUP($R7,武学奇术!$A:$ZZ,23,FALSE)=1,100%,$B$8),100%)</f>
        <v>0.8271</v>
      </c>
      <c r="BK7" s="20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</v>
      </c>
      <c r="BL7" s="20" cm="1">
        <f t="array" ref="BL7">1+$B$13+VLOOKUP($R7,武学奇术!$A:$ZZ,18,FALSE)+SUM(_xlfn.XLOOKUP(S7:AG7,增益!$A:$A,增益!$R:$R,0))</f>
        <v>1.5</v>
      </c>
      <c r="BM7" s="20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1</v>
      </c>
      <c r="BN7" s="20" cm="1">
        <f t="array" ref="BN7">1+$B$14+VLOOKUP($R7,武学奇术!$A:$ZZ,20,FALSE)+SUM(_xlfn.XLOOKUP(S7:AG7,增益!$A:$A,增益!$T:$T,0))</f>
        <v>1.712</v>
      </c>
      <c r="BO7" s="20">
        <f t="shared" si="9"/>
        <v>0</v>
      </c>
      <c r="BP7" s="20">
        <f t="shared" si="10"/>
        <v>0</v>
      </c>
      <c r="BQ7" s="20">
        <f>IF(VLOOKUP($R7,武学奇术!$A:$ZZ,22,FALSE)=1,0,(1-$BJ7))*(1-$BM7)</f>
        <v>0</v>
      </c>
      <c r="BR7" s="20" cm="1">
        <f t="array" ref="BR7">SUM(_xlfn.XLOOKUP(S7:AG7,增益!$A:$A,增益!$W:$W,0))+$I$5</f>
        <v>0.11</v>
      </c>
    </row>
    <row r="8" spans="1:70">
      <c r="A8" s="60" t="s">
        <v>102</v>
      </c>
      <c r="B8" s="61">
        <v>0.8271</v>
      </c>
      <c r="C8" s="33" t="s">
        <v>103</v>
      </c>
      <c r="D8" s="62"/>
      <c r="E8" s="62"/>
      <c r="F8" s="62"/>
      <c r="G8" s="34"/>
      <c r="H8" s="63" t="s">
        <v>104</v>
      </c>
      <c r="I8" s="64">
        <v>93</v>
      </c>
      <c r="J8" s="65"/>
      <c r="K8" s="27">
        <f>$L8*VLOOKUP($R8,武学奇术!$A:$ZZ,31,FALSE)</f>
        <v>69739.4579011242</v>
      </c>
      <c r="L8" s="27">
        <f t="shared" si="0"/>
        <v>116232.429835207</v>
      </c>
      <c r="M8" s="27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97903.2853881619</v>
      </c>
      <c r="N8" s="27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173728.001776175</v>
      </c>
      <c r="O8" s="27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65268.8569254412</v>
      </c>
      <c r="P8" s="27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29061.0772993782</v>
      </c>
      <c r="Q8" s="35">
        <v>1</v>
      </c>
      <c r="R8" s="36" t="s">
        <v>105</v>
      </c>
      <c r="S8" s="36" t="s">
        <v>71</v>
      </c>
      <c r="T8" s="36" t="s">
        <v>99</v>
      </c>
      <c r="U8" s="36" t="s">
        <v>100</v>
      </c>
      <c r="V8" s="36" t="s">
        <v>101</v>
      </c>
      <c r="W8" s="36" t="s">
        <v>71</v>
      </c>
      <c r="X8" s="36" t="s">
        <v>71</v>
      </c>
      <c r="Y8" s="36" t="s">
        <v>71</v>
      </c>
      <c r="Z8" s="36" t="s">
        <v>82</v>
      </c>
      <c r="AA8" s="36" t="s">
        <v>71</v>
      </c>
      <c r="AB8" s="36" t="s">
        <v>71</v>
      </c>
      <c r="AC8" s="36" t="s">
        <v>71</v>
      </c>
      <c r="AD8" s="36" t="s">
        <v>72</v>
      </c>
      <c r="AE8" s="36" t="s">
        <v>94</v>
      </c>
      <c r="AF8" s="36" t="s">
        <v>95</v>
      </c>
      <c r="AG8" s="36" t="s">
        <v>89</v>
      </c>
      <c r="AH8" t="str">
        <f>VLOOKUP($R8,武学奇术!$A:$ZZ,25,FALSE)</f>
        <v>剑</v>
      </c>
      <c r="AI8" s="20">
        <f>VLOOKUP($R8,武学奇术!$A:$ZZ,26,FALSE)</f>
        <v>2.496</v>
      </c>
      <c r="AJ8" s="21">
        <f>VLOOKUP($R8,武学奇术!$A:$ZZ,27,FALSE)*(1+IF(OR($AH8=$F$4,$AH8=$F$5),$B$22,0))</f>
        <v>0</v>
      </c>
      <c r="AK8" s="20">
        <f>VLOOKUP($R8,武学奇术!$A:$ZZ,28,FALSE)</f>
        <v>3.744</v>
      </c>
      <c r="AL8" s="21">
        <f>VLOOKUP($R8,武学奇术!$A:$ZZ,29,FALSE)*(1+IF(OR($AH8=$F$4,$AH8=$F$5),$B$22,0))</f>
        <v>0</v>
      </c>
      <c r="AM8" s="20" cm="1">
        <f t="array" ref="AM8">$G$3+IFERROR(VLOOKUP($AH8,$F$4:$G$7,2,FALSE),0)+VLOOKUP($R8,武学奇术!$A:$ZZ,2,FALSE)+SUM(_xlfn.XLOOKUP($S8:$AG8,增益!$A:$A,增益!$B:$B,0))</f>
        <v>1.4491</v>
      </c>
      <c r="AN8" s="20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1554.72</v>
      </c>
      <c r="AP8" cm="1">
        <f t="array" ref="AP8">$E$10*(1+$AN8)+VLOOKUP($R8,武学奇术!$A:$ZZ,4,FALSE)+SUM(_xlfn.XLOOKUP($S8:$AG8,增益!$A:$A,增益!$D:$D,0))-$I$2</f>
        <v>6665.76</v>
      </c>
      <c r="AQ8" s="29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0.3975</v>
      </c>
      <c r="AR8" s="29" cm="1">
        <f t="array" ref="AR8">$G$10+VLOOKUP($R8,武学奇术!$A:$ZZ,7,FALSE)+SUM(_xlfn.XLOOKUP(S8:AG8,增益!$A:$A,增益!$G:$G,0))</f>
        <v>0</v>
      </c>
      <c r="AS8" s="20" cm="1">
        <f t="array" ref="AS8">VLOOKUP($R8,武学奇术!$A:$ZZ,8,FALSE)+SUM(_xlfn.XLOOKUP(S8:AG8,增益!$A:$A,增益!$H:$H,0))</f>
        <v>0</v>
      </c>
      <c r="AT8">
        <f t="shared" si="1"/>
        <v>538</v>
      </c>
      <c r="AU8">
        <f t="shared" si="2"/>
        <v>1011</v>
      </c>
      <c r="AV8" s="29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0.155</v>
      </c>
      <c r="AW8" s="29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29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-0.14</v>
      </c>
      <c r="BA8" s="29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29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-0.14</v>
      </c>
      <c r="BE8" s="29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29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-0.14</v>
      </c>
      <c r="BI8" s="29" cm="1">
        <f t="array" ref="BI8">$G$14+VLOOKUP($R8,武学奇术!$A:$ZZ,16,FALSE)+SUM(_xlfn.XLOOKUP(S8:AG8,增益!$A:$A,增益!$P:$P,0))</f>
        <v>0</v>
      </c>
      <c r="BJ8" s="20">
        <f>MIN(IF(VLOOKUP($R8,武学奇术!$A:$ZZ,23,FALSE)=1,100%,$B$8),100%)</f>
        <v>0.8271</v>
      </c>
      <c r="BK8" s="20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0.2249</v>
      </c>
      <c r="BL8" s="20" cm="1">
        <f t="array" ref="BL8">1+$B$13+VLOOKUP($R8,武学奇术!$A:$ZZ,18,FALSE)+SUM(_xlfn.XLOOKUP(S8:AG8,增益!$A:$A,增益!$R:$R,0))</f>
        <v>1.5</v>
      </c>
      <c r="BM8" s="20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0.4459</v>
      </c>
      <c r="BN8" s="20" cm="1">
        <f t="array" ref="BN8">1+$B$14+VLOOKUP($R8,武学奇术!$A:$ZZ,20,FALSE)+SUM(_xlfn.XLOOKUP(S8:AG8,增益!$A:$A,增益!$T:$T,0))</f>
        <v>1.712</v>
      </c>
      <c r="BO8" s="20">
        <f t="shared" si="9"/>
        <v>0.18601479</v>
      </c>
      <c r="BP8" s="20">
        <f t="shared" si="10"/>
        <v>0.27228132</v>
      </c>
      <c r="BQ8" s="20">
        <f>IF(VLOOKUP($R8,武学奇术!$A:$ZZ,22,FALSE)=1,0,(1-$BJ8))*(1-$BM8)</f>
        <v>0.09580389</v>
      </c>
      <c r="BR8" s="20" cm="1">
        <f t="array" ref="BR8">SUM(_xlfn.XLOOKUP(S8:AG8,增益!$A:$A,增益!$W:$W,0))+$I$5</f>
        <v>0.11</v>
      </c>
    </row>
    <row r="9" ht="14.25" spans="1:70">
      <c r="A9" s="37" t="s">
        <v>106</v>
      </c>
      <c r="B9" s="66">
        <v>0.1789</v>
      </c>
      <c r="C9" s="41"/>
      <c r="D9" t="s">
        <v>0</v>
      </c>
      <c r="E9" t="s">
        <v>1</v>
      </c>
      <c r="F9" s="35" t="s">
        <v>2</v>
      </c>
      <c r="G9" s="40" t="s">
        <v>3</v>
      </c>
      <c r="H9" s="67"/>
      <c r="I9" s="68"/>
      <c r="J9" s="69"/>
      <c r="K9" s="27">
        <f>$L9*VLOOKUP($R9,武学奇术!$A:$ZZ,31,FALSE)</f>
        <v>13430.5814369128</v>
      </c>
      <c r="L9" s="27">
        <f t="shared" si="0"/>
        <v>13430.5814369128</v>
      </c>
      <c r="M9" s="27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12162.3829557055</v>
      </c>
      <c r="N9" s="27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19320.6747489618</v>
      </c>
      <c r="O9" s="27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8108.25530380369</v>
      </c>
      <c r="P9" s="27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3605.104113507</v>
      </c>
      <c r="Q9" s="35">
        <v>1</v>
      </c>
      <c r="R9" s="36" t="s">
        <v>107</v>
      </c>
      <c r="S9" s="36" t="s">
        <v>71</v>
      </c>
      <c r="T9" s="36" t="s">
        <v>93</v>
      </c>
      <c r="U9" s="36" t="s">
        <v>71</v>
      </c>
      <c r="V9" s="36" t="s">
        <v>71</v>
      </c>
      <c r="W9" s="36" t="s">
        <v>71</v>
      </c>
      <c r="X9" s="36" t="s">
        <v>71</v>
      </c>
      <c r="Y9" s="36" t="s">
        <v>71</v>
      </c>
      <c r="Z9" s="36" t="s">
        <v>82</v>
      </c>
      <c r="AA9" s="36" t="s">
        <v>71</v>
      </c>
      <c r="AB9" s="36" t="s">
        <v>71</v>
      </c>
      <c r="AC9" s="36" t="s">
        <v>71</v>
      </c>
      <c r="AD9" s="36" t="s">
        <v>72</v>
      </c>
      <c r="AE9" s="36" t="s">
        <v>94</v>
      </c>
      <c r="AF9" s="36" t="s">
        <v>95</v>
      </c>
      <c r="AG9" s="36" t="s">
        <v>89</v>
      </c>
      <c r="AH9" t="str">
        <f>VLOOKUP($R9,武学奇术!$A:$ZZ,25,FALSE)</f>
        <v>剑</v>
      </c>
      <c r="AI9" s="20">
        <f>VLOOKUP($R9,武学奇术!$A:$ZZ,26,FALSE)</f>
        <v>0.625</v>
      </c>
      <c r="AJ9" s="21">
        <f>VLOOKUP($R9,武学奇术!$A:$ZZ,27,FALSE)*(1+IF(OR($AH9=$F$4,$AH9=$F$5),$B$22,0))</f>
        <v>0</v>
      </c>
      <c r="AK9" s="20">
        <f>VLOOKUP($R9,武学奇术!$A:$ZZ,28,FALSE)</f>
        <v>0.9375</v>
      </c>
      <c r="AL9" s="21">
        <f>VLOOKUP($R9,武学奇术!$A:$ZZ,29,FALSE)*(1+IF(OR($AH9=$F$4,$AH9=$F$5),$B$22,0))</f>
        <v>0</v>
      </c>
      <c r="AM9" s="20" cm="1">
        <f t="array" ref="AM9">$G$3+IFERROR(VLOOKUP($AH9,$F$4:$G$7,2,FALSE),0)+VLOOKUP($R9,武学奇术!$A:$ZZ,2,FALSE)+SUM(_xlfn.XLOOKUP($S9:$AG9,增益!$A:$A,增益!$B:$B,0))</f>
        <v>0.6991</v>
      </c>
      <c r="AN9" s="20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1554.72</v>
      </c>
      <c r="AP9" cm="1">
        <f t="array" ref="AP9">$E$10*(1+$AN9)+VLOOKUP($R9,武学奇术!$A:$ZZ,4,FALSE)+SUM(_xlfn.XLOOKUP($S9:$AG9,增益!$A:$A,增益!$D:$D,0))-$I$2</f>
        <v>6665.76</v>
      </c>
      <c r="AQ9" s="29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0.3225</v>
      </c>
      <c r="AR9" s="29" cm="1">
        <f t="array" ref="AR9">$G$10+VLOOKUP($R9,武学奇术!$A:$ZZ,7,FALSE)+SUM(_xlfn.XLOOKUP(S9:AG9,增益!$A:$A,增益!$G:$G,0))</f>
        <v>0</v>
      </c>
      <c r="AS9" s="20" cm="1">
        <f t="array" ref="AS9">VLOOKUP($R9,武学奇术!$A:$ZZ,8,FALSE)+SUM(_xlfn.XLOOKUP(S9:AG9,增益!$A:$A,增益!$H:$H,0))</f>
        <v>0</v>
      </c>
      <c r="AT9">
        <f t="shared" si="1"/>
        <v>538</v>
      </c>
      <c r="AU9">
        <f t="shared" si="2"/>
        <v>1011</v>
      </c>
      <c r="AV9" s="29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0.08</v>
      </c>
      <c r="AW9" s="29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29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-0.14</v>
      </c>
      <c r="BA9" s="29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29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-0.14</v>
      </c>
      <c r="BE9" s="29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29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-0.14</v>
      </c>
      <c r="BI9" s="29" cm="1">
        <f t="array" ref="BI9">$G$14+VLOOKUP($R9,武学奇术!$A:$ZZ,16,FALSE)+SUM(_xlfn.XLOOKUP(S9:AG9,增益!$A:$A,增益!$P:$P,0))</f>
        <v>0</v>
      </c>
      <c r="BJ9" s="20">
        <f>MIN(IF(VLOOKUP($R9,武学奇术!$A:$ZZ,23,FALSE)=1,100%,$B$8),100%)</f>
        <v>0.8271</v>
      </c>
      <c r="BK9" s="20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0.2249</v>
      </c>
      <c r="BL9" s="20" cm="1">
        <f t="array" ref="BL9">1+$B$13+VLOOKUP($R9,武学奇术!$A:$ZZ,18,FALSE)+SUM(_xlfn.XLOOKUP(S9:AG9,增益!$A:$A,增益!$R:$R,0))</f>
        <v>1.5</v>
      </c>
      <c r="BM9" s="20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0.4459</v>
      </c>
      <c r="BN9" s="20" cm="1">
        <f t="array" ref="BN9">1+$B$14+VLOOKUP($R9,武学奇术!$A:$ZZ,20,FALSE)+SUM(_xlfn.XLOOKUP(S9:AG9,增益!$A:$A,增益!$T:$T,0))</f>
        <v>1.532</v>
      </c>
      <c r="BO9" s="20">
        <f t="shared" si="9"/>
        <v>0.18601479</v>
      </c>
      <c r="BP9" s="20">
        <f t="shared" si="10"/>
        <v>0.27228132</v>
      </c>
      <c r="BQ9" s="20">
        <f>IF(VLOOKUP($R9,武学奇术!$A:$ZZ,22,FALSE)=1,0,(1-$BJ9))*(1-$BM9)</f>
        <v>0.09580389</v>
      </c>
      <c r="BR9" s="20" cm="1">
        <f t="array" ref="BR9">SUM(_xlfn.XLOOKUP(S9:AG9,增益!$A:$A,增益!$W:$W,0))+$I$5</f>
        <v>0.11</v>
      </c>
    </row>
    <row r="10" spans="1:70">
      <c r="A10" s="37" t="s">
        <v>108</v>
      </c>
      <c r="B10" s="66">
        <v>0.3929</v>
      </c>
      <c r="C10" s="41" t="s">
        <v>67</v>
      </c>
      <c r="D10">
        <f>(B2+B23)*IF($G$2="飞隼",1.1,1)</f>
        <v>2137.52</v>
      </c>
      <c r="E10">
        <f>MAX(B2+B23,C2+B24)*IF($G$2="飞隼",1.1,1)</f>
        <v>7248.56</v>
      </c>
      <c r="F10">
        <f>D2</f>
        <v>63.5</v>
      </c>
      <c r="G10" s="88">
        <f>E2</f>
        <v>0</v>
      </c>
      <c r="H10" s="63" t="s">
        <v>109</v>
      </c>
      <c r="I10" s="70">
        <f>SUM(L:L)</f>
        <v>14183983.020999</v>
      </c>
      <c r="J10" s="71"/>
      <c r="K10" s="27">
        <f>$L10*VLOOKUP($R10,武学奇术!$A:$ZZ,31,FALSE)</f>
        <v>58924.8078499158</v>
      </c>
      <c r="L10" s="27">
        <f t="shared" si="0"/>
        <v>58924.8078499158</v>
      </c>
      <c r="M10" s="27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54654.1523428124</v>
      </c>
      <c r="N10" s="27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83095.8263352641</v>
      </c>
      <c r="O10" s="27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36436.101561875</v>
      </c>
      <c r="P10" s="27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18632.1076046481</v>
      </c>
      <c r="Q10" s="35">
        <v>1</v>
      </c>
      <c r="R10" s="36" t="s">
        <v>110</v>
      </c>
      <c r="S10" s="36" t="s">
        <v>71</v>
      </c>
      <c r="T10" s="36" t="s">
        <v>93</v>
      </c>
      <c r="U10" s="36" t="s">
        <v>71</v>
      </c>
      <c r="V10" s="36" t="s">
        <v>71</v>
      </c>
      <c r="W10" s="36" t="s">
        <v>111</v>
      </c>
      <c r="X10" s="36" t="s">
        <v>71</v>
      </c>
      <c r="Y10" s="36" t="s">
        <v>71</v>
      </c>
      <c r="Z10" s="36" t="s">
        <v>82</v>
      </c>
      <c r="AA10" s="36" t="s">
        <v>71</v>
      </c>
      <c r="AB10" s="36" t="s">
        <v>71</v>
      </c>
      <c r="AC10" s="36" t="s">
        <v>71</v>
      </c>
      <c r="AD10" s="36" t="s">
        <v>72</v>
      </c>
      <c r="AE10" s="36" t="s">
        <v>94</v>
      </c>
      <c r="AF10" s="36" t="s">
        <v>95</v>
      </c>
      <c r="AG10" s="36" t="s">
        <v>112</v>
      </c>
      <c r="AH10" t="str">
        <f>VLOOKUP($R10,武学奇术!$A:$ZZ,25,FALSE)</f>
        <v>枪</v>
      </c>
      <c r="AI10" s="20">
        <f>VLOOKUP($R10,武学奇术!$A:$ZZ,26,FALSE)</f>
        <v>2.5683</v>
      </c>
      <c r="AJ10" s="21">
        <f>VLOOKUP($R10,武学奇术!$A:$ZZ,27,FALSE)*(1+IF(OR($AH10=$F$4,$AH10=$F$5),$B$22,0))</f>
        <v>995.4</v>
      </c>
      <c r="AK10" s="20">
        <f>VLOOKUP($R10,武学奇术!$A:$ZZ,28,FALSE)</f>
        <v>3.8524</v>
      </c>
      <c r="AL10" s="21">
        <f>VLOOKUP($R10,武学奇术!$A:$ZZ,29,FALSE)*(1+IF(OR($AH10=$F$4,$AH10=$F$5),$B$22,0))</f>
        <v>541.8</v>
      </c>
      <c r="AM10" s="20" cm="1">
        <f t="array" ref="AM10">$G$3+IFERROR(VLOOKUP($AH10,$F$4:$G$7,2,FALSE),0)+VLOOKUP($R10,武学奇术!$A:$ZZ,2,FALSE)+SUM(_xlfn.XLOOKUP($S10:$AG10,增益!$A:$A,增益!$B:$B,0))</f>
        <v>0.6239</v>
      </c>
      <c r="AN10" s="20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1585.72</v>
      </c>
      <c r="AP10" cm="1">
        <f t="array" ref="AP10">$E$10*(1+$AN10)+VLOOKUP($R10,武学奇术!$A:$ZZ,4,FALSE)+SUM(_xlfn.XLOOKUP($S10:$AG10,增益!$A:$A,增益!$D:$D,0))-$I$2</f>
        <v>6696.76</v>
      </c>
      <c r="AQ10" s="29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0.3325</v>
      </c>
      <c r="AR10" s="29" cm="1">
        <f t="array" ref="AR10">$G$10+VLOOKUP($R10,武学奇术!$A:$ZZ,7,FALSE)+SUM(_xlfn.XLOOKUP(S10:AG10,增益!$A:$A,增益!$G:$G,0))</f>
        <v>0</v>
      </c>
      <c r="AS10" s="20" cm="1">
        <f t="array" ref="AS10">VLOOKUP($R10,武学奇术!$A:$ZZ,8,FALSE)+SUM(_xlfn.XLOOKUP(S10:AG10,增益!$A:$A,增益!$H:$H,0))</f>
        <v>0</v>
      </c>
      <c r="AT10">
        <f t="shared" si="1"/>
        <v>538</v>
      </c>
      <c r="AU10">
        <f t="shared" si="2"/>
        <v>1011</v>
      </c>
      <c r="AV10" s="29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0.08</v>
      </c>
      <c r="AW10" s="29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29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-0.14</v>
      </c>
      <c r="BA10" s="29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29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-0.14</v>
      </c>
      <c r="BE10" s="29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29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-0.14</v>
      </c>
      <c r="BI10" s="29" cm="1">
        <f t="array" ref="BI10">$G$14+VLOOKUP($R10,武学奇术!$A:$ZZ,16,FALSE)+SUM(_xlfn.XLOOKUP(S10:AG10,增益!$A:$A,增益!$P:$P,0))</f>
        <v>0</v>
      </c>
      <c r="BJ10" s="20">
        <f>MIN(IF(VLOOKUP($R10,武学奇术!$A:$ZZ,23,FALSE)=1,100%,$B$8),100%)</f>
        <v>0.8271</v>
      </c>
      <c r="BK10" s="20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0.2249</v>
      </c>
      <c r="BL10" s="20" cm="1">
        <f t="array" ref="BL10">1+$B$13+VLOOKUP($R10,武学奇术!$A:$ZZ,18,FALSE)+SUM(_xlfn.XLOOKUP(S10:AG10,增益!$A:$A,增益!$R:$R,0))</f>
        <v>1.5</v>
      </c>
      <c r="BM10" s="20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0.4459</v>
      </c>
      <c r="BN10" s="20" cm="1">
        <f t="array" ref="BN10">1+$B$14+VLOOKUP($R10,武学奇术!$A:$ZZ,20,FALSE)+SUM(_xlfn.XLOOKUP(S10:AG10,增益!$A:$A,增益!$T:$T,0))</f>
        <v>1.532</v>
      </c>
      <c r="BO10" s="20">
        <f t="shared" si="9"/>
        <v>0.18601479</v>
      </c>
      <c r="BP10" s="20">
        <f t="shared" si="10"/>
        <v>0.27228132</v>
      </c>
      <c r="BQ10" s="20">
        <f>IF(VLOOKUP($R10,武学奇术!$A:$ZZ,22,FALSE)=1,0,(1-$BJ10))*(1-$BM10)</f>
        <v>0.09580389</v>
      </c>
      <c r="BR10" s="20" cm="1">
        <f t="array" ref="BR10">SUM(_xlfn.XLOOKUP(S10:AG10,增益!$A:$A,增益!$W:$W,0))+$I$5</f>
        <v>0.11</v>
      </c>
    </row>
    <row r="11" ht="14.25" spans="1:70">
      <c r="A11" s="37" t="s">
        <v>113</v>
      </c>
      <c r="B11" s="66">
        <v>0.046</v>
      </c>
      <c r="C11" s="41" t="s">
        <v>5</v>
      </c>
      <c r="D11">
        <f>B3+IF($G$1=$C11,$B$7,0)</f>
        <v>538</v>
      </c>
      <c r="E11">
        <f>MAX(B3,C3)+IF($G$1=$C11,$C$7,0)</f>
        <v>1011</v>
      </c>
      <c r="F11">
        <f>D3</f>
        <v>30</v>
      </c>
      <c r="G11" s="88">
        <f>E3</f>
        <v>0.15</v>
      </c>
      <c r="H11" s="67"/>
      <c r="I11" s="73"/>
      <c r="J11" s="74"/>
      <c r="K11" s="27">
        <f>$L11*VLOOKUP($R11,武学奇术!$A:$ZZ,31,FALSE)</f>
        <v>70761.1811788073</v>
      </c>
      <c r="L11" s="27">
        <f t="shared" si="0"/>
        <v>117935.301964679</v>
      </c>
      <c r="M11" s="27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99446.1033614932</v>
      </c>
      <c r="N11" s="27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176135.43555499</v>
      </c>
      <c r="O11" s="27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66297.4022409955</v>
      </c>
      <c r="P11" s="27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29711.9566110857</v>
      </c>
      <c r="Q11" s="35">
        <v>1</v>
      </c>
      <c r="R11" s="36" t="s">
        <v>105</v>
      </c>
      <c r="S11" s="36" t="s">
        <v>71</v>
      </c>
      <c r="T11" s="36" t="s">
        <v>99</v>
      </c>
      <c r="U11" s="36" t="s">
        <v>100</v>
      </c>
      <c r="V11" s="36" t="s">
        <v>101</v>
      </c>
      <c r="W11" s="36" t="s">
        <v>111</v>
      </c>
      <c r="X11" s="36" t="s">
        <v>71</v>
      </c>
      <c r="Y11" s="36" t="s">
        <v>71</v>
      </c>
      <c r="Z11" s="36" t="s">
        <v>82</v>
      </c>
      <c r="AA11" s="36" t="s">
        <v>71</v>
      </c>
      <c r="AB11" s="36" t="s">
        <v>71</v>
      </c>
      <c r="AC11" s="36" t="s">
        <v>71</v>
      </c>
      <c r="AD11" s="36" t="s">
        <v>72</v>
      </c>
      <c r="AE11" s="36" t="s">
        <v>94</v>
      </c>
      <c r="AF11" s="36" t="s">
        <v>95</v>
      </c>
      <c r="AG11" s="36" t="s">
        <v>112</v>
      </c>
      <c r="AH11" t="str">
        <f>VLOOKUP($R11,武学奇术!$A:$ZZ,25,FALSE)</f>
        <v>剑</v>
      </c>
      <c r="AI11" s="20">
        <f>VLOOKUP($R11,武学奇术!$A:$ZZ,26,FALSE)</f>
        <v>2.496</v>
      </c>
      <c r="AJ11" s="21">
        <f>VLOOKUP($R11,武学奇术!$A:$ZZ,27,FALSE)*(1+IF(OR($AH11=$F$4,$AH11=$F$5),$B$22,0))</f>
        <v>0</v>
      </c>
      <c r="AK11" s="20">
        <f>VLOOKUP($R11,武学奇术!$A:$ZZ,28,FALSE)</f>
        <v>3.744</v>
      </c>
      <c r="AL11" s="21">
        <f>VLOOKUP($R11,武学奇术!$A:$ZZ,29,FALSE)*(1+IF(OR($AH11=$F$4,$AH11=$F$5),$B$22,0))</f>
        <v>0</v>
      </c>
      <c r="AM11" s="20" cm="1">
        <f t="array" ref="AM11">$G$3+IFERROR(VLOOKUP($AH11,$F$4:$G$7,2,FALSE),0)+VLOOKUP($R11,武学奇术!$A:$ZZ,2,FALSE)+SUM(_xlfn.XLOOKUP($S11:$AG11,增益!$A:$A,增益!$B:$B,0))</f>
        <v>1.4591</v>
      </c>
      <c r="AN11" s="20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1585.72</v>
      </c>
      <c r="AP11" cm="1">
        <f t="array" ref="AP11">$E$10*(1+$AN11)+VLOOKUP($R11,武学奇术!$A:$ZZ,4,FALSE)+SUM(_xlfn.XLOOKUP($S11:$AG11,增益!$A:$A,增益!$D:$D,0))-$I$2</f>
        <v>6696.76</v>
      </c>
      <c r="AQ11" s="29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0.4075</v>
      </c>
      <c r="AR11" s="29" cm="1">
        <f t="array" ref="AR11">$G$10+VLOOKUP($R11,武学奇术!$A:$ZZ,7,FALSE)+SUM(_xlfn.XLOOKUP(S11:AG11,增益!$A:$A,增益!$G:$G,0))</f>
        <v>0</v>
      </c>
      <c r="AS11" s="20" cm="1">
        <f t="array" ref="AS11">VLOOKUP($R11,武学奇术!$A:$ZZ,8,FALSE)+SUM(_xlfn.XLOOKUP(S11:AG11,增益!$A:$A,增益!$H:$H,0))</f>
        <v>0</v>
      </c>
      <c r="AT11">
        <f t="shared" si="1"/>
        <v>538</v>
      </c>
      <c r="AU11">
        <f t="shared" si="2"/>
        <v>1011</v>
      </c>
      <c r="AV11" s="29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0.155</v>
      </c>
      <c r="AW11" s="29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29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-0.14</v>
      </c>
      <c r="BA11" s="29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29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-0.14</v>
      </c>
      <c r="BE11" s="29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29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-0.14</v>
      </c>
      <c r="BI11" s="29" cm="1">
        <f t="array" ref="BI11">$G$14+VLOOKUP($R11,武学奇术!$A:$ZZ,16,FALSE)+SUM(_xlfn.XLOOKUP(S11:AG11,增益!$A:$A,增益!$P:$P,0))</f>
        <v>0</v>
      </c>
      <c r="BJ11" s="20">
        <f>MIN(IF(VLOOKUP($R11,武学奇术!$A:$ZZ,23,FALSE)=1,100%,$B$8),100%)</f>
        <v>0.8271</v>
      </c>
      <c r="BK11" s="20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0.2249</v>
      </c>
      <c r="BL11" s="20" cm="1">
        <f t="array" ref="BL11">1+$B$13+VLOOKUP($R11,武学奇术!$A:$ZZ,18,FALSE)+SUM(_xlfn.XLOOKUP(S11:AG11,增益!$A:$A,增益!$R:$R,0))</f>
        <v>1.5</v>
      </c>
      <c r="BM11" s="20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0.4459</v>
      </c>
      <c r="BN11" s="20" cm="1">
        <f t="array" ref="BN11">1+$B$14+VLOOKUP($R11,武学奇术!$A:$ZZ,20,FALSE)+SUM(_xlfn.XLOOKUP(S11:AG11,增益!$A:$A,增益!$T:$T,0))</f>
        <v>1.712</v>
      </c>
      <c r="BO11" s="20">
        <f t="shared" si="9"/>
        <v>0.18601479</v>
      </c>
      <c r="BP11" s="20">
        <f t="shared" si="10"/>
        <v>0.27228132</v>
      </c>
      <c r="BQ11" s="20">
        <f>IF(VLOOKUP($R11,武学奇术!$A:$ZZ,22,FALSE)=1,0,(1-$BJ11))*(1-$BM11)</f>
        <v>0.09580389</v>
      </c>
      <c r="BR11" s="20" cm="1">
        <f t="array" ref="BR11">SUM(_xlfn.XLOOKUP(S11:AG11,增益!$A:$A,增益!$W:$W,0))+$I$5</f>
        <v>0.11</v>
      </c>
    </row>
    <row r="12" spans="1:70">
      <c r="A12" s="37" t="s">
        <v>114</v>
      </c>
      <c r="B12" s="66">
        <v>0.023</v>
      </c>
      <c r="C12" s="41" t="s">
        <v>78</v>
      </c>
      <c r="D12">
        <f>B4+IF($G$1=$C12,$B$7,0)</f>
        <v>0</v>
      </c>
      <c r="E12">
        <f>MAX(B4,C4)+IF($G$1=$C12,$C$7,0)</f>
        <v>0</v>
      </c>
      <c r="F12">
        <f>D4</f>
        <v>0</v>
      </c>
      <c r="G12" s="88">
        <f>E4</f>
        <v>0</v>
      </c>
      <c r="H12" s="63" t="s">
        <v>115</v>
      </c>
      <c r="I12" s="27">
        <f>I10/I8</f>
        <v>152515.946462355</v>
      </c>
      <c r="J12" s="75"/>
      <c r="K12" s="27">
        <f>$L12*VLOOKUP($R12,武学奇术!$A:$ZZ,31,FALSE)</f>
        <v>28560.2740603933</v>
      </c>
      <c r="L12" s="27">
        <f t="shared" si="0"/>
        <v>28560.2740603933</v>
      </c>
      <c r="M12" s="27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26381.2367329605</v>
      </c>
      <c r="N12" s="27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40373.9570108467</v>
      </c>
      <c r="O12" s="27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17587.491155307</v>
      </c>
      <c r="P12" s="27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8992.13081201045</v>
      </c>
      <c r="Q12" s="35">
        <v>1</v>
      </c>
      <c r="R12" s="36" t="s">
        <v>92</v>
      </c>
      <c r="S12" s="36" t="s">
        <v>71</v>
      </c>
      <c r="T12" s="36" t="s">
        <v>93</v>
      </c>
      <c r="U12" s="36" t="s">
        <v>71</v>
      </c>
      <c r="V12" s="36" t="s">
        <v>71</v>
      </c>
      <c r="W12" s="36" t="s">
        <v>111</v>
      </c>
      <c r="X12" s="36" t="s">
        <v>71</v>
      </c>
      <c r="Y12" s="36" t="s">
        <v>71</v>
      </c>
      <c r="Z12" s="36" t="s">
        <v>82</v>
      </c>
      <c r="AA12" s="36" t="s">
        <v>71</v>
      </c>
      <c r="AB12" s="36" t="s">
        <v>71</v>
      </c>
      <c r="AC12" s="36" t="s">
        <v>71</v>
      </c>
      <c r="AD12" s="36" t="s">
        <v>72</v>
      </c>
      <c r="AE12" s="36" t="s">
        <v>94</v>
      </c>
      <c r="AF12" s="36" t="s">
        <v>116</v>
      </c>
      <c r="AG12" s="36" t="s">
        <v>112</v>
      </c>
      <c r="AH12" t="str">
        <f>VLOOKUP($R12,武学奇术!$A:$ZZ,25,FALSE)</f>
        <v>剑</v>
      </c>
      <c r="AI12" s="20">
        <f>VLOOKUP($R12,武学奇术!$A:$ZZ,26,FALSE)</f>
        <v>1.1781</v>
      </c>
      <c r="AJ12" s="21">
        <f>VLOOKUP($R12,武学奇术!$A:$ZZ,27,FALSE)*(1+IF(OR($AH12=$F$4,$AH12=$F$5),$B$22,0))</f>
        <v>456.4</v>
      </c>
      <c r="AK12" s="20">
        <f>VLOOKUP($R12,武学奇术!$A:$ZZ,28,FALSE)</f>
        <v>1.7672</v>
      </c>
      <c r="AL12" s="21">
        <f>VLOOKUP($R12,武学奇术!$A:$ZZ,29,FALSE)*(1+IF(OR($AH12=$F$4,$AH12=$F$5),$B$22,0))</f>
        <v>247.8</v>
      </c>
      <c r="AM12" s="20" cm="1">
        <f t="array" ref="AM12">$G$3+IFERROR(VLOOKUP($AH12,$F$4:$G$7,2,FALSE),0)+VLOOKUP($R12,武学奇术!$A:$ZZ,2,FALSE)+SUM(_xlfn.XLOOKUP($S12:$AG12,增益!$A:$A,增益!$B:$B,0))</f>
        <v>0.7091</v>
      </c>
      <c r="AN12" s="20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1585.72</v>
      </c>
      <c r="AP12" cm="1">
        <f t="array" ref="AP12">$E$10*(1+$AN12)+VLOOKUP($R12,武学奇术!$A:$ZZ,4,FALSE)+SUM(_xlfn.XLOOKUP($S12:$AG12,增益!$A:$A,增益!$D:$D,0))-$I$2</f>
        <v>6696.76</v>
      </c>
      <c r="AQ12" s="29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0.3325</v>
      </c>
      <c r="AR12" s="29" cm="1">
        <f t="array" ref="AR12">$G$10+VLOOKUP($R12,武学奇术!$A:$ZZ,7,FALSE)+SUM(_xlfn.XLOOKUP(S12:AG12,增益!$A:$A,增益!$G:$G,0))</f>
        <v>0</v>
      </c>
      <c r="AS12" s="20" cm="1">
        <f t="array" ref="AS12">VLOOKUP($R12,武学奇术!$A:$ZZ,8,FALSE)+SUM(_xlfn.XLOOKUP(S12:AG12,增益!$A:$A,增益!$H:$H,0))</f>
        <v>0</v>
      </c>
      <c r="AT12">
        <f t="shared" si="1"/>
        <v>538</v>
      </c>
      <c r="AU12">
        <f t="shared" si="2"/>
        <v>1011</v>
      </c>
      <c r="AV12" s="29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0.08</v>
      </c>
      <c r="AW12" s="29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29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-0.14</v>
      </c>
      <c r="BA12" s="29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29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-0.14</v>
      </c>
      <c r="BE12" s="29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29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-0.14</v>
      </c>
      <c r="BI12" s="29" cm="1">
        <f t="array" ref="BI12">$G$14+VLOOKUP($R12,武学奇术!$A:$ZZ,16,FALSE)+SUM(_xlfn.XLOOKUP(S12:AG12,增益!$A:$A,增益!$P:$P,0))</f>
        <v>0</v>
      </c>
      <c r="BJ12" s="20">
        <f>MIN(IF(VLOOKUP($R12,武学奇术!$A:$ZZ,23,FALSE)=1,100%,$B$8),100%)</f>
        <v>0.8271</v>
      </c>
      <c r="BK12" s="20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0.2249</v>
      </c>
      <c r="BL12" s="20" cm="1">
        <f t="array" ref="BL12">1+$B$13+VLOOKUP($R12,武学奇术!$A:$ZZ,18,FALSE)+SUM(_xlfn.XLOOKUP(S12:AG12,增益!$A:$A,增益!$R:$R,0))</f>
        <v>1.5</v>
      </c>
      <c r="BM12" s="20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0.4459</v>
      </c>
      <c r="BN12" s="20" cm="1">
        <f t="array" ref="BN12">1+$B$14+VLOOKUP($R12,武学奇术!$A:$ZZ,20,FALSE)+SUM(_xlfn.XLOOKUP(S12:AG12,增益!$A:$A,增益!$T:$T,0))</f>
        <v>1.542</v>
      </c>
      <c r="BO12" s="20">
        <f t="shared" si="9"/>
        <v>0.18601479</v>
      </c>
      <c r="BP12" s="20">
        <f t="shared" si="10"/>
        <v>0.27228132</v>
      </c>
      <c r="BQ12" s="20">
        <f>IF(VLOOKUP($R12,武学奇术!$A:$ZZ,22,FALSE)=1,0,(1-$BJ12))*(1-$BM12)</f>
        <v>0.09580389</v>
      </c>
      <c r="BR12" s="20" cm="1">
        <f t="array" ref="BR12">SUM(_xlfn.XLOOKUP(S12:AG12,增益!$A:$A,增益!$W:$W,0))+$I$5</f>
        <v>0.11</v>
      </c>
    </row>
    <row r="13" ht="14.25" spans="1:70">
      <c r="A13" s="37" t="s">
        <v>117</v>
      </c>
      <c r="B13" s="66">
        <v>0.5</v>
      </c>
      <c r="C13" s="41" t="s">
        <v>85</v>
      </c>
      <c r="D13">
        <f>B5+IF($G$1=$C13,$B$7,0)</f>
        <v>0</v>
      </c>
      <c r="E13">
        <f>MAX(B5,C5)+IF($G$1=$C13,$C$7,0)</f>
        <v>0</v>
      </c>
      <c r="F13">
        <f>D5</f>
        <v>0</v>
      </c>
      <c r="G13" s="88">
        <f>E5</f>
        <v>0</v>
      </c>
      <c r="H13" s="67"/>
      <c r="I13" s="76"/>
      <c r="J13" s="74"/>
      <c r="K13" s="27">
        <f>$L13*VLOOKUP($R13,武学奇术!$A:$ZZ,31,FALSE)</f>
        <v>71036.4339500011</v>
      </c>
      <c r="L13" s="27">
        <f t="shared" si="0"/>
        <v>118394.056583335</v>
      </c>
      <c r="M13" s="27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99446.1033614932</v>
      </c>
      <c r="N13" s="27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177164.264033699</v>
      </c>
      <c r="O13" s="27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66297.4022409955</v>
      </c>
      <c r="P13" s="27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29711.9566110857</v>
      </c>
      <c r="Q13" s="35">
        <v>1</v>
      </c>
      <c r="R13" s="36" t="s">
        <v>105</v>
      </c>
      <c r="S13" s="36" t="s">
        <v>71</v>
      </c>
      <c r="T13" s="36" t="s">
        <v>99</v>
      </c>
      <c r="U13" s="36" t="s">
        <v>100</v>
      </c>
      <c r="V13" s="36" t="s">
        <v>101</v>
      </c>
      <c r="W13" s="36" t="s">
        <v>111</v>
      </c>
      <c r="X13" s="36" t="s">
        <v>71</v>
      </c>
      <c r="Y13" s="36" t="s">
        <v>71</v>
      </c>
      <c r="Z13" s="36" t="s">
        <v>82</v>
      </c>
      <c r="AA13" s="36" t="s">
        <v>71</v>
      </c>
      <c r="AB13" s="36" t="s">
        <v>71</v>
      </c>
      <c r="AC13" s="36" t="s">
        <v>71</v>
      </c>
      <c r="AD13" s="36" t="s">
        <v>72</v>
      </c>
      <c r="AE13" s="36" t="s">
        <v>94</v>
      </c>
      <c r="AF13" s="36" t="s">
        <v>116</v>
      </c>
      <c r="AG13" s="36" t="s">
        <v>112</v>
      </c>
      <c r="AH13" t="str">
        <f>VLOOKUP($R13,武学奇术!$A:$ZZ,25,FALSE)</f>
        <v>剑</v>
      </c>
      <c r="AI13" s="20">
        <f>VLOOKUP($R13,武学奇术!$A:$ZZ,26,FALSE)</f>
        <v>2.496</v>
      </c>
      <c r="AJ13" s="21">
        <f>VLOOKUP($R13,武学奇术!$A:$ZZ,27,FALSE)*(1+IF(OR($AH13=$F$4,$AH13=$F$5),$B$22,0))</f>
        <v>0</v>
      </c>
      <c r="AK13" s="20">
        <f>VLOOKUP($R13,武学奇术!$A:$ZZ,28,FALSE)</f>
        <v>3.744</v>
      </c>
      <c r="AL13" s="21">
        <f>VLOOKUP($R13,武学奇术!$A:$ZZ,29,FALSE)*(1+IF(OR($AH13=$F$4,$AH13=$F$5),$B$22,0))</f>
        <v>0</v>
      </c>
      <c r="AM13" s="20" cm="1">
        <f t="array" ref="AM13">$G$3+IFERROR(VLOOKUP($AH13,$F$4:$G$7,2,FALSE),0)+VLOOKUP($R13,武学奇术!$A:$ZZ,2,FALSE)+SUM(_xlfn.XLOOKUP($S13:$AG13,增益!$A:$A,增益!$B:$B,0))</f>
        <v>1.4591</v>
      </c>
      <c r="AN13" s="20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1585.72</v>
      </c>
      <c r="AP13" cm="1">
        <f t="array" ref="AP13">$E$10*(1+$AN13)+VLOOKUP($R13,武学奇术!$A:$ZZ,4,FALSE)+SUM(_xlfn.XLOOKUP($S13:$AG13,增益!$A:$A,增益!$D:$D,0))-$I$2</f>
        <v>6696.76</v>
      </c>
      <c r="AQ13" s="29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0.4075</v>
      </c>
      <c r="AR13" s="29" cm="1">
        <f t="array" ref="AR13">$G$10+VLOOKUP($R13,武学奇术!$A:$ZZ,7,FALSE)+SUM(_xlfn.XLOOKUP(S13:AG13,增益!$A:$A,增益!$G:$G,0))</f>
        <v>0</v>
      </c>
      <c r="AS13" s="20" cm="1">
        <f t="array" ref="AS13">VLOOKUP($R13,武学奇术!$A:$ZZ,8,FALSE)+SUM(_xlfn.XLOOKUP(S13:AG13,增益!$A:$A,增益!$H:$H,0))</f>
        <v>0</v>
      </c>
      <c r="AT13">
        <f t="shared" si="1"/>
        <v>538</v>
      </c>
      <c r="AU13">
        <f t="shared" si="2"/>
        <v>1011</v>
      </c>
      <c r="AV13" s="29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0.155</v>
      </c>
      <c r="AW13" s="29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29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-0.14</v>
      </c>
      <c r="BA13" s="29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29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-0.14</v>
      </c>
      <c r="BE13" s="29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29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-0.14</v>
      </c>
      <c r="BI13" s="29" cm="1">
        <f t="array" ref="BI13">$G$14+VLOOKUP($R13,武学奇术!$A:$ZZ,16,FALSE)+SUM(_xlfn.XLOOKUP(S13:AG13,增益!$A:$A,增益!$P:$P,0))</f>
        <v>0</v>
      </c>
      <c r="BJ13" s="20">
        <f>MIN(IF(VLOOKUP($R13,武学奇术!$A:$ZZ,23,FALSE)=1,100%,$B$8),100%)</f>
        <v>0.8271</v>
      </c>
      <c r="BK13" s="20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0.2249</v>
      </c>
      <c r="BL13" s="20" cm="1">
        <f t="array" ref="BL13">1+$B$13+VLOOKUP($R13,武学奇术!$A:$ZZ,18,FALSE)+SUM(_xlfn.XLOOKUP(S13:AG13,增益!$A:$A,增益!$R:$R,0))</f>
        <v>1.5</v>
      </c>
      <c r="BM13" s="20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0.4459</v>
      </c>
      <c r="BN13" s="20" cm="1">
        <f t="array" ref="BN13">1+$B$14+VLOOKUP($R13,武学奇术!$A:$ZZ,20,FALSE)+SUM(_xlfn.XLOOKUP(S13:AG13,增益!$A:$A,增益!$T:$T,0))</f>
        <v>1.722</v>
      </c>
      <c r="BO13" s="20">
        <f t="shared" si="9"/>
        <v>0.18601479</v>
      </c>
      <c r="BP13" s="20">
        <f t="shared" si="10"/>
        <v>0.27228132</v>
      </c>
      <c r="BQ13" s="20">
        <f>IF(VLOOKUP($R13,武学奇术!$A:$ZZ,22,FALSE)=1,0,(1-$BJ13))*(1-$BM13)</f>
        <v>0.09580389</v>
      </c>
      <c r="BR13" s="20" cm="1">
        <f t="array" ref="BR13">SUM(_xlfn.XLOOKUP(S13:AG13,增益!$A:$A,增益!$W:$W,0))+$I$5</f>
        <v>0.11</v>
      </c>
    </row>
    <row r="14" ht="14.25" spans="1:70">
      <c r="A14" s="37" t="s">
        <v>118</v>
      </c>
      <c r="B14" s="66">
        <v>0.402</v>
      </c>
      <c r="C14" s="49" t="s">
        <v>90</v>
      </c>
      <c r="D14" s="14">
        <f>B6+IF($G$1=$C14,B7,0)</f>
        <v>0</v>
      </c>
      <c r="E14" s="14">
        <f>MAX(B6,C6)+IF($G$1=$C14,$C$7,0)</f>
        <v>0</v>
      </c>
      <c r="F14" s="14">
        <f>D6</f>
        <v>0</v>
      </c>
      <c r="G14" s="89">
        <f>E6</f>
        <v>0</v>
      </c>
      <c r="H14" s="33" t="s">
        <v>119</v>
      </c>
      <c r="I14" s="70">
        <f>RD!I14</f>
        <v>133972.352595502</v>
      </c>
      <c r="J14" s="71"/>
      <c r="K14" s="27">
        <f>$L14*VLOOKUP($R14,武学奇术!$A:$ZZ,31,FALSE)</f>
        <v>107355.607669445</v>
      </c>
      <c r="L14" s="27">
        <f t="shared" si="0"/>
        <v>178926.012782409</v>
      </c>
      <c r="M14" s="27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100411.424933579</v>
      </c>
      <c r="N14" s="27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178926.012782409</v>
      </c>
      <c r="O14" s="27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66940.9499557191</v>
      </c>
      <c r="P14" s="27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29975.9691434889</v>
      </c>
      <c r="Q14" s="35">
        <v>1</v>
      </c>
      <c r="R14" s="36" t="s">
        <v>98</v>
      </c>
      <c r="S14" s="36" t="s">
        <v>71</v>
      </c>
      <c r="T14" s="36" t="s">
        <v>99</v>
      </c>
      <c r="U14" s="36" t="s">
        <v>100</v>
      </c>
      <c r="V14" s="36" t="s">
        <v>101</v>
      </c>
      <c r="W14" s="36" t="s">
        <v>111</v>
      </c>
      <c r="X14" s="36" t="s">
        <v>71</v>
      </c>
      <c r="Y14" s="36" t="s">
        <v>71</v>
      </c>
      <c r="Z14" s="36" t="s">
        <v>82</v>
      </c>
      <c r="AA14" s="36" t="s">
        <v>71</v>
      </c>
      <c r="AB14" s="36" t="s">
        <v>71</v>
      </c>
      <c r="AC14" s="36" t="s">
        <v>71</v>
      </c>
      <c r="AD14" s="36" t="s">
        <v>72</v>
      </c>
      <c r="AE14" s="36" t="s">
        <v>94</v>
      </c>
      <c r="AF14" s="36" t="s">
        <v>116</v>
      </c>
      <c r="AG14" s="36" t="s">
        <v>120</v>
      </c>
      <c r="AH14" t="str">
        <f>VLOOKUP($R14,武学奇术!$A:$ZZ,25,FALSE)</f>
        <v>剑</v>
      </c>
      <c r="AI14" s="20">
        <f>VLOOKUP($R14,武学奇术!$A:$ZZ,26,FALSE)</f>
        <v>2.496</v>
      </c>
      <c r="AJ14" s="21">
        <f>VLOOKUP($R14,武学奇术!$A:$ZZ,27,FALSE)*(1+IF(OR($AH14=$F$4,$AH14=$F$5),$B$22,0))</f>
        <v>0</v>
      </c>
      <c r="AK14" s="20">
        <f>VLOOKUP($R14,武学奇术!$A:$ZZ,28,FALSE)</f>
        <v>3.744</v>
      </c>
      <c r="AL14" s="21">
        <f>VLOOKUP($R14,武学奇术!$A:$ZZ,29,FALSE)*(1+IF(OR($AH14=$F$4,$AH14=$F$5),$B$22,0))</f>
        <v>0</v>
      </c>
      <c r="AM14" s="20" cm="1">
        <f t="array" ref="AM14">$G$3+IFERROR(VLOOKUP($AH14,$F$4:$G$7,2,FALSE),0)+VLOOKUP($R14,武学奇术!$A:$ZZ,2,FALSE)+SUM(_xlfn.XLOOKUP($S14:$AG14,增益!$A:$A,增益!$B:$B,0))</f>
        <v>1.4691</v>
      </c>
      <c r="AN14" s="20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1585.72</v>
      </c>
      <c r="AP14" cm="1">
        <f t="array" ref="AP14">$E$10*(1+$AN14)+VLOOKUP($R14,武学奇术!$A:$ZZ,4,FALSE)+SUM(_xlfn.XLOOKUP($S14:$AG14,增益!$A:$A,增益!$D:$D,0))-$I$2</f>
        <v>6696.76</v>
      </c>
      <c r="AQ14" s="29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0.4175</v>
      </c>
      <c r="AR14" s="29" cm="1">
        <f t="array" ref="AR14">$G$10+VLOOKUP($R14,武学奇术!$A:$ZZ,7,FALSE)+SUM(_xlfn.XLOOKUP(S14:AG14,增益!$A:$A,增益!$G:$G,0))</f>
        <v>0</v>
      </c>
      <c r="AS14" s="20" cm="1">
        <f t="array" ref="AS14">VLOOKUP($R14,武学奇术!$A:$ZZ,8,FALSE)+SUM(_xlfn.XLOOKUP(S14:AG14,增益!$A:$A,增益!$H:$H,0))</f>
        <v>0</v>
      </c>
      <c r="AT14">
        <f t="shared" si="1"/>
        <v>538</v>
      </c>
      <c r="AU14">
        <f t="shared" si="2"/>
        <v>1011</v>
      </c>
      <c r="AV14" s="29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0.155</v>
      </c>
      <c r="AW14" s="29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29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-0.14</v>
      </c>
      <c r="BA14" s="29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29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-0.14</v>
      </c>
      <c r="BE14" s="29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29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-0.14</v>
      </c>
      <c r="BI14" s="29" cm="1">
        <f t="array" ref="BI14">$G$14+VLOOKUP($R14,武学奇术!$A:$ZZ,16,FALSE)+SUM(_xlfn.XLOOKUP(S14:AG14,增益!$A:$A,增益!$P:$P,0))</f>
        <v>0</v>
      </c>
      <c r="BJ14" s="20">
        <f>MIN(IF(VLOOKUP($R14,武学奇术!$A:$ZZ,23,FALSE)=1,100%,$B$8),100%)</f>
        <v>0.8271</v>
      </c>
      <c r="BK14" s="20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</v>
      </c>
      <c r="BL14" s="20" cm="1">
        <f t="array" ref="BL14">1+$B$13+VLOOKUP($R14,武学奇术!$A:$ZZ,18,FALSE)+SUM(_xlfn.XLOOKUP(S14:AG14,增益!$A:$A,增益!$R:$R,0))</f>
        <v>1.5</v>
      </c>
      <c r="BM14" s="20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1</v>
      </c>
      <c r="BN14" s="20" cm="1">
        <f t="array" ref="BN14">1+$B$14+VLOOKUP($R14,武学奇术!$A:$ZZ,20,FALSE)+SUM(_xlfn.XLOOKUP(S14:AG14,增益!$A:$A,增益!$T:$T,0))</f>
        <v>1.722</v>
      </c>
      <c r="BO14" s="20">
        <f t="shared" si="9"/>
        <v>0</v>
      </c>
      <c r="BP14" s="20">
        <f t="shared" si="10"/>
        <v>0</v>
      </c>
      <c r="BQ14" s="20">
        <f>IF(VLOOKUP($R14,武学奇术!$A:$ZZ,22,FALSE)=1,0,(1-$BJ14))*(1-$BM14)</f>
        <v>0</v>
      </c>
      <c r="BR14" s="20" cm="1">
        <f t="array" ref="BR14">SUM(_xlfn.XLOOKUP(S14:AG14,增益!$A:$A,增益!$W:$W,0))+$I$5</f>
        <v>0.11</v>
      </c>
    </row>
    <row r="15" ht="14.25" spans="1:70">
      <c r="A15" s="37" t="s">
        <v>121</v>
      </c>
      <c r="B15" s="66">
        <v>0.0852</v>
      </c>
      <c r="C15" s="35" t="s">
        <v>122</v>
      </c>
      <c r="D15" s="35"/>
      <c r="F15" s="77"/>
      <c r="H15" s="78"/>
      <c r="I15" s="73"/>
      <c r="J15" s="74"/>
      <c r="K15" s="27">
        <f>$L15*VLOOKUP($R15,武学奇术!$A:$ZZ,31,FALSE)</f>
        <v>13878.737913073</v>
      </c>
      <c r="L15" s="27">
        <f t="shared" si="0"/>
        <v>13878.737913073</v>
      </c>
      <c r="M15" s="27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12527.0560778889</v>
      </c>
      <c r="N15" s="27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19997.4020089537</v>
      </c>
      <c r="O15" s="27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8351.37071859263</v>
      </c>
      <c r="P15" s="27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3734.25764408944</v>
      </c>
      <c r="Q15" s="35">
        <v>1</v>
      </c>
      <c r="R15" s="36" t="s">
        <v>107</v>
      </c>
      <c r="S15" s="36" t="s">
        <v>71</v>
      </c>
      <c r="T15" s="36" t="s">
        <v>93</v>
      </c>
      <c r="U15" s="36" t="s">
        <v>71</v>
      </c>
      <c r="V15" s="36" t="s">
        <v>71</v>
      </c>
      <c r="W15" s="36" t="s">
        <v>111</v>
      </c>
      <c r="X15" s="36" t="s">
        <v>71</v>
      </c>
      <c r="Y15" s="36" t="s">
        <v>71</v>
      </c>
      <c r="Z15" s="36" t="s">
        <v>82</v>
      </c>
      <c r="AA15" s="36" t="s">
        <v>71</v>
      </c>
      <c r="AB15" s="36" t="s">
        <v>71</v>
      </c>
      <c r="AC15" s="36" t="s">
        <v>71</v>
      </c>
      <c r="AD15" s="36" t="s">
        <v>72</v>
      </c>
      <c r="AE15" s="36" t="s">
        <v>94</v>
      </c>
      <c r="AF15" s="36" t="s">
        <v>116</v>
      </c>
      <c r="AG15" s="36" t="s">
        <v>120</v>
      </c>
      <c r="AH15" t="str">
        <f>VLOOKUP($R15,武学奇术!$A:$ZZ,25,FALSE)</f>
        <v>剑</v>
      </c>
      <c r="AI15" s="20">
        <f>VLOOKUP($R15,武学奇术!$A:$ZZ,26,FALSE)</f>
        <v>0.625</v>
      </c>
      <c r="AJ15" s="21">
        <f>VLOOKUP($R15,武学奇术!$A:$ZZ,27,FALSE)*(1+IF(OR($AH15=$F$4,$AH15=$F$5),$B$22,0))</f>
        <v>0</v>
      </c>
      <c r="AK15" s="20">
        <f>VLOOKUP($R15,武学奇术!$A:$ZZ,28,FALSE)</f>
        <v>0.9375</v>
      </c>
      <c r="AL15" s="21">
        <f>VLOOKUP($R15,武学奇术!$A:$ZZ,29,FALSE)*(1+IF(OR($AH15=$F$4,$AH15=$F$5),$B$22,0))</f>
        <v>0</v>
      </c>
      <c r="AM15" s="20" cm="1">
        <f t="array" ref="AM15">$G$3+IFERROR(VLOOKUP($AH15,$F$4:$G$7,2,FALSE),0)+VLOOKUP($R15,武学奇术!$A:$ZZ,2,FALSE)+SUM(_xlfn.XLOOKUP($S15:$AG15,增益!$A:$A,增益!$B:$B,0))</f>
        <v>0.7191</v>
      </c>
      <c r="AN15" s="20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1585.72</v>
      </c>
      <c r="AP15" cm="1">
        <f t="array" ref="AP15">$E$10*(1+$AN15)+VLOOKUP($R15,武学奇术!$A:$ZZ,4,FALSE)+SUM(_xlfn.XLOOKUP($S15:$AG15,增益!$A:$A,增益!$D:$D,0))-$I$2</f>
        <v>6696.76</v>
      </c>
      <c r="AQ15" s="29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0.3425</v>
      </c>
      <c r="AR15" s="29" cm="1">
        <f t="array" ref="AR15">$G$10+VLOOKUP($R15,武学奇术!$A:$ZZ,7,FALSE)+SUM(_xlfn.XLOOKUP(S15:AG15,增益!$A:$A,增益!$G:$G,0))</f>
        <v>0</v>
      </c>
      <c r="AS15" s="20" cm="1">
        <f t="array" ref="AS15">VLOOKUP($R15,武学奇术!$A:$ZZ,8,FALSE)+SUM(_xlfn.XLOOKUP(S15:AG15,增益!$A:$A,增益!$H:$H,0))</f>
        <v>0</v>
      </c>
      <c r="AT15">
        <f t="shared" si="1"/>
        <v>538</v>
      </c>
      <c r="AU15">
        <f t="shared" si="2"/>
        <v>1011</v>
      </c>
      <c r="AV15" s="29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0.08</v>
      </c>
      <c r="AW15" s="29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29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-0.14</v>
      </c>
      <c r="BA15" s="29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29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-0.14</v>
      </c>
      <c r="BE15" s="29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29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-0.14</v>
      </c>
      <c r="BI15" s="29" cm="1">
        <f t="array" ref="BI15">$G$14+VLOOKUP($R15,武学奇术!$A:$ZZ,16,FALSE)+SUM(_xlfn.XLOOKUP(S15:AG15,增益!$A:$A,增益!$P:$P,0))</f>
        <v>0</v>
      </c>
      <c r="BJ15" s="20">
        <f>MIN(IF(VLOOKUP($R15,武学奇术!$A:$ZZ,23,FALSE)=1,100%,$B$8),100%)</f>
        <v>0.8271</v>
      </c>
      <c r="BK15" s="20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0.2249</v>
      </c>
      <c r="BL15" s="20" cm="1">
        <f t="array" ref="BL15">1+$B$13+VLOOKUP($R15,武学奇术!$A:$ZZ,18,FALSE)+SUM(_xlfn.XLOOKUP(S15:AG15,增益!$A:$A,增益!$R:$R,0))</f>
        <v>1.5</v>
      </c>
      <c r="BM15" s="20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0.4459</v>
      </c>
      <c r="BN15" s="20" cm="1">
        <f t="array" ref="BN15">1+$B$14+VLOOKUP($R15,武学奇术!$A:$ZZ,20,FALSE)+SUM(_xlfn.XLOOKUP(S15:AG15,增益!$A:$A,增益!$T:$T,0))</f>
        <v>1.542</v>
      </c>
      <c r="BO15" s="20">
        <f t="shared" si="9"/>
        <v>0.18601479</v>
      </c>
      <c r="BP15" s="20">
        <f t="shared" si="10"/>
        <v>0.27228132</v>
      </c>
      <c r="BQ15" s="20">
        <f>IF(VLOOKUP($R15,武学奇术!$A:$ZZ,22,FALSE)=1,0,(1-$BJ15))*(1-$BM15)</f>
        <v>0.09580389</v>
      </c>
      <c r="BR15" s="20" cm="1">
        <f t="array" ref="BR15">SUM(_xlfn.XLOOKUP(S15:AG15,增益!$A:$A,增益!$W:$W,0))+$I$5</f>
        <v>0.11</v>
      </c>
    </row>
    <row r="16" spans="1:70">
      <c r="A16" s="37" t="s">
        <v>123</v>
      </c>
      <c r="B16" s="66">
        <v>0.0887</v>
      </c>
      <c r="C16" s="35" t="s">
        <v>124</v>
      </c>
      <c r="D16" s="77" t="s">
        <v>125</v>
      </c>
      <c r="E16" s="35" t="s">
        <v>126</v>
      </c>
      <c r="F16" s="77" t="s">
        <v>125</v>
      </c>
      <c r="H16" s="63" t="s">
        <v>127</v>
      </c>
      <c r="I16" s="79">
        <f>I12/152515.95</f>
        <v>0.999999976804755</v>
      </c>
      <c r="J16" s="80"/>
      <c r="K16" s="27">
        <f>$L16*VLOOKUP($R16,武学奇术!$A:$ZZ,31,FALSE)</f>
        <v>28897.2575020755</v>
      </c>
      <c r="L16" s="27">
        <f t="shared" si="0"/>
        <v>28897.2575020755</v>
      </c>
      <c r="M16" s="27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26688.3035739911</v>
      </c>
      <c r="N16" s="27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40855.7585654683</v>
      </c>
      <c r="O16" s="27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17792.2023826607</v>
      </c>
      <c r="P16" s="27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9089.100896665</v>
      </c>
      <c r="Q16" s="35">
        <v>1</v>
      </c>
      <c r="R16" s="36" t="s">
        <v>92</v>
      </c>
      <c r="S16" s="36" t="s">
        <v>71</v>
      </c>
      <c r="T16" s="36" t="s">
        <v>93</v>
      </c>
      <c r="U16" s="36" t="s">
        <v>71</v>
      </c>
      <c r="V16" s="36" t="s">
        <v>71</v>
      </c>
      <c r="W16" s="36" t="s">
        <v>111</v>
      </c>
      <c r="X16" s="36" t="s">
        <v>71</v>
      </c>
      <c r="Y16" s="36" t="s">
        <v>71</v>
      </c>
      <c r="Z16" s="36" t="s">
        <v>82</v>
      </c>
      <c r="AA16" s="36" t="s">
        <v>71</v>
      </c>
      <c r="AB16" s="36" t="s">
        <v>71</v>
      </c>
      <c r="AC16" s="36" t="s">
        <v>71</v>
      </c>
      <c r="AD16" s="36" t="s">
        <v>72</v>
      </c>
      <c r="AE16" s="36" t="s">
        <v>94</v>
      </c>
      <c r="AF16" s="36" t="s">
        <v>116</v>
      </c>
      <c r="AG16" s="36" t="s">
        <v>120</v>
      </c>
      <c r="AH16" t="str">
        <f>VLOOKUP($R16,武学奇术!$A:$ZZ,25,FALSE)</f>
        <v>剑</v>
      </c>
      <c r="AI16" s="20">
        <f>VLOOKUP($R16,武学奇术!$A:$ZZ,26,FALSE)</f>
        <v>1.1781</v>
      </c>
      <c r="AJ16" s="21">
        <f>VLOOKUP($R16,武学奇术!$A:$ZZ,27,FALSE)*(1+IF(OR($AH16=$F$4,$AH16=$F$5),$B$22,0))</f>
        <v>456.4</v>
      </c>
      <c r="AK16" s="20">
        <f>VLOOKUP($R16,武学奇术!$A:$ZZ,28,FALSE)</f>
        <v>1.7672</v>
      </c>
      <c r="AL16" s="21">
        <f>VLOOKUP($R16,武学奇术!$A:$ZZ,29,FALSE)*(1+IF(OR($AH16=$F$4,$AH16=$F$5),$B$22,0))</f>
        <v>247.8</v>
      </c>
      <c r="AM16" s="20" cm="1">
        <f t="array" ref="AM16">$G$3+IFERROR(VLOOKUP($AH16,$F$4:$G$7,2,FALSE),0)+VLOOKUP($R16,武学奇术!$A:$ZZ,2,FALSE)+SUM(_xlfn.XLOOKUP($S16:$AG16,增益!$A:$A,增益!$B:$B,0))</f>
        <v>0.7191</v>
      </c>
      <c r="AN16" s="20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1585.72</v>
      </c>
      <c r="AP16" cm="1">
        <f t="array" ref="AP16">$E$10*(1+$AN16)+VLOOKUP($R16,武学奇术!$A:$ZZ,4,FALSE)+SUM(_xlfn.XLOOKUP($S16:$AG16,增益!$A:$A,增益!$D:$D,0))-$I$2</f>
        <v>6696.76</v>
      </c>
      <c r="AQ16" s="29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0.3425</v>
      </c>
      <c r="AR16" s="29" cm="1">
        <f t="array" ref="AR16">$G$10+VLOOKUP($R16,武学奇术!$A:$ZZ,7,FALSE)+SUM(_xlfn.XLOOKUP(S16:AG16,增益!$A:$A,增益!$G:$G,0))</f>
        <v>0</v>
      </c>
      <c r="AS16" s="20" cm="1">
        <f t="array" ref="AS16">VLOOKUP($R16,武学奇术!$A:$ZZ,8,FALSE)+SUM(_xlfn.XLOOKUP(S16:AG16,增益!$A:$A,增益!$H:$H,0))</f>
        <v>0</v>
      </c>
      <c r="AT16">
        <f t="shared" si="1"/>
        <v>538</v>
      </c>
      <c r="AU16">
        <f t="shared" si="2"/>
        <v>1011</v>
      </c>
      <c r="AV16" s="29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0.08</v>
      </c>
      <c r="AW16" s="29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29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-0.14</v>
      </c>
      <c r="BA16" s="29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29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-0.14</v>
      </c>
      <c r="BE16" s="29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29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-0.14</v>
      </c>
      <c r="BI16" s="29" cm="1">
        <f t="array" ref="BI16">$G$14+VLOOKUP($R16,武学奇术!$A:$ZZ,16,FALSE)+SUM(_xlfn.XLOOKUP(S16:AG16,增益!$A:$A,增益!$P:$P,0))</f>
        <v>0</v>
      </c>
      <c r="BJ16" s="20">
        <f>MIN(IF(VLOOKUP($R16,武学奇术!$A:$ZZ,23,FALSE)=1,100%,$B$8),100%)</f>
        <v>0.8271</v>
      </c>
      <c r="BK16" s="20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0.2249</v>
      </c>
      <c r="BL16" s="20" cm="1">
        <f t="array" ref="BL16">1+$B$13+VLOOKUP($R16,武学奇术!$A:$ZZ,18,FALSE)+SUM(_xlfn.XLOOKUP(S16:AG16,增益!$A:$A,增益!$R:$R,0))</f>
        <v>1.5</v>
      </c>
      <c r="BM16" s="20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0.4459</v>
      </c>
      <c r="BN16" s="20" cm="1">
        <f t="array" ref="BN16">1+$B$14+VLOOKUP($R16,武学奇术!$A:$ZZ,20,FALSE)+SUM(_xlfn.XLOOKUP(S16:AG16,增益!$A:$A,增益!$T:$T,0))</f>
        <v>1.542</v>
      </c>
      <c r="BO16" s="20">
        <f t="shared" si="9"/>
        <v>0.18601479</v>
      </c>
      <c r="BP16" s="20">
        <f t="shared" si="10"/>
        <v>0.27228132</v>
      </c>
      <c r="BQ16" s="20">
        <f>IF(VLOOKUP($R16,武学奇术!$A:$ZZ,22,FALSE)=1,0,(1-$BJ16))*(1-$BM16)</f>
        <v>0.09580389</v>
      </c>
      <c r="BR16" s="20" cm="1">
        <f t="array" ref="BR16">SUM(_xlfn.XLOOKUP(S16:AG16,增益!$A:$A,增益!$W:$W,0))+$I$5</f>
        <v>0.11</v>
      </c>
    </row>
    <row r="17" ht="14.25" spans="1:70">
      <c r="A17" s="37" t="s">
        <v>128</v>
      </c>
      <c r="B17" s="66">
        <v>0.0852</v>
      </c>
      <c r="C17" s="35" t="s">
        <v>129</v>
      </c>
      <c r="D17" s="77" t="s">
        <v>125</v>
      </c>
      <c r="E17" s="35" t="s">
        <v>130</v>
      </c>
      <c r="F17" s="77" t="s">
        <v>125</v>
      </c>
      <c r="H17" s="67"/>
      <c r="I17" s="81"/>
      <c r="J17" s="82"/>
      <c r="K17" s="27">
        <f>$L17*VLOOKUP($R17,武学奇术!$A:$ZZ,31,FALSE)</f>
        <v>71735.8223332559</v>
      </c>
      <c r="L17" s="27">
        <f t="shared" si="0"/>
        <v>119559.70388876</v>
      </c>
      <c r="M17" s="27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100411.424933579</v>
      </c>
      <c r="N17" s="27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178926.012782409</v>
      </c>
      <c r="O17" s="27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66940.9499557191</v>
      </c>
      <c r="P17" s="27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29975.9691434889</v>
      </c>
      <c r="Q17" s="35">
        <v>1</v>
      </c>
      <c r="R17" s="36" t="s">
        <v>105</v>
      </c>
      <c r="S17" s="36" t="s">
        <v>71</v>
      </c>
      <c r="T17" s="36" t="s">
        <v>99</v>
      </c>
      <c r="U17" s="36" t="s">
        <v>100</v>
      </c>
      <c r="V17" s="36" t="s">
        <v>101</v>
      </c>
      <c r="W17" s="36" t="s">
        <v>111</v>
      </c>
      <c r="X17" s="36" t="s">
        <v>71</v>
      </c>
      <c r="Y17" s="36" t="s">
        <v>71</v>
      </c>
      <c r="Z17" s="36" t="s">
        <v>82</v>
      </c>
      <c r="AA17" s="36" t="s">
        <v>71</v>
      </c>
      <c r="AB17" s="36" t="s">
        <v>71</v>
      </c>
      <c r="AC17" s="36" t="s">
        <v>71</v>
      </c>
      <c r="AD17" s="36" t="s">
        <v>72</v>
      </c>
      <c r="AE17" s="36" t="s">
        <v>94</v>
      </c>
      <c r="AF17" s="36" t="s">
        <v>116</v>
      </c>
      <c r="AG17" s="36" t="s">
        <v>120</v>
      </c>
      <c r="AH17" t="str">
        <f>VLOOKUP($R17,武学奇术!$A:$ZZ,25,FALSE)</f>
        <v>剑</v>
      </c>
      <c r="AI17" s="20">
        <f>VLOOKUP($R17,武学奇术!$A:$ZZ,26,FALSE)</f>
        <v>2.496</v>
      </c>
      <c r="AJ17" s="21">
        <f>VLOOKUP($R17,武学奇术!$A:$ZZ,27,FALSE)*(1+IF(OR($AH17=$F$4,$AH17=$F$5),$B$22,0))</f>
        <v>0</v>
      </c>
      <c r="AK17" s="20">
        <f>VLOOKUP($R17,武学奇术!$A:$ZZ,28,FALSE)</f>
        <v>3.744</v>
      </c>
      <c r="AL17" s="21">
        <f>VLOOKUP($R17,武学奇术!$A:$ZZ,29,FALSE)*(1+IF(OR($AH17=$F$4,$AH17=$F$5),$B$22,0))</f>
        <v>0</v>
      </c>
      <c r="AM17" s="20" cm="1">
        <f t="array" ref="AM17">$G$3+IFERROR(VLOOKUP($AH17,$F$4:$G$7,2,FALSE),0)+VLOOKUP($R17,武学奇术!$A:$ZZ,2,FALSE)+SUM(_xlfn.XLOOKUP($S17:$AG17,增益!$A:$A,增益!$B:$B,0))</f>
        <v>1.4691</v>
      </c>
      <c r="AN17" s="20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1585.72</v>
      </c>
      <c r="AP17" cm="1">
        <f t="array" ref="AP17">$E$10*(1+$AN17)+VLOOKUP($R17,武学奇术!$A:$ZZ,4,FALSE)+SUM(_xlfn.XLOOKUP($S17:$AG17,增益!$A:$A,增益!$D:$D,0))-$I$2</f>
        <v>6696.76</v>
      </c>
      <c r="AQ17" s="29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0.4175</v>
      </c>
      <c r="AR17" s="29" cm="1">
        <f t="array" ref="AR17">$G$10+VLOOKUP($R17,武学奇术!$A:$ZZ,7,FALSE)+SUM(_xlfn.XLOOKUP(S17:AG17,增益!$A:$A,增益!$G:$G,0))</f>
        <v>0</v>
      </c>
      <c r="AS17" s="20" cm="1">
        <f t="array" ref="AS17">VLOOKUP($R17,武学奇术!$A:$ZZ,8,FALSE)+SUM(_xlfn.XLOOKUP(S17:AG17,增益!$A:$A,增益!$H:$H,0))</f>
        <v>0</v>
      </c>
      <c r="AT17">
        <f t="shared" si="1"/>
        <v>538</v>
      </c>
      <c r="AU17">
        <f t="shared" si="2"/>
        <v>1011</v>
      </c>
      <c r="AV17" s="29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0.155</v>
      </c>
      <c r="AW17" s="29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29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-0.14</v>
      </c>
      <c r="BA17" s="29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29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-0.14</v>
      </c>
      <c r="BE17" s="29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29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-0.14</v>
      </c>
      <c r="BI17" s="29" cm="1">
        <f t="array" ref="BI17">$G$14+VLOOKUP($R17,武学奇术!$A:$ZZ,16,FALSE)+SUM(_xlfn.XLOOKUP(S17:AG17,增益!$A:$A,增益!$P:$P,0))</f>
        <v>0</v>
      </c>
      <c r="BJ17" s="20">
        <f>MIN(IF(VLOOKUP($R17,武学奇术!$A:$ZZ,23,FALSE)=1,100%,$B$8),100%)</f>
        <v>0.8271</v>
      </c>
      <c r="BK17" s="20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0.2249</v>
      </c>
      <c r="BL17" s="20" cm="1">
        <f t="array" ref="BL17">1+$B$13+VLOOKUP($R17,武学奇术!$A:$ZZ,18,FALSE)+SUM(_xlfn.XLOOKUP(S17:AG17,增益!$A:$A,增益!$R:$R,0))</f>
        <v>1.5</v>
      </c>
      <c r="BM17" s="20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0.4459</v>
      </c>
      <c r="BN17" s="20" cm="1">
        <f t="array" ref="BN17">1+$B$14+VLOOKUP($R17,武学奇术!$A:$ZZ,20,FALSE)+SUM(_xlfn.XLOOKUP(S17:AG17,增益!$A:$A,增益!$T:$T,0))</f>
        <v>1.722</v>
      </c>
      <c r="BO17" s="20">
        <f t="shared" si="9"/>
        <v>0.18601479</v>
      </c>
      <c r="BP17" s="20">
        <f t="shared" si="10"/>
        <v>0.27228132</v>
      </c>
      <c r="BQ17" s="20">
        <f>IF(VLOOKUP($R17,武学奇术!$A:$ZZ,22,FALSE)=1,0,(1-$BJ17))*(1-$BM17)</f>
        <v>0.09580389</v>
      </c>
      <c r="BR17" s="20" cm="1">
        <f t="array" ref="BR17">SUM(_xlfn.XLOOKUP(S17:AG17,增益!$A:$A,增益!$W:$W,0))+$I$5</f>
        <v>0.11</v>
      </c>
    </row>
    <row r="18" spans="1:70">
      <c r="A18" s="37" t="s">
        <v>131</v>
      </c>
      <c r="B18" s="66">
        <v>0</v>
      </c>
      <c r="C18" s="35" t="s">
        <v>132</v>
      </c>
      <c r="D18" s="77" t="s">
        <v>125</v>
      </c>
      <c r="H18" s="33" t="s">
        <v>133</v>
      </c>
      <c r="I18" s="79">
        <f>SUM(K:K)/SUM(L:L)</f>
        <v>0.724370374128842</v>
      </c>
      <c r="J18" s="80"/>
      <c r="K18" s="27">
        <f>$L18*VLOOKUP($R18,武学奇术!$A:$ZZ,31,FALSE)</f>
        <v>13936.5643823064</v>
      </c>
      <c r="L18" s="27">
        <f t="shared" si="0"/>
        <v>13936.5643823064</v>
      </c>
      <c r="M18" s="27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12527.0560778889</v>
      </c>
      <c r="N18" s="27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20127.0868468847</v>
      </c>
      <c r="O18" s="27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8351.37071859263</v>
      </c>
      <c r="P18" s="27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3734.25764408944</v>
      </c>
      <c r="Q18" s="35">
        <v>1</v>
      </c>
      <c r="R18" s="36" t="s">
        <v>107</v>
      </c>
      <c r="S18" s="36" t="s">
        <v>71</v>
      </c>
      <c r="T18" s="36" t="s">
        <v>93</v>
      </c>
      <c r="U18" s="36" t="s">
        <v>71</v>
      </c>
      <c r="V18" s="36" t="s">
        <v>71</v>
      </c>
      <c r="W18" s="36" t="s">
        <v>111</v>
      </c>
      <c r="X18" s="36" t="s">
        <v>71</v>
      </c>
      <c r="Y18" s="36" t="s">
        <v>71</v>
      </c>
      <c r="Z18" s="36" t="s">
        <v>82</v>
      </c>
      <c r="AA18" s="36" t="s">
        <v>71</v>
      </c>
      <c r="AB18" s="36" t="s">
        <v>71</v>
      </c>
      <c r="AC18" s="36" t="s">
        <v>71</v>
      </c>
      <c r="AD18" s="36" t="s">
        <v>72</v>
      </c>
      <c r="AE18" s="36" t="s">
        <v>94</v>
      </c>
      <c r="AF18" s="36" t="s">
        <v>134</v>
      </c>
      <c r="AG18" s="36" t="s">
        <v>120</v>
      </c>
      <c r="AH18" t="str">
        <f>VLOOKUP($R18,武学奇术!$A:$ZZ,25,FALSE)</f>
        <v>剑</v>
      </c>
      <c r="AI18" s="20">
        <f>VLOOKUP($R18,武学奇术!$A:$ZZ,26,FALSE)</f>
        <v>0.625</v>
      </c>
      <c r="AJ18" s="21">
        <f>VLOOKUP($R18,武学奇术!$A:$ZZ,27,FALSE)*(1+IF(OR($AH18=$F$4,$AH18=$F$5),$B$22,0))</f>
        <v>0</v>
      </c>
      <c r="AK18" s="20">
        <f>VLOOKUP($R18,武学奇术!$A:$ZZ,28,FALSE)</f>
        <v>0.9375</v>
      </c>
      <c r="AL18" s="21">
        <f>VLOOKUP($R18,武学奇术!$A:$ZZ,29,FALSE)*(1+IF(OR($AH18=$F$4,$AH18=$F$5),$B$22,0))</f>
        <v>0</v>
      </c>
      <c r="AM18" s="20" cm="1">
        <f t="array" ref="AM18">$G$3+IFERROR(VLOOKUP($AH18,$F$4:$G$7,2,FALSE),0)+VLOOKUP($R18,武学奇术!$A:$ZZ,2,FALSE)+SUM(_xlfn.XLOOKUP($S18:$AG18,增益!$A:$A,增益!$B:$B,0))</f>
        <v>0.7191</v>
      </c>
      <c r="AN18" s="20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1585.72</v>
      </c>
      <c r="AP18" cm="1">
        <f t="array" ref="AP18">$E$10*(1+$AN18)+VLOOKUP($R18,武学奇术!$A:$ZZ,4,FALSE)+SUM(_xlfn.XLOOKUP($S18:$AG18,增益!$A:$A,增益!$D:$D,0))-$I$2</f>
        <v>6696.76</v>
      </c>
      <c r="AQ18" s="29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0.3425</v>
      </c>
      <c r="AR18" s="29" cm="1">
        <f t="array" ref="AR18">$G$10+VLOOKUP($R18,武学奇术!$A:$ZZ,7,FALSE)+SUM(_xlfn.XLOOKUP(S18:AG18,增益!$A:$A,增益!$G:$G,0))</f>
        <v>0</v>
      </c>
      <c r="AS18" s="20" cm="1">
        <f t="array" ref="AS18">VLOOKUP($R18,武学奇术!$A:$ZZ,8,FALSE)+SUM(_xlfn.XLOOKUP(S18:AG18,增益!$A:$A,增益!$H:$H,0))</f>
        <v>0</v>
      </c>
      <c r="AT18">
        <f t="shared" si="1"/>
        <v>538</v>
      </c>
      <c r="AU18">
        <f t="shared" si="2"/>
        <v>1011</v>
      </c>
      <c r="AV18" s="29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0.08</v>
      </c>
      <c r="AW18" s="29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29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-0.14</v>
      </c>
      <c r="BA18" s="29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29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-0.14</v>
      </c>
      <c r="BE18" s="29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29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-0.14</v>
      </c>
      <c r="BI18" s="29" cm="1">
        <f t="array" ref="BI18">$G$14+VLOOKUP($R18,武学奇术!$A:$ZZ,16,FALSE)+SUM(_xlfn.XLOOKUP(S18:AG18,增益!$A:$A,增益!$P:$P,0))</f>
        <v>0</v>
      </c>
      <c r="BJ18" s="20">
        <f>MIN(IF(VLOOKUP($R18,武学奇术!$A:$ZZ,23,FALSE)=1,100%,$B$8),100%)</f>
        <v>0.8271</v>
      </c>
      <c r="BK18" s="20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0.2249</v>
      </c>
      <c r="BL18" s="20" cm="1">
        <f t="array" ref="BL18">1+$B$13+VLOOKUP($R18,武学奇术!$A:$ZZ,18,FALSE)+SUM(_xlfn.XLOOKUP(S18:AG18,增益!$A:$A,增益!$R:$R,0))</f>
        <v>1.5</v>
      </c>
      <c r="BM18" s="20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0.4459</v>
      </c>
      <c r="BN18" s="20" cm="1">
        <f t="array" ref="BN18">1+$B$14+VLOOKUP($R18,武学奇术!$A:$ZZ,20,FALSE)+SUM(_xlfn.XLOOKUP(S18:AG18,增益!$A:$A,增益!$T:$T,0))</f>
        <v>1.552</v>
      </c>
      <c r="BO18" s="20">
        <f t="shared" si="9"/>
        <v>0.18601479</v>
      </c>
      <c r="BP18" s="20">
        <f t="shared" si="10"/>
        <v>0.27228132</v>
      </c>
      <c r="BQ18" s="20">
        <f>IF(VLOOKUP($R18,武学奇术!$A:$ZZ,22,FALSE)=1,0,(1-$BJ18))*(1-$BM18)</f>
        <v>0.09580389</v>
      </c>
      <c r="BR18" s="20" cm="1">
        <f t="array" ref="BR18">SUM(_xlfn.XLOOKUP(S18:AG18,增益!$A:$A,增益!$W:$W,0))+$I$5</f>
        <v>0.11</v>
      </c>
    </row>
    <row r="19" spans="1:70">
      <c r="A19" s="37" t="s">
        <v>135</v>
      </c>
      <c r="B19" s="66">
        <v>0.2678</v>
      </c>
      <c r="C19" s="35" t="s">
        <v>136</v>
      </c>
      <c r="D19" s="77" t="s">
        <v>125</v>
      </c>
      <c r="H19" s="78"/>
      <c r="I19" s="81"/>
      <c r="J19" s="82"/>
      <c r="K19" s="27">
        <f>$L19*VLOOKUP($R19,武学奇术!$A:$ZZ,31,FALSE)</f>
        <v>29015.4000620259</v>
      </c>
      <c r="L19" s="27">
        <f t="shared" si="0"/>
        <v>29015.4000620259</v>
      </c>
      <c r="M19" s="27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26688.3035739911</v>
      </c>
      <c r="N19" s="27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41120.7116041549</v>
      </c>
      <c r="O19" s="27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17792.2023826607</v>
      </c>
      <c r="P19" s="27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9089.100896665</v>
      </c>
      <c r="Q19" s="35">
        <v>1</v>
      </c>
      <c r="R19" s="36" t="s">
        <v>92</v>
      </c>
      <c r="S19" s="36" t="s">
        <v>71</v>
      </c>
      <c r="T19" s="36" t="s">
        <v>93</v>
      </c>
      <c r="U19" s="36" t="s">
        <v>71</v>
      </c>
      <c r="V19" s="36" t="s">
        <v>71</v>
      </c>
      <c r="W19" s="36" t="s">
        <v>111</v>
      </c>
      <c r="X19" s="36" t="s">
        <v>71</v>
      </c>
      <c r="Y19" s="36" t="s">
        <v>71</v>
      </c>
      <c r="Z19" s="36" t="s">
        <v>82</v>
      </c>
      <c r="AA19" s="36" t="s">
        <v>71</v>
      </c>
      <c r="AB19" s="36" t="s">
        <v>71</v>
      </c>
      <c r="AC19" s="36" t="s">
        <v>71</v>
      </c>
      <c r="AD19" s="36" t="s">
        <v>72</v>
      </c>
      <c r="AE19" s="36" t="s">
        <v>94</v>
      </c>
      <c r="AF19" s="36" t="s">
        <v>134</v>
      </c>
      <c r="AG19" s="36" t="s">
        <v>120</v>
      </c>
      <c r="AH19" t="str">
        <f>VLOOKUP($R19,武学奇术!$A:$ZZ,25,FALSE)</f>
        <v>剑</v>
      </c>
      <c r="AI19" s="20">
        <f>VLOOKUP($R19,武学奇术!$A:$ZZ,26,FALSE)</f>
        <v>1.1781</v>
      </c>
      <c r="AJ19" s="21">
        <f>VLOOKUP($R19,武学奇术!$A:$ZZ,27,FALSE)*(1+IF(OR($AH19=$F$4,$AH19=$F$5),$B$22,0))</f>
        <v>456.4</v>
      </c>
      <c r="AK19" s="20">
        <f>VLOOKUP($R19,武学奇术!$A:$ZZ,28,FALSE)</f>
        <v>1.7672</v>
      </c>
      <c r="AL19" s="21">
        <f>VLOOKUP($R19,武学奇术!$A:$ZZ,29,FALSE)*(1+IF(OR($AH19=$F$4,$AH19=$F$5),$B$22,0))</f>
        <v>247.8</v>
      </c>
      <c r="AM19" s="20" cm="1">
        <f t="array" ref="AM19">$G$3+IFERROR(VLOOKUP($AH19,$F$4:$G$7,2,FALSE),0)+VLOOKUP($R19,武学奇术!$A:$ZZ,2,FALSE)+SUM(_xlfn.XLOOKUP($S19:$AG19,增益!$A:$A,增益!$B:$B,0))</f>
        <v>0.7191</v>
      </c>
      <c r="AN19" s="20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1585.72</v>
      </c>
      <c r="AP19" cm="1">
        <f t="array" ref="AP19">$E$10*(1+$AN19)+VLOOKUP($R19,武学奇术!$A:$ZZ,4,FALSE)+SUM(_xlfn.XLOOKUP($S19:$AG19,增益!$A:$A,增益!$D:$D,0))-$I$2</f>
        <v>6696.76</v>
      </c>
      <c r="AQ19" s="29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0.3425</v>
      </c>
      <c r="AR19" s="29" cm="1">
        <f t="array" ref="AR19">$G$10+VLOOKUP($R19,武学奇术!$A:$ZZ,7,FALSE)+SUM(_xlfn.XLOOKUP(S19:AG19,增益!$A:$A,增益!$G:$G,0))</f>
        <v>0</v>
      </c>
      <c r="AS19" s="20" cm="1">
        <f t="array" ref="AS19">VLOOKUP($R19,武学奇术!$A:$ZZ,8,FALSE)+SUM(_xlfn.XLOOKUP(S19:AG19,增益!$A:$A,增益!$H:$H,0))</f>
        <v>0</v>
      </c>
      <c r="AT19">
        <f t="shared" si="1"/>
        <v>538</v>
      </c>
      <c r="AU19">
        <f t="shared" si="2"/>
        <v>1011</v>
      </c>
      <c r="AV19" s="29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0.08</v>
      </c>
      <c r="AW19" s="29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29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-0.14</v>
      </c>
      <c r="BA19" s="29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29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-0.14</v>
      </c>
      <c r="BE19" s="29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29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-0.14</v>
      </c>
      <c r="BI19" s="29" cm="1">
        <f t="array" ref="BI19">$G$14+VLOOKUP($R19,武学奇术!$A:$ZZ,16,FALSE)+SUM(_xlfn.XLOOKUP(S19:AG19,增益!$A:$A,增益!$P:$P,0))</f>
        <v>0</v>
      </c>
      <c r="BJ19" s="20">
        <f>MIN(IF(VLOOKUP($R19,武学奇术!$A:$ZZ,23,FALSE)=1,100%,$B$8),100%)</f>
        <v>0.8271</v>
      </c>
      <c r="BK19" s="20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0.2249</v>
      </c>
      <c r="BL19" s="20" cm="1">
        <f t="array" ref="BL19">1+$B$13+VLOOKUP($R19,武学奇术!$A:$ZZ,18,FALSE)+SUM(_xlfn.XLOOKUP(S19:AG19,增益!$A:$A,增益!$R:$R,0))</f>
        <v>1.5</v>
      </c>
      <c r="BM19" s="20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0.4459</v>
      </c>
      <c r="BN19" s="20" cm="1">
        <f t="array" ref="BN19">1+$B$14+VLOOKUP($R19,武学奇术!$A:$ZZ,20,FALSE)+SUM(_xlfn.XLOOKUP(S19:AG19,增益!$A:$A,增益!$T:$T,0))</f>
        <v>1.552</v>
      </c>
      <c r="BO19" s="20">
        <f t="shared" si="9"/>
        <v>0.18601479</v>
      </c>
      <c r="BP19" s="20">
        <f t="shared" si="10"/>
        <v>0.27228132</v>
      </c>
      <c r="BQ19" s="20">
        <f>IF(VLOOKUP($R19,武学奇术!$A:$ZZ,22,FALSE)=1,0,(1-$BJ19))*(1-$BM19)</f>
        <v>0.09580389</v>
      </c>
      <c r="BR19" s="20" cm="1">
        <f t="array" ref="BR19">SUM(_xlfn.XLOOKUP(S19:AG19,增益!$A:$A,增益!$W:$W,0))+$I$5</f>
        <v>0.11</v>
      </c>
    </row>
    <row r="20" spans="1:70">
      <c r="A20" s="37" t="s">
        <v>137</v>
      </c>
      <c r="B20" s="66">
        <v>0</v>
      </c>
      <c r="K20" s="27">
        <f>$L20*VLOOKUP($R20,武学奇术!$A:$ZZ,31,FALSE)</f>
        <v>72013.8122604325</v>
      </c>
      <c r="L20" s="27">
        <f t="shared" si="0"/>
        <v>120023.020434054</v>
      </c>
      <c r="M20" s="27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100411.424933579</v>
      </c>
      <c r="N20" s="27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179965.072090088</v>
      </c>
      <c r="O20" s="27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66940.9499557191</v>
      </c>
      <c r="P20" s="27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29975.9691434889</v>
      </c>
      <c r="Q20" s="35">
        <v>1</v>
      </c>
      <c r="R20" s="36" t="s">
        <v>105</v>
      </c>
      <c r="S20" s="36" t="s">
        <v>71</v>
      </c>
      <c r="T20" s="36" t="s">
        <v>99</v>
      </c>
      <c r="U20" s="36" t="s">
        <v>100</v>
      </c>
      <c r="V20" s="36" t="s">
        <v>101</v>
      </c>
      <c r="W20" s="36" t="s">
        <v>111</v>
      </c>
      <c r="X20" s="36" t="s">
        <v>71</v>
      </c>
      <c r="Y20" s="36" t="s">
        <v>71</v>
      </c>
      <c r="Z20" s="36" t="s">
        <v>82</v>
      </c>
      <c r="AA20" s="36" t="s">
        <v>71</v>
      </c>
      <c r="AB20" s="36" t="s">
        <v>71</v>
      </c>
      <c r="AC20" s="36" t="s">
        <v>71</v>
      </c>
      <c r="AD20" s="36" t="s">
        <v>72</v>
      </c>
      <c r="AE20" s="36" t="s">
        <v>94</v>
      </c>
      <c r="AF20" s="36" t="s">
        <v>134</v>
      </c>
      <c r="AG20" s="36" t="s">
        <v>120</v>
      </c>
      <c r="AH20" t="str">
        <f>VLOOKUP($R20,武学奇术!$A:$ZZ,25,FALSE)</f>
        <v>剑</v>
      </c>
      <c r="AI20" s="20">
        <f>VLOOKUP($R20,武学奇术!$A:$ZZ,26,FALSE)</f>
        <v>2.496</v>
      </c>
      <c r="AJ20" s="21">
        <f>VLOOKUP($R20,武学奇术!$A:$ZZ,27,FALSE)*(1+IF(OR($AH20=$F$4,$AH20=$F$5),$B$22,0))</f>
        <v>0</v>
      </c>
      <c r="AK20" s="20">
        <f>VLOOKUP($R20,武学奇术!$A:$ZZ,28,FALSE)</f>
        <v>3.744</v>
      </c>
      <c r="AL20" s="21">
        <f>VLOOKUP($R20,武学奇术!$A:$ZZ,29,FALSE)*(1+IF(OR($AH20=$F$4,$AH20=$F$5),$B$22,0))</f>
        <v>0</v>
      </c>
      <c r="AM20" s="20" cm="1">
        <f t="array" ref="AM20">$G$3+IFERROR(VLOOKUP($AH20,$F$4:$G$7,2,FALSE),0)+VLOOKUP($R20,武学奇术!$A:$ZZ,2,FALSE)+SUM(_xlfn.XLOOKUP($S20:$AG20,增益!$A:$A,增益!$B:$B,0))</f>
        <v>1.4691</v>
      </c>
      <c r="AN20" s="20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1585.72</v>
      </c>
      <c r="AP20" cm="1">
        <f t="array" ref="AP20">$E$10*(1+$AN20)+VLOOKUP($R20,武学奇术!$A:$ZZ,4,FALSE)+SUM(_xlfn.XLOOKUP($S20:$AG20,增益!$A:$A,增益!$D:$D,0))-$I$2</f>
        <v>6696.76</v>
      </c>
      <c r="AQ20" s="29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0.4175</v>
      </c>
      <c r="AR20" s="29" cm="1">
        <f t="array" ref="AR20">$G$10+VLOOKUP($R20,武学奇术!$A:$ZZ,7,FALSE)+SUM(_xlfn.XLOOKUP(S20:AG20,增益!$A:$A,增益!$G:$G,0))</f>
        <v>0</v>
      </c>
      <c r="AS20" s="20" cm="1">
        <f t="array" ref="AS20">VLOOKUP($R20,武学奇术!$A:$ZZ,8,FALSE)+SUM(_xlfn.XLOOKUP(S20:AG20,增益!$A:$A,增益!$H:$H,0))</f>
        <v>0</v>
      </c>
      <c r="AT20">
        <f t="shared" si="1"/>
        <v>538</v>
      </c>
      <c r="AU20">
        <f t="shared" si="2"/>
        <v>1011</v>
      </c>
      <c r="AV20" s="29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0.155</v>
      </c>
      <c r="AW20" s="29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29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-0.14</v>
      </c>
      <c r="BA20" s="29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29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-0.14</v>
      </c>
      <c r="BE20" s="29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29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-0.14</v>
      </c>
      <c r="BI20" s="29" cm="1">
        <f t="array" ref="BI20">$G$14+VLOOKUP($R20,武学奇术!$A:$ZZ,16,FALSE)+SUM(_xlfn.XLOOKUP(S20:AG20,增益!$A:$A,增益!$P:$P,0))</f>
        <v>0</v>
      </c>
      <c r="BJ20" s="20">
        <f>MIN(IF(VLOOKUP($R20,武学奇术!$A:$ZZ,23,FALSE)=1,100%,$B$8),100%)</f>
        <v>0.8271</v>
      </c>
      <c r="BK20" s="20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0.2249</v>
      </c>
      <c r="BL20" s="20" cm="1">
        <f t="array" ref="BL20">1+$B$13+VLOOKUP($R20,武学奇术!$A:$ZZ,18,FALSE)+SUM(_xlfn.XLOOKUP(S20:AG20,增益!$A:$A,增益!$R:$R,0))</f>
        <v>1.5</v>
      </c>
      <c r="BM20" s="20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0.4459</v>
      </c>
      <c r="BN20" s="20" cm="1">
        <f t="array" ref="BN20">1+$B$14+VLOOKUP($R20,武学奇术!$A:$ZZ,20,FALSE)+SUM(_xlfn.XLOOKUP(S20:AG20,增益!$A:$A,增益!$T:$T,0))</f>
        <v>1.732</v>
      </c>
      <c r="BO20" s="20">
        <f t="shared" si="9"/>
        <v>0.18601479</v>
      </c>
      <c r="BP20" s="20">
        <f t="shared" si="10"/>
        <v>0.27228132</v>
      </c>
      <c r="BQ20" s="20">
        <f>IF(VLOOKUP($R20,武学奇术!$A:$ZZ,22,FALSE)=1,0,(1-$BJ20))*(1-$BM20)</f>
        <v>0.09580389</v>
      </c>
      <c r="BR20" s="20" cm="1">
        <f t="array" ref="BR20">SUM(_xlfn.XLOOKUP(S20:AG20,增益!$A:$A,增益!$W:$W,0))+$I$5</f>
        <v>0.11</v>
      </c>
    </row>
    <row r="21" ht="14.25" spans="1:70">
      <c r="A21" s="83" t="s">
        <v>138</v>
      </c>
      <c r="B21" s="90">
        <v>0.32</v>
      </c>
      <c r="C21" s="35" t="s">
        <v>139</v>
      </c>
      <c r="D21" s="35"/>
      <c r="F21" s="35"/>
      <c r="K21" s="27">
        <f>$L21*VLOOKUP($R21,武学奇术!$A:$ZZ,31,FALSE)</f>
        <v>13936.5643823064</v>
      </c>
      <c r="L21" s="27">
        <f t="shared" si="0"/>
        <v>13936.5643823064</v>
      </c>
      <c r="M21" s="27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12527.0560778889</v>
      </c>
      <c r="N21" s="27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20127.0868468847</v>
      </c>
      <c r="O21" s="27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8351.37071859263</v>
      </c>
      <c r="P21" s="27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3734.25764408944</v>
      </c>
      <c r="Q21" s="35">
        <v>1</v>
      </c>
      <c r="R21" s="36" t="s">
        <v>107</v>
      </c>
      <c r="S21" s="36" t="s">
        <v>71</v>
      </c>
      <c r="T21" s="36" t="s">
        <v>93</v>
      </c>
      <c r="U21" s="36" t="s">
        <v>71</v>
      </c>
      <c r="V21" s="36" t="s">
        <v>71</v>
      </c>
      <c r="W21" s="36" t="s">
        <v>111</v>
      </c>
      <c r="X21" s="36" t="s">
        <v>71</v>
      </c>
      <c r="Y21" s="36" t="s">
        <v>71</v>
      </c>
      <c r="Z21" s="36" t="s">
        <v>82</v>
      </c>
      <c r="AA21" s="36" t="s">
        <v>71</v>
      </c>
      <c r="AB21" s="36" t="s">
        <v>71</v>
      </c>
      <c r="AC21" s="36" t="s">
        <v>71</v>
      </c>
      <c r="AD21" s="36" t="s">
        <v>72</v>
      </c>
      <c r="AE21" s="36" t="s">
        <v>94</v>
      </c>
      <c r="AF21" s="36" t="s">
        <v>134</v>
      </c>
      <c r="AG21" s="36" t="s">
        <v>120</v>
      </c>
      <c r="AH21" t="str">
        <f>VLOOKUP($R21,武学奇术!$A:$ZZ,25,FALSE)</f>
        <v>剑</v>
      </c>
      <c r="AI21" s="20">
        <f>VLOOKUP($R21,武学奇术!$A:$ZZ,26,FALSE)</f>
        <v>0.625</v>
      </c>
      <c r="AJ21" s="21">
        <f>VLOOKUP($R21,武学奇术!$A:$ZZ,27,FALSE)*(1+IF(OR($AH21=$F$4,$AH21=$F$5),$B$22,0))</f>
        <v>0</v>
      </c>
      <c r="AK21" s="20">
        <f>VLOOKUP($R21,武学奇术!$A:$ZZ,28,FALSE)</f>
        <v>0.9375</v>
      </c>
      <c r="AL21" s="21">
        <f>VLOOKUP($R21,武学奇术!$A:$ZZ,29,FALSE)*(1+IF(OR($AH21=$F$4,$AH21=$F$5),$B$22,0))</f>
        <v>0</v>
      </c>
      <c r="AM21" s="20" cm="1">
        <f t="array" ref="AM21">$G$3+IFERROR(VLOOKUP($AH21,$F$4:$G$7,2,FALSE),0)+VLOOKUP($R21,武学奇术!$A:$ZZ,2,FALSE)+SUM(_xlfn.XLOOKUP($S21:$AG21,增益!$A:$A,增益!$B:$B,0))</f>
        <v>0.7191</v>
      </c>
      <c r="AN21" s="20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1585.72</v>
      </c>
      <c r="AP21" cm="1">
        <f t="array" ref="AP21">$E$10*(1+$AN21)+VLOOKUP($R21,武学奇术!$A:$ZZ,4,FALSE)+SUM(_xlfn.XLOOKUP($S21:$AG21,增益!$A:$A,增益!$D:$D,0))-$I$2</f>
        <v>6696.76</v>
      </c>
      <c r="AQ21" s="29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0.3425</v>
      </c>
      <c r="AR21" s="29" cm="1">
        <f t="array" ref="AR21">$G$10+VLOOKUP($R21,武学奇术!$A:$ZZ,7,FALSE)+SUM(_xlfn.XLOOKUP(S21:AG21,增益!$A:$A,增益!$G:$G,0))</f>
        <v>0</v>
      </c>
      <c r="AS21" s="20" cm="1">
        <f t="array" ref="AS21">VLOOKUP($R21,武学奇术!$A:$ZZ,8,FALSE)+SUM(_xlfn.XLOOKUP(S21:AG21,增益!$A:$A,增益!$H:$H,0))</f>
        <v>0</v>
      </c>
      <c r="AT21">
        <f t="shared" si="1"/>
        <v>538</v>
      </c>
      <c r="AU21">
        <f t="shared" si="2"/>
        <v>1011</v>
      </c>
      <c r="AV21" s="29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0.08</v>
      </c>
      <c r="AW21" s="29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29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-0.14</v>
      </c>
      <c r="BA21" s="29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29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-0.14</v>
      </c>
      <c r="BE21" s="29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29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-0.14</v>
      </c>
      <c r="BI21" s="29" cm="1">
        <f t="array" ref="BI21">$G$14+VLOOKUP($R21,武学奇术!$A:$ZZ,16,FALSE)+SUM(_xlfn.XLOOKUP(S21:AG21,增益!$A:$A,增益!$P:$P,0))</f>
        <v>0</v>
      </c>
      <c r="BJ21" s="20">
        <f>MIN(IF(VLOOKUP($R21,武学奇术!$A:$ZZ,23,FALSE)=1,100%,$B$8),100%)</f>
        <v>0.8271</v>
      </c>
      <c r="BK21" s="20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0.2249</v>
      </c>
      <c r="BL21" s="20" cm="1">
        <f t="array" ref="BL21">1+$B$13+VLOOKUP($R21,武学奇术!$A:$ZZ,18,FALSE)+SUM(_xlfn.XLOOKUP(S21:AG21,增益!$A:$A,增益!$R:$R,0))</f>
        <v>1.5</v>
      </c>
      <c r="BM21" s="20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0.4459</v>
      </c>
      <c r="BN21" s="20" cm="1">
        <f t="array" ref="BN21">1+$B$14+VLOOKUP($R21,武学奇术!$A:$ZZ,20,FALSE)+SUM(_xlfn.XLOOKUP(S21:AG21,增益!$A:$A,增益!$T:$T,0))</f>
        <v>1.552</v>
      </c>
      <c r="BO21" s="20">
        <f t="shared" si="9"/>
        <v>0.18601479</v>
      </c>
      <c r="BP21" s="20">
        <f t="shared" si="10"/>
        <v>0.27228132</v>
      </c>
      <c r="BQ21" s="20">
        <f>IF(VLOOKUP($R21,武学奇术!$A:$ZZ,22,FALSE)=1,0,(1-$BJ21))*(1-$BM21)</f>
        <v>0.09580389</v>
      </c>
      <c r="BR21" s="20" cm="1">
        <f t="array" ref="BR21">SUM(_xlfn.XLOOKUP(S21:AG21,增益!$A:$A,增益!$W:$W,0))+$I$5</f>
        <v>0.11</v>
      </c>
    </row>
    <row r="22" spans="1:70">
      <c r="A22" t="s">
        <v>140</v>
      </c>
      <c r="B22" s="22">
        <v>0.4</v>
      </c>
      <c r="C22" s="85" t="s">
        <v>141</v>
      </c>
      <c r="D22" s="85"/>
      <c r="K22" s="27">
        <f>$L22*VLOOKUP($R22,武学奇术!$A:$ZZ,31,FALSE)</f>
        <v>24807.7668105825</v>
      </c>
      <c r="L22" s="27">
        <f t="shared" si="0"/>
        <v>24807.7668105825</v>
      </c>
      <c r="M22" s="27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22450.3581154006</v>
      </c>
      <c r="N22" s="27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35631.7758129106</v>
      </c>
      <c r="O22" s="27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14966.905410267</v>
      </c>
      <c r="P22" s="27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6975.19238438036</v>
      </c>
      <c r="Q22" s="35">
        <v>1</v>
      </c>
      <c r="R22" s="36" t="s">
        <v>142</v>
      </c>
      <c r="S22" s="36" t="s">
        <v>71</v>
      </c>
      <c r="T22" s="36" t="s">
        <v>93</v>
      </c>
      <c r="U22" s="36" t="s">
        <v>71</v>
      </c>
      <c r="V22" s="36" t="s">
        <v>71</v>
      </c>
      <c r="W22" s="36" t="s">
        <v>111</v>
      </c>
      <c r="X22" s="36" t="s">
        <v>71</v>
      </c>
      <c r="Y22" s="36" t="s">
        <v>71</v>
      </c>
      <c r="Z22" s="36" t="s">
        <v>82</v>
      </c>
      <c r="AA22" s="36" t="s">
        <v>71</v>
      </c>
      <c r="AB22" s="36" t="s">
        <v>71</v>
      </c>
      <c r="AC22" s="36" t="s">
        <v>71</v>
      </c>
      <c r="AD22" s="36" t="s">
        <v>72</v>
      </c>
      <c r="AE22" s="36" t="s">
        <v>94</v>
      </c>
      <c r="AF22" s="36" t="s">
        <v>134</v>
      </c>
      <c r="AG22" s="36" t="s">
        <v>120</v>
      </c>
      <c r="AH22" t="str">
        <f>VLOOKUP($R22,武学奇术!$A:$ZZ,25,FALSE)</f>
        <v>单体奇术</v>
      </c>
      <c r="AI22" s="20">
        <f>VLOOKUP($R22,武学奇术!$A:$ZZ,26,FALSE)</f>
        <v>1.0238</v>
      </c>
      <c r="AJ22" s="21">
        <f>VLOOKUP($R22,武学奇术!$A:$ZZ,27,FALSE)*(1+IF(OR($AH22=$F$4,$AH22=$F$5),$B$22,0))</f>
        <v>189</v>
      </c>
      <c r="AK22" s="20">
        <f>VLOOKUP($R22,武学奇术!$A:$ZZ,28,FALSE)</f>
        <v>1.5357</v>
      </c>
      <c r="AL22" s="21">
        <f>VLOOKUP($R22,武学奇术!$A:$ZZ,29,FALSE)*(1+IF(OR($AH22=$F$4,$AH22=$F$5),$B$22,0))</f>
        <v>0</v>
      </c>
      <c r="AM22" s="20" cm="1">
        <f t="array" ref="AM22">$G$3+IFERROR(VLOOKUP($AH22,$F$4:$G$7,2,FALSE),0)+VLOOKUP($R22,武学奇术!$A:$ZZ,2,FALSE)+SUM(_xlfn.XLOOKUP($S22:$AG22,增益!$A:$A,增益!$B:$B,0))</f>
        <v>0.8165</v>
      </c>
      <c r="AN22" s="20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1585.72</v>
      </c>
      <c r="AP22" cm="1">
        <f t="array" ref="AP22">$E$10*(1+$AN22)+VLOOKUP($R22,武学奇术!$A:$ZZ,4,FALSE)+SUM(_xlfn.XLOOKUP($S22:$AG22,增益!$A:$A,增益!$D:$D,0))-$I$2</f>
        <v>6696.76</v>
      </c>
      <c r="AQ22" s="29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0.3425</v>
      </c>
      <c r="AR22" s="29" cm="1">
        <f t="array" ref="AR22">$G$10+VLOOKUP($R22,武学奇术!$A:$ZZ,7,FALSE)+SUM(_xlfn.XLOOKUP(S22:AG22,增益!$A:$A,增益!$G:$G,0))</f>
        <v>0</v>
      </c>
      <c r="AS22" s="20" cm="1">
        <f t="array" ref="AS22">VLOOKUP($R22,武学奇术!$A:$ZZ,8,FALSE)+SUM(_xlfn.XLOOKUP(S22:AG22,增益!$A:$A,增益!$H:$H,0))</f>
        <v>0</v>
      </c>
      <c r="AT22">
        <f t="shared" si="1"/>
        <v>538</v>
      </c>
      <c r="AU22">
        <f t="shared" si="2"/>
        <v>1011</v>
      </c>
      <c r="AV22" s="29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0.08</v>
      </c>
      <c r="AW22" s="29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29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-0.14</v>
      </c>
      <c r="BA22" s="29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29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-0.14</v>
      </c>
      <c r="BE22" s="29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29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-0.14</v>
      </c>
      <c r="BI22" s="29" cm="1">
        <f t="array" ref="BI22">$G$14+VLOOKUP($R22,武学奇术!$A:$ZZ,16,FALSE)+SUM(_xlfn.XLOOKUP(S22:AG22,增益!$A:$A,增益!$P:$P,0))</f>
        <v>0</v>
      </c>
      <c r="BJ22" s="20">
        <f>MIN(IF(VLOOKUP($R22,武学奇术!$A:$ZZ,23,FALSE)=1,100%,$B$8),100%)</f>
        <v>0.8271</v>
      </c>
      <c r="BK22" s="20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0.2249</v>
      </c>
      <c r="BL22" s="20" cm="1">
        <f t="array" ref="BL22">1+$B$13+VLOOKUP($R22,武学奇术!$A:$ZZ,18,FALSE)+SUM(_xlfn.XLOOKUP(S22:AG22,增益!$A:$A,增益!$R:$R,0))</f>
        <v>1.5</v>
      </c>
      <c r="BM22" s="20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0.4459</v>
      </c>
      <c r="BN22" s="20" cm="1">
        <f t="array" ref="BN22">1+$B$14+VLOOKUP($R22,武学奇术!$A:$ZZ,20,FALSE)+SUM(_xlfn.XLOOKUP(S22:AG22,增益!$A:$A,增益!$T:$T,0))</f>
        <v>1.552</v>
      </c>
      <c r="BO22" s="20">
        <f t="shared" si="9"/>
        <v>0.18601479</v>
      </c>
      <c r="BP22" s="20">
        <f t="shared" si="10"/>
        <v>0.27228132</v>
      </c>
      <c r="BQ22" s="20">
        <f>IF(VLOOKUP($R22,武学奇术!$A:$ZZ,22,FALSE)=1,0,(1-$BJ22))*(1-$BM22)</f>
        <v>0.09580389</v>
      </c>
      <c r="BR22" s="20" cm="1">
        <f t="array" ref="BR22">SUM(_xlfn.XLOOKUP(S22:AG22,增益!$A:$A,增益!$W:$W,0))+$I$5</f>
        <v>0.11</v>
      </c>
    </row>
    <row r="23" spans="1:70">
      <c r="A23" s="35" t="s">
        <v>143</v>
      </c>
      <c r="B23">
        <v>200</v>
      </c>
      <c r="K23" s="27">
        <f>$L23*VLOOKUP($R23,武学奇术!$A:$ZZ,31,FALSE)</f>
        <v>38982.9603628686</v>
      </c>
      <c r="L23" s="27">
        <f t="shared" si="0"/>
        <v>38982.9603628686</v>
      </c>
      <c r="M23" s="27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35278.5290701014</v>
      </c>
      <c r="N23" s="27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55991.8183373923</v>
      </c>
      <c r="O23" s="27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23519.0193800676</v>
      </c>
      <c r="P23" s="27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10960.8362231556</v>
      </c>
      <c r="Q23" s="35">
        <v>1</v>
      </c>
      <c r="R23" s="36" t="s">
        <v>144</v>
      </c>
      <c r="S23" s="36" t="s">
        <v>71</v>
      </c>
      <c r="T23" s="36" t="s">
        <v>93</v>
      </c>
      <c r="U23" s="36" t="s">
        <v>71</v>
      </c>
      <c r="V23" s="36" t="s">
        <v>71</v>
      </c>
      <c r="W23" s="36" t="s">
        <v>111</v>
      </c>
      <c r="X23" s="36" t="s">
        <v>71</v>
      </c>
      <c r="Y23" s="36" t="s">
        <v>71</v>
      </c>
      <c r="Z23" s="36" t="s">
        <v>82</v>
      </c>
      <c r="AA23" s="36" t="s">
        <v>71</v>
      </c>
      <c r="AB23" s="36" t="s">
        <v>71</v>
      </c>
      <c r="AC23" s="36" t="s">
        <v>71</v>
      </c>
      <c r="AD23" s="36" t="s">
        <v>72</v>
      </c>
      <c r="AE23" s="36" t="s">
        <v>94</v>
      </c>
      <c r="AF23" s="36" t="s">
        <v>134</v>
      </c>
      <c r="AG23" s="36" t="s">
        <v>120</v>
      </c>
      <c r="AH23" t="str">
        <f>VLOOKUP($R23,武学奇术!$A:$ZZ,25,FALSE)</f>
        <v>单体奇术</v>
      </c>
      <c r="AI23" s="20">
        <f>VLOOKUP($R23,武学奇术!$A:$ZZ,26,FALSE)</f>
        <v>1.6088</v>
      </c>
      <c r="AJ23" s="21">
        <f>VLOOKUP($R23,武学奇术!$A:$ZZ,27,FALSE)*(1+IF(OR($AH23=$F$4,$AH23=$F$5),$B$22,0))</f>
        <v>297</v>
      </c>
      <c r="AK23" s="20">
        <f>VLOOKUP($R23,武学奇术!$A:$ZZ,28,FALSE)</f>
        <v>2.4132</v>
      </c>
      <c r="AL23" s="21">
        <f>VLOOKUP($R23,武学奇术!$A:$ZZ,29,FALSE)*(1+IF(OR($AH23=$F$4,$AH23=$F$5),$B$22,0))</f>
        <v>0</v>
      </c>
      <c r="AM23" s="20" cm="1">
        <f t="array" ref="AM23">$G$3+IFERROR(VLOOKUP($AH23,$F$4:$G$7,2,FALSE),0)+VLOOKUP($R23,武学奇术!$A:$ZZ,2,FALSE)+SUM(_xlfn.XLOOKUP($S23:$AG23,增益!$A:$A,增益!$B:$B,0))</f>
        <v>0.8165</v>
      </c>
      <c r="AN23" s="20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1585.72</v>
      </c>
      <c r="AP23" cm="1">
        <f t="array" ref="AP23">$E$10*(1+$AN23)+VLOOKUP($R23,武学奇术!$A:$ZZ,4,FALSE)+SUM(_xlfn.XLOOKUP($S23:$AG23,增益!$A:$A,增益!$D:$D,0))-$I$2</f>
        <v>6696.76</v>
      </c>
      <c r="AQ23" s="29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0.3425</v>
      </c>
      <c r="AR23" s="29" cm="1">
        <f t="array" ref="AR23">$G$10+VLOOKUP($R23,武学奇术!$A:$ZZ,7,FALSE)+SUM(_xlfn.XLOOKUP(S23:AG23,增益!$A:$A,增益!$G:$G,0))</f>
        <v>0</v>
      </c>
      <c r="AS23" s="20" cm="1">
        <f t="array" ref="AS23">VLOOKUP($R23,武学奇术!$A:$ZZ,8,FALSE)+SUM(_xlfn.XLOOKUP(S23:AG23,增益!$A:$A,增益!$H:$H,0))</f>
        <v>0</v>
      </c>
      <c r="AT23">
        <f t="shared" si="1"/>
        <v>538</v>
      </c>
      <c r="AU23">
        <f t="shared" si="2"/>
        <v>1011</v>
      </c>
      <c r="AV23" s="29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0.08</v>
      </c>
      <c r="AW23" s="29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29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-0.14</v>
      </c>
      <c r="BA23" s="29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29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-0.14</v>
      </c>
      <c r="BE23" s="29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29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-0.14</v>
      </c>
      <c r="BI23" s="29" cm="1">
        <f t="array" ref="BI23">$G$14+VLOOKUP($R23,武学奇术!$A:$ZZ,16,FALSE)+SUM(_xlfn.XLOOKUP(S23:AG23,增益!$A:$A,增益!$P:$P,0))</f>
        <v>0</v>
      </c>
      <c r="BJ23" s="20">
        <f>MIN(IF(VLOOKUP($R23,武学奇术!$A:$ZZ,23,FALSE)=1,100%,$B$8),100%)</f>
        <v>0.8271</v>
      </c>
      <c r="BK23" s="20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0.2249</v>
      </c>
      <c r="BL23" s="20" cm="1">
        <f t="array" ref="BL23">1+$B$13+VLOOKUP($R23,武学奇术!$A:$ZZ,18,FALSE)+SUM(_xlfn.XLOOKUP(S23:AG23,增益!$A:$A,增益!$R:$R,0))</f>
        <v>1.5</v>
      </c>
      <c r="BM23" s="20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0.4459</v>
      </c>
      <c r="BN23" s="20" cm="1">
        <f t="array" ref="BN23">1+$B$14+VLOOKUP($R23,武学奇术!$A:$ZZ,20,FALSE)+SUM(_xlfn.XLOOKUP(S23:AG23,增益!$A:$A,增益!$T:$T,0))</f>
        <v>1.552</v>
      </c>
      <c r="BO23" s="20">
        <f t="shared" si="9"/>
        <v>0.18601479</v>
      </c>
      <c r="BP23" s="20">
        <f t="shared" si="10"/>
        <v>0.27228132</v>
      </c>
      <c r="BQ23" s="20">
        <f>IF(VLOOKUP($R23,武学奇术!$A:$ZZ,22,FALSE)=1,0,(1-$BJ23))*(1-$BM23)</f>
        <v>0.09580389</v>
      </c>
      <c r="BR23" s="20" cm="1">
        <f t="array" ref="BR23">SUM(_xlfn.XLOOKUP(S23:AG23,增益!$A:$A,增益!$W:$W,0))+$I$5</f>
        <v>0.11</v>
      </c>
    </row>
    <row r="24" spans="1:70">
      <c r="A24" s="35"/>
      <c r="B24">
        <v>400</v>
      </c>
      <c r="K24" s="27">
        <f>$L24*VLOOKUP($R24,武学奇术!$A:$ZZ,31,FALSE)</f>
        <v>74730.417870568</v>
      </c>
      <c r="L24" s="27">
        <f t="shared" si="0"/>
        <v>74730.417870568</v>
      </c>
      <c r="M24" s="27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67351.0743462017</v>
      </c>
      <c r="N24" s="27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107584.085991816</v>
      </c>
      <c r="O24" s="27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44900.7162308011</v>
      </c>
      <c r="P24" s="27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20925.5771531411</v>
      </c>
      <c r="Q24" s="35">
        <v>3</v>
      </c>
      <c r="R24" s="36" t="s">
        <v>142</v>
      </c>
      <c r="S24" s="36" t="s">
        <v>71</v>
      </c>
      <c r="T24" s="36" t="s">
        <v>93</v>
      </c>
      <c r="U24" s="36" t="s">
        <v>71</v>
      </c>
      <c r="V24" s="36" t="s">
        <v>71</v>
      </c>
      <c r="W24" s="36" t="s">
        <v>111</v>
      </c>
      <c r="X24" s="36" t="s">
        <v>71</v>
      </c>
      <c r="Y24" s="36" t="s">
        <v>71</v>
      </c>
      <c r="Z24" s="36" t="s">
        <v>82</v>
      </c>
      <c r="AA24" s="36" t="s">
        <v>71</v>
      </c>
      <c r="AB24" s="36" t="s">
        <v>71</v>
      </c>
      <c r="AC24" s="36" t="s">
        <v>71</v>
      </c>
      <c r="AD24" s="36" t="s">
        <v>72</v>
      </c>
      <c r="AE24" s="36" t="s">
        <v>94</v>
      </c>
      <c r="AF24" s="36" t="s">
        <v>145</v>
      </c>
      <c r="AG24" s="36" t="s">
        <v>120</v>
      </c>
      <c r="AH24" t="str">
        <f>VLOOKUP($R24,武学奇术!$A:$ZZ,25,FALSE)</f>
        <v>单体奇术</v>
      </c>
      <c r="AI24" s="20">
        <f>VLOOKUP($R24,武学奇术!$A:$ZZ,26,FALSE)</f>
        <v>1.0238</v>
      </c>
      <c r="AJ24" s="21">
        <f>VLOOKUP($R24,武学奇术!$A:$ZZ,27,FALSE)*(1+IF(OR($AH24=$F$4,$AH24=$F$5),$B$22,0))</f>
        <v>189</v>
      </c>
      <c r="AK24" s="20">
        <f>VLOOKUP($R24,武学奇术!$A:$ZZ,28,FALSE)</f>
        <v>1.5357</v>
      </c>
      <c r="AL24" s="21">
        <f>VLOOKUP($R24,武学奇术!$A:$ZZ,29,FALSE)*(1+IF(OR($AH24=$F$4,$AH24=$F$5),$B$22,0))</f>
        <v>0</v>
      </c>
      <c r="AM24" s="20" cm="1">
        <f t="array" ref="AM24">$G$3+IFERROR(VLOOKUP($AH24,$F$4:$G$7,2,FALSE),0)+VLOOKUP($R24,武学奇术!$A:$ZZ,2,FALSE)+SUM(_xlfn.XLOOKUP($S24:$AG24,增益!$A:$A,增益!$B:$B,0))</f>
        <v>0.8165</v>
      </c>
      <c r="AN24" s="20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1585.72</v>
      </c>
      <c r="AP24" cm="1">
        <f t="array" ref="AP24">$E$10*(1+$AN24)+VLOOKUP($R24,武学奇术!$A:$ZZ,4,FALSE)+SUM(_xlfn.XLOOKUP($S24:$AG24,增益!$A:$A,增益!$D:$D,0))-$I$2</f>
        <v>6696.76</v>
      </c>
      <c r="AQ24" s="29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0.3425</v>
      </c>
      <c r="AR24" s="29" cm="1">
        <f t="array" ref="AR24">$G$10+VLOOKUP($R24,武学奇术!$A:$ZZ,7,FALSE)+SUM(_xlfn.XLOOKUP(S24:AG24,增益!$A:$A,增益!$G:$G,0))</f>
        <v>0</v>
      </c>
      <c r="AS24" s="20" cm="1">
        <f t="array" ref="AS24">VLOOKUP($R24,武学奇术!$A:$ZZ,8,FALSE)+SUM(_xlfn.XLOOKUP(S24:AG24,增益!$A:$A,增益!$H:$H,0))</f>
        <v>0</v>
      </c>
      <c r="AT24">
        <f t="shared" si="1"/>
        <v>538</v>
      </c>
      <c r="AU24">
        <f t="shared" si="2"/>
        <v>1011</v>
      </c>
      <c r="AV24" s="29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0.08</v>
      </c>
      <c r="AW24" s="29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29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-0.14</v>
      </c>
      <c r="BA24" s="29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29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-0.14</v>
      </c>
      <c r="BE24" s="29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29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-0.14</v>
      </c>
      <c r="BI24" s="29" cm="1">
        <f t="array" ref="BI24">$G$14+VLOOKUP($R24,武学奇术!$A:$ZZ,16,FALSE)+SUM(_xlfn.XLOOKUP(S24:AG24,增益!$A:$A,增益!$P:$P,0))</f>
        <v>0</v>
      </c>
      <c r="BJ24" s="20">
        <f>MIN(IF(VLOOKUP($R24,武学奇术!$A:$ZZ,23,FALSE)=1,100%,$B$8),100%)</f>
        <v>0.8271</v>
      </c>
      <c r="BK24" s="20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0.2249</v>
      </c>
      <c r="BL24" s="20" cm="1">
        <f t="array" ref="BL24">1+$B$13+VLOOKUP($R24,武学奇术!$A:$ZZ,18,FALSE)+SUM(_xlfn.XLOOKUP(S24:AG24,增益!$A:$A,增益!$R:$R,0))</f>
        <v>1.5</v>
      </c>
      <c r="BM24" s="20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0.4459</v>
      </c>
      <c r="BN24" s="20" cm="1">
        <f t="array" ref="BN24">1+$B$14+VLOOKUP($R24,武学奇术!$A:$ZZ,20,FALSE)+SUM(_xlfn.XLOOKUP(S24:AG24,增益!$A:$A,增益!$T:$T,0))</f>
        <v>1.562</v>
      </c>
      <c r="BO24" s="20">
        <f t="shared" si="9"/>
        <v>0.18601479</v>
      </c>
      <c r="BP24" s="20">
        <f t="shared" si="10"/>
        <v>0.27228132</v>
      </c>
      <c r="BQ24" s="20">
        <f>IF(VLOOKUP($R24,武学奇术!$A:$ZZ,22,FALSE)=1,0,(1-$BJ24))*(1-$BM24)</f>
        <v>0.09580389</v>
      </c>
      <c r="BR24" s="20" cm="1">
        <f t="array" ref="BR24">SUM(_xlfn.XLOOKUP(S24:AG24,增益!$A:$A,增益!$W:$W,0))+$I$5</f>
        <v>0.11</v>
      </c>
    </row>
    <row r="25" spans="1:70">
      <c r="K25" s="27">
        <f>$L25*VLOOKUP($R25,武学奇术!$A:$ZZ,31,FALSE)</f>
        <v>59800.1113345272</v>
      </c>
      <c r="L25" s="27">
        <f t="shared" si="0"/>
        <v>59800.1113345272</v>
      </c>
      <c r="M25" s="27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53895.0855284427</v>
      </c>
      <c r="N25" s="27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86089.9729446102</v>
      </c>
      <c r="O25" s="27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35930.0570189618</v>
      </c>
      <c r="P25" s="27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16744.8944831155</v>
      </c>
      <c r="Q25" s="35">
        <v>1</v>
      </c>
      <c r="R25" s="36" t="s">
        <v>146</v>
      </c>
      <c r="S25" s="36" t="s">
        <v>71</v>
      </c>
      <c r="T25" s="36" t="s">
        <v>93</v>
      </c>
      <c r="U25" s="36" t="s">
        <v>71</v>
      </c>
      <c r="V25" s="36" t="s">
        <v>71</v>
      </c>
      <c r="W25" s="36" t="s">
        <v>111</v>
      </c>
      <c r="X25" s="36" t="s">
        <v>71</v>
      </c>
      <c r="Y25" s="36" t="s">
        <v>71</v>
      </c>
      <c r="Z25" s="36" t="s">
        <v>82</v>
      </c>
      <c r="AA25" s="36" t="s">
        <v>71</v>
      </c>
      <c r="AB25" s="36" t="s">
        <v>71</v>
      </c>
      <c r="AC25" s="36" t="s">
        <v>71</v>
      </c>
      <c r="AD25" s="36" t="s">
        <v>72</v>
      </c>
      <c r="AE25" s="36" t="s">
        <v>94</v>
      </c>
      <c r="AF25" s="36" t="s">
        <v>145</v>
      </c>
      <c r="AG25" s="36" t="s">
        <v>120</v>
      </c>
      <c r="AH25" t="str">
        <f>VLOOKUP($R25,武学奇术!$A:$ZZ,25,FALSE)</f>
        <v>单体奇术</v>
      </c>
      <c r="AI25" s="20">
        <f>VLOOKUP($R25,武学奇术!$A:$ZZ,26,FALSE)</f>
        <v>1.7063</v>
      </c>
      <c r="AJ25" s="21">
        <f>VLOOKUP($R25,武学奇术!$A:$ZZ,27,FALSE)*(1+IF(OR($AH25=$F$4,$AH25=$F$5),$B$22,0))</f>
        <v>315</v>
      </c>
      <c r="AK25" s="20">
        <f>VLOOKUP($R25,武学奇术!$A:$ZZ,28,FALSE)</f>
        <v>2.55945</v>
      </c>
      <c r="AL25" s="21">
        <f>VLOOKUP($R25,武学奇术!$A:$ZZ,29,FALSE)*(1+IF(OR($AH25=$F$4,$AH25=$F$5),$B$22,0))</f>
        <v>0</v>
      </c>
      <c r="AM25" s="20" cm="1">
        <f t="array" ref="AM25">$G$3+IFERROR(VLOOKUP($AH25,$F$4:$G$7,2,FALSE),0)+VLOOKUP($R25,武学奇术!$A:$ZZ,2,FALSE)+SUM(_xlfn.XLOOKUP($S25:$AG25,增益!$A:$A,增益!$B:$B,0))</f>
        <v>1.6165</v>
      </c>
      <c r="AN25" s="20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1585.72</v>
      </c>
      <c r="AP25" cm="1">
        <f t="array" ref="AP25">$E$10*(1+$AN25)+VLOOKUP($R25,武学奇术!$A:$ZZ,4,FALSE)+SUM(_xlfn.XLOOKUP($S25:$AG25,增益!$A:$A,增益!$D:$D,0))-$I$2</f>
        <v>6696.76</v>
      </c>
      <c r="AQ25" s="29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0.3425</v>
      </c>
      <c r="AR25" s="29" cm="1">
        <f t="array" ref="AR25">$G$10+VLOOKUP($R25,武学奇术!$A:$ZZ,7,FALSE)+SUM(_xlfn.XLOOKUP(S25:AG25,增益!$A:$A,增益!$G:$G,0))</f>
        <v>0</v>
      </c>
      <c r="AS25" s="20" cm="1">
        <f t="array" ref="AS25">VLOOKUP($R25,武学奇术!$A:$ZZ,8,FALSE)+SUM(_xlfn.XLOOKUP(S25:AG25,增益!$A:$A,增益!$H:$H,0))</f>
        <v>0</v>
      </c>
      <c r="AT25">
        <f t="shared" si="1"/>
        <v>538</v>
      </c>
      <c r="AU25">
        <f t="shared" si="2"/>
        <v>1011</v>
      </c>
      <c r="AV25" s="29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0.08</v>
      </c>
      <c r="AW25" s="29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29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-0.14</v>
      </c>
      <c r="BA25" s="29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29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-0.14</v>
      </c>
      <c r="BE25" s="29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29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-0.14</v>
      </c>
      <c r="BI25" s="29" cm="1">
        <f t="array" ref="BI25">$G$14+VLOOKUP($R25,武学奇术!$A:$ZZ,16,FALSE)+SUM(_xlfn.XLOOKUP(S25:AG25,增益!$A:$A,增益!$P:$P,0))</f>
        <v>0</v>
      </c>
      <c r="BJ25" s="20">
        <f>MIN(IF(VLOOKUP($R25,武学奇术!$A:$ZZ,23,FALSE)=1,100%,$B$8),100%)</f>
        <v>0.8271</v>
      </c>
      <c r="BK25" s="20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0.2249</v>
      </c>
      <c r="BL25" s="20" cm="1">
        <f t="array" ref="BL25">1+$B$13+VLOOKUP($R25,武学奇术!$A:$ZZ,18,FALSE)+SUM(_xlfn.XLOOKUP(S25:AG25,增益!$A:$A,增益!$R:$R,0))</f>
        <v>1.5</v>
      </c>
      <c r="BM25" s="20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0.4459</v>
      </c>
      <c r="BN25" s="20" cm="1">
        <f t="array" ref="BN25">1+$B$14+VLOOKUP($R25,武学奇术!$A:$ZZ,20,FALSE)+SUM(_xlfn.XLOOKUP(S25:AG25,增益!$A:$A,增益!$T:$T,0))</f>
        <v>1.562</v>
      </c>
      <c r="BO25" s="20">
        <f t="shared" si="9"/>
        <v>0.18601479</v>
      </c>
      <c r="BP25" s="20">
        <f t="shared" si="10"/>
        <v>0.27228132</v>
      </c>
      <c r="BQ25" s="20">
        <f>IF(VLOOKUP($R25,武学奇术!$A:$ZZ,22,FALSE)=1,0,(1-$BJ25))*(1-$BM25)</f>
        <v>0.09580389</v>
      </c>
      <c r="BR25" s="20" cm="1">
        <f t="array" ref="BR25">SUM(_xlfn.XLOOKUP(S25:AG25,增益!$A:$A,增益!$W:$W,0))+$I$5</f>
        <v>0.11</v>
      </c>
    </row>
    <row r="26" spans="1:70">
      <c r="K26" s="27">
        <f>$L26*VLOOKUP($R26,武学奇术!$A:$ZZ,31,FALSE)</f>
        <v>156575.314435924</v>
      </c>
      <c r="L26" s="27">
        <f t="shared" si="0"/>
        <v>156575.314435924</v>
      </c>
      <c r="M26" s="27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141114.116280406</v>
      </c>
      <c r="N26" s="27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225410.361451048</v>
      </c>
      <c r="O26" s="27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94076.0775202704</v>
      </c>
      <c r="P26" s="27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43843.3448926225</v>
      </c>
      <c r="Q26" s="35">
        <v>4</v>
      </c>
      <c r="R26" s="36" t="s">
        <v>144</v>
      </c>
      <c r="S26" s="36" t="s">
        <v>71</v>
      </c>
      <c r="T26" s="36" t="s">
        <v>93</v>
      </c>
      <c r="U26" s="36" t="s">
        <v>71</v>
      </c>
      <c r="V26" s="36" t="s">
        <v>71</v>
      </c>
      <c r="W26" s="36" t="s">
        <v>111</v>
      </c>
      <c r="X26" s="36" t="s">
        <v>71</v>
      </c>
      <c r="Y26" s="36" t="s">
        <v>71</v>
      </c>
      <c r="Z26" s="36" t="s">
        <v>82</v>
      </c>
      <c r="AA26" s="36" t="s">
        <v>71</v>
      </c>
      <c r="AB26" s="36" t="s">
        <v>71</v>
      </c>
      <c r="AC26" s="36" t="s">
        <v>71</v>
      </c>
      <c r="AD26" s="36" t="s">
        <v>72</v>
      </c>
      <c r="AE26" s="36" t="s">
        <v>94</v>
      </c>
      <c r="AF26" s="36" t="s">
        <v>145</v>
      </c>
      <c r="AG26" s="36" t="s">
        <v>120</v>
      </c>
      <c r="AH26" t="str">
        <f>VLOOKUP($R26,武学奇术!$A:$ZZ,25,FALSE)</f>
        <v>单体奇术</v>
      </c>
      <c r="AI26" s="20">
        <f>VLOOKUP($R26,武学奇术!$A:$ZZ,26,FALSE)</f>
        <v>1.6088</v>
      </c>
      <c r="AJ26" s="21">
        <f>VLOOKUP($R26,武学奇术!$A:$ZZ,27,FALSE)*(1+IF(OR($AH26=$F$4,$AH26=$F$5),$B$22,0))</f>
        <v>297</v>
      </c>
      <c r="AK26" s="20">
        <f>VLOOKUP($R26,武学奇术!$A:$ZZ,28,FALSE)</f>
        <v>2.4132</v>
      </c>
      <c r="AL26" s="21">
        <f>VLOOKUP($R26,武学奇术!$A:$ZZ,29,FALSE)*(1+IF(OR($AH26=$F$4,$AH26=$F$5),$B$22,0))</f>
        <v>0</v>
      </c>
      <c r="AM26" s="20" cm="1">
        <f t="array" ref="AM26">$G$3+IFERROR(VLOOKUP($AH26,$F$4:$G$7,2,FALSE),0)+VLOOKUP($R26,武学奇术!$A:$ZZ,2,FALSE)+SUM(_xlfn.XLOOKUP($S26:$AG26,增益!$A:$A,增益!$B:$B,0))</f>
        <v>0.8165</v>
      </c>
      <c r="AN26" s="20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1585.72</v>
      </c>
      <c r="AP26" cm="1">
        <f t="array" ref="AP26">$E$10*(1+$AN26)+VLOOKUP($R26,武学奇术!$A:$ZZ,4,FALSE)+SUM(_xlfn.XLOOKUP($S26:$AG26,增益!$A:$A,增益!$D:$D,0))-$I$2</f>
        <v>6696.76</v>
      </c>
      <c r="AQ26" s="29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0.3425</v>
      </c>
      <c r="AR26" s="29" cm="1">
        <f t="array" ref="AR26">$G$10+VLOOKUP($R26,武学奇术!$A:$ZZ,7,FALSE)+SUM(_xlfn.XLOOKUP(S26:AG26,增益!$A:$A,增益!$G:$G,0))</f>
        <v>0</v>
      </c>
      <c r="AS26" s="20" cm="1">
        <f t="array" ref="AS26">VLOOKUP($R26,武学奇术!$A:$ZZ,8,FALSE)+SUM(_xlfn.XLOOKUP(S26:AG26,增益!$A:$A,增益!$H:$H,0))</f>
        <v>0</v>
      </c>
      <c r="AT26">
        <f t="shared" si="1"/>
        <v>538</v>
      </c>
      <c r="AU26">
        <f t="shared" si="2"/>
        <v>1011</v>
      </c>
      <c r="AV26" s="29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0.08</v>
      </c>
      <c r="AW26" s="29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29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-0.14</v>
      </c>
      <c r="BA26" s="29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29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-0.14</v>
      </c>
      <c r="BE26" s="29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29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-0.14</v>
      </c>
      <c r="BI26" s="29" cm="1">
        <f t="array" ref="BI26">$G$14+VLOOKUP($R26,武学奇术!$A:$ZZ,16,FALSE)+SUM(_xlfn.XLOOKUP(S26:AG26,增益!$A:$A,增益!$P:$P,0))</f>
        <v>0</v>
      </c>
      <c r="BJ26" s="20">
        <f>MIN(IF(VLOOKUP($R26,武学奇术!$A:$ZZ,23,FALSE)=1,100%,$B$8),100%)</f>
        <v>0.8271</v>
      </c>
      <c r="BK26" s="20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0.2249</v>
      </c>
      <c r="BL26" s="20" cm="1">
        <f t="array" ref="BL26">1+$B$13+VLOOKUP($R26,武学奇术!$A:$ZZ,18,FALSE)+SUM(_xlfn.XLOOKUP(S26:AG26,增益!$A:$A,增益!$R:$R,0))</f>
        <v>1.5</v>
      </c>
      <c r="BM26" s="20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0.4459</v>
      </c>
      <c r="BN26" s="20" cm="1">
        <f t="array" ref="BN26">1+$B$14+VLOOKUP($R26,武学奇术!$A:$ZZ,20,FALSE)+SUM(_xlfn.XLOOKUP(S26:AG26,增益!$A:$A,增益!$T:$T,0))</f>
        <v>1.562</v>
      </c>
      <c r="BO26" s="20">
        <f t="shared" si="9"/>
        <v>0.18601479</v>
      </c>
      <c r="BP26" s="20">
        <f t="shared" si="10"/>
        <v>0.27228132</v>
      </c>
      <c r="BQ26" s="20">
        <f>IF(VLOOKUP($R26,武学奇术!$A:$ZZ,22,FALSE)=1,0,(1-$BJ26))*(1-$BM26)</f>
        <v>0.09580389</v>
      </c>
      <c r="BR26" s="20" cm="1">
        <f t="array" ref="BR26">SUM(_xlfn.XLOOKUP(S26:AG26,增益!$A:$A,增益!$W:$W,0))+$I$5</f>
        <v>0.11</v>
      </c>
    </row>
    <row r="27" spans="1:70">
      <c r="K27" s="27">
        <f>$L27*VLOOKUP($R27,武学奇术!$A:$ZZ,31,FALSE)</f>
        <v>49469.9120791322</v>
      </c>
      <c r="L27" s="27">
        <f t="shared" si="0"/>
        <v>49469.9120791322</v>
      </c>
      <c r="M27" s="27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45012.9141659402</v>
      </c>
      <c r="N27" s="27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70595.5329264249</v>
      </c>
      <c r="O27" s="27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30008.6094439601</v>
      </c>
      <c r="P27" s="27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15109.1190619502</v>
      </c>
      <c r="Q27" s="35">
        <v>1</v>
      </c>
      <c r="R27" s="36" t="s">
        <v>88</v>
      </c>
      <c r="S27" s="36" t="s">
        <v>71</v>
      </c>
      <c r="T27" s="36" t="s">
        <v>93</v>
      </c>
      <c r="U27" s="36" t="s">
        <v>71</v>
      </c>
      <c r="V27" s="36" t="s">
        <v>71</v>
      </c>
      <c r="W27" s="36" t="s">
        <v>71</v>
      </c>
      <c r="X27" s="36" t="s">
        <v>71</v>
      </c>
      <c r="Y27" s="36" t="s">
        <v>71</v>
      </c>
      <c r="Z27" s="36" t="s">
        <v>71</v>
      </c>
      <c r="AA27" s="36" t="s">
        <v>71</v>
      </c>
      <c r="AB27" s="36" t="s">
        <v>71</v>
      </c>
      <c r="AC27" s="36" t="s">
        <v>71</v>
      </c>
      <c r="AD27" s="36" t="s">
        <v>72</v>
      </c>
      <c r="AE27" s="36" t="s">
        <v>94</v>
      </c>
      <c r="AF27" s="36" t="s">
        <v>147</v>
      </c>
      <c r="AG27" s="36" t="s">
        <v>120</v>
      </c>
      <c r="AH27" t="str">
        <f>VLOOKUP($R27,武学奇术!$A:$ZZ,25,FALSE)</f>
        <v>枪</v>
      </c>
      <c r="AI27" s="20">
        <f>VLOOKUP($R27,武学奇术!$A:$ZZ,26,FALSE)</f>
        <v>2.1401</v>
      </c>
      <c r="AJ27" s="21">
        <f>VLOOKUP($R27,武学奇术!$A:$ZZ,27,FALSE)*(1+IF(OR($AH27=$F$4,$AH27=$F$5),$B$22,0))</f>
        <v>823.2</v>
      </c>
      <c r="AK27" s="20">
        <f>VLOOKUP($R27,武学奇术!$A:$ZZ,28,FALSE)</f>
        <v>3.2101</v>
      </c>
      <c r="AL27" s="21">
        <f>VLOOKUP($R27,武学奇术!$A:$ZZ,29,FALSE)*(1+IF(OR($AH27=$F$4,$AH27=$F$5),$B$22,0))</f>
        <v>448</v>
      </c>
      <c r="AM27" s="20" cm="1">
        <f t="array" ref="AM27">$G$3+IFERROR(VLOOKUP($AH27,$F$4:$G$7,2,FALSE),0)+VLOOKUP($R27,武学奇术!$A:$ZZ,2,FALSE)+SUM(_xlfn.XLOOKUP($S27:$AG27,增益!$A:$A,增益!$B:$B,0))</f>
        <v>0.6339</v>
      </c>
      <c r="AN27" s="20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1554.72</v>
      </c>
      <c r="AP27" cm="1">
        <f t="array" ref="AP27">$E$10*(1+$AN27)+VLOOKUP($R27,武学奇术!$A:$ZZ,4,FALSE)+SUM(_xlfn.XLOOKUP($S27:$AG27,增益!$A:$A,增益!$D:$D,0))-$I$2</f>
        <v>6665.76</v>
      </c>
      <c r="AQ27" s="29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0.3425</v>
      </c>
      <c r="AR27" s="29" cm="1">
        <f t="array" ref="AR27">$G$10+VLOOKUP($R27,武学奇术!$A:$ZZ,7,FALSE)+SUM(_xlfn.XLOOKUP(S27:AG27,增益!$A:$A,增益!$G:$G,0))</f>
        <v>0</v>
      </c>
      <c r="AS27" s="20" cm="1">
        <f t="array" ref="AS27">VLOOKUP($R27,武学奇术!$A:$ZZ,8,FALSE)+SUM(_xlfn.XLOOKUP(S27:AG27,增益!$A:$A,增益!$H:$H,0))</f>
        <v>0</v>
      </c>
      <c r="AT27">
        <f t="shared" si="1"/>
        <v>538</v>
      </c>
      <c r="AU27">
        <f t="shared" si="2"/>
        <v>1011</v>
      </c>
      <c r="AV27" s="29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29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29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29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29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29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29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29" cm="1">
        <f t="array" ref="BI27">$G$14+VLOOKUP($R27,武学奇术!$A:$ZZ,16,FALSE)+SUM(_xlfn.XLOOKUP(S27:AG27,增益!$A:$A,增益!$P:$P,0))</f>
        <v>0</v>
      </c>
      <c r="BJ27" s="20">
        <f>MIN(IF(VLOOKUP($R27,武学奇术!$A:$ZZ,23,FALSE)=1,100%,$B$8),100%)</f>
        <v>0.8271</v>
      </c>
      <c r="BK27" s="20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0.2249</v>
      </c>
      <c r="BL27" s="20" cm="1">
        <f t="array" ref="BL27">1+$B$13+VLOOKUP($R27,武学奇术!$A:$ZZ,18,FALSE)+SUM(_xlfn.XLOOKUP(S27:AG27,增益!$A:$A,增益!$R:$R,0))</f>
        <v>1.5</v>
      </c>
      <c r="BM27" s="20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0.4459</v>
      </c>
      <c r="BN27" s="20" cm="1">
        <f t="array" ref="BN27">1+$B$14+VLOOKUP($R27,武学奇术!$A:$ZZ,20,FALSE)+SUM(_xlfn.XLOOKUP(S27:AG27,增益!$A:$A,增益!$T:$T,0))</f>
        <v>1.572</v>
      </c>
      <c r="BO27" s="20">
        <f t="shared" si="9"/>
        <v>0.18601479</v>
      </c>
      <c r="BP27" s="20">
        <f t="shared" si="10"/>
        <v>0.27228132</v>
      </c>
      <c r="BQ27" s="20">
        <f>IF(VLOOKUP($R27,武学奇术!$A:$ZZ,22,FALSE)=1,0,(1-$BJ27))*(1-$BM27)</f>
        <v>0.09580389</v>
      </c>
      <c r="BR27" s="20" cm="1">
        <f t="array" ref="BR27">SUM(_xlfn.XLOOKUP(S27:AG27,增益!$A:$A,增益!$W:$W,0))+$I$5</f>
        <v>0.11</v>
      </c>
    </row>
    <row r="28" spans="1:70">
      <c r="K28" s="27">
        <f>$L28*VLOOKUP($R28,武学奇术!$A:$ZZ,31,FALSE)</f>
        <v>29125.5627916753</v>
      </c>
      <c r="L28" s="27">
        <f t="shared" si="0"/>
        <v>29125.5627916753</v>
      </c>
      <c r="M28" s="27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26547.9661429152</v>
      </c>
      <c r="N28" s="27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41503.5440537605</v>
      </c>
      <c r="O28" s="27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17698.6440952768</v>
      </c>
      <c r="P28" s="27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8995.54260928107</v>
      </c>
      <c r="Q28" s="35">
        <v>1</v>
      </c>
      <c r="R28" s="36" t="s">
        <v>92</v>
      </c>
      <c r="S28" s="36" t="s">
        <v>71</v>
      </c>
      <c r="T28" s="36" t="s">
        <v>93</v>
      </c>
      <c r="U28" s="36" t="s">
        <v>71</v>
      </c>
      <c r="V28" s="36" t="s">
        <v>71</v>
      </c>
      <c r="W28" s="36" t="s">
        <v>71</v>
      </c>
      <c r="X28" s="36" t="s">
        <v>71</v>
      </c>
      <c r="Y28" s="36" t="s">
        <v>71</v>
      </c>
      <c r="Z28" s="36" t="s">
        <v>82</v>
      </c>
      <c r="AA28" s="36" t="s">
        <v>71</v>
      </c>
      <c r="AB28" s="36" t="s">
        <v>71</v>
      </c>
      <c r="AC28" s="36" t="s">
        <v>71</v>
      </c>
      <c r="AD28" s="36" t="s">
        <v>72</v>
      </c>
      <c r="AE28" s="36" t="s">
        <v>94</v>
      </c>
      <c r="AF28" s="36" t="s">
        <v>147</v>
      </c>
      <c r="AG28" s="36" t="s">
        <v>120</v>
      </c>
      <c r="AH28" t="str">
        <f>VLOOKUP($R28,武学奇术!$A:$ZZ,25,FALSE)</f>
        <v>剑</v>
      </c>
      <c r="AI28" s="20">
        <f>VLOOKUP($R28,武学奇术!$A:$ZZ,26,FALSE)</f>
        <v>1.1781</v>
      </c>
      <c r="AJ28" s="21">
        <f>VLOOKUP($R28,武学奇术!$A:$ZZ,27,FALSE)*(1+IF(OR($AH28=$F$4,$AH28=$F$5),$B$22,0))</f>
        <v>456.4</v>
      </c>
      <c r="AK28" s="20">
        <f>VLOOKUP($R28,武学奇术!$A:$ZZ,28,FALSE)</f>
        <v>1.7672</v>
      </c>
      <c r="AL28" s="21">
        <f>VLOOKUP($R28,武学奇术!$A:$ZZ,29,FALSE)*(1+IF(OR($AH28=$F$4,$AH28=$F$5),$B$22,0))</f>
        <v>247.8</v>
      </c>
      <c r="AM28" s="20" cm="1">
        <f t="array" ref="AM28">$G$3+IFERROR(VLOOKUP($AH28,$F$4:$G$7,2,FALSE),0)+VLOOKUP($R28,武学奇术!$A:$ZZ,2,FALSE)+SUM(_xlfn.XLOOKUP($S28:$AG28,增益!$A:$A,增益!$B:$B,0))</f>
        <v>0.7191</v>
      </c>
      <c r="AN28" s="20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1554.72</v>
      </c>
      <c r="AP28" cm="1">
        <f t="array" ref="AP28">$E$10*(1+$AN28)+VLOOKUP($R28,武学奇术!$A:$ZZ,4,FALSE)+SUM(_xlfn.XLOOKUP($S28:$AG28,增益!$A:$A,增益!$D:$D,0))-$I$2</f>
        <v>6665.76</v>
      </c>
      <c r="AQ28" s="29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0.3425</v>
      </c>
      <c r="AR28" s="29" cm="1">
        <f t="array" ref="AR28">$G$10+VLOOKUP($R28,武学奇术!$A:$ZZ,7,FALSE)+SUM(_xlfn.XLOOKUP(S28:AG28,增益!$A:$A,增益!$G:$G,0))</f>
        <v>0</v>
      </c>
      <c r="AS28" s="20" cm="1">
        <f t="array" ref="AS28">VLOOKUP($R28,武学奇术!$A:$ZZ,8,FALSE)+SUM(_xlfn.XLOOKUP(S28:AG28,增益!$A:$A,增益!$H:$H,0))</f>
        <v>0</v>
      </c>
      <c r="AT28">
        <f t="shared" si="1"/>
        <v>538</v>
      </c>
      <c r="AU28">
        <f t="shared" si="2"/>
        <v>1011</v>
      </c>
      <c r="AV28" s="29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0.08</v>
      </c>
      <c r="AW28" s="29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29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-0.14</v>
      </c>
      <c r="BA28" s="29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29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-0.14</v>
      </c>
      <c r="BE28" s="29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29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-0.14</v>
      </c>
      <c r="BI28" s="29" cm="1">
        <f t="array" ref="BI28">$G$14+VLOOKUP($R28,武学奇术!$A:$ZZ,16,FALSE)+SUM(_xlfn.XLOOKUP(S28:AG28,增益!$A:$A,增益!$P:$P,0))</f>
        <v>0</v>
      </c>
      <c r="BJ28" s="20">
        <f>MIN(IF(VLOOKUP($R28,武学奇术!$A:$ZZ,23,FALSE)=1,100%,$B$8),100%)</f>
        <v>0.8271</v>
      </c>
      <c r="BK28" s="20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0.2249</v>
      </c>
      <c r="BL28" s="20" cm="1">
        <f t="array" ref="BL28">1+$B$13+VLOOKUP($R28,武学奇术!$A:$ZZ,18,FALSE)+SUM(_xlfn.XLOOKUP(S28:AG28,增益!$A:$A,增益!$R:$R,0))</f>
        <v>1.5</v>
      </c>
      <c r="BM28" s="20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0.4459</v>
      </c>
      <c r="BN28" s="20" cm="1">
        <f t="array" ref="BN28">1+$B$14+VLOOKUP($R28,武学奇术!$A:$ZZ,20,FALSE)+SUM(_xlfn.XLOOKUP(S28:AG28,增益!$A:$A,增益!$T:$T,0))</f>
        <v>1.572</v>
      </c>
      <c r="BO28" s="20">
        <f t="shared" ref="BO28:BO59" si="11">MIN((1-BM28)*BJ28,BJ28*BK28)</f>
        <v>0.18601479</v>
      </c>
      <c r="BP28" s="20">
        <f t="shared" si="10"/>
        <v>0.27228132</v>
      </c>
      <c r="BQ28" s="20">
        <f>IF(VLOOKUP($R28,武学奇术!$A:$ZZ,22,FALSE)=1,0,(1-$BJ28))*(1-$BM28)</f>
        <v>0.09580389</v>
      </c>
      <c r="BR28" s="20" cm="1">
        <f t="array" ref="BR28">SUM(_xlfn.XLOOKUP(S28:AG28,增益!$A:$A,增益!$W:$W,0))+$I$5</f>
        <v>0.11</v>
      </c>
    </row>
    <row r="29" spans="1:70">
      <c r="K29" s="27">
        <f>$L29*VLOOKUP($R29,武学奇术!$A:$ZZ,31,FALSE)</f>
        <v>72229.7419612941</v>
      </c>
      <c r="L29" s="27">
        <f t="shared" si="0"/>
        <v>120382.903268824</v>
      </c>
      <c r="M29" s="27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99816.23415917</v>
      </c>
      <c r="N29" s="27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181348.007880938</v>
      </c>
      <c r="O29" s="27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66544.1561061134</v>
      </c>
      <c r="P29" s="27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29579.1752938831</v>
      </c>
      <c r="Q29" s="35">
        <v>1</v>
      </c>
      <c r="R29" s="36" t="s">
        <v>105</v>
      </c>
      <c r="S29" s="36" t="s">
        <v>71</v>
      </c>
      <c r="T29" s="36" t="s">
        <v>99</v>
      </c>
      <c r="U29" s="36" t="s">
        <v>100</v>
      </c>
      <c r="V29" s="36" t="s">
        <v>101</v>
      </c>
      <c r="W29" s="36" t="s">
        <v>71</v>
      </c>
      <c r="X29" s="36" t="s">
        <v>71</v>
      </c>
      <c r="Y29" s="36" t="s">
        <v>71</v>
      </c>
      <c r="Z29" s="36" t="s">
        <v>82</v>
      </c>
      <c r="AA29" s="36" t="s">
        <v>71</v>
      </c>
      <c r="AB29" s="36" t="s">
        <v>71</v>
      </c>
      <c r="AC29" s="36" t="s">
        <v>71</v>
      </c>
      <c r="AD29" s="36" t="s">
        <v>72</v>
      </c>
      <c r="AE29" s="36" t="s">
        <v>94</v>
      </c>
      <c r="AF29" s="36" t="s">
        <v>147</v>
      </c>
      <c r="AG29" s="36" t="s">
        <v>120</v>
      </c>
      <c r="AH29" t="str">
        <f>VLOOKUP($R29,武学奇术!$A:$ZZ,25,FALSE)</f>
        <v>剑</v>
      </c>
      <c r="AI29" s="20">
        <f>VLOOKUP($R29,武学奇术!$A:$ZZ,26,FALSE)</f>
        <v>2.496</v>
      </c>
      <c r="AJ29" s="21">
        <f>VLOOKUP($R29,武学奇术!$A:$ZZ,27,FALSE)*(1+IF(OR($AH29=$F$4,$AH29=$F$5),$B$22,0))</f>
        <v>0</v>
      </c>
      <c r="AK29" s="20">
        <f>VLOOKUP($R29,武学奇术!$A:$ZZ,28,FALSE)</f>
        <v>3.744</v>
      </c>
      <c r="AL29" s="21">
        <f>VLOOKUP($R29,武学奇术!$A:$ZZ,29,FALSE)*(1+IF(OR($AH29=$F$4,$AH29=$F$5),$B$22,0))</f>
        <v>0</v>
      </c>
      <c r="AM29" s="20" cm="1">
        <f t="array" ref="AM29">$G$3+IFERROR(VLOOKUP($AH29,$F$4:$G$7,2,FALSE),0)+VLOOKUP($R29,武学奇术!$A:$ZZ,2,FALSE)+SUM(_xlfn.XLOOKUP($S29:$AG29,增益!$A:$A,增益!$B:$B,0))</f>
        <v>1.4691</v>
      </c>
      <c r="AN29" s="20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1554.72</v>
      </c>
      <c r="AP29" cm="1">
        <f t="array" ref="AP29">$E$10*(1+$AN29)+VLOOKUP($R29,武学奇术!$A:$ZZ,4,FALSE)+SUM(_xlfn.XLOOKUP($S29:$AG29,增益!$A:$A,增益!$D:$D,0))-$I$2</f>
        <v>6665.76</v>
      </c>
      <c r="AQ29" s="29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0.4175</v>
      </c>
      <c r="AR29" s="29" cm="1">
        <f t="array" ref="AR29">$G$10+VLOOKUP($R29,武学奇术!$A:$ZZ,7,FALSE)+SUM(_xlfn.XLOOKUP(S29:AG29,增益!$A:$A,增益!$G:$G,0))</f>
        <v>0</v>
      </c>
      <c r="AS29" s="20" cm="1">
        <f t="array" ref="AS29">VLOOKUP($R29,武学奇术!$A:$ZZ,8,FALSE)+SUM(_xlfn.XLOOKUP(S29:AG29,增益!$A:$A,增益!$H:$H,0))</f>
        <v>0</v>
      </c>
      <c r="AT29">
        <f t="shared" si="1"/>
        <v>538</v>
      </c>
      <c r="AU29">
        <f t="shared" si="2"/>
        <v>1011</v>
      </c>
      <c r="AV29" s="29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0.155</v>
      </c>
      <c r="AW29" s="29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29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-0.14</v>
      </c>
      <c r="BA29" s="29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29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-0.14</v>
      </c>
      <c r="BE29" s="29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29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-0.14</v>
      </c>
      <c r="BI29" s="29" cm="1">
        <f t="array" ref="BI29">$G$14+VLOOKUP($R29,武学奇术!$A:$ZZ,16,FALSE)+SUM(_xlfn.XLOOKUP(S29:AG29,增益!$A:$A,增益!$P:$P,0))</f>
        <v>0</v>
      </c>
      <c r="BJ29" s="20">
        <f>MIN(IF(VLOOKUP($R29,武学奇术!$A:$ZZ,23,FALSE)=1,100%,$B$8),100%)</f>
        <v>0.8271</v>
      </c>
      <c r="BK29" s="20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0.2249</v>
      </c>
      <c r="BL29" s="20" cm="1">
        <f t="array" ref="BL29">1+$B$13+VLOOKUP($R29,武学奇术!$A:$ZZ,18,FALSE)+SUM(_xlfn.XLOOKUP(S29:AG29,增益!$A:$A,增益!$R:$R,0))</f>
        <v>1.5</v>
      </c>
      <c r="BM29" s="20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0.4459</v>
      </c>
      <c r="BN29" s="20" cm="1">
        <f t="array" ref="BN29">1+$B$14+VLOOKUP($R29,武学奇术!$A:$ZZ,20,FALSE)+SUM(_xlfn.XLOOKUP(S29:AG29,增益!$A:$A,增益!$T:$T,0))</f>
        <v>1.752</v>
      </c>
      <c r="BO29" s="20">
        <f t="shared" si="11"/>
        <v>0.18601479</v>
      </c>
      <c r="BP29" s="20">
        <f t="shared" si="10"/>
        <v>0.27228132</v>
      </c>
      <c r="BQ29" s="20">
        <f>IF(VLOOKUP($R29,武学奇术!$A:$ZZ,22,FALSE)=1,0,(1-$BJ29))*(1-$BM29)</f>
        <v>0.09580389</v>
      </c>
      <c r="BR29" s="20" cm="1">
        <f t="array" ref="BR29">SUM(_xlfn.XLOOKUP(S29:AG29,增益!$A:$A,增益!$W:$W,0))+$I$5</f>
        <v>0.11</v>
      </c>
    </row>
    <row r="30" spans="1:70">
      <c r="K30" s="27">
        <f>$L30*VLOOKUP($R30,武学奇术!$A:$ZZ,31,FALSE)</f>
        <v>108808.804728563</v>
      </c>
      <c r="L30" s="27">
        <f t="shared" si="0"/>
        <v>181348.007880938</v>
      </c>
      <c r="M30" s="27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99816.23415917</v>
      </c>
      <c r="N30" s="27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181348.007880938</v>
      </c>
      <c r="O30" s="27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66544.1561061134</v>
      </c>
      <c r="P30" s="27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29579.1752938831</v>
      </c>
      <c r="Q30" s="35">
        <v>1</v>
      </c>
      <c r="R30" s="36" t="s">
        <v>98</v>
      </c>
      <c r="S30" s="36" t="s">
        <v>71</v>
      </c>
      <c r="T30" s="36" t="s">
        <v>99</v>
      </c>
      <c r="U30" s="36" t="s">
        <v>100</v>
      </c>
      <c r="V30" s="36" t="s">
        <v>101</v>
      </c>
      <c r="W30" s="36" t="s">
        <v>71</v>
      </c>
      <c r="X30" s="36" t="s">
        <v>71</v>
      </c>
      <c r="Y30" s="36" t="s">
        <v>71</v>
      </c>
      <c r="Z30" s="36" t="s">
        <v>82</v>
      </c>
      <c r="AA30" s="36" t="s">
        <v>71</v>
      </c>
      <c r="AB30" s="36" t="s">
        <v>71</v>
      </c>
      <c r="AC30" s="36" t="s">
        <v>71</v>
      </c>
      <c r="AD30" s="36" t="s">
        <v>72</v>
      </c>
      <c r="AE30" s="36" t="s">
        <v>94</v>
      </c>
      <c r="AF30" s="36" t="s">
        <v>147</v>
      </c>
      <c r="AG30" s="36" t="s">
        <v>120</v>
      </c>
      <c r="AH30" t="str">
        <f>VLOOKUP($R30,武学奇术!$A:$ZZ,25,FALSE)</f>
        <v>剑</v>
      </c>
      <c r="AI30" s="20">
        <f>VLOOKUP($R30,武学奇术!$A:$ZZ,26,FALSE)</f>
        <v>2.496</v>
      </c>
      <c r="AJ30" s="21">
        <f>VLOOKUP($R30,武学奇术!$A:$ZZ,27,FALSE)*(1+IF(OR($AH30=$F$4,$AH30=$F$5),$B$22,0))</f>
        <v>0</v>
      </c>
      <c r="AK30" s="20">
        <f>VLOOKUP($R30,武学奇术!$A:$ZZ,28,FALSE)</f>
        <v>3.744</v>
      </c>
      <c r="AL30" s="21">
        <f>VLOOKUP($R30,武学奇术!$A:$ZZ,29,FALSE)*(1+IF(OR($AH30=$F$4,$AH30=$F$5),$B$22,0))</f>
        <v>0</v>
      </c>
      <c r="AM30" s="20" cm="1">
        <f t="array" ref="AM30">$G$3+IFERROR(VLOOKUP($AH30,$F$4:$G$7,2,FALSE),0)+VLOOKUP($R30,武学奇术!$A:$ZZ,2,FALSE)+SUM(_xlfn.XLOOKUP($S30:$AG30,增益!$A:$A,增益!$B:$B,0))</f>
        <v>1.4691</v>
      </c>
      <c r="AN30" s="20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1554.72</v>
      </c>
      <c r="AP30" cm="1">
        <f t="array" ref="AP30">$E$10*(1+$AN30)+VLOOKUP($R30,武学奇术!$A:$ZZ,4,FALSE)+SUM(_xlfn.XLOOKUP($S30:$AG30,增益!$A:$A,增益!$D:$D,0))-$I$2</f>
        <v>6665.76</v>
      </c>
      <c r="AQ30" s="29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0.4175</v>
      </c>
      <c r="AR30" s="29" cm="1">
        <f t="array" ref="AR30">$G$10+VLOOKUP($R30,武学奇术!$A:$ZZ,7,FALSE)+SUM(_xlfn.XLOOKUP(S30:AG30,增益!$A:$A,增益!$G:$G,0))</f>
        <v>0</v>
      </c>
      <c r="AS30" s="20" cm="1">
        <f t="array" ref="AS30">VLOOKUP($R30,武学奇术!$A:$ZZ,8,FALSE)+SUM(_xlfn.XLOOKUP(S30:AG30,增益!$A:$A,增益!$H:$H,0))</f>
        <v>0</v>
      </c>
      <c r="AT30">
        <f t="shared" si="1"/>
        <v>538</v>
      </c>
      <c r="AU30">
        <f t="shared" si="2"/>
        <v>1011</v>
      </c>
      <c r="AV30" s="29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0.155</v>
      </c>
      <c r="AW30" s="29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29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-0.14</v>
      </c>
      <c r="BA30" s="29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29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-0.14</v>
      </c>
      <c r="BE30" s="29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29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-0.14</v>
      </c>
      <c r="BI30" s="29" cm="1">
        <f t="array" ref="BI30">$G$14+VLOOKUP($R30,武学奇术!$A:$ZZ,16,FALSE)+SUM(_xlfn.XLOOKUP(S30:AG30,增益!$A:$A,增益!$P:$P,0))</f>
        <v>0</v>
      </c>
      <c r="BJ30" s="20">
        <f>MIN(IF(VLOOKUP($R30,武学奇术!$A:$ZZ,23,FALSE)=1,100%,$B$8),100%)</f>
        <v>0.8271</v>
      </c>
      <c r="BK30" s="20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</v>
      </c>
      <c r="BL30" s="20" cm="1">
        <f t="array" ref="BL30">1+$B$13+VLOOKUP($R30,武学奇术!$A:$ZZ,18,FALSE)+SUM(_xlfn.XLOOKUP(S30:AG30,增益!$A:$A,增益!$R:$R,0))</f>
        <v>1.5</v>
      </c>
      <c r="BM30" s="20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1</v>
      </c>
      <c r="BN30" s="20" cm="1">
        <f t="array" ref="BN30">1+$B$14+VLOOKUP($R30,武学奇术!$A:$ZZ,20,FALSE)+SUM(_xlfn.XLOOKUP(S30:AG30,增益!$A:$A,增益!$T:$T,0))</f>
        <v>1.752</v>
      </c>
      <c r="BO30" s="20">
        <f t="shared" si="11"/>
        <v>0</v>
      </c>
      <c r="BP30" s="20">
        <f t="shared" si="10"/>
        <v>0</v>
      </c>
      <c r="BQ30" s="20">
        <f>IF(VLOOKUP($R30,武学奇术!$A:$ZZ,22,FALSE)=1,0,(1-$BJ30))*(1-$BM30)</f>
        <v>0</v>
      </c>
      <c r="BR30" s="20" cm="1">
        <f t="array" ref="BR30">SUM(_xlfn.XLOOKUP(S30:AG30,增益!$A:$A,增益!$W:$W,0))+$I$5</f>
        <v>0.11</v>
      </c>
    </row>
    <row r="31" spans="1:70">
      <c r="K31" s="27">
        <f>$L31*VLOOKUP($R31,武学奇术!$A:$ZZ,31,FALSE)</f>
        <v>13985.3074710941</v>
      </c>
      <c r="L31" s="27">
        <f t="shared" si="0"/>
        <v>13985.3074710941</v>
      </c>
      <c r="M31" s="27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12452.6049324663</v>
      </c>
      <c r="N31" s="27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20308.4317223437</v>
      </c>
      <c r="O31" s="27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8301.73662164419</v>
      </c>
      <c r="P31" s="27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3684.623547141</v>
      </c>
      <c r="Q31" s="35">
        <v>1</v>
      </c>
      <c r="R31" s="36" t="s">
        <v>107</v>
      </c>
      <c r="S31" s="36" t="s">
        <v>71</v>
      </c>
      <c r="T31" s="36" t="s">
        <v>93</v>
      </c>
      <c r="U31" s="36" t="s">
        <v>71</v>
      </c>
      <c r="V31" s="36" t="s">
        <v>71</v>
      </c>
      <c r="W31" s="36" t="s">
        <v>71</v>
      </c>
      <c r="X31" s="36" t="s">
        <v>71</v>
      </c>
      <c r="Y31" s="36" t="s">
        <v>71</v>
      </c>
      <c r="Z31" s="36" t="s">
        <v>82</v>
      </c>
      <c r="AA31" s="36" t="s">
        <v>71</v>
      </c>
      <c r="AB31" s="36" t="s">
        <v>71</v>
      </c>
      <c r="AC31" s="36" t="s">
        <v>71</v>
      </c>
      <c r="AD31" s="36" t="s">
        <v>72</v>
      </c>
      <c r="AE31" s="36" t="s">
        <v>94</v>
      </c>
      <c r="AF31" s="36" t="s">
        <v>147</v>
      </c>
      <c r="AG31" s="36" t="s">
        <v>120</v>
      </c>
      <c r="AH31" t="str">
        <f>VLOOKUP($R31,武学奇术!$A:$ZZ,25,FALSE)</f>
        <v>剑</v>
      </c>
      <c r="AI31" s="20">
        <f>VLOOKUP($R31,武学奇术!$A:$ZZ,26,FALSE)</f>
        <v>0.625</v>
      </c>
      <c r="AJ31" s="21">
        <f>VLOOKUP($R31,武学奇术!$A:$ZZ,27,FALSE)*(1+IF(OR($AH31=$F$4,$AH31=$F$5),$B$22,0))</f>
        <v>0</v>
      </c>
      <c r="AK31" s="20">
        <f>VLOOKUP($R31,武学奇术!$A:$ZZ,28,FALSE)</f>
        <v>0.9375</v>
      </c>
      <c r="AL31" s="21">
        <f>VLOOKUP($R31,武学奇术!$A:$ZZ,29,FALSE)*(1+IF(OR($AH31=$F$4,$AH31=$F$5),$B$22,0))</f>
        <v>0</v>
      </c>
      <c r="AM31" s="20" cm="1">
        <f t="array" ref="AM31">$G$3+IFERROR(VLOOKUP($AH31,$F$4:$G$7,2,FALSE),0)+VLOOKUP($R31,武学奇术!$A:$ZZ,2,FALSE)+SUM(_xlfn.XLOOKUP($S31:$AG31,增益!$A:$A,增益!$B:$B,0))</f>
        <v>0.7191</v>
      </c>
      <c r="AN31" s="20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1554.72</v>
      </c>
      <c r="AP31" cm="1">
        <f t="array" ref="AP31">$E$10*(1+$AN31)+VLOOKUP($R31,武学奇术!$A:$ZZ,4,FALSE)+SUM(_xlfn.XLOOKUP($S31:$AG31,增益!$A:$A,增益!$D:$D,0))-$I$2</f>
        <v>6665.76</v>
      </c>
      <c r="AQ31" s="29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0.3425</v>
      </c>
      <c r="AR31" s="29" cm="1">
        <f t="array" ref="AR31">$G$10+VLOOKUP($R31,武学奇术!$A:$ZZ,7,FALSE)+SUM(_xlfn.XLOOKUP(S31:AG31,增益!$A:$A,增益!$G:$G,0))</f>
        <v>0</v>
      </c>
      <c r="AS31" s="20" cm="1">
        <f t="array" ref="AS31">VLOOKUP($R31,武学奇术!$A:$ZZ,8,FALSE)+SUM(_xlfn.XLOOKUP(S31:AG31,增益!$A:$A,增益!$H:$H,0))</f>
        <v>0</v>
      </c>
      <c r="AT31">
        <f t="shared" si="1"/>
        <v>538</v>
      </c>
      <c r="AU31">
        <f t="shared" si="2"/>
        <v>1011</v>
      </c>
      <c r="AV31" s="29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0.08</v>
      </c>
      <c r="AW31" s="29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29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-0.14</v>
      </c>
      <c r="BA31" s="29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29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-0.14</v>
      </c>
      <c r="BE31" s="29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29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-0.14</v>
      </c>
      <c r="BI31" s="29" cm="1">
        <f t="array" ref="BI31">$G$14+VLOOKUP($R31,武学奇术!$A:$ZZ,16,FALSE)+SUM(_xlfn.XLOOKUP(S31:AG31,增益!$A:$A,增益!$P:$P,0))</f>
        <v>0</v>
      </c>
      <c r="BJ31" s="20">
        <f>MIN(IF(VLOOKUP($R31,武学奇术!$A:$ZZ,23,FALSE)=1,100%,$B$8),100%)</f>
        <v>0.8271</v>
      </c>
      <c r="BK31" s="20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0.2249</v>
      </c>
      <c r="BL31" s="20" cm="1">
        <f t="array" ref="BL31">1+$B$13+VLOOKUP($R31,武学奇术!$A:$ZZ,18,FALSE)+SUM(_xlfn.XLOOKUP(S31:AG31,增益!$A:$A,增益!$R:$R,0))</f>
        <v>1.5</v>
      </c>
      <c r="BM31" s="20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0.4459</v>
      </c>
      <c r="BN31" s="20" cm="1">
        <f t="array" ref="BN31">1+$B$14+VLOOKUP($R31,武学奇术!$A:$ZZ,20,FALSE)+SUM(_xlfn.XLOOKUP(S31:AG31,增益!$A:$A,增益!$T:$T,0))</f>
        <v>1.572</v>
      </c>
      <c r="BO31" s="20">
        <f t="shared" si="11"/>
        <v>0.18601479</v>
      </c>
      <c r="BP31" s="20">
        <f t="shared" si="10"/>
        <v>0.27228132</v>
      </c>
      <c r="BQ31" s="20">
        <f>IF(VLOOKUP($R31,武学奇术!$A:$ZZ,22,FALSE)=1,0,(1-$BJ31))*(1-$BM31)</f>
        <v>0.09580389</v>
      </c>
      <c r="BR31" s="20" cm="1">
        <f t="array" ref="BR31">SUM(_xlfn.XLOOKUP(S31:AG31,增益!$A:$A,增益!$W:$W,0))+$I$5</f>
        <v>0.11</v>
      </c>
    </row>
    <row r="32" spans="1:70">
      <c r="K32" s="27">
        <f>$L32*VLOOKUP($R32,武学奇术!$A:$ZZ,31,FALSE)</f>
        <v>60862.275747179</v>
      </c>
      <c r="L32" s="27">
        <f t="shared" si="0"/>
        <v>60862.275747179</v>
      </c>
      <c r="M32" s="27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55307.1376289998</v>
      </c>
      <c r="N32" s="27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86858.2719194813</v>
      </c>
      <c r="O32" s="27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36871.4250859999</v>
      </c>
      <c r="P32" s="27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18838.7591988763</v>
      </c>
      <c r="Q32" s="35">
        <v>1</v>
      </c>
      <c r="R32" s="36" t="s">
        <v>110</v>
      </c>
      <c r="S32" s="36" t="s">
        <v>71</v>
      </c>
      <c r="T32" s="36" t="s">
        <v>93</v>
      </c>
      <c r="U32" s="36" t="s">
        <v>71</v>
      </c>
      <c r="V32" s="36" t="s">
        <v>71</v>
      </c>
      <c r="W32" s="36" t="s">
        <v>111</v>
      </c>
      <c r="X32" s="36" t="s">
        <v>71</v>
      </c>
      <c r="Y32" s="36" t="s">
        <v>71</v>
      </c>
      <c r="Z32" s="36" t="s">
        <v>82</v>
      </c>
      <c r="AA32" s="36" t="s">
        <v>71</v>
      </c>
      <c r="AB32" s="36" t="s">
        <v>71</v>
      </c>
      <c r="AC32" s="36" t="s">
        <v>71</v>
      </c>
      <c r="AD32" s="36" t="s">
        <v>72</v>
      </c>
      <c r="AE32" s="36" t="s">
        <v>94</v>
      </c>
      <c r="AF32" s="36" t="s">
        <v>148</v>
      </c>
      <c r="AG32" s="36" t="s">
        <v>120</v>
      </c>
      <c r="AH32" t="str">
        <f>VLOOKUP($R32,武学奇术!$A:$ZZ,25,FALSE)</f>
        <v>枪</v>
      </c>
      <c r="AI32" s="20">
        <f>VLOOKUP($R32,武学奇术!$A:$ZZ,26,FALSE)</f>
        <v>2.5683</v>
      </c>
      <c r="AJ32" s="21">
        <f>VLOOKUP($R32,武学奇术!$A:$ZZ,27,FALSE)*(1+IF(OR($AH32=$F$4,$AH32=$F$5),$B$22,0))</f>
        <v>995.4</v>
      </c>
      <c r="AK32" s="20">
        <f>VLOOKUP($R32,武学奇术!$A:$ZZ,28,FALSE)</f>
        <v>3.8524</v>
      </c>
      <c r="AL32" s="21">
        <f>VLOOKUP($R32,武学奇术!$A:$ZZ,29,FALSE)*(1+IF(OR($AH32=$F$4,$AH32=$F$5),$B$22,0))</f>
        <v>541.8</v>
      </c>
      <c r="AM32" s="20" cm="1">
        <f t="array" ref="AM32">$G$3+IFERROR(VLOOKUP($AH32,$F$4:$G$7,2,FALSE),0)+VLOOKUP($R32,武学奇术!$A:$ZZ,2,FALSE)+SUM(_xlfn.XLOOKUP($S32:$AG32,增益!$A:$A,增益!$B:$B,0))</f>
        <v>0.6339</v>
      </c>
      <c r="AN32" s="20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1585.72</v>
      </c>
      <c r="AP32" cm="1">
        <f t="array" ref="AP32">$E$10*(1+$AN32)+VLOOKUP($R32,武学奇术!$A:$ZZ,4,FALSE)+SUM(_xlfn.XLOOKUP($S32:$AG32,增益!$A:$A,增益!$D:$D,0))-$I$2</f>
        <v>6696.76</v>
      </c>
      <c r="AQ32" s="29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0.3425</v>
      </c>
      <c r="AR32" s="29" cm="1">
        <f t="array" ref="AR32">$G$10+VLOOKUP($R32,武学奇术!$A:$ZZ,7,FALSE)+SUM(_xlfn.XLOOKUP(S32:AG32,增益!$A:$A,增益!$G:$G,0))</f>
        <v>0</v>
      </c>
      <c r="AS32" s="20" cm="1">
        <f t="array" ref="AS32">VLOOKUP($R32,武学奇术!$A:$ZZ,8,FALSE)+SUM(_xlfn.XLOOKUP(S32:AG32,增益!$A:$A,增益!$H:$H,0))</f>
        <v>0</v>
      </c>
      <c r="AT32">
        <f t="shared" si="1"/>
        <v>538</v>
      </c>
      <c r="AU32">
        <f t="shared" si="2"/>
        <v>1011</v>
      </c>
      <c r="AV32" s="29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0.08</v>
      </c>
      <c r="AW32" s="29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29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-0.14</v>
      </c>
      <c r="BA32" s="29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29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-0.14</v>
      </c>
      <c r="BE32" s="29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29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-0.14</v>
      </c>
      <c r="BI32" s="29" cm="1">
        <f t="array" ref="BI32">$G$14+VLOOKUP($R32,武学奇术!$A:$ZZ,16,FALSE)+SUM(_xlfn.XLOOKUP(S32:AG32,增益!$A:$A,增益!$P:$P,0))</f>
        <v>0</v>
      </c>
      <c r="BJ32" s="20">
        <f>MIN(IF(VLOOKUP($R32,武学奇术!$A:$ZZ,23,FALSE)=1,100%,$B$8),100%)</f>
        <v>0.8271</v>
      </c>
      <c r="BK32" s="20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0.2249</v>
      </c>
      <c r="BL32" s="20" cm="1">
        <f t="array" ref="BL32">1+$B$13+VLOOKUP($R32,武学奇术!$A:$ZZ,18,FALSE)+SUM(_xlfn.XLOOKUP(S32:AG32,增益!$A:$A,增益!$R:$R,0))</f>
        <v>1.5</v>
      </c>
      <c r="BM32" s="20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0.4459</v>
      </c>
      <c r="BN32" s="20" cm="1">
        <f t="array" ref="BN32">1+$B$14+VLOOKUP($R32,武学奇术!$A:$ZZ,20,FALSE)+SUM(_xlfn.XLOOKUP(S32:AG32,增益!$A:$A,增益!$T:$T,0))</f>
        <v>1.582</v>
      </c>
      <c r="BO32" s="20">
        <f t="shared" si="11"/>
        <v>0.18601479</v>
      </c>
      <c r="BP32" s="20">
        <f t="shared" si="10"/>
        <v>0.27228132</v>
      </c>
      <c r="BQ32" s="20">
        <f>IF(VLOOKUP($R32,武学奇术!$A:$ZZ,22,FALSE)=1,0,(1-$BJ32))*(1-$BM32)</f>
        <v>0.09580389</v>
      </c>
      <c r="BR32" s="20" cm="1">
        <f t="array" ref="BR32">SUM(_xlfn.XLOOKUP(S32:AG32,增益!$A:$A,增益!$W:$W,0))+$I$5</f>
        <v>0.11</v>
      </c>
    </row>
    <row r="33" spans="5:70">
      <c r="K33" s="27">
        <f>$L33*VLOOKUP($R33,武学奇术!$A:$ZZ,31,FALSE)</f>
        <v>72847.7820419622</v>
      </c>
      <c r="L33" s="27">
        <f t="shared" si="0"/>
        <v>121412.970069937</v>
      </c>
      <c r="M33" s="27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100411.424933579</v>
      </c>
      <c r="N33" s="27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183082.250013127</v>
      </c>
      <c r="O33" s="27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66940.9499557191</v>
      </c>
      <c r="P33" s="27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29975.9691434889</v>
      </c>
      <c r="Q33" s="35">
        <v>1</v>
      </c>
      <c r="R33" s="36" t="s">
        <v>105</v>
      </c>
      <c r="S33" s="36" t="s">
        <v>71</v>
      </c>
      <c r="T33" s="36" t="s">
        <v>99</v>
      </c>
      <c r="U33" s="36" t="s">
        <v>100</v>
      </c>
      <c r="V33" s="36" t="s">
        <v>101</v>
      </c>
      <c r="W33" s="36" t="s">
        <v>111</v>
      </c>
      <c r="X33" s="36" t="s">
        <v>71</v>
      </c>
      <c r="Y33" s="36" t="s">
        <v>71</v>
      </c>
      <c r="Z33" s="36" t="s">
        <v>82</v>
      </c>
      <c r="AA33" s="36" t="s">
        <v>71</v>
      </c>
      <c r="AB33" s="36" t="s">
        <v>71</v>
      </c>
      <c r="AC33" s="36" t="s">
        <v>71</v>
      </c>
      <c r="AD33" s="36" t="s">
        <v>72</v>
      </c>
      <c r="AE33" s="36" t="s">
        <v>94</v>
      </c>
      <c r="AF33" s="36" t="s">
        <v>148</v>
      </c>
      <c r="AG33" s="36" t="s">
        <v>120</v>
      </c>
      <c r="AH33" t="str">
        <f>VLOOKUP($R33,武学奇术!$A:$ZZ,25,FALSE)</f>
        <v>剑</v>
      </c>
      <c r="AI33" s="20">
        <f>VLOOKUP($R33,武学奇术!$A:$ZZ,26,FALSE)</f>
        <v>2.496</v>
      </c>
      <c r="AJ33" s="21">
        <f>VLOOKUP($R33,武学奇术!$A:$ZZ,27,FALSE)*(1+IF(OR($AH33=$F$4,$AH33=$F$5),$B$22,0))</f>
        <v>0</v>
      </c>
      <c r="AK33" s="20">
        <f>VLOOKUP($R33,武学奇术!$A:$ZZ,28,FALSE)</f>
        <v>3.744</v>
      </c>
      <c r="AL33" s="21">
        <f>VLOOKUP($R33,武学奇术!$A:$ZZ,29,FALSE)*(1+IF(OR($AH33=$F$4,$AH33=$F$5),$B$22,0))</f>
        <v>0</v>
      </c>
      <c r="AM33" s="20" cm="1">
        <f t="array" ref="AM33">$G$3+IFERROR(VLOOKUP($AH33,$F$4:$G$7,2,FALSE),0)+VLOOKUP($R33,武学奇术!$A:$ZZ,2,FALSE)+SUM(_xlfn.XLOOKUP($S33:$AG33,增益!$A:$A,增益!$B:$B,0))</f>
        <v>1.4691</v>
      </c>
      <c r="AN33" s="20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1585.72</v>
      </c>
      <c r="AP33" cm="1">
        <f t="array" ref="AP33">$E$10*(1+$AN33)+VLOOKUP($R33,武学奇术!$A:$ZZ,4,FALSE)+SUM(_xlfn.XLOOKUP($S33:$AG33,增益!$A:$A,增益!$D:$D,0))-$I$2</f>
        <v>6696.76</v>
      </c>
      <c r="AQ33" s="29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0.4175</v>
      </c>
      <c r="AR33" s="29" cm="1">
        <f t="array" ref="AR33">$G$10+VLOOKUP($R33,武学奇术!$A:$ZZ,7,FALSE)+SUM(_xlfn.XLOOKUP(S33:AG33,增益!$A:$A,增益!$G:$G,0))</f>
        <v>0</v>
      </c>
      <c r="AS33" s="20" cm="1">
        <f t="array" ref="AS33">VLOOKUP($R33,武学奇术!$A:$ZZ,8,FALSE)+SUM(_xlfn.XLOOKUP(S33:AG33,增益!$A:$A,增益!$H:$H,0))</f>
        <v>0</v>
      </c>
      <c r="AT33">
        <f t="shared" si="1"/>
        <v>538</v>
      </c>
      <c r="AU33">
        <f t="shared" si="2"/>
        <v>1011</v>
      </c>
      <c r="AV33" s="29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0.155</v>
      </c>
      <c r="AW33" s="29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29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-0.14</v>
      </c>
      <c r="BA33" s="29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29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-0.14</v>
      </c>
      <c r="BE33" s="29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29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-0.14</v>
      </c>
      <c r="BI33" s="29" cm="1">
        <f t="array" ref="BI33">$G$14+VLOOKUP($R33,武学奇术!$A:$ZZ,16,FALSE)+SUM(_xlfn.XLOOKUP(S33:AG33,增益!$A:$A,增益!$P:$P,0))</f>
        <v>0</v>
      </c>
      <c r="BJ33" s="20">
        <f>MIN(IF(VLOOKUP($R33,武学奇术!$A:$ZZ,23,FALSE)=1,100%,$B$8),100%)</f>
        <v>0.8271</v>
      </c>
      <c r="BK33" s="20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0.2249</v>
      </c>
      <c r="BL33" s="20" cm="1">
        <f t="array" ref="BL33">1+$B$13+VLOOKUP($R33,武学奇术!$A:$ZZ,18,FALSE)+SUM(_xlfn.XLOOKUP(S33:AG33,增益!$A:$A,增益!$R:$R,0))</f>
        <v>1.5</v>
      </c>
      <c r="BM33" s="20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0.4459</v>
      </c>
      <c r="BN33" s="20" cm="1">
        <f t="array" ref="BN33">1+$B$14+VLOOKUP($R33,武学奇术!$A:$ZZ,20,FALSE)+SUM(_xlfn.XLOOKUP(S33:AG33,增益!$A:$A,增益!$T:$T,0))</f>
        <v>1.762</v>
      </c>
      <c r="BO33" s="20">
        <f t="shared" si="11"/>
        <v>0.18601479</v>
      </c>
      <c r="BP33" s="20">
        <f t="shared" si="10"/>
        <v>0.27228132</v>
      </c>
      <c r="BQ33" s="20">
        <f>IF(VLOOKUP($R33,武学奇术!$A:$ZZ,22,FALSE)=1,0,(1-$BJ33))*(1-$BM33)</f>
        <v>0.09580389</v>
      </c>
      <c r="BR33" s="20" cm="1">
        <f t="array" ref="BR33">SUM(_xlfn.XLOOKUP(S33:AG33,增益!$A:$A,增益!$W:$W,0))+$I$5</f>
        <v>0.11</v>
      </c>
    </row>
    <row r="34" spans="5:70">
      <c r="K34" s="27">
        <f>$L34*VLOOKUP($R34,武学奇术!$A:$ZZ,31,FALSE)</f>
        <v>29369.8277418769</v>
      </c>
      <c r="L34" s="27">
        <f t="shared" si="0"/>
        <v>29369.8277418769</v>
      </c>
      <c r="M34" s="27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26688.3035739911</v>
      </c>
      <c r="N34" s="27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41915.5707202146</v>
      </c>
      <c r="O34" s="27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17792.2023826607</v>
      </c>
      <c r="P34" s="27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9089.100896665</v>
      </c>
      <c r="Q34" s="35">
        <v>1</v>
      </c>
      <c r="R34" s="36" t="s">
        <v>92</v>
      </c>
      <c r="S34" s="36" t="s">
        <v>71</v>
      </c>
      <c r="T34" s="36" t="s">
        <v>93</v>
      </c>
      <c r="U34" s="36" t="s">
        <v>71</v>
      </c>
      <c r="V34" s="36" t="s">
        <v>71</v>
      </c>
      <c r="W34" s="36" t="s">
        <v>111</v>
      </c>
      <c r="X34" s="36" t="s">
        <v>71</v>
      </c>
      <c r="Y34" s="36" t="s">
        <v>71</v>
      </c>
      <c r="Z34" s="36" t="s">
        <v>82</v>
      </c>
      <c r="AA34" s="36" t="s">
        <v>71</v>
      </c>
      <c r="AB34" s="36" t="s">
        <v>71</v>
      </c>
      <c r="AC34" s="36" t="s">
        <v>71</v>
      </c>
      <c r="AD34" s="36" t="s">
        <v>72</v>
      </c>
      <c r="AE34" s="36" t="s">
        <v>94</v>
      </c>
      <c r="AF34" s="36" t="s">
        <v>148</v>
      </c>
      <c r="AG34" s="36" t="s">
        <v>120</v>
      </c>
      <c r="AH34" t="str">
        <f>VLOOKUP($R34,武学奇术!$A:$ZZ,25,FALSE)</f>
        <v>剑</v>
      </c>
      <c r="AI34" s="20">
        <f>VLOOKUP($R34,武学奇术!$A:$ZZ,26,FALSE)</f>
        <v>1.1781</v>
      </c>
      <c r="AJ34" s="21">
        <f>VLOOKUP($R34,武学奇术!$A:$ZZ,27,FALSE)*(1+IF(OR($AH34=$F$4,$AH34=$F$5),$B$22,0))</f>
        <v>456.4</v>
      </c>
      <c r="AK34" s="20">
        <f>VLOOKUP($R34,武学奇术!$A:$ZZ,28,FALSE)</f>
        <v>1.7672</v>
      </c>
      <c r="AL34" s="21">
        <f>VLOOKUP($R34,武学奇术!$A:$ZZ,29,FALSE)*(1+IF(OR($AH34=$F$4,$AH34=$F$5),$B$22,0))</f>
        <v>247.8</v>
      </c>
      <c r="AM34" s="20" cm="1">
        <f t="array" ref="AM34">$G$3+IFERROR(VLOOKUP($AH34,$F$4:$G$7,2,FALSE),0)+VLOOKUP($R34,武学奇术!$A:$ZZ,2,FALSE)+SUM(_xlfn.XLOOKUP($S34:$AG34,增益!$A:$A,增益!$B:$B,0))</f>
        <v>0.7191</v>
      </c>
      <c r="AN34" s="20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1585.72</v>
      </c>
      <c r="AP34" cm="1">
        <f t="array" ref="AP34">$E$10*(1+$AN34)+VLOOKUP($R34,武学奇术!$A:$ZZ,4,FALSE)+SUM(_xlfn.XLOOKUP($S34:$AG34,增益!$A:$A,增益!$D:$D,0))-$I$2</f>
        <v>6696.76</v>
      </c>
      <c r="AQ34" s="29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0.3425</v>
      </c>
      <c r="AR34" s="29" cm="1">
        <f t="array" ref="AR34">$G$10+VLOOKUP($R34,武学奇术!$A:$ZZ,7,FALSE)+SUM(_xlfn.XLOOKUP(S34:AG34,增益!$A:$A,增益!$G:$G,0))</f>
        <v>0</v>
      </c>
      <c r="AS34" s="20" cm="1">
        <f t="array" ref="AS34">VLOOKUP($R34,武学奇术!$A:$ZZ,8,FALSE)+SUM(_xlfn.XLOOKUP(S34:AG34,增益!$A:$A,增益!$H:$H,0))</f>
        <v>0</v>
      </c>
      <c r="AT34">
        <f t="shared" si="1"/>
        <v>538</v>
      </c>
      <c r="AU34">
        <f t="shared" si="2"/>
        <v>1011</v>
      </c>
      <c r="AV34" s="29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0.08</v>
      </c>
      <c r="AW34" s="29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29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-0.14</v>
      </c>
      <c r="BA34" s="29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29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-0.14</v>
      </c>
      <c r="BE34" s="29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29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-0.14</v>
      </c>
      <c r="BI34" s="29" cm="1">
        <f t="array" ref="BI34">$G$14+VLOOKUP($R34,武学奇术!$A:$ZZ,16,FALSE)+SUM(_xlfn.XLOOKUP(S34:AG34,增益!$A:$A,增益!$P:$P,0))</f>
        <v>0</v>
      </c>
      <c r="BJ34" s="20">
        <f>MIN(IF(VLOOKUP($R34,武学奇术!$A:$ZZ,23,FALSE)=1,100%,$B$8),100%)</f>
        <v>0.8271</v>
      </c>
      <c r="BK34" s="20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0.2249</v>
      </c>
      <c r="BL34" s="20" cm="1">
        <f t="array" ref="BL34">1+$B$13+VLOOKUP($R34,武学奇术!$A:$ZZ,18,FALSE)+SUM(_xlfn.XLOOKUP(S34:AG34,增益!$A:$A,增益!$R:$R,0))</f>
        <v>1.5</v>
      </c>
      <c r="BM34" s="20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0.4459</v>
      </c>
      <c r="BN34" s="20" cm="1">
        <f t="array" ref="BN34">1+$B$14+VLOOKUP($R34,武学奇术!$A:$ZZ,20,FALSE)+SUM(_xlfn.XLOOKUP(S34:AG34,增益!$A:$A,增益!$T:$T,0))</f>
        <v>1.582</v>
      </c>
      <c r="BO34" s="20">
        <f t="shared" si="11"/>
        <v>0.18601479</v>
      </c>
      <c r="BP34" s="20">
        <f t="shared" si="10"/>
        <v>0.27228132</v>
      </c>
      <c r="BQ34" s="20">
        <f>IF(VLOOKUP($R34,武学奇术!$A:$ZZ,22,FALSE)=1,0,(1-$BJ34))*(1-$BM34)</f>
        <v>0.09580389</v>
      </c>
      <c r="BR34" s="20" cm="1">
        <f t="array" ref="BR34">SUM(_xlfn.XLOOKUP(S34:AG34,增益!$A:$A,增益!$W:$W,0))+$I$5</f>
        <v>0.11</v>
      </c>
    </row>
    <row r="35" spans="5:70">
      <c r="K35" s="27">
        <f>$L35*VLOOKUP($R35,武学奇术!$A:$ZZ,31,FALSE)</f>
        <v>72847.7820419622</v>
      </c>
      <c r="L35" s="27">
        <f t="shared" ref="L35:L60" si="12">($M35*$BO35+$N35*$BM35+$O35*$BP35+$P35*$BQ35)</f>
        <v>121412.970069937</v>
      </c>
      <c r="M35" s="27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100411.424933579</v>
      </c>
      <c r="N35" s="27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183082.250013127</v>
      </c>
      <c r="O35" s="27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66940.9499557191</v>
      </c>
      <c r="P35" s="27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29975.9691434889</v>
      </c>
      <c r="Q35" s="35">
        <v>1</v>
      </c>
      <c r="R35" s="36" t="s">
        <v>105</v>
      </c>
      <c r="S35" s="36" t="s">
        <v>71</v>
      </c>
      <c r="T35" s="36" t="s">
        <v>99</v>
      </c>
      <c r="U35" s="36" t="s">
        <v>100</v>
      </c>
      <c r="V35" s="36" t="s">
        <v>101</v>
      </c>
      <c r="W35" s="36" t="s">
        <v>111</v>
      </c>
      <c r="X35" s="36" t="s">
        <v>71</v>
      </c>
      <c r="Y35" s="36" t="s">
        <v>71</v>
      </c>
      <c r="Z35" s="36" t="s">
        <v>82</v>
      </c>
      <c r="AA35" s="36" t="s">
        <v>71</v>
      </c>
      <c r="AB35" s="36" t="s">
        <v>71</v>
      </c>
      <c r="AC35" s="36" t="s">
        <v>71</v>
      </c>
      <c r="AD35" s="36" t="s">
        <v>72</v>
      </c>
      <c r="AE35" s="36" t="s">
        <v>94</v>
      </c>
      <c r="AF35" s="36" t="s">
        <v>148</v>
      </c>
      <c r="AG35" s="36" t="s">
        <v>120</v>
      </c>
      <c r="AH35" t="str">
        <f>VLOOKUP($R35,武学奇术!$A:$ZZ,25,FALSE)</f>
        <v>剑</v>
      </c>
      <c r="AI35" s="20">
        <f>VLOOKUP($R35,武学奇术!$A:$ZZ,26,FALSE)</f>
        <v>2.496</v>
      </c>
      <c r="AJ35" s="21">
        <f>VLOOKUP($R35,武学奇术!$A:$ZZ,27,FALSE)*(1+IF(OR($AH35=$F$4,$AH35=$F$5),$B$22,0))</f>
        <v>0</v>
      </c>
      <c r="AK35" s="20">
        <f>VLOOKUP($R35,武学奇术!$A:$ZZ,28,FALSE)</f>
        <v>3.744</v>
      </c>
      <c r="AL35" s="21">
        <f>VLOOKUP($R35,武学奇术!$A:$ZZ,29,FALSE)*(1+IF(OR($AH35=$F$4,$AH35=$F$5),$B$22,0))</f>
        <v>0</v>
      </c>
      <c r="AM35" s="20" cm="1">
        <f t="array" ref="AM35">$G$3+IFERROR(VLOOKUP($AH35,$F$4:$G$7,2,FALSE),0)+VLOOKUP($R35,武学奇术!$A:$ZZ,2,FALSE)+SUM(_xlfn.XLOOKUP($S35:$AG35,增益!$A:$A,增益!$B:$B,0))</f>
        <v>1.4691</v>
      </c>
      <c r="AN35" s="20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1585.72</v>
      </c>
      <c r="AP35" cm="1">
        <f t="array" ref="AP35">$E$10*(1+$AN35)+VLOOKUP($R35,武学奇术!$A:$ZZ,4,FALSE)+SUM(_xlfn.XLOOKUP($S35:$AG35,增益!$A:$A,增益!$D:$D,0))-$I$2</f>
        <v>6696.76</v>
      </c>
      <c r="AQ35" s="29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0.4175</v>
      </c>
      <c r="AR35" s="29" cm="1">
        <f t="array" ref="AR35">$G$10+VLOOKUP($R35,武学奇术!$A:$ZZ,7,FALSE)+SUM(_xlfn.XLOOKUP(S35:AG35,增益!$A:$A,增益!$G:$G,0))</f>
        <v>0</v>
      </c>
      <c r="AS35" s="20" cm="1">
        <f t="array" ref="AS35">VLOOKUP($R35,武学奇术!$A:$ZZ,8,FALSE)+SUM(_xlfn.XLOOKUP(S35:AG35,增益!$A:$A,增益!$H:$H,0))</f>
        <v>0</v>
      </c>
      <c r="AT35">
        <f t="shared" si="1"/>
        <v>538</v>
      </c>
      <c r="AU35">
        <f t="shared" si="2"/>
        <v>1011</v>
      </c>
      <c r="AV35" s="29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0.155</v>
      </c>
      <c r="AW35" s="29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29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-0.14</v>
      </c>
      <c r="BA35" s="29" cm="1">
        <f t="array" ref="BA35">$G$12+VLOOKUP($R35,武学奇术!$A:$ZZ,12,FALSE)+SUM(_xlfn.XLOOKUP(S35:AG35,增益!$A:$A,增益!$L:$L,0))</f>
        <v>0</v>
      </c>
      <c r="BB35">
        <f t="shared" ref="BB35:BB60" si="13">$D$13*(1+$AS35)</f>
        <v>0</v>
      </c>
      <c r="BC35">
        <f t="shared" ref="BC35:BC60" si="14">$E$13*(1+$AS35)</f>
        <v>0</v>
      </c>
      <c r="BD35" s="29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-0.14</v>
      </c>
      <c r="BE35" s="29" cm="1">
        <f t="array" ref="BE35">$G$13+VLOOKUP($R35,武学奇术!$A:$ZZ,14,FALSE)+SUM(_xlfn.XLOOKUP(S35:AG35,增益!$A:$A,增益!$N:$N,0))</f>
        <v>0</v>
      </c>
      <c r="BF35">
        <f t="shared" ref="BF35:BF60" si="15">$D$14*(1+$AS35)</f>
        <v>0</v>
      </c>
      <c r="BG35">
        <f t="shared" ref="BG35:BG60" si="16">$E$14*(1+$AS35)</f>
        <v>0</v>
      </c>
      <c r="BH35" s="29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-0.14</v>
      </c>
      <c r="BI35" s="29" cm="1">
        <f t="array" ref="BI35">$G$14+VLOOKUP($R35,武学奇术!$A:$ZZ,16,FALSE)+SUM(_xlfn.XLOOKUP(S35:AG35,增益!$A:$A,增益!$P:$P,0))</f>
        <v>0</v>
      </c>
      <c r="BJ35" s="20">
        <f>MIN(IF(VLOOKUP($R35,武学奇术!$A:$ZZ,23,FALSE)=1,100%,$B$8),100%)</f>
        <v>0.8271</v>
      </c>
      <c r="BK35" s="20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0.2249</v>
      </c>
      <c r="BL35" s="20" cm="1">
        <f t="array" ref="BL35">1+$B$13+VLOOKUP($R35,武学奇术!$A:$ZZ,18,FALSE)+SUM(_xlfn.XLOOKUP(S35:AG35,增益!$A:$A,增益!$R:$R,0))</f>
        <v>1.5</v>
      </c>
      <c r="BM35" s="20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0.4459</v>
      </c>
      <c r="BN35" s="20" cm="1">
        <f t="array" ref="BN35">1+$B$14+VLOOKUP($R35,武学奇术!$A:$ZZ,20,FALSE)+SUM(_xlfn.XLOOKUP(S35:AG35,增益!$A:$A,增益!$T:$T,0))</f>
        <v>1.762</v>
      </c>
      <c r="BO35" s="20">
        <f t="shared" si="11"/>
        <v>0.18601479</v>
      </c>
      <c r="BP35" s="20">
        <f t="shared" ref="BP35:BP66" si="17">1-BM35-BO35-BQ35</f>
        <v>0.27228132</v>
      </c>
      <c r="BQ35" s="20">
        <f>IF(VLOOKUP($R35,武学奇术!$A:$ZZ,22,FALSE)=1,0,(1-$BJ35))*(1-$BM35)</f>
        <v>0.09580389</v>
      </c>
      <c r="BR35" s="20" cm="1">
        <f t="array" ref="BR35">SUM(_xlfn.XLOOKUP(S35:AG35,增益!$A:$A,增益!$W:$W,0))+$I$5</f>
        <v>0.11</v>
      </c>
    </row>
    <row r="36" spans="5:70">
      <c r="K36" s="27">
        <f>$L36*VLOOKUP($R36,武学奇术!$A:$ZZ,31,FALSE)</f>
        <v>72847.7820419622</v>
      </c>
      <c r="L36" s="27">
        <f t="shared" si="12"/>
        <v>121412.970069937</v>
      </c>
      <c r="M36" s="27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100411.424933579</v>
      </c>
      <c r="N36" s="27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183082.250013127</v>
      </c>
      <c r="O36" s="27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66940.9499557191</v>
      </c>
      <c r="P36" s="27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29975.9691434889</v>
      </c>
      <c r="Q36" s="35">
        <v>1</v>
      </c>
      <c r="R36" s="36" t="s">
        <v>105</v>
      </c>
      <c r="S36" s="36" t="s">
        <v>71</v>
      </c>
      <c r="T36" s="36" t="s">
        <v>99</v>
      </c>
      <c r="U36" s="36" t="s">
        <v>100</v>
      </c>
      <c r="V36" s="36" t="s">
        <v>101</v>
      </c>
      <c r="W36" s="36" t="s">
        <v>111</v>
      </c>
      <c r="X36" s="36" t="s">
        <v>71</v>
      </c>
      <c r="Y36" s="36" t="s">
        <v>71</v>
      </c>
      <c r="Z36" s="36" t="s">
        <v>82</v>
      </c>
      <c r="AA36" s="36" t="s">
        <v>71</v>
      </c>
      <c r="AB36" s="36" t="s">
        <v>71</v>
      </c>
      <c r="AC36" s="36" t="s">
        <v>71</v>
      </c>
      <c r="AD36" s="36" t="s">
        <v>72</v>
      </c>
      <c r="AE36" s="36" t="s">
        <v>94</v>
      </c>
      <c r="AF36" s="36" t="s">
        <v>148</v>
      </c>
      <c r="AG36" s="36" t="s">
        <v>120</v>
      </c>
      <c r="AH36" t="str">
        <f>VLOOKUP($R36,武学奇术!$A:$ZZ,25,FALSE)</f>
        <v>剑</v>
      </c>
      <c r="AI36" s="20">
        <f>VLOOKUP($R36,武学奇术!$A:$ZZ,26,FALSE)</f>
        <v>2.496</v>
      </c>
      <c r="AJ36" s="21">
        <f>VLOOKUP($R36,武学奇术!$A:$ZZ,27,FALSE)*(1+IF(OR($AH36=$F$4,$AH36=$F$5),$B$22,0))</f>
        <v>0</v>
      </c>
      <c r="AK36" s="20">
        <f>VLOOKUP($R36,武学奇术!$A:$ZZ,28,FALSE)</f>
        <v>3.744</v>
      </c>
      <c r="AL36" s="21">
        <f>VLOOKUP($R36,武学奇术!$A:$ZZ,29,FALSE)*(1+IF(OR($AH36=$F$4,$AH36=$F$5),$B$22,0))</f>
        <v>0</v>
      </c>
      <c r="AM36" s="20" cm="1">
        <f t="array" ref="AM36">$G$3+IFERROR(VLOOKUP($AH36,$F$4:$G$7,2,FALSE),0)+VLOOKUP($R36,武学奇术!$A:$ZZ,2,FALSE)+SUM(_xlfn.XLOOKUP($S36:$AG36,增益!$A:$A,增益!$B:$B,0))</f>
        <v>1.4691</v>
      </c>
      <c r="AN36" s="20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1585.72</v>
      </c>
      <c r="AP36" cm="1">
        <f t="array" ref="AP36">$E$10*(1+$AN36)+VLOOKUP($R36,武学奇术!$A:$ZZ,4,FALSE)+SUM(_xlfn.XLOOKUP($S36:$AG36,增益!$A:$A,增益!$D:$D,0))-$I$2</f>
        <v>6696.76</v>
      </c>
      <c r="AQ36" s="29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0.4175</v>
      </c>
      <c r="AR36" s="29" cm="1">
        <f t="array" ref="AR36">$G$10+VLOOKUP($R36,武学奇术!$A:$ZZ,7,FALSE)+SUM(_xlfn.XLOOKUP(S36:AG36,增益!$A:$A,增益!$G:$G,0))</f>
        <v>0</v>
      </c>
      <c r="AS36" s="20" cm="1">
        <f t="array" ref="AS36">VLOOKUP($R36,武学奇术!$A:$ZZ,8,FALSE)+SUM(_xlfn.XLOOKUP(S36:AG36,增益!$A:$A,增益!$H:$H,0))</f>
        <v>0</v>
      </c>
      <c r="AT36">
        <f t="shared" si="1"/>
        <v>538</v>
      </c>
      <c r="AU36">
        <f t="shared" si="2"/>
        <v>1011</v>
      </c>
      <c r="AV36" s="29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0.155</v>
      </c>
      <c r="AW36" s="29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29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-0.14</v>
      </c>
      <c r="BA36" s="29" cm="1">
        <f t="array" ref="BA36">$G$12+VLOOKUP($R36,武学奇术!$A:$ZZ,12,FALSE)+SUM(_xlfn.XLOOKUP(S36:AG36,增益!$A:$A,增益!$L:$L,0))</f>
        <v>0</v>
      </c>
      <c r="BB36">
        <f t="shared" si="13"/>
        <v>0</v>
      </c>
      <c r="BC36">
        <f t="shared" si="14"/>
        <v>0</v>
      </c>
      <c r="BD36" s="29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-0.14</v>
      </c>
      <c r="BE36" s="29" cm="1">
        <f t="array" ref="BE36">$G$13+VLOOKUP($R36,武学奇术!$A:$ZZ,14,FALSE)+SUM(_xlfn.XLOOKUP(S36:AG36,增益!$A:$A,增益!$N:$N,0))</f>
        <v>0</v>
      </c>
      <c r="BF36">
        <f t="shared" si="15"/>
        <v>0</v>
      </c>
      <c r="BG36">
        <f t="shared" si="16"/>
        <v>0</v>
      </c>
      <c r="BH36" s="29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-0.14</v>
      </c>
      <c r="BI36" s="29" cm="1">
        <f t="array" ref="BI36">$G$14+VLOOKUP($R36,武学奇术!$A:$ZZ,16,FALSE)+SUM(_xlfn.XLOOKUP(S36:AG36,增益!$A:$A,增益!$P:$P,0))</f>
        <v>0</v>
      </c>
      <c r="BJ36" s="20">
        <f>MIN(IF(VLOOKUP($R36,武学奇术!$A:$ZZ,23,FALSE)=1,100%,$B$8),100%)</f>
        <v>0.8271</v>
      </c>
      <c r="BK36" s="20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0.2249</v>
      </c>
      <c r="BL36" s="20" cm="1">
        <f t="array" ref="BL36">1+$B$13+VLOOKUP($R36,武学奇术!$A:$ZZ,18,FALSE)+SUM(_xlfn.XLOOKUP(S36:AG36,增益!$A:$A,增益!$R:$R,0))</f>
        <v>1.5</v>
      </c>
      <c r="BM36" s="20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0.4459</v>
      </c>
      <c r="BN36" s="20" cm="1">
        <f t="array" ref="BN36">1+$B$14+VLOOKUP($R36,武学奇术!$A:$ZZ,20,FALSE)+SUM(_xlfn.XLOOKUP(S36:AG36,增益!$A:$A,增益!$T:$T,0))</f>
        <v>1.762</v>
      </c>
      <c r="BO36" s="20">
        <f t="shared" si="11"/>
        <v>0.18601479</v>
      </c>
      <c r="BP36" s="20">
        <f t="shared" si="17"/>
        <v>0.27228132</v>
      </c>
      <c r="BQ36" s="20">
        <f>IF(VLOOKUP($R36,武学奇术!$A:$ZZ,22,FALSE)=1,0,(1-$BJ36))*(1-$BM36)</f>
        <v>0.09580389</v>
      </c>
      <c r="BR36" s="20" cm="1">
        <f t="array" ref="BR36">SUM(_xlfn.XLOOKUP(S36:AG36,增益!$A:$A,增益!$W:$W,0))+$I$5</f>
        <v>0.11</v>
      </c>
    </row>
    <row r="37" spans="5:70">
      <c r="K37" s="27">
        <f>$L37*VLOOKUP($R37,武学奇术!$A:$ZZ,31,FALSE)</f>
        <v>14110.0437900066</v>
      </c>
      <c r="L37" s="27">
        <f t="shared" si="12"/>
        <v>14110.0437900066</v>
      </c>
      <c r="M37" s="27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12527.0560778889</v>
      </c>
      <c r="N37" s="27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20516.1413606776</v>
      </c>
      <c r="O37" s="27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8351.37071859263</v>
      </c>
      <c r="P37" s="27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3734.25764408944</v>
      </c>
      <c r="Q37" s="35">
        <v>1</v>
      </c>
      <c r="R37" s="36" t="s">
        <v>107</v>
      </c>
      <c r="S37" s="36" t="s">
        <v>71</v>
      </c>
      <c r="T37" s="36" t="s">
        <v>93</v>
      </c>
      <c r="U37" s="36" t="s">
        <v>71</v>
      </c>
      <c r="V37" s="36" t="s">
        <v>71</v>
      </c>
      <c r="W37" s="36" t="s">
        <v>111</v>
      </c>
      <c r="X37" s="36" t="s">
        <v>71</v>
      </c>
      <c r="Y37" s="36" t="s">
        <v>71</v>
      </c>
      <c r="Z37" s="36" t="s">
        <v>82</v>
      </c>
      <c r="AA37" s="36" t="s">
        <v>71</v>
      </c>
      <c r="AB37" s="36" t="s">
        <v>71</v>
      </c>
      <c r="AC37" s="36" t="s">
        <v>71</v>
      </c>
      <c r="AD37" s="36" t="s">
        <v>72</v>
      </c>
      <c r="AE37" s="36" t="s">
        <v>94</v>
      </c>
      <c r="AF37" s="36" t="s">
        <v>148</v>
      </c>
      <c r="AG37" s="36" t="s">
        <v>120</v>
      </c>
      <c r="AH37" t="str">
        <f>VLOOKUP($R37,武学奇术!$A:$ZZ,25,FALSE)</f>
        <v>剑</v>
      </c>
      <c r="AI37" s="20">
        <f>VLOOKUP($R37,武学奇术!$A:$ZZ,26,FALSE)</f>
        <v>0.625</v>
      </c>
      <c r="AJ37" s="21">
        <f>VLOOKUP($R37,武学奇术!$A:$ZZ,27,FALSE)*(1+IF(OR($AH37=$F$4,$AH37=$F$5),$B$22,0))</f>
        <v>0</v>
      </c>
      <c r="AK37" s="20">
        <f>VLOOKUP($R37,武学奇术!$A:$ZZ,28,FALSE)</f>
        <v>0.9375</v>
      </c>
      <c r="AL37" s="21">
        <f>VLOOKUP($R37,武学奇术!$A:$ZZ,29,FALSE)*(1+IF(OR($AH37=$F$4,$AH37=$F$5),$B$22,0))</f>
        <v>0</v>
      </c>
      <c r="AM37" s="20" cm="1">
        <f t="array" ref="AM37">$G$3+IFERROR(VLOOKUP($AH37,$F$4:$G$7,2,FALSE),0)+VLOOKUP($R37,武学奇术!$A:$ZZ,2,FALSE)+SUM(_xlfn.XLOOKUP($S37:$AG37,增益!$A:$A,增益!$B:$B,0))</f>
        <v>0.7191</v>
      </c>
      <c r="AN37" s="20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1585.72</v>
      </c>
      <c r="AP37" cm="1">
        <f t="array" ref="AP37">$E$10*(1+$AN37)+VLOOKUP($R37,武学奇术!$A:$ZZ,4,FALSE)+SUM(_xlfn.XLOOKUP($S37:$AG37,增益!$A:$A,增益!$D:$D,0))-$I$2</f>
        <v>6696.76</v>
      </c>
      <c r="AQ37" s="29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0.3425</v>
      </c>
      <c r="AR37" s="29" cm="1">
        <f t="array" ref="AR37">$G$10+VLOOKUP($R37,武学奇术!$A:$ZZ,7,FALSE)+SUM(_xlfn.XLOOKUP(S37:AG37,增益!$A:$A,增益!$G:$G,0))</f>
        <v>0</v>
      </c>
      <c r="AS37" s="20" cm="1">
        <f t="array" ref="AS37">VLOOKUP($R37,武学奇术!$A:$ZZ,8,FALSE)+SUM(_xlfn.XLOOKUP(S37:AG37,增益!$A:$A,增益!$H:$H,0))</f>
        <v>0</v>
      </c>
      <c r="AT37">
        <f t="shared" si="1"/>
        <v>538</v>
      </c>
      <c r="AU37">
        <f t="shared" si="2"/>
        <v>1011</v>
      </c>
      <c r="AV37" s="29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0.08</v>
      </c>
      <c r="AW37" s="29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29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-0.14</v>
      </c>
      <c r="BA37" s="29" cm="1">
        <f t="array" ref="BA37">$G$12+VLOOKUP($R37,武学奇术!$A:$ZZ,12,FALSE)+SUM(_xlfn.XLOOKUP(S37:AG37,增益!$A:$A,增益!$L:$L,0))</f>
        <v>0</v>
      </c>
      <c r="BB37">
        <f t="shared" si="13"/>
        <v>0</v>
      </c>
      <c r="BC37">
        <f t="shared" si="14"/>
        <v>0</v>
      </c>
      <c r="BD37" s="29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-0.14</v>
      </c>
      <c r="BE37" s="29" cm="1">
        <f t="array" ref="BE37">$G$13+VLOOKUP($R37,武学奇术!$A:$ZZ,14,FALSE)+SUM(_xlfn.XLOOKUP(S37:AG37,增益!$A:$A,增益!$N:$N,0))</f>
        <v>0</v>
      </c>
      <c r="BF37">
        <f t="shared" si="15"/>
        <v>0</v>
      </c>
      <c r="BG37">
        <f t="shared" si="16"/>
        <v>0</v>
      </c>
      <c r="BH37" s="29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-0.14</v>
      </c>
      <c r="BI37" s="29" cm="1">
        <f t="array" ref="BI37">$G$14+VLOOKUP($R37,武学奇术!$A:$ZZ,16,FALSE)+SUM(_xlfn.XLOOKUP(S37:AG37,增益!$A:$A,增益!$P:$P,0))</f>
        <v>0</v>
      </c>
      <c r="BJ37" s="20">
        <f>MIN(IF(VLOOKUP($R37,武学奇术!$A:$ZZ,23,FALSE)=1,100%,$B$8),100%)</f>
        <v>0.8271</v>
      </c>
      <c r="BK37" s="20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0.2249</v>
      </c>
      <c r="BL37" s="20" cm="1">
        <f t="array" ref="BL37">1+$B$13+VLOOKUP($R37,武学奇术!$A:$ZZ,18,FALSE)+SUM(_xlfn.XLOOKUP(S37:AG37,增益!$A:$A,增益!$R:$R,0))</f>
        <v>1.5</v>
      </c>
      <c r="BM37" s="20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0.4459</v>
      </c>
      <c r="BN37" s="20" cm="1">
        <f t="array" ref="BN37">1+$B$14+VLOOKUP($R37,武学奇术!$A:$ZZ,20,FALSE)+SUM(_xlfn.XLOOKUP(S37:AG37,增益!$A:$A,增益!$T:$T,0))</f>
        <v>1.582</v>
      </c>
      <c r="BO37" s="20">
        <f t="shared" si="11"/>
        <v>0.18601479</v>
      </c>
      <c r="BP37" s="20">
        <f t="shared" si="17"/>
        <v>0.27228132</v>
      </c>
      <c r="BQ37" s="20">
        <f>IF(VLOOKUP($R37,武学奇术!$A:$ZZ,22,FALSE)=1,0,(1-$BJ37))*(1-$BM37)</f>
        <v>0.09580389</v>
      </c>
      <c r="BR37" s="20" cm="1">
        <f t="array" ref="BR37">SUM(_xlfn.XLOOKUP(S37:AG37,增益!$A:$A,增益!$W:$W,0))+$I$5</f>
        <v>0.11</v>
      </c>
    </row>
    <row r="38" spans="5:70">
      <c r="K38" s="27">
        <f>$L38*VLOOKUP($R38,武学奇术!$A:$ZZ,31,FALSE)</f>
        <v>14002.7966835311</v>
      </c>
      <c r="L38" s="27">
        <f t="shared" si="12"/>
        <v>14002.7966835311</v>
      </c>
      <c r="M38" s="27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12750.2744068569</v>
      </c>
      <c r="N38" s="27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19931.2491625745</v>
      </c>
      <c r="O38" s="27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8500.18293790463</v>
      </c>
      <c r="P38" s="27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4480.73700484535</v>
      </c>
      <c r="Q38" s="35">
        <v>1</v>
      </c>
      <c r="R38" s="36" t="s">
        <v>149</v>
      </c>
      <c r="S38" s="36" t="s">
        <v>71</v>
      </c>
      <c r="T38" s="36" t="s">
        <v>93</v>
      </c>
      <c r="U38" s="36" t="s">
        <v>71</v>
      </c>
      <c r="V38" s="36" t="s">
        <v>71</v>
      </c>
      <c r="W38" s="36" t="s">
        <v>111</v>
      </c>
      <c r="X38" s="36" t="s">
        <v>71</v>
      </c>
      <c r="Y38" s="36" t="s">
        <v>71</v>
      </c>
      <c r="Z38" s="36" t="s">
        <v>82</v>
      </c>
      <c r="AA38" s="36" t="s">
        <v>71</v>
      </c>
      <c r="AB38" s="36" t="s">
        <v>71</v>
      </c>
      <c r="AC38" s="36" t="s">
        <v>71</v>
      </c>
      <c r="AD38" s="36" t="s">
        <v>72</v>
      </c>
      <c r="AE38" s="36" t="s">
        <v>94</v>
      </c>
      <c r="AF38" s="36" t="s">
        <v>150</v>
      </c>
      <c r="AG38" s="36" t="s">
        <v>120</v>
      </c>
      <c r="AH38" t="str">
        <f>VLOOKUP($R38,武学奇术!$A:$ZZ,25,FALSE)</f>
        <v>剑</v>
      </c>
      <c r="AI38" s="20">
        <f>VLOOKUP($R38,武学奇术!$A:$ZZ,26,FALSE)</f>
        <v>0.5441</v>
      </c>
      <c r="AJ38" s="21">
        <f>VLOOKUP($R38,武学奇术!$A:$ZZ,27,FALSE)*(1+IF(OR($AH38=$F$4,$AH38=$F$5),$B$22,0))</f>
        <v>273</v>
      </c>
      <c r="AK38" s="20">
        <f>VLOOKUP($R38,武学奇术!$A:$ZZ,28,FALSE)</f>
        <v>0.8161</v>
      </c>
      <c r="AL38" s="21">
        <f>VLOOKUP($R38,武学奇术!$A:$ZZ,29,FALSE)*(1+IF(OR($AH38=$F$4,$AH38=$F$5),$B$22,0))</f>
        <v>149.24</v>
      </c>
      <c r="AM38" s="20" cm="1">
        <f t="array" ref="AM38">$G$3+IFERROR(VLOOKUP($AH38,$F$4:$G$7,2,FALSE),0)+VLOOKUP($R38,武学奇术!$A:$ZZ,2,FALSE)+SUM(_xlfn.XLOOKUP($S38:$AG38,增益!$A:$A,增益!$B:$B,0))</f>
        <v>0.7191</v>
      </c>
      <c r="AN38" s="20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1585.72</v>
      </c>
      <c r="AP38" cm="1">
        <f t="array" ref="AP38">$E$10*(1+$AN38)+VLOOKUP($R38,武学奇术!$A:$ZZ,4,FALSE)+SUM(_xlfn.XLOOKUP($S38:$AG38,增益!$A:$A,增益!$D:$D,0))-$I$2</f>
        <v>6696.76</v>
      </c>
      <c r="AQ38" s="29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0.3425</v>
      </c>
      <c r="AR38" s="29" cm="1">
        <f t="array" ref="AR38">$G$10+VLOOKUP($R38,武学奇术!$A:$ZZ,7,FALSE)+SUM(_xlfn.XLOOKUP(S38:AG38,增益!$A:$A,增益!$G:$G,0))</f>
        <v>0</v>
      </c>
      <c r="AS38" s="20" cm="1">
        <f t="array" ref="AS38">VLOOKUP($R38,武学奇术!$A:$ZZ,8,FALSE)+SUM(_xlfn.XLOOKUP(S38:AG38,增益!$A:$A,增益!$H:$H,0))</f>
        <v>0</v>
      </c>
      <c r="AT38">
        <f t="shared" si="1"/>
        <v>538</v>
      </c>
      <c r="AU38">
        <f t="shared" si="2"/>
        <v>1011</v>
      </c>
      <c r="AV38" s="29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0.08</v>
      </c>
      <c r="AW38" s="29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29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-0.14</v>
      </c>
      <c r="BA38" s="29" cm="1">
        <f t="array" ref="BA38">$G$12+VLOOKUP($R38,武学奇术!$A:$ZZ,12,FALSE)+SUM(_xlfn.XLOOKUP(S38:AG38,增益!$A:$A,增益!$L:$L,0))</f>
        <v>0</v>
      </c>
      <c r="BB38">
        <f t="shared" si="13"/>
        <v>0</v>
      </c>
      <c r="BC38">
        <f t="shared" si="14"/>
        <v>0</v>
      </c>
      <c r="BD38" s="29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-0.14</v>
      </c>
      <c r="BE38" s="29" cm="1">
        <f t="array" ref="BE38">$G$13+VLOOKUP($R38,武学奇术!$A:$ZZ,14,FALSE)+SUM(_xlfn.XLOOKUP(S38:AG38,增益!$A:$A,增益!$N:$N,0))</f>
        <v>0</v>
      </c>
      <c r="BF38">
        <f t="shared" si="15"/>
        <v>0</v>
      </c>
      <c r="BG38">
        <f t="shared" si="16"/>
        <v>0</v>
      </c>
      <c r="BH38" s="29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-0.14</v>
      </c>
      <c r="BI38" s="29" cm="1">
        <f t="array" ref="BI38">$G$14+VLOOKUP($R38,武学奇术!$A:$ZZ,16,FALSE)+SUM(_xlfn.XLOOKUP(S38:AG38,增益!$A:$A,增益!$P:$P,0))</f>
        <v>0</v>
      </c>
      <c r="BJ38" s="20">
        <f>MIN(IF(VLOOKUP($R38,武学奇术!$A:$ZZ,23,FALSE)=1,100%,$B$8),100%)</f>
        <v>0.8271</v>
      </c>
      <c r="BK38" s="20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0.2249</v>
      </c>
      <c r="BL38" s="20" cm="1">
        <f t="array" ref="BL38">1+$B$13+VLOOKUP($R38,武学奇术!$A:$ZZ,18,FALSE)+SUM(_xlfn.XLOOKUP(S38:AG38,增益!$A:$A,增益!$R:$R,0))</f>
        <v>1.5</v>
      </c>
      <c r="BM38" s="20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0.4459</v>
      </c>
      <c r="BN38" s="20" cm="1">
        <f t="array" ref="BN38">1+$B$14+VLOOKUP($R38,武学奇术!$A:$ZZ,20,FALSE)+SUM(_xlfn.XLOOKUP(S38:AG38,增益!$A:$A,增益!$T:$T,0))</f>
        <v>1.592</v>
      </c>
      <c r="BO38" s="20">
        <f t="shared" si="11"/>
        <v>0.18601479</v>
      </c>
      <c r="BP38" s="20">
        <f t="shared" si="17"/>
        <v>0.27228132</v>
      </c>
      <c r="BQ38" s="20">
        <f>IF(VLOOKUP($R38,武学奇术!$A:$ZZ,22,FALSE)=1,0,(1-$BJ38))*(1-$BM38)</f>
        <v>0.09580389</v>
      </c>
      <c r="BR38" s="20" cm="1">
        <f t="array" ref="BR38">SUM(_xlfn.XLOOKUP(S38:AG38,增益!$A:$A,增益!$W:$W,0))+$I$5</f>
        <v>0.11</v>
      </c>
    </row>
    <row r="39" spans="5:70">
      <c r="E39" s="4"/>
      <c r="F39" s="4"/>
      <c r="K39" s="27">
        <f>$L39*VLOOKUP($R39,武学奇术!$A:$ZZ,31,FALSE)</f>
        <v>1011409.08847428</v>
      </c>
      <c r="L39" s="27">
        <f t="shared" si="12"/>
        <v>1011409.08847428</v>
      </c>
      <c r="M39" s="27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871921.005259084</v>
      </c>
      <c r="N39" s="27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1424664.87605956</v>
      </c>
      <c r="O39" s="27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581280.670172723</v>
      </c>
      <c r="P39" s="27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273257.422705272</v>
      </c>
      <c r="Q39" s="35">
        <v>1</v>
      </c>
      <c r="R39" s="36" t="s">
        <v>151</v>
      </c>
      <c r="S39" s="36" t="s">
        <v>152</v>
      </c>
      <c r="T39" s="36" t="s">
        <v>93</v>
      </c>
      <c r="U39" s="36" t="s">
        <v>71</v>
      </c>
      <c r="V39" s="36" t="s">
        <v>71</v>
      </c>
      <c r="W39" s="36" t="s">
        <v>111</v>
      </c>
      <c r="X39" s="36" t="s">
        <v>71</v>
      </c>
      <c r="Y39" s="36" t="s">
        <v>153</v>
      </c>
      <c r="Z39" s="36" t="s">
        <v>82</v>
      </c>
      <c r="AA39" s="36" t="s">
        <v>71</v>
      </c>
      <c r="AB39" s="36" t="s">
        <v>71</v>
      </c>
      <c r="AC39" s="36" t="s">
        <v>71</v>
      </c>
      <c r="AD39" s="36" t="s">
        <v>72</v>
      </c>
      <c r="AE39" s="36" t="s">
        <v>94</v>
      </c>
      <c r="AF39" s="36" t="s">
        <v>154</v>
      </c>
      <c r="AG39" s="36" t="s">
        <v>120</v>
      </c>
      <c r="AH39" t="str">
        <f>VLOOKUP($R39,武学奇术!$A:$ZZ,25,FALSE)</f>
        <v>单体奇术</v>
      </c>
      <c r="AI39" s="20">
        <f>VLOOKUP($R39,武学奇术!$A:$ZZ,26,FALSE)</f>
        <v>25.200406</v>
      </c>
      <c r="AJ39" s="21">
        <f>VLOOKUP($R39,武学奇术!$A:$ZZ,27,FALSE)*(1+IF(OR($AH39=$F$4,$AH39=$F$5),$B$22,0))</f>
        <v>4695.46</v>
      </c>
      <c r="AK39" s="20">
        <f>VLOOKUP($R39,武学奇术!$A:$ZZ,28,FALSE)</f>
        <v>37.800609</v>
      </c>
      <c r="AL39" s="21">
        <f>VLOOKUP($R39,武学奇术!$A:$ZZ,29,FALSE)*(1+IF(OR($AH39=$F$4,$AH39=$F$5),$B$22,0))</f>
        <v>0</v>
      </c>
      <c r="AM39" s="20" cm="1">
        <f t="array" ref="AM39">$G$3+IFERROR(VLOOKUP($AH39,$F$4:$G$7,2,FALSE),0)+VLOOKUP($R39,武学奇术!$A:$ZZ,2,FALSE)+SUM(_xlfn.XLOOKUP($S39:$AG39,增益!$A:$A,增益!$B:$B,0))</f>
        <v>1.3865</v>
      </c>
      <c r="AN39" s="20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1585.72</v>
      </c>
      <c r="AP39" cm="1">
        <f t="array" ref="AP39">$E$10*(1+$AN39)+VLOOKUP($R39,武学奇术!$A:$ZZ,4,FALSE)+SUM(_xlfn.XLOOKUP($S39:$AG39,增益!$A:$A,增益!$D:$D,0))-$I$2</f>
        <v>6696.76</v>
      </c>
      <c r="AQ39" s="29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0.3425</v>
      </c>
      <c r="AR39" s="29" cm="1">
        <f t="array" ref="AR39">$G$10+VLOOKUP($R39,武学奇术!$A:$ZZ,7,FALSE)+SUM(_xlfn.XLOOKUP(S39:AG39,增益!$A:$A,增益!$G:$G,0))</f>
        <v>0</v>
      </c>
      <c r="AS39" s="20" cm="1">
        <f t="array" ref="AS39">VLOOKUP($R39,武学奇术!$A:$ZZ,8,FALSE)+SUM(_xlfn.XLOOKUP(S39:AG39,增益!$A:$A,增益!$H:$H,0))</f>
        <v>0</v>
      </c>
      <c r="AT39">
        <f t="shared" si="1"/>
        <v>538</v>
      </c>
      <c r="AU39">
        <f t="shared" si="2"/>
        <v>1011</v>
      </c>
      <c r="AV39" s="29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0.08</v>
      </c>
      <c r="AW39" s="29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29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-0.14</v>
      </c>
      <c r="BA39" s="29" cm="1">
        <f t="array" ref="BA39">$G$12+VLOOKUP($R39,武学奇术!$A:$ZZ,12,FALSE)+SUM(_xlfn.XLOOKUP(S39:AG39,增益!$A:$A,增益!$L:$L,0))</f>
        <v>0</v>
      </c>
      <c r="BB39">
        <f t="shared" si="13"/>
        <v>0</v>
      </c>
      <c r="BC39">
        <f t="shared" si="14"/>
        <v>0</v>
      </c>
      <c r="BD39" s="29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-0.14</v>
      </c>
      <c r="BE39" s="29" cm="1">
        <f t="array" ref="BE39">$G$13+VLOOKUP($R39,武学奇术!$A:$ZZ,14,FALSE)+SUM(_xlfn.XLOOKUP(S39:AG39,增益!$A:$A,增益!$N:$N,0))</f>
        <v>0</v>
      </c>
      <c r="BF39">
        <f t="shared" si="15"/>
        <v>0</v>
      </c>
      <c r="BG39">
        <f t="shared" si="16"/>
        <v>0</v>
      </c>
      <c r="BH39" s="29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-0.14</v>
      </c>
      <c r="BI39" s="29" cm="1">
        <f t="array" ref="BI39">$G$14+VLOOKUP($R39,武学奇术!$A:$ZZ,16,FALSE)+SUM(_xlfn.XLOOKUP(S39:AG39,增益!$A:$A,增益!$P:$P,0))</f>
        <v>0</v>
      </c>
      <c r="BJ39" s="20">
        <f>MIN(IF(VLOOKUP($R39,武学奇术!$A:$ZZ,23,FALSE)=1,100%,$B$8),100%)</f>
        <v>0.8271</v>
      </c>
      <c r="BK39" s="20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0.2249</v>
      </c>
      <c r="BL39" s="20" cm="1">
        <f t="array" ref="BL39">1+$B$13+VLOOKUP($R39,武学奇术!$A:$ZZ,18,FALSE)+SUM(_xlfn.XLOOKUP(S39:AG39,增益!$A:$A,增益!$R:$R,0))</f>
        <v>1.5</v>
      </c>
      <c r="BM39" s="20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0.4459</v>
      </c>
      <c r="BN39" s="20" cm="1">
        <f t="array" ref="BN39">1+$B$14+VLOOKUP($R39,武学奇术!$A:$ZZ,20,FALSE)+SUM(_xlfn.XLOOKUP(S39:AG39,增益!$A:$A,增益!$T:$T,0))</f>
        <v>1.602</v>
      </c>
      <c r="BO39" s="20">
        <f t="shared" si="11"/>
        <v>0.18601479</v>
      </c>
      <c r="BP39" s="20">
        <f t="shared" si="17"/>
        <v>0.36808521</v>
      </c>
      <c r="BQ39" s="20">
        <f>IF(VLOOKUP($R39,武学奇术!$A:$ZZ,22,FALSE)=1,0,(1-$BJ39))*(1-$BM39)</f>
        <v>0</v>
      </c>
      <c r="BR39" s="20" cm="1">
        <f t="array" ref="BR39">SUM(_xlfn.XLOOKUP(S39:AG39,增益!$A:$A,增益!$W:$W,0))+$I$5</f>
        <v>0.31</v>
      </c>
    </row>
    <row r="40" spans="5:70">
      <c r="K40" s="27">
        <f>$L40*VLOOKUP($R40,武学奇术!$A:$ZZ,31,FALSE)</f>
        <v>35579.7138277003</v>
      </c>
      <c r="L40" s="27">
        <f t="shared" si="12"/>
        <v>35579.7138277003</v>
      </c>
      <c r="M40" s="27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32131.9512177183</v>
      </c>
      <c r="N40" s="27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50934.2763850235</v>
      </c>
      <c r="O40" s="27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21421.3008118122</v>
      </c>
      <c r="P40" s="27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11048.4216080043</v>
      </c>
      <c r="Q40" s="35">
        <v>1</v>
      </c>
      <c r="R40" s="36" t="s">
        <v>92</v>
      </c>
      <c r="S40" s="36" t="s">
        <v>152</v>
      </c>
      <c r="T40" s="36" t="s">
        <v>93</v>
      </c>
      <c r="U40" s="36" t="s">
        <v>71</v>
      </c>
      <c r="V40" s="36" t="s">
        <v>71</v>
      </c>
      <c r="W40" s="36" t="s">
        <v>111</v>
      </c>
      <c r="X40" s="36" t="s">
        <v>71</v>
      </c>
      <c r="Y40" s="36" t="s">
        <v>153</v>
      </c>
      <c r="Z40" s="36" t="s">
        <v>82</v>
      </c>
      <c r="AA40" s="36" t="s">
        <v>71</v>
      </c>
      <c r="AB40" s="36" t="s">
        <v>71</v>
      </c>
      <c r="AC40" s="36" t="s">
        <v>71</v>
      </c>
      <c r="AD40" s="36" t="s">
        <v>72</v>
      </c>
      <c r="AE40" s="36" t="s">
        <v>94</v>
      </c>
      <c r="AF40" s="36" t="s">
        <v>154</v>
      </c>
      <c r="AG40" s="36" t="s">
        <v>120</v>
      </c>
      <c r="AH40" t="str">
        <f>VLOOKUP($R40,武学奇术!$A:$ZZ,25,FALSE)</f>
        <v>剑</v>
      </c>
      <c r="AI40" s="20">
        <f>VLOOKUP($R40,武学奇术!$A:$ZZ,26,FALSE)</f>
        <v>1.1781</v>
      </c>
      <c r="AJ40" s="21">
        <f>VLOOKUP($R40,武学奇术!$A:$ZZ,27,FALSE)*(1+IF(OR($AH40=$F$4,$AH40=$F$5),$B$22,0))</f>
        <v>456.4</v>
      </c>
      <c r="AK40" s="20">
        <f>VLOOKUP($R40,武学奇术!$A:$ZZ,28,FALSE)</f>
        <v>1.7672</v>
      </c>
      <c r="AL40" s="21">
        <f>VLOOKUP($R40,武学奇术!$A:$ZZ,29,FALSE)*(1+IF(OR($AH40=$F$4,$AH40=$F$5),$B$22,0))</f>
        <v>247.8</v>
      </c>
      <c r="AM40" s="20" cm="1">
        <f t="array" ref="AM40">$G$3+IFERROR(VLOOKUP($AH40,$F$4:$G$7,2,FALSE),0)+VLOOKUP($R40,武学奇术!$A:$ZZ,2,FALSE)+SUM(_xlfn.XLOOKUP($S40:$AG40,增益!$A:$A,增益!$B:$B,0))</f>
        <v>0.7191</v>
      </c>
      <c r="AN40" s="20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1585.72</v>
      </c>
      <c r="AP40" cm="1">
        <f t="array" ref="AP40">$E$10*(1+$AN40)+VLOOKUP($R40,武学奇术!$A:$ZZ,4,FALSE)+SUM(_xlfn.XLOOKUP($S40:$AG40,增益!$A:$A,增益!$D:$D,0))-$I$2</f>
        <v>6696.76</v>
      </c>
      <c r="AQ40" s="29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0.3425</v>
      </c>
      <c r="AR40" s="29" cm="1">
        <f t="array" ref="AR40">$G$10+VLOOKUP($R40,武学奇术!$A:$ZZ,7,FALSE)+SUM(_xlfn.XLOOKUP(S40:AG40,增益!$A:$A,增益!$G:$G,0))</f>
        <v>0</v>
      </c>
      <c r="AS40" s="20" cm="1">
        <f t="array" ref="AS40">VLOOKUP($R40,武学奇术!$A:$ZZ,8,FALSE)+SUM(_xlfn.XLOOKUP(S40:AG40,增益!$A:$A,增益!$H:$H,0))</f>
        <v>0</v>
      </c>
      <c r="AT40">
        <f t="shared" si="1"/>
        <v>538</v>
      </c>
      <c r="AU40">
        <f t="shared" si="2"/>
        <v>1011</v>
      </c>
      <c r="AV40" s="29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0.08</v>
      </c>
      <c r="AW40" s="29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29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-0.14</v>
      </c>
      <c r="BA40" s="29" cm="1">
        <f t="array" ref="BA40">$G$12+VLOOKUP($R40,武学奇术!$A:$ZZ,12,FALSE)+SUM(_xlfn.XLOOKUP(S40:AG40,增益!$A:$A,增益!$L:$L,0))</f>
        <v>0</v>
      </c>
      <c r="BB40">
        <f t="shared" si="13"/>
        <v>0</v>
      </c>
      <c r="BC40">
        <f t="shared" si="14"/>
        <v>0</v>
      </c>
      <c r="BD40" s="29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-0.14</v>
      </c>
      <c r="BE40" s="29" cm="1">
        <f t="array" ref="BE40">$G$13+VLOOKUP($R40,武学奇术!$A:$ZZ,14,FALSE)+SUM(_xlfn.XLOOKUP(S40:AG40,增益!$A:$A,增益!$N:$N,0))</f>
        <v>0</v>
      </c>
      <c r="BF40">
        <f t="shared" si="15"/>
        <v>0</v>
      </c>
      <c r="BG40">
        <f t="shared" si="16"/>
        <v>0</v>
      </c>
      <c r="BH40" s="29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-0.14</v>
      </c>
      <c r="BI40" s="29" cm="1">
        <f t="array" ref="BI40">$G$14+VLOOKUP($R40,武学奇术!$A:$ZZ,16,FALSE)+SUM(_xlfn.XLOOKUP(S40:AG40,增益!$A:$A,增益!$P:$P,0))</f>
        <v>0</v>
      </c>
      <c r="BJ40" s="20">
        <f>MIN(IF(VLOOKUP($R40,武学奇术!$A:$ZZ,23,FALSE)=1,100%,$B$8),100%)</f>
        <v>0.8271</v>
      </c>
      <c r="BK40" s="20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0.2249</v>
      </c>
      <c r="BL40" s="20" cm="1">
        <f t="array" ref="BL40">1+$B$13+VLOOKUP($R40,武学奇术!$A:$ZZ,18,FALSE)+SUM(_xlfn.XLOOKUP(S40:AG40,增益!$A:$A,增益!$R:$R,0))</f>
        <v>1.5</v>
      </c>
      <c r="BM40" s="20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0.4459</v>
      </c>
      <c r="BN40" s="20" cm="1">
        <f t="array" ref="BN40">1+$B$14+VLOOKUP($R40,武学奇术!$A:$ZZ,20,FALSE)+SUM(_xlfn.XLOOKUP(S40:AG40,增益!$A:$A,增益!$T:$T,0))</f>
        <v>1.602</v>
      </c>
      <c r="BO40" s="20">
        <f t="shared" si="11"/>
        <v>0.18601479</v>
      </c>
      <c r="BP40" s="20">
        <f t="shared" si="17"/>
        <v>0.27228132</v>
      </c>
      <c r="BQ40" s="20">
        <f>IF(VLOOKUP($R40,武学奇术!$A:$ZZ,22,FALSE)=1,0,(1-$BJ40))*(1-$BM40)</f>
        <v>0.09580389</v>
      </c>
      <c r="BR40" s="20" cm="1">
        <f t="array" ref="BR40">SUM(_xlfn.XLOOKUP(S40:AG40,增益!$A:$A,增益!$W:$W,0))+$I$5</f>
        <v>0.31</v>
      </c>
    </row>
    <row r="41" spans="5:70">
      <c r="K41" s="27">
        <f>$L41*VLOOKUP($R41,武学奇术!$A:$ZZ,31,FALSE)</f>
        <v>133109.334512433</v>
      </c>
      <c r="L41" s="27">
        <f t="shared" si="12"/>
        <v>221848.890854055</v>
      </c>
      <c r="M41" s="27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120648.509932871</v>
      </c>
      <c r="N41" s="27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221848.890854055</v>
      </c>
      <c r="O41" s="27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80432.3399552475</v>
      </c>
      <c r="P41" s="27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36370.352831901</v>
      </c>
      <c r="Q41" s="35">
        <v>1</v>
      </c>
      <c r="R41" s="36" t="s">
        <v>98</v>
      </c>
      <c r="S41" s="36" t="s">
        <v>152</v>
      </c>
      <c r="T41" s="36" t="s">
        <v>99</v>
      </c>
      <c r="U41" s="36" t="s">
        <v>100</v>
      </c>
      <c r="V41" s="36" t="s">
        <v>101</v>
      </c>
      <c r="W41" s="36" t="s">
        <v>111</v>
      </c>
      <c r="X41" s="36" t="s">
        <v>71</v>
      </c>
      <c r="Y41" s="36" t="s">
        <v>153</v>
      </c>
      <c r="Z41" s="36" t="s">
        <v>82</v>
      </c>
      <c r="AA41" s="36" t="s">
        <v>71</v>
      </c>
      <c r="AB41" s="36" t="s">
        <v>71</v>
      </c>
      <c r="AC41" s="36" t="s">
        <v>71</v>
      </c>
      <c r="AD41" s="36" t="s">
        <v>72</v>
      </c>
      <c r="AE41" s="36" t="s">
        <v>94</v>
      </c>
      <c r="AF41" s="36" t="s">
        <v>154</v>
      </c>
      <c r="AG41" s="36" t="s">
        <v>120</v>
      </c>
      <c r="AH41" t="str">
        <f>VLOOKUP($R41,武学奇术!$A:$ZZ,25,FALSE)</f>
        <v>剑</v>
      </c>
      <c r="AI41" s="20">
        <f>VLOOKUP($R41,武学奇术!$A:$ZZ,26,FALSE)</f>
        <v>2.496</v>
      </c>
      <c r="AJ41" s="21">
        <f>VLOOKUP($R41,武学奇术!$A:$ZZ,27,FALSE)*(1+IF(OR($AH41=$F$4,$AH41=$F$5),$B$22,0))</f>
        <v>0</v>
      </c>
      <c r="AK41" s="20">
        <f>VLOOKUP($R41,武学奇术!$A:$ZZ,28,FALSE)</f>
        <v>3.744</v>
      </c>
      <c r="AL41" s="21">
        <f>VLOOKUP($R41,武学奇术!$A:$ZZ,29,FALSE)*(1+IF(OR($AH41=$F$4,$AH41=$F$5),$B$22,0))</f>
        <v>0</v>
      </c>
      <c r="AM41" s="20" cm="1">
        <f t="array" ref="AM41">$G$3+IFERROR(VLOOKUP($AH41,$F$4:$G$7,2,FALSE),0)+VLOOKUP($R41,武学奇术!$A:$ZZ,2,FALSE)+SUM(_xlfn.XLOOKUP($S41:$AG41,增益!$A:$A,增益!$B:$B,0))</f>
        <v>1.4691</v>
      </c>
      <c r="AN41" s="20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1585.72</v>
      </c>
      <c r="AP41" cm="1">
        <f t="array" ref="AP41">$E$10*(1+$AN41)+VLOOKUP($R41,武学奇术!$A:$ZZ,4,FALSE)+SUM(_xlfn.XLOOKUP($S41:$AG41,增益!$A:$A,增益!$D:$D,0))-$I$2</f>
        <v>6696.76</v>
      </c>
      <c r="AQ41" s="29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0.4175</v>
      </c>
      <c r="AR41" s="29" cm="1">
        <f t="array" ref="AR41">$G$10+VLOOKUP($R41,武学奇术!$A:$ZZ,7,FALSE)+SUM(_xlfn.XLOOKUP(S41:AG41,增益!$A:$A,增益!$G:$G,0))</f>
        <v>0</v>
      </c>
      <c r="AS41" s="20" cm="1">
        <f t="array" ref="AS41">VLOOKUP($R41,武学奇术!$A:$ZZ,8,FALSE)+SUM(_xlfn.XLOOKUP(S41:AG41,增益!$A:$A,增益!$H:$H,0))</f>
        <v>0</v>
      </c>
      <c r="AT41">
        <f t="shared" si="1"/>
        <v>538</v>
      </c>
      <c r="AU41">
        <f t="shared" si="2"/>
        <v>1011</v>
      </c>
      <c r="AV41" s="29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0.155</v>
      </c>
      <c r="AW41" s="29" cm="1">
        <f t="array" ref="AW41">$G$11+VLOOKUP($R41,武学奇术!$A:$ZZ,10,FALSE)+SUM(_xlfn.XLOOKUP(S41:AG41,增益!$A:$A,增益!$J:$J,0))</f>
        <v>0.25</v>
      </c>
      <c r="AX41">
        <f t="shared" si="3"/>
        <v>0</v>
      </c>
      <c r="AY41">
        <f t="shared" si="4"/>
        <v>0</v>
      </c>
      <c r="AZ41" s="29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-0.14</v>
      </c>
      <c r="BA41" s="29" cm="1">
        <f t="array" ref="BA41">$G$12+VLOOKUP($R41,武学奇术!$A:$ZZ,12,FALSE)+SUM(_xlfn.XLOOKUP(S41:AG41,增益!$A:$A,增益!$L:$L,0))</f>
        <v>0</v>
      </c>
      <c r="BB41">
        <f t="shared" si="13"/>
        <v>0</v>
      </c>
      <c r="BC41">
        <f t="shared" si="14"/>
        <v>0</v>
      </c>
      <c r="BD41" s="29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-0.14</v>
      </c>
      <c r="BE41" s="29" cm="1">
        <f t="array" ref="BE41">$G$13+VLOOKUP($R41,武学奇术!$A:$ZZ,14,FALSE)+SUM(_xlfn.XLOOKUP(S41:AG41,增益!$A:$A,增益!$N:$N,0))</f>
        <v>0</v>
      </c>
      <c r="BF41">
        <f t="shared" si="15"/>
        <v>0</v>
      </c>
      <c r="BG41">
        <f t="shared" si="16"/>
        <v>0</v>
      </c>
      <c r="BH41" s="29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-0.14</v>
      </c>
      <c r="BI41" s="29" cm="1">
        <f t="array" ref="BI41">$G$14+VLOOKUP($R41,武学奇术!$A:$ZZ,16,FALSE)+SUM(_xlfn.XLOOKUP(S41:AG41,增益!$A:$A,增益!$P:$P,0))</f>
        <v>0</v>
      </c>
      <c r="BJ41" s="20">
        <f>MIN(IF(VLOOKUP($R41,武学奇术!$A:$ZZ,23,FALSE)=1,100%,$B$8),100%)</f>
        <v>0.8271</v>
      </c>
      <c r="BK41" s="20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</v>
      </c>
      <c r="BL41" s="20" cm="1">
        <f t="array" ref="BL41">1+$B$13+VLOOKUP($R41,武学奇术!$A:$ZZ,18,FALSE)+SUM(_xlfn.XLOOKUP(S41:AG41,增益!$A:$A,增益!$R:$R,0))</f>
        <v>1.5</v>
      </c>
      <c r="BM41" s="20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1</v>
      </c>
      <c r="BN41" s="20" cm="1">
        <f t="array" ref="BN41">1+$B$14+VLOOKUP($R41,武学奇术!$A:$ZZ,20,FALSE)+SUM(_xlfn.XLOOKUP(S41:AG41,增益!$A:$A,增益!$T:$T,0))</f>
        <v>1.782</v>
      </c>
      <c r="BO41" s="20">
        <f t="shared" si="11"/>
        <v>0</v>
      </c>
      <c r="BP41" s="20">
        <f t="shared" si="17"/>
        <v>0</v>
      </c>
      <c r="BQ41" s="20">
        <f>IF(VLOOKUP($R41,武学奇术!$A:$ZZ,22,FALSE)=1,0,(1-$BJ41))*(1-$BM41)</f>
        <v>0</v>
      </c>
      <c r="BR41" s="20" cm="1">
        <f t="array" ref="BR41">SUM(_xlfn.XLOOKUP(S41:AG41,增益!$A:$A,增益!$W:$W,0))+$I$5</f>
        <v>0.31</v>
      </c>
    </row>
    <row r="42" spans="5:70">
      <c r="K42" s="27">
        <f>$L42*VLOOKUP($R42,武学奇术!$A:$ZZ,31,FALSE)</f>
        <v>16982.9199902674</v>
      </c>
      <c r="L42" s="27">
        <f t="shared" si="12"/>
        <v>16982.9199902674</v>
      </c>
      <c r="M42" s="27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14961.2164293316</v>
      </c>
      <c r="N42" s="27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24794.3072741673</v>
      </c>
      <c r="O42" s="27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9974.14428622106</v>
      </c>
      <c r="P42" s="27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4471.1928956835</v>
      </c>
      <c r="Q42" s="35">
        <v>1</v>
      </c>
      <c r="R42" s="36" t="s">
        <v>107</v>
      </c>
      <c r="S42" s="36" t="s">
        <v>152</v>
      </c>
      <c r="T42" s="36" t="s">
        <v>93</v>
      </c>
      <c r="U42" s="36" t="s">
        <v>71</v>
      </c>
      <c r="V42" s="36" t="s">
        <v>71</v>
      </c>
      <c r="W42" s="36" t="s">
        <v>71</v>
      </c>
      <c r="X42" s="36" t="s">
        <v>71</v>
      </c>
      <c r="Y42" s="36" t="s">
        <v>153</v>
      </c>
      <c r="Z42" s="36" t="s">
        <v>82</v>
      </c>
      <c r="AA42" s="36" t="s">
        <v>71</v>
      </c>
      <c r="AB42" s="36" t="s">
        <v>71</v>
      </c>
      <c r="AC42" s="36" t="s">
        <v>71</v>
      </c>
      <c r="AD42" s="36" t="s">
        <v>72</v>
      </c>
      <c r="AE42" s="36" t="s">
        <v>94</v>
      </c>
      <c r="AF42" s="36" t="s">
        <v>154</v>
      </c>
      <c r="AG42" s="36" t="s">
        <v>120</v>
      </c>
      <c r="AH42" t="str">
        <f>VLOOKUP($R42,武学奇术!$A:$ZZ,25,FALSE)</f>
        <v>剑</v>
      </c>
      <c r="AI42" s="20">
        <f>VLOOKUP($R42,武学奇术!$A:$ZZ,26,FALSE)</f>
        <v>0.625</v>
      </c>
      <c r="AJ42" s="21">
        <f>VLOOKUP($R42,武学奇术!$A:$ZZ,27,FALSE)*(1+IF(OR($AH42=$F$4,$AH42=$F$5),$B$22,0))</f>
        <v>0</v>
      </c>
      <c r="AK42" s="20">
        <f>VLOOKUP($R42,武学奇术!$A:$ZZ,28,FALSE)</f>
        <v>0.9375</v>
      </c>
      <c r="AL42" s="21">
        <f>VLOOKUP($R42,武学奇术!$A:$ZZ,29,FALSE)*(1+IF(OR($AH42=$F$4,$AH42=$F$5),$B$22,0))</f>
        <v>0</v>
      </c>
      <c r="AM42" s="20" cm="1">
        <f t="array" ref="AM42">$G$3+IFERROR(VLOOKUP($AH42,$F$4:$G$7,2,FALSE),0)+VLOOKUP($R42,武学奇术!$A:$ZZ,2,FALSE)+SUM(_xlfn.XLOOKUP($S42:$AG42,增益!$A:$A,增益!$B:$B,0))</f>
        <v>0.7191</v>
      </c>
      <c r="AN42" s="20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1554.72</v>
      </c>
      <c r="AP42" cm="1">
        <f t="array" ref="AP42">$E$10*(1+$AN42)+VLOOKUP($R42,武学奇术!$A:$ZZ,4,FALSE)+SUM(_xlfn.XLOOKUP($S42:$AG42,增益!$A:$A,增益!$D:$D,0))-$I$2</f>
        <v>6665.76</v>
      </c>
      <c r="AQ42" s="29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0.3425</v>
      </c>
      <c r="AR42" s="29" cm="1">
        <f t="array" ref="AR42">$G$10+VLOOKUP($R42,武学奇术!$A:$ZZ,7,FALSE)+SUM(_xlfn.XLOOKUP(S42:AG42,增益!$A:$A,增益!$G:$G,0))</f>
        <v>0</v>
      </c>
      <c r="AS42" s="20" cm="1">
        <f t="array" ref="AS42">VLOOKUP($R42,武学奇术!$A:$ZZ,8,FALSE)+SUM(_xlfn.XLOOKUP(S42:AG42,增益!$A:$A,增益!$H:$H,0))</f>
        <v>0</v>
      </c>
      <c r="AT42">
        <f t="shared" si="1"/>
        <v>538</v>
      </c>
      <c r="AU42">
        <f t="shared" si="2"/>
        <v>1011</v>
      </c>
      <c r="AV42" s="29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0.08</v>
      </c>
      <c r="AW42" s="29" cm="1">
        <f t="array" ref="AW42">$G$11+VLOOKUP($R42,武学奇术!$A:$ZZ,10,FALSE)+SUM(_xlfn.XLOOKUP(S42:AG42,增益!$A:$A,增益!$J:$J,0))</f>
        <v>0.25</v>
      </c>
      <c r="AX42">
        <f t="shared" si="3"/>
        <v>0</v>
      </c>
      <c r="AY42">
        <f t="shared" si="4"/>
        <v>0</v>
      </c>
      <c r="AZ42" s="29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-0.14</v>
      </c>
      <c r="BA42" s="29" cm="1">
        <f t="array" ref="BA42">$G$12+VLOOKUP($R42,武学奇术!$A:$ZZ,12,FALSE)+SUM(_xlfn.XLOOKUP(S42:AG42,增益!$A:$A,增益!$L:$L,0))</f>
        <v>0</v>
      </c>
      <c r="BB42">
        <f t="shared" si="13"/>
        <v>0</v>
      </c>
      <c r="BC42">
        <f t="shared" si="14"/>
        <v>0</v>
      </c>
      <c r="BD42" s="29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-0.14</v>
      </c>
      <c r="BE42" s="29" cm="1">
        <f t="array" ref="BE42">$G$13+VLOOKUP($R42,武学奇术!$A:$ZZ,14,FALSE)+SUM(_xlfn.XLOOKUP(S42:AG42,增益!$A:$A,增益!$N:$N,0))</f>
        <v>0</v>
      </c>
      <c r="BF42">
        <f t="shared" si="15"/>
        <v>0</v>
      </c>
      <c r="BG42">
        <f t="shared" si="16"/>
        <v>0</v>
      </c>
      <c r="BH42" s="29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-0.14</v>
      </c>
      <c r="BI42" s="29" cm="1">
        <f t="array" ref="BI42">$G$14+VLOOKUP($R42,武学奇术!$A:$ZZ,16,FALSE)+SUM(_xlfn.XLOOKUP(S42:AG42,增益!$A:$A,增益!$P:$P,0))</f>
        <v>0</v>
      </c>
      <c r="BJ42" s="20">
        <f>MIN(IF(VLOOKUP($R42,武学奇术!$A:$ZZ,23,FALSE)=1,100%,$B$8),100%)</f>
        <v>0.8271</v>
      </c>
      <c r="BK42" s="20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0.2249</v>
      </c>
      <c r="BL42" s="20" cm="1">
        <f t="array" ref="BL42">1+$B$13+VLOOKUP($R42,武学奇术!$A:$ZZ,18,FALSE)+SUM(_xlfn.XLOOKUP(S42:AG42,增益!$A:$A,增益!$R:$R,0))</f>
        <v>1.5</v>
      </c>
      <c r="BM42" s="20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0.4459</v>
      </c>
      <c r="BN42" s="20" cm="1">
        <f t="array" ref="BN42">1+$B$14+VLOOKUP($R42,武学奇术!$A:$ZZ,20,FALSE)+SUM(_xlfn.XLOOKUP(S42:AG42,增益!$A:$A,增益!$T:$T,0))</f>
        <v>1.602</v>
      </c>
      <c r="BO42" s="20">
        <f t="shared" si="11"/>
        <v>0.18601479</v>
      </c>
      <c r="BP42" s="20">
        <f t="shared" si="17"/>
        <v>0.27228132</v>
      </c>
      <c r="BQ42" s="20">
        <f>IF(VLOOKUP($R42,武学奇术!$A:$ZZ,22,FALSE)=1,0,(1-$BJ42))*(1-$BM42)</f>
        <v>0.09580389</v>
      </c>
      <c r="BR42" s="20" cm="1">
        <f t="array" ref="BR42">SUM(_xlfn.XLOOKUP(S42:AG42,增益!$A:$A,增益!$W:$W,0))+$I$5</f>
        <v>0.31</v>
      </c>
    </row>
    <row r="43" spans="5:70">
      <c r="K43" s="27">
        <f>$L43*VLOOKUP($R43,武学奇术!$A:$ZZ,31,FALSE)</f>
        <v>61134.0396707996</v>
      </c>
      <c r="L43" s="27">
        <f t="shared" si="12"/>
        <v>61134.0396707996</v>
      </c>
      <c r="M43" s="27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55151.3154775889</v>
      </c>
      <c r="N43" s="27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87591.9480261837</v>
      </c>
      <c r="O43" s="27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36767.5436517259</v>
      </c>
      <c r="P43" s="27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18858.465564261</v>
      </c>
      <c r="Q43" s="35">
        <v>1</v>
      </c>
      <c r="R43" s="36" t="s">
        <v>88</v>
      </c>
      <c r="S43" s="36" t="s">
        <v>152</v>
      </c>
      <c r="T43" s="36" t="s">
        <v>93</v>
      </c>
      <c r="U43" s="36" t="s">
        <v>71</v>
      </c>
      <c r="V43" s="36" t="s">
        <v>71</v>
      </c>
      <c r="W43" s="36" t="s">
        <v>71</v>
      </c>
      <c r="X43" s="36" t="s">
        <v>71</v>
      </c>
      <c r="Y43" s="36" t="s">
        <v>153</v>
      </c>
      <c r="Z43" s="36" t="s">
        <v>82</v>
      </c>
      <c r="AA43" s="36" t="s">
        <v>71</v>
      </c>
      <c r="AB43" s="36" t="s">
        <v>71</v>
      </c>
      <c r="AC43" s="36" t="s">
        <v>71</v>
      </c>
      <c r="AD43" s="36" t="s">
        <v>72</v>
      </c>
      <c r="AE43" s="36" t="s">
        <v>94</v>
      </c>
      <c r="AF43" s="36" t="s">
        <v>154</v>
      </c>
      <c r="AG43" s="36" t="s">
        <v>120</v>
      </c>
      <c r="AH43" t="str">
        <f>VLOOKUP($R43,武学奇术!$A:$ZZ,25,FALSE)</f>
        <v>枪</v>
      </c>
      <c r="AI43" s="20">
        <f>VLOOKUP($R43,武学奇术!$A:$ZZ,26,FALSE)</f>
        <v>2.1401</v>
      </c>
      <c r="AJ43" s="21">
        <f>VLOOKUP($R43,武学奇术!$A:$ZZ,27,FALSE)*(1+IF(OR($AH43=$F$4,$AH43=$F$5),$B$22,0))</f>
        <v>823.2</v>
      </c>
      <c r="AK43" s="20">
        <f>VLOOKUP($R43,武学奇术!$A:$ZZ,28,FALSE)</f>
        <v>3.2101</v>
      </c>
      <c r="AL43" s="21">
        <f>VLOOKUP($R43,武学奇术!$A:$ZZ,29,FALSE)*(1+IF(OR($AH43=$F$4,$AH43=$F$5),$B$22,0))</f>
        <v>448</v>
      </c>
      <c r="AM43" s="20" cm="1">
        <f t="array" ref="AM43">$G$3+IFERROR(VLOOKUP($AH43,$F$4:$G$7,2,FALSE),0)+VLOOKUP($R43,武学奇术!$A:$ZZ,2,FALSE)+SUM(_xlfn.XLOOKUP($S43:$AG43,增益!$A:$A,增益!$B:$B,0))</f>
        <v>0.6339</v>
      </c>
      <c r="AN43" s="20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1554.72</v>
      </c>
      <c r="AP43" cm="1">
        <f t="array" ref="AP43">$E$10*(1+$AN43)+VLOOKUP($R43,武学奇术!$A:$ZZ,4,FALSE)+SUM(_xlfn.XLOOKUP($S43:$AG43,增益!$A:$A,增益!$D:$D,0))-$I$2</f>
        <v>6665.76</v>
      </c>
      <c r="AQ43" s="29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0.3425</v>
      </c>
      <c r="AR43" s="29" cm="1">
        <f t="array" ref="AR43">$G$10+VLOOKUP($R43,武学奇术!$A:$ZZ,7,FALSE)+SUM(_xlfn.XLOOKUP(S43:AG43,增益!$A:$A,增益!$G:$G,0))</f>
        <v>0</v>
      </c>
      <c r="AS43" s="20" cm="1">
        <f t="array" ref="AS43">VLOOKUP($R43,武学奇术!$A:$ZZ,8,FALSE)+SUM(_xlfn.XLOOKUP(S43:AG43,增益!$A:$A,增益!$H:$H,0))</f>
        <v>0</v>
      </c>
      <c r="AT43">
        <f t="shared" si="1"/>
        <v>538</v>
      </c>
      <c r="AU43">
        <f t="shared" si="2"/>
        <v>1011</v>
      </c>
      <c r="AV43" s="29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0.08</v>
      </c>
      <c r="AW43" s="29" cm="1">
        <f t="array" ref="AW43">$G$11+VLOOKUP($R43,武学奇术!$A:$ZZ,10,FALSE)+SUM(_xlfn.XLOOKUP(S43:AG43,增益!$A:$A,增益!$J:$J,0))</f>
        <v>0.25</v>
      </c>
      <c r="AX43">
        <f t="shared" si="3"/>
        <v>0</v>
      </c>
      <c r="AY43">
        <f t="shared" si="4"/>
        <v>0</v>
      </c>
      <c r="AZ43" s="29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-0.14</v>
      </c>
      <c r="BA43" s="29" cm="1">
        <f t="array" ref="BA43">$G$12+VLOOKUP($R43,武学奇术!$A:$ZZ,12,FALSE)+SUM(_xlfn.XLOOKUP(S43:AG43,增益!$A:$A,增益!$L:$L,0))</f>
        <v>0</v>
      </c>
      <c r="BB43">
        <f t="shared" si="13"/>
        <v>0</v>
      </c>
      <c r="BC43">
        <f t="shared" si="14"/>
        <v>0</v>
      </c>
      <c r="BD43" s="29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-0.14</v>
      </c>
      <c r="BE43" s="29" cm="1">
        <f t="array" ref="BE43">$G$13+VLOOKUP($R43,武学奇术!$A:$ZZ,14,FALSE)+SUM(_xlfn.XLOOKUP(S43:AG43,增益!$A:$A,增益!$N:$N,0))</f>
        <v>0</v>
      </c>
      <c r="BF43">
        <f t="shared" si="15"/>
        <v>0</v>
      </c>
      <c r="BG43">
        <f t="shared" si="16"/>
        <v>0</v>
      </c>
      <c r="BH43" s="29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-0.14</v>
      </c>
      <c r="BI43" s="29" cm="1">
        <f t="array" ref="BI43">$G$14+VLOOKUP($R43,武学奇术!$A:$ZZ,16,FALSE)+SUM(_xlfn.XLOOKUP(S43:AG43,增益!$A:$A,增益!$P:$P,0))</f>
        <v>0</v>
      </c>
      <c r="BJ43" s="20">
        <f>MIN(IF(VLOOKUP($R43,武学奇术!$A:$ZZ,23,FALSE)=1,100%,$B$8),100%)</f>
        <v>0.8271</v>
      </c>
      <c r="BK43" s="20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0.2249</v>
      </c>
      <c r="BL43" s="20" cm="1">
        <f t="array" ref="BL43">1+$B$13+VLOOKUP($R43,武学奇术!$A:$ZZ,18,FALSE)+SUM(_xlfn.XLOOKUP(S43:AG43,增益!$A:$A,增益!$R:$R,0))</f>
        <v>1.5</v>
      </c>
      <c r="BM43" s="20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0.4459</v>
      </c>
      <c r="BN43" s="20" cm="1">
        <f t="array" ref="BN43">1+$B$14+VLOOKUP($R43,武学奇术!$A:$ZZ,20,FALSE)+SUM(_xlfn.XLOOKUP(S43:AG43,增益!$A:$A,增益!$T:$T,0))</f>
        <v>1.602</v>
      </c>
      <c r="BO43" s="20">
        <f t="shared" si="11"/>
        <v>0.18601479</v>
      </c>
      <c r="BP43" s="20">
        <f t="shared" si="17"/>
        <v>0.27228132</v>
      </c>
      <c r="BQ43" s="20">
        <f>IF(VLOOKUP($R43,武学奇术!$A:$ZZ,22,FALSE)=1,0,(1-$BJ43))*(1-$BM43)</f>
        <v>0.09580389</v>
      </c>
      <c r="BR43" s="20" cm="1">
        <f t="array" ref="BR43">SUM(_xlfn.XLOOKUP(S43:AG43,增益!$A:$A,增益!$W:$W,0))+$I$5</f>
        <v>0.31</v>
      </c>
    </row>
    <row r="44" spans="5:70">
      <c r="K44" s="27">
        <f>$L44*VLOOKUP($R44,武学奇术!$A:$ZZ,31,FALSE)</f>
        <v>34837.5690820606</v>
      </c>
      <c r="L44" s="27">
        <f t="shared" si="12"/>
        <v>34837.5690820606</v>
      </c>
      <c r="M44" s="27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31378.4163768565</v>
      </c>
      <c r="N44" s="27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49978.7183778068</v>
      </c>
      <c r="O44" s="27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20918.9442512377</v>
      </c>
      <c r="P44" s="27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10640.1866436696</v>
      </c>
      <c r="Q44" s="35">
        <v>1</v>
      </c>
      <c r="R44" s="36" t="s">
        <v>92</v>
      </c>
      <c r="S44" s="36" t="s">
        <v>152</v>
      </c>
      <c r="T44" s="36" t="s">
        <v>93</v>
      </c>
      <c r="U44" s="36" t="s">
        <v>71</v>
      </c>
      <c r="V44" s="36" t="s">
        <v>71</v>
      </c>
      <c r="W44" s="36" t="s">
        <v>71</v>
      </c>
      <c r="X44" s="36" t="s">
        <v>71</v>
      </c>
      <c r="Y44" s="36" t="s">
        <v>153</v>
      </c>
      <c r="Z44" s="36" t="s">
        <v>71</v>
      </c>
      <c r="AA44" s="36" t="s">
        <v>71</v>
      </c>
      <c r="AB44" s="36" t="s">
        <v>71</v>
      </c>
      <c r="AC44" s="36" t="s">
        <v>71</v>
      </c>
      <c r="AD44" s="36" t="s">
        <v>72</v>
      </c>
      <c r="AE44" s="36" t="s">
        <v>94</v>
      </c>
      <c r="AF44" s="36" t="s">
        <v>154</v>
      </c>
      <c r="AG44" s="36" t="s">
        <v>120</v>
      </c>
      <c r="AH44" t="str">
        <f>VLOOKUP($R44,武学奇术!$A:$ZZ,25,FALSE)</f>
        <v>剑</v>
      </c>
      <c r="AI44" s="20">
        <f>VLOOKUP($R44,武学奇术!$A:$ZZ,26,FALSE)</f>
        <v>1.1781</v>
      </c>
      <c r="AJ44" s="21">
        <f>VLOOKUP($R44,武学奇术!$A:$ZZ,27,FALSE)*(1+IF(OR($AH44=$F$4,$AH44=$F$5),$B$22,0))</f>
        <v>456.4</v>
      </c>
      <c r="AK44" s="20">
        <f>VLOOKUP($R44,武学奇术!$A:$ZZ,28,FALSE)</f>
        <v>1.7672</v>
      </c>
      <c r="AL44" s="21">
        <f>VLOOKUP($R44,武学奇术!$A:$ZZ,29,FALSE)*(1+IF(OR($AH44=$F$4,$AH44=$F$5),$B$22,0))</f>
        <v>247.8</v>
      </c>
      <c r="AM44" s="20" cm="1">
        <f t="array" ref="AM44">$G$3+IFERROR(VLOOKUP($AH44,$F$4:$G$7,2,FALSE),0)+VLOOKUP($R44,武学奇术!$A:$ZZ,2,FALSE)+SUM(_xlfn.XLOOKUP($S44:$AG44,增益!$A:$A,增益!$B:$B,0))</f>
        <v>0.7191</v>
      </c>
      <c r="AN44" s="20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1554.72</v>
      </c>
      <c r="AP44" cm="1">
        <f t="array" ref="AP44">$E$10*(1+$AN44)+VLOOKUP($R44,武学奇术!$A:$ZZ,4,FALSE)+SUM(_xlfn.XLOOKUP($S44:$AG44,增益!$A:$A,增益!$D:$D,0))-$I$2</f>
        <v>6665.76</v>
      </c>
      <c r="AQ44" s="29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0.3425</v>
      </c>
      <c r="AR44" s="29" cm="1">
        <f t="array" ref="AR44">$G$10+VLOOKUP($R44,武学奇术!$A:$ZZ,7,FALSE)+SUM(_xlfn.XLOOKUP(S44:AG44,增益!$A:$A,增益!$G:$G,0))</f>
        <v>0</v>
      </c>
      <c r="AS44" s="20" cm="1">
        <f t="array" ref="AS44">VLOOKUP($R44,武学奇术!$A:$ZZ,8,FALSE)+SUM(_xlfn.XLOOKUP(S44:AG44,增益!$A:$A,增益!$H:$H,0))</f>
        <v>0</v>
      </c>
      <c r="AT44">
        <f t="shared" ref="AT44:AT60" si="18">$D$11*(1+$AS44)</f>
        <v>538</v>
      </c>
      <c r="AU44">
        <f t="shared" ref="AU44:AU60" si="19">$E$11*(1+$AS44)</f>
        <v>1011</v>
      </c>
      <c r="AV44" s="29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</v>
      </c>
      <c r="AW44" s="29" cm="1">
        <f t="array" ref="AW44">$G$11+VLOOKUP($R44,武学奇术!$A:$ZZ,10,FALSE)+SUM(_xlfn.XLOOKUP(S44:AG44,增益!$A:$A,增益!$J:$J,0))</f>
        <v>0.25</v>
      </c>
      <c r="AX44">
        <f t="shared" ref="AX44:AX60" si="20">$D$12*(1+$AS44)</f>
        <v>0</v>
      </c>
      <c r="AY44">
        <f t="shared" ref="AY44:AY60" si="21">$E$12*(1+$AS44)</f>
        <v>0</v>
      </c>
      <c r="AZ44" s="29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29" cm="1">
        <f t="array" ref="BA44">$G$12+VLOOKUP($R44,武学奇术!$A:$ZZ,12,FALSE)+SUM(_xlfn.XLOOKUP(S44:AG44,增益!$A:$A,增益!$L:$L,0))</f>
        <v>0</v>
      </c>
      <c r="BB44">
        <f t="shared" si="13"/>
        <v>0</v>
      </c>
      <c r="BC44">
        <f t="shared" si="14"/>
        <v>0</v>
      </c>
      <c r="BD44" s="29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29" cm="1">
        <f t="array" ref="BE44">$G$13+VLOOKUP($R44,武学奇术!$A:$ZZ,14,FALSE)+SUM(_xlfn.XLOOKUP(S44:AG44,增益!$A:$A,增益!$N:$N,0))</f>
        <v>0</v>
      </c>
      <c r="BF44">
        <f t="shared" si="15"/>
        <v>0</v>
      </c>
      <c r="BG44">
        <f t="shared" si="16"/>
        <v>0</v>
      </c>
      <c r="BH44" s="29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29" cm="1">
        <f t="array" ref="BI44">$G$14+VLOOKUP($R44,武学奇术!$A:$ZZ,16,FALSE)+SUM(_xlfn.XLOOKUP(S44:AG44,增益!$A:$A,增益!$P:$P,0))</f>
        <v>0</v>
      </c>
      <c r="BJ44" s="20">
        <f>MIN(IF(VLOOKUP($R44,武学奇术!$A:$ZZ,23,FALSE)=1,100%,$B$8),100%)</f>
        <v>0.8271</v>
      </c>
      <c r="BK44" s="20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0.2249</v>
      </c>
      <c r="BL44" s="20" cm="1">
        <f t="array" ref="BL44">1+$B$13+VLOOKUP($R44,武学奇术!$A:$ZZ,18,FALSE)+SUM(_xlfn.XLOOKUP(S44:AG44,增益!$A:$A,增益!$R:$R,0))</f>
        <v>1.5</v>
      </c>
      <c r="BM44" s="20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0.4459</v>
      </c>
      <c r="BN44" s="20" cm="1">
        <f t="array" ref="BN44">1+$B$14+VLOOKUP($R44,武学奇术!$A:$ZZ,20,FALSE)+SUM(_xlfn.XLOOKUP(S44:AG44,增益!$A:$A,增益!$T:$T,0))</f>
        <v>1.602</v>
      </c>
      <c r="BO44" s="20">
        <f t="shared" si="11"/>
        <v>0.18601479</v>
      </c>
      <c r="BP44" s="20">
        <f t="shared" si="17"/>
        <v>0.27228132</v>
      </c>
      <c r="BQ44" s="20">
        <f>IF(VLOOKUP($R44,武学奇术!$A:$ZZ,22,FALSE)=1,0,(1-$BJ44))*(1-$BM44)</f>
        <v>0.09580389</v>
      </c>
      <c r="BR44" s="20" cm="1">
        <f t="array" ref="BR44">SUM(_xlfn.XLOOKUP(S44:AG44,增益!$A:$A,增益!$W:$W,0))+$I$5</f>
        <v>0.31</v>
      </c>
    </row>
    <row r="45" spans="5:70">
      <c r="K45" s="27">
        <f>$L45*VLOOKUP($R45,武学奇术!$A:$ZZ,31,FALSE)</f>
        <v>86415.1511872304</v>
      </c>
      <c r="L45" s="27">
        <f t="shared" si="12"/>
        <v>144025.251978717</v>
      </c>
      <c r="M45" s="27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118088.989817651</v>
      </c>
      <c r="N45" s="27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218134.493299098</v>
      </c>
      <c r="O45" s="27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78725.9932117674</v>
      </c>
      <c r="P45" s="27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35042.0575239289</v>
      </c>
      <c r="Q45" s="35">
        <v>1</v>
      </c>
      <c r="R45" s="36" t="s">
        <v>105</v>
      </c>
      <c r="S45" s="36" t="s">
        <v>152</v>
      </c>
      <c r="T45" s="36" t="s">
        <v>99</v>
      </c>
      <c r="U45" s="36" t="s">
        <v>100</v>
      </c>
      <c r="V45" s="36" t="s">
        <v>101</v>
      </c>
      <c r="W45" s="36" t="s">
        <v>71</v>
      </c>
      <c r="X45" s="36" t="s">
        <v>71</v>
      </c>
      <c r="Y45" s="36" t="s">
        <v>153</v>
      </c>
      <c r="Z45" s="36" t="s">
        <v>71</v>
      </c>
      <c r="AA45" s="36" t="s">
        <v>71</v>
      </c>
      <c r="AB45" s="36" t="s">
        <v>71</v>
      </c>
      <c r="AC45" s="36" t="s">
        <v>71</v>
      </c>
      <c r="AD45" s="36" t="s">
        <v>72</v>
      </c>
      <c r="AE45" s="36" t="s">
        <v>94</v>
      </c>
      <c r="AF45" s="36" t="s">
        <v>154</v>
      </c>
      <c r="AG45" s="36" t="s">
        <v>120</v>
      </c>
      <c r="AH45" t="str">
        <f>VLOOKUP($R45,武学奇术!$A:$ZZ,25,FALSE)</f>
        <v>剑</v>
      </c>
      <c r="AI45" s="20">
        <f>VLOOKUP($R45,武学奇术!$A:$ZZ,26,FALSE)</f>
        <v>2.496</v>
      </c>
      <c r="AJ45" s="21">
        <f>VLOOKUP($R45,武学奇术!$A:$ZZ,27,FALSE)*(1+IF(OR($AH45=$F$4,$AH45=$F$5),$B$22,0))</f>
        <v>0</v>
      </c>
      <c r="AK45" s="20">
        <f>VLOOKUP($R45,武学奇术!$A:$ZZ,28,FALSE)</f>
        <v>3.744</v>
      </c>
      <c r="AL45" s="21">
        <f>VLOOKUP($R45,武学奇术!$A:$ZZ,29,FALSE)*(1+IF(OR($AH45=$F$4,$AH45=$F$5),$B$22,0))</f>
        <v>0</v>
      </c>
      <c r="AM45" s="20" cm="1">
        <f t="array" ref="AM45">$G$3+IFERROR(VLOOKUP($AH45,$F$4:$G$7,2,FALSE),0)+VLOOKUP($R45,武学奇术!$A:$ZZ,2,FALSE)+SUM(_xlfn.XLOOKUP($S45:$AG45,增益!$A:$A,增益!$B:$B,0))</f>
        <v>1.4691</v>
      </c>
      <c r="AN45" s="20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1554.72</v>
      </c>
      <c r="AP45" cm="1">
        <f t="array" ref="AP45">$E$10*(1+$AN45)+VLOOKUP($R45,武学奇术!$A:$ZZ,4,FALSE)+SUM(_xlfn.XLOOKUP($S45:$AG45,增益!$A:$A,增益!$D:$D,0))-$I$2</f>
        <v>6665.76</v>
      </c>
      <c r="AQ45" s="29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0.4175</v>
      </c>
      <c r="AR45" s="29" cm="1">
        <f t="array" ref="AR45">$G$10+VLOOKUP($R45,武学奇术!$A:$ZZ,7,FALSE)+SUM(_xlfn.XLOOKUP(S45:AG45,增益!$A:$A,增益!$G:$G,0))</f>
        <v>0</v>
      </c>
      <c r="AS45" s="20" cm="1">
        <f t="array" ref="AS45">VLOOKUP($R45,武学奇术!$A:$ZZ,8,FALSE)+SUM(_xlfn.XLOOKUP(S45:AG45,增益!$A:$A,增益!$H:$H,0))</f>
        <v>0</v>
      </c>
      <c r="AT45">
        <f t="shared" si="18"/>
        <v>538</v>
      </c>
      <c r="AU45">
        <f t="shared" si="19"/>
        <v>1011</v>
      </c>
      <c r="AV45" s="29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0.075</v>
      </c>
      <c r="AW45" s="29" cm="1">
        <f t="array" ref="AW45">$G$11+VLOOKUP($R45,武学奇术!$A:$ZZ,10,FALSE)+SUM(_xlfn.XLOOKUP(S45:AG45,增益!$A:$A,增益!$J:$J,0))</f>
        <v>0.25</v>
      </c>
      <c r="AX45">
        <f t="shared" si="20"/>
        <v>0</v>
      </c>
      <c r="AY45">
        <f t="shared" si="21"/>
        <v>0</v>
      </c>
      <c r="AZ45" s="29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29" cm="1">
        <f t="array" ref="BA45">$G$12+VLOOKUP($R45,武学奇术!$A:$ZZ,12,FALSE)+SUM(_xlfn.XLOOKUP(S45:AG45,增益!$A:$A,增益!$L:$L,0))</f>
        <v>0</v>
      </c>
      <c r="BB45">
        <f t="shared" si="13"/>
        <v>0</v>
      </c>
      <c r="BC45">
        <f t="shared" si="14"/>
        <v>0</v>
      </c>
      <c r="BD45" s="29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29" cm="1">
        <f t="array" ref="BE45">$G$13+VLOOKUP($R45,武学奇术!$A:$ZZ,14,FALSE)+SUM(_xlfn.XLOOKUP(S45:AG45,增益!$A:$A,增益!$N:$N,0))</f>
        <v>0</v>
      </c>
      <c r="BF45">
        <f t="shared" si="15"/>
        <v>0</v>
      </c>
      <c r="BG45">
        <f t="shared" si="16"/>
        <v>0</v>
      </c>
      <c r="BH45" s="29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29" cm="1">
        <f t="array" ref="BI45">$G$14+VLOOKUP($R45,武学奇术!$A:$ZZ,16,FALSE)+SUM(_xlfn.XLOOKUP(S45:AG45,增益!$A:$A,增益!$P:$P,0))</f>
        <v>0</v>
      </c>
      <c r="BJ45" s="20">
        <f>MIN(IF(VLOOKUP($R45,武学奇术!$A:$ZZ,23,FALSE)=1,100%,$B$8),100%)</f>
        <v>0.8271</v>
      </c>
      <c r="BK45" s="20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0.2249</v>
      </c>
      <c r="BL45" s="20" cm="1">
        <f t="array" ref="BL45">1+$B$13+VLOOKUP($R45,武学奇术!$A:$ZZ,18,FALSE)+SUM(_xlfn.XLOOKUP(S45:AG45,增益!$A:$A,增益!$R:$R,0))</f>
        <v>1.5</v>
      </c>
      <c r="BM45" s="20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0.4459</v>
      </c>
      <c r="BN45" s="20" cm="1">
        <f t="array" ref="BN45">1+$B$14+VLOOKUP($R45,武学奇术!$A:$ZZ,20,FALSE)+SUM(_xlfn.XLOOKUP(S45:AG45,增益!$A:$A,增益!$T:$T,0))</f>
        <v>1.782</v>
      </c>
      <c r="BO45" s="20">
        <f t="shared" si="11"/>
        <v>0.18601479</v>
      </c>
      <c r="BP45" s="20">
        <f t="shared" si="17"/>
        <v>0.27228132</v>
      </c>
      <c r="BQ45" s="20">
        <f>IF(VLOOKUP($R45,武学奇术!$A:$ZZ,22,FALSE)=1,0,(1-$BJ45))*(1-$BM45)</f>
        <v>0.09580389</v>
      </c>
      <c r="BR45" s="20" cm="1">
        <f t="array" ref="BR45">SUM(_xlfn.XLOOKUP(S45:AG45,增益!$A:$A,增益!$W:$W,0))+$I$5</f>
        <v>0.31</v>
      </c>
    </row>
    <row r="46" spans="5:70">
      <c r="K46" s="27">
        <f>$L46*VLOOKUP($R46,武学奇术!$A:$ZZ,31,FALSE)</f>
        <v>86415.1511872304</v>
      </c>
      <c r="L46" s="27">
        <f t="shared" si="12"/>
        <v>144025.251978717</v>
      </c>
      <c r="M46" s="27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118088.989817651</v>
      </c>
      <c r="N46" s="27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218134.493299098</v>
      </c>
      <c r="O46" s="27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78725.9932117674</v>
      </c>
      <c r="P46" s="27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35042.0575239289</v>
      </c>
      <c r="Q46" s="35">
        <v>1</v>
      </c>
      <c r="R46" s="36" t="s">
        <v>105</v>
      </c>
      <c r="S46" s="36" t="s">
        <v>152</v>
      </c>
      <c r="T46" s="36" t="s">
        <v>99</v>
      </c>
      <c r="U46" s="36" t="s">
        <v>100</v>
      </c>
      <c r="V46" s="36" t="s">
        <v>101</v>
      </c>
      <c r="W46" s="36" t="s">
        <v>71</v>
      </c>
      <c r="X46" s="36" t="s">
        <v>71</v>
      </c>
      <c r="Y46" s="36" t="s">
        <v>153</v>
      </c>
      <c r="Z46" s="36" t="s">
        <v>71</v>
      </c>
      <c r="AA46" s="36" t="s">
        <v>71</v>
      </c>
      <c r="AB46" s="36" t="s">
        <v>71</v>
      </c>
      <c r="AC46" s="36" t="s">
        <v>71</v>
      </c>
      <c r="AD46" s="36" t="s">
        <v>72</v>
      </c>
      <c r="AE46" s="36" t="s">
        <v>94</v>
      </c>
      <c r="AF46" s="36" t="s">
        <v>154</v>
      </c>
      <c r="AG46" s="36" t="s">
        <v>120</v>
      </c>
      <c r="AH46" t="str">
        <f>VLOOKUP($R46,武学奇术!$A:$ZZ,25,FALSE)</f>
        <v>剑</v>
      </c>
      <c r="AI46" s="20">
        <f>VLOOKUP($R46,武学奇术!$A:$ZZ,26,FALSE)</f>
        <v>2.496</v>
      </c>
      <c r="AJ46" s="21">
        <f>VLOOKUP($R46,武学奇术!$A:$ZZ,27,FALSE)*(1+IF(OR($AH46=$F$4,$AH46=$F$5),$B$22,0))</f>
        <v>0</v>
      </c>
      <c r="AK46" s="20">
        <f>VLOOKUP($R46,武学奇术!$A:$ZZ,28,FALSE)</f>
        <v>3.744</v>
      </c>
      <c r="AL46" s="21">
        <f>VLOOKUP($R46,武学奇术!$A:$ZZ,29,FALSE)*(1+IF(OR($AH46=$F$4,$AH46=$F$5),$B$22,0))</f>
        <v>0</v>
      </c>
      <c r="AM46" s="20" cm="1">
        <f t="array" ref="AM46">$G$3+IFERROR(VLOOKUP($AH46,$F$4:$G$7,2,FALSE),0)+VLOOKUP($R46,武学奇术!$A:$ZZ,2,FALSE)+SUM(_xlfn.XLOOKUP($S46:$AG46,增益!$A:$A,增益!$B:$B,0))</f>
        <v>1.4691</v>
      </c>
      <c r="AN46" s="20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1554.72</v>
      </c>
      <c r="AP46" cm="1">
        <f t="array" ref="AP46">$E$10*(1+$AN46)+VLOOKUP($R46,武学奇术!$A:$ZZ,4,FALSE)+SUM(_xlfn.XLOOKUP($S46:$AG46,增益!$A:$A,增益!$D:$D,0))-$I$2</f>
        <v>6665.76</v>
      </c>
      <c r="AQ46" s="29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0.4175</v>
      </c>
      <c r="AR46" s="29" cm="1">
        <f t="array" ref="AR46">$G$10+VLOOKUP($R46,武学奇术!$A:$ZZ,7,FALSE)+SUM(_xlfn.XLOOKUP(S46:AG46,增益!$A:$A,增益!$G:$G,0))</f>
        <v>0</v>
      </c>
      <c r="AS46" s="20" cm="1">
        <f t="array" ref="AS46">VLOOKUP($R46,武学奇术!$A:$ZZ,8,FALSE)+SUM(_xlfn.XLOOKUP(S46:AG46,增益!$A:$A,增益!$H:$H,0))</f>
        <v>0</v>
      </c>
      <c r="AT46">
        <f t="shared" si="18"/>
        <v>538</v>
      </c>
      <c r="AU46">
        <f t="shared" si="19"/>
        <v>1011</v>
      </c>
      <c r="AV46" s="29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0.075</v>
      </c>
      <c r="AW46" s="29" cm="1">
        <f t="array" ref="AW46">$G$11+VLOOKUP($R46,武学奇术!$A:$ZZ,10,FALSE)+SUM(_xlfn.XLOOKUP(S46:AG46,增益!$A:$A,增益!$J:$J,0))</f>
        <v>0.25</v>
      </c>
      <c r="AX46">
        <f t="shared" si="20"/>
        <v>0</v>
      </c>
      <c r="AY46">
        <f t="shared" si="21"/>
        <v>0</v>
      </c>
      <c r="AZ46" s="29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29" cm="1">
        <f t="array" ref="BA46">$G$12+VLOOKUP($R46,武学奇术!$A:$ZZ,12,FALSE)+SUM(_xlfn.XLOOKUP(S46:AG46,增益!$A:$A,增益!$L:$L,0))</f>
        <v>0</v>
      </c>
      <c r="BB46">
        <f t="shared" si="13"/>
        <v>0</v>
      </c>
      <c r="BC46">
        <f t="shared" si="14"/>
        <v>0</v>
      </c>
      <c r="BD46" s="29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29" cm="1">
        <f t="array" ref="BE46">$G$13+VLOOKUP($R46,武学奇术!$A:$ZZ,14,FALSE)+SUM(_xlfn.XLOOKUP(S46:AG46,增益!$A:$A,增益!$N:$N,0))</f>
        <v>0</v>
      </c>
      <c r="BF46">
        <f t="shared" si="15"/>
        <v>0</v>
      </c>
      <c r="BG46">
        <f t="shared" si="16"/>
        <v>0</v>
      </c>
      <c r="BH46" s="29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29" cm="1">
        <f t="array" ref="BI46">$G$14+VLOOKUP($R46,武学奇术!$A:$ZZ,16,FALSE)+SUM(_xlfn.XLOOKUP(S46:AG46,增益!$A:$A,增益!$P:$P,0))</f>
        <v>0</v>
      </c>
      <c r="BJ46" s="20">
        <f>MIN(IF(VLOOKUP($R46,武学奇术!$A:$ZZ,23,FALSE)=1,100%,$B$8),100%)</f>
        <v>0.8271</v>
      </c>
      <c r="BK46" s="20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0.2249</v>
      </c>
      <c r="BL46" s="20" cm="1">
        <f t="array" ref="BL46">1+$B$13+VLOOKUP($R46,武学奇术!$A:$ZZ,18,FALSE)+SUM(_xlfn.XLOOKUP(S46:AG46,增益!$A:$A,增益!$R:$R,0))</f>
        <v>1.5</v>
      </c>
      <c r="BM46" s="20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0.4459</v>
      </c>
      <c r="BN46" s="20" cm="1">
        <f t="array" ref="BN46">1+$B$14+VLOOKUP($R46,武学奇术!$A:$ZZ,20,FALSE)+SUM(_xlfn.XLOOKUP(S46:AG46,增益!$A:$A,增益!$T:$T,0))</f>
        <v>1.782</v>
      </c>
      <c r="BO46" s="20">
        <f t="shared" si="11"/>
        <v>0.18601479</v>
      </c>
      <c r="BP46" s="20">
        <f t="shared" si="17"/>
        <v>0.27228132</v>
      </c>
      <c r="BQ46" s="20">
        <f>IF(VLOOKUP($R46,武学奇术!$A:$ZZ,22,FALSE)=1,0,(1-$BJ46))*(1-$BM46)</f>
        <v>0.09580389</v>
      </c>
      <c r="BR46" s="20" cm="1">
        <f t="array" ref="BR46">SUM(_xlfn.XLOOKUP(S46:AG46,增益!$A:$A,增益!$W:$W,0))+$I$5</f>
        <v>0.31</v>
      </c>
    </row>
    <row r="47" spans="5:70">
      <c r="K47" s="27">
        <f>$L47*VLOOKUP($R47,武学奇术!$A:$ZZ,31,FALSE)</f>
        <v>16729.4163537653</v>
      </c>
      <c r="L47" s="27">
        <f t="shared" si="12"/>
        <v>16729.4163537653</v>
      </c>
      <c r="M47" s="27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14715.9396733863</v>
      </c>
      <c r="N47" s="27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24452.3613907865</v>
      </c>
      <c r="O47" s="27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9810.62644892419</v>
      </c>
      <c r="P47" s="27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4357.606586496</v>
      </c>
      <c r="Q47" s="35">
        <v>1</v>
      </c>
      <c r="R47" s="36" t="s">
        <v>107</v>
      </c>
      <c r="S47" s="36" t="s">
        <v>152</v>
      </c>
      <c r="T47" s="36" t="s">
        <v>93</v>
      </c>
      <c r="U47" s="36" t="s">
        <v>71</v>
      </c>
      <c r="V47" s="36" t="s">
        <v>71</v>
      </c>
      <c r="W47" s="36" t="s">
        <v>71</v>
      </c>
      <c r="X47" s="36" t="s">
        <v>71</v>
      </c>
      <c r="Y47" s="36" t="s">
        <v>153</v>
      </c>
      <c r="Z47" s="36" t="s">
        <v>71</v>
      </c>
      <c r="AA47" s="36" t="s">
        <v>71</v>
      </c>
      <c r="AB47" s="36" t="s">
        <v>71</v>
      </c>
      <c r="AC47" s="36" t="s">
        <v>71</v>
      </c>
      <c r="AD47" s="36" t="s">
        <v>72</v>
      </c>
      <c r="AE47" s="36" t="s">
        <v>94</v>
      </c>
      <c r="AF47" s="36" t="s">
        <v>154</v>
      </c>
      <c r="AG47" s="36" t="s">
        <v>120</v>
      </c>
      <c r="AH47" t="str">
        <f>VLOOKUP($R47,武学奇术!$A:$ZZ,25,FALSE)</f>
        <v>剑</v>
      </c>
      <c r="AI47" s="20">
        <f>VLOOKUP($R47,武学奇术!$A:$ZZ,26,FALSE)</f>
        <v>0.625</v>
      </c>
      <c r="AJ47" s="21">
        <f>VLOOKUP($R47,武学奇术!$A:$ZZ,27,FALSE)*(1+IF(OR($AH47=$F$4,$AH47=$F$5),$B$22,0))</f>
        <v>0</v>
      </c>
      <c r="AK47" s="20">
        <f>VLOOKUP($R47,武学奇术!$A:$ZZ,28,FALSE)</f>
        <v>0.9375</v>
      </c>
      <c r="AL47" s="21">
        <f>VLOOKUP($R47,武学奇术!$A:$ZZ,29,FALSE)*(1+IF(OR($AH47=$F$4,$AH47=$F$5),$B$22,0))</f>
        <v>0</v>
      </c>
      <c r="AM47" s="20" cm="1">
        <f t="array" ref="AM47">$G$3+IFERROR(VLOOKUP($AH47,$F$4:$G$7,2,FALSE),0)+VLOOKUP($R47,武学奇术!$A:$ZZ,2,FALSE)+SUM(_xlfn.XLOOKUP($S47:$AG47,增益!$A:$A,增益!$B:$B,0))</f>
        <v>0.7191</v>
      </c>
      <c r="AN47" s="20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1554.72</v>
      </c>
      <c r="AP47" cm="1">
        <f t="array" ref="AP47">$E$10*(1+$AN47)+VLOOKUP($R47,武学奇术!$A:$ZZ,4,FALSE)+SUM(_xlfn.XLOOKUP($S47:$AG47,增益!$A:$A,增益!$D:$D,0))-$I$2</f>
        <v>6665.76</v>
      </c>
      <c r="AQ47" s="29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0.3425</v>
      </c>
      <c r="AR47" s="29" cm="1">
        <f t="array" ref="AR47">$G$10+VLOOKUP($R47,武学奇术!$A:$ZZ,7,FALSE)+SUM(_xlfn.XLOOKUP(S47:AG47,增益!$A:$A,增益!$G:$G,0))</f>
        <v>0</v>
      </c>
      <c r="AS47" s="20" cm="1">
        <f t="array" ref="AS47">VLOOKUP($R47,武学奇术!$A:$ZZ,8,FALSE)+SUM(_xlfn.XLOOKUP(S47:AG47,增益!$A:$A,增益!$H:$H,0))</f>
        <v>0</v>
      </c>
      <c r="AT47">
        <f t="shared" si="18"/>
        <v>538</v>
      </c>
      <c r="AU47">
        <f t="shared" si="19"/>
        <v>1011</v>
      </c>
      <c r="AV47" s="29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</v>
      </c>
      <c r="AW47" s="29" cm="1">
        <f t="array" ref="AW47">$G$11+VLOOKUP($R47,武学奇术!$A:$ZZ,10,FALSE)+SUM(_xlfn.XLOOKUP(S47:AG47,增益!$A:$A,增益!$J:$J,0))</f>
        <v>0.25</v>
      </c>
      <c r="AX47">
        <f t="shared" si="20"/>
        <v>0</v>
      </c>
      <c r="AY47">
        <f t="shared" si="21"/>
        <v>0</v>
      </c>
      <c r="AZ47" s="29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29" cm="1">
        <f t="array" ref="BA47">$G$12+VLOOKUP($R47,武学奇术!$A:$ZZ,12,FALSE)+SUM(_xlfn.XLOOKUP(S47:AG47,增益!$A:$A,增益!$L:$L,0))</f>
        <v>0</v>
      </c>
      <c r="BB47">
        <f t="shared" si="13"/>
        <v>0</v>
      </c>
      <c r="BC47">
        <f t="shared" si="14"/>
        <v>0</v>
      </c>
      <c r="BD47" s="29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29" cm="1">
        <f t="array" ref="BE47">$G$13+VLOOKUP($R47,武学奇术!$A:$ZZ,14,FALSE)+SUM(_xlfn.XLOOKUP(S47:AG47,增益!$A:$A,增益!$N:$N,0))</f>
        <v>0</v>
      </c>
      <c r="BF47">
        <f t="shared" si="15"/>
        <v>0</v>
      </c>
      <c r="BG47">
        <f t="shared" si="16"/>
        <v>0</v>
      </c>
      <c r="BH47" s="29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29" cm="1">
        <f t="array" ref="BI47">$G$14+VLOOKUP($R47,武学奇术!$A:$ZZ,16,FALSE)+SUM(_xlfn.XLOOKUP(S47:AG47,增益!$A:$A,增益!$P:$P,0))</f>
        <v>0</v>
      </c>
      <c r="BJ47" s="20">
        <f>MIN(IF(VLOOKUP($R47,武学奇术!$A:$ZZ,23,FALSE)=1,100%,$B$8),100%)</f>
        <v>0.8271</v>
      </c>
      <c r="BK47" s="20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0.2249</v>
      </c>
      <c r="BL47" s="20" cm="1">
        <f t="array" ref="BL47">1+$B$13+VLOOKUP($R47,武学奇术!$A:$ZZ,18,FALSE)+SUM(_xlfn.XLOOKUP(S47:AG47,增益!$A:$A,增益!$R:$R,0))</f>
        <v>1.5</v>
      </c>
      <c r="BM47" s="20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0.4459</v>
      </c>
      <c r="BN47" s="20" cm="1">
        <f t="array" ref="BN47">1+$B$14+VLOOKUP($R47,武学奇术!$A:$ZZ,20,FALSE)+SUM(_xlfn.XLOOKUP(S47:AG47,增益!$A:$A,增益!$T:$T,0))</f>
        <v>1.602</v>
      </c>
      <c r="BO47" s="20">
        <f t="shared" si="11"/>
        <v>0.18601479</v>
      </c>
      <c r="BP47" s="20">
        <f t="shared" si="17"/>
        <v>0.27228132</v>
      </c>
      <c r="BQ47" s="20">
        <f>IF(VLOOKUP($R47,武学奇术!$A:$ZZ,22,FALSE)=1,0,(1-$BJ47))*(1-$BM47)</f>
        <v>0.09580389</v>
      </c>
      <c r="BR47" s="20" cm="1">
        <f t="array" ref="BR47">SUM(_xlfn.XLOOKUP(S47:AG47,增益!$A:$A,增益!$W:$W,0))+$I$5</f>
        <v>0.31</v>
      </c>
    </row>
    <row r="48" spans="5:70">
      <c r="K48" s="27">
        <f>$L48*VLOOKUP($R48,武学奇术!$A:$ZZ,31,FALSE)</f>
        <v>72504.4607038465</v>
      </c>
      <c r="L48" s="27">
        <f t="shared" si="12"/>
        <v>72504.4607038465</v>
      </c>
      <c r="M48" s="27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65369.8974208787</v>
      </c>
      <c r="N48" s="27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103933.478456545</v>
      </c>
      <c r="O48" s="27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43579.9316139192</v>
      </c>
      <c r="P48" s="27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22282.5358517177</v>
      </c>
      <c r="Q48" s="35">
        <v>1</v>
      </c>
      <c r="R48" s="36" t="s">
        <v>110</v>
      </c>
      <c r="S48" s="36" t="s">
        <v>152</v>
      </c>
      <c r="T48" s="36" t="s">
        <v>93</v>
      </c>
      <c r="U48" s="36" t="s">
        <v>71</v>
      </c>
      <c r="V48" s="36" t="s">
        <v>71</v>
      </c>
      <c r="W48" s="36" t="s">
        <v>111</v>
      </c>
      <c r="X48" s="36" t="s">
        <v>71</v>
      </c>
      <c r="Y48" s="36" t="s">
        <v>153</v>
      </c>
      <c r="Z48" s="36" t="s">
        <v>71</v>
      </c>
      <c r="AA48" s="36" t="s">
        <v>71</v>
      </c>
      <c r="AB48" s="36" t="s">
        <v>71</v>
      </c>
      <c r="AC48" s="36" t="s">
        <v>71</v>
      </c>
      <c r="AD48" s="36" t="s">
        <v>72</v>
      </c>
      <c r="AE48" s="36" t="s">
        <v>94</v>
      </c>
      <c r="AF48" s="36" t="s">
        <v>154</v>
      </c>
      <c r="AG48" s="36" t="s">
        <v>120</v>
      </c>
      <c r="AH48" t="str">
        <f>VLOOKUP($R48,武学奇术!$A:$ZZ,25,FALSE)</f>
        <v>枪</v>
      </c>
      <c r="AI48" s="20">
        <f>VLOOKUP($R48,武学奇术!$A:$ZZ,26,FALSE)</f>
        <v>2.5683</v>
      </c>
      <c r="AJ48" s="21">
        <f>VLOOKUP($R48,武学奇术!$A:$ZZ,27,FALSE)*(1+IF(OR($AH48=$F$4,$AH48=$F$5),$B$22,0))</f>
        <v>995.4</v>
      </c>
      <c r="AK48" s="20">
        <f>VLOOKUP($R48,武学奇术!$A:$ZZ,28,FALSE)</f>
        <v>3.8524</v>
      </c>
      <c r="AL48" s="21">
        <f>VLOOKUP($R48,武学奇术!$A:$ZZ,29,FALSE)*(1+IF(OR($AH48=$F$4,$AH48=$F$5),$B$22,0))</f>
        <v>541.8</v>
      </c>
      <c r="AM48" s="20" cm="1">
        <f t="array" ref="AM48">$G$3+IFERROR(VLOOKUP($AH48,$F$4:$G$7,2,FALSE),0)+VLOOKUP($R48,武学奇术!$A:$ZZ,2,FALSE)+SUM(_xlfn.XLOOKUP($S48:$AG48,增益!$A:$A,增益!$B:$B,0))</f>
        <v>0.6339</v>
      </c>
      <c r="AN48" s="20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1585.72</v>
      </c>
      <c r="AP48" cm="1">
        <f t="array" ref="AP48">$E$10*(1+$AN48)+VLOOKUP($R48,武学奇术!$A:$ZZ,4,FALSE)+SUM(_xlfn.XLOOKUP($S48:$AG48,增益!$A:$A,增益!$D:$D,0))-$I$2</f>
        <v>6696.76</v>
      </c>
      <c r="AQ48" s="29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0.3425</v>
      </c>
      <c r="AR48" s="29" cm="1">
        <f t="array" ref="AR48">$G$10+VLOOKUP($R48,武学奇术!$A:$ZZ,7,FALSE)+SUM(_xlfn.XLOOKUP(S48:AG48,增益!$A:$A,增益!$G:$G,0))</f>
        <v>0</v>
      </c>
      <c r="AS48" s="20" cm="1">
        <f t="array" ref="AS48">VLOOKUP($R48,武学奇术!$A:$ZZ,8,FALSE)+SUM(_xlfn.XLOOKUP(S48:AG48,增益!$A:$A,增益!$H:$H,0))</f>
        <v>0</v>
      </c>
      <c r="AT48">
        <f t="shared" si="18"/>
        <v>538</v>
      </c>
      <c r="AU48">
        <f t="shared" si="19"/>
        <v>1011</v>
      </c>
      <c r="AV48" s="29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</v>
      </c>
      <c r="AW48" s="29" cm="1">
        <f t="array" ref="AW48">$G$11+VLOOKUP($R48,武学奇术!$A:$ZZ,10,FALSE)+SUM(_xlfn.XLOOKUP(S48:AG48,增益!$A:$A,增益!$J:$J,0))</f>
        <v>0.25</v>
      </c>
      <c r="AX48">
        <f t="shared" si="20"/>
        <v>0</v>
      </c>
      <c r="AY48">
        <f t="shared" si="21"/>
        <v>0</v>
      </c>
      <c r="AZ48" s="29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29" cm="1">
        <f t="array" ref="BA48">$G$12+VLOOKUP($R48,武学奇术!$A:$ZZ,12,FALSE)+SUM(_xlfn.XLOOKUP(S48:AG48,增益!$A:$A,增益!$L:$L,0))</f>
        <v>0</v>
      </c>
      <c r="BB48">
        <f t="shared" si="13"/>
        <v>0</v>
      </c>
      <c r="BC48">
        <f t="shared" si="14"/>
        <v>0</v>
      </c>
      <c r="BD48" s="29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29" cm="1">
        <f t="array" ref="BE48">$G$13+VLOOKUP($R48,武学奇术!$A:$ZZ,14,FALSE)+SUM(_xlfn.XLOOKUP(S48:AG48,增益!$A:$A,增益!$N:$N,0))</f>
        <v>0</v>
      </c>
      <c r="BF48">
        <f t="shared" si="15"/>
        <v>0</v>
      </c>
      <c r="BG48">
        <f t="shared" si="16"/>
        <v>0</v>
      </c>
      <c r="BH48" s="29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29" cm="1">
        <f t="array" ref="BI48">$G$14+VLOOKUP($R48,武学奇术!$A:$ZZ,16,FALSE)+SUM(_xlfn.XLOOKUP(S48:AG48,增益!$A:$A,增益!$P:$P,0))</f>
        <v>0</v>
      </c>
      <c r="BJ48" s="20">
        <f>MIN(IF(VLOOKUP($R48,武学奇术!$A:$ZZ,23,FALSE)=1,100%,$B$8),100%)</f>
        <v>0.8271</v>
      </c>
      <c r="BK48" s="20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0.2249</v>
      </c>
      <c r="BL48" s="20" cm="1">
        <f t="array" ref="BL48">1+$B$13+VLOOKUP($R48,武学奇术!$A:$ZZ,18,FALSE)+SUM(_xlfn.XLOOKUP(S48:AG48,增益!$A:$A,增益!$R:$R,0))</f>
        <v>1.5</v>
      </c>
      <c r="BM48" s="20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0.4459</v>
      </c>
      <c r="BN48" s="20" cm="1">
        <f t="array" ref="BN48">1+$B$14+VLOOKUP($R48,武学奇术!$A:$ZZ,20,FALSE)+SUM(_xlfn.XLOOKUP(S48:AG48,增益!$A:$A,增益!$T:$T,0))</f>
        <v>1.602</v>
      </c>
      <c r="BO48" s="20">
        <f t="shared" si="11"/>
        <v>0.18601479</v>
      </c>
      <c r="BP48" s="20">
        <f t="shared" si="17"/>
        <v>0.27228132</v>
      </c>
      <c r="BQ48" s="20">
        <f>IF(VLOOKUP($R48,武学奇术!$A:$ZZ,22,FALSE)=1,0,(1-$BJ48))*(1-$BM48)</f>
        <v>0.09580389</v>
      </c>
      <c r="BR48" s="20" cm="1">
        <f t="array" ref="BR48">SUM(_xlfn.XLOOKUP(S48:AG48,增益!$A:$A,增益!$W:$W,0))+$I$5</f>
        <v>0.31</v>
      </c>
    </row>
    <row r="49" spans="4:70">
      <c r="K49" s="27">
        <f>$L49*VLOOKUP($R49,武学奇术!$A:$ZZ,31,FALSE)</f>
        <v>86820.2302136955</v>
      </c>
      <c r="L49" s="27">
        <f t="shared" si="12"/>
        <v>144700.383689492</v>
      </c>
      <c r="M49" s="27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118791.422173034</v>
      </c>
      <c r="N49" s="27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218968.982937293</v>
      </c>
      <c r="O49" s="27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79194.2814486895</v>
      </c>
      <c r="P49" s="27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35510.345760851</v>
      </c>
      <c r="Q49" s="35">
        <v>1</v>
      </c>
      <c r="R49" s="36" t="s">
        <v>105</v>
      </c>
      <c r="S49" s="36" t="s">
        <v>152</v>
      </c>
      <c r="T49" s="36" t="s">
        <v>99</v>
      </c>
      <c r="U49" s="36" t="s">
        <v>100</v>
      </c>
      <c r="V49" s="36" t="s">
        <v>101</v>
      </c>
      <c r="W49" s="36" t="s">
        <v>111</v>
      </c>
      <c r="X49" s="36" t="s">
        <v>71</v>
      </c>
      <c r="Y49" s="36" t="s">
        <v>153</v>
      </c>
      <c r="Z49" s="36" t="s">
        <v>71</v>
      </c>
      <c r="AA49" s="36" t="s">
        <v>71</v>
      </c>
      <c r="AB49" s="36" t="s">
        <v>71</v>
      </c>
      <c r="AC49" s="36" t="s">
        <v>71</v>
      </c>
      <c r="AD49" s="36" t="s">
        <v>72</v>
      </c>
      <c r="AE49" s="36" t="s">
        <v>94</v>
      </c>
      <c r="AF49" s="36" t="s">
        <v>154</v>
      </c>
      <c r="AG49" s="36" t="s">
        <v>120</v>
      </c>
      <c r="AH49" t="str">
        <f>VLOOKUP($R49,武学奇术!$A:$ZZ,25,FALSE)</f>
        <v>剑</v>
      </c>
      <c r="AI49" s="20">
        <f>VLOOKUP($R49,武学奇术!$A:$ZZ,26,FALSE)</f>
        <v>2.496</v>
      </c>
      <c r="AJ49" s="21">
        <f>VLOOKUP($R49,武学奇术!$A:$ZZ,27,FALSE)*(1+IF(OR($AH49=$F$4,$AH49=$F$5),$B$22,0))</f>
        <v>0</v>
      </c>
      <c r="AK49" s="20">
        <f>VLOOKUP($R49,武学奇术!$A:$ZZ,28,FALSE)</f>
        <v>3.744</v>
      </c>
      <c r="AL49" s="21">
        <f>VLOOKUP($R49,武学奇术!$A:$ZZ,29,FALSE)*(1+IF(OR($AH49=$F$4,$AH49=$F$5),$B$22,0))</f>
        <v>0</v>
      </c>
      <c r="AM49" s="20" cm="1">
        <f t="array" ref="AM49">$G$3+IFERROR(VLOOKUP($AH49,$F$4:$G$7,2,FALSE),0)+VLOOKUP($R49,武学奇术!$A:$ZZ,2,FALSE)+SUM(_xlfn.XLOOKUP($S49:$AG49,增益!$A:$A,增益!$B:$B,0))</f>
        <v>1.4691</v>
      </c>
      <c r="AN49" s="20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1585.72</v>
      </c>
      <c r="AP49" cm="1">
        <f t="array" ref="AP49">$E$10*(1+$AN49)+VLOOKUP($R49,武学奇术!$A:$ZZ,4,FALSE)+SUM(_xlfn.XLOOKUP($S49:$AG49,增益!$A:$A,增益!$D:$D,0))-$I$2</f>
        <v>6696.76</v>
      </c>
      <c r="AQ49" s="29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0.4175</v>
      </c>
      <c r="AR49" s="29" cm="1">
        <f t="array" ref="AR49">$G$10+VLOOKUP($R49,武学奇术!$A:$ZZ,7,FALSE)+SUM(_xlfn.XLOOKUP(S49:AG49,增益!$A:$A,增益!$G:$G,0))</f>
        <v>0</v>
      </c>
      <c r="AS49" s="20" cm="1">
        <f t="array" ref="AS49">VLOOKUP($R49,武学奇术!$A:$ZZ,8,FALSE)+SUM(_xlfn.XLOOKUP(S49:AG49,增益!$A:$A,增益!$H:$H,0))</f>
        <v>0</v>
      </c>
      <c r="AT49">
        <f t="shared" si="18"/>
        <v>538</v>
      </c>
      <c r="AU49">
        <f t="shared" si="19"/>
        <v>1011</v>
      </c>
      <c r="AV49" s="29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0.075</v>
      </c>
      <c r="AW49" s="29" cm="1">
        <f t="array" ref="AW49">$G$11+VLOOKUP($R49,武学奇术!$A:$ZZ,10,FALSE)+SUM(_xlfn.XLOOKUP(S49:AG49,增益!$A:$A,增益!$J:$J,0))</f>
        <v>0.25</v>
      </c>
      <c r="AX49">
        <f t="shared" si="20"/>
        <v>0</v>
      </c>
      <c r="AY49">
        <f t="shared" si="21"/>
        <v>0</v>
      </c>
      <c r="AZ49" s="29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29" cm="1">
        <f t="array" ref="BA49">$G$12+VLOOKUP($R49,武学奇术!$A:$ZZ,12,FALSE)+SUM(_xlfn.XLOOKUP(S49:AG49,增益!$A:$A,增益!$L:$L,0))</f>
        <v>0</v>
      </c>
      <c r="BB49">
        <f t="shared" si="13"/>
        <v>0</v>
      </c>
      <c r="BC49">
        <f t="shared" si="14"/>
        <v>0</v>
      </c>
      <c r="BD49" s="29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29" cm="1">
        <f t="array" ref="BE49">$G$13+VLOOKUP($R49,武学奇术!$A:$ZZ,14,FALSE)+SUM(_xlfn.XLOOKUP(S49:AG49,增益!$A:$A,增益!$N:$N,0))</f>
        <v>0</v>
      </c>
      <c r="BF49">
        <f t="shared" si="15"/>
        <v>0</v>
      </c>
      <c r="BG49">
        <f t="shared" si="16"/>
        <v>0</v>
      </c>
      <c r="BH49" s="29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29" cm="1">
        <f t="array" ref="BI49">$G$14+VLOOKUP($R49,武学奇术!$A:$ZZ,16,FALSE)+SUM(_xlfn.XLOOKUP(S49:AG49,增益!$A:$A,增益!$P:$P,0))</f>
        <v>0</v>
      </c>
      <c r="BJ49" s="20">
        <f>MIN(IF(VLOOKUP($R49,武学奇术!$A:$ZZ,23,FALSE)=1,100%,$B$8),100%)</f>
        <v>0.8271</v>
      </c>
      <c r="BK49" s="20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0.2249</v>
      </c>
      <c r="BL49" s="20" cm="1">
        <f t="array" ref="BL49">1+$B$13+VLOOKUP($R49,武学奇术!$A:$ZZ,18,FALSE)+SUM(_xlfn.XLOOKUP(S49:AG49,增益!$A:$A,增益!$R:$R,0))</f>
        <v>1.5</v>
      </c>
      <c r="BM49" s="20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0.4459</v>
      </c>
      <c r="BN49" s="20" cm="1">
        <f t="array" ref="BN49">1+$B$14+VLOOKUP($R49,武学奇术!$A:$ZZ,20,FALSE)+SUM(_xlfn.XLOOKUP(S49:AG49,增益!$A:$A,增益!$T:$T,0))</f>
        <v>1.782</v>
      </c>
      <c r="BO49" s="20">
        <f t="shared" si="11"/>
        <v>0.18601479</v>
      </c>
      <c r="BP49" s="20">
        <f t="shared" si="17"/>
        <v>0.27228132</v>
      </c>
      <c r="BQ49" s="20">
        <f>IF(VLOOKUP($R49,武学奇术!$A:$ZZ,22,FALSE)=1,0,(1-$BJ49))*(1-$BM49)</f>
        <v>0.09580389</v>
      </c>
      <c r="BR49" s="20" cm="1">
        <f t="array" ref="BR49">SUM(_xlfn.XLOOKUP(S49:AG49,增益!$A:$A,增益!$W:$W,0))+$I$5</f>
        <v>0.31</v>
      </c>
    </row>
    <row r="50" spans="4:70">
      <c r="K50" s="27">
        <f>$L50*VLOOKUP($R50,武学奇术!$A:$ZZ,31,FALSE)</f>
        <v>34987.893257281</v>
      </c>
      <c r="L50" s="27">
        <f t="shared" si="12"/>
        <v>34987.893257281</v>
      </c>
      <c r="M50" s="27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31544.0398315497</v>
      </c>
      <c r="N50" s="27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50155.6042274191</v>
      </c>
      <c r="O50" s="27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21029.3598876998</v>
      </c>
      <c r="P50" s="27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10750.6022801317</v>
      </c>
      <c r="Q50" s="35">
        <v>1</v>
      </c>
      <c r="R50" s="36" t="s">
        <v>92</v>
      </c>
      <c r="S50" s="36" t="s">
        <v>152</v>
      </c>
      <c r="T50" s="36" t="s">
        <v>93</v>
      </c>
      <c r="U50" s="36" t="s">
        <v>71</v>
      </c>
      <c r="V50" s="36" t="s">
        <v>71</v>
      </c>
      <c r="W50" s="36" t="s">
        <v>111</v>
      </c>
      <c r="X50" s="36" t="s">
        <v>71</v>
      </c>
      <c r="Y50" s="36" t="s">
        <v>153</v>
      </c>
      <c r="Z50" s="36" t="s">
        <v>71</v>
      </c>
      <c r="AA50" s="36" t="s">
        <v>71</v>
      </c>
      <c r="AB50" s="36" t="s">
        <v>71</v>
      </c>
      <c r="AC50" s="36" t="s">
        <v>71</v>
      </c>
      <c r="AD50" s="36" t="s">
        <v>72</v>
      </c>
      <c r="AE50" s="36" t="s">
        <v>94</v>
      </c>
      <c r="AF50" s="36" t="s">
        <v>154</v>
      </c>
      <c r="AG50" s="36" t="s">
        <v>120</v>
      </c>
      <c r="AH50" t="str">
        <f>VLOOKUP($R50,武学奇术!$A:$ZZ,25,FALSE)</f>
        <v>剑</v>
      </c>
      <c r="AI50" s="20">
        <f>VLOOKUP($R50,武学奇术!$A:$ZZ,26,FALSE)</f>
        <v>1.1781</v>
      </c>
      <c r="AJ50" s="21">
        <f>VLOOKUP($R50,武学奇术!$A:$ZZ,27,FALSE)*(1+IF(OR($AH50=$F$4,$AH50=$F$5),$B$22,0))</f>
        <v>456.4</v>
      </c>
      <c r="AK50" s="20">
        <f>VLOOKUP($R50,武学奇术!$A:$ZZ,28,FALSE)</f>
        <v>1.7672</v>
      </c>
      <c r="AL50" s="21">
        <f>VLOOKUP($R50,武学奇术!$A:$ZZ,29,FALSE)*(1+IF(OR($AH50=$F$4,$AH50=$F$5),$B$22,0))</f>
        <v>247.8</v>
      </c>
      <c r="AM50" s="20" cm="1">
        <f t="array" ref="AM50">$G$3+IFERROR(VLOOKUP($AH50,$F$4:$G$7,2,FALSE),0)+VLOOKUP($R50,武学奇术!$A:$ZZ,2,FALSE)+SUM(_xlfn.XLOOKUP($S50:$AG50,增益!$A:$A,增益!$B:$B,0))</f>
        <v>0.7191</v>
      </c>
      <c r="AN50" s="20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1585.72</v>
      </c>
      <c r="AP50" cm="1">
        <f t="array" ref="AP50">$E$10*(1+$AN50)+VLOOKUP($R50,武学奇术!$A:$ZZ,4,FALSE)+SUM(_xlfn.XLOOKUP($S50:$AG50,增益!$A:$A,增益!$D:$D,0))-$I$2</f>
        <v>6696.76</v>
      </c>
      <c r="AQ50" s="29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0.3425</v>
      </c>
      <c r="AR50" s="29" cm="1">
        <f t="array" ref="AR50">$G$10+VLOOKUP($R50,武学奇术!$A:$ZZ,7,FALSE)+SUM(_xlfn.XLOOKUP(S50:AG50,增益!$A:$A,增益!$G:$G,0))</f>
        <v>0</v>
      </c>
      <c r="AS50" s="20" cm="1">
        <f t="array" ref="AS50">VLOOKUP($R50,武学奇术!$A:$ZZ,8,FALSE)+SUM(_xlfn.XLOOKUP(S50:AG50,增益!$A:$A,增益!$H:$H,0))</f>
        <v>0</v>
      </c>
      <c r="AT50">
        <f t="shared" si="18"/>
        <v>538</v>
      </c>
      <c r="AU50">
        <f t="shared" si="19"/>
        <v>1011</v>
      </c>
      <c r="AV50" s="29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</v>
      </c>
      <c r="AW50" s="29" cm="1">
        <f t="array" ref="AW50">$G$11+VLOOKUP($R50,武学奇术!$A:$ZZ,10,FALSE)+SUM(_xlfn.XLOOKUP(S50:AG50,增益!$A:$A,增益!$J:$J,0))</f>
        <v>0.25</v>
      </c>
      <c r="AX50">
        <f t="shared" si="20"/>
        <v>0</v>
      </c>
      <c r="AY50">
        <f t="shared" si="21"/>
        <v>0</v>
      </c>
      <c r="AZ50" s="29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29" cm="1">
        <f t="array" ref="BA50">$G$12+VLOOKUP($R50,武学奇术!$A:$ZZ,12,FALSE)+SUM(_xlfn.XLOOKUP(S50:AG50,增益!$A:$A,增益!$L:$L,0))</f>
        <v>0</v>
      </c>
      <c r="BB50">
        <f t="shared" si="13"/>
        <v>0</v>
      </c>
      <c r="BC50">
        <f t="shared" si="14"/>
        <v>0</v>
      </c>
      <c r="BD50" s="29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29" cm="1">
        <f t="array" ref="BE50">$G$13+VLOOKUP($R50,武学奇术!$A:$ZZ,14,FALSE)+SUM(_xlfn.XLOOKUP(S50:AG50,增益!$A:$A,增益!$N:$N,0))</f>
        <v>0</v>
      </c>
      <c r="BF50">
        <f t="shared" si="15"/>
        <v>0</v>
      </c>
      <c r="BG50">
        <f t="shared" si="16"/>
        <v>0</v>
      </c>
      <c r="BH50" s="29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29" cm="1">
        <f t="array" ref="BI50">$G$14+VLOOKUP($R50,武学奇术!$A:$ZZ,16,FALSE)+SUM(_xlfn.XLOOKUP(S50:AG50,增益!$A:$A,增益!$P:$P,0))</f>
        <v>0</v>
      </c>
      <c r="BJ50" s="20">
        <f>MIN(IF(VLOOKUP($R50,武学奇术!$A:$ZZ,23,FALSE)=1,100%,$B$8),100%)</f>
        <v>0.8271</v>
      </c>
      <c r="BK50" s="20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0.2249</v>
      </c>
      <c r="BL50" s="20" cm="1">
        <f t="array" ref="BL50">1+$B$13+VLOOKUP($R50,武学奇术!$A:$ZZ,18,FALSE)+SUM(_xlfn.XLOOKUP(S50:AG50,增益!$A:$A,增益!$R:$R,0))</f>
        <v>1.5</v>
      </c>
      <c r="BM50" s="20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0.4459</v>
      </c>
      <c r="BN50" s="20" cm="1">
        <f t="array" ref="BN50">1+$B$14+VLOOKUP($R50,武学奇术!$A:$ZZ,20,FALSE)+SUM(_xlfn.XLOOKUP(S50:AG50,增益!$A:$A,增益!$T:$T,0))</f>
        <v>1.602</v>
      </c>
      <c r="BO50" s="20">
        <f t="shared" si="11"/>
        <v>0.18601479</v>
      </c>
      <c r="BP50" s="20">
        <f t="shared" si="17"/>
        <v>0.27228132</v>
      </c>
      <c r="BQ50" s="20">
        <f>IF(VLOOKUP($R50,武学奇术!$A:$ZZ,22,FALSE)=1,0,(1-$BJ50))*(1-$BM50)</f>
        <v>0.09580389</v>
      </c>
      <c r="BR50" s="20" cm="1">
        <f t="array" ref="BR50">SUM(_xlfn.XLOOKUP(S50:AG50,增益!$A:$A,增益!$W:$W,0))+$I$5</f>
        <v>0.31</v>
      </c>
    </row>
    <row r="51" spans="4:70">
      <c r="K51" s="27">
        <f>$L51*VLOOKUP($R51,武学奇术!$A:$ZZ,31,FALSE)</f>
        <v>131381.389762376</v>
      </c>
      <c r="L51" s="27">
        <f t="shared" si="12"/>
        <v>218968.982937293</v>
      </c>
      <c r="M51" s="27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118791.422173034</v>
      </c>
      <c r="N51" s="27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218968.982937293</v>
      </c>
      <c r="O51" s="27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79194.2814486895</v>
      </c>
      <c r="P51" s="27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35510.345760851</v>
      </c>
      <c r="Q51" s="35">
        <v>1</v>
      </c>
      <c r="R51" s="36" t="s">
        <v>98</v>
      </c>
      <c r="S51" s="36" t="s">
        <v>152</v>
      </c>
      <c r="T51" s="36" t="s">
        <v>99</v>
      </c>
      <c r="U51" s="36" t="s">
        <v>100</v>
      </c>
      <c r="V51" s="36" t="s">
        <v>101</v>
      </c>
      <c r="W51" s="36" t="s">
        <v>111</v>
      </c>
      <c r="X51" s="36" t="s">
        <v>71</v>
      </c>
      <c r="Y51" s="36" t="s">
        <v>153</v>
      </c>
      <c r="Z51" s="36" t="s">
        <v>71</v>
      </c>
      <c r="AA51" s="36" t="s">
        <v>71</v>
      </c>
      <c r="AB51" s="36" t="s">
        <v>71</v>
      </c>
      <c r="AC51" s="36" t="s">
        <v>71</v>
      </c>
      <c r="AD51" s="36" t="s">
        <v>72</v>
      </c>
      <c r="AE51" s="36" t="s">
        <v>94</v>
      </c>
      <c r="AF51" s="36" t="s">
        <v>154</v>
      </c>
      <c r="AG51" s="36" t="s">
        <v>120</v>
      </c>
      <c r="AH51" t="str">
        <f>VLOOKUP($R51,武学奇术!$A:$ZZ,25,FALSE)</f>
        <v>剑</v>
      </c>
      <c r="AI51" s="20">
        <f>VLOOKUP($R51,武学奇术!$A:$ZZ,26,FALSE)</f>
        <v>2.496</v>
      </c>
      <c r="AJ51" s="21">
        <f>VLOOKUP($R51,武学奇术!$A:$ZZ,27,FALSE)*(1+IF(OR($AH51=$F$4,$AH51=$F$5),$B$22,0))</f>
        <v>0</v>
      </c>
      <c r="AK51" s="20">
        <f>VLOOKUP($R51,武学奇术!$A:$ZZ,28,FALSE)</f>
        <v>3.744</v>
      </c>
      <c r="AL51" s="21">
        <f>VLOOKUP($R51,武学奇术!$A:$ZZ,29,FALSE)*(1+IF(OR($AH51=$F$4,$AH51=$F$5),$B$22,0))</f>
        <v>0</v>
      </c>
      <c r="AM51" s="20" cm="1">
        <f t="array" ref="AM51">$G$3+IFERROR(VLOOKUP($AH51,$F$4:$G$7,2,FALSE),0)+VLOOKUP($R51,武学奇术!$A:$ZZ,2,FALSE)+SUM(_xlfn.XLOOKUP($S51:$AG51,增益!$A:$A,增益!$B:$B,0))</f>
        <v>1.4691</v>
      </c>
      <c r="AN51" s="20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1585.72</v>
      </c>
      <c r="AP51" cm="1">
        <f t="array" ref="AP51">$E$10*(1+$AN51)+VLOOKUP($R51,武学奇术!$A:$ZZ,4,FALSE)+SUM(_xlfn.XLOOKUP($S51:$AG51,增益!$A:$A,增益!$D:$D,0))-$I$2</f>
        <v>6696.76</v>
      </c>
      <c r="AQ51" s="29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0.4175</v>
      </c>
      <c r="AR51" s="29" cm="1">
        <f t="array" ref="AR51">$G$10+VLOOKUP($R51,武学奇术!$A:$ZZ,7,FALSE)+SUM(_xlfn.XLOOKUP(S51:AG51,增益!$A:$A,增益!$G:$G,0))</f>
        <v>0</v>
      </c>
      <c r="AS51" s="20" cm="1">
        <f t="array" ref="AS51">VLOOKUP($R51,武学奇术!$A:$ZZ,8,FALSE)+SUM(_xlfn.XLOOKUP(S51:AG51,增益!$A:$A,增益!$H:$H,0))</f>
        <v>0</v>
      </c>
      <c r="AT51">
        <f t="shared" si="18"/>
        <v>538</v>
      </c>
      <c r="AU51">
        <f t="shared" si="19"/>
        <v>1011</v>
      </c>
      <c r="AV51" s="29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0.075</v>
      </c>
      <c r="AW51" s="29" cm="1">
        <f t="array" ref="AW51">$G$11+VLOOKUP($R51,武学奇术!$A:$ZZ,10,FALSE)+SUM(_xlfn.XLOOKUP(S51:AG51,增益!$A:$A,增益!$J:$J,0))</f>
        <v>0.25</v>
      </c>
      <c r="AX51">
        <f t="shared" si="20"/>
        <v>0</v>
      </c>
      <c r="AY51">
        <f t="shared" si="21"/>
        <v>0</v>
      </c>
      <c r="AZ51" s="29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29" cm="1">
        <f t="array" ref="BA51">$G$12+VLOOKUP($R51,武学奇术!$A:$ZZ,12,FALSE)+SUM(_xlfn.XLOOKUP(S51:AG51,增益!$A:$A,增益!$L:$L,0))</f>
        <v>0</v>
      </c>
      <c r="BB51">
        <f t="shared" si="13"/>
        <v>0</v>
      </c>
      <c r="BC51">
        <f t="shared" si="14"/>
        <v>0</v>
      </c>
      <c r="BD51" s="29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29" cm="1">
        <f t="array" ref="BE51">$G$13+VLOOKUP($R51,武学奇术!$A:$ZZ,14,FALSE)+SUM(_xlfn.XLOOKUP(S51:AG51,增益!$A:$A,增益!$N:$N,0))</f>
        <v>0</v>
      </c>
      <c r="BF51">
        <f t="shared" si="15"/>
        <v>0</v>
      </c>
      <c r="BG51">
        <f t="shared" si="16"/>
        <v>0</v>
      </c>
      <c r="BH51" s="29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29" cm="1">
        <f t="array" ref="BI51">$G$14+VLOOKUP($R51,武学奇术!$A:$ZZ,16,FALSE)+SUM(_xlfn.XLOOKUP(S51:AG51,增益!$A:$A,增益!$P:$P,0))</f>
        <v>0</v>
      </c>
      <c r="BJ51" s="20">
        <f>MIN(IF(VLOOKUP($R51,武学奇术!$A:$ZZ,23,FALSE)=1,100%,$B$8),100%)</f>
        <v>0.8271</v>
      </c>
      <c r="BK51" s="20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</v>
      </c>
      <c r="BL51" s="20" cm="1">
        <f t="array" ref="BL51">1+$B$13+VLOOKUP($R51,武学奇术!$A:$ZZ,18,FALSE)+SUM(_xlfn.XLOOKUP(S51:AG51,增益!$A:$A,增益!$R:$R,0))</f>
        <v>1.5</v>
      </c>
      <c r="BM51" s="20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1</v>
      </c>
      <c r="BN51" s="20" cm="1">
        <f t="array" ref="BN51">1+$B$14+VLOOKUP($R51,武学奇术!$A:$ZZ,20,FALSE)+SUM(_xlfn.XLOOKUP(S51:AG51,增益!$A:$A,增益!$T:$T,0))</f>
        <v>1.782</v>
      </c>
      <c r="BO51" s="20">
        <f t="shared" si="11"/>
        <v>0</v>
      </c>
      <c r="BP51" s="20">
        <f t="shared" si="17"/>
        <v>0</v>
      </c>
      <c r="BQ51" s="20">
        <f>IF(VLOOKUP($R51,武学奇术!$A:$ZZ,22,FALSE)=1,0,(1-$BJ51))*(1-$BM51)</f>
        <v>0</v>
      </c>
      <c r="BR51" s="20" cm="1">
        <f t="array" ref="BR51">SUM(_xlfn.XLOOKUP(S51:AG51,增益!$A:$A,增益!$W:$W,0))+$I$5</f>
        <v>0.31</v>
      </c>
    </row>
    <row r="52" spans="4:70">
      <c r="K52" s="27">
        <f>$L52*VLOOKUP($R52,武学奇术!$A:$ZZ,31,FALSE)</f>
        <v>86820.2302136955</v>
      </c>
      <c r="L52" s="27">
        <f t="shared" si="12"/>
        <v>144700.383689492</v>
      </c>
      <c r="M52" s="27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118791.422173034</v>
      </c>
      <c r="N52" s="27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218968.982937293</v>
      </c>
      <c r="O52" s="27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79194.2814486895</v>
      </c>
      <c r="P52" s="27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35510.345760851</v>
      </c>
      <c r="Q52" s="35">
        <v>1</v>
      </c>
      <c r="R52" s="36" t="s">
        <v>105</v>
      </c>
      <c r="S52" s="36" t="s">
        <v>152</v>
      </c>
      <c r="T52" s="36" t="s">
        <v>99</v>
      </c>
      <c r="U52" s="36" t="s">
        <v>100</v>
      </c>
      <c r="V52" s="36" t="s">
        <v>101</v>
      </c>
      <c r="W52" s="36" t="s">
        <v>111</v>
      </c>
      <c r="X52" s="36" t="s">
        <v>71</v>
      </c>
      <c r="Y52" s="36" t="s">
        <v>153</v>
      </c>
      <c r="Z52" s="36" t="s">
        <v>71</v>
      </c>
      <c r="AA52" s="36" t="s">
        <v>71</v>
      </c>
      <c r="AB52" s="36" t="s">
        <v>71</v>
      </c>
      <c r="AC52" s="36" t="s">
        <v>71</v>
      </c>
      <c r="AD52" s="36" t="s">
        <v>72</v>
      </c>
      <c r="AE52" s="36" t="s">
        <v>94</v>
      </c>
      <c r="AF52" s="36" t="s">
        <v>154</v>
      </c>
      <c r="AG52" s="36" t="s">
        <v>120</v>
      </c>
      <c r="AH52" t="str">
        <f>VLOOKUP($R52,武学奇术!$A:$ZZ,25,FALSE)</f>
        <v>剑</v>
      </c>
      <c r="AI52" s="20">
        <f>VLOOKUP($R52,武学奇术!$A:$ZZ,26,FALSE)</f>
        <v>2.496</v>
      </c>
      <c r="AJ52" s="21">
        <f>VLOOKUP($R52,武学奇术!$A:$ZZ,27,FALSE)*(1+IF(OR($AH52=$F$4,$AH52=$F$5),$B$22,0))</f>
        <v>0</v>
      </c>
      <c r="AK52" s="20">
        <f>VLOOKUP($R52,武学奇术!$A:$ZZ,28,FALSE)</f>
        <v>3.744</v>
      </c>
      <c r="AL52" s="21">
        <f>VLOOKUP($R52,武学奇术!$A:$ZZ,29,FALSE)*(1+IF(OR($AH52=$F$4,$AH52=$F$5),$B$22,0))</f>
        <v>0</v>
      </c>
      <c r="AM52" s="20" cm="1">
        <f t="array" ref="AM52">$G$3+IFERROR(VLOOKUP($AH52,$F$4:$G$7,2,FALSE),0)+VLOOKUP($R52,武学奇术!$A:$ZZ,2,FALSE)+SUM(_xlfn.XLOOKUP($S52:$AG52,增益!$A:$A,增益!$B:$B,0))</f>
        <v>1.4691</v>
      </c>
      <c r="AN52" s="20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1585.72</v>
      </c>
      <c r="AP52" cm="1">
        <f t="array" ref="AP52">$E$10*(1+$AN52)+VLOOKUP($R52,武学奇术!$A:$ZZ,4,FALSE)+SUM(_xlfn.XLOOKUP($S52:$AG52,增益!$A:$A,增益!$D:$D,0))-$I$2</f>
        <v>6696.76</v>
      </c>
      <c r="AQ52" s="29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0.4175</v>
      </c>
      <c r="AR52" s="29" cm="1">
        <f t="array" ref="AR52">$G$10+VLOOKUP($R52,武学奇术!$A:$ZZ,7,FALSE)+SUM(_xlfn.XLOOKUP(S52:AG52,增益!$A:$A,增益!$G:$G,0))</f>
        <v>0</v>
      </c>
      <c r="AS52" s="20" cm="1">
        <f t="array" ref="AS52">VLOOKUP($R52,武学奇术!$A:$ZZ,8,FALSE)+SUM(_xlfn.XLOOKUP(S52:AG52,增益!$A:$A,增益!$H:$H,0))</f>
        <v>0</v>
      </c>
      <c r="AT52">
        <f t="shared" si="18"/>
        <v>538</v>
      </c>
      <c r="AU52">
        <f t="shared" si="19"/>
        <v>1011</v>
      </c>
      <c r="AV52" s="29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0.075</v>
      </c>
      <c r="AW52" s="29" cm="1">
        <f t="array" ref="AW52">$G$11+VLOOKUP($R52,武学奇术!$A:$ZZ,10,FALSE)+SUM(_xlfn.XLOOKUP(S52:AG52,增益!$A:$A,增益!$J:$J,0))</f>
        <v>0.25</v>
      </c>
      <c r="AX52">
        <f t="shared" si="20"/>
        <v>0</v>
      </c>
      <c r="AY52">
        <f t="shared" si="21"/>
        <v>0</v>
      </c>
      <c r="AZ52" s="29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29" cm="1">
        <f t="array" ref="BA52">$G$12+VLOOKUP($R52,武学奇术!$A:$ZZ,12,FALSE)+SUM(_xlfn.XLOOKUP(S52:AG52,增益!$A:$A,增益!$L:$L,0))</f>
        <v>0</v>
      </c>
      <c r="BB52">
        <f t="shared" si="13"/>
        <v>0</v>
      </c>
      <c r="BC52">
        <f t="shared" si="14"/>
        <v>0</v>
      </c>
      <c r="BD52" s="29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29" cm="1">
        <f t="array" ref="BE52">$G$13+VLOOKUP($R52,武学奇术!$A:$ZZ,14,FALSE)+SUM(_xlfn.XLOOKUP(S52:AG52,增益!$A:$A,增益!$N:$N,0))</f>
        <v>0</v>
      </c>
      <c r="BF52">
        <f t="shared" si="15"/>
        <v>0</v>
      </c>
      <c r="BG52">
        <f t="shared" si="16"/>
        <v>0</v>
      </c>
      <c r="BH52" s="29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29" cm="1">
        <f t="array" ref="BI52">$G$14+VLOOKUP($R52,武学奇术!$A:$ZZ,16,FALSE)+SUM(_xlfn.XLOOKUP(S52:AG52,增益!$A:$A,增益!$P:$P,0))</f>
        <v>0</v>
      </c>
      <c r="BJ52" s="20">
        <f>MIN(IF(VLOOKUP($R52,武学奇术!$A:$ZZ,23,FALSE)=1,100%,$B$8),100%)</f>
        <v>0.8271</v>
      </c>
      <c r="BK52" s="20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0.2249</v>
      </c>
      <c r="BL52" s="20" cm="1">
        <f t="array" ref="BL52">1+$B$13+VLOOKUP($R52,武学奇术!$A:$ZZ,18,FALSE)+SUM(_xlfn.XLOOKUP(S52:AG52,增益!$A:$A,增益!$R:$R,0))</f>
        <v>1.5</v>
      </c>
      <c r="BM52" s="20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0.4459</v>
      </c>
      <c r="BN52" s="20" cm="1">
        <f t="array" ref="BN52">1+$B$14+VLOOKUP($R52,武学奇术!$A:$ZZ,20,FALSE)+SUM(_xlfn.XLOOKUP(S52:AG52,增益!$A:$A,增益!$T:$T,0))</f>
        <v>1.782</v>
      </c>
      <c r="BO52" s="20">
        <f t="shared" si="11"/>
        <v>0.18601479</v>
      </c>
      <c r="BP52" s="20">
        <f t="shared" si="17"/>
        <v>0.27228132</v>
      </c>
      <c r="BQ52" s="20">
        <f>IF(VLOOKUP($R52,武学奇术!$A:$ZZ,22,FALSE)=1,0,(1-$BJ52))*(1-$BM52)</f>
        <v>0.09580389</v>
      </c>
      <c r="BR52" s="20" cm="1">
        <f t="array" ref="BR52">SUM(_xlfn.XLOOKUP(S52:AG52,增益!$A:$A,增益!$W:$W,0))+$I$5</f>
        <v>0.31</v>
      </c>
    </row>
    <row r="53" spans="4:70">
      <c r="K53" s="27">
        <f>$L53*VLOOKUP($R53,武学奇术!$A:$ZZ,31,FALSE)</f>
        <v>16809.1656191186</v>
      </c>
      <c r="L53" s="27">
        <f t="shared" si="12"/>
        <v>16809.1656191186</v>
      </c>
      <c r="M53" s="27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14803.8054396058</v>
      </c>
      <c r="N53" s="27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24546.202029109</v>
      </c>
      <c r="O53" s="27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9869.20362640387</v>
      </c>
      <c r="P53" s="27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4416.18376397569</v>
      </c>
      <c r="Q53" s="35">
        <v>1</v>
      </c>
      <c r="R53" s="36" t="s">
        <v>107</v>
      </c>
      <c r="S53" s="36" t="s">
        <v>152</v>
      </c>
      <c r="T53" s="36" t="s">
        <v>93</v>
      </c>
      <c r="U53" s="36" t="s">
        <v>71</v>
      </c>
      <c r="V53" s="36" t="s">
        <v>71</v>
      </c>
      <c r="W53" s="36" t="s">
        <v>111</v>
      </c>
      <c r="X53" s="36" t="s">
        <v>71</v>
      </c>
      <c r="Y53" s="36" t="s">
        <v>153</v>
      </c>
      <c r="Z53" s="36" t="s">
        <v>71</v>
      </c>
      <c r="AA53" s="36" t="s">
        <v>71</v>
      </c>
      <c r="AB53" s="36" t="s">
        <v>71</v>
      </c>
      <c r="AC53" s="36" t="s">
        <v>71</v>
      </c>
      <c r="AD53" s="36" t="s">
        <v>72</v>
      </c>
      <c r="AE53" s="36" t="s">
        <v>94</v>
      </c>
      <c r="AF53" s="36" t="s">
        <v>154</v>
      </c>
      <c r="AG53" s="36" t="s">
        <v>120</v>
      </c>
      <c r="AH53" t="str">
        <f>VLOOKUP($R53,武学奇术!$A:$ZZ,25,FALSE)</f>
        <v>剑</v>
      </c>
      <c r="AI53" s="20">
        <f>VLOOKUP($R53,武学奇术!$A:$ZZ,26,FALSE)</f>
        <v>0.625</v>
      </c>
      <c r="AJ53" s="21">
        <f>VLOOKUP($R53,武学奇术!$A:$ZZ,27,FALSE)*(1+IF(OR($AH53=$F$4,$AH53=$F$5),$B$22,0))</f>
        <v>0</v>
      </c>
      <c r="AK53" s="20">
        <f>VLOOKUP($R53,武学奇术!$A:$ZZ,28,FALSE)</f>
        <v>0.9375</v>
      </c>
      <c r="AL53" s="21">
        <f>VLOOKUP($R53,武学奇术!$A:$ZZ,29,FALSE)*(1+IF(OR($AH53=$F$4,$AH53=$F$5),$B$22,0))</f>
        <v>0</v>
      </c>
      <c r="AM53" s="20" cm="1">
        <f t="array" ref="AM53">$G$3+IFERROR(VLOOKUP($AH53,$F$4:$G$7,2,FALSE),0)+VLOOKUP($R53,武学奇术!$A:$ZZ,2,FALSE)+SUM(_xlfn.XLOOKUP($S53:$AG53,增益!$A:$A,增益!$B:$B,0))</f>
        <v>0.7191</v>
      </c>
      <c r="AN53" s="20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1585.72</v>
      </c>
      <c r="AP53" cm="1">
        <f t="array" ref="AP53">$E$10*(1+$AN53)+VLOOKUP($R53,武学奇术!$A:$ZZ,4,FALSE)+SUM(_xlfn.XLOOKUP($S53:$AG53,增益!$A:$A,增益!$D:$D,0))-$I$2</f>
        <v>6696.76</v>
      </c>
      <c r="AQ53" s="29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0.3425</v>
      </c>
      <c r="AR53" s="29" cm="1">
        <f t="array" ref="AR53">$G$10+VLOOKUP($R53,武学奇术!$A:$ZZ,7,FALSE)+SUM(_xlfn.XLOOKUP(S53:AG53,增益!$A:$A,增益!$G:$G,0))</f>
        <v>0</v>
      </c>
      <c r="AS53" s="20" cm="1">
        <f t="array" ref="AS53">VLOOKUP($R53,武学奇术!$A:$ZZ,8,FALSE)+SUM(_xlfn.XLOOKUP(S53:AG53,增益!$A:$A,增益!$H:$H,0))</f>
        <v>0</v>
      </c>
      <c r="AT53">
        <f t="shared" si="18"/>
        <v>538</v>
      </c>
      <c r="AU53">
        <f t="shared" si="19"/>
        <v>1011</v>
      </c>
      <c r="AV53" s="29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</v>
      </c>
      <c r="AW53" s="29" cm="1">
        <f t="array" ref="AW53">$G$11+VLOOKUP($R53,武学奇术!$A:$ZZ,10,FALSE)+SUM(_xlfn.XLOOKUP(S53:AG53,增益!$A:$A,增益!$J:$J,0))</f>
        <v>0.25</v>
      </c>
      <c r="AX53">
        <f t="shared" si="20"/>
        <v>0</v>
      </c>
      <c r="AY53">
        <f t="shared" si="21"/>
        <v>0</v>
      </c>
      <c r="AZ53" s="29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29" cm="1">
        <f t="array" ref="BA53">$G$12+VLOOKUP($R53,武学奇术!$A:$ZZ,12,FALSE)+SUM(_xlfn.XLOOKUP(S53:AG53,增益!$A:$A,增益!$L:$L,0))</f>
        <v>0</v>
      </c>
      <c r="BB53">
        <f t="shared" si="13"/>
        <v>0</v>
      </c>
      <c r="BC53">
        <f t="shared" si="14"/>
        <v>0</v>
      </c>
      <c r="BD53" s="29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29" cm="1">
        <f t="array" ref="BE53">$G$13+VLOOKUP($R53,武学奇术!$A:$ZZ,14,FALSE)+SUM(_xlfn.XLOOKUP(S53:AG53,增益!$A:$A,增益!$N:$N,0))</f>
        <v>0</v>
      </c>
      <c r="BF53">
        <f t="shared" si="15"/>
        <v>0</v>
      </c>
      <c r="BG53">
        <f t="shared" si="16"/>
        <v>0</v>
      </c>
      <c r="BH53" s="29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29" cm="1">
        <f t="array" ref="BI53">$G$14+VLOOKUP($R53,武学奇术!$A:$ZZ,16,FALSE)+SUM(_xlfn.XLOOKUP(S53:AG53,增益!$A:$A,增益!$P:$P,0))</f>
        <v>0</v>
      </c>
      <c r="BJ53" s="20">
        <f>MIN(IF(VLOOKUP($R53,武学奇术!$A:$ZZ,23,FALSE)=1,100%,$B$8),100%)</f>
        <v>0.8271</v>
      </c>
      <c r="BK53" s="20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0.2249</v>
      </c>
      <c r="BL53" s="20" cm="1">
        <f t="array" ref="BL53">1+$B$13+VLOOKUP($R53,武学奇术!$A:$ZZ,18,FALSE)+SUM(_xlfn.XLOOKUP(S53:AG53,增益!$A:$A,增益!$R:$R,0))</f>
        <v>1.5</v>
      </c>
      <c r="BM53" s="20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0.4459</v>
      </c>
      <c r="BN53" s="20" cm="1">
        <f t="array" ref="BN53">1+$B$14+VLOOKUP($R53,武学奇术!$A:$ZZ,20,FALSE)+SUM(_xlfn.XLOOKUP(S53:AG53,增益!$A:$A,增益!$T:$T,0))</f>
        <v>1.602</v>
      </c>
      <c r="BO53" s="20">
        <f t="shared" si="11"/>
        <v>0.18601479</v>
      </c>
      <c r="BP53" s="20">
        <f t="shared" si="17"/>
        <v>0.27228132</v>
      </c>
      <c r="BQ53" s="20">
        <f>IF(VLOOKUP($R53,武学奇术!$A:$ZZ,22,FALSE)=1,0,(1-$BJ53))*(1-$BM53)</f>
        <v>0.09580389</v>
      </c>
      <c r="BR53" s="20" cm="1">
        <f t="array" ref="BR53">SUM(_xlfn.XLOOKUP(S53:AG53,增益!$A:$A,增益!$W:$W,0))+$I$5</f>
        <v>0.31</v>
      </c>
    </row>
    <row r="54" spans="4:70">
      <c r="K54" s="27">
        <f>$L54*VLOOKUP($R54,武学奇术!$A:$ZZ,31,FALSE)</f>
        <v>68349.6866917325</v>
      </c>
      <c r="L54" s="27">
        <f t="shared" si="12"/>
        <v>68349.6866917325</v>
      </c>
      <c r="M54" s="27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61610.119754351</v>
      </c>
      <c r="N54" s="27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97995.4596138087</v>
      </c>
      <c r="O54" s="27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41073.4131695673</v>
      </c>
      <c r="P54" s="27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20976.1274541105</v>
      </c>
      <c r="Q54" s="35">
        <v>1</v>
      </c>
      <c r="R54" s="36" t="s">
        <v>81</v>
      </c>
      <c r="S54" s="36" t="s">
        <v>71</v>
      </c>
      <c r="T54" s="36" t="s">
        <v>93</v>
      </c>
      <c r="U54" s="36" t="s">
        <v>71</v>
      </c>
      <c r="V54" s="36" t="s">
        <v>71</v>
      </c>
      <c r="W54" s="36" t="s">
        <v>111</v>
      </c>
      <c r="X54" s="36" t="s">
        <v>71</v>
      </c>
      <c r="Y54" s="36" t="s">
        <v>71</v>
      </c>
      <c r="Z54" s="36" t="s">
        <v>82</v>
      </c>
      <c r="AA54" s="36" t="s">
        <v>71</v>
      </c>
      <c r="AB54" s="36" t="s">
        <v>71</v>
      </c>
      <c r="AC54" s="36" t="s">
        <v>71</v>
      </c>
      <c r="AD54" s="36" t="s">
        <v>72</v>
      </c>
      <c r="AE54" s="36" t="s">
        <v>94</v>
      </c>
      <c r="AF54" s="36" t="s">
        <v>154</v>
      </c>
      <c r="AG54" s="36" t="s">
        <v>120</v>
      </c>
      <c r="AH54" t="str">
        <f>VLOOKUP($R54,武学奇术!$A:$ZZ,25,FALSE)</f>
        <v>剑</v>
      </c>
      <c r="AI54" s="20">
        <f>VLOOKUP($R54,武学奇术!$A:$ZZ,26,FALSE)</f>
        <v>2.7205</v>
      </c>
      <c r="AJ54" s="21">
        <f>VLOOKUP($R54,武学奇术!$A:$ZZ,27,FALSE)*(1+IF(OR($AH54=$F$4,$AH54=$F$5),$B$22,0))</f>
        <v>1048.6</v>
      </c>
      <c r="AK54" s="20">
        <f>VLOOKUP($R54,武学奇术!$A:$ZZ,28,FALSE)</f>
        <v>4.0806</v>
      </c>
      <c r="AL54" s="21">
        <f>VLOOKUP($R54,武学奇术!$A:$ZZ,29,FALSE)*(1+IF(OR($AH54=$F$4,$AH54=$F$5),$B$22,0))</f>
        <v>572.6</v>
      </c>
      <c r="AM54" s="20" cm="1">
        <f t="array" ref="AM54">$G$3+IFERROR(VLOOKUP($AH54,$F$4:$G$7,2,FALSE),0)+VLOOKUP($R54,武学奇术!$A:$ZZ,2,FALSE)+SUM(_xlfn.XLOOKUP($S54:$AG54,增益!$A:$A,增益!$B:$B,0))</f>
        <v>0.7191</v>
      </c>
      <c r="AN54" s="20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1585.72</v>
      </c>
      <c r="AP54" cm="1">
        <f t="array" ref="AP54">$E$10*(1+$AN54)+VLOOKUP($R54,武学奇术!$A:$ZZ,4,FALSE)+SUM(_xlfn.XLOOKUP($S54:$AG54,增益!$A:$A,增益!$D:$D,0))-$I$2</f>
        <v>6696.76</v>
      </c>
      <c r="AQ54" s="29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0.3425</v>
      </c>
      <c r="AR54" s="29" cm="1">
        <f t="array" ref="AR54">$G$10+VLOOKUP($R54,武学奇术!$A:$ZZ,7,FALSE)+SUM(_xlfn.XLOOKUP(S54:AG54,增益!$A:$A,增益!$G:$G,0))</f>
        <v>0</v>
      </c>
      <c r="AS54" s="20" cm="1">
        <f t="array" ref="AS54">VLOOKUP($R54,武学奇术!$A:$ZZ,8,FALSE)+SUM(_xlfn.XLOOKUP(S54:AG54,增益!$A:$A,增益!$H:$H,0))</f>
        <v>0</v>
      </c>
      <c r="AT54">
        <f t="shared" si="18"/>
        <v>538</v>
      </c>
      <c r="AU54">
        <f t="shared" si="19"/>
        <v>1011</v>
      </c>
      <c r="AV54" s="29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0.08</v>
      </c>
      <c r="AW54" s="29" cm="1">
        <f t="array" ref="AW54">$G$11+VLOOKUP($R54,武学奇术!$A:$ZZ,10,FALSE)+SUM(_xlfn.XLOOKUP(S54:AG54,增益!$A:$A,增益!$J:$J,0))</f>
        <v>0.15</v>
      </c>
      <c r="AX54">
        <f t="shared" si="20"/>
        <v>0</v>
      </c>
      <c r="AY54">
        <f t="shared" si="21"/>
        <v>0</v>
      </c>
      <c r="AZ54" s="29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-0.14</v>
      </c>
      <c r="BA54" s="29" cm="1">
        <f t="array" ref="BA54">$G$12+VLOOKUP($R54,武学奇术!$A:$ZZ,12,FALSE)+SUM(_xlfn.XLOOKUP(S54:AG54,增益!$A:$A,增益!$L:$L,0))</f>
        <v>0</v>
      </c>
      <c r="BB54">
        <f t="shared" si="13"/>
        <v>0</v>
      </c>
      <c r="BC54">
        <f t="shared" si="14"/>
        <v>0</v>
      </c>
      <c r="BD54" s="29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-0.14</v>
      </c>
      <c r="BE54" s="29" cm="1">
        <f t="array" ref="BE54">$G$13+VLOOKUP($R54,武学奇术!$A:$ZZ,14,FALSE)+SUM(_xlfn.XLOOKUP(S54:AG54,增益!$A:$A,增益!$N:$N,0))</f>
        <v>0</v>
      </c>
      <c r="BF54">
        <f t="shared" si="15"/>
        <v>0</v>
      </c>
      <c r="BG54">
        <f t="shared" si="16"/>
        <v>0</v>
      </c>
      <c r="BH54" s="29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-0.14</v>
      </c>
      <c r="BI54" s="29" cm="1">
        <f t="array" ref="BI54">$G$14+VLOOKUP($R54,武学奇术!$A:$ZZ,16,FALSE)+SUM(_xlfn.XLOOKUP(S54:AG54,增益!$A:$A,增益!$P:$P,0))</f>
        <v>0</v>
      </c>
      <c r="BJ54" s="20">
        <f>MIN(IF(VLOOKUP($R54,武学奇术!$A:$ZZ,23,FALSE)=1,100%,$B$8),100%)</f>
        <v>0.8271</v>
      </c>
      <c r="BK54" s="20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0.2249</v>
      </c>
      <c r="BL54" s="20" cm="1">
        <f t="array" ref="BL54">1+$B$13+VLOOKUP($R54,武学奇术!$A:$ZZ,18,FALSE)+SUM(_xlfn.XLOOKUP(S54:AG54,增益!$A:$A,增益!$R:$R,0))</f>
        <v>1.5</v>
      </c>
      <c r="BM54" s="20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0.4459</v>
      </c>
      <c r="BN54" s="20" cm="1">
        <f t="array" ref="BN54">1+$B$14+VLOOKUP($R54,武学奇术!$A:$ZZ,20,FALSE)+SUM(_xlfn.XLOOKUP(S54:AG54,增益!$A:$A,增益!$T:$T,0))</f>
        <v>1.602</v>
      </c>
      <c r="BO54" s="20">
        <f t="shared" si="11"/>
        <v>0.18601479</v>
      </c>
      <c r="BP54" s="20">
        <f t="shared" si="17"/>
        <v>0.27228132</v>
      </c>
      <c r="BQ54" s="20">
        <f>IF(VLOOKUP($R54,武学奇术!$A:$ZZ,22,FALSE)=1,0,(1-$BJ54))*(1-$BM54)</f>
        <v>0.09580389</v>
      </c>
      <c r="BR54" s="20" cm="1">
        <f t="array" ref="BR54">SUM(_xlfn.XLOOKUP(S54:AG54,增益!$A:$A,增益!$W:$W,0))+$I$5</f>
        <v>0.11</v>
      </c>
    </row>
    <row r="55" spans="4:70">
      <c r="K55" s="27">
        <f>$L55*VLOOKUP($R55,武学奇术!$A:$ZZ,31,FALSE)</f>
        <v>73403.7618963153</v>
      </c>
      <c r="L55" s="27">
        <f t="shared" si="12"/>
        <v>122339.603160526</v>
      </c>
      <c r="M55" s="27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100411.424933579</v>
      </c>
      <c r="N55" s="27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185160.368628486</v>
      </c>
      <c r="O55" s="27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66940.9499557191</v>
      </c>
      <c r="P55" s="27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29975.9691434889</v>
      </c>
      <c r="Q55" s="35">
        <v>1</v>
      </c>
      <c r="R55" s="36" t="s">
        <v>105</v>
      </c>
      <c r="S55" s="36" t="s">
        <v>71</v>
      </c>
      <c r="T55" s="36" t="s">
        <v>99</v>
      </c>
      <c r="U55" s="36" t="s">
        <v>100</v>
      </c>
      <c r="V55" s="36" t="s">
        <v>101</v>
      </c>
      <c r="W55" s="36" t="s">
        <v>111</v>
      </c>
      <c r="X55" s="36" t="s">
        <v>71</v>
      </c>
      <c r="Y55" s="36" t="s">
        <v>71</v>
      </c>
      <c r="Z55" s="36" t="s">
        <v>82</v>
      </c>
      <c r="AA55" s="36" t="s">
        <v>71</v>
      </c>
      <c r="AB55" s="36" t="s">
        <v>71</v>
      </c>
      <c r="AC55" s="36" t="s">
        <v>71</v>
      </c>
      <c r="AD55" s="36" t="s">
        <v>72</v>
      </c>
      <c r="AE55" s="36" t="s">
        <v>94</v>
      </c>
      <c r="AF55" s="36" t="s">
        <v>154</v>
      </c>
      <c r="AG55" s="36" t="s">
        <v>120</v>
      </c>
      <c r="AH55" t="str">
        <f>VLOOKUP($R55,武学奇术!$A:$ZZ,25,FALSE)</f>
        <v>剑</v>
      </c>
      <c r="AI55" s="20">
        <f>VLOOKUP($R55,武学奇术!$A:$ZZ,26,FALSE)</f>
        <v>2.496</v>
      </c>
      <c r="AJ55" s="21">
        <f>VLOOKUP($R55,武学奇术!$A:$ZZ,27,FALSE)*(1+IF(OR($AH55=$F$4,$AH55=$F$5),$B$22,0))</f>
        <v>0</v>
      </c>
      <c r="AK55" s="20">
        <f>VLOOKUP($R55,武学奇术!$A:$ZZ,28,FALSE)</f>
        <v>3.744</v>
      </c>
      <c r="AL55" s="21">
        <f>VLOOKUP($R55,武学奇术!$A:$ZZ,29,FALSE)*(1+IF(OR($AH55=$F$4,$AH55=$F$5),$B$22,0))</f>
        <v>0</v>
      </c>
      <c r="AM55" s="20" cm="1">
        <f t="array" ref="AM55">$G$3+IFERROR(VLOOKUP($AH55,$F$4:$G$7,2,FALSE),0)+VLOOKUP($R55,武学奇术!$A:$ZZ,2,FALSE)+SUM(_xlfn.XLOOKUP($S55:$AG55,增益!$A:$A,增益!$B:$B,0))</f>
        <v>1.4691</v>
      </c>
      <c r="AN55" s="20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1585.72</v>
      </c>
      <c r="AP55" cm="1">
        <f t="array" ref="AP55">$E$10*(1+$AN55)+VLOOKUP($R55,武学奇术!$A:$ZZ,4,FALSE)+SUM(_xlfn.XLOOKUP($S55:$AG55,增益!$A:$A,增益!$D:$D,0))-$I$2</f>
        <v>6696.76</v>
      </c>
      <c r="AQ55" s="29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0.4175</v>
      </c>
      <c r="AR55" s="29" cm="1">
        <f t="array" ref="AR55">$G$10+VLOOKUP($R55,武学奇术!$A:$ZZ,7,FALSE)+SUM(_xlfn.XLOOKUP(S55:AG55,增益!$A:$A,增益!$G:$G,0))</f>
        <v>0</v>
      </c>
      <c r="AS55" s="20" cm="1">
        <f t="array" ref="AS55">VLOOKUP($R55,武学奇术!$A:$ZZ,8,FALSE)+SUM(_xlfn.XLOOKUP(S55:AG55,增益!$A:$A,增益!$H:$H,0))</f>
        <v>0</v>
      </c>
      <c r="AT55">
        <f t="shared" si="18"/>
        <v>538</v>
      </c>
      <c r="AU55">
        <f t="shared" si="19"/>
        <v>1011</v>
      </c>
      <c r="AV55" s="29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0.155</v>
      </c>
      <c r="AW55" s="29" cm="1">
        <f t="array" ref="AW55">$G$11+VLOOKUP($R55,武学奇术!$A:$ZZ,10,FALSE)+SUM(_xlfn.XLOOKUP(S55:AG55,增益!$A:$A,增益!$J:$J,0))</f>
        <v>0.15</v>
      </c>
      <c r="AX55">
        <f t="shared" si="20"/>
        <v>0</v>
      </c>
      <c r="AY55">
        <f t="shared" si="21"/>
        <v>0</v>
      </c>
      <c r="AZ55" s="29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-0.14</v>
      </c>
      <c r="BA55" s="29" cm="1">
        <f t="array" ref="BA55">$G$12+VLOOKUP($R55,武学奇术!$A:$ZZ,12,FALSE)+SUM(_xlfn.XLOOKUP(S55:AG55,增益!$A:$A,增益!$L:$L,0))</f>
        <v>0</v>
      </c>
      <c r="BB55">
        <f t="shared" si="13"/>
        <v>0</v>
      </c>
      <c r="BC55">
        <f t="shared" si="14"/>
        <v>0</v>
      </c>
      <c r="BD55" s="29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-0.14</v>
      </c>
      <c r="BE55" s="29" cm="1">
        <f t="array" ref="BE55">$G$13+VLOOKUP($R55,武学奇术!$A:$ZZ,14,FALSE)+SUM(_xlfn.XLOOKUP(S55:AG55,增益!$A:$A,增益!$N:$N,0))</f>
        <v>0</v>
      </c>
      <c r="BF55">
        <f t="shared" si="15"/>
        <v>0</v>
      </c>
      <c r="BG55">
        <f t="shared" si="16"/>
        <v>0</v>
      </c>
      <c r="BH55" s="29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-0.14</v>
      </c>
      <c r="BI55" s="29" cm="1">
        <f t="array" ref="BI55">$G$14+VLOOKUP($R55,武学奇术!$A:$ZZ,16,FALSE)+SUM(_xlfn.XLOOKUP(S55:AG55,增益!$A:$A,增益!$P:$P,0))</f>
        <v>0</v>
      </c>
      <c r="BJ55" s="20">
        <f>MIN(IF(VLOOKUP($R55,武学奇术!$A:$ZZ,23,FALSE)=1,100%,$B$8),100%)</f>
        <v>0.8271</v>
      </c>
      <c r="BK55" s="20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0.2249</v>
      </c>
      <c r="BL55" s="20" cm="1">
        <f t="array" ref="BL55">1+$B$13+VLOOKUP($R55,武学奇术!$A:$ZZ,18,FALSE)+SUM(_xlfn.XLOOKUP(S55:AG55,增益!$A:$A,增益!$R:$R,0))</f>
        <v>1.5</v>
      </c>
      <c r="BM55" s="20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0.4459</v>
      </c>
      <c r="BN55" s="20" cm="1">
        <f t="array" ref="BN55">1+$B$14+VLOOKUP($R55,武学奇术!$A:$ZZ,20,FALSE)+SUM(_xlfn.XLOOKUP(S55:AG55,增益!$A:$A,增益!$T:$T,0))</f>
        <v>1.782</v>
      </c>
      <c r="BO55" s="20">
        <f t="shared" si="11"/>
        <v>0.18601479</v>
      </c>
      <c r="BP55" s="20">
        <f t="shared" si="17"/>
        <v>0.27228132</v>
      </c>
      <c r="BQ55" s="20">
        <f>IF(VLOOKUP($R55,武学奇术!$A:$ZZ,22,FALSE)=1,0,(1-$BJ55))*(1-$BM55)</f>
        <v>0.09580389</v>
      </c>
      <c r="BR55" s="20" cm="1">
        <f t="array" ref="BR55">SUM(_xlfn.XLOOKUP(S55:AG55,增益!$A:$A,增益!$W:$W,0))+$I$5</f>
        <v>0.11</v>
      </c>
    </row>
    <row r="56" spans="4:70">
      <c r="K56" s="27">
        <f>$L56*VLOOKUP($R56,武学奇术!$A:$ZZ,31,FALSE)</f>
        <v>18017.6984484153</v>
      </c>
      <c r="L56" s="27">
        <f t="shared" si="12"/>
        <v>18017.6984484153</v>
      </c>
      <c r="M56" s="27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15866.268146011</v>
      </c>
      <c r="N56" s="27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26313.4312584395</v>
      </c>
      <c r="O56" s="27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10577.5120973407</v>
      </c>
      <c r="P56" s="27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4729.66136169792</v>
      </c>
      <c r="Q56" s="35">
        <v>1</v>
      </c>
      <c r="R56" s="36" t="s">
        <v>155</v>
      </c>
      <c r="S56" s="36" t="s">
        <v>71</v>
      </c>
      <c r="T56" s="36" t="s">
        <v>93</v>
      </c>
      <c r="U56" s="36" t="s">
        <v>71</v>
      </c>
      <c r="V56" s="36" t="s">
        <v>71</v>
      </c>
      <c r="W56" s="36" t="s">
        <v>111</v>
      </c>
      <c r="X56" s="36" t="s">
        <v>71</v>
      </c>
      <c r="Y56" s="36" t="s">
        <v>71</v>
      </c>
      <c r="Z56" s="36" t="s">
        <v>82</v>
      </c>
      <c r="AA56" s="36" t="s">
        <v>71</v>
      </c>
      <c r="AB56" s="36" t="s">
        <v>71</v>
      </c>
      <c r="AC56" s="36" t="s">
        <v>71</v>
      </c>
      <c r="AD56" s="36" t="s">
        <v>72</v>
      </c>
      <c r="AE56" s="36" t="s">
        <v>94</v>
      </c>
      <c r="AF56" s="36" t="s">
        <v>154</v>
      </c>
      <c r="AG56" s="36" t="s">
        <v>120</v>
      </c>
      <c r="AH56" t="str">
        <f>VLOOKUP($R56,武学奇术!$A:$ZZ,25,FALSE)</f>
        <v>剑</v>
      </c>
      <c r="AI56" s="20">
        <f>VLOOKUP($R56,武学奇术!$A:$ZZ,26,FALSE)</f>
        <v>0.7916</v>
      </c>
      <c r="AJ56" s="21">
        <f>VLOOKUP($R56,武学奇术!$A:$ZZ,27,FALSE)*(1+IF(OR($AH56=$F$4,$AH56=$F$5),$B$22,0))</f>
        <v>0</v>
      </c>
      <c r="AK56" s="20">
        <f>VLOOKUP($R56,武学奇术!$A:$ZZ,28,FALSE)</f>
        <v>1.1874</v>
      </c>
      <c r="AL56" s="21">
        <f>VLOOKUP($R56,武学奇术!$A:$ZZ,29,FALSE)*(1+IF(OR($AH56=$F$4,$AH56=$F$5),$B$22,0))</f>
        <v>0</v>
      </c>
      <c r="AM56" s="20" cm="1">
        <f t="array" ref="AM56">$G$3+IFERROR(VLOOKUP($AH56,$F$4:$G$7,2,FALSE),0)+VLOOKUP($R56,武学奇术!$A:$ZZ,2,FALSE)+SUM(_xlfn.XLOOKUP($S56:$AG56,增益!$A:$A,增益!$B:$B,0))</f>
        <v>0.7191</v>
      </c>
      <c r="AN56" s="20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1585.72</v>
      </c>
      <c r="AP56" cm="1">
        <f t="array" ref="AP56">$E$10*(1+$AN56)+VLOOKUP($R56,武学奇术!$A:$ZZ,4,FALSE)+SUM(_xlfn.XLOOKUP($S56:$AG56,增益!$A:$A,增益!$D:$D,0))-$I$2</f>
        <v>6696.76</v>
      </c>
      <c r="AQ56" s="29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0.3425</v>
      </c>
      <c r="AR56" s="29" cm="1">
        <f t="array" ref="AR56">$G$10+VLOOKUP($R56,武学奇术!$A:$ZZ,7,FALSE)+SUM(_xlfn.XLOOKUP(S56:AG56,增益!$A:$A,增益!$G:$G,0))</f>
        <v>0</v>
      </c>
      <c r="AS56" s="20" cm="1">
        <f t="array" ref="AS56">VLOOKUP($R56,武学奇术!$A:$ZZ,8,FALSE)+SUM(_xlfn.XLOOKUP(S56:AG56,增益!$A:$A,增益!$H:$H,0))</f>
        <v>0</v>
      </c>
      <c r="AT56">
        <f t="shared" si="18"/>
        <v>538</v>
      </c>
      <c r="AU56">
        <f t="shared" si="19"/>
        <v>1011</v>
      </c>
      <c r="AV56" s="29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0.08</v>
      </c>
      <c r="AW56" s="29" cm="1">
        <f t="array" ref="AW56">$G$11+VLOOKUP($R56,武学奇术!$A:$ZZ,10,FALSE)+SUM(_xlfn.XLOOKUP(S56:AG56,增益!$A:$A,增益!$J:$J,0))</f>
        <v>0.15</v>
      </c>
      <c r="AX56">
        <f t="shared" si="20"/>
        <v>0</v>
      </c>
      <c r="AY56">
        <f t="shared" si="21"/>
        <v>0</v>
      </c>
      <c r="AZ56" s="29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-0.14</v>
      </c>
      <c r="BA56" s="29" cm="1">
        <f t="array" ref="BA56">$G$12+VLOOKUP($R56,武学奇术!$A:$ZZ,12,FALSE)+SUM(_xlfn.XLOOKUP(S56:AG56,增益!$A:$A,增益!$L:$L,0))</f>
        <v>0</v>
      </c>
      <c r="BB56">
        <f t="shared" si="13"/>
        <v>0</v>
      </c>
      <c r="BC56">
        <f t="shared" si="14"/>
        <v>0</v>
      </c>
      <c r="BD56" s="29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-0.14</v>
      </c>
      <c r="BE56" s="29" cm="1">
        <f t="array" ref="BE56">$G$13+VLOOKUP($R56,武学奇术!$A:$ZZ,14,FALSE)+SUM(_xlfn.XLOOKUP(S56:AG56,增益!$A:$A,增益!$N:$N,0))</f>
        <v>0</v>
      </c>
      <c r="BF56">
        <f t="shared" si="15"/>
        <v>0</v>
      </c>
      <c r="BG56">
        <f t="shared" si="16"/>
        <v>0</v>
      </c>
      <c r="BH56" s="29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-0.14</v>
      </c>
      <c r="BI56" s="29" cm="1">
        <f t="array" ref="BI56">$G$14+VLOOKUP($R56,武学奇术!$A:$ZZ,16,FALSE)+SUM(_xlfn.XLOOKUP(S56:AG56,增益!$A:$A,增益!$P:$P,0))</f>
        <v>0</v>
      </c>
      <c r="BJ56" s="20">
        <f>MIN(IF(VLOOKUP($R56,武学奇术!$A:$ZZ,23,FALSE)=1,100%,$B$8),100%)</f>
        <v>0.8271</v>
      </c>
      <c r="BK56" s="20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0.2249</v>
      </c>
      <c r="BL56" s="20" cm="1">
        <f t="array" ref="BL56">1+$B$13+VLOOKUP($R56,武学奇术!$A:$ZZ,18,FALSE)+SUM(_xlfn.XLOOKUP(S56:AG56,增益!$A:$A,增益!$R:$R,0))</f>
        <v>1.5</v>
      </c>
      <c r="BM56" s="20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0.4459</v>
      </c>
      <c r="BN56" s="20" cm="1">
        <f t="array" ref="BN56">1+$B$14+VLOOKUP($R56,武学奇术!$A:$ZZ,20,FALSE)+SUM(_xlfn.XLOOKUP(S56:AG56,增益!$A:$A,增益!$T:$T,0))</f>
        <v>1.602</v>
      </c>
      <c r="BO56" s="20">
        <f t="shared" si="11"/>
        <v>0.18601479</v>
      </c>
      <c r="BP56" s="20">
        <f t="shared" si="17"/>
        <v>0.27228132</v>
      </c>
      <c r="BQ56" s="20">
        <f>IF(VLOOKUP($R56,武学奇术!$A:$ZZ,22,FALSE)=1,0,(1-$BJ56))*(1-$BM56)</f>
        <v>0.09580389</v>
      </c>
      <c r="BR56" s="20" cm="1">
        <f t="array" ref="BR56">SUM(_xlfn.XLOOKUP(S56:AG56,增益!$A:$A,增益!$W:$W,0))+$I$5</f>
        <v>0.11</v>
      </c>
    </row>
    <row r="57" spans="4:70">
      <c r="D57" s="4"/>
      <c r="E57" s="4"/>
      <c r="K57" s="27">
        <f>$L57*VLOOKUP($R57,武学奇术!$A:$ZZ,31,FALSE)</f>
        <v>29606.1128617776</v>
      </c>
      <c r="L57" s="27">
        <f t="shared" si="12"/>
        <v>29606.1128617776</v>
      </c>
      <c r="M57" s="27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26688.3035739911</v>
      </c>
      <c r="N57" s="27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42445.4767975877</v>
      </c>
      <c r="O57" s="27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17792.2023826607</v>
      </c>
      <c r="P57" s="27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9089.100896665</v>
      </c>
      <c r="Q57" s="35">
        <v>1</v>
      </c>
      <c r="R57" s="36" t="s">
        <v>92</v>
      </c>
      <c r="S57" s="36" t="s">
        <v>71</v>
      </c>
      <c r="T57" s="36" t="s">
        <v>93</v>
      </c>
      <c r="U57" s="36" t="s">
        <v>71</v>
      </c>
      <c r="V57" s="36" t="s">
        <v>71</v>
      </c>
      <c r="W57" s="36" t="s">
        <v>111</v>
      </c>
      <c r="X57" s="36" t="s">
        <v>71</v>
      </c>
      <c r="Y57" s="36" t="s">
        <v>71</v>
      </c>
      <c r="Z57" s="36" t="s">
        <v>82</v>
      </c>
      <c r="AA57" s="36" t="s">
        <v>71</v>
      </c>
      <c r="AB57" s="36" t="s">
        <v>71</v>
      </c>
      <c r="AC57" s="36" t="s">
        <v>71</v>
      </c>
      <c r="AD57" s="36" t="s">
        <v>72</v>
      </c>
      <c r="AE57" s="36" t="s">
        <v>94</v>
      </c>
      <c r="AF57" s="36" t="s">
        <v>154</v>
      </c>
      <c r="AG57" s="36" t="s">
        <v>120</v>
      </c>
      <c r="AH57" t="str">
        <f>VLOOKUP($R57,武学奇术!$A:$ZZ,25,FALSE)</f>
        <v>剑</v>
      </c>
      <c r="AI57" s="20">
        <f>VLOOKUP($R57,武学奇术!$A:$ZZ,26,FALSE)</f>
        <v>1.1781</v>
      </c>
      <c r="AJ57" s="21">
        <f>VLOOKUP($R57,武学奇术!$A:$ZZ,27,FALSE)*(1+IF(OR($AH57=$F$4,$AH57=$F$5),$B$22,0))</f>
        <v>456.4</v>
      </c>
      <c r="AK57" s="20">
        <f>VLOOKUP($R57,武学奇术!$A:$ZZ,28,FALSE)</f>
        <v>1.7672</v>
      </c>
      <c r="AL57" s="21">
        <f>VLOOKUP($R57,武学奇术!$A:$ZZ,29,FALSE)*(1+IF(OR($AH57=$F$4,$AH57=$F$5),$B$22,0))</f>
        <v>247.8</v>
      </c>
      <c r="AM57" s="20" cm="1">
        <f t="array" ref="AM57">$G$3+IFERROR(VLOOKUP($AH57,$F$4:$G$7,2,FALSE),0)+VLOOKUP($R57,武学奇术!$A:$ZZ,2,FALSE)+SUM(_xlfn.XLOOKUP($S57:$AG57,增益!$A:$A,增益!$B:$B,0))</f>
        <v>0.7191</v>
      </c>
      <c r="AN57" s="20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1585.72</v>
      </c>
      <c r="AP57" cm="1">
        <f t="array" ref="AP57">$E$10*(1+$AN57)+VLOOKUP($R57,武学奇术!$A:$ZZ,4,FALSE)+SUM(_xlfn.XLOOKUP($S57:$AG57,增益!$A:$A,增益!$D:$D,0))-$I$2</f>
        <v>6696.76</v>
      </c>
      <c r="AQ57" s="29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0.3425</v>
      </c>
      <c r="AR57" s="29" cm="1">
        <f t="array" ref="AR57">$G$10+VLOOKUP($R57,武学奇术!$A:$ZZ,7,FALSE)+SUM(_xlfn.XLOOKUP(S57:AG57,增益!$A:$A,增益!$G:$G,0))</f>
        <v>0</v>
      </c>
      <c r="AS57" s="20" cm="1">
        <f t="array" ref="AS57">VLOOKUP($R57,武学奇术!$A:$ZZ,8,FALSE)+SUM(_xlfn.XLOOKUP(S57:AG57,增益!$A:$A,增益!$H:$H,0))</f>
        <v>0</v>
      </c>
      <c r="AT57">
        <f t="shared" si="18"/>
        <v>538</v>
      </c>
      <c r="AU57">
        <f t="shared" si="19"/>
        <v>1011</v>
      </c>
      <c r="AV57" s="29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0.08</v>
      </c>
      <c r="AW57" s="29" cm="1">
        <f t="array" ref="AW57">$G$11+VLOOKUP($R57,武学奇术!$A:$ZZ,10,FALSE)+SUM(_xlfn.XLOOKUP(S57:AG57,增益!$A:$A,增益!$J:$J,0))</f>
        <v>0.15</v>
      </c>
      <c r="AX57">
        <f t="shared" si="20"/>
        <v>0</v>
      </c>
      <c r="AY57">
        <f t="shared" si="21"/>
        <v>0</v>
      </c>
      <c r="AZ57" s="29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-0.14</v>
      </c>
      <c r="BA57" s="29" cm="1">
        <f t="array" ref="BA57">$G$12+VLOOKUP($R57,武学奇术!$A:$ZZ,12,FALSE)+SUM(_xlfn.XLOOKUP(S57:AG57,增益!$A:$A,增益!$L:$L,0))</f>
        <v>0</v>
      </c>
      <c r="BB57">
        <f t="shared" si="13"/>
        <v>0</v>
      </c>
      <c r="BC57">
        <f t="shared" si="14"/>
        <v>0</v>
      </c>
      <c r="BD57" s="29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-0.14</v>
      </c>
      <c r="BE57" s="29" cm="1">
        <f t="array" ref="BE57">$G$13+VLOOKUP($R57,武学奇术!$A:$ZZ,14,FALSE)+SUM(_xlfn.XLOOKUP(S57:AG57,增益!$A:$A,增益!$N:$N,0))</f>
        <v>0</v>
      </c>
      <c r="BF57">
        <f t="shared" si="15"/>
        <v>0</v>
      </c>
      <c r="BG57">
        <f t="shared" si="16"/>
        <v>0</v>
      </c>
      <c r="BH57" s="29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-0.14</v>
      </c>
      <c r="BI57" s="29" cm="1">
        <f t="array" ref="BI57">$G$14+VLOOKUP($R57,武学奇术!$A:$ZZ,16,FALSE)+SUM(_xlfn.XLOOKUP(S57:AG57,增益!$A:$A,增益!$P:$P,0))</f>
        <v>0</v>
      </c>
      <c r="BJ57" s="20">
        <f>MIN(IF(VLOOKUP($R57,武学奇术!$A:$ZZ,23,FALSE)=1,100%,$B$8),100%)</f>
        <v>0.8271</v>
      </c>
      <c r="BK57" s="20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0.2249</v>
      </c>
      <c r="BL57" s="20" cm="1">
        <f t="array" ref="BL57">1+$B$13+VLOOKUP($R57,武学奇术!$A:$ZZ,18,FALSE)+SUM(_xlfn.XLOOKUP(S57:AG57,增益!$A:$A,增益!$R:$R,0))</f>
        <v>1.5</v>
      </c>
      <c r="BM57" s="20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0.4459</v>
      </c>
      <c r="BN57" s="20" cm="1">
        <f t="array" ref="BN57">1+$B$14+VLOOKUP($R57,武学奇术!$A:$ZZ,20,FALSE)+SUM(_xlfn.XLOOKUP(S57:AG57,增益!$A:$A,增益!$T:$T,0))</f>
        <v>1.602</v>
      </c>
      <c r="BO57" s="20">
        <f t="shared" si="11"/>
        <v>0.18601479</v>
      </c>
      <c r="BP57" s="20">
        <f t="shared" si="17"/>
        <v>0.27228132</v>
      </c>
      <c r="BQ57" s="20">
        <f>IF(VLOOKUP($R57,武学奇术!$A:$ZZ,22,FALSE)=1,0,(1-$BJ57))*(1-$BM57)</f>
        <v>0.09580389</v>
      </c>
      <c r="BR57" s="20" cm="1">
        <f t="array" ref="BR57">SUM(_xlfn.XLOOKUP(S57:AG57,增益!$A:$A,增益!$W:$W,0))+$I$5</f>
        <v>0.11</v>
      </c>
    </row>
    <row r="58" spans="4:70">
      <c r="K58" s="27">
        <f>$L58*VLOOKUP($R58,武学奇术!$A:$ZZ,31,FALSE)</f>
        <v>73403.7618963153</v>
      </c>
      <c r="L58" s="27">
        <f t="shared" si="12"/>
        <v>122339.603160526</v>
      </c>
      <c r="M58" s="27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100411.424933579</v>
      </c>
      <c r="N58" s="27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185160.368628486</v>
      </c>
      <c r="O58" s="27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66940.9499557191</v>
      </c>
      <c r="P58" s="27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29975.9691434889</v>
      </c>
      <c r="Q58" s="35">
        <v>1</v>
      </c>
      <c r="R58" s="36" t="s">
        <v>105</v>
      </c>
      <c r="S58" s="36" t="s">
        <v>71</v>
      </c>
      <c r="T58" s="36" t="s">
        <v>99</v>
      </c>
      <c r="U58" s="36" t="s">
        <v>100</v>
      </c>
      <c r="V58" s="36" t="s">
        <v>101</v>
      </c>
      <c r="W58" s="36" t="s">
        <v>111</v>
      </c>
      <c r="X58" s="36" t="s">
        <v>71</v>
      </c>
      <c r="Y58" s="36" t="s">
        <v>71</v>
      </c>
      <c r="Z58" s="36" t="s">
        <v>82</v>
      </c>
      <c r="AA58" s="36" t="s">
        <v>71</v>
      </c>
      <c r="AB58" s="36" t="s">
        <v>71</v>
      </c>
      <c r="AC58" s="36" t="s">
        <v>71</v>
      </c>
      <c r="AD58" s="36" t="s">
        <v>72</v>
      </c>
      <c r="AE58" s="36" t="s">
        <v>94</v>
      </c>
      <c r="AF58" s="36" t="s">
        <v>154</v>
      </c>
      <c r="AG58" s="36" t="s">
        <v>120</v>
      </c>
      <c r="AH58" t="str">
        <f>VLOOKUP($R58,武学奇术!$A:$ZZ,25,FALSE)</f>
        <v>剑</v>
      </c>
      <c r="AI58" s="20">
        <f>VLOOKUP($R58,武学奇术!$A:$ZZ,26,FALSE)</f>
        <v>2.496</v>
      </c>
      <c r="AJ58" s="21">
        <f>VLOOKUP($R58,武学奇术!$A:$ZZ,27,FALSE)*(1+IF(OR($AH58=$F$4,$AH58=$F$5),$B$22,0))</f>
        <v>0</v>
      </c>
      <c r="AK58" s="20">
        <f>VLOOKUP($R58,武学奇术!$A:$ZZ,28,FALSE)</f>
        <v>3.744</v>
      </c>
      <c r="AL58" s="21">
        <f>VLOOKUP($R58,武学奇术!$A:$ZZ,29,FALSE)*(1+IF(OR($AH58=$F$4,$AH58=$F$5),$B$22,0))</f>
        <v>0</v>
      </c>
      <c r="AM58" s="20" cm="1">
        <f t="array" ref="AM58">$G$3+IFERROR(VLOOKUP($AH58,$F$4:$G$7,2,FALSE),0)+VLOOKUP($R58,武学奇术!$A:$ZZ,2,FALSE)+SUM(_xlfn.XLOOKUP($S58:$AG58,增益!$A:$A,增益!$B:$B,0))</f>
        <v>1.4691</v>
      </c>
      <c r="AN58" s="20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1585.72</v>
      </c>
      <c r="AP58" cm="1">
        <f t="array" ref="AP58">$E$10*(1+$AN58)+VLOOKUP($R58,武学奇术!$A:$ZZ,4,FALSE)+SUM(_xlfn.XLOOKUP($S58:$AG58,增益!$A:$A,增益!$D:$D,0))-$I$2</f>
        <v>6696.76</v>
      </c>
      <c r="AQ58" s="29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0.4175</v>
      </c>
      <c r="AR58" s="29" cm="1">
        <f t="array" ref="AR58">$G$10+VLOOKUP($R58,武学奇术!$A:$ZZ,7,FALSE)+SUM(_xlfn.XLOOKUP(S58:AG58,增益!$A:$A,增益!$G:$G,0))</f>
        <v>0</v>
      </c>
      <c r="AS58" s="20" cm="1">
        <f t="array" ref="AS58">VLOOKUP($R58,武学奇术!$A:$ZZ,8,FALSE)+SUM(_xlfn.XLOOKUP(S58:AG58,增益!$A:$A,增益!$H:$H,0))</f>
        <v>0</v>
      </c>
      <c r="AT58">
        <f t="shared" si="18"/>
        <v>538</v>
      </c>
      <c r="AU58">
        <f t="shared" si="19"/>
        <v>1011</v>
      </c>
      <c r="AV58" s="29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0.155</v>
      </c>
      <c r="AW58" s="29" cm="1">
        <f t="array" ref="AW58">$G$11+VLOOKUP($R58,武学奇术!$A:$ZZ,10,FALSE)+SUM(_xlfn.XLOOKUP(S58:AG58,增益!$A:$A,增益!$J:$J,0))</f>
        <v>0.15</v>
      </c>
      <c r="AX58">
        <f t="shared" si="20"/>
        <v>0</v>
      </c>
      <c r="AY58">
        <f t="shared" si="21"/>
        <v>0</v>
      </c>
      <c r="AZ58" s="29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-0.14</v>
      </c>
      <c r="BA58" s="29" cm="1">
        <f t="array" ref="BA58">$G$12+VLOOKUP($R58,武学奇术!$A:$ZZ,12,FALSE)+SUM(_xlfn.XLOOKUP(S58:AG58,增益!$A:$A,增益!$L:$L,0))</f>
        <v>0</v>
      </c>
      <c r="BB58">
        <f t="shared" si="13"/>
        <v>0</v>
      </c>
      <c r="BC58">
        <f t="shared" si="14"/>
        <v>0</v>
      </c>
      <c r="BD58" s="29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-0.14</v>
      </c>
      <c r="BE58" s="29" cm="1">
        <f t="array" ref="BE58">$G$13+VLOOKUP($R58,武学奇术!$A:$ZZ,14,FALSE)+SUM(_xlfn.XLOOKUP(S58:AG58,增益!$A:$A,增益!$N:$N,0))</f>
        <v>0</v>
      </c>
      <c r="BF58">
        <f t="shared" si="15"/>
        <v>0</v>
      </c>
      <c r="BG58">
        <f t="shared" si="16"/>
        <v>0</v>
      </c>
      <c r="BH58" s="29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-0.14</v>
      </c>
      <c r="BI58" s="29" cm="1">
        <f t="array" ref="BI58">$G$14+VLOOKUP($R58,武学奇术!$A:$ZZ,16,FALSE)+SUM(_xlfn.XLOOKUP(S58:AG58,增益!$A:$A,增益!$P:$P,0))</f>
        <v>0</v>
      </c>
      <c r="BJ58" s="20">
        <f>MIN(IF(VLOOKUP($R58,武学奇术!$A:$ZZ,23,FALSE)=1,100%,$B$8),100%)</f>
        <v>0.8271</v>
      </c>
      <c r="BK58" s="20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0.2249</v>
      </c>
      <c r="BL58" s="20" cm="1">
        <f t="array" ref="BL58">1+$B$13+VLOOKUP($R58,武学奇术!$A:$ZZ,18,FALSE)+SUM(_xlfn.XLOOKUP(S58:AG58,增益!$A:$A,增益!$R:$R,0))</f>
        <v>1.5</v>
      </c>
      <c r="BM58" s="20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0.4459</v>
      </c>
      <c r="BN58" s="20" cm="1">
        <f t="array" ref="BN58">1+$B$14+VLOOKUP($R58,武学奇术!$A:$ZZ,20,FALSE)+SUM(_xlfn.XLOOKUP(S58:AG58,增益!$A:$A,增益!$T:$T,0))</f>
        <v>1.782</v>
      </c>
      <c r="BO58" s="20">
        <f t="shared" si="11"/>
        <v>0.18601479</v>
      </c>
      <c r="BP58" s="20">
        <f t="shared" si="17"/>
        <v>0.27228132</v>
      </c>
      <c r="BQ58" s="20">
        <f>IF(VLOOKUP($R58,武学奇术!$A:$ZZ,22,FALSE)=1,0,(1-$BJ58))*(1-$BM58)</f>
        <v>0.09580389</v>
      </c>
      <c r="BR58" s="20" cm="1">
        <f t="array" ref="BR58">SUM(_xlfn.XLOOKUP(S58:AG58,增益!$A:$A,增益!$W:$W,0))+$I$5</f>
        <v>0.11</v>
      </c>
    </row>
    <row r="59" spans="4:70">
      <c r="K59" s="27">
        <f>$L59*VLOOKUP($R59,武学奇术!$A:$ZZ,31,FALSE)</f>
        <v>14225.6967284734</v>
      </c>
      <c r="L59" s="27">
        <f t="shared" si="12"/>
        <v>14225.6967284734</v>
      </c>
      <c r="M59" s="27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12527.0560778889</v>
      </c>
      <c r="N59" s="27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20775.5110365395</v>
      </c>
      <c r="O59" s="27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8351.37071859263</v>
      </c>
      <c r="P59" s="27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3734.25764408944</v>
      </c>
      <c r="Q59" s="35">
        <v>1</v>
      </c>
      <c r="R59" s="36" t="s">
        <v>107</v>
      </c>
      <c r="S59" s="36" t="s">
        <v>71</v>
      </c>
      <c r="T59" s="36" t="s">
        <v>93</v>
      </c>
      <c r="U59" s="36" t="s">
        <v>71</v>
      </c>
      <c r="V59" s="36" t="s">
        <v>71</v>
      </c>
      <c r="W59" s="36" t="s">
        <v>111</v>
      </c>
      <c r="X59" s="36" t="s">
        <v>71</v>
      </c>
      <c r="Y59" s="36" t="s">
        <v>71</v>
      </c>
      <c r="Z59" s="36" t="s">
        <v>82</v>
      </c>
      <c r="AA59" s="36" t="s">
        <v>71</v>
      </c>
      <c r="AB59" s="36" t="s">
        <v>71</v>
      </c>
      <c r="AC59" s="36" t="s">
        <v>71</v>
      </c>
      <c r="AD59" s="36" t="s">
        <v>72</v>
      </c>
      <c r="AE59" s="36" t="s">
        <v>94</v>
      </c>
      <c r="AF59" s="36" t="s">
        <v>154</v>
      </c>
      <c r="AG59" s="36" t="s">
        <v>120</v>
      </c>
      <c r="AH59" t="str">
        <f>VLOOKUP($R59,武学奇术!$A:$ZZ,25,FALSE)</f>
        <v>剑</v>
      </c>
      <c r="AI59" s="20">
        <f>VLOOKUP($R59,武学奇术!$A:$ZZ,26,FALSE)</f>
        <v>0.625</v>
      </c>
      <c r="AJ59" s="21">
        <f>VLOOKUP($R59,武学奇术!$A:$ZZ,27,FALSE)*(1+IF(OR($AH59=$F$4,$AH59=$F$5),$B$22,0))</f>
        <v>0</v>
      </c>
      <c r="AK59" s="20">
        <f>VLOOKUP($R59,武学奇术!$A:$ZZ,28,FALSE)</f>
        <v>0.9375</v>
      </c>
      <c r="AL59" s="21">
        <f>VLOOKUP($R59,武学奇术!$A:$ZZ,29,FALSE)*(1+IF(OR($AH59=$F$4,$AH59=$F$5),$B$22,0))</f>
        <v>0</v>
      </c>
      <c r="AM59" s="20" cm="1">
        <f t="array" ref="AM59">$G$3+IFERROR(VLOOKUP($AH59,$F$4:$G$7,2,FALSE),0)+VLOOKUP($R59,武学奇术!$A:$ZZ,2,FALSE)+SUM(_xlfn.XLOOKUP($S59:$AG59,增益!$A:$A,增益!$B:$B,0))</f>
        <v>0.7191</v>
      </c>
      <c r="AN59" s="20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1585.72</v>
      </c>
      <c r="AP59" cm="1">
        <f t="array" ref="AP59">$E$10*(1+$AN59)+VLOOKUP($R59,武学奇术!$A:$ZZ,4,FALSE)+SUM(_xlfn.XLOOKUP($S59:$AG59,增益!$A:$A,增益!$D:$D,0))-$I$2</f>
        <v>6696.76</v>
      </c>
      <c r="AQ59" s="29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0.3425</v>
      </c>
      <c r="AR59" s="29" cm="1">
        <f t="array" ref="AR59">$G$10+VLOOKUP($R59,武学奇术!$A:$ZZ,7,FALSE)+SUM(_xlfn.XLOOKUP(S59:AG59,增益!$A:$A,增益!$G:$G,0))</f>
        <v>0</v>
      </c>
      <c r="AS59" s="20" cm="1">
        <f t="array" ref="AS59">VLOOKUP($R59,武学奇术!$A:$ZZ,8,FALSE)+SUM(_xlfn.XLOOKUP(S59:AG59,增益!$A:$A,增益!$H:$H,0))</f>
        <v>0</v>
      </c>
      <c r="AT59">
        <f t="shared" si="18"/>
        <v>538</v>
      </c>
      <c r="AU59">
        <f t="shared" si="19"/>
        <v>1011</v>
      </c>
      <c r="AV59" s="29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0.08</v>
      </c>
      <c r="AW59" s="29" cm="1">
        <f t="array" ref="AW59">$G$11+VLOOKUP($R59,武学奇术!$A:$ZZ,10,FALSE)+SUM(_xlfn.XLOOKUP(S59:AG59,增益!$A:$A,增益!$J:$J,0))</f>
        <v>0.15</v>
      </c>
      <c r="AX59">
        <f t="shared" si="20"/>
        <v>0</v>
      </c>
      <c r="AY59">
        <f t="shared" si="21"/>
        <v>0</v>
      </c>
      <c r="AZ59" s="29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-0.14</v>
      </c>
      <c r="BA59" s="29" cm="1">
        <f t="array" ref="BA59">$G$12+VLOOKUP($R59,武学奇术!$A:$ZZ,12,FALSE)+SUM(_xlfn.XLOOKUP(S59:AG59,增益!$A:$A,增益!$L:$L,0))</f>
        <v>0</v>
      </c>
      <c r="BB59">
        <f t="shared" si="13"/>
        <v>0</v>
      </c>
      <c r="BC59">
        <f t="shared" si="14"/>
        <v>0</v>
      </c>
      <c r="BD59" s="29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-0.14</v>
      </c>
      <c r="BE59" s="29" cm="1">
        <f t="array" ref="BE59">$G$13+VLOOKUP($R59,武学奇术!$A:$ZZ,14,FALSE)+SUM(_xlfn.XLOOKUP(S59:AG59,增益!$A:$A,增益!$N:$N,0))</f>
        <v>0</v>
      </c>
      <c r="BF59">
        <f t="shared" si="15"/>
        <v>0</v>
      </c>
      <c r="BG59">
        <f t="shared" si="16"/>
        <v>0</v>
      </c>
      <c r="BH59" s="29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-0.14</v>
      </c>
      <c r="BI59" s="29" cm="1">
        <f t="array" ref="BI59">$G$14+VLOOKUP($R59,武学奇术!$A:$ZZ,16,FALSE)+SUM(_xlfn.XLOOKUP(S59:AG59,增益!$A:$A,增益!$P:$P,0))</f>
        <v>0</v>
      </c>
      <c r="BJ59" s="20">
        <f>MIN(IF(VLOOKUP($R59,武学奇术!$A:$ZZ,23,FALSE)=1,100%,$B$8),100%)</f>
        <v>0.8271</v>
      </c>
      <c r="BK59" s="20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0.2249</v>
      </c>
      <c r="BL59" s="20" cm="1">
        <f t="array" ref="BL59">1+$B$13+VLOOKUP($R59,武学奇术!$A:$ZZ,18,FALSE)+SUM(_xlfn.XLOOKUP(S59:AG59,增益!$A:$A,增益!$R:$R,0))</f>
        <v>1.5</v>
      </c>
      <c r="BM59" s="20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0.4459</v>
      </c>
      <c r="BN59" s="20" cm="1">
        <f t="array" ref="BN59">1+$B$14+VLOOKUP($R59,武学奇术!$A:$ZZ,20,FALSE)+SUM(_xlfn.XLOOKUP(S59:AG59,增益!$A:$A,增益!$T:$T,0))</f>
        <v>1.602</v>
      </c>
      <c r="BO59" s="20">
        <f t="shared" si="11"/>
        <v>0.18601479</v>
      </c>
      <c r="BP59" s="20">
        <f t="shared" si="17"/>
        <v>0.27228132</v>
      </c>
      <c r="BQ59" s="20">
        <f>IF(VLOOKUP($R59,武学奇术!$A:$ZZ,22,FALSE)=1,0,(1-$BJ59))*(1-$BM59)</f>
        <v>0.09580389</v>
      </c>
      <c r="BR59" s="20" cm="1">
        <f t="array" ref="BR59">SUM(_xlfn.XLOOKUP(S59:AG59,增益!$A:$A,增益!$W:$W,0))+$I$5</f>
        <v>0.11</v>
      </c>
    </row>
    <row r="60" spans="4:70">
      <c r="K60" s="27">
        <f>$L60*VLOOKUP($R60,武学奇术!$A:$ZZ,31,FALSE)</f>
        <v>51086.3410482068</v>
      </c>
      <c r="L60" s="27">
        <f t="shared" si="12"/>
        <v>51086.3410482068</v>
      </c>
      <c r="M60" s="27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46045.6545781794</v>
      </c>
      <c r="N60" s="27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73248.6737290718</v>
      </c>
      <c r="O60" s="27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30697.1030521196</v>
      </c>
      <c r="P60" s="27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15670.9391073155</v>
      </c>
      <c r="Q60" s="35">
        <v>1</v>
      </c>
      <c r="R60" s="36" t="s">
        <v>88</v>
      </c>
      <c r="S60" s="36" t="s">
        <v>71</v>
      </c>
      <c r="T60" s="36" t="s">
        <v>93</v>
      </c>
      <c r="U60" s="36" t="s">
        <v>71</v>
      </c>
      <c r="V60" s="36" t="s">
        <v>71</v>
      </c>
      <c r="W60" s="36" t="s">
        <v>111</v>
      </c>
      <c r="X60" s="36" t="s">
        <v>71</v>
      </c>
      <c r="Y60" s="36" t="s">
        <v>71</v>
      </c>
      <c r="Z60" s="36" t="s">
        <v>82</v>
      </c>
      <c r="AA60" s="36" t="s">
        <v>71</v>
      </c>
      <c r="AB60" s="36" t="s">
        <v>71</v>
      </c>
      <c r="AC60" s="36" t="s">
        <v>71</v>
      </c>
      <c r="AD60" s="36" t="s">
        <v>72</v>
      </c>
      <c r="AE60" s="36" t="s">
        <v>94</v>
      </c>
      <c r="AF60" s="36" t="s">
        <v>154</v>
      </c>
      <c r="AG60" s="36" t="s">
        <v>120</v>
      </c>
      <c r="AH60" t="str">
        <f>VLOOKUP($R60,武学奇术!$A:$ZZ,25,FALSE)</f>
        <v>枪</v>
      </c>
      <c r="AI60" s="20">
        <f>VLOOKUP($R60,武学奇术!$A:$ZZ,26,FALSE)</f>
        <v>2.1401</v>
      </c>
      <c r="AJ60" s="21">
        <f>VLOOKUP($R60,武学奇术!$A:$ZZ,27,FALSE)*(1+IF(OR($AH60=$F$4,$AH60=$F$5),$B$22,0))</f>
        <v>823.2</v>
      </c>
      <c r="AK60" s="20">
        <f>VLOOKUP($R60,武学奇术!$A:$ZZ,28,FALSE)</f>
        <v>3.2101</v>
      </c>
      <c r="AL60" s="21">
        <f>VLOOKUP($R60,武学奇术!$A:$ZZ,29,FALSE)*(1+IF(OR($AH60=$F$4,$AH60=$F$5),$B$22,0))</f>
        <v>448</v>
      </c>
      <c r="AM60" s="20" cm="1">
        <f t="array" ref="AM60">$G$3+IFERROR(VLOOKUP($AH60,$F$4:$G$7,2,FALSE),0)+VLOOKUP($R60,武学奇术!$A:$ZZ,2,FALSE)+SUM(_xlfn.XLOOKUP($S60:$AG60,增益!$A:$A,增益!$B:$B,0))</f>
        <v>0.6339</v>
      </c>
      <c r="AN60" s="20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1585.72</v>
      </c>
      <c r="AP60" cm="1">
        <f t="array" ref="AP60">$E$10*(1+$AN60)+VLOOKUP($R60,武学奇术!$A:$ZZ,4,FALSE)+SUM(_xlfn.XLOOKUP($S60:$AG60,增益!$A:$A,增益!$D:$D,0))-$I$2</f>
        <v>6696.76</v>
      </c>
      <c r="AQ60" s="29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0.3425</v>
      </c>
      <c r="AR60" s="29" cm="1">
        <f t="array" ref="AR60">$G$10+VLOOKUP($R60,武学奇术!$A:$ZZ,7,FALSE)+SUM(_xlfn.XLOOKUP(S60:AG60,增益!$A:$A,增益!$G:$G,0))</f>
        <v>0</v>
      </c>
      <c r="AS60" s="20" cm="1">
        <f t="array" ref="AS60">VLOOKUP($R60,武学奇术!$A:$ZZ,8,FALSE)+SUM(_xlfn.XLOOKUP(S60:AG60,增益!$A:$A,增益!$H:$H,0))</f>
        <v>0</v>
      </c>
      <c r="AT60">
        <f t="shared" si="18"/>
        <v>538</v>
      </c>
      <c r="AU60">
        <f t="shared" si="19"/>
        <v>1011</v>
      </c>
      <c r="AV60" s="29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0.08</v>
      </c>
      <c r="AW60" s="29" cm="1">
        <f t="array" ref="AW60">$G$11+VLOOKUP($R60,武学奇术!$A:$ZZ,10,FALSE)+SUM(_xlfn.XLOOKUP(S60:AG60,增益!$A:$A,增益!$J:$J,0))</f>
        <v>0.15</v>
      </c>
      <c r="AX60">
        <f t="shared" si="20"/>
        <v>0</v>
      </c>
      <c r="AY60">
        <f t="shared" si="21"/>
        <v>0</v>
      </c>
      <c r="AZ60" s="29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-0.14</v>
      </c>
      <c r="BA60" s="29" cm="1">
        <f t="array" ref="BA60">$G$12+VLOOKUP($R60,武学奇术!$A:$ZZ,12,FALSE)+SUM(_xlfn.XLOOKUP(S60:AG60,增益!$A:$A,增益!$L:$L,0))</f>
        <v>0</v>
      </c>
      <c r="BB60">
        <f t="shared" si="13"/>
        <v>0</v>
      </c>
      <c r="BC60">
        <f t="shared" si="14"/>
        <v>0</v>
      </c>
      <c r="BD60" s="29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-0.14</v>
      </c>
      <c r="BE60" s="29" cm="1">
        <f t="array" ref="BE60">$G$13+VLOOKUP($R60,武学奇术!$A:$ZZ,14,FALSE)+SUM(_xlfn.XLOOKUP(S60:AG60,增益!$A:$A,增益!$N:$N,0))</f>
        <v>0</v>
      </c>
      <c r="BF60">
        <f t="shared" si="15"/>
        <v>0</v>
      </c>
      <c r="BG60">
        <f t="shared" si="16"/>
        <v>0</v>
      </c>
      <c r="BH60" s="29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-0.14</v>
      </c>
      <c r="BI60" s="29" cm="1">
        <f t="array" ref="BI60">$G$14+VLOOKUP($R60,武学奇术!$A:$ZZ,16,FALSE)+SUM(_xlfn.XLOOKUP(S60:AG60,增益!$A:$A,增益!$P:$P,0))</f>
        <v>0</v>
      </c>
      <c r="BJ60" s="20">
        <f>MIN(IF(VLOOKUP($R60,武学奇术!$A:$ZZ,23,FALSE)=1,100%,$B$8),100%)</f>
        <v>0.8271</v>
      </c>
      <c r="BK60" s="20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0.2249</v>
      </c>
      <c r="BL60" s="20" cm="1">
        <f t="array" ref="BL60">1+$B$13+VLOOKUP($R60,武学奇术!$A:$ZZ,18,FALSE)+SUM(_xlfn.XLOOKUP(S60:AG60,增益!$A:$A,增益!$R:$R,0))</f>
        <v>1.5</v>
      </c>
      <c r="BM60" s="20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0.4459</v>
      </c>
      <c r="BN60" s="20" cm="1">
        <f t="array" ref="BN60">1+$B$14+VLOOKUP($R60,武学奇术!$A:$ZZ,20,FALSE)+SUM(_xlfn.XLOOKUP(S60:AG60,增益!$A:$A,增益!$T:$T,0))</f>
        <v>1.602</v>
      </c>
      <c r="BO60" s="20">
        <f t="shared" ref="BO60:BO101" si="22">MIN((1-BM60)*BJ60,BJ60*BK60)</f>
        <v>0.18601479</v>
      </c>
      <c r="BP60" s="20">
        <f t="shared" si="17"/>
        <v>0.27228132</v>
      </c>
      <c r="BQ60" s="20">
        <f>IF(VLOOKUP($R60,武学奇术!$A:$ZZ,22,FALSE)=1,0,(1-$BJ60))*(1-$BM60)</f>
        <v>0.09580389</v>
      </c>
      <c r="BR60" s="20" cm="1">
        <f t="array" ref="BR60">SUM(_xlfn.XLOOKUP(S60:AG60,增益!$A:$A,增益!$W:$W,0))+$I$5</f>
        <v>0.11</v>
      </c>
    </row>
    <row r="61" spans="4:70">
      <c r="K61" s="27">
        <f>$L61*VLOOKUP($R61,武学奇术!$A:$ZZ,31,FALSE)</f>
        <v>29478.738942316</v>
      </c>
      <c r="L61" s="27">
        <f t="shared" ref="L61:L73" si="23">($M61*$BO61+$N61*$BM61+$O61*$BP61+$P61*$BQ61)</f>
        <v>29478.738942316</v>
      </c>
      <c r="M61" s="27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26547.9661429152</v>
      </c>
      <c r="N61" s="27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42295.5964211987</v>
      </c>
      <c r="O61" s="27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17698.6440952768</v>
      </c>
      <c r="P61" s="27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8995.54260928107</v>
      </c>
      <c r="Q61" s="35">
        <v>1</v>
      </c>
      <c r="R61" s="36" t="s">
        <v>92</v>
      </c>
      <c r="S61" s="36" t="s">
        <v>71</v>
      </c>
      <c r="T61" s="36" t="s">
        <v>93</v>
      </c>
      <c r="U61" s="36" t="s">
        <v>71</v>
      </c>
      <c r="V61" s="36" t="s">
        <v>71</v>
      </c>
      <c r="W61" s="36" t="s">
        <v>71</v>
      </c>
      <c r="X61" s="36" t="s">
        <v>71</v>
      </c>
      <c r="Y61" s="36" t="s">
        <v>71</v>
      </c>
      <c r="Z61" s="36" t="s">
        <v>82</v>
      </c>
      <c r="AA61" s="36" t="s">
        <v>71</v>
      </c>
      <c r="AB61" s="36" t="s">
        <v>71</v>
      </c>
      <c r="AC61" s="36" t="s">
        <v>71</v>
      </c>
      <c r="AD61" s="36" t="s">
        <v>72</v>
      </c>
      <c r="AE61" s="36" t="s">
        <v>94</v>
      </c>
      <c r="AF61" s="36" t="s">
        <v>154</v>
      </c>
      <c r="AG61" s="36" t="s">
        <v>120</v>
      </c>
      <c r="AH61" t="str">
        <f>VLOOKUP($R61,武学奇术!$A:$ZZ,25,FALSE)</f>
        <v>剑</v>
      </c>
      <c r="AI61" s="20">
        <f>VLOOKUP($R61,武学奇术!$A:$ZZ,26,FALSE)</f>
        <v>1.1781</v>
      </c>
      <c r="AJ61" s="21">
        <f>VLOOKUP($R61,武学奇术!$A:$ZZ,27,FALSE)*(1+IF(OR($AH61=$F$4,$AH61=$F$5),$B$22,0))</f>
        <v>456.4</v>
      </c>
      <c r="AK61" s="20">
        <f>VLOOKUP($R61,武学奇术!$A:$ZZ,28,FALSE)</f>
        <v>1.7672</v>
      </c>
      <c r="AL61" s="21">
        <f>VLOOKUP($R61,武学奇术!$A:$ZZ,29,FALSE)*(1+IF(OR($AH61=$F$4,$AH61=$F$5),$B$22,0))</f>
        <v>247.8</v>
      </c>
      <c r="AM61" s="20" cm="1">
        <f t="array" ref="AM61">$G$3+IFERROR(VLOOKUP($AH61,$F$4:$G$7,2,FALSE),0)+VLOOKUP($R61,武学奇术!$A:$ZZ,2,FALSE)+SUM(_xlfn.XLOOKUP($S61:$AG61,增益!$A:$A,增益!$B:$B,0))</f>
        <v>0.7191</v>
      </c>
      <c r="AN61" s="20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1554.72</v>
      </c>
      <c r="AP61" cm="1">
        <f t="array" ref="AP61">$E$10*(1+$AN61)+VLOOKUP($R61,武学奇术!$A:$ZZ,4,FALSE)+SUM(_xlfn.XLOOKUP($S61:$AG61,增益!$A:$A,增益!$D:$D,0))-$I$2</f>
        <v>6665.76</v>
      </c>
      <c r="AQ61" s="29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0.3425</v>
      </c>
      <c r="AR61" s="29" cm="1">
        <f t="array" ref="AR61">$G$10+VLOOKUP($R61,武学奇术!$A:$ZZ,7,FALSE)+SUM(_xlfn.XLOOKUP(S61:AG61,增益!$A:$A,增益!$G:$G,0))</f>
        <v>0</v>
      </c>
      <c r="AS61" s="20" cm="1">
        <f t="array" ref="AS61">VLOOKUP($R61,武学奇术!$A:$ZZ,8,FALSE)+SUM(_xlfn.XLOOKUP(S61:AG61,增益!$A:$A,增益!$H:$H,0))</f>
        <v>0</v>
      </c>
      <c r="AT61">
        <f t="shared" ref="AT61:AT73" si="24">$D$11*(1+$AS61)</f>
        <v>538</v>
      </c>
      <c r="AU61">
        <f t="shared" ref="AU61:AU73" si="25">$E$11*(1+$AS61)</f>
        <v>1011</v>
      </c>
      <c r="AV61" s="29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0.08</v>
      </c>
      <c r="AW61" s="29" cm="1">
        <f t="array" ref="AW61">$G$11+VLOOKUP($R61,武学奇术!$A:$ZZ,10,FALSE)+SUM(_xlfn.XLOOKUP(S61:AG61,增益!$A:$A,增益!$J:$J,0))</f>
        <v>0.15</v>
      </c>
      <c r="AX61">
        <f t="shared" ref="AX61:AX73" si="26">$D$12*(1+$AS61)</f>
        <v>0</v>
      </c>
      <c r="AY61">
        <f t="shared" ref="AY61:AY73" si="27">$E$12*(1+$AS61)</f>
        <v>0</v>
      </c>
      <c r="AZ61" s="29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-0.14</v>
      </c>
      <c r="BA61" s="29" cm="1">
        <f t="array" ref="BA61">$G$12+VLOOKUP($R61,武学奇术!$A:$ZZ,12,FALSE)+SUM(_xlfn.XLOOKUP(S61:AG61,增益!$A:$A,增益!$L:$L,0))</f>
        <v>0</v>
      </c>
      <c r="BB61">
        <f t="shared" ref="BB61:BB73" si="28">$D$13*(1+$AS61)</f>
        <v>0</v>
      </c>
      <c r="BC61">
        <f t="shared" ref="BC61:BC73" si="29">$E$13*(1+$AS61)</f>
        <v>0</v>
      </c>
      <c r="BD61" s="29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-0.14</v>
      </c>
      <c r="BE61" s="29" cm="1">
        <f t="array" ref="BE61">$G$13+VLOOKUP($R61,武学奇术!$A:$ZZ,14,FALSE)+SUM(_xlfn.XLOOKUP(S61:AG61,增益!$A:$A,增益!$N:$N,0))</f>
        <v>0</v>
      </c>
      <c r="BF61">
        <f t="shared" ref="BF61:BF73" si="30">$D$14*(1+$AS61)</f>
        <v>0</v>
      </c>
      <c r="BG61">
        <f t="shared" ref="BG61:BG73" si="31">$E$14*(1+$AS61)</f>
        <v>0</v>
      </c>
      <c r="BH61" s="29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-0.14</v>
      </c>
      <c r="BI61" s="29" cm="1">
        <f t="array" ref="BI61">$G$14+VLOOKUP($R61,武学奇术!$A:$ZZ,16,FALSE)+SUM(_xlfn.XLOOKUP(S61:AG61,增益!$A:$A,增益!$P:$P,0))</f>
        <v>0</v>
      </c>
      <c r="BJ61" s="20">
        <f>MIN(IF(VLOOKUP($R61,武学奇术!$A:$ZZ,23,FALSE)=1,100%,$B$8),100%)</f>
        <v>0.8271</v>
      </c>
      <c r="BK61" s="20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0.2249</v>
      </c>
      <c r="BL61" s="20" cm="1">
        <f t="array" ref="BL61">1+$B$13+VLOOKUP($R61,武学奇术!$A:$ZZ,18,FALSE)+SUM(_xlfn.XLOOKUP(S61:AG61,增益!$A:$A,增益!$R:$R,0))</f>
        <v>1.5</v>
      </c>
      <c r="BM61" s="20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0.4459</v>
      </c>
      <c r="BN61" s="20" cm="1">
        <f t="array" ref="BN61">1+$B$14+VLOOKUP($R61,武学奇术!$A:$ZZ,20,FALSE)+SUM(_xlfn.XLOOKUP(S61:AG61,增益!$A:$A,增益!$T:$T,0))</f>
        <v>1.602</v>
      </c>
      <c r="BO61" s="20">
        <f t="shared" si="22"/>
        <v>0.18601479</v>
      </c>
      <c r="BP61" s="20">
        <f t="shared" si="17"/>
        <v>0.27228132</v>
      </c>
      <c r="BQ61" s="20">
        <f>IF(VLOOKUP($R61,武学奇术!$A:$ZZ,22,FALSE)=1,0,(1-$BJ61))*(1-$BM61)</f>
        <v>0.09580389</v>
      </c>
      <c r="BR61" s="20" cm="1">
        <f t="array" ref="BR61">SUM(_xlfn.XLOOKUP(S61:AG61,增益!$A:$A,增益!$W:$W,0))+$I$5</f>
        <v>0.11</v>
      </c>
    </row>
    <row r="62" spans="4:70">
      <c r="K62" s="27">
        <f>$L62*VLOOKUP($R62,武学奇术!$A:$ZZ,31,FALSE)</f>
        <v>110671.969193093</v>
      </c>
      <c r="L62" s="27">
        <f t="shared" si="23"/>
        <v>184453.281988488</v>
      </c>
      <c r="M62" s="27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99816.23415917</v>
      </c>
      <c r="N62" s="27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184453.281988488</v>
      </c>
      <c r="O62" s="27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66544.1561061134</v>
      </c>
      <c r="P62" s="27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29579.1752938831</v>
      </c>
      <c r="Q62" s="35">
        <v>1</v>
      </c>
      <c r="R62" s="36" t="s">
        <v>98</v>
      </c>
      <c r="S62" s="36" t="s">
        <v>71</v>
      </c>
      <c r="T62" s="36" t="s">
        <v>99</v>
      </c>
      <c r="U62" s="36" t="s">
        <v>100</v>
      </c>
      <c r="V62" s="36" t="s">
        <v>101</v>
      </c>
      <c r="W62" s="36" t="s">
        <v>71</v>
      </c>
      <c r="X62" s="36" t="s">
        <v>71</v>
      </c>
      <c r="Y62" s="36" t="s">
        <v>71</v>
      </c>
      <c r="Z62" s="36" t="s">
        <v>82</v>
      </c>
      <c r="AA62" s="36" t="s">
        <v>71</v>
      </c>
      <c r="AB62" s="36" t="s">
        <v>71</v>
      </c>
      <c r="AC62" s="36" t="s">
        <v>71</v>
      </c>
      <c r="AD62" s="36" t="s">
        <v>72</v>
      </c>
      <c r="AE62" s="36" t="s">
        <v>94</v>
      </c>
      <c r="AF62" s="36" t="s">
        <v>154</v>
      </c>
      <c r="AG62" s="36" t="s">
        <v>120</v>
      </c>
      <c r="AH62" t="str">
        <f>VLOOKUP($R62,武学奇术!$A:$ZZ,25,FALSE)</f>
        <v>剑</v>
      </c>
      <c r="AI62" s="20">
        <f>VLOOKUP($R62,武学奇术!$A:$ZZ,26,FALSE)</f>
        <v>2.496</v>
      </c>
      <c r="AJ62" s="21">
        <f>VLOOKUP($R62,武学奇术!$A:$ZZ,27,FALSE)*(1+IF(OR($AH62=$F$4,$AH62=$F$5),$B$22,0))</f>
        <v>0</v>
      </c>
      <c r="AK62" s="20">
        <f>VLOOKUP($R62,武学奇术!$A:$ZZ,28,FALSE)</f>
        <v>3.744</v>
      </c>
      <c r="AL62" s="21">
        <f>VLOOKUP($R62,武学奇术!$A:$ZZ,29,FALSE)*(1+IF(OR($AH62=$F$4,$AH62=$F$5),$B$22,0))</f>
        <v>0</v>
      </c>
      <c r="AM62" s="20" cm="1">
        <f t="array" ref="AM62">$G$3+IFERROR(VLOOKUP($AH62,$F$4:$G$7,2,FALSE),0)+VLOOKUP($R62,武学奇术!$A:$ZZ,2,FALSE)+SUM(_xlfn.XLOOKUP($S62:$AG62,增益!$A:$A,增益!$B:$B,0))</f>
        <v>1.4691</v>
      </c>
      <c r="AN62" s="20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1554.72</v>
      </c>
      <c r="AP62" cm="1">
        <f t="array" ref="AP62">$E$10*(1+$AN62)+VLOOKUP($R62,武学奇术!$A:$ZZ,4,FALSE)+SUM(_xlfn.XLOOKUP($S62:$AG62,增益!$A:$A,增益!$D:$D,0))-$I$2</f>
        <v>6665.76</v>
      </c>
      <c r="AQ62" s="29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0.4175</v>
      </c>
      <c r="AR62" s="29" cm="1">
        <f t="array" ref="AR62">$G$10+VLOOKUP($R62,武学奇术!$A:$ZZ,7,FALSE)+SUM(_xlfn.XLOOKUP(S62:AG62,增益!$A:$A,增益!$G:$G,0))</f>
        <v>0</v>
      </c>
      <c r="AS62" s="20" cm="1">
        <f t="array" ref="AS62">VLOOKUP($R62,武学奇术!$A:$ZZ,8,FALSE)+SUM(_xlfn.XLOOKUP(S62:AG62,增益!$A:$A,增益!$H:$H,0))</f>
        <v>0</v>
      </c>
      <c r="AT62">
        <f t="shared" si="24"/>
        <v>538</v>
      </c>
      <c r="AU62">
        <f t="shared" si="25"/>
        <v>1011</v>
      </c>
      <c r="AV62" s="29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0.155</v>
      </c>
      <c r="AW62" s="29" cm="1">
        <f t="array" ref="AW62">$G$11+VLOOKUP($R62,武学奇术!$A:$ZZ,10,FALSE)+SUM(_xlfn.XLOOKUP(S62:AG62,增益!$A:$A,增益!$J:$J,0))</f>
        <v>0.15</v>
      </c>
      <c r="AX62">
        <f t="shared" si="26"/>
        <v>0</v>
      </c>
      <c r="AY62">
        <f t="shared" si="27"/>
        <v>0</v>
      </c>
      <c r="AZ62" s="29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-0.14</v>
      </c>
      <c r="BA62" s="29" cm="1">
        <f t="array" ref="BA62">$G$12+VLOOKUP($R62,武学奇术!$A:$ZZ,12,FALSE)+SUM(_xlfn.XLOOKUP(S62:AG62,增益!$A:$A,增益!$L:$L,0))</f>
        <v>0</v>
      </c>
      <c r="BB62">
        <f t="shared" si="28"/>
        <v>0</v>
      </c>
      <c r="BC62">
        <f t="shared" si="29"/>
        <v>0</v>
      </c>
      <c r="BD62" s="29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-0.14</v>
      </c>
      <c r="BE62" s="29" cm="1">
        <f t="array" ref="BE62">$G$13+VLOOKUP($R62,武学奇术!$A:$ZZ,14,FALSE)+SUM(_xlfn.XLOOKUP(S62:AG62,增益!$A:$A,增益!$N:$N,0))</f>
        <v>0</v>
      </c>
      <c r="BF62">
        <f t="shared" si="30"/>
        <v>0</v>
      </c>
      <c r="BG62">
        <f t="shared" si="31"/>
        <v>0</v>
      </c>
      <c r="BH62" s="29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-0.14</v>
      </c>
      <c r="BI62" s="29" cm="1">
        <f t="array" ref="BI62">$G$14+VLOOKUP($R62,武学奇术!$A:$ZZ,16,FALSE)+SUM(_xlfn.XLOOKUP(S62:AG62,增益!$A:$A,增益!$P:$P,0))</f>
        <v>0</v>
      </c>
      <c r="BJ62" s="20">
        <f>MIN(IF(VLOOKUP($R62,武学奇术!$A:$ZZ,23,FALSE)=1,100%,$B$8),100%)</f>
        <v>0.8271</v>
      </c>
      <c r="BK62" s="20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</v>
      </c>
      <c r="BL62" s="20" cm="1">
        <f t="array" ref="BL62">1+$B$13+VLOOKUP($R62,武学奇术!$A:$ZZ,18,FALSE)+SUM(_xlfn.XLOOKUP(S62:AG62,增益!$A:$A,增益!$R:$R,0))</f>
        <v>1.5</v>
      </c>
      <c r="BM62" s="20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1</v>
      </c>
      <c r="BN62" s="20" cm="1">
        <f t="array" ref="BN62">1+$B$14+VLOOKUP($R62,武学奇术!$A:$ZZ,20,FALSE)+SUM(_xlfn.XLOOKUP(S62:AG62,增益!$A:$A,增益!$T:$T,0))</f>
        <v>1.782</v>
      </c>
      <c r="BO62" s="20">
        <f t="shared" si="22"/>
        <v>0</v>
      </c>
      <c r="BP62" s="20">
        <f t="shared" si="17"/>
        <v>0</v>
      </c>
      <c r="BQ62" s="20">
        <f>IF(VLOOKUP($R62,武学奇术!$A:$ZZ,22,FALSE)=1,0,(1-$BJ62))*(1-$BM62)</f>
        <v>0</v>
      </c>
      <c r="BR62" s="20" cm="1">
        <f t="array" ref="BR62">SUM(_xlfn.XLOOKUP(S62:AG62,增益!$A:$A,增益!$W:$W,0))+$I$5</f>
        <v>0.11</v>
      </c>
    </row>
    <row r="63" spans="4:70">
      <c r="K63" s="27">
        <f>$L63*VLOOKUP($R63,武学奇术!$A:$ZZ,31,FALSE)</f>
        <v>73060.5269960282</v>
      </c>
      <c r="L63" s="27">
        <f t="shared" si="23"/>
        <v>121767.54499338</v>
      </c>
      <c r="M63" s="27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99816.23415917</v>
      </c>
      <c r="N63" s="27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184453.281988488</v>
      </c>
      <c r="O63" s="27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66544.1561061134</v>
      </c>
      <c r="P63" s="27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29579.1752938831</v>
      </c>
      <c r="Q63" s="35">
        <v>1</v>
      </c>
      <c r="R63" s="36" t="s">
        <v>105</v>
      </c>
      <c r="S63" s="36" t="s">
        <v>71</v>
      </c>
      <c r="T63" s="36" t="s">
        <v>99</v>
      </c>
      <c r="U63" s="36" t="s">
        <v>100</v>
      </c>
      <c r="V63" s="36" t="s">
        <v>101</v>
      </c>
      <c r="W63" s="36" t="s">
        <v>71</v>
      </c>
      <c r="X63" s="36" t="s">
        <v>71</v>
      </c>
      <c r="Y63" s="36" t="s">
        <v>71</v>
      </c>
      <c r="Z63" s="36" t="s">
        <v>82</v>
      </c>
      <c r="AA63" s="36" t="s">
        <v>71</v>
      </c>
      <c r="AB63" s="36" t="s">
        <v>71</v>
      </c>
      <c r="AC63" s="36" t="s">
        <v>71</v>
      </c>
      <c r="AD63" s="36" t="s">
        <v>72</v>
      </c>
      <c r="AE63" s="36" t="s">
        <v>94</v>
      </c>
      <c r="AF63" s="36" t="s">
        <v>154</v>
      </c>
      <c r="AG63" s="36" t="s">
        <v>120</v>
      </c>
      <c r="AH63" t="str">
        <f>VLOOKUP($R63,武学奇术!$A:$ZZ,25,FALSE)</f>
        <v>剑</v>
      </c>
      <c r="AI63" s="20">
        <f>VLOOKUP($R63,武学奇术!$A:$ZZ,26,FALSE)</f>
        <v>2.496</v>
      </c>
      <c r="AJ63" s="21">
        <f>VLOOKUP($R63,武学奇术!$A:$ZZ,27,FALSE)*(1+IF(OR($AH63=$F$4,$AH63=$F$5),$B$22,0))</f>
        <v>0</v>
      </c>
      <c r="AK63" s="20">
        <f>VLOOKUP($R63,武学奇术!$A:$ZZ,28,FALSE)</f>
        <v>3.744</v>
      </c>
      <c r="AL63" s="21">
        <f>VLOOKUP($R63,武学奇术!$A:$ZZ,29,FALSE)*(1+IF(OR($AH63=$F$4,$AH63=$F$5),$B$22,0))</f>
        <v>0</v>
      </c>
      <c r="AM63" s="20" cm="1">
        <f t="array" ref="AM63">$G$3+IFERROR(VLOOKUP($AH63,$F$4:$G$7,2,FALSE),0)+VLOOKUP($R63,武学奇术!$A:$ZZ,2,FALSE)+SUM(_xlfn.XLOOKUP($S63:$AG63,增益!$A:$A,增益!$B:$B,0))</f>
        <v>1.4691</v>
      </c>
      <c r="AN63" s="20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1554.72</v>
      </c>
      <c r="AP63" cm="1">
        <f t="array" ref="AP63">$E$10*(1+$AN63)+VLOOKUP($R63,武学奇术!$A:$ZZ,4,FALSE)+SUM(_xlfn.XLOOKUP($S63:$AG63,增益!$A:$A,增益!$D:$D,0))-$I$2</f>
        <v>6665.76</v>
      </c>
      <c r="AQ63" s="29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0.4175</v>
      </c>
      <c r="AR63" s="29" cm="1">
        <f t="array" ref="AR63">$G$10+VLOOKUP($R63,武学奇术!$A:$ZZ,7,FALSE)+SUM(_xlfn.XLOOKUP(S63:AG63,增益!$A:$A,增益!$G:$G,0))</f>
        <v>0</v>
      </c>
      <c r="AS63" s="20" cm="1">
        <f t="array" ref="AS63">VLOOKUP($R63,武学奇术!$A:$ZZ,8,FALSE)+SUM(_xlfn.XLOOKUP(S63:AG63,增益!$A:$A,增益!$H:$H,0))</f>
        <v>0</v>
      </c>
      <c r="AT63">
        <f t="shared" si="24"/>
        <v>538</v>
      </c>
      <c r="AU63">
        <f t="shared" si="25"/>
        <v>1011</v>
      </c>
      <c r="AV63" s="29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0.155</v>
      </c>
      <c r="AW63" s="29" cm="1">
        <f t="array" ref="AW63">$G$11+VLOOKUP($R63,武学奇术!$A:$ZZ,10,FALSE)+SUM(_xlfn.XLOOKUP(S63:AG63,增益!$A:$A,增益!$J:$J,0))</f>
        <v>0.15</v>
      </c>
      <c r="AX63">
        <f t="shared" si="26"/>
        <v>0</v>
      </c>
      <c r="AY63">
        <f t="shared" si="27"/>
        <v>0</v>
      </c>
      <c r="AZ63" s="29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-0.14</v>
      </c>
      <c r="BA63" s="29" cm="1">
        <f t="array" ref="BA63">$G$12+VLOOKUP($R63,武学奇术!$A:$ZZ,12,FALSE)+SUM(_xlfn.XLOOKUP(S63:AG63,增益!$A:$A,增益!$L:$L,0))</f>
        <v>0</v>
      </c>
      <c r="BB63">
        <f t="shared" si="28"/>
        <v>0</v>
      </c>
      <c r="BC63">
        <f t="shared" si="29"/>
        <v>0</v>
      </c>
      <c r="BD63" s="29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-0.14</v>
      </c>
      <c r="BE63" s="29" cm="1">
        <f t="array" ref="BE63">$G$13+VLOOKUP($R63,武学奇术!$A:$ZZ,14,FALSE)+SUM(_xlfn.XLOOKUP(S63:AG63,增益!$A:$A,增益!$N:$N,0))</f>
        <v>0</v>
      </c>
      <c r="BF63">
        <f t="shared" si="30"/>
        <v>0</v>
      </c>
      <c r="BG63">
        <f t="shared" si="31"/>
        <v>0</v>
      </c>
      <c r="BH63" s="29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-0.14</v>
      </c>
      <c r="BI63" s="29" cm="1">
        <f t="array" ref="BI63">$G$14+VLOOKUP($R63,武学奇术!$A:$ZZ,16,FALSE)+SUM(_xlfn.XLOOKUP(S63:AG63,增益!$A:$A,增益!$P:$P,0))</f>
        <v>0</v>
      </c>
      <c r="BJ63" s="20">
        <f>MIN(IF(VLOOKUP($R63,武学奇术!$A:$ZZ,23,FALSE)=1,100%,$B$8),100%)</f>
        <v>0.8271</v>
      </c>
      <c r="BK63" s="20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0.2249</v>
      </c>
      <c r="BL63" s="20" cm="1">
        <f t="array" ref="BL63">1+$B$13+VLOOKUP($R63,武学奇术!$A:$ZZ,18,FALSE)+SUM(_xlfn.XLOOKUP(S63:AG63,增益!$A:$A,增益!$R:$R,0))</f>
        <v>1.5</v>
      </c>
      <c r="BM63" s="20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0.4459</v>
      </c>
      <c r="BN63" s="20" cm="1">
        <f t="array" ref="BN63">1+$B$14+VLOOKUP($R63,武学奇术!$A:$ZZ,20,FALSE)+SUM(_xlfn.XLOOKUP(S63:AG63,增益!$A:$A,增益!$T:$T,0))</f>
        <v>1.782</v>
      </c>
      <c r="BO63" s="20">
        <f t="shared" si="22"/>
        <v>0.18601479</v>
      </c>
      <c r="BP63" s="20">
        <f t="shared" si="17"/>
        <v>0.27228132</v>
      </c>
      <c r="BQ63" s="20">
        <f>IF(VLOOKUP($R63,武学奇术!$A:$ZZ,22,FALSE)=1,0,(1-$BJ63))*(1-$BM63)</f>
        <v>0.09580389</v>
      </c>
      <c r="BR63" s="20" cm="1">
        <f t="array" ref="BR63">SUM(_xlfn.XLOOKUP(S63:AG63,增益!$A:$A,增益!$W:$W,0))+$I$5</f>
        <v>0.11</v>
      </c>
    </row>
    <row r="64" spans="4:70">
      <c r="K64" s="27">
        <f>$L64*VLOOKUP($R64,武学奇术!$A:$ZZ,31,FALSE)</f>
        <v>14158.1229234794</v>
      </c>
      <c r="L64" s="27">
        <f t="shared" si="23"/>
        <v>14158.1229234794</v>
      </c>
      <c r="M64" s="27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12452.6049324663</v>
      </c>
      <c r="N64" s="27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20695.9972132281</v>
      </c>
      <c r="O64" s="27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8301.73662164419</v>
      </c>
      <c r="P64" s="27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3684.623547141</v>
      </c>
      <c r="Q64" s="35">
        <v>1</v>
      </c>
      <c r="R64" s="36" t="s">
        <v>107</v>
      </c>
      <c r="S64" s="36" t="s">
        <v>71</v>
      </c>
      <c r="T64" s="36" t="s">
        <v>93</v>
      </c>
      <c r="U64" s="36" t="s">
        <v>71</v>
      </c>
      <c r="V64" s="36" t="s">
        <v>71</v>
      </c>
      <c r="W64" s="36" t="s">
        <v>71</v>
      </c>
      <c r="X64" s="36" t="s">
        <v>71</v>
      </c>
      <c r="Y64" s="36" t="s">
        <v>71</v>
      </c>
      <c r="Z64" s="36" t="s">
        <v>82</v>
      </c>
      <c r="AA64" s="36" t="s">
        <v>71</v>
      </c>
      <c r="AB64" s="36" t="s">
        <v>71</v>
      </c>
      <c r="AC64" s="36" t="s">
        <v>71</v>
      </c>
      <c r="AD64" s="36" t="s">
        <v>72</v>
      </c>
      <c r="AE64" s="36" t="s">
        <v>94</v>
      </c>
      <c r="AF64" s="36" t="s">
        <v>154</v>
      </c>
      <c r="AG64" s="36" t="s">
        <v>120</v>
      </c>
      <c r="AH64" t="str">
        <f>VLOOKUP($R64,武学奇术!$A:$ZZ,25,FALSE)</f>
        <v>剑</v>
      </c>
      <c r="AI64" s="20">
        <f>VLOOKUP($R64,武学奇术!$A:$ZZ,26,FALSE)</f>
        <v>0.625</v>
      </c>
      <c r="AJ64" s="21">
        <f>VLOOKUP($R64,武学奇术!$A:$ZZ,27,FALSE)*(1+IF(OR($AH64=$F$4,$AH64=$F$5),$B$22,0))</f>
        <v>0</v>
      </c>
      <c r="AK64" s="20">
        <f>VLOOKUP($R64,武学奇术!$A:$ZZ,28,FALSE)</f>
        <v>0.9375</v>
      </c>
      <c r="AL64" s="21">
        <f>VLOOKUP($R64,武学奇术!$A:$ZZ,29,FALSE)*(1+IF(OR($AH64=$F$4,$AH64=$F$5),$B$22,0))</f>
        <v>0</v>
      </c>
      <c r="AM64" s="20" cm="1">
        <f t="array" ref="AM64">$G$3+IFERROR(VLOOKUP($AH64,$F$4:$G$7,2,FALSE),0)+VLOOKUP($R64,武学奇术!$A:$ZZ,2,FALSE)+SUM(_xlfn.XLOOKUP($S64:$AG64,增益!$A:$A,增益!$B:$B,0))</f>
        <v>0.7191</v>
      </c>
      <c r="AN64" s="20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1554.72</v>
      </c>
      <c r="AP64" cm="1">
        <f t="array" ref="AP64">$E$10*(1+$AN64)+VLOOKUP($R64,武学奇术!$A:$ZZ,4,FALSE)+SUM(_xlfn.XLOOKUP($S64:$AG64,增益!$A:$A,增益!$D:$D,0))-$I$2</f>
        <v>6665.76</v>
      </c>
      <c r="AQ64" s="29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0.3425</v>
      </c>
      <c r="AR64" s="29" cm="1">
        <f t="array" ref="AR64">$G$10+VLOOKUP($R64,武学奇术!$A:$ZZ,7,FALSE)+SUM(_xlfn.XLOOKUP(S64:AG64,增益!$A:$A,增益!$G:$G,0))</f>
        <v>0</v>
      </c>
      <c r="AS64" s="20" cm="1">
        <f t="array" ref="AS64">VLOOKUP($R64,武学奇术!$A:$ZZ,8,FALSE)+SUM(_xlfn.XLOOKUP(S64:AG64,增益!$A:$A,增益!$H:$H,0))</f>
        <v>0</v>
      </c>
      <c r="AT64">
        <f t="shared" si="24"/>
        <v>538</v>
      </c>
      <c r="AU64">
        <f t="shared" si="25"/>
        <v>1011</v>
      </c>
      <c r="AV64" s="29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0.08</v>
      </c>
      <c r="AW64" s="29" cm="1">
        <f t="array" ref="AW64">$G$11+VLOOKUP($R64,武学奇术!$A:$ZZ,10,FALSE)+SUM(_xlfn.XLOOKUP(S64:AG64,增益!$A:$A,增益!$J:$J,0))</f>
        <v>0.15</v>
      </c>
      <c r="AX64">
        <f t="shared" si="26"/>
        <v>0</v>
      </c>
      <c r="AY64">
        <f t="shared" si="27"/>
        <v>0</v>
      </c>
      <c r="AZ64" s="29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-0.14</v>
      </c>
      <c r="BA64" s="29" cm="1">
        <f t="array" ref="BA64">$G$12+VLOOKUP($R64,武学奇术!$A:$ZZ,12,FALSE)+SUM(_xlfn.XLOOKUP(S64:AG64,增益!$A:$A,增益!$L:$L,0))</f>
        <v>0</v>
      </c>
      <c r="BB64">
        <f t="shared" si="28"/>
        <v>0</v>
      </c>
      <c r="BC64">
        <f t="shared" si="29"/>
        <v>0</v>
      </c>
      <c r="BD64" s="29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-0.14</v>
      </c>
      <c r="BE64" s="29" cm="1">
        <f t="array" ref="BE64">$G$13+VLOOKUP($R64,武学奇术!$A:$ZZ,14,FALSE)+SUM(_xlfn.XLOOKUP(S64:AG64,增益!$A:$A,增益!$N:$N,0))</f>
        <v>0</v>
      </c>
      <c r="BF64">
        <f t="shared" si="30"/>
        <v>0</v>
      </c>
      <c r="BG64">
        <f t="shared" si="31"/>
        <v>0</v>
      </c>
      <c r="BH64" s="29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-0.14</v>
      </c>
      <c r="BI64" s="29" cm="1">
        <f t="array" ref="BI64">$G$14+VLOOKUP($R64,武学奇术!$A:$ZZ,16,FALSE)+SUM(_xlfn.XLOOKUP(S64:AG64,增益!$A:$A,增益!$P:$P,0))</f>
        <v>0</v>
      </c>
      <c r="BJ64" s="20">
        <f>MIN(IF(VLOOKUP($R64,武学奇术!$A:$ZZ,23,FALSE)=1,100%,$B$8),100%)</f>
        <v>0.8271</v>
      </c>
      <c r="BK64" s="20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0.2249</v>
      </c>
      <c r="BL64" s="20" cm="1">
        <f t="array" ref="BL64">1+$B$13+VLOOKUP($R64,武学奇术!$A:$ZZ,18,FALSE)+SUM(_xlfn.XLOOKUP(S64:AG64,增益!$A:$A,增益!$R:$R,0))</f>
        <v>1.5</v>
      </c>
      <c r="BM64" s="20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0.4459</v>
      </c>
      <c r="BN64" s="20" cm="1">
        <f t="array" ref="BN64">1+$B$14+VLOOKUP($R64,武学奇术!$A:$ZZ,20,FALSE)+SUM(_xlfn.XLOOKUP(S64:AG64,增益!$A:$A,增益!$T:$T,0))</f>
        <v>1.602</v>
      </c>
      <c r="BO64" s="20">
        <f t="shared" si="22"/>
        <v>0.18601479</v>
      </c>
      <c r="BP64" s="20">
        <f t="shared" si="17"/>
        <v>0.27228132</v>
      </c>
      <c r="BQ64" s="20">
        <f>IF(VLOOKUP($R64,武学奇术!$A:$ZZ,22,FALSE)=1,0,(1-$BJ64))*(1-$BM64)</f>
        <v>0.09580389</v>
      </c>
      <c r="BR64" s="20" cm="1">
        <f t="array" ref="BR64">SUM(_xlfn.XLOOKUP(S64:AG64,增益!$A:$A,增益!$W:$W,0))+$I$5</f>
        <v>0.11</v>
      </c>
    </row>
    <row r="65" spans="1:70">
      <c r="K65" s="27">
        <f>$L65*VLOOKUP($R65,武学奇术!$A:$ZZ,31,FALSE)</f>
        <v>61351.9104304773</v>
      </c>
      <c r="L65" s="27">
        <f t="shared" si="23"/>
        <v>61351.9104304773</v>
      </c>
      <c r="M65" s="27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55307.1376289998</v>
      </c>
      <c r="N65" s="27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87956.3537389438</v>
      </c>
      <c r="O65" s="27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36871.4250859999</v>
      </c>
      <c r="P65" s="27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18838.7591988763</v>
      </c>
      <c r="Q65" s="35">
        <v>1</v>
      </c>
      <c r="R65" s="36" t="s">
        <v>110</v>
      </c>
      <c r="S65" s="36" t="s">
        <v>71</v>
      </c>
      <c r="T65" s="36" t="s">
        <v>93</v>
      </c>
      <c r="U65" s="36" t="s">
        <v>71</v>
      </c>
      <c r="V65" s="36" t="s">
        <v>71</v>
      </c>
      <c r="W65" s="36" t="s">
        <v>111</v>
      </c>
      <c r="X65" s="36" t="s">
        <v>71</v>
      </c>
      <c r="Y65" s="36" t="s">
        <v>71</v>
      </c>
      <c r="Z65" s="36" t="s">
        <v>82</v>
      </c>
      <c r="AA65" s="36" t="s">
        <v>71</v>
      </c>
      <c r="AB65" s="36" t="s">
        <v>71</v>
      </c>
      <c r="AC65" s="36" t="s">
        <v>71</v>
      </c>
      <c r="AD65" s="36" t="s">
        <v>72</v>
      </c>
      <c r="AE65" s="36" t="s">
        <v>94</v>
      </c>
      <c r="AF65" s="36" t="s">
        <v>154</v>
      </c>
      <c r="AG65" s="36" t="s">
        <v>120</v>
      </c>
      <c r="AH65" t="str">
        <f>VLOOKUP($R65,武学奇术!$A:$ZZ,25,FALSE)</f>
        <v>枪</v>
      </c>
      <c r="AI65" s="20">
        <f>VLOOKUP($R65,武学奇术!$A:$ZZ,26,FALSE)</f>
        <v>2.5683</v>
      </c>
      <c r="AJ65" s="21">
        <f>VLOOKUP($R65,武学奇术!$A:$ZZ,27,FALSE)*(1+IF(OR($AH65=$F$4,$AH65=$F$5),$B$22,0))</f>
        <v>995.4</v>
      </c>
      <c r="AK65" s="20">
        <f>VLOOKUP($R65,武学奇术!$A:$ZZ,28,FALSE)</f>
        <v>3.8524</v>
      </c>
      <c r="AL65" s="21">
        <f>VLOOKUP($R65,武学奇术!$A:$ZZ,29,FALSE)*(1+IF(OR($AH65=$F$4,$AH65=$F$5),$B$22,0))</f>
        <v>541.8</v>
      </c>
      <c r="AM65" s="20" cm="1">
        <f t="array" ref="AM65">$G$3+IFERROR(VLOOKUP($AH65,$F$4:$G$7,2,FALSE),0)+VLOOKUP($R65,武学奇术!$A:$ZZ,2,FALSE)+SUM(_xlfn.XLOOKUP($S65:$AG65,增益!$A:$A,增益!$B:$B,0))</f>
        <v>0.6339</v>
      </c>
      <c r="AN65" s="20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1585.72</v>
      </c>
      <c r="AP65" cm="1">
        <f t="array" ref="AP65">$E$10*(1+$AN65)+VLOOKUP($R65,武学奇术!$A:$ZZ,4,FALSE)+SUM(_xlfn.XLOOKUP($S65:$AG65,增益!$A:$A,增益!$D:$D,0))-$I$2</f>
        <v>6696.76</v>
      </c>
      <c r="AQ65" s="29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0.3425</v>
      </c>
      <c r="AR65" s="29" cm="1">
        <f t="array" ref="AR65">$G$10+VLOOKUP($R65,武学奇术!$A:$ZZ,7,FALSE)+SUM(_xlfn.XLOOKUP(S65:AG65,增益!$A:$A,增益!$G:$G,0))</f>
        <v>0</v>
      </c>
      <c r="AS65" s="20" cm="1">
        <f t="array" ref="AS65">VLOOKUP($R65,武学奇术!$A:$ZZ,8,FALSE)+SUM(_xlfn.XLOOKUP(S65:AG65,增益!$A:$A,增益!$H:$H,0))</f>
        <v>0</v>
      </c>
      <c r="AT65">
        <f t="shared" si="24"/>
        <v>538</v>
      </c>
      <c r="AU65">
        <f t="shared" si="25"/>
        <v>1011</v>
      </c>
      <c r="AV65" s="29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0.08</v>
      </c>
      <c r="AW65" s="29" cm="1">
        <f t="array" ref="AW65">$G$11+VLOOKUP($R65,武学奇术!$A:$ZZ,10,FALSE)+SUM(_xlfn.XLOOKUP(S65:AG65,增益!$A:$A,增益!$J:$J,0))</f>
        <v>0.15</v>
      </c>
      <c r="AX65">
        <f t="shared" si="26"/>
        <v>0</v>
      </c>
      <c r="AY65">
        <f t="shared" si="27"/>
        <v>0</v>
      </c>
      <c r="AZ65" s="29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-0.14</v>
      </c>
      <c r="BA65" s="29" cm="1">
        <f t="array" ref="BA65">$G$12+VLOOKUP($R65,武学奇术!$A:$ZZ,12,FALSE)+SUM(_xlfn.XLOOKUP(S65:AG65,增益!$A:$A,增益!$L:$L,0))</f>
        <v>0</v>
      </c>
      <c r="BB65">
        <f t="shared" si="28"/>
        <v>0</v>
      </c>
      <c r="BC65">
        <f t="shared" si="29"/>
        <v>0</v>
      </c>
      <c r="BD65" s="29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-0.14</v>
      </c>
      <c r="BE65" s="29" cm="1">
        <f t="array" ref="BE65">$G$13+VLOOKUP($R65,武学奇术!$A:$ZZ,14,FALSE)+SUM(_xlfn.XLOOKUP(S65:AG65,增益!$A:$A,增益!$N:$N,0))</f>
        <v>0</v>
      </c>
      <c r="BF65">
        <f t="shared" si="30"/>
        <v>0</v>
      </c>
      <c r="BG65">
        <f t="shared" si="31"/>
        <v>0</v>
      </c>
      <c r="BH65" s="29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-0.14</v>
      </c>
      <c r="BI65" s="29" cm="1">
        <f t="array" ref="BI65">$G$14+VLOOKUP($R65,武学奇术!$A:$ZZ,16,FALSE)+SUM(_xlfn.XLOOKUP(S65:AG65,增益!$A:$A,增益!$P:$P,0))</f>
        <v>0</v>
      </c>
      <c r="BJ65" s="20">
        <f>MIN(IF(VLOOKUP($R65,武学奇术!$A:$ZZ,23,FALSE)=1,100%,$B$8),100%)</f>
        <v>0.8271</v>
      </c>
      <c r="BK65" s="20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0.2249</v>
      </c>
      <c r="BL65" s="20" cm="1">
        <f t="array" ref="BL65">1+$B$13+VLOOKUP($R65,武学奇术!$A:$ZZ,18,FALSE)+SUM(_xlfn.XLOOKUP(S65:AG65,增益!$A:$A,增益!$R:$R,0))</f>
        <v>1.5</v>
      </c>
      <c r="BM65" s="20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0.4459</v>
      </c>
      <c r="BN65" s="20" cm="1">
        <f t="array" ref="BN65">1+$B$14+VLOOKUP($R65,武学奇术!$A:$ZZ,20,FALSE)+SUM(_xlfn.XLOOKUP(S65:AG65,增益!$A:$A,增益!$T:$T,0))</f>
        <v>1.602</v>
      </c>
      <c r="BO65" s="20">
        <f t="shared" si="22"/>
        <v>0.18601479</v>
      </c>
      <c r="BP65" s="20">
        <f t="shared" si="17"/>
        <v>0.27228132</v>
      </c>
      <c r="BQ65" s="20">
        <f>IF(VLOOKUP($R65,武学奇术!$A:$ZZ,22,FALSE)=1,0,(1-$BJ65))*(1-$BM65)</f>
        <v>0.09580389</v>
      </c>
      <c r="BR65" s="20" cm="1">
        <f t="array" ref="BR65">SUM(_xlfn.XLOOKUP(S65:AG65,增益!$A:$A,增益!$W:$W,0))+$I$5</f>
        <v>0.11</v>
      </c>
    </row>
    <row r="66" spans="1:70">
      <c r="K66" s="27">
        <f>$L66*VLOOKUP($R66,武学奇术!$A:$ZZ,31,FALSE)</f>
        <v>73403.7618963153</v>
      </c>
      <c r="L66" s="27">
        <f t="shared" si="23"/>
        <v>122339.603160526</v>
      </c>
      <c r="M66" s="27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100411.424933579</v>
      </c>
      <c r="N66" s="27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185160.368628486</v>
      </c>
      <c r="O66" s="27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66940.9499557191</v>
      </c>
      <c r="P66" s="27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29975.9691434889</v>
      </c>
      <c r="Q66" s="35">
        <v>1</v>
      </c>
      <c r="R66" s="36" t="s">
        <v>105</v>
      </c>
      <c r="S66" s="36" t="s">
        <v>71</v>
      </c>
      <c r="T66" s="36" t="s">
        <v>99</v>
      </c>
      <c r="U66" s="36" t="s">
        <v>100</v>
      </c>
      <c r="V66" s="36" t="s">
        <v>101</v>
      </c>
      <c r="W66" s="36" t="s">
        <v>111</v>
      </c>
      <c r="X66" s="36" t="s">
        <v>71</v>
      </c>
      <c r="Y66" s="36" t="s">
        <v>71</v>
      </c>
      <c r="Z66" s="36" t="s">
        <v>82</v>
      </c>
      <c r="AA66" s="36" t="s">
        <v>71</v>
      </c>
      <c r="AB66" s="36" t="s">
        <v>71</v>
      </c>
      <c r="AC66" s="36" t="s">
        <v>71</v>
      </c>
      <c r="AD66" s="36" t="s">
        <v>72</v>
      </c>
      <c r="AE66" s="36" t="s">
        <v>94</v>
      </c>
      <c r="AF66" s="36" t="s">
        <v>154</v>
      </c>
      <c r="AG66" s="36" t="s">
        <v>120</v>
      </c>
      <c r="AH66" t="str">
        <f>VLOOKUP($R66,武学奇术!$A:$ZZ,25,FALSE)</f>
        <v>剑</v>
      </c>
      <c r="AI66" s="20">
        <f>VLOOKUP($R66,武学奇术!$A:$ZZ,26,FALSE)</f>
        <v>2.496</v>
      </c>
      <c r="AJ66" s="21">
        <f>VLOOKUP($R66,武学奇术!$A:$ZZ,27,FALSE)*(1+IF(OR($AH66=$F$4,$AH66=$F$5),$B$22,0))</f>
        <v>0</v>
      </c>
      <c r="AK66" s="20">
        <f>VLOOKUP($R66,武学奇术!$A:$ZZ,28,FALSE)</f>
        <v>3.744</v>
      </c>
      <c r="AL66" s="21">
        <f>VLOOKUP($R66,武学奇术!$A:$ZZ,29,FALSE)*(1+IF(OR($AH66=$F$4,$AH66=$F$5),$B$22,0))</f>
        <v>0</v>
      </c>
      <c r="AM66" s="20" cm="1">
        <f t="array" ref="AM66">$G$3+IFERROR(VLOOKUP($AH66,$F$4:$G$7,2,FALSE),0)+VLOOKUP($R66,武学奇术!$A:$ZZ,2,FALSE)+SUM(_xlfn.XLOOKUP($S66:$AG66,增益!$A:$A,增益!$B:$B,0))</f>
        <v>1.4691</v>
      </c>
      <c r="AN66" s="20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1585.72</v>
      </c>
      <c r="AP66" cm="1">
        <f t="array" ref="AP66">$E$10*(1+$AN66)+VLOOKUP($R66,武学奇术!$A:$ZZ,4,FALSE)+SUM(_xlfn.XLOOKUP($S66:$AG66,增益!$A:$A,增益!$D:$D,0))-$I$2</f>
        <v>6696.76</v>
      </c>
      <c r="AQ66" s="29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0.4175</v>
      </c>
      <c r="AR66" s="29" cm="1">
        <f t="array" ref="AR66">$G$10+VLOOKUP($R66,武学奇术!$A:$ZZ,7,FALSE)+SUM(_xlfn.XLOOKUP(S66:AG66,增益!$A:$A,增益!$G:$G,0))</f>
        <v>0</v>
      </c>
      <c r="AS66" s="20" cm="1">
        <f t="array" ref="AS66">VLOOKUP($R66,武学奇术!$A:$ZZ,8,FALSE)+SUM(_xlfn.XLOOKUP(S66:AG66,增益!$A:$A,增益!$H:$H,0))</f>
        <v>0</v>
      </c>
      <c r="AT66">
        <f t="shared" si="24"/>
        <v>538</v>
      </c>
      <c r="AU66">
        <f t="shared" si="25"/>
        <v>1011</v>
      </c>
      <c r="AV66" s="29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0.155</v>
      </c>
      <c r="AW66" s="29" cm="1">
        <f t="array" ref="AW66">$G$11+VLOOKUP($R66,武学奇术!$A:$ZZ,10,FALSE)+SUM(_xlfn.XLOOKUP(S66:AG66,增益!$A:$A,增益!$J:$J,0))</f>
        <v>0.15</v>
      </c>
      <c r="AX66">
        <f t="shared" si="26"/>
        <v>0</v>
      </c>
      <c r="AY66">
        <f t="shared" si="27"/>
        <v>0</v>
      </c>
      <c r="AZ66" s="29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-0.14</v>
      </c>
      <c r="BA66" s="29" cm="1">
        <f t="array" ref="BA66">$G$12+VLOOKUP($R66,武学奇术!$A:$ZZ,12,FALSE)+SUM(_xlfn.XLOOKUP(S66:AG66,增益!$A:$A,增益!$L:$L,0))</f>
        <v>0</v>
      </c>
      <c r="BB66">
        <f t="shared" si="28"/>
        <v>0</v>
      </c>
      <c r="BC66">
        <f t="shared" si="29"/>
        <v>0</v>
      </c>
      <c r="BD66" s="29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-0.14</v>
      </c>
      <c r="BE66" s="29" cm="1">
        <f t="array" ref="BE66">$G$13+VLOOKUP($R66,武学奇术!$A:$ZZ,14,FALSE)+SUM(_xlfn.XLOOKUP(S66:AG66,增益!$A:$A,增益!$N:$N,0))</f>
        <v>0</v>
      </c>
      <c r="BF66">
        <f t="shared" si="30"/>
        <v>0</v>
      </c>
      <c r="BG66">
        <f t="shared" si="31"/>
        <v>0</v>
      </c>
      <c r="BH66" s="29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-0.14</v>
      </c>
      <c r="BI66" s="29" cm="1">
        <f t="array" ref="BI66">$G$14+VLOOKUP($R66,武学奇术!$A:$ZZ,16,FALSE)+SUM(_xlfn.XLOOKUP(S66:AG66,增益!$A:$A,增益!$P:$P,0))</f>
        <v>0</v>
      </c>
      <c r="BJ66" s="20">
        <f>MIN(IF(VLOOKUP($R66,武学奇术!$A:$ZZ,23,FALSE)=1,100%,$B$8),100%)</f>
        <v>0.8271</v>
      </c>
      <c r="BK66" s="20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0.2249</v>
      </c>
      <c r="BL66" s="20" cm="1">
        <f t="array" ref="BL66">1+$B$13+VLOOKUP($R66,武学奇术!$A:$ZZ,18,FALSE)+SUM(_xlfn.XLOOKUP(S66:AG66,增益!$A:$A,增益!$R:$R,0))</f>
        <v>1.5</v>
      </c>
      <c r="BM66" s="20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0.4459</v>
      </c>
      <c r="BN66" s="20" cm="1">
        <f t="array" ref="BN66">1+$B$14+VLOOKUP($R66,武学奇术!$A:$ZZ,20,FALSE)+SUM(_xlfn.XLOOKUP(S66:AG66,增益!$A:$A,增益!$T:$T,0))</f>
        <v>1.782</v>
      </c>
      <c r="BO66" s="20">
        <f t="shared" si="22"/>
        <v>0.18601479</v>
      </c>
      <c r="BP66" s="20">
        <f t="shared" si="17"/>
        <v>0.27228132</v>
      </c>
      <c r="BQ66" s="20">
        <f>IF(VLOOKUP($R66,武学奇术!$A:$ZZ,22,FALSE)=1,0,(1-$BJ66))*(1-$BM66)</f>
        <v>0.09580389</v>
      </c>
      <c r="BR66" s="20" cm="1">
        <f t="array" ref="BR66">SUM(_xlfn.XLOOKUP(S66:AG66,增益!$A:$A,增益!$W:$W,0))+$I$5</f>
        <v>0.11</v>
      </c>
    </row>
    <row r="67" spans="1:70">
      <c r="K67" s="27">
        <f>$L67*VLOOKUP($R67,武学奇术!$A:$ZZ,31,FALSE)</f>
        <v>175798.036576615</v>
      </c>
      <c r="L67" s="27">
        <f t="shared" si="23"/>
        <v>175798.036576615</v>
      </c>
      <c r="M67" s="27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155882.171258969</v>
      </c>
      <c r="N67" s="27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255359.503493323</v>
      </c>
      <c r="O67" s="27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103921.447505979</v>
      </c>
      <c r="P67" s="27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48442.4558775495</v>
      </c>
      <c r="Q67" s="35">
        <v>1</v>
      </c>
      <c r="R67" s="36" t="s">
        <v>156</v>
      </c>
      <c r="S67" s="36" t="s">
        <v>71</v>
      </c>
      <c r="T67" s="36" t="s">
        <v>93</v>
      </c>
      <c r="U67" s="36" t="s">
        <v>71</v>
      </c>
      <c r="V67" s="36" t="s">
        <v>71</v>
      </c>
      <c r="W67" s="36" t="s">
        <v>111</v>
      </c>
      <c r="X67" s="36" t="s">
        <v>71</v>
      </c>
      <c r="Y67" s="36" t="s">
        <v>71</v>
      </c>
      <c r="Z67" s="36" t="s">
        <v>82</v>
      </c>
      <c r="AA67" s="36" t="s">
        <v>71</v>
      </c>
      <c r="AB67" s="36" t="s">
        <v>71</v>
      </c>
      <c r="AC67" s="36" t="s">
        <v>71</v>
      </c>
      <c r="AD67" s="36" t="s">
        <v>72</v>
      </c>
      <c r="AE67" s="36" t="s">
        <v>94</v>
      </c>
      <c r="AF67" s="36" t="s">
        <v>154</v>
      </c>
      <c r="AG67" s="36" t="s">
        <v>120</v>
      </c>
      <c r="AH67" t="str">
        <f>VLOOKUP($R67,武学奇术!$A:$ZZ,25,FALSE)</f>
        <v>单体奇术</v>
      </c>
      <c r="AI67" s="20">
        <f>VLOOKUP($R67,武学奇术!$A:$ZZ,26,FALSE)</f>
        <v>7.1074</v>
      </c>
      <c r="AJ67" s="21">
        <f>VLOOKUP($R67,武学奇术!$A:$ZZ,27,FALSE)*(1+IF(OR($AH67=$F$4,$AH67=$F$5),$B$22,0))</f>
        <v>1320</v>
      </c>
      <c r="AK67" s="20">
        <f>VLOOKUP($R67,武学奇术!$A:$ZZ,28,FALSE)</f>
        <v>10.6596</v>
      </c>
      <c r="AL67" s="21">
        <f>VLOOKUP($R67,武学奇术!$A:$ZZ,29,FALSE)*(1+IF(OR($AH67=$F$4,$AH67=$F$5),$B$22,0))</f>
        <v>0</v>
      </c>
      <c r="AM67" s="20" cm="1">
        <f t="array" ref="AM67">$G$3+IFERROR(VLOOKUP($AH67,$F$4:$G$7,2,FALSE),0)+VLOOKUP($R67,武学奇术!$A:$ZZ,2,FALSE)+SUM(_xlfn.XLOOKUP($S67:$AG67,增益!$A:$A,增益!$B:$B,0))</f>
        <v>0.8165</v>
      </c>
      <c r="AN67" s="20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1585.72</v>
      </c>
      <c r="AP67" cm="1">
        <f t="array" ref="AP67">$E$10*(1+$AN67)+VLOOKUP($R67,武学奇术!$A:$ZZ,4,FALSE)+SUM(_xlfn.XLOOKUP($S67:$AG67,增益!$A:$A,增益!$D:$D,0))-$I$2</f>
        <v>6696.76</v>
      </c>
      <c r="AQ67" s="29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0.3425</v>
      </c>
      <c r="AR67" s="29" cm="1">
        <f t="array" ref="AR67">$G$10+VLOOKUP($R67,武学奇术!$A:$ZZ,7,FALSE)+SUM(_xlfn.XLOOKUP(S67:AG67,增益!$A:$A,增益!$G:$G,0))</f>
        <v>0</v>
      </c>
      <c r="AS67" s="20" cm="1">
        <f t="array" ref="AS67">VLOOKUP($R67,武学奇术!$A:$ZZ,8,FALSE)+SUM(_xlfn.XLOOKUP(S67:AG67,增益!$A:$A,增益!$H:$H,0))</f>
        <v>0</v>
      </c>
      <c r="AT67">
        <f t="shared" si="24"/>
        <v>538</v>
      </c>
      <c r="AU67">
        <f t="shared" si="25"/>
        <v>1011</v>
      </c>
      <c r="AV67" s="29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0.08</v>
      </c>
      <c r="AW67" s="29" cm="1">
        <f t="array" ref="AW67">$G$11+VLOOKUP($R67,武学奇术!$A:$ZZ,10,FALSE)+SUM(_xlfn.XLOOKUP(S67:AG67,增益!$A:$A,增益!$J:$J,0))</f>
        <v>0.15</v>
      </c>
      <c r="AX67">
        <f t="shared" si="26"/>
        <v>0</v>
      </c>
      <c r="AY67">
        <f t="shared" si="27"/>
        <v>0</v>
      </c>
      <c r="AZ67" s="29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-0.14</v>
      </c>
      <c r="BA67" s="29" cm="1">
        <f t="array" ref="BA67">$G$12+VLOOKUP($R67,武学奇术!$A:$ZZ,12,FALSE)+SUM(_xlfn.XLOOKUP(S67:AG67,增益!$A:$A,增益!$L:$L,0))</f>
        <v>0</v>
      </c>
      <c r="BB67">
        <f t="shared" si="28"/>
        <v>0</v>
      </c>
      <c r="BC67">
        <f t="shared" si="29"/>
        <v>0</v>
      </c>
      <c r="BD67" s="29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-0.14</v>
      </c>
      <c r="BE67" s="29" cm="1">
        <f t="array" ref="BE67">$G$13+VLOOKUP($R67,武学奇术!$A:$ZZ,14,FALSE)+SUM(_xlfn.XLOOKUP(S67:AG67,增益!$A:$A,增益!$N:$N,0))</f>
        <v>0</v>
      </c>
      <c r="BF67">
        <f t="shared" si="30"/>
        <v>0</v>
      </c>
      <c r="BG67">
        <f t="shared" si="31"/>
        <v>0</v>
      </c>
      <c r="BH67" s="29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-0.14</v>
      </c>
      <c r="BI67" s="29" cm="1">
        <f t="array" ref="BI67">$G$14+VLOOKUP($R67,武学奇术!$A:$ZZ,16,FALSE)+SUM(_xlfn.XLOOKUP(S67:AG67,增益!$A:$A,增益!$P:$P,0))</f>
        <v>0</v>
      </c>
      <c r="BJ67" s="20">
        <f>MIN(IF(VLOOKUP($R67,武学奇术!$A:$ZZ,23,FALSE)=1,100%,$B$8),100%)</f>
        <v>0.8271</v>
      </c>
      <c r="BK67" s="20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0.2249</v>
      </c>
      <c r="BL67" s="20" cm="1">
        <f t="array" ref="BL67">1+$B$13+VLOOKUP($R67,武学奇术!$A:$ZZ,18,FALSE)+SUM(_xlfn.XLOOKUP(S67:AG67,增益!$A:$A,增益!$R:$R,0))</f>
        <v>1.5</v>
      </c>
      <c r="BM67" s="20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0.4459</v>
      </c>
      <c r="BN67" s="20" cm="1">
        <f t="array" ref="BN67">1+$B$14+VLOOKUP($R67,武学奇术!$A:$ZZ,20,FALSE)+SUM(_xlfn.XLOOKUP(S67:AG67,增益!$A:$A,增益!$T:$T,0))</f>
        <v>1.602</v>
      </c>
      <c r="BO67" s="20">
        <f t="shared" si="22"/>
        <v>0.18601479</v>
      </c>
      <c r="BP67" s="20">
        <f t="shared" ref="BP67:BP101" si="32">1-BM67-BO67-BQ67</f>
        <v>0.27228132</v>
      </c>
      <c r="BQ67" s="20">
        <f>IF(VLOOKUP($R67,武学奇术!$A:$ZZ,22,FALSE)=1,0,(1-$BJ67))*(1-$BM67)</f>
        <v>0.09580389</v>
      </c>
      <c r="BR67" s="20" cm="1">
        <f t="array" ref="BR67">SUM(_xlfn.XLOOKUP(S67:AG67,增益!$A:$A,增益!$W:$W,0))+$I$5</f>
        <v>0.11</v>
      </c>
    </row>
    <row r="68" spans="1:70">
      <c r="K68" s="27">
        <f>$L68*VLOOKUP($R68,武学奇术!$A:$ZZ,31,FALSE)</f>
        <v>29606.1128617776</v>
      </c>
      <c r="L68" s="27">
        <f t="shared" si="23"/>
        <v>29606.1128617776</v>
      </c>
      <c r="M68" s="27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26688.3035739911</v>
      </c>
      <c r="N68" s="27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42445.4767975877</v>
      </c>
      <c r="O68" s="27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17792.2023826607</v>
      </c>
      <c r="P68" s="27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9089.100896665</v>
      </c>
      <c r="Q68" s="35">
        <v>1</v>
      </c>
      <c r="R68" s="36" t="s">
        <v>92</v>
      </c>
      <c r="S68" s="36" t="s">
        <v>71</v>
      </c>
      <c r="T68" s="36" t="s">
        <v>93</v>
      </c>
      <c r="U68" s="36" t="s">
        <v>71</v>
      </c>
      <c r="V68" s="36" t="s">
        <v>71</v>
      </c>
      <c r="W68" s="36" t="s">
        <v>111</v>
      </c>
      <c r="X68" s="36" t="s">
        <v>71</v>
      </c>
      <c r="Y68" s="36" t="s">
        <v>71</v>
      </c>
      <c r="Z68" s="36" t="s">
        <v>82</v>
      </c>
      <c r="AA68" s="36" t="s">
        <v>71</v>
      </c>
      <c r="AB68" s="36" t="s">
        <v>71</v>
      </c>
      <c r="AC68" s="36" t="s">
        <v>71</v>
      </c>
      <c r="AD68" s="36" t="s">
        <v>72</v>
      </c>
      <c r="AE68" s="36" t="s">
        <v>94</v>
      </c>
      <c r="AF68" s="36" t="s">
        <v>154</v>
      </c>
      <c r="AG68" s="36" t="s">
        <v>120</v>
      </c>
      <c r="AH68" t="str">
        <f>VLOOKUP($R68,武学奇术!$A:$ZZ,25,FALSE)</f>
        <v>剑</v>
      </c>
      <c r="AI68" s="20">
        <f>VLOOKUP($R68,武学奇术!$A:$ZZ,26,FALSE)</f>
        <v>1.1781</v>
      </c>
      <c r="AJ68" s="21">
        <f>VLOOKUP($R68,武学奇术!$A:$ZZ,27,FALSE)*(1+IF(OR($AH68=$F$4,$AH68=$F$5),$B$22,0))</f>
        <v>456.4</v>
      </c>
      <c r="AK68" s="20">
        <f>VLOOKUP($R68,武学奇术!$A:$ZZ,28,FALSE)</f>
        <v>1.7672</v>
      </c>
      <c r="AL68" s="21">
        <f>VLOOKUP($R68,武学奇术!$A:$ZZ,29,FALSE)*(1+IF(OR($AH68=$F$4,$AH68=$F$5),$B$22,0))</f>
        <v>247.8</v>
      </c>
      <c r="AM68" s="20" cm="1">
        <f t="array" ref="AM68">$G$3+IFERROR(VLOOKUP($AH68,$F$4:$G$7,2,FALSE),0)+VLOOKUP($R68,武学奇术!$A:$ZZ,2,FALSE)+SUM(_xlfn.XLOOKUP($S68:$AG68,增益!$A:$A,增益!$B:$B,0))</f>
        <v>0.7191</v>
      </c>
      <c r="AN68" s="20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1585.72</v>
      </c>
      <c r="AP68" cm="1">
        <f t="array" ref="AP68">$E$10*(1+$AN68)+VLOOKUP($R68,武学奇术!$A:$ZZ,4,FALSE)+SUM(_xlfn.XLOOKUP($S68:$AG68,增益!$A:$A,增益!$D:$D,0))-$I$2</f>
        <v>6696.76</v>
      </c>
      <c r="AQ68" s="29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0.3425</v>
      </c>
      <c r="AR68" s="29" cm="1">
        <f t="array" ref="AR68">$G$10+VLOOKUP($R68,武学奇术!$A:$ZZ,7,FALSE)+SUM(_xlfn.XLOOKUP(S68:AG68,增益!$A:$A,增益!$G:$G,0))</f>
        <v>0</v>
      </c>
      <c r="AS68" s="20" cm="1">
        <f t="array" ref="AS68">VLOOKUP($R68,武学奇术!$A:$ZZ,8,FALSE)+SUM(_xlfn.XLOOKUP(S68:AG68,增益!$A:$A,增益!$H:$H,0))</f>
        <v>0</v>
      </c>
      <c r="AT68">
        <f t="shared" si="24"/>
        <v>538</v>
      </c>
      <c r="AU68">
        <f t="shared" si="25"/>
        <v>1011</v>
      </c>
      <c r="AV68" s="29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0.08</v>
      </c>
      <c r="AW68" s="29" cm="1">
        <f t="array" ref="AW68">$G$11+VLOOKUP($R68,武学奇术!$A:$ZZ,10,FALSE)+SUM(_xlfn.XLOOKUP(S68:AG68,增益!$A:$A,增益!$J:$J,0))</f>
        <v>0.15</v>
      </c>
      <c r="AX68">
        <f t="shared" si="26"/>
        <v>0</v>
      </c>
      <c r="AY68">
        <f t="shared" si="27"/>
        <v>0</v>
      </c>
      <c r="AZ68" s="29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-0.14</v>
      </c>
      <c r="BA68" s="29" cm="1">
        <f t="array" ref="BA68">$G$12+VLOOKUP($R68,武学奇术!$A:$ZZ,12,FALSE)+SUM(_xlfn.XLOOKUP(S68:AG68,增益!$A:$A,增益!$L:$L,0))</f>
        <v>0</v>
      </c>
      <c r="BB68">
        <f t="shared" si="28"/>
        <v>0</v>
      </c>
      <c r="BC68">
        <f t="shared" si="29"/>
        <v>0</v>
      </c>
      <c r="BD68" s="29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-0.14</v>
      </c>
      <c r="BE68" s="29" cm="1">
        <f t="array" ref="BE68">$G$13+VLOOKUP($R68,武学奇术!$A:$ZZ,14,FALSE)+SUM(_xlfn.XLOOKUP(S68:AG68,增益!$A:$A,增益!$N:$N,0))</f>
        <v>0</v>
      </c>
      <c r="BF68">
        <f t="shared" si="30"/>
        <v>0</v>
      </c>
      <c r="BG68">
        <f t="shared" si="31"/>
        <v>0</v>
      </c>
      <c r="BH68" s="29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-0.14</v>
      </c>
      <c r="BI68" s="29" cm="1">
        <f t="array" ref="BI68">$G$14+VLOOKUP($R68,武学奇术!$A:$ZZ,16,FALSE)+SUM(_xlfn.XLOOKUP(S68:AG68,增益!$A:$A,增益!$P:$P,0))</f>
        <v>0</v>
      </c>
      <c r="BJ68" s="20">
        <f>MIN(IF(VLOOKUP($R68,武学奇术!$A:$ZZ,23,FALSE)=1,100%,$B$8),100%)</f>
        <v>0.8271</v>
      </c>
      <c r="BK68" s="20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0.2249</v>
      </c>
      <c r="BL68" s="20" cm="1">
        <f t="array" ref="BL68">1+$B$13+VLOOKUP($R68,武学奇术!$A:$ZZ,18,FALSE)+SUM(_xlfn.XLOOKUP(S68:AG68,增益!$A:$A,增益!$R:$R,0))</f>
        <v>1.5</v>
      </c>
      <c r="BM68" s="20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0.4459</v>
      </c>
      <c r="BN68" s="20" cm="1">
        <f t="array" ref="BN68">1+$B$14+VLOOKUP($R68,武学奇术!$A:$ZZ,20,FALSE)+SUM(_xlfn.XLOOKUP(S68:AG68,增益!$A:$A,增益!$T:$T,0))</f>
        <v>1.602</v>
      </c>
      <c r="BO68" s="20">
        <f t="shared" si="22"/>
        <v>0.18601479</v>
      </c>
      <c r="BP68" s="20">
        <f t="shared" si="32"/>
        <v>0.27228132</v>
      </c>
      <c r="BQ68" s="20">
        <f>IF(VLOOKUP($R68,武学奇术!$A:$ZZ,22,FALSE)=1,0,(1-$BJ68))*(1-$BM68)</f>
        <v>0.09580389</v>
      </c>
      <c r="BR68" s="20" cm="1">
        <f t="array" ref="BR68">SUM(_xlfn.XLOOKUP(S68:AG68,增益!$A:$A,增益!$W:$W,0))+$I$5</f>
        <v>0.11</v>
      </c>
    </row>
    <row r="69" spans="1:70">
      <c r="K69" s="27">
        <f>$L69*VLOOKUP($R69,武学奇术!$A:$ZZ,31,FALSE)</f>
        <v>73403.7618963153</v>
      </c>
      <c r="L69" s="27">
        <f t="shared" si="23"/>
        <v>122339.603160526</v>
      </c>
      <c r="M69" s="27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100411.424933579</v>
      </c>
      <c r="N69" s="27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185160.368628486</v>
      </c>
      <c r="O69" s="27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66940.9499557191</v>
      </c>
      <c r="P69" s="27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29975.9691434889</v>
      </c>
      <c r="Q69" s="35">
        <v>1</v>
      </c>
      <c r="R69" s="36" t="s">
        <v>105</v>
      </c>
      <c r="S69" s="36" t="s">
        <v>71</v>
      </c>
      <c r="T69" s="36" t="s">
        <v>99</v>
      </c>
      <c r="U69" s="36" t="s">
        <v>100</v>
      </c>
      <c r="V69" s="36" t="s">
        <v>101</v>
      </c>
      <c r="W69" s="36" t="s">
        <v>111</v>
      </c>
      <c r="X69" s="36" t="s">
        <v>71</v>
      </c>
      <c r="Y69" s="36" t="s">
        <v>71</v>
      </c>
      <c r="Z69" s="36" t="s">
        <v>82</v>
      </c>
      <c r="AA69" s="36" t="s">
        <v>71</v>
      </c>
      <c r="AB69" s="36" t="s">
        <v>71</v>
      </c>
      <c r="AC69" s="36" t="s">
        <v>71</v>
      </c>
      <c r="AD69" s="36" t="s">
        <v>72</v>
      </c>
      <c r="AE69" s="36" t="s">
        <v>94</v>
      </c>
      <c r="AF69" s="36" t="s">
        <v>154</v>
      </c>
      <c r="AG69" s="36" t="s">
        <v>120</v>
      </c>
      <c r="AH69" t="str">
        <f>VLOOKUP($R69,武学奇术!$A:$ZZ,25,FALSE)</f>
        <v>剑</v>
      </c>
      <c r="AI69" s="20">
        <f>VLOOKUP($R69,武学奇术!$A:$ZZ,26,FALSE)</f>
        <v>2.496</v>
      </c>
      <c r="AJ69" s="21">
        <f>VLOOKUP($R69,武学奇术!$A:$ZZ,27,FALSE)*(1+IF(OR($AH69=$F$4,$AH69=$F$5),$B$22,0))</f>
        <v>0</v>
      </c>
      <c r="AK69" s="20">
        <f>VLOOKUP($R69,武学奇术!$A:$ZZ,28,FALSE)</f>
        <v>3.744</v>
      </c>
      <c r="AL69" s="21">
        <f>VLOOKUP($R69,武学奇术!$A:$ZZ,29,FALSE)*(1+IF(OR($AH69=$F$4,$AH69=$F$5),$B$22,0))</f>
        <v>0</v>
      </c>
      <c r="AM69" s="20" cm="1">
        <f t="array" ref="AM69">$G$3+IFERROR(VLOOKUP($AH69,$F$4:$G$7,2,FALSE),0)+VLOOKUP($R69,武学奇术!$A:$ZZ,2,FALSE)+SUM(_xlfn.XLOOKUP($S69:$AG69,增益!$A:$A,增益!$B:$B,0))</f>
        <v>1.4691</v>
      </c>
      <c r="AN69" s="20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1585.72</v>
      </c>
      <c r="AP69" cm="1">
        <f t="array" ref="AP69">$E$10*(1+$AN69)+VLOOKUP($R69,武学奇术!$A:$ZZ,4,FALSE)+SUM(_xlfn.XLOOKUP($S69:$AG69,增益!$A:$A,增益!$D:$D,0))-$I$2</f>
        <v>6696.76</v>
      </c>
      <c r="AQ69" s="29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0.4175</v>
      </c>
      <c r="AR69" s="29" cm="1">
        <f t="array" ref="AR69">$G$10+VLOOKUP($R69,武学奇术!$A:$ZZ,7,FALSE)+SUM(_xlfn.XLOOKUP(S69:AG69,增益!$A:$A,增益!$G:$G,0))</f>
        <v>0</v>
      </c>
      <c r="AS69" s="20" cm="1">
        <f t="array" ref="AS69">VLOOKUP($R69,武学奇术!$A:$ZZ,8,FALSE)+SUM(_xlfn.XLOOKUP(S69:AG69,增益!$A:$A,增益!$H:$H,0))</f>
        <v>0</v>
      </c>
      <c r="AT69">
        <f t="shared" si="24"/>
        <v>538</v>
      </c>
      <c r="AU69">
        <f t="shared" si="25"/>
        <v>1011</v>
      </c>
      <c r="AV69" s="29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0.155</v>
      </c>
      <c r="AW69" s="29" cm="1">
        <f t="array" ref="AW69">$G$11+VLOOKUP($R69,武学奇术!$A:$ZZ,10,FALSE)+SUM(_xlfn.XLOOKUP(S69:AG69,增益!$A:$A,增益!$J:$J,0))</f>
        <v>0.15</v>
      </c>
      <c r="AX69">
        <f t="shared" si="26"/>
        <v>0</v>
      </c>
      <c r="AY69">
        <f t="shared" si="27"/>
        <v>0</v>
      </c>
      <c r="AZ69" s="29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-0.14</v>
      </c>
      <c r="BA69" s="29" cm="1">
        <f t="array" ref="BA69">$G$12+VLOOKUP($R69,武学奇术!$A:$ZZ,12,FALSE)+SUM(_xlfn.XLOOKUP(S69:AG69,增益!$A:$A,增益!$L:$L,0))</f>
        <v>0</v>
      </c>
      <c r="BB69">
        <f t="shared" si="28"/>
        <v>0</v>
      </c>
      <c r="BC69">
        <f t="shared" si="29"/>
        <v>0</v>
      </c>
      <c r="BD69" s="29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-0.14</v>
      </c>
      <c r="BE69" s="29" cm="1">
        <f t="array" ref="BE69">$G$13+VLOOKUP($R69,武学奇术!$A:$ZZ,14,FALSE)+SUM(_xlfn.XLOOKUP(S69:AG69,增益!$A:$A,增益!$N:$N,0))</f>
        <v>0</v>
      </c>
      <c r="BF69">
        <f t="shared" si="30"/>
        <v>0</v>
      </c>
      <c r="BG69">
        <f t="shared" si="31"/>
        <v>0</v>
      </c>
      <c r="BH69" s="29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-0.14</v>
      </c>
      <c r="BI69" s="29" cm="1">
        <f t="array" ref="BI69">$G$14+VLOOKUP($R69,武学奇术!$A:$ZZ,16,FALSE)+SUM(_xlfn.XLOOKUP(S69:AG69,增益!$A:$A,增益!$P:$P,0))</f>
        <v>0</v>
      </c>
      <c r="BJ69" s="20">
        <f>MIN(IF(VLOOKUP($R69,武学奇术!$A:$ZZ,23,FALSE)=1,100%,$B$8),100%)</f>
        <v>0.8271</v>
      </c>
      <c r="BK69" s="20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0.2249</v>
      </c>
      <c r="BL69" s="20" cm="1">
        <f t="array" ref="BL69">1+$B$13+VLOOKUP($R69,武学奇术!$A:$ZZ,18,FALSE)+SUM(_xlfn.XLOOKUP(S69:AG69,增益!$A:$A,增益!$R:$R,0))</f>
        <v>1.5</v>
      </c>
      <c r="BM69" s="20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0.4459</v>
      </c>
      <c r="BN69" s="20" cm="1">
        <f t="array" ref="BN69">1+$B$14+VLOOKUP($R69,武学奇术!$A:$ZZ,20,FALSE)+SUM(_xlfn.XLOOKUP(S69:AG69,增益!$A:$A,增益!$T:$T,0))</f>
        <v>1.782</v>
      </c>
      <c r="BO69" s="20">
        <f t="shared" si="22"/>
        <v>0.18601479</v>
      </c>
      <c r="BP69" s="20">
        <f t="shared" si="32"/>
        <v>0.27228132</v>
      </c>
      <c r="BQ69" s="20">
        <f>IF(VLOOKUP($R69,武学奇术!$A:$ZZ,22,FALSE)=1,0,(1-$BJ69))*(1-$BM69)</f>
        <v>0.09580389</v>
      </c>
      <c r="BR69" s="20" cm="1">
        <f t="array" ref="BR69">SUM(_xlfn.XLOOKUP(S69:AG69,增益!$A:$A,增益!$W:$W,0))+$I$5</f>
        <v>0.11</v>
      </c>
    </row>
    <row r="70" spans="1:70">
      <c r="K70" s="27">
        <f>$L70*VLOOKUP($R70,武学奇术!$A:$ZZ,31,FALSE)</f>
        <v>111096.221177091</v>
      </c>
      <c r="L70" s="27">
        <f t="shared" si="23"/>
        <v>185160.368628486</v>
      </c>
      <c r="M70" s="27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100411.424933579</v>
      </c>
      <c r="N70" s="27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185160.368628486</v>
      </c>
      <c r="O70" s="27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66940.9499557191</v>
      </c>
      <c r="P70" s="27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29975.9691434889</v>
      </c>
      <c r="Q70" s="35">
        <v>1</v>
      </c>
      <c r="R70" s="36" t="s">
        <v>98</v>
      </c>
      <c r="S70" s="36" t="s">
        <v>71</v>
      </c>
      <c r="T70" s="36" t="s">
        <v>99</v>
      </c>
      <c r="U70" s="36" t="s">
        <v>100</v>
      </c>
      <c r="V70" s="36" t="s">
        <v>101</v>
      </c>
      <c r="W70" s="36" t="s">
        <v>111</v>
      </c>
      <c r="X70" s="36" t="s">
        <v>71</v>
      </c>
      <c r="Y70" s="36" t="s">
        <v>71</v>
      </c>
      <c r="Z70" s="36" t="s">
        <v>82</v>
      </c>
      <c r="AA70" s="36" t="s">
        <v>71</v>
      </c>
      <c r="AB70" s="36" t="s">
        <v>71</v>
      </c>
      <c r="AC70" s="36" t="s">
        <v>71</v>
      </c>
      <c r="AD70" s="36" t="s">
        <v>72</v>
      </c>
      <c r="AE70" s="36" t="s">
        <v>94</v>
      </c>
      <c r="AF70" s="36" t="s">
        <v>154</v>
      </c>
      <c r="AG70" s="36" t="s">
        <v>120</v>
      </c>
      <c r="AH70" t="str">
        <f>VLOOKUP($R70,武学奇术!$A:$ZZ,25,FALSE)</f>
        <v>剑</v>
      </c>
      <c r="AI70" s="20">
        <f>VLOOKUP($R70,武学奇术!$A:$ZZ,26,FALSE)</f>
        <v>2.496</v>
      </c>
      <c r="AJ70" s="21">
        <f>VLOOKUP($R70,武学奇术!$A:$ZZ,27,FALSE)*(1+IF(OR($AH70=$F$4,$AH70=$F$5),$B$22,0))</f>
        <v>0</v>
      </c>
      <c r="AK70" s="20">
        <f>VLOOKUP($R70,武学奇术!$A:$ZZ,28,FALSE)</f>
        <v>3.744</v>
      </c>
      <c r="AL70" s="21">
        <f>VLOOKUP($R70,武学奇术!$A:$ZZ,29,FALSE)*(1+IF(OR($AH70=$F$4,$AH70=$F$5),$B$22,0))</f>
        <v>0</v>
      </c>
      <c r="AM70" s="20" cm="1">
        <f t="array" ref="AM70">$G$3+IFERROR(VLOOKUP($AH70,$F$4:$G$7,2,FALSE),0)+VLOOKUP($R70,武学奇术!$A:$ZZ,2,FALSE)+SUM(_xlfn.XLOOKUP($S70:$AG70,增益!$A:$A,增益!$B:$B,0))</f>
        <v>1.4691</v>
      </c>
      <c r="AN70" s="20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1585.72</v>
      </c>
      <c r="AP70" cm="1">
        <f t="array" ref="AP70">$E$10*(1+$AN70)+VLOOKUP($R70,武学奇术!$A:$ZZ,4,FALSE)+SUM(_xlfn.XLOOKUP($S70:$AG70,增益!$A:$A,增益!$D:$D,0))-$I$2</f>
        <v>6696.76</v>
      </c>
      <c r="AQ70" s="29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0.4175</v>
      </c>
      <c r="AR70" s="29" cm="1">
        <f t="array" ref="AR70">$G$10+VLOOKUP($R70,武学奇术!$A:$ZZ,7,FALSE)+SUM(_xlfn.XLOOKUP(S70:AG70,增益!$A:$A,增益!$G:$G,0))</f>
        <v>0</v>
      </c>
      <c r="AS70" s="20" cm="1">
        <f t="array" ref="AS70">VLOOKUP($R70,武学奇术!$A:$ZZ,8,FALSE)+SUM(_xlfn.XLOOKUP(S70:AG70,增益!$A:$A,增益!$H:$H,0))</f>
        <v>0</v>
      </c>
      <c r="AT70">
        <f t="shared" si="24"/>
        <v>538</v>
      </c>
      <c r="AU70">
        <f t="shared" si="25"/>
        <v>1011</v>
      </c>
      <c r="AV70" s="29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0.155</v>
      </c>
      <c r="AW70" s="29" cm="1">
        <f t="array" ref="AW70">$G$11+VLOOKUP($R70,武学奇术!$A:$ZZ,10,FALSE)+SUM(_xlfn.XLOOKUP(S70:AG70,增益!$A:$A,增益!$J:$J,0))</f>
        <v>0.15</v>
      </c>
      <c r="AX70">
        <f t="shared" si="26"/>
        <v>0</v>
      </c>
      <c r="AY70">
        <f t="shared" si="27"/>
        <v>0</v>
      </c>
      <c r="AZ70" s="29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-0.14</v>
      </c>
      <c r="BA70" s="29" cm="1">
        <f t="array" ref="BA70">$G$12+VLOOKUP($R70,武学奇术!$A:$ZZ,12,FALSE)+SUM(_xlfn.XLOOKUP(S70:AG70,增益!$A:$A,增益!$L:$L,0))</f>
        <v>0</v>
      </c>
      <c r="BB70">
        <f t="shared" si="28"/>
        <v>0</v>
      </c>
      <c r="BC70">
        <f t="shared" si="29"/>
        <v>0</v>
      </c>
      <c r="BD70" s="29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-0.14</v>
      </c>
      <c r="BE70" s="29" cm="1">
        <f t="array" ref="BE70">$G$13+VLOOKUP($R70,武学奇术!$A:$ZZ,14,FALSE)+SUM(_xlfn.XLOOKUP(S70:AG70,增益!$A:$A,增益!$N:$N,0))</f>
        <v>0</v>
      </c>
      <c r="BF70">
        <f t="shared" si="30"/>
        <v>0</v>
      </c>
      <c r="BG70">
        <f t="shared" si="31"/>
        <v>0</v>
      </c>
      <c r="BH70" s="29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-0.14</v>
      </c>
      <c r="BI70" s="29" cm="1">
        <f t="array" ref="BI70">$G$14+VLOOKUP($R70,武学奇术!$A:$ZZ,16,FALSE)+SUM(_xlfn.XLOOKUP(S70:AG70,增益!$A:$A,增益!$P:$P,0))</f>
        <v>0</v>
      </c>
      <c r="BJ70" s="20">
        <f>MIN(IF(VLOOKUP($R70,武学奇术!$A:$ZZ,23,FALSE)=1,100%,$B$8),100%)</f>
        <v>0.8271</v>
      </c>
      <c r="BK70" s="20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</v>
      </c>
      <c r="BL70" s="20" cm="1">
        <f t="array" ref="BL70">1+$B$13+VLOOKUP($R70,武学奇术!$A:$ZZ,18,FALSE)+SUM(_xlfn.XLOOKUP(S70:AG70,增益!$A:$A,增益!$R:$R,0))</f>
        <v>1.5</v>
      </c>
      <c r="BM70" s="20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1</v>
      </c>
      <c r="BN70" s="20" cm="1">
        <f t="array" ref="BN70">1+$B$14+VLOOKUP($R70,武学奇术!$A:$ZZ,20,FALSE)+SUM(_xlfn.XLOOKUP(S70:AG70,增益!$A:$A,增益!$T:$T,0))</f>
        <v>1.782</v>
      </c>
      <c r="BO70" s="20">
        <f t="shared" si="22"/>
        <v>0</v>
      </c>
      <c r="BP70" s="20">
        <f t="shared" si="32"/>
        <v>0</v>
      </c>
      <c r="BQ70" s="20">
        <f>IF(VLOOKUP($R70,武学奇术!$A:$ZZ,22,FALSE)=1,0,(1-$BJ70))*(1-$BM70)</f>
        <v>0</v>
      </c>
      <c r="BR70" s="20" cm="1">
        <f t="array" ref="BR70">SUM(_xlfn.XLOOKUP(S70:AG70,增益!$A:$A,增益!$W:$W,0))+$I$5</f>
        <v>0.11</v>
      </c>
    </row>
    <row r="71" spans="1:70">
      <c r="K71" s="27">
        <f>$L71*VLOOKUP($R71,武学奇术!$A:$ZZ,31,FALSE)</f>
        <v>14225.6967284734</v>
      </c>
      <c r="L71" s="27">
        <f t="shared" si="23"/>
        <v>14225.6967284734</v>
      </c>
      <c r="M71" s="27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12527.0560778889</v>
      </c>
      <c r="N71" s="27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20775.5110365395</v>
      </c>
      <c r="O71" s="27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8351.37071859263</v>
      </c>
      <c r="P71" s="27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3734.25764408944</v>
      </c>
      <c r="Q71" s="35">
        <v>1</v>
      </c>
      <c r="R71" s="36" t="s">
        <v>107</v>
      </c>
      <c r="S71" s="36" t="s">
        <v>71</v>
      </c>
      <c r="T71" s="36" t="s">
        <v>93</v>
      </c>
      <c r="U71" s="36" t="s">
        <v>71</v>
      </c>
      <c r="V71" s="36" t="s">
        <v>71</v>
      </c>
      <c r="W71" s="36" t="s">
        <v>111</v>
      </c>
      <c r="X71" s="36" t="s">
        <v>71</v>
      </c>
      <c r="Y71" s="36" t="s">
        <v>71</v>
      </c>
      <c r="Z71" s="36" t="s">
        <v>82</v>
      </c>
      <c r="AA71" s="36" t="s">
        <v>71</v>
      </c>
      <c r="AB71" s="36" t="s">
        <v>71</v>
      </c>
      <c r="AC71" s="36" t="s">
        <v>71</v>
      </c>
      <c r="AD71" s="36" t="s">
        <v>72</v>
      </c>
      <c r="AE71" s="36" t="s">
        <v>94</v>
      </c>
      <c r="AF71" s="36" t="s">
        <v>154</v>
      </c>
      <c r="AG71" s="36" t="s">
        <v>120</v>
      </c>
      <c r="AH71" t="str">
        <f>VLOOKUP($R71,武学奇术!$A:$ZZ,25,FALSE)</f>
        <v>剑</v>
      </c>
      <c r="AI71" s="20">
        <f>VLOOKUP($R71,武学奇术!$A:$ZZ,26,FALSE)</f>
        <v>0.625</v>
      </c>
      <c r="AJ71" s="21">
        <f>VLOOKUP($R71,武学奇术!$A:$ZZ,27,FALSE)*(1+IF(OR($AH71=$F$4,$AH71=$F$5),$B$22,0))</f>
        <v>0</v>
      </c>
      <c r="AK71" s="20">
        <f>VLOOKUP($R71,武学奇术!$A:$ZZ,28,FALSE)</f>
        <v>0.9375</v>
      </c>
      <c r="AL71" s="21">
        <f>VLOOKUP($R71,武学奇术!$A:$ZZ,29,FALSE)*(1+IF(OR($AH71=$F$4,$AH71=$F$5),$B$22,0))</f>
        <v>0</v>
      </c>
      <c r="AM71" s="20" cm="1">
        <f t="array" ref="AM71">$G$3+IFERROR(VLOOKUP($AH71,$F$4:$G$7,2,FALSE),0)+VLOOKUP($R71,武学奇术!$A:$ZZ,2,FALSE)+SUM(_xlfn.XLOOKUP($S71:$AG71,增益!$A:$A,增益!$B:$B,0))</f>
        <v>0.7191</v>
      </c>
      <c r="AN71" s="20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1585.72</v>
      </c>
      <c r="AP71" cm="1">
        <f t="array" ref="AP71">$E$10*(1+$AN71)+VLOOKUP($R71,武学奇术!$A:$ZZ,4,FALSE)+SUM(_xlfn.XLOOKUP($S71:$AG71,增益!$A:$A,增益!$D:$D,0))-$I$2</f>
        <v>6696.76</v>
      </c>
      <c r="AQ71" s="29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0.3425</v>
      </c>
      <c r="AR71" s="29" cm="1">
        <f t="array" ref="AR71">$G$10+VLOOKUP($R71,武学奇术!$A:$ZZ,7,FALSE)+SUM(_xlfn.XLOOKUP(S71:AG71,增益!$A:$A,增益!$G:$G,0))</f>
        <v>0</v>
      </c>
      <c r="AS71" s="20" cm="1">
        <f t="array" ref="AS71">VLOOKUP($R71,武学奇术!$A:$ZZ,8,FALSE)+SUM(_xlfn.XLOOKUP(S71:AG71,增益!$A:$A,增益!$H:$H,0))</f>
        <v>0</v>
      </c>
      <c r="AT71">
        <f t="shared" si="24"/>
        <v>538</v>
      </c>
      <c r="AU71">
        <f t="shared" si="25"/>
        <v>1011</v>
      </c>
      <c r="AV71" s="29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0.08</v>
      </c>
      <c r="AW71" s="29" cm="1">
        <f t="array" ref="AW71">$G$11+VLOOKUP($R71,武学奇术!$A:$ZZ,10,FALSE)+SUM(_xlfn.XLOOKUP(S71:AG71,增益!$A:$A,增益!$J:$J,0))</f>
        <v>0.15</v>
      </c>
      <c r="AX71">
        <f t="shared" si="26"/>
        <v>0</v>
      </c>
      <c r="AY71">
        <f t="shared" si="27"/>
        <v>0</v>
      </c>
      <c r="AZ71" s="29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-0.14</v>
      </c>
      <c r="BA71" s="29" cm="1">
        <f t="array" ref="BA71">$G$12+VLOOKUP($R71,武学奇术!$A:$ZZ,12,FALSE)+SUM(_xlfn.XLOOKUP(S71:AG71,增益!$A:$A,增益!$L:$L,0))</f>
        <v>0</v>
      </c>
      <c r="BB71">
        <f t="shared" si="28"/>
        <v>0</v>
      </c>
      <c r="BC71">
        <f t="shared" si="29"/>
        <v>0</v>
      </c>
      <c r="BD71" s="29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-0.14</v>
      </c>
      <c r="BE71" s="29" cm="1">
        <f t="array" ref="BE71">$G$13+VLOOKUP($R71,武学奇术!$A:$ZZ,14,FALSE)+SUM(_xlfn.XLOOKUP(S71:AG71,增益!$A:$A,增益!$N:$N,0))</f>
        <v>0</v>
      </c>
      <c r="BF71">
        <f t="shared" si="30"/>
        <v>0</v>
      </c>
      <c r="BG71">
        <f t="shared" si="31"/>
        <v>0</v>
      </c>
      <c r="BH71" s="29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-0.14</v>
      </c>
      <c r="BI71" s="29" cm="1">
        <f t="array" ref="BI71">$G$14+VLOOKUP($R71,武学奇术!$A:$ZZ,16,FALSE)+SUM(_xlfn.XLOOKUP(S71:AG71,增益!$A:$A,增益!$P:$P,0))</f>
        <v>0</v>
      </c>
      <c r="BJ71" s="20">
        <f>MIN(IF(VLOOKUP($R71,武学奇术!$A:$ZZ,23,FALSE)=1,100%,$B$8),100%)</f>
        <v>0.8271</v>
      </c>
      <c r="BK71" s="20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0.2249</v>
      </c>
      <c r="BL71" s="20" cm="1">
        <f t="array" ref="BL71">1+$B$13+VLOOKUP($R71,武学奇术!$A:$ZZ,18,FALSE)+SUM(_xlfn.XLOOKUP(S71:AG71,增益!$A:$A,增益!$R:$R,0))</f>
        <v>1.5</v>
      </c>
      <c r="BM71" s="20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0.4459</v>
      </c>
      <c r="BN71" s="20" cm="1">
        <f t="array" ref="BN71">1+$B$14+VLOOKUP($R71,武学奇术!$A:$ZZ,20,FALSE)+SUM(_xlfn.XLOOKUP(S71:AG71,增益!$A:$A,增益!$T:$T,0))</f>
        <v>1.602</v>
      </c>
      <c r="BO71" s="20">
        <f t="shared" si="22"/>
        <v>0.18601479</v>
      </c>
      <c r="BP71" s="20">
        <f t="shared" si="32"/>
        <v>0.27228132</v>
      </c>
      <c r="BQ71" s="20">
        <f>IF(VLOOKUP($R71,武学奇术!$A:$ZZ,22,FALSE)=1,0,(1-$BJ71))*(1-$BM71)</f>
        <v>0.09580389</v>
      </c>
      <c r="BR71" s="20" cm="1">
        <f t="array" ref="BR71">SUM(_xlfn.XLOOKUP(S71:AG71,增益!$A:$A,增益!$W:$W,0))+$I$5</f>
        <v>0.11</v>
      </c>
    </row>
    <row r="72" spans="1:70">
      <c r="K72" s="27">
        <f>$L72*VLOOKUP($R72,武学奇术!$A:$ZZ,31,FALSE)</f>
        <v>68349.6866917325</v>
      </c>
      <c r="L72" s="27">
        <f t="shared" si="23"/>
        <v>68349.6866917325</v>
      </c>
      <c r="M72" s="27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61610.119754351</v>
      </c>
      <c r="N72" s="27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97995.4596138087</v>
      </c>
      <c r="O72" s="27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41073.4131695673</v>
      </c>
      <c r="P72" s="27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20976.1274541105</v>
      </c>
      <c r="Q72" s="35">
        <v>1</v>
      </c>
      <c r="R72" s="36" t="s">
        <v>81</v>
      </c>
      <c r="S72" s="36" t="s">
        <v>71</v>
      </c>
      <c r="T72" s="36" t="s">
        <v>93</v>
      </c>
      <c r="U72" s="36" t="s">
        <v>71</v>
      </c>
      <c r="V72" s="36" t="s">
        <v>71</v>
      </c>
      <c r="W72" s="36" t="s">
        <v>111</v>
      </c>
      <c r="X72" s="36" t="s">
        <v>71</v>
      </c>
      <c r="Y72" s="36" t="s">
        <v>71</v>
      </c>
      <c r="Z72" s="36" t="s">
        <v>82</v>
      </c>
      <c r="AA72" s="36" t="s">
        <v>71</v>
      </c>
      <c r="AB72" s="36" t="s">
        <v>71</v>
      </c>
      <c r="AC72" s="36" t="s">
        <v>71</v>
      </c>
      <c r="AD72" s="36" t="s">
        <v>72</v>
      </c>
      <c r="AE72" s="36" t="s">
        <v>94</v>
      </c>
      <c r="AF72" s="36" t="s">
        <v>154</v>
      </c>
      <c r="AG72" s="36" t="s">
        <v>120</v>
      </c>
      <c r="AH72" t="str">
        <f>VLOOKUP($R72,武学奇术!$A:$ZZ,25,FALSE)</f>
        <v>剑</v>
      </c>
      <c r="AI72" s="20">
        <f>VLOOKUP($R72,武学奇术!$A:$ZZ,26,FALSE)</f>
        <v>2.7205</v>
      </c>
      <c r="AJ72" s="21">
        <f>VLOOKUP($R72,武学奇术!$A:$ZZ,27,FALSE)*(1+IF(OR($AH72=$F$4,$AH72=$F$5),$B$22,0))</f>
        <v>1048.6</v>
      </c>
      <c r="AK72" s="20">
        <f>VLOOKUP($R72,武学奇术!$A:$ZZ,28,FALSE)</f>
        <v>4.0806</v>
      </c>
      <c r="AL72" s="21">
        <f>VLOOKUP($R72,武学奇术!$A:$ZZ,29,FALSE)*(1+IF(OR($AH72=$F$4,$AH72=$F$5),$B$22,0))</f>
        <v>572.6</v>
      </c>
      <c r="AM72" s="20" cm="1">
        <f t="array" ref="AM72">$G$3+IFERROR(VLOOKUP($AH72,$F$4:$G$7,2,FALSE),0)+VLOOKUP($R72,武学奇术!$A:$ZZ,2,FALSE)+SUM(_xlfn.XLOOKUP($S72:$AG72,增益!$A:$A,增益!$B:$B,0))</f>
        <v>0.7191</v>
      </c>
      <c r="AN72" s="20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1585.72</v>
      </c>
      <c r="AP72" cm="1">
        <f t="array" ref="AP72">$E$10*(1+$AN72)+VLOOKUP($R72,武学奇术!$A:$ZZ,4,FALSE)+SUM(_xlfn.XLOOKUP($S72:$AG72,增益!$A:$A,增益!$D:$D,0))-$I$2</f>
        <v>6696.76</v>
      </c>
      <c r="AQ72" s="29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0.3425</v>
      </c>
      <c r="AR72" s="29" cm="1">
        <f t="array" ref="AR72">$G$10+VLOOKUP($R72,武学奇术!$A:$ZZ,7,FALSE)+SUM(_xlfn.XLOOKUP(S72:AG72,增益!$A:$A,增益!$G:$G,0))</f>
        <v>0</v>
      </c>
      <c r="AS72" s="20" cm="1">
        <f t="array" ref="AS72">VLOOKUP($R72,武学奇术!$A:$ZZ,8,FALSE)+SUM(_xlfn.XLOOKUP(S72:AG72,增益!$A:$A,增益!$H:$H,0))</f>
        <v>0</v>
      </c>
      <c r="AT72">
        <f t="shared" si="24"/>
        <v>538</v>
      </c>
      <c r="AU72">
        <f t="shared" si="25"/>
        <v>1011</v>
      </c>
      <c r="AV72" s="29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0.08</v>
      </c>
      <c r="AW72" s="29" cm="1">
        <f t="array" ref="AW72">$G$11+VLOOKUP($R72,武学奇术!$A:$ZZ,10,FALSE)+SUM(_xlfn.XLOOKUP(S72:AG72,增益!$A:$A,增益!$J:$J,0))</f>
        <v>0.15</v>
      </c>
      <c r="AX72">
        <f t="shared" si="26"/>
        <v>0</v>
      </c>
      <c r="AY72">
        <f t="shared" si="27"/>
        <v>0</v>
      </c>
      <c r="AZ72" s="29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-0.14</v>
      </c>
      <c r="BA72" s="29" cm="1">
        <f t="array" ref="BA72">$G$12+VLOOKUP($R72,武学奇术!$A:$ZZ,12,FALSE)+SUM(_xlfn.XLOOKUP(S72:AG72,增益!$A:$A,增益!$L:$L,0))</f>
        <v>0</v>
      </c>
      <c r="BB72">
        <f t="shared" si="28"/>
        <v>0</v>
      </c>
      <c r="BC72">
        <f t="shared" si="29"/>
        <v>0</v>
      </c>
      <c r="BD72" s="29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-0.14</v>
      </c>
      <c r="BE72" s="29" cm="1">
        <f t="array" ref="BE72">$G$13+VLOOKUP($R72,武学奇术!$A:$ZZ,14,FALSE)+SUM(_xlfn.XLOOKUP(S72:AG72,增益!$A:$A,增益!$N:$N,0))</f>
        <v>0</v>
      </c>
      <c r="BF72">
        <f t="shared" si="30"/>
        <v>0</v>
      </c>
      <c r="BG72">
        <f t="shared" si="31"/>
        <v>0</v>
      </c>
      <c r="BH72" s="29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-0.14</v>
      </c>
      <c r="BI72" s="29" cm="1">
        <f t="array" ref="BI72">$G$14+VLOOKUP($R72,武学奇术!$A:$ZZ,16,FALSE)+SUM(_xlfn.XLOOKUP(S72:AG72,增益!$A:$A,增益!$P:$P,0))</f>
        <v>0</v>
      </c>
      <c r="BJ72" s="20">
        <f>MIN(IF(VLOOKUP($R72,武学奇术!$A:$ZZ,23,FALSE)=1,100%,$B$8),100%)</f>
        <v>0.8271</v>
      </c>
      <c r="BK72" s="20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0.2249</v>
      </c>
      <c r="BL72" s="20" cm="1">
        <f t="array" ref="BL72">1+$B$13+VLOOKUP($R72,武学奇术!$A:$ZZ,18,FALSE)+SUM(_xlfn.XLOOKUP(S72:AG72,增益!$A:$A,增益!$R:$R,0))</f>
        <v>1.5</v>
      </c>
      <c r="BM72" s="20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0.4459</v>
      </c>
      <c r="BN72" s="20" cm="1">
        <f t="array" ref="BN72">1+$B$14+VLOOKUP($R72,武学奇术!$A:$ZZ,20,FALSE)+SUM(_xlfn.XLOOKUP(S72:AG72,增益!$A:$A,增益!$T:$T,0))</f>
        <v>1.602</v>
      </c>
      <c r="BO72" s="20">
        <f t="shared" si="22"/>
        <v>0.18601479</v>
      </c>
      <c r="BP72" s="20">
        <f t="shared" si="32"/>
        <v>0.27228132</v>
      </c>
      <c r="BQ72" s="20">
        <f>IF(VLOOKUP($R72,武学奇术!$A:$ZZ,22,FALSE)=1,0,(1-$BJ72))*(1-$BM72)</f>
        <v>0.09580389</v>
      </c>
      <c r="BR72" s="20" cm="1">
        <f t="array" ref="BR72">SUM(_xlfn.XLOOKUP(S72:AG72,增益!$A:$A,增益!$W:$W,0))+$I$5</f>
        <v>0.11</v>
      </c>
    </row>
    <row r="73" spans="1:70">
      <c r="K73" s="27">
        <f>$L73*VLOOKUP($R73,武学奇术!$A:$ZZ,31,FALSE)</f>
        <v>73403.7618963153</v>
      </c>
      <c r="L73" s="27">
        <f t="shared" si="23"/>
        <v>122339.603160526</v>
      </c>
      <c r="M73" s="27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100411.424933579</v>
      </c>
      <c r="N73" s="27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185160.368628486</v>
      </c>
      <c r="O73" s="27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66940.9499557191</v>
      </c>
      <c r="P73" s="27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29975.9691434889</v>
      </c>
      <c r="Q73" s="35">
        <v>1</v>
      </c>
      <c r="R73" s="36" t="s">
        <v>105</v>
      </c>
      <c r="S73" s="36" t="s">
        <v>71</v>
      </c>
      <c r="T73" s="36" t="s">
        <v>99</v>
      </c>
      <c r="U73" s="36" t="s">
        <v>100</v>
      </c>
      <c r="V73" s="36" t="s">
        <v>101</v>
      </c>
      <c r="W73" s="36" t="s">
        <v>111</v>
      </c>
      <c r="X73" s="36" t="s">
        <v>71</v>
      </c>
      <c r="Y73" s="36" t="s">
        <v>71</v>
      </c>
      <c r="Z73" s="36" t="s">
        <v>82</v>
      </c>
      <c r="AA73" s="36" t="s">
        <v>71</v>
      </c>
      <c r="AB73" s="36" t="s">
        <v>71</v>
      </c>
      <c r="AC73" s="36" t="s">
        <v>71</v>
      </c>
      <c r="AD73" s="36" t="s">
        <v>72</v>
      </c>
      <c r="AE73" s="36" t="s">
        <v>94</v>
      </c>
      <c r="AF73" s="36" t="s">
        <v>154</v>
      </c>
      <c r="AG73" s="36" t="s">
        <v>120</v>
      </c>
      <c r="AH73" t="str">
        <f>VLOOKUP($R73,武学奇术!$A:$ZZ,25,FALSE)</f>
        <v>剑</v>
      </c>
      <c r="AI73" s="20">
        <f>VLOOKUP($R73,武学奇术!$A:$ZZ,26,FALSE)</f>
        <v>2.496</v>
      </c>
      <c r="AJ73" s="21">
        <f>VLOOKUP($R73,武学奇术!$A:$ZZ,27,FALSE)*(1+IF(OR($AH73=$F$4,$AH73=$F$5),$B$22,0))</f>
        <v>0</v>
      </c>
      <c r="AK73" s="20">
        <f>VLOOKUP($R73,武学奇术!$A:$ZZ,28,FALSE)</f>
        <v>3.744</v>
      </c>
      <c r="AL73" s="21">
        <f>VLOOKUP($R73,武学奇术!$A:$ZZ,29,FALSE)*(1+IF(OR($AH73=$F$4,$AH73=$F$5),$B$22,0))</f>
        <v>0</v>
      </c>
      <c r="AM73" s="20" cm="1">
        <f t="array" ref="AM73">$G$3+IFERROR(VLOOKUP($AH73,$F$4:$G$7,2,FALSE),0)+VLOOKUP($R73,武学奇术!$A:$ZZ,2,FALSE)+SUM(_xlfn.XLOOKUP($S73:$AG73,增益!$A:$A,增益!$B:$B,0))</f>
        <v>1.4691</v>
      </c>
      <c r="AN73" s="20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1585.72</v>
      </c>
      <c r="AP73" cm="1">
        <f t="array" ref="AP73">$E$10*(1+$AN73)+VLOOKUP($R73,武学奇术!$A:$ZZ,4,FALSE)+SUM(_xlfn.XLOOKUP($S73:$AG73,增益!$A:$A,增益!$D:$D,0))-$I$2</f>
        <v>6696.76</v>
      </c>
      <c r="AQ73" s="29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0.4175</v>
      </c>
      <c r="AR73" s="29" cm="1">
        <f t="array" ref="AR73">$G$10+VLOOKUP($R73,武学奇术!$A:$ZZ,7,FALSE)+SUM(_xlfn.XLOOKUP(S73:AG73,增益!$A:$A,增益!$G:$G,0))</f>
        <v>0</v>
      </c>
      <c r="AS73" s="20" cm="1">
        <f t="array" ref="AS73">VLOOKUP($R73,武学奇术!$A:$ZZ,8,FALSE)+SUM(_xlfn.XLOOKUP(S73:AG73,增益!$A:$A,增益!$H:$H,0))</f>
        <v>0</v>
      </c>
      <c r="AT73">
        <f t="shared" si="24"/>
        <v>538</v>
      </c>
      <c r="AU73">
        <f t="shared" si="25"/>
        <v>1011</v>
      </c>
      <c r="AV73" s="29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0.155</v>
      </c>
      <c r="AW73" s="29" cm="1">
        <f t="array" ref="AW73">$G$11+VLOOKUP($R73,武学奇术!$A:$ZZ,10,FALSE)+SUM(_xlfn.XLOOKUP(S73:AG73,增益!$A:$A,增益!$J:$J,0))</f>
        <v>0.15</v>
      </c>
      <c r="AX73">
        <f t="shared" si="26"/>
        <v>0</v>
      </c>
      <c r="AY73">
        <f t="shared" si="27"/>
        <v>0</v>
      </c>
      <c r="AZ73" s="29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-0.14</v>
      </c>
      <c r="BA73" s="29" cm="1">
        <f t="array" ref="BA73">$G$12+VLOOKUP($R73,武学奇术!$A:$ZZ,12,FALSE)+SUM(_xlfn.XLOOKUP(S73:AG73,增益!$A:$A,增益!$L:$L,0))</f>
        <v>0</v>
      </c>
      <c r="BB73">
        <f t="shared" si="28"/>
        <v>0</v>
      </c>
      <c r="BC73">
        <f t="shared" si="29"/>
        <v>0</v>
      </c>
      <c r="BD73" s="29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-0.14</v>
      </c>
      <c r="BE73" s="29" cm="1">
        <f t="array" ref="BE73">$G$13+VLOOKUP($R73,武学奇术!$A:$ZZ,14,FALSE)+SUM(_xlfn.XLOOKUP(S73:AG73,增益!$A:$A,增益!$N:$N,0))</f>
        <v>0</v>
      </c>
      <c r="BF73">
        <f t="shared" si="30"/>
        <v>0</v>
      </c>
      <c r="BG73">
        <f t="shared" si="31"/>
        <v>0</v>
      </c>
      <c r="BH73" s="29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-0.14</v>
      </c>
      <c r="BI73" s="29" cm="1">
        <f t="array" ref="BI73">$G$14+VLOOKUP($R73,武学奇术!$A:$ZZ,16,FALSE)+SUM(_xlfn.XLOOKUP(S73:AG73,增益!$A:$A,增益!$P:$P,0))</f>
        <v>0</v>
      </c>
      <c r="BJ73" s="20">
        <f>MIN(IF(VLOOKUP($R73,武学奇术!$A:$ZZ,23,FALSE)=1,100%,$B$8),100%)</f>
        <v>0.8271</v>
      </c>
      <c r="BK73" s="20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0.2249</v>
      </c>
      <c r="BL73" s="20" cm="1">
        <f t="array" ref="BL73">1+$B$13+VLOOKUP($R73,武学奇术!$A:$ZZ,18,FALSE)+SUM(_xlfn.XLOOKUP(S73:AG73,增益!$A:$A,增益!$R:$R,0))</f>
        <v>1.5</v>
      </c>
      <c r="BM73" s="20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0.4459</v>
      </c>
      <c r="BN73" s="20" cm="1">
        <f t="array" ref="BN73">1+$B$14+VLOOKUP($R73,武学奇术!$A:$ZZ,20,FALSE)+SUM(_xlfn.XLOOKUP(S73:AG73,增益!$A:$A,增益!$T:$T,0))</f>
        <v>1.782</v>
      </c>
      <c r="BO73" s="20">
        <f t="shared" si="22"/>
        <v>0.18601479</v>
      </c>
      <c r="BP73" s="20">
        <f t="shared" si="32"/>
        <v>0.27228132</v>
      </c>
      <c r="BQ73" s="20">
        <f>IF(VLOOKUP($R73,武学奇术!$A:$ZZ,22,FALSE)=1,0,(1-$BJ73))*(1-$BM73)</f>
        <v>0.09580389</v>
      </c>
      <c r="BR73" s="20" cm="1">
        <f t="array" ref="BR73">SUM(_xlfn.XLOOKUP(S73:AG73,增益!$A:$A,增益!$W:$W,0))+$I$5</f>
        <v>0.11</v>
      </c>
    </row>
    <row r="74" spans="1:70">
      <c r="K74" s="27">
        <f>$L74*VLOOKUP($R74,武学奇术!$A:$ZZ,31,FALSE)</f>
        <v>17767.4050054808</v>
      </c>
      <c r="L74" s="27">
        <f t="shared" ref="L74:L86" si="33">($M74*$BO74+$N74*$BM74+$O74*$BP74+$P74*$BQ74)</f>
        <v>17767.4050054808</v>
      </c>
      <c r="M74" s="27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15624.0974041454</v>
      </c>
      <c r="N74" s="27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25975.8155396688</v>
      </c>
      <c r="O74" s="27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10416.064936097</v>
      </c>
      <c r="P74" s="27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4617.51343045309</v>
      </c>
      <c r="Q74" s="35">
        <v>1</v>
      </c>
      <c r="R74" s="36" t="s">
        <v>155</v>
      </c>
      <c r="S74" s="36" t="s">
        <v>71</v>
      </c>
      <c r="T74" s="36" t="s">
        <v>93</v>
      </c>
      <c r="U74" s="36" t="s">
        <v>71</v>
      </c>
      <c r="V74" s="36" t="s">
        <v>71</v>
      </c>
      <c r="W74" s="36" t="s">
        <v>111</v>
      </c>
      <c r="X74" s="36" t="s">
        <v>71</v>
      </c>
      <c r="Y74" s="36" t="s">
        <v>71</v>
      </c>
      <c r="Z74" s="36" t="s">
        <v>71</v>
      </c>
      <c r="AA74" s="36" t="s">
        <v>71</v>
      </c>
      <c r="AB74" s="36" t="s">
        <v>71</v>
      </c>
      <c r="AC74" s="36" t="s">
        <v>71</v>
      </c>
      <c r="AD74" s="36" t="s">
        <v>72</v>
      </c>
      <c r="AE74" s="36" t="s">
        <v>94</v>
      </c>
      <c r="AF74" s="36" t="s">
        <v>154</v>
      </c>
      <c r="AG74" s="36" t="s">
        <v>120</v>
      </c>
      <c r="AH74" t="str">
        <f>VLOOKUP($R74,武学奇术!$A:$ZZ,25,FALSE)</f>
        <v>剑</v>
      </c>
      <c r="AI74" s="20">
        <f>VLOOKUP($R74,武学奇术!$A:$ZZ,26,FALSE)</f>
        <v>0.7916</v>
      </c>
      <c r="AJ74" s="21">
        <f>VLOOKUP($R74,武学奇术!$A:$ZZ,27,FALSE)*(1+IF(OR($AH74=$F$4,$AH74=$F$5),$B$22,0))</f>
        <v>0</v>
      </c>
      <c r="AK74" s="20">
        <f>VLOOKUP($R74,武学奇术!$A:$ZZ,28,FALSE)</f>
        <v>1.1874</v>
      </c>
      <c r="AL74" s="21">
        <f>VLOOKUP($R74,武学奇术!$A:$ZZ,29,FALSE)*(1+IF(OR($AH74=$F$4,$AH74=$F$5),$B$22,0))</f>
        <v>0</v>
      </c>
      <c r="AM74" s="20" cm="1">
        <f t="array" ref="AM74">$G$3+IFERROR(VLOOKUP($AH74,$F$4:$G$7,2,FALSE),0)+VLOOKUP($R74,武学奇术!$A:$ZZ,2,FALSE)+SUM(_xlfn.XLOOKUP($S74:$AG74,增益!$A:$A,增益!$B:$B,0))</f>
        <v>0.7191</v>
      </c>
      <c r="AN74" s="20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1585.72</v>
      </c>
      <c r="AP74" cm="1">
        <f t="array" ref="AP74">$E$10*(1+$AN74)+VLOOKUP($R74,武学奇术!$A:$ZZ,4,FALSE)+SUM(_xlfn.XLOOKUP($S74:$AG74,增益!$A:$A,增益!$D:$D,0))-$I$2</f>
        <v>6696.76</v>
      </c>
      <c r="AQ74" s="29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0.3425</v>
      </c>
      <c r="AR74" s="29" cm="1">
        <f t="array" ref="AR74">$G$10+VLOOKUP($R74,武学奇术!$A:$ZZ,7,FALSE)+SUM(_xlfn.XLOOKUP(S74:AG74,增益!$A:$A,增益!$G:$G,0))</f>
        <v>0</v>
      </c>
      <c r="AS74" s="20" cm="1">
        <f t="array" ref="AS74">VLOOKUP($R74,武学奇术!$A:$ZZ,8,FALSE)+SUM(_xlfn.XLOOKUP(S74:AG74,增益!$A:$A,增益!$H:$H,0))</f>
        <v>0</v>
      </c>
      <c r="AT74">
        <f t="shared" ref="AT74:AT86" si="34">$D$11*(1+$AS74)</f>
        <v>538</v>
      </c>
      <c r="AU74">
        <f t="shared" ref="AU74:AU86" si="35">$E$11*(1+$AS74)</f>
        <v>1011</v>
      </c>
      <c r="AV74" s="29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</v>
      </c>
      <c r="AW74" s="29" cm="1">
        <f t="array" ref="AW74">$G$11+VLOOKUP($R74,武学奇术!$A:$ZZ,10,FALSE)+SUM(_xlfn.XLOOKUP(S74:AG74,增益!$A:$A,增益!$J:$J,0))</f>
        <v>0.15</v>
      </c>
      <c r="AX74">
        <f t="shared" ref="AX74:AX86" si="36">$D$12*(1+$AS74)</f>
        <v>0</v>
      </c>
      <c r="AY74">
        <f t="shared" ref="AY74:AY86" si="37">$E$12*(1+$AS74)</f>
        <v>0</v>
      </c>
      <c r="AZ74" s="29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29" cm="1">
        <f t="array" ref="BA74">$G$12+VLOOKUP($R74,武学奇术!$A:$ZZ,12,FALSE)+SUM(_xlfn.XLOOKUP(S74:AG74,增益!$A:$A,增益!$L:$L,0))</f>
        <v>0</v>
      </c>
      <c r="BB74">
        <f t="shared" ref="BB74:BB86" si="38">$D$13*(1+$AS74)</f>
        <v>0</v>
      </c>
      <c r="BC74">
        <f t="shared" ref="BC74:BC86" si="39">$E$13*(1+$AS74)</f>
        <v>0</v>
      </c>
      <c r="BD74" s="29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29" cm="1">
        <f t="array" ref="BE74">$G$13+VLOOKUP($R74,武学奇术!$A:$ZZ,14,FALSE)+SUM(_xlfn.XLOOKUP(S74:AG74,增益!$A:$A,增益!$N:$N,0))</f>
        <v>0</v>
      </c>
      <c r="BF74">
        <f t="shared" ref="BF74:BF86" si="40">$D$14*(1+$AS74)</f>
        <v>0</v>
      </c>
      <c r="BG74">
        <f t="shared" ref="BG74:BG86" si="41">$E$14*(1+$AS74)</f>
        <v>0</v>
      </c>
      <c r="BH74" s="29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29" cm="1">
        <f t="array" ref="BI74">$G$14+VLOOKUP($R74,武学奇术!$A:$ZZ,16,FALSE)+SUM(_xlfn.XLOOKUP(S74:AG74,增益!$A:$A,增益!$P:$P,0))</f>
        <v>0</v>
      </c>
      <c r="BJ74" s="20">
        <f>MIN(IF(VLOOKUP($R74,武学奇术!$A:$ZZ,23,FALSE)=1,100%,$B$8),100%)</f>
        <v>0.8271</v>
      </c>
      <c r="BK74" s="20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0.2249</v>
      </c>
      <c r="BL74" s="20" cm="1">
        <f t="array" ref="BL74">1+$B$13+VLOOKUP($R74,武学奇术!$A:$ZZ,18,FALSE)+SUM(_xlfn.XLOOKUP(S74:AG74,增益!$A:$A,增益!$R:$R,0))</f>
        <v>1.5</v>
      </c>
      <c r="BM74" s="20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0.4459</v>
      </c>
      <c r="BN74" s="20" cm="1">
        <f t="array" ref="BN74">1+$B$14+VLOOKUP($R74,武学奇术!$A:$ZZ,20,FALSE)+SUM(_xlfn.XLOOKUP(S74:AG74,增益!$A:$A,增益!$T:$T,0))</f>
        <v>1.602</v>
      </c>
      <c r="BO74" s="20">
        <f t="shared" si="22"/>
        <v>0.18601479</v>
      </c>
      <c r="BP74" s="20">
        <f t="shared" si="32"/>
        <v>0.27228132</v>
      </c>
      <c r="BQ74" s="20">
        <f>IF(VLOOKUP($R74,武学奇术!$A:$ZZ,22,FALSE)=1,0,(1-$BJ74))*(1-$BM74)</f>
        <v>0.09580389</v>
      </c>
      <c r="BR74" s="20" cm="1">
        <f t="array" ref="BR74">SUM(_xlfn.XLOOKUP(S74:AG74,增益!$A:$A,增益!$W:$W,0))+$I$5</f>
        <v>0.11</v>
      </c>
    </row>
    <row r="75" spans="1:70">
      <c r="K75" s="27">
        <f>$L75*VLOOKUP($R75,武学奇术!$A:$ZZ,31,FALSE)</f>
        <v>29144.7638797072</v>
      </c>
      <c r="L75" s="27">
        <f t="shared" si="33"/>
        <v>29144.7638797072</v>
      </c>
      <c r="M75" s="27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26230.0019651702</v>
      </c>
      <c r="N75" s="27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41838.4691583926</v>
      </c>
      <c r="O75" s="27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17486.6679767801</v>
      </c>
      <c r="P75" s="27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8856.93822672343</v>
      </c>
      <c r="Q75" s="35">
        <v>1</v>
      </c>
      <c r="R75" s="36" t="s">
        <v>92</v>
      </c>
      <c r="S75" s="36" t="s">
        <v>71</v>
      </c>
      <c r="T75" s="36" t="s">
        <v>93</v>
      </c>
      <c r="U75" s="36" t="s">
        <v>71</v>
      </c>
      <c r="V75" s="36" t="s">
        <v>71</v>
      </c>
      <c r="W75" s="36" t="s">
        <v>111</v>
      </c>
      <c r="X75" s="36" t="s">
        <v>71</v>
      </c>
      <c r="Y75" s="36" t="s">
        <v>71</v>
      </c>
      <c r="Z75" s="36" t="s">
        <v>71</v>
      </c>
      <c r="AA75" s="36" t="s">
        <v>71</v>
      </c>
      <c r="AB75" s="36" t="s">
        <v>71</v>
      </c>
      <c r="AC75" s="36" t="s">
        <v>71</v>
      </c>
      <c r="AD75" s="36" t="s">
        <v>72</v>
      </c>
      <c r="AE75" s="36" t="s">
        <v>94</v>
      </c>
      <c r="AF75" s="36" t="s">
        <v>154</v>
      </c>
      <c r="AG75" s="36" t="s">
        <v>120</v>
      </c>
      <c r="AH75" t="str">
        <f>VLOOKUP($R75,武学奇术!$A:$ZZ,25,FALSE)</f>
        <v>剑</v>
      </c>
      <c r="AI75" s="20">
        <f>VLOOKUP($R75,武学奇术!$A:$ZZ,26,FALSE)</f>
        <v>1.1781</v>
      </c>
      <c r="AJ75" s="21">
        <f>VLOOKUP($R75,武学奇术!$A:$ZZ,27,FALSE)*(1+IF(OR($AH75=$F$4,$AH75=$F$5),$B$22,0))</f>
        <v>456.4</v>
      </c>
      <c r="AK75" s="20">
        <f>VLOOKUP($R75,武学奇术!$A:$ZZ,28,FALSE)</f>
        <v>1.7672</v>
      </c>
      <c r="AL75" s="21">
        <f>VLOOKUP($R75,武学奇术!$A:$ZZ,29,FALSE)*(1+IF(OR($AH75=$F$4,$AH75=$F$5),$B$22,0))</f>
        <v>247.8</v>
      </c>
      <c r="AM75" s="20" cm="1">
        <f t="array" ref="AM75">$G$3+IFERROR(VLOOKUP($AH75,$F$4:$G$7,2,FALSE),0)+VLOOKUP($R75,武学奇术!$A:$ZZ,2,FALSE)+SUM(_xlfn.XLOOKUP($S75:$AG75,增益!$A:$A,增益!$B:$B,0))</f>
        <v>0.7191</v>
      </c>
      <c r="AN75" s="20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1585.72</v>
      </c>
      <c r="AP75" cm="1">
        <f t="array" ref="AP75">$E$10*(1+$AN75)+VLOOKUP($R75,武学奇术!$A:$ZZ,4,FALSE)+SUM(_xlfn.XLOOKUP($S75:$AG75,增益!$A:$A,增益!$D:$D,0))-$I$2</f>
        <v>6696.76</v>
      </c>
      <c r="AQ75" s="29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0.3425</v>
      </c>
      <c r="AR75" s="29" cm="1">
        <f t="array" ref="AR75">$G$10+VLOOKUP($R75,武学奇术!$A:$ZZ,7,FALSE)+SUM(_xlfn.XLOOKUP(S75:AG75,增益!$A:$A,增益!$G:$G,0))</f>
        <v>0</v>
      </c>
      <c r="AS75" s="20" cm="1">
        <f t="array" ref="AS75">VLOOKUP($R75,武学奇术!$A:$ZZ,8,FALSE)+SUM(_xlfn.XLOOKUP(S75:AG75,增益!$A:$A,增益!$H:$H,0))</f>
        <v>0</v>
      </c>
      <c r="AT75">
        <f t="shared" si="34"/>
        <v>538</v>
      </c>
      <c r="AU75">
        <f t="shared" si="35"/>
        <v>1011</v>
      </c>
      <c r="AV75" s="29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</v>
      </c>
      <c r="AW75" s="29" cm="1">
        <f t="array" ref="AW75">$G$11+VLOOKUP($R75,武学奇术!$A:$ZZ,10,FALSE)+SUM(_xlfn.XLOOKUP(S75:AG75,增益!$A:$A,增益!$J:$J,0))</f>
        <v>0.15</v>
      </c>
      <c r="AX75">
        <f t="shared" si="36"/>
        <v>0</v>
      </c>
      <c r="AY75">
        <f t="shared" si="37"/>
        <v>0</v>
      </c>
      <c r="AZ75" s="29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29" cm="1">
        <f t="array" ref="BA75">$G$12+VLOOKUP($R75,武学奇术!$A:$ZZ,12,FALSE)+SUM(_xlfn.XLOOKUP(S75:AG75,增益!$A:$A,增益!$L:$L,0))</f>
        <v>0</v>
      </c>
      <c r="BB75">
        <f t="shared" si="38"/>
        <v>0</v>
      </c>
      <c r="BC75">
        <f t="shared" si="39"/>
        <v>0</v>
      </c>
      <c r="BD75" s="29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29" cm="1">
        <f t="array" ref="BE75">$G$13+VLOOKUP($R75,武学奇术!$A:$ZZ,14,FALSE)+SUM(_xlfn.XLOOKUP(S75:AG75,增益!$A:$A,增益!$N:$N,0))</f>
        <v>0</v>
      </c>
      <c r="BF75">
        <f t="shared" si="40"/>
        <v>0</v>
      </c>
      <c r="BG75">
        <f t="shared" si="41"/>
        <v>0</v>
      </c>
      <c r="BH75" s="29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29" cm="1">
        <f t="array" ref="BI75">$G$14+VLOOKUP($R75,武学奇术!$A:$ZZ,16,FALSE)+SUM(_xlfn.XLOOKUP(S75:AG75,增益!$A:$A,增益!$P:$P,0))</f>
        <v>0</v>
      </c>
      <c r="BJ75" s="20">
        <f>MIN(IF(VLOOKUP($R75,武学奇术!$A:$ZZ,23,FALSE)=1,100%,$B$8),100%)</f>
        <v>0.8271</v>
      </c>
      <c r="BK75" s="20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0.2249</v>
      </c>
      <c r="BL75" s="20" cm="1">
        <f t="array" ref="BL75">1+$B$13+VLOOKUP($R75,武学奇术!$A:$ZZ,18,FALSE)+SUM(_xlfn.XLOOKUP(S75:AG75,增益!$A:$A,增益!$R:$R,0))</f>
        <v>1.5</v>
      </c>
      <c r="BM75" s="20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0.4459</v>
      </c>
      <c r="BN75" s="20" cm="1">
        <f t="array" ref="BN75">1+$B$14+VLOOKUP($R75,武学奇术!$A:$ZZ,20,FALSE)+SUM(_xlfn.XLOOKUP(S75:AG75,增益!$A:$A,增益!$T:$T,0))</f>
        <v>1.602</v>
      </c>
      <c r="BO75" s="20">
        <f t="shared" si="22"/>
        <v>0.18601479</v>
      </c>
      <c r="BP75" s="20">
        <f t="shared" si="32"/>
        <v>0.27228132</v>
      </c>
      <c r="BQ75" s="20">
        <f>IF(VLOOKUP($R75,武学奇术!$A:$ZZ,22,FALSE)=1,0,(1-$BJ75))*(1-$BM75)</f>
        <v>0.09580389</v>
      </c>
      <c r="BR75" s="20" cm="1">
        <f t="array" ref="BR75">SUM(_xlfn.XLOOKUP(S75:AG75,增益!$A:$A,增益!$W:$W,0))+$I$5</f>
        <v>0.11</v>
      </c>
    </row>
    <row r="76" spans="1:70">
      <c r="K76" s="27">
        <f>$L76*VLOOKUP($R76,武学奇术!$A:$ZZ,31,FALSE)</f>
        <v>72445.351372865</v>
      </c>
      <c r="L76" s="27">
        <f t="shared" si="33"/>
        <v>120742.252288108</v>
      </c>
      <c r="M76" s="27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98963.7470554523</v>
      </c>
      <c r="N76" s="27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182915.359495206</v>
      </c>
      <c r="O76" s="27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65975.8313703015</v>
      </c>
      <c r="P76" s="27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29305.5575244383</v>
      </c>
      <c r="Q76" s="35">
        <v>1</v>
      </c>
      <c r="R76" s="36" t="s">
        <v>105</v>
      </c>
      <c r="S76" s="36" t="s">
        <v>71</v>
      </c>
      <c r="T76" s="36" t="s">
        <v>99</v>
      </c>
      <c r="U76" s="36" t="s">
        <v>100</v>
      </c>
      <c r="V76" s="36" t="s">
        <v>101</v>
      </c>
      <c r="W76" s="36" t="s">
        <v>111</v>
      </c>
      <c r="X76" s="36" t="s">
        <v>71</v>
      </c>
      <c r="Y76" s="36" t="s">
        <v>71</v>
      </c>
      <c r="Z76" s="36" t="s">
        <v>71</v>
      </c>
      <c r="AA76" s="36" t="s">
        <v>71</v>
      </c>
      <c r="AB76" s="36" t="s">
        <v>71</v>
      </c>
      <c r="AC76" s="36" t="s">
        <v>71</v>
      </c>
      <c r="AD76" s="36" t="s">
        <v>72</v>
      </c>
      <c r="AE76" s="36" t="s">
        <v>94</v>
      </c>
      <c r="AF76" s="36" t="s">
        <v>154</v>
      </c>
      <c r="AG76" s="36" t="s">
        <v>120</v>
      </c>
      <c r="AH76" t="str">
        <f>VLOOKUP($R76,武学奇术!$A:$ZZ,25,FALSE)</f>
        <v>剑</v>
      </c>
      <c r="AI76" s="20">
        <f>VLOOKUP($R76,武学奇术!$A:$ZZ,26,FALSE)</f>
        <v>2.496</v>
      </c>
      <c r="AJ76" s="21">
        <f>VLOOKUP($R76,武学奇术!$A:$ZZ,27,FALSE)*(1+IF(OR($AH76=$F$4,$AH76=$F$5),$B$22,0))</f>
        <v>0</v>
      </c>
      <c r="AK76" s="20">
        <f>VLOOKUP($R76,武学奇术!$A:$ZZ,28,FALSE)</f>
        <v>3.744</v>
      </c>
      <c r="AL76" s="21">
        <f>VLOOKUP($R76,武学奇术!$A:$ZZ,29,FALSE)*(1+IF(OR($AH76=$F$4,$AH76=$F$5),$B$22,0))</f>
        <v>0</v>
      </c>
      <c r="AM76" s="20" cm="1">
        <f t="array" ref="AM76">$G$3+IFERROR(VLOOKUP($AH76,$F$4:$G$7,2,FALSE),0)+VLOOKUP($R76,武学奇术!$A:$ZZ,2,FALSE)+SUM(_xlfn.XLOOKUP($S76:$AG76,增益!$A:$A,增益!$B:$B,0))</f>
        <v>1.4691</v>
      </c>
      <c r="AN76" s="20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1585.72</v>
      </c>
      <c r="AP76" cm="1">
        <f t="array" ref="AP76">$E$10*(1+$AN76)+VLOOKUP($R76,武学奇术!$A:$ZZ,4,FALSE)+SUM(_xlfn.XLOOKUP($S76:$AG76,增益!$A:$A,增益!$D:$D,0))-$I$2</f>
        <v>6696.76</v>
      </c>
      <c r="AQ76" s="29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0.4175</v>
      </c>
      <c r="AR76" s="29" cm="1">
        <f t="array" ref="AR76">$G$10+VLOOKUP($R76,武学奇术!$A:$ZZ,7,FALSE)+SUM(_xlfn.XLOOKUP(S76:AG76,增益!$A:$A,增益!$G:$G,0))</f>
        <v>0</v>
      </c>
      <c r="AS76" s="20" cm="1">
        <f t="array" ref="AS76">VLOOKUP($R76,武学奇术!$A:$ZZ,8,FALSE)+SUM(_xlfn.XLOOKUP(S76:AG76,增益!$A:$A,增益!$H:$H,0))</f>
        <v>0</v>
      </c>
      <c r="AT76">
        <f t="shared" si="34"/>
        <v>538</v>
      </c>
      <c r="AU76">
        <f t="shared" si="35"/>
        <v>1011</v>
      </c>
      <c r="AV76" s="29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0.075</v>
      </c>
      <c r="AW76" s="29" cm="1">
        <f t="array" ref="AW76">$G$11+VLOOKUP($R76,武学奇术!$A:$ZZ,10,FALSE)+SUM(_xlfn.XLOOKUP(S76:AG76,增益!$A:$A,增益!$J:$J,0))</f>
        <v>0.15</v>
      </c>
      <c r="AX76">
        <f t="shared" si="36"/>
        <v>0</v>
      </c>
      <c r="AY76">
        <f t="shared" si="37"/>
        <v>0</v>
      </c>
      <c r="AZ76" s="29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29" cm="1">
        <f t="array" ref="BA76">$G$12+VLOOKUP($R76,武学奇术!$A:$ZZ,12,FALSE)+SUM(_xlfn.XLOOKUP(S76:AG76,增益!$A:$A,增益!$L:$L,0))</f>
        <v>0</v>
      </c>
      <c r="BB76">
        <f t="shared" si="38"/>
        <v>0</v>
      </c>
      <c r="BC76">
        <f t="shared" si="39"/>
        <v>0</v>
      </c>
      <c r="BD76" s="29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29" cm="1">
        <f t="array" ref="BE76">$G$13+VLOOKUP($R76,武学奇术!$A:$ZZ,14,FALSE)+SUM(_xlfn.XLOOKUP(S76:AG76,增益!$A:$A,增益!$N:$N,0))</f>
        <v>0</v>
      </c>
      <c r="BF76">
        <f t="shared" si="40"/>
        <v>0</v>
      </c>
      <c r="BG76">
        <f t="shared" si="41"/>
        <v>0</v>
      </c>
      <c r="BH76" s="29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29" cm="1">
        <f t="array" ref="BI76">$G$14+VLOOKUP($R76,武学奇术!$A:$ZZ,16,FALSE)+SUM(_xlfn.XLOOKUP(S76:AG76,增益!$A:$A,增益!$P:$P,0))</f>
        <v>0</v>
      </c>
      <c r="BJ76" s="20">
        <f>MIN(IF(VLOOKUP($R76,武学奇术!$A:$ZZ,23,FALSE)=1,100%,$B$8),100%)</f>
        <v>0.8271</v>
      </c>
      <c r="BK76" s="20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0.2249</v>
      </c>
      <c r="BL76" s="20" cm="1">
        <f t="array" ref="BL76">1+$B$13+VLOOKUP($R76,武学奇术!$A:$ZZ,18,FALSE)+SUM(_xlfn.XLOOKUP(S76:AG76,增益!$A:$A,增益!$R:$R,0))</f>
        <v>1.5</v>
      </c>
      <c r="BM76" s="20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0.4459</v>
      </c>
      <c r="BN76" s="20" cm="1">
        <f t="array" ref="BN76">1+$B$14+VLOOKUP($R76,武学奇术!$A:$ZZ,20,FALSE)+SUM(_xlfn.XLOOKUP(S76:AG76,增益!$A:$A,增益!$T:$T,0))</f>
        <v>1.782</v>
      </c>
      <c r="BO76" s="20">
        <f t="shared" si="22"/>
        <v>0.18601479</v>
      </c>
      <c r="BP76" s="20">
        <f t="shared" si="32"/>
        <v>0.27228132</v>
      </c>
      <c r="BQ76" s="20">
        <f>IF(VLOOKUP($R76,武学奇术!$A:$ZZ,22,FALSE)=1,0,(1-$BJ76))*(1-$BM76)</f>
        <v>0.09580389</v>
      </c>
      <c r="BR76" s="20" cm="1">
        <f t="array" ref="BR76">SUM(_xlfn.XLOOKUP(S76:AG76,增益!$A:$A,增益!$W:$W,0))+$I$5</f>
        <v>0.11</v>
      </c>
    </row>
    <row r="77" spans="1:70">
      <c r="K77" s="27">
        <f>$L77*VLOOKUP($R77,武学奇术!$A:$ZZ,31,FALSE)</f>
        <v>14028.0800005375</v>
      </c>
      <c r="L77" s="27">
        <f t="shared" si="33"/>
        <v>14028.0800005375</v>
      </c>
      <c r="M77" s="27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12335.8525487505</v>
      </c>
      <c r="N77" s="27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20508.9498639376</v>
      </c>
      <c r="O77" s="27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8223.901699167</v>
      </c>
      <c r="P77" s="27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3645.71234718694</v>
      </c>
      <c r="Q77" s="35">
        <v>1</v>
      </c>
      <c r="R77" s="36" t="s">
        <v>107</v>
      </c>
      <c r="S77" s="36" t="s">
        <v>71</v>
      </c>
      <c r="T77" s="36" t="s">
        <v>93</v>
      </c>
      <c r="U77" s="36" t="s">
        <v>71</v>
      </c>
      <c r="V77" s="36" t="s">
        <v>71</v>
      </c>
      <c r="W77" s="36" t="s">
        <v>111</v>
      </c>
      <c r="X77" s="36" t="s">
        <v>71</v>
      </c>
      <c r="Y77" s="36" t="s">
        <v>71</v>
      </c>
      <c r="Z77" s="36" t="s">
        <v>71</v>
      </c>
      <c r="AA77" s="36" t="s">
        <v>71</v>
      </c>
      <c r="AB77" s="36" t="s">
        <v>71</v>
      </c>
      <c r="AC77" s="36" t="s">
        <v>71</v>
      </c>
      <c r="AD77" s="36" t="s">
        <v>72</v>
      </c>
      <c r="AE77" s="36" t="s">
        <v>94</v>
      </c>
      <c r="AF77" s="36" t="s">
        <v>154</v>
      </c>
      <c r="AG77" s="36" t="s">
        <v>120</v>
      </c>
      <c r="AH77" t="str">
        <f>VLOOKUP($R77,武学奇术!$A:$ZZ,25,FALSE)</f>
        <v>剑</v>
      </c>
      <c r="AI77" s="20">
        <f>VLOOKUP($R77,武学奇术!$A:$ZZ,26,FALSE)</f>
        <v>0.625</v>
      </c>
      <c r="AJ77" s="21">
        <f>VLOOKUP($R77,武学奇术!$A:$ZZ,27,FALSE)*(1+IF(OR($AH77=$F$4,$AH77=$F$5),$B$22,0))</f>
        <v>0</v>
      </c>
      <c r="AK77" s="20">
        <f>VLOOKUP($R77,武学奇术!$A:$ZZ,28,FALSE)</f>
        <v>0.9375</v>
      </c>
      <c r="AL77" s="21">
        <f>VLOOKUP($R77,武学奇术!$A:$ZZ,29,FALSE)*(1+IF(OR($AH77=$F$4,$AH77=$F$5),$B$22,0))</f>
        <v>0</v>
      </c>
      <c r="AM77" s="20" cm="1">
        <f t="array" ref="AM77">$G$3+IFERROR(VLOOKUP($AH77,$F$4:$G$7,2,FALSE),0)+VLOOKUP($R77,武学奇术!$A:$ZZ,2,FALSE)+SUM(_xlfn.XLOOKUP($S77:$AG77,增益!$A:$A,增益!$B:$B,0))</f>
        <v>0.7191</v>
      </c>
      <c r="AN77" s="20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1585.72</v>
      </c>
      <c r="AP77" cm="1">
        <f t="array" ref="AP77">$E$10*(1+$AN77)+VLOOKUP($R77,武学奇术!$A:$ZZ,4,FALSE)+SUM(_xlfn.XLOOKUP($S77:$AG77,增益!$A:$A,增益!$D:$D,0))-$I$2</f>
        <v>6696.76</v>
      </c>
      <c r="AQ77" s="29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0.3425</v>
      </c>
      <c r="AR77" s="29" cm="1">
        <f t="array" ref="AR77">$G$10+VLOOKUP($R77,武学奇术!$A:$ZZ,7,FALSE)+SUM(_xlfn.XLOOKUP(S77:AG77,增益!$A:$A,增益!$G:$G,0))</f>
        <v>0</v>
      </c>
      <c r="AS77" s="20" cm="1">
        <f t="array" ref="AS77">VLOOKUP($R77,武学奇术!$A:$ZZ,8,FALSE)+SUM(_xlfn.XLOOKUP(S77:AG77,增益!$A:$A,增益!$H:$H,0))</f>
        <v>0</v>
      </c>
      <c r="AT77">
        <f t="shared" si="34"/>
        <v>538</v>
      </c>
      <c r="AU77">
        <f t="shared" si="35"/>
        <v>1011</v>
      </c>
      <c r="AV77" s="29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</v>
      </c>
      <c r="AW77" s="29" cm="1">
        <f t="array" ref="AW77">$G$11+VLOOKUP($R77,武学奇术!$A:$ZZ,10,FALSE)+SUM(_xlfn.XLOOKUP(S77:AG77,增益!$A:$A,增益!$J:$J,0))</f>
        <v>0.15</v>
      </c>
      <c r="AX77">
        <f t="shared" si="36"/>
        <v>0</v>
      </c>
      <c r="AY77">
        <f t="shared" si="37"/>
        <v>0</v>
      </c>
      <c r="AZ77" s="29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29" cm="1">
        <f t="array" ref="BA77">$G$12+VLOOKUP($R77,武学奇术!$A:$ZZ,12,FALSE)+SUM(_xlfn.XLOOKUP(S77:AG77,增益!$A:$A,增益!$L:$L,0))</f>
        <v>0</v>
      </c>
      <c r="BB77">
        <f t="shared" si="38"/>
        <v>0</v>
      </c>
      <c r="BC77">
        <f t="shared" si="39"/>
        <v>0</v>
      </c>
      <c r="BD77" s="29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29" cm="1">
        <f t="array" ref="BE77">$G$13+VLOOKUP($R77,武学奇术!$A:$ZZ,14,FALSE)+SUM(_xlfn.XLOOKUP(S77:AG77,增益!$A:$A,增益!$N:$N,0))</f>
        <v>0</v>
      </c>
      <c r="BF77">
        <f t="shared" si="40"/>
        <v>0</v>
      </c>
      <c r="BG77">
        <f t="shared" si="41"/>
        <v>0</v>
      </c>
      <c r="BH77" s="29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29" cm="1">
        <f t="array" ref="BI77">$G$14+VLOOKUP($R77,武学奇术!$A:$ZZ,16,FALSE)+SUM(_xlfn.XLOOKUP(S77:AG77,增益!$A:$A,增益!$P:$P,0))</f>
        <v>0</v>
      </c>
      <c r="BJ77" s="20">
        <f>MIN(IF(VLOOKUP($R77,武学奇术!$A:$ZZ,23,FALSE)=1,100%,$B$8),100%)</f>
        <v>0.8271</v>
      </c>
      <c r="BK77" s="20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0.2249</v>
      </c>
      <c r="BL77" s="20" cm="1">
        <f t="array" ref="BL77">1+$B$13+VLOOKUP($R77,武学奇术!$A:$ZZ,18,FALSE)+SUM(_xlfn.XLOOKUP(S77:AG77,增益!$A:$A,增益!$R:$R,0))</f>
        <v>1.5</v>
      </c>
      <c r="BM77" s="20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0.4459</v>
      </c>
      <c r="BN77" s="20" cm="1">
        <f t="array" ref="BN77">1+$B$14+VLOOKUP($R77,武学奇术!$A:$ZZ,20,FALSE)+SUM(_xlfn.XLOOKUP(S77:AG77,增益!$A:$A,增益!$T:$T,0))</f>
        <v>1.602</v>
      </c>
      <c r="BO77" s="20">
        <f t="shared" si="22"/>
        <v>0.18601479</v>
      </c>
      <c r="BP77" s="20">
        <f t="shared" si="32"/>
        <v>0.27228132</v>
      </c>
      <c r="BQ77" s="20">
        <f>IF(VLOOKUP($R77,武学奇术!$A:$ZZ,22,FALSE)=1,0,(1-$BJ77))*(1-$BM77)</f>
        <v>0.09580389</v>
      </c>
      <c r="BR77" s="20" cm="1">
        <f t="array" ref="BR77">SUM(_xlfn.XLOOKUP(S77:AG77,增益!$A:$A,增益!$W:$W,0))+$I$5</f>
        <v>0.11</v>
      </c>
    </row>
    <row r="78" spans="1:70">
      <c r="A78" s="4"/>
      <c r="B78" s="4"/>
      <c r="K78" s="27">
        <f>$L78*VLOOKUP($R78,武学奇术!$A:$ZZ,31,FALSE)</f>
        <v>50070.6477305042</v>
      </c>
      <c r="L78" s="27">
        <f t="shared" si="33"/>
        <v>50070.6477305042</v>
      </c>
      <c r="M78" s="27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45012.9141659402</v>
      </c>
      <c r="N78" s="27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71942.775921204</v>
      </c>
      <c r="O78" s="27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30008.6094439601</v>
      </c>
      <c r="P78" s="27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15109.1190619502</v>
      </c>
      <c r="Q78" s="35">
        <v>1</v>
      </c>
      <c r="R78" s="36" t="s">
        <v>88</v>
      </c>
      <c r="S78" s="36" t="s">
        <v>71</v>
      </c>
      <c r="T78" s="36" t="s">
        <v>93</v>
      </c>
      <c r="U78" s="36" t="s">
        <v>71</v>
      </c>
      <c r="V78" s="36" t="s">
        <v>71</v>
      </c>
      <c r="W78" s="36" t="s">
        <v>71</v>
      </c>
      <c r="X78" s="36" t="s">
        <v>71</v>
      </c>
      <c r="Y78" s="36" t="s">
        <v>71</v>
      </c>
      <c r="Z78" s="36" t="s">
        <v>71</v>
      </c>
      <c r="AA78" s="36" t="s">
        <v>71</v>
      </c>
      <c r="AB78" s="36" t="s">
        <v>71</v>
      </c>
      <c r="AC78" s="36" t="s">
        <v>71</v>
      </c>
      <c r="AD78" s="36" t="s">
        <v>72</v>
      </c>
      <c r="AE78" s="36" t="s">
        <v>94</v>
      </c>
      <c r="AF78" s="36" t="s">
        <v>154</v>
      </c>
      <c r="AG78" s="36" t="s">
        <v>120</v>
      </c>
      <c r="AH78" t="str">
        <f>VLOOKUP($R78,武学奇术!$A:$ZZ,25,FALSE)</f>
        <v>枪</v>
      </c>
      <c r="AI78" s="20">
        <f>VLOOKUP($R78,武学奇术!$A:$ZZ,26,FALSE)</f>
        <v>2.1401</v>
      </c>
      <c r="AJ78" s="21">
        <f>VLOOKUP($R78,武学奇术!$A:$ZZ,27,FALSE)*(1+IF(OR($AH78=$F$4,$AH78=$F$5),$B$22,0))</f>
        <v>823.2</v>
      </c>
      <c r="AK78" s="20">
        <f>VLOOKUP($R78,武学奇术!$A:$ZZ,28,FALSE)</f>
        <v>3.2101</v>
      </c>
      <c r="AL78" s="21">
        <f>VLOOKUP($R78,武学奇术!$A:$ZZ,29,FALSE)*(1+IF(OR($AH78=$F$4,$AH78=$F$5),$B$22,0))</f>
        <v>448</v>
      </c>
      <c r="AM78" s="20" cm="1">
        <f t="array" ref="AM78">$G$3+IFERROR(VLOOKUP($AH78,$F$4:$G$7,2,FALSE),0)+VLOOKUP($R78,武学奇术!$A:$ZZ,2,FALSE)+SUM(_xlfn.XLOOKUP($S78:$AG78,增益!$A:$A,增益!$B:$B,0))</f>
        <v>0.6339</v>
      </c>
      <c r="AN78" s="20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1554.72</v>
      </c>
      <c r="AP78" cm="1">
        <f t="array" ref="AP78">$E$10*(1+$AN78)+VLOOKUP($R78,武学奇术!$A:$ZZ,4,FALSE)+SUM(_xlfn.XLOOKUP($S78:$AG78,增益!$A:$A,增益!$D:$D,0))-$I$2</f>
        <v>6665.76</v>
      </c>
      <c r="AQ78" s="29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0.3425</v>
      </c>
      <c r="AR78" s="29" cm="1">
        <f t="array" ref="AR78">$G$10+VLOOKUP($R78,武学奇术!$A:$ZZ,7,FALSE)+SUM(_xlfn.XLOOKUP(S78:AG78,增益!$A:$A,增益!$G:$G,0))</f>
        <v>0</v>
      </c>
      <c r="AS78" s="20" cm="1">
        <f t="array" ref="AS78">VLOOKUP($R78,武学奇术!$A:$ZZ,8,FALSE)+SUM(_xlfn.XLOOKUP(S78:AG78,增益!$A:$A,增益!$H:$H,0))</f>
        <v>0</v>
      </c>
      <c r="AT78">
        <f t="shared" si="34"/>
        <v>538</v>
      </c>
      <c r="AU78">
        <f t="shared" si="35"/>
        <v>1011</v>
      </c>
      <c r="AV78" s="29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0</v>
      </c>
      <c r="AW78" s="29" cm="1">
        <f t="array" ref="AW78">$G$11+VLOOKUP($R78,武学奇术!$A:$ZZ,10,FALSE)+SUM(_xlfn.XLOOKUP(S78:AG78,增益!$A:$A,增益!$J:$J,0))</f>
        <v>0.15</v>
      </c>
      <c r="AX78">
        <f t="shared" si="36"/>
        <v>0</v>
      </c>
      <c r="AY78">
        <f t="shared" si="37"/>
        <v>0</v>
      </c>
      <c r="AZ78" s="29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29" cm="1">
        <f t="array" ref="BA78">$G$12+VLOOKUP($R78,武学奇术!$A:$ZZ,12,FALSE)+SUM(_xlfn.XLOOKUP(S78:AG78,增益!$A:$A,增益!$L:$L,0))</f>
        <v>0</v>
      </c>
      <c r="BB78">
        <f t="shared" si="38"/>
        <v>0</v>
      </c>
      <c r="BC78">
        <f t="shared" si="39"/>
        <v>0</v>
      </c>
      <c r="BD78" s="29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29" cm="1">
        <f t="array" ref="BE78">$G$13+VLOOKUP($R78,武学奇术!$A:$ZZ,14,FALSE)+SUM(_xlfn.XLOOKUP(S78:AG78,增益!$A:$A,增益!$N:$N,0))</f>
        <v>0</v>
      </c>
      <c r="BF78">
        <f t="shared" si="40"/>
        <v>0</v>
      </c>
      <c r="BG78">
        <f t="shared" si="41"/>
        <v>0</v>
      </c>
      <c r="BH78" s="29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29" cm="1">
        <f t="array" ref="BI78">$G$14+VLOOKUP($R78,武学奇术!$A:$ZZ,16,FALSE)+SUM(_xlfn.XLOOKUP(S78:AG78,增益!$A:$A,增益!$P:$P,0))</f>
        <v>0</v>
      </c>
      <c r="BJ78" s="20">
        <f>MIN(IF(VLOOKUP($R78,武学奇术!$A:$ZZ,23,FALSE)=1,100%,$B$8),100%)</f>
        <v>0.8271</v>
      </c>
      <c r="BK78" s="20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0.2249</v>
      </c>
      <c r="BL78" s="20" cm="1">
        <f t="array" ref="BL78">1+$B$13+VLOOKUP($R78,武学奇术!$A:$ZZ,18,FALSE)+SUM(_xlfn.XLOOKUP(S78:AG78,增益!$A:$A,增益!$R:$R,0))</f>
        <v>1.5</v>
      </c>
      <c r="BM78" s="20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0.4459</v>
      </c>
      <c r="BN78" s="20" cm="1">
        <f t="array" ref="BN78">1+$B$14+VLOOKUP($R78,武学奇术!$A:$ZZ,20,FALSE)+SUM(_xlfn.XLOOKUP(S78:AG78,增益!$A:$A,增益!$T:$T,0))</f>
        <v>1.602</v>
      </c>
      <c r="BO78" s="20">
        <f t="shared" si="22"/>
        <v>0.18601479</v>
      </c>
      <c r="BP78" s="20">
        <f t="shared" si="32"/>
        <v>0.27228132</v>
      </c>
      <c r="BQ78" s="20">
        <f>IF(VLOOKUP($R78,武学奇术!$A:$ZZ,22,FALSE)=1,0,(1-$BJ78))*(1-$BM78)</f>
        <v>0.09580389</v>
      </c>
      <c r="BR78" s="20" cm="1">
        <f t="array" ref="BR78">SUM(_xlfn.XLOOKUP(S78:AG78,增益!$A:$A,增益!$W:$W,0))+$I$5</f>
        <v>0.11</v>
      </c>
    </row>
    <row r="79" spans="1:70">
      <c r="A79" s="4"/>
      <c r="B79" s="4"/>
      <c r="K79" s="27">
        <f>$L79*VLOOKUP($R79,武学奇术!$A:$ZZ,31,FALSE)</f>
        <v>29478.738942316</v>
      </c>
      <c r="L79" s="27">
        <f t="shared" si="33"/>
        <v>29478.738942316</v>
      </c>
      <c r="M79" s="27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26547.9661429152</v>
      </c>
      <c r="N79" s="27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42295.5964211987</v>
      </c>
      <c r="O79" s="27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17698.6440952768</v>
      </c>
      <c r="P79" s="27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8995.54260928107</v>
      </c>
      <c r="Q79" s="35">
        <v>1</v>
      </c>
      <c r="R79" s="36" t="s">
        <v>92</v>
      </c>
      <c r="S79" s="36" t="s">
        <v>71</v>
      </c>
      <c r="T79" s="36" t="s">
        <v>93</v>
      </c>
      <c r="U79" s="36" t="s">
        <v>71</v>
      </c>
      <c r="V79" s="36" t="s">
        <v>71</v>
      </c>
      <c r="W79" s="36" t="s">
        <v>71</v>
      </c>
      <c r="X79" s="36" t="s">
        <v>71</v>
      </c>
      <c r="Y79" s="36" t="s">
        <v>71</v>
      </c>
      <c r="Z79" s="36" t="s">
        <v>82</v>
      </c>
      <c r="AA79" s="36" t="s">
        <v>71</v>
      </c>
      <c r="AB79" s="36" t="s">
        <v>71</v>
      </c>
      <c r="AC79" s="36" t="s">
        <v>71</v>
      </c>
      <c r="AD79" s="36" t="s">
        <v>72</v>
      </c>
      <c r="AE79" s="36" t="s">
        <v>94</v>
      </c>
      <c r="AF79" s="36" t="s">
        <v>154</v>
      </c>
      <c r="AG79" s="36" t="s">
        <v>120</v>
      </c>
      <c r="AH79" t="str">
        <f>VLOOKUP($R79,武学奇术!$A:$ZZ,25,FALSE)</f>
        <v>剑</v>
      </c>
      <c r="AI79" s="20">
        <f>VLOOKUP($R79,武学奇术!$A:$ZZ,26,FALSE)</f>
        <v>1.1781</v>
      </c>
      <c r="AJ79" s="21">
        <f>VLOOKUP($R79,武学奇术!$A:$ZZ,27,FALSE)*(1+IF(OR($AH79=$F$4,$AH79=$F$5),$B$22,0))</f>
        <v>456.4</v>
      </c>
      <c r="AK79" s="20">
        <f>VLOOKUP($R79,武学奇术!$A:$ZZ,28,FALSE)</f>
        <v>1.7672</v>
      </c>
      <c r="AL79" s="21">
        <f>VLOOKUP($R79,武学奇术!$A:$ZZ,29,FALSE)*(1+IF(OR($AH79=$F$4,$AH79=$F$5),$B$22,0))</f>
        <v>247.8</v>
      </c>
      <c r="AM79" s="20" cm="1">
        <f t="array" ref="AM79">$G$3+IFERROR(VLOOKUP($AH79,$F$4:$G$7,2,FALSE),0)+VLOOKUP($R79,武学奇术!$A:$ZZ,2,FALSE)+SUM(_xlfn.XLOOKUP($S79:$AG79,增益!$A:$A,增益!$B:$B,0))</f>
        <v>0.7191</v>
      </c>
      <c r="AN79" s="20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1554.72</v>
      </c>
      <c r="AP79" cm="1">
        <f t="array" ref="AP79">$E$10*(1+$AN79)+VLOOKUP($R79,武学奇术!$A:$ZZ,4,FALSE)+SUM(_xlfn.XLOOKUP($S79:$AG79,增益!$A:$A,增益!$D:$D,0))-$I$2</f>
        <v>6665.76</v>
      </c>
      <c r="AQ79" s="29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0.3425</v>
      </c>
      <c r="AR79" s="29" cm="1">
        <f t="array" ref="AR79">$G$10+VLOOKUP($R79,武学奇术!$A:$ZZ,7,FALSE)+SUM(_xlfn.XLOOKUP(S79:AG79,增益!$A:$A,增益!$G:$G,0))</f>
        <v>0</v>
      </c>
      <c r="AS79" s="20" cm="1">
        <f t="array" ref="AS79">VLOOKUP($R79,武学奇术!$A:$ZZ,8,FALSE)+SUM(_xlfn.XLOOKUP(S79:AG79,增益!$A:$A,增益!$H:$H,0))</f>
        <v>0</v>
      </c>
      <c r="AT79">
        <f t="shared" si="34"/>
        <v>538</v>
      </c>
      <c r="AU79">
        <f t="shared" si="35"/>
        <v>1011</v>
      </c>
      <c r="AV79" s="29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0.08</v>
      </c>
      <c r="AW79" s="29" cm="1">
        <f t="array" ref="AW79">$G$11+VLOOKUP($R79,武学奇术!$A:$ZZ,10,FALSE)+SUM(_xlfn.XLOOKUP(S79:AG79,增益!$A:$A,增益!$J:$J,0))</f>
        <v>0.15</v>
      </c>
      <c r="AX79">
        <f t="shared" si="36"/>
        <v>0</v>
      </c>
      <c r="AY79">
        <f t="shared" si="37"/>
        <v>0</v>
      </c>
      <c r="AZ79" s="29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-0.14</v>
      </c>
      <c r="BA79" s="29" cm="1">
        <f t="array" ref="BA79">$G$12+VLOOKUP($R79,武学奇术!$A:$ZZ,12,FALSE)+SUM(_xlfn.XLOOKUP(S79:AG79,增益!$A:$A,增益!$L:$L,0))</f>
        <v>0</v>
      </c>
      <c r="BB79">
        <f t="shared" si="38"/>
        <v>0</v>
      </c>
      <c r="BC79">
        <f t="shared" si="39"/>
        <v>0</v>
      </c>
      <c r="BD79" s="29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-0.14</v>
      </c>
      <c r="BE79" s="29" cm="1">
        <f t="array" ref="BE79">$G$13+VLOOKUP($R79,武学奇术!$A:$ZZ,14,FALSE)+SUM(_xlfn.XLOOKUP(S79:AG79,增益!$A:$A,增益!$N:$N,0))</f>
        <v>0</v>
      </c>
      <c r="BF79">
        <f t="shared" si="40"/>
        <v>0</v>
      </c>
      <c r="BG79">
        <f t="shared" si="41"/>
        <v>0</v>
      </c>
      <c r="BH79" s="29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-0.14</v>
      </c>
      <c r="BI79" s="29" cm="1">
        <f t="array" ref="BI79">$G$14+VLOOKUP($R79,武学奇术!$A:$ZZ,16,FALSE)+SUM(_xlfn.XLOOKUP(S79:AG79,增益!$A:$A,增益!$P:$P,0))</f>
        <v>0</v>
      </c>
      <c r="BJ79" s="20">
        <f>MIN(IF(VLOOKUP($R79,武学奇术!$A:$ZZ,23,FALSE)=1,100%,$B$8),100%)</f>
        <v>0.8271</v>
      </c>
      <c r="BK79" s="20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0.2249</v>
      </c>
      <c r="BL79" s="20" cm="1">
        <f t="array" ref="BL79">1+$B$13+VLOOKUP($R79,武学奇术!$A:$ZZ,18,FALSE)+SUM(_xlfn.XLOOKUP(S79:AG79,增益!$A:$A,增益!$R:$R,0))</f>
        <v>1.5</v>
      </c>
      <c r="BM79" s="20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0.4459</v>
      </c>
      <c r="BN79" s="20" cm="1">
        <f t="array" ref="BN79">1+$B$14+VLOOKUP($R79,武学奇术!$A:$ZZ,20,FALSE)+SUM(_xlfn.XLOOKUP(S79:AG79,增益!$A:$A,增益!$T:$T,0))</f>
        <v>1.602</v>
      </c>
      <c r="BO79" s="20">
        <f t="shared" si="22"/>
        <v>0.18601479</v>
      </c>
      <c r="BP79" s="20">
        <f t="shared" si="32"/>
        <v>0.27228132</v>
      </c>
      <c r="BQ79" s="20">
        <f>IF(VLOOKUP($R79,武学奇术!$A:$ZZ,22,FALSE)=1,0,(1-$BJ79))*(1-$BM79)</f>
        <v>0.09580389</v>
      </c>
      <c r="BR79" s="20" cm="1">
        <f t="array" ref="BR79">SUM(_xlfn.XLOOKUP(S79:AG79,增益!$A:$A,增益!$W:$W,0))+$I$5</f>
        <v>0.11</v>
      </c>
    </row>
    <row r="80" spans="1:70">
      <c r="A80" s="4"/>
      <c r="B80" s="4"/>
      <c r="C80" s="35"/>
      <c r="K80" s="27">
        <f>$L80*VLOOKUP($R80,武学奇术!$A:$ZZ,31,FALSE)</f>
        <v>73060.5269960282</v>
      </c>
      <c r="L80" s="27">
        <f t="shared" si="33"/>
        <v>121767.54499338</v>
      </c>
      <c r="M80" s="27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99816.23415917</v>
      </c>
      <c r="N80" s="27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184453.281988488</v>
      </c>
      <c r="O80" s="27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66544.1561061134</v>
      </c>
      <c r="P80" s="27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29579.1752938831</v>
      </c>
      <c r="Q80" s="35">
        <v>1</v>
      </c>
      <c r="R80" s="36" t="s">
        <v>105</v>
      </c>
      <c r="S80" s="36" t="s">
        <v>71</v>
      </c>
      <c r="T80" s="36" t="s">
        <v>99</v>
      </c>
      <c r="U80" s="36" t="s">
        <v>100</v>
      </c>
      <c r="V80" s="36" t="s">
        <v>101</v>
      </c>
      <c r="W80" s="36" t="s">
        <v>71</v>
      </c>
      <c r="X80" s="36" t="s">
        <v>71</v>
      </c>
      <c r="Y80" s="36" t="s">
        <v>71</v>
      </c>
      <c r="Z80" s="36" t="s">
        <v>82</v>
      </c>
      <c r="AA80" s="36" t="s">
        <v>71</v>
      </c>
      <c r="AB80" s="36" t="s">
        <v>71</v>
      </c>
      <c r="AC80" s="36" t="s">
        <v>71</v>
      </c>
      <c r="AD80" s="36" t="s">
        <v>72</v>
      </c>
      <c r="AE80" s="36" t="s">
        <v>94</v>
      </c>
      <c r="AF80" s="36" t="s">
        <v>154</v>
      </c>
      <c r="AG80" s="36" t="s">
        <v>120</v>
      </c>
      <c r="AH80" t="str">
        <f>VLOOKUP($R80,武学奇术!$A:$ZZ,25,FALSE)</f>
        <v>剑</v>
      </c>
      <c r="AI80" s="20">
        <f>VLOOKUP($R80,武学奇术!$A:$ZZ,26,FALSE)</f>
        <v>2.496</v>
      </c>
      <c r="AJ80" s="21">
        <f>VLOOKUP($R80,武学奇术!$A:$ZZ,27,FALSE)*(1+IF(OR($AH80=$F$4,$AH80=$F$5),$B$22,0))</f>
        <v>0</v>
      </c>
      <c r="AK80" s="20">
        <f>VLOOKUP($R80,武学奇术!$A:$ZZ,28,FALSE)</f>
        <v>3.744</v>
      </c>
      <c r="AL80" s="21">
        <f>VLOOKUP($R80,武学奇术!$A:$ZZ,29,FALSE)*(1+IF(OR($AH80=$F$4,$AH80=$F$5),$B$22,0))</f>
        <v>0</v>
      </c>
      <c r="AM80" s="20" cm="1">
        <f t="array" ref="AM80">$G$3+IFERROR(VLOOKUP($AH80,$F$4:$G$7,2,FALSE),0)+VLOOKUP($R80,武学奇术!$A:$ZZ,2,FALSE)+SUM(_xlfn.XLOOKUP($S80:$AG80,增益!$A:$A,增益!$B:$B,0))</f>
        <v>1.4691</v>
      </c>
      <c r="AN80" s="20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1554.72</v>
      </c>
      <c r="AP80" cm="1">
        <f t="array" ref="AP80">$E$10*(1+$AN80)+VLOOKUP($R80,武学奇术!$A:$ZZ,4,FALSE)+SUM(_xlfn.XLOOKUP($S80:$AG80,增益!$A:$A,增益!$D:$D,0))-$I$2</f>
        <v>6665.76</v>
      </c>
      <c r="AQ80" s="29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0.4175</v>
      </c>
      <c r="AR80" s="29" cm="1">
        <f t="array" ref="AR80">$G$10+VLOOKUP($R80,武学奇术!$A:$ZZ,7,FALSE)+SUM(_xlfn.XLOOKUP(S80:AG80,增益!$A:$A,增益!$G:$G,0))</f>
        <v>0</v>
      </c>
      <c r="AS80" s="20" cm="1">
        <f t="array" ref="AS80">VLOOKUP($R80,武学奇术!$A:$ZZ,8,FALSE)+SUM(_xlfn.XLOOKUP(S80:AG80,增益!$A:$A,增益!$H:$H,0))</f>
        <v>0</v>
      </c>
      <c r="AT80">
        <f t="shared" si="34"/>
        <v>538</v>
      </c>
      <c r="AU80">
        <f t="shared" si="35"/>
        <v>1011</v>
      </c>
      <c r="AV80" s="29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0.155</v>
      </c>
      <c r="AW80" s="29" cm="1">
        <f t="array" ref="AW80">$G$11+VLOOKUP($R80,武学奇术!$A:$ZZ,10,FALSE)+SUM(_xlfn.XLOOKUP(S80:AG80,增益!$A:$A,增益!$J:$J,0))</f>
        <v>0.15</v>
      </c>
      <c r="AX80">
        <f t="shared" si="36"/>
        <v>0</v>
      </c>
      <c r="AY80">
        <f t="shared" si="37"/>
        <v>0</v>
      </c>
      <c r="AZ80" s="29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-0.14</v>
      </c>
      <c r="BA80" s="29" cm="1">
        <f t="array" ref="BA80">$G$12+VLOOKUP($R80,武学奇术!$A:$ZZ,12,FALSE)+SUM(_xlfn.XLOOKUP(S80:AG80,增益!$A:$A,增益!$L:$L,0))</f>
        <v>0</v>
      </c>
      <c r="BB80">
        <f t="shared" si="38"/>
        <v>0</v>
      </c>
      <c r="BC80">
        <f t="shared" si="39"/>
        <v>0</v>
      </c>
      <c r="BD80" s="29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-0.14</v>
      </c>
      <c r="BE80" s="29" cm="1">
        <f t="array" ref="BE80">$G$13+VLOOKUP($R80,武学奇术!$A:$ZZ,14,FALSE)+SUM(_xlfn.XLOOKUP(S80:AG80,增益!$A:$A,增益!$N:$N,0))</f>
        <v>0</v>
      </c>
      <c r="BF80">
        <f t="shared" si="40"/>
        <v>0</v>
      </c>
      <c r="BG80">
        <f t="shared" si="41"/>
        <v>0</v>
      </c>
      <c r="BH80" s="29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-0.14</v>
      </c>
      <c r="BI80" s="29" cm="1">
        <f t="array" ref="BI80">$G$14+VLOOKUP($R80,武学奇术!$A:$ZZ,16,FALSE)+SUM(_xlfn.XLOOKUP(S80:AG80,增益!$A:$A,增益!$P:$P,0))</f>
        <v>0</v>
      </c>
      <c r="BJ80" s="20">
        <f>MIN(IF(VLOOKUP($R80,武学奇术!$A:$ZZ,23,FALSE)=1,100%,$B$8),100%)</f>
        <v>0.8271</v>
      </c>
      <c r="BK80" s="20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0.2249</v>
      </c>
      <c r="BL80" s="20" cm="1">
        <f t="array" ref="BL80">1+$B$13+VLOOKUP($R80,武学奇术!$A:$ZZ,18,FALSE)+SUM(_xlfn.XLOOKUP(S80:AG80,增益!$A:$A,增益!$R:$R,0))</f>
        <v>1.5</v>
      </c>
      <c r="BM80" s="20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0.4459</v>
      </c>
      <c r="BN80" s="20" cm="1">
        <f t="array" ref="BN80">1+$B$14+VLOOKUP($R80,武学奇术!$A:$ZZ,20,FALSE)+SUM(_xlfn.XLOOKUP(S80:AG80,增益!$A:$A,增益!$T:$T,0))</f>
        <v>1.782</v>
      </c>
      <c r="BO80" s="20">
        <f t="shared" si="22"/>
        <v>0.18601479</v>
      </c>
      <c r="BP80" s="20">
        <f t="shared" si="32"/>
        <v>0.27228132</v>
      </c>
      <c r="BQ80" s="20">
        <f>IF(VLOOKUP($R80,武学奇术!$A:$ZZ,22,FALSE)=1,0,(1-$BJ80))*(1-$BM80)</f>
        <v>0.09580389</v>
      </c>
      <c r="BR80" s="20" cm="1">
        <f t="array" ref="BR80">SUM(_xlfn.XLOOKUP(S80:AG80,增益!$A:$A,增益!$W:$W,0))+$I$5</f>
        <v>0.11</v>
      </c>
    </row>
    <row r="81" spans="1:70">
      <c r="K81" s="27">
        <f>$L81*VLOOKUP($R81,武学奇术!$A:$ZZ,31,FALSE)</f>
        <v>110671.969193093</v>
      </c>
      <c r="L81" s="27">
        <f t="shared" si="33"/>
        <v>184453.281988488</v>
      </c>
      <c r="M81" s="27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99816.23415917</v>
      </c>
      <c r="N81" s="27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184453.281988488</v>
      </c>
      <c r="O81" s="27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66544.1561061134</v>
      </c>
      <c r="P81" s="27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29579.1752938831</v>
      </c>
      <c r="Q81" s="35">
        <v>1</v>
      </c>
      <c r="R81" s="36" t="s">
        <v>98</v>
      </c>
      <c r="S81" s="36" t="s">
        <v>71</v>
      </c>
      <c r="T81" s="36" t="s">
        <v>99</v>
      </c>
      <c r="U81" s="36" t="s">
        <v>100</v>
      </c>
      <c r="V81" s="36" t="s">
        <v>101</v>
      </c>
      <c r="W81" s="36" t="s">
        <v>71</v>
      </c>
      <c r="X81" s="36" t="s">
        <v>71</v>
      </c>
      <c r="Y81" s="36" t="s">
        <v>71</v>
      </c>
      <c r="Z81" s="36" t="s">
        <v>82</v>
      </c>
      <c r="AA81" s="36" t="s">
        <v>71</v>
      </c>
      <c r="AB81" s="36" t="s">
        <v>71</v>
      </c>
      <c r="AC81" s="36" t="s">
        <v>71</v>
      </c>
      <c r="AD81" s="36" t="s">
        <v>72</v>
      </c>
      <c r="AE81" s="36" t="s">
        <v>94</v>
      </c>
      <c r="AF81" s="36" t="s">
        <v>154</v>
      </c>
      <c r="AG81" s="36" t="s">
        <v>120</v>
      </c>
      <c r="AH81" t="str">
        <f>VLOOKUP($R81,武学奇术!$A:$ZZ,25,FALSE)</f>
        <v>剑</v>
      </c>
      <c r="AI81" s="20">
        <f>VLOOKUP($R81,武学奇术!$A:$ZZ,26,FALSE)</f>
        <v>2.496</v>
      </c>
      <c r="AJ81" s="21">
        <f>VLOOKUP($R81,武学奇术!$A:$ZZ,27,FALSE)*(1+IF(OR($AH81=$F$4,$AH81=$F$5),$B$22,0))</f>
        <v>0</v>
      </c>
      <c r="AK81" s="20">
        <f>VLOOKUP($R81,武学奇术!$A:$ZZ,28,FALSE)</f>
        <v>3.744</v>
      </c>
      <c r="AL81" s="21">
        <f>VLOOKUP($R81,武学奇术!$A:$ZZ,29,FALSE)*(1+IF(OR($AH81=$F$4,$AH81=$F$5),$B$22,0))</f>
        <v>0</v>
      </c>
      <c r="AM81" s="20" cm="1">
        <f t="array" ref="AM81">$G$3+IFERROR(VLOOKUP($AH81,$F$4:$G$7,2,FALSE),0)+VLOOKUP($R81,武学奇术!$A:$ZZ,2,FALSE)+SUM(_xlfn.XLOOKUP($S81:$AG81,增益!$A:$A,增益!$B:$B,0))</f>
        <v>1.4691</v>
      </c>
      <c r="AN81" s="20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1554.72</v>
      </c>
      <c r="AP81" cm="1">
        <f t="array" ref="AP81">$E$10*(1+$AN81)+VLOOKUP($R81,武学奇术!$A:$ZZ,4,FALSE)+SUM(_xlfn.XLOOKUP($S81:$AG81,增益!$A:$A,增益!$D:$D,0))-$I$2</f>
        <v>6665.76</v>
      </c>
      <c r="AQ81" s="29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0.4175</v>
      </c>
      <c r="AR81" s="29" cm="1">
        <f t="array" ref="AR81">$G$10+VLOOKUP($R81,武学奇术!$A:$ZZ,7,FALSE)+SUM(_xlfn.XLOOKUP(S81:AG81,增益!$A:$A,增益!$G:$G,0))</f>
        <v>0</v>
      </c>
      <c r="AS81" s="20" cm="1">
        <f t="array" ref="AS81">VLOOKUP($R81,武学奇术!$A:$ZZ,8,FALSE)+SUM(_xlfn.XLOOKUP(S81:AG81,增益!$A:$A,增益!$H:$H,0))</f>
        <v>0</v>
      </c>
      <c r="AT81">
        <f t="shared" si="34"/>
        <v>538</v>
      </c>
      <c r="AU81">
        <f t="shared" si="35"/>
        <v>1011</v>
      </c>
      <c r="AV81" s="29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0.155</v>
      </c>
      <c r="AW81" s="29" cm="1">
        <f t="array" ref="AW81">$G$11+VLOOKUP($R81,武学奇术!$A:$ZZ,10,FALSE)+SUM(_xlfn.XLOOKUP(S81:AG81,增益!$A:$A,增益!$J:$J,0))</f>
        <v>0.15</v>
      </c>
      <c r="AX81">
        <f t="shared" si="36"/>
        <v>0</v>
      </c>
      <c r="AY81">
        <f t="shared" si="37"/>
        <v>0</v>
      </c>
      <c r="AZ81" s="29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-0.14</v>
      </c>
      <c r="BA81" s="29" cm="1">
        <f t="array" ref="BA81">$G$12+VLOOKUP($R81,武学奇术!$A:$ZZ,12,FALSE)+SUM(_xlfn.XLOOKUP(S81:AG81,增益!$A:$A,增益!$L:$L,0))</f>
        <v>0</v>
      </c>
      <c r="BB81">
        <f t="shared" si="38"/>
        <v>0</v>
      </c>
      <c r="BC81">
        <f t="shared" si="39"/>
        <v>0</v>
      </c>
      <c r="BD81" s="29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-0.14</v>
      </c>
      <c r="BE81" s="29" cm="1">
        <f t="array" ref="BE81">$G$13+VLOOKUP($R81,武学奇术!$A:$ZZ,14,FALSE)+SUM(_xlfn.XLOOKUP(S81:AG81,增益!$A:$A,增益!$N:$N,0))</f>
        <v>0</v>
      </c>
      <c r="BF81">
        <f t="shared" si="40"/>
        <v>0</v>
      </c>
      <c r="BG81">
        <f t="shared" si="41"/>
        <v>0</v>
      </c>
      <c r="BH81" s="29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-0.14</v>
      </c>
      <c r="BI81" s="29" cm="1">
        <f t="array" ref="BI81">$G$14+VLOOKUP($R81,武学奇术!$A:$ZZ,16,FALSE)+SUM(_xlfn.XLOOKUP(S81:AG81,增益!$A:$A,增益!$P:$P,0))</f>
        <v>0</v>
      </c>
      <c r="BJ81" s="20">
        <f>MIN(IF(VLOOKUP($R81,武学奇术!$A:$ZZ,23,FALSE)=1,100%,$B$8),100%)</f>
        <v>0.8271</v>
      </c>
      <c r="BK81" s="20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</v>
      </c>
      <c r="BL81" s="20" cm="1">
        <f t="array" ref="BL81">1+$B$13+VLOOKUP($R81,武学奇术!$A:$ZZ,18,FALSE)+SUM(_xlfn.XLOOKUP(S81:AG81,增益!$A:$A,增益!$R:$R,0))</f>
        <v>1.5</v>
      </c>
      <c r="BM81" s="20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1</v>
      </c>
      <c r="BN81" s="20" cm="1">
        <f t="array" ref="BN81">1+$B$14+VLOOKUP($R81,武学奇术!$A:$ZZ,20,FALSE)+SUM(_xlfn.XLOOKUP(S81:AG81,增益!$A:$A,增益!$T:$T,0))</f>
        <v>1.782</v>
      </c>
      <c r="BO81" s="20">
        <f t="shared" si="22"/>
        <v>0</v>
      </c>
      <c r="BP81" s="20">
        <f t="shared" si="32"/>
        <v>0</v>
      </c>
      <c r="BQ81" s="20">
        <f>IF(VLOOKUP($R81,武学奇术!$A:$ZZ,22,FALSE)=1,0,(1-$BJ81))*(1-$BM81)</f>
        <v>0</v>
      </c>
      <c r="BR81" s="20" cm="1">
        <f t="array" ref="BR81">SUM(_xlfn.XLOOKUP(S81:AG81,增益!$A:$A,增益!$W:$W,0))+$I$5</f>
        <v>0.11</v>
      </c>
    </row>
    <row r="82" spans="1:70">
      <c r="A82" s="4"/>
      <c r="B82" s="4"/>
      <c r="K82" s="27">
        <f>$L82*VLOOKUP($R82,武学奇术!$A:$ZZ,31,FALSE)</f>
        <v>14158.1229234794</v>
      </c>
      <c r="L82" s="27">
        <f t="shared" si="33"/>
        <v>14158.1229234794</v>
      </c>
      <c r="M82" s="27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12452.6049324663</v>
      </c>
      <c r="N82" s="27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20695.9972132281</v>
      </c>
      <c r="O82" s="27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8301.73662164419</v>
      </c>
      <c r="P82" s="27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3684.623547141</v>
      </c>
      <c r="Q82" s="35">
        <v>1</v>
      </c>
      <c r="R82" s="36" t="s">
        <v>107</v>
      </c>
      <c r="S82" s="36" t="s">
        <v>71</v>
      </c>
      <c r="T82" s="36" t="s">
        <v>93</v>
      </c>
      <c r="U82" s="36" t="s">
        <v>71</v>
      </c>
      <c r="V82" s="36" t="s">
        <v>71</v>
      </c>
      <c r="W82" s="36" t="s">
        <v>71</v>
      </c>
      <c r="X82" s="36" t="s">
        <v>71</v>
      </c>
      <c r="Y82" s="36" t="s">
        <v>71</v>
      </c>
      <c r="Z82" s="36" t="s">
        <v>82</v>
      </c>
      <c r="AA82" s="36" t="s">
        <v>71</v>
      </c>
      <c r="AB82" s="36" t="s">
        <v>71</v>
      </c>
      <c r="AC82" s="36" t="s">
        <v>71</v>
      </c>
      <c r="AD82" s="36" t="s">
        <v>72</v>
      </c>
      <c r="AE82" s="36" t="s">
        <v>94</v>
      </c>
      <c r="AF82" s="36" t="s">
        <v>154</v>
      </c>
      <c r="AG82" s="36" t="s">
        <v>120</v>
      </c>
      <c r="AH82" t="str">
        <f>VLOOKUP($R82,武学奇术!$A:$ZZ,25,FALSE)</f>
        <v>剑</v>
      </c>
      <c r="AI82" s="20">
        <f>VLOOKUP($R82,武学奇术!$A:$ZZ,26,FALSE)</f>
        <v>0.625</v>
      </c>
      <c r="AJ82" s="21">
        <f>VLOOKUP($R82,武学奇术!$A:$ZZ,27,FALSE)*(1+IF(OR($AH82=$F$4,$AH82=$F$5),$B$22,0))</f>
        <v>0</v>
      </c>
      <c r="AK82" s="20">
        <f>VLOOKUP($R82,武学奇术!$A:$ZZ,28,FALSE)</f>
        <v>0.9375</v>
      </c>
      <c r="AL82" s="21">
        <f>VLOOKUP($R82,武学奇术!$A:$ZZ,29,FALSE)*(1+IF(OR($AH82=$F$4,$AH82=$F$5),$B$22,0))</f>
        <v>0</v>
      </c>
      <c r="AM82" s="20" cm="1">
        <f t="array" ref="AM82">$G$3+IFERROR(VLOOKUP($AH82,$F$4:$G$7,2,FALSE),0)+VLOOKUP($R82,武学奇术!$A:$ZZ,2,FALSE)+SUM(_xlfn.XLOOKUP($S82:$AG82,增益!$A:$A,增益!$B:$B,0))</f>
        <v>0.7191</v>
      </c>
      <c r="AN82" s="20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1554.72</v>
      </c>
      <c r="AP82" cm="1">
        <f t="array" ref="AP82">$E$10*(1+$AN82)+VLOOKUP($R82,武学奇术!$A:$ZZ,4,FALSE)+SUM(_xlfn.XLOOKUP($S82:$AG82,增益!$A:$A,增益!$D:$D,0))-$I$2</f>
        <v>6665.76</v>
      </c>
      <c r="AQ82" s="29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0.3425</v>
      </c>
      <c r="AR82" s="29" cm="1">
        <f t="array" ref="AR82">$G$10+VLOOKUP($R82,武学奇术!$A:$ZZ,7,FALSE)+SUM(_xlfn.XLOOKUP(S82:AG82,增益!$A:$A,增益!$G:$G,0))</f>
        <v>0</v>
      </c>
      <c r="AS82" s="20" cm="1">
        <f t="array" ref="AS82">VLOOKUP($R82,武学奇术!$A:$ZZ,8,FALSE)+SUM(_xlfn.XLOOKUP(S82:AG82,增益!$A:$A,增益!$H:$H,0))</f>
        <v>0</v>
      </c>
      <c r="AT82">
        <f t="shared" si="34"/>
        <v>538</v>
      </c>
      <c r="AU82">
        <f t="shared" si="35"/>
        <v>1011</v>
      </c>
      <c r="AV82" s="29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0.08</v>
      </c>
      <c r="AW82" s="29" cm="1">
        <f t="array" ref="AW82">$G$11+VLOOKUP($R82,武学奇术!$A:$ZZ,10,FALSE)+SUM(_xlfn.XLOOKUP(S82:AG82,增益!$A:$A,增益!$J:$J,0))</f>
        <v>0.15</v>
      </c>
      <c r="AX82">
        <f t="shared" si="36"/>
        <v>0</v>
      </c>
      <c r="AY82">
        <f t="shared" si="37"/>
        <v>0</v>
      </c>
      <c r="AZ82" s="29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-0.14</v>
      </c>
      <c r="BA82" s="29" cm="1">
        <f t="array" ref="BA82">$G$12+VLOOKUP($R82,武学奇术!$A:$ZZ,12,FALSE)+SUM(_xlfn.XLOOKUP(S82:AG82,增益!$A:$A,增益!$L:$L,0))</f>
        <v>0</v>
      </c>
      <c r="BB82">
        <f t="shared" si="38"/>
        <v>0</v>
      </c>
      <c r="BC82">
        <f t="shared" si="39"/>
        <v>0</v>
      </c>
      <c r="BD82" s="29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-0.14</v>
      </c>
      <c r="BE82" s="29" cm="1">
        <f t="array" ref="BE82">$G$13+VLOOKUP($R82,武学奇术!$A:$ZZ,14,FALSE)+SUM(_xlfn.XLOOKUP(S82:AG82,增益!$A:$A,增益!$N:$N,0))</f>
        <v>0</v>
      </c>
      <c r="BF82">
        <f t="shared" si="40"/>
        <v>0</v>
      </c>
      <c r="BG82">
        <f t="shared" si="41"/>
        <v>0</v>
      </c>
      <c r="BH82" s="29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-0.14</v>
      </c>
      <c r="BI82" s="29" cm="1">
        <f t="array" ref="BI82">$G$14+VLOOKUP($R82,武学奇术!$A:$ZZ,16,FALSE)+SUM(_xlfn.XLOOKUP(S82:AG82,增益!$A:$A,增益!$P:$P,0))</f>
        <v>0</v>
      </c>
      <c r="BJ82" s="20">
        <f>MIN(IF(VLOOKUP($R82,武学奇术!$A:$ZZ,23,FALSE)=1,100%,$B$8),100%)</f>
        <v>0.8271</v>
      </c>
      <c r="BK82" s="20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0.2249</v>
      </c>
      <c r="BL82" s="20" cm="1">
        <f t="array" ref="BL82">1+$B$13+VLOOKUP($R82,武学奇术!$A:$ZZ,18,FALSE)+SUM(_xlfn.XLOOKUP(S82:AG82,增益!$A:$A,增益!$R:$R,0))</f>
        <v>1.5</v>
      </c>
      <c r="BM82" s="20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0.4459</v>
      </c>
      <c r="BN82" s="20" cm="1">
        <f t="array" ref="BN82">1+$B$14+VLOOKUP($R82,武学奇术!$A:$ZZ,20,FALSE)+SUM(_xlfn.XLOOKUP(S82:AG82,增益!$A:$A,增益!$T:$T,0))</f>
        <v>1.602</v>
      </c>
      <c r="BO82" s="20">
        <f t="shared" si="22"/>
        <v>0.18601479</v>
      </c>
      <c r="BP82" s="20">
        <f t="shared" si="32"/>
        <v>0.27228132</v>
      </c>
      <c r="BQ82" s="20">
        <f>IF(VLOOKUP($R82,武学奇术!$A:$ZZ,22,FALSE)=1,0,(1-$BJ82))*(1-$BM82)</f>
        <v>0.09580389</v>
      </c>
      <c r="BR82" s="20" cm="1">
        <f t="array" ref="BR82">SUM(_xlfn.XLOOKUP(S82:AG82,增益!$A:$A,增益!$W:$W,0))+$I$5</f>
        <v>0.11</v>
      </c>
    </row>
    <row r="83" spans="1:70">
      <c r="A83" s="4"/>
      <c r="B83" s="4"/>
      <c r="K83" s="27">
        <f>$L83*VLOOKUP($R83,武学奇术!$A:$ZZ,31,FALSE)</f>
        <v>61351.9104304773</v>
      </c>
      <c r="L83" s="27">
        <f t="shared" si="33"/>
        <v>61351.9104304773</v>
      </c>
      <c r="M83" s="27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55307.1376289998</v>
      </c>
      <c r="N83" s="27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87956.3537389438</v>
      </c>
      <c r="O83" s="27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36871.4250859999</v>
      </c>
      <c r="P83" s="27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18838.7591988763</v>
      </c>
      <c r="Q83" s="35">
        <v>1</v>
      </c>
      <c r="R83" s="36" t="s">
        <v>110</v>
      </c>
      <c r="S83" s="36" t="s">
        <v>71</v>
      </c>
      <c r="T83" s="36" t="s">
        <v>93</v>
      </c>
      <c r="U83" s="36" t="s">
        <v>71</v>
      </c>
      <c r="V83" s="36" t="s">
        <v>71</v>
      </c>
      <c r="W83" s="36" t="s">
        <v>111</v>
      </c>
      <c r="X83" s="36" t="s">
        <v>71</v>
      </c>
      <c r="Y83" s="36" t="s">
        <v>71</v>
      </c>
      <c r="Z83" s="36" t="s">
        <v>82</v>
      </c>
      <c r="AA83" s="36" t="s">
        <v>71</v>
      </c>
      <c r="AB83" s="36" t="s">
        <v>71</v>
      </c>
      <c r="AC83" s="36" t="s">
        <v>71</v>
      </c>
      <c r="AD83" s="36" t="s">
        <v>72</v>
      </c>
      <c r="AE83" s="36" t="s">
        <v>94</v>
      </c>
      <c r="AF83" s="36" t="s">
        <v>154</v>
      </c>
      <c r="AG83" s="36" t="s">
        <v>120</v>
      </c>
      <c r="AH83" t="str">
        <f>VLOOKUP($R83,武学奇术!$A:$ZZ,25,FALSE)</f>
        <v>枪</v>
      </c>
      <c r="AI83" s="20">
        <f>VLOOKUP($R83,武学奇术!$A:$ZZ,26,FALSE)</f>
        <v>2.5683</v>
      </c>
      <c r="AJ83" s="21">
        <f>VLOOKUP($R83,武学奇术!$A:$ZZ,27,FALSE)*(1+IF(OR($AH83=$F$4,$AH83=$F$5),$B$22,0))</f>
        <v>995.4</v>
      </c>
      <c r="AK83" s="20">
        <f>VLOOKUP($R83,武学奇术!$A:$ZZ,28,FALSE)</f>
        <v>3.8524</v>
      </c>
      <c r="AL83" s="21">
        <f>VLOOKUP($R83,武学奇术!$A:$ZZ,29,FALSE)*(1+IF(OR($AH83=$F$4,$AH83=$F$5),$B$22,0))</f>
        <v>541.8</v>
      </c>
      <c r="AM83" s="20" cm="1">
        <f t="array" ref="AM83">$G$3+IFERROR(VLOOKUP($AH83,$F$4:$G$7,2,FALSE),0)+VLOOKUP($R83,武学奇术!$A:$ZZ,2,FALSE)+SUM(_xlfn.XLOOKUP($S83:$AG83,增益!$A:$A,增益!$B:$B,0))</f>
        <v>0.6339</v>
      </c>
      <c r="AN83" s="20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1585.72</v>
      </c>
      <c r="AP83" cm="1">
        <f t="array" ref="AP83">$E$10*(1+$AN83)+VLOOKUP($R83,武学奇术!$A:$ZZ,4,FALSE)+SUM(_xlfn.XLOOKUP($S83:$AG83,增益!$A:$A,增益!$D:$D,0))-$I$2</f>
        <v>6696.76</v>
      </c>
      <c r="AQ83" s="29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0.3425</v>
      </c>
      <c r="AR83" s="29" cm="1">
        <f t="array" ref="AR83">$G$10+VLOOKUP($R83,武学奇术!$A:$ZZ,7,FALSE)+SUM(_xlfn.XLOOKUP(S83:AG83,增益!$A:$A,增益!$G:$G,0))</f>
        <v>0</v>
      </c>
      <c r="AS83" s="20" cm="1">
        <f t="array" ref="AS83">VLOOKUP($R83,武学奇术!$A:$ZZ,8,FALSE)+SUM(_xlfn.XLOOKUP(S83:AG83,增益!$A:$A,增益!$H:$H,0))</f>
        <v>0</v>
      </c>
      <c r="AT83">
        <f t="shared" si="34"/>
        <v>538</v>
      </c>
      <c r="AU83">
        <f t="shared" si="35"/>
        <v>1011</v>
      </c>
      <c r="AV83" s="29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0.08</v>
      </c>
      <c r="AW83" s="29" cm="1">
        <f t="array" ref="AW83">$G$11+VLOOKUP($R83,武学奇术!$A:$ZZ,10,FALSE)+SUM(_xlfn.XLOOKUP(S83:AG83,增益!$A:$A,增益!$J:$J,0))</f>
        <v>0.15</v>
      </c>
      <c r="AX83">
        <f t="shared" si="36"/>
        <v>0</v>
      </c>
      <c r="AY83">
        <f t="shared" si="37"/>
        <v>0</v>
      </c>
      <c r="AZ83" s="29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-0.14</v>
      </c>
      <c r="BA83" s="29" cm="1">
        <f t="array" ref="BA83">$G$12+VLOOKUP($R83,武学奇术!$A:$ZZ,12,FALSE)+SUM(_xlfn.XLOOKUP(S83:AG83,增益!$A:$A,增益!$L:$L,0))</f>
        <v>0</v>
      </c>
      <c r="BB83">
        <f t="shared" si="38"/>
        <v>0</v>
      </c>
      <c r="BC83">
        <f t="shared" si="39"/>
        <v>0</v>
      </c>
      <c r="BD83" s="29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-0.14</v>
      </c>
      <c r="BE83" s="29" cm="1">
        <f t="array" ref="BE83">$G$13+VLOOKUP($R83,武学奇术!$A:$ZZ,14,FALSE)+SUM(_xlfn.XLOOKUP(S83:AG83,增益!$A:$A,增益!$N:$N,0))</f>
        <v>0</v>
      </c>
      <c r="BF83">
        <f t="shared" si="40"/>
        <v>0</v>
      </c>
      <c r="BG83">
        <f t="shared" si="41"/>
        <v>0</v>
      </c>
      <c r="BH83" s="29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-0.14</v>
      </c>
      <c r="BI83" s="29" cm="1">
        <f t="array" ref="BI83">$G$14+VLOOKUP($R83,武学奇术!$A:$ZZ,16,FALSE)+SUM(_xlfn.XLOOKUP(S83:AG83,增益!$A:$A,增益!$P:$P,0))</f>
        <v>0</v>
      </c>
      <c r="BJ83" s="20">
        <f>MIN(IF(VLOOKUP($R83,武学奇术!$A:$ZZ,23,FALSE)=1,100%,$B$8),100%)</f>
        <v>0.8271</v>
      </c>
      <c r="BK83" s="20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0.2249</v>
      </c>
      <c r="BL83" s="20" cm="1">
        <f t="array" ref="BL83">1+$B$13+VLOOKUP($R83,武学奇术!$A:$ZZ,18,FALSE)+SUM(_xlfn.XLOOKUP(S83:AG83,增益!$A:$A,增益!$R:$R,0))</f>
        <v>1.5</v>
      </c>
      <c r="BM83" s="20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0.4459</v>
      </c>
      <c r="BN83" s="20" cm="1">
        <f t="array" ref="BN83">1+$B$14+VLOOKUP($R83,武学奇术!$A:$ZZ,20,FALSE)+SUM(_xlfn.XLOOKUP(S83:AG83,增益!$A:$A,增益!$T:$T,0))</f>
        <v>1.602</v>
      </c>
      <c r="BO83" s="20">
        <f t="shared" si="22"/>
        <v>0.18601479</v>
      </c>
      <c r="BP83" s="20">
        <f t="shared" si="32"/>
        <v>0.27228132</v>
      </c>
      <c r="BQ83" s="20">
        <f>IF(VLOOKUP($R83,武学奇术!$A:$ZZ,22,FALSE)=1,0,(1-$BJ83))*(1-$BM83)</f>
        <v>0.09580389</v>
      </c>
      <c r="BR83" s="20" cm="1">
        <f t="array" ref="BR83">SUM(_xlfn.XLOOKUP(S83:AG83,增益!$A:$A,增益!$W:$W,0))+$I$5</f>
        <v>0.11</v>
      </c>
    </row>
    <row r="84" spans="1:70">
      <c r="A84" s="4"/>
      <c r="B84" s="4"/>
      <c r="K84" s="27">
        <f>$L84*VLOOKUP($R84,武学奇术!$A:$ZZ,31,FALSE)</f>
        <v>73403.7618963153</v>
      </c>
      <c r="L84" s="27">
        <f t="shared" si="33"/>
        <v>122339.603160526</v>
      </c>
      <c r="M84" s="27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100411.424933579</v>
      </c>
      <c r="N84" s="27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185160.368628486</v>
      </c>
      <c r="O84" s="27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66940.9499557191</v>
      </c>
      <c r="P84" s="27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29975.9691434889</v>
      </c>
      <c r="Q84" s="35">
        <v>1</v>
      </c>
      <c r="R84" s="36" t="s">
        <v>105</v>
      </c>
      <c r="S84" s="36" t="s">
        <v>71</v>
      </c>
      <c r="T84" s="36" t="s">
        <v>99</v>
      </c>
      <c r="U84" s="36" t="s">
        <v>100</v>
      </c>
      <c r="V84" s="36" t="s">
        <v>101</v>
      </c>
      <c r="W84" s="36" t="s">
        <v>111</v>
      </c>
      <c r="X84" s="36" t="s">
        <v>71</v>
      </c>
      <c r="Y84" s="36" t="s">
        <v>71</v>
      </c>
      <c r="Z84" s="36" t="s">
        <v>82</v>
      </c>
      <c r="AA84" s="36" t="s">
        <v>71</v>
      </c>
      <c r="AB84" s="36" t="s">
        <v>71</v>
      </c>
      <c r="AC84" s="36" t="s">
        <v>71</v>
      </c>
      <c r="AD84" s="36" t="s">
        <v>72</v>
      </c>
      <c r="AE84" s="36" t="s">
        <v>94</v>
      </c>
      <c r="AF84" s="36" t="s">
        <v>154</v>
      </c>
      <c r="AG84" s="36" t="s">
        <v>120</v>
      </c>
      <c r="AH84" t="str">
        <f>VLOOKUP($R84,武学奇术!$A:$ZZ,25,FALSE)</f>
        <v>剑</v>
      </c>
      <c r="AI84" s="20">
        <f>VLOOKUP($R84,武学奇术!$A:$ZZ,26,FALSE)</f>
        <v>2.496</v>
      </c>
      <c r="AJ84" s="21">
        <f>VLOOKUP($R84,武学奇术!$A:$ZZ,27,FALSE)*(1+IF(OR($AH84=$F$4,$AH84=$F$5),$B$22,0))</f>
        <v>0</v>
      </c>
      <c r="AK84" s="20">
        <f>VLOOKUP($R84,武学奇术!$A:$ZZ,28,FALSE)</f>
        <v>3.744</v>
      </c>
      <c r="AL84" s="21">
        <f>VLOOKUP($R84,武学奇术!$A:$ZZ,29,FALSE)*(1+IF(OR($AH84=$F$4,$AH84=$F$5),$B$22,0))</f>
        <v>0</v>
      </c>
      <c r="AM84" s="20" cm="1">
        <f t="array" ref="AM84">$G$3+IFERROR(VLOOKUP($AH84,$F$4:$G$7,2,FALSE),0)+VLOOKUP($R84,武学奇术!$A:$ZZ,2,FALSE)+SUM(_xlfn.XLOOKUP($S84:$AG84,增益!$A:$A,增益!$B:$B,0))</f>
        <v>1.4691</v>
      </c>
      <c r="AN84" s="20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1585.72</v>
      </c>
      <c r="AP84" cm="1">
        <f t="array" ref="AP84">$E$10*(1+$AN84)+VLOOKUP($R84,武学奇术!$A:$ZZ,4,FALSE)+SUM(_xlfn.XLOOKUP($S84:$AG84,增益!$A:$A,增益!$D:$D,0))-$I$2</f>
        <v>6696.76</v>
      </c>
      <c r="AQ84" s="29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0.4175</v>
      </c>
      <c r="AR84" s="29" cm="1">
        <f t="array" ref="AR84">$G$10+VLOOKUP($R84,武学奇术!$A:$ZZ,7,FALSE)+SUM(_xlfn.XLOOKUP(S84:AG84,增益!$A:$A,增益!$G:$G,0))</f>
        <v>0</v>
      </c>
      <c r="AS84" s="20" cm="1">
        <f t="array" ref="AS84">VLOOKUP($R84,武学奇术!$A:$ZZ,8,FALSE)+SUM(_xlfn.XLOOKUP(S84:AG84,增益!$A:$A,增益!$H:$H,0))</f>
        <v>0</v>
      </c>
      <c r="AT84">
        <f t="shared" si="34"/>
        <v>538</v>
      </c>
      <c r="AU84">
        <f t="shared" si="35"/>
        <v>1011</v>
      </c>
      <c r="AV84" s="29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0.155</v>
      </c>
      <c r="AW84" s="29" cm="1">
        <f t="array" ref="AW84">$G$11+VLOOKUP($R84,武学奇术!$A:$ZZ,10,FALSE)+SUM(_xlfn.XLOOKUP(S84:AG84,增益!$A:$A,增益!$J:$J,0))</f>
        <v>0.15</v>
      </c>
      <c r="AX84">
        <f t="shared" si="36"/>
        <v>0</v>
      </c>
      <c r="AY84">
        <f t="shared" si="37"/>
        <v>0</v>
      </c>
      <c r="AZ84" s="29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-0.14</v>
      </c>
      <c r="BA84" s="29" cm="1">
        <f t="array" ref="BA84">$G$12+VLOOKUP($R84,武学奇术!$A:$ZZ,12,FALSE)+SUM(_xlfn.XLOOKUP(S84:AG84,增益!$A:$A,增益!$L:$L,0))</f>
        <v>0</v>
      </c>
      <c r="BB84">
        <f t="shared" si="38"/>
        <v>0</v>
      </c>
      <c r="BC84">
        <f t="shared" si="39"/>
        <v>0</v>
      </c>
      <c r="BD84" s="29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-0.14</v>
      </c>
      <c r="BE84" s="29" cm="1">
        <f t="array" ref="BE84">$G$13+VLOOKUP($R84,武学奇术!$A:$ZZ,14,FALSE)+SUM(_xlfn.XLOOKUP(S84:AG84,增益!$A:$A,增益!$N:$N,0))</f>
        <v>0</v>
      </c>
      <c r="BF84">
        <f t="shared" si="40"/>
        <v>0</v>
      </c>
      <c r="BG84">
        <f t="shared" si="41"/>
        <v>0</v>
      </c>
      <c r="BH84" s="29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-0.14</v>
      </c>
      <c r="BI84" s="29" cm="1">
        <f t="array" ref="BI84">$G$14+VLOOKUP($R84,武学奇术!$A:$ZZ,16,FALSE)+SUM(_xlfn.XLOOKUP(S84:AG84,增益!$A:$A,增益!$P:$P,0))</f>
        <v>0</v>
      </c>
      <c r="BJ84" s="20">
        <f>MIN(IF(VLOOKUP($R84,武学奇术!$A:$ZZ,23,FALSE)=1,100%,$B$8),100%)</f>
        <v>0.8271</v>
      </c>
      <c r="BK84" s="20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0.2249</v>
      </c>
      <c r="BL84" s="20" cm="1">
        <f t="array" ref="BL84">1+$B$13+VLOOKUP($R84,武学奇术!$A:$ZZ,18,FALSE)+SUM(_xlfn.XLOOKUP(S84:AG84,增益!$A:$A,增益!$R:$R,0))</f>
        <v>1.5</v>
      </c>
      <c r="BM84" s="20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0.4459</v>
      </c>
      <c r="BN84" s="20" cm="1">
        <f t="array" ref="BN84">1+$B$14+VLOOKUP($R84,武学奇术!$A:$ZZ,20,FALSE)+SUM(_xlfn.XLOOKUP(S84:AG84,增益!$A:$A,增益!$T:$T,0))</f>
        <v>1.782</v>
      </c>
      <c r="BO84" s="20">
        <f t="shared" si="22"/>
        <v>0.18601479</v>
      </c>
      <c r="BP84" s="20">
        <f t="shared" si="32"/>
        <v>0.27228132</v>
      </c>
      <c r="BQ84" s="20">
        <f>IF(VLOOKUP($R84,武学奇术!$A:$ZZ,22,FALSE)=1,0,(1-$BJ84))*(1-$BM84)</f>
        <v>0.09580389</v>
      </c>
      <c r="BR84" s="20" cm="1">
        <f t="array" ref="BR84">SUM(_xlfn.XLOOKUP(S84:AG84,增益!$A:$A,增益!$W:$W,0))+$I$5</f>
        <v>0.11</v>
      </c>
    </row>
    <row r="85" spans="1:70">
      <c r="A85" s="4"/>
      <c r="B85" s="4"/>
      <c r="K85" s="27">
        <f>$L85*VLOOKUP($R85,武学奇术!$A:$ZZ,31,FALSE)</f>
        <v>29606.1128617776</v>
      </c>
      <c r="L85" s="27">
        <f t="shared" si="33"/>
        <v>29606.1128617776</v>
      </c>
      <c r="M85" s="27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26688.3035739911</v>
      </c>
      <c r="N85" s="27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42445.4767975877</v>
      </c>
      <c r="O85" s="27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17792.2023826607</v>
      </c>
      <c r="P85" s="27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9089.100896665</v>
      </c>
      <c r="Q85" s="35">
        <v>1</v>
      </c>
      <c r="R85" s="36" t="s">
        <v>92</v>
      </c>
      <c r="S85" s="36" t="s">
        <v>71</v>
      </c>
      <c r="T85" s="36" t="s">
        <v>93</v>
      </c>
      <c r="U85" s="36" t="s">
        <v>71</v>
      </c>
      <c r="V85" s="36" t="s">
        <v>71</v>
      </c>
      <c r="W85" s="36" t="s">
        <v>111</v>
      </c>
      <c r="X85" s="36" t="s">
        <v>71</v>
      </c>
      <c r="Y85" s="36" t="s">
        <v>71</v>
      </c>
      <c r="Z85" s="36" t="s">
        <v>82</v>
      </c>
      <c r="AA85" s="36" t="s">
        <v>71</v>
      </c>
      <c r="AB85" s="36" t="s">
        <v>71</v>
      </c>
      <c r="AC85" s="36" t="s">
        <v>71</v>
      </c>
      <c r="AD85" s="36" t="s">
        <v>72</v>
      </c>
      <c r="AE85" s="36" t="s">
        <v>94</v>
      </c>
      <c r="AF85" s="36" t="s">
        <v>154</v>
      </c>
      <c r="AG85" s="36" t="s">
        <v>120</v>
      </c>
      <c r="AH85" t="str">
        <f>VLOOKUP($R85,武学奇术!$A:$ZZ,25,FALSE)</f>
        <v>剑</v>
      </c>
      <c r="AI85" s="20">
        <f>VLOOKUP($R85,武学奇术!$A:$ZZ,26,FALSE)</f>
        <v>1.1781</v>
      </c>
      <c r="AJ85" s="21">
        <f>VLOOKUP($R85,武学奇术!$A:$ZZ,27,FALSE)*(1+IF(OR($AH85=$F$4,$AH85=$F$5),$B$22,0))</f>
        <v>456.4</v>
      </c>
      <c r="AK85" s="20">
        <f>VLOOKUP($R85,武学奇术!$A:$ZZ,28,FALSE)</f>
        <v>1.7672</v>
      </c>
      <c r="AL85" s="21">
        <f>VLOOKUP($R85,武学奇术!$A:$ZZ,29,FALSE)*(1+IF(OR($AH85=$F$4,$AH85=$F$5),$B$22,0))</f>
        <v>247.8</v>
      </c>
      <c r="AM85" s="20" cm="1">
        <f t="array" ref="AM85">$G$3+IFERROR(VLOOKUP($AH85,$F$4:$G$7,2,FALSE),0)+VLOOKUP($R85,武学奇术!$A:$ZZ,2,FALSE)+SUM(_xlfn.XLOOKUP($S85:$AG85,增益!$A:$A,增益!$B:$B,0))</f>
        <v>0.7191</v>
      </c>
      <c r="AN85" s="20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1585.72</v>
      </c>
      <c r="AP85" cm="1">
        <f t="array" ref="AP85">$E$10*(1+$AN85)+VLOOKUP($R85,武学奇术!$A:$ZZ,4,FALSE)+SUM(_xlfn.XLOOKUP($S85:$AG85,增益!$A:$A,增益!$D:$D,0))-$I$2</f>
        <v>6696.76</v>
      </c>
      <c r="AQ85" s="29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0.3425</v>
      </c>
      <c r="AR85" s="29" cm="1">
        <f t="array" ref="AR85">$G$10+VLOOKUP($R85,武学奇术!$A:$ZZ,7,FALSE)+SUM(_xlfn.XLOOKUP(S85:AG85,增益!$A:$A,增益!$G:$G,0))</f>
        <v>0</v>
      </c>
      <c r="AS85" s="20" cm="1">
        <f t="array" ref="AS85">VLOOKUP($R85,武学奇术!$A:$ZZ,8,FALSE)+SUM(_xlfn.XLOOKUP(S85:AG85,增益!$A:$A,增益!$H:$H,0))</f>
        <v>0</v>
      </c>
      <c r="AT85">
        <f t="shared" si="34"/>
        <v>538</v>
      </c>
      <c r="AU85">
        <f t="shared" si="35"/>
        <v>1011</v>
      </c>
      <c r="AV85" s="29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0.08</v>
      </c>
      <c r="AW85" s="29" cm="1">
        <f t="array" ref="AW85">$G$11+VLOOKUP($R85,武学奇术!$A:$ZZ,10,FALSE)+SUM(_xlfn.XLOOKUP(S85:AG85,增益!$A:$A,增益!$J:$J,0))</f>
        <v>0.15</v>
      </c>
      <c r="AX85">
        <f t="shared" si="36"/>
        <v>0</v>
      </c>
      <c r="AY85">
        <f t="shared" si="37"/>
        <v>0</v>
      </c>
      <c r="AZ85" s="29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-0.14</v>
      </c>
      <c r="BA85" s="29" cm="1">
        <f t="array" ref="BA85">$G$12+VLOOKUP($R85,武学奇术!$A:$ZZ,12,FALSE)+SUM(_xlfn.XLOOKUP(S85:AG85,增益!$A:$A,增益!$L:$L,0))</f>
        <v>0</v>
      </c>
      <c r="BB85">
        <f t="shared" si="38"/>
        <v>0</v>
      </c>
      <c r="BC85">
        <f t="shared" si="39"/>
        <v>0</v>
      </c>
      <c r="BD85" s="29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-0.14</v>
      </c>
      <c r="BE85" s="29" cm="1">
        <f t="array" ref="BE85">$G$13+VLOOKUP($R85,武学奇术!$A:$ZZ,14,FALSE)+SUM(_xlfn.XLOOKUP(S85:AG85,增益!$A:$A,增益!$N:$N,0))</f>
        <v>0</v>
      </c>
      <c r="BF85">
        <f t="shared" si="40"/>
        <v>0</v>
      </c>
      <c r="BG85">
        <f t="shared" si="41"/>
        <v>0</v>
      </c>
      <c r="BH85" s="29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-0.14</v>
      </c>
      <c r="BI85" s="29" cm="1">
        <f t="array" ref="BI85">$G$14+VLOOKUP($R85,武学奇术!$A:$ZZ,16,FALSE)+SUM(_xlfn.XLOOKUP(S85:AG85,增益!$A:$A,增益!$P:$P,0))</f>
        <v>0</v>
      </c>
      <c r="BJ85" s="20">
        <f>MIN(IF(VLOOKUP($R85,武学奇术!$A:$ZZ,23,FALSE)=1,100%,$B$8),100%)</f>
        <v>0.8271</v>
      </c>
      <c r="BK85" s="20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0.2249</v>
      </c>
      <c r="BL85" s="20" cm="1">
        <f t="array" ref="BL85">1+$B$13+VLOOKUP($R85,武学奇术!$A:$ZZ,18,FALSE)+SUM(_xlfn.XLOOKUP(S85:AG85,增益!$A:$A,增益!$R:$R,0))</f>
        <v>1.5</v>
      </c>
      <c r="BM85" s="20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0.4459</v>
      </c>
      <c r="BN85" s="20" cm="1">
        <f t="array" ref="BN85">1+$B$14+VLOOKUP($R85,武学奇术!$A:$ZZ,20,FALSE)+SUM(_xlfn.XLOOKUP(S85:AG85,增益!$A:$A,增益!$T:$T,0))</f>
        <v>1.602</v>
      </c>
      <c r="BO85" s="20">
        <f t="shared" si="22"/>
        <v>0.18601479</v>
      </c>
      <c r="BP85" s="20">
        <f t="shared" si="32"/>
        <v>0.27228132</v>
      </c>
      <c r="BQ85" s="20">
        <f>IF(VLOOKUP($R85,武学奇术!$A:$ZZ,22,FALSE)=1,0,(1-$BJ85))*(1-$BM85)</f>
        <v>0.09580389</v>
      </c>
      <c r="BR85" s="20" cm="1">
        <f t="array" ref="BR85">SUM(_xlfn.XLOOKUP(S85:AG85,增益!$A:$A,增益!$W:$W,0))+$I$5</f>
        <v>0.11</v>
      </c>
    </row>
    <row r="86" spans="1:70">
      <c r="A86" s="4"/>
      <c r="B86" s="4"/>
      <c r="K86" s="27">
        <f>$L86*VLOOKUP($R86,武学奇术!$A:$ZZ,31,FALSE)</f>
        <v>73403.7618963153</v>
      </c>
      <c r="L86" s="27">
        <f t="shared" si="33"/>
        <v>122339.603160526</v>
      </c>
      <c r="M86" s="27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100411.424933579</v>
      </c>
      <c r="N86" s="27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185160.368628486</v>
      </c>
      <c r="O86" s="27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66940.9499557191</v>
      </c>
      <c r="P86" s="27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29975.9691434889</v>
      </c>
      <c r="Q86" s="35">
        <v>1</v>
      </c>
      <c r="R86" s="36" t="s">
        <v>105</v>
      </c>
      <c r="S86" s="36" t="s">
        <v>71</v>
      </c>
      <c r="T86" s="36" t="s">
        <v>99</v>
      </c>
      <c r="U86" s="36" t="s">
        <v>100</v>
      </c>
      <c r="V86" s="36" t="s">
        <v>101</v>
      </c>
      <c r="W86" s="36" t="s">
        <v>111</v>
      </c>
      <c r="X86" s="36" t="s">
        <v>71</v>
      </c>
      <c r="Y86" s="36" t="s">
        <v>71</v>
      </c>
      <c r="Z86" s="36" t="s">
        <v>82</v>
      </c>
      <c r="AA86" s="36" t="s">
        <v>71</v>
      </c>
      <c r="AB86" s="36" t="s">
        <v>71</v>
      </c>
      <c r="AC86" s="36" t="s">
        <v>71</v>
      </c>
      <c r="AD86" s="36" t="s">
        <v>72</v>
      </c>
      <c r="AE86" s="36" t="s">
        <v>94</v>
      </c>
      <c r="AF86" s="36" t="s">
        <v>154</v>
      </c>
      <c r="AG86" s="36" t="s">
        <v>120</v>
      </c>
      <c r="AH86" t="str">
        <f>VLOOKUP($R86,武学奇术!$A:$ZZ,25,FALSE)</f>
        <v>剑</v>
      </c>
      <c r="AI86" s="20">
        <f>VLOOKUP($R86,武学奇术!$A:$ZZ,26,FALSE)</f>
        <v>2.496</v>
      </c>
      <c r="AJ86" s="21">
        <f>VLOOKUP($R86,武学奇术!$A:$ZZ,27,FALSE)*(1+IF(OR($AH86=$F$4,$AH86=$F$5),$B$22,0))</f>
        <v>0</v>
      </c>
      <c r="AK86" s="20">
        <f>VLOOKUP($R86,武学奇术!$A:$ZZ,28,FALSE)</f>
        <v>3.744</v>
      </c>
      <c r="AL86" s="21">
        <f>VLOOKUP($R86,武学奇术!$A:$ZZ,29,FALSE)*(1+IF(OR($AH86=$F$4,$AH86=$F$5),$B$22,0))</f>
        <v>0</v>
      </c>
      <c r="AM86" s="20" cm="1">
        <f t="array" ref="AM86">$G$3+IFERROR(VLOOKUP($AH86,$F$4:$G$7,2,FALSE),0)+VLOOKUP($R86,武学奇术!$A:$ZZ,2,FALSE)+SUM(_xlfn.XLOOKUP($S86:$AG86,增益!$A:$A,增益!$B:$B,0))</f>
        <v>1.4691</v>
      </c>
      <c r="AN86" s="20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1585.72</v>
      </c>
      <c r="AP86" cm="1">
        <f t="array" ref="AP86">$E$10*(1+$AN86)+VLOOKUP($R86,武学奇术!$A:$ZZ,4,FALSE)+SUM(_xlfn.XLOOKUP($S86:$AG86,增益!$A:$A,增益!$D:$D,0))-$I$2</f>
        <v>6696.76</v>
      </c>
      <c r="AQ86" s="29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0.4175</v>
      </c>
      <c r="AR86" s="29" cm="1">
        <f t="array" ref="AR86">$G$10+VLOOKUP($R86,武学奇术!$A:$ZZ,7,FALSE)+SUM(_xlfn.XLOOKUP(S86:AG86,增益!$A:$A,增益!$G:$G,0))</f>
        <v>0</v>
      </c>
      <c r="AS86" s="20" cm="1">
        <f t="array" ref="AS86">VLOOKUP($R86,武学奇术!$A:$ZZ,8,FALSE)+SUM(_xlfn.XLOOKUP(S86:AG86,增益!$A:$A,增益!$H:$H,0))</f>
        <v>0</v>
      </c>
      <c r="AT86">
        <f t="shared" si="34"/>
        <v>538</v>
      </c>
      <c r="AU86">
        <f t="shared" si="35"/>
        <v>1011</v>
      </c>
      <c r="AV86" s="29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0.155</v>
      </c>
      <c r="AW86" s="29" cm="1">
        <f t="array" ref="AW86">$G$11+VLOOKUP($R86,武学奇术!$A:$ZZ,10,FALSE)+SUM(_xlfn.XLOOKUP(S86:AG86,增益!$A:$A,增益!$J:$J,0))</f>
        <v>0.15</v>
      </c>
      <c r="AX86">
        <f t="shared" si="36"/>
        <v>0</v>
      </c>
      <c r="AY86">
        <f t="shared" si="37"/>
        <v>0</v>
      </c>
      <c r="AZ86" s="29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-0.14</v>
      </c>
      <c r="BA86" s="29" cm="1">
        <f t="array" ref="BA86">$G$12+VLOOKUP($R86,武学奇术!$A:$ZZ,12,FALSE)+SUM(_xlfn.XLOOKUP(S86:AG86,增益!$A:$A,增益!$L:$L,0))</f>
        <v>0</v>
      </c>
      <c r="BB86">
        <f t="shared" si="38"/>
        <v>0</v>
      </c>
      <c r="BC86">
        <f t="shared" si="39"/>
        <v>0</v>
      </c>
      <c r="BD86" s="29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-0.14</v>
      </c>
      <c r="BE86" s="29" cm="1">
        <f t="array" ref="BE86">$G$13+VLOOKUP($R86,武学奇术!$A:$ZZ,14,FALSE)+SUM(_xlfn.XLOOKUP(S86:AG86,增益!$A:$A,增益!$N:$N,0))</f>
        <v>0</v>
      </c>
      <c r="BF86">
        <f t="shared" si="40"/>
        <v>0</v>
      </c>
      <c r="BG86">
        <f t="shared" si="41"/>
        <v>0</v>
      </c>
      <c r="BH86" s="29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-0.14</v>
      </c>
      <c r="BI86" s="29" cm="1">
        <f t="array" ref="BI86">$G$14+VLOOKUP($R86,武学奇术!$A:$ZZ,16,FALSE)+SUM(_xlfn.XLOOKUP(S86:AG86,增益!$A:$A,增益!$P:$P,0))</f>
        <v>0</v>
      </c>
      <c r="BJ86" s="20">
        <f>MIN(IF(VLOOKUP($R86,武学奇术!$A:$ZZ,23,FALSE)=1,100%,$B$8),100%)</f>
        <v>0.8271</v>
      </c>
      <c r="BK86" s="20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0.2249</v>
      </c>
      <c r="BL86" s="20" cm="1">
        <f t="array" ref="BL86">1+$B$13+VLOOKUP($R86,武学奇术!$A:$ZZ,18,FALSE)+SUM(_xlfn.XLOOKUP(S86:AG86,增益!$A:$A,增益!$R:$R,0))</f>
        <v>1.5</v>
      </c>
      <c r="BM86" s="20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0.4459</v>
      </c>
      <c r="BN86" s="20" cm="1">
        <f t="array" ref="BN86">1+$B$14+VLOOKUP($R86,武学奇术!$A:$ZZ,20,FALSE)+SUM(_xlfn.XLOOKUP(S86:AG86,增益!$A:$A,增益!$T:$T,0))</f>
        <v>1.782</v>
      </c>
      <c r="BO86" s="20">
        <f t="shared" si="22"/>
        <v>0.18601479</v>
      </c>
      <c r="BP86" s="20">
        <f t="shared" si="32"/>
        <v>0.27228132</v>
      </c>
      <c r="BQ86" s="20">
        <f>IF(VLOOKUP($R86,武学奇术!$A:$ZZ,22,FALSE)=1,0,(1-$BJ86))*(1-$BM86)</f>
        <v>0.09580389</v>
      </c>
      <c r="BR86" s="20" cm="1">
        <f t="array" ref="BR86">SUM(_xlfn.XLOOKUP(S86:AG86,增益!$A:$A,增益!$W:$W,0))+$I$5</f>
        <v>0.11</v>
      </c>
    </row>
    <row r="87" spans="1:70">
      <c r="K87" s="27">
        <f>$L87*VLOOKUP($R87,武学奇术!$A:$ZZ,31,FALSE)</f>
        <v>73403.7618963153</v>
      </c>
      <c r="L87" s="27">
        <f t="shared" ref="L87:L101" si="42">($M87*$BO87+$N87*$BM87+$O87*$BP87+$P87*$BQ87)</f>
        <v>122339.603160526</v>
      </c>
      <c r="M87" s="27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100411.424933579</v>
      </c>
      <c r="N87" s="27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185160.368628486</v>
      </c>
      <c r="O87" s="27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66940.9499557191</v>
      </c>
      <c r="P87" s="27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29975.9691434889</v>
      </c>
      <c r="Q87" s="35">
        <v>1</v>
      </c>
      <c r="R87" s="36" t="s">
        <v>105</v>
      </c>
      <c r="S87" s="36" t="s">
        <v>71</v>
      </c>
      <c r="T87" s="36" t="s">
        <v>99</v>
      </c>
      <c r="U87" s="36" t="s">
        <v>100</v>
      </c>
      <c r="V87" s="36" t="s">
        <v>101</v>
      </c>
      <c r="W87" s="36" t="s">
        <v>111</v>
      </c>
      <c r="X87" s="36" t="s">
        <v>71</v>
      </c>
      <c r="Y87" s="36" t="s">
        <v>71</v>
      </c>
      <c r="Z87" s="36" t="s">
        <v>82</v>
      </c>
      <c r="AA87" s="36" t="s">
        <v>71</v>
      </c>
      <c r="AB87" s="36" t="s">
        <v>71</v>
      </c>
      <c r="AC87" s="36" t="s">
        <v>71</v>
      </c>
      <c r="AD87" s="36" t="s">
        <v>72</v>
      </c>
      <c r="AE87" s="36" t="s">
        <v>94</v>
      </c>
      <c r="AF87" s="36" t="s">
        <v>154</v>
      </c>
      <c r="AG87" s="36" t="s">
        <v>120</v>
      </c>
      <c r="AH87" t="str">
        <f>VLOOKUP($R87,武学奇术!$A:$ZZ,25,FALSE)</f>
        <v>剑</v>
      </c>
      <c r="AI87" s="20">
        <f>VLOOKUP($R87,武学奇术!$A:$ZZ,26,FALSE)</f>
        <v>2.496</v>
      </c>
      <c r="AJ87" s="21">
        <f>VLOOKUP($R87,武学奇术!$A:$ZZ,27,FALSE)*(1+IF(OR($AH87=$F$4,$AH87=$F$5),$B$22,0))</f>
        <v>0</v>
      </c>
      <c r="AK87" s="20">
        <f>VLOOKUP($R87,武学奇术!$A:$ZZ,28,FALSE)</f>
        <v>3.744</v>
      </c>
      <c r="AL87" s="21">
        <f>VLOOKUP($R87,武学奇术!$A:$ZZ,29,FALSE)*(1+IF(OR($AH87=$F$4,$AH87=$F$5),$B$22,0))</f>
        <v>0</v>
      </c>
      <c r="AM87" s="20" cm="1">
        <f t="array" ref="AM87">$G$3+IFERROR(VLOOKUP($AH87,$F$4:$G$7,2,FALSE),0)+VLOOKUP($R87,武学奇术!$A:$ZZ,2,FALSE)+SUM(_xlfn.XLOOKUP($S87:$AG87,增益!$A:$A,增益!$B:$B,0))</f>
        <v>1.4691</v>
      </c>
      <c r="AN87" s="20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1585.72</v>
      </c>
      <c r="AP87" cm="1">
        <f t="array" ref="AP87">$E$10*(1+$AN87)+VLOOKUP($R87,武学奇术!$A:$ZZ,4,FALSE)+SUM(_xlfn.XLOOKUP($S87:$AG87,增益!$A:$A,增益!$D:$D,0))-$I$2</f>
        <v>6696.76</v>
      </c>
      <c r="AQ87" s="29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0.4175</v>
      </c>
      <c r="AR87" s="29" cm="1">
        <f t="array" ref="AR87">$G$10+VLOOKUP($R87,武学奇术!$A:$ZZ,7,FALSE)+SUM(_xlfn.XLOOKUP(S87:AG87,增益!$A:$A,增益!$G:$G,0))</f>
        <v>0</v>
      </c>
      <c r="AS87" s="20" cm="1">
        <f t="array" ref="AS87">VLOOKUP($R87,武学奇术!$A:$ZZ,8,FALSE)+SUM(_xlfn.XLOOKUP(S87:AG87,增益!$A:$A,增益!$H:$H,0))</f>
        <v>0</v>
      </c>
      <c r="AT87">
        <f t="shared" ref="AT87:AT101" si="43">$D$11*(1+$AS87)</f>
        <v>538</v>
      </c>
      <c r="AU87">
        <f t="shared" ref="AU87:AU101" si="44">$E$11*(1+$AS87)</f>
        <v>1011</v>
      </c>
      <c r="AV87" s="29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0.155</v>
      </c>
      <c r="AW87" s="29" cm="1">
        <f t="array" ref="AW87">$G$11+VLOOKUP($R87,武学奇术!$A:$ZZ,10,FALSE)+SUM(_xlfn.XLOOKUP(S87:AG87,增益!$A:$A,增益!$J:$J,0))</f>
        <v>0.15</v>
      </c>
      <c r="AX87">
        <f t="shared" ref="AX87:AX101" si="45">$D$12*(1+$AS87)</f>
        <v>0</v>
      </c>
      <c r="AY87">
        <f t="shared" ref="AY87:AY101" si="46">$E$12*(1+$AS87)</f>
        <v>0</v>
      </c>
      <c r="AZ87" s="29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-0.14</v>
      </c>
      <c r="BA87" s="29" cm="1">
        <f t="array" ref="BA87">$G$12+VLOOKUP($R87,武学奇术!$A:$ZZ,12,FALSE)+SUM(_xlfn.XLOOKUP(S87:AG87,增益!$A:$A,增益!$L:$L,0))</f>
        <v>0</v>
      </c>
      <c r="BB87">
        <f t="shared" ref="BB87:BB101" si="47">$D$13*(1+$AS87)</f>
        <v>0</v>
      </c>
      <c r="BC87">
        <f t="shared" ref="BC87:BC101" si="48">$E$13*(1+$AS87)</f>
        <v>0</v>
      </c>
      <c r="BD87" s="29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-0.14</v>
      </c>
      <c r="BE87" s="29" cm="1">
        <f t="array" ref="BE87">$G$13+VLOOKUP($R87,武学奇术!$A:$ZZ,14,FALSE)+SUM(_xlfn.XLOOKUP(S87:AG87,增益!$A:$A,增益!$N:$N,0))</f>
        <v>0</v>
      </c>
      <c r="BF87">
        <f t="shared" ref="BF87:BF101" si="49">$D$14*(1+$AS87)</f>
        <v>0</v>
      </c>
      <c r="BG87">
        <f t="shared" ref="BG87:BG101" si="50">$E$14*(1+$AS87)</f>
        <v>0</v>
      </c>
      <c r="BH87" s="29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-0.14</v>
      </c>
      <c r="BI87" s="29" cm="1">
        <f t="array" ref="BI87">$G$14+VLOOKUP($R87,武学奇术!$A:$ZZ,16,FALSE)+SUM(_xlfn.XLOOKUP(S87:AG87,增益!$A:$A,增益!$P:$P,0))</f>
        <v>0</v>
      </c>
      <c r="BJ87" s="20">
        <f>MIN(IF(VLOOKUP($R87,武学奇术!$A:$ZZ,23,FALSE)=1,100%,$B$8),100%)</f>
        <v>0.8271</v>
      </c>
      <c r="BK87" s="20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0.2249</v>
      </c>
      <c r="BL87" s="20" cm="1">
        <f t="array" ref="BL87">1+$B$13+VLOOKUP($R87,武学奇术!$A:$ZZ,18,FALSE)+SUM(_xlfn.XLOOKUP(S87:AG87,增益!$A:$A,增益!$R:$R,0))</f>
        <v>1.5</v>
      </c>
      <c r="BM87" s="20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0.4459</v>
      </c>
      <c r="BN87" s="20" cm="1">
        <f t="array" ref="BN87">1+$B$14+VLOOKUP($R87,武学奇术!$A:$ZZ,20,FALSE)+SUM(_xlfn.XLOOKUP(S87:AG87,增益!$A:$A,增益!$T:$T,0))</f>
        <v>1.782</v>
      </c>
      <c r="BO87" s="20">
        <f t="shared" si="22"/>
        <v>0.18601479</v>
      </c>
      <c r="BP87" s="20">
        <f t="shared" si="32"/>
        <v>0.27228132</v>
      </c>
      <c r="BQ87" s="20">
        <f>IF(VLOOKUP($R87,武学奇术!$A:$ZZ,22,FALSE)=1,0,(1-$BJ87))*(1-$BM87)</f>
        <v>0.09580389</v>
      </c>
      <c r="BR87" s="20" cm="1">
        <f t="array" ref="BR87">SUM(_xlfn.XLOOKUP(S87:AG87,增益!$A:$A,增益!$W:$W,0))+$I$5</f>
        <v>0.11</v>
      </c>
    </row>
    <row r="88" spans="1:70">
      <c r="K88" s="27">
        <f>$L88*VLOOKUP($R88,武学奇术!$A:$ZZ,31,FALSE)</f>
        <v>175798.036576615</v>
      </c>
      <c r="L88" s="27">
        <f t="shared" si="42"/>
        <v>175798.036576615</v>
      </c>
      <c r="M88" s="27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155882.171258969</v>
      </c>
      <c r="N88" s="27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255359.503493323</v>
      </c>
      <c r="O88" s="27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103921.447505979</v>
      </c>
      <c r="P88" s="27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48442.4558775495</v>
      </c>
      <c r="Q88" s="35">
        <v>1</v>
      </c>
      <c r="R88" s="36" t="s">
        <v>156</v>
      </c>
      <c r="S88" s="36" t="s">
        <v>71</v>
      </c>
      <c r="T88" s="36" t="s">
        <v>93</v>
      </c>
      <c r="U88" s="36" t="s">
        <v>71</v>
      </c>
      <c r="V88" s="36" t="s">
        <v>71</v>
      </c>
      <c r="W88" s="36" t="s">
        <v>111</v>
      </c>
      <c r="X88" s="36" t="s">
        <v>71</v>
      </c>
      <c r="Y88" s="36" t="s">
        <v>71</v>
      </c>
      <c r="Z88" s="36" t="s">
        <v>82</v>
      </c>
      <c r="AA88" s="36" t="s">
        <v>71</v>
      </c>
      <c r="AB88" s="36" t="s">
        <v>71</v>
      </c>
      <c r="AC88" s="36" t="s">
        <v>71</v>
      </c>
      <c r="AD88" s="36" t="s">
        <v>72</v>
      </c>
      <c r="AE88" s="36" t="s">
        <v>94</v>
      </c>
      <c r="AF88" s="36" t="s">
        <v>154</v>
      </c>
      <c r="AG88" s="36" t="s">
        <v>120</v>
      </c>
      <c r="AH88" t="str">
        <f>VLOOKUP($R88,武学奇术!$A:$ZZ,25,FALSE)</f>
        <v>单体奇术</v>
      </c>
      <c r="AI88" s="20">
        <f>VLOOKUP($R88,武学奇术!$A:$ZZ,26,FALSE)</f>
        <v>7.1074</v>
      </c>
      <c r="AJ88" s="21">
        <f>VLOOKUP($R88,武学奇术!$A:$ZZ,27,FALSE)*(1+IF(OR($AH88=$F$4,$AH88=$F$5),$B$22,0))</f>
        <v>1320</v>
      </c>
      <c r="AK88" s="20">
        <f>VLOOKUP($R88,武学奇术!$A:$ZZ,28,FALSE)</f>
        <v>10.6596</v>
      </c>
      <c r="AL88" s="21">
        <f>VLOOKUP($R88,武学奇术!$A:$ZZ,29,FALSE)*(1+IF(OR($AH88=$F$4,$AH88=$F$5),$B$22,0))</f>
        <v>0</v>
      </c>
      <c r="AM88" s="20" cm="1">
        <f t="array" ref="AM88">$G$3+IFERROR(VLOOKUP($AH88,$F$4:$G$7,2,FALSE),0)+VLOOKUP($R88,武学奇术!$A:$ZZ,2,FALSE)+SUM(_xlfn.XLOOKUP($S88:$AG88,增益!$A:$A,增益!$B:$B,0))</f>
        <v>0.8165</v>
      </c>
      <c r="AN88" s="20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1585.72</v>
      </c>
      <c r="AP88" cm="1">
        <f t="array" ref="AP88">$E$10*(1+$AN88)+VLOOKUP($R88,武学奇术!$A:$ZZ,4,FALSE)+SUM(_xlfn.XLOOKUP($S88:$AG88,增益!$A:$A,增益!$D:$D,0))-$I$2</f>
        <v>6696.76</v>
      </c>
      <c r="AQ88" s="29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0.3425</v>
      </c>
      <c r="AR88" s="29" cm="1">
        <f t="array" ref="AR88">$G$10+VLOOKUP($R88,武学奇术!$A:$ZZ,7,FALSE)+SUM(_xlfn.XLOOKUP(S88:AG88,增益!$A:$A,增益!$G:$G,0))</f>
        <v>0</v>
      </c>
      <c r="AS88" s="20" cm="1">
        <f t="array" ref="AS88">VLOOKUP($R88,武学奇术!$A:$ZZ,8,FALSE)+SUM(_xlfn.XLOOKUP(S88:AG88,增益!$A:$A,增益!$H:$H,0))</f>
        <v>0</v>
      </c>
      <c r="AT88">
        <f t="shared" si="43"/>
        <v>538</v>
      </c>
      <c r="AU88">
        <f t="shared" si="44"/>
        <v>1011</v>
      </c>
      <c r="AV88" s="29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0.08</v>
      </c>
      <c r="AW88" s="29" cm="1">
        <f t="array" ref="AW88">$G$11+VLOOKUP($R88,武学奇术!$A:$ZZ,10,FALSE)+SUM(_xlfn.XLOOKUP(S88:AG88,增益!$A:$A,增益!$J:$J,0))</f>
        <v>0.15</v>
      </c>
      <c r="AX88">
        <f t="shared" si="45"/>
        <v>0</v>
      </c>
      <c r="AY88">
        <f t="shared" si="46"/>
        <v>0</v>
      </c>
      <c r="AZ88" s="29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-0.14</v>
      </c>
      <c r="BA88" s="29" cm="1">
        <f t="array" ref="BA88">$G$12+VLOOKUP($R88,武学奇术!$A:$ZZ,12,FALSE)+SUM(_xlfn.XLOOKUP(S88:AG88,增益!$A:$A,增益!$L:$L,0))</f>
        <v>0</v>
      </c>
      <c r="BB88">
        <f t="shared" si="47"/>
        <v>0</v>
      </c>
      <c r="BC88">
        <f t="shared" si="48"/>
        <v>0</v>
      </c>
      <c r="BD88" s="29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-0.14</v>
      </c>
      <c r="BE88" s="29" cm="1">
        <f t="array" ref="BE88">$G$13+VLOOKUP($R88,武学奇术!$A:$ZZ,14,FALSE)+SUM(_xlfn.XLOOKUP(S88:AG88,增益!$A:$A,增益!$N:$N,0))</f>
        <v>0</v>
      </c>
      <c r="BF88">
        <f t="shared" si="49"/>
        <v>0</v>
      </c>
      <c r="BG88">
        <f t="shared" si="50"/>
        <v>0</v>
      </c>
      <c r="BH88" s="29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-0.14</v>
      </c>
      <c r="BI88" s="29" cm="1">
        <f t="array" ref="BI88">$G$14+VLOOKUP($R88,武学奇术!$A:$ZZ,16,FALSE)+SUM(_xlfn.XLOOKUP(S88:AG88,增益!$A:$A,增益!$P:$P,0))</f>
        <v>0</v>
      </c>
      <c r="BJ88" s="20">
        <f>MIN(IF(VLOOKUP($R88,武学奇术!$A:$ZZ,23,FALSE)=1,100%,$B$8),100%)</f>
        <v>0.8271</v>
      </c>
      <c r="BK88" s="20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0.2249</v>
      </c>
      <c r="BL88" s="20" cm="1">
        <f t="array" ref="BL88">1+$B$13+VLOOKUP($R88,武学奇术!$A:$ZZ,18,FALSE)+SUM(_xlfn.XLOOKUP(S88:AG88,增益!$A:$A,增益!$R:$R,0))</f>
        <v>1.5</v>
      </c>
      <c r="BM88" s="20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0.4459</v>
      </c>
      <c r="BN88" s="20" cm="1">
        <f t="array" ref="BN88">1+$B$14+VLOOKUP($R88,武学奇术!$A:$ZZ,20,FALSE)+SUM(_xlfn.XLOOKUP(S88:AG88,增益!$A:$A,增益!$T:$T,0))</f>
        <v>1.602</v>
      </c>
      <c r="BO88" s="20">
        <f t="shared" si="22"/>
        <v>0.18601479</v>
      </c>
      <c r="BP88" s="20">
        <f t="shared" si="32"/>
        <v>0.27228132</v>
      </c>
      <c r="BQ88" s="20">
        <f>IF(VLOOKUP($R88,武学奇术!$A:$ZZ,22,FALSE)=1,0,(1-$BJ88))*(1-$BM88)</f>
        <v>0.09580389</v>
      </c>
      <c r="BR88" s="20" cm="1">
        <f t="array" ref="BR88">SUM(_xlfn.XLOOKUP(S88:AG88,增益!$A:$A,增益!$W:$W,0))+$I$5</f>
        <v>0.11</v>
      </c>
    </row>
    <row r="89" spans="1:70">
      <c r="K89" s="27">
        <f>$L89*VLOOKUP($R89,武学奇术!$A:$ZZ,31,FALSE)</f>
        <v>68349.6866917325</v>
      </c>
      <c r="L89" s="27">
        <f t="shared" si="42"/>
        <v>68349.6866917325</v>
      </c>
      <c r="M89" s="27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61610.119754351</v>
      </c>
      <c r="N89" s="27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97995.4596138087</v>
      </c>
      <c r="O89" s="27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41073.4131695673</v>
      </c>
      <c r="P89" s="27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20976.1274541105</v>
      </c>
      <c r="Q89" s="35">
        <v>1</v>
      </c>
      <c r="R89" s="36" t="s">
        <v>81</v>
      </c>
      <c r="S89" s="36" t="s">
        <v>71</v>
      </c>
      <c r="T89" s="36" t="s">
        <v>93</v>
      </c>
      <c r="U89" s="36" t="s">
        <v>71</v>
      </c>
      <c r="V89" s="36" t="s">
        <v>71</v>
      </c>
      <c r="W89" s="36" t="s">
        <v>111</v>
      </c>
      <c r="X89" s="36" t="s">
        <v>71</v>
      </c>
      <c r="Y89" s="36" t="s">
        <v>71</v>
      </c>
      <c r="Z89" s="36" t="s">
        <v>82</v>
      </c>
      <c r="AA89" s="36" t="s">
        <v>71</v>
      </c>
      <c r="AB89" s="36" t="s">
        <v>71</v>
      </c>
      <c r="AC89" s="36" t="s">
        <v>71</v>
      </c>
      <c r="AD89" s="36" t="s">
        <v>72</v>
      </c>
      <c r="AE89" s="36" t="s">
        <v>94</v>
      </c>
      <c r="AF89" s="36" t="s">
        <v>154</v>
      </c>
      <c r="AG89" s="36" t="s">
        <v>120</v>
      </c>
      <c r="AH89" t="str">
        <f>VLOOKUP($R89,武学奇术!$A:$ZZ,25,FALSE)</f>
        <v>剑</v>
      </c>
      <c r="AI89" s="20">
        <f>VLOOKUP($R89,武学奇术!$A:$ZZ,26,FALSE)</f>
        <v>2.7205</v>
      </c>
      <c r="AJ89" s="21">
        <f>VLOOKUP($R89,武学奇术!$A:$ZZ,27,FALSE)*(1+IF(OR($AH89=$F$4,$AH89=$F$5),$B$22,0))</f>
        <v>1048.6</v>
      </c>
      <c r="AK89" s="20">
        <f>VLOOKUP($R89,武学奇术!$A:$ZZ,28,FALSE)</f>
        <v>4.0806</v>
      </c>
      <c r="AL89" s="21">
        <f>VLOOKUP($R89,武学奇术!$A:$ZZ,29,FALSE)*(1+IF(OR($AH89=$F$4,$AH89=$F$5),$B$22,0))</f>
        <v>572.6</v>
      </c>
      <c r="AM89" s="20" cm="1">
        <f t="array" ref="AM89">$G$3+IFERROR(VLOOKUP($AH89,$F$4:$G$7,2,FALSE),0)+VLOOKUP($R89,武学奇术!$A:$ZZ,2,FALSE)+SUM(_xlfn.XLOOKUP($S89:$AG89,增益!$A:$A,增益!$B:$B,0))</f>
        <v>0.7191</v>
      </c>
      <c r="AN89" s="20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1585.72</v>
      </c>
      <c r="AP89" cm="1">
        <f t="array" ref="AP89">$E$10*(1+$AN89)+VLOOKUP($R89,武学奇术!$A:$ZZ,4,FALSE)+SUM(_xlfn.XLOOKUP($S89:$AG89,增益!$A:$A,增益!$D:$D,0))-$I$2</f>
        <v>6696.76</v>
      </c>
      <c r="AQ89" s="29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0.3425</v>
      </c>
      <c r="AR89" s="29" cm="1">
        <f t="array" ref="AR89">$G$10+VLOOKUP($R89,武学奇术!$A:$ZZ,7,FALSE)+SUM(_xlfn.XLOOKUP(S89:AG89,增益!$A:$A,增益!$G:$G,0))</f>
        <v>0</v>
      </c>
      <c r="AS89" s="20" cm="1">
        <f t="array" ref="AS89">VLOOKUP($R89,武学奇术!$A:$ZZ,8,FALSE)+SUM(_xlfn.XLOOKUP(S89:AG89,增益!$A:$A,增益!$H:$H,0))</f>
        <v>0</v>
      </c>
      <c r="AT89">
        <f t="shared" si="43"/>
        <v>538</v>
      </c>
      <c r="AU89">
        <f t="shared" si="44"/>
        <v>1011</v>
      </c>
      <c r="AV89" s="29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0.08</v>
      </c>
      <c r="AW89" s="29" cm="1">
        <f t="array" ref="AW89">$G$11+VLOOKUP($R89,武学奇术!$A:$ZZ,10,FALSE)+SUM(_xlfn.XLOOKUP(S89:AG89,增益!$A:$A,增益!$J:$J,0))</f>
        <v>0.15</v>
      </c>
      <c r="AX89">
        <f t="shared" si="45"/>
        <v>0</v>
      </c>
      <c r="AY89">
        <f t="shared" si="46"/>
        <v>0</v>
      </c>
      <c r="AZ89" s="29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-0.14</v>
      </c>
      <c r="BA89" s="29" cm="1">
        <f t="array" ref="BA89">$G$12+VLOOKUP($R89,武学奇术!$A:$ZZ,12,FALSE)+SUM(_xlfn.XLOOKUP(S89:AG89,增益!$A:$A,增益!$L:$L,0))</f>
        <v>0</v>
      </c>
      <c r="BB89">
        <f t="shared" si="47"/>
        <v>0</v>
      </c>
      <c r="BC89">
        <f t="shared" si="48"/>
        <v>0</v>
      </c>
      <c r="BD89" s="29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-0.14</v>
      </c>
      <c r="BE89" s="29" cm="1">
        <f t="array" ref="BE89">$G$13+VLOOKUP($R89,武学奇术!$A:$ZZ,14,FALSE)+SUM(_xlfn.XLOOKUP(S89:AG89,增益!$A:$A,增益!$N:$N,0))</f>
        <v>0</v>
      </c>
      <c r="BF89">
        <f t="shared" si="49"/>
        <v>0</v>
      </c>
      <c r="BG89">
        <f t="shared" si="50"/>
        <v>0</v>
      </c>
      <c r="BH89" s="29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-0.14</v>
      </c>
      <c r="BI89" s="29" cm="1">
        <f t="array" ref="BI89">$G$14+VLOOKUP($R89,武学奇术!$A:$ZZ,16,FALSE)+SUM(_xlfn.XLOOKUP(S89:AG89,增益!$A:$A,增益!$P:$P,0))</f>
        <v>0</v>
      </c>
      <c r="BJ89" s="20">
        <f>MIN(IF(VLOOKUP($R89,武学奇术!$A:$ZZ,23,FALSE)=1,100%,$B$8),100%)</f>
        <v>0.8271</v>
      </c>
      <c r="BK89" s="20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0.2249</v>
      </c>
      <c r="BL89" s="20" cm="1">
        <f t="array" ref="BL89">1+$B$13+VLOOKUP($R89,武学奇术!$A:$ZZ,18,FALSE)+SUM(_xlfn.XLOOKUP(S89:AG89,增益!$A:$A,增益!$R:$R,0))</f>
        <v>1.5</v>
      </c>
      <c r="BM89" s="20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0.4459</v>
      </c>
      <c r="BN89" s="20" cm="1">
        <f t="array" ref="BN89">1+$B$14+VLOOKUP($R89,武学奇术!$A:$ZZ,20,FALSE)+SUM(_xlfn.XLOOKUP(S89:AG89,增益!$A:$A,增益!$T:$T,0))</f>
        <v>1.602</v>
      </c>
      <c r="BO89" s="20">
        <f t="shared" si="22"/>
        <v>0.18601479</v>
      </c>
      <c r="BP89" s="20">
        <f t="shared" si="32"/>
        <v>0.27228132</v>
      </c>
      <c r="BQ89" s="20">
        <f>IF(VLOOKUP($R89,武学奇术!$A:$ZZ,22,FALSE)=1,0,(1-$BJ89))*(1-$BM89)</f>
        <v>0.09580389</v>
      </c>
      <c r="BR89" s="20" cm="1">
        <f t="array" ref="BR89">SUM(_xlfn.XLOOKUP(S89:AG89,增益!$A:$A,增益!$W:$W,0))+$I$5</f>
        <v>0.11</v>
      </c>
    </row>
    <row r="90" spans="1:70">
      <c r="K90" s="27">
        <f>$L90*VLOOKUP($R90,武学奇术!$A:$ZZ,31,FALSE)</f>
        <v>111096.221177091</v>
      </c>
      <c r="L90" s="27">
        <f t="shared" si="42"/>
        <v>185160.368628486</v>
      </c>
      <c r="M90" s="27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100411.424933579</v>
      </c>
      <c r="N90" s="27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185160.368628486</v>
      </c>
      <c r="O90" s="27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66940.9499557191</v>
      </c>
      <c r="P90" s="27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29975.9691434889</v>
      </c>
      <c r="Q90" s="35">
        <v>1</v>
      </c>
      <c r="R90" s="36" t="s">
        <v>98</v>
      </c>
      <c r="S90" s="36" t="s">
        <v>71</v>
      </c>
      <c r="T90" s="36" t="s">
        <v>99</v>
      </c>
      <c r="U90" s="36" t="s">
        <v>100</v>
      </c>
      <c r="V90" s="36" t="s">
        <v>101</v>
      </c>
      <c r="W90" s="36" t="s">
        <v>111</v>
      </c>
      <c r="X90" s="36" t="s">
        <v>71</v>
      </c>
      <c r="Y90" s="36" t="s">
        <v>71</v>
      </c>
      <c r="Z90" s="36" t="s">
        <v>82</v>
      </c>
      <c r="AA90" s="36" t="s">
        <v>71</v>
      </c>
      <c r="AB90" s="36" t="s">
        <v>71</v>
      </c>
      <c r="AC90" s="36" t="s">
        <v>71</v>
      </c>
      <c r="AD90" s="36" t="s">
        <v>72</v>
      </c>
      <c r="AE90" s="36" t="s">
        <v>94</v>
      </c>
      <c r="AF90" s="36" t="s">
        <v>154</v>
      </c>
      <c r="AG90" s="36" t="s">
        <v>120</v>
      </c>
      <c r="AH90" t="str">
        <f>VLOOKUP($R90,武学奇术!$A:$ZZ,25,FALSE)</f>
        <v>剑</v>
      </c>
      <c r="AI90" s="20">
        <f>VLOOKUP($R90,武学奇术!$A:$ZZ,26,FALSE)</f>
        <v>2.496</v>
      </c>
      <c r="AJ90" s="21">
        <f>VLOOKUP($R90,武学奇术!$A:$ZZ,27,FALSE)*(1+IF(OR($AH90=$F$4,$AH90=$F$5),$B$22,0))</f>
        <v>0</v>
      </c>
      <c r="AK90" s="20">
        <f>VLOOKUP($R90,武学奇术!$A:$ZZ,28,FALSE)</f>
        <v>3.744</v>
      </c>
      <c r="AL90" s="21">
        <f>VLOOKUP($R90,武学奇术!$A:$ZZ,29,FALSE)*(1+IF(OR($AH90=$F$4,$AH90=$F$5),$B$22,0))</f>
        <v>0</v>
      </c>
      <c r="AM90" s="20" cm="1">
        <f t="array" ref="AM90">$G$3+IFERROR(VLOOKUP($AH90,$F$4:$G$7,2,FALSE),0)+VLOOKUP($R90,武学奇术!$A:$ZZ,2,FALSE)+SUM(_xlfn.XLOOKUP($S90:$AG90,增益!$A:$A,增益!$B:$B,0))</f>
        <v>1.4691</v>
      </c>
      <c r="AN90" s="20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1585.72</v>
      </c>
      <c r="AP90" cm="1">
        <f t="array" ref="AP90">$E$10*(1+$AN90)+VLOOKUP($R90,武学奇术!$A:$ZZ,4,FALSE)+SUM(_xlfn.XLOOKUP($S90:$AG90,增益!$A:$A,增益!$D:$D,0))-$I$2</f>
        <v>6696.76</v>
      </c>
      <c r="AQ90" s="29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0.4175</v>
      </c>
      <c r="AR90" s="29" cm="1">
        <f t="array" ref="AR90">$G$10+VLOOKUP($R90,武学奇术!$A:$ZZ,7,FALSE)+SUM(_xlfn.XLOOKUP(S90:AG90,增益!$A:$A,增益!$G:$G,0))</f>
        <v>0</v>
      </c>
      <c r="AS90" s="20" cm="1">
        <f t="array" ref="AS90">VLOOKUP($R90,武学奇术!$A:$ZZ,8,FALSE)+SUM(_xlfn.XLOOKUP(S90:AG90,增益!$A:$A,增益!$H:$H,0))</f>
        <v>0</v>
      </c>
      <c r="AT90">
        <f t="shared" si="43"/>
        <v>538</v>
      </c>
      <c r="AU90">
        <f t="shared" si="44"/>
        <v>1011</v>
      </c>
      <c r="AV90" s="29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0.155</v>
      </c>
      <c r="AW90" s="29" cm="1">
        <f t="array" ref="AW90">$G$11+VLOOKUP($R90,武学奇术!$A:$ZZ,10,FALSE)+SUM(_xlfn.XLOOKUP(S90:AG90,增益!$A:$A,增益!$J:$J,0))</f>
        <v>0.15</v>
      </c>
      <c r="AX90">
        <f t="shared" si="45"/>
        <v>0</v>
      </c>
      <c r="AY90">
        <f t="shared" si="46"/>
        <v>0</v>
      </c>
      <c r="AZ90" s="29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-0.14</v>
      </c>
      <c r="BA90" s="29" cm="1">
        <f t="array" ref="BA90">$G$12+VLOOKUP($R90,武学奇术!$A:$ZZ,12,FALSE)+SUM(_xlfn.XLOOKUP(S90:AG90,增益!$A:$A,增益!$L:$L,0))</f>
        <v>0</v>
      </c>
      <c r="BB90">
        <f t="shared" si="47"/>
        <v>0</v>
      </c>
      <c r="BC90">
        <f t="shared" si="48"/>
        <v>0</v>
      </c>
      <c r="BD90" s="29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-0.14</v>
      </c>
      <c r="BE90" s="29" cm="1">
        <f t="array" ref="BE90">$G$13+VLOOKUP($R90,武学奇术!$A:$ZZ,14,FALSE)+SUM(_xlfn.XLOOKUP(S90:AG90,增益!$A:$A,增益!$N:$N,0))</f>
        <v>0</v>
      </c>
      <c r="BF90">
        <f t="shared" si="49"/>
        <v>0</v>
      </c>
      <c r="BG90">
        <f t="shared" si="50"/>
        <v>0</v>
      </c>
      <c r="BH90" s="29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-0.14</v>
      </c>
      <c r="BI90" s="29" cm="1">
        <f t="array" ref="BI90">$G$14+VLOOKUP($R90,武学奇术!$A:$ZZ,16,FALSE)+SUM(_xlfn.XLOOKUP(S90:AG90,增益!$A:$A,增益!$P:$P,0))</f>
        <v>0</v>
      </c>
      <c r="BJ90" s="20">
        <f>MIN(IF(VLOOKUP($R90,武学奇术!$A:$ZZ,23,FALSE)=1,100%,$B$8),100%)</f>
        <v>0.8271</v>
      </c>
      <c r="BK90" s="20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</v>
      </c>
      <c r="BL90" s="20" cm="1">
        <f t="array" ref="BL90">1+$B$13+VLOOKUP($R90,武学奇术!$A:$ZZ,18,FALSE)+SUM(_xlfn.XLOOKUP(S90:AG90,增益!$A:$A,增益!$R:$R,0))</f>
        <v>1.5</v>
      </c>
      <c r="BM90" s="20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1</v>
      </c>
      <c r="BN90" s="20" cm="1">
        <f t="array" ref="BN90">1+$B$14+VLOOKUP($R90,武学奇术!$A:$ZZ,20,FALSE)+SUM(_xlfn.XLOOKUP(S90:AG90,增益!$A:$A,增益!$T:$T,0))</f>
        <v>1.782</v>
      </c>
      <c r="BO90" s="20">
        <f t="shared" si="22"/>
        <v>0</v>
      </c>
      <c r="BP90" s="20">
        <f t="shared" si="32"/>
        <v>0</v>
      </c>
      <c r="BQ90" s="20">
        <f>IF(VLOOKUP($R90,武学奇术!$A:$ZZ,22,FALSE)=1,0,(1-$BJ90))*(1-$BM90)</f>
        <v>0</v>
      </c>
      <c r="BR90" s="20" cm="1">
        <f t="array" ref="BR90">SUM(_xlfn.XLOOKUP(S90:AG90,增益!$A:$A,增益!$W:$W,0))+$I$5</f>
        <v>0.11</v>
      </c>
    </row>
    <row r="91" spans="1:70">
      <c r="K91" s="27">
        <f>$L91*VLOOKUP($R91,武学奇术!$A:$ZZ,31,FALSE)</f>
        <v>18017.6984484153</v>
      </c>
      <c r="L91" s="27">
        <f t="shared" si="42"/>
        <v>18017.6984484153</v>
      </c>
      <c r="M91" s="27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15866.268146011</v>
      </c>
      <c r="N91" s="27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26313.4312584395</v>
      </c>
      <c r="O91" s="27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10577.5120973407</v>
      </c>
      <c r="P91" s="27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4729.66136169792</v>
      </c>
      <c r="Q91" s="35">
        <v>1</v>
      </c>
      <c r="R91" s="36" t="s">
        <v>155</v>
      </c>
      <c r="S91" s="36" t="s">
        <v>71</v>
      </c>
      <c r="T91" s="36" t="s">
        <v>93</v>
      </c>
      <c r="U91" s="36" t="s">
        <v>71</v>
      </c>
      <c r="V91" s="36" t="s">
        <v>71</v>
      </c>
      <c r="W91" s="36" t="s">
        <v>111</v>
      </c>
      <c r="X91" s="36" t="s">
        <v>71</v>
      </c>
      <c r="Y91" s="36" t="s">
        <v>71</v>
      </c>
      <c r="Z91" s="36" t="s">
        <v>82</v>
      </c>
      <c r="AA91" s="36" t="s">
        <v>71</v>
      </c>
      <c r="AB91" s="36" t="s">
        <v>71</v>
      </c>
      <c r="AC91" s="36" t="s">
        <v>71</v>
      </c>
      <c r="AD91" s="36" t="s">
        <v>72</v>
      </c>
      <c r="AE91" s="36" t="s">
        <v>94</v>
      </c>
      <c r="AF91" s="36" t="s">
        <v>154</v>
      </c>
      <c r="AG91" s="36" t="s">
        <v>120</v>
      </c>
      <c r="AH91" t="str">
        <f>VLOOKUP($R91,武学奇术!$A:$ZZ,25,FALSE)</f>
        <v>剑</v>
      </c>
      <c r="AI91" s="20">
        <f>VLOOKUP($R91,武学奇术!$A:$ZZ,26,FALSE)</f>
        <v>0.7916</v>
      </c>
      <c r="AJ91" s="21">
        <f>VLOOKUP($R91,武学奇术!$A:$ZZ,27,FALSE)*(1+IF(OR($AH91=$F$4,$AH91=$F$5),$B$22,0))</f>
        <v>0</v>
      </c>
      <c r="AK91" s="20">
        <f>VLOOKUP($R91,武学奇术!$A:$ZZ,28,FALSE)</f>
        <v>1.1874</v>
      </c>
      <c r="AL91" s="21">
        <f>VLOOKUP($R91,武学奇术!$A:$ZZ,29,FALSE)*(1+IF(OR($AH91=$F$4,$AH91=$F$5),$B$22,0))</f>
        <v>0</v>
      </c>
      <c r="AM91" s="20" cm="1">
        <f t="array" ref="AM91">$G$3+IFERROR(VLOOKUP($AH91,$F$4:$G$7,2,FALSE),0)+VLOOKUP($R91,武学奇术!$A:$ZZ,2,FALSE)+SUM(_xlfn.XLOOKUP($S91:$AG91,增益!$A:$A,增益!$B:$B,0))</f>
        <v>0.7191</v>
      </c>
      <c r="AN91" s="20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1585.72</v>
      </c>
      <c r="AP91" cm="1">
        <f t="array" ref="AP91">$E$10*(1+$AN91)+VLOOKUP($R91,武学奇术!$A:$ZZ,4,FALSE)+SUM(_xlfn.XLOOKUP($S91:$AG91,增益!$A:$A,增益!$D:$D,0))-$I$2</f>
        <v>6696.76</v>
      </c>
      <c r="AQ91" s="29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0.3425</v>
      </c>
      <c r="AR91" s="29" cm="1">
        <f t="array" ref="AR91">$G$10+VLOOKUP($R91,武学奇术!$A:$ZZ,7,FALSE)+SUM(_xlfn.XLOOKUP(S91:AG91,增益!$A:$A,增益!$G:$G,0))</f>
        <v>0</v>
      </c>
      <c r="AS91" s="20" cm="1">
        <f t="array" ref="AS91">VLOOKUP($R91,武学奇术!$A:$ZZ,8,FALSE)+SUM(_xlfn.XLOOKUP(S91:AG91,增益!$A:$A,增益!$H:$H,0))</f>
        <v>0</v>
      </c>
      <c r="AT91">
        <f t="shared" si="43"/>
        <v>538</v>
      </c>
      <c r="AU91">
        <f t="shared" si="44"/>
        <v>1011</v>
      </c>
      <c r="AV91" s="29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0.08</v>
      </c>
      <c r="AW91" s="29" cm="1">
        <f t="array" ref="AW91">$G$11+VLOOKUP($R91,武学奇术!$A:$ZZ,10,FALSE)+SUM(_xlfn.XLOOKUP(S91:AG91,增益!$A:$A,增益!$J:$J,0))</f>
        <v>0.15</v>
      </c>
      <c r="AX91">
        <f t="shared" si="45"/>
        <v>0</v>
      </c>
      <c r="AY91">
        <f t="shared" si="46"/>
        <v>0</v>
      </c>
      <c r="AZ91" s="29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-0.14</v>
      </c>
      <c r="BA91" s="29" cm="1">
        <f t="array" ref="BA91">$G$12+VLOOKUP($R91,武学奇术!$A:$ZZ,12,FALSE)+SUM(_xlfn.XLOOKUP(S91:AG91,增益!$A:$A,增益!$L:$L,0))</f>
        <v>0</v>
      </c>
      <c r="BB91">
        <f t="shared" si="47"/>
        <v>0</v>
      </c>
      <c r="BC91">
        <f t="shared" si="48"/>
        <v>0</v>
      </c>
      <c r="BD91" s="29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-0.14</v>
      </c>
      <c r="BE91" s="29" cm="1">
        <f t="array" ref="BE91">$G$13+VLOOKUP($R91,武学奇术!$A:$ZZ,14,FALSE)+SUM(_xlfn.XLOOKUP(S91:AG91,增益!$A:$A,增益!$N:$N,0))</f>
        <v>0</v>
      </c>
      <c r="BF91">
        <f t="shared" si="49"/>
        <v>0</v>
      </c>
      <c r="BG91">
        <f t="shared" si="50"/>
        <v>0</v>
      </c>
      <c r="BH91" s="29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-0.14</v>
      </c>
      <c r="BI91" s="29" cm="1">
        <f t="array" ref="BI91">$G$14+VLOOKUP($R91,武学奇术!$A:$ZZ,16,FALSE)+SUM(_xlfn.XLOOKUP(S91:AG91,增益!$A:$A,增益!$P:$P,0))</f>
        <v>0</v>
      </c>
      <c r="BJ91" s="20">
        <f>MIN(IF(VLOOKUP($R91,武学奇术!$A:$ZZ,23,FALSE)=1,100%,$B$8),100%)</f>
        <v>0.8271</v>
      </c>
      <c r="BK91" s="20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0.2249</v>
      </c>
      <c r="BL91" s="20" cm="1">
        <f t="array" ref="BL91">1+$B$13+VLOOKUP($R91,武学奇术!$A:$ZZ,18,FALSE)+SUM(_xlfn.XLOOKUP(S91:AG91,增益!$A:$A,增益!$R:$R,0))</f>
        <v>1.5</v>
      </c>
      <c r="BM91" s="20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0.4459</v>
      </c>
      <c r="BN91" s="20" cm="1">
        <f t="array" ref="BN91">1+$B$14+VLOOKUP($R91,武学奇术!$A:$ZZ,20,FALSE)+SUM(_xlfn.XLOOKUP(S91:AG91,增益!$A:$A,增益!$T:$T,0))</f>
        <v>1.602</v>
      </c>
      <c r="BO91" s="20">
        <f t="shared" si="22"/>
        <v>0.18601479</v>
      </c>
      <c r="BP91" s="20">
        <f t="shared" si="32"/>
        <v>0.27228132</v>
      </c>
      <c r="BQ91" s="20">
        <f>IF(VLOOKUP($R91,武学奇术!$A:$ZZ,22,FALSE)=1,0,(1-$BJ91))*(1-$BM91)</f>
        <v>0.09580389</v>
      </c>
      <c r="BR91" s="20" cm="1">
        <f t="array" ref="BR91">SUM(_xlfn.XLOOKUP(S91:AG91,增益!$A:$A,增益!$W:$W,0))+$I$5</f>
        <v>0.11</v>
      </c>
    </row>
    <row r="92" spans="1:70">
      <c r="K92" s="27">
        <f>$L92*VLOOKUP($R92,武学奇术!$A:$ZZ,31,FALSE)</f>
        <v>29606.1128617776</v>
      </c>
      <c r="L92" s="27">
        <f t="shared" si="42"/>
        <v>29606.1128617776</v>
      </c>
      <c r="M92" s="27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26688.3035739911</v>
      </c>
      <c r="N92" s="27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42445.4767975877</v>
      </c>
      <c r="O92" s="27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17792.2023826607</v>
      </c>
      <c r="P92" s="27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9089.100896665</v>
      </c>
      <c r="Q92" s="35">
        <v>1</v>
      </c>
      <c r="R92" s="36" t="s">
        <v>92</v>
      </c>
      <c r="S92" s="36" t="s">
        <v>71</v>
      </c>
      <c r="T92" s="36" t="s">
        <v>93</v>
      </c>
      <c r="U92" s="36" t="s">
        <v>71</v>
      </c>
      <c r="V92" s="36" t="s">
        <v>71</v>
      </c>
      <c r="W92" s="36" t="s">
        <v>111</v>
      </c>
      <c r="X92" s="36" t="s">
        <v>71</v>
      </c>
      <c r="Y92" s="36" t="s">
        <v>71</v>
      </c>
      <c r="Z92" s="36" t="s">
        <v>82</v>
      </c>
      <c r="AA92" s="36" t="s">
        <v>71</v>
      </c>
      <c r="AB92" s="36" t="s">
        <v>71</v>
      </c>
      <c r="AC92" s="36" t="s">
        <v>71</v>
      </c>
      <c r="AD92" s="36" t="s">
        <v>72</v>
      </c>
      <c r="AE92" s="36" t="s">
        <v>94</v>
      </c>
      <c r="AF92" s="36" t="s">
        <v>154</v>
      </c>
      <c r="AG92" s="36" t="s">
        <v>120</v>
      </c>
      <c r="AH92" t="str">
        <f>VLOOKUP($R92,武学奇术!$A:$ZZ,25,FALSE)</f>
        <v>剑</v>
      </c>
      <c r="AI92" s="20">
        <f>VLOOKUP($R92,武学奇术!$A:$ZZ,26,FALSE)</f>
        <v>1.1781</v>
      </c>
      <c r="AJ92" s="21">
        <f>VLOOKUP($R92,武学奇术!$A:$ZZ,27,FALSE)*(1+IF(OR($AH92=$F$4,$AH92=$F$5),$B$22,0))</f>
        <v>456.4</v>
      </c>
      <c r="AK92" s="20">
        <f>VLOOKUP($R92,武学奇术!$A:$ZZ,28,FALSE)</f>
        <v>1.7672</v>
      </c>
      <c r="AL92" s="21">
        <f>VLOOKUP($R92,武学奇术!$A:$ZZ,29,FALSE)*(1+IF(OR($AH92=$F$4,$AH92=$F$5),$B$22,0))</f>
        <v>247.8</v>
      </c>
      <c r="AM92" s="20" cm="1">
        <f t="array" ref="AM92">$G$3+IFERROR(VLOOKUP($AH92,$F$4:$G$7,2,FALSE),0)+VLOOKUP($R92,武学奇术!$A:$ZZ,2,FALSE)+SUM(_xlfn.XLOOKUP($S92:$AG92,增益!$A:$A,增益!$B:$B,0))</f>
        <v>0.7191</v>
      </c>
      <c r="AN92" s="20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1585.72</v>
      </c>
      <c r="AP92" cm="1">
        <f t="array" ref="AP92">$E$10*(1+$AN92)+VLOOKUP($R92,武学奇术!$A:$ZZ,4,FALSE)+SUM(_xlfn.XLOOKUP($S92:$AG92,增益!$A:$A,增益!$D:$D,0))-$I$2</f>
        <v>6696.76</v>
      </c>
      <c r="AQ92" s="29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0.3425</v>
      </c>
      <c r="AR92" s="29" cm="1">
        <f t="array" ref="AR92">$G$10+VLOOKUP($R92,武学奇术!$A:$ZZ,7,FALSE)+SUM(_xlfn.XLOOKUP(S92:AG92,增益!$A:$A,增益!$G:$G,0))</f>
        <v>0</v>
      </c>
      <c r="AS92" s="20" cm="1">
        <f t="array" ref="AS92">VLOOKUP($R92,武学奇术!$A:$ZZ,8,FALSE)+SUM(_xlfn.XLOOKUP(S92:AG92,增益!$A:$A,增益!$H:$H,0))</f>
        <v>0</v>
      </c>
      <c r="AT92">
        <f t="shared" si="43"/>
        <v>538</v>
      </c>
      <c r="AU92">
        <f t="shared" si="44"/>
        <v>1011</v>
      </c>
      <c r="AV92" s="29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0.08</v>
      </c>
      <c r="AW92" s="29" cm="1">
        <f t="array" ref="AW92">$G$11+VLOOKUP($R92,武学奇术!$A:$ZZ,10,FALSE)+SUM(_xlfn.XLOOKUP(S92:AG92,增益!$A:$A,增益!$J:$J,0))</f>
        <v>0.15</v>
      </c>
      <c r="AX92">
        <f t="shared" si="45"/>
        <v>0</v>
      </c>
      <c r="AY92">
        <f t="shared" si="46"/>
        <v>0</v>
      </c>
      <c r="AZ92" s="29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-0.14</v>
      </c>
      <c r="BA92" s="29" cm="1">
        <f t="array" ref="BA92">$G$12+VLOOKUP($R92,武学奇术!$A:$ZZ,12,FALSE)+SUM(_xlfn.XLOOKUP(S92:AG92,增益!$A:$A,增益!$L:$L,0))</f>
        <v>0</v>
      </c>
      <c r="BB92">
        <f t="shared" si="47"/>
        <v>0</v>
      </c>
      <c r="BC92">
        <f t="shared" si="48"/>
        <v>0</v>
      </c>
      <c r="BD92" s="29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-0.14</v>
      </c>
      <c r="BE92" s="29" cm="1">
        <f t="array" ref="BE92">$G$13+VLOOKUP($R92,武学奇术!$A:$ZZ,14,FALSE)+SUM(_xlfn.XLOOKUP(S92:AG92,增益!$A:$A,增益!$N:$N,0))</f>
        <v>0</v>
      </c>
      <c r="BF92">
        <f t="shared" si="49"/>
        <v>0</v>
      </c>
      <c r="BG92">
        <f t="shared" si="50"/>
        <v>0</v>
      </c>
      <c r="BH92" s="29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-0.14</v>
      </c>
      <c r="BI92" s="29" cm="1">
        <f t="array" ref="BI92">$G$14+VLOOKUP($R92,武学奇术!$A:$ZZ,16,FALSE)+SUM(_xlfn.XLOOKUP(S92:AG92,增益!$A:$A,增益!$P:$P,0))</f>
        <v>0</v>
      </c>
      <c r="BJ92" s="20">
        <f>MIN(IF(VLOOKUP($R92,武学奇术!$A:$ZZ,23,FALSE)=1,100%,$B$8),100%)</f>
        <v>0.8271</v>
      </c>
      <c r="BK92" s="20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0.2249</v>
      </c>
      <c r="BL92" s="20" cm="1">
        <f t="array" ref="BL92">1+$B$13+VLOOKUP($R92,武学奇术!$A:$ZZ,18,FALSE)+SUM(_xlfn.XLOOKUP(S92:AG92,增益!$A:$A,增益!$R:$R,0))</f>
        <v>1.5</v>
      </c>
      <c r="BM92" s="20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0.4459</v>
      </c>
      <c r="BN92" s="20" cm="1">
        <f t="array" ref="BN92">1+$B$14+VLOOKUP($R92,武学奇术!$A:$ZZ,20,FALSE)+SUM(_xlfn.XLOOKUP(S92:AG92,增益!$A:$A,增益!$T:$T,0))</f>
        <v>1.602</v>
      </c>
      <c r="BO92" s="20">
        <f t="shared" si="22"/>
        <v>0.18601479</v>
      </c>
      <c r="BP92" s="20">
        <f t="shared" si="32"/>
        <v>0.27228132</v>
      </c>
      <c r="BQ92" s="20">
        <f>IF(VLOOKUP($R92,武学奇术!$A:$ZZ,22,FALSE)=1,0,(1-$BJ92))*(1-$BM92)</f>
        <v>0.09580389</v>
      </c>
      <c r="BR92" s="20" cm="1">
        <f t="array" ref="BR92">SUM(_xlfn.XLOOKUP(S92:AG92,增益!$A:$A,增益!$W:$W,0))+$I$5</f>
        <v>0.11</v>
      </c>
    </row>
    <row r="93" spans="1:70">
      <c r="K93" s="27">
        <f>$L93*VLOOKUP($R93,武学奇术!$A:$ZZ,31,FALSE)</f>
        <v>73403.7618963153</v>
      </c>
      <c r="L93" s="27">
        <f t="shared" si="42"/>
        <v>122339.603160526</v>
      </c>
      <c r="M93" s="27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100411.424933579</v>
      </c>
      <c r="N93" s="27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185160.368628486</v>
      </c>
      <c r="O93" s="27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66940.9499557191</v>
      </c>
      <c r="P93" s="27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29975.9691434889</v>
      </c>
      <c r="Q93" s="35">
        <v>1</v>
      </c>
      <c r="R93" s="36" t="s">
        <v>105</v>
      </c>
      <c r="S93" s="36" t="s">
        <v>71</v>
      </c>
      <c r="T93" s="36" t="s">
        <v>99</v>
      </c>
      <c r="U93" s="36" t="s">
        <v>100</v>
      </c>
      <c r="V93" s="36" t="s">
        <v>101</v>
      </c>
      <c r="W93" s="36" t="s">
        <v>111</v>
      </c>
      <c r="X93" s="36" t="s">
        <v>71</v>
      </c>
      <c r="Y93" s="36" t="s">
        <v>71</v>
      </c>
      <c r="Z93" s="36" t="s">
        <v>82</v>
      </c>
      <c r="AA93" s="36" t="s">
        <v>71</v>
      </c>
      <c r="AB93" s="36" t="s">
        <v>71</v>
      </c>
      <c r="AC93" s="36" t="s">
        <v>71</v>
      </c>
      <c r="AD93" s="36" t="s">
        <v>72</v>
      </c>
      <c r="AE93" s="36" t="s">
        <v>94</v>
      </c>
      <c r="AF93" s="36" t="s">
        <v>154</v>
      </c>
      <c r="AG93" s="36" t="s">
        <v>120</v>
      </c>
      <c r="AH93" t="str">
        <f>VLOOKUP($R93,武学奇术!$A:$ZZ,25,FALSE)</f>
        <v>剑</v>
      </c>
      <c r="AI93" s="20">
        <f>VLOOKUP($R93,武学奇术!$A:$ZZ,26,FALSE)</f>
        <v>2.496</v>
      </c>
      <c r="AJ93" s="21">
        <f>VLOOKUP($R93,武学奇术!$A:$ZZ,27,FALSE)*(1+IF(OR($AH93=$F$4,$AH93=$F$5),$B$22,0))</f>
        <v>0</v>
      </c>
      <c r="AK93" s="20">
        <f>VLOOKUP($R93,武学奇术!$A:$ZZ,28,FALSE)</f>
        <v>3.744</v>
      </c>
      <c r="AL93" s="21">
        <f>VLOOKUP($R93,武学奇术!$A:$ZZ,29,FALSE)*(1+IF(OR($AH93=$F$4,$AH93=$F$5),$B$22,0))</f>
        <v>0</v>
      </c>
      <c r="AM93" s="20" cm="1">
        <f t="array" ref="AM93">$G$3+IFERROR(VLOOKUP($AH93,$F$4:$G$7,2,FALSE),0)+VLOOKUP($R93,武学奇术!$A:$ZZ,2,FALSE)+SUM(_xlfn.XLOOKUP($S93:$AG93,增益!$A:$A,增益!$B:$B,0))</f>
        <v>1.4691</v>
      </c>
      <c r="AN93" s="20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1585.72</v>
      </c>
      <c r="AP93" cm="1">
        <f t="array" ref="AP93">$E$10*(1+$AN93)+VLOOKUP($R93,武学奇术!$A:$ZZ,4,FALSE)+SUM(_xlfn.XLOOKUP($S93:$AG93,增益!$A:$A,增益!$D:$D,0))-$I$2</f>
        <v>6696.76</v>
      </c>
      <c r="AQ93" s="29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0.4175</v>
      </c>
      <c r="AR93" s="29" cm="1">
        <f t="array" ref="AR93">$G$10+VLOOKUP($R93,武学奇术!$A:$ZZ,7,FALSE)+SUM(_xlfn.XLOOKUP(S93:AG93,增益!$A:$A,增益!$G:$G,0))</f>
        <v>0</v>
      </c>
      <c r="AS93" s="20" cm="1">
        <f t="array" ref="AS93">VLOOKUP($R93,武学奇术!$A:$ZZ,8,FALSE)+SUM(_xlfn.XLOOKUP(S93:AG93,增益!$A:$A,增益!$H:$H,0))</f>
        <v>0</v>
      </c>
      <c r="AT93">
        <f t="shared" si="43"/>
        <v>538</v>
      </c>
      <c r="AU93">
        <f t="shared" si="44"/>
        <v>1011</v>
      </c>
      <c r="AV93" s="29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0.155</v>
      </c>
      <c r="AW93" s="29" cm="1">
        <f t="array" ref="AW93">$G$11+VLOOKUP($R93,武学奇术!$A:$ZZ,10,FALSE)+SUM(_xlfn.XLOOKUP(S93:AG93,增益!$A:$A,增益!$J:$J,0))</f>
        <v>0.15</v>
      </c>
      <c r="AX93">
        <f t="shared" si="45"/>
        <v>0</v>
      </c>
      <c r="AY93">
        <f t="shared" si="46"/>
        <v>0</v>
      </c>
      <c r="AZ93" s="29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-0.14</v>
      </c>
      <c r="BA93" s="29" cm="1">
        <f t="array" ref="BA93">$G$12+VLOOKUP($R93,武学奇术!$A:$ZZ,12,FALSE)+SUM(_xlfn.XLOOKUP(S93:AG93,增益!$A:$A,增益!$L:$L,0))</f>
        <v>0</v>
      </c>
      <c r="BB93">
        <f t="shared" si="47"/>
        <v>0</v>
      </c>
      <c r="BC93">
        <f t="shared" si="48"/>
        <v>0</v>
      </c>
      <c r="BD93" s="29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-0.14</v>
      </c>
      <c r="BE93" s="29" cm="1">
        <f t="array" ref="BE93">$G$13+VLOOKUP($R93,武学奇术!$A:$ZZ,14,FALSE)+SUM(_xlfn.XLOOKUP(S93:AG93,增益!$A:$A,增益!$N:$N,0))</f>
        <v>0</v>
      </c>
      <c r="BF93">
        <f t="shared" si="49"/>
        <v>0</v>
      </c>
      <c r="BG93">
        <f t="shared" si="50"/>
        <v>0</v>
      </c>
      <c r="BH93" s="29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-0.14</v>
      </c>
      <c r="BI93" s="29" cm="1">
        <f t="array" ref="BI93">$G$14+VLOOKUP($R93,武学奇术!$A:$ZZ,16,FALSE)+SUM(_xlfn.XLOOKUP(S93:AG93,增益!$A:$A,增益!$P:$P,0))</f>
        <v>0</v>
      </c>
      <c r="BJ93" s="20">
        <f>MIN(IF(VLOOKUP($R93,武学奇术!$A:$ZZ,23,FALSE)=1,100%,$B$8),100%)</f>
        <v>0.8271</v>
      </c>
      <c r="BK93" s="20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0.2249</v>
      </c>
      <c r="BL93" s="20" cm="1">
        <f t="array" ref="BL93">1+$B$13+VLOOKUP($R93,武学奇术!$A:$ZZ,18,FALSE)+SUM(_xlfn.XLOOKUP(S93:AG93,增益!$A:$A,增益!$R:$R,0))</f>
        <v>1.5</v>
      </c>
      <c r="BM93" s="20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0.4459</v>
      </c>
      <c r="BN93" s="20" cm="1">
        <f t="array" ref="BN93">1+$B$14+VLOOKUP($R93,武学奇术!$A:$ZZ,20,FALSE)+SUM(_xlfn.XLOOKUP(S93:AG93,增益!$A:$A,增益!$T:$T,0))</f>
        <v>1.782</v>
      </c>
      <c r="BO93" s="20">
        <f t="shared" si="22"/>
        <v>0.18601479</v>
      </c>
      <c r="BP93" s="20">
        <f t="shared" si="32"/>
        <v>0.27228132</v>
      </c>
      <c r="BQ93" s="20">
        <f>IF(VLOOKUP($R93,武学奇术!$A:$ZZ,22,FALSE)=1,0,(1-$BJ93))*(1-$BM93)</f>
        <v>0.09580389</v>
      </c>
      <c r="BR93" s="20" cm="1">
        <f t="array" ref="BR93">SUM(_xlfn.XLOOKUP(S93:AG93,增益!$A:$A,增益!$W:$W,0))+$I$5</f>
        <v>0.11</v>
      </c>
    </row>
    <row r="94" spans="1:70">
      <c r="K94" s="27">
        <f>$L94*VLOOKUP($R94,武学奇术!$A:$ZZ,31,FALSE)</f>
        <v>14225.6967284734</v>
      </c>
      <c r="L94" s="27">
        <f t="shared" si="42"/>
        <v>14225.6967284734</v>
      </c>
      <c r="M94" s="27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12527.0560778889</v>
      </c>
      <c r="N94" s="27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20775.5110365395</v>
      </c>
      <c r="O94" s="27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8351.37071859263</v>
      </c>
      <c r="P94" s="27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3734.25764408944</v>
      </c>
      <c r="Q94" s="35">
        <v>1</v>
      </c>
      <c r="R94" s="36" t="s">
        <v>107</v>
      </c>
      <c r="S94" s="36" t="s">
        <v>71</v>
      </c>
      <c r="T94" s="36" t="s">
        <v>93</v>
      </c>
      <c r="U94" s="36" t="s">
        <v>71</v>
      </c>
      <c r="V94" s="36" t="s">
        <v>71</v>
      </c>
      <c r="W94" s="36" t="s">
        <v>111</v>
      </c>
      <c r="X94" s="36" t="s">
        <v>71</v>
      </c>
      <c r="Y94" s="36" t="s">
        <v>71</v>
      </c>
      <c r="Z94" s="36" t="s">
        <v>82</v>
      </c>
      <c r="AA94" s="36" t="s">
        <v>71</v>
      </c>
      <c r="AB94" s="36" t="s">
        <v>71</v>
      </c>
      <c r="AC94" s="36" t="s">
        <v>71</v>
      </c>
      <c r="AD94" s="36" t="s">
        <v>72</v>
      </c>
      <c r="AE94" s="36" t="s">
        <v>94</v>
      </c>
      <c r="AF94" s="36" t="s">
        <v>154</v>
      </c>
      <c r="AG94" s="36" t="s">
        <v>120</v>
      </c>
      <c r="AH94" t="str">
        <f>VLOOKUP($R94,武学奇术!$A:$ZZ,25,FALSE)</f>
        <v>剑</v>
      </c>
      <c r="AI94" s="20">
        <f>VLOOKUP($R94,武学奇术!$A:$ZZ,26,FALSE)</f>
        <v>0.625</v>
      </c>
      <c r="AJ94" s="21">
        <f>VLOOKUP($R94,武学奇术!$A:$ZZ,27,FALSE)*(1+IF(OR($AH94=$F$4,$AH94=$F$5),$B$22,0))</f>
        <v>0</v>
      </c>
      <c r="AK94" s="20">
        <f>VLOOKUP($R94,武学奇术!$A:$ZZ,28,FALSE)</f>
        <v>0.9375</v>
      </c>
      <c r="AL94" s="21">
        <f>VLOOKUP($R94,武学奇术!$A:$ZZ,29,FALSE)*(1+IF(OR($AH94=$F$4,$AH94=$F$5),$B$22,0))</f>
        <v>0</v>
      </c>
      <c r="AM94" s="20" cm="1">
        <f t="array" ref="AM94">$G$3+IFERROR(VLOOKUP($AH94,$F$4:$G$7,2,FALSE),0)+VLOOKUP($R94,武学奇术!$A:$ZZ,2,FALSE)+SUM(_xlfn.XLOOKUP($S94:$AG94,增益!$A:$A,增益!$B:$B,0))</f>
        <v>0.7191</v>
      </c>
      <c r="AN94" s="20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1585.72</v>
      </c>
      <c r="AP94" cm="1">
        <f t="array" ref="AP94">$E$10*(1+$AN94)+VLOOKUP($R94,武学奇术!$A:$ZZ,4,FALSE)+SUM(_xlfn.XLOOKUP($S94:$AG94,增益!$A:$A,增益!$D:$D,0))-$I$2</f>
        <v>6696.76</v>
      </c>
      <c r="AQ94" s="29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0.3425</v>
      </c>
      <c r="AR94" s="29" cm="1">
        <f t="array" ref="AR94">$G$10+VLOOKUP($R94,武学奇术!$A:$ZZ,7,FALSE)+SUM(_xlfn.XLOOKUP(S94:AG94,增益!$A:$A,增益!$G:$G,0))</f>
        <v>0</v>
      </c>
      <c r="AS94" s="20" cm="1">
        <f t="array" ref="AS94">VLOOKUP($R94,武学奇术!$A:$ZZ,8,FALSE)+SUM(_xlfn.XLOOKUP(S94:AG94,增益!$A:$A,增益!$H:$H,0))</f>
        <v>0</v>
      </c>
      <c r="AT94">
        <f t="shared" si="43"/>
        <v>538</v>
      </c>
      <c r="AU94">
        <f t="shared" si="44"/>
        <v>1011</v>
      </c>
      <c r="AV94" s="29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0.08</v>
      </c>
      <c r="AW94" s="29" cm="1">
        <f t="array" ref="AW94">$G$11+VLOOKUP($R94,武学奇术!$A:$ZZ,10,FALSE)+SUM(_xlfn.XLOOKUP(S94:AG94,增益!$A:$A,增益!$J:$J,0))</f>
        <v>0.15</v>
      </c>
      <c r="AX94">
        <f t="shared" si="45"/>
        <v>0</v>
      </c>
      <c r="AY94">
        <f t="shared" si="46"/>
        <v>0</v>
      </c>
      <c r="AZ94" s="29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-0.14</v>
      </c>
      <c r="BA94" s="29" cm="1">
        <f t="array" ref="BA94">$G$12+VLOOKUP($R94,武学奇术!$A:$ZZ,12,FALSE)+SUM(_xlfn.XLOOKUP(S94:AG94,增益!$A:$A,增益!$L:$L,0))</f>
        <v>0</v>
      </c>
      <c r="BB94">
        <f t="shared" si="47"/>
        <v>0</v>
      </c>
      <c r="BC94">
        <f t="shared" si="48"/>
        <v>0</v>
      </c>
      <c r="BD94" s="29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-0.14</v>
      </c>
      <c r="BE94" s="29" cm="1">
        <f t="array" ref="BE94">$G$13+VLOOKUP($R94,武学奇术!$A:$ZZ,14,FALSE)+SUM(_xlfn.XLOOKUP(S94:AG94,增益!$A:$A,增益!$N:$N,0))</f>
        <v>0</v>
      </c>
      <c r="BF94">
        <f t="shared" si="49"/>
        <v>0</v>
      </c>
      <c r="BG94">
        <f t="shared" si="50"/>
        <v>0</v>
      </c>
      <c r="BH94" s="29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-0.14</v>
      </c>
      <c r="BI94" s="29" cm="1">
        <f t="array" ref="BI94">$G$14+VLOOKUP($R94,武学奇术!$A:$ZZ,16,FALSE)+SUM(_xlfn.XLOOKUP(S94:AG94,增益!$A:$A,增益!$P:$P,0))</f>
        <v>0</v>
      </c>
      <c r="BJ94" s="20">
        <f>MIN(IF(VLOOKUP($R94,武学奇术!$A:$ZZ,23,FALSE)=1,100%,$B$8),100%)</f>
        <v>0.8271</v>
      </c>
      <c r="BK94" s="20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0.2249</v>
      </c>
      <c r="BL94" s="20" cm="1">
        <f t="array" ref="BL94">1+$B$13+VLOOKUP($R94,武学奇术!$A:$ZZ,18,FALSE)+SUM(_xlfn.XLOOKUP(S94:AG94,增益!$A:$A,增益!$R:$R,0))</f>
        <v>1.5</v>
      </c>
      <c r="BM94" s="20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0.4459</v>
      </c>
      <c r="BN94" s="20" cm="1">
        <f t="array" ref="BN94">1+$B$14+VLOOKUP($R94,武学奇术!$A:$ZZ,20,FALSE)+SUM(_xlfn.XLOOKUP(S94:AG94,增益!$A:$A,增益!$T:$T,0))</f>
        <v>1.602</v>
      </c>
      <c r="BO94" s="20">
        <f t="shared" si="22"/>
        <v>0.18601479</v>
      </c>
      <c r="BP94" s="20">
        <f t="shared" si="32"/>
        <v>0.27228132</v>
      </c>
      <c r="BQ94" s="20">
        <f>IF(VLOOKUP($R94,武学奇术!$A:$ZZ,22,FALSE)=1,0,(1-$BJ94))*(1-$BM94)</f>
        <v>0.09580389</v>
      </c>
      <c r="BR94" s="20" cm="1">
        <f t="array" ref="BR94">SUM(_xlfn.XLOOKUP(S94:AG94,增益!$A:$A,增益!$W:$W,0))+$I$5</f>
        <v>0.11</v>
      </c>
    </row>
    <row r="95" spans="1:70">
      <c r="K95" s="27">
        <f>$L95*VLOOKUP($R95,武学奇术!$A:$ZZ,31,FALSE)</f>
        <v>50866.4250843274</v>
      </c>
      <c r="L95" s="27">
        <f t="shared" si="42"/>
        <v>50866.4250843274</v>
      </c>
      <c r="M95" s="27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45803.3566136206</v>
      </c>
      <c r="N95" s="27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72989.899502923</v>
      </c>
      <c r="O95" s="27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30535.5710757471</v>
      </c>
      <c r="P95" s="27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15509.407130943</v>
      </c>
      <c r="Q95" s="35">
        <v>1</v>
      </c>
      <c r="R95" s="36" t="s">
        <v>88</v>
      </c>
      <c r="S95" s="36" t="s">
        <v>71</v>
      </c>
      <c r="T95" s="36" t="s">
        <v>93</v>
      </c>
      <c r="U95" s="36" t="s">
        <v>71</v>
      </c>
      <c r="V95" s="36" t="s">
        <v>71</v>
      </c>
      <c r="W95" s="36" t="s">
        <v>71</v>
      </c>
      <c r="X95" s="36" t="s">
        <v>71</v>
      </c>
      <c r="Y95" s="36" t="s">
        <v>71</v>
      </c>
      <c r="Z95" s="36" t="s">
        <v>82</v>
      </c>
      <c r="AA95" s="36" t="s">
        <v>71</v>
      </c>
      <c r="AB95" s="36" t="s">
        <v>71</v>
      </c>
      <c r="AC95" s="36" t="s">
        <v>71</v>
      </c>
      <c r="AD95" s="36" t="s">
        <v>72</v>
      </c>
      <c r="AE95" s="36" t="s">
        <v>94</v>
      </c>
      <c r="AF95" s="36" t="s">
        <v>154</v>
      </c>
      <c r="AG95" s="36" t="s">
        <v>120</v>
      </c>
      <c r="AH95" t="str">
        <f>VLOOKUP($R95,武学奇术!$A:$ZZ,25,FALSE)</f>
        <v>枪</v>
      </c>
      <c r="AI95" s="20">
        <f>VLOOKUP($R95,武学奇术!$A:$ZZ,26,FALSE)</f>
        <v>2.1401</v>
      </c>
      <c r="AJ95" s="21">
        <f>VLOOKUP($R95,武学奇术!$A:$ZZ,27,FALSE)*(1+IF(OR($AH95=$F$4,$AH95=$F$5),$B$22,0))</f>
        <v>823.2</v>
      </c>
      <c r="AK95" s="20">
        <f>VLOOKUP($R95,武学奇术!$A:$ZZ,28,FALSE)</f>
        <v>3.2101</v>
      </c>
      <c r="AL95" s="21">
        <f>VLOOKUP($R95,武学奇术!$A:$ZZ,29,FALSE)*(1+IF(OR($AH95=$F$4,$AH95=$F$5),$B$22,0))</f>
        <v>448</v>
      </c>
      <c r="AM95" s="20" cm="1">
        <f t="array" ref="AM95">$G$3+IFERROR(VLOOKUP($AH95,$F$4:$G$7,2,FALSE),0)+VLOOKUP($R95,武学奇术!$A:$ZZ,2,FALSE)+SUM(_xlfn.XLOOKUP($S95:$AG95,增益!$A:$A,增益!$B:$B,0))</f>
        <v>0.6339</v>
      </c>
      <c r="AN95" s="20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1554.72</v>
      </c>
      <c r="AP95" cm="1">
        <f t="array" ref="AP95">$E$10*(1+$AN95)+VLOOKUP($R95,武学奇术!$A:$ZZ,4,FALSE)+SUM(_xlfn.XLOOKUP($S95:$AG95,增益!$A:$A,增益!$D:$D,0))-$I$2</f>
        <v>6665.76</v>
      </c>
      <c r="AQ95" s="29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0.3425</v>
      </c>
      <c r="AR95" s="29" cm="1">
        <f t="array" ref="AR95">$G$10+VLOOKUP($R95,武学奇术!$A:$ZZ,7,FALSE)+SUM(_xlfn.XLOOKUP(S95:AG95,增益!$A:$A,增益!$G:$G,0))</f>
        <v>0</v>
      </c>
      <c r="AS95" s="20" cm="1">
        <f t="array" ref="AS95">VLOOKUP($R95,武学奇术!$A:$ZZ,8,FALSE)+SUM(_xlfn.XLOOKUP(S95:AG95,增益!$A:$A,增益!$H:$H,0))</f>
        <v>0</v>
      </c>
      <c r="AT95">
        <f t="shared" si="43"/>
        <v>538</v>
      </c>
      <c r="AU95">
        <f t="shared" si="44"/>
        <v>1011</v>
      </c>
      <c r="AV95" s="29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0.08</v>
      </c>
      <c r="AW95" s="29" cm="1">
        <f t="array" ref="AW95">$G$11+VLOOKUP($R95,武学奇术!$A:$ZZ,10,FALSE)+SUM(_xlfn.XLOOKUP(S95:AG95,增益!$A:$A,增益!$J:$J,0))</f>
        <v>0.15</v>
      </c>
      <c r="AX95">
        <f t="shared" si="45"/>
        <v>0</v>
      </c>
      <c r="AY95">
        <f t="shared" si="46"/>
        <v>0</v>
      </c>
      <c r="AZ95" s="29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-0.14</v>
      </c>
      <c r="BA95" s="29" cm="1">
        <f t="array" ref="BA95">$G$12+VLOOKUP($R95,武学奇术!$A:$ZZ,12,FALSE)+SUM(_xlfn.XLOOKUP(S95:AG95,增益!$A:$A,增益!$L:$L,0))</f>
        <v>0</v>
      </c>
      <c r="BB95">
        <f t="shared" si="47"/>
        <v>0</v>
      </c>
      <c r="BC95">
        <f t="shared" si="48"/>
        <v>0</v>
      </c>
      <c r="BD95" s="29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-0.14</v>
      </c>
      <c r="BE95" s="29" cm="1">
        <f t="array" ref="BE95">$G$13+VLOOKUP($R95,武学奇术!$A:$ZZ,14,FALSE)+SUM(_xlfn.XLOOKUP(S95:AG95,增益!$A:$A,增益!$N:$N,0))</f>
        <v>0</v>
      </c>
      <c r="BF95">
        <f t="shared" si="49"/>
        <v>0</v>
      </c>
      <c r="BG95">
        <f t="shared" si="50"/>
        <v>0</v>
      </c>
      <c r="BH95" s="29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-0.14</v>
      </c>
      <c r="BI95" s="29" cm="1">
        <f t="array" ref="BI95">$G$14+VLOOKUP($R95,武学奇术!$A:$ZZ,16,FALSE)+SUM(_xlfn.XLOOKUP(S95:AG95,增益!$A:$A,增益!$P:$P,0))</f>
        <v>0</v>
      </c>
      <c r="BJ95" s="20">
        <f>MIN(IF(VLOOKUP($R95,武学奇术!$A:$ZZ,23,FALSE)=1,100%,$B$8),100%)</f>
        <v>0.8271</v>
      </c>
      <c r="BK95" s="20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0.2249</v>
      </c>
      <c r="BL95" s="20" cm="1">
        <f t="array" ref="BL95">1+$B$13+VLOOKUP($R95,武学奇术!$A:$ZZ,18,FALSE)+SUM(_xlfn.XLOOKUP(S95:AG95,增益!$A:$A,增益!$R:$R,0))</f>
        <v>1.5</v>
      </c>
      <c r="BM95" s="20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0.4459</v>
      </c>
      <c r="BN95" s="20" cm="1">
        <f t="array" ref="BN95">1+$B$14+VLOOKUP($R95,武学奇术!$A:$ZZ,20,FALSE)+SUM(_xlfn.XLOOKUP(S95:AG95,增益!$A:$A,增益!$T:$T,0))</f>
        <v>1.602</v>
      </c>
      <c r="BO95" s="20">
        <f t="shared" si="22"/>
        <v>0.18601479</v>
      </c>
      <c r="BP95" s="20">
        <f t="shared" si="32"/>
        <v>0.27228132</v>
      </c>
      <c r="BQ95" s="20">
        <f>IF(VLOOKUP($R95,武学奇术!$A:$ZZ,22,FALSE)=1,0,(1-$BJ95))*(1-$BM95)</f>
        <v>0.09580389</v>
      </c>
      <c r="BR95" s="20" cm="1">
        <f t="array" ref="BR95">SUM(_xlfn.XLOOKUP(S95:AG95,增益!$A:$A,增益!$W:$W,0))+$I$5</f>
        <v>0.11</v>
      </c>
    </row>
    <row r="96" spans="1:70">
      <c r="K96" s="27">
        <f>$L96*VLOOKUP($R96,武学奇术!$A:$ZZ,31,FALSE)</f>
        <v>29478.738942316</v>
      </c>
      <c r="L96" s="27">
        <f t="shared" si="42"/>
        <v>29478.738942316</v>
      </c>
      <c r="M96" s="27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26547.9661429152</v>
      </c>
      <c r="N96" s="27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42295.5964211987</v>
      </c>
      <c r="O96" s="27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17698.6440952768</v>
      </c>
      <c r="P96" s="27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8995.54260928107</v>
      </c>
      <c r="Q96" s="35">
        <v>1</v>
      </c>
      <c r="R96" s="36" t="s">
        <v>92</v>
      </c>
      <c r="S96" s="36" t="s">
        <v>71</v>
      </c>
      <c r="T96" s="36" t="s">
        <v>93</v>
      </c>
      <c r="U96" s="36" t="s">
        <v>71</v>
      </c>
      <c r="V96" s="36" t="s">
        <v>71</v>
      </c>
      <c r="W96" s="36" t="s">
        <v>71</v>
      </c>
      <c r="X96" s="36" t="s">
        <v>71</v>
      </c>
      <c r="Y96" s="36" t="s">
        <v>71</v>
      </c>
      <c r="Z96" s="36" t="s">
        <v>82</v>
      </c>
      <c r="AA96" s="36" t="s">
        <v>71</v>
      </c>
      <c r="AB96" s="36" t="s">
        <v>71</v>
      </c>
      <c r="AC96" s="36" t="s">
        <v>71</v>
      </c>
      <c r="AD96" s="36" t="s">
        <v>72</v>
      </c>
      <c r="AE96" s="36" t="s">
        <v>94</v>
      </c>
      <c r="AF96" s="36" t="s">
        <v>154</v>
      </c>
      <c r="AG96" s="36" t="s">
        <v>120</v>
      </c>
      <c r="AH96" t="str">
        <f>VLOOKUP($R96,武学奇术!$A:$ZZ,25,FALSE)</f>
        <v>剑</v>
      </c>
      <c r="AI96" s="20">
        <f>VLOOKUP($R96,武学奇术!$A:$ZZ,26,FALSE)</f>
        <v>1.1781</v>
      </c>
      <c r="AJ96" s="21">
        <f>VLOOKUP($R96,武学奇术!$A:$ZZ,27,FALSE)*(1+IF(OR($AH96=$F$4,$AH96=$F$5),$B$22,0))</f>
        <v>456.4</v>
      </c>
      <c r="AK96" s="20">
        <f>VLOOKUP($R96,武学奇术!$A:$ZZ,28,FALSE)</f>
        <v>1.7672</v>
      </c>
      <c r="AL96" s="21">
        <f>VLOOKUP($R96,武学奇术!$A:$ZZ,29,FALSE)*(1+IF(OR($AH96=$F$4,$AH96=$F$5),$B$22,0))</f>
        <v>247.8</v>
      </c>
      <c r="AM96" s="20" cm="1">
        <f t="array" ref="AM96">$G$3+IFERROR(VLOOKUP($AH96,$F$4:$G$7,2,FALSE),0)+VLOOKUP($R96,武学奇术!$A:$ZZ,2,FALSE)+SUM(_xlfn.XLOOKUP($S96:$AG96,增益!$A:$A,增益!$B:$B,0))</f>
        <v>0.7191</v>
      </c>
      <c r="AN96" s="20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1554.72</v>
      </c>
      <c r="AP96" cm="1">
        <f t="array" ref="AP96">$E$10*(1+$AN96)+VLOOKUP($R96,武学奇术!$A:$ZZ,4,FALSE)+SUM(_xlfn.XLOOKUP($S96:$AG96,增益!$A:$A,增益!$D:$D,0))-$I$2</f>
        <v>6665.76</v>
      </c>
      <c r="AQ96" s="29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0.3425</v>
      </c>
      <c r="AR96" s="29" cm="1">
        <f t="array" ref="AR96">$G$10+VLOOKUP($R96,武学奇术!$A:$ZZ,7,FALSE)+SUM(_xlfn.XLOOKUP(S96:AG96,增益!$A:$A,增益!$G:$G,0))</f>
        <v>0</v>
      </c>
      <c r="AS96" s="20" cm="1">
        <f t="array" ref="AS96">VLOOKUP($R96,武学奇术!$A:$ZZ,8,FALSE)+SUM(_xlfn.XLOOKUP(S96:AG96,增益!$A:$A,增益!$H:$H,0))</f>
        <v>0</v>
      </c>
      <c r="AT96">
        <f t="shared" si="43"/>
        <v>538</v>
      </c>
      <c r="AU96">
        <f t="shared" si="44"/>
        <v>1011</v>
      </c>
      <c r="AV96" s="29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0.08</v>
      </c>
      <c r="AW96" s="29" cm="1">
        <f t="array" ref="AW96">$G$11+VLOOKUP($R96,武学奇术!$A:$ZZ,10,FALSE)+SUM(_xlfn.XLOOKUP(S96:AG96,增益!$A:$A,增益!$J:$J,0))</f>
        <v>0.15</v>
      </c>
      <c r="AX96">
        <f t="shared" si="45"/>
        <v>0</v>
      </c>
      <c r="AY96">
        <f t="shared" si="46"/>
        <v>0</v>
      </c>
      <c r="AZ96" s="29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-0.14</v>
      </c>
      <c r="BA96" s="29" cm="1">
        <f t="array" ref="BA96">$G$12+VLOOKUP($R96,武学奇术!$A:$ZZ,12,FALSE)+SUM(_xlfn.XLOOKUP(S96:AG96,增益!$A:$A,增益!$L:$L,0))</f>
        <v>0</v>
      </c>
      <c r="BB96">
        <f t="shared" si="47"/>
        <v>0</v>
      </c>
      <c r="BC96">
        <f t="shared" si="48"/>
        <v>0</v>
      </c>
      <c r="BD96" s="29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-0.14</v>
      </c>
      <c r="BE96" s="29" cm="1">
        <f t="array" ref="BE96">$G$13+VLOOKUP($R96,武学奇术!$A:$ZZ,14,FALSE)+SUM(_xlfn.XLOOKUP(S96:AG96,增益!$A:$A,增益!$N:$N,0))</f>
        <v>0</v>
      </c>
      <c r="BF96">
        <f t="shared" si="49"/>
        <v>0</v>
      </c>
      <c r="BG96">
        <f t="shared" si="50"/>
        <v>0</v>
      </c>
      <c r="BH96" s="29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-0.14</v>
      </c>
      <c r="BI96" s="29" cm="1">
        <f t="array" ref="BI96">$G$14+VLOOKUP($R96,武学奇术!$A:$ZZ,16,FALSE)+SUM(_xlfn.XLOOKUP(S96:AG96,增益!$A:$A,增益!$P:$P,0))</f>
        <v>0</v>
      </c>
      <c r="BJ96" s="20">
        <f>MIN(IF(VLOOKUP($R96,武学奇术!$A:$ZZ,23,FALSE)=1,100%,$B$8),100%)</f>
        <v>0.8271</v>
      </c>
      <c r="BK96" s="20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0.2249</v>
      </c>
      <c r="BL96" s="20" cm="1">
        <f t="array" ref="BL96">1+$B$13+VLOOKUP($R96,武学奇术!$A:$ZZ,18,FALSE)+SUM(_xlfn.XLOOKUP(S96:AG96,增益!$A:$A,增益!$R:$R,0))</f>
        <v>1.5</v>
      </c>
      <c r="BM96" s="20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0.4459</v>
      </c>
      <c r="BN96" s="20" cm="1">
        <f t="array" ref="BN96">1+$B$14+VLOOKUP($R96,武学奇术!$A:$ZZ,20,FALSE)+SUM(_xlfn.XLOOKUP(S96:AG96,增益!$A:$A,增益!$T:$T,0))</f>
        <v>1.602</v>
      </c>
      <c r="BO96" s="20">
        <f t="shared" si="22"/>
        <v>0.18601479</v>
      </c>
      <c r="BP96" s="20">
        <f t="shared" si="32"/>
        <v>0.27228132</v>
      </c>
      <c r="BQ96" s="20">
        <f>IF(VLOOKUP($R96,武学奇术!$A:$ZZ,22,FALSE)=1,0,(1-$BJ96))*(1-$BM96)</f>
        <v>0.09580389</v>
      </c>
      <c r="BR96" s="20" cm="1">
        <f t="array" ref="BR96">SUM(_xlfn.XLOOKUP(S96:AG96,增益!$A:$A,增益!$W:$W,0))+$I$5</f>
        <v>0.11</v>
      </c>
    </row>
    <row r="97" spans="11:70">
      <c r="K97" s="27">
        <f>$L97*VLOOKUP($R97,武学奇术!$A:$ZZ,31,FALSE)</f>
        <v>73060.5269960282</v>
      </c>
      <c r="L97" s="27">
        <f t="shared" si="42"/>
        <v>121767.54499338</v>
      </c>
      <c r="M97" s="27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99816.23415917</v>
      </c>
      <c r="N97" s="27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184453.281988488</v>
      </c>
      <c r="O97" s="27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66544.1561061134</v>
      </c>
      <c r="P97" s="27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29579.1752938831</v>
      </c>
      <c r="Q97" s="35">
        <v>1</v>
      </c>
      <c r="R97" s="36" t="s">
        <v>105</v>
      </c>
      <c r="S97" s="36" t="s">
        <v>71</v>
      </c>
      <c r="T97" s="36" t="s">
        <v>99</v>
      </c>
      <c r="U97" s="36" t="s">
        <v>100</v>
      </c>
      <c r="V97" s="36" t="s">
        <v>101</v>
      </c>
      <c r="W97" s="36" t="s">
        <v>71</v>
      </c>
      <c r="X97" s="36" t="s">
        <v>71</v>
      </c>
      <c r="Y97" s="36" t="s">
        <v>71</v>
      </c>
      <c r="Z97" s="36" t="s">
        <v>82</v>
      </c>
      <c r="AA97" s="36" t="s">
        <v>71</v>
      </c>
      <c r="AB97" s="36" t="s">
        <v>71</v>
      </c>
      <c r="AC97" s="36" t="s">
        <v>71</v>
      </c>
      <c r="AD97" s="36" t="s">
        <v>72</v>
      </c>
      <c r="AE97" s="36" t="s">
        <v>94</v>
      </c>
      <c r="AF97" s="36" t="s">
        <v>154</v>
      </c>
      <c r="AG97" s="36" t="s">
        <v>120</v>
      </c>
      <c r="AH97" t="str">
        <f>VLOOKUP($R97,武学奇术!$A:$ZZ,25,FALSE)</f>
        <v>剑</v>
      </c>
      <c r="AI97" s="20">
        <f>VLOOKUP($R97,武学奇术!$A:$ZZ,26,FALSE)</f>
        <v>2.496</v>
      </c>
      <c r="AJ97" s="21">
        <f>VLOOKUP($R97,武学奇术!$A:$ZZ,27,FALSE)*(1+IF(OR($AH97=$F$4,$AH97=$F$5),$B$22,0))</f>
        <v>0</v>
      </c>
      <c r="AK97" s="20">
        <f>VLOOKUP($R97,武学奇术!$A:$ZZ,28,FALSE)</f>
        <v>3.744</v>
      </c>
      <c r="AL97" s="21">
        <f>VLOOKUP($R97,武学奇术!$A:$ZZ,29,FALSE)*(1+IF(OR($AH97=$F$4,$AH97=$F$5),$B$22,0))</f>
        <v>0</v>
      </c>
      <c r="AM97" s="20" cm="1">
        <f t="array" ref="AM97">$G$3+IFERROR(VLOOKUP($AH97,$F$4:$G$7,2,FALSE),0)+VLOOKUP($R97,武学奇术!$A:$ZZ,2,FALSE)+SUM(_xlfn.XLOOKUP($S97:$AG97,增益!$A:$A,增益!$B:$B,0))</f>
        <v>1.4691</v>
      </c>
      <c r="AN97" s="20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1554.72</v>
      </c>
      <c r="AP97" cm="1">
        <f t="array" ref="AP97">$E$10*(1+$AN97)+VLOOKUP($R97,武学奇术!$A:$ZZ,4,FALSE)+SUM(_xlfn.XLOOKUP($S97:$AG97,增益!$A:$A,增益!$D:$D,0))-$I$2</f>
        <v>6665.76</v>
      </c>
      <c r="AQ97" s="29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0.4175</v>
      </c>
      <c r="AR97" s="29" cm="1">
        <f t="array" ref="AR97">$G$10+VLOOKUP($R97,武学奇术!$A:$ZZ,7,FALSE)+SUM(_xlfn.XLOOKUP(S97:AG97,增益!$A:$A,增益!$G:$G,0))</f>
        <v>0</v>
      </c>
      <c r="AS97" s="20" cm="1">
        <f t="array" ref="AS97">VLOOKUP($R97,武学奇术!$A:$ZZ,8,FALSE)+SUM(_xlfn.XLOOKUP(S97:AG97,增益!$A:$A,增益!$H:$H,0))</f>
        <v>0</v>
      </c>
      <c r="AT97">
        <f t="shared" si="43"/>
        <v>538</v>
      </c>
      <c r="AU97">
        <f t="shared" si="44"/>
        <v>1011</v>
      </c>
      <c r="AV97" s="29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0.155</v>
      </c>
      <c r="AW97" s="29" cm="1">
        <f t="array" ref="AW97">$G$11+VLOOKUP($R97,武学奇术!$A:$ZZ,10,FALSE)+SUM(_xlfn.XLOOKUP(S97:AG97,增益!$A:$A,增益!$J:$J,0))</f>
        <v>0.15</v>
      </c>
      <c r="AX97">
        <f t="shared" si="45"/>
        <v>0</v>
      </c>
      <c r="AY97">
        <f t="shared" si="46"/>
        <v>0</v>
      </c>
      <c r="AZ97" s="29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-0.14</v>
      </c>
      <c r="BA97" s="29" cm="1">
        <f t="array" ref="BA97">$G$12+VLOOKUP($R97,武学奇术!$A:$ZZ,12,FALSE)+SUM(_xlfn.XLOOKUP(S97:AG97,增益!$A:$A,增益!$L:$L,0))</f>
        <v>0</v>
      </c>
      <c r="BB97">
        <f t="shared" si="47"/>
        <v>0</v>
      </c>
      <c r="BC97">
        <f t="shared" si="48"/>
        <v>0</v>
      </c>
      <c r="BD97" s="29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-0.14</v>
      </c>
      <c r="BE97" s="29" cm="1">
        <f t="array" ref="BE97">$G$13+VLOOKUP($R97,武学奇术!$A:$ZZ,14,FALSE)+SUM(_xlfn.XLOOKUP(S97:AG97,增益!$A:$A,增益!$N:$N,0))</f>
        <v>0</v>
      </c>
      <c r="BF97">
        <f t="shared" si="49"/>
        <v>0</v>
      </c>
      <c r="BG97">
        <f t="shared" si="50"/>
        <v>0</v>
      </c>
      <c r="BH97" s="29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-0.14</v>
      </c>
      <c r="BI97" s="29" cm="1">
        <f t="array" ref="BI97">$G$14+VLOOKUP($R97,武学奇术!$A:$ZZ,16,FALSE)+SUM(_xlfn.XLOOKUP(S97:AG97,增益!$A:$A,增益!$P:$P,0))</f>
        <v>0</v>
      </c>
      <c r="BJ97" s="20">
        <f>MIN(IF(VLOOKUP($R97,武学奇术!$A:$ZZ,23,FALSE)=1,100%,$B$8),100%)</f>
        <v>0.8271</v>
      </c>
      <c r="BK97" s="20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0.2249</v>
      </c>
      <c r="BL97" s="20" cm="1">
        <f t="array" ref="BL97">1+$B$13+VLOOKUP($R97,武学奇术!$A:$ZZ,18,FALSE)+SUM(_xlfn.XLOOKUP(S97:AG97,增益!$A:$A,增益!$R:$R,0))</f>
        <v>1.5</v>
      </c>
      <c r="BM97" s="20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0.4459</v>
      </c>
      <c r="BN97" s="20" cm="1">
        <f t="array" ref="BN97">1+$B$14+VLOOKUP($R97,武学奇术!$A:$ZZ,20,FALSE)+SUM(_xlfn.XLOOKUP(S97:AG97,增益!$A:$A,增益!$T:$T,0))</f>
        <v>1.782</v>
      </c>
      <c r="BO97" s="20">
        <f t="shared" si="22"/>
        <v>0.18601479</v>
      </c>
      <c r="BP97" s="20">
        <f t="shared" si="32"/>
        <v>0.27228132</v>
      </c>
      <c r="BQ97" s="20">
        <f>IF(VLOOKUP($R97,武学奇术!$A:$ZZ,22,FALSE)=1,0,(1-$BJ97))*(1-$BM97)</f>
        <v>0.09580389</v>
      </c>
      <c r="BR97" s="20" cm="1">
        <f t="array" ref="BR97">SUM(_xlfn.XLOOKUP(S97:AG97,增益!$A:$A,增益!$W:$W,0))+$I$5</f>
        <v>0.11</v>
      </c>
    </row>
    <row r="98" spans="11:70">
      <c r="K98" s="27">
        <f>$L98*VLOOKUP($R98,武学奇术!$A:$ZZ,31,FALSE)</f>
        <v>73060.5269960282</v>
      </c>
      <c r="L98" s="27">
        <f t="shared" si="42"/>
        <v>121767.54499338</v>
      </c>
      <c r="M98" s="27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99816.23415917</v>
      </c>
      <c r="N98" s="27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184453.281988488</v>
      </c>
      <c r="O98" s="27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66544.1561061134</v>
      </c>
      <c r="P98" s="27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29579.1752938831</v>
      </c>
      <c r="Q98" s="35">
        <v>1</v>
      </c>
      <c r="R98" s="36" t="s">
        <v>105</v>
      </c>
      <c r="S98" s="36" t="s">
        <v>71</v>
      </c>
      <c r="T98" s="36" t="s">
        <v>99</v>
      </c>
      <c r="U98" s="36" t="s">
        <v>100</v>
      </c>
      <c r="V98" s="36" t="s">
        <v>101</v>
      </c>
      <c r="W98" s="36" t="s">
        <v>71</v>
      </c>
      <c r="X98" s="36" t="s">
        <v>71</v>
      </c>
      <c r="Y98" s="36" t="s">
        <v>71</v>
      </c>
      <c r="Z98" s="36" t="s">
        <v>82</v>
      </c>
      <c r="AA98" s="36" t="s">
        <v>71</v>
      </c>
      <c r="AB98" s="36" t="s">
        <v>71</v>
      </c>
      <c r="AC98" s="36" t="s">
        <v>71</v>
      </c>
      <c r="AD98" s="36" t="s">
        <v>72</v>
      </c>
      <c r="AE98" s="36" t="s">
        <v>94</v>
      </c>
      <c r="AF98" s="36" t="s">
        <v>154</v>
      </c>
      <c r="AG98" s="36" t="s">
        <v>120</v>
      </c>
      <c r="AH98" t="str">
        <f>VLOOKUP($R98,武学奇术!$A:$ZZ,25,FALSE)</f>
        <v>剑</v>
      </c>
      <c r="AI98" s="20">
        <f>VLOOKUP($R98,武学奇术!$A:$ZZ,26,FALSE)</f>
        <v>2.496</v>
      </c>
      <c r="AJ98" s="21">
        <f>VLOOKUP($R98,武学奇术!$A:$ZZ,27,FALSE)*(1+IF(OR($AH98=$F$4,$AH98=$F$5),$B$22,0))</f>
        <v>0</v>
      </c>
      <c r="AK98" s="20">
        <f>VLOOKUP($R98,武学奇术!$A:$ZZ,28,FALSE)</f>
        <v>3.744</v>
      </c>
      <c r="AL98" s="21">
        <f>VLOOKUP($R98,武学奇术!$A:$ZZ,29,FALSE)*(1+IF(OR($AH98=$F$4,$AH98=$F$5),$B$22,0))</f>
        <v>0</v>
      </c>
      <c r="AM98" s="20" cm="1">
        <f t="array" ref="AM98">$G$3+IFERROR(VLOOKUP($AH98,$F$4:$G$7,2,FALSE),0)+VLOOKUP($R98,武学奇术!$A:$ZZ,2,FALSE)+SUM(_xlfn.XLOOKUP($S98:$AG98,增益!$A:$A,增益!$B:$B,0))</f>
        <v>1.4691</v>
      </c>
      <c r="AN98" s="20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1554.72</v>
      </c>
      <c r="AP98" cm="1">
        <f t="array" ref="AP98">$E$10*(1+$AN98)+VLOOKUP($R98,武学奇术!$A:$ZZ,4,FALSE)+SUM(_xlfn.XLOOKUP($S98:$AG98,增益!$A:$A,增益!$D:$D,0))-$I$2</f>
        <v>6665.76</v>
      </c>
      <c r="AQ98" s="29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0.4175</v>
      </c>
      <c r="AR98" s="29" cm="1">
        <f t="array" ref="AR98">$G$10+VLOOKUP($R98,武学奇术!$A:$ZZ,7,FALSE)+SUM(_xlfn.XLOOKUP(S98:AG98,增益!$A:$A,增益!$G:$G,0))</f>
        <v>0</v>
      </c>
      <c r="AS98" s="20" cm="1">
        <f t="array" ref="AS98">VLOOKUP($R98,武学奇术!$A:$ZZ,8,FALSE)+SUM(_xlfn.XLOOKUP(S98:AG98,增益!$A:$A,增益!$H:$H,0))</f>
        <v>0</v>
      </c>
      <c r="AT98">
        <f t="shared" si="43"/>
        <v>538</v>
      </c>
      <c r="AU98">
        <f t="shared" si="44"/>
        <v>1011</v>
      </c>
      <c r="AV98" s="29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0.155</v>
      </c>
      <c r="AW98" s="29" cm="1">
        <f t="array" ref="AW98">$G$11+VLOOKUP($R98,武学奇术!$A:$ZZ,10,FALSE)+SUM(_xlfn.XLOOKUP(S98:AG98,增益!$A:$A,增益!$J:$J,0))</f>
        <v>0.15</v>
      </c>
      <c r="AX98">
        <f t="shared" si="45"/>
        <v>0</v>
      </c>
      <c r="AY98">
        <f t="shared" si="46"/>
        <v>0</v>
      </c>
      <c r="AZ98" s="29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-0.14</v>
      </c>
      <c r="BA98" s="29" cm="1">
        <f t="array" ref="BA98">$G$12+VLOOKUP($R98,武学奇术!$A:$ZZ,12,FALSE)+SUM(_xlfn.XLOOKUP(S98:AG98,增益!$A:$A,增益!$L:$L,0))</f>
        <v>0</v>
      </c>
      <c r="BB98">
        <f t="shared" si="47"/>
        <v>0</v>
      </c>
      <c r="BC98">
        <f t="shared" si="48"/>
        <v>0</v>
      </c>
      <c r="BD98" s="29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-0.14</v>
      </c>
      <c r="BE98" s="29" cm="1">
        <f t="array" ref="BE98">$G$13+VLOOKUP($R98,武学奇术!$A:$ZZ,14,FALSE)+SUM(_xlfn.XLOOKUP(S98:AG98,增益!$A:$A,增益!$N:$N,0))</f>
        <v>0</v>
      </c>
      <c r="BF98">
        <f t="shared" si="49"/>
        <v>0</v>
      </c>
      <c r="BG98">
        <f t="shared" si="50"/>
        <v>0</v>
      </c>
      <c r="BH98" s="29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-0.14</v>
      </c>
      <c r="BI98" s="29" cm="1">
        <f t="array" ref="BI98">$G$14+VLOOKUP($R98,武学奇术!$A:$ZZ,16,FALSE)+SUM(_xlfn.XLOOKUP(S98:AG98,增益!$A:$A,增益!$P:$P,0))</f>
        <v>0</v>
      </c>
      <c r="BJ98" s="20">
        <f>MIN(IF(VLOOKUP($R98,武学奇术!$A:$ZZ,23,FALSE)=1,100%,$B$8),100%)</f>
        <v>0.8271</v>
      </c>
      <c r="BK98" s="20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0.2249</v>
      </c>
      <c r="BL98" s="20" cm="1">
        <f t="array" ref="BL98">1+$B$13+VLOOKUP($R98,武学奇术!$A:$ZZ,18,FALSE)+SUM(_xlfn.XLOOKUP(S98:AG98,增益!$A:$A,增益!$R:$R,0))</f>
        <v>1.5</v>
      </c>
      <c r="BM98" s="20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0.4459</v>
      </c>
      <c r="BN98" s="20" cm="1">
        <f t="array" ref="BN98">1+$B$14+VLOOKUP($R98,武学奇术!$A:$ZZ,20,FALSE)+SUM(_xlfn.XLOOKUP(S98:AG98,增益!$A:$A,增益!$T:$T,0))</f>
        <v>1.782</v>
      </c>
      <c r="BO98" s="20">
        <f t="shared" si="22"/>
        <v>0.18601479</v>
      </c>
      <c r="BP98" s="20">
        <f t="shared" si="32"/>
        <v>0.27228132</v>
      </c>
      <c r="BQ98" s="20">
        <f>IF(VLOOKUP($R98,武学奇术!$A:$ZZ,22,FALSE)=1,0,(1-$BJ98))*(1-$BM98)</f>
        <v>0.09580389</v>
      </c>
      <c r="BR98" s="20" cm="1">
        <f t="array" ref="BR98">SUM(_xlfn.XLOOKUP(S98:AG98,增益!$A:$A,增益!$W:$W,0))+$I$5</f>
        <v>0.11</v>
      </c>
    </row>
    <row r="99" spans="11:70">
      <c r="K99" s="27">
        <f>$L99*VLOOKUP($R99,武学奇术!$A:$ZZ,31,FALSE)</f>
        <v>14158.1229234794</v>
      </c>
      <c r="L99" s="27">
        <f t="shared" si="42"/>
        <v>14158.1229234794</v>
      </c>
      <c r="M99" s="27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12452.6049324663</v>
      </c>
      <c r="N99" s="27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20695.9972132281</v>
      </c>
      <c r="O99" s="27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8301.73662164419</v>
      </c>
      <c r="P99" s="27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3684.623547141</v>
      </c>
      <c r="Q99" s="35">
        <v>1</v>
      </c>
      <c r="R99" s="36" t="s">
        <v>107</v>
      </c>
      <c r="S99" s="36" t="s">
        <v>71</v>
      </c>
      <c r="T99" s="36" t="s">
        <v>93</v>
      </c>
      <c r="U99" s="36" t="s">
        <v>71</v>
      </c>
      <c r="V99" s="36" t="s">
        <v>71</v>
      </c>
      <c r="W99" s="36" t="s">
        <v>71</v>
      </c>
      <c r="X99" s="36" t="s">
        <v>71</v>
      </c>
      <c r="Y99" s="36" t="s">
        <v>71</v>
      </c>
      <c r="Z99" s="36" t="s">
        <v>82</v>
      </c>
      <c r="AA99" s="36" t="s">
        <v>71</v>
      </c>
      <c r="AB99" s="36" t="s">
        <v>71</v>
      </c>
      <c r="AC99" s="36" t="s">
        <v>71</v>
      </c>
      <c r="AD99" s="36" t="s">
        <v>72</v>
      </c>
      <c r="AE99" s="36" t="s">
        <v>94</v>
      </c>
      <c r="AF99" s="36" t="s">
        <v>154</v>
      </c>
      <c r="AG99" s="36" t="s">
        <v>120</v>
      </c>
      <c r="AH99" t="str">
        <f>VLOOKUP($R99,武学奇术!$A:$ZZ,25,FALSE)</f>
        <v>剑</v>
      </c>
      <c r="AI99" s="20">
        <f>VLOOKUP($R99,武学奇术!$A:$ZZ,26,FALSE)</f>
        <v>0.625</v>
      </c>
      <c r="AJ99" s="21">
        <f>VLOOKUP($R99,武学奇术!$A:$ZZ,27,FALSE)*(1+IF(OR($AH99=$F$4,$AH99=$F$5),$B$22,0))</f>
        <v>0</v>
      </c>
      <c r="AK99" s="20">
        <f>VLOOKUP($R99,武学奇术!$A:$ZZ,28,FALSE)</f>
        <v>0.9375</v>
      </c>
      <c r="AL99" s="21">
        <f>VLOOKUP($R99,武学奇术!$A:$ZZ,29,FALSE)*(1+IF(OR($AH99=$F$4,$AH99=$F$5),$B$22,0))</f>
        <v>0</v>
      </c>
      <c r="AM99" s="20" cm="1">
        <f t="array" ref="AM99">$G$3+IFERROR(VLOOKUP($AH99,$F$4:$G$7,2,FALSE),0)+VLOOKUP($R99,武学奇术!$A:$ZZ,2,FALSE)+SUM(_xlfn.XLOOKUP($S99:$AG99,增益!$A:$A,增益!$B:$B,0))</f>
        <v>0.7191</v>
      </c>
      <c r="AN99" s="20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1554.72</v>
      </c>
      <c r="AP99" cm="1">
        <f t="array" ref="AP99">$E$10*(1+$AN99)+VLOOKUP($R99,武学奇术!$A:$ZZ,4,FALSE)+SUM(_xlfn.XLOOKUP($S99:$AG99,增益!$A:$A,增益!$D:$D,0))-$I$2</f>
        <v>6665.76</v>
      </c>
      <c r="AQ99" s="29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0.3425</v>
      </c>
      <c r="AR99" s="29" cm="1">
        <f t="array" ref="AR99">$G$10+VLOOKUP($R99,武学奇术!$A:$ZZ,7,FALSE)+SUM(_xlfn.XLOOKUP(S99:AG99,增益!$A:$A,增益!$G:$G,0))</f>
        <v>0</v>
      </c>
      <c r="AS99" s="20" cm="1">
        <f t="array" ref="AS99">VLOOKUP($R99,武学奇术!$A:$ZZ,8,FALSE)+SUM(_xlfn.XLOOKUP(S99:AG99,增益!$A:$A,增益!$H:$H,0))</f>
        <v>0</v>
      </c>
      <c r="AT99">
        <f t="shared" si="43"/>
        <v>538</v>
      </c>
      <c r="AU99">
        <f t="shared" si="44"/>
        <v>1011</v>
      </c>
      <c r="AV99" s="29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0.08</v>
      </c>
      <c r="AW99" s="29" cm="1">
        <f t="array" ref="AW99">$G$11+VLOOKUP($R99,武学奇术!$A:$ZZ,10,FALSE)+SUM(_xlfn.XLOOKUP(S99:AG99,增益!$A:$A,增益!$J:$J,0))</f>
        <v>0.15</v>
      </c>
      <c r="AX99">
        <f t="shared" si="45"/>
        <v>0</v>
      </c>
      <c r="AY99">
        <f t="shared" si="46"/>
        <v>0</v>
      </c>
      <c r="AZ99" s="29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-0.14</v>
      </c>
      <c r="BA99" s="29" cm="1">
        <f t="array" ref="BA99">$G$12+VLOOKUP($R99,武学奇术!$A:$ZZ,12,FALSE)+SUM(_xlfn.XLOOKUP(S99:AG99,增益!$A:$A,增益!$L:$L,0))</f>
        <v>0</v>
      </c>
      <c r="BB99">
        <f t="shared" si="47"/>
        <v>0</v>
      </c>
      <c r="BC99">
        <f t="shared" si="48"/>
        <v>0</v>
      </c>
      <c r="BD99" s="29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-0.14</v>
      </c>
      <c r="BE99" s="29" cm="1">
        <f t="array" ref="BE99">$G$13+VLOOKUP($R99,武学奇术!$A:$ZZ,14,FALSE)+SUM(_xlfn.XLOOKUP(S99:AG99,增益!$A:$A,增益!$N:$N,0))</f>
        <v>0</v>
      </c>
      <c r="BF99">
        <f t="shared" si="49"/>
        <v>0</v>
      </c>
      <c r="BG99">
        <f t="shared" si="50"/>
        <v>0</v>
      </c>
      <c r="BH99" s="29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-0.14</v>
      </c>
      <c r="BI99" s="29" cm="1">
        <f t="array" ref="BI99">$G$14+VLOOKUP($R99,武学奇术!$A:$ZZ,16,FALSE)+SUM(_xlfn.XLOOKUP(S99:AG99,增益!$A:$A,增益!$P:$P,0))</f>
        <v>0</v>
      </c>
      <c r="BJ99" s="20">
        <f>MIN(IF(VLOOKUP($R99,武学奇术!$A:$ZZ,23,FALSE)=1,100%,$B$8),100%)</f>
        <v>0.8271</v>
      </c>
      <c r="BK99" s="20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0.2249</v>
      </c>
      <c r="BL99" s="20" cm="1">
        <f t="array" ref="BL99">1+$B$13+VLOOKUP($R99,武学奇术!$A:$ZZ,18,FALSE)+SUM(_xlfn.XLOOKUP(S99:AG99,增益!$A:$A,增益!$R:$R,0))</f>
        <v>1.5</v>
      </c>
      <c r="BM99" s="20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0.4459</v>
      </c>
      <c r="BN99" s="20" cm="1">
        <f t="array" ref="BN99">1+$B$14+VLOOKUP($R99,武学奇术!$A:$ZZ,20,FALSE)+SUM(_xlfn.XLOOKUP(S99:AG99,增益!$A:$A,增益!$T:$T,0))</f>
        <v>1.602</v>
      </c>
      <c r="BO99" s="20">
        <f t="shared" si="22"/>
        <v>0.18601479</v>
      </c>
      <c r="BP99" s="20">
        <f t="shared" si="32"/>
        <v>0.27228132</v>
      </c>
      <c r="BQ99" s="20">
        <f>IF(VLOOKUP($R99,武学奇术!$A:$ZZ,22,FALSE)=1,0,(1-$BJ99))*(1-$BM99)</f>
        <v>0.09580389</v>
      </c>
      <c r="BR99" s="20" cm="1">
        <f t="array" ref="BR99">SUM(_xlfn.XLOOKUP(S99:AG99,增益!$A:$A,增益!$W:$W,0))+$I$5</f>
        <v>0.11</v>
      </c>
    </row>
    <row r="100" spans="11:70">
      <c r="K100" s="27">
        <f>$L100*VLOOKUP($R100,武学奇术!$A:$ZZ,31,FALSE)</f>
        <v>60395.4903927221</v>
      </c>
      <c r="L100" s="27">
        <f t="shared" si="42"/>
        <v>60395.4903927221</v>
      </c>
      <c r="M100" s="27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54356.975646836</v>
      </c>
      <c r="N100" s="27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86698.0457842781</v>
      </c>
      <c r="O100" s="27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36237.9837645573</v>
      </c>
      <c r="P100" s="27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18357.33720185</v>
      </c>
      <c r="Q100" s="35">
        <v>1</v>
      </c>
      <c r="R100" s="36" t="s">
        <v>110</v>
      </c>
      <c r="S100" s="36" t="s">
        <v>71</v>
      </c>
      <c r="T100" s="36" t="s">
        <v>93</v>
      </c>
      <c r="U100" s="36" t="s">
        <v>71</v>
      </c>
      <c r="V100" s="36" t="s">
        <v>71</v>
      </c>
      <c r="W100" s="36" t="s">
        <v>111</v>
      </c>
      <c r="X100" s="36" t="s">
        <v>71</v>
      </c>
      <c r="Y100" s="36" t="s">
        <v>71</v>
      </c>
      <c r="Z100" s="36" t="s">
        <v>71</v>
      </c>
      <c r="AA100" s="36" t="s">
        <v>71</v>
      </c>
      <c r="AB100" s="36" t="s">
        <v>71</v>
      </c>
      <c r="AC100" s="36" t="s">
        <v>71</v>
      </c>
      <c r="AD100" s="36" t="s">
        <v>72</v>
      </c>
      <c r="AE100" s="36" t="s">
        <v>94</v>
      </c>
      <c r="AF100" s="36" t="s">
        <v>154</v>
      </c>
      <c r="AG100" s="36" t="s">
        <v>120</v>
      </c>
      <c r="AH100" t="str">
        <f>VLOOKUP($R100,武学奇术!$A:$ZZ,25,FALSE)</f>
        <v>枪</v>
      </c>
      <c r="AI100" s="20">
        <f>VLOOKUP($R100,武学奇术!$A:$ZZ,26,FALSE)</f>
        <v>2.5683</v>
      </c>
      <c r="AJ100" s="21">
        <f>VLOOKUP($R100,武学奇术!$A:$ZZ,27,FALSE)*(1+IF(OR($AH100=$F$4,$AH100=$F$5),$B$22,0))</f>
        <v>995.4</v>
      </c>
      <c r="AK100" s="20">
        <f>VLOOKUP($R100,武学奇术!$A:$ZZ,28,FALSE)</f>
        <v>3.8524</v>
      </c>
      <c r="AL100" s="21">
        <f>VLOOKUP($R100,武学奇术!$A:$ZZ,29,FALSE)*(1+IF(OR($AH100=$F$4,$AH100=$F$5),$B$22,0))</f>
        <v>541.8</v>
      </c>
      <c r="AM100" s="20" cm="1">
        <f t="array" ref="AM100">$G$3+IFERROR(VLOOKUP($AH100,$F$4:$G$7,2,FALSE),0)+VLOOKUP($R100,武学奇术!$A:$ZZ,2,FALSE)+SUM(_xlfn.XLOOKUP($S100:$AG100,增益!$A:$A,增益!$B:$B,0))</f>
        <v>0.6339</v>
      </c>
      <c r="AN100" s="20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1585.72</v>
      </c>
      <c r="AP100" cm="1">
        <f t="array" ref="AP100">$E$10*(1+$AN100)+VLOOKUP($R100,武学奇术!$A:$ZZ,4,FALSE)+SUM(_xlfn.XLOOKUP($S100:$AG100,增益!$A:$A,增益!$D:$D,0))-$I$2</f>
        <v>6696.76</v>
      </c>
      <c r="AQ100" s="29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0.3425</v>
      </c>
      <c r="AR100" s="29" cm="1">
        <f t="array" ref="AR100">$G$10+VLOOKUP($R100,武学奇术!$A:$ZZ,7,FALSE)+SUM(_xlfn.XLOOKUP(S100:AG100,增益!$A:$A,增益!$G:$G,0))</f>
        <v>0</v>
      </c>
      <c r="AS100" s="20" cm="1">
        <f t="array" ref="AS100">VLOOKUP($R100,武学奇术!$A:$ZZ,8,FALSE)+SUM(_xlfn.XLOOKUP(S100:AG100,增益!$A:$A,增益!$H:$H,0))</f>
        <v>0</v>
      </c>
      <c r="AT100">
        <f t="shared" si="43"/>
        <v>538</v>
      </c>
      <c r="AU100">
        <f t="shared" si="44"/>
        <v>1011</v>
      </c>
      <c r="AV100" s="29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29" cm="1">
        <f t="array" ref="AW100">$G$11+VLOOKUP($R100,武学奇术!$A:$ZZ,10,FALSE)+SUM(_xlfn.XLOOKUP(S100:AG100,增益!$A:$A,增益!$J:$J,0))</f>
        <v>0.15</v>
      </c>
      <c r="AX100">
        <f t="shared" si="45"/>
        <v>0</v>
      </c>
      <c r="AY100">
        <f t="shared" si="46"/>
        <v>0</v>
      </c>
      <c r="AZ100" s="29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29" cm="1">
        <f t="array" ref="BA100">$G$12+VLOOKUP($R100,武学奇术!$A:$ZZ,12,FALSE)+SUM(_xlfn.XLOOKUP(S100:AG100,增益!$A:$A,增益!$L:$L,0))</f>
        <v>0</v>
      </c>
      <c r="BB100">
        <f t="shared" si="47"/>
        <v>0</v>
      </c>
      <c r="BC100">
        <f t="shared" si="48"/>
        <v>0</v>
      </c>
      <c r="BD100" s="29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29" cm="1">
        <f t="array" ref="BE100">$G$13+VLOOKUP($R100,武学奇术!$A:$ZZ,14,FALSE)+SUM(_xlfn.XLOOKUP(S100:AG100,增益!$A:$A,增益!$N:$N,0))</f>
        <v>0</v>
      </c>
      <c r="BF100">
        <f t="shared" si="49"/>
        <v>0</v>
      </c>
      <c r="BG100">
        <f t="shared" si="50"/>
        <v>0</v>
      </c>
      <c r="BH100" s="29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29" cm="1">
        <f t="array" ref="BI100">$G$14+VLOOKUP($R100,武学奇术!$A:$ZZ,16,FALSE)+SUM(_xlfn.XLOOKUP(S100:AG100,增益!$A:$A,增益!$P:$P,0))</f>
        <v>0</v>
      </c>
      <c r="BJ100" s="20">
        <f>MIN(IF(VLOOKUP($R100,武学奇术!$A:$ZZ,23,FALSE)=1,100%,$B$8),100%)</f>
        <v>0.8271</v>
      </c>
      <c r="BK100" s="20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0.2249</v>
      </c>
      <c r="BL100" s="20" cm="1">
        <f t="array" ref="BL100">1+$B$13+VLOOKUP($R100,武学奇术!$A:$ZZ,18,FALSE)+SUM(_xlfn.XLOOKUP(S100:AG100,增益!$A:$A,增益!$R:$R,0))</f>
        <v>1.5</v>
      </c>
      <c r="BM100" s="20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0.4459</v>
      </c>
      <c r="BN100" s="20" cm="1">
        <f t="array" ref="BN100">1+$B$14+VLOOKUP($R100,武学奇术!$A:$ZZ,20,FALSE)+SUM(_xlfn.XLOOKUP(S100:AG100,增益!$A:$A,增益!$T:$T,0))</f>
        <v>1.602</v>
      </c>
      <c r="BO100" s="20">
        <f t="shared" si="22"/>
        <v>0.18601479</v>
      </c>
      <c r="BP100" s="20">
        <f t="shared" si="32"/>
        <v>0.27228132</v>
      </c>
      <c r="BQ100" s="20">
        <f>IF(VLOOKUP($R100,武学奇术!$A:$ZZ,22,FALSE)=1,0,(1-$BJ100))*(1-$BM100)</f>
        <v>0.09580389</v>
      </c>
      <c r="BR100" s="20" cm="1">
        <f t="array" ref="BR100">SUM(_xlfn.XLOOKUP(S100:AG100,增益!$A:$A,增益!$W:$W,0))+$I$5</f>
        <v>0.11</v>
      </c>
    </row>
    <row r="101" spans="11:70">
      <c r="K101" s="27">
        <f>$L101*VLOOKUP($R101,武学奇术!$A:$ZZ,31,FALSE)</f>
        <v>109749.215697123</v>
      </c>
      <c r="L101" s="27">
        <f t="shared" si="42"/>
        <v>182915.359495206</v>
      </c>
      <c r="M101" s="27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98963.7470554523</v>
      </c>
      <c r="N101" s="27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182915.359495206</v>
      </c>
      <c r="O101" s="27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65975.8313703015</v>
      </c>
      <c r="P101" s="27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29305.5575244383</v>
      </c>
      <c r="Q101" s="35">
        <v>1</v>
      </c>
      <c r="R101" s="36" t="s">
        <v>98</v>
      </c>
      <c r="S101" s="36" t="s">
        <v>71</v>
      </c>
      <c r="T101" s="36" t="s">
        <v>99</v>
      </c>
      <c r="U101" s="36" t="s">
        <v>100</v>
      </c>
      <c r="V101" s="36" t="s">
        <v>101</v>
      </c>
      <c r="W101" s="36" t="s">
        <v>111</v>
      </c>
      <c r="X101" s="36" t="s">
        <v>71</v>
      </c>
      <c r="Y101" s="36" t="s">
        <v>71</v>
      </c>
      <c r="Z101" s="36" t="s">
        <v>71</v>
      </c>
      <c r="AA101" s="36" t="s">
        <v>71</v>
      </c>
      <c r="AB101" s="36" t="s">
        <v>71</v>
      </c>
      <c r="AC101" s="36" t="s">
        <v>71</v>
      </c>
      <c r="AD101" s="36" t="s">
        <v>72</v>
      </c>
      <c r="AE101" s="36" t="s">
        <v>94</v>
      </c>
      <c r="AF101" s="36" t="s">
        <v>154</v>
      </c>
      <c r="AG101" s="36" t="s">
        <v>120</v>
      </c>
      <c r="AH101" t="str">
        <f>VLOOKUP($R101,武学奇术!$A:$ZZ,25,FALSE)</f>
        <v>剑</v>
      </c>
      <c r="AI101" s="20">
        <f>VLOOKUP($R101,武学奇术!$A:$ZZ,26,FALSE)</f>
        <v>2.496</v>
      </c>
      <c r="AJ101" s="21">
        <f>VLOOKUP($R101,武学奇术!$A:$ZZ,27,FALSE)*(1+IF(OR($AH101=$F$4,$AH101=$F$5),$B$22,0))</f>
        <v>0</v>
      </c>
      <c r="AK101" s="20">
        <f>VLOOKUP($R101,武学奇术!$A:$ZZ,28,FALSE)</f>
        <v>3.744</v>
      </c>
      <c r="AL101" s="21">
        <f>VLOOKUP($R101,武学奇术!$A:$ZZ,29,FALSE)*(1+IF(OR($AH101=$F$4,$AH101=$F$5),$B$22,0))</f>
        <v>0</v>
      </c>
      <c r="AM101" s="20" cm="1">
        <f t="array" ref="AM101">$G$3+IFERROR(VLOOKUP($AH101,$F$4:$G$7,2,FALSE),0)+VLOOKUP($R101,武学奇术!$A:$ZZ,2,FALSE)+SUM(_xlfn.XLOOKUP($S101:$AG101,增益!$A:$A,增益!$B:$B,0))</f>
        <v>1.4691</v>
      </c>
      <c r="AN101" s="20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1585.72</v>
      </c>
      <c r="AP101" cm="1">
        <f t="array" ref="AP101">$E$10*(1+$AN101)+VLOOKUP($R101,武学奇术!$A:$ZZ,4,FALSE)+SUM(_xlfn.XLOOKUP($S101:$AG101,增益!$A:$A,增益!$D:$D,0))-$I$2</f>
        <v>6696.76</v>
      </c>
      <c r="AQ101" s="29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0.4175</v>
      </c>
      <c r="AR101" s="29" cm="1">
        <f t="array" ref="AR101">$G$10+VLOOKUP($R101,武学奇术!$A:$ZZ,7,FALSE)+SUM(_xlfn.XLOOKUP(S101:AG101,增益!$A:$A,增益!$G:$G,0))</f>
        <v>0</v>
      </c>
      <c r="AS101" s="20" cm="1">
        <f t="array" ref="AS101">VLOOKUP($R101,武学奇术!$A:$ZZ,8,FALSE)+SUM(_xlfn.XLOOKUP(S101:AG101,增益!$A:$A,增益!$H:$H,0))</f>
        <v>0</v>
      </c>
      <c r="AT101">
        <f t="shared" si="43"/>
        <v>538</v>
      </c>
      <c r="AU101">
        <f t="shared" si="44"/>
        <v>1011</v>
      </c>
      <c r="AV101" s="29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0.075</v>
      </c>
      <c r="AW101" s="29" cm="1">
        <f t="array" ref="AW101">$G$11+VLOOKUP($R101,武学奇术!$A:$ZZ,10,FALSE)+SUM(_xlfn.XLOOKUP(S101:AG101,增益!$A:$A,增益!$J:$J,0))</f>
        <v>0.15</v>
      </c>
      <c r="AX101">
        <f t="shared" si="45"/>
        <v>0</v>
      </c>
      <c r="AY101">
        <f t="shared" si="46"/>
        <v>0</v>
      </c>
      <c r="AZ101" s="29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29" cm="1">
        <f t="array" ref="BA101">$G$12+VLOOKUP($R101,武学奇术!$A:$ZZ,12,FALSE)+SUM(_xlfn.XLOOKUP(S101:AG101,增益!$A:$A,增益!$L:$L,0))</f>
        <v>0</v>
      </c>
      <c r="BB101">
        <f t="shared" si="47"/>
        <v>0</v>
      </c>
      <c r="BC101">
        <f t="shared" si="48"/>
        <v>0</v>
      </c>
      <c r="BD101" s="29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29" cm="1">
        <f t="array" ref="BE101">$G$13+VLOOKUP($R101,武学奇术!$A:$ZZ,14,FALSE)+SUM(_xlfn.XLOOKUP(S101:AG101,增益!$A:$A,增益!$N:$N,0))</f>
        <v>0</v>
      </c>
      <c r="BF101">
        <f t="shared" si="49"/>
        <v>0</v>
      </c>
      <c r="BG101">
        <f t="shared" si="50"/>
        <v>0</v>
      </c>
      <c r="BH101" s="29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29" cm="1">
        <f t="array" ref="BI101">$G$14+VLOOKUP($R101,武学奇术!$A:$ZZ,16,FALSE)+SUM(_xlfn.XLOOKUP(S101:AG101,增益!$A:$A,增益!$P:$P,0))</f>
        <v>0</v>
      </c>
      <c r="BJ101" s="20">
        <f>MIN(IF(VLOOKUP($R101,武学奇术!$A:$ZZ,23,FALSE)=1,100%,$B$8),100%)</f>
        <v>0.8271</v>
      </c>
      <c r="BK101" s="20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</v>
      </c>
      <c r="BL101" s="20" cm="1">
        <f t="array" ref="BL101">1+$B$13+VLOOKUP($R101,武学奇术!$A:$ZZ,18,FALSE)+SUM(_xlfn.XLOOKUP(S101:AG101,增益!$A:$A,增益!$R:$R,0))</f>
        <v>1.5</v>
      </c>
      <c r="BM101" s="20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1</v>
      </c>
      <c r="BN101" s="20" cm="1">
        <f t="array" ref="BN101">1+$B$14+VLOOKUP($R101,武学奇术!$A:$ZZ,20,FALSE)+SUM(_xlfn.XLOOKUP(S101:AG101,增益!$A:$A,增益!$T:$T,0))</f>
        <v>1.782</v>
      </c>
      <c r="BO101" s="20">
        <f t="shared" si="22"/>
        <v>0</v>
      </c>
      <c r="BP101" s="20">
        <f t="shared" si="32"/>
        <v>0</v>
      </c>
      <c r="BQ101" s="20">
        <f>IF(VLOOKUP($R101,武学奇术!$A:$ZZ,22,FALSE)=1,0,(1-$BJ101))*(1-$BM101)</f>
        <v>0</v>
      </c>
      <c r="BR101" s="20" cm="1">
        <f t="array" ref="BR101">SUM(_xlfn.XLOOKUP(S101:AG101,增益!$A:$A,增益!$W:$W,0))+$I$5</f>
        <v>0.11</v>
      </c>
    </row>
    <row r="102" spans="11:70">
      <c r="K102" s="27">
        <f>$L102*VLOOKUP($R102,武学奇术!$A:$ZZ,31,FALSE)</f>
        <v>29144.7638797072</v>
      </c>
      <c r="L102" s="27">
        <f t="shared" ref="L102:L133" si="51">($M102*$BO102+$N102*$BM102+$O102*$BP102+$P102*$BQ102)</f>
        <v>29144.7638797072</v>
      </c>
      <c r="M102" s="27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26230.0019651702</v>
      </c>
      <c r="N102" s="27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41838.4691583926</v>
      </c>
      <c r="O102" s="27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17486.6679767801</v>
      </c>
      <c r="P102" s="27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8856.93822672343</v>
      </c>
      <c r="Q102" s="35">
        <v>1</v>
      </c>
      <c r="R102" s="36" t="s">
        <v>92</v>
      </c>
      <c r="S102" s="36" t="s">
        <v>71</v>
      </c>
      <c r="T102" s="36" t="s">
        <v>93</v>
      </c>
      <c r="U102" s="36" t="s">
        <v>71</v>
      </c>
      <c r="V102" s="36" t="s">
        <v>71</v>
      </c>
      <c r="W102" s="36" t="s">
        <v>111</v>
      </c>
      <c r="X102" s="36" t="s">
        <v>71</v>
      </c>
      <c r="Y102" s="36" t="s">
        <v>71</v>
      </c>
      <c r="Z102" s="36" t="s">
        <v>71</v>
      </c>
      <c r="AA102" s="36" t="s">
        <v>71</v>
      </c>
      <c r="AB102" s="36" t="s">
        <v>71</v>
      </c>
      <c r="AC102" s="36" t="s">
        <v>71</v>
      </c>
      <c r="AD102" s="36" t="s">
        <v>72</v>
      </c>
      <c r="AE102" s="36" t="s">
        <v>94</v>
      </c>
      <c r="AF102" s="36" t="s">
        <v>154</v>
      </c>
      <c r="AG102" s="36" t="s">
        <v>120</v>
      </c>
      <c r="AH102" t="str">
        <f>VLOOKUP($R102,武学奇术!$A:$ZZ,25,FALSE)</f>
        <v>剑</v>
      </c>
      <c r="AI102" s="20">
        <f>VLOOKUP($R102,武学奇术!$A:$ZZ,26,FALSE)</f>
        <v>1.1781</v>
      </c>
      <c r="AJ102" s="21">
        <f>VLOOKUP($R102,武学奇术!$A:$ZZ,27,FALSE)*(1+IF(OR($AH102=$F$4,$AH102=$F$5),$B$22,0))</f>
        <v>456.4</v>
      </c>
      <c r="AK102" s="20">
        <f>VLOOKUP($R102,武学奇术!$A:$ZZ,28,FALSE)</f>
        <v>1.7672</v>
      </c>
      <c r="AL102" s="21">
        <f>VLOOKUP($R102,武学奇术!$A:$ZZ,29,FALSE)*(1+IF(OR($AH102=$F$4,$AH102=$F$5),$B$22,0))</f>
        <v>247.8</v>
      </c>
      <c r="AM102" s="20" cm="1">
        <f t="array" ref="AM102">$G$3+IFERROR(VLOOKUP($AH102,$F$4:$G$7,2,FALSE),0)+VLOOKUP($R102,武学奇术!$A:$ZZ,2,FALSE)+SUM(_xlfn.XLOOKUP($S102:$AG102,增益!$A:$A,增益!$B:$B,0))</f>
        <v>0.7191</v>
      </c>
      <c r="AN102" s="20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1585.72</v>
      </c>
      <c r="AP102" cm="1">
        <f t="array" ref="AP102">$E$10*(1+$AN102)+VLOOKUP($R102,武学奇术!$A:$ZZ,4,FALSE)+SUM(_xlfn.XLOOKUP($S102:$AG102,增益!$A:$A,增益!$D:$D,0))-$I$2</f>
        <v>6696.76</v>
      </c>
      <c r="AQ102" s="29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0.3425</v>
      </c>
      <c r="AR102" s="29" cm="1">
        <f t="array" ref="AR102">$G$10+VLOOKUP($R102,武学奇术!$A:$ZZ,7,FALSE)+SUM(_xlfn.XLOOKUP(S102:AG102,增益!$A:$A,增益!$G:$G,0))</f>
        <v>0</v>
      </c>
      <c r="AS102" s="20" cm="1">
        <f t="array" ref="AS102">VLOOKUP($R102,武学奇术!$A:$ZZ,8,FALSE)+SUM(_xlfn.XLOOKUP(S102:AG102,增益!$A:$A,增益!$H:$H,0))</f>
        <v>0</v>
      </c>
      <c r="AT102">
        <f t="shared" ref="AT102:AT133" si="52">$D$11*(1+$AS102)</f>
        <v>538</v>
      </c>
      <c r="AU102">
        <f t="shared" ref="AU102:AU133" si="53">$E$11*(1+$AS102)</f>
        <v>1011</v>
      </c>
      <c r="AV102" s="29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</v>
      </c>
      <c r="AW102" s="29" cm="1">
        <f t="array" ref="AW102">$G$11+VLOOKUP($R102,武学奇术!$A:$ZZ,10,FALSE)+SUM(_xlfn.XLOOKUP(S102:AG102,增益!$A:$A,增益!$J:$J,0))</f>
        <v>0.15</v>
      </c>
      <c r="AX102">
        <f t="shared" ref="AX102:AX133" si="54">$D$12*(1+$AS102)</f>
        <v>0</v>
      </c>
      <c r="AY102">
        <f t="shared" ref="AY102:AY133" si="55">$E$12*(1+$AS102)</f>
        <v>0</v>
      </c>
      <c r="AZ102" s="29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29" cm="1">
        <f t="array" ref="BA102">$G$12+VLOOKUP($R102,武学奇术!$A:$ZZ,12,FALSE)+SUM(_xlfn.XLOOKUP(S102:AG102,增益!$A:$A,增益!$L:$L,0))</f>
        <v>0</v>
      </c>
      <c r="BB102">
        <f t="shared" ref="BB102:BB133" si="56">$D$13*(1+$AS102)</f>
        <v>0</v>
      </c>
      <c r="BC102">
        <f t="shared" ref="BC102:BC133" si="57">$E$13*(1+$AS102)</f>
        <v>0</v>
      </c>
      <c r="BD102" s="29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29" cm="1">
        <f t="array" ref="BE102">$G$13+VLOOKUP($R102,武学奇术!$A:$ZZ,14,FALSE)+SUM(_xlfn.XLOOKUP(S102:AG102,增益!$A:$A,增益!$N:$N,0))</f>
        <v>0</v>
      </c>
      <c r="BF102">
        <f t="shared" ref="BF102:BF133" si="58">$D$14*(1+$AS102)</f>
        <v>0</v>
      </c>
      <c r="BG102">
        <f t="shared" ref="BG102:BG133" si="59">$E$14*(1+$AS102)</f>
        <v>0</v>
      </c>
      <c r="BH102" s="29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29" cm="1">
        <f t="array" ref="BI102">$G$14+VLOOKUP($R102,武学奇术!$A:$ZZ,16,FALSE)+SUM(_xlfn.XLOOKUP(S102:AG102,增益!$A:$A,增益!$P:$P,0))</f>
        <v>0</v>
      </c>
      <c r="BJ102" s="20">
        <f>MIN(IF(VLOOKUP($R102,武学奇术!$A:$ZZ,23,FALSE)=1,100%,$B$8),100%)</f>
        <v>0.8271</v>
      </c>
      <c r="BK102" s="20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0.2249</v>
      </c>
      <c r="BL102" s="20" cm="1">
        <f t="array" ref="BL102">1+$B$13+VLOOKUP($R102,武学奇术!$A:$ZZ,18,FALSE)+SUM(_xlfn.XLOOKUP(S102:AG102,增益!$A:$A,增益!$R:$R,0))</f>
        <v>1.5</v>
      </c>
      <c r="BM102" s="20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0.4459</v>
      </c>
      <c r="BN102" s="20" cm="1">
        <f t="array" ref="BN102">1+$B$14+VLOOKUP($R102,武学奇术!$A:$ZZ,20,FALSE)+SUM(_xlfn.XLOOKUP(S102:AG102,增益!$A:$A,增益!$T:$T,0))</f>
        <v>1.602</v>
      </c>
      <c r="BO102" s="20">
        <f t="shared" ref="BO102:BO133" si="60">MIN((1-BM102)*BJ102,BJ102*BK102)</f>
        <v>0.18601479</v>
      </c>
      <c r="BP102" s="20">
        <f t="shared" ref="BP102:BP133" si="61">1-BM102-BO102-BQ102</f>
        <v>0.27228132</v>
      </c>
      <c r="BQ102" s="20">
        <f>IF(VLOOKUP($R102,武学奇术!$A:$ZZ,22,FALSE)=1,0,(1-$BJ102))*(1-$BM102)</f>
        <v>0.09580389</v>
      </c>
      <c r="BR102" s="20" cm="1">
        <f t="array" ref="BR102">SUM(_xlfn.XLOOKUP(S102:AG102,增益!$A:$A,增益!$W:$W,0))+$I$5</f>
        <v>0.11</v>
      </c>
    </row>
    <row r="103" spans="11:70">
      <c r="K103" s="27">
        <f>$L103*VLOOKUP($R103,武学奇术!$A:$ZZ,31,FALSE)</f>
        <v>72445.351372865</v>
      </c>
      <c r="L103" s="27">
        <f t="shared" si="51"/>
        <v>120742.252288108</v>
      </c>
      <c r="M103" s="27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98963.7470554523</v>
      </c>
      <c r="N103" s="27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182915.359495206</v>
      </c>
      <c r="O103" s="27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65975.8313703015</v>
      </c>
      <c r="P103" s="27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29305.5575244383</v>
      </c>
      <c r="Q103" s="35">
        <v>1</v>
      </c>
      <c r="R103" s="36" t="s">
        <v>105</v>
      </c>
      <c r="S103" s="36" t="s">
        <v>71</v>
      </c>
      <c r="T103" s="36" t="s">
        <v>99</v>
      </c>
      <c r="U103" s="36" t="s">
        <v>100</v>
      </c>
      <c r="V103" s="36" t="s">
        <v>101</v>
      </c>
      <c r="W103" s="36" t="s">
        <v>111</v>
      </c>
      <c r="X103" s="36" t="s">
        <v>71</v>
      </c>
      <c r="Y103" s="36" t="s">
        <v>71</v>
      </c>
      <c r="Z103" s="36" t="s">
        <v>71</v>
      </c>
      <c r="AA103" s="36" t="s">
        <v>71</v>
      </c>
      <c r="AB103" s="36" t="s">
        <v>71</v>
      </c>
      <c r="AC103" s="36" t="s">
        <v>71</v>
      </c>
      <c r="AD103" s="36" t="s">
        <v>72</v>
      </c>
      <c r="AE103" s="36" t="s">
        <v>94</v>
      </c>
      <c r="AF103" s="36" t="s">
        <v>154</v>
      </c>
      <c r="AG103" s="36" t="s">
        <v>120</v>
      </c>
      <c r="AH103" t="str">
        <f>VLOOKUP($R103,武学奇术!$A:$ZZ,25,FALSE)</f>
        <v>剑</v>
      </c>
      <c r="AI103" s="20">
        <f>VLOOKUP($R103,武学奇术!$A:$ZZ,26,FALSE)</f>
        <v>2.496</v>
      </c>
      <c r="AJ103" s="21">
        <f>VLOOKUP($R103,武学奇术!$A:$ZZ,27,FALSE)*(1+IF(OR($AH103=$F$4,$AH103=$F$5),$B$22,0))</f>
        <v>0</v>
      </c>
      <c r="AK103" s="20">
        <f>VLOOKUP($R103,武学奇术!$A:$ZZ,28,FALSE)</f>
        <v>3.744</v>
      </c>
      <c r="AL103" s="21">
        <f>VLOOKUP($R103,武学奇术!$A:$ZZ,29,FALSE)*(1+IF(OR($AH103=$F$4,$AH103=$F$5),$B$22,0))</f>
        <v>0</v>
      </c>
      <c r="AM103" s="20" cm="1">
        <f t="array" ref="AM103">$G$3+IFERROR(VLOOKUP($AH103,$F$4:$G$7,2,FALSE),0)+VLOOKUP($R103,武学奇术!$A:$ZZ,2,FALSE)+SUM(_xlfn.XLOOKUP($S103:$AG103,增益!$A:$A,增益!$B:$B,0))</f>
        <v>1.4691</v>
      </c>
      <c r="AN103" s="20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1585.72</v>
      </c>
      <c r="AP103" cm="1">
        <f t="array" ref="AP103">$E$10*(1+$AN103)+VLOOKUP($R103,武学奇术!$A:$ZZ,4,FALSE)+SUM(_xlfn.XLOOKUP($S103:$AG103,增益!$A:$A,增益!$D:$D,0))-$I$2</f>
        <v>6696.76</v>
      </c>
      <c r="AQ103" s="29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0.4175</v>
      </c>
      <c r="AR103" s="29" cm="1">
        <f t="array" ref="AR103">$G$10+VLOOKUP($R103,武学奇术!$A:$ZZ,7,FALSE)+SUM(_xlfn.XLOOKUP(S103:AG103,增益!$A:$A,增益!$G:$G,0))</f>
        <v>0</v>
      </c>
      <c r="AS103" s="20" cm="1">
        <f t="array" ref="AS103">VLOOKUP($R103,武学奇术!$A:$ZZ,8,FALSE)+SUM(_xlfn.XLOOKUP(S103:AG103,增益!$A:$A,增益!$H:$H,0))</f>
        <v>0</v>
      </c>
      <c r="AT103">
        <f t="shared" si="52"/>
        <v>538</v>
      </c>
      <c r="AU103">
        <f t="shared" si="53"/>
        <v>1011</v>
      </c>
      <c r="AV103" s="29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0.075</v>
      </c>
      <c r="AW103" s="29" cm="1">
        <f t="array" ref="AW103">$G$11+VLOOKUP($R103,武学奇术!$A:$ZZ,10,FALSE)+SUM(_xlfn.XLOOKUP(S103:AG103,增益!$A:$A,增益!$J:$J,0))</f>
        <v>0.15</v>
      </c>
      <c r="AX103">
        <f t="shared" si="54"/>
        <v>0</v>
      </c>
      <c r="AY103">
        <f t="shared" si="55"/>
        <v>0</v>
      </c>
      <c r="AZ103" s="29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29" cm="1">
        <f t="array" ref="BA103">$G$12+VLOOKUP($R103,武学奇术!$A:$ZZ,12,FALSE)+SUM(_xlfn.XLOOKUP(S103:AG103,增益!$A:$A,增益!$L:$L,0))</f>
        <v>0</v>
      </c>
      <c r="BB103">
        <f t="shared" si="56"/>
        <v>0</v>
      </c>
      <c r="BC103">
        <f t="shared" si="57"/>
        <v>0</v>
      </c>
      <c r="BD103" s="29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29" cm="1">
        <f t="array" ref="BE103">$G$13+VLOOKUP($R103,武学奇术!$A:$ZZ,14,FALSE)+SUM(_xlfn.XLOOKUP(S103:AG103,增益!$A:$A,增益!$N:$N,0))</f>
        <v>0</v>
      </c>
      <c r="BF103">
        <f t="shared" si="58"/>
        <v>0</v>
      </c>
      <c r="BG103">
        <f t="shared" si="59"/>
        <v>0</v>
      </c>
      <c r="BH103" s="29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29" cm="1">
        <f t="array" ref="BI103">$G$14+VLOOKUP($R103,武学奇术!$A:$ZZ,16,FALSE)+SUM(_xlfn.XLOOKUP(S103:AG103,增益!$A:$A,增益!$P:$P,0))</f>
        <v>0</v>
      </c>
      <c r="BJ103" s="20">
        <f>MIN(IF(VLOOKUP($R103,武学奇术!$A:$ZZ,23,FALSE)=1,100%,$B$8),100%)</f>
        <v>0.8271</v>
      </c>
      <c r="BK103" s="20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0.2249</v>
      </c>
      <c r="BL103" s="20" cm="1">
        <f t="array" ref="BL103">1+$B$13+VLOOKUP($R103,武学奇术!$A:$ZZ,18,FALSE)+SUM(_xlfn.XLOOKUP(S103:AG103,增益!$A:$A,增益!$R:$R,0))</f>
        <v>1.5</v>
      </c>
      <c r="BM103" s="20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0.4459</v>
      </c>
      <c r="BN103" s="20" cm="1">
        <f t="array" ref="BN103">1+$B$14+VLOOKUP($R103,武学奇术!$A:$ZZ,20,FALSE)+SUM(_xlfn.XLOOKUP(S103:AG103,增益!$A:$A,增益!$T:$T,0))</f>
        <v>1.782</v>
      </c>
      <c r="BO103" s="20">
        <f t="shared" si="60"/>
        <v>0.18601479</v>
      </c>
      <c r="BP103" s="20">
        <f t="shared" si="61"/>
        <v>0.27228132</v>
      </c>
      <c r="BQ103" s="20">
        <f>IF(VLOOKUP($R103,武学奇术!$A:$ZZ,22,FALSE)=1,0,(1-$BJ103))*(1-$BM103)</f>
        <v>0.09580389</v>
      </c>
      <c r="BR103" s="20" cm="1">
        <f t="array" ref="BR103">SUM(_xlfn.XLOOKUP(S103:AG103,增益!$A:$A,增益!$W:$W,0))+$I$5</f>
        <v>0.11</v>
      </c>
    </row>
    <row r="104" spans="11:70">
      <c r="K104" s="27">
        <f>$L104*VLOOKUP($R104,武学奇术!$A:$ZZ,31,FALSE)</f>
        <v>72445.351372865</v>
      </c>
      <c r="L104" s="27">
        <f t="shared" si="51"/>
        <v>120742.252288108</v>
      </c>
      <c r="M104" s="27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98963.7470554523</v>
      </c>
      <c r="N104" s="27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182915.359495206</v>
      </c>
      <c r="O104" s="27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65975.8313703015</v>
      </c>
      <c r="P104" s="27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29305.5575244383</v>
      </c>
      <c r="Q104" s="35">
        <v>1</v>
      </c>
      <c r="R104" s="36" t="s">
        <v>105</v>
      </c>
      <c r="S104" s="36" t="s">
        <v>71</v>
      </c>
      <c r="T104" s="36" t="s">
        <v>99</v>
      </c>
      <c r="U104" s="36" t="s">
        <v>100</v>
      </c>
      <c r="V104" s="36" t="s">
        <v>101</v>
      </c>
      <c r="W104" s="36" t="s">
        <v>111</v>
      </c>
      <c r="X104" s="36" t="s">
        <v>71</v>
      </c>
      <c r="Y104" s="36" t="s">
        <v>71</v>
      </c>
      <c r="Z104" s="36" t="s">
        <v>71</v>
      </c>
      <c r="AA104" s="36" t="s">
        <v>71</v>
      </c>
      <c r="AB104" s="36" t="s">
        <v>71</v>
      </c>
      <c r="AC104" s="36" t="s">
        <v>71</v>
      </c>
      <c r="AD104" s="36" t="s">
        <v>72</v>
      </c>
      <c r="AE104" s="36" t="s">
        <v>94</v>
      </c>
      <c r="AF104" s="36" t="s">
        <v>154</v>
      </c>
      <c r="AG104" s="36" t="s">
        <v>120</v>
      </c>
      <c r="AH104" t="str">
        <f>VLOOKUP($R104,武学奇术!$A:$ZZ,25,FALSE)</f>
        <v>剑</v>
      </c>
      <c r="AI104" s="20">
        <f>VLOOKUP($R104,武学奇术!$A:$ZZ,26,FALSE)</f>
        <v>2.496</v>
      </c>
      <c r="AJ104" s="21">
        <f>VLOOKUP($R104,武学奇术!$A:$ZZ,27,FALSE)*(1+IF(OR($AH104=$F$4,$AH104=$F$5),$B$22,0))</f>
        <v>0</v>
      </c>
      <c r="AK104" s="20">
        <f>VLOOKUP($R104,武学奇术!$A:$ZZ,28,FALSE)</f>
        <v>3.744</v>
      </c>
      <c r="AL104" s="21">
        <f>VLOOKUP($R104,武学奇术!$A:$ZZ,29,FALSE)*(1+IF(OR($AH104=$F$4,$AH104=$F$5),$B$22,0))</f>
        <v>0</v>
      </c>
      <c r="AM104" s="20" cm="1">
        <f t="array" ref="AM104">$G$3+IFERROR(VLOOKUP($AH104,$F$4:$G$7,2,FALSE),0)+VLOOKUP($R104,武学奇术!$A:$ZZ,2,FALSE)+SUM(_xlfn.XLOOKUP($S104:$AG104,增益!$A:$A,增益!$B:$B,0))</f>
        <v>1.4691</v>
      </c>
      <c r="AN104" s="20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1585.72</v>
      </c>
      <c r="AP104" cm="1">
        <f t="array" ref="AP104">$E$10*(1+$AN104)+VLOOKUP($R104,武学奇术!$A:$ZZ,4,FALSE)+SUM(_xlfn.XLOOKUP($S104:$AG104,增益!$A:$A,增益!$D:$D,0))-$I$2</f>
        <v>6696.76</v>
      </c>
      <c r="AQ104" s="29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0.4175</v>
      </c>
      <c r="AR104" s="29" cm="1">
        <f t="array" ref="AR104">$G$10+VLOOKUP($R104,武学奇术!$A:$ZZ,7,FALSE)+SUM(_xlfn.XLOOKUP(S104:AG104,增益!$A:$A,增益!$G:$G,0))</f>
        <v>0</v>
      </c>
      <c r="AS104" s="20" cm="1">
        <f t="array" ref="AS104">VLOOKUP($R104,武学奇术!$A:$ZZ,8,FALSE)+SUM(_xlfn.XLOOKUP(S104:AG104,增益!$A:$A,增益!$H:$H,0))</f>
        <v>0</v>
      </c>
      <c r="AT104">
        <f t="shared" si="52"/>
        <v>538</v>
      </c>
      <c r="AU104">
        <f t="shared" si="53"/>
        <v>1011</v>
      </c>
      <c r="AV104" s="29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0.075</v>
      </c>
      <c r="AW104" s="29" cm="1">
        <f t="array" ref="AW104">$G$11+VLOOKUP($R104,武学奇术!$A:$ZZ,10,FALSE)+SUM(_xlfn.XLOOKUP(S104:AG104,增益!$A:$A,增益!$J:$J,0))</f>
        <v>0.15</v>
      </c>
      <c r="AX104">
        <f t="shared" si="54"/>
        <v>0</v>
      </c>
      <c r="AY104">
        <f t="shared" si="55"/>
        <v>0</v>
      </c>
      <c r="AZ104" s="29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29" cm="1">
        <f t="array" ref="BA104">$G$12+VLOOKUP($R104,武学奇术!$A:$ZZ,12,FALSE)+SUM(_xlfn.XLOOKUP(S104:AG104,增益!$A:$A,增益!$L:$L,0))</f>
        <v>0</v>
      </c>
      <c r="BB104">
        <f t="shared" si="56"/>
        <v>0</v>
      </c>
      <c r="BC104">
        <f t="shared" si="57"/>
        <v>0</v>
      </c>
      <c r="BD104" s="29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29" cm="1">
        <f t="array" ref="BE104">$G$13+VLOOKUP($R104,武学奇术!$A:$ZZ,14,FALSE)+SUM(_xlfn.XLOOKUP(S104:AG104,增益!$A:$A,增益!$N:$N,0))</f>
        <v>0</v>
      </c>
      <c r="BF104">
        <f t="shared" si="58"/>
        <v>0</v>
      </c>
      <c r="BG104">
        <f t="shared" si="59"/>
        <v>0</v>
      </c>
      <c r="BH104" s="29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29" cm="1">
        <f t="array" ref="BI104">$G$14+VLOOKUP($R104,武学奇术!$A:$ZZ,16,FALSE)+SUM(_xlfn.XLOOKUP(S104:AG104,增益!$A:$A,增益!$P:$P,0))</f>
        <v>0</v>
      </c>
      <c r="BJ104" s="20">
        <f>MIN(IF(VLOOKUP($R104,武学奇术!$A:$ZZ,23,FALSE)=1,100%,$B$8),100%)</f>
        <v>0.8271</v>
      </c>
      <c r="BK104" s="20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0.2249</v>
      </c>
      <c r="BL104" s="20" cm="1">
        <f t="array" ref="BL104">1+$B$13+VLOOKUP($R104,武学奇术!$A:$ZZ,18,FALSE)+SUM(_xlfn.XLOOKUP(S104:AG104,增益!$A:$A,增益!$R:$R,0))</f>
        <v>1.5</v>
      </c>
      <c r="BM104" s="20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0.4459</v>
      </c>
      <c r="BN104" s="20" cm="1">
        <f t="array" ref="BN104">1+$B$14+VLOOKUP($R104,武学奇术!$A:$ZZ,20,FALSE)+SUM(_xlfn.XLOOKUP(S104:AG104,增益!$A:$A,增益!$T:$T,0))</f>
        <v>1.782</v>
      </c>
      <c r="BO104" s="20">
        <f t="shared" si="60"/>
        <v>0.18601479</v>
      </c>
      <c r="BP104" s="20">
        <f t="shared" si="61"/>
        <v>0.27228132</v>
      </c>
      <c r="BQ104" s="20">
        <f>IF(VLOOKUP($R104,武学奇术!$A:$ZZ,22,FALSE)=1,0,(1-$BJ104))*(1-$BM104)</f>
        <v>0.09580389</v>
      </c>
      <c r="BR104" s="20" cm="1">
        <f t="array" ref="BR104">SUM(_xlfn.XLOOKUP(S104:AG104,增益!$A:$A,增益!$W:$W,0))+$I$5</f>
        <v>0.11</v>
      </c>
    </row>
    <row r="105" spans="11:70">
      <c r="K105" s="27">
        <f>$L105*VLOOKUP($R105,武学奇术!$A:$ZZ,31,FALSE)</f>
        <v>14028.0800005375</v>
      </c>
      <c r="L105" s="27">
        <f t="shared" si="51"/>
        <v>14028.0800005375</v>
      </c>
      <c r="M105" s="27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12335.8525487505</v>
      </c>
      <c r="N105" s="27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20508.9498639376</v>
      </c>
      <c r="O105" s="27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8223.901699167</v>
      </c>
      <c r="P105" s="27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3645.71234718694</v>
      </c>
      <c r="Q105" s="35">
        <v>1</v>
      </c>
      <c r="R105" s="36" t="s">
        <v>107</v>
      </c>
      <c r="S105" s="36" t="s">
        <v>71</v>
      </c>
      <c r="T105" s="36" t="s">
        <v>93</v>
      </c>
      <c r="U105" s="36" t="s">
        <v>71</v>
      </c>
      <c r="V105" s="36" t="s">
        <v>71</v>
      </c>
      <c r="W105" s="36" t="s">
        <v>111</v>
      </c>
      <c r="X105" s="36" t="s">
        <v>71</v>
      </c>
      <c r="Y105" s="36" t="s">
        <v>71</v>
      </c>
      <c r="Z105" s="36" t="s">
        <v>71</v>
      </c>
      <c r="AA105" s="36" t="s">
        <v>71</v>
      </c>
      <c r="AB105" s="36" t="s">
        <v>71</v>
      </c>
      <c r="AC105" s="36" t="s">
        <v>71</v>
      </c>
      <c r="AD105" s="36" t="s">
        <v>72</v>
      </c>
      <c r="AE105" s="36" t="s">
        <v>94</v>
      </c>
      <c r="AF105" s="36" t="s">
        <v>154</v>
      </c>
      <c r="AG105" s="36" t="s">
        <v>120</v>
      </c>
      <c r="AH105" t="str">
        <f>VLOOKUP($R105,武学奇术!$A:$ZZ,25,FALSE)</f>
        <v>剑</v>
      </c>
      <c r="AI105" s="20">
        <f>VLOOKUP($R105,武学奇术!$A:$ZZ,26,FALSE)</f>
        <v>0.625</v>
      </c>
      <c r="AJ105" s="21">
        <f>VLOOKUP($R105,武学奇术!$A:$ZZ,27,FALSE)*(1+IF(OR($AH105=$F$4,$AH105=$F$5),$B$22,0))</f>
        <v>0</v>
      </c>
      <c r="AK105" s="20">
        <f>VLOOKUP($R105,武学奇术!$A:$ZZ,28,FALSE)</f>
        <v>0.9375</v>
      </c>
      <c r="AL105" s="21">
        <f>VLOOKUP($R105,武学奇术!$A:$ZZ,29,FALSE)*(1+IF(OR($AH105=$F$4,$AH105=$F$5),$B$22,0))</f>
        <v>0</v>
      </c>
      <c r="AM105" s="20" cm="1">
        <f t="array" ref="AM105">$G$3+IFERROR(VLOOKUP($AH105,$F$4:$G$7,2,FALSE),0)+VLOOKUP($R105,武学奇术!$A:$ZZ,2,FALSE)+SUM(_xlfn.XLOOKUP($S105:$AG105,增益!$A:$A,增益!$B:$B,0))</f>
        <v>0.7191</v>
      </c>
      <c r="AN105" s="20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1585.72</v>
      </c>
      <c r="AP105" cm="1">
        <f t="array" ref="AP105">$E$10*(1+$AN105)+VLOOKUP($R105,武学奇术!$A:$ZZ,4,FALSE)+SUM(_xlfn.XLOOKUP($S105:$AG105,增益!$A:$A,增益!$D:$D,0))-$I$2</f>
        <v>6696.76</v>
      </c>
      <c r="AQ105" s="29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0.3425</v>
      </c>
      <c r="AR105" s="29" cm="1">
        <f t="array" ref="AR105">$G$10+VLOOKUP($R105,武学奇术!$A:$ZZ,7,FALSE)+SUM(_xlfn.XLOOKUP(S105:AG105,增益!$A:$A,增益!$G:$G,0))</f>
        <v>0</v>
      </c>
      <c r="AS105" s="20" cm="1">
        <f t="array" ref="AS105">VLOOKUP($R105,武学奇术!$A:$ZZ,8,FALSE)+SUM(_xlfn.XLOOKUP(S105:AG105,增益!$A:$A,增益!$H:$H,0))</f>
        <v>0</v>
      </c>
      <c r="AT105">
        <f t="shared" si="52"/>
        <v>538</v>
      </c>
      <c r="AU105">
        <f t="shared" si="53"/>
        <v>1011</v>
      </c>
      <c r="AV105" s="29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29" cm="1">
        <f t="array" ref="AW105">$G$11+VLOOKUP($R105,武学奇术!$A:$ZZ,10,FALSE)+SUM(_xlfn.XLOOKUP(S105:AG105,增益!$A:$A,增益!$J:$J,0))</f>
        <v>0.15</v>
      </c>
      <c r="AX105">
        <f t="shared" si="54"/>
        <v>0</v>
      </c>
      <c r="AY105">
        <f t="shared" si="55"/>
        <v>0</v>
      </c>
      <c r="AZ105" s="29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29" cm="1">
        <f t="array" ref="BA105">$G$12+VLOOKUP($R105,武学奇术!$A:$ZZ,12,FALSE)+SUM(_xlfn.XLOOKUP(S105:AG105,增益!$A:$A,增益!$L:$L,0))</f>
        <v>0</v>
      </c>
      <c r="BB105">
        <f t="shared" si="56"/>
        <v>0</v>
      </c>
      <c r="BC105">
        <f t="shared" si="57"/>
        <v>0</v>
      </c>
      <c r="BD105" s="29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29" cm="1">
        <f t="array" ref="BE105">$G$13+VLOOKUP($R105,武学奇术!$A:$ZZ,14,FALSE)+SUM(_xlfn.XLOOKUP(S105:AG105,增益!$A:$A,增益!$N:$N,0))</f>
        <v>0</v>
      </c>
      <c r="BF105">
        <f t="shared" si="58"/>
        <v>0</v>
      </c>
      <c r="BG105">
        <f t="shared" si="59"/>
        <v>0</v>
      </c>
      <c r="BH105" s="29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29" cm="1">
        <f t="array" ref="BI105">$G$14+VLOOKUP($R105,武学奇术!$A:$ZZ,16,FALSE)+SUM(_xlfn.XLOOKUP(S105:AG105,增益!$A:$A,增益!$P:$P,0))</f>
        <v>0</v>
      </c>
      <c r="BJ105" s="20">
        <f>MIN(IF(VLOOKUP($R105,武学奇术!$A:$ZZ,23,FALSE)=1,100%,$B$8),100%)</f>
        <v>0.8271</v>
      </c>
      <c r="BK105" s="20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0.2249</v>
      </c>
      <c r="BL105" s="20" cm="1">
        <f t="array" ref="BL105">1+$B$13+VLOOKUP($R105,武学奇术!$A:$ZZ,18,FALSE)+SUM(_xlfn.XLOOKUP(S105:AG105,增益!$A:$A,增益!$R:$R,0))</f>
        <v>1.5</v>
      </c>
      <c r="BM105" s="20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0.4459</v>
      </c>
      <c r="BN105" s="20" cm="1">
        <f t="array" ref="BN105">1+$B$14+VLOOKUP($R105,武学奇术!$A:$ZZ,20,FALSE)+SUM(_xlfn.XLOOKUP(S105:AG105,增益!$A:$A,增益!$T:$T,0))</f>
        <v>1.602</v>
      </c>
      <c r="BO105" s="20">
        <f t="shared" si="60"/>
        <v>0.18601479</v>
      </c>
      <c r="BP105" s="20">
        <f t="shared" si="61"/>
        <v>0.27228132</v>
      </c>
      <c r="BQ105" s="20">
        <f>IF(VLOOKUP($R105,武学奇术!$A:$ZZ,22,FALSE)=1,0,(1-$BJ105))*(1-$BM105)</f>
        <v>0.09580389</v>
      </c>
      <c r="BR105" s="20" cm="1">
        <f t="array" ref="BR105">SUM(_xlfn.XLOOKUP(S105:AG105,增益!$A:$A,增益!$W:$W,0))+$I$5</f>
        <v>0.11</v>
      </c>
    </row>
    <row r="106" spans="11:70">
      <c r="K106" s="27">
        <f>$L106*VLOOKUP($R106,武学奇术!$A:$ZZ,31,FALSE)</f>
        <v>67284.2493055027</v>
      </c>
      <c r="L106" s="27">
        <f t="shared" si="51"/>
        <v>67284.2493055027</v>
      </c>
      <c r="M106" s="27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60551.7039955137</v>
      </c>
      <c r="N106" s="27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96593.6592189023</v>
      </c>
      <c r="O106" s="27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40367.8026636758</v>
      </c>
      <c r="P106" s="27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20439.937899822</v>
      </c>
      <c r="Q106" s="35">
        <v>1</v>
      </c>
      <c r="R106" s="36" t="s">
        <v>81</v>
      </c>
      <c r="S106" s="36" t="s">
        <v>71</v>
      </c>
      <c r="T106" s="36" t="s">
        <v>93</v>
      </c>
      <c r="U106" s="36" t="s">
        <v>71</v>
      </c>
      <c r="V106" s="36" t="s">
        <v>71</v>
      </c>
      <c r="W106" s="36" t="s">
        <v>111</v>
      </c>
      <c r="X106" s="36" t="s">
        <v>71</v>
      </c>
      <c r="Y106" s="36" t="s">
        <v>71</v>
      </c>
      <c r="Z106" s="36" t="s">
        <v>71</v>
      </c>
      <c r="AA106" s="36" t="s">
        <v>71</v>
      </c>
      <c r="AB106" s="36" t="s">
        <v>71</v>
      </c>
      <c r="AC106" s="36" t="s">
        <v>71</v>
      </c>
      <c r="AD106" s="36" t="s">
        <v>72</v>
      </c>
      <c r="AE106" s="36" t="s">
        <v>94</v>
      </c>
      <c r="AF106" s="36" t="s">
        <v>154</v>
      </c>
      <c r="AG106" s="36" t="s">
        <v>120</v>
      </c>
      <c r="AH106" t="str">
        <f>VLOOKUP($R106,武学奇术!$A:$ZZ,25,FALSE)</f>
        <v>剑</v>
      </c>
      <c r="AI106" s="20">
        <f>VLOOKUP($R106,武学奇术!$A:$ZZ,26,FALSE)</f>
        <v>2.7205</v>
      </c>
      <c r="AJ106" s="21">
        <f>VLOOKUP($R106,武学奇术!$A:$ZZ,27,FALSE)*(1+IF(OR($AH106=$F$4,$AH106=$F$5),$B$22,0))</f>
        <v>1048.6</v>
      </c>
      <c r="AK106" s="20">
        <f>VLOOKUP($R106,武学奇术!$A:$ZZ,28,FALSE)</f>
        <v>4.0806</v>
      </c>
      <c r="AL106" s="21">
        <f>VLOOKUP($R106,武学奇术!$A:$ZZ,29,FALSE)*(1+IF(OR($AH106=$F$4,$AH106=$F$5),$B$22,0))</f>
        <v>572.6</v>
      </c>
      <c r="AM106" s="20" cm="1">
        <f t="array" ref="AM106">$G$3+IFERROR(VLOOKUP($AH106,$F$4:$G$7,2,FALSE),0)+VLOOKUP($R106,武学奇术!$A:$ZZ,2,FALSE)+SUM(_xlfn.XLOOKUP($S106:$AG106,增益!$A:$A,增益!$B:$B,0))</f>
        <v>0.7191</v>
      </c>
      <c r="AN106" s="20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1585.72</v>
      </c>
      <c r="AP106" cm="1">
        <f t="array" ref="AP106">$E$10*(1+$AN106)+VLOOKUP($R106,武学奇术!$A:$ZZ,4,FALSE)+SUM(_xlfn.XLOOKUP($S106:$AG106,增益!$A:$A,增益!$D:$D,0))-$I$2</f>
        <v>6696.76</v>
      </c>
      <c r="AQ106" s="29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0.3425</v>
      </c>
      <c r="AR106" s="29" cm="1">
        <f t="array" ref="AR106">$G$10+VLOOKUP($R106,武学奇术!$A:$ZZ,7,FALSE)+SUM(_xlfn.XLOOKUP(S106:AG106,增益!$A:$A,增益!$G:$G,0))</f>
        <v>0</v>
      </c>
      <c r="AS106" s="20" cm="1">
        <f t="array" ref="AS106">VLOOKUP($R106,武学奇术!$A:$ZZ,8,FALSE)+SUM(_xlfn.XLOOKUP(S106:AG106,增益!$A:$A,增益!$H:$H,0))</f>
        <v>0</v>
      </c>
      <c r="AT106">
        <f t="shared" si="52"/>
        <v>538</v>
      </c>
      <c r="AU106">
        <f t="shared" si="53"/>
        <v>1011</v>
      </c>
      <c r="AV106" s="29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</v>
      </c>
      <c r="AW106" s="29" cm="1">
        <f t="array" ref="AW106">$G$11+VLOOKUP($R106,武学奇术!$A:$ZZ,10,FALSE)+SUM(_xlfn.XLOOKUP(S106:AG106,增益!$A:$A,增益!$J:$J,0))</f>
        <v>0.15</v>
      </c>
      <c r="AX106">
        <f t="shared" si="54"/>
        <v>0</v>
      </c>
      <c r="AY106">
        <f t="shared" si="55"/>
        <v>0</v>
      </c>
      <c r="AZ106" s="29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29" cm="1">
        <f t="array" ref="BA106">$G$12+VLOOKUP($R106,武学奇术!$A:$ZZ,12,FALSE)+SUM(_xlfn.XLOOKUP(S106:AG106,增益!$A:$A,增益!$L:$L,0))</f>
        <v>0</v>
      </c>
      <c r="BB106">
        <f t="shared" si="56"/>
        <v>0</v>
      </c>
      <c r="BC106">
        <f t="shared" si="57"/>
        <v>0</v>
      </c>
      <c r="BD106" s="29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29" cm="1">
        <f t="array" ref="BE106">$G$13+VLOOKUP($R106,武学奇术!$A:$ZZ,14,FALSE)+SUM(_xlfn.XLOOKUP(S106:AG106,增益!$A:$A,增益!$N:$N,0))</f>
        <v>0</v>
      </c>
      <c r="BF106">
        <f t="shared" si="58"/>
        <v>0</v>
      </c>
      <c r="BG106">
        <f t="shared" si="59"/>
        <v>0</v>
      </c>
      <c r="BH106" s="29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29" cm="1">
        <f t="array" ref="BI106">$G$14+VLOOKUP($R106,武学奇术!$A:$ZZ,16,FALSE)+SUM(_xlfn.XLOOKUP(S106:AG106,增益!$A:$A,增益!$P:$P,0))</f>
        <v>0</v>
      </c>
      <c r="BJ106" s="20">
        <f>MIN(IF(VLOOKUP($R106,武学奇术!$A:$ZZ,23,FALSE)=1,100%,$B$8),100%)</f>
        <v>0.8271</v>
      </c>
      <c r="BK106" s="20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0.2249</v>
      </c>
      <c r="BL106" s="20" cm="1">
        <f t="array" ref="BL106">1+$B$13+VLOOKUP($R106,武学奇术!$A:$ZZ,18,FALSE)+SUM(_xlfn.XLOOKUP(S106:AG106,增益!$A:$A,增益!$R:$R,0))</f>
        <v>1.5</v>
      </c>
      <c r="BM106" s="20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0.4459</v>
      </c>
      <c r="BN106" s="20" cm="1">
        <f t="array" ref="BN106">1+$B$14+VLOOKUP($R106,武学奇术!$A:$ZZ,20,FALSE)+SUM(_xlfn.XLOOKUP(S106:AG106,增益!$A:$A,增益!$T:$T,0))</f>
        <v>1.602</v>
      </c>
      <c r="BO106" s="20">
        <f t="shared" si="60"/>
        <v>0.18601479</v>
      </c>
      <c r="BP106" s="20">
        <f t="shared" si="61"/>
        <v>0.27228132</v>
      </c>
      <c r="BQ106" s="20">
        <f>IF(VLOOKUP($R106,武学奇术!$A:$ZZ,22,FALSE)=1,0,(1-$BJ106))*(1-$BM106)</f>
        <v>0.09580389</v>
      </c>
      <c r="BR106" s="20" cm="1">
        <f t="array" ref="BR106">SUM(_xlfn.XLOOKUP(S106:AG106,增益!$A:$A,增益!$W:$W,0))+$I$5</f>
        <v>0.11</v>
      </c>
    </row>
    <row r="107" spans="11:70">
      <c r="K107" s="27">
        <f>$L107*VLOOKUP($R107,武学奇术!$A:$ZZ,31,FALSE)</f>
        <v>72445.351372865</v>
      </c>
      <c r="L107" s="27">
        <f t="shared" si="51"/>
        <v>120742.252288108</v>
      </c>
      <c r="M107" s="27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98963.7470554523</v>
      </c>
      <c r="N107" s="27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182915.359495206</v>
      </c>
      <c r="O107" s="27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65975.8313703015</v>
      </c>
      <c r="P107" s="27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29305.5575244383</v>
      </c>
      <c r="Q107" s="35">
        <v>1</v>
      </c>
      <c r="R107" s="36" t="s">
        <v>105</v>
      </c>
      <c r="S107" s="36" t="s">
        <v>71</v>
      </c>
      <c r="T107" s="36" t="s">
        <v>99</v>
      </c>
      <c r="U107" s="36" t="s">
        <v>100</v>
      </c>
      <c r="V107" s="36" t="s">
        <v>101</v>
      </c>
      <c r="W107" s="36" t="s">
        <v>111</v>
      </c>
      <c r="X107" s="36" t="s">
        <v>71</v>
      </c>
      <c r="Y107" s="36" t="s">
        <v>71</v>
      </c>
      <c r="Z107" s="36" t="s">
        <v>71</v>
      </c>
      <c r="AA107" s="36" t="s">
        <v>71</v>
      </c>
      <c r="AB107" s="36" t="s">
        <v>71</v>
      </c>
      <c r="AC107" s="36" t="s">
        <v>71</v>
      </c>
      <c r="AD107" s="36" t="s">
        <v>72</v>
      </c>
      <c r="AE107" s="36" t="s">
        <v>94</v>
      </c>
      <c r="AF107" s="36" t="s">
        <v>154</v>
      </c>
      <c r="AG107" s="36" t="s">
        <v>120</v>
      </c>
      <c r="AH107" t="str">
        <f>VLOOKUP($R107,武学奇术!$A:$ZZ,25,FALSE)</f>
        <v>剑</v>
      </c>
      <c r="AI107" s="20">
        <f>VLOOKUP($R107,武学奇术!$A:$ZZ,26,FALSE)</f>
        <v>2.496</v>
      </c>
      <c r="AJ107" s="21">
        <f>VLOOKUP($R107,武学奇术!$A:$ZZ,27,FALSE)*(1+IF(OR($AH107=$F$4,$AH107=$F$5),$B$22,0))</f>
        <v>0</v>
      </c>
      <c r="AK107" s="20">
        <f>VLOOKUP($R107,武学奇术!$A:$ZZ,28,FALSE)</f>
        <v>3.744</v>
      </c>
      <c r="AL107" s="21">
        <f>VLOOKUP($R107,武学奇术!$A:$ZZ,29,FALSE)*(1+IF(OR($AH107=$F$4,$AH107=$F$5),$B$22,0))</f>
        <v>0</v>
      </c>
      <c r="AM107" s="20" cm="1">
        <f t="array" ref="AM107">$G$3+IFERROR(VLOOKUP($AH107,$F$4:$G$7,2,FALSE),0)+VLOOKUP($R107,武学奇术!$A:$ZZ,2,FALSE)+SUM(_xlfn.XLOOKUP($S107:$AG107,增益!$A:$A,增益!$B:$B,0))</f>
        <v>1.4691</v>
      </c>
      <c r="AN107" s="20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1585.72</v>
      </c>
      <c r="AP107" cm="1">
        <f t="array" ref="AP107">$E$10*(1+$AN107)+VLOOKUP($R107,武学奇术!$A:$ZZ,4,FALSE)+SUM(_xlfn.XLOOKUP($S107:$AG107,增益!$A:$A,增益!$D:$D,0))-$I$2</f>
        <v>6696.76</v>
      </c>
      <c r="AQ107" s="29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0.4175</v>
      </c>
      <c r="AR107" s="29" cm="1">
        <f t="array" ref="AR107">$G$10+VLOOKUP($R107,武学奇术!$A:$ZZ,7,FALSE)+SUM(_xlfn.XLOOKUP(S107:AG107,增益!$A:$A,增益!$G:$G,0))</f>
        <v>0</v>
      </c>
      <c r="AS107" s="20" cm="1">
        <f t="array" ref="AS107">VLOOKUP($R107,武学奇术!$A:$ZZ,8,FALSE)+SUM(_xlfn.XLOOKUP(S107:AG107,增益!$A:$A,增益!$H:$H,0))</f>
        <v>0</v>
      </c>
      <c r="AT107">
        <f t="shared" si="52"/>
        <v>538</v>
      </c>
      <c r="AU107">
        <f t="shared" si="53"/>
        <v>1011</v>
      </c>
      <c r="AV107" s="29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0.075</v>
      </c>
      <c r="AW107" s="29" cm="1">
        <f t="array" ref="AW107">$G$11+VLOOKUP($R107,武学奇术!$A:$ZZ,10,FALSE)+SUM(_xlfn.XLOOKUP(S107:AG107,增益!$A:$A,增益!$J:$J,0))</f>
        <v>0.15</v>
      </c>
      <c r="AX107">
        <f t="shared" si="54"/>
        <v>0</v>
      </c>
      <c r="AY107">
        <f t="shared" si="55"/>
        <v>0</v>
      </c>
      <c r="AZ107" s="29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29" cm="1">
        <f t="array" ref="BA107">$G$12+VLOOKUP($R107,武学奇术!$A:$ZZ,12,FALSE)+SUM(_xlfn.XLOOKUP(S107:AG107,增益!$A:$A,增益!$L:$L,0))</f>
        <v>0</v>
      </c>
      <c r="BB107">
        <f t="shared" si="56"/>
        <v>0</v>
      </c>
      <c r="BC107">
        <f t="shared" si="57"/>
        <v>0</v>
      </c>
      <c r="BD107" s="29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29" cm="1">
        <f t="array" ref="BE107">$G$13+VLOOKUP($R107,武学奇术!$A:$ZZ,14,FALSE)+SUM(_xlfn.XLOOKUP(S107:AG107,增益!$A:$A,增益!$N:$N,0))</f>
        <v>0</v>
      </c>
      <c r="BF107">
        <f t="shared" si="58"/>
        <v>0</v>
      </c>
      <c r="BG107">
        <f t="shared" si="59"/>
        <v>0</v>
      </c>
      <c r="BH107" s="29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29" cm="1">
        <f t="array" ref="BI107">$G$14+VLOOKUP($R107,武学奇术!$A:$ZZ,16,FALSE)+SUM(_xlfn.XLOOKUP(S107:AG107,增益!$A:$A,增益!$P:$P,0))</f>
        <v>0</v>
      </c>
      <c r="BJ107" s="20">
        <f>MIN(IF(VLOOKUP($R107,武学奇术!$A:$ZZ,23,FALSE)=1,100%,$B$8),100%)</f>
        <v>0.8271</v>
      </c>
      <c r="BK107" s="20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0.2249</v>
      </c>
      <c r="BL107" s="20" cm="1">
        <f t="array" ref="BL107">1+$B$13+VLOOKUP($R107,武学奇术!$A:$ZZ,18,FALSE)+SUM(_xlfn.XLOOKUP(S107:AG107,增益!$A:$A,增益!$R:$R,0))</f>
        <v>1.5</v>
      </c>
      <c r="BM107" s="20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0.4459</v>
      </c>
      <c r="BN107" s="20" cm="1">
        <f t="array" ref="BN107">1+$B$14+VLOOKUP($R107,武学奇术!$A:$ZZ,20,FALSE)+SUM(_xlfn.XLOOKUP(S107:AG107,增益!$A:$A,增益!$T:$T,0))</f>
        <v>1.782</v>
      </c>
      <c r="BO107" s="20">
        <f t="shared" si="60"/>
        <v>0.18601479</v>
      </c>
      <c r="BP107" s="20">
        <f t="shared" si="61"/>
        <v>0.27228132</v>
      </c>
      <c r="BQ107" s="20">
        <f>IF(VLOOKUP($R107,武学奇术!$A:$ZZ,22,FALSE)=1,0,(1-$BJ107))*(1-$BM107)</f>
        <v>0.09580389</v>
      </c>
      <c r="BR107" s="20" cm="1">
        <f t="array" ref="BR107">SUM(_xlfn.XLOOKUP(S107:AG107,增益!$A:$A,增益!$W:$W,0))+$I$5</f>
        <v>0.11</v>
      </c>
    </row>
    <row r="108" spans="11:70">
      <c r="K108" s="27">
        <f>$L108*VLOOKUP($R108,武学奇术!$A:$ZZ,31,FALSE)</f>
        <v>17767.4050054808</v>
      </c>
      <c r="L108" s="27">
        <f t="shared" si="51"/>
        <v>17767.4050054808</v>
      </c>
      <c r="M108" s="27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15624.0974041454</v>
      </c>
      <c r="N108" s="27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25975.8155396688</v>
      </c>
      <c r="O108" s="27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10416.064936097</v>
      </c>
      <c r="P108" s="27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4617.51343045309</v>
      </c>
      <c r="Q108" s="35">
        <v>1</v>
      </c>
      <c r="R108" s="36" t="s">
        <v>155</v>
      </c>
      <c r="S108" s="36" t="s">
        <v>71</v>
      </c>
      <c r="T108" s="36" t="s">
        <v>93</v>
      </c>
      <c r="U108" s="36" t="s">
        <v>71</v>
      </c>
      <c r="V108" s="36" t="s">
        <v>71</v>
      </c>
      <c r="W108" s="36" t="s">
        <v>111</v>
      </c>
      <c r="X108" s="36" t="s">
        <v>71</v>
      </c>
      <c r="Y108" s="36" t="s">
        <v>71</v>
      </c>
      <c r="Z108" s="36" t="s">
        <v>71</v>
      </c>
      <c r="AA108" s="36" t="s">
        <v>71</v>
      </c>
      <c r="AB108" s="36" t="s">
        <v>71</v>
      </c>
      <c r="AC108" s="36" t="s">
        <v>71</v>
      </c>
      <c r="AD108" s="36" t="s">
        <v>72</v>
      </c>
      <c r="AE108" s="36" t="s">
        <v>94</v>
      </c>
      <c r="AF108" s="36" t="s">
        <v>154</v>
      </c>
      <c r="AG108" s="36" t="s">
        <v>120</v>
      </c>
      <c r="AH108" t="str">
        <f>VLOOKUP($R108,武学奇术!$A:$ZZ,25,FALSE)</f>
        <v>剑</v>
      </c>
      <c r="AI108" s="20">
        <f>VLOOKUP($R108,武学奇术!$A:$ZZ,26,FALSE)</f>
        <v>0.7916</v>
      </c>
      <c r="AJ108" s="21">
        <f>VLOOKUP($R108,武学奇术!$A:$ZZ,27,FALSE)*(1+IF(OR($AH108=$F$4,$AH108=$F$5),$B$22,0))</f>
        <v>0</v>
      </c>
      <c r="AK108" s="20">
        <f>VLOOKUP($R108,武学奇术!$A:$ZZ,28,FALSE)</f>
        <v>1.1874</v>
      </c>
      <c r="AL108" s="21">
        <f>VLOOKUP($R108,武学奇术!$A:$ZZ,29,FALSE)*(1+IF(OR($AH108=$F$4,$AH108=$F$5),$B$22,0))</f>
        <v>0</v>
      </c>
      <c r="AM108" s="20" cm="1">
        <f t="array" ref="AM108">$G$3+IFERROR(VLOOKUP($AH108,$F$4:$G$7,2,FALSE),0)+VLOOKUP($R108,武学奇术!$A:$ZZ,2,FALSE)+SUM(_xlfn.XLOOKUP($S108:$AG108,增益!$A:$A,增益!$B:$B,0))</f>
        <v>0.7191</v>
      </c>
      <c r="AN108" s="20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1585.72</v>
      </c>
      <c r="AP108" cm="1">
        <f t="array" ref="AP108">$E$10*(1+$AN108)+VLOOKUP($R108,武学奇术!$A:$ZZ,4,FALSE)+SUM(_xlfn.XLOOKUP($S108:$AG108,增益!$A:$A,增益!$D:$D,0))-$I$2</f>
        <v>6696.76</v>
      </c>
      <c r="AQ108" s="29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0.3425</v>
      </c>
      <c r="AR108" s="29" cm="1">
        <f t="array" ref="AR108">$G$10+VLOOKUP($R108,武学奇术!$A:$ZZ,7,FALSE)+SUM(_xlfn.XLOOKUP(S108:AG108,增益!$A:$A,增益!$G:$G,0))</f>
        <v>0</v>
      </c>
      <c r="AS108" s="20" cm="1">
        <f t="array" ref="AS108">VLOOKUP($R108,武学奇术!$A:$ZZ,8,FALSE)+SUM(_xlfn.XLOOKUP(S108:AG108,增益!$A:$A,增益!$H:$H,0))</f>
        <v>0</v>
      </c>
      <c r="AT108">
        <f t="shared" si="52"/>
        <v>538</v>
      </c>
      <c r="AU108">
        <f t="shared" si="53"/>
        <v>1011</v>
      </c>
      <c r="AV108" s="29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29" cm="1">
        <f t="array" ref="AW108">$G$11+VLOOKUP($R108,武学奇术!$A:$ZZ,10,FALSE)+SUM(_xlfn.XLOOKUP(S108:AG108,增益!$A:$A,增益!$J:$J,0))</f>
        <v>0.15</v>
      </c>
      <c r="AX108">
        <f t="shared" si="54"/>
        <v>0</v>
      </c>
      <c r="AY108">
        <f t="shared" si="55"/>
        <v>0</v>
      </c>
      <c r="AZ108" s="29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29" cm="1">
        <f t="array" ref="BA108">$G$12+VLOOKUP($R108,武学奇术!$A:$ZZ,12,FALSE)+SUM(_xlfn.XLOOKUP(S108:AG108,增益!$A:$A,增益!$L:$L,0))</f>
        <v>0</v>
      </c>
      <c r="BB108">
        <f t="shared" si="56"/>
        <v>0</v>
      </c>
      <c r="BC108">
        <f t="shared" si="57"/>
        <v>0</v>
      </c>
      <c r="BD108" s="29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29" cm="1">
        <f t="array" ref="BE108">$G$13+VLOOKUP($R108,武学奇术!$A:$ZZ,14,FALSE)+SUM(_xlfn.XLOOKUP(S108:AG108,增益!$A:$A,增益!$N:$N,0))</f>
        <v>0</v>
      </c>
      <c r="BF108">
        <f t="shared" si="58"/>
        <v>0</v>
      </c>
      <c r="BG108">
        <f t="shared" si="59"/>
        <v>0</v>
      </c>
      <c r="BH108" s="29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29" cm="1">
        <f t="array" ref="BI108">$G$14+VLOOKUP($R108,武学奇术!$A:$ZZ,16,FALSE)+SUM(_xlfn.XLOOKUP(S108:AG108,增益!$A:$A,增益!$P:$P,0))</f>
        <v>0</v>
      </c>
      <c r="BJ108" s="20">
        <f>MIN(IF(VLOOKUP($R108,武学奇术!$A:$ZZ,23,FALSE)=1,100%,$B$8),100%)</f>
        <v>0.8271</v>
      </c>
      <c r="BK108" s="20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0.2249</v>
      </c>
      <c r="BL108" s="20" cm="1">
        <f t="array" ref="BL108">1+$B$13+VLOOKUP($R108,武学奇术!$A:$ZZ,18,FALSE)+SUM(_xlfn.XLOOKUP(S108:AG108,增益!$A:$A,增益!$R:$R,0))</f>
        <v>1.5</v>
      </c>
      <c r="BM108" s="20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0.4459</v>
      </c>
      <c r="BN108" s="20" cm="1">
        <f t="array" ref="BN108">1+$B$14+VLOOKUP($R108,武学奇术!$A:$ZZ,20,FALSE)+SUM(_xlfn.XLOOKUP(S108:AG108,增益!$A:$A,增益!$T:$T,0))</f>
        <v>1.602</v>
      </c>
      <c r="BO108" s="20">
        <f t="shared" si="60"/>
        <v>0.18601479</v>
      </c>
      <c r="BP108" s="20">
        <f t="shared" si="61"/>
        <v>0.27228132</v>
      </c>
      <c r="BQ108" s="20">
        <f>IF(VLOOKUP($R108,武学奇术!$A:$ZZ,22,FALSE)=1,0,(1-$BJ108))*(1-$BM108)</f>
        <v>0.09580389</v>
      </c>
      <c r="BR108" s="20" cm="1">
        <f t="array" ref="BR108">SUM(_xlfn.XLOOKUP(S108:AG108,增益!$A:$A,增益!$W:$W,0))+$I$5</f>
        <v>0.11</v>
      </c>
    </row>
    <row r="109" spans="11:70">
      <c r="K109" s="27">
        <f>$L109*VLOOKUP($R109,武学奇术!$A:$ZZ,31,FALSE)</f>
        <v>29144.7638797072</v>
      </c>
      <c r="L109" s="27">
        <f t="shared" si="51"/>
        <v>29144.7638797072</v>
      </c>
      <c r="M109" s="27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26230.0019651702</v>
      </c>
      <c r="N109" s="27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41838.4691583926</v>
      </c>
      <c r="O109" s="27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17486.6679767801</v>
      </c>
      <c r="P109" s="27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8856.93822672343</v>
      </c>
      <c r="Q109" s="35">
        <v>1</v>
      </c>
      <c r="R109" s="36" t="s">
        <v>92</v>
      </c>
      <c r="S109" s="36" t="s">
        <v>71</v>
      </c>
      <c r="T109" s="36" t="s">
        <v>93</v>
      </c>
      <c r="U109" s="36" t="s">
        <v>71</v>
      </c>
      <c r="V109" s="36" t="s">
        <v>71</v>
      </c>
      <c r="W109" s="36" t="s">
        <v>111</v>
      </c>
      <c r="X109" s="36" t="s">
        <v>71</v>
      </c>
      <c r="Y109" s="36" t="s">
        <v>71</v>
      </c>
      <c r="Z109" s="36" t="s">
        <v>71</v>
      </c>
      <c r="AA109" s="36" t="s">
        <v>71</v>
      </c>
      <c r="AB109" s="36" t="s">
        <v>71</v>
      </c>
      <c r="AC109" s="36" t="s">
        <v>71</v>
      </c>
      <c r="AD109" s="36" t="s">
        <v>72</v>
      </c>
      <c r="AE109" s="36" t="s">
        <v>94</v>
      </c>
      <c r="AF109" s="36" t="s">
        <v>154</v>
      </c>
      <c r="AG109" s="36" t="s">
        <v>120</v>
      </c>
      <c r="AH109" t="str">
        <f>VLOOKUP($R109,武学奇术!$A:$ZZ,25,FALSE)</f>
        <v>剑</v>
      </c>
      <c r="AI109" s="20">
        <f>VLOOKUP($R109,武学奇术!$A:$ZZ,26,FALSE)</f>
        <v>1.1781</v>
      </c>
      <c r="AJ109" s="21">
        <f>VLOOKUP($R109,武学奇术!$A:$ZZ,27,FALSE)*(1+IF(OR($AH109=$F$4,$AH109=$F$5),$B$22,0))</f>
        <v>456.4</v>
      </c>
      <c r="AK109" s="20">
        <f>VLOOKUP($R109,武学奇术!$A:$ZZ,28,FALSE)</f>
        <v>1.7672</v>
      </c>
      <c r="AL109" s="21">
        <f>VLOOKUP($R109,武学奇术!$A:$ZZ,29,FALSE)*(1+IF(OR($AH109=$F$4,$AH109=$F$5),$B$22,0))</f>
        <v>247.8</v>
      </c>
      <c r="AM109" s="20" cm="1">
        <f t="array" ref="AM109">$G$3+IFERROR(VLOOKUP($AH109,$F$4:$G$7,2,FALSE),0)+VLOOKUP($R109,武学奇术!$A:$ZZ,2,FALSE)+SUM(_xlfn.XLOOKUP($S109:$AG109,增益!$A:$A,增益!$B:$B,0))</f>
        <v>0.7191</v>
      </c>
      <c r="AN109" s="20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1585.72</v>
      </c>
      <c r="AP109" cm="1">
        <f t="array" ref="AP109">$E$10*(1+$AN109)+VLOOKUP($R109,武学奇术!$A:$ZZ,4,FALSE)+SUM(_xlfn.XLOOKUP($S109:$AG109,增益!$A:$A,增益!$D:$D,0))-$I$2</f>
        <v>6696.76</v>
      </c>
      <c r="AQ109" s="29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0.3425</v>
      </c>
      <c r="AR109" s="29" cm="1">
        <f t="array" ref="AR109">$G$10+VLOOKUP($R109,武学奇术!$A:$ZZ,7,FALSE)+SUM(_xlfn.XLOOKUP(S109:AG109,增益!$A:$A,增益!$G:$G,0))</f>
        <v>0</v>
      </c>
      <c r="AS109" s="20" cm="1">
        <f t="array" ref="AS109">VLOOKUP($R109,武学奇术!$A:$ZZ,8,FALSE)+SUM(_xlfn.XLOOKUP(S109:AG109,增益!$A:$A,增益!$H:$H,0))</f>
        <v>0</v>
      </c>
      <c r="AT109">
        <f t="shared" si="52"/>
        <v>538</v>
      </c>
      <c r="AU109">
        <f t="shared" si="53"/>
        <v>1011</v>
      </c>
      <c r="AV109" s="29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0</v>
      </c>
      <c r="AW109" s="29" cm="1">
        <f t="array" ref="AW109">$G$11+VLOOKUP($R109,武学奇术!$A:$ZZ,10,FALSE)+SUM(_xlfn.XLOOKUP(S109:AG109,增益!$A:$A,增益!$J:$J,0))</f>
        <v>0.15</v>
      </c>
      <c r="AX109">
        <f t="shared" si="54"/>
        <v>0</v>
      </c>
      <c r="AY109">
        <f t="shared" si="55"/>
        <v>0</v>
      </c>
      <c r="AZ109" s="29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29" cm="1">
        <f t="array" ref="BA109">$G$12+VLOOKUP($R109,武学奇术!$A:$ZZ,12,FALSE)+SUM(_xlfn.XLOOKUP(S109:AG109,增益!$A:$A,增益!$L:$L,0))</f>
        <v>0</v>
      </c>
      <c r="BB109">
        <f t="shared" si="56"/>
        <v>0</v>
      </c>
      <c r="BC109">
        <f t="shared" si="57"/>
        <v>0</v>
      </c>
      <c r="BD109" s="29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29" cm="1">
        <f t="array" ref="BE109">$G$13+VLOOKUP($R109,武学奇术!$A:$ZZ,14,FALSE)+SUM(_xlfn.XLOOKUP(S109:AG109,增益!$A:$A,增益!$N:$N,0))</f>
        <v>0</v>
      </c>
      <c r="BF109">
        <f t="shared" si="58"/>
        <v>0</v>
      </c>
      <c r="BG109">
        <f t="shared" si="59"/>
        <v>0</v>
      </c>
      <c r="BH109" s="29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29" cm="1">
        <f t="array" ref="BI109">$G$14+VLOOKUP($R109,武学奇术!$A:$ZZ,16,FALSE)+SUM(_xlfn.XLOOKUP(S109:AG109,增益!$A:$A,增益!$P:$P,0))</f>
        <v>0</v>
      </c>
      <c r="BJ109" s="20">
        <f>MIN(IF(VLOOKUP($R109,武学奇术!$A:$ZZ,23,FALSE)=1,100%,$B$8),100%)</f>
        <v>0.8271</v>
      </c>
      <c r="BK109" s="20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0.2249</v>
      </c>
      <c r="BL109" s="20" cm="1">
        <f t="array" ref="BL109">1+$B$13+VLOOKUP($R109,武学奇术!$A:$ZZ,18,FALSE)+SUM(_xlfn.XLOOKUP(S109:AG109,增益!$A:$A,增益!$R:$R,0))</f>
        <v>1.5</v>
      </c>
      <c r="BM109" s="20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0.4459</v>
      </c>
      <c r="BN109" s="20" cm="1">
        <f t="array" ref="BN109">1+$B$14+VLOOKUP($R109,武学奇术!$A:$ZZ,20,FALSE)+SUM(_xlfn.XLOOKUP(S109:AG109,增益!$A:$A,增益!$T:$T,0))</f>
        <v>1.602</v>
      </c>
      <c r="BO109" s="20">
        <f t="shared" si="60"/>
        <v>0.18601479</v>
      </c>
      <c r="BP109" s="20">
        <f t="shared" si="61"/>
        <v>0.27228132</v>
      </c>
      <c r="BQ109" s="20">
        <f>IF(VLOOKUP($R109,武学奇术!$A:$ZZ,22,FALSE)=1,0,(1-$BJ109))*(1-$BM109)</f>
        <v>0.09580389</v>
      </c>
      <c r="BR109" s="20" cm="1">
        <f t="array" ref="BR109">SUM(_xlfn.XLOOKUP(S109:AG109,增益!$A:$A,增益!$W:$W,0))+$I$5</f>
        <v>0.11</v>
      </c>
    </row>
    <row r="110" spans="11:70">
      <c r="K110" s="27">
        <f>$L110*VLOOKUP($R110,武学奇术!$A:$ZZ,31,FALSE)</f>
        <v>111096.221177091</v>
      </c>
      <c r="L110" s="27">
        <f t="shared" si="51"/>
        <v>185160.368628486</v>
      </c>
      <c r="M110" s="27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100411.424933579</v>
      </c>
      <c r="N110" s="27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185160.368628486</v>
      </c>
      <c r="O110" s="27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66940.9499557191</v>
      </c>
      <c r="P110" s="27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29975.9691434889</v>
      </c>
      <c r="Q110" s="35">
        <v>1</v>
      </c>
      <c r="R110" s="36" t="s">
        <v>98</v>
      </c>
      <c r="S110" s="36" t="s">
        <v>71</v>
      </c>
      <c r="T110" s="36" t="s">
        <v>99</v>
      </c>
      <c r="U110" s="36" t="s">
        <v>100</v>
      </c>
      <c r="V110" s="36" t="s">
        <v>101</v>
      </c>
      <c r="W110" s="36" t="s">
        <v>111</v>
      </c>
      <c r="X110" s="36" t="s">
        <v>71</v>
      </c>
      <c r="Y110" s="36" t="s">
        <v>71</v>
      </c>
      <c r="Z110" s="36" t="s">
        <v>82</v>
      </c>
      <c r="AA110" s="36" t="s">
        <v>71</v>
      </c>
      <c r="AB110" s="36" t="s">
        <v>71</v>
      </c>
      <c r="AC110" s="36" t="s">
        <v>71</v>
      </c>
      <c r="AD110" s="36" t="s">
        <v>72</v>
      </c>
      <c r="AE110" s="36" t="s">
        <v>94</v>
      </c>
      <c r="AF110" s="36" t="s">
        <v>154</v>
      </c>
      <c r="AG110" s="36" t="s">
        <v>120</v>
      </c>
      <c r="AH110" t="str">
        <f>VLOOKUP($R110,武学奇术!$A:$ZZ,25,FALSE)</f>
        <v>剑</v>
      </c>
      <c r="AI110" s="20">
        <f>VLOOKUP($R110,武学奇术!$A:$ZZ,26,FALSE)</f>
        <v>2.496</v>
      </c>
      <c r="AJ110" s="21">
        <f>VLOOKUP($R110,武学奇术!$A:$ZZ,27,FALSE)*(1+IF(OR($AH110=$F$4,$AH110=$F$5),$B$22,0))</f>
        <v>0</v>
      </c>
      <c r="AK110" s="20">
        <f>VLOOKUP($R110,武学奇术!$A:$ZZ,28,FALSE)</f>
        <v>3.744</v>
      </c>
      <c r="AL110" s="21">
        <f>VLOOKUP($R110,武学奇术!$A:$ZZ,29,FALSE)*(1+IF(OR($AH110=$F$4,$AH110=$F$5),$B$22,0))</f>
        <v>0</v>
      </c>
      <c r="AM110" s="20" cm="1">
        <f t="array" ref="AM110">$G$3+IFERROR(VLOOKUP($AH110,$F$4:$G$7,2,FALSE),0)+VLOOKUP($R110,武学奇术!$A:$ZZ,2,FALSE)+SUM(_xlfn.XLOOKUP($S110:$AG110,增益!$A:$A,增益!$B:$B,0))</f>
        <v>1.4691</v>
      </c>
      <c r="AN110" s="20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1585.72</v>
      </c>
      <c r="AP110" cm="1">
        <f t="array" ref="AP110">$E$10*(1+$AN110)+VLOOKUP($R110,武学奇术!$A:$ZZ,4,FALSE)+SUM(_xlfn.XLOOKUP($S110:$AG110,增益!$A:$A,增益!$D:$D,0))-$I$2</f>
        <v>6696.76</v>
      </c>
      <c r="AQ110" s="29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0.4175</v>
      </c>
      <c r="AR110" s="29" cm="1">
        <f t="array" ref="AR110">$G$10+VLOOKUP($R110,武学奇术!$A:$ZZ,7,FALSE)+SUM(_xlfn.XLOOKUP(S110:AG110,增益!$A:$A,增益!$G:$G,0))</f>
        <v>0</v>
      </c>
      <c r="AS110" s="20" cm="1">
        <f t="array" ref="AS110">VLOOKUP($R110,武学奇术!$A:$ZZ,8,FALSE)+SUM(_xlfn.XLOOKUP(S110:AG110,增益!$A:$A,增益!$H:$H,0))</f>
        <v>0</v>
      </c>
      <c r="AT110">
        <f t="shared" si="52"/>
        <v>538</v>
      </c>
      <c r="AU110">
        <f t="shared" si="53"/>
        <v>1011</v>
      </c>
      <c r="AV110" s="29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0.155</v>
      </c>
      <c r="AW110" s="29" cm="1">
        <f t="array" ref="AW110">$G$11+VLOOKUP($R110,武学奇术!$A:$ZZ,10,FALSE)+SUM(_xlfn.XLOOKUP(S110:AG110,增益!$A:$A,增益!$J:$J,0))</f>
        <v>0.15</v>
      </c>
      <c r="AX110">
        <f t="shared" si="54"/>
        <v>0</v>
      </c>
      <c r="AY110">
        <f t="shared" si="55"/>
        <v>0</v>
      </c>
      <c r="AZ110" s="29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-0.14</v>
      </c>
      <c r="BA110" s="29" cm="1">
        <f t="array" ref="BA110">$G$12+VLOOKUP($R110,武学奇术!$A:$ZZ,12,FALSE)+SUM(_xlfn.XLOOKUP(S110:AG110,增益!$A:$A,增益!$L:$L,0))</f>
        <v>0</v>
      </c>
      <c r="BB110">
        <f t="shared" si="56"/>
        <v>0</v>
      </c>
      <c r="BC110">
        <f t="shared" si="57"/>
        <v>0</v>
      </c>
      <c r="BD110" s="29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-0.14</v>
      </c>
      <c r="BE110" s="29" cm="1">
        <f t="array" ref="BE110">$G$13+VLOOKUP($R110,武学奇术!$A:$ZZ,14,FALSE)+SUM(_xlfn.XLOOKUP(S110:AG110,增益!$A:$A,增益!$N:$N,0))</f>
        <v>0</v>
      </c>
      <c r="BF110">
        <f t="shared" si="58"/>
        <v>0</v>
      </c>
      <c r="BG110">
        <f t="shared" si="59"/>
        <v>0</v>
      </c>
      <c r="BH110" s="29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-0.14</v>
      </c>
      <c r="BI110" s="29" cm="1">
        <f t="array" ref="BI110">$G$14+VLOOKUP($R110,武学奇术!$A:$ZZ,16,FALSE)+SUM(_xlfn.XLOOKUP(S110:AG110,增益!$A:$A,增益!$P:$P,0))</f>
        <v>0</v>
      </c>
      <c r="BJ110" s="20">
        <f>MIN(IF(VLOOKUP($R110,武学奇术!$A:$ZZ,23,FALSE)=1,100%,$B$8),100%)</f>
        <v>0.8271</v>
      </c>
      <c r="BK110" s="20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</v>
      </c>
      <c r="BL110" s="20" cm="1">
        <f t="array" ref="BL110">1+$B$13+VLOOKUP($R110,武学奇术!$A:$ZZ,18,FALSE)+SUM(_xlfn.XLOOKUP(S110:AG110,增益!$A:$A,增益!$R:$R,0))</f>
        <v>1.5</v>
      </c>
      <c r="BM110" s="20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1</v>
      </c>
      <c r="BN110" s="20" cm="1">
        <f t="array" ref="BN110">1+$B$14+VLOOKUP($R110,武学奇术!$A:$ZZ,20,FALSE)+SUM(_xlfn.XLOOKUP(S110:AG110,增益!$A:$A,增益!$T:$T,0))</f>
        <v>1.782</v>
      </c>
      <c r="BO110" s="20">
        <f t="shared" si="60"/>
        <v>0</v>
      </c>
      <c r="BP110" s="20">
        <f t="shared" si="61"/>
        <v>0</v>
      </c>
      <c r="BQ110" s="20">
        <f>IF(VLOOKUP($R110,武学奇术!$A:$ZZ,22,FALSE)=1,0,(1-$BJ110))*(1-$BM110)</f>
        <v>0</v>
      </c>
      <c r="BR110" s="20" cm="1">
        <f t="array" ref="BR110">SUM(_xlfn.XLOOKUP(S110:AG110,增益!$A:$A,增益!$W:$W,0))+$I$5</f>
        <v>0.11</v>
      </c>
    </row>
    <row r="111" spans="11:70">
      <c r="K111" s="27">
        <f>$L111*VLOOKUP($R111,武学奇术!$A:$ZZ,31,FALSE)</f>
        <v>14225.6967284734</v>
      </c>
      <c r="L111" s="27">
        <f t="shared" si="51"/>
        <v>14225.6967284734</v>
      </c>
      <c r="M111" s="27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12527.0560778889</v>
      </c>
      <c r="N111" s="27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20775.5110365395</v>
      </c>
      <c r="O111" s="27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8351.37071859263</v>
      </c>
      <c r="P111" s="27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3734.25764408944</v>
      </c>
      <c r="Q111" s="35">
        <v>1</v>
      </c>
      <c r="R111" s="36" t="s">
        <v>107</v>
      </c>
      <c r="S111" s="36" t="s">
        <v>71</v>
      </c>
      <c r="T111" s="36" t="s">
        <v>93</v>
      </c>
      <c r="U111" s="36" t="s">
        <v>71</v>
      </c>
      <c r="V111" s="36" t="s">
        <v>71</v>
      </c>
      <c r="W111" s="36" t="s">
        <v>111</v>
      </c>
      <c r="X111" s="36" t="s">
        <v>71</v>
      </c>
      <c r="Y111" s="36" t="s">
        <v>71</v>
      </c>
      <c r="Z111" s="36" t="s">
        <v>82</v>
      </c>
      <c r="AA111" s="36" t="s">
        <v>71</v>
      </c>
      <c r="AB111" s="36" t="s">
        <v>71</v>
      </c>
      <c r="AC111" s="36" t="s">
        <v>71</v>
      </c>
      <c r="AD111" s="36" t="s">
        <v>72</v>
      </c>
      <c r="AE111" s="36" t="s">
        <v>94</v>
      </c>
      <c r="AF111" s="36" t="s">
        <v>154</v>
      </c>
      <c r="AG111" s="36" t="s">
        <v>120</v>
      </c>
      <c r="AH111" t="str">
        <f>VLOOKUP($R111,武学奇术!$A:$ZZ,25,FALSE)</f>
        <v>剑</v>
      </c>
      <c r="AI111" s="20">
        <f>VLOOKUP($R111,武学奇术!$A:$ZZ,26,FALSE)</f>
        <v>0.625</v>
      </c>
      <c r="AJ111" s="21">
        <f>VLOOKUP($R111,武学奇术!$A:$ZZ,27,FALSE)*(1+IF(OR($AH111=$F$4,$AH111=$F$5),$B$22,0))</f>
        <v>0</v>
      </c>
      <c r="AK111" s="20">
        <f>VLOOKUP($R111,武学奇术!$A:$ZZ,28,FALSE)</f>
        <v>0.9375</v>
      </c>
      <c r="AL111" s="21">
        <f>VLOOKUP($R111,武学奇术!$A:$ZZ,29,FALSE)*(1+IF(OR($AH111=$F$4,$AH111=$F$5),$B$22,0))</f>
        <v>0</v>
      </c>
      <c r="AM111" s="20" cm="1">
        <f t="array" ref="AM111">$G$3+IFERROR(VLOOKUP($AH111,$F$4:$G$7,2,FALSE),0)+VLOOKUP($R111,武学奇术!$A:$ZZ,2,FALSE)+SUM(_xlfn.XLOOKUP($S111:$AG111,增益!$A:$A,增益!$B:$B,0))</f>
        <v>0.7191</v>
      </c>
      <c r="AN111" s="20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1585.72</v>
      </c>
      <c r="AP111" cm="1">
        <f t="array" ref="AP111">$E$10*(1+$AN111)+VLOOKUP($R111,武学奇术!$A:$ZZ,4,FALSE)+SUM(_xlfn.XLOOKUP($S111:$AG111,增益!$A:$A,增益!$D:$D,0))-$I$2</f>
        <v>6696.76</v>
      </c>
      <c r="AQ111" s="29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0.3425</v>
      </c>
      <c r="AR111" s="29" cm="1">
        <f t="array" ref="AR111">$G$10+VLOOKUP($R111,武学奇术!$A:$ZZ,7,FALSE)+SUM(_xlfn.XLOOKUP(S111:AG111,增益!$A:$A,增益!$G:$G,0))</f>
        <v>0</v>
      </c>
      <c r="AS111" s="20" cm="1">
        <f t="array" ref="AS111">VLOOKUP($R111,武学奇术!$A:$ZZ,8,FALSE)+SUM(_xlfn.XLOOKUP(S111:AG111,增益!$A:$A,增益!$H:$H,0))</f>
        <v>0</v>
      </c>
      <c r="AT111">
        <f t="shared" si="52"/>
        <v>538</v>
      </c>
      <c r="AU111">
        <f t="shared" si="53"/>
        <v>1011</v>
      </c>
      <c r="AV111" s="29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0.08</v>
      </c>
      <c r="AW111" s="29" cm="1">
        <f t="array" ref="AW111">$G$11+VLOOKUP($R111,武学奇术!$A:$ZZ,10,FALSE)+SUM(_xlfn.XLOOKUP(S111:AG111,增益!$A:$A,增益!$J:$J,0))</f>
        <v>0.15</v>
      </c>
      <c r="AX111">
        <f t="shared" si="54"/>
        <v>0</v>
      </c>
      <c r="AY111">
        <f t="shared" si="55"/>
        <v>0</v>
      </c>
      <c r="AZ111" s="29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-0.14</v>
      </c>
      <c r="BA111" s="29" cm="1">
        <f t="array" ref="BA111">$G$12+VLOOKUP($R111,武学奇术!$A:$ZZ,12,FALSE)+SUM(_xlfn.XLOOKUP(S111:AG111,增益!$A:$A,增益!$L:$L,0))</f>
        <v>0</v>
      </c>
      <c r="BB111">
        <f t="shared" si="56"/>
        <v>0</v>
      </c>
      <c r="BC111">
        <f t="shared" si="57"/>
        <v>0</v>
      </c>
      <c r="BD111" s="29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-0.14</v>
      </c>
      <c r="BE111" s="29" cm="1">
        <f t="array" ref="BE111">$G$13+VLOOKUP($R111,武学奇术!$A:$ZZ,14,FALSE)+SUM(_xlfn.XLOOKUP(S111:AG111,增益!$A:$A,增益!$N:$N,0))</f>
        <v>0</v>
      </c>
      <c r="BF111">
        <f t="shared" si="58"/>
        <v>0</v>
      </c>
      <c r="BG111">
        <f t="shared" si="59"/>
        <v>0</v>
      </c>
      <c r="BH111" s="29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-0.14</v>
      </c>
      <c r="BI111" s="29" cm="1">
        <f t="array" ref="BI111">$G$14+VLOOKUP($R111,武学奇术!$A:$ZZ,16,FALSE)+SUM(_xlfn.XLOOKUP(S111:AG111,增益!$A:$A,增益!$P:$P,0))</f>
        <v>0</v>
      </c>
      <c r="BJ111" s="20">
        <f>MIN(IF(VLOOKUP($R111,武学奇术!$A:$ZZ,23,FALSE)=1,100%,$B$8),100%)</f>
        <v>0.8271</v>
      </c>
      <c r="BK111" s="20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0.2249</v>
      </c>
      <c r="BL111" s="20" cm="1">
        <f t="array" ref="BL111">1+$B$13+VLOOKUP($R111,武学奇术!$A:$ZZ,18,FALSE)+SUM(_xlfn.XLOOKUP(S111:AG111,增益!$A:$A,增益!$R:$R,0))</f>
        <v>1.5</v>
      </c>
      <c r="BM111" s="20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0.4459</v>
      </c>
      <c r="BN111" s="20" cm="1">
        <f t="array" ref="BN111">1+$B$14+VLOOKUP($R111,武学奇术!$A:$ZZ,20,FALSE)+SUM(_xlfn.XLOOKUP(S111:AG111,增益!$A:$A,增益!$T:$T,0))</f>
        <v>1.602</v>
      </c>
      <c r="BO111" s="20">
        <f t="shared" si="60"/>
        <v>0.18601479</v>
      </c>
      <c r="BP111" s="20">
        <f t="shared" si="61"/>
        <v>0.27228132</v>
      </c>
      <c r="BQ111" s="20">
        <f>IF(VLOOKUP($R111,武学奇术!$A:$ZZ,22,FALSE)=1,0,(1-$BJ111))*(1-$BM111)</f>
        <v>0.09580389</v>
      </c>
      <c r="BR111" s="20" cm="1">
        <f t="array" ref="BR111">SUM(_xlfn.XLOOKUP(S111:AG111,增益!$A:$A,增益!$W:$W,0))+$I$5</f>
        <v>0.11</v>
      </c>
    </row>
    <row r="112" spans="11:70">
      <c r="K112" s="27">
        <f>$L112*VLOOKUP($R112,武学奇术!$A:$ZZ,31,FALSE)</f>
        <v>61393.5801326752</v>
      </c>
      <c r="L112" s="27">
        <f t="shared" si="51"/>
        <v>61393.5801326752</v>
      </c>
      <c r="M112" s="27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55437.2707330592</v>
      </c>
      <c r="N112" s="27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87897.348239026</v>
      </c>
      <c r="O112" s="27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36958.1804887061</v>
      </c>
      <c r="P112" s="27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19049.1024012412</v>
      </c>
      <c r="Q112" s="35">
        <v>1</v>
      </c>
      <c r="R112" s="36" t="s">
        <v>88</v>
      </c>
      <c r="S112" s="36" t="s">
        <v>152</v>
      </c>
      <c r="T112" s="36" t="s">
        <v>93</v>
      </c>
      <c r="U112" s="36" t="s">
        <v>71</v>
      </c>
      <c r="V112" s="36" t="s">
        <v>71</v>
      </c>
      <c r="W112" s="36" t="s">
        <v>111</v>
      </c>
      <c r="X112" s="36" t="s">
        <v>71</v>
      </c>
      <c r="Y112" s="36" t="s">
        <v>153</v>
      </c>
      <c r="Z112" s="36" t="s">
        <v>82</v>
      </c>
      <c r="AA112" s="36" t="s">
        <v>71</v>
      </c>
      <c r="AB112" s="36" t="s">
        <v>71</v>
      </c>
      <c r="AC112" s="36" t="s">
        <v>71</v>
      </c>
      <c r="AD112" s="36" t="s">
        <v>72</v>
      </c>
      <c r="AE112" s="36" t="s">
        <v>94</v>
      </c>
      <c r="AF112" s="36" t="s">
        <v>154</v>
      </c>
      <c r="AG112" s="36" t="s">
        <v>120</v>
      </c>
      <c r="AH112" t="str">
        <f>VLOOKUP($R112,武学奇术!$A:$ZZ,25,FALSE)</f>
        <v>枪</v>
      </c>
      <c r="AI112" s="20">
        <f>VLOOKUP($R112,武学奇术!$A:$ZZ,26,FALSE)</f>
        <v>2.1401</v>
      </c>
      <c r="AJ112" s="21">
        <f>VLOOKUP($R112,武学奇术!$A:$ZZ,27,FALSE)*(1+IF(OR($AH112=$F$4,$AH112=$F$5),$B$22,0))</f>
        <v>823.2</v>
      </c>
      <c r="AK112" s="20">
        <f>VLOOKUP($R112,武学奇术!$A:$ZZ,28,FALSE)</f>
        <v>3.2101</v>
      </c>
      <c r="AL112" s="21">
        <f>VLOOKUP($R112,武学奇术!$A:$ZZ,29,FALSE)*(1+IF(OR($AH112=$F$4,$AH112=$F$5),$B$22,0))</f>
        <v>448</v>
      </c>
      <c r="AM112" s="20" cm="1">
        <f t="array" ref="AM112">$G$3+IFERROR(VLOOKUP($AH112,$F$4:$G$7,2,FALSE),0)+VLOOKUP($R112,武学奇术!$A:$ZZ,2,FALSE)+SUM(_xlfn.XLOOKUP($S112:$AG112,增益!$A:$A,增益!$B:$B,0))</f>
        <v>0.6339</v>
      </c>
      <c r="AN112" s="20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1585.72</v>
      </c>
      <c r="AP112" cm="1">
        <f t="array" ref="AP112">$E$10*(1+$AN112)+VLOOKUP($R112,武学奇术!$A:$ZZ,4,FALSE)+SUM(_xlfn.XLOOKUP($S112:$AG112,增益!$A:$A,增益!$D:$D,0))-$I$2</f>
        <v>6696.76</v>
      </c>
      <c r="AQ112" s="29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0.3425</v>
      </c>
      <c r="AR112" s="29" cm="1">
        <f t="array" ref="AR112">$G$10+VLOOKUP($R112,武学奇术!$A:$ZZ,7,FALSE)+SUM(_xlfn.XLOOKUP(S112:AG112,增益!$A:$A,增益!$G:$G,0))</f>
        <v>0</v>
      </c>
      <c r="AS112" s="20" cm="1">
        <f t="array" ref="AS112">VLOOKUP($R112,武学奇术!$A:$ZZ,8,FALSE)+SUM(_xlfn.XLOOKUP(S112:AG112,增益!$A:$A,增益!$H:$H,0))</f>
        <v>0</v>
      </c>
      <c r="AT112">
        <f t="shared" si="52"/>
        <v>538</v>
      </c>
      <c r="AU112">
        <f t="shared" si="53"/>
        <v>1011</v>
      </c>
      <c r="AV112" s="29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0.08</v>
      </c>
      <c r="AW112" s="29" cm="1">
        <f t="array" ref="AW112">$G$11+VLOOKUP($R112,武学奇术!$A:$ZZ,10,FALSE)+SUM(_xlfn.XLOOKUP(S112:AG112,增益!$A:$A,增益!$J:$J,0))</f>
        <v>0.25</v>
      </c>
      <c r="AX112">
        <f t="shared" si="54"/>
        <v>0</v>
      </c>
      <c r="AY112">
        <f t="shared" si="55"/>
        <v>0</v>
      </c>
      <c r="AZ112" s="29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-0.14</v>
      </c>
      <c r="BA112" s="29" cm="1">
        <f t="array" ref="BA112">$G$12+VLOOKUP($R112,武学奇术!$A:$ZZ,12,FALSE)+SUM(_xlfn.XLOOKUP(S112:AG112,增益!$A:$A,增益!$L:$L,0))</f>
        <v>0</v>
      </c>
      <c r="BB112">
        <f t="shared" si="56"/>
        <v>0</v>
      </c>
      <c r="BC112">
        <f t="shared" si="57"/>
        <v>0</v>
      </c>
      <c r="BD112" s="29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-0.14</v>
      </c>
      <c r="BE112" s="29" cm="1">
        <f t="array" ref="BE112">$G$13+VLOOKUP($R112,武学奇术!$A:$ZZ,14,FALSE)+SUM(_xlfn.XLOOKUP(S112:AG112,增益!$A:$A,增益!$N:$N,0))</f>
        <v>0</v>
      </c>
      <c r="BF112">
        <f t="shared" si="58"/>
        <v>0</v>
      </c>
      <c r="BG112">
        <f t="shared" si="59"/>
        <v>0</v>
      </c>
      <c r="BH112" s="29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-0.14</v>
      </c>
      <c r="BI112" s="29" cm="1">
        <f t="array" ref="BI112">$G$14+VLOOKUP($R112,武学奇术!$A:$ZZ,16,FALSE)+SUM(_xlfn.XLOOKUP(S112:AG112,增益!$A:$A,增益!$P:$P,0))</f>
        <v>0</v>
      </c>
      <c r="BJ112" s="20">
        <f>MIN(IF(VLOOKUP($R112,武学奇术!$A:$ZZ,23,FALSE)=1,100%,$B$8),100%)</f>
        <v>0.8271</v>
      </c>
      <c r="BK112" s="20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0.2249</v>
      </c>
      <c r="BL112" s="20" cm="1">
        <f t="array" ref="BL112">1+$B$13+VLOOKUP($R112,武学奇术!$A:$ZZ,18,FALSE)+SUM(_xlfn.XLOOKUP(S112:AG112,增益!$A:$A,增益!$R:$R,0))</f>
        <v>1.5</v>
      </c>
      <c r="BM112" s="20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0.4459</v>
      </c>
      <c r="BN112" s="20" cm="1">
        <f t="array" ref="BN112">1+$B$14+VLOOKUP($R112,武学奇术!$A:$ZZ,20,FALSE)+SUM(_xlfn.XLOOKUP(S112:AG112,增益!$A:$A,增益!$T:$T,0))</f>
        <v>1.602</v>
      </c>
      <c r="BO112" s="20">
        <f t="shared" si="60"/>
        <v>0.18601479</v>
      </c>
      <c r="BP112" s="20">
        <f t="shared" si="61"/>
        <v>0.27228132</v>
      </c>
      <c r="BQ112" s="20">
        <f>IF(VLOOKUP($R112,武学奇术!$A:$ZZ,22,FALSE)=1,0,(1-$BJ112))*(1-$BM112)</f>
        <v>0.09580389</v>
      </c>
      <c r="BR112" s="20" cm="1">
        <f t="array" ref="BR112">SUM(_xlfn.XLOOKUP(S112:AG112,增益!$A:$A,增益!$W:$W,0))+$I$5</f>
        <v>0.31</v>
      </c>
    </row>
    <row r="113" spans="11:70">
      <c r="K113" s="27">
        <f>$L113*VLOOKUP($R113,武学奇术!$A:$ZZ,31,FALSE)</f>
        <v>153345.062279067</v>
      </c>
      <c r="L113" s="27">
        <f t="shared" si="51"/>
        <v>153345.062279067</v>
      </c>
      <c r="M113" s="27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136310.871050343</v>
      </c>
      <c r="N113" s="27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222311.32183239</v>
      </c>
      <c r="O113" s="27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90873.9140335617</v>
      </c>
      <c r="P113" s="27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42976.7158121981</v>
      </c>
      <c r="Q113" s="35">
        <v>4</v>
      </c>
      <c r="R113" s="36" t="s">
        <v>157</v>
      </c>
      <c r="S113" s="36" t="s">
        <v>152</v>
      </c>
      <c r="T113" s="36" t="s">
        <v>93</v>
      </c>
      <c r="U113" s="36" t="s">
        <v>71</v>
      </c>
      <c r="V113" s="36" t="s">
        <v>71</v>
      </c>
      <c r="W113" s="36" t="s">
        <v>71</v>
      </c>
      <c r="X113" s="36" t="s">
        <v>158</v>
      </c>
      <c r="Y113" s="36" t="s">
        <v>153</v>
      </c>
      <c r="Z113" s="36" t="s">
        <v>82</v>
      </c>
      <c r="AA113" s="36" t="s">
        <v>71</v>
      </c>
      <c r="AB113" s="36" t="s">
        <v>71</v>
      </c>
      <c r="AC113" s="36" t="s">
        <v>71</v>
      </c>
      <c r="AD113" s="36" t="s">
        <v>72</v>
      </c>
      <c r="AE113" s="36" t="s">
        <v>94</v>
      </c>
      <c r="AF113" s="36" t="s">
        <v>154</v>
      </c>
      <c r="AG113" s="36" t="s">
        <v>120</v>
      </c>
      <c r="AH113" t="str">
        <f>VLOOKUP($R113,武学奇术!$A:$ZZ,25,FALSE)</f>
        <v>群体奇术</v>
      </c>
      <c r="AI113" s="20">
        <f>VLOOKUP($R113,武学奇术!$A:$ZZ,26,FALSE)</f>
        <v>1.4904</v>
      </c>
      <c r="AJ113" s="21">
        <f>VLOOKUP($R113,武学奇术!$A:$ZZ,27,FALSE)*(1+IF(OR($AH113=$F$4,$AH113=$F$5),$B$22,0))</f>
        <v>368</v>
      </c>
      <c r="AK113" s="20">
        <f>VLOOKUP($R113,武学奇术!$A:$ZZ,28,FALSE)</f>
        <v>2.2353</v>
      </c>
      <c r="AL113" s="21">
        <f>VLOOKUP($R113,武学奇术!$A:$ZZ,29,FALSE)*(1+IF(OR($AH113=$F$4,$AH113=$F$5),$B$22,0))</f>
        <v>0</v>
      </c>
      <c r="AM113" s="20" cm="1">
        <f t="array" ref="AM113">$G$3+IFERROR(VLOOKUP($AH113,$F$4:$G$7,2,FALSE),0)+VLOOKUP($R113,武学奇术!$A:$ZZ,2,FALSE)+SUM(_xlfn.XLOOKUP($S113:$AG113,增益!$A:$A,增益!$B:$B,0))</f>
        <v>0.5687</v>
      </c>
      <c r="AN113" s="20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1554.72</v>
      </c>
      <c r="AP113" cm="1">
        <f t="array" ref="AP113">$E$10*(1+$AN113)+VLOOKUP($R113,武学奇术!$A:$ZZ,4,FALSE)+SUM(_xlfn.XLOOKUP($S113:$AG113,增益!$A:$A,增益!$D:$D,0))-$I$2</f>
        <v>6665.76</v>
      </c>
      <c r="AQ113" s="29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0.3425</v>
      </c>
      <c r="AR113" s="29" cm="1">
        <f t="array" ref="AR113">$G$10+VLOOKUP($R113,武学奇术!$A:$ZZ,7,FALSE)+SUM(_xlfn.XLOOKUP(S113:AG113,增益!$A:$A,增益!$G:$G,0))</f>
        <v>0</v>
      </c>
      <c r="AS113" s="20" cm="1">
        <f t="array" ref="AS113">VLOOKUP($R113,武学奇术!$A:$ZZ,8,FALSE)+SUM(_xlfn.XLOOKUP(S113:AG113,增益!$A:$A,增益!$H:$H,0))</f>
        <v>0</v>
      </c>
      <c r="AT113">
        <f t="shared" si="52"/>
        <v>538</v>
      </c>
      <c r="AU113">
        <f t="shared" si="53"/>
        <v>1011</v>
      </c>
      <c r="AV113" s="29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0.08</v>
      </c>
      <c r="AW113" s="29" cm="1">
        <f t="array" ref="AW113">$G$11+VLOOKUP($R113,武学奇术!$A:$ZZ,10,FALSE)+SUM(_xlfn.XLOOKUP(S113:AG113,增益!$A:$A,增益!$J:$J,0))</f>
        <v>0.25</v>
      </c>
      <c r="AX113">
        <f t="shared" si="54"/>
        <v>0</v>
      </c>
      <c r="AY113">
        <f t="shared" si="55"/>
        <v>0</v>
      </c>
      <c r="AZ113" s="29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-0.14</v>
      </c>
      <c r="BA113" s="29" cm="1">
        <f t="array" ref="BA113">$G$12+VLOOKUP($R113,武学奇术!$A:$ZZ,12,FALSE)+SUM(_xlfn.XLOOKUP(S113:AG113,增益!$A:$A,增益!$L:$L,0))</f>
        <v>0</v>
      </c>
      <c r="BB113">
        <f t="shared" si="56"/>
        <v>0</v>
      </c>
      <c r="BC113">
        <f t="shared" si="57"/>
        <v>0</v>
      </c>
      <c r="BD113" s="29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-0.14</v>
      </c>
      <c r="BE113" s="29" cm="1">
        <f t="array" ref="BE113">$G$13+VLOOKUP($R113,武学奇术!$A:$ZZ,14,FALSE)+SUM(_xlfn.XLOOKUP(S113:AG113,增益!$A:$A,增益!$N:$N,0))</f>
        <v>0</v>
      </c>
      <c r="BF113">
        <f t="shared" si="58"/>
        <v>0</v>
      </c>
      <c r="BG113">
        <f t="shared" si="59"/>
        <v>0</v>
      </c>
      <c r="BH113" s="29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-0.14</v>
      </c>
      <c r="BI113" s="29" cm="1">
        <f t="array" ref="BI113">$G$14+VLOOKUP($R113,武学奇术!$A:$ZZ,16,FALSE)+SUM(_xlfn.XLOOKUP(S113:AG113,增益!$A:$A,增益!$P:$P,0))</f>
        <v>0</v>
      </c>
      <c r="BJ113" s="20">
        <f>MIN(IF(VLOOKUP($R113,武学奇术!$A:$ZZ,23,FALSE)=1,100%,$B$8),100%)</f>
        <v>0.8271</v>
      </c>
      <c r="BK113" s="20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0.2249</v>
      </c>
      <c r="BL113" s="20" cm="1">
        <f t="array" ref="BL113">1+$B$13+VLOOKUP($R113,武学奇术!$A:$ZZ,18,FALSE)+SUM(_xlfn.XLOOKUP(S113:AG113,增益!$A:$A,增益!$R:$R,0))</f>
        <v>1.5</v>
      </c>
      <c r="BM113" s="20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0.4459</v>
      </c>
      <c r="BN113" s="20" cm="1">
        <f t="array" ref="BN113">1+$B$14+VLOOKUP($R113,武学奇术!$A:$ZZ,20,FALSE)+SUM(_xlfn.XLOOKUP(S113:AG113,增益!$A:$A,增益!$T:$T,0))</f>
        <v>1.602</v>
      </c>
      <c r="BO113" s="20">
        <f t="shared" si="60"/>
        <v>0.18601479</v>
      </c>
      <c r="BP113" s="20">
        <f t="shared" si="61"/>
        <v>0.27228132</v>
      </c>
      <c r="BQ113" s="20">
        <f>IF(VLOOKUP($R113,武学奇术!$A:$ZZ,22,FALSE)=1,0,(1-$BJ113))*(1-$BM113)</f>
        <v>0.09580389</v>
      </c>
      <c r="BR113" s="20" cm="1">
        <f t="array" ref="BR113">SUM(_xlfn.XLOOKUP(S113:AG113,增益!$A:$A,增益!$W:$W,0))+$I$5</f>
        <v>0.31</v>
      </c>
    </row>
    <row r="114" spans="11:70">
      <c r="K114" s="27">
        <f>$L114*VLOOKUP($R114,武学奇术!$A:$ZZ,31,FALSE)</f>
        <v>35841.5749779697</v>
      </c>
      <c r="L114" s="27">
        <f t="shared" si="51"/>
        <v>35841.5749779697</v>
      </c>
      <c r="M114" s="27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32338.223845429</v>
      </c>
      <c r="N114" s="27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51347.9017393599</v>
      </c>
      <c r="O114" s="27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21558.8158969527</v>
      </c>
      <c r="P114" s="27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11065.2586732063</v>
      </c>
      <c r="Q114" s="35">
        <v>1</v>
      </c>
      <c r="R114" s="36" t="s">
        <v>92</v>
      </c>
      <c r="S114" s="36" t="s">
        <v>152</v>
      </c>
      <c r="T114" s="36" t="s">
        <v>93</v>
      </c>
      <c r="U114" s="36" t="s">
        <v>71</v>
      </c>
      <c r="V114" s="36" t="s">
        <v>71</v>
      </c>
      <c r="W114" s="36" t="s">
        <v>71</v>
      </c>
      <c r="X114" s="36" t="s">
        <v>158</v>
      </c>
      <c r="Y114" s="36" t="s">
        <v>153</v>
      </c>
      <c r="Z114" s="36" t="s">
        <v>82</v>
      </c>
      <c r="AA114" s="36" t="s">
        <v>71</v>
      </c>
      <c r="AB114" s="36" t="s">
        <v>71</v>
      </c>
      <c r="AC114" s="36" t="s">
        <v>71</v>
      </c>
      <c r="AD114" s="36" t="s">
        <v>72</v>
      </c>
      <c r="AE114" s="36" t="s">
        <v>94</v>
      </c>
      <c r="AF114" s="36" t="s">
        <v>154</v>
      </c>
      <c r="AG114" s="36" t="s">
        <v>120</v>
      </c>
      <c r="AH114" t="str">
        <f>VLOOKUP($R114,武学奇术!$A:$ZZ,25,FALSE)</f>
        <v>剑</v>
      </c>
      <c r="AI114" s="20">
        <f>VLOOKUP($R114,武学奇术!$A:$ZZ,26,FALSE)</f>
        <v>1.1781</v>
      </c>
      <c r="AJ114" s="21">
        <f>VLOOKUP($R114,武学奇术!$A:$ZZ,27,FALSE)*(1+IF(OR($AH114=$F$4,$AH114=$F$5),$B$22,0))</f>
        <v>456.4</v>
      </c>
      <c r="AK114" s="20">
        <f>VLOOKUP($R114,武学奇术!$A:$ZZ,28,FALSE)</f>
        <v>1.7672</v>
      </c>
      <c r="AL114" s="21">
        <f>VLOOKUP($R114,武学奇术!$A:$ZZ,29,FALSE)*(1+IF(OR($AH114=$F$4,$AH114=$F$5),$B$22,0))</f>
        <v>247.8</v>
      </c>
      <c r="AM114" s="20" cm="1">
        <f t="array" ref="AM114">$G$3+IFERROR(VLOOKUP($AH114,$F$4:$G$7,2,FALSE),0)+VLOOKUP($R114,武学奇术!$A:$ZZ,2,FALSE)+SUM(_xlfn.XLOOKUP($S114:$AG114,增益!$A:$A,增益!$B:$B,0))</f>
        <v>0.7391</v>
      </c>
      <c r="AN114" s="20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1554.72</v>
      </c>
      <c r="AP114" cm="1">
        <f t="array" ref="AP114">$E$10*(1+$AN114)+VLOOKUP($R114,武学奇术!$A:$ZZ,4,FALSE)+SUM(_xlfn.XLOOKUP($S114:$AG114,增益!$A:$A,增益!$D:$D,0))-$I$2</f>
        <v>6665.76</v>
      </c>
      <c r="AQ114" s="29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0.3425</v>
      </c>
      <c r="AR114" s="29" cm="1">
        <f t="array" ref="AR114">$G$10+VLOOKUP($R114,武学奇术!$A:$ZZ,7,FALSE)+SUM(_xlfn.XLOOKUP(S114:AG114,增益!$A:$A,增益!$G:$G,0))</f>
        <v>0</v>
      </c>
      <c r="AS114" s="20" cm="1">
        <f t="array" ref="AS114">VLOOKUP($R114,武学奇术!$A:$ZZ,8,FALSE)+SUM(_xlfn.XLOOKUP(S114:AG114,增益!$A:$A,增益!$H:$H,0))</f>
        <v>0</v>
      </c>
      <c r="AT114">
        <f t="shared" si="52"/>
        <v>538</v>
      </c>
      <c r="AU114">
        <f t="shared" si="53"/>
        <v>1011</v>
      </c>
      <c r="AV114" s="29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0.08</v>
      </c>
      <c r="AW114" s="29" cm="1">
        <f t="array" ref="AW114">$G$11+VLOOKUP($R114,武学奇术!$A:$ZZ,10,FALSE)+SUM(_xlfn.XLOOKUP(S114:AG114,增益!$A:$A,增益!$J:$J,0))</f>
        <v>0.25</v>
      </c>
      <c r="AX114">
        <f t="shared" si="54"/>
        <v>0</v>
      </c>
      <c r="AY114">
        <f t="shared" si="55"/>
        <v>0</v>
      </c>
      <c r="AZ114" s="29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-0.14</v>
      </c>
      <c r="BA114" s="29" cm="1">
        <f t="array" ref="BA114">$G$12+VLOOKUP($R114,武学奇术!$A:$ZZ,12,FALSE)+SUM(_xlfn.XLOOKUP(S114:AG114,增益!$A:$A,增益!$L:$L,0))</f>
        <v>0</v>
      </c>
      <c r="BB114">
        <f t="shared" si="56"/>
        <v>0</v>
      </c>
      <c r="BC114">
        <f t="shared" si="57"/>
        <v>0</v>
      </c>
      <c r="BD114" s="29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-0.14</v>
      </c>
      <c r="BE114" s="29" cm="1">
        <f t="array" ref="BE114">$G$13+VLOOKUP($R114,武学奇术!$A:$ZZ,14,FALSE)+SUM(_xlfn.XLOOKUP(S114:AG114,增益!$A:$A,增益!$N:$N,0))</f>
        <v>0</v>
      </c>
      <c r="BF114">
        <f t="shared" si="58"/>
        <v>0</v>
      </c>
      <c r="BG114">
        <f t="shared" si="59"/>
        <v>0</v>
      </c>
      <c r="BH114" s="29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-0.14</v>
      </c>
      <c r="BI114" s="29" cm="1">
        <f t="array" ref="BI114">$G$14+VLOOKUP($R114,武学奇术!$A:$ZZ,16,FALSE)+SUM(_xlfn.XLOOKUP(S114:AG114,增益!$A:$A,增益!$P:$P,0))</f>
        <v>0</v>
      </c>
      <c r="BJ114" s="20">
        <f>MIN(IF(VLOOKUP($R114,武学奇术!$A:$ZZ,23,FALSE)=1,100%,$B$8),100%)</f>
        <v>0.8271</v>
      </c>
      <c r="BK114" s="20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0.2249</v>
      </c>
      <c r="BL114" s="20" cm="1">
        <f t="array" ref="BL114">1+$B$13+VLOOKUP($R114,武学奇术!$A:$ZZ,18,FALSE)+SUM(_xlfn.XLOOKUP(S114:AG114,增益!$A:$A,增益!$R:$R,0))</f>
        <v>1.5</v>
      </c>
      <c r="BM114" s="20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0.4459</v>
      </c>
      <c r="BN114" s="20" cm="1">
        <f t="array" ref="BN114">1+$B$14+VLOOKUP($R114,武学奇术!$A:$ZZ,20,FALSE)+SUM(_xlfn.XLOOKUP(S114:AG114,增益!$A:$A,增益!$T:$T,0))</f>
        <v>1.602</v>
      </c>
      <c r="BO114" s="20">
        <f t="shared" si="60"/>
        <v>0.18601479</v>
      </c>
      <c r="BP114" s="20">
        <f t="shared" si="61"/>
        <v>0.27228132</v>
      </c>
      <c r="BQ114" s="20">
        <f>IF(VLOOKUP($R114,武学奇术!$A:$ZZ,22,FALSE)=1,0,(1-$BJ114))*(1-$BM114)</f>
        <v>0.09580389</v>
      </c>
      <c r="BR114" s="20" cm="1">
        <f t="array" ref="BR114">SUM(_xlfn.XLOOKUP(S114:AG114,增益!$A:$A,增益!$W:$W,0))+$I$5</f>
        <v>0.31</v>
      </c>
    </row>
    <row r="115" spans="11:70">
      <c r="K115" s="27">
        <f>$L115*VLOOKUP($R115,武学奇术!$A:$ZZ,31,FALSE)</f>
        <v>88354.5361523732</v>
      </c>
      <c r="L115" s="27">
        <f t="shared" si="51"/>
        <v>147257.560253955</v>
      </c>
      <c r="M115" s="27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120917.654893737</v>
      </c>
      <c r="N115" s="27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222804.643824226</v>
      </c>
      <c r="O115" s="27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80611.7699291579</v>
      </c>
      <c r="P115" s="27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36192.8755349568</v>
      </c>
      <c r="Q115" s="35">
        <v>1</v>
      </c>
      <c r="R115" s="36" t="s">
        <v>105</v>
      </c>
      <c r="S115" s="36" t="s">
        <v>152</v>
      </c>
      <c r="T115" s="36" t="s">
        <v>99</v>
      </c>
      <c r="U115" s="36" t="s">
        <v>100</v>
      </c>
      <c r="V115" s="36" t="s">
        <v>101</v>
      </c>
      <c r="W115" s="36" t="s">
        <v>71</v>
      </c>
      <c r="X115" s="36" t="s">
        <v>158</v>
      </c>
      <c r="Y115" s="36" t="s">
        <v>153</v>
      </c>
      <c r="Z115" s="36" t="s">
        <v>82</v>
      </c>
      <c r="AA115" s="36" t="s">
        <v>71</v>
      </c>
      <c r="AB115" s="36" t="s">
        <v>71</v>
      </c>
      <c r="AC115" s="36" t="s">
        <v>71</v>
      </c>
      <c r="AD115" s="36" t="s">
        <v>72</v>
      </c>
      <c r="AE115" s="36" t="s">
        <v>94</v>
      </c>
      <c r="AF115" s="36" t="s">
        <v>154</v>
      </c>
      <c r="AG115" s="36" t="s">
        <v>120</v>
      </c>
      <c r="AH115" t="str">
        <f>VLOOKUP($R115,武学奇术!$A:$ZZ,25,FALSE)</f>
        <v>剑</v>
      </c>
      <c r="AI115" s="20">
        <f>VLOOKUP($R115,武学奇术!$A:$ZZ,26,FALSE)</f>
        <v>2.496</v>
      </c>
      <c r="AJ115" s="21">
        <f>VLOOKUP($R115,武学奇术!$A:$ZZ,27,FALSE)*(1+IF(OR($AH115=$F$4,$AH115=$F$5),$B$22,0))</f>
        <v>0</v>
      </c>
      <c r="AK115" s="20">
        <f>VLOOKUP($R115,武学奇术!$A:$ZZ,28,FALSE)</f>
        <v>3.744</v>
      </c>
      <c r="AL115" s="21">
        <f>VLOOKUP($R115,武学奇术!$A:$ZZ,29,FALSE)*(1+IF(OR($AH115=$F$4,$AH115=$F$5),$B$22,0))</f>
        <v>0</v>
      </c>
      <c r="AM115" s="20" cm="1">
        <f t="array" ref="AM115">$G$3+IFERROR(VLOOKUP($AH115,$F$4:$G$7,2,FALSE),0)+VLOOKUP($R115,武学奇术!$A:$ZZ,2,FALSE)+SUM(_xlfn.XLOOKUP($S115:$AG115,增益!$A:$A,增益!$B:$B,0))</f>
        <v>1.4891</v>
      </c>
      <c r="AN115" s="20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1554.72</v>
      </c>
      <c r="AP115" cm="1">
        <f t="array" ref="AP115">$E$10*(1+$AN115)+VLOOKUP($R115,武学奇术!$A:$ZZ,4,FALSE)+SUM(_xlfn.XLOOKUP($S115:$AG115,增益!$A:$A,增益!$D:$D,0))-$I$2</f>
        <v>6665.76</v>
      </c>
      <c r="AQ115" s="29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0.4175</v>
      </c>
      <c r="AR115" s="29" cm="1">
        <f t="array" ref="AR115">$G$10+VLOOKUP($R115,武学奇术!$A:$ZZ,7,FALSE)+SUM(_xlfn.XLOOKUP(S115:AG115,增益!$A:$A,增益!$G:$G,0))</f>
        <v>0</v>
      </c>
      <c r="AS115" s="20" cm="1">
        <f t="array" ref="AS115">VLOOKUP($R115,武学奇术!$A:$ZZ,8,FALSE)+SUM(_xlfn.XLOOKUP(S115:AG115,增益!$A:$A,增益!$H:$H,0))</f>
        <v>0</v>
      </c>
      <c r="AT115">
        <f t="shared" si="52"/>
        <v>538</v>
      </c>
      <c r="AU115">
        <f t="shared" si="53"/>
        <v>1011</v>
      </c>
      <c r="AV115" s="29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0.155</v>
      </c>
      <c r="AW115" s="29" cm="1">
        <f t="array" ref="AW115">$G$11+VLOOKUP($R115,武学奇术!$A:$ZZ,10,FALSE)+SUM(_xlfn.XLOOKUP(S115:AG115,增益!$A:$A,增益!$J:$J,0))</f>
        <v>0.25</v>
      </c>
      <c r="AX115">
        <f t="shared" si="54"/>
        <v>0</v>
      </c>
      <c r="AY115">
        <f t="shared" si="55"/>
        <v>0</v>
      </c>
      <c r="AZ115" s="29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-0.14</v>
      </c>
      <c r="BA115" s="29" cm="1">
        <f t="array" ref="BA115">$G$12+VLOOKUP($R115,武学奇术!$A:$ZZ,12,FALSE)+SUM(_xlfn.XLOOKUP(S115:AG115,增益!$A:$A,增益!$L:$L,0))</f>
        <v>0</v>
      </c>
      <c r="BB115">
        <f t="shared" si="56"/>
        <v>0</v>
      </c>
      <c r="BC115">
        <f t="shared" si="57"/>
        <v>0</v>
      </c>
      <c r="BD115" s="29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-0.14</v>
      </c>
      <c r="BE115" s="29" cm="1">
        <f t="array" ref="BE115">$G$13+VLOOKUP($R115,武学奇术!$A:$ZZ,14,FALSE)+SUM(_xlfn.XLOOKUP(S115:AG115,增益!$A:$A,增益!$N:$N,0))</f>
        <v>0</v>
      </c>
      <c r="BF115">
        <f t="shared" si="58"/>
        <v>0</v>
      </c>
      <c r="BG115">
        <f t="shared" si="59"/>
        <v>0</v>
      </c>
      <c r="BH115" s="29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-0.14</v>
      </c>
      <c r="BI115" s="29" cm="1">
        <f t="array" ref="BI115">$G$14+VLOOKUP($R115,武学奇术!$A:$ZZ,16,FALSE)+SUM(_xlfn.XLOOKUP(S115:AG115,增益!$A:$A,增益!$P:$P,0))</f>
        <v>0</v>
      </c>
      <c r="BJ115" s="20">
        <f>MIN(IF(VLOOKUP($R115,武学奇术!$A:$ZZ,23,FALSE)=1,100%,$B$8),100%)</f>
        <v>0.8271</v>
      </c>
      <c r="BK115" s="20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0.2249</v>
      </c>
      <c r="BL115" s="20" cm="1">
        <f t="array" ref="BL115">1+$B$13+VLOOKUP($R115,武学奇术!$A:$ZZ,18,FALSE)+SUM(_xlfn.XLOOKUP(S115:AG115,增益!$A:$A,增益!$R:$R,0))</f>
        <v>1.5</v>
      </c>
      <c r="BM115" s="20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0.4459</v>
      </c>
      <c r="BN115" s="20" cm="1">
        <f t="array" ref="BN115">1+$B$14+VLOOKUP($R115,武学奇术!$A:$ZZ,20,FALSE)+SUM(_xlfn.XLOOKUP(S115:AG115,增益!$A:$A,增益!$T:$T,0))</f>
        <v>1.782</v>
      </c>
      <c r="BO115" s="20">
        <f t="shared" si="60"/>
        <v>0.18601479</v>
      </c>
      <c r="BP115" s="20">
        <f t="shared" si="61"/>
        <v>0.27228132</v>
      </c>
      <c r="BQ115" s="20">
        <f>IF(VLOOKUP($R115,武学奇术!$A:$ZZ,22,FALSE)=1,0,(1-$BJ115))*(1-$BM115)</f>
        <v>0.09580389</v>
      </c>
      <c r="BR115" s="20" cm="1">
        <f t="array" ref="BR115">SUM(_xlfn.XLOOKUP(S115:AG115,增益!$A:$A,增益!$W:$W,0))+$I$5</f>
        <v>0.31</v>
      </c>
    </row>
    <row r="116" spans="11:70">
      <c r="K116" s="27">
        <f>$L116*VLOOKUP($R116,武学奇术!$A:$ZZ,31,FALSE)</f>
        <v>88354.5361523732</v>
      </c>
      <c r="L116" s="27">
        <f t="shared" si="51"/>
        <v>147257.560253955</v>
      </c>
      <c r="M116" s="27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120917.654893737</v>
      </c>
      <c r="N116" s="27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222804.643824226</v>
      </c>
      <c r="O116" s="27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80611.7699291579</v>
      </c>
      <c r="P116" s="27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36192.8755349568</v>
      </c>
      <c r="Q116" s="35">
        <v>1</v>
      </c>
      <c r="R116" s="36" t="s">
        <v>105</v>
      </c>
      <c r="S116" s="36" t="s">
        <v>152</v>
      </c>
      <c r="T116" s="36" t="s">
        <v>99</v>
      </c>
      <c r="U116" s="36" t="s">
        <v>100</v>
      </c>
      <c r="V116" s="36" t="s">
        <v>101</v>
      </c>
      <c r="W116" s="36" t="s">
        <v>71</v>
      </c>
      <c r="X116" s="36" t="s">
        <v>158</v>
      </c>
      <c r="Y116" s="36" t="s">
        <v>153</v>
      </c>
      <c r="Z116" s="36" t="s">
        <v>82</v>
      </c>
      <c r="AA116" s="36" t="s">
        <v>71</v>
      </c>
      <c r="AB116" s="36" t="s">
        <v>71</v>
      </c>
      <c r="AC116" s="36" t="s">
        <v>71</v>
      </c>
      <c r="AD116" s="36" t="s">
        <v>72</v>
      </c>
      <c r="AE116" s="36" t="s">
        <v>94</v>
      </c>
      <c r="AF116" s="36" t="s">
        <v>154</v>
      </c>
      <c r="AG116" s="36" t="s">
        <v>120</v>
      </c>
      <c r="AH116" t="str">
        <f>VLOOKUP($R116,武学奇术!$A:$ZZ,25,FALSE)</f>
        <v>剑</v>
      </c>
      <c r="AI116" s="20">
        <f>VLOOKUP($R116,武学奇术!$A:$ZZ,26,FALSE)</f>
        <v>2.496</v>
      </c>
      <c r="AJ116" s="21">
        <f>VLOOKUP($R116,武学奇术!$A:$ZZ,27,FALSE)*(1+IF(OR($AH116=$F$4,$AH116=$F$5),$B$22,0))</f>
        <v>0</v>
      </c>
      <c r="AK116" s="20">
        <f>VLOOKUP($R116,武学奇术!$A:$ZZ,28,FALSE)</f>
        <v>3.744</v>
      </c>
      <c r="AL116" s="21">
        <f>VLOOKUP($R116,武学奇术!$A:$ZZ,29,FALSE)*(1+IF(OR($AH116=$F$4,$AH116=$F$5),$B$22,0))</f>
        <v>0</v>
      </c>
      <c r="AM116" s="20" cm="1">
        <f t="array" ref="AM116">$G$3+IFERROR(VLOOKUP($AH116,$F$4:$G$7,2,FALSE),0)+VLOOKUP($R116,武学奇术!$A:$ZZ,2,FALSE)+SUM(_xlfn.XLOOKUP($S116:$AG116,增益!$A:$A,增益!$B:$B,0))</f>
        <v>1.4891</v>
      </c>
      <c r="AN116" s="20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1554.72</v>
      </c>
      <c r="AP116" cm="1">
        <f t="array" ref="AP116">$E$10*(1+$AN116)+VLOOKUP($R116,武学奇术!$A:$ZZ,4,FALSE)+SUM(_xlfn.XLOOKUP($S116:$AG116,增益!$A:$A,增益!$D:$D,0))-$I$2</f>
        <v>6665.76</v>
      </c>
      <c r="AQ116" s="29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0.4175</v>
      </c>
      <c r="AR116" s="29" cm="1">
        <f t="array" ref="AR116">$G$10+VLOOKUP($R116,武学奇术!$A:$ZZ,7,FALSE)+SUM(_xlfn.XLOOKUP(S116:AG116,增益!$A:$A,增益!$G:$G,0))</f>
        <v>0</v>
      </c>
      <c r="AS116" s="20" cm="1">
        <f t="array" ref="AS116">VLOOKUP($R116,武学奇术!$A:$ZZ,8,FALSE)+SUM(_xlfn.XLOOKUP(S116:AG116,增益!$A:$A,增益!$H:$H,0))</f>
        <v>0</v>
      </c>
      <c r="AT116">
        <f t="shared" si="52"/>
        <v>538</v>
      </c>
      <c r="AU116">
        <f t="shared" si="53"/>
        <v>1011</v>
      </c>
      <c r="AV116" s="29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0.155</v>
      </c>
      <c r="AW116" s="29" cm="1">
        <f t="array" ref="AW116">$G$11+VLOOKUP($R116,武学奇术!$A:$ZZ,10,FALSE)+SUM(_xlfn.XLOOKUP(S116:AG116,增益!$A:$A,增益!$J:$J,0))</f>
        <v>0.25</v>
      </c>
      <c r="AX116">
        <f t="shared" si="54"/>
        <v>0</v>
      </c>
      <c r="AY116">
        <f t="shared" si="55"/>
        <v>0</v>
      </c>
      <c r="AZ116" s="29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-0.14</v>
      </c>
      <c r="BA116" s="29" cm="1">
        <f t="array" ref="BA116">$G$12+VLOOKUP($R116,武学奇术!$A:$ZZ,12,FALSE)+SUM(_xlfn.XLOOKUP(S116:AG116,增益!$A:$A,增益!$L:$L,0))</f>
        <v>0</v>
      </c>
      <c r="BB116">
        <f t="shared" si="56"/>
        <v>0</v>
      </c>
      <c r="BC116">
        <f t="shared" si="57"/>
        <v>0</v>
      </c>
      <c r="BD116" s="29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-0.14</v>
      </c>
      <c r="BE116" s="29" cm="1">
        <f t="array" ref="BE116">$G$13+VLOOKUP($R116,武学奇术!$A:$ZZ,14,FALSE)+SUM(_xlfn.XLOOKUP(S116:AG116,增益!$A:$A,增益!$N:$N,0))</f>
        <v>0</v>
      </c>
      <c r="BF116">
        <f t="shared" si="58"/>
        <v>0</v>
      </c>
      <c r="BG116">
        <f t="shared" si="59"/>
        <v>0</v>
      </c>
      <c r="BH116" s="29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-0.14</v>
      </c>
      <c r="BI116" s="29" cm="1">
        <f t="array" ref="BI116">$G$14+VLOOKUP($R116,武学奇术!$A:$ZZ,16,FALSE)+SUM(_xlfn.XLOOKUP(S116:AG116,增益!$A:$A,增益!$P:$P,0))</f>
        <v>0</v>
      </c>
      <c r="BJ116" s="20">
        <f>MIN(IF(VLOOKUP($R116,武学奇术!$A:$ZZ,23,FALSE)=1,100%,$B$8),100%)</f>
        <v>0.8271</v>
      </c>
      <c r="BK116" s="20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0.2249</v>
      </c>
      <c r="BL116" s="20" cm="1">
        <f t="array" ref="BL116">1+$B$13+VLOOKUP($R116,武学奇术!$A:$ZZ,18,FALSE)+SUM(_xlfn.XLOOKUP(S116:AG116,增益!$A:$A,增益!$R:$R,0))</f>
        <v>1.5</v>
      </c>
      <c r="BM116" s="20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0.4459</v>
      </c>
      <c r="BN116" s="20" cm="1">
        <f t="array" ref="BN116">1+$B$14+VLOOKUP($R116,武学奇术!$A:$ZZ,20,FALSE)+SUM(_xlfn.XLOOKUP(S116:AG116,增益!$A:$A,增益!$T:$T,0))</f>
        <v>1.782</v>
      </c>
      <c r="BO116" s="20">
        <f t="shared" si="60"/>
        <v>0.18601479</v>
      </c>
      <c r="BP116" s="20">
        <f t="shared" si="61"/>
        <v>0.27228132</v>
      </c>
      <c r="BQ116" s="20">
        <f>IF(VLOOKUP($R116,武学奇术!$A:$ZZ,22,FALSE)=1,0,(1-$BJ116))*(1-$BM116)</f>
        <v>0.09580389</v>
      </c>
      <c r="BR116" s="20" cm="1">
        <f t="array" ref="BR116">SUM(_xlfn.XLOOKUP(S116:AG116,增益!$A:$A,增益!$W:$W,0))+$I$5</f>
        <v>0.31</v>
      </c>
    </row>
    <row r="117" spans="11:70">
      <c r="K117" s="27">
        <f>$L117*VLOOKUP($R117,武学奇术!$A:$ZZ,31,FALSE)</f>
        <v>17180.499188572</v>
      </c>
      <c r="L117" s="27">
        <f t="shared" si="51"/>
        <v>17180.499188572</v>
      </c>
      <c r="M117" s="27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15135.2751394628</v>
      </c>
      <c r="N117" s="27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25082.7641094203</v>
      </c>
      <c r="O117" s="27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10090.1834263086</v>
      </c>
      <c r="P117" s="27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4523.2107293835</v>
      </c>
      <c r="Q117" s="35">
        <v>1</v>
      </c>
      <c r="R117" s="36" t="s">
        <v>107</v>
      </c>
      <c r="S117" s="36" t="s">
        <v>152</v>
      </c>
      <c r="T117" s="36" t="s">
        <v>93</v>
      </c>
      <c r="U117" s="36" t="s">
        <v>71</v>
      </c>
      <c r="V117" s="36" t="s">
        <v>71</v>
      </c>
      <c r="W117" s="36" t="s">
        <v>71</v>
      </c>
      <c r="X117" s="36" t="s">
        <v>158</v>
      </c>
      <c r="Y117" s="36" t="s">
        <v>153</v>
      </c>
      <c r="Z117" s="36" t="s">
        <v>82</v>
      </c>
      <c r="AA117" s="36" t="s">
        <v>71</v>
      </c>
      <c r="AB117" s="36" t="s">
        <v>71</v>
      </c>
      <c r="AC117" s="36" t="s">
        <v>71</v>
      </c>
      <c r="AD117" s="36" t="s">
        <v>72</v>
      </c>
      <c r="AE117" s="36" t="s">
        <v>94</v>
      </c>
      <c r="AF117" s="36" t="s">
        <v>154</v>
      </c>
      <c r="AG117" s="36" t="s">
        <v>120</v>
      </c>
      <c r="AH117" t="str">
        <f>VLOOKUP($R117,武学奇术!$A:$ZZ,25,FALSE)</f>
        <v>剑</v>
      </c>
      <c r="AI117" s="20">
        <f>VLOOKUP($R117,武学奇术!$A:$ZZ,26,FALSE)</f>
        <v>0.625</v>
      </c>
      <c r="AJ117" s="21">
        <f>VLOOKUP($R117,武学奇术!$A:$ZZ,27,FALSE)*(1+IF(OR($AH117=$F$4,$AH117=$F$5),$B$22,0))</f>
        <v>0</v>
      </c>
      <c r="AK117" s="20">
        <f>VLOOKUP($R117,武学奇术!$A:$ZZ,28,FALSE)</f>
        <v>0.9375</v>
      </c>
      <c r="AL117" s="21">
        <f>VLOOKUP($R117,武学奇术!$A:$ZZ,29,FALSE)*(1+IF(OR($AH117=$F$4,$AH117=$F$5),$B$22,0))</f>
        <v>0</v>
      </c>
      <c r="AM117" s="20" cm="1">
        <f t="array" ref="AM117">$G$3+IFERROR(VLOOKUP($AH117,$F$4:$G$7,2,FALSE),0)+VLOOKUP($R117,武学奇术!$A:$ZZ,2,FALSE)+SUM(_xlfn.XLOOKUP($S117:$AG117,增益!$A:$A,增益!$B:$B,0))</f>
        <v>0.7391</v>
      </c>
      <c r="AN117" s="20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1554.72</v>
      </c>
      <c r="AP117" cm="1">
        <f t="array" ref="AP117">$E$10*(1+$AN117)+VLOOKUP($R117,武学奇术!$A:$ZZ,4,FALSE)+SUM(_xlfn.XLOOKUP($S117:$AG117,增益!$A:$A,增益!$D:$D,0))-$I$2</f>
        <v>6665.76</v>
      </c>
      <c r="AQ117" s="29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0.3425</v>
      </c>
      <c r="AR117" s="29" cm="1">
        <f t="array" ref="AR117">$G$10+VLOOKUP($R117,武学奇术!$A:$ZZ,7,FALSE)+SUM(_xlfn.XLOOKUP(S117:AG117,增益!$A:$A,增益!$G:$G,0))</f>
        <v>0</v>
      </c>
      <c r="AS117" s="20" cm="1">
        <f t="array" ref="AS117">VLOOKUP($R117,武学奇术!$A:$ZZ,8,FALSE)+SUM(_xlfn.XLOOKUP(S117:AG117,增益!$A:$A,增益!$H:$H,0))</f>
        <v>0</v>
      </c>
      <c r="AT117">
        <f t="shared" si="52"/>
        <v>538</v>
      </c>
      <c r="AU117">
        <f t="shared" si="53"/>
        <v>1011</v>
      </c>
      <c r="AV117" s="29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0.08</v>
      </c>
      <c r="AW117" s="29" cm="1">
        <f t="array" ref="AW117">$G$11+VLOOKUP($R117,武学奇术!$A:$ZZ,10,FALSE)+SUM(_xlfn.XLOOKUP(S117:AG117,增益!$A:$A,增益!$J:$J,0))</f>
        <v>0.25</v>
      </c>
      <c r="AX117">
        <f t="shared" si="54"/>
        <v>0</v>
      </c>
      <c r="AY117">
        <f t="shared" si="55"/>
        <v>0</v>
      </c>
      <c r="AZ117" s="29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-0.14</v>
      </c>
      <c r="BA117" s="29" cm="1">
        <f t="array" ref="BA117">$G$12+VLOOKUP($R117,武学奇术!$A:$ZZ,12,FALSE)+SUM(_xlfn.XLOOKUP(S117:AG117,增益!$A:$A,增益!$L:$L,0))</f>
        <v>0</v>
      </c>
      <c r="BB117">
        <f t="shared" si="56"/>
        <v>0</v>
      </c>
      <c r="BC117">
        <f t="shared" si="57"/>
        <v>0</v>
      </c>
      <c r="BD117" s="29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-0.14</v>
      </c>
      <c r="BE117" s="29" cm="1">
        <f t="array" ref="BE117">$G$13+VLOOKUP($R117,武学奇术!$A:$ZZ,14,FALSE)+SUM(_xlfn.XLOOKUP(S117:AG117,增益!$A:$A,增益!$N:$N,0))</f>
        <v>0</v>
      </c>
      <c r="BF117">
        <f t="shared" si="58"/>
        <v>0</v>
      </c>
      <c r="BG117">
        <f t="shared" si="59"/>
        <v>0</v>
      </c>
      <c r="BH117" s="29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-0.14</v>
      </c>
      <c r="BI117" s="29" cm="1">
        <f t="array" ref="BI117">$G$14+VLOOKUP($R117,武学奇术!$A:$ZZ,16,FALSE)+SUM(_xlfn.XLOOKUP(S117:AG117,增益!$A:$A,增益!$P:$P,0))</f>
        <v>0</v>
      </c>
      <c r="BJ117" s="20">
        <f>MIN(IF(VLOOKUP($R117,武学奇术!$A:$ZZ,23,FALSE)=1,100%,$B$8),100%)</f>
        <v>0.8271</v>
      </c>
      <c r="BK117" s="20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0.2249</v>
      </c>
      <c r="BL117" s="20" cm="1">
        <f t="array" ref="BL117">1+$B$13+VLOOKUP($R117,武学奇术!$A:$ZZ,18,FALSE)+SUM(_xlfn.XLOOKUP(S117:AG117,增益!$A:$A,增益!$R:$R,0))</f>
        <v>1.5</v>
      </c>
      <c r="BM117" s="20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0.4459</v>
      </c>
      <c r="BN117" s="20" cm="1">
        <f t="array" ref="BN117">1+$B$14+VLOOKUP($R117,武学奇术!$A:$ZZ,20,FALSE)+SUM(_xlfn.XLOOKUP(S117:AG117,增益!$A:$A,增益!$T:$T,0))</f>
        <v>1.602</v>
      </c>
      <c r="BO117" s="20">
        <f t="shared" si="60"/>
        <v>0.18601479</v>
      </c>
      <c r="BP117" s="20">
        <f t="shared" si="61"/>
        <v>0.27228132</v>
      </c>
      <c r="BQ117" s="20">
        <f>IF(VLOOKUP($R117,武学奇术!$A:$ZZ,22,FALSE)=1,0,(1-$BJ117))*(1-$BM117)</f>
        <v>0.09580389</v>
      </c>
      <c r="BR117" s="20" cm="1">
        <f t="array" ref="BR117">SUM(_xlfn.XLOOKUP(S117:AG117,增益!$A:$A,增益!$W:$W,0))+$I$5</f>
        <v>0.31</v>
      </c>
    </row>
    <row r="118" spans="11:70">
      <c r="K118" s="27">
        <f>$L118*VLOOKUP($R118,武学奇术!$A:$ZZ,31,FALSE)</f>
        <v>74633.8805426459</v>
      </c>
      <c r="L118" s="27">
        <f t="shared" si="51"/>
        <v>74633.8805426459</v>
      </c>
      <c r="M118" s="27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67403.8594306405</v>
      </c>
      <c r="N118" s="27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106839.613484441</v>
      </c>
      <c r="O118" s="27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44935.9062870936</v>
      </c>
      <c r="P118" s="27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23180.4183891431</v>
      </c>
      <c r="Q118" s="35">
        <v>1</v>
      </c>
      <c r="R118" s="36" t="s">
        <v>110</v>
      </c>
      <c r="S118" s="36" t="s">
        <v>152</v>
      </c>
      <c r="T118" s="36" t="s">
        <v>93</v>
      </c>
      <c r="U118" s="36" t="s">
        <v>71</v>
      </c>
      <c r="V118" s="36" t="s">
        <v>71</v>
      </c>
      <c r="W118" s="36" t="s">
        <v>111</v>
      </c>
      <c r="X118" s="36" t="s">
        <v>158</v>
      </c>
      <c r="Y118" s="36" t="s">
        <v>153</v>
      </c>
      <c r="Z118" s="36" t="s">
        <v>82</v>
      </c>
      <c r="AA118" s="36" t="s">
        <v>71</v>
      </c>
      <c r="AB118" s="36" t="s">
        <v>71</v>
      </c>
      <c r="AC118" s="36" t="s">
        <v>71</v>
      </c>
      <c r="AD118" s="36" t="s">
        <v>72</v>
      </c>
      <c r="AE118" s="36" t="s">
        <v>94</v>
      </c>
      <c r="AF118" s="36" t="s">
        <v>154</v>
      </c>
      <c r="AG118" s="36" t="s">
        <v>120</v>
      </c>
      <c r="AH118" t="str">
        <f>VLOOKUP($R118,武学奇术!$A:$ZZ,25,FALSE)</f>
        <v>枪</v>
      </c>
      <c r="AI118" s="20">
        <f>VLOOKUP($R118,武学奇术!$A:$ZZ,26,FALSE)</f>
        <v>2.5683</v>
      </c>
      <c r="AJ118" s="21">
        <f>VLOOKUP($R118,武学奇术!$A:$ZZ,27,FALSE)*(1+IF(OR($AH118=$F$4,$AH118=$F$5),$B$22,0))</f>
        <v>995.4</v>
      </c>
      <c r="AK118" s="20">
        <f>VLOOKUP($R118,武学奇术!$A:$ZZ,28,FALSE)</f>
        <v>3.8524</v>
      </c>
      <c r="AL118" s="21">
        <f>VLOOKUP($R118,武学奇术!$A:$ZZ,29,FALSE)*(1+IF(OR($AH118=$F$4,$AH118=$F$5),$B$22,0))</f>
        <v>541.8</v>
      </c>
      <c r="AM118" s="20" cm="1">
        <f t="array" ref="AM118">$G$3+IFERROR(VLOOKUP($AH118,$F$4:$G$7,2,FALSE),0)+VLOOKUP($R118,武学奇术!$A:$ZZ,2,FALSE)+SUM(_xlfn.XLOOKUP($S118:$AG118,增益!$A:$A,增益!$B:$B,0))</f>
        <v>0.6539</v>
      </c>
      <c r="AN118" s="20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1585.72</v>
      </c>
      <c r="AP118" cm="1">
        <f t="array" ref="AP118">$E$10*(1+$AN118)+VLOOKUP($R118,武学奇术!$A:$ZZ,4,FALSE)+SUM(_xlfn.XLOOKUP($S118:$AG118,增益!$A:$A,增益!$D:$D,0))-$I$2</f>
        <v>6696.76</v>
      </c>
      <c r="AQ118" s="29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0.3425</v>
      </c>
      <c r="AR118" s="29" cm="1">
        <f t="array" ref="AR118">$G$10+VLOOKUP($R118,武学奇术!$A:$ZZ,7,FALSE)+SUM(_xlfn.XLOOKUP(S118:AG118,增益!$A:$A,增益!$G:$G,0))</f>
        <v>0</v>
      </c>
      <c r="AS118" s="20" cm="1">
        <f t="array" ref="AS118">VLOOKUP($R118,武学奇术!$A:$ZZ,8,FALSE)+SUM(_xlfn.XLOOKUP(S118:AG118,增益!$A:$A,增益!$H:$H,0))</f>
        <v>0</v>
      </c>
      <c r="AT118">
        <f t="shared" si="52"/>
        <v>538</v>
      </c>
      <c r="AU118">
        <f t="shared" si="53"/>
        <v>1011</v>
      </c>
      <c r="AV118" s="29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0.08</v>
      </c>
      <c r="AW118" s="29" cm="1">
        <f t="array" ref="AW118">$G$11+VLOOKUP($R118,武学奇术!$A:$ZZ,10,FALSE)+SUM(_xlfn.XLOOKUP(S118:AG118,增益!$A:$A,增益!$J:$J,0))</f>
        <v>0.25</v>
      </c>
      <c r="AX118">
        <f t="shared" si="54"/>
        <v>0</v>
      </c>
      <c r="AY118">
        <f t="shared" si="55"/>
        <v>0</v>
      </c>
      <c r="AZ118" s="29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-0.14</v>
      </c>
      <c r="BA118" s="29" cm="1">
        <f t="array" ref="BA118">$G$12+VLOOKUP($R118,武学奇术!$A:$ZZ,12,FALSE)+SUM(_xlfn.XLOOKUP(S118:AG118,增益!$A:$A,增益!$L:$L,0))</f>
        <v>0</v>
      </c>
      <c r="BB118">
        <f t="shared" si="56"/>
        <v>0</v>
      </c>
      <c r="BC118">
        <f t="shared" si="57"/>
        <v>0</v>
      </c>
      <c r="BD118" s="29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-0.14</v>
      </c>
      <c r="BE118" s="29" cm="1">
        <f t="array" ref="BE118">$G$13+VLOOKUP($R118,武学奇术!$A:$ZZ,14,FALSE)+SUM(_xlfn.XLOOKUP(S118:AG118,增益!$A:$A,增益!$N:$N,0))</f>
        <v>0</v>
      </c>
      <c r="BF118">
        <f t="shared" si="58"/>
        <v>0</v>
      </c>
      <c r="BG118">
        <f t="shared" si="59"/>
        <v>0</v>
      </c>
      <c r="BH118" s="29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-0.14</v>
      </c>
      <c r="BI118" s="29" cm="1">
        <f t="array" ref="BI118">$G$14+VLOOKUP($R118,武学奇术!$A:$ZZ,16,FALSE)+SUM(_xlfn.XLOOKUP(S118:AG118,增益!$A:$A,增益!$P:$P,0))</f>
        <v>0</v>
      </c>
      <c r="BJ118" s="20">
        <f>MIN(IF(VLOOKUP($R118,武学奇术!$A:$ZZ,23,FALSE)=1,100%,$B$8),100%)</f>
        <v>0.8271</v>
      </c>
      <c r="BK118" s="20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0.2249</v>
      </c>
      <c r="BL118" s="20" cm="1">
        <f t="array" ref="BL118">1+$B$13+VLOOKUP($R118,武学奇术!$A:$ZZ,18,FALSE)+SUM(_xlfn.XLOOKUP(S118:AG118,增益!$A:$A,增益!$R:$R,0))</f>
        <v>1.5</v>
      </c>
      <c r="BM118" s="20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0.4459</v>
      </c>
      <c r="BN118" s="20" cm="1">
        <f t="array" ref="BN118">1+$B$14+VLOOKUP($R118,武学奇术!$A:$ZZ,20,FALSE)+SUM(_xlfn.XLOOKUP(S118:AG118,增益!$A:$A,增益!$T:$T,0))</f>
        <v>1.602</v>
      </c>
      <c r="BO118" s="20">
        <f t="shared" si="60"/>
        <v>0.18601479</v>
      </c>
      <c r="BP118" s="20">
        <f t="shared" si="61"/>
        <v>0.27228132</v>
      </c>
      <c r="BQ118" s="20">
        <f>IF(VLOOKUP($R118,武学奇术!$A:$ZZ,22,FALSE)=1,0,(1-$BJ118))*(1-$BM118)</f>
        <v>0.09580389</v>
      </c>
      <c r="BR118" s="20" cm="1">
        <f t="array" ref="BR118">SUM(_xlfn.XLOOKUP(S118:AG118,增益!$A:$A,增益!$W:$W,0))+$I$5</f>
        <v>0.31</v>
      </c>
    </row>
    <row r="119" spans="11:70">
      <c r="K119" s="27">
        <f>$L119*VLOOKUP($R119,武学奇术!$A:$ZZ,31,FALSE)</f>
        <v>88762.8963665298</v>
      </c>
      <c r="L119" s="27">
        <f t="shared" si="51"/>
        <v>147938.160610883</v>
      </c>
      <c r="M119" s="27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121625.7770337</v>
      </c>
      <c r="N119" s="27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223645.892926503</v>
      </c>
      <c r="O119" s="27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81083.8513558003</v>
      </c>
      <c r="P119" s="27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36664.9569615993</v>
      </c>
      <c r="Q119" s="35">
        <v>1</v>
      </c>
      <c r="R119" s="36" t="s">
        <v>105</v>
      </c>
      <c r="S119" s="36" t="s">
        <v>152</v>
      </c>
      <c r="T119" s="36" t="s">
        <v>99</v>
      </c>
      <c r="U119" s="36" t="s">
        <v>100</v>
      </c>
      <c r="V119" s="36" t="s">
        <v>101</v>
      </c>
      <c r="W119" s="36" t="s">
        <v>111</v>
      </c>
      <c r="X119" s="36" t="s">
        <v>158</v>
      </c>
      <c r="Y119" s="36" t="s">
        <v>153</v>
      </c>
      <c r="Z119" s="36" t="s">
        <v>82</v>
      </c>
      <c r="AA119" s="36" t="s">
        <v>71</v>
      </c>
      <c r="AB119" s="36" t="s">
        <v>71</v>
      </c>
      <c r="AC119" s="36" t="s">
        <v>71</v>
      </c>
      <c r="AD119" s="36" t="s">
        <v>72</v>
      </c>
      <c r="AE119" s="36" t="s">
        <v>94</v>
      </c>
      <c r="AF119" s="36" t="s">
        <v>154</v>
      </c>
      <c r="AG119" s="36" t="s">
        <v>120</v>
      </c>
      <c r="AH119" t="str">
        <f>VLOOKUP($R119,武学奇术!$A:$ZZ,25,FALSE)</f>
        <v>剑</v>
      </c>
      <c r="AI119" s="20">
        <f>VLOOKUP($R119,武学奇术!$A:$ZZ,26,FALSE)</f>
        <v>2.496</v>
      </c>
      <c r="AJ119" s="21">
        <f>VLOOKUP($R119,武学奇术!$A:$ZZ,27,FALSE)*(1+IF(OR($AH119=$F$4,$AH119=$F$5),$B$22,0))</f>
        <v>0</v>
      </c>
      <c r="AK119" s="20">
        <f>VLOOKUP($R119,武学奇术!$A:$ZZ,28,FALSE)</f>
        <v>3.744</v>
      </c>
      <c r="AL119" s="21">
        <f>VLOOKUP($R119,武学奇术!$A:$ZZ,29,FALSE)*(1+IF(OR($AH119=$F$4,$AH119=$F$5),$B$22,0))</f>
        <v>0</v>
      </c>
      <c r="AM119" s="20" cm="1">
        <f t="array" ref="AM119">$G$3+IFERROR(VLOOKUP($AH119,$F$4:$G$7,2,FALSE),0)+VLOOKUP($R119,武学奇术!$A:$ZZ,2,FALSE)+SUM(_xlfn.XLOOKUP($S119:$AG119,增益!$A:$A,增益!$B:$B,0))</f>
        <v>1.4891</v>
      </c>
      <c r="AN119" s="20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1585.72</v>
      </c>
      <c r="AP119" cm="1">
        <f t="array" ref="AP119">$E$10*(1+$AN119)+VLOOKUP($R119,武学奇术!$A:$ZZ,4,FALSE)+SUM(_xlfn.XLOOKUP($S119:$AG119,增益!$A:$A,增益!$D:$D,0))-$I$2</f>
        <v>6696.76</v>
      </c>
      <c r="AQ119" s="29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0.4175</v>
      </c>
      <c r="AR119" s="29" cm="1">
        <f t="array" ref="AR119">$G$10+VLOOKUP($R119,武学奇术!$A:$ZZ,7,FALSE)+SUM(_xlfn.XLOOKUP(S119:AG119,增益!$A:$A,增益!$G:$G,0))</f>
        <v>0</v>
      </c>
      <c r="AS119" s="20" cm="1">
        <f t="array" ref="AS119">VLOOKUP($R119,武学奇术!$A:$ZZ,8,FALSE)+SUM(_xlfn.XLOOKUP(S119:AG119,增益!$A:$A,增益!$H:$H,0))</f>
        <v>0</v>
      </c>
      <c r="AT119">
        <f t="shared" si="52"/>
        <v>538</v>
      </c>
      <c r="AU119">
        <f t="shared" si="53"/>
        <v>1011</v>
      </c>
      <c r="AV119" s="29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0.155</v>
      </c>
      <c r="AW119" s="29" cm="1">
        <f t="array" ref="AW119">$G$11+VLOOKUP($R119,武学奇术!$A:$ZZ,10,FALSE)+SUM(_xlfn.XLOOKUP(S119:AG119,增益!$A:$A,增益!$J:$J,0))</f>
        <v>0.25</v>
      </c>
      <c r="AX119">
        <f t="shared" si="54"/>
        <v>0</v>
      </c>
      <c r="AY119">
        <f t="shared" si="55"/>
        <v>0</v>
      </c>
      <c r="AZ119" s="29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-0.14</v>
      </c>
      <c r="BA119" s="29" cm="1">
        <f t="array" ref="BA119">$G$12+VLOOKUP($R119,武学奇术!$A:$ZZ,12,FALSE)+SUM(_xlfn.XLOOKUP(S119:AG119,增益!$A:$A,增益!$L:$L,0))</f>
        <v>0</v>
      </c>
      <c r="BB119">
        <f t="shared" si="56"/>
        <v>0</v>
      </c>
      <c r="BC119">
        <f t="shared" si="57"/>
        <v>0</v>
      </c>
      <c r="BD119" s="29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-0.14</v>
      </c>
      <c r="BE119" s="29" cm="1">
        <f t="array" ref="BE119">$G$13+VLOOKUP($R119,武学奇术!$A:$ZZ,14,FALSE)+SUM(_xlfn.XLOOKUP(S119:AG119,增益!$A:$A,增益!$N:$N,0))</f>
        <v>0</v>
      </c>
      <c r="BF119">
        <f t="shared" si="58"/>
        <v>0</v>
      </c>
      <c r="BG119">
        <f t="shared" si="59"/>
        <v>0</v>
      </c>
      <c r="BH119" s="29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-0.14</v>
      </c>
      <c r="BI119" s="29" cm="1">
        <f t="array" ref="BI119">$G$14+VLOOKUP($R119,武学奇术!$A:$ZZ,16,FALSE)+SUM(_xlfn.XLOOKUP(S119:AG119,增益!$A:$A,增益!$P:$P,0))</f>
        <v>0</v>
      </c>
      <c r="BJ119" s="20">
        <f>MIN(IF(VLOOKUP($R119,武学奇术!$A:$ZZ,23,FALSE)=1,100%,$B$8),100%)</f>
        <v>0.8271</v>
      </c>
      <c r="BK119" s="20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0.2249</v>
      </c>
      <c r="BL119" s="20" cm="1">
        <f t="array" ref="BL119">1+$B$13+VLOOKUP($R119,武学奇术!$A:$ZZ,18,FALSE)+SUM(_xlfn.XLOOKUP(S119:AG119,增益!$A:$A,增益!$R:$R,0))</f>
        <v>1.5</v>
      </c>
      <c r="BM119" s="20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0.4459</v>
      </c>
      <c r="BN119" s="20" cm="1">
        <f t="array" ref="BN119">1+$B$14+VLOOKUP($R119,武学奇术!$A:$ZZ,20,FALSE)+SUM(_xlfn.XLOOKUP(S119:AG119,增益!$A:$A,增益!$T:$T,0))</f>
        <v>1.782</v>
      </c>
      <c r="BO119" s="20">
        <f t="shared" si="60"/>
        <v>0.18601479</v>
      </c>
      <c r="BP119" s="20">
        <f t="shared" si="61"/>
        <v>0.27228132</v>
      </c>
      <c r="BQ119" s="20">
        <f>IF(VLOOKUP($R119,武学奇术!$A:$ZZ,22,FALSE)=1,0,(1-$BJ119))*(1-$BM119)</f>
        <v>0.09580389</v>
      </c>
      <c r="BR119" s="20" cm="1">
        <f t="array" ref="BR119">SUM(_xlfn.XLOOKUP(S119:AG119,增益!$A:$A,增益!$W:$W,0))+$I$5</f>
        <v>0.31</v>
      </c>
    </row>
    <row r="120" spans="11:70">
      <c r="K120" s="27">
        <f>$L120*VLOOKUP($R120,武学奇术!$A:$ZZ,31,FALSE)</f>
        <v>35993.6480238226</v>
      </c>
      <c r="L120" s="27">
        <f t="shared" si="51"/>
        <v>35993.6480238226</v>
      </c>
      <c r="M120" s="27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32505.7741624885</v>
      </c>
      <c r="N120" s="27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51526.8454779794</v>
      </c>
      <c r="O120" s="27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21670.5161083256</v>
      </c>
      <c r="P120" s="27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11176.9588845793</v>
      </c>
      <c r="Q120" s="35">
        <v>1</v>
      </c>
      <c r="R120" s="36" t="s">
        <v>92</v>
      </c>
      <c r="S120" s="36" t="s">
        <v>152</v>
      </c>
      <c r="T120" s="36" t="s">
        <v>93</v>
      </c>
      <c r="U120" s="36" t="s">
        <v>71</v>
      </c>
      <c r="V120" s="36" t="s">
        <v>71</v>
      </c>
      <c r="W120" s="36" t="s">
        <v>111</v>
      </c>
      <c r="X120" s="36" t="s">
        <v>158</v>
      </c>
      <c r="Y120" s="36" t="s">
        <v>153</v>
      </c>
      <c r="Z120" s="36" t="s">
        <v>82</v>
      </c>
      <c r="AA120" s="36" t="s">
        <v>71</v>
      </c>
      <c r="AB120" s="36" t="s">
        <v>71</v>
      </c>
      <c r="AC120" s="36" t="s">
        <v>71</v>
      </c>
      <c r="AD120" s="36" t="s">
        <v>72</v>
      </c>
      <c r="AE120" s="36" t="s">
        <v>94</v>
      </c>
      <c r="AF120" s="36" t="s">
        <v>154</v>
      </c>
      <c r="AG120" s="36" t="s">
        <v>120</v>
      </c>
      <c r="AH120" t="str">
        <f>VLOOKUP($R120,武学奇术!$A:$ZZ,25,FALSE)</f>
        <v>剑</v>
      </c>
      <c r="AI120" s="20">
        <f>VLOOKUP($R120,武学奇术!$A:$ZZ,26,FALSE)</f>
        <v>1.1781</v>
      </c>
      <c r="AJ120" s="21">
        <f>VLOOKUP($R120,武学奇术!$A:$ZZ,27,FALSE)*(1+IF(OR($AH120=$F$4,$AH120=$F$5),$B$22,0))</f>
        <v>456.4</v>
      </c>
      <c r="AK120" s="20">
        <f>VLOOKUP($R120,武学奇术!$A:$ZZ,28,FALSE)</f>
        <v>1.7672</v>
      </c>
      <c r="AL120" s="21">
        <f>VLOOKUP($R120,武学奇术!$A:$ZZ,29,FALSE)*(1+IF(OR($AH120=$F$4,$AH120=$F$5),$B$22,0))</f>
        <v>247.8</v>
      </c>
      <c r="AM120" s="20" cm="1">
        <f t="array" ref="AM120">$G$3+IFERROR(VLOOKUP($AH120,$F$4:$G$7,2,FALSE),0)+VLOOKUP($R120,武学奇术!$A:$ZZ,2,FALSE)+SUM(_xlfn.XLOOKUP($S120:$AG120,增益!$A:$A,增益!$B:$B,0))</f>
        <v>0.7391</v>
      </c>
      <c r="AN120" s="20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1585.72</v>
      </c>
      <c r="AP120" cm="1">
        <f t="array" ref="AP120">$E$10*(1+$AN120)+VLOOKUP($R120,武学奇术!$A:$ZZ,4,FALSE)+SUM(_xlfn.XLOOKUP($S120:$AG120,增益!$A:$A,增益!$D:$D,0))-$I$2</f>
        <v>6696.76</v>
      </c>
      <c r="AQ120" s="29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0.3425</v>
      </c>
      <c r="AR120" s="29" cm="1">
        <f t="array" ref="AR120">$G$10+VLOOKUP($R120,武学奇术!$A:$ZZ,7,FALSE)+SUM(_xlfn.XLOOKUP(S120:AG120,增益!$A:$A,增益!$G:$G,0))</f>
        <v>0</v>
      </c>
      <c r="AS120" s="20" cm="1">
        <f t="array" ref="AS120">VLOOKUP($R120,武学奇术!$A:$ZZ,8,FALSE)+SUM(_xlfn.XLOOKUP(S120:AG120,增益!$A:$A,增益!$H:$H,0))</f>
        <v>0</v>
      </c>
      <c r="AT120">
        <f t="shared" si="52"/>
        <v>538</v>
      </c>
      <c r="AU120">
        <f t="shared" si="53"/>
        <v>1011</v>
      </c>
      <c r="AV120" s="29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0.08</v>
      </c>
      <c r="AW120" s="29" cm="1">
        <f t="array" ref="AW120">$G$11+VLOOKUP($R120,武学奇术!$A:$ZZ,10,FALSE)+SUM(_xlfn.XLOOKUP(S120:AG120,增益!$A:$A,增益!$J:$J,0))</f>
        <v>0.25</v>
      </c>
      <c r="AX120">
        <f t="shared" si="54"/>
        <v>0</v>
      </c>
      <c r="AY120">
        <f t="shared" si="55"/>
        <v>0</v>
      </c>
      <c r="AZ120" s="29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-0.14</v>
      </c>
      <c r="BA120" s="29" cm="1">
        <f t="array" ref="BA120">$G$12+VLOOKUP($R120,武学奇术!$A:$ZZ,12,FALSE)+SUM(_xlfn.XLOOKUP(S120:AG120,增益!$A:$A,增益!$L:$L,0))</f>
        <v>0</v>
      </c>
      <c r="BB120">
        <f t="shared" si="56"/>
        <v>0</v>
      </c>
      <c r="BC120">
        <f t="shared" si="57"/>
        <v>0</v>
      </c>
      <c r="BD120" s="29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-0.14</v>
      </c>
      <c r="BE120" s="29" cm="1">
        <f t="array" ref="BE120">$G$13+VLOOKUP($R120,武学奇术!$A:$ZZ,14,FALSE)+SUM(_xlfn.XLOOKUP(S120:AG120,增益!$A:$A,增益!$N:$N,0))</f>
        <v>0</v>
      </c>
      <c r="BF120">
        <f t="shared" si="58"/>
        <v>0</v>
      </c>
      <c r="BG120">
        <f t="shared" si="59"/>
        <v>0</v>
      </c>
      <c r="BH120" s="29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-0.14</v>
      </c>
      <c r="BI120" s="29" cm="1">
        <f t="array" ref="BI120">$G$14+VLOOKUP($R120,武学奇术!$A:$ZZ,16,FALSE)+SUM(_xlfn.XLOOKUP(S120:AG120,增益!$A:$A,增益!$P:$P,0))</f>
        <v>0</v>
      </c>
      <c r="BJ120" s="20">
        <f>MIN(IF(VLOOKUP($R120,武学奇术!$A:$ZZ,23,FALSE)=1,100%,$B$8),100%)</f>
        <v>0.8271</v>
      </c>
      <c r="BK120" s="20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0.2249</v>
      </c>
      <c r="BL120" s="20" cm="1">
        <f t="array" ref="BL120">1+$B$13+VLOOKUP($R120,武学奇术!$A:$ZZ,18,FALSE)+SUM(_xlfn.XLOOKUP(S120:AG120,增益!$A:$A,增益!$R:$R,0))</f>
        <v>1.5</v>
      </c>
      <c r="BM120" s="20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0.4459</v>
      </c>
      <c r="BN120" s="20" cm="1">
        <f t="array" ref="BN120">1+$B$14+VLOOKUP($R120,武学奇术!$A:$ZZ,20,FALSE)+SUM(_xlfn.XLOOKUP(S120:AG120,增益!$A:$A,增益!$T:$T,0))</f>
        <v>1.602</v>
      </c>
      <c r="BO120" s="20">
        <f t="shared" si="60"/>
        <v>0.18601479</v>
      </c>
      <c r="BP120" s="20">
        <f t="shared" si="61"/>
        <v>0.27228132</v>
      </c>
      <c r="BQ120" s="20">
        <f>IF(VLOOKUP($R120,武学奇术!$A:$ZZ,22,FALSE)=1,0,(1-$BJ120))*(1-$BM120)</f>
        <v>0.09580389</v>
      </c>
      <c r="BR120" s="20" cm="1">
        <f t="array" ref="BR120">SUM(_xlfn.XLOOKUP(S120:AG120,增益!$A:$A,增益!$W:$W,0))+$I$5</f>
        <v>0.31</v>
      </c>
    </row>
    <row r="121" spans="11:70">
      <c r="K121" s="27">
        <f>$L121*VLOOKUP($R121,武学奇术!$A:$ZZ,31,FALSE)</f>
        <v>134187.535755902</v>
      </c>
      <c r="L121" s="27">
        <f t="shared" si="51"/>
        <v>223645.892926503</v>
      </c>
      <c r="M121" s="27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121625.7770337</v>
      </c>
      <c r="N121" s="27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223645.892926503</v>
      </c>
      <c r="O121" s="27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81083.8513558003</v>
      </c>
      <c r="P121" s="27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36664.9569615993</v>
      </c>
      <c r="Q121" s="35">
        <v>1</v>
      </c>
      <c r="R121" s="36" t="s">
        <v>98</v>
      </c>
      <c r="S121" s="36" t="s">
        <v>152</v>
      </c>
      <c r="T121" s="36" t="s">
        <v>99</v>
      </c>
      <c r="U121" s="36" t="s">
        <v>100</v>
      </c>
      <c r="V121" s="36" t="s">
        <v>101</v>
      </c>
      <c r="W121" s="36" t="s">
        <v>111</v>
      </c>
      <c r="X121" s="36" t="s">
        <v>158</v>
      </c>
      <c r="Y121" s="36" t="s">
        <v>153</v>
      </c>
      <c r="Z121" s="36" t="s">
        <v>82</v>
      </c>
      <c r="AA121" s="36" t="s">
        <v>71</v>
      </c>
      <c r="AB121" s="36" t="s">
        <v>71</v>
      </c>
      <c r="AC121" s="36" t="s">
        <v>71</v>
      </c>
      <c r="AD121" s="36" t="s">
        <v>72</v>
      </c>
      <c r="AE121" s="36" t="s">
        <v>94</v>
      </c>
      <c r="AF121" s="36" t="s">
        <v>154</v>
      </c>
      <c r="AG121" s="36" t="s">
        <v>120</v>
      </c>
      <c r="AH121" t="str">
        <f>VLOOKUP($R121,武学奇术!$A:$ZZ,25,FALSE)</f>
        <v>剑</v>
      </c>
      <c r="AI121" s="20">
        <f>VLOOKUP($R121,武学奇术!$A:$ZZ,26,FALSE)</f>
        <v>2.496</v>
      </c>
      <c r="AJ121" s="21">
        <f>VLOOKUP($R121,武学奇术!$A:$ZZ,27,FALSE)*(1+IF(OR($AH121=$F$4,$AH121=$F$5),$B$22,0))</f>
        <v>0</v>
      </c>
      <c r="AK121" s="20">
        <f>VLOOKUP($R121,武学奇术!$A:$ZZ,28,FALSE)</f>
        <v>3.744</v>
      </c>
      <c r="AL121" s="21">
        <f>VLOOKUP($R121,武学奇术!$A:$ZZ,29,FALSE)*(1+IF(OR($AH121=$F$4,$AH121=$F$5),$B$22,0))</f>
        <v>0</v>
      </c>
      <c r="AM121" s="20" cm="1">
        <f t="array" ref="AM121">$G$3+IFERROR(VLOOKUP($AH121,$F$4:$G$7,2,FALSE),0)+VLOOKUP($R121,武学奇术!$A:$ZZ,2,FALSE)+SUM(_xlfn.XLOOKUP($S121:$AG121,增益!$A:$A,增益!$B:$B,0))</f>
        <v>1.4891</v>
      </c>
      <c r="AN121" s="20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1585.72</v>
      </c>
      <c r="AP121" cm="1">
        <f t="array" ref="AP121">$E$10*(1+$AN121)+VLOOKUP($R121,武学奇术!$A:$ZZ,4,FALSE)+SUM(_xlfn.XLOOKUP($S121:$AG121,增益!$A:$A,增益!$D:$D,0))-$I$2</f>
        <v>6696.76</v>
      </c>
      <c r="AQ121" s="29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0.4175</v>
      </c>
      <c r="AR121" s="29" cm="1">
        <f t="array" ref="AR121">$G$10+VLOOKUP($R121,武学奇术!$A:$ZZ,7,FALSE)+SUM(_xlfn.XLOOKUP(S121:AG121,增益!$A:$A,增益!$G:$G,0))</f>
        <v>0</v>
      </c>
      <c r="AS121" s="20" cm="1">
        <f t="array" ref="AS121">VLOOKUP($R121,武学奇术!$A:$ZZ,8,FALSE)+SUM(_xlfn.XLOOKUP(S121:AG121,增益!$A:$A,增益!$H:$H,0))</f>
        <v>0</v>
      </c>
      <c r="AT121">
        <f t="shared" si="52"/>
        <v>538</v>
      </c>
      <c r="AU121">
        <f t="shared" si="53"/>
        <v>1011</v>
      </c>
      <c r="AV121" s="29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0.155</v>
      </c>
      <c r="AW121" s="29" cm="1">
        <f t="array" ref="AW121">$G$11+VLOOKUP($R121,武学奇术!$A:$ZZ,10,FALSE)+SUM(_xlfn.XLOOKUP(S121:AG121,增益!$A:$A,增益!$J:$J,0))</f>
        <v>0.25</v>
      </c>
      <c r="AX121">
        <f t="shared" si="54"/>
        <v>0</v>
      </c>
      <c r="AY121">
        <f t="shared" si="55"/>
        <v>0</v>
      </c>
      <c r="AZ121" s="29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-0.14</v>
      </c>
      <c r="BA121" s="29" cm="1">
        <f t="array" ref="BA121">$G$12+VLOOKUP($R121,武学奇术!$A:$ZZ,12,FALSE)+SUM(_xlfn.XLOOKUP(S121:AG121,增益!$A:$A,增益!$L:$L,0))</f>
        <v>0</v>
      </c>
      <c r="BB121">
        <f t="shared" si="56"/>
        <v>0</v>
      </c>
      <c r="BC121">
        <f t="shared" si="57"/>
        <v>0</v>
      </c>
      <c r="BD121" s="29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-0.14</v>
      </c>
      <c r="BE121" s="29" cm="1">
        <f t="array" ref="BE121">$G$13+VLOOKUP($R121,武学奇术!$A:$ZZ,14,FALSE)+SUM(_xlfn.XLOOKUP(S121:AG121,增益!$A:$A,增益!$N:$N,0))</f>
        <v>0</v>
      </c>
      <c r="BF121">
        <f t="shared" si="58"/>
        <v>0</v>
      </c>
      <c r="BG121">
        <f t="shared" si="59"/>
        <v>0</v>
      </c>
      <c r="BH121" s="29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-0.14</v>
      </c>
      <c r="BI121" s="29" cm="1">
        <f t="array" ref="BI121">$G$14+VLOOKUP($R121,武学奇术!$A:$ZZ,16,FALSE)+SUM(_xlfn.XLOOKUP(S121:AG121,增益!$A:$A,增益!$P:$P,0))</f>
        <v>0</v>
      </c>
      <c r="BJ121" s="20">
        <f>MIN(IF(VLOOKUP($R121,武学奇术!$A:$ZZ,23,FALSE)=1,100%,$B$8),100%)</f>
        <v>0.8271</v>
      </c>
      <c r="BK121" s="20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</v>
      </c>
      <c r="BL121" s="20" cm="1">
        <f t="array" ref="BL121">1+$B$13+VLOOKUP($R121,武学奇术!$A:$ZZ,18,FALSE)+SUM(_xlfn.XLOOKUP(S121:AG121,增益!$A:$A,增益!$R:$R,0))</f>
        <v>1.5</v>
      </c>
      <c r="BM121" s="20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1</v>
      </c>
      <c r="BN121" s="20" cm="1">
        <f t="array" ref="BN121">1+$B$14+VLOOKUP($R121,武学奇术!$A:$ZZ,20,FALSE)+SUM(_xlfn.XLOOKUP(S121:AG121,增益!$A:$A,增益!$T:$T,0))</f>
        <v>1.782</v>
      </c>
      <c r="BO121" s="20">
        <f t="shared" si="60"/>
        <v>0</v>
      </c>
      <c r="BP121" s="20">
        <f t="shared" si="61"/>
        <v>0</v>
      </c>
      <c r="BQ121" s="20">
        <f>IF(VLOOKUP($R121,武学奇术!$A:$ZZ,22,FALSE)=1,0,(1-$BJ121))*(1-$BM121)</f>
        <v>0</v>
      </c>
      <c r="BR121" s="20" cm="1">
        <f t="array" ref="BR121">SUM(_xlfn.XLOOKUP(S121:AG121,增益!$A:$A,增益!$W:$W,0))+$I$5</f>
        <v>0.31</v>
      </c>
    </row>
    <row r="122" spans="11:70">
      <c r="K122" s="27">
        <f>$L122*VLOOKUP($R122,武学奇术!$A:$ZZ,31,FALSE)</f>
        <v>88762.8963665298</v>
      </c>
      <c r="L122" s="27">
        <f t="shared" si="51"/>
        <v>147938.160610883</v>
      </c>
      <c r="M122" s="27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121625.7770337</v>
      </c>
      <c r="N122" s="27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223645.892926503</v>
      </c>
      <c r="O122" s="27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81083.8513558003</v>
      </c>
      <c r="P122" s="27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36664.9569615993</v>
      </c>
      <c r="Q122" s="35">
        <v>1</v>
      </c>
      <c r="R122" s="36" t="s">
        <v>105</v>
      </c>
      <c r="S122" s="36" t="s">
        <v>152</v>
      </c>
      <c r="T122" s="36" t="s">
        <v>99</v>
      </c>
      <c r="U122" s="36" t="s">
        <v>100</v>
      </c>
      <c r="V122" s="36" t="s">
        <v>101</v>
      </c>
      <c r="W122" s="36" t="s">
        <v>111</v>
      </c>
      <c r="X122" s="36" t="s">
        <v>158</v>
      </c>
      <c r="Y122" s="36" t="s">
        <v>153</v>
      </c>
      <c r="Z122" s="36" t="s">
        <v>82</v>
      </c>
      <c r="AA122" s="36" t="s">
        <v>71</v>
      </c>
      <c r="AB122" s="36" t="s">
        <v>71</v>
      </c>
      <c r="AC122" s="36" t="s">
        <v>71</v>
      </c>
      <c r="AD122" s="36" t="s">
        <v>72</v>
      </c>
      <c r="AE122" s="36" t="s">
        <v>94</v>
      </c>
      <c r="AF122" s="36" t="s">
        <v>154</v>
      </c>
      <c r="AG122" s="36" t="s">
        <v>120</v>
      </c>
      <c r="AH122" t="str">
        <f>VLOOKUP($R122,武学奇术!$A:$ZZ,25,FALSE)</f>
        <v>剑</v>
      </c>
      <c r="AI122" s="20">
        <f>VLOOKUP($R122,武学奇术!$A:$ZZ,26,FALSE)</f>
        <v>2.496</v>
      </c>
      <c r="AJ122" s="21">
        <f>VLOOKUP($R122,武学奇术!$A:$ZZ,27,FALSE)*(1+IF(OR($AH122=$F$4,$AH122=$F$5),$B$22,0))</f>
        <v>0</v>
      </c>
      <c r="AK122" s="20">
        <f>VLOOKUP($R122,武学奇术!$A:$ZZ,28,FALSE)</f>
        <v>3.744</v>
      </c>
      <c r="AL122" s="21">
        <f>VLOOKUP($R122,武学奇术!$A:$ZZ,29,FALSE)*(1+IF(OR($AH122=$F$4,$AH122=$F$5),$B$22,0))</f>
        <v>0</v>
      </c>
      <c r="AM122" s="20" cm="1">
        <f t="array" ref="AM122">$G$3+IFERROR(VLOOKUP($AH122,$F$4:$G$7,2,FALSE),0)+VLOOKUP($R122,武学奇术!$A:$ZZ,2,FALSE)+SUM(_xlfn.XLOOKUP($S122:$AG122,增益!$A:$A,增益!$B:$B,0))</f>
        <v>1.4891</v>
      </c>
      <c r="AN122" s="20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1585.72</v>
      </c>
      <c r="AP122" cm="1">
        <f t="array" ref="AP122">$E$10*(1+$AN122)+VLOOKUP($R122,武学奇术!$A:$ZZ,4,FALSE)+SUM(_xlfn.XLOOKUP($S122:$AG122,增益!$A:$A,增益!$D:$D,0))-$I$2</f>
        <v>6696.76</v>
      </c>
      <c r="AQ122" s="29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0.4175</v>
      </c>
      <c r="AR122" s="29" cm="1">
        <f t="array" ref="AR122">$G$10+VLOOKUP($R122,武学奇术!$A:$ZZ,7,FALSE)+SUM(_xlfn.XLOOKUP(S122:AG122,增益!$A:$A,增益!$G:$G,0))</f>
        <v>0</v>
      </c>
      <c r="AS122" s="20" cm="1">
        <f t="array" ref="AS122">VLOOKUP($R122,武学奇术!$A:$ZZ,8,FALSE)+SUM(_xlfn.XLOOKUP(S122:AG122,增益!$A:$A,增益!$H:$H,0))</f>
        <v>0</v>
      </c>
      <c r="AT122">
        <f t="shared" si="52"/>
        <v>538</v>
      </c>
      <c r="AU122">
        <f t="shared" si="53"/>
        <v>1011</v>
      </c>
      <c r="AV122" s="29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0.155</v>
      </c>
      <c r="AW122" s="29" cm="1">
        <f t="array" ref="AW122">$G$11+VLOOKUP($R122,武学奇术!$A:$ZZ,10,FALSE)+SUM(_xlfn.XLOOKUP(S122:AG122,增益!$A:$A,增益!$J:$J,0))</f>
        <v>0.25</v>
      </c>
      <c r="AX122">
        <f t="shared" si="54"/>
        <v>0</v>
      </c>
      <c r="AY122">
        <f t="shared" si="55"/>
        <v>0</v>
      </c>
      <c r="AZ122" s="29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-0.14</v>
      </c>
      <c r="BA122" s="29" cm="1">
        <f t="array" ref="BA122">$G$12+VLOOKUP($R122,武学奇术!$A:$ZZ,12,FALSE)+SUM(_xlfn.XLOOKUP(S122:AG122,增益!$A:$A,增益!$L:$L,0))</f>
        <v>0</v>
      </c>
      <c r="BB122">
        <f t="shared" si="56"/>
        <v>0</v>
      </c>
      <c r="BC122">
        <f t="shared" si="57"/>
        <v>0</v>
      </c>
      <c r="BD122" s="29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-0.14</v>
      </c>
      <c r="BE122" s="29" cm="1">
        <f t="array" ref="BE122">$G$13+VLOOKUP($R122,武学奇术!$A:$ZZ,14,FALSE)+SUM(_xlfn.XLOOKUP(S122:AG122,增益!$A:$A,增益!$N:$N,0))</f>
        <v>0</v>
      </c>
      <c r="BF122">
        <f t="shared" si="58"/>
        <v>0</v>
      </c>
      <c r="BG122">
        <f t="shared" si="59"/>
        <v>0</v>
      </c>
      <c r="BH122" s="29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-0.14</v>
      </c>
      <c r="BI122" s="29" cm="1">
        <f t="array" ref="BI122">$G$14+VLOOKUP($R122,武学奇术!$A:$ZZ,16,FALSE)+SUM(_xlfn.XLOOKUP(S122:AG122,增益!$A:$A,增益!$P:$P,0))</f>
        <v>0</v>
      </c>
      <c r="BJ122" s="20">
        <f>MIN(IF(VLOOKUP($R122,武学奇术!$A:$ZZ,23,FALSE)=1,100%,$B$8),100%)</f>
        <v>0.8271</v>
      </c>
      <c r="BK122" s="20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0.2249</v>
      </c>
      <c r="BL122" s="20" cm="1">
        <f t="array" ref="BL122">1+$B$13+VLOOKUP($R122,武学奇术!$A:$ZZ,18,FALSE)+SUM(_xlfn.XLOOKUP(S122:AG122,增益!$A:$A,增益!$R:$R,0))</f>
        <v>1.5</v>
      </c>
      <c r="BM122" s="20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0.4459</v>
      </c>
      <c r="BN122" s="20" cm="1">
        <f t="array" ref="BN122">1+$B$14+VLOOKUP($R122,武学奇术!$A:$ZZ,20,FALSE)+SUM(_xlfn.XLOOKUP(S122:AG122,增益!$A:$A,增益!$T:$T,0))</f>
        <v>1.782</v>
      </c>
      <c r="BO122" s="20">
        <f t="shared" si="60"/>
        <v>0.18601479</v>
      </c>
      <c r="BP122" s="20">
        <f t="shared" si="61"/>
        <v>0.27228132</v>
      </c>
      <c r="BQ122" s="20">
        <f>IF(VLOOKUP($R122,武学奇术!$A:$ZZ,22,FALSE)=1,0,(1-$BJ122))*(1-$BM122)</f>
        <v>0.09580389</v>
      </c>
      <c r="BR122" s="20" cm="1">
        <f t="array" ref="BR122">SUM(_xlfn.XLOOKUP(S122:AG122,增益!$A:$A,增益!$W:$W,0))+$I$5</f>
        <v>0.31</v>
      </c>
    </row>
    <row r="123" spans="11:70">
      <c r="K123" s="27">
        <f>$L123*VLOOKUP($R123,武学奇术!$A:$ZZ,31,FALSE)</f>
        <v>17261.1762564424</v>
      </c>
      <c r="L123" s="27">
        <f t="shared" si="51"/>
        <v>17261.1762564424</v>
      </c>
      <c r="M123" s="27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15224.1631355261</v>
      </c>
      <c r="N123" s="27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25177.6964892159</v>
      </c>
      <c r="O123" s="27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10149.4420903507</v>
      </c>
      <c r="P123" s="27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4582.46939342569</v>
      </c>
      <c r="Q123" s="35">
        <v>1</v>
      </c>
      <c r="R123" s="36" t="s">
        <v>107</v>
      </c>
      <c r="S123" s="36" t="s">
        <v>152</v>
      </c>
      <c r="T123" s="36" t="s">
        <v>93</v>
      </c>
      <c r="U123" s="36" t="s">
        <v>71</v>
      </c>
      <c r="V123" s="36" t="s">
        <v>71</v>
      </c>
      <c r="W123" s="36" t="s">
        <v>111</v>
      </c>
      <c r="X123" s="36" t="s">
        <v>158</v>
      </c>
      <c r="Y123" s="36" t="s">
        <v>153</v>
      </c>
      <c r="Z123" s="36" t="s">
        <v>82</v>
      </c>
      <c r="AA123" s="36" t="s">
        <v>71</v>
      </c>
      <c r="AB123" s="36" t="s">
        <v>71</v>
      </c>
      <c r="AC123" s="36" t="s">
        <v>71</v>
      </c>
      <c r="AD123" s="36" t="s">
        <v>72</v>
      </c>
      <c r="AE123" s="36" t="s">
        <v>94</v>
      </c>
      <c r="AF123" s="36" t="s">
        <v>154</v>
      </c>
      <c r="AG123" s="36" t="s">
        <v>120</v>
      </c>
      <c r="AH123" t="str">
        <f>VLOOKUP($R123,武学奇术!$A:$ZZ,25,FALSE)</f>
        <v>剑</v>
      </c>
      <c r="AI123" s="20">
        <f>VLOOKUP($R123,武学奇术!$A:$ZZ,26,FALSE)</f>
        <v>0.625</v>
      </c>
      <c r="AJ123" s="21">
        <f>VLOOKUP($R123,武学奇术!$A:$ZZ,27,FALSE)*(1+IF(OR($AH123=$F$4,$AH123=$F$5),$B$22,0))</f>
        <v>0</v>
      </c>
      <c r="AK123" s="20">
        <f>VLOOKUP($R123,武学奇术!$A:$ZZ,28,FALSE)</f>
        <v>0.9375</v>
      </c>
      <c r="AL123" s="21">
        <f>VLOOKUP($R123,武学奇术!$A:$ZZ,29,FALSE)*(1+IF(OR($AH123=$F$4,$AH123=$F$5),$B$22,0))</f>
        <v>0</v>
      </c>
      <c r="AM123" s="20" cm="1">
        <f t="array" ref="AM123">$G$3+IFERROR(VLOOKUP($AH123,$F$4:$G$7,2,FALSE),0)+VLOOKUP($R123,武学奇术!$A:$ZZ,2,FALSE)+SUM(_xlfn.XLOOKUP($S123:$AG123,增益!$A:$A,增益!$B:$B,0))</f>
        <v>0.7391</v>
      </c>
      <c r="AN123" s="20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1585.72</v>
      </c>
      <c r="AP123" cm="1">
        <f t="array" ref="AP123">$E$10*(1+$AN123)+VLOOKUP($R123,武学奇术!$A:$ZZ,4,FALSE)+SUM(_xlfn.XLOOKUP($S123:$AG123,增益!$A:$A,增益!$D:$D,0))-$I$2</f>
        <v>6696.76</v>
      </c>
      <c r="AQ123" s="29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0.3425</v>
      </c>
      <c r="AR123" s="29" cm="1">
        <f t="array" ref="AR123">$G$10+VLOOKUP($R123,武学奇术!$A:$ZZ,7,FALSE)+SUM(_xlfn.XLOOKUP(S123:AG123,增益!$A:$A,增益!$G:$G,0))</f>
        <v>0</v>
      </c>
      <c r="AS123" s="20" cm="1">
        <f t="array" ref="AS123">VLOOKUP($R123,武学奇术!$A:$ZZ,8,FALSE)+SUM(_xlfn.XLOOKUP(S123:AG123,增益!$A:$A,增益!$H:$H,0))</f>
        <v>0</v>
      </c>
      <c r="AT123">
        <f t="shared" si="52"/>
        <v>538</v>
      </c>
      <c r="AU123">
        <f t="shared" si="53"/>
        <v>1011</v>
      </c>
      <c r="AV123" s="29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0.08</v>
      </c>
      <c r="AW123" s="29" cm="1">
        <f t="array" ref="AW123">$G$11+VLOOKUP($R123,武学奇术!$A:$ZZ,10,FALSE)+SUM(_xlfn.XLOOKUP(S123:AG123,增益!$A:$A,增益!$J:$J,0))</f>
        <v>0.25</v>
      </c>
      <c r="AX123">
        <f t="shared" si="54"/>
        <v>0</v>
      </c>
      <c r="AY123">
        <f t="shared" si="55"/>
        <v>0</v>
      </c>
      <c r="AZ123" s="29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-0.14</v>
      </c>
      <c r="BA123" s="29" cm="1">
        <f t="array" ref="BA123">$G$12+VLOOKUP($R123,武学奇术!$A:$ZZ,12,FALSE)+SUM(_xlfn.XLOOKUP(S123:AG123,增益!$A:$A,增益!$L:$L,0))</f>
        <v>0</v>
      </c>
      <c r="BB123">
        <f t="shared" si="56"/>
        <v>0</v>
      </c>
      <c r="BC123">
        <f t="shared" si="57"/>
        <v>0</v>
      </c>
      <c r="BD123" s="29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-0.14</v>
      </c>
      <c r="BE123" s="29" cm="1">
        <f t="array" ref="BE123">$G$13+VLOOKUP($R123,武学奇术!$A:$ZZ,14,FALSE)+SUM(_xlfn.XLOOKUP(S123:AG123,增益!$A:$A,增益!$N:$N,0))</f>
        <v>0</v>
      </c>
      <c r="BF123">
        <f t="shared" si="58"/>
        <v>0</v>
      </c>
      <c r="BG123">
        <f t="shared" si="59"/>
        <v>0</v>
      </c>
      <c r="BH123" s="29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-0.14</v>
      </c>
      <c r="BI123" s="29" cm="1">
        <f t="array" ref="BI123">$G$14+VLOOKUP($R123,武学奇术!$A:$ZZ,16,FALSE)+SUM(_xlfn.XLOOKUP(S123:AG123,增益!$A:$A,增益!$P:$P,0))</f>
        <v>0</v>
      </c>
      <c r="BJ123" s="20">
        <f>MIN(IF(VLOOKUP($R123,武学奇术!$A:$ZZ,23,FALSE)=1,100%,$B$8),100%)</f>
        <v>0.8271</v>
      </c>
      <c r="BK123" s="20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0.2249</v>
      </c>
      <c r="BL123" s="20" cm="1">
        <f t="array" ref="BL123">1+$B$13+VLOOKUP($R123,武学奇术!$A:$ZZ,18,FALSE)+SUM(_xlfn.XLOOKUP(S123:AG123,增益!$A:$A,增益!$R:$R,0))</f>
        <v>1.5</v>
      </c>
      <c r="BM123" s="20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0.4459</v>
      </c>
      <c r="BN123" s="20" cm="1">
        <f t="array" ref="BN123">1+$B$14+VLOOKUP($R123,武学奇术!$A:$ZZ,20,FALSE)+SUM(_xlfn.XLOOKUP(S123:AG123,增益!$A:$A,增益!$T:$T,0))</f>
        <v>1.602</v>
      </c>
      <c r="BO123" s="20">
        <f t="shared" si="60"/>
        <v>0.18601479</v>
      </c>
      <c r="BP123" s="20">
        <f t="shared" si="61"/>
        <v>0.27228132</v>
      </c>
      <c r="BQ123" s="20">
        <f>IF(VLOOKUP($R123,武学奇术!$A:$ZZ,22,FALSE)=1,0,(1-$BJ123))*(1-$BM123)</f>
        <v>0.09580389</v>
      </c>
      <c r="BR123" s="20" cm="1">
        <f t="array" ref="BR123">SUM(_xlfn.XLOOKUP(S123:AG123,增益!$A:$A,增益!$W:$W,0))+$I$5</f>
        <v>0.31</v>
      </c>
    </row>
    <row r="124" spans="11:70">
      <c r="K124" s="27">
        <f>$L124*VLOOKUP($R124,武学奇术!$A:$ZZ,31,FALSE)</f>
        <v>17100.8264450132</v>
      </c>
      <c r="L124" s="27">
        <f t="shared" si="51"/>
        <v>17100.8264450132</v>
      </c>
      <c r="M124" s="27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15538.5845134697</v>
      </c>
      <c r="N124" s="27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24359.0567664852</v>
      </c>
      <c r="O124" s="27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10359.0563423131</v>
      </c>
      <c r="P124" s="27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5512.70896022855</v>
      </c>
      <c r="Q124" s="35">
        <v>1</v>
      </c>
      <c r="R124" s="36" t="s">
        <v>149</v>
      </c>
      <c r="S124" s="36" t="s">
        <v>152</v>
      </c>
      <c r="T124" s="36" t="s">
        <v>93</v>
      </c>
      <c r="U124" s="36" t="s">
        <v>71</v>
      </c>
      <c r="V124" s="36" t="s">
        <v>71</v>
      </c>
      <c r="W124" s="36" t="s">
        <v>111</v>
      </c>
      <c r="X124" s="36" t="s">
        <v>158</v>
      </c>
      <c r="Y124" s="36" t="s">
        <v>153</v>
      </c>
      <c r="Z124" s="36" t="s">
        <v>82</v>
      </c>
      <c r="AA124" s="36" t="s">
        <v>71</v>
      </c>
      <c r="AB124" s="36" t="s">
        <v>71</v>
      </c>
      <c r="AC124" s="36" t="s">
        <v>71</v>
      </c>
      <c r="AD124" s="36" t="s">
        <v>72</v>
      </c>
      <c r="AE124" s="36" t="s">
        <v>94</v>
      </c>
      <c r="AF124" s="36" t="s">
        <v>154</v>
      </c>
      <c r="AG124" s="36" t="s">
        <v>120</v>
      </c>
      <c r="AH124" t="str">
        <f>VLOOKUP($R124,武学奇术!$A:$ZZ,25,FALSE)</f>
        <v>剑</v>
      </c>
      <c r="AI124" s="20">
        <f>VLOOKUP($R124,武学奇术!$A:$ZZ,26,FALSE)</f>
        <v>0.5441</v>
      </c>
      <c r="AJ124" s="21">
        <f>VLOOKUP($R124,武学奇术!$A:$ZZ,27,FALSE)*(1+IF(OR($AH124=$F$4,$AH124=$F$5),$B$22,0))</f>
        <v>273</v>
      </c>
      <c r="AK124" s="20">
        <f>VLOOKUP($R124,武学奇术!$A:$ZZ,28,FALSE)</f>
        <v>0.8161</v>
      </c>
      <c r="AL124" s="21">
        <f>VLOOKUP($R124,武学奇术!$A:$ZZ,29,FALSE)*(1+IF(OR($AH124=$F$4,$AH124=$F$5),$B$22,0))</f>
        <v>149.24</v>
      </c>
      <c r="AM124" s="20" cm="1">
        <f t="array" ref="AM124">$G$3+IFERROR(VLOOKUP($AH124,$F$4:$G$7,2,FALSE),0)+VLOOKUP($R124,武学奇术!$A:$ZZ,2,FALSE)+SUM(_xlfn.XLOOKUP($S124:$AG124,增益!$A:$A,增益!$B:$B,0))</f>
        <v>0.7391</v>
      </c>
      <c r="AN124" s="20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1585.72</v>
      </c>
      <c r="AP124" cm="1">
        <f t="array" ref="AP124">$E$10*(1+$AN124)+VLOOKUP($R124,武学奇术!$A:$ZZ,4,FALSE)+SUM(_xlfn.XLOOKUP($S124:$AG124,增益!$A:$A,增益!$D:$D,0))-$I$2</f>
        <v>6696.76</v>
      </c>
      <c r="AQ124" s="29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0.3425</v>
      </c>
      <c r="AR124" s="29" cm="1">
        <f t="array" ref="AR124">$G$10+VLOOKUP($R124,武学奇术!$A:$ZZ,7,FALSE)+SUM(_xlfn.XLOOKUP(S124:AG124,增益!$A:$A,增益!$G:$G,0))</f>
        <v>0</v>
      </c>
      <c r="AS124" s="20" cm="1">
        <f t="array" ref="AS124">VLOOKUP($R124,武学奇术!$A:$ZZ,8,FALSE)+SUM(_xlfn.XLOOKUP(S124:AG124,增益!$A:$A,增益!$H:$H,0))</f>
        <v>0</v>
      </c>
      <c r="AT124">
        <f t="shared" si="52"/>
        <v>538</v>
      </c>
      <c r="AU124">
        <f t="shared" si="53"/>
        <v>1011</v>
      </c>
      <c r="AV124" s="29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0.08</v>
      </c>
      <c r="AW124" s="29" cm="1">
        <f t="array" ref="AW124">$G$11+VLOOKUP($R124,武学奇术!$A:$ZZ,10,FALSE)+SUM(_xlfn.XLOOKUP(S124:AG124,增益!$A:$A,增益!$J:$J,0))</f>
        <v>0.25</v>
      </c>
      <c r="AX124">
        <f t="shared" si="54"/>
        <v>0</v>
      </c>
      <c r="AY124">
        <f t="shared" si="55"/>
        <v>0</v>
      </c>
      <c r="AZ124" s="29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-0.14</v>
      </c>
      <c r="BA124" s="29" cm="1">
        <f t="array" ref="BA124">$G$12+VLOOKUP($R124,武学奇术!$A:$ZZ,12,FALSE)+SUM(_xlfn.XLOOKUP(S124:AG124,增益!$A:$A,增益!$L:$L,0))</f>
        <v>0</v>
      </c>
      <c r="BB124">
        <f t="shared" si="56"/>
        <v>0</v>
      </c>
      <c r="BC124">
        <f t="shared" si="57"/>
        <v>0</v>
      </c>
      <c r="BD124" s="29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-0.14</v>
      </c>
      <c r="BE124" s="29" cm="1">
        <f t="array" ref="BE124">$G$13+VLOOKUP($R124,武学奇术!$A:$ZZ,14,FALSE)+SUM(_xlfn.XLOOKUP(S124:AG124,增益!$A:$A,增益!$N:$N,0))</f>
        <v>0</v>
      </c>
      <c r="BF124">
        <f t="shared" si="58"/>
        <v>0</v>
      </c>
      <c r="BG124">
        <f t="shared" si="59"/>
        <v>0</v>
      </c>
      <c r="BH124" s="29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-0.14</v>
      </c>
      <c r="BI124" s="29" cm="1">
        <f t="array" ref="BI124">$G$14+VLOOKUP($R124,武学奇术!$A:$ZZ,16,FALSE)+SUM(_xlfn.XLOOKUP(S124:AG124,增益!$A:$A,增益!$P:$P,0))</f>
        <v>0</v>
      </c>
      <c r="BJ124" s="20">
        <f>MIN(IF(VLOOKUP($R124,武学奇术!$A:$ZZ,23,FALSE)=1,100%,$B$8),100%)</f>
        <v>0.8271</v>
      </c>
      <c r="BK124" s="20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0.2249</v>
      </c>
      <c r="BL124" s="20" cm="1">
        <f t="array" ref="BL124">1+$B$13+VLOOKUP($R124,武学奇术!$A:$ZZ,18,FALSE)+SUM(_xlfn.XLOOKUP(S124:AG124,增益!$A:$A,增益!$R:$R,0))</f>
        <v>1.5</v>
      </c>
      <c r="BM124" s="20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0.4459</v>
      </c>
      <c r="BN124" s="20" cm="1">
        <f t="array" ref="BN124">1+$B$14+VLOOKUP($R124,武学奇术!$A:$ZZ,20,FALSE)+SUM(_xlfn.XLOOKUP(S124:AG124,增益!$A:$A,增益!$T:$T,0))</f>
        <v>1.602</v>
      </c>
      <c r="BO124" s="20">
        <f t="shared" si="60"/>
        <v>0.18601479</v>
      </c>
      <c r="BP124" s="20">
        <f t="shared" si="61"/>
        <v>0.27228132</v>
      </c>
      <c r="BQ124" s="20">
        <f>IF(VLOOKUP($R124,武学奇术!$A:$ZZ,22,FALSE)=1,0,(1-$BJ124))*(1-$BM124)</f>
        <v>0.09580389</v>
      </c>
      <c r="BR124" s="20" cm="1">
        <f t="array" ref="BR124">SUM(_xlfn.XLOOKUP(S124:AG124,增益!$A:$A,增益!$W:$W,0))+$I$5</f>
        <v>0.31</v>
      </c>
    </row>
    <row r="125" spans="11:70">
      <c r="K125" s="27">
        <f>$L125*VLOOKUP($R125,武学奇术!$A:$ZZ,31,FALSE)</f>
        <v>35993.6480238226</v>
      </c>
      <c r="L125" s="27">
        <f t="shared" si="51"/>
        <v>35993.6480238226</v>
      </c>
      <c r="M125" s="27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32505.7741624885</v>
      </c>
      <c r="N125" s="27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51526.8454779794</v>
      </c>
      <c r="O125" s="27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21670.5161083256</v>
      </c>
      <c r="P125" s="27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11176.9588845793</v>
      </c>
      <c r="Q125" s="35">
        <v>1</v>
      </c>
      <c r="R125" s="36" t="s">
        <v>92</v>
      </c>
      <c r="S125" s="36" t="s">
        <v>152</v>
      </c>
      <c r="T125" s="36" t="s">
        <v>93</v>
      </c>
      <c r="U125" s="36" t="s">
        <v>71</v>
      </c>
      <c r="V125" s="36" t="s">
        <v>71</v>
      </c>
      <c r="W125" s="36" t="s">
        <v>111</v>
      </c>
      <c r="X125" s="36" t="s">
        <v>158</v>
      </c>
      <c r="Y125" s="36" t="s">
        <v>153</v>
      </c>
      <c r="Z125" s="36" t="s">
        <v>82</v>
      </c>
      <c r="AA125" s="36" t="s">
        <v>71</v>
      </c>
      <c r="AB125" s="36" t="s">
        <v>71</v>
      </c>
      <c r="AC125" s="36" t="s">
        <v>71</v>
      </c>
      <c r="AD125" s="36" t="s">
        <v>72</v>
      </c>
      <c r="AE125" s="36" t="s">
        <v>94</v>
      </c>
      <c r="AF125" s="36" t="s">
        <v>154</v>
      </c>
      <c r="AG125" s="36" t="s">
        <v>120</v>
      </c>
      <c r="AH125" t="str">
        <f>VLOOKUP($R125,武学奇术!$A:$ZZ,25,FALSE)</f>
        <v>剑</v>
      </c>
      <c r="AI125" s="20">
        <f>VLOOKUP($R125,武学奇术!$A:$ZZ,26,FALSE)</f>
        <v>1.1781</v>
      </c>
      <c r="AJ125" s="21">
        <f>VLOOKUP($R125,武学奇术!$A:$ZZ,27,FALSE)*(1+IF(OR($AH125=$F$4,$AH125=$F$5),$B$22,0))</f>
        <v>456.4</v>
      </c>
      <c r="AK125" s="20">
        <f>VLOOKUP($R125,武学奇术!$A:$ZZ,28,FALSE)</f>
        <v>1.7672</v>
      </c>
      <c r="AL125" s="21">
        <f>VLOOKUP($R125,武学奇术!$A:$ZZ,29,FALSE)*(1+IF(OR($AH125=$F$4,$AH125=$F$5),$B$22,0))</f>
        <v>247.8</v>
      </c>
      <c r="AM125" s="20" cm="1">
        <f t="array" ref="AM125">$G$3+IFERROR(VLOOKUP($AH125,$F$4:$G$7,2,FALSE),0)+VLOOKUP($R125,武学奇术!$A:$ZZ,2,FALSE)+SUM(_xlfn.XLOOKUP($S125:$AG125,增益!$A:$A,增益!$B:$B,0))</f>
        <v>0.7391</v>
      </c>
      <c r="AN125" s="20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1585.72</v>
      </c>
      <c r="AP125" cm="1">
        <f t="array" ref="AP125">$E$10*(1+$AN125)+VLOOKUP($R125,武学奇术!$A:$ZZ,4,FALSE)+SUM(_xlfn.XLOOKUP($S125:$AG125,增益!$A:$A,增益!$D:$D,0))-$I$2</f>
        <v>6696.76</v>
      </c>
      <c r="AQ125" s="29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0.3425</v>
      </c>
      <c r="AR125" s="29" cm="1">
        <f t="array" ref="AR125">$G$10+VLOOKUP($R125,武学奇术!$A:$ZZ,7,FALSE)+SUM(_xlfn.XLOOKUP(S125:AG125,增益!$A:$A,增益!$G:$G,0))</f>
        <v>0</v>
      </c>
      <c r="AS125" s="20" cm="1">
        <f t="array" ref="AS125">VLOOKUP($R125,武学奇术!$A:$ZZ,8,FALSE)+SUM(_xlfn.XLOOKUP(S125:AG125,增益!$A:$A,增益!$H:$H,0))</f>
        <v>0</v>
      </c>
      <c r="AT125">
        <f t="shared" si="52"/>
        <v>538</v>
      </c>
      <c r="AU125">
        <f t="shared" si="53"/>
        <v>1011</v>
      </c>
      <c r="AV125" s="29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0.08</v>
      </c>
      <c r="AW125" s="29" cm="1">
        <f t="array" ref="AW125">$G$11+VLOOKUP($R125,武学奇术!$A:$ZZ,10,FALSE)+SUM(_xlfn.XLOOKUP(S125:AG125,增益!$A:$A,增益!$J:$J,0))</f>
        <v>0.25</v>
      </c>
      <c r="AX125">
        <f t="shared" si="54"/>
        <v>0</v>
      </c>
      <c r="AY125">
        <f t="shared" si="55"/>
        <v>0</v>
      </c>
      <c r="AZ125" s="29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-0.14</v>
      </c>
      <c r="BA125" s="29" cm="1">
        <f t="array" ref="BA125">$G$12+VLOOKUP($R125,武学奇术!$A:$ZZ,12,FALSE)+SUM(_xlfn.XLOOKUP(S125:AG125,增益!$A:$A,增益!$L:$L,0))</f>
        <v>0</v>
      </c>
      <c r="BB125">
        <f t="shared" si="56"/>
        <v>0</v>
      </c>
      <c r="BC125">
        <f t="shared" si="57"/>
        <v>0</v>
      </c>
      <c r="BD125" s="29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-0.14</v>
      </c>
      <c r="BE125" s="29" cm="1">
        <f t="array" ref="BE125">$G$13+VLOOKUP($R125,武学奇术!$A:$ZZ,14,FALSE)+SUM(_xlfn.XLOOKUP(S125:AG125,增益!$A:$A,增益!$N:$N,0))</f>
        <v>0</v>
      </c>
      <c r="BF125">
        <f t="shared" si="58"/>
        <v>0</v>
      </c>
      <c r="BG125">
        <f t="shared" si="59"/>
        <v>0</v>
      </c>
      <c r="BH125" s="29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-0.14</v>
      </c>
      <c r="BI125" s="29" cm="1">
        <f t="array" ref="BI125">$G$14+VLOOKUP($R125,武学奇术!$A:$ZZ,16,FALSE)+SUM(_xlfn.XLOOKUP(S125:AG125,增益!$A:$A,增益!$P:$P,0))</f>
        <v>0</v>
      </c>
      <c r="BJ125" s="20">
        <f>MIN(IF(VLOOKUP($R125,武学奇术!$A:$ZZ,23,FALSE)=1,100%,$B$8),100%)</f>
        <v>0.8271</v>
      </c>
      <c r="BK125" s="20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0.2249</v>
      </c>
      <c r="BL125" s="20" cm="1">
        <f t="array" ref="BL125">1+$B$13+VLOOKUP($R125,武学奇术!$A:$ZZ,18,FALSE)+SUM(_xlfn.XLOOKUP(S125:AG125,增益!$A:$A,增益!$R:$R,0))</f>
        <v>1.5</v>
      </c>
      <c r="BM125" s="20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0.4459</v>
      </c>
      <c r="BN125" s="20" cm="1">
        <f t="array" ref="BN125">1+$B$14+VLOOKUP($R125,武学奇术!$A:$ZZ,20,FALSE)+SUM(_xlfn.XLOOKUP(S125:AG125,增益!$A:$A,增益!$T:$T,0))</f>
        <v>1.602</v>
      </c>
      <c r="BO125" s="20">
        <f t="shared" si="60"/>
        <v>0.18601479</v>
      </c>
      <c r="BP125" s="20">
        <f t="shared" si="61"/>
        <v>0.27228132</v>
      </c>
      <c r="BQ125" s="20">
        <f>IF(VLOOKUP($R125,武学奇术!$A:$ZZ,22,FALSE)=1,0,(1-$BJ125))*(1-$BM125)</f>
        <v>0.09580389</v>
      </c>
      <c r="BR125" s="20" cm="1">
        <f t="array" ref="BR125">SUM(_xlfn.XLOOKUP(S125:AG125,增益!$A:$A,增益!$W:$W,0))+$I$5</f>
        <v>0.31</v>
      </c>
    </row>
    <row r="126" spans="11:70">
      <c r="K126" s="27">
        <f>$L126*VLOOKUP($R126,武学奇术!$A:$ZZ,31,FALSE)</f>
        <v>88762.8963665298</v>
      </c>
      <c r="L126" s="27">
        <f t="shared" si="51"/>
        <v>147938.160610883</v>
      </c>
      <c r="M126" s="27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121625.7770337</v>
      </c>
      <c r="N126" s="27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223645.892926503</v>
      </c>
      <c r="O126" s="27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81083.8513558003</v>
      </c>
      <c r="P126" s="27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36664.9569615993</v>
      </c>
      <c r="Q126" s="35">
        <v>1</v>
      </c>
      <c r="R126" s="36" t="s">
        <v>105</v>
      </c>
      <c r="S126" s="36" t="s">
        <v>152</v>
      </c>
      <c r="T126" s="36" t="s">
        <v>99</v>
      </c>
      <c r="U126" s="36" t="s">
        <v>100</v>
      </c>
      <c r="V126" s="36" t="s">
        <v>101</v>
      </c>
      <c r="W126" s="36" t="s">
        <v>111</v>
      </c>
      <c r="X126" s="36" t="s">
        <v>158</v>
      </c>
      <c r="Y126" s="36" t="s">
        <v>153</v>
      </c>
      <c r="Z126" s="36" t="s">
        <v>82</v>
      </c>
      <c r="AA126" s="36" t="s">
        <v>71</v>
      </c>
      <c r="AB126" s="36" t="s">
        <v>71</v>
      </c>
      <c r="AC126" s="36" t="s">
        <v>71</v>
      </c>
      <c r="AD126" s="36" t="s">
        <v>72</v>
      </c>
      <c r="AE126" s="36" t="s">
        <v>94</v>
      </c>
      <c r="AF126" s="36" t="s">
        <v>154</v>
      </c>
      <c r="AG126" s="36" t="s">
        <v>120</v>
      </c>
      <c r="AH126" t="str">
        <f>VLOOKUP($R126,武学奇术!$A:$ZZ,25,FALSE)</f>
        <v>剑</v>
      </c>
      <c r="AI126" s="20">
        <f>VLOOKUP($R126,武学奇术!$A:$ZZ,26,FALSE)</f>
        <v>2.496</v>
      </c>
      <c r="AJ126" s="21">
        <f>VLOOKUP($R126,武学奇术!$A:$ZZ,27,FALSE)*(1+IF(OR($AH126=$F$4,$AH126=$F$5),$B$22,0))</f>
        <v>0</v>
      </c>
      <c r="AK126" s="20">
        <f>VLOOKUP($R126,武学奇术!$A:$ZZ,28,FALSE)</f>
        <v>3.744</v>
      </c>
      <c r="AL126" s="21">
        <f>VLOOKUP($R126,武学奇术!$A:$ZZ,29,FALSE)*(1+IF(OR($AH126=$F$4,$AH126=$F$5),$B$22,0))</f>
        <v>0</v>
      </c>
      <c r="AM126" s="20" cm="1">
        <f t="array" ref="AM126">$G$3+IFERROR(VLOOKUP($AH126,$F$4:$G$7,2,FALSE),0)+VLOOKUP($R126,武学奇术!$A:$ZZ,2,FALSE)+SUM(_xlfn.XLOOKUP($S126:$AG126,增益!$A:$A,增益!$B:$B,0))</f>
        <v>1.4891</v>
      </c>
      <c r="AN126" s="20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1585.72</v>
      </c>
      <c r="AP126" cm="1">
        <f t="array" ref="AP126">$E$10*(1+$AN126)+VLOOKUP($R126,武学奇术!$A:$ZZ,4,FALSE)+SUM(_xlfn.XLOOKUP($S126:$AG126,增益!$A:$A,增益!$D:$D,0))-$I$2</f>
        <v>6696.76</v>
      </c>
      <c r="AQ126" s="29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0.4175</v>
      </c>
      <c r="AR126" s="29" cm="1">
        <f t="array" ref="AR126">$G$10+VLOOKUP($R126,武学奇术!$A:$ZZ,7,FALSE)+SUM(_xlfn.XLOOKUP(S126:AG126,增益!$A:$A,增益!$G:$G,0))</f>
        <v>0</v>
      </c>
      <c r="AS126" s="20" cm="1">
        <f t="array" ref="AS126">VLOOKUP($R126,武学奇术!$A:$ZZ,8,FALSE)+SUM(_xlfn.XLOOKUP(S126:AG126,增益!$A:$A,增益!$H:$H,0))</f>
        <v>0</v>
      </c>
      <c r="AT126">
        <f t="shared" si="52"/>
        <v>538</v>
      </c>
      <c r="AU126">
        <f t="shared" si="53"/>
        <v>1011</v>
      </c>
      <c r="AV126" s="29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0.155</v>
      </c>
      <c r="AW126" s="29" cm="1">
        <f t="array" ref="AW126">$G$11+VLOOKUP($R126,武学奇术!$A:$ZZ,10,FALSE)+SUM(_xlfn.XLOOKUP(S126:AG126,增益!$A:$A,增益!$J:$J,0))</f>
        <v>0.25</v>
      </c>
      <c r="AX126">
        <f t="shared" si="54"/>
        <v>0</v>
      </c>
      <c r="AY126">
        <f t="shared" si="55"/>
        <v>0</v>
      </c>
      <c r="AZ126" s="29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-0.14</v>
      </c>
      <c r="BA126" s="29" cm="1">
        <f t="array" ref="BA126">$G$12+VLOOKUP($R126,武学奇术!$A:$ZZ,12,FALSE)+SUM(_xlfn.XLOOKUP(S126:AG126,增益!$A:$A,增益!$L:$L,0))</f>
        <v>0</v>
      </c>
      <c r="BB126">
        <f t="shared" si="56"/>
        <v>0</v>
      </c>
      <c r="BC126">
        <f t="shared" si="57"/>
        <v>0</v>
      </c>
      <c r="BD126" s="29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-0.14</v>
      </c>
      <c r="BE126" s="29" cm="1">
        <f t="array" ref="BE126">$G$13+VLOOKUP($R126,武学奇术!$A:$ZZ,14,FALSE)+SUM(_xlfn.XLOOKUP(S126:AG126,增益!$A:$A,增益!$N:$N,0))</f>
        <v>0</v>
      </c>
      <c r="BF126">
        <f t="shared" si="58"/>
        <v>0</v>
      </c>
      <c r="BG126">
        <f t="shared" si="59"/>
        <v>0</v>
      </c>
      <c r="BH126" s="29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-0.14</v>
      </c>
      <c r="BI126" s="29" cm="1">
        <f t="array" ref="BI126">$G$14+VLOOKUP($R126,武学奇术!$A:$ZZ,16,FALSE)+SUM(_xlfn.XLOOKUP(S126:AG126,增益!$A:$A,增益!$P:$P,0))</f>
        <v>0</v>
      </c>
      <c r="BJ126" s="20">
        <f>MIN(IF(VLOOKUP($R126,武学奇术!$A:$ZZ,23,FALSE)=1,100%,$B$8),100%)</f>
        <v>0.8271</v>
      </c>
      <c r="BK126" s="20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0.2249</v>
      </c>
      <c r="BL126" s="20" cm="1">
        <f t="array" ref="BL126">1+$B$13+VLOOKUP($R126,武学奇术!$A:$ZZ,18,FALSE)+SUM(_xlfn.XLOOKUP(S126:AG126,增益!$A:$A,增益!$R:$R,0))</f>
        <v>1.5</v>
      </c>
      <c r="BM126" s="20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0.4459</v>
      </c>
      <c r="BN126" s="20" cm="1">
        <f t="array" ref="BN126">1+$B$14+VLOOKUP($R126,武学奇术!$A:$ZZ,20,FALSE)+SUM(_xlfn.XLOOKUP(S126:AG126,增益!$A:$A,增益!$T:$T,0))</f>
        <v>1.782</v>
      </c>
      <c r="BO126" s="20">
        <f t="shared" si="60"/>
        <v>0.18601479</v>
      </c>
      <c r="BP126" s="20">
        <f t="shared" si="61"/>
        <v>0.27228132</v>
      </c>
      <c r="BQ126" s="20">
        <f>IF(VLOOKUP($R126,武学奇术!$A:$ZZ,22,FALSE)=1,0,(1-$BJ126))*(1-$BM126)</f>
        <v>0.09580389</v>
      </c>
      <c r="BR126" s="20" cm="1">
        <f t="array" ref="BR126">SUM(_xlfn.XLOOKUP(S126:AG126,增益!$A:$A,增益!$W:$W,0))+$I$5</f>
        <v>0.31</v>
      </c>
    </row>
    <row r="127" spans="11:70">
      <c r="K127" s="27">
        <f>$L127*VLOOKUP($R127,武学奇术!$A:$ZZ,31,FALSE)</f>
        <v>17261.1762564424</v>
      </c>
      <c r="L127" s="27">
        <f t="shared" si="51"/>
        <v>17261.1762564424</v>
      </c>
      <c r="M127" s="27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15224.1631355261</v>
      </c>
      <c r="N127" s="27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25177.6964892159</v>
      </c>
      <c r="O127" s="27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10149.4420903507</v>
      </c>
      <c r="P127" s="27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4582.46939342569</v>
      </c>
      <c r="Q127" s="35">
        <v>1</v>
      </c>
      <c r="R127" s="36" t="s">
        <v>107</v>
      </c>
      <c r="S127" s="36" t="s">
        <v>152</v>
      </c>
      <c r="T127" s="36" t="s">
        <v>93</v>
      </c>
      <c r="U127" s="36" t="s">
        <v>71</v>
      </c>
      <c r="V127" s="36" t="s">
        <v>71</v>
      </c>
      <c r="W127" s="36" t="s">
        <v>111</v>
      </c>
      <c r="X127" s="36" t="s">
        <v>158</v>
      </c>
      <c r="Y127" s="36" t="s">
        <v>153</v>
      </c>
      <c r="Z127" s="36" t="s">
        <v>82</v>
      </c>
      <c r="AA127" s="36" t="s">
        <v>71</v>
      </c>
      <c r="AB127" s="36" t="s">
        <v>71</v>
      </c>
      <c r="AC127" s="36" t="s">
        <v>71</v>
      </c>
      <c r="AD127" s="36" t="s">
        <v>72</v>
      </c>
      <c r="AE127" s="36" t="s">
        <v>94</v>
      </c>
      <c r="AF127" s="36" t="s">
        <v>154</v>
      </c>
      <c r="AG127" s="36" t="s">
        <v>120</v>
      </c>
      <c r="AH127" t="str">
        <f>VLOOKUP($R127,武学奇术!$A:$ZZ,25,FALSE)</f>
        <v>剑</v>
      </c>
      <c r="AI127" s="20">
        <f>VLOOKUP($R127,武学奇术!$A:$ZZ,26,FALSE)</f>
        <v>0.625</v>
      </c>
      <c r="AJ127" s="21">
        <f>VLOOKUP($R127,武学奇术!$A:$ZZ,27,FALSE)*(1+IF(OR($AH127=$F$4,$AH127=$F$5),$B$22,0))</f>
        <v>0</v>
      </c>
      <c r="AK127" s="20">
        <f>VLOOKUP($R127,武学奇术!$A:$ZZ,28,FALSE)</f>
        <v>0.9375</v>
      </c>
      <c r="AL127" s="21">
        <f>VLOOKUP($R127,武学奇术!$A:$ZZ,29,FALSE)*(1+IF(OR($AH127=$F$4,$AH127=$F$5),$B$22,0))</f>
        <v>0</v>
      </c>
      <c r="AM127" s="20" cm="1">
        <f t="array" ref="AM127">$G$3+IFERROR(VLOOKUP($AH127,$F$4:$G$7,2,FALSE),0)+VLOOKUP($R127,武学奇术!$A:$ZZ,2,FALSE)+SUM(_xlfn.XLOOKUP($S127:$AG127,增益!$A:$A,增益!$B:$B,0))</f>
        <v>0.7391</v>
      </c>
      <c r="AN127" s="20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1585.72</v>
      </c>
      <c r="AP127" cm="1">
        <f t="array" ref="AP127">$E$10*(1+$AN127)+VLOOKUP($R127,武学奇术!$A:$ZZ,4,FALSE)+SUM(_xlfn.XLOOKUP($S127:$AG127,增益!$A:$A,增益!$D:$D,0))-$I$2</f>
        <v>6696.76</v>
      </c>
      <c r="AQ127" s="29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0.3425</v>
      </c>
      <c r="AR127" s="29" cm="1">
        <f t="array" ref="AR127">$G$10+VLOOKUP($R127,武学奇术!$A:$ZZ,7,FALSE)+SUM(_xlfn.XLOOKUP(S127:AG127,增益!$A:$A,增益!$G:$G,0))</f>
        <v>0</v>
      </c>
      <c r="AS127" s="20" cm="1">
        <f t="array" ref="AS127">VLOOKUP($R127,武学奇术!$A:$ZZ,8,FALSE)+SUM(_xlfn.XLOOKUP(S127:AG127,增益!$A:$A,增益!$H:$H,0))</f>
        <v>0</v>
      </c>
      <c r="AT127">
        <f t="shared" si="52"/>
        <v>538</v>
      </c>
      <c r="AU127">
        <f t="shared" si="53"/>
        <v>1011</v>
      </c>
      <c r="AV127" s="29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0.08</v>
      </c>
      <c r="AW127" s="29" cm="1">
        <f t="array" ref="AW127">$G$11+VLOOKUP($R127,武学奇术!$A:$ZZ,10,FALSE)+SUM(_xlfn.XLOOKUP(S127:AG127,增益!$A:$A,增益!$J:$J,0))</f>
        <v>0.25</v>
      </c>
      <c r="AX127">
        <f t="shared" si="54"/>
        <v>0</v>
      </c>
      <c r="AY127">
        <f t="shared" si="55"/>
        <v>0</v>
      </c>
      <c r="AZ127" s="29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-0.14</v>
      </c>
      <c r="BA127" s="29" cm="1">
        <f t="array" ref="BA127">$G$12+VLOOKUP($R127,武学奇术!$A:$ZZ,12,FALSE)+SUM(_xlfn.XLOOKUP(S127:AG127,增益!$A:$A,增益!$L:$L,0))</f>
        <v>0</v>
      </c>
      <c r="BB127">
        <f t="shared" si="56"/>
        <v>0</v>
      </c>
      <c r="BC127">
        <f t="shared" si="57"/>
        <v>0</v>
      </c>
      <c r="BD127" s="29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-0.14</v>
      </c>
      <c r="BE127" s="29" cm="1">
        <f t="array" ref="BE127">$G$13+VLOOKUP($R127,武学奇术!$A:$ZZ,14,FALSE)+SUM(_xlfn.XLOOKUP(S127:AG127,增益!$A:$A,增益!$N:$N,0))</f>
        <v>0</v>
      </c>
      <c r="BF127">
        <f t="shared" si="58"/>
        <v>0</v>
      </c>
      <c r="BG127">
        <f t="shared" si="59"/>
        <v>0</v>
      </c>
      <c r="BH127" s="29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-0.14</v>
      </c>
      <c r="BI127" s="29" cm="1">
        <f t="array" ref="BI127">$G$14+VLOOKUP($R127,武学奇术!$A:$ZZ,16,FALSE)+SUM(_xlfn.XLOOKUP(S127:AG127,增益!$A:$A,增益!$P:$P,0))</f>
        <v>0</v>
      </c>
      <c r="BJ127" s="20">
        <f>MIN(IF(VLOOKUP($R127,武学奇术!$A:$ZZ,23,FALSE)=1,100%,$B$8),100%)</f>
        <v>0.8271</v>
      </c>
      <c r="BK127" s="20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0.2249</v>
      </c>
      <c r="BL127" s="20" cm="1">
        <f t="array" ref="BL127">1+$B$13+VLOOKUP($R127,武学奇术!$A:$ZZ,18,FALSE)+SUM(_xlfn.XLOOKUP(S127:AG127,增益!$A:$A,增益!$R:$R,0))</f>
        <v>1.5</v>
      </c>
      <c r="BM127" s="20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0.4459</v>
      </c>
      <c r="BN127" s="20" cm="1">
        <f t="array" ref="BN127">1+$B$14+VLOOKUP($R127,武学奇术!$A:$ZZ,20,FALSE)+SUM(_xlfn.XLOOKUP(S127:AG127,增益!$A:$A,增益!$T:$T,0))</f>
        <v>1.602</v>
      </c>
      <c r="BO127" s="20">
        <f t="shared" si="60"/>
        <v>0.18601479</v>
      </c>
      <c r="BP127" s="20">
        <f t="shared" si="61"/>
        <v>0.27228132</v>
      </c>
      <c r="BQ127" s="20">
        <f>IF(VLOOKUP($R127,武学奇术!$A:$ZZ,22,FALSE)=1,0,(1-$BJ127))*(1-$BM127)</f>
        <v>0.09580389</v>
      </c>
      <c r="BR127" s="20" cm="1">
        <f t="array" ref="BR127">SUM(_xlfn.XLOOKUP(S127:AG127,增益!$A:$A,增益!$W:$W,0))+$I$5</f>
        <v>0.31</v>
      </c>
    </row>
    <row r="128" spans="11:70">
      <c r="K128" s="27">
        <f>$L128*VLOOKUP($R128,武学奇术!$A:$ZZ,31,FALSE)</f>
        <v>35993.6480238226</v>
      </c>
      <c r="L128" s="27">
        <f t="shared" si="51"/>
        <v>35993.6480238226</v>
      </c>
      <c r="M128" s="27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32505.7741624885</v>
      </c>
      <c r="N128" s="27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51526.8454779794</v>
      </c>
      <c r="O128" s="27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21670.5161083256</v>
      </c>
      <c r="P128" s="27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11176.9588845793</v>
      </c>
      <c r="Q128" s="35">
        <v>1</v>
      </c>
      <c r="R128" s="36" t="s">
        <v>92</v>
      </c>
      <c r="S128" s="36" t="s">
        <v>152</v>
      </c>
      <c r="T128" s="36" t="s">
        <v>93</v>
      </c>
      <c r="U128" s="36" t="s">
        <v>71</v>
      </c>
      <c r="V128" s="36" t="s">
        <v>71</v>
      </c>
      <c r="W128" s="36" t="s">
        <v>111</v>
      </c>
      <c r="X128" s="36" t="s">
        <v>158</v>
      </c>
      <c r="Y128" s="36" t="s">
        <v>153</v>
      </c>
      <c r="Z128" s="36" t="s">
        <v>82</v>
      </c>
      <c r="AA128" s="36" t="s">
        <v>71</v>
      </c>
      <c r="AB128" s="36" t="s">
        <v>71</v>
      </c>
      <c r="AC128" s="36" t="s">
        <v>71</v>
      </c>
      <c r="AD128" s="36" t="s">
        <v>72</v>
      </c>
      <c r="AE128" s="36" t="s">
        <v>94</v>
      </c>
      <c r="AF128" s="36" t="s">
        <v>154</v>
      </c>
      <c r="AG128" s="36" t="s">
        <v>120</v>
      </c>
      <c r="AH128" t="str">
        <f>VLOOKUP($R128,武学奇术!$A:$ZZ,25,FALSE)</f>
        <v>剑</v>
      </c>
      <c r="AI128" s="20">
        <f>VLOOKUP($R128,武学奇术!$A:$ZZ,26,FALSE)</f>
        <v>1.1781</v>
      </c>
      <c r="AJ128" s="21">
        <f>VLOOKUP($R128,武学奇术!$A:$ZZ,27,FALSE)*(1+IF(OR($AH128=$F$4,$AH128=$F$5),$B$22,0))</f>
        <v>456.4</v>
      </c>
      <c r="AK128" s="20">
        <f>VLOOKUP($R128,武学奇术!$A:$ZZ,28,FALSE)</f>
        <v>1.7672</v>
      </c>
      <c r="AL128" s="21">
        <f>VLOOKUP($R128,武学奇术!$A:$ZZ,29,FALSE)*(1+IF(OR($AH128=$F$4,$AH128=$F$5),$B$22,0))</f>
        <v>247.8</v>
      </c>
      <c r="AM128" s="20" cm="1">
        <f t="array" ref="AM128">$G$3+IFERROR(VLOOKUP($AH128,$F$4:$G$7,2,FALSE),0)+VLOOKUP($R128,武学奇术!$A:$ZZ,2,FALSE)+SUM(_xlfn.XLOOKUP($S128:$AG128,增益!$A:$A,增益!$B:$B,0))</f>
        <v>0.7391</v>
      </c>
      <c r="AN128" s="20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1585.72</v>
      </c>
      <c r="AP128" cm="1">
        <f t="array" ref="AP128">$E$10*(1+$AN128)+VLOOKUP($R128,武学奇术!$A:$ZZ,4,FALSE)+SUM(_xlfn.XLOOKUP($S128:$AG128,增益!$A:$A,增益!$D:$D,0))-$I$2</f>
        <v>6696.76</v>
      </c>
      <c r="AQ128" s="29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0.3425</v>
      </c>
      <c r="AR128" s="29" cm="1">
        <f t="array" ref="AR128">$G$10+VLOOKUP($R128,武学奇术!$A:$ZZ,7,FALSE)+SUM(_xlfn.XLOOKUP(S128:AG128,增益!$A:$A,增益!$G:$G,0))</f>
        <v>0</v>
      </c>
      <c r="AS128" s="20" cm="1">
        <f t="array" ref="AS128">VLOOKUP($R128,武学奇术!$A:$ZZ,8,FALSE)+SUM(_xlfn.XLOOKUP(S128:AG128,增益!$A:$A,增益!$H:$H,0))</f>
        <v>0</v>
      </c>
      <c r="AT128">
        <f t="shared" si="52"/>
        <v>538</v>
      </c>
      <c r="AU128">
        <f t="shared" si="53"/>
        <v>1011</v>
      </c>
      <c r="AV128" s="29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0.08</v>
      </c>
      <c r="AW128" s="29" cm="1">
        <f t="array" ref="AW128">$G$11+VLOOKUP($R128,武学奇术!$A:$ZZ,10,FALSE)+SUM(_xlfn.XLOOKUP(S128:AG128,增益!$A:$A,增益!$J:$J,0))</f>
        <v>0.25</v>
      </c>
      <c r="AX128">
        <f t="shared" si="54"/>
        <v>0</v>
      </c>
      <c r="AY128">
        <f t="shared" si="55"/>
        <v>0</v>
      </c>
      <c r="AZ128" s="29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-0.14</v>
      </c>
      <c r="BA128" s="29" cm="1">
        <f t="array" ref="BA128">$G$12+VLOOKUP($R128,武学奇术!$A:$ZZ,12,FALSE)+SUM(_xlfn.XLOOKUP(S128:AG128,增益!$A:$A,增益!$L:$L,0))</f>
        <v>0</v>
      </c>
      <c r="BB128">
        <f t="shared" si="56"/>
        <v>0</v>
      </c>
      <c r="BC128">
        <f t="shared" si="57"/>
        <v>0</v>
      </c>
      <c r="BD128" s="29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-0.14</v>
      </c>
      <c r="BE128" s="29" cm="1">
        <f t="array" ref="BE128">$G$13+VLOOKUP($R128,武学奇术!$A:$ZZ,14,FALSE)+SUM(_xlfn.XLOOKUP(S128:AG128,增益!$A:$A,增益!$N:$N,0))</f>
        <v>0</v>
      </c>
      <c r="BF128">
        <f t="shared" si="58"/>
        <v>0</v>
      </c>
      <c r="BG128">
        <f t="shared" si="59"/>
        <v>0</v>
      </c>
      <c r="BH128" s="29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-0.14</v>
      </c>
      <c r="BI128" s="29" cm="1">
        <f t="array" ref="BI128">$G$14+VLOOKUP($R128,武学奇术!$A:$ZZ,16,FALSE)+SUM(_xlfn.XLOOKUP(S128:AG128,增益!$A:$A,增益!$P:$P,0))</f>
        <v>0</v>
      </c>
      <c r="BJ128" s="20">
        <f>MIN(IF(VLOOKUP($R128,武学奇术!$A:$ZZ,23,FALSE)=1,100%,$B$8),100%)</f>
        <v>0.8271</v>
      </c>
      <c r="BK128" s="20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0.2249</v>
      </c>
      <c r="BL128" s="20" cm="1">
        <f t="array" ref="BL128">1+$B$13+VLOOKUP($R128,武学奇术!$A:$ZZ,18,FALSE)+SUM(_xlfn.XLOOKUP(S128:AG128,增益!$A:$A,增益!$R:$R,0))</f>
        <v>1.5</v>
      </c>
      <c r="BM128" s="20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0.4459</v>
      </c>
      <c r="BN128" s="20" cm="1">
        <f t="array" ref="BN128">1+$B$14+VLOOKUP($R128,武学奇术!$A:$ZZ,20,FALSE)+SUM(_xlfn.XLOOKUP(S128:AG128,增益!$A:$A,增益!$T:$T,0))</f>
        <v>1.602</v>
      </c>
      <c r="BO128" s="20">
        <f t="shared" si="60"/>
        <v>0.18601479</v>
      </c>
      <c r="BP128" s="20">
        <f t="shared" si="61"/>
        <v>0.27228132</v>
      </c>
      <c r="BQ128" s="20">
        <f>IF(VLOOKUP($R128,武学奇术!$A:$ZZ,22,FALSE)=1,0,(1-$BJ128))*(1-$BM128)</f>
        <v>0.09580389</v>
      </c>
      <c r="BR128" s="20" cm="1">
        <f t="array" ref="BR128">SUM(_xlfn.XLOOKUP(S128:AG128,增益!$A:$A,增益!$W:$W,0))+$I$5</f>
        <v>0.31</v>
      </c>
    </row>
    <row r="129" spans="11:70">
      <c r="K129" s="27">
        <f>$L129*VLOOKUP($R129,武学奇术!$A:$ZZ,31,FALSE)</f>
        <v>88762.8963665298</v>
      </c>
      <c r="L129" s="27">
        <f t="shared" si="51"/>
        <v>147938.160610883</v>
      </c>
      <c r="M129" s="27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121625.7770337</v>
      </c>
      <c r="N129" s="27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223645.892926503</v>
      </c>
      <c r="O129" s="27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81083.8513558003</v>
      </c>
      <c r="P129" s="27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36664.9569615993</v>
      </c>
      <c r="Q129" s="35">
        <v>1</v>
      </c>
      <c r="R129" s="36" t="s">
        <v>105</v>
      </c>
      <c r="S129" s="36" t="s">
        <v>152</v>
      </c>
      <c r="T129" s="36" t="s">
        <v>99</v>
      </c>
      <c r="U129" s="36" t="s">
        <v>100</v>
      </c>
      <c r="V129" s="36" t="s">
        <v>101</v>
      </c>
      <c r="W129" s="36" t="s">
        <v>111</v>
      </c>
      <c r="X129" s="36" t="s">
        <v>158</v>
      </c>
      <c r="Y129" s="36" t="s">
        <v>153</v>
      </c>
      <c r="Z129" s="36" t="s">
        <v>82</v>
      </c>
      <c r="AA129" s="36" t="s">
        <v>71</v>
      </c>
      <c r="AB129" s="36" t="s">
        <v>71</v>
      </c>
      <c r="AC129" s="36" t="s">
        <v>71</v>
      </c>
      <c r="AD129" s="36" t="s">
        <v>72</v>
      </c>
      <c r="AE129" s="36" t="s">
        <v>94</v>
      </c>
      <c r="AF129" s="36" t="s">
        <v>154</v>
      </c>
      <c r="AG129" s="36" t="s">
        <v>120</v>
      </c>
      <c r="AH129" t="str">
        <f>VLOOKUP($R129,武学奇术!$A:$ZZ,25,FALSE)</f>
        <v>剑</v>
      </c>
      <c r="AI129" s="20">
        <f>VLOOKUP($R129,武学奇术!$A:$ZZ,26,FALSE)</f>
        <v>2.496</v>
      </c>
      <c r="AJ129" s="21">
        <f>VLOOKUP($R129,武学奇术!$A:$ZZ,27,FALSE)*(1+IF(OR($AH129=$F$4,$AH129=$F$5),$B$22,0))</f>
        <v>0</v>
      </c>
      <c r="AK129" s="20">
        <f>VLOOKUP($R129,武学奇术!$A:$ZZ,28,FALSE)</f>
        <v>3.744</v>
      </c>
      <c r="AL129" s="21">
        <f>VLOOKUP($R129,武学奇术!$A:$ZZ,29,FALSE)*(1+IF(OR($AH129=$F$4,$AH129=$F$5),$B$22,0))</f>
        <v>0</v>
      </c>
      <c r="AM129" s="20" cm="1">
        <f t="array" ref="AM129">$G$3+IFERROR(VLOOKUP($AH129,$F$4:$G$7,2,FALSE),0)+VLOOKUP($R129,武学奇术!$A:$ZZ,2,FALSE)+SUM(_xlfn.XLOOKUP($S129:$AG129,增益!$A:$A,增益!$B:$B,0))</f>
        <v>1.4891</v>
      </c>
      <c r="AN129" s="20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1585.72</v>
      </c>
      <c r="AP129" cm="1">
        <f t="array" ref="AP129">$E$10*(1+$AN129)+VLOOKUP($R129,武学奇术!$A:$ZZ,4,FALSE)+SUM(_xlfn.XLOOKUP($S129:$AG129,增益!$A:$A,增益!$D:$D,0))-$I$2</f>
        <v>6696.76</v>
      </c>
      <c r="AQ129" s="29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0.4175</v>
      </c>
      <c r="AR129" s="29" cm="1">
        <f t="array" ref="AR129">$G$10+VLOOKUP($R129,武学奇术!$A:$ZZ,7,FALSE)+SUM(_xlfn.XLOOKUP(S129:AG129,增益!$A:$A,增益!$G:$G,0))</f>
        <v>0</v>
      </c>
      <c r="AS129" s="20" cm="1">
        <f t="array" ref="AS129">VLOOKUP($R129,武学奇术!$A:$ZZ,8,FALSE)+SUM(_xlfn.XLOOKUP(S129:AG129,增益!$A:$A,增益!$H:$H,0))</f>
        <v>0</v>
      </c>
      <c r="AT129">
        <f t="shared" si="52"/>
        <v>538</v>
      </c>
      <c r="AU129">
        <f t="shared" si="53"/>
        <v>1011</v>
      </c>
      <c r="AV129" s="29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0.155</v>
      </c>
      <c r="AW129" s="29" cm="1">
        <f t="array" ref="AW129">$G$11+VLOOKUP($R129,武学奇术!$A:$ZZ,10,FALSE)+SUM(_xlfn.XLOOKUP(S129:AG129,增益!$A:$A,增益!$J:$J,0))</f>
        <v>0.25</v>
      </c>
      <c r="AX129">
        <f t="shared" si="54"/>
        <v>0</v>
      </c>
      <c r="AY129">
        <f t="shared" si="55"/>
        <v>0</v>
      </c>
      <c r="AZ129" s="29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-0.14</v>
      </c>
      <c r="BA129" s="29" cm="1">
        <f t="array" ref="BA129">$G$12+VLOOKUP($R129,武学奇术!$A:$ZZ,12,FALSE)+SUM(_xlfn.XLOOKUP(S129:AG129,增益!$A:$A,增益!$L:$L,0))</f>
        <v>0</v>
      </c>
      <c r="BB129">
        <f t="shared" si="56"/>
        <v>0</v>
      </c>
      <c r="BC129">
        <f t="shared" si="57"/>
        <v>0</v>
      </c>
      <c r="BD129" s="29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-0.14</v>
      </c>
      <c r="BE129" s="29" cm="1">
        <f t="array" ref="BE129">$G$13+VLOOKUP($R129,武学奇术!$A:$ZZ,14,FALSE)+SUM(_xlfn.XLOOKUP(S129:AG129,增益!$A:$A,增益!$N:$N,0))</f>
        <v>0</v>
      </c>
      <c r="BF129">
        <f t="shared" si="58"/>
        <v>0</v>
      </c>
      <c r="BG129">
        <f t="shared" si="59"/>
        <v>0</v>
      </c>
      <c r="BH129" s="29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-0.14</v>
      </c>
      <c r="BI129" s="29" cm="1">
        <f t="array" ref="BI129">$G$14+VLOOKUP($R129,武学奇术!$A:$ZZ,16,FALSE)+SUM(_xlfn.XLOOKUP(S129:AG129,增益!$A:$A,增益!$P:$P,0))</f>
        <v>0</v>
      </c>
      <c r="BJ129" s="20">
        <f>MIN(IF(VLOOKUP($R129,武学奇术!$A:$ZZ,23,FALSE)=1,100%,$B$8),100%)</f>
        <v>0.8271</v>
      </c>
      <c r="BK129" s="20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0.2249</v>
      </c>
      <c r="BL129" s="20" cm="1">
        <f t="array" ref="BL129">1+$B$13+VLOOKUP($R129,武学奇术!$A:$ZZ,18,FALSE)+SUM(_xlfn.XLOOKUP(S129:AG129,增益!$A:$A,增益!$R:$R,0))</f>
        <v>1.5</v>
      </c>
      <c r="BM129" s="20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0.4459</v>
      </c>
      <c r="BN129" s="20" cm="1">
        <f t="array" ref="BN129">1+$B$14+VLOOKUP($R129,武学奇术!$A:$ZZ,20,FALSE)+SUM(_xlfn.XLOOKUP(S129:AG129,增益!$A:$A,增益!$T:$T,0))</f>
        <v>1.782</v>
      </c>
      <c r="BO129" s="20">
        <f t="shared" si="60"/>
        <v>0.18601479</v>
      </c>
      <c r="BP129" s="20">
        <f t="shared" si="61"/>
        <v>0.27228132</v>
      </c>
      <c r="BQ129" s="20">
        <f>IF(VLOOKUP($R129,武学奇术!$A:$ZZ,22,FALSE)=1,0,(1-$BJ129))*(1-$BM129)</f>
        <v>0.09580389</v>
      </c>
      <c r="BR129" s="20" cm="1">
        <f t="array" ref="BR129">SUM(_xlfn.XLOOKUP(S129:AG129,增益!$A:$A,增益!$W:$W,0))+$I$5</f>
        <v>0.31</v>
      </c>
    </row>
    <row r="130" spans="11:70">
      <c r="K130" s="27">
        <f>$L130*VLOOKUP($R130,武学奇术!$A:$ZZ,31,FALSE)</f>
        <v>134187.535755902</v>
      </c>
      <c r="L130" s="27">
        <f t="shared" si="51"/>
        <v>223645.892926503</v>
      </c>
      <c r="M130" s="27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121625.7770337</v>
      </c>
      <c r="N130" s="27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223645.892926503</v>
      </c>
      <c r="O130" s="27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81083.8513558003</v>
      </c>
      <c r="P130" s="27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36664.9569615993</v>
      </c>
      <c r="Q130" s="35">
        <v>1</v>
      </c>
      <c r="R130" s="36" t="s">
        <v>98</v>
      </c>
      <c r="S130" s="36" t="s">
        <v>152</v>
      </c>
      <c r="T130" s="36" t="s">
        <v>99</v>
      </c>
      <c r="U130" s="36" t="s">
        <v>100</v>
      </c>
      <c r="V130" s="36" t="s">
        <v>101</v>
      </c>
      <c r="W130" s="36" t="s">
        <v>111</v>
      </c>
      <c r="X130" s="36" t="s">
        <v>158</v>
      </c>
      <c r="Y130" s="36" t="s">
        <v>153</v>
      </c>
      <c r="Z130" s="36" t="s">
        <v>82</v>
      </c>
      <c r="AA130" s="36" t="s">
        <v>71</v>
      </c>
      <c r="AB130" s="36" t="s">
        <v>71</v>
      </c>
      <c r="AC130" s="36" t="s">
        <v>71</v>
      </c>
      <c r="AD130" s="36" t="s">
        <v>72</v>
      </c>
      <c r="AE130" s="36" t="s">
        <v>94</v>
      </c>
      <c r="AF130" s="36" t="s">
        <v>154</v>
      </c>
      <c r="AG130" s="36" t="s">
        <v>120</v>
      </c>
      <c r="AH130" t="str">
        <f>VLOOKUP($R130,武学奇术!$A:$ZZ,25,FALSE)</f>
        <v>剑</v>
      </c>
      <c r="AI130" s="20">
        <f>VLOOKUP($R130,武学奇术!$A:$ZZ,26,FALSE)</f>
        <v>2.496</v>
      </c>
      <c r="AJ130" s="21">
        <f>VLOOKUP($R130,武学奇术!$A:$ZZ,27,FALSE)*(1+IF(OR($AH130=$F$4,$AH130=$F$5),$B$22,0))</f>
        <v>0</v>
      </c>
      <c r="AK130" s="20">
        <f>VLOOKUP($R130,武学奇术!$A:$ZZ,28,FALSE)</f>
        <v>3.744</v>
      </c>
      <c r="AL130" s="21">
        <f>VLOOKUP($R130,武学奇术!$A:$ZZ,29,FALSE)*(1+IF(OR($AH130=$F$4,$AH130=$F$5),$B$22,0))</f>
        <v>0</v>
      </c>
      <c r="AM130" s="20" cm="1">
        <f t="array" ref="AM130">$G$3+IFERROR(VLOOKUP($AH130,$F$4:$G$7,2,FALSE),0)+VLOOKUP($R130,武学奇术!$A:$ZZ,2,FALSE)+SUM(_xlfn.XLOOKUP($S130:$AG130,增益!$A:$A,增益!$B:$B,0))</f>
        <v>1.4891</v>
      </c>
      <c r="AN130" s="20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1585.72</v>
      </c>
      <c r="AP130" cm="1">
        <f t="array" ref="AP130">$E$10*(1+$AN130)+VLOOKUP($R130,武学奇术!$A:$ZZ,4,FALSE)+SUM(_xlfn.XLOOKUP($S130:$AG130,增益!$A:$A,增益!$D:$D,0))-$I$2</f>
        <v>6696.76</v>
      </c>
      <c r="AQ130" s="29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0.4175</v>
      </c>
      <c r="AR130" s="29" cm="1">
        <f t="array" ref="AR130">$G$10+VLOOKUP($R130,武学奇术!$A:$ZZ,7,FALSE)+SUM(_xlfn.XLOOKUP(S130:AG130,增益!$A:$A,增益!$G:$G,0))</f>
        <v>0</v>
      </c>
      <c r="AS130" s="20" cm="1">
        <f t="array" ref="AS130">VLOOKUP($R130,武学奇术!$A:$ZZ,8,FALSE)+SUM(_xlfn.XLOOKUP(S130:AG130,增益!$A:$A,增益!$H:$H,0))</f>
        <v>0</v>
      </c>
      <c r="AT130">
        <f t="shared" si="52"/>
        <v>538</v>
      </c>
      <c r="AU130">
        <f t="shared" si="53"/>
        <v>1011</v>
      </c>
      <c r="AV130" s="29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0.155</v>
      </c>
      <c r="AW130" s="29" cm="1">
        <f t="array" ref="AW130">$G$11+VLOOKUP($R130,武学奇术!$A:$ZZ,10,FALSE)+SUM(_xlfn.XLOOKUP(S130:AG130,增益!$A:$A,增益!$J:$J,0))</f>
        <v>0.25</v>
      </c>
      <c r="AX130">
        <f t="shared" si="54"/>
        <v>0</v>
      </c>
      <c r="AY130">
        <f t="shared" si="55"/>
        <v>0</v>
      </c>
      <c r="AZ130" s="29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-0.14</v>
      </c>
      <c r="BA130" s="29" cm="1">
        <f t="array" ref="BA130">$G$12+VLOOKUP($R130,武学奇术!$A:$ZZ,12,FALSE)+SUM(_xlfn.XLOOKUP(S130:AG130,增益!$A:$A,增益!$L:$L,0))</f>
        <v>0</v>
      </c>
      <c r="BB130">
        <f t="shared" si="56"/>
        <v>0</v>
      </c>
      <c r="BC130">
        <f t="shared" si="57"/>
        <v>0</v>
      </c>
      <c r="BD130" s="29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-0.14</v>
      </c>
      <c r="BE130" s="29" cm="1">
        <f t="array" ref="BE130">$G$13+VLOOKUP($R130,武学奇术!$A:$ZZ,14,FALSE)+SUM(_xlfn.XLOOKUP(S130:AG130,增益!$A:$A,增益!$N:$N,0))</f>
        <v>0</v>
      </c>
      <c r="BF130">
        <f t="shared" si="58"/>
        <v>0</v>
      </c>
      <c r="BG130">
        <f t="shared" si="59"/>
        <v>0</v>
      </c>
      <c r="BH130" s="29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-0.14</v>
      </c>
      <c r="BI130" s="29" cm="1">
        <f t="array" ref="BI130">$G$14+VLOOKUP($R130,武学奇术!$A:$ZZ,16,FALSE)+SUM(_xlfn.XLOOKUP(S130:AG130,增益!$A:$A,增益!$P:$P,0))</f>
        <v>0</v>
      </c>
      <c r="BJ130" s="20">
        <f>MIN(IF(VLOOKUP($R130,武学奇术!$A:$ZZ,23,FALSE)=1,100%,$B$8),100%)</f>
        <v>0.8271</v>
      </c>
      <c r="BK130" s="20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</v>
      </c>
      <c r="BL130" s="20" cm="1">
        <f t="array" ref="BL130">1+$B$13+VLOOKUP($R130,武学奇术!$A:$ZZ,18,FALSE)+SUM(_xlfn.XLOOKUP(S130:AG130,增益!$A:$A,增益!$R:$R,0))</f>
        <v>1.5</v>
      </c>
      <c r="BM130" s="20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1</v>
      </c>
      <c r="BN130" s="20" cm="1">
        <f t="array" ref="BN130">1+$B$14+VLOOKUP($R130,武学奇术!$A:$ZZ,20,FALSE)+SUM(_xlfn.XLOOKUP(S130:AG130,增益!$A:$A,增益!$T:$T,0))</f>
        <v>1.782</v>
      </c>
      <c r="BO130" s="20">
        <f t="shared" si="60"/>
        <v>0</v>
      </c>
      <c r="BP130" s="20">
        <f t="shared" si="61"/>
        <v>0</v>
      </c>
      <c r="BQ130" s="20">
        <f>IF(VLOOKUP($R130,武学奇术!$A:$ZZ,22,FALSE)=1,0,(1-$BJ130))*(1-$BM130)</f>
        <v>0</v>
      </c>
      <c r="BR130" s="20" cm="1">
        <f t="array" ref="BR130">SUM(_xlfn.XLOOKUP(S130:AG130,增益!$A:$A,增益!$W:$W,0))+$I$5</f>
        <v>0.31</v>
      </c>
    </row>
    <row r="131" spans="11:70">
      <c r="K131" s="27">
        <f>$L131*VLOOKUP($R131,武学奇术!$A:$ZZ,31,FALSE)</f>
        <v>17261.1762564424</v>
      </c>
      <c r="L131" s="27">
        <f t="shared" si="51"/>
        <v>17261.1762564424</v>
      </c>
      <c r="M131" s="27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15224.1631355261</v>
      </c>
      <c r="N131" s="27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25177.6964892159</v>
      </c>
      <c r="O131" s="27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10149.4420903507</v>
      </c>
      <c r="P131" s="27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4582.46939342569</v>
      </c>
      <c r="Q131" s="35">
        <v>1</v>
      </c>
      <c r="R131" s="36" t="s">
        <v>107</v>
      </c>
      <c r="S131" s="36" t="s">
        <v>152</v>
      </c>
      <c r="T131" s="36" t="s">
        <v>93</v>
      </c>
      <c r="U131" s="36" t="s">
        <v>71</v>
      </c>
      <c r="V131" s="36" t="s">
        <v>71</v>
      </c>
      <c r="W131" s="36" t="s">
        <v>111</v>
      </c>
      <c r="X131" s="36" t="s">
        <v>158</v>
      </c>
      <c r="Y131" s="36" t="s">
        <v>153</v>
      </c>
      <c r="Z131" s="36" t="s">
        <v>82</v>
      </c>
      <c r="AA131" s="36" t="s">
        <v>71</v>
      </c>
      <c r="AB131" s="36" t="s">
        <v>71</v>
      </c>
      <c r="AC131" s="36" t="s">
        <v>71</v>
      </c>
      <c r="AD131" s="36" t="s">
        <v>72</v>
      </c>
      <c r="AE131" s="36" t="s">
        <v>94</v>
      </c>
      <c r="AF131" s="36" t="s">
        <v>154</v>
      </c>
      <c r="AG131" s="36" t="s">
        <v>120</v>
      </c>
      <c r="AH131" t="str">
        <f>VLOOKUP($R131,武学奇术!$A:$ZZ,25,FALSE)</f>
        <v>剑</v>
      </c>
      <c r="AI131" s="20">
        <f>VLOOKUP($R131,武学奇术!$A:$ZZ,26,FALSE)</f>
        <v>0.625</v>
      </c>
      <c r="AJ131" s="21">
        <f>VLOOKUP($R131,武学奇术!$A:$ZZ,27,FALSE)*(1+IF(OR($AH131=$F$4,$AH131=$F$5),$B$22,0))</f>
        <v>0</v>
      </c>
      <c r="AK131" s="20">
        <f>VLOOKUP($R131,武学奇术!$A:$ZZ,28,FALSE)</f>
        <v>0.9375</v>
      </c>
      <c r="AL131" s="21">
        <f>VLOOKUP($R131,武学奇术!$A:$ZZ,29,FALSE)*(1+IF(OR($AH131=$F$4,$AH131=$F$5),$B$22,0))</f>
        <v>0</v>
      </c>
      <c r="AM131" s="20" cm="1">
        <f t="array" ref="AM131">$G$3+IFERROR(VLOOKUP($AH131,$F$4:$G$7,2,FALSE),0)+VLOOKUP($R131,武学奇术!$A:$ZZ,2,FALSE)+SUM(_xlfn.XLOOKUP($S131:$AG131,增益!$A:$A,增益!$B:$B,0))</f>
        <v>0.7391</v>
      </c>
      <c r="AN131" s="20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1585.72</v>
      </c>
      <c r="AP131" cm="1">
        <f t="array" ref="AP131">$E$10*(1+$AN131)+VLOOKUP($R131,武学奇术!$A:$ZZ,4,FALSE)+SUM(_xlfn.XLOOKUP($S131:$AG131,增益!$A:$A,增益!$D:$D,0))-$I$2</f>
        <v>6696.76</v>
      </c>
      <c r="AQ131" s="29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0.3425</v>
      </c>
      <c r="AR131" s="29" cm="1">
        <f t="array" ref="AR131">$G$10+VLOOKUP($R131,武学奇术!$A:$ZZ,7,FALSE)+SUM(_xlfn.XLOOKUP(S131:AG131,增益!$A:$A,增益!$G:$G,0))</f>
        <v>0</v>
      </c>
      <c r="AS131" s="20" cm="1">
        <f t="array" ref="AS131">VLOOKUP($R131,武学奇术!$A:$ZZ,8,FALSE)+SUM(_xlfn.XLOOKUP(S131:AG131,增益!$A:$A,增益!$H:$H,0))</f>
        <v>0</v>
      </c>
      <c r="AT131">
        <f t="shared" si="52"/>
        <v>538</v>
      </c>
      <c r="AU131">
        <f t="shared" si="53"/>
        <v>1011</v>
      </c>
      <c r="AV131" s="29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0.08</v>
      </c>
      <c r="AW131" s="29" cm="1">
        <f t="array" ref="AW131">$G$11+VLOOKUP($R131,武学奇术!$A:$ZZ,10,FALSE)+SUM(_xlfn.XLOOKUP(S131:AG131,增益!$A:$A,增益!$J:$J,0))</f>
        <v>0.25</v>
      </c>
      <c r="AX131">
        <f t="shared" si="54"/>
        <v>0</v>
      </c>
      <c r="AY131">
        <f t="shared" si="55"/>
        <v>0</v>
      </c>
      <c r="AZ131" s="29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-0.14</v>
      </c>
      <c r="BA131" s="29" cm="1">
        <f t="array" ref="BA131">$G$12+VLOOKUP($R131,武学奇术!$A:$ZZ,12,FALSE)+SUM(_xlfn.XLOOKUP(S131:AG131,增益!$A:$A,增益!$L:$L,0))</f>
        <v>0</v>
      </c>
      <c r="BB131">
        <f t="shared" si="56"/>
        <v>0</v>
      </c>
      <c r="BC131">
        <f t="shared" si="57"/>
        <v>0</v>
      </c>
      <c r="BD131" s="29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-0.14</v>
      </c>
      <c r="BE131" s="29" cm="1">
        <f t="array" ref="BE131">$G$13+VLOOKUP($R131,武学奇术!$A:$ZZ,14,FALSE)+SUM(_xlfn.XLOOKUP(S131:AG131,增益!$A:$A,增益!$N:$N,0))</f>
        <v>0</v>
      </c>
      <c r="BF131">
        <f t="shared" si="58"/>
        <v>0</v>
      </c>
      <c r="BG131">
        <f t="shared" si="59"/>
        <v>0</v>
      </c>
      <c r="BH131" s="29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-0.14</v>
      </c>
      <c r="BI131" s="29" cm="1">
        <f t="array" ref="BI131">$G$14+VLOOKUP($R131,武学奇术!$A:$ZZ,16,FALSE)+SUM(_xlfn.XLOOKUP(S131:AG131,增益!$A:$A,增益!$P:$P,0))</f>
        <v>0</v>
      </c>
      <c r="BJ131" s="20">
        <f>MIN(IF(VLOOKUP($R131,武学奇术!$A:$ZZ,23,FALSE)=1,100%,$B$8),100%)</f>
        <v>0.8271</v>
      </c>
      <c r="BK131" s="20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0.2249</v>
      </c>
      <c r="BL131" s="20" cm="1">
        <f t="array" ref="BL131">1+$B$13+VLOOKUP($R131,武学奇术!$A:$ZZ,18,FALSE)+SUM(_xlfn.XLOOKUP(S131:AG131,增益!$A:$A,增益!$R:$R,0))</f>
        <v>1.5</v>
      </c>
      <c r="BM131" s="20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0.4459</v>
      </c>
      <c r="BN131" s="20" cm="1">
        <f t="array" ref="BN131">1+$B$14+VLOOKUP($R131,武学奇术!$A:$ZZ,20,FALSE)+SUM(_xlfn.XLOOKUP(S131:AG131,增益!$A:$A,增益!$T:$T,0))</f>
        <v>1.602</v>
      </c>
      <c r="BO131" s="20">
        <f t="shared" si="60"/>
        <v>0.18601479</v>
      </c>
      <c r="BP131" s="20">
        <f t="shared" si="61"/>
        <v>0.27228132</v>
      </c>
      <c r="BQ131" s="20">
        <f>IF(VLOOKUP($R131,武学奇术!$A:$ZZ,22,FALSE)=1,0,(1-$BJ131))*(1-$BM131)</f>
        <v>0.09580389</v>
      </c>
      <c r="BR131" s="20" cm="1">
        <f t="array" ref="BR131">SUM(_xlfn.XLOOKUP(S131:AG131,增益!$A:$A,增益!$W:$W,0))+$I$5</f>
        <v>0.31</v>
      </c>
    </row>
    <row r="132" spans="11:70">
      <c r="K132" s="27">
        <f>$L132*VLOOKUP($R132,武学奇术!$A:$ZZ,31,FALSE)</f>
        <v>11888.1949056747</v>
      </c>
      <c r="L132" s="27">
        <f t="shared" si="51"/>
        <v>19813.6581761244</v>
      </c>
      <c r="M132" s="27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18103.9207479519</v>
      </c>
      <c r="N132" s="27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29570.6403205197</v>
      </c>
      <c r="O132" s="27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12069.2804986346</v>
      </c>
      <c r="P132" s="27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5564.03818287245</v>
      </c>
      <c r="Q132" s="35">
        <v>4</v>
      </c>
      <c r="R132" s="36" t="s">
        <v>159</v>
      </c>
      <c r="S132" s="36" t="s">
        <v>71</v>
      </c>
      <c r="T132" s="36" t="s">
        <v>71</v>
      </c>
      <c r="U132" s="36" t="s">
        <v>160</v>
      </c>
      <c r="V132" s="36" t="s">
        <v>71</v>
      </c>
      <c r="W132" s="36" t="s">
        <v>71</v>
      </c>
      <c r="X132" s="36" t="s">
        <v>71</v>
      </c>
      <c r="Y132" s="36" t="s">
        <v>71</v>
      </c>
      <c r="Z132" s="36" t="s">
        <v>71</v>
      </c>
      <c r="AA132" s="36" t="s">
        <v>71</v>
      </c>
      <c r="AB132" s="36" t="s">
        <v>71</v>
      </c>
      <c r="AC132" s="36" t="s">
        <v>71</v>
      </c>
      <c r="AD132" s="36" t="s">
        <v>72</v>
      </c>
      <c r="AE132" s="36" t="s">
        <v>73</v>
      </c>
      <c r="AF132" s="36" t="s">
        <v>74</v>
      </c>
      <c r="AG132" s="36" t="s">
        <v>75</v>
      </c>
      <c r="AH132" t="str">
        <f>VLOOKUP($R132,武学奇术!$A:$ZZ,25,FALSE)</f>
        <v>单体奇术</v>
      </c>
      <c r="AI132" s="20">
        <f>VLOOKUP($R132,武学奇术!$A:$ZZ,26,FALSE)</f>
        <v>0.236</v>
      </c>
      <c r="AJ132" s="21">
        <f>VLOOKUP($R132,武学奇术!$A:$ZZ,27,FALSE)*(1+IF(OR($AH132=$F$4,$AH132=$F$5),$B$22,0))</f>
        <v>44</v>
      </c>
      <c r="AK132" s="20">
        <f>VLOOKUP($R132,武学奇术!$A:$ZZ,28,FALSE)</f>
        <v>0.354</v>
      </c>
      <c r="AL132" s="21">
        <f>VLOOKUP($R132,武学奇术!$A:$ZZ,29,FALSE)*(1+IF(OR($AH132=$F$4,$AH132=$F$5),$B$22,0))</f>
        <v>0</v>
      </c>
      <c r="AM132" s="20" cm="1">
        <f t="array" ref="AM132">$G$3+IFERROR(VLOOKUP($AH132,$F$4:$G$7,2,FALSE),0)+VLOOKUP($R132,武学奇术!$A:$ZZ,2,FALSE)+SUM(_xlfn.XLOOKUP($S132:$AG132,增益!$A:$A,增益!$B:$B,0))</f>
        <v>0.6615</v>
      </c>
      <c r="AN132" s="20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1554.72</v>
      </c>
      <c r="AP132" cm="1">
        <f t="array" ref="AP132">$E$10*(1+$AN132)+VLOOKUP($R132,武学奇术!$A:$ZZ,4,FALSE)+SUM(_xlfn.XLOOKUP($S132:$AG132,增益!$A:$A,增益!$D:$D,0))-$I$2</f>
        <v>6665.76</v>
      </c>
      <c r="AQ132" s="29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0.3025</v>
      </c>
      <c r="AR132" s="29" cm="1">
        <f t="array" ref="AR132">$G$10+VLOOKUP($R132,武学奇术!$A:$ZZ,7,FALSE)+SUM(_xlfn.XLOOKUP(S132:AG132,增益!$A:$A,增益!$G:$G,0))</f>
        <v>0</v>
      </c>
      <c r="AS132" s="20" cm="1">
        <f t="array" ref="AS132">VLOOKUP($R132,武学奇术!$A:$ZZ,8,FALSE)+SUM(_xlfn.XLOOKUP(S132:AG132,增益!$A:$A,增益!$H:$H,0))</f>
        <v>0</v>
      </c>
      <c r="AT132">
        <f t="shared" si="52"/>
        <v>538</v>
      </c>
      <c r="AU132">
        <f t="shared" si="53"/>
        <v>1011</v>
      </c>
      <c r="AV132" s="29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0</v>
      </c>
      <c r="AW132" s="29" cm="1">
        <f t="array" ref="AW132">$G$11+VLOOKUP($R132,武学奇术!$A:$ZZ,10,FALSE)+SUM(_xlfn.XLOOKUP(S132:AG132,增益!$A:$A,增益!$J:$J,0))</f>
        <v>0.15</v>
      </c>
      <c r="AX132">
        <f t="shared" si="54"/>
        <v>0</v>
      </c>
      <c r="AY132">
        <f t="shared" si="55"/>
        <v>0</v>
      </c>
      <c r="AZ132" s="29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29" cm="1">
        <f t="array" ref="BA132">$G$12+VLOOKUP($R132,武学奇术!$A:$ZZ,12,FALSE)+SUM(_xlfn.XLOOKUP(S132:AG132,增益!$A:$A,增益!$L:$L,0))</f>
        <v>0</v>
      </c>
      <c r="BB132">
        <f t="shared" si="56"/>
        <v>0</v>
      </c>
      <c r="BC132">
        <f t="shared" si="57"/>
        <v>0</v>
      </c>
      <c r="BD132" s="29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29" cm="1">
        <f t="array" ref="BE132">$G$13+VLOOKUP($R132,武学奇术!$A:$ZZ,14,FALSE)+SUM(_xlfn.XLOOKUP(S132:AG132,增益!$A:$A,增益!$N:$N,0))</f>
        <v>0</v>
      </c>
      <c r="BF132">
        <f t="shared" si="58"/>
        <v>0</v>
      </c>
      <c r="BG132">
        <f t="shared" si="59"/>
        <v>0</v>
      </c>
      <c r="BH132" s="29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29" cm="1">
        <f t="array" ref="BI132">$G$14+VLOOKUP($R132,武学奇术!$A:$ZZ,16,FALSE)+SUM(_xlfn.XLOOKUP(S132:AG132,增益!$A:$A,增益!$P:$P,0))</f>
        <v>0</v>
      </c>
      <c r="BJ132" s="20">
        <f>MIN(IF(VLOOKUP($R132,武学奇术!$A:$ZZ,23,FALSE)=1,100%,$B$8),100%)</f>
        <v>0.8271</v>
      </c>
      <c r="BK132" s="20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0.2249</v>
      </c>
      <c r="BL132" s="20" cm="1">
        <f t="array" ref="BL132">1+$B$13+VLOOKUP($R132,武学奇术!$A:$ZZ,18,FALSE)+SUM(_xlfn.XLOOKUP(S132:AG132,增益!$A:$A,增益!$R:$R,0))</f>
        <v>1.5</v>
      </c>
      <c r="BM132" s="20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0.4159</v>
      </c>
      <c r="BN132" s="20" cm="1">
        <f t="array" ref="BN132">1+$B$14+VLOOKUP($R132,武学奇术!$A:$ZZ,20,FALSE)+SUM(_xlfn.XLOOKUP(S132:AG132,增益!$A:$A,增益!$T:$T,0))</f>
        <v>1.592</v>
      </c>
      <c r="BO132" s="20">
        <f t="shared" si="60"/>
        <v>0.18601479</v>
      </c>
      <c r="BP132" s="20">
        <f t="shared" si="61"/>
        <v>0.29709432</v>
      </c>
      <c r="BQ132" s="20">
        <f>IF(VLOOKUP($R132,武学奇术!$A:$ZZ,22,FALSE)=1,0,(1-$BJ132))*(1-$BM132)</f>
        <v>0.10099089</v>
      </c>
      <c r="BR132" s="20" cm="1">
        <f t="array" ref="BR132">SUM(_xlfn.XLOOKUP(S132:AG132,增益!$A:$A,增益!$W:$W,0))+$I$5</f>
        <v>0.11</v>
      </c>
    </row>
    <row r="133" spans="11:70">
      <c r="K133" s="27">
        <f>$L133*VLOOKUP($R133,武学奇术!$A:$ZZ,31,FALSE)</f>
        <v>12252.4887491245</v>
      </c>
      <c r="L133" s="27">
        <f t="shared" si="51"/>
        <v>20420.8145818742</v>
      </c>
      <c r="M133" s="27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18606.5617369361</v>
      </c>
      <c r="N133" s="27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30519.2073195121</v>
      </c>
      <c r="O133" s="27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12404.3744912908</v>
      </c>
      <c r="P133" s="27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5758.05777189984</v>
      </c>
      <c r="Q133" s="35">
        <v>4</v>
      </c>
      <c r="R133" s="36" t="s">
        <v>159</v>
      </c>
      <c r="S133" s="36" t="s">
        <v>71</v>
      </c>
      <c r="T133" s="36" t="s">
        <v>71</v>
      </c>
      <c r="U133" s="36" t="s">
        <v>160</v>
      </c>
      <c r="V133" s="36" t="s">
        <v>71</v>
      </c>
      <c r="W133" s="36" t="s">
        <v>71</v>
      </c>
      <c r="X133" s="36" t="s">
        <v>71</v>
      </c>
      <c r="Y133" s="36" t="s">
        <v>71</v>
      </c>
      <c r="Z133" s="36" t="s">
        <v>82</v>
      </c>
      <c r="AA133" s="36" t="s">
        <v>71</v>
      </c>
      <c r="AB133" s="36" t="s">
        <v>71</v>
      </c>
      <c r="AC133" s="36" t="s">
        <v>71</v>
      </c>
      <c r="AD133" s="36" t="s">
        <v>72</v>
      </c>
      <c r="AE133" s="36" t="s">
        <v>73</v>
      </c>
      <c r="AF133" s="36" t="s">
        <v>83</v>
      </c>
      <c r="AG133" s="36" t="s">
        <v>84</v>
      </c>
      <c r="AH133" t="str">
        <f>VLOOKUP($R133,武学奇术!$A:$ZZ,25,FALSE)</f>
        <v>单体奇术</v>
      </c>
      <c r="AI133" s="20">
        <f>VLOOKUP($R133,武学奇术!$A:$ZZ,26,FALSE)</f>
        <v>0.236</v>
      </c>
      <c r="AJ133" s="21">
        <f>VLOOKUP($R133,武学奇术!$A:$ZZ,27,FALSE)*(1+IF(OR($AH133=$F$4,$AH133=$F$5),$B$22,0))</f>
        <v>44</v>
      </c>
      <c r="AK133" s="20">
        <f>VLOOKUP($R133,武学奇术!$A:$ZZ,28,FALSE)</f>
        <v>0.354</v>
      </c>
      <c r="AL133" s="21">
        <f>VLOOKUP($R133,武学奇术!$A:$ZZ,29,FALSE)*(1+IF(OR($AH133=$F$4,$AH133=$F$5),$B$22,0))</f>
        <v>0</v>
      </c>
      <c r="AM133" s="20" cm="1">
        <f t="array" ref="AM133">$G$3+IFERROR(VLOOKUP($AH133,$F$4:$G$7,2,FALSE),0)+VLOOKUP($R133,武学奇术!$A:$ZZ,2,FALSE)+SUM(_xlfn.XLOOKUP($S133:$AG133,增益!$A:$A,增益!$B:$B,0))</f>
        <v>0.6715</v>
      </c>
      <c r="AN133" s="20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1554.72</v>
      </c>
      <c r="AP133" cm="1">
        <f t="array" ref="AP133">$E$10*(1+$AN133)+VLOOKUP($R133,武学奇术!$A:$ZZ,4,FALSE)+SUM(_xlfn.XLOOKUP($S133:$AG133,增益!$A:$A,增益!$D:$D,0))-$I$2</f>
        <v>6665.76</v>
      </c>
      <c r="AQ133" s="29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0.3125</v>
      </c>
      <c r="AR133" s="29" cm="1">
        <f t="array" ref="AR133">$G$10+VLOOKUP($R133,武学奇术!$A:$ZZ,7,FALSE)+SUM(_xlfn.XLOOKUP(S133:AG133,增益!$A:$A,增益!$G:$G,0))</f>
        <v>0</v>
      </c>
      <c r="AS133" s="20" cm="1">
        <f t="array" ref="AS133">VLOOKUP($R133,武学奇术!$A:$ZZ,8,FALSE)+SUM(_xlfn.XLOOKUP(S133:AG133,增益!$A:$A,增益!$H:$H,0))</f>
        <v>0</v>
      </c>
      <c r="AT133">
        <f t="shared" si="52"/>
        <v>538</v>
      </c>
      <c r="AU133">
        <f t="shared" si="53"/>
        <v>1011</v>
      </c>
      <c r="AV133" s="29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0.08</v>
      </c>
      <c r="AW133" s="29" cm="1">
        <f t="array" ref="AW133">$G$11+VLOOKUP($R133,武学奇术!$A:$ZZ,10,FALSE)+SUM(_xlfn.XLOOKUP(S133:AG133,增益!$A:$A,增益!$J:$J,0))</f>
        <v>0.15</v>
      </c>
      <c r="AX133">
        <f t="shared" si="54"/>
        <v>0</v>
      </c>
      <c r="AY133">
        <f t="shared" si="55"/>
        <v>0</v>
      </c>
      <c r="AZ133" s="29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-0.14</v>
      </c>
      <c r="BA133" s="29" cm="1">
        <f t="array" ref="BA133">$G$12+VLOOKUP($R133,武学奇术!$A:$ZZ,12,FALSE)+SUM(_xlfn.XLOOKUP(S133:AG133,增益!$A:$A,增益!$L:$L,0))</f>
        <v>0</v>
      </c>
      <c r="BB133">
        <f t="shared" si="56"/>
        <v>0</v>
      </c>
      <c r="BC133">
        <f t="shared" si="57"/>
        <v>0</v>
      </c>
      <c r="BD133" s="29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-0.14</v>
      </c>
      <c r="BE133" s="29" cm="1">
        <f t="array" ref="BE133">$G$13+VLOOKUP($R133,武学奇术!$A:$ZZ,14,FALSE)+SUM(_xlfn.XLOOKUP(S133:AG133,增益!$A:$A,增益!$N:$N,0))</f>
        <v>0</v>
      </c>
      <c r="BF133">
        <f t="shared" si="58"/>
        <v>0</v>
      </c>
      <c r="BG133">
        <f t="shared" si="59"/>
        <v>0</v>
      </c>
      <c r="BH133" s="29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-0.14</v>
      </c>
      <c r="BI133" s="29" cm="1">
        <f t="array" ref="BI133">$G$14+VLOOKUP($R133,武学奇术!$A:$ZZ,16,FALSE)+SUM(_xlfn.XLOOKUP(S133:AG133,增益!$A:$A,增益!$P:$P,0))</f>
        <v>0</v>
      </c>
      <c r="BJ133" s="20">
        <f>MIN(IF(VLOOKUP($R133,武学奇术!$A:$ZZ,23,FALSE)=1,100%,$B$8),100%)</f>
        <v>0.8271</v>
      </c>
      <c r="BK133" s="20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0.2249</v>
      </c>
      <c r="BL133" s="20" cm="1">
        <f t="array" ref="BL133">1+$B$13+VLOOKUP($R133,武学奇术!$A:$ZZ,18,FALSE)+SUM(_xlfn.XLOOKUP(S133:AG133,增益!$A:$A,增益!$R:$R,0))</f>
        <v>1.5</v>
      </c>
      <c r="BM133" s="20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0.4159</v>
      </c>
      <c r="BN133" s="20" cm="1">
        <f t="array" ref="BN133">1+$B$14+VLOOKUP($R133,武学奇术!$A:$ZZ,20,FALSE)+SUM(_xlfn.XLOOKUP(S133:AG133,增益!$A:$A,增益!$T:$T,0))</f>
        <v>1.602</v>
      </c>
      <c r="BO133" s="20">
        <f t="shared" si="60"/>
        <v>0.18601479</v>
      </c>
      <c r="BP133" s="20">
        <f t="shared" si="61"/>
        <v>0.29709432</v>
      </c>
      <c r="BQ133" s="20">
        <f>IF(VLOOKUP($R133,武学奇术!$A:$ZZ,22,FALSE)=1,0,(1-$BJ133))*(1-$BM133)</f>
        <v>0.10099089</v>
      </c>
      <c r="BR133" s="20" cm="1">
        <f t="array" ref="BR133">SUM(_xlfn.XLOOKUP(S133:AG133,增益!$A:$A,增益!$W:$W,0))+$I$5</f>
        <v>0.11</v>
      </c>
    </row>
    <row r="134" spans="11:70">
      <c r="K134" s="27">
        <f>$L134*VLOOKUP($R134,武学奇术!$A:$ZZ,31,FALSE)</f>
        <v>6938.60227065198</v>
      </c>
      <c r="L134" s="27">
        <f t="shared" ref="L134:L165" si="62">($M134*$BO134+$N134*$BM134+$O134*$BP134+$P134*$BQ134)</f>
        <v>11564.3371177533</v>
      </c>
      <c r="M134" s="27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10535.6368167356</v>
      </c>
      <c r="N134" s="27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17284.9625867234</v>
      </c>
      <c r="O134" s="27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7023.75787782373</v>
      </c>
      <c r="P134" s="27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3257.90115719338</v>
      </c>
      <c r="Q134" s="35">
        <v>2</v>
      </c>
      <c r="R134" s="36" t="s">
        <v>159</v>
      </c>
      <c r="S134" s="36" t="s">
        <v>71</v>
      </c>
      <c r="T134" s="36" t="s">
        <v>71</v>
      </c>
      <c r="U134" s="36" t="s">
        <v>161</v>
      </c>
      <c r="V134" s="36" t="s">
        <v>71</v>
      </c>
      <c r="W134" s="36" t="s">
        <v>71</v>
      </c>
      <c r="X134" s="36" t="s">
        <v>71</v>
      </c>
      <c r="Y134" s="36" t="s">
        <v>71</v>
      </c>
      <c r="Z134" s="36" t="s">
        <v>82</v>
      </c>
      <c r="AA134" s="36" t="s">
        <v>71</v>
      </c>
      <c r="AB134" s="36" t="s">
        <v>71</v>
      </c>
      <c r="AC134" s="36" t="s">
        <v>71</v>
      </c>
      <c r="AD134" s="36" t="s">
        <v>72</v>
      </c>
      <c r="AE134" s="36" t="s">
        <v>73</v>
      </c>
      <c r="AF134" s="36" t="s">
        <v>83</v>
      </c>
      <c r="AG134" s="36" t="s">
        <v>89</v>
      </c>
      <c r="AH134" t="str">
        <f>VLOOKUP($R134,武学奇术!$A:$ZZ,25,FALSE)</f>
        <v>单体奇术</v>
      </c>
      <c r="AI134" s="20">
        <f>VLOOKUP($R134,武学奇术!$A:$ZZ,26,FALSE)</f>
        <v>0.236</v>
      </c>
      <c r="AJ134" s="21">
        <f>VLOOKUP($R134,武学奇术!$A:$ZZ,27,FALSE)*(1+IF(OR($AH134=$F$4,$AH134=$F$5),$B$22,0))</f>
        <v>44</v>
      </c>
      <c r="AK134" s="20">
        <f>VLOOKUP($R134,武学奇术!$A:$ZZ,28,FALSE)</f>
        <v>0.354</v>
      </c>
      <c r="AL134" s="21">
        <f>VLOOKUP($R134,武学奇术!$A:$ZZ,29,FALSE)*(1+IF(OR($AH134=$F$4,$AH134=$F$5),$B$22,0))</f>
        <v>0</v>
      </c>
      <c r="AM134" s="20" cm="1">
        <f t="array" ref="AM134">$G$3+IFERROR(VLOOKUP($AH134,$F$4:$G$7,2,FALSE),0)+VLOOKUP($R134,武学奇术!$A:$ZZ,2,FALSE)+SUM(_xlfn.XLOOKUP($S134:$AG134,增益!$A:$A,增益!$B:$B,0))</f>
        <v>0.8815</v>
      </c>
      <c r="AN134" s="20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1554.72</v>
      </c>
      <c r="AP134" cm="1">
        <f t="array" ref="AP134">$E$10*(1+$AN134)+VLOOKUP($R134,武学奇术!$A:$ZZ,4,FALSE)+SUM(_xlfn.XLOOKUP($S134:$AG134,增益!$A:$A,增益!$D:$D,0))-$I$2</f>
        <v>6665.76</v>
      </c>
      <c r="AQ134" s="29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0.3225</v>
      </c>
      <c r="AR134" s="29" cm="1">
        <f t="array" ref="AR134">$G$10+VLOOKUP($R134,武学奇术!$A:$ZZ,7,FALSE)+SUM(_xlfn.XLOOKUP(S134:AG134,增益!$A:$A,增益!$G:$G,0))</f>
        <v>0</v>
      </c>
      <c r="AS134" s="20" cm="1">
        <f t="array" ref="AS134">VLOOKUP($R134,武学奇术!$A:$ZZ,8,FALSE)+SUM(_xlfn.XLOOKUP(S134:AG134,增益!$A:$A,增益!$H:$H,0))</f>
        <v>0</v>
      </c>
      <c r="AT134">
        <f t="shared" ref="AT134:AT169" si="63">$D$11*(1+$AS134)</f>
        <v>538</v>
      </c>
      <c r="AU134">
        <f t="shared" ref="AU134:AU169" si="64">$E$11*(1+$AS134)</f>
        <v>1011</v>
      </c>
      <c r="AV134" s="29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0.08</v>
      </c>
      <c r="AW134" s="29" cm="1">
        <f t="array" ref="AW134">$G$11+VLOOKUP($R134,武学奇术!$A:$ZZ,10,FALSE)+SUM(_xlfn.XLOOKUP(S134:AG134,增益!$A:$A,增益!$J:$J,0))</f>
        <v>0.15</v>
      </c>
      <c r="AX134">
        <f t="shared" ref="AX134:AX169" si="65">$D$12*(1+$AS134)</f>
        <v>0</v>
      </c>
      <c r="AY134">
        <f t="shared" ref="AY134:AY169" si="66">$E$12*(1+$AS134)</f>
        <v>0</v>
      </c>
      <c r="AZ134" s="29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-0.14</v>
      </c>
      <c r="BA134" s="29" cm="1">
        <f t="array" ref="BA134">$G$12+VLOOKUP($R134,武学奇术!$A:$ZZ,12,FALSE)+SUM(_xlfn.XLOOKUP(S134:AG134,增益!$A:$A,增益!$L:$L,0))</f>
        <v>0</v>
      </c>
      <c r="BB134">
        <f t="shared" ref="BB134:BB169" si="67">$D$13*(1+$AS134)</f>
        <v>0</v>
      </c>
      <c r="BC134">
        <f t="shared" ref="BC134:BC169" si="68">$E$13*(1+$AS134)</f>
        <v>0</v>
      </c>
      <c r="BD134" s="29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-0.14</v>
      </c>
      <c r="BE134" s="29" cm="1">
        <f t="array" ref="BE134">$G$13+VLOOKUP($R134,武学奇术!$A:$ZZ,14,FALSE)+SUM(_xlfn.XLOOKUP(S134:AG134,增益!$A:$A,增益!$N:$N,0))</f>
        <v>0</v>
      </c>
      <c r="BF134">
        <f t="shared" ref="BF134:BF169" si="69">$D$14*(1+$AS134)</f>
        <v>0</v>
      </c>
      <c r="BG134">
        <f t="shared" ref="BG134:BG169" si="70">$E$14*(1+$AS134)</f>
        <v>0</v>
      </c>
      <c r="BH134" s="29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-0.14</v>
      </c>
      <c r="BI134" s="29" cm="1">
        <f t="array" ref="BI134">$G$14+VLOOKUP($R134,武学奇术!$A:$ZZ,16,FALSE)+SUM(_xlfn.XLOOKUP(S134:AG134,增益!$A:$A,增益!$P:$P,0))</f>
        <v>0</v>
      </c>
      <c r="BJ134" s="20">
        <f>MIN(IF(VLOOKUP($R134,武学奇术!$A:$ZZ,23,FALSE)=1,100%,$B$8),100%)</f>
        <v>0.8271</v>
      </c>
      <c r="BK134" s="20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0.2249</v>
      </c>
      <c r="BL134" s="20" cm="1">
        <f t="array" ref="BL134">1+$B$13+VLOOKUP($R134,武学奇术!$A:$ZZ,18,FALSE)+SUM(_xlfn.XLOOKUP(S134:AG134,增益!$A:$A,增益!$R:$R,0))</f>
        <v>1.5</v>
      </c>
      <c r="BM134" s="20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0.4159</v>
      </c>
      <c r="BN134" s="20" cm="1">
        <f t="array" ref="BN134">1+$B$14+VLOOKUP($R134,武学奇术!$A:$ZZ,20,FALSE)+SUM(_xlfn.XLOOKUP(S134:AG134,增益!$A:$A,增益!$T:$T,0))</f>
        <v>1.602</v>
      </c>
      <c r="BO134" s="20">
        <f t="shared" ref="BO134:BO169" si="71">MIN((1-BM134)*BJ134,BJ134*BK134)</f>
        <v>0.18601479</v>
      </c>
      <c r="BP134" s="20">
        <f t="shared" ref="BP134:BP169" si="72">1-BM134-BO134-BQ134</f>
        <v>0.29709432</v>
      </c>
      <c r="BQ134" s="20">
        <f>IF(VLOOKUP($R134,武学奇术!$A:$ZZ,22,FALSE)=1,0,(1-$BJ134))*(1-$BM134)</f>
        <v>0.10099089</v>
      </c>
      <c r="BR134" s="20" cm="1">
        <f t="array" ref="BR134">SUM(_xlfn.XLOOKUP(S134:AG134,增益!$A:$A,增益!$W:$W,0))+$I$5</f>
        <v>0.11</v>
      </c>
    </row>
    <row r="135" spans="11:70">
      <c r="K135" s="27">
        <f>$L135*VLOOKUP($R135,武学奇术!$A:$ZZ,31,FALSE)</f>
        <v>9492.45299323067</v>
      </c>
      <c r="L135" s="27">
        <f t="shared" si="62"/>
        <v>15820.7549887178</v>
      </c>
      <c r="M135" s="27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13419.427919908</v>
      </c>
      <c r="N135" s="27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23527.8857780782</v>
      </c>
      <c r="O135" s="27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8946.28527993865</v>
      </c>
      <c r="P135" s="27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4149.64662408394</v>
      </c>
      <c r="Q135" s="35">
        <v>2</v>
      </c>
      <c r="R135" s="36" t="s">
        <v>159</v>
      </c>
      <c r="S135" s="36" t="s">
        <v>71</v>
      </c>
      <c r="T135" s="36" t="s">
        <v>99</v>
      </c>
      <c r="U135" s="36" t="s">
        <v>100</v>
      </c>
      <c r="V135" s="36" t="s">
        <v>71</v>
      </c>
      <c r="W135" s="36" t="s">
        <v>71</v>
      </c>
      <c r="X135" s="36" t="s">
        <v>71</v>
      </c>
      <c r="Y135" s="36" t="s">
        <v>71</v>
      </c>
      <c r="Z135" s="36" t="s">
        <v>82</v>
      </c>
      <c r="AA135" s="36" t="s">
        <v>71</v>
      </c>
      <c r="AB135" s="36" t="s">
        <v>71</v>
      </c>
      <c r="AC135" s="36" t="s">
        <v>71</v>
      </c>
      <c r="AD135" s="36" t="s">
        <v>72</v>
      </c>
      <c r="AE135" s="36" t="s">
        <v>94</v>
      </c>
      <c r="AF135" s="36" t="s">
        <v>95</v>
      </c>
      <c r="AG135" s="36" t="s">
        <v>89</v>
      </c>
      <c r="AH135" t="str">
        <f>VLOOKUP($R135,武学奇术!$A:$ZZ,25,FALSE)</f>
        <v>单体奇术</v>
      </c>
      <c r="AI135" s="20">
        <f>VLOOKUP($R135,武学奇术!$A:$ZZ,26,FALSE)</f>
        <v>0.236</v>
      </c>
      <c r="AJ135" s="21">
        <f>VLOOKUP($R135,武学奇术!$A:$ZZ,27,FALSE)*(1+IF(OR($AH135=$F$4,$AH135=$F$5),$B$22,0))</f>
        <v>44</v>
      </c>
      <c r="AK135" s="20">
        <f>VLOOKUP($R135,武学奇术!$A:$ZZ,28,FALSE)</f>
        <v>0.354</v>
      </c>
      <c r="AL135" s="21">
        <f>VLOOKUP($R135,武学奇术!$A:$ZZ,29,FALSE)*(1+IF(OR($AH135=$F$4,$AH135=$F$5),$B$22,0))</f>
        <v>0</v>
      </c>
      <c r="AM135" s="20" cm="1">
        <f t="array" ref="AM135">$G$3+IFERROR(VLOOKUP($AH135,$F$4:$G$7,2,FALSE),0)+VLOOKUP($R135,武学奇术!$A:$ZZ,2,FALSE)+SUM(_xlfn.XLOOKUP($S135:$AG135,增益!$A:$A,增益!$B:$B,0))</f>
        <v>1.3965</v>
      </c>
      <c r="AN135" s="20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1554.72</v>
      </c>
      <c r="AP135" cm="1">
        <f t="array" ref="AP135">$E$10*(1+$AN135)+VLOOKUP($R135,武学奇术!$A:$ZZ,4,FALSE)+SUM(_xlfn.XLOOKUP($S135:$AG135,增益!$A:$A,增益!$D:$D,0))-$I$2</f>
        <v>6665.76</v>
      </c>
      <c r="AQ135" s="29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0.3225</v>
      </c>
      <c r="AR135" s="29" cm="1">
        <f t="array" ref="AR135">$G$10+VLOOKUP($R135,武学奇术!$A:$ZZ,7,FALSE)+SUM(_xlfn.XLOOKUP(S135:AG135,增益!$A:$A,增益!$G:$G,0))</f>
        <v>0</v>
      </c>
      <c r="AS135" s="20" cm="1">
        <f t="array" ref="AS135">VLOOKUP($R135,武学奇术!$A:$ZZ,8,FALSE)+SUM(_xlfn.XLOOKUP(S135:AG135,增益!$A:$A,增益!$H:$H,0))</f>
        <v>0</v>
      </c>
      <c r="AT135">
        <f t="shared" si="63"/>
        <v>538</v>
      </c>
      <c r="AU135">
        <f t="shared" si="64"/>
        <v>1011</v>
      </c>
      <c r="AV135" s="29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0.08</v>
      </c>
      <c r="AW135" s="29" cm="1">
        <f t="array" ref="AW135">$G$11+VLOOKUP($R135,武学奇术!$A:$ZZ,10,FALSE)+SUM(_xlfn.XLOOKUP(S135:AG135,增益!$A:$A,增益!$J:$J,0))</f>
        <v>0.15</v>
      </c>
      <c r="AX135">
        <f t="shared" si="65"/>
        <v>0</v>
      </c>
      <c r="AY135">
        <f t="shared" si="66"/>
        <v>0</v>
      </c>
      <c r="AZ135" s="29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-0.14</v>
      </c>
      <c r="BA135" s="29" cm="1">
        <f t="array" ref="BA135">$G$12+VLOOKUP($R135,武学奇术!$A:$ZZ,12,FALSE)+SUM(_xlfn.XLOOKUP(S135:AG135,增益!$A:$A,增益!$L:$L,0))</f>
        <v>0</v>
      </c>
      <c r="BB135">
        <f t="shared" si="67"/>
        <v>0</v>
      </c>
      <c r="BC135">
        <f t="shared" si="68"/>
        <v>0</v>
      </c>
      <c r="BD135" s="29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-0.14</v>
      </c>
      <c r="BE135" s="29" cm="1">
        <f t="array" ref="BE135">$G$13+VLOOKUP($R135,武学奇术!$A:$ZZ,14,FALSE)+SUM(_xlfn.XLOOKUP(S135:AG135,增益!$A:$A,增益!$N:$N,0))</f>
        <v>0</v>
      </c>
      <c r="BF135">
        <f t="shared" si="69"/>
        <v>0</v>
      </c>
      <c r="BG135">
        <f t="shared" si="70"/>
        <v>0</v>
      </c>
      <c r="BH135" s="29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-0.14</v>
      </c>
      <c r="BI135" s="29" cm="1">
        <f t="array" ref="BI135">$G$14+VLOOKUP($R135,武学奇术!$A:$ZZ,16,FALSE)+SUM(_xlfn.XLOOKUP(S135:AG135,增益!$A:$A,增益!$P:$P,0))</f>
        <v>0</v>
      </c>
      <c r="BJ135" s="20">
        <f>MIN(IF(VLOOKUP($R135,武学奇术!$A:$ZZ,23,FALSE)=1,100%,$B$8),100%)</f>
        <v>0.8271</v>
      </c>
      <c r="BK135" s="20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0.2249</v>
      </c>
      <c r="BL135" s="20" cm="1">
        <f t="array" ref="BL135">1+$B$13+VLOOKUP($R135,武学奇术!$A:$ZZ,18,FALSE)+SUM(_xlfn.XLOOKUP(S135:AG135,增益!$A:$A,增益!$R:$R,0))</f>
        <v>1.5</v>
      </c>
      <c r="BM135" s="20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0.4459</v>
      </c>
      <c r="BN135" s="20" cm="1">
        <f t="array" ref="BN135">1+$B$14+VLOOKUP($R135,武学奇术!$A:$ZZ,20,FALSE)+SUM(_xlfn.XLOOKUP(S135:AG135,增益!$A:$A,增益!$T:$T,0))</f>
        <v>1.712</v>
      </c>
      <c r="BO135" s="20">
        <f t="shared" si="71"/>
        <v>0.18601479</v>
      </c>
      <c r="BP135" s="20">
        <f t="shared" si="72"/>
        <v>0.27228132</v>
      </c>
      <c r="BQ135" s="20">
        <f>IF(VLOOKUP($R135,武学奇术!$A:$ZZ,22,FALSE)=1,0,(1-$BJ135))*(1-$BM135)</f>
        <v>0.09580389</v>
      </c>
      <c r="BR135" s="20" cm="1">
        <f t="array" ref="BR135">SUM(_xlfn.XLOOKUP(S135:AG135,增益!$A:$A,增益!$W:$W,0))+$I$5</f>
        <v>0.11</v>
      </c>
    </row>
    <row r="136" spans="11:70">
      <c r="K136" s="27">
        <f>$L136*VLOOKUP($R136,武学奇术!$A:$ZZ,31,FALSE)</f>
        <v>9590.81471356249</v>
      </c>
      <c r="L136" s="27">
        <f t="shared" si="62"/>
        <v>15984.6911892708</v>
      </c>
      <c r="M136" s="27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13556.6835574294</v>
      </c>
      <c r="N136" s="27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23773.9674292046</v>
      </c>
      <c r="O136" s="27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9037.78903828629</v>
      </c>
      <c r="P136" s="27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4188.91485857923</v>
      </c>
      <c r="Q136" s="35">
        <v>2</v>
      </c>
      <c r="R136" s="36" t="s">
        <v>159</v>
      </c>
      <c r="S136" s="36" t="s">
        <v>71</v>
      </c>
      <c r="T136" s="36" t="s">
        <v>99</v>
      </c>
      <c r="U136" s="36" t="s">
        <v>100</v>
      </c>
      <c r="V136" s="36" t="s">
        <v>71</v>
      </c>
      <c r="W136" s="36" t="s">
        <v>71</v>
      </c>
      <c r="X136" s="36" t="s">
        <v>71</v>
      </c>
      <c r="Y136" s="36" t="s">
        <v>71</v>
      </c>
      <c r="Z136" s="36" t="s">
        <v>82</v>
      </c>
      <c r="AA136" s="36" t="s">
        <v>71</v>
      </c>
      <c r="AB136" s="36" t="s">
        <v>71</v>
      </c>
      <c r="AC136" s="36" t="s">
        <v>71</v>
      </c>
      <c r="AD136" s="36" t="s">
        <v>72</v>
      </c>
      <c r="AE136" s="36" t="s">
        <v>94</v>
      </c>
      <c r="AF136" s="36" t="s">
        <v>95</v>
      </c>
      <c r="AG136" s="36" t="s">
        <v>112</v>
      </c>
      <c r="AH136" t="str">
        <f>VLOOKUP($R136,武学奇术!$A:$ZZ,25,FALSE)</f>
        <v>单体奇术</v>
      </c>
      <c r="AI136" s="20">
        <f>VLOOKUP($R136,武学奇术!$A:$ZZ,26,FALSE)</f>
        <v>0.236</v>
      </c>
      <c r="AJ136" s="21">
        <f>VLOOKUP($R136,武学奇术!$A:$ZZ,27,FALSE)*(1+IF(OR($AH136=$F$4,$AH136=$F$5),$B$22,0))</f>
        <v>44</v>
      </c>
      <c r="AK136" s="20">
        <f>VLOOKUP($R136,武学奇术!$A:$ZZ,28,FALSE)</f>
        <v>0.354</v>
      </c>
      <c r="AL136" s="21">
        <f>VLOOKUP($R136,武学奇术!$A:$ZZ,29,FALSE)*(1+IF(OR($AH136=$F$4,$AH136=$F$5),$B$22,0))</f>
        <v>0</v>
      </c>
      <c r="AM136" s="20" cm="1">
        <f t="array" ref="AM136">$G$3+IFERROR(VLOOKUP($AH136,$F$4:$G$7,2,FALSE),0)+VLOOKUP($R136,武学奇术!$A:$ZZ,2,FALSE)+SUM(_xlfn.XLOOKUP($S136:$AG136,增益!$A:$A,增益!$B:$B,0))</f>
        <v>1.4065</v>
      </c>
      <c r="AN136" s="20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1554.72</v>
      </c>
      <c r="AP136" cm="1">
        <f t="array" ref="AP136">$E$10*(1+$AN136)+VLOOKUP($R136,武学奇术!$A:$ZZ,4,FALSE)+SUM(_xlfn.XLOOKUP($S136:$AG136,增益!$A:$A,增益!$D:$D,0))-$I$2</f>
        <v>6665.76</v>
      </c>
      <c r="AQ136" s="29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0.3325</v>
      </c>
      <c r="AR136" s="29" cm="1">
        <f t="array" ref="AR136">$G$10+VLOOKUP($R136,武学奇术!$A:$ZZ,7,FALSE)+SUM(_xlfn.XLOOKUP(S136:AG136,增益!$A:$A,增益!$G:$G,0))</f>
        <v>0</v>
      </c>
      <c r="AS136" s="20" cm="1">
        <f t="array" ref="AS136">VLOOKUP($R136,武学奇术!$A:$ZZ,8,FALSE)+SUM(_xlfn.XLOOKUP(S136:AG136,增益!$A:$A,增益!$H:$H,0))</f>
        <v>0</v>
      </c>
      <c r="AT136">
        <f t="shared" si="63"/>
        <v>538</v>
      </c>
      <c r="AU136">
        <f t="shared" si="64"/>
        <v>1011</v>
      </c>
      <c r="AV136" s="29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0.08</v>
      </c>
      <c r="AW136" s="29" cm="1">
        <f t="array" ref="AW136">$G$11+VLOOKUP($R136,武学奇术!$A:$ZZ,10,FALSE)+SUM(_xlfn.XLOOKUP(S136:AG136,增益!$A:$A,增益!$J:$J,0))</f>
        <v>0.15</v>
      </c>
      <c r="AX136">
        <f t="shared" si="65"/>
        <v>0</v>
      </c>
      <c r="AY136">
        <f t="shared" si="66"/>
        <v>0</v>
      </c>
      <c r="AZ136" s="29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-0.14</v>
      </c>
      <c r="BA136" s="29" cm="1">
        <f t="array" ref="BA136">$G$12+VLOOKUP($R136,武学奇术!$A:$ZZ,12,FALSE)+SUM(_xlfn.XLOOKUP(S136:AG136,增益!$A:$A,增益!$L:$L,0))</f>
        <v>0</v>
      </c>
      <c r="BB136">
        <f t="shared" si="67"/>
        <v>0</v>
      </c>
      <c r="BC136">
        <f t="shared" si="68"/>
        <v>0</v>
      </c>
      <c r="BD136" s="29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-0.14</v>
      </c>
      <c r="BE136" s="29" cm="1">
        <f t="array" ref="BE136">$G$13+VLOOKUP($R136,武学奇术!$A:$ZZ,14,FALSE)+SUM(_xlfn.XLOOKUP(S136:AG136,增益!$A:$A,增益!$N:$N,0))</f>
        <v>0</v>
      </c>
      <c r="BF136">
        <f t="shared" si="69"/>
        <v>0</v>
      </c>
      <c r="BG136">
        <f t="shared" si="70"/>
        <v>0</v>
      </c>
      <c r="BH136" s="29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-0.14</v>
      </c>
      <c r="BI136" s="29" cm="1">
        <f t="array" ref="BI136">$G$14+VLOOKUP($R136,武学奇术!$A:$ZZ,16,FALSE)+SUM(_xlfn.XLOOKUP(S136:AG136,增益!$A:$A,增益!$P:$P,0))</f>
        <v>0</v>
      </c>
      <c r="BJ136" s="20">
        <f>MIN(IF(VLOOKUP($R136,武学奇术!$A:$ZZ,23,FALSE)=1,100%,$B$8),100%)</f>
        <v>0.8271</v>
      </c>
      <c r="BK136" s="20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0.2249</v>
      </c>
      <c r="BL136" s="20" cm="1">
        <f t="array" ref="BL136">1+$B$13+VLOOKUP($R136,武学奇术!$A:$ZZ,18,FALSE)+SUM(_xlfn.XLOOKUP(S136:AG136,增益!$A:$A,增益!$R:$R,0))</f>
        <v>1.5</v>
      </c>
      <c r="BM136" s="20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0.4459</v>
      </c>
      <c r="BN136" s="20" cm="1">
        <f t="array" ref="BN136">1+$B$14+VLOOKUP($R136,武学奇术!$A:$ZZ,20,FALSE)+SUM(_xlfn.XLOOKUP(S136:AG136,增益!$A:$A,增益!$T:$T,0))</f>
        <v>1.712</v>
      </c>
      <c r="BO136" s="20">
        <f t="shared" si="71"/>
        <v>0.18601479</v>
      </c>
      <c r="BP136" s="20">
        <f t="shared" si="72"/>
        <v>0.27228132</v>
      </c>
      <c r="BQ136" s="20">
        <f>IF(VLOOKUP($R136,武学奇术!$A:$ZZ,22,FALSE)=1,0,(1-$BJ136))*(1-$BM136)</f>
        <v>0.09580389</v>
      </c>
      <c r="BR136" s="20" cm="1">
        <f t="array" ref="BR136">SUM(_xlfn.XLOOKUP(S136:AG136,增益!$A:$A,增益!$W:$W,0))+$I$5</f>
        <v>0.11</v>
      </c>
    </row>
    <row r="137" spans="11:70">
      <c r="K137" s="27">
        <f>$L137*VLOOKUP($R137,武学奇术!$A:$ZZ,31,FALSE)</f>
        <v>9634.89053967828</v>
      </c>
      <c r="L137" s="27">
        <f t="shared" si="62"/>
        <v>16058.1508994638</v>
      </c>
      <c r="M137" s="27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13634.8051366671</v>
      </c>
      <c r="N137" s="27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23863.1301916412</v>
      </c>
      <c r="O137" s="27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9089.87009111139</v>
      </c>
      <c r="P137" s="27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4240.99591140433</v>
      </c>
      <c r="Q137" s="35">
        <v>2</v>
      </c>
      <c r="R137" s="36" t="s">
        <v>159</v>
      </c>
      <c r="S137" s="36" t="s">
        <v>71</v>
      </c>
      <c r="T137" s="36" t="s">
        <v>99</v>
      </c>
      <c r="U137" s="36" t="s">
        <v>100</v>
      </c>
      <c r="V137" s="36" t="s">
        <v>71</v>
      </c>
      <c r="W137" s="36" t="s">
        <v>111</v>
      </c>
      <c r="X137" s="36" t="s">
        <v>71</v>
      </c>
      <c r="Y137" s="36" t="s">
        <v>71</v>
      </c>
      <c r="Z137" s="36" t="s">
        <v>82</v>
      </c>
      <c r="AA137" s="36" t="s">
        <v>71</v>
      </c>
      <c r="AB137" s="36" t="s">
        <v>71</v>
      </c>
      <c r="AC137" s="36" t="s">
        <v>71</v>
      </c>
      <c r="AD137" s="36" t="s">
        <v>72</v>
      </c>
      <c r="AE137" s="36" t="s">
        <v>94</v>
      </c>
      <c r="AF137" s="36" t="s">
        <v>95</v>
      </c>
      <c r="AG137" s="36" t="s">
        <v>112</v>
      </c>
      <c r="AH137" t="str">
        <f>VLOOKUP($R137,武学奇术!$A:$ZZ,25,FALSE)</f>
        <v>单体奇术</v>
      </c>
      <c r="AI137" s="20">
        <f>VLOOKUP($R137,武学奇术!$A:$ZZ,26,FALSE)</f>
        <v>0.236</v>
      </c>
      <c r="AJ137" s="21">
        <f>VLOOKUP($R137,武学奇术!$A:$ZZ,27,FALSE)*(1+IF(OR($AH137=$F$4,$AH137=$F$5),$B$22,0))</f>
        <v>44</v>
      </c>
      <c r="AK137" s="20">
        <f>VLOOKUP($R137,武学奇术!$A:$ZZ,28,FALSE)</f>
        <v>0.354</v>
      </c>
      <c r="AL137" s="21">
        <f>VLOOKUP($R137,武学奇术!$A:$ZZ,29,FALSE)*(1+IF(OR($AH137=$F$4,$AH137=$F$5),$B$22,0))</f>
        <v>0</v>
      </c>
      <c r="AM137" s="20" cm="1">
        <f t="array" ref="AM137">$G$3+IFERROR(VLOOKUP($AH137,$F$4:$G$7,2,FALSE),0)+VLOOKUP($R137,武学奇术!$A:$ZZ,2,FALSE)+SUM(_xlfn.XLOOKUP($S137:$AG137,增益!$A:$A,增益!$B:$B,0))</f>
        <v>1.4065</v>
      </c>
      <c r="AN137" s="20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1585.72</v>
      </c>
      <c r="AP137" cm="1">
        <f t="array" ref="AP137">$E$10*(1+$AN137)+VLOOKUP($R137,武学奇术!$A:$ZZ,4,FALSE)+SUM(_xlfn.XLOOKUP($S137:$AG137,增益!$A:$A,增益!$D:$D,0))-$I$2</f>
        <v>6696.76</v>
      </c>
      <c r="AQ137" s="29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0.3325</v>
      </c>
      <c r="AR137" s="29" cm="1">
        <f t="array" ref="AR137">$G$10+VLOOKUP($R137,武学奇术!$A:$ZZ,7,FALSE)+SUM(_xlfn.XLOOKUP(S137:AG137,增益!$A:$A,增益!$G:$G,0))</f>
        <v>0</v>
      </c>
      <c r="AS137" s="20" cm="1">
        <f t="array" ref="AS137">VLOOKUP($R137,武学奇术!$A:$ZZ,8,FALSE)+SUM(_xlfn.XLOOKUP(S137:AG137,增益!$A:$A,增益!$H:$H,0))</f>
        <v>0</v>
      </c>
      <c r="AT137">
        <f t="shared" si="63"/>
        <v>538</v>
      </c>
      <c r="AU137">
        <f t="shared" si="64"/>
        <v>1011</v>
      </c>
      <c r="AV137" s="29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0.08</v>
      </c>
      <c r="AW137" s="29" cm="1">
        <f t="array" ref="AW137">$G$11+VLOOKUP($R137,武学奇术!$A:$ZZ,10,FALSE)+SUM(_xlfn.XLOOKUP(S137:AG137,增益!$A:$A,增益!$J:$J,0))</f>
        <v>0.15</v>
      </c>
      <c r="AX137">
        <f t="shared" si="65"/>
        <v>0</v>
      </c>
      <c r="AY137">
        <f t="shared" si="66"/>
        <v>0</v>
      </c>
      <c r="AZ137" s="29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-0.14</v>
      </c>
      <c r="BA137" s="29" cm="1">
        <f t="array" ref="BA137">$G$12+VLOOKUP($R137,武学奇术!$A:$ZZ,12,FALSE)+SUM(_xlfn.XLOOKUP(S137:AG137,增益!$A:$A,增益!$L:$L,0))</f>
        <v>0</v>
      </c>
      <c r="BB137">
        <f t="shared" si="67"/>
        <v>0</v>
      </c>
      <c r="BC137">
        <f t="shared" si="68"/>
        <v>0</v>
      </c>
      <c r="BD137" s="29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-0.14</v>
      </c>
      <c r="BE137" s="29" cm="1">
        <f t="array" ref="BE137">$G$13+VLOOKUP($R137,武学奇术!$A:$ZZ,14,FALSE)+SUM(_xlfn.XLOOKUP(S137:AG137,增益!$A:$A,增益!$N:$N,0))</f>
        <v>0</v>
      </c>
      <c r="BF137">
        <f t="shared" si="69"/>
        <v>0</v>
      </c>
      <c r="BG137">
        <f t="shared" si="70"/>
        <v>0</v>
      </c>
      <c r="BH137" s="29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-0.14</v>
      </c>
      <c r="BI137" s="29" cm="1">
        <f t="array" ref="BI137">$G$14+VLOOKUP($R137,武学奇术!$A:$ZZ,16,FALSE)+SUM(_xlfn.XLOOKUP(S137:AG137,增益!$A:$A,增益!$P:$P,0))</f>
        <v>0</v>
      </c>
      <c r="BJ137" s="20">
        <f>MIN(IF(VLOOKUP($R137,武学奇术!$A:$ZZ,23,FALSE)=1,100%,$B$8),100%)</f>
        <v>0.8271</v>
      </c>
      <c r="BK137" s="20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0.2249</v>
      </c>
      <c r="BL137" s="20" cm="1">
        <f t="array" ref="BL137">1+$B$13+VLOOKUP($R137,武学奇术!$A:$ZZ,18,FALSE)+SUM(_xlfn.XLOOKUP(S137:AG137,增益!$A:$A,增益!$R:$R,0))</f>
        <v>1.5</v>
      </c>
      <c r="BM137" s="20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0.4459</v>
      </c>
      <c r="BN137" s="20" cm="1">
        <f t="array" ref="BN137">1+$B$14+VLOOKUP($R137,武学奇术!$A:$ZZ,20,FALSE)+SUM(_xlfn.XLOOKUP(S137:AG137,增益!$A:$A,增益!$T:$T,0))</f>
        <v>1.712</v>
      </c>
      <c r="BO137" s="20">
        <f t="shared" si="71"/>
        <v>0.18601479</v>
      </c>
      <c r="BP137" s="20">
        <f t="shared" si="72"/>
        <v>0.27228132</v>
      </c>
      <c r="BQ137" s="20">
        <f>IF(VLOOKUP($R137,武学奇术!$A:$ZZ,22,FALSE)=1,0,(1-$BJ137))*(1-$BM137)</f>
        <v>0.09580389</v>
      </c>
      <c r="BR137" s="20" cm="1">
        <f t="array" ref="BR137">SUM(_xlfn.XLOOKUP(S137:AG137,增益!$A:$A,增益!$W:$W,0))+$I$5</f>
        <v>0.11</v>
      </c>
    </row>
    <row r="138" spans="11:70">
      <c r="K138" s="27">
        <f>$L138*VLOOKUP($R138,武学奇术!$A:$ZZ,31,FALSE)</f>
        <v>29315.8070034354</v>
      </c>
      <c r="L138" s="27">
        <f t="shared" si="62"/>
        <v>48859.6783390591</v>
      </c>
      <c r="M138" s="27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41320.9483534439</v>
      </c>
      <c r="N138" s="27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72756.9647774627</v>
      </c>
      <c r="O138" s="27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27547.2989022959</v>
      </c>
      <c r="P138" s="27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12843.1664587947</v>
      </c>
      <c r="Q138" s="35">
        <v>6</v>
      </c>
      <c r="R138" s="36" t="s">
        <v>159</v>
      </c>
      <c r="S138" s="36" t="s">
        <v>71</v>
      </c>
      <c r="T138" s="36" t="s">
        <v>99</v>
      </c>
      <c r="U138" s="36" t="s">
        <v>100</v>
      </c>
      <c r="V138" s="36" t="s">
        <v>71</v>
      </c>
      <c r="W138" s="36" t="s">
        <v>111</v>
      </c>
      <c r="X138" s="36" t="s">
        <v>71</v>
      </c>
      <c r="Y138" s="36" t="s">
        <v>71</v>
      </c>
      <c r="Z138" s="36" t="s">
        <v>82</v>
      </c>
      <c r="AA138" s="36" t="s">
        <v>71</v>
      </c>
      <c r="AB138" s="36" t="s">
        <v>71</v>
      </c>
      <c r="AC138" s="36" t="s">
        <v>71</v>
      </c>
      <c r="AD138" s="36" t="s">
        <v>72</v>
      </c>
      <c r="AE138" s="36" t="s">
        <v>94</v>
      </c>
      <c r="AF138" s="36" t="s">
        <v>116</v>
      </c>
      <c r="AG138" s="36" t="s">
        <v>120</v>
      </c>
      <c r="AH138" t="str">
        <f>VLOOKUP($R138,武学奇术!$A:$ZZ,25,FALSE)</f>
        <v>单体奇术</v>
      </c>
      <c r="AI138" s="20">
        <f>VLOOKUP($R138,武学奇术!$A:$ZZ,26,FALSE)</f>
        <v>0.236</v>
      </c>
      <c r="AJ138" s="21">
        <f>VLOOKUP($R138,武学奇术!$A:$ZZ,27,FALSE)*(1+IF(OR($AH138=$F$4,$AH138=$F$5),$B$22,0))</f>
        <v>44</v>
      </c>
      <c r="AK138" s="20">
        <f>VLOOKUP($R138,武学奇术!$A:$ZZ,28,FALSE)</f>
        <v>0.354</v>
      </c>
      <c r="AL138" s="21">
        <f>VLOOKUP($R138,武学奇术!$A:$ZZ,29,FALSE)*(1+IF(OR($AH138=$F$4,$AH138=$F$5),$B$22,0))</f>
        <v>0</v>
      </c>
      <c r="AM138" s="20" cm="1">
        <f t="array" ref="AM138">$G$3+IFERROR(VLOOKUP($AH138,$F$4:$G$7,2,FALSE),0)+VLOOKUP($R138,武学奇术!$A:$ZZ,2,FALSE)+SUM(_xlfn.XLOOKUP($S138:$AG138,增益!$A:$A,增益!$B:$B,0))</f>
        <v>1.4165</v>
      </c>
      <c r="AN138" s="20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1585.72</v>
      </c>
      <c r="AP138" cm="1">
        <f t="array" ref="AP138">$E$10*(1+$AN138)+VLOOKUP($R138,武学奇术!$A:$ZZ,4,FALSE)+SUM(_xlfn.XLOOKUP($S138:$AG138,增益!$A:$A,增益!$D:$D,0))-$I$2</f>
        <v>6696.76</v>
      </c>
      <c r="AQ138" s="29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0.3425</v>
      </c>
      <c r="AR138" s="29" cm="1">
        <f t="array" ref="AR138">$G$10+VLOOKUP($R138,武学奇术!$A:$ZZ,7,FALSE)+SUM(_xlfn.XLOOKUP(S138:AG138,增益!$A:$A,增益!$G:$G,0))</f>
        <v>0</v>
      </c>
      <c r="AS138" s="20" cm="1">
        <f t="array" ref="AS138">VLOOKUP($R138,武学奇术!$A:$ZZ,8,FALSE)+SUM(_xlfn.XLOOKUP(S138:AG138,增益!$A:$A,增益!$H:$H,0))</f>
        <v>0</v>
      </c>
      <c r="AT138">
        <f t="shared" si="63"/>
        <v>538</v>
      </c>
      <c r="AU138">
        <f t="shared" si="64"/>
        <v>1011</v>
      </c>
      <c r="AV138" s="29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0.08</v>
      </c>
      <c r="AW138" s="29" cm="1">
        <f t="array" ref="AW138">$G$11+VLOOKUP($R138,武学奇术!$A:$ZZ,10,FALSE)+SUM(_xlfn.XLOOKUP(S138:AG138,增益!$A:$A,增益!$J:$J,0))</f>
        <v>0.15</v>
      </c>
      <c r="AX138">
        <f t="shared" si="65"/>
        <v>0</v>
      </c>
      <c r="AY138">
        <f t="shared" si="66"/>
        <v>0</v>
      </c>
      <c r="AZ138" s="29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-0.14</v>
      </c>
      <c r="BA138" s="29" cm="1">
        <f t="array" ref="BA138">$G$12+VLOOKUP($R138,武学奇术!$A:$ZZ,12,FALSE)+SUM(_xlfn.XLOOKUP(S138:AG138,增益!$A:$A,增益!$L:$L,0))</f>
        <v>0</v>
      </c>
      <c r="BB138">
        <f t="shared" si="67"/>
        <v>0</v>
      </c>
      <c r="BC138">
        <f t="shared" si="68"/>
        <v>0</v>
      </c>
      <c r="BD138" s="29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-0.14</v>
      </c>
      <c r="BE138" s="29" cm="1">
        <f t="array" ref="BE138">$G$13+VLOOKUP($R138,武学奇术!$A:$ZZ,14,FALSE)+SUM(_xlfn.XLOOKUP(S138:AG138,增益!$A:$A,增益!$N:$N,0))</f>
        <v>0</v>
      </c>
      <c r="BF138">
        <f t="shared" si="69"/>
        <v>0</v>
      </c>
      <c r="BG138">
        <f t="shared" si="70"/>
        <v>0</v>
      </c>
      <c r="BH138" s="29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-0.14</v>
      </c>
      <c r="BI138" s="29" cm="1">
        <f t="array" ref="BI138">$G$14+VLOOKUP($R138,武学奇术!$A:$ZZ,16,FALSE)+SUM(_xlfn.XLOOKUP(S138:AG138,增益!$A:$A,增益!$P:$P,0))</f>
        <v>0</v>
      </c>
      <c r="BJ138" s="20">
        <f>MIN(IF(VLOOKUP($R138,武学奇术!$A:$ZZ,23,FALSE)=1,100%,$B$8),100%)</f>
        <v>0.8271</v>
      </c>
      <c r="BK138" s="20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0.2249</v>
      </c>
      <c r="BL138" s="20" cm="1">
        <f t="array" ref="BL138">1+$B$13+VLOOKUP($R138,武学奇术!$A:$ZZ,18,FALSE)+SUM(_xlfn.XLOOKUP(S138:AG138,增益!$A:$A,增益!$R:$R,0))</f>
        <v>1.5</v>
      </c>
      <c r="BM138" s="20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0.4459</v>
      </c>
      <c r="BN138" s="20" cm="1">
        <f t="array" ref="BN138">1+$B$14+VLOOKUP($R138,武学奇术!$A:$ZZ,20,FALSE)+SUM(_xlfn.XLOOKUP(S138:AG138,增益!$A:$A,增益!$T:$T,0))</f>
        <v>1.722</v>
      </c>
      <c r="BO138" s="20">
        <f t="shared" si="71"/>
        <v>0.18601479</v>
      </c>
      <c r="BP138" s="20">
        <f t="shared" si="72"/>
        <v>0.27228132</v>
      </c>
      <c r="BQ138" s="20">
        <f>IF(VLOOKUP($R138,武学奇术!$A:$ZZ,22,FALSE)=1,0,(1-$BJ138))*(1-$BM138)</f>
        <v>0.09580389</v>
      </c>
      <c r="BR138" s="20" cm="1">
        <f t="array" ref="BR138">SUM(_xlfn.XLOOKUP(S138:AG138,增益!$A:$A,增益!$W:$W,0))+$I$5</f>
        <v>0.11</v>
      </c>
    </row>
    <row r="139" spans="11:70">
      <c r="K139" s="27">
        <f>$L139*VLOOKUP($R139,武学奇术!$A:$ZZ,31,FALSE)</f>
        <v>29428.846482858</v>
      </c>
      <c r="L139" s="27">
        <f t="shared" si="62"/>
        <v>49048.07747143</v>
      </c>
      <c r="M139" s="27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41320.9483534439</v>
      </c>
      <c r="N139" s="27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73179.4790909206</v>
      </c>
      <c r="O139" s="27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27547.2989022959</v>
      </c>
      <c r="P139" s="27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12843.1664587947</v>
      </c>
      <c r="Q139" s="35">
        <v>6</v>
      </c>
      <c r="R139" s="36" t="s">
        <v>159</v>
      </c>
      <c r="S139" s="36" t="s">
        <v>71</v>
      </c>
      <c r="T139" s="36" t="s">
        <v>99</v>
      </c>
      <c r="U139" s="36" t="s">
        <v>100</v>
      </c>
      <c r="V139" s="36" t="s">
        <v>71</v>
      </c>
      <c r="W139" s="36" t="s">
        <v>111</v>
      </c>
      <c r="X139" s="36" t="s">
        <v>71</v>
      </c>
      <c r="Y139" s="36" t="s">
        <v>71</v>
      </c>
      <c r="Z139" s="36" t="s">
        <v>82</v>
      </c>
      <c r="AA139" s="36" t="s">
        <v>71</v>
      </c>
      <c r="AB139" s="36" t="s">
        <v>71</v>
      </c>
      <c r="AC139" s="36" t="s">
        <v>71</v>
      </c>
      <c r="AD139" s="36" t="s">
        <v>72</v>
      </c>
      <c r="AE139" s="36" t="s">
        <v>94</v>
      </c>
      <c r="AF139" s="36" t="s">
        <v>134</v>
      </c>
      <c r="AG139" s="36" t="s">
        <v>120</v>
      </c>
      <c r="AH139" t="str">
        <f>VLOOKUP($R139,武学奇术!$A:$ZZ,25,FALSE)</f>
        <v>单体奇术</v>
      </c>
      <c r="AI139" s="20">
        <f>VLOOKUP($R139,武学奇术!$A:$ZZ,26,FALSE)</f>
        <v>0.236</v>
      </c>
      <c r="AJ139" s="21">
        <f>VLOOKUP($R139,武学奇术!$A:$ZZ,27,FALSE)*(1+IF(OR($AH139=$F$4,$AH139=$F$5),$B$22,0))</f>
        <v>44</v>
      </c>
      <c r="AK139" s="20">
        <f>VLOOKUP($R139,武学奇术!$A:$ZZ,28,FALSE)</f>
        <v>0.354</v>
      </c>
      <c r="AL139" s="21">
        <f>VLOOKUP($R139,武学奇术!$A:$ZZ,29,FALSE)*(1+IF(OR($AH139=$F$4,$AH139=$F$5),$B$22,0))</f>
        <v>0</v>
      </c>
      <c r="AM139" s="20" cm="1">
        <f t="array" ref="AM139">$G$3+IFERROR(VLOOKUP($AH139,$F$4:$G$7,2,FALSE),0)+VLOOKUP($R139,武学奇术!$A:$ZZ,2,FALSE)+SUM(_xlfn.XLOOKUP($S139:$AG139,增益!$A:$A,增益!$B:$B,0))</f>
        <v>1.4165</v>
      </c>
      <c r="AN139" s="20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1585.72</v>
      </c>
      <c r="AP139" cm="1">
        <f t="array" ref="AP139">$E$10*(1+$AN139)+VLOOKUP($R139,武学奇术!$A:$ZZ,4,FALSE)+SUM(_xlfn.XLOOKUP($S139:$AG139,增益!$A:$A,增益!$D:$D,0))-$I$2</f>
        <v>6696.76</v>
      </c>
      <c r="AQ139" s="29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0.3425</v>
      </c>
      <c r="AR139" s="29" cm="1">
        <f t="array" ref="AR139">$G$10+VLOOKUP($R139,武学奇术!$A:$ZZ,7,FALSE)+SUM(_xlfn.XLOOKUP(S139:AG139,增益!$A:$A,增益!$G:$G,0))</f>
        <v>0</v>
      </c>
      <c r="AS139" s="20" cm="1">
        <f t="array" ref="AS139">VLOOKUP($R139,武学奇术!$A:$ZZ,8,FALSE)+SUM(_xlfn.XLOOKUP(S139:AG139,增益!$A:$A,增益!$H:$H,0))</f>
        <v>0</v>
      </c>
      <c r="AT139">
        <f t="shared" si="63"/>
        <v>538</v>
      </c>
      <c r="AU139">
        <f t="shared" si="64"/>
        <v>1011</v>
      </c>
      <c r="AV139" s="29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0.08</v>
      </c>
      <c r="AW139" s="29" cm="1">
        <f t="array" ref="AW139">$G$11+VLOOKUP($R139,武学奇术!$A:$ZZ,10,FALSE)+SUM(_xlfn.XLOOKUP(S139:AG139,增益!$A:$A,增益!$J:$J,0))</f>
        <v>0.15</v>
      </c>
      <c r="AX139">
        <f t="shared" si="65"/>
        <v>0</v>
      </c>
      <c r="AY139">
        <f t="shared" si="66"/>
        <v>0</v>
      </c>
      <c r="AZ139" s="29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-0.14</v>
      </c>
      <c r="BA139" s="29" cm="1">
        <f t="array" ref="BA139">$G$12+VLOOKUP($R139,武学奇术!$A:$ZZ,12,FALSE)+SUM(_xlfn.XLOOKUP(S139:AG139,增益!$A:$A,增益!$L:$L,0))</f>
        <v>0</v>
      </c>
      <c r="BB139">
        <f t="shared" si="67"/>
        <v>0</v>
      </c>
      <c r="BC139">
        <f t="shared" si="68"/>
        <v>0</v>
      </c>
      <c r="BD139" s="29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-0.14</v>
      </c>
      <c r="BE139" s="29" cm="1">
        <f t="array" ref="BE139">$G$13+VLOOKUP($R139,武学奇术!$A:$ZZ,14,FALSE)+SUM(_xlfn.XLOOKUP(S139:AG139,增益!$A:$A,增益!$N:$N,0))</f>
        <v>0</v>
      </c>
      <c r="BF139">
        <f t="shared" si="69"/>
        <v>0</v>
      </c>
      <c r="BG139">
        <f t="shared" si="70"/>
        <v>0</v>
      </c>
      <c r="BH139" s="29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-0.14</v>
      </c>
      <c r="BI139" s="29" cm="1">
        <f t="array" ref="BI139">$G$14+VLOOKUP($R139,武学奇术!$A:$ZZ,16,FALSE)+SUM(_xlfn.XLOOKUP(S139:AG139,增益!$A:$A,增益!$P:$P,0))</f>
        <v>0</v>
      </c>
      <c r="BJ139" s="20">
        <f>MIN(IF(VLOOKUP($R139,武学奇术!$A:$ZZ,23,FALSE)=1,100%,$B$8),100%)</f>
        <v>0.8271</v>
      </c>
      <c r="BK139" s="20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0.2249</v>
      </c>
      <c r="BL139" s="20" cm="1">
        <f t="array" ref="BL139">1+$B$13+VLOOKUP($R139,武学奇术!$A:$ZZ,18,FALSE)+SUM(_xlfn.XLOOKUP(S139:AG139,增益!$A:$A,增益!$R:$R,0))</f>
        <v>1.5</v>
      </c>
      <c r="BM139" s="20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0.4459</v>
      </c>
      <c r="BN139" s="20" cm="1">
        <f t="array" ref="BN139">1+$B$14+VLOOKUP($R139,武学奇术!$A:$ZZ,20,FALSE)+SUM(_xlfn.XLOOKUP(S139:AG139,增益!$A:$A,增益!$T:$T,0))</f>
        <v>1.732</v>
      </c>
      <c r="BO139" s="20">
        <f t="shared" si="71"/>
        <v>0.18601479</v>
      </c>
      <c r="BP139" s="20">
        <f t="shared" si="72"/>
        <v>0.27228132</v>
      </c>
      <c r="BQ139" s="20">
        <f>IF(VLOOKUP($R139,武学奇术!$A:$ZZ,22,FALSE)=1,0,(1-$BJ139))*(1-$BM139)</f>
        <v>0.09580389</v>
      </c>
      <c r="BR139" s="20" cm="1">
        <f t="array" ref="BR139">SUM(_xlfn.XLOOKUP(S139:AG139,增益!$A:$A,增益!$W:$W,0))+$I$5</f>
        <v>0.11</v>
      </c>
    </row>
    <row r="140" spans="11:70">
      <c r="K140" s="27">
        <f>$L140*VLOOKUP($R140,武学奇术!$A:$ZZ,31,FALSE)</f>
        <v>29541.8859622805</v>
      </c>
      <c r="L140" s="27">
        <f t="shared" si="62"/>
        <v>49236.4766038009</v>
      </c>
      <c r="M140" s="27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41320.9483534439</v>
      </c>
      <c r="N140" s="27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73601.9934043786</v>
      </c>
      <c r="O140" s="27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27547.2989022959</v>
      </c>
      <c r="P140" s="27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12843.1664587947</v>
      </c>
      <c r="Q140" s="35">
        <v>6</v>
      </c>
      <c r="R140" s="36" t="s">
        <v>159</v>
      </c>
      <c r="S140" s="36" t="s">
        <v>71</v>
      </c>
      <c r="T140" s="36" t="s">
        <v>99</v>
      </c>
      <c r="U140" s="36" t="s">
        <v>100</v>
      </c>
      <c r="V140" s="36" t="s">
        <v>71</v>
      </c>
      <c r="W140" s="36" t="s">
        <v>111</v>
      </c>
      <c r="X140" s="36" t="s">
        <v>71</v>
      </c>
      <c r="Y140" s="36" t="s">
        <v>71</v>
      </c>
      <c r="Z140" s="36" t="s">
        <v>82</v>
      </c>
      <c r="AA140" s="36" t="s">
        <v>71</v>
      </c>
      <c r="AB140" s="36" t="s">
        <v>71</v>
      </c>
      <c r="AC140" s="36" t="s">
        <v>71</v>
      </c>
      <c r="AD140" s="36" t="s">
        <v>72</v>
      </c>
      <c r="AE140" s="36" t="s">
        <v>94</v>
      </c>
      <c r="AF140" s="36" t="s">
        <v>145</v>
      </c>
      <c r="AG140" s="36" t="s">
        <v>120</v>
      </c>
      <c r="AH140" t="str">
        <f>VLOOKUP($R140,武学奇术!$A:$ZZ,25,FALSE)</f>
        <v>单体奇术</v>
      </c>
      <c r="AI140" s="20">
        <f>VLOOKUP($R140,武学奇术!$A:$ZZ,26,FALSE)</f>
        <v>0.236</v>
      </c>
      <c r="AJ140" s="21">
        <f>VLOOKUP($R140,武学奇术!$A:$ZZ,27,FALSE)*(1+IF(OR($AH140=$F$4,$AH140=$F$5),$B$22,0))</f>
        <v>44</v>
      </c>
      <c r="AK140" s="20">
        <f>VLOOKUP($R140,武学奇术!$A:$ZZ,28,FALSE)</f>
        <v>0.354</v>
      </c>
      <c r="AL140" s="21">
        <f>VLOOKUP($R140,武学奇术!$A:$ZZ,29,FALSE)*(1+IF(OR($AH140=$F$4,$AH140=$F$5),$B$22,0))</f>
        <v>0</v>
      </c>
      <c r="AM140" s="20" cm="1">
        <f t="array" ref="AM140">$G$3+IFERROR(VLOOKUP($AH140,$F$4:$G$7,2,FALSE),0)+VLOOKUP($R140,武学奇术!$A:$ZZ,2,FALSE)+SUM(_xlfn.XLOOKUP($S140:$AG140,增益!$A:$A,增益!$B:$B,0))</f>
        <v>1.4165</v>
      </c>
      <c r="AN140" s="20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1585.72</v>
      </c>
      <c r="AP140" cm="1">
        <f t="array" ref="AP140">$E$10*(1+$AN140)+VLOOKUP($R140,武学奇术!$A:$ZZ,4,FALSE)+SUM(_xlfn.XLOOKUP($S140:$AG140,增益!$A:$A,增益!$D:$D,0))-$I$2</f>
        <v>6696.76</v>
      </c>
      <c r="AQ140" s="29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0.3425</v>
      </c>
      <c r="AR140" s="29" cm="1">
        <f t="array" ref="AR140">$G$10+VLOOKUP($R140,武学奇术!$A:$ZZ,7,FALSE)+SUM(_xlfn.XLOOKUP(S140:AG140,增益!$A:$A,增益!$G:$G,0))</f>
        <v>0</v>
      </c>
      <c r="AS140" s="20" cm="1">
        <f t="array" ref="AS140">VLOOKUP($R140,武学奇术!$A:$ZZ,8,FALSE)+SUM(_xlfn.XLOOKUP(S140:AG140,增益!$A:$A,增益!$H:$H,0))</f>
        <v>0</v>
      </c>
      <c r="AT140">
        <f t="shared" si="63"/>
        <v>538</v>
      </c>
      <c r="AU140">
        <f t="shared" si="64"/>
        <v>1011</v>
      </c>
      <c r="AV140" s="29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0.08</v>
      </c>
      <c r="AW140" s="29" cm="1">
        <f t="array" ref="AW140">$G$11+VLOOKUP($R140,武学奇术!$A:$ZZ,10,FALSE)+SUM(_xlfn.XLOOKUP(S140:AG140,增益!$A:$A,增益!$J:$J,0))</f>
        <v>0.15</v>
      </c>
      <c r="AX140">
        <f t="shared" si="65"/>
        <v>0</v>
      </c>
      <c r="AY140">
        <f t="shared" si="66"/>
        <v>0</v>
      </c>
      <c r="AZ140" s="29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-0.14</v>
      </c>
      <c r="BA140" s="29" cm="1">
        <f t="array" ref="BA140">$G$12+VLOOKUP($R140,武学奇术!$A:$ZZ,12,FALSE)+SUM(_xlfn.XLOOKUP(S140:AG140,增益!$A:$A,增益!$L:$L,0))</f>
        <v>0</v>
      </c>
      <c r="BB140">
        <f t="shared" si="67"/>
        <v>0</v>
      </c>
      <c r="BC140">
        <f t="shared" si="68"/>
        <v>0</v>
      </c>
      <c r="BD140" s="29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-0.14</v>
      </c>
      <c r="BE140" s="29" cm="1">
        <f t="array" ref="BE140">$G$13+VLOOKUP($R140,武学奇术!$A:$ZZ,14,FALSE)+SUM(_xlfn.XLOOKUP(S140:AG140,增益!$A:$A,增益!$N:$N,0))</f>
        <v>0</v>
      </c>
      <c r="BF140">
        <f t="shared" si="69"/>
        <v>0</v>
      </c>
      <c r="BG140">
        <f t="shared" si="70"/>
        <v>0</v>
      </c>
      <c r="BH140" s="29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-0.14</v>
      </c>
      <c r="BI140" s="29" cm="1">
        <f t="array" ref="BI140">$G$14+VLOOKUP($R140,武学奇术!$A:$ZZ,16,FALSE)+SUM(_xlfn.XLOOKUP(S140:AG140,增益!$A:$A,增益!$P:$P,0))</f>
        <v>0</v>
      </c>
      <c r="BJ140" s="20">
        <f>MIN(IF(VLOOKUP($R140,武学奇术!$A:$ZZ,23,FALSE)=1,100%,$B$8),100%)</f>
        <v>0.8271</v>
      </c>
      <c r="BK140" s="20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0.2249</v>
      </c>
      <c r="BL140" s="20" cm="1">
        <f t="array" ref="BL140">1+$B$13+VLOOKUP($R140,武学奇术!$A:$ZZ,18,FALSE)+SUM(_xlfn.XLOOKUP(S140:AG140,增益!$A:$A,增益!$R:$R,0))</f>
        <v>1.5</v>
      </c>
      <c r="BM140" s="20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0.4459</v>
      </c>
      <c r="BN140" s="20" cm="1">
        <f t="array" ref="BN140">1+$B$14+VLOOKUP($R140,武学奇术!$A:$ZZ,20,FALSE)+SUM(_xlfn.XLOOKUP(S140:AG140,增益!$A:$A,增益!$T:$T,0))</f>
        <v>1.742</v>
      </c>
      <c r="BO140" s="20">
        <f t="shared" si="71"/>
        <v>0.18601479</v>
      </c>
      <c r="BP140" s="20">
        <f t="shared" si="72"/>
        <v>0.27228132</v>
      </c>
      <c r="BQ140" s="20">
        <f>IF(VLOOKUP($R140,武学奇术!$A:$ZZ,22,FALSE)=1,0,(1-$BJ140))*(1-$BM140)</f>
        <v>0.09580389</v>
      </c>
      <c r="BR140" s="20" cm="1">
        <f t="array" ref="BR140">SUM(_xlfn.XLOOKUP(S140:AG140,增益!$A:$A,增益!$W:$W,0))+$I$5</f>
        <v>0.11</v>
      </c>
    </row>
    <row r="141" spans="11:70">
      <c r="K141" s="27">
        <f>$L141*VLOOKUP($R141,武学奇术!$A:$ZZ,31,FALSE)</f>
        <v>19413.7228421743</v>
      </c>
      <c r="L141" s="27">
        <f t="shared" si="62"/>
        <v>32356.2047369571</v>
      </c>
      <c r="M141" s="27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26983.278130593</v>
      </c>
      <c r="N141" s="27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48546.1097052867</v>
      </c>
      <c r="O141" s="27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17988.852087062</v>
      </c>
      <c r="P141" s="27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8268.73744736217</v>
      </c>
      <c r="Q141" s="35">
        <v>4</v>
      </c>
      <c r="R141" s="36" t="s">
        <v>159</v>
      </c>
      <c r="S141" s="36" t="s">
        <v>71</v>
      </c>
      <c r="T141" s="36" t="s">
        <v>99</v>
      </c>
      <c r="U141" s="36" t="s">
        <v>100</v>
      </c>
      <c r="V141" s="36" t="s">
        <v>71</v>
      </c>
      <c r="W141" s="36" t="s">
        <v>71</v>
      </c>
      <c r="X141" s="36" t="s">
        <v>71</v>
      </c>
      <c r="Y141" s="36" t="s">
        <v>71</v>
      </c>
      <c r="Z141" s="36" t="s">
        <v>71</v>
      </c>
      <c r="AA141" s="36" t="s">
        <v>71</v>
      </c>
      <c r="AB141" s="36" t="s">
        <v>71</v>
      </c>
      <c r="AC141" s="36" t="s">
        <v>71</v>
      </c>
      <c r="AD141" s="36" t="s">
        <v>72</v>
      </c>
      <c r="AE141" s="36" t="s">
        <v>94</v>
      </c>
      <c r="AF141" s="36" t="s">
        <v>147</v>
      </c>
      <c r="AG141" s="36" t="s">
        <v>120</v>
      </c>
      <c r="AH141" t="str">
        <f>VLOOKUP($R141,武学奇术!$A:$ZZ,25,FALSE)</f>
        <v>单体奇术</v>
      </c>
      <c r="AI141" s="20">
        <f>VLOOKUP($R141,武学奇术!$A:$ZZ,26,FALSE)</f>
        <v>0.236</v>
      </c>
      <c r="AJ141" s="21">
        <f>VLOOKUP($R141,武学奇术!$A:$ZZ,27,FALSE)*(1+IF(OR($AH141=$F$4,$AH141=$F$5),$B$22,0))</f>
        <v>44</v>
      </c>
      <c r="AK141" s="20">
        <f>VLOOKUP($R141,武学奇术!$A:$ZZ,28,FALSE)</f>
        <v>0.354</v>
      </c>
      <c r="AL141" s="21">
        <f>VLOOKUP($R141,武学奇术!$A:$ZZ,29,FALSE)*(1+IF(OR($AH141=$F$4,$AH141=$F$5),$B$22,0))</f>
        <v>0</v>
      </c>
      <c r="AM141" s="20" cm="1">
        <f t="array" ref="AM141">$G$3+IFERROR(VLOOKUP($AH141,$F$4:$G$7,2,FALSE),0)+VLOOKUP($R141,武学奇术!$A:$ZZ,2,FALSE)+SUM(_xlfn.XLOOKUP($S141:$AG141,增益!$A:$A,增益!$B:$B,0))</f>
        <v>1.4165</v>
      </c>
      <c r="AN141" s="20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1554.72</v>
      </c>
      <c r="AP141" cm="1">
        <f t="array" ref="AP141">$E$10*(1+$AN141)+VLOOKUP($R141,武学奇术!$A:$ZZ,4,FALSE)+SUM(_xlfn.XLOOKUP($S141:$AG141,增益!$A:$A,增益!$D:$D,0))-$I$2</f>
        <v>6665.76</v>
      </c>
      <c r="AQ141" s="29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0.3425</v>
      </c>
      <c r="AR141" s="29" cm="1">
        <f t="array" ref="AR141">$G$10+VLOOKUP($R141,武学奇术!$A:$ZZ,7,FALSE)+SUM(_xlfn.XLOOKUP(S141:AG141,增益!$A:$A,增益!$G:$G,0))</f>
        <v>0</v>
      </c>
      <c r="AS141" s="20" cm="1">
        <f t="array" ref="AS141">VLOOKUP($R141,武学奇术!$A:$ZZ,8,FALSE)+SUM(_xlfn.XLOOKUP(S141:AG141,增益!$A:$A,增益!$H:$H,0))</f>
        <v>0</v>
      </c>
      <c r="AT141">
        <f t="shared" si="63"/>
        <v>538</v>
      </c>
      <c r="AU141">
        <f t="shared" si="64"/>
        <v>1011</v>
      </c>
      <c r="AV141" s="29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</v>
      </c>
      <c r="AW141" s="29" cm="1">
        <f t="array" ref="AW141">$G$11+VLOOKUP($R141,武学奇术!$A:$ZZ,10,FALSE)+SUM(_xlfn.XLOOKUP(S141:AG141,增益!$A:$A,增益!$J:$J,0))</f>
        <v>0.15</v>
      </c>
      <c r="AX141">
        <f t="shared" si="65"/>
        <v>0</v>
      </c>
      <c r="AY141">
        <f t="shared" si="66"/>
        <v>0</v>
      </c>
      <c r="AZ141" s="29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29" cm="1">
        <f t="array" ref="BA141">$G$12+VLOOKUP($R141,武学奇术!$A:$ZZ,12,FALSE)+SUM(_xlfn.XLOOKUP(S141:AG141,增益!$A:$A,增益!$L:$L,0))</f>
        <v>0</v>
      </c>
      <c r="BB141">
        <f t="shared" si="67"/>
        <v>0</v>
      </c>
      <c r="BC141">
        <f t="shared" si="68"/>
        <v>0</v>
      </c>
      <c r="BD141" s="29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29" cm="1">
        <f t="array" ref="BE141">$G$13+VLOOKUP($R141,武学奇术!$A:$ZZ,14,FALSE)+SUM(_xlfn.XLOOKUP(S141:AG141,增益!$A:$A,增益!$N:$N,0))</f>
        <v>0</v>
      </c>
      <c r="BF141">
        <f t="shared" si="69"/>
        <v>0</v>
      </c>
      <c r="BG141">
        <f t="shared" si="70"/>
        <v>0</v>
      </c>
      <c r="BH141" s="29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29" cm="1">
        <f t="array" ref="BI141">$G$14+VLOOKUP($R141,武学奇术!$A:$ZZ,16,FALSE)+SUM(_xlfn.XLOOKUP(S141:AG141,增益!$A:$A,增益!$P:$P,0))</f>
        <v>0</v>
      </c>
      <c r="BJ141" s="20">
        <f>MIN(IF(VLOOKUP($R141,武学奇术!$A:$ZZ,23,FALSE)=1,100%,$B$8),100%)</f>
        <v>0.8271</v>
      </c>
      <c r="BK141" s="20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0.2249</v>
      </c>
      <c r="BL141" s="20" cm="1">
        <f t="array" ref="BL141">1+$B$13+VLOOKUP($R141,武学奇术!$A:$ZZ,18,FALSE)+SUM(_xlfn.XLOOKUP(S141:AG141,增益!$A:$A,增益!$R:$R,0))</f>
        <v>1.5</v>
      </c>
      <c r="BM141" s="20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0.4459</v>
      </c>
      <c r="BN141" s="20" cm="1">
        <f t="array" ref="BN141">1+$B$14+VLOOKUP($R141,武学奇术!$A:$ZZ,20,FALSE)+SUM(_xlfn.XLOOKUP(S141:AG141,增益!$A:$A,增益!$T:$T,0))</f>
        <v>1.752</v>
      </c>
      <c r="BO141" s="20">
        <f t="shared" si="71"/>
        <v>0.18601479</v>
      </c>
      <c r="BP141" s="20">
        <f t="shared" si="72"/>
        <v>0.27228132</v>
      </c>
      <c r="BQ141" s="20">
        <f>IF(VLOOKUP($R141,武学奇术!$A:$ZZ,22,FALSE)=1,0,(1-$BJ141))*(1-$BM141)</f>
        <v>0.09580389</v>
      </c>
      <c r="BR141" s="20" cm="1">
        <f t="array" ref="BR141">SUM(_xlfn.XLOOKUP(S141:AG141,增益!$A:$A,增益!$W:$W,0))+$I$5</f>
        <v>0.11</v>
      </c>
    </row>
    <row r="142" spans="11:70">
      <c r="K142" s="27">
        <f>$L142*VLOOKUP($R142,武学奇术!$A:$ZZ,31,FALSE)</f>
        <v>9839.82015120306</v>
      </c>
      <c r="L142" s="27">
        <f t="shared" si="62"/>
        <v>16399.7002520051</v>
      </c>
      <c r="M142" s="27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13694.6145300331</v>
      </c>
      <c r="N142" s="27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24582.5231180834</v>
      </c>
      <c r="O142" s="27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9129.74302002208</v>
      </c>
      <c r="P142" s="27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4228.36553885501</v>
      </c>
      <c r="Q142" s="35">
        <v>2</v>
      </c>
      <c r="R142" s="36" t="s">
        <v>159</v>
      </c>
      <c r="S142" s="36" t="s">
        <v>71</v>
      </c>
      <c r="T142" s="36" t="s">
        <v>99</v>
      </c>
      <c r="U142" s="36" t="s">
        <v>100</v>
      </c>
      <c r="V142" s="36" t="s">
        <v>71</v>
      </c>
      <c r="W142" s="36" t="s">
        <v>71</v>
      </c>
      <c r="X142" s="36" t="s">
        <v>71</v>
      </c>
      <c r="Y142" s="36" t="s">
        <v>71</v>
      </c>
      <c r="Z142" s="36" t="s">
        <v>82</v>
      </c>
      <c r="AA142" s="36" t="s">
        <v>71</v>
      </c>
      <c r="AB142" s="36" t="s">
        <v>71</v>
      </c>
      <c r="AC142" s="36" t="s">
        <v>71</v>
      </c>
      <c r="AD142" s="36" t="s">
        <v>72</v>
      </c>
      <c r="AE142" s="36" t="s">
        <v>94</v>
      </c>
      <c r="AF142" s="36" t="s">
        <v>147</v>
      </c>
      <c r="AG142" s="36" t="s">
        <v>120</v>
      </c>
      <c r="AH142" t="str">
        <f>VLOOKUP($R142,武学奇术!$A:$ZZ,25,FALSE)</f>
        <v>单体奇术</v>
      </c>
      <c r="AI142" s="20">
        <f>VLOOKUP($R142,武学奇术!$A:$ZZ,26,FALSE)</f>
        <v>0.236</v>
      </c>
      <c r="AJ142" s="21">
        <f>VLOOKUP($R142,武学奇术!$A:$ZZ,27,FALSE)*(1+IF(OR($AH142=$F$4,$AH142=$F$5),$B$22,0))</f>
        <v>44</v>
      </c>
      <c r="AK142" s="20">
        <f>VLOOKUP($R142,武学奇术!$A:$ZZ,28,FALSE)</f>
        <v>0.354</v>
      </c>
      <c r="AL142" s="21">
        <f>VLOOKUP($R142,武学奇术!$A:$ZZ,29,FALSE)*(1+IF(OR($AH142=$F$4,$AH142=$F$5),$B$22,0))</f>
        <v>0</v>
      </c>
      <c r="AM142" s="20" cm="1">
        <f t="array" ref="AM142">$G$3+IFERROR(VLOOKUP($AH142,$F$4:$G$7,2,FALSE),0)+VLOOKUP($R142,武学奇术!$A:$ZZ,2,FALSE)+SUM(_xlfn.XLOOKUP($S142:$AG142,增益!$A:$A,增益!$B:$B,0))</f>
        <v>1.4165</v>
      </c>
      <c r="AN142" s="20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1554.72</v>
      </c>
      <c r="AP142" cm="1">
        <f t="array" ref="AP142">$E$10*(1+$AN142)+VLOOKUP($R142,武学奇术!$A:$ZZ,4,FALSE)+SUM(_xlfn.XLOOKUP($S142:$AG142,增益!$A:$A,增益!$D:$D,0))-$I$2</f>
        <v>6665.76</v>
      </c>
      <c r="AQ142" s="29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0.3425</v>
      </c>
      <c r="AR142" s="29" cm="1">
        <f t="array" ref="AR142">$G$10+VLOOKUP($R142,武学奇术!$A:$ZZ,7,FALSE)+SUM(_xlfn.XLOOKUP(S142:AG142,增益!$A:$A,增益!$G:$G,0))</f>
        <v>0</v>
      </c>
      <c r="AS142" s="20" cm="1">
        <f t="array" ref="AS142">VLOOKUP($R142,武学奇术!$A:$ZZ,8,FALSE)+SUM(_xlfn.XLOOKUP(S142:AG142,增益!$A:$A,增益!$H:$H,0))</f>
        <v>0</v>
      </c>
      <c r="AT142">
        <f t="shared" si="63"/>
        <v>538</v>
      </c>
      <c r="AU142">
        <f t="shared" si="64"/>
        <v>1011</v>
      </c>
      <c r="AV142" s="29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0.08</v>
      </c>
      <c r="AW142" s="29" cm="1">
        <f t="array" ref="AW142">$G$11+VLOOKUP($R142,武学奇术!$A:$ZZ,10,FALSE)+SUM(_xlfn.XLOOKUP(S142:AG142,增益!$A:$A,增益!$J:$J,0))</f>
        <v>0.15</v>
      </c>
      <c r="AX142">
        <f t="shared" si="65"/>
        <v>0</v>
      </c>
      <c r="AY142">
        <f t="shared" si="66"/>
        <v>0</v>
      </c>
      <c r="AZ142" s="29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-0.14</v>
      </c>
      <c r="BA142" s="29" cm="1">
        <f t="array" ref="BA142">$G$12+VLOOKUP($R142,武学奇术!$A:$ZZ,12,FALSE)+SUM(_xlfn.XLOOKUP(S142:AG142,增益!$A:$A,增益!$L:$L,0))</f>
        <v>0</v>
      </c>
      <c r="BB142">
        <f t="shared" si="67"/>
        <v>0</v>
      </c>
      <c r="BC142">
        <f t="shared" si="68"/>
        <v>0</v>
      </c>
      <c r="BD142" s="29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-0.14</v>
      </c>
      <c r="BE142" s="29" cm="1">
        <f t="array" ref="BE142">$G$13+VLOOKUP($R142,武学奇术!$A:$ZZ,14,FALSE)+SUM(_xlfn.XLOOKUP(S142:AG142,增益!$A:$A,增益!$N:$N,0))</f>
        <v>0</v>
      </c>
      <c r="BF142">
        <f t="shared" si="69"/>
        <v>0</v>
      </c>
      <c r="BG142">
        <f t="shared" si="70"/>
        <v>0</v>
      </c>
      <c r="BH142" s="29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-0.14</v>
      </c>
      <c r="BI142" s="29" cm="1">
        <f t="array" ref="BI142">$G$14+VLOOKUP($R142,武学奇术!$A:$ZZ,16,FALSE)+SUM(_xlfn.XLOOKUP(S142:AG142,增益!$A:$A,增益!$P:$P,0))</f>
        <v>0</v>
      </c>
      <c r="BJ142" s="20">
        <f>MIN(IF(VLOOKUP($R142,武学奇术!$A:$ZZ,23,FALSE)=1,100%,$B$8),100%)</f>
        <v>0.8271</v>
      </c>
      <c r="BK142" s="20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0.2249</v>
      </c>
      <c r="BL142" s="20" cm="1">
        <f t="array" ref="BL142">1+$B$13+VLOOKUP($R142,武学奇术!$A:$ZZ,18,FALSE)+SUM(_xlfn.XLOOKUP(S142:AG142,增益!$A:$A,增益!$R:$R,0))</f>
        <v>1.5</v>
      </c>
      <c r="BM142" s="20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0.4459</v>
      </c>
      <c r="BN142" s="20" cm="1">
        <f t="array" ref="BN142">1+$B$14+VLOOKUP($R142,武学奇术!$A:$ZZ,20,FALSE)+SUM(_xlfn.XLOOKUP(S142:AG142,增益!$A:$A,增益!$T:$T,0))</f>
        <v>1.752</v>
      </c>
      <c r="BO142" s="20">
        <f t="shared" si="71"/>
        <v>0.18601479</v>
      </c>
      <c r="BP142" s="20">
        <f t="shared" si="72"/>
        <v>0.27228132</v>
      </c>
      <c r="BQ142" s="20">
        <f>IF(VLOOKUP($R142,武学奇术!$A:$ZZ,22,FALSE)=1,0,(1-$BJ142))*(1-$BM142)</f>
        <v>0.09580389</v>
      </c>
      <c r="BR142" s="20" cm="1">
        <f t="array" ref="BR142">SUM(_xlfn.XLOOKUP(S142:AG142,增益!$A:$A,增益!$W:$W,0))+$I$5</f>
        <v>0.11</v>
      </c>
    </row>
    <row r="143" spans="11:70">
      <c r="K143" s="27">
        <f>$L143*VLOOKUP($R143,武学奇术!$A:$ZZ,31,FALSE)</f>
        <v>9877.35901099194</v>
      </c>
      <c r="L143" s="27">
        <f t="shared" si="62"/>
        <v>16462.2650183199</v>
      </c>
      <c r="M143" s="27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13694.6145300331</v>
      </c>
      <c r="N143" s="27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24722.8343230953</v>
      </c>
      <c r="O143" s="27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9129.74302002208</v>
      </c>
      <c r="P143" s="27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4228.36553885501</v>
      </c>
      <c r="Q143" s="35">
        <v>2</v>
      </c>
      <c r="R143" s="36" t="s">
        <v>159</v>
      </c>
      <c r="S143" s="36" t="s">
        <v>71</v>
      </c>
      <c r="T143" s="36" t="s">
        <v>99</v>
      </c>
      <c r="U143" s="36" t="s">
        <v>100</v>
      </c>
      <c r="V143" s="36" t="s">
        <v>71</v>
      </c>
      <c r="W143" s="36" t="s">
        <v>71</v>
      </c>
      <c r="X143" s="36" t="s">
        <v>71</v>
      </c>
      <c r="Y143" s="36" t="s">
        <v>71</v>
      </c>
      <c r="Z143" s="36" t="s">
        <v>82</v>
      </c>
      <c r="AA143" s="36" t="s">
        <v>71</v>
      </c>
      <c r="AB143" s="36" t="s">
        <v>71</v>
      </c>
      <c r="AC143" s="36" t="s">
        <v>71</v>
      </c>
      <c r="AD143" s="36" t="s">
        <v>72</v>
      </c>
      <c r="AE143" s="36" t="s">
        <v>94</v>
      </c>
      <c r="AF143" s="36" t="s">
        <v>148</v>
      </c>
      <c r="AG143" s="36" t="s">
        <v>120</v>
      </c>
      <c r="AH143" t="str">
        <f>VLOOKUP($R143,武学奇术!$A:$ZZ,25,FALSE)</f>
        <v>单体奇术</v>
      </c>
      <c r="AI143" s="20">
        <f>VLOOKUP($R143,武学奇术!$A:$ZZ,26,FALSE)</f>
        <v>0.236</v>
      </c>
      <c r="AJ143" s="21">
        <f>VLOOKUP($R143,武学奇术!$A:$ZZ,27,FALSE)*(1+IF(OR($AH143=$F$4,$AH143=$F$5),$B$22,0))</f>
        <v>44</v>
      </c>
      <c r="AK143" s="20">
        <f>VLOOKUP($R143,武学奇术!$A:$ZZ,28,FALSE)</f>
        <v>0.354</v>
      </c>
      <c r="AL143" s="21">
        <f>VLOOKUP($R143,武学奇术!$A:$ZZ,29,FALSE)*(1+IF(OR($AH143=$F$4,$AH143=$F$5),$B$22,0))</f>
        <v>0</v>
      </c>
      <c r="AM143" s="20" cm="1">
        <f t="array" ref="AM143">$G$3+IFERROR(VLOOKUP($AH143,$F$4:$G$7,2,FALSE),0)+VLOOKUP($R143,武学奇术!$A:$ZZ,2,FALSE)+SUM(_xlfn.XLOOKUP($S143:$AG143,增益!$A:$A,增益!$B:$B,0))</f>
        <v>1.4165</v>
      </c>
      <c r="AN143" s="20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1554.72</v>
      </c>
      <c r="AP143" cm="1">
        <f t="array" ref="AP143">$E$10*(1+$AN143)+VLOOKUP($R143,武学奇术!$A:$ZZ,4,FALSE)+SUM(_xlfn.XLOOKUP($S143:$AG143,增益!$A:$A,增益!$D:$D,0))-$I$2</f>
        <v>6665.76</v>
      </c>
      <c r="AQ143" s="29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0.3425</v>
      </c>
      <c r="AR143" s="29" cm="1">
        <f t="array" ref="AR143">$G$10+VLOOKUP($R143,武学奇术!$A:$ZZ,7,FALSE)+SUM(_xlfn.XLOOKUP(S143:AG143,增益!$A:$A,增益!$G:$G,0))</f>
        <v>0</v>
      </c>
      <c r="AS143" s="20" cm="1">
        <f t="array" ref="AS143">VLOOKUP($R143,武学奇术!$A:$ZZ,8,FALSE)+SUM(_xlfn.XLOOKUP(S143:AG143,增益!$A:$A,增益!$H:$H,0))</f>
        <v>0</v>
      </c>
      <c r="AT143">
        <f t="shared" si="63"/>
        <v>538</v>
      </c>
      <c r="AU143">
        <f t="shared" si="64"/>
        <v>1011</v>
      </c>
      <c r="AV143" s="29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0.08</v>
      </c>
      <c r="AW143" s="29" cm="1">
        <f t="array" ref="AW143">$G$11+VLOOKUP($R143,武学奇术!$A:$ZZ,10,FALSE)+SUM(_xlfn.XLOOKUP(S143:AG143,增益!$A:$A,增益!$J:$J,0))</f>
        <v>0.15</v>
      </c>
      <c r="AX143">
        <f t="shared" si="65"/>
        <v>0</v>
      </c>
      <c r="AY143">
        <f t="shared" si="66"/>
        <v>0</v>
      </c>
      <c r="AZ143" s="29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-0.14</v>
      </c>
      <c r="BA143" s="29" cm="1">
        <f t="array" ref="BA143">$G$12+VLOOKUP($R143,武学奇术!$A:$ZZ,12,FALSE)+SUM(_xlfn.XLOOKUP(S143:AG143,增益!$A:$A,增益!$L:$L,0))</f>
        <v>0</v>
      </c>
      <c r="BB143">
        <f t="shared" si="67"/>
        <v>0</v>
      </c>
      <c r="BC143">
        <f t="shared" si="68"/>
        <v>0</v>
      </c>
      <c r="BD143" s="29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-0.14</v>
      </c>
      <c r="BE143" s="29" cm="1">
        <f t="array" ref="BE143">$G$13+VLOOKUP($R143,武学奇术!$A:$ZZ,14,FALSE)+SUM(_xlfn.XLOOKUP(S143:AG143,增益!$A:$A,增益!$N:$N,0))</f>
        <v>0</v>
      </c>
      <c r="BF143">
        <f t="shared" si="69"/>
        <v>0</v>
      </c>
      <c r="BG143">
        <f t="shared" si="70"/>
        <v>0</v>
      </c>
      <c r="BH143" s="29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-0.14</v>
      </c>
      <c r="BI143" s="29" cm="1">
        <f t="array" ref="BI143">$G$14+VLOOKUP($R143,武学奇术!$A:$ZZ,16,FALSE)+SUM(_xlfn.XLOOKUP(S143:AG143,增益!$A:$A,增益!$P:$P,0))</f>
        <v>0</v>
      </c>
      <c r="BJ143" s="20">
        <f>MIN(IF(VLOOKUP($R143,武学奇术!$A:$ZZ,23,FALSE)=1,100%,$B$8),100%)</f>
        <v>0.8271</v>
      </c>
      <c r="BK143" s="20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0.2249</v>
      </c>
      <c r="BL143" s="20" cm="1">
        <f t="array" ref="BL143">1+$B$13+VLOOKUP($R143,武学奇术!$A:$ZZ,18,FALSE)+SUM(_xlfn.XLOOKUP(S143:AG143,增益!$A:$A,增益!$R:$R,0))</f>
        <v>1.5</v>
      </c>
      <c r="BM143" s="20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0.4459</v>
      </c>
      <c r="BN143" s="20" cm="1">
        <f t="array" ref="BN143">1+$B$14+VLOOKUP($R143,武学奇术!$A:$ZZ,20,FALSE)+SUM(_xlfn.XLOOKUP(S143:AG143,增益!$A:$A,增益!$T:$T,0))</f>
        <v>1.762</v>
      </c>
      <c r="BO143" s="20">
        <f t="shared" si="71"/>
        <v>0.18601479</v>
      </c>
      <c r="BP143" s="20">
        <f t="shared" si="72"/>
        <v>0.27228132</v>
      </c>
      <c r="BQ143" s="20">
        <f>IF(VLOOKUP($R143,武学奇术!$A:$ZZ,22,FALSE)=1,0,(1-$BJ143))*(1-$BM143)</f>
        <v>0.09580389</v>
      </c>
      <c r="BR143" s="20" cm="1">
        <f t="array" ref="BR143">SUM(_xlfn.XLOOKUP(S143:AG143,增益!$A:$A,增益!$W:$W,0))+$I$5</f>
        <v>0.11</v>
      </c>
    </row>
    <row r="144" spans="11:70">
      <c r="K144" s="27">
        <f>$L144*VLOOKUP($R144,武学奇术!$A:$ZZ,31,FALSE)</f>
        <v>19845.3099474171</v>
      </c>
      <c r="L144" s="27">
        <f t="shared" si="62"/>
        <v>33075.5165790285</v>
      </c>
      <c r="M144" s="27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27547.2989022959</v>
      </c>
      <c r="N144" s="27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49631.348020863</v>
      </c>
      <c r="O144" s="27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18364.865934864</v>
      </c>
      <c r="P144" s="27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8562.11097252982</v>
      </c>
      <c r="Q144" s="35">
        <v>4</v>
      </c>
      <c r="R144" s="36" t="s">
        <v>159</v>
      </c>
      <c r="S144" s="36" t="s">
        <v>71</v>
      </c>
      <c r="T144" s="36" t="s">
        <v>99</v>
      </c>
      <c r="U144" s="36" t="s">
        <v>100</v>
      </c>
      <c r="V144" s="36" t="s">
        <v>71</v>
      </c>
      <c r="W144" s="36" t="s">
        <v>111</v>
      </c>
      <c r="X144" s="36" t="s">
        <v>71</v>
      </c>
      <c r="Y144" s="36" t="s">
        <v>71</v>
      </c>
      <c r="Z144" s="36" t="s">
        <v>82</v>
      </c>
      <c r="AA144" s="36" t="s">
        <v>71</v>
      </c>
      <c r="AB144" s="36" t="s">
        <v>71</v>
      </c>
      <c r="AC144" s="36" t="s">
        <v>71</v>
      </c>
      <c r="AD144" s="36" t="s">
        <v>72</v>
      </c>
      <c r="AE144" s="36" t="s">
        <v>94</v>
      </c>
      <c r="AF144" s="36" t="s">
        <v>148</v>
      </c>
      <c r="AG144" s="36" t="s">
        <v>120</v>
      </c>
      <c r="AH144" t="str">
        <f>VLOOKUP($R144,武学奇术!$A:$ZZ,25,FALSE)</f>
        <v>单体奇术</v>
      </c>
      <c r="AI144" s="20">
        <f>VLOOKUP($R144,武学奇术!$A:$ZZ,26,FALSE)</f>
        <v>0.236</v>
      </c>
      <c r="AJ144" s="21">
        <f>VLOOKUP($R144,武学奇术!$A:$ZZ,27,FALSE)*(1+IF(OR($AH144=$F$4,$AH144=$F$5),$B$22,0))</f>
        <v>44</v>
      </c>
      <c r="AK144" s="20">
        <f>VLOOKUP($R144,武学奇术!$A:$ZZ,28,FALSE)</f>
        <v>0.354</v>
      </c>
      <c r="AL144" s="21">
        <f>VLOOKUP($R144,武学奇术!$A:$ZZ,29,FALSE)*(1+IF(OR($AH144=$F$4,$AH144=$F$5),$B$22,0))</f>
        <v>0</v>
      </c>
      <c r="AM144" s="20" cm="1">
        <f t="array" ref="AM144">$G$3+IFERROR(VLOOKUP($AH144,$F$4:$G$7,2,FALSE),0)+VLOOKUP($R144,武学奇术!$A:$ZZ,2,FALSE)+SUM(_xlfn.XLOOKUP($S144:$AG144,增益!$A:$A,增益!$B:$B,0))</f>
        <v>1.4165</v>
      </c>
      <c r="AN144" s="20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1585.72</v>
      </c>
      <c r="AP144" cm="1">
        <f t="array" ref="AP144">$E$10*(1+$AN144)+VLOOKUP($R144,武学奇术!$A:$ZZ,4,FALSE)+SUM(_xlfn.XLOOKUP($S144:$AG144,增益!$A:$A,增益!$D:$D,0))-$I$2</f>
        <v>6696.76</v>
      </c>
      <c r="AQ144" s="29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0.3425</v>
      </c>
      <c r="AR144" s="29" cm="1">
        <f t="array" ref="AR144">$G$10+VLOOKUP($R144,武学奇术!$A:$ZZ,7,FALSE)+SUM(_xlfn.XLOOKUP(S144:AG144,增益!$A:$A,增益!$G:$G,0))</f>
        <v>0</v>
      </c>
      <c r="AS144" s="20" cm="1">
        <f t="array" ref="AS144">VLOOKUP($R144,武学奇术!$A:$ZZ,8,FALSE)+SUM(_xlfn.XLOOKUP(S144:AG144,增益!$A:$A,增益!$H:$H,0))</f>
        <v>0</v>
      </c>
      <c r="AT144">
        <f t="shared" si="63"/>
        <v>538</v>
      </c>
      <c r="AU144">
        <f t="shared" si="64"/>
        <v>1011</v>
      </c>
      <c r="AV144" s="29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0.08</v>
      </c>
      <c r="AW144" s="29" cm="1">
        <f t="array" ref="AW144">$G$11+VLOOKUP($R144,武学奇术!$A:$ZZ,10,FALSE)+SUM(_xlfn.XLOOKUP(S144:AG144,增益!$A:$A,增益!$J:$J,0))</f>
        <v>0.15</v>
      </c>
      <c r="AX144">
        <f t="shared" si="65"/>
        <v>0</v>
      </c>
      <c r="AY144">
        <f t="shared" si="66"/>
        <v>0</v>
      </c>
      <c r="AZ144" s="29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-0.14</v>
      </c>
      <c r="BA144" s="29" cm="1">
        <f t="array" ref="BA144">$G$12+VLOOKUP($R144,武学奇术!$A:$ZZ,12,FALSE)+SUM(_xlfn.XLOOKUP(S144:AG144,增益!$A:$A,增益!$L:$L,0))</f>
        <v>0</v>
      </c>
      <c r="BB144">
        <f t="shared" si="67"/>
        <v>0</v>
      </c>
      <c r="BC144">
        <f t="shared" si="68"/>
        <v>0</v>
      </c>
      <c r="BD144" s="29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-0.14</v>
      </c>
      <c r="BE144" s="29" cm="1">
        <f t="array" ref="BE144">$G$13+VLOOKUP($R144,武学奇术!$A:$ZZ,14,FALSE)+SUM(_xlfn.XLOOKUP(S144:AG144,增益!$A:$A,增益!$N:$N,0))</f>
        <v>0</v>
      </c>
      <c r="BF144">
        <f t="shared" si="69"/>
        <v>0</v>
      </c>
      <c r="BG144">
        <f t="shared" si="70"/>
        <v>0</v>
      </c>
      <c r="BH144" s="29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-0.14</v>
      </c>
      <c r="BI144" s="29" cm="1">
        <f t="array" ref="BI144">$G$14+VLOOKUP($R144,武学奇术!$A:$ZZ,16,FALSE)+SUM(_xlfn.XLOOKUP(S144:AG144,增益!$A:$A,增益!$P:$P,0))</f>
        <v>0</v>
      </c>
      <c r="BJ144" s="20">
        <f>MIN(IF(VLOOKUP($R144,武学奇术!$A:$ZZ,23,FALSE)=1,100%,$B$8),100%)</f>
        <v>0.8271</v>
      </c>
      <c r="BK144" s="20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0.2249</v>
      </c>
      <c r="BL144" s="20" cm="1">
        <f t="array" ref="BL144">1+$B$13+VLOOKUP($R144,武学奇术!$A:$ZZ,18,FALSE)+SUM(_xlfn.XLOOKUP(S144:AG144,增益!$A:$A,增益!$R:$R,0))</f>
        <v>1.5</v>
      </c>
      <c r="BM144" s="20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0.4459</v>
      </c>
      <c r="BN144" s="20" cm="1">
        <f t="array" ref="BN144">1+$B$14+VLOOKUP($R144,武学奇术!$A:$ZZ,20,FALSE)+SUM(_xlfn.XLOOKUP(S144:AG144,增益!$A:$A,增益!$T:$T,0))</f>
        <v>1.762</v>
      </c>
      <c r="BO144" s="20">
        <f t="shared" si="71"/>
        <v>0.18601479</v>
      </c>
      <c r="BP144" s="20">
        <f t="shared" si="72"/>
        <v>0.27228132</v>
      </c>
      <c r="BQ144" s="20">
        <f>IF(VLOOKUP($R144,武学奇术!$A:$ZZ,22,FALSE)=1,0,(1-$BJ144))*(1-$BM144)</f>
        <v>0.09580389</v>
      </c>
      <c r="BR144" s="20" cm="1">
        <f t="array" ref="BR144">SUM(_xlfn.XLOOKUP(S144:AG144,增益!$A:$A,增益!$W:$W,0))+$I$5</f>
        <v>0.11</v>
      </c>
    </row>
    <row r="145" spans="11:70">
      <c r="K145" s="27">
        <f>$L145*VLOOKUP($R145,武学奇术!$A:$ZZ,31,FALSE)</f>
        <v>29881.0044005482</v>
      </c>
      <c r="L145" s="27">
        <f t="shared" si="62"/>
        <v>49801.6740009136</v>
      </c>
      <c r="M145" s="27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41320.9483534439</v>
      </c>
      <c r="N145" s="27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74869.5363447525</v>
      </c>
      <c r="O145" s="27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27547.2989022959</v>
      </c>
      <c r="P145" s="27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12843.1664587947</v>
      </c>
      <c r="Q145" s="35">
        <v>6</v>
      </c>
      <c r="R145" s="36" t="s">
        <v>159</v>
      </c>
      <c r="S145" s="36" t="s">
        <v>71</v>
      </c>
      <c r="T145" s="36" t="s">
        <v>99</v>
      </c>
      <c r="U145" s="36" t="s">
        <v>100</v>
      </c>
      <c r="V145" s="36" t="s">
        <v>71</v>
      </c>
      <c r="W145" s="36" t="s">
        <v>111</v>
      </c>
      <c r="X145" s="36" t="s">
        <v>71</v>
      </c>
      <c r="Y145" s="36" t="s">
        <v>71</v>
      </c>
      <c r="Z145" s="36" t="s">
        <v>82</v>
      </c>
      <c r="AA145" s="36" t="s">
        <v>71</v>
      </c>
      <c r="AB145" s="36" t="s">
        <v>71</v>
      </c>
      <c r="AC145" s="36" t="s">
        <v>71</v>
      </c>
      <c r="AD145" s="36" t="s">
        <v>72</v>
      </c>
      <c r="AE145" s="36" t="s">
        <v>94</v>
      </c>
      <c r="AF145" s="36" t="s">
        <v>150</v>
      </c>
      <c r="AG145" s="36" t="s">
        <v>120</v>
      </c>
      <c r="AH145" t="str">
        <f>VLOOKUP($R145,武学奇术!$A:$ZZ,25,FALSE)</f>
        <v>单体奇术</v>
      </c>
      <c r="AI145" s="20">
        <f>VLOOKUP($R145,武学奇术!$A:$ZZ,26,FALSE)</f>
        <v>0.236</v>
      </c>
      <c r="AJ145" s="21">
        <f>VLOOKUP($R145,武学奇术!$A:$ZZ,27,FALSE)*(1+IF(OR($AH145=$F$4,$AH145=$F$5),$B$22,0))</f>
        <v>44</v>
      </c>
      <c r="AK145" s="20">
        <f>VLOOKUP($R145,武学奇术!$A:$ZZ,28,FALSE)</f>
        <v>0.354</v>
      </c>
      <c r="AL145" s="21">
        <f>VLOOKUP($R145,武学奇术!$A:$ZZ,29,FALSE)*(1+IF(OR($AH145=$F$4,$AH145=$F$5),$B$22,0))</f>
        <v>0</v>
      </c>
      <c r="AM145" s="20" cm="1">
        <f t="array" ref="AM145">$G$3+IFERROR(VLOOKUP($AH145,$F$4:$G$7,2,FALSE),0)+VLOOKUP($R145,武学奇术!$A:$ZZ,2,FALSE)+SUM(_xlfn.XLOOKUP($S145:$AG145,增益!$A:$A,增益!$B:$B,0))</f>
        <v>1.4165</v>
      </c>
      <c r="AN145" s="20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1585.72</v>
      </c>
      <c r="AP145" cm="1">
        <f t="array" ref="AP145">$E$10*(1+$AN145)+VLOOKUP($R145,武学奇术!$A:$ZZ,4,FALSE)+SUM(_xlfn.XLOOKUP($S145:$AG145,增益!$A:$A,增益!$D:$D,0))-$I$2</f>
        <v>6696.76</v>
      </c>
      <c r="AQ145" s="29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0.3425</v>
      </c>
      <c r="AR145" s="29" cm="1">
        <f t="array" ref="AR145">$G$10+VLOOKUP($R145,武学奇术!$A:$ZZ,7,FALSE)+SUM(_xlfn.XLOOKUP(S145:AG145,增益!$A:$A,增益!$G:$G,0))</f>
        <v>0</v>
      </c>
      <c r="AS145" s="20" cm="1">
        <f t="array" ref="AS145">VLOOKUP($R145,武学奇术!$A:$ZZ,8,FALSE)+SUM(_xlfn.XLOOKUP(S145:AG145,增益!$A:$A,增益!$H:$H,0))</f>
        <v>0</v>
      </c>
      <c r="AT145">
        <f t="shared" si="63"/>
        <v>538</v>
      </c>
      <c r="AU145">
        <f t="shared" si="64"/>
        <v>1011</v>
      </c>
      <c r="AV145" s="29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0.08</v>
      </c>
      <c r="AW145" s="29" cm="1">
        <f t="array" ref="AW145">$G$11+VLOOKUP($R145,武学奇术!$A:$ZZ,10,FALSE)+SUM(_xlfn.XLOOKUP(S145:AG145,增益!$A:$A,增益!$J:$J,0))</f>
        <v>0.15</v>
      </c>
      <c r="AX145">
        <f t="shared" si="65"/>
        <v>0</v>
      </c>
      <c r="AY145">
        <f t="shared" si="66"/>
        <v>0</v>
      </c>
      <c r="AZ145" s="29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-0.14</v>
      </c>
      <c r="BA145" s="29" cm="1">
        <f t="array" ref="BA145">$G$12+VLOOKUP($R145,武学奇术!$A:$ZZ,12,FALSE)+SUM(_xlfn.XLOOKUP(S145:AG145,增益!$A:$A,增益!$L:$L,0))</f>
        <v>0</v>
      </c>
      <c r="BB145">
        <f t="shared" si="67"/>
        <v>0</v>
      </c>
      <c r="BC145">
        <f t="shared" si="68"/>
        <v>0</v>
      </c>
      <c r="BD145" s="29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-0.14</v>
      </c>
      <c r="BE145" s="29" cm="1">
        <f t="array" ref="BE145">$G$13+VLOOKUP($R145,武学奇术!$A:$ZZ,14,FALSE)+SUM(_xlfn.XLOOKUP(S145:AG145,增益!$A:$A,增益!$N:$N,0))</f>
        <v>0</v>
      </c>
      <c r="BF145">
        <f t="shared" si="69"/>
        <v>0</v>
      </c>
      <c r="BG145">
        <f t="shared" si="70"/>
        <v>0</v>
      </c>
      <c r="BH145" s="29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-0.14</v>
      </c>
      <c r="BI145" s="29" cm="1">
        <f t="array" ref="BI145">$G$14+VLOOKUP($R145,武学奇术!$A:$ZZ,16,FALSE)+SUM(_xlfn.XLOOKUP(S145:AG145,增益!$A:$A,增益!$P:$P,0))</f>
        <v>0</v>
      </c>
      <c r="BJ145" s="20">
        <f>MIN(IF(VLOOKUP($R145,武学奇术!$A:$ZZ,23,FALSE)=1,100%,$B$8),100%)</f>
        <v>0.8271</v>
      </c>
      <c r="BK145" s="20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0.2249</v>
      </c>
      <c r="BL145" s="20" cm="1">
        <f t="array" ref="BL145">1+$B$13+VLOOKUP($R145,武学奇术!$A:$ZZ,18,FALSE)+SUM(_xlfn.XLOOKUP(S145:AG145,增益!$A:$A,增益!$R:$R,0))</f>
        <v>1.5</v>
      </c>
      <c r="BM145" s="20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0.4459</v>
      </c>
      <c r="BN145" s="20" cm="1">
        <f t="array" ref="BN145">1+$B$14+VLOOKUP($R145,武学奇术!$A:$ZZ,20,FALSE)+SUM(_xlfn.XLOOKUP(S145:AG145,增益!$A:$A,增益!$T:$T,0))</f>
        <v>1.772</v>
      </c>
      <c r="BO145" s="20">
        <f t="shared" si="71"/>
        <v>0.18601479</v>
      </c>
      <c r="BP145" s="20">
        <f t="shared" si="72"/>
        <v>0.27228132</v>
      </c>
      <c r="BQ145" s="20">
        <f>IF(VLOOKUP($R145,武学奇术!$A:$ZZ,22,FALSE)=1,0,(1-$BJ145))*(1-$BM145)</f>
        <v>0.09580389</v>
      </c>
      <c r="BR145" s="20" cm="1">
        <f t="array" ref="BR145">SUM(_xlfn.XLOOKUP(S145:AG145,增益!$A:$A,增益!$W:$W,0))+$I$5</f>
        <v>0.11</v>
      </c>
    </row>
    <row r="146" spans="11:70">
      <c r="K146" s="27">
        <f>$L146*VLOOKUP($R146,武学奇术!$A:$ZZ,31,FALSE)</f>
        <v>19996.0292533138</v>
      </c>
      <c r="L146" s="27">
        <f t="shared" si="62"/>
        <v>33326.7154221897</v>
      </c>
      <c r="M146" s="27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27547.2989022959</v>
      </c>
      <c r="N146" s="27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50194.700438807</v>
      </c>
      <c r="O146" s="27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18364.865934864</v>
      </c>
      <c r="P146" s="27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8562.11097252982</v>
      </c>
      <c r="Q146" s="35">
        <v>4</v>
      </c>
      <c r="R146" s="36" t="s">
        <v>159</v>
      </c>
      <c r="S146" s="36" t="s">
        <v>71</v>
      </c>
      <c r="T146" s="36" t="s">
        <v>99</v>
      </c>
      <c r="U146" s="36" t="s">
        <v>100</v>
      </c>
      <c r="V146" s="36" t="s">
        <v>71</v>
      </c>
      <c r="W146" s="36" t="s">
        <v>111</v>
      </c>
      <c r="X146" s="36" t="s">
        <v>71</v>
      </c>
      <c r="Y146" s="36" t="s">
        <v>71</v>
      </c>
      <c r="Z146" s="36" t="s">
        <v>82</v>
      </c>
      <c r="AA146" s="36" t="s">
        <v>71</v>
      </c>
      <c r="AB146" s="36" t="s">
        <v>71</v>
      </c>
      <c r="AC146" s="36" t="s">
        <v>71</v>
      </c>
      <c r="AD146" s="36" t="s">
        <v>72</v>
      </c>
      <c r="AE146" s="36" t="s">
        <v>94</v>
      </c>
      <c r="AF146" s="36" t="s">
        <v>154</v>
      </c>
      <c r="AG146" s="36" t="s">
        <v>120</v>
      </c>
      <c r="AH146" t="str">
        <f>VLOOKUP($R146,武学奇术!$A:$ZZ,25,FALSE)</f>
        <v>单体奇术</v>
      </c>
      <c r="AI146" s="20">
        <f>VLOOKUP($R146,武学奇术!$A:$ZZ,26,FALSE)</f>
        <v>0.236</v>
      </c>
      <c r="AJ146" s="21">
        <f>VLOOKUP($R146,武学奇术!$A:$ZZ,27,FALSE)*(1+IF(OR($AH146=$F$4,$AH146=$F$5),$B$22,0))</f>
        <v>44</v>
      </c>
      <c r="AK146" s="20">
        <f>VLOOKUP($R146,武学奇术!$A:$ZZ,28,FALSE)</f>
        <v>0.354</v>
      </c>
      <c r="AL146" s="21">
        <f>VLOOKUP($R146,武学奇术!$A:$ZZ,29,FALSE)*(1+IF(OR($AH146=$F$4,$AH146=$F$5),$B$22,0))</f>
        <v>0</v>
      </c>
      <c r="AM146" s="20" cm="1">
        <f t="array" ref="AM146">$G$3+IFERROR(VLOOKUP($AH146,$F$4:$G$7,2,FALSE),0)+VLOOKUP($R146,武学奇术!$A:$ZZ,2,FALSE)+SUM(_xlfn.XLOOKUP($S146:$AG146,增益!$A:$A,增益!$B:$B,0))</f>
        <v>1.4165</v>
      </c>
      <c r="AN146" s="20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1585.72</v>
      </c>
      <c r="AP146" cm="1">
        <f t="array" ref="AP146">$E$10*(1+$AN146)+VLOOKUP($R146,武学奇术!$A:$ZZ,4,FALSE)+SUM(_xlfn.XLOOKUP($S146:$AG146,增益!$A:$A,增益!$D:$D,0))-$I$2</f>
        <v>6696.76</v>
      </c>
      <c r="AQ146" s="29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0.3425</v>
      </c>
      <c r="AR146" s="29" cm="1">
        <f t="array" ref="AR146">$G$10+VLOOKUP($R146,武学奇术!$A:$ZZ,7,FALSE)+SUM(_xlfn.XLOOKUP(S146:AG146,增益!$A:$A,增益!$G:$G,0))</f>
        <v>0</v>
      </c>
      <c r="AS146" s="20" cm="1">
        <f t="array" ref="AS146">VLOOKUP($R146,武学奇术!$A:$ZZ,8,FALSE)+SUM(_xlfn.XLOOKUP(S146:AG146,增益!$A:$A,增益!$H:$H,0))</f>
        <v>0</v>
      </c>
      <c r="AT146">
        <f t="shared" si="63"/>
        <v>538</v>
      </c>
      <c r="AU146">
        <f t="shared" si="64"/>
        <v>1011</v>
      </c>
      <c r="AV146" s="29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0.08</v>
      </c>
      <c r="AW146" s="29" cm="1">
        <f t="array" ref="AW146">$G$11+VLOOKUP($R146,武学奇术!$A:$ZZ,10,FALSE)+SUM(_xlfn.XLOOKUP(S146:AG146,增益!$A:$A,增益!$J:$J,0))</f>
        <v>0.15</v>
      </c>
      <c r="AX146">
        <f t="shared" si="65"/>
        <v>0</v>
      </c>
      <c r="AY146">
        <f t="shared" si="66"/>
        <v>0</v>
      </c>
      <c r="AZ146" s="29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-0.14</v>
      </c>
      <c r="BA146" s="29" cm="1">
        <f t="array" ref="BA146">$G$12+VLOOKUP($R146,武学奇术!$A:$ZZ,12,FALSE)+SUM(_xlfn.XLOOKUP(S146:AG146,增益!$A:$A,增益!$L:$L,0))</f>
        <v>0</v>
      </c>
      <c r="BB146">
        <f t="shared" si="67"/>
        <v>0</v>
      </c>
      <c r="BC146">
        <f t="shared" si="68"/>
        <v>0</v>
      </c>
      <c r="BD146" s="29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-0.14</v>
      </c>
      <c r="BE146" s="29" cm="1">
        <f t="array" ref="BE146">$G$13+VLOOKUP($R146,武学奇术!$A:$ZZ,14,FALSE)+SUM(_xlfn.XLOOKUP(S146:AG146,增益!$A:$A,增益!$N:$N,0))</f>
        <v>0</v>
      </c>
      <c r="BF146">
        <f t="shared" si="69"/>
        <v>0</v>
      </c>
      <c r="BG146">
        <f t="shared" si="70"/>
        <v>0</v>
      </c>
      <c r="BH146" s="29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-0.14</v>
      </c>
      <c r="BI146" s="29" cm="1">
        <f t="array" ref="BI146">$G$14+VLOOKUP($R146,武学奇术!$A:$ZZ,16,FALSE)+SUM(_xlfn.XLOOKUP(S146:AG146,增益!$A:$A,增益!$P:$P,0))</f>
        <v>0</v>
      </c>
      <c r="BJ146" s="20">
        <f>MIN(IF(VLOOKUP($R146,武学奇术!$A:$ZZ,23,FALSE)=1,100%,$B$8),100%)</f>
        <v>0.8271</v>
      </c>
      <c r="BK146" s="20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0.2249</v>
      </c>
      <c r="BL146" s="20" cm="1">
        <f t="array" ref="BL146">1+$B$13+VLOOKUP($R146,武学奇术!$A:$ZZ,18,FALSE)+SUM(_xlfn.XLOOKUP(S146:AG146,增益!$A:$A,增益!$R:$R,0))</f>
        <v>1.5</v>
      </c>
      <c r="BM146" s="20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0.4459</v>
      </c>
      <c r="BN146" s="20" cm="1">
        <f t="array" ref="BN146">1+$B$14+VLOOKUP($R146,武学奇术!$A:$ZZ,20,FALSE)+SUM(_xlfn.XLOOKUP(S146:AG146,增益!$A:$A,增益!$T:$T,0))</f>
        <v>1.782</v>
      </c>
      <c r="BO146" s="20">
        <f t="shared" si="71"/>
        <v>0.18601479</v>
      </c>
      <c r="BP146" s="20">
        <f t="shared" si="72"/>
        <v>0.27228132</v>
      </c>
      <c r="BQ146" s="20">
        <f>IF(VLOOKUP($R146,武学奇术!$A:$ZZ,22,FALSE)=1,0,(1-$BJ146))*(1-$BM146)</f>
        <v>0.09580389</v>
      </c>
      <c r="BR146" s="20" cm="1">
        <f t="array" ref="BR146">SUM(_xlfn.XLOOKUP(S146:AG146,增益!$A:$A,增益!$W:$W,0))+$I$5</f>
        <v>0.11</v>
      </c>
    </row>
    <row r="147" spans="11:70">
      <c r="K147" s="27">
        <f>$L147*VLOOKUP($R147,武学奇术!$A:$ZZ,31,FALSE)</f>
        <v>35956.8831866583</v>
      </c>
      <c r="L147" s="27">
        <f t="shared" si="62"/>
        <v>59928.1386444305</v>
      </c>
      <c r="M147" s="27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49609.7885018593</v>
      </c>
      <c r="N147" s="27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90166.4493920293</v>
      </c>
      <c r="O147" s="27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33073.1923345729</v>
      </c>
      <c r="P147" s="27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15547.9282201954</v>
      </c>
      <c r="Q147" s="35">
        <v>6</v>
      </c>
      <c r="R147" s="36" t="s">
        <v>159</v>
      </c>
      <c r="S147" s="36" t="s">
        <v>152</v>
      </c>
      <c r="T147" s="36" t="s">
        <v>99</v>
      </c>
      <c r="U147" s="36" t="s">
        <v>100</v>
      </c>
      <c r="V147" s="36" t="s">
        <v>71</v>
      </c>
      <c r="W147" s="36" t="s">
        <v>111</v>
      </c>
      <c r="X147" s="36" t="s">
        <v>71</v>
      </c>
      <c r="Y147" s="36" t="s">
        <v>153</v>
      </c>
      <c r="Z147" s="36" t="s">
        <v>82</v>
      </c>
      <c r="AA147" s="36" t="s">
        <v>71</v>
      </c>
      <c r="AB147" s="36" t="s">
        <v>71</v>
      </c>
      <c r="AC147" s="36" t="s">
        <v>71</v>
      </c>
      <c r="AD147" s="36" t="s">
        <v>72</v>
      </c>
      <c r="AE147" s="36" t="s">
        <v>94</v>
      </c>
      <c r="AF147" s="36" t="s">
        <v>154</v>
      </c>
      <c r="AG147" s="36" t="s">
        <v>120</v>
      </c>
      <c r="AH147" t="str">
        <f>VLOOKUP($R147,武学奇术!$A:$ZZ,25,FALSE)</f>
        <v>单体奇术</v>
      </c>
      <c r="AI147" s="20">
        <f>VLOOKUP($R147,武学奇术!$A:$ZZ,26,FALSE)</f>
        <v>0.236</v>
      </c>
      <c r="AJ147" s="21">
        <f>VLOOKUP($R147,武学奇术!$A:$ZZ,27,FALSE)*(1+IF(OR($AH147=$F$4,$AH147=$F$5),$B$22,0))</f>
        <v>44</v>
      </c>
      <c r="AK147" s="20">
        <f>VLOOKUP($R147,武学奇术!$A:$ZZ,28,FALSE)</f>
        <v>0.354</v>
      </c>
      <c r="AL147" s="21">
        <f>VLOOKUP($R147,武学奇术!$A:$ZZ,29,FALSE)*(1+IF(OR($AH147=$F$4,$AH147=$F$5),$B$22,0))</f>
        <v>0</v>
      </c>
      <c r="AM147" s="20" cm="1">
        <f t="array" ref="AM147">$G$3+IFERROR(VLOOKUP($AH147,$F$4:$G$7,2,FALSE),0)+VLOOKUP($R147,武学奇术!$A:$ZZ,2,FALSE)+SUM(_xlfn.XLOOKUP($S147:$AG147,增益!$A:$A,增益!$B:$B,0))</f>
        <v>1.4165</v>
      </c>
      <c r="AN147" s="20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1585.72</v>
      </c>
      <c r="AP147" cm="1">
        <f t="array" ref="AP147">$E$10*(1+$AN147)+VLOOKUP($R147,武学奇术!$A:$ZZ,4,FALSE)+SUM(_xlfn.XLOOKUP($S147:$AG147,增益!$A:$A,增益!$D:$D,0))-$I$2</f>
        <v>6696.76</v>
      </c>
      <c r="AQ147" s="29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0.3425</v>
      </c>
      <c r="AR147" s="29" cm="1">
        <f t="array" ref="AR147">$G$10+VLOOKUP($R147,武学奇术!$A:$ZZ,7,FALSE)+SUM(_xlfn.XLOOKUP(S147:AG147,增益!$A:$A,增益!$G:$G,0))</f>
        <v>0</v>
      </c>
      <c r="AS147" s="20" cm="1">
        <f t="array" ref="AS147">VLOOKUP($R147,武学奇术!$A:$ZZ,8,FALSE)+SUM(_xlfn.XLOOKUP(S147:AG147,增益!$A:$A,增益!$H:$H,0))</f>
        <v>0</v>
      </c>
      <c r="AT147">
        <f t="shared" si="63"/>
        <v>538</v>
      </c>
      <c r="AU147">
        <f t="shared" si="64"/>
        <v>1011</v>
      </c>
      <c r="AV147" s="29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0.08</v>
      </c>
      <c r="AW147" s="29" cm="1">
        <f t="array" ref="AW147">$G$11+VLOOKUP($R147,武学奇术!$A:$ZZ,10,FALSE)+SUM(_xlfn.XLOOKUP(S147:AG147,增益!$A:$A,增益!$J:$J,0))</f>
        <v>0.25</v>
      </c>
      <c r="AX147">
        <f t="shared" si="65"/>
        <v>0</v>
      </c>
      <c r="AY147">
        <f t="shared" si="66"/>
        <v>0</v>
      </c>
      <c r="AZ147" s="29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-0.14</v>
      </c>
      <c r="BA147" s="29" cm="1">
        <f t="array" ref="BA147">$G$12+VLOOKUP($R147,武学奇术!$A:$ZZ,12,FALSE)+SUM(_xlfn.XLOOKUP(S147:AG147,增益!$A:$A,增益!$L:$L,0))</f>
        <v>0</v>
      </c>
      <c r="BB147">
        <f t="shared" si="67"/>
        <v>0</v>
      </c>
      <c r="BC147">
        <f t="shared" si="68"/>
        <v>0</v>
      </c>
      <c r="BD147" s="29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-0.14</v>
      </c>
      <c r="BE147" s="29" cm="1">
        <f t="array" ref="BE147">$G$13+VLOOKUP($R147,武学奇术!$A:$ZZ,14,FALSE)+SUM(_xlfn.XLOOKUP(S147:AG147,增益!$A:$A,增益!$N:$N,0))</f>
        <v>0</v>
      </c>
      <c r="BF147">
        <f t="shared" si="69"/>
        <v>0</v>
      </c>
      <c r="BG147">
        <f t="shared" si="70"/>
        <v>0</v>
      </c>
      <c r="BH147" s="29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-0.14</v>
      </c>
      <c r="BI147" s="29" cm="1">
        <f t="array" ref="BI147">$G$14+VLOOKUP($R147,武学奇术!$A:$ZZ,16,FALSE)+SUM(_xlfn.XLOOKUP(S147:AG147,增益!$A:$A,增益!$P:$P,0))</f>
        <v>0</v>
      </c>
      <c r="BJ147" s="20">
        <f>MIN(IF(VLOOKUP($R147,武学奇术!$A:$ZZ,23,FALSE)=1,100%,$B$8),100%)</f>
        <v>0.8271</v>
      </c>
      <c r="BK147" s="20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0.2249</v>
      </c>
      <c r="BL147" s="20" cm="1">
        <f t="array" ref="BL147">1+$B$13+VLOOKUP($R147,武学奇术!$A:$ZZ,18,FALSE)+SUM(_xlfn.XLOOKUP(S147:AG147,增益!$A:$A,增益!$R:$R,0))</f>
        <v>1.5</v>
      </c>
      <c r="BM147" s="20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0.4459</v>
      </c>
      <c r="BN147" s="20" cm="1">
        <f t="array" ref="BN147">1+$B$14+VLOOKUP($R147,武学奇术!$A:$ZZ,20,FALSE)+SUM(_xlfn.XLOOKUP(S147:AG147,增益!$A:$A,增益!$T:$T,0))</f>
        <v>1.782</v>
      </c>
      <c r="BO147" s="20">
        <f t="shared" si="71"/>
        <v>0.18601479</v>
      </c>
      <c r="BP147" s="20">
        <f t="shared" si="72"/>
        <v>0.27228132</v>
      </c>
      <c r="BQ147" s="20">
        <f>IF(VLOOKUP($R147,武学奇术!$A:$ZZ,22,FALSE)=1,0,(1-$BJ147))*(1-$BM147)</f>
        <v>0.09580389</v>
      </c>
      <c r="BR147" s="20" cm="1">
        <f t="array" ref="BR147">SUM(_xlfn.XLOOKUP(S147:AG147,增益!$A:$A,增益!$W:$W,0))+$I$5</f>
        <v>0.31</v>
      </c>
    </row>
    <row r="148" spans="11:70">
      <c r="K148" s="27">
        <f>$L148*VLOOKUP($R148,武学奇术!$A:$ZZ,31,FALSE)</f>
        <v>35795.512797809</v>
      </c>
      <c r="L148" s="27">
        <f t="shared" si="62"/>
        <v>59659.1879963484</v>
      </c>
      <c r="M148" s="27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49329.9621595337</v>
      </c>
      <c r="N148" s="27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89834.0156973466</v>
      </c>
      <c r="O148" s="27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32886.6414396891</v>
      </c>
      <c r="P148" s="27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15361.3773253117</v>
      </c>
      <c r="Q148" s="35">
        <v>6</v>
      </c>
      <c r="R148" s="36" t="s">
        <v>159</v>
      </c>
      <c r="S148" s="36" t="s">
        <v>152</v>
      </c>
      <c r="T148" s="36" t="s">
        <v>99</v>
      </c>
      <c r="U148" s="36" t="s">
        <v>100</v>
      </c>
      <c r="V148" s="36" t="s">
        <v>71</v>
      </c>
      <c r="W148" s="36" t="s">
        <v>71</v>
      </c>
      <c r="X148" s="36" t="s">
        <v>71</v>
      </c>
      <c r="Y148" s="36" t="s">
        <v>153</v>
      </c>
      <c r="Z148" s="36" t="s">
        <v>82</v>
      </c>
      <c r="AA148" s="36" t="s">
        <v>71</v>
      </c>
      <c r="AB148" s="36" t="s">
        <v>71</v>
      </c>
      <c r="AC148" s="36" t="s">
        <v>71</v>
      </c>
      <c r="AD148" s="36" t="s">
        <v>72</v>
      </c>
      <c r="AE148" s="36" t="s">
        <v>94</v>
      </c>
      <c r="AF148" s="36" t="s">
        <v>154</v>
      </c>
      <c r="AG148" s="36" t="s">
        <v>120</v>
      </c>
      <c r="AH148" t="str">
        <f>VLOOKUP($R148,武学奇术!$A:$ZZ,25,FALSE)</f>
        <v>单体奇术</v>
      </c>
      <c r="AI148" s="20">
        <f>VLOOKUP($R148,武学奇术!$A:$ZZ,26,FALSE)</f>
        <v>0.236</v>
      </c>
      <c r="AJ148" s="21">
        <f>VLOOKUP($R148,武学奇术!$A:$ZZ,27,FALSE)*(1+IF(OR($AH148=$F$4,$AH148=$F$5),$B$22,0))</f>
        <v>44</v>
      </c>
      <c r="AK148" s="20">
        <f>VLOOKUP($R148,武学奇术!$A:$ZZ,28,FALSE)</f>
        <v>0.354</v>
      </c>
      <c r="AL148" s="21">
        <f>VLOOKUP($R148,武学奇术!$A:$ZZ,29,FALSE)*(1+IF(OR($AH148=$F$4,$AH148=$F$5),$B$22,0))</f>
        <v>0</v>
      </c>
      <c r="AM148" s="20" cm="1">
        <f t="array" ref="AM148">$G$3+IFERROR(VLOOKUP($AH148,$F$4:$G$7,2,FALSE),0)+VLOOKUP($R148,武学奇术!$A:$ZZ,2,FALSE)+SUM(_xlfn.XLOOKUP($S148:$AG148,增益!$A:$A,增益!$B:$B,0))</f>
        <v>1.4165</v>
      </c>
      <c r="AN148" s="20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1554.72</v>
      </c>
      <c r="AP148" cm="1">
        <f t="array" ref="AP148">$E$10*(1+$AN148)+VLOOKUP($R148,武学奇术!$A:$ZZ,4,FALSE)+SUM(_xlfn.XLOOKUP($S148:$AG148,增益!$A:$A,增益!$D:$D,0))-$I$2</f>
        <v>6665.76</v>
      </c>
      <c r="AQ148" s="29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0.3425</v>
      </c>
      <c r="AR148" s="29" cm="1">
        <f t="array" ref="AR148">$G$10+VLOOKUP($R148,武学奇术!$A:$ZZ,7,FALSE)+SUM(_xlfn.XLOOKUP(S148:AG148,增益!$A:$A,增益!$G:$G,0))</f>
        <v>0</v>
      </c>
      <c r="AS148" s="20" cm="1">
        <f t="array" ref="AS148">VLOOKUP($R148,武学奇术!$A:$ZZ,8,FALSE)+SUM(_xlfn.XLOOKUP(S148:AG148,增益!$A:$A,增益!$H:$H,0))</f>
        <v>0</v>
      </c>
      <c r="AT148">
        <f t="shared" si="63"/>
        <v>538</v>
      </c>
      <c r="AU148">
        <f t="shared" si="64"/>
        <v>1011</v>
      </c>
      <c r="AV148" s="29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0.08</v>
      </c>
      <c r="AW148" s="29" cm="1">
        <f t="array" ref="AW148">$G$11+VLOOKUP($R148,武学奇术!$A:$ZZ,10,FALSE)+SUM(_xlfn.XLOOKUP(S148:AG148,增益!$A:$A,增益!$J:$J,0))</f>
        <v>0.25</v>
      </c>
      <c r="AX148">
        <f t="shared" si="65"/>
        <v>0</v>
      </c>
      <c r="AY148">
        <f t="shared" si="66"/>
        <v>0</v>
      </c>
      <c r="AZ148" s="29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-0.14</v>
      </c>
      <c r="BA148" s="29" cm="1">
        <f t="array" ref="BA148">$G$12+VLOOKUP($R148,武学奇术!$A:$ZZ,12,FALSE)+SUM(_xlfn.XLOOKUP(S148:AG148,增益!$A:$A,增益!$L:$L,0))</f>
        <v>0</v>
      </c>
      <c r="BB148">
        <f t="shared" si="67"/>
        <v>0</v>
      </c>
      <c r="BC148">
        <f t="shared" si="68"/>
        <v>0</v>
      </c>
      <c r="BD148" s="29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-0.14</v>
      </c>
      <c r="BE148" s="29" cm="1">
        <f t="array" ref="BE148">$G$13+VLOOKUP($R148,武学奇术!$A:$ZZ,14,FALSE)+SUM(_xlfn.XLOOKUP(S148:AG148,增益!$A:$A,增益!$N:$N,0))</f>
        <v>0</v>
      </c>
      <c r="BF148">
        <f t="shared" si="69"/>
        <v>0</v>
      </c>
      <c r="BG148">
        <f t="shared" si="70"/>
        <v>0</v>
      </c>
      <c r="BH148" s="29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-0.14</v>
      </c>
      <c r="BI148" s="29" cm="1">
        <f t="array" ref="BI148">$G$14+VLOOKUP($R148,武学奇术!$A:$ZZ,16,FALSE)+SUM(_xlfn.XLOOKUP(S148:AG148,增益!$A:$A,增益!$P:$P,0))</f>
        <v>0</v>
      </c>
      <c r="BJ148" s="20">
        <f>MIN(IF(VLOOKUP($R148,武学奇术!$A:$ZZ,23,FALSE)=1,100%,$B$8),100%)</f>
        <v>0.8271</v>
      </c>
      <c r="BK148" s="20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0.2249</v>
      </c>
      <c r="BL148" s="20" cm="1">
        <f t="array" ref="BL148">1+$B$13+VLOOKUP($R148,武学奇术!$A:$ZZ,18,FALSE)+SUM(_xlfn.XLOOKUP(S148:AG148,增益!$A:$A,增益!$R:$R,0))</f>
        <v>1.5</v>
      </c>
      <c r="BM148" s="20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0.4459</v>
      </c>
      <c r="BN148" s="20" cm="1">
        <f t="array" ref="BN148">1+$B$14+VLOOKUP($R148,武学奇术!$A:$ZZ,20,FALSE)+SUM(_xlfn.XLOOKUP(S148:AG148,增益!$A:$A,增益!$T:$T,0))</f>
        <v>1.782</v>
      </c>
      <c r="BO148" s="20">
        <f t="shared" si="71"/>
        <v>0.18601479</v>
      </c>
      <c r="BP148" s="20">
        <f t="shared" si="72"/>
        <v>0.27228132</v>
      </c>
      <c r="BQ148" s="20">
        <f>IF(VLOOKUP($R148,武学奇术!$A:$ZZ,22,FALSE)=1,0,(1-$BJ148))*(1-$BM148)</f>
        <v>0.09580389</v>
      </c>
      <c r="BR148" s="20" cm="1">
        <f t="array" ref="BR148">SUM(_xlfn.XLOOKUP(S148:AG148,增益!$A:$A,增益!$W:$W,0))+$I$5</f>
        <v>0.31</v>
      </c>
    </row>
    <row r="149" spans="11:70">
      <c r="K149" s="27">
        <f>$L149*VLOOKUP($R149,武学奇术!$A:$ZZ,31,FALSE)</f>
        <v>11759.45887209</v>
      </c>
      <c r="L149" s="27">
        <f t="shared" si="62"/>
        <v>19599.0981201499</v>
      </c>
      <c r="M149" s="27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16182.9428714261</v>
      </c>
      <c r="N149" s="27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29540.8868743973</v>
      </c>
      <c r="O149" s="27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10788.6285809507</v>
      </c>
      <c r="P149" s="27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4999.87956684125</v>
      </c>
      <c r="Q149" s="35">
        <v>2</v>
      </c>
      <c r="R149" s="36" t="s">
        <v>159</v>
      </c>
      <c r="S149" s="36" t="s">
        <v>152</v>
      </c>
      <c r="T149" s="36" t="s">
        <v>99</v>
      </c>
      <c r="U149" s="36" t="s">
        <v>100</v>
      </c>
      <c r="V149" s="36" t="s">
        <v>71</v>
      </c>
      <c r="W149" s="36" t="s">
        <v>71</v>
      </c>
      <c r="X149" s="36" t="s">
        <v>71</v>
      </c>
      <c r="Y149" s="36" t="s">
        <v>153</v>
      </c>
      <c r="Z149" s="36" t="s">
        <v>71</v>
      </c>
      <c r="AA149" s="36" t="s">
        <v>71</v>
      </c>
      <c r="AB149" s="36" t="s">
        <v>71</v>
      </c>
      <c r="AC149" s="36" t="s">
        <v>71</v>
      </c>
      <c r="AD149" s="36" t="s">
        <v>72</v>
      </c>
      <c r="AE149" s="36" t="s">
        <v>94</v>
      </c>
      <c r="AF149" s="36" t="s">
        <v>154</v>
      </c>
      <c r="AG149" s="36" t="s">
        <v>120</v>
      </c>
      <c r="AH149" t="str">
        <f>VLOOKUP($R149,武学奇术!$A:$ZZ,25,FALSE)</f>
        <v>单体奇术</v>
      </c>
      <c r="AI149" s="20">
        <f>VLOOKUP($R149,武学奇术!$A:$ZZ,26,FALSE)</f>
        <v>0.236</v>
      </c>
      <c r="AJ149" s="21">
        <f>VLOOKUP($R149,武学奇术!$A:$ZZ,27,FALSE)*(1+IF(OR($AH149=$F$4,$AH149=$F$5),$B$22,0))</f>
        <v>44</v>
      </c>
      <c r="AK149" s="20">
        <f>VLOOKUP($R149,武学奇术!$A:$ZZ,28,FALSE)</f>
        <v>0.354</v>
      </c>
      <c r="AL149" s="21">
        <f>VLOOKUP($R149,武学奇术!$A:$ZZ,29,FALSE)*(1+IF(OR($AH149=$F$4,$AH149=$F$5),$B$22,0))</f>
        <v>0</v>
      </c>
      <c r="AM149" s="20" cm="1">
        <f t="array" ref="AM149">$G$3+IFERROR(VLOOKUP($AH149,$F$4:$G$7,2,FALSE),0)+VLOOKUP($R149,武学奇术!$A:$ZZ,2,FALSE)+SUM(_xlfn.XLOOKUP($S149:$AG149,增益!$A:$A,增益!$B:$B,0))</f>
        <v>1.4165</v>
      </c>
      <c r="AN149" s="20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1554.72</v>
      </c>
      <c r="AP149" cm="1">
        <f t="array" ref="AP149">$E$10*(1+$AN149)+VLOOKUP($R149,武学奇术!$A:$ZZ,4,FALSE)+SUM(_xlfn.XLOOKUP($S149:$AG149,增益!$A:$A,增益!$D:$D,0))-$I$2</f>
        <v>6665.76</v>
      </c>
      <c r="AQ149" s="29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0.3425</v>
      </c>
      <c r="AR149" s="29" cm="1">
        <f t="array" ref="AR149">$G$10+VLOOKUP($R149,武学奇术!$A:$ZZ,7,FALSE)+SUM(_xlfn.XLOOKUP(S149:AG149,增益!$A:$A,增益!$G:$G,0))</f>
        <v>0</v>
      </c>
      <c r="AS149" s="20" cm="1">
        <f t="array" ref="AS149">VLOOKUP($R149,武学奇术!$A:$ZZ,8,FALSE)+SUM(_xlfn.XLOOKUP(S149:AG149,增益!$A:$A,增益!$H:$H,0))</f>
        <v>0</v>
      </c>
      <c r="AT149">
        <f t="shared" si="63"/>
        <v>538</v>
      </c>
      <c r="AU149">
        <f t="shared" si="64"/>
        <v>1011</v>
      </c>
      <c r="AV149" s="29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29" cm="1">
        <f t="array" ref="AW149">$G$11+VLOOKUP($R149,武学奇术!$A:$ZZ,10,FALSE)+SUM(_xlfn.XLOOKUP(S149:AG149,增益!$A:$A,增益!$J:$J,0))</f>
        <v>0.25</v>
      </c>
      <c r="AX149">
        <f t="shared" si="65"/>
        <v>0</v>
      </c>
      <c r="AY149">
        <f t="shared" si="66"/>
        <v>0</v>
      </c>
      <c r="AZ149" s="29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29" cm="1">
        <f t="array" ref="BA149">$G$12+VLOOKUP($R149,武学奇术!$A:$ZZ,12,FALSE)+SUM(_xlfn.XLOOKUP(S149:AG149,增益!$A:$A,增益!$L:$L,0))</f>
        <v>0</v>
      </c>
      <c r="BB149">
        <f t="shared" si="67"/>
        <v>0</v>
      </c>
      <c r="BC149">
        <f t="shared" si="68"/>
        <v>0</v>
      </c>
      <c r="BD149" s="29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29" cm="1">
        <f t="array" ref="BE149">$G$13+VLOOKUP($R149,武学奇术!$A:$ZZ,14,FALSE)+SUM(_xlfn.XLOOKUP(S149:AG149,增益!$A:$A,增益!$N:$N,0))</f>
        <v>0</v>
      </c>
      <c r="BF149">
        <f t="shared" si="69"/>
        <v>0</v>
      </c>
      <c r="BG149">
        <f t="shared" si="70"/>
        <v>0</v>
      </c>
      <c r="BH149" s="29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29" cm="1">
        <f t="array" ref="BI149">$G$14+VLOOKUP($R149,武学奇术!$A:$ZZ,16,FALSE)+SUM(_xlfn.XLOOKUP(S149:AG149,增益!$A:$A,增益!$P:$P,0))</f>
        <v>0</v>
      </c>
      <c r="BJ149" s="20">
        <f>MIN(IF(VLOOKUP($R149,武学奇术!$A:$ZZ,23,FALSE)=1,100%,$B$8),100%)</f>
        <v>0.8271</v>
      </c>
      <c r="BK149" s="20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0.2249</v>
      </c>
      <c r="BL149" s="20" cm="1">
        <f t="array" ref="BL149">1+$B$13+VLOOKUP($R149,武学奇术!$A:$ZZ,18,FALSE)+SUM(_xlfn.XLOOKUP(S149:AG149,增益!$A:$A,增益!$R:$R,0))</f>
        <v>1.5</v>
      </c>
      <c r="BM149" s="20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0.4459</v>
      </c>
      <c r="BN149" s="20" cm="1">
        <f t="array" ref="BN149">1+$B$14+VLOOKUP($R149,武学奇术!$A:$ZZ,20,FALSE)+SUM(_xlfn.XLOOKUP(S149:AG149,增益!$A:$A,增益!$T:$T,0))</f>
        <v>1.782</v>
      </c>
      <c r="BO149" s="20">
        <f t="shared" si="71"/>
        <v>0.18601479</v>
      </c>
      <c r="BP149" s="20">
        <f t="shared" si="72"/>
        <v>0.27228132</v>
      </c>
      <c r="BQ149" s="20">
        <f>IF(VLOOKUP($R149,武学奇术!$A:$ZZ,22,FALSE)=1,0,(1-$BJ149))*(1-$BM149)</f>
        <v>0.09580389</v>
      </c>
      <c r="BR149" s="20" cm="1">
        <f t="array" ref="BR149">SUM(_xlfn.XLOOKUP(S149:AG149,增益!$A:$A,增益!$W:$W,0))+$I$5</f>
        <v>0.31</v>
      </c>
    </row>
    <row r="150" spans="11:70">
      <c r="K150" s="27">
        <f>$L150*VLOOKUP($R150,武学奇术!$A:$ZZ,31,FALSE)</f>
        <v>35439.7470051192</v>
      </c>
      <c r="L150" s="27">
        <f t="shared" si="62"/>
        <v>59066.245008532</v>
      </c>
      <c r="M150" s="27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48828.6549566038</v>
      </c>
      <c r="N150" s="27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88955.0943178745</v>
      </c>
      <c r="O150" s="27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32552.4366377358</v>
      </c>
      <c r="P150" s="27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15186.1895954074</v>
      </c>
      <c r="Q150" s="35">
        <v>6</v>
      </c>
      <c r="R150" s="36" t="s">
        <v>159</v>
      </c>
      <c r="S150" s="36" t="s">
        <v>152</v>
      </c>
      <c r="T150" s="36" t="s">
        <v>99</v>
      </c>
      <c r="U150" s="36" t="s">
        <v>100</v>
      </c>
      <c r="V150" s="36" t="s">
        <v>71</v>
      </c>
      <c r="W150" s="36" t="s">
        <v>111</v>
      </c>
      <c r="X150" s="36" t="s">
        <v>71</v>
      </c>
      <c r="Y150" s="36" t="s">
        <v>153</v>
      </c>
      <c r="Z150" s="36" t="s">
        <v>71</v>
      </c>
      <c r="AA150" s="36" t="s">
        <v>71</v>
      </c>
      <c r="AB150" s="36" t="s">
        <v>71</v>
      </c>
      <c r="AC150" s="36" t="s">
        <v>71</v>
      </c>
      <c r="AD150" s="36" t="s">
        <v>72</v>
      </c>
      <c r="AE150" s="36" t="s">
        <v>94</v>
      </c>
      <c r="AF150" s="36" t="s">
        <v>154</v>
      </c>
      <c r="AG150" s="36" t="s">
        <v>120</v>
      </c>
      <c r="AH150" t="str">
        <f>VLOOKUP($R150,武学奇术!$A:$ZZ,25,FALSE)</f>
        <v>单体奇术</v>
      </c>
      <c r="AI150" s="20">
        <f>VLOOKUP($R150,武学奇术!$A:$ZZ,26,FALSE)</f>
        <v>0.236</v>
      </c>
      <c r="AJ150" s="21">
        <f>VLOOKUP($R150,武学奇术!$A:$ZZ,27,FALSE)*(1+IF(OR($AH150=$F$4,$AH150=$F$5),$B$22,0))</f>
        <v>44</v>
      </c>
      <c r="AK150" s="20">
        <f>VLOOKUP($R150,武学奇术!$A:$ZZ,28,FALSE)</f>
        <v>0.354</v>
      </c>
      <c r="AL150" s="21">
        <f>VLOOKUP($R150,武学奇术!$A:$ZZ,29,FALSE)*(1+IF(OR($AH150=$F$4,$AH150=$F$5),$B$22,0))</f>
        <v>0</v>
      </c>
      <c r="AM150" s="20" cm="1">
        <f t="array" ref="AM150">$G$3+IFERROR(VLOOKUP($AH150,$F$4:$G$7,2,FALSE),0)+VLOOKUP($R150,武学奇术!$A:$ZZ,2,FALSE)+SUM(_xlfn.XLOOKUP($S150:$AG150,增益!$A:$A,增益!$B:$B,0))</f>
        <v>1.4165</v>
      </c>
      <c r="AN150" s="20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1585.72</v>
      </c>
      <c r="AP150" cm="1">
        <f t="array" ref="AP150">$E$10*(1+$AN150)+VLOOKUP($R150,武学奇术!$A:$ZZ,4,FALSE)+SUM(_xlfn.XLOOKUP($S150:$AG150,增益!$A:$A,增益!$D:$D,0))-$I$2</f>
        <v>6696.76</v>
      </c>
      <c r="AQ150" s="29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0.3425</v>
      </c>
      <c r="AR150" s="29" cm="1">
        <f t="array" ref="AR150">$G$10+VLOOKUP($R150,武学奇术!$A:$ZZ,7,FALSE)+SUM(_xlfn.XLOOKUP(S150:AG150,增益!$A:$A,增益!$G:$G,0))</f>
        <v>0</v>
      </c>
      <c r="AS150" s="20" cm="1">
        <f t="array" ref="AS150">VLOOKUP($R150,武学奇术!$A:$ZZ,8,FALSE)+SUM(_xlfn.XLOOKUP(S150:AG150,增益!$A:$A,增益!$H:$H,0))</f>
        <v>0</v>
      </c>
      <c r="AT150">
        <f t="shared" si="63"/>
        <v>538</v>
      </c>
      <c r="AU150">
        <f t="shared" si="64"/>
        <v>1011</v>
      </c>
      <c r="AV150" s="29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29" cm="1">
        <f t="array" ref="AW150">$G$11+VLOOKUP($R150,武学奇术!$A:$ZZ,10,FALSE)+SUM(_xlfn.XLOOKUP(S150:AG150,增益!$A:$A,增益!$J:$J,0))</f>
        <v>0.25</v>
      </c>
      <c r="AX150">
        <f t="shared" si="65"/>
        <v>0</v>
      </c>
      <c r="AY150">
        <f t="shared" si="66"/>
        <v>0</v>
      </c>
      <c r="AZ150" s="29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29" cm="1">
        <f t="array" ref="BA150">$G$12+VLOOKUP($R150,武学奇术!$A:$ZZ,12,FALSE)+SUM(_xlfn.XLOOKUP(S150:AG150,增益!$A:$A,增益!$L:$L,0))</f>
        <v>0</v>
      </c>
      <c r="BB150">
        <f t="shared" si="67"/>
        <v>0</v>
      </c>
      <c r="BC150">
        <f t="shared" si="68"/>
        <v>0</v>
      </c>
      <c r="BD150" s="29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29" cm="1">
        <f t="array" ref="BE150">$G$13+VLOOKUP($R150,武学奇术!$A:$ZZ,14,FALSE)+SUM(_xlfn.XLOOKUP(S150:AG150,增益!$A:$A,增益!$N:$N,0))</f>
        <v>0</v>
      </c>
      <c r="BF150">
        <f t="shared" si="69"/>
        <v>0</v>
      </c>
      <c r="BG150">
        <f t="shared" si="70"/>
        <v>0</v>
      </c>
      <c r="BH150" s="29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29" cm="1">
        <f t="array" ref="BI150">$G$14+VLOOKUP($R150,武学奇术!$A:$ZZ,16,FALSE)+SUM(_xlfn.XLOOKUP(S150:AG150,增益!$A:$A,增益!$P:$P,0))</f>
        <v>0</v>
      </c>
      <c r="BJ150" s="20">
        <f>MIN(IF(VLOOKUP($R150,武学奇术!$A:$ZZ,23,FALSE)=1,100%,$B$8),100%)</f>
        <v>0.8271</v>
      </c>
      <c r="BK150" s="20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0.2249</v>
      </c>
      <c r="BL150" s="20" cm="1">
        <f t="array" ref="BL150">1+$B$13+VLOOKUP($R150,武学奇术!$A:$ZZ,18,FALSE)+SUM(_xlfn.XLOOKUP(S150:AG150,增益!$A:$A,增益!$R:$R,0))</f>
        <v>1.5</v>
      </c>
      <c r="BM150" s="20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0.4459</v>
      </c>
      <c r="BN150" s="20" cm="1">
        <f t="array" ref="BN150">1+$B$14+VLOOKUP($R150,武学奇术!$A:$ZZ,20,FALSE)+SUM(_xlfn.XLOOKUP(S150:AG150,增益!$A:$A,增益!$T:$T,0))</f>
        <v>1.782</v>
      </c>
      <c r="BO150" s="20">
        <f t="shared" si="71"/>
        <v>0.18601479</v>
      </c>
      <c r="BP150" s="20">
        <f t="shared" si="72"/>
        <v>0.27228132</v>
      </c>
      <c r="BQ150" s="20">
        <f>IF(VLOOKUP($R150,武学奇术!$A:$ZZ,22,FALSE)=1,0,(1-$BJ150))*(1-$BM150)</f>
        <v>0.09580389</v>
      </c>
      <c r="BR150" s="20" cm="1">
        <f t="array" ref="BR150">SUM(_xlfn.XLOOKUP(S150:AG150,增益!$A:$A,增益!$W:$W,0))+$I$5</f>
        <v>0.31</v>
      </c>
    </row>
    <row r="151" spans="11:70">
      <c r="K151" s="27">
        <f>$L151*VLOOKUP($R151,武学奇术!$A:$ZZ,31,FALSE)</f>
        <v>9998.0146266569</v>
      </c>
      <c r="L151" s="27">
        <f t="shared" si="62"/>
        <v>16663.3577110948</v>
      </c>
      <c r="M151" s="27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13773.649451148</v>
      </c>
      <c r="N151" s="27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25097.3502194035</v>
      </c>
      <c r="O151" s="27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9182.43296743198</v>
      </c>
      <c r="P151" s="27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4281.05548626491</v>
      </c>
      <c r="Q151" s="35">
        <v>2</v>
      </c>
      <c r="R151" s="36" t="s">
        <v>159</v>
      </c>
      <c r="S151" s="36" t="s">
        <v>71</v>
      </c>
      <c r="T151" s="36" t="s">
        <v>99</v>
      </c>
      <c r="U151" s="36" t="s">
        <v>100</v>
      </c>
      <c r="V151" s="36" t="s">
        <v>71</v>
      </c>
      <c r="W151" s="36" t="s">
        <v>111</v>
      </c>
      <c r="X151" s="36" t="s">
        <v>71</v>
      </c>
      <c r="Y151" s="36" t="s">
        <v>71</v>
      </c>
      <c r="Z151" s="36" t="s">
        <v>82</v>
      </c>
      <c r="AA151" s="36" t="s">
        <v>71</v>
      </c>
      <c r="AB151" s="36" t="s">
        <v>71</v>
      </c>
      <c r="AC151" s="36" t="s">
        <v>71</v>
      </c>
      <c r="AD151" s="36" t="s">
        <v>72</v>
      </c>
      <c r="AE151" s="36" t="s">
        <v>94</v>
      </c>
      <c r="AF151" s="36" t="s">
        <v>154</v>
      </c>
      <c r="AG151" s="36" t="s">
        <v>120</v>
      </c>
      <c r="AH151" t="str">
        <f>VLOOKUP($R151,武学奇术!$A:$ZZ,25,FALSE)</f>
        <v>单体奇术</v>
      </c>
      <c r="AI151" s="20">
        <f>VLOOKUP($R151,武学奇术!$A:$ZZ,26,FALSE)</f>
        <v>0.236</v>
      </c>
      <c r="AJ151" s="21">
        <f>VLOOKUP($R151,武学奇术!$A:$ZZ,27,FALSE)*(1+IF(OR($AH151=$F$4,$AH151=$F$5),$B$22,0))</f>
        <v>44</v>
      </c>
      <c r="AK151" s="20">
        <f>VLOOKUP($R151,武学奇术!$A:$ZZ,28,FALSE)</f>
        <v>0.354</v>
      </c>
      <c r="AL151" s="21">
        <f>VLOOKUP($R151,武学奇术!$A:$ZZ,29,FALSE)*(1+IF(OR($AH151=$F$4,$AH151=$F$5),$B$22,0))</f>
        <v>0</v>
      </c>
      <c r="AM151" s="20" cm="1">
        <f t="array" ref="AM151">$G$3+IFERROR(VLOOKUP($AH151,$F$4:$G$7,2,FALSE),0)+VLOOKUP($R151,武学奇术!$A:$ZZ,2,FALSE)+SUM(_xlfn.XLOOKUP($S151:$AG151,增益!$A:$A,增益!$B:$B,0))</f>
        <v>1.4165</v>
      </c>
      <c r="AN151" s="20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1585.72</v>
      </c>
      <c r="AP151" cm="1">
        <f t="array" ref="AP151">$E$10*(1+$AN151)+VLOOKUP($R151,武学奇术!$A:$ZZ,4,FALSE)+SUM(_xlfn.XLOOKUP($S151:$AG151,增益!$A:$A,增益!$D:$D,0))-$I$2</f>
        <v>6696.76</v>
      </c>
      <c r="AQ151" s="29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0.3425</v>
      </c>
      <c r="AR151" s="29" cm="1">
        <f t="array" ref="AR151">$G$10+VLOOKUP($R151,武学奇术!$A:$ZZ,7,FALSE)+SUM(_xlfn.XLOOKUP(S151:AG151,增益!$A:$A,增益!$G:$G,0))</f>
        <v>0</v>
      </c>
      <c r="AS151" s="20" cm="1">
        <f t="array" ref="AS151">VLOOKUP($R151,武学奇术!$A:$ZZ,8,FALSE)+SUM(_xlfn.XLOOKUP(S151:AG151,增益!$A:$A,增益!$H:$H,0))</f>
        <v>0</v>
      </c>
      <c r="AT151">
        <f t="shared" si="63"/>
        <v>538</v>
      </c>
      <c r="AU151">
        <f t="shared" si="64"/>
        <v>1011</v>
      </c>
      <c r="AV151" s="29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0.08</v>
      </c>
      <c r="AW151" s="29" cm="1">
        <f t="array" ref="AW151">$G$11+VLOOKUP($R151,武学奇术!$A:$ZZ,10,FALSE)+SUM(_xlfn.XLOOKUP(S151:AG151,增益!$A:$A,增益!$J:$J,0))</f>
        <v>0.15</v>
      </c>
      <c r="AX151">
        <f t="shared" si="65"/>
        <v>0</v>
      </c>
      <c r="AY151">
        <f t="shared" si="66"/>
        <v>0</v>
      </c>
      <c r="AZ151" s="29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-0.14</v>
      </c>
      <c r="BA151" s="29" cm="1">
        <f t="array" ref="BA151">$G$12+VLOOKUP($R151,武学奇术!$A:$ZZ,12,FALSE)+SUM(_xlfn.XLOOKUP(S151:AG151,增益!$A:$A,增益!$L:$L,0))</f>
        <v>0</v>
      </c>
      <c r="BB151">
        <f t="shared" si="67"/>
        <v>0</v>
      </c>
      <c r="BC151">
        <f t="shared" si="68"/>
        <v>0</v>
      </c>
      <c r="BD151" s="29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-0.14</v>
      </c>
      <c r="BE151" s="29" cm="1">
        <f t="array" ref="BE151">$G$13+VLOOKUP($R151,武学奇术!$A:$ZZ,14,FALSE)+SUM(_xlfn.XLOOKUP(S151:AG151,增益!$A:$A,增益!$N:$N,0))</f>
        <v>0</v>
      </c>
      <c r="BF151">
        <f t="shared" si="69"/>
        <v>0</v>
      </c>
      <c r="BG151">
        <f t="shared" si="70"/>
        <v>0</v>
      </c>
      <c r="BH151" s="29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-0.14</v>
      </c>
      <c r="BI151" s="29" cm="1">
        <f t="array" ref="BI151">$G$14+VLOOKUP($R151,武学奇术!$A:$ZZ,16,FALSE)+SUM(_xlfn.XLOOKUP(S151:AG151,增益!$A:$A,增益!$P:$P,0))</f>
        <v>0</v>
      </c>
      <c r="BJ151" s="20">
        <f>MIN(IF(VLOOKUP($R151,武学奇术!$A:$ZZ,23,FALSE)=1,100%,$B$8),100%)</f>
        <v>0.8271</v>
      </c>
      <c r="BK151" s="20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0.2249</v>
      </c>
      <c r="BL151" s="20" cm="1">
        <f t="array" ref="BL151">1+$B$13+VLOOKUP($R151,武学奇术!$A:$ZZ,18,FALSE)+SUM(_xlfn.XLOOKUP(S151:AG151,增益!$A:$A,增益!$R:$R,0))</f>
        <v>1.5</v>
      </c>
      <c r="BM151" s="20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0.4459</v>
      </c>
      <c r="BN151" s="20" cm="1">
        <f t="array" ref="BN151">1+$B$14+VLOOKUP($R151,武学奇术!$A:$ZZ,20,FALSE)+SUM(_xlfn.XLOOKUP(S151:AG151,增益!$A:$A,增益!$T:$T,0))</f>
        <v>1.782</v>
      </c>
      <c r="BO151" s="20">
        <f t="shared" si="71"/>
        <v>0.18601479</v>
      </c>
      <c r="BP151" s="20">
        <f t="shared" si="72"/>
        <v>0.27228132</v>
      </c>
      <c r="BQ151" s="20">
        <f>IF(VLOOKUP($R151,武学奇术!$A:$ZZ,22,FALSE)=1,0,(1-$BJ151))*(1-$BM151)</f>
        <v>0.09580389</v>
      </c>
      <c r="BR151" s="20" cm="1">
        <f t="array" ref="BR151">SUM(_xlfn.XLOOKUP(S151:AG151,增益!$A:$A,增益!$W:$W,0))+$I$5</f>
        <v>0.11</v>
      </c>
    </row>
    <row r="152" spans="11:70">
      <c r="K152" s="27">
        <f>$L152*VLOOKUP($R152,武学奇术!$A:$ZZ,31,FALSE)</f>
        <v>29994.0438799707</v>
      </c>
      <c r="L152" s="27">
        <f t="shared" si="62"/>
        <v>49990.0731332845</v>
      </c>
      <c r="M152" s="27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41320.9483534439</v>
      </c>
      <c r="N152" s="27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75292.0506582105</v>
      </c>
      <c r="O152" s="27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27547.2989022959</v>
      </c>
      <c r="P152" s="27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12843.1664587947</v>
      </c>
      <c r="Q152" s="35">
        <v>6</v>
      </c>
      <c r="R152" s="36" t="s">
        <v>159</v>
      </c>
      <c r="S152" s="36" t="s">
        <v>71</v>
      </c>
      <c r="T152" s="36" t="s">
        <v>99</v>
      </c>
      <c r="U152" s="36" t="s">
        <v>100</v>
      </c>
      <c r="V152" s="36" t="s">
        <v>71</v>
      </c>
      <c r="W152" s="36" t="s">
        <v>111</v>
      </c>
      <c r="X152" s="36" t="s">
        <v>71</v>
      </c>
      <c r="Y152" s="36" t="s">
        <v>71</v>
      </c>
      <c r="Z152" s="36" t="s">
        <v>82</v>
      </c>
      <c r="AA152" s="36" t="s">
        <v>71</v>
      </c>
      <c r="AB152" s="36" t="s">
        <v>71</v>
      </c>
      <c r="AC152" s="36" t="s">
        <v>71</v>
      </c>
      <c r="AD152" s="36" t="s">
        <v>72</v>
      </c>
      <c r="AE152" s="36" t="s">
        <v>94</v>
      </c>
      <c r="AF152" s="36" t="s">
        <v>154</v>
      </c>
      <c r="AG152" s="36" t="s">
        <v>120</v>
      </c>
      <c r="AH152" t="str">
        <f>VLOOKUP($R152,武学奇术!$A:$ZZ,25,FALSE)</f>
        <v>单体奇术</v>
      </c>
      <c r="AI152" s="20">
        <f>VLOOKUP($R152,武学奇术!$A:$ZZ,26,FALSE)</f>
        <v>0.236</v>
      </c>
      <c r="AJ152" s="21">
        <f>VLOOKUP($R152,武学奇术!$A:$ZZ,27,FALSE)*(1+IF(OR($AH152=$F$4,$AH152=$F$5),$B$22,0))</f>
        <v>44</v>
      </c>
      <c r="AK152" s="20">
        <f>VLOOKUP($R152,武学奇术!$A:$ZZ,28,FALSE)</f>
        <v>0.354</v>
      </c>
      <c r="AL152" s="21">
        <f>VLOOKUP($R152,武学奇术!$A:$ZZ,29,FALSE)*(1+IF(OR($AH152=$F$4,$AH152=$F$5),$B$22,0))</f>
        <v>0</v>
      </c>
      <c r="AM152" s="20" cm="1">
        <f t="array" ref="AM152">$G$3+IFERROR(VLOOKUP($AH152,$F$4:$G$7,2,FALSE),0)+VLOOKUP($R152,武学奇术!$A:$ZZ,2,FALSE)+SUM(_xlfn.XLOOKUP($S152:$AG152,增益!$A:$A,增益!$B:$B,0))</f>
        <v>1.4165</v>
      </c>
      <c r="AN152" s="20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1585.72</v>
      </c>
      <c r="AP152" cm="1">
        <f t="array" ref="AP152">$E$10*(1+$AN152)+VLOOKUP($R152,武学奇术!$A:$ZZ,4,FALSE)+SUM(_xlfn.XLOOKUP($S152:$AG152,增益!$A:$A,增益!$D:$D,0))-$I$2</f>
        <v>6696.76</v>
      </c>
      <c r="AQ152" s="29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0.3425</v>
      </c>
      <c r="AR152" s="29" cm="1">
        <f t="array" ref="AR152">$G$10+VLOOKUP($R152,武学奇术!$A:$ZZ,7,FALSE)+SUM(_xlfn.XLOOKUP(S152:AG152,增益!$A:$A,增益!$G:$G,0))</f>
        <v>0</v>
      </c>
      <c r="AS152" s="20" cm="1">
        <f t="array" ref="AS152">VLOOKUP($R152,武学奇术!$A:$ZZ,8,FALSE)+SUM(_xlfn.XLOOKUP(S152:AG152,增益!$A:$A,增益!$H:$H,0))</f>
        <v>0</v>
      </c>
      <c r="AT152">
        <f t="shared" si="63"/>
        <v>538</v>
      </c>
      <c r="AU152">
        <f t="shared" si="64"/>
        <v>1011</v>
      </c>
      <c r="AV152" s="29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0.08</v>
      </c>
      <c r="AW152" s="29" cm="1">
        <f t="array" ref="AW152">$G$11+VLOOKUP($R152,武学奇术!$A:$ZZ,10,FALSE)+SUM(_xlfn.XLOOKUP(S152:AG152,增益!$A:$A,增益!$J:$J,0))</f>
        <v>0.15</v>
      </c>
      <c r="AX152">
        <f t="shared" si="65"/>
        <v>0</v>
      </c>
      <c r="AY152">
        <f t="shared" si="66"/>
        <v>0</v>
      </c>
      <c r="AZ152" s="29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-0.14</v>
      </c>
      <c r="BA152" s="29" cm="1">
        <f t="array" ref="BA152">$G$12+VLOOKUP($R152,武学奇术!$A:$ZZ,12,FALSE)+SUM(_xlfn.XLOOKUP(S152:AG152,增益!$A:$A,增益!$L:$L,0))</f>
        <v>0</v>
      </c>
      <c r="BB152">
        <f t="shared" si="67"/>
        <v>0</v>
      </c>
      <c r="BC152">
        <f t="shared" si="68"/>
        <v>0</v>
      </c>
      <c r="BD152" s="29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-0.14</v>
      </c>
      <c r="BE152" s="29" cm="1">
        <f t="array" ref="BE152">$G$13+VLOOKUP($R152,武学奇术!$A:$ZZ,14,FALSE)+SUM(_xlfn.XLOOKUP(S152:AG152,增益!$A:$A,增益!$N:$N,0))</f>
        <v>0</v>
      </c>
      <c r="BF152">
        <f t="shared" si="69"/>
        <v>0</v>
      </c>
      <c r="BG152">
        <f t="shared" si="70"/>
        <v>0</v>
      </c>
      <c r="BH152" s="29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-0.14</v>
      </c>
      <c r="BI152" s="29" cm="1">
        <f t="array" ref="BI152">$G$14+VLOOKUP($R152,武学奇术!$A:$ZZ,16,FALSE)+SUM(_xlfn.XLOOKUP(S152:AG152,增益!$A:$A,增益!$P:$P,0))</f>
        <v>0</v>
      </c>
      <c r="BJ152" s="20">
        <f>MIN(IF(VLOOKUP($R152,武学奇术!$A:$ZZ,23,FALSE)=1,100%,$B$8),100%)</f>
        <v>0.8271</v>
      </c>
      <c r="BK152" s="20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0.2249</v>
      </c>
      <c r="BL152" s="20" cm="1">
        <f t="array" ref="BL152">1+$B$13+VLOOKUP($R152,武学奇术!$A:$ZZ,18,FALSE)+SUM(_xlfn.XLOOKUP(S152:AG152,增益!$A:$A,增益!$R:$R,0))</f>
        <v>1.5</v>
      </c>
      <c r="BM152" s="20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0.4459</v>
      </c>
      <c r="BN152" s="20" cm="1">
        <f t="array" ref="BN152">1+$B$14+VLOOKUP($R152,武学奇术!$A:$ZZ,20,FALSE)+SUM(_xlfn.XLOOKUP(S152:AG152,增益!$A:$A,增益!$T:$T,0))</f>
        <v>1.782</v>
      </c>
      <c r="BO152" s="20">
        <f t="shared" si="71"/>
        <v>0.18601479</v>
      </c>
      <c r="BP152" s="20">
        <f t="shared" si="72"/>
        <v>0.27228132</v>
      </c>
      <c r="BQ152" s="20">
        <f>IF(VLOOKUP($R152,武学奇术!$A:$ZZ,22,FALSE)=1,0,(1-$BJ152))*(1-$BM152)</f>
        <v>0.09580389</v>
      </c>
      <c r="BR152" s="20" cm="1">
        <f t="array" ref="BR152">SUM(_xlfn.XLOOKUP(S152:AG152,增益!$A:$A,增益!$W:$W,0))+$I$5</f>
        <v>0.11</v>
      </c>
    </row>
    <row r="153" spans="11:70">
      <c r="K153" s="27">
        <f>$L153*VLOOKUP($R153,武学奇术!$A:$ZZ,31,FALSE)</f>
        <v>29994.0438799707</v>
      </c>
      <c r="L153" s="27">
        <f t="shared" si="62"/>
        <v>49990.0731332845</v>
      </c>
      <c r="M153" s="27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41320.9483534439</v>
      </c>
      <c r="N153" s="27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75292.0506582105</v>
      </c>
      <c r="O153" s="27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27547.2989022959</v>
      </c>
      <c r="P153" s="27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12843.1664587947</v>
      </c>
      <c r="Q153" s="35">
        <v>6</v>
      </c>
      <c r="R153" s="36" t="s">
        <v>159</v>
      </c>
      <c r="S153" s="36" t="s">
        <v>71</v>
      </c>
      <c r="T153" s="36" t="s">
        <v>99</v>
      </c>
      <c r="U153" s="36" t="s">
        <v>100</v>
      </c>
      <c r="V153" s="36" t="s">
        <v>71</v>
      </c>
      <c r="W153" s="36" t="s">
        <v>111</v>
      </c>
      <c r="X153" s="36" t="s">
        <v>71</v>
      </c>
      <c r="Y153" s="36" t="s">
        <v>71</v>
      </c>
      <c r="Z153" s="36" t="s">
        <v>82</v>
      </c>
      <c r="AA153" s="36" t="s">
        <v>71</v>
      </c>
      <c r="AB153" s="36" t="s">
        <v>71</v>
      </c>
      <c r="AC153" s="36" t="s">
        <v>71</v>
      </c>
      <c r="AD153" s="36" t="s">
        <v>72</v>
      </c>
      <c r="AE153" s="36" t="s">
        <v>94</v>
      </c>
      <c r="AF153" s="36" t="s">
        <v>154</v>
      </c>
      <c r="AG153" s="36" t="s">
        <v>120</v>
      </c>
      <c r="AH153" t="str">
        <f>VLOOKUP($R153,武学奇术!$A:$ZZ,25,FALSE)</f>
        <v>单体奇术</v>
      </c>
      <c r="AI153" s="20">
        <f>VLOOKUP($R153,武学奇术!$A:$ZZ,26,FALSE)</f>
        <v>0.236</v>
      </c>
      <c r="AJ153" s="21">
        <f>VLOOKUP($R153,武学奇术!$A:$ZZ,27,FALSE)*(1+IF(OR($AH153=$F$4,$AH153=$F$5),$B$22,0))</f>
        <v>44</v>
      </c>
      <c r="AK153" s="20">
        <f>VLOOKUP($R153,武学奇术!$A:$ZZ,28,FALSE)</f>
        <v>0.354</v>
      </c>
      <c r="AL153" s="21">
        <f>VLOOKUP($R153,武学奇术!$A:$ZZ,29,FALSE)*(1+IF(OR($AH153=$F$4,$AH153=$F$5),$B$22,0))</f>
        <v>0</v>
      </c>
      <c r="AM153" s="20" cm="1">
        <f t="array" ref="AM153">$G$3+IFERROR(VLOOKUP($AH153,$F$4:$G$7,2,FALSE),0)+VLOOKUP($R153,武学奇术!$A:$ZZ,2,FALSE)+SUM(_xlfn.XLOOKUP($S153:$AG153,增益!$A:$A,增益!$B:$B,0))</f>
        <v>1.4165</v>
      </c>
      <c r="AN153" s="20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1585.72</v>
      </c>
      <c r="AP153" cm="1">
        <f t="array" ref="AP153">$E$10*(1+$AN153)+VLOOKUP($R153,武学奇术!$A:$ZZ,4,FALSE)+SUM(_xlfn.XLOOKUP($S153:$AG153,增益!$A:$A,增益!$D:$D,0))-$I$2</f>
        <v>6696.76</v>
      </c>
      <c r="AQ153" s="29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0.3425</v>
      </c>
      <c r="AR153" s="29" cm="1">
        <f t="array" ref="AR153">$G$10+VLOOKUP($R153,武学奇术!$A:$ZZ,7,FALSE)+SUM(_xlfn.XLOOKUP(S153:AG153,增益!$A:$A,增益!$G:$G,0))</f>
        <v>0</v>
      </c>
      <c r="AS153" s="20" cm="1">
        <f t="array" ref="AS153">VLOOKUP($R153,武学奇术!$A:$ZZ,8,FALSE)+SUM(_xlfn.XLOOKUP(S153:AG153,增益!$A:$A,增益!$H:$H,0))</f>
        <v>0</v>
      </c>
      <c r="AT153">
        <f t="shared" si="63"/>
        <v>538</v>
      </c>
      <c r="AU153">
        <f t="shared" si="64"/>
        <v>1011</v>
      </c>
      <c r="AV153" s="29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0.08</v>
      </c>
      <c r="AW153" s="29" cm="1">
        <f t="array" ref="AW153">$G$11+VLOOKUP($R153,武学奇术!$A:$ZZ,10,FALSE)+SUM(_xlfn.XLOOKUP(S153:AG153,增益!$A:$A,增益!$J:$J,0))</f>
        <v>0.15</v>
      </c>
      <c r="AX153">
        <f t="shared" si="65"/>
        <v>0</v>
      </c>
      <c r="AY153">
        <f t="shared" si="66"/>
        <v>0</v>
      </c>
      <c r="AZ153" s="29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-0.14</v>
      </c>
      <c r="BA153" s="29" cm="1">
        <f t="array" ref="BA153">$G$12+VLOOKUP($R153,武学奇术!$A:$ZZ,12,FALSE)+SUM(_xlfn.XLOOKUP(S153:AG153,增益!$A:$A,增益!$L:$L,0))</f>
        <v>0</v>
      </c>
      <c r="BB153">
        <f t="shared" si="67"/>
        <v>0</v>
      </c>
      <c r="BC153">
        <f t="shared" si="68"/>
        <v>0</v>
      </c>
      <c r="BD153" s="29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-0.14</v>
      </c>
      <c r="BE153" s="29" cm="1">
        <f t="array" ref="BE153">$G$13+VLOOKUP($R153,武学奇术!$A:$ZZ,14,FALSE)+SUM(_xlfn.XLOOKUP(S153:AG153,增益!$A:$A,增益!$N:$N,0))</f>
        <v>0</v>
      </c>
      <c r="BF153">
        <f t="shared" si="69"/>
        <v>0</v>
      </c>
      <c r="BG153">
        <f t="shared" si="70"/>
        <v>0</v>
      </c>
      <c r="BH153" s="29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-0.14</v>
      </c>
      <c r="BI153" s="29" cm="1">
        <f t="array" ref="BI153">$G$14+VLOOKUP($R153,武学奇术!$A:$ZZ,16,FALSE)+SUM(_xlfn.XLOOKUP(S153:AG153,增益!$A:$A,增益!$P:$P,0))</f>
        <v>0</v>
      </c>
      <c r="BJ153" s="20">
        <f>MIN(IF(VLOOKUP($R153,武学奇术!$A:$ZZ,23,FALSE)=1,100%,$B$8),100%)</f>
        <v>0.8271</v>
      </c>
      <c r="BK153" s="20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0.2249</v>
      </c>
      <c r="BL153" s="20" cm="1">
        <f t="array" ref="BL153">1+$B$13+VLOOKUP($R153,武学奇术!$A:$ZZ,18,FALSE)+SUM(_xlfn.XLOOKUP(S153:AG153,增益!$A:$A,增益!$R:$R,0))</f>
        <v>1.5</v>
      </c>
      <c r="BM153" s="20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0.4459</v>
      </c>
      <c r="BN153" s="20" cm="1">
        <f t="array" ref="BN153">1+$B$14+VLOOKUP($R153,武学奇术!$A:$ZZ,20,FALSE)+SUM(_xlfn.XLOOKUP(S153:AG153,增益!$A:$A,增益!$T:$T,0))</f>
        <v>1.782</v>
      </c>
      <c r="BO153" s="20">
        <f t="shared" si="71"/>
        <v>0.18601479</v>
      </c>
      <c r="BP153" s="20">
        <f t="shared" si="72"/>
        <v>0.27228132</v>
      </c>
      <c r="BQ153" s="20">
        <f>IF(VLOOKUP($R153,武学奇术!$A:$ZZ,22,FALSE)=1,0,(1-$BJ153))*(1-$BM153)</f>
        <v>0.09580389</v>
      </c>
      <c r="BR153" s="20" cm="1">
        <f t="array" ref="BR153">SUM(_xlfn.XLOOKUP(S153:AG153,增益!$A:$A,增益!$W:$W,0))+$I$5</f>
        <v>0.11</v>
      </c>
    </row>
    <row r="154" spans="11:70">
      <c r="K154" s="27">
        <f>$L154*VLOOKUP($R154,武学奇术!$A:$ZZ,31,FALSE)</f>
        <v>24881.0918264242</v>
      </c>
      <c r="L154" s="27">
        <f t="shared" si="62"/>
        <v>41468.4863773737</v>
      </c>
      <c r="M154" s="27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34236.5363250828</v>
      </c>
      <c r="N154" s="27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62508.6418327976</v>
      </c>
      <c r="O154" s="27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22824.3575500552</v>
      </c>
      <c r="P154" s="27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10570.9138471375</v>
      </c>
      <c r="Q154" s="35">
        <v>5</v>
      </c>
      <c r="R154" s="36" t="s">
        <v>159</v>
      </c>
      <c r="S154" s="36" t="s">
        <v>71</v>
      </c>
      <c r="T154" s="36" t="s">
        <v>99</v>
      </c>
      <c r="U154" s="36" t="s">
        <v>100</v>
      </c>
      <c r="V154" s="36" t="s">
        <v>71</v>
      </c>
      <c r="W154" s="36" t="s">
        <v>71</v>
      </c>
      <c r="X154" s="36" t="s">
        <v>71</v>
      </c>
      <c r="Y154" s="36" t="s">
        <v>71</v>
      </c>
      <c r="Z154" s="36" t="s">
        <v>82</v>
      </c>
      <c r="AA154" s="36" t="s">
        <v>71</v>
      </c>
      <c r="AB154" s="36" t="s">
        <v>71</v>
      </c>
      <c r="AC154" s="36" t="s">
        <v>71</v>
      </c>
      <c r="AD154" s="36" t="s">
        <v>72</v>
      </c>
      <c r="AE154" s="36" t="s">
        <v>94</v>
      </c>
      <c r="AF154" s="36" t="s">
        <v>154</v>
      </c>
      <c r="AG154" s="36" t="s">
        <v>120</v>
      </c>
      <c r="AH154" t="str">
        <f>VLOOKUP($R154,武学奇术!$A:$ZZ,25,FALSE)</f>
        <v>单体奇术</v>
      </c>
      <c r="AI154" s="20">
        <f>VLOOKUP($R154,武学奇术!$A:$ZZ,26,FALSE)</f>
        <v>0.236</v>
      </c>
      <c r="AJ154" s="21">
        <f>VLOOKUP($R154,武学奇术!$A:$ZZ,27,FALSE)*(1+IF(OR($AH154=$F$4,$AH154=$F$5),$B$22,0))</f>
        <v>44</v>
      </c>
      <c r="AK154" s="20">
        <f>VLOOKUP($R154,武学奇术!$A:$ZZ,28,FALSE)</f>
        <v>0.354</v>
      </c>
      <c r="AL154" s="21">
        <f>VLOOKUP($R154,武学奇术!$A:$ZZ,29,FALSE)*(1+IF(OR($AH154=$F$4,$AH154=$F$5),$B$22,0))</f>
        <v>0</v>
      </c>
      <c r="AM154" s="20" cm="1">
        <f t="array" ref="AM154">$G$3+IFERROR(VLOOKUP($AH154,$F$4:$G$7,2,FALSE),0)+VLOOKUP($R154,武学奇术!$A:$ZZ,2,FALSE)+SUM(_xlfn.XLOOKUP($S154:$AG154,增益!$A:$A,增益!$B:$B,0))</f>
        <v>1.4165</v>
      </c>
      <c r="AN154" s="20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1554.72</v>
      </c>
      <c r="AP154" cm="1">
        <f t="array" ref="AP154">$E$10*(1+$AN154)+VLOOKUP($R154,武学奇术!$A:$ZZ,4,FALSE)+SUM(_xlfn.XLOOKUP($S154:$AG154,增益!$A:$A,增益!$D:$D,0))-$I$2</f>
        <v>6665.76</v>
      </c>
      <c r="AQ154" s="29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0.3425</v>
      </c>
      <c r="AR154" s="29" cm="1">
        <f t="array" ref="AR154">$G$10+VLOOKUP($R154,武学奇术!$A:$ZZ,7,FALSE)+SUM(_xlfn.XLOOKUP(S154:AG154,增益!$A:$A,增益!$G:$G,0))</f>
        <v>0</v>
      </c>
      <c r="AS154" s="20" cm="1">
        <f t="array" ref="AS154">VLOOKUP($R154,武学奇术!$A:$ZZ,8,FALSE)+SUM(_xlfn.XLOOKUP(S154:AG154,增益!$A:$A,增益!$H:$H,0))</f>
        <v>0</v>
      </c>
      <c r="AT154">
        <f t="shared" si="63"/>
        <v>538</v>
      </c>
      <c r="AU154">
        <f t="shared" si="64"/>
        <v>1011</v>
      </c>
      <c r="AV154" s="29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0.08</v>
      </c>
      <c r="AW154" s="29" cm="1">
        <f t="array" ref="AW154">$G$11+VLOOKUP($R154,武学奇术!$A:$ZZ,10,FALSE)+SUM(_xlfn.XLOOKUP(S154:AG154,增益!$A:$A,增益!$J:$J,0))</f>
        <v>0.15</v>
      </c>
      <c r="AX154">
        <f t="shared" si="65"/>
        <v>0</v>
      </c>
      <c r="AY154">
        <f t="shared" si="66"/>
        <v>0</v>
      </c>
      <c r="AZ154" s="29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-0.14</v>
      </c>
      <c r="BA154" s="29" cm="1">
        <f t="array" ref="BA154">$G$12+VLOOKUP($R154,武学奇术!$A:$ZZ,12,FALSE)+SUM(_xlfn.XLOOKUP(S154:AG154,增益!$A:$A,增益!$L:$L,0))</f>
        <v>0</v>
      </c>
      <c r="BB154">
        <f t="shared" si="67"/>
        <v>0</v>
      </c>
      <c r="BC154">
        <f t="shared" si="68"/>
        <v>0</v>
      </c>
      <c r="BD154" s="29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-0.14</v>
      </c>
      <c r="BE154" s="29" cm="1">
        <f t="array" ref="BE154">$G$13+VLOOKUP($R154,武学奇术!$A:$ZZ,14,FALSE)+SUM(_xlfn.XLOOKUP(S154:AG154,增益!$A:$A,增益!$N:$N,0))</f>
        <v>0</v>
      </c>
      <c r="BF154">
        <f t="shared" si="69"/>
        <v>0</v>
      </c>
      <c r="BG154">
        <f t="shared" si="70"/>
        <v>0</v>
      </c>
      <c r="BH154" s="29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-0.14</v>
      </c>
      <c r="BI154" s="29" cm="1">
        <f t="array" ref="BI154">$G$14+VLOOKUP($R154,武学奇术!$A:$ZZ,16,FALSE)+SUM(_xlfn.XLOOKUP(S154:AG154,增益!$A:$A,增益!$P:$P,0))</f>
        <v>0</v>
      </c>
      <c r="BJ154" s="20">
        <f>MIN(IF(VLOOKUP($R154,武学奇术!$A:$ZZ,23,FALSE)=1,100%,$B$8),100%)</f>
        <v>0.8271</v>
      </c>
      <c r="BK154" s="20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0.2249</v>
      </c>
      <c r="BL154" s="20" cm="1">
        <f t="array" ref="BL154">1+$B$13+VLOOKUP($R154,武学奇术!$A:$ZZ,18,FALSE)+SUM(_xlfn.XLOOKUP(S154:AG154,增益!$A:$A,增益!$R:$R,0))</f>
        <v>1.5</v>
      </c>
      <c r="BM154" s="20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0.4459</v>
      </c>
      <c r="BN154" s="20" cm="1">
        <f t="array" ref="BN154">1+$B$14+VLOOKUP($R154,武学奇术!$A:$ZZ,20,FALSE)+SUM(_xlfn.XLOOKUP(S154:AG154,增益!$A:$A,增益!$T:$T,0))</f>
        <v>1.782</v>
      </c>
      <c r="BO154" s="20">
        <f t="shared" si="71"/>
        <v>0.18601479</v>
      </c>
      <c r="BP154" s="20">
        <f t="shared" si="72"/>
        <v>0.27228132</v>
      </c>
      <c r="BQ154" s="20">
        <f>IF(VLOOKUP($R154,武学奇术!$A:$ZZ,22,FALSE)=1,0,(1-$BJ154))*(1-$BM154)</f>
        <v>0.09580389</v>
      </c>
      <c r="BR154" s="20" cm="1">
        <f t="array" ref="BR154">SUM(_xlfn.XLOOKUP(S154:AG154,增益!$A:$A,增益!$W:$W,0))+$I$5</f>
        <v>0.11</v>
      </c>
    </row>
    <row r="155" spans="11:70">
      <c r="K155" s="27">
        <f>$L155*VLOOKUP($R155,武学奇术!$A:$ZZ,31,FALSE)</f>
        <v>54989.080446613</v>
      </c>
      <c r="L155" s="27">
        <f t="shared" si="62"/>
        <v>91648.4674110216</v>
      </c>
      <c r="M155" s="27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75755.0719813138</v>
      </c>
      <c r="N155" s="27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138035.426206719</v>
      </c>
      <c r="O155" s="27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50503.3813208759</v>
      </c>
      <c r="P155" s="27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23545.805174457</v>
      </c>
      <c r="Q155" s="35">
        <v>11</v>
      </c>
      <c r="R155" s="36" t="s">
        <v>159</v>
      </c>
      <c r="S155" s="36" t="s">
        <v>71</v>
      </c>
      <c r="T155" s="36" t="s">
        <v>99</v>
      </c>
      <c r="U155" s="36" t="s">
        <v>100</v>
      </c>
      <c r="V155" s="36" t="s">
        <v>71</v>
      </c>
      <c r="W155" s="36" t="s">
        <v>111</v>
      </c>
      <c r="X155" s="36" t="s">
        <v>71</v>
      </c>
      <c r="Y155" s="36" t="s">
        <v>71</v>
      </c>
      <c r="Z155" s="36" t="s">
        <v>82</v>
      </c>
      <c r="AA155" s="36" t="s">
        <v>71</v>
      </c>
      <c r="AB155" s="36" t="s">
        <v>71</v>
      </c>
      <c r="AC155" s="36" t="s">
        <v>71</v>
      </c>
      <c r="AD155" s="36" t="s">
        <v>72</v>
      </c>
      <c r="AE155" s="36" t="s">
        <v>94</v>
      </c>
      <c r="AF155" s="36" t="s">
        <v>154</v>
      </c>
      <c r="AG155" s="36" t="s">
        <v>120</v>
      </c>
      <c r="AH155" t="str">
        <f>VLOOKUP($R155,武学奇术!$A:$ZZ,25,FALSE)</f>
        <v>单体奇术</v>
      </c>
      <c r="AI155" s="20">
        <f>VLOOKUP($R155,武学奇术!$A:$ZZ,26,FALSE)</f>
        <v>0.236</v>
      </c>
      <c r="AJ155" s="21">
        <f>VLOOKUP($R155,武学奇术!$A:$ZZ,27,FALSE)*(1+IF(OR($AH155=$F$4,$AH155=$F$5),$B$22,0))</f>
        <v>44</v>
      </c>
      <c r="AK155" s="20">
        <f>VLOOKUP($R155,武学奇术!$A:$ZZ,28,FALSE)</f>
        <v>0.354</v>
      </c>
      <c r="AL155" s="21">
        <f>VLOOKUP($R155,武学奇术!$A:$ZZ,29,FALSE)*(1+IF(OR($AH155=$F$4,$AH155=$F$5),$B$22,0))</f>
        <v>0</v>
      </c>
      <c r="AM155" s="20" cm="1">
        <f t="array" ref="AM155">$G$3+IFERROR(VLOOKUP($AH155,$F$4:$G$7,2,FALSE),0)+VLOOKUP($R155,武学奇术!$A:$ZZ,2,FALSE)+SUM(_xlfn.XLOOKUP($S155:$AG155,增益!$A:$A,增益!$B:$B,0))</f>
        <v>1.4165</v>
      </c>
      <c r="AN155" s="20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1585.72</v>
      </c>
      <c r="AP155" cm="1">
        <f t="array" ref="AP155">$E$10*(1+$AN155)+VLOOKUP($R155,武学奇术!$A:$ZZ,4,FALSE)+SUM(_xlfn.XLOOKUP($S155:$AG155,增益!$A:$A,增益!$D:$D,0))-$I$2</f>
        <v>6696.76</v>
      </c>
      <c r="AQ155" s="29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0.3425</v>
      </c>
      <c r="AR155" s="29" cm="1">
        <f t="array" ref="AR155">$G$10+VLOOKUP($R155,武学奇术!$A:$ZZ,7,FALSE)+SUM(_xlfn.XLOOKUP(S155:AG155,增益!$A:$A,增益!$G:$G,0))</f>
        <v>0</v>
      </c>
      <c r="AS155" s="20" cm="1">
        <f t="array" ref="AS155">VLOOKUP($R155,武学奇术!$A:$ZZ,8,FALSE)+SUM(_xlfn.XLOOKUP(S155:AG155,增益!$A:$A,增益!$H:$H,0))</f>
        <v>0</v>
      </c>
      <c r="AT155">
        <f t="shared" si="63"/>
        <v>538</v>
      </c>
      <c r="AU155">
        <f t="shared" si="64"/>
        <v>1011</v>
      </c>
      <c r="AV155" s="29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0.08</v>
      </c>
      <c r="AW155" s="29" cm="1">
        <f t="array" ref="AW155">$G$11+VLOOKUP($R155,武学奇术!$A:$ZZ,10,FALSE)+SUM(_xlfn.XLOOKUP(S155:AG155,增益!$A:$A,增益!$J:$J,0))</f>
        <v>0.15</v>
      </c>
      <c r="AX155">
        <f t="shared" si="65"/>
        <v>0</v>
      </c>
      <c r="AY155">
        <f t="shared" si="66"/>
        <v>0</v>
      </c>
      <c r="AZ155" s="29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-0.14</v>
      </c>
      <c r="BA155" s="29" cm="1">
        <f t="array" ref="BA155">$G$12+VLOOKUP($R155,武学奇术!$A:$ZZ,12,FALSE)+SUM(_xlfn.XLOOKUP(S155:AG155,增益!$A:$A,增益!$L:$L,0))</f>
        <v>0</v>
      </c>
      <c r="BB155">
        <f t="shared" si="67"/>
        <v>0</v>
      </c>
      <c r="BC155">
        <f t="shared" si="68"/>
        <v>0</v>
      </c>
      <c r="BD155" s="29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-0.14</v>
      </c>
      <c r="BE155" s="29" cm="1">
        <f t="array" ref="BE155">$G$13+VLOOKUP($R155,武学奇术!$A:$ZZ,14,FALSE)+SUM(_xlfn.XLOOKUP(S155:AG155,增益!$A:$A,增益!$N:$N,0))</f>
        <v>0</v>
      </c>
      <c r="BF155">
        <f t="shared" si="69"/>
        <v>0</v>
      </c>
      <c r="BG155">
        <f t="shared" si="70"/>
        <v>0</v>
      </c>
      <c r="BH155" s="29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-0.14</v>
      </c>
      <c r="BI155" s="29" cm="1">
        <f t="array" ref="BI155">$G$14+VLOOKUP($R155,武学奇术!$A:$ZZ,16,FALSE)+SUM(_xlfn.XLOOKUP(S155:AG155,增益!$A:$A,增益!$P:$P,0))</f>
        <v>0</v>
      </c>
      <c r="BJ155" s="20">
        <f>MIN(IF(VLOOKUP($R155,武学奇术!$A:$ZZ,23,FALSE)=1,100%,$B$8),100%)</f>
        <v>0.8271</v>
      </c>
      <c r="BK155" s="20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0.2249</v>
      </c>
      <c r="BL155" s="20" cm="1">
        <f t="array" ref="BL155">1+$B$13+VLOOKUP($R155,武学奇术!$A:$ZZ,18,FALSE)+SUM(_xlfn.XLOOKUP(S155:AG155,增益!$A:$A,增益!$R:$R,0))</f>
        <v>1.5</v>
      </c>
      <c r="BM155" s="20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0.4459</v>
      </c>
      <c r="BN155" s="20" cm="1">
        <f t="array" ref="BN155">1+$B$14+VLOOKUP($R155,武学奇术!$A:$ZZ,20,FALSE)+SUM(_xlfn.XLOOKUP(S155:AG155,增益!$A:$A,增益!$T:$T,0))</f>
        <v>1.782</v>
      </c>
      <c r="BO155" s="20">
        <f t="shared" si="71"/>
        <v>0.18601479</v>
      </c>
      <c r="BP155" s="20">
        <f t="shared" si="72"/>
        <v>0.27228132</v>
      </c>
      <c r="BQ155" s="20">
        <f>IF(VLOOKUP($R155,武学奇术!$A:$ZZ,22,FALSE)=1,0,(1-$BJ155))*(1-$BM155)</f>
        <v>0.09580389</v>
      </c>
      <c r="BR155" s="20" cm="1">
        <f t="array" ref="BR155">SUM(_xlfn.XLOOKUP(S155:AG155,增益!$A:$A,增益!$W:$W,0))+$I$5</f>
        <v>0.11</v>
      </c>
    </row>
    <row r="156" spans="11:70">
      <c r="K156" s="27">
        <f>$L156*VLOOKUP($R156,武学奇术!$A:$ZZ,31,FALSE)</f>
        <v>44386.3717719548</v>
      </c>
      <c r="L156" s="27">
        <f t="shared" si="62"/>
        <v>73977.2862865913</v>
      </c>
      <c r="M156" s="27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61068.0329388511</v>
      </c>
      <c r="N156" s="27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111521.622779231</v>
      </c>
      <c r="O156" s="27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40712.021959234</v>
      </c>
      <c r="P156" s="27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18841.7640199094</v>
      </c>
      <c r="Q156" s="35">
        <v>9</v>
      </c>
      <c r="R156" s="36" t="s">
        <v>159</v>
      </c>
      <c r="S156" s="36" t="s">
        <v>71</v>
      </c>
      <c r="T156" s="36" t="s">
        <v>99</v>
      </c>
      <c r="U156" s="36" t="s">
        <v>100</v>
      </c>
      <c r="V156" s="36" t="s">
        <v>71</v>
      </c>
      <c r="W156" s="36" t="s">
        <v>111</v>
      </c>
      <c r="X156" s="36" t="s">
        <v>71</v>
      </c>
      <c r="Y156" s="36" t="s">
        <v>71</v>
      </c>
      <c r="Z156" s="36" t="s">
        <v>71</v>
      </c>
      <c r="AA156" s="36" t="s">
        <v>71</v>
      </c>
      <c r="AB156" s="36" t="s">
        <v>71</v>
      </c>
      <c r="AC156" s="36" t="s">
        <v>71</v>
      </c>
      <c r="AD156" s="36" t="s">
        <v>72</v>
      </c>
      <c r="AE156" s="36" t="s">
        <v>94</v>
      </c>
      <c r="AF156" s="36" t="s">
        <v>154</v>
      </c>
      <c r="AG156" s="36" t="s">
        <v>120</v>
      </c>
      <c r="AH156" t="str">
        <f>VLOOKUP($R156,武学奇术!$A:$ZZ,25,FALSE)</f>
        <v>单体奇术</v>
      </c>
      <c r="AI156" s="20">
        <f>VLOOKUP($R156,武学奇术!$A:$ZZ,26,FALSE)</f>
        <v>0.236</v>
      </c>
      <c r="AJ156" s="21">
        <f>VLOOKUP($R156,武学奇术!$A:$ZZ,27,FALSE)*(1+IF(OR($AH156=$F$4,$AH156=$F$5),$B$22,0))</f>
        <v>44</v>
      </c>
      <c r="AK156" s="20">
        <f>VLOOKUP($R156,武学奇术!$A:$ZZ,28,FALSE)</f>
        <v>0.354</v>
      </c>
      <c r="AL156" s="21">
        <f>VLOOKUP($R156,武学奇术!$A:$ZZ,29,FALSE)*(1+IF(OR($AH156=$F$4,$AH156=$F$5),$B$22,0))</f>
        <v>0</v>
      </c>
      <c r="AM156" s="20" cm="1">
        <f t="array" ref="AM156">$G$3+IFERROR(VLOOKUP($AH156,$F$4:$G$7,2,FALSE),0)+VLOOKUP($R156,武学奇术!$A:$ZZ,2,FALSE)+SUM(_xlfn.XLOOKUP($S156:$AG156,增益!$A:$A,增益!$B:$B,0))</f>
        <v>1.4165</v>
      </c>
      <c r="AN156" s="20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1585.72</v>
      </c>
      <c r="AP156" cm="1">
        <f t="array" ref="AP156">$E$10*(1+$AN156)+VLOOKUP($R156,武学奇术!$A:$ZZ,4,FALSE)+SUM(_xlfn.XLOOKUP($S156:$AG156,增益!$A:$A,增益!$D:$D,0))-$I$2</f>
        <v>6696.76</v>
      </c>
      <c r="AQ156" s="29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0.3425</v>
      </c>
      <c r="AR156" s="29" cm="1">
        <f t="array" ref="AR156">$G$10+VLOOKUP($R156,武学奇术!$A:$ZZ,7,FALSE)+SUM(_xlfn.XLOOKUP(S156:AG156,增益!$A:$A,增益!$G:$G,0))</f>
        <v>0</v>
      </c>
      <c r="AS156" s="20" cm="1">
        <f t="array" ref="AS156">VLOOKUP($R156,武学奇术!$A:$ZZ,8,FALSE)+SUM(_xlfn.XLOOKUP(S156:AG156,增益!$A:$A,增益!$H:$H,0))</f>
        <v>0</v>
      </c>
      <c r="AT156">
        <f t="shared" si="63"/>
        <v>538</v>
      </c>
      <c r="AU156">
        <f t="shared" si="64"/>
        <v>1011</v>
      </c>
      <c r="AV156" s="29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29" cm="1">
        <f t="array" ref="AW156">$G$11+VLOOKUP($R156,武学奇术!$A:$ZZ,10,FALSE)+SUM(_xlfn.XLOOKUP(S156:AG156,增益!$A:$A,增益!$J:$J,0))</f>
        <v>0.15</v>
      </c>
      <c r="AX156">
        <f t="shared" si="65"/>
        <v>0</v>
      </c>
      <c r="AY156">
        <f t="shared" si="66"/>
        <v>0</v>
      </c>
      <c r="AZ156" s="29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29" cm="1">
        <f t="array" ref="BA156">$G$12+VLOOKUP($R156,武学奇术!$A:$ZZ,12,FALSE)+SUM(_xlfn.XLOOKUP(S156:AG156,增益!$A:$A,增益!$L:$L,0))</f>
        <v>0</v>
      </c>
      <c r="BB156">
        <f t="shared" si="67"/>
        <v>0</v>
      </c>
      <c r="BC156">
        <f t="shared" si="68"/>
        <v>0</v>
      </c>
      <c r="BD156" s="29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29" cm="1">
        <f t="array" ref="BE156">$G$13+VLOOKUP($R156,武学奇术!$A:$ZZ,14,FALSE)+SUM(_xlfn.XLOOKUP(S156:AG156,增益!$A:$A,增益!$N:$N,0))</f>
        <v>0</v>
      </c>
      <c r="BF156">
        <f t="shared" si="69"/>
        <v>0</v>
      </c>
      <c r="BG156">
        <f t="shared" si="70"/>
        <v>0</v>
      </c>
      <c r="BH156" s="29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29" cm="1">
        <f t="array" ref="BI156">$G$14+VLOOKUP($R156,武学奇术!$A:$ZZ,16,FALSE)+SUM(_xlfn.XLOOKUP(S156:AG156,增益!$A:$A,增益!$P:$P,0))</f>
        <v>0</v>
      </c>
      <c r="BJ156" s="20">
        <f>MIN(IF(VLOOKUP($R156,武学奇术!$A:$ZZ,23,FALSE)=1,100%,$B$8),100%)</f>
        <v>0.8271</v>
      </c>
      <c r="BK156" s="20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0.2249</v>
      </c>
      <c r="BL156" s="20" cm="1">
        <f t="array" ref="BL156">1+$B$13+VLOOKUP($R156,武学奇术!$A:$ZZ,18,FALSE)+SUM(_xlfn.XLOOKUP(S156:AG156,增益!$A:$A,增益!$R:$R,0))</f>
        <v>1.5</v>
      </c>
      <c r="BM156" s="20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0.4459</v>
      </c>
      <c r="BN156" s="20" cm="1">
        <f t="array" ref="BN156">1+$B$14+VLOOKUP($R156,武学奇术!$A:$ZZ,20,FALSE)+SUM(_xlfn.XLOOKUP(S156:AG156,增益!$A:$A,增益!$T:$T,0))</f>
        <v>1.782</v>
      </c>
      <c r="BO156" s="20">
        <f t="shared" si="71"/>
        <v>0.18601479</v>
      </c>
      <c r="BP156" s="20">
        <f t="shared" si="72"/>
        <v>0.27228132</v>
      </c>
      <c r="BQ156" s="20">
        <f>IF(VLOOKUP($R156,武学奇术!$A:$ZZ,22,FALSE)=1,0,(1-$BJ156))*(1-$BM156)</f>
        <v>0.09580389</v>
      </c>
      <c r="BR156" s="20" cm="1">
        <f t="array" ref="BR156">SUM(_xlfn.XLOOKUP(S156:AG156,增益!$A:$A,增益!$W:$W,0))+$I$5</f>
        <v>0.11</v>
      </c>
    </row>
    <row r="157" spans="11:70">
      <c r="K157" s="27">
        <f>$L157*VLOOKUP($R157,武学奇术!$A:$ZZ,31,FALSE)</f>
        <v>14727.0904131875</v>
      </c>
      <c r="L157" s="27">
        <f t="shared" si="62"/>
        <v>24545.1506886458</v>
      </c>
      <c r="M157" s="27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20237.4585979447</v>
      </c>
      <c r="N157" s="27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37033.0340303172</v>
      </c>
      <c r="O157" s="27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13491.6390652965</v>
      </c>
      <c r="P157" s="27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6201.55308552163</v>
      </c>
      <c r="Q157" s="35">
        <v>3</v>
      </c>
      <c r="R157" s="36" t="s">
        <v>159</v>
      </c>
      <c r="S157" s="36" t="s">
        <v>71</v>
      </c>
      <c r="T157" s="36" t="s">
        <v>99</v>
      </c>
      <c r="U157" s="36" t="s">
        <v>100</v>
      </c>
      <c r="V157" s="36" t="s">
        <v>71</v>
      </c>
      <c r="W157" s="36" t="s">
        <v>71</v>
      </c>
      <c r="X157" s="36" t="s">
        <v>71</v>
      </c>
      <c r="Y157" s="36" t="s">
        <v>71</v>
      </c>
      <c r="Z157" s="36" t="s">
        <v>71</v>
      </c>
      <c r="AA157" s="36" t="s">
        <v>71</v>
      </c>
      <c r="AB157" s="36" t="s">
        <v>71</v>
      </c>
      <c r="AC157" s="36" t="s">
        <v>71</v>
      </c>
      <c r="AD157" s="36" t="s">
        <v>72</v>
      </c>
      <c r="AE157" s="36" t="s">
        <v>94</v>
      </c>
      <c r="AF157" s="36" t="s">
        <v>154</v>
      </c>
      <c r="AG157" s="36" t="s">
        <v>120</v>
      </c>
      <c r="AH157" t="str">
        <f>VLOOKUP($R157,武学奇术!$A:$ZZ,25,FALSE)</f>
        <v>单体奇术</v>
      </c>
      <c r="AI157" s="20">
        <f>VLOOKUP($R157,武学奇术!$A:$ZZ,26,FALSE)</f>
        <v>0.236</v>
      </c>
      <c r="AJ157" s="21">
        <f>VLOOKUP($R157,武学奇术!$A:$ZZ,27,FALSE)*(1+IF(OR($AH157=$F$4,$AH157=$F$5),$B$22,0))</f>
        <v>44</v>
      </c>
      <c r="AK157" s="20">
        <f>VLOOKUP($R157,武学奇术!$A:$ZZ,28,FALSE)</f>
        <v>0.354</v>
      </c>
      <c r="AL157" s="21">
        <f>VLOOKUP($R157,武学奇术!$A:$ZZ,29,FALSE)*(1+IF(OR($AH157=$F$4,$AH157=$F$5),$B$22,0))</f>
        <v>0</v>
      </c>
      <c r="AM157" s="20" cm="1">
        <f t="array" ref="AM157">$G$3+IFERROR(VLOOKUP($AH157,$F$4:$G$7,2,FALSE),0)+VLOOKUP($R157,武学奇术!$A:$ZZ,2,FALSE)+SUM(_xlfn.XLOOKUP($S157:$AG157,增益!$A:$A,增益!$B:$B,0))</f>
        <v>1.4165</v>
      </c>
      <c r="AN157" s="20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1554.72</v>
      </c>
      <c r="AP157" cm="1">
        <f t="array" ref="AP157">$E$10*(1+$AN157)+VLOOKUP($R157,武学奇术!$A:$ZZ,4,FALSE)+SUM(_xlfn.XLOOKUP($S157:$AG157,增益!$A:$A,增益!$D:$D,0))-$I$2</f>
        <v>6665.76</v>
      </c>
      <c r="AQ157" s="29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0.3425</v>
      </c>
      <c r="AR157" s="29" cm="1">
        <f t="array" ref="AR157">$G$10+VLOOKUP($R157,武学奇术!$A:$ZZ,7,FALSE)+SUM(_xlfn.XLOOKUP(S157:AG157,增益!$A:$A,增益!$G:$G,0))</f>
        <v>0</v>
      </c>
      <c r="AS157" s="20" cm="1">
        <f t="array" ref="AS157">VLOOKUP($R157,武学奇术!$A:$ZZ,8,FALSE)+SUM(_xlfn.XLOOKUP(S157:AG157,增益!$A:$A,增益!$H:$H,0))</f>
        <v>0</v>
      </c>
      <c r="AT157">
        <f t="shared" si="63"/>
        <v>538</v>
      </c>
      <c r="AU157">
        <f t="shared" si="64"/>
        <v>1011</v>
      </c>
      <c r="AV157" s="29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29" cm="1">
        <f t="array" ref="AW157">$G$11+VLOOKUP($R157,武学奇术!$A:$ZZ,10,FALSE)+SUM(_xlfn.XLOOKUP(S157:AG157,增益!$A:$A,增益!$J:$J,0))</f>
        <v>0.15</v>
      </c>
      <c r="AX157">
        <f t="shared" si="65"/>
        <v>0</v>
      </c>
      <c r="AY157">
        <f t="shared" si="66"/>
        <v>0</v>
      </c>
      <c r="AZ157" s="29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29" cm="1">
        <f t="array" ref="BA157">$G$12+VLOOKUP($R157,武学奇术!$A:$ZZ,12,FALSE)+SUM(_xlfn.XLOOKUP(S157:AG157,增益!$A:$A,增益!$L:$L,0))</f>
        <v>0</v>
      </c>
      <c r="BB157">
        <f t="shared" si="67"/>
        <v>0</v>
      </c>
      <c r="BC157">
        <f t="shared" si="68"/>
        <v>0</v>
      </c>
      <c r="BD157" s="29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29" cm="1">
        <f t="array" ref="BE157">$G$13+VLOOKUP($R157,武学奇术!$A:$ZZ,14,FALSE)+SUM(_xlfn.XLOOKUP(S157:AG157,增益!$A:$A,增益!$N:$N,0))</f>
        <v>0</v>
      </c>
      <c r="BF157">
        <f t="shared" si="69"/>
        <v>0</v>
      </c>
      <c r="BG157">
        <f t="shared" si="70"/>
        <v>0</v>
      </c>
      <c r="BH157" s="29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29" cm="1">
        <f t="array" ref="BI157">$G$14+VLOOKUP($R157,武学奇术!$A:$ZZ,16,FALSE)+SUM(_xlfn.XLOOKUP(S157:AG157,增益!$A:$A,增益!$P:$P,0))</f>
        <v>0</v>
      </c>
      <c r="BJ157" s="20">
        <f>MIN(IF(VLOOKUP($R157,武学奇术!$A:$ZZ,23,FALSE)=1,100%,$B$8),100%)</f>
        <v>0.8271</v>
      </c>
      <c r="BK157" s="20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0.2249</v>
      </c>
      <c r="BL157" s="20" cm="1">
        <f t="array" ref="BL157">1+$B$13+VLOOKUP($R157,武学奇术!$A:$ZZ,18,FALSE)+SUM(_xlfn.XLOOKUP(S157:AG157,增益!$A:$A,增益!$R:$R,0))</f>
        <v>1.5</v>
      </c>
      <c r="BM157" s="20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0.4459</v>
      </c>
      <c r="BN157" s="20" cm="1">
        <f t="array" ref="BN157">1+$B$14+VLOOKUP($R157,武学奇术!$A:$ZZ,20,FALSE)+SUM(_xlfn.XLOOKUP(S157:AG157,增益!$A:$A,增益!$T:$T,0))</f>
        <v>1.782</v>
      </c>
      <c r="BO157" s="20">
        <f t="shared" si="71"/>
        <v>0.18601479</v>
      </c>
      <c r="BP157" s="20">
        <f t="shared" si="72"/>
        <v>0.27228132</v>
      </c>
      <c r="BQ157" s="20">
        <f>IF(VLOOKUP($R157,武学奇术!$A:$ZZ,22,FALSE)=1,0,(1-$BJ157))*(1-$BM157)</f>
        <v>0.09580389</v>
      </c>
      <c r="BR157" s="20" cm="1">
        <f t="array" ref="BR157">SUM(_xlfn.XLOOKUP(S157:AG157,增益!$A:$A,增益!$W:$W,0))+$I$5</f>
        <v>0.11</v>
      </c>
    </row>
    <row r="158" spans="11:70">
      <c r="K158" s="27">
        <f>$L158*VLOOKUP($R158,武学奇术!$A:$ZZ,31,FALSE)</f>
        <v>14928.6550958545</v>
      </c>
      <c r="L158" s="27">
        <f t="shared" si="62"/>
        <v>24881.0918264243</v>
      </c>
      <c r="M158" s="27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20541.9217950497</v>
      </c>
      <c r="N158" s="27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37505.1850996786</v>
      </c>
      <c r="O158" s="27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13694.6145300331</v>
      </c>
      <c r="P158" s="27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6342.54830828251</v>
      </c>
      <c r="Q158" s="35">
        <v>3</v>
      </c>
      <c r="R158" s="36" t="s">
        <v>159</v>
      </c>
      <c r="S158" s="36" t="s">
        <v>71</v>
      </c>
      <c r="T158" s="36" t="s">
        <v>99</v>
      </c>
      <c r="U158" s="36" t="s">
        <v>100</v>
      </c>
      <c r="V158" s="36" t="s">
        <v>71</v>
      </c>
      <c r="W158" s="36" t="s">
        <v>71</v>
      </c>
      <c r="X158" s="36" t="s">
        <v>71</v>
      </c>
      <c r="Y158" s="36" t="s">
        <v>71</v>
      </c>
      <c r="Z158" s="36" t="s">
        <v>82</v>
      </c>
      <c r="AA158" s="36" t="s">
        <v>71</v>
      </c>
      <c r="AB158" s="36" t="s">
        <v>71</v>
      </c>
      <c r="AC158" s="36" t="s">
        <v>71</v>
      </c>
      <c r="AD158" s="36" t="s">
        <v>72</v>
      </c>
      <c r="AE158" s="36" t="s">
        <v>94</v>
      </c>
      <c r="AF158" s="36" t="s">
        <v>154</v>
      </c>
      <c r="AG158" s="36" t="s">
        <v>120</v>
      </c>
      <c r="AH158" t="str">
        <f>VLOOKUP($R158,武学奇术!$A:$ZZ,25,FALSE)</f>
        <v>单体奇术</v>
      </c>
      <c r="AI158" s="20">
        <f>VLOOKUP($R158,武学奇术!$A:$ZZ,26,FALSE)</f>
        <v>0.236</v>
      </c>
      <c r="AJ158" s="21">
        <f>VLOOKUP($R158,武学奇术!$A:$ZZ,27,FALSE)*(1+IF(OR($AH158=$F$4,$AH158=$F$5),$B$22,0))</f>
        <v>44</v>
      </c>
      <c r="AK158" s="20">
        <f>VLOOKUP($R158,武学奇术!$A:$ZZ,28,FALSE)</f>
        <v>0.354</v>
      </c>
      <c r="AL158" s="21">
        <f>VLOOKUP($R158,武学奇术!$A:$ZZ,29,FALSE)*(1+IF(OR($AH158=$F$4,$AH158=$F$5),$B$22,0))</f>
        <v>0</v>
      </c>
      <c r="AM158" s="20" cm="1">
        <f t="array" ref="AM158">$G$3+IFERROR(VLOOKUP($AH158,$F$4:$G$7,2,FALSE),0)+VLOOKUP($R158,武学奇术!$A:$ZZ,2,FALSE)+SUM(_xlfn.XLOOKUP($S158:$AG158,增益!$A:$A,增益!$B:$B,0))</f>
        <v>1.4165</v>
      </c>
      <c r="AN158" s="20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1554.72</v>
      </c>
      <c r="AP158" cm="1">
        <f t="array" ref="AP158">$E$10*(1+$AN158)+VLOOKUP($R158,武学奇术!$A:$ZZ,4,FALSE)+SUM(_xlfn.XLOOKUP($S158:$AG158,增益!$A:$A,增益!$D:$D,0))-$I$2</f>
        <v>6665.76</v>
      </c>
      <c r="AQ158" s="29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0.3425</v>
      </c>
      <c r="AR158" s="29" cm="1">
        <f t="array" ref="AR158">$G$10+VLOOKUP($R158,武学奇术!$A:$ZZ,7,FALSE)+SUM(_xlfn.XLOOKUP(S158:AG158,增益!$A:$A,增益!$G:$G,0))</f>
        <v>0</v>
      </c>
      <c r="AS158" s="20" cm="1">
        <f t="array" ref="AS158">VLOOKUP($R158,武学奇术!$A:$ZZ,8,FALSE)+SUM(_xlfn.XLOOKUP(S158:AG158,增益!$A:$A,增益!$H:$H,0))</f>
        <v>0</v>
      </c>
      <c r="AT158">
        <f t="shared" si="63"/>
        <v>538</v>
      </c>
      <c r="AU158">
        <f t="shared" si="64"/>
        <v>1011</v>
      </c>
      <c r="AV158" s="29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0.08</v>
      </c>
      <c r="AW158" s="29" cm="1">
        <f t="array" ref="AW158">$G$11+VLOOKUP($R158,武学奇术!$A:$ZZ,10,FALSE)+SUM(_xlfn.XLOOKUP(S158:AG158,增益!$A:$A,增益!$J:$J,0))</f>
        <v>0.15</v>
      </c>
      <c r="AX158">
        <f t="shared" si="65"/>
        <v>0</v>
      </c>
      <c r="AY158">
        <f t="shared" si="66"/>
        <v>0</v>
      </c>
      <c r="AZ158" s="29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-0.14</v>
      </c>
      <c r="BA158" s="29" cm="1">
        <f t="array" ref="BA158">$G$12+VLOOKUP($R158,武学奇术!$A:$ZZ,12,FALSE)+SUM(_xlfn.XLOOKUP(S158:AG158,增益!$A:$A,增益!$L:$L,0))</f>
        <v>0</v>
      </c>
      <c r="BB158">
        <f t="shared" si="67"/>
        <v>0</v>
      </c>
      <c r="BC158">
        <f t="shared" si="68"/>
        <v>0</v>
      </c>
      <c r="BD158" s="29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-0.14</v>
      </c>
      <c r="BE158" s="29" cm="1">
        <f t="array" ref="BE158">$G$13+VLOOKUP($R158,武学奇术!$A:$ZZ,14,FALSE)+SUM(_xlfn.XLOOKUP(S158:AG158,增益!$A:$A,增益!$N:$N,0))</f>
        <v>0</v>
      </c>
      <c r="BF158">
        <f t="shared" si="69"/>
        <v>0</v>
      </c>
      <c r="BG158">
        <f t="shared" si="70"/>
        <v>0</v>
      </c>
      <c r="BH158" s="29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-0.14</v>
      </c>
      <c r="BI158" s="29" cm="1">
        <f t="array" ref="BI158">$G$14+VLOOKUP($R158,武学奇术!$A:$ZZ,16,FALSE)+SUM(_xlfn.XLOOKUP(S158:AG158,增益!$A:$A,增益!$P:$P,0))</f>
        <v>0</v>
      </c>
      <c r="BJ158" s="20">
        <f>MIN(IF(VLOOKUP($R158,武学奇术!$A:$ZZ,23,FALSE)=1,100%,$B$8),100%)</f>
        <v>0.8271</v>
      </c>
      <c r="BK158" s="20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0.2249</v>
      </c>
      <c r="BL158" s="20" cm="1">
        <f t="array" ref="BL158">1+$B$13+VLOOKUP($R158,武学奇术!$A:$ZZ,18,FALSE)+SUM(_xlfn.XLOOKUP(S158:AG158,增益!$A:$A,增益!$R:$R,0))</f>
        <v>1.5</v>
      </c>
      <c r="BM158" s="20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0.4459</v>
      </c>
      <c r="BN158" s="20" cm="1">
        <f t="array" ref="BN158">1+$B$14+VLOOKUP($R158,武学奇术!$A:$ZZ,20,FALSE)+SUM(_xlfn.XLOOKUP(S158:AG158,增益!$A:$A,增益!$T:$T,0))</f>
        <v>1.782</v>
      </c>
      <c r="BO158" s="20">
        <f t="shared" si="71"/>
        <v>0.18601479</v>
      </c>
      <c r="BP158" s="20">
        <f t="shared" si="72"/>
        <v>0.27228132</v>
      </c>
      <c r="BQ158" s="20">
        <f>IF(VLOOKUP($R158,武学奇术!$A:$ZZ,22,FALSE)=1,0,(1-$BJ158))*(1-$BM158)</f>
        <v>0.09580389</v>
      </c>
      <c r="BR158" s="20" cm="1">
        <f t="array" ref="BR158">SUM(_xlfn.XLOOKUP(S158:AG158,增益!$A:$A,增益!$W:$W,0))+$I$5</f>
        <v>0.11</v>
      </c>
    </row>
    <row r="159" spans="11:70">
      <c r="K159" s="27">
        <f>$L159*VLOOKUP($R159,武学奇术!$A:$ZZ,31,FALSE)</f>
        <v>99980.146266569</v>
      </c>
      <c r="L159" s="27">
        <f t="shared" si="62"/>
        <v>166633.577110948</v>
      </c>
      <c r="M159" s="27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137736.49451148</v>
      </c>
      <c r="N159" s="27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250973.502194035</v>
      </c>
      <c r="O159" s="27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91824.3296743198</v>
      </c>
      <c r="P159" s="27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42810.5548626491</v>
      </c>
      <c r="Q159" s="35">
        <v>20</v>
      </c>
      <c r="R159" s="36" t="s">
        <v>159</v>
      </c>
      <c r="S159" s="36" t="s">
        <v>71</v>
      </c>
      <c r="T159" s="36" t="s">
        <v>99</v>
      </c>
      <c r="U159" s="36" t="s">
        <v>100</v>
      </c>
      <c r="V159" s="36" t="s">
        <v>71</v>
      </c>
      <c r="W159" s="36" t="s">
        <v>111</v>
      </c>
      <c r="X159" s="36" t="s">
        <v>71</v>
      </c>
      <c r="Y159" s="36" t="s">
        <v>71</v>
      </c>
      <c r="Z159" s="36" t="s">
        <v>82</v>
      </c>
      <c r="AA159" s="36" t="s">
        <v>71</v>
      </c>
      <c r="AB159" s="36" t="s">
        <v>71</v>
      </c>
      <c r="AC159" s="36" t="s">
        <v>71</v>
      </c>
      <c r="AD159" s="36" t="s">
        <v>72</v>
      </c>
      <c r="AE159" s="36" t="s">
        <v>94</v>
      </c>
      <c r="AF159" s="36" t="s">
        <v>154</v>
      </c>
      <c r="AG159" s="36" t="s">
        <v>120</v>
      </c>
      <c r="AH159" t="str">
        <f>VLOOKUP($R159,武学奇术!$A:$ZZ,25,FALSE)</f>
        <v>单体奇术</v>
      </c>
      <c r="AI159" s="20">
        <f>VLOOKUP($R159,武学奇术!$A:$ZZ,26,FALSE)</f>
        <v>0.236</v>
      </c>
      <c r="AJ159" s="21">
        <f>VLOOKUP($R159,武学奇术!$A:$ZZ,27,FALSE)*(1+IF(OR($AH159=$F$4,$AH159=$F$5),$B$22,0))</f>
        <v>44</v>
      </c>
      <c r="AK159" s="20">
        <f>VLOOKUP($R159,武学奇术!$A:$ZZ,28,FALSE)</f>
        <v>0.354</v>
      </c>
      <c r="AL159" s="21">
        <f>VLOOKUP($R159,武学奇术!$A:$ZZ,29,FALSE)*(1+IF(OR($AH159=$F$4,$AH159=$F$5),$B$22,0))</f>
        <v>0</v>
      </c>
      <c r="AM159" s="20" cm="1">
        <f t="array" ref="AM159">$G$3+IFERROR(VLOOKUP($AH159,$F$4:$G$7,2,FALSE),0)+VLOOKUP($R159,武学奇术!$A:$ZZ,2,FALSE)+SUM(_xlfn.XLOOKUP($S159:$AG159,增益!$A:$A,增益!$B:$B,0))</f>
        <v>1.4165</v>
      </c>
      <c r="AN159" s="20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1585.72</v>
      </c>
      <c r="AP159" cm="1">
        <f t="array" ref="AP159">$E$10*(1+$AN159)+VLOOKUP($R159,武学奇术!$A:$ZZ,4,FALSE)+SUM(_xlfn.XLOOKUP($S159:$AG159,增益!$A:$A,增益!$D:$D,0))-$I$2</f>
        <v>6696.76</v>
      </c>
      <c r="AQ159" s="29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0.3425</v>
      </c>
      <c r="AR159" s="29" cm="1">
        <f t="array" ref="AR159">$G$10+VLOOKUP($R159,武学奇术!$A:$ZZ,7,FALSE)+SUM(_xlfn.XLOOKUP(S159:AG159,增益!$A:$A,增益!$G:$G,0))</f>
        <v>0</v>
      </c>
      <c r="AS159" s="20" cm="1">
        <f t="array" ref="AS159">VLOOKUP($R159,武学奇术!$A:$ZZ,8,FALSE)+SUM(_xlfn.XLOOKUP(S159:AG159,增益!$A:$A,增益!$H:$H,0))</f>
        <v>0</v>
      </c>
      <c r="AT159">
        <f t="shared" si="63"/>
        <v>538</v>
      </c>
      <c r="AU159">
        <f t="shared" si="64"/>
        <v>1011</v>
      </c>
      <c r="AV159" s="29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0.08</v>
      </c>
      <c r="AW159" s="29" cm="1">
        <f t="array" ref="AW159">$G$11+VLOOKUP($R159,武学奇术!$A:$ZZ,10,FALSE)+SUM(_xlfn.XLOOKUP(S159:AG159,增益!$A:$A,增益!$J:$J,0))</f>
        <v>0.15</v>
      </c>
      <c r="AX159">
        <f t="shared" si="65"/>
        <v>0</v>
      </c>
      <c r="AY159">
        <f t="shared" si="66"/>
        <v>0</v>
      </c>
      <c r="AZ159" s="29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-0.14</v>
      </c>
      <c r="BA159" s="29" cm="1">
        <f t="array" ref="BA159">$G$12+VLOOKUP($R159,武学奇术!$A:$ZZ,12,FALSE)+SUM(_xlfn.XLOOKUP(S159:AG159,增益!$A:$A,增益!$L:$L,0))</f>
        <v>0</v>
      </c>
      <c r="BB159">
        <f t="shared" si="67"/>
        <v>0</v>
      </c>
      <c r="BC159">
        <f t="shared" si="68"/>
        <v>0</v>
      </c>
      <c r="BD159" s="29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-0.14</v>
      </c>
      <c r="BE159" s="29" cm="1">
        <f t="array" ref="BE159">$G$13+VLOOKUP($R159,武学奇术!$A:$ZZ,14,FALSE)+SUM(_xlfn.XLOOKUP(S159:AG159,增益!$A:$A,增益!$N:$N,0))</f>
        <v>0</v>
      </c>
      <c r="BF159">
        <f t="shared" si="69"/>
        <v>0</v>
      </c>
      <c r="BG159">
        <f t="shared" si="70"/>
        <v>0</v>
      </c>
      <c r="BH159" s="29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-0.14</v>
      </c>
      <c r="BI159" s="29" cm="1">
        <f t="array" ref="BI159">$G$14+VLOOKUP($R159,武学奇术!$A:$ZZ,16,FALSE)+SUM(_xlfn.XLOOKUP(S159:AG159,增益!$A:$A,增益!$P:$P,0))</f>
        <v>0</v>
      </c>
      <c r="BJ159" s="20">
        <f>MIN(IF(VLOOKUP($R159,武学奇术!$A:$ZZ,23,FALSE)=1,100%,$B$8),100%)</f>
        <v>0.8271</v>
      </c>
      <c r="BK159" s="20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0.2249</v>
      </c>
      <c r="BL159" s="20" cm="1">
        <f t="array" ref="BL159">1+$B$13+VLOOKUP($R159,武学奇术!$A:$ZZ,18,FALSE)+SUM(_xlfn.XLOOKUP(S159:AG159,增益!$A:$A,增益!$R:$R,0))</f>
        <v>1.5</v>
      </c>
      <c r="BM159" s="20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0.4459</v>
      </c>
      <c r="BN159" s="20" cm="1">
        <f t="array" ref="BN159">1+$B$14+VLOOKUP($R159,武学奇术!$A:$ZZ,20,FALSE)+SUM(_xlfn.XLOOKUP(S159:AG159,增益!$A:$A,增益!$T:$T,0))</f>
        <v>1.782</v>
      </c>
      <c r="BO159" s="20">
        <f t="shared" si="71"/>
        <v>0.18601479</v>
      </c>
      <c r="BP159" s="20">
        <f t="shared" si="72"/>
        <v>0.27228132</v>
      </c>
      <c r="BQ159" s="20">
        <f>IF(VLOOKUP($R159,武学奇术!$A:$ZZ,22,FALSE)=1,0,(1-$BJ159))*(1-$BM159)</f>
        <v>0.09580389</v>
      </c>
      <c r="BR159" s="20" cm="1">
        <f t="array" ref="BR159">SUM(_xlfn.XLOOKUP(S159:AG159,增益!$A:$A,增益!$W:$W,0))+$I$5</f>
        <v>0.11</v>
      </c>
    </row>
    <row r="160" spans="11:70">
      <c r="K160" s="27">
        <f>$L160*VLOOKUP($R160,武学奇术!$A:$ZZ,31,FALSE)</f>
        <v>34833.528556994</v>
      </c>
      <c r="L160" s="27">
        <f t="shared" si="62"/>
        <v>58055.8809283233</v>
      </c>
      <c r="M160" s="27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47931.1508551159</v>
      </c>
      <c r="N160" s="27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87512.0985659167</v>
      </c>
      <c r="O160" s="27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31954.1005700773</v>
      </c>
      <c r="P160" s="27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14799.2793859925</v>
      </c>
      <c r="Q160" s="35">
        <v>7</v>
      </c>
      <c r="R160" s="36" t="s">
        <v>159</v>
      </c>
      <c r="S160" s="36" t="s">
        <v>71</v>
      </c>
      <c r="T160" s="36" t="s">
        <v>99</v>
      </c>
      <c r="U160" s="36" t="s">
        <v>100</v>
      </c>
      <c r="V160" s="36" t="s">
        <v>71</v>
      </c>
      <c r="W160" s="36" t="s">
        <v>71</v>
      </c>
      <c r="X160" s="36" t="s">
        <v>71</v>
      </c>
      <c r="Y160" s="36" t="s">
        <v>71</v>
      </c>
      <c r="Z160" s="36" t="s">
        <v>82</v>
      </c>
      <c r="AA160" s="36" t="s">
        <v>71</v>
      </c>
      <c r="AB160" s="36" t="s">
        <v>71</v>
      </c>
      <c r="AC160" s="36" t="s">
        <v>71</v>
      </c>
      <c r="AD160" s="36" t="s">
        <v>72</v>
      </c>
      <c r="AE160" s="36" t="s">
        <v>94</v>
      </c>
      <c r="AF160" s="36" t="s">
        <v>154</v>
      </c>
      <c r="AG160" s="36" t="s">
        <v>120</v>
      </c>
      <c r="AH160" t="str">
        <f>VLOOKUP($R160,武学奇术!$A:$ZZ,25,FALSE)</f>
        <v>单体奇术</v>
      </c>
      <c r="AI160" s="20">
        <f>VLOOKUP($R160,武学奇术!$A:$ZZ,26,FALSE)</f>
        <v>0.236</v>
      </c>
      <c r="AJ160" s="21">
        <f>VLOOKUP($R160,武学奇术!$A:$ZZ,27,FALSE)*(1+IF(OR($AH160=$F$4,$AH160=$F$5),$B$22,0))</f>
        <v>44</v>
      </c>
      <c r="AK160" s="20">
        <f>VLOOKUP($R160,武学奇术!$A:$ZZ,28,FALSE)</f>
        <v>0.354</v>
      </c>
      <c r="AL160" s="21">
        <f>VLOOKUP($R160,武学奇术!$A:$ZZ,29,FALSE)*(1+IF(OR($AH160=$F$4,$AH160=$F$5),$B$22,0))</f>
        <v>0</v>
      </c>
      <c r="AM160" s="20" cm="1">
        <f t="array" ref="AM160">$G$3+IFERROR(VLOOKUP($AH160,$F$4:$G$7,2,FALSE),0)+VLOOKUP($R160,武学奇术!$A:$ZZ,2,FALSE)+SUM(_xlfn.XLOOKUP($S160:$AG160,增益!$A:$A,增益!$B:$B,0))</f>
        <v>1.4165</v>
      </c>
      <c r="AN160" s="20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1554.72</v>
      </c>
      <c r="AP160" cm="1">
        <f t="array" ref="AP160">$E$10*(1+$AN160)+VLOOKUP($R160,武学奇术!$A:$ZZ,4,FALSE)+SUM(_xlfn.XLOOKUP($S160:$AG160,增益!$A:$A,增益!$D:$D,0))-$I$2</f>
        <v>6665.76</v>
      </c>
      <c r="AQ160" s="29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0.3425</v>
      </c>
      <c r="AR160" s="29" cm="1">
        <f t="array" ref="AR160">$G$10+VLOOKUP($R160,武学奇术!$A:$ZZ,7,FALSE)+SUM(_xlfn.XLOOKUP(S160:AG160,增益!$A:$A,增益!$G:$G,0))</f>
        <v>0</v>
      </c>
      <c r="AS160" s="20" cm="1">
        <f t="array" ref="AS160">VLOOKUP($R160,武学奇术!$A:$ZZ,8,FALSE)+SUM(_xlfn.XLOOKUP(S160:AG160,增益!$A:$A,增益!$H:$H,0))</f>
        <v>0</v>
      </c>
      <c r="AT160">
        <f t="shared" si="63"/>
        <v>538</v>
      </c>
      <c r="AU160">
        <f t="shared" si="64"/>
        <v>1011</v>
      </c>
      <c r="AV160" s="29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0.08</v>
      </c>
      <c r="AW160" s="29" cm="1">
        <f t="array" ref="AW160">$G$11+VLOOKUP($R160,武学奇术!$A:$ZZ,10,FALSE)+SUM(_xlfn.XLOOKUP(S160:AG160,增益!$A:$A,增益!$J:$J,0))</f>
        <v>0.15</v>
      </c>
      <c r="AX160">
        <f t="shared" si="65"/>
        <v>0</v>
      </c>
      <c r="AY160">
        <f t="shared" si="66"/>
        <v>0</v>
      </c>
      <c r="AZ160" s="29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-0.14</v>
      </c>
      <c r="BA160" s="29" cm="1">
        <f t="array" ref="BA160">$G$12+VLOOKUP($R160,武学奇术!$A:$ZZ,12,FALSE)+SUM(_xlfn.XLOOKUP(S160:AG160,增益!$A:$A,增益!$L:$L,0))</f>
        <v>0</v>
      </c>
      <c r="BB160">
        <f t="shared" si="67"/>
        <v>0</v>
      </c>
      <c r="BC160">
        <f t="shared" si="68"/>
        <v>0</v>
      </c>
      <c r="BD160" s="29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-0.14</v>
      </c>
      <c r="BE160" s="29" cm="1">
        <f t="array" ref="BE160">$G$13+VLOOKUP($R160,武学奇术!$A:$ZZ,14,FALSE)+SUM(_xlfn.XLOOKUP(S160:AG160,增益!$A:$A,增益!$N:$N,0))</f>
        <v>0</v>
      </c>
      <c r="BF160">
        <f t="shared" si="69"/>
        <v>0</v>
      </c>
      <c r="BG160">
        <f t="shared" si="70"/>
        <v>0</v>
      </c>
      <c r="BH160" s="29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-0.14</v>
      </c>
      <c r="BI160" s="29" cm="1">
        <f t="array" ref="BI160">$G$14+VLOOKUP($R160,武学奇术!$A:$ZZ,16,FALSE)+SUM(_xlfn.XLOOKUP(S160:AG160,增益!$A:$A,增益!$P:$P,0))</f>
        <v>0</v>
      </c>
      <c r="BJ160" s="20">
        <f>MIN(IF(VLOOKUP($R160,武学奇术!$A:$ZZ,23,FALSE)=1,100%,$B$8),100%)</f>
        <v>0.8271</v>
      </c>
      <c r="BK160" s="20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0.2249</v>
      </c>
      <c r="BL160" s="20" cm="1">
        <f t="array" ref="BL160">1+$B$13+VLOOKUP($R160,武学奇术!$A:$ZZ,18,FALSE)+SUM(_xlfn.XLOOKUP(S160:AG160,增益!$A:$A,增益!$R:$R,0))</f>
        <v>1.5</v>
      </c>
      <c r="BM160" s="20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0.4459</v>
      </c>
      <c r="BN160" s="20" cm="1">
        <f t="array" ref="BN160">1+$B$14+VLOOKUP($R160,武学奇术!$A:$ZZ,20,FALSE)+SUM(_xlfn.XLOOKUP(S160:AG160,增益!$A:$A,增益!$T:$T,0))</f>
        <v>1.782</v>
      </c>
      <c r="BO160" s="20">
        <f t="shared" si="71"/>
        <v>0.18601479</v>
      </c>
      <c r="BP160" s="20">
        <f t="shared" si="72"/>
        <v>0.27228132</v>
      </c>
      <c r="BQ160" s="20">
        <f>IF(VLOOKUP($R160,武学奇术!$A:$ZZ,22,FALSE)=1,0,(1-$BJ160))*(1-$BM160)</f>
        <v>0.09580389</v>
      </c>
      <c r="BR160" s="20" cm="1">
        <f t="array" ref="BR160">SUM(_xlfn.XLOOKUP(S160:AG160,增益!$A:$A,增益!$W:$W,0))+$I$5</f>
        <v>0.11</v>
      </c>
    </row>
    <row r="161" spans="11:70">
      <c r="K161" s="27">
        <f>$L161*VLOOKUP($R161,武学奇术!$A:$ZZ,31,FALSE)</f>
        <v>4909.03013772916</v>
      </c>
      <c r="L161" s="27">
        <f t="shared" si="62"/>
        <v>8181.71689621526</v>
      </c>
      <c r="M161" s="27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6745.81953264825</v>
      </c>
      <c r="N161" s="27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12344.3446767724</v>
      </c>
      <c r="O161" s="27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4497.2130217655</v>
      </c>
      <c r="P161" s="27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2067.18436184054</v>
      </c>
      <c r="Q161" s="35">
        <v>1</v>
      </c>
      <c r="R161" s="36" t="s">
        <v>159</v>
      </c>
      <c r="S161" s="36" t="s">
        <v>71</v>
      </c>
      <c r="T161" s="36" t="s">
        <v>99</v>
      </c>
      <c r="U161" s="36" t="s">
        <v>100</v>
      </c>
      <c r="V161" s="36" t="s">
        <v>71</v>
      </c>
      <c r="W161" s="36" t="s">
        <v>71</v>
      </c>
      <c r="X161" s="36" t="s">
        <v>71</v>
      </c>
      <c r="Y161" s="36" t="s">
        <v>71</v>
      </c>
      <c r="Z161" s="36" t="s">
        <v>71</v>
      </c>
      <c r="AA161" s="36" t="s">
        <v>71</v>
      </c>
      <c r="AB161" s="36" t="s">
        <v>71</v>
      </c>
      <c r="AC161" s="36" t="s">
        <v>71</v>
      </c>
      <c r="AD161" s="36" t="s">
        <v>72</v>
      </c>
      <c r="AE161" s="36" t="s">
        <v>94</v>
      </c>
      <c r="AF161" s="36" t="s">
        <v>154</v>
      </c>
      <c r="AG161" s="36" t="s">
        <v>120</v>
      </c>
      <c r="AH161" t="str">
        <f>VLOOKUP($R161,武学奇术!$A:$ZZ,25,FALSE)</f>
        <v>单体奇术</v>
      </c>
      <c r="AI161" s="20">
        <f>VLOOKUP($R161,武学奇术!$A:$ZZ,26,FALSE)</f>
        <v>0.236</v>
      </c>
      <c r="AJ161" s="21">
        <f>VLOOKUP($R161,武学奇术!$A:$ZZ,27,FALSE)*(1+IF(OR($AH161=$F$4,$AH161=$F$5),$B$22,0))</f>
        <v>44</v>
      </c>
      <c r="AK161" s="20">
        <f>VLOOKUP($R161,武学奇术!$A:$ZZ,28,FALSE)</f>
        <v>0.354</v>
      </c>
      <c r="AL161" s="21">
        <f>VLOOKUP($R161,武学奇术!$A:$ZZ,29,FALSE)*(1+IF(OR($AH161=$F$4,$AH161=$F$5),$B$22,0))</f>
        <v>0</v>
      </c>
      <c r="AM161" s="20" cm="1">
        <f t="array" ref="AM161">$G$3+IFERROR(VLOOKUP($AH161,$F$4:$G$7,2,FALSE),0)+VLOOKUP($R161,武学奇术!$A:$ZZ,2,FALSE)+SUM(_xlfn.XLOOKUP($S161:$AG161,增益!$A:$A,增益!$B:$B,0))</f>
        <v>1.4165</v>
      </c>
      <c r="AN161" s="20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1554.72</v>
      </c>
      <c r="AP161" cm="1">
        <f t="array" ref="AP161">$E$10*(1+$AN161)+VLOOKUP($R161,武学奇术!$A:$ZZ,4,FALSE)+SUM(_xlfn.XLOOKUP($S161:$AG161,增益!$A:$A,增益!$D:$D,0))-$I$2</f>
        <v>6665.76</v>
      </c>
      <c r="AQ161" s="29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0.3425</v>
      </c>
      <c r="AR161" s="29" cm="1">
        <f t="array" ref="AR161">$G$10+VLOOKUP($R161,武学奇术!$A:$ZZ,7,FALSE)+SUM(_xlfn.XLOOKUP(S161:AG161,增益!$A:$A,增益!$G:$G,0))</f>
        <v>0</v>
      </c>
      <c r="AS161" s="20" cm="1">
        <f t="array" ref="AS161">VLOOKUP($R161,武学奇术!$A:$ZZ,8,FALSE)+SUM(_xlfn.XLOOKUP(S161:AG161,增益!$A:$A,增益!$H:$H,0))</f>
        <v>0</v>
      </c>
      <c r="AT161">
        <f t="shared" si="63"/>
        <v>538</v>
      </c>
      <c r="AU161">
        <f t="shared" si="64"/>
        <v>1011</v>
      </c>
      <c r="AV161" s="29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29" cm="1">
        <f t="array" ref="AW161">$G$11+VLOOKUP($R161,武学奇术!$A:$ZZ,10,FALSE)+SUM(_xlfn.XLOOKUP(S161:AG161,增益!$A:$A,增益!$J:$J,0))</f>
        <v>0.15</v>
      </c>
      <c r="AX161">
        <f t="shared" si="65"/>
        <v>0</v>
      </c>
      <c r="AY161">
        <f t="shared" si="66"/>
        <v>0</v>
      </c>
      <c r="AZ161" s="29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29" cm="1">
        <f t="array" ref="BA161">$G$12+VLOOKUP($R161,武学奇术!$A:$ZZ,12,FALSE)+SUM(_xlfn.XLOOKUP(S161:AG161,增益!$A:$A,增益!$L:$L,0))</f>
        <v>0</v>
      </c>
      <c r="BB161">
        <f t="shared" si="67"/>
        <v>0</v>
      </c>
      <c r="BC161">
        <f t="shared" si="68"/>
        <v>0</v>
      </c>
      <c r="BD161" s="29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29" cm="1">
        <f t="array" ref="BE161">$G$13+VLOOKUP($R161,武学奇术!$A:$ZZ,14,FALSE)+SUM(_xlfn.XLOOKUP(S161:AG161,增益!$A:$A,增益!$N:$N,0))</f>
        <v>0</v>
      </c>
      <c r="BF161">
        <f t="shared" si="69"/>
        <v>0</v>
      </c>
      <c r="BG161">
        <f t="shared" si="70"/>
        <v>0</v>
      </c>
      <c r="BH161" s="29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29" cm="1">
        <f t="array" ref="BI161">$G$14+VLOOKUP($R161,武学奇术!$A:$ZZ,16,FALSE)+SUM(_xlfn.XLOOKUP(S161:AG161,增益!$A:$A,增益!$P:$P,0))</f>
        <v>0</v>
      </c>
      <c r="BJ161" s="20">
        <f>MIN(IF(VLOOKUP($R161,武学奇术!$A:$ZZ,23,FALSE)=1,100%,$B$8),100%)</f>
        <v>0.8271</v>
      </c>
      <c r="BK161" s="20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0.2249</v>
      </c>
      <c r="BL161" s="20" cm="1">
        <f t="array" ref="BL161">1+$B$13+VLOOKUP($R161,武学奇术!$A:$ZZ,18,FALSE)+SUM(_xlfn.XLOOKUP(S161:AG161,增益!$A:$A,增益!$R:$R,0))</f>
        <v>1.5</v>
      </c>
      <c r="BM161" s="20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0.4459</v>
      </c>
      <c r="BN161" s="20" cm="1">
        <f t="array" ref="BN161">1+$B$14+VLOOKUP($R161,武学奇术!$A:$ZZ,20,FALSE)+SUM(_xlfn.XLOOKUP(S161:AG161,增益!$A:$A,增益!$T:$T,0))</f>
        <v>1.782</v>
      </c>
      <c r="BO161" s="20">
        <f t="shared" si="71"/>
        <v>0.18601479</v>
      </c>
      <c r="BP161" s="20">
        <f t="shared" si="72"/>
        <v>0.27228132</v>
      </c>
      <c r="BQ161" s="20">
        <f>IF(VLOOKUP($R161,武学奇术!$A:$ZZ,22,FALSE)=1,0,(1-$BJ161))*(1-$BM161)</f>
        <v>0.09580389</v>
      </c>
      <c r="BR161" s="20" cm="1">
        <f t="array" ref="BR161">SUM(_xlfn.XLOOKUP(S161:AG161,增益!$A:$A,增益!$W:$W,0))+$I$5</f>
        <v>0.11</v>
      </c>
    </row>
    <row r="162" spans="11:70">
      <c r="K162" s="27">
        <f>$L162*VLOOKUP($R162,武学奇术!$A:$ZZ,31,FALSE)</f>
        <v>54250.0099435003</v>
      </c>
      <c r="L162" s="27">
        <f t="shared" si="62"/>
        <v>90416.6832391672</v>
      </c>
      <c r="M162" s="27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74638.7069252624</v>
      </c>
      <c r="N162" s="27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136304.205619061</v>
      </c>
      <c r="O162" s="27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49759.1379501749</v>
      </c>
      <c r="P162" s="27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23028.8226910004</v>
      </c>
      <c r="Q162" s="35">
        <v>11</v>
      </c>
      <c r="R162" s="36" t="s">
        <v>159</v>
      </c>
      <c r="S162" s="36" t="s">
        <v>71</v>
      </c>
      <c r="T162" s="36" t="s">
        <v>99</v>
      </c>
      <c r="U162" s="36" t="s">
        <v>100</v>
      </c>
      <c r="V162" s="36" t="s">
        <v>71</v>
      </c>
      <c r="W162" s="36" t="s">
        <v>111</v>
      </c>
      <c r="X162" s="36" t="s">
        <v>71</v>
      </c>
      <c r="Y162" s="36" t="s">
        <v>71</v>
      </c>
      <c r="Z162" s="36" t="s">
        <v>71</v>
      </c>
      <c r="AA162" s="36" t="s">
        <v>71</v>
      </c>
      <c r="AB162" s="36" t="s">
        <v>71</v>
      </c>
      <c r="AC162" s="36" t="s">
        <v>71</v>
      </c>
      <c r="AD162" s="36" t="s">
        <v>72</v>
      </c>
      <c r="AE162" s="36" t="s">
        <v>94</v>
      </c>
      <c r="AF162" s="36" t="s">
        <v>154</v>
      </c>
      <c r="AG162" s="36" t="s">
        <v>120</v>
      </c>
      <c r="AH162" t="str">
        <f>VLOOKUP($R162,武学奇术!$A:$ZZ,25,FALSE)</f>
        <v>单体奇术</v>
      </c>
      <c r="AI162" s="20">
        <f>VLOOKUP($R162,武学奇术!$A:$ZZ,26,FALSE)</f>
        <v>0.236</v>
      </c>
      <c r="AJ162" s="21">
        <f>VLOOKUP($R162,武学奇术!$A:$ZZ,27,FALSE)*(1+IF(OR($AH162=$F$4,$AH162=$F$5),$B$22,0))</f>
        <v>44</v>
      </c>
      <c r="AK162" s="20">
        <f>VLOOKUP($R162,武学奇术!$A:$ZZ,28,FALSE)</f>
        <v>0.354</v>
      </c>
      <c r="AL162" s="21">
        <f>VLOOKUP($R162,武学奇术!$A:$ZZ,29,FALSE)*(1+IF(OR($AH162=$F$4,$AH162=$F$5),$B$22,0))</f>
        <v>0</v>
      </c>
      <c r="AM162" s="20" cm="1">
        <f t="array" ref="AM162">$G$3+IFERROR(VLOOKUP($AH162,$F$4:$G$7,2,FALSE),0)+VLOOKUP($R162,武学奇术!$A:$ZZ,2,FALSE)+SUM(_xlfn.XLOOKUP($S162:$AG162,增益!$A:$A,增益!$B:$B,0))</f>
        <v>1.4165</v>
      </c>
      <c r="AN162" s="20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1585.72</v>
      </c>
      <c r="AP162" cm="1">
        <f t="array" ref="AP162">$E$10*(1+$AN162)+VLOOKUP($R162,武学奇术!$A:$ZZ,4,FALSE)+SUM(_xlfn.XLOOKUP($S162:$AG162,增益!$A:$A,增益!$D:$D,0))-$I$2</f>
        <v>6696.76</v>
      </c>
      <c r="AQ162" s="29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0.3425</v>
      </c>
      <c r="AR162" s="29" cm="1">
        <f t="array" ref="AR162">$G$10+VLOOKUP($R162,武学奇术!$A:$ZZ,7,FALSE)+SUM(_xlfn.XLOOKUP(S162:AG162,增益!$A:$A,增益!$G:$G,0))</f>
        <v>0</v>
      </c>
      <c r="AS162" s="20" cm="1">
        <f t="array" ref="AS162">VLOOKUP($R162,武学奇术!$A:$ZZ,8,FALSE)+SUM(_xlfn.XLOOKUP(S162:AG162,增益!$A:$A,增益!$H:$H,0))</f>
        <v>0</v>
      </c>
      <c r="AT162">
        <f t="shared" si="63"/>
        <v>538</v>
      </c>
      <c r="AU162">
        <f t="shared" si="64"/>
        <v>1011</v>
      </c>
      <c r="AV162" s="29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29" cm="1">
        <f t="array" ref="AW162">$G$11+VLOOKUP($R162,武学奇术!$A:$ZZ,10,FALSE)+SUM(_xlfn.XLOOKUP(S162:AG162,增益!$A:$A,增益!$J:$J,0))</f>
        <v>0.15</v>
      </c>
      <c r="AX162">
        <f t="shared" si="65"/>
        <v>0</v>
      </c>
      <c r="AY162">
        <f t="shared" si="66"/>
        <v>0</v>
      </c>
      <c r="AZ162" s="29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29" cm="1">
        <f t="array" ref="BA162">$G$12+VLOOKUP($R162,武学奇术!$A:$ZZ,12,FALSE)+SUM(_xlfn.XLOOKUP(S162:AG162,增益!$A:$A,增益!$L:$L,0))</f>
        <v>0</v>
      </c>
      <c r="BB162">
        <f t="shared" si="67"/>
        <v>0</v>
      </c>
      <c r="BC162">
        <f t="shared" si="68"/>
        <v>0</v>
      </c>
      <c r="BD162" s="29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29" cm="1">
        <f t="array" ref="BE162">$G$13+VLOOKUP($R162,武学奇术!$A:$ZZ,14,FALSE)+SUM(_xlfn.XLOOKUP(S162:AG162,增益!$A:$A,增益!$N:$N,0))</f>
        <v>0</v>
      </c>
      <c r="BF162">
        <f t="shared" si="69"/>
        <v>0</v>
      </c>
      <c r="BG162">
        <f t="shared" si="70"/>
        <v>0</v>
      </c>
      <c r="BH162" s="29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29" cm="1">
        <f t="array" ref="BI162">$G$14+VLOOKUP($R162,武学奇术!$A:$ZZ,16,FALSE)+SUM(_xlfn.XLOOKUP(S162:AG162,增益!$A:$A,增益!$P:$P,0))</f>
        <v>0</v>
      </c>
      <c r="BJ162" s="20">
        <f>MIN(IF(VLOOKUP($R162,武学奇术!$A:$ZZ,23,FALSE)=1,100%,$B$8),100%)</f>
        <v>0.8271</v>
      </c>
      <c r="BK162" s="20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0.2249</v>
      </c>
      <c r="BL162" s="20" cm="1">
        <f t="array" ref="BL162">1+$B$13+VLOOKUP($R162,武学奇术!$A:$ZZ,18,FALSE)+SUM(_xlfn.XLOOKUP(S162:AG162,增益!$A:$A,增益!$R:$R,0))</f>
        <v>1.5</v>
      </c>
      <c r="BM162" s="20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0.4459</v>
      </c>
      <c r="BN162" s="20" cm="1">
        <f t="array" ref="BN162">1+$B$14+VLOOKUP($R162,武学奇术!$A:$ZZ,20,FALSE)+SUM(_xlfn.XLOOKUP(S162:AG162,增益!$A:$A,增益!$T:$T,0))</f>
        <v>1.782</v>
      </c>
      <c r="BO162" s="20">
        <f t="shared" si="71"/>
        <v>0.18601479</v>
      </c>
      <c r="BP162" s="20">
        <f t="shared" si="72"/>
        <v>0.27228132</v>
      </c>
      <c r="BQ162" s="20">
        <f>IF(VLOOKUP($R162,武学奇术!$A:$ZZ,22,FALSE)=1,0,(1-$BJ162))*(1-$BM162)</f>
        <v>0.09580389</v>
      </c>
      <c r="BR162" s="20" cm="1">
        <f t="array" ref="BR162">SUM(_xlfn.XLOOKUP(S162:AG162,增益!$A:$A,增益!$W:$W,0))+$I$5</f>
        <v>0.11</v>
      </c>
    </row>
    <row r="163" spans="11:70">
      <c r="K163" s="27">
        <f>$L163*VLOOKUP($R163,武学奇术!$A:$ZZ,31,FALSE)</f>
        <v>34993.0511932992</v>
      </c>
      <c r="L163" s="27">
        <f t="shared" si="62"/>
        <v>58321.7519888319</v>
      </c>
      <c r="M163" s="27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48207.7730790179</v>
      </c>
      <c r="N163" s="27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87840.7257679123</v>
      </c>
      <c r="O163" s="27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32138.5153860119</v>
      </c>
      <c r="P163" s="27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14983.6942019272</v>
      </c>
      <c r="Q163" s="35">
        <v>7</v>
      </c>
      <c r="R163" s="36" t="s">
        <v>159</v>
      </c>
      <c r="S163" s="36" t="s">
        <v>71</v>
      </c>
      <c r="T163" s="36" t="s">
        <v>99</v>
      </c>
      <c r="U163" s="36" t="s">
        <v>100</v>
      </c>
      <c r="V163" s="36" t="s">
        <v>71</v>
      </c>
      <c r="W163" s="36" t="s">
        <v>111</v>
      </c>
      <c r="X163" s="36" t="s">
        <v>71</v>
      </c>
      <c r="Y163" s="36" t="s">
        <v>71</v>
      </c>
      <c r="Z163" s="36" t="s">
        <v>82</v>
      </c>
      <c r="AA163" s="36" t="s">
        <v>71</v>
      </c>
      <c r="AB163" s="36" t="s">
        <v>71</v>
      </c>
      <c r="AC163" s="36" t="s">
        <v>71</v>
      </c>
      <c r="AD163" s="36" t="s">
        <v>72</v>
      </c>
      <c r="AE163" s="36" t="s">
        <v>94</v>
      </c>
      <c r="AF163" s="36" t="s">
        <v>154</v>
      </c>
      <c r="AG163" s="36" t="s">
        <v>120</v>
      </c>
      <c r="AH163" t="str">
        <f>VLOOKUP($R163,武学奇术!$A:$ZZ,25,FALSE)</f>
        <v>单体奇术</v>
      </c>
      <c r="AI163" s="20">
        <f>VLOOKUP($R163,武学奇术!$A:$ZZ,26,FALSE)</f>
        <v>0.236</v>
      </c>
      <c r="AJ163" s="21">
        <f>VLOOKUP($R163,武学奇术!$A:$ZZ,27,FALSE)*(1+IF(OR($AH163=$F$4,$AH163=$F$5),$B$22,0))</f>
        <v>44</v>
      </c>
      <c r="AK163" s="20">
        <f>VLOOKUP($R163,武学奇术!$A:$ZZ,28,FALSE)</f>
        <v>0.354</v>
      </c>
      <c r="AL163" s="21">
        <f>VLOOKUP($R163,武学奇术!$A:$ZZ,29,FALSE)*(1+IF(OR($AH163=$F$4,$AH163=$F$5),$B$22,0))</f>
        <v>0</v>
      </c>
      <c r="AM163" s="20" cm="1">
        <f t="array" ref="AM163">$G$3+IFERROR(VLOOKUP($AH163,$F$4:$G$7,2,FALSE),0)+VLOOKUP($R163,武学奇术!$A:$ZZ,2,FALSE)+SUM(_xlfn.XLOOKUP($S163:$AG163,增益!$A:$A,增益!$B:$B,0))</f>
        <v>1.4165</v>
      </c>
      <c r="AN163" s="20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1585.72</v>
      </c>
      <c r="AP163" cm="1">
        <f t="array" ref="AP163">$E$10*(1+$AN163)+VLOOKUP($R163,武学奇术!$A:$ZZ,4,FALSE)+SUM(_xlfn.XLOOKUP($S163:$AG163,增益!$A:$A,增益!$D:$D,0))-$I$2</f>
        <v>6696.76</v>
      </c>
      <c r="AQ163" s="29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0.3425</v>
      </c>
      <c r="AR163" s="29" cm="1">
        <f t="array" ref="AR163">$G$10+VLOOKUP($R163,武学奇术!$A:$ZZ,7,FALSE)+SUM(_xlfn.XLOOKUP(S163:AG163,增益!$A:$A,增益!$G:$G,0))</f>
        <v>0</v>
      </c>
      <c r="AS163" s="20" cm="1">
        <f t="array" ref="AS163">VLOOKUP($R163,武学奇术!$A:$ZZ,8,FALSE)+SUM(_xlfn.XLOOKUP(S163:AG163,增益!$A:$A,增益!$H:$H,0))</f>
        <v>0</v>
      </c>
      <c r="AT163">
        <f t="shared" si="63"/>
        <v>538</v>
      </c>
      <c r="AU163">
        <f t="shared" si="64"/>
        <v>1011</v>
      </c>
      <c r="AV163" s="29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0.08</v>
      </c>
      <c r="AW163" s="29" cm="1">
        <f t="array" ref="AW163">$G$11+VLOOKUP($R163,武学奇术!$A:$ZZ,10,FALSE)+SUM(_xlfn.XLOOKUP(S163:AG163,增益!$A:$A,增益!$J:$J,0))</f>
        <v>0.15</v>
      </c>
      <c r="AX163">
        <f t="shared" si="65"/>
        <v>0</v>
      </c>
      <c r="AY163">
        <f t="shared" si="66"/>
        <v>0</v>
      </c>
      <c r="AZ163" s="29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-0.14</v>
      </c>
      <c r="BA163" s="29" cm="1">
        <f t="array" ref="BA163">$G$12+VLOOKUP($R163,武学奇术!$A:$ZZ,12,FALSE)+SUM(_xlfn.XLOOKUP(S163:AG163,增益!$A:$A,增益!$L:$L,0))</f>
        <v>0</v>
      </c>
      <c r="BB163">
        <f t="shared" si="67"/>
        <v>0</v>
      </c>
      <c r="BC163">
        <f t="shared" si="68"/>
        <v>0</v>
      </c>
      <c r="BD163" s="29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-0.14</v>
      </c>
      <c r="BE163" s="29" cm="1">
        <f t="array" ref="BE163">$G$13+VLOOKUP($R163,武学奇术!$A:$ZZ,14,FALSE)+SUM(_xlfn.XLOOKUP(S163:AG163,增益!$A:$A,增益!$N:$N,0))</f>
        <v>0</v>
      </c>
      <c r="BF163">
        <f t="shared" si="69"/>
        <v>0</v>
      </c>
      <c r="BG163">
        <f t="shared" si="70"/>
        <v>0</v>
      </c>
      <c r="BH163" s="29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-0.14</v>
      </c>
      <c r="BI163" s="29" cm="1">
        <f t="array" ref="BI163">$G$14+VLOOKUP($R163,武学奇术!$A:$ZZ,16,FALSE)+SUM(_xlfn.XLOOKUP(S163:AG163,增益!$A:$A,增益!$P:$P,0))</f>
        <v>0</v>
      </c>
      <c r="BJ163" s="20">
        <f>MIN(IF(VLOOKUP($R163,武学奇术!$A:$ZZ,23,FALSE)=1,100%,$B$8),100%)</f>
        <v>0.8271</v>
      </c>
      <c r="BK163" s="20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0.2249</v>
      </c>
      <c r="BL163" s="20" cm="1">
        <f t="array" ref="BL163">1+$B$13+VLOOKUP($R163,武学奇术!$A:$ZZ,18,FALSE)+SUM(_xlfn.XLOOKUP(S163:AG163,增益!$A:$A,增益!$R:$R,0))</f>
        <v>1.5</v>
      </c>
      <c r="BM163" s="20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0.4459</v>
      </c>
      <c r="BN163" s="20" cm="1">
        <f t="array" ref="BN163">1+$B$14+VLOOKUP($R163,武学奇术!$A:$ZZ,20,FALSE)+SUM(_xlfn.XLOOKUP(S163:AG163,增益!$A:$A,增益!$T:$T,0))</f>
        <v>1.782</v>
      </c>
      <c r="BO163" s="20">
        <f t="shared" si="71"/>
        <v>0.18601479</v>
      </c>
      <c r="BP163" s="20">
        <f t="shared" si="72"/>
        <v>0.27228132</v>
      </c>
      <c r="BQ163" s="20">
        <f>IF(VLOOKUP($R163,武学奇术!$A:$ZZ,22,FALSE)=1,0,(1-$BJ163))*(1-$BM163)</f>
        <v>0.09580389</v>
      </c>
      <c r="BR163" s="20" cm="1">
        <f t="array" ref="BR163">SUM(_xlfn.XLOOKUP(S163:AG163,增益!$A:$A,增益!$W:$W,0))+$I$5</f>
        <v>0.11</v>
      </c>
    </row>
    <row r="164" spans="11:70">
      <c r="K164" s="27">
        <f>$L164*VLOOKUP($R164,武学奇术!$A:$ZZ,31,FALSE)</f>
        <v>12084.8259720385</v>
      </c>
      <c r="L164" s="27">
        <f t="shared" si="62"/>
        <v>20141.3766200641</v>
      </c>
      <c r="M164" s="27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16673.4601951555</v>
      </c>
      <c r="N164" s="27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30304.2353188054</v>
      </c>
      <c r="O164" s="27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11115.6401301037</v>
      </c>
      <c r="P164" s="27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5225.53653472739</v>
      </c>
      <c r="Q164" s="35">
        <v>2</v>
      </c>
      <c r="R164" s="36" t="s">
        <v>159</v>
      </c>
      <c r="S164" s="36" t="s">
        <v>152</v>
      </c>
      <c r="T164" s="36" t="s">
        <v>99</v>
      </c>
      <c r="U164" s="36" t="s">
        <v>100</v>
      </c>
      <c r="V164" s="36" t="s">
        <v>71</v>
      </c>
      <c r="W164" s="36" t="s">
        <v>111</v>
      </c>
      <c r="X164" s="36" t="s">
        <v>158</v>
      </c>
      <c r="Y164" s="36" t="s">
        <v>153</v>
      </c>
      <c r="Z164" s="36" t="s">
        <v>82</v>
      </c>
      <c r="AA164" s="36" t="s">
        <v>71</v>
      </c>
      <c r="AB164" s="36" t="s">
        <v>71</v>
      </c>
      <c r="AC164" s="36" t="s">
        <v>71</v>
      </c>
      <c r="AD164" s="36" t="s">
        <v>72</v>
      </c>
      <c r="AE164" s="36" t="s">
        <v>94</v>
      </c>
      <c r="AF164" s="36" t="s">
        <v>154</v>
      </c>
      <c r="AG164" s="36" t="s">
        <v>120</v>
      </c>
      <c r="AH164" t="str">
        <f>VLOOKUP($R164,武学奇术!$A:$ZZ,25,FALSE)</f>
        <v>单体奇术</v>
      </c>
      <c r="AI164" s="20">
        <f>VLOOKUP($R164,武学奇术!$A:$ZZ,26,FALSE)</f>
        <v>0.236</v>
      </c>
      <c r="AJ164" s="21">
        <f>VLOOKUP($R164,武学奇术!$A:$ZZ,27,FALSE)*(1+IF(OR($AH164=$F$4,$AH164=$F$5),$B$22,0))</f>
        <v>44</v>
      </c>
      <c r="AK164" s="20">
        <f>VLOOKUP($R164,武学奇术!$A:$ZZ,28,FALSE)</f>
        <v>0.354</v>
      </c>
      <c r="AL164" s="21">
        <f>VLOOKUP($R164,武学奇术!$A:$ZZ,29,FALSE)*(1+IF(OR($AH164=$F$4,$AH164=$F$5),$B$22,0))</f>
        <v>0</v>
      </c>
      <c r="AM164" s="20" cm="1">
        <f t="array" ref="AM164">$G$3+IFERROR(VLOOKUP($AH164,$F$4:$G$7,2,FALSE),0)+VLOOKUP($R164,武学奇术!$A:$ZZ,2,FALSE)+SUM(_xlfn.XLOOKUP($S164:$AG164,增益!$A:$A,增益!$B:$B,0))</f>
        <v>1.4365</v>
      </c>
      <c r="AN164" s="20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1585.72</v>
      </c>
      <c r="AP164" cm="1">
        <f t="array" ref="AP164">$E$10*(1+$AN164)+VLOOKUP($R164,武学奇术!$A:$ZZ,4,FALSE)+SUM(_xlfn.XLOOKUP($S164:$AG164,增益!$A:$A,增益!$D:$D,0))-$I$2</f>
        <v>6696.76</v>
      </c>
      <c r="AQ164" s="29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0.3425</v>
      </c>
      <c r="AR164" s="29" cm="1">
        <f t="array" ref="AR164">$G$10+VLOOKUP($R164,武学奇术!$A:$ZZ,7,FALSE)+SUM(_xlfn.XLOOKUP(S164:AG164,增益!$A:$A,增益!$G:$G,0))</f>
        <v>0</v>
      </c>
      <c r="AS164" s="20" cm="1">
        <f t="array" ref="AS164">VLOOKUP($R164,武学奇术!$A:$ZZ,8,FALSE)+SUM(_xlfn.XLOOKUP(S164:AG164,增益!$A:$A,增益!$H:$H,0))</f>
        <v>0</v>
      </c>
      <c r="AT164">
        <f t="shared" si="63"/>
        <v>538</v>
      </c>
      <c r="AU164">
        <f t="shared" si="64"/>
        <v>1011</v>
      </c>
      <c r="AV164" s="29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0.08</v>
      </c>
      <c r="AW164" s="29" cm="1">
        <f t="array" ref="AW164">$G$11+VLOOKUP($R164,武学奇术!$A:$ZZ,10,FALSE)+SUM(_xlfn.XLOOKUP(S164:AG164,增益!$A:$A,增益!$J:$J,0))</f>
        <v>0.25</v>
      </c>
      <c r="AX164">
        <f t="shared" si="65"/>
        <v>0</v>
      </c>
      <c r="AY164">
        <f t="shared" si="66"/>
        <v>0</v>
      </c>
      <c r="AZ164" s="29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-0.14</v>
      </c>
      <c r="BA164" s="29" cm="1">
        <f t="array" ref="BA164">$G$12+VLOOKUP($R164,武学奇术!$A:$ZZ,12,FALSE)+SUM(_xlfn.XLOOKUP(S164:AG164,增益!$A:$A,增益!$L:$L,0))</f>
        <v>0</v>
      </c>
      <c r="BB164">
        <f t="shared" si="67"/>
        <v>0</v>
      </c>
      <c r="BC164">
        <f t="shared" si="68"/>
        <v>0</v>
      </c>
      <c r="BD164" s="29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-0.14</v>
      </c>
      <c r="BE164" s="29" cm="1">
        <f t="array" ref="BE164">$G$13+VLOOKUP($R164,武学奇术!$A:$ZZ,14,FALSE)+SUM(_xlfn.XLOOKUP(S164:AG164,增益!$A:$A,增益!$N:$N,0))</f>
        <v>0</v>
      </c>
      <c r="BF164">
        <f t="shared" si="69"/>
        <v>0</v>
      </c>
      <c r="BG164">
        <f t="shared" si="70"/>
        <v>0</v>
      </c>
      <c r="BH164" s="29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-0.14</v>
      </c>
      <c r="BI164" s="29" cm="1">
        <f t="array" ref="BI164">$G$14+VLOOKUP($R164,武学奇术!$A:$ZZ,16,FALSE)+SUM(_xlfn.XLOOKUP(S164:AG164,增益!$A:$A,增益!$P:$P,0))</f>
        <v>0</v>
      </c>
      <c r="BJ164" s="20">
        <f>MIN(IF(VLOOKUP($R164,武学奇术!$A:$ZZ,23,FALSE)=1,100%,$B$8),100%)</f>
        <v>0.8271</v>
      </c>
      <c r="BK164" s="20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0.2249</v>
      </c>
      <c r="BL164" s="20" cm="1">
        <f t="array" ref="BL164">1+$B$13+VLOOKUP($R164,武学奇术!$A:$ZZ,18,FALSE)+SUM(_xlfn.XLOOKUP(S164:AG164,增益!$A:$A,增益!$R:$R,0))</f>
        <v>1.5</v>
      </c>
      <c r="BM164" s="20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0.4459</v>
      </c>
      <c r="BN164" s="20" cm="1">
        <f t="array" ref="BN164">1+$B$14+VLOOKUP($R164,武学奇术!$A:$ZZ,20,FALSE)+SUM(_xlfn.XLOOKUP(S164:AG164,增益!$A:$A,增益!$T:$T,0))</f>
        <v>1.782</v>
      </c>
      <c r="BO164" s="20">
        <f t="shared" si="71"/>
        <v>0.18601479</v>
      </c>
      <c r="BP164" s="20">
        <f t="shared" si="72"/>
        <v>0.27228132</v>
      </c>
      <c r="BQ164" s="20">
        <f>IF(VLOOKUP($R164,武学奇术!$A:$ZZ,22,FALSE)=1,0,(1-$BJ164))*(1-$BM164)</f>
        <v>0.09580389</v>
      </c>
      <c r="BR164" s="20" cm="1">
        <f t="array" ref="BR164">SUM(_xlfn.XLOOKUP(S164:AG164,增益!$A:$A,增益!$W:$W,0))+$I$5</f>
        <v>0.31</v>
      </c>
    </row>
    <row r="165" spans="11:70">
      <c r="K165" s="27">
        <f>$L165*VLOOKUP($R165,武学奇术!$A:$ZZ,31,FALSE)</f>
        <v>24061.1813040518</v>
      </c>
      <c r="L165" s="27">
        <f t="shared" si="62"/>
        <v>40101.9688400863</v>
      </c>
      <c r="M165" s="27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33158.8255194714</v>
      </c>
      <c r="N165" s="27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60385.0139310532</v>
      </c>
      <c r="O165" s="27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22105.8836796476</v>
      </c>
      <c r="P165" s="27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10325.676488895</v>
      </c>
      <c r="Q165" s="35">
        <v>4</v>
      </c>
      <c r="R165" s="36" t="s">
        <v>159</v>
      </c>
      <c r="S165" s="36" t="s">
        <v>152</v>
      </c>
      <c r="T165" s="36" t="s">
        <v>99</v>
      </c>
      <c r="U165" s="36" t="s">
        <v>100</v>
      </c>
      <c r="V165" s="36" t="s">
        <v>71</v>
      </c>
      <c r="W165" s="36" t="s">
        <v>71</v>
      </c>
      <c r="X165" s="36" t="s">
        <v>158</v>
      </c>
      <c r="Y165" s="36" t="s">
        <v>153</v>
      </c>
      <c r="Z165" s="36" t="s">
        <v>82</v>
      </c>
      <c r="AA165" s="36" t="s">
        <v>71</v>
      </c>
      <c r="AB165" s="36" t="s">
        <v>71</v>
      </c>
      <c r="AC165" s="36" t="s">
        <v>71</v>
      </c>
      <c r="AD165" s="36" t="s">
        <v>72</v>
      </c>
      <c r="AE165" s="36" t="s">
        <v>94</v>
      </c>
      <c r="AF165" s="36" t="s">
        <v>154</v>
      </c>
      <c r="AG165" s="36" t="s">
        <v>120</v>
      </c>
      <c r="AH165" t="str">
        <f>VLOOKUP($R165,武学奇术!$A:$ZZ,25,FALSE)</f>
        <v>单体奇术</v>
      </c>
      <c r="AI165" s="20">
        <f>VLOOKUP($R165,武学奇术!$A:$ZZ,26,FALSE)</f>
        <v>0.236</v>
      </c>
      <c r="AJ165" s="21">
        <f>VLOOKUP($R165,武学奇术!$A:$ZZ,27,FALSE)*(1+IF(OR($AH165=$F$4,$AH165=$F$5),$B$22,0))</f>
        <v>44</v>
      </c>
      <c r="AK165" s="20">
        <f>VLOOKUP($R165,武学奇术!$A:$ZZ,28,FALSE)</f>
        <v>0.354</v>
      </c>
      <c r="AL165" s="21">
        <f>VLOOKUP($R165,武学奇术!$A:$ZZ,29,FALSE)*(1+IF(OR($AH165=$F$4,$AH165=$F$5),$B$22,0))</f>
        <v>0</v>
      </c>
      <c r="AM165" s="20" cm="1">
        <f t="array" ref="AM165">$G$3+IFERROR(VLOOKUP($AH165,$F$4:$G$7,2,FALSE),0)+VLOOKUP($R165,武学奇术!$A:$ZZ,2,FALSE)+SUM(_xlfn.XLOOKUP($S165:$AG165,增益!$A:$A,增益!$B:$B,0))</f>
        <v>1.4365</v>
      </c>
      <c r="AN165" s="20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1554.72</v>
      </c>
      <c r="AP165" cm="1">
        <f t="array" ref="AP165">$E$10*(1+$AN165)+VLOOKUP($R165,武学奇术!$A:$ZZ,4,FALSE)+SUM(_xlfn.XLOOKUP($S165:$AG165,增益!$A:$A,增益!$D:$D,0))-$I$2</f>
        <v>6665.76</v>
      </c>
      <c r="AQ165" s="29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0.3425</v>
      </c>
      <c r="AR165" s="29" cm="1">
        <f t="array" ref="AR165">$G$10+VLOOKUP($R165,武学奇术!$A:$ZZ,7,FALSE)+SUM(_xlfn.XLOOKUP(S165:AG165,增益!$A:$A,增益!$G:$G,0))</f>
        <v>0</v>
      </c>
      <c r="AS165" s="20" cm="1">
        <f t="array" ref="AS165">VLOOKUP($R165,武学奇术!$A:$ZZ,8,FALSE)+SUM(_xlfn.XLOOKUP(S165:AG165,增益!$A:$A,增益!$H:$H,0))</f>
        <v>0</v>
      </c>
      <c r="AT165">
        <f t="shared" si="63"/>
        <v>538</v>
      </c>
      <c r="AU165">
        <f t="shared" si="64"/>
        <v>1011</v>
      </c>
      <c r="AV165" s="29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0.08</v>
      </c>
      <c r="AW165" s="29" cm="1">
        <f t="array" ref="AW165">$G$11+VLOOKUP($R165,武学奇术!$A:$ZZ,10,FALSE)+SUM(_xlfn.XLOOKUP(S165:AG165,增益!$A:$A,增益!$J:$J,0))</f>
        <v>0.25</v>
      </c>
      <c r="AX165">
        <f t="shared" si="65"/>
        <v>0</v>
      </c>
      <c r="AY165">
        <f t="shared" si="66"/>
        <v>0</v>
      </c>
      <c r="AZ165" s="29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-0.14</v>
      </c>
      <c r="BA165" s="29" cm="1">
        <f t="array" ref="BA165">$G$12+VLOOKUP($R165,武学奇术!$A:$ZZ,12,FALSE)+SUM(_xlfn.XLOOKUP(S165:AG165,增益!$A:$A,增益!$L:$L,0))</f>
        <v>0</v>
      </c>
      <c r="BB165">
        <f t="shared" si="67"/>
        <v>0</v>
      </c>
      <c r="BC165">
        <f t="shared" si="68"/>
        <v>0</v>
      </c>
      <c r="BD165" s="29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-0.14</v>
      </c>
      <c r="BE165" s="29" cm="1">
        <f t="array" ref="BE165">$G$13+VLOOKUP($R165,武学奇术!$A:$ZZ,14,FALSE)+SUM(_xlfn.XLOOKUP(S165:AG165,增益!$A:$A,增益!$N:$N,0))</f>
        <v>0</v>
      </c>
      <c r="BF165">
        <f t="shared" si="69"/>
        <v>0</v>
      </c>
      <c r="BG165">
        <f t="shared" si="70"/>
        <v>0</v>
      </c>
      <c r="BH165" s="29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-0.14</v>
      </c>
      <c r="BI165" s="29" cm="1">
        <f t="array" ref="BI165">$G$14+VLOOKUP($R165,武学奇术!$A:$ZZ,16,FALSE)+SUM(_xlfn.XLOOKUP(S165:AG165,增益!$A:$A,增益!$P:$P,0))</f>
        <v>0</v>
      </c>
      <c r="BJ165" s="20">
        <f>MIN(IF(VLOOKUP($R165,武学奇术!$A:$ZZ,23,FALSE)=1,100%,$B$8),100%)</f>
        <v>0.8271</v>
      </c>
      <c r="BK165" s="20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0.2249</v>
      </c>
      <c r="BL165" s="20" cm="1">
        <f t="array" ref="BL165">1+$B$13+VLOOKUP($R165,武学奇术!$A:$ZZ,18,FALSE)+SUM(_xlfn.XLOOKUP(S165:AG165,增益!$A:$A,增益!$R:$R,0))</f>
        <v>1.5</v>
      </c>
      <c r="BM165" s="20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0.4459</v>
      </c>
      <c r="BN165" s="20" cm="1">
        <f t="array" ref="BN165">1+$B$14+VLOOKUP($R165,武学奇术!$A:$ZZ,20,FALSE)+SUM(_xlfn.XLOOKUP(S165:AG165,增益!$A:$A,增益!$T:$T,0))</f>
        <v>1.782</v>
      </c>
      <c r="BO165" s="20">
        <f t="shared" si="71"/>
        <v>0.18601479</v>
      </c>
      <c r="BP165" s="20">
        <f t="shared" si="72"/>
        <v>0.27228132</v>
      </c>
      <c r="BQ165" s="20">
        <f>IF(VLOOKUP($R165,武学奇术!$A:$ZZ,22,FALSE)=1,0,(1-$BJ165))*(1-$BM165)</f>
        <v>0.09580389</v>
      </c>
      <c r="BR165" s="20" cm="1">
        <f t="array" ref="BR165">SUM(_xlfn.XLOOKUP(S165:AG165,增益!$A:$A,增益!$W:$W,0))+$I$5</f>
        <v>0.31</v>
      </c>
    </row>
    <row r="166" spans="11:70">
      <c r="K166" s="27">
        <f>$L166*VLOOKUP($R166,武学奇术!$A:$ZZ,31,FALSE)</f>
        <v>78551.3688182502</v>
      </c>
      <c r="L166" s="27">
        <f t="shared" ref="L166:L197" si="73">($M166*$BO166+$N166*$BM166+$O166*$BP166+$P166*$BQ166)</f>
        <v>130918.948030417</v>
      </c>
      <c r="M166" s="27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108377.491268511</v>
      </c>
      <c r="N166" s="27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196977.529572235</v>
      </c>
      <c r="O166" s="27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72251.660845674</v>
      </c>
      <c r="P166" s="27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33965.987475728</v>
      </c>
      <c r="Q166" s="35">
        <v>13</v>
      </c>
      <c r="R166" s="36" t="s">
        <v>159</v>
      </c>
      <c r="S166" s="36" t="s">
        <v>152</v>
      </c>
      <c r="T166" s="36" t="s">
        <v>99</v>
      </c>
      <c r="U166" s="36" t="s">
        <v>100</v>
      </c>
      <c r="V166" s="36" t="s">
        <v>71</v>
      </c>
      <c r="W166" s="36" t="s">
        <v>111</v>
      </c>
      <c r="X166" s="36" t="s">
        <v>158</v>
      </c>
      <c r="Y166" s="36" t="s">
        <v>153</v>
      </c>
      <c r="Z166" s="36" t="s">
        <v>82</v>
      </c>
      <c r="AA166" s="36" t="s">
        <v>71</v>
      </c>
      <c r="AB166" s="36" t="s">
        <v>71</v>
      </c>
      <c r="AC166" s="36" t="s">
        <v>71</v>
      </c>
      <c r="AD166" s="36" t="s">
        <v>72</v>
      </c>
      <c r="AE166" s="36" t="s">
        <v>94</v>
      </c>
      <c r="AF166" s="36" t="s">
        <v>154</v>
      </c>
      <c r="AG166" s="36" t="s">
        <v>120</v>
      </c>
      <c r="AH166" t="str">
        <f>VLOOKUP($R166,武学奇术!$A:$ZZ,25,FALSE)</f>
        <v>单体奇术</v>
      </c>
      <c r="AI166" s="20">
        <f>VLOOKUP($R166,武学奇术!$A:$ZZ,26,FALSE)</f>
        <v>0.236</v>
      </c>
      <c r="AJ166" s="21">
        <f>VLOOKUP($R166,武学奇术!$A:$ZZ,27,FALSE)*(1+IF(OR($AH166=$F$4,$AH166=$F$5),$B$22,0))</f>
        <v>44</v>
      </c>
      <c r="AK166" s="20">
        <f>VLOOKUP($R166,武学奇术!$A:$ZZ,28,FALSE)</f>
        <v>0.354</v>
      </c>
      <c r="AL166" s="21">
        <f>VLOOKUP($R166,武学奇术!$A:$ZZ,29,FALSE)*(1+IF(OR($AH166=$F$4,$AH166=$F$5),$B$22,0))</f>
        <v>0</v>
      </c>
      <c r="AM166" s="20" cm="1">
        <f t="array" ref="AM166">$G$3+IFERROR(VLOOKUP($AH166,$F$4:$G$7,2,FALSE),0)+VLOOKUP($R166,武学奇术!$A:$ZZ,2,FALSE)+SUM(_xlfn.XLOOKUP($S166:$AG166,增益!$A:$A,增益!$B:$B,0))</f>
        <v>1.4365</v>
      </c>
      <c r="AN166" s="20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1585.72</v>
      </c>
      <c r="AP166" cm="1">
        <f t="array" ref="AP166">$E$10*(1+$AN166)+VLOOKUP($R166,武学奇术!$A:$ZZ,4,FALSE)+SUM(_xlfn.XLOOKUP($S166:$AG166,增益!$A:$A,增益!$D:$D,0))-$I$2</f>
        <v>6696.76</v>
      </c>
      <c r="AQ166" s="29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0.3425</v>
      </c>
      <c r="AR166" s="29" cm="1">
        <f t="array" ref="AR166">$G$10+VLOOKUP($R166,武学奇术!$A:$ZZ,7,FALSE)+SUM(_xlfn.XLOOKUP(S166:AG166,增益!$A:$A,增益!$G:$G,0))</f>
        <v>0</v>
      </c>
      <c r="AS166" s="20" cm="1">
        <f t="array" ref="AS166">VLOOKUP($R166,武学奇术!$A:$ZZ,8,FALSE)+SUM(_xlfn.XLOOKUP(S166:AG166,增益!$A:$A,增益!$H:$H,0))</f>
        <v>0</v>
      </c>
      <c r="AT166">
        <f t="shared" si="63"/>
        <v>538</v>
      </c>
      <c r="AU166">
        <f t="shared" si="64"/>
        <v>1011</v>
      </c>
      <c r="AV166" s="29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0.08</v>
      </c>
      <c r="AW166" s="29" cm="1">
        <f t="array" ref="AW166">$G$11+VLOOKUP($R166,武学奇术!$A:$ZZ,10,FALSE)+SUM(_xlfn.XLOOKUP(S166:AG166,增益!$A:$A,增益!$J:$J,0))</f>
        <v>0.25</v>
      </c>
      <c r="AX166">
        <f t="shared" si="65"/>
        <v>0</v>
      </c>
      <c r="AY166">
        <f t="shared" si="66"/>
        <v>0</v>
      </c>
      <c r="AZ166" s="29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-0.14</v>
      </c>
      <c r="BA166" s="29" cm="1">
        <f t="array" ref="BA166">$G$12+VLOOKUP($R166,武学奇术!$A:$ZZ,12,FALSE)+SUM(_xlfn.XLOOKUP(S166:AG166,增益!$A:$A,增益!$L:$L,0))</f>
        <v>0</v>
      </c>
      <c r="BB166">
        <f t="shared" si="67"/>
        <v>0</v>
      </c>
      <c r="BC166">
        <f t="shared" si="68"/>
        <v>0</v>
      </c>
      <c r="BD166" s="29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-0.14</v>
      </c>
      <c r="BE166" s="29" cm="1">
        <f t="array" ref="BE166">$G$13+VLOOKUP($R166,武学奇术!$A:$ZZ,14,FALSE)+SUM(_xlfn.XLOOKUP(S166:AG166,增益!$A:$A,增益!$N:$N,0))</f>
        <v>0</v>
      </c>
      <c r="BF166">
        <f t="shared" si="69"/>
        <v>0</v>
      </c>
      <c r="BG166">
        <f t="shared" si="70"/>
        <v>0</v>
      </c>
      <c r="BH166" s="29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-0.14</v>
      </c>
      <c r="BI166" s="29" cm="1">
        <f t="array" ref="BI166">$G$14+VLOOKUP($R166,武学奇术!$A:$ZZ,16,FALSE)+SUM(_xlfn.XLOOKUP(S166:AG166,增益!$A:$A,增益!$P:$P,0))</f>
        <v>0</v>
      </c>
      <c r="BJ166" s="20">
        <f>MIN(IF(VLOOKUP($R166,武学奇术!$A:$ZZ,23,FALSE)=1,100%,$B$8),100%)</f>
        <v>0.8271</v>
      </c>
      <c r="BK166" s="20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0.2249</v>
      </c>
      <c r="BL166" s="20" cm="1">
        <f t="array" ref="BL166">1+$B$13+VLOOKUP($R166,武学奇术!$A:$ZZ,18,FALSE)+SUM(_xlfn.XLOOKUP(S166:AG166,增益!$A:$A,增益!$R:$R,0))</f>
        <v>1.5</v>
      </c>
      <c r="BM166" s="20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0.4459</v>
      </c>
      <c r="BN166" s="20" cm="1">
        <f t="array" ref="BN166">1+$B$14+VLOOKUP($R166,武学奇术!$A:$ZZ,20,FALSE)+SUM(_xlfn.XLOOKUP(S166:AG166,增益!$A:$A,增益!$T:$T,0))</f>
        <v>1.782</v>
      </c>
      <c r="BO166" s="20">
        <f t="shared" si="71"/>
        <v>0.18601479</v>
      </c>
      <c r="BP166" s="20">
        <f t="shared" si="72"/>
        <v>0.27228132</v>
      </c>
      <c r="BQ166" s="20">
        <f>IF(VLOOKUP($R166,武学奇术!$A:$ZZ,22,FALSE)=1,0,(1-$BJ166))*(1-$BM166)</f>
        <v>0.09580389</v>
      </c>
      <c r="BR166" s="20" cm="1">
        <f t="array" ref="BR166">SUM(_xlfn.XLOOKUP(S166:AG166,增益!$A:$A,增益!$W:$W,0))+$I$5</f>
        <v>0.31</v>
      </c>
    </row>
    <row r="167" spans="11:70">
      <c r="K167" s="27">
        <f>$L167*VLOOKUP($R167,武学奇术!$A:$ZZ,31,FALSE)</f>
        <v>0</v>
      </c>
      <c r="L167" s="27">
        <f t="shared" si="73"/>
        <v>0</v>
      </c>
      <c r="M167" s="27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0</v>
      </c>
      <c r="N167" s="27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0</v>
      </c>
      <c r="O167" s="27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0</v>
      </c>
      <c r="P167" s="27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0</v>
      </c>
      <c r="Q167" s="35">
        <v>0</v>
      </c>
      <c r="R167" s="36" t="s">
        <v>162</v>
      </c>
      <c r="S167" s="36" t="s">
        <v>71</v>
      </c>
      <c r="T167" s="36" t="s">
        <v>71</v>
      </c>
      <c r="U167" s="36" t="s">
        <v>100</v>
      </c>
      <c r="V167" s="36" t="s">
        <v>71</v>
      </c>
      <c r="W167" s="36" t="s">
        <v>71</v>
      </c>
      <c r="X167" s="36" t="s">
        <v>71</v>
      </c>
      <c r="Y167" s="36" t="s">
        <v>71</v>
      </c>
      <c r="Z167" s="36" t="s">
        <v>71</v>
      </c>
      <c r="AA167" s="36" t="s">
        <v>71</v>
      </c>
      <c r="AB167" s="36" t="s">
        <v>71</v>
      </c>
      <c r="AC167" s="36" t="s">
        <v>71</v>
      </c>
      <c r="AD167" s="36" t="s">
        <v>72</v>
      </c>
      <c r="AE167" s="36" t="s">
        <v>73</v>
      </c>
      <c r="AF167" s="36" t="s">
        <v>74</v>
      </c>
      <c r="AG167" s="36" t="s">
        <v>75</v>
      </c>
      <c r="AH167" t="str">
        <f>VLOOKUP($R167,武学奇术!$A:$ZZ,25,FALSE)</f>
        <v>剑</v>
      </c>
      <c r="AI167" s="20">
        <f>VLOOKUP($R167,武学奇术!$A:$ZZ,26,FALSE)</f>
        <v>0.3432</v>
      </c>
      <c r="AJ167" s="21">
        <f>VLOOKUP($R167,武学奇术!$A:$ZZ,27,FALSE)*(1+IF(OR($AH167=$F$4,$AH167=$F$5),$B$22,0))</f>
        <v>0</v>
      </c>
      <c r="AK167" s="20">
        <f>VLOOKUP($R167,武学奇术!$A:$ZZ,28,FALSE)</f>
        <v>0.5148</v>
      </c>
      <c r="AL167" s="21">
        <f>VLOOKUP($R167,武学奇术!$A:$ZZ,29,FALSE)*(1+IF(OR($AH167=$F$4,$AH167=$F$5),$B$22,0))</f>
        <v>0</v>
      </c>
      <c r="AM167" s="20" cm="1">
        <f t="array" ref="AM167">$G$3+IFERROR(VLOOKUP($AH167,$F$4:$G$7,2,FALSE),0)+VLOOKUP($R167,武学奇术!$A:$ZZ,2,FALSE)+SUM(_xlfn.XLOOKUP($S167:$AG167,增益!$A:$A,增益!$B:$B,0))</f>
        <v>0.9641</v>
      </c>
      <c r="AN167" s="20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1554.72</v>
      </c>
      <c r="AP167" cm="1">
        <f t="array" ref="AP167">$E$10*(1+$AN167)+VLOOKUP($R167,武学奇术!$A:$ZZ,4,FALSE)+SUM(_xlfn.XLOOKUP($S167:$AG167,增益!$A:$A,增益!$D:$D,0))-$I$2</f>
        <v>6665.76</v>
      </c>
      <c r="AQ167" s="29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0.3775</v>
      </c>
      <c r="AR167" s="29" cm="1">
        <f t="array" ref="AR167">$G$10+VLOOKUP($R167,武学奇术!$A:$ZZ,7,FALSE)+SUM(_xlfn.XLOOKUP(S167:AG167,增益!$A:$A,增益!$G:$G,0))</f>
        <v>0</v>
      </c>
      <c r="AS167" s="20" cm="1">
        <f t="array" ref="AS167">VLOOKUP($R167,武学奇术!$A:$ZZ,8,FALSE)+SUM(_xlfn.XLOOKUP(S167:AG167,增益!$A:$A,增益!$H:$H,0))</f>
        <v>0</v>
      </c>
      <c r="AT167">
        <f t="shared" si="63"/>
        <v>538</v>
      </c>
      <c r="AU167">
        <f t="shared" si="64"/>
        <v>1011</v>
      </c>
      <c r="AV167" s="29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0.075</v>
      </c>
      <c r="AW167" s="29" cm="1">
        <f t="array" ref="AW167">$G$11+VLOOKUP($R167,武学奇术!$A:$ZZ,10,FALSE)+SUM(_xlfn.XLOOKUP(S167:AG167,增益!$A:$A,增益!$J:$J,0))</f>
        <v>0.15</v>
      </c>
      <c r="AX167">
        <f t="shared" si="65"/>
        <v>0</v>
      </c>
      <c r="AY167">
        <f t="shared" si="66"/>
        <v>0</v>
      </c>
      <c r="AZ167" s="29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29" cm="1">
        <f t="array" ref="BA167">$G$12+VLOOKUP($R167,武学奇术!$A:$ZZ,12,FALSE)+SUM(_xlfn.XLOOKUP(S167:AG167,增益!$A:$A,增益!$L:$L,0))</f>
        <v>0</v>
      </c>
      <c r="BB167">
        <f t="shared" si="67"/>
        <v>0</v>
      </c>
      <c r="BC167">
        <f t="shared" si="68"/>
        <v>0</v>
      </c>
      <c r="BD167" s="29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29" cm="1">
        <f t="array" ref="BE167">$G$13+VLOOKUP($R167,武学奇术!$A:$ZZ,14,FALSE)+SUM(_xlfn.XLOOKUP(S167:AG167,增益!$A:$A,增益!$N:$N,0))</f>
        <v>0</v>
      </c>
      <c r="BF167">
        <f t="shared" si="69"/>
        <v>0</v>
      </c>
      <c r="BG167">
        <f t="shared" si="70"/>
        <v>0</v>
      </c>
      <c r="BH167" s="29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29" cm="1">
        <f t="array" ref="BI167">$G$14+VLOOKUP($R167,武学奇术!$A:$ZZ,16,FALSE)+SUM(_xlfn.XLOOKUP(S167:AG167,增益!$A:$A,增益!$P:$P,0))</f>
        <v>0</v>
      </c>
      <c r="BJ167" s="20">
        <f>MIN(IF(VLOOKUP($R167,武学奇术!$A:$ZZ,23,FALSE)=1,100%,$B$8),100%)</f>
        <v>0.8271</v>
      </c>
      <c r="BK167" s="20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0.2249</v>
      </c>
      <c r="BL167" s="20" cm="1">
        <f t="array" ref="BL167">1+$B$13+VLOOKUP($R167,武学奇术!$A:$ZZ,18,FALSE)+SUM(_xlfn.XLOOKUP(S167:AG167,增益!$A:$A,增益!$R:$R,0))</f>
        <v>1.5</v>
      </c>
      <c r="BM167" s="20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0.4159</v>
      </c>
      <c r="BN167" s="20" cm="1">
        <f t="array" ref="BN167">1+$B$14+VLOOKUP($R167,武学奇术!$A:$ZZ,20,FALSE)+SUM(_xlfn.XLOOKUP(S167:AG167,增益!$A:$A,增益!$T:$T,0))</f>
        <v>1.592</v>
      </c>
      <c r="BO167" s="20">
        <f t="shared" si="71"/>
        <v>0.18601479</v>
      </c>
      <c r="BP167" s="20">
        <f t="shared" si="72"/>
        <v>0.29709432</v>
      </c>
      <c r="BQ167" s="20">
        <f>IF(VLOOKUP($R167,武学奇术!$A:$ZZ,22,FALSE)=1,0,(1-$BJ167))*(1-$BM167)</f>
        <v>0.10099089</v>
      </c>
      <c r="BR167" s="20" cm="1">
        <f t="array" ref="BR167">SUM(_xlfn.XLOOKUP(S167:AG167,增益!$A:$A,增益!$W:$W,0))+$I$5</f>
        <v>0.11</v>
      </c>
    </row>
    <row r="168" spans="11:70">
      <c r="K168" s="27">
        <f>$L168*VLOOKUP($R168,武学奇术!$A:$ZZ,31,FALSE)</f>
        <v>7122.39218830446</v>
      </c>
      <c r="L168" s="27">
        <f t="shared" si="73"/>
        <v>11870.6536471741</v>
      </c>
      <c r="M168" s="27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10789.6180070951</v>
      </c>
      <c r="N168" s="27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17799.6622851381</v>
      </c>
      <c r="O168" s="27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7193.07867139671</v>
      </c>
      <c r="P168" s="27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3205.46495263127</v>
      </c>
      <c r="Q168" s="35">
        <v>1</v>
      </c>
      <c r="R168" s="36" t="s">
        <v>162</v>
      </c>
      <c r="S168" s="36" t="s">
        <v>71</v>
      </c>
      <c r="T168" s="36" t="s">
        <v>71</v>
      </c>
      <c r="U168" s="36" t="s">
        <v>100</v>
      </c>
      <c r="V168" s="36" t="s">
        <v>71</v>
      </c>
      <c r="W168" s="36" t="s">
        <v>71</v>
      </c>
      <c r="X168" s="36" t="s">
        <v>71</v>
      </c>
      <c r="Y168" s="36" t="s">
        <v>71</v>
      </c>
      <c r="Z168" s="36" t="s">
        <v>82</v>
      </c>
      <c r="AA168" s="36" t="s">
        <v>71</v>
      </c>
      <c r="AB168" s="36" t="s">
        <v>71</v>
      </c>
      <c r="AC168" s="36" t="s">
        <v>71</v>
      </c>
      <c r="AD168" s="36" t="s">
        <v>72</v>
      </c>
      <c r="AE168" s="36" t="s">
        <v>73</v>
      </c>
      <c r="AF168" s="36" t="s">
        <v>74</v>
      </c>
      <c r="AG168" s="36" t="s">
        <v>84</v>
      </c>
      <c r="AH168" t="str">
        <f>VLOOKUP($R168,武学奇术!$A:$ZZ,25,FALSE)</f>
        <v>剑</v>
      </c>
      <c r="AI168" s="20">
        <f>VLOOKUP($R168,武学奇术!$A:$ZZ,26,FALSE)</f>
        <v>0.3432</v>
      </c>
      <c r="AJ168" s="21">
        <f>VLOOKUP($R168,武学奇术!$A:$ZZ,27,FALSE)*(1+IF(OR($AH168=$F$4,$AH168=$F$5),$B$22,0))</f>
        <v>0</v>
      </c>
      <c r="AK168" s="20">
        <f>VLOOKUP($R168,武学奇术!$A:$ZZ,28,FALSE)</f>
        <v>0.5148</v>
      </c>
      <c r="AL168" s="21">
        <f>VLOOKUP($R168,武学奇术!$A:$ZZ,29,FALSE)*(1+IF(OR($AH168=$F$4,$AH168=$F$5),$B$22,0))</f>
        <v>0</v>
      </c>
      <c r="AM168" s="20" cm="1">
        <f t="array" ref="AM168">$G$3+IFERROR(VLOOKUP($AH168,$F$4:$G$7,2,FALSE),0)+VLOOKUP($R168,武学奇术!$A:$ZZ,2,FALSE)+SUM(_xlfn.XLOOKUP($S168:$AG168,增益!$A:$A,增益!$B:$B,0))</f>
        <v>0.9741</v>
      </c>
      <c r="AN168" s="20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1554.72</v>
      </c>
      <c r="AP168" cm="1">
        <f t="array" ref="AP168">$E$10*(1+$AN168)+VLOOKUP($R168,武学奇术!$A:$ZZ,4,FALSE)+SUM(_xlfn.XLOOKUP($S168:$AG168,增益!$A:$A,增益!$D:$D,0))-$I$2</f>
        <v>6665.76</v>
      </c>
      <c r="AQ168" s="29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0.3875</v>
      </c>
      <c r="AR168" s="29" cm="1">
        <f t="array" ref="AR168">$G$10+VLOOKUP($R168,武学奇术!$A:$ZZ,7,FALSE)+SUM(_xlfn.XLOOKUP(S168:AG168,增益!$A:$A,增益!$G:$G,0))</f>
        <v>0</v>
      </c>
      <c r="AS168" s="20" cm="1">
        <f t="array" ref="AS168">VLOOKUP($R168,武学奇术!$A:$ZZ,8,FALSE)+SUM(_xlfn.XLOOKUP(S168:AG168,增益!$A:$A,增益!$H:$H,0))</f>
        <v>0</v>
      </c>
      <c r="AT168">
        <f t="shared" si="63"/>
        <v>538</v>
      </c>
      <c r="AU168">
        <f t="shared" si="64"/>
        <v>1011</v>
      </c>
      <c r="AV168" s="29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0.155</v>
      </c>
      <c r="AW168" s="29" cm="1">
        <f t="array" ref="AW168">$G$11+VLOOKUP($R168,武学奇术!$A:$ZZ,10,FALSE)+SUM(_xlfn.XLOOKUP(S168:AG168,增益!$A:$A,增益!$J:$J,0))</f>
        <v>0.15</v>
      </c>
      <c r="AX168">
        <f t="shared" si="65"/>
        <v>0</v>
      </c>
      <c r="AY168">
        <f t="shared" si="66"/>
        <v>0</v>
      </c>
      <c r="AZ168" s="29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-0.14</v>
      </c>
      <c r="BA168" s="29" cm="1">
        <f t="array" ref="BA168">$G$12+VLOOKUP($R168,武学奇术!$A:$ZZ,12,FALSE)+SUM(_xlfn.XLOOKUP(S168:AG168,增益!$A:$A,增益!$L:$L,0))</f>
        <v>0</v>
      </c>
      <c r="BB168">
        <f t="shared" si="67"/>
        <v>0</v>
      </c>
      <c r="BC168">
        <f t="shared" si="68"/>
        <v>0</v>
      </c>
      <c r="BD168" s="29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-0.14</v>
      </c>
      <c r="BE168" s="29" cm="1">
        <f t="array" ref="BE168">$G$13+VLOOKUP($R168,武学奇术!$A:$ZZ,14,FALSE)+SUM(_xlfn.XLOOKUP(S168:AG168,增益!$A:$A,增益!$N:$N,0))</f>
        <v>0</v>
      </c>
      <c r="BF168">
        <f t="shared" si="69"/>
        <v>0</v>
      </c>
      <c r="BG168">
        <f t="shared" si="70"/>
        <v>0</v>
      </c>
      <c r="BH168" s="29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-0.14</v>
      </c>
      <c r="BI168" s="29" cm="1">
        <f t="array" ref="BI168">$G$14+VLOOKUP($R168,武学奇术!$A:$ZZ,16,FALSE)+SUM(_xlfn.XLOOKUP(S168:AG168,增益!$A:$A,增益!$P:$P,0))</f>
        <v>0</v>
      </c>
      <c r="BJ168" s="20">
        <f>MIN(IF(VLOOKUP($R168,武学奇术!$A:$ZZ,23,FALSE)=1,100%,$B$8),100%)</f>
        <v>0.8271</v>
      </c>
      <c r="BK168" s="20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0.2249</v>
      </c>
      <c r="BL168" s="20" cm="1">
        <f t="array" ref="BL168">1+$B$13+VLOOKUP($R168,武学奇术!$A:$ZZ,18,FALSE)+SUM(_xlfn.XLOOKUP(S168:AG168,增益!$A:$A,增益!$R:$R,0))</f>
        <v>1.5</v>
      </c>
      <c r="BM168" s="20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0.4159</v>
      </c>
      <c r="BN168" s="20" cm="1">
        <f t="array" ref="BN168">1+$B$14+VLOOKUP($R168,武学奇术!$A:$ZZ,20,FALSE)+SUM(_xlfn.XLOOKUP(S168:AG168,增益!$A:$A,增益!$T:$T,0))</f>
        <v>1.592</v>
      </c>
      <c r="BO168" s="20">
        <f t="shared" si="71"/>
        <v>0.18601479</v>
      </c>
      <c r="BP168" s="20">
        <f t="shared" si="72"/>
        <v>0.29709432</v>
      </c>
      <c r="BQ168" s="20">
        <f>IF(VLOOKUP($R168,武学奇术!$A:$ZZ,22,FALSE)=1,0,(1-$BJ168))*(1-$BM168)</f>
        <v>0.10099089</v>
      </c>
      <c r="BR168" s="20" cm="1">
        <f t="array" ref="BR168">SUM(_xlfn.XLOOKUP(S168:AG168,增益!$A:$A,增益!$W:$W,0))+$I$5</f>
        <v>0.11</v>
      </c>
    </row>
    <row r="169" spans="11:70">
      <c r="K169" s="27">
        <f>$L169*VLOOKUP($R169,武学奇术!$A:$ZZ,31,FALSE)</f>
        <v>7150.29248809487</v>
      </c>
      <c r="L169" s="27">
        <f t="shared" si="73"/>
        <v>11917.1541468248</v>
      </c>
      <c r="M169" s="27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10789.6180070951</v>
      </c>
      <c r="N169" s="27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17911.4692090398</v>
      </c>
      <c r="O169" s="27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7193.07867139671</v>
      </c>
      <c r="P169" s="27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3205.46495263127</v>
      </c>
      <c r="Q169" s="35">
        <v>1</v>
      </c>
      <c r="R169" s="36" t="s">
        <v>162</v>
      </c>
      <c r="S169" s="36" t="s">
        <v>71</v>
      </c>
      <c r="T169" s="36" t="s">
        <v>71</v>
      </c>
      <c r="U169" s="36" t="s">
        <v>100</v>
      </c>
      <c r="V169" s="36" t="s">
        <v>71</v>
      </c>
      <c r="W169" s="36" t="s">
        <v>71</v>
      </c>
      <c r="X169" s="36" t="s">
        <v>71</v>
      </c>
      <c r="Y169" s="36" t="s">
        <v>71</v>
      </c>
      <c r="Z169" s="36" t="s">
        <v>82</v>
      </c>
      <c r="AA169" s="36" t="s">
        <v>71</v>
      </c>
      <c r="AB169" s="36" t="s">
        <v>71</v>
      </c>
      <c r="AC169" s="36" t="s">
        <v>71</v>
      </c>
      <c r="AD169" s="36" t="s">
        <v>72</v>
      </c>
      <c r="AE169" s="36" t="s">
        <v>73</v>
      </c>
      <c r="AF169" s="36" t="s">
        <v>83</v>
      </c>
      <c r="AG169" s="36" t="s">
        <v>84</v>
      </c>
      <c r="AH169" t="str">
        <f>VLOOKUP($R169,武学奇术!$A:$ZZ,25,FALSE)</f>
        <v>剑</v>
      </c>
      <c r="AI169" s="20">
        <f>VLOOKUP($R169,武学奇术!$A:$ZZ,26,FALSE)</f>
        <v>0.3432</v>
      </c>
      <c r="AJ169" s="21">
        <f>VLOOKUP($R169,武学奇术!$A:$ZZ,27,FALSE)*(1+IF(OR($AH169=$F$4,$AH169=$F$5),$B$22,0))</f>
        <v>0</v>
      </c>
      <c r="AK169" s="20">
        <f>VLOOKUP($R169,武学奇术!$A:$ZZ,28,FALSE)</f>
        <v>0.5148</v>
      </c>
      <c r="AL169" s="21">
        <f>VLOOKUP($R169,武学奇术!$A:$ZZ,29,FALSE)*(1+IF(OR($AH169=$F$4,$AH169=$F$5),$B$22,0))</f>
        <v>0</v>
      </c>
      <c r="AM169" s="20" cm="1">
        <f t="array" ref="AM169">$G$3+IFERROR(VLOOKUP($AH169,$F$4:$G$7,2,FALSE),0)+VLOOKUP($R169,武学奇术!$A:$ZZ,2,FALSE)+SUM(_xlfn.XLOOKUP($S169:$AG169,增益!$A:$A,增益!$B:$B,0))</f>
        <v>0.9741</v>
      </c>
      <c r="AN169" s="20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1554.72</v>
      </c>
      <c r="AP169" cm="1">
        <f t="array" ref="AP169">$E$10*(1+$AN169)+VLOOKUP($R169,武学奇术!$A:$ZZ,4,FALSE)+SUM(_xlfn.XLOOKUP($S169:$AG169,增益!$A:$A,增益!$D:$D,0))-$I$2</f>
        <v>6665.76</v>
      </c>
      <c r="AQ169" s="29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0.3875</v>
      </c>
      <c r="AR169" s="29" cm="1">
        <f t="array" ref="AR169">$G$10+VLOOKUP($R169,武学奇术!$A:$ZZ,7,FALSE)+SUM(_xlfn.XLOOKUP(S169:AG169,增益!$A:$A,增益!$G:$G,0))</f>
        <v>0</v>
      </c>
      <c r="AS169" s="20" cm="1">
        <f t="array" ref="AS169">VLOOKUP($R169,武学奇术!$A:$ZZ,8,FALSE)+SUM(_xlfn.XLOOKUP(S169:AG169,增益!$A:$A,增益!$H:$H,0))</f>
        <v>0</v>
      </c>
      <c r="AT169">
        <f t="shared" si="63"/>
        <v>538</v>
      </c>
      <c r="AU169">
        <f t="shared" si="64"/>
        <v>1011</v>
      </c>
      <c r="AV169" s="29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0.155</v>
      </c>
      <c r="AW169" s="29" cm="1">
        <f t="array" ref="AW169">$G$11+VLOOKUP($R169,武学奇术!$A:$ZZ,10,FALSE)+SUM(_xlfn.XLOOKUP(S169:AG169,增益!$A:$A,增益!$J:$J,0))</f>
        <v>0.15</v>
      </c>
      <c r="AX169">
        <f t="shared" si="65"/>
        <v>0</v>
      </c>
      <c r="AY169">
        <f t="shared" si="66"/>
        <v>0</v>
      </c>
      <c r="AZ169" s="29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-0.14</v>
      </c>
      <c r="BA169" s="29" cm="1">
        <f t="array" ref="BA169">$G$12+VLOOKUP($R169,武学奇术!$A:$ZZ,12,FALSE)+SUM(_xlfn.XLOOKUP(S169:AG169,增益!$A:$A,增益!$L:$L,0))</f>
        <v>0</v>
      </c>
      <c r="BB169">
        <f t="shared" si="67"/>
        <v>0</v>
      </c>
      <c r="BC169">
        <f t="shared" si="68"/>
        <v>0</v>
      </c>
      <c r="BD169" s="29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-0.14</v>
      </c>
      <c r="BE169" s="29" cm="1">
        <f t="array" ref="BE169">$G$13+VLOOKUP($R169,武学奇术!$A:$ZZ,14,FALSE)+SUM(_xlfn.XLOOKUP(S169:AG169,增益!$A:$A,增益!$N:$N,0))</f>
        <v>0</v>
      </c>
      <c r="BF169">
        <f t="shared" si="69"/>
        <v>0</v>
      </c>
      <c r="BG169">
        <f t="shared" si="70"/>
        <v>0</v>
      </c>
      <c r="BH169" s="29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-0.14</v>
      </c>
      <c r="BI169" s="29" cm="1">
        <f t="array" ref="BI169">$G$14+VLOOKUP($R169,武学奇术!$A:$ZZ,16,FALSE)+SUM(_xlfn.XLOOKUP(S169:AG169,增益!$A:$A,增益!$P:$P,0))</f>
        <v>0</v>
      </c>
      <c r="BJ169" s="20">
        <f>MIN(IF(VLOOKUP($R169,武学奇术!$A:$ZZ,23,FALSE)=1,100%,$B$8),100%)</f>
        <v>0.8271</v>
      </c>
      <c r="BK169" s="20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0.2249</v>
      </c>
      <c r="BL169" s="20" cm="1">
        <f t="array" ref="BL169">1+$B$13+VLOOKUP($R169,武学奇术!$A:$ZZ,18,FALSE)+SUM(_xlfn.XLOOKUP(S169:AG169,增益!$A:$A,增益!$R:$R,0))</f>
        <v>1.5</v>
      </c>
      <c r="BM169" s="20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0.4159</v>
      </c>
      <c r="BN169" s="20" cm="1">
        <f t="array" ref="BN169">1+$B$14+VLOOKUP($R169,武学奇术!$A:$ZZ,20,FALSE)+SUM(_xlfn.XLOOKUP(S169:AG169,增益!$A:$A,增益!$T:$T,0))</f>
        <v>1.602</v>
      </c>
      <c r="BO169" s="20">
        <f t="shared" si="71"/>
        <v>0.18601479</v>
      </c>
      <c r="BP169" s="20">
        <f t="shared" si="72"/>
        <v>0.29709432</v>
      </c>
      <c r="BQ169" s="20">
        <f>IF(VLOOKUP($R169,武学奇术!$A:$ZZ,22,FALSE)=1,0,(1-$BJ169))*(1-$BM169)</f>
        <v>0.10099089</v>
      </c>
      <c r="BR169" s="20" cm="1">
        <f t="array" ref="BR169">SUM(_xlfn.XLOOKUP(S169:AG169,增益!$A:$A,增益!$W:$W,0))+$I$5</f>
        <v>0.11</v>
      </c>
    </row>
    <row r="170" spans="11:70">
      <c r="K170" s="27">
        <f>$L170*VLOOKUP($R170,武学奇术!$A:$ZZ,31,FALSE)</f>
        <v>7228.21480463402</v>
      </c>
      <c r="L170" s="27">
        <f t="shared" si="73"/>
        <v>12047.02467439</v>
      </c>
      <c r="M170" s="27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10905.7867886426</v>
      </c>
      <c r="N170" s="27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18108.7433144889</v>
      </c>
      <c r="O170" s="27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7270.52452576175</v>
      </c>
      <c r="P170" s="27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3237.21427344055</v>
      </c>
      <c r="Q170" s="35">
        <v>1</v>
      </c>
      <c r="R170" s="36" t="s">
        <v>162</v>
      </c>
      <c r="S170" s="36" t="s">
        <v>71</v>
      </c>
      <c r="T170" s="36" t="s">
        <v>71</v>
      </c>
      <c r="U170" s="36" t="s">
        <v>100</v>
      </c>
      <c r="V170" s="36" t="s">
        <v>71</v>
      </c>
      <c r="W170" s="36" t="s">
        <v>71</v>
      </c>
      <c r="X170" s="36" t="s">
        <v>71</v>
      </c>
      <c r="Y170" s="36" t="s">
        <v>71</v>
      </c>
      <c r="Z170" s="36" t="s">
        <v>82</v>
      </c>
      <c r="AA170" s="36" t="s">
        <v>71</v>
      </c>
      <c r="AB170" s="36" t="s">
        <v>71</v>
      </c>
      <c r="AC170" s="36" t="s">
        <v>71</v>
      </c>
      <c r="AD170" s="36" t="s">
        <v>72</v>
      </c>
      <c r="AE170" s="36" t="s">
        <v>73</v>
      </c>
      <c r="AF170" s="36" t="s">
        <v>83</v>
      </c>
      <c r="AG170" s="36" t="s">
        <v>89</v>
      </c>
      <c r="AH170" t="str">
        <f>VLOOKUP($R170,武学奇术!$A:$ZZ,25,FALSE)</f>
        <v>剑</v>
      </c>
      <c r="AI170" s="20">
        <f>VLOOKUP($R170,武学奇术!$A:$ZZ,26,FALSE)</f>
        <v>0.3432</v>
      </c>
      <c r="AJ170" s="21">
        <f>VLOOKUP($R170,武学奇术!$A:$ZZ,27,FALSE)*(1+IF(OR($AH170=$F$4,$AH170=$F$5),$B$22,0))</f>
        <v>0</v>
      </c>
      <c r="AK170" s="20">
        <f>VLOOKUP($R170,武学奇术!$A:$ZZ,28,FALSE)</f>
        <v>0.5148</v>
      </c>
      <c r="AL170" s="21">
        <f>VLOOKUP($R170,武学奇术!$A:$ZZ,29,FALSE)*(1+IF(OR($AH170=$F$4,$AH170=$F$5),$B$22,0))</f>
        <v>0</v>
      </c>
      <c r="AM170" s="20" cm="1">
        <f t="array" ref="AM170">$G$3+IFERROR(VLOOKUP($AH170,$F$4:$G$7,2,FALSE),0)+VLOOKUP($R170,武学奇术!$A:$ZZ,2,FALSE)+SUM(_xlfn.XLOOKUP($S170:$AG170,增益!$A:$A,增益!$B:$B,0))</f>
        <v>0.9841</v>
      </c>
      <c r="AN170" s="20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1554.72</v>
      </c>
      <c r="AP170" cm="1">
        <f t="array" ref="AP170">$E$10*(1+$AN170)+VLOOKUP($R170,武学奇术!$A:$ZZ,4,FALSE)+SUM(_xlfn.XLOOKUP($S170:$AG170,增益!$A:$A,增益!$D:$D,0))-$I$2</f>
        <v>6665.76</v>
      </c>
      <c r="AQ170" s="29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0.3975</v>
      </c>
      <c r="AR170" s="29" cm="1">
        <f t="array" ref="AR170">$G$10+VLOOKUP($R170,武学奇术!$A:$ZZ,7,FALSE)+SUM(_xlfn.XLOOKUP(S170:AG170,增益!$A:$A,增益!$G:$G,0))</f>
        <v>0</v>
      </c>
      <c r="AS170" s="20" cm="1">
        <f t="array" ref="AS170">VLOOKUP($R170,武学奇术!$A:$ZZ,8,FALSE)+SUM(_xlfn.XLOOKUP(S170:AG170,增益!$A:$A,增益!$H:$H,0))</f>
        <v>0</v>
      </c>
      <c r="AT170">
        <f t="shared" ref="AT170:AT181" si="74">$D$11*(1+$AS170)</f>
        <v>538</v>
      </c>
      <c r="AU170">
        <f t="shared" ref="AU170:AU181" si="75">$E$11*(1+$AS170)</f>
        <v>1011</v>
      </c>
      <c r="AV170" s="29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0.155</v>
      </c>
      <c r="AW170" s="29" cm="1">
        <f t="array" ref="AW170">$G$11+VLOOKUP($R170,武学奇术!$A:$ZZ,10,FALSE)+SUM(_xlfn.XLOOKUP(S170:AG170,增益!$A:$A,增益!$J:$J,0))</f>
        <v>0.15</v>
      </c>
      <c r="AX170">
        <f t="shared" ref="AX170:AX181" si="76">$D$12*(1+$AS170)</f>
        <v>0</v>
      </c>
      <c r="AY170">
        <f t="shared" ref="AY170:AY181" si="77">$E$12*(1+$AS170)</f>
        <v>0</v>
      </c>
      <c r="AZ170" s="29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-0.14</v>
      </c>
      <c r="BA170" s="29" cm="1">
        <f t="array" ref="BA170">$G$12+VLOOKUP($R170,武学奇术!$A:$ZZ,12,FALSE)+SUM(_xlfn.XLOOKUP(S170:AG170,增益!$A:$A,增益!$L:$L,0))</f>
        <v>0</v>
      </c>
      <c r="BB170">
        <f t="shared" ref="BB170:BB181" si="78">$D$13*(1+$AS170)</f>
        <v>0</v>
      </c>
      <c r="BC170">
        <f t="shared" ref="BC170:BC181" si="79">$E$13*(1+$AS170)</f>
        <v>0</v>
      </c>
      <c r="BD170" s="29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-0.14</v>
      </c>
      <c r="BE170" s="29" cm="1">
        <f t="array" ref="BE170">$G$13+VLOOKUP($R170,武学奇术!$A:$ZZ,14,FALSE)+SUM(_xlfn.XLOOKUP(S170:AG170,增益!$A:$A,增益!$N:$N,0))</f>
        <v>0</v>
      </c>
      <c r="BF170">
        <f t="shared" ref="BF170:BF181" si="80">$D$14*(1+$AS170)</f>
        <v>0</v>
      </c>
      <c r="BG170">
        <f t="shared" ref="BG170:BG181" si="81">$E$14*(1+$AS170)</f>
        <v>0</v>
      </c>
      <c r="BH170" s="29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-0.14</v>
      </c>
      <c r="BI170" s="29" cm="1">
        <f t="array" ref="BI170">$G$14+VLOOKUP($R170,武学奇术!$A:$ZZ,16,FALSE)+SUM(_xlfn.XLOOKUP(S170:AG170,增益!$A:$A,增益!$P:$P,0))</f>
        <v>0</v>
      </c>
      <c r="BJ170" s="20">
        <f>MIN(IF(VLOOKUP($R170,武学奇术!$A:$ZZ,23,FALSE)=1,100%,$B$8),100%)</f>
        <v>0.8271</v>
      </c>
      <c r="BK170" s="20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0.2249</v>
      </c>
      <c r="BL170" s="20" cm="1">
        <f t="array" ref="BL170">1+$B$13+VLOOKUP($R170,武学奇术!$A:$ZZ,18,FALSE)+SUM(_xlfn.XLOOKUP(S170:AG170,增益!$A:$A,增益!$R:$R,0))</f>
        <v>1.5</v>
      </c>
      <c r="BM170" s="20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0.4159</v>
      </c>
      <c r="BN170" s="20" cm="1">
        <f t="array" ref="BN170">1+$B$14+VLOOKUP($R170,武学奇术!$A:$ZZ,20,FALSE)+SUM(_xlfn.XLOOKUP(S170:AG170,增益!$A:$A,增益!$T:$T,0))</f>
        <v>1.602</v>
      </c>
      <c r="BO170" s="20">
        <f t="shared" ref="BO170:BO181" si="82">MIN((1-BM170)*BJ170,BJ170*BK170)</f>
        <v>0.18601479</v>
      </c>
      <c r="BP170" s="20">
        <f t="shared" ref="BP170:BP181" si="83">1-BM170-BO170-BQ170</f>
        <v>0.29709432</v>
      </c>
      <c r="BQ170" s="20">
        <f>IF(VLOOKUP($R170,武学奇术!$A:$ZZ,22,FALSE)=1,0,(1-$BJ170))*(1-$BM170)</f>
        <v>0.10099089</v>
      </c>
      <c r="BR170" s="20" cm="1">
        <f t="array" ref="BR170">SUM(_xlfn.XLOOKUP(S170:AG170,增益!$A:$A,增益!$W:$W,0))+$I$5</f>
        <v>0.11</v>
      </c>
    </row>
    <row r="171" spans="11:70">
      <c r="K171" s="27">
        <f>$L171*VLOOKUP($R171,武学奇术!$A:$ZZ,31,FALSE)</f>
        <v>7228.21480463402</v>
      </c>
      <c r="L171" s="27">
        <f t="shared" si="73"/>
        <v>12047.02467439</v>
      </c>
      <c r="M171" s="27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10905.7867886426</v>
      </c>
      <c r="N171" s="27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18108.7433144889</v>
      </c>
      <c r="O171" s="27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7270.52452576175</v>
      </c>
      <c r="P171" s="27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3237.21427344055</v>
      </c>
      <c r="Q171" s="35">
        <v>1</v>
      </c>
      <c r="R171" s="36" t="s">
        <v>162</v>
      </c>
      <c r="S171" s="36" t="s">
        <v>71</v>
      </c>
      <c r="T171" s="36" t="s">
        <v>71</v>
      </c>
      <c r="U171" s="36" t="s">
        <v>100</v>
      </c>
      <c r="V171" s="36" t="s">
        <v>71</v>
      </c>
      <c r="W171" s="36" t="s">
        <v>71</v>
      </c>
      <c r="X171" s="36" t="s">
        <v>71</v>
      </c>
      <c r="Y171" s="36" t="s">
        <v>71</v>
      </c>
      <c r="Z171" s="36" t="s">
        <v>82</v>
      </c>
      <c r="AA171" s="36" t="s">
        <v>71</v>
      </c>
      <c r="AB171" s="36" t="s">
        <v>71</v>
      </c>
      <c r="AC171" s="36" t="s">
        <v>71</v>
      </c>
      <c r="AD171" s="36" t="s">
        <v>72</v>
      </c>
      <c r="AE171" s="36" t="s">
        <v>73</v>
      </c>
      <c r="AF171" s="36" t="s">
        <v>83</v>
      </c>
      <c r="AG171" s="36" t="s">
        <v>89</v>
      </c>
      <c r="AH171" t="str">
        <f>VLOOKUP($R171,武学奇术!$A:$ZZ,25,FALSE)</f>
        <v>剑</v>
      </c>
      <c r="AI171" s="20">
        <f>VLOOKUP($R171,武学奇术!$A:$ZZ,26,FALSE)</f>
        <v>0.3432</v>
      </c>
      <c r="AJ171" s="21">
        <f>VLOOKUP($R171,武学奇术!$A:$ZZ,27,FALSE)*(1+IF(OR($AH171=$F$4,$AH171=$F$5),$B$22,0))</f>
        <v>0</v>
      </c>
      <c r="AK171" s="20">
        <f>VLOOKUP($R171,武学奇术!$A:$ZZ,28,FALSE)</f>
        <v>0.5148</v>
      </c>
      <c r="AL171" s="21">
        <f>VLOOKUP($R171,武学奇术!$A:$ZZ,29,FALSE)*(1+IF(OR($AH171=$F$4,$AH171=$F$5),$B$22,0))</f>
        <v>0</v>
      </c>
      <c r="AM171" s="20" cm="1">
        <f t="array" ref="AM171">$G$3+IFERROR(VLOOKUP($AH171,$F$4:$G$7,2,FALSE),0)+VLOOKUP($R171,武学奇术!$A:$ZZ,2,FALSE)+SUM(_xlfn.XLOOKUP($S171:$AG171,增益!$A:$A,增益!$B:$B,0))</f>
        <v>0.9841</v>
      </c>
      <c r="AN171" s="20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1554.72</v>
      </c>
      <c r="AP171" cm="1">
        <f t="array" ref="AP171">$E$10*(1+$AN171)+VLOOKUP($R171,武学奇术!$A:$ZZ,4,FALSE)+SUM(_xlfn.XLOOKUP($S171:$AG171,增益!$A:$A,增益!$D:$D,0))-$I$2</f>
        <v>6665.76</v>
      </c>
      <c r="AQ171" s="29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0.3975</v>
      </c>
      <c r="AR171" s="29" cm="1">
        <f t="array" ref="AR171">$G$10+VLOOKUP($R171,武学奇术!$A:$ZZ,7,FALSE)+SUM(_xlfn.XLOOKUP(S171:AG171,增益!$A:$A,增益!$G:$G,0))</f>
        <v>0</v>
      </c>
      <c r="AS171" s="20" cm="1">
        <f t="array" ref="AS171">VLOOKUP($R171,武学奇术!$A:$ZZ,8,FALSE)+SUM(_xlfn.XLOOKUP(S171:AG171,增益!$A:$A,增益!$H:$H,0))</f>
        <v>0</v>
      </c>
      <c r="AT171">
        <f t="shared" si="74"/>
        <v>538</v>
      </c>
      <c r="AU171">
        <f t="shared" si="75"/>
        <v>1011</v>
      </c>
      <c r="AV171" s="29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0.155</v>
      </c>
      <c r="AW171" s="29" cm="1">
        <f t="array" ref="AW171">$G$11+VLOOKUP($R171,武学奇术!$A:$ZZ,10,FALSE)+SUM(_xlfn.XLOOKUP(S171:AG171,增益!$A:$A,增益!$J:$J,0))</f>
        <v>0.15</v>
      </c>
      <c r="AX171">
        <f t="shared" si="76"/>
        <v>0</v>
      </c>
      <c r="AY171">
        <f t="shared" si="77"/>
        <v>0</v>
      </c>
      <c r="AZ171" s="29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-0.14</v>
      </c>
      <c r="BA171" s="29" cm="1">
        <f t="array" ref="BA171">$G$12+VLOOKUP($R171,武学奇术!$A:$ZZ,12,FALSE)+SUM(_xlfn.XLOOKUP(S171:AG171,增益!$A:$A,增益!$L:$L,0))</f>
        <v>0</v>
      </c>
      <c r="BB171">
        <f t="shared" si="78"/>
        <v>0</v>
      </c>
      <c r="BC171">
        <f t="shared" si="79"/>
        <v>0</v>
      </c>
      <c r="BD171" s="29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-0.14</v>
      </c>
      <c r="BE171" s="29" cm="1">
        <f t="array" ref="BE171">$G$13+VLOOKUP($R171,武学奇术!$A:$ZZ,14,FALSE)+SUM(_xlfn.XLOOKUP(S171:AG171,增益!$A:$A,增益!$N:$N,0))</f>
        <v>0</v>
      </c>
      <c r="BF171">
        <f t="shared" si="80"/>
        <v>0</v>
      </c>
      <c r="BG171">
        <f t="shared" si="81"/>
        <v>0</v>
      </c>
      <c r="BH171" s="29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-0.14</v>
      </c>
      <c r="BI171" s="29" cm="1">
        <f t="array" ref="BI171">$G$14+VLOOKUP($R171,武学奇术!$A:$ZZ,16,FALSE)+SUM(_xlfn.XLOOKUP(S171:AG171,增益!$A:$A,增益!$P:$P,0))</f>
        <v>0</v>
      </c>
      <c r="BJ171" s="20">
        <f>MIN(IF(VLOOKUP($R171,武学奇术!$A:$ZZ,23,FALSE)=1,100%,$B$8),100%)</f>
        <v>0.8271</v>
      </c>
      <c r="BK171" s="20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0.2249</v>
      </c>
      <c r="BL171" s="20" cm="1">
        <f t="array" ref="BL171">1+$B$13+VLOOKUP($R171,武学奇术!$A:$ZZ,18,FALSE)+SUM(_xlfn.XLOOKUP(S171:AG171,增益!$A:$A,增益!$R:$R,0))</f>
        <v>1.5</v>
      </c>
      <c r="BM171" s="20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0.4159</v>
      </c>
      <c r="BN171" s="20" cm="1">
        <f t="array" ref="BN171">1+$B$14+VLOOKUP($R171,武学奇术!$A:$ZZ,20,FALSE)+SUM(_xlfn.XLOOKUP(S171:AG171,增益!$A:$A,增益!$T:$T,0))</f>
        <v>1.602</v>
      </c>
      <c r="BO171" s="20">
        <f t="shared" si="82"/>
        <v>0.18601479</v>
      </c>
      <c r="BP171" s="20">
        <f t="shared" si="83"/>
        <v>0.29709432</v>
      </c>
      <c r="BQ171" s="20">
        <f>IF(VLOOKUP($R171,武学奇术!$A:$ZZ,22,FALSE)=1,0,(1-$BJ171))*(1-$BM171)</f>
        <v>0.10099089</v>
      </c>
      <c r="BR171" s="20" cm="1">
        <f t="array" ref="BR171">SUM(_xlfn.XLOOKUP(S171:AG171,增益!$A:$A,增益!$W:$W,0))+$I$5</f>
        <v>0.11</v>
      </c>
    </row>
    <row r="172" spans="11:70">
      <c r="K172" s="27">
        <f>$L172*VLOOKUP($R172,武学奇术!$A:$ZZ,31,FALSE)</f>
        <v>7274.63747267276</v>
      </c>
      <c r="L172" s="27">
        <f t="shared" si="73"/>
        <v>12124.3957877879</v>
      </c>
      <c r="M172" s="27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10211.0142456552</v>
      </c>
      <c r="N172" s="27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18123.6802972495</v>
      </c>
      <c r="O172" s="27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6807.34283043683</v>
      </c>
      <c r="P172" s="27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3028.42380500366</v>
      </c>
      <c r="Q172" s="35">
        <v>1</v>
      </c>
      <c r="R172" s="36" t="s">
        <v>163</v>
      </c>
      <c r="S172" s="36" t="s">
        <v>71</v>
      </c>
      <c r="T172" s="36" t="s">
        <v>99</v>
      </c>
      <c r="U172" s="36" t="s">
        <v>100</v>
      </c>
      <c r="V172" s="36" t="s">
        <v>71</v>
      </c>
      <c r="W172" s="36" t="s">
        <v>71</v>
      </c>
      <c r="X172" s="36" t="s">
        <v>71</v>
      </c>
      <c r="Y172" s="36" t="s">
        <v>71</v>
      </c>
      <c r="Z172" s="36" t="s">
        <v>82</v>
      </c>
      <c r="AA172" s="36" t="s">
        <v>71</v>
      </c>
      <c r="AB172" s="36" t="s">
        <v>71</v>
      </c>
      <c r="AC172" s="36" t="s">
        <v>71</v>
      </c>
      <c r="AD172" s="36" t="s">
        <v>72</v>
      </c>
      <c r="AE172" s="36" t="s">
        <v>94</v>
      </c>
      <c r="AF172" s="36" t="s">
        <v>95</v>
      </c>
      <c r="AG172" s="36" t="s">
        <v>112</v>
      </c>
      <c r="AH172" t="str">
        <f>VLOOKUP($R172,武学奇术!$A:$ZZ,25,FALSE)</f>
        <v>剑</v>
      </c>
      <c r="AI172" s="20">
        <f>VLOOKUP($R172,武学奇术!$A:$ZZ,26,FALSE)</f>
        <v>0.27456</v>
      </c>
      <c r="AJ172" s="21">
        <f>VLOOKUP($R172,武学奇术!$A:$ZZ,27,FALSE)*(1+IF(OR($AH172=$F$4,$AH172=$F$5),$B$22,0))</f>
        <v>0</v>
      </c>
      <c r="AK172" s="20">
        <f>VLOOKUP($R172,武学奇术!$A:$ZZ,28,FALSE)</f>
        <v>0.41184</v>
      </c>
      <c r="AL172" s="21">
        <f>VLOOKUP($R172,武学奇术!$A:$ZZ,29,FALSE)*(1+IF(OR($AH172=$F$4,$AH172=$F$5),$B$22,0))</f>
        <v>0</v>
      </c>
      <c r="AM172" s="20" cm="1">
        <f t="array" ref="AM172">$G$3+IFERROR(VLOOKUP($AH172,$F$4:$G$7,2,FALSE),0)+VLOOKUP($R172,武学奇术!$A:$ZZ,2,FALSE)+SUM(_xlfn.XLOOKUP($S172:$AG172,增益!$A:$A,增益!$B:$B,0))</f>
        <v>1.3091</v>
      </c>
      <c r="AN172" s="20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1554.72</v>
      </c>
      <c r="AP172" cm="1">
        <f t="array" ref="AP172">$E$10*(1+$AN172)+VLOOKUP($R172,武学奇术!$A:$ZZ,4,FALSE)+SUM(_xlfn.XLOOKUP($S172:$AG172,增益!$A:$A,增益!$D:$D,0))-$I$2</f>
        <v>6665.76</v>
      </c>
      <c r="AQ172" s="29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0.4075</v>
      </c>
      <c r="AR172" s="29" cm="1">
        <f t="array" ref="AR172">$G$10+VLOOKUP($R172,武学奇术!$A:$ZZ,7,FALSE)+SUM(_xlfn.XLOOKUP(S172:AG172,增益!$A:$A,增益!$G:$G,0))</f>
        <v>0</v>
      </c>
      <c r="AS172" s="20" cm="1">
        <f t="array" ref="AS172">VLOOKUP($R172,武学奇术!$A:$ZZ,8,FALSE)+SUM(_xlfn.XLOOKUP(S172:AG172,增益!$A:$A,增益!$H:$H,0))</f>
        <v>0</v>
      </c>
      <c r="AT172">
        <f t="shared" si="74"/>
        <v>538</v>
      </c>
      <c r="AU172">
        <f t="shared" si="75"/>
        <v>1011</v>
      </c>
      <c r="AV172" s="29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0.155</v>
      </c>
      <c r="AW172" s="29" cm="1">
        <f t="array" ref="AW172">$G$11+VLOOKUP($R172,武学奇术!$A:$ZZ,10,FALSE)+SUM(_xlfn.XLOOKUP(S172:AG172,增益!$A:$A,增益!$J:$J,0))</f>
        <v>0.15</v>
      </c>
      <c r="AX172">
        <f t="shared" si="76"/>
        <v>0</v>
      </c>
      <c r="AY172">
        <f t="shared" si="77"/>
        <v>0</v>
      </c>
      <c r="AZ172" s="29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-0.14</v>
      </c>
      <c r="BA172" s="29" cm="1">
        <f t="array" ref="BA172">$G$12+VLOOKUP($R172,武学奇术!$A:$ZZ,12,FALSE)+SUM(_xlfn.XLOOKUP(S172:AG172,增益!$A:$A,增益!$L:$L,0))</f>
        <v>0</v>
      </c>
      <c r="BB172">
        <f t="shared" si="78"/>
        <v>0</v>
      </c>
      <c r="BC172">
        <f t="shared" si="79"/>
        <v>0</v>
      </c>
      <c r="BD172" s="29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-0.14</v>
      </c>
      <c r="BE172" s="29" cm="1">
        <f t="array" ref="BE172">$G$13+VLOOKUP($R172,武学奇术!$A:$ZZ,14,FALSE)+SUM(_xlfn.XLOOKUP(S172:AG172,增益!$A:$A,增益!$N:$N,0))</f>
        <v>0</v>
      </c>
      <c r="BF172">
        <f t="shared" si="80"/>
        <v>0</v>
      </c>
      <c r="BG172">
        <f t="shared" si="81"/>
        <v>0</v>
      </c>
      <c r="BH172" s="29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-0.14</v>
      </c>
      <c r="BI172" s="29" cm="1">
        <f t="array" ref="BI172">$G$14+VLOOKUP($R172,武学奇术!$A:$ZZ,16,FALSE)+SUM(_xlfn.XLOOKUP(S172:AG172,增益!$A:$A,增益!$P:$P,0))</f>
        <v>0</v>
      </c>
      <c r="BJ172" s="20">
        <f>MIN(IF(VLOOKUP($R172,武学奇术!$A:$ZZ,23,FALSE)=1,100%,$B$8),100%)</f>
        <v>0.8271</v>
      </c>
      <c r="BK172" s="20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0.2249</v>
      </c>
      <c r="BL172" s="20" cm="1">
        <f t="array" ref="BL172">1+$B$13+VLOOKUP($R172,武学奇术!$A:$ZZ,18,FALSE)+SUM(_xlfn.XLOOKUP(S172:AG172,增益!$A:$A,增益!$R:$R,0))</f>
        <v>1.5</v>
      </c>
      <c r="BM172" s="20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0.4459</v>
      </c>
      <c r="BN172" s="20" cm="1">
        <f t="array" ref="BN172">1+$B$14+VLOOKUP($R172,武学奇术!$A:$ZZ,20,FALSE)+SUM(_xlfn.XLOOKUP(S172:AG172,增益!$A:$A,增益!$T:$T,0))</f>
        <v>1.712</v>
      </c>
      <c r="BO172" s="20">
        <f t="shared" si="82"/>
        <v>0.18601479</v>
      </c>
      <c r="BP172" s="20">
        <f t="shared" si="83"/>
        <v>0.27228132</v>
      </c>
      <c r="BQ172" s="20">
        <f>IF(VLOOKUP($R172,武学奇术!$A:$ZZ,22,FALSE)=1,0,(1-$BJ172))*(1-$BM172)</f>
        <v>0.09580389</v>
      </c>
      <c r="BR172" s="20" cm="1">
        <f t="array" ref="BR172">SUM(_xlfn.XLOOKUP(S172:AG172,增益!$A:$A,增益!$W:$W,0))+$I$5</f>
        <v>0.11</v>
      </c>
    </row>
    <row r="173" spans="11:70">
      <c r="K173" s="27">
        <f>$L173*VLOOKUP($R173,武学奇术!$A:$ZZ,31,FALSE)</f>
        <v>4546.64842042047</v>
      </c>
      <c r="L173" s="27">
        <f t="shared" si="73"/>
        <v>7577.74736736745</v>
      </c>
      <c r="M173" s="27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6381.88390353453</v>
      </c>
      <c r="N173" s="27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11327.3001857809</v>
      </c>
      <c r="O173" s="27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4254.58926902302</v>
      </c>
      <c r="P173" s="27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1892.76487812729</v>
      </c>
      <c r="Q173" s="35">
        <v>1</v>
      </c>
      <c r="R173" s="36" t="s">
        <v>164</v>
      </c>
      <c r="S173" s="36" t="s">
        <v>71</v>
      </c>
      <c r="T173" s="36" t="s">
        <v>99</v>
      </c>
      <c r="U173" s="36" t="s">
        <v>100</v>
      </c>
      <c r="V173" s="36" t="s">
        <v>71</v>
      </c>
      <c r="W173" s="36" t="s">
        <v>71</v>
      </c>
      <c r="X173" s="36" t="s">
        <v>71</v>
      </c>
      <c r="Y173" s="36" t="s">
        <v>71</v>
      </c>
      <c r="Z173" s="36" t="s">
        <v>82</v>
      </c>
      <c r="AA173" s="36" t="s">
        <v>71</v>
      </c>
      <c r="AB173" s="36" t="s">
        <v>71</v>
      </c>
      <c r="AC173" s="36" t="s">
        <v>71</v>
      </c>
      <c r="AD173" s="36" t="s">
        <v>72</v>
      </c>
      <c r="AE173" s="36" t="s">
        <v>94</v>
      </c>
      <c r="AF173" s="36" t="s">
        <v>95</v>
      </c>
      <c r="AG173" s="36" t="s">
        <v>112</v>
      </c>
      <c r="AH173" t="str">
        <f>VLOOKUP($R173,武学奇术!$A:$ZZ,25,FALSE)</f>
        <v>剑</v>
      </c>
      <c r="AI173" s="20">
        <f>VLOOKUP($R173,武学奇术!$A:$ZZ,26,FALSE)</f>
        <v>0.1716</v>
      </c>
      <c r="AJ173" s="21">
        <f>VLOOKUP($R173,武学奇术!$A:$ZZ,27,FALSE)*(1+IF(OR($AH173=$F$4,$AH173=$F$5),$B$22,0))</f>
        <v>0</v>
      </c>
      <c r="AK173" s="20">
        <f>VLOOKUP($R173,武学奇术!$A:$ZZ,28,FALSE)</f>
        <v>0.2574</v>
      </c>
      <c r="AL173" s="21">
        <f>VLOOKUP($R173,武学奇术!$A:$ZZ,29,FALSE)*(1+IF(OR($AH173=$F$4,$AH173=$F$5),$B$22,0))</f>
        <v>0</v>
      </c>
      <c r="AM173" s="20" cm="1">
        <f t="array" ref="AM173">$G$3+IFERROR(VLOOKUP($AH173,$F$4:$G$7,2,FALSE),0)+VLOOKUP($R173,武学奇术!$A:$ZZ,2,FALSE)+SUM(_xlfn.XLOOKUP($S173:$AG173,增益!$A:$A,增益!$B:$B,0))</f>
        <v>1.3091</v>
      </c>
      <c r="AN173" s="20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1554.72</v>
      </c>
      <c r="AP173" cm="1">
        <f t="array" ref="AP173">$E$10*(1+$AN173)+VLOOKUP($R173,武学奇术!$A:$ZZ,4,FALSE)+SUM(_xlfn.XLOOKUP($S173:$AG173,增益!$A:$A,增益!$D:$D,0))-$I$2</f>
        <v>6665.76</v>
      </c>
      <c r="AQ173" s="29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0.4075</v>
      </c>
      <c r="AR173" s="29" cm="1">
        <f t="array" ref="AR173">$G$10+VLOOKUP($R173,武学奇术!$A:$ZZ,7,FALSE)+SUM(_xlfn.XLOOKUP(S173:AG173,增益!$A:$A,增益!$G:$G,0))</f>
        <v>0</v>
      </c>
      <c r="AS173" s="20" cm="1">
        <f t="array" ref="AS173">VLOOKUP($R173,武学奇术!$A:$ZZ,8,FALSE)+SUM(_xlfn.XLOOKUP(S173:AG173,增益!$A:$A,增益!$H:$H,0))</f>
        <v>0</v>
      </c>
      <c r="AT173">
        <f t="shared" si="74"/>
        <v>538</v>
      </c>
      <c r="AU173">
        <f t="shared" si="75"/>
        <v>1011</v>
      </c>
      <c r="AV173" s="29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0.155</v>
      </c>
      <c r="AW173" s="29" cm="1">
        <f t="array" ref="AW173">$G$11+VLOOKUP($R173,武学奇术!$A:$ZZ,10,FALSE)+SUM(_xlfn.XLOOKUP(S173:AG173,增益!$A:$A,增益!$J:$J,0))</f>
        <v>0.15</v>
      </c>
      <c r="AX173">
        <f t="shared" si="76"/>
        <v>0</v>
      </c>
      <c r="AY173">
        <f t="shared" si="77"/>
        <v>0</v>
      </c>
      <c r="AZ173" s="29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-0.14</v>
      </c>
      <c r="BA173" s="29" cm="1">
        <f t="array" ref="BA173">$G$12+VLOOKUP($R173,武学奇术!$A:$ZZ,12,FALSE)+SUM(_xlfn.XLOOKUP(S173:AG173,增益!$A:$A,增益!$L:$L,0))</f>
        <v>0</v>
      </c>
      <c r="BB173">
        <f t="shared" si="78"/>
        <v>0</v>
      </c>
      <c r="BC173">
        <f t="shared" si="79"/>
        <v>0</v>
      </c>
      <c r="BD173" s="29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-0.14</v>
      </c>
      <c r="BE173" s="29" cm="1">
        <f t="array" ref="BE173">$G$13+VLOOKUP($R173,武学奇术!$A:$ZZ,14,FALSE)+SUM(_xlfn.XLOOKUP(S173:AG173,增益!$A:$A,增益!$N:$N,0))</f>
        <v>0</v>
      </c>
      <c r="BF173">
        <f t="shared" si="80"/>
        <v>0</v>
      </c>
      <c r="BG173">
        <f t="shared" si="81"/>
        <v>0</v>
      </c>
      <c r="BH173" s="29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-0.14</v>
      </c>
      <c r="BI173" s="29" cm="1">
        <f t="array" ref="BI173">$G$14+VLOOKUP($R173,武学奇术!$A:$ZZ,16,FALSE)+SUM(_xlfn.XLOOKUP(S173:AG173,增益!$A:$A,增益!$P:$P,0))</f>
        <v>0</v>
      </c>
      <c r="BJ173" s="20">
        <f>MIN(IF(VLOOKUP($R173,武学奇术!$A:$ZZ,23,FALSE)=1,100%,$B$8),100%)</f>
        <v>0.8271</v>
      </c>
      <c r="BK173" s="20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0.2249</v>
      </c>
      <c r="BL173" s="20" cm="1">
        <f t="array" ref="BL173">1+$B$13+VLOOKUP($R173,武学奇术!$A:$ZZ,18,FALSE)+SUM(_xlfn.XLOOKUP(S173:AG173,增益!$A:$A,增益!$R:$R,0))</f>
        <v>1.5</v>
      </c>
      <c r="BM173" s="20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0.4459</v>
      </c>
      <c r="BN173" s="20" cm="1">
        <f t="array" ref="BN173">1+$B$14+VLOOKUP($R173,武学奇术!$A:$ZZ,20,FALSE)+SUM(_xlfn.XLOOKUP(S173:AG173,增益!$A:$A,增益!$T:$T,0))</f>
        <v>1.712</v>
      </c>
      <c r="BO173" s="20">
        <f t="shared" si="82"/>
        <v>0.18601479</v>
      </c>
      <c r="BP173" s="20">
        <f t="shared" si="83"/>
        <v>0.27228132</v>
      </c>
      <c r="BQ173" s="20">
        <f>IF(VLOOKUP($R173,武学奇术!$A:$ZZ,22,FALSE)=1,0,(1-$BJ173))*(1-$BM173)</f>
        <v>0.09580389</v>
      </c>
      <c r="BR173" s="20" cm="1">
        <f t="array" ref="BR173">SUM(_xlfn.XLOOKUP(S173:AG173,增益!$A:$A,增益!$W:$W,0))+$I$5</f>
        <v>0.11</v>
      </c>
    </row>
    <row r="174" spans="11:70">
      <c r="K174" s="27">
        <f>$L174*VLOOKUP($R174,武学奇术!$A:$ZZ,31,FALSE)</f>
        <v>9228.54709439839</v>
      </c>
      <c r="L174" s="27">
        <f t="shared" si="73"/>
        <v>15380.9118239973</v>
      </c>
      <c r="M174" s="27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12967.8095824293</v>
      </c>
      <c r="N174" s="27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22973.5225984959</v>
      </c>
      <c r="O174" s="27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8645.20638828617</v>
      </c>
      <c r="P174" s="27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3871.29910922662</v>
      </c>
      <c r="Q174" s="35">
        <v>1</v>
      </c>
      <c r="R174" s="36" t="s">
        <v>162</v>
      </c>
      <c r="S174" s="36" t="s">
        <v>71</v>
      </c>
      <c r="T174" s="36" t="s">
        <v>99</v>
      </c>
      <c r="U174" s="36" t="s">
        <v>100</v>
      </c>
      <c r="V174" s="36" t="s">
        <v>71</v>
      </c>
      <c r="W174" s="36" t="s">
        <v>111</v>
      </c>
      <c r="X174" s="36" t="s">
        <v>71</v>
      </c>
      <c r="Y174" s="36" t="s">
        <v>71</v>
      </c>
      <c r="Z174" s="36" t="s">
        <v>82</v>
      </c>
      <c r="AA174" s="36" t="s">
        <v>71</v>
      </c>
      <c r="AB174" s="36" t="s">
        <v>71</v>
      </c>
      <c r="AC174" s="36" t="s">
        <v>71</v>
      </c>
      <c r="AD174" s="36" t="s">
        <v>72</v>
      </c>
      <c r="AE174" s="36" t="s">
        <v>94</v>
      </c>
      <c r="AF174" s="36" t="s">
        <v>95</v>
      </c>
      <c r="AG174" s="36" t="s">
        <v>120</v>
      </c>
      <c r="AH174" t="str">
        <f>VLOOKUP($R174,武学奇术!$A:$ZZ,25,FALSE)</f>
        <v>剑</v>
      </c>
      <c r="AI174" s="20">
        <f>VLOOKUP($R174,武学奇术!$A:$ZZ,26,FALSE)</f>
        <v>0.3432</v>
      </c>
      <c r="AJ174" s="21">
        <f>VLOOKUP($R174,武学奇术!$A:$ZZ,27,FALSE)*(1+IF(OR($AH174=$F$4,$AH174=$F$5),$B$22,0))</f>
        <v>0</v>
      </c>
      <c r="AK174" s="20">
        <f>VLOOKUP($R174,武学奇术!$A:$ZZ,28,FALSE)</f>
        <v>0.5148</v>
      </c>
      <c r="AL174" s="21">
        <f>VLOOKUP($R174,武学奇术!$A:$ZZ,29,FALSE)*(1+IF(OR($AH174=$F$4,$AH174=$F$5),$B$22,0))</f>
        <v>0</v>
      </c>
      <c r="AM174" s="20" cm="1">
        <f t="array" ref="AM174">$G$3+IFERROR(VLOOKUP($AH174,$F$4:$G$7,2,FALSE),0)+VLOOKUP($R174,武学奇术!$A:$ZZ,2,FALSE)+SUM(_xlfn.XLOOKUP($S174:$AG174,增益!$A:$A,增益!$B:$B,0))</f>
        <v>1.3191</v>
      </c>
      <c r="AN174" s="20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1585.72</v>
      </c>
      <c r="AP174" cm="1">
        <f t="array" ref="AP174">$E$10*(1+$AN174)+VLOOKUP($R174,武学奇术!$A:$ZZ,4,FALSE)+SUM(_xlfn.XLOOKUP($S174:$AG174,增益!$A:$A,增益!$D:$D,0))-$I$2</f>
        <v>6696.76</v>
      </c>
      <c r="AQ174" s="29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0.4175</v>
      </c>
      <c r="AR174" s="29" cm="1">
        <f t="array" ref="AR174">$G$10+VLOOKUP($R174,武学奇术!$A:$ZZ,7,FALSE)+SUM(_xlfn.XLOOKUP(S174:AG174,增益!$A:$A,增益!$G:$G,0))</f>
        <v>0</v>
      </c>
      <c r="AS174" s="20" cm="1">
        <f t="array" ref="AS174">VLOOKUP($R174,武学奇术!$A:$ZZ,8,FALSE)+SUM(_xlfn.XLOOKUP(S174:AG174,增益!$A:$A,增益!$H:$H,0))</f>
        <v>0</v>
      </c>
      <c r="AT174">
        <f t="shared" si="74"/>
        <v>538</v>
      </c>
      <c r="AU174">
        <f t="shared" si="75"/>
        <v>1011</v>
      </c>
      <c r="AV174" s="29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0.155</v>
      </c>
      <c r="AW174" s="29" cm="1">
        <f t="array" ref="AW174">$G$11+VLOOKUP($R174,武学奇术!$A:$ZZ,10,FALSE)+SUM(_xlfn.XLOOKUP(S174:AG174,增益!$A:$A,增益!$J:$J,0))</f>
        <v>0.15</v>
      </c>
      <c r="AX174">
        <f t="shared" si="76"/>
        <v>0</v>
      </c>
      <c r="AY174">
        <f t="shared" si="77"/>
        <v>0</v>
      </c>
      <c r="AZ174" s="29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-0.14</v>
      </c>
      <c r="BA174" s="29" cm="1">
        <f t="array" ref="BA174">$G$12+VLOOKUP($R174,武学奇术!$A:$ZZ,12,FALSE)+SUM(_xlfn.XLOOKUP(S174:AG174,增益!$A:$A,增益!$L:$L,0))</f>
        <v>0</v>
      </c>
      <c r="BB174">
        <f t="shared" si="78"/>
        <v>0</v>
      </c>
      <c r="BC174">
        <f t="shared" si="79"/>
        <v>0</v>
      </c>
      <c r="BD174" s="29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-0.14</v>
      </c>
      <c r="BE174" s="29" cm="1">
        <f t="array" ref="BE174">$G$13+VLOOKUP($R174,武学奇术!$A:$ZZ,14,FALSE)+SUM(_xlfn.XLOOKUP(S174:AG174,增益!$A:$A,增益!$N:$N,0))</f>
        <v>0</v>
      </c>
      <c r="BF174">
        <f t="shared" si="80"/>
        <v>0</v>
      </c>
      <c r="BG174">
        <f t="shared" si="81"/>
        <v>0</v>
      </c>
      <c r="BH174" s="29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-0.14</v>
      </c>
      <c r="BI174" s="29" cm="1">
        <f t="array" ref="BI174">$G$14+VLOOKUP($R174,武学奇术!$A:$ZZ,16,FALSE)+SUM(_xlfn.XLOOKUP(S174:AG174,增益!$A:$A,增益!$P:$P,0))</f>
        <v>0</v>
      </c>
      <c r="BJ174" s="20">
        <f>MIN(IF(VLOOKUP($R174,武学奇术!$A:$ZZ,23,FALSE)=1,100%,$B$8),100%)</f>
        <v>0.8271</v>
      </c>
      <c r="BK174" s="20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0.2249</v>
      </c>
      <c r="BL174" s="20" cm="1">
        <f t="array" ref="BL174">1+$B$13+VLOOKUP($R174,武学奇术!$A:$ZZ,18,FALSE)+SUM(_xlfn.XLOOKUP(S174:AG174,增益!$A:$A,增益!$R:$R,0))</f>
        <v>1.5</v>
      </c>
      <c r="BM174" s="20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0.4459</v>
      </c>
      <c r="BN174" s="20" cm="1">
        <f t="array" ref="BN174">1+$B$14+VLOOKUP($R174,武学奇术!$A:$ZZ,20,FALSE)+SUM(_xlfn.XLOOKUP(S174:AG174,增益!$A:$A,增益!$T:$T,0))</f>
        <v>1.712</v>
      </c>
      <c r="BO174" s="20">
        <f t="shared" si="82"/>
        <v>0.18601479</v>
      </c>
      <c r="BP174" s="20">
        <f t="shared" si="83"/>
        <v>0.27228132</v>
      </c>
      <c r="BQ174" s="20">
        <f>IF(VLOOKUP($R174,武学奇术!$A:$ZZ,22,FALSE)=1,0,(1-$BJ174))*(1-$BM174)</f>
        <v>0.09580389</v>
      </c>
      <c r="BR174" s="20" cm="1">
        <f t="array" ref="BR174">SUM(_xlfn.XLOOKUP(S174:AG174,增益!$A:$A,增益!$W:$W,0))+$I$5</f>
        <v>0.11</v>
      </c>
    </row>
    <row r="175" spans="11:70">
      <c r="K175" s="27">
        <f>$L175*VLOOKUP($R175,武学奇术!$A:$ZZ,31,FALSE)</f>
        <v>4632.224295552</v>
      </c>
      <c r="L175" s="27">
        <f t="shared" si="73"/>
        <v>7720.37382592</v>
      </c>
      <c r="M175" s="27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6483.90479121463</v>
      </c>
      <c r="N175" s="27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11553.8568675847</v>
      </c>
      <c r="O175" s="27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4322.60319414308</v>
      </c>
      <c r="P175" s="27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1935.64955461331</v>
      </c>
      <c r="Q175" s="35">
        <v>1</v>
      </c>
      <c r="R175" s="36" t="s">
        <v>164</v>
      </c>
      <c r="S175" s="36" t="s">
        <v>71</v>
      </c>
      <c r="T175" s="36" t="s">
        <v>99</v>
      </c>
      <c r="U175" s="36" t="s">
        <v>100</v>
      </c>
      <c r="V175" s="36" t="s">
        <v>71</v>
      </c>
      <c r="W175" s="36" t="s">
        <v>111</v>
      </c>
      <c r="X175" s="36" t="s">
        <v>71</v>
      </c>
      <c r="Y175" s="36" t="s">
        <v>71</v>
      </c>
      <c r="Z175" s="36" t="s">
        <v>82</v>
      </c>
      <c r="AA175" s="36" t="s">
        <v>71</v>
      </c>
      <c r="AB175" s="36" t="s">
        <v>71</v>
      </c>
      <c r="AC175" s="36" t="s">
        <v>71</v>
      </c>
      <c r="AD175" s="36" t="s">
        <v>72</v>
      </c>
      <c r="AE175" s="36" t="s">
        <v>94</v>
      </c>
      <c r="AF175" s="36" t="s">
        <v>116</v>
      </c>
      <c r="AG175" s="36" t="s">
        <v>120</v>
      </c>
      <c r="AH175" t="str">
        <f>VLOOKUP($R175,武学奇术!$A:$ZZ,25,FALSE)</f>
        <v>剑</v>
      </c>
      <c r="AI175" s="20">
        <f>VLOOKUP($R175,武学奇术!$A:$ZZ,26,FALSE)</f>
        <v>0.1716</v>
      </c>
      <c r="AJ175" s="21">
        <f>VLOOKUP($R175,武学奇术!$A:$ZZ,27,FALSE)*(1+IF(OR($AH175=$F$4,$AH175=$F$5),$B$22,0))</f>
        <v>0</v>
      </c>
      <c r="AK175" s="20">
        <f>VLOOKUP($R175,武学奇术!$A:$ZZ,28,FALSE)</f>
        <v>0.2574</v>
      </c>
      <c r="AL175" s="21">
        <f>VLOOKUP($R175,武学奇术!$A:$ZZ,29,FALSE)*(1+IF(OR($AH175=$F$4,$AH175=$F$5),$B$22,0))</f>
        <v>0</v>
      </c>
      <c r="AM175" s="20" cm="1">
        <f t="array" ref="AM175">$G$3+IFERROR(VLOOKUP($AH175,$F$4:$G$7,2,FALSE),0)+VLOOKUP($R175,武学奇术!$A:$ZZ,2,FALSE)+SUM(_xlfn.XLOOKUP($S175:$AG175,增益!$A:$A,增益!$B:$B,0))</f>
        <v>1.3191</v>
      </c>
      <c r="AN175" s="20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1585.72</v>
      </c>
      <c r="AP175" cm="1">
        <f t="array" ref="AP175">$E$10*(1+$AN175)+VLOOKUP($R175,武学奇术!$A:$ZZ,4,FALSE)+SUM(_xlfn.XLOOKUP($S175:$AG175,增益!$A:$A,增益!$D:$D,0))-$I$2</f>
        <v>6696.76</v>
      </c>
      <c r="AQ175" s="29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0.4175</v>
      </c>
      <c r="AR175" s="29" cm="1">
        <f t="array" ref="AR175">$G$10+VLOOKUP($R175,武学奇术!$A:$ZZ,7,FALSE)+SUM(_xlfn.XLOOKUP(S175:AG175,增益!$A:$A,增益!$G:$G,0))</f>
        <v>0</v>
      </c>
      <c r="AS175" s="20" cm="1">
        <f t="array" ref="AS175">VLOOKUP($R175,武学奇术!$A:$ZZ,8,FALSE)+SUM(_xlfn.XLOOKUP(S175:AG175,增益!$A:$A,增益!$H:$H,0))</f>
        <v>0</v>
      </c>
      <c r="AT175">
        <f t="shared" si="74"/>
        <v>538</v>
      </c>
      <c r="AU175">
        <f t="shared" si="75"/>
        <v>1011</v>
      </c>
      <c r="AV175" s="29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0.155</v>
      </c>
      <c r="AW175" s="29" cm="1">
        <f t="array" ref="AW175">$G$11+VLOOKUP($R175,武学奇术!$A:$ZZ,10,FALSE)+SUM(_xlfn.XLOOKUP(S175:AG175,增益!$A:$A,增益!$J:$J,0))</f>
        <v>0.15</v>
      </c>
      <c r="AX175">
        <f t="shared" si="76"/>
        <v>0</v>
      </c>
      <c r="AY175">
        <f t="shared" si="77"/>
        <v>0</v>
      </c>
      <c r="AZ175" s="29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-0.14</v>
      </c>
      <c r="BA175" s="29" cm="1">
        <f t="array" ref="BA175">$G$12+VLOOKUP($R175,武学奇术!$A:$ZZ,12,FALSE)+SUM(_xlfn.XLOOKUP(S175:AG175,增益!$A:$A,增益!$L:$L,0))</f>
        <v>0</v>
      </c>
      <c r="BB175">
        <f t="shared" si="78"/>
        <v>0</v>
      </c>
      <c r="BC175">
        <f t="shared" si="79"/>
        <v>0</v>
      </c>
      <c r="BD175" s="29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-0.14</v>
      </c>
      <c r="BE175" s="29" cm="1">
        <f t="array" ref="BE175">$G$13+VLOOKUP($R175,武学奇术!$A:$ZZ,14,FALSE)+SUM(_xlfn.XLOOKUP(S175:AG175,增益!$A:$A,增益!$N:$N,0))</f>
        <v>0</v>
      </c>
      <c r="BF175">
        <f t="shared" si="80"/>
        <v>0</v>
      </c>
      <c r="BG175">
        <f t="shared" si="81"/>
        <v>0</v>
      </c>
      <c r="BH175" s="29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-0.14</v>
      </c>
      <c r="BI175" s="29" cm="1">
        <f t="array" ref="BI175">$G$14+VLOOKUP($R175,武学奇术!$A:$ZZ,16,FALSE)+SUM(_xlfn.XLOOKUP(S175:AG175,增益!$A:$A,增益!$P:$P,0))</f>
        <v>0</v>
      </c>
      <c r="BJ175" s="20">
        <f>MIN(IF(VLOOKUP($R175,武学奇术!$A:$ZZ,23,FALSE)=1,100%,$B$8),100%)</f>
        <v>0.8271</v>
      </c>
      <c r="BK175" s="20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0.2249</v>
      </c>
      <c r="BL175" s="20" cm="1">
        <f t="array" ref="BL175">1+$B$13+VLOOKUP($R175,武学奇术!$A:$ZZ,18,FALSE)+SUM(_xlfn.XLOOKUP(S175:AG175,增益!$A:$A,增益!$R:$R,0))</f>
        <v>1.5</v>
      </c>
      <c r="BM175" s="20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0.4459</v>
      </c>
      <c r="BN175" s="20" cm="1">
        <f t="array" ref="BN175">1+$B$14+VLOOKUP($R175,武学奇术!$A:$ZZ,20,FALSE)+SUM(_xlfn.XLOOKUP(S175:AG175,增益!$A:$A,增益!$T:$T,0))</f>
        <v>1.722</v>
      </c>
      <c r="BO175" s="20">
        <f t="shared" si="82"/>
        <v>0.18601479</v>
      </c>
      <c r="BP175" s="20">
        <f t="shared" si="83"/>
        <v>0.27228132</v>
      </c>
      <c r="BQ175" s="20">
        <f>IF(VLOOKUP($R175,武学奇术!$A:$ZZ,22,FALSE)=1,0,(1-$BJ175))*(1-$BM175)</f>
        <v>0.09580389</v>
      </c>
      <c r="BR175" s="20" cm="1">
        <f t="array" ref="BR175">SUM(_xlfn.XLOOKUP(S175:AG175,增益!$A:$A,增益!$W:$W,0))+$I$5</f>
        <v>0.11</v>
      </c>
    </row>
    <row r="176" spans="11:70">
      <c r="K176" s="27">
        <f>$L176*VLOOKUP($R176,武学奇术!$A:$ZZ,31,FALSE)</f>
        <v>4632.224295552</v>
      </c>
      <c r="L176" s="27">
        <f t="shared" si="73"/>
        <v>7720.37382592</v>
      </c>
      <c r="M176" s="27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6483.90479121463</v>
      </c>
      <c r="N176" s="27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11553.8568675847</v>
      </c>
      <c r="O176" s="27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4322.60319414308</v>
      </c>
      <c r="P176" s="27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1935.64955461331</v>
      </c>
      <c r="Q176" s="35">
        <v>1</v>
      </c>
      <c r="R176" s="36" t="s">
        <v>164</v>
      </c>
      <c r="S176" s="36" t="s">
        <v>71</v>
      </c>
      <c r="T176" s="36" t="s">
        <v>99</v>
      </c>
      <c r="U176" s="36" t="s">
        <v>100</v>
      </c>
      <c r="V176" s="36" t="s">
        <v>71</v>
      </c>
      <c r="W176" s="36" t="s">
        <v>111</v>
      </c>
      <c r="X176" s="36" t="s">
        <v>71</v>
      </c>
      <c r="Y176" s="36" t="s">
        <v>71</v>
      </c>
      <c r="Z176" s="36" t="s">
        <v>82</v>
      </c>
      <c r="AA176" s="36" t="s">
        <v>71</v>
      </c>
      <c r="AB176" s="36" t="s">
        <v>71</v>
      </c>
      <c r="AC176" s="36" t="s">
        <v>71</v>
      </c>
      <c r="AD176" s="36" t="s">
        <v>72</v>
      </c>
      <c r="AE176" s="36" t="s">
        <v>94</v>
      </c>
      <c r="AF176" s="36" t="s">
        <v>116</v>
      </c>
      <c r="AG176" s="36" t="s">
        <v>120</v>
      </c>
      <c r="AH176" t="str">
        <f>VLOOKUP($R176,武学奇术!$A:$ZZ,25,FALSE)</f>
        <v>剑</v>
      </c>
      <c r="AI176" s="20">
        <f>VLOOKUP($R176,武学奇术!$A:$ZZ,26,FALSE)</f>
        <v>0.1716</v>
      </c>
      <c r="AJ176" s="21">
        <f>VLOOKUP($R176,武学奇术!$A:$ZZ,27,FALSE)*(1+IF(OR($AH176=$F$4,$AH176=$F$5),$B$22,0))</f>
        <v>0</v>
      </c>
      <c r="AK176" s="20">
        <f>VLOOKUP($R176,武学奇术!$A:$ZZ,28,FALSE)</f>
        <v>0.2574</v>
      </c>
      <c r="AL176" s="21">
        <f>VLOOKUP($R176,武学奇术!$A:$ZZ,29,FALSE)*(1+IF(OR($AH176=$F$4,$AH176=$F$5),$B$22,0))</f>
        <v>0</v>
      </c>
      <c r="AM176" s="20" cm="1">
        <f t="array" ref="AM176">$G$3+IFERROR(VLOOKUP($AH176,$F$4:$G$7,2,FALSE),0)+VLOOKUP($R176,武学奇术!$A:$ZZ,2,FALSE)+SUM(_xlfn.XLOOKUP($S176:$AG176,增益!$A:$A,增益!$B:$B,0))</f>
        <v>1.3191</v>
      </c>
      <c r="AN176" s="20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1585.72</v>
      </c>
      <c r="AP176" cm="1">
        <f t="array" ref="AP176">$E$10*(1+$AN176)+VLOOKUP($R176,武学奇术!$A:$ZZ,4,FALSE)+SUM(_xlfn.XLOOKUP($S176:$AG176,增益!$A:$A,增益!$D:$D,0))-$I$2</f>
        <v>6696.76</v>
      </c>
      <c r="AQ176" s="29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0.4175</v>
      </c>
      <c r="AR176" s="29" cm="1">
        <f t="array" ref="AR176">$G$10+VLOOKUP($R176,武学奇术!$A:$ZZ,7,FALSE)+SUM(_xlfn.XLOOKUP(S176:AG176,增益!$A:$A,增益!$G:$G,0))</f>
        <v>0</v>
      </c>
      <c r="AS176" s="20" cm="1">
        <f t="array" ref="AS176">VLOOKUP($R176,武学奇术!$A:$ZZ,8,FALSE)+SUM(_xlfn.XLOOKUP(S176:AG176,增益!$A:$A,增益!$H:$H,0))</f>
        <v>0</v>
      </c>
      <c r="AT176">
        <f t="shared" si="74"/>
        <v>538</v>
      </c>
      <c r="AU176">
        <f t="shared" si="75"/>
        <v>1011</v>
      </c>
      <c r="AV176" s="29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0.155</v>
      </c>
      <c r="AW176" s="29" cm="1">
        <f t="array" ref="AW176">$G$11+VLOOKUP($R176,武学奇术!$A:$ZZ,10,FALSE)+SUM(_xlfn.XLOOKUP(S176:AG176,增益!$A:$A,增益!$J:$J,0))</f>
        <v>0.15</v>
      </c>
      <c r="AX176">
        <f t="shared" si="76"/>
        <v>0</v>
      </c>
      <c r="AY176">
        <f t="shared" si="77"/>
        <v>0</v>
      </c>
      <c r="AZ176" s="29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-0.14</v>
      </c>
      <c r="BA176" s="29" cm="1">
        <f t="array" ref="BA176">$G$12+VLOOKUP($R176,武学奇术!$A:$ZZ,12,FALSE)+SUM(_xlfn.XLOOKUP(S176:AG176,增益!$A:$A,增益!$L:$L,0))</f>
        <v>0</v>
      </c>
      <c r="BB176">
        <f t="shared" si="78"/>
        <v>0</v>
      </c>
      <c r="BC176">
        <f t="shared" si="79"/>
        <v>0</v>
      </c>
      <c r="BD176" s="29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-0.14</v>
      </c>
      <c r="BE176" s="29" cm="1">
        <f t="array" ref="BE176">$G$13+VLOOKUP($R176,武学奇术!$A:$ZZ,14,FALSE)+SUM(_xlfn.XLOOKUP(S176:AG176,增益!$A:$A,增益!$N:$N,0))</f>
        <v>0</v>
      </c>
      <c r="BF176">
        <f t="shared" si="80"/>
        <v>0</v>
      </c>
      <c r="BG176">
        <f t="shared" si="81"/>
        <v>0</v>
      </c>
      <c r="BH176" s="29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-0.14</v>
      </c>
      <c r="BI176" s="29" cm="1">
        <f t="array" ref="BI176">$G$14+VLOOKUP($R176,武学奇术!$A:$ZZ,16,FALSE)+SUM(_xlfn.XLOOKUP(S176:AG176,增益!$A:$A,增益!$P:$P,0))</f>
        <v>0</v>
      </c>
      <c r="BJ176" s="20">
        <f>MIN(IF(VLOOKUP($R176,武学奇术!$A:$ZZ,23,FALSE)=1,100%,$B$8),100%)</f>
        <v>0.8271</v>
      </c>
      <c r="BK176" s="20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0.2249</v>
      </c>
      <c r="BL176" s="20" cm="1">
        <f t="array" ref="BL176">1+$B$13+VLOOKUP($R176,武学奇术!$A:$ZZ,18,FALSE)+SUM(_xlfn.XLOOKUP(S176:AG176,增益!$A:$A,增益!$R:$R,0))</f>
        <v>1.5</v>
      </c>
      <c r="BM176" s="20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0.4459</v>
      </c>
      <c r="BN176" s="20" cm="1">
        <f t="array" ref="BN176">1+$B$14+VLOOKUP($R176,武学奇术!$A:$ZZ,20,FALSE)+SUM(_xlfn.XLOOKUP(S176:AG176,增益!$A:$A,增益!$T:$T,0))</f>
        <v>1.722</v>
      </c>
      <c r="BO176" s="20">
        <f t="shared" si="82"/>
        <v>0.18601479</v>
      </c>
      <c r="BP176" s="20">
        <f t="shared" si="83"/>
        <v>0.27228132</v>
      </c>
      <c r="BQ176" s="20">
        <f>IF(VLOOKUP($R176,武学奇术!$A:$ZZ,22,FALSE)=1,0,(1-$BJ176))*(1-$BM176)</f>
        <v>0.09580389</v>
      </c>
      <c r="BR176" s="20" cm="1">
        <f t="array" ref="BR176">SUM(_xlfn.XLOOKUP(S176:AG176,增益!$A:$A,增益!$W:$W,0))+$I$5</f>
        <v>0.11</v>
      </c>
    </row>
    <row r="177" spans="11:70">
      <c r="K177" s="27">
        <f>$L177*VLOOKUP($R177,武学奇术!$A:$ZZ,31,FALSE)</f>
        <v>5558.6691546624</v>
      </c>
      <c r="L177" s="27">
        <f t="shared" si="73"/>
        <v>9264.448591104</v>
      </c>
      <c r="M177" s="27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7780.68574945755</v>
      </c>
      <c r="N177" s="27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13864.6282411016</v>
      </c>
      <c r="O177" s="27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5187.1238329717</v>
      </c>
      <c r="P177" s="27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2322.77946553597</v>
      </c>
      <c r="Q177" s="35">
        <v>1</v>
      </c>
      <c r="R177" s="36" t="s">
        <v>165</v>
      </c>
      <c r="S177" s="36" t="s">
        <v>71</v>
      </c>
      <c r="T177" s="36" t="s">
        <v>99</v>
      </c>
      <c r="U177" s="36" t="s">
        <v>100</v>
      </c>
      <c r="V177" s="36" t="s">
        <v>71</v>
      </c>
      <c r="W177" s="36" t="s">
        <v>111</v>
      </c>
      <c r="X177" s="36" t="s">
        <v>71</v>
      </c>
      <c r="Y177" s="36" t="s">
        <v>71</v>
      </c>
      <c r="Z177" s="36" t="s">
        <v>82</v>
      </c>
      <c r="AA177" s="36" t="s">
        <v>71</v>
      </c>
      <c r="AB177" s="36" t="s">
        <v>71</v>
      </c>
      <c r="AC177" s="36" t="s">
        <v>71</v>
      </c>
      <c r="AD177" s="36" t="s">
        <v>72</v>
      </c>
      <c r="AE177" s="36" t="s">
        <v>94</v>
      </c>
      <c r="AF177" s="36" t="s">
        <v>116</v>
      </c>
      <c r="AG177" s="36" t="s">
        <v>120</v>
      </c>
      <c r="AH177" t="str">
        <f>VLOOKUP($R177,武学奇术!$A:$ZZ,25,FALSE)</f>
        <v>剑</v>
      </c>
      <c r="AI177" s="20">
        <f>VLOOKUP($R177,武学奇术!$A:$ZZ,26,FALSE)</f>
        <v>0.20592</v>
      </c>
      <c r="AJ177" s="21">
        <f>VLOOKUP($R177,武学奇术!$A:$ZZ,27,FALSE)*(1+IF(OR($AH177=$F$4,$AH177=$F$5),$B$22,0))</f>
        <v>0</v>
      </c>
      <c r="AK177" s="20">
        <f>VLOOKUP($R177,武学奇术!$A:$ZZ,28,FALSE)</f>
        <v>0.30888</v>
      </c>
      <c r="AL177" s="21">
        <f>VLOOKUP($R177,武学奇术!$A:$ZZ,29,FALSE)*(1+IF(OR($AH177=$F$4,$AH177=$F$5),$B$22,0))</f>
        <v>0</v>
      </c>
      <c r="AM177" s="20" cm="1">
        <f t="array" ref="AM177">$G$3+IFERROR(VLOOKUP($AH177,$F$4:$G$7,2,FALSE),0)+VLOOKUP($R177,武学奇术!$A:$ZZ,2,FALSE)+SUM(_xlfn.XLOOKUP($S177:$AG177,增益!$A:$A,增益!$B:$B,0))</f>
        <v>1.3191</v>
      </c>
      <c r="AN177" s="20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1585.72</v>
      </c>
      <c r="AP177" cm="1">
        <f t="array" ref="AP177">$E$10*(1+$AN177)+VLOOKUP($R177,武学奇术!$A:$ZZ,4,FALSE)+SUM(_xlfn.XLOOKUP($S177:$AG177,增益!$A:$A,增益!$D:$D,0))-$I$2</f>
        <v>6696.76</v>
      </c>
      <c r="AQ177" s="29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0.4175</v>
      </c>
      <c r="AR177" s="29" cm="1">
        <f t="array" ref="AR177">$G$10+VLOOKUP($R177,武学奇术!$A:$ZZ,7,FALSE)+SUM(_xlfn.XLOOKUP(S177:AG177,增益!$A:$A,增益!$G:$G,0))</f>
        <v>0</v>
      </c>
      <c r="AS177" s="20" cm="1">
        <f t="array" ref="AS177">VLOOKUP($R177,武学奇术!$A:$ZZ,8,FALSE)+SUM(_xlfn.XLOOKUP(S177:AG177,增益!$A:$A,增益!$H:$H,0))</f>
        <v>0</v>
      </c>
      <c r="AT177">
        <f t="shared" si="74"/>
        <v>538</v>
      </c>
      <c r="AU177">
        <f t="shared" si="75"/>
        <v>1011</v>
      </c>
      <c r="AV177" s="29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0.155</v>
      </c>
      <c r="AW177" s="29" cm="1">
        <f t="array" ref="AW177">$G$11+VLOOKUP($R177,武学奇术!$A:$ZZ,10,FALSE)+SUM(_xlfn.XLOOKUP(S177:AG177,增益!$A:$A,增益!$J:$J,0))</f>
        <v>0.15</v>
      </c>
      <c r="AX177">
        <f t="shared" si="76"/>
        <v>0</v>
      </c>
      <c r="AY177">
        <f t="shared" si="77"/>
        <v>0</v>
      </c>
      <c r="AZ177" s="29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-0.14</v>
      </c>
      <c r="BA177" s="29" cm="1">
        <f t="array" ref="BA177">$G$12+VLOOKUP($R177,武学奇术!$A:$ZZ,12,FALSE)+SUM(_xlfn.XLOOKUP(S177:AG177,增益!$A:$A,增益!$L:$L,0))</f>
        <v>0</v>
      </c>
      <c r="BB177">
        <f t="shared" si="78"/>
        <v>0</v>
      </c>
      <c r="BC177">
        <f t="shared" si="79"/>
        <v>0</v>
      </c>
      <c r="BD177" s="29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-0.14</v>
      </c>
      <c r="BE177" s="29" cm="1">
        <f t="array" ref="BE177">$G$13+VLOOKUP($R177,武学奇术!$A:$ZZ,14,FALSE)+SUM(_xlfn.XLOOKUP(S177:AG177,增益!$A:$A,增益!$N:$N,0))</f>
        <v>0</v>
      </c>
      <c r="BF177">
        <f t="shared" si="80"/>
        <v>0</v>
      </c>
      <c r="BG177">
        <f t="shared" si="81"/>
        <v>0</v>
      </c>
      <c r="BH177" s="29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-0.14</v>
      </c>
      <c r="BI177" s="29" cm="1">
        <f t="array" ref="BI177">$G$14+VLOOKUP($R177,武学奇术!$A:$ZZ,16,FALSE)+SUM(_xlfn.XLOOKUP(S177:AG177,增益!$A:$A,增益!$P:$P,0))</f>
        <v>0</v>
      </c>
      <c r="BJ177" s="20">
        <f>MIN(IF(VLOOKUP($R177,武学奇术!$A:$ZZ,23,FALSE)=1,100%,$B$8),100%)</f>
        <v>0.8271</v>
      </c>
      <c r="BK177" s="20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0.2249</v>
      </c>
      <c r="BL177" s="20" cm="1">
        <f t="array" ref="BL177">1+$B$13+VLOOKUP($R177,武学奇术!$A:$ZZ,18,FALSE)+SUM(_xlfn.XLOOKUP(S177:AG177,增益!$A:$A,增益!$R:$R,0))</f>
        <v>1.5</v>
      </c>
      <c r="BM177" s="20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0.4459</v>
      </c>
      <c r="BN177" s="20" cm="1">
        <f t="array" ref="BN177">1+$B$14+VLOOKUP($R177,武学奇术!$A:$ZZ,20,FALSE)+SUM(_xlfn.XLOOKUP(S177:AG177,增益!$A:$A,增益!$T:$T,0))</f>
        <v>1.722</v>
      </c>
      <c r="BO177" s="20">
        <f t="shared" si="82"/>
        <v>0.18601479</v>
      </c>
      <c r="BP177" s="20">
        <f t="shared" si="83"/>
        <v>0.27228132</v>
      </c>
      <c r="BQ177" s="20">
        <f>IF(VLOOKUP($R177,武学奇术!$A:$ZZ,22,FALSE)=1,0,(1-$BJ177))*(1-$BM177)</f>
        <v>0.09580389</v>
      </c>
      <c r="BR177" s="20" cm="1">
        <f t="array" ref="BR177">SUM(_xlfn.XLOOKUP(S177:AG177,增益!$A:$A,增益!$W:$W,0))+$I$5</f>
        <v>0.11</v>
      </c>
    </row>
    <row r="178" spans="11:70">
      <c r="K178" s="27">
        <f>$L178*VLOOKUP($R178,武学奇术!$A:$ZZ,31,FALSE)</f>
        <v>7440.2800702477</v>
      </c>
      <c r="L178" s="27">
        <f t="shared" si="73"/>
        <v>12400.4667837462</v>
      </c>
      <c r="M178" s="27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10374.2476659434</v>
      </c>
      <c r="N178" s="27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18593.5238974742</v>
      </c>
      <c r="O178" s="27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6916.16511062893</v>
      </c>
      <c r="P178" s="27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3097.0392873813</v>
      </c>
      <c r="Q178" s="35">
        <v>1</v>
      </c>
      <c r="R178" s="36" t="s">
        <v>163</v>
      </c>
      <c r="S178" s="36" t="s">
        <v>71</v>
      </c>
      <c r="T178" s="36" t="s">
        <v>99</v>
      </c>
      <c r="U178" s="36" t="s">
        <v>100</v>
      </c>
      <c r="V178" s="36" t="s">
        <v>71</v>
      </c>
      <c r="W178" s="36" t="s">
        <v>111</v>
      </c>
      <c r="X178" s="36" t="s">
        <v>71</v>
      </c>
      <c r="Y178" s="36" t="s">
        <v>71</v>
      </c>
      <c r="Z178" s="36" t="s">
        <v>82</v>
      </c>
      <c r="AA178" s="36" t="s">
        <v>71</v>
      </c>
      <c r="AB178" s="36" t="s">
        <v>71</v>
      </c>
      <c r="AC178" s="36" t="s">
        <v>71</v>
      </c>
      <c r="AD178" s="36" t="s">
        <v>72</v>
      </c>
      <c r="AE178" s="36" t="s">
        <v>94</v>
      </c>
      <c r="AF178" s="36" t="s">
        <v>134</v>
      </c>
      <c r="AG178" s="36" t="s">
        <v>120</v>
      </c>
      <c r="AH178" t="str">
        <f>VLOOKUP($R178,武学奇术!$A:$ZZ,25,FALSE)</f>
        <v>剑</v>
      </c>
      <c r="AI178" s="20">
        <f>VLOOKUP($R178,武学奇术!$A:$ZZ,26,FALSE)</f>
        <v>0.27456</v>
      </c>
      <c r="AJ178" s="21">
        <f>VLOOKUP($R178,武学奇术!$A:$ZZ,27,FALSE)*(1+IF(OR($AH178=$F$4,$AH178=$F$5),$B$22,0))</f>
        <v>0</v>
      </c>
      <c r="AK178" s="20">
        <f>VLOOKUP($R178,武学奇术!$A:$ZZ,28,FALSE)</f>
        <v>0.41184</v>
      </c>
      <c r="AL178" s="21">
        <f>VLOOKUP($R178,武学奇术!$A:$ZZ,29,FALSE)*(1+IF(OR($AH178=$F$4,$AH178=$F$5),$B$22,0))</f>
        <v>0</v>
      </c>
      <c r="AM178" s="20" cm="1">
        <f t="array" ref="AM178">$G$3+IFERROR(VLOOKUP($AH178,$F$4:$G$7,2,FALSE),0)+VLOOKUP($R178,武学奇术!$A:$ZZ,2,FALSE)+SUM(_xlfn.XLOOKUP($S178:$AG178,增益!$A:$A,增益!$B:$B,0))</f>
        <v>1.3191</v>
      </c>
      <c r="AN178" s="20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1585.72</v>
      </c>
      <c r="AP178" cm="1">
        <f t="array" ref="AP178">$E$10*(1+$AN178)+VLOOKUP($R178,武学奇术!$A:$ZZ,4,FALSE)+SUM(_xlfn.XLOOKUP($S178:$AG178,增益!$A:$A,增益!$D:$D,0))-$I$2</f>
        <v>6696.76</v>
      </c>
      <c r="AQ178" s="29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0.4175</v>
      </c>
      <c r="AR178" s="29" cm="1">
        <f t="array" ref="AR178">$G$10+VLOOKUP($R178,武学奇术!$A:$ZZ,7,FALSE)+SUM(_xlfn.XLOOKUP(S178:AG178,增益!$A:$A,增益!$G:$G,0))</f>
        <v>0</v>
      </c>
      <c r="AS178" s="20" cm="1">
        <f t="array" ref="AS178">VLOOKUP($R178,武学奇术!$A:$ZZ,8,FALSE)+SUM(_xlfn.XLOOKUP(S178:AG178,增益!$A:$A,增益!$H:$H,0))</f>
        <v>0</v>
      </c>
      <c r="AT178">
        <f t="shared" si="74"/>
        <v>538</v>
      </c>
      <c r="AU178">
        <f t="shared" si="75"/>
        <v>1011</v>
      </c>
      <c r="AV178" s="29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0.155</v>
      </c>
      <c r="AW178" s="29" cm="1">
        <f t="array" ref="AW178">$G$11+VLOOKUP($R178,武学奇术!$A:$ZZ,10,FALSE)+SUM(_xlfn.XLOOKUP(S178:AG178,增益!$A:$A,增益!$J:$J,0))</f>
        <v>0.15</v>
      </c>
      <c r="AX178">
        <f t="shared" si="76"/>
        <v>0</v>
      </c>
      <c r="AY178">
        <f t="shared" si="77"/>
        <v>0</v>
      </c>
      <c r="AZ178" s="29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-0.14</v>
      </c>
      <c r="BA178" s="29" cm="1">
        <f t="array" ref="BA178">$G$12+VLOOKUP($R178,武学奇术!$A:$ZZ,12,FALSE)+SUM(_xlfn.XLOOKUP(S178:AG178,增益!$A:$A,增益!$L:$L,0))</f>
        <v>0</v>
      </c>
      <c r="BB178">
        <f t="shared" si="78"/>
        <v>0</v>
      </c>
      <c r="BC178">
        <f t="shared" si="79"/>
        <v>0</v>
      </c>
      <c r="BD178" s="29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-0.14</v>
      </c>
      <c r="BE178" s="29" cm="1">
        <f t="array" ref="BE178">$G$13+VLOOKUP($R178,武学奇术!$A:$ZZ,14,FALSE)+SUM(_xlfn.XLOOKUP(S178:AG178,增益!$A:$A,增益!$N:$N,0))</f>
        <v>0</v>
      </c>
      <c r="BF178">
        <f t="shared" si="80"/>
        <v>0</v>
      </c>
      <c r="BG178">
        <f t="shared" si="81"/>
        <v>0</v>
      </c>
      <c r="BH178" s="29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-0.14</v>
      </c>
      <c r="BI178" s="29" cm="1">
        <f t="array" ref="BI178">$G$14+VLOOKUP($R178,武学奇术!$A:$ZZ,16,FALSE)+SUM(_xlfn.XLOOKUP(S178:AG178,增益!$A:$A,增益!$P:$P,0))</f>
        <v>0</v>
      </c>
      <c r="BJ178" s="20">
        <f>MIN(IF(VLOOKUP($R178,武学奇术!$A:$ZZ,23,FALSE)=1,100%,$B$8),100%)</f>
        <v>0.8271</v>
      </c>
      <c r="BK178" s="20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0.2249</v>
      </c>
      <c r="BL178" s="20" cm="1">
        <f t="array" ref="BL178">1+$B$13+VLOOKUP($R178,武学奇术!$A:$ZZ,18,FALSE)+SUM(_xlfn.XLOOKUP(S178:AG178,增益!$A:$A,增益!$R:$R,0))</f>
        <v>1.5</v>
      </c>
      <c r="BM178" s="20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0.4459</v>
      </c>
      <c r="BN178" s="20" cm="1">
        <f t="array" ref="BN178">1+$B$14+VLOOKUP($R178,武学奇术!$A:$ZZ,20,FALSE)+SUM(_xlfn.XLOOKUP(S178:AG178,增益!$A:$A,增益!$T:$T,0))</f>
        <v>1.732</v>
      </c>
      <c r="BO178" s="20">
        <f t="shared" si="82"/>
        <v>0.18601479</v>
      </c>
      <c r="BP178" s="20">
        <f t="shared" si="83"/>
        <v>0.27228132</v>
      </c>
      <c r="BQ178" s="20">
        <f>IF(VLOOKUP($R178,武学奇术!$A:$ZZ,22,FALSE)=1,0,(1-$BJ178))*(1-$BM178)</f>
        <v>0.09580389</v>
      </c>
      <c r="BR178" s="20" cm="1">
        <f t="array" ref="BR178">SUM(_xlfn.XLOOKUP(S178:AG178,增益!$A:$A,增益!$W:$W,0))+$I$5</f>
        <v>0.11</v>
      </c>
    </row>
    <row r="179" spans="11:70">
      <c r="K179" s="27">
        <f>$L179*VLOOKUP($R179,武学奇术!$A:$ZZ,31,FALSE)</f>
        <v>7440.2800702477</v>
      </c>
      <c r="L179" s="27">
        <f t="shared" si="73"/>
        <v>12400.4667837462</v>
      </c>
      <c r="M179" s="27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10374.2476659434</v>
      </c>
      <c r="N179" s="27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18593.5238974742</v>
      </c>
      <c r="O179" s="27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6916.16511062893</v>
      </c>
      <c r="P179" s="27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3097.0392873813</v>
      </c>
      <c r="Q179" s="35">
        <v>1</v>
      </c>
      <c r="R179" s="36" t="s">
        <v>163</v>
      </c>
      <c r="S179" s="36" t="s">
        <v>71</v>
      </c>
      <c r="T179" s="36" t="s">
        <v>99</v>
      </c>
      <c r="U179" s="36" t="s">
        <v>100</v>
      </c>
      <c r="V179" s="36" t="s">
        <v>71</v>
      </c>
      <c r="W179" s="36" t="s">
        <v>111</v>
      </c>
      <c r="X179" s="36" t="s">
        <v>71</v>
      </c>
      <c r="Y179" s="36" t="s">
        <v>71</v>
      </c>
      <c r="Z179" s="36" t="s">
        <v>82</v>
      </c>
      <c r="AA179" s="36" t="s">
        <v>71</v>
      </c>
      <c r="AB179" s="36" t="s">
        <v>71</v>
      </c>
      <c r="AC179" s="36" t="s">
        <v>71</v>
      </c>
      <c r="AD179" s="36" t="s">
        <v>72</v>
      </c>
      <c r="AE179" s="36" t="s">
        <v>94</v>
      </c>
      <c r="AF179" s="36" t="s">
        <v>134</v>
      </c>
      <c r="AG179" s="36" t="s">
        <v>120</v>
      </c>
      <c r="AH179" t="str">
        <f>VLOOKUP($R179,武学奇术!$A:$ZZ,25,FALSE)</f>
        <v>剑</v>
      </c>
      <c r="AI179" s="20">
        <f>VLOOKUP($R179,武学奇术!$A:$ZZ,26,FALSE)</f>
        <v>0.27456</v>
      </c>
      <c r="AJ179" s="21">
        <f>VLOOKUP($R179,武学奇术!$A:$ZZ,27,FALSE)*(1+IF(OR($AH179=$F$4,$AH179=$F$5),$B$22,0))</f>
        <v>0</v>
      </c>
      <c r="AK179" s="20">
        <f>VLOOKUP($R179,武学奇术!$A:$ZZ,28,FALSE)</f>
        <v>0.41184</v>
      </c>
      <c r="AL179" s="21">
        <f>VLOOKUP($R179,武学奇术!$A:$ZZ,29,FALSE)*(1+IF(OR($AH179=$F$4,$AH179=$F$5),$B$22,0))</f>
        <v>0</v>
      </c>
      <c r="AM179" s="20" cm="1">
        <f t="array" ref="AM179">$G$3+IFERROR(VLOOKUP($AH179,$F$4:$G$7,2,FALSE),0)+VLOOKUP($R179,武学奇术!$A:$ZZ,2,FALSE)+SUM(_xlfn.XLOOKUP($S179:$AG179,增益!$A:$A,增益!$B:$B,0))</f>
        <v>1.3191</v>
      </c>
      <c r="AN179" s="20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1585.72</v>
      </c>
      <c r="AP179" cm="1">
        <f t="array" ref="AP179">$E$10*(1+$AN179)+VLOOKUP($R179,武学奇术!$A:$ZZ,4,FALSE)+SUM(_xlfn.XLOOKUP($S179:$AG179,增益!$A:$A,增益!$D:$D,0))-$I$2</f>
        <v>6696.76</v>
      </c>
      <c r="AQ179" s="29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0.4175</v>
      </c>
      <c r="AR179" s="29" cm="1">
        <f t="array" ref="AR179">$G$10+VLOOKUP($R179,武学奇术!$A:$ZZ,7,FALSE)+SUM(_xlfn.XLOOKUP(S179:AG179,增益!$A:$A,增益!$G:$G,0))</f>
        <v>0</v>
      </c>
      <c r="AS179" s="20" cm="1">
        <f t="array" ref="AS179">VLOOKUP($R179,武学奇术!$A:$ZZ,8,FALSE)+SUM(_xlfn.XLOOKUP(S179:AG179,增益!$A:$A,增益!$H:$H,0))</f>
        <v>0</v>
      </c>
      <c r="AT179">
        <f t="shared" si="74"/>
        <v>538</v>
      </c>
      <c r="AU179">
        <f t="shared" si="75"/>
        <v>1011</v>
      </c>
      <c r="AV179" s="29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0.155</v>
      </c>
      <c r="AW179" s="29" cm="1">
        <f t="array" ref="AW179">$G$11+VLOOKUP($R179,武学奇术!$A:$ZZ,10,FALSE)+SUM(_xlfn.XLOOKUP(S179:AG179,增益!$A:$A,增益!$J:$J,0))</f>
        <v>0.15</v>
      </c>
      <c r="AX179">
        <f t="shared" si="76"/>
        <v>0</v>
      </c>
      <c r="AY179">
        <f t="shared" si="77"/>
        <v>0</v>
      </c>
      <c r="AZ179" s="29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-0.14</v>
      </c>
      <c r="BA179" s="29" cm="1">
        <f t="array" ref="BA179">$G$12+VLOOKUP($R179,武学奇术!$A:$ZZ,12,FALSE)+SUM(_xlfn.XLOOKUP(S179:AG179,增益!$A:$A,增益!$L:$L,0))</f>
        <v>0</v>
      </c>
      <c r="BB179">
        <f t="shared" si="78"/>
        <v>0</v>
      </c>
      <c r="BC179">
        <f t="shared" si="79"/>
        <v>0</v>
      </c>
      <c r="BD179" s="29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-0.14</v>
      </c>
      <c r="BE179" s="29" cm="1">
        <f t="array" ref="BE179">$G$13+VLOOKUP($R179,武学奇术!$A:$ZZ,14,FALSE)+SUM(_xlfn.XLOOKUP(S179:AG179,增益!$A:$A,增益!$N:$N,0))</f>
        <v>0</v>
      </c>
      <c r="BF179">
        <f t="shared" si="80"/>
        <v>0</v>
      </c>
      <c r="BG179">
        <f t="shared" si="81"/>
        <v>0</v>
      </c>
      <c r="BH179" s="29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-0.14</v>
      </c>
      <c r="BI179" s="29" cm="1">
        <f t="array" ref="BI179">$G$14+VLOOKUP($R179,武学奇术!$A:$ZZ,16,FALSE)+SUM(_xlfn.XLOOKUP(S179:AG179,增益!$A:$A,增益!$P:$P,0))</f>
        <v>0</v>
      </c>
      <c r="BJ179" s="20">
        <f>MIN(IF(VLOOKUP($R179,武学奇术!$A:$ZZ,23,FALSE)=1,100%,$B$8),100%)</f>
        <v>0.8271</v>
      </c>
      <c r="BK179" s="20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0.2249</v>
      </c>
      <c r="BL179" s="20" cm="1">
        <f t="array" ref="BL179">1+$B$13+VLOOKUP($R179,武学奇术!$A:$ZZ,18,FALSE)+SUM(_xlfn.XLOOKUP(S179:AG179,增益!$A:$A,增益!$R:$R,0))</f>
        <v>1.5</v>
      </c>
      <c r="BM179" s="20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0.4459</v>
      </c>
      <c r="BN179" s="20" cm="1">
        <f t="array" ref="BN179">1+$B$14+VLOOKUP($R179,武学奇术!$A:$ZZ,20,FALSE)+SUM(_xlfn.XLOOKUP(S179:AG179,增益!$A:$A,增益!$T:$T,0))</f>
        <v>1.732</v>
      </c>
      <c r="BO179" s="20">
        <f t="shared" si="82"/>
        <v>0.18601479</v>
      </c>
      <c r="BP179" s="20">
        <f t="shared" si="83"/>
        <v>0.27228132</v>
      </c>
      <c r="BQ179" s="20">
        <f>IF(VLOOKUP($R179,武学奇术!$A:$ZZ,22,FALSE)=1,0,(1-$BJ179))*(1-$BM179)</f>
        <v>0.09580389</v>
      </c>
      <c r="BR179" s="20" cm="1">
        <f t="array" ref="BR179">SUM(_xlfn.XLOOKUP(S179:AG179,增益!$A:$A,增益!$W:$W,0))+$I$5</f>
        <v>0.11</v>
      </c>
    </row>
    <row r="180" spans="11:70">
      <c r="K180" s="27">
        <f>$L180*VLOOKUP($R180,武学奇术!$A:$ZZ,31,FALSE)</f>
        <v>7440.2800702477</v>
      </c>
      <c r="L180" s="27">
        <f t="shared" si="73"/>
        <v>12400.4667837462</v>
      </c>
      <c r="M180" s="27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10374.2476659434</v>
      </c>
      <c r="N180" s="27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18593.5238974742</v>
      </c>
      <c r="O180" s="27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6916.16511062893</v>
      </c>
      <c r="P180" s="27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3097.0392873813</v>
      </c>
      <c r="Q180" s="35">
        <v>1</v>
      </c>
      <c r="R180" s="36" t="s">
        <v>163</v>
      </c>
      <c r="S180" s="36" t="s">
        <v>71</v>
      </c>
      <c r="T180" s="36" t="s">
        <v>99</v>
      </c>
      <c r="U180" s="36" t="s">
        <v>100</v>
      </c>
      <c r="V180" s="36" t="s">
        <v>71</v>
      </c>
      <c r="W180" s="36" t="s">
        <v>111</v>
      </c>
      <c r="X180" s="36" t="s">
        <v>71</v>
      </c>
      <c r="Y180" s="36" t="s">
        <v>71</v>
      </c>
      <c r="Z180" s="36" t="s">
        <v>82</v>
      </c>
      <c r="AA180" s="36" t="s">
        <v>71</v>
      </c>
      <c r="AB180" s="36" t="s">
        <v>71</v>
      </c>
      <c r="AC180" s="36" t="s">
        <v>71</v>
      </c>
      <c r="AD180" s="36" t="s">
        <v>72</v>
      </c>
      <c r="AE180" s="36" t="s">
        <v>94</v>
      </c>
      <c r="AF180" s="36" t="s">
        <v>134</v>
      </c>
      <c r="AG180" s="36" t="s">
        <v>120</v>
      </c>
      <c r="AH180" t="str">
        <f>VLOOKUP($R180,武学奇术!$A:$ZZ,25,FALSE)</f>
        <v>剑</v>
      </c>
      <c r="AI180" s="20">
        <f>VLOOKUP($R180,武学奇术!$A:$ZZ,26,FALSE)</f>
        <v>0.27456</v>
      </c>
      <c r="AJ180" s="21">
        <f>VLOOKUP($R180,武学奇术!$A:$ZZ,27,FALSE)*(1+IF(OR($AH180=$F$4,$AH180=$F$5),$B$22,0))</f>
        <v>0</v>
      </c>
      <c r="AK180" s="20">
        <f>VLOOKUP($R180,武学奇术!$A:$ZZ,28,FALSE)</f>
        <v>0.41184</v>
      </c>
      <c r="AL180" s="21">
        <f>VLOOKUP($R180,武学奇术!$A:$ZZ,29,FALSE)*(1+IF(OR($AH180=$F$4,$AH180=$F$5),$B$22,0))</f>
        <v>0</v>
      </c>
      <c r="AM180" s="20" cm="1">
        <f t="array" ref="AM180">$G$3+IFERROR(VLOOKUP($AH180,$F$4:$G$7,2,FALSE),0)+VLOOKUP($R180,武学奇术!$A:$ZZ,2,FALSE)+SUM(_xlfn.XLOOKUP($S180:$AG180,增益!$A:$A,增益!$B:$B,0))</f>
        <v>1.3191</v>
      </c>
      <c r="AN180" s="20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1585.72</v>
      </c>
      <c r="AP180" cm="1">
        <f t="array" ref="AP180">$E$10*(1+$AN180)+VLOOKUP($R180,武学奇术!$A:$ZZ,4,FALSE)+SUM(_xlfn.XLOOKUP($S180:$AG180,增益!$A:$A,增益!$D:$D,0))-$I$2</f>
        <v>6696.76</v>
      </c>
      <c r="AQ180" s="29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0.4175</v>
      </c>
      <c r="AR180" s="29" cm="1">
        <f t="array" ref="AR180">$G$10+VLOOKUP($R180,武学奇术!$A:$ZZ,7,FALSE)+SUM(_xlfn.XLOOKUP(S180:AG180,增益!$A:$A,增益!$G:$G,0))</f>
        <v>0</v>
      </c>
      <c r="AS180" s="20" cm="1">
        <f t="array" ref="AS180">VLOOKUP($R180,武学奇术!$A:$ZZ,8,FALSE)+SUM(_xlfn.XLOOKUP(S180:AG180,增益!$A:$A,增益!$H:$H,0))</f>
        <v>0</v>
      </c>
      <c r="AT180">
        <f t="shared" si="74"/>
        <v>538</v>
      </c>
      <c r="AU180">
        <f t="shared" si="75"/>
        <v>1011</v>
      </c>
      <c r="AV180" s="29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0.155</v>
      </c>
      <c r="AW180" s="29" cm="1">
        <f t="array" ref="AW180">$G$11+VLOOKUP($R180,武学奇术!$A:$ZZ,10,FALSE)+SUM(_xlfn.XLOOKUP(S180:AG180,增益!$A:$A,增益!$J:$J,0))</f>
        <v>0.15</v>
      </c>
      <c r="AX180">
        <f t="shared" si="76"/>
        <v>0</v>
      </c>
      <c r="AY180">
        <f t="shared" si="77"/>
        <v>0</v>
      </c>
      <c r="AZ180" s="29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-0.14</v>
      </c>
      <c r="BA180" s="29" cm="1">
        <f t="array" ref="BA180">$G$12+VLOOKUP($R180,武学奇术!$A:$ZZ,12,FALSE)+SUM(_xlfn.XLOOKUP(S180:AG180,增益!$A:$A,增益!$L:$L,0))</f>
        <v>0</v>
      </c>
      <c r="BB180">
        <f t="shared" si="78"/>
        <v>0</v>
      </c>
      <c r="BC180">
        <f t="shared" si="79"/>
        <v>0</v>
      </c>
      <c r="BD180" s="29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-0.14</v>
      </c>
      <c r="BE180" s="29" cm="1">
        <f t="array" ref="BE180">$G$13+VLOOKUP($R180,武学奇术!$A:$ZZ,14,FALSE)+SUM(_xlfn.XLOOKUP(S180:AG180,增益!$A:$A,增益!$N:$N,0))</f>
        <v>0</v>
      </c>
      <c r="BF180">
        <f t="shared" si="80"/>
        <v>0</v>
      </c>
      <c r="BG180">
        <f t="shared" si="81"/>
        <v>0</v>
      </c>
      <c r="BH180" s="29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-0.14</v>
      </c>
      <c r="BI180" s="29" cm="1">
        <f t="array" ref="BI180">$G$14+VLOOKUP($R180,武学奇术!$A:$ZZ,16,FALSE)+SUM(_xlfn.XLOOKUP(S180:AG180,增益!$A:$A,增益!$P:$P,0))</f>
        <v>0</v>
      </c>
      <c r="BJ180" s="20">
        <f>MIN(IF(VLOOKUP($R180,武学奇术!$A:$ZZ,23,FALSE)=1,100%,$B$8),100%)</f>
        <v>0.8271</v>
      </c>
      <c r="BK180" s="20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0.2249</v>
      </c>
      <c r="BL180" s="20" cm="1">
        <f t="array" ref="BL180">1+$B$13+VLOOKUP($R180,武学奇术!$A:$ZZ,18,FALSE)+SUM(_xlfn.XLOOKUP(S180:AG180,增益!$A:$A,增益!$R:$R,0))</f>
        <v>1.5</v>
      </c>
      <c r="BM180" s="20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0.4459</v>
      </c>
      <c r="BN180" s="20" cm="1">
        <f t="array" ref="BN180">1+$B$14+VLOOKUP($R180,武学奇术!$A:$ZZ,20,FALSE)+SUM(_xlfn.XLOOKUP(S180:AG180,增益!$A:$A,增益!$T:$T,0))</f>
        <v>1.732</v>
      </c>
      <c r="BO180" s="20">
        <f t="shared" si="82"/>
        <v>0.18601479</v>
      </c>
      <c r="BP180" s="20">
        <f t="shared" si="83"/>
        <v>0.27228132</v>
      </c>
      <c r="BQ180" s="20">
        <f>IF(VLOOKUP($R180,武学奇术!$A:$ZZ,22,FALSE)=1,0,(1-$BJ180))*(1-$BM180)</f>
        <v>0.09580389</v>
      </c>
      <c r="BR180" s="20" cm="1">
        <f t="array" ref="BR180">SUM(_xlfn.XLOOKUP(S180:AG180,增益!$A:$A,增益!$W:$W,0))+$I$5</f>
        <v>0.11</v>
      </c>
    </row>
    <row r="181" spans="11:70">
      <c r="K181" s="27">
        <f>$L181*VLOOKUP($R181,武学奇术!$A:$ZZ,31,FALSE)</f>
        <v>7469.00126761219</v>
      </c>
      <c r="L181" s="27">
        <f t="shared" si="73"/>
        <v>12448.3354460203</v>
      </c>
      <c r="M181" s="27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10374.2476659434</v>
      </c>
      <c r="N181" s="27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18700.876806813</v>
      </c>
      <c r="O181" s="27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6916.16511062893</v>
      </c>
      <c r="P181" s="27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3097.0392873813</v>
      </c>
      <c r="Q181" s="35">
        <v>1</v>
      </c>
      <c r="R181" s="36" t="s">
        <v>163</v>
      </c>
      <c r="S181" s="36" t="s">
        <v>71</v>
      </c>
      <c r="T181" s="36" t="s">
        <v>99</v>
      </c>
      <c r="U181" s="36" t="s">
        <v>100</v>
      </c>
      <c r="V181" s="36" t="s">
        <v>71</v>
      </c>
      <c r="W181" s="36" t="s">
        <v>111</v>
      </c>
      <c r="X181" s="36" t="s">
        <v>71</v>
      </c>
      <c r="Y181" s="36" t="s">
        <v>71</v>
      </c>
      <c r="Z181" s="36" t="s">
        <v>82</v>
      </c>
      <c r="AA181" s="36" t="s">
        <v>71</v>
      </c>
      <c r="AB181" s="36" t="s">
        <v>71</v>
      </c>
      <c r="AC181" s="36" t="s">
        <v>71</v>
      </c>
      <c r="AD181" s="36" t="s">
        <v>72</v>
      </c>
      <c r="AE181" s="36" t="s">
        <v>94</v>
      </c>
      <c r="AF181" s="36" t="s">
        <v>145</v>
      </c>
      <c r="AG181" s="36" t="s">
        <v>120</v>
      </c>
      <c r="AH181" t="str">
        <f>VLOOKUP($R181,武学奇术!$A:$ZZ,25,FALSE)</f>
        <v>剑</v>
      </c>
      <c r="AI181" s="20">
        <f>VLOOKUP($R181,武学奇术!$A:$ZZ,26,FALSE)</f>
        <v>0.27456</v>
      </c>
      <c r="AJ181" s="21">
        <f>VLOOKUP($R181,武学奇术!$A:$ZZ,27,FALSE)*(1+IF(OR($AH181=$F$4,$AH181=$F$5),$B$22,0))</f>
        <v>0</v>
      </c>
      <c r="AK181" s="20">
        <f>VLOOKUP($R181,武学奇术!$A:$ZZ,28,FALSE)</f>
        <v>0.41184</v>
      </c>
      <c r="AL181" s="21">
        <f>VLOOKUP($R181,武学奇术!$A:$ZZ,29,FALSE)*(1+IF(OR($AH181=$F$4,$AH181=$F$5),$B$22,0))</f>
        <v>0</v>
      </c>
      <c r="AM181" s="20" cm="1">
        <f t="array" ref="AM181">$G$3+IFERROR(VLOOKUP($AH181,$F$4:$G$7,2,FALSE),0)+VLOOKUP($R181,武学奇术!$A:$ZZ,2,FALSE)+SUM(_xlfn.XLOOKUP($S181:$AG181,增益!$A:$A,增益!$B:$B,0))</f>
        <v>1.3191</v>
      </c>
      <c r="AN181" s="20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1585.72</v>
      </c>
      <c r="AP181" cm="1">
        <f t="array" ref="AP181">$E$10*(1+$AN181)+VLOOKUP($R181,武学奇术!$A:$ZZ,4,FALSE)+SUM(_xlfn.XLOOKUP($S181:$AG181,增益!$A:$A,增益!$D:$D,0))-$I$2</f>
        <v>6696.76</v>
      </c>
      <c r="AQ181" s="29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0.4175</v>
      </c>
      <c r="AR181" s="29" cm="1">
        <f t="array" ref="AR181">$G$10+VLOOKUP($R181,武学奇术!$A:$ZZ,7,FALSE)+SUM(_xlfn.XLOOKUP(S181:AG181,增益!$A:$A,增益!$G:$G,0))</f>
        <v>0</v>
      </c>
      <c r="AS181" s="20" cm="1">
        <f t="array" ref="AS181">VLOOKUP($R181,武学奇术!$A:$ZZ,8,FALSE)+SUM(_xlfn.XLOOKUP(S181:AG181,增益!$A:$A,增益!$H:$H,0))</f>
        <v>0</v>
      </c>
      <c r="AT181">
        <f t="shared" si="74"/>
        <v>538</v>
      </c>
      <c r="AU181">
        <f t="shared" si="75"/>
        <v>1011</v>
      </c>
      <c r="AV181" s="29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0.155</v>
      </c>
      <c r="AW181" s="29" cm="1">
        <f t="array" ref="AW181">$G$11+VLOOKUP($R181,武学奇术!$A:$ZZ,10,FALSE)+SUM(_xlfn.XLOOKUP(S181:AG181,增益!$A:$A,增益!$J:$J,0))</f>
        <v>0.15</v>
      </c>
      <c r="AX181">
        <f t="shared" si="76"/>
        <v>0</v>
      </c>
      <c r="AY181">
        <f t="shared" si="77"/>
        <v>0</v>
      </c>
      <c r="AZ181" s="29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-0.14</v>
      </c>
      <c r="BA181" s="29" cm="1">
        <f t="array" ref="BA181">$G$12+VLOOKUP($R181,武学奇术!$A:$ZZ,12,FALSE)+SUM(_xlfn.XLOOKUP(S181:AG181,增益!$A:$A,增益!$L:$L,0))</f>
        <v>0</v>
      </c>
      <c r="BB181">
        <f t="shared" si="78"/>
        <v>0</v>
      </c>
      <c r="BC181">
        <f t="shared" si="79"/>
        <v>0</v>
      </c>
      <c r="BD181" s="29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-0.14</v>
      </c>
      <c r="BE181" s="29" cm="1">
        <f t="array" ref="BE181">$G$13+VLOOKUP($R181,武学奇术!$A:$ZZ,14,FALSE)+SUM(_xlfn.XLOOKUP(S181:AG181,增益!$A:$A,增益!$N:$N,0))</f>
        <v>0</v>
      </c>
      <c r="BF181">
        <f t="shared" si="80"/>
        <v>0</v>
      </c>
      <c r="BG181">
        <f t="shared" si="81"/>
        <v>0</v>
      </c>
      <c r="BH181" s="29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-0.14</v>
      </c>
      <c r="BI181" s="29" cm="1">
        <f t="array" ref="BI181">$G$14+VLOOKUP($R181,武学奇术!$A:$ZZ,16,FALSE)+SUM(_xlfn.XLOOKUP(S181:AG181,增益!$A:$A,增益!$P:$P,0))</f>
        <v>0</v>
      </c>
      <c r="BJ181" s="20">
        <f>MIN(IF(VLOOKUP($R181,武学奇术!$A:$ZZ,23,FALSE)=1,100%,$B$8),100%)</f>
        <v>0.8271</v>
      </c>
      <c r="BK181" s="20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0.2249</v>
      </c>
      <c r="BL181" s="20" cm="1">
        <f t="array" ref="BL181">1+$B$13+VLOOKUP($R181,武学奇术!$A:$ZZ,18,FALSE)+SUM(_xlfn.XLOOKUP(S181:AG181,增益!$A:$A,增益!$R:$R,0))</f>
        <v>1.5</v>
      </c>
      <c r="BM181" s="20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0.4459</v>
      </c>
      <c r="BN181" s="20" cm="1">
        <f t="array" ref="BN181">1+$B$14+VLOOKUP($R181,武学奇术!$A:$ZZ,20,FALSE)+SUM(_xlfn.XLOOKUP(S181:AG181,增益!$A:$A,增益!$T:$T,0))</f>
        <v>1.742</v>
      </c>
      <c r="BO181" s="20">
        <f t="shared" si="82"/>
        <v>0.18601479</v>
      </c>
      <c r="BP181" s="20">
        <f t="shared" si="83"/>
        <v>0.27228132</v>
      </c>
      <c r="BQ181" s="20">
        <f>IF(VLOOKUP($R181,武学奇术!$A:$ZZ,22,FALSE)=1,0,(1-$BJ181))*(1-$BM181)</f>
        <v>0.09580389</v>
      </c>
      <c r="BR181" s="20" cm="1">
        <f t="array" ref="BR181">SUM(_xlfn.XLOOKUP(S181:AG181,增益!$A:$A,增益!$W:$W,0))+$I$5</f>
        <v>0.11</v>
      </c>
    </row>
    <row r="182" spans="11:70">
      <c r="K182" s="27">
        <f>$L182*VLOOKUP($R182,武学奇术!$A:$ZZ,31,FALSE)</f>
        <v>7469.00126761219</v>
      </c>
      <c r="L182" s="27">
        <f t="shared" si="73"/>
        <v>12448.3354460203</v>
      </c>
      <c r="M182" s="27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10374.2476659434</v>
      </c>
      <c r="N182" s="27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18700.876806813</v>
      </c>
      <c r="O182" s="27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6916.16511062893</v>
      </c>
      <c r="P182" s="27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3097.0392873813</v>
      </c>
      <c r="Q182" s="35">
        <v>1</v>
      </c>
      <c r="R182" s="36" t="s">
        <v>163</v>
      </c>
      <c r="S182" s="36" t="s">
        <v>71</v>
      </c>
      <c r="T182" s="36" t="s">
        <v>99</v>
      </c>
      <c r="U182" s="36" t="s">
        <v>100</v>
      </c>
      <c r="V182" s="36" t="s">
        <v>71</v>
      </c>
      <c r="W182" s="36" t="s">
        <v>111</v>
      </c>
      <c r="X182" s="36" t="s">
        <v>71</v>
      </c>
      <c r="Y182" s="36" t="s">
        <v>71</v>
      </c>
      <c r="Z182" s="36" t="s">
        <v>82</v>
      </c>
      <c r="AA182" s="36" t="s">
        <v>71</v>
      </c>
      <c r="AB182" s="36" t="s">
        <v>71</v>
      </c>
      <c r="AC182" s="36" t="s">
        <v>71</v>
      </c>
      <c r="AD182" s="36" t="s">
        <v>72</v>
      </c>
      <c r="AE182" s="36" t="s">
        <v>94</v>
      </c>
      <c r="AF182" s="36" t="s">
        <v>145</v>
      </c>
      <c r="AG182" s="36" t="s">
        <v>120</v>
      </c>
      <c r="AH182" t="str">
        <f>VLOOKUP($R182,武学奇术!$A:$ZZ,25,FALSE)</f>
        <v>剑</v>
      </c>
      <c r="AI182" s="20">
        <f>VLOOKUP($R182,武学奇术!$A:$ZZ,26,FALSE)</f>
        <v>0.27456</v>
      </c>
      <c r="AJ182" s="21">
        <f>VLOOKUP($R182,武学奇术!$A:$ZZ,27,FALSE)*(1+IF(OR($AH182=$F$4,$AH182=$F$5),$B$22,0))</f>
        <v>0</v>
      </c>
      <c r="AK182" s="20">
        <f>VLOOKUP($R182,武学奇术!$A:$ZZ,28,FALSE)</f>
        <v>0.41184</v>
      </c>
      <c r="AL182" s="21">
        <f>VLOOKUP($R182,武学奇术!$A:$ZZ,29,FALSE)*(1+IF(OR($AH182=$F$4,$AH182=$F$5),$B$22,0))</f>
        <v>0</v>
      </c>
      <c r="AM182" s="20" cm="1">
        <f t="array" ref="AM182">$G$3+IFERROR(VLOOKUP($AH182,$F$4:$G$7,2,FALSE),0)+VLOOKUP($R182,武学奇术!$A:$ZZ,2,FALSE)+SUM(_xlfn.XLOOKUP($S182:$AG182,增益!$A:$A,增益!$B:$B,0))</f>
        <v>1.3191</v>
      </c>
      <c r="AN182" s="20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1585.72</v>
      </c>
      <c r="AP182" cm="1">
        <f t="array" ref="AP182">$E$10*(1+$AN182)+VLOOKUP($R182,武学奇术!$A:$ZZ,4,FALSE)+SUM(_xlfn.XLOOKUP($S182:$AG182,增益!$A:$A,增益!$D:$D,0))-$I$2</f>
        <v>6696.76</v>
      </c>
      <c r="AQ182" s="29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0.4175</v>
      </c>
      <c r="AR182" s="29" cm="1">
        <f t="array" ref="AR182">$G$10+VLOOKUP($R182,武学奇术!$A:$ZZ,7,FALSE)+SUM(_xlfn.XLOOKUP(S182:AG182,增益!$A:$A,增益!$G:$G,0))</f>
        <v>0</v>
      </c>
      <c r="AS182" s="20" cm="1">
        <f t="array" ref="AS182">VLOOKUP($R182,武学奇术!$A:$ZZ,8,FALSE)+SUM(_xlfn.XLOOKUP(S182:AG182,增益!$A:$A,增益!$H:$H,0))</f>
        <v>0</v>
      </c>
      <c r="AT182">
        <f t="shared" ref="AT182:AT196" si="84">$D$11*(1+$AS182)</f>
        <v>538</v>
      </c>
      <c r="AU182">
        <f t="shared" ref="AU182:AU196" si="85">$E$11*(1+$AS182)</f>
        <v>1011</v>
      </c>
      <c r="AV182" s="29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0.155</v>
      </c>
      <c r="AW182" s="29" cm="1">
        <f t="array" ref="AW182">$G$11+VLOOKUP($R182,武学奇术!$A:$ZZ,10,FALSE)+SUM(_xlfn.XLOOKUP(S182:AG182,增益!$A:$A,增益!$J:$J,0))</f>
        <v>0.15</v>
      </c>
      <c r="AX182">
        <f t="shared" ref="AX182:AX196" si="86">$D$12*(1+$AS182)</f>
        <v>0</v>
      </c>
      <c r="AY182">
        <f t="shared" ref="AY182:AY196" si="87">$E$12*(1+$AS182)</f>
        <v>0</v>
      </c>
      <c r="AZ182" s="29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-0.14</v>
      </c>
      <c r="BA182" s="29" cm="1">
        <f t="array" ref="BA182">$G$12+VLOOKUP($R182,武学奇术!$A:$ZZ,12,FALSE)+SUM(_xlfn.XLOOKUP(S182:AG182,增益!$A:$A,增益!$L:$L,0))</f>
        <v>0</v>
      </c>
      <c r="BB182">
        <f t="shared" ref="BB182:BB196" si="88">$D$13*(1+$AS182)</f>
        <v>0</v>
      </c>
      <c r="BC182">
        <f t="shared" ref="BC182:BC196" si="89">$E$13*(1+$AS182)</f>
        <v>0</v>
      </c>
      <c r="BD182" s="29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-0.14</v>
      </c>
      <c r="BE182" s="29" cm="1">
        <f t="array" ref="BE182">$G$13+VLOOKUP($R182,武学奇术!$A:$ZZ,14,FALSE)+SUM(_xlfn.XLOOKUP(S182:AG182,增益!$A:$A,增益!$N:$N,0))</f>
        <v>0</v>
      </c>
      <c r="BF182">
        <f t="shared" ref="BF182:BF196" si="90">$D$14*(1+$AS182)</f>
        <v>0</v>
      </c>
      <c r="BG182">
        <f t="shared" ref="BG182:BG196" si="91">$E$14*(1+$AS182)</f>
        <v>0</v>
      </c>
      <c r="BH182" s="29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-0.14</v>
      </c>
      <c r="BI182" s="29" cm="1">
        <f t="array" ref="BI182">$G$14+VLOOKUP($R182,武学奇术!$A:$ZZ,16,FALSE)+SUM(_xlfn.XLOOKUP(S182:AG182,增益!$A:$A,增益!$P:$P,0))</f>
        <v>0</v>
      </c>
      <c r="BJ182" s="20">
        <f>MIN(IF(VLOOKUP($R182,武学奇术!$A:$ZZ,23,FALSE)=1,100%,$B$8),100%)</f>
        <v>0.8271</v>
      </c>
      <c r="BK182" s="20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0.2249</v>
      </c>
      <c r="BL182" s="20" cm="1">
        <f t="array" ref="BL182">1+$B$13+VLOOKUP($R182,武学奇术!$A:$ZZ,18,FALSE)+SUM(_xlfn.XLOOKUP(S182:AG182,增益!$A:$A,增益!$R:$R,0))</f>
        <v>1.5</v>
      </c>
      <c r="BM182" s="20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0.4459</v>
      </c>
      <c r="BN182" s="20" cm="1">
        <f t="array" ref="BN182">1+$B$14+VLOOKUP($R182,武学奇术!$A:$ZZ,20,FALSE)+SUM(_xlfn.XLOOKUP(S182:AG182,增益!$A:$A,增益!$T:$T,0))</f>
        <v>1.742</v>
      </c>
      <c r="BO182" s="20">
        <f t="shared" ref="BO182:BO196" si="92">MIN((1-BM182)*BJ182,BJ182*BK182)</f>
        <v>0.18601479</v>
      </c>
      <c r="BP182" s="20">
        <f t="shared" ref="BP182:BP196" si="93">1-BM182-BO182-BQ182</f>
        <v>0.27228132</v>
      </c>
      <c r="BQ182" s="20">
        <f>IF(VLOOKUP($R182,武学奇术!$A:$ZZ,22,FALSE)=1,0,(1-$BJ182))*(1-$BM182)</f>
        <v>0.09580389</v>
      </c>
      <c r="BR182" s="20" cm="1">
        <f t="array" ref="BR182">SUM(_xlfn.XLOOKUP(S182:AG182,增益!$A:$A,增益!$W:$W,0))+$I$5</f>
        <v>0.11</v>
      </c>
    </row>
    <row r="183" spans="11:70">
      <c r="K183" s="27">
        <f>$L183*VLOOKUP($R183,武学奇术!$A:$ZZ,31,FALSE)</f>
        <v>7371.37372185917</v>
      </c>
      <c r="L183" s="27">
        <f t="shared" si="73"/>
        <v>12285.6228697653</v>
      </c>
      <c r="M183" s="27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10224.6773470467</v>
      </c>
      <c r="N183" s="27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18474.1347693963</v>
      </c>
      <c r="O183" s="27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6816.45156469778</v>
      </c>
      <c r="P183" s="27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3027.77409989135</v>
      </c>
      <c r="Q183" s="35">
        <v>1</v>
      </c>
      <c r="R183" s="36" t="s">
        <v>163</v>
      </c>
      <c r="S183" s="36" t="s">
        <v>71</v>
      </c>
      <c r="T183" s="36" t="s">
        <v>99</v>
      </c>
      <c r="U183" s="36" t="s">
        <v>100</v>
      </c>
      <c r="V183" s="36" t="s">
        <v>71</v>
      </c>
      <c r="W183" s="36" t="s">
        <v>111</v>
      </c>
      <c r="X183" s="36" t="s">
        <v>71</v>
      </c>
      <c r="Y183" s="36" t="s">
        <v>71</v>
      </c>
      <c r="Z183" s="36" t="s">
        <v>71</v>
      </c>
      <c r="AA183" s="36" t="s">
        <v>71</v>
      </c>
      <c r="AB183" s="36" t="s">
        <v>71</v>
      </c>
      <c r="AC183" s="36" t="s">
        <v>71</v>
      </c>
      <c r="AD183" s="36" t="s">
        <v>72</v>
      </c>
      <c r="AE183" s="36" t="s">
        <v>94</v>
      </c>
      <c r="AF183" s="36" t="s">
        <v>145</v>
      </c>
      <c r="AG183" s="36" t="s">
        <v>120</v>
      </c>
      <c r="AH183" t="str">
        <f>VLOOKUP($R183,武学奇术!$A:$ZZ,25,FALSE)</f>
        <v>剑</v>
      </c>
      <c r="AI183" s="20">
        <f>VLOOKUP($R183,武学奇术!$A:$ZZ,26,FALSE)</f>
        <v>0.27456</v>
      </c>
      <c r="AJ183" s="21">
        <f>VLOOKUP($R183,武学奇术!$A:$ZZ,27,FALSE)*(1+IF(OR($AH183=$F$4,$AH183=$F$5),$B$22,0))</f>
        <v>0</v>
      </c>
      <c r="AK183" s="20">
        <f>VLOOKUP($R183,武学奇术!$A:$ZZ,28,FALSE)</f>
        <v>0.41184</v>
      </c>
      <c r="AL183" s="21">
        <f>VLOOKUP($R183,武学奇术!$A:$ZZ,29,FALSE)*(1+IF(OR($AH183=$F$4,$AH183=$F$5),$B$22,0))</f>
        <v>0</v>
      </c>
      <c r="AM183" s="20" cm="1">
        <f t="array" ref="AM183">$G$3+IFERROR(VLOOKUP($AH183,$F$4:$G$7,2,FALSE),0)+VLOOKUP($R183,武学奇术!$A:$ZZ,2,FALSE)+SUM(_xlfn.XLOOKUP($S183:$AG183,增益!$A:$A,增益!$B:$B,0))</f>
        <v>1.3191</v>
      </c>
      <c r="AN183" s="20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1585.72</v>
      </c>
      <c r="AP183" cm="1">
        <f t="array" ref="AP183">$E$10*(1+$AN183)+VLOOKUP($R183,武学奇术!$A:$ZZ,4,FALSE)+SUM(_xlfn.XLOOKUP($S183:$AG183,增益!$A:$A,增益!$D:$D,0))-$I$2</f>
        <v>6696.76</v>
      </c>
      <c r="AQ183" s="29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0.4175</v>
      </c>
      <c r="AR183" s="29" cm="1">
        <f t="array" ref="AR183">$G$10+VLOOKUP($R183,武学奇术!$A:$ZZ,7,FALSE)+SUM(_xlfn.XLOOKUP(S183:AG183,增益!$A:$A,增益!$G:$G,0))</f>
        <v>0</v>
      </c>
      <c r="AS183" s="20" cm="1">
        <f t="array" ref="AS183">VLOOKUP($R183,武学奇术!$A:$ZZ,8,FALSE)+SUM(_xlfn.XLOOKUP(S183:AG183,增益!$A:$A,增益!$H:$H,0))</f>
        <v>0</v>
      </c>
      <c r="AT183">
        <f t="shared" si="84"/>
        <v>538</v>
      </c>
      <c r="AU183">
        <f t="shared" si="85"/>
        <v>1011</v>
      </c>
      <c r="AV183" s="29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0.075</v>
      </c>
      <c r="AW183" s="29" cm="1">
        <f t="array" ref="AW183">$G$11+VLOOKUP($R183,武学奇术!$A:$ZZ,10,FALSE)+SUM(_xlfn.XLOOKUP(S183:AG183,增益!$A:$A,增益!$J:$J,0))</f>
        <v>0.15</v>
      </c>
      <c r="AX183">
        <f t="shared" si="86"/>
        <v>0</v>
      </c>
      <c r="AY183">
        <f t="shared" si="87"/>
        <v>0</v>
      </c>
      <c r="AZ183" s="29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29" cm="1">
        <f t="array" ref="BA183">$G$12+VLOOKUP($R183,武学奇术!$A:$ZZ,12,FALSE)+SUM(_xlfn.XLOOKUP(S183:AG183,增益!$A:$A,增益!$L:$L,0))</f>
        <v>0</v>
      </c>
      <c r="BB183">
        <f t="shared" si="88"/>
        <v>0</v>
      </c>
      <c r="BC183">
        <f t="shared" si="89"/>
        <v>0</v>
      </c>
      <c r="BD183" s="29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29" cm="1">
        <f t="array" ref="BE183">$G$13+VLOOKUP($R183,武学奇术!$A:$ZZ,14,FALSE)+SUM(_xlfn.XLOOKUP(S183:AG183,增益!$A:$A,增益!$N:$N,0))</f>
        <v>0</v>
      </c>
      <c r="BF183">
        <f t="shared" si="90"/>
        <v>0</v>
      </c>
      <c r="BG183">
        <f t="shared" si="91"/>
        <v>0</v>
      </c>
      <c r="BH183" s="29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29" cm="1">
        <f t="array" ref="BI183">$G$14+VLOOKUP($R183,武学奇术!$A:$ZZ,16,FALSE)+SUM(_xlfn.XLOOKUP(S183:AG183,增益!$A:$A,增益!$P:$P,0))</f>
        <v>0</v>
      </c>
      <c r="BJ183" s="20">
        <f>MIN(IF(VLOOKUP($R183,武学奇术!$A:$ZZ,23,FALSE)=1,100%,$B$8),100%)</f>
        <v>0.8271</v>
      </c>
      <c r="BK183" s="20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0.2249</v>
      </c>
      <c r="BL183" s="20" cm="1">
        <f t="array" ref="BL183">1+$B$13+VLOOKUP($R183,武学奇术!$A:$ZZ,18,FALSE)+SUM(_xlfn.XLOOKUP(S183:AG183,增益!$A:$A,增益!$R:$R,0))</f>
        <v>1.5</v>
      </c>
      <c r="BM183" s="20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0.4459</v>
      </c>
      <c r="BN183" s="20" cm="1">
        <f t="array" ref="BN183">1+$B$14+VLOOKUP($R183,武学奇术!$A:$ZZ,20,FALSE)+SUM(_xlfn.XLOOKUP(S183:AG183,增益!$A:$A,增益!$T:$T,0))</f>
        <v>1.742</v>
      </c>
      <c r="BO183" s="20">
        <f t="shared" si="92"/>
        <v>0.18601479</v>
      </c>
      <c r="BP183" s="20">
        <f t="shared" si="93"/>
        <v>0.27228132</v>
      </c>
      <c r="BQ183" s="20">
        <f>IF(VLOOKUP($R183,武学奇术!$A:$ZZ,22,FALSE)=1,0,(1-$BJ183))*(1-$BM183)</f>
        <v>0.09580389</v>
      </c>
      <c r="BR183" s="20" cm="1">
        <f t="array" ref="BR183">SUM(_xlfn.XLOOKUP(S183:AG183,增益!$A:$A,增益!$W:$W,0))+$I$5</f>
        <v>0.11</v>
      </c>
    </row>
    <row r="184" spans="11:70">
      <c r="K184" s="27">
        <f>$L184*VLOOKUP($R184,武学奇术!$A:$ZZ,31,FALSE)</f>
        <v>7364.61358528142</v>
      </c>
      <c r="L184" s="27">
        <f t="shared" si="73"/>
        <v>12274.355975469</v>
      </c>
      <c r="M184" s="27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10163.1837818843</v>
      </c>
      <c r="N184" s="27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18508.3615755817</v>
      </c>
      <c r="O184" s="27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6775.45585458953</v>
      </c>
      <c r="P184" s="27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2986.7783897831</v>
      </c>
      <c r="Q184" s="35">
        <v>1</v>
      </c>
      <c r="R184" s="36" t="s">
        <v>163</v>
      </c>
      <c r="S184" s="36" t="s">
        <v>71</v>
      </c>
      <c r="T184" s="36" t="s">
        <v>99</v>
      </c>
      <c r="U184" s="36" t="s">
        <v>100</v>
      </c>
      <c r="V184" s="36" t="s">
        <v>71</v>
      </c>
      <c r="W184" s="36" t="s">
        <v>71</v>
      </c>
      <c r="X184" s="36" t="s">
        <v>71</v>
      </c>
      <c r="Y184" s="36" t="s">
        <v>71</v>
      </c>
      <c r="Z184" s="36" t="s">
        <v>71</v>
      </c>
      <c r="AA184" s="36" t="s">
        <v>71</v>
      </c>
      <c r="AB184" s="36" t="s">
        <v>71</v>
      </c>
      <c r="AC184" s="36" t="s">
        <v>71</v>
      </c>
      <c r="AD184" s="36" t="s">
        <v>72</v>
      </c>
      <c r="AE184" s="36" t="s">
        <v>94</v>
      </c>
      <c r="AF184" s="36" t="s">
        <v>147</v>
      </c>
      <c r="AG184" s="36" t="s">
        <v>120</v>
      </c>
      <c r="AH184" t="str">
        <f>VLOOKUP($R184,武学奇术!$A:$ZZ,25,FALSE)</f>
        <v>剑</v>
      </c>
      <c r="AI184" s="20">
        <f>VLOOKUP($R184,武学奇术!$A:$ZZ,26,FALSE)</f>
        <v>0.27456</v>
      </c>
      <c r="AJ184" s="21">
        <f>VLOOKUP($R184,武学奇术!$A:$ZZ,27,FALSE)*(1+IF(OR($AH184=$F$4,$AH184=$F$5),$B$22,0))</f>
        <v>0</v>
      </c>
      <c r="AK184" s="20">
        <f>VLOOKUP($R184,武学奇术!$A:$ZZ,28,FALSE)</f>
        <v>0.41184</v>
      </c>
      <c r="AL184" s="21">
        <f>VLOOKUP($R184,武学奇术!$A:$ZZ,29,FALSE)*(1+IF(OR($AH184=$F$4,$AH184=$F$5),$B$22,0))</f>
        <v>0</v>
      </c>
      <c r="AM184" s="20" cm="1">
        <f t="array" ref="AM184">$G$3+IFERROR(VLOOKUP($AH184,$F$4:$G$7,2,FALSE),0)+VLOOKUP($R184,武学奇术!$A:$ZZ,2,FALSE)+SUM(_xlfn.XLOOKUP($S184:$AG184,增益!$A:$A,增益!$B:$B,0))</f>
        <v>1.3191</v>
      </c>
      <c r="AN184" s="20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1554.72</v>
      </c>
      <c r="AP184" cm="1">
        <f t="array" ref="AP184">$E$10*(1+$AN184)+VLOOKUP($R184,武学奇术!$A:$ZZ,4,FALSE)+SUM(_xlfn.XLOOKUP($S184:$AG184,增益!$A:$A,增益!$D:$D,0))-$I$2</f>
        <v>6665.76</v>
      </c>
      <c r="AQ184" s="29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0.4175</v>
      </c>
      <c r="AR184" s="29" cm="1">
        <f t="array" ref="AR184">$G$10+VLOOKUP($R184,武学奇术!$A:$ZZ,7,FALSE)+SUM(_xlfn.XLOOKUP(S184:AG184,增益!$A:$A,增益!$G:$G,0))</f>
        <v>0</v>
      </c>
      <c r="AS184" s="20" cm="1">
        <f t="array" ref="AS184">VLOOKUP($R184,武学奇术!$A:$ZZ,8,FALSE)+SUM(_xlfn.XLOOKUP(S184:AG184,增益!$A:$A,增益!$H:$H,0))</f>
        <v>0</v>
      </c>
      <c r="AT184">
        <f t="shared" si="84"/>
        <v>538</v>
      </c>
      <c r="AU184">
        <f t="shared" si="85"/>
        <v>1011</v>
      </c>
      <c r="AV184" s="29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0.075</v>
      </c>
      <c r="AW184" s="29" cm="1">
        <f t="array" ref="AW184">$G$11+VLOOKUP($R184,武学奇术!$A:$ZZ,10,FALSE)+SUM(_xlfn.XLOOKUP(S184:AG184,增益!$A:$A,增益!$J:$J,0))</f>
        <v>0.15</v>
      </c>
      <c r="AX184">
        <f t="shared" si="86"/>
        <v>0</v>
      </c>
      <c r="AY184">
        <f t="shared" si="87"/>
        <v>0</v>
      </c>
      <c r="AZ184" s="29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29" cm="1">
        <f t="array" ref="BA184">$G$12+VLOOKUP($R184,武学奇术!$A:$ZZ,12,FALSE)+SUM(_xlfn.XLOOKUP(S184:AG184,增益!$A:$A,增益!$L:$L,0))</f>
        <v>0</v>
      </c>
      <c r="BB184">
        <f t="shared" si="88"/>
        <v>0</v>
      </c>
      <c r="BC184">
        <f t="shared" si="89"/>
        <v>0</v>
      </c>
      <c r="BD184" s="29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29" cm="1">
        <f t="array" ref="BE184">$G$13+VLOOKUP($R184,武学奇术!$A:$ZZ,14,FALSE)+SUM(_xlfn.XLOOKUP(S184:AG184,增益!$A:$A,增益!$N:$N,0))</f>
        <v>0</v>
      </c>
      <c r="BF184">
        <f t="shared" si="90"/>
        <v>0</v>
      </c>
      <c r="BG184">
        <f t="shared" si="91"/>
        <v>0</v>
      </c>
      <c r="BH184" s="29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29" cm="1">
        <f t="array" ref="BI184">$G$14+VLOOKUP($R184,武学奇术!$A:$ZZ,16,FALSE)+SUM(_xlfn.XLOOKUP(S184:AG184,增益!$A:$A,增益!$P:$P,0))</f>
        <v>0</v>
      </c>
      <c r="BJ184" s="20">
        <f>MIN(IF(VLOOKUP($R184,武学奇术!$A:$ZZ,23,FALSE)=1,100%,$B$8),100%)</f>
        <v>0.8271</v>
      </c>
      <c r="BK184" s="20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0.2249</v>
      </c>
      <c r="BL184" s="20" cm="1">
        <f t="array" ref="BL184">1+$B$13+VLOOKUP($R184,武学奇术!$A:$ZZ,18,FALSE)+SUM(_xlfn.XLOOKUP(S184:AG184,增益!$A:$A,增益!$R:$R,0))</f>
        <v>1.5</v>
      </c>
      <c r="BM184" s="20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0.4459</v>
      </c>
      <c r="BN184" s="20" cm="1">
        <f t="array" ref="BN184">1+$B$14+VLOOKUP($R184,武学奇术!$A:$ZZ,20,FALSE)+SUM(_xlfn.XLOOKUP(S184:AG184,增益!$A:$A,增益!$T:$T,0))</f>
        <v>1.752</v>
      </c>
      <c r="BO184" s="20">
        <f t="shared" si="92"/>
        <v>0.18601479</v>
      </c>
      <c r="BP184" s="20">
        <f t="shared" si="93"/>
        <v>0.27228132</v>
      </c>
      <c r="BQ184" s="20">
        <f>IF(VLOOKUP($R184,武学奇术!$A:$ZZ,22,FALSE)=1,0,(1-$BJ184))*(1-$BM184)</f>
        <v>0.09580389</v>
      </c>
      <c r="BR184" s="20" cm="1">
        <f t="array" ref="BR184">SUM(_xlfn.XLOOKUP(S184:AG184,增益!$A:$A,增益!$W:$W,0))+$I$5</f>
        <v>0.11</v>
      </c>
    </row>
    <row r="185" spans="11:70">
      <c r="K185" s="27">
        <f>$L185*VLOOKUP($R185,武学奇术!$A:$ZZ,31,FALSE)</f>
        <v>7462.58936619339</v>
      </c>
      <c r="L185" s="27">
        <f t="shared" si="73"/>
        <v>12437.6489436557</v>
      </c>
      <c r="M185" s="27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10312.754100781</v>
      </c>
      <c r="N185" s="27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18736.4052320421</v>
      </c>
      <c r="O185" s="27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6875.16940052069</v>
      </c>
      <c r="P185" s="27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3056.04357727305</v>
      </c>
      <c r="Q185" s="35">
        <v>1</v>
      </c>
      <c r="R185" s="36" t="s">
        <v>163</v>
      </c>
      <c r="S185" s="36" t="s">
        <v>71</v>
      </c>
      <c r="T185" s="36" t="s">
        <v>99</v>
      </c>
      <c r="U185" s="36" t="s">
        <v>100</v>
      </c>
      <c r="V185" s="36" t="s">
        <v>71</v>
      </c>
      <c r="W185" s="36" t="s">
        <v>71</v>
      </c>
      <c r="X185" s="36" t="s">
        <v>71</v>
      </c>
      <c r="Y185" s="36" t="s">
        <v>71</v>
      </c>
      <c r="Z185" s="36" t="s">
        <v>82</v>
      </c>
      <c r="AA185" s="36" t="s">
        <v>71</v>
      </c>
      <c r="AB185" s="36" t="s">
        <v>71</v>
      </c>
      <c r="AC185" s="36" t="s">
        <v>71</v>
      </c>
      <c r="AD185" s="36" t="s">
        <v>72</v>
      </c>
      <c r="AE185" s="36" t="s">
        <v>94</v>
      </c>
      <c r="AF185" s="36" t="s">
        <v>147</v>
      </c>
      <c r="AG185" s="36" t="s">
        <v>120</v>
      </c>
      <c r="AH185" t="str">
        <f>VLOOKUP($R185,武学奇术!$A:$ZZ,25,FALSE)</f>
        <v>剑</v>
      </c>
      <c r="AI185" s="20">
        <f>VLOOKUP($R185,武学奇术!$A:$ZZ,26,FALSE)</f>
        <v>0.27456</v>
      </c>
      <c r="AJ185" s="21">
        <f>VLOOKUP($R185,武学奇术!$A:$ZZ,27,FALSE)*(1+IF(OR($AH185=$F$4,$AH185=$F$5),$B$22,0))</f>
        <v>0</v>
      </c>
      <c r="AK185" s="20">
        <f>VLOOKUP($R185,武学奇术!$A:$ZZ,28,FALSE)</f>
        <v>0.41184</v>
      </c>
      <c r="AL185" s="21">
        <f>VLOOKUP($R185,武学奇术!$A:$ZZ,29,FALSE)*(1+IF(OR($AH185=$F$4,$AH185=$F$5),$B$22,0))</f>
        <v>0</v>
      </c>
      <c r="AM185" s="20" cm="1">
        <f t="array" ref="AM185">$G$3+IFERROR(VLOOKUP($AH185,$F$4:$G$7,2,FALSE),0)+VLOOKUP($R185,武学奇术!$A:$ZZ,2,FALSE)+SUM(_xlfn.XLOOKUP($S185:$AG185,增益!$A:$A,增益!$B:$B,0))</f>
        <v>1.3191</v>
      </c>
      <c r="AN185" s="20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1554.72</v>
      </c>
      <c r="AP185" cm="1">
        <f t="array" ref="AP185">$E$10*(1+$AN185)+VLOOKUP($R185,武学奇术!$A:$ZZ,4,FALSE)+SUM(_xlfn.XLOOKUP($S185:$AG185,增益!$A:$A,增益!$D:$D,0))-$I$2</f>
        <v>6665.76</v>
      </c>
      <c r="AQ185" s="29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0.4175</v>
      </c>
      <c r="AR185" s="29" cm="1">
        <f t="array" ref="AR185">$G$10+VLOOKUP($R185,武学奇术!$A:$ZZ,7,FALSE)+SUM(_xlfn.XLOOKUP(S185:AG185,增益!$A:$A,增益!$G:$G,0))</f>
        <v>0</v>
      </c>
      <c r="AS185" s="20" cm="1">
        <f t="array" ref="AS185">VLOOKUP($R185,武学奇术!$A:$ZZ,8,FALSE)+SUM(_xlfn.XLOOKUP(S185:AG185,增益!$A:$A,增益!$H:$H,0))</f>
        <v>0</v>
      </c>
      <c r="AT185">
        <f t="shared" si="84"/>
        <v>538</v>
      </c>
      <c r="AU185">
        <f t="shared" si="85"/>
        <v>1011</v>
      </c>
      <c r="AV185" s="29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0.155</v>
      </c>
      <c r="AW185" s="29" cm="1">
        <f t="array" ref="AW185">$G$11+VLOOKUP($R185,武学奇术!$A:$ZZ,10,FALSE)+SUM(_xlfn.XLOOKUP(S185:AG185,增益!$A:$A,增益!$J:$J,0))</f>
        <v>0.15</v>
      </c>
      <c r="AX185">
        <f t="shared" si="86"/>
        <v>0</v>
      </c>
      <c r="AY185">
        <f t="shared" si="87"/>
        <v>0</v>
      </c>
      <c r="AZ185" s="29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-0.14</v>
      </c>
      <c r="BA185" s="29" cm="1">
        <f t="array" ref="BA185">$G$12+VLOOKUP($R185,武学奇术!$A:$ZZ,12,FALSE)+SUM(_xlfn.XLOOKUP(S185:AG185,增益!$A:$A,增益!$L:$L,0))</f>
        <v>0</v>
      </c>
      <c r="BB185">
        <f t="shared" si="88"/>
        <v>0</v>
      </c>
      <c r="BC185">
        <f t="shared" si="89"/>
        <v>0</v>
      </c>
      <c r="BD185" s="29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-0.14</v>
      </c>
      <c r="BE185" s="29" cm="1">
        <f t="array" ref="BE185">$G$13+VLOOKUP($R185,武学奇术!$A:$ZZ,14,FALSE)+SUM(_xlfn.XLOOKUP(S185:AG185,增益!$A:$A,增益!$N:$N,0))</f>
        <v>0</v>
      </c>
      <c r="BF185">
        <f t="shared" si="90"/>
        <v>0</v>
      </c>
      <c r="BG185">
        <f t="shared" si="91"/>
        <v>0</v>
      </c>
      <c r="BH185" s="29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-0.14</v>
      </c>
      <c r="BI185" s="29" cm="1">
        <f t="array" ref="BI185">$G$14+VLOOKUP($R185,武学奇术!$A:$ZZ,16,FALSE)+SUM(_xlfn.XLOOKUP(S185:AG185,增益!$A:$A,增益!$P:$P,0))</f>
        <v>0</v>
      </c>
      <c r="BJ185" s="20">
        <f>MIN(IF(VLOOKUP($R185,武学奇术!$A:$ZZ,23,FALSE)=1,100%,$B$8),100%)</f>
        <v>0.8271</v>
      </c>
      <c r="BK185" s="20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0.2249</v>
      </c>
      <c r="BL185" s="20" cm="1">
        <f t="array" ref="BL185">1+$B$13+VLOOKUP($R185,武学奇术!$A:$ZZ,18,FALSE)+SUM(_xlfn.XLOOKUP(S185:AG185,增益!$A:$A,增益!$R:$R,0))</f>
        <v>1.5</v>
      </c>
      <c r="BM185" s="20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0.4459</v>
      </c>
      <c r="BN185" s="20" cm="1">
        <f t="array" ref="BN185">1+$B$14+VLOOKUP($R185,武学奇术!$A:$ZZ,20,FALSE)+SUM(_xlfn.XLOOKUP(S185:AG185,增益!$A:$A,增益!$T:$T,0))</f>
        <v>1.752</v>
      </c>
      <c r="BO185" s="20">
        <f t="shared" si="92"/>
        <v>0.18601479</v>
      </c>
      <c r="BP185" s="20">
        <f t="shared" si="93"/>
        <v>0.27228132</v>
      </c>
      <c r="BQ185" s="20">
        <f>IF(VLOOKUP($R185,武学奇术!$A:$ZZ,22,FALSE)=1,0,(1-$BJ185))*(1-$BM185)</f>
        <v>0.09580389</v>
      </c>
      <c r="BR185" s="20" cm="1">
        <f t="array" ref="BR185">SUM(_xlfn.XLOOKUP(S185:AG185,增益!$A:$A,增益!$W:$W,0))+$I$5</f>
        <v>0.11</v>
      </c>
    </row>
    <row r="186" spans="11:70">
      <c r="K186" s="27">
        <f>$L186*VLOOKUP($R186,武学奇术!$A:$ZZ,31,FALSE)</f>
        <v>7462.58936619339</v>
      </c>
      <c r="L186" s="27">
        <f t="shared" si="73"/>
        <v>12437.6489436557</v>
      </c>
      <c r="M186" s="27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10312.754100781</v>
      </c>
      <c r="N186" s="27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18736.4052320421</v>
      </c>
      <c r="O186" s="27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6875.16940052069</v>
      </c>
      <c r="P186" s="27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3056.04357727305</v>
      </c>
      <c r="Q186" s="35">
        <v>1</v>
      </c>
      <c r="R186" s="36" t="s">
        <v>163</v>
      </c>
      <c r="S186" s="36" t="s">
        <v>71</v>
      </c>
      <c r="T186" s="36" t="s">
        <v>99</v>
      </c>
      <c r="U186" s="36" t="s">
        <v>100</v>
      </c>
      <c r="V186" s="36" t="s">
        <v>71</v>
      </c>
      <c r="W186" s="36" t="s">
        <v>71</v>
      </c>
      <c r="X186" s="36" t="s">
        <v>71</v>
      </c>
      <c r="Y186" s="36" t="s">
        <v>71</v>
      </c>
      <c r="Z186" s="36" t="s">
        <v>82</v>
      </c>
      <c r="AA186" s="36" t="s">
        <v>71</v>
      </c>
      <c r="AB186" s="36" t="s">
        <v>71</v>
      </c>
      <c r="AC186" s="36" t="s">
        <v>71</v>
      </c>
      <c r="AD186" s="36" t="s">
        <v>72</v>
      </c>
      <c r="AE186" s="36" t="s">
        <v>94</v>
      </c>
      <c r="AF186" s="36" t="s">
        <v>147</v>
      </c>
      <c r="AG186" s="36" t="s">
        <v>120</v>
      </c>
      <c r="AH186" t="str">
        <f>VLOOKUP($R186,武学奇术!$A:$ZZ,25,FALSE)</f>
        <v>剑</v>
      </c>
      <c r="AI186" s="20">
        <f>VLOOKUP($R186,武学奇术!$A:$ZZ,26,FALSE)</f>
        <v>0.27456</v>
      </c>
      <c r="AJ186" s="21">
        <f>VLOOKUP($R186,武学奇术!$A:$ZZ,27,FALSE)*(1+IF(OR($AH186=$F$4,$AH186=$F$5),$B$22,0))</f>
        <v>0</v>
      </c>
      <c r="AK186" s="20">
        <f>VLOOKUP($R186,武学奇术!$A:$ZZ,28,FALSE)</f>
        <v>0.41184</v>
      </c>
      <c r="AL186" s="21">
        <f>VLOOKUP($R186,武学奇术!$A:$ZZ,29,FALSE)*(1+IF(OR($AH186=$F$4,$AH186=$F$5),$B$22,0))</f>
        <v>0</v>
      </c>
      <c r="AM186" s="20" cm="1">
        <f t="array" ref="AM186">$G$3+IFERROR(VLOOKUP($AH186,$F$4:$G$7,2,FALSE),0)+VLOOKUP($R186,武学奇术!$A:$ZZ,2,FALSE)+SUM(_xlfn.XLOOKUP($S186:$AG186,增益!$A:$A,增益!$B:$B,0))</f>
        <v>1.3191</v>
      </c>
      <c r="AN186" s="20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1554.72</v>
      </c>
      <c r="AP186" cm="1">
        <f t="array" ref="AP186">$E$10*(1+$AN186)+VLOOKUP($R186,武学奇术!$A:$ZZ,4,FALSE)+SUM(_xlfn.XLOOKUP($S186:$AG186,增益!$A:$A,增益!$D:$D,0))-$I$2</f>
        <v>6665.76</v>
      </c>
      <c r="AQ186" s="29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0.4175</v>
      </c>
      <c r="AR186" s="29" cm="1">
        <f t="array" ref="AR186">$G$10+VLOOKUP($R186,武学奇术!$A:$ZZ,7,FALSE)+SUM(_xlfn.XLOOKUP(S186:AG186,增益!$A:$A,增益!$G:$G,0))</f>
        <v>0</v>
      </c>
      <c r="AS186" s="20" cm="1">
        <f t="array" ref="AS186">VLOOKUP($R186,武学奇术!$A:$ZZ,8,FALSE)+SUM(_xlfn.XLOOKUP(S186:AG186,增益!$A:$A,增益!$H:$H,0))</f>
        <v>0</v>
      </c>
      <c r="AT186">
        <f t="shared" si="84"/>
        <v>538</v>
      </c>
      <c r="AU186">
        <f t="shared" si="85"/>
        <v>1011</v>
      </c>
      <c r="AV186" s="29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0.155</v>
      </c>
      <c r="AW186" s="29" cm="1">
        <f t="array" ref="AW186">$G$11+VLOOKUP($R186,武学奇术!$A:$ZZ,10,FALSE)+SUM(_xlfn.XLOOKUP(S186:AG186,增益!$A:$A,增益!$J:$J,0))</f>
        <v>0.15</v>
      </c>
      <c r="AX186">
        <f t="shared" si="86"/>
        <v>0</v>
      </c>
      <c r="AY186">
        <f t="shared" si="87"/>
        <v>0</v>
      </c>
      <c r="AZ186" s="29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-0.14</v>
      </c>
      <c r="BA186" s="29" cm="1">
        <f t="array" ref="BA186">$G$12+VLOOKUP($R186,武学奇术!$A:$ZZ,12,FALSE)+SUM(_xlfn.XLOOKUP(S186:AG186,增益!$A:$A,增益!$L:$L,0))</f>
        <v>0</v>
      </c>
      <c r="BB186">
        <f t="shared" si="88"/>
        <v>0</v>
      </c>
      <c r="BC186">
        <f t="shared" si="89"/>
        <v>0</v>
      </c>
      <c r="BD186" s="29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-0.14</v>
      </c>
      <c r="BE186" s="29" cm="1">
        <f t="array" ref="BE186">$G$13+VLOOKUP($R186,武学奇术!$A:$ZZ,14,FALSE)+SUM(_xlfn.XLOOKUP(S186:AG186,增益!$A:$A,增益!$N:$N,0))</f>
        <v>0</v>
      </c>
      <c r="BF186">
        <f t="shared" si="90"/>
        <v>0</v>
      </c>
      <c r="BG186">
        <f t="shared" si="91"/>
        <v>0</v>
      </c>
      <c r="BH186" s="29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-0.14</v>
      </c>
      <c r="BI186" s="29" cm="1">
        <f t="array" ref="BI186">$G$14+VLOOKUP($R186,武学奇术!$A:$ZZ,16,FALSE)+SUM(_xlfn.XLOOKUP(S186:AG186,增益!$A:$A,增益!$P:$P,0))</f>
        <v>0</v>
      </c>
      <c r="BJ186" s="20">
        <f>MIN(IF(VLOOKUP($R186,武学奇术!$A:$ZZ,23,FALSE)=1,100%,$B$8),100%)</f>
        <v>0.8271</v>
      </c>
      <c r="BK186" s="20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0.2249</v>
      </c>
      <c r="BL186" s="20" cm="1">
        <f t="array" ref="BL186">1+$B$13+VLOOKUP($R186,武学奇术!$A:$ZZ,18,FALSE)+SUM(_xlfn.XLOOKUP(S186:AG186,增益!$A:$A,增益!$R:$R,0))</f>
        <v>1.5</v>
      </c>
      <c r="BM186" s="20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0.4459</v>
      </c>
      <c r="BN186" s="20" cm="1">
        <f t="array" ref="BN186">1+$B$14+VLOOKUP($R186,武学奇术!$A:$ZZ,20,FALSE)+SUM(_xlfn.XLOOKUP(S186:AG186,增益!$A:$A,增益!$T:$T,0))</f>
        <v>1.752</v>
      </c>
      <c r="BO186" s="20">
        <f t="shared" si="92"/>
        <v>0.18601479</v>
      </c>
      <c r="BP186" s="20">
        <f t="shared" si="93"/>
        <v>0.27228132</v>
      </c>
      <c r="BQ186" s="20">
        <f>IF(VLOOKUP($R186,武学奇术!$A:$ZZ,22,FALSE)=1,0,(1-$BJ186))*(1-$BM186)</f>
        <v>0.09580389</v>
      </c>
      <c r="BR186" s="20" cm="1">
        <f t="array" ref="BR186">SUM(_xlfn.XLOOKUP(S186:AG186,增益!$A:$A,增益!$W:$W,0))+$I$5</f>
        <v>0.11</v>
      </c>
    </row>
    <row r="187" spans="11:70">
      <c r="K187" s="27">
        <f>$L187*VLOOKUP($R187,武学奇术!$A:$ZZ,31,FALSE)</f>
        <v>4682.00055227191</v>
      </c>
      <c r="L187" s="27">
        <f t="shared" si="73"/>
        <v>7803.33425378652</v>
      </c>
      <c r="M187" s="27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6445.47131298814</v>
      </c>
      <c r="N187" s="27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11777.0926151749</v>
      </c>
      <c r="O187" s="27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4296.98087532543</v>
      </c>
      <c r="P187" s="27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1910.02723579565</v>
      </c>
      <c r="Q187" s="35">
        <v>1</v>
      </c>
      <c r="R187" s="36" t="s">
        <v>164</v>
      </c>
      <c r="S187" s="36" t="s">
        <v>71</v>
      </c>
      <c r="T187" s="36" t="s">
        <v>99</v>
      </c>
      <c r="U187" s="36" t="s">
        <v>100</v>
      </c>
      <c r="V187" s="36" t="s">
        <v>71</v>
      </c>
      <c r="W187" s="36" t="s">
        <v>71</v>
      </c>
      <c r="X187" s="36" t="s">
        <v>71</v>
      </c>
      <c r="Y187" s="36" t="s">
        <v>71</v>
      </c>
      <c r="Z187" s="36" t="s">
        <v>82</v>
      </c>
      <c r="AA187" s="36" t="s">
        <v>71</v>
      </c>
      <c r="AB187" s="36" t="s">
        <v>71</v>
      </c>
      <c r="AC187" s="36" t="s">
        <v>71</v>
      </c>
      <c r="AD187" s="36" t="s">
        <v>72</v>
      </c>
      <c r="AE187" s="36" t="s">
        <v>94</v>
      </c>
      <c r="AF187" s="36" t="s">
        <v>148</v>
      </c>
      <c r="AG187" s="36" t="s">
        <v>120</v>
      </c>
      <c r="AH187" t="str">
        <f>VLOOKUP($R187,武学奇术!$A:$ZZ,25,FALSE)</f>
        <v>剑</v>
      </c>
      <c r="AI187" s="20">
        <f>VLOOKUP($R187,武学奇术!$A:$ZZ,26,FALSE)</f>
        <v>0.1716</v>
      </c>
      <c r="AJ187" s="21">
        <f>VLOOKUP($R187,武学奇术!$A:$ZZ,27,FALSE)*(1+IF(OR($AH187=$F$4,$AH187=$F$5),$B$22,0))</f>
        <v>0</v>
      </c>
      <c r="AK187" s="20">
        <f>VLOOKUP($R187,武学奇术!$A:$ZZ,28,FALSE)</f>
        <v>0.2574</v>
      </c>
      <c r="AL187" s="21">
        <f>VLOOKUP($R187,武学奇术!$A:$ZZ,29,FALSE)*(1+IF(OR($AH187=$F$4,$AH187=$F$5),$B$22,0))</f>
        <v>0</v>
      </c>
      <c r="AM187" s="20" cm="1">
        <f t="array" ref="AM187">$G$3+IFERROR(VLOOKUP($AH187,$F$4:$G$7,2,FALSE),0)+VLOOKUP($R187,武学奇术!$A:$ZZ,2,FALSE)+SUM(_xlfn.XLOOKUP($S187:$AG187,增益!$A:$A,增益!$B:$B,0))</f>
        <v>1.3191</v>
      </c>
      <c r="AN187" s="20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1554.72</v>
      </c>
      <c r="AP187" cm="1">
        <f t="array" ref="AP187">$E$10*(1+$AN187)+VLOOKUP($R187,武学奇术!$A:$ZZ,4,FALSE)+SUM(_xlfn.XLOOKUP($S187:$AG187,增益!$A:$A,增益!$D:$D,0))-$I$2</f>
        <v>6665.76</v>
      </c>
      <c r="AQ187" s="29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0.4175</v>
      </c>
      <c r="AR187" s="29" cm="1">
        <f t="array" ref="AR187">$G$10+VLOOKUP($R187,武学奇术!$A:$ZZ,7,FALSE)+SUM(_xlfn.XLOOKUP(S187:AG187,增益!$A:$A,增益!$G:$G,0))</f>
        <v>0</v>
      </c>
      <c r="AS187" s="20" cm="1">
        <f t="array" ref="AS187">VLOOKUP($R187,武学奇术!$A:$ZZ,8,FALSE)+SUM(_xlfn.XLOOKUP(S187:AG187,增益!$A:$A,增益!$H:$H,0))</f>
        <v>0</v>
      </c>
      <c r="AT187">
        <f t="shared" si="84"/>
        <v>538</v>
      </c>
      <c r="AU187">
        <f t="shared" si="85"/>
        <v>1011</v>
      </c>
      <c r="AV187" s="29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0.155</v>
      </c>
      <c r="AW187" s="29" cm="1">
        <f t="array" ref="AW187">$G$11+VLOOKUP($R187,武学奇术!$A:$ZZ,10,FALSE)+SUM(_xlfn.XLOOKUP(S187:AG187,增益!$A:$A,增益!$J:$J,0))</f>
        <v>0.15</v>
      </c>
      <c r="AX187">
        <f t="shared" si="86"/>
        <v>0</v>
      </c>
      <c r="AY187">
        <f t="shared" si="87"/>
        <v>0</v>
      </c>
      <c r="AZ187" s="29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-0.14</v>
      </c>
      <c r="BA187" s="29" cm="1">
        <f t="array" ref="BA187">$G$12+VLOOKUP($R187,武学奇术!$A:$ZZ,12,FALSE)+SUM(_xlfn.XLOOKUP(S187:AG187,增益!$A:$A,增益!$L:$L,0))</f>
        <v>0</v>
      </c>
      <c r="BB187">
        <f t="shared" si="88"/>
        <v>0</v>
      </c>
      <c r="BC187">
        <f t="shared" si="89"/>
        <v>0</v>
      </c>
      <c r="BD187" s="29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-0.14</v>
      </c>
      <c r="BE187" s="29" cm="1">
        <f t="array" ref="BE187">$G$13+VLOOKUP($R187,武学奇术!$A:$ZZ,14,FALSE)+SUM(_xlfn.XLOOKUP(S187:AG187,增益!$A:$A,增益!$N:$N,0))</f>
        <v>0</v>
      </c>
      <c r="BF187">
        <f t="shared" si="90"/>
        <v>0</v>
      </c>
      <c r="BG187">
        <f t="shared" si="91"/>
        <v>0</v>
      </c>
      <c r="BH187" s="29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-0.14</v>
      </c>
      <c r="BI187" s="29" cm="1">
        <f t="array" ref="BI187">$G$14+VLOOKUP($R187,武学奇术!$A:$ZZ,16,FALSE)+SUM(_xlfn.XLOOKUP(S187:AG187,增益!$A:$A,增益!$P:$P,0))</f>
        <v>0</v>
      </c>
      <c r="BJ187" s="20">
        <f>MIN(IF(VLOOKUP($R187,武学奇术!$A:$ZZ,23,FALSE)=1,100%,$B$8),100%)</f>
        <v>0.8271</v>
      </c>
      <c r="BK187" s="20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0.2249</v>
      </c>
      <c r="BL187" s="20" cm="1">
        <f t="array" ref="BL187">1+$B$13+VLOOKUP($R187,武学奇术!$A:$ZZ,18,FALSE)+SUM(_xlfn.XLOOKUP(S187:AG187,增益!$A:$A,增益!$R:$R,0))</f>
        <v>1.5</v>
      </c>
      <c r="BM187" s="20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0.4459</v>
      </c>
      <c r="BN187" s="20" cm="1">
        <f t="array" ref="BN187">1+$B$14+VLOOKUP($R187,武学奇术!$A:$ZZ,20,FALSE)+SUM(_xlfn.XLOOKUP(S187:AG187,增益!$A:$A,增益!$T:$T,0))</f>
        <v>1.762</v>
      </c>
      <c r="BO187" s="20">
        <f t="shared" si="92"/>
        <v>0.18601479</v>
      </c>
      <c r="BP187" s="20">
        <f t="shared" si="93"/>
        <v>0.27228132</v>
      </c>
      <c r="BQ187" s="20">
        <f>IF(VLOOKUP($R187,武学奇术!$A:$ZZ,22,FALSE)=1,0,(1-$BJ187))*(1-$BM187)</f>
        <v>0.09580389</v>
      </c>
      <c r="BR187" s="20" cm="1">
        <f t="array" ref="BR187">SUM(_xlfn.XLOOKUP(S187:AG187,增益!$A:$A,增益!$W:$W,0))+$I$5</f>
        <v>0.11</v>
      </c>
    </row>
    <row r="188" spans="11:70">
      <c r="K188" s="27">
        <f>$L188*VLOOKUP($R188,武学奇术!$A:$ZZ,31,FALSE)</f>
        <v>9408.05457792647</v>
      </c>
      <c r="L188" s="27">
        <f t="shared" si="73"/>
        <v>15680.0909632108</v>
      </c>
      <c r="M188" s="27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12967.8095824293</v>
      </c>
      <c r="N188" s="27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23644.4782818632</v>
      </c>
      <c r="O188" s="27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8645.20638828617</v>
      </c>
      <c r="P188" s="27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3871.29910922662</v>
      </c>
      <c r="Q188" s="35">
        <v>1</v>
      </c>
      <c r="R188" s="36" t="s">
        <v>162</v>
      </c>
      <c r="S188" s="36" t="s">
        <v>71</v>
      </c>
      <c r="T188" s="36" t="s">
        <v>99</v>
      </c>
      <c r="U188" s="36" t="s">
        <v>100</v>
      </c>
      <c r="V188" s="36" t="s">
        <v>71</v>
      </c>
      <c r="W188" s="36" t="s">
        <v>111</v>
      </c>
      <c r="X188" s="36" t="s">
        <v>71</v>
      </c>
      <c r="Y188" s="36" t="s">
        <v>71</v>
      </c>
      <c r="Z188" s="36" t="s">
        <v>82</v>
      </c>
      <c r="AA188" s="36" t="s">
        <v>71</v>
      </c>
      <c r="AB188" s="36" t="s">
        <v>71</v>
      </c>
      <c r="AC188" s="36" t="s">
        <v>71</v>
      </c>
      <c r="AD188" s="36" t="s">
        <v>72</v>
      </c>
      <c r="AE188" s="36" t="s">
        <v>94</v>
      </c>
      <c r="AF188" s="36" t="s">
        <v>148</v>
      </c>
      <c r="AG188" s="36" t="s">
        <v>120</v>
      </c>
      <c r="AH188" t="str">
        <f>VLOOKUP($R188,武学奇术!$A:$ZZ,25,FALSE)</f>
        <v>剑</v>
      </c>
      <c r="AI188" s="20">
        <f>VLOOKUP($R188,武学奇术!$A:$ZZ,26,FALSE)</f>
        <v>0.3432</v>
      </c>
      <c r="AJ188" s="21">
        <f>VLOOKUP($R188,武学奇术!$A:$ZZ,27,FALSE)*(1+IF(OR($AH188=$F$4,$AH188=$F$5),$B$22,0))</f>
        <v>0</v>
      </c>
      <c r="AK188" s="20">
        <f>VLOOKUP($R188,武学奇术!$A:$ZZ,28,FALSE)</f>
        <v>0.5148</v>
      </c>
      <c r="AL188" s="21">
        <f>VLOOKUP($R188,武学奇术!$A:$ZZ,29,FALSE)*(1+IF(OR($AH188=$F$4,$AH188=$F$5),$B$22,0))</f>
        <v>0</v>
      </c>
      <c r="AM188" s="20" cm="1">
        <f t="array" ref="AM188">$G$3+IFERROR(VLOOKUP($AH188,$F$4:$G$7,2,FALSE),0)+VLOOKUP($R188,武学奇术!$A:$ZZ,2,FALSE)+SUM(_xlfn.XLOOKUP($S188:$AG188,增益!$A:$A,增益!$B:$B,0))</f>
        <v>1.3191</v>
      </c>
      <c r="AN188" s="20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1585.72</v>
      </c>
      <c r="AP188" cm="1">
        <f t="array" ref="AP188">$E$10*(1+$AN188)+VLOOKUP($R188,武学奇术!$A:$ZZ,4,FALSE)+SUM(_xlfn.XLOOKUP($S188:$AG188,增益!$A:$A,增益!$D:$D,0))-$I$2</f>
        <v>6696.76</v>
      </c>
      <c r="AQ188" s="29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0.4175</v>
      </c>
      <c r="AR188" s="29" cm="1">
        <f t="array" ref="AR188">$G$10+VLOOKUP($R188,武学奇术!$A:$ZZ,7,FALSE)+SUM(_xlfn.XLOOKUP(S188:AG188,增益!$A:$A,增益!$G:$G,0))</f>
        <v>0</v>
      </c>
      <c r="AS188" s="20" cm="1">
        <f t="array" ref="AS188">VLOOKUP($R188,武学奇术!$A:$ZZ,8,FALSE)+SUM(_xlfn.XLOOKUP(S188:AG188,增益!$A:$A,增益!$H:$H,0))</f>
        <v>0</v>
      </c>
      <c r="AT188">
        <f t="shared" si="84"/>
        <v>538</v>
      </c>
      <c r="AU188">
        <f t="shared" si="85"/>
        <v>1011</v>
      </c>
      <c r="AV188" s="29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0.155</v>
      </c>
      <c r="AW188" s="29" cm="1">
        <f t="array" ref="AW188">$G$11+VLOOKUP($R188,武学奇术!$A:$ZZ,10,FALSE)+SUM(_xlfn.XLOOKUP(S188:AG188,增益!$A:$A,增益!$J:$J,0))</f>
        <v>0.15</v>
      </c>
      <c r="AX188">
        <f t="shared" si="86"/>
        <v>0</v>
      </c>
      <c r="AY188">
        <f t="shared" si="87"/>
        <v>0</v>
      </c>
      <c r="AZ188" s="29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-0.14</v>
      </c>
      <c r="BA188" s="29" cm="1">
        <f t="array" ref="BA188">$G$12+VLOOKUP($R188,武学奇术!$A:$ZZ,12,FALSE)+SUM(_xlfn.XLOOKUP(S188:AG188,增益!$A:$A,增益!$L:$L,0))</f>
        <v>0</v>
      </c>
      <c r="BB188">
        <f t="shared" si="88"/>
        <v>0</v>
      </c>
      <c r="BC188">
        <f t="shared" si="89"/>
        <v>0</v>
      </c>
      <c r="BD188" s="29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-0.14</v>
      </c>
      <c r="BE188" s="29" cm="1">
        <f t="array" ref="BE188">$G$13+VLOOKUP($R188,武学奇术!$A:$ZZ,14,FALSE)+SUM(_xlfn.XLOOKUP(S188:AG188,增益!$A:$A,增益!$N:$N,0))</f>
        <v>0</v>
      </c>
      <c r="BF188">
        <f t="shared" si="90"/>
        <v>0</v>
      </c>
      <c r="BG188">
        <f t="shared" si="91"/>
        <v>0</v>
      </c>
      <c r="BH188" s="29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-0.14</v>
      </c>
      <c r="BI188" s="29" cm="1">
        <f t="array" ref="BI188">$G$14+VLOOKUP($R188,武学奇术!$A:$ZZ,16,FALSE)+SUM(_xlfn.XLOOKUP(S188:AG188,增益!$A:$A,增益!$P:$P,0))</f>
        <v>0</v>
      </c>
      <c r="BJ188" s="20">
        <f>MIN(IF(VLOOKUP($R188,武学奇术!$A:$ZZ,23,FALSE)=1,100%,$B$8),100%)</f>
        <v>0.8271</v>
      </c>
      <c r="BK188" s="20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0.2249</v>
      </c>
      <c r="BL188" s="20" cm="1">
        <f t="array" ref="BL188">1+$B$13+VLOOKUP($R188,武学奇术!$A:$ZZ,18,FALSE)+SUM(_xlfn.XLOOKUP(S188:AG188,增益!$A:$A,增益!$R:$R,0))</f>
        <v>1.5</v>
      </c>
      <c r="BM188" s="20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0.4459</v>
      </c>
      <c r="BN188" s="20" cm="1">
        <f t="array" ref="BN188">1+$B$14+VLOOKUP($R188,武学奇术!$A:$ZZ,20,FALSE)+SUM(_xlfn.XLOOKUP(S188:AG188,增益!$A:$A,增益!$T:$T,0))</f>
        <v>1.762</v>
      </c>
      <c r="BO188" s="20">
        <f t="shared" si="92"/>
        <v>0.18601479</v>
      </c>
      <c r="BP188" s="20">
        <f t="shared" si="93"/>
        <v>0.27228132</v>
      </c>
      <c r="BQ188" s="20">
        <f>IF(VLOOKUP($R188,武学奇术!$A:$ZZ,22,FALSE)=1,0,(1-$BJ188))*(1-$BM188)</f>
        <v>0.09580389</v>
      </c>
      <c r="BR188" s="20" cm="1">
        <f t="array" ref="BR188">SUM(_xlfn.XLOOKUP(S188:AG188,增益!$A:$A,增益!$W:$W,0))+$I$5</f>
        <v>0.11</v>
      </c>
    </row>
    <row r="189" spans="11:70">
      <c r="K189" s="27">
        <f>$L189*VLOOKUP($R189,武学奇术!$A:$ZZ,31,FALSE)</f>
        <v>4704.02728896323</v>
      </c>
      <c r="L189" s="27">
        <f t="shared" si="73"/>
        <v>7840.04548160539</v>
      </c>
      <c r="M189" s="27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6483.90479121463</v>
      </c>
      <c r="N189" s="27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11822.2391409316</v>
      </c>
      <c r="O189" s="27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4322.60319414308</v>
      </c>
      <c r="P189" s="27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1935.64955461331</v>
      </c>
      <c r="Q189" s="35">
        <v>1</v>
      </c>
      <c r="R189" s="36" t="s">
        <v>164</v>
      </c>
      <c r="S189" s="36" t="s">
        <v>71</v>
      </c>
      <c r="T189" s="36" t="s">
        <v>99</v>
      </c>
      <c r="U189" s="36" t="s">
        <v>100</v>
      </c>
      <c r="V189" s="36" t="s">
        <v>71</v>
      </c>
      <c r="W189" s="36" t="s">
        <v>111</v>
      </c>
      <c r="X189" s="36" t="s">
        <v>71</v>
      </c>
      <c r="Y189" s="36" t="s">
        <v>71</v>
      </c>
      <c r="Z189" s="36" t="s">
        <v>82</v>
      </c>
      <c r="AA189" s="36" t="s">
        <v>71</v>
      </c>
      <c r="AB189" s="36" t="s">
        <v>71</v>
      </c>
      <c r="AC189" s="36" t="s">
        <v>71</v>
      </c>
      <c r="AD189" s="36" t="s">
        <v>72</v>
      </c>
      <c r="AE189" s="36" t="s">
        <v>94</v>
      </c>
      <c r="AF189" s="36" t="s">
        <v>148</v>
      </c>
      <c r="AG189" s="36" t="s">
        <v>120</v>
      </c>
      <c r="AH189" t="str">
        <f>VLOOKUP($R189,武学奇术!$A:$ZZ,25,FALSE)</f>
        <v>剑</v>
      </c>
      <c r="AI189" s="20">
        <f>VLOOKUP($R189,武学奇术!$A:$ZZ,26,FALSE)</f>
        <v>0.1716</v>
      </c>
      <c r="AJ189" s="21">
        <f>VLOOKUP($R189,武学奇术!$A:$ZZ,27,FALSE)*(1+IF(OR($AH189=$F$4,$AH189=$F$5),$B$22,0))</f>
        <v>0</v>
      </c>
      <c r="AK189" s="20">
        <f>VLOOKUP($R189,武学奇术!$A:$ZZ,28,FALSE)</f>
        <v>0.2574</v>
      </c>
      <c r="AL189" s="21">
        <f>VLOOKUP($R189,武学奇术!$A:$ZZ,29,FALSE)*(1+IF(OR($AH189=$F$4,$AH189=$F$5),$B$22,0))</f>
        <v>0</v>
      </c>
      <c r="AM189" s="20" cm="1">
        <f t="array" ref="AM189">$G$3+IFERROR(VLOOKUP($AH189,$F$4:$G$7,2,FALSE),0)+VLOOKUP($R189,武学奇术!$A:$ZZ,2,FALSE)+SUM(_xlfn.XLOOKUP($S189:$AG189,增益!$A:$A,增益!$B:$B,0))</f>
        <v>1.3191</v>
      </c>
      <c r="AN189" s="20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1585.72</v>
      </c>
      <c r="AP189" cm="1">
        <f t="array" ref="AP189">$E$10*(1+$AN189)+VLOOKUP($R189,武学奇术!$A:$ZZ,4,FALSE)+SUM(_xlfn.XLOOKUP($S189:$AG189,增益!$A:$A,增益!$D:$D,0))-$I$2</f>
        <v>6696.76</v>
      </c>
      <c r="AQ189" s="29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0.4175</v>
      </c>
      <c r="AR189" s="29" cm="1">
        <f t="array" ref="AR189">$G$10+VLOOKUP($R189,武学奇术!$A:$ZZ,7,FALSE)+SUM(_xlfn.XLOOKUP(S189:AG189,增益!$A:$A,增益!$G:$G,0))</f>
        <v>0</v>
      </c>
      <c r="AS189" s="20" cm="1">
        <f t="array" ref="AS189">VLOOKUP($R189,武学奇术!$A:$ZZ,8,FALSE)+SUM(_xlfn.XLOOKUP(S189:AG189,增益!$A:$A,增益!$H:$H,0))</f>
        <v>0</v>
      </c>
      <c r="AT189">
        <f t="shared" si="84"/>
        <v>538</v>
      </c>
      <c r="AU189">
        <f t="shared" si="85"/>
        <v>1011</v>
      </c>
      <c r="AV189" s="29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0.155</v>
      </c>
      <c r="AW189" s="29" cm="1">
        <f t="array" ref="AW189">$G$11+VLOOKUP($R189,武学奇术!$A:$ZZ,10,FALSE)+SUM(_xlfn.XLOOKUP(S189:AG189,增益!$A:$A,增益!$J:$J,0))</f>
        <v>0.15</v>
      </c>
      <c r="AX189">
        <f t="shared" si="86"/>
        <v>0</v>
      </c>
      <c r="AY189">
        <f t="shared" si="87"/>
        <v>0</v>
      </c>
      <c r="AZ189" s="29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-0.14</v>
      </c>
      <c r="BA189" s="29" cm="1">
        <f t="array" ref="BA189">$G$12+VLOOKUP($R189,武学奇术!$A:$ZZ,12,FALSE)+SUM(_xlfn.XLOOKUP(S189:AG189,增益!$A:$A,增益!$L:$L,0))</f>
        <v>0</v>
      </c>
      <c r="BB189">
        <f t="shared" si="88"/>
        <v>0</v>
      </c>
      <c r="BC189">
        <f t="shared" si="89"/>
        <v>0</v>
      </c>
      <c r="BD189" s="29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-0.14</v>
      </c>
      <c r="BE189" s="29" cm="1">
        <f t="array" ref="BE189">$G$13+VLOOKUP($R189,武学奇术!$A:$ZZ,14,FALSE)+SUM(_xlfn.XLOOKUP(S189:AG189,增益!$A:$A,增益!$N:$N,0))</f>
        <v>0</v>
      </c>
      <c r="BF189">
        <f t="shared" si="90"/>
        <v>0</v>
      </c>
      <c r="BG189">
        <f t="shared" si="91"/>
        <v>0</v>
      </c>
      <c r="BH189" s="29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-0.14</v>
      </c>
      <c r="BI189" s="29" cm="1">
        <f t="array" ref="BI189">$G$14+VLOOKUP($R189,武学奇术!$A:$ZZ,16,FALSE)+SUM(_xlfn.XLOOKUP(S189:AG189,增益!$A:$A,增益!$P:$P,0))</f>
        <v>0</v>
      </c>
      <c r="BJ189" s="20">
        <f>MIN(IF(VLOOKUP($R189,武学奇术!$A:$ZZ,23,FALSE)=1,100%,$B$8),100%)</f>
        <v>0.8271</v>
      </c>
      <c r="BK189" s="20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0.2249</v>
      </c>
      <c r="BL189" s="20" cm="1">
        <f t="array" ref="BL189">1+$B$13+VLOOKUP($R189,武学奇术!$A:$ZZ,18,FALSE)+SUM(_xlfn.XLOOKUP(S189:AG189,增益!$A:$A,增益!$R:$R,0))</f>
        <v>1.5</v>
      </c>
      <c r="BM189" s="20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0.4459</v>
      </c>
      <c r="BN189" s="20" cm="1">
        <f t="array" ref="BN189">1+$B$14+VLOOKUP($R189,武学奇术!$A:$ZZ,20,FALSE)+SUM(_xlfn.XLOOKUP(S189:AG189,增益!$A:$A,增益!$T:$T,0))</f>
        <v>1.762</v>
      </c>
      <c r="BO189" s="20">
        <f t="shared" si="92"/>
        <v>0.18601479</v>
      </c>
      <c r="BP189" s="20">
        <f t="shared" si="93"/>
        <v>0.27228132</v>
      </c>
      <c r="BQ189" s="20">
        <f>IF(VLOOKUP($R189,武学奇术!$A:$ZZ,22,FALSE)=1,0,(1-$BJ189))*(1-$BM189)</f>
        <v>0.09580389</v>
      </c>
      <c r="BR189" s="20" cm="1">
        <f t="array" ref="BR189">SUM(_xlfn.XLOOKUP(S189:AG189,增益!$A:$A,增益!$W:$W,0))+$I$5</f>
        <v>0.11</v>
      </c>
    </row>
    <row r="190" spans="11:70">
      <c r="K190" s="27">
        <f>$L190*VLOOKUP($R190,武学奇术!$A:$ZZ,31,FALSE)</f>
        <v>5666.37364477925</v>
      </c>
      <c r="L190" s="27">
        <f t="shared" si="73"/>
        <v>9443.95607463208</v>
      </c>
      <c r="M190" s="27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7780.68574945755</v>
      </c>
      <c r="N190" s="27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14267.201651122</v>
      </c>
      <c r="O190" s="27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5187.1238329717</v>
      </c>
      <c r="P190" s="27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2322.77946553597</v>
      </c>
      <c r="Q190" s="35">
        <v>1</v>
      </c>
      <c r="R190" s="36" t="s">
        <v>165</v>
      </c>
      <c r="S190" s="36" t="s">
        <v>71</v>
      </c>
      <c r="T190" s="36" t="s">
        <v>99</v>
      </c>
      <c r="U190" s="36" t="s">
        <v>100</v>
      </c>
      <c r="V190" s="36" t="s">
        <v>71</v>
      </c>
      <c r="W190" s="36" t="s">
        <v>111</v>
      </c>
      <c r="X190" s="36" t="s">
        <v>71</v>
      </c>
      <c r="Y190" s="36" t="s">
        <v>71</v>
      </c>
      <c r="Z190" s="36" t="s">
        <v>82</v>
      </c>
      <c r="AA190" s="36" t="s">
        <v>71</v>
      </c>
      <c r="AB190" s="36" t="s">
        <v>71</v>
      </c>
      <c r="AC190" s="36" t="s">
        <v>71</v>
      </c>
      <c r="AD190" s="36" t="s">
        <v>72</v>
      </c>
      <c r="AE190" s="36" t="s">
        <v>94</v>
      </c>
      <c r="AF190" s="36" t="s">
        <v>150</v>
      </c>
      <c r="AG190" s="36" t="s">
        <v>120</v>
      </c>
      <c r="AH190" t="str">
        <f>VLOOKUP($R190,武学奇术!$A:$ZZ,25,FALSE)</f>
        <v>剑</v>
      </c>
      <c r="AI190" s="20">
        <f>VLOOKUP($R190,武学奇术!$A:$ZZ,26,FALSE)</f>
        <v>0.20592</v>
      </c>
      <c r="AJ190" s="21">
        <f>VLOOKUP($R190,武学奇术!$A:$ZZ,27,FALSE)*(1+IF(OR($AH190=$F$4,$AH190=$F$5),$B$22,0))</f>
        <v>0</v>
      </c>
      <c r="AK190" s="20">
        <f>VLOOKUP($R190,武学奇术!$A:$ZZ,28,FALSE)</f>
        <v>0.30888</v>
      </c>
      <c r="AL190" s="21">
        <f>VLOOKUP($R190,武学奇术!$A:$ZZ,29,FALSE)*(1+IF(OR($AH190=$F$4,$AH190=$F$5),$B$22,0))</f>
        <v>0</v>
      </c>
      <c r="AM190" s="20" cm="1">
        <f t="array" ref="AM190">$G$3+IFERROR(VLOOKUP($AH190,$F$4:$G$7,2,FALSE),0)+VLOOKUP($R190,武学奇术!$A:$ZZ,2,FALSE)+SUM(_xlfn.XLOOKUP($S190:$AG190,增益!$A:$A,增益!$B:$B,0))</f>
        <v>1.3191</v>
      </c>
      <c r="AN190" s="20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1585.72</v>
      </c>
      <c r="AP190" cm="1">
        <f t="array" ref="AP190">$E$10*(1+$AN190)+VLOOKUP($R190,武学奇术!$A:$ZZ,4,FALSE)+SUM(_xlfn.XLOOKUP($S190:$AG190,增益!$A:$A,增益!$D:$D,0))-$I$2</f>
        <v>6696.76</v>
      </c>
      <c r="AQ190" s="29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0.4175</v>
      </c>
      <c r="AR190" s="29" cm="1">
        <f t="array" ref="AR190">$G$10+VLOOKUP($R190,武学奇术!$A:$ZZ,7,FALSE)+SUM(_xlfn.XLOOKUP(S190:AG190,增益!$A:$A,增益!$G:$G,0))</f>
        <v>0</v>
      </c>
      <c r="AS190" s="20" cm="1">
        <f t="array" ref="AS190">VLOOKUP($R190,武学奇术!$A:$ZZ,8,FALSE)+SUM(_xlfn.XLOOKUP(S190:AG190,增益!$A:$A,增益!$H:$H,0))</f>
        <v>0</v>
      </c>
      <c r="AT190">
        <f t="shared" si="84"/>
        <v>538</v>
      </c>
      <c r="AU190">
        <f t="shared" si="85"/>
        <v>1011</v>
      </c>
      <c r="AV190" s="29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0.155</v>
      </c>
      <c r="AW190" s="29" cm="1">
        <f t="array" ref="AW190">$G$11+VLOOKUP($R190,武学奇术!$A:$ZZ,10,FALSE)+SUM(_xlfn.XLOOKUP(S190:AG190,增益!$A:$A,增益!$J:$J,0))</f>
        <v>0.15</v>
      </c>
      <c r="AX190">
        <f t="shared" si="86"/>
        <v>0</v>
      </c>
      <c r="AY190">
        <f t="shared" si="87"/>
        <v>0</v>
      </c>
      <c r="AZ190" s="29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-0.14</v>
      </c>
      <c r="BA190" s="29" cm="1">
        <f t="array" ref="BA190">$G$12+VLOOKUP($R190,武学奇术!$A:$ZZ,12,FALSE)+SUM(_xlfn.XLOOKUP(S190:AG190,增益!$A:$A,增益!$L:$L,0))</f>
        <v>0</v>
      </c>
      <c r="BB190">
        <f t="shared" si="88"/>
        <v>0</v>
      </c>
      <c r="BC190">
        <f t="shared" si="89"/>
        <v>0</v>
      </c>
      <c r="BD190" s="29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-0.14</v>
      </c>
      <c r="BE190" s="29" cm="1">
        <f t="array" ref="BE190">$G$13+VLOOKUP($R190,武学奇术!$A:$ZZ,14,FALSE)+SUM(_xlfn.XLOOKUP(S190:AG190,增益!$A:$A,增益!$N:$N,0))</f>
        <v>0</v>
      </c>
      <c r="BF190">
        <f t="shared" si="90"/>
        <v>0</v>
      </c>
      <c r="BG190">
        <f t="shared" si="91"/>
        <v>0</v>
      </c>
      <c r="BH190" s="29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-0.14</v>
      </c>
      <c r="BI190" s="29" cm="1">
        <f t="array" ref="BI190">$G$14+VLOOKUP($R190,武学奇术!$A:$ZZ,16,FALSE)+SUM(_xlfn.XLOOKUP(S190:AG190,增益!$A:$A,增益!$P:$P,0))</f>
        <v>0</v>
      </c>
      <c r="BJ190" s="20">
        <f>MIN(IF(VLOOKUP($R190,武学奇术!$A:$ZZ,23,FALSE)=1,100%,$B$8),100%)</f>
        <v>0.8271</v>
      </c>
      <c r="BK190" s="20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0.2249</v>
      </c>
      <c r="BL190" s="20" cm="1">
        <f t="array" ref="BL190">1+$B$13+VLOOKUP($R190,武学奇术!$A:$ZZ,18,FALSE)+SUM(_xlfn.XLOOKUP(S190:AG190,增益!$A:$A,增益!$R:$R,0))</f>
        <v>1.5</v>
      </c>
      <c r="BM190" s="20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0.4459</v>
      </c>
      <c r="BN190" s="20" cm="1">
        <f t="array" ref="BN190">1+$B$14+VLOOKUP($R190,武学奇术!$A:$ZZ,20,FALSE)+SUM(_xlfn.XLOOKUP(S190:AG190,增益!$A:$A,增益!$T:$T,0))</f>
        <v>1.772</v>
      </c>
      <c r="BO190" s="20">
        <f t="shared" si="92"/>
        <v>0.18601479</v>
      </c>
      <c r="BP190" s="20">
        <f t="shared" si="93"/>
        <v>0.27228132</v>
      </c>
      <c r="BQ190" s="20">
        <f>IF(VLOOKUP($R190,武学奇术!$A:$ZZ,22,FALSE)=1,0,(1-$BJ190))*(1-$BM190)</f>
        <v>0.09580389</v>
      </c>
      <c r="BR190" s="20" cm="1">
        <f t="array" ref="BR190">SUM(_xlfn.XLOOKUP(S190:AG190,增益!$A:$A,增益!$W:$W,0))+$I$5</f>
        <v>0.11</v>
      </c>
    </row>
    <row r="191" spans="11:70">
      <c r="K191" s="27">
        <f>$L191*VLOOKUP($R191,武学奇术!$A:$ZZ,31,FALSE)</f>
        <v>5666.37364477925</v>
      </c>
      <c r="L191" s="27">
        <f t="shared" si="73"/>
        <v>9443.95607463208</v>
      </c>
      <c r="M191" s="27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7780.68574945755</v>
      </c>
      <c r="N191" s="27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14267.201651122</v>
      </c>
      <c r="O191" s="27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5187.1238329717</v>
      </c>
      <c r="P191" s="27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2322.77946553597</v>
      </c>
      <c r="Q191" s="35">
        <v>1</v>
      </c>
      <c r="R191" s="36" t="s">
        <v>165</v>
      </c>
      <c r="S191" s="36" t="s">
        <v>71</v>
      </c>
      <c r="T191" s="36" t="s">
        <v>99</v>
      </c>
      <c r="U191" s="36" t="s">
        <v>100</v>
      </c>
      <c r="V191" s="36" t="s">
        <v>71</v>
      </c>
      <c r="W191" s="36" t="s">
        <v>111</v>
      </c>
      <c r="X191" s="36" t="s">
        <v>71</v>
      </c>
      <c r="Y191" s="36" t="s">
        <v>71</v>
      </c>
      <c r="Z191" s="36" t="s">
        <v>82</v>
      </c>
      <c r="AA191" s="36" t="s">
        <v>71</v>
      </c>
      <c r="AB191" s="36" t="s">
        <v>71</v>
      </c>
      <c r="AC191" s="36" t="s">
        <v>71</v>
      </c>
      <c r="AD191" s="36" t="s">
        <v>72</v>
      </c>
      <c r="AE191" s="36" t="s">
        <v>94</v>
      </c>
      <c r="AF191" s="36" t="s">
        <v>150</v>
      </c>
      <c r="AG191" s="36" t="s">
        <v>120</v>
      </c>
      <c r="AH191" t="str">
        <f>VLOOKUP($R191,武学奇术!$A:$ZZ,25,FALSE)</f>
        <v>剑</v>
      </c>
      <c r="AI191" s="20">
        <f>VLOOKUP($R191,武学奇术!$A:$ZZ,26,FALSE)</f>
        <v>0.20592</v>
      </c>
      <c r="AJ191" s="21">
        <f>VLOOKUP($R191,武学奇术!$A:$ZZ,27,FALSE)*(1+IF(OR($AH191=$F$4,$AH191=$F$5),$B$22,0))</f>
        <v>0</v>
      </c>
      <c r="AK191" s="20">
        <f>VLOOKUP($R191,武学奇术!$A:$ZZ,28,FALSE)</f>
        <v>0.30888</v>
      </c>
      <c r="AL191" s="21">
        <f>VLOOKUP($R191,武学奇术!$A:$ZZ,29,FALSE)*(1+IF(OR($AH191=$F$4,$AH191=$F$5),$B$22,0))</f>
        <v>0</v>
      </c>
      <c r="AM191" s="20" cm="1">
        <f t="array" ref="AM191">$G$3+IFERROR(VLOOKUP($AH191,$F$4:$G$7,2,FALSE),0)+VLOOKUP($R191,武学奇术!$A:$ZZ,2,FALSE)+SUM(_xlfn.XLOOKUP($S191:$AG191,增益!$A:$A,增益!$B:$B,0))</f>
        <v>1.3191</v>
      </c>
      <c r="AN191" s="20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1585.72</v>
      </c>
      <c r="AP191" cm="1">
        <f t="array" ref="AP191">$E$10*(1+$AN191)+VLOOKUP($R191,武学奇术!$A:$ZZ,4,FALSE)+SUM(_xlfn.XLOOKUP($S191:$AG191,增益!$A:$A,增益!$D:$D,0))-$I$2</f>
        <v>6696.76</v>
      </c>
      <c r="AQ191" s="29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0.4175</v>
      </c>
      <c r="AR191" s="29" cm="1">
        <f t="array" ref="AR191">$G$10+VLOOKUP($R191,武学奇术!$A:$ZZ,7,FALSE)+SUM(_xlfn.XLOOKUP(S191:AG191,增益!$A:$A,增益!$G:$G,0))</f>
        <v>0</v>
      </c>
      <c r="AS191" s="20" cm="1">
        <f t="array" ref="AS191">VLOOKUP($R191,武学奇术!$A:$ZZ,8,FALSE)+SUM(_xlfn.XLOOKUP(S191:AG191,增益!$A:$A,增益!$H:$H,0))</f>
        <v>0</v>
      </c>
      <c r="AT191">
        <f t="shared" si="84"/>
        <v>538</v>
      </c>
      <c r="AU191">
        <f t="shared" si="85"/>
        <v>1011</v>
      </c>
      <c r="AV191" s="29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0.155</v>
      </c>
      <c r="AW191" s="29" cm="1">
        <f t="array" ref="AW191">$G$11+VLOOKUP($R191,武学奇术!$A:$ZZ,10,FALSE)+SUM(_xlfn.XLOOKUP(S191:AG191,增益!$A:$A,增益!$J:$J,0))</f>
        <v>0.15</v>
      </c>
      <c r="AX191">
        <f t="shared" si="86"/>
        <v>0</v>
      </c>
      <c r="AY191">
        <f t="shared" si="87"/>
        <v>0</v>
      </c>
      <c r="AZ191" s="29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-0.14</v>
      </c>
      <c r="BA191" s="29" cm="1">
        <f t="array" ref="BA191">$G$12+VLOOKUP($R191,武学奇术!$A:$ZZ,12,FALSE)+SUM(_xlfn.XLOOKUP(S191:AG191,增益!$A:$A,增益!$L:$L,0))</f>
        <v>0</v>
      </c>
      <c r="BB191">
        <f t="shared" si="88"/>
        <v>0</v>
      </c>
      <c r="BC191">
        <f t="shared" si="89"/>
        <v>0</v>
      </c>
      <c r="BD191" s="29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-0.14</v>
      </c>
      <c r="BE191" s="29" cm="1">
        <f t="array" ref="BE191">$G$13+VLOOKUP($R191,武学奇术!$A:$ZZ,14,FALSE)+SUM(_xlfn.XLOOKUP(S191:AG191,增益!$A:$A,增益!$N:$N,0))</f>
        <v>0</v>
      </c>
      <c r="BF191">
        <f t="shared" si="90"/>
        <v>0</v>
      </c>
      <c r="BG191">
        <f t="shared" si="91"/>
        <v>0</v>
      </c>
      <c r="BH191" s="29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-0.14</v>
      </c>
      <c r="BI191" s="29" cm="1">
        <f t="array" ref="BI191">$G$14+VLOOKUP($R191,武学奇术!$A:$ZZ,16,FALSE)+SUM(_xlfn.XLOOKUP(S191:AG191,增益!$A:$A,增益!$P:$P,0))</f>
        <v>0</v>
      </c>
      <c r="BJ191" s="20">
        <f>MIN(IF(VLOOKUP($R191,武学奇术!$A:$ZZ,23,FALSE)=1,100%,$B$8),100%)</f>
        <v>0.8271</v>
      </c>
      <c r="BK191" s="20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0.2249</v>
      </c>
      <c r="BL191" s="20" cm="1">
        <f t="array" ref="BL191">1+$B$13+VLOOKUP($R191,武学奇术!$A:$ZZ,18,FALSE)+SUM(_xlfn.XLOOKUP(S191:AG191,增益!$A:$A,增益!$R:$R,0))</f>
        <v>1.5</v>
      </c>
      <c r="BM191" s="20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0.4459</v>
      </c>
      <c r="BN191" s="20" cm="1">
        <f t="array" ref="BN191">1+$B$14+VLOOKUP($R191,武学奇术!$A:$ZZ,20,FALSE)+SUM(_xlfn.XLOOKUP(S191:AG191,增益!$A:$A,增益!$T:$T,0))</f>
        <v>1.772</v>
      </c>
      <c r="BO191" s="20">
        <f t="shared" si="92"/>
        <v>0.18601479</v>
      </c>
      <c r="BP191" s="20">
        <f t="shared" si="93"/>
        <v>0.27228132</v>
      </c>
      <c r="BQ191" s="20">
        <f>IF(VLOOKUP($R191,武学奇术!$A:$ZZ,22,FALSE)=1,0,(1-$BJ191))*(1-$BM191)</f>
        <v>0.09580389</v>
      </c>
      <c r="BR191" s="20" cm="1">
        <f t="array" ref="BR191">SUM(_xlfn.XLOOKUP(S191:AG191,增益!$A:$A,增益!$W:$W,0))+$I$5</f>
        <v>0.11</v>
      </c>
    </row>
    <row r="192" spans="11:70">
      <c r="K192" s="27">
        <f>$L192*VLOOKUP($R192,武学奇术!$A:$ZZ,31,FALSE)</f>
        <v>5666.37364477925</v>
      </c>
      <c r="L192" s="27">
        <f t="shared" si="73"/>
        <v>9443.95607463208</v>
      </c>
      <c r="M192" s="27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7780.68574945755</v>
      </c>
      <c r="N192" s="27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14267.201651122</v>
      </c>
      <c r="O192" s="27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5187.1238329717</v>
      </c>
      <c r="P192" s="27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2322.77946553597</v>
      </c>
      <c r="Q192" s="35">
        <v>1</v>
      </c>
      <c r="R192" s="36" t="s">
        <v>165</v>
      </c>
      <c r="S192" s="36" t="s">
        <v>71</v>
      </c>
      <c r="T192" s="36" t="s">
        <v>99</v>
      </c>
      <c r="U192" s="36" t="s">
        <v>100</v>
      </c>
      <c r="V192" s="36" t="s">
        <v>71</v>
      </c>
      <c r="W192" s="36" t="s">
        <v>111</v>
      </c>
      <c r="X192" s="36" t="s">
        <v>71</v>
      </c>
      <c r="Y192" s="36" t="s">
        <v>71</v>
      </c>
      <c r="Z192" s="36" t="s">
        <v>82</v>
      </c>
      <c r="AA192" s="36" t="s">
        <v>71</v>
      </c>
      <c r="AB192" s="36" t="s">
        <v>71</v>
      </c>
      <c r="AC192" s="36" t="s">
        <v>71</v>
      </c>
      <c r="AD192" s="36" t="s">
        <v>72</v>
      </c>
      <c r="AE192" s="36" t="s">
        <v>94</v>
      </c>
      <c r="AF192" s="36" t="s">
        <v>150</v>
      </c>
      <c r="AG192" s="36" t="s">
        <v>120</v>
      </c>
      <c r="AH192" t="str">
        <f>VLOOKUP($R192,武学奇术!$A:$ZZ,25,FALSE)</f>
        <v>剑</v>
      </c>
      <c r="AI192" s="20">
        <f>VLOOKUP($R192,武学奇术!$A:$ZZ,26,FALSE)</f>
        <v>0.20592</v>
      </c>
      <c r="AJ192" s="21">
        <f>VLOOKUP($R192,武学奇术!$A:$ZZ,27,FALSE)*(1+IF(OR($AH192=$F$4,$AH192=$F$5),$B$22,0))</f>
        <v>0</v>
      </c>
      <c r="AK192" s="20">
        <f>VLOOKUP($R192,武学奇术!$A:$ZZ,28,FALSE)</f>
        <v>0.30888</v>
      </c>
      <c r="AL192" s="21">
        <f>VLOOKUP($R192,武学奇术!$A:$ZZ,29,FALSE)*(1+IF(OR($AH192=$F$4,$AH192=$F$5),$B$22,0))</f>
        <v>0</v>
      </c>
      <c r="AM192" s="20" cm="1">
        <f t="array" ref="AM192">$G$3+IFERROR(VLOOKUP($AH192,$F$4:$G$7,2,FALSE),0)+VLOOKUP($R192,武学奇术!$A:$ZZ,2,FALSE)+SUM(_xlfn.XLOOKUP($S192:$AG192,增益!$A:$A,增益!$B:$B,0))</f>
        <v>1.3191</v>
      </c>
      <c r="AN192" s="20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1585.72</v>
      </c>
      <c r="AP192" cm="1">
        <f t="array" ref="AP192">$E$10*(1+$AN192)+VLOOKUP($R192,武学奇术!$A:$ZZ,4,FALSE)+SUM(_xlfn.XLOOKUP($S192:$AG192,增益!$A:$A,增益!$D:$D,0))-$I$2</f>
        <v>6696.76</v>
      </c>
      <c r="AQ192" s="29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0.4175</v>
      </c>
      <c r="AR192" s="29" cm="1">
        <f t="array" ref="AR192">$G$10+VLOOKUP($R192,武学奇术!$A:$ZZ,7,FALSE)+SUM(_xlfn.XLOOKUP(S192:AG192,增益!$A:$A,增益!$G:$G,0))</f>
        <v>0</v>
      </c>
      <c r="AS192" s="20" cm="1">
        <f t="array" ref="AS192">VLOOKUP($R192,武学奇术!$A:$ZZ,8,FALSE)+SUM(_xlfn.XLOOKUP(S192:AG192,增益!$A:$A,增益!$H:$H,0))</f>
        <v>0</v>
      </c>
      <c r="AT192">
        <f t="shared" si="84"/>
        <v>538</v>
      </c>
      <c r="AU192">
        <f t="shared" si="85"/>
        <v>1011</v>
      </c>
      <c r="AV192" s="29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0.155</v>
      </c>
      <c r="AW192" s="29" cm="1">
        <f t="array" ref="AW192">$G$11+VLOOKUP($R192,武学奇术!$A:$ZZ,10,FALSE)+SUM(_xlfn.XLOOKUP(S192:AG192,增益!$A:$A,增益!$J:$J,0))</f>
        <v>0.15</v>
      </c>
      <c r="AX192">
        <f t="shared" si="86"/>
        <v>0</v>
      </c>
      <c r="AY192">
        <f t="shared" si="87"/>
        <v>0</v>
      </c>
      <c r="AZ192" s="29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-0.14</v>
      </c>
      <c r="BA192" s="29" cm="1">
        <f t="array" ref="BA192">$G$12+VLOOKUP($R192,武学奇术!$A:$ZZ,12,FALSE)+SUM(_xlfn.XLOOKUP(S192:AG192,增益!$A:$A,增益!$L:$L,0))</f>
        <v>0</v>
      </c>
      <c r="BB192">
        <f t="shared" si="88"/>
        <v>0</v>
      </c>
      <c r="BC192">
        <f t="shared" si="89"/>
        <v>0</v>
      </c>
      <c r="BD192" s="29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-0.14</v>
      </c>
      <c r="BE192" s="29" cm="1">
        <f t="array" ref="BE192">$G$13+VLOOKUP($R192,武学奇术!$A:$ZZ,14,FALSE)+SUM(_xlfn.XLOOKUP(S192:AG192,增益!$A:$A,增益!$N:$N,0))</f>
        <v>0</v>
      </c>
      <c r="BF192">
        <f t="shared" si="90"/>
        <v>0</v>
      </c>
      <c r="BG192">
        <f t="shared" si="91"/>
        <v>0</v>
      </c>
      <c r="BH192" s="29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-0.14</v>
      </c>
      <c r="BI192" s="29" cm="1">
        <f t="array" ref="BI192">$G$14+VLOOKUP($R192,武学奇术!$A:$ZZ,16,FALSE)+SUM(_xlfn.XLOOKUP(S192:AG192,增益!$A:$A,增益!$P:$P,0))</f>
        <v>0</v>
      </c>
      <c r="BJ192" s="20">
        <f>MIN(IF(VLOOKUP($R192,武学奇术!$A:$ZZ,23,FALSE)=1,100%,$B$8),100%)</f>
        <v>0.8271</v>
      </c>
      <c r="BK192" s="20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0.2249</v>
      </c>
      <c r="BL192" s="20" cm="1">
        <f t="array" ref="BL192">1+$B$13+VLOOKUP($R192,武学奇术!$A:$ZZ,18,FALSE)+SUM(_xlfn.XLOOKUP(S192:AG192,增益!$A:$A,增益!$R:$R,0))</f>
        <v>1.5</v>
      </c>
      <c r="BM192" s="20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0.4459</v>
      </c>
      <c r="BN192" s="20" cm="1">
        <f t="array" ref="BN192">1+$B$14+VLOOKUP($R192,武学奇术!$A:$ZZ,20,FALSE)+SUM(_xlfn.XLOOKUP(S192:AG192,增益!$A:$A,增益!$T:$T,0))</f>
        <v>1.772</v>
      </c>
      <c r="BO192" s="20">
        <f t="shared" si="92"/>
        <v>0.18601479</v>
      </c>
      <c r="BP192" s="20">
        <f t="shared" si="93"/>
        <v>0.27228132</v>
      </c>
      <c r="BQ192" s="20">
        <f>IF(VLOOKUP($R192,武学奇术!$A:$ZZ,22,FALSE)=1,0,(1-$BJ192))*(1-$BM192)</f>
        <v>0.09580389</v>
      </c>
      <c r="BR192" s="20" cm="1">
        <f t="array" ref="BR192">SUM(_xlfn.XLOOKUP(S192:AG192,增益!$A:$A,增益!$W:$W,0))+$I$5</f>
        <v>0.11</v>
      </c>
    </row>
    <row r="193" spans="11:70">
      <c r="K193" s="27">
        <f>$L193*VLOOKUP($R193,武学奇术!$A:$ZZ,31,FALSE)</f>
        <v>5687.91454280262</v>
      </c>
      <c r="L193" s="27">
        <f t="shared" si="73"/>
        <v>9479.8575713377</v>
      </c>
      <c r="M193" s="27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7780.68574945755</v>
      </c>
      <c r="N193" s="27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14347.716333126</v>
      </c>
      <c r="O193" s="27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5187.1238329717</v>
      </c>
      <c r="P193" s="27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2322.77946553597</v>
      </c>
      <c r="Q193" s="35">
        <v>1</v>
      </c>
      <c r="R193" s="36" t="s">
        <v>165</v>
      </c>
      <c r="S193" s="36" t="s">
        <v>71</v>
      </c>
      <c r="T193" s="36" t="s">
        <v>99</v>
      </c>
      <c r="U193" s="36" t="s">
        <v>100</v>
      </c>
      <c r="V193" s="36" t="s">
        <v>71</v>
      </c>
      <c r="W193" s="36" t="s">
        <v>111</v>
      </c>
      <c r="X193" s="36" t="s">
        <v>71</v>
      </c>
      <c r="Y193" s="36" t="s">
        <v>71</v>
      </c>
      <c r="Z193" s="36" t="s">
        <v>82</v>
      </c>
      <c r="AA193" s="36" t="s">
        <v>71</v>
      </c>
      <c r="AB193" s="36" t="s">
        <v>71</v>
      </c>
      <c r="AC193" s="36" t="s">
        <v>71</v>
      </c>
      <c r="AD193" s="36" t="s">
        <v>72</v>
      </c>
      <c r="AE193" s="36" t="s">
        <v>94</v>
      </c>
      <c r="AF193" s="36" t="s">
        <v>154</v>
      </c>
      <c r="AG193" s="36" t="s">
        <v>120</v>
      </c>
      <c r="AH193" t="str">
        <f>VLOOKUP($R193,武学奇术!$A:$ZZ,25,FALSE)</f>
        <v>剑</v>
      </c>
      <c r="AI193" s="20">
        <f>VLOOKUP($R193,武学奇术!$A:$ZZ,26,FALSE)</f>
        <v>0.20592</v>
      </c>
      <c r="AJ193" s="21">
        <f>VLOOKUP($R193,武学奇术!$A:$ZZ,27,FALSE)*(1+IF(OR($AH193=$F$4,$AH193=$F$5),$B$22,0))</f>
        <v>0</v>
      </c>
      <c r="AK193" s="20">
        <f>VLOOKUP($R193,武学奇术!$A:$ZZ,28,FALSE)</f>
        <v>0.30888</v>
      </c>
      <c r="AL193" s="21">
        <f>VLOOKUP($R193,武学奇术!$A:$ZZ,29,FALSE)*(1+IF(OR($AH193=$F$4,$AH193=$F$5),$B$22,0))</f>
        <v>0</v>
      </c>
      <c r="AM193" s="20" cm="1">
        <f t="array" ref="AM193">$G$3+IFERROR(VLOOKUP($AH193,$F$4:$G$7,2,FALSE),0)+VLOOKUP($R193,武学奇术!$A:$ZZ,2,FALSE)+SUM(_xlfn.XLOOKUP($S193:$AG193,增益!$A:$A,增益!$B:$B,0))</f>
        <v>1.3191</v>
      </c>
      <c r="AN193" s="20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1585.72</v>
      </c>
      <c r="AP193" cm="1">
        <f t="array" ref="AP193">$E$10*(1+$AN193)+VLOOKUP($R193,武学奇术!$A:$ZZ,4,FALSE)+SUM(_xlfn.XLOOKUP($S193:$AG193,增益!$A:$A,增益!$D:$D,0))-$I$2</f>
        <v>6696.76</v>
      </c>
      <c r="AQ193" s="29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0.4175</v>
      </c>
      <c r="AR193" s="29" cm="1">
        <f t="array" ref="AR193">$G$10+VLOOKUP($R193,武学奇术!$A:$ZZ,7,FALSE)+SUM(_xlfn.XLOOKUP(S193:AG193,增益!$A:$A,增益!$G:$G,0))</f>
        <v>0</v>
      </c>
      <c r="AS193" s="20" cm="1">
        <f t="array" ref="AS193">VLOOKUP($R193,武学奇术!$A:$ZZ,8,FALSE)+SUM(_xlfn.XLOOKUP(S193:AG193,增益!$A:$A,增益!$H:$H,0))</f>
        <v>0</v>
      </c>
      <c r="AT193">
        <f t="shared" si="84"/>
        <v>538</v>
      </c>
      <c r="AU193">
        <f t="shared" si="85"/>
        <v>1011</v>
      </c>
      <c r="AV193" s="29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0.155</v>
      </c>
      <c r="AW193" s="29" cm="1">
        <f t="array" ref="AW193">$G$11+VLOOKUP($R193,武学奇术!$A:$ZZ,10,FALSE)+SUM(_xlfn.XLOOKUP(S193:AG193,增益!$A:$A,增益!$J:$J,0))</f>
        <v>0.15</v>
      </c>
      <c r="AX193">
        <f t="shared" si="86"/>
        <v>0</v>
      </c>
      <c r="AY193">
        <f t="shared" si="87"/>
        <v>0</v>
      </c>
      <c r="AZ193" s="29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-0.14</v>
      </c>
      <c r="BA193" s="29" cm="1">
        <f t="array" ref="BA193">$G$12+VLOOKUP($R193,武学奇术!$A:$ZZ,12,FALSE)+SUM(_xlfn.XLOOKUP(S193:AG193,增益!$A:$A,增益!$L:$L,0))</f>
        <v>0</v>
      </c>
      <c r="BB193">
        <f t="shared" si="88"/>
        <v>0</v>
      </c>
      <c r="BC193">
        <f t="shared" si="89"/>
        <v>0</v>
      </c>
      <c r="BD193" s="29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-0.14</v>
      </c>
      <c r="BE193" s="29" cm="1">
        <f t="array" ref="BE193">$G$13+VLOOKUP($R193,武学奇术!$A:$ZZ,14,FALSE)+SUM(_xlfn.XLOOKUP(S193:AG193,增益!$A:$A,增益!$N:$N,0))</f>
        <v>0</v>
      </c>
      <c r="BF193">
        <f t="shared" si="90"/>
        <v>0</v>
      </c>
      <c r="BG193">
        <f t="shared" si="91"/>
        <v>0</v>
      </c>
      <c r="BH193" s="29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-0.14</v>
      </c>
      <c r="BI193" s="29" cm="1">
        <f t="array" ref="BI193">$G$14+VLOOKUP($R193,武学奇术!$A:$ZZ,16,FALSE)+SUM(_xlfn.XLOOKUP(S193:AG193,增益!$A:$A,增益!$P:$P,0))</f>
        <v>0</v>
      </c>
      <c r="BJ193" s="20">
        <f>MIN(IF(VLOOKUP($R193,武学奇术!$A:$ZZ,23,FALSE)=1,100%,$B$8),100%)</f>
        <v>0.8271</v>
      </c>
      <c r="BK193" s="20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0.2249</v>
      </c>
      <c r="BL193" s="20" cm="1">
        <f t="array" ref="BL193">1+$B$13+VLOOKUP($R193,武学奇术!$A:$ZZ,18,FALSE)+SUM(_xlfn.XLOOKUP(S193:AG193,增益!$A:$A,增益!$R:$R,0))</f>
        <v>1.5</v>
      </c>
      <c r="BM193" s="20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0.4459</v>
      </c>
      <c r="BN193" s="20" cm="1">
        <f t="array" ref="BN193">1+$B$14+VLOOKUP($R193,武学奇术!$A:$ZZ,20,FALSE)+SUM(_xlfn.XLOOKUP(S193:AG193,增益!$A:$A,增益!$T:$T,0))</f>
        <v>1.782</v>
      </c>
      <c r="BO193" s="20">
        <f t="shared" si="92"/>
        <v>0.18601479</v>
      </c>
      <c r="BP193" s="20">
        <f t="shared" si="93"/>
        <v>0.27228132</v>
      </c>
      <c r="BQ193" s="20">
        <f>IF(VLOOKUP($R193,武学奇术!$A:$ZZ,22,FALSE)=1,0,(1-$BJ193))*(1-$BM193)</f>
        <v>0.09580389</v>
      </c>
      <c r="BR193" s="20" cm="1">
        <f t="array" ref="BR193">SUM(_xlfn.XLOOKUP(S193:AG193,增益!$A:$A,增益!$W:$W,0))+$I$5</f>
        <v>0.11</v>
      </c>
    </row>
    <row r="194" spans="11:70">
      <c r="K194" s="27">
        <f>$L194*VLOOKUP($R194,武学奇术!$A:$ZZ,31,FALSE)</f>
        <v>5687.91454280262</v>
      </c>
      <c r="L194" s="27">
        <f t="shared" si="73"/>
        <v>9479.8575713377</v>
      </c>
      <c r="M194" s="27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7780.68574945755</v>
      </c>
      <c r="N194" s="27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14347.716333126</v>
      </c>
      <c r="O194" s="27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5187.1238329717</v>
      </c>
      <c r="P194" s="27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2322.77946553597</v>
      </c>
      <c r="Q194" s="35">
        <v>1</v>
      </c>
      <c r="R194" s="36" t="s">
        <v>165</v>
      </c>
      <c r="S194" s="36" t="s">
        <v>71</v>
      </c>
      <c r="T194" s="36" t="s">
        <v>99</v>
      </c>
      <c r="U194" s="36" t="s">
        <v>100</v>
      </c>
      <c r="V194" s="36" t="s">
        <v>71</v>
      </c>
      <c r="W194" s="36" t="s">
        <v>111</v>
      </c>
      <c r="X194" s="36" t="s">
        <v>71</v>
      </c>
      <c r="Y194" s="36" t="s">
        <v>71</v>
      </c>
      <c r="Z194" s="36" t="s">
        <v>82</v>
      </c>
      <c r="AA194" s="36" t="s">
        <v>71</v>
      </c>
      <c r="AB194" s="36" t="s">
        <v>71</v>
      </c>
      <c r="AC194" s="36" t="s">
        <v>71</v>
      </c>
      <c r="AD194" s="36" t="s">
        <v>72</v>
      </c>
      <c r="AE194" s="36" t="s">
        <v>94</v>
      </c>
      <c r="AF194" s="36" t="s">
        <v>154</v>
      </c>
      <c r="AG194" s="36" t="s">
        <v>120</v>
      </c>
      <c r="AH194" t="str">
        <f>VLOOKUP($R194,武学奇术!$A:$ZZ,25,FALSE)</f>
        <v>剑</v>
      </c>
      <c r="AI194" s="20">
        <f>VLOOKUP($R194,武学奇术!$A:$ZZ,26,FALSE)</f>
        <v>0.20592</v>
      </c>
      <c r="AJ194" s="21">
        <f>VLOOKUP($R194,武学奇术!$A:$ZZ,27,FALSE)*(1+IF(OR($AH194=$F$4,$AH194=$F$5),$B$22,0))</f>
        <v>0</v>
      </c>
      <c r="AK194" s="20">
        <f>VLOOKUP($R194,武学奇术!$A:$ZZ,28,FALSE)</f>
        <v>0.30888</v>
      </c>
      <c r="AL194" s="21">
        <f>VLOOKUP($R194,武学奇术!$A:$ZZ,29,FALSE)*(1+IF(OR($AH194=$F$4,$AH194=$F$5),$B$22,0))</f>
        <v>0</v>
      </c>
      <c r="AM194" s="20" cm="1">
        <f t="array" ref="AM194">$G$3+IFERROR(VLOOKUP($AH194,$F$4:$G$7,2,FALSE),0)+VLOOKUP($R194,武学奇术!$A:$ZZ,2,FALSE)+SUM(_xlfn.XLOOKUP($S194:$AG194,增益!$A:$A,增益!$B:$B,0))</f>
        <v>1.3191</v>
      </c>
      <c r="AN194" s="20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1585.72</v>
      </c>
      <c r="AP194" cm="1">
        <f t="array" ref="AP194">$E$10*(1+$AN194)+VLOOKUP($R194,武学奇术!$A:$ZZ,4,FALSE)+SUM(_xlfn.XLOOKUP($S194:$AG194,增益!$A:$A,增益!$D:$D,0))-$I$2</f>
        <v>6696.76</v>
      </c>
      <c r="AQ194" s="29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0.4175</v>
      </c>
      <c r="AR194" s="29" cm="1">
        <f t="array" ref="AR194">$G$10+VLOOKUP($R194,武学奇术!$A:$ZZ,7,FALSE)+SUM(_xlfn.XLOOKUP(S194:AG194,增益!$A:$A,增益!$G:$G,0))</f>
        <v>0</v>
      </c>
      <c r="AS194" s="20" cm="1">
        <f t="array" ref="AS194">VLOOKUP($R194,武学奇术!$A:$ZZ,8,FALSE)+SUM(_xlfn.XLOOKUP(S194:AG194,增益!$A:$A,增益!$H:$H,0))</f>
        <v>0</v>
      </c>
      <c r="AT194">
        <f t="shared" si="84"/>
        <v>538</v>
      </c>
      <c r="AU194">
        <f t="shared" si="85"/>
        <v>1011</v>
      </c>
      <c r="AV194" s="29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0.155</v>
      </c>
      <c r="AW194" s="29" cm="1">
        <f t="array" ref="AW194">$G$11+VLOOKUP($R194,武学奇术!$A:$ZZ,10,FALSE)+SUM(_xlfn.XLOOKUP(S194:AG194,增益!$A:$A,增益!$J:$J,0))</f>
        <v>0.15</v>
      </c>
      <c r="AX194">
        <f t="shared" si="86"/>
        <v>0</v>
      </c>
      <c r="AY194">
        <f t="shared" si="87"/>
        <v>0</v>
      </c>
      <c r="AZ194" s="29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-0.14</v>
      </c>
      <c r="BA194" s="29" cm="1">
        <f t="array" ref="BA194">$G$12+VLOOKUP($R194,武学奇术!$A:$ZZ,12,FALSE)+SUM(_xlfn.XLOOKUP(S194:AG194,增益!$A:$A,增益!$L:$L,0))</f>
        <v>0</v>
      </c>
      <c r="BB194">
        <f t="shared" si="88"/>
        <v>0</v>
      </c>
      <c r="BC194">
        <f t="shared" si="89"/>
        <v>0</v>
      </c>
      <c r="BD194" s="29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-0.14</v>
      </c>
      <c r="BE194" s="29" cm="1">
        <f t="array" ref="BE194">$G$13+VLOOKUP($R194,武学奇术!$A:$ZZ,14,FALSE)+SUM(_xlfn.XLOOKUP(S194:AG194,增益!$A:$A,增益!$N:$N,0))</f>
        <v>0</v>
      </c>
      <c r="BF194">
        <f t="shared" si="90"/>
        <v>0</v>
      </c>
      <c r="BG194">
        <f t="shared" si="91"/>
        <v>0</v>
      </c>
      <c r="BH194" s="29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-0.14</v>
      </c>
      <c r="BI194" s="29" cm="1">
        <f t="array" ref="BI194">$G$14+VLOOKUP($R194,武学奇术!$A:$ZZ,16,FALSE)+SUM(_xlfn.XLOOKUP(S194:AG194,增益!$A:$A,增益!$P:$P,0))</f>
        <v>0</v>
      </c>
      <c r="BJ194" s="20">
        <f>MIN(IF(VLOOKUP($R194,武学奇术!$A:$ZZ,23,FALSE)=1,100%,$B$8),100%)</f>
        <v>0.8271</v>
      </c>
      <c r="BK194" s="20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0.2249</v>
      </c>
      <c r="BL194" s="20" cm="1">
        <f t="array" ref="BL194">1+$B$13+VLOOKUP($R194,武学奇术!$A:$ZZ,18,FALSE)+SUM(_xlfn.XLOOKUP(S194:AG194,增益!$A:$A,增益!$R:$R,0))</f>
        <v>1.5</v>
      </c>
      <c r="BM194" s="20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0.4459</v>
      </c>
      <c r="BN194" s="20" cm="1">
        <f t="array" ref="BN194">1+$B$14+VLOOKUP($R194,武学奇术!$A:$ZZ,20,FALSE)+SUM(_xlfn.XLOOKUP(S194:AG194,增益!$A:$A,增益!$T:$T,0))</f>
        <v>1.782</v>
      </c>
      <c r="BO194" s="20">
        <f t="shared" si="92"/>
        <v>0.18601479</v>
      </c>
      <c r="BP194" s="20">
        <f t="shared" si="93"/>
        <v>0.27228132</v>
      </c>
      <c r="BQ194" s="20">
        <f>IF(VLOOKUP($R194,武学奇术!$A:$ZZ,22,FALSE)=1,0,(1-$BJ194))*(1-$BM194)</f>
        <v>0.09580389</v>
      </c>
      <c r="BR194" s="20" cm="1">
        <f t="array" ref="BR194">SUM(_xlfn.XLOOKUP(S194:AG194,增益!$A:$A,增益!$W:$W,0))+$I$5</f>
        <v>0.11</v>
      </c>
    </row>
    <row r="195" spans="11:70">
      <c r="K195" s="27">
        <f>$L195*VLOOKUP($R195,武学奇术!$A:$ZZ,31,FALSE)</f>
        <v>5687.91454280262</v>
      </c>
      <c r="L195" s="27">
        <f t="shared" si="73"/>
        <v>9479.8575713377</v>
      </c>
      <c r="M195" s="27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7780.68574945755</v>
      </c>
      <c r="N195" s="27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14347.716333126</v>
      </c>
      <c r="O195" s="27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5187.1238329717</v>
      </c>
      <c r="P195" s="27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2322.77946553597</v>
      </c>
      <c r="Q195" s="35">
        <v>1</v>
      </c>
      <c r="R195" s="36" t="s">
        <v>165</v>
      </c>
      <c r="S195" s="36" t="s">
        <v>71</v>
      </c>
      <c r="T195" s="36" t="s">
        <v>99</v>
      </c>
      <c r="U195" s="36" t="s">
        <v>100</v>
      </c>
      <c r="V195" s="36" t="s">
        <v>71</v>
      </c>
      <c r="W195" s="36" t="s">
        <v>111</v>
      </c>
      <c r="X195" s="36" t="s">
        <v>71</v>
      </c>
      <c r="Y195" s="36" t="s">
        <v>71</v>
      </c>
      <c r="Z195" s="36" t="s">
        <v>82</v>
      </c>
      <c r="AA195" s="36" t="s">
        <v>71</v>
      </c>
      <c r="AB195" s="36" t="s">
        <v>71</v>
      </c>
      <c r="AC195" s="36" t="s">
        <v>71</v>
      </c>
      <c r="AD195" s="36" t="s">
        <v>72</v>
      </c>
      <c r="AE195" s="36" t="s">
        <v>94</v>
      </c>
      <c r="AF195" s="36" t="s">
        <v>154</v>
      </c>
      <c r="AG195" s="36" t="s">
        <v>120</v>
      </c>
      <c r="AH195" t="str">
        <f>VLOOKUP($R195,武学奇术!$A:$ZZ,25,FALSE)</f>
        <v>剑</v>
      </c>
      <c r="AI195" s="20">
        <f>VLOOKUP($R195,武学奇术!$A:$ZZ,26,FALSE)</f>
        <v>0.20592</v>
      </c>
      <c r="AJ195" s="21">
        <f>VLOOKUP($R195,武学奇术!$A:$ZZ,27,FALSE)*(1+IF(OR($AH195=$F$4,$AH195=$F$5),$B$22,0))</f>
        <v>0</v>
      </c>
      <c r="AK195" s="20">
        <f>VLOOKUP($R195,武学奇术!$A:$ZZ,28,FALSE)</f>
        <v>0.30888</v>
      </c>
      <c r="AL195" s="21">
        <f>VLOOKUP($R195,武学奇术!$A:$ZZ,29,FALSE)*(1+IF(OR($AH195=$F$4,$AH195=$F$5),$B$22,0))</f>
        <v>0</v>
      </c>
      <c r="AM195" s="20" cm="1">
        <f t="array" ref="AM195">$G$3+IFERROR(VLOOKUP($AH195,$F$4:$G$7,2,FALSE),0)+VLOOKUP($R195,武学奇术!$A:$ZZ,2,FALSE)+SUM(_xlfn.XLOOKUP($S195:$AG195,增益!$A:$A,增益!$B:$B,0))</f>
        <v>1.3191</v>
      </c>
      <c r="AN195" s="20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1585.72</v>
      </c>
      <c r="AP195" cm="1">
        <f t="array" ref="AP195">$E$10*(1+$AN195)+VLOOKUP($R195,武学奇术!$A:$ZZ,4,FALSE)+SUM(_xlfn.XLOOKUP($S195:$AG195,增益!$A:$A,增益!$D:$D,0))-$I$2</f>
        <v>6696.76</v>
      </c>
      <c r="AQ195" s="29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0.4175</v>
      </c>
      <c r="AR195" s="29" cm="1">
        <f t="array" ref="AR195">$G$10+VLOOKUP($R195,武学奇术!$A:$ZZ,7,FALSE)+SUM(_xlfn.XLOOKUP(S195:AG195,增益!$A:$A,增益!$G:$G,0))</f>
        <v>0</v>
      </c>
      <c r="AS195" s="20" cm="1">
        <f t="array" ref="AS195">VLOOKUP($R195,武学奇术!$A:$ZZ,8,FALSE)+SUM(_xlfn.XLOOKUP(S195:AG195,增益!$A:$A,增益!$H:$H,0))</f>
        <v>0</v>
      </c>
      <c r="AT195">
        <f t="shared" si="84"/>
        <v>538</v>
      </c>
      <c r="AU195">
        <f t="shared" si="85"/>
        <v>1011</v>
      </c>
      <c r="AV195" s="29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0.155</v>
      </c>
      <c r="AW195" s="29" cm="1">
        <f t="array" ref="AW195">$G$11+VLOOKUP($R195,武学奇术!$A:$ZZ,10,FALSE)+SUM(_xlfn.XLOOKUP(S195:AG195,增益!$A:$A,增益!$J:$J,0))</f>
        <v>0.15</v>
      </c>
      <c r="AX195">
        <f t="shared" si="86"/>
        <v>0</v>
      </c>
      <c r="AY195">
        <f t="shared" si="87"/>
        <v>0</v>
      </c>
      <c r="AZ195" s="29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-0.14</v>
      </c>
      <c r="BA195" s="29" cm="1">
        <f t="array" ref="BA195">$G$12+VLOOKUP($R195,武学奇术!$A:$ZZ,12,FALSE)+SUM(_xlfn.XLOOKUP(S195:AG195,增益!$A:$A,增益!$L:$L,0))</f>
        <v>0</v>
      </c>
      <c r="BB195">
        <f t="shared" si="88"/>
        <v>0</v>
      </c>
      <c r="BC195">
        <f t="shared" si="89"/>
        <v>0</v>
      </c>
      <c r="BD195" s="29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-0.14</v>
      </c>
      <c r="BE195" s="29" cm="1">
        <f t="array" ref="BE195">$G$13+VLOOKUP($R195,武学奇术!$A:$ZZ,14,FALSE)+SUM(_xlfn.XLOOKUP(S195:AG195,增益!$A:$A,增益!$N:$N,0))</f>
        <v>0</v>
      </c>
      <c r="BF195">
        <f t="shared" si="90"/>
        <v>0</v>
      </c>
      <c r="BG195">
        <f t="shared" si="91"/>
        <v>0</v>
      </c>
      <c r="BH195" s="29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-0.14</v>
      </c>
      <c r="BI195" s="29" cm="1">
        <f t="array" ref="BI195">$G$14+VLOOKUP($R195,武学奇术!$A:$ZZ,16,FALSE)+SUM(_xlfn.XLOOKUP(S195:AG195,增益!$A:$A,增益!$P:$P,0))</f>
        <v>0</v>
      </c>
      <c r="BJ195" s="20">
        <f>MIN(IF(VLOOKUP($R195,武学奇术!$A:$ZZ,23,FALSE)=1,100%,$B$8),100%)</f>
        <v>0.8271</v>
      </c>
      <c r="BK195" s="20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0.2249</v>
      </c>
      <c r="BL195" s="20" cm="1">
        <f t="array" ref="BL195">1+$B$13+VLOOKUP($R195,武学奇术!$A:$ZZ,18,FALSE)+SUM(_xlfn.XLOOKUP(S195:AG195,增益!$A:$A,增益!$R:$R,0))</f>
        <v>1.5</v>
      </c>
      <c r="BM195" s="20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0.4459</v>
      </c>
      <c r="BN195" s="20" cm="1">
        <f t="array" ref="BN195">1+$B$14+VLOOKUP($R195,武学奇术!$A:$ZZ,20,FALSE)+SUM(_xlfn.XLOOKUP(S195:AG195,增益!$A:$A,增益!$T:$T,0))</f>
        <v>1.782</v>
      </c>
      <c r="BO195" s="20">
        <f t="shared" si="92"/>
        <v>0.18601479</v>
      </c>
      <c r="BP195" s="20">
        <f t="shared" si="93"/>
        <v>0.27228132</v>
      </c>
      <c r="BQ195" s="20">
        <f>IF(VLOOKUP($R195,武学奇术!$A:$ZZ,22,FALSE)=1,0,(1-$BJ195))*(1-$BM195)</f>
        <v>0.09580389</v>
      </c>
      <c r="BR195" s="20" cm="1">
        <f t="array" ref="BR195">SUM(_xlfn.XLOOKUP(S195:AG195,增益!$A:$A,增益!$W:$W,0))+$I$5</f>
        <v>0.11</v>
      </c>
    </row>
    <row r="196" spans="11:70">
      <c r="K196" s="27">
        <f>$L196*VLOOKUP($R196,武学奇术!$A:$ZZ,31,FALSE)</f>
        <v>6822.7984892124</v>
      </c>
      <c r="L196" s="27">
        <f t="shared" si="73"/>
        <v>11371.330815354</v>
      </c>
      <c r="M196" s="27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9348.8180508238</v>
      </c>
      <c r="N196" s="27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17190.6384631324</v>
      </c>
      <c r="O196" s="27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6232.54536721587</v>
      </c>
      <c r="P196" s="27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2818.26780338102</v>
      </c>
      <c r="Q196" s="35">
        <v>1</v>
      </c>
      <c r="R196" s="36" t="s">
        <v>165</v>
      </c>
      <c r="S196" s="36" t="s">
        <v>152</v>
      </c>
      <c r="T196" s="36" t="s">
        <v>99</v>
      </c>
      <c r="U196" s="36" t="s">
        <v>100</v>
      </c>
      <c r="V196" s="36" t="s">
        <v>71</v>
      </c>
      <c r="W196" s="36" t="s">
        <v>111</v>
      </c>
      <c r="X196" s="36" t="s">
        <v>71</v>
      </c>
      <c r="Y196" s="36" t="s">
        <v>153</v>
      </c>
      <c r="Z196" s="36" t="s">
        <v>82</v>
      </c>
      <c r="AA196" s="36" t="s">
        <v>71</v>
      </c>
      <c r="AB196" s="36" t="s">
        <v>71</v>
      </c>
      <c r="AC196" s="36" t="s">
        <v>71</v>
      </c>
      <c r="AD196" s="36" t="s">
        <v>72</v>
      </c>
      <c r="AE196" s="36" t="s">
        <v>94</v>
      </c>
      <c r="AF196" s="36" t="s">
        <v>154</v>
      </c>
      <c r="AG196" s="36" t="s">
        <v>120</v>
      </c>
      <c r="AH196" t="str">
        <f>VLOOKUP($R196,武学奇术!$A:$ZZ,25,FALSE)</f>
        <v>剑</v>
      </c>
      <c r="AI196" s="20">
        <f>VLOOKUP($R196,武学奇术!$A:$ZZ,26,FALSE)</f>
        <v>0.20592</v>
      </c>
      <c r="AJ196" s="21">
        <f>VLOOKUP($R196,武学奇术!$A:$ZZ,27,FALSE)*(1+IF(OR($AH196=$F$4,$AH196=$F$5),$B$22,0))</f>
        <v>0</v>
      </c>
      <c r="AK196" s="20">
        <f>VLOOKUP($R196,武学奇术!$A:$ZZ,28,FALSE)</f>
        <v>0.30888</v>
      </c>
      <c r="AL196" s="21">
        <f>VLOOKUP($R196,武学奇术!$A:$ZZ,29,FALSE)*(1+IF(OR($AH196=$F$4,$AH196=$F$5),$B$22,0))</f>
        <v>0</v>
      </c>
      <c r="AM196" s="20" cm="1">
        <f t="array" ref="AM196">$G$3+IFERROR(VLOOKUP($AH196,$F$4:$G$7,2,FALSE),0)+VLOOKUP($R196,武学奇术!$A:$ZZ,2,FALSE)+SUM(_xlfn.XLOOKUP($S196:$AG196,增益!$A:$A,增益!$B:$B,0))</f>
        <v>1.3191</v>
      </c>
      <c r="AN196" s="20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1585.72</v>
      </c>
      <c r="AP196" cm="1">
        <f t="array" ref="AP196">$E$10*(1+$AN196)+VLOOKUP($R196,武学奇术!$A:$ZZ,4,FALSE)+SUM(_xlfn.XLOOKUP($S196:$AG196,增益!$A:$A,增益!$D:$D,0))-$I$2</f>
        <v>6696.76</v>
      </c>
      <c r="AQ196" s="29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0.4175</v>
      </c>
      <c r="AR196" s="29" cm="1">
        <f t="array" ref="AR196">$G$10+VLOOKUP($R196,武学奇术!$A:$ZZ,7,FALSE)+SUM(_xlfn.XLOOKUP(S196:AG196,增益!$A:$A,增益!$G:$G,0))</f>
        <v>0</v>
      </c>
      <c r="AS196" s="20" cm="1">
        <f t="array" ref="AS196">VLOOKUP($R196,武学奇术!$A:$ZZ,8,FALSE)+SUM(_xlfn.XLOOKUP(S196:AG196,增益!$A:$A,增益!$H:$H,0))</f>
        <v>0</v>
      </c>
      <c r="AT196">
        <f t="shared" si="84"/>
        <v>538</v>
      </c>
      <c r="AU196">
        <f t="shared" si="85"/>
        <v>1011</v>
      </c>
      <c r="AV196" s="29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0.155</v>
      </c>
      <c r="AW196" s="29" cm="1">
        <f t="array" ref="AW196">$G$11+VLOOKUP($R196,武学奇术!$A:$ZZ,10,FALSE)+SUM(_xlfn.XLOOKUP(S196:AG196,增益!$A:$A,增益!$J:$J,0))</f>
        <v>0.25</v>
      </c>
      <c r="AX196">
        <f t="shared" si="86"/>
        <v>0</v>
      </c>
      <c r="AY196">
        <f t="shared" si="87"/>
        <v>0</v>
      </c>
      <c r="AZ196" s="29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-0.14</v>
      </c>
      <c r="BA196" s="29" cm="1">
        <f t="array" ref="BA196">$G$12+VLOOKUP($R196,武学奇术!$A:$ZZ,12,FALSE)+SUM(_xlfn.XLOOKUP(S196:AG196,增益!$A:$A,增益!$L:$L,0))</f>
        <v>0</v>
      </c>
      <c r="BB196">
        <f t="shared" si="88"/>
        <v>0</v>
      </c>
      <c r="BC196">
        <f t="shared" si="89"/>
        <v>0</v>
      </c>
      <c r="BD196" s="29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-0.14</v>
      </c>
      <c r="BE196" s="29" cm="1">
        <f t="array" ref="BE196">$G$13+VLOOKUP($R196,武学奇术!$A:$ZZ,14,FALSE)+SUM(_xlfn.XLOOKUP(S196:AG196,增益!$A:$A,增益!$N:$N,0))</f>
        <v>0</v>
      </c>
      <c r="BF196">
        <f t="shared" si="90"/>
        <v>0</v>
      </c>
      <c r="BG196">
        <f t="shared" si="91"/>
        <v>0</v>
      </c>
      <c r="BH196" s="29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-0.14</v>
      </c>
      <c r="BI196" s="29" cm="1">
        <f t="array" ref="BI196">$G$14+VLOOKUP($R196,武学奇术!$A:$ZZ,16,FALSE)+SUM(_xlfn.XLOOKUP(S196:AG196,增益!$A:$A,增益!$P:$P,0))</f>
        <v>0</v>
      </c>
      <c r="BJ196" s="20">
        <f>MIN(IF(VLOOKUP($R196,武学奇术!$A:$ZZ,23,FALSE)=1,100%,$B$8),100%)</f>
        <v>0.8271</v>
      </c>
      <c r="BK196" s="20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0.2249</v>
      </c>
      <c r="BL196" s="20" cm="1">
        <f t="array" ref="BL196">1+$B$13+VLOOKUP($R196,武学奇术!$A:$ZZ,18,FALSE)+SUM(_xlfn.XLOOKUP(S196:AG196,增益!$A:$A,增益!$R:$R,0))</f>
        <v>1.5</v>
      </c>
      <c r="BM196" s="20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0.4459</v>
      </c>
      <c r="BN196" s="20" cm="1">
        <f t="array" ref="BN196">1+$B$14+VLOOKUP($R196,武学奇术!$A:$ZZ,20,FALSE)+SUM(_xlfn.XLOOKUP(S196:AG196,增益!$A:$A,增益!$T:$T,0))</f>
        <v>1.782</v>
      </c>
      <c r="BO196" s="20">
        <f t="shared" si="92"/>
        <v>0.18601479</v>
      </c>
      <c r="BP196" s="20">
        <f t="shared" si="93"/>
        <v>0.27228132</v>
      </c>
      <c r="BQ196" s="20">
        <f>IF(VLOOKUP($R196,武学奇术!$A:$ZZ,22,FALSE)=1,0,(1-$BJ196))*(1-$BM196)</f>
        <v>0.09580389</v>
      </c>
      <c r="BR196" s="20" cm="1">
        <f t="array" ref="BR196">SUM(_xlfn.XLOOKUP(S196:AG196,增益!$A:$A,增益!$W:$W,0))+$I$5</f>
        <v>0.31</v>
      </c>
    </row>
    <row r="197" spans="11:70">
      <c r="K197" s="27">
        <f>$L197*VLOOKUP($R197,武学奇术!$A:$ZZ,31,FALSE)</f>
        <v>9097.0646522832</v>
      </c>
      <c r="L197" s="27">
        <f t="shared" si="73"/>
        <v>15161.774420472</v>
      </c>
      <c r="M197" s="27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12465.0907344317</v>
      </c>
      <c r="N197" s="27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22920.8512841765</v>
      </c>
      <c r="O197" s="27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8310.06048962116</v>
      </c>
      <c r="P197" s="27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3757.69040450803</v>
      </c>
      <c r="Q197" s="35">
        <v>1</v>
      </c>
      <c r="R197" s="36" t="s">
        <v>163</v>
      </c>
      <c r="S197" s="36" t="s">
        <v>152</v>
      </c>
      <c r="T197" s="36" t="s">
        <v>99</v>
      </c>
      <c r="U197" s="36" t="s">
        <v>100</v>
      </c>
      <c r="V197" s="36" t="s">
        <v>71</v>
      </c>
      <c r="W197" s="36" t="s">
        <v>111</v>
      </c>
      <c r="X197" s="36" t="s">
        <v>71</v>
      </c>
      <c r="Y197" s="36" t="s">
        <v>153</v>
      </c>
      <c r="Z197" s="36" t="s">
        <v>82</v>
      </c>
      <c r="AA197" s="36" t="s">
        <v>71</v>
      </c>
      <c r="AB197" s="36" t="s">
        <v>71</v>
      </c>
      <c r="AC197" s="36" t="s">
        <v>71</v>
      </c>
      <c r="AD197" s="36" t="s">
        <v>72</v>
      </c>
      <c r="AE197" s="36" t="s">
        <v>94</v>
      </c>
      <c r="AF197" s="36" t="s">
        <v>154</v>
      </c>
      <c r="AG197" s="36" t="s">
        <v>120</v>
      </c>
      <c r="AH197" t="str">
        <f>VLOOKUP($R197,武学奇术!$A:$ZZ,25,FALSE)</f>
        <v>剑</v>
      </c>
      <c r="AI197" s="20">
        <f>VLOOKUP($R197,武学奇术!$A:$ZZ,26,FALSE)</f>
        <v>0.27456</v>
      </c>
      <c r="AJ197" s="21">
        <f>VLOOKUP($R197,武学奇术!$A:$ZZ,27,FALSE)*(1+IF(OR($AH197=$F$4,$AH197=$F$5),$B$22,0))</f>
        <v>0</v>
      </c>
      <c r="AK197" s="20">
        <f>VLOOKUP($R197,武学奇术!$A:$ZZ,28,FALSE)</f>
        <v>0.41184</v>
      </c>
      <c r="AL197" s="21">
        <f>VLOOKUP($R197,武学奇术!$A:$ZZ,29,FALSE)*(1+IF(OR($AH197=$F$4,$AH197=$F$5),$B$22,0))</f>
        <v>0</v>
      </c>
      <c r="AM197" s="20" cm="1">
        <f t="array" ref="AM197">$G$3+IFERROR(VLOOKUP($AH197,$F$4:$G$7,2,FALSE),0)+VLOOKUP($R197,武学奇术!$A:$ZZ,2,FALSE)+SUM(_xlfn.XLOOKUP($S197:$AG197,增益!$A:$A,增益!$B:$B,0))</f>
        <v>1.3191</v>
      </c>
      <c r="AN197" s="20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1585.72</v>
      </c>
      <c r="AP197" cm="1">
        <f t="array" ref="AP197">$E$10*(1+$AN197)+VLOOKUP($R197,武学奇术!$A:$ZZ,4,FALSE)+SUM(_xlfn.XLOOKUP($S197:$AG197,增益!$A:$A,增益!$D:$D,0))-$I$2</f>
        <v>6696.76</v>
      </c>
      <c r="AQ197" s="29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0.4175</v>
      </c>
      <c r="AR197" s="29" cm="1">
        <f t="array" ref="AR197">$G$10+VLOOKUP($R197,武学奇术!$A:$ZZ,7,FALSE)+SUM(_xlfn.XLOOKUP(S197:AG197,增益!$A:$A,增益!$G:$G,0))</f>
        <v>0</v>
      </c>
      <c r="AS197" s="20" cm="1">
        <f t="array" ref="AS197">VLOOKUP($R197,武学奇术!$A:$ZZ,8,FALSE)+SUM(_xlfn.XLOOKUP(S197:AG197,增益!$A:$A,增益!$H:$H,0))</f>
        <v>0</v>
      </c>
      <c r="AT197">
        <f t="shared" ref="AT197:AT207" si="94">$D$11*(1+$AS197)</f>
        <v>538</v>
      </c>
      <c r="AU197">
        <f t="shared" ref="AU197:AU207" si="95">$E$11*(1+$AS197)</f>
        <v>1011</v>
      </c>
      <c r="AV197" s="29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0.155</v>
      </c>
      <c r="AW197" s="29" cm="1">
        <f t="array" ref="AW197">$G$11+VLOOKUP($R197,武学奇术!$A:$ZZ,10,FALSE)+SUM(_xlfn.XLOOKUP(S197:AG197,增益!$A:$A,增益!$J:$J,0))</f>
        <v>0.25</v>
      </c>
      <c r="AX197">
        <f t="shared" ref="AX197:AX207" si="96">$D$12*(1+$AS197)</f>
        <v>0</v>
      </c>
      <c r="AY197">
        <f t="shared" ref="AY197:AY207" si="97">$E$12*(1+$AS197)</f>
        <v>0</v>
      </c>
      <c r="AZ197" s="29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-0.14</v>
      </c>
      <c r="BA197" s="29" cm="1">
        <f t="array" ref="BA197">$G$12+VLOOKUP($R197,武学奇术!$A:$ZZ,12,FALSE)+SUM(_xlfn.XLOOKUP(S197:AG197,增益!$A:$A,增益!$L:$L,0))</f>
        <v>0</v>
      </c>
      <c r="BB197">
        <f t="shared" ref="BB197:BB207" si="98">$D$13*(1+$AS197)</f>
        <v>0</v>
      </c>
      <c r="BC197">
        <f t="shared" ref="BC197:BC207" si="99">$E$13*(1+$AS197)</f>
        <v>0</v>
      </c>
      <c r="BD197" s="29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-0.14</v>
      </c>
      <c r="BE197" s="29" cm="1">
        <f t="array" ref="BE197">$G$13+VLOOKUP($R197,武学奇术!$A:$ZZ,14,FALSE)+SUM(_xlfn.XLOOKUP(S197:AG197,增益!$A:$A,增益!$N:$N,0))</f>
        <v>0</v>
      </c>
      <c r="BF197">
        <f t="shared" ref="BF197:BF207" si="100">$D$14*(1+$AS197)</f>
        <v>0</v>
      </c>
      <c r="BG197">
        <f t="shared" ref="BG197:BG207" si="101">$E$14*(1+$AS197)</f>
        <v>0</v>
      </c>
      <c r="BH197" s="29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-0.14</v>
      </c>
      <c r="BI197" s="29" cm="1">
        <f t="array" ref="BI197">$G$14+VLOOKUP($R197,武学奇术!$A:$ZZ,16,FALSE)+SUM(_xlfn.XLOOKUP(S197:AG197,增益!$A:$A,增益!$P:$P,0))</f>
        <v>0</v>
      </c>
      <c r="BJ197" s="20">
        <f>MIN(IF(VLOOKUP($R197,武学奇术!$A:$ZZ,23,FALSE)=1,100%,$B$8),100%)</f>
        <v>0.8271</v>
      </c>
      <c r="BK197" s="20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0.2249</v>
      </c>
      <c r="BL197" s="20" cm="1">
        <f t="array" ref="BL197">1+$B$13+VLOOKUP($R197,武学奇术!$A:$ZZ,18,FALSE)+SUM(_xlfn.XLOOKUP(S197:AG197,增益!$A:$A,增益!$R:$R,0))</f>
        <v>1.5</v>
      </c>
      <c r="BM197" s="20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0.4459</v>
      </c>
      <c r="BN197" s="20" cm="1">
        <f t="array" ref="BN197">1+$B$14+VLOOKUP($R197,武学奇术!$A:$ZZ,20,FALSE)+SUM(_xlfn.XLOOKUP(S197:AG197,增益!$A:$A,增益!$T:$T,0))</f>
        <v>1.782</v>
      </c>
      <c r="BO197" s="20">
        <f t="shared" ref="BO197:BO207" si="102">MIN((1-BM197)*BJ197,BJ197*BK197)</f>
        <v>0.18601479</v>
      </c>
      <c r="BP197" s="20">
        <f t="shared" ref="BP197:BP207" si="103">1-BM197-BO197-BQ197</f>
        <v>0.27228132</v>
      </c>
      <c r="BQ197" s="20">
        <f>IF(VLOOKUP($R197,武学奇术!$A:$ZZ,22,FALSE)=1,0,(1-$BJ197))*(1-$BM197)</f>
        <v>0.09580389</v>
      </c>
      <c r="BR197" s="20" cm="1">
        <f t="array" ref="BR197">SUM(_xlfn.XLOOKUP(S197:AG197,增益!$A:$A,增益!$W:$W,0))+$I$5</f>
        <v>0.31</v>
      </c>
    </row>
    <row r="198" spans="11:70">
      <c r="K198" s="27">
        <f>$L198*VLOOKUP($R198,武学奇术!$A:$ZZ,31,FALSE)</f>
        <v>9055.21293921761</v>
      </c>
      <c r="L198" s="27">
        <f t="shared" ref="L198:L229" si="104">($M198*$BO198+$N198*$BM198+$O198*$BP198+$P198*$BQ198)</f>
        <v>15092.0215653627</v>
      </c>
      <c r="M198" s="27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12392.5172476185</v>
      </c>
      <c r="N198" s="27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22834.6339818424</v>
      </c>
      <c r="O198" s="27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8261.67816507899</v>
      </c>
      <c r="P198" s="27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3709.30807996586</v>
      </c>
      <c r="Q198" s="35">
        <v>1</v>
      </c>
      <c r="R198" s="36" t="s">
        <v>163</v>
      </c>
      <c r="S198" s="36" t="s">
        <v>152</v>
      </c>
      <c r="T198" s="36" t="s">
        <v>99</v>
      </c>
      <c r="U198" s="36" t="s">
        <v>100</v>
      </c>
      <c r="V198" s="36" t="s">
        <v>71</v>
      </c>
      <c r="W198" s="36" t="s">
        <v>71</v>
      </c>
      <c r="X198" s="36" t="s">
        <v>71</v>
      </c>
      <c r="Y198" s="36" t="s">
        <v>153</v>
      </c>
      <c r="Z198" s="36" t="s">
        <v>82</v>
      </c>
      <c r="AA198" s="36" t="s">
        <v>71</v>
      </c>
      <c r="AB198" s="36" t="s">
        <v>71</v>
      </c>
      <c r="AC198" s="36" t="s">
        <v>71</v>
      </c>
      <c r="AD198" s="36" t="s">
        <v>72</v>
      </c>
      <c r="AE198" s="36" t="s">
        <v>94</v>
      </c>
      <c r="AF198" s="36" t="s">
        <v>154</v>
      </c>
      <c r="AG198" s="36" t="s">
        <v>120</v>
      </c>
      <c r="AH198" t="str">
        <f>VLOOKUP($R198,武学奇术!$A:$ZZ,25,FALSE)</f>
        <v>剑</v>
      </c>
      <c r="AI198" s="20">
        <f>VLOOKUP($R198,武学奇术!$A:$ZZ,26,FALSE)</f>
        <v>0.27456</v>
      </c>
      <c r="AJ198" s="21">
        <f>VLOOKUP($R198,武学奇术!$A:$ZZ,27,FALSE)*(1+IF(OR($AH198=$F$4,$AH198=$F$5),$B$22,0))</f>
        <v>0</v>
      </c>
      <c r="AK198" s="20">
        <f>VLOOKUP($R198,武学奇术!$A:$ZZ,28,FALSE)</f>
        <v>0.41184</v>
      </c>
      <c r="AL198" s="21">
        <f>VLOOKUP($R198,武学奇术!$A:$ZZ,29,FALSE)*(1+IF(OR($AH198=$F$4,$AH198=$F$5),$B$22,0))</f>
        <v>0</v>
      </c>
      <c r="AM198" s="20" cm="1">
        <f t="array" ref="AM198">$G$3+IFERROR(VLOOKUP($AH198,$F$4:$G$7,2,FALSE),0)+VLOOKUP($R198,武学奇术!$A:$ZZ,2,FALSE)+SUM(_xlfn.XLOOKUP($S198:$AG198,增益!$A:$A,增益!$B:$B,0))</f>
        <v>1.3191</v>
      </c>
      <c r="AN198" s="20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1554.72</v>
      </c>
      <c r="AP198" cm="1">
        <f t="array" ref="AP198">$E$10*(1+$AN198)+VLOOKUP($R198,武学奇术!$A:$ZZ,4,FALSE)+SUM(_xlfn.XLOOKUP($S198:$AG198,增益!$A:$A,增益!$D:$D,0))-$I$2</f>
        <v>6665.76</v>
      </c>
      <c r="AQ198" s="29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0.4175</v>
      </c>
      <c r="AR198" s="29" cm="1">
        <f t="array" ref="AR198">$G$10+VLOOKUP($R198,武学奇术!$A:$ZZ,7,FALSE)+SUM(_xlfn.XLOOKUP(S198:AG198,增益!$A:$A,增益!$G:$G,0))</f>
        <v>0</v>
      </c>
      <c r="AS198" s="20" cm="1">
        <f t="array" ref="AS198">VLOOKUP($R198,武学奇术!$A:$ZZ,8,FALSE)+SUM(_xlfn.XLOOKUP(S198:AG198,增益!$A:$A,增益!$H:$H,0))</f>
        <v>0</v>
      </c>
      <c r="AT198">
        <f t="shared" si="94"/>
        <v>538</v>
      </c>
      <c r="AU198">
        <f t="shared" si="95"/>
        <v>1011</v>
      </c>
      <c r="AV198" s="29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0.155</v>
      </c>
      <c r="AW198" s="29" cm="1">
        <f t="array" ref="AW198">$G$11+VLOOKUP($R198,武学奇术!$A:$ZZ,10,FALSE)+SUM(_xlfn.XLOOKUP(S198:AG198,增益!$A:$A,增益!$J:$J,0))</f>
        <v>0.25</v>
      </c>
      <c r="AX198">
        <f t="shared" si="96"/>
        <v>0</v>
      </c>
      <c r="AY198">
        <f t="shared" si="97"/>
        <v>0</v>
      </c>
      <c r="AZ198" s="29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-0.14</v>
      </c>
      <c r="BA198" s="29" cm="1">
        <f t="array" ref="BA198">$G$12+VLOOKUP($R198,武学奇术!$A:$ZZ,12,FALSE)+SUM(_xlfn.XLOOKUP(S198:AG198,增益!$A:$A,增益!$L:$L,0))</f>
        <v>0</v>
      </c>
      <c r="BB198">
        <f t="shared" si="98"/>
        <v>0</v>
      </c>
      <c r="BC198">
        <f t="shared" si="99"/>
        <v>0</v>
      </c>
      <c r="BD198" s="29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-0.14</v>
      </c>
      <c r="BE198" s="29" cm="1">
        <f t="array" ref="BE198">$G$13+VLOOKUP($R198,武学奇术!$A:$ZZ,14,FALSE)+SUM(_xlfn.XLOOKUP(S198:AG198,增益!$A:$A,增益!$N:$N,0))</f>
        <v>0</v>
      </c>
      <c r="BF198">
        <f t="shared" si="100"/>
        <v>0</v>
      </c>
      <c r="BG198">
        <f t="shared" si="101"/>
        <v>0</v>
      </c>
      <c r="BH198" s="29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-0.14</v>
      </c>
      <c r="BI198" s="29" cm="1">
        <f t="array" ref="BI198">$G$14+VLOOKUP($R198,武学奇术!$A:$ZZ,16,FALSE)+SUM(_xlfn.XLOOKUP(S198:AG198,增益!$A:$A,增益!$P:$P,0))</f>
        <v>0</v>
      </c>
      <c r="BJ198" s="20">
        <f>MIN(IF(VLOOKUP($R198,武学奇术!$A:$ZZ,23,FALSE)=1,100%,$B$8),100%)</f>
        <v>0.8271</v>
      </c>
      <c r="BK198" s="20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0.2249</v>
      </c>
      <c r="BL198" s="20" cm="1">
        <f t="array" ref="BL198">1+$B$13+VLOOKUP($R198,武学奇术!$A:$ZZ,18,FALSE)+SUM(_xlfn.XLOOKUP(S198:AG198,增益!$A:$A,增益!$R:$R,0))</f>
        <v>1.5</v>
      </c>
      <c r="BM198" s="20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0.4459</v>
      </c>
      <c r="BN198" s="20" cm="1">
        <f t="array" ref="BN198">1+$B$14+VLOOKUP($R198,武学奇术!$A:$ZZ,20,FALSE)+SUM(_xlfn.XLOOKUP(S198:AG198,增益!$A:$A,增益!$T:$T,0))</f>
        <v>1.782</v>
      </c>
      <c r="BO198" s="20">
        <f t="shared" si="102"/>
        <v>0.18601479</v>
      </c>
      <c r="BP198" s="20">
        <f t="shared" si="103"/>
        <v>0.27228132</v>
      </c>
      <c r="BQ198" s="20">
        <f>IF(VLOOKUP($R198,武学奇术!$A:$ZZ,22,FALSE)=1,0,(1-$BJ198))*(1-$BM198)</f>
        <v>0.09580389</v>
      </c>
      <c r="BR198" s="20" cm="1">
        <f t="array" ref="BR198">SUM(_xlfn.XLOOKUP(S198:AG198,增益!$A:$A,增益!$W:$W,0))+$I$5</f>
        <v>0.31</v>
      </c>
    </row>
    <row r="199" spans="11:70">
      <c r="K199" s="27">
        <f>$L199*VLOOKUP($R199,武学奇术!$A:$ZZ,31,FALSE)</f>
        <v>9055.21293921761</v>
      </c>
      <c r="L199" s="27">
        <f t="shared" si="104"/>
        <v>15092.0215653627</v>
      </c>
      <c r="M199" s="27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12392.5172476185</v>
      </c>
      <c r="N199" s="27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22834.6339818424</v>
      </c>
      <c r="O199" s="27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8261.67816507899</v>
      </c>
      <c r="P199" s="27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3709.30807996586</v>
      </c>
      <c r="Q199" s="35">
        <v>1</v>
      </c>
      <c r="R199" s="36" t="s">
        <v>163</v>
      </c>
      <c r="S199" s="36" t="s">
        <v>152</v>
      </c>
      <c r="T199" s="36" t="s">
        <v>99</v>
      </c>
      <c r="U199" s="36" t="s">
        <v>100</v>
      </c>
      <c r="V199" s="36" t="s">
        <v>71</v>
      </c>
      <c r="W199" s="36" t="s">
        <v>71</v>
      </c>
      <c r="X199" s="36" t="s">
        <v>71</v>
      </c>
      <c r="Y199" s="36" t="s">
        <v>153</v>
      </c>
      <c r="Z199" s="36" t="s">
        <v>82</v>
      </c>
      <c r="AA199" s="36" t="s">
        <v>71</v>
      </c>
      <c r="AB199" s="36" t="s">
        <v>71</v>
      </c>
      <c r="AC199" s="36" t="s">
        <v>71</v>
      </c>
      <c r="AD199" s="36" t="s">
        <v>72</v>
      </c>
      <c r="AE199" s="36" t="s">
        <v>94</v>
      </c>
      <c r="AF199" s="36" t="s">
        <v>154</v>
      </c>
      <c r="AG199" s="36" t="s">
        <v>120</v>
      </c>
      <c r="AH199" t="str">
        <f>VLOOKUP($R199,武学奇术!$A:$ZZ,25,FALSE)</f>
        <v>剑</v>
      </c>
      <c r="AI199" s="20">
        <f>VLOOKUP($R199,武学奇术!$A:$ZZ,26,FALSE)</f>
        <v>0.27456</v>
      </c>
      <c r="AJ199" s="21">
        <f>VLOOKUP($R199,武学奇术!$A:$ZZ,27,FALSE)*(1+IF(OR($AH199=$F$4,$AH199=$F$5),$B$22,0))</f>
        <v>0</v>
      </c>
      <c r="AK199" s="20">
        <f>VLOOKUP($R199,武学奇术!$A:$ZZ,28,FALSE)</f>
        <v>0.41184</v>
      </c>
      <c r="AL199" s="21">
        <f>VLOOKUP($R199,武学奇术!$A:$ZZ,29,FALSE)*(1+IF(OR($AH199=$F$4,$AH199=$F$5),$B$22,0))</f>
        <v>0</v>
      </c>
      <c r="AM199" s="20" cm="1">
        <f t="array" ref="AM199">$G$3+IFERROR(VLOOKUP($AH199,$F$4:$G$7,2,FALSE),0)+VLOOKUP($R199,武学奇术!$A:$ZZ,2,FALSE)+SUM(_xlfn.XLOOKUP($S199:$AG199,增益!$A:$A,增益!$B:$B,0))</f>
        <v>1.3191</v>
      </c>
      <c r="AN199" s="20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1554.72</v>
      </c>
      <c r="AP199" cm="1">
        <f t="array" ref="AP199">$E$10*(1+$AN199)+VLOOKUP($R199,武学奇术!$A:$ZZ,4,FALSE)+SUM(_xlfn.XLOOKUP($S199:$AG199,增益!$A:$A,增益!$D:$D,0))-$I$2</f>
        <v>6665.76</v>
      </c>
      <c r="AQ199" s="29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0.4175</v>
      </c>
      <c r="AR199" s="29" cm="1">
        <f t="array" ref="AR199">$G$10+VLOOKUP($R199,武学奇术!$A:$ZZ,7,FALSE)+SUM(_xlfn.XLOOKUP(S199:AG199,增益!$A:$A,增益!$G:$G,0))</f>
        <v>0</v>
      </c>
      <c r="AS199" s="20" cm="1">
        <f t="array" ref="AS199">VLOOKUP($R199,武学奇术!$A:$ZZ,8,FALSE)+SUM(_xlfn.XLOOKUP(S199:AG199,增益!$A:$A,增益!$H:$H,0))</f>
        <v>0</v>
      </c>
      <c r="AT199">
        <f t="shared" si="94"/>
        <v>538</v>
      </c>
      <c r="AU199">
        <f t="shared" si="95"/>
        <v>1011</v>
      </c>
      <c r="AV199" s="29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0.155</v>
      </c>
      <c r="AW199" s="29" cm="1">
        <f t="array" ref="AW199">$G$11+VLOOKUP($R199,武学奇术!$A:$ZZ,10,FALSE)+SUM(_xlfn.XLOOKUP(S199:AG199,增益!$A:$A,增益!$J:$J,0))</f>
        <v>0.25</v>
      </c>
      <c r="AX199">
        <f t="shared" si="96"/>
        <v>0</v>
      </c>
      <c r="AY199">
        <f t="shared" si="97"/>
        <v>0</v>
      </c>
      <c r="AZ199" s="29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-0.14</v>
      </c>
      <c r="BA199" s="29" cm="1">
        <f t="array" ref="BA199">$G$12+VLOOKUP($R199,武学奇术!$A:$ZZ,12,FALSE)+SUM(_xlfn.XLOOKUP(S199:AG199,增益!$A:$A,增益!$L:$L,0))</f>
        <v>0</v>
      </c>
      <c r="BB199">
        <f t="shared" si="98"/>
        <v>0</v>
      </c>
      <c r="BC199">
        <f t="shared" si="99"/>
        <v>0</v>
      </c>
      <c r="BD199" s="29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-0.14</v>
      </c>
      <c r="BE199" s="29" cm="1">
        <f t="array" ref="BE199">$G$13+VLOOKUP($R199,武学奇术!$A:$ZZ,14,FALSE)+SUM(_xlfn.XLOOKUP(S199:AG199,增益!$A:$A,增益!$N:$N,0))</f>
        <v>0</v>
      </c>
      <c r="BF199">
        <f t="shared" si="100"/>
        <v>0</v>
      </c>
      <c r="BG199">
        <f t="shared" si="101"/>
        <v>0</v>
      </c>
      <c r="BH199" s="29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-0.14</v>
      </c>
      <c r="BI199" s="29" cm="1">
        <f t="array" ref="BI199">$G$14+VLOOKUP($R199,武学奇术!$A:$ZZ,16,FALSE)+SUM(_xlfn.XLOOKUP(S199:AG199,增益!$A:$A,增益!$P:$P,0))</f>
        <v>0</v>
      </c>
      <c r="BJ199" s="20">
        <f>MIN(IF(VLOOKUP($R199,武学奇术!$A:$ZZ,23,FALSE)=1,100%,$B$8),100%)</f>
        <v>0.8271</v>
      </c>
      <c r="BK199" s="20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0.2249</v>
      </c>
      <c r="BL199" s="20" cm="1">
        <f t="array" ref="BL199">1+$B$13+VLOOKUP($R199,武学奇术!$A:$ZZ,18,FALSE)+SUM(_xlfn.XLOOKUP(S199:AG199,增益!$A:$A,增益!$R:$R,0))</f>
        <v>1.5</v>
      </c>
      <c r="BM199" s="20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0.4459</v>
      </c>
      <c r="BN199" s="20" cm="1">
        <f t="array" ref="BN199">1+$B$14+VLOOKUP($R199,武学奇术!$A:$ZZ,20,FALSE)+SUM(_xlfn.XLOOKUP(S199:AG199,增益!$A:$A,增益!$T:$T,0))</f>
        <v>1.782</v>
      </c>
      <c r="BO199" s="20">
        <f t="shared" si="102"/>
        <v>0.18601479</v>
      </c>
      <c r="BP199" s="20">
        <f t="shared" si="103"/>
        <v>0.27228132</v>
      </c>
      <c r="BQ199" s="20">
        <f>IF(VLOOKUP($R199,武学奇术!$A:$ZZ,22,FALSE)=1,0,(1-$BJ199))*(1-$BM199)</f>
        <v>0.09580389</v>
      </c>
      <c r="BR199" s="20" cm="1">
        <f t="array" ref="BR199">SUM(_xlfn.XLOOKUP(S199:AG199,增益!$A:$A,增益!$W:$W,0))+$I$5</f>
        <v>0.31</v>
      </c>
    </row>
    <row r="200" spans="11:70">
      <c r="K200" s="27">
        <f>$L200*VLOOKUP($R200,武学奇术!$A:$ZZ,31,FALSE)</f>
        <v>8928.18900936117</v>
      </c>
      <c r="L200" s="27">
        <f t="shared" si="104"/>
        <v>14880.315015602</v>
      </c>
      <c r="M200" s="27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12200.647762939</v>
      </c>
      <c r="N200" s="27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22537.0893747087</v>
      </c>
      <c r="O200" s="27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8133.76517529265</v>
      </c>
      <c r="P200" s="27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3620.45438273532</v>
      </c>
      <c r="Q200" s="35">
        <v>1</v>
      </c>
      <c r="R200" s="36" t="s">
        <v>163</v>
      </c>
      <c r="S200" s="36" t="s">
        <v>152</v>
      </c>
      <c r="T200" s="36" t="s">
        <v>99</v>
      </c>
      <c r="U200" s="36" t="s">
        <v>100</v>
      </c>
      <c r="V200" s="36" t="s">
        <v>71</v>
      </c>
      <c r="W200" s="36" t="s">
        <v>71</v>
      </c>
      <c r="X200" s="36" t="s">
        <v>71</v>
      </c>
      <c r="Y200" s="36" t="s">
        <v>153</v>
      </c>
      <c r="Z200" s="36" t="s">
        <v>71</v>
      </c>
      <c r="AA200" s="36" t="s">
        <v>71</v>
      </c>
      <c r="AB200" s="36" t="s">
        <v>71</v>
      </c>
      <c r="AC200" s="36" t="s">
        <v>71</v>
      </c>
      <c r="AD200" s="36" t="s">
        <v>72</v>
      </c>
      <c r="AE200" s="36" t="s">
        <v>94</v>
      </c>
      <c r="AF200" s="36" t="s">
        <v>154</v>
      </c>
      <c r="AG200" s="36" t="s">
        <v>120</v>
      </c>
      <c r="AH200" t="str">
        <f>VLOOKUP($R200,武学奇术!$A:$ZZ,25,FALSE)</f>
        <v>剑</v>
      </c>
      <c r="AI200" s="20">
        <f>VLOOKUP($R200,武学奇术!$A:$ZZ,26,FALSE)</f>
        <v>0.27456</v>
      </c>
      <c r="AJ200" s="21">
        <f>VLOOKUP($R200,武学奇术!$A:$ZZ,27,FALSE)*(1+IF(OR($AH200=$F$4,$AH200=$F$5),$B$22,0))</f>
        <v>0</v>
      </c>
      <c r="AK200" s="20">
        <f>VLOOKUP($R200,武学奇术!$A:$ZZ,28,FALSE)</f>
        <v>0.41184</v>
      </c>
      <c r="AL200" s="21">
        <f>VLOOKUP($R200,武学奇术!$A:$ZZ,29,FALSE)*(1+IF(OR($AH200=$F$4,$AH200=$F$5),$B$22,0))</f>
        <v>0</v>
      </c>
      <c r="AM200" s="20" cm="1">
        <f t="array" ref="AM200">$G$3+IFERROR(VLOOKUP($AH200,$F$4:$G$7,2,FALSE),0)+VLOOKUP($R200,武学奇术!$A:$ZZ,2,FALSE)+SUM(_xlfn.XLOOKUP($S200:$AG200,增益!$A:$A,增益!$B:$B,0))</f>
        <v>1.3191</v>
      </c>
      <c r="AN200" s="20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1554.72</v>
      </c>
      <c r="AP200" cm="1">
        <f t="array" ref="AP200">$E$10*(1+$AN200)+VLOOKUP($R200,武学奇术!$A:$ZZ,4,FALSE)+SUM(_xlfn.XLOOKUP($S200:$AG200,增益!$A:$A,增益!$D:$D,0))-$I$2</f>
        <v>6665.76</v>
      </c>
      <c r="AQ200" s="29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0.4175</v>
      </c>
      <c r="AR200" s="29" cm="1">
        <f t="array" ref="AR200">$G$10+VLOOKUP($R200,武学奇术!$A:$ZZ,7,FALSE)+SUM(_xlfn.XLOOKUP(S200:AG200,增益!$A:$A,增益!$G:$G,0))</f>
        <v>0</v>
      </c>
      <c r="AS200" s="20" cm="1">
        <f t="array" ref="AS200">VLOOKUP($R200,武学奇术!$A:$ZZ,8,FALSE)+SUM(_xlfn.XLOOKUP(S200:AG200,增益!$A:$A,增益!$H:$H,0))</f>
        <v>0</v>
      </c>
      <c r="AT200">
        <f t="shared" si="94"/>
        <v>538</v>
      </c>
      <c r="AU200">
        <f t="shared" si="95"/>
        <v>1011</v>
      </c>
      <c r="AV200" s="29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0.075</v>
      </c>
      <c r="AW200" s="29" cm="1">
        <f t="array" ref="AW200">$G$11+VLOOKUP($R200,武学奇术!$A:$ZZ,10,FALSE)+SUM(_xlfn.XLOOKUP(S200:AG200,增益!$A:$A,增益!$J:$J,0))</f>
        <v>0.25</v>
      </c>
      <c r="AX200">
        <f t="shared" si="96"/>
        <v>0</v>
      </c>
      <c r="AY200">
        <f t="shared" si="97"/>
        <v>0</v>
      </c>
      <c r="AZ200" s="29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29" cm="1">
        <f t="array" ref="BA200">$G$12+VLOOKUP($R200,武学奇术!$A:$ZZ,12,FALSE)+SUM(_xlfn.XLOOKUP(S200:AG200,增益!$A:$A,增益!$L:$L,0))</f>
        <v>0</v>
      </c>
      <c r="BB200">
        <f t="shared" si="98"/>
        <v>0</v>
      </c>
      <c r="BC200">
        <f t="shared" si="99"/>
        <v>0</v>
      </c>
      <c r="BD200" s="29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29" cm="1">
        <f t="array" ref="BE200">$G$13+VLOOKUP($R200,武学奇术!$A:$ZZ,14,FALSE)+SUM(_xlfn.XLOOKUP(S200:AG200,增益!$A:$A,增益!$N:$N,0))</f>
        <v>0</v>
      </c>
      <c r="BF200">
        <f t="shared" si="100"/>
        <v>0</v>
      </c>
      <c r="BG200">
        <f t="shared" si="101"/>
        <v>0</v>
      </c>
      <c r="BH200" s="29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29" cm="1">
        <f t="array" ref="BI200">$G$14+VLOOKUP($R200,武学奇术!$A:$ZZ,16,FALSE)+SUM(_xlfn.XLOOKUP(S200:AG200,增益!$A:$A,增益!$P:$P,0))</f>
        <v>0</v>
      </c>
      <c r="BJ200" s="20">
        <f>MIN(IF(VLOOKUP($R200,武学奇术!$A:$ZZ,23,FALSE)=1,100%,$B$8),100%)</f>
        <v>0.8271</v>
      </c>
      <c r="BK200" s="20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0.2249</v>
      </c>
      <c r="BL200" s="20" cm="1">
        <f t="array" ref="BL200">1+$B$13+VLOOKUP($R200,武学奇术!$A:$ZZ,18,FALSE)+SUM(_xlfn.XLOOKUP(S200:AG200,增益!$A:$A,增益!$R:$R,0))</f>
        <v>1.5</v>
      </c>
      <c r="BM200" s="20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0.4459</v>
      </c>
      <c r="BN200" s="20" cm="1">
        <f t="array" ref="BN200">1+$B$14+VLOOKUP($R200,武学奇术!$A:$ZZ,20,FALSE)+SUM(_xlfn.XLOOKUP(S200:AG200,增益!$A:$A,增益!$T:$T,0))</f>
        <v>1.782</v>
      </c>
      <c r="BO200" s="20">
        <f t="shared" si="102"/>
        <v>0.18601479</v>
      </c>
      <c r="BP200" s="20">
        <f t="shared" si="103"/>
        <v>0.27228132</v>
      </c>
      <c r="BQ200" s="20">
        <f>IF(VLOOKUP($R200,武学奇术!$A:$ZZ,22,FALSE)=1,0,(1-$BJ200))*(1-$BM200)</f>
        <v>0.09580389</v>
      </c>
      <c r="BR200" s="20" cm="1">
        <f t="array" ref="BR200">SUM(_xlfn.XLOOKUP(S200:AG200,增益!$A:$A,增益!$W:$W,0))+$I$5</f>
        <v>0.31</v>
      </c>
    </row>
    <row r="201" spans="11:70">
      <c r="K201" s="27">
        <f>$L201*VLOOKUP($R201,武学奇术!$A:$ZZ,31,FALSE)</f>
        <v>5580.11813085073</v>
      </c>
      <c r="L201" s="27">
        <f t="shared" si="104"/>
        <v>9300.19688475122</v>
      </c>
      <c r="M201" s="27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7625.40485183686</v>
      </c>
      <c r="N201" s="27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14085.6808591929</v>
      </c>
      <c r="O201" s="27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5083.6032345579</v>
      </c>
      <c r="P201" s="27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2262.78398920958</v>
      </c>
      <c r="Q201" s="35">
        <v>1</v>
      </c>
      <c r="R201" s="36" t="s">
        <v>164</v>
      </c>
      <c r="S201" s="36" t="s">
        <v>152</v>
      </c>
      <c r="T201" s="36" t="s">
        <v>99</v>
      </c>
      <c r="U201" s="36" t="s">
        <v>100</v>
      </c>
      <c r="V201" s="36" t="s">
        <v>71</v>
      </c>
      <c r="W201" s="36" t="s">
        <v>71</v>
      </c>
      <c r="X201" s="36" t="s">
        <v>71</v>
      </c>
      <c r="Y201" s="36" t="s">
        <v>153</v>
      </c>
      <c r="Z201" s="36" t="s">
        <v>71</v>
      </c>
      <c r="AA201" s="36" t="s">
        <v>71</v>
      </c>
      <c r="AB201" s="36" t="s">
        <v>71</v>
      </c>
      <c r="AC201" s="36" t="s">
        <v>71</v>
      </c>
      <c r="AD201" s="36" t="s">
        <v>72</v>
      </c>
      <c r="AE201" s="36" t="s">
        <v>94</v>
      </c>
      <c r="AF201" s="36" t="s">
        <v>154</v>
      </c>
      <c r="AG201" s="36" t="s">
        <v>120</v>
      </c>
      <c r="AH201" t="str">
        <f>VLOOKUP($R201,武学奇术!$A:$ZZ,25,FALSE)</f>
        <v>剑</v>
      </c>
      <c r="AI201" s="20">
        <f>VLOOKUP($R201,武学奇术!$A:$ZZ,26,FALSE)</f>
        <v>0.1716</v>
      </c>
      <c r="AJ201" s="21">
        <f>VLOOKUP($R201,武学奇术!$A:$ZZ,27,FALSE)*(1+IF(OR($AH201=$F$4,$AH201=$F$5),$B$22,0))</f>
        <v>0</v>
      </c>
      <c r="AK201" s="20">
        <f>VLOOKUP($R201,武学奇术!$A:$ZZ,28,FALSE)</f>
        <v>0.2574</v>
      </c>
      <c r="AL201" s="21">
        <f>VLOOKUP($R201,武学奇术!$A:$ZZ,29,FALSE)*(1+IF(OR($AH201=$F$4,$AH201=$F$5),$B$22,0))</f>
        <v>0</v>
      </c>
      <c r="AM201" s="20" cm="1">
        <f t="array" ref="AM201">$G$3+IFERROR(VLOOKUP($AH201,$F$4:$G$7,2,FALSE),0)+VLOOKUP($R201,武学奇术!$A:$ZZ,2,FALSE)+SUM(_xlfn.XLOOKUP($S201:$AG201,增益!$A:$A,增益!$B:$B,0))</f>
        <v>1.3191</v>
      </c>
      <c r="AN201" s="20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1554.72</v>
      </c>
      <c r="AP201" cm="1">
        <f t="array" ref="AP201">$E$10*(1+$AN201)+VLOOKUP($R201,武学奇术!$A:$ZZ,4,FALSE)+SUM(_xlfn.XLOOKUP($S201:$AG201,增益!$A:$A,增益!$D:$D,0))-$I$2</f>
        <v>6665.76</v>
      </c>
      <c r="AQ201" s="29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0.4175</v>
      </c>
      <c r="AR201" s="29" cm="1">
        <f t="array" ref="AR201">$G$10+VLOOKUP($R201,武学奇术!$A:$ZZ,7,FALSE)+SUM(_xlfn.XLOOKUP(S201:AG201,增益!$A:$A,增益!$G:$G,0))</f>
        <v>0</v>
      </c>
      <c r="AS201" s="20" cm="1">
        <f t="array" ref="AS201">VLOOKUP($R201,武学奇术!$A:$ZZ,8,FALSE)+SUM(_xlfn.XLOOKUP(S201:AG201,增益!$A:$A,增益!$H:$H,0))</f>
        <v>0</v>
      </c>
      <c r="AT201">
        <f t="shared" si="94"/>
        <v>538</v>
      </c>
      <c r="AU201">
        <f t="shared" si="95"/>
        <v>1011</v>
      </c>
      <c r="AV201" s="29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0.075</v>
      </c>
      <c r="AW201" s="29" cm="1">
        <f t="array" ref="AW201">$G$11+VLOOKUP($R201,武学奇术!$A:$ZZ,10,FALSE)+SUM(_xlfn.XLOOKUP(S201:AG201,增益!$A:$A,增益!$J:$J,0))</f>
        <v>0.25</v>
      </c>
      <c r="AX201">
        <f t="shared" si="96"/>
        <v>0</v>
      </c>
      <c r="AY201">
        <f t="shared" si="97"/>
        <v>0</v>
      </c>
      <c r="AZ201" s="29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29" cm="1">
        <f t="array" ref="BA201">$G$12+VLOOKUP($R201,武学奇术!$A:$ZZ,12,FALSE)+SUM(_xlfn.XLOOKUP(S201:AG201,增益!$A:$A,增益!$L:$L,0))</f>
        <v>0</v>
      </c>
      <c r="BB201">
        <f t="shared" si="98"/>
        <v>0</v>
      </c>
      <c r="BC201">
        <f t="shared" si="99"/>
        <v>0</v>
      </c>
      <c r="BD201" s="29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29" cm="1">
        <f t="array" ref="BE201">$G$13+VLOOKUP($R201,武学奇术!$A:$ZZ,14,FALSE)+SUM(_xlfn.XLOOKUP(S201:AG201,增益!$A:$A,增益!$N:$N,0))</f>
        <v>0</v>
      </c>
      <c r="BF201">
        <f t="shared" si="100"/>
        <v>0</v>
      </c>
      <c r="BG201">
        <f t="shared" si="101"/>
        <v>0</v>
      </c>
      <c r="BH201" s="29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29" cm="1">
        <f t="array" ref="BI201">$G$14+VLOOKUP($R201,武学奇术!$A:$ZZ,16,FALSE)+SUM(_xlfn.XLOOKUP(S201:AG201,增益!$A:$A,增益!$P:$P,0))</f>
        <v>0</v>
      </c>
      <c r="BJ201" s="20">
        <f>MIN(IF(VLOOKUP($R201,武学奇术!$A:$ZZ,23,FALSE)=1,100%,$B$8),100%)</f>
        <v>0.8271</v>
      </c>
      <c r="BK201" s="20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0.2249</v>
      </c>
      <c r="BL201" s="20" cm="1">
        <f t="array" ref="BL201">1+$B$13+VLOOKUP($R201,武学奇术!$A:$ZZ,18,FALSE)+SUM(_xlfn.XLOOKUP(S201:AG201,增益!$A:$A,增益!$R:$R,0))</f>
        <v>1.5</v>
      </c>
      <c r="BM201" s="20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0.4459</v>
      </c>
      <c r="BN201" s="20" cm="1">
        <f t="array" ref="BN201">1+$B$14+VLOOKUP($R201,武学奇术!$A:$ZZ,20,FALSE)+SUM(_xlfn.XLOOKUP(S201:AG201,增益!$A:$A,增益!$T:$T,0))</f>
        <v>1.782</v>
      </c>
      <c r="BO201" s="20">
        <f t="shared" si="102"/>
        <v>0.18601479</v>
      </c>
      <c r="BP201" s="20">
        <f t="shared" si="103"/>
        <v>0.27228132</v>
      </c>
      <c r="BQ201" s="20">
        <f>IF(VLOOKUP($R201,武学奇术!$A:$ZZ,22,FALSE)=1,0,(1-$BJ201))*(1-$BM201)</f>
        <v>0.09580389</v>
      </c>
      <c r="BR201" s="20" cm="1">
        <f t="array" ref="BR201">SUM(_xlfn.XLOOKUP(S201:AG201,增益!$A:$A,增益!$W:$W,0))+$I$5</f>
        <v>0.31</v>
      </c>
    </row>
    <row r="202" spans="11:70">
      <c r="K202" s="27">
        <f>$L202*VLOOKUP($R202,武学奇术!$A:$ZZ,31,FALSE)</f>
        <v>11212.5509030335</v>
      </c>
      <c r="L202" s="27">
        <f t="shared" si="104"/>
        <v>18687.5848383891</v>
      </c>
      <c r="M202" s="27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15341.5265621903</v>
      </c>
      <c r="N202" s="27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28279.1333463035</v>
      </c>
      <c r="O202" s="27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10227.6843747935</v>
      </c>
      <c r="P202" s="27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4586.04588409686</v>
      </c>
      <c r="Q202" s="35">
        <v>1</v>
      </c>
      <c r="R202" s="36" t="s">
        <v>162</v>
      </c>
      <c r="S202" s="36" t="s">
        <v>152</v>
      </c>
      <c r="T202" s="36" t="s">
        <v>99</v>
      </c>
      <c r="U202" s="36" t="s">
        <v>100</v>
      </c>
      <c r="V202" s="36" t="s">
        <v>71</v>
      </c>
      <c r="W202" s="36" t="s">
        <v>111</v>
      </c>
      <c r="X202" s="36" t="s">
        <v>71</v>
      </c>
      <c r="Y202" s="36" t="s">
        <v>153</v>
      </c>
      <c r="Z202" s="36" t="s">
        <v>71</v>
      </c>
      <c r="AA202" s="36" t="s">
        <v>71</v>
      </c>
      <c r="AB202" s="36" t="s">
        <v>71</v>
      </c>
      <c r="AC202" s="36" t="s">
        <v>71</v>
      </c>
      <c r="AD202" s="36" t="s">
        <v>72</v>
      </c>
      <c r="AE202" s="36" t="s">
        <v>94</v>
      </c>
      <c r="AF202" s="36" t="s">
        <v>154</v>
      </c>
      <c r="AG202" s="36" t="s">
        <v>120</v>
      </c>
      <c r="AH202" t="str">
        <f>VLOOKUP($R202,武学奇术!$A:$ZZ,25,FALSE)</f>
        <v>剑</v>
      </c>
      <c r="AI202" s="20">
        <f>VLOOKUP($R202,武学奇术!$A:$ZZ,26,FALSE)</f>
        <v>0.3432</v>
      </c>
      <c r="AJ202" s="21">
        <f>VLOOKUP($R202,武学奇术!$A:$ZZ,27,FALSE)*(1+IF(OR($AH202=$F$4,$AH202=$F$5),$B$22,0))</f>
        <v>0</v>
      </c>
      <c r="AK202" s="20">
        <f>VLOOKUP($R202,武学奇术!$A:$ZZ,28,FALSE)</f>
        <v>0.5148</v>
      </c>
      <c r="AL202" s="21">
        <f>VLOOKUP($R202,武学奇术!$A:$ZZ,29,FALSE)*(1+IF(OR($AH202=$F$4,$AH202=$F$5),$B$22,0))</f>
        <v>0</v>
      </c>
      <c r="AM202" s="20" cm="1">
        <f t="array" ref="AM202">$G$3+IFERROR(VLOOKUP($AH202,$F$4:$G$7,2,FALSE),0)+VLOOKUP($R202,武学奇术!$A:$ZZ,2,FALSE)+SUM(_xlfn.XLOOKUP($S202:$AG202,增益!$A:$A,增益!$B:$B,0))</f>
        <v>1.3191</v>
      </c>
      <c r="AN202" s="20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1585.72</v>
      </c>
      <c r="AP202" cm="1">
        <f t="array" ref="AP202">$E$10*(1+$AN202)+VLOOKUP($R202,武学奇术!$A:$ZZ,4,FALSE)+SUM(_xlfn.XLOOKUP($S202:$AG202,增益!$A:$A,增益!$D:$D,0))-$I$2</f>
        <v>6696.76</v>
      </c>
      <c r="AQ202" s="29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0.4175</v>
      </c>
      <c r="AR202" s="29" cm="1">
        <f t="array" ref="AR202">$G$10+VLOOKUP($R202,武学奇术!$A:$ZZ,7,FALSE)+SUM(_xlfn.XLOOKUP(S202:AG202,增益!$A:$A,增益!$G:$G,0))</f>
        <v>0</v>
      </c>
      <c r="AS202" s="20" cm="1">
        <f t="array" ref="AS202">VLOOKUP($R202,武学奇术!$A:$ZZ,8,FALSE)+SUM(_xlfn.XLOOKUP(S202:AG202,增益!$A:$A,增益!$H:$H,0))</f>
        <v>0</v>
      </c>
      <c r="AT202">
        <f t="shared" si="94"/>
        <v>538</v>
      </c>
      <c r="AU202">
        <f t="shared" si="95"/>
        <v>1011</v>
      </c>
      <c r="AV202" s="29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0.075</v>
      </c>
      <c r="AW202" s="29" cm="1">
        <f t="array" ref="AW202">$G$11+VLOOKUP($R202,武学奇术!$A:$ZZ,10,FALSE)+SUM(_xlfn.XLOOKUP(S202:AG202,增益!$A:$A,增益!$J:$J,0))</f>
        <v>0.25</v>
      </c>
      <c r="AX202">
        <f t="shared" si="96"/>
        <v>0</v>
      </c>
      <c r="AY202">
        <f t="shared" si="97"/>
        <v>0</v>
      </c>
      <c r="AZ202" s="29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29" cm="1">
        <f t="array" ref="BA202">$G$12+VLOOKUP($R202,武学奇术!$A:$ZZ,12,FALSE)+SUM(_xlfn.XLOOKUP(S202:AG202,增益!$A:$A,增益!$L:$L,0))</f>
        <v>0</v>
      </c>
      <c r="BB202">
        <f t="shared" si="98"/>
        <v>0</v>
      </c>
      <c r="BC202">
        <f t="shared" si="99"/>
        <v>0</v>
      </c>
      <c r="BD202" s="29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29" cm="1">
        <f t="array" ref="BE202">$G$13+VLOOKUP($R202,武学奇术!$A:$ZZ,14,FALSE)+SUM(_xlfn.XLOOKUP(S202:AG202,增益!$A:$A,增益!$N:$N,0))</f>
        <v>0</v>
      </c>
      <c r="BF202">
        <f t="shared" si="100"/>
        <v>0</v>
      </c>
      <c r="BG202">
        <f t="shared" si="101"/>
        <v>0</v>
      </c>
      <c r="BH202" s="29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29" cm="1">
        <f t="array" ref="BI202">$G$14+VLOOKUP($R202,武学奇术!$A:$ZZ,16,FALSE)+SUM(_xlfn.XLOOKUP(S202:AG202,增益!$A:$A,增益!$P:$P,0))</f>
        <v>0</v>
      </c>
      <c r="BJ202" s="20">
        <f>MIN(IF(VLOOKUP($R202,武学奇术!$A:$ZZ,23,FALSE)=1,100%,$B$8),100%)</f>
        <v>0.8271</v>
      </c>
      <c r="BK202" s="20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0.2249</v>
      </c>
      <c r="BL202" s="20" cm="1">
        <f t="array" ref="BL202">1+$B$13+VLOOKUP($R202,武学奇术!$A:$ZZ,18,FALSE)+SUM(_xlfn.XLOOKUP(S202:AG202,增益!$A:$A,增益!$R:$R,0))</f>
        <v>1.5</v>
      </c>
      <c r="BM202" s="20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0.4459</v>
      </c>
      <c r="BN202" s="20" cm="1">
        <f t="array" ref="BN202">1+$B$14+VLOOKUP($R202,武学奇术!$A:$ZZ,20,FALSE)+SUM(_xlfn.XLOOKUP(S202:AG202,增益!$A:$A,增益!$T:$T,0))</f>
        <v>1.782</v>
      </c>
      <c r="BO202" s="20">
        <f t="shared" si="102"/>
        <v>0.18601479</v>
      </c>
      <c r="BP202" s="20">
        <f t="shared" si="103"/>
        <v>0.27228132</v>
      </c>
      <c r="BQ202" s="20">
        <f>IF(VLOOKUP($R202,武学奇术!$A:$ZZ,22,FALSE)=1,0,(1-$BJ202))*(1-$BM202)</f>
        <v>0.09580389</v>
      </c>
      <c r="BR202" s="20" cm="1">
        <f t="array" ref="BR202">SUM(_xlfn.XLOOKUP(S202:AG202,增益!$A:$A,增益!$W:$W,0))+$I$5</f>
        <v>0.31</v>
      </c>
    </row>
    <row r="203" spans="11:70">
      <c r="K203" s="27">
        <f>$L203*VLOOKUP($R203,武学奇术!$A:$ZZ,31,FALSE)</f>
        <v>5606.27545151673</v>
      </c>
      <c r="L203" s="27">
        <f t="shared" si="104"/>
        <v>9343.79241919455</v>
      </c>
      <c r="M203" s="27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7670.76328109514</v>
      </c>
      <c r="N203" s="27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14139.5666731517</v>
      </c>
      <c r="O203" s="27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5113.84218739676</v>
      </c>
      <c r="P203" s="27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2293.02294204843</v>
      </c>
      <c r="Q203" s="35">
        <v>1</v>
      </c>
      <c r="R203" s="36" t="s">
        <v>164</v>
      </c>
      <c r="S203" s="36" t="s">
        <v>152</v>
      </c>
      <c r="T203" s="36" t="s">
        <v>99</v>
      </c>
      <c r="U203" s="36" t="s">
        <v>100</v>
      </c>
      <c r="V203" s="36" t="s">
        <v>71</v>
      </c>
      <c r="W203" s="36" t="s">
        <v>111</v>
      </c>
      <c r="X203" s="36" t="s">
        <v>71</v>
      </c>
      <c r="Y203" s="36" t="s">
        <v>153</v>
      </c>
      <c r="Z203" s="36" t="s">
        <v>71</v>
      </c>
      <c r="AA203" s="36" t="s">
        <v>71</v>
      </c>
      <c r="AB203" s="36" t="s">
        <v>71</v>
      </c>
      <c r="AC203" s="36" t="s">
        <v>71</v>
      </c>
      <c r="AD203" s="36" t="s">
        <v>72</v>
      </c>
      <c r="AE203" s="36" t="s">
        <v>94</v>
      </c>
      <c r="AF203" s="36" t="s">
        <v>154</v>
      </c>
      <c r="AG203" s="36" t="s">
        <v>120</v>
      </c>
      <c r="AH203" t="str">
        <f>VLOOKUP($R203,武学奇术!$A:$ZZ,25,FALSE)</f>
        <v>剑</v>
      </c>
      <c r="AI203" s="20">
        <f>VLOOKUP($R203,武学奇术!$A:$ZZ,26,FALSE)</f>
        <v>0.1716</v>
      </c>
      <c r="AJ203" s="21">
        <f>VLOOKUP($R203,武学奇术!$A:$ZZ,27,FALSE)*(1+IF(OR($AH203=$F$4,$AH203=$F$5),$B$22,0))</f>
        <v>0</v>
      </c>
      <c r="AK203" s="20">
        <f>VLOOKUP($R203,武学奇术!$A:$ZZ,28,FALSE)</f>
        <v>0.2574</v>
      </c>
      <c r="AL203" s="21">
        <f>VLOOKUP($R203,武学奇术!$A:$ZZ,29,FALSE)*(1+IF(OR($AH203=$F$4,$AH203=$F$5),$B$22,0))</f>
        <v>0</v>
      </c>
      <c r="AM203" s="20" cm="1">
        <f t="array" ref="AM203">$G$3+IFERROR(VLOOKUP($AH203,$F$4:$G$7,2,FALSE),0)+VLOOKUP($R203,武学奇术!$A:$ZZ,2,FALSE)+SUM(_xlfn.XLOOKUP($S203:$AG203,增益!$A:$A,增益!$B:$B,0))</f>
        <v>1.3191</v>
      </c>
      <c r="AN203" s="20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1585.72</v>
      </c>
      <c r="AP203" cm="1">
        <f t="array" ref="AP203">$E$10*(1+$AN203)+VLOOKUP($R203,武学奇术!$A:$ZZ,4,FALSE)+SUM(_xlfn.XLOOKUP($S203:$AG203,增益!$A:$A,增益!$D:$D,0))-$I$2</f>
        <v>6696.76</v>
      </c>
      <c r="AQ203" s="29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0.4175</v>
      </c>
      <c r="AR203" s="29" cm="1">
        <f t="array" ref="AR203">$G$10+VLOOKUP($R203,武学奇术!$A:$ZZ,7,FALSE)+SUM(_xlfn.XLOOKUP(S203:AG203,增益!$A:$A,增益!$G:$G,0))</f>
        <v>0</v>
      </c>
      <c r="AS203" s="20" cm="1">
        <f t="array" ref="AS203">VLOOKUP($R203,武学奇术!$A:$ZZ,8,FALSE)+SUM(_xlfn.XLOOKUP(S203:AG203,增益!$A:$A,增益!$H:$H,0))</f>
        <v>0</v>
      </c>
      <c r="AT203">
        <f t="shared" si="94"/>
        <v>538</v>
      </c>
      <c r="AU203">
        <f t="shared" si="95"/>
        <v>1011</v>
      </c>
      <c r="AV203" s="29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0.075</v>
      </c>
      <c r="AW203" s="29" cm="1">
        <f t="array" ref="AW203">$G$11+VLOOKUP($R203,武学奇术!$A:$ZZ,10,FALSE)+SUM(_xlfn.XLOOKUP(S203:AG203,增益!$A:$A,增益!$J:$J,0))</f>
        <v>0.25</v>
      </c>
      <c r="AX203">
        <f t="shared" si="96"/>
        <v>0</v>
      </c>
      <c r="AY203">
        <f t="shared" si="97"/>
        <v>0</v>
      </c>
      <c r="AZ203" s="29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29" cm="1">
        <f t="array" ref="BA203">$G$12+VLOOKUP($R203,武学奇术!$A:$ZZ,12,FALSE)+SUM(_xlfn.XLOOKUP(S203:AG203,增益!$A:$A,增益!$L:$L,0))</f>
        <v>0</v>
      </c>
      <c r="BB203">
        <f t="shared" si="98"/>
        <v>0</v>
      </c>
      <c r="BC203">
        <f t="shared" si="99"/>
        <v>0</v>
      </c>
      <c r="BD203" s="29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29" cm="1">
        <f t="array" ref="BE203">$G$13+VLOOKUP($R203,武学奇术!$A:$ZZ,14,FALSE)+SUM(_xlfn.XLOOKUP(S203:AG203,增益!$A:$A,增益!$N:$N,0))</f>
        <v>0</v>
      </c>
      <c r="BF203">
        <f t="shared" si="100"/>
        <v>0</v>
      </c>
      <c r="BG203">
        <f t="shared" si="101"/>
        <v>0</v>
      </c>
      <c r="BH203" s="29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29" cm="1">
        <f t="array" ref="BI203">$G$14+VLOOKUP($R203,武学奇术!$A:$ZZ,16,FALSE)+SUM(_xlfn.XLOOKUP(S203:AG203,增益!$A:$A,增益!$P:$P,0))</f>
        <v>0</v>
      </c>
      <c r="BJ203" s="20">
        <f>MIN(IF(VLOOKUP($R203,武学奇术!$A:$ZZ,23,FALSE)=1,100%,$B$8),100%)</f>
        <v>0.8271</v>
      </c>
      <c r="BK203" s="20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0.2249</v>
      </c>
      <c r="BL203" s="20" cm="1">
        <f t="array" ref="BL203">1+$B$13+VLOOKUP($R203,武学奇术!$A:$ZZ,18,FALSE)+SUM(_xlfn.XLOOKUP(S203:AG203,增益!$A:$A,增益!$R:$R,0))</f>
        <v>1.5</v>
      </c>
      <c r="BM203" s="20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0.4459</v>
      </c>
      <c r="BN203" s="20" cm="1">
        <f t="array" ref="BN203">1+$B$14+VLOOKUP($R203,武学奇术!$A:$ZZ,20,FALSE)+SUM(_xlfn.XLOOKUP(S203:AG203,增益!$A:$A,增益!$T:$T,0))</f>
        <v>1.782</v>
      </c>
      <c r="BO203" s="20">
        <f t="shared" si="102"/>
        <v>0.18601479</v>
      </c>
      <c r="BP203" s="20">
        <f t="shared" si="103"/>
        <v>0.27228132</v>
      </c>
      <c r="BQ203" s="20">
        <f>IF(VLOOKUP($R203,武学奇术!$A:$ZZ,22,FALSE)=1,0,(1-$BJ203))*(1-$BM203)</f>
        <v>0.09580389</v>
      </c>
      <c r="BR203" s="20" cm="1">
        <f t="array" ref="BR203">SUM(_xlfn.XLOOKUP(S203:AG203,增益!$A:$A,增益!$W:$W,0))+$I$5</f>
        <v>0.31</v>
      </c>
    </row>
    <row r="204" spans="11:70">
      <c r="K204" s="27">
        <f>$L204*VLOOKUP($R204,武学奇术!$A:$ZZ,31,FALSE)</f>
        <v>5606.27545151673</v>
      </c>
      <c r="L204" s="27">
        <f t="shared" si="104"/>
        <v>9343.79241919455</v>
      </c>
      <c r="M204" s="27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7670.76328109514</v>
      </c>
      <c r="N204" s="27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14139.5666731517</v>
      </c>
      <c r="O204" s="27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5113.84218739676</v>
      </c>
      <c r="P204" s="27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2293.02294204843</v>
      </c>
      <c r="Q204" s="35">
        <v>1</v>
      </c>
      <c r="R204" s="36" t="s">
        <v>164</v>
      </c>
      <c r="S204" s="36" t="s">
        <v>152</v>
      </c>
      <c r="T204" s="36" t="s">
        <v>99</v>
      </c>
      <c r="U204" s="36" t="s">
        <v>100</v>
      </c>
      <c r="V204" s="36" t="s">
        <v>71</v>
      </c>
      <c r="W204" s="36" t="s">
        <v>111</v>
      </c>
      <c r="X204" s="36" t="s">
        <v>71</v>
      </c>
      <c r="Y204" s="36" t="s">
        <v>153</v>
      </c>
      <c r="Z204" s="36" t="s">
        <v>71</v>
      </c>
      <c r="AA204" s="36" t="s">
        <v>71</v>
      </c>
      <c r="AB204" s="36" t="s">
        <v>71</v>
      </c>
      <c r="AC204" s="36" t="s">
        <v>71</v>
      </c>
      <c r="AD204" s="36" t="s">
        <v>72</v>
      </c>
      <c r="AE204" s="36" t="s">
        <v>94</v>
      </c>
      <c r="AF204" s="36" t="s">
        <v>154</v>
      </c>
      <c r="AG204" s="36" t="s">
        <v>120</v>
      </c>
      <c r="AH204" t="str">
        <f>VLOOKUP($R204,武学奇术!$A:$ZZ,25,FALSE)</f>
        <v>剑</v>
      </c>
      <c r="AI204" s="20">
        <f>VLOOKUP($R204,武学奇术!$A:$ZZ,26,FALSE)</f>
        <v>0.1716</v>
      </c>
      <c r="AJ204" s="21">
        <f>VLOOKUP($R204,武学奇术!$A:$ZZ,27,FALSE)*(1+IF(OR($AH204=$F$4,$AH204=$F$5),$B$22,0))</f>
        <v>0</v>
      </c>
      <c r="AK204" s="20">
        <f>VLOOKUP($R204,武学奇术!$A:$ZZ,28,FALSE)</f>
        <v>0.2574</v>
      </c>
      <c r="AL204" s="21">
        <f>VLOOKUP($R204,武学奇术!$A:$ZZ,29,FALSE)*(1+IF(OR($AH204=$F$4,$AH204=$F$5),$B$22,0))</f>
        <v>0</v>
      </c>
      <c r="AM204" s="20" cm="1">
        <f t="array" ref="AM204">$G$3+IFERROR(VLOOKUP($AH204,$F$4:$G$7,2,FALSE),0)+VLOOKUP($R204,武学奇术!$A:$ZZ,2,FALSE)+SUM(_xlfn.XLOOKUP($S204:$AG204,增益!$A:$A,增益!$B:$B,0))</f>
        <v>1.3191</v>
      </c>
      <c r="AN204" s="20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1585.72</v>
      </c>
      <c r="AP204" cm="1">
        <f t="array" ref="AP204">$E$10*(1+$AN204)+VLOOKUP($R204,武学奇术!$A:$ZZ,4,FALSE)+SUM(_xlfn.XLOOKUP($S204:$AG204,增益!$A:$A,增益!$D:$D,0))-$I$2</f>
        <v>6696.76</v>
      </c>
      <c r="AQ204" s="29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0.4175</v>
      </c>
      <c r="AR204" s="29" cm="1">
        <f t="array" ref="AR204">$G$10+VLOOKUP($R204,武学奇术!$A:$ZZ,7,FALSE)+SUM(_xlfn.XLOOKUP(S204:AG204,增益!$A:$A,增益!$G:$G,0))</f>
        <v>0</v>
      </c>
      <c r="AS204" s="20" cm="1">
        <f t="array" ref="AS204">VLOOKUP($R204,武学奇术!$A:$ZZ,8,FALSE)+SUM(_xlfn.XLOOKUP(S204:AG204,增益!$A:$A,增益!$H:$H,0))</f>
        <v>0</v>
      </c>
      <c r="AT204">
        <f t="shared" si="94"/>
        <v>538</v>
      </c>
      <c r="AU204">
        <f t="shared" si="95"/>
        <v>1011</v>
      </c>
      <c r="AV204" s="29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0.075</v>
      </c>
      <c r="AW204" s="29" cm="1">
        <f t="array" ref="AW204">$G$11+VLOOKUP($R204,武学奇术!$A:$ZZ,10,FALSE)+SUM(_xlfn.XLOOKUP(S204:AG204,增益!$A:$A,增益!$J:$J,0))</f>
        <v>0.25</v>
      </c>
      <c r="AX204">
        <f t="shared" si="96"/>
        <v>0</v>
      </c>
      <c r="AY204">
        <f t="shared" si="97"/>
        <v>0</v>
      </c>
      <c r="AZ204" s="29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29" cm="1">
        <f t="array" ref="BA204">$G$12+VLOOKUP($R204,武学奇术!$A:$ZZ,12,FALSE)+SUM(_xlfn.XLOOKUP(S204:AG204,增益!$A:$A,增益!$L:$L,0))</f>
        <v>0</v>
      </c>
      <c r="BB204">
        <f t="shared" si="98"/>
        <v>0</v>
      </c>
      <c r="BC204">
        <f t="shared" si="99"/>
        <v>0</v>
      </c>
      <c r="BD204" s="29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29" cm="1">
        <f t="array" ref="BE204">$G$13+VLOOKUP($R204,武学奇术!$A:$ZZ,14,FALSE)+SUM(_xlfn.XLOOKUP(S204:AG204,增益!$A:$A,增益!$N:$N,0))</f>
        <v>0</v>
      </c>
      <c r="BF204">
        <f t="shared" si="100"/>
        <v>0</v>
      </c>
      <c r="BG204">
        <f t="shared" si="101"/>
        <v>0</v>
      </c>
      <c r="BH204" s="29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29" cm="1">
        <f t="array" ref="BI204">$G$14+VLOOKUP($R204,武学奇术!$A:$ZZ,16,FALSE)+SUM(_xlfn.XLOOKUP(S204:AG204,增益!$A:$A,增益!$P:$P,0))</f>
        <v>0</v>
      </c>
      <c r="BJ204" s="20">
        <f>MIN(IF(VLOOKUP($R204,武学奇术!$A:$ZZ,23,FALSE)=1,100%,$B$8),100%)</f>
        <v>0.8271</v>
      </c>
      <c r="BK204" s="20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0.2249</v>
      </c>
      <c r="BL204" s="20" cm="1">
        <f t="array" ref="BL204">1+$B$13+VLOOKUP($R204,武学奇术!$A:$ZZ,18,FALSE)+SUM(_xlfn.XLOOKUP(S204:AG204,增益!$A:$A,增益!$R:$R,0))</f>
        <v>1.5</v>
      </c>
      <c r="BM204" s="20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0.4459</v>
      </c>
      <c r="BN204" s="20" cm="1">
        <f t="array" ref="BN204">1+$B$14+VLOOKUP($R204,武学奇术!$A:$ZZ,20,FALSE)+SUM(_xlfn.XLOOKUP(S204:AG204,增益!$A:$A,增益!$T:$T,0))</f>
        <v>1.782</v>
      </c>
      <c r="BO204" s="20">
        <f t="shared" si="102"/>
        <v>0.18601479</v>
      </c>
      <c r="BP204" s="20">
        <f t="shared" si="103"/>
        <v>0.27228132</v>
      </c>
      <c r="BQ204" s="20">
        <f>IF(VLOOKUP($R204,武学奇术!$A:$ZZ,22,FALSE)=1,0,(1-$BJ204))*(1-$BM204)</f>
        <v>0.09580389</v>
      </c>
      <c r="BR204" s="20" cm="1">
        <f t="array" ref="BR204">SUM(_xlfn.XLOOKUP(S204:AG204,增益!$A:$A,增益!$W:$W,0))+$I$5</f>
        <v>0.31</v>
      </c>
    </row>
    <row r="205" spans="11:70">
      <c r="K205" s="27">
        <f>$L205*VLOOKUP($R205,武学奇术!$A:$ZZ,31,FALSE)</f>
        <v>5606.27545151673</v>
      </c>
      <c r="L205" s="27">
        <f t="shared" si="104"/>
        <v>9343.79241919455</v>
      </c>
      <c r="M205" s="27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7670.76328109514</v>
      </c>
      <c r="N205" s="27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14139.5666731517</v>
      </c>
      <c r="O205" s="27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5113.84218739676</v>
      </c>
      <c r="P205" s="27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2293.02294204843</v>
      </c>
      <c r="Q205" s="35">
        <v>1</v>
      </c>
      <c r="R205" s="36" t="s">
        <v>164</v>
      </c>
      <c r="S205" s="36" t="s">
        <v>152</v>
      </c>
      <c r="T205" s="36" t="s">
        <v>99</v>
      </c>
      <c r="U205" s="36" t="s">
        <v>100</v>
      </c>
      <c r="V205" s="36" t="s">
        <v>71</v>
      </c>
      <c r="W205" s="36" t="s">
        <v>111</v>
      </c>
      <c r="X205" s="36" t="s">
        <v>71</v>
      </c>
      <c r="Y205" s="36" t="s">
        <v>153</v>
      </c>
      <c r="Z205" s="36" t="s">
        <v>71</v>
      </c>
      <c r="AA205" s="36" t="s">
        <v>71</v>
      </c>
      <c r="AB205" s="36" t="s">
        <v>71</v>
      </c>
      <c r="AC205" s="36" t="s">
        <v>71</v>
      </c>
      <c r="AD205" s="36" t="s">
        <v>72</v>
      </c>
      <c r="AE205" s="36" t="s">
        <v>94</v>
      </c>
      <c r="AF205" s="36" t="s">
        <v>154</v>
      </c>
      <c r="AG205" s="36" t="s">
        <v>120</v>
      </c>
      <c r="AH205" t="str">
        <f>VLOOKUP($R205,武学奇术!$A:$ZZ,25,FALSE)</f>
        <v>剑</v>
      </c>
      <c r="AI205" s="20">
        <f>VLOOKUP($R205,武学奇术!$A:$ZZ,26,FALSE)</f>
        <v>0.1716</v>
      </c>
      <c r="AJ205" s="21">
        <f>VLOOKUP($R205,武学奇术!$A:$ZZ,27,FALSE)*(1+IF(OR($AH205=$F$4,$AH205=$F$5),$B$22,0))</f>
        <v>0</v>
      </c>
      <c r="AK205" s="20">
        <f>VLOOKUP($R205,武学奇术!$A:$ZZ,28,FALSE)</f>
        <v>0.2574</v>
      </c>
      <c r="AL205" s="21">
        <f>VLOOKUP($R205,武学奇术!$A:$ZZ,29,FALSE)*(1+IF(OR($AH205=$F$4,$AH205=$F$5),$B$22,0))</f>
        <v>0</v>
      </c>
      <c r="AM205" s="20" cm="1">
        <f t="array" ref="AM205">$G$3+IFERROR(VLOOKUP($AH205,$F$4:$G$7,2,FALSE),0)+VLOOKUP($R205,武学奇术!$A:$ZZ,2,FALSE)+SUM(_xlfn.XLOOKUP($S205:$AG205,增益!$A:$A,增益!$B:$B,0))</f>
        <v>1.3191</v>
      </c>
      <c r="AN205" s="20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1585.72</v>
      </c>
      <c r="AP205" cm="1">
        <f t="array" ref="AP205">$E$10*(1+$AN205)+VLOOKUP($R205,武学奇术!$A:$ZZ,4,FALSE)+SUM(_xlfn.XLOOKUP($S205:$AG205,增益!$A:$A,增益!$D:$D,0))-$I$2</f>
        <v>6696.76</v>
      </c>
      <c r="AQ205" s="29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0.4175</v>
      </c>
      <c r="AR205" s="29" cm="1">
        <f t="array" ref="AR205">$G$10+VLOOKUP($R205,武学奇术!$A:$ZZ,7,FALSE)+SUM(_xlfn.XLOOKUP(S205:AG205,增益!$A:$A,增益!$G:$G,0))</f>
        <v>0</v>
      </c>
      <c r="AS205" s="20" cm="1">
        <f t="array" ref="AS205">VLOOKUP($R205,武学奇术!$A:$ZZ,8,FALSE)+SUM(_xlfn.XLOOKUP(S205:AG205,增益!$A:$A,增益!$H:$H,0))</f>
        <v>0</v>
      </c>
      <c r="AT205">
        <f t="shared" si="94"/>
        <v>538</v>
      </c>
      <c r="AU205">
        <f t="shared" si="95"/>
        <v>1011</v>
      </c>
      <c r="AV205" s="29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0.075</v>
      </c>
      <c r="AW205" s="29" cm="1">
        <f t="array" ref="AW205">$G$11+VLOOKUP($R205,武学奇术!$A:$ZZ,10,FALSE)+SUM(_xlfn.XLOOKUP(S205:AG205,增益!$A:$A,增益!$J:$J,0))</f>
        <v>0.25</v>
      </c>
      <c r="AX205">
        <f t="shared" si="96"/>
        <v>0</v>
      </c>
      <c r="AY205">
        <f t="shared" si="97"/>
        <v>0</v>
      </c>
      <c r="AZ205" s="29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29" cm="1">
        <f t="array" ref="BA205">$G$12+VLOOKUP($R205,武学奇术!$A:$ZZ,12,FALSE)+SUM(_xlfn.XLOOKUP(S205:AG205,增益!$A:$A,增益!$L:$L,0))</f>
        <v>0</v>
      </c>
      <c r="BB205">
        <f t="shared" si="98"/>
        <v>0</v>
      </c>
      <c r="BC205">
        <f t="shared" si="99"/>
        <v>0</v>
      </c>
      <c r="BD205" s="29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29" cm="1">
        <f t="array" ref="BE205">$G$13+VLOOKUP($R205,武学奇术!$A:$ZZ,14,FALSE)+SUM(_xlfn.XLOOKUP(S205:AG205,增益!$A:$A,增益!$N:$N,0))</f>
        <v>0</v>
      </c>
      <c r="BF205">
        <f t="shared" si="100"/>
        <v>0</v>
      </c>
      <c r="BG205">
        <f t="shared" si="101"/>
        <v>0</v>
      </c>
      <c r="BH205" s="29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29" cm="1">
        <f t="array" ref="BI205">$G$14+VLOOKUP($R205,武学奇术!$A:$ZZ,16,FALSE)+SUM(_xlfn.XLOOKUP(S205:AG205,增益!$A:$A,增益!$P:$P,0))</f>
        <v>0</v>
      </c>
      <c r="BJ205" s="20">
        <f>MIN(IF(VLOOKUP($R205,武学奇术!$A:$ZZ,23,FALSE)=1,100%,$B$8),100%)</f>
        <v>0.8271</v>
      </c>
      <c r="BK205" s="20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0.2249</v>
      </c>
      <c r="BL205" s="20" cm="1">
        <f t="array" ref="BL205">1+$B$13+VLOOKUP($R205,武学奇术!$A:$ZZ,18,FALSE)+SUM(_xlfn.XLOOKUP(S205:AG205,增益!$A:$A,增益!$R:$R,0))</f>
        <v>1.5</v>
      </c>
      <c r="BM205" s="20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0.4459</v>
      </c>
      <c r="BN205" s="20" cm="1">
        <f t="array" ref="BN205">1+$B$14+VLOOKUP($R205,武学奇术!$A:$ZZ,20,FALSE)+SUM(_xlfn.XLOOKUP(S205:AG205,增益!$A:$A,增益!$T:$T,0))</f>
        <v>1.782</v>
      </c>
      <c r="BO205" s="20">
        <f t="shared" si="102"/>
        <v>0.18601479</v>
      </c>
      <c r="BP205" s="20">
        <f t="shared" si="103"/>
        <v>0.27228132</v>
      </c>
      <c r="BQ205" s="20">
        <f>IF(VLOOKUP($R205,武学奇术!$A:$ZZ,22,FALSE)=1,0,(1-$BJ205))*(1-$BM205)</f>
        <v>0.09580389</v>
      </c>
      <c r="BR205" s="20" cm="1">
        <f t="array" ref="BR205">SUM(_xlfn.XLOOKUP(S205:AG205,增益!$A:$A,增益!$W:$W,0))+$I$5</f>
        <v>0.31</v>
      </c>
    </row>
    <row r="206" spans="11:70">
      <c r="K206" s="27">
        <f>$L206*VLOOKUP($R206,武学奇术!$A:$ZZ,31,FALSE)</f>
        <v>4739.92878566885</v>
      </c>
      <c r="L206" s="27">
        <f t="shared" si="104"/>
        <v>7899.88130944808</v>
      </c>
      <c r="M206" s="27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6483.90479121463</v>
      </c>
      <c r="N206" s="27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11956.430277605</v>
      </c>
      <c r="O206" s="27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4322.60319414308</v>
      </c>
      <c r="P206" s="27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1935.64955461331</v>
      </c>
      <c r="Q206" s="35">
        <v>1</v>
      </c>
      <c r="R206" s="36" t="s">
        <v>164</v>
      </c>
      <c r="S206" s="36" t="s">
        <v>71</v>
      </c>
      <c r="T206" s="36" t="s">
        <v>99</v>
      </c>
      <c r="U206" s="36" t="s">
        <v>100</v>
      </c>
      <c r="V206" s="36" t="s">
        <v>71</v>
      </c>
      <c r="W206" s="36" t="s">
        <v>111</v>
      </c>
      <c r="X206" s="36" t="s">
        <v>71</v>
      </c>
      <c r="Y206" s="36" t="s">
        <v>71</v>
      </c>
      <c r="Z206" s="36" t="s">
        <v>82</v>
      </c>
      <c r="AA206" s="36" t="s">
        <v>71</v>
      </c>
      <c r="AB206" s="36" t="s">
        <v>71</v>
      </c>
      <c r="AC206" s="36" t="s">
        <v>71</v>
      </c>
      <c r="AD206" s="36" t="s">
        <v>72</v>
      </c>
      <c r="AE206" s="36" t="s">
        <v>94</v>
      </c>
      <c r="AF206" s="36" t="s">
        <v>154</v>
      </c>
      <c r="AG206" s="36" t="s">
        <v>120</v>
      </c>
      <c r="AH206" t="str">
        <f>VLOOKUP($R206,武学奇术!$A:$ZZ,25,FALSE)</f>
        <v>剑</v>
      </c>
      <c r="AI206" s="20">
        <f>VLOOKUP($R206,武学奇术!$A:$ZZ,26,FALSE)</f>
        <v>0.1716</v>
      </c>
      <c r="AJ206" s="21">
        <f>VLOOKUP($R206,武学奇术!$A:$ZZ,27,FALSE)*(1+IF(OR($AH206=$F$4,$AH206=$F$5),$B$22,0))</f>
        <v>0</v>
      </c>
      <c r="AK206" s="20">
        <f>VLOOKUP($R206,武学奇术!$A:$ZZ,28,FALSE)</f>
        <v>0.2574</v>
      </c>
      <c r="AL206" s="21">
        <f>VLOOKUP($R206,武学奇术!$A:$ZZ,29,FALSE)*(1+IF(OR($AH206=$F$4,$AH206=$F$5),$B$22,0))</f>
        <v>0</v>
      </c>
      <c r="AM206" s="20" cm="1">
        <f t="array" ref="AM206">$G$3+IFERROR(VLOOKUP($AH206,$F$4:$G$7,2,FALSE),0)+VLOOKUP($R206,武学奇术!$A:$ZZ,2,FALSE)+SUM(_xlfn.XLOOKUP($S206:$AG206,增益!$A:$A,增益!$B:$B,0))</f>
        <v>1.3191</v>
      </c>
      <c r="AN206" s="20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1585.72</v>
      </c>
      <c r="AP206" cm="1">
        <f t="array" ref="AP206">$E$10*(1+$AN206)+VLOOKUP($R206,武学奇术!$A:$ZZ,4,FALSE)+SUM(_xlfn.XLOOKUP($S206:$AG206,增益!$A:$A,增益!$D:$D,0))-$I$2</f>
        <v>6696.76</v>
      </c>
      <c r="AQ206" s="29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0.4175</v>
      </c>
      <c r="AR206" s="29" cm="1">
        <f t="array" ref="AR206">$G$10+VLOOKUP($R206,武学奇术!$A:$ZZ,7,FALSE)+SUM(_xlfn.XLOOKUP(S206:AG206,增益!$A:$A,增益!$G:$G,0))</f>
        <v>0</v>
      </c>
      <c r="AS206" s="20" cm="1">
        <f t="array" ref="AS206">VLOOKUP($R206,武学奇术!$A:$ZZ,8,FALSE)+SUM(_xlfn.XLOOKUP(S206:AG206,增益!$A:$A,增益!$H:$H,0))</f>
        <v>0</v>
      </c>
      <c r="AT206">
        <f t="shared" si="94"/>
        <v>538</v>
      </c>
      <c r="AU206">
        <f t="shared" si="95"/>
        <v>1011</v>
      </c>
      <c r="AV206" s="29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0.155</v>
      </c>
      <c r="AW206" s="29" cm="1">
        <f t="array" ref="AW206">$G$11+VLOOKUP($R206,武学奇术!$A:$ZZ,10,FALSE)+SUM(_xlfn.XLOOKUP(S206:AG206,增益!$A:$A,增益!$J:$J,0))</f>
        <v>0.15</v>
      </c>
      <c r="AX206">
        <f t="shared" si="96"/>
        <v>0</v>
      </c>
      <c r="AY206">
        <f t="shared" si="97"/>
        <v>0</v>
      </c>
      <c r="AZ206" s="29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-0.14</v>
      </c>
      <c r="BA206" s="29" cm="1">
        <f t="array" ref="BA206">$G$12+VLOOKUP($R206,武学奇术!$A:$ZZ,12,FALSE)+SUM(_xlfn.XLOOKUP(S206:AG206,增益!$A:$A,增益!$L:$L,0))</f>
        <v>0</v>
      </c>
      <c r="BB206">
        <f t="shared" si="98"/>
        <v>0</v>
      </c>
      <c r="BC206">
        <f t="shared" si="99"/>
        <v>0</v>
      </c>
      <c r="BD206" s="29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-0.14</v>
      </c>
      <c r="BE206" s="29" cm="1">
        <f t="array" ref="BE206">$G$13+VLOOKUP($R206,武学奇术!$A:$ZZ,14,FALSE)+SUM(_xlfn.XLOOKUP(S206:AG206,增益!$A:$A,增益!$N:$N,0))</f>
        <v>0</v>
      </c>
      <c r="BF206">
        <f t="shared" si="100"/>
        <v>0</v>
      </c>
      <c r="BG206">
        <f t="shared" si="101"/>
        <v>0</v>
      </c>
      <c r="BH206" s="29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-0.14</v>
      </c>
      <c r="BI206" s="29" cm="1">
        <f t="array" ref="BI206">$G$14+VLOOKUP($R206,武学奇术!$A:$ZZ,16,FALSE)+SUM(_xlfn.XLOOKUP(S206:AG206,增益!$A:$A,增益!$P:$P,0))</f>
        <v>0</v>
      </c>
      <c r="BJ206" s="20">
        <f>MIN(IF(VLOOKUP($R206,武学奇术!$A:$ZZ,23,FALSE)=1,100%,$B$8),100%)</f>
        <v>0.8271</v>
      </c>
      <c r="BK206" s="20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0.2249</v>
      </c>
      <c r="BL206" s="20" cm="1">
        <f t="array" ref="BL206">1+$B$13+VLOOKUP($R206,武学奇术!$A:$ZZ,18,FALSE)+SUM(_xlfn.XLOOKUP(S206:AG206,增益!$A:$A,增益!$R:$R,0))</f>
        <v>1.5</v>
      </c>
      <c r="BM206" s="20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0.4459</v>
      </c>
      <c r="BN206" s="20" cm="1">
        <f t="array" ref="BN206">1+$B$14+VLOOKUP($R206,武学奇术!$A:$ZZ,20,FALSE)+SUM(_xlfn.XLOOKUP(S206:AG206,增益!$A:$A,增益!$T:$T,0))</f>
        <v>1.782</v>
      </c>
      <c r="BO206" s="20">
        <f t="shared" si="102"/>
        <v>0.18601479</v>
      </c>
      <c r="BP206" s="20">
        <f t="shared" si="103"/>
        <v>0.27228132</v>
      </c>
      <c r="BQ206" s="20">
        <f>IF(VLOOKUP($R206,武学奇术!$A:$ZZ,22,FALSE)=1,0,(1-$BJ206))*(1-$BM206)</f>
        <v>0.09580389</v>
      </c>
      <c r="BR206" s="20" cm="1">
        <f t="array" ref="BR206">SUM(_xlfn.XLOOKUP(S206:AG206,增益!$A:$A,增益!$W:$W,0))+$I$5</f>
        <v>0.11</v>
      </c>
    </row>
    <row r="207" spans="11:70">
      <c r="K207" s="27">
        <f>$L207*VLOOKUP($R207,武学奇术!$A:$ZZ,31,FALSE)</f>
        <v>9479.8575713377</v>
      </c>
      <c r="L207" s="27">
        <f t="shared" si="104"/>
        <v>15799.7626188962</v>
      </c>
      <c r="M207" s="27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12967.8095824293</v>
      </c>
      <c r="N207" s="27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23912.8605552101</v>
      </c>
      <c r="O207" s="27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8645.20638828617</v>
      </c>
      <c r="P207" s="27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3871.29910922662</v>
      </c>
      <c r="Q207" s="35">
        <v>1</v>
      </c>
      <c r="R207" s="36" t="s">
        <v>162</v>
      </c>
      <c r="S207" s="36" t="s">
        <v>71</v>
      </c>
      <c r="T207" s="36" t="s">
        <v>99</v>
      </c>
      <c r="U207" s="36" t="s">
        <v>100</v>
      </c>
      <c r="V207" s="36" t="s">
        <v>71</v>
      </c>
      <c r="W207" s="36" t="s">
        <v>111</v>
      </c>
      <c r="X207" s="36" t="s">
        <v>71</v>
      </c>
      <c r="Y207" s="36" t="s">
        <v>71</v>
      </c>
      <c r="Z207" s="36" t="s">
        <v>82</v>
      </c>
      <c r="AA207" s="36" t="s">
        <v>71</v>
      </c>
      <c r="AB207" s="36" t="s">
        <v>71</v>
      </c>
      <c r="AC207" s="36" t="s">
        <v>71</v>
      </c>
      <c r="AD207" s="36" t="s">
        <v>72</v>
      </c>
      <c r="AE207" s="36" t="s">
        <v>94</v>
      </c>
      <c r="AF207" s="36" t="s">
        <v>154</v>
      </c>
      <c r="AG207" s="36" t="s">
        <v>120</v>
      </c>
      <c r="AH207" t="str">
        <f>VLOOKUP($R207,武学奇术!$A:$ZZ,25,FALSE)</f>
        <v>剑</v>
      </c>
      <c r="AI207" s="20">
        <f>VLOOKUP($R207,武学奇术!$A:$ZZ,26,FALSE)</f>
        <v>0.3432</v>
      </c>
      <c r="AJ207" s="21">
        <f>VLOOKUP($R207,武学奇术!$A:$ZZ,27,FALSE)*(1+IF(OR($AH207=$F$4,$AH207=$F$5),$B$22,0))</f>
        <v>0</v>
      </c>
      <c r="AK207" s="20">
        <f>VLOOKUP($R207,武学奇术!$A:$ZZ,28,FALSE)</f>
        <v>0.5148</v>
      </c>
      <c r="AL207" s="21">
        <f>VLOOKUP($R207,武学奇术!$A:$ZZ,29,FALSE)*(1+IF(OR($AH207=$F$4,$AH207=$F$5),$B$22,0))</f>
        <v>0</v>
      </c>
      <c r="AM207" s="20" cm="1">
        <f t="array" ref="AM207">$G$3+IFERROR(VLOOKUP($AH207,$F$4:$G$7,2,FALSE),0)+VLOOKUP($R207,武学奇术!$A:$ZZ,2,FALSE)+SUM(_xlfn.XLOOKUP($S207:$AG207,增益!$A:$A,增益!$B:$B,0))</f>
        <v>1.3191</v>
      </c>
      <c r="AN207" s="20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1585.72</v>
      </c>
      <c r="AP207" cm="1">
        <f t="array" ref="AP207">$E$10*(1+$AN207)+VLOOKUP($R207,武学奇术!$A:$ZZ,4,FALSE)+SUM(_xlfn.XLOOKUP($S207:$AG207,增益!$A:$A,增益!$D:$D,0))-$I$2</f>
        <v>6696.76</v>
      </c>
      <c r="AQ207" s="29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0.4175</v>
      </c>
      <c r="AR207" s="29" cm="1">
        <f t="array" ref="AR207">$G$10+VLOOKUP($R207,武学奇术!$A:$ZZ,7,FALSE)+SUM(_xlfn.XLOOKUP(S207:AG207,增益!$A:$A,增益!$G:$G,0))</f>
        <v>0</v>
      </c>
      <c r="AS207" s="20" cm="1">
        <f t="array" ref="AS207">VLOOKUP($R207,武学奇术!$A:$ZZ,8,FALSE)+SUM(_xlfn.XLOOKUP(S207:AG207,增益!$A:$A,增益!$H:$H,0))</f>
        <v>0</v>
      </c>
      <c r="AT207">
        <f t="shared" si="94"/>
        <v>538</v>
      </c>
      <c r="AU207">
        <f t="shared" si="95"/>
        <v>1011</v>
      </c>
      <c r="AV207" s="29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0.155</v>
      </c>
      <c r="AW207" s="29" cm="1">
        <f t="array" ref="AW207">$G$11+VLOOKUP($R207,武学奇术!$A:$ZZ,10,FALSE)+SUM(_xlfn.XLOOKUP(S207:AG207,增益!$A:$A,增益!$J:$J,0))</f>
        <v>0.15</v>
      </c>
      <c r="AX207">
        <f t="shared" si="96"/>
        <v>0</v>
      </c>
      <c r="AY207">
        <f t="shared" si="97"/>
        <v>0</v>
      </c>
      <c r="AZ207" s="29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-0.14</v>
      </c>
      <c r="BA207" s="29" cm="1">
        <f t="array" ref="BA207">$G$12+VLOOKUP($R207,武学奇术!$A:$ZZ,12,FALSE)+SUM(_xlfn.XLOOKUP(S207:AG207,增益!$A:$A,增益!$L:$L,0))</f>
        <v>0</v>
      </c>
      <c r="BB207">
        <f t="shared" si="98"/>
        <v>0</v>
      </c>
      <c r="BC207">
        <f t="shared" si="99"/>
        <v>0</v>
      </c>
      <c r="BD207" s="29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-0.14</v>
      </c>
      <c r="BE207" s="29" cm="1">
        <f t="array" ref="BE207">$G$13+VLOOKUP($R207,武学奇术!$A:$ZZ,14,FALSE)+SUM(_xlfn.XLOOKUP(S207:AG207,增益!$A:$A,增益!$N:$N,0))</f>
        <v>0</v>
      </c>
      <c r="BF207">
        <f t="shared" si="100"/>
        <v>0</v>
      </c>
      <c r="BG207">
        <f t="shared" si="101"/>
        <v>0</v>
      </c>
      <c r="BH207" s="29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-0.14</v>
      </c>
      <c r="BI207" s="29" cm="1">
        <f t="array" ref="BI207">$G$14+VLOOKUP($R207,武学奇术!$A:$ZZ,16,FALSE)+SUM(_xlfn.XLOOKUP(S207:AG207,增益!$A:$A,增益!$P:$P,0))</f>
        <v>0</v>
      </c>
      <c r="BJ207" s="20">
        <f>MIN(IF(VLOOKUP($R207,武学奇术!$A:$ZZ,23,FALSE)=1,100%,$B$8),100%)</f>
        <v>0.8271</v>
      </c>
      <c r="BK207" s="20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0.2249</v>
      </c>
      <c r="BL207" s="20" cm="1">
        <f t="array" ref="BL207">1+$B$13+VLOOKUP($R207,武学奇术!$A:$ZZ,18,FALSE)+SUM(_xlfn.XLOOKUP(S207:AG207,增益!$A:$A,增益!$R:$R,0))</f>
        <v>1.5</v>
      </c>
      <c r="BM207" s="20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0.4459</v>
      </c>
      <c r="BN207" s="20" cm="1">
        <f t="array" ref="BN207">1+$B$14+VLOOKUP($R207,武学奇术!$A:$ZZ,20,FALSE)+SUM(_xlfn.XLOOKUP(S207:AG207,增益!$A:$A,增益!$T:$T,0))</f>
        <v>1.782</v>
      </c>
      <c r="BO207" s="20">
        <f t="shared" si="102"/>
        <v>0.18601479</v>
      </c>
      <c r="BP207" s="20">
        <f t="shared" si="103"/>
        <v>0.27228132</v>
      </c>
      <c r="BQ207" s="20">
        <f>IF(VLOOKUP($R207,武学奇术!$A:$ZZ,22,FALSE)=1,0,(1-$BJ207))*(1-$BM207)</f>
        <v>0.09580389</v>
      </c>
      <c r="BR207" s="20" cm="1">
        <f t="array" ref="BR207">SUM(_xlfn.XLOOKUP(S207:AG207,增益!$A:$A,增益!$W:$W,0))+$I$5</f>
        <v>0.11</v>
      </c>
    </row>
    <row r="208" spans="11:70">
      <c r="K208" s="27">
        <f>$L208*VLOOKUP($R208,武学奇术!$A:$ZZ,31,FALSE)</f>
        <v>5687.91454280262</v>
      </c>
      <c r="L208" s="27">
        <f t="shared" si="104"/>
        <v>9479.8575713377</v>
      </c>
      <c r="M208" s="27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7780.68574945755</v>
      </c>
      <c r="N208" s="27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14347.716333126</v>
      </c>
      <c r="O208" s="27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5187.1238329717</v>
      </c>
      <c r="P208" s="27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2322.77946553597</v>
      </c>
      <c r="Q208" s="35">
        <v>1</v>
      </c>
      <c r="R208" s="36" t="s">
        <v>165</v>
      </c>
      <c r="S208" s="36" t="s">
        <v>71</v>
      </c>
      <c r="T208" s="36" t="s">
        <v>99</v>
      </c>
      <c r="U208" s="36" t="s">
        <v>100</v>
      </c>
      <c r="V208" s="36" t="s">
        <v>71</v>
      </c>
      <c r="W208" s="36" t="s">
        <v>111</v>
      </c>
      <c r="X208" s="36" t="s">
        <v>71</v>
      </c>
      <c r="Y208" s="36" t="s">
        <v>71</v>
      </c>
      <c r="Z208" s="36" t="s">
        <v>82</v>
      </c>
      <c r="AA208" s="36" t="s">
        <v>71</v>
      </c>
      <c r="AB208" s="36" t="s">
        <v>71</v>
      </c>
      <c r="AC208" s="36" t="s">
        <v>71</v>
      </c>
      <c r="AD208" s="36" t="s">
        <v>72</v>
      </c>
      <c r="AE208" s="36" t="s">
        <v>94</v>
      </c>
      <c r="AF208" s="36" t="s">
        <v>154</v>
      </c>
      <c r="AG208" s="36" t="s">
        <v>120</v>
      </c>
      <c r="AH208" t="str">
        <f>VLOOKUP($R208,武学奇术!$A:$ZZ,25,FALSE)</f>
        <v>剑</v>
      </c>
      <c r="AI208" s="20">
        <f>VLOOKUP($R208,武学奇术!$A:$ZZ,26,FALSE)</f>
        <v>0.20592</v>
      </c>
      <c r="AJ208" s="21">
        <f>VLOOKUP($R208,武学奇术!$A:$ZZ,27,FALSE)*(1+IF(OR($AH208=$F$4,$AH208=$F$5),$B$22,0))</f>
        <v>0</v>
      </c>
      <c r="AK208" s="20">
        <f>VLOOKUP($R208,武学奇术!$A:$ZZ,28,FALSE)</f>
        <v>0.30888</v>
      </c>
      <c r="AL208" s="21">
        <f>VLOOKUP($R208,武学奇术!$A:$ZZ,29,FALSE)*(1+IF(OR($AH208=$F$4,$AH208=$F$5),$B$22,0))</f>
        <v>0</v>
      </c>
      <c r="AM208" s="20" cm="1">
        <f t="array" ref="AM208">$G$3+IFERROR(VLOOKUP($AH208,$F$4:$G$7,2,FALSE),0)+VLOOKUP($R208,武学奇术!$A:$ZZ,2,FALSE)+SUM(_xlfn.XLOOKUP($S208:$AG208,增益!$A:$A,增益!$B:$B,0))</f>
        <v>1.3191</v>
      </c>
      <c r="AN208" s="20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1585.72</v>
      </c>
      <c r="AP208" cm="1">
        <f t="array" ref="AP208">$E$10*(1+$AN208)+VLOOKUP($R208,武学奇术!$A:$ZZ,4,FALSE)+SUM(_xlfn.XLOOKUP($S208:$AG208,增益!$A:$A,增益!$D:$D,0))-$I$2</f>
        <v>6696.76</v>
      </c>
      <c r="AQ208" s="29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0.4175</v>
      </c>
      <c r="AR208" s="29" cm="1">
        <f t="array" ref="AR208">$G$10+VLOOKUP($R208,武学奇术!$A:$ZZ,7,FALSE)+SUM(_xlfn.XLOOKUP(S208:AG208,增益!$A:$A,增益!$G:$G,0))</f>
        <v>0</v>
      </c>
      <c r="AS208" s="20" cm="1">
        <f t="array" ref="AS208">VLOOKUP($R208,武学奇术!$A:$ZZ,8,FALSE)+SUM(_xlfn.XLOOKUP(S208:AG208,增益!$A:$A,增益!$H:$H,0))</f>
        <v>0</v>
      </c>
      <c r="AT208">
        <f t="shared" ref="AT208:AT227" si="105">$D$11*(1+$AS208)</f>
        <v>538</v>
      </c>
      <c r="AU208">
        <f t="shared" ref="AU208:AU227" si="106">$E$11*(1+$AS208)</f>
        <v>1011</v>
      </c>
      <c r="AV208" s="29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0.155</v>
      </c>
      <c r="AW208" s="29" cm="1">
        <f t="array" ref="AW208">$G$11+VLOOKUP($R208,武学奇术!$A:$ZZ,10,FALSE)+SUM(_xlfn.XLOOKUP(S208:AG208,增益!$A:$A,增益!$J:$J,0))</f>
        <v>0.15</v>
      </c>
      <c r="AX208">
        <f t="shared" ref="AX208:AX227" si="107">$D$12*(1+$AS208)</f>
        <v>0</v>
      </c>
      <c r="AY208">
        <f t="shared" ref="AY208:AY227" si="108">$E$12*(1+$AS208)</f>
        <v>0</v>
      </c>
      <c r="AZ208" s="29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-0.14</v>
      </c>
      <c r="BA208" s="29" cm="1">
        <f t="array" ref="BA208">$G$12+VLOOKUP($R208,武学奇术!$A:$ZZ,12,FALSE)+SUM(_xlfn.XLOOKUP(S208:AG208,增益!$A:$A,增益!$L:$L,0))</f>
        <v>0</v>
      </c>
      <c r="BB208">
        <f t="shared" ref="BB208:BB227" si="109">$D$13*(1+$AS208)</f>
        <v>0</v>
      </c>
      <c r="BC208">
        <f t="shared" ref="BC208:BC227" si="110">$E$13*(1+$AS208)</f>
        <v>0</v>
      </c>
      <c r="BD208" s="29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-0.14</v>
      </c>
      <c r="BE208" s="29" cm="1">
        <f t="array" ref="BE208">$G$13+VLOOKUP($R208,武学奇术!$A:$ZZ,14,FALSE)+SUM(_xlfn.XLOOKUP(S208:AG208,增益!$A:$A,增益!$N:$N,0))</f>
        <v>0</v>
      </c>
      <c r="BF208">
        <f t="shared" ref="BF208:BF227" si="111">$D$14*(1+$AS208)</f>
        <v>0</v>
      </c>
      <c r="BG208">
        <f t="shared" ref="BG208:BG227" si="112">$E$14*(1+$AS208)</f>
        <v>0</v>
      </c>
      <c r="BH208" s="29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-0.14</v>
      </c>
      <c r="BI208" s="29" cm="1">
        <f t="array" ref="BI208">$G$14+VLOOKUP($R208,武学奇术!$A:$ZZ,16,FALSE)+SUM(_xlfn.XLOOKUP(S208:AG208,增益!$A:$A,增益!$P:$P,0))</f>
        <v>0</v>
      </c>
      <c r="BJ208" s="20">
        <f>MIN(IF(VLOOKUP($R208,武学奇术!$A:$ZZ,23,FALSE)=1,100%,$B$8),100%)</f>
        <v>0.8271</v>
      </c>
      <c r="BK208" s="20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0.2249</v>
      </c>
      <c r="BL208" s="20" cm="1">
        <f t="array" ref="BL208">1+$B$13+VLOOKUP($R208,武学奇术!$A:$ZZ,18,FALSE)+SUM(_xlfn.XLOOKUP(S208:AG208,增益!$A:$A,增益!$R:$R,0))</f>
        <v>1.5</v>
      </c>
      <c r="BM208" s="20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0.4459</v>
      </c>
      <c r="BN208" s="20" cm="1">
        <f t="array" ref="BN208">1+$B$14+VLOOKUP($R208,武学奇术!$A:$ZZ,20,FALSE)+SUM(_xlfn.XLOOKUP(S208:AG208,增益!$A:$A,增益!$T:$T,0))</f>
        <v>1.782</v>
      </c>
      <c r="BO208" s="20">
        <f t="shared" ref="BO208:BO227" si="113">MIN((1-BM208)*BJ208,BJ208*BK208)</f>
        <v>0.18601479</v>
      </c>
      <c r="BP208" s="20">
        <f t="shared" ref="BP208:BP227" si="114">1-BM208-BO208-BQ208</f>
        <v>0.27228132</v>
      </c>
      <c r="BQ208" s="20">
        <f>IF(VLOOKUP($R208,武学奇术!$A:$ZZ,22,FALSE)=1,0,(1-$BJ208))*(1-$BM208)</f>
        <v>0.09580389</v>
      </c>
      <c r="BR208" s="20" cm="1">
        <f t="array" ref="BR208">SUM(_xlfn.XLOOKUP(S208:AG208,增益!$A:$A,增益!$W:$W,0))+$I$5</f>
        <v>0.11</v>
      </c>
    </row>
    <row r="209" spans="11:70">
      <c r="K209" s="27">
        <f>$L209*VLOOKUP($R209,武学奇术!$A:$ZZ,31,FALSE)</f>
        <v>7583.88605707016</v>
      </c>
      <c r="L209" s="27">
        <f t="shared" si="104"/>
        <v>12639.8100951169</v>
      </c>
      <c r="M209" s="27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10374.2476659434</v>
      </c>
      <c r="N209" s="27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19130.2884441681</v>
      </c>
      <c r="O209" s="27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6916.16511062893</v>
      </c>
      <c r="P209" s="27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3097.0392873813</v>
      </c>
      <c r="Q209" s="35">
        <v>1</v>
      </c>
      <c r="R209" s="36" t="s">
        <v>163</v>
      </c>
      <c r="S209" s="36" t="s">
        <v>71</v>
      </c>
      <c r="T209" s="36" t="s">
        <v>99</v>
      </c>
      <c r="U209" s="36" t="s">
        <v>100</v>
      </c>
      <c r="V209" s="36" t="s">
        <v>71</v>
      </c>
      <c r="W209" s="36" t="s">
        <v>111</v>
      </c>
      <c r="X209" s="36" t="s">
        <v>71</v>
      </c>
      <c r="Y209" s="36" t="s">
        <v>71</v>
      </c>
      <c r="Z209" s="36" t="s">
        <v>82</v>
      </c>
      <c r="AA209" s="36" t="s">
        <v>71</v>
      </c>
      <c r="AB209" s="36" t="s">
        <v>71</v>
      </c>
      <c r="AC209" s="36" t="s">
        <v>71</v>
      </c>
      <c r="AD209" s="36" t="s">
        <v>72</v>
      </c>
      <c r="AE209" s="36" t="s">
        <v>94</v>
      </c>
      <c r="AF209" s="36" t="s">
        <v>154</v>
      </c>
      <c r="AG209" s="36" t="s">
        <v>120</v>
      </c>
      <c r="AH209" t="str">
        <f>VLOOKUP($R209,武学奇术!$A:$ZZ,25,FALSE)</f>
        <v>剑</v>
      </c>
      <c r="AI209" s="20">
        <f>VLOOKUP($R209,武学奇术!$A:$ZZ,26,FALSE)</f>
        <v>0.27456</v>
      </c>
      <c r="AJ209" s="21">
        <f>VLOOKUP($R209,武学奇术!$A:$ZZ,27,FALSE)*(1+IF(OR($AH209=$F$4,$AH209=$F$5),$B$22,0))</f>
        <v>0</v>
      </c>
      <c r="AK209" s="20">
        <f>VLOOKUP($R209,武学奇术!$A:$ZZ,28,FALSE)</f>
        <v>0.41184</v>
      </c>
      <c r="AL209" s="21">
        <f>VLOOKUP($R209,武学奇术!$A:$ZZ,29,FALSE)*(1+IF(OR($AH209=$F$4,$AH209=$F$5),$B$22,0))</f>
        <v>0</v>
      </c>
      <c r="AM209" s="20" cm="1">
        <f t="array" ref="AM209">$G$3+IFERROR(VLOOKUP($AH209,$F$4:$G$7,2,FALSE),0)+VLOOKUP($R209,武学奇术!$A:$ZZ,2,FALSE)+SUM(_xlfn.XLOOKUP($S209:$AG209,增益!$A:$A,增益!$B:$B,0))</f>
        <v>1.3191</v>
      </c>
      <c r="AN209" s="20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1585.72</v>
      </c>
      <c r="AP209" cm="1">
        <f t="array" ref="AP209">$E$10*(1+$AN209)+VLOOKUP($R209,武学奇术!$A:$ZZ,4,FALSE)+SUM(_xlfn.XLOOKUP($S209:$AG209,增益!$A:$A,增益!$D:$D,0))-$I$2</f>
        <v>6696.76</v>
      </c>
      <c r="AQ209" s="29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0.4175</v>
      </c>
      <c r="AR209" s="29" cm="1">
        <f t="array" ref="AR209">$G$10+VLOOKUP($R209,武学奇术!$A:$ZZ,7,FALSE)+SUM(_xlfn.XLOOKUP(S209:AG209,增益!$A:$A,增益!$G:$G,0))</f>
        <v>0</v>
      </c>
      <c r="AS209" s="20" cm="1">
        <f t="array" ref="AS209">VLOOKUP($R209,武学奇术!$A:$ZZ,8,FALSE)+SUM(_xlfn.XLOOKUP(S209:AG209,增益!$A:$A,增益!$H:$H,0))</f>
        <v>0</v>
      </c>
      <c r="AT209">
        <f t="shared" si="105"/>
        <v>538</v>
      </c>
      <c r="AU209">
        <f t="shared" si="106"/>
        <v>1011</v>
      </c>
      <c r="AV209" s="29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0.155</v>
      </c>
      <c r="AW209" s="29" cm="1">
        <f t="array" ref="AW209">$G$11+VLOOKUP($R209,武学奇术!$A:$ZZ,10,FALSE)+SUM(_xlfn.XLOOKUP(S209:AG209,增益!$A:$A,增益!$J:$J,0))</f>
        <v>0.15</v>
      </c>
      <c r="AX209">
        <f t="shared" si="107"/>
        <v>0</v>
      </c>
      <c r="AY209">
        <f t="shared" si="108"/>
        <v>0</v>
      </c>
      <c r="AZ209" s="29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-0.14</v>
      </c>
      <c r="BA209" s="29" cm="1">
        <f t="array" ref="BA209">$G$12+VLOOKUP($R209,武学奇术!$A:$ZZ,12,FALSE)+SUM(_xlfn.XLOOKUP(S209:AG209,增益!$A:$A,增益!$L:$L,0))</f>
        <v>0</v>
      </c>
      <c r="BB209">
        <f t="shared" si="109"/>
        <v>0</v>
      </c>
      <c r="BC209">
        <f t="shared" si="110"/>
        <v>0</v>
      </c>
      <c r="BD209" s="29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-0.14</v>
      </c>
      <c r="BE209" s="29" cm="1">
        <f t="array" ref="BE209">$G$13+VLOOKUP($R209,武学奇术!$A:$ZZ,14,FALSE)+SUM(_xlfn.XLOOKUP(S209:AG209,增益!$A:$A,增益!$N:$N,0))</f>
        <v>0</v>
      </c>
      <c r="BF209">
        <f t="shared" si="111"/>
        <v>0</v>
      </c>
      <c r="BG209">
        <f t="shared" si="112"/>
        <v>0</v>
      </c>
      <c r="BH209" s="29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-0.14</v>
      </c>
      <c r="BI209" s="29" cm="1">
        <f t="array" ref="BI209">$G$14+VLOOKUP($R209,武学奇术!$A:$ZZ,16,FALSE)+SUM(_xlfn.XLOOKUP(S209:AG209,增益!$A:$A,增益!$P:$P,0))</f>
        <v>0</v>
      </c>
      <c r="BJ209" s="20">
        <f>MIN(IF(VLOOKUP($R209,武学奇术!$A:$ZZ,23,FALSE)=1,100%,$B$8),100%)</f>
        <v>0.8271</v>
      </c>
      <c r="BK209" s="20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0.2249</v>
      </c>
      <c r="BL209" s="20" cm="1">
        <f t="array" ref="BL209">1+$B$13+VLOOKUP($R209,武学奇术!$A:$ZZ,18,FALSE)+SUM(_xlfn.XLOOKUP(S209:AG209,增益!$A:$A,增益!$R:$R,0))</f>
        <v>1.5</v>
      </c>
      <c r="BM209" s="20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0.4459</v>
      </c>
      <c r="BN209" s="20" cm="1">
        <f t="array" ref="BN209">1+$B$14+VLOOKUP($R209,武学奇术!$A:$ZZ,20,FALSE)+SUM(_xlfn.XLOOKUP(S209:AG209,增益!$A:$A,增益!$T:$T,0))</f>
        <v>1.782</v>
      </c>
      <c r="BO209" s="20">
        <f t="shared" si="113"/>
        <v>0.18601479</v>
      </c>
      <c r="BP209" s="20">
        <f t="shared" si="114"/>
        <v>0.27228132</v>
      </c>
      <c r="BQ209" s="20">
        <f>IF(VLOOKUP($R209,武学奇术!$A:$ZZ,22,FALSE)=1,0,(1-$BJ209))*(1-$BM209)</f>
        <v>0.09580389</v>
      </c>
      <c r="BR209" s="20" cm="1">
        <f t="array" ref="BR209">SUM(_xlfn.XLOOKUP(S209:AG209,增益!$A:$A,增益!$W:$W,0))+$I$5</f>
        <v>0.11</v>
      </c>
    </row>
    <row r="210" spans="11:70">
      <c r="K210" s="27">
        <f>$L210*VLOOKUP($R210,武学奇术!$A:$ZZ,31,FALSE)</f>
        <v>7583.88605707016</v>
      </c>
      <c r="L210" s="27">
        <f t="shared" si="104"/>
        <v>12639.8100951169</v>
      </c>
      <c r="M210" s="27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10374.2476659434</v>
      </c>
      <c r="N210" s="27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19130.2884441681</v>
      </c>
      <c r="O210" s="27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6916.16511062893</v>
      </c>
      <c r="P210" s="27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3097.0392873813</v>
      </c>
      <c r="Q210" s="35">
        <v>1</v>
      </c>
      <c r="R210" s="36" t="s">
        <v>163</v>
      </c>
      <c r="S210" s="36" t="s">
        <v>71</v>
      </c>
      <c r="T210" s="36" t="s">
        <v>99</v>
      </c>
      <c r="U210" s="36" t="s">
        <v>100</v>
      </c>
      <c r="V210" s="36" t="s">
        <v>71</v>
      </c>
      <c r="W210" s="36" t="s">
        <v>111</v>
      </c>
      <c r="X210" s="36" t="s">
        <v>71</v>
      </c>
      <c r="Y210" s="36" t="s">
        <v>71</v>
      </c>
      <c r="Z210" s="36" t="s">
        <v>82</v>
      </c>
      <c r="AA210" s="36" t="s">
        <v>71</v>
      </c>
      <c r="AB210" s="36" t="s">
        <v>71</v>
      </c>
      <c r="AC210" s="36" t="s">
        <v>71</v>
      </c>
      <c r="AD210" s="36" t="s">
        <v>72</v>
      </c>
      <c r="AE210" s="36" t="s">
        <v>94</v>
      </c>
      <c r="AF210" s="36" t="s">
        <v>154</v>
      </c>
      <c r="AG210" s="36" t="s">
        <v>120</v>
      </c>
      <c r="AH210" t="str">
        <f>VLOOKUP($R210,武学奇术!$A:$ZZ,25,FALSE)</f>
        <v>剑</v>
      </c>
      <c r="AI210" s="20">
        <f>VLOOKUP($R210,武学奇术!$A:$ZZ,26,FALSE)</f>
        <v>0.27456</v>
      </c>
      <c r="AJ210" s="21">
        <f>VLOOKUP($R210,武学奇术!$A:$ZZ,27,FALSE)*(1+IF(OR($AH210=$F$4,$AH210=$F$5),$B$22,0))</f>
        <v>0</v>
      </c>
      <c r="AK210" s="20">
        <f>VLOOKUP($R210,武学奇术!$A:$ZZ,28,FALSE)</f>
        <v>0.41184</v>
      </c>
      <c r="AL210" s="21">
        <f>VLOOKUP($R210,武学奇术!$A:$ZZ,29,FALSE)*(1+IF(OR($AH210=$F$4,$AH210=$F$5),$B$22,0))</f>
        <v>0</v>
      </c>
      <c r="AM210" s="20" cm="1">
        <f t="array" ref="AM210">$G$3+IFERROR(VLOOKUP($AH210,$F$4:$G$7,2,FALSE),0)+VLOOKUP($R210,武学奇术!$A:$ZZ,2,FALSE)+SUM(_xlfn.XLOOKUP($S210:$AG210,增益!$A:$A,增益!$B:$B,0))</f>
        <v>1.3191</v>
      </c>
      <c r="AN210" s="20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1585.72</v>
      </c>
      <c r="AP210" cm="1">
        <f t="array" ref="AP210">$E$10*(1+$AN210)+VLOOKUP($R210,武学奇术!$A:$ZZ,4,FALSE)+SUM(_xlfn.XLOOKUP($S210:$AG210,增益!$A:$A,增益!$D:$D,0))-$I$2</f>
        <v>6696.76</v>
      </c>
      <c r="AQ210" s="29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0.4175</v>
      </c>
      <c r="AR210" s="29" cm="1">
        <f t="array" ref="AR210">$G$10+VLOOKUP($R210,武学奇术!$A:$ZZ,7,FALSE)+SUM(_xlfn.XLOOKUP(S210:AG210,增益!$A:$A,增益!$G:$G,0))</f>
        <v>0</v>
      </c>
      <c r="AS210" s="20" cm="1">
        <f t="array" ref="AS210">VLOOKUP($R210,武学奇术!$A:$ZZ,8,FALSE)+SUM(_xlfn.XLOOKUP(S210:AG210,增益!$A:$A,增益!$H:$H,0))</f>
        <v>0</v>
      </c>
      <c r="AT210">
        <f t="shared" si="105"/>
        <v>538</v>
      </c>
      <c r="AU210">
        <f t="shared" si="106"/>
        <v>1011</v>
      </c>
      <c r="AV210" s="29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0.155</v>
      </c>
      <c r="AW210" s="29" cm="1">
        <f t="array" ref="AW210">$G$11+VLOOKUP($R210,武学奇术!$A:$ZZ,10,FALSE)+SUM(_xlfn.XLOOKUP(S210:AG210,增益!$A:$A,增益!$J:$J,0))</f>
        <v>0.15</v>
      </c>
      <c r="AX210">
        <f t="shared" si="107"/>
        <v>0</v>
      </c>
      <c r="AY210">
        <f t="shared" si="108"/>
        <v>0</v>
      </c>
      <c r="AZ210" s="29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-0.14</v>
      </c>
      <c r="BA210" s="29" cm="1">
        <f t="array" ref="BA210">$G$12+VLOOKUP($R210,武学奇术!$A:$ZZ,12,FALSE)+SUM(_xlfn.XLOOKUP(S210:AG210,增益!$A:$A,增益!$L:$L,0))</f>
        <v>0</v>
      </c>
      <c r="BB210">
        <f t="shared" si="109"/>
        <v>0</v>
      </c>
      <c r="BC210">
        <f t="shared" si="110"/>
        <v>0</v>
      </c>
      <c r="BD210" s="29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-0.14</v>
      </c>
      <c r="BE210" s="29" cm="1">
        <f t="array" ref="BE210">$G$13+VLOOKUP($R210,武学奇术!$A:$ZZ,14,FALSE)+SUM(_xlfn.XLOOKUP(S210:AG210,增益!$A:$A,增益!$N:$N,0))</f>
        <v>0</v>
      </c>
      <c r="BF210">
        <f t="shared" si="111"/>
        <v>0</v>
      </c>
      <c r="BG210">
        <f t="shared" si="112"/>
        <v>0</v>
      </c>
      <c r="BH210" s="29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-0.14</v>
      </c>
      <c r="BI210" s="29" cm="1">
        <f t="array" ref="BI210">$G$14+VLOOKUP($R210,武学奇术!$A:$ZZ,16,FALSE)+SUM(_xlfn.XLOOKUP(S210:AG210,增益!$A:$A,增益!$P:$P,0))</f>
        <v>0</v>
      </c>
      <c r="BJ210" s="20">
        <f>MIN(IF(VLOOKUP($R210,武学奇术!$A:$ZZ,23,FALSE)=1,100%,$B$8),100%)</f>
        <v>0.8271</v>
      </c>
      <c r="BK210" s="20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0.2249</v>
      </c>
      <c r="BL210" s="20" cm="1">
        <f t="array" ref="BL210">1+$B$13+VLOOKUP($R210,武学奇术!$A:$ZZ,18,FALSE)+SUM(_xlfn.XLOOKUP(S210:AG210,增益!$A:$A,增益!$R:$R,0))</f>
        <v>1.5</v>
      </c>
      <c r="BM210" s="20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0.4459</v>
      </c>
      <c r="BN210" s="20" cm="1">
        <f t="array" ref="BN210">1+$B$14+VLOOKUP($R210,武学奇术!$A:$ZZ,20,FALSE)+SUM(_xlfn.XLOOKUP(S210:AG210,增益!$A:$A,增益!$T:$T,0))</f>
        <v>1.782</v>
      </c>
      <c r="BO210" s="20">
        <f t="shared" si="113"/>
        <v>0.18601479</v>
      </c>
      <c r="BP210" s="20">
        <f t="shared" si="114"/>
        <v>0.27228132</v>
      </c>
      <c r="BQ210" s="20">
        <f>IF(VLOOKUP($R210,武学奇术!$A:$ZZ,22,FALSE)=1,0,(1-$BJ210))*(1-$BM210)</f>
        <v>0.09580389</v>
      </c>
      <c r="BR210" s="20" cm="1">
        <f t="array" ref="BR210">SUM(_xlfn.XLOOKUP(S210:AG210,增益!$A:$A,增益!$W:$W,0))+$I$5</f>
        <v>0.11</v>
      </c>
    </row>
    <row r="211" spans="11:70">
      <c r="K211" s="27">
        <f>$L211*VLOOKUP($R211,武学奇术!$A:$ZZ,31,FALSE)</f>
        <v>7583.88605707016</v>
      </c>
      <c r="L211" s="27">
        <f t="shared" si="104"/>
        <v>12639.8100951169</v>
      </c>
      <c r="M211" s="27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10374.2476659434</v>
      </c>
      <c r="N211" s="27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19130.2884441681</v>
      </c>
      <c r="O211" s="27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6916.16511062893</v>
      </c>
      <c r="P211" s="27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3097.0392873813</v>
      </c>
      <c r="Q211" s="35">
        <v>1</v>
      </c>
      <c r="R211" s="36" t="s">
        <v>163</v>
      </c>
      <c r="S211" s="36" t="s">
        <v>71</v>
      </c>
      <c r="T211" s="36" t="s">
        <v>99</v>
      </c>
      <c r="U211" s="36" t="s">
        <v>100</v>
      </c>
      <c r="V211" s="36" t="s">
        <v>71</v>
      </c>
      <c r="W211" s="36" t="s">
        <v>111</v>
      </c>
      <c r="X211" s="36" t="s">
        <v>71</v>
      </c>
      <c r="Y211" s="36" t="s">
        <v>71</v>
      </c>
      <c r="Z211" s="36" t="s">
        <v>82</v>
      </c>
      <c r="AA211" s="36" t="s">
        <v>71</v>
      </c>
      <c r="AB211" s="36" t="s">
        <v>71</v>
      </c>
      <c r="AC211" s="36" t="s">
        <v>71</v>
      </c>
      <c r="AD211" s="36" t="s">
        <v>72</v>
      </c>
      <c r="AE211" s="36" t="s">
        <v>94</v>
      </c>
      <c r="AF211" s="36" t="s">
        <v>154</v>
      </c>
      <c r="AG211" s="36" t="s">
        <v>120</v>
      </c>
      <c r="AH211" t="str">
        <f>VLOOKUP($R211,武学奇术!$A:$ZZ,25,FALSE)</f>
        <v>剑</v>
      </c>
      <c r="AI211" s="20">
        <f>VLOOKUP($R211,武学奇术!$A:$ZZ,26,FALSE)</f>
        <v>0.27456</v>
      </c>
      <c r="AJ211" s="21">
        <f>VLOOKUP($R211,武学奇术!$A:$ZZ,27,FALSE)*(1+IF(OR($AH211=$F$4,$AH211=$F$5),$B$22,0))</f>
        <v>0</v>
      </c>
      <c r="AK211" s="20">
        <f>VLOOKUP($R211,武学奇术!$A:$ZZ,28,FALSE)</f>
        <v>0.41184</v>
      </c>
      <c r="AL211" s="21">
        <f>VLOOKUP($R211,武学奇术!$A:$ZZ,29,FALSE)*(1+IF(OR($AH211=$F$4,$AH211=$F$5),$B$22,0))</f>
        <v>0</v>
      </c>
      <c r="AM211" s="20" cm="1">
        <f t="array" ref="AM211">$G$3+IFERROR(VLOOKUP($AH211,$F$4:$G$7,2,FALSE),0)+VLOOKUP($R211,武学奇术!$A:$ZZ,2,FALSE)+SUM(_xlfn.XLOOKUP($S211:$AG211,增益!$A:$A,增益!$B:$B,0))</f>
        <v>1.3191</v>
      </c>
      <c r="AN211" s="20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1585.72</v>
      </c>
      <c r="AP211" cm="1">
        <f t="array" ref="AP211">$E$10*(1+$AN211)+VLOOKUP($R211,武学奇术!$A:$ZZ,4,FALSE)+SUM(_xlfn.XLOOKUP($S211:$AG211,增益!$A:$A,增益!$D:$D,0))-$I$2</f>
        <v>6696.76</v>
      </c>
      <c r="AQ211" s="29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0.4175</v>
      </c>
      <c r="AR211" s="29" cm="1">
        <f t="array" ref="AR211">$G$10+VLOOKUP($R211,武学奇术!$A:$ZZ,7,FALSE)+SUM(_xlfn.XLOOKUP(S211:AG211,增益!$A:$A,增益!$G:$G,0))</f>
        <v>0</v>
      </c>
      <c r="AS211" s="20" cm="1">
        <f t="array" ref="AS211">VLOOKUP($R211,武学奇术!$A:$ZZ,8,FALSE)+SUM(_xlfn.XLOOKUP(S211:AG211,增益!$A:$A,增益!$H:$H,0))</f>
        <v>0</v>
      </c>
      <c r="AT211">
        <f t="shared" si="105"/>
        <v>538</v>
      </c>
      <c r="AU211">
        <f t="shared" si="106"/>
        <v>1011</v>
      </c>
      <c r="AV211" s="29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0.155</v>
      </c>
      <c r="AW211" s="29" cm="1">
        <f t="array" ref="AW211">$G$11+VLOOKUP($R211,武学奇术!$A:$ZZ,10,FALSE)+SUM(_xlfn.XLOOKUP(S211:AG211,增益!$A:$A,增益!$J:$J,0))</f>
        <v>0.15</v>
      </c>
      <c r="AX211">
        <f t="shared" si="107"/>
        <v>0</v>
      </c>
      <c r="AY211">
        <f t="shared" si="108"/>
        <v>0</v>
      </c>
      <c r="AZ211" s="29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-0.14</v>
      </c>
      <c r="BA211" s="29" cm="1">
        <f t="array" ref="BA211">$G$12+VLOOKUP($R211,武学奇术!$A:$ZZ,12,FALSE)+SUM(_xlfn.XLOOKUP(S211:AG211,增益!$A:$A,增益!$L:$L,0))</f>
        <v>0</v>
      </c>
      <c r="BB211">
        <f t="shared" si="109"/>
        <v>0</v>
      </c>
      <c r="BC211">
        <f t="shared" si="110"/>
        <v>0</v>
      </c>
      <c r="BD211" s="29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-0.14</v>
      </c>
      <c r="BE211" s="29" cm="1">
        <f t="array" ref="BE211">$G$13+VLOOKUP($R211,武学奇术!$A:$ZZ,14,FALSE)+SUM(_xlfn.XLOOKUP(S211:AG211,增益!$A:$A,增益!$N:$N,0))</f>
        <v>0</v>
      </c>
      <c r="BF211">
        <f t="shared" si="111"/>
        <v>0</v>
      </c>
      <c r="BG211">
        <f t="shared" si="112"/>
        <v>0</v>
      </c>
      <c r="BH211" s="29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-0.14</v>
      </c>
      <c r="BI211" s="29" cm="1">
        <f t="array" ref="BI211">$G$14+VLOOKUP($R211,武学奇术!$A:$ZZ,16,FALSE)+SUM(_xlfn.XLOOKUP(S211:AG211,增益!$A:$A,增益!$P:$P,0))</f>
        <v>0</v>
      </c>
      <c r="BJ211" s="20">
        <f>MIN(IF(VLOOKUP($R211,武学奇术!$A:$ZZ,23,FALSE)=1,100%,$B$8),100%)</f>
        <v>0.8271</v>
      </c>
      <c r="BK211" s="20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0.2249</v>
      </c>
      <c r="BL211" s="20" cm="1">
        <f t="array" ref="BL211">1+$B$13+VLOOKUP($R211,武学奇术!$A:$ZZ,18,FALSE)+SUM(_xlfn.XLOOKUP(S211:AG211,增益!$A:$A,增益!$R:$R,0))</f>
        <v>1.5</v>
      </c>
      <c r="BM211" s="20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0.4459</v>
      </c>
      <c r="BN211" s="20" cm="1">
        <f t="array" ref="BN211">1+$B$14+VLOOKUP($R211,武学奇术!$A:$ZZ,20,FALSE)+SUM(_xlfn.XLOOKUP(S211:AG211,增益!$A:$A,增益!$T:$T,0))</f>
        <v>1.782</v>
      </c>
      <c r="BO211" s="20">
        <f t="shared" si="113"/>
        <v>0.18601479</v>
      </c>
      <c r="BP211" s="20">
        <f t="shared" si="114"/>
        <v>0.27228132</v>
      </c>
      <c r="BQ211" s="20">
        <f>IF(VLOOKUP($R211,武学奇术!$A:$ZZ,22,FALSE)=1,0,(1-$BJ211))*(1-$BM211)</f>
        <v>0.09580389</v>
      </c>
      <c r="BR211" s="20" cm="1">
        <f t="array" ref="BR211">SUM(_xlfn.XLOOKUP(S211:AG211,增益!$A:$A,增益!$W:$W,0))+$I$5</f>
        <v>0.11</v>
      </c>
    </row>
    <row r="212" spans="11:70">
      <c r="K212" s="27">
        <f>$L212*VLOOKUP($R212,武学奇术!$A:$ZZ,31,FALSE)</f>
        <v>7548.4239185184</v>
      </c>
      <c r="L212" s="27">
        <f t="shared" si="104"/>
        <v>12580.706530864</v>
      </c>
      <c r="M212" s="27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10312.754100781</v>
      </c>
      <c r="N212" s="27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19057.2340887552</v>
      </c>
      <c r="O212" s="27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6875.16940052069</v>
      </c>
      <c r="P212" s="27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3056.04357727305</v>
      </c>
      <c r="Q212" s="35">
        <v>1</v>
      </c>
      <c r="R212" s="36" t="s">
        <v>163</v>
      </c>
      <c r="S212" s="36" t="s">
        <v>71</v>
      </c>
      <c r="T212" s="36" t="s">
        <v>99</v>
      </c>
      <c r="U212" s="36" t="s">
        <v>100</v>
      </c>
      <c r="V212" s="36" t="s">
        <v>71</v>
      </c>
      <c r="W212" s="36" t="s">
        <v>71</v>
      </c>
      <c r="X212" s="36" t="s">
        <v>71</v>
      </c>
      <c r="Y212" s="36" t="s">
        <v>71</v>
      </c>
      <c r="Z212" s="36" t="s">
        <v>82</v>
      </c>
      <c r="AA212" s="36" t="s">
        <v>71</v>
      </c>
      <c r="AB212" s="36" t="s">
        <v>71</v>
      </c>
      <c r="AC212" s="36" t="s">
        <v>71</v>
      </c>
      <c r="AD212" s="36" t="s">
        <v>72</v>
      </c>
      <c r="AE212" s="36" t="s">
        <v>94</v>
      </c>
      <c r="AF212" s="36" t="s">
        <v>154</v>
      </c>
      <c r="AG212" s="36" t="s">
        <v>120</v>
      </c>
      <c r="AH212" t="str">
        <f>VLOOKUP($R212,武学奇术!$A:$ZZ,25,FALSE)</f>
        <v>剑</v>
      </c>
      <c r="AI212" s="20">
        <f>VLOOKUP($R212,武学奇术!$A:$ZZ,26,FALSE)</f>
        <v>0.27456</v>
      </c>
      <c r="AJ212" s="21">
        <f>VLOOKUP($R212,武学奇术!$A:$ZZ,27,FALSE)*(1+IF(OR($AH212=$F$4,$AH212=$F$5),$B$22,0))</f>
        <v>0</v>
      </c>
      <c r="AK212" s="20">
        <f>VLOOKUP($R212,武学奇术!$A:$ZZ,28,FALSE)</f>
        <v>0.41184</v>
      </c>
      <c r="AL212" s="21">
        <f>VLOOKUP($R212,武学奇术!$A:$ZZ,29,FALSE)*(1+IF(OR($AH212=$F$4,$AH212=$F$5),$B$22,0))</f>
        <v>0</v>
      </c>
      <c r="AM212" s="20" cm="1">
        <f t="array" ref="AM212">$G$3+IFERROR(VLOOKUP($AH212,$F$4:$G$7,2,FALSE),0)+VLOOKUP($R212,武学奇术!$A:$ZZ,2,FALSE)+SUM(_xlfn.XLOOKUP($S212:$AG212,增益!$A:$A,增益!$B:$B,0))</f>
        <v>1.3191</v>
      </c>
      <c r="AN212" s="20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1554.72</v>
      </c>
      <c r="AP212" cm="1">
        <f t="array" ref="AP212">$E$10*(1+$AN212)+VLOOKUP($R212,武学奇术!$A:$ZZ,4,FALSE)+SUM(_xlfn.XLOOKUP($S212:$AG212,增益!$A:$A,增益!$D:$D,0))-$I$2</f>
        <v>6665.76</v>
      </c>
      <c r="AQ212" s="29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0.4175</v>
      </c>
      <c r="AR212" s="29" cm="1">
        <f t="array" ref="AR212">$G$10+VLOOKUP($R212,武学奇术!$A:$ZZ,7,FALSE)+SUM(_xlfn.XLOOKUP(S212:AG212,增益!$A:$A,增益!$G:$G,0))</f>
        <v>0</v>
      </c>
      <c r="AS212" s="20" cm="1">
        <f t="array" ref="AS212">VLOOKUP($R212,武学奇术!$A:$ZZ,8,FALSE)+SUM(_xlfn.XLOOKUP(S212:AG212,增益!$A:$A,增益!$H:$H,0))</f>
        <v>0</v>
      </c>
      <c r="AT212">
        <f t="shared" si="105"/>
        <v>538</v>
      </c>
      <c r="AU212">
        <f t="shared" si="106"/>
        <v>1011</v>
      </c>
      <c r="AV212" s="29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0.155</v>
      </c>
      <c r="AW212" s="29" cm="1">
        <f t="array" ref="AW212">$G$11+VLOOKUP($R212,武学奇术!$A:$ZZ,10,FALSE)+SUM(_xlfn.XLOOKUP(S212:AG212,增益!$A:$A,增益!$J:$J,0))</f>
        <v>0.15</v>
      </c>
      <c r="AX212">
        <f t="shared" si="107"/>
        <v>0</v>
      </c>
      <c r="AY212">
        <f t="shared" si="108"/>
        <v>0</v>
      </c>
      <c r="AZ212" s="29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-0.14</v>
      </c>
      <c r="BA212" s="29" cm="1">
        <f t="array" ref="BA212">$G$12+VLOOKUP($R212,武学奇术!$A:$ZZ,12,FALSE)+SUM(_xlfn.XLOOKUP(S212:AG212,增益!$A:$A,增益!$L:$L,0))</f>
        <v>0</v>
      </c>
      <c r="BB212">
        <f t="shared" si="109"/>
        <v>0</v>
      </c>
      <c r="BC212">
        <f t="shared" si="110"/>
        <v>0</v>
      </c>
      <c r="BD212" s="29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-0.14</v>
      </c>
      <c r="BE212" s="29" cm="1">
        <f t="array" ref="BE212">$G$13+VLOOKUP($R212,武学奇术!$A:$ZZ,14,FALSE)+SUM(_xlfn.XLOOKUP(S212:AG212,增益!$A:$A,增益!$N:$N,0))</f>
        <v>0</v>
      </c>
      <c r="BF212">
        <f t="shared" si="111"/>
        <v>0</v>
      </c>
      <c r="BG212">
        <f t="shared" si="112"/>
        <v>0</v>
      </c>
      <c r="BH212" s="29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-0.14</v>
      </c>
      <c r="BI212" s="29" cm="1">
        <f t="array" ref="BI212">$G$14+VLOOKUP($R212,武学奇术!$A:$ZZ,16,FALSE)+SUM(_xlfn.XLOOKUP(S212:AG212,增益!$A:$A,增益!$P:$P,0))</f>
        <v>0</v>
      </c>
      <c r="BJ212" s="20">
        <f>MIN(IF(VLOOKUP($R212,武学奇术!$A:$ZZ,23,FALSE)=1,100%,$B$8),100%)</f>
        <v>0.8271</v>
      </c>
      <c r="BK212" s="20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0.2249</v>
      </c>
      <c r="BL212" s="20" cm="1">
        <f t="array" ref="BL212">1+$B$13+VLOOKUP($R212,武学奇术!$A:$ZZ,18,FALSE)+SUM(_xlfn.XLOOKUP(S212:AG212,增益!$A:$A,增益!$R:$R,0))</f>
        <v>1.5</v>
      </c>
      <c r="BM212" s="20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0.4459</v>
      </c>
      <c r="BN212" s="20" cm="1">
        <f t="array" ref="BN212">1+$B$14+VLOOKUP($R212,武学奇术!$A:$ZZ,20,FALSE)+SUM(_xlfn.XLOOKUP(S212:AG212,增益!$A:$A,增益!$T:$T,0))</f>
        <v>1.782</v>
      </c>
      <c r="BO212" s="20">
        <f t="shared" si="113"/>
        <v>0.18601479</v>
      </c>
      <c r="BP212" s="20">
        <f t="shared" si="114"/>
        <v>0.27228132</v>
      </c>
      <c r="BQ212" s="20">
        <f>IF(VLOOKUP($R212,武学奇术!$A:$ZZ,22,FALSE)=1,0,(1-$BJ212))*(1-$BM212)</f>
        <v>0.09580389</v>
      </c>
      <c r="BR212" s="20" cm="1">
        <f t="array" ref="BR212">SUM(_xlfn.XLOOKUP(S212:AG212,增益!$A:$A,增益!$W:$W,0))+$I$5</f>
        <v>0.11</v>
      </c>
    </row>
    <row r="213" spans="11:70">
      <c r="K213" s="27">
        <f>$L213*VLOOKUP($R213,武学奇术!$A:$ZZ,31,FALSE)</f>
        <v>4717.764949074</v>
      </c>
      <c r="L213" s="27">
        <f t="shared" si="104"/>
        <v>7862.94158179</v>
      </c>
      <c r="M213" s="27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6445.47131298814</v>
      </c>
      <c r="N213" s="27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11910.771305472</v>
      </c>
      <c r="O213" s="27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4296.98087532543</v>
      </c>
      <c r="P213" s="27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1910.02723579565</v>
      </c>
      <c r="Q213" s="35">
        <v>1</v>
      </c>
      <c r="R213" s="36" t="s">
        <v>164</v>
      </c>
      <c r="S213" s="36" t="s">
        <v>71</v>
      </c>
      <c r="T213" s="36" t="s">
        <v>99</v>
      </c>
      <c r="U213" s="36" t="s">
        <v>100</v>
      </c>
      <c r="V213" s="36" t="s">
        <v>71</v>
      </c>
      <c r="W213" s="36" t="s">
        <v>71</v>
      </c>
      <c r="X213" s="36" t="s">
        <v>71</v>
      </c>
      <c r="Y213" s="36" t="s">
        <v>71</v>
      </c>
      <c r="Z213" s="36" t="s">
        <v>82</v>
      </c>
      <c r="AA213" s="36" t="s">
        <v>71</v>
      </c>
      <c r="AB213" s="36" t="s">
        <v>71</v>
      </c>
      <c r="AC213" s="36" t="s">
        <v>71</v>
      </c>
      <c r="AD213" s="36" t="s">
        <v>72</v>
      </c>
      <c r="AE213" s="36" t="s">
        <v>94</v>
      </c>
      <c r="AF213" s="36" t="s">
        <v>154</v>
      </c>
      <c r="AG213" s="36" t="s">
        <v>120</v>
      </c>
      <c r="AH213" t="str">
        <f>VLOOKUP($R213,武学奇术!$A:$ZZ,25,FALSE)</f>
        <v>剑</v>
      </c>
      <c r="AI213" s="20">
        <f>VLOOKUP($R213,武学奇术!$A:$ZZ,26,FALSE)</f>
        <v>0.1716</v>
      </c>
      <c r="AJ213" s="21">
        <f>VLOOKUP($R213,武学奇术!$A:$ZZ,27,FALSE)*(1+IF(OR($AH213=$F$4,$AH213=$F$5),$B$22,0))</f>
        <v>0</v>
      </c>
      <c r="AK213" s="20">
        <f>VLOOKUP($R213,武学奇术!$A:$ZZ,28,FALSE)</f>
        <v>0.2574</v>
      </c>
      <c r="AL213" s="21">
        <f>VLOOKUP($R213,武学奇术!$A:$ZZ,29,FALSE)*(1+IF(OR($AH213=$F$4,$AH213=$F$5),$B$22,0))</f>
        <v>0</v>
      </c>
      <c r="AM213" s="20" cm="1">
        <f t="array" ref="AM213">$G$3+IFERROR(VLOOKUP($AH213,$F$4:$G$7,2,FALSE),0)+VLOOKUP($R213,武学奇术!$A:$ZZ,2,FALSE)+SUM(_xlfn.XLOOKUP($S213:$AG213,增益!$A:$A,增益!$B:$B,0))</f>
        <v>1.3191</v>
      </c>
      <c r="AN213" s="20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1554.72</v>
      </c>
      <c r="AP213" cm="1">
        <f t="array" ref="AP213">$E$10*(1+$AN213)+VLOOKUP($R213,武学奇术!$A:$ZZ,4,FALSE)+SUM(_xlfn.XLOOKUP($S213:$AG213,增益!$A:$A,增益!$D:$D,0))-$I$2</f>
        <v>6665.76</v>
      </c>
      <c r="AQ213" s="29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0.4175</v>
      </c>
      <c r="AR213" s="29" cm="1">
        <f t="array" ref="AR213">$G$10+VLOOKUP($R213,武学奇术!$A:$ZZ,7,FALSE)+SUM(_xlfn.XLOOKUP(S213:AG213,增益!$A:$A,增益!$G:$G,0))</f>
        <v>0</v>
      </c>
      <c r="AS213" s="20" cm="1">
        <f t="array" ref="AS213">VLOOKUP($R213,武学奇术!$A:$ZZ,8,FALSE)+SUM(_xlfn.XLOOKUP(S213:AG213,增益!$A:$A,增益!$H:$H,0))</f>
        <v>0</v>
      </c>
      <c r="AT213">
        <f t="shared" si="105"/>
        <v>538</v>
      </c>
      <c r="AU213">
        <f t="shared" si="106"/>
        <v>1011</v>
      </c>
      <c r="AV213" s="29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0.155</v>
      </c>
      <c r="AW213" s="29" cm="1">
        <f t="array" ref="AW213">$G$11+VLOOKUP($R213,武学奇术!$A:$ZZ,10,FALSE)+SUM(_xlfn.XLOOKUP(S213:AG213,增益!$A:$A,增益!$J:$J,0))</f>
        <v>0.15</v>
      </c>
      <c r="AX213">
        <f t="shared" si="107"/>
        <v>0</v>
      </c>
      <c r="AY213">
        <f t="shared" si="108"/>
        <v>0</v>
      </c>
      <c r="AZ213" s="29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-0.14</v>
      </c>
      <c r="BA213" s="29" cm="1">
        <f t="array" ref="BA213">$G$12+VLOOKUP($R213,武学奇术!$A:$ZZ,12,FALSE)+SUM(_xlfn.XLOOKUP(S213:AG213,增益!$A:$A,增益!$L:$L,0))</f>
        <v>0</v>
      </c>
      <c r="BB213">
        <f t="shared" si="109"/>
        <v>0</v>
      </c>
      <c r="BC213">
        <f t="shared" si="110"/>
        <v>0</v>
      </c>
      <c r="BD213" s="29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-0.14</v>
      </c>
      <c r="BE213" s="29" cm="1">
        <f t="array" ref="BE213">$G$13+VLOOKUP($R213,武学奇术!$A:$ZZ,14,FALSE)+SUM(_xlfn.XLOOKUP(S213:AG213,增益!$A:$A,增益!$N:$N,0))</f>
        <v>0</v>
      </c>
      <c r="BF213">
        <f t="shared" si="111"/>
        <v>0</v>
      </c>
      <c r="BG213">
        <f t="shared" si="112"/>
        <v>0</v>
      </c>
      <c r="BH213" s="29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-0.14</v>
      </c>
      <c r="BI213" s="29" cm="1">
        <f t="array" ref="BI213">$G$14+VLOOKUP($R213,武学奇术!$A:$ZZ,16,FALSE)+SUM(_xlfn.XLOOKUP(S213:AG213,增益!$A:$A,增益!$P:$P,0))</f>
        <v>0</v>
      </c>
      <c r="BJ213" s="20">
        <f>MIN(IF(VLOOKUP($R213,武学奇术!$A:$ZZ,23,FALSE)=1,100%,$B$8),100%)</f>
        <v>0.8271</v>
      </c>
      <c r="BK213" s="20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0.2249</v>
      </c>
      <c r="BL213" s="20" cm="1">
        <f t="array" ref="BL213">1+$B$13+VLOOKUP($R213,武学奇术!$A:$ZZ,18,FALSE)+SUM(_xlfn.XLOOKUP(S213:AG213,增益!$A:$A,增益!$R:$R,0))</f>
        <v>1.5</v>
      </c>
      <c r="BM213" s="20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0.4459</v>
      </c>
      <c r="BN213" s="20" cm="1">
        <f t="array" ref="BN213">1+$B$14+VLOOKUP($R213,武学奇术!$A:$ZZ,20,FALSE)+SUM(_xlfn.XLOOKUP(S213:AG213,增益!$A:$A,增益!$T:$T,0))</f>
        <v>1.782</v>
      </c>
      <c r="BO213" s="20">
        <f t="shared" si="113"/>
        <v>0.18601479</v>
      </c>
      <c r="BP213" s="20">
        <f t="shared" si="114"/>
        <v>0.27228132</v>
      </c>
      <c r="BQ213" s="20">
        <f>IF(VLOOKUP($R213,武学奇术!$A:$ZZ,22,FALSE)=1,0,(1-$BJ213))*(1-$BM213)</f>
        <v>0.09580389</v>
      </c>
      <c r="BR213" s="20" cm="1">
        <f t="array" ref="BR213">SUM(_xlfn.XLOOKUP(S213:AG213,增益!$A:$A,增益!$W:$W,0))+$I$5</f>
        <v>0.11</v>
      </c>
    </row>
    <row r="214" spans="11:70">
      <c r="K214" s="27">
        <f>$L214*VLOOKUP($R214,武学奇术!$A:$ZZ,31,FALSE)</f>
        <v>4717.764949074</v>
      </c>
      <c r="L214" s="27">
        <f t="shared" si="104"/>
        <v>7862.94158179</v>
      </c>
      <c r="M214" s="27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6445.47131298814</v>
      </c>
      <c r="N214" s="27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11910.771305472</v>
      </c>
      <c r="O214" s="27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4296.98087532543</v>
      </c>
      <c r="P214" s="27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1910.02723579565</v>
      </c>
      <c r="Q214" s="35">
        <v>1</v>
      </c>
      <c r="R214" s="36" t="s">
        <v>164</v>
      </c>
      <c r="S214" s="36" t="s">
        <v>71</v>
      </c>
      <c r="T214" s="36" t="s">
        <v>99</v>
      </c>
      <c r="U214" s="36" t="s">
        <v>100</v>
      </c>
      <c r="V214" s="36" t="s">
        <v>71</v>
      </c>
      <c r="W214" s="36" t="s">
        <v>71</v>
      </c>
      <c r="X214" s="36" t="s">
        <v>71</v>
      </c>
      <c r="Y214" s="36" t="s">
        <v>71</v>
      </c>
      <c r="Z214" s="36" t="s">
        <v>82</v>
      </c>
      <c r="AA214" s="36" t="s">
        <v>71</v>
      </c>
      <c r="AB214" s="36" t="s">
        <v>71</v>
      </c>
      <c r="AC214" s="36" t="s">
        <v>71</v>
      </c>
      <c r="AD214" s="36" t="s">
        <v>72</v>
      </c>
      <c r="AE214" s="36" t="s">
        <v>94</v>
      </c>
      <c r="AF214" s="36" t="s">
        <v>154</v>
      </c>
      <c r="AG214" s="36" t="s">
        <v>120</v>
      </c>
      <c r="AH214" t="str">
        <f>VLOOKUP($R214,武学奇术!$A:$ZZ,25,FALSE)</f>
        <v>剑</v>
      </c>
      <c r="AI214" s="20">
        <f>VLOOKUP($R214,武学奇术!$A:$ZZ,26,FALSE)</f>
        <v>0.1716</v>
      </c>
      <c r="AJ214" s="21">
        <f>VLOOKUP($R214,武学奇术!$A:$ZZ,27,FALSE)*(1+IF(OR($AH214=$F$4,$AH214=$F$5),$B$22,0))</f>
        <v>0</v>
      </c>
      <c r="AK214" s="20">
        <f>VLOOKUP($R214,武学奇术!$A:$ZZ,28,FALSE)</f>
        <v>0.2574</v>
      </c>
      <c r="AL214" s="21">
        <f>VLOOKUP($R214,武学奇术!$A:$ZZ,29,FALSE)*(1+IF(OR($AH214=$F$4,$AH214=$F$5),$B$22,0))</f>
        <v>0</v>
      </c>
      <c r="AM214" s="20" cm="1">
        <f t="array" ref="AM214">$G$3+IFERROR(VLOOKUP($AH214,$F$4:$G$7,2,FALSE),0)+VLOOKUP($R214,武学奇术!$A:$ZZ,2,FALSE)+SUM(_xlfn.XLOOKUP($S214:$AG214,增益!$A:$A,增益!$B:$B,0))</f>
        <v>1.3191</v>
      </c>
      <c r="AN214" s="20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1554.72</v>
      </c>
      <c r="AP214" cm="1">
        <f t="array" ref="AP214">$E$10*(1+$AN214)+VLOOKUP($R214,武学奇术!$A:$ZZ,4,FALSE)+SUM(_xlfn.XLOOKUP($S214:$AG214,增益!$A:$A,增益!$D:$D,0))-$I$2</f>
        <v>6665.76</v>
      </c>
      <c r="AQ214" s="29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0.4175</v>
      </c>
      <c r="AR214" s="29" cm="1">
        <f t="array" ref="AR214">$G$10+VLOOKUP($R214,武学奇术!$A:$ZZ,7,FALSE)+SUM(_xlfn.XLOOKUP(S214:AG214,增益!$A:$A,增益!$G:$G,0))</f>
        <v>0</v>
      </c>
      <c r="AS214" s="20" cm="1">
        <f t="array" ref="AS214">VLOOKUP($R214,武学奇术!$A:$ZZ,8,FALSE)+SUM(_xlfn.XLOOKUP(S214:AG214,增益!$A:$A,增益!$H:$H,0))</f>
        <v>0</v>
      </c>
      <c r="AT214">
        <f t="shared" si="105"/>
        <v>538</v>
      </c>
      <c r="AU214">
        <f t="shared" si="106"/>
        <v>1011</v>
      </c>
      <c r="AV214" s="29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0.155</v>
      </c>
      <c r="AW214" s="29" cm="1">
        <f t="array" ref="AW214">$G$11+VLOOKUP($R214,武学奇术!$A:$ZZ,10,FALSE)+SUM(_xlfn.XLOOKUP(S214:AG214,增益!$A:$A,增益!$J:$J,0))</f>
        <v>0.15</v>
      </c>
      <c r="AX214">
        <f t="shared" si="107"/>
        <v>0</v>
      </c>
      <c r="AY214">
        <f t="shared" si="108"/>
        <v>0</v>
      </c>
      <c r="AZ214" s="29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-0.14</v>
      </c>
      <c r="BA214" s="29" cm="1">
        <f t="array" ref="BA214">$G$12+VLOOKUP($R214,武学奇术!$A:$ZZ,12,FALSE)+SUM(_xlfn.XLOOKUP(S214:AG214,增益!$A:$A,增益!$L:$L,0))</f>
        <v>0</v>
      </c>
      <c r="BB214">
        <f t="shared" si="109"/>
        <v>0</v>
      </c>
      <c r="BC214">
        <f t="shared" si="110"/>
        <v>0</v>
      </c>
      <c r="BD214" s="29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-0.14</v>
      </c>
      <c r="BE214" s="29" cm="1">
        <f t="array" ref="BE214">$G$13+VLOOKUP($R214,武学奇术!$A:$ZZ,14,FALSE)+SUM(_xlfn.XLOOKUP(S214:AG214,增益!$A:$A,增益!$N:$N,0))</f>
        <v>0</v>
      </c>
      <c r="BF214">
        <f t="shared" si="111"/>
        <v>0</v>
      </c>
      <c r="BG214">
        <f t="shared" si="112"/>
        <v>0</v>
      </c>
      <c r="BH214" s="29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-0.14</v>
      </c>
      <c r="BI214" s="29" cm="1">
        <f t="array" ref="BI214">$G$14+VLOOKUP($R214,武学奇术!$A:$ZZ,16,FALSE)+SUM(_xlfn.XLOOKUP(S214:AG214,增益!$A:$A,增益!$P:$P,0))</f>
        <v>0</v>
      </c>
      <c r="BJ214" s="20">
        <f>MIN(IF(VLOOKUP($R214,武学奇术!$A:$ZZ,23,FALSE)=1,100%,$B$8),100%)</f>
        <v>0.8271</v>
      </c>
      <c r="BK214" s="20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0.2249</v>
      </c>
      <c r="BL214" s="20" cm="1">
        <f t="array" ref="BL214">1+$B$13+VLOOKUP($R214,武学奇术!$A:$ZZ,18,FALSE)+SUM(_xlfn.XLOOKUP(S214:AG214,增益!$A:$A,增益!$R:$R,0))</f>
        <v>1.5</v>
      </c>
      <c r="BM214" s="20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0.4459</v>
      </c>
      <c r="BN214" s="20" cm="1">
        <f t="array" ref="BN214">1+$B$14+VLOOKUP($R214,武学奇术!$A:$ZZ,20,FALSE)+SUM(_xlfn.XLOOKUP(S214:AG214,增益!$A:$A,增益!$T:$T,0))</f>
        <v>1.782</v>
      </c>
      <c r="BO214" s="20">
        <f t="shared" si="113"/>
        <v>0.18601479</v>
      </c>
      <c r="BP214" s="20">
        <f t="shared" si="114"/>
        <v>0.27228132</v>
      </c>
      <c r="BQ214" s="20">
        <f>IF(VLOOKUP($R214,武学奇术!$A:$ZZ,22,FALSE)=1,0,(1-$BJ214))*(1-$BM214)</f>
        <v>0.09580389</v>
      </c>
      <c r="BR214" s="20" cm="1">
        <f t="array" ref="BR214">SUM(_xlfn.XLOOKUP(S214:AG214,增益!$A:$A,增益!$W:$W,0))+$I$5</f>
        <v>0.11</v>
      </c>
    </row>
    <row r="215" spans="11:70">
      <c r="K215" s="27">
        <f>$L215*VLOOKUP($R215,武学奇术!$A:$ZZ,31,FALSE)</f>
        <v>9479.8575713377</v>
      </c>
      <c r="L215" s="27">
        <f t="shared" si="104"/>
        <v>15799.7626188962</v>
      </c>
      <c r="M215" s="27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12967.8095824293</v>
      </c>
      <c r="N215" s="27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23912.8605552101</v>
      </c>
      <c r="O215" s="27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8645.20638828617</v>
      </c>
      <c r="P215" s="27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3871.29910922662</v>
      </c>
      <c r="Q215" s="35">
        <v>1</v>
      </c>
      <c r="R215" s="36" t="s">
        <v>162</v>
      </c>
      <c r="S215" s="36" t="s">
        <v>71</v>
      </c>
      <c r="T215" s="36" t="s">
        <v>99</v>
      </c>
      <c r="U215" s="36" t="s">
        <v>100</v>
      </c>
      <c r="V215" s="36" t="s">
        <v>71</v>
      </c>
      <c r="W215" s="36" t="s">
        <v>111</v>
      </c>
      <c r="X215" s="36" t="s">
        <v>71</v>
      </c>
      <c r="Y215" s="36" t="s">
        <v>71</v>
      </c>
      <c r="Z215" s="36" t="s">
        <v>82</v>
      </c>
      <c r="AA215" s="36" t="s">
        <v>71</v>
      </c>
      <c r="AB215" s="36" t="s">
        <v>71</v>
      </c>
      <c r="AC215" s="36" t="s">
        <v>71</v>
      </c>
      <c r="AD215" s="36" t="s">
        <v>72</v>
      </c>
      <c r="AE215" s="36" t="s">
        <v>94</v>
      </c>
      <c r="AF215" s="36" t="s">
        <v>154</v>
      </c>
      <c r="AG215" s="36" t="s">
        <v>120</v>
      </c>
      <c r="AH215" t="str">
        <f>VLOOKUP($R215,武学奇术!$A:$ZZ,25,FALSE)</f>
        <v>剑</v>
      </c>
      <c r="AI215" s="20">
        <f>VLOOKUP($R215,武学奇术!$A:$ZZ,26,FALSE)</f>
        <v>0.3432</v>
      </c>
      <c r="AJ215" s="21">
        <f>VLOOKUP($R215,武学奇术!$A:$ZZ,27,FALSE)*(1+IF(OR($AH215=$F$4,$AH215=$F$5),$B$22,0))</f>
        <v>0</v>
      </c>
      <c r="AK215" s="20">
        <f>VLOOKUP($R215,武学奇术!$A:$ZZ,28,FALSE)</f>
        <v>0.5148</v>
      </c>
      <c r="AL215" s="21">
        <f>VLOOKUP($R215,武学奇术!$A:$ZZ,29,FALSE)*(1+IF(OR($AH215=$F$4,$AH215=$F$5),$B$22,0))</f>
        <v>0</v>
      </c>
      <c r="AM215" s="20" cm="1">
        <f t="array" ref="AM215">$G$3+IFERROR(VLOOKUP($AH215,$F$4:$G$7,2,FALSE),0)+VLOOKUP($R215,武学奇术!$A:$ZZ,2,FALSE)+SUM(_xlfn.XLOOKUP($S215:$AG215,增益!$A:$A,增益!$B:$B,0))</f>
        <v>1.3191</v>
      </c>
      <c r="AN215" s="20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1585.72</v>
      </c>
      <c r="AP215" cm="1">
        <f t="array" ref="AP215">$E$10*(1+$AN215)+VLOOKUP($R215,武学奇术!$A:$ZZ,4,FALSE)+SUM(_xlfn.XLOOKUP($S215:$AG215,增益!$A:$A,增益!$D:$D,0))-$I$2</f>
        <v>6696.76</v>
      </c>
      <c r="AQ215" s="29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0.4175</v>
      </c>
      <c r="AR215" s="29" cm="1">
        <f t="array" ref="AR215">$G$10+VLOOKUP($R215,武学奇术!$A:$ZZ,7,FALSE)+SUM(_xlfn.XLOOKUP(S215:AG215,增益!$A:$A,增益!$G:$G,0))</f>
        <v>0</v>
      </c>
      <c r="AS215" s="20" cm="1">
        <f t="array" ref="AS215">VLOOKUP($R215,武学奇术!$A:$ZZ,8,FALSE)+SUM(_xlfn.XLOOKUP(S215:AG215,增益!$A:$A,增益!$H:$H,0))</f>
        <v>0</v>
      </c>
      <c r="AT215">
        <f t="shared" si="105"/>
        <v>538</v>
      </c>
      <c r="AU215">
        <f t="shared" si="106"/>
        <v>1011</v>
      </c>
      <c r="AV215" s="29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0.155</v>
      </c>
      <c r="AW215" s="29" cm="1">
        <f t="array" ref="AW215">$G$11+VLOOKUP($R215,武学奇术!$A:$ZZ,10,FALSE)+SUM(_xlfn.XLOOKUP(S215:AG215,增益!$A:$A,增益!$J:$J,0))</f>
        <v>0.15</v>
      </c>
      <c r="AX215">
        <f t="shared" si="107"/>
        <v>0</v>
      </c>
      <c r="AY215">
        <f t="shared" si="108"/>
        <v>0</v>
      </c>
      <c r="AZ215" s="29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-0.14</v>
      </c>
      <c r="BA215" s="29" cm="1">
        <f t="array" ref="BA215">$G$12+VLOOKUP($R215,武学奇术!$A:$ZZ,12,FALSE)+SUM(_xlfn.XLOOKUP(S215:AG215,增益!$A:$A,增益!$L:$L,0))</f>
        <v>0</v>
      </c>
      <c r="BB215">
        <f t="shared" si="109"/>
        <v>0</v>
      </c>
      <c r="BC215">
        <f t="shared" si="110"/>
        <v>0</v>
      </c>
      <c r="BD215" s="29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-0.14</v>
      </c>
      <c r="BE215" s="29" cm="1">
        <f t="array" ref="BE215">$G$13+VLOOKUP($R215,武学奇术!$A:$ZZ,14,FALSE)+SUM(_xlfn.XLOOKUP(S215:AG215,增益!$A:$A,增益!$N:$N,0))</f>
        <v>0</v>
      </c>
      <c r="BF215">
        <f t="shared" si="111"/>
        <v>0</v>
      </c>
      <c r="BG215">
        <f t="shared" si="112"/>
        <v>0</v>
      </c>
      <c r="BH215" s="29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-0.14</v>
      </c>
      <c r="BI215" s="29" cm="1">
        <f t="array" ref="BI215">$G$14+VLOOKUP($R215,武学奇术!$A:$ZZ,16,FALSE)+SUM(_xlfn.XLOOKUP(S215:AG215,增益!$A:$A,增益!$P:$P,0))</f>
        <v>0</v>
      </c>
      <c r="BJ215" s="20">
        <f>MIN(IF(VLOOKUP($R215,武学奇术!$A:$ZZ,23,FALSE)=1,100%,$B$8),100%)</f>
        <v>0.8271</v>
      </c>
      <c r="BK215" s="20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0.2249</v>
      </c>
      <c r="BL215" s="20" cm="1">
        <f t="array" ref="BL215">1+$B$13+VLOOKUP($R215,武学奇术!$A:$ZZ,18,FALSE)+SUM(_xlfn.XLOOKUP(S215:AG215,增益!$A:$A,增益!$R:$R,0))</f>
        <v>1.5</v>
      </c>
      <c r="BM215" s="20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0.4459</v>
      </c>
      <c r="BN215" s="20" cm="1">
        <f t="array" ref="BN215">1+$B$14+VLOOKUP($R215,武学奇术!$A:$ZZ,20,FALSE)+SUM(_xlfn.XLOOKUP(S215:AG215,增益!$A:$A,增益!$T:$T,0))</f>
        <v>1.782</v>
      </c>
      <c r="BO215" s="20">
        <f t="shared" si="113"/>
        <v>0.18601479</v>
      </c>
      <c r="BP215" s="20">
        <f t="shared" si="114"/>
        <v>0.27228132</v>
      </c>
      <c r="BQ215" s="20">
        <f>IF(VLOOKUP($R215,武学奇术!$A:$ZZ,22,FALSE)=1,0,(1-$BJ215))*(1-$BM215)</f>
        <v>0.09580389</v>
      </c>
      <c r="BR215" s="20" cm="1">
        <f t="array" ref="BR215">SUM(_xlfn.XLOOKUP(S215:AG215,增益!$A:$A,增益!$W:$W,0))+$I$5</f>
        <v>0.11</v>
      </c>
    </row>
    <row r="216" spans="11:70">
      <c r="K216" s="27">
        <f>$L216*VLOOKUP($R216,武学奇术!$A:$ZZ,31,FALSE)</f>
        <v>9479.8575713377</v>
      </c>
      <c r="L216" s="27">
        <f t="shared" si="104"/>
        <v>15799.7626188962</v>
      </c>
      <c r="M216" s="27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12967.8095824293</v>
      </c>
      <c r="N216" s="27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23912.8605552101</v>
      </c>
      <c r="O216" s="27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8645.20638828617</v>
      </c>
      <c r="P216" s="27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3871.29910922662</v>
      </c>
      <c r="Q216" s="35">
        <v>1</v>
      </c>
      <c r="R216" s="36" t="s">
        <v>162</v>
      </c>
      <c r="S216" s="36" t="s">
        <v>71</v>
      </c>
      <c r="T216" s="36" t="s">
        <v>99</v>
      </c>
      <c r="U216" s="36" t="s">
        <v>100</v>
      </c>
      <c r="V216" s="36" t="s">
        <v>71</v>
      </c>
      <c r="W216" s="36" t="s">
        <v>111</v>
      </c>
      <c r="X216" s="36" t="s">
        <v>71</v>
      </c>
      <c r="Y216" s="36" t="s">
        <v>71</v>
      </c>
      <c r="Z216" s="36" t="s">
        <v>82</v>
      </c>
      <c r="AA216" s="36" t="s">
        <v>71</v>
      </c>
      <c r="AB216" s="36" t="s">
        <v>71</v>
      </c>
      <c r="AC216" s="36" t="s">
        <v>71</v>
      </c>
      <c r="AD216" s="36" t="s">
        <v>72</v>
      </c>
      <c r="AE216" s="36" t="s">
        <v>94</v>
      </c>
      <c r="AF216" s="36" t="s">
        <v>154</v>
      </c>
      <c r="AG216" s="36" t="s">
        <v>120</v>
      </c>
      <c r="AH216" t="str">
        <f>VLOOKUP($R216,武学奇术!$A:$ZZ,25,FALSE)</f>
        <v>剑</v>
      </c>
      <c r="AI216" s="20">
        <f>VLOOKUP($R216,武学奇术!$A:$ZZ,26,FALSE)</f>
        <v>0.3432</v>
      </c>
      <c r="AJ216" s="21">
        <f>VLOOKUP($R216,武学奇术!$A:$ZZ,27,FALSE)*(1+IF(OR($AH216=$F$4,$AH216=$F$5),$B$22,0))</f>
        <v>0</v>
      </c>
      <c r="AK216" s="20">
        <f>VLOOKUP($R216,武学奇术!$A:$ZZ,28,FALSE)</f>
        <v>0.5148</v>
      </c>
      <c r="AL216" s="21">
        <f>VLOOKUP($R216,武学奇术!$A:$ZZ,29,FALSE)*(1+IF(OR($AH216=$F$4,$AH216=$F$5),$B$22,0))</f>
        <v>0</v>
      </c>
      <c r="AM216" s="20" cm="1">
        <f t="array" ref="AM216">$G$3+IFERROR(VLOOKUP($AH216,$F$4:$G$7,2,FALSE),0)+VLOOKUP($R216,武学奇术!$A:$ZZ,2,FALSE)+SUM(_xlfn.XLOOKUP($S216:$AG216,增益!$A:$A,增益!$B:$B,0))</f>
        <v>1.3191</v>
      </c>
      <c r="AN216" s="20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1585.72</v>
      </c>
      <c r="AP216" cm="1">
        <f t="array" ref="AP216">$E$10*(1+$AN216)+VLOOKUP($R216,武学奇术!$A:$ZZ,4,FALSE)+SUM(_xlfn.XLOOKUP($S216:$AG216,增益!$A:$A,增益!$D:$D,0))-$I$2</f>
        <v>6696.76</v>
      </c>
      <c r="AQ216" s="29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0.4175</v>
      </c>
      <c r="AR216" s="29" cm="1">
        <f t="array" ref="AR216">$G$10+VLOOKUP($R216,武学奇术!$A:$ZZ,7,FALSE)+SUM(_xlfn.XLOOKUP(S216:AG216,增益!$A:$A,增益!$G:$G,0))</f>
        <v>0</v>
      </c>
      <c r="AS216" s="20" cm="1">
        <f t="array" ref="AS216">VLOOKUP($R216,武学奇术!$A:$ZZ,8,FALSE)+SUM(_xlfn.XLOOKUP(S216:AG216,增益!$A:$A,增益!$H:$H,0))</f>
        <v>0</v>
      </c>
      <c r="AT216">
        <f t="shared" si="105"/>
        <v>538</v>
      </c>
      <c r="AU216">
        <f t="shared" si="106"/>
        <v>1011</v>
      </c>
      <c r="AV216" s="29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0.155</v>
      </c>
      <c r="AW216" s="29" cm="1">
        <f t="array" ref="AW216">$G$11+VLOOKUP($R216,武学奇术!$A:$ZZ,10,FALSE)+SUM(_xlfn.XLOOKUP(S216:AG216,增益!$A:$A,增益!$J:$J,0))</f>
        <v>0.15</v>
      </c>
      <c r="AX216">
        <f t="shared" si="107"/>
        <v>0</v>
      </c>
      <c r="AY216">
        <f t="shared" si="108"/>
        <v>0</v>
      </c>
      <c r="AZ216" s="29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-0.14</v>
      </c>
      <c r="BA216" s="29" cm="1">
        <f t="array" ref="BA216">$G$12+VLOOKUP($R216,武学奇术!$A:$ZZ,12,FALSE)+SUM(_xlfn.XLOOKUP(S216:AG216,增益!$A:$A,增益!$L:$L,0))</f>
        <v>0</v>
      </c>
      <c r="BB216">
        <f t="shared" si="109"/>
        <v>0</v>
      </c>
      <c r="BC216">
        <f t="shared" si="110"/>
        <v>0</v>
      </c>
      <c r="BD216" s="29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-0.14</v>
      </c>
      <c r="BE216" s="29" cm="1">
        <f t="array" ref="BE216">$G$13+VLOOKUP($R216,武学奇术!$A:$ZZ,14,FALSE)+SUM(_xlfn.XLOOKUP(S216:AG216,增益!$A:$A,增益!$N:$N,0))</f>
        <v>0</v>
      </c>
      <c r="BF216">
        <f t="shared" si="111"/>
        <v>0</v>
      </c>
      <c r="BG216">
        <f t="shared" si="112"/>
        <v>0</v>
      </c>
      <c r="BH216" s="29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-0.14</v>
      </c>
      <c r="BI216" s="29" cm="1">
        <f t="array" ref="BI216">$G$14+VLOOKUP($R216,武学奇术!$A:$ZZ,16,FALSE)+SUM(_xlfn.XLOOKUP(S216:AG216,增益!$A:$A,增益!$P:$P,0))</f>
        <v>0</v>
      </c>
      <c r="BJ216" s="20">
        <f>MIN(IF(VLOOKUP($R216,武学奇术!$A:$ZZ,23,FALSE)=1,100%,$B$8),100%)</f>
        <v>0.8271</v>
      </c>
      <c r="BK216" s="20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0.2249</v>
      </c>
      <c r="BL216" s="20" cm="1">
        <f t="array" ref="BL216">1+$B$13+VLOOKUP($R216,武学奇术!$A:$ZZ,18,FALSE)+SUM(_xlfn.XLOOKUP(S216:AG216,增益!$A:$A,增益!$R:$R,0))</f>
        <v>1.5</v>
      </c>
      <c r="BM216" s="20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0.4459</v>
      </c>
      <c r="BN216" s="20" cm="1">
        <f t="array" ref="BN216">1+$B$14+VLOOKUP($R216,武学奇术!$A:$ZZ,20,FALSE)+SUM(_xlfn.XLOOKUP(S216:AG216,增益!$A:$A,增益!$T:$T,0))</f>
        <v>1.782</v>
      </c>
      <c r="BO216" s="20">
        <f t="shared" si="113"/>
        <v>0.18601479</v>
      </c>
      <c r="BP216" s="20">
        <f t="shared" si="114"/>
        <v>0.27228132</v>
      </c>
      <c r="BQ216" s="20">
        <f>IF(VLOOKUP($R216,武学奇术!$A:$ZZ,22,FALSE)=1,0,(1-$BJ216))*(1-$BM216)</f>
        <v>0.09580389</v>
      </c>
      <c r="BR216" s="20" cm="1">
        <f t="array" ref="BR216">SUM(_xlfn.XLOOKUP(S216:AG216,增益!$A:$A,增益!$W:$W,0))+$I$5</f>
        <v>0.11</v>
      </c>
    </row>
    <row r="217" spans="11:70">
      <c r="K217" s="27">
        <f>$L217*VLOOKUP($R217,武学奇术!$A:$ZZ,31,FALSE)</f>
        <v>9479.8575713377</v>
      </c>
      <c r="L217" s="27">
        <f t="shared" si="104"/>
        <v>15799.7626188962</v>
      </c>
      <c r="M217" s="27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12967.8095824293</v>
      </c>
      <c r="N217" s="27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23912.8605552101</v>
      </c>
      <c r="O217" s="27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8645.20638828617</v>
      </c>
      <c r="P217" s="27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3871.29910922662</v>
      </c>
      <c r="Q217" s="35">
        <v>1</v>
      </c>
      <c r="R217" s="36" t="s">
        <v>162</v>
      </c>
      <c r="S217" s="36" t="s">
        <v>71</v>
      </c>
      <c r="T217" s="36" t="s">
        <v>99</v>
      </c>
      <c r="U217" s="36" t="s">
        <v>100</v>
      </c>
      <c r="V217" s="36" t="s">
        <v>71</v>
      </c>
      <c r="W217" s="36" t="s">
        <v>111</v>
      </c>
      <c r="X217" s="36" t="s">
        <v>71</v>
      </c>
      <c r="Y217" s="36" t="s">
        <v>71</v>
      </c>
      <c r="Z217" s="36" t="s">
        <v>82</v>
      </c>
      <c r="AA217" s="36" t="s">
        <v>71</v>
      </c>
      <c r="AB217" s="36" t="s">
        <v>71</v>
      </c>
      <c r="AC217" s="36" t="s">
        <v>71</v>
      </c>
      <c r="AD217" s="36" t="s">
        <v>72</v>
      </c>
      <c r="AE217" s="36" t="s">
        <v>94</v>
      </c>
      <c r="AF217" s="36" t="s">
        <v>154</v>
      </c>
      <c r="AG217" s="36" t="s">
        <v>120</v>
      </c>
      <c r="AH217" t="str">
        <f>VLOOKUP($R217,武学奇术!$A:$ZZ,25,FALSE)</f>
        <v>剑</v>
      </c>
      <c r="AI217" s="20">
        <f>VLOOKUP($R217,武学奇术!$A:$ZZ,26,FALSE)</f>
        <v>0.3432</v>
      </c>
      <c r="AJ217" s="21">
        <f>VLOOKUP($R217,武学奇术!$A:$ZZ,27,FALSE)*(1+IF(OR($AH217=$F$4,$AH217=$F$5),$B$22,0))</f>
        <v>0</v>
      </c>
      <c r="AK217" s="20">
        <f>VLOOKUP($R217,武学奇术!$A:$ZZ,28,FALSE)</f>
        <v>0.5148</v>
      </c>
      <c r="AL217" s="21">
        <f>VLOOKUP($R217,武学奇术!$A:$ZZ,29,FALSE)*(1+IF(OR($AH217=$F$4,$AH217=$F$5),$B$22,0))</f>
        <v>0</v>
      </c>
      <c r="AM217" s="20" cm="1">
        <f t="array" ref="AM217">$G$3+IFERROR(VLOOKUP($AH217,$F$4:$G$7,2,FALSE),0)+VLOOKUP($R217,武学奇术!$A:$ZZ,2,FALSE)+SUM(_xlfn.XLOOKUP($S217:$AG217,增益!$A:$A,增益!$B:$B,0))</f>
        <v>1.3191</v>
      </c>
      <c r="AN217" s="20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1585.72</v>
      </c>
      <c r="AP217" cm="1">
        <f t="array" ref="AP217">$E$10*(1+$AN217)+VLOOKUP($R217,武学奇术!$A:$ZZ,4,FALSE)+SUM(_xlfn.XLOOKUP($S217:$AG217,增益!$A:$A,增益!$D:$D,0))-$I$2</f>
        <v>6696.76</v>
      </c>
      <c r="AQ217" s="29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0.4175</v>
      </c>
      <c r="AR217" s="29" cm="1">
        <f t="array" ref="AR217">$G$10+VLOOKUP($R217,武学奇术!$A:$ZZ,7,FALSE)+SUM(_xlfn.XLOOKUP(S217:AG217,增益!$A:$A,增益!$G:$G,0))</f>
        <v>0</v>
      </c>
      <c r="AS217" s="20" cm="1">
        <f t="array" ref="AS217">VLOOKUP($R217,武学奇术!$A:$ZZ,8,FALSE)+SUM(_xlfn.XLOOKUP(S217:AG217,增益!$A:$A,增益!$H:$H,0))</f>
        <v>0</v>
      </c>
      <c r="AT217">
        <f t="shared" si="105"/>
        <v>538</v>
      </c>
      <c r="AU217">
        <f t="shared" si="106"/>
        <v>1011</v>
      </c>
      <c r="AV217" s="29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0.155</v>
      </c>
      <c r="AW217" s="29" cm="1">
        <f t="array" ref="AW217">$G$11+VLOOKUP($R217,武学奇术!$A:$ZZ,10,FALSE)+SUM(_xlfn.XLOOKUP(S217:AG217,增益!$A:$A,增益!$J:$J,0))</f>
        <v>0.15</v>
      </c>
      <c r="AX217">
        <f t="shared" si="107"/>
        <v>0</v>
      </c>
      <c r="AY217">
        <f t="shared" si="108"/>
        <v>0</v>
      </c>
      <c r="AZ217" s="29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-0.14</v>
      </c>
      <c r="BA217" s="29" cm="1">
        <f t="array" ref="BA217">$G$12+VLOOKUP($R217,武学奇术!$A:$ZZ,12,FALSE)+SUM(_xlfn.XLOOKUP(S217:AG217,增益!$A:$A,增益!$L:$L,0))</f>
        <v>0</v>
      </c>
      <c r="BB217">
        <f t="shared" si="109"/>
        <v>0</v>
      </c>
      <c r="BC217">
        <f t="shared" si="110"/>
        <v>0</v>
      </c>
      <c r="BD217" s="29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-0.14</v>
      </c>
      <c r="BE217" s="29" cm="1">
        <f t="array" ref="BE217">$G$13+VLOOKUP($R217,武学奇术!$A:$ZZ,14,FALSE)+SUM(_xlfn.XLOOKUP(S217:AG217,增益!$A:$A,增益!$N:$N,0))</f>
        <v>0</v>
      </c>
      <c r="BF217">
        <f t="shared" si="111"/>
        <v>0</v>
      </c>
      <c r="BG217">
        <f t="shared" si="112"/>
        <v>0</v>
      </c>
      <c r="BH217" s="29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-0.14</v>
      </c>
      <c r="BI217" s="29" cm="1">
        <f t="array" ref="BI217">$G$14+VLOOKUP($R217,武学奇术!$A:$ZZ,16,FALSE)+SUM(_xlfn.XLOOKUP(S217:AG217,增益!$A:$A,增益!$P:$P,0))</f>
        <v>0</v>
      </c>
      <c r="BJ217" s="20">
        <f>MIN(IF(VLOOKUP($R217,武学奇术!$A:$ZZ,23,FALSE)=1,100%,$B$8),100%)</f>
        <v>0.8271</v>
      </c>
      <c r="BK217" s="20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0.2249</v>
      </c>
      <c r="BL217" s="20" cm="1">
        <f t="array" ref="BL217">1+$B$13+VLOOKUP($R217,武学奇术!$A:$ZZ,18,FALSE)+SUM(_xlfn.XLOOKUP(S217:AG217,增益!$A:$A,增益!$R:$R,0))</f>
        <v>1.5</v>
      </c>
      <c r="BM217" s="20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0.4459</v>
      </c>
      <c r="BN217" s="20" cm="1">
        <f t="array" ref="BN217">1+$B$14+VLOOKUP($R217,武学奇术!$A:$ZZ,20,FALSE)+SUM(_xlfn.XLOOKUP(S217:AG217,增益!$A:$A,增益!$T:$T,0))</f>
        <v>1.782</v>
      </c>
      <c r="BO217" s="20">
        <f t="shared" si="113"/>
        <v>0.18601479</v>
      </c>
      <c r="BP217" s="20">
        <f t="shared" si="114"/>
        <v>0.27228132</v>
      </c>
      <c r="BQ217" s="20">
        <f>IF(VLOOKUP($R217,武学奇术!$A:$ZZ,22,FALSE)=1,0,(1-$BJ217))*(1-$BM217)</f>
        <v>0.09580389</v>
      </c>
      <c r="BR217" s="20" cm="1">
        <f t="array" ref="BR217">SUM(_xlfn.XLOOKUP(S217:AG217,增益!$A:$A,增益!$W:$W,0))+$I$5</f>
        <v>0.11</v>
      </c>
    </row>
    <row r="218" spans="11:70">
      <c r="K218" s="27">
        <f>$L218*VLOOKUP($R218,武学奇术!$A:$ZZ,31,FALSE)</f>
        <v>7583.88605707016</v>
      </c>
      <c r="L218" s="27">
        <f t="shared" si="104"/>
        <v>12639.8100951169</v>
      </c>
      <c r="M218" s="27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10374.2476659434</v>
      </c>
      <c r="N218" s="27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19130.2884441681</v>
      </c>
      <c r="O218" s="27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6916.16511062893</v>
      </c>
      <c r="P218" s="27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3097.0392873813</v>
      </c>
      <c r="Q218" s="35">
        <v>1</v>
      </c>
      <c r="R218" s="36" t="s">
        <v>163</v>
      </c>
      <c r="S218" s="36" t="s">
        <v>71</v>
      </c>
      <c r="T218" s="36" t="s">
        <v>99</v>
      </c>
      <c r="U218" s="36" t="s">
        <v>100</v>
      </c>
      <c r="V218" s="36" t="s">
        <v>71</v>
      </c>
      <c r="W218" s="36" t="s">
        <v>111</v>
      </c>
      <c r="X218" s="36" t="s">
        <v>71</v>
      </c>
      <c r="Y218" s="36" t="s">
        <v>71</v>
      </c>
      <c r="Z218" s="36" t="s">
        <v>82</v>
      </c>
      <c r="AA218" s="36" t="s">
        <v>71</v>
      </c>
      <c r="AB218" s="36" t="s">
        <v>71</v>
      </c>
      <c r="AC218" s="36" t="s">
        <v>71</v>
      </c>
      <c r="AD218" s="36" t="s">
        <v>72</v>
      </c>
      <c r="AE218" s="36" t="s">
        <v>94</v>
      </c>
      <c r="AF218" s="36" t="s">
        <v>154</v>
      </c>
      <c r="AG218" s="36" t="s">
        <v>120</v>
      </c>
      <c r="AH218" t="str">
        <f>VLOOKUP($R218,武学奇术!$A:$ZZ,25,FALSE)</f>
        <v>剑</v>
      </c>
      <c r="AI218" s="20">
        <f>VLOOKUP($R218,武学奇术!$A:$ZZ,26,FALSE)</f>
        <v>0.27456</v>
      </c>
      <c r="AJ218" s="21">
        <f>VLOOKUP($R218,武学奇术!$A:$ZZ,27,FALSE)*(1+IF(OR($AH218=$F$4,$AH218=$F$5),$B$22,0))</f>
        <v>0</v>
      </c>
      <c r="AK218" s="20">
        <f>VLOOKUP($R218,武学奇术!$A:$ZZ,28,FALSE)</f>
        <v>0.41184</v>
      </c>
      <c r="AL218" s="21">
        <f>VLOOKUP($R218,武学奇术!$A:$ZZ,29,FALSE)*(1+IF(OR($AH218=$F$4,$AH218=$F$5),$B$22,0))</f>
        <v>0</v>
      </c>
      <c r="AM218" s="20" cm="1">
        <f t="array" ref="AM218">$G$3+IFERROR(VLOOKUP($AH218,$F$4:$G$7,2,FALSE),0)+VLOOKUP($R218,武学奇术!$A:$ZZ,2,FALSE)+SUM(_xlfn.XLOOKUP($S218:$AG218,增益!$A:$A,增益!$B:$B,0))</f>
        <v>1.3191</v>
      </c>
      <c r="AN218" s="20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1585.72</v>
      </c>
      <c r="AP218" cm="1">
        <f t="array" ref="AP218">$E$10*(1+$AN218)+VLOOKUP($R218,武学奇术!$A:$ZZ,4,FALSE)+SUM(_xlfn.XLOOKUP($S218:$AG218,增益!$A:$A,增益!$D:$D,0))-$I$2</f>
        <v>6696.76</v>
      </c>
      <c r="AQ218" s="29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0.4175</v>
      </c>
      <c r="AR218" s="29" cm="1">
        <f t="array" ref="AR218">$G$10+VLOOKUP($R218,武学奇术!$A:$ZZ,7,FALSE)+SUM(_xlfn.XLOOKUP(S218:AG218,增益!$A:$A,增益!$G:$G,0))</f>
        <v>0</v>
      </c>
      <c r="AS218" s="20" cm="1">
        <f t="array" ref="AS218">VLOOKUP($R218,武学奇术!$A:$ZZ,8,FALSE)+SUM(_xlfn.XLOOKUP(S218:AG218,增益!$A:$A,增益!$H:$H,0))</f>
        <v>0</v>
      </c>
      <c r="AT218">
        <f t="shared" si="105"/>
        <v>538</v>
      </c>
      <c r="AU218">
        <f t="shared" si="106"/>
        <v>1011</v>
      </c>
      <c r="AV218" s="29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0.155</v>
      </c>
      <c r="AW218" s="29" cm="1">
        <f t="array" ref="AW218">$G$11+VLOOKUP($R218,武学奇术!$A:$ZZ,10,FALSE)+SUM(_xlfn.XLOOKUP(S218:AG218,增益!$A:$A,增益!$J:$J,0))</f>
        <v>0.15</v>
      </c>
      <c r="AX218">
        <f t="shared" si="107"/>
        <v>0</v>
      </c>
      <c r="AY218">
        <f t="shared" si="108"/>
        <v>0</v>
      </c>
      <c r="AZ218" s="29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-0.14</v>
      </c>
      <c r="BA218" s="29" cm="1">
        <f t="array" ref="BA218">$G$12+VLOOKUP($R218,武学奇术!$A:$ZZ,12,FALSE)+SUM(_xlfn.XLOOKUP(S218:AG218,增益!$A:$A,增益!$L:$L,0))</f>
        <v>0</v>
      </c>
      <c r="BB218">
        <f t="shared" si="109"/>
        <v>0</v>
      </c>
      <c r="BC218">
        <f t="shared" si="110"/>
        <v>0</v>
      </c>
      <c r="BD218" s="29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-0.14</v>
      </c>
      <c r="BE218" s="29" cm="1">
        <f t="array" ref="BE218">$G$13+VLOOKUP($R218,武学奇术!$A:$ZZ,14,FALSE)+SUM(_xlfn.XLOOKUP(S218:AG218,增益!$A:$A,增益!$N:$N,0))</f>
        <v>0</v>
      </c>
      <c r="BF218">
        <f t="shared" si="111"/>
        <v>0</v>
      </c>
      <c r="BG218">
        <f t="shared" si="112"/>
        <v>0</v>
      </c>
      <c r="BH218" s="29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-0.14</v>
      </c>
      <c r="BI218" s="29" cm="1">
        <f t="array" ref="BI218">$G$14+VLOOKUP($R218,武学奇术!$A:$ZZ,16,FALSE)+SUM(_xlfn.XLOOKUP(S218:AG218,增益!$A:$A,增益!$P:$P,0))</f>
        <v>0</v>
      </c>
      <c r="BJ218" s="20">
        <f>MIN(IF(VLOOKUP($R218,武学奇术!$A:$ZZ,23,FALSE)=1,100%,$B$8),100%)</f>
        <v>0.8271</v>
      </c>
      <c r="BK218" s="20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0.2249</v>
      </c>
      <c r="BL218" s="20" cm="1">
        <f t="array" ref="BL218">1+$B$13+VLOOKUP($R218,武学奇术!$A:$ZZ,18,FALSE)+SUM(_xlfn.XLOOKUP(S218:AG218,增益!$A:$A,增益!$R:$R,0))</f>
        <v>1.5</v>
      </c>
      <c r="BM218" s="20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0.4459</v>
      </c>
      <c r="BN218" s="20" cm="1">
        <f t="array" ref="BN218">1+$B$14+VLOOKUP($R218,武学奇术!$A:$ZZ,20,FALSE)+SUM(_xlfn.XLOOKUP(S218:AG218,增益!$A:$A,增益!$T:$T,0))</f>
        <v>1.782</v>
      </c>
      <c r="BO218" s="20">
        <f t="shared" si="113"/>
        <v>0.18601479</v>
      </c>
      <c r="BP218" s="20">
        <f t="shared" si="114"/>
        <v>0.27228132</v>
      </c>
      <c r="BQ218" s="20">
        <f>IF(VLOOKUP($R218,武学奇术!$A:$ZZ,22,FALSE)=1,0,(1-$BJ218))*(1-$BM218)</f>
        <v>0.09580389</v>
      </c>
      <c r="BR218" s="20" cm="1">
        <f t="array" ref="BR218">SUM(_xlfn.XLOOKUP(S218:AG218,增益!$A:$A,增益!$W:$W,0))+$I$5</f>
        <v>0.11</v>
      </c>
    </row>
    <row r="219" spans="11:70">
      <c r="K219" s="27">
        <f>$L219*VLOOKUP($R219,武学奇术!$A:$ZZ,31,FALSE)</f>
        <v>4739.92878566885</v>
      </c>
      <c r="L219" s="27">
        <f t="shared" si="104"/>
        <v>7899.88130944808</v>
      </c>
      <c r="M219" s="27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6483.90479121463</v>
      </c>
      <c r="N219" s="27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11956.430277605</v>
      </c>
      <c r="O219" s="27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4322.60319414308</v>
      </c>
      <c r="P219" s="27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1935.64955461331</v>
      </c>
      <c r="Q219" s="35">
        <v>1</v>
      </c>
      <c r="R219" s="36" t="s">
        <v>164</v>
      </c>
      <c r="S219" s="36" t="s">
        <v>71</v>
      </c>
      <c r="T219" s="36" t="s">
        <v>99</v>
      </c>
      <c r="U219" s="36" t="s">
        <v>100</v>
      </c>
      <c r="V219" s="36" t="s">
        <v>71</v>
      </c>
      <c r="W219" s="36" t="s">
        <v>111</v>
      </c>
      <c r="X219" s="36" t="s">
        <v>71</v>
      </c>
      <c r="Y219" s="36" t="s">
        <v>71</v>
      </c>
      <c r="Z219" s="36" t="s">
        <v>82</v>
      </c>
      <c r="AA219" s="36" t="s">
        <v>71</v>
      </c>
      <c r="AB219" s="36" t="s">
        <v>71</v>
      </c>
      <c r="AC219" s="36" t="s">
        <v>71</v>
      </c>
      <c r="AD219" s="36" t="s">
        <v>72</v>
      </c>
      <c r="AE219" s="36" t="s">
        <v>94</v>
      </c>
      <c r="AF219" s="36" t="s">
        <v>154</v>
      </c>
      <c r="AG219" s="36" t="s">
        <v>120</v>
      </c>
      <c r="AH219" t="str">
        <f>VLOOKUP($R219,武学奇术!$A:$ZZ,25,FALSE)</f>
        <v>剑</v>
      </c>
      <c r="AI219" s="20">
        <f>VLOOKUP($R219,武学奇术!$A:$ZZ,26,FALSE)</f>
        <v>0.1716</v>
      </c>
      <c r="AJ219" s="21">
        <f>VLOOKUP($R219,武学奇术!$A:$ZZ,27,FALSE)*(1+IF(OR($AH219=$F$4,$AH219=$F$5),$B$22,0))</f>
        <v>0</v>
      </c>
      <c r="AK219" s="20">
        <f>VLOOKUP($R219,武学奇术!$A:$ZZ,28,FALSE)</f>
        <v>0.2574</v>
      </c>
      <c r="AL219" s="21">
        <f>VLOOKUP($R219,武学奇术!$A:$ZZ,29,FALSE)*(1+IF(OR($AH219=$F$4,$AH219=$F$5),$B$22,0))</f>
        <v>0</v>
      </c>
      <c r="AM219" s="20" cm="1">
        <f t="array" ref="AM219">$G$3+IFERROR(VLOOKUP($AH219,$F$4:$G$7,2,FALSE),0)+VLOOKUP($R219,武学奇术!$A:$ZZ,2,FALSE)+SUM(_xlfn.XLOOKUP($S219:$AG219,增益!$A:$A,增益!$B:$B,0))</f>
        <v>1.3191</v>
      </c>
      <c r="AN219" s="20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1585.72</v>
      </c>
      <c r="AP219" cm="1">
        <f t="array" ref="AP219">$E$10*(1+$AN219)+VLOOKUP($R219,武学奇术!$A:$ZZ,4,FALSE)+SUM(_xlfn.XLOOKUP($S219:$AG219,增益!$A:$A,增益!$D:$D,0))-$I$2</f>
        <v>6696.76</v>
      </c>
      <c r="AQ219" s="29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0.4175</v>
      </c>
      <c r="AR219" s="29" cm="1">
        <f t="array" ref="AR219">$G$10+VLOOKUP($R219,武学奇术!$A:$ZZ,7,FALSE)+SUM(_xlfn.XLOOKUP(S219:AG219,增益!$A:$A,增益!$G:$G,0))</f>
        <v>0</v>
      </c>
      <c r="AS219" s="20" cm="1">
        <f t="array" ref="AS219">VLOOKUP($R219,武学奇术!$A:$ZZ,8,FALSE)+SUM(_xlfn.XLOOKUP(S219:AG219,增益!$A:$A,增益!$H:$H,0))</f>
        <v>0</v>
      </c>
      <c r="AT219">
        <f t="shared" si="105"/>
        <v>538</v>
      </c>
      <c r="AU219">
        <f t="shared" si="106"/>
        <v>1011</v>
      </c>
      <c r="AV219" s="29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0.155</v>
      </c>
      <c r="AW219" s="29" cm="1">
        <f t="array" ref="AW219">$G$11+VLOOKUP($R219,武学奇术!$A:$ZZ,10,FALSE)+SUM(_xlfn.XLOOKUP(S219:AG219,增益!$A:$A,增益!$J:$J,0))</f>
        <v>0.15</v>
      </c>
      <c r="AX219">
        <f t="shared" si="107"/>
        <v>0</v>
      </c>
      <c r="AY219">
        <f t="shared" si="108"/>
        <v>0</v>
      </c>
      <c r="AZ219" s="29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-0.14</v>
      </c>
      <c r="BA219" s="29" cm="1">
        <f t="array" ref="BA219">$G$12+VLOOKUP($R219,武学奇术!$A:$ZZ,12,FALSE)+SUM(_xlfn.XLOOKUP(S219:AG219,增益!$A:$A,增益!$L:$L,0))</f>
        <v>0</v>
      </c>
      <c r="BB219">
        <f t="shared" si="109"/>
        <v>0</v>
      </c>
      <c r="BC219">
        <f t="shared" si="110"/>
        <v>0</v>
      </c>
      <c r="BD219" s="29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-0.14</v>
      </c>
      <c r="BE219" s="29" cm="1">
        <f t="array" ref="BE219">$G$13+VLOOKUP($R219,武学奇术!$A:$ZZ,14,FALSE)+SUM(_xlfn.XLOOKUP(S219:AG219,增益!$A:$A,增益!$N:$N,0))</f>
        <v>0</v>
      </c>
      <c r="BF219">
        <f t="shared" si="111"/>
        <v>0</v>
      </c>
      <c r="BG219">
        <f t="shared" si="112"/>
        <v>0</v>
      </c>
      <c r="BH219" s="29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-0.14</v>
      </c>
      <c r="BI219" s="29" cm="1">
        <f t="array" ref="BI219">$G$14+VLOOKUP($R219,武学奇术!$A:$ZZ,16,FALSE)+SUM(_xlfn.XLOOKUP(S219:AG219,增益!$A:$A,增益!$P:$P,0))</f>
        <v>0</v>
      </c>
      <c r="BJ219" s="20">
        <f>MIN(IF(VLOOKUP($R219,武学奇术!$A:$ZZ,23,FALSE)=1,100%,$B$8),100%)</f>
        <v>0.8271</v>
      </c>
      <c r="BK219" s="20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0.2249</v>
      </c>
      <c r="BL219" s="20" cm="1">
        <f t="array" ref="BL219">1+$B$13+VLOOKUP($R219,武学奇术!$A:$ZZ,18,FALSE)+SUM(_xlfn.XLOOKUP(S219:AG219,增益!$A:$A,增益!$R:$R,0))</f>
        <v>1.5</v>
      </c>
      <c r="BM219" s="20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0.4459</v>
      </c>
      <c r="BN219" s="20" cm="1">
        <f t="array" ref="BN219">1+$B$14+VLOOKUP($R219,武学奇术!$A:$ZZ,20,FALSE)+SUM(_xlfn.XLOOKUP(S219:AG219,增益!$A:$A,增益!$T:$T,0))</f>
        <v>1.782</v>
      </c>
      <c r="BO219" s="20">
        <f t="shared" si="113"/>
        <v>0.18601479</v>
      </c>
      <c r="BP219" s="20">
        <f t="shared" si="114"/>
        <v>0.27228132</v>
      </c>
      <c r="BQ219" s="20">
        <f>IF(VLOOKUP($R219,武学奇术!$A:$ZZ,22,FALSE)=1,0,(1-$BJ219))*(1-$BM219)</f>
        <v>0.09580389</v>
      </c>
      <c r="BR219" s="20" cm="1">
        <f t="array" ref="BR219">SUM(_xlfn.XLOOKUP(S219:AG219,增益!$A:$A,增益!$W:$W,0))+$I$5</f>
        <v>0.11</v>
      </c>
    </row>
    <row r="220" spans="11:70">
      <c r="K220" s="27">
        <f>$L220*VLOOKUP($R220,武学奇术!$A:$ZZ,31,FALSE)</f>
        <v>9479.8575713377</v>
      </c>
      <c r="L220" s="27">
        <f t="shared" si="104"/>
        <v>15799.7626188962</v>
      </c>
      <c r="M220" s="27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12967.8095824293</v>
      </c>
      <c r="N220" s="27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23912.8605552101</v>
      </c>
      <c r="O220" s="27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8645.20638828617</v>
      </c>
      <c r="P220" s="27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3871.29910922662</v>
      </c>
      <c r="Q220" s="35">
        <v>1</v>
      </c>
      <c r="R220" s="36" t="s">
        <v>162</v>
      </c>
      <c r="S220" s="36" t="s">
        <v>71</v>
      </c>
      <c r="T220" s="36" t="s">
        <v>99</v>
      </c>
      <c r="U220" s="36" t="s">
        <v>100</v>
      </c>
      <c r="V220" s="36" t="s">
        <v>71</v>
      </c>
      <c r="W220" s="36" t="s">
        <v>111</v>
      </c>
      <c r="X220" s="36" t="s">
        <v>71</v>
      </c>
      <c r="Y220" s="36" t="s">
        <v>71</v>
      </c>
      <c r="Z220" s="36" t="s">
        <v>82</v>
      </c>
      <c r="AA220" s="36" t="s">
        <v>71</v>
      </c>
      <c r="AB220" s="36" t="s">
        <v>71</v>
      </c>
      <c r="AC220" s="36" t="s">
        <v>71</v>
      </c>
      <c r="AD220" s="36" t="s">
        <v>72</v>
      </c>
      <c r="AE220" s="36" t="s">
        <v>94</v>
      </c>
      <c r="AF220" s="36" t="s">
        <v>154</v>
      </c>
      <c r="AG220" s="36" t="s">
        <v>120</v>
      </c>
      <c r="AH220" t="str">
        <f>VLOOKUP($R220,武学奇术!$A:$ZZ,25,FALSE)</f>
        <v>剑</v>
      </c>
      <c r="AI220" s="20">
        <f>VLOOKUP($R220,武学奇术!$A:$ZZ,26,FALSE)</f>
        <v>0.3432</v>
      </c>
      <c r="AJ220" s="21">
        <f>VLOOKUP($R220,武学奇术!$A:$ZZ,27,FALSE)*(1+IF(OR($AH220=$F$4,$AH220=$F$5),$B$22,0))</f>
        <v>0</v>
      </c>
      <c r="AK220" s="20">
        <f>VLOOKUP($R220,武学奇术!$A:$ZZ,28,FALSE)</f>
        <v>0.5148</v>
      </c>
      <c r="AL220" s="21">
        <f>VLOOKUP($R220,武学奇术!$A:$ZZ,29,FALSE)*(1+IF(OR($AH220=$F$4,$AH220=$F$5),$B$22,0))</f>
        <v>0</v>
      </c>
      <c r="AM220" s="20" cm="1">
        <f t="array" ref="AM220">$G$3+IFERROR(VLOOKUP($AH220,$F$4:$G$7,2,FALSE),0)+VLOOKUP($R220,武学奇术!$A:$ZZ,2,FALSE)+SUM(_xlfn.XLOOKUP($S220:$AG220,增益!$A:$A,增益!$B:$B,0))</f>
        <v>1.3191</v>
      </c>
      <c r="AN220" s="20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1585.72</v>
      </c>
      <c r="AP220" cm="1">
        <f t="array" ref="AP220">$E$10*(1+$AN220)+VLOOKUP($R220,武学奇术!$A:$ZZ,4,FALSE)+SUM(_xlfn.XLOOKUP($S220:$AG220,增益!$A:$A,增益!$D:$D,0))-$I$2</f>
        <v>6696.76</v>
      </c>
      <c r="AQ220" s="29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0.4175</v>
      </c>
      <c r="AR220" s="29" cm="1">
        <f t="array" ref="AR220">$G$10+VLOOKUP($R220,武学奇术!$A:$ZZ,7,FALSE)+SUM(_xlfn.XLOOKUP(S220:AG220,增益!$A:$A,增益!$G:$G,0))</f>
        <v>0</v>
      </c>
      <c r="AS220" s="20" cm="1">
        <f t="array" ref="AS220">VLOOKUP($R220,武学奇术!$A:$ZZ,8,FALSE)+SUM(_xlfn.XLOOKUP(S220:AG220,增益!$A:$A,增益!$H:$H,0))</f>
        <v>0</v>
      </c>
      <c r="AT220">
        <f t="shared" si="105"/>
        <v>538</v>
      </c>
      <c r="AU220">
        <f t="shared" si="106"/>
        <v>1011</v>
      </c>
      <c r="AV220" s="29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0.155</v>
      </c>
      <c r="AW220" s="29" cm="1">
        <f t="array" ref="AW220">$G$11+VLOOKUP($R220,武学奇术!$A:$ZZ,10,FALSE)+SUM(_xlfn.XLOOKUP(S220:AG220,增益!$A:$A,增益!$J:$J,0))</f>
        <v>0.15</v>
      </c>
      <c r="AX220">
        <f t="shared" si="107"/>
        <v>0</v>
      </c>
      <c r="AY220">
        <f t="shared" si="108"/>
        <v>0</v>
      </c>
      <c r="AZ220" s="29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-0.14</v>
      </c>
      <c r="BA220" s="29" cm="1">
        <f t="array" ref="BA220">$G$12+VLOOKUP($R220,武学奇术!$A:$ZZ,12,FALSE)+SUM(_xlfn.XLOOKUP(S220:AG220,增益!$A:$A,增益!$L:$L,0))</f>
        <v>0</v>
      </c>
      <c r="BB220">
        <f t="shared" si="109"/>
        <v>0</v>
      </c>
      <c r="BC220">
        <f t="shared" si="110"/>
        <v>0</v>
      </c>
      <c r="BD220" s="29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-0.14</v>
      </c>
      <c r="BE220" s="29" cm="1">
        <f t="array" ref="BE220">$G$13+VLOOKUP($R220,武学奇术!$A:$ZZ,14,FALSE)+SUM(_xlfn.XLOOKUP(S220:AG220,增益!$A:$A,增益!$N:$N,0))</f>
        <v>0</v>
      </c>
      <c r="BF220">
        <f t="shared" si="111"/>
        <v>0</v>
      </c>
      <c r="BG220">
        <f t="shared" si="112"/>
        <v>0</v>
      </c>
      <c r="BH220" s="29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-0.14</v>
      </c>
      <c r="BI220" s="29" cm="1">
        <f t="array" ref="BI220">$G$14+VLOOKUP($R220,武学奇术!$A:$ZZ,16,FALSE)+SUM(_xlfn.XLOOKUP(S220:AG220,增益!$A:$A,增益!$P:$P,0))</f>
        <v>0</v>
      </c>
      <c r="BJ220" s="20">
        <f>MIN(IF(VLOOKUP($R220,武学奇术!$A:$ZZ,23,FALSE)=1,100%,$B$8),100%)</f>
        <v>0.8271</v>
      </c>
      <c r="BK220" s="20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0.2249</v>
      </c>
      <c r="BL220" s="20" cm="1">
        <f t="array" ref="BL220">1+$B$13+VLOOKUP($R220,武学奇术!$A:$ZZ,18,FALSE)+SUM(_xlfn.XLOOKUP(S220:AG220,增益!$A:$A,增益!$R:$R,0))</f>
        <v>1.5</v>
      </c>
      <c r="BM220" s="20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0.4459</v>
      </c>
      <c r="BN220" s="20" cm="1">
        <f t="array" ref="BN220">1+$B$14+VLOOKUP($R220,武学奇术!$A:$ZZ,20,FALSE)+SUM(_xlfn.XLOOKUP(S220:AG220,增益!$A:$A,增益!$T:$T,0))</f>
        <v>1.782</v>
      </c>
      <c r="BO220" s="20">
        <f t="shared" si="113"/>
        <v>0.18601479</v>
      </c>
      <c r="BP220" s="20">
        <f t="shared" si="114"/>
        <v>0.27228132</v>
      </c>
      <c r="BQ220" s="20">
        <f>IF(VLOOKUP($R220,武学奇术!$A:$ZZ,22,FALSE)=1,0,(1-$BJ220))*(1-$BM220)</f>
        <v>0.09580389</v>
      </c>
      <c r="BR220" s="20" cm="1">
        <f t="array" ref="BR220">SUM(_xlfn.XLOOKUP(S220:AG220,增益!$A:$A,增益!$W:$W,0))+$I$5</f>
        <v>0.11</v>
      </c>
    </row>
    <row r="221" spans="11:70">
      <c r="K221" s="27">
        <f>$L221*VLOOKUP($R221,武学奇术!$A:$ZZ,31,FALSE)</f>
        <v>4678.04098167582</v>
      </c>
      <c r="L221" s="27">
        <f t="shared" si="104"/>
        <v>7796.7349694597</v>
      </c>
      <c r="M221" s="27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6390.42334190417</v>
      </c>
      <c r="N221" s="27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11811.4624566103</v>
      </c>
      <c r="O221" s="27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4260.28222793611</v>
      </c>
      <c r="P221" s="27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1892.3588124321</v>
      </c>
      <c r="Q221" s="35">
        <v>1</v>
      </c>
      <c r="R221" s="36" t="s">
        <v>164</v>
      </c>
      <c r="S221" s="36" t="s">
        <v>71</v>
      </c>
      <c r="T221" s="36" t="s">
        <v>99</v>
      </c>
      <c r="U221" s="36" t="s">
        <v>100</v>
      </c>
      <c r="V221" s="36" t="s">
        <v>71</v>
      </c>
      <c r="W221" s="36" t="s">
        <v>111</v>
      </c>
      <c r="X221" s="36" t="s">
        <v>71</v>
      </c>
      <c r="Y221" s="36" t="s">
        <v>71</v>
      </c>
      <c r="Z221" s="36" t="s">
        <v>71</v>
      </c>
      <c r="AA221" s="36" t="s">
        <v>71</v>
      </c>
      <c r="AB221" s="36" t="s">
        <v>71</v>
      </c>
      <c r="AC221" s="36" t="s">
        <v>71</v>
      </c>
      <c r="AD221" s="36" t="s">
        <v>72</v>
      </c>
      <c r="AE221" s="36" t="s">
        <v>94</v>
      </c>
      <c r="AF221" s="36" t="s">
        <v>154</v>
      </c>
      <c r="AG221" s="36" t="s">
        <v>120</v>
      </c>
      <c r="AH221" t="str">
        <f>VLOOKUP($R221,武学奇术!$A:$ZZ,25,FALSE)</f>
        <v>剑</v>
      </c>
      <c r="AI221" s="20">
        <f>VLOOKUP($R221,武学奇术!$A:$ZZ,26,FALSE)</f>
        <v>0.1716</v>
      </c>
      <c r="AJ221" s="21">
        <f>VLOOKUP($R221,武学奇术!$A:$ZZ,27,FALSE)*(1+IF(OR($AH221=$F$4,$AH221=$F$5),$B$22,0))</f>
        <v>0</v>
      </c>
      <c r="AK221" s="20">
        <f>VLOOKUP($R221,武学奇术!$A:$ZZ,28,FALSE)</f>
        <v>0.2574</v>
      </c>
      <c r="AL221" s="21">
        <f>VLOOKUP($R221,武学奇术!$A:$ZZ,29,FALSE)*(1+IF(OR($AH221=$F$4,$AH221=$F$5),$B$22,0))</f>
        <v>0</v>
      </c>
      <c r="AM221" s="20" cm="1">
        <f t="array" ref="AM221">$G$3+IFERROR(VLOOKUP($AH221,$F$4:$G$7,2,FALSE),0)+VLOOKUP($R221,武学奇术!$A:$ZZ,2,FALSE)+SUM(_xlfn.XLOOKUP($S221:$AG221,增益!$A:$A,增益!$B:$B,0))</f>
        <v>1.3191</v>
      </c>
      <c r="AN221" s="20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1585.72</v>
      </c>
      <c r="AP221" cm="1">
        <f t="array" ref="AP221">$E$10*(1+$AN221)+VLOOKUP($R221,武学奇术!$A:$ZZ,4,FALSE)+SUM(_xlfn.XLOOKUP($S221:$AG221,增益!$A:$A,增益!$D:$D,0))-$I$2</f>
        <v>6696.76</v>
      </c>
      <c r="AQ221" s="29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0.4175</v>
      </c>
      <c r="AR221" s="29" cm="1">
        <f t="array" ref="AR221">$G$10+VLOOKUP($R221,武学奇术!$A:$ZZ,7,FALSE)+SUM(_xlfn.XLOOKUP(S221:AG221,增益!$A:$A,增益!$G:$G,0))</f>
        <v>0</v>
      </c>
      <c r="AS221" s="20" cm="1">
        <f t="array" ref="AS221">VLOOKUP($R221,武学奇术!$A:$ZZ,8,FALSE)+SUM(_xlfn.XLOOKUP(S221:AG221,增益!$A:$A,增益!$H:$H,0))</f>
        <v>0</v>
      </c>
      <c r="AT221">
        <f t="shared" si="105"/>
        <v>538</v>
      </c>
      <c r="AU221">
        <f t="shared" si="106"/>
        <v>1011</v>
      </c>
      <c r="AV221" s="29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0.075</v>
      </c>
      <c r="AW221" s="29" cm="1">
        <f t="array" ref="AW221">$G$11+VLOOKUP($R221,武学奇术!$A:$ZZ,10,FALSE)+SUM(_xlfn.XLOOKUP(S221:AG221,增益!$A:$A,增益!$J:$J,0))</f>
        <v>0.15</v>
      </c>
      <c r="AX221">
        <f t="shared" si="107"/>
        <v>0</v>
      </c>
      <c r="AY221">
        <f t="shared" si="108"/>
        <v>0</v>
      </c>
      <c r="AZ221" s="29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29" cm="1">
        <f t="array" ref="BA221">$G$12+VLOOKUP($R221,武学奇术!$A:$ZZ,12,FALSE)+SUM(_xlfn.XLOOKUP(S221:AG221,增益!$A:$A,增益!$L:$L,0))</f>
        <v>0</v>
      </c>
      <c r="BB221">
        <f t="shared" si="109"/>
        <v>0</v>
      </c>
      <c r="BC221">
        <f t="shared" si="110"/>
        <v>0</v>
      </c>
      <c r="BD221" s="29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29" cm="1">
        <f t="array" ref="BE221">$G$13+VLOOKUP($R221,武学奇术!$A:$ZZ,14,FALSE)+SUM(_xlfn.XLOOKUP(S221:AG221,增益!$A:$A,增益!$N:$N,0))</f>
        <v>0</v>
      </c>
      <c r="BF221">
        <f t="shared" si="111"/>
        <v>0</v>
      </c>
      <c r="BG221">
        <f t="shared" si="112"/>
        <v>0</v>
      </c>
      <c r="BH221" s="29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29" cm="1">
        <f t="array" ref="BI221">$G$14+VLOOKUP($R221,武学奇术!$A:$ZZ,16,FALSE)+SUM(_xlfn.XLOOKUP(S221:AG221,增益!$A:$A,增益!$P:$P,0))</f>
        <v>0</v>
      </c>
      <c r="BJ221" s="20">
        <f>MIN(IF(VLOOKUP($R221,武学奇术!$A:$ZZ,23,FALSE)=1,100%,$B$8),100%)</f>
        <v>0.8271</v>
      </c>
      <c r="BK221" s="20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0.2249</v>
      </c>
      <c r="BL221" s="20" cm="1">
        <f t="array" ref="BL221">1+$B$13+VLOOKUP($R221,武学奇术!$A:$ZZ,18,FALSE)+SUM(_xlfn.XLOOKUP(S221:AG221,增益!$A:$A,增益!$R:$R,0))</f>
        <v>1.5</v>
      </c>
      <c r="BM221" s="20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0.4459</v>
      </c>
      <c r="BN221" s="20" cm="1">
        <f t="array" ref="BN221">1+$B$14+VLOOKUP($R221,武学奇术!$A:$ZZ,20,FALSE)+SUM(_xlfn.XLOOKUP(S221:AG221,增益!$A:$A,增益!$T:$T,0))</f>
        <v>1.782</v>
      </c>
      <c r="BO221" s="20">
        <f t="shared" si="113"/>
        <v>0.18601479</v>
      </c>
      <c r="BP221" s="20">
        <f t="shared" si="114"/>
        <v>0.27228132</v>
      </c>
      <c r="BQ221" s="20">
        <f>IF(VLOOKUP($R221,武学奇术!$A:$ZZ,22,FALSE)=1,0,(1-$BJ221))*(1-$BM221)</f>
        <v>0.09580389</v>
      </c>
      <c r="BR221" s="20" cm="1">
        <f t="array" ref="BR221">SUM(_xlfn.XLOOKUP(S221:AG221,增益!$A:$A,增益!$W:$W,0))+$I$5</f>
        <v>0.11</v>
      </c>
    </row>
    <row r="222" spans="11:70">
      <c r="K222" s="27">
        <f>$L222*VLOOKUP($R222,武学奇术!$A:$ZZ,31,FALSE)</f>
        <v>5613.64917801098</v>
      </c>
      <c r="L222" s="27">
        <f t="shared" si="104"/>
        <v>9356.08196335164</v>
      </c>
      <c r="M222" s="27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7668.508010285</v>
      </c>
      <c r="N222" s="27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14173.7549479324</v>
      </c>
      <c r="O222" s="27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5112.33867352333</v>
      </c>
      <c r="P222" s="27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2270.83057491851</v>
      </c>
      <c r="Q222" s="35">
        <v>1</v>
      </c>
      <c r="R222" s="36" t="s">
        <v>165</v>
      </c>
      <c r="S222" s="36" t="s">
        <v>71</v>
      </c>
      <c r="T222" s="36" t="s">
        <v>99</v>
      </c>
      <c r="U222" s="36" t="s">
        <v>100</v>
      </c>
      <c r="V222" s="36" t="s">
        <v>71</v>
      </c>
      <c r="W222" s="36" t="s">
        <v>111</v>
      </c>
      <c r="X222" s="36" t="s">
        <v>71</v>
      </c>
      <c r="Y222" s="36" t="s">
        <v>71</v>
      </c>
      <c r="Z222" s="36" t="s">
        <v>71</v>
      </c>
      <c r="AA222" s="36" t="s">
        <v>71</v>
      </c>
      <c r="AB222" s="36" t="s">
        <v>71</v>
      </c>
      <c r="AC222" s="36" t="s">
        <v>71</v>
      </c>
      <c r="AD222" s="36" t="s">
        <v>72</v>
      </c>
      <c r="AE222" s="36" t="s">
        <v>94</v>
      </c>
      <c r="AF222" s="36" t="s">
        <v>154</v>
      </c>
      <c r="AG222" s="36" t="s">
        <v>120</v>
      </c>
      <c r="AH222" t="str">
        <f>VLOOKUP($R222,武学奇术!$A:$ZZ,25,FALSE)</f>
        <v>剑</v>
      </c>
      <c r="AI222" s="20">
        <f>VLOOKUP($R222,武学奇术!$A:$ZZ,26,FALSE)</f>
        <v>0.20592</v>
      </c>
      <c r="AJ222" s="21">
        <f>VLOOKUP($R222,武学奇术!$A:$ZZ,27,FALSE)*(1+IF(OR($AH222=$F$4,$AH222=$F$5),$B$22,0))</f>
        <v>0</v>
      </c>
      <c r="AK222" s="20">
        <f>VLOOKUP($R222,武学奇术!$A:$ZZ,28,FALSE)</f>
        <v>0.30888</v>
      </c>
      <c r="AL222" s="21">
        <f>VLOOKUP($R222,武学奇术!$A:$ZZ,29,FALSE)*(1+IF(OR($AH222=$F$4,$AH222=$F$5),$B$22,0))</f>
        <v>0</v>
      </c>
      <c r="AM222" s="20" cm="1">
        <f t="array" ref="AM222">$G$3+IFERROR(VLOOKUP($AH222,$F$4:$G$7,2,FALSE),0)+VLOOKUP($R222,武学奇术!$A:$ZZ,2,FALSE)+SUM(_xlfn.XLOOKUP($S222:$AG222,增益!$A:$A,增益!$B:$B,0))</f>
        <v>1.3191</v>
      </c>
      <c r="AN222" s="20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1585.72</v>
      </c>
      <c r="AP222" cm="1">
        <f t="array" ref="AP222">$E$10*(1+$AN222)+VLOOKUP($R222,武学奇术!$A:$ZZ,4,FALSE)+SUM(_xlfn.XLOOKUP($S222:$AG222,增益!$A:$A,增益!$D:$D,0))-$I$2</f>
        <v>6696.76</v>
      </c>
      <c r="AQ222" s="29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0.4175</v>
      </c>
      <c r="AR222" s="29" cm="1">
        <f t="array" ref="AR222">$G$10+VLOOKUP($R222,武学奇术!$A:$ZZ,7,FALSE)+SUM(_xlfn.XLOOKUP(S222:AG222,增益!$A:$A,增益!$G:$G,0))</f>
        <v>0</v>
      </c>
      <c r="AS222" s="20" cm="1">
        <f t="array" ref="AS222">VLOOKUP($R222,武学奇术!$A:$ZZ,8,FALSE)+SUM(_xlfn.XLOOKUP(S222:AG222,增益!$A:$A,增益!$H:$H,0))</f>
        <v>0</v>
      </c>
      <c r="AT222">
        <f t="shared" si="105"/>
        <v>538</v>
      </c>
      <c r="AU222">
        <f t="shared" si="106"/>
        <v>1011</v>
      </c>
      <c r="AV222" s="29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0.075</v>
      </c>
      <c r="AW222" s="29" cm="1">
        <f t="array" ref="AW222">$G$11+VLOOKUP($R222,武学奇术!$A:$ZZ,10,FALSE)+SUM(_xlfn.XLOOKUP(S222:AG222,增益!$A:$A,增益!$J:$J,0))</f>
        <v>0.15</v>
      </c>
      <c r="AX222">
        <f t="shared" si="107"/>
        <v>0</v>
      </c>
      <c r="AY222">
        <f t="shared" si="108"/>
        <v>0</v>
      </c>
      <c r="AZ222" s="29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29" cm="1">
        <f t="array" ref="BA222">$G$12+VLOOKUP($R222,武学奇术!$A:$ZZ,12,FALSE)+SUM(_xlfn.XLOOKUP(S222:AG222,增益!$A:$A,增益!$L:$L,0))</f>
        <v>0</v>
      </c>
      <c r="BB222">
        <f t="shared" si="109"/>
        <v>0</v>
      </c>
      <c r="BC222">
        <f t="shared" si="110"/>
        <v>0</v>
      </c>
      <c r="BD222" s="29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29" cm="1">
        <f t="array" ref="BE222">$G$13+VLOOKUP($R222,武学奇术!$A:$ZZ,14,FALSE)+SUM(_xlfn.XLOOKUP(S222:AG222,增益!$A:$A,增益!$N:$N,0))</f>
        <v>0</v>
      </c>
      <c r="BF222">
        <f t="shared" si="111"/>
        <v>0</v>
      </c>
      <c r="BG222">
        <f t="shared" si="112"/>
        <v>0</v>
      </c>
      <c r="BH222" s="29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29" cm="1">
        <f t="array" ref="BI222">$G$14+VLOOKUP($R222,武学奇术!$A:$ZZ,16,FALSE)+SUM(_xlfn.XLOOKUP(S222:AG222,增益!$A:$A,增益!$P:$P,0))</f>
        <v>0</v>
      </c>
      <c r="BJ222" s="20">
        <f>MIN(IF(VLOOKUP($R222,武学奇术!$A:$ZZ,23,FALSE)=1,100%,$B$8),100%)</f>
        <v>0.8271</v>
      </c>
      <c r="BK222" s="20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0.2249</v>
      </c>
      <c r="BL222" s="20" cm="1">
        <f t="array" ref="BL222">1+$B$13+VLOOKUP($R222,武学奇术!$A:$ZZ,18,FALSE)+SUM(_xlfn.XLOOKUP(S222:AG222,增益!$A:$A,增益!$R:$R,0))</f>
        <v>1.5</v>
      </c>
      <c r="BM222" s="20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0.4459</v>
      </c>
      <c r="BN222" s="20" cm="1">
        <f t="array" ref="BN222">1+$B$14+VLOOKUP($R222,武学奇术!$A:$ZZ,20,FALSE)+SUM(_xlfn.XLOOKUP(S222:AG222,增益!$A:$A,增益!$T:$T,0))</f>
        <v>1.782</v>
      </c>
      <c r="BO222" s="20">
        <f t="shared" si="113"/>
        <v>0.18601479</v>
      </c>
      <c r="BP222" s="20">
        <f t="shared" si="114"/>
        <v>0.27228132</v>
      </c>
      <c r="BQ222" s="20">
        <f>IF(VLOOKUP($R222,武学奇术!$A:$ZZ,22,FALSE)=1,0,(1-$BJ222))*(1-$BM222)</f>
        <v>0.09580389</v>
      </c>
      <c r="BR222" s="20" cm="1">
        <f t="array" ref="BR222">SUM(_xlfn.XLOOKUP(S222:AG222,增益!$A:$A,增益!$W:$W,0))+$I$5</f>
        <v>0.11</v>
      </c>
    </row>
    <row r="223" spans="11:70">
      <c r="K223" s="27">
        <f>$L223*VLOOKUP($R223,武学奇术!$A:$ZZ,31,FALSE)</f>
        <v>7484.86557068131</v>
      </c>
      <c r="L223" s="27">
        <f t="shared" si="104"/>
        <v>12474.7759511355</v>
      </c>
      <c r="M223" s="27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10224.6773470467</v>
      </c>
      <c r="N223" s="27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18898.3399305765</v>
      </c>
      <c r="O223" s="27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6816.45156469778</v>
      </c>
      <c r="P223" s="27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3027.77409989135</v>
      </c>
      <c r="Q223" s="35">
        <v>1</v>
      </c>
      <c r="R223" s="36" t="s">
        <v>163</v>
      </c>
      <c r="S223" s="36" t="s">
        <v>71</v>
      </c>
      <c r="T223" s="36" t="s">
        <v>99</v>
      </c>
      <c r="U223" s="36" t="s">
        <v>100</v>
      </c>
      <c r="V223" s="36" t="s">
        <v>71</v>
      </c>
      <c r="W223" s="36" t="s">
        <v>111</v>
      </c>
      <c r="X223" s="36" t="s">
        <v>71</v>
      </c>
      <c r="Y223" s="36" t="s">
        <v>71</v>
      </c>
      <c r="Z223" s="36" t="s">
        <v>71</v>
      </c>
      <c r="AA223" s="36" t="s">
        <v>71</v>
      </c>
      <c r="AB223" s="36" t="s">
        <v>71</v>
      </c>
      <c r="AC223" s="36" t="s">
        <v>71</v>
      </c>
      <c r="AD223" s="36" t="s">
        <v>72</v>
      </c>
      <c r="AE223" s="36" t="s">
        <v>94</v>
      </c>
      <c r="AF223" s="36" t="s">
        <v>154</v>
      </c>
      <c r="AG223" s="36" t="s">
        <v>120</v>
      </c>
      <c r="AH223" t="str">
        <f>VLOOKUP($R223,武学奇术!$A:$ZZ,25,FALSE)</f>
        <v>剑</v>
      </c>
      <c r="AI223" s="20">
        <f>VLOOKUP($R223,武学奇术!$A:$ZZ,26,FALSE)</f>
        <v>0.27456</v>
      </c>
      <c r="AJ223" s="21">
        <f>VLOOKUP($R223,武学奇术!$A:$ZZ,27,FALSE)*(1+IF(OR($AH223=$F$4,$AH223=$F$5),$B$22,0))</f>
        <v>0</v>
      </c>
      <c r="AK223" s="20">
        <f>VLOOKUP($R223,武学奇术!$A:$ZZ,28,FALSE)</f>
        <v>0.41184</v>
      </c>
      <c r="AL223" s="21">
        <f>VLOOKUP($R223,武学奇术!$A:$ZZ,29,FALSE)*(1+IF(OR($AH223=$F$4,$AH223=$F$5),$B$22,0))</f>
        <v>0</v>
      </c>
      <c r="AM223" s="20" cm="1">
        <f t="array" ref="AM223">$G$3+IFERROR(VLOOKUP($AH223,$F$4:$G$7,2,FALSE),0)+VLOOKUP($R223,武学奇术!$A:$ZZ,2,FALSE)+SUM(_xlfn.XLOOKUP($S223:$AG223,增益!$A:$A,增益!$B:$B,0))</f>
        <v>1.3191</v>
      </c>
      <c r="AN223" s="20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1585.72</v>
      </c>
      <c r="AP223" cm="1">
        <f t="array" ref="AP223">$E$10*(1+$AN223)+VLOOKUP($R223,武学奇术!$A:$ZZ,4,FALSE)+SUM(_xlfn.XLOOKUP($S223:$AG223,增益!$A:$A,增益!$D:$D,0))-$I$2</f>
        <v>6696.76</v>
      </c>
      <c r="AQ223" s="29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0.4175</v>
      </c>
      <c r="AR223" s="29" cm="1">
        <f t="array" ref="AR223">$G$10+VLOOKUP($R223,武学奇术!$A:$ZZ,7,FALSE)+SUM(_xlfn.XLOOKUP(S223:AG223,增益!$A:$A,增益!$G:$G,0))</f>
        <v>0</v>
      </c>
      <c r="AS223" s="20" cm="1">
        <f t="array" ref="AS223">VLOOKUP($R223,武学奇术!$A:$ZZ,8,FALSE)+SUM(_xlfn.XLOOKUP(S223:AG223,增益!$A:$A,增益!$H:$H,0))</f>
        <v>0</v>
      </c>
      <c r="AT223">
        <f t="shared" si="105"/>
        <v>538</v>
      </c>
      <c r="AU223">
        <f t="shared" si="106"/>
        <v>1011</v>
      </c>
      <c r="AV223" s="29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0.075</v>
      </c>
      <c r="AW223" s="29" cm="1">
        <f t="array" ref="AW223">$G$11+VLOOKUP($R223,武学奇术!$A:$ZZ,10,FALSE)+SUM(_xlfn.XLOOKUP(S223:AG223,增益!$A:$A,增益!$J:$J,0))</f>
        <v>0.15</v>
      </c>
      <c r="AX223">
        <f t="shared" si="107"/>
        <v>0</v>
      </c>
      <c r="AY223">
        <f t="shared" si="108"/>
        <v>0</v>
      </c>
      <c r="AZ223" s="29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29" cm="1">
        <f t="array" ref="BA223">$G$12+VLOOKUP($R223,武学奇术!$A:$ZZ,12,FALSE)+SUM(_xlfn.XLOOKUP(S223:AG223,增益!$A:$A,增益!$L:$L,0))</f>
        <v>0</v>
      </c>
      <c r="BB223">
        <f t="shared" si="109"/>
        <v>0</v>
      </c>
      <c r="BC223">
        <f t="shared" si="110"/>
        <v>0</v>
      </c>
      <c r="BD223" s="29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29" cm="1">
        <f t="array" ref="BE223">$G$13+VLOOKUP($R223,武学奇术!$A:$ZZ,14,FALSE)+SUM(_xlfn.XLOOKUP(S223:AG223,增益!$A:$A,增益!$N:$N,0))</f>
        <v>0</v>
      </c>
      <c r="BF223">
        <f t="shared" si="111"/>
        <v>0</v>
      </c>
      <c r="BG223">
        <f t="shared" si="112"/>
        <v>0</v>
      </c>
      <c r="BH223" s="29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29" cm="1">
        <f t="array" ref="BI223">$G$14+VLOOKUP($R223,武学奇术!$A:$ZZ,16,FALSE)+SUM(_xlfn.XLOOKUP(S223:AG223,增益!$A:$A,增益!$P:$P,0))</f>
        <v>0</v>
      </c>
      <c r="BJ223" s="20">
        <f>MIN(IF(VLOOKUP($R223,武学奇术!$A:$ZZ,23,FALSE)=1,100%,$B$8),100%)</f>
        <v>0.8271</v>
      </c>
      <c r="BK223" s="20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0.2249</v>
      </c>
      <c r="BL223" s="20" cm="1">
        <f t="array" ref="BL223">1+$B$13+VLOOKUP($R223,武学奇术!$A:$ZZ,18,FALSE)+SUM(_xlfn.XLOOKUP(S223:AG223,增益!$A:$A,增益!$R:$R,0))</f>
        <v>1.5</v>
      </c>
      <c r="BM223" s="20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0.4459</v>
      </c>
      <c r="BN223" s="20" cm="1">
        <f t="array" ref="BN223">1+$B$14+VLOOKUP($R223,武学奇术!$A:$ZZ,20,FALSE)+SUM(_xlfn.XLOOKUP(S223:AG223,增益!$A:$A,增益!$T:$T,0))</f>
        <v>1.782</v>
      </c>
      <c r="BO223" s="20">
        <f t="shared" si="113"/>
        <v>0.18601479</v>
      </c>
      <c r="BP223" s="20">
        <f t="shared" si="114"/>
        <v>0.27228132</v>
      </c>
      <c r="BQ223" s="20">
        <f>IF(VLOOKUP($R223,武学奇术!$A:$ZZ,22,FALSE)=1,0,(1-$BJ223))*(1-$BM223)</f>
        <v>0.09580389</v>
      </c>
      <c r="BR223" s="20" cm="1">
        <f t="array" ref="BR223">SUM(_xlfn.XLOOKUP(S223:AG223,增益!$A:$A,增益!$W:$W,0))+$I$5</f>
        <v>0.11</v>
      </c>
    </row>
    <row r="224" spans="11:70">
      <c r="K224" s="27">
        <f>$L224*VLOOKUP($R224,武学奇术!$A:$ZZ,31,FALSE)</f>
        <v>7484.86557068131</v>
      </c>
      <c r="L224" s="27">
        <f t="shared" si="104"/>
        <v>12474.7759511355</v>
      </c>
      <c r="M224" s="27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10224.6773470467</v>
      </c>
      <c r="N224" s="27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18898.3399305765</v>
      </c>
      <c r="O224" s="27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6816.45156469778</v>
      </c>
      <c r="P224" s="27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3027.77409989135</v>
      </c>
      <c r="Q224" s="35">
        <v>1</v>
      </c>
      <c r="R224" s="36" t="s">
        <v>163</v>
      </c>
      <c r="S224" s="36" t="s">
        <v>71</v>
      </c>
      <c r="T224" s="36" t="s">
        <v>99</v>
      </c>
      <c r="U224" s="36" t="s">
        <v>100</v>
      </c>
      <c r="V224" s="36" t="s">
        <v>71</v>
      </c>
      <c r="W224" s="36" t="s">
        <v>111</v>
      </c>
      <c r="X224" s="36" t="s">
        <v>71</v>
      </c>
      <c r="Y224" s="36" t="s">
        <v>71</v>
      </c>
      <c r="Z224" s="36" t="s">
        <v>71</v>
      </c>
      <c r="AA224" s="36" t="s">
        <v>71</v>
      </c>
      <c r="AB224" s="36" t="s">
        <v>71</v>
      </c>
      <c r="AC224" s="36" t="s">
        <v>71</v>
      </c>
      <c r="AD224" s="36" t="s">
        <v>72</v>
      </c>
      <c r="AE224" s="36" t="s">
        <v>94</v>
      </c>
      <c r="AF224" s="36" t="s">
        <v>154</v>
      </c>
      <c r="AG224" s="36" t="s">
        <v>120</v>
      </c>
      <c r="AH224" t="str">
        <f>VLOOKUP($R224,武学奇术!$A:$ZZ,25,FALSE)</f>
        <v>剑</v>
      </c>
      <c r="AI224" s="20">
        <f>VLOOKUP($R224,武学奇术!$A:$ZZ,26,FALSE)</f>
        <v>0.27456</v>
      </c>
      <c r="AJ224" s="21">
        <f>VLOOKUP($R224,武学奇术!$A:$ZZ,27,FALSE)*(1+IF(OR($AH224=$F$4,$AH224=$F$5),$B$22,0))</f>
        <v>0</v>
      </c>
      <c r="AK224" s="20">
        <f>VLOOKUP($R224,武学奇术!$A:$ZZ,28,FALSE)</f>
        <v>0.41184</v>
      </c>
      <c r="AL224" s="21">
        <f>VLOOKUP($R224,武学奇术!$A:$ZZ,29,FALSE)*(1+IF(OR($AH224=$F$4,$AH224=$F$5),$B$22,0))</f>
        <v>0</v>
      </c>
      <c r="AM224" s="20" cm="1">
        <f t="array" ref="AM224">$G$3+IFERROR(VLOOKUP($AH224,$F$4:$G$7,2,FALSE),0)+VLOOKUP($R224,武学奇术!$A:$ZZ,2,FALSE)+SUM(_xlfn.XLOOKUP($S224:$AG224,增益!$A:$A,增益!$B:$B,0))</f>
        <v>1.3191</v>
      </c>
      <c r="AN224" s="20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1585.72</v>
      </c>
      <c r="AP224" cm="1">
        <f t="array" ref="AP224">$E$10*(1+$AN224)+VLOOKUP($R224,武学奇术!$A:$ZZ,4,FALSE)+SUM(_xlfn.XLOOKUP($S224:$AG224,增益!$A:$A,增益!$D:$D,0))-$I$2</f>
        <v>6696.76</v>
      </c>
      <c r="AQ224" s="29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0.4175</v>
      </c>
      <c r="AR224" s="29" cm="1">
        <f t="array" ref="AR224">$G$10+VLOOKUP($R224,武学奇术!$A:$ZZ,7,FALSE)+SUM(_xlfn.XLOOKUP(S224:AG224,增益!$A:$A,增益!$G:$G,0))</f>
        <v>0</v>
      </c>
      <c r="AS224" s="20" cm="1">
        <f t="array" ref="AS224">VLOOKUP($R224,武学奇术!$A:$ZZ,8,FALSE)+SUM(_xlfn.XLOOKUP(S224:AG224,增益!$A:$A,增益!$H:$H,0))</f>
        <v>0</v>
      </c>
      <c r="AT224">
        <f t="shared" si="105"/>
        <v>538</v>
      </c>
      <c r="AU224">
        <f t="shared" si="106"/>
        <v>1011</v>
      </c>
      <c r="AV224" s="29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0.075</v>
      </c>
      <c r="AW224" s="29" cm="1">
        <f t="array" ref="AW224">$G$11+VLOOKUP($R224,武学奇术!$A:$ZZ,10,FALSE)+SUM(_xlfn.XLOOKUP(S224:AG224,增益!$A:$A,增益!$J:$J,0))</f>
        <v>0.15</v>
      </c>
      <c r="AX224">
        <f t="shared" si="107"/>
        <v>0</v>
      </c>
      <c r="AY224">
        <f t="shared" si="108"/>
        <v>0</v>
      </c>
      <c r="AZ224" s="29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29" cm="1">
        <f t="array" ref="BA224">$G$12+VLOOKUP($R224,武学奇术!$A:$ZZ,12,FALSE)+SUM(_xlfn.XLOOKUP(S224:AG224,增益!$A:$A,增益!$L:$L,0))</f>
        <v>0</v>
      </c>
      <c r="BB224">
        <f t="shared" si="109"/>
        <v>0</v>
      </c>
      <c r="BC224">
        <f t="shared" si="110"/>
        <v>0</v>
      </c>
      <c r="BD224" s="29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29" cm="1">
        <f t="array" ref="BE224">$G$13+VLOOKUP($R224,武学奇术!$A:$ZZ,14,FALSE)+SUM(_xlfn.XLOOKUP(S224:AG224,增益!$A:$A,增益!$N:$N,0))</f>
        <v>0</v>
      </c>
      <c r="BF224">
        <f t="shared" si="111"/>
        <v>0</v>
      </c>
      <c r="BG224">
        <f t="shared" si="112"/>
        <v>0</v>
      </c>
      <c r="BH224" s="29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29" cm="1">
        <f t="array" ref="BI224">$G$14+VLOOKUP($R224,武学奇术!$A:$ZZ,16,FALSE)+SUM(_xlfn.XLOOKUP(S224:AG224,增益!$A:$A,增益!$P:$P,0))</f>
        <v>0</v>
      </c>
      <c r="BJ224" s="20">
        <f>MIN(IF(VLOOKUP($R224,武学奇术!$A:$ZZ,23,FALSE)=1,100%,$B$8),100%)</f>
        <v>0.8271</v>
      </c>
      <c r="BK224" s="20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0.2249</v>
      </c>
      <c r="BL224" s="20" cm="1">
        <f t="array" ref="BL224">1+$B$13+VLOOKUP($R224,武学奇术!$A:$ZZ,18,FALSE)+SUM(_xlfn.XLOOKUP(S224:AG224,增益!$A:$A,增益!$R:$R,0))</f>
        <v>1.5</v>
      </c>
      <c r="BM224" s="20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0.4459</v>
      </c>
      <c r="BN224" s="20" cm="1">
        <f t="array" ref="BN224">1+$B$14+VLOOKUP($R224,武学奇术!$A:$ZZ,20,FALSE)+SUM(_xlfn.XLOOKUP(S224:AG224,增益!$A:$A,增益!$T:$T,0))</f>
        <v>1.782</v>
      </c>
      <c r="BO224" s="20">
        <f t="shared" si="113"/>
        <v>0.18601479</v>
      </c>
      <c r="BP224" s="20">
        <f t="shared" si="114"/>
        <v>0.27228132</v>
      </c>
      <c r="BQ224" s="20">
        <f>IF(VLOOKUP($R224,武学奇术!$A:$ZZ,22,FALSE)=1,0,(1-$BJ224))*(1-$BM224)</f>
        <v>0.09580389</v>
      </c>
      <c r="BR224" s="20" cm="1">
        <f t="array" ref="BR224">SUM(_xlfn.XLOOKUP(S224:AG224,增益!$A:$A,增益!$W:$W,0))+$I$5</f>
        <v>0.11</v>
      </c>
    </row>
    <row r="225" spans="11:70">
      <c r="K225" s="27">
        <f>$L225*VLOOKUP($R225,武学奇术!$A:$ZZ,31,FALSE)</f>
        <v>7449.40343212955</v>
      </c>
      <c r="L225" s="27">
        <f t="shared" si="104"/>
        <v>12415.6723868826</v>
      </c>
      <c r="M225" s="27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10163.1837818843</v>
      </c>
      <c r="N225" s="27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18825.2855751636</v>
      </c>
      <c r="O225" s="27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6775.45585458953</v>
      </c>
      <c r="P225" s="27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2986.7783897831</v>
      </c>
      <c r="Q225" s="35">
        <v>1</v>
      </c>
      <c r="R225" s="36" t="s">
        <v>163</v>
      </c>
      <c r="S225" s="36" t="s">
        <v>71</v>
      </c>
      <c r="T225" s="36" t="s">
        <v>99</v>
      </c>
      <c r="U225" s="36" t="s">
        <v>100</v>
      </c>
      <c r="V225" s="36" t="s">
        <v>71</v>
      </c>
      <c r="W225" s="36" t="s">
        <v>71</v>
      </c>
      <c r="X225" s="36" t="s">
        <v>71</v>
      </c>
      <c r="Y225" s="36" t="s">
        <v>71</v>
      </c>
      <c r="Z225" s="36" t="s">
        <v>71</v>
      </c>
      <c r="AA225" s="36" t="s">
        <v>71</v>
      </c>
      <c r="AB225" s="36" t="s">
        <v>71</v>
      </c>
      <c r="AC225" s="36" t="s">
        <v>71</v>
      </c>
      <c r="AD225" s="36" t="s">
        <v>72</v>
      </c>
      <c r="AE225" s="36" t="s">
        <v>94</v>
      </c>
      <c r="AF225" s="36" t="s">
        <v>154</v>
      </c>
      <c r="AG225" s="36" t="s">
        <v>120</v>
      </c>
      <c r="AH225" t="str">
        <f>VLOOKUP($R225,武学奇术!$A:$ZZ,25,FALSE)</f>
        <v>剑</v>
      </c>
      <c r="AI225" s="20">
        <f>VLOOKUP($R225,武学奇术!$A:$ZZ,26,FALSE)</f>
        <v>0.27456</v>
      </c>
      <c r="AJ225" s="21">
        <f>VLOOKUP($R225,武学奇术!$A:$ZZ,27,FALSE)*(1+IF(OR($AH225=$F$4,$AH225=$F$5),$B$22,0))</f>
        <v>0</v>
      </c>
      <c r="AK225" s="20">
        <f>VLOOKUP($R225,武学奇术!$A:$ZZ,28,FALSE)</f>
        <v>0.41184</v>
      </c>
      <c r="AL225" s="21">
        <f>VLOOKUP($R225,武学奇术!$A:$ZZ,29,FALSE)*(1+IF(OR($AH225=$F$4,$AH225=$F$5),$B$22,0))</f>
        <v>0</v>
      </c>
      <c r="AM225" s="20" cm="1">
        <f t="array" ref="AM225">$G$3+IFERROR(VLOOKUP($AH225,$F$4:$G$7,2,FALSE),0)+VLOOKUP($R225,武学奇术!$A:$ZZ,2,FALSE)+SUM(_xlfn.XLOOKUP($S225:$AG225,增益!$A:$A,增益!$B:$B,0))</f>
        <v>1.3191</v>
      </c>
      <c r="AN225" s="20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1554.72</v>
      </c>
      <c r="AP225" cm="1">
        <f t="array" ref="AP225">$E$10*(1+$AN225)+VLOOKUP($R225,武学奇术!$A:$ZZ,4,FALSE)+SUM(_xlfn.XLOOKUP($S225:$AG225,增益!$A:$A,增益!$D:$D,0))-$I$2</f>
        <v>6665.76</v>
      </c>
      <c r="AQ225" s="29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0.4175</v>
      </c>
      <c r="AR225" s="29" cm="1">
        <f t="array" ref="AR225">$G$10+VLOOKUP($R225,武学奇术!$A:$ZZ,7,FALSE)+SUM(_xlfn.XLOOKUP(S225:AG225,增益!$A:$A,增益!$G:$G,0))</f>
        <v>0</v>
      </c>
      <c r="AS225" s="20" cm="1">
        <f t="array" ref="AS225">VLOOKUP($R225,武学奇术!$A:$ZZ,8,FALSE)+SUM(_xlfn.XLOOKUP(S225:AG225,增益!$A:$A,增益!$H:$H,0))</f>
        <v>0</v>
      </c>
      <c r="AT225">
        <f t="shared" si="105"/>
        <v>538</v>
      </c>
      <c r="AU225">
        <f t="shared" si="106"/>
        <v>1011</v>
      </c>
      <c r="AV225" s="29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0.075</v>
      </c>
      <c r="AW225" s="29" cm="1">
        <f t="array" ref="AW225">$G$11+VLOOKUP($R225,武学奇术!$A:$ZZ,10,FALSE)+SUM(_xlfn.XLOOKUP(S225:AG225,增益!$A:$A,增益!$J:$J,0))</f>
        <v>0.15</v>
      </c>
      <c r="AX225">
        <f t="shared" si="107"/>
        <v>0</v>
      </c>
      <c r="AY225">
        <f t="shared" si="108"/>
        <v>0</v>
      </c>
      <c r="AZ225" s="29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29" cm="1">
        <f t="array" ref="BA225">$G$12+VLOOKUP($R225,武学奇术!$A:$ZZ,12,FALSE)+SUM(_xlfn.XLOOKUP(S225:AG225,增益!$A:$A,增益!$L:$L,0))</f>
        <v>0</v>
      </c>
      <c r="BB225">
        <f t="shared" si="109"/>
        <v>0</v>
      </c>
      <c r="BC225">
        <f t="shared" si="110"/>
        <v>0</v>
      </c>
      <c r="BD225" s="29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29" cm="1">
        <f t="array" ref="BE225">$G$13+VLOOKUP($R225,武学奇术!$A:$ZZ,14,FALSE)+SUM(_xlfn.XLOOKUP(S225:AG225,增益!$A:$A,增益!$N:$N,0))</f>
        <v>0</v>
      </c>
      <c r="BF225">
        <f t="shared" si="111"/>
        <v>0</v>
      </c>
      <c r="BG225">
        <f t="shared" si="112"/>
        <v>0</v>
      </c>
      <c r="BH225" s="29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29" cm="1">
        <f t="array" ref="BI225">$G$14+VLOOKUP($R225,武学奇术!$A:$ZZ,16,FALSE)+SUM(_xlfn.XLOOKUP(S225:AG225,增益!$A:$A,增益!$P:$P,0))</f>
        <v>0</v>
      </c>
      <c r="BJ225" s="20">
        <f>MIN(IF(VLOOKUP($R225,武学奇术!$A:$ZZ,23,FALSE)=1,100%,$B$8),100%)</f>
        <v>0.8271</v>
      </c>
      <c r="BK225" s="20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0.2249</v>
      </c>
      <c r="BL225" s="20" cm="1">
        <f t="array" ref="BL225">1+$B$13+VLOOKUP($R225,武学奇术!$A:$ZZ,18,FALSE)+SUM(_xlfn.XLOOKUP(S225:AG225,增益!$A:$A,增益!$R:$R,0))</f>
        <v>1.5</v>
      </c>
      <c r="BM225" s="20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0.4459</v>
      </c>
      <c r="BN225" s="20" cm="1">
        <f t="array" ref="BN225">1+$B$14+VLOOKUP($R225,武学奇术!$A:$ZZ,20,FALSE)+SUM(_xlfn.XLOOKUP(S225:AG225,增益!$A:$A,增益!$T:$T,0))</f>
        <v>1.782</v>
      </c>
      <c r="BO225" s="20">
        <f t="shared" si="113"/>
        <v>0.18601479</v>
      </c>
      <c r="BP225" s="20">
        <f t="shared" si="114"/>
        <v>0.27228132</v>
      </c>
      <c r="BQ225" s="20">
        <f>IF(VLOOKUP($R225,武学奇术!$A:$ZZ,22,FALSE)=1,0,(1-$BJ225))*(1-$BM225)</f>
        <v>0.09580389</v>
      </c>
      <c r="BR225" s="20" cm="1">
        <f t="array" ref="BR225">SUM(_xlfn.XLOOKUP(S225:AG225,增益!$A:$A,增益!$W:$W,0))+$I$5</f>
        <v>0.11</v>
      </c>
    </row>
    <row r="226" spans="11:70">
      <c r="K226" s="27">
        <f>$L226*VLOOKUP($R226,武学奇术!$A:$ZZ,31,FALSE)</f>
        <v>7548.4239185184</v>
      </c>
      <c r="L226" s="27">
        <f t="shared" si="104"/>
        <v>12580.706530864</v>
      </c>
      <c r="M226" s="27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10312.754100781</v>
      </c>
      <c r="N226" s="27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19057.2340887552</v>
      </c>
      <c r="O226" s="27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6875.16940052069</v>
      </c>
      <c r="P226" s="27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3056.04357727305</v>
      </c>
      <c r="Q226" s="35">
        <v>1</v>
      </c>
      <c r="R226" s="36" t="s">
        <v>163</v>
      </c>
      <c r="S226" s="36" t="s">
        <v>71</v>
      </c>
      <c r="T226" s="36" t="s">
        <v>99</v>
      </c>
      <c r="U226" s="36" t="s">
        <v>100</v>
      </c>
      <c r="V226" s="36" t="s">
        <v>71</v>
      </c>
      <c r="W226" s="36" t="s">
        <v>71</v>
      </c>
      <c r="X226" s="36" t="s">
        <v>71</v>
      </c>
      <c r="Y226" s="36" t="s">
        <v>71</v>
      </c>
      <c r="Z226" s="36" t="s">
        <v>82</v>
      </c>
      <c r="AA226" s="36" t="s">
        <v>71</v>
      </c>
      <c r="AB226" s="36" t="s">
        <v>71</v>
      </c>
      <c r="AC226" s="36" t="s">
        <v>71</v>
      </c>
      <c r="AD226" s="36" t="s">
        <v>72</v>
      </c>
      <c r="AE226" s="36" t="s">
        <v>94</v>
      </c>
      <c r="AF226" s="36" t="s">
        <v>154</v>
      </c>
      <c r="AG226" s="36" t="s">
        <v>120</v>
      </c>
      <c r="AH226" t="str">
        <f>VLOOKUP($R226,武学奇术!$A:$ZZ,25,FALSE)</f>
        <v>剑</v>
      </c>
      <c r="AI226" s="20">
        <f>VLOOKUP($R226,武学奇术!$A:$ZZ,26,FALSE)</f>
        <v>0.27456</v>
      </c>
      <c r="AJ226" s="21">
        <f>VLOOKUP($R226,武学奇术!$A:$ZZ,27,FALSE)*(1+IF(OR($AH226=$F$4,$AH226=$F$5),$B$22,0))</f>
        <v>0</v>
      </c>
      <c r="AK226" s="20">
        <f>VLOOKUP($R226,武学奇术!$A:$ZZ,28,FALSE)</f>
        <v>0.41184</v>
      </c>
      <c r="AL226" s="21">
        <f>VLOOKUP($R226,武学奇术!$A:$ZZ,29,FALSE)*(1+IF(OR($AH226=$F$4,$AH226=$F$5),$B$22,0))</f>
        <v>0</v>
      </c>
      <c r="AM226" s="20" cm="1">
        <f t="array" ref="AM226">$G$3+IFERROR(VLOOKUP($AH226,$F$4:$G$7,2,FALSE),0)+VLOOKUP($R226,武学奇术!$A:$ZZ,2,FALSE)+SUM(_xlfn.XLOOKUP($S226:$AG226,增益!$A:$A,增益!$B:$B,0))</f>
        <v>1.3191</v>
      </c>
      <c r="AN226" s="20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1554.72</v>
      </c>
      <c r="AP226" cm="1">
        <f t="array" ref="AP226">$E$10*(1+$AN226)+VLOOKUP($R226,武学奇术!$A:$ZZ,4,FALSE)+SUM(_xlfn.XLOOKUP($S226:$AG226,增益!$A:$A,增益!$D:$D,0))-$I$2</f>
        <v>6665.76</v>
      </c>
      <c r="AQ226" s="29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0.4175</v>
      </c>
      <c r="AR226" s="29" cm="1">
        <f t="array" ref="AR226">$G$10+VLOOKUP($R226,武学奇术!$A:$ZZ,7,FALSE)+SUM(_xlfn.XLOOKUP(S226:AG226,增益!$A:$A,增益!$G:$G,0))</f>
        <v>0</v>
      </c>
      <c r="AS226" s="20" cm="1">
        <f t="array" ref="AS226">VLOOKUP($R226,武学奇术!$A:$ZZ,8,FALSE)+SUM(_xlfn.XLOOKUP(S226:AG226,增益!$A:$A,增益!$H:$H,0))</f>
        <v>0</v>
      </c>
      <c r="AT226">
        <f t="shared" si="105"/>
        <v>538</v>
      </c>
      <c r="AU226">
        <f t="shared" si="106"/>
        <v>1011</v>
      </c>
      <c r="AV226" s="29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0.155</v>
      </c>
      <c r="AW226" s="29" cm="1">
        <f t="array" ref="AW226">$G$11+VLOOKUP($R226,武学奇术!$A:$ZZ,10,FALSE)+SUM(_xlfn.XLOOKUP(S226:AG226,增益!$A:$A,增益!$J:$J,0))</f>
        <v>0.15</v>
      </c>
      <c r="AX226">
        <f t="shared" si="107"/>
        <v>0</v>
      </c>
      <c r="AY226">
        <f t="shared" si="108"/>
        <v>0</v>
      </c>
      <c r="AZ226" s="29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-0.14</v>
      </c>
      <c r="BA226" s="29" cm="1">
        <f t="array" ref="BA226">$G$12+VLOOKUP($R226,武学奇术!$A:$ZZ,12,FALSE)+SUM(_xlfn.XLOOKUP(S226:AG226,增益!$A:$A,增益!$L:$L,0))</f>
        <v>0</v>
      </c>
      <c r="BB226">
        <f t="shared" si="109"/>
        <v>0</v>
      </c>
      <c r="BC226">
        <f t="shared" si="110"/>
        <v>0</v>
      </c>
      <c r="BD226" s="29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-0.14</v>
      </c>
      <c r="BE226" s="29" cm="1">
        <f t="array" ref="BE226">$G$13+VLOOKUP($R226,武学奇术!$A:$ZZ,14,FALSE)+SUM(_xlfn.XLOOKUP(S226:AG226,增益!$A:$A,增益!$N:$N,0))</f>
        <v>0</v>
      </c>
      <c r="BF226">
        <f t="shared" si="111"/>
        <v>0</v>
      </c>
      <c r="BG226">
        <f t="shared" si="112"/>
        <v>0</v>
      </c>
      <c r="BH226" s="29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-0.14</v>
      </c>
      <c r="BI226" s="29" cm="1">
        <f t="array" ref="BI226">$G$14+VLOOKUP($R226,武学奇术!$A:$ZZ,16,FALSE)+SUM(_xlfn.XLOOKUP(S226:AG226,增益!$A:$A,增益!$P:$P,0))</f>
        <v>0</v>
      </c>
      <c r="BJ226" s="20">
        <f>MIN(IF(VLOOKUP($R226,武学奇术!$A:$ZZ,23,FALSE)=1,100%,$B$8),100%)</f>
        <v>0.8271</v>
      </c>
      <c r="BK226" s="20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0.2249</v>
      </c>
      <c r="BL226" s="20" cm="1">
        <f t="array" ref="BL226">1+$B$13+VLOOKUP($R226,武学奇术!$A:$ZZ,18,FALSE)+SUM(_xlfn.XLOOKUP(S226:AG226,增益!$A:$A,增益!$R:$R,0))</f>
        <v>1.5</v>
      </c>
      <c r="BM226" s="20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0.4459</v>
      </c>
      <c r="BN226" s="20" cm="1">
        <f t="array" ref="BN226">1+$B$14+VLOOKUP($R226,武学奇术!$A:$ZZ,20,FALSE)+SUM(_xlfn.XLOOKUP(S226:AG226,增益!$A:$A,增益!$T:$T,0))</f>
        <v>1.782</v>
      </c>
      <c r="BO226" s="20">
        <f t="shared" si="113"/>
        <v>0.18601479</v>
      </c>
      <c r="BP226" s="20">
        <f t="shared" si="114"/>
        <v>0.27228132</v>
      </c>
      <c r="BQ226" s="20">
        <f>IF(VLOOKUP($R226,武学奇术!$A:$ZZ,22,FALSE)=1,0,(1-$BJ226))*(1-$BM226)</f>
        <v>0.09580389</v>
      </c>
      <c r="BR226" s="20" cm="1">
        <f t="array" ref="BR226">SUM(_xlfn.XLOOKUP(S226:AG226,增益!$A:$A,增益!$W:$W,0))+$I$5</f>
        <v>0.11</v>
      </c>
    </row>
    <row r="227" spans="11:70">
      <c r="K227" s="27">
        <f>$L227*VLOOKUP($R227,武学奇术!$A:$ZZ,31,FALSE)</f>
        <v>4717.764949074</v>
      </c>
      <c r="L227" s="27">
        <f t="shared" si="104"/>
        <v>7862.94158179</v>
      </c>
      <c r="M227" s="27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6445.47131298814</v>
      </c>
      <c r="N227" s="27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11910.771305472</v>
      </c>
      <c r="O227" s="27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4296.98087532543</v>
      </c>
      <c r="P227" s="27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1910.02723579565</v>
      </c>
      <c r="Q227" s="35">
        <v>1</v>
      </c>
      <c r="R227" s="36" t="s">
        <v>164</v>
      </c>
      <c r="S227" s="36" t="s">
        <v>71</v>
      </c>
      <c r="T227" s="36" t="s">
        <v>99</v>
      </c>
      <c r="U227" s="36" t="s">
        <v>100</v>
      </c>
      <c r="V227" s="36" t="s">
        <v>71</v>
      </c>
      <c r="W227" s="36" t="s">
        <v>71</v>
      </c>
      <c r="X227" s="36" t="s">
        <v>71</v>
      </c>
      <c r="Y227" s="36" t="s">
        <v>71</v>
      </c>
      <c r="Z227" s="36" t="s">
        <v>82</v>
      </c>
      <c r="AA227" s="36" t="s">
        <v>71</v>
      </c>
      <c r="AB227" s="36" t="s">
        <v>71</v>
      </c>
      <c r="AC227" s="36" t="s">
        <v>71</v>
      </c>
      <c r="AD227" s="36" t="s">
        <v>72</v>
      </c>
      <c r="AE227" s="36" t="s">
        <v>94</v>
      </c>
      <c r="AF227" s="36" t="s">
        <v>154</v>
      </c>
      <c r="AG227" s="36" t="s">
        <v>120</v>
      </c>
      <c r="AH227" t="str">
        <f>VLOOKUP($R227,武学奇术!$A:$ZZ,25,FALSE)</f>
        <v>剑</v>
      </c>
      <c r="AI227" s="20">
        <f>VLOOKUP($R227,武学奇术!$A:$ZZ,26,FALSE)</f>
        <v>0.1716</v>
      </c>
      <c r="AJ227" s="21">
        <f>VLOOKUP($R227,武学奇术!$A:$ZZ,27,FALSE)*(1+IF(OR($AH227=$F$4,$AH227=$F$5),$B$22,0))</f>
        <v>0</v>
      </c>
      <c r="AK227" s="20">
        <f>VLOOKUP($R227,武学奇术!$A:$ZZ,28,FALSE)</f>
        <v>0.2574</v>
      </c>
      <c r="AL227" s="21">
        <f>VLOOKUP($R227,武学奇术!$A:$ZZ,29,FALSE)*(1+IF(OR($AH227=$F$4,$AH227=$F$5),$B$22,0))</f>
        <v>0</v>
      </c>
      <c r="AM227" s="20" cm="1">
        <f t="array" ref="AM227">$G$3+IFERROR(VLOOKUP($AH227,$F$4:$G$7,2,FALSE),0)+VLOOKUP($R227,武学奇术!$A:$ZZ,2,FALSE)+SUM(_xlfn.XLOOKUP($S227:$AG227,增益!$A:$A,增益!$B:$B,0))</f>
        <v>1.3191</v>
      </c>
      <c r="AN227" s="20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1554.72</v>
      </c>
      <c r="AP227" cm="1">
        <f t="array" ref="AP227">$E$10*(1+$AN227)+VLOOKUP($R227,武学奇术!$A:$ZZ,4,FALSE)+SUM(_xlfn.XLOOKUP($S227:$AG227,增益!$A:$A,增益!$D:$D,0))-$I$2</f>
        <v>6665.76</v>
      </c>
      <c r="AQ227" s="29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0.4175</v>
      </c>
      <c r="AR227" s="29" cm="1">
        <f t="array" ref="AR227">$G$10+VLOOKUP($R227,武学奇术!$A:$ZZ,7,FALSE)+SUM(_xlfn.XLOOKUP(S227:AG227,增益!$A:$A,增益!$G:$G,0))</f>
        <v>0</v>
      </c>
      <c r="AS227" s="20" cm="1">
        <f t="array" ref="AS227">VLOOKUP($R227,武学奇术!$A:$ZZ,8,FALSE)+SUM(_xlfn.XLOOKUP(S227:AG227,增益!$A:$A,增益!$H:$H,0))</f>
        <v>0</v>
      </c>
      <c r="AT227">
        <f t="shared" si="105"/>
        <v>538</v>
      </c>
      <c r="AU227">
        <f t="shared" si="106"/>
        <v>1011</v>
      </c>
      <c r="AV227" s="29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0.155</v>
      </c>
      <c r="AW227" s="29" cm="1">
        <f t="array" ref="AW227">$G$11+VLOOKUP($R227,武学奇术!$A:$ZZ,10,FALSE)+SUM(_xlfn.XLOOKUP(S227:AG227,增益!$A:$A,增益!$J:$J,0))</f>
        <v>0.15</v>
      </c>
      <c r="AX227">
        <f t="shared" si="107"/>
        <v>0</v>
      </c>
      <c r="AY227">
        <f t="shared" si="108"/>
        <v>0</v>
      </c>
      <c r="AZ227" s="29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-0.14</v>
      </c>
      <c r="BA227" s="29" cm="1">
        <f t="array" ref="BA227">$G$12+VLOOKUP($R227,武学奇术!$A:$ZZ,12,FALSE)+SUM(_xlfn.XLOOKUP(S227:AG227,增益!$A:$A,增益!$L:$L,0))</f>
        <v>0</v>
      </c>
      <c r="BB227">
        <f t="shared" si="109"/>
        <v>0</v>
      </c>
      <c r="BC227">
        <f t="shared" si="110"/>
        <v>0</v>
      </c>
      <c r="BD227" s="29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-0.14</v>
      </c>
      <c r="BE227" s="29" cm="1">
        <f t="array" ref="BE227">$G$13+VLOOKUP($R227,武学奇术!$A:$ZZ,14,FALSE)+SUM(_xlfn.XLOOKUP(S227:AG227,增益!$A:$A,增益!$N:$N,0))</f>
        <v>0</v>
      </c>
      <c r="BF227">
        <f t="shared" si="111"/>
        <v>0</v>
      </c>
      <c r="BG227">
        <f t="shared" si="112"/>
        <v>0</v>
      </c>
      <c r="BH227" s="29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-0.14</v>
      </c>
      <c r="BI227" s="29" cm="1">
        <f t="array" ref="BI227">$G$14+VLOOKUP($R227,武学奇术!$A:$ZZ,16,FALSE)+SUM(_xlfn.XLOOKUP(S227:AG227,增益!$A:$A,增益!$P:$P,0))</f>
        <v>0</v>
      </c>
      <c r="BJ227" s="20">
        <f>MIN(IF(VLOOKUP($R227,武学奇术!$A:$ZZ,23,FALSE)=1,100%,$B$8),100%)</f>
        <v>0.8271</v>
      </c>
      <c r="BK227" s="20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0.2249</v>
      </c>
      <c r="BL227" s="20" cm="1">
        <f t="array" ref="BL227">1+$B$13+VLOOKUP($R227,武学奇术!$A:$ZZ,18,FALSE)+SUM(_xlfn.XLOOKUP(S227:AG227,增益!$A:$A,增益!$R:$R,0))</f>
        <v>1.5</v>
      </c>
      <c r="BM227" s="20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0.4459</v>
      </c>
      <c r="BN227" s="20" cm="1">
        <f t="array" ref="BN227">1+$B$14+VLOOKUP($R227,武学奇术!$A:$ZZ,20,FALSE)+SUM(_xlfn.XLOOKUP(S227:AG227,增益!$A:$A,增益!$T:$T,0))</f>
        <v>1.782</v>
      </c>
      <c r="BO227" s="20">
        <f t="shared" si="113"/>
        <v>0.18601479</v>
      </c>
      <c r="BP227" s="20">
        <f t="shared" si="114"/>
        <v>0.27228132</v>
      </c>
      <c r="BQ227" s="20">
        <f>IF(VLOOKUP($R227,武学奇术!$A:$ZZ,22,FALSE)=1,0,(1-$BJ227))*(1-$BM227)</f>
        <v>0.09580389</v>
      </c>
      <c r="BR227" s="20" cm="1">
        <f t="array" ref="BR227">SUM(_xlfn.XLOOKUP(S227:AG227,增益!$A:$A,增益!$W:$W,0))+$I$5</f>
        <v>0.11</v>
      </c>
    </row>
    <row r="228" spans="11:70">
      <c r="K228" s="27">
        <f>$L228*VLOOKUP($R228,武学奇术!$A:$ZZ,31,FALSE)</f>
        <v>9479.8575713377</v>
      </c>
      <c r="L228" s="27">
        <f t="shared" si="104"/>
        <v>15799.7626188962</v>
      </c>
      <c r="M228" s="27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12967.8095824293</v>
      </c>
      <c r="N228" s="27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23912.8605552101</v>
      </c>
      <c r="O228" s="27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8645.20638828617</v>
      </c>
      <c r="P228" s="27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3871.29910922662</v>
      </c>
      <c r="Q228" s="35">
        <v>1</v>
      </c>
      <c r="R228" s="36" t="s">
        <v>162</v>
      </c>
      <c r="S228" s="36" t="s">
        <v>71</v>
      </c>
      <c r="T228" s="36" t="s">
        <v>99</v>
      </c>
      <c r="U228" s="36" t="s">
        <v>100</v>
      </c>
      <c r="V228" s="36" t="s">
        <v>71</v>
      </c>
      <c r="W228" s="36" t="s">
        <v>111</v>
      </c>
      <c r="X228" s="36" t="s">
        <v>71</v>
      </c>
      <c r="Y228" s="36" t="s">
        <v>71</v>
      </c>
      <c r="Z228" s="36" t="s">
        <v>82</v>
      </c>
      <c r="AA228" s="36" t="s">
        <v>71</v>
      </c>
      <c r="AB228" s="36" t="s">
        <v>71</v>
      </c>
      <c r="AC228" s="36" t="s">
        <v>71</v>
      </c>
      <c r="AD228" s="36" t="s">
        <v>72</v>
      </c>
      <c r="AE228" s="36" t="s">
        <v>94</v>
      </c>
      <c r="AF228" s="36" t="s">
        <v>154</v>
      </c>
      <c r="AG228" s="36" t="s">
        <v>120</v>
      </c>
      <c r="AH228" t="str">
        <f>VLOOKUP($R228,武学奇术!$A:$ZZ,25,FALSE)</f>
        <v>剑</v>
      </c>
      <c r="AI228" s="20">
        <f>VLOOKUP($R228,武学奇术!$A:$ZZ,26,FALSE)</f>
        <v>0.3432</v>
      </c>
      <c r="AJ228" s="21">
        <f>VLOOKUP($R228,武学奇术!$A:$ZZ,27,FALSE)*(1+IF(OR($AH228=$F$4,$AH228=$F$5),$B$22,0))</f>
        <v>0</v>
      </c>
      <c r="AK228" s="20">
        <f>VLOOKUP($R228,武学奇术!$A:$ZZ,28,FALSE)</f>
        <v>0.5148</v>
      </c>
      <c r="AL228" s="21">
        <f>VLOOKUP($R228,武学奇术!$A:$ZZ,29,FALSE)*(1+IF(OR($AH228=$F$4,$AH228=$F$5),$B$22,0))</f>
        <v>0</v>
      </c>
      <c r="AM228" s="20" cm="1">
        <f t="array" ref="AM228">$G$3+IFERROR(VLOOKUP($AH228,$F$4:$G$7,2,FALSE),0)+VLOOKUP($R228,武学奇术!$A:$ZZ,2,FALSE)+SUM(_xlfn.XLOOKUP($S228:$AG228,增益!$A:$A,增益!$B:$B,0))</f>
        <v>1.3191</v>
      </c>
      <c r="AN228" s="20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1585.72</v>
      </c>
      <c r="AP228" cm="1">
        <f t="array" ref="AP228">$E$10*(1+$AN228)+VLOOKUP($R228,武学奇术!$A:$ZZ,4,FALSE)+SUM(_xlfn.XLOOKUP($S228:$AG228,增益!$A:$A,增益!$D:$D,0))-$I$2</f>
        <v>6696.76</v>
      </c>
      <c r="AQ228" s="29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0.4175</v>
      </c>
      <c r="AR228" s="29" cm="1">
        <f t="array" ref="AR228">$G$10+VLOOKUP($R228,武学奇术!$A:$ZZ,7,FALSE)+SUM(_xlfn.XLOOKUP(S228:AG228,增益!$A:$A,增益!$G:$G,0))</f>
        <v>0</v>
      </c>
      <c r="AS228" s="20" cm="1">
        <f t="array" ref="AS228">VLOOKUP($R228,武学奇术!$A:$ZZ,8,FALSE)+SUM(_xlfn.XLOOKUP(S228:AG228,增益!$A:$A,增益!$H:$H,0))</f>
        <v>0</v>
      </c>
      <c r="AT228">
        <f t="shared" ref="AT228:AT248" si="115">$D$11*(1+$AS228)</f>
        <v>538</v>
      </c>
      <c r="AU228">
        <f t="shared" ref="AU228:AU248" si="116">$E$11*(1+$AS228)</f>
        <v>1011</v>
      </c>
      <c r="AV228" s="29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0.155</v>
      </c>
      <c r="AW228" s="29" cm="1">
        <f t="array" ref="AW228">$G$11+VLOOKUP($R228,武学奇术!$A:$ZZ,10,FALSE)+SUM(_xlfn.XLOOKUP(S228:AG228,增益!$A:$A,增益!$J:$J,0))</f>
        <v>0.15</v>
      </c>
      <c r="AX228">
        <f t="shared" ref="AX228:AX248" si="117">$D$12*(1+$AS228)</f>
        <v>0</v>
      </c>
      <c r="AY228">
        <f t="shared" ref="AY228:AY248" si="118">$E$12*(1+$AS228)</f>
        <v>0</v>
      </c>
      <c r="AZ228" s="29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-0.14</v>
      </c>
      <c r="BA228" s="29" cm="1">
        <f t="array" ref="BA228">$G$12+VLOOKUP($R228,武学奇术!$A:$ZZ,12,FALSE)+SUM(_xlfn.XLOOKUP(S228:AG228,增益!$A:$A,增益!$L:$L,0))</f>
        <v>0</v>
      </c>
      <c r="BB228">
        <f t="shared" ref="BB228:BB248" si="119">$D$13*(1+$AS228)</f>
        <v>0</v>
      </c>
      <c r="BC228">
        <f t="shared" ref="BC228:BC248" si="120">$E$13*(1+$AS228)</f>
        <v>0</v>
      </c>
      <c r="BD228" s="29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-0.14</v>
      </c>
      <c r="BE228" s="29" cm="1">
        <f t="array" ref="BE228">$G$13+VLOOKUP($R228,武学奇术!$A:$ZZ,14,FALSE)+SUM(_xlfn.XLOOKUP(S228:AG228,增益!$A:$A,增益!$N:$N,0))</f>
        <v>0</v>
      </c>
      <c r="BF228">
        <f t="shared" ref="BF228:BF248" si="121">$D$14*(1+$AS228)</f>
        <v>0</v>
      </c>
      <c r="BG228">
        <f t="shared" ref="BG228:BG248" si="122">$E$14*(1+$AS228)</f>
        <v>0</v>
      </c>
      <c r="BH228" s="29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-0.14</v>
      </c>
      <c r="BI228" s="29" cm="1">
        <f t="array" ref="BI228">$G$14+VLOOKUP($R228,武学奇术!$A:$ZZ,16,FALSE)+SUM(_xlfn.XLOOKUP(S228:AG228,增益!$A:$A,增益!$P:$P,0))</f>
        <v>0</v>
      </c>
      <c r="BJ228" s="20">
        <f>MIN(IF(VLOOKUP($R228,武学奇术!$A:$ZZ,23,FALSE)=1,100%,$B$8),100%)</f>
        <v>0.8271</v>
      </c>
      <c r="BK228" s="20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0.2249</v>
      </c>
      <c r="BL228" s="20" cm="1">
        <f t="array" ref="BL228">1+$B$13+VLOOKUP($R228,武学奇术!$A:$ZZ,18,FALSE)+SUM(_xlfn.XLOOKUP(S228:AG228,增益!$A:$A,增益!$R:$R,0))</f>
        <v>1.5</v>
      </c>
      <c r="BM228" s="20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0.4459</v>
      </c>
      <c r="BN228" s="20" cm="1">
        <f t="array" ref="BN228">1+$B$14+VLOOKUP($R228,武学奇术!$A:$ZZ,20,FALSE)+SUM(_xlfn.XLOOKUP(S228:AG228,增益!$A:$A,增益!$T:$T,0))</f>
        <v>1.782</v>
      </c>
      <c r="BO228" s="20">
        <f t="shared" ref="BO228:BO248" si="123">MIN((1-BM228)*BJ228,BJ228*BK228)</f>
        <v>0.18601479</v>
      </c>
      <c r="BP228" s="20">
        <f t="shared" ref="BP228:BP248" si="124">1-BM228-BO228-BQ228</f>
        <v>0.27228132</v>
      </c>
      <c r="BQ228" s="20">
        <f>IF(VLOOKUP($R228,武学奇术!$A:$ZZ,22,FALSE)=1,0,(1-$BJ228))*(1-$BM228)</f>
        <v>0.09580389</v>
      </c>
      <c r="BR228" s="20" cm="1">
        <f t="array" ref="BR228">SUM(_xlfn.XLOOKUP(S228:AG228,增益!$A:$A,增益!$W:$W,0))+$I$5</f>
        <v>0.11</v>
      </c>
    </row>
    <row r="229" spans="11:70">
      <c r="K229" s="27">
        <f>$L229*VLOOKUP($R229,武学奇术!$A:$ZZ,31,FALSE)</f>
        <v>7583.88605707016</v>
      </c>
      <c r="L229" s="27">
        <f t="shared" si="104"/>
        <v>12639.8100951169</v>
      </c>
      <c r="M229" s="27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10374.2476659434</v>
      </c>
      <c r="N229" s="27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19130.2884441681</v>
      </c>
      <c r="O229" s="27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6916.16511062893</v>
      </c>
      <c r="P229" s="27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3097.0392873813</v>
      </c>
      <c r="Q229" s="35">
        <v>1</v>
      </c>
      <c r="R229" s="36" t="s">
        <v>163</v>
      </c>
      <c r="S229" s="36" t="s">
        <v>71</v>
      </c>
      <c r="T229" s="36" t="s">
        <v>99</v>
      </c>
      <c r="U229" s="36" t="s">
        <v>100</v>
      </c>
      <c r="V229" s="36" t="s">
        <v>71</v>
      </c>
      <c r="W229" s="36" t="s">
        <v>111</v>
      </c>
      <c r="X229" s="36" t="s">
        <v>71</v>
      </c>
      <c r="Y229" s="36" t="s">
        <v>71</v>
      </c>
      <c r="Z229" s="36" t="s">
        <v>82</v>
      </c>
      <c r="AA229" s="36" t="s">
        <v>71</v>
      </c>
      <c r="AB229" s="36" t="s">
        <v>71</v>
      </c>
      <c r="AC229" s="36" t="s">
        <v>71</v>
      </c>
      <c r="AD229" s="36" t="s">
        <v>72</v>
      </c>
      <c r="AE229" s="36" t="s">
        <v>94</v>
      </c>
      <c r="AF229" s="36" t="s">
        <v>154</v>
      </c>
      <c r="AG229" s="36" t="s">
        <v>120</v>
      </c>
      <c r="AH229" t="str">
        <f>VLOOKUP($R229,武学奇术!$A:$ZZ,25,FALSE)</f>
        <v>剑</v>
      </c>
      <c r="AI229" s="20">
        <f>VLOOKUP($R229,武学奇术!$A:$ZZ,26,FALSE)</f>
        <v>0.27456</v>
      </c>
      <c r="AJ229" s="21">
        <f>VLOOKUP($R229,武学奇术!$A:$ZZ,27,FALSE)*(1+IF(OR($AH229=$F$4,$AH229=$F$5),$B$22,0))</f>
        <v>0</v>
      </c>
      <c r="AK229" s="20">
        <f>VLOOKUP($R229,武学奇术!$A:$ZZ,28,FALSE)</f>
        <v>0.41184</v>
      </c>
      <c r="AL229" s="21">
        <f>VLOOKUP($R229,武学奇术!$A:$ZZ,29,FALSE)*(1+IF(OR($AH229=$F$4,$AH229=$F$5),$B$22,0))</f>
        <v>0</v>
      </c>
      <c r="AM229" s="20" cm="1">
        <f t="array" ref="AM229">$G$3+IFERROR(VLOOKUP($AH229,$F$4:$G$7,2,FALSE),0)+VLOOKUP($R229,武学奇术!$A:$ZZ,2,FALSE)+SUM(_xlfn.XLOOKUP($S229:$AG229,增益!$A:$A,增益!$B:$B,0))</f>
        <v>1.3191</v>
      </c>
      <c r="AN229" s="20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1585.72</v>
      </c>
      <c r="AP229" cm="1">
        <f t="array" ref="AP229">$E$10*(1+$AN229)+VLOOKUP($R229,武学奇术!$A:$ZZ,4,FALSE)+SUM(_xlfn.XLOOKUP($S229:$AG229,增益!$A:$A,增益!$D:$D,0))-$I$2</f>
        <v>6696.76</v>
      </c>
      <c r="AQ229" s="29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0.4175</v>
      </c>
      <c r="AR229" s="29" cm="1">
        <f t="array" ref="AR229">$G$10+VLOOKUP($R229,武学奇术!$A:$ZZ,7,FALSE)+SUM(_xlfn.XLOOKUP(S229:AG229,增益!$A:$A,增益!$G:$G,0))</f>
        <v>0</v>
      </c>
      <c r="AS229" s="20" cm="1">
        <f t="array" ref="AS229">VLOOKUP($R229,武学奇术!$A:$ZZ,8,FALSE)+SUM(_xlfn.XLOOKUP(S229:AG229,增益!$A:$A,增益!$H:$H,0))</f>
        <v>0</v>
      </c>
      <c r="AT229">
        <f t="shared" si="115"/>
        <v>538</v>
      </c>
      <c r="AU229">
        <f t="shared" si="116"/>
        <v>1011</v>
      </c>
      <c r="AV229" s="29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0.155</v>
      </c>
      <c r="AW229" s="29" cm="1">
        <f t="array" ref="AW229">$G$11+VLOOKUP($R229,武学奇术!$A:$ZZ,10,FALSE)+SUM(_xlfn.XLOOKUP(S229:AG229,增益!$A:$A,增益!$J:$J,0))</f>
        <v>0.15</v>
      </c>
      <c r="AX229">
        <f t="shared" si="117"/>
        <v>0</v>
      </c>
      <c r="AY229">
        <f t="shared" si="118"/>
        <v>0</v>
      </c>
      <c r="AZ229" s="29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-0.14</v>
      </c>
      <c r="BA229" s="29" cm="1">
        <f t="array" ref="BA229">$G$12+VLOOKUP($R229,武学奇术!$A:$ZZ,12,FALSE)+SUM(_xlfn.XLOOKUP(S229:AG229,增益!$A:$A,增益!$L:$L,0))</f>
        <v>0</v>
      </c>
      <c r="BB229">
        <f t="shared" si="119"/>
        <v>0</v>
      </c>
      <c r="BC229">
        <f t="shared" si="120"/>
        <v>0</v>
      </c>
      <c r="BD229" s="29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-0.14</v>
      </c>
      <c r="BE229" s="29" cm="1">
        <f t="array" ref="BE229">$G$13+VLOOKUP($R229,武学奇术!$A:$ZZ,14,FALSE)+SUM(_xlfn.XLOOKUP(S229:AG229,增益!$A:$A,增益!$N:$N,0))</f>
        <v>0</v>
      </c>
      <c r="BF229">
        <f t="shared" si="121"/>
        <v>0</v>
      </c>
      <c r="BG229">
        <f t="shared" si="122"/>
        <v>0</v>
      </c>
      <c r="BH229" s="29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-0.14</v>
      </c>
      <c r="BI229" s="29" cm="1">
        <f t="array" ref="BI229">$G$14+VLOOKUP($R229,武学奇术!$A:$ZZ,16,FALSE)+SUM(_xlfn.XLOOKUP(S229:AG229,增益!$A:$A,增益!$P:$P,0))</f>
        <v>0</v>
      </c>
      <c r="BJ229" s="20">
        <f>MIN(IF(VLOOKUP($R229,武学奇术!$A:$ZZ,23,FALSE)=1,100%,$B$8),100%)</f>
        <v>0.8271</v>
      </c>
      <c r="BK229" s="20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0.2249</v>
      </c>
      <c r="BL229" s="20" cm="1">
        <f t="array" ref="BL229">1+$B$13+VLOOKUP($R229,武学奇术!$A:$ZZ,18,FALSE)+SUM(_xlfn.XLOOKUP(S229:AG229,增益!$A:$A,增益!$R:$R,0))</f>
        <v>1.5</v>
      </c>
      <c r="BM229" s="20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0.4459</v>
      </c>
      <c r="BN229" s="20" cm="1">
        <f t="array" ref="BN229">1+$B$14+VLOOKUP($R229,武学奇术!$A:$ZZ,20,FALSE)+SUM(_xlfn.XLOOKUP(S229:AG229,增益!$A:$A,增益!$T:$T,0))</f>
        <v>1.782</v>
      </c>
      <c r="BO229" s="20">
        <f t="shared" si="123"/>
        <v>0.18601479</v>
      </c>
      <c r="BP229" s="20">
        <f t="shared" si="124"/>
        <v>0.27228132</v>
      </c>
      <c r="BQ229" s="20">
        <f>IF(VLOOKUP($R229,武学奇术!$A:$ZZ,22,FALSE)=1,0,(1-$BJ229))*(1-$BM229)</f>
        <v>0.09580389</v>
      </c>
      <c r="BR229" s="20" cm="1">
        <f t="array" ref="BR229">SUM(_xlfn.XLOOKUP(S229:AG229,增益!$A:$A,增益!$W:$W,0))+$I$5</f>
        <v>0.11</v>
      </c>
    </row>
    <row r="230" spans="11:70">
      <c r="K230" s="27">
        <f>$L230*VLOOKUP($R230,武学奇术!$A:$ZZ,31,FALSE)</f>
        <v>4739.92878566885</v>
      </c>
      <c r="L230" s="27">
        <f t="shared" ref="L230:L267" si="125">($M230*$BO230+$N230*$BM230+$O230*$BP230+$P230*$BQ230)</f>
        <v>7899.88130944808</v>
      </c>
      <c r="M230" s="27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6483.90479121463</v>
      </c>
      <c r="N230" s="27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11956.430277605</v>
      </c>
      <c r="O230" s="27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4322.60319414308</v>
      </c>
      <c r="P230" s="27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1935.64955461331</v>
      </c>
      <c r="Q230" s="35">
        <v>1</v>
      </c>
      <c r="R230" s="36" t="s">
        <v>164</v>
      </c>
      <c r="S230" s="36" t="s">
        <v>71</v>
      </c>
      <c r="T230" s="36" t="s">
        <v>99</v>
      </c>
      <c r="U230" s="36" t="s">
        <v>100</v>
      </c>
      <c r="V230" s="36" t="s">
        <v>71</v>
      </c>
      <c r="W230" s="36" t="s">
        <v>111</v>
      </c>
      <c r="X230" s="36" t="s">
        <v>71</v>
      </c>
      <c r="Y230" s="36" t="s">
        <v>71</v>
      </c>
      <c r="Z230" s="36" t="s">
        <v>82</v>
      </c>
      <c r="AA230" s="36" t="s">
        <v>71</v>
      </c>
      <c r="AB230" s="36" t="s">
        <v>71</v>
      </c>
      <c r="AC230" s="36" t="s">
        <v>71</v>
      </c>
      <c r="AD230" s="36" t="s">
        <v>72</v>
      </c>
      <c r="AE230" s="36" t="s">
        <v>94</v>
      </c>
      <c r="AF230" s="36" t="s">
        <v>154</v>
      </c>
      <c r="AG230" s="36" t="s">
        <v>120</v>
      </c>
      <c r="AH230" t="str">
        <f>VLOOKUP($R230,武学奇术!$A:$ZZ,25,FALSE)</f>
        <v>剑</v>
      </c>
      <c r="AI230" s="20">
        <f>VLOOKUP($R230,武学奇术!$A:$ZZ,26,FALSE)</f>
        <v>0.1716</v>
      </c>
      <c r="AJ230" s="21">
        <f>VLOOKUP($R230,武学奇术!$A:$ZZ,27,FALSE)*(1+IF(OR($AH230=$F$4,$AH230=$F$5),$B$22,0))</f>
        <v>0</v>
      </c>
      <c r="AK230" s="20">
        <f>VLOOKUP($R230,武学奇术!$A:$ZZ,28,FALSE)</f>
        <v>0.2574</v>
      </c>
      <c r="AL230" s="21">
        <f>VLOOKUP($R230,武学奇术!$A:$ZZ,29,FALSE)*(1+IF(OR($AH230=$F$4,$AH230=$F$5),$B$22,0))</f>
        <v>0</v>
      </c>
      <c r="AM230" s="20" cm="1">
        <f t="array" ref="AM230">$G$3+IFERROR(VLOOKUP($AH230,$F$4:$G$7,2,FALSE),0)+VLOOKUP($R230,武学奇术!$A:$ZZ,2,FALSE)+SUM(_xlfn.XLOOKUP($S230:$AG230,增益!$A:$A,增益!$B:$B,0))</f>
        <v>1.3191</v>
      </c>
      <c r="AN230" s="20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1585.72</v>
      </c>
      <c r="AP230" cm="1">
        <f t="array" ref="AP230">$E$10*(1+$AN230)+VLOOKUP($R230,武学奇术!$A:$ZZ,4,FALSE)+SUM(_xlfn.XLOOKUP($S230:$AG230,增益!$A:$A,增益!$D:$D,0))-$I$2</f>
        <v>6696.76</v>
      </c>
      <c r="AQ230" s="29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0.4175</v>
      </c>
      <c r="AR230" s="29" cm="1">
        <f t="array" ref="AR230">$G$10+VLOOKUP($R230,武学奇术!$A:$ZZ,7,FALSE)+SUM(_xlfn.XLOOKUP(S230:AG230,增益!$A:$A,增益!$G:$G,0))</f>
        <v>0</v>
      </c>
      <c r="AS230" s="20" cm="1">
        <f t="array" ref="AS230">VLOOKUP($R230,武学奇术!$A:$ZZ,8,FALSE)+SUM(_xlfn.XLOOKUP(S230:AG230,增益!$A:$A,增益!$H:$H,0))</f>
        <v>0</v>
      </c>
      <c r="AT230">
        <f t="shared" si="115"/>
        <v>538</v>
      </c>
      <c r="AU230">
        <f t="shared" si="116"/>
        <v>1011</v>
      </c>
      <c r="AV230" s="29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0.155</v>
      </c>
      <c r="AW230" s="29" cm="1">
        <f t="array" ref="AW230">$G$11+VLOOKUP($R230,武学奇术!$A:$ZZ,10,FALSE)+SUM(_xlfn.XLOOKUP(S230:AG230,增益!$A:$A,增益!$J:$J,0))</f>
        <v>0.15</v>
      </c>
      <c r="AX230">
        <f t="shared" si="117"/>
        <v>0</v>
      </c>
      <c r="AY230">
        <f t="shared" si="118"/>
        <v>0</v>
      </c>
      <c r="AZ230" s="29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-0.14</v>
      </c>
      <c r="BA230" s="29" cm="1">
        <f t="array" ref="BA230">$G$12+VLOOKUP($R230,武学奇术!$A:$ZZ,12,FALSE)+SUM(_xlfn.XLOOKUP(S230:AG230,增益!$A:$A,增益!$L:$L,0))</f>
        <v>0</v>
      </c>
      <c r="BB230">
        <f t="shared" si="119"/>
        <v>0</v>
      </c>
      <c r="BC230">
        <f t="shared" si="120"/>
        <v>0</v>
      </c>
      <c r="BD230" s="29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-0.14</v>
      </c>
      <c r="BE230" s="29" cm="1">
        <f t="array" ref="BE230">$G$13+VLOOKUP($R230,武学奇术!$A:$ZZ,14,FALSE)+SUM(_xlfn.XLOOKUP(S230:AG230,增益!$A:$A,增益!$N:$N,0))</f>
        <v>0</v>
      </c>
      <c r="BF230">
        <f t="shared" si="121"/>
        <v>0</v>
      </c>
      <c r="BG230">
        <f t="shared" si="122"/>
        <v>0</v>
      </c>
      <c r="BH230" s="29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-0.14</v>
      </c>
      <c r="BI230" s="29" cm="1">
        <f t="array" ref="BI230">$G$14+VLOOKUP($R230,武学奇术!$A:$ZZ,16,FALSE)+SUM(_xlfn.XLOOKUP(S230:AG230,增益!$A:$A,增益!$P:$P,0))</f>
        <v>0</v>
      </c>
      <c r="BJ230" s="20">
        <f>MIN(IF(VLOOKUP($R230,武学奇术!$A:$ZZ,23,FALSE)=1,100%,$B$8),100%)</f>
        <v>0.8271</v>
      </c>
      <c r="BK230" s="20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0.2249</v>
      </c>
      <c r="BL230" s="20" cm="1">
        <f t="array" ref="BL230">1+$B$13+VLOOKUP($R230,武学奇术!$A:$ZZ,18,FALSE)+SUM(_xlfn.XLOOKUP(S230:AG230,增益!$A:$A,增益!$R:$R,0))</f>
        <v>1.5</v>
      </c>
      <c r="BM230" s="20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0.4459</v>
      </c>
      <c r="BN230" s="20" cm="1">
        <f t="array" ref="BN230">1+$B$14+VLOOKUP($R230,武学奇术!$A:$ZZ,20,FALSE)+SUM(_xlfn.XLOOKUP(S230:AG230,增益!$A:$A,增益!$T:$T,0))</f>
        <v>1.782</v>
      </c>
      <c r="BO230" s="20">
        <f t="shared" si="123"/>
        <v>0.18601479</v>
      </c>
      <c r="BP230" s="20">
        <f t="shared" si="124"/>
        <v>0.27228132</v>
      </c>
      <c r="BQ230" s="20">
        <f>IF(VLOOKUP($R230,武学奇术!$A:$ZZ,22,FALSE)=1,0,(1-$BJ230))*(1-$BM230)</f>
        <v>0.09580389</v>
      </c>
      <c r="BR230" s="20" cm="1">
        <f t="array" ref="BR230">SUM(_xlfn.XLOOKUP(S230:AG230,增益!$A:$A,增益!$W:$W,0))+$I$5</f>
        <v>0.11</v>
      </c>
    </row>
    <row r="231" spans="11:70">
      <c r="K231" s="27">
        <f>$L231*VLOOKUP($R231,武学奇术!$A:$ZZ,31,FALSE)</f>
        <v>4739.92878566885</v>
      </c>
      <c r="L231" s="27">
        <f t="shared" si="125"/>
        <v>7899.88130944808</v>
      </c>
      <c r="M231" s="27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6483.90479121463</v>
      </c>
      <c r="N231" s="27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11956.430277605</v>
      </c>
      <c r="O231" s="27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4322.60319414308</v>
      </c>
      <c r="P231" s="27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1935.64955461331</v>
      </c>
      <c r="Q231" s="35">
        <v>1</v>
      </c>
      <c r="R231" s="36" t="s">
        <v>164</v>
      </c>
      <c r="S231" s="36" t="s">
        <v>71</v>
      </c>
      <c r="T231" s="36" t="s">
        <v>99</v>
      </c>
      <c r="U231" s="36" t="s">
        <v>100</v>
      </c>
      <c r="V231" s="36" t="s">
        <v>71</v>
      </c>
      <c r="W231" s="36" t="s">
        <v>111</v>
      </c>
      <c r="X231" s="36" t="s">
        <v>71</v>
      </c>
      <c r="Y231" s="36" t="s">
        <v>71</v>
      </c>
      <c r="Z231" s="36" t="s">
        <v>82</v>
      </c>
      <c r="AA231" s="36" t="s">
        <v>71</v>
      </c>
      <c r="AB231" s="36" t="s">
        <v>71</v>
      </c>
      <c r="AC231" s="36" t="s">
        <v>71</v>
      </c>
      <c r="AD231" s="36" t="s">
        <v>72</v>
      </c>
      <c r="AE231" s="36" t="s">
        <v>94</v>
      </c>
      <c r="AF231" s="36" t="s">
        <v>154</v>
      </c>
      <c r="AG231" s="36" t="s">
        <v>120</v>
      </c>
      <c r="AH231" t="str">
        <f>VLOOKUP($R231,武学奇术!$A:$ZZ,25,FALSE)</f>
        <v>剑</v>
      </c>
      <c r="AI231" s="20">
        <f>VLOOKUP($R231,武学奇术!$A:$ZZ,26,FALSE)</f>
        <v>0.1716</v>
      </c>
      <c r="AJ231" s="21">
        <f>VLOOKUP($R231,武学奇术!$A:$ZZ,27,FALSE)*(1+IF(OR($AH231=$F$4,$AH231=$F$5),$B$22,0))</f>
        <v>0</v>
      </c>
      <c r="AK231" s="20">
        <f>VLOOKUP($R231,武学奇术!$A:$ZZ,28,FALSE)</f>
        <v>0.2574</v>
      </c>
      <c r="AL231" s="21">
        <f>VLOOKUP($R231,武学奇术!$A:$ZZ,29,FALSE)*(1+IF(OR($AH231=$F$4,$AH231=$F$5),$B$22,0))</f>
        <v>0</v>
      </c>
      <c r="AM231" s="20" cm="1">
        <f t="array" ref="AM231">$G$3+IFERROR(VLOOKUP($AH231,$F$4:$G$7,2,FALSE),0)+VLOOKUP($R231,武学奇术!$A:$ZZ,2,FALSE)+SUM(_xlfn.XLOOKUP($S231:$AG231,增益!$A:$A,增益!$B:$B,0))</f>
        <v>1.3191</v>
      </c>
      <c r="AN231" s="20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1585.72</v>
      </c>
      <c r="AP231" cm="1">
        <f t="array" ref="AP231">$E$10*(1+$AN231)+VLOOKUP($R231,武学奇术!$A:$ZZ,4,FALSE)+SUM(_xlfn.XLOOKUP($S231:$AG231,增益!$A:$A,增益!$D:$D,0))-$I$2</f>
        <v>6696.76</v>
      </c>
      <c r="AQ231" s="29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0.4175</v>
      </c>
      <c r="AR231" s="29" cm="1">
        <f t="array" ref="AR231">$G$10+VLOOKUP($R231,武学奇术!$A:$ZZ,7,FALSE)+SUM(_xlfn.XLOOKUP(S231:AG231,增益!$A:$A,增益!$G:$G,0))</f>
        <v>0</v>
      </c>
      <c r="AS231" s="20" cm="1">
        <f t="array" ref="AS231">VLOOKUP($R231,武学奇术!$A:$ZZ,8,FALSE)+SUM(_xlfn.XLOOKUP(S231:AG231,增益!$A:$A,增益!$H:$H,0))</f>
        <v>0</v>
      </c>
      <c r="AT231">
        <f t="shared" si="115"/>
        <v>538</v>
      </c>
      <c r="AU231">
        <f t="shared" si="116"/>
        <v>1011</v>
      </c>
      <c r="AV231" s="29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0.155</v>
      </c>
      <c r="AW231" s="29" cm="1">
        <f t="array" ref="AW231">$G$11+VLOOKUP($R231,武学奇术!$A:$ZZ,10,FALSE)+SUM(_xlfn.XLOOKUP(S231:AG231,增益!$A:$A,增益!$J:$J,0))</f>
        <v>0.15</v>
      </c>
      <c r="AX231">
        <f t="shared" si="117"/>
        <v>0</v>
      </c>
      <c r="AY231">
        <f t="shared" si="118"/>
        <v>0</v>
      </c>
      <c r="AZ231" s="29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-0.14</v>
      </c>
      <c r="BA231" s="29" cm="1">
        <f t="array" ref="BA231">$G$12+VLOOKUP($R231,武学奇术!$A:$ZZ,12,FALSE)+SUM(_xlfn.XLOOKUP(S231:AG231,增益!$A:$A,增益!$L:$L,0))</f>
        <v>0</v>
      </c>
      <c r="BB231">
        <f t="shared" si="119"/>
        <v>0</v>
      </c>
      <c r="BC231">
        <f t="shared" si="120"/>
        <v>0</v>
      </c>
      <c r="BD231" s="29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-0.14</v>
      </c>
      <c r="BE231" s="29" cm="1">
        <f t="array" ref="BE231">$G$13+VLOOKUP($R231,武学奇术!$A:$ZZ,14,FALSE)+SUM(_xlfn.XLOOKUP(S231:AG231,增益!$A:$A,增益!$N:$N,0))</f>
        <v>0</v>
      </c>
      <c r="BF231">
        <f t="shared" si="121"/>
        <v>0</v>
      </c>
      <c r="BG231">
        <f t="shared" si="122"/>
        <v>0</v>
      </c>
      <c r="BH231" s="29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-0.14</v>
      </c>
      <c r="BI231" s="29" cm="1">
        <f t="array" ref="BI231">$G$14+VLOOKUP($R231,武学奇术!$A:$ZZ,16,FALSE)+SUM(_xlfn.XLOOKUP(S231:AG231,增益!$A:$A,增益!$P:$P,0))</f>
        <v>0</v>
      </c>
      <c r="BJ231" s="20">
        <f>MIN(IF(VLOOKUP($R231,武学奇术!$A:$ZZ,23,FALSE)=1,100%,$B$8),100%)</f>
        <v>0.8271</v>
      </c>
      <c r="BK231" s="20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0.2249</v>
      </c>
      <c r="BL231" s="20" cm="1">
        <f t="array" ref="BL231">1+$B$13+VLOOKUP($R231,武学奇术!$A:$ZZ,18,FALSE)+SUM(_xlfn.XLOOKUP(S231:AG231,增益!$A:$A,增益!$R:$R,0))</f>
        <v>1.5</v>
      </c>
      <c r="BM231" s="20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0.4459</v>
      </c>
      <c r="BN231" s="20" cm="1">
        <f t="array" ref="BN231">1+$B$14+VLOOKUP($R231,武学奇术!$A:$ZZ,20,FALSE)+SUM(_xlfn.XLOOKUP(S231:AG231,增益!$A:$A,增益!$T:$T,0))</f>
        <v>1.782</v>
      </c>
      <c r="BO231" s="20">
        <f t="shared" si="123"/>
        <v>0.18601479</v>
      </c>
      <c r="BP231" s="20">
        <f t="shared" si="124"/>
        <v>0.27228132</v>
      </c>
      <c r="BQ231" s="20">
        <f>IF(VLOOKUP($R231,武学奇术!$A:$ZZ,22,FALSE)=1,0,(1-$BJ231))*(1-$BM231)</f>
        <v>0.09580389</v>
      </c>
      <c r="BR231" s="20" cm="1">
        <f t="array" ref="BR231">SUM(_xlfn.XLOOKUP(S231:AG231,增益!$A:$A,增益!$W:$W,0))+$I$5</f>
        <v>0.11</v>
      </c>
    </row>
    <row r="232" spans="11:70">
      <c r="K232" s="27">
        <f>$L232*VLOOKUP($R232,武学奇术!$A:$ZZ,31,FALSE)</f>
        <v>4739.92878566885</v>
      </c>
      <c r="L232" s="27">
        <f t="shared" si="125"/>
        <v>7899.88130944808</v>
      </c>
      <c r="M232" s="27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6483.90479121463</v>
      </c>
      <c r="N232" s="27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11956.430277605</v>
      </c>
      <c r="O232" s="27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4322.60319414308</v>
      </c>
      <c r="P232" s="27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1935.64955461331</v>
      </c>
      <c r="Q232" s="35">
        <v>1</v>
      </c>
      <c r="R232" s="36" t="s">
        <v>164</v>
      </c>
      <c r="S232" s="36" t="s">
        <v>71</v>
      </c>
      <c r="T232" s="36" t="s">
        <v>99</v>
      </c>
      <c r="U232" s="36" t="s">
        <v>100</v>
      </c>
      <c r="V232" s="36" t="s">
        <v>71</v>
      </c>
      <c r="W232" s="36" t="s">
        <v>111</v>
      </c>
      <c r="X232" s="36" t="s">
        <v>71</v>
      </c>
      <c r="Y232" s="36" t="s">
        <v>71</v>
      </c>
      <c r="Z232" s="36" t="s">
        <v>82</v>
      </c>
      <c r="AA232" s="36" t="s">
        <v>71</v>
      </c>
      <c r="AB232" s="36" t="s">
        <v>71</v>
      </c>
      <c r="AC232" s="36" t="s">
        <v>71</v>
      </c>
      <c r="AD232" s="36" t="s">
        <v>72</v>
      </c>
      <c r="AE232" s="36" t="s">
        <v>94</v>
      </c>
      <c r="AF232" s="36" t="s">
        <v>154</v>
      </c>
      <c r="AG232" s="36" t="s">
        <v>120</v>
      </c>
      <c r="AH232" t="str">
        <f>VLOOKUP($R232,武学奇术!$A:$ZZ,25,FALSE)</f>
        <v>剑</v>
      </c>
      <c r="AI232" s="20">
        <f>VLOOKUP($R232,武学奇术!$A:$ZZ,26,FALSE)</f>
        <v>0.1716</v>
      </c>
      <c r="AJ232" s="21">
        <f>VLOOKUP($R232,武学奇术!$A:$ZZ,27,FALSE)*(1+IF(OR($AH232=$F$4,$AH232=$F$5),$B$22,0))</f>
        <v>0</v>
      </c>
      <c r="AK232" s="20">
        <f>VLOOKUP($R232,武学奇术!$A:$ZZ,28,FALSE)</f>
        <v>0.2574</v>
      </c>
      <c r="AL232" s="21">
        <f>VLOOKUP($R232,武学奇术!$A:$ZZ,29,FALSE)*(1+IF(OR($AH232=$F$4,$AH232=$F$5),$B$22,0))</f>
        <v>0</v>
      </c>
      <c r="AM232" s="20" cm="1">
        <f t="array" ref="AM232">$G$3+IFERROR(VLOOKUP($AH232,$F$4:$G$7,2,FALSE),0)+VLOOKUP($R232,武学奇术!$A:$ZZ,2,FALSE)+SUM(_xlfn.XLOOKUP($S232:$AG232,增益!$A:$A,增益!$B:$B,0))</f>
        <v>1.3191</v>
      </c>
      <c r="AN232" s="20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1585.72</v>
      </c>
      <c r="AP232" cm="1">
        <f t="array" ref="AP232">$E$10*(1+$AN232)+VLOOKUP($R232,武学奇术!$A:$ZZ,4,FALSE)+SUM(_xlfn.XLOOKUP($S232:$AG232,增益!$A:$A,增益!$D:$D,0))-$I$2</f>
        <v>6696.76</v>
      </c>
      <c r="AQ232" s="29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0.4175</v>
      </c>
      <c r="AR232" s="29" cm="1">
        <f t="array" ref="AR232">$G$10+VLOOKUP($R232,武学奇术!$A:$ZZ,7,FALSE)+SUM(_xlfn.XLOOKUP(S232:AG232,增益!$A:$A,增益!$G:$G,0))</f>
        <v>0</v>
      </c>
      <c r="AS232" s="20" cm="1">
        <f t="array" ref="AS232">VLOOKUP($R232,武学奇术!$A:$ZZ,8,FALSE)+SUM(_xlfn.XLOOKUP(S232:AG232,增益!$A:$A,增益!$H:$H,0))</f>
        <v>0</v>
      </c>
      <c r="AT232">
        <f t="shared" si="115"/>
        <v>538</v>
      </c>
      <c r="AU232">
        <f t="shared" si="116"/>
        <v>1011</v>
      </c>
      <c r="AV232" s="29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0.155</v>
      </c>
      <c r="AW232" s="29" cm="1">
        <f t="array" ref="AW232">$G$11+VLOOKUP($R232,武学奇术!$A:$ZZ,10,FALSE)+SUM(_xlfn.XLOOKUP(S232:AG232,增益!$A:$A,增益!$J:$J,0))</f>
        <v>0.15</v>
      </c>
      <c r="AX232">
        <f t="shared" si="117"/>
        <v>0</v>
      </c>
      <c r="AY232">
        <f t="shared" si="118"/>
        <v>0</v>
      </c>
      <c r="AZ232" s="29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-0.14</v>
      </c>
      <c r="BA232" s="29" cm="1">
        <f t="array" ref="BA232">$G$12+VLOOKUP($R232,武学奇术!$A:$ZZ,12,FALSE)+SUM(_xlfn.XLOOKUP(S232:AG232,增益!$A:$A,增益!$L:$L,0))</f>
        <v>0</v>
      </c>
      <c r="BB232">
        <f t="shared" si="119"/>
        <v>0</v>
      </c>
      <c r="BC232">
        <f t="shared" si="120"/>
        <v>0</v>
      </c>
      <c r="BD232" s="29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-0.14</v>
      </c>
      <c r="BE232" s="29" cm="1">
        <f t="array" ref="BE232">$G$13+VLOOKUP($R232,武学奇术!$A:$ZZ,14,FALSE)+SUM(_xlfn.XLOOKUP(S232:AG232,增益!$A:$A,增益!$N:$N,0))</f>
        <v>0</v>
      </c>
      <c r="BF232">
        <f t="shared" si="121"/>
        <v>0</v>
      </c>
      <c r="BG232">
        <f t="shared" si="122"/>
        <v>0</v>
      </c>
      <c r="BH232" s="29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-0.14</v>
      </c>
      <c r="BI232" s="29" cm="1">
        <f t="array" ref="BI232">$G$14+VLOOKUP($R232,武学奇术!$A:$ZZ,16,FALSE)+SUM(_xlfn.XLOOKUP(S232:AG232,增益!$A:$A,增益!$P:$P,0))</f>
        <v>0</v>
      </c>
      <c r="BJ232" s="20">
        <f>MIN(IF(VLOOKUP($R232,武学奇术!$A:$ZZ,23,FALSE)=1,100%,$B$8),100%)</f>
        <v>0.8271</v>
      </c>
      <c r="BK232" s="20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0.2249</v>
      </c>
      <c r="BL232" s="20" cm="1">
        <f t="array" ref="BL232">1+$B$13+VLOOKUP($R232,武学奇术!$A:$ZZ,18,FALSE)+SUM(_xlfn.XLOOKUP(S232:AG232,增益!$A:$A,增益!$R:$R,0))</f>
        <v>1.5</v>
      </c>
      <c r="BM232" s="20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0.4459</v>
      </c>
      <c r="BN232" s="20" cm="1">
        <f t="array" ref="BN232">1+$B$14+VLOOKUP($R232,武学奇术!$A:$ZZ,20,FALSE)+SUM(_xlfn.XLOOKUP(S232:AG232,增益!$A:$A,增益!$T:$T,0))</f>
        <v>1.782</v>
      </c>
      <c r="BO232" s="20">
        <f t="shared" si="123"/>
        <v>0.18601479</v>
      </c>
      <c r="BP232" s="20">
        <f t="shared" si="124"/>
        <v>0.27228132</v>
      </c>
      <c r="BQ232" s="20">
        <f>IF(VLOOKUP($R232,武学奇术!$A:$ZZ,22,FALSE)=1,0,(1-$BJ232))*(1-$BM232)</f>
        <v>0.09580389</v>
      </c>
      <c r="BR232" s="20" cm="1">
        <f t="array" ref="BR232">SUM(_xlfn.XLOOKUP(S232:AG232,增益!$A:$A,增益!$W:$W,0))+$I$5</f>
        <v>0.11</v>
      </c>
    </row>
    <row r="233" spans="11:70">
      <c r="K233" s="27">
        <f>$L233*VLOOKUP($R233,武学奇术!$A:$ZZ,31,FALSE)</f>
        <v>9479.8575713377</v>
      </c>
      <c r="L233" s="27">
        <f t="shared" si="125"/>
        <v>15799.7626188962</v>
      </c>
      <c r="M233" s="27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12967.8095824293</v>
      </c>
      <c r="N233" s="27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23912.8605552101</v>
      </c>
      <c r="O233" s="27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8645.20638828617</v>
      </c>
      <c r="P233" s="27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3871.29910922662</v>
      </c>
      <c r="Q233" s="35">
        <v>1</v>
      </c>
      <c r="R233" s="36" t="s">
        <v>162</v>
      </c>
      <c r="S233" s="36" t="s">
        <v>71</v>
      </c>
      <c r="T233" s="36" t="s">
        <v>99</v>
      </c>
      <c r="U233" s="36" t="s">
        <v>100</v>
      </c>
      <c r="V233" s="36" t="s">
        <v>71</v>
      </c>
      <c r="W233" s="36" t="s">
        <v>111</v>
      </c>
      <c r="X233" s="36" t="s">
        <v>71</v>
      </c>
      <c r="Y233" s="36" t="s">
        <v>71</v>
      </c>
      <c r="Z233" s="36" t="s">
        <v>82</v>
      </c>
      <c r="AA233" s="36" t="s">
        <v>71</v>
      </c>
      <c r="AB233" s="36" t="s">
        <v>71</v>
      </c>
      <c r="AC233" s="36" t="s">
        <v>71</v>
      </c>
      <c r="AD233" s="36" t="s">
        <v>72</v>
      </c>
      <c r="AE233" s="36" t="s">
        <v>94</v>
      </c>
      <c r="AF233" s="36" t="s">
        <v>154</v>
      </c>
      <c r="AG233" s="36" t="s">
        <v>120</v>
      </c>
      <c r="AH233" t="str">
        <f>VLOOKUP($R233,武学奇术!$A:$ZZ,25,FALSE)</f>
        <v>剑</v>
      </c>
      <c r="AI233" s="20">
        <f>VLOOKUP($R233,武学奇术!$A:$ZZ,26,FALSE)</f>
        <v>0.3432</v>
      </c>
      <c r="AJ233" s="21">
        <f>VLOOKUP($R233,武学奇术!$A:$ZZ,27,FALSE)*(1+IF(OR($AH233=$F$4,$AH233=$F$5),$B$22,0))</f>
        <v>0</v>
      </c>
      <c r="AK233" s="20">
        <f>VLOOKUP($R233,武学奇术!$A:$ZZ,28,FALSE)</f>
        <v>0.5148</v>
      </c>
      <c r="AL233" s="21">
        <f>VLOOKUP($R233,武学奇术!$A:$ZZ,29,FALSE)*(1+IF(OR($AH233=$F$4,$AH233=$F$5),$B$22,0))</f>
        <v>0</v>
      </c>
      <c r="AM233" s="20" cm="1">
        <f t="array" ref="AM233">$G$3+IFERROR(VLOOKUP($AH233,$F$4:$G$7,2,FALSE),0)+VLOOKUP($R233,武学奇术!$A:$ZZ,2,FALSE)+SUM(_xlfn.XLOOKUP($S233:$AG233,增益!$A:$A,增益!$B:$B,0))</f>
        <v>1.3191</v>
      </c>
      <c r="AN233" s="20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1585.72</v>
      </c>
      <c r="AP233" cm="1">
        <f t="array" ref="AP233">$E$10*(1+$AN233)+VLOOKUP($R233,武学奇术!$A:$ZZ,4,FALSE)+SUM(_xlfn.XLOOKUP($S233:$AG233,增益!$A:$A,增益!$D:$D,0))-$I$2</f>
        <v>6696.76</v>
      </c>
      <c r="AQ233" s="29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0.4175</v>
      </c>
      <c r="AR233" s="29" cm="1">
        <f t="array" ref="AR233">$G$10+VLOOKUP($R233,武学奇术!$A:$ZZ,7,FALSE)+SUM(_xlfn.XLOOKUP(S233:AG233,增益!$A:$A,增益!$G:$G,0))</f>
        <v>0</v>
      </c>
      <c r="AS233" s="20" cm="1">
        <f t="array" ref="AS233">VLOOKUP($R233,武学奇术!$A:$ZZ,8,FALSE)+SUM(_xlfn.XLOOKUP(S233:AG233,增益!$A:$A,增益!$H:$H,0))</f>
        <v>0</v>
      </c>
      <c r="AT233">
        <f t="shared" si="115"/>
        <v>538</v>
      </c>
      <c r="AU233">
        <f t="shared" si="116"/>
        <v>1011</v>
      </c>
      <c r="AV233" s="29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0.155</v>
      </c>
      <c r="AW233" s="29" cm="1">
        <f t="array" ref="AW233">$G$11+VLOOKUP($R233,武学奇术!$A:$ZZ,10,FALSE)+SUM(_xlfn.XLOOKUP(S233:AG233,增益!$A:$A,增益!$J:$J,0))</f>
        <v>0.15</v>
      </c>
      <c r="AX233">
        <f t="shared" si="117"/>
        <v>0</v>
      </c>
      <c r="AY233">
        <f t="shared" si="118"/>
        <v>0</v>
      </c>
      <c r="AZ233" s="29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-0.14</v>
      </c>
      <c r="BA233" s="29" cm="1">
        <f t="array" ref="BA233">$G$12+VLOOKUP($R233,武学奇术!$A:$ZZ,12,FALSE)+SUM(_xlfn.XLOOKUP(S233:AG233,增益!$A:$A,增益!$L:$L,0))</f>
        <v>0</v>
      </c>
      <c r="BB233">
        <f t="shared" si="119"/>
        <v>0</v>
      </c>
      <c r="BC233">
        <f t="shared" si="120"/>
        <v>0</v>
      </c>
      <c r="BD233" s="29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-0.14</v>
      </c>
      <c r="BE233" s="29" cm="1">
        <f t="array" ref="BE233">$G$13+VLOOKUP($R233,武学奇术!$A:$ZZ,14,FALSE)+SUM(_xlfn.XLOOKUP(S233:AG233,增益!$A:$A,增益!$N:$N,0))</f>
        <v>0</v>
      </c>
      <c r="BF233">
        <f t="shared" si="121"/>
        <v>0</v>
      </c>
      <c r="BG233">
        <f t="shared" si="122"/>
        <v>0</v>
      </c>
      <c r="BH233" s="29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-0.14</v>
      </c>
      <c r="BI233" s="29" cm="1">
        <f t="array" ref="BI233">$G$14+VLOOKUP($R233,武学奇术!$A:$ZZ,16,FALSE)+SUM(_xlfn.XLOOKUP(S233:AG233,增益!$A:$A,增益!$P:$P,0))</f>
        <v>0</v>
      </c>
      <c r="BJ233" s="20">
        <f>MIN(IF(VLOOKUP($R233,武学奇术!$A:$ZZ,23,FALSE)=1,100%,$B$8),100%)</f>
        <v>0.8271</v>
      </c>
      <c r="BK233" s="20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0.2249</v>
      </c>
      <c r="BL233" s="20" cm="1">
        <f t="array" ref="BL233">1+$B$13+VLOOKUP($R233,武学奇术!$A:$ZZ,18,FALSE)+SUM(_xlfn.XLOOKUP(S233:AG233,增益!$A:$A,增益!$R:$R,0))</f>
        <v>1.5</v>
      </c>
      <c r="BM233" s="20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0.4459</v>
      </c>
      <c r="BN233" s="20" cm="1">
        <f t="array" ref="BN233">1+$B$14+VLOOKUP($R233,武学奇术!$A:$ZZ,20,FALSE)+SUM(_xlfn.XLOOKUP(S233:AG233,增益!$A:$A,增益!$T:$T,0))</f>
        <v>1.782</v>
      </c>
      <c r="BO233" s="20">
        <f t="shared" si="123"/>
        <v>0.18601479</v>
      </c>
      <c r="BP233" s="20">
        <f t="shared" si="124"/>
        <v>0.27228132</v>
      </c>
      <c r="BQ233" s="20">
        <f>IF(VLOOKUP($R233,武学奇术!$A:$ZZ,22,FALSE)=1,0,(1-$BJ233))*(1-$BM233)</f>
        <v>0.09580389</v>
      </c>
      <c r="BR233" s="20" cm="1">
        <f t="array" ref="BR233">SUM(_xlfn.XLOOKUP(S233:AG233,增益!$A:$A,增益!$W:$W,0))+$I$5</f>
        <v>0.11</v>
      </c>
    </row>
    <row r="234" spans="11:70">
      <c r="K234" s="27">
        <f>$L234*VLOOKUP($R234,武学奇术!$A:$ZZ,31,FALSE)</f>
        <v>4739.92878566885</v>
      </c>
      <c r="L234" s="27">
        <f t="shared" si="125"/>
        <v>7899.88130944808</v>
      </c>
      <c r="M234" s="27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6483.90479121463</v>
      </c>
      <c r="N234" s="27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11956.430277605</v>
      </c>
      <c r="O234" s="27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4322.60319414308</v>
      </c>
      <c r="P234" s="27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1935.64955461331</v>
      </c>
      <c r="Q234" s="35">
        <v>1</v>
      </c>
      <c r="R234" s="36" t="s">
        <v>164</v>
      </c>
      <c r="S234" s="36" t="s">
        <v>71</v>
      </c>
      <c r="T234" s="36" t="s">
        <v>99</v>
      </c>
      <c r="U234" s="36" t="s">
        <v>100</v>
      </c>
      <c r="V234" s="36" t="s">
        <v>71</v>
      </c>
      <c r="W234" s="36" t="s">
        <v>111</v>
      </c>
      <c r="X234" s="36" t="s">
        <v>71</v>
      </c>
      <c r="Y234" s="36" t="s">
        <v>71</v>
      </c>
      <c r="Z234" s="36" t="s">
        <v>82</v>
      </c>
      <c r="AA234" s="36" t="s">
        <v>71</v>
      </c>
      <c r="AB234" s="36" t="s">
        <v>71</v>
      </c>
      <c r="AC234" s="36" t="s">
        <v>71</v>
      </c>
      <c r="AD234" s="36" t="s">
        <v>72</v>
      </c>
      <c r="AE234" s="36" t="s">
        <v>94</v>
      </c>
      <c r="AF234" s="36" t="s">
        <v>154</v>
      </c>
      <c r="AG234" s="36" t="s">
        <v>120</v>
      </c>
      <c r="AH234" t="str">
        <f>VLOOKUP($R234,武学奇术!$A:$ZZ,25,FALSE)</f>
        <v>剑</v>
      </c>
      <c r="AI234" s="20">
        <f>VLOOKUP($R234,武学奇术!$A:$ZZ,26,FALSE)</f>
        <v>0.1716</v>
      </c>
      <c r="AJ234" s="21">
        <f>VLOOKUP($R234,武学奇术!$A:$ZZ,27,FALSE)*(1+IF(OR($AH234=$F$4,$AH234=$F$5),$B$22,0))</f>
        <v>0</v>
      </c>
      <c r="AK234" s="20">
        <f>VLOOKUP($R234,武学奇术!$A:$ZZ,28,FALSE)</f>
        <v>0.2574</v>
      </c>
      <c r="AL234" s="21">
        <f>VLOOKUP($R234,武学奇术!$A:$ZZ,29,FALSE)*(1+IF(OR($AH234=$F$4,$AH234=$F$5),$B$22,0))</f>
        <v>0</v>
      </c>
      <c r="AM234" s="20" cm="1">
        <f t="array" ref="AM234">$G$3+IFERROR(VLOOKUP($AH234,$F$4:$G$7,2,FALSE),0)+VLOOKUP($R234,武学奇术!$A:$ZZ,2,FALSE)+SUM(_xlfn.XLOOKUP($S234:$AG234,增益!$A:$A,增益!$B:$B,0))</f>
        <v>1.3191</v>
      </c>
      <c r="AN234" s="20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1585.72</v>
      </c>
      <c r="AP234" cm="1">
        <f t="array" ref="AP234">$E$10*(1+$AN234)+VLOOKUP($R234,武学奇术!$A:$ZZ,4,FALSE)+SUM(_xlfn.XLOOKUP($S234:$AG234,增益!$A:$A,增益!$D:$D,0))-$I$2</f>
        <v>6696.76</v>
      </c>
      <c r="AQ234" s="29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0.4175</v>
      </c>
      <c r="AR234" s="29" cm="1">
        <f t="array" ref="AR234">$G$10+VLOOKUP($R234,武学奇术!$A:$ZZ,7,FALSE)+SUM(_xlfn.XLOOKUP(S234:AG234,增益!$A:$A,增益!$G:$G,0))</f>
        <v>0</v>
      </c>
      <c r="AS234" s="20" cm="1">
        <f t="array" ref="AS234">VLOOKUP($R234,武学奇术!$A:$ZZ,8,FALSE)+SUM(_xlfn.XLOOKUP(S234:AG234,增益!$A:$A,增益!$H:$H,0))</f>
        <v>0</v>
      </c>
      <c r="AT234">
        <f t="shared" si="115"/>
        <v>538</v>
      </c>
      <c r="AU234">
        <f t="shared" si="116"/>
        <v>1011</v>
      </c>
      <c r="AV234" s="29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0.155</v>
      </c>
      <c r="AW234" s="29" cm="1">
        <f t="array" ref="AW234">$G$11+VLOOKUP($R234,武学奇术!$A:$ZZ,10,FALSE)+SUM(_xlfn.XLOOKUP(S234:AG234,增益!$A:$A,增益!$J:$J,0))</f>
        <v>0.15</v>
      </c>
      <c r="AX234">
        <f t="shared" si="117"/>
        <v>0</v>
      </c>
      <c r="AY234">
        <f t="shared" si="118"/>
        <v>0</v>
      </c>
      <c r="AZ234" s="29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-0.14</v>
      </c>
      <c r="BA234" s="29" cm="1">
        <f t="array" ref="BA234">$G$12+VLOOKUP($R234,武学奇术!$A:$ZZ,12,FALSE)+SUM(_xlfn.XLOOKUP(S234:AG234,增益!$A:$A,增益!$L:$L,0))</f>
        <v>0</v>
      </c>
      <c r="BB234">
        <f t="shared" si="119"/>
        <v>0</v>
      </c>
      <c r="BC234">
        <f t="shared" si="120"/>
        <v>0</v>
      </c>
      <c r="BD234" s="29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-0.14</v>
      </c>
      <c r="BE234" s="29" cm="1">
        <f t="array" ref="BE234">$G$13+VLOOKUP($R234,武学奇术!$A:$ZZ,14,FALSE)+SUM(_xlfn.XLOOKUP(S234:AG234,增益!$A:$A,增益!$N:$N,0))</f>
        <v>0</v>
      </c>
      <c r="BF234">
        <f t="shared" si="121"/>
        <v>0</v>
      </c>
      <c r="BG234">
        <f t="shared" si="122"/>
        <v>0</v>
      </c>
      <c r="BH234" s="29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-0.14</v>
      </c>
      <c r="BI234" s="29" cm="1">
        <f t="array" ref="BI234">$G$14+VLOOKUP($R234,武学奇术!$A:$ZZ,16,FALSE)+SUM(_xlfn.XLOOKUP(S234:AG234,增益!$A:$A,增益!$P:$P,0))</f>
        <v>0</v>
      </c>
      <c r="BJ234" s="20">
        <f>MIN(IF(VLOOKUP($R234,武学奇术!$A:$ZZ,23,FALSE)=1,100%,$B$8),100%)</f>
        <v>0.8271</v>
      </c>
      <c r="BK234" s="20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0.2249</v>
      </c>
      <c r="BL234" s="20" cm="1">
        <f t="array" ref="BL234">1+$B$13+VLOOKUP($R234,武学奇术!$A:$ZZ,18,FALSE)+SUM(_xlfn.XLOOKUP(S234:AG234,增益!$A:$A,增益!$R:$R,0))</f>
        <v>1.5</v>
      </c>
      <c r="BM234" s="20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0.4459</v>
      </c>
      <c r="BN234" s="20" cm="1">
        <f t="array" ref="BN234">1+$B$14+VLOOKUP($R234,武学奇术!$A:$ZZ,20,FALSE)+SUM(_xlfn.XLOOKUP(S234:AG234,增益!$A:$A,增益!$T:$T,0))</f>
        <v>1.782</v>
      </c>
      <c r="BO234" s="20">
        <f t="shared" si="123"/>
        <v>0.18601479</v>
      </c>
      <c r="BP234" s="20">
        <f t="shared" si="124"/>
        <v>0.27228132</v>
      </c>
      <c r="BQ234" s="20">
        <f>IF(VLOOKUP($R234,武学奇术!$A:$ZZ,22,FALSE)=1,0,(1-$BJ234))*(1-$BM234)</f>
        <v>0.09580389</v>
      </c>
      <c r="BR234" s="20" cm="1">
        <f t="array" ref="BR234">SUM(_xlfn.XLOOKUP(S234:AG234,增益!$A:$A,增益!$W:$W,0))+$I$5</f>
        <v>0.11</v>
      </c>
    </row>
    <row r="235" spans="11:70">
      <c r="K235" s="27">
        <f>$L235*VLOOKUP($R235,武学奇术!$A:$ZZ,31,FALSE)</f>
        <v>5687.91454280262</v>
      </c>
      <c r="L235" s="27">
        <f t="shared" si="125"/>
        <v>9479.8575713377</v>
      </c>
      <c r="M235" s="27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7780.68574945755</v>
      </c>
      <c r="N235" s="27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14347.716333126</v>
      </c>
      <c r="O235" s="27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5187.1238329717</v>
      </c>
      <c r="P235" s="27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2322.77946553597</v>
      </c>
      <c r="Q235" s="35">
        <v>1</v>
      </c>
      <c r="R235" s="36" t="s">
        <v>165</v>
      </c>
      <c r="S235" s="36" t="s">
        <v>71</v>
      </c>
      <c r="T235" s="36" t="s">
        <v>99</v>
      </c>
      <c r="U235" s="36" t="s">
        <v>100</v>
      </c>
      <c r="V235" s="36" t="s">
        <v>71</v>
      </c>
      <c r="W235" s="36" t="s">
        <v>111</v>
      </c>
      <c r="X235" s="36" t="s">
        <v>71</v>
      </c>
      <c r="Y235" s="36" t="s">
        <v>71</v>
      </c>
      <c r="Z235" s="36" t="s">
        <v>82</v>
      </c>
      <c r="AA235" s="36" t="s">
        <v>71</v>
      </c>
      <c r="AB235" s="36" t="s">
        <v>71</v>
      </c>
      <c r="AC235" s="36" t="s">
        <v>71</v>
      </c>
      <c r="AD235" s="36" t="s">
        <v>72</v>
      </c>
      <c r="AE235" s="36" t="s">
        <v>94</v>
      </c>
      <c r="AF235" s="36" t="s">
        <v>154</v>
      </c>
      <c r="AG235" s="36" t="s">
        <v>120</v>
      </c>
      <c r="AH235" t="str">
        <f>VLOOKUP($R235,武学奇术!$A:$ZZ,25,FALSE)</f>
        <v>剑</v>
      </c>
      <c r="AI235" s="20">
        <f>VLOOKUP($R235,武学奇术!$A:$ZZ,26,FALSE)</f>
        <v>0.20592</v>
      </c>
      <c r="AJ235" s="21">
        <f>VLOOKUP($R235,武学奇术!$A:$ZZ,27,FALSE)*(1+IF(OR($AH235=$F$4,$AH235=$F$5),$B$22,0))</f>
        <v>0</v>
      </c>
      <c r="AK235" s="20">
        <f>VLOOKUP($R235,武学奇术!$A:$ZZ,28,FALSE)</f>
        <v>0.30888</v>
      </c>
      <c r="AL235" s="21">
        <f>VLOOKUP($R235,武学奇术!$A:$ZZ,29,FALSE)*(1+IF(OR($AH235=$F$4,$AH235=$F$5),$B$22,0))</f>
        <v>0</v>
      </c>
      <c r="AM235" s="20" cm="1">
        <f t="array" ref="AM235">$G$3+IFERROR(VLOOKUP($AH235,$F$4:$G$7,2,FALSE),0)+VLOOKUP($R235,武学奇术!$A:$ZZ,2,FALSE)+SUM(_xlfn.XLOOKUP($S235:$AG235,增益!$A:$A,增益!$B:$B,0))</f>
        <v>1.3191</v>
      </c>
      <c r="AN235" s="20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1585.72</v>
      </c>
      <c r="AP235" cm="1">
        <f t="array" ref="AP235">$E$10*(1+$AN235)+VLOOKUP($R235,武学奇术!$A:$ZZ,4,FALSE)+SUM(_xlfn.XLOOKUP($S235:$AG235,增益!$A:$A,增益!$D:$D,0))-$I$2</f>
        <v>6696.76</v>
      </c>
      <c r="AQ235" s="29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0.4175</v>
      </c>
      <c r="AR235" s="29" cm="1">
        <f t="array" ref="AR235">$G$10+VLOOKUP($R235,武学奇术!$A:$ZZ,7,FALSE)+SUM(_xlfn.XLOOKUP(S235:AG235,增益!$A:$A,增益!$G:$G,0))</f>
        <v>0</v>
      </c>
      <c r="AS235" s="20" cm="1">
        <f t="array" ref="AS235">VLOOKUP($R235,武学奇术!$A:$ZZ,8,FALSE)+SUM(_xlfn.XLOOKUP(S235:AG235,增益!$A:$A,增益!$H:$H,0))</f>
        <v>0</v>
      </c>
      <c r="AT235">
        <f t="shared" si="115"/>
        <v>538</v>
      </c>
      <c r="AU235">
        <f t="shared" si="116"/>
        <v>1011</v>
      </c>
      <c r="AV235" s="29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0.155</v>
      </c>
      <c r="AW235" s="29" cm="1">
        <f t="array" ref="AW235">$G$11+VLOOKUP($R235,武学奇术!$A:$ZZ,10,FALSE)+SUM(_xlfn.XLOOKUP(S235:AG235,增益!$A:$A,增益!$J:$J,0))</f>
        <v>0.15</v>
      </c>
      <c r="AX235">
        <f t="shared" si="117"/>
        <v>0</v>
      </c>
      <c r="AY235">
        <f t="shared" si="118"/>
        <v>0</v>
      </c>
      <c r="AZ235" s="29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-0.14</v>
      </c>
      <c r="BA235" s="29" cm="1">
        <f t="array" ref="BA235">$G$12+VLOOKUP($R235,武学奇术!$A:$ZZ,12,FALSE)+SUM(_xlfn.XLOOKUP(S235:AG235,增益!$A:$A,增益!$L:$L,0))</f>
        <v>0</v>
      </c>
      <c r="BB235">
        <f t="shared" si="119"/>
        <v>0</v>
      </c>
      <c r="BC235">
        <f t="shared" si="120"/>
        <v>0</v>
      </c>
      <c r="BD235" s="29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-0.14</v>
      </c>
      <c r="BE235" s="29" cm="1">
        <f t="array" ref="BE235">$G$13+VLOOKUP($R235,武学奇术!$A:$ZZ,14,FALSE)+SUM(_xlfn.XLOOKUP(S235:AG235,增益!$A:$A,增益!$N:$N,0))</f>
        <v>0</v>
      </c>
      <c r="BF235">
        <f t="shared" si="121"/>
        <v>0</v>
      </c>
      <c r="BG235">
        <f t="shared" si="122"/>
        <v>0</v>
      </c>
      <c r="BH235" s="29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-0.14</v>
      </c>
      <c r="BI235" s="29" cm="1">
        <f t="array" ref="BI235">$G$14+VLOOKUP($R235,武学奇术!$A:$ZZ,16,FALSE)+SUM(_xlfn.XLOOKUP(S235:AG235,增益!$A:$A,增益!$P:$P,0))</f>
        <v>0</v>
      </c>
      <c r="BJ235" s="20">
        <f>MIN(IF(VLOOKUP($R235,武学奇术!$A:$ZZ,23,FALSE)=1,100%,$B$8),100%)</f>
        <v>0.8271</v>
      </c>
      <c r="BK235" s="20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0.2249</v>
      </c>
      <c r="BL235" s="20" cm="1">
        <f t="array" ref="BL235">1+$B$13+VLOOKUP($R235,武学奇术!$A:$ZZ,18,FALSE)+SUM(_xlfn.XLOOKUP(S235:AG235,增益!$A:$A,增益!$R:$R,0))</f>
        <v>1.5</v>
      </c>
      <c r="BM235" s="20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0.4459</v>
      </c>
      <c r="BN235" s="20" cm="1">
        <f t="array" ref="BN235">1+$B$14+VLOOKUP($R235,武学奇术!$A:$ZZ,20,FALSE)+SUM(_xlfn.XLOOKUP(S235:AG235,增益!$A:$A,增益!$T:$T,0))</f>
        <v>1.782</v>
      </c>
      <c r="BO235" s="20">
        <f t="shared" si="123"/>
        <v>0.18601479</v>
      </c>
      <c r="BP235" s="20">
        <f t="shared" si="124"/>
        <v>0.27228132</v>
      </c>
      <c r="BQ235" s="20">
        <f>IF(VLOOKUP($R235,武学奇术!$A:$ZZ,22,FALSE)=1,0,(1-$BJ235))*(1-$BM235)</f>
        <v>0.09580389</v>
      </c>
      <c r="BR235" s="20" cm="1">
        <f t="array" ref="BR235">SUM(_xlfn.XLOOKUP(S235:AG235,增益!$A:$A,增益!$W:$W,0))+$I$5</f>
        <v>0.11</v>
      </c>
    </row>
    <row r="236" spans="11:70">
      <c r="K236" s="27">
        <f>$L236*VLOOKUP($R236,武学奇术!$A:$ZZ,31,FALSE)</f>
        <v>7583.88605707016</v>
      </c>
      <c r="L236" s="27">
        <f t="shared" si="125"/>
        <v>12639.8100951169</v>
      </c>
      <c r="M236" s="27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10374.2476659434</v>
      </c>
      <c r="N236" s="27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19130.2884441681</v>
      </c>
      <c r="O236" s="27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6916.16511062893</v>
      </c>
      <c r="P236" s="27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3097.0392873813</v>
      </c>
      <c r="Q236" s="35">
        <v>1</v>
      </c>
      <c r="R236" s="36" t="s">
        <v>163</v>
      </c>
      <c r="S236" s="36" t="s">
        <v>71</v>
      </c>
      <c r="T236" s="36" t="s">
        <v>99</v>
      </c>
      <c r="U236" s="36" t="s">
        <v>100</v>
      </c>
      <c r="V236" s="36" t="s">
        <v>71</v>
      </c>
      <c r="W236" s="36" t="s">
        <v>111</v>
      </c>
      <c r="X236" s="36" t="s">
        <v>71</v>
      </c>
      <c r="Y236" s="36" t="s">
        <v>71</v>
      </c>
      <c r="Z236" s="36" t="s">
        <v>82</v>
      </c>
      <c r="AA236" s="36" t="s">
        <v>71</v>
      </c>
      <c r="AB236" s="36" t="s">
        <v>71</v>
      </c>
      <c r="AC236" s="36" t="s">
        <v>71</v>
      </c>
      <c r="AD236" s="36" t="s">
        <v>72</v>
      </c>
      <c r="AE236" s="36" t="s">
        <v>94</v>
      </c>
      <c r="AF236" s="36" t="s">
        <v>154</v>
      </c>
      <c r="AG236" s="36" t="s">
        <v>120</v>
      </c>
      <c r="AH236" t="str">
        <f>VLOOKUP($R236,武学奇术!$A:$ZZ,25,FALSE)</f>
        <v>剑</v>
      </c>
      <c r="AI236" s="20">
        <f>VLOOKUP($R236,武学奇术!$A:$ZZ,26,FALSE)</f>
        <v>0.27456</v>
      </c>
      <c r="AJ236" s="21">
        <f>VLOOKUP($R236,武学奇术!$A:$ZZ,27,FALSE)*(1+IF(OR($AH236=$F$4,$AH236=$F$5),$B$22,0))</f>
        <v>0</v>
      </c>
      <c r="AK236" s="20">
        <f>VLOOKUP($R236,武学奇术!$A:$ZZ,28,FALSE)</f>
        <v>0.41184</v>
      </c>
      <c r="AL236" s="21">
        <f>VLOOKUP($R236,武学奇术!$A:$ZZ,29,FALSE)*(1+IF(OR($AH236=$F$4,$AH236=$F$5),$B$22,0))</f>
        <v>0</v>
      </c>
      <c r="AM236" s="20" cm="1">
        <f t="array" ref="AM236">$G$3+IFERROR(VLOOKUP($AH236,$F$4:$G$7,2,FALSE),0)+VLOOKUP($R236,武学奇术!$A:$ZZ,2,FALSE)+SUM(_xlfn.XLOOKUP($S236:$AG236,增益!$A:$A,增益!$B:$B,0))</f>
        <v>1.3191</v>
      </c>
      <c r="AN236" s="20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1585.72</v>
      </c>
      <c r="AP236" cm="1">
        <f t="array" ref="AP236">$E$10*(1+$AN236)+VLOOKUP($R236,武学奇术!$A:$ZZ,4,FALSE)+SUM(_xlfn.XLOOKUP($S236:$AG236,增益!$A:$A,增益!$D:$D,0))-$I$2</f>
        <v>6696.76</v>
      </c>
      <c r="AQ236" s="29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0.4175</v>
      </c>
      <c r="AR236" s="29" cm="1">
        <f t="array" ref="AR236">$G$10+VLOOKUP($R236,武学奇术!$A:$ZZ,7,FALSE)+SUM(_xlfn.XLOOKUP(S236:AG236,增益!$A:$A,增益!$G:$G,0))</f>
        <v>0</v>
      </c>
      <c r="AS236" s="20" cm="1">
        <f t="array" ref="AS236">VLOOKUP($R236,武学奇术!$A:$ZZ,8,FALSE)+SUM(_xlfn.XLOOKUP(S236:AG236,增益!$A:$A,增益!$H:$H,0))</f>
        <v>0</v>
      </c>
      <c r="AT236">
        <f t="shared" si="115"/>
        <v>538</v>
      </c>
      <c r="AU236">
        <f t="shared" si="116"/>
        <v>1011</v>
      </c>
      <c r="AV236" s="29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0.155</v>
      </c>
      <c r="AW236" s="29" cm="1">
        <f t="array" ref="AW236">$G$11+VLOOKUP($R236,武学奇术!$A:$ZZ,10,FALSE)+SUM(_xlfn.XLOOKUP(S236:AG236,增益!$A:$A,增益!$J:$J,0))</f>
        <v>0.15</v>
      </c>
      <c r="AX236">
        <f t="shared" si="117"/>
        <v>0</v>
      </c>
      <c r="AY236">
        <f t="shared" si="118"/>
        <v>0</v>
      </c>
      <c r="AZ236" s="29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-0.14</v>
      </c>
      <c r="BA236" s="29" cm="1">
        <f t="array" ref="BA236">$G$12+VLOOKUP($R236,武学奇术!$A:$ZZ,12,FALSE)+SUM(_xlfn.XLOOKUP(S236:AG236,增益!$A:$A,增益!$L:$L,0))</f>
        <v>0</v>
      </c>
      <c r="BB236">
        <f t="shared" si="119"/>
        <v>0</v>
      </c>
      <c r="BC236">
        <f t="shared" si="120"/>
        <v>0</v>
      </c>
      <c r="BD236" s="29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-0.14</v>
      </c>
      <c r="BE236" s="29" cm="1">
        <f t="array" ref="BE236">$G$13+VLOOKUP($R236,武学奇术!$A:$ZZ,14,FALSE)+SUM(_xlfn.XLOOKUP(S236:AG236,增益!$A:$A,增益!$N:$N,0))</f>
        <v>0</v>
      </c>
      <c r="BF236">
        <f t="shared" si="121"/>
        <v>0</v>
      </c>
      <c r="BG236">
        <f t="shared" si="122"/>
        <v>0</v>
      </c>
      <c r="BH236" s="29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-0.14</v>
      </c>
      <c r="BI236" s="29" cm="1">
        <f t="array" ref="BI236">$G$14+VLOOKUP($R236,武学奇术!$A:$ZZ,16,FALSE)+SUM(_xlfn.XLOOKUP(S236:AG236,增益!$A:$A,增益!$P:$P,0))</f>
        <v>0</v>
      </c>
      <c r="BJ236" s="20">
        <f>MIN(IF(VLOOKUP($R236,武学奇术!$A:$ZZ,23,FALSE)=1,100%,$B$8),100%)</f>
        <v>0.8271</v>
      </c>
      <c r="BK236" s="20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0.2249</v>
      </c>
      <c r="BL236" s="20" cm="1">
        <f t="array" ref="BL236">1+$B$13+VLOOKUP($R236,武学奇术!$A:$ZZ,18,FALSE)+SUM(_xlfn.XLOOKUP(S236:AG236,增益!$A:$A,增益!$R:$R,0))</f>
        <v>1.5</v>
      </c>
      <c r="BM236" s="20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0.4459</v>
      </c>
      <c r="BN236" s="20" cm="1">
        <f t="array" ref="BN236">1+$B$14+VLOOKUP($R236,武学奇术!$A:$ZZ,20,FALSE)+SUM(_xlfn.XLOOKUP(S236:AG236,增益!$A:$A,增益!$T:$T,0))</f>
        <v>1.782</v>
      </c>
      <c r="BO236" s="20">
        <f t="shared" si="123"/>
        <v>0.18601479</v>
      </c>
      <c r="BP236" s="20">
        <f t="shared" si="124"/>
        <v>0.27228132</v>
      </c>
      <c r="BQ236" s="20">
        <f>IF(VLOOKUP($R236,武学奇术!$A:$ZZ,22,FALSE)=1,0,(1-$BJ236))*(1-$BM236)</f>
        <v>0.09580389</v>
      </c>
      <c r="BR236" s="20" cm="1">
        <f t="array" ref="BR236">SUM(_xlfn.XLOOKUP(S236:AG236,增益!$A:$A,增益!$W:$W,0))+$I$5</f>
        <v>0.11</v>
      </c>
    </row>
    <row r="237" spans="11:70">
      <c r="K237" s="27">
        <f>$L237*VLOOKUP($R237,武学奇术!$A:$ZZ,31,FALSE)</f>
        <v>7583.88605707016</v>
      </c>
      <c r="L237" s="27">
        <f t="shared" si="125"/>
        <v>12639.8100951169</v>
      </c>
      <c r="M237" s="27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10374.2476659434</v>
      </c>
      <c r="N237" s="27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19130.2884441681</v>
      </c>
      <c r="O237" s="27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6916.16511062893</v>
      </c>
      <c r="P237" s="27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3097.0392873813</v>
      </c>
      <c r="Q237" s="35">
        <v>1</v>
      </c>
      <c r="R237" s="36" t="s">
        <v>163</v>
      </c>
      <c r="S237" s="36" t="s">
        <v>71</v>
      </c>
      <c r="T237" s="36" t="s">
        <v>99</v>
      </c>
      <c r="U237" s="36" t="s">
        <v>100</v>
      </c>
      <c r="V237" s="36" t="s">
        <v>71</v>
      </c>
      <c r="W237" s="36" t="s">
        <v>111</v>
      </c>
      <c r="X237" s="36" t="s">
        <v>71</v>
      </c>
      <c r="Y237" s="36" t="s">
        <v>71</v>
      </c>
      <c r="Z237" s="36" t="s">
        <v>82</v>
      </c>
      <c r="AA237" s="36" t="s">
        <v>71</v>
      </c>
      <c r="AB237" s="36" t="s">
        <v>71</v>
      </c>
      <c r="AC237" s="36" t="s">
        <v>71</v>
      </c>
      <c r="AD237" s="36" t="s">
        <v>72</v>
      </c>
      <c r="AE237" s="36" t="s">
        <v>94</v>
      </c>
      <c r="AF237" s="36" t="s">
        <v>154</v>
      </c>
      <c r="AG237" s="36" t="s">
        <v>120</v>
      </c>
      <c r="AH237" t="str">
        <f>VLOOKUP($R237,武学奇术!$A:$ZZ,25,FALSE)</f>
        <v>剑</v>
      </c>
      <c r="AI237" s="20">
        <f>VLOOKUP($R237,武学奇术!$A:$ZZ,26,FALSE)</f>
        <v>0.27456</v>
      </c>
      <c r="AJ237" s="21">
        <f>VLOOKUP($R237,武学奇术!$A:$ZZ,27,FALSE)*(1+IF(OR($AH237=$F$4,$AH237=$F$5),$B$22,0))</f>
        <v>0</v>
      </c>
      <c r="AK237" s="20">
        <f>VLOOKUP($R237,武学奇术!$A:$ZZ,28,FALSE)</f>
        <v>0.41184</v>
      </c>
      <c r="AL237" s="21">
        <f>VLOOKUP($R237,武学奇术!$A:$ZZ,29,FALSE)*(1+IF(OR($AH237=$F$4,$AH237=$F$5),$B$22,0))</f>
        <v>0</v>
      </c>
      <c r="AM237" s="20" cm="1">
        <f t="array" ref="AM237">$G$3+IFERROR(VLOOKUP($AH237,$F$4:$G$7,2,FALSE),0)+VLOOKUP($R237,武学奇术!$A:$ZZ,2,FALSE)+SUM(_xlfn.XLOOKUP($S237:$AG237,增益!$A:$A,增益!$B:$B,0))</f>
        <v>1.3191</v>
      </c>
      <c r="AN237" s="20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1585.72</v>
      </c>
      <c r="AP237" cm="1">
        <f t="array" ref="AP237">$E$10*(1+$AN237)+VLOOKUP($R237,武学奇术!$A:$ZZ,4,FALSE)+SUM(_xlfn.XLOOKUP($S237:$AG237,增益!$A:$A,增益!$D:$D,0))-$I$2</f>
        <v>6696.76</v>
      </c>
      <c r="AQ237" s="29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0.4175</v>
      </c>
      <c r="AR237" s="29" cm="1">
        <f t="array" ref="AR237">$G$10+VLOOKUP($R237,武学奇术!$A:$ZZ,7,FALSE)+SUM(_xlfn.XLOOKUP(S237:AG237,增益!$A:$A,增益!$G:$G,0))</f>
        <v>0</v>
      </c>
      <c r="AS237" s="20" cm="1">
        <f t="array" ref="AS237">VLOOKUP($R237,武学奇术!$A:$ZZ,8,FALSE)+SUM(_xlfn.XLOOKUP(S237:AG237,增益!$A:$A,增益!$H:$H,0))</f>
        <v>0</v>
      </c>
      <c r="AT237">
        <f t="shared" si="115"/>
        <v>538</v>
      </c>
      <c r="AU237">
        <f t="shared" si="116"/>
        <v>1011</v>
      </c>
      <c r="AV237" s="29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0.155</v>
      </c>
      <c r="AW237" s="29" cm="1">
        <f t="array" ref="AW237">$G$11+VLOOKUP($R237,武学奇术!$A:$ZZ,10,FALSE)+SUM(_xlfn.XLOOKUP(S237:AG237,增益!$A:$A,增益!$J:$J,0))</f>
        <v>0.15</v>
      </c>
      <c r="AX237">
        <f t="shared" si="117"/>
        <v>0</v>
      </c>
      <c r="AY237">
        <f t="shared" si="118"/>
        <v>0</v>
      </c>
      <c r="AZ237" s="29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-0.14</v>
      </c>
      <c r="BA237" s="29" cm="1">
        <f t="array" ref="BA237">$G$12+VLOOKUP($R237,武学奇术!$A:$ZZ,12,FALSE)+SUM(_xlfn.XLOOKUP(S237:AG237,增益!$A:$A,增益!$L:$L,0))</f>
        <v>0</v>
      </c>
      <c r="BB237">
        <f t="shared" si="119"/>
        <v>0</v>
      </c>
      <c r="BC237">
        <f t="shared" si="120"/>
        <v>0</v>
      </c>
      <c r="BD237" s="29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-0.14</v>
      </c>
      <c r="BE237" s="29" cm="1">
        <f t="array" ref="BE237">$G$13+VLOOKUP($R237,武学奇术!$A:$ZZ,14,FALSE)+SUM(_xlfn.XLOOKUP(S237:AG237,增益!$A:$A,增益!$N:$N,0))</f>
        <v>0</v>
      </c>
      <c r="BF237">
        <f t="shared" si="121"/>
        <v>0</v>
      </c>
      <c r="BG237">
        <f t="shared" si="122"/>
        <v>0</v>
      </c>
      <c r="BH237" s="29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-0.14</v>
      </c>
      <c r="BI237" s="29" cm="1">
        <f t="array" ref="BI237">$G$14+VLOOKUP($R237,武学奇术!$A:$ZZ,16,FALSE)+SUM(_xlfn.XLOOKUP(S237:AG237,增益!$A:$A,增益!$P:$P,0))</f>
        <v>0</v>
      </c>
      <c r="BJ237" s="20">
        <f>MIN(IF(VLOOKUP($R237,武学奇术!$A:$ZZ,23,FALSE)=1,100%,$B$8),100%)</f>
        <v>0.8271</v>
      </c>
      <c r="BK237" s="20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0.2249</v>
      </c>
      <c r="BL237" s="20" cm="1">
        <f t="array" ref="BL237">1+$B$13+VLOOKUP($R237,武学奇术!$A:$ZZ,18,FALSE)+SUM(_xlfn.XLOOKUP(S237:AG237,增益!$A:$A,增益!$R:$R,0))</f>
        <v>1.5</v>
      </c>
      <c r="BM237" s="20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0.4459</v>
      </c>
      <c r="BN237" s="20" cm="1">
        <f t="array" ref="BN237">1+$B$14+VLOOKUP($R237,武学奇术!$A:$ZZ,20,FALSE)+SUM(_xlfn.XLOOKUP(S237:AG237,增益!$A:$A,增益!$T:$T,0))</f>
        <v>1.782</v>
      </c>
      <c r="BO237" s="20">
        <f t="shared" si="123"/>
        <v>0.18601479</v>
      </c>
      <c r="BP237" s="20">
        <f t="shared" si="124"/>
        <v>0.27228132</v>
      </c>
      <c r="BQ237" s="20">
        <f>IF(VLOOKUP($R237,武学奇术!$A:$ZZ,22,FALSE)=1,0,(1-$BJ237))*(1-$BM237)</f>
        <v>0.09580389</v>
      </c>
      <c r="BR237" s="20" cm="1">
        <f t="array" ref="BR237">SUM(_xlfn.XLOOKUP(S237:AG237,增益!$A:$A,增益!$W:$W,0))+$I$5</f>
        <v>0.11</v>
      </c>
    </row>
    <row r="238" spans="11:70">
      <c r="K238" s="27">
        <f>$L238*VLOOKUP($R238,武学奇术!$A:$ZZ,31,FALSE)</f>
        <v>7548.4239185184</v>
      </c>
      <c r="L238" s="27">
        <f t="shared" si="125"/>
        <v>12580.706530864</v>
      </c>
      <c r="M238" s="27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10312.754100781</v>
      </c>
      <c r="N238" s="27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19057.2340887552</v>
      </c>
      <c r="O238" s="27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6875.16940052069</v>
      </c>
      <c r="P238" s="27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3056.04357727305</v>
      </c>
      <c r="Q238" s="35">
        <v>1</v>
      </c>
      <c r="R238" s="36" t="s">
        <v>163</v>
      </c>
      <c r="S238" s="36" t="s">
        <v>71</v>
      </c>
      <c r="T238" s="36" t="s">
        <v>99</v>
      </c>
      <c r="U238" s="36" t="s">
        <v>100</v>
      </c>
      <c r="V238" s="36" t="s">
        <v>71</v>
      </c>
      <c r="W238" s="36" t="s">
        <v>71</v>
      </c>
      <c r="X238" s="36" t="s">
        <v>71</v>
      </c>
      <c r="Y238" s="36" t="s">
        <v>71</v>
      </c>
      <c r="Z238" s="36" t="s">
        <v>82</v>
      </c>
      <c r="AA238" s="36" t="s">
        <v>71</v>
      </c>
      <c r="AB238" s="36" t="s">
        <v>71</v>
      </c>
      <c r="AC238" s="36" t="s">
        <v>71</v>
      </c>
      <c r="AD238" s="36" t="s">
        <v>72</v>
      </c>
      <c r="AE238" s="36" t="s">
        <v>94</v>
      </c>
      <c r="AF238" s="36" t="s">
        <v>154</v>
      </c>
      <c r="AG238" s="36" t="s">
        <v>120</v>
      </c>
      <c r="AH238" t="str">
        <f>VLOOKUP($R238,武学奇术!$A:$ZZ,25,FALSE)</f>
        <v>剑</v>
      </c>
      <c r="AI238" s="20">
        <f>VLOOKUP($R238,武学奇术!$A:$ZZ,26,FALSE)</f>
        <v>0.27456</v>
      </c>
      <c r="AJ238" s="21">
        <f>VLOOKUP($R238,武学奇术!$A:$ZZ,27,FALSE)*(1+IF(OR($AH238=$F$4,$AH238=$F$5),$B$22,0))</f>
        <v>0</v>
      </c>
      <c r="AK238" s="20">
        <f>VLOOKUP($R238,武学奇术!$A:$ZZ,28,FALSE)</f>
        <v>0.41184</v>
      </c>
      <c r="AL238" s="21">
        <f>VLOOKUP($R238,武学奇术!$A:$ZZ,29,FALSE)*(1+IF(OR($AH238=$F$4,$AH238=$F$5),$B$22,0))</f>
        <v>0</v>
      </c>
      <c r="AM238" s="20" cm="1">
        <f t="array" ref="AM238">$G$3+IFERROR(VLOOKUP($AH238,$F$4:$G$7,2,FALSE),0)+VLOOKUP($R238,武学奇术!$A:$ZZ,2,FALSE)+SUM(_xlfn.XLOOKUP($S238:$AG238,增益!$A:$A,增益!$B:$B,0))</f>
        <v>1.3191</v>
      </c>
      <c r="AN238" s="20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1554.72</v>
      </c>
      <c r="AP238" cm="1">
        <f t="array" ref="AP238">$E$10*(1+$AN238)+VLOOKUP($R238,武学奇术!$A:$ZZ,4,FALSE)+SUM(_xlfn.XLOOKUP($S238:$AG238,增益!$A:$A,增益!$D:$D,0))-$I$2</f>
        <v>6665.76</v>
      </c>
      <c r="AQ238" s="29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0.4175</v>
      </c>
      <c r="AR238" s="29" cm="1">
        <f t="array" ref="AR238">$G$10+VLOOKUP($R238,武学奇术!$A:$ZZ,7,FALSE)+SUM(_xlfn.XLOOKUP(S238:AG238,增益!$A:$A,增益!$G:$G,0))</f>
        <v>0</v>
      </c>
      <c r="AS238" s="20" cm="1">
        <f t="array" ref="AS238">VLOOKUP($R238,武学奇术!$A:$ZZ,8,FALSE)+SUM(_xlfn.XLOOKUP(S238:AG238,增益!$A:$A,增益!$H:$H,0))</f>
        <v>0</v>
      </c>
      <c r="AT238">
        <f t="shared" si="115"/>
        <v>538</v>
      </c>
      <c r="AU238">
        <f t="shared" si="116"/>
        <v>1011</v>
      </c>
      <c r="AV238" s="29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0.155</v>
      </c>
      <c r="AW238" s="29" cm="1">
        <f t="array" ref="AW238">$G$11+VLOOKUP($R238,武学奇术!$A:$ZZ,10,FALSE)+SUM(_xlfn.XLOOKUP(S238:AG238,增益!$A:$A,增益!$J:$J,0))</f>
        <v>0.15</v>
      </c>
      <c r="AX238">
        <f t="shared" si="117"/>
        <v>0</v>
      </c>
      <c r="AY238">
        <f t="shared" si="118"/>
        <v>0</v>
      </c>
      <c r="AZ238" s="29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-0.14</v>
      </c>
      <c r="BA238" s="29" cm="1">
        <f t="array" ref="BA238">$G$12+VLOOKUP($R238,武学奇术!$A:$ZZ,12,FALSE)+SUM(_xlfn.XLOOKUP(S238:AG238,增益!$A:$A,增益!$L:$L,0))</f>
        <v>0</v>
      </c>
      <c r="BB238">
        <f t="shared" si="119"/>
        <v>0</v>
      </c>
      <c r="BC238">
        <f t="shared" si="120"/>
        <v>0</v>
      </c>
      <c r="BD238" s="29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-0.14</v>
      </c>
      <c r="BE238" s="29" cm="1">
        <f t="array" ref="BE238">$G$13+VLOOKUP($R238,武学奇术!$A:$ZZ,14,FALSE)+SUM(_xlfn.XLOOKUP(S238:AG238,增益!$A:$A,增益!$N:$N,0))</f>
        <v>0</v>
      </c>
      <c r="BF238">
        <f t="shared" si="121"/>
        <v>0</v>
      </c>
      <c r="BG238">
        <f t="shared" si="122"/>
        <v>0</v>
      </c>
      <c r="BH238" s="29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-0.14</v>
      </c>
      <c r="BI238" s="29" cm="1">
        <f t="array" ref="BI238">$G$14+VLOOKUP($R238,武学奇术!$A:$ZZ,16,FALSE)+SUM(_xlfn.XLOOKUP(S238:AG238,增益!$A:$A,增益!$P:$P,0))</f>
        <v>0</v>
      </c>
      <c r="BJ238" s="20">
        <f>MIN(IF(VLOOKUP($R238,武学奇术!$A:$ZZ,23,FALSE)=1,100%,$B$8),100%)</f>
        <v>0.8271</v>
      </c>
      <c r="BK238" s="20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0.2249</v>
      </c>
      <c r="BL238" s="20" cm="1">
        <f t="array" ref="BL238">1+$B$13+VLOOKUP($R238,武学奇术!$A:$ZZ,18,FALSE)+SUM(_xlfn.XLOOKUP(S238:AG238,增益!$A:$A,增益!$R:$R,0))</f>
        <v>1.5</v>
      </c>
      <c r="BM238" s="20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0.4459</v>
      </c>
      <c r="BN238" s="20" cm="1">
        <f t="array" ref="BN238">1+$B$14+VLOOKUP($R238,武学奇术!$A:$ZZ,20,FALSE)+SUM(_xlfn.XLOOKUP(S238:AG238,增益!$A:$A,增益!$T:$T,0))</f>
        <v>1.782</v>
      </c>
      <c r="BO238" s="20">
        <f t="shared" si="123"/>
        <v>0.18601479</v>
      </c>
      <c r="BP238" s="20">
        <f t="shared" si="124"/>
        <v>0.27228132</v>
      </c>
      <c r="BQ238" s="20">
        <f>IF(VLOOKUP($R238,武学奇术!$A:$ZZ,22,FALSE)=1,0,(1-$BJ238))*(1-$BM238)</f>
        <v>0.09580389</v>
      </c>
      <c r="BR238" s="20" cm="1">
        <f t="array" ref="BR238">SUM(_xlfn.XLOOKUP(S238:AG238,增益!$A:$A,增益!$W:$W,0))+$I$5</f>
        <v>0.11</v>
      </c>
    </row>
    <row r="239" spans="11:70">
      <c r="K239" s="27">
        <f>$L239*VLOOKUP($R239,武学奇术!$A:$ZZ,31,FALSE)</f>
        <v>7548.4239185184</v>
      </c>
      <c r="L239" s="27">
        <f t="shared" si="125"/>
        <v>12580.706530864</v>
      </c>
      <c r="M239" s="27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10312.754100781</v>
      </c>
      <c r="N239" s="27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19057.2340887552</v>
      </c>
      <c r="O239" s="27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6875.16940052069</v>
      </c>
      <c r="P239" s="27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3056.04357727305</v>
      </c>
      <c r="Q239" s="35">
        <v>1</v>
      </c>
      <c r="R239" s="36" t="s">
        <v>163</v>
      </c>
      <c r="S239" s="36" t="s">
        <v>71</v>
      </c>
      <c r="T239" s="36" t="s">
        <v>99</v>
      </c>
      <c r="U239" s="36" t="s">
        <v>100</v>
      </c>
      <c r="V239" s="36" t="s">
        <v>71</v>
      </c>
      <c r="W239" s="36" t="s">
        <v>71</v>
      </c>
      <c r="X239" s="36" t="s">
        <v>71</v>
      </c>
      <c r="Y239" s="36" t="s">
        <v>71</v>
      </c>
      <c r="Z239" s="36" t="s">
        <v>82</v>
      </c>
      <c r="AA239" s="36" t="s">
        <v>71</v>
      </c>
      <c r="AB239" s="36" t="s">
        <v>71</v>
      </c>
      <c r="AC239" s="36" t="s">
        <v>71</v>
      </c>
      <c r="AD239" s="36" t="s">
        <v>72</v>
      </c>
      <c r="AE239" s="36" t="s">
        <v>94</v>
      </c>
      <c r="AF239" s="36" t="s">
        <v>154</v>
      </c>
      <c r="AG239" s="36" t="s">
        <v>120</v>
      </c>
      <c r="AH239" t="str">
        <f>VLOOKUP($R239,武学奇术!$A:$ZZ,25,FALSE)</f>
        <v>剑</v>
      </c>
      <c r="AI239" s="20">
        <f>VLOOKUP($R239,武学奇术!$A:$ZZ,26,FALSE)</f>
        <v>0.27456</v>
      </c>
      <c r="AJ239" s="21">
        <f>VLOOKUP($R239,武学奇术!$A:$ZZ,27,FALSE)*(1+IF(OR($AH239=$F$4,$AH239=$F$5),$B$22,0))</f>
        <v>0</v>
      </c>
      <c r="AK239" s="20">
        <f>VLOOKUP($R239,武学奇术!$A:$ZZ,28,FALSE)</f>
        <v>0.41184</v>
      </c>
      <c r="AL239" s="21">
        <f>VLOOKUP($R239,武学奇术!$A:$ZZ,29,FALSE)*(1+IF(OR($AH239=$F$4,$AH239=$F$5),$B$22,0))</f>
        <v>0</v>
      </c>
      <c r="AM239" s="20" cm="1">
        <f t="array" ref="AM239">$G$3+IFERROR(VLOOKUP($AH239,$F$4:$G$7,2,FALSE),0)+VLOOKUP($R239,武学奇术!$A:$ZZ,2,FALSE)+SUM(_xlfn.XLOOKUP($S239:$AG239,增益!$A:$A,增益!$B:$B,0))</f>
        <v>1.3191</v>
      </c>
      <c r="AN239" s="20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1554.72</v>
      </c>
      <c r="AP239" cm="1">
        <f t="array" ref="AP239">$E$10*(1+$AN239)+VLOOKUP($R239,武学奇术!$A:$ZZ,4,FALSE)+SUM(_xlfn.XLOOKUP($S239:$AG239,增益!$A:$A,增益!$D:$D,0))-$I$2</f>
        <v>6665.76</v>
      </c>
      <c r="AQ239" s="29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0.4175</v>
      </c>
      <c r="AR239" s="29" cm="1">
        <f t="array" ref="AR239">$G$10+VLOOKUP($R239,武学奇术!$A:$ZZ,7,FALSE)+SUM(_xlfn.XLOOKUP(S239:AG239,增益!$A:$A,增益!$G:$G,0))</f>
        <v>0</v>
      </c>
      <c r="AS239" s="20" cm="1">
        <f t="array" ref="AS239">VLOOKUP($R239,武学奇术!$A:$ZZ,8,FALSE)+SUM(_xlfn.XLOOKUP(S239:AG239,增益!$A:$A,增益!$H:$H,0))</f>
        <v>0</v>
      </c>
      <c r="AT239">
        <f t="shared" si="115"/>
        <v>538</v>
      </c>
      <c r="AU239">
        <f t="shared" si="116"/>
        <v>1011</v>
      </c>
      <c r="AV239" s="29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0.155</v>
      </c>
      <c r="AW239" s="29" cm="1">
        <f t="array" ref="AW239">$G$11+VLOOKUP($R239,武学奇术!$A:$ZZ,10,FALSE)+SUM(_xlfn.XLOOKUP(S239:AG239,增益!$A:$A,增益!$J:$J,0))</f>
        <v>0.15</v>
      </c>
      <c r="AX239">
        <f t="shared" si="117"/>
        <v>0</v>
      </c>
      <c r="AY239">
        <f t="shared" si="118"/>
        <v>0</v>
      </c>
      <c r="AZ239" s="29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-0.14</v>
      </c>
      <c r="BA239" s="29" cm="1">
        <f t="array" ref="BA239">$G$12+VLOOKUP($R239,武学奇术!$A:$ZZ,12,FALSE)+SUM(_xlfn.XLOOKUP(S239:AG239,增益!$A:$A,增益!$L:$L,0))</f>
        <v>0</v>
      </c>
      <c r="BB239">
        <f t="shared" si="119"/>
        <v>0</v>
      </c>
      <c r="BC239">
        <f t="shared" si="120"/>
        <v>0</v>
      </c>
      <c r="BD239" s="29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-0.14</v>
      </c>
      <c r="BE239" s="29" cm="1">
        <f t="array" ref="BE239">$G$13+VLOOKUP($R239,武学奇术!$A:$ZZ,14,FALSE)+SUM(_xlfn.XLOOKUP(S239:AG239,增益!$A:$A,增益!$N:$N,0))</f>
        <v>0</v>
      </c>
      <c r="BF239">
        <f t="shared" si="121"/>
        <v>0</v>
      </c>
      <c r="BG239">
        <f t="shared" si="122"/>
        <v>0</v>
      </c>
      <c r="BH239" s="29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-0.14</v>
      </c>
      <c r="BI239" s="29" cm="1">
        <f t="array" ref="BI239">$G$14+VLOOKUP($R239,武学奇术!$A:$ZZ,16,FALSE)+SUM(_xlfn.XLOOKUP(S239:AG239,增益!$A:$A,增益!$P:$P,0))</f>
        <v>0</v>
      </c>
      <c r="BJ239" s="20">
        <f>MIN(IF(VLOOKUP($R239,武学奇术!$A:$ZZ,23,FALSE)=1,100%,$B$8),100%)</f>
        <v>0.8271</v>
      </c>
      <c r="BK239" s="20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0.2249</v>
      </c>
      <c r="BL239" s="20" cm="1">
        <f t="array" ref="BL239">1+$B$13+VLOOKUP($R239,武学奇术!$A:$ZZ,18,FALSE)+SUM(_xlfn.XLOOKUP(S239:AG239,增益!$A:$A,增益!$R:$R,0))</f>
        <v>1.5</v>
      </c>
      <c r="BM239" s="20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0.4459</v>
      </c>
      <c r="BN239" s="20" cm="1">
        <f t="array" ref="BN239">1+$B$14+VLOOKUP($R239,武学奇术!$A:$ZZ,20,FALSE)+SUM(_xlfn.XLOOKUP(S239:AG239,增益!$A:$A,增益!$T:$T,0))</f>
        <v>1.782</v>
      </c>
      <c r="BO239" s="20">
        <f t="shared" si="123"/>
        <v>0.18601479</v>
      </c>
      <c r="BP239" s="20">
        <f t="shared" si="124"/>
        <v>0.27228132</v>
      </c>
      <c r="BQ239" s="20">
        <f>IF(VLOOKUP($R239,武学奇术!$A:$ZZ,22,FALSE)=1,0,(1-$BJ239))*(1-$BM239)</f>
        <v>0.09580389</v>
      </c>
      <c r="BR239" s="20" cm="1">
        <f t="array" ref="BR239">SUM(_xlfn.XLOOKUP(S239:AG239,增益!$A:$A,增益!$W:$W,0))+$I$5</f>
        <v>0.11</v>
      </c>
    </row>
    <row r="240" spans="11:70">
      <c r="K240" s="27">
        <f>$L240*VLOOKUP($R240,武学奇术!$A:$ZZ,31,FALSE)</f>
        <v>7548.4239185184</v>
      </c>
      <c r="L240" s="27">
        <f t="shared" si="125"/>
        <v>12580.706530864</v>
      </c>
      <c r="M240" s="27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10312.754100781</v>
      </c>
      <c r="N240" s="27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19057.2340887552</v>
      </c>
      <c r="O240" s="27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6875.16940052069</v>
      </c>
      <c r="P240" s="27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3056.04357727305</v>
      </c>
      <c r="Q240" s="35">
        <v>1</v>
      </c>
      <c r="R240" s="36" t="s">
        <v>163</v>
      </c>
      <c r="S240" s="36" t="s">
        <v>71</v>
      </c>
      <c r="T240" s="36" t="s">
        <v>99</v>
      </c>
      <c r="U240" s="36" t="s">
        <v>100</v>
      </c>
      <c r="V240" s="36" t="s">
        <v>71</v>
      </c>
      <c r="W240" s="36" t="s">
        <v>71</v>
      </c>
      <c r="X240" s="36" t="s">
        <v>71</v>
      </c>
      <c r="Y240" s="36" t="s">
        <v>71</v>
      </c>
      <c r="Z240" s="36" t="s">
        <v>82</v>
      </c>
      <c r="AA240" s="36" t="s">
        <v>71</v>
      </c>
      <c r="AB240" s="36" t="s">
        <v>71</v>
      </c>
      <c r="AC240" s="36" t="s">
        <v>71</v>
      </c>
      <c r="AD240" s="36" t="s">
        <v>72</v>
      </c>
      <c r="AE240" s="36" t="s">
        <v>94</v>
      </c>
      <c r="AF240" s="36" t="s">
        <v>154</v>
      </c>
      <c r="AG240" s="36" t="s">
        <v>120</v>
      </c>
      <c r="AH240" t="str">
        <f>VLOOKUP($R240,武学奇术!$A:$ZZ,25,FALSE)</f>
        <v>剑</v>
      </c>
      <c r="AI240" s="20">
        <f>VLOOKUP($R240,武学奇术!$A:$ZZ,26,FALSE)</f>
        <v>0.27456</v>
      </c>
      <c r="AJ240" s="21">
        <f>VLOOKUP($R240,武学奇术!$A:$ZZ,27,FALSE)*(1+IF(OR($AH240=$F$4,$AH240=$F$5),$B$22,0))</f>
        <v>0</v>
      </c>
      <c r="AK240" s="20">
        <f>VLOOKUP($R240,武学奇术!$A:$ZZ,28,FALSE)</f>
        <v>0.41184</v>
      </c>
      <c r="AL240" s="21">
        <f>VLOOKUP($R240,武学奇术!$A:$ZZ,29,FALSE)*(1+IF(OR($AH240=$F$4,$AH240=$F$5),$B$22,0))</f>
        <v>0</v>
      </c>
      <c r="AM240" s="20" cm="1">
        <f t="array" ref="AM240">$G$3+IFERROR(VLOOKUP($AH240,$F$4:$G$7,2,FALSE),0)+VLOOKUP($R240,武学奇术!$A:$ZZ,2,FALSE)+SUM(_xlfn.XLOOKUP($S240:$AG240,增益!$A:$A,增益!$B:$B,0))</f>
        <v>1.3191</v>
      </c>
      <c r="AN240" s="20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1554.72</v>
      </c>
      <c r="AP240" cm="1">
        <f t="array" ref="AP240">$E$10*(1+$AN240)+VLOOKUP($R240,武学奇术!$A:$ZZ,4,FALSE)+SUM(_xlfn.XLOOKUP($S240:$AG240,增益!$A:$A,增益!$D:$D,0))-$I$2</f>
        <v>6665.76</v>
      </c>
      <c r="AQ240" s="29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0.4175</v>
      </c>
      <c r="AR240" s="29" cm="1">
        <f t="array" ref="AR240">$G$10+VLOOKUP($R240,武学奇术!$A:$ZZ,7,FALSE)+SUM(_xlfn.XLOOKUP(S240:AG240,增益!$A:$A,增益!$G:$G,0))</f>
        <v>0</v>
      </c>
      <c r="AS240" s="20" cm="1">
        <f t="array" ref="AS240">VLOOKUP($R240,武学奇术!$A:$ZZ,8,FALSE)+SUM(_xlfn.XLOOKUP(S240:AG240,增益!$A:$A,增益!$H:$H,0))</f>
        <v>0</v>
      </c>
      <c r="AT240">
        <f t="shared" si="115"/>
        <v>538</v>
      </c>
      <c r="AU240">
        <f t="shared" si="116"/>
        <v>1011</v>
      </c>
      <c r="AV240" s="29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0.155</v>
      </c>
      <c r="AW240" s="29" cm="1">
        <f t="array" ref="AW240">$G$11+VLOOKUP($R240,武学奇术!$A:$ZZ,10,FALSE)+SUM(_xlfn.XLOOKUP(S240:AG240,增益!$A:$A,增益!$J:$J,0))</f>
        <v>0.15</v>
      </c>
      <c r="AX240">
        <f t="shared" si="117"/>
        <v>0</v>
      </c>
      <c r="AY240">
        <f t="shared" si="118"/>
        <v>0</v>
      </c>
      <c r="AZ240" s="29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-0.14</v>
      </c>
      <c r="BA240" s="29" cm="1">
        <f t="array" ref="BA240">$G$12+VLOOKUP($R240,武学奇术!$A:$ZZ,12,FALSE)+SUM(_xlfn.XLOOKUP(S240:AG240,增益!$A:$A,增益!$L:$L,0))</f>
        <v>0</v>
      </c>
      <c r="BB240">
        <f t="shared" si="119"/>
        <v>0</v>
      </c>
      <c r="BC240">
        <f t="shared" si="120"/>
        <v>0</v>
      </c>
      <c r="BD240" s="29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-0.14</v>
      </c>
      <c r="BE240" s="29" cm="1">
        <f t="array" ref="BE240">$G$13+VLOOKUP($R240,武学奇术!$A:$ZZ,14,FALSE)+SUM(_xlfn.XLOOKUP(S240:AG240,增益!$A:$A,增益!$N:$N,0))</f>
        <v>0</v>
      </c>
      <c r="BF240">
        <f t="shared" si="121"/>
        <v>0</v>
      </c>
      <c r="BG240">
        <f t="shared" si="122"/>
        <v>0</v>
      </c>
      <c r="BH240" s="29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-0.14</v>
      </c>
      <c r="BI240" s="29" cm="1">
        <f t="array" ref="BI240">$G$14+VLOOKUP($R240,武学奇术!$A:$ZZ,16,FALSE)+SUM(_xlfn.XLOOKUP(S240:AG240,增益!$A:$A,增益!$P:$P,0))</f>
        <v>0</v>
      </c>
      <c r="BJ240" s="20">
        <f>MIN(IF(VLOOKUP($R240,武学奇术!$A:$ZZ,23,FALSE)=1,100%,$B$8),100%)</f>
        <v>0.8271</v>
      </c>
      <c r="BK240" s="20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0.2249</v>
      </c>
      <c r="BL240" s="20" cm="1">
        <f t="array" ref="BL240">1+$B$13+VLOOKUP($R240,武学奇术!$A:$ZZ,18,FALSE)+SUM(_xlfn.XLOOKUP(S240:AG240,增益!$A:$A,增益!$R:$R,0))</f>
        <v>1.5</v>
      </c>
      <c r="BM240" s="20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0.4459</v>
      </c>
      <c r="BN240" s="20" cm="1">
        <f t="array" ref="BN240">1+$B$14+VLOOKUP($R240,武学奇术!$A:$ZZ,20,FALSE)+SUM(_xlfn.XLOOKUP(S240:AG240,增益!$A:$A,增益!$T:$T,0))</f>
        <v>1.782</v>
      </c>
      <c r="BO240" s="20">
        <f t="shared" si="123"/>
        <v>0.18601479</v>
      </c>
      <c r="BP240" s="20">
        <f t="shared" si="124"/>
        <v>0.27228132</v>
      </c>
      <c r="BQ240" s="20">
        <f>IF(VLOOKUP($R240,武学奇术!$A:$ZZ,22,FALSE)=1,0,(1-$BJ240))*(1-$BM240)</f>
        <v>0.09580389</v>
      </c>
      <c r="BR240" s="20" cm="1">
        <f t="array" ref="BR240">SUM(_xlfn.XLOOKUP(S240:AG240,增益!$A:$A,增益!$W:$W,0))+$I$5</f>
        <v>0.11</v>
      </c>
    </row>
    <row r="241" spans="11:70">
      <c r="K241" s="27">
        <f>$L241*VLOOKUP($R241,武学奇术!$A:$ZZ,31,FALSE)</f>
        <v>4655.87714508097</v>
      </c>
      <c r="L241" s="27">
        <f t="shared" si="125"/>
        <v>7759.79524180162</v>
      </c>
      <c r="M241" s="27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6351.98986367769</v>
      </c>
      <c r="N241" s="27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11765.8034844773</v>
      </c>
      <c r="O241" s="27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4234.65990911846</v>
      </c>
      <c r="P241" s="27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1866.73649361444</v>
      </c>
      <c r="Q241" s="35">
        <v>1</v>
      </c>
      <c r="R241" s="36" t="s">
        <v>164</v>
      </c>
      <c r="S241" s="36" t="s">
        <v>71</v>
      </c>
      <c r="T241" s="36" t="s">
        <v>99</v>
      </c>
      <c r="U241" s="36" t="s">
        <v>100</v>
      </c>
      <c r="V241" s="36" t="s">
        <v>71</v>
      </c>
      <c r="W241" s="36" t="s">
        <v>71</v>
      </c>
      <c r="X241" s="36" t="s">
        <v>71</v>
      </c>
      <c r="Y241" s="36" t="s">
        <v>71</v>
      </c>
      <c r="Z241" s="36" t="s">
        <v>71</v>
      </c>
      <c r="AA241" s="36" t="s">
        <v>71</v>
      </c>
      <c r="AB241" s="36" t="s">
        <v>71</v>
      </c>
      <c r="AC241" s="36" t="s">
        <v>71</v>
      </c>
      <c r="AD241" s="36" t="s">
        <v>72</v>
      </c>
      <c r="AE241" s="36" t="s">
        <v>94</v>
      </c>
      <c r="AF241" s="36" t="s">
        <v>154</v>
      </c>
      <c r="AG241" s="36" t="s">
        <v>120</v>
      </c>
      <c r="AH241" t="str">
        <f>VLOOKUP($R241,武学奇术!$A:$ZZ,25,FALSE)</f>
        <v>剑</v>
      </c>
      <c r="AI241" s="20">
        <f>VLOOKUP($R241,武学奇术!$A:$ZZ,26,FALSE)</f>
        <v>0.1716</v>
      </c>
      <c r="AJ241" s="21">
        <f>VLOOKUP($R241,武学奇术!$A:$ZZ,27,FALSE)*(1+IF(OR($AH241=$F$4,$AH241=$F$5),$B$22,0))</f>
        <v>0</v>
      </c>
      <c r="AK241" s="20">
        <f>VLOOKUP($R241,武学奇术!$A:$ZZ,28,FALSE)</f>
        <v>0.2574</v>
      </c>
      <c r="AL241" s="21">
        <f>VLOOKUP($R241,武学奇术!$A:$ZZ,29,FALSE)*(1+IF(OR($AH241=$F$4,$AH241=$F$5),$B$22,0))</f>
        <v>0</v>
      </c>
      <c r="AM241" s="20" cm="1">
        <f t="array" ref="AM241">$G$3+IFERROR(VLOOKUP($AH241,$F$4:$G$7,2,FALSE),0)+VLOOKUP($R241,武学奇术!$A:$ZZ,2,FALSE)+SUM(_xlfn.XLOOKUP($S241:$AG241,增益!$A:$A,增益!$B:$B,0))</f>
        <v>1.3191</v>
      </c>
      <c r="AN241" s="20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1554.72</v>
      </c>
      <c r="AP241" cm="1">
        <f t="array" ref="AP241">$E$10*(1+$AN241)+VLOOKUP($R241,武学奇术!$A:$ZZ,4,FALSE)+SUM(_xlfn.XLOOKUP($S241:$AG241,增益!$A:$A,增益!$D:$D,0))-$I$2</f>
        <v>6665.76</v>
      </c>
      <c r="AQ241" s="29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0.4175</v>
      </c>
      <c r="AR241" s="29" cm="1">
        <f t="array" ref="AR241">$G$10+VLOOKUP($R241,武学奇术!$A:$ZZ,7,FALSE)+SUM(_xlfn.XLOOKUP(S241:AG241,增益!$A:$A,增益!$G:$G,0))</f>
        <v>0</v>
      </c>
      <c r="AS241" s="20" cm="1">
        <f t="array" ref="AS241">VLOOKUP($R241,武学奇术!$A:$ZZ,8,FALSE)+SUM(_xlfn.XLOOKUP(S241:AG241,增益!$A:$A,增益!$H:$H,0))</f>
        <v>0</v>
      </c>
      <c r="AT241">
        <f t="shared" si="115"/>
        <v>538</v>
      </c>
      <c r="AU241">
        <f t="shared" si="116"/>
        <v>1011</v>
      </c>
      <c r="AV241" s="29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0.075</v>
      </c>
      <c r="AW241" s="29" cm="1">
        <f t="array" ref="AW241">$G$11+VLOOKUP($R241,武学奇术!$A:$ZZ,10,FALSE)+SUM(_xlfn.XLOOKUP(S241:AG241,增益!$A:$A,增益!$J:$J,0))</f>
        <v>0.15</v>
      </c>
      <c r="AX241">
        <f t="shared" si="117"/>
        <v>0</v>
      </c>
      <c r="AY241">
        <f t="shared" si="118"/>
        <v>0</v>
      </c>
      <c r="AZ241" s="29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29" cm="1">
        <f t="array" ref="BA241">$G$12+VLOOKUP($R241,武学奇术!$A:$ZZ,12,FALSE)+SUM(_xlfn.XLOOKUP(S241:AG241,增益!$A:$A,增益!$L:$L,0))</f>
        <v>0</v>
      </c>
      <c r="BB241">
        <f t="shared" si="119"/>
        <v>0</v>
      </c>
      <c r="BC241">
        <f t="shared" si="120"/>
        <v>0</v>
      </c>
      <c r="BD241" s="29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29" cm="1">
        <f t="array" ref="BE241">$G$13+VLOOKUP($R241,武学奇术!$A:$ZZ,14,FALSE)+SUM(_xlfn.XLOOKUP(S241:AG241,增益!$A:$A,增益!$N:$N,0))</f>
        <v>0</v>
      </c>
      <c r="BF241">
        <f t="shared" si="121"/>
        <v>0</v>
      </c>
      <c r="BG241">
        <f t="shared" si="122"/>
        <v>0</v>
      </c>
      <c r="BH241" s="29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29" cm="1">
        <f t="array" ref="BI241">$G$14+VLOOKUP($R241,武学奇术!$A:$ZZ,16,FALSE)+SUM(_xlfn.XLOOKUP(S241:AG241,增益!$A:$A,增益!$P:$P,0))</f>
        <v>0</v>
      </c>
      <c r="BJ241" s="20">
        <f>MIN(IF(VLOOKUP($R241,武学奇术!$A:$ZZ,23,FALSE)=1,100%,$B$8),100%)</f>
        <v>0.8271</v>
      </c>
      <c r="BK241" s="20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0.2249</v>
      </c>
      <c r="BL241" s="20" cm="1">
        <f t="array" ref="BL241">1+$B$13+VLOOKUP($R241,武学奇术!$A:$ZZ,18,FALSE)+SUM(_xlfn.XLOOKUP(S241:AG241,增益!$A:$A,增益!$R:$R,0))</f>
        <v>1.5</v>
      </c>
      <c r="BM241" s="20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0.4459</v>
      </c>
      <c r="BN241" s="20" cm="1">
        <f t="array" ref="BN241">1+$B$14+VLOOKUP($R241,武学奇术!$A:$ZZ,20,FALSE)+SUM(_xlfn.XLOOKUP(S241:AG241,增益!$A:$A,增益!$T:$T,0))</f>
        <v>1.782</v>
      </c>
      <c r="BO241" s="20">
        <f t="shared" si="123"/>
        <v>0.18601479</v>
      </c>
      <c r="BP241" s="20">
        <f t="shared" si="124"/>
        <v>0.27228132</v>
      </c>
      <c r="BQ241" s="20">
        <f>IF(VLOOKUP($R241,武学奇术!$A:$ZZ,22,FALSE)=1,0,(1-$BJ241))*(1-$BM241)</f>
        <v>0.09580389</v>
      </c>
      <c r="BR241" s="20" cm="1">
        <f t="array" ref="BR241">SUM(_xlfn.XLOOKUP(S241:AG241,增益!$A:$A,增益!$W:$W,0))+$I$5</f>
        <v>0.11</v>
      </c>
    </row>
    <row r="242" spans="11:70">
      <c r="K242" s="27">
        <f>$L242*VLOOKUP($R242,武学奇术!$A:$ZZ,31,FALSE)</f>
        <v>9356.08196335164</v>
      </c>
      <c r="L242" s="27">
        <f t="shared" si="125"/>
        <v>15593.4699389194</v>
      </c>
      <c r="M242" s="27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12780.8466838083</v>
      </c>
      <c r="N242" s="27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23622.9249132206</v>
      </c>
      <c r="O242" s="27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8520.56445587223</v>
      </c>
      <c r="P242" s="27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3784.71762486419</v>
      </c>
      <c r="Q242" s="35">
        <v>1</v>
      </c>
      <c r="R242" s="36" t="s">
        <v>162</v>
      </c>
      <c r="S242" s="36" t="s">
        <v>71</v>
      </c>
      <c r="T242" s="36" t="s">
        <v>99</v>
      </c>
      <c r="U242" s="36" t="s">
        <v>100</v>
      </c>
      <c r="V242" s="36" t="s">
        <v>71</v>
      </c>
      <c r="W242" s="36" t="s">
        <v>111</v>
      </c>
      <c r="X242" s="36" t="s">
        <v>71</v>
      </c>
      <c r="Y242" s="36" t="s">
        <v>71</v>
      </c>
      <c r="Z242" s="36" t="s">
        <v>71</v>
      </c>
      <c r="AA242" s="36" t="s">
        <v>71</v>
      </c>
      <c r="AB242" s="36" t="s">
        <v>71</v>
      </c>
      <c r="AC242" s="36" t="s">
        <v>71</v>
      </c>
      <c r="AD242" s="36" t="s">
        <v>72</v>
      </c>
      <c r="AE242" s="36" t="s">
        <v>94</v>
      </c>
      <c r="AF242" s="36" t="s">
        <v>154</v>
      </c>
      <c r="AG242" s="36" t="s">
        <v>120</v>
      </c>
      <c r="AH242" t="str">
        <f>VLOOKUP($R242,武学奇术!$A:$ZZ,25,FALSE)</f>
        <v>剑</v>
      </c>
      <c r="AI242" s="20">
        <f>VLOOKUP($R242,武学奇术!$A:$ZZ,26,FALSE)</f>
        <v>0.3432</v>
      </c>
      <c r="AJ242" s="21">
        <f>VLOOKUP($R242,武学奇术!$A:$ZZ,27,FALSE)*(1+IF(OR($AH242=$F$4,$AH242=$F$5),$B$22,0))</f>
        <v>0</v>
      </c>
      <c r="AK242" s="20">
        <f>VLOOKUP($R242,武学奇术!$A:$ZZ,28,FALSE)</f>
        <v>0.5148</v>
      </c>
      <c r="AL242" s="21">
        <f>VLOOKUP($R242,武学奇术!$A:$ZZ,29,FALSE)*(1+IF(OR($AH242=$F$4,$AH242=$F$5),$B$22,0))</f>
        <v>0</v>
      </c>
      <c r="AM242" s="20" cm="1">
        <f t="array" ref="AM242">$G$3+IFERROR(VLOOKUP($AH242,$F$4:$G$7,2,FALSE),0)+VLOOKUP($R242,武学奇术!$A:$ZZ,2,FALSE)+SUM(_xlfn.XLOOKUP($S242:$AG242,增益!$A:$A,增益!$B:$B,0))</f>
        <v>1.3191</v>
      </c>
      <c r="AN242" s="20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1585.72</v>
      </c>
      <c r="AP242" cm="1">
        <f t="array" ref="AP242">$E$10*(1+$AN242)+VLOOKUP($R242,武学奇术!$A:$ZZ,4,FALSE)+SUM(_xlfn.XLOOKUP($S242:$AG242,增益!$A:$A,增益!$D:$D,0))-$I$2</f>
        <v>6696.76</v>
      </c>
      <c r="AQ242" s="29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0.4175</v>
      </c>
      <c r="AR242" s="29" cm="1">
        <f t="array" ref="AR242">$G$10+VLOOKUP($R242,武学奇术!$A:$ZZ,7,FALSE)+SUM(_xlfn.XLOOKUP(S242:AG242,增益!$A:$A,增益!$G:$G,0))</f>
        <v>0</v>
      </c>
      <c r="AS242" s="20" cm="1">
        <f t="array" ref="AS242">VLOOKUP($R242,武学奇术!$A:$ZZ,8,FALSE)+SUM(_xlfn.XLOOKUP(S242:AG242,增益!$A:$A,增益!$H:$H,0))</f>
        <v>0</v>
      </c>
      <c r="AT242">
        <f t="shared" si="115"/>
        <v>538</v>
      </c>
      <c r="AU242">
        <f t="shared" si="116"/>
        <v>1011</v>
      </c>
      <c r="AV242" s="29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0.075</v>
      </c>
      <c r="AW242" s="29" cm="1">
        <f t="array" ref="AW242">$G$11+VLOOKUP($R242,武学奇术!$A:$ZZ,10,FALSE)+SUM(_xlfn.XLOOKUP(S242:AG242,增益!$A:$A,增益!$J:$J,0))</f>
        <v>0.15</v>
      </c>
      <c r="AX242">
        <f t="shared" si="117"/>
        <v>0</v>
      </c>
      <c r="AY242">
        <f t="shared" si="118"/>
        <v>0</v>
      </c>
      <c r="AZ242" s="29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29" cm="1">
        <f t="array" ref="BA242">$G$12+VLOOKUP($R242,武学奇术!$A:$ZZ,12,FALSE)+SUM(_xlfn.XLOOKUP(S242:AG242,增益!$A:$A,增益!$L:$L,0))</f>
        <v>0</v>
      </c>
      <c r="BB242">
        <f t="shared" si="119"/>
        <v>0</v>
      </c>
      <c r="BC242">
        <f t="shared" si="120"/>
        <v>0</v>
      </c>
      <c r="BD242" s="29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29" cm="1">
        <f t="array" ref="BE242">$G$13+VLOOKUP($R242,武学奇术!$A:$ZZ,14,FALSE)+SUM(_xlfn.XLOOKUP(S242:AG242,增益!$A:$A,增益!$N:$N,0))</f>
        <v>0</v>
      </c>
      <c r="BF242">
        <f t="shared" si="121"/>
        <v>0</v>
      </c>
      <c r="BG242">
        <f t="shared" si="122"/>
        <v>0</v>
      </c>
      <c r="BH242" s="29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29" cm="1">
        <f t="array" ref="BI242">$G$14+VLOOKUP($R242,武学奇术!$A:$ZZ,16,FALSE)+SUM(_xlfn.XLOOKUP(S242:AG242,增益!$A:$A,增益!$P:$P,0))</f>
        <v>0</v>
      </c>
      <c r="BJ242" s="20">
        <f>MIN(IF(VLOOKUP($R242,武学奇术!$A:$ZZ,23,FALSE)=1,100%,$B$8),100%)</f>
        <v>0.8271</v>
      </c>
      <c r="BK242" s="20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0.2249</v>
      </c>
      <c r="BL242" s="20" cm="1">
        <f t="array" ref="BL242">1+$B$13+VLOOKUP($R242,武学奇术!$A:$ZZ,18,FALSE)+SUM(_xlfn.XLOOKUP(S242:AG242,增益!$A:$A,增益!$R:$R,0))</f>
        <v>1.5</v>
      </c>
      <c r="BM242" s="20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0.4459</v>
      </c>
      <c r="BN242" s="20" cm="1">
        <f t="array" ref="BN242">1+$B$14+VLOOKUP($R242,武学奇术!$A:$ZZ,20,FALSE)+SUM(_xlfn.XLOOKUP(S242:AG242,增益!$A:$A,增益!$T:$T,0))</f>
        <v>1.782</v>
      </c>
      <c r="BO242" s="20">
        <f t="shared" si="123"/>
        <v>0.18601479</v>
      </c>
      <c r="BP242" s="20">
        <f t="shared" si="124"/>
        <v>0.27228132</v>
      </c>
      <c r="BQ242" s="20">
        <f>IF(VLOOKUP($R242,武学奇术!$A:$ZZ,22,FALSE)=1,0,(1-$BJ242))*(1-$BM242)</f>
        <v>0.09580389</v>
      </c>
      <c r="BR242" s="20" cm="1">
        <f t="array" ref="BR242">SUM(_xlfn.XLOOKUP(S242:AG242,增益!$A:$A,增益!$W:$W,0))+$I$5</f>
        <v>0.11</v>
      </c>
    </row>
    <row r="243" spans="11:70">
      <c r="K243" s="27">
        <f>$L243*VLOOKUP($R243,武学奇术!$A:$ZZ,31,FALSE)</f>
        <v>4678.04098167582</v>
      </c>
      <c r="L243" s="27">
        <f t="shared" si="125"/>
        <v>7796.7349694597</v>
      </c>
      <c r="M243" s="27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6390.42334190417</v>
      </c>
      <c r="N243" s="27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11811.4624566103</v>
      </c>
      <c r="O243" s="27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4260.28222793611</v>
      </c>
      <c r="P243" s="27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1892.3588124321</v>
      </c>
      <c r="Q243" s="35">
        <v>1</v>
      </c>
      <c r="R243" s="36" t="s">
        <v>164</v>
      </c>
      <c r="S243" s="36" t="s">
        <v>71</v>
      </c>
      <c r="T243" s="36" t="s">
        <v>99</v>
      </c>
      <c r="U243" s="36" t="s">
        <v>100</v>
      </c>
      <c r="V243" s="36" t="s">
        <v>71</v>
      </c>
      <c r="W243" s="36" t="s">
        <v>111</v>
      </c>
      <c r="X243" s="36" t="s">
        <v>71</v>
      </c>
      <c r="Y243" s="36" t="s">
        <v>71</v>
      </c>
      <c r="Z243" s="36" t="s">
        <v>71</v>
      </c>
      <c r="AA243" s="36" t="s">
        <v>71</v>
      </c>
      <c r="AB243" s="36" t="s">
        <v>71</v>
      </c>
      <c r="AC243" s="36" t="s">
        <v>71</v>
      </c>
      <c r="AD243" s="36" t="s">
        <v>72</v>
      </c>
      <c r="AE243" s="36" t="s">
        <v>94</v>
      </c>
      <c r="AF243" s="36" t="s">
        <v>154</v>
      </c>
      <c r="AG243" s="36" t="s">
        <v>120</v>
      </c>
      <c r="AH243" t="str">
        <f>VLOOKUP($R243,武学奇术!$A:$ZZ,25,FALSE)</f>
        <v>剑</v>
      </c>
      <c r="AI243" s="20">
        <f>VLOOKUP($R243,武学奇术!$A:$ZZ,26,FALSE)</f>
        <v>0.1716</v>
      </c>
      <c r="AJ243" s="21">
        <f>VLOOKUP($R243,武学奇术!$A:$ZZ,27,FALSE)*(1+IF(OR($AH243=$F$4,$AH243=$F$5),$B$22,0))</f>
        <v>0</v>
      </c>
      <c r="AK243" s="20">
        <f>VLOOKUP($R243,武学奇术!$A:$ZZ,28,FALSE)</f>
        <v>0.2574</v>
      </c>
      <c r="AL243" s="21">
        <f>VLOOKUP($R243,武学奇术!$A:$ZZ,29,FALSE)*(1+IF(OR($AH243=$F$4,$AH243=$F$5),$B$22,0))</f>
        <v>0</v>
      </c>
      <c r="AM243" s="20" cm="1">
        <f t="array" ref="AM243">$G$3+IFERROR(VLOOKUP($AH243,$F$4:$G$7,2,FALSE),0)+VLOOKUP($R243,武学奇术!$A:$ZZ,2,FALSE)+SUM(_xlfn.XLOOKUP($S243:$AG243,增益!$A:$A,增益!$B:$B,0))</f>
        <v>1.3191</v>
      </c>
      <c r="AN243" s="20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1585.72</v>
      </c>
      <c r="AP243" cm="1">
        <f t="array" ref="AP243">$E$10*(1+$AN243)+VLOOKUP($R243,武学奇术!$A:$ZZ,4,FALSE)+SUM(_xlfn.XLOOKUP($S243:$AG243,增益!$A:$A,增益!$D:$D,0))-$I$2</f>
        <v>6696.76</v>
      </c>
      <c r="AQ243" s="29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0.4175</v>
      </c>
      <c r="AR243" s="29" cm="1">
        <f t="array" ref="AR243">$G$10+VLOOKUP($R243,武学奇术!$A:$ZZ,7,FALSE)+SUM(_xlfn.XLOOKUP(S243:AG243,增益!$A:$A,增益!$G:$G,0))</f>
        <v>0</v>
      </c>
      <c r="AS243" s="20" cm="1">
        <f t="array" ref="AS243">VLOOKUP($R243,武学奇术!$A:$ZZ,8,FALSE)+SUM(_xlfn.XLOOKUP(S243:AG243,增益!$A:$A,增益!$H:$H,0))</f>
        <v>0</v>
      </c>
      <c r="AT243">
        <f t="shared" si="115"/>
        <v>538</v>
      </c>
      <c r="AU243">
        <f t="shared" si="116"/>
        <v>1011</v>
      </c>
      <c r="AV243" s="29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0.075</v>
      </c>
      <c r="AW243" s="29" cm="1">
        <f t="array" ref="AW243">$G$11+VLOOKUP($R243,武学奇术!$A:$ZZ,10,FALSE)+SUM(_xlfn.XLOOKUP(S243:AG243,增益!$A:$A,增益!$J:$J,0))</f>
        <v>0.15</v>
      </c>
      <c r="AX243">
        <f t="shared" si="117"/>
        <v>0</v>
      </c>
      <c r="AY243">
        <f t="shared" si="118"/>
        <v>0</v>
      </c>
      <c r="AZ243" s="29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29" cm="1">
        <f t="array" ref="BA243">$G$12+VLOOKUP($R243,武学奇术!$A:$ZZ,12,FALSE)+SUM(_xlfn.XLOOKUP(S243:AG243,增益!$A:$A,增益!$L:$L,0))</f>
        <v>0</v>
      </c>
      <c r="BB243">
        <f t="shared" si="119"/>
        <v>0</v>
      </c>
      <c r="BC243">
        <f t="shared" si="120"/>
        <v>0</v>
      </c>
      <c r="BD243" s="29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29" cm="1">
        <f t="array" ref="BE243">$G$13+VLOOKUP($R243,武学奇术!$A:$ZZ,14,FALSE)+SUM(_xlfn.XLOOKUP(S243:AG243,增益!$A:$A,增益!$N:$N,0))</f>
        <v>0</v>
      </c>
      <c r="BF243">
        <f t="shared" si="121"/>
        <v>0</v>
      </c>
      <c r="BG243">
        <f t="shared" si="122"/>
        <v>0</v>
      </c>
      <c r="BH243" s="29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29" cm="1">
        <f t="array" ref="BI243">$G$14+VLOOKUP($R243,武学奇术!$A:$ZZ,16,FALSE)+SUM(_xlfn.XLOOKUP(S243:AG243,增益!$A:$A,增益!$P:$P,0))</f>
        <v>0</v>
      </c>
      <c r="BJ243" s="20">
        <f>MIN(IF(VLOOKUP($R243,武学奇术!$A:$ZZ,23,FALSE)=1,100%,$B$8),100%)</f>
        <v>0.8271</v>
      </c>
      <c r="BK243" s="20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0.2249</v>
      </c>
      <c r="BL243" s="20" cm="1">
        <f t="array" ref="BL243">1+$B$13+VLOOKUP($R243,武学奇术!$A:$ZZ,18,FALSE)+SUM(_xlfn.XLOOKUP(S243:AG243,增益!$A:$A,增益!$R:$R,0))</f>
        <v>1.5</v>
      </c>
      <c r="BM243" s="20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0.4459</v>
      </c>
      <c r="BN243" s="20" cm="1">
        <f t="array" ref="BN243">1+$B$14+VLOOKUP($R243,武学奇术!$A:$ZZ,20,FALSE)+SUM(_xlfn.XLOOKUP(S243:AG243,增益!$A:$A,增益!$T:$T,0))</f>
        <v>1.782</v>
      </c>
      <c r="BO243" s="20">
        <f t="shared" si="123"/>
        <v>0.18601479</v>
      </c>
      <c r="BP243" s="20">
        <f t="shared" si="124"/>
        <v>0.27228132</v>
      </c>
      <c r="BQ243" s="20">
        <f>IF(VLOOKUP($R243,武学奇术!$A:$ZZ,22,FALSE)=1,0,(1-$BJ243))*(1-$BM243)</f>
        <v>0.09580389</v>
      </c>
      <c r="BR243" s="20" cm="1">
        <f t="array" ref="BR243">SUM(_xlfn.XLOOKUP(S243:AG243,增益!$A:$A,增益!$W:$W,0))+$I$5</f>
        <v>0.11</v>
      </c>
    </row>
    <row r="244" spans="11:70">
      <c r="K244" s="27">
        <f>$L244*VLOOKUP($R244,武学奇术!$A:$ZZ,31,FALSE)</f>
        <v>9356.08196335164</v>
      </c>
      <c r="L244" s="27">
        <f t="shared" si="125"/>
        <v>15593.4699389194</v>
      </c>
      <c r="M244" s="27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12780.8466838083</v>
      </c>
      <c r="N244" s="27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23622.9249132206</v>
      </c>
      <c r="O244" s="27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8520.56445587223</v>
      </c>
      <c r="P244" s="27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3784.71762486419</v>
      </c>
      <c r="Q244" s="35">
        <v>1</v>
      </c>
      <c r="R244" s="36" t="s">
        <v>162</v>
      </c>
      <c r="S244" s="36" t="s">
        <v>71</v>
      </c>
      <c r="T244" s="36" t="s">
        <v>99</v>
      </c>
      <c r="U244" s="36" t="s">
        <v>100</v>
      </c>
      <c r="V244" s="36" t="s">
        <v>71</v>
      </c>
      <c r="W244" s="36" t="s">
        <v>111</v>
      </c>
      <c r="X244" s="36" t="s">
        <v>71</v>
      </c>
      <c r="Y244" s="36" t="s">
        <v>71</v>
      </c>
      <c r="Z244" s="36" t="s">
        <v>71</v>
      </c>
      <c r="AA244" s="36" t="s">
        <v>71</v>
      </c>
      <c r="AB244" s="36" t="s">
        <v>71</v>
      </c>
      <c r="AC244" s="36" t="s">
        <v>71</v>
      </c>
      <c r="AD244" s="36" t="s">
        <v>72</v>
      </c>
      <c r="AE244" s="36" t="s">
        <v>94</v>
      </c>
      <c r="AF244" s="36" t="s">
        <v>154</v>
      </c>
      <c r="AG244" s="36" t="s">
        <v>120</v>
      </c>
      <c r="AH244" t="str">
        <f>VLOOKUP($R244,武学奇术!$A:$ZZ,25,FALSE)</f>
        <v>剑</v>
      </c>
      <c r="AI244" s="20">
        <f>VLOOKUP($R244,武学奇术!$A:$ZZ,26,FALSE)</f>
        <v>0.3432</v>
      </c>
      <c r="AJ244" s="21">
        <f>VLOOKUP($R244,武学奇术!$A:$ZZ,27,FALSE)*(1+IF(OR($AH244=$F$4,$AH244=$F$5),$B$22,0))</f>
        <v>0</v>
      </c>
      <c r="AK244" s="20">
        <f>VLOOKUP($R244,武学奇术!$A:$ZZ,28,FALSE)</f>
        <v>0.5148</v>
      </c>
      <c r="AL244" s="21">
        <f>VLOOKUP($R244,武学奇术!$A:$ZZ,29,FALSE)*(1+IF(OR($AH244=$F$4,$AH244=$F$5),$B$22,0))</f>
        <v>0</v>
      </c>
      <c r="AM244" s="20" cm="1">
        <f t="array" ref="AM244">$G$3+IFERROR(VLOOKUP($AH244,$F$4:$G$7,2,FALSE),0)+VLOOKUP($R244,武学奇术!$A:$ZZ,2,FALSE)+SUM(_xlfn.XLOOKUP($S244:$AG244,增益!$A:$A,增益!$B:$B,0))</f>
        <v>1.3191</v>
      </c>
      <c r="AN244" s="20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1585.72</v>
      </c>
      <c r="AP244" cm="1">
        <f t="array" ref="AP244">$E$10*(1+$AN244)+VLOOKUP($R244,武学奇术!$A:$ZZ,4,FALSE)+SUM(_xlfn.XLOOKUP($S244:$AG244,增益!$A:$A,增益!$D:$D,0))-$I$2</f>
        <v>6696.76</v>
      </c>
      <c r="AQ244" s="29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0.4175</v>
      </c>
      <c r="AR244" s="29" cm="1">
        <f t="array" ref="AR244">$G$10+VLOOKUP($R244,武学奇术!$A:$ZZ,7,FALSE)+SUM(_xlfn.XLOOKUP(S244:AG244,增益!$A:$A,增益!$G:$G,0))</f>
        <v>0</v>
      </c>
      <c r="AS244" s="20" cm="1">
        <f t="array" ref="AS244">VLOOKUP($R244,武学奇术!$A:$ZZ,8,FALSE)+SUM(_xlfn.XLOOKUP(S244:AG244,增益!$A:$A,增益!$H:$H,0))</f>
        <v>0</v>
      </c>
      <c r="AT244">
        <f t="shared" si="115"/>
        <v>538</v>
      </c>
      <c r="AU244">
        <f t="shared" si="116"/>
        <v>1011</v>
      </c>
      <c r="AV244" s="29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0.075</v>
      </c>
      <c r="AW244" s="29" cm="1">
        <f t="array" ref="AW244">$G$11+VLOOKUP($R244,武学奇术!$A:$ZZ,10,FALSE)+SUM(_xlfn.XLOOKUP(S244:AG244,增益!$A:$A,增益!$J:$J,0))</f>
        <v>0.15</v>
      </c>
      <c r="AX244">
        <f t="shared" si="117"/>
        <v>0</v>
      </c>
      <c r="AY244">
        <f t="shared" si="118"/>
        <v>0</v>
      </c>
      <c r="AZ244" s="29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29" cm="1">
        <f t="array" ref="BA244">$G$12+VLOOKUP($R244,武学奇术!$A:$ZZ,12,FALSE)+SUM(_xlfn.XLOOKUP(S244:AG244,增益!$A:$A,增益!$L:$L,0))</f>
        <v>0</v>
      </c>
      <c r="BB244">
        <f t="shared" si="119"/>
        <v>0</v>
      </c>
      <c r="BC244">
        <f t="shared" si="120"/>
        <v>0</v>
      </c>
      <c r="BD244" s="29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29" cm="1">
        <f t="array" ref="BE244">$G$13+VLOOKUP($R244,武学奇术!$A:$ZZ,14,FALSE)+SUM(_xlfn.XLOOKUP(S244:AG244,增益!$A:$A,增益!$N:$N,0))</f>
        <v>0</v>
      </c>
      <c r="BF244">
        <f t="shared" si="121"/>
        <v>0</v>
      </c>
      <c r="BG244">
        <f t="shared" si="122"/>
        <v>0</v>
      </c>
      <c r="BH244" s="29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29" cm="1">
        <f t="array" ref="BI244">$G$14+VLOOKUP($R244,武学奇术!$A:$ZZ,16,FALSE)+SUM(_xlfn.XLOOKUP(S244:AG244,增益!$A:$A,增益!$P:$P,0))</f>
        <v>0</v>
      </c>
      <c r="BJ244" s="20">
        <f>MIN(IF(VLOOKUP($R244,武学奇术!$A:$ZZ,23,FALSE)=1,100%,$B$8),100%)</f>
        <v>0.8271</v>
      </c>
      <c r="BK244" s="20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0.2249</v>
      </c>
      <c r="BL244" s="20" cm="1">
        <f t="array" ref="BL244">1+$B$13+VLOOKUP($R244,武学奇术!$A:$ZZ,18,FALSE)+SUM(_xlfn.XLOOKUP(S244:AG244,增益!$A:$A,增益!$R:$R,0))</f>
        <v>1.5</v>
      </c>
      <c r="BM244" s="20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0.4459</v>
      </c>
      <c r="BN244" s="20" cm="1">
        <f t="array" ref="BN244">1+$B$14+VLOOKUP($R244,武学奇术!$A:$ZZ,20,FALSE)+SUM(_xlfn.XLOOKUP(S244:AG244,增益!$A:$A,增益!$T:$T,0))</f>
        <v>1.782</v>
      </c>
      <c r="BO244" s="20">
        <f t="shared" si="123"/>
        <v>0.18601479</v>
      </c>
      <c r="BP244" s="20">
        <f t="shared" si="124"/>
        <v>0.27228132</v>
      </c>
      <c r="BQ244" s="20">
        <f>IF(VLOOKUP($R244,武学奇术!$A:$ZZ,22,FALSE)=1,0,(1-$BJ244))*(1-$BM244)</f>
        <v>0.09580389</v>
      </c>
      <c r="BR244" s="20" cm="1">
        <f t="array" ref="BR244">SUM(_xlfn.XLOOKUP(S244:AG244,增益!$A:$A,增益!$W:$W,0))+$I$5</f>
        <v>0.11</v>
      </c>
    </row>
    <row r="245" spans="11:70">
      <c r="K245" s="27">
        <f>$L245*VLOOKUP($R245,武学奇术!$A:$ZZ,31,FALSE)</f>
        <v>4678.04098167582</v>
      </c>
      <c r="L245" s="27">
        <f t="shared" si="125"/>
        <v>7796.7349694597</v>
      </c>
      <c r="M245" s="27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6390.42334190417</v>
      </c>
      <c r="N245" s="27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11811.4624566103</v>
      </c>
      <c r="O245" s="27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4260.28222793611</v>
      </c>
      <c r="P245" s="27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1892.3588124321</v>
      </c>
      <c r="Q245" s="35">
        <v>1</v>
      </c>
      <c r="R245" s="36" t="s">
        <v>164</v>
      </c>
      <c r="S245" s="36" t="s">
        <v>71</v>
      </c>
      <c r="T245" s="36" t="s">
        <v>99</v>
      </c>
      <c r="U245" s="36" t="s">
        <v>100</v>
      </c>
      <c r="V245" s="36" t="s">
        <v>71</v>
      </c>
      <c r="W245" s="36" t="s">
        <v>111</v>
      </c>
      <c r="X245" s="36" t="s">
        <v>71</v>
      </c>
      <c r="Y245" s="36" t="s">
        <v>71</v>
      </c>
      <c r="Z245" s="36" t="s">
        <v>71</v>
      </c>
      <c r="AA245" s="36" t="s">
        <v>71</v>
      </c>
      <c r="AB245" s="36" t="s">
        <v>71</v>
      </c>
      <c r="AC245" s="36" t="s">
        <v>71</v>
      </c>
      <c r="AD245" s="36" t="s">
        <v>72</v>
      </c>
      <c r="AE245" s="36" t="s">
        <v>94</v>
      </c>
      <c r="AF245" s="36" t="s">
        <v>154</v>
      </c>
      <c r="AG245" s="36" t="s">
        <v>120</v>
      </c>
      <c r="AH245" t="str">
        <f>VLOOKUP($R245,武学奇术!$A:$ZZ,25,FALSE)</f>
        <v>剑</v>
      </c>
      <c r="AI245" s="20">
        <f>VLOOKUP($R245,武学奇术!$A:$ZZ,26,FALSE)</f>
        <v>0.1716</v>
      </c>
      <c r="AJ245" s="21">
        <f>VLOOKUP($R245,武学奇术!$A:$ZZ,27,FALSE)*(1+IF(OR($AH245=$F$4,$AH245=$F$5),$B$22,0))</f>
        <v>0</v>
      </c>
      <c r="AK245" s="20">
        <f>VLOOKUP($R245,武学奇术!$A:$ZZ,28,FALSE)</f>
        <v>0.2574</v>
      </c>
      <c r="AL245" s="21">
        <f>VLOOKUP($R245,武学奇术!$A:$ZZ,29,FALSE)*(1+IF(OR($AH245=$F$4,$AH245=$F$5),$B$22,0))</f>
        <v>0</v>
      </c>
      <c r="AM245" s="20" cm="1">
        <f t="array" ref="AM245">$G$3+IFERROR(VLOOKUP($AH245,$F$4:$G$7,2,FALSE),0)+VLOOKUP($R245,武学奇术!$A:$ZZ,2,FALSE)+SUM(_xlfn.XLOOKUP($S245:$AG245,增益!$A:$A,增益!$B:$B,0))</f>
        <v>1.3191</v>
      </c>
      <c r="AN245" s="20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1585.72</v>
      </c>
      <c r="AP245" cm="1">
        <f t="array" ref="AP245">$E$10*(1+$AN245)+VLOOKUP($R245,武学奇术!$A:$ZZ,4,FALSE)+SUM(_xlfn.XLOOKUP($S245:$AG245,增益!$A:$A,增益!$D:$D,0))-$I$2</f>
        <v>6696.76</v>
      </c>
      <c r="AQ245" s="29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0.4175</v>
      </c>
      <c r="AR245" s="29" cm="1">
        <f t="array" ref="AR245">$G$10+VLOOKUP($R245,武学奇术!$A:$ZZ,7,FALSE)+SUM(_xlfn.XLOOKUP(S245:AG245,增益!$A:$A,增益!$G:$G,0))</f>
        <v>0</v>
      </c>
      <c r="AS245" s="20" cm="1">
        <f t="array" ref="AS245">VLOOKUP($R245,武学奇术!$A:$ZZ,8,FALSE)+SUM(_xlfn.XLOOKUP(S245:AG245,增益!$A:$A,增益!$H:$H,0))</f>
        <v>0</v>
      </c>
      <c r="AT245">
        <f t="shared" si="115"/>
        <v>538</v>
      </c>
      <c r="AU245">
        <f t="shared" si="116"/>
        <v>1011</v>
      </c>
      <c r="AV245" s="29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0.075</v>
      </c>
      <c r="AW245" s="29" cm="1">
        <f t="array" ref="AW245">$G$11+VLOOKUP($R245,武学奇术!$A:$ZZ,10,FALSE)+SUM(_xlfn.XLOOKUP(S245:AG245,增益!$A:$A,增益!$J:$J,0))</f>
        <v>0.15</v>
      </c>
      <c r="AX245">
        <f t="shared" si="117"/>
        <v>0</v>
      </c>
      <c r="AY245">
        <f t="shared" si="118"/>
        <v>0</v>
      </c>
      <c r="AZ245" s="29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29" cm="1">
        <f t="array" ref="BA245">$G$12+VLOOKUP($R245,武学奇术!$A:$ZZ,12,FALSE)+SUM(_xlfn.XLOOKUP(S245:AG245,增益!$A:$A,增益!$L:$L,0))</f>
        <v>0</v>
      </c>
      <c r="BB245">
        <f t="shared" si="119"/>
        <v>0</v>
      </c>
      <c r="BC245">
        <f t="shared" si="120"/>
        <v>0</v>
      </c>
      <c r="BD245" s="29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29" cm="1">
        <f t="array" ref="BE245">$G$13+VLOOKUP($R245,武学奇术!$A:$ZZ,14,FALSE)+SUM(_xlfn.XLOOKUP(S245:AG245,增益!$A:$A,增益!$N:$N,0))</f>
        <v>0</v>
      </c>
      <c r="BF245">
        <f t="shared" si="121"/>
        <v>0</v>
      </c>
      <c r="BG245">
        <f t="shared" si="122"/>
        <v>0</v>
      </c>
      <c r="BH245" s="29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29" cm="1">
        <f t="array" ref="BI245">$G$14+VLOOKUP($R245,武学奇术!$A:$ZZ,16,FALSE)+SUM(_xlfn.XLOOKUP(S245:AG245,增益!$A:$A,增益!$P:$P,0))</f>
        <v>0</v>
      </c>
      <c r="BJ245" s="20">
        <f>MIN(IF(VLOOKUP($R245,武学奇术!$A:$ZZ,23,FALSE)=1,100%,$B$8),100%)</f>
        <v>0.8271</v>
      </c>
      <c r="BK245" s="20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0.2249</v>
      </c>
      <c r="BL245" s="20" cm="1">
        <f t="array" ref="BL245">1+$B$13+VLOOKUP($R245,武学奇术!$A:$ZZ,18,FALSE)+SUM(_xlfn.XLOOKUP(S245:AG245,增益!$A:$A,增益!$R:$R,0))</f>
        <v>1.5</v>
      </c>
      <c r="BM245" s="20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0.4459</v>
      </c>
      <c r="BN245" s="20" cm="1">
        <f t="array" ref="BN245">1+$B$14+VLOOKUP($R245,武学奇术!$A:$ZZ,20,FALSE)+SUM(_xlfn.XLOOKUP(S245:AG245,增益!$A:$A,增益!$T:$T,0))</f>
        <v>1.782</v>
      </c>
      <c r="BO245" s="20">
        <f t="shared" si="123"/>
        <v>0.18601479</v>
      </c>
      <c r="BP245" s="20">
        <f t="shared" si="124"/>
        <v>0.27228132</v>
      </c>
      <c r="BQ245" s="20">
        <f>IF(VLOOKUP($R245,武学奇术!$A:$ZZ,22,FALSE)=1,0,(1-$BJ245))*(1-$BM245)</f>
        <v>0.09580389</v>
      </c>
      <c r="BR245" s="20" cm="1">
        <f t="array" ref="BR245">SUM(_xlfn.XLOOKUP(S245:AG245,增益!$A:$A,增益!$W:$W,0))+$I$5</f>
        <v>0.11</v>
      </c>
    </row>
    <row r="246" spans="11:70">
      <c r="K246" s="27">
        <f>$L246*VLOOKUP($R246,武学奇术!$A:$ZZ,31,FALSE)</f>
        <v>5613.64917801098</v>
      </c>
      <c r="L246" s="27">
        <f t="shared" si="125"/>
        <v>9356.08196335164</v>
      </c>
      <c r="M246" s="27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7668.508010285</v>
      </c>
      <c r="N246" s="27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14173.7549479324</v>
      </c>
      <c r="O246" s="27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5112.33867352333</v>
      </c>
      <c r="P246" s="27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2270.83057491851</v>
      </c>
      <c r="Q246" s="35">
        <v>1</v>
      </c>
      <c r="R246" s="36" t="s">
        <v>165</v>
      </c>
      <c r="S246" s="36" t="s">
        <v>71</v>
      </c>
      <c r="T246" s="36" t="s">
        <v>99</v>
      </c>
      <c r="U246" s="36" t="s">
        <v>100</v>
      </c>
      <c r="V246" s="36" t="s">
        <v>71</v>
      </c>
      <c r="W246" s="36" t="s">
        <v>111</v>
      </c>
      <c r="X246" s="36" t="s">
        <v>71</v>
      </c>
      <c r="Y246" s="36" t="s">
        <v>71</v>
      </c>
      <c r="Z246" s="36" t="s">
        <v>71</v>
      </c>
      <c r="AA246" s="36" t="s">
        <v>71</v>
      </c>
      <c r="AB246" s="36" t="s">
        <v>71</v>
      </c>
      <c r="AC246" s="36" t="s">
        <v>71</v>
      </c>
      <c r="AD246" s="36" t="s">
        <v>72</v>
      </c>
      <c r="AE246" s="36" t="s">
        <v>94</v>
      </c>
      <c r="AF246" s="36" t="s">
        <v>154</v>
      </c>
      <c r="AG246" s="36" t="s">
        <v>120</v>
      </c>
      <c r="AH246" t="str">
        <f>VLOOKUP($R246,武学奇术!$A:$ZZ,25,FALSE)</f>
        <v>剑</v>
      </c>
      <c r="AI246" s="20">
        <f>VLOOKUP($R246,武学奇术!$A:$ZZ,26,FALSE)</f>
        <v>0.20592</v>
      </c>
      <c r="AJ246" s="21">
        <f>VLOOKUP($R246,武学奇术!$A:$ZZ,27,FALSE)*(1+IF(OR($AH246=$F$4,$AH246=$F$5),$B$22,0))</f>
        <v>0</v>
      </c>
      <c r="AK246" s="20">
        <f>VLOOKUP($R246,武学奇术!$A:$ZZ,28,FALSE)</f>
        <v>0.30888</v>
      </c>
      <c r="AL246" s="21">
        <f>VLOOKUP($R246,武学奇术!$A:$ZZ,29,FALSE)*(1+IF(OR($AH246=$F$4,$AH246=$F$5),$B$22,0))</f>
        <v>0</v>
      </c>
      <c r="AM246" s="20" cm="1">
        <f t="array" ref="AM246">$G$3+IFERROR(VLOOKUP($AH246,$F$4:$G$7,2,FALSE),0)+VLOOKUP($R246,武学奇术!$A:$ZZ,2,FALSE)+SUM(_xlfn.XLOOKUP($S246:$AG246,增益!$A:$A,增益!$B:$B,0))</f>
        <v>1.3191</v>
      </c>
      <c r="AN246" s="20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1585.72</v>
      </c>
      <c r="AP246" cm="1">
        <f t="array" ref="AP246">$E$10*(1+$AN246)+VLOOKUP($R246,武学奇术!$A:$ZZ,4,FALSE)+SUM(_xlfn.XLOOKUP($S246:$AG246,增益!$A:$A,增益!$D:$D,0))-$I$2</f>
        <v>6696.76</v>
      </c>
      <c r="AQ246" s="29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0.4175</v>
      </c>
      <c r="AR246" s="29" cm="1">
        <f t="array" ref="AR246">$G$10+VLOOKUP($R246,武学奇术!$A:$ZZ,7,FALSE)+SUM(_xlfn.XLOOKUP(S246:AG246,增益!$A:$A,增益!$G:$G,0))</f>
        <v>0</v>
      </c>
      <c r="AS246" s="20" cm="1">
        <f t="array" ref="AS246">VLOOKUP($R246,武学奇术!$A:$ZZ,8,FALSE)+SUM(_xlfn.XLOOKUP(S246:AG246,增益!$A:$A,增益!$H:$H,0))</f>
        <v>0</v>
      </c>
      <c r="AT246">
        <f t="shared" si="115"/>
        <v>538</v>
      </c>
      <c r="AU246">
        <f t="shared" si="116"/>
        <v>1011</v>
      </c>
      <c r="AV246" s="29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0.075</v>
      </c>
      <c r="AW246" s="29" cm="1">
        <f t="array" ref="AW246">$G$11+VLOOKUP($R246,武学奇术!$A:$ZZ,10,FALSE)+SUM(_xlfn.XLOOKUP(S246:AG246,增益!$A:$A,增益!$J:$J,0))</f>
        <v>0.15</v>
      </c>
      <c r="AX246">
        <f t="shared" si="117"/>
        <v>0</v>
      </c>
      <c r="AY246">
        <f t="shared" si="118"/>
        <v>0</v>
      </c>
      <c r="AZ246" s="29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29" cm="1">
        <f t="array" ref="BA246">$G$12+VLOOKUP($R246,武学奇术!$A:$ZZ,12,FALSE)+SUM(_xlfn.XLOOKUP(S246:AG246,增益!$A:$A,增益!$L:$L,0))</f>
        <v>0</v>
      </c>
      <c r="BB246">
        <f t="shared" si="119"/>
        <v>0</v>
      </c>
      <c r="BC246">
        <f t="shared" si="120"/>
        <v>0</v>
      </c>
      <c r="BD246" s="29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29" cm="1">
        <f t="array" ref="BE246">$G$13+VLOOKUP($R246,武学奇术!$A:$ZZ,14,FALSE)+SUM(_xlfn.XLOOKUP(S246:AG246,增益!$A:$A,增益!$N:$N,0))</f>
        <v>0</v>
      </c>
      <c r="BF246">
        <f t="shared" si="121"/>
        <v>0</v>
      </c>
      <c r="BG246">
        <f t="shared" si="122"/>
        <v>0</v>
      </c>
      <c r="BH246" s="29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29" cm="1">
        <f t="array" ref="BI246">$G$14+VLOOKUP($R246,武学奇术!$A:$ZZ,16,FALSE)+SUM(_xlfn.XLOOKUP(S246:AG246,增益!$A:$A,增益!$P:$P,0))</f>
        <v>0</v>
      </c>
      <c r="BJ246" s="20">
        <f>MIN(IF(VLOOKUP($R246,武学奇术!$A:$ZZ,23,FALSE)=1,100%,$B$8),100%)</f>
        <v>0.8271</v>
      </c>
      <c r="BK246" s="20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0.2249</v>
      </c>
      <c r="BL246" s="20" cm="1">
        <f t="array" ref="BL246">1+$B$13+VLOOKUP($R246,武学奇术!$A:$ZZ,18,FALSE)+SUM(_xlfn.XLOOKUP(S246:AG246,增益!$A:$A,增益!$R:$R,0))</f>
        <v>1.5</v>
      </c>
      <c r="BM246" s="20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0.4459</v>
      </c>
      <c r="BN246" s="20" cm="1">
        <f t="array" ref="BN246">1+$B$14+VLOOKUP($R246,武学奇术!$A:$ZZ,20,FALSE)+SUM(_xlfn.XLOOKUP(S246:AG246,增益!$A:$A,增益!$T:$T,0))</f>
        <v>1.782</v>
      </c>
      <c r="BO246" s="20">
        <f t="shared" si="123"/>
        <v>0.18601479</v>
      </c>
      <c r="BP246" s="20">
        <f t="shared" si="124"/>
        <v>0.27228132</v>
      </c>
      <c r="BQ246" s="20">
        <f>IF(VLOOKUP($R246,武学奇术!$A:$ZZ,22,FALSE)=1,0,(1-$BJ246))*(1-$BM246)</f>
        <v>0.09580389</v>
      </c>
      <c r="BR246" s="20" cm="1">
        <f t="array" ref="BR246">SUM(_xlfn.XLOOKUP(S246:AG246,增益!$A:$A,增益!$W:$W,0))+$I$5</f>
        <v>0.11</v>
      </c>
    </row>
    <row r="247" spans="11:70">
      <c r="K247" s="27">
        <f>$L247*VLOOKUP($R247,武学奇术!$A:$ZZ,31,FALSE)</f>
        <v>5687.91454280262</v>
      </c>
      <c r="L247" s="27">
        <f t="shared" si="125"/>
        <v>9479.8575713377</v>
      </c>
      <c r="M247" s="27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7780.68574945755</v>
      </c>
      <c r="N247" s="27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14347.716333126</v>
      </c>
      <c r="O247" s="27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5187.1238329717</v>
      </c>
      <c r="P247" s="27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2322.77946553597</v>
      </c>
      <c r="Q247" s="35">
        <v>1</v>
      </c>
      <c r="R247" s="36" t="s">
        <v>165</v>
      </c>
      <c r="S247" s="36" t="s">
        <v>71</v>
      </c>
      <c r="T247" s="36" t="s">
        <v>99</v>
      </c>
      <c r="U247" s="36" t="s">
        <v>100</v>
      </c>
      <c r="V247" s="36" t="s">
        <v>71</v>
      </c>
      <c r="W247" s="36" t="s">
        <v>111</v>
      </c>
      <c r="X247" s="36" t="s">
        <v>71</v>
      </c>
      <c r="Y247" s="36" t="s">
        <v>71</v>
      </c>
      <c r="Z247" s="36" t="s">
        <v>82</v>
      </c>
      <c r="AA247" s="36" t="s">
        <v>71</v>
      </c>
      <c r="AB247" s="36" t="s">
        <v>71</v>
      </c>
      <c r="AC247" s="36" t="s">
        <v>71</v>
      </c>
      <c r="AD247" s="36" t="s">
        <v>72</v>
      </c>
      <c r="AE247" s="36" t="s">
        <v>94</v>
      </c>
      <c r="AF247" s="36" t="s">
        <v>154</v>
      </c>
      <c r="AG247" s="36" t="s">
        <v>120</v>
      </c>
      <c r="AH247" t="str">
        <f>VLOOKUP($R247,武学奇术!$A:$ZZ,25,FALSE)</f>
        <v>剑</v>
      </c>
      <c r="AI247" s="20">
        <f>VLOOKUP($R247,武学奇术!$A:$ZZ,26,FALSE)</f>
        <v>0.20592</v>
      </c>
      <c r="AJ247" s="21">
        <f>VLOOKUP($R247,武学奇术!$A:$ZZ,27,FALSE)*(1+IF(OR($AH247=$F$4,$AH247=$F$5),$B$22,0))</f>
        <v>0</v>
      </c>
      <c r="AK247" s="20">
        <f>VLOOKUP($R247,武学奇术!$A:$ZZ,28,FALSE)</f>
        <v>0.30888</v>
      </c>
      <c r="AL247" s="21">
        <f>VLOOKUP($R247,武学奇术!$A:$ZZ,29,FALSE)*(1+IF(OR($AH247=$F$4,$AH247=$F$5),$B$22,0))</f>
        <v>0</v>
      </c>
      <c r="AM247" s="20" cm="1">
        <f t="array" ref="AM247">$G$3+IFERROR(VLOOKUP($AH247,$F$4:$G$7,2,FALSE),0)+VLOOKUP($R247,武学奇术!$A:$ZZ,2,FALSE)+SUM(_xlfn.XLOOKUP($S247:$AG247,增益!$A:$A,增益!$B:$B,0))</f>
        <v>1.3191</v>
      </c>
      <c r="AN247" s="20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1585.72</v>
      </c>
      <c r="AP247" cm="1">
        <f t="array" ref="AP247">$E$10*(1+$AN247)+VLOOKUP($R247,武学奇术!$A:$ZZ,4,FALSE)+SUM(_xlfn.XLOOKUP($S247:$AG247,增益!$A:$A,增益!$D:$D,0))-$I$2</f>
        <v>6696.76</v>
      </c>
      <c r="AQ247" s="29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0.4175</v>
      </c>
      <c r="AR247" s="29" cm="1">
        <f t="array" ref="AR247">$G$10+VLOOKUP($R247,武学奇术!$A:$ZZ,7,FALSE)+SUM(_xlfn.XLOOKUP(S247:AG247,增益!$A:$A,增益!$G:$G,0))</f>
        <v>0</v>
      </c>
      <c r="AS247" s="20" cm="1">
        <f t="array" ref="AS247">VLOOKUP($R247,武学奇术!$A:$ZZ,8,FALSE)+SUM(_xlfn.XLOOKUP(S247:AG247,增益!$A:$A,增益!$H:$H,0))</f>
        <v>0</v>
      </c>
      <c r="AT247">
        <f t="shared" si="115"/>
        <v>538</v>
      </c>
      <c r="AU247">
        <f t="shared" si="116"/>
        <v>1011</v>
      </c>
      <c r="AV247" s="29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0.155</v>
      </c>
      <c r="AW247" s="29" cm="1">
        <f t="array" ref="AW247">$G$11+VLOOKUP($R247,武学奇术!$A:$ZZ,10,FALSE)+SUM(_xlfn.XLOOKUP(S247:AG247,增益!$A:$A,增益!$J:$J,0))</f>
        <v>0.15</v>
      </c>
      <c r="AX247">
        <f t="shared" si="117"/>
        <v>0</v>
      </c>
      <c r="AY247">
        <f t="shared" si="118"/>
        <v>0</v>
      </c>
      <c r="AZ247" s="29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-0.14</v>
      </c>
      <c r="BA247" s="29" cm="1">
        <f t="array" ref="BA247">$G$12+VLOOKUP($R247,武学奇术!$A:$ZZ,12,FALSE)+SUM(_xlfn.XLOOKUP(S247:AG247,增益!$A:$A,增益!$L:$L,0))</f>
        <v>0</v>
      </c>
      <c r="BB247">
        <f t="shared" si="119"/>
        <v>0</v>
      </c>
      <c r="BC247">
        <f t="shared" si="120"/>
        <v>0</v>
      </c>
      <c r="BD247" s="29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-0.14</v>
      </c>
      <c r="BE247" s="29" cm="1">
        <f t="array" ref="BE247">$G$13+VLOOKUP($R247,武学奇术!$A:$ZZ,14,FALSE)+SUM(_xlfn.XLOOKUP(S247:AG247,增益!$A:$A,增益!$N:$N,0))</f>
        <v>0</v>
      </c>
      <c r="BF247">
        <f t="shared" si="121"/>
        <v>0</v>
      </c>
      <c r="BG247">
        <f t="shared" si="122"/>
        <v>0</v>
      </c>
      <c r="BH247" s="29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-0.14</v>
      </c>
      <c r="BI247" s="29" cm="1">
        <f t="array" ref="BI247">$G$14+VLOOKUP($R247,武学奇术!$A:$ZZ,16,FALSE)+SUM(_xlfn.XLOOKUP(S247:AG247,增益!$A:$A,增益!$P:$P,0))</f>
        <v>0</v>
      </c>
      <c r="BJ247" s="20">
        <f>MIN(IF(VLOOKUP($R247,武学奇术!$A:$ZZ,23,FALSE)=1,100%,$B$8),100%)</f>
        <v>0.8271</v>
      </c>
      <c r="BK247" s="20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0.2249</v>
      </c>
      <c r="BL247" s="20" cm="1">
        <f t="array" ref="BL247">1+$B$13+VLOOKUP($R247,武学奇术!$A:$ZZ,18,FALSE)+SUM(_xlfn.XLOOKUP(S247:AG247,增益!$A:$A,增益!$R:$R,0))</f>
        <v>1.5</v>
      </c>
      <c r="BM247" s="20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0.4459</v>
      </c>
      <c r="BN247" s="20" cm="1">
        <f t="array" ref="BN247">1+$B$14+VLOOKUP($R247,武学奇术!$A:$ZZ,20,FALSE)+SUM(_xlfn.XLOOKUP(S247:AG247,增益!$A:$A,增益!$T:$T,0))</f>
        <v>1.782</v>
      </c>
      <c r="BO247" s="20">
        <f t="shared" si="123"/>
        <v>0.18601479</v>
      </c>
      <c r="BP247" s="20">
        <f t="shared" si="124"/>
        <v>0.27228132</v>
      </c>
      <c r="BQ247" s="20">
        <f>IF(VLOOKUP($R247,武学奇术!$A:$ZZ,22,FALSE)=1,0,(1-$BJ247))*(1-$BM247)</f>
        <v>0.09580389</v>
      </c>
      <c r="BR247" s="20" cm="1">
        <f t="array" ref="BR247">SUM(_xlfn.XLOOKUP(S247:AG247,增益!$A:$A,增益!$W:$W,0))+$I$5</f>
        <v>0.11</v>
      </c>
    </row>
    <row r="248" spans="11:70">
      <c r="K248" s="27">
        <f>$L248*VLOOKUP($R248,武学奇术!$A:$ZZ,31,FALSE)</f>
        <v>7583.88605707016</v>
      </c>
      <c r="L248" s="27">
        <f t="shared" si="125"/>
        <v>12639.8100951169</v>
      </c>
      <c r="M248" s="27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10374.2476659434</v>
      </c>
      <c r="N248" s="27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19130.2884441681</v>
      </c>
      <c r="O248" s="27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6916.16511062893</v>
      </c>
      <c r="P248" s="27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3097.0392873813</v>
      </c>
      <c r="Q248" s="35">
        <v>1</v>
      </c>
      <c r="R248" s="36" t="s">
        <v>163</v>
      </c>
      <c r="S248" s="36" t="s">
        <v>71</v>
      </c>
      <c r="T248" s="36" t="s">
        <v>99</v>
      </c>
      <c r="U248" s="36" t="s">
        <v>100</v>
      </c>
      <c r="V248" s="36" t="s">
        <v>71</v>
      </c>
      <c r="W248" s="36" t="s">
        <v>111</v>
      </c>
      <c r="X248" s="36" t="s">
        <v>71</v>
      </c>
      <c r="Y248" s="36" t="s">
        <v>71</v>
      </c>
      <c r="Z248" s="36" t="s">
        <v>82</v>
      </c>
      <c r="AA248" s="36" t="s">
        <v>71</v>
      </c>
      <c r="AB248" s="36" t="s">
        <v>71</v>
      </c>
      <c r="AC248" s="36" t="s">
        <v>71</v>
      </c>
      <c r="AD248" s="36" t="s">
        <v>72</v>
      </c>
      <c r="AE248" s="36" t="s">
        <v>94</v>
      </c>
      <c r="AF248" s="36" t="s">
        <v>154</v>
      </c>
      <c r="AG248" s="36" t="s">
        <v>120</v>
      </c>
      <c r="AH248" t="str">
        <f>VLOOKUP($R248,武学奇术!$A:$ZZ,25,FALSE)</f>
        <v>剑</v>
      </c>
      <c r="AI248" s="20">
        <f>VLOOKUP($R248,武学奇术!$A:$ZZ,26,FALSE)</f>
        <v>0.27456</v>
      </c>
      <c r="AJ248" s="21">
        <f>VLOOKUP($R248,武学奇术!$A:$ZZ,27,FALSE)*(1+IF(OR($AH248=$F$4,$AH248=$F$5),$B$22,0))</f>
        <v>0</v>
      </c>
      <c r="AK248" s="20">
        <f>VLOOKUP($R248,武学奇术!$A:$ZZ,28,FALSE)</f>
        <v>0.41184</v>
      </c>
      <c r="AL248" s="21">
        <f>VLOOKUP($R248,武学奇术!$A:$ZZ,29,FALSE)*(1+IF(OR($AH248=$F$4,$AH248=$F$5),$B$22,0))</f>
        <v>0</v>
      </c>
      <c r="AM248" s="20" cm="1">
        <f t="array" ref="AM248">$G$3+IFERROR(VLOOKUP($AH248,$F$4:$G$7,2,FALSE),0)+VLOOKUP($R248,武学奇术!$A:$ZZ,2,FALSE)+SUM(_xlfn.XLOOKUP($S248:$AG248,增益!$A:$A,增益!$B:$B,0))</f>
        <v>1.3191</v>
      </c>
      <c r="AN248" s="20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1585.72</v>
      </c>
      <c r="AP248" cm="1">
        <f t="array" ref="AP248">$E$10*(1+$AN248)+VLOOKUP($R248,武学奇术!$A:$ZZ,4,FALSE)+SUM(_xlfn.XLOOKUP($S248:$AG248,增益!$A:$A,增益!$D:$D,0))-$I$2</f>
        <v>6696.76</v>
      </c>
      <c r="AQ248" s="29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0.4175</v>
      </c>
      <c r="AR248" s="29" cm="1">
        <f t="array" ref="AR248">$G$10+VLOOKUP($R248,武学奇术!$A:$ZZ,7,FALSE)+SUM(_xlfn.XLOOKUP(S248:AG248,增益!$A:$A,增益!$G:$G,0))</f>
        <v>0</v>
      </c>
      <c r="AS248" s="20" cm="1">
        <f t="array" ref="AS248">VLOOKUP($R248,武学奇术!$A:$ZZ,8,FALSE)+SUM(_xlfn.XLOOKUP(S248:AG248,增益!$A:$A,增益!$H:$H,0))</f>
        <v>0</v>
      </c>
      <c r="AT248">
        <f t="shared" si="115"/>
        <v>538</v>
      </c>
      <c r="AU248">
        <f t="shared" si="116"/>
        <v>1011</v>
      </c>
      <c r="AV248" s="29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0.155</v>
      </c>
      <c r="AW248" s="29" cm="1">
        <f t="array" ref="AW248">$G$11+VLOOKUP($R248,武学奇术!$A:$ZZ,10,FALSE)+SUM(_xlfn.XLOOKUP(S248:AG248,增益!$A:$A,增益!$J:$J,0))</f>
        <v>0.15</v>
      </c>
      <c r="AX248">
        <f t="shared" si="117"/>
        <v>0</v>
      </c>
      <c r="AY248">
        <f t="shared" si="118"/>
        <v>0</v>
      </c>
      <c r="AZ248" s="29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-0.14</v>
      </c>
      <c r="BA248" s="29" cm="1">
        <f t="array" ref="BA248">$G$12+VLOOKUP($R248,武学奇术!$A:$ZZ,12,FALSE)+SUM(_xlfn.XLOOKUP(S248:AG248,增益!$A:$A,增益!$L:$L,0))</f>
        <v>0</v>
      </c>
      <c r="BB248">
        <f t="shared" si="119"/>
        <v>0</v>
      </c>
      <c r="BC248">
        <f t="shared" si="120"/>
        <v>0</v>
      </c>
      <c r="BD248" s="29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-0.14</v>
      </c>
      <c r="BE248" s="29" cm="1">
        <f t="array" ref="BE248">$G$13+VLOOKUP($R248,武学奇术!$A:$ZZ,14,FALSE)+SUM(_xlfn.XLOOKUP(S248:AG248,增益!$A:$A,增益!$N:$N,0))</f>
        <v>0</v>
      </c>
      <c r="BF248">
        <f t="shared" si="121"/>
        <v>0</v>
      </c>
      <c r="BG248">
        <f t="shared" si="122"/>
        <v>0</v>
      </c>
      <c r="BH248" s="29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-0.14</v>
      </c>
      <c r="BI248" s="29" cm="1">
        <f t="array" ref="BI248">$G$14+VLOOKUP($R248,武学奇术!$A:$ZZ,16,FALSE)+SUM(_xlfn.XLOOKUP(S248:AG248,增益!$A:$A,增益!$P:$P,0))</f>
        <v>0</v>
      </c>
      <c r="BJ248" s="20">
        <f>MIN(IF(VLOOKUP($R248,武学奇术!$A:$ZZ,23,FALSE)=1,100%,$B$8),100%)</f>
        <v>0.8271</v>
      </c>
      <c r="BK248" s="20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0.2249</v>
      </c>
      <c r="BL248" s="20" cm="1">
        <f t="array" ref="BL248">1+$B$13+VLOOKUP($R248,武学奇术!$A:$ZZ,18,FALSE)+SUM(_xlfn.XLOOKUP(S248:AG248,增益!$A:$A,增益!$R:$R,0))</f>
        <v>1.5</v>
      </c>
      <c r="BM248" s="20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0.4459</v>
      </c>
      <c r="BN248" s="20" cm="1">
        <f t="array" ref="BN248">1+$B$14+VLOOKUP($R248,武学奇术!$A:$ZZ,20,FALSE)+SUM(_xlfn.XLOOKUP(S248:AG248,增益!$A:$A,增益!$T:$T,0))</f>
        <v>1.782</v>
      </c>
      <c r="BO248" s="20">
        <f t="shared" si="123"/>
        <v>0.18601479</v>
      </c>
      <c r="BP248" s="20">
        <f t="shared" si="124"/>
        <v>0.27228132</v>
      </c>
      <c r="BQ248" s="20">
        <f>IF(VLOOKUP($R248,武学奇术!$A:$ZZ,22,FALSE)=1,0,(1-$BJ248))*(1-$BM248)</f>
        <v>0.09580389</v>
      </c>
      <c r="BR248" s="20" cm="1">
        <f t="array" ref="BR248">SUM(_xlfn.XLOOKUP(S248:AG248,增益!$A:$A,增益!$W:$W,0))+$I$5</f>
        <v>0.11</v>
      </c>
    </row>
    <row r="249" spans="11:70">
      <c r="K249" s="27">
        <f>$L249*VLOOKUP($R249,武学奇术!$A:$ZZ,31,FALSE)</f>
        <v>7583.88605707016</v>
      </c>
      <c r="L249" s="27">
        <f t="shared" si="125"/>
        <v>12639.8100951169</v>
      </c>
      <c r="M249" s="27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10374.2476659434</v>
      </c>
      <c r="N249" s="27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19130.2884441681</v>
      </c>
      <c r="O249" s="27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6916.16511062893</v>
      </c>
      <c r="P249" s="27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3097.0392873813</v>
      </c>
      <c r="Q249" s="35">
        <v>1</v>
      </c>
      <c r="R249" s="36" t="s">
        <v>163</v>
      </c>
      <c r="S249" s="36" t="s">
        <v>71</v>
      </c>
      <c r="T249" s="36" t="s">
        <v>99</v>
      </c>
      <c r="U249" s="36" t="s">
        <v>100</v>
      </c>
      <c r="V249" s="36" t="s">
        <v>71</v>
      </c>
      <c r="W249" s="36" t="s">
        <v>111</v>
      </c>
      <c r="X249" s="36" t="s">
        <v>71</v>
      </c>
      <c r="Y249" s="36" t="s">
        <v>71</v>
      </c>
      <c r="Z249" s="36" t="s">
        <v>82</v>
      </c>
      <c r="AA249" s="36" t="s">
        <v>71</v>
      </c>
      <c r="AB249" s="36" t="s">
        <v>71</v>
      </c>
      <c r="AC249" s="36" t="s">
        <v>71</v>
      </c>
      <c r="AD249" s="36" t="s">
        <v>72</v>
      </c>
      <c r="AE249" s="36" t="s">
        <v>94</v>
      </c>
      <c r="AF249" s="36" t="s">
        <v>154</v>
      </c>
      <c r="AG249" s="36" t="s">
        <v>120</v>
      </c>
      <c r="AH249" t="str">
        <f>VLOOKUP($R249,武学奇术!$A:$ZZ,25,FALSE)</f>
        <v>剑</v>
      </c>
      <c r="AI249" s="20">
        <f>VLOOKUP($R249,武学奇术!$A:$ZZ,26,FALSE)</f>
        <v>0.27456</v>
      </c>
      <c r="AJ249" s="21">
        <f>VLOOKUP($R249,武学奇术!$A:$ZZ,27,FALSE)*(1+IF(OR($AH249=$F$4,$AH249=$F$5),$B$22,0))</f>
        <v>0</v>
      </c>
      <c r="AK249" s="20">
        <f>VLOOKUP($R249,武学奇术!$A:$ZZ,28,FALSE)</f>
        <v>0.41184</v>
      </c>
      <c r="AL249" s="21">
        <f>VLOOKUP($R249,武学奇术!$A:$ZZ,29,FALSE)*(1+IF(OR($AH249=$F$4,$AH249=$F$5),$B$22,0))</f>
        <v>0</v>
      </c>
      <c r="AM249" s="20" cm="1">
        <f t="array" ref="AM249">$G$3+IFERROR(VLOOKUP($AH249,$F$4:$G$7,2,FALSE),0)+VLOOKUP($R249,武学奇术!$A:$ZZ,2,FALSE)+SUM(_xlfn.XLOOKUP($S249:$AG249,增益!$A:$A,增益!$B:$B,0))</f>
        <v>1.3191</v>
      </c>
      <c r="AN249" s="20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1585.72</v>
      </c>
      <c r="AP249" cm="1">
        <f t="array" ref="AP249">$E$10*(1+$AN249)+VLOOKUP($R249,武学奇术!$A:$ZZ,4,FALSE)+SUM(_xlfn.XLOOKUP($S249:$AG249,增益!$A:$A,增益!$D:$D,0))-$I$2</f>
        <v>6696.76</v>
      </c>
      <c r="AQ249" s="29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0.4175</v>
      </c>
      <c r="AR249" s="29" cm="1">
        <f t="array" ref="AR249">$G$10+VLOOKUP($R249,武学奇术!$A:$ZZ,7,FALSE)+SUM(_xlfn.XLOOKUP(S249:AG249,增益!$A:$A,增益!$G:$G,0))</f>
        <v>0</v>
      </c>
      <c r="AS249" s="20" cm="1">
        <f t="array" ref="AS249">VLOOKUP($R249,武学奇术!$A:$ZZ,8,FALSE)+SUM(_xlfn.XLOOKUP(S249:AG249,增益!$A:$A,增益!$H:$H,0))</f>
        <v>0</v>
      </c>
      <c r="AT249">
        <f t="shared" ref="AT249:AT267" si="126">$D$11*(1+$AS249)</f>
        <v>538</v>
      </c>
      <c r="AU249">
        <f t="shared" ref="AU249:AU267" si="127">$E$11*(1+$AS249)</f>
        <v>1011</v>
      </c>
      <c r="AV249" s="29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0.155</v>
      </c>
      <c r="AW249" s="29" cm="1">
        <f t="array" ref="AW249">$G$11+VLOOKUP($R249,武学奇术!$A:$ZZ,10,FALSE)+SUM(_xlfn.XLOOKUP(S249:AG249,增益!$A:$A,增益!$J:$J,0))</f>
        <v>0.15</v>
      </c>
      <c r="AX249">
        <f t="shared" ref="AX249:AX267" si="128">$D$12*(1+$AS249)</f>
        <v>0</v>
      </c>
      <c r="AY249">
        <f t="shared" ref="AY249:AY267" si="129">$E$12*(1+$AS249)</f>
        <v>0</v>
      </c>
      <c r="AZ249" s="29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-0.14</v>
      </c>
      <c r="BA249" s="29" cm="1">
        <f t="array" ref="BA249">$G$12+VLOOKUP($R249,武学奇术!$A:$ZZ,12,FALSE)+SUM(_xlfn.XLOOKUP(S249:AG249,增益!$A:$A,增益!$L:$L,0))</f>
        <v>0</v>
      </c>
      <c r="BB249">
        <f t="shared" ref="BB249:BB267" si="130">$D$13*(1+$AS249)</f>
        <v>0</v>
      </c>
      <c r="BC249">
        <f t="shared" ref="BC249:BC267" si="131">$E$13*(1+$AS249)</f>
        <v>0</v>
      </c>
      <c r="BD249" s="29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-0.14</v>
      </c>
      <c r="BE249" s="29" cm="1">
        <f t="array" ref="BE249">$G$13+VLOOKUP($R249,武学奇术!$A:$ZZ,14,FALSE)+SUM(_xlfn.XLOOKUP(S249:AG249,增益!$A:$A,增益!$N:$N,0))</f>
        <v>0</v>
      </c>
      <c r="BF249">
        <f t="shared" ref="BF249:BF267" si="132">$D$14*(1+$AS249)</f>
        <v>0</v>
      </c>
      <c r="BG249">
        <f t="shared" ref="BG249:BG267" si="133">$E$14*(1+$AS249)</f>
        <v>0</v>
      </c>
      <c r="BH249" s="29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-0.14</v>
      </c>
      <c r="BI249" s="29" cm="1">
        <f t="array" ref="BI249">$G$14+VLOOKUP($R249,武学奇术!$A:$ZZ,16,FALSE)+SUM(_xlfn.XLOOKUP(S249:AG249,增益!$A:$A,增益!$P:$P,0))</f>
        <v>0</v>
      </c>
      <c r="BJ249" s="20">
        <f>MIN(IF(VLOOKUP($R249,武学奇术!$A:$ZZ,23,FALSE)=1,100%,$B$8),100%)</f>
        <v>0.8271</v>
      </c>
      <c r="BK249" s="20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0.2249</v>
      </c>
      <c r="BL249" s="20" cm="1">
        <f t="array" ref="BL249">1+$B$13+VLOOKUP($R249,武学奇术!$A:$ZZ,18,FALSE)+SUM(_xlfn.XLOOKUP(S249:AG249,增益!$A:$A,增益!$R:$R,0))</f>
        <v>1.5</v>
      </c>
      <c r="BM249" s="20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0.4459</v>
      </c>
      <c r="BN249" s="20" cm="1">
        <f t="array" ref="BN249">1+$B$14+VLOOKUP($R249,武学奇术!$A:$ZZ,20,FALSE)+SUM(_xlfn.XLOOKUP(S249:AG249,增益!$A:$A,增益!$T:$T,0))</f>
        <v>1.782</v>
      </c>
      <c r="BO249" s="20">
        <f t="shared" ref="BO249:BO267" si="134">MIN((1-BM249)*BJ249,BJ249*BK249)</f>
        <v>0.18601479</v>
      </c>
      <c r="BP249" s="20">
        <f t="shared" ref="BP249:BP267" si="135">1-BM249-BO249-BQ249</f>
        <v>0.27228132</v>
      </c>
      <c r="BQ249" s="20">
        <f>IF(VLOOKUP($R249,武学奇术!$A:$ZZ,22,FALSE)=1,0,(1-$BJ249))*(1-$BM249)</f>
        <v>0.09580389</v>
      </c>
      <c r="BR249" s="20" cm="1">
        <f t="array" ref="BR249">SUM(_xlfn.XLOOKUP(S249:AG249,增益!$A:$A,增益!$W:$W,0))+$I$5</f>
        <v>0.11</v>
      </c>
    </row>
    <row r="250" spans="11:70">
      <c r="K250" s="27">
        <f>$L250*VLOOKUP($R250,武学奇术!$A:$ZZ,31,FALSE)</f>
        <v>9175.51805793439</v>
      </c>
      <c r="L250" s="27">
        <f t="shared" si="125"/>
        <v>15292.5300965573</v>
      </c>
      <c r="M250" s="27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12572.5901155229</v>
      </c>
      <c r="N250" s="27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23118.5215121458</v>
      </c>
      <c r="O250" s="27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8381.72674368197</v>
      </c>
      <c r="P250" s="27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3790.09685877484</v>
      </c>
      <c r="Q250" s="35">
        <v>1</v>
      </c>
      <c r="R250" s="36" t="s">
        <v>163</v>
      </c>
      <c r="S250" s="36" t="s">
        <v>152</v>
      </c>
      <c r="T250" s="36" t="s">
        <v>99</v>
      </c>
      <c r="U250" s="36" t="s">
        <v>100</v>
      </c>
      <c r="V250" s="36" t="s">
        <v>71</v>
      </c>
      <c r="W250" s="36" t="s">
        <v>111</v>
      </c>
      <c r="X250" s="36" t="s">
        <v>158</v>
      </c>
      <c r="Y250" s="36" t="s">
        <v>153</v>
      </c>
      <c r="Z250" s="36" t="s">
        <v>82</v>
      </c>
      <c r="AA250" s="36" t="s">
        <v>71</v>
      </c>
      <c r="AB250" s="36" t="s">
        <v>71</v>
      </c>
      <c r="AC250" s="36" t="s">
        <v>71</v>
      </c>
      <c r="AD250" s="36" t="s">
        <v>72</v>
      </c>
      <c r="AE250" s="36" t="s">
        <v>94</v>
      </c>
      <c r="AF250" s="36" t="s">
        <v>154</v>
      </c>
      <c r="AG250" s="36" t="s">
        <v>120</v>
      </c>
      <c r="AH250" t="str">
        <f>VLOOKUP($R250,武学奇术!$A:$ZZ,25,FALSE)</f>
        <v>剑</v>
      </c>
      <c r="AI250" s="20">
        <f>VLOOKUP($R250,武学奇术!$A:$ZZ,26,FALSE)</f>
        <v>0.27456</v>
      </c>
      <c r="AJ250" s="21">
        <f>VLOOKUP($R250,武学奇术!$A:$ZZ,27,FALSE)*(1+IF(OR($AH250=$F$4,$AH250=$F$5),$B$22,0))</f>
        <v>0</v>
      </c>
      <c r="AK250" s="20">
        <f>VLOOKUP($R250,武学奇术!$A:$ZZ,28,FALSE)</f>
        <v>0.41184</v>
      </c>
      <c r="AL250" s="21">
        <f>VLOOKUP($R250,武学奇术!$A:$ZZ,29,FALSE)*(1+IF(OR($AH250=$F$4,$AH250=$F$5),$B$22,0))</f>
        <v>0</v>
      </c>
      <c r="AM250" s="20" cm="1">
        <f t="array" ref="AM250">$G$3+IFERROR(VLOOKUP($AH250,$F$4:$G$7,2,FALSE),0)+VLOOKUP($R250,武学奇术!$A:$ZZ,2,FALSE)+SUM(_xlfn.XLOOKUP($S250:$AG250,增益!$A:$A,增益!$B:$B,0))</f>
        <v>1.3391</v>
      </c>
      <c r="AN250" s="20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1585.72</v>
      </c>
      <c r="AP250" cm="1">
        <f t="array" ref="AP250">$E$10*(1+$AN250)+VLOOKUP($R250,武学奇术!$A:$ZZ,4,FALSE)+SUM(_xlfn.XLOOKUP($S250:$AG250,增益!$A:$A,增益!$D:$D,0))-$I$2</f>
        <v>6696.76</v>
      </c>
      <c r="AQ250" s="29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0.4175</v>
      </c>
      <c r="AR250" s="29" cm="1">
        <f t="array" ref="AR250">$G$10+VLOOKUP($R250,武学奇术!$A:$ZZ,7,FALSE)+SUM(_xlfn.XLOOKUP(S250:AG250,增益!$A:$A,增益!$G:$G,0))</f>
        <v>0</v>
      </c>
      <c r="AS250" s="20" cm="1">
        <f t="array" ref="AS250">VLOOKUP($R250,武学奇术!$A:$ZZ,8,FALSE)+SUM(_xlfn.XLOOKUP(S250:AG250,增益!$A:$A,增益!$H:$H,0))</f>
        <v>0</v>
      </c>
      <c r="AT250">
        <f t="shared" si="126"/>
        <v>538</v>
      </c>
      <c r="AU250">
        <f t="shared" si="127"/>
        <v>1011</v>
      </c>
      <c r="AV250" s="29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0.155</v>
      </c>
      <c r="AW250" s="29" cm="1">
        <f t="array" ref="AW250">$G$11+VLOOKUP($R250,武学奇术!$A:$ZZ,10,FALSE)+SUM(_xlfn.XLOOKUP(S250:AG250,增益!$A:$A,增益!$J:$J,0))</f>
        <v>0.25</v>
      </c>
      <c r="AX250">
        <f t="shared" si="128"/>
        <v>0</v>
      </c>
      <c r="AY250">
        <f t="shared" si="129"/>
        <v>0</v>
      </c>
      <c r="AZ250" s="29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-0.14</v>
      </c>
      <c r="BA250" s="29" cm="1">
        <f t="array" ref="BA250">$G$12+VLOOKUP($R250,武学奇术!$A:$ZZ,12,FALSE)+SUM(_xlfn.XLOOKUP(S250:AG250,增益!$A:$A,增益!$L:$L,0))</f>
        <v>0</v>
      </c>
      <c r="BB250">
        <f t="shared" si="130"/>
        <v>0</v>
      </c>
      <c r="BC250">
        <f t="shared" si="131"/>
        <v>0</v>
      </c>
      <c r="BD250" s="29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-0.14</v>
      </c>
      <c r="BE250" s="29" cm="1">
        <f t="array" ref="BE250">$G$13+VLOOKUP($R250,武学奇术!$A:$ZZ,14,FALSE)+SUM(_xlfn.XLOOKUP(S250:AG250,增益!$A:$A,增益!$N:$N,0))</f>
        <v>0</v>
      </c>
      <c r="BF250">
        <f t="shared" si="132"/>
        <v>0</v>
      </c>
      <c r="BG250">
        <f t="shared" si="133"/>
        <v>0</v>
      </c>
      <c r="BH250" s="29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-0.14</v>
      </c>
      <c r="BI250" s="29" cm="1">
        <f t="array" ref="BI250">$G$14+VLOOKUP($R250,武学奇术!$A:$ZZ,16,FALSE)+SUM(_xlfn.XLOOKUP(S250:AG250,增益!$A:$A,增益!$P:$P,0))</f>
        <v>0</v>
      </c>
      <c r="BJ250" s="20">
        <f>MIN(IF(VLOOKUP($R250,武学奇术!$A:$ZZ,23,FALSE)=1,100%,$B$8),100%)</f>
        <v>0.8271</v>
      </c>
      <c r="BK250" s="20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0.2249</v>
      </c>
      <c r="BL250" s="20" cm="1">
        <f t="array" ref="BL250">1+$B$13+VLOOKUP($R250,武学奇术!$A:$ZZ,18,FALSE)+SUM(_xlfn.XLOOKUP(S250:AG250,增益!$A:$A,增益!$R:$R,0))</f>
        <v>1.5</v>
      </c>
      <c r="BM250" s="20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0.4459</v>
      </c>
      <c r="BN250" s="20" cm="1">
        <f t="array" ref="BN250">1+$B$14+VLOOKUP($R250,武学奇术!$A:$ZZ,20,FALSE)+SUM(_xlfn.XLOOKUP(S250:AG250,增益!$A:$A,增益!$T:$T,0))</f>
        <v>1.782</v>
      </c>
      <c r="BO250" s="20">
        <f t="shared" si="134"/>
        <v>0.18601479</v>
      </c>
      <c r="BP250" s="20">
        <f t="shared" si="135"/>
        <v>0.27228132</v>
      </c>
      <c r="BQ250" s="20">
        <f>IF(VLOOKUP($R250,武学奇术!$A:$ZZ,22,FALSE)=1,0,(1-$BJ250))*(1-$BM250)</f>
        <v>0.09580389</v>
      </c>
      <c r="BR250" s="20" cm="1">
        <f t="array" ref="BR250">SUM(_xlfn.XLOOKUP(S250:AG250,增益!$A:$A,增益!$W:$W,0))+$I$5</f>
        <v>0.31</v>
      </c>
    </row>
    <row r="251" spans="11:70">
      <c r="K251" s="27">
        <f>$L251*VLOOKUP($R251,武学奇术!$A:$ZZ,31,FALSE)</f>
        <v>9175.51805793439</v>
      </c>
      <c r="L251" s="27">
        <f t="shared" si="125"/>
        <v>15292.5300965573</v>
      </c>
      <c r="M251" s="27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12572.5901155229</v>
      </c>
      <c r="N251" s="27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23118.5215121458</v>
      </c>
      <c r="O251" s="27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8381.72674368197</v>
      </c>
      <c r="P251" s="27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3790.09685877484</v>
      </c>
      <c r="Q251" s="35">
        <v>1</v>
      </c>
      <c r="R251" s="36" t="s">
        <v>163</v>
      </c>
      <c r="S251" s="36" t="s">
        <v>152</v>
      </c>
      <c r="T251" s="36" t="s">
        <v>99</v>
      </c>
      <c r="U251" s="36" t="s">
        <v>100</v>
      </c>
      <c r="V251" s="36" t="s">
        <v>71</v>
      </c>
      <c r="W251" s="36" t="s">
        <v>111</v>
      </c>
      <c r="X251" s="36" t="s">
        <v>158</v>
      </c>
      <c r="Y251" s="36" t="s">
        <v>153</v>
      </c>
      <c r="Z251" s="36" t="s">
        <v>82</v>
      </c>
      <c r="AA251" s="36" t="s">
        <v>71</v>
      </c>
      <c r="AB251" s="36" t="s">
        <v>71</v>
      </c>
      <c r="AC251" s="36" t="s">
        <v>71</v>
      </c>
      <c r="AD251" s="36" t="s">
        <v>72</v>
      </c>
      <c r="AE251" s="36" t="s">
        <v>94</v>
      </c>
      <c r="AF251" s="36" t="s">
        <v>154</v>
      </c>
      <c r="AG251" s="36" t="s">
        <v>120</v>
      </c>
      <c r="AH251" t="str">
        <f>VLOOKUP($R251,武学奇术!$A:$ZZ,25,FALSE)</f>
        <v>剑</v>
      </c>
      <c r="AI251" s="20">
        <f>VLOOKUP($R251,武学奇术!$A:$ZZ,26,FALSE)</f>
        <v>0.27456</v>
      </c>
      <c r="AJ251" s="21">
        <f>VLOOKUP($R251,武学奇术!$A:$ZZ,27,FALSE)*(1+IF(OR($AH251=$F$4,$AH251=$F$5),$B$22,0))</f>
        <v>0</v>
      </c>
      <c r="AK251" s="20">
        <f>VLOOKUP($R251,武学奇术!$A:$ZZ,28,FALSE)</f>
        <v>0.41184</v>
      </c>
      <c r="AL251" s="21">
        <f>VLOOKUP($R251,武学奇术!$A:$ZZ,29,FALSE)*(1+IF(OR($AH251=$F$4,$AH251=$F$5),$B$22,0))</f>
        <v>0</v>
      </c>
      <c r="AM251" s="20" cm="1">
        <f t="array" ref="AM251">$G$3+IFERROR(VLOOKUP($AH251,$F$4:$G$7,2,FALSE),0)+VLOOKUP($R251,武学奇术!$A:$ZZ,2,FALSE)+SUM(_xlfn.XLOOKUP($S251:$AG251,增益!$A:$A,增益!$B:$B,0))</f>
        <v>1.3391</v>
      </c>
      <c r="AN251" s="20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1585.72</v>
      </c>
      <c r="AP251" cm="1">
        <f t="array" ref="AP251">$E$10*(1+$AN251)+VLOOKUP($R251,武学奇术!$A:$ZZ,4,FALSE)+SUM(_xlfn.XLOOKUP($S251:$AG251,增益!$A:$A,增益!$D:$D,0))-$I$2</f>
        <v>6696.76</v>
      </c>
      <c r="AQ251" s="29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0.4175</v>
      </c>
      <c r="AR251" s="29" cm="1">
        <f t="array" ref="AR251">$G$10+VLOOKUP($R251,武学奇术!$A:$ZZ,7,FALSE)+SUM(_xlfn.XLOOKUP(S251:AG251,增益!$A:$A,增益!$G:$G,0))</f>
        <v>0</v>
      </c>
      <c r="AS251" s="20" cm="1">
        <f t="array" ref="AS251">VLOOKUP($R251,武学奇术!$A:$ZZ,8,FALSE)+SUM(_xlfn.XLOOKUP(S251:AG251,增益!$A:$A,增益!$H:$H,0))</f>
        <v>0</v>
      </c>
      <c r="AT251">
        <f t="shared" si="126"/>
        <v>538</v>
      </c>
      <c r="AU251">
        <f t="shared" si="127"/>
        <v>1011</v>
      </c>
      <c r="AV251" s="29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0.155</v>
      </c>
      <c r="AW251" s="29" cm="1">
        <f t="array" ref="AW251">$G$11+VLOOKUP($R251,武学奇术!$A:$ZZ,10,FALSE)+SUM(_xlfn.XLOOKUP(S251:AG251,增益!$A:$A,增益!$J:$J,0))</f>
        <v>0.25</v>
      </c>
      <c r="AX251">
        <f t="shared" si="128"/>
        <v>0</v>
      </c>
      <c r="AY251">
        <f t="shared" si="129"/>
        <v>0</v>
      </c>
      <c r="AZ251" s="29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-0.14</v>
      </c>
      <c r="BA251" s="29" cm="1">
        <f t="array" ref="BA251">$G$12+VLOOKUP($R251,武学奇术!$A:$ZZ,12,FALSE)+SUM(_xlfn.XLOOKUP(S251:AG251,增益!$A:$A,增益!$L:$L,0))</f>
        <v>0</v>
      </c>
      <c r="BB251">
        <f t="shared" si="130"/>
        <v>0</v>
      </c>
      <c r="BC251">
        <f t="shared" si="131"/>
        <v>0</v>
      </c>
      <c r="BD251" s="29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-0.14</v>
      </c>
      <c r="BE251" s="29" cm="1">
        <f t="array" ref="BE251">$G$13+VLOOKUP($R251,武学奇术!$A:$ZZ,14,FALSE)+SUM(_xlfn.XLOOKUP(S251:AG251,增益!$A:$A,增益!$N:$N,0))</f>
        <v>0</v>
      </c>
      <c r="BF251">
        <f t="shared" si="132"/>
        <v>0</v>
      </c>
      <c r="BG251">
        <f t="shared" si="133"/>
        <v>0</v>
      </c>
      <c r="BH251" s="29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-0.14</v>
      </c>
      <c r="BI251" s="29" cm="1">
        <f t="array" ref="BI251">$G$14+VLOOKUP($R251,武学奇术!$A:$ZZ,16,FALSE)+SUM(_xlfn.XLOOKUP(S251:AG251,增益!$A:$A,增益!$P:$P,0))</f>
        <v>0</v>
      </c>
      <c r="BJ251" s="20">
        <f>MIN(IF(VLOOKUP($R251,武学奇术!$A:$ZZ,23,FALSE)=1,100%,$B$8),100%)</f>
        <v>0.8271</v>
      </c>
      <c r="BK251" s="20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0.2249</v>
      </c>
      <c r="BL251" s="20" cm="1">
        <f t="array" ref="BL251">1+$B$13+VLOOKUP($R251,武学奇术!$A:$ZZ,18,FALSE)+SUM(_xlfn.XLOOKUP(S251:AG251,增益!$A:$A,增益!$R:$R,0))</f>
        <v>1.5</v>
      </c>
      <c r="BM251" s="20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0.4459</v>
      </c>
      <c r="BN251" s="20" cm="1">
        <f t="array" ref="BN251">1+$B$14+VLOOKUP($R251,武学奇术!$A:$ZZ,20,FALSE)+SUM(_xlfn.XLOOKUP(S251:AG251,增益!$A:$A,增益!$T:$T,0))</f>
        <v>1.782</v>
      </c>
      <c r="BO251" s="20">
        <f t="shared" si="134"/>
        <v>0.18601479</v>
      </c>
      <c r="BP251" s="20">
        <f t="shared" si="135"/>
        <v>0.27228132</v>
      </c>
      <c r="BQ251" s="20">
        <f>IF(VLOOKUP($R251,武学奇术!$A:$ZZ,22,FALSE)=1,0,(1-$BJ251))*(1-$BM251)</f>
        <v>0.09580389</v>
      </c>
      <c r="BR251" s="20" cm="1">
        <f t="array" ref="BR251">SUM(_xlfn.XLOOKUP(S251:AG251,增益!$A:$A,增益!$W:$W,0))+$I$5</f>
        <v>0.31</v>
      </c>
    </row>
    <row r="252" spans="11:70">
      <c r="K252" s="27">
        <f>$L252*VLOOKUP($R252,武学奇术!$A:$ZZ,31,FALSE)</f>
        <v>5708.3158838892</v>
      </c>
      <c r="L252" s="27">
        <f t="shared" si="125"/>
        <v>9513.859806482</v>
      </c>
      <c r="M252" s="27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7812.11922025365</v>
      </c>
      <c r="N252" s="27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14394.7254179767</v>
      </c>
      <c r="O252" s="27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5208.0794801691</v>
      </c>
      <c r="P252" s="27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2338.31080210215</v>
      </c>
      <c r="Q252" s="35">
        <v>1</v>
      </c>
      <c r="R252" s="36" t="s">
        <v>164</v>
      </c>
      <c r="S252" s="36" t="s">
        <v>152</v>
      </c>
      <c r="T252" s="36" t="s">
        <v>99</v>
      </c>
      <c r="U252" s="36" t="s">
        <v>100</v>
      </c>
      <c r="V252" s="36" t="s">
        <v>71</v>
      </c>
      <c r="W252" s="36" t="s">
        <v>71</v>
      </c>
      <c r="X252" s="36" t="s">
        <v>158</v>
      </c>
      <c r="Y252" s="36" t="s">
        <v>153</v>
      </c>
      <c r="Z252" s="36" t="s">
        <v>82</v>
      </c>
      <c r="AA252" s="36" t="s">
        <v>71</v>
      </c>
      <c r="AB252" s="36" t="s">
        <v>71</v>
      </c>
      <c r="AC252" s="36" t="s">
        <v>71</v>
      </c>
      <c r="AD252" s="36" t="s">
        <v>72</v>
      </c>
      <c r="AE252" s="36" t="s">
        <v>94</v>
      </c>
      <c r="AF252" s="36" t="s">
        <v>154</v>
      </c>
      <c r="AG252" s="36" t="s">
        <v>120</v>
      </c>
      <c r="AH252" t="str">
        <f>VLOOKUP($R252,武学奇术!$A:$ZZ,25,FALSE)</f>
        <v>剑</v>
      </c>
      <c r="AI252" s="20">
        <f>VLOOKUP($R252,武学奇术!$A:$ZZ,26,FALSE)</f>
        <v>0.1716</v>
      </c>
      <c r="AJ252" s="21">
        <f>VLOOKUP($R252,武学奇术!$A:$ZZ,27,FALSE)*(1+IF(OR($AH252=$F$4,$AH252=$F$5),$B$22,0))</f>
        <v>0</v>
      </c>
      <c r="AK252" s="20">
        <f>VLOOKUP($R252,武学奇术!$A:$ZZ,28,FALSE)</f>
        <v>0.2574</v>
      </c>
      <c r="AL252" s="21">
        <f>VLOOKUP($R252,武学奇术!$A:$ZZ,29,FALSE)*(1+IF(OR($AH252=$F$4,$AH252=$F$5),$B$22,0))</f>
        <v>0</v>
      </c>
      <c r="AM252" s="20" cm="1">
        <f t="array" ref="AM252">$G$3+IFERROR(VLOOKUP($AH252,$F$4:$G$7,2,FALSE),0)+VLOOKUP($R252,武学奇术!$A:$ZZ,2,FALSE)+SUM(_xlfn.XLOOKUP($S252:$AG252,增益!$A:$A,增益!$B:$B,0))</f>
        <v>1.3391</v>
      </c>
      <c r="AN252" s="20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1554.72</v>
      </c>
      <c r="AP252" cm="1">
        <f t="array" ref="AP252">$E$10*(1+$AN252)+VLOOKUP($R252,武学奇术!$A:$ZZ,4,FALSE)+SUM(_xlfn.XLOOKUP($S252:$AG252,增益!$A:$A,增益!$D:$D,0))-$I$2</f>
        <v>6665.76</v>
      </c>
      <c r="AQ252" s="29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0.4175</v>
      </c>
      <c r="AR252" s="29" cm="1">
        <f t="array" ref="AR252">$G$10+VLOOKUP($R252,武学奇术!$A:$ZZ,7,FALSE)+SUM(_xlfn.XLOOKUP(S252:AG252,增益!$A:$A,增益!$G:$G,0))</f>
        <v>0</v>
      </c>
      <c r="AS252" s="20" cm="1">
        <f t="array" ref="AS252">VLOOKUP($R252,武学奇术!$A:$ZZ,8,FALSE)+SUM(_xlfn.XLOOKUP(S252:AG252,增益!$A:$A,增益!$H:$H,0))</f>
        <v>0</v>
      </c>
      <c r="AT252">
        <f t="shared" si="126"/>
        <v>538</v>
      </c>
      <c r="AU252">
        <f t="shared" si="127"/>
        <v>1011</v>
      </c>
      <c r="AV252" s="29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0.155</v>
      </c>
      <c r="AW252" s="29" cm="1">
        <f t="array" ref="AW252">$G$11+VLOOKUP($R252,武学奇术!$A:$ZZ,10,FALSE)+SUM(_xlfn.XLOOKUP(S252:AG252,增益!$A:$A,增益!$J:$J,0))</f>
        <v>0.25</v>
      </c>
      <c r="AX252">
        <f t="shared" si="128"/>
        <v>0</v>
      </c>
      <c r="AY252">
        <f t="shared" si="129"/>
        <v>0</v>
      </c>
      <c r="AZ252" s="29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-0.14</v>
      </c>
      <c r="BA252" s="29" cm="1">
        <f t="array" ref="BA252">$G$12+VLOOKUP($R252,武学奇术!$A:$ZZ,12,FALSE)+SUM(_xlfn.XLOOKUP(S252:AG252,增益!$A:$A,增益!$L:$L,0))</f>
        <v>0</v>
      </c>
      <c r="BB252">
        <f t="shared" si="130"/>
        <v>0</v>
      </c>
      <c r="BC252">
        <f t="shared" si="131"/>
        <v>0</v>
      </c>
      <c r="BD252" s="29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-0.14</v>
      </c>
      <c r="BE252" s="29" cm="1">
        <f t="array" ref="BE252">$G$13+VLOOKUP($R252,武学奇术!$A:$ZZ,14,FALSE)+SUM(_xlfn.XLOOKUP(S252:AG252,增益!$A:$A,增益!$N:$N,0))</f>
        <v>0</v>
      </c>
      <c r="BF252">
        <f t="shared" si="132"/>
        <v>0</v>
      </c>
      <c r="BG252">
        <f t="shared" si="133"/>
        <v>0</v>
      </c>
      <c r="BH252" s="29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-0.14</v>
      </c>
      <c r="BI252" s="29" cm="1">
        <f t="array" ref="BI252">$G$14+VLOOKUP($R252,武学奇术!$A:$ZZ,16,FALSE)+SUM(_xlfn.XLOOKUP(S252:AG252,增益!$A:$A,增益!$P:$P,0))</f>
        <v>0</v>
      </c>
      <c r="BJ252" s="20">
        <f>MIN(IF(VLOOKUP($R252,武学奇术!$A:$ZZ,23,FALSE)=1,100%,$B$8),100%)</f>
        <v>0.8271</v>
      </c>
      <c r="BK252" s="20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0.2249</v>
      </c>
      <c r="BL252" s="20" cm="1">
        <f t="array" ref="BL252">1+$B$13+VLOOKUP($R252,武学奇术!$A:$ZZ,18,FALSE)+SUM(_xlfn.XLOOKUP(S252:AG252,增益!$A:$A,增益!$R:$R,0))</f>
        <v>1.5</v>
      </c>
      <c r="BM252" s="20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0.4459</v>
      </c>
      <c r="BN252" s="20" cm="1">
        <f t="array" ref="BN252">1+$B$14+VLOOKUP($R252,武学奇术!$A:$ZZ,20,FALSE)+SUM(_xlfn.XLOOKUP(S252:AG252,增益!$A:$A,增益!$T:$T,0))</f>
        <v>1.782</v>
      </c>
      <c r="BO252" s="20">
        <f t="shared" si="134"/>
        <v>0.18601479</v>
      </c>
      <c r="BP252" s="20">
        <f t="shared" si="135"/>
        <v>0.27228132</v>
      </c>
      <c r="BQ252" s="20">
        <f>IF(VLOOKUP($R252,武学奇术!$A:$ZZ,22,FALSE)=1,0,(1-$BJ252))*(1-$BM252)</f>
        <v>0.09580389</v>
      </c>
      <c r="BR252" s="20" cm="1">
        <f t="array" ref="BR252">SUM(_xlfn.XLOOKUP(S252:AG252,增益!$A:$A,增益!$W:$W,0))+$I$5</f>
        <v>0.31</v>
      </c>
    </row>
    <row r="253" spans="11:70">
      <c r="K253" s="27">
        <f>$L253*VLOOKUP($R253,武学奇术!$A:$ZZ,31,FALSE)</f>
        <v>11469.397572418</v>
      </c>
      <c r="L253" s="27">
        <f t="shared" si="125"/>
        <v>19115.6626206966</v>
      </c>
      <c r="M253" s="27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15715.7376444037</v>
      </c>
      <c r="N253" s="27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28898.1518901822</v>
      </c>
      <c r="O253" s="27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10477.1584296025</v>
      </c>
      <c r="P253" s="27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4737.62107346855</v>
      </c>
      <c r="Q253" s="35">
        <v>1</v>
      </c>
      <c r="R253" s="36" t="s">
        <v>162</v>
      </c>
      <c r="S253" s="36" t="s">
        <v>152</v>
      </c>
      <c r="T253" s="36" t="s">
        <v>99</v>
      </c>
      <c r="U253" s="36" t="s">
        <v>100</v>
      </c>
      <c r="V253" s="36" t="s">
        <v>71</v>
      </c>
      <c r="W253" s="36" t="s">
        <v>111</v>
      </c>
      <c r="X253" s="36" t="s">
        <v>158</v>
      </c>
      <c r="Y253" s="36" t="s">
        <v>153</v>
      </c>
      <c r="Z253" s="36" t="s">
        <v>82</v>
      </c>
      <c r="AA253" s="36" t="s">
        <v>71</v>
      </c>
      <c r="AB253" s="36" t="s">
        <v>71</v>
      </c>
      <c r="AC253" s="36" t="s">
        <v>71</v>
      </c>
      <c r="AD253" s="36" t="s">
        <v>72</v>
      </c>
      <c r="AE253" s="36" t="s">
        <v>94</v>
      </c>
      <c r="AF253" s="36" t="s">
        <v>154</v>
      </c>
      <c r="AG253" s="36" t="s">
        <v>120</v>
      </c>
      <c r="AH253" t="str">
        <f>VLOOKUP($R253,武学奇术!$A:$ZZ,25,FALSE)</f>
        <v>剑</v>
      </c>
      <c r="AI253" s="20">
        <f>VLOOKUP($R253,武学奇术!$A:$ZZ,26,FALSE)</f>
        <v>0.3432</v>
      </c>
      <c r="AJ253" s="21">
        <f>VLOOKUP($R253,武学奇术!$A:$ZZ,27,FALSE)*(1+IF(OR($AH253=$F$4,$AH253=$F$5),$B$22,0))</f>
        <v>0</v>
      </c>
      <c r="AK253" s="20">
        <f>VLOOKUP($R253,武学奇术!$A:$ZZ,28,FALSE)</f>
        <v>0.5148</v>
      </c>
      <c r="AL253" s="21">
        <f>VLOOKUP($R253,武学奇术!$A:$ZZ,29,FALSE)*(1+IF(OR($AH253=$F$4,$AH253=$F$5),$B$22,0))</f>
        <v>0</v>
      </c>
      <c r="AM253" s="20" cm="1">
        <f t="array" ref="AM253">$G$3+IFERROR(VLOOKUP($AH253,$F$4:$G$7,2,FALSE),0)+VLOOKUP($R253,武学奇术!$A:$ZZ,2,FALSE)+SUM(_xlfn.XLOOKUP($S253:$AG253,增益!$A:$A,增益!$B:$B,0))</f>
        <v>1.3391</v>
      </c>
      <c r="AN253" s="20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1585.72</v>
      </c>
      <c r="AP253" cm="1">
        <f t="array" ref="AP253">$E$10*(1+$AN253)+VLOOKUP($R253,武学奇术!$A:$ZZ,4,FALSE)+SUM(_xlfn.XLOOKUP($S253:$AG253,增益!$A:$A,增益!$D:$D,0))-$I$2</f>
        <v>6696.76</v>
      </c>
      <c r="AQ253" s="29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0.4175</v>
      </c>
      <c r="AR253" s="29" cm="1">
        <f t="array" ref="AR253">$G$10+VLOOKUP($R253,武学奇术!$A:$ZZ,7,FALSE)+SUM(_xlfn.XLOOKUP(S253:AG253,增益!$A:$A,增益!$G:$G,0))</f>
        <v>0</v>
      </c>
      <c r="AS253" s="20" cm="1">
        <f t="array" ref="AS253">VLOOKUP($R253,武学奇术!$A:$ZZ,8,FALSE)+SUM(_xlfn.XLOOKUP(S253:AG253,增益!$A:$A,增益!$H:$H,0))</f>
        <v>0</v>
      </c>
      <c r="AT253">
        <f t="shared" si="126"/>
        <v>538</v>
      </c>
      <c r="AU253">
        <f t="shared" si="127"/>
        <v>1011</v>
      </c>
      <c r="AV253" s="29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0.155</v>
      </c>
      <c r="AW253" s="29" cm="1">
        <f t="array" ref="AW253">$G$11+VLOOKUP($R253,武学奇术!$A:$ZZ,10,FALSE)+SUM(_xlfn.XLOOKUP(S253:AG253,增益!$A:$A,增益!$J:$J,0))</f>
        <v>0.25</v>
      </c>
      <c r="AX253">
        <f t="shared" si="128"/>
        <v>0</v>
      </c>
      <c r="AY253">
        <f t="shared" si="129"/>
        <v>0</v>
      </c>
      <c r="AZ253" s="29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-0.14</v>
      </c>
      <c r="BA253" s="29" cm="1">
        <f t="array" ref="BA253">$G$12+VLOOKUP($R253,武学奇术!$A:$ZZ,12,FALSE)+SUM(_xlfn.XLOOKUP(S253:AG253,增益!$A:$A,增益!$L:$L,0))</f>
        <v>0</v>
      </c>
      <c r="BB253">
        <f t="shared" si="130"/>
        <v>0</v>
      </c>
      <c r="BC253">
        <f t="shared" si="131"/>
        <v>0</v>
      </c>
      <c r="BD253" s="29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-0.14</v>
      </c>
      <c r="BE253" s="29" cm="1">
        <f t="array" ref="BE253">$G$13+VLOOKUP($R253,武学奇术!$A:$ZZ,14,FALSE)+SUM(_xlfn.XLOOKUP(S253:AG253,增益!$A:$A,增益!$N:$N,0))</f>
        <v>0</v>
      </c>
      <c r="BF253">
        <f t="shared" si="132"/>
        <v>0</v>
      </c>
      <c r="BG253">
        <f t="shared" si="133"/>
        <v>0</v>
      </c>
      <c r="BH253" s="29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-0.14</v>
      </c>
      <c r="BI253" s="29" cm="1">
        <f t="array" ref="BI253">$G$14+VLOOKUP($R253,武学奇术!$A:$ZZ,16,FALSE)+SUM(_xlfn.XLOOKUP(S253:AG253,增益!$A:$A,增益!$P:$P,0))</f>
        <v>0</v>
      </c>
      <c r="BJ253" s="20">
        <f>MIN(IF(VLOOKUP($R253,武学奇术!$A:$ZZ,23,FALSE)=1,100%,$B$8),100%)</f>
        <v>0.8271</v>
      </c>
      <c r="BK253" s="20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0.2249</v>
      </c>
      <c r="BL253" s="20" cm="1">
        <f t="array" ref="BL253">1+$B$13+VLOOKUP($R253,武学奇术!$A:$ZZ,18,FALSE)+SUM(_xlfn.XLOOKUP(S253:AG253,增益!$A:$A,增益!$R:$R,0))</f>
        <v>1.5</v>
      </c>
      <c r="BM253" s="20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0.4459</v>
      </c>
      <c r="BN253" s="20" cm="1">
        <f t="array" ref="BN253">1+$B$14+VLOOKUP($R253,武学奇术!$A:$ZZ,20,FALSE)+SUM(_xlfn.XLOOKUP(S253:AG253,增益!$A:$A,增益!$T:$T,0))</f>
        <v>1.782</v>
      </c>
      <c r="BO253" s="20">
        <f t="shared" si="134"/>
        <v>0.18601479</v>
      </c>
      <c r="BP253" s="20">
        <f t="shared" si="135"/>
        <v>0.27228132</v>
      </c>
      <c r="BQ253" s="20">
        <f>IF(VLOOKUP($R253,武学奇术!$A:$ZZ,22,FALSE)=1,0,(1-$BJ253))*(1-$BM253)</f>
        <v>0.09580389</v>
      </c>
      <c r="BR253" s="20" cm="1">
        <f t="array" ref="BR253">SUM(_xlfn.XLOOKUP(S253:AG253,增益!$A:$A,增益!$W:$W,0))+$I$5</f>
        <v>0.31</v>
      </c>
    </row>
    <row r="254" spans="11:70">
      <c r="K254" s="27">
        <f>$L254*VLOOKUP($R254,武学奇术!$A:$ZZ,31,FALSE)</f>
        <v>9175.51805793439</v>
      </c>
      <c r="L254" s="27">
        <f t="shared" si="125"/>
        <v>15292.5300965573</v>
      </c>
      <c r="M254" s="27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12572.5901155229</v>
      </c>
      <c r="N254" s="27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23118.5215121458</v>
      </c>
      <c r="O254" s="27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8381.72674368197</v>
      </c>
      <c r="P254" s="27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3790.09685877484</v>
      </c>
      <c r="Q254" s="35">
        <v>1</v>
      </c>
      <c r="R254" s="36" t="s">
        <v>163</v>
      </c>
      <c r="S254" s="36" t="s">
        <v>152</v>
      </c>
      <c r="T254" s="36" t="s">
        <v>99</v>
      </c>
      <c r="U254" s="36" t="s">
        <v>100</v>
      </c>
      <c r="V254" s="36" t="s">
        <v>71</v>
      </c>
      <c r="W254" s="36" t="s">
        <v>111</v>
      </c>
      <c r="X254" s="36" t="s">
        <v>158</v>
      </c>
      <c r="Y254" s="36" t="s">
        <v>153</v>
      </c>
      <c r="Z254" s="36" t="s">
        <v>82</v>
      </c>
      <c r="AA254" s="36" t="s">
        <v>71</v>
      </c>
      <c r="AB254" s="36" t="s">
        <v>71</v>
      </c>
      <c r="AC254" s="36" t="s">
        <v>71</v>
      </c>
      <c r="AD254" s="36" t="s">
        <v>72</v>
      </c>
      <c r="AE254" s="36" t="s">
        <v>94</v>
      </c>
      <c r="AF254" s="36" t="s">
        <v>154</v>
      </c>
      <c r="AG254" s="36" t="s">
        <v>120</v>
      </c>
      <c r="AH254" t="str">
        <f>VLOOKUP($R254,武学奇术!$A:$ZZ,25,FALSE)</f>
        <v>剑</v>
      </c>
      <c r="AI254" s="20">
        <f>VLOOKUP($R254,武学奇术!$A:$ZZ,26,FALSE)</f>
        <v>0.27456</v>
      </c>
      <c r="AJ254" s="21">
        <f>VLOOKUP($R254,武学奇术!$A:$ZZ,27,FALSE)*(1+IF(OR($AH254=$F$4,$AH254=$F$5),$B$22,0))</f>
        <v>0</v>
      </c>
      <c r="AK254" s="20">
        <f>VLOOKUP($R254,武学奇术!$A:$ZZ,28,FALSE)</f>
        <v>0.41184</v>
      </c>
      <c r="AL254" s="21">
        <f>VLOOKUP($R254,武学奇术!$A:$ZZ,29,FALSE)*(1+IF(OR($AH254=$F$4,$AH254=$F$5),$B$22,0))</f>
        <v>0</v>
      </c>
      <c r="AM254" s="20" cm="1">
        <f t="array" ref="AM254">$G$3+IFERROR(VLOOKUP($AH254,$F$4:$G$7,2,FALSE),0)+VLOOKUP($R254,武学奇术!$A:$ZZ,2,FALSE)+SUM(_xlfn.XLOOKUP($S254:$AG254,增益!$A:$A,增益!$B:$B,0))</f>
        <v>1.3391</v>
      </c>
      <c r="AN254" s="20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1585.72</v>
      </c>
      <c r="AP254" cm="1">
        <f t="array" ref="AP254">$E$10*(1+$AN254)+VLOOKUP($R254,武学奇术!$A:$ZZ,4,FALSE)+SUM(_xlfn.XLOOKUP($S254:$AG254,增益!$A:$A,增益!$D:$D,0))-$I$2</f>
        <v>6696.76</v>
      </c>
      <c r="AQ254" s="29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0.4175</v>
      </c>
      <c r="AR254" s="29" cm="1">
        <f t="array" ref="AR254">$G$10+VLOOKUP($R254,武学奇术!$A:$ZZ,7,FALSE)+SUM(_xlfn.XLOOKUP(S254:AG254,增益!$A:$A,增益!$G:$G,0))</f>
        <v>0</v>
      </c>
      <c r="AS254" s="20" cm="1">
        <f t="array" ref="AS254">VLOOKUP($R254,武学奇术!$A:$ZZ,8,FALSE)+SUM(_xlfn.XLOOKUP(S254:AG254,增益!$A:$A,增益!$H:$H,0))</f>
        <v>0</v>
      </c>
      <c r="AT254">
        <f t="shared" si="126"/>
        <v>538</v>
      </c>
      <c r="AU254">
        <f t="shared" si="127"/>
        <v>1011</v>
      </c>
      <c r="AV254" s="29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0.155</v>
      </c>
      <c r="AW254" s="29" cm="1">
        <f t="array" ref="AW254">$G$11+VLOOKUP($R254,武学奇术!$A:$ZZ,10,FALSE)+SUM(_xlfn.XLOOKUP(S254:AG254,增益!$A:$A,增益!$J:$J,0))</f>
        <v>0.25</v>
      </c>
      <c r="AX254">
        <f t="shared" si="128"/>
        <v>0</v>
      </c>
      <c r="AY254">
        <f t="shared" si="129"/>
        <v>0</v>
      </c>
      <c r="AZ254" s="29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-0.14</v>
      </c>
      <c r="BA254" s="29" cm="1">
        <f t="array" ref="BA254">$G$12+VLOOKUP($R254,武学奇术!$A:$ZZ,12,FALSE)+SUM(_xlfn.XLOOKUP(S254:AG254,增益!$A:$A,增益!$L:$L,0))</f>
        <v>0</v>
      </c>
      <c r="BB254">
        <f t="shared" si="130"/>
        <v>0</v>
      </c>
      <c r="BC254">
        <f t="shared" si="131"/>
        <v>0</v>
      </c>
      <c r="BD254" s="29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-0.14</v>
      </c>
      <c r="BE254" s="29" cm="1">
        <f t="array" ref="BE254">$G$13+VLOOKUP($R254,武学奇术!$A:$ZZ,14,FALSE)+SUM(_xlfn.XLOOKUP(S254:AG254,增益!$A:$A,增益!$N:$N,0))</f>
        <v>0</v>
      </c>
      <c r="BF254">
        <f t="shared" si="132"/>
        <v>0</v>
      </c>
      <c r="BG254">
        <f t="shared" si="133"/>
        <v>0</v>
      </c>
      <c r="BH254" s="29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-0.14</v>
      </c>
      <c r="BI254" s="29" cm="1">
        <f t="array" ref="BI254">$G$14+VLOOKUP($R254,武学奇术!$A:$ZZ,16,FALSE)+SUM(_xlfn.XLOOKUP(S254:AG254,增益!$A:$A,增益!$P:$P,0))</f>
        <v>0</v>
      </c>
      <c r="BJ254" s="20">
        <f>MIN(IF(VLOOKUP($R254,武学奇术!$A:$ZZ,23,FALSE)=1,100%,$B$8),100%)</f>
        <v>0.8271</v>
      </c>
      <c r="BK254" s="20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0.2249</v>
      </c>
      <c r="BL254" s="20" cm="1">
        <f t="array" ref="BL254">1+$B$13+VLOOKUP($R254,武学奇术!$A:$ZZ,18,FALSE)+SUM(_xlfn.XLOOKUP(S254:AG254,增益!$A:$A,增益!$R:$R,0))</f>
        <v>1.5</v>
      </c>
      <c r="BM254" s="20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0.4459</v>
      </c>
      <c r="BN254" s="20" cm="1">
        <f t="array" ref="BN254">1+$B$14+VLOOKUP($R254,武学奇术!$A:$ZZ,20,FALSE)+SUM(_xlfn.XLOOKUP(S254:AG254,增益!$A:$A,增益!$T:$T,0))</f>
        <v>1.782</v>
      </c>
      <c r="BO254" s="20">
        <f t="shared" si="134"/>
        <v>0.18601479</v>
      </c>
      <c r="BP254" s="20">
        <f t="shared" si="135"/>
        <v>0.27228132</v>
      </c>
      <c r="BQ254" s="20">
        <f>IF(VLOOKUP($R254,武学奇术!$A:$ZZ,22,FALSE)=1,0,(1-$BJ254))*(1-$BM254)</f>
        <v>0.09580389</v>
      </c>
      <c r="BR254" s="20" cm="1">
        <f t="array" ref="BR254">SUM(_xlfn.XLOOKUP(S254:AG254,增益!$A:$A,增益!$W:$W,0))+$I$5</f>
        <v>0.31</v>
      </c>
    </row>
    <row r="255" spans="11:70">
      <c r="K255" s="27">
        <f>$L255*VLOOKUP($R255,武学奇术!$A:$ZZ,31,FALSE)</f>
        <v>5734.69878620899</v>
      </c>
      <c r="L255" s="27">
        <f t="shared" si="125"/>
        <v>9557.83131034832</v>
      </c>
      <c r="M255" s="27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7857.86882220184</v>
      </c>
      <c r="N255" s="27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14449.0759450911</v>
      </c>
      <c r="O255" s="27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5238.57921480123</v>
      </c>
      <c r="P255" s="27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2368.81053673427</v>
      </c>
      <c r="Q255" s="35">
        <v>1</v>
      </c>
      <c r="R255" s="36" t="s">
        <v>164</v>
      </c>
      <c r="S255" s="36" t="s">
        <v>152</v>
      </c>
      <c r="T255" s="36" t="s">
        <v>99</v>
      </c>
      <c r="U255" s="36" t="s">
        <v>100</v>
      </c>
      <c r="V255" s="36" t="s">
        <v>71</v>
      </c>
      <c r="W255" s="36" t="s">
        <v>111</v>
      </c>
      <c r="X255" s="36" t="s">
        <v>158</v>
      </c>
      <c r="Y255" s="36" t="s">
        <v>153</v>
      </c>
      <c r="Z255" s="36" t="s">
        <v>82</v>
      </c>
      <c r="AA255" s="36" t="s">
        <v>71</v>
      </c>
      <c r="AB255" s="36" t="s">
        <v>71</v>
      </c>
      <c r="AC255" s="36" t="s">
        <v>71</v>
      </c>
      <c r="AD255" s="36" t="s">
        <v>72</v>
      </c>
      <c r="AE255" s="36" t="s">
        <v>94</v>
      </c>
      <c r="AF255" s="36" t="s">
        <v>154</v>
      </c>
      <c r="AG255" s="36" t="s">
        <v>120</v>
      </c>
      <c r="AH255" t="str">
        <f>VLOOKUP($R255,武学奇术!$A:$ZZ,25,FALSE)</f>
        <v>剑</v>
      </c>
      <c r="AI255" s="20">
        <f>VLOOKUP($R255,武学奇术!$A:$ZZ,26,FALSE)</f>
        <v>0.1716</v>
      </c>
      <c r="AJ255" s="21">
        <f>VLOOKUP($R255,武学奇术!$A:$ZZ,27,FALSE)*(1+IF(OR($AH255=$F$4,$AH255=$F$5),$B$22,0))</f>
        <v>0</v>
      </c>
      <c r="AK255" s="20">
        <f>VLOOKUP($R255,武学奇术!$A:$ZZ,28,FALSE)</f>
        <v>0.2574</v>
      </c>
      <c r="AL255" s="21">
        <f>VLOOKUP($R255,武学奇术!$A:$ZZ,29,FALSE)*(1+IF(OR($AH255=$F$4,$AH255=$F$5),$B$22,0))</f>
        <v>0</v>
      </c>
      <c r="AM255" s="20" cm="1">
        <f t="array" ref="AM255">$G$3+IFERROR(VLOOKUP($AH255,$F$4:$G$7,2,FALSE),0)+VLOOKUP($R255,武学奇术!$A:$ZZ,2,FALSE)+SUM(_xlfn.XLOOKUP($S255:$AG255,增益!$A:$A,增益!$B:$B,0))</f>
        <v>1.3391</v>
      </c>
      <c r="AN255" s="20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1585.72</v>
      </c>
      <c r="AP255" cm="1">
        <f t="array" ref="AP255">$E$10*(1+$AN255)+VLOOKUP($R255,武学奇术!$A:$ZZ,4,FALSE)+SUM(_xlfn.XLOOKUP($S255:$AG255,增益!$A:$A,增益!$D:$D,0))-$I$2</f>
        <v>6696.76</v>
      </c>
      <c r="AQ255" s="29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0.4175</v>
      </c>
      <c r="AR255" s="29" cm="1">
        <f t="array" ref="AR255">$G$10+VLOOKUP($R255,武学奇术!$A:$ZZ,7,FALSE)+SUM(_xlfn.XLOOKUP(S255:AG255,增益!$A:$A,增益!$G:$G,0))</f>
        <v>0</v>
      </c>
      <c r="AS255" s="20" cm="1">
        <f t="array" ref="AS255">VLOOKUP($R255,武学奇术!$A:$ZZ,8,FALSE)+SUM(_xlfn.XLOOKUP(S255:AG255,增益!$A:$A,增益!$H:$H,0))</f>
        <v>0</v>
      </c>
      <c r="AT255">
        <f t="shared" si="126"/>
        <v>538</v>
      </c>
      <c r="AU255">
        <f t="shared" si="127"/>
        <v>1011</v>
      </c>
      <c r="AV255" s="29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0.155</v>
      </c>
      <c r="AW255" s="29" cm="1">
        <f t="array" ref="AW255">$G$11+VLOOKUP($R255,武学奇术!$A:$ZZ,10,FALSE)+SUM(_xlfn.XLOOKUP(S255:AG255,增益!$A:$A,增益!$J:$J,0))</f>
        <v>0.25</v>
      </c>
      <c r="AX255">
        <f t="shared" si="128"/>
        <v>0</v>
      </c>
      <c r="AY255">
        <f t="shared" si="129"/>
        <v>0</v>
      </c>
      <c r="AZ255" s="29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-0.14</v>
      </c>
      <c r="BA255" s="29" cm="1">
        <f t="array" ref="BA255">$G$12+VLOOKUP($R255,武学奇术!$A:$ZZ,12,FALSE)+SUM(_xlfn.XLOOKUP(S255:AG255,增益!$A:$A,增益!$L:$L,0))</f>
        <v>0</v>
      </c>
      <c r="BB255">
        <f t="shared" si="130"/>
        <v>0</v>
      </c>
      <c r="BC255">
        <f t="shared" si="131"/>
        <v>0</v>
      </c>
      <c r="BD255" s="29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-0.14</v>
      </c>
      <c r="BE255" s="29" cm="1">
        <f t="array" ref="BE255">$G$13+VLOOKUP($R255,武学奇术!$A:$ZZ,14,FALSE)+SUM(_xlfn.XLOOKUP(S255:AG255,增益!$A:$A,增益!$N:$N,0))</f>
        <v>0</v>
      </c>
      <c r="BF255">
        <f t="shared" si="132"/>
        <v>0</v>
      </c>
      <c r="BG255">
        <f t="shared" si="133"/>
        <v>0</v>
      </c>
      <c r="BH255" s="29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-0.14</v>
      </c>
      <c r="BI255" s="29" cm="1">
        <f t="array" ref="BI255">$G$14+VLOOKUP($R255,武学奇术!$A:$ZZ,16,FALSE)+SUM(_xlfn.XLOOKUP(S255:AG255,增益!$A:$A,增益!$P:$P,0))</f>
        <v>0</v>
      </c>
      <c r="BJ255" s="20">
        <f>MIN(IF(VLOOKUP($R255,武学奇术!$A:$ZZ,23,FALSE)=1,100%,$B$8),100%)</f>
        <v>0.8271</v>
      </c>
      <c r="BK255" s="20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0.2249</v>
      </c>
      <c r="BL255" s="20" cm="1">
        <f t="array" ref="BL255">1+$B$13+VLOOKUP($R255,武学奇术!$A:$ZZ,18,FALSE)+SUM(_xlfn.XLOOKUP(S255:AG255,增益!$A:$A,增益!$R:$R,0))</f>
        <v>1.5</v>
      </c>
      <c r="BM255" s="20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0.4459</v>
      </c>
      <c r="BN255" s="20" cm="1">
        <f t="array" ref="BN255">1+$B$14+VLOOKUP($R255,武学奇术!$A:$ZZ,20,FALSE)+SUM(_xlfn.XLOOKUP(S255:AG255,增益!$A:$A,增益!$T:$T,0))</f>
        <v>1.782</v>
      </c>
      <c r="BO255" s="20">
        <f t="shared" si="134"/>
        <v>0.18601479</v>
      </c>
      <c r="BP255" s="20">
        <f t="shared" si="135"/>
        <v>0.27228132</v>
      </c>
      <c r="BQ255" s="20">
        <f>IF(VLOOKUP($R255,武学奇术!$A:$ZZ,22,FALSE)=1,0,(1-$BJ255))*(1-$BM255)</f>
        <v>0.09580389</v>
      </c>
      <c r="BR255" s="20" cm="1">
        <f t="array" ref="BR255">SUM(_xlfn.XLOOKUP(S255:AG255,增益!$A:$A,增益!$W:$W,0))+$I$5</f>
        <v>0.31</v>
      </c>
    </row>
    <row r="256" spans="11:70">
      <c r="K256" s="27">
        <f>$L256*VLOOKUP($R256,武学奇术!$A:$ZZ,31,FALSE)</f>
        <v>6881.63854345079</v>
      </c>
      <c r="L256" s="27">
        <f t="shared" si="125"/>
        <v>11469.397572418</v>
      </c>
      <c r="M256" s="27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9429.44258664221</v>
      </c>
      <c r="N256" s="27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17338.8911341093</v>
      </c>
      <c r="O256" s="27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6286.29505776147</v>
      </c>
      <c r="P256" s="27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2842.57264408113</v>
      </c>
      <c r="Q256" s="35">
        <v>1</v>
      </c>
      <c r="R256" s="36" t="s">
        <v>165</v>
      </c>
      <c r="S256" s="36" t="s">
        <v>152</v>
      </c>
      <c r="T256" s="36" t="s">
        <v>99</v>
      </c>
      <c r="U256" s="36" t="s">
        <v>100</v>
      </c>
      <c r="V256" s="36" t="s">
        <v>71</v>
      </c>
      <c r="W256" s="36" t="s">
        <v>111</v>
      </c>
      <c r="X256" s="36" t="s">
        <v>158</v>
      </c>
      <c r="Y256" s="36" t="s">
        <v>153</v>
      </c>
      <c r="Z256" s="36" t="s">
        <v>82</v>
      </c>
      <c r="AA256" s="36" t="s">
        <v>71</v>
      </c>
      <c r="AB256" s="36" t="s">
        <v>71</v>
      </c>
      <c r="AC256" s="36" t="s">
        <v>71</v>
      </c>
      <c r="AD256" s="36" t="s">
        <v>72</v>
      </c>
      <c r="AE256" s="36" t="s">
        <v>94</v>
      </c>
      <c r="AF256" s="36" t="s">
        <v>154</v>
      </c>
      <c r="AG256" s="36" t="s">
        <v>120</v>
      </c>
      <c r="AH256" t="str">
        <f>VLOOKUP($R256,武学奇术!$A:$ZZ,25,FALSE)</f>
        <v>剑</v>
      </c>
      <c r="AI256" s="20">
        <f>VLOOKUP($R256,武学奇术!$A:$ZZ,26,FALSE)</f>
        <v>0.20592</v>
      </c>
      <c r="AJ256" s="21">
        <f>VLOOKUP($R256,武学奇术!$A:$ZZ,27,FALSE)*(1+IF(OR($AH256=$F$4,$AH256=$F$5),$B$22,0))</f>
        <v>0</v>
      </c>
      <c r="AK256" s="20">
        <f>VLOOKUP($R256,武学奇术!$A:$ZZ,28,FALSE)</f>
        <v>0.30888</v>
      </c>
      <c r="AL256" s="21">
        <f>VLOOKUP($R256,武学奇术!$A:$ZZ,29,FALSE)*(1+IF(OR($AH256=$F$4,$AH256=$F$5),$B$22,0))</f>
        <v>0</v>
      </c>
      <c r="AM256" s="20" cm="1">
        <f t="array" ref="AM256">$G$3+IFERROR(VLOOKUP($AH256,$F$4:$G$7,2,FALSE),0)+VLOOKUP($R256,武学奇术!$A:$ZZ,2,FALSE)+SUM(_xlfn.XLOOKUP($S256:$AG256,增益!$A:$A,增益!$B:$B,0))</f>
        <v>1.3391</v>
      </c>
      <c r="AN256" s="20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1585.72</v>
      </c>
      <c r="AP256" cm="1">
        <f t="array" ref="AP256">$E$10*(1+$AN256)+VLOOKUP($R256,武学奇术!$A:$ZZ,4,FALSE)+SUM(_xlfn.XLOOKUP($S256:$AG256,增益!$A:$A,增益!$D:$D,0))-$I$2</f>
        <v>6696.76</v>
      </c>
      <c r="AQ256" s="29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0.4175</v>
      </c>
      <c r="AR256" s="29" cm="1">
        <f t="array" ref="AR256">$G$10+VLOOKUP($R256,武学奇术!$A:$ZZ,7,FALSE)+SUM(_xlfn.XLOOKUP(S256:AG256,增益!$A:$A,增益!$G:$G,0))</f>
        <v>0</v>
      </c>
      <c r="AS256" s="20" cm="1">
        <f t="array" ref="AS256">VLOOKUP($R256,武学奇术!$A:$ZZ,8,FALSE)+SUM(_xlfn.XLOOKUP(S256:AG256,增益!$A:$A,增益!$H:$H,0))</f>
        <v>0</v>
      </c>
      <c r="AT256">
        <f t="shared" si="126"/>
        <v>538</v>
      </c>
      <c r="AU256">
        <f t="shared" si="127"/>
        <v>1011</v>
      </c>
      <c r="AV256" s="29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0.155</v>
      </c>
      <c r="AW256" s="29" cm="1">
        <f t="array" ref="AW256">$G$11+VLOOKUP($R256,武学奇术!$A:$ZZ,10,FALSE)+SUM(_xlfn.XLOOKUP(S256:AG256,增益!$A:$A,增益!$J:$J,0))</f>
        <v>0.25</v>
      </c>
      <c r="AX256">
        <f t="shared" si="128"/>
        <v>0</v>
      </c>
      <c r="AY256">
        <f t="shared" si="129"/>
        <v>0</v>
      </c>
      <c r="AZ256" s="29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-0.14</v>
      </c>
      <c r="BA256" s="29" cm="1">
        <f t="array" ref="BA256">$G$12+VLOOKUP($R256,武学奇术!$A:$ZZ,12,FALSE)+SUM(_xlfn.XLOOKUP(S256:AG256,增益!$A:$A,增益!$L:$L,0))</f>
        <v>0</v>
      </c>
      <c r="BB256">
        <f t="shared" si="130"/>
        <v>0</v>
      </c>
      <c r="BC256">
        <f t="shared" si="131"/>
        <v>0</v>
      </c>
      <c r="BD256" s="29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-0.14</v>
      </c>
      <c r="BE256" s="29" cm="1">
        <f t="array" ref="BE256">$G$13+VLOOKUP($R256,武学奇术!$A:$ZZ,14,FALSE)+SUM(_xlfn.XLOOKUP(S256:AG256,增益!$A:$A,增益!$N:$N,0))</f>
        <v>0</v>
      </c>
      <c r="BF256">
        <f t="shared" si="132"/>
        <v>0</v>
      </c>
      <c r="BG256">
        <f t="shared" si="133"/>
        <v>0</v>
      </c>
      <c r="BH256" s="29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-0.14</v>
      </c>
      <c r="BI256" s="29" cm="1">
        <f t="array" ref="BI256">$G$14+VLOOKUP($R256,武学奇术!$A:$ZZ,16,FALSE)+SUM(_xlfn.XLOOKUP(S256:AG256,增益!$A:$A,增益!$P:$P,0))</f>
        <v>0</v>
      </c>
      <c r="BJ256" s="20">
        <f>MIN(IF(VLOOKUP($R256,武学奇术!$A:$ZZ,23,FALSE)=1,100%,$B$8),100%)</f>
        <v>0.8271</v>
      </c>
      <c r="BK256" s="20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0.2249</v>
      </c>
      <c r="BL256" s="20" cm="1">
        <f t="array" ref="BL256">1+$B$13+VLOOKUP($R256,武学奇术!$A:$ZZ,18,FALSE)+SUM(_xlfn.XLOOKUP(S256:AG256,增益!$A:$A,增益!$R:$R,0))</f>
        <v>1.5</v>
      </c>
      <c r="BM256" s="20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0.4459</v>
      </c>
      <c r="BN256" s="20" cm="1">
        <f t="array" ref="BN256">1+$B$14+VLOOKUP($R256,武学奇术!$A:$ZZ,20,FALSE)+SUM(_xlfn.XLOOKUP(S256:AG256,增益!$A:$A,增益!$T:$T,0))</f>
        <v>1.782</v>
      </c>
      <c r="BO256" s="20">
        <f t="shared" si="134"/>
        <v>0.18601479</v>
      </c>
      <c r="BP256" s="20">
        <f t="shared" si="135"/>
        <v>0.27228132</v>
      </c>
      <c r="BQ256" s="20">
        <f>IF(VLOOKUP($R256,武学奇术!$A:$ZZ,22,FALSE)=1,0,(1-$BJ256))*(1-$BM256)</f>
        <v>0.09580389</v>
      </c>
      <c r="BR256" s="20" cm="1">
        <f t="array" ref="BR256">SUM(_xlfn.XLOOKUP(S256:AG256,增益!$A:$A,增益!$W:$W,0))+$I$5</f>
        <v>0.31</v>
      </c>
    </row>
    <row r="257" spans="11:70">
      <c r="K257" s="27">
        <f>$L257*VLOOKUP($R257,武学奇术!$A:$ZZ,31,FALSE)</f>
        <v>9175.51805793439</v>
      </c>
      <c r="L257" s="27">
        <f t="shared" si="125"/>
        <v>15292.5300965573</v>
      </c>
      <c r="M257" s="27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12572.5901155229</v>
      </c>
      <c r="N257" s="27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23118.5215121458</v>
      </c>
      <c r="O257" s="27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8381.72674368197</v>
      </c>
      <c r="P257" s="27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3790.09685877484</v>
      </c>
      <c r="Q257" s="35">
        <v>1</v>
      </c>
      <c r="R257" s="36" t="s">
        <v>163</v>
      </c>
      <c r="S257" s="36" t="s">
        <v>152</v>
      </c>
      <c r="T257" s="36" t="s">
        <v>99</v>
      </c>
      <c r="U257" s="36" t="s">
        <v>100</v>
      </c>
      <c r="V257" s="36" t="s">
        <v>71</v>
      </c>
      <c r="W257" s="36" t="s">
        <v>111</v>
      </c>
      <c r="X257" s="36" t="s">
        <v>158</v>
      </c>
      <c r="Y257" s="36" t="s">
        <v>153</v>
      </c>
      <c r="Z257" s="36" t="s">
        <v>82</v>
      </c>
      <c r="AA257" s="36" t="s">
        <v>71</v>
      </c>
      <c r="AB257" s="36" t="s">
        <v>71</v>
      </c>
      <c r="AC257" s="36" t="s">
        <v>71</v>
      </c>
      <c r="AD257" s="36" t="s">
        <v>72</v>
      </c>
      <c r="AE257" s="36" t="s">
        <v>94</v>
      </c>
      <c r="AF257" s="36" t="s">
        <v>154</v>
      </c>
      <c r="AG257" s="36" t="s">
        <v>120</v>
      </c>
      <c r="AH257" t="str">
        <f>VLOOKUP($R257,武学奇术!$A:$ZZ,25,FALSE)</f>
        <v>剑</v>
      </c>
      <c r="AI257" s="20">
        <f>VLOOKUP($R257,武学奇术!$A:$ZZ,26,FALSE)</f>
        <v>0.27456</v>
      </c>
      <c r="AJ257" s="21">
        <f>VLOOKUP($R257,武学奇术!$A:$ZZ,27,FALSE)*(1+IF(OR($AH257=$F$4,$AH257=$F$5),$B$22,0))</f>
        <v>0</v>
      </c>
      <c r="AK257" s="20">
        <f>VLOOKUP($R257,武学奇术!$A:$ZZ,28,FALSE)</f>
        <v>0.41184</v>
      </c>
      <c r="AL257" s="21">
        <f>VLOOKUP($R257,武学奇术!$A:$ZZ,29,FALSE)*(1+IF(OR($AH257=$F$4,$AH257=$F$5),$B$22,0))</f>
        <v>0</v>
      </c>
      <c r="AM257" s="20" cm="1">
        <f t="array" ref="AM257">$G$3+IFERROR(VLOOKUP($AH257,$F$4:$G$7,2,FALSE),0)+VLOOKUP($R257,武学奇术!$A:$ZZ,2,FALSE)+SUM(_xlfn.XLOOKUP($S257:$AG257,增益!$A:$A,增益!$B:$B,0))</f>
        <v>1.3391</v>
      </c>
      <c r="AN257" s="20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1585.72</v>
      </c>
      <c r="AP257" cm="1">
        <f t="array" ref="AP257">$E$10*(1+$AN257)+VLOOKUP($R257,武学奇术!$A:$ZZ,4,FALSE)+SUM(_xlfn.XLOOKUP($S257:$AG257,增益!$A:$A,增益!$D:$D,0))-$I$2</f>
        <v>6696.76</v>
      </c>
      <c r="AQ257" s="29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0.4175</v>
      </c>
      <c r="AR257" s="29" cm="1">
        <f t="array" ref="AR257">$G$10+VLOOKUP($R257,武学奇术!$A:$ZZ,7,FALSE)+SUM(_xlfn.XLOOKUP(S257:AG257,增益!$A:$A,增益!$G:$G,0))</f>
        <v>0</v>
      </c>
      <c r="AS257" s="20" cm="1">
        <f t="array" ref="AS257">VLOOKUP($R257,武学奇术!$A:$ZZ,8,FALSE)+SUM(_xlfn.XLOOKUP(S257:AG257,增益!$A:$A,增益!$H:$H,0))</f>
        <v>0</v>
      </c>
      <c r="AT257">
        <f t="shared" si="126"/>
        <v>538</v>
      </c>
      <c r="AU257">
        <f t="shared" si="127"/>
        <v>1011</v>
      </c>
      <c r="AV257" s="29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0.155</v>
      </c>
      <c r="AW257" s="29" cm="1">
        <f t="array" ref="AW257">$G$11+VLOOKUP($R257,武学奇术!$A:$ZZ,10,FALSE)+SUM(_xlfn.XLOOKUP(S257:AG257,增益!$A:$A,增益!$J:$J,0))</f>
        <v>0.25</v>
      </c>
      <c r="AX257">
        <f t="shared" si="128"/>
        <v>0</v>
      </c>
      <c r="AY257">
        <f t="shared" si="129"/>
        <v>0</v>
      </c>
      <c r="AZ257" s="29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-0.14</v>
      </c>
      <c r="BA257" s="29" cm="1">
        <f t="array" ref="BA257">$G$12+VLOOKUP($R257,武学奇术!$A:$ZZ,12,FALSE)+SUM(_xlfn.XLOOKUP(S257:AG257,增益!$A:$A,增益!$L:$L,0))</f>
        <v>0</v>
      </c>
      <c r="BB257">
        <f t="shared" si="130"/>
        <v>0</v>
      </c>
      <c r="BC257">
        <f t="shared" si="131"/>
        <v>0</v>
      </c>
      <c r="BD257" s="29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-0.14</v>
      </c>
      <c r="BE257" s="29" cm="1">
        <f t="array" ref="BE257">$G$13+VLOOKUP($R257,武学奇术!$A:$ZZ,14,FALSE)+SUM(_xlfn.XLOOKUP(S257:AG257,增益!$A:$A,增益!$N:$N,0))</f>
        <v>0</v>
      </c>
      <c r="BF257">
        <f t="shared" si="132"/>
        <v>0</v>
      </c>
      <c r="BG257">
        <f t="shared" si="133"/>
        <v>0</v>
      </c>
      <c r="BH257" s="29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-0.14</v>
      </c>
      <c r="BI257" s="29" cm="1">
        <f t="array" ref="BI257">$G$14+VLOOKUP($R257,武学奇术!$A:$ZZ,16,FALSE)+SUM(_xlfn.XLOOKUP(S257:AG257,增益!$A:$A,增益!$P:$P,0))</f>
        <v>0</v>
      </c>
      <c r="BJ257" s="20">
        <f>MIN(IF(VLOOKUP($R257,武学奇术!$A:$ZZ,23,FALSE)=1,100%,$B$8),100%)</f>
        <v>0.8271</v>
      </c>
      <c r="BK257" s="20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0.2249</v>
      </c>
      <c r="BL257" s="20" cm="1">
        <f t="array" ref="BL257">1+$B$13+VLOOKUP($R257,武学奇术!$A:$ZZ,18,FALSE)+SUM(_xlfn.XLOOKUP(S257:AG257,增益!$A:$A,增益!$R:$R,0))</f>
        <v>1.5</v>
      </c>
      <c r="BM257" s="20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0.4459</v>
      </c>
      <c r="BN257" s="20" cm="1">
        <f t="array" ref="BN257">1+$B$14+VLOOKUP($R257,武学奇术!$A:$ZZ,20,FALSE)+SUM(_xlfn.XLOOKUP(S257:AG257,增益!$A:$A,增益!$T:$T,0))</f>
        <v>1.782</v>
      </c>
      <c r="BO257" s="20">
        <f t="shared" si="134"/>
        <v>0.18601479</v>
      </c>
      <c r="BP257" s="20">
        <f t="shared" si="135"/>
        <v>0.27228132</v>
      </c>
      <c r="BQ257" s="20">
        <f>IF(VLOOKUP($R257,武学奇术!$A:$ZZ,22,FALSE)=1,0,(1-$BJ257))*(1-$BM257)</f>
        <v>0.09580389</v>
      </c>
      <c r="BR257" s="20" cm="1">
        <f t="array" ref="BR257">SUM(_xlfn.XLOOKUP(S257:AG257,增益!$A:$A,增益!$W:$W,0))+$I$5</f>
        <v>0.31</v>
      </c>
    </row>
    <row r="258" spans="11:70">
      <c r="K258" s="27">
        <f>$L258*VLOOKUP($R258,武学奇术!$A:$ZZ,31,FALSE)</f>
        <v>5734.69878620899</v>
      </c>
      <c r="L258" s="27">
        <f t="shared" si="125"/>
        <v>9557.83131034832</v>
      </c>
      <c r="M258" s="27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7857.86882220184</v>
      </c>
      <c r="N258" s="27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14449.0759450911</v>
      </c>
      <c r="O258" s="27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5238.57921480123</v>
      </c>
      <c r="P258" s="27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2368.81053673427</v>
      </c>
      <c r="Q258" s="35">
        <v>1</v>
      </c>
      <c r="R258" s="36" t="s">
        <v>164</v>
      </c>
      <c r="S258" s="36" t="s">
        <v>152</v>
      </c>
      <c r="T258" s="36" t="s">
        <v>99</v>
      </c>
      <c r="U258" s="36" t="s">
        <v>100</v>
      </c>
      <c r="V258" s="36" t="s">
        <v>71</v>
      </c>
      <c r="W258" s="36" t="s">
        <v>111</v>
      </c>
      <c r="X258" s="36" t="s">
        <v>158</v>
      </c>
      <c r="Y258" s="36" t="s">
        <v>153</v>
      </c>
      <c r="Z258" s="36" t="s">
        <v>82</v>
      </c>
      <c r="AA258" s="36" t="s">
        <v>71</v>
      </c>
      <c r="AB258" s="36" t="s">
        <v>71</v>
      </c>
      <c r="AC258" s="36" t="s">
        <v>71</v>
      </c>
      <c r="AD258" s="36" t="s">
        <v>72</v>
      </c>
      <c r="AE258" s="36" t="s">
        <v>94</v>
      </c>
      <c r="AF258" s="36" t="s">
        <v>154</v>
      </c>
      <c r="AG258" s="36" t="s">
        <v>120</v>
      </c>
      <c r="AH258" t="str">
        <f>VLOOKUP($R258,武学奇术!$A:$ZZ,25,FALSE)</f>
        <v>剑</v>
      </c>
      <c r="AI258" s="20">
        <f>VLOOKUP($R258,武学奇术!$A:$ZZ,26,FALSE)</f>
        <v>0.1716</v>
      </c>
      <c r="AJ258" s="21">
        <f>VLOOKUP($R258,武学奇术!$A:$ZZ,27,FALSE)*(1+IF(OR($AH258=$F$4,$AH258=$F$5),$B$22,0))</f>
        <v>0</v>
      </c>
      <c r="AK258" s="20">
        <f>VLOOKUP($R258,武学奇术!$A:$ZZ,28,FALSE)</f>
        <v>0.2574</v>
      </c>
      <c r="AL258" s="21">
        <f>VLOOKUP($R258,武学奇术!$A:$ZZ,29,FALSE)*(1+IF(OR($AH258=$F$4,$AH258=$F$5),$B$22,0))</f>
        <v>0</v>
      </c>
      <c r="AM258" s="20" cm="1">
        <f t="array" ref="AM258">$G$3+IFERROR(VLOOKUP($AH258,$F$4:$G$7,2,FALSE),0)+VLOOKUP($R258,武学奇术!$A:$ZZ,2,FALSE)+SUM(_xlfn.XLOOKUP($S258:$AG258,增益!$A:$A,增益!$B:$B,0))</f>
        <v>1.3391</v>
      </c>
      <c r="AN258" s="20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1585.72</v>
      </c>
      <c r="AP258" cm="1">
        <f t="array" ref="AP258">$E$10*(1+$AN258)+VLOOKUP($R258,武学奇术!$A:$ZZ,4,FALSE)+SUM(_xlfn.XLOOKUP($S258:$AG258,增益!$A:$A,增益!$D:$D,0))-$I$2</f>
        <v>6696.76</v>
      </c>
      <c r="AQ258" s="29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0.4175</v>
      </c>
      <c r="AR258" s="29" cm="1">
        <f t="array" ref="AR258">$G$10+VLOOKUP($R258,武学奇术!$A:$ZZ,7,FALSE)+SUM(_xlfn.XLOOKUP(S258:AG258,增益!$A:$A,增益!$G:$G,0))</f>
        <v>0</v>
      </c>
      <c r="AS258" s="20" cm="1">
        <f t="array" ref="AS258">VLOOKUP($R258,武学奇术!$A:$ZZ,8,FALSE)+SUM(_xlfn.XLOOKUP(S258:AG258,增益!$A:$A,增益!$H:$H,0))</f>
        <v>0</v>
      </c>
      <c r="AT258">
        <f t="shared" si="126"/>
        <v>538</v>
      </c>
      <c r="AU258">
        <f t="shared" si="127"/>
        <v>1011</v>
      </c>
      <c r="AV258" s="29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0.155</v>
      </c>
      <c r="AW258" s="29" cm="1">
        <f t="array" ref="AW258">$G$11+VLOOKUP($R258,武学奇术!$A:$ZZ,10,FALSE)+SUM(_xlfn.XLOOKUP(S258:AG258,增益!$A:$A,增益!$J:$J,0))</f>
        <v>0.25</v>
      </c>
      <c r="AX258">
        <f t="shared" si="128"/>
        <v>0</v>
      </c>
      <c r="AY258">
        <f t="shared" si="129"/>
        <v>0</v>
      </c>
      <c r="AZ258" s="29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-0.14</v>
      </c>
      <c r="BA258" s="29" cm="1">
        <f t="array" ref="BA258">$G$12+VLOOKUP($R258,武学奇术!$A:$ZZ,12,FALSE)+SUM(_xlfn.XLOOKUP(S258:AG258,增益!$A:$A,增益!$L:$L,0))</f>
        <v>0</v>
      </c>
      <c r="BB258">
        <f t="shared" si="130"/>
        <v>0</v>
      </c>
      <c r="BC258">
        <f t="shared" si="131"/>
        <v>0</v>
      </c>
      <c r="BD258" s="29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-0.14</v>
      </c>
      <c r="BE258" s="29" cm="1">
        <f t="array" ref="BE258">$G$13+VLOOKUP($R258,武学奇术!$A:$ZZ,14,FALSE)+SUM(_xlfn.XLOOKUP(S258:AG258,增益!$A:$A,增益!$N:$N,0))</f>
        <v>0</v>
      </c>
      <c r="BF258">
        <f t="shared" si="132"/>
        <v>0</v>
      </c>
      <c r="BG258">
        <f t="shared" si="133"/>
        <v>0</v>
      </c>
      <c r="BH258" s="29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-0.14</v>
      </c>
      <c r="BI258" s="29" cm="1">
        <f t="array" ref="BI258">$G$14+VLOOKUP($R258,武学奇术!$A:$ZZ,16,FALSE)+SUM(_xlfn.XLOOKUP(S258:AG258,增益!$A:$A,增益!$P:$P,0))</f>
        <v>0</v>
      </c>
      <c r="BJ258" s="20">
        <f>MIN(IF(VLOOKUP($R258,武学奇术!$A:$ZZ,23,FALSE)=1,100%,$B$8),100%)</f>
        <v>0.8271</v>
      </c>
      <c r="BK258" s="20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0.2249</v>
      </c>
      <c r="BL258" s="20" cm="1">
        <f t="array" ref="BL258">1+$B$13+VLOOKUP($R258,武学奇术!$A:$ZZ,18,FALSE)+SUM(_xlfn.XLOOKUP(S258:AG258,增益!$A:$A,增益!$R:$R,0))</f>
        <v>1.5</v>
      </c>
      <c r="BM258" s="20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0.4459</v>
      </c>
      <c r="BN258" s="20" cm="1">
        <f t="array" ref="BN258">1+$B$14+VLOOKUP($R258,武学奇术!$A:$ZZ,20,FALSE)+SUM(_xlfn.XLOOKUP(S258:AG258,增益!$A:$A,增益!$T:$T,0))</f>
        <v>1.782</v>
      </c>
      <c r="BO258" s="20">
        <f t="shared" si="134"/>
        <v>0.18601479</v>
      </c>
      <c r="BP258" s="20">
        <f t="shared" si="135"/>
        <v>0.27228132</v>
      </c>
      <c r="BQ258" s="20">
        <f>IF(VLOOKUP($R258,武学奇术!$A:$ZZ,22,FALSE)=1,0,(1-$BJ258))*(1-$BM258)</f>
        <v>0.09580389</v>
      </c>
      <c r="BR258" s="20" cm="1">
        <f t="array" ref="BR258">SUM(_xlfn.XLOOKUP(S258:AG258,增益!$A:$A,增益!$W:$W,0))+$I$5</f>
        <v>0.31</v>
      </c>
    </row>
    <row r="259" spans="11:70">
      <c r="K259" s="27">
        <f>$L259*VLOOKUP($R259,武学奇术!$A:$ZZ,31,FALSE)</f>
        <v>18751.956397971</v>
      </c>
      <c r="L259" s="27">
        <f t="shared" si="125"/>
        <v>18751.956397971</v>
      </c>
      <c r="M259" s="27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16816.3580224364</v>
      </c>
      <c r="N259" s="27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27160.1174138852</v>
      </c>
      <c r="O259" s="27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11210.9053482909</v>
      </c>
      <c r="P259" s="27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4808.2455773307</v>
      </c>
      <c r="Q259" s="35">
        <v>1</v>
      </c>
      <c r="R259" s="36" t="s">
        <v>166</v>
      </c>
      <c r="S259" s="36" t="s">
        <v>71</v>
      </c>
      <c r="T259" s="36" t="s">
        <v>93</v>
      </c>
      <c r="U259" s="36" t="s">
        <v>71</v>
      </c>
      <c r="V259" s="36" t="s">
        <v>71</v>
      </c>
      <c r="W259" s="36" t="s">
        <v>111</v>
      </c>
      <c r="X259" s="36" t="s">
        <v>71</v>
      </c>
      <c r="Y259" s="36" t="s">
        <v>71</v>
      </c>
      <c r="Z259" s="36" t="s">
        <v>82</v>
      </c>
      <c r="AA259" s="36" t="s">
        <v>71</v>
      </c>
      <c r="AB259" s="36" t="s">
        <v>71</v>
      </c>
      <c r="AC259" s="36" t="s">
        <v>71</v>
      </c>
      <c r="AD259" s="36" t="s">
        <v>72</v>
      </c>
      <c r="AE259" s="36" t="s">
        <v>94</v>
      </c>
      <c r="AF259" s="36" t="s">
        <v>116</v>
      </c>
      <c r="AG259" s="36" t="s">
        <v>120</v>
      </c>
      <c r="AH259" t="str">
        <f>VLOOKUP($R259,武学奇术!$A:$ZZ,25,FALSE)</f>
        <v>心法</v>
      </c>
      <c r="AI259" s="20">
        <f>VLOOKUP($R259,武学奇术!$A:$ZZ,26,FALSE)</f>
        <v>1</v>
      </c>
      <c r="AJ259" s="21">
        <f>VLOOKUP($R259,武学奇术!$A:$ZZ,27,FALSE)*(1+IF(OR($AH259=$F$4,$AH259=$F$5),$B$22,0))</f>
        <v>0</v>
      </c>
      <c r="AK259" s="20">
        <f>VLOOKUP($R259,武学奇术!$A:$ZZ,28,FALSE)</f>
        <v>1</v>
      </c>
      <c r="AL259" s="21">
        <f>VLOOKUP($R259,武学奇术!$A:$ZZ,29,FALSE)*(1+IF(OR($AH259=$F$4,$AH259=$F$5),$B$22,0))</f>
        <v>0</v>
      </c>
      <c r="AM259" s="20" cm="1">
        <f t="array" ref="AM259">$G$3+IFERROR(VLOOKUP($AH259,$F$4:$G$7,2,FALSE),0)+VLOOKUP($R259,武学奇术!$A:$ZZ,2,FALSE)+SUM(_xlfn.XLOOKUP($S259:$AG259,增益!$A:$A,增益!$B:$B,0))</f>
        <v>0.5487</v>
      </c>
      <c r="AN259" s="20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1585.72</v>
      </c>
      <c r="AP259" cm="1">
        <f t="array" ref="AP259">$E$10*(1+$AN259)+VLOOKUP($R259,武学奇术!$A:$ZZ,4,FALSE)+SUM(_xlfn.XLOOKUP($S259:$AG259,增益!$A:$A,增益!$D:$D,0))-$I$2</f>
        <v>6696.76</v>
      </c>
      <c r="AQ259" s="29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0.3425</v>
      </c>
      <c r="AR259" s="29" cm="1">
        <f t="array" ref="AR259">$G$10+VLOOKUP($R259,武学奇术!$A:$ZZ,7,FALSE)+SUM(_xlfn.XLOOKUP(S259:AG259,增益!$A:$A,增益!$G:$G,0))</f>
        <v>0</v>
      </c>
      <c r="AS259" s="20" cm="1">
        <f t="array" ref="AS259">VLOOKUP($R259,武学奇术!$A:$ZZ,8,FALSE)+SUM(_xlfn.XLOOKUP(S259:AG259,增益!$A:$A,增益!$H:$H,0))</f>
        <v>0</v>
      </c>
      <c r="AT259">
        <f t="shared" si="126"/>
        <v>538</v>
      </c>
      <c r="AU259">
        <f t="shared" si="127"/>
        <v>1011</v>
      </c>
      <c r="AV259" s="29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0.08</v>
      </c>
      <c r="AW259" s="29" cm="1">
        <f t="array" ref="AW259">$G$11+VLOOKUP($R259,武学奇术!$A:$ZZ,10,FALSE)+SUM(_xlfn.XLOOKUP(S259:AG259,增益!$A:$A,增益!$J:$J,0))</f>
        <v>0.15</v>
      </c>
      <c r="AX259">
        <f t="shared" si="128"/>
        <v>0</v>
      </c>
      <c r="AY259">
        <f t="shared" si="129"/>
        <v>0</v>
      </c>
      <c r="AZ259" s="29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-0.14</v>
      </c>
      <c r="BA259" s="29" cm="1">
        <f t="array" ref="BA259">$G$12+VLOOKUP($R259,武学奇术!$A:$ZZ,12,FALSE)+SUM(_xlfn.XLOOKUP(S259:AG259,增益!$A:$A,增益!$L:$L,0))</f>
        <v>0</v>
      </c>
      <c r="BB259">
        <f t="shared" si="130"/>
        <v>0</v>
      </c>
      <c r="BC259">
        <f t="shared" si="131"/>
        <v>0</v>
      </c>
      <c r="BD259" s="29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-0.14</v>
      </c>
      <c r="BE259" s="29" cm="1">
        <f t="array" ref="BE259">$G$13+VLOOKUP($R259,武学奇术!$A:$ZZ,14,FALSE)+SUM(_xlfn.XLOOKUP(S259:AG259,增益!$A:$A,增益!$N:$N,0))</f>
        <v>0</v>
      </c>
      <c r="BF259">
        <f t="shared" si="132"/>
        <v>0</v>
      </c>
      <c r="BG259">
        <f t="shared" si="133"/>
        <v>0</v>
      </c>
      <c r="BH259" s="29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-0.14</v>
      </c>
      <c r="BI259" s="29" cm="1">
        <f t="array" ref="BI259">$G$14+VLOOKUP($R259,武学奇术!$A:$ZZ,16,FALSE)+SUM(_xlfn.XLOOKUP(S259:AG259,增益!$A:$A,增益!$P:$P,0))</f>
        <v>0</v>
      </c>
      <c r="BJ259" s="20">
        <f>MIN(IF(VLOOKUP($R259,武学奇术!$A:$ZZ,23,FALSE)=1,100%,$B$8),100%)</f>
        <v>0.8271</v>
      </c>
      <c r="BK259" s="20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0.2249</v>
      </c>
      <c r="BL259" s="20" cm="1">
        <f t="array" ref="BL259">1+$B$13+VLOOKUP($R259,武学奇术!$A:$ZZ,18,FALSE)+SUM(_xlfn.XLOOKUP(S259:AG259,增益!$A:$A,增益!$R:$R,0))</f>
        <v>1.5</v>
      </c>
      <c r="BM259" s="20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0.4459</v>
      </c>
      <c r="BN259" s="20" cm="1">
        <f t="array" ref="BN259">1+$B$14+VLOOKUP($R259,武学奇术!$A:$ZZ,20,FALSE)+SUM(_xlfn.XLOOKUP(S259:AG259,增益!$A:$A,增益!$T:$T,0))</f>
        <v>1.542</v>
      </c>
      <c r="BO259" s="20">
        <f t="shared" si="134"/>
        <v>0.18601479</v>
      </c>
      <c r="BP259" s="20">
        <f t="shared" si="135"/>
        <v>0.27228132</v>
      </c>
      <c r="BQ259" s="20">
        <f>IF(VLOOKUP($R259,武学奇术!$A:$ZZ,22,FALSE)=1,0,(1-$BJ259))*(1-$BM259)</f>
        <v>0.09580389</v>
      </c>
      <c r="BR259" s="20" cm="1">
        <f t="array" ref="BR259">SUM(_xlfn.XLOOKUP(S259:AG259,增益!$A:$A,增益!$W:$W,0))+$I$5</f>
        <v>0.11</v>
      </c>
    </row>
    <row r="260" spans="11:70">
      <c r="K260" s="27">
        <f>$L260*VLOOKUP($R260,武学奇术!$A:$ZZ,31,FALSE)</f>
        <v>18703.3705178068</v>
      </c>
      <c r="L260" s="27">
        <f t="shared" si="125"/>
        <v>18703.3705178068</v>
      </c>
      <c r="M260" s="27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16525.3092091731</v>
      </c>
      <c r="N260" s="27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27324.707314415</v>
      </c>
      <c r="O260" s="27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11016.8728061154</v>
      </c>
      <c r="P260" s="27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4651.6162773612</v>
      </c>
      <c r="Q260" s="35">
        <v>1</v>
      </c>
      <c r="R260" s="36" t="s">
        <v>166</v>
      </c>
      <c r="S260" s="36" t="s">
        <v>71</v>
      </c>
      <c r="T260" s="36" t="s">
        <v>93</v>
      </c>
      <c r="U260" s="36" t="s">
        <v>71</v>
      </c>
      <c r="V260" s="36" t="s">
        <v>71</v>
      </c>
      <c r="W260" s="36" t="s">
        <v>71</v>
      </c>
      <c r="X260" s="36" t="s">
        <v>71</v>
      </c>
      <c r="Y260" s="36" t="s">
        <v>71</v>
      </c>
      <c r="Z260" s="36" t="s">
        <v>71</v>
      </c>
      <c r="AA260" s="36" t="s">
        <v>71</v>
      </c>
      <c r="AB260" s="36" t="s">
        <v>71</v>
      </c>
      <c r="AC260" s="36" t="s">
        <v>71</v>
      </c>
      <c r="AD260" s="36" t="s">
        <v>72</v>
      </c>
      <c r="AE260" s="36" t="s">
        <v>94</v>
      </c>
      <c r="AF260" s="36" t="s">
        <v>147</v>
      </c>
      <c r="AG260" s="36" t="s">
        <v>120</v>
      </c>
      <c r="AH260" t="str">
        <f>VLOOKUP($R260,武学奇术!$A:$ZZ,25,FALSE)</f>
        <v>心法</v>
      </c>
      <c r="AI260" s="20">
        <f>VLOOKUP($R260,武学奇术!$A:$ZZ,26,FALSE)</f>
        <v>1</v>
      </c>
      <c r="AJ260" s="21">
        <f>VLOOKUP($R260,武学奇术!$A:$ZZ,27,FALSE)*(1+IF(OR($AH260=$F$4,$AH260=$F$5),$B$22,0))</f>
        <v>0</v>
      </c>
      <c r="AK260" s="20">
        <f>VLOOKUP($R260,武学奇术!$A:$ZZ,28,FALSE)</f>
        <v>1</v>
      </c>
      <c r="AL260" s="21">
        <f>VLOOKUP($R260,武学奇术!$A:$ZZ,29,FALSE)*(1+IF(OR($AH260=$F$4,$AH260=$F$5),$B$22,0))</f>
        <v>0</v>
      </c>
      <c r="AM260" s="20" cm="1">
        <f t="array" ref="AM260">$G$3+IFERROR(VLOOKUP($AH260,$F$4:$G$7,2,FALSE),0)+VLOOKUP($R260,武学奇术!$A:$ZZ,2,FALSE)+SUM(_xlfn.XLOOKUP($S260:$AG260,增益!$A:$A,增益!$B:$B,0))</f>
        <v>0.5487</v>
      </c>
      <c r="AN260" s="20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1554.72</v>
      </c>
      <c r="AP260" cm="1">
        <f t="array" ref="AP260">$E$10*(1+$AN260)+VLOOKUP($R260,武学奇术!$A:$ZZ,4,FALSE)+SUM(_xlfn.XLOOKUP($S260:$AG260,增益!$A:$A,增益!$D:$D,0))-$I$2</f>
        <v>6665.76</v>
      </c>
      <c r="AQ260" s="29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0.3425</v>
      </c>
      <c r="AR260" s="29" cm="1">
        <f t="array" ref="AR260">$G$10+VLOOKUP($R260,武学奇术!$A:$ZZ,7,FALSE)+SUM(_xlfn.XLOOKUP(S260:AG260,增益!$A:$A,增益!$G:$G,0))</f>
        <v>0</v>
      </c>
      <c r="AS260" s="20" cm="1">
        <f t="array" ref="AS260">VLOOKUP($R260,武学奇术!$A:$ZZ,8,FALSE)+SUM(_xlfn.XLOOKUP(S260:AG260,增益!$A:$A,增益!$H:$H,0))</f>
        <v>0</v>
      </c>
      <c r="AT260">
        <f t="shared" si="126"/>
        <v>538</v>
      </c>
      <c r="AU260">
        <f t="shared" si="127"/>
        <v>1011</v>
      </c>
      <c r="AV260" s="29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0</v>
      </c>
      <c r="AW260" s="29" cm="1">
        <f t="array" ref="AW260">$G$11+VLOOKUP($R260,武学奇术!$A:$ZZ,10,FALSE)+SUM(_xlfn.XLOOKUP(S260:AG260,增益!$A:$A,增益!$J:$J,0))</f>
        <v>0.15</v>
      </c>
      <c r="AX260">
        <f t="shared" si="128"/>
        <v>0</v>
      </c>
      <c r="AY260">
        <f t="shared" si="129"/>
        <v>0</v>
      </c>
      <c r="AZ260" s="29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29" cm="1">
        <f t="array" ref="BA260">$G$12+VLOOKUP($R260,武学奇术!$A:$ZZ,12,FALSE)+SUM(_xlfn.XLOOKUP(S260:AG260,增益!$A:$A,增益!$L:$L,0))</f>
        <v>0</v>
      </c>
      <c r="BB260">
        <f t="shared" si="130"/>
        <v>0</v>
      </c>
      <c r="BC260">
        <f t="shared" si="131"/>
        <v>0</v>
      </c>
      <c r="BD260" s="29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29" cm="1">
        <f t="array" ref="BE260">$G$13+VLOOKUP($R260,武学奇术!$A:$ZZ,14,FALSE)+SUM(_xlfn.XLOOKUP(S260:AG260,增益!$A:$A,增益!$N:$N,0))</f>
        <v>0</v>
      </c>
      <c r="BF260">
        <f t="shared" si="132"/>
        <v>0</v>
      </c>
      <c r="BG260">
        <f t="shared" si="133"/>
        <v>0</v>
      </c>
      <c r="BH260" s="29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29" cm="1">
        <f t="array" ref="BI260">$G$14+VLOOKUP($R260,武学奇术!$A:$ZZ,16,FALSE)+SUM(_xlfn.XLOOKUP(S260:AG260,增益!$A:$A,增益!$P:$P,0))</f>
        <v>0</v>
      </c>
      <c r="BJ260" s="20">
        <f>MIN(IF(VLOOKUP($R260,武学奇术!$A:$ZZ,23,FALSE)=1,100%,$B$8),100%)</f>
        <v>0.8271</v>
      </c>
      <c r="BK260" s="20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0.2249</v>
      </c>
      <c r="BL260" s="20" cm="1">
        <f t="array" ref="BL260">1+$B$13+VLOOKUP($R260,武学奇术!$A:$ZZ,18,FALSE)+SUM(_xlfn.XLOOKUP(S260:AG260,增益!$A:$A,增益!$R:$R,0))</f>
        <v>1.5</v>
      </c>
      <c r="BM260" s="20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0.4459</v>
      </c>
      <c r="BN260" s="20" cm="1">
        <f t="array" ref="BN260">1+$B$14+VLOOKUP($R260,武学奇术!$A:$ZZ,20,FALSE)+SUM(_xlfn.XLOOKUP(S260:AG260,增益!$A:$A,增益!$T:$T,0))</f>
        <v>1.572</v>
      </c>
      <c r="BO260" s="20">
        <f t="shared" si="134"/>
        <v>0.18601479</v>
      </c>
      <c r="BP260" s="20">
        <f t="shared" si="135"/>
        <v>0.27228132</v>
      </c>
      <c r="BQ260" s="20">
        <f>IF(VLOOKUP($R260,武学奇术!$A:$ZZ,22,FALSE)=1,0,(1-$BJ260))*(1-$BM260)</f>
        <v>0.09580389</v>
      </c>
      <c r="BR260" s="20" cm="1">
        <f t="array" ref="BR260">SUM(_xlfn.XLOOKUP(S260:AG260,增益!$A:$A,增益!$W:$W,0))+$I$5</f>
        <v>0.11</v>
      </c>
    </row>
    <row r="261" spans="11:70">
      <c r="K261" s="27">
        <f>$L261*VLOOKUP($R261,武学奇术!$A:$ZZ,31,FALSE)</f>
        <v>22949.9165915659</v>
      </c>
      <c r="L261" s="27">
        <f t="shared" si="125"/>
        <v>22949.9165915659</v>
      </c>
      <c r="M261" s="27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20100.8835716864</v>
      </c>
      <c r="N261" s="27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33655.9385901084</v>
      </c>
      <c r="O261" s="27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13400.5890477909</v>
      </c>
      <c r="P261" s="27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5792.4773526927</v>
      </c>
      <c r="Q261" s="35">
        <v>1</v>
      </c>
      <c r="R261" s="36" t="s">
        <v>166</v>
      </c>
      <c r="S261" s="36" t="s">
        <v>152</v>
      </c>
      <c r="T261" s="36" t="s">
        <v>93</v>
      </c>
      <c r="U261" s="36" t="s">
        <v>71</v>
      </c>
      <c r="V261" s="36" t="s">
        <v>71</v>
      </c>
      <c r="W261" s="36" t="s">
        <v>111</v>
      </c>
      <c r="X261" s="36" t="s">
        <v>71</v>
      </c>
      <c r="Y261" s="36" t="s">
        <v>153</v>
      </c>
      <c r="Z261" s="36" t="s">
        <v>82</v>
      </c>
      <c r="AA261" s="36" t="s">
        <v>71</v>
      </c>
      <c r="AB261" s="36" t="s">
        <v>71</v>
      </c>
      <c r="AC261" s="36" t="s">
        <v>71</v>
      </c>
      <c r="AD261" s="36" t="s">
        <v>72</v>
      </c>
      <c r="AE261" s="36" t="s">
        <v>94</v>
      </c>
      <c r="AF261" s="36" t="s">
        <v>154</v>
      </c>
      <c r="AG261" s="36" t="s">
        <v>120</v>
      </c>
      <c r="AH261" t="str">
        <f>VLOOKUP($R261,武学奇术!$A:$ZZ,25,FALSE)</f>
        <v>心法</v>
      </c>
      <c r="AI261" s="20">
        <f>VLOOKUP($R261,武学奇术!$A:$ZZ,26,FALSE)</f>
        <v>1</v>
      </c>
      <c r="AJ261" s="21">
        <f>VLOOKUP($R261,武学奇术!$A:$ZZ,27,FALSE)*(1+IF(OR($AH261=$F$4,$AH261=$F$5),$B$22,0))</f>
        <v>0</v>
      </c>
      <c r="AK261" s="20">
        <f>VLOOKUP($R261,武学奇术!$A:$ZZ,28,FALSE)</f>
        <v>1</v>
      </c>
      <c r="AL261" s="21">
        <f>VLOOKUP($R261,武学奇术!$A:$ZZ,29,FALSE)*(1+IF(OR($AH261=$F$4,$AH261=$F$5),$B$22,0))</f>
        <v>0</v>
      </c>
      <c r="AM261" s="20" cm="1">
        <f t="array" ref="AM261">$G$3+IFERROR(VLOOKUP($AH261,$F$4:$G$7,2,FALSE),0)+VLOOKUP($R261,武学奇术!$A:$ZZ,2,FALSE)+SUM(_xlfn.XLOOKUP($S261:$AG261,增益!$A:$A,增益!$B:$B,0))</f>
        <v>0.5487</v>
      </c>
      <c r="AN261" s="20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1585.72</v>
      </c>
      <c r="AP261" cm="1">
        <f t="array" ref="AP261">$E$10*(1+$AN261)+VLOOKUP($R261,武学奇术!$A:$ZZ,4,FALSE)+SUM(_xlfn.XLOOKUP($S261:$AG261,增益!$A:$A,增益!$D:$D,0))-$I$2</f>
        <v>6696.76</v>
      </c>
      <c r="AQ261" s="29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0.3425</v>
      </c>
      <c r="AR261" s="29" cm="1">
        <f t="array" ref="AR261">$G$10+VLOOKUP($R261,武学奇术!$A:$ZZ,7,FALSE)+SUM(_xlfn.XLOOKUP(S261:AG261,增益!$A:$A,增益!$G:$G,0))</f>
        <v>0</v>
      </c>
      <c r="AS261" s="20" cm="1">
        <f t="array" ref="AS261">VLOOKUP($R261,武学奇术!$A:$ZZ,8,FALSE)+SUM(_xlfn.XLOOKUP(S261:AG261,增益!$A:$A,增益!$H:$H,0))</f>
        <v>0</v>
      </c>
      <c r="AT261">
        <f t="shared" si="126"/>
        <v>538</v>
      </c>
      <c r="AU261">
        <f t="shared" si="127"/>
        <v>1011</v>
      </c>
      <c r="AV261" s="29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0.08</v>
      </c>
      <c r="AW261" s="29" cm="1">
        <f t="array" ref="AW261">$G$11+VLOOKUP($R261,武学奇术!$A:$ZZ,10,FALSE)+SUM(_xlfn.XLOOKUP(S261:AG261,增益!$A:$A,增益!$J:$J,0))</f>
        <v>0.25</v>
      </c>
      <c r="AX261">
        <f t="shared" si="128"/>
        <v>0</v>
      </c>
      <c r="AY261">
        <f t="shared" si="129"/>
        <v>0</v>
      </c>
      <c r="AZ261" s="29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-0.14</v>
      </c>
      <c r="BA261" s="29" cm="1">
        <f t="array" ref="BA261">$G$12+VLOOKUP($R261,武学奇术!$A:$ZZ,12,FALSE)+SUM(_xlfn.XLOOKUP(S261:AG261,增益!$A:$A,增益!$L:$L,0))</f>
        <v>0</v>
      </c>
      <c r="BB261">
        <f t="shared" si="130"/>
        <v>0</v>
      </c>
      <c r="BC261">
        <f t="shared" si="131"/>
        <v>0</v>
      </c>
      <c r="BD261" s="29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-0.14</v>
      </c>
      <c r="BE261" s="29" cm="1">
        <f t="array" ref="BE261">$G$13+VLOOKUP($R261,武学奇术!$A:$ZZ,14,FALSE)+SUM(_xlfn.XLOOKUP(S261:AG261,增益!$A:$A,增益!$N:$N,0))</f>
        <v>0</v>
      </c>
      <c r="BF261">
        <f t="shared" si="132"/>
        <v>0</v>
      </c>
      <c r="BG261">
        <f t="shared" si="133"/>
        <v>0</v>
      </c>
      <c r="BH261" s="29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-0.14</v>
      </c>
      <c r="BI261" s="29" cm="1">
        <f t="array" ref="BI261">$G$14+VLOOKUP($R261,武学奇术!$A:$ZZ,16,FALSE)+SUM(_xlfn.XLOOKUP(S261:AG261,增益!$A:$A,增益!$P:$P,0))</f>
        <v>0</v>
      </c>
      <c r="BJ261" s="20">
        <f>MIN(IF(VLOOKUP($R261,武学奇术!$A:$ZZ,23,FALSE)=1,100%,$B$8),100%)</f>
        <v>0.8271</v>
      </c>
      <c r="BK261" s="20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0.2249</v>
      </c>
      <c r="BL261" s="20" cm="1">
        <f t="array" ref="BL261">1+$B$13+VLOOKUP($R261,武学奇术!$A:$ZZ,18,FALSE)+SUM(_xlfn.XLOOKUP(S261:AG261,增益!$A:$A,增益!$R:$R,0))</f>
        <v>1.5</v>
      </c>
      <c r="BM261" s="20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0.4459</v>
      </c>
      <c r="BN261" s="20" cm="1">
        <f t="array" ref="BN261">1+$B$14+VLOOKUP($R261,武学奇术!$A:$ZZ,20,FALSE)+SUM(_xlfn.XLOOKUP(S261:AG261,增益!$A:$A,增益!$T:$T,0))</f>
        <v>1.602</v>
      </c>
      <c r="BO261" s="20">
        <f t="shared" si="134"/>
        <v>0.18601479</v>
      </c>
      <c r="BP261" s="20">
        <f t="shared" si="135"/>
        <v>0.27228132</v>
      </c>
      <c r="BQ261" s="20">
        <f>IF(VLOOKUP($R261,武学奇术!$A:$ZZ,22,FALSE)=1,0,(1-$BJ261))*(1-$BM261)</f>
        <v>0.09580389</v>
      </c>
      <c r="BR261" s="20" cm="1">
        <f t="array" ref="BR261">SUM(_xlfn.XLOOKUP(S261:AG261,增益!$A:$A,增益!$W:$W,0))+$I$5</f>
        <v>0.31</v>
      </c>
    </row>
    <row r="262" spans="11:70">
      <c r="K262" s="27">
        <f>$L262*VLOOKUP($R262,武学奇术!$A:$ZZ,31,FALSE)</f>
        <v>19033.2925084267</v>
      </c>
      <c r="L262" s="27">
        <f t="shared" si="125"/>
        <v>19033.2925084267</v>
      </c>
      <c r="M262" s="27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16632.6234912194</v>
      </c>
      <c r="N262" s="27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27960.7828476865</v>
      </c>
      <c r="O262" s="27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11088.4156608129</v>
      </c>
      <c r="P262" s="27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4723.1591320587</v>
      </c>
      <c r="Q262" s="35">
        <v>1</v>
      </c>
      <c r="R262" s="36" t="s">
        <v>166</v>
      </c>
      <c r="S262" s="36" t="s">
        <v>71</v>
      </c>
      <c r="T262" s="36" t="s">
        <v>93</v>
      </c>
      <c r="U262" s="36" t="s">
        <v>71</v>
      </c>
      <c r="V262" s="36" t="s">
        <v>71</v>
      </c>
      <c r="W262" s="36" t="s">
        <v>111</v>
      </c>
      <c r="X262" s="36" t="s">
        <v>71</v>
      </c>
      <c r="Y262" s="36" t="s">
        <v>71</v>
      </c>
      <c r="Z262" s="36" t="s">
        <v>71</v>
      </c>
      <c r="AA262" s="36" t="s">
        <v>71</v>
      </c>
      <c r="AB262" s="36" t="s">
        <v>71</v>
      </c>
      <c r="AC262" s="36" t="s">
        <v>71</v>
      </c>
      <c r="AD262" s="36" t="s">
        <v>72</v>
      </c>
      <c r="AE262" s="36" t="s">
        <v>94</v>
      </c>
      <c r="AF262" s="36" t="s">
        <v>154</v>
      </c>
      <c r="AG262" s="36" t="s">
        <v>120</v>
      </c>
      <c r="AH262" t="str">
        <f>VLOOKUP($R262,武学奇术!$A:$ZZ,25,FALSE)</f>
        <v>心法</v>
      </c>
      <c r="AI262" s="20">
        <f>VLOOKUP($R262,武学奇术!$A:$ZZ,26,FALSE)</f>
        <v>1</v>
      </c>
      <c r="AJ262" s="21">
        <f>VLOOKUP($R262,武学奇术!$A:$ZZ,27,FALSE)*(1+IF(OR($AH262=$F$4,$AH262=$F$5),$B$22,0))</f>
        <v>0</v>
      </c>
      <c r="AK262" s="20">
        <f>VLOOKUP($R262,武学奇术!$A:$ZZ,28,FALSE)</f>
        <v>1</v>
      </c>
      <c r="AL262" s="21">
        <f>VLOOKUP($R262,武学奇术!$A:$ZZ,29,FALSE)*(1+IF(OR($AH262=$F$4,$AH262=$F$5),$B$22,0))</f>
        <v>0</v>
      </c>
      <c r="AM262" s="20" cm="1">
        <f t="array" ref="AM262">$G$3+IFERROR(VLOOKUP($AH262,$F$4:$G$7,2,FALSE),0)+VLOOKUP($R262,武学奇术!$A:$ZZ,2,FALSE)+SUM(_xlfn.XLOOKUP($S262:$AG262,增益!$A:$A,增益!$B:$B,0))</f>
        <v>0.5487</v>
      </c>
      <c r="AN262" s="20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1585.72</v>
      </c>
      <c r="AP262" cm="1">
        <f t="array" ref="AP262">$E$10*(1+$AN262)+VLOOKUP($R262,武学奇术!$A:$ZZ,4,FALSE)+SUM(_xlfn.XLOOKUP($S262:$AG262,增益!$A:$A,增益!$D:$D,0))-$I$2</f>
        <v>6696.76</v>
      </c>
      <c r="AQ262" s="29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0.3425</v>
      </c>
      <c r="AR262" s="29" cm="1">
        <f t="array" ref="AR262">$G$10+VLOOKUP($R262,武学奇术!$A:$ZZ,7,FALSE)+SUM(_xlfn.XLOOKUP(S262:AG262,增益!$A:$A,增益!$G:$G,0))</f>
        <v>0</v>
      </c>
      <c r="AS262" s="20" cm="1">
        <f t="array" ref="AS262">VLOOKUP($R262,武学奇术!$A:$ZZ,8,FALSE)+SUM(_xlfn.XLOOKUP(S262:AG262,增益!$A:$A,增益!$H:$H,0))</f>
        <v>0</v>
      </c>
      <c r="AT262">
        <f t="shared" si="126"/>
        <v>538</v>
      </c>
      <c r="AU262">
        <f t="shared" si="127"/>
        <v>1011</v>
      </c>
      <c r="AV262" s="29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0</v>
      </c>
      <c r="AW262" s="29" cm="1">
        <f t="array" ref="AW262">$G$11+VLOOKUP($R262,武学奇术!$A:$ZZ,10,FALSE)+SUM(_xlfn.XLOOKUP(S262:AG262,增益!$A:$A,增益!$J:$J,0))</f>
        <v>0.15</v>
      </c>
      <c r="AX262">
        <f t="shared" si="128"/>
        <v>0</v>
      </c>
      <c r="AY262">
        <f t="shared" si="129"/>
        <v>0</v>
      </c>
      <c r="AZ262" s="29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29" cm="1">
        <f t="array" ref="BA262">$G$12+VLOOKUP($R262,武学奇术!$A:$ZZ,12,FALSE)+SUM(_xlfn.XLOOKUP(S262:AG262,增益!$A:$A,增益!$L:$L,0))</f>
        <v>0</v>
      </c>
      <c r="BB262">
        <f t="shared" si="130"/>
        <v>0</v>
      </c>
      <c r="BC262">
        <f t="shared" si="131"/>
        <v>0</v>
      </c>
      <c r="BD262" s="29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29" cm="1">
        <f t="array" ref="BE262">$G$13+VLOOKUP($R262,武学奇术!$A:$ZZ,14,FALSE)+SUM(_xlfn.XLOOKUP(S262:AG262,增益!$A:$A,增益!$N:$N,0))</f>
        <v>0</v>
      </c>
      <c r="BF262">
        <f t="shared" si="132"/>
        <v>0</v>
      </c>
      <c r="BG262">
        <f t="shared" si="133"/>
        <v>0</v>
      </c>
      <c r="BH262" s="29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29" cm="1">
        <f t="array" ref="BI262">$G$14+VLOOKUP($R262,武学奇术!$A:$ZZ,16,FALSE)+SUM(_xlfn.XLOOKUP(S262:AG262,增益!$A:$A,增益!$P:$P,0))</f>
        <v>0</v>
      </c>
      <c r="BJ262" s="20">
        <f>MIN(IF(VLOOKUP($R262,武学奇术!$A:$ZZ,23,FALSE)=1,100%,$B$8),100%)</f>
        <v>0.8271</v>
      </c>
      <c r="BK262" s="20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0.2249</v>
      </c>
      <c r="BL262" s="20" cm="1">
        <f t="array" ref="BL262">1+$B$13+VLOOKUP($R262,武学奇术!$A:$ZZ,18,FALSE)+SUM(_xlfn.XLOOKUP(S262:AG262,增益!$A:$A,增益!$R:$R,0))</f>
        <v>1.5</v>
      </c>
      <c r="BM262" s="20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0.4459</v>
      </c>
      <c r="BN262" s="20" cm="1">
        <f t="array" ref="BN262">1+$B$14+VLOOKUP($R262,武学奇术!$A:$ZZ,20,FALSE)+SUM(_xlfn.XLOOKUP(S262:AG262,增益!$A:$A,增益!$T:$T,0))</f>
        <v>1.602</v>
      </c>
      <c r="BO262" s="20">
        <f t="shared" si="134"/>
        <v>0.18601479</v>
      </c>
      <c r="BP262" s="20">
        <f t="shared" si="135"/>
        <v>0.27228132</v>
      </c>
      <c r="BQ262" s="20">
        <f>IF(VLOOKUP($R262,武学奇术!$A:$ZZ,22,FALSE)=1,0,(1-$BJ262))*(1-$BM262)</f>
        <v>0.09580389</v>
      </c>
      <c r="BR262" s="20" cm="1">
        <f t="array" ref="BR262">SUM(_xlfn.XLOOKUP(S262:AG262,增益!$A:$A,增益!$W:$W,0))+$I$5</f>
        <v>0.11</v>
      </c>
    </row>
    <row r="263" spans="11:70">
      <c r="K263" s="27">
        <f>$L263*VLOOKUP($R263,武学奇术!$A:$ZZ,31,FALSE)</f>
        <v>19223.1897191715</v>
      </c>
      <c r="L263" s="27">
        <f t="shared" si="125"/>
        <v>19223.1897191715</v>
      </c>
      <c r="M263" s="27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16816.3580224364</v>
      </c>
      <c r="N263" s="27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28216.9313210403</v>
      </c>
      <c r="O263" s="27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11210.9053482909</v>
      </c>
      <c r="P263" s="27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4808.2455773307</v>
      </c>
      <c r="Q263" s="35">
        <v>1</v>
      </c>
      <c r="R263" s="36" t="s">
        <v>166</v>
      </c>
      <c r="S263" s="36" t="s">
        <v>71</v>
      </c>
      <c r="T263" s="36" t="s">
        <v>93</v>
      </c>
      <c r="U263" s="36" t="s">
        <v>71</v>
      </c>
      <c r="V263" s="36" t="s">
        <v>71</v>
      </c>
      <c r="W263" s="36" t="s">
        <v>111</v>
      </c>
      <c r="X263" s="36" t="s">
        <v>71</v>
      </c>
      <c r="Y263" s="36" t="s">
        <v>71</v>
      </c>
      <c r="Z263" s="36" t="s">
        <v>82</v>
      </c>
      <c r="AA263" s="36" t="s">
        <v>71</v>
      </c>
      <c r="AB263" s="36" t="s">
        <v>71</v>
      </c>
      <c r="AC263" s="36" t="s">
        <v>71</v>
      </c>
      <c r="AD263" s="36" t="s">
        <v>72</v>
      </c>
      <c r="AE263" s="36" t="s">
        <v>94</v>
      </c>
      <c r="AF263" s="36" t="s">
        <v>154</v>
      </c>
      <c r="AG263" s="36" t="s">
        <v>120</v>
      </c>
      <c r="AH263" t="str">
        <f>VLOOKUP($R263,武学奇术!$A:$ZZ,25,FALSE)</f>
        <v>心法</v>
      </c>
      <c r="AI263" s="20">
        <f>VLOOKUP($R263,武学奇术!$A:$ZZ,26,FALSE)</f>
        <v>1</v>
      </c>
      <c r="AJ263" s="21">
        <f>VLOOKUP($R263,武学奇术!$A:$ZZ,27,FALSE)*(1+IF(OR($AH263=$F$4,$AH263=$F$5),$B$22,0))</f>
        <v>0</v>
      </c>
      <c r="AK263" s="20">
        <f>VLOOKUP($R263,武学奇术!$A:$ZZ,28,FALSE)</f>
        <v>1</v>
      </c>
      <c r="AL263" s="21">
        <f>VLOOKUP($R263,武学奇术!$A:$ZZ,29,FALSE)*(1+IF(OR($AH263=$F$4,$AH263=$F$5),$B$22,0))</f>
        <v>0</v>
      </c>
      <c r="AM263" s="20" cm="1">
        <f t="array" ref="AM263">$G$3+IFERROR(VLOOKUP($AH263,$F$4:$G$7,2,FALSE),0)+VLOOKUP($R263,武学奇术!$A:$ZZ,2,FALSE)+SUM(_xlfn.XLOOKUP($S263:$AG263,增益!$A:$A,增益!$B:$B,0))</f>
        <v>0.5487</v>
      </c>
      <c r="AN263" s="20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1585.72</v>
      </c>
      <c r="AP263" cm="1">
        <f t="array" ref="AP263">$E$10*(1+$AN263)+VLOOKUP($R263,武学奇术!$A:$ZZ,4,FALSE)+SUM(_xlfn.XLOOKUP($S263:$AG263,增益!$A:$A,增益!$D:$D,0))-$I$2</f>
        <v>6696.76</v>
      </c>
      <c r="AQ263" s="29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0.3425</v>
      </c>
      <c r="AR263" s="29" cm="1">
        <f t="array" ref="AR263">$G$10+VLOOKUP($R263,武学奇术!$A:$ZZ,7,FALSE)+SUM(_xlfn.XLOOKUP(S263:AG263,增益!$A:$A,增益!$G:$G,0))</f>
        <v>0</v>
      </c>
      <c r="AS263" s="20" cm="1">
        <f t="array" ref="AS263">VLOOKUP($R263,武学奇术!$A:$ZZ,8,FALSE)+SUM(_xlfn.XLOOKUP(S263:AG263,增益!$A:$A,增益!$H:$H,0))</f>
        <v>0</v>
      </c>
      <c r="AT263">
        <f t="shared" si="126"/>
        <v>538</v>
      </c>
      <c r="AU263">
        <f t="shared" si="127"/>
        <v>1011</v>
      </c>
      <c r="AV263" s="29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0.08</v>
      </c>
      <c r="AW263" s="29" cm="1">
        <f t="array" ref="AW263">$G$11+VLOOKUP($R263,武学奇术!$A:$ZZ,10,FALSE)+SUM(_xlfn.XLOOKUP(S263:AG263,增益!$A:$A,增益!$J:$J,0))</f>
        <v>0.15</v>
      </c>
      <c r="AX263">
        <f t="shared" si="128"/>
        <v>0</v>
      </c>
      <c r="AY263">
        <f t="shared" si="129"/>
        <v>0</v>
      </c>
      <c r="AZ263" s="29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-0.14</v>
      </c>
      <c r="BA263" s="29" cm="1">
        <f t="array" ref="BA263">$G$12+VLOOKUP($R263,武学奇术!$A:$ZZ,12,FALSE)+SUM(_xlfn.XLOOKUP(S263:AG263,增益!$A:$A,增益!$L:$L,0))</f>
        <v>0</v>
      </c>
      <c r="BB263">
        <f t="shared" si="130"/>
        <v>0</v>
      </c>
      <c r="BC263">
        <f t="shared" si="131"/>
        <v>0</v>
      </c>
      <c r="BD263" s="29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-0.14</v>
      </c>
      <c r="BE263" s="29" cm="1">
        <f t="array" ref="BE263">$G$13+VLOOKUP($R263,武学奇术!$A:$ZZ,14,FALSE)+SUM(_xlfn.XLOOKUP(S263:AG263,增益!$A:$A,增益!$N:$N,0))</f>
        <v>0</v>
      </c>
      <c r="BF263">
        <f t="shared" si="132"/>
        <v>0</v>
      </c>
      <c r="BG263">
        <f t="shared" si="133"/>
        <v>0</v>
      </c>
      <c r="BH263" s="29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-0.14</v>
      </c>
      <c r="BI263" s="29" cm="1">
        <f t="array" ref="BI263">$G$14+VLOOKUP($R263,武学奇术!$A:$ZZ,16,FALSE)+SUM(_xlfn.XLOOKUP(S263:AG263,增益!$A:$A,增益!$P:$P,0))</f>
        <v>0</v>
      </c>
      <c r="BJ263" s="20">
        <f>MIN(IF(VLOOKUP($R263,武学奇术!$A:$ZZ,23,FALSE)=1,100%,$B$8),100%)</f>
        <v>0.8271</v>
      </c>
      <c r="BK263" s="20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0.2249</v>
      </c>
      <c r="BL263" s="20" cm="1">
        <f t="array" ref="BL263">1+$B$13+VLOOKUP($R263,武学奇术!$A:$ZZ,18,FALSE)+SUM(_xlfn.XLOOKUP(S263:AG263,增益!$A:$A,增益!$R:$R,0))</f>
        <v>1.5</v>
      </c>
      <c r="BM263" s="20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0.4459</v>
      </c>
      <c r="BN263" s="20" cm="1">
        <f t="array" ref="BN263">1+$B$14+VLOOKUP($R263,武学奇术!$A:$ZZ,20,FALSE)+SUM(_xlfn.XLOOKUP(S263:AG263,增益!$A:$A,增益!$T:$T,0))</f>
        <v>1.602</v>
      </c>
      <c r="BO263" s="20">
        <f t="shared" si="134"/>
        <v>0.18601479</v>
      </c>
      <c r="BP263" s="20">
        <f t="shared" si="135"/>
        <v>0.27228132</v>
      </c>
      <c r="BQ263" s="20">
        <f>IF(VLOOKUP($R263,武学奇术!$A:$ZZ,22,FALSE)=1,0,(1-$BJ263))*(1-$BM263)</f>
        <v>0.09580389</v>
      </c>
      <c r="BR263" s="20" cm="1">
        <f t="array" ref="BR263">SUM(_xlfn.XLOOKUP(S263:AG263,增益!$A:$A,增益!$W:$W,0))+$I$5</f>
        <v>0.11</v>
      </c>
    </row>
    <row r="264" spans="11:70">
      <c r="K264" s="27">
        <f>$L264*VLOOKUP($R264,武学奇术!$A:$ZZ,31,FALSE)</f>
        <v>18935.8912619193</v>
      </c>
      <c r="L264" s="27">
        <f t="shared" si="125"/>
        <v>18935.8912619193</v>
      </c>
      <c r="M264" s="27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16525.3092091731</v>
      </c>
      <c r="N264" s="27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27846.1711944611</v>
      </c>
      <c r="O264" s="27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11016.8728061154</v>
      </c>
      <c r="P264" s="27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4651.6162773612</v>
      </c>
      <c r="Q264" s="35">
        <v>1</v>
      </c>
      <c r="R264" s="36" t="s">
        <v>166</v>
      </c>
      <c r="S264" s="36" t="s">
        <v>71</v>
      </c>
      <c r="T264" s="36" t="s">
        <v>93</v>
      </c>
      <c r="U264" s="36" t="s">
        <v>71</v>
      </c>
      <c r="V264" s="36" t="s">
        <v>71</v>
      </c>
      <c r="W264" s="36" t="s">
        <v>71</v>
      </c>
      <c r="X264" s="36" t="s">
        <v>71</v>
      </c>
      <c r="Y264" s="36" t="s">
        <v>71</v>
      </c>
      <c r="Z264" s="36" t="s">
        <v>71</v>
      </c>
      <c r="AA264" s="36" t="s">
        <v>71</v>
      </c>
      <c r="AB264" s="36" t="s">
        <v>71</v>
      </c>
      <c r="AC264" s="36" t="s">
        <v>71</v>
      </c>
      <c r="AD264" s="36" t="s">
        <v>72</v>
      </c>
      <c r="AE264" s="36" t="s">
        <v>94</v>
      </c>
      <c r="AF264" s="36" t="s">
        <v>154</v>
      </c>
      <c r="AG264" s="36" t="s">
        <v>120</v>
      </c>
      <c r="AH264" t="str">
        <f>VLOOKUP($R264,武学奇术!$A:$ZZ,25,FALSE)</f>
        <v>心法</v>
      </c>
      <c r="AI264" s="20">
        <f>VLOOKUP($R264,武学奇术!$A:$ZZ,26,FALSE)</f>
        <v>1</v>
      </c>
      <c r="AJ264" s="21">
        <f>VLOOKUP($R264,武学奇术!$A:$ZZ,27,FALSE)*(1+IF(OR($AH264=$F$4,$AH264=$F$5),$B$22,0))</f>
        <v>0</v>
      </c>
      <c r="AK264" s="20">
        <f>VLOOKUP($R264,武学奇术!$A:$ZZ,28,FALSE)</f>
        <v>1</v>
      </c>
      <c r="AL264" s="21">
        <f>VLOOKUP($R264,武学奇术!$A:$ZZ,29,FALSE)*(1+IF(OR($AH264=$F$4,$AH264=$F$5),$B$22,0))</f>
        <v>0</v>
      </c>
      <c r="AM264" s="20" cm="1">
        <f t="array" ref="AM264">$G$3+IFERROR(VLOOKUP($AH264,$F$4:$G$7,2,FALSE),0)+VLOOKUP($R264,武学奇术!$A:$ZZ,2,FALSE)+SUM(_xlfn.XLOOKUP($S264:$AG264,增益!$A:$A,增益!$B:$B,0))</f>
        <v>0.5487</v>
      </c>
      <c r="AN264" s="20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1554.72</v>
      </c>
      <c r="AP264" cm="1">
        <f t="array" ref="AP264">$E$10*(1+$AN264)+VLOOKUP($R264,武学奇术!$A:$ZZ,4,FALSE)+SUM(_xlfn.XLOOKUP($S264:$AG264,增益!$A:$A,增益!$D:$D,0))-$I$2</f>
        <v>6665.76</v>
      </c>
      <c r="AQ264" s="29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0.3425</v>
      </c>
      <c r="AR264" s="29" cm="1">
        <f t="array" ref="AR264">$G$10+VLOOKUP($R264,武学奇术!$A:$ZZ,7,FALSE)+SUM(_xlfn.XLOOKUP(S264:AG264,增益!$A:$A,增益!$G:$G,0))</f>
        <v>0</v>
      </c>
      <c r="AS264" s="20" cm="1">
        <f t="array" ref="AS264">VLOOKUP($R264,武学奇术!$A:$ZZ,8,FALSE)+SUM(_xlfn.XLOOKUP(S264:AG264,增益!$A:$A,增益!$H:$H,0))</f>
        <v>0</v>
      </c>
      <c r="AT264">
        <f t="shared" si="126"/>
        <v>538</v>
      </c>
      <c r="AU264">
        <f t="shared" si="127"/>
        <v>1011</v>
      </c>
      <c r="AV264" s="29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0</v>
      </c>
      <c r="AW264" s="29" cm="1">
        <f t="array" ref="AW264">$G$11+VLOOKUP($R264,武学奇术!$A:$ZZ,10,FALSE)+SUM(_xlfn.XLOOKUP(S264:AG264,增益!$A:$A,增益!$J:$J,0))</f>
        <v>0.15</v>
      </c>
      <c r="AX264">
        <f t="shared" si="128"/>
        <v>0</v>
      </c>
      <c r="AY264">
        <f t="shared" si="129"/>
        <v>0</v>
      </c>
      <c r="AZ264" s="29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29" cm="1">
        <f t="array" ref="BA264">$G$12+VLOOKUP($R264,武学奇术!$A:$ZZ,12,FALSE)+SUM(_xlfn.XLOOKUP(S264:AG264,增益!$A:$A,增益!$L:$L,0))</f>
        <v>0</v>
      </c>
      <c r="BB264">
        <f t="shared" si="130"/>
        <v>0</v>
      </c>
      <c r="BC264">
        <f t="shared" si="131"/>
        <v>0</v>
      </c>
      <c r="BD264" s="29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29" cm="1">
        <f t="array" ref="BE264">$G$13+VLOOKUP($R264,武学奇术!$A:$ZZ,14,FALSE)+SUM(_xlfn.XLOOKUP(S264:AG264,增益!$A:$A,增益!$N:$N,0))</f>
        <v>0</v>
      </c>
      <c r="BF264">
        <f t="shared" si="132"/>
        <v>0</v>
      </c>
      <c r="BG264">
        <f t="shared" si="133"/>
        <v>0</v>
      </c>
      <c r="BH264" s="29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29" cm="1">
        <f t="array" ref="BI264">$G$14+VLOOKUP($R264,武学奇术!$A:$ZZ,16,FALSE)+SUM(_xlfn.XLOOKUP(S264:AG264,增益!$A:$A,增益!$P:$P,0))</f>
        <v>0</v>
      </c>
      <c r="BJ264" s="20">
        <f>MIN(IF(VLOOKUP($R264,武学奇术!$A:$ZZ,23,FALSE)=1,100%,$B$8),100%)</f>
        <v>0.8271</v>
      </c>
      <c r="BK264" s="20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0.2249</v>
      </c>
      <c r="BL264" s="20" cm="1">
        <f t="array" ref="BL264">1+$B$13+VLOOKUP($R264,武学奇术!$A:$ZZ,18,FALSE)+SUM(_xlfn.XLOOKUP(S264:AG264,增益!$A:$A,增益!$R:$R,0))</f>
        <v>1.5</v>
      </c>
      <c r="BM264" s="20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0.4459</v>
      </c>
      <c r="BN264" s="20" cm="1">
        <f t="array" ref="BN264">1+$B$14+VLOOKUP($R264,武学奇术!$A:$ZZ,20,FALSE)+SUM(_xlfn.XLOOKUP(S264:AG264,增益!$A:$A,增益!$T:$T,0))</f>
        <v>1.602</v>
      </c>
      <c r="BO264" s="20">
        <f t="shared" si="134"/>
        <v>0.18601479</v>
      </c>
      <c r="BP264" s="20">
        <f t="shared" si="135"/>
        <v>0.27228132</v>
      </c>
      <c r="BQ264" s="20">
        <f>IF(VLOOKUP($R264,武学奇术!$A:$ZZ,22,FALSE)=1,0,(1-$BJ264))*(1-$BM264)</f>
        <v>0.09580389</v>
      </c>
      <c r="BR264" s="20" cm="1">
        <f t="array" ref="BR264">SUM(_xlfn.XLOOKUP(S264:AG264,增益!$A:$A,增益!$W:$W,0))+$I$5</f>
        <v>0.11</v>
      </c>
    </row>
    <row r="265" spans="11:70">
      <c r="K265" s="27">
        <f>$L265*VLOOKUP($R265,武学奇术!$A:$ZZ,31,FALSE)</f>
        <v>19223.1897191715</v>
      </c>
      <c r="L265" s="27">
        <f t="shared" si="125"/>
        <v>19223.1897191715</v>
      </c>
      <c r="M265" s="27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16816.3580224364</v>
      </c>
      <c r="N265" s="27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28216.9313210403</v>
      </c>
      <c r="O265" s="27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11210.9053482909</v>
      </c>
      <c r="P265" s="27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4808.2455773307</v>
      </c>
      <c r="Q265" s="35">
        <v>1</v>
      </c>
      <c r="R265" s="36" t="s">
        <v>166</v>
      </c>
      <c r="S265" s="36" t="s">
        <v>71</v>
      </c>
      <c r="T265" s="36" t="s">
        <v>93</v>
      </c>
      <c r="U265" s="36" t="s">
        <v>71</v>
      </c>
      <c r="V265" s="36" t="s">
        <v>71</v>
      </c>
      <c r="W265" s="36" t="s">
        <v>111</v>
      </c>
      <c r="X265" s="36" t="s">
        <v>71</v>
      </c>
      <c r="Y265" s="36" t="s">
        <v>71</v>
      </c>
      <c r="Z265" s="36" t="s">
        <v>82</v>
      </c>
      <c r="AA265" s="36" t="s">
        <v>71</v>
      </c>
      <c r="AB265" s="36" t="s">
        <v>71</v>
      </c>
      <c r="AC265" s="36" t="s">
        <v>71</v>
      </c>
      <c r="AD265" s="36" t="s">
        <v>72</v>
      </c>
      <c r="AE265" s="36" t="s">
        <v>94</v>
      </c>
      <c r="AF265" s="36" t="s">
        <v>154</v>
      </c>
      <c r="AG265" s="36" t="s">
        <v>120</v>
      </c>
      <c r="AH265" t="str">
        <f>VLOOKUP($R265,武学奇术!$A:$ZZ,25,FALSE)</f>
        <v>心法</v>
      </c>
      <c r="AI265" s="20">
        <f>VLOOKUP($R265,武学奇术!$A:$ZZ,26,FALSE)</f>
        <v>1</v>
      </c>
      <c r="AJ265" s="21">
        <f>VLOOKUP($R265,武学奇术!$A:$ZZ,27,FALSE)*(1+IF(OR($AH265=$F$4,$AH265=$F$5),$B$22,0))</f>
        <v>0</v>
      </c>
      <c r="AK265" s="20">
        <f>VLOOKUP($R265,武学奇术!$A:$ZZ,28,FALSE)</f>
        <v>1</v>
      </c>
      <c r="AL265" s="21">
        <f>VLOOKUP($R265,武学奇术!$A:$ZZ,29,FALSE)*(1+IF(OR($AH265=$F$4,$AH265=$F$5),$B$22,0))</f>
        <v>0</v>
      </c>
      <c r="AM265" s="20" cm="1">
        <f t="array" ref="AM265">$G$3+IFERROR(VLOOKUP($AH265,$F$4:$G$7,2,FALSE),0)+VLOOKUP($R265,武学奇术!$A:$ZZ,2,FALSE)+SUM(_xlfn.XLOOKUP($S265:$AG265,增益!$A:$A,增益!$B:$B,0))</f>
        <v>0.5487</v>
      </c>
      <c r="AN265" s="20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1585.72</v>
      </c>
      <c r="AP265" cm="1">
        <f t="array" ref="AP265">$E$10*(1+$AN265)+VLOOKUP($R265,武学奇术!$A:$ZZ,4,FALSE)+SUM(_xlfn.XLOOKUP($S265:$AG265,增益!$A:$A,增益!$D:$D,0))-$I$2</f>
        <v>6696.76</v>
      </c>
      <c r="AQ265" s="29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0.3425</v>
      </c>
      <c r="AR265" s="29" cm="1">
        <f t="array" ref="AR265">$G$10+VLOOKUP($R265,武学奇术!$A:$ZZ,7,FALSE)+SUM(_xlfn.XLOOKUP(S265:AG265,增益!$A:$A,增益!$G:$G,0))</f>
        <v>0</v>
      </c>
      <c r="AS265" s="20" cm="1">
        <f t="array" ref="AS265">VLOOKUP($R265,武学奇术!$A:$ZZ,8,FALSE)+SUM(_xlfn.XLOOKUP(S265:AG265,增益!$A:$A,增益!$H:$H,0))</f>
        <v>0</v>
      </c>
      <c r="AT265">
        <f t="shared" si="126"/>
        <v>538</v>
      </c>
      <c r="AU265">
        <f t="shared" si="127"/>
        <v>1011</v>
      </c>
      <c r="AV265" s="29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0.08</v>
      </c>
      <c r="AW265" s="29" cm="1">
        <f t="array" ref="AW265">$G$11+VLOOKUP($R265,武学奇术!$A:$ZZ,10,FALSE)+SUM(_xlfn.XLOOKUP(S265:AG265,增益!$A:$A,增益!$J:$J,0))</f>
        <v>0.15</v>
      </c>
      <c r="AX265">
        <f t="shared" si="128"/>
        <v>0</v>
      </c>
      <c r="AY265">
        <f t="shared" si="129"/>
        <v>0</v>
      </c>
      <c r="AZ265" s="29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-0.14</v>
      </c>
      <c r="BA265" s="29" cm="1">
        <f t="array" ref="BA265">$G$12+VLOOKUP($R265,武学奇术!$A:$ZZ,12,FALSE)+SUM(_xlfn.XLOOKUP(S265:AG265,增益!$A:$A,增益!$L:$L,0))</f>
        <v>0</v>
      </c>
      <c r="BB265">
        <f t="shared" si="130"/>
        <v>0</v>
      </c>
      <c r="BC265">
        <f t="shared" si="131"/>
        <v>0</v>
      </c>
      <c r="BD265" s="29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-0.14</v>
      </c>
      <c r="BE265" s="29" cm="1">
        <f t="array" ref="BE265">$G$13+VLOOKUP($R265,武学奇术!$A:$ZZ,14,FALSE)+SUM(_xlfn.XLOOKUP(S265:AG265,增益!$A:$A,增益!$N:$N,0))</f>
        <v>0</v>
      </c>
      <c r="BF265">
        <f t="shared" si="132"/>
        <v>0</v>
      </c>
      <c r="BG265">
        <f t="shared" si="133"/>
        <v>0</v>
      </c>
      <c r="BH265" s="29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-0.14</v>
      </c>
      <c r="BI265" s="29" cm="1">
        <f t="array" ref="BI265">$G$14+VLOOKUP($R265,武学奇术!$A:$ZZ,16,FALSE)+SUM(_xlfn.XLOOKUP(S265:AG265,增益!$A:$A,增益!$P:$P,0))</f>
        <v>0</v>
      </c>
      <c r="BJ265" s="20">
        <f>MIN(IF(VLOOKUP($R265,武学奇术!$A:$ZZ,23,FALSE)=1,100%,$B$8),100%)</f>
        <v>0.8271</v>
      </c>
      <c r="BK265" s="20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0.2249</v>
      </c>
      <c r="BL265" s="20" cm="1">
        <f t="array" ref="BL265">1+$B$13+VLOOKUP($R265,武学奇术!$A:$ZZ,18,FALSE)+SUM(_xlfn.XLOOKUP(S265:AG265,增益!$A:$A,增益!$R:$R,0))</f>
        <v>1.5</v>
      </c>
      <c r="BM265" s="20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0.4459</v>
      </c>
      <c r="BN265" s="20" cm="1">
        <f t="array" ref="BN265">1+$B$14+VLOOKUP($R265,武学奇术!$A:$ZZ,20,FALSE)+SUM(_xlfn.XLOOKUP(S265:AG265,增益!$A:$A,增益!$T:$T,0))</f>
        <v>1.602</v>
      </c>
      <c r="BO265" s="20">
        <f t="shared" si="134"/>
        <v>0.18601479</v>
      </c>
      <c r="BP265" s="20">
        <f t="shared" si="135"/>
        <v>0.27228132</v>
      </c>
      <c r="BQ265" s="20">
        <f>IF(VLOOKUP($R265,武学奇术!$A:$ZZ,22,FALSE)=1,0,(1-$BJ265))*(1-$BM265)</f>
        <v>0.09580389</v>
      </c>
      <c r="BR265" s="20" cm="1">
        <f t="array" ref="BR265">SUM(_xlfn.XLOOKUP(S265:AG265,增益!$A:$A,增益!$W:$W,0))+$I$5</f>
        <v>0.11</v>
      </c>
    </row>
    <row r="266" spans="11:70">
      <c r="K266" s="27">
        <f>$L266*VLOOKUP($R266,武学奇术!$A:$ZZ,31,FALSE)</f>
        <v>19033.2925084267</v>
      </c>
      <c r="L266" s="27">
        <f t="shared" si="125"/>
        <v>19033.2925084267</v>
      </c>
      <c r="M266" s="27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16632.6234912194</v>
      </c>
      <c r="N266" s="27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27960.7828476865</v>
      </c>
      <c r="O266" s="27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11088.4156608129</v>
      </c>
      <c r="P266" s="27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4723.1591320587</v>
      </c>
      <c r="Q266" s="35">
        <v>1</v>
      </c>
      <c r="R266" s="36" t="s">
        <v>166</v>
      </c>
      <c r="S266" s="36" t="s">
        <v>71</v>
      </c>
      <c r="T266" s="36" t="s">
        <v>93</v>
      </c>
      <c r="U266" s="36" t="s">
        <v>71</v>
      </c>
      <c r="V266" s="36" t="s">
        <v>71</v>
      </c>
      <c r="W266" s="36" t="s">
        <v>111</v>
      </c>
      <c r="X266" s="36" t="s">
        <v>71</v>
      </c>
      <c r="Y266" s="36" t="s">
        <v>71</v>
      </c>
      <c r="Z266" s="36" t="s">
        <v>71</v>
      </c>
      <c r="AA266" s="36" t="s">
        <v>71</v>
      </c>
      <c r="AB266" s="36" t="s">
        <v>71</v>
      </c>
      <c r="AC266" s="36" t="s">
        <v>71</v>
      </c>
      <c r="AD266" s="36" t="s">
        <v>72</v>
      </c>
      <c r="AE266" s="36" t="s">
        <v>94</v>
      </c>
      <c r="AF266" s="36" t="s">
        <v>154</v>
      </c>
      <c r="AG266" s="36" t="s">
        <v>120</v>
      </c>
      <c r="AH266" t="str">
        <f>VLOOKUP($R266,武学奇术!$A:$ZZ,25,FALSE)</f>
        <v>心法</v>
      </c>
      <c r="AI266" s="20">
        <f>VLOOKUP($R266,武学奇术!$A:$ZZ,26,FALSE)</f>
        <v>1</v>
      </c>
      <c r="AJ266" s="21">
        <f>VLOOKUP($R266,武学奇术!$A:$ZZ,27,FALSE)*(1+IF(OR($AH266=$F$4,$AH266=$F$5),$B$22,0))</f>
        <v>0</v>
      </c>
      <c r="AK266" s="20">
        <f>VLOOKUP($R266,武学奇术!$A:$ZZ,28,FALSE)</f>
        <v>1</v>
      </c>
      <c r="AL266" s="21">
        <f>VLOOKUP($R266,武学奇术!$A:$ZZ,29,FALSE)*(1+IF(OR($AH266=$F$4,$AH266=$F$5),$B$22,0))</f>
        <v>0</v>
      </c>
      <c r="AM266" s="20" cm="1">
        <f t="array" ref="AM266">$G$3+IFERROR(VLOOKUP($AH266,$F$4:$G$7,2,FALSE),0)+VLOOKUP($R266,武学奇术!$A:$ZZ,2,FALSE)+SUM(_xlfn.XLOOKUP($S266:$AG266,增益!$A:$A,增益!$B:$B,0))</f>
        <v>0.5487</v>
      </c>
      <c r="AN266" s="20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1585.72</v>
      </c>
      <c r="AP266" cm="1">
        <f t="array" ref="AP266">$E$10*(1+$AN266)+VLOOKUP($R266,武学奇术!$A:$ZZ,4,FALSE)+SUM(_xlfn.XLOOKUP($S266:$AG266,增益!$A:$A,增益!$D:$D,0))-$I$2</f>
        <v>6696.76</v>
      </c>
      <c r="AQ266" s="29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0.3425</v>
      </c>
      <c r="AR266" s="29" cm="1">
        <f t="array" ref="AR266">$G$10+VLOOKUP($R266,武学奇术!$A:$ZZ,7,FALSE)+SUM(_xlfn.XLOOKUP(S266:AG266,增益!$A:$A,增益!$G:$G,0))</f>
        <v>0</v>
      </c>
      <c r="AS266" s="20" cm="1">
        <f t="array" ref="AS266">VLOOKUP($R266,武学奇术!$A:$ZZ,8,FALSE)+SUM(_xlfn.XLOOKUP(S266:AG266,增益!$A:$A,增益!$H:$H,0))</f>
        <v>0</v>
      </c>
      <c r="AT266">
        <f t="shared" si="126"/>
        <v>538</v>
      </c>
      <c r="AU266">
        <f t="shared" si="127"/>
        <v>1011</v>
      </c>
      <c r="AV266" s="29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0</v>
      </c>
      <c r="AW266" s="29" cm="1">
        <f t="array" ref="AW266">$G$11+VLOOKUP($R266,武学奇术!$A:$ZZ,10,FALSE)+SUM(_xlfn.XLOOKUP(S266:AG266,增益!$A:$A,增益!$J:$J,0))</f>
        <v>0.15</v>
      </c>
      <c r="AX266">
        <f t="shared" si="128"/>
        <v>0</v>
      </c>
      <c r="AY266">
        <f t="shared" si="129"/>
        <v>0</v>
      </c>
      <c r="AZ266" s="29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29" cm="1">
        <f t="array" ref="BA266">$G$12+VLOOKUP($R266,武学奇术!$A:$ZZ,12,FALSE)+SUM(_xlfn.XLOOKUP(S266:AG266,增益!$A:$A,增益!$L:$L,0))</f>
        <v>0</v>
      </c>
      <c r="BB266">
        <f t="shared" si="130"/>
        <v>0</v>
      </c>
      <c r="BC266">
        <f t="shared" si="131"/>
        <v>0</v>
      </c>
      <c r="BD266" s="29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29" cm="1">
        <f t="array" ref="BE266">$G$13+VLOOKUP($R266,武学奇术!$A:$ZZ,14,FALSE)+SUM(_xlfn.XLOOKUP(S266:AG266,增益!$A:$A,增益!$N:$N,0))</f>
        <v>0</v>
      </c>
      <c r="BF266">
        <f t="shared" si="132"/>
        <v>0</v>
      </c>
      <c r="BG266">
        <f t="shared" si="133"/>
        <v>0</v>
      </c>
      <c r="BH266" s="29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29" cm="1">
        <f t="array" ref="BI266">$G$14+VLOOKUP($R266,武学奇术!$A:$ZZ,16,FALSE)+SUM(_xlfn.XLOOKUP(S266:AG266,增益!$A:$A,增益!$P:$P,0))</f>
        <v>0</v>
      </c>
      <c r="BJ266" s="20">
        <f>MIN(IF(VLOOKUP($R266,武学奇术!$A:$ZZ,23,FALSE)=1,100%,$B$8),100%)</f>
        <v>0.8271</v>
      </c>
      <c r="BK266" s="20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0.2249</v>
      </c>
      <c r="BL266" s="20" cm="1">
        <f t="array" ref="BL266">1+$B$13+VLOOKUP($R266,武学奇术!$A:$ZZ,18,FALSE)+SUM(_xlfn.XLOOKUP(S266:AG266,增益!$A:$A,增益!$R:$R,0))</f>
        <v>1.5</v>
      </c>
      <c r="BM266" s="20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0.4459</v>
      </c>
      <c r="BN266" s="20" cm="1">
        <f t="array" ref="BN266">1+$B$14+VLOOKUP($R266,武学奇术!$A:$ZZ,20,FALSE)+SUM(_xlfn.XLOOKUP(S266:AG266,增益!$A:$A,增益!$T:$T,0))</f>
        <v>1.602</v>
      </c>
      <c r="BO266" s="20">
        <f t="shared" si="134"/>
        <v>0.18601479</v>
      </c>
      <c r="BP266" s="20">
        <f t="shared" si="135"/>
        <v>0.27228132</v>
      </c>
      <c r="BQ266" s="20">
        <f>IF(VLOOKUP($R266,武学奇术!$A:$ZZ,22,FALSE)=1,0,(1-$BJ266))*(1-$BM266)</f>
        <v>0.09580389</v>
      </c>
      <c r="BR266" s="20" cm="1">
        <f t="array" ref="BR266">SUM(_xlfn.XLOOKUP(S266:AG266,增益!$A:$A,增益!$W:$W,0))+$I$5</f>
        <v>0.11</v>
      </c>
    </row>
    <row r="267" spans="11:70">
      <c r="K267" s="27">
        <f>$L267*VLOOKUP($R267,武学奇术!$A:$ZZ,31,FALSE)</f>
        <v>23246.2931214499</v>
      </c>
      <c r="L267" s="27">
        <f t="shared" si="125"/>
        <v>23246.2931214499</v>
      </c>
      <c r="M267" s="27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20360.4675268964</v>
      </c>
      <c r="N267" s="27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34090.5732978001</v>
      </c>
      <c r="O267" s="27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13573.6450179309</v>
      </c>
      <c r="P267" s="27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5867.2817351127</v>
      </c>
      <c r="Q267" s="35">
        <v>1</v>
      </c>
      <c r="R267" s="36" t="s">
        <v>166</v>
      </c>
      <c r="S267" s="36" t="s">
        <v>152</v>
      </c>
      <c r="T267" s="36" t="s">
        <v>93</v>
      </c>
      <c r="U267" s="36" t="s">
        <v>71</v>
      </c>
      <c r="V267" s="36" t="s">
        <v>71</v>
      </c>
      <c r="W267" s="36" t="s">
        <v>111</v>
      </c>
      <c r="X267" s="36" t="s">
        <v>158</v>
      </c>
      <c r="Y267" s="36" t="s">
        <v>153</v>
      </c>
      <c r="Z267" s="36" t="s">
        <v>82</v>
      </c>
      <c r="AA267" s="36" t="s">
        <v>71</v>
      </c>
      <c r="AB267" s="36" t="s">
        <v>71</v>
      </c>
      <c r="AC267" s="36" t="s">
        <v>71</v>
      </c>
      <c r="AD267" s="36" t="s">
        <v>72</v>
      </c>
      <c r="AE267" s="36" t="s">
        <v>94</v>
      </c>
      <c r="AF267" s="36" t="s">
        <v>154</v>
      </c>
      <c r="AG267" s="36" t="s">
        <v>120</v>
      </c>
      <c r="AH267" t="str">
        <f>VLOOKUP($R267,武学奇术!$A:$ZZ,25,FALSE)</f>
        <v>心法</v>
      </c>
      <c r="AI267" s="20">
        <f>VLOOKUP($R267,武学奇术!$A:$ZZ,26,FALSE)</f>
        <v>1</v>
      </c>
      <c r="AJ267" s="21">
        <f>VLOOKUP($R267,武学奇术!$A:$ZZ,27,FALSE)*(1+IF(OR($AH267=$F$4,$AH267=$F$5),$B$22,0))</f>
        <v>0</v>
      </c>
      <c r="AK267" s="20">
        <f>VLOOKUP($R267,武学奇术!$A:$ZZ,28,FALSE)</f>
        <v>1</v>
      </c>
      <c r="AL267" s="21">
        <f>VLOOKUP($R267,武学奇术!$A:$ZZ,29,FALSE)*(1+IF(OR($AH267=$F$4,$AH267=$F$5),$B$22,0))</f>
        <v>0</v>
      </c>
      <c r="AM267" s="20" cm="1">
        <f t="array" ref="AM267">$G$3+IFERROR(VLOOKUP($AH267,$F$4:$G$7,2,FALSE),0)+VLOOKUP($R267,武学奇术!$A:$ZZ,2,FALSE)+SUM(_xlfn.XLOOKUP($S267:$AG267,增益!$A:$A,增益!$B:$B,0))</f>
        <v>0.5687</v>
      </c>
      <c r="AN267" s="20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1585.72</v>
      </c>
      <c r="AP267" cm="1">
        <f t="array" ref="AP267">$E$10*(1+$AN267)+VLOOKUP($R267,武学奇术!$A:$ZZ,4,FALSE)+SUM(_xlfn.XLOOKUP($S267:$AG267,增益!$A:$A,增益!$D:$D,0))-$I$2</f>
        <v>6696.76</v>
      </c>
      <c r="AQ267" s="29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0.3425</v>
      </c>
      <c r="AR267" s="29" cm="1">
        <f t="array" ref="AR267">$G$10+VLOOKUP($R267,武学奇术!$A:$ZZ,7,FALSE)+SUM(_xlfn.XLOOKUP(S267:AG267,增益!$A:$A,增益!$G:$G,0))</f>
        <v>0</v>
      </c>
      <c r="AS267" s="20" cm="1">
        <f t="array" ref="AS267">VLOOKUP($R267,武学奇术!$A:$ZZ,8,FALSE)+SUM(_xlfn.XLOOKUP(S267:AG267,增益!$A:$A,增益!$H:$H,0))</f>
        <v>0</v>
      </c>
      <c r="AT267">
        <f t="shared" si="126"/>
        <v>538</v>
      </c>
      <c r="AU267">
        <f t="shared" si="127"/>
        <v>1011</v>
      </c>
      <c r="AV267" s="29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0.08</v>
      </c>
      <c r="AW267" s="29" cm="1">
        <f t="array" ref="AW267">$G$11+VLOOKUP($R267,武学奇术!$A:$ZZ,10,FALSE)+SUM(_xlfn.XLOOKUP(S267:AG267,增益!$A:$A,增益!$J:$J,0))</f>
        <v>0.25</v>
      </c>
      <c r="AX267">
        <f t="shared" si="128"/>
        <v>0</v>
      </c>
      <c r="AY267">
        <f t="shared" si="129"/>
        <v>0</v>
      </c>
      <c r="AZ267" s="29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-0.14</v>
      </c>
      <c r="BA267" s="29" cm="1">
        <f t="array" ref="BA267">$G$12+VLOOKUP($R267,武学奇术!$A:$ZZ,12,FALSE)+SUM(_xlfn.XLOOKUP(S267:AG267,增益!$A:$A,增益!$L:$L,0))</f>
        <v>0</v>
      </c>
      <c r="BB267">
        <f t="shared" si="130"/>
        <v>0</v>
      </c>
      <c r="BC267">
        <f t="shared" si="131"/>
        <v>0</v>
      </c>
      <c r="BD267" s="29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-0.14</v>
      </c>
      <c r="BE267" s="29" cm="1">
        <f t="array" ref="BE267">$G$13+VLOOKUP($R267,武学奇术!$A:$ZZ,14,FALSE)+SUM(_xlfn.XLOOKUP(S267:AG267,增益!$A:$A,增益!$N:$N,0))</f>
        <v>0</v>
      </c>
      <c r="BF267">
        <f t="shared" si="132"/>
        <v>0</v>
      </c>
      <c r="BG267">
        <f t="shared" si="133"/>
        <v>0</v>
      </c>
      <c r="BH267" s="29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-0.14</v>
      </c>
      <c r="BI267" s="29" cm="1">
        <f t="array" ref="BI267">$G$14+VLOOKUP($R267,武学奇术!$A:$ZZ,16,FALSE)+SUM(_xlfn.XLOOKUP(S267:AG267,增益!$A:$A,增益!$P:$P,0))</f>
        <v>0</v>
      </c>
      <c r="BJ267" s="20">
        <f>MIN(IF(VLOOKUP($R267,武学奇术!$A:$ZZ,23,FALSE)=1,100%,$B$8),100%)</f>
        <v>0.8271</v>
      </c>
      <c r="BK267" s="20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0.2249</v>
      </c>
      <c r="BL267" s="20" cm="1">
        <f t="array" ref="BL267">1+$B$13+VLOOKUP($R267,武学奇术!$A:$ZZ,18,FALSE)+SUM(_xlfn.XLOOKUP(S267:AG267,增益!$A:$A,增益!$R:$R,0))</f>
        <v>1.5</v>
      </c>
      <c r="BM267" s="20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0.4459</v>
      </c>
      <c r="BN267" s="20" cm="1">
        <f t="array" ref="BN267">1+$B$14+VLOOKUP($R267,武学奇术!$A:$ZZ,20,FALSE)+SUM(_xlfn.XLOOKUP(S267:AG267,增益!$A:$A,增益!$T:$T,0))</f>
        <v>1.602</v>
      </c>
      <c r="BO267" s="20">
        <f t="shared" si="134"/>
        <v>0.18601479</v>
      </c>
      <c r="BP267" s="20">
        <f t="shared" si="135"/>
        <v>0.27228132</v>
      </c>
      <c r="BQ267" s="20">
        <f>IF(VLOOKUP($R267,武学奇术!$A:$ZZ,22,FALSE)=1,0,(1-$BJ267))*(1-$BM267)</f>
        <v>0.09580389</v>
      </c>
      <c r="BR267" s="20" cm="1">
        <f t="array" ref="BR267">SUM(_xlfn.XLOOKUP(S267:AG267,增益!$A:$A,增益!$W:$W,0))+$I$5</f>
        <v>0.31</v>
      </c>
    </row>
  </sheetData>
  <mergeCells count="18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F30" sqref="F30"/>
    </sheetView>
  </sheetViews>
  <sheetFormatPr defaultColWidth="9" defaultRowHeight="13.5"/>
  <cols>
    <col min="1" max="1" width="12.875" customWidth="1"/>
    <col min="11" max="11" width="12.625" style="27" customWidth="1"/>
    <col min="12" max="16" width="12.625" style="21" customWidth="1"/>
    <col min="18" max="18" width="24.625" style="28" customWidth="1"/>
    <col min="19" max="33" width="9" style="28"/>
    <col min="35" max="35" width="9" style="20"/>
    <col min="36" max="36" width="9" style="21"/>
    <col min="37" max="37" width="9" style="20"/>
    <col min="38" max="38" width="9" style="21"/>
    <col min="39" max="40" width="9" style="20"/>
    <col min="43" max="45" width="9" style="29"/>
    <col min="48" max="49" width="9" style="29"/>
    <col min="62" max="66" width="9" style="20"/>
    <col min="67" max="68" width="9.00833333333333" style="20" customWidth="1"/>
    <col min="69" max="70" width="9" style="20"/>
  </cols>
  <sheetData>
    <row r="1" spans="1:70">
      <c r="A1" s="30"/>
      <c r="B1" s="31" t="s">
        <v>0</v>
      </c>
      <c r="C1" s="31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3" t="s">
        <v>6</v>
      </c>
      <c r="I1" s="34"/>
      <c r="K1" s="27" t="s">
        <v>7</v>
      </c>
      <c r="L1" s="27" t="s">
        <v>8</v>
      </c>
      <c r="M1" s="27" t="s">
        <v>9</v>
      </c>
      <c r="N1" s="27" t="s">
        <v>10</v>
      </c>
      <c r="O1" s="27" t="s">
        <v>11</v>
      </c>
      <c r="P1" s="27" t="s">
        <v>12</v>
      </c>
      <c r="Q1" s="35" t="s">
        <v>13</v>
      </c>
      <c r="R1" s="36" t="s">
        <v>14</v>
      </c>
      <c r="S1" s="36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  <c r="AD1" s="36" t="s">
        <v>26</v>
      </c>
      <c r="AE1" s="36" t="s">
        <v>27</v>
      </c>
      <c r="AF1" s="36" t="s">
        <v>28</v>
      </c>
      <c r="AG1" s="36" t="s">
        <v>29</v>
      </c>
      <c r="AH1" t="s">
        <v>30</v>
      </c>
      <c r="AI1" s="20" t="s">
        <v>31</v>
      </c>
      <c r="AJ1" s="21" t="s">
        <v>32</v>
      </c>
      <c r="AK1" s="20" t="s">
        <v>33</v>
      </c>
      <c r="AL1" s="21" t="s">
        <v>34</v>
      </c>
      <c r="AM1" s="20" t="s">
        <v>35</v>
      </c>
      <c r="AN1" s="20" t="s">
        <v>36</v>
      </c>
      <c r="AO1" t="s">
        <v>37</v>
      </c>
      <c r="AP1" t="s">
        <v>38</v>
      </c>
      <c r="AQ1" s="29" t="s">
        <v>39</v>
      </c>
      <c r="AR1" s="29" t="s">
        <v>40</v>
      </c>
      <c r="AS1" s="29" t="s">
        <v>41</v>
      </c>
      <c r="AT1" t="s">
        <v>42</v>
      </c>
      <c r="AU1" t="s">
        <v>43</v>
      </c>
      <c r="AV1" s="29" t="s">
        <v>44</v>
      </c>
      <c r="AW1" s="29" t="s">
        <v>45</v>
      </c>
      <c r="AX1" t="s">
        <v>46</v>
      </c>
      <c r="AY1" t="s">
        <v>47</v>
      </c>
      <c r="AZ1" s="29" t="s">
        <v>48</v>
      </c>
      <c r="BA1" s="29" t="s">
        <v>49</v>
      </c>
      <c r="BB1" t="s">
        <v>50</v>
      </c>
      <c r="BC1" t="s">
        <v>51</v>
      </c>
      <c r="BD1" s="29" t="s">
        <v>52</v>
      </c>
      <c r="BE1" s="29" t="s">
        <v>53</v>
      </c>
      <c r="BF1" t="s">
        <v>54</v>
      </c>
      <c r="BG1" t="s">
        <v>55</v>
      </c>
      <c r="BH1" s="29" t="s">
        <v>56</v>
      </c>
      <c r="BI1" s="29" t="s">
        <v>57</v>
      </c>
      <c r="BJ1" s="20" t="s">
        <v>58</v>
      </c>
      <c r="BK1" s="20" t="s">
        <v>59</v>
      </c>
      <c r="BL1" s="20" t="s">
        <v>60</v>
      </c>
      <c r="BM1" s="20" t="s">
        <v>61</v>
      </c>
      <c r="BN1" s="20" t="s">
        <v>62</v>
      </c>
      <c r="BO1" s="20" t="s">
        <v>63</v>
      </c>
      <c r="BP1" s="20" t="s">
        <v>64</v>
      </c>
      <c r="BQ1" s="20" t="s">
        <v>65</v>
      </c>
      <c r="BR1" s="20" t="s">
        <v>66</v>
      </c>
    </row>
    <row r="2" spans="1:70">
      <c r="A2" s="37" t="s">
        <v>67</v>
      </c>
      <c r="B2" s="28"/>
      <c r="C2" s="28"/>
      <c r="D2" s="28"/>
      <c r="E2" s="38"/>
      <c r="F2" s="39" t="s">
        <v>68</v>
      </c>
      <c r="G2" s="40" t="s">
        <v>69</v>
      </c>
      <c r="H2" s="41" t="s">
        <v>70</v>
      </c>
      <c r="I2" s="11">
        <f>620*IF(F17="√",0.94,1)</f>
        <v>620</v>
      </c>
      <c r="K2" s="27">
        <f>$L2*VLOOKUP($R2,武学奇术!$A:$ZZ,31,FALSE)</f>
        <v>0</v>
      </c>
      <c r="L2" s="27">
        <f t="shared" ref="L2:L65" si="0">($M2*$BO2+$N2*$BM2+$O2*$BP2+$P2*$BQ2)</f>
        <v>0</v>
      </c>
      <c r="M2" s="27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0</v>
      </c>
      <c r="N2" s="27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0</v>
      </c>
      <c r="O2" s="27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0</v>
      </c>
      <c r="P2" s="27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0</v>
      </c>
      <c r="Q2" s="35">
        <v>1</v>
      </c>
      <c r="R2" s="36" t="s">
        <v>71</v>
      </c>
      <c r="S2" s="36" t="s">
        <v>71</v>
      </c>
      <c r="T2" s="36" t="s">
        <v>71</v>
      </c>
      <c r="U2" s="36" t="s">
        <v>71</v>
      </c>
      <c r="V2" s="36" t="s">
        <v>71</v>
      </c>
      <c r="W2" s="36" t="s">
        <v>71</v>
      </c>
      <c r="X2" s="36" t="s">
        <v>71</v>
      </c>
      <c r="Y2" s="36" t="s">
        <v>71</v>
      </c>
      <c r="Z2" s="36" t="s">
        <v>71</v>
      </c>
      <c r="AA2" s="36" t="s">
        <v>71</v>
      </c>
      <c r="AB2" s="36" t="s">
        <v>71</v>
      </c>
      <c r="AC2" s="36" t="s">
        <v>71</v>
      </c>
      <c r="AD2" s="36" t="s">
        <v>72</v>
      </c>
      <c r="AE2" s="36" t="s">
        <v>73</v>
      </c>
      <c r="AF2" s="36" t="s">
        <v>74</v>
      </c>
      <c r="AG2" s="36" t="s">
        <v>75</v>
      </c>
      <c r="AH2" t="str">
        <f>VLOOKUP($R2,武学奇术!$A:$ZZ,25,FALSE)</f>
        <v>心法</v>
      </c>
      <c r="AI2" s="20">
        <f>VLOOKUP($R2,武学奇术!$A:$ZZ,26,FALSE)</f>
        <v>0</v>
      </c>
      <c r="AJ2" s="21">
        <f>VLOOKUP($R2,武学奇术!$A:$ZZ,27,FALSE)*(1+IF(OR($AH2=$F$4,$AH2=$F$5),$B$22,0))</f>
        <v>0</v>
      </c>
      <c r="AK2" s="20">
        <f>VLOOKUP($R2,武学奇术!$A:$ZZ,28,FALSE)</f>
        <v>0</v>
      </c>
      <c r="AL2" s="21">
        <f>VLOOKUP($R2,武学奇术!$A:$ZZ,29,FALSE)*(1+IF(OR($AH2=$F$4,$AH2=$F$5),$B$22,0))</f>
        <v>0</v>
      </c>
      <c r="AM2" s="20" cm="1">
        <f t="array" ref="AM2">$G$3+IFERROR(VLOOKUP($AH2,$F$4:$G$7,2,FALSE),0)+VLOOKUP($R2,武学奇术!$A:$ZZ,2,FALSE)+SUM(_xlfn.XLOOKUP($S2:$AG2,增益!$A:$A,增益!$B:$B,0))</f>
        <v>0.2137</v>
      </c>
      <c r="AN2" s="20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1517.52</v>
      </c>
      <c r="AP2" cm="1">
        <f t="array" ref="AP2">$E$10*(1+$AN2)+VLOOKUP($R2,武学奇术!$A:$ZZ,4,FALSE)+SUM(_xlfn.XLOOKUP($S2:$AG2,增益!$A:$A,增益!$D:$D,0))-$I$2</f>
        <v>6628.56</v>
      </c>
      <c r="AQ2" s="29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0.2025</v>
      </c>
      <c r="AR2" s="29" cm="1">
        <f t="array" ref="AR2">$G$10+VLOOKUP($R2,武学奇术!$A:$ZZ,7,FALSE)+SUM(_xlfn.XLOOKUP(S2:AG2,增益!$A:$A,增益!$G:$G,0))</f>
        <v>0</v>
      </c>
      <c r="AS2" s="20" cm="1">
        <f t="array" ref="AS2">VLOOKUP($R2,武学奇术!$A:$ZZ,8,FALSE)+SUM(_xlfn.XLOOKUP(S2:AG2,增益!$A:$A,增益!$H:$H,0))</f>
        <v>0</v>
      </c>
      <c r="AT2">
        <f t="shared" ref="AT2:AT65" si="1">$D$11*(1+$AS2)</f>
        <v>538</v>
      </c>
      <c r="AU2">
        <f t="shared" ref="AU2:AU65" si="2">$E$11*(1+$AS2)</f>
        <v>1011</v>
      </c>
      <c r="AV2" s="29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29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29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29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29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29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29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29" cm="1">
        <f t="array" ref="BI2">$G$14+VLOOKUP($R2,武学奇术!$A:$ZZ,16,FALSE)+SUM(_xlfn.XLOOKUP(S2:AG2,增益!$A:$A,增益!$P:$P,0))</f>
        <v>0</v>
      </c>
      <c r="BJ2" s="20">
        <f>MIN(IF(VLOOKUP($R2,武学奇术!$A:$ZZ,23,FALSE)=1,100%,$B$8),100%)</f>
        <v>0.8271</v>
      </c>
      <c r="BK2" s="20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0.2249</v>
      </c>
      <c r="BL2" s="20" cm="1">
        <f t="array" ref="BL2">1+$B$13+VLOOKUP($R2,武学奇术!$A:$ZZ,18,FALSE)+SUM(_xlfn.XLOOKUP(S2:AG2,增益!$A:$A,增益!$R:$R,0))</f>
        <v>1.5</v>
      </c>
      <c r="BM2" s="20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0.4159</v>
      </c>
      <c r="BN2" s="20" cm="1">
        <f t="array" ref="BN2">1+$B$14+VLOOKUP($R2,武学奇术!$A:$ZZ,20,FALSE)+SUM(_xlfn.XLOOKUP(S2:AG2,增益!$A:$A,增益!$T:$T,0))</f>
        <v>1.412</v>
      </c>
      <c r="BO2" s="20">
        <f t="shared" ref="BO2:BO65" si="9">MIN((1-BM2)*BJ2,BJ2*BK2)</f>
        <v>0.18601479</v>
      </c>
      <c r="BP2" s="20">
        <f t="shared" ref="BP2:BP65" si="10">1-BM2-BO2-BQ2</f>
        <v>0.29709432</v>
      </c>
      <c r="BQ2" s="20">
        <f>IF(VLOOKUP($R2,武学奇术!$A:$ZZ,22,FALSE)=1,0,(1-$BJ2))*(1-$BM2)</f>
        <v>0.10099089</v>
      </c>
      <c r="BR2" s="20" cm="1">
        <f t="array" ref="BR2">SUM(_xlfn.XLOOKUP(S2:AG2,增益!$A:$A,增益!$W:$W,0))+$I$5</f>
        <v>0.11</v>
      </c>
    </row>
    <row r="3" spans="1:70">
      <c r="A3" s="42" t="s">
        <v>5</v>
      </c>
      <c r="B3" s="43"/>
      <c r="C3" s="43"/>
      <c r="D3" s="43"/>
      <c r="E3" s="44"/>
      <c r="F3" s="41" t="s">
        <v>35</v>
      </c>
      <c r="G3" s="45">
        <f>B16+1.5%+IF($D$16="√",8%,0)</f>
        <v>0.1037</v>
      </c>
      <c r="H3" s="41" t="s">
        <v>76</v>
      </c>
      <c r="I3" s="11">
        <f>25-IF(D17="√",10,0)-IF(F17="√",10,0)</f>
        <v>25</v>
      </c>
      <c r="K3" s="27">
        <f>$L3*VLOOKUP($R3,武学奇术!$A:$ZZ,31,FALSE)</f>
        <v>64623.889952006</v>
      </c>
      <c r="L3" s="27">
        <f t="shared" si="0"/>
        <v>64623.889952006</v>
      </c>
      <c r="M3" s="27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63506.7407894604</v>
      </c>
      <c r="N3" s="27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91994.8956972578</v>
      </c>
      <c r="O3" s="27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42337.8271929736</v>
      </c>
      <c r="P3" s="27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19523.461965793</v>
      </c>
      <c r="Q3" s="35">
        <v>1</v>
      </c>
      <c r="R3" s="36" t="s">
        <v>77</v>
      </c>
      <c r="S3" s="36" t="s">
        <v>71</v>
      </c>
      <c r="T3" s="36" t="s">
        <v>71</v>
      </c>
      <c r="U3" s="36" t="s">
        <v>71</v>
      </c>
      <c r="V3" s="36" t="s">
        <v>71</v>
      </c>
      <c r="W3" s="36" t="s">
        <v>71</v>
      </c>
      <c r="X3" s="36" t="s">
        <v>71</v>
      </c>
      <c r="Y3" s="36" t="s">
        <v>71</v>
      </c>
      <c r="Z3" s="36" t="s">
        <v>71</v>
      </c>
      <c r="AA3" s="36" t="s">
        <v>71</v>
      </c>
      <c r="AB3" s="36" t="s">
        <v>71</v>
      </c>
      <c r="AC3" s="36" t="s">
        <v>71</v>
      </c>
      <c r="AD3" s="36" t="s">
        <v>72</v>
      </c>
      <c r="AE3" s="36" t="s">
        <v>73</v>
      </c>
      <c r="AF3" s="36" t="s">
        <v>74</v>
      </c>
      <c r="AG3" s="36" t="s">
        <v>75</v>
      </c>
      <c r="AH3" t="str">
        <f>VLOOKUP($R3,武学奇术!$A:$ZZ,25,FALSE)</f>
        <v>单体奇术</v>
      </c>
      <c r="AI3" s="20">
        <f>VLOOKUP($R3,武学奇术!$A:$ZZ,26,FALSE)</f>
        <v>3.9855</v>
      </c>
      <c r="AJ3" s="21">
        <f>VLOOKUP($R3,武学奇术!$A:$ZZ,27,FALSE)*(1+IF(OR($AH3=$F$4,$AH3=$F$5),$B$22,0))</f>
        <v>749</v>
      </c>
      <c r="AK3" s="20">
        <f>VLOOKUP($R3,武学奇术!$A:$ZZ,28,FALSE)</f>
        <v>5.97825</v>
      </c>
      <c r="AL3" s="21">
        <f>VLOOKUP($R3,武学奇术!$A:$ZZ,29,FALSE)*(1+IF(OR($AH3=$F$4,$AH3=$F$5),$B$22,0))</f>
        <v>0</v>
      </c>
      <c r="AM3" s="20" cm="1">
        <f t="array" ref="AM3">$G$3+IFERROR(VLOOKUP($AH3,$F$4:$G$7,2,FALSE),0)+VLOOKUP($R3,武学奇术!$A:$ZZ,2,FALSE)+SUM(_xlfn.XLOOKUP($S3:$AG3,增益!$A:$A,增益!$B:$B,0))</f>
        <v>0.4815</v>
      </c>
      <c r="AN3" s="20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1517.52</v>
      </c>
      <c r="AP3" cm="1">
        <f t="array" ref="AP3">$E$10*(1+$AN3)+VLOOKUP($R3,武学奇术!$A:$ZZ,4,FALSE)+SUM(_xlfn.XLOOKUP($S3:$AG3,增益!$A:$A,增益!$D:$D,0))-$I$2</f>
        <v>6628.56</v>
      </c>
      <c r="AQ3" s="29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0.2025</v>
      </c>
      <c r="AR3" s="29" cm="1">
        <f t="array" ref="AR3">$G$10+VLOOKUP($R3,武学奇术!$A:$ZZ,7,FALSE)+SUM(_xlfn.XLOOKUP(S3:AG3,增益!$A:$A,增益!$G:$G,0))</f>
        <v>0</v>
      </c>
      <c r="AS3" s="20" cm="1">
        <f t="array" ref="AS3">VLOOKUP($R3,武学奇术!$A:$ZZ,8,FALSE)+SUM(_xlfn.XLOOKUP(S3:AG3,增益!$A:$A,增益!$H:$H,0))</f>
        <v>0</v>
      </c>
      <c r="AT3">
        <f t="shared" si="1"/>
        <v>538</v>
      </c>
      <c r="AU3">
        <f t="shared" si="2"/>
        <v>1011</v>
      </c>
      <c r="AV3" s="29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29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29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29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29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29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29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29" cm="1">
        <f t="array" ref="BI3">$G$14+VLOOKUP($R3,武学奇术!$A:$ZZ,16,FALSE)+SUM(_xlfn.XLOOKUP(S3:AG3,增益!$A:$A,增益!$P:$P,0))</f>
        <v>0</v>
      </c>
      <c r="BJ3" s="20">
        <f>MIN(IF(VLOOKUP($R3,武学奇术!$A:$ZZ,23,FALSE)=1,100%,$B$8),100%)</f>
        <v>0.8271</v>
      </c>
      <c r="BK3" s="20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0.2249</v>
      </c>
      <c r="BL3" s="20" cm="1">
        <f t="array" ref="BL3">1+$B$13+VLOOKUP($R3,武学奇术!$A:$ZZ,18,FALSE)+SUM(_xlfn.XLOOKUP(S3:AG3,增益!$A:$A,增益!$R:$R,0))</f>
        <v>1.5</v>
      </c>
      <c r="BM3" s="20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0.4159</v>
      </c>
      <c r="BN3" s="20" cm="1">
        <f t="array" ref="BN3">1+$B$14+VLOOKUP($R3,武学奇术!$A:$ZZ,20,FALSE)+SUM(_xlfn.XLOOKUP(S3:AG3,增益!$A:$A,增益!$T:$T,0))</f>
        <v>1.412</v>
      </c>
      <c r="BO3" s="20">
        <f t="shared" si="9"/>
        <v>0.18601479</v>
      </c>
      <c r="BP3" s="20">
        <f t="shared" si="10"/>
        <v>0.29709432</v>
      </c>
      <c r="BQ3" s="20">
        <f>IF(VLOOKUP($R3,武学奇术!$A:$ZZ,22,FALSE)=1,0,(1-$BJ3))*(1-$BM3)</f>
        <v>0.10099089</v>
      </c>
      <c r="BR3" s="20" cm="1">
        <f t="array" ref="BR3">SUM(_xlfn.XLOOKUP(S3:AG3,增益!$A:$A,增益!$W:$W,0))+$I$5</f>
        <v>0.11</v>
      </c>
    </row>
    <row r="4" ht="14.25" spans="1:70">
      <c r="A4" s="46" t="s">
        <v>78</v>
      </c>
      <c r="B4" s="47"/>
      <c r="C4" s="47"/>
      <c r="D4" s="47"/>
      <c r="E4" s="48"/>
      <c r="F4" s="41" t="s">
        <v>79</v>
      </c>
      <c r="G4" s="45">
        <f>B15+B17</f>
        <v>0.1704</v>
      </c>
      <c r="H4" s="49" t="s">
        <v>80</v>
      </c>
      <c r="I4" s="15">
        <f>30</f>
        <v>30</v>
      </c>
      <c r="K4" s="27">
        <f>$L4*VLOOKUP($R4,武学奇术!$A:$ZZ,31,FALSE)</f>
        <v>45181.7249432264</v>
      </c>
      <c r="L4" s="27">
        <f t="shared" si="0"/>
        <v>45181.7249432264</v>
      </c>
      <c r="M4" s="27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44866.0347404431</v>
      </c>
      <c r="N4" s="27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63524.3812002799</v>
      </c>
      <c r="O4" s="27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29910.6898269621</v>
      </c>
      <c r="P4" s="27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15148.8190348806</v>
      </c>
      <c r="Q4" s="35">
        <v>1</v>
      </c>
      <c r="R4" s="36" t="s">
        <v>81</v>
      </c>
      <c r="S4" s="36" t="s">
        <v>71</v>
      </c>
      <c r="T4" s="36" t="s">
        <v>71</v>
      </c>
      <c r="U4" s="36" t="s">
        <v>71</v>
      </c>
      <c r="V4" s="36" t="s">
        <v>71</v>
      </c>
      <c r="W4" s="36" t="s">
        <v>71</v>
      </c>
      <c r="X4" s="36" t="s">
        <v>71</v>
      </c>
      <c r="Y4" s="36" t="s">
        <v>71</v>
      </c>
      <c r="Z4" s="36" t="s">
        <v>71</v>
      </c>
      <c r="AA4" s="36" t="s">
        <v>71</v>
      </c>
      <c r="AB4" s="36" t="s">
        <v>71</v>
      </c>
      <c r="AC4" s="36" t="s">
        <v>71</v>
      </c>
      <c r="AD4" s="36" t="s">
        <v>72</v>
      </c>
      <c r="AE4" s="36" t="s">
        <v>73</v>
      </c>
      <c r="AF4" s="36" t="s">
        <v>83</v>
      </c>
      <c r="AG4" s="36" t="s">
        <v>84</v>
      </c>
      <c r="AH4" t="str">
        <f>VLOOKUP($R4,武学奇术!$A:$ZZ,25,FALSE)</f>
        <v>剑</v>
      </c>
      <c r="AI4" s="20">
        <f>VLOOKUP($R4,武学奇术!$A:$ZZ,26,FALSE)</f>
        <v>2.7205</v>
      </c>
      <c r="AJ4" s="21">
        <f>VLOOKUP($R4,武学奇术!$A:$ZZ,27,FALSE)*(1+IF(OR($AH4=$F$4,$AH4=$F$5),$B$22,0))</f>
        <v>1048.6</v>
      </c>
      <c r="AK4" s="20">
        <f>VLOOKUP($R4,武学奇术!$A:$ZZ,28,FALSE)</f>
        <v>4.0806</v>
      </c>
      <c r="AL4" s="21">
        <f>VLOOKUP($R4,武学奇术!$A:$ZZ,29,FALSE)*(1+IF(OR($AH4=$F$4,$AH4=$F$5),$B$22,0))</f>
        <v>572.6</v>
      </c>
      <c r="AM4" s="20" cm="1">
        <f t="array" ref="AM4">$G$3+IFERROR(VLOOKUP($AH4,$F$4:$G$7,2,FALSE),0)+VLOOKUP($R4,武学奇术!$A:$ZZ,2,FALSE)+SUM(_xlfn.XLOOKUP($S4:$AG4,增益!$A:$A,增益!$B:$B,0))</f>
        <v>0.3941</v>
      </c>
      <c r="AN4" s="20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1517.52</v>
      </c>
      <c r="AP4" cm="1">
        <f t="array" ref="AP4">$E$10*(1+$AN4)+VLOOKUP($R4,武学奇术!$A:$ZZ,4,FALSE)+SUM(_xlfn.XLOOKUP($S4:$AG4,增益!$A:$A,增益!$D:$D,0))-$I$2</f>
        <v>6628.56</v>
      </c>
      <c r="AQ4" s="29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0.2125</v>
      </c>
      <c r="AR4" s="29" cm="1">
        <f t="array" ref="AR4">$G$10+VLOOKUP($R4,武学奇术!$A:$ZZ,7,FALSE)+SUM(_xlfn.XLOOKUP(S4:AG4,增益!$A:$A,增益!$G:$G,0))</f>
        <v>0</v>
      </c>
      <c r="AS4" s="20" cm="1">
        <f t="array" ref="AS4">VLOOKUP($R4,武学奇术!$A:$ZZ,8,FALSE)+SUM(_xlfn.XLOOKUP(S4:AG4,增益!$A:$A,增益!$H:$H,0))</f>
        <v>0</v>
      </c>
      <c r="AT4">
        <f t="shared" si="1"/>
        <v>538</v>
      </c>
      <c r="AU4">
        <f t="shared" si="2"/>
        <v>1011</v>
      </c>
      <c r="AV4" s="29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</v>
      </c>
      <c r="AW4" s="29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29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29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29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29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29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29" cm="1">
        <f t="array" ref="BI4">$G$14+VLOOKUP($R4,武学奇术!$A:$ZZ,16,FALSE)+SUM(_xlfn.XLOOKUP(S4:AG4,增益!$A:$A,增益!$P:$P,0))</f>
        <v>0</v>
      </c>
      <c r="BJ4" s="20">
        <f>MIN(IF(VLOOKUP($R4,武学奇术!$A:$ZZ,23,FALSE)=1,100%,$B$8),100%)</f>
        <v>0.8271</v>
      </c>
      <c r="BK4" s="20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0.2249</v>
      </c>
      <c r="BL4" s="20" cm="1">
        <f t="array" ref="BL4">1+$B$13+VLOOKUP($R4,武学奇术!$A:$ZZ,18,FALSE)+SUM(_xlfn.XLOOKUP(S4:AG4,增益!$A:$A,增益!$R:$R,0))</f>
        <v>1.5</v>
      </c>
      <c r="BM4" s="20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0.4159</v>
      </c>
      <c r="BN4" s="20" cm="1">
        <f t="array" ref="BN4">1+$B$14+VLOOKUP($R4,武学奇术!$A:$ZZ,20,FALSE)+SUM(_xlfn.XLOOKUP(S4:AG4,增益!$A:$A,增益!$T:$T,0))</f>
        <v>1.422</v>
      </c>
      <c r="BO4" s="20">
        <f t="shared" si="9"/>
        <v>0.18601479</v>
      </c>
      <c r="BP4" s="20">
        <f t="shared" si="10"/>
        <v>0.29709432</v>
      </c>
      <c r="BQ4" s="20">
        <f>IF(VLOOKUP($R4,武学奇术!$A:$ZZ,22,FALSE)=1,0,(1-$BJ4))*(1-$BM4)</f>
        <v>0.10099089</v>
      </c>
      <c r="BR4" s="20" cm="1">
        <f t="array" ref="BR4">SUM(_xlfn.XLOOKUP(S4:AG4,增益!$A:$A,增益!$W:$W,0))+$I$5</f>
        <v>0.11</v>
      </c>
    </row>
    <row r="5" spans="1:70">
      <c r="A5" s="50" t="s">
        <v>85</v>
      </c>
      <c r="B5" s="51"/>
      <c r="C5" s="51"/>
      <c r="D5" s="51"/>
      <c r="E5" s="52"/>
      <c r="F5" s="41" t="s">
        <v>86</v>
      </c>
      <c r="G5" s="45">
        <f>B15+B18</f>
        <v>0.0852</v>
      </c>
      <c r="H5" t="s">
        <v>87</v>
      </c>
      <c r="I5" s="22">
        <v>0.06</v>
      </c>
      <c r="K5" s="27">
        <f>$L5*VLOOKUP($R5,武学奇术!$A:$ZZ,31,FALSE)</f>
        <v>33830.2319714233</v>
      </c>
      <c r="L5" s="27">
        <f t="shared" si="0"/>
        <v>33830.2319714233</v>
      </c>
      <c r="M5" s="27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33586.2387797082</v>
      </c>
      <c r="N5" s="27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47575.9215699193</v>
      </c>
      <c r="O5" s="27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22390.8258531388</v>
      </c>
      <c r="P5" s="27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11324.6041887534</v>
      </c>
      <c r="Q5" s="35">
        <v>1</v>
      </c>
      <c r="R5" s="36" t="s">
        <v>88</v>
      </c>
      <c r="S5" s="36" t="s">
        <v>71</v>
      </c>
      <c r="T5" s="36" t="s">
        <v>71</v>
      </c>
      <c r="U5" s="36" t="s">
        <v>71</v>
      </c>
      <c r="V5" s="36" t="s">
        <v>71</v>
      </c>
      <c r="W5" s="36" t="s">
        <v>71</v>
      </c>
      <c r="X5" s="36" t="s">
        <v>71</v>
      </c>
      <c r="Y5" s="36" t="s">
        <v>71</v>
      </c>
      <c r="Z5" s="36" t="s">
        <v>71</v>
      </c>
      <c r="AA5" s="36" t="s">
        <v>71</v>
      </c>
      <c r="AB5" s="36" t="s">
        <v>71</v>
      </c>
      <c r="AC5" s="36" t="s">
        <v>71</v>
      </c>
      <c r="AD5" s="36" t="s">
        <v>72</v>
      </c>
      <c r="AE5" s="36" t="s">
        <v>73</v>
      </c>
      <c r="AF5" s="36" t="s">
        <v>83</v>
      </c>
      <c r="AG5" s="36" t="s">
        <v>89</v>
      </c>
      <c r="AH5" t="str">
        <f>VLOOKUP($R5,武学奇术!$A:$ZZ,25,FALSE)</f>
        <v>枪</v>
      </c>
      <c r="AI5" s="20">
        <f>VLOOKUP($R5,武学奇术!$A:$ZZ,26,FALSE)</f>
        <v>2.1401</v>
      </c>
      <c r="AJ5" s="21">
        <f>VLOOKUP($R5,武学奇术!$A:$ZZ,27,FALSE)*(1+IF(OR($AH5=$F$4,$AH5=$F$5),$B$22,0))</f>
        <v>823.2</v>
      </c>
      <c r="AK5" s="20">
        <f>VLOOKUP($R5,武学奇术!$A:$ZZ,28,FALSE)</f>
        <v>3.2101</v>
      </c>
      <c r="AL5" s="21">
        <f>VLOOKUP($R5,武学奇术!$A:$ZZ,29,FALSE)*(1+IF(OR($AH5=$F$4,$AH5=$F$5),$B$22,0))</f>
        <v>448</v>
      </c>
      <c r="AM5" s="20" cm="1">
        <f t="array" ref="AM5">$G$3+IFERROR(VLOOKUP($AH5,$F$4:$G$7,2,FALSE),0)+VLOOKUP($R5,武学奇术!$A:$ZZ,2,FALSE)+SUM(_xlfn.XLOOKUP($S5:$AG5,增益!$A:$A,增益!$B:$B,0))</f>
        <v>0.3189</v>
      </c>
      <c r="AN5" s="20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1517.52</v>
      </c>
      <c r="AP5" cm="1">
        <f t="array" ref="AP5">$E$10*(1+$AN5)+VLOOKUP($R5,武学奇术!$A:$ZZ,4,FALSE)+SUM(_xlfn.XLOOKUP($S5:$AG5,增益!$A:$A,增益!$D:$D,0))-$I$2</f>
        <v>6628.56</v>
      </c>
      <c r="AQ5" s="29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0.2225</v>
      </c>
      <c r="AR5" s="29" cm="1">
        <f t="array" ref="AR5">$G$10+VLOOKUP($R5,武学奇术!$A:$ZZ,7,FALSE)+SUM(_xlfn.XLOOKUP(S5:AG5,增益!$A:$A,增益!$G:$G,0))</f>
        <v>0</v>
      </c>
      <c r="AS5" s="20" cm="1">
        <f t="array" ref="AS5">VLOOKUP($R5,武学奇术!$A:$ZZ,8,FALSE)+SUM(_xlfn.XLOOKUP(S5:AG5,增益!$A:$A,增益!$H:$H,0))</f>
        <v>0</v>
      </c>
      <c r="AT5">
        <f t="shared" si="1"/>
        <v>538</v>
      </c>
      <c r="AU5">
        <f t="shared" si="2"/>
        <v>1011</v>
      </c>
      <c r="AV5" s="29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</v>
      </c>
      <c r="AW5" s="29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29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29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29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29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29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29" cm="1">
        <f t="array" ref="BI5">$G$14+VLOOKUP($R5,武学奇术!$A:$ZZ,16,FALSE)+SUM(_xlfn.XLOOKUP(S5:AG5,增益!$A:$A,增益!$P:$P,0))</f>
        <v>0</v>
      </c>
      <c r="BJ5" s="20">
        <f>MIN(IF(VLOOKUP($R5,武学奇术!$A:$ZZ,23,FALSE)=1,100%,$B$8),100%)</f>
        <v>0.8271</v>
      </c>
      <c r="BK5" s="20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0.2249</v>
      </c>
      <c r="BL5" s="20" cm="1">
        <f t="array" ref="BL5">1+$B$13+VLOOKUP($R5,武学奇术!$A:$ZZ,18,FALSE)+SUM(_xlfn.XLOOKUP(S5:AG5,增益!$A:$A,增益!$R:$R,0))</f>
        <v>1.5</v>
      </c>
      <c r="BM5" s="20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0.4159</v>
      </c>
      <c r="BN5" s="20" cm="1">
        <f t="array" ref="BN5">1+$B$14+VLOOKUP($R5,武学奇术!$A:$ZZ,20,FALSE)+SUM(_xlfn.XLOOKUP(S5:AG5,增益!$A:$A,增益!$T:$T,0))</f>
        <v>1.422</v>
      </c>
      <c r="BO5" s="20">
        <f t="shared" si="9"/>
        <v>0.18601479</v>
      </c>
      <c r="BP5" s="20">
        <f t="shared" si="10"/>
        <v>0.29709432</v>
      </c>
      <c r="BQ5" s="20">
        <f>IF(VLOOKUP($R5,武学奇术!$A:$ZZ,22,FALSE)=1,0,(1-$BJ5))*(1-$BM5)</f>
        <v>0.10099089</v>
      </c>
      <c r="BR5" s="20" cm="1">
        <f t="array" ref="BR5">SUM(_xlfn.XLOOKUP(S5:AG5,增益!$A:$A,增益!$W:$W,0))+$I$5</f>
        <v>0.11</v>
      </c>
    </row>
    <row r="6" spans="1:70">
      <c r="A6" s="53" t="s">
        <v>90</v>
      </c>
      <c r="B6" s="54"/>
      <c r="C6" s="54"/>
      <c r="D6" s="54"/>
      <c r="E6" s="55"/>
      <c r="F6" s="41" t="s">
        <v>91</v>
      </c>
      <c r="G6" s="45">
        <f>B19</f>
        <v>0.2678</v>
      </c>
      <c r="K6" s="27">
        <f>$L6*VLOOKUP($R6,武学奇术!$A:$ZZ,31,FALSE)</f>
        <v>24534.9298479036</v>
      </c>
      <c r="L6" s="27">
        <f t="shared" si="0"/>
        <v>24534.9298479036</v>
      </c>
      <c r="M6" s="27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22713.4972619351</v>
      </c>
      <c r="N6" s="27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34655.03370689</v>
      </c>
      <c r="O6" s="27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15142.3315079567</v>
      </c>
      <c r="P6" s="27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7663.88383387032</v>
      </c>
      <c r="Q6" s="35">
        <v>1</v>
      </c>
      <c r="R6" s="36" t="s">
        <v>92</v>
      </c>
      <c r="S6" s="36" t="s">
        <v>71</v>
      </c>
      <c r="T6" s="36" t="s">
        <v>93</v>
      </c>
      <c r="U6" s="36" t="s">
        <v>71</v>
      </c>
      <c r="V6" s="36" t="s">
        <v>71</v>
      </c>
      <c r="W6" s="36" t="s">
        <v>71</v>
      </c>
      <c r="X6" s="36" t="s">
        <v>71</v>
      </c>
      <c r="Y6" s="36" t="s">
        <v>71</v>
      </c>
      <c r="Z6" s="36" t="s">
        <v>71</v>
      </c>
      <c r="AA6" s="36" t="s">
        <v>71</v>
      </c>
      <c r="AB6" s="36" t="s">
        <v>71</v>
      </c>
      <c r="AC6" s="36" t="s">
        <v>71</v>
      </c>
      <c r="AD6" s="36" t="s">
        <v>72</v>
      </c>
      <c r="AE6" s="36" t="s">
        <v>94</v>
      </c>
      <c r="AF6" s="36" t="s">
        <v>95</v>
      </c>
      <c r="AG6" s="36" t="s">
        <v>89</v>
      </c>
      <c r="AH6" t="str">
        <f>VLOOKUP($R6,武学奇术!$A:$ZZ,25,FALSE)</f>
        <v>剑</v>
      </c>
      <c r="AI6" s="20">
        <f>VLOOKUP($R6,武学奇术!$A:$ZZ,26,FALSE)</f>
        <v>1.1781</v>
      </c>
      <c r="AJ6" s="21">
        <f>VLOOKUP($R6,武学奇术!$A:$ZZ,27,FALSE)*(1+IF(OR($AH6=$F$4,$AH6=$F$5),$B$22,0))</f>
        <v>456.4</v>
      </c>
      <c r="AK6" s="20">
        <f>VLOOKUP($R6,武学奇术!$A:$ZZ,28,FALSE)</f>
        <v>1.7672</v>
      </c>
      <c r="AL6" s="21">
        <f>VLOOKUP($R6,武学奇术!$A:$ZZ,29,FALSE)*(1+IF(OR($AH6=$F$4,$AH6=$F$5),$B$22,0))</f>
        <v>247.8</v>
      </c>
      <c r="AM6" s="20" cm="1">
        <f t="array" ref="AM6">$G$3+IFERROR(VLOOKUP($AH6,$F$4:$G$7,2,FALSE),0)+VLOOKUP($R6,武学奇术!$A:$ZZ,2,FALSE)+SUM(_xlfn.XLOOKUP($S6:$AG6,增益!$A:$A,增益!$B:$B,0))</f>
        <v>0.6191</v>
      </c>
      <c r="AN6" s="20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1517.52</v>
      </c>
      <c r="AP6" cm="1">
        <f t="array" ref="AP6">$E$10*(1+$AN6)+VLOOKUP($R6,武学奇术!$A:$ZZ,4,FALSE)+SUM(_xlfn.XLOOKUP($S6:$AG6,增益!$A:$A,增益!$D:$D,0))-$I$2</f>
        <v>6628.56</v>
      </c>
      <c r="AQ6" s="29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0.2225</v>
      </c>
      <c r="AR6" s="29" cm="1">
        <f t="array" ref="AR6">$G$10+VLOOKUP($R6,武学奇术!$A:$ZZ,7,FALSE)+SUM(_xlfn.XLOOKUP(S6:AG6,增益!$A:$A,增益!$G:$G,0))</f>
        <v>0</v>
      </c>
      <c r="AS6" s="20" cm="1">
        <f t="array" ref="AS6">VLOOKUP($R6,武学奇术!$A:$ZZ,8,FALSE)+SUM(_xlfn.XLOOKUP(S6:AG6,增益!$A:$A,增益!$H:$H,0))</f>
        <v>0</v>
      </c>
      <c r="AT6">
        <f t="shared" si="1"/>
        <v>538</v>
      </c>
      <c r="AU6">
        <f t="shared" si="2"/>
        <v>1011</v>
      </c>
      <c r="AV6" s="29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</v>
      </c>
      <c r="AW6" s="29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29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29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29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29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29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29" cm="1">
        <f t="array" ref="BI6">$G$14+VLOOKUP($R6,武学奇术!$A:$ZZ,16,FALSE)+SUM(_xlfn.XLOOKUP(S6:AG6,增益!$A:$A,增益!$P:$P,0))</f>
        <v>0</v>
      </c>
      <c r="BJ6" s="20">
        <f>MIN(IF(VLOOKUP($R6,武学奇术!$A:$ZZ,23,FALSE)=1,100%,$B$8),100%)</f>
        <v>0.8271</v>
      </c>
      <c r="BK6" s="20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0.2249</v>
      </c>
      <c r="BL6" s="20" cm="1">
        <f t="array" ref="BL6">1+$B$13+VLOOKUP($R6,武学奇术!$A:$ZZ,18,FALSE)+SUM(_xlfn.XLOOKUP(S6:AG6,增益!$A:$A,增益!$R:$R,0))</f>
        <v>1.5</v>
      </c>
      <c r="BM6" s="20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0.4459</v>
      </c>
      <c r="BN6" s="20" cm="1">
        <f t="array" ref="BN6">1+$B$14+VLOOKUP($R6,武学奇术!$A:$ZZ,20,FALSE)+SUM(_xlfn.XLOOKUP(S6:AG6,增益!$A:$A,增益!$T:$T,0))</f>
        <v>1.532</v>
      </c>
      <c r="BO6" s="20">
        <f t="shared" si="9"/>
        <v>0.18601479</v>
      </c>
      <c r="BP6" s="20">
        <f t="shared" si="10"/>
        <v>0.27228132</v>
      </c>
      <c r="BQ6" s="20">
        <f>IF(VLOOKUP($R6,武学奇术!$A:$ZZ,22,FALSE)=1,0,(1-$BJ6))*(1-$BM6)</f>
        <v>0.09580389</v>
      </c>
      <c r="BR6" s="20" cm="1">
        <f t="array" ref="BR6">SUM(_xlfn.XLOOKUP(S6:AG6,增益!$A:$A,增益!$W:$W,0))+$I$5</f>
        <v>0.11</v>
      </c>
    </row>
    <row r="7" ht="14.25" spans="1:70">
      <c r="A7" s="37" t="s">
        <v>96</v>
      </c>
      <c r="B7" s="56"/>
      <c r="C7" s="56"/>
      <c r="D7" s="57"/>
      <c r="E7" s="58"/>
      <c r="F7" s="49" t="s">
        <v>97</v>
      </c>
      <c r="G7" s="59">
        <f>B20</f>
        <v>0</v>
      </c>
      <c r="K7" s="27">
        <f>$L7*VLOOKUP($R7,武学奇术!$A:$ZZ,31,FALSE)</f>
        <v>93228.2637849211</v>
      </c>
      <c r="L7" s="27">
        <f t="shared" si="0"/>
        <v>155380.439641535</v>
      </c>
      <c r="M7" s="27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87347.1882110581</v>
      </c>
      <c r="N7" s="27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155380.439641535</v>
      </c>
      <c r="O7" s="27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58231.4588073721</v>
      </c>
      <c r="P7" s="27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25703.3150203896</v>
      </c>
      <c r="Q7" s="35">
        <v>1</v>
      </c>
      <c r="R7" s="36" t="s">
        <v>98</v>
      </c>
      <c r="S7" s="36" t="s">
        <v>71</v>
      </c>
      <c r="T7" s="36" t="s">
        <v>99</v>
      </c>
      <c r="U7" s="36" t="s">
        <v>100</v>
      </c>
      <c r="V7" s="36" t="s">
        <v>101</v>
      </c>
      <c r="W7" s="36" t="s">
        <v>71</v>
      </c>
      <c r="X7" s="36" t="s">
        <v>71</v>
      </c>
      <c r="Y7" s="36" t="s">
        <v>71</v>
      </c>
      <c r="Z7" s="36" t="s">
        <v>71</v>
      </c>
      <c r="AA7" s="36" t="s">
        <v>71</v>
      </c>
      <c r="AB7" s="36" t="s">
        <v>71</v>
      </c>
      <c r="AC7" s="36" t="s">
        <v>71</v>
      </c>
      <c r="AD7" s="36" t="s">
        <v>72</v>
      </c>
      <c r="AE7" s="36" t="s">
        <v>94</v>
      </c>
      <c r="AF7" s="36" t="s">
        <v>95</v>
      </c>
      <c r="AG7" s="36" t="s">
        <v>89</v>
      </c>
      <c r="AH7" t="str">
        <f>VLOOKUP($R7,武学奇术!$A:$ZZ,25,FALSE)</f>
        <v>剑</v>
      </c>
      <c r="AI7" s="20">
        <f>VLOOKUP($R7,武学奇术!$A:$ZZ,26,FALSE)</f>
        <v>2.496</v>
      </c>
      <c r="AJ7" s="21">
        <f>VLOOKUP($R7,武学奇术!$A:$ZZ,27,FALSE)*(1+IF(OR($AH7=$F$4,$AH7=$F$5),$B$22,0))</f>
        <v>0</v>
      </c>
      <c r="AK7" s="20">
        <f>VLOOKUP($R7,武学奇术!$A:$ZZ,28,FALSE)</f>
        <v>3.744</v>
      </c>
      <c r="AL7" s="21">
        <f>VLOOKUP($R7,武学奇术!$A:$ZZ,29,FALSE)*(1+IF(OR($AH7=$F$4,$AH7=$F$5),$B$22,0))</f>
        <v>0</v>
      </c>
      <c r="AM7" s="20" cm="1">
        <f t="array" ref="AM7">$G$3+IFERROR(VLOOKUP($AH7,$F$4:$G$7,2,FALSE),0)+VLOOKUP($R7,武学奇术!$A:$ZZ,2,FALSE)+SUM(_xlfn.XLOOKUP($S7:$AG7,增益!$A:$A,增益!$B:$B,0))</f>
        <v>1.3691</v>
      </c>
      <c r="AN7" s="20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1517.52</v>
      </c>
      <c r="AP7" cm="1">
        <f t="array" ref="AP7">$E$10*(1+$AN7)+VLOOKUP($R7,武学奇术!$A:$ZZ,4,FALSE)+SUM(_xlfn.XLOOKUP($S7:$AG7,增益!$A:$A,增益!$D:$D,0))-$I$2</f>
        <v>6628.56</v>
      </c>
      <c r="AQ7" s="29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0.2975</v>
      </c>
      <c r="AR7" s="29" cm="1">
        <f t="array" ref="AR7">$G$10+VLOOKUP($R7,武学奇术!$A:$ZZ,7,FALSE)+SUM(_xlfn.XLOOKUP(S7:AG7,增益!$A:$A,增益!$G:$G,0))</f>
        <v>0</v>
      </c>
      <c r="AS7" s="20" cm="1">
        <f t="array" ref="AS7">VLOOKUP($R7,武学奇术!$A:$ZZ,8,FALSE)+SUM(_xlfn.XLOOKUP(S7:AG7,增益!$A:$A,增益!$H:$H,0))</f>
        <v>0</v>
      </c>
      <c r="AT7">
        <f t="shared" si="1"/>
        <v>538</v>
      </c>
      <c r="AU7">
        <f t="shared" si="2"/>
        <v>1011</v>
      </c>
      <c r="AV7" s="29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0.075</v>
      </c>
      <c r="AW7" s="29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29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29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29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29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29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29" cm="1">
        <f t="array" ref="BI7">$G$14+VLOOKUP($R7,武学奇术!$A:$ZZ,16,FALSE)+SUM(_xlfn.XLOOKUP(S7:AG7,增益!$A:$A,增益!$P:$P,0))</f>
        <v>0</v>
      </c>
      <c r="BJ7" s="20">
        <f>MIN(IF(VLOOKUP($R7,武学奇术!$A:$ZZ,23,FALSE)=1,100%,$B$8),100%)</f>
        <v>0.8271</v>
      </c>
      <c r="BK7" s="20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</v>
      </c>
      <c r="BL7" s="20" cm="1">
        <f t="array" ref="BL7">1+$B$13+VLOOKUP($R7,武学奇术!$A:$ZZ,18,FALSE)+SUM(_xlfn.XLOOKUP(S7:AG7,增益!$A:$A,增益!$R:$R,0))</f>
        <v>1.5</v>
      </c>
      <c r="BM7" s="20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1</v>
      </c>
      <c r="BN7" s="20" cm="1">
        <f t="array" ref="BN7">1+$B$14+VLOOKUP($R7,武学奇术!$A:$ZZ,20,FALSE)+SUM(_xlfn.XLOOKUP(S7:AG7,增益!$A:$A,增益!$T:$T,0))</f>
        <v>1.712</v>
      </c>
      <c r="BO7" s="20">
        <f t="shared" si="9"/>
        <v>0</v>
      </c>
      <c r="BP7" s="20">
        <f t="shared" si="10"/>
        <v>0</v>
      </c>
      <c r="BQ7" s="20">
        <f>IF(VLOOKUP($R7,武学奇术!$A:$ZZ,22,FALSE)=1,0,(1-$BJ7))*(1-$BM7)</f>
        <v>0</v>
      </c>
      <c r="BR7" s="20" cm="1">
        <f t="array" ref="BR7">SUM(_xlfn.XLOOKUP(S7:AG7,增益!$A:$A,增益!$W:$W,0))+$I$5</f>
        <v>0.11</v>
      </c>
    </row>
    <row r="8" spans="1:70">
      <c r="A8" s="60" t="s">
        <v>102</v>
      </c>
      <c r="B8" s="61">
        <f>期望!B8</f>
        <v>0.8271</v>
      </c>
      <c r="C8" s="33" t="s">
        <v>103</v>
      </c>
      <c r="D8" s="62"/>
      <c r="E8" s="62"/>
      <c r="F8" s="62"/>
      <c r="G8" s="34"/>
      <c r="H8" s="63" t="s">
        <v>104</v>
      </c>
      <c r="I8" s="64">
        <v>94</v>
      </c>
      <c r="J8" s="65"/>
      <c r="K8" s="27">
        <f>$L8*VLOOKUP($R8,武学奇术!$A:$ZZ,31,FALSE)</f>
        <v>62309.893765666</v>
      </c>
      <c r="L8" s="27">
        <f t="shared" si="0"/>
        <v>103849.822942777</v>
      </c>
      <c r="M8" s="27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87347.1882110581</v>
      </c>
      <c r="N8" s="27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155380.439641535</v>
      </c>
      <c r="O8" s="27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58231.4588073721</v>
      </c>
      <c r="P8" s="27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25703.3150203896</v>
      </c>
      <c r="Q8" s="35">
        <v>1</v>
      </c>
      <c r="R8" s="36" t="s">
        <v>105</v>
      </c>
      <c r="S8" s="36" t="s">
        <v>71</v>
      </c>
      <c r="T8" s="36" t="s">
        <v>99</v>
      </c>
      <c r="U8" s="36" t="s">
        <v>100</v>
      </c>
      <c r="V8" s="36" t="s">
        <v>101</v>
      </c>
      <c r="W8" s="36" t="s">
        <v>71</v>
      </c>
      <c r="X8" s="36" t="s">
        <v>71</v>
      </c>
      <c r="Y8" s="36" t="s">
        <v>71</v>
      </c>
      <c r="Z8" s="36" t="s">
        <v>71</v>
      </c>
      <c r="AA8" s="36" t="s">
        <v>71</v>
      </c>
      <c r="AB8" s="36" t="s">
        <v>71</v>
      </c>
      <c r="AC8" s="36" t="s">
        <v>71</v>
      </c>
      <c r="AD8" s="36" t="s">
        <v>72</v>
      </c>
      <c r="AE8" s="36" t="s">
        <v>94</v>
      </c>
      <c r="AF8" s="36" t="s">
        <v>95</v>
      </c>
      <c r="AG8" s="36" t="s">
        <v>89</v>
      </c>
      <c r="AH8" t="str">
        <f>VLOOKUP($R8,武学奇术!$A:$ZZ,25,FALSE)</f>
        <v>剑</v>
      </c>
      <c r="AI8" s="20">
        <f>VLOOKUP($R8,武学奇术!$A:$ZZ,26,FALSE)</f>
        <v>2.496</v>
      </c>
      <c r="AJ8" s="21">
        <f>VLOOKUP($R8,武学奇术!$A:$ZZ,27,FALSE)*(1+IF(OR($AH8=$F$4,$AH8=$F$5),$B$22,0))</f>
        <v>0</v>
      </c>
      <c r="AK8" s="20">
        <f>VLOOKUP($R8,武学奇术!$A:$ZZ,28,FALSE)</f>
        <v>3.744</v>
      </c>
      <c r="AL8" s="21">
        <f>VLOOKUP($R8,武学奇术!$A:$ZZ,29,FALSE)*(1+IF(OR($AH8=$F$4,$AH8=$F$5),$B$22,0))</f>
        <v>0</v>
      </c>
      <c r="AM8" s="20" cm="1">
        <f t="array" ref="AM8">$G$3+IFERROR(VLOOKUP($AH8,$F$4:$G$7,2,FALSE),0)+VLOOKUP($R8,武学奇术!$A:$ZZ,2,FALSE)+SUM(_xlfn.XLOOKUP($S8:$AG8,增益!$A:$A,增益!$B:$B,0))</f>
        <v>1.3691</v>
      </c>
      <c r="AN8" s="20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1517.52</v>
      </c>
      <c r="AP8" cm="1">
        <f t="array" ref="AP8">$E$10*(1+$AN8)+VLOOKUP($R8,武学奇术!$A:$ZZ,4,FALSE)+SUM(_xlfn.XLOOKUP($S8:$AG8,增益!$A:$A,增益!$D:$D,0))-$I$2</f>
        <v>6628.56</v>
      </c>
      <c r="AQ8" s="29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0.2975</v>
      </c>
      <c r="AR8" s="29" cm="1">
        <f t="array" ref="AR8">$G$10+VLOOKUP($R8,武学奇术!$A:$ZZ,7,FALSE)+SUM(_xlfn.XLOOKUP(S8:AG8,增益!$A:$A,增益!$G:$G,0))</f>
        <v>0</v>
      </c>
      <c r="AS8" s="20" cm="1">
        <f t="array" ref="AS8">VLOOKUP($R8,武学奇术!$A:$ZZ,8,FALSE)+SUM(_xlfn.XLOOKUP(S8:AG8,增益!$A:$A,增益!$H:$H,0))</f>
        <v>0</v>
      </c>
      <c r="AT8">
        <f t="shared" si="1"/>
        <v>538</v>
      </c>
      <c r="AU8">
        <f t="shared" si="2"/>
        <v>1011</v>
      </c>
      <c r="AV8" s="29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0.075</v>
      </c>
      <c r="AW8" s="29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29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29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29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29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29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29" cm="1">
        <f t="array" ref="BI8">$G$14+VLOOKUP($R8,武学奇术!$A:$ZZ,16,FALSE)+SUM(_xlfn.XLOOKUP(S8:AG8,增益!$A:$A,增益!$P:$P,0))</f>
        <v>0</v>
      </c>
      <c r="BJ8" s="20">
        <f>MIN(IF(VLOOKUP($R8,武学奇术!$A:$ZZ,23,FALSE)=1,100%,$B$8),100%)</f>
        <v>0.8271</v>
      </c>
      <c r="BK8" s="20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0.2249</v>
      </c>
      <c r="BL8" s="20" cm="1">
        <f t="array" ref="BL8">1+$B$13+VLOOKUP($R8,武学奇术!$A:$ZZ,18,FALSE)+SUM(_xlfn.XLOOKUP(S8:AG8,增益!$A:$A,增益!$R:$R,0))</f>
        <v>1.5</v>
      </c>
      <c r="BM8" s="20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0.4459</v>
      </c>
      <c r="BN8" s="20" cm="1">
        <f t="array" ref="BN8">1+$B$14+VLOOKUP($R8,武学奇术!$A:$ZZ,20,FALSE)+SUM(_xlfn.XLOOKUP(S8:AG8,增益!$A:$A,增益!$T:$T,0))</f>
        <v>1.712</v>
      </c>
      <c r="BO8" s="20">
        <f t="shared" si="9"/>
        <v>0.18601479</v>
      </c>
      <c r="BP8" s="20">
        <f t="shared" si="10"/>
        <v>0.27228132</v>
      </c>
      <c r="BQ8" s="20">
        <f>IF(VLOOKUP($R8,武学奇术!$A:$ZZ,22,FALSE)=1,0,(1-$BJ8))*(1-$BM8)</f>
        <v>0.09580389</v>
      </c>
      <c r="BR8" s="20" cm="1">
        <f t="array" ref="BR8">SUM(_xlfn.XLOOKUP(S8:AG8,增益!$A:$A,增益!$W:$W,0))+$I$5</f>
        <v>0.11</v>
      </c>
    </row>
    <row r="9" ht="14.25" spans="1:70">
      <c r="A9" s="37" t="s">
        <v>106</v>
      </c>
      <c r="B9" s="66">
        <f>期望!B9</f>
        <v>0.1789</v>
      </c>
      <c r="C9" s="41"/>
      <c r="D9" t="s">
        <v>0</v>
      </c>
      <c r="E9" t="s">
        <v>1</v>
      </c>
      <c r="F9" s="35" t="s">
        <v>2</v>
      </c>
      <c r="G9" s="40" t="s">
        <v>3</v>
      </c>
      <c r="H9" s="67"/>
      <c r="I9" s="68"/>
      <c r="J9" s="69"/>
      <c r="K9" s="27">
        <f>$L9*VLOOKUP($R9,武学奇术!$A:$ZZ,31,FALSE)</f>
        <v>11766.3078269871</v>
      </c>
      <c r="L9" s="27">
        <f t="shared" si="0"/>
        <v>11766.3078269871</v>
      </c>
      <c r="M9" s="27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10640.5035791099</v>
      </c>
      <c r="N9" s="27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16945.5845529579</v>
      </c>
      <c r="O9" s="27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7093.66905273994</v>
      </c>
      <c r="P9" s="27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3126.25158266138</v>
      </c>
      <c r="Q9" s="35">
        <v>1</v>
      </c>
      <c r="R9" s="36" t="s">
        <v>107</v>
      </c>
      <c r="S9" s="36" t="s">
        <v>71</v>
      </c>
      <c r="T9" s="36" t="s">
        <v>93</v>
      </c>
      <c r="U9" s="36" t="s">
        <v>71</v>
      </c>
      <c r="V9" s="36" t="s">
        <v>71</v>
      </c>
      <c r="W9" s="36" t="s">
        <v>71</v>
      </c>
      <c r="X9" s="36" t="s">
        <v>71</v>
      </c>
      <c r="Y9" s="36" t="s">
        <v>71</v>
      </c>
      <c r="Z9" s="36" t="s">
        <v>71</v>
      </c>
      <c r="AA9" s="36" t="s">
        <v>71</v>
      </c>
      <c r="AB9" s="36" t="s">
        <v>71</v>
      </c>
      <c r="AC9" s="36" t="s">
        <v>71</v>
      </c>
      <c r="AD9" s="36" t="s">
        <v>72</v>
      </c>
      <c r="AE9" s="36" t="s">
        <v>94</v>
      </c>
      <c r="AF9" s="36" t="s">
        <v>95</v>
      </c>
      <c r="AG9" s="36" t="s">
        <v>89</v>
      </c>
      <c r="AH9" t="str">
        <f>VLOOKUP($R9,武学奇术!$A:$ZZ,25,FALSE)</f>
        <v>剑</v>
      </c>
      <c r="AI9" s="20">
        <f>VLOOKUP($R9,武学奇术!$A:$ZZ,26,FALSE)</f>
        <v>0.625</v>
      </c>
      <c r="AJ9" s="21">
        <f>VLOOKUP($R9,武学奇术!$A:$ZZ,27,FALSE)*(1+IF(OR($AH9=$F$4,$AH9=$F$5),$B$22,0))</f>
        <v>0</v>
      </c>
      <c r="AK9" s="20">
        <f>VLOOKUP($R9,武学奇术!$A:$ZZ,28,FALSE)</f>
        <v>0.9375</v>
      </c>
      <c r="AL9" s="21">
        <f>VLOOKUP($R9,武学奇术!$A:$ZZ,29,FALSE)*(1+IF(OR($AH9=$F$4,$AH9=$F$5),$B$22,0))</f>
        <v>0</v>
      </c>
      <c r="AM9" s="20" cm="1">
        <f t="array" ref="AM9">$G$3+IFERROR(VLOOKUP($AH9,$F$4:$G$7,2,FALSE),0)+VLOOKUP($R9,武学奇术!$A:$ZZ,2,FALSE)+SUM(_xlfn.XLOOKUP($S9:$AG9,增益!$A:$A,增益!$B:$B,0))</f>
        <v>0.6191</v>
      </c>
      <c r="AN9" s="20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1517.52</v>
      </c>
      <c r="AP9" cm="1">
        <f t="array" ref="AP9">$E$10*(1+$AN9)+VLOOKUP($R9,武学奇术!$A:$ZZ,4,FALSE)+SUM(_xlfn.XLOOKUP($S9:$AG9,增益!$A:$A,增益!$D:$D,0))-$I$2</f>
        <v>6628.56</v>
      </c>
      <c r="AQ9" s="29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0.2225</v>
      </c>
      <c r="AR9" s="29" cm="1">
        <f t="array" ref="AR9">$G$10+VLOOKUP($R9,武学奇术!$A:$ZZ,7,FALSE)+SUM(_xlfn.XLOOKUP(S9:AG9,增益!$A:$A,增益!$G:$G,0))</f>
        <v>0</v>
      </c>
      <c r="AS9" s="20" cm="1">
        <f t="array" ref="AS9">VLOOKUP($R9,武学奇术!$A:$ZZ,8,FALSE)+SUM(_xlfn.XLOOKUP(S9:AG9,增益!$A:$A,增益!$H:$H,0))</f>
        <v>0</v>
      </c>
      <c r="AT9">
        <f t="shared" si="1"/>
        <v>538</v>
      </c>
      <c r="AU9">
        <f t="shared" si="2"/>
        <v>1011</v>
      </c>
      <c r="AV9" s="29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</v>
      </c>
      <c r="AW9" s="29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29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29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29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29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29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29" cm="1">
        <f t="array" ref="BI9">$G$14+VLOOKUP($R9,武学奇术!$A:$ZZ,16,FALSE)+SUM(_xlfn.XLOOKUP(S9:AG9,增益!$A:$A,增益!$P:$P,0))</f>
        <v>0</v>
      </c>
      <c r="BJ9" s="20">
        <f>MIN(IF(VLOOKUP($R9,武学奇术!$A:$ZZ,23,FALSE)=1,100%,$B$8),100%)</f>
        <v>0.8271</v>
      </c>
      <c r="BK9" s="20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0.2249</v>
      </c>
      <c r="BL9" s="20" cm="1">
        <f t="array" ref="BL9">1+$B$13+VLOOKUP($R9,武学奇术!$A:$ZZ,18,FALSE)+SUM(_xlfn.XLOOKUP(S9:AG9,增益!$A:$A,增益!$R:$R,0))</f>
        <v>1.5</v>
      </c>
      <c r="BM9" s="20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0.4459</v>
      </c>
      <c r="BN9" s="20" cm="1">
        <f t="array" ref="BN9">1+$B$14+VLOOKUP($R9,武学奇术!$A:$ZZ,20,FALSE)+SUM(_xlfn.XLOOKUP(S9:AG9,增益!$A:$A,增益!$T:$T,0))</f>
        <v>1.532</v>
      </c>
      <c r="BO9" s="20">
        <f t="shared" si="9"/>
        <v>0.18601479</v>
      </c>
      <c r="BP9" s="20">
        <f t="shared" si="10"/>
        <v>0.27228132</v>
      </c>
      <c r="BQ9" s="20">
        <f>IF(VLOOKUP($R9,武学奇术!$A:$ZZ,22,FALSE)=1,0,(1-$BJ9))*(1-$BM9)</f>
        <v>0.09580389</v>
      </c>
      <c r="BR9" s="20" cm="1">
        <f t="array" ref="BR9">SUM(_xlfn.XLOOKUP(S9:AG9,增益!$A:$A,增益!$W:$W,0))+$I$5</f>
        <v>0.11</v>
      </c>
    </row>
    <row r="10" spans="1:70">
      <c r="A10" s="37" t="s">
        <v>108</v>
      </c>
      <c r="B10" s="66">
        <f>期望!B10</f>
        <v>0.3929</v>
      </c>
      <c r="C10" s="41" t="s">
        <v>67</v>
      </c>
      <c r="D10">
        <f>期望!D10</f>
        <v>2137.52</v>
      </c>
      <c r="E10">
        <f>期望!E10</f>
        <v>7248.56</v>
      </c>
      <c r="F10">
        <f>期望!F10</f>
        <v>63.5</v>
      </c>
      <c r="G10" s="11">
        <f>期望!G10</f>
        <v>0</v>
      </c>
      <c r="H10" s="63" t="s">
        <v>109</v>
      </c>
      <c r="I10" s="70">
        <f>SUM(L:L)</f>
        <v>12255001.1439772</v>
      </c>
      <c r="J10" s="71"/>
      <c r="K10" s="27">
        <f>$L10*VLOOKUP($R10,武学奇术!$A:$ZZ,31,FALSE)</f>
        <v>51560.784028149</v>
      </c>
      <c r="L10" s="27">
        <f t="shared" si="0"/>
        <v>51560.784028149</v>
      </c>
      <c r="M10" s="27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47771.1954447728</v>
      </c>
      <c r="N10" s="27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72779.0923154432</v>
      </c>
      <c r="O10" s="27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31847.4636298486</v>
      </c>
      <c r="P10" s="27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16188.9923279457</v>
      </c>
      <c r="Q10" s="35">
        <v>1</v>
      </c>
      <c r="R10" s="36" t="s">
        <v>110</v>
      </c>
      <c r="S10" s="36" t="s">
        <v>71</v>
      </c>
      <c r="T10" s="36" t="s">
        <v>93</v>
      </c>
      <c r="U10" s="36" t="s">
        <v>71</v>
      </c>
      <c r="V10" s="36" t="s">
        <v>71</v>
      </c>
      <c r="W10" s="36" t="s">
        <v>111</v>
      </c>
      <c r="X10" s="36" t="s">
        <v>71</v>
      </c>
      <c r="Y10" s="36" t="s">
        <v>71</v>
      </c>
      <c r="Z10" s="36" t="s">
        <v>71</v>
      </c>
      <c r="AA10" s="36" t="s">
        <v>71</v>
      </c>
      <c r="AB10" s="36" t="s">
        <v>71</v>
      </c>
      <c r="AC10" s="36" t="s">
        <v>71</v>
      </c>
      <c r="AD10" s="36" t="s">
        <v>72</v>
      </c>
      <c r="AE10" s="36" t="s">
        <v>94</v>
      </c>
      <c r="AF10" s="36" t="s">
        <v>95</v>
      </c>
      <c r="AG10" s="36" t="s">
        <v>112</v>
      </c>
      <c r="AH10" t="str">
        <f>VLOOKUP($R10,武学奇术!$A:$ZZ,25,FALSE)</f>
        <v>枪</v>
      </c>
      <c r="AI10" s="20">
        <f>VLOOKUP($R10,武学奇术!$A:$ZZ,26,FALSE)</f>
        <v>2.5683</v>
      </c>
      <c r="AJ10" s="21">
        <f>VLOOKUP($R10,武学奇术!$A:$ZZ,27,FALSE)*(1+IF(OR($AH10=$F$4,$AH10=$F$5),$B$22,0))</f>
        <v>995.4</v>
      </c>
      <c r="AK10" s="20">
        <f>VLOOKUP($R10,武学奇术!$A:$ZZ,28,FALSE)</f>
        <v>3.8524</v>
      </c>
      <c r="AL10" s="21">
        <f>VLOOKUP($R10,武学奇术!$A:$ZZ,29,FALSE)*(1+IF(OR($AH10=$F$4,$AH10=$F$5),$B$22,0))</f>
        <v>541.8</v>
      </c>
      <c r="AM10" s="20" cm="1">
        <f t="array" ref="AM10">$G$3+IFERROR(VLOOKUP($AH10,$F$4:$G$7,2,FALSE),0)+VLOOKUP($R10,武学奇术!$A:$ZZ,2,FALSE)+SUM(_xlfn.XLOOKUP($S10:$AG10,增益!$A:$A,增益!$B:$B,0))</f>
        <v>0.5439</v>
      </c>
      <c r="AN10" s="20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1548.52</v>
      </c>
      <c r="AP10" cm="1">
        <f t="array" ref="AP10">$E$10*(1+$AN10)+VLOOKUP($R10,武学奇术!$A:$ZZ,4,FALSE)+SUM(_xlfn.XLOOKUP($S10:$AG10,增益!$A:$A,增益!$D:$D,0))-$I$2</f>
        <v>6659.56</v>
      </c>
      <c r="AQ10" s="29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0.2325</v>
      </c>
      <c r="AR10" s="29" cm="1">
        <f t="array" ref="AR10">$G$10+VLOOKUP($R10,武学奇术!$A:$ZZ,7,FALSE)+SUM(_xlfn.XLOOKUP(S10:AG10,增益!$A:$A,增益!$G:$G,0))</f>
        <v>0</v>
      </c>
      <c r="AS10" s="20" cm="1">
        <f t="array" ref="AS10">VLOOKUP($R10,武学奇术!$A:$ZZ,8,FALSE)+SUM(_xlfn.XLOOKUP(S10:AG10,增益!$A:$A,增益!$H:$H,0))</f>
        <v>0</v>
      </c>
      <c r="AT10">
        <f t="shared" si="1"/>
        <v>538</v>
      </c>
      <c r="AU10">
        <f t="shared" si="2"/>
        <v>1011</v>
      </c>
      <c r="AV10" s="29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</v>
      </c>
      <c r="AW10" s="29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29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29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29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29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29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29" cm="1">
        <f t="array" ref="BI10">$G$14+VLOOKUP($R10,武学奇术!$A:$ZZ,16,FALSE)+SUM(_xlfn.XLOOKUP(S10:AG10,增益!$A:$A,增益!$P:$P,0))</f>
        <v>0</v>
      </c>
      <c r="BJ10" s="20">
        <f>MIN(IF(VLOOKUP($R10,武学奇术!$A:$ZZ,23,FALSE)=1,100%,$B$8),100%)</f>
        <v>0.8271</v>
      </c>
      <c r="BK10" s="20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0.2249</v>
      </c>
      <c r="BL10" s="20" cm="1">
        <f t="array" ref="BL10">1+$B$13+VLOOKUP($R10,武学奇术!$A:$ZZ,18,FALSE)+SUM(_xlfn.XLOOKUP(S10:AG10,增益!$A:$A,增益!$R:$R,0))</f>
        <v>1.5</v>
      </c>
      <c r="BM10" s="20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0.4459</v>
      </c>
      <c r="BN10" s="20" cm="1">
        <f t="array" ref="BN10">1+$B$14+VLOOKUP($R10,武学奇术!$A:$ZZ,20,FALSE)+SUM(_xlfn.XLOOKUP(S10:AG10,增益!$A:$A,增益!$T:$T,0))</f>
        <v>1.532</v>
      </c>
      <c r="BO10" s="20">
        <f t="shared" si="9"/>
        <v>0.18601479</v>
      </c>
      <c r="BP10" s="20">
        <f t="shared" si="10"/>
        <v>0.27228132</v>
      </c>
      <c r="BQ10" s="20">
        <f>IF(VLOOKUP($R10,武学奇术!$A:$ZZ,22,FALSE)=1,0,(1-$BJ10))*(1-$BM10)</f>
        <v>0.09580389</v>
      </c>
      <c r="BR10" s="20" cm="1">
        <f t="array" ref="BR10">SUM(_xlfn.XLOOKUP(S10:AG10,增益!$A:$A,增益!$W:$W,0))+$I$5</f>
        <v>0.11</v>
      </c>
    </row>
    <row r="11" ht="14.25" spans="1:70">
      <c r="A11" s="37" t="s">
        <v>113</v>
      </c>
      <c r="B11" s="66">
        <f>期望!B11</f>
        <v>0.046</v>
      </c>
      <c r="C11" s="41" t="s">
        <v>5</v>
      </c>
      <c r="D11">
        <f>期望!D11</f>
        <v>538</v>
      </c>
      <c r="E11">
        <f>期望!E11</f>
        <v>1011</v>
      </c>
      <c r="F11">
        <f>期望!F11</f>
        <v>30</v>
      </c>
      <c r="G11" s="72">
        <f>期望!G11</f>
        <v>0.15</v>
      </c>
      <c r="H11" s="67"/>
      <c r="I11" s="73"/>
      <c r="J11" s="74"/>
      <c r="K11" s="27">
        <f>$L11*VLOOKUP($R11,武学奇术!$A:$ZZ,31,FALSE)</f>
        <v>63260.3316888452</v>
      </c>
      <c r="L11" s="27">
        <f t="shared" si="0"/>
        <v>105433.886148075</v>
      </c>
      <c r="M11" s="27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88776.4479133079</v>
      </c>
      <c r="N11" s="27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157627.421868515</v>
      </c>
      <c r="O11" s="27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59184.2986088719</v>
      </c>
      <c r="P11" s="27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26296.5050048264</v>
      </c>
      <c r="Q11" s="35">
        <v>1</v>
      </c>
      <c r="R11" s="36" t="s">
        <v>105</v>
      </c>
      <c r="S11" s="36" t="s">
        <v>71</v>
      </c>
      <c r="T11" s="36" t="s">
        <v>99</v>
      </c>
      <c r="U11" s="36" t="s">
        <v>100</v>
      </c>
      <c r="V11" s="36" t="s">
        <v>101</v>
      </c>
      <c r="W11" s="36" t="s">
        <v>111</v>
      </c>
      <c r="X11" s="36" t="s">
        <v>71</v>
      </c>
      <c r="Y11" s="36" t="s">
        <v>71</v>
      </c>
      <c r="Z11" s="36" t="s">
        <v>71</v>
      </c>
      <c r="AA11" s="36" t="s">
        <v>71</v>
      </c>
      <c r="AB11" s="36" t="s">
        <v>71</v>
      </c>
      <c r="AC11" s="36" t="s">
        <v>71</v>
      </c>
      <c r="AD11" s="36" t="s">
        <v>72</v>
      </c>
      <c r="AE11" s="36" t="s">
        <v>94</v>
      </c>
      <c r="AF11" s="36" t="s">
        <v>95</v>
      </c>
      <c r="AG11" s="36" t="s">
        <v>112</v>
      </c>
      <c r="AH11" t="str">
        <f>VLOOKUP($R11,武学奇术!$A:$ZZ,25,FALSE)</f>
        <v>剑</v>
      </c>
      <c r="AI11" s="20">
        <f>VLOOKUP($R11,武学奇术!$A:$ZZ,26,FALSE)</f>
        <v>2.496</v>
      </c>
      <c r="AJ11" s="21">
        <f>VLOOKUP($R11,武学奇术!$A:$ZZ,27,FALSE)*(1+IF(OR($AH11=$F$4,$AH11=$F$5),$B$22,0))</f>
        <v>0</v>
      </c>
      <c r="AK11" s="20">
        <f>VLOOKUP($R11,武学奇术!$A:$ZZ,28,FALSE)</f>
        <v>3.744</v>
      </c>
      <c r="AL11" s="21">
        <f>VLOOKUP($R11,武学奇术!$A:$ZZ,29,FALSE)*(1+IF(OR($AH11=$F$4,$AH11=$F$5),$B$22,0))</f>
        <v>0</v>
      </c>
      <c r="AM11" s="20" cm="1">
        <f t="array" ref="AM11">$G$3+IFERROR(VLOOKUP($AH11,$F$4:$G$7,2,FALSE),0)+VLOOKUP($R11,武学奇术!$A:$ZZ,2,FALSE)+SUM(_xlfn.XLOOKUP($S11:$AG11,增益!$A:$A,增益!$B:$B,0))</f>
        <v>1.3791</v>
      </c>
      <c r="AN11" s="20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1548.52</v>
      </c>
      <c r="AP11" cm="1">
        <f t="array" ref="AP11">$E$10*(1+$AN11)+VLOOKUP($R11,武学奇术!$A:$ZZ,4,FALSE)+SUM(_xlfn.XLOOKUP($S11:$AG11,增益!$A:$A,增益!$D:$D,0))-$I$2</f>
        <v>6659.56</v>
      </c>
      <c r="AQ11" s="29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0.3075</v>
      </c>
      <c r="AR11" s="29" cm="1">
        <f t="array" ref="AR11">$G$10+VLOOKUP($R11,武学奇术!$A:$ZZ,7,FALSE)+SUM(_xlfn.XLOOKUP(S11:AG11,增益!$A:$A,增益!$G:$G,0))</f>
        <v>0</v>
      </c>
      <c r="AS11" s="20" cm="1">
        <f t="array" ref="AS11">VLOOKUP($R11,武学奇术!$A:$ZZ,8,FALSE)+SUM(_xlfn.XLOOKUP(S11:AG11,增益!$A:$A,增益!$H:$H,0))</f>
        <v>0</v>
      </c>
      <c r="AT11">
        <f t="shared" si="1"/>
        <v>538</v>
      </c>
      <c r="AU11">
        <f t="shared" si="2"/>
        <v>1011</v>
      </c>
      <c r="AV11" s="29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0.075</v>
      </c>
      <c r="AW11" s="29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29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29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29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29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29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29" cm="1">
        <f t="array" ref="BI11">$G$14+VLOOKUP($R11,武学奇术!$A:$ZZ,16,FALSE)+SUM(_xlfn.XLOOKUP(S11:AG11,增益!$A:$A,增益!$P:$P,0))</f>
        <v>0</v>
      </c>
      <c r="BJ11" s="20">
        <f>MIN(IF(VLOOKUP($R11,武学奇术!$A:$ZZ,23,FALSE)=1,100%,$B$8),100%)</f>
        <v>0.8271</v>
      </c>
      <c r="BK11" s="20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0.2249</v>
      </c>
      <c r="BL11" s="20" cm="1">
        <f t="array" ref="BL11">1+$B$13+VLOOKUP($R11,武学奇术!$A:$ZZ,18,FALSE)+SUM(_xlfn.XLOOKUP(S11:AG11,增益!$A:$A,增益!$R:$R,0))</f>
        <v>1.5</v>
      </c>
      <c r="BM11" s="20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0.4459</v>
      </c>
      <c r="BN11" s="20" cm="1">
        <f t="array" ref="BN11">1+$B$14+VLOOKUP($R11,武学奇术!$A:$ZZ,20,FALSE)+SUM(_xlfn.XLOOKUP(S11:AG11,增益!$A:$A,增益!$T:$T,0))</f>
        <v>1.712</v>
      </c>
      <c r="BO11" s="20">
        <f t="shared" si="9"/>
        <v>0.18601479</v>
      </c>
      <c r="BP11" s="20">
        <f t="shared" si="10"/>
        <v>0.27228132</v>
      </c>
      <c r="BQ11" s="20">
        <f>IF(VLOOKUP($R11,武学奇术!$A:$ZZ,22,FALSE)=1,0,(1-$BJ11))*(1-$BM11)</f>
        <v>0.09580389</v>
      </c>
      <c r="BR11" s="20" cm="1">
        <f t="array" ref="BR11">SUM(_xlfn.XLOOKUP(S11:AG11,增益!$A:$A,增益!$W:$W,0))+$I$5</f>
        <v>0.11</v>
      </c>
    </row>
    <row r="12" spans="1:70">
      <c r="A12" s="37" t="s">
        <v>114</v>
      </c>
      <c r="B12" s="66">
        <f>期望!B12</f>
        <v>0.023</v>
      </c>
      <c r="C12" s="41" t="s">
        <v>78</v>
      </c>
      <c r="D12">
        <f>期望!D12</f>
        <v>0</v>
      </c>
      <c r="E12">
        <f>期望!E12</f>
        <v>0</v>
      </c>
      <c r="F12">
        <f>期望!F12</f>
        <v>0</v>
      </c>
      <c r="G12" s="11">
        <f>期望!G12</f>
        <v>0</v>
      </c>
      <c r="H12" s="63" t="s">
        <v>167</v>
      </c>
      <c r="I12" s="27">
        <f>I10/I8</f>
        <v>130372.352595502</v>
      </c>
      <c r="J12" s="75"/>
      <c r="K12" s="27">
        <f>$L12*VLOOKUP($R12,武学奇术!$A:$ZZ,31,FALSE)</f>
        <v>25055.6345345486</v>
      </c>
      <c r="L12" s="27">
        <f t="shared" si="0"/>
        <v>25055.6345345486</v>
      </c>
      <c r="M12" s="27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23118.4107466334</v>
      </c>
      <c r="N12" s="27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35452.6650672323</v>
      </c>
      <c r="O12" s="27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15412.2738310889</v>
      </c>
      <c r="P12" s="27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7833.19547849936</v>
      </c>
      <c r="Q12" s="35">
        <v>1</v>
      </c>
      <c r="R12" s="36" t="s">
        <v>92</v>
      </c>
      <c r="S12" s="36" t="s">
        <v>71</v>
      </c>
      <c r="T12" s="36" t="s">
        <v>93</v>
      </c>
      <c r="U12" s="36" t="s">
        <v>71</v>
      </c>
      <c r="V12" s="36" t="s">
        <v>71</v>
      </c>
      <c r="W12" s="36" t="s">
        <v>111</v>
      </c>
      <c r="X12" s="36" t="s">
        <v>71</v>
      </c>
      <c r="Y12" s="36" t="s">
        <v>71</v>
      </c>
      <c r="Z12" s="36" t="s">
        <v>71</v>
      </c>
      <c r="AA12" s="36" t="s">
        <v>71</v>
      </c>
      <c r="AB12" s="36" t="s">
        <v>71</v>
      </c>
      <c r="AC12" s="36" t="s">
        <v>71</v>
      </c>
      <c r="AD12" s="36" t="s">
        <v>72</v>
      </c>
      <c r="AE12" s="36" t="s">
        <v>94</v>
      </c>
      <c r="AF12" s="36" t="s">
        <v>116</v>
      </c>
      <c r="AG12" s="36" t="s">
        <v>112</v>
      </c>
      <c r="AH12" t="str">
        <f>VLOOKUP($R12,武学奇术!$A:$ZZ,25,FALSE)</f>
        <v>剑</v>
      </c>
      <c r="AI12" s="20">
        <f>VLOOKUP($R12,武学奇术!$A:$ZZ,26,FALSE)</f>
        <v>1.1781</v>
      </c>
      <c r="AJ12" s="21">
        <f>VLOOKUP($R12,武学奇术!$A:$ZZ,27,FALSE)*(1+IF(OR($AH12=$F$4,$AH12=$F$5),$B$22,0))</f>
        <v>456.4</v>
      </c>
      <c r="AK12" s="20">
        <f>VLOOKUP($R12,武学奇术!$A:$ZZ,28,FALSE)</f>
        <v>1.7672</v>
      </c>
      <c r="AL12" s="21">
        <f>VLOOKUP($R12,武学奇术!$A:$ZZ,29,FALSE)*(1+IF(OR($AH12=$F$4,$AH12=$F$5),$B$22,0))</f>
        <v>247.8</v>
      </c>
      <c r="AM12" s="20" cm="1">
        <f t="array" ref="AM12">$G$3+IFERROR(VLOOKUP($AH12,$F$4:$G$7,2,FALSE),0)+VLOOKUP($R12,武学奇术!$A:$ZZ,2,FALSE)+SUM(_xlfn.XLOOKUP($S12:$AG12,增益!$A:$A,增益!$B:$B,0))</f>
        <v>0.6291</v>
      </c>
      <c r="AN12" s="20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1548.52</v>
      </c>
      <c r="AP12" cm="1">
        <f t="array" ref="AP12">$E$10*(1+$AN12)+VLOOKUP($R12,武学奇术!$A:$ZZ,4,FALSE)+SUM(_xlfn.XLOOKUP($S12:$AG12,增益!$A:$A,增益!$D:$D,0))-$I$2</f>
        <v>6659.56</v>
      </c>
      <c r="AQ12" s="29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0.2325</v>
      </c>
      <c r="AR12" s="29" cm="1">
        <f t="array" ref="AR12">$G$10+VLOOKUP($R12,武学奇术!$A:$ZZ,7,FALSE)+SUM(_xlfn.XLOOKUP(S12:AG12,增益!$A:$A,增益!$G:$G,0))</f>
        <v>0</v>
      </c>
      <c r="AS12" s="20" cm="1">
        <f t="array" ref="AS12">VLOOKUP($R12,武学奇术!$A:$ZZ,8,FALSE)+SUM(_xlfn.XLOOKUP(S12:AG12,增益!$A:$A,增益!$H:$H,0))</f>
        <v>0</v>
      </c>
      <c r="AT12">
        <f t="shared" si="1"/>
        <v>538</v>
      </c>
      <c r="AU12">
        <f t="shared" si="2"/>
        <v>1011</v>
      </c>
      <c r="AV12" s="29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</v>
      </c>
      <c r="AW12" s="29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29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29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29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29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29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29" cm="1">
        <f t="array" ref="BI12">$G$14+VLOOKUP($R12,武学奇术!$A:$ZZ,16,FALSE)+SUM(_xlfn.XLOOKUP(S12:AG12,增益!$A:$A,增益!$P:$P,0))</f>
        <v>0</v>
      </c>
      <c r="BJ12" s="20">
        <f>MIN(IF(VLOOKUP($R12,武学奇术!$A:$ZZ,23,FALSE)=1,100%,$B$8),100%)</f>
        <v>0.8271</v>
      </c>
      <c r="BK12" s="20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0.2249</v>
      </c>
      <c r="BL12" s="20" cm="1">
        <f t="array" ref="BL12">1+$B$13+VLOOKUP($R12,武学奇术!$A:$ZZ,18,FALSE)+SUM(_xlfn.XLOOKUP(S12:AG12,增益!$A:$A,增益!$R:$R,0))</f>
        <v>1.5</v>
      </c>
      <c r="BM12" s="20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0.4459</v>
      </c>
      <c r="BN12" s="20" cm="1">
        <f t="array" ref="BN12">1+$B$14+VLOOKUP($R12,武学奇术!$A:$ZZ,20,FALSE)+SUM(_xlfn.XLOOKUP(S12:AG12,增益!$A:$A,增益!$T:$T,0))</f>
        <v>1.542</v>
      </c>
      <c r="BO12" s="20">
        <f t="shared" si="9"/>
        <v>0.18601479</v>
      </c>
      <c r="BP12" s="20">
        <f t="shared" si="10"/>
        <v>0.27228132</v>
      </c>
      <c r="BQ12" s="20">
        <f>IF(VLOOKUP($R12,武学奇术!$A:$ZZ,22,FALSE)=1,0,(1-$BJ12))*(1-$BM12)</f>
        <v>0.09580389</v>
      </c>
      <c r="BR12" s="20" cm="1">
        <f t="array" ref="BR12">SUM(_xlfn.XLOOKUP(S12:AG12,增益!$A:$A,增益!$W:$W,0))+$I$5</f>
        <v>0.11</v>
      </c>
    </row>
    <row r="13" spans="1:70">
      <c r="A13" s="37" t="s">
        <v>117</v>
      </c>
      <c r="B13" s="66">
        <f>期望!B13</f>
        <v>0.5</v>
      </c>
      <c r="C13" s="41" t="s">
        <v>85</v>
      </c>
      <c r="D13">
        <f>期望!D13</f>
        <v>0</v>
      </c>
      <c r="E13">
        <f>期望!E13</f>
        <v>0</v>
      </c>
      <c r="F13">
        <f>期望!F13</f>
        <v>0</v>
      </c>
      <c r="G13" s="11">
        <f>期望!G13</f>
        <v>0</v>
      </c>
      <c r="H13" s="67"/>
      <c r="I13" s="76"/>
      <c r="J13" s="74"/>
      <c r="K13" s="27">
        <f>$L13*VLOOKUP($R13,武学奇术!$A:$ZZ,31,FALSE)</f>
        <v>63506.6613643516</v>
      </c>
      <c r="L13" s="27">
        <f t="shared" si="0"/>
        <v>105844.435607253</v>
      </c>
      <c r="M13" s="27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88776.4479133079</v>
      </c>
      <c r="N13" s="27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158548.142790644</v>
      </c>
      <c r="O13" s="27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59184.2986088719</v>
      </c>
      <c r="P13" s="27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26296.5050048264</v>
      </c>
      <c r="Q13" s="35">
        <v>1</v>
      </c>
      <c r="R13" s="36" t="s">
        <v>105</v>
      </c>
      <c r="S13" s="36" t="s">
        <v>71</v>
      </c>
      <c r="T13" s="36" t="s">
        <v>99</v>
      </c>
      <c r="U13" s="36" t="s">
        <v>100</v>
      </c>
      <c r="V13" s="36" t="s">
        <v>101</v>
      </c>
      <c r="W13" s="36" t="s">
        <v>111</v>
      </c>
      <c r="X13" s="36" t="s">
        <v>71</v>
      </c>
      <c r="Y13" s="36" t="s">
        <v>71</v>
      </c>
      <c r="Z13" s="36" t="s">
        <v>71</v>
      </c>
      <c r="AA13" s="36" t="s">
        <v>71</v>
      </c>
      <c r="AB13" s="36" t="s">
        <v>71</v>
      </c>
      <c r="AC13" s="36" t="s">
        <v>71</v>
      </c>
      <c r="AD13" s="36" t="s">
        <v>72</v>
      </c>
      <c r="AE13" s="36" t="s">
        <v>94</v>
      </c>
      <c r="AF13" s="36" t="s">
        <v>116</v>
      </c>
      <c r="AG13" s="36" t="s">
        <v>112</v>
      </c>
      <c r="AH13" t="str">
        <f>VLOOKUP($R13,武学奇术!$A:$ZZ,25,FALSE)</f>
        <v>剑</v>
      </c>
      <c r="AI13" s="20">
        <f>VLOOKUP($R13,武学奇术!$A:$ZZ,26,FALSE)</f>
        <v>2.496</v>
      </c>
      <c r="AJ13" s="21">
        <f>VLOOKUP($R13,武学奇术!$A:$ZZ,27,FALSE)*(1+IF(OR($AH13=$F$4,$AH13=$F$5),$B$22,0))</f>
        <v>0</v>
      </c>
      <c r="AK13" s="20">
        <f>VLOOKUP($R13,武学奇术!$A:$ZZ,28,FALSE)</f>
        <v>3.744</v>
      </c>
      <c r="AL13" s="21">
        <f>VLOOKUP($R13,武学奇术!$A:$ZZ,29,FALSE)*(1+IF(OR($AH13=$F$4,$AH13=$F$5),$B$22,0))</f>
        <v>0</v>
      </c>
      <c r="AM13" s="20" cm="1">
        <f t="array" ref="AM13">$G$3+IFERROR(VLOOKUP($AH13,$F$4:$G$7,2,FALSE),0)+VLOOKUP($R13,武学奇术!$A:$ZZ,2,FALSE)+SUM(_xlfn.XLOOKUP($S13:$AG13,增益!$A:$A,增益!$B:$B,0))</f>
        <v>1.3791</v>
      </c>
      <c r="AN13" s="20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1548.52</v>
      </c>
      <c r="AP13" cm="1">
        <f t="array" ref="AP13">$E$10*(1+$AN13)+VLOOKUP($R13,武学奇术!$A:$ZZ,4,FALSE)+SUM(_xlfn.XLOOKUP($S13:$AG13,增益!$A:$A,增益!$D:$D,0))-$I$2</f>
        <v>6659.56</v>
      </c>
      <c r="AQ13" s="29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0.3075</v>
      </c>
      <c r="AR13" s="29" cm="1">
        <f t="array" ref="AR13">$G$10+VLOOKUP($R13,武学奇术!$A:$ZZ,7,FALSE)+SUM(_xlfn.XLOOKUP(S13:AG13,增益!$A:$A,增益!$G:$G,0))</f>
        <v>0</v>
      </c>
      <c r="AS13" s="20" cm="1">
        <f t="array" ref="AS13">VLOOKUP($R13,武学奇术!$A:$ZZ,8,FALSE)+SUM(_xlfn.XLOOKUP(S13:AG13,增益!$A:$A,增益!$H:$H,0))</f>
        <v>0</v>
      </c>
      <c r="AT13">
        <f t="shared" si="1"/>
        <v>538</v>
      </c>
      <c r="AU13">
        <f t="shared" si="2"/>
        <v>1011</v>
      </c>
      <c r="AV13" s="29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0.075</v>
      </c>
      <c r="AW13" s="29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29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29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29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29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29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29" cm="1">
        <f t="array" ref="BI13">$G$14+VLOOKUP($R13,武学奇术!$A:$ZZ,16,FALSE)+SUM(_xlfn.XLOOKUP(S13:AG13,增益!$A:$A,增益!$P:$P,0))</f>
        <v>0</v>
      </c>
      <c r="BJ13" s="20">
        <f>MIN(IF(VLOOKUP($R13,武学奇术!$A:$ZZ,23,FALSE)=1,100%,$B$8),100%)</f>
        <v>0.8271</v>
      </c>
      <c r="BK13" s="20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0.2249</v>
      </c>
      <c r="BL13" s="20" cm="1">
        <f t="array" ref="BL13">1+$B$13+VLOOKUP($R13,武学奇术!$A:$ZZ,18,FALSE)+SUM(_xlfn.XLOOKUP(S13:AG13,增益!$A:$A,增益!$R:$R,0))</f>
        <v>1.5</v>
      </c>
      <c r="BM13" s="20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0.4459</v>
      </c>
      <c r="BN13" s="20" cm="1">
        <f t="array" ref="BN13">1+$B$14+VLOOKUP($R13,武学奇术!$A:$ZZ,20,FALSE)+SUM(_xlfn.XLOOKUP(S13:AG13,增益!$A:$A,增益!$T:$T,0))</f>
        <v>1.722</v>
      </c>
      <c r="BO13" s="20">
        <f t="shared" si="9"/>
        <v>0.18601479</v>
      </c>
      <c r="BP13" s="20">
        <f t="shared" si="10"/>
        <v>0.27228132</v>
      </c>
      <c r="BQ13" s="20">
        <f>IF(VLOOKUP($R13,武学奇术!$A:$ZZ,22,FALSE)=1,0,(1-$BJ13))*(1-$BM13)</f>
        <v>0.09580389</v>
      </c>
      <c r="BR13" s="20" cm="1">
        <f t="array" ref="BR13">SUM(_xlfn.XLOOKUP(S13:AG13,增益!$A:$A,增益!$W:$W,0))+$I$5</f>
        <v>0.11</v>
      </c>
    </row>
    <row r="14" spans="1:70">
      <c r="A14" s="37" t="s">
        <v>118</v>
      </c>
      <c r="B14" s="66">
        <f>期望!B14</f>
        <v>0.402</v>
      </c>
      <c r="C14" s="49" t="s">
        <v>90</v>
      </c>
      <c r="D14" s="14">
        <f>期望!D14</f>
        <v>0</v>
      </c>
      <c r="E14" s="14">
        <f>期望!E14</f>
        <v>0</v>
      </c>
      <c r="F14" s="14">
        <f>期望!F14</f>
        <v>0</v>
      </c>
      <c r="G14" s="15">
        <f>期望!G14</f>
        <v>0</v>
      </c>
      <c r="H14" s="33" t="s">
        <v>119</v>
      </c>
      <c r="I14" s="70">
        <f>I12+120000*3%</f>
        <v>133972.352595502</v>
      </c>
      <c r="J14" s="71"/>
      <c r="K14" s="27">
        <f>$L14*VLOOKUP($R14,武学奇术!$A:$ZZ,31,FALSE)</f>
        <v>96129.9197803873</v>
      </c>
      <c r="L14" s="27">
        <f t="shared" si="0"/>
        <v>160216.532967312</v>
      </c>
      <c r="M14" s="27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89687.4709676233</v>
      </c>
      <c r="N14" s="27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160216.532967312</v>
      </c>
      <c r="O14" s="27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59791.6473117489</v>
      </c>
      <c r="P14" s="27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26542.3347121667</v>
      </c>
      <c r="Q14" s="35">
        <v>1</v>
      </c>
      <c r="R14" s="36" t="s">
        <v>98</v>
      </c>
      <c r="S14" s="36" t="s">
        <v>71</v>
      </c>
      <c r="T14" s="36" t="s">
        <v>99</v>
      </c>
      <c r="U14" s="36" t="s">
        <v>100</v>
      </c>
      <c r="V14" s="36" t="s">
        <v>101</v>
      </c>
      <c r="W14" s="36" t="s">
        <v>111</v>
      </c>
      <c r="X14" s="36" t="s">
        <v>71</v>
      </c>
      <c r="Y14" s="36" t="s">
        <v>71</v>
      </c>
      <c r="Z14" s="36" t="s">
        <v>71</v>
      </c>
      <c r="AA14" s="36" t="s">
        <v>71</v>
      </c>
      <c r="AB14" s="36" t="s">
        <v>71</v>
      </c>
      <c r="AC14" s="36" t="s">
        <v>71</v>
      </c>
      <c r="AD14" s="36" t="s">
        <v>72</v>
      </c>
      <c r="AE14" s="36" t="s">
        <v>94</v>
      </c>
      <c r="AF14" s="36" t="s">
        <v>116</v>
      </c>
      <c r="AG14" s="36" t="s">
        <v>120</v>
      </c>
      <c r="AH14" t="str">
        <f>VLOOKUP($R14,武学奇术!$A:$ZZ,25,FALSE)</f>
        <v>剑</v>
      </c>
      <c r="AI14" s="20">
        <f>VLOOKUP($R14,武学奇术!$A:$ZZ,26,FALSE)</f>
        <v>2.496</v>
      </c>
      <c r="AJ14" s="21">
        <f>VLOOKUP($R14,武学奇术!$A:$ZZ,27,FALSE)*(1+IF(OR($AH14=$F$4,$AH14=$F$5),$B$22,0))</f>
        <v>0</v>
      </c>
      <c r="AK14" s="20">
        <f>VLOOKUP($R14,武学奇术!$A:$ZZ,28,FALSE)</f>
        <v>3.744</v>
      </c>
      <c r="AL14" s="21">
        <f>VLOOKUP($R14,武学奇术!$A:$ZZ,29,FALSE)*(1+IF(OR($AH14=$F$4,$AH14=$F$5),$B$22,0))</f>
        <v>0</v>
      </c>
      <c r="AM14" s="20" cm="1">
        <f t="array" ref="AM14">$G$3+IFERROR(VLOOKUP($AH14,$F$4:$G$7,2,FALSE),0)+VLOOKUP($R14,武学奇术!$A:$ZZ,2,FALSE)+SUM(_xlfn.XLOOKUP($S14:$AG14,增益!$A:$A,增益!$B:$B,0))</f>
        <v>1.3891</v>
      </c>
      <c r="AN14" s="20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1548.52</v>
      </c>
      <c r="AP14" cm="1">
        <f t="array" ref="AP14">$E$10*(1+$AN14)+VLOOKUP($R14,武学奇术!$A:$ZZ,4,FALSE)+SUM(_xlfn.XLOOKUP($S14:$AG14,增益!$A:$A,增益!$D:$D,0))-$I$2</f>
        <v>6659.56</v>
      </c>
      <c r="AQ14" s="29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0.3175</v>
      </c>
      <c r="AR14" s="29" cm="1">
        <f t="array" ref="AR14">$G$10+VLOOKUP($R14,武学奇术!$A:$ZZ,7,FALSE)+SUM(_xlfn.XLOOKUP(S14:AG14,增益!$A:$A,增益!$G:$G,0))</f>
        <v>0</v>
      </c>
      <c r="AS14" s="20" cm="1">
        <f t="array" ref="AS14">VLOOKUP($R14,武学奇术!$A:$ZZ,8,FALSE)+SUM(_xlfn.XLOOKUP(S14:AG14,增益!$A:$A,增益!$H:$H,0))</f>
        <v>0</v>
      </c>
      <c r="AT14">
        <f t="shared" si="1"/>
        <v>538</v>
      </c>
      <c r="AU14">
        <f t="shared" si="2"/>
        <v>1011</v>
      </c>
      <c r="AV14" s="29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0.075</v>
      </c>
      <c r="AW14" s="29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29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29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29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29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29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29" cm="1">
        <f t="array" ref="BI14">$G$14+VLOOKUP($R14,武学奇术!$A:$ZZ,16,FALSE)+SUM(_xlfn.XLOOKUP(S14:AG14,增益!$A:$A,增益!$P:$P,0))</f>
        <v>0</v>
      </c>
      <c r="BJ14" s="20">
        <f>MIN(IF(VLOOKUP($R14,武学奇术!$A:$ZZ,23,FALSE)=1,100%,$B$8),100%)</f>
        <v>0.8271</v>
      </c>
      <c r="BK14" s="20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</v>
      </c>
      <c r="BL14" s="20" cm="1">
        <f t="array" ref="BL14">1+$B$13+VLOOKUP($R14,武学奇术!$A:$ZZ,18,FALSE)+SUM(_xlfn.XLOOKUP(S14:AG14,增益!$A:$A,增益!$R:$R,0))</f>
        <v>1.5</v>
      </c>
      <c r="BM14" s="20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1</v>
      </c>
      <c r="BN14" s="20" cm="1">
        <f t="array" ref="BN14">1+$B$14+VLOOKUP($R14,武学奇术!$A:$ZZ,20,FALSE)+SUM(_xlfn.XLOOKUP(S14:AG14,增益!$A:$A,增益!$T:$T,0))</f>
        <v>1.722</v>
      </c>
      <c r="BO14" s="20">
        <f t="shared" si="9"/>
        <v>0</v>
      </c>
      <c r="BP14" s="20">
        <f t="shared" si="10"/>
        <v>0</v>
      </c>
      <c r="BQ14" s="20">
        <f>IF(VLOOKUP($R14,武学奇术!$A:$ZZ,22,FALSE)=1,0,(1-$BJ14))*(1-$BM14)</f>
        <v>0</v>
      </c>
      <c r="BR14" s="20" cm="1">
        <f t="array" ref="BR14">SUM(_xlfn.XLOOKUP(S14:AG14,增益!$A:$A,增益!$W:$W,0))+$I$5</f>
        <v>0.11</v>
      </c>
    </row>
    <row r="15" spans="1:70">
      <c r="A15" s="37" t="s">
        <v>121</v>
      </c>
      <c r="B15" s="66">
        <f>期望!B15</f>
        <v>0.0852</v>
      </c>
      <c r="C15" s="35" t="s">
        <v>122</v>
      </c>
      <c r="D15" s="35"/>
      <c r="F15" s="77"/>
      <c r="H15" s="78"/>
      <c r="I15" s="73"/>
      <c r="J15" s="74"/>
      <c r="K15" s="27">
        <f>$L15*VLOOKUP($R15,武学奇术!$A:$ZZ,31,FALSE)</f>
        <v>12178.0671722401</v>
      </c>
      <c r="L15" s="27">
        <f t="shared" si="0"/>
        <v>12178.0671722401</v>
      </c>
      <c r="M15" s="27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10976.5864405896</v>
      </c>
      <c r="N15" s="27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17566.877870389</v>
      </c>
      <c r="O15" s="27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7317.72429372638</v>
      </c>
      <c r="P15" s="27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3243.18018901631</v>
      </c>
      <c r="Q15" s="35">
        <v>1</v>
      </c>
      <c r="R15" s="36" t="s">
        <v>107</v>
      </c>
      <c r="S15" s="36" t="s">
        <v>71</v>
      </c>
      <c r="T15" s="36" t="s">
        <v>93</v>
      </c>
      <c r="U15" s="36" t="s">
        <v>71</v>
      </c>
      <c r="V15" s="36" t="s">
        <v>71</v>
      </c>
      <c r="W15" s="36" t="s">
        <v>111</v>
      </c>
      <c r="X15" s="36" t="s">
        <v>71</v>
      </c>
      <c r="Y15" s="36" t="s">
        <v>71</v>
      </c>
      <c r="Z15" s="36" t="s">
        <v>71</v>
      </c>
      <c r="AA15" s="36" t="s">
        <v>71</v>
      </c>
      <c r="AB15" s="36" t="s">
        <v>71</v>
      </c>
      <c r="AC15" s="36" t="s">
        <v>71</v>
      </c>
      <c r="AD15" s="36" t="s">
        <v>72</v>
      </c>
      <c r="AE15" s="36" t="s">
        <v>94</v>
      </c>
      <c r="AF15" s="36" t="s">
        <v>116</v>
      </c>
      <c r="AG15" s="36" t="s">
        <v>120</v>
      </c>
      <c r="AH15" t="str">
        <f>VLOOKUP($R15,武学奇术!$A:$ZZ,25,FALSE)</f>
        <v>剑</v>
      </c>
      <c r="AI15" s="20">
        <f>VLOOKUP($R15,武学奇术!$A:$ZZ,26,FALSE)</f>
        <v>0.625</v>
      </c>
      <c r="AJ15" s="21">
        <f>VLOOKUP($R15,武学奇术!$A:$ZZ,27,FALSE)*(1+IF(OR($AH15=$F$4,$AH15=$F$5),$B$22,0))</f>
        <v>0</v>
      </c>
      <c r="AK15" s="20">
        <f>VLOOKUP($R15,武学奇术!$A:$ZZ,28,FALSE)</f>
        <v>0.9375</v>
      </c>
      <c r="AL15" s="21">
        <f>VLOOKUP($R15,武学奇术!$A:$ZZ,29,FALSE)*(1+IF(OR($AH15=$F$4,$AH15=$F$5),$B$22,0))</f>
        <v>0</v>
      </c>
      <c r="AM15" s="20" cm="1">
        <f t="array" ref="AM15">$G$3+IFERROR(VLOOKUP($AH15,$F$4:$G$7,2,FALSE),0)+VLOOKUP($R15,武学奇术!$A:$ZZ,2,FALSE)+SUM(_xlfn.XLOOKUP($S15:$AG15,增益!$A:$A,增益!$B:$B,0))</f>
        <v>0.6391</v>
      </c>
      <c r="AN15" s="20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1548.52</v>
      </c>
      <c r="AP15" cm="1">
        <f t="array" ref="AP15">$E$10*(1+$AN15)+VLOOKUP($R15,武学奇术!$A:$ZZ,4,FALSE)+SUM(_xlfn.XLOOKUP($S15:$AG15,增益!$A:$A,增益!$D:$D,0))-$I$2</f>
        <v>6659.56</v>
      </c>
      <c r="AQ15" s="29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0.2425</v>
      </c>
      <c r="AR15" s="29" cm="1">
        <f t="array" ref="AR15">$G$10+VLOOKUP($R15,武学奇术!$A:$ZZ,7,FALSE)+SUM(_xlfn.XLOOKUP(S15:AG15,增益!$A:$A,增益!$G:$G,0))</f>
        <v>0</v>
      </c>
      <c r="AS15" s="20" cm="1">
        <f t="array" ref="AS15">VLOOKUP($R15,武学奇术!$A:$ZZ,8,FALSE)+SUM(_xlfn.XLOOKUP(S15:AG15,增益!$A:$A,增益!$H:$H,0))</f>
        <v>0</v>
      </c>
      <c r="AT15">
        <f t="shared" si="1"/>
        <v>538</v>
      </c>
      <c r="AU15">
        <f t="shared" si="2"/>
        <v>1011</v>
      </c>
      <c r="AV15" s="29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</v>
      </c>
      <c r="AW15" s="29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29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29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29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29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29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29" cm="1">
        <f t="array" ref="BI15">$G$14+VLOOKUP($R15,武学奇术!$A:$ZZ,16,FALSE)+SUM(_xlfn.XLOOKUP(S15:AG15,增益!$A:$A,增益!$P:$P,0))</f>
        <v>0</v>
      </c>
      <c r="BJ15" s="20">
        <f>MIN(IF(VLOOKUP($R15,武学奇术!$A:$ZZ,23,FALSE)=1,100%,$B$8),100%)</f>
        <v>0.8271</v>
      </c>
      <c r="BK15" s="20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0.2249</v>
      </c>
      <c r="BL15" s="20" cm="1">
        <f t="array" ref="BL15">1+$B$13+VLOOKUP($R15,武学奇术!$A:$ZZ,18,FALSE)+SUM(_xlfn.XLOOKUP(S15:AG15,增益!$A:$A,增益!$R:$R,0))</f>
        <v>1.5</v>
      </c>
      <c r="BM15" s="20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0.4459</v>
      </c>
      <c r="BN15" s="20" cm="1">
        <f t="array" ref="BN15">1+$B$14+VLOOKUP($R15,武学奇术!$A:$ZZ,20,FALSE)+SUM(_xlfn.XLOOKUP(S15:AG15,增益!$A:$A,增益!$T:$T,0))</f>
        <v>1.542</v>
      </c>
      <c r="BO15" s="20">
        <f t="shared" si="9"/>
        <v>0.18601479</v>
      </c>
      <c r="BP15" s="20">
        <f t="shared" si="10"/>
        <v>0.27228132</v>
      </c>
      <c r="BQ15" s="20">
        <f>IF(VLOOKUP($R15,武学奇术!$A:$ZZ,22,FALSE)=1,0,(1-$BJ15))*(1-$BM15)</f>
        <v>0.09580389</v>
      </c>
      <c r="BR15" s="20" cm="1">
        <f t="array" ref="BR15">SUM(_xlfn.XLOOKUP(S15:AG15,增益!$A:$A,增益!$W:$W,0))+$I$5</f>
        <v>0.11</v>
      </c>
    </row>
    <row r="16" spans="1:70">
      <c r="A16" s="37" t="s">
        <v>123</v>
      </c>
      <c r="B16" s="66">
        <f>期望!B16</f>
        <v>0.0887</v>
      </c>
      <c r="C16" s="35" t="s">
        <v>124</v>
      </c>
      <c r="D16" s="77" t="s">
        <v>168</v>
      </c>
      <c r="E16" s="35" t="s">
        <v>126</v>
      </c>
      <c r="F16" s="77" t="s">
        <v>125</v>
      </c>
      <c r="H16" s="63"/>
      <c r="I16" s="79"/>
      <c r="J16" s="80"/>
      <c r="K16" s="27">
        <f>$L16*VLOOKUP($R16,武学奇术!$A:$ZZ,31,FALSE)</f>
        <v>25370.3417642094</v>
      </c>
      <c r="L16" s="27">
        <f t="shared" si="0"/>
        <v>25370.3417642094</v>
      </c>
      <c r="M16" s="27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23404.7266871756</v>
      </c>
      <c r="N16" s="27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35903.2009808891</v>
      </c>
      <c r="O16" s="27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15603.1511247837</v>
      </c>
      <c r="P16" s="27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7922.77372759012</v>
      </c>
      <c r="Q16" s="35">
        <v>1</v>
      </c>
      <c r="R16" s="36" t="s">
        <v>92</v>
      </c>
      <c r="S16" s="36" t="s">
        <v>71</v>
      </c>
      <c r="T16" s="36" t="s">
        <v>93</v>
      </c>
      <c r="U16" s="36" t="s">
        <v>71</v>
      </c>
      <c r="V16" s="36" t="s">
        <v>71</v>
      </c>
      <c r="W16" s="36" t="s">
        <v>111</v>
      </c>
      <c r="X16" s="36" t="s">
        <v>71</v>
      </c>
      <c r="Y16" s="36" t="s">
        <v>71</v>
      </c>
      <c r="Z16" s="36" t="s">
        <v>71</v>
      </c>
      <c r="AA16" s="36" t="s">
        <v>71</v>
      </c>
      <c r="AB16" s="36" t="s">
        <v>71</v>
      </c>
      <c r="AC16" s="36" t="s">
        <v>71</v>
      </c>
      <c r="AD16" s="36" t="s">
        <v>72</v>
      </c>
      <c r="AE16" s="36" t="s">
        <v>94</v>
      </c>
      <c r="AF16" s="36" t="s">
        <v>116</v>
      </c>
      <c r="AG16" s="36" t="s">
        <v>120</v>
      </c>
      <c r="AH16" t="str">
        <f>VLOOKUP($R16,武学奇术!$A:$ZZ,25,FALSE)</f>
        <v>剑</v>
      </c>
      <c r="AI16" s="20">
        <f>VLOOKUP($R16,武学奇术!$A:$ZZ,26,FALSE)</f>
        <v>1.1781</v>
      </c>
      <c r="AJ16" s="21">
        <f>VLOOKUP($R16,武学奇术!$A:$ZZ,27,FALSE)*(1+IF(OR($AH16=$F$4,$AH16=$F$5),$B$22,0))</f>
        <v>456.4</v>
      </c>
      <c r="AK16" s="20">
        <f>VLOOKUP($R16,武学奇术!$A:$ZZ,28,FALSE)</f>
        <v>1.7672</v>
      </c>
      <c r="AL16" s="21">
        <f>VLOOKUP($R16,武学奇术!$A:$ZZ,29,FALSE)*(1+IF(OR($AH16=$F$4,$AH16=$F$5),$B$22,0))</f>
        <v>247.8</v>
      </c>
      <c r="AM16" s="20" cm="1">
        <f t="array" ref="AM16">$G$3+IFERROR(VLOOKUP($AH16,$F$4:$G$7,2,FALSE),0)+VLOOKUP($R16,武学奇术!$A:$ZZ,2,FALSE)+SUM(_xlfn.XLOOKUP($S16:$AG16,增益!$A:$A,增益!$B:$B,0))</f>
        <v>0.6391</v>
      </c>
      <c r="AN16" s="20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1548.52</v>
      </c>
      <c r="AP16" cm="1">
        <f t="array" ref="AP16">$E$10*(1+$AN16)+VLOOKUP($R16,武学奇术!$A:$ZZ,4,FALSE)+SUM(_xlfn.XLOOKUP($S16:$AG16,增益!$A:$A,增益!$D:$D,0))-$I$2</f>
        <v>6659.56</v>
      </c>
      <c r="AQ16" s="29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0.2425</v>
      </c>
      <c r="AR16" s="29" cm="1">
        <f t="array" ref="AR16">$G$10+VLOOKUP($R16,武学奇术!$A:$ZZ,7,FALSE)+SUM(_xlfn.XLOOKUP(S16:AG16,增益!$A:$A,增益!$G:$G,0))</f>
        <v>0</v>
      </c>
      <c r="AS16" s="20" cm="1">
        <f t="array" ref="AS16">VLOOKUP($R16,武学奇术!$A:$ZZ,8,FALSE)+SUM(_xlfn.XLOOKUP(S16:AG16,增益!$A:$A,增益!$H:$H,0))</f>
        <v>0</v>
      </c>
      <c r="AT16">
        <f t="shared" si="1"/>
        <v>538</v>
      </c>
      <c r="AU16">
        <f t="shared" si="2"/>
        <v>1011</v>
      </c>
      <c r="AV16" s="29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</v>
      </c>
      <c r="AW16" s="29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29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29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29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29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29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29" cm="1">
        <f t="array" ref="BI16">$G$14+VLOOKUP($R16,武学奇术!$A:$ZZ,16,FALSE)+SUM(_xlfn.XLOOKUP(S16:AG16,增益!$A:$A,增益!$P:$P,0))</f>
        <v>0</v>
      </c>
      <c r="BJ16" s="20">
        <f>MIN(IF(VLOOKUP($R16,武学奇术!$A:$ZZ,23,FALSE)=1,100%,$B$8),100%)</f>
        <v>0.8271</v>
      </c>
      <c r="BK16" s="20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0.2249</v>
      </c>
      <c r="BL16" s="20" cm="1">
        <f t="array" ref="BL16">1+$B$13+VLOOKUP($R16,武学奇术!$A:$ZZ,18,FALSE)+SUM(_xlfn.XLOOKUP(S16:AG16,增益!$A:$A,增益!$R:$R,0))</f>
        <v>1.5</v>
      </c>
      <c r="BM16" s="20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0.4459</v>
      </c>
      <c r="BN16" s="20" cm="1">
        <f t="array" ref="BN16">1+$B$14+VLOOKUP($R16,武学奇术!$A:$ZZ,20,FALSE)+SUM(_xlfn.XLOOKUP(S16:AG16,增益!$A:$A,增益!$T:$T,0))</f>
        <v>1.542</v>
      </c>
      <c r="BO16" s="20">
        <f t="shared" si="9"/>
        <v>0.18601479</v>
      </c>
      <c r="BP16" s="20">
        <f t="shared" si="10"/>
        <v>0.27228132</v>
      </c>
      <c r="BQ16" s="20">
        <f>IF(VLOOKUP($R16,武学奇术!$A:$ZZ,22,FALSE)=1,0,(1-$BJ16))*(1-$BM16)</f>
        <v>0.09580389</v>
      </c>
      <c r="BR16" s="20" cm="1">
        <f t="array" ref="BR16">SUM(_xlfn.XLOOKUP(S16:AG16,增益!$A:$A,增益!$W:$W,0))+$I$5</f>
        <v>0.11</v>
      </c>
    </row>
    <row r="17" ht="14.25" spans="1:70">
      <c r="A17" s="37" t="s">
        <v>128</v>
      </c>
      <c r="B17" s="66">
        <f>期望!B17</f>
        <v>0.0852</v>
      </c>
      <c r="C17" s="35" t="s">
        <v>129</v>
      </c>
      <c r="D17" s="77" t="s">
        <v>168</v>
      </c>
      <c r="E17" s="35" t="s">
        <v>130</v>
      </c>
      <c r="F17" s="77" t="s">
        <v>168</v>
      </c>
      <c r="H17" s="67"/>
      <c r="I17" s="81"/>
      <c r="J17" s="82"/>
      <c r="K17" s="27">
        <f>$L17*VLOOKUP($R17,武学奇术!$A:$ZZ,31,FALSE)</f>
        <v>64168.0534187538</v>
      </c>
      <c r="L17" s="27">
        <f t="shared" si="0"/>
        <v>106946.755697923</v>
      </c>
      <c r="M17" s="27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89687.4709676233</v>
      </c>
      <c r="N17" s="27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160216.532967312</v>
      </c>
      <c r="O17" s="27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59791.6473117489</v>
      </c>
      <c r="P17" s="27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26542.3347121667</v>
      </c>
      <c r="Q17" s="35">
        <v>1</v>
      </c>
      <c r="R17" s="36" t="s">
        <v>105</v>
      </c>
      <c r="S17" s="36" t="s">
        <v>71</v>
      </c>
      <c r="T17" s="36" t="s">
        <v>99</v>
      </c>
      <c r="U17" s="36" t="s">
        <v>100</v>
      </c>
      <c r="V17" s="36" t="s">
        <v>101</v>
      </c>
      <c r="W17" s="36" t="s">
        <v>111</v>
      </c>
      <c r="X17" s="36" t="s">
        <v>71</v>
      </c>
      <c r="Y17" s="36" t="s">
        <v>71</v>
      </c>
      <c r="Z17" s="36" t="s">
        <v>71</v>
      </c>
      <c r="AA17" s="36" t="s">
        <v>71</v>
      </c>
      <c r="AB17" s="36" t="s">
        <v>71</v>
      </c>
      <c r="AC17" s="36" t="s">
        <v>71</v>
      </c>
      <c r="AD17" s="36" t="s">
        <v>72</v>
      </c>
      <c r="AE17" s="36" t="s">
        <v>94</v>
      </c>
      <c r="AF17" s="36" t="s">
        <v>116</v>
      </c>
      <c r="AG17" s="36" t="s">
        <v>120</v>
      </c>
      <c r="AH17" t="str">
        <f>VLOOKUP($R17,武学奇术!$A:$ZZ,25,FALSE)</f>
        <v>剑</v>
      </c>
      <c r="AI17" s="20">
        <f>VLOOKUP($R17,武学奇术!$A:$ZZ,26,FALSE)</f>
        <v>2.496</v>
      </c>
      <c r="AJ17" s="21">
        <f>VLOOKUP($R17,武学奇术!$A:$ZZ,27,FALSE)*(1+IF(OR($AH17=$F$4,$AH17=$F$5),$B$22,0))</f>
        <v>0</v>
      </c>
      <c r="AK17" s="20">
        <f>VLOOKUP($R17,武学奇术!$A:$ZZ,28,FALSE)</f>
        <v>3.744</v>
      </c>
      <c r="AL17" s="21">
        <f>VLOOKUP($R17,武学奇术!$A:$ZZ,29,FALSE)*(1+IF(OR($AH17=$F$4,$AH17=$F$5),$B$22,0))</f>
        <v>0</v>
      </c>
      <c r="AM17" s="20" cm="1">
        <f t="array" ref="AM17">$G$3+IFERROR(VLOOKUP($AH17,$F$4:$G$7,2,FALSE),0)+VLOOKUP($R17,武学奇术!$A:$ZZ,2,FALSE)+SUM(_xlfn.XLOOKUP($S17:$AG17,增益!$A:$A,增益!$B:$B,0))</f>
        <v>1.3891</v>
      </c>
      <c r="AN17" s="20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1548.52</v>
      </c>
      <c r="AP17" cm="1">
        <f t="array" ref="AP17">$E$10*(1+$AN17)+VLOOKUP($R17,武学奇术!$A:$ZZ,4,FALSE)+SUM(_xlfn.XLOOKUP($S17:$AG17,增益!$A:$A,增益!$D:$D,0))-$I$2</f>
        <v>6659.56</v>
      </c>
      <c r="AQ17" s="29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0.3175</v>
      </c>
      <c r="AR17" s="29" cm="1">
        <f t="array" ref="AR17">$G$10+VLOOKUP($R17,武学奇术!$A:$ZZ,7,FALSE)+SUM(_xlfn.XLOOKUP(S17:AG17,增益!$A:$A,增益!$G:$G,0))</f>
        <v>0</v>
      </c>
      <c r="AS17" s="20" cm="1">
        <f t="array" ref="AS17">VLOOKUP($R17,武学奇术!$A:$ZZ,8,FALSE)+SUM(_xlfn.XLOOKUP(S17:AG17,增益!$A:$A,增益!$H:$H,0))</f>
        <v>0</v>
      </c>
      <c r="AT17">
        <f t="shared" si="1"/>
        <v>538</v>
      </c>
      <c r="AU17">
        <f t="shared" si="2"/>
        <v>1011</v>
      </c>
      <c r="AV17" s="29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0.075</v>
      </c>
      <c r="AW17" s="29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29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29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29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29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29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29" cm="1">
        <f t="array" ref="BI17">$G$14+VLOOKUP($R17,武学奇术!$A:$ZZ,16,FALSE)+SUM(_xlfn.XLOOKUP(S17:AG17,增益!$A:$A,增益!$P:$P,0))</f>
        <v>0</v>
      </c>
      <c r="BJ17" s="20">
        <f>MIN(IF(VLOOKUP($R17,武学奇术!$A:$ZZ,23,FALSE)=1,100%,$B$8),100%)</f>
        <v>0.8271</v>
      </c>
      <c r="BK17" s="20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0.2249</v>
      </c>
      <c r="BL17" s="20" cm="1">
        <f t="array" ref="BL17">1+$B$13+VLOOKUP($R17,武学奇术!$A:$ZZ,18,FALSE)+SUM(_xlfn.XLOOKUP(S17:AG17,增益!$A:$A,增益!$R:$R,0))</f>
        <v>1.5</v>
      </c>
      <c r="BM17" s="20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0.4459</v>
      </c>
      <c r="BN17" s="20" cm="1">
        <f t="array" ref="BN17">1+$B$14+VLOOKUP($R17,武学奇术!$A:$ZZ,20,FALSE)+SUM(_xlfn.XLOOKUP(S17:AG17,增益!$A:$A,增益!$T:$T,0))</f>
        <v>1.722</v>
      </c>
      <c r="BO17" s="20">
        <f t="shared" si="9"/>
        <v>0.18601479</v>
      </c>
      <c r="BP17" s="20">
        <f t="shared" si="10"/>
        <v>0.27228132</v>
      </c>
      <c r="BQ17" s="20">
        <f>IF(VLOOKUP($R17,武学奇术!$A:$ZZ,22,FALSE)=1,0,(1-$BJ17))*(1-$BM17)</f>
        <v>0.09580389</v>
      </c>
      <c r="BR17" s="20" cm="1">
        <f t="array" ref="BR17">SUM(_xlfn.XLOOKUP(S17:AG17,增益!$A:$A,增益!$W:$W,0))+$I$5</f>
        <v>0.11</v>
      </c>
    </row>
    <row r="18" spans="1:70">
      <c r="A18" s="37" t="s">
        <v>131</v>
      </c>
      <c r="B18" s="66">
        <f>期望!B18</f>
        <v>0</v>
      </c>
      <c r="C18" s="35" t="s">
        <v>132</v>
      </c>
      <c r="D18" s="77" t="s">
        <v>168</v>
      </c>
      <c r="H18" s="33" t="s">
        <v>133</v>
      </c>
      <c r="I18" s="79">
        <f>SUM(K:K)/SUM(L:L)</f>
        <v>0.722063658360989</v>
      </c>
      <c r="J18" s="80"/>
      <c r="K18" s="27">
        <f>$L18*VLOOKUP($R18,武学奇术!$A:$ZZ,31,FALSE)</f>
        <v>12228.8652970288</v>
      </c>
      <c r="L18" s="27">
        <f t="shared" si="0"/>
        <v>12228.8652970288</v>
      </c>
      <c r="M18" s="27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10976.5864405896</v>
      </c>
      <c r="N18" s="27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17680.8005543734</v>
      </c>
      <c r="O18" s="27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7317.72429372638</v>
      </c>
      <c r="P18" s="27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3243.18018901631</v>
      </c>
      <c r="Q18" s="35">
        <v>1</v>
      </c>
      <c r="R18" s="36" t="s">
        <v>107</v>
      </c>
      <c r="S18" s="36" t="s">
        <v>71</v>
      </c>
      <c r="T18" s="36" t="s">
        <v>93</v>
      </c>
      <c r="U18" s="36" t="s">
        <v>71</v>
      </c>
      <c r="V18" s="36" t="s">
        <v>71</v>
      </c>
      <c r="W18" s="36" t="s">
        <v>111</v>
      </c>
      <c r="X18" s="36" t="s">
        <v>71</v>
      </c>
      <c r="Y18" s="36" t="s">
        <v>71</v>
      </c>
      <c r="Z18" s="36" t="s">
        <v>71</v>
      </c>
      <c r="AA18" s="36" t="s">
        <v>71</v>
      </c>
      <c r="AB18" s="36" t="s">
        <v>71</v>
      </c>
      <c r="AC18" s="36" t="s">
        <v>71</v>
      </c>
      <c r="AD18" s="36" t="s">
        <v>72</v>
      </c>
      <c r="AE18" s="36" t="s">
        <v>94</v>
      </c>
      <c r="AF18" s="36" t="s">
        <v>134</v>
      </c>
      <c r="AG18" s="36" t="s">
        <v>120</v>
      </c>
      <c r="AH18" t="str">
        <f>VLOOKUP($R18,武学奇术!$A:$ZZ,25,FALSE)</f>
        <v>剑</v>
      </c>
      <c r="AI18" s="20">
        <f>VLOOKUP($R18,武学奇术!$A:$ZZ,26,FALSE)</f>
        <v>0.625</v>
      </c>
      <c r="AJ18" s="21">
        <f>VLOOKUP($R18,武学奇术!$A:$ZZ,27,FALSE)*(1+IF(OR($AH18=$F$4,$AH18=$F$5),$B$22,0))</f>
        <v>0</v>
      </c>
      <c r="AK18" s="20">
        <f>VLOOKUP($R18,武学奇术!$A:$ZZ,28,FALSE)</f>
        <v>0.9375</v>
      </c>
      <c r="AL18" s="21">
        <f>VLOOKUP($R18,武学奇术!$A:$ZZ,29,FALSE)*(1+IF(OR($AH18=$F$4,$AH18=$F$5),$B$22,0))</f>
        <v>0</v>
      </c>
      <c r="AM18" s="20" cm="1">
        <f t="array" ref="AM18">$G$3+IFERROR(VLOOKUP($AH18,$F$4:$G$7,2,FALSE),0)+VLOOKUP($R18,武学奇术!$A:$ZZ,2,FALSE)+SUM(_xlfn.XLOOKUP($S18:$AG18,增益!$A:$A,增益!$B:$B,0))</f>
        <v>0.6391</v>
      </c>
      <c r="AN18" s="20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1548.52</v>
      </c>
      <c r="AP18" cm="1">
        <f t="array" ref="AP18">$E$10*(1+$AN18)+VLOOKUP($R18,武学奇术!$A:$ZZ,4,FALSE)+SUM(_xlfn.XLOOKUP($S18:$AG18,增益!$A:$A,增益!$D:$D,0))-$I$2</f>
        <v>6659.56</v>
      </c>
      <c r="AQ18" s="29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0.2425</v>
      </c>
      <c r="AR18" s="29" cm="1">
        <f t="array" ref="AR18">$G$10+VLOOKUP($R18,武学奇术!$A:$ZZ,7,FALSE)+SUM(_xlfn.XLOOKUP(S18:AG18,增益!$A:$A,增益!$G:$G,0))</f>
        <v>0</v>
      </c>
      <c r="AS18" s="20" cm="1">
        <f t="array" ref="AS18">VLOOKUP($R18,武学奇术!$A:$ZZ,8,FALSE)+SUM(_xlfn.XLOOKUP(S18:AG18,增益!$A:$A,增益!$H:$H,0))</f>
        <v>0</v>
      </c>
      <c r="AT18">
        <f t="shared" si="1"/>
        <v>538</v>
      </c>
      <c r="AU18">
        <f t="shared" si="2"/>
        <v>1011</v>
      </c>
      <c r="AV18" s="29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</v>
      </c>
      <c r="AW18" s="29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29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29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29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29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29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29" cm="1">
        <f t="array" ref="BI18">$G$14+VLOOKUP($R18,武学奇术!$A:$ZZ,16,FALSE)+SUM(_xlfn.XLOOKUP(S18:AG18,增益!$A:$A,增益!$P:$P,0))</f>
        <v>0</v>
      </c>
      <c r="BJ18" s="20">
        <f>MIN(IF(VLOOKUP($R18,武学奇术!$A:$ZZ,23,FALSE)=1,100%,$B$8),100%)</f>
        <v>0.8271</v>
      </c>
      <c r="BK18" s="20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0.2249</v>
      </c>
      <c r="BL18" s="20" cm="1">
        <f t="array" ref="BL18">1+$B$13+VLOOKUP($R18,武学奇术!$A:$ZZ,18,FALSE)+SUM(_xlfn.XLOOKUP(S18:AG18,增益!$A:$A,增益!$R:$R,0))</f>
        <v>1.5</v>
      </c>
      <c r="BM18" s="20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0.4459</v>
      </c>
      <c r="BN18" s="20" cm="1">
        <f t="array" ref="BN18">1+$B$14+VLOOKUP($R18,武学奇术!$A:$ZZ,20,FALSE)+SUM(_xlfn.XLOOKUP(S18:AG18,增益!$A:$A,增益!$T:$T,0))</f>
        <v>1.552</v>
      </c>
      <c r="BO18" s="20">
        <f t="shared" si="9"/>
        <v>0.18601479</v>
      </c>
      <c r="BP18" s="20">
        <f t="shared" si="10"/>
        <v>0.27228132</v>
      </c>
      <c r="BQ18" s="20">
        <f>IF(VLOOKUP($R18,武学奇术!$A:$ZZ,22,FALSE)=1,0,(1-$BJ18))*(1-$BM18)</f>
        <v>0.09580389</v>
      </c>
      <c r="BR18" s="20" cm="1">
        <f t="array" ref="BR18">SUM(_xlfn.XLOOKUP(S18:AG18,增益!$A:$A,增益!$W:$W,0))+$I$5</f>
        <v>0.11</v>
      </c>
    </row>
    <row r="19" spans="1:70">
      <c r="A19" s="37" t="s">
        <v>135</v>
      </c>
      <c r="B19" s="66">
        <f>期望!B19</f>
        <v>0.2678</v>
      </c>
      <c r="C19" s="35" t="s">
        <v>136</v>
      </c>
      <c r="D19" s="77" t="s">
        <v>168</v>
      </c>
      <c r="H19" s="78"/>
      <c r="I19" s="81"/>
      <c r="J19" s="82"/>
      <c r="K19" s="27">
        <f>$L19*VLOOKUP($R19,武学奇术!$A:$ZZ,31,FALSE)</f>
        <v>25474.1630178889</v>
      </c>
      <c r="L19" s="27">
        <f t="shared" si="0"/>
        <v>25474.1630178889</v>
      </c>
      <c r="M19" s="27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23404.7266871756</v>
      </c>
      <c r="N19" s="27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36136.0362661089</v>
      </c>
      <c r="O19" s="27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15603.1511247837</v>
      </c>
      <c r="P19" s="27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7922.77372759012</v>
      </c>
      <c r="Q19" s="35">
        <v>1</v>
      </c>
      <c r="R19" s="36" t="s">
        <v>92</v>
      </c>
      <c r="S19" s="36" t="s">
        <v>71</v>
      </c>
      <c r="T19" s="36" t="s">
        <v>93</v>
      </c>
      <c r="U19" s="36" t="s">
        <v>71</v>
      </c>
      <c r="V19" s="36" t="s">
        <v>71</v>
      </c>
      <c r="W19" s="36" t="s">
        <v>111</v>
      </c>
      <c r="X19" s="36" t="s">
        <v>71</v>
      </c>
      <c r="Y19" s="36" t="s">
        <v>71</v>
      </c>
      <c r="Z19" s="36" t="s">
        <v>71</v>
      </c>
      <c r="AA19" s="36" t="s">
        <v>71</v>
      </c>
      <c r="AB19" s="36" t="s">
        <v>71</v>
      </c>
      <c r="AC19" s="36" t="s">
        <v>71</v>
      </c>
      <c r="AD19" s="36" t="s">
        <v>72</v>
      </c>
      <c r="AE19" s="36" t="s">
        <v>94</v>
      </c>
      <c r="AF19" s="36" t="s">
        <v>134</v>
      </c>
      <c r="AG19" s="36" t="s">
        <v>120</v>
      </c>
      <c r="AH19" t="str">
        <f>VLOOKUP($R19,武学奇术!$A:$ZZ,25,FALSE)</f>
        <v>剑</v>
      </c>
      <c r="AI19" s="20">
        <f>VLOOKUP($R19,武学奇术!$A:$ZZ,26,FALSE)</f>
        <v>1.1781</v>
      </c>
      <c r="AJ19" s="21">
        <f>VLOOKUP($R19,武学奇术!$A:$ZZ,27,FALSE)*(1+IF(OR($AH19=$F$4,$AH19=$F$5),$B$22,0))</f>
        <v>456.4</v>
      </c>
      <c r="AK19" s="20">
        <f>VLOOKUP($R19,武学奇术!$A:$ZZ,28,FALSE)</f>
        <v>1.7672</v>
      </c>
      <c r="AL19" s="21">
        <f>VLOOKUP($R19,武学奇术!$A:$ZZ,29,FALSE)*(1+IF(OR($AH19=$F$4,$AH19=$F$5),$B$22,0))</f>
        <v>247.8</v>
      </c>
      <c r="AM19" s="20" cm="1">
        <f t="array" ref="AM19">$G$3+IFERROR(VLOOKUP($AH19,$F$4:$G$7,2,FALSE),0)+VLOOKUP($R19,武学奇术!$A:$ZZ,2,FALSE)+SUM(_xlfn.XLOOKUP($S19:$AG19,增益!$A:$A,增益!$B:$B,0))</f>
        <v>0.6391</v>
      </c>
      <c r="AN19" s="20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1548.52</v>
      </c>
      <c r="AP19" cm="1">
        <f t="array" ref="AP19">$E$10*(1+$AN19)+VLOOKUP($R19,武学奇术!$A:$ZZ,4,FALSE)+SUM(_xlfn.XLOOKUP($S19:$AG19,增益!$A:$A,增益!$D:$D,0))-$I$2</f>
        <v>6659.56</v>
      </c>
      <c r="AQ19" s="29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0.2425</v>
      </c>
      <c r="AR19" s="29" cm="1">
        <f t="array" ref="AR19">$G$10+VLOOKUP($R19,武学奇术!$A:$ZZ,7,FALSE)+SUM(_xlfn.XLOOKUP(S19:AG19,增益!$A:$A,增益!$G:$G,0))</f>
        <v>0</v>
      </c>
      <c r="AS19" s="20" cm="1">
        <f t="array" ref="AS19">VLOOKUP($R19,武学奇术!$A:$ZZ,8,FALSE)+SUM(_xlfn.XLOOKUP(S19:AG19,增益!$A:$A,增益!$H:$H,0))</f>
        <v>0</v>
      </c>
      <c r="AT19">
        <f t="shared" si="1"/>
        <v>538</v>
      </c>
      <c r="AU19">
        <f t="shared" si="2"/>
        <v>1011</v>
      </c>
      <c r="AV19" s="29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</v>
      </c>
      <c r="AW19" s="29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29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29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29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29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29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29" cm="1">
        <f t="array" ref="BI19">$G$14+VLOOKUP($R19,武学奇术!$A:$ZZ,16,FALSE)+SUM(_xlfn.XLOOKUP(S19:AG19,增益!$A:$A,增益!$P:$P,0))</f>
        <v>0</v>
      </c>
      <c r="BJ19" s="20">
        <f>MIN(IF(VLOOKUP($R19,武学奇术!$A:$ZZ,23,FALSE)=1,100%,$B$8),100%)</f>
        <v>0.8271</v>
      </c>
      <c r="BK19" s="20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0.2249</v>
      </c>
      <c r="BL19" s="20" cm="1">
        <f t="array" ref="BL19">1+$B$13+VLOOKUP($R19,武学奇术!$A:$ZZ,18,FALSE)+SUM(_xlfn.XLOOKUP(S19:AG19,增益!$A:$A,增益!$R:$R,0))</f>
        <v>1.5</v>
      </c>
      <c r="BM19" s="20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0.4459</v>
      </c>
      <c r="BN19" s="20" cm="1">
        <f t="array" ref="BN19">1+$B$14+VLOOKUP($R19,武学奇术!$A:$ZZ,20,FALSE)+SUM(_xlfn.XLOOKUP(S19:AG19,增益!$A:$A,增益!$T:$T,0))</f>
        <v>1.552</v>
      </c>
      <c r="BO19" s="20">
        <f t="shared" si="9"/>
        <v>0.18601479</v>
      </c>
      <c r="BP19" s="20">
        <f t="shared" si="10"/>
        <v>0.27228132</v>
      </c>
      <c r="BQ19" s="20">
        <f>IF(VLOOKUP($R19,武学奇术!$A:$ZZ,22,FALSE)=1,0,(1-$BJ19))*(1-$BM19)</f>
        <v>0.09580389</v>
      </c>
      <c r="BR19" s="20" cm="1">
        <f t="array" ref="BR19">SUM(_xlfn.XLOOKUP(S19:AG19,增益!$A:$A,增益!$W:$W,0))+$I$5</f>
        <v>0.11</v>
      </c>
    </row>
    <row r="20" spans="1:70">
      <c r="A20" s="37" t="s">
        <v>137</v>
      </c>
      <c r="B20" s="66">
        <f>期望!B20</f>
        <v>0</v>
      </c>
      <c r="K20" s="27">
        <f>$L20*VLOOKUP($R20,武学奇术!$A:$ZZ,31,FALSE)</f>
        <v>64416.9752029006</v>
      </c>
      <c r="L20" s="27">
        <f t="shared" si="0"/>
        <v>107361.625338168</v>
      </c>
      <c r="M20" s="27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89687.4709676233</v>
      </c>
      <c r="N20" s="27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161146.942566425</v>
      </c>
      <c r="O20" s="27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59791.6473117489</v>
      </c>
      <c r="P20" s="27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26542.3347121667</v>
      </c>
      <c r="Q20" s="35">
        <v>1</v>
      </c>
      <c r="R20" s="36" t="s">
        <v>105</v>
      </c>
      <c r="S20" s="36" t="s">
        <v>71</v>
      </c>
      <c r="T20" s="36" t="s">
        <v>99</v>
      </c>
      <c r="U20" s="36" t="s">
        <v>100</v>
      </c>
      <c r="V20" s="36" t="s">
        <v>101</v>
      </c>
      <c r="W20" s="36" t="s">
        <v>111</v>
      </c>
      <c r="X20" s="36" t="s">
        <v>71</v>
      </c>
      <c r="Y20" s="36" t="s">
        <v>71</v>
      </c>
      <c r="Z20" s="36" t="s">
        <v>71</v>
      </c>
      <c r="AA20" s="36" t="s">
        <v>71</v>
      </c>
      <c r="AB20" s="36" t="s">
        <v>71</v>
      </c>
      <c r="AC20" s="36" t="s">
        <v>71</v>
      </c>
      <c r="AD20" s="36" t="s">
        <v>72</v>
      </c>
      <c r="AE20" s="36" t="s">
        <v>94</v>
      </c>
      <c r="AF20" s="36" t="s">
        <v>134</v>
      </c>
      <c r="AG20" s="36" t="s">
        <v>120</v>
      </c>
      <c r="AH20" t="str">
        <f>VLOOKUP($R20,武学奇术!$A:$ZZ,25,FALSE)</f>
        <v>剑</v>
      </c>
      <c r="AI20" s="20">
        <f>VLOOKUP($R20,武学奇术!$A:$ZZ,26,FALSE)</f>
        <v>2.496</v>
      </c>
      <c r="AJ20" s="21">
        <f>VLOOKUP($R20,武学奇术!$A:$ZZ,27,FALSE)*(1+IF(OR($AH20=$F$4,$AH20=$F$5),$B$22,0))</f>
        <v>0</v>
      </c>
      <c r="AK20" s="20">
        <f>VLOOKUP($R20,武学奇术!$A:$ZZ,28,FALSE)</f>
        <v>3.744</v>
      </c>
      <c r="AL20" s="21">
        <f>VLOOKUP($R20,武学奇术!$A:$ZZ,29,FALSE)*(1+IF(OR($AH20=$F$4,$AH20=$F$5),$B$22,0))</f>
        <v>0</v>
      </c>
      <c r="AM20" s="20" cm="1">
        <f t="array" ref="AM20">$G$3+IFERROR(VLOOKUP($AH20,$F$4:$G$7,2,FALSE),0)+VLOOKUP($R20,武学奇术!$A:$ZZ,2,FALSE)+SUM(_xlfn.XLOOKUP($S20:$AG20,增益!$A:$A,增益!$B:$B,0))</f>
        <v>1.3891</v>
      </c>
      <c r="AN20" s="20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1548.52</v>
      </c>
      <c r="AP20" cm="1">
        <f t="array" ref="AP20">$E$10*(1+$AN20)+VLOOKUP($R20,武学奇术!$A:$ZZ,4,FALSE)+SUM(_xlfn.XLOOKUP($S20:$AG20,增益!$A:$A,增益!$D:$D,0))-$I$2</f>
        <v>6659.56</v>
      </c>
      <c r="AQ20" s="29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0.3175</v>
      </c>
      <c r="AR20" s="29" cm="1">
        <f t="array" ref="AR20">$G$10+VLOOKUP($R20,武学奇术!$A:$ZZ,7,FALSE)+SUM(_xlfn.XLOOKUP(S20:AG20,增益!$A:$A,增益!$G:$G,0))</f>
        <v>0</v>
      </c>
      <c r="AS20" s="20" cm="1">
        <f t="array" ref="AS20">VLOOKUP($R20,武学奇术!$A:$ZZ,8,FALSE)+SUM(_xlfn.XLOOKUP(S20:AG20,增益!$A:$A,增益!$H:$H,0))</f>
        <v>0</v>
      </c>
      <c r="AT20">
        <f t="shared" si="1"/>
        <v>538</v>
      </c>
      <c r="AU20">
        <f t="shared" si="2"/>
        <v>1011</v>
      </c>
      <c r="AV20" s="29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0.075</v>
      </c>
      <c r="AW20" s="29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29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29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29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29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29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29" cm="1">
        <f t="array" ref="BI20">$G$14+VLOOKUP($R20,武学奇术!$A:$ZZ,16,FALSE)+SUM(_xlfn.XLOOKUP(S20:AG20,增益!$A:$A,增益!$P:$P,0))</f>
        <v>0</v>
      </c>
      <c r="BJ20" s="20">
        <f>MIN(IF(VLOOKUP($R20,武学奇术!$A:$ZZ,23,FALSE)=1,100%,$B$8),100%)</f>
        <v>0.8271</v>
      </c>
      <c r="BK20" s="20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0.2249</v>
      </c>
      <c r="BL20" s="20" cm="1">
        <f t="array" ref="BL20">1+$B$13+VLOOKUP($R20,武学奇术!$A:$ZZ,18,FALSE)+SUM(_xlfn.XLOOKUP(S20:AG20,增益!$A:$A,增益!$R:$R,0))</f>
        <v>1.5</v>
      </c>
      <c r="BM20" s="20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0.4459</v>
      </c>
      <c r="BN20" s="20" cm="1">
        <f t="array" ref="BN20">1+$B$14+VLOOKUP($R20,武学奇术!$A:$ZZ,20,FALSE)+SUM(_xlfn.XLOOKUP(S20:AG20,增益!$A:$A,增益!$T:$T,0))</f>
        <v>1.732</v>
      </c>
      <c r="BO20" s="20">
        <f t="shared" si="9"/>
        <v>0.18601479</v>
      </c>
      <c r="BP20" s="20">
        <f t="shared" si="10"/>
        <v>0.27228132</v>
      </c>
      <c r="BQ20" s="20">
        <f>IF(VLOOKUP($R20,武学奇术!$A:$ZZ,22,FALSE)=1,0,(1-$BJ20))*(1-$BM20)</f>
        <v>0.09580389</v>
      </c>
      <c r="BR20" s="20" cm="1">
        <f t="array" ref="BR20">SUM(_xlfn.XLOOKUP(S20:AG20,增益!$A:$A,增益!$W:$W,0))+$I$5</f>
        <v>0.11</v>
      </c>
    </row>
    <row r="21" ht="14.25" spans="1:70">
      <c r="A21" s="83" t="s">
        <v>138</v>
      </c>
      <c r="B21" s="84">
        <f>期望!B21</f>
        <v>0.32</v>
      </c>
      <c r="C21" s="35" t="s">
        <v>139</v>
      </c>
      <c r="D21" s="35"/>
      <c r="F21" s="35"/>
      <c r="K21" s="27">
        <f>$L21*VLOOKUP($R21,武学奇术!$A:$ZZ,31,FALSE)</f>
        <v>12228.8652970288</v>
      </c>
      <c r="L21" s="27">
        <f t="shared" si="0"/>
        <v>12228.8652970288</v>
      </c>
      <c r="M21" s="27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10976.5864405896</v>
      </c>
      <c r="N21" s="27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17680.8005543734</v>
      </c>
      <c r="O21" s="27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7317.72429372638</v>
      </c>
      <c r="P21" s="27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3243.18018901631</v>
      </c>
      <c r="Q21" s="35">
        <v>1</v>
      </c>
      <c r="R21" s="36" t="s">
        <v>107</v>
      </c>
      <c r="S21" s="36" t="s">
        <v>71</v>
      </c>
      <c r="T21" s="36" t="s">
        <v>93</v>
      </c>
      <c r="U21" s="36" t="s">
        <v>71</v>
      </c>
      <c r="V21" s="36" t="s">
        <v>71</v>
      </c>
      <c r="W21" s="36" t="s">
        <v>111</v>
      </c>
      <c r="X21" s="36" t="s">
        <v>71</v>
      </c>
      <c r="Y21" s="36" t="s">
        <v>71</v>
      </c>
      <c r="Z21" s="36" t="s">
        <v>71</v>
      </c>
      <c r="AA21" s="36" t="s">
        <v>71</v>
      </c>
      <c r="AB21" s="36" t="s">
        <v>71</v>
      </c>
      <c r="AC21" s="36" t="s">
        <v>71</v>
      </c>
      <c r="AD21" s="36" t="s">
        <v>72</v>
      </c>
      <c r="AE21" s="36" t="s">
        <v>94</v>
      </c>
      <c r="AF21" s="36" t="s">
        <v>134</v>
      </c>
      <c r="AG21" s="36" t="s">
        <v>120</v>
      </c>
      <c r="AH21" t="str">
        <f>VLOOKUP($R21,武学奇术!$A:$ZZ,25,FALSE)</f>
        <v>剑</v>
      </c>
      <c r="AI21" s="20">
        <f>VLOOKUP($R21,武学奇术!$A:$ZZ,26,FALSE)</f>
        <v>0.625</v>
      </c>
      <c r="AJ21" s="21">
        <f>VLOOKUP($R21,武学奇术!$A:$ZZ,27,FALSE)*(1+IF(OR($AH21=$F$4,$AH21=$F$5),$B$22,0))</f>
        <v>0</v>
      </c>
      <c r="AK21" s="20">
        <f>VLOOKUP($R21,武学奇术!$A:$ZZ,28,FALSE)</f>
        <v>0.9375</v>
      </c>
      <c r="AL21" s="21">
        <f>VLOOKUP($R21,武学奇术!$A:$ZZ,29,FALSE)*(1+IF(OR($AH21=$F$4,$AH21=$F$5),$B$22,0))</f>
        <v>0</v>
      </c>
      <c r="AM21" s="20" cm="1">
        <f t="array" ref="AM21">$G$3+IFERROR(VLOOKUP($AH21,$F$4:$G$7,2,FALSE),0)+VLOOKUP($R21,武学奇术!$A:$ZZ,2,FALSE)+SUM(_xlfn.XLOOKUP($S21:$AG21,增益!$A:$A,增益!$B:$B,0))</f>
        <v>0.6391</v>
      </c>
      <c r="AN21" s="20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1548.52</v>
      </c>
      <c r="AP21" cm="1">
        <f t="array" ref="AP21">$E$10*(1+$AN21)+VLOOKUP($R21,武学奇术!$A:$ZZ,4,FALSE)+SUM(_xlfn.XLOOKUP($S21:$AG21,增益!$A:$A,增益!$D:$D,0))-$I$2</f>
        <v>6659.56</v>
      </c>
      <c r="AQ21" s="29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0.2425</v>
      </c>
      <c r="AR21" s="29" cm="1">
        <f t="array" ref="AR21">$G$10+VLOOKUP($R21,武学奇术!$A:$ZZ,7,FALSE)+SUM(_xlfn.XLOOKUP(S21:AG21,增益!$A:$A,增益!$G:$G,0))</f>
        <v>0</v>
      </c>
      <c r="AS21" s="20" cm="1">
        <f t="array" ref="AS21">VLOOKUP($R21,武学奇术!$A:$ZZ,8,FALSE)+SUM(_xlfn.XLOOKUP(S21:AG21,增益!$A:$A,增益!$H:$H,0))</f>
        <v>0</v>
      </c>
      <c r="AT21">
        <f t="shared" si="1"/>
        <v>538</v>
      </c>
      <c r="AU21">
        <f t="shared" si="2"/>
        <v>1011</v>
      </c>
      <c r="AV21" s="29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</v>
      </c>
      <c r="AW21" s="29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29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29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29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29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29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29" cm="1">
        <f t="array" ref="BI21">$G$14+VLOOKUP($R21,武学奇术!$A:$ZZ,16,FALSE)+SUM(_xlfn.XLOOKUP(S21:AG21,增益!$A:$A,增益!$P:$P,0))</f>
        <v>0</v>
      </c>
      <c r="BJ21" s="20">
        <f>MIN(IF(VLOOKUP($R21,武学奇术!$A:$ZZ,23,FALSE)=1,100%,$B$8),100%)</f>
        <v>0.8271</v>
      </c>
      <c r="BK21" s="20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0.2249</v>
      </c>
      <c r="BL21" s="20" cm="1">
        <f t="array" ref="BL21">1+$B$13+VLOOKUP($R21,武学奇术!$A:$ZZ,18,FALSE)+SUM(_xlfn.XLOOKUP(S21:AG21,增益!$A:$A,增益!$R:$R,0))</f>
        <v>1.5</v>
      </c>
      <c r="BM21" s="20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0.4459</v>
      </c>
      <c r="BN21" s="20" cm="1">
        <f t="array" ref="BN21">1+$B$14+VLOOKUP($R21,武学奇术!$A:$ZZ,20,FALSE)+SUM(_xlfn.XLOOKUP(S21:AG21,增益!$A:$A,增益!$T:$T,0))</f>
        <v>1.552</v>
      </c>
      <c r="BO21" s="20">
        <f t="shared" si="9"/>
        <v>0.18601479</v>
      </c>
      <c r="BP21" s="20">
        <f t="shared" si="10"/>
        <v>0.27228132</v>
      </c>
      <c r="BQ21" s="20">
        <f>IF(VLOOKUP($R21,武学奇术!$A:$ZZ,22,FALSE)=1,0,(1-$BJ21))*(1-$BM21)</f>
        <v>0.09580389</v>
      </c>
      <c r="BR21" s="20" cm="1">
        <f t="array" ref="BR21">SUM(_xlfn.XLOOKUP(S21:AG21,增益!$A:$A,增益!$W:$W,0))+$I$5</f>
        <v>0.11</v>
      </c>
    </row>
    <row r="22" spans="1:70">
      <c r="A22" t="s">
        <v>140</v>
      </c>
      <c r="B22" s="22">
        <f>期望!B22</f>
        <v>0.4</v>
      </c>
      <c r="C22" s="85" t="str">
        <f>期望!C22</f>
        <v>易水歌</v>
      </c>
      <c r="D22" s="85"/>
      <c r="K22" s="27">
        <f>$L22*VLOOKUP($R22,武学奇术!$A:$ZZ,31,FALSE)</f>
        <v>21828.3644066021</v>
      </c>
      <c r="L22" s="27">
        <f t="shared" si="0"/>
        <v>21828.3644066021</v>
      </c>
      <c r="M22" s="27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19727.9456799752</v>
      </c>
      <c r="N22" s="27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31386.1062836018</v>
      </c>
      <c r="O22" s="27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13151.9637866501</v>
      </c>
      <c r="P22" s="27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6080.92094726819</v>
      </c>
      <c r="Q22" s="35">
        <v>1</v>
      </c>
      <c r="R22" s="36" t="s">
        <v>142</v>
      </c>
      <c r="S22" s="36" t="s">
        <v>71</v>
      </c>
      <c r="T22" s="36" t="s">
        <v>93</v>
      </c>
      <c r="U22" s="36" t="s">
        <v>71</v>
      </c>
      <c r="V22" s="36" t="s">
        <v>71</v>
      </c>
      <c r="W22" s="36" t="s">
        <v>111</v>
      </c>
      <c r="X22" s="36" t="s">
        <v>71</v>
      </c>
      <c r="Y22" s="36" t="s">
        <v>71</v>
      </c>
      <c r="Z22" s="36" t="s">
        <v>71</v>
      </c>
      <c r="AA22" s="36" t="s">
        <v>71</v>
      </c>
      <c r="AB22" s="36" t="s">
        <v>71</v>
      </c>
      <c r="AC22" s="36" t="s">
        <v>71</v>
      </c>
      <c r="AD22" s="36" t="s">
        <v>72</v>
      </c>
      <c r="AE22" s="36" t="s">
        <v>94</v>
      </c>
      <c r="AF22" s="36" t="s">
        <v>134</v>
      </c>
      <c r="AG22" s="36" t="s">
        <v>120</v>
      </c>
      <c r="AH22" t="str">
        <f>VLOOKUP($R22,武学奇术!$A:$ZZ,25,FALSE)</f>
        <v>单体奇术</v>
      </c>
      <c r="AI22" s="20">
        <f>VLOOKUP($R22,武学奇术!$A:$ZZ,26,FALSE)</f>
        <v>1.0238</v>
      </c>
      <c r="AJ22" s="21">
        <f>VLOOKUP($R22,武学奇术!$A:$ZZ,27,FALSE)*(1+IF(OR($AH22=$F$4,$AH22=$F$5),$B$22,0))</f>
        <v>189</v>
      </c>
      <c r="AK22" s="20">
        <f>VLOOKUP($R22,武学奇术!$A:$ZZ,28,FALSE)</f>
        <v>1.5357</v>
      </c>
      <c r="AL22" s="21">
        <f>VLOOKUP($R22,武学奇术!$A:$ZZ,29,FALSE)*(1+IF(OR($AH22=$F$4,$AH22=$F$5),$B$22,0))</f>
        <v>0</v>
      </c>
      <c r="AM22" s="20" cm="1">
        <f t="array" ref="AM22">$G$3+IFERROR(VLOOKUP($AH22,$F$4:$G$7,2,FALSE),0)+VLOOKUP($R22,武学奇术!$A:$ZZ,2,FALSE)+SUM(_xlfn.XLOOKUP($S22:$AG22,增益!$A:$A,增益!$B:$B,0))</f>
        <v>0.7365</v>
      </c>
      <c r="AN22" s="20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1548.52</v>
      </c>
      <c r="AP22" cm="1">
        <f t="array" ref="AP22">$E$10*(1+$AN22)+VLOOKUP($R22,武学奇术!$A:$ZZ,4,FALSE)+SUM(_xlfn.XLOOKUP($S22:$AG22,增益!$A:$A,增益!$D:$D,0))-$I$2</f>
        <v>6659.56</v>
      </c>
      <c r="AQ22" s="29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0.2425</v>
      </c>
      <c r="AR22" s="29" cm="1">
        <f t="array" ref="AR22">$G$10+VLOOKUP($R22,武学奇术!$A:$ZZ,7,FALSE)+SUM(_xlfn.XLOOKUP(S22:AG22,增益!$A:$A,增益!$G:$G,0))</f>
        <v>0</v>
      </c>
      <c r="AS22" s="20" cm="1">
        <f t="array" ref="AS22">VLOOKUP($R22,武学奇术!$A:$ZZ,8,FALSE)+SUM(_xlfn.XLOOKUP(S22:AG22,增益!$A:$A,增益!$H:$H,0))</f>
        <v>0</v>
      </c>
      <c r="AT22">
        <f t="shared" si="1"/>
        <v>538</v>
      </c>
      <c r="AU22">
        <f t="shared" si="2"/>
        <v>1011</v>
      </c>
      <c r="AV22" s="29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</v>
      </c>
      <c r="AW22" s="29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29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29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29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29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29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29" cm="1">
        <f t="array" ref="BI22">$G$14+VLOOKUP($R22,武学奇术!$A:$ZZ,16,FALSE)+SUM(_xlfn.XLOOKUP(S22:AG22,增益!$A:$A,增益!$P:$P,0))</f>
        <v>0</v>
      </c>
      <c r="BJ22" s="20">
        <f>MIN(IF(VLOOKUP($R22,武学奇术!$A:$ZZ,23,FALSE)=1,100%,$B$8),100%)</f>
        <v>0.8271</v>
      </c>
      <c r="BK22" s="20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0.2249</v>
      </c>
      <c r="BL22" s="20" cm="1">
        <f t="array" ref="BL22">1+$B$13+VLOOKUP($R22,武学奇术!$A:$ZZ,18,FALSE)+SUM(_xlfn.XLOOKUP(S22:AG22,增益!$A:$A,增益!$R:$R,0))</f>
        <v>1.5</v>
      </c>
      <c r="BM22" s="20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0.4459</v>
      </c>
      <c r="BN22" s="20" cm="1">
        <f t="array" ref="BN22">1+$B$14+VLOOKUP($R22,武学奇术!$A:$ZZ,20,FALSE)+SUM(_xlfn.XLOOKUP(S22:AG22,增益!$A:$A,增益!$T:$T,0))</f>
        <v>1.552</v>
      </c>
      <c r="BO22" s="20">
        <f t="shared" si="9"/>
        <v>0.18601479</v>
      </c>
      <c r="BP22" s="20">
        <f t="shared" si="10"/>
        <v>0.27228132</v>
      </c>
      <c r="BQ22" s="20">
        <f>IF(VLOOKUP($R22,武学奇术!$A:$ZZ,22,FALSE)=1,0,(1-$BJ22))*(1-$BM22)</f>
        <v>0.09580389</v>
      </c>
      <c r="BR22" s="20" cm="1">
        <f t="array" ref="BR22">SUM(_xlfn.XLOOKUP(S22:AG22,增益!$A:$A,增益!$W:$W,0))+$I$5</f>
        <v>0.11</v>
      </c>
    </row>
    <row r="23" spans="1:70">
      <c r="A23" s="35" t="s">
        <v>143</v>
      </c>
      <c r="B23" s="86">
        <f>期望!B23</f>
        <v>200</v>
      </c>
      <c r="K23" s="27">
        <f>$L23*VLOOKUP($R23,武学奇术!$A:$ZZ,31,FALSE)</f>
        <v>34301.1232428605</v>
      </c>
      <c r="L23" s="27">
        <f t="shared" si="0"/>
        <v>34301.1232428605</v>
      </c>
      <c r="M23" s="27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31000.5258926909</v>
      </c>
      <c r="N23" s="27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49320.1678653544</v>
      </c>
      <c r="O23" s="27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20667.0172617939</v>
      </c>
      <c r="P23" s="27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9555.57584745746</v>
      </c>
      <c r="Q23" s="35">
        <v>1</v>
      </c>
      <c r="R23" s="36" t="s">
        <v>144</v>
      </c>
      <c r="S23" s="36" t="s">
        <v>71</v>
      </c>
      <c r="T23" s="36" t="s">
        <v>93</v>
      </c>
      <c r="U23" s="36" t="s">
        <v>71</v>
      </c>
      <c r="V23" s="36" t="s">
        <v>71</v>
      </c>
      <c r="W23" s="36" t="s">
        <v>111</v>
      </c>
      <c r="X23" s="36" t="s">
        <v>71</v>
      </c>
      <c r="Y23" s="36" t="s">
        <v>71</v>
      </c>
      <c r="Z23" s="36" t="s">
        <v>71</v>
      </c>
      <c r="AA23" s="36" t="s">
        <v>71</v>
      </c>
      <c r="AB23" s="36" t="s">
        <v>71</v>
      </c>
      <c r="AC23" s="36" t="s">
        <v>71</v>
      </c>
      <c r="AD23" s="36" t="s">
        <v>72</v>
      </c>
      <c r="AE23" s="36" t="s">
        <v>94</v>
      </c>
      <c r="AF23" s="36" t="s">
        <v>134</v>
      </c>
      <c r="AG23" s="36" t="s">
        <v>120</v>
      </c>
      <c r="AH23" t="str">
        <f>VLOOKUP($R23,武学奇术!$A:$ZZ,25,FALSE)</f>
        <v>单体奇术</v>
      </c>
      <c r="AI23" s="20">
        <f>VLOOKUP($R23,武学奇术!$A:$ZZ,26,FALSE)</f>
        <v>1.6088</v>
      </c>
      <c r="AJ23" s="21">
        <f>VLOOKUP($R23,武学奇术!$A:$ZZ,27,FALSE)*(1+IF(OR($AH23=$F$4,$AH23=$F$5),$B$22,0))</f>
        <v>297</v>
      </c>
      <c r="AK23" s="20">
        <f>VLOOKUP($R23,武学奇术!$A:$ZZ,28,FALSE)</f>
        <v>2.4132</v>
      </c>
      <c r="AL23" s="21">
        <f>VLOOKUP($R23,武学奇术!$A:$ZZ,29,FALSE)*(1+IF(OR($AH23=$F$4,$AH23=$F$5),$B$22,0))</f>
        <v>0</v>
      </c>
      <c r="AM23" s="20" cm="1">
        <f t="array" ref="AM23">$G$3+IFERROR(VLOOKUP($AH23,$F$4:$G$7,2,FALSE),0)+VLOOKUP($R23,武学奇术!$A:$ZZ,2,FALSE)+SUM(_xlfn.XLOOKUP($S23:$AG23,增益!$A:$A,增益!$B:$B,0))</f>
        <v>0.7365</v>
      </c>
      <c r="AN23" s="20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1548.52</v>
      </c>
      <c r="AP23" cm="1">
        <f t="array" ref="AP23">$E$10*(1+$AN23)+VLOOKUP($R23,武学奇术!$A:$ZZ,4,FALSE)+SUM(_xlfn.XLOOKUP($S23:$AG23,增益!$A:$A,增益!$D:$D,0))-$I$2</f>
        <v>6659.56</v>
      </c>
      <c r="AQ23" s="29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0.2425</v>
      </c>
      <c r="AR23" s="29" cm="1">
        <f t="array" ref="AR23">$G$10+VLOOKUP($R23,武学奇术!$A:$ZZ,7,FALSE)+SUM(_xlfn.XLOOKUP(S23:AG23,增益!$A:$A,增益!$G:$G,0))</f>
        <v>0</v>
      </c>
      <c r="AS23" s="20" cm="1">
        <f t="array" ref="AS23">VLOOKUP($R23,武学奇术!$A:$ZZ,8,FALSE)+SUM(_xlfn.XLOOKUP(S23:AG23,增益!$A:$A,增益!$H:$H,0))</f>
        <v>0</v>
      </c>
      <c r="AT23">
        <f t="shared" si="1"/>
        <v>538</v>
      </c>
      <c r="AU23">
        <f t="shared" si="2"/>
        <v>1011</v>
      </c>
      <c r="AV23" s="29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</v>
      </c>
      <c r="AW23" s="29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29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29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29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29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29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29" cm="1">
        <f t="array" ref="BI23">$G$14+VLOOKUP($R23,武学奇术!$A:$ZZ,16,FALSE)+SUM(_xlfn.XLOOKUP(S23:AG23,增益!$A:$A,增益!$P:$P,0))</f>
        <v>0</v>
      </c>
      <c r="BJ23" s="20">
        <f>MIN(IF(VLOOKUP($R23,武学奇术!$A:$ZZ,23,FALSE)=1,100%,$B$8),100%)</f>
        <v>0.8271</v>
      </c>
      <c r="BK23" s="20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0.2249</v>
      </c>
      <c r="BL23" s="20" cm="1">
        <f t="array" ref="BL23">1+$B$13+VLOOKUP($R23,武学奇术!$A:$ZZ,18,FALSE)+SUM(_xlfn.XLOOKUP(S23:AG23,增益!$A:$A,增益!$R:$R,0))</f>
        <v>1.5</v>
      </c>
      <c r="BM23" s="20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0.4459</v>
      </c>
      <c r="BN23" s="20" cm="1">
        <f t="array" ref="BN23">1+$B$14+VLOOKUP($R23,武学奇术!$A:$ZZ,20,FALSE)+SUM(_xlfn.XLOOKUP(S23:AG23,增益!$A:$A,增益!$T:$T,0))</f>
        <v>1.552</v>
      </c>
      <c r="BO23" s="20">
        <f t="shared" si="9"/>
        <v>0.18601479</v>
      </c>
      <c r="BP23" s="20">
        <f t="shared" si="10"/>
        <v>0.27228132</v>
      </c>
      <c r="BQ23" s="20">
        <f>IF(VLOOKUP($R23,武学奇术!$A:$ZZ,22,FALSE)=1,0,(1-$BJ23))*(1-$BM23)</f>
        <v>0.09580389</v>
      </c>
      <c r="BR23" s="20" cm="1">
        <f t="array" ref="BR23">SUM(_xlfn.XLOOKUP(S23:AG23,增益!$A:$A,增益!$W:$W,0))+$I$5</f>
        <v>0.11</v>
      </c>
    </row>
    <row r="24" spans="1:70">
      <c r="A24" s="35"/>
      <c r="B24" s="86">
        <f>期望!B24</f>
        <v>400</v>
      </c>
      <c r="K24" s="27">
        <f>$L24*VLOOKUP($R24,武学奇术!$A:$ZZ,31,FALSE)</f>
        <v>65755.6163794428</v>
      </c>
      <c r="L24" s="27">
        <f t="shared" si="0"/>
        <v>65755.6163794428</v>
      </c>
      <c r="M24" s="27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59183.8370399256</v>
      </c>
      <c r="N24" s="27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94765.0090495864</v>
      </c>
      <c r="O24" s="27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39455.8913599504</v>
      </c>
      <c r="P24" s="27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18242.7628418046</v>
      </c>
      <c r="Q24" s="35">
        <v>3</v>
      </c>
      <c r="R24" s="36" t="s">
        <v>142</v>
      </c>
      <c r="S24" s="36" t="s">
        <v>71</v>
      </c>
      <c r="T24" s="36" t="s">
        <v>93</v>
      </c>
      <c r="U24" s="36" t="s">
        <v>71</v>
      </c>
      <c r="V24" s="36" t="s">
        <v>71</v>
      </c>
      <c r="W24" s="36" t="s">
        <v>111</v>
      </c>
      <c r="X24" s="36" t="s">
        <v>71</v>
      </c>
      <c r="Y24" s="36" t="s">
        <v>71</v>
      </c>
      <c r="Z24" s="36" t="s">
        <v>71</v>
      </c>
      <c r="AA24" s="36" t="s">
        <v>71</v>
      </c>
      <c r="AB24" s="36" t="s">
        <v>71</v>
      </c>
      <c r="AC24" s="36" t="s">
        <v>71</v>
      </c>
      <c r="AD24" s="36" t="s">
        <v>72</v>
      </c>
      <c r="AE24" s="36" t="s">
        <v>94</v>
      </c>
      <c r="AF24" s="36" t="s">
        <v>145</v>
      </c>
      <c r="AG24" s="36" t="s">
        <v>120</v>
      </c>
      <c r="AH24" t="str">
        <f>VLOOKUP($R24,武学奇术!$A:$ZZ,25,FALSE)</f>
        <v>单体奇术</v>
      </c>
      <c r="AI24" s="20">
        <f>VLOOKUP($R24,武学奇术!$A:$ZZ,26,FALSE)</f>
        <v>1.0238</v>
      </c>
      <c r="AJ24" s="21">
        <f>VLOOKUP($R24,武学奇术!$A:$ZZ,27,FALSE)*(1+IF(OR($AH24=$F$4,$AH24=$F$5),$B$22,0))</f>
        <v>189</v>
      </c>
      <c r="AK24" s="20">
        <f>VLOOKUP($R24,武学奇术!$A:$ZZ,28,FALSE)</f>
        <v>1.5357</v>
      </c>
      <c r="AL24" s="21">
        <f>VLOOKUP($R24,武学奇术!$A:$ZZ,29,FALSE)*(1+IF(OR($AH24=$F$4,$AH24=$F$5),$B$22,0))</f>
        <v>0</v>
      </c>
      <c r="AM24" s="20" cm="1">
        <f t="array" ref="AM24">$G$3+IFERROR(VLOOKUP($AH24,$F$4:$G$7,2,FALSE),0)+VLOOKUP($R24,武学奇术!$A:$ZZ,2,FALSE)+SUM(_xlfn.XLOOKUP($S24:$AG24,增益!$A:$A,增益!$B:$B,0))</f>
        <v>0.7365</v>
      </c>
      <c r="AN24" s="20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1548.52</v>
      </c>
      <c r="AP24" cm="1">
        <f t="array" ref="AP24">$E$10*(1+$AN24)+VLOOKUP($R24,武学奇术!$A:$ZZ,4,FALSE)+SUM(_xlfn.XLOOKUP($S24:$AG24,增益!$A:$A,增益!$D:$D,0))-$I$2</f>
        <v>6659.56</v>
      </c>
      <c r="AQ24" s="29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0.2425</v>
      </c>
      <c r="AR24" s="29" cm="1">
        <f t="array" ref="AR24">$G$10+VLOOKUP($R24,武学奇术!$A:$ZZ,7,FALSE)+SUM(_xlfn.XLOOKUP(S24:AG24,增益!$A:$A,增益!$G:$G,0))</f>
        <v>0</v>
      </c>
      <c r="AS24" s="20" cm="1">
        <f t="array" ref="AS24">VLOOKUP($R24,武学奇术!$A:$ZZ,8,FALSE)+SUM(_xlfn.XLOOKUP(S24:AG24,增益!$A:$A,增益!$H:$H,0))</f>
        <v>0</v>
      </c>
      <c r="AT24">
        <f t="shared" si="1"/>
        <v>538</v>
      </c>
      <c r="AU24">
        <f t="shared" si="2"/>
        <v>1011</v>
      </c>
      <c r="AV24" s="29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</v>
      </c>
      <c r="AW24" s="29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29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29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29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29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29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29" cm="1">
        <f t="array" ref="BI24">$G$14+VLOOKUP($R24,武学奇术!$A:$ZZ,16,FALSE)+SUM(_xlfn.XLOOKUP(S24:AG24,增益!$A:$A,增益!$P:$P,0))</f>
        <v>0</v>
      </c>
      <c r="BJ24" s="20">
        <f>MIN(IF(VLOOKUP($R24,武学奇术!$A:$ZZ,23,FALSE)=1,100%,$B$8),100%)</f>
        <v>0.8271</v>
      </c>
      <c r="BK24" s="20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0.2249</v>
      </c>
      <c r="BL24" s="20" cm="1">
        <f t="array" ref="BL24">1+$B$13+VLOOKUP($R24,武学奇术!$A:$ZZ,18,FALSE)+SUM(_xlfn.XLOOKUP(S24:AG24,增益!$A:$A,增益!$R:$R,0))</f>
        <v>1.5</v>
      </c>
      <c r="BM24" s="20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0.4459</v>
      </c>
      <c r="BN24" s="20" cm="1">
        <f t="array" ref="BN24">1+$B$14+VLOOKUP($R24,武学奇术!$A:$ZZ,20,FALSE)+SUM(_xlfn.XLOOKUP(S24:AG24,增益!$A:$A,增益!$T:$T,0))</f>
        <v>1.562</v>
      </c>
      <c r="BO24" s="20">
        <f t="shared" si="9"/>
        <v>0.18601479</v>
      </c>
      <c r="BP24" s="20">
        <f t="shared" si="10"/>
        <v>0.27228132</v>
      </c>
      <c r="BQ24" s="20">
        <f>IF(VLOOKUP($R24,武学奇术!$A:$ZZ,22,FALSE)=1,0,(1-$BJ24))*(1-$BM24)</f>
        <v>0.09580389</v>
      </c>
      <c r="BR24" s="20" cm="1">
        <f t="array" ref="BR24">SUM(_xlfn.XLOOKUP(S24:AG24,增益!$A:$A,增益!$W:$W,0))+$I$5</f>
        <v>0.11</v>
      </c>
    </row>
    <row r="25" spans="1:70">
      <c r="K25" s="27">
        <f>$L25*VLOOKUP($R25,武学奇术!$A:$ZZ,31,FALSE)</f>
        <v>53359.5524574388</v>
      </c>
      <c r="L25" s="27">
        <f t="shared" si="0"/>
        <v>53359.5524574388</v>
      </c>
      <c r="M25" s="27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48026.6727392664</v>
      </c>
      <c r="N25" s="27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76900.1679251479</v>
      </c>
      <c r="O25" s="27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32017.7818261776</v>
      </c>
      <c r="P25" s="27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14803.7019845269</v>
      </c>
      <c r="Q25" s="35">
        <v>1</v>
      </c>
      <c r="R25" s="36" t="s">
        <v>146</v>
      </c>
      <c r="S25" s="36" t="s">
        <v>71</v>
      </c>
      <c r="T25" s="36" t="s">
        <v>93</v>
      </c>
      <c r="U25" s="36" t="s">
        <v>71</v>
      </c>
      <c r="V25" s="36" t="s">
        <v>71</v>
      </c>
      <c r="W25" s="36" t="s">
        <v>111</v>
      </c>
      <c r="X25" s="36" t="s">
        <v>71</v>
      </c>
      <c r="Y25" s="36" t="s">
        <v>71</v>
      </c>
      <c r="Z25" s="36" t="s">
        <v>71</v>
      </c>
      <c r="AA25" s="36" t="s">
        <v>71</v>
      </c>
      <c r="AB25" s="36" t="s">
        <v>71</v>
      </c>
      <c r="AC25" s="36" t="s">
        <v>71</v>
      </c>
      <c r="AD25" s="36" t="s">
        <v>72</v>
      </c>
      <c r="AE25" s="36" t="s">
        <v>94</v>
      </c>
      <c r="AF25" s="36" t="s">
        <v>145</v>
      </c>
      <c r="AG25" s="36" t="s">
        <v>120</v>
      </c>
      <c r="AH25" t="str">
        <f>VLOOKUP($R25,武学奇术!$A:$ZZ,25,FALSE)</f>
        <v>单体奇术</v>
      </c>
      <c r="AI25" s="20">
        <f>VLOOKUP($R25,武学奇术!$A:$ZZ,26,FALSE)</f>
        <v>1.7063</v>
      </c>
      <c r="AJ25" s="21">
        <f>VLOOKUP($R25,武学奇术!$A:$ZZ,27,FALSE)*(1+IF(OR($AH25=$F$4,$AH25=$F$5),$B$22,0))</f>
        <v>315</v>
      </c>
      <c r="AK25" s="20">
        <f>VLOOKUP($R25,武学奇术!$A:$ZZ,28,FALSE)</f>
        <v>2.55945</v>
      </c>
      <c r="AL25" s="21">
        <f>VLOOKUP($R25,武学奇术!$A:$ZZ,29,FALSE)*(1+IF(OR($AH25=$F$4,$AH25=$F$5),$B$22,0))</f>
        <v>0</v>
      </c>
      <c r="AM25" s="20" cm="1">
        <f t="array" ref="AM25">$G$3+IFERROR(VLOOKUP($AH25,$F$4:$G$7,2,FALSE),0)+VLOOKUP($R25,武学奇术!$A:$ZZ,2,FALSE)+SUM(_xlfn.XLOOKUP($S25:$AG25,增益!$A:$A,增益!$B:$B,0))</f>
        <v>1.5365</v>
      </c>
      <c r="AN25" s="20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1548.52</v>
      </c>
      <c r="AP25" cm="1">
        <f t="array" ref="AP25">$E$10*(1+$AN25)+VLOOKUP($R25,武学奇术!$A:$ZZ,4,FALSE)+SUM(_xlfn.XLOOKUP($S25:$AG25,增益!$A:$A,增益!$D:$D,0))-$I$2</f>
        <v>6659.56</v>
      </c>
      <c r="AQ25" s="29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0.2425</v>
      </c>
      <c r="AR25" s="29" cm="1">
        <f t="array" ref="AR25">$G$10+VLOOKUP($R25,武学奇术!$A:$ZZ,7,FALSE)+SUM(_xlfn.XLOOKUP(S25:AG25,增益!$A:$A,增益!$G:$G,0))</f>
        <v>0</v>
      </c>
      <c r="AS25" s="20" cm="1">
        <f t="array" ref="AS25">VLOOKUP($R25,武学奇术!$A:$ZZ,8,FALSE)+SUM(_xlfn.XLOOKUP(S25:AG25,增益!$A:$A,增益!$H:$H,0))</f>
        <v>0</v>
      </c>
      <c r="AT25">
        <f t="shared" si="1"/>
        <v>538</v>
      </c>
      <c r="AU25">
        <f t="shared" si="2"/>
        <v>1011</v>
      </c>
      <c r="AV25" s="29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29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29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29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29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29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29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29" cm="1">
        <f t="array" ref="BI25">$G$14+VLOOKUP($R25,武学奇术!$A:$ZZ,16,FALSE)+SUM(_xlfn.XLOOKUP(S25:AG25,增益!$A:$A,增益!$P:$P,0))</f>
        <v>0</v>
      </c>
      <c r="BJ25" s="20">
        <f>MIN(IF(VLOOKUP($R25,武学奇术!$A:$ZZ,23,FALSE)=1,100%,$B$8),100%)</f>
        <v>0.8271</v>
      </c>
      <c r="BK25" s="20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0.2249</v>
      </c>
      <c r="BL25" s="20" cm="1">
        <f t="array" ref="BL25">1+$B$13+VLOOKUP($R25,武学奇术!$A:$ZZ,18,FALSE)+SUM(_xlfn.XLOOKUP(S25:AG25,增益!$A:$A,增益!$R:$R,0))</f>
        <v>1.5</v>
      </c>
      <c r="BM25" s="20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0.4459</v>
      </c>
      <c r="BN25" s="20" cm="1">
        <f t="array" ref="BN25">1+$B$14+VLOOKUP($R25,武学奇术!$A:$ZZ,20,FALSE)+SUM(_xlfn.XLOOKUP(S25:AG25,增益!$A:$A,增益!$T:$T,0))</f>
        <v>1.562</v>
      </c>
      <c r="BO25" s="20">
        <f t="shared" si="9"/>
        <v>0.18601479</v>
      </c>
      <c r="BP25" s="20">
        <f t="shared" si="10"/>
        <v>0.27228132</v>
      </c>
      <c r="BQ25" s="20">
        <f>IF(VLOOKUP($R25,武学奇术!$A:$ZZ,22,FALSE)=1,0,(1-$BJ25))*(1-$BM25)</f>
        <v>0.09580389</v>
      </c>
      <c r="BR25" s="20" cm="1">
        <f t="array" ref="BR25">SUM(_xlfn.XLOOKUP(S25:AG25,增益!$A:$A,增益!$W:$W,0))+$I$5</f>
        <v>0.11</v>
      </c>
    </row>
    <row r="26" spans="1:70">
      <c r="K26" s="27">
        <f>$L26*VLOOKUP($R26,武学奇术!$A:$ZZ,31,FALSE)</f>
        <v>137771.29356039</v>
      </c>
      <c r="L26" s="27">
        <f t="shared" si="0"/>
        <v>137771.29356039</v>
      </c>
      <c r="M26" s="27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124002.103570764</v>
      </c>
      <c r="N26" s="27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198551.809808463</v>
      </c>
      <c r="O26" s="27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82668.0690471758</v>
      </c>
      <c r="P26" s="27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38222.3033898299</v>
      </c>
      <c r="Q26" s="35">
        <v>4</v>
      </c>
      <c r="R26" s="36" t="s">
        <v>144</v>
      </c>
      <c r="S26" s="36" t="s">
        <v>71</v>
      </c>
      <c r="T26" s="36" t="s">
        <v>93</v>
      </c>
      <c r="U26" s="36" t="s">
        <v>71</v>
      </c>
      <c r="V26" s="36" t="s">
        <v>71</v>
      </c>
      <c r="W26" s="36" t="s">
        <v>111</v>
      </c>
      <c r="X26" s="36" t="s">
        <v>71</v>
      </c>
      <c r="Y26" s="36" t="s">
        <v>71</v>
      </c>
      <c r="Z26" s="36" t="s">
        <v>71</v>
      </c>
      <c r="AA26" s="36" t="s">
        <v>71</v>
      </c>
      <c r="AB26" s="36" t="s">
        <v>71</v>
      </c>
      <c r="AC26" s="36" t="s">
        <v>71</v>
      </c>
      <c r="AD26" s="36" t="s">
        <v>72</v>
      </c>
      <c r="AE26" s="36" t="s">
        <v>94</v>
      </c>
      <c r="AF26" s="36" t="s">
        <v>145</v>
      </c>
      <c r="AG26" s="36" t="s">
        <v>120</v>
      </c>
      <c r="AH26" t="str">
        <f>VLOOKUP($R26,武学奇术!$A:$ZZ,25,FALSE)</f>
        <v>单体奇术</v>
      </c>
      <c r="AI26" s="20">
        <f>VLOOKUP($R26,武学奇术!$A:$ZZ,26,FALSE)</f>
        <v>1.6088</v>
      </c>
      <c r="AJ26" s="21">
        <f>VLOOKUP($R26,武学奇术!$A:$ZZ,27,FALSE)*(1+IF(OR($AH26=$F$4,$AH26=$F$5),$B$22,0))</f>
        <v>297</v>
      </c>
      <c r="AK26" s="20">
        <f>VLOOKUP($R26,武学奇术!$A:$ZZ,28,FALSE)</f>
        <v>2.4132</v>
      </c>
      <c r="AL26" s="21">
        <f>VLOOKUP($R26,武学奇术!$A:$ZZ,29,FALSE)*(1+IF(OR($AH26=$F$4,$AH26=$F$5),$B$22,0))</f>
        <v>0</v>
      </c>
      <c r="AM26" s="20" cm="1">
        <f t="array" ref="AM26">$G$3+IFERROR(VLOOKUP($AH26,$F$4:$G$7,2,FALSE),0)+VLOOKUP($R26,武学奇术!$A:$ZZ,2,FALSE)+SUM(_xlfn.XLOOKUP($S26:$AG26,增益!$A:$A,增益!$B:$B,0))</f>
        <v>0.7365</v>
      </c>
      <c r="AN26" s="20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1548.52</v>
      </c>
      <c r="AP26" cm="1">
        <f t="array" ref="AP26">$E$10*(1+$AN26)+VLOOKUP($R26,武学奇术!$A:$ZZ,4,FALSE)+SUM(_xlfn.XLOOKUP($S26:$AG26,增益!$A:$A,增益!$D:$D,0))-$I$2</f>
        <v>6659.56</v>
      </c>
      <c r="AQ26" s="29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0.2425</v>
      </c>
      <c r="AR26" s="29" cm="1">
        <f t="array" ref="AR26">$G$10+VLOOKUP($R26,武学奇术!$A:$ZZ,7,FALSE)+SUM(_xlfn.XLOOKUP(S26:AG26,增益!$A:$A,增益!$G:$G,0))</f>
        <v>0</v>
      </c>
      <c r="AS26" s="20" cm="1">
        <f t="array" ref="AS26">VLOOKUP($R26,武学奇术!$A:$ZZ,8,FALSE)+SUM(_xlfn.XLOOKUP(S26:AG26,增益!$A:$A,增益!$H:$H,0))</f>
        <v>0</v>
      </c>
      <c r="AT26">
        <f t="shared" si="1"/>
        <v>538</v>
      </c>
      <c r="AU26">
        <f t="shared" si="2"/>
        <v>1011</v>
      </c>
      <c r="AV26" s="29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29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29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29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29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29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29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29" cm="1">
        <f t="array" ref="BI26">$G$14+VLOOKUP($R26,武学奇术!$A:$ZZ,16,FALSE)+SUM(_xlfn.XLOOKUP(S26:AG26,增益!$A:$A,增益!$P:$P,0))</f>
        <v>0</v>
      </c>
      <c r="BJ26" s="20">
        <f>MIN(IF(VLOOKUP($R26,武学奇术!$A:$ZZ,23,FALSE)=1,100%,$B$8),100%)</f>
        <v>0.8271</v>
      </c>
      <c r="BK26" s="20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0.2249</v>
      </c>
      <c r="BL26" s="20" cm="1">
        <f t="array" ref="BL26">1+$B$13+VLOOKUP($R26,武学奇术!$A:$ZZ,18,FALSE)+SUM(_xlfn.XLOOKUP(S26:AG26,增益!$A:$A,增益!$R:$R,0))</f>
        <v>1.5</v>
      </c>
      <c r="BM26" s="20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0.4459</v>
      </c>
      <c r="BN26" s="20" cm="1">
        <f t="array" ref="BN26">1+$B$14+VLOOKUP($R26,武学奇术!$A:$ZZ,20,FALSE)+SUM(_xlfn.XLOOKUP(S26:AG26,增益!$A:$A,增益!$T:$T,0))</f>
        <v>1.562</v>
      </c>
      <c r="BO26" s="20">
        <f t="shared" si="9"/>
        <v>0.18601479</v>
      </c>
      <c r="BP26" s="20">
        <f t="shared" si="10"/>
        <v>0.27228132</v>
      </c>
      <c r="BQ26" s="20">
        <f>IF(VLOOKUP($R26,武学奇术!$A:$ZZ,22,FALSE)=1,0,(1-$BJ26))*(1-$BM26)</f>
        <v>0.09580389</v>
      </c>
      <c r="BR26" s="20" cm="1">
        <f t="array" ref="BR26">SUM(_xlfn.XLOOKUP(S26:AG26,增益!$A:$A,增益!$W:$W,0))+$I$5</f>
        <v>0.11</v>
      </c>
    </row>
    <row r="27" spans="1:70">
      <c r="K27" s="27">
        <f>$L27*VLOOKUP($R27,武学奇术!$A:$ZZ,31,FALSE)</f>
        <v>44010.1745672526</v>
      </c>
      <c r="L27" s="27">
        <f t="shared" si="0"/>
        <v>44010.1745672526</v>
      </c>
      <c r="M27" s="27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40064.2355630284</v>
      </c>
      <c r="N27" s="27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62779.6154256211</v>
      </c>
      <c r="O27" s="27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26709.4903753523</v>
      </c>
      <c r="P27" s="27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13482.8386224469</v>
      </c>
      <c r="Q27" s="35">
        <v>1</v>
      </c>
      <c r="R27" s="36" t="s">
        <v>88</v>
      </c>
      <c r="S27" s="36" t="s">
        <v>71</v>
      </c>
      <c r="T27" s="36" t="s">
        <v>93</v>
      </c>
      <c r="U27" s="36" t="s">
        <v>71</v>
      </c>
      <c r="V27" s="36" t="s">
        <v>71</v>
      </c>
      <c r="W27" s="36" t="s">
        <v>71</v>
      </c>
      <c r="X27" s="36" t="s">
        <v>71</v>
      </c>
      <c r="Y27" s="36" t="s">
        <v>71</v>
      </c>
      <c r="Z27" s="36" t="s">
        <v>71</v>
      </c>
      <c r="AA27" s="36" t="s">
        <v>71</v>
      </c>
      <c r="AB27" s="36" t="s">
        <v>71</v>
      </c>
      <c r="AC27" s="36" t="s">
        <v>71</v>
      </c>
      <c r="AD27" s="36" t="s">
        <v>72</v>
      </c>
      <c r="AE27" s="36" t="s">
        <v>94</v>
      </c>
      <c r="AF27" s="36" t="s">
        <v>147</v>
      </c>
      <c r="AG27" s="36" t="s">
        <v>120</v>
      </c>
      <c r="AH27" t="str">
        <f>VLOOKUP($R27,武学奇术!$A:$ZZ,25,FALSE)</f>
        <v>枪</v>
      </c>
      <c r="AI27" s="20">
        <f>VLOOKUP($R27,武学奇术!$A:$ZZ,26,FALSE)</f>
        <v>2.1401</v>
      </c>
      <c r="AJ27" s="21">
        <f>VLOOKUP($R27,武学奇术!$A:$ZZ,27,FALSE)*(1+IF(OR($AH27=$F$4,$AH27=$F$5),$B$22,0))</f>
        <v>823.2</v>
      </c>
      <c r="AK27" s="20">
        <f>VLOOKUP($R27,武学奇术!$A:$ZZ,28,FALSE)</f>
        <v>3.2101</v>
      </c>
      <c r="AL27" s="21">
        <f>VLOOKUP($R27,武学奇术!$A:$ZZ,29,FALSE)*(1+IF(OR($AH27=$F$4,$AH27=$F$5),$B$22,0))</f>
        <v>448</v>
      </c>
      <c r="AM27" s="20" cm="1">
        <f t="array" ref="AM27">$G$3+IFERROR(VLOOKUP($AH27,$F$4:$G$7,2,FALSE),0)+VLOOKUP($R27,武学奇术!$A:$ZZ,2,FALSE)+SUM(_xlfn.XLOOKUP($S27:$AG27,增益!$A:$A,增益!$B:$B,0))</f>
        <v>0.5539</v>
      </c>
      <c r="AN27" s="20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1517.52</v>
      </c>
      <c r="AP27" cm="1">
        <f t="array" ref="AP27">$E$10*(1+$AN27)+VLOOKUP($R27,武学奇术!$A:$ZZ,4,FALSE)+SUM(_xlfn.XLOOKUP($S27:$AG27,增益!$A:$A,增益!$D:$D,0))-$I$2</f>
        <v>6628.56</v>
      </c>
      <c r="AQ27" s="29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0.2425</v>
      </c>
      <c r="AR27" s="29" cm="1">
        <f t="array" ref="AR27">$G$10+VLOOKUP($R27,武学奇术!$A:$ZZ,7,FALSE)+SUM(_xlfn.XLOOKUP(S27:AG27,增益!$A:$A,增益!$G:$G,0))</f>
        <v>0</v>
      </c>
      <c r="AS27" s="20" cm="1">
        <f t="array" ref="AS27">VLOOKUP($R27,武学奇术!$A:$ZZ,8,FALSE)+SUM(_xlfn.XLOOKUP(S27:AG27,增益!$A:$A,增益!$H:$H,0))</f>
        <v>0</v>
      </c>
      <c r="AT27">
        <f t="shared" si="1"/>
        <v>538</v>
      </c>
      <c r="AU27">
        <f t="shared" si="2"/>
        <v>1011</v>
      </c>
      <c r="AV27" s="29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29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29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29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29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29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29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29" cm="1">
        <f t="array" ref="BI27">$G$14+VLOOKUP($R27,武学奇术!$A:$ZZ,16,FALSE)+SUM(_xlfn.XLOOKUP(S27:AG27,增益!$A:$A,增益!$P:$P,0))</f>
        <v>0</v>
      </c>
      <c r="BJ27" s="20">
        <f>MIN(IF(VLOOKUP($R27,武学奇术!$A:$ZZ,23,FALSE)=1,100%,$B$8),100%)</f>
        <v>0.8271</v>
      </c>
      <c r="BK27" s="20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0.2249</v>
      </c>
      <c r="BL27" s="20" cm="1">
        <f t="array" ref="BL27">1+$B$13+VLOOKUP($R27,武学奇术!$A:$ZZ,18,FALSE)+SUM(_xlfn.XLOOKUP(S27:AG27,增益!$A:$A,增益!$R:$R,0))</f>
        <v>1.5</v>
      </c>
      <c r="BM27" s="20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0.4459</v>
      </c>
      <c r="BN27" s="20" cm="1">
        <f t="array" ref="BN27">1+$B$14+VLOOKUP($R27,武学奇术!$A:$ZZ,20,FALSE)+SUM(_xlfn.XLOOKUP(S27:AG27,增益!$A:$A,增益!$T:$T,0))</f>
        <v>1.572</v>
      </c>
      <c r="BO27" s="20">
        <f t="shared" si="9"/>
        <v>0.18601479</v>
      </c>
      <c r="BP27" s="20">
        <f t="shared" si="10"/>
        <v>0.27228132</v>
      </c>
      <c r="BQ27" s="20">
        <f>IF(VLOOKUP($R27,武学奇术!$A:$ZZ,22,FALSE)=1,0,(1-$BJ27))*(1-$BM27)</f>
        <v>0.09580389</v>
      </c>
      <c r="BR27" s="20" cm="1">
        <f t="array" ref="BR27">SUM(_xlfn.XLOOKUP(S27:AG27,增益!$A:$A,增益!$W:$W,0))+$I$5</f>
        <v>0.11</v>
      </c>
    </row>
    <row r="28" spans="1:70">
      <c r="K28" s="27">
        <f>$L28*VLOOKUP($R28,武学奇术!$A:$ZZ,31,FALSE)</f>
        <v>25570.5097687411</v>
      </c>
      <c r="L28" s="27">
        <f t="shared" si="0"/>
        <v>25570.5097687411</v>
      </c>
      <c r="M28" s="27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23280.886974602</v>
      </c>
      <c r="N28" s="27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36471.9228177713</v>
      </c>
      <c r="O28" s="27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15520.5913164013</v>
      </c>
      <c r="P28" s="27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7840.21391920771</v>
      </c>
      <c r="Q28" s="35">
        <v>1</v>
      </c>
      <c r="R28" s="36" t="s">
        <v>92</v>
      </c>
      <c r="S28" s="36" t="s">
        <v>71</v>
      </c>
      <c r="T28" s="36" t="s">
        <v>93</v>
      </c>
      <c r="U28" s="36" t="s">
        <v>71</v>
      </c>
      <c r="V28" s="36" t="s">
        <v>71</v>
      </c>
      <c r="W28" s="36" t="s">
        <v>71</v>
      </c>
      <c r="X28" s="36" t="s">
        <v>71</v>
      </c>
      <c r="Y28" s="36" t="s">
        <v>71</v>
      </c>
      <c r="Z28" s="36" t="s">
        <v>71</v>
      </c>
      <c r="AA28" s="36" t="s">
        <v>71</v>
      </c>
      <c r="AB28" s="36" t="s">
        <v>71</v>
      </c>
      <c r="AC28" s="36" t="s">
        <v>71</v>
      </c>
      <c r="AD28" s="36" t="s">
        <v>72</v>
      </c>
      <c r="AE28" s="36" t="s">
        <v>94</v>
      </c>
      <c r="AF28" s="36" t="s">
        <v>147</v>
      </c>
      <c r="AG28" s="36" t="s">
        <v>120</v>
      </c>
      <c r="AH28" t="str">
        <f>VLOOKUP($R28,武学奇术!$A:$ZZ,25,FALSE)</f>
        <v>剑</v>
      </c>
      <c r="AI28" s="20">
        <f>VLOOKUP($R28,武学奇术!$A:$ZZ,26,FALSE)</f>
        <v>1.1781</v>
      </c>
      <c r="AJ28" s="21">
        <f>VLOOKUP($R28,武学奇术!$A:$ZZ,27,FALSE)*(1+IF(OR($AH28=$F$4,$AH28=$F$5),$B$22,0))</f>
        <v>456.4</v>
      </c>
      <c r="AK28" s="20">
        <f>VLOOKUP($R28,武学奇术!$A:$ZZ,28,FALSE)</f>
        <v>1.7672</v>
      </c>
      <c r="AL28" s="21">
        <f>VLOOKUP($R28,武学奇术!$A:$ZZ,29,FALSE)*(1+IF(OR($AH28=$F$4,$AH28=$F$5),$B$22,0))</f>
        <v>247.8</v>
      </c>
      <c r="AM28" s="20" cm="1">
        <f t="array" ref="AM28">$G$3+IFERROR(VLOOKUP($AH28,$F$4:$G$7,2,FALSE),0)+VLOOKUP($R28,武学奇术!$A:$ZZ,2,FALSE)+SUM(_xlfn.XLOOKUP($S28:$AG28,增益!$A:$A,增益!$B:$B,0))</f>
        <v>0.6391</v>
      </c>
      <c r="AN28" s="20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1517.52</v>
      </c>
      <c r="AP28" cm="1">
        <f t="array" ref="AP28">$E$10*(1+$AN28)+VLOOKUP($R28,武学奇术!$A:$ZZ,4,FALSE)+SUM(_xlfn.XLOOKUP($S28:$AG28,增益!$A:$A,增益!$D:$D,0))-$I$2</f>
        <v>6628.56</v>
      </c>
      <c r="AQ28" s="29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0.2425</v>
      </c>
      <c r="AR28" s="29" cm="1">
        <f t="array" ref="AR28">$G$10+VLOOKUP($R28,武学奇术!$A:$ZZ,7,FALSE)+SUM(_xlfn.XLOOKUP(S28:AG28,增益!$A:$A,增益!$G:$G,0))</f>
        <v>0</v>
      </c>
      <c r="AS28" s="20" cm="1">
        <f t="array" ref="AS28">VLOOKUP($R28,武学奇术!$A:$ZZ,8,FALSE)+SUM(_xlfn.XLOOKUP(S28:AG28,增益!$A:$A,增益!$H:$H,0))</f>
        <v>0</v>
      </c>
      <c r="AT28">
        <f t="shared" si="1"/>
        <v>538</v>
      </c>
      <c r="AU28">
        <f t="shared" si="2"/>
        <v>1011</v>
      </c>
      <c r="AV28" s="29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</v>
      </c>
      <c r="AW28" s="29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29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29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29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29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29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29" cm="1">
        <f t="array" ref="BI28">$G$14+VLOOKUP($R28,武学奇术!$A:$ZZ,16,FALSE)+SUM(_xlfn.XLOOKUP(S28:AG28,增益!$A:$A,增益!$P:$P,0))</f>
        <v>0</v>
      </c>
      <c r="BJ28" s="20">
        <f>MIN(IF(VLOOKUP($R28,武学奇术!$A:$ZZ,23,FALSE)=1,100%,$B$8),100%)</f>
        <v>0.8271</v>
      </c>
      <c r="BK28" s="20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0.2249</v>
      </c>
      <c r="BL28" s="20" cm="1">
        <f t="array" ref="BL28">1+$B$13+VLOOKUP($R28,武学奇术!$A:$ZZ,18,FALSE)+SUM(_xlfn.XLOOKUP(S28:AG28,增益!$A:$A,增益!$R:$R,0))</f>
        <v>1.5</v>
      </c>
      <c r="BM28" s="20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0.4459</v>
      </c>
      <c r="BN28" s="20" cm="1">
        <f t="array" ref="BN28">1+$B$14+VLOOKUP($R28,武学奇术!$A:$ZZ,20,FALSE)+SUM(_xlfn.XLOOKUP(S28:AG28,增益!$A:$A,增益!$T:$T,0))</f>
        <v>1.572</v>
      </c>
      <c r="BO28" s="20">
        <f t="shared" si="9"/>
        <v>0.18601479</v>
      </c>
      <c r="BP28" s="20">
        <f t="shared" si="10"/>
        <v>0.27228132</v>
      </c>
      <c r="BQ28" s="20">
        <f>IF(VLOOKUP($R28,武学奇术!$A:$ZZ,22,FALSE)=1,0,(1-$BJ28))*(1-$BM28)</f>
        <v>0.09580389</v>
      </c>
      <c r="BR28" s="20" cm="1">
        <f t="array" ref="BR28">SUM(_xlfn.XLOOKUP(S28:AG28,增益!$A:$A,增益!$W:$W,0))+$I$5</f>
        <v>0.11</v>
      </c>
    </row>
    <row r="29" spans="1:70">
      <c r="K29" s="27">
        <f>$L29*VLOOKUP($R29,武学奇术!$A:$ZZ,31,FALSE)</f>
        <v>64608.9985624874</v>
      </c>
      <c r="L29" s="27">
        <f t="shared" si="0"/>
        <v>107681.664270812</v>
      </c>
      <c r="M29" s="27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89152.1929653019</v>
      </c>
      <c r="N29" s="27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162382.557057941</v>
      </c>
      <c r="O29" s="27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59434.7953102013</v>
      </c>
      <c r="P29" s="27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26185.4827106191</v>
      </c>
      <c r="Q29" s="35">
        <v>1</v>
      </c>
      <c r="R29" s="36" t="s">
        <v>105</v>
      </c>
      <c r="S29" s="36" t="s">
        <v>71</v>
      </c>
      <c r="T29" s="36" t="s">
        <v>99</v>
      </c>
      <c r="U29" s="36" t="s">
        <v>100</v>
      </c>
      <c r="V29" s="36" t="s">
        <v>101</v>
      </c>
      <c r="W29" s="36" t="s">
        <v>71</v>
      </c>
      <c r="X29" s="36" t="s">
        <v>71</v>
      </c>
      <c r="Y29" s="36" t="s">
        <v>71</v>
      </c>
      <c r="Z29" s="36" t="s">
        <v>71</v>
      </c>
      <c r="AA29" s="36" t="s">
        <v>71</v>
      </c>
      <c r="AB29" s="36" t="s">
        <v>71</v>
      </c>
      <c r="AC29" s="36" t="s">
        <v>71</v>
      </c>
      <c r="AD29" s="36" t="s">
        <v>72</v>
      </c>
      <c r="AE29" s="36" t="s">
        <v>94</v>
      </c>
      <c r="AF29" s="36" t="s">
        <v>147</v>
      </c>
      <c r="AG29" s="36" t="s">
        <v>120</v>
      </c>
      <c r="AH29" t="str">
        <f>VLOOKUP($R29,武学奇术!$A:$ZZ,25,FALSE)</f>
        <v>剑</v>
      </c>
      <c r="AI29" s="20">
        <f>VLOOKUP($R29,武学奇术!$A:$ZZ,26,FALSE)</f>
        <v>2.496</v>
      </c>
      <c r="AJ29" s="21">
        <f>VLOOKUP($R29,武学奇术!$A:$ZZ,27,FALSE)*(1+IF(OR($AH29=$F$4,$AH29=$F$5),$B$22,0))</f>
        <v>0</v>
      </c>
      <c r="AK29" s="20">
        <f>VLOOKUP($R29,武学奇术!$A:$ZZ,28,FALSE)</f>
        <v>3.744</v>
      </c>
      <c r="AL29" s="21">
        <f>VLOOKUP($R29,武学奇术!$A:$ZZ,29,FALSE)*(1+IF(OR($AH29=$F$4,$AH29=$F$5),$B$22,0))</f>
        <v>0</v>
      </c>
      <c r="AM29" s="20" cm="1">
        <f t="array" ref="AM29">$G$3+IFERROR(VLOOKUP($AH29,$F$4:$G$7,2,FALSE),0)+VLOOKUP($R29,武学奇术!$A:$ZZ,2,FALSE)+SUM(_xlfn.XLOOKUP($S29:$AG29,增益!$A:$A,增益!$B:$B,0))</f>
        <v>1.3891</v>
      </c>
      <c r="AN29" s="20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1517.52</v>
      </c>
      <c r="AP29" cm="1">
        <f t="array" ref="AP29">$E$10*(1+$AN29)+VLOOKUP($R29,武学奇术!$A:$ZZ,4,FALSE)+SUM(_xlfn.XLOOKUP($S29:$AG29,增益!$A:$A,增益!$D:$D,0))-$I$2</f>
        <v>6628.56</v>
      </c>
      <c r="AQ29" s="29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0.3175</v>
      </c>
      <c r="AR29" s="29" cm="1">
        <f t="array" ref="AR29">$G$10+VLOOKUP($R29,武学奇术!$A:$ZZ,7,FALSE)+SUM(_xlfn.XLOOKUP(S29:AG29,增益!$A:$A,增益!$G:$G,0))</f>
        <v>0</v>
      </c>
      <c r="AS29" s="20" cm="1">
        <f t="array" ref="AS29">VLOOKUP($R29,武学奇术!$A:$ZZ,8,FALSE)+SUM(_xlfn.XLOOKUP(S29:AG29,增益!$A:$A,增益!$H:$H,0))</f>
        <v>0</v>
      </c>
      <c r="AT29">
        <f t="shared" si="1"/>
        <v>538</v>
      </c>
      <c r="AU29">
        <f t="shared" si="2"/>
        <v>1011</v>
      </c>
      <c r="AV29" s="29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0.075</v>
      </c>
      <c r="AW29" s="29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29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29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29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29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29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29" cm="1">
        <f t="array" ref="BI29">$G$14+VLOOKUP($R29,武学奇术!$A:$ZZ,16,FALSE)+SUM(_xlfn.XLOOKUP(S29:AG29,增益!$A:$A,增益!$P:$P,0))</f>
        <v>0</v>
      </c>
      <c r="BJ29" s="20">
        <f>MIN(IF(VLOOKUP($R29,武学奇术!$A:$ZZ,23,FALSE)=1,100%,$B$8),100%)</f>
        <v>0.8271</v>
      </c>
      <c r="BK29" s="20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0.2249</v>
      </c>
      <c r="BL29" s="20" cm="1">
        <f t="array" ref="BL29">1+$B$13+VLOOKUP($R29,武学奇术!$A:$ZZ,18,FALSE)+SUM(_xlfn.XLOOKUP(S29:AG29,增益!$A:$A,增益!$R:$R,0))</f>
        <v>1.5</v>
      </c>
      <c r="BM29" s="20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0.4459</v>
      </c>
      <c r="BN29" s="20" cm="1">
        <f t="array" ref="BN29">1+$B$14+VLOOKUP($R29,武学奇术!$A:$ZZ,20,FALSE)+SUM(_xlfn.XLOOKUP(S29:AG29,增益!$A:$A,增益!$T:$T,0))</f>
        <v>1.752</v>
      </c>
      <c r="BO29" s="20">
        <f t="shared" si="9"/>
        <v>0.18601479</v>
      </c>
      <c r="BP29" s="20">
        <f t="shared" si="10"/>
        <v>0.27228132</v>
      </c>
      <c r="BQ29" s="20">
        <f>IF(VLOOKUP($R29,武学奇术!$A:$ZZ,22,FALSE)=1,0,(1-$BJ29))*(1-$BM29)</f>
        <v>0.09580389</v>
      </c>
      <c r="BR29" s="20" cm="1">
        <f t="array" ref="BR29">SUM(_xlfn.XLOOKUP(S29:AG29,增益!$A:$A,增益!$W:$W,0))+$I$5</f>
        <v>0.11</v>
      </c>
    </row>
    <row r="30" spans="1:70">
      <c r="K30" s="27">
        <f>$L30*VLOOKUP($R30,武学奇术!$A:$ZZ,31,FALSE)</f>
        <v>97429.5342347643</v>
      </c>
      <c r="L30" s="27">
        <f t="shared" si="0"/>
        <v>162382.557057941</v>
      </c>
      <c r="M30" s="27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89152.1929653019</v>
      </c>
      <c r="N30" s="27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162382.557057941</v>
      </c>
      <c r="O30" s="27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59434.7953102013</v>
      </c>
      <c r="P30" s="27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26185.4827106191</v>
      </c>
      <c r="Q30" s="35">
        <v>1</v>
      </c>
      <c r="R30" s="36" t="s">
        <v>98</v>
      </c>
      <c r="S30" s="36" t="s">
        <v>71</v>
      </c>
      <c r="T30" s="36" t="s">
        <v>99</v>
      </c>
      <c r="U30" s="36" t="s">
        <v>100</v>
      </c>
      <c r="V30" s="36" t="s">
        <v>101</v>
      </c>
      <c r="W30" s="36" t="s">
        <v>71</v>
      </c>
      <c r="X30" s="36" t="s">
        <v>71</v>
      </c>
      <c r="Y30" s="36" t="s">
        <v>71</v>
      </c>
      <c r="Z30" s="36" t="s">
        <v>71</v>
      </c>
      <c r="AA30" s="36" t="s">
        <v>71</v>
      </c>
      <c r="AB30" s="36" t="s">
        <v>71</v>
      </c>
      <c r="AC30" s="36" t="s">
        <v>71</v>
      </c>
      <c r="AD30" s="36" t="s">
        <v>72</v>
      </c>
      <c r="AE30" s="36" t="s">
        <v>94</v>
      </c>
      <c r="AF30" s="36" t="s">
        <v>147</v>
      </c>
      <c r="AG30" s="36" t="s">
        <v>120</v>
      </c>
      <c r="AH30" t="str">
        <f>VLOOKUP($R30,武学奇术!$A:$ZZ,25,FALSE)</f>
        <v>剑</v>
      </c>
      <c r="AI30" s="20">
        <f>VLOOKUP($R30,武学奇术!$A:$ZZ,26,FALSE)</f>
        <v>2.496</v>
      </c>
      <c r="AJ30" s="21">
        <f>VLOOKUP($R30,武学奇术!$A:$ZZ,27,FALSE)*(1+IF(OR($AH30=$F$4,$AH30=$F$5),$B$22,0))</f>
        <v>0</v>
      </c>
      <c r="AK30" s="20">
        <f>VLOOKUP($R30,武学奇术!$A:$ZZ,28,FALSE)</f>
        <v>3.744</v>
      </c>
      <c r="AL30" s="21">
        <f>VLOOKUP($R30,武学奇术!$A:$ZZ,29,FALSE)*(1+IF(OR($AH30=$F$4,$AH30=$F$5),$B$22,0))</f>
        <v>0</v>
      </c>
      <c r="AM30" s="20" cm="1">
        <f t="array" ref="AM30">$G$3+IFERROR(VLOOKUP($AH30,$F$4:$G$7,2,FALSE),0)+VLOOKUP($R30,武学奇术!$A:$ZZ,2,FALSE)+SUM(_xlfn.XLOOKUP($S30:$AG30,增益!$A:$A,增益!$B:$B,0))</f>
        <v>1.3891</v>
      </c>
      <c r="AN30" s="20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1517.52</v>
      </c>
      <c r="AP30" cm="1">
        <f t="array" ref="AP30">$E$10*(1+$AN30)+VLOOKUP($R30,武学奇术!$A:$ZZ,4,FALSE)+SUM(_xlfn.XLOOKUP($S30:$AG30,增益!$A:$A,增益!$D:$D,0))-$I$2</f>
        <v>6628.56</v>
      </c>
      <c r="AQ30" s="29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0.3175</v>
      </c>
      <c r="AR30" s="29" cm="1">
        <f t="array" ref="AR30">$G$10+VLOOKUP($R30,武学奇术!$A:$ZZ,7,FALSE)+SUM(_xlfn.XLOOKUP(S30:AG30,增益!$A:$A,增益!$G:$G,0))</f>
        <v>0</v>
      </c>
      <c r="AS30" s="20" cm="1">
        <f t="array" ref="AS30">VLOOKUP($R30,武学奇术!$A:$ZZ,8,FALSE)+SUM(_xlfn.XLOOKUP(S30:AG30,增益!$A:$A,增益!$H:$H,0))</f>
        <v>0</v>
      </c>
      <c r="AT30">
        <f t="shared" si="1"/>
        <v>538</v>
      </c>
      <c r="AU30">
        <f t="shared" si="2"/>
        <v>1011</v>
      </c>
      <c r="AV30" s="29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0.075</v>
      </c>
      <c r="AW30" s="29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29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29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29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29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29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29" cm="1">
        <f t="array" ref="BI30">$G$14+VLOOKUP($R30,武学奇术!$A:$ZZ,16,FALSE)+SUM(_xlfn.XLOOKUP(S30:AG30,增益!$A:$A,增益!$P:$P,0))</f>
        <v>0</v>
      </c>
      <c r="BJ30" s="20">
        <f>MIN(IF(VLOOKUP($R30,武学奇术!$A:$ZZ,23,FALSE)=1,100%,$B$8),100%)</f>
        <v>0.8271</v>
      </c>
      <c r="BK30" s="20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</v>
      </c>
      <c r="BL30" s="20" cm="1">
        <f t="array" ref="BL30">1+$B$13+VLOOKUP($R30,武学奇术!$A:$ZZ,18,FALSE)+SUM(_xlfn.XLOOKUP(S30:AG30,增益!$A:$A,增益!$R:$R,0))</f>
        <v>1.5</v>
      </c>
      <c r="BM30" s="20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1</v>
      </c>
      <c r="BN30" s="20" cm="1">
        <f t="array" ref="BN30">1+$B$14+VLOOKUP($R30,武学奇术!$A:$ZZ,20,FALSE)+SUM(_xlfn.XLOOKUP(S30:AG30,增益!$A:$A,增益!$T:$T,0))</f>
        <v>1.752</v>
      </c>
      <c r="BO30" s="20">
        <f t="shared" si="9"/>
        <v>0</v>
      </c>
      <c r="BP30" s="20">
        <f t="shared" si="10"/>
        <v>0</v>
      </c>
      <c r="BQ30" s="20">
        <f>IF(VLOOKUP($R30,武学奇术!$A:$ZZ,22,FALSE)=1,0,(1-$BJ30))*(1-$BM30)</f>
        <v>0</v>
      </c>
      <c r="BR30" s="20" cm="1">
        <f t="array" ref="BR30">SUM(_xlfn.XLOOKUP(S30:AG30,增益!$A:$A,增益!$W:$W,0))+$I$5</f>
        <v>0.11</v>
      </c>
    </row>
    <row r="31" spans="1:70">
      <c r="K31" s="27">
        <f>$L31*VLOOKUP($R31,武学奇术!$A:$ZZ,31,FALSE)</f>
        <v>12271.4174520328</v>
      </c>
      <c r="L31" s="27">
        <f t="shared" si="0"/>
        <v>12271.4174520328</v>
      </c>
      <c r="M31" s="27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10910.8875861982</v>
      </c>
      <c r="N31" s="27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17839.7935229399</v>
      </c>
      <c r="O31" s="27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7273.92505746544</v>
      </c>
      <c r="P31" s="27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3199.38095275538</v>
      </c>
      <c r="Q31" s="35">
        <v>1</v>
      </c>
      <c r="R31" s="36" t="s">
        <v>107</v>
      </c>
      <c r="S31" s="36" t="s">
        <v>71</v>
      </c>
      <c r="T31" s="36" t="s">
        <v>93</v>
      </c>
      <c r="U31" s="36" t="s">
        <v>71</v>
      </c>
      <c r="V31" s="36" t="s">
        <v>71</v>
      </c>
      <c r="W31" s="36" t="s">
        <v>71</v>
      </c>
      <c r="X31" s="36" t="s">
        <v>71</v>
      </c>
      <c r="Y31" s="36" t="s">
        <v>71</v>
      </c>
      <c r="Z31" s="36" t="s">
        <v>71</v>
      </c>
      <c r="AA31" s="36" t="s">
        <v>71</v>
      </c>
      <c r="AB31" s="36" t="s">
        <v>71</v>
      </c>
      <c r="AC31" s="36" t="s">
        <v>71</v>
      </c>
      <c r="AD31" s="36" t="s">
        <v>72</v>
      </c>
      <c r="AE31" s="36" t="s">
        <v>94</v>
      </c>
      <c r="AF31" s="36" t="s">
        <v>147</v>
      </c>
      <c r="AG31" s="36" t="s">
        <v>120</v>
      </c>
      <c r="AH31" t="str">
        <f>VLOOKUP($R31,武学奇术!$A:$ZZ,25,FALSE)</f>
        <v>剑</v>
      </c>
      <c r="AI31" s="20">
        <f>VLOOKUP($R31,武学奇术!$A:$ZZ,26,FALSE)</f>
        <v>0.625</v>
      </c>
      <c r="AJ31" s="21">
        <f>VLOOKUP($R31,武学奇术!$A:$ZZ,27,FALSE)*(1+IF(OR($AH31=$F$4,$AH31=$F$5),$B$22,0))</f>
        <v>0</v>
      </c>
      <c r="AK31" s="20">
        <f>VLOOKUP($R31,武学奇术!$A:$ZZ,28,FALSE)</f>
        <v>0.9375</v>
      </c>
      <c r="AL31" s="21">
        <f>VLOOKUP($R31,武学奇术!$A:$ZZ,29,FALSE)*(1+IF(OR($AH31=$F$4,$AH31=$F$5),$B$22,0))</f>
        <v>0</v>
      </c>
      <c r="AM31" s="20" cm="1">
        <f t="array" ref="AM31">$G$3+IFERROR(VLOOKUP($AH31,$F$4:$G$7,2,FALSE),0)+VLOOKUP($R31,武学奇术!$A:$ZZ,2,FALSE)+SUM(_xlfn.XLOOKUP($S31:$AG31,增益!$A:$A,增益!$B:$B,0))</f>
        <v>0.6391</v>
      </c>
      <c r="AN31" s="20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1517.52</v>
      </c>
      <c r="AP31" cm="1">
        <f t="array" ref="AP31">$E$10*(1+$AN31)+VLOOKUP($R31,武学奇术!$A:$ZZ,4,FALSE)+SUM(_xlfn.XLOOKUP($S31:$AG31,增益!$A:$A,增益!$D:$D,0))-$I$2</f>
        <v>6628.56</v>
      </c>
      <c r="AQ31" s="29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0.2425</v>
      </c>
      <c r="AR31" s="29" cm="1">
        <f t="array" ref="AR31">$G$10+VLOOKUP($R31,武学奇术!$A:$ZZ,7,FALSE)+SUM(_xlfn.XLOOKUP(S31:AG31,增益!$A:$A,增益!$G:$G,0))</f>
        <v>0</v>
      </c>
      <c r="AS31" s="20" cm="1">
        <f t="array" ref="AS31">VLOOKUP($R31,武学奇术!$A:$ZZ,8,FALSE)+SUM(_xlfn.XLOOKUP(S31:AG31,增益!$A:$A,增益!$H:$H,0))</f>
        <v>0</v>
      </c>
      <c r="AT31">
        <f t="shared" si="1"/>
        <v>538</v>
      </c>
      <c r="AU31">
        <f t="shared" si="2"/>
        <v>1011</v>
      </c>
      <c r="AV31" s="29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</v>
      </c>
      <c r="AW31" s="29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29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29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29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29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29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29" cm="1">
        <f t="array" ref="BI31">$G$14+VLOOKUP($R31,武学奇术!$A:$ZZ,16,FALSE)+SUM(_xlfn.XLOOKUP(S31:AG31,增益!$A:$A,增益!$P:$P,0))</f>
        <v>0</v>
      </c>
      <c r="BJ31" s="20">
        <f>MIN(IF(VLOOKUP($R31,武学奇术!$A:$ZZ,23,FALSE)=1,100%,$B$8),100%)</f>
        <v>0.8271</v>
      </c>
      <c r="BK31" s="20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0.2249</v>
      </c>
      <c r="BL31" s="20" cm="1">
        <f t="array" ref="BL31">1+$B$13+VLOOKUP($R31,武学奇术!$A:$ZZ,18,FALSE)+SUM(_xlfn.XLOOKUP(S31:AG31,增益!$A:$A,增益!$R:$R,0))</f>
        <v>1.5</v>
      </c>
      <c r="BM31" s="20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0.4459</v>
      </c>
      <c r="BN31" s="20" cm="1">
        <f t="array" ref="BN31">1+$B$14+VLOOKUP($R31,武学奇术!$A:$ZZ,20,FALSE)+SUM(_xlfn.XLOOKUP(S31:AG31,增益!$A:$A,增益!$T:$T,0))</f>
        <v>1.572</v>
      </c>
      <c r="BO31" s="20">
        <f t="shared" si="9"/>
        <v>0.18601479</v>
      </c>
      <c r="BP31" s="20">
        <f t="shared" si="10"/>
        <v>0.27228132</v>
      </c>
      <c r="BQ31" s="20">
        <f>IF(VLOOKUP($R31,武学奇术!$A:$ZZ,22,FALSE)=1,0,(1-$BJ31))*(1-$BM31)</f>
        <v>0.09580389</v>
      </c>
      <c r="BR31" s="20" cm="1">
        <f t="array" ref="BR31">SUM(_xlfn.XLOOKUP(S31:AG31,增益!$A:$A,增益!$W:$W,0))+$I$5</f>
        <v>0.11</v>
      </c>
    </row>
    <row r="32" spans="1:70">
      <c r="K32" s="27">
        <f>$L32*VLOOKUP($R32,武学奇术!$A:$ZZ,31,FALSE)</f>
        <v>53298.8804287945</v>
      </c>
      <c r="L32" s="27">
        <f t="shared" si="0"/>
        <v>53298.8804287945</v>
      </c>
      <c r="M32" s="27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48379.0738082379</v>
      </c>
      <c r="N32" s="27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76135.039549656</v>
      </c>
      <c r="O32" s="27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32252.7158721586</v>
      </c>
      <c r="P32" s="27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16379.6166054702</v>
      </c>
      <c r="Q32" s="35">
        <v>1</v>
      </c>
      <c r="R32" s="36" t="s">
        <v>110</v>
      </c>
      <c r="S32" s="36" t="s">
        <v>71</v>
      </c>
      <c r="T32" s="36" t="s">
        <v>93</v>
      </c>
      <c r="U32" s="36" t="s">
        <v>71</v>
      </c>
      <c r="V32" s="36" t="s">
        <v>71</v>
      </c>
      <c r="W32" s="36" t="s">
        <v>111</v>
      </c>
      <c r="X32" s="36" t="s">
        <v>71</v>
      </c>
      <c r="Y32" s="36" t="s">
        <v>71</v>
      </c>
      <c r="Z32" s="36" t="s">
        <v>71</v>
      </c>
      <c r="AA32" s="36" t="s">
        <v>71</v>
      </c>
      <c r="AB32" s="36" t="s">
        <v>71</v>
      </c>
      <c r="AC32" s="36" t="s">
        <v>71</v>
      </c>
      <c r="AD32" s="36" t="s">
        <v>72</v>
      </c>
      <c r="AE32" s="36" t="s">
        <v>94</v>
      </c>
      <c r="AF32" s="36" t="s">
        <v>148</v>
      </c>
      <c r="AG32" s="36" t="s">
        <v>120</v>
      </c>
      <c r="AH32" t="str">
        <f>VLOOKUP($R32,武学奇术!$A:$ZZ,25,FALSE)</f>
        <v>枪</v>
      </c>
      <c r="AI32" s="20">
        <f>VLOOKUP($R32,武学奇术!$A:$ZZ,26,FALSE)</f>
        <v>2.5683</v>
      </c>
      <c r="AJ32" s="21">
        <f>VLOOKUP($R32,武学奇术!$A:$ZZ,27,FALSE)*(1+IF(OR($AH32=$F$4,$AH32=$F$5),$B$22,0))</f>
        <v>995.4</v>
      </c>
      <c r="AK32" s="20">
        <f>VLOOKUP($R32,武学奇术!$A:$ZZ,28,FALSE)</f>
        <v>3.8524</v>
      </c>
      <c r="AL32" s="21">
        <f>VLOOKUP($R32,武学奇术!$A:$ZZ,29,FALSE)*(1+IF(OR($AH32=$F$4,$AH32=$F$5),$B$22,0))</f>
        <v>541.8</v>
      </c>
      <c r="AM32" s="20" cm="1">
        <f t="array" ref="AM32">$G$3+IFERROR(VLOOKUP($AH32,$F$4:$G$7,2,FALSE),0)+VLOOKUP($R32,武学奇术!$A:$ZZ,2,FALSE)+SUM(_xlfn.XLOOKUP($S32:$AG32,增益!$A:$A,增益!$B:$B,0))</f>
        <v>0.5539</v>
      </c>
      <c r="AN32" s="20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1548.52</v>
      </c>
      <c r="AP32" cm="1">
        <f t="array" ref="AP32">$E$10*(1+$AN32)+VLOOKUP($R32,武学奇术!$A:$ZZ,4,FALSE)+SUM(_xlfn.XLOOKUP($S32:$AG32,增益!$A:$A,增益!$D:$D,0))-$I$2</f>
        <v>6659.56</v>
      </c>
      <c r="AQ32" s="29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0.2425</v>
      </c>
      <c r="AR32" s="29" cm="1">
        <f t="array" ref="AR32">$G$10+VLOOKUP($R32,武学奇术!$A:$ZZ,7,FALSE)+SUM(_xlfn.XLOOKUP(S32:AG32,增益!$A:$A,增益!$G:$G,0))</f>
        <v>0</v>
      </c>
      <c r="AS32" s="20" cm="1">
        <f t="array" ref="AS32">VLOOKUP($R32,武学奇术!$A:$ZZ,8,FALSE)+SUM(_xlfn.XLOOKUP(S32:AG32,增益!$A:$A,增益!$H:$H,0))</f>
        <v>0</v>
      </c>
      <c r="AT32">
        <f t="shared" si="1"/>
        <v>538</v>
      </c>
      <c r="AU32">
        <f t="shared" si="2"/>
        <v>1011</v>
      </c>
      <c r="AV32" s="29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</v>
      </c>
      <c r="AW32" s="29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29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29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29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29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29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29" cm="1">
        <f t="array" ref="BI32">$G$14+VLOOKUP($R32,武学奇术!$A:$ZZ,16,FALSE)+SUM(_xlfn.XLOOKUP(S32:AG32,增益!$A:$A,增益!$P:$P,0))</f>
        <v>0</v>
      </c>
      <c r="BJ32" s="20">
        <f>MIN(IF(VLOOKUP($R32,武学奇术!$A:$ZZ,23,FALSE)=1,100%,$B$8),100%)</f>
        <v>0.8271</v>
      </c>
      <c r="BK32" s="20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0.2249</v>
      </c>
      <c r="BL32" s="20" cm="1">
        <f t="array" ref="BL32">1+$B$13+VLOOKUP($R32,武学奇术!$A:$ZZ,18,FALSE)+SUM(_xlfn.XLOOKUP(S32:AG32,增益!$A:$A,增益!$R:$R,0))</f>
        <v>1.5</v>
      </c>
      <c r="BM32" s="20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0.4459</v>
      </c>
      <c r="BN32" s="20" cm="1">
        <f t="array" ref="BN32">1+$B$14+VLOOKUP($R32,武学奇术!$A:$ZZ,20,FALSE)+SUM(_xlfn.XLOOKUP(S32:AG32,增益!$A:$A,增益!$T:$T,0))</f>
        <v>1.582</v>
      </c>
      <c r="BO32" s="20">
        <f t="shared" si="9"/>
        <v>0.18601479</v>
      </c>
      <c r="BP32" s="20">
        <f t="shared" si="10"/>
        <v>0.27228132</v>
      </c>
      <c r="BQ32" s="20">
        <f>IF(VLOOKUP($R32,武学奇术!$A:$ZZ,22,FALSE)=1,0,(1-$BJ32))*(1-$BM32)</f>
        <v>0.09580389</v>
      </c>
      <c r="BR32" s="20" cm="1">
        <f t="array" ref="BR32">SUM(_xlfn.XLOOKUP(S32:AG32,增益!$A:$A,增益!$W:$W,0))+$I$5</f>
        <v>0.11</v>
      </c>
    </row>
    <row r="33" spans="5:70">
      <c r="K33" s="27">
        <f>$L33*VLOOKUP($R33,武学奇术!$A:$ZZ,31,FALSE)</f>
        <v>65163.7405553409</v>
      </c>
      <c r="L33" s="27">
        <f t="shared" si="0"/>
        <v>108606.234258902</v>
      </c>
      <c r="M33" s="27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89687.4709676233</v>
      </c>
      <c r="N33" s="27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163938.171363765</v>
      </c>
      <c r="O33" s="27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59791.6473117489</v>
      </c>
      <c r="P33" s="27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26542.3347121667</v>
      </c>
      <c r="Q33" s="35">
        <v>1</v>
      </c>
      <c r="R33" s="36" t="s">
        <v>105</v>
      </c>
      <c r="S33" s="36" t="s">
        <v>71</v>
      </c>
      <c r="T33" s="36" t="s">
        <v>99</v>
      </c>
      <c r="U33" s="36" t="s">
        <v>100</v>
      </c>
      <c r="V33" s="36" t="s">
        <v>101</v>
      </c>
      <c r="W33" s="36" t="s">
        <v>111</v>
      </c>
      <c r="X33" s="36" t="s">
        <v>71</v>
      </c>
      <c r="Y33" s="36" t="s">
        <v>71</v>
      </c>
      <c r="Z33" s="36" t="s">
        <v>71</v>
      </c>
      <c r="AA33" s="36" t="s">
        <v>71</v>
      </c>
      <c r="AB33" s="36" t="s">
        <v>71</v>
      </c>
      <c r="AC33" s="36" t="s">
        <v>71</v>
      </c>
      <c r="AD33" s="36" t="s">
        <v>72</v>
      </c>
      <c r="AE33" s="36" t="s">
        <v>94</v>
      </c>
      <c r="AF33" s="36" t="s">
        <v>148</v>
      </c>
      <c r="AG33" s="36" t="s">
        <v>120</v>
      </c>
      <c r="AH33" t="str">
        <f>VLOOKUP($R33,武学奇术!$A:$ZZ,25,FALSE)</f>
        <v>剑</v>
      </c>
      <c r="AI33" s="20">
        <f>VLOOKUP($R33,武学奇术!$A:$ZZ,26,FALSE)</f>
        <v>2.496</v>
      </c>
      <c r="AJ33" s="21">
        <f>VLOOKUP($R33,武学奇术!$A:$ZZ,27,FALSE)*(1+IF(OR($AH33=$F$4,$AH33=$F$5),$B$22,0))</f>
        <v>0</v>
      </c>
      <c r="AK33" s="20">
        <f>VLOOKUP($R33,武学奇术!$A:$ZZ,28,FALSE)</f>
        <v>3.744</v>
      </c>
      <c r="AL33" s="21">
        <f>VLOOKUP($R33,武学奇术!$A:$ZZ,29,FALSE)*(1+IF(OR($AH33=$F$4,$AH33=$F$5),$B$22,0))</f>
        <v>0</v>
      </c>
      <c r="AM33" s="20" cm="1">
        <f t="array" ref="AM33">$G$3+IFERROR(VLOOKUP($AH33,$F$4:$G$7,2,FALSE),0)+VLOOKUP($R33,武学奇术!$A:$ZZ,2,FALSE)+SUM(_xlfn.XLOOKUP($S33:$AG33,增益!$A:$A,增益!$B:$B,0))</f>
        <v>1.3891</v>
      </c>
      <c r="AN33" s="20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1548.52</v>
      </c>
      <c r="AP33" cm="1">
        <f t="array" ref="AP33">$E$10*(1+$AN33)+VLOOKUP($R33,武学奇术!$A:$ZZ,4,FALSE)+SUM(_xlfn.XLOOKUP($S33:$AG33,增益!$A:$A,增益!$D:$D,0))-$I$2</f>
        <v>6659.56</v>
      </c>
      <c r="AQ33" s="29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0.3175</v>
      </c>
      <c r="AR33" s="29" cm="1">
        <f t="array" ref="AR33">$G$10+VLOOKUP($R33,武学奇术!$A:$ZZ,7,FALSE)+SUM(_xlfn.XLOOKUP(S33:AG33,增益!$A:$A,增益!$G:$G,0))</f>
        <v>0</v>
      </c>
      <c r="AS33" s="20" cm="1">
        <f t="array" ref="AS33">VLOOKUP($R33,武学奇术!$A:$ZZ,8,FALSE)+SUM(_xlfn.XLOOKUP(S33:AG33,增益!$A:$A,增益!$H:$H,0))</f>
        <v>0</v>
      </c>
      <c r="AT33">
        <f t="shared" si="1"/>
        <v>538</v>
      </c>
      <c r="AU33">
        <f t="shared" si="2"/>
        <v>1011</v>
      </c>
      <c r="AV33" s="29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0.075</v>
      </c>
      <c r="AW33" s="29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29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29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29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29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29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29" cm="1">
        <f t="array" ref="BI33">$G$14+VLOOKUP($R33,武学奇术!$A:$ZZ,16,FALSE)+SUM(_xlfn.XLOOKUP(S33:AG33,增益!$A:$A,增益!$P:$P,0))</f>
        <v>0</v>
      </c>
      <c r="BJ33" s="20">
        <f>MIN(IF(VLOOKUP($R33,武学奇术!$A:$ZZ,23,FALSE)=1,100%,$B$8),100%)</f>
        <v>0.8271</v>
      </c>
      <c r="BK33" s="20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0.2249</v>
      </c>
      <c r="BL33" s="20" cm="1">
        <f t="array" ref="BL33">1+$B$13+VLOOKUP($R33,武学奇术!$A:$ZZ,18,FALSE)+SUM(_xlfn.XLOOKUP(S33:AG33,增益!$A:$A,增益!$R:$R,0))</f>
        <v>1.5</v>
      </c>
      <c r="BM33" s="20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0.4459</v>
      </c>
      <c r="BN33" s="20" cm="1">
        <f t="array" ref="BN33">1+$B$14+VLOOKUP($R33,武学奇术!$A:$ZZ,20,FALSE)+SUM(_xlfn.XLOOKUP(S33:AG33,增益!$A:$A,增益!$T:$T,0))</f>
        <v>1.762</v>
      </c>
      <c r="BO33" s="20">
        <f t="shared" si="9"/>
        <v>0.18601479</v>
      </c>
      <c r="BP33" s="20">
        <f t="shared" si="10"/>
        <v>0.27228132</v>
      </c>
      <c r="BQ33" s="20">
        <f>IF(VLOOKUP($R33,武学奇术!$A:$ZZ,22,FALSE)=1,0,(1-$BJ33))*(1-$BM33)</f>
        <v>0.09580389</v>
      </c>
      <c r="BR33" s="20" cm="1">
        <f t="array" ref="BR33">SUM(_xlfn.XLOOKUP(S33:AG33,增益!$A:$A,增益!$W:$W,0))+$I$5</f>
        <v>0.11</v>
      </c>
    </row>
    <row r="34" spans="5:70">
      <c r="K34" s="27">
        <f>$L34*VLOOKUP($R34,武学奇术!$A:$ZZ,31,FALSE)</f>
        <v>25785.6267789274</v>
      </c>
      <c r="L34" s="27">
        <f t="shared" si="0"/>
        <v>25785.6267789274</v>
      </c>
      <c r="M34" s="27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23404.7266871756</v>
      </c>
      <c r="N34" s="27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36834.5421217682</v>
      </c>
      <c r="O34" s="27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15603.1511247837</v>
      </c>
      <c r="P34" s="27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7922.77372759012</v>
      </c>
      <c r="Q34" s="35">
        <v>1</v>
      </c>
      <c r="R34" s="36" t="s">
        <v>92</v>
      </c>
      <c r="S34" s="36" t="s">
        <v>71</v>
      </c>
      <c r="T34" s="36" t="s">
        <v>93</v>
      </c>
      <c r="U34" s="36" t="s">
        <v>71</v>
      </c>
      <c r="V34" s="36" t="s">
        <v>71</v>
      </c>
      <c r="W34" s="36" t="s">
        <v>111</v>
      </c>
      <c r="X34" s="36" t="s">
        <v>71</v>
      </c>
      <c r="Y34" s="36" t="s">
        <v>71</v>
      </c>
      <c r="Z34" s="36" t="s">
        <v>71</v>
      </c>
      <c r="AA34" s="36" t="s">
        <v>71</v>
      </c>
      <c r="AB34" s="36" t="s">
        <v>71</v>
      </c>
      <c r="AC34" s="36" t="s">
        <v>71</v>
      </c>
      <c r="AD34" s="36" t="s">
        <v>72</v>
      </c>
      <c r="AE34" s="36" t="s">
        <v>94</v>
      </c>
      <c r="AF34" s="36" t="s">
        <v>148</v>
      </c>
      <c r="AG34" s="36" t="s">
        <v>120</v>
      </c>
      <c r="AH34" t="str">
        <f>VLOOKUP($R34,武学奇术!$A:$ZZ,25,FALSE)</f>
        <v>剑</v>
      </c>
      <c r="AI34" s="20">
        <f>VLOOKUP($R34,武学奇术!$A:$ZZ,26,FALSE)</f>
        <v>1.1781</v>
      </c>
      <c r="AJ34" s="21">
        <f>VLOOKUP($R34,武学奇术!$A:$ZZ,27,FALSE)*(1+IF(OR($AH34=$F$4,$AH34=$F$5),$B$22,0))</f>
        <v>456.4</v>
      </c>
      <c r="AK34" s="20">
        <f>VLOOKUP($R34,武学奇术!$A:$ZZ,28,FALSE)</f>
        <v>1.7672</v>
      </c>
      <c r="AL34" s="21">
        <f>VLOOKUP($R34,武学奇术!$A:$ZZ,29,FALSE)*(1+IF(OR($AH34=$F$4,$AH34=$F$5),$B$22,0))</f>
        <v>247.8</v>
      </c>
      <c r="AM34" s="20" cm="1">
        <f t="array" ref="AM34">$G$3+IFERROR(VLOOKUP($AH34,$F$4:$G$7,2,FALSE),0)+VLOOKUP($R34,武学奇术!$A:$ZZ,2,FALSE)+SUM(_xlfn.XLOOKUP($S34:$AG34,增益!$A:$A,增益!$B:$B,0))</f>
        <v>0.6391</v>
      </c>
      <c r="AN34" s="20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1548.52</v>
      </c>
      <c r="AP34" cm="1">
        <f t="array" ref="AP34">$E$10*(1+$AN34)+VLOOKUP($R34,武学奇术!$A:$ZZ,4,FALSE)+SUM(_xlfn.XLOOKUP($S34:$AG34,增益!$A:$A,增益!$D:$D,0))-$I$2</f>
        <v>6659.56</v>
      </c>
      <c r="AQ34" s="29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0.2425</v>
      </c>
      <c r="AR34" s="29" cm="1">
        <f t="array" ref="AR34">$G$10+VLOOKUP($R34,武学奇术!$A:$ZZ,7,FALSE)+SUM(_xlfn.XLOOKUP(S34:AG34,增益!$A:$A,增益!$G:$G,0))</f>
        <v>0</v>
      </c>
      <c r="AS34" s="20" cm="1">
        <f t="array" ref="AS34">VLOOKUP($R34,武学奇术!$A:$ZZ,8,FALSE)+SUM(_xlfn.XLOOKUP(S34:AG34,增益!$A:$A,增益!$H:$H,0))</f>
        <v>0</v>
      </c>
      <c r="AT34">
        <f t="shared" si="1"/>
        <v>538</v>
      </c>
      <c r="AU34">
        <f t="shared" si="2"/>
        <v>1011</v>
      </c>
      <c r="AV34" s="29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</v>
      </c>
      <c r="AW34" s="29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29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29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29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29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29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29" cm="1">
        <f t="array" ref="BI34">$G$14+VLOOKUP($R34,武学奇术!$A:$ZZ,16,FALSE)+SUM(_xlfn.XLOOKUP(S34:AG34,增益!$A:$A,增益!$P:$P,0))</f>
        <v>0</v>
      </c>
      <c r="BJ34" s="20">
        <f>MIN(IF(VLOOKUP($R34,武学奇术!$A:$ZZ,23,FALSE)=1,100%,$B$8),100%)</f>
        <v>0.8271</v>
      </c>
      <c r="BK34" s="20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0.2249</v>
      </c>
      <c r="BL34" s="20" cm="1">
        <f t="array" ref="BL34">1+$B$13+VLOOKUP($R34,武学奇术!$A:$ZZ,18,FALSE)+SUM(_xlfn.XLOOKUP(S34:AG34,增益!$A:$A,增益!$R:$R,0))</f>
        <v>1.5</v>
      </c>
      <c r="BM34" s="20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0.4459</v>
      </c>
      <c r="BN34" s="20" cm="1">
        <f t="array" ref="BN34">1+$B$14+VLOOKUP($R34,武学奇术!$A:$ZZ,20,FALSE)+SUM(_xlfn.XLOOKUP(S34:AG34,增益!$A:$A,增益!$T:$T,0))</f>
        <v>1.582</v>
      </c>
      <c r="BO34" s="20">
        <f t="shared" si="9"/>
        <v>0.18601479</v>
      </c>
      <c r="BP34" s="20">
        <f t="shared" si="10"/>
        <v>0.27228132</v>
      </c>
      <c r="BQ34" s="20">
        <f>IF(VLOOKUP($R34,武学奇术!$A:$ZZ,22,FALSE)=1,0,(1-$BJ34))*(1-$BM34)</f>
        <v>0.09580389</v>
      </c>
      <c r="BR34" s="20" cm="1">
        <f t="array" ref="BR34">SUM(_xlfn.XLOOKUP(S34:AG34,增益!$A:$A,增益!$W:$W,0))+$I$5</f>
        <v>0.11</v>
      </c>
    </row>
    <row r="35" spans="5:70">
      <c r="K35" s="27">
        <f>$L35*VLOOKUP($R35,武学奇术!$A:$ZZ,31,FALSE)</f>
        <v>65163.7405553409</v>
      </c>
      <c r="L35" s="27">
        <f t="shared" si="0"/>
        <v>108606.234258902</v>
      </c>
      <c r="M35" s="27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89687.4709676233</v>
      </c>
      <c r="N35" s="27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163938.171363765</v>
      </c>
      <c r="O35" s="27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59791.6473117489</v>
      </c>
      <c r="P35" s="27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26542.3347121667</v>
      </c>
      <c r="Q35" s="35">
        <v>1</v>
      </c>
      <c r="R35" s="36" t="s">
        <v>105</v>
      </c>
      <c r="S35" s="36" t="s">
        <v>71</v>
      </c>
      <c r="T35" s="36" t="s">
        <v>99</v>
      </c>
      <c r="U35" s="36" t="s">
        <v>100</v>
      </c>
      <c r="V35" s="36" t="s">
        <v>101</v>
      </c>
      <c r="W35" s="36" t="s">
        <v>111</v>
      </c>
      <c r="X35" s="36" t="s">
        <v>71</v>
      </c>
      <c r="Y35" s="36" t="s">
        <v>71</v>
      </c>
      <c r="Z35" s="36" t="s">
        <v>71</v>
      </c>
      <c r="AA35" s="36" t="s">
        <v>71</v>
      </c>
      <c r="AB35" s="36" t="s">
        <v>71</v>
      </c>
      <c r="AC35" s="36" t="s">
        <v>71</v>
      </c>
      <c r="AD35" s="36" t="s">
        <v>72</v>
      </c>
      <c r="AE35" s="36" t="s">
        <v>94</v>
      </c>
      <c r="AF35" s="36" t="s">
        <v>148</v>
      </c>
      <c r="AG35" s="36" t="s">
        <v>120</v>
      </c>
      <c r="AH35" t="str">
        <f>VLOOKUP($R35,武学奇术!$A:$ZZ,25,FALSE)</f>
        <v>剑</v>
      </c>
      <c r="AI35" s="20">
        <f>VLOOKUP($R35,武学奇术!$A:$ZZ,26,FALSE)</f>
        <v>2.496</v>
      </c>
      <c r="AJ35" s="21">
        <f>VLOOKUP($R35,武学奇术!$A:$ZZ,27,FALSE)*(1+IF(OR($AH35=$F$4,$AH35=$F$5),$B$22,0))</f>
        <v>0</v>
      </c>
      <c r="AK35" s="20">
        <f>VLOOKUP($R35,武学奇术!$A:$ZZ,28,FALSE)</f>
        <v>3.744</v>
      </c>
      <c r="AL35" s="21">
        <f>VLOOKUP($R35,武学奇术!$A:$ZZ,29,FALSE)*(1+IF(OR($AH35=$F$4,$AH35=$F$5),$B$22,0))</f>
        <v>0</v>
      </c>
      <c r="AM35" s="20" cm="1">
        <f t="array" ref="AM35">$G$3+IFERROR(VLOOKUP($AH35,$F$4:$G$7,2,FALSE),0)+VLOOKUP($R35,武学奇术!$A:$ZZ,2,FALSE)+SUM(_xlfn.XLOOKUP($S35:$AG35,增益!$A:$A,增益!$B:$B,0))</f>
        <v>1.3891</v>
      </c>
      <c r="AN35" s="20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1548.52</v>
      </c>
      <c r="AP35" cm="1">
        <f t="array" ref="AP35">$E$10*(1+$AN35)+VLOOKUP($R35,武学奇术!$A:$ZZ,4,FALSE)+SUM(_xlfn.XLOOKUP($S35:$AG35,增益!$A:$A,增益!$D:$D,0))-$I$2</f>
        <v>6659.56</v>
      </c>
      <c r="AQ35" s="29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0.3175</v>
      </c>
      <c r="AR35" s="29" cm="1">
        <f t="array" ref="AR35">$G$10+VLOOKUP($R35,武学奇术!$A:$ZZ,7,FALSE)+SUM(_xlfn.XLOOKUP(S35:AG35,增益!$A:$A,增益!$G:$G,0))</f>
        <v>0</v>
      </c>
      <c r="AS35" s="20" cm="1">
        <f t="array" ref="AS35">VLOOKUP($R35,武学奇术!$A:$ZZ,8,FALSE)+SUM(_xlfn.XLOOKUP(S35:AG35,增益!$A:$A,增益!$H:$H,0))</f>
        <v>0</v>
      </c>
      <c r="AT35">
        <f t="shared" si="1"/>
        <v>538</v>
      </c>
      <c r="AU35">
        <f t="shared" si="2"/>
        <v>1011</v>
      </c>
      <c r="AV35" s="29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0.075</v>
      </c>
      <c r="AW35" s="29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29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29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29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29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29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29" cm="1">
        <f t="array" ref="BI35">$G$14+VLOOKUP($R35,武学奇术!$A:$ZZ,16,FALSE)+SUM(_xlfn.XLOOKUP(S35:AG35,增益!$A:$A,增益!$P:$P,0))</f>
        <v>0</v>
      </c>
      <c r="BJ35" s="20">
        <f>MIN(IF(VLOOKUP($R35,武学奇术!$A:$ZZ,23,FALSE)=1,100%,$B$8),100%)</f>
        <v>0.8271</v>
      </c>
      <c r="BK35" s="20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0.2249</v>
      </c>
      <c r="BL35" s="20" cm="1">
        <f t="array" ref="BL35">1+$B$13+VLOOKUP($R35,武学奇术!$A:$ZZ,18,FALSE)+SUM(_xlfn.XLOOKUP(S35:AG35,增益!$A:$A,增益!$R:$R,0))</f>
        <v>1.5</v>
      </c>
      <c r="BM35" s="20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0.4459</v>
      </c>
      <c r="BN35" s="20" cm="1">
        <f t="array" ref="BN35">1+$B$14+VLOOKUP($R35,武学奇术!$A:$ZZ,20,FALSE)+SUM(_xlfn.XLOOKUP(S35:AG35,增益!$A:$A,增益!$T:$T,0))</f>
        <v>1.762</v>
      </c>
      <c r="BO35" s="20">
        <f t="shared" si="9"/>
        <v>0.18601479</v>
      </c>
      <c r="BP35" s="20">
        <f t="shared" si="10"/>
        <v>0.27228132</v>
      </c>
      <c r="BQ35" s="20">
        <f>IF(VLOOKUP($R35,武学奇术!$A:$ZZ,22,FALSE)=1,0,(1-$BJ35))*(1-$BM35)</f>
        <v>0.09580389</v>
      </c>
      <c r="BR35" s="20" cm="1">
        <f t="array" ref="BR35">SUM(_xlfn.XLOOKUP(S35:AG35,增益!$A:$A,增益!$W:$W,0))+$I$5</f>
        <v>0.11</v>
      </c>
    </row>
    <row r="36" spans="5:70">
      <c r="K36" s="27">
        <f>$L36*VLOOKUP($R36,武学奇术!$A:$ZZ,31,FALSE)</f>
        <v>65163.7405553409</v>
      </c>
      <c r="L36" s="27">
        <f t="shared" si="0"/>
        <v>108606.234258902</v>
      </c>
      <c r="M36" s="27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89687.4709676233</v>
      </c>
      <c r="N36" s="27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163938.171363765</v>
      </c>
      <c r="O36" s="27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59791.6473117489</v>
      </c>
      <c r="P36" s="27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26542.3347121667</v>
      </c>
      <c r="Q36" s="35">
        <v>1</v>
      </c>
      <c r="R36" s="36" t="s">
        <v>105</v>
      </c>
      <c r="S36" s="36" t="s">
        <v>71</v>
      </c>
      <c r="T36" s="36" t="s">
        <v>99</v>
      </c>
      <c r="U36" s="36" t="s">
        <v>100</v>
      </c>
      <c r="V36" s="36" t="s">
        <v>101</v>
      </c>
      <c r="W36" s="36" t="s">
        <v>111</v>
      </c>
      <c r="X36" s="36" t="s">
        <v>71</v>
      </c>
      <c r="Y36" s="36" t="s">
        <v>71</v>
      </c>
      <c r="Z36" s="36" t="s">
        <v>71</v>
      </c>
      <c r="AA36" s="36" t="s">
        <v>71</v>
      </c>
      <c r="AB36" s="36" t="s">
        <v>71</v>
      </c>
      <c r="AC36" s="36" t="s">
        <v>71</v>
      </c>
      <c r="AD36" s="36" t="s">
        <v>72</v>
      </c>
      <c r="AE36" s="36" t="s">
        <v>94</v>
      </c>
      <c r="AF36" s="36" t="s">
        <v>148</v>
      </c>
      <c r="AG36" s="36" t="s">
        <v>120</v>
      </c>
      <c r="AH36" t="str">
        <f>VLOOKUP($R36,武学奇术!$A:$ZZ,25,FALSE)</f>
        <v>剑</v>
      </c>
      <c r="AI36" s="20">
        <f>VLOOKUP($R36,武学奇术!$A:$ZZ,26,FALSE)</f>
        <v>2.496</v>
      </c>
      <c r="AJ36" s="21">
        <f>VLOOKUP($R36,武学奇术!$A:$ZZ,27,FALSE)*(1+IF(OR($AH36=$F$4,$AH36=$F$5),$B$22,0))</f>
        <v>0</v>
      </c>
      <c r="AK36" s="20">
        <f>VLOOKUP($R36,武学奇术!$A:$ZZ,28,FALSE)</f>
        <v>3.744</v>
      </c>
      <c r="AL36" s="21">
        <f>VLOOKUP($R36,武学奇术!$A:$ZZ,29,FALSE)*(1+IF(OR($AH36=$F$4,$AH36=$F$5),$B$22,0))</f>
        <v>0</v>
      </c>
      <c r="AM36" s="20" cm="1">
        <f t="array" ref="AM36">$G$3+IFERROR(VLOOKUP($AH36,$F$4:$G$7,2,FALSE),0)+VLOOKUP($R36,武学奇术!$A:$ZZ,2,FALSE)+SUM(_xlfn.XLOOKUP($S36:$AG36,增益!$A:$A,增益!$B:$B,0))</f>
        <v>1.3891</v>
      </c>
      <c r="AN36" s="20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1548.52</v>
      </c>
      <c r="AP36" cm="1">
        <f t="array" ref="AP36">$E$10*(1+$AN36)+VLOOKUP($R36,武学奇术!$A:$ZZ,4,FALSE)+SUM(_xlfn.XLOOKUP($S36:$AG36,增益!$A:$A,增益!$D:$D,0))-$I$2</f>
        <v>6659.56</v>
      </c>
      <c r="AQ36" s="29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0.3175</v>
      </c>
      <c r="AR36" s="29" cm="1">
        <f t="array" ref="AR36">$G$10+VLOOKUP($R36,武学奇术!$A:$ZZ,7,FALSE)+SUM(_xlfn.XLOOKUP(S36:AG36,增益!$A:$A,增益!$G:$G,0))</f>
        <v>0</v>
      </c>
      <c r="AS36" s="20" cm="1">
        <f t="array" ref="AS36">VLOOKUP($R36,武学奇术!$A:$ZZ,8,FALSE)+SUM(_xlfn.XLOOKUP(S36:AG36,增益!$A:$A,增益!$H:$H,0))</f>
        <v>0</v>
      </c>
      <c r="AT36">
        <f t="shared" si="1"/>
        <v>538</v>
      </c>
      <c r="AU36">
        <f t="shared" si="2"/>
        <v>1011</v>
      </c>
      <c r="AV36" s="29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0.075</v>
      </c>
      <c r="AW36" s="29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29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29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29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29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29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29" cm="1">
        <f t="array" ref="BI36">$G$14+VLOOKUP($R36,武学奇术!$A:$ZZ,16,FALSE)+SUM(_xlfn.XLOOKUP(S36:AG36,增益!$A:$A,增益!$P:$P,0))</f>
        <v>0</v>
      </c>
      <c r="BJ36" s="20">
        <f>MIN(IF(VLOOKUP($R36,武学奇术!$A:$ZZ,23,FALSE)=1,100%,$B$8),100%)</f>
        <v>0.8271</v>
      </c>
      <c r="BK36" s="20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0.2249</v>
      </c>
      <c r="BL36" s="20" cm="1">
        <f t="array" ref="BL36">1+$B$13+VLOOKUP($R36,武学奇术!$A:$ZZ,18,FALSE)+SUM(_xlfn.XLOOKUP(S36:AG36,增益!$A:$A,增益!$R:$R,0))</f>
        <v>1.5</v>
      </c>
      <c r="BM36" s="20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0.4459</v>
      </c>
      <c r="BN36" s="20" cm="1">
        <f t="array" ref="BN36">1+$B$14+VLOOKUP($R36,武学奇术!$A:$ZZ,20,FALSE)+SUM(_xlfn.XLOOKUP(S36:AG36,增益!$A:$A,增益!$T:$T,0))</f>
        <v>1.762</v>
      </c>
      <c r="BO36" s="20">
        <f t="shared" si="9"/>
        <v>0.18601479</v>
      </c>
      <c r="BP36" s="20">
        <f t="shared" si="10"/>
        <v>0.27228132</v>
      </c>
      <c r="BQ36" s="20">
        <f>IF(VLOOKUP($R36,武学奇术!$A:$ZZ,22,FALSE)=1,0,(1-$BJ36))*(1-$BM36)</f>
        <v>0.09580389</v>
      </c>
      <c r="BR36" s="20" cm="1">
        <f t="array" ref="BR36">SUM(_xlfn.XLOOKUP(S36:AG36,增益!$A:$A,增益!$W:$W,0))+$I$5</f>
        <v>0.11</v>
      </c>
    </row>
    <row r="37" spans="5:70">
      <c r="K37" s="27">
        <f>$L37*VLOOKUP($R37,武学奇术!$A:$ZZ,31,FALSE)</f>
        <v>12381.2596713947</v>
      </c>
      <c r="L37" s="27">
        <f t="shared" si="0"/>
        <v>12381.2596713947</v>
      </c>
      <c r="M37" s="27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10976.5864405896</v>
      </c>
      <c r="N37" s="27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18022.5686063264</v>
      </c>
      <c r="O37" s="27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7317.72429372638</v>
      </c>
      <c r="P37" s="27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3243.18018901631</v>
      </c>
      <c r="Q37" s="35">
        <v>1</v>
      </c>
      <c r="R37" s="36" t="s">
        <v>107</v>
      </c>
      <c r="S37" s="36" t="s">
        <v>71</v>
      </c>
      <c r="T37" s="36" t="s">
        <v>93</v>
      </c>
      <c r="U37" s="36" t="s">
        <v>71</v>
      </c>
      <c r="V37" s="36" t="s">
        <v>71</v>
      </c>
      <c r="W37" s="36" t="s">
        <v>111</v>
      </c>
      <c r="X37" s="36" t="s">
        <v>71</v>
      </c>
      <c r="Y37" s="36" t="s">
        <v>71</v>
      </c>
      <c r="Z37" s="36" t="s">
        <v>71</v>
      </c>
      <c r="AA37" s="36" t="s">
        <v>71</v>
      </c>
      <c r="AB37" s="36" t="s">
        <v>71</v>
      </c>
      <c r="AC37" s="36" t="s">
        <v>71</v>
      </c>
      <c r="AD37" s="36" t="s">
        <v>72</v>
      </c>
      <c r="AE37" s="36" t="s">
        <v>94</v>
      </c>
      <c r="AF37" s="36" t="s">
        <v>148</v>
      </c>
      <c r="AG37" s="36" t="s">
        <v>120</v>
      </c>
      <c r="AH37" t="str">
        <f>VLOOKUP($R37,武学奇术!$A:$ZZ,25,FALSE)</f>
        <v>剑</v>
      </c>
      <c r="AI37" s="20">
        <f>VLOOKUP($R37,武学奇术!$A:$ZZ,26,FALSE)</f>
        <v>0.625</v>
      </c>
      <c r="AJ37" s="21">
        <f>VLOOKUP($R37,武学奇术!$A:$ZZ,27,FALSE)*(1+IF(OR($AH37=$F$4,$AH37=$F$5),$B$22,0))</f>
        <v>0</v>
      </c>
      <c r="AK37" s="20">
        <f>VLOOKUP($R37,武学奇术!$A:$ZZ,28,FALSE)</f>
        <v>0.9375</v>
      </c>
      <c r="AL37" s="21">
        <f>VLOOKUP($R37,武学奇术!$A:$ZZ,29,FALSE)*(1+IF(OR($AH37=$F$4,$AH37=$F$5),$B$22,0))</f>
        <v>0</v>
      </c>
      <c r="AM37" s="20" cm="1">
        <f t="array" ref="AM37">$G$3+IFERROR(VLOOKUP($AH37,$F$4:$G$7,2,FALSE),0)+VLOOKUP($R37,武学奇术!$A:$ZZ,2,FALSE)+SUM(_xlfn.XLOOKUP($S37:$AG37,增益!$A:$A,增益!$B:$B,0))</f>
        <v>0.6391</v>
      </c>
      <c r="AN37" s="20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1548.52</v>
      </c>
      <c r="AP37" cm="1">
        <f t="array" ref="AP37">$E$10*(1+$AN37)+VLOOKUP($R37,武学奇术!$A:$ZZ,4,FALSE)+SUM(_xlfn.XLOOKUP($S37:$AG37,增益!$A:$A,增益!$D:$D,0))-$I$2</f>
        <v>6659.56</v>
      </c>
      <c r="AQ37" s="29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0.2425</v>
      </c>
      <c r="AR37" s="29" cm="1">
        <f t="array" ref="AR37">$G$10+VLOOKUP($R37,武学奇术!$A:$ZZ,7,FALSE)+SUM(_xlfn.XLOOKUP(S37:AG37,增益!$A:$A,增益!$G:$G,0))</f>
        <v>0</v>
      </c>
      <c r="AS37" s="20" cm="1">
        <f t="array" ref="AS37">VLOOKUP($R37,武学奇术!$A:$ZZ,8,FALSE)+SUM(_xlfn.XLOOKUP(S37:AG37,增益!$A:$A,增益!$H:$H,0))</f>
        <v>0</v>
      </c>
      <c r="AT37">
        <f t="shared" si="1"/>
        <v>538</v>
      </c>
      <c r="AU37">
        <f t="shared" si="2"/>
        <v>1011</v>
      </c>
      <c r="AV37" s="29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</v>
      </c>
      <c r="AW37" s="29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29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29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29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29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29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29" cm="1">
        <f t="array" ref="BI37">$G$14+VLOOKUP($R37,武学奇术!$A:$ZZ,16,FALSE)+SUM(_xlfn.XLOOKUP(S37:AG37,增益!$A:$A,增益!$P:$P,0))</f>
        <v>0</v>
      </c>
      <c r="BJ37" s="20">
        <f>MIN(IF(VLOOKUP($R37,武学奇术!$A:$ZZ,23,FALSE)=1,100%,$B$8),100%)</f>
        <v>0.8271</v>
      </c>
      <c r="BK37" s="20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0.2249</v>
      </c>
      <c r="BL37" s="20" cm="1">
        <f t="array" ref="BL37">1+$B$13+VLOOKUP($R37,武学奇术!$A:$ZZ,18,FALSE)+SUM(_xlfn.XLOOKUP(S37:AG37,增益!$A:$A,增益!$R:$R,0))</f>
        <v>1.5</v>
      </c>
      <c r="BM37" s="20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0.4459</v>
      </c>
      <c r="BN37" s="20" cm="1">
        <f t="array" ref="BN37">1+$B$14+VLOOKUP($R37,武学奇术!$A:$ZZ,20,FALSE)+SUM(_xlfn.XLOOKUP(S37:AG37,增益!$A:$A,增益!$T:$T,0))</f>
        <v>1.582</v>
      </c>
      <c r="BO37" s="20">
        <f t="shared" si="9"/>
        <v>0.18601479</v>
      </c>
      <c r="BP37" s="20">
        <f t="shared" si="10"/>
        <v>0.27228132</v>
      </c>
      <c r="BQ37" s="20">
        <f>IF(VLOOKUP($R37,武学奇术!$A:$ZZ,22,FALSE)=1,0,(1-$BJ37))*(1-$BM37)</f>
        <v>0.09580389</v>
      </c>
      <c r="BR37" s="20" cm="1">
        <f t="array" ref="BR37">SUM(_xlfn.XLOOKUP(S37:AG37,增益!$A:$A,增益!$W:$W,0))+$I$5</f>
        <v>0.11</v>
      </c>
    </row>
    <row r="38" spans="5:70">
      <c r="K38" s="27">
        <f>$L38*VLOOKUP($R38,武学奇术!$A:$ZZ,31,FALSE)</f>
        <v>12295.7699964493</v>
      </c>
      <c r="L38" s="27">
        <f t="shared" si="0"/>
        <v>12295.7699964493</v>
      </c>
      <c r="M38" s="27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11183.950767208</v>
      </c>
      <c r="N38" s="27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17516.8994633503</v>
      </c>
      <c r="O38" s="27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7455.96717813865</v>
      </c>
      <c r="P38" s="27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3908.85680392161</v>
      </c>
      <c r="Q38" s="35">
        <v>1</v>
      </c>
      <c r="R38" s="36" t="s">
        <v>149</v>
      </c>
      <c r="S38" s="36" t="s">
        <v>71</v>
      </c>
      <c r="T38" s="36" t="s">
        <v>93</v>
      </c>
      <c r="U38" s="36" t="s">
        <v>71</v>
      </c>
      <c r="V38" s="36" t="s">
        <v>71</v>
      </c>
      <c r="W38" s="36" t="s">
        <v>111</v>
      </c>
      <c r="X38" s="36" t="s">
        <v>71</v>
      </c>
      <c r="Y38" s="36" t="s">
        <v>71</v>
      </c>
      <c r="Z38" s="36" t="s">
        <v>71</v>
      </c>
      <c r="AA38" s="36" t="s">
        <v>71</v>
      </c>
      <c r="AB38" s="36" t="s">
        <v>71</v>
      </c>
      <c r="AC38" s="36" t="s">
        <v>71</v>
      </c>
      <c r="AD38" s="36" t="s">
        <v>72</v>
      </c>
      <c r="AE38" s="36" t="s">
        <v>94</v>
      </c>
      <c r="AF38" s="36" t="s">
        <v>150</v>
      </c>
      <c r="AG38" s="36" t="s">
        <v>120</v>
      </c>
      <c r="AH38" t="str">
        <f>VLOOKUP($R38,武学奇术!$A:$ZZ,25,FALSE)</f>
        <v>剑</v>
      </c>
      <c r="AI38" s="20">
        <f>VLOOKUP($R38,武学奇术!$A:$ZZ,26,FALSE)</f>
        <v>0.5441</v>
      </c>
      <c r="AJ38" s="21">
        <f>VLOOKUP($R38,武学奇术!$A:$ZZ,27,FALSE)*(1+IF(OR($AH38=$F$4,$AH38=$F$5),$B$22,0))</f>
        <v>273</v>
      </c>
      <c r="AK38" s="20">
        <f>VLOOKUP($R38,武学奇术!$A:$ZZ,28,FALSE)</f>
        <v>0.8161</v>
      </c>
      <c r="AL38" s="21">
        <f>VLOOKUP($R38,武学奇术!$A:$ZZ,29,FALSE)*(1+IF(OR($AH38=$F$4,$AH38=$F$5),$B$22,0))</f>
        <v>149.24</v>
      </c>
      <c r="AM38" s="20" cm="1">
        <f t="array" ref="AM38">$G$3+IFERROR(VLOOKUP($AH38,$F$4:$G$7,2,FALSE),0)+VLOOKUP($R38,武学奇术!$A:$ZZ,2,FALSE)+SUM(_xlfn.XLOOKUP($S38:$AG38,增益!$A:$A,增益!$B:$B,0))</f>
        <v>0.6391</v>
      </c>
      <c r="AN38" s="20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1548.52</v>
      </c>
      <c r="AP38" cm="1">
        <f t="array" ref="AP38">$E$10*(1+$AN38)+VLOOKUP($R38,武学奇术!$A:$ZZ,4,FALSE)+SUM(_xlfn.XLOOKUP($S38:$AG38,增益!$A:$A,增益!$D:$D,0))-$I$2</f>
        <v>6659.56</v>
      </c>
      <c r="AQ38" s="29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0.2425</v>
      </c>
      <c r="AR38" s="29" cm="1">
        <f t="array" ref="AR38">$G$10+VLOOKUP($R38,武学奇术!$A:$ZZ,7,FALSE)+SUM(_xlfn.XLOOKUP(S38:AG38,增益!$A:$A,增益!$G:$G,0))</f>
        <v>0</v>
      </c>
      <c r="AS38" s="20" cm="1">
        <f t="array" ref="AS38">VLOOKUP($R38,武学奇术!$A:$ZZ,8,FALSE)+SUM(_xlfn.XLOOKUP(S38:AG38,增益!$A:$A,增益!$H:$H,0))</f>
        <v>0</v>
      </c>
      <c r="AT38">
        <f t="shared" si="1"/>
        <v>538</v>
      </c>
      <c r="AU38">
        <f t="shared" si="2"/>
        <v>1011</v>
      </c>
      <c r="AV38" s="29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</v>
      </c>
      <c r="AW38" s="29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29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29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29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29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29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29" cm="1">
        <f t="array" ref="BI38">$G$14+VLOOKUP($R38,武学奇术!$A:$ZZ,16,FALSE)+SUM(_xlfn.XLOOKUP(S38:AG38,增益!$A:$A,增益!$P:$P,0))</f>
        <v>0</v>
      </c>
      <c r="BJ38" s="20">
        <f>MIN(IF(VLOOKUP($R38,武学奇术!$A:$ZZ,23,FALSE)=1,100%,$B$8),100%)</f>
        <v>0.8271</v>
      </c>
      <c r="BK38" s="20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0.2249</v>
      </c>
      <c r="BL38" s="20" cm="1">
        <f t="array" ref="BL38">1+$B$13+VLOOKUP($R38,武学奇术!$A:$ZZ,18,FALSE)+SUM(_xlfn.XLOOKUP(S38:AG38,增益!$A:$A,增益!$R:$R,0))</f>
        <v>1.5</v>
      </c>
      <c r="BM38" s="20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0.4459</v>
      </c>
      <c r="BN38" s="20" cm="1">
        <f t="array" ref="BN38">1+$B$14+VLOOKUP($R38,武学奇术!$A:$ZZ,20,FALSE)+SUM(_xlfn.XLOOKUP(S38:AG38,增益!$A:$A,增益!$T:$T,0))</f>
        <v>1.592</v>
      </c>
      <c r="BO38" s="20">
        <f t="shared" si="9"/>
        <v>0.18601479</v>
      </c>
      <c r="BP38" s="20">
        <f t="shared" si="10"/>
        <v>0.27228132</v>
      </c>
      <c r="BQ38" s="20">
        <f>IF(VLOOKUP($R38,武学奇术!$A:$ZZ,22,FALSE)=1,0,(1-$BJ38))*(1-$BM38)</f>
        <v>0.09580389</v>
      </c>
      <c r="BR38" s="20" cm="1">
        <f t="array" ref="BR38">SUM(_xlfn.XLOOKUP(S38:AG38,增益!$A:$A,增益!$W:$W,0))+$I$5</f>
        <v>0.11</v>
      </c>
    </row>
    <row r="39" spans="5:70">
      <c r="E39" s="4"/>
      <c r="F39" s="4"/>
      <c r="K39" s="27">
        <f>$L39*VLOOKUP($R39,武学奇术!$A:$ZZ,31,FALSE)</f>
        <v>818372.200272201</v>
      </c>
      <c r="L39" s="27">
        <f t="shared" si="0"/>
        <v>818372.200272201</v>
      </c>
      <c r="M39" s="27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703322.399571585</v>
      </c>
      <c r="N39" s="27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1154867.57057096</v>
      </c>
      <c r="O39" s="27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468881.59971439</v>
      </c>
      <c r="P39" s="27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216872.081719069</v>
      </c>
      <c r="Q39" s="35">
        <v>1</v>
      </c>
      <c r="R39" s="36" t="s">
        <v>151</v>
      </c>
      <c r="S39" s="36" t="s">
        <v>152</v>
      </c>
      <c r="T39" s="36" t="s">
        <v>93</v>
      </c>
      <c r="U39" s="36" t="s">
        <v>71</v>
      </c>
      <c r="V39" s="36" t="s">
        <v>71</v>
      </c>
      <c r="W39" s="36" t="s">
        <v>111</v>
      </c>
      <c r="X39" s="36" t="s">
        <v>71</v>
      </c>
      <c r="Y39" s="36" t="s">
        <v>71</v>
      </c>
      <c r="Z39" s="36" t="s">
        <v>71</v>
      </c>
      <c r="AA39" s="36" t="s">
        <v>71</v>
      </c>
      <c r="AB39" s="36" t="s">
        <v>71</v>
      </c>
      <c r="AC39" s="36" t="s">
        <v>71</v>
      </c>
      <c r="AD39" s="36" t="s">
        <v>72</v>
      </c>
      <c r="AE39" s="36" t="s">
        <v>94</v>
      </c>
      <c r="AF39" s="36" t="s">
        <v>154</v>
      </c>
      <c r="AG39" s="36" t="s">
        <v>120</v>
      </c>
      <c r="AH39" t="str">
        <f>VLOOKUP($R39,武学奇术!$A:$ZZ,25,FALSE)</f>
        <v>单体奇术</v>
      </c>
      <c r="AI39" s="20">
        <f>VLOOKUP($R39,武学奇术!$A:$ZZ,26,FALSE)</f>
        <v>25.200406</v>
      </c>
      <c r="AJ39" s="21">
        <f>VLOOKUP($R39,武学奇术!$A:$ZZ,27,FALSE)*(1+IF(OR($AH39=$F$4,$AH39=$F$5),$B$22,0))</f>
        <v>4695.46</v>
      </c>
      <c r="AK39" s="20">
        <f>VLOOKUP($R39,武学奇术!$A:$ZZ,28,FALSE)</f>
        <v>37.800609</v>
      </c>
      <c r="AL39" s="21">
        <f>VLOOKUP($R39,武学奇术!$A:$ZZ,29,FALSE)*(1+IF(OR($AH39=$F$4,$AH39=$F$5),$B$22,0))</f>
        <v>0</v>
      </c>
      <c r="AM39" s="20" cm="1">
        <f t="array" ref="AM39">$G$3+IFERROR(VLOOKUP($AH39,$F$4:$G$7,2,FALSE),0)+VLOOKUP($R39,武学奇术!$A:$ZZ,2,FALSE)+SUM(_xlfn.XLOOKUP($S39:$AG39,增益!$A:$A,增益!$B:$B,0))</f>
        <v>1.3065</v>
      </c>
      <c r="AN39" s="20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1548.52</v>
      </c>
      <c r="AP39" cm="1">
        <f t="array" ref="AP39">$E$10*(1+$AN39)+VLOOKUP($R39,武学奇术!$A:$ZZ,4,FALSE)+SUM(_xlfn.XLOOKUP($S39:$AG39,增益!$A:$A,增益!$D:$D,0))-$I$2</f>
        <v>6659.56</v>
      </c>
      <c r="AQ39" s="29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0.2425</v>
      </c>
      <c r="AR39" s="29" cm="1">
        <f t="array" ref="AR39">$G$10+VLOOKUP($R39,武学奇术!$A:$ZZ,7,FALSE)+SUM(_xlfn.XLOOKUP(S39:AG39,增益!$A:$A,增益!$G:$G,0))</f>
        <v>0</v>
      </c>
      <c r="AS39" s="20" cm="1">
        <f t="array" ref="AS39">VLOOKUP($R39,武学奇术!$A:$ZZ,8,FALSE)+SUM(_xlfn.XLOOKUP(S39:AG39,增益!$A:$A,增益!$H:$H,0))</f>
        <v>0</v>
      </c>
      <c r="AT39">
        <f t="shared" si="1"/>
        <v>538</v>
      </c>
      <c r="AU39">
        <f t="shared" si="2"/>
        <v>1011</v>
      </c>
      <c r="AV39" s="29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</v>
      </c>
      <c r="AW39" s="29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29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29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29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29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29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29" cm="1">
        <f t="array" ref="BI39">$G$14+VLOOKUP($R39,武学奇术!$A:$ZZ,16,FALSE)+SUM(_xlfn.XLOOKUP(S39:AG39,增益!$A:$A,增益!$P:$P,0))</f>
        <v>0</v>
      </c>
      <c r="BJ39" s="20">
        <f>MIN(IF(VLOOKUP($R39,武学奇术!$A:$ZZ,23,FALSE)=1,100%,$B$8),100%)</f>
        <v>0.8271</v>
      </c>
      <c r="BK39" s="20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0.2249</v>
      </c>
      <c r="BL39" s="20" cm="1">
        <f t="array" ref="BL39">1+$B$13+VLOOKUP($R39,武学奇术!$A:$ZZ,18,FALSE)+SUM(_xlfn.XLOOKUP(S39:AG39,增益!$A:$A,增益!$R:$R,0))</f>
        <v>1.5</v>
      </c>
      <c r="BM39" s="20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0.4459</v>
      </c>
      <c r="BN39" s="20" cm="1">
        <f t="array" ref="BN39">1+$B$14+VLOOKUP($R39,武学奇术!$A:$ZZ,20,FALSE)+SUM(_xlfn.XLOOKUP(S39:AG39,增益!$A:$A,增益!$T:$T,0))</f>
        <v>1.602</v>
      </c>
      <c r="BO39" s="20">
        <f t="shared" si="9"/>
        <v>0.18601479</v>
      </c>
      <c r="BP39" s="20">
        <f t="shared" si="10"/>
        <v>0.36808521</v>
      </c>
      <c r="BQ39" s="20">
        <f>IF(VLOOKUP($R39,武学奇术!$A:$ZZ,22,FALSE)=1,0,(1-$BJ39))*(1-$BM39)</f>
        <v>0</v>
      </c>
      <c r="BR39" s="20" cm="1">
        <f t="array" ref="BR39">SUM(_xlfn.XLOOKUP(S39:AG39,增益!$A:$A,增益!$W:$W,0))+$I$5</f>
        <v>0.21</v>
      </c>
    </row>
    <row r="40" spans="5:70">
      <c r="K40" s="27">
        <f>$L40*VLOOKUP($R40,武学奇术!$A:$ZZ,31,FALSE)</f>
        <v>28335.0052580239</v>
      </c>
      <c r="L40" s="27">
        <f t="shared" si="0"/>
        <v>28335.0052580239</v>
      </c>
      <c r="M40" s="27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25513.2606229572</v>
      </c>
      <c r="N40" s="27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40660.5922140283</v>
      </c>
      <c r="O40" s="27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17008.8404153048</v>
      </c>
      <c r="P40" s="27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8636.53712647211</v>
      </c>
      <c r="Q40" s="35">
        <v>1</v>
      </c>
      <c r="R40" s="36" t="s">
        <v>92</v>
      </c>
      <c r="S40" s="36" t="s">
        <v>152</v>
      </c>
      <c r="T40" s="36" t="s">
        <v>93</v>
      </c>
      <c r="U40" s="36" t="s">
        <v>71</v>
      </c>
      <c r="V40" s="36" t="s">
        <v>71</v>
      </c>
      <c r="W40" s="36" t="s">
        <v>111</v>
      </c>
      <c r="X40" s="36" t="s">
        <v>71</v>
      </c>
      <c r="Y40" s="36" t="s">
        <v>71</v>
      </c>
      <c r="Z40" s="36" t="s">
        <v>71</v>
      </c>
      <c r="AA40" s="36" t="s">
        <v>71</v>
      </c>
      <c r="AB40" s="36" t="s">
        <v>71</v>
      </c>
      <c r="AC40" s="36" t="s">
        <v>71</v>
      </c>
      <c r="AD40" s="36" t="s">
        <v>72</v>
      </c>
      <c r="AE40" s="36" t="s">
        <v>94</v>
      </c>
      <c r="AF40" s="36" t="s">
        <v>154</v>
      </c>
      <c r="AG40" s="36" t="s">
        <v>120</v>
      </c>
      <c r="AH40" t="str">
        <f>VLOOKUP($R40,武学奇术!$A:$ZZ,25,FALSE)</f>
        <v>剑</v>
      </c>
      <c r="AI40" s="20">
        <f>VLOOKUP($R40,武学奇术!$A:$ZZ,26,FALSE)</f>
        <v>1.1781</v>
      </c>
      <c r="AJ40" s="21">
        <f>VLOOKUP($R40,武学奇术!$A:$ZZ,27,FALSE)*(1+IF(OR($AH40=$F$4,$AH40=$F$5),$B$22,0))</f>
        <v>456.4</v>
      </c>
      <c r="AK40" s="20">
        <f>VLOOKUP($R40,武学奇术!$A:$ZZ,28,FALSE)</f>
        <v>1.7672</v>
      </c>
      <c r="AL40" s="21">
        <f>VLOOKUP($R40,武学奇术!$A:$ZZ,29,FALSE)*(1+IF(OR($AH40=$F$4,$AH40=$F$5),$B$22,0))</f>
        <v>247.8</v>
      </c>
      <c r="AM40" s="20" cm="1">
        <f t="array" ref="AM40">$G$3+IFERROR(VLOOKUP($AH40,$F$4:$G$7,2,FALSE),0)+VLOOKUP($R40,武学奇术!$A:$ZZ,2,FALSE)+SUM(_xlfn.XLOOKUP($S40:$AG40,增益!$A:$A,增益!$B:$B,0))</f>
        <v>0.6391</v>
      </c>
      <c r="AN40" s="20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1548.52</v>
      </c>
      <c r="AP40" cm="1">
        <f t="array" ref="AP40">$E$10*(1+$AN40)+VLOOKUP($R40,武学奇术!$A:$ZZ,4,FALSE)+SUM(_xlfn.XLOOKUP($S40:$AG40,增益!$A:$A,增益!$D:$D,0))-$I$2</f>
        <v>6659.56</v>
      </c>
      <c r="AQ40" s="29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0.2425</v>
      </c>
      <c r="AR40" s="29" cm="1">
        <f t="array" ref="AR40">$G$10+VLOOKUP($R40,武学奇术!$A:$ZZ,7,FALSE)+SUM(_xlfn.XLOOKUP(S40:AG40,增益!$A:$A,增益!$G:$G,0))</f>
        <v>0</v>
      </c>
      <c r="AS40" s="20" cm="1">
        <f t="array" ref="AS40">VLOOKUP($R40,武学奇术!$A:$ZZ,8,FALSE)+SUM(_xlfn.XLOOKUP(S40:AG40,增益!$A:$A,增益!$H:$H,0))</f>
        <v>0</v>
      </c>
      <c r="AT40">
        <f t="shared" si="1"/>
        <v>538</v>
      </c>
      <c r="AU40">
        <f t="shared" si="2"/>
        <v>1011</v>
      </c>
      <c r="AV40" s="29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</v>
      </c>
      <c r="AW40" s="29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29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29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29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29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29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29" cm="1">
        <f t="array" ref="BI40">$G$14+VLOOKUP($R40,武学奇术!$A:$ZZ,16,FALSE)+SUM(_xlfn.XLOOKUP(S40:AG40,增益!$A:$A,增益!$P:$P,0))</f>
        <v>0</v>
      </c>
      <c r="BJ40" s="20">
        <f>MIN(IF(VLOOKUP($R40,武学奇术!$A:$ZZ,23,FALSE)=1,100%,$B$8),100%)</f>
        <v>0.8271</v>
      </c>
      <c r="BK40" s="20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0.2249</v>
      </c>
      <c r="BL40" s="20" cm="1">
        <f t="array" ref="BL40">1+$B$13+VLOOKUP($R40,武学奇术!$A:$ZZ,18,FALSE)+SUM(_xlfn.XLOOKUP(S40:AG40,增益!$A:$A,增益!$R:$R,0))</f>
        <v>1.5</v>
      </c>
      <c r="BM40" s="20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0.4459</v>
      </c>
      <c r="BN40" s="20" cm="1">
        <f t="array" ref="BN40">1+$B$14+VLOOKUP($R40,武学奇术!$A:$ZZ,20,FALSE)+SUM(_xlfn.XLOOKUP(S40:AG40,增益!$A:$A,增益!$T:$T,0))</f>
        <v>1.602</v>
      </c>
      <c r="BO40" s="20">
        <f t="shared" si="9"/>
        <v>0.18601479</v>
      </c>
      <c r="BP40" s="20">
        <f t="shared" si="10"/>
        <v>0.27228132</v>
      </c>
      <c r="BQ40" s="20">
        <f>IF(VLOOKUP($R40,武学奇术!$A:$ZZ,22,FALSE)=1,0,(1-$BJ40))*(1-$BM40)</f>
        <v>0.09580389</v>
      </c>
      <c r="BR40" s="20" cm="1">
        <f t="array" ref="BR40">SUM(_xlfn.XLOOKUP(S40:AG40,增益!$A:$A,增益!$W:$W,0))+$I$5</f>
        <v>0.21</v>
      </c>
    </row>
    <row r="41" spans="5:70">
      <c r="K41" s="27">
        <f>$L41*VLOOKUP($R41,武学奇术!$A:$ZZ,31,FALSE)</f>
        <v>108441.501935141</v>
      </c>
      <c r="L41" s="27">
        <f t="shared" si="0"/>
        <v>180735.836558568</v>
      </c>
      <c r="M41" s="27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97767.4233070488</v>
      </c>
      <c r="N41" s="27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180735.836558568</v>
      </c>
      <c r="O41" s="27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65178.2822046992</v>
      </c>
      <c r="P41" s="27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28933.5360375872</v>
      </c>
      <c r="Q41" s="35">
        <v>1</v>
      </c>
      <c r="R41" s="36" t="s">
        <v>98</v>
      </c>
      <c r="S41" s="36" t="s">
        <v>152</v>
      </c>
      <c r="T41" s="36" t="s">
        <v>99</v>
      </c>
      <c r="U41" s="36" t="s">
        <v>100</v>
      </c>
      <c r="V41" s="36" t="s">
        <v>101</v>
      </c>
      <c r="W41" s="36" t="s">
        <v>111</v>
      </c>
      <c r="X41" s="36" t="s">
        <v>71</v>
      </c>
      <c r="Y41" s="36" t="s">
        <v>71</v>
      </c>
      <c r="Z41" s="36" t="s">
        <v>71</v>
      </c>
      <c r="AA41" s="36" t="s">
        <v>71</v>
      </c>
      <c r="AB41" s="36" t="s">
        <v>71</v>
      </c>
      <c r="AC41" s="36" t="s">
        <v>71</v>
      </c>
      <c r="AD41" s="36" t="s">
        <v>72</v>
      </c>
      <c r="AE41" s="36" t="s">
        <v>94</v>
      </c>
      <c r="AF41" s="36" t="s">
        <v>154</v>
      </c>
      <c r="AG41" s="36" t="s">
        <v>120</v>
      </c>
      <c r="AH41" t="str">
        <f>VLOOKUP($R41,武学奇术!$A:$ZZ,25,FALSE)</f>
        <v>剑</v>
      </c>
      <c r="AI41" s="20">
        <f>VLOOKUP($R41,武学奇术!$A:$ZZ,26,FALSE)</f>
        <v>2.496</v>
      </c>
      <c r="AJ41" s="21">
        <f>VLOOKUP($R41,武学奇术!$A:$ZZ,27,FALSE)*(1+IF(OR($AH41=$F$4,$AH41=$F$5),$B$22,0))</f>
        <v>0</v>
      </c>
      <c r="AK41" s="20">
        <f>VLOOKUP($R41,武学奇术!$A:$ZZ,28,FALSE)</f>
        <v>3.744</v>
      </c>
      <c r="AL41" s="21">
        <f>VLOOKUP($R41,武学奇术!$A:$ZZ,29,FALSE)*(1+IF(OR($AH41=$F$4,$AH41=$F$5),$B$22,0))</f>
        <v>0</v>
      </c>
      <c r="AM41" s="20" cm="1">
        <f t="array" ref="AM41">$G$3+IFERROR(VLOOKUP($AH41,$F$4:$G$7,2,FALSE),0)+VLOOKUP($R41,武学奇术!$A:$ZZ,2,FALSE)+SUM(_xlfn.XLOOKUP($S41:$AG41,增益!$A:$A,增益!$B:$B,0))</f>
        <v>1.3891</v>
      </c>
      <c r="AN41" s="20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1548.52</v>
      </c>
      <c r="AP41" cm="1">
        <f t="array" ref="AP41">$E$10*(1+$AN41)+VLOOKUP($R41,武学奇术!$A:$ZZ,4,FALSE)+SUM(_xlfn.XLOOKUP($S41:$AG41,增益!$A:$A,增益!$D:$D,0))-$I$2</f>
        <v>6659.56</v>
      </c>
      <c r="AQ41" s="29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0.3175</v>
      </c>
      <c r="AR41" s="29" cm="1">
        <f t="array" ref="AR41">$G$10+VLOOKUP($R41,武学奇术!$A:$ZZ,7,FALSE)+SUM(_xlfn.XLOOKUP(S41:AG41,增益!$A:$A,增益!$G:$G,0))</f>
        <v>0</v>
      </c>
      <c r="AS41" s="20" cm="1">
        <f t="array" ref="AS41">VLOOKUP($R41,武学奇术!$A:$ZZ,8,FALSE)+SUM(_xlfn.XLOOKUP(S41:AG41,增益!$A:$A,增益!$H:$H,0))</f>
        <v>0</v>
      </c>
      <c r="AT41">
        <f t="shared" si="1"/>
        <v>538</v>
      </c>
      <c r="AU41">
        <f t="shared" si="2"/>
        <v>1011</v>
      </c>
      <c r="AV41" s="29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0.075</v>
      </c>
      <c r="AW41" s="29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29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29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29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29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29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29" cm="1">
        <f t="array" ref="BI41">$G$14+VLOOKUP($R41,武学奇术!$A:$ZZ,16,FALSE)+SUM(_xlfn.XLOOKUP(S41:AG41,增益!$A:$A,增益!$P:$P,0))</f>
        <v>0</v>
      </c>
      <c r="BJ41" s="20">
        <f>MIN(IF(VLOOKUP($R41,武学奇术!$A:$ZZ,23,FALSE)=1,100%,$B$8),100%)</f>
        <v>0.8271</v>
      </c>
      <c r="BK41" s="20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</v>
      </c>
      <c r="BL41" s="20" cm="1">
        <f t="array" ref="BL41">1+$B$13+VLOOKUP($R41,武学奇术!$A:$ZZ,18,FALSE)+SUM(_xlfn.XLOOKUP(S41:AG41,增益!$A:$A,增益!$R:$R,0))</f>
        <v>1.5</v>
      </c>
      <c r="BM41" s="20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1</v>
      </c>
      <c r="BN41" s="20" cm="1">
        <f t="array" ref="BN41">1+$B$14+VLOOKUP($R41,武学奇术!$A:$ZZ,20,FALSE)+SUM(_xlfn.XLOOKUP(S41:AG41,增益!$A:$A,增益!$T:$T,0))</f>
        <v>1.782</v>
      </c>
      <c r="BO41" s="20">
        <f t="shared" si="9"/>
        <v>0</v>
      </c>
      <c r="BP41" s="20">
        <f t="shared" si="10"/>
        <v>0</v>
      </c>
      <c r="BQ41" s="20">
        <f>IF(VLOOKUP($R41,武学奇术!$A:$ZZ,22,FALSE)=1,0,(1-$BJ41))*(1-$BM41)</f>
        <v>0</v>
      </c>
      <c r="BR41" s="20" cm="1">
        <f t="array" ref="BR41">SUM(_xlfn.XLOOKUP(S41:AG41,增益!$A:$A,增益!$W:$W,0))+$I$5</f>
        <v>0.21</v>
      </c>
    </row>
    <row r="42" spans="5:70">
      <c r="K42" s="27">
        <f>$L42*VLOOKUP($R42,武学奇术!$A:$ZZ,31,FALSE)</f>
        <v>13542.4354667193</v>
      </c>
      <c r="L42" s="27">
        <f t="shared" si="0"/>
        <v>13542.4354667193</v>
      </c>
      <c r="M42" s="27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11893.8504318016</v>
      </c>
      <c r="N42" s="27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19818.1077417516</v>
      </c>
      <c r="O42" s="27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7929.23362120106</v>
      </c>
      <c r="P42" s="27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3487.61347102163</v>
      </c>
      <c r="Q42" s="35">
        <v>1</v>
      </c>
      <c r="R42" s="36" t="s">
        <v>107</v>
      </c>
      <c r="S42" s="36" t="s">
        <v>152</v>
      </c>
      <c r="T42" s="36" t="s">
        <v>93</v>
      </c>
      <c r="U42" s="36" t="s">
        <v>71</v>
      </c>
      <c r="V42" s="36" t="s">
        <v>71</v>
      </c>
      <c r="W42" s="36" t="s">
        <v>71</v>
      </c>
      <c r="X42" s="36" t="s">
        <v>71</v>
      </c>
      <c r="Y42" s="36" t="s">
        <v>71</v>
      </c>
      <c r="Z42" s="36" t="s">
        <v>71</v>
      </c>
      <c r="AA42" s="36" t="s">
        <v>71</v>
      </c>
      <c r="AB42" s="36" t="s">
        <v>71</v>
      </c>
      <c r="AC42" s="36" t="s">
        <v>71</v>
      </c>
      <c r="AD42" s="36" t="s">
        <v>72</v>
      </c>
      <c r="AE42" s="36" t="s">
        <v>94</v>
      </c>
      <c r="AF42" s="36" t="s">
        <v>154</v>
      </c>
      <c r="AG42" s="36" t="s">
        <v>120</v>
      </c>
      <c r="AH42" t="str">
        <f>VLOOKUP($R42,武学奇术!$A:$ZZ,25,FALSE)</f>
        <v>剑</v>
      </c>
      <c r="AI42" s="20">
        <f>VLOOKUP($R42,武学奇术!$A:$ZZ,26,FALSE)</f>
        <v>0.625</v>
      </c>
      <c r="AJ42" s="21">
        <f>VLOOKUP($R42,武学奇术!$A:$ZZ,27,FALSE)*(1+IF(OR($AH42=$F$4,$AH42=$F$5),$B$22,0))</f>
        <v>0</v>
      </c>
      <c r="AK42" s="20">
        <f>VLOOKUP($R42,武学奇术!$A:$ZZ,28,FALSE)</f>
        <v>0.9375</v>
      </c>
      <c r="AL42" s="21">
        <f>VLOOKUP($R42,武学奇术!$A:$ZZ,29,FALSE)*(1+IF(OR($AH42=$F$4,$AH42=$F$5),$B$22,0))</f>
        <v>0</v>
      </c>
      <c r="AM42" s="20" cm="1">
        <f t="array" ref="AM42">$G$3+IFERROR(VLOOKUP($AH42,$F$4:$G$7,2,FALSE),0)+VLOOKUP($R42,武学奇术!$A:$ZZ,2,FALSE)+SUM(_xlfn.XLOOKUP($S42:$AG42,增益!$A:$A,增益!$B:$B,0))</f>
        <v>0.6391</v>
      </c>
      <c r="AN42" s="20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1517.52</v>
      </c>
      <c r="AP42" cm="1">
        <f t="array" ref="AP42">$E$10*(1+$AN42)+VLOOKUP($R42,武学奇术!$A:$ZZ,4,FALSE)+SUM(_xlfn.XLOOKUP($S42:$AG42,增益!$A:$A,增益!$D:$D,0))-$I$2</f>
        <v>6628.56</v>
      </c>
      <c r="AQ42" s="29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0.2425</v>
      </c>
      <c r="AR42" s="29" cm="1">
        <f t="array" ref="AR42">$G$10+VLOOKUP($R42,武学奇术!$A:$ZZ,7,FALSE)+SUM(_xlfn.XLOOKUP(S42:AG42,增益!$A:$A,增益!$G:$G,0))</f>
        <v>0</v>
      </c>
      <c r="AS42" s="20" cm="1">
        <f t="array" ref="AS42">VLOOKUP($R42,武学奇术!$A:$ZZ,8,FALSE)+SUM(_xlfn.XLOOKUP(S42:AG42,增益!$A:$A,增益!$H:$H,0))</f>
        <v>0</v>
      </c>
      <c r="AT42">
        <f t="shared" si="1"/>
        <v>538</v>
      </c>
      <c r="AU42">
        <f t="shared" si="2"/>
        <v>1011</v>
      </c>
      <c r="AV42" s="29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</v>
      </c>
      <c r="AW42" s="29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29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29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29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29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29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29" cm="1">
        <f t="array" ref="BI42">$G$14+VLOOKUP($R42,武学奇术!$A:$ZZ,16,FALSE)+SUM(_xlfn.XLOOKUP(S42:AG42,增益!$A:$A,增益!$P:$P,0))</f>
        <v>0</v>
      </c>
      <c r="BJ42" s="20">
        <f>MIN(IF(VLOOKUP($R42,武学奇术!$A:$ZZ,23,FALSE)=1,100%,$B$8),100%)</f>
        <v>0.8271</v>
      </c>
      <c r="BK42" s="20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0.2249</v>
      </c>
      <c r="BL42" s="20" cm="1">
        <f t="array" ref="BL42">1+$B$13+VLOOKUP($R42,武学奇术!$A:$ZZ,18,FALSE)+SUM(_xlfn.XLOOKUP(S42:AG42,增益!$A:$A,增益!$R:$R,0))</f>
        <v>1.5</v>
      </c>
      <c r="BM42" s="20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0.4459</v>
      </c>
      <c r="BN42" s="20" cm="1">
        <f t="array" ref="BN42">1+$B$14+VLOOKUP($R42,武学奇术!$A:$ZZ,20,FALSE)+SUM(_xlfn.XLOOKUP(S42:AG42,增益!$A:$A,增益!$T:$T,0))</f>
        <v>1.602</v>
      </c>
      <c r="BO42" s="20">
        <f t="shared" si="9"/>
        <v>0.18601479</v>
      </c>
      <c r="BP42" s="20">
        <f t="shared" si="10"/>
        <v>0.27228132</v>
      </c>
      <c r="BQ42" s="20">
        <f>IF(VLOOKUP($R42,武学奇术!$A:$ZZ,22,FALSE)=1,0,(1-$BJ42))*(1-$BM42)</f>
        <v>0.09580389</v>
      </c>
      <c r="BR42" s="20" cm="1">
        <f t="array" ref="BR42">SUM(_xlfn.XLOOKUP(S42:AG42,增益!$A:$A,增益!$W:$W,0))+$I$5</f>
        <v>0.21</v>
      </c>
    </row>
    <row r="43" spans="5:70">
      <c r="K43" s="27">
        <f>$L43*VLOOKUP($R43,武学奇术!$A:$ZZ,31,FALSE)</f>
        <v>48557.4093801872</v>
      </c>
      <c r="L43" s="27">
        <f t="shared" si="0"/>
        <v>48557.4093801872</v>
      </c>
      <c r="M43" s="27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43673.6261542922</v>
      </c>
      <c r="N43" s="27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69741.4564182498</v>
      </c>
      <c r="O43" s="27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29115.7507695282</v>
      </c>
      <c r="P43" s="27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14697.5087686133</v>
      </c>
      <c r="Q43" s="35">
        <v>1</v>
      </c>
      <c r="R43" s="36" t="s">
        <v>88</v>
      </c>
      <c r="S43" s="36" t="s">
        <v>152</v>
      </c>
      <c r="T43" s="36" t="s">
        <v>93</v>
      </c>
      <c r="U43" s="36" t="s">
        <v>71</v>
      </c>
      <c r="V43" s="36" t="s">
        <v>71</v>
      </c>
      <c r="W43" s="36" t="s">
        <v>71</v>
      </c>
      <c r="X43" s="36" t="s">
        <v>71</v>
      </c>
      <c r="Y43" s="36" t="s">
        <v>71</v>
      </c>
      <c r="Z43" s="36" t="s">
        <v>71</v>
      </c>
      <c r="AA43" s="36" t="s">
        <v>71</v>
      </c>
      <c r="AB43" s="36" t="s">
        <v>71</v>
      </c>
      <c r="AC43" s="36" t="s">
        <v>71</v>
      </c>
      <c r="AD43" s="36" t="s">
        <v>72</v>
      </c>
      <c r="AE43" s="36" t="s">
        <v>94</v>
      </c>
      <c r="AF43" s="36" t="s">
        <v>154</v>
      </c>
      <c r="AG43" s="36" t="s">
        <v>120</v>
      </c>
      <c r="AH43" t="str">
        <f>VLOOKUP($R43,武学奇术!$A:$ZZ,25,FALSE)</f>
        <v>枪</v>
      </c>
      <c r="AI43" s="20">
        <f>VLOOKUP($R43,武学奇术!$A:$ZZ,26,FALSE)</f>
        <v>2.1401</v>
      </c>
      <c r="AJ43" s="21">
        <f>VLOOKUP($R43,武学奇术!$A:$ZZ,27,FALSE)*(1+IF(OR($AH43=$F$4,$AH43=$F$5),$B$22,0))</f>
        <v>823.2</v>
      </c>
      <c r="AK43" s="20">
        <f>VLOOKUP($R43,武学奇术!$A:$ZZ,28,FALSE)</f>
        <v>3.2101</v>
      </c>
      <c r="AL43" s="21">
        <f>VLOOKUP($R43,武学奇术!$A:$ZZ,29,FALSE)*(1+IF(OR($AH43=$F$4,$AH43=$F$5),$B$22,0))</f>
        <v>448</v>
      </c>
      <c r="AM43" s="20" cm="1">
        <f t="array" ref="AM43">$G$3+IFERROR(VLOOKUP($AH43,$F$4:$G$7,2,FALSE),0)+VLOOKUP($R43,武学奇术!$A:$ZZ,2,FALSE)+SUM(_xlfn.XLOOKUP($S43:$AG43,增益!$A:$A,增益!$B:$B,0))</f>
        <v>0.5539</v>
      </c>
      <c r="AN43" s="20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1517.52</v>
      </c>
      <c r="AP43" cm="1">
        <f t="array" ref="AP43">$E$10*(1+$AN43)+VLOOKUP($R43,武学奇术!$A:$ZZ,4,FALSE)+SUM(_xlfn.XLOOKUP($S43:$AG43,增益!$A:$A,增益!$D:$D,0))-$I$2</f>
        <v>6628.56</v>
      </c>
      <c r="AQ43" s="29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0.2425</v>
      </c>
      <c r="AR43" s="29" cm="1">
        <f t="array" ref="AR43">$G$10+VLOOKUP($R43,武学奇术!$A:$ZZ,7,FALSE)+SUM(_xlfn.XLOOKUP(S43:AG43,增益!$A:$A,增益!$G:$G,0))</f>
        <v>0</v>
      </c>
      <c r="AS43" s="20" cm="1">
        <f t="array" ref="AS43">VLOOKUP($R43,武学奇术!$A:$ZZ,8,FALSE)+SUM(_xlfn.XLOOKUP(S43:AG43,增益!$A:$A,增益!$H:$H,0))</f>
        <v>0</v>
      </c>
      <c r="AT43">
        <f t="shared" si="1"/>
        <v>538</v>
      </c>
      <c r="AU43">
        <f t="shared" si="2"/>
        <v>1011</v>
      </c>
      <c r="AV43" s="29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</v>
      </c>
      <c r="AW43" s="29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29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29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29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29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29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29" cm="1">
        <f t="array" ref="BI43">$G$14+VLOOKUP($R43,武学奇术!$A:$ZZ,16,FALSE)+SUM(_xlfn.XLOOKUP(S43:AG43,增益!$A:$A,增益!$P:$P,0))</f>
        <v>0</v>
      </c>
      <c r="BJ43" s="20">
        <f>MIN(IF(VLOOKUP($R43,武学奇术!$A:$ZZ,23,FALSE)=1,100%,$B$8),100%)</f>
        <v>0.8271</v>
      </c>
      <c r="BK43" s="20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0.2249</v>
      </c>
      <c r="BL43" s="20" cm="1">
        <f t="array" ref="BL43">1+$B$13+VLOOKUP($R43,武学奇术!$A:$ZZ,18,FALSE)+SUM(_xlfn.XLOOKUP(S43:AG43,增益!$A:$A,增益!$R:$R,0))</f>
        <v>1.5</v>
      </c>
      <c r="BM43" s="20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0.4459</v>
      </c>
      <c r="BN43" s="20" cm="1">
        <f t="array" ref="BN43">1+$B$14+VLOOKUP($R43,武学奇术!$A:$ZZ,20,FALSE)+SUM(_xlfn.XLOOKUP(S43:AG43,增益!$A:$A,增益!$T:$T,0))</f>
        <v>1.602</v>
      </c>
      <c r="BO43" s="20">
        <f t="shared" si="9"/>
        <v>0.18601479</v>
      </c>
      <c r="BP43" s="20">
        <f t="shared" si="10"/>
        <v>0.27228132</v>
      </c>
      <c r="BQ43" s="20">
        <f>IF(VLOOKUP($R43,武学奇术!$A:$ZZ,22,FALSE)=1,0,(1-$BJ43))*(1-$BM43)</f>
        <v>0.09580389</v>
      </c>
      <c r="BR43" s="20" cm="1">
        <f t="array" ref="BR43">SUM(_xlfn.XLOOKUP(S43:AG43,增益!$A:$A,增益!$W:$W,0))+$I$5</f>
        <v>0.21</v>
      </c>
    </row>
    <row r="44" spans="5:70">
      <c r="K44" s="27">
        <f>$L44*VLOOKUP($R44,武学奇术!$A:$ZZ,31,FALSE)</f>
        <v>28212.4789585042</v>
      </c>
      <c r="L44" s="27">
        <f t="shared" si="0"/>
        <v>28212.4789585042</v>
      </c>
      <c r="M44" s="27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25378.2641795211</v>
      </c>
      <c r="N44" s="27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40516.4160124385</v>
      </c>
      <c r="O44" s="27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16918.8427863474</v>
      </c>
      <c r="P44" s="27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8546.53949751471</v>
      </c>
      <c r="Q44" s="35">
        <v>1</v>
      </c>
      <c r="R44" s="36" t="s">
        <v>92</v>
      </c>
      <c r="S44" s="36" t="s">
        <v>152</v>
      </c>
      <c r="T44" s="36" t="s">
        <v>93</v>
      </c>
      <c r="U44" s="36" t="s">
        <v>71</v>
      </c>
      <c r="V44" s="36" t="s">
        <v>71</v>
      </c>
      <c r="W44" s="36" t="s">
        <v>71</v>
      </c>
      <c r="X44" s="36" t="s">
        <v>71</v>
      </c>
      <c r="Y44" s="36" t="s">
        <v>71</v>
      </c>
      <c r="Z44" s="36" t="s">
        <v>71</v>
      </c>
      <c r="AA44" s="36" t="s">
        <v>71</v>
      </c>
      <c r="AB44" s="36" t="s">
        <v>71</v>
      </c>
      <c r="AC44" s="36" t="s">
        <v>71</v>
      </c>
      <c r="AD44" s="36" t="s">
        <v>72</v>
      </c>
      <c r="AE44" s="36" t="s">
        <v>94</v>
      </c>
      <c r="AF44" s="36" t="s">
        <v>154</v>
      </c>
      <c r="AG44" s="36" t="s">
        <v>120</v>
      </c>
      <c r="AH44" t="str">
        <f>VLOOKUP($R44,武学奇术!$A:$ZZ,25,FALSE)</f>
        <v>剑</v>
      </c>
      <c r="AI44" s="20">
        <f>VLOOKUP($R44,武学奇术!$A:$ZZ,26,FALSE)</f>
        <v>1.1781</v>
      </c>
      <c r="AJ44" s="21">
        <f>VLOOKUP($R44,武学奇术!$A:$ZZ,27,FALSE)*(1+IF(OR($AH44=$F$4,$AH44=$F$5),$B$22,0))</f>
        <v>456.4</v>
      </c>
      <c r="AK44" s="20">
        <f>VLOOKUP($R44,武学奇术!$A:$ZZ,28,FALSE)</f>
        <v>1.7672</v>
      </c>
      <c r="AL44" s="21">
        <f>VLOOKUP($R44,武学奇术!$A:$ZZ,29,FALSE)*(1+IF(OR($AH44=$F$4,$AH44=$F$5),$B$22,0))</f>
        <v>247.8</v>
      </c>
      <c r="AM44" s="20" cm="1">
        <f t="array" ref="AM44">$G$3+IFERROR(VLOOKUP($AH44,$F$4:$G$7,2,FALSE),0)+VLOOKUP($R44,武学奇术!$A:$ZZ,2,FALSE)+SUM(_xlfn.XLOOKUP($S44:$AG44,增益!$A:$A,增益!$B:$B,0))</f>
        <v>0.6391</v>
      </c>
      <c r="AN44" s="20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1517.52</v>
      </c>
      <c r="AP44" cm="1">
        <f t="array" ref="AP44">$E$10*(1+$AN44)+VLOOKUP($R44,武学奇术!$A:$ZZ,4,FALSE)+SUM(_xlfn.XLOOKUP($S44:$AG44,增益!$A:$A,增益!$D:$D,0))-$I$2</f>
        <v>6628.56</v>
      </c>
      <c r="AQ44" s="29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0.2425</v>
      </c>
      <c r="AR44" s="29" cm="1">
        <f t="array" ref="AR44">$G$10+VLOOKUP($R44,武学奇术!$A:$ZZ,7,FALSE)+SUM(_xlfn.XLOOKUP(S44:AG44,增益!$A:$A,增益!$G:$G,0))</f>
        <v>0</v>
      </c>
      <c r="AS44" s="20" cm="1">
        <f t="array" ref="AS44">VLOOKUP($R44,武学奇术!$A:$ZZ,8,FALSE)+SUM(_xlfn.XLOOKUP(S44:AG44,增益!$A:$A,增益!$H:$H,0))</f>
        <v>0</v>
      </c>
      <c r="AT44">
        <f t="shared" si="1"/>
        <v>538</v>
      </c>
      <c r="AU44">
        <f t="shared" si="2"/>
        <v>1011</v>
      </c>
      <c r="AV44" s="29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</v>
      </c>
      <c r="AW44" s="29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29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29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29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29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29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29" cm="1">
        <f t="array" ref="BI44">$G$14+VLOOKUP($R44,武学奇术!$A:$ZZ,16,FALSE)+SUM(_xlfn.XLOOKUP(S44:AG44,增益!$A:$A,增益!$P:$P,0))</f>
        <v>0</v>
      </c>
      <c r="BJ44" s="20">
        <f>MIN(IF(VLOOKUP($R44,武学奇术!$A:$ZZ,23,FALSE)=1,100%,$B$8),100%)</f>
        <v>0.8271</v>
      </c>
      <c r="BK44" s="20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0.2249</v>
      </c>
      <c r="BL44" s="20" cm="1">
        <f t="array" ref="BL44">1+$B$13+VLOOKUP($R44,武学奇术!$A:$ZZ,18,FALSE)+SUM(_xlfn.XLOOKUP(S44:AG44,增益!$A:$A,增益!$R:$R,0))</f>
        <v>1.5</v>
      </c>
      <c r="BM44" s="20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0.4459</v>
      </c>
      <c r="BN44" s="20" cm="1">
        <f t="array" ref="BN44">1+$B$14+VLOOKUP($R44,武学奇术!$A:$ZZ,20,FALSE)+SUM(_xlfn.XLOOKUP(S44:AG44,增益!$A:$A,增益!$T:$T,0))</f>
        <v>1.602</v>
      </c>
      <c r="BO44" s="20">
        <f t="shared" si="9"/>
        <v>0.18601479</v>
      </c>
      <c r="BP44" s="20">
        <f t="shared" si="10"/>
        <v>0.27228132</v>
      </c>
      <c r="BQ44" s="20">
        <f>IF(VLOOKUP($R44,武学奇术!$A:$ZZ,22,FALSE)=1,0,(1-$BJ44))*(1-$BM44)</f>
        <v>0.09580389</v>
      </c>
      <c r="BR44" s="20" cm="1">
        <f t="array" ref="BR44">SUM(_xlfn.XLOOKUP(S44:AG44,增益!$A:$A,增益!$W:$W,0))+$I$5</f>
        <v>0.21</v>
      </c>
    </row>
    <row r="45" spans="5:70">
      <c r="K45" s="27">
        <f>$L45*VLOOKUP($R45,武学奇术!$A:$ZZ,31,FALSE)</f>
        <v>71240.5483754643</v>
      </c>
      <c r="L45" s="27">
        <f t="shared" si="0"/>
        <v>118734.24729244</v>
      </c>
      <c r="M45" s="27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97183.922061275</v>
      </c>
      <c r="N45" s="27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180042.637078588</v>
      </c>
      <c r="O45" s="27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64789.2813741833</v>
      </c>
      <c r="P45" s="27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28544.5352070713</v>
      </c>
      <c r="Q45" s="35">
        <v>1</v>
      </c>
      <c r="R45" s="36" t="s">
        <v>105</v>
      </c>
      <c r="S45" s="36" t="s">
        <v>152</v>
      </c>
      <c r="T45" s="36" t="s">
        <v>99</v>
      </c>
      <c r="U45" s="36" t="s">
        <v>100</v>
      </c>
      <c r="V45" s="36" t="s">
        <v>101</v>
      </c>
      <c r="W45" s="36" t="s">
        <v>71</v>
      </c>
      <c r="X45" s="36" t="s">
        <v>71</v>
      </c>
      <c r="Y45" s="36" t="s">
        <v>71</v>
      </c>
      <c r="Z45" s="36" t="s">
        <v>71</v>
      </c>
      <c r="AA45" s="36" t="s">
        <v>71</v>
      </c>
      <c r="AB45" s="36" t="s">
        <v>71</v>
      </c>
      <c r="AC45" s="36" t="s">
        <v>71</v>
      </c>
      <c r="AD45" s="36" t="s">
        <v>72</v>
      </c>
      <c r="AE45" s="36" t="s">
        <v>94</v>
      </c>
      <c r="AF45" s="36" t="s">
        <v>154</v>
      </c>
      <c r="AG45" s="36" t="s">
        <v>120</v>
      </c>
      <c r="AH45" t="str">
        <f>VLOOKUP($R45,武学奇术!$A:$ZZ,25,FALSE)</f>
        <v>剑</v>
      </c>
      <c r="AI45" s="20">
        <f>VLOOKUP($R45,武学奇术!$A:$ZZ,26,FALSE)</f>
        <v>2.496</v>
      </c>
      <c r="AJ45" s="21">
        <f>VLOOKUP($R45,武学奇术!$A:$ZZ,27,FALSE)*(1+IF(OR($AH45=$F$4,$AH45=$F$5),$B$22,0))</f>
        <v>0</v>
      </c>
      <c r="AK45" s="20">
        <f>VLOOKUP($R45,武学奇术!$A:$ZZ,28,FALSE)</f>
        <v>3.744</v>
      </c>
      <c r="AL45" s="21">
        <f>VLOOKUP($R45,武学奇术!$A:$ZZ,29,FALSE)*(1+IF(OR($AH45=$F$4,$AH45=$F$5),$B$22,0))</f>
        <v>0</v>
      </c>
      <c r="AM45" s="20" cm="1">
        <f t="array" ref="AM45">$G$3+IFERROR(VLOOKUP($AH45,$F$4:$G$7,2,FALSE),0)+VLOOKUP($R45,武学奇术!$A:$ZZ,2,FALSE)+SUM(_xlfn.XLOOKUP($S45:$AG45,增益!$A:$A,增益!$B:$B,0))</f>
        <v>1.3891</v>
      </c>
      <c r="AN45" s="20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1517.52</v>
      </c>
      <c r="AP45" cm="1">
        <f t="array" ref="AP45">$E$10*(1+$AN45)+VLOOKUP($R45,武学奇术!$A:$ZZ,4,FALSE)+SUM(_xlfn.XLOOKUP($S45:$AG45,增益!$A:$A,增益!$D:$D,0))-$I$2</f>
        <v>6628.56</v>
      </c>
      <c r="AQ45" s="29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0.3175</v>
      </c>
      <c r="AR45" s="29" cm="1">
        <f t="array" ref="AR45">$G$10+VLOOKUP($R45,武学奇术!$A:$ZZ,7,FALSE)+SUM(_xlfn.XLOOKUP(S45:AG45,增益!$A:$A,增益!$G:$G,0))</f>
        <v>0</v>
      </c>
      <c r="AS45" s="20" cm="1">
        <f t="array" ref="AS45">VLOOKUP($R45,武学奇术!$A:$ZZ,8,FALSE)+SUM(_xlfn.XLOOKUP(S45:AG45,增益!$A:$A,增益!$H:$H,0))</f>
        <v>0</v>
      </c>
      <c r="AT45">
        <f t="shared" si="1"/>
        <v>538</v>
      </c>
      <c r="AU45">
        <f t="shared" si="2"/>
        <v>1011</v>
      </c>
      <c r="AV45" s="29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0.075</v>
      </c>
      <c r="AW45" s="29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29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29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29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29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29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29" cm="1">
        <f t="array" ref="BI45">$G$14+VLOOKUP($R45,武学奇术!$A:$ZZ,16,FALSE)+SUM(_xlfn.XLOOKUP(S45:AG45,增益!$A:$A,增益!$P:$P,0))</f>
        <v>0</v>
      </c>
      <c r="BJ45" s="20">
        <f>MIN(IF(VLOOKUP($R45,武学奇术!$A:$ZZ,23,FALSE)=1,100%,$B$8),100%)</f>
        <v>0.8271</v>
      </c>
      <c r="BK45" s="20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0.2249</v>
      </c>
      <c r="BL45" s="20" cm="1">
        <f t="array" ref="BL45">1+$B$13+VLOOKUP($R45,武学奇术!$A:$ZZ,18,FALSE)+SUM(_xlfn.XLOOKUP(S45:AG45,增益!$A:$A,增益!$R:$R,0))</f>
        <v>1.5</v>
      </c>
      <c r="BM45" s="20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0.4459</v>
      </c>
      <c r="BN45" s="20" cm="1">
        <f t="array" ref="BN45">1+$B$14+VLOOKUP($R45,武学奇术!$A:$ZZ,20,FALSE)+SUM(_xlfn.XLOOKUP(S45:AG45,增益!$A:$A,增益!$T:$T,0))</f>
        <v>1.782</v>
      </c>
      <c r="BO45" s="20">
        <f t="shared" si="9"/>
        <v>0.18601479</v>
      </c>
      <c r="BP45" s="20">
        <f t="shared" si="10"/>
        <v>0.27228132</v>
      </c>
      <c r="BQ45" s="20">
        <f>IF(VLOOKUP($R45,武学奇术!$A:$ZZ,22,FALSE)=1,0,(1-$BJ45))*(1-$BM45)</f>
        <v>0.09580389</v>
      </c>
      <c r="BR45" s="20" cm="1">
        <f t="array" ref="BR45">SUM(_xlfn.XLOOKUP(S45:AG45,增益!$A:$A,增益!$W:$W,0))+$I$5</f>
        <v>0.21</v>
      </c>
    </row>
    <row r="46" spans="5:70">
      <c r="K46" s="27">
        <f>$L46*VLOOKUP($R46,武学奇术!$A:$ZZ,31,FALSE)</f>
        <v>71240.5483754643</v>
      </c>
      <c r="L46" s="27">
        <f t="shared" si="0"/>
        <v>118734.24729244</v>
      </c>
      <c r="M46" s="27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97183.922061275</v>
      </c>
      <c r="N46" s="27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180042.637078588</v>
      </c>
      <c r="O46" s="27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64789.2813741833</v>
      </c>
      <c r="P46" s="27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28544.5352070713</v>
      </c>
      <c r="Q46" s="35">
        <v>1</v>
      </c>
      <c r="R46" s="36" t="s">
        <v>105</v>
      </c>
      <c r="S46" s="36" t="s">
        <v>152</v>
      </c>
      <c r="T46" s="36" t="s">
        <v>99</v>
      </c>
      <c r="U46" s="36" t="s">
        <v>100</v>
      </c>
      <c r="V46" s="36" t="s">
        <v>101</v>
      </c>
      <c r="W46" s="36" t="s">
        <v>71</v>
      </c>
      <c r="X46" s="36" t="s">
        <v>71</v>
      </c>
      <c r="Y46" s="36" t="s">
        <v>71</v>
      </c>
      <c r="Z46" s="36" t="s">
        <v>71</v>
      </c>
      <c r="AA46" s="36" t="s">
        <v>71</v>
      </c>
      <c r="AB46" s="36" t="s">
        <v>71</v>
      </c>
      <c r="AC46" s="36" t="s">
        <v>71</v>
      </c>
      <c r="AD46" s="36" t="s">
        <v>72</v>
      </c>
      <c r="AE46" s="36" t="s">
        <v>94</v>
      </c>
      <c r="AF46" s="36" t="s">
        <v>154</v>
      </c>
      <c r="AG46" s="36" t="s">
        <v>120</v>
      </c>
      <c r="AH46" t="str">
        <f>VLOOKUP($R46,武学奇术!$A:$ZZ,25,FALSE)</f>
        <v>剑</v>
      </c>
      <c r="AI46" s="20">
        <f>VLOOKUP($R46,武学奇术!$A:$ZZ,26,FALSE)</f>
        <v>2.496</v>
      </c>
      <c r="AJ46" s="21">
        <f>VLOOKUP($R46,武学奇术!$A:$ZZ,27,FALSE)*(1+IF(OR($AH46=$F$4,$AH46=$F$5),$B$22,0))</f>
        <v>0</v>
      </c>
      <c r="AK46" s="20">
        <f>VLOOKUP($R46,武学奇术!$A:$ZZ,28,FALSE)</f>
        <v>3.744</v>
      </c>
      <c r="AL46" s="21">
        <f>VLOOKUP($R46,武学奇术!$A:$ZZ,29,FALSE)*(1+IF(OR($AH46=$F$4,$AH46=$F$5),$B$22,0))</f>
        <v>0</v>
      </c>
      <c r="AM46" s="20" cm="1">
        <f t="array" ref="AM46">$G$3+IFERROR(VLOOKUP($AH46,$F$4:$G$7,2,FALSE),0)+VLOOKUP($R46,武学奇术!$A:$ZZ,2,FALSE)+SUM(_xlfn.XLOOKUP($S46:$AG46,增益!$A:$A,增益!$B:$B,0))</f>
        <v>1.3891</v>
      </c>
      <c r="AN46" s="20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1517.52</v>
      </c>
      <c r="AP46" cm="1">
        <f t="array" ref="AP46">$E$10*(1+$AN46)+VLOOKUP($R46,武学奇术!$A:$ZZ,4,FALSE)+SUM(_xlfn.XLOOKUP($S46:$AG46,增益!$A:$A,增益!$D:$D,0))-$I$2</f>
        <v>6628.56</v>
      </c>
      <c r="AQ46" s="29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0.3175</v>
      </c>
      <c r="AR46" s="29" cm="1">
        <f t="array" ref="AR46">$G$10+VLOOKUP($R46,武学奇术!$A:$ZZ,7,FALSE)+SUM(_xlfn.XLOOKUP(S46:AG46,增益!$A:$A,增益!$G:$G,0))</f>
        <v>0</v>
      </c>
      <c r="AS46" s="20" cm="1">
        <f t="array" ref="AS46">VLOOKUP($R46,武学奇术!$A:$ZZ,8,FALSE)+SUM(_xlfn.XLOOKUP(S46:AG46,增益!$A:$A,增益!$H:$H,0))</f>
        <v>0</v>
      </c>
      <c r="AT46">
        <f t="shared" si="1"/>
        <v>538</v>
      </c>
      <c r="AU46">
        <f t="shared" si="2"/>
        <v>1011</v>
      </c>
      <c r="AV46" s="29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0.075</v>
      </c>
      <c r="AW46" s="29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29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29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29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29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29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29" cm="1">
        <f t="array" ref="BI46">$G$14+VLOOKUP($R46,武学奇术!$A:$ZZ,16,FALSE)+SUM(_xlfn.XLOOKUP(S46:AG46,增益!$A:$A,增益!$P:$P,0))</f>
        <v>0</v>
      </c>
      <c r="BJ46" s="20">
        <f>MIN(IF(VLOOKUP($R46,武学奇术!$A:$ZZ,23,FALSE)=1,100%,$B$8),100%)</f>
        <v>0.8271</v>
      </c>
      <c r="BK46" s="20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0.2249</v>
      </c>
      <c r="BL46" s="20" cm="1">
        <f t="array" ref="BL46">1+$B$13+VLOOKUP($R46,武学奇术!$A:$ZZ,18,FALSE)+SUM(_xlfn.XLOOKUP(S46:AG46,增益!$A:$A,增益!$R:$R,0))</f>
        <v>1.5</v>
      </c>
      <c r="BM46" s="20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0.4459</v>
      </c>
      <c r="BN46" s="20" cm="1">
        <f t="array" ref="BN46">1+$B$14+VLOOKUP($R46,武学奇术!$A:$ZZ,20,FALSE)+SUM(_xlfn.XLOOKUP(S46:AG46,增益!$A:$A,增益!$T:$T,0))</f>
        <v>1.782</v>
      </c>
      <c r="BO46" s="20">
        <f t="shared" si="9"/>
        <v>0.18601479</v>
      </c>
      <c r="BP46" s="20">
        <f t="shared" si="10"/>
        <v>0.27228132</v>
      </c>
      <c r="BQ46" s="20">
        <f>IF(VLOOKUP($R46,武学奇术!$A:$ZZ,22,FALSE)=1,0,(1-$BJ46))*(1-$BM46)</f>
        <v>0.09580389</v>
      </c>
      <c r="BR46" s="20" cm="1">
        <f t="array" ref="BR46">SUM(_xlfn.XLOOKUP(S46:AG46,增益!$A:$A,增益!$W:$W,0))+$I$5</f>
        <v>0.21</v>
      </c>
    </row>
    <row r="47" spans="5:70">
      <c r="K47" s="27">
        <f>$L47*VLOOKUP($R47,武学奇术!$A:$ZZ,31,FALSE)</f>
        <v>13542.4354667193</v>
      </c>
      <c r="L47" s="27">
        <f t="shared" si="0"/>
        <v>13542.4354667193</v>
      </c>
      <c r="M47" s="27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11893.8504318016</v>
      </c>
      <c r="N47" s="27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19818.1077417516</v>
      </c>
      <c r="O47" s="27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7929.23362120106</v>
      </c>
      <c r="P47" s="27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3487.61347102163</v>
      </c>
      <c r="Q47" s="35">
        <v>1</v>
      </c>
      <c r="R47" s="36" t="s">
        <v>107</v>
      </c>
      <c r="S47" s="36" t="s">
        <v>152</v>
      </c>
      <c r="T47" s="36" t="s">
        <v>93</v>
      </c>
      <c r="U47" s="36" t="s">
        <v>71</v>
      </c>
      <c r="V47" s="36" t="s">
        <v>71</v>
      </c>
      <c r="W47" s="36" t="s">
        <v>71</v>
      </c>
      <c r="X47" s="36" t="s">
        <v>71</v>
      </c>
      <c r="Y47" s="36" t="s">
        <v>71</v>
      </c>
      <c r="Z47" s="36" t="s">
        <v>71</v>
      </c>
      <c r="AA47" s="36" t="s">
        <v>71</v>
      </c>
      <c r="AB47" s="36" t="s">
        <v>71</v>
      </c>
      <c r="AC47" s="36" t="s">
        <v>71</v>
      </c>
      <c r="AD47" s="36" t="s">
        <v>72</v>
      </c>
      <c r="AE47" s="36" t="s">
        <v>94</v>
      </c>
      <c r="AF47" s="36" t="s">
        <v>154</v>
      </c>
      <c r="AG47" s="36" t="s">
        <v>120</v>
      </c>
      <c r="AH47" t="str">
        <f>VLOOKUP($R47,武学奇术!$A:$ZZ,25,FALSE)</f>
        <v>剑</v>
      </c>
      <c r="AI47" s="20">
        <f>VLOOKUP($R47,武学奇术!$A:$ZZ,26,FALSE)</f>
        <v>0.625</v>
      </c>
      <c r="AJ47" s="21">
        <f>VLOOKUP($R47,武学奇术!$A:$ZZ,27,FALSE)*(1+IF(OR($AH47=$F$4,$AH47=$F$5),$B$22,0))</f>
        <v>0</v>
      </c>
      <c r="AK47" s="20">
        <f>VLOOKUP($R47,武学奇术!$A:$ZZ,28,FALSE)</f>
        <v>0.9375</v>
      </c>
      <c r="AL47" s="21">
        <f>VLOOKUP($R47,武学奇术!$A:$ZZ,29,FALSE)*(1+IF(OR($AH47=$F$4,$AH47=$F$5),$B$22,0))</f>
        <v>0</v>
      </c>
      <c r="AM47" s="20" cm="1">
        <f t="array" ref="AM47">$G$3+IFERROR(VLOOKUP($AH47,$F$4:$G$7,2,FALSE),0)+VLOOKUP($R47,武学奇术!$A:$ZZ,2,FALSE)+SUM(_xlfn.XLOOKUP($S47:$AG47,增益!$A:$A,增益!$B:$B,0))</f>
        <v>0.6391</v>
      </c>
      <c r="AN47" s="20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1517.52</v>
      </c>
      <c r="AP47" cm="1">
        <f t="array" ref="AP47">$E$10*(1+$AN47)+VLOOKUP($R47,武学奇术!$A:$ZZ,4,FALSE)+SUM(_xlfn.XLOOKUP($S47:$AG47,增益!$A:$A,增益!$D:$D,0))-$I$2</f>
        <v>6628.56</v>
      </c>
      <c r="AQ47" s="29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0.2425</v>
      </c>
      <c r="AR47" s="29" cm="1">
        <f t="array" ref="AR47">$G$10+VLOOKUP($R47,武学奇术!$A:$ZZ,7,FALSE)+SUM(_xlfn.XLOOKUP(S47:AG47,增益!$A:$A,增益!$G:$G,0))</f>
        <v>0</v>
      </c>
      <c r="AS47" s="20" cm="1">
        <f t="array" ref="AS47">VLOOKUP($R47,武学奇术!$A:$ZZ,8,FALSE)+SUM(_xlfn.XLOOKUP(S47:AG47,增益!$A:$A,增益!$H:$H,0))</f>
        <v>0</v>
      </c>
      <c r="AT47">
        <f t="shared" si="1"/>
        <v>538</v>
      </c>
      <c r="AU47">
        <f t="shared" si="2"/>
        <v>1011</v>
      </c>
      <c r="AV47" s="29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</v>
      </c>
      <c r="AW47" s="29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29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29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29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29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29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29" cm="1">
        <f t="array" ref="BI47">$G$14+VLOOKUP($R47,武学奇术!$A:$ZZ,16,FALSE)+SUM(_xlfn.XLOOKUP(S47:AG47,增益!$A:$A,增益!$P:$P,0))</f>
        <v>0</v>
      </c>
      <c r="BJ47" s="20">
        <f>MIN(IF(VLOOKUP($R47,武学奇术!$A:$ZZ,23,FALSE)=1,100%,$B$8),100%)</f>
        <v>0.8271</v>
      </c>
      <c r="BK47" s="20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0.2249</v>
      </c>
      <c r="BL47" s="20" cm="1">
        <f t="array" ref="BL47">1+$B$13+VLOOKUP($R47,武学奇术!$A:$ZZ,18,FALSE)+SUM(_xlfn.XLOOKUP(S47:AG47,增益!$A:$A,增益!$R:$R,0))</f>
        <v>1.5</v>
      </c>
      <c r="BM47" s="20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0.4459</v>
      </c>
      <c r="BN47" s="20" cm="1">
        <f t="array" ref="BN47">1+$B$14+VLOOKUP($R47,武学奇术!$A:$ZZ,20,FALSE)+SUM(_xlfn.XLOOKUP(S47:AG47,增益!$A:$A,增益!$T:$T,0))</f>
        <v>1.602</v>
      </c>
      <c r="BO47" s="20">
        <f t="shared" si="9"/>
        <v>0.18601479</v>
      </c>
      <c r="BP47" s="20">
        <f t="shared" si="10"/>
        <v>0.27228132</v>
      </c>
      <c r="BQ47" s="20">
        <f>IF(VLOOKUP($R47,武学奇术!$A:$ZZ,22,FALSE)=1,0,(1-$BJ47))*(1-$BM47)</f>
        <v>0.09580389</v>
      </c>
      <c r="BR47" s="20" cm="1">
        <f t="array" ref="BR47">SUM(_xlfn.XLOOKUP(S47:AG47,增益!$A:$A,增益!$W:$W,0))+$I$5</f>
        <v>0.21</v>
      </c>
    </row>
    <row r="48" spans="5:70">
      <c r="K48" s="27">
        <f>$L48*VLOOKUP($R48,武学奇术!$A:$ZZ,31,FALSE)</f>
        <v>58568.4327948876</v>
      </c>
      <c r="L48" s="27">
        <f t="shared" si="0"/>
        <v>58568.4327948876</v>
      </c>
      <c r="M48" s="27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52737.5489260972</v>
      </c>
      <c r="N48" s="27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84043.2816049044</v>
      </c>
      <c r="O48" s="27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35158.3659507315</v>
      </c>
      <c r="P48" s="27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17855.2577410981</v>
      </c>
      <c r="Q48" s="35">
        <v>1</v>
      </c>
      <c r="R48" s="36" t="s">
        <v>110</v>
      </c>
      <c r="S48" s="36" t="s">
        <v>152</v>
      </c>
      <c r="T48" s="36" t="s">
        <v>93</v>
      </c>
      <c r="U48" s="36" t="s">
        <v>71</v>
      </c>
      <c r="V48" s="36" t="s">
        <v>71</v>
      </c>
      <c r="W48" s="36" t="s">
        <v>111</v>
      </c>
      <c r="X48" s="36" t="s">
        <v>71</v>
      </c>
      <c r="Y48" s="36" t="s">
        <v>71</v>
      </c>
      <c r="Z48" s="36" t="s">
        <v>71</v>
      </c>
      <c r="AA48" s="36" t="s">
        <v>71</v>
      </c>
      <c r="AB48" s="36" t="s">
        <v>71</v>
      </c>
      <c r="AC48" s="36" t="s">
        <v>71</v>
      </c>
      <c r="AD48" s="36" t="s">
        <v>72</v>
      </c>
      <c r="AE48" s="36" t="s">
        <v>94</v>
      </c>
      <c r="AF48" s="36" t="s">
        <v>154</v>
      </c>
      <c r="AG48" s="36" t="s">
        <v>120</v>
      </c>
      <c r="AH48" t="str">
        <f>VLOOKUP($R48,武学奇术!$A:$ZZ,25,FALSE)</f>
        <v>枪</v>
      </c>
      <c r="AI48" s="20">
        <f>VLOOKUP($R48,武学奇术!$A:$ZZ,26,FALSE)</f>
        <v>2.5683</v>
      </c>
      <c r="AJ48" s="21">
        <f>VLOOKUP($R48,武学奇术!$A:$ZZ,27,FALSE)*(1+IF(OR($AH48=$F$4,$AH48=$F$5),$B$22,0))</f>
        <v>995.4</v>
      </c>
      <c r="AK48" s="20">
        <f>VLOOKUP($R48,武学奇术!$A:$ZZ,28,FALSE)</f>
        <v>3.8524</v>
      </c>
      <c r="AL48" s="21">
        <f>VLOOKUP($R48,武学奇术!$A:$ZZ,29,FALSE)*(1+IF(OR($AH48=$F$4,$AH48=$F$5),$B$22,0))</f>
        <v>541.8</v>
      </c>
      <c r="AM48" s="20" cm="1">
        <f t="array" ref="AM48">$G$3+IFERROR(VLOOKUP($AH48,$F$4:$G$7,2,FALSE),0)+VLOOKUP($R48,武学奇术!$A:$ZZ,2,FALSE)+SUM(_xlfn.XLOOKUP($S48:$AG48,增益!$A:$A,增益!$B:$B,0))</f>
        <v>0.5539</v>
      </c>
      <c r="AN48" s="20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1548.52</v>
      </c>
      <c r="AP48" cm="1">
        <f t="array" ref="AP48">$E$10*(1+$AN48)+VLOOKUP($R48,武学奇术!$A:$ZZ,4,FALSE)+SUM(_xlfn.XLOOKUP($S48:$AG48,增益!$A:$A,增益!$D:$D,0))-$I$2</f>
        <v>6659.56</v>
      </c>
      <c r="AQ48" s="29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0.2425</v>
      </c>
      <c r="AR48" s="29" cm="1">
        <f t="array" ref="AR48">$G$10+VLOOKUP($R48,武学奇术!$A:$ZZ,7,FALSE)+SUM(_xlfn.XLOOKUP(S48:AG48,增益!$A:$A,增益!$G:$G,0))</f>
        <v>0</v>
      </c>
      <c r="AS48" s="20" cm="1">
        <f t="array" ref="AS48">VLOOKUP($R48,武学奇术!$A:$ZZ,8,FALSE)+SUM(_xlfn.XLOOKUP(S48:AG48,增益!$A:$A,增益!$H:$H,0))</f>
        <v>0</v>
      </c>
      <c r="AT48">
        <f t="shared" si="1"/>
        <v>538</v>
      </c>
      <c r="AU48">
        <f t="shared" si="2"/>
        <v>1011</v>
      </c>
      <c r="AV48" s="29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</v>
      </c>
      <c r="AW48" s="29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29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29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29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29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29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29" cm="1">
        <f t="array" ref="BI48">$G$14+VLOOKUP($R48,武学奇术!$A:$ZZ,16,FALSE)+SUM(_xlfn.XLOOKUP(S48:AG48,增益!$A:$A,增益!$P:$P,0))</f>
        <v>0</v>
      </c>
      <c r="BJ48" s="20">
        <f>MIN(IF(VLOOKUP($R48,武学奇术!$A:$ZZ,23,FALSE)=1,100%,$B$8),100%)</f>
        <v>0.8271</v>
      </c>
      <c r="BK48" s="20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0.2249</v>
      </c>
      <c r="BL48" s="20" cm="1">
        <f t="array" ref="BL48">1+$B$13+VLOOKUP($R48,武学奇术!$A:$ZZ,18,FALSE)+SUM(_xlfn.XLOOKUP(S48:AG48,增益!$A:$A,增益!$R:$R,0))</f>
        <v>1.5</v>
      </c>
      <c r="BM48" s="20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0.4459</v>
      </c>
      <c r="BN48" s="20" cm="1">
        <f t="array" ref="BN48">1+$B$14+VLOOKUP($R48,武学奇术!$A:$ZZ,20,FALSE)+SUM(_xlfn.XLOOKUP(S48:AG48,增益!$A:$A,增益!$T:$T,0))</f>
        <v>1.602</v>
      </c>
      <c r="BO48" s="20">
        <f t="shared" si="9"/>
        <v>0.18601479</v>
      </c>
      <c r="BP48" s="20">
        <f t="shared" si="10"/>
        <v>0.27228132</v>
      </c>
      <c r="BQ48" s="20">
        <f>IF(VLOOKUP($R48,武学奇术!$A:$ZZ,22,FALSE)=1,0,(1-$BJ48))*(1-$BM48)</f>
        <v>0.09580389</v>
      </c>
      <c r="BR48" s="20" cm="1">
        <f t="array" ref="BR48">SUM(_xlfn.XLOOKUP(S48:AG48,增益!$A:$A,增益!$W:$W,0))+$I$5</f>
        <v>0.21</v>
      </c>
    </row>
    <row r="49" spans="4:70">
      <c r="K49" s="27">
        <f>$L49*VLOOKUP($R49,武学奇术!$A:$ZZ,31,FALSE)</f>
        <v>71577.0421527907</v>
      </c>
      <c r="L49" s="27">
        <f t="shared" si="0"/>
        <v>119295.070254651</v>
      </c>
      <c r="M49" s="27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97767.4233070488</v>
      </c>
      <c r="N49" s="27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180735.836558568</v>
      </c>
      <c r="O49" s="27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65178.2822046992</v>
      </c>
      <c r="P49" s="27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28933.5360375872</v>
      </c>
      <c r="Q49" s="35">
        <v>1</v>
      </c>
      <c r="R49" s="36" t="s">
        <v>105</v>
      </c>
      <c r="S49" s="36" t="s">
        <v>152</v>
      </c>
      <c r="T49" s="36" t="s">
        <v>99</v>
      </c>
      <c r="U49" s="36" t="s">
        <v>100</v>
      </c>
      <c r="V49" s="36" t="s">
        <v>101</v>
      </c>
      <c r="W49" s="36" t="s">
        <v>111</v>
      </c>
      <c r="X49" s="36" t="s">
        <v>71</v>
      </c>
      <c r="Y49" s="36" t="s">
        <v>71</v>
      </c>
      <c r="Z49" s="36" t="s">
        <v>71</v>
      </c>
      <c r="AA49" s="36" t="s">
        <v>71</v>
      </c>
      <c r="AB49" s="36" t="s">
        <v>71</v>
      </c>
      <c r="AC49" s="36" t="s">
        <v>71</v>
      </c>
      <c r="AD49" s="36" t="s">
        <v>72</v>
      </c>
      <c r="AE49" s="36" t="s">
        <v>94</v>
      </c>
      <c r="AF49" s="36" t="s">
        <v>154</v>
      </c>
      <c r="AG49" s="36" t="s">
        <v>120</v>
      </c>
      <c r="AH49" t="str">
        <f>VLOOKUP($R49,武学奇术!$A:$ZZ,25,FALSE)</f>
        <v>剑</v>
      </c>
      <c r="AI49" s="20">
        <f>VLOOKUP($R49,武学奇术!$A:$ZZ,26,FALSE)</f>
        <v>2.496</v>
      </c>
      <c r="AJ49" s="21">
        <f>VLOOKUP($R49,武学奇术!$A:$ZZ,27,FALSE)*(1+IF(OR($AH49=$F$4,$AH49=$F$5),$B$22,0))</f>
        <v>0</v>
      </c>
      <c r="AK49" s="20">
        <f>VLOOKUP($R49,武学奇术!$A:$ZZ,28,FALSE)</f>
        <v>3.744</v>
      </c>
      <c r="AL49" s="21">
        <f>VLOOKUP($R49,武学奇术!$A:$ZZ,29,FALSE)*(1+IF(OR($AH49=$F$4,$AH49=$F$5),$B$22,0))</f>
        <v>0</v>
      </c>
      <c r="AM49" s="20" cm="1">
        <f t="array" ref="AM49">$G$3+IFERROR(VLOOKUP($AH49,$F$4:$G$7,2,FALSE),0)+VLOOKUP($R49,武学奇术!$A:$ZZ,2,FALSE)+SUM(_xlfn.XLOOKUP($S49:$AG49,增益!$A:$A,增益!$B:$B,0))</f>
        <v>1.3891</v>
      </c>
      <c r="AN49" s="20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1548.52</v>
      </c>
      <c r="AP49" cm="1">
        <f t="array" ref="AP49">$E$10*(1+$AN49)+VLOOKUP($R49,武学奇术!$A:$ZZ,4,FALSE)+SUM(_xlfn.XLOOKUP($S49:$AG49,增益!$A:$A,增益!$D:$D,0))-$I$2</f>
        <v>6659.56</v>
      </c>
      <c r="AQ49" s="29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0.3175</v>
      </c>
      <c r="AR49" s="29" cm="1">
        <f t="array" ref="AR49">$G$10+VLOOKUP($R49,武学奇术!$A:$ZZ,7,FALSE)+SUM(_xlfn.XLOOKUP(S49:AG49,增益!$A:$A,增益!$G:$G,0))</f>
        <v>0</v>
      </c>
      <c r="AS49" s="20" cm="1">
        <f t="array" ref="AS49">VLOOKUP($R49,武学奇术!$A:$ZZ,8,FALSE)+SUM(_xlfn.XLOOKUP(S49:AG49,增益!$A:$A,增益!$H:$H,0))</f>
        <v>0</v>
      </c>
      <c r="AT49">
        <f t="shared" si="1"/>
        <v>538</v>
      </c>
      <c r="AU49">
        <f t="shared" si="2"/>
        <v>1011</v>
      </c>
      <c r="AV49" s="29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0.075</v>
      </c>
      <c r="AW49" s="29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29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29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29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29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29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29" cm="1">
        <f t="array" ref="BI49">$G$14+VLOOKUP($R49,武学奇术!$A:$ZZ,16,FALSE)+SUM(_xlfn.XLOOKUP(S49:AG49,增益!$A:$A,增益!$P:$P,0))</f>
        <v>0</v>
      </c>
      <c r="BJ49" s="20">
        <f>MIN(IF(VLOOKUP($R49,武学奇术!$A:$ZZ,23,FALSE)=1,100%,$B$8),100%)</f>
        <v>0.8271</v>
      </c>
      <c r="BK49" s="20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0.2249</v>
      </c>
      <c r="BL49" s="20" cm="1">
        <f t="array" ref="BL49">1+$B$13+VLOOKUP($R49,武学奇术!$A:$ZZ,18,FALSE)+SUM(_xlfn.XLOOKUP(S49:AG49,增益!$A:$A,增益!$R:$R,0))</f>
        <v>1.5</v>
      </c>
      <c r="BM49" s="20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0.4459</v>
      </c>
      <c r="BN49" s="20" cm="1">
        <f t="array" ref="BN49">1+$B$14+VLOOKUP($R49,武学奇术!$A:$ZZ,20,FALSE)+SUM(_xlfn.XLOOKUP(S49:AG49,增益!$A:$A,增益!$T:$T,0))</f>
        <v>1.782</v>
      </c>
      <c r="BO49" s="20">
        <f t="shared" si="9"/>
        <v>0.18601479</v>
      </c>
      <c r="BP49" s="20">
        <f t="shared" si="10"/>
        <v>0.27228132</v>
      </c>
      <c r="BQ49" s="20">
        <f>IF(VLOOKUP($R49,武学奇术!$A:$ZZ,22,FALSE)=1,0,(1-$BJ49))*(1-$BM49)</f>
        <v>0.09580389</v>
      </c>
      <c r="BR49" s="20" cm="1">
        <f t="array" ref="BR49">SUM(_xlfn.XLOOKUP(S49:AG49,增益!$A:$A,增益!$W:$W,0))+$I$5</f>
        <v>0.21</v>
      </c>
    </row>
    <row r="50" spans="4:70">
      <c r="K50" s="27">
        <f>$L50*VLOOKUP($R50,武学奇术!$A:$ZZ,31,FALSE)</f>
        <v>28335.0052580239</v>
      </c>
      <c r="L50" s="27">
        <f t="shared" si="0"/>
        <v>28335.0052580239</v>
      </c>
      <c r="M50" s="27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25513.2606229572</v>
      </c>
      <c r="N50" s="27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40660.5922140283</v>
      </c>
      <c r="O50" s="27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17008.8404153048</v>
      </c>
      <c r="P50" s="27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8636.53712647211</v>
      </c>
      <c r="Q50" s="35">
        <v>1</v>
      </c>
      <c r="R50" s="36" t="s">
        <v>92</v>
      </c>
      <c r="S50" s="36" t="s">
        <v>152</v>
      </c>
      <c r="T50" s="36" t="s">
        <v>93</v>
      </c>
      <c r="U50" s="36" t="s">
        <v>71</v>
      </c>
      <c r="V50" s="36" t="s">
        <v>71</v>
      </c>
      <c r="W50" s="36" t="s">
        <v>111</v>
      </c>
      <c r="X50" s="36" t="s">
        <v>71</v>
      </c>
      <c r="Y50" s="36" t="s">
        <v>71</v>
      </c>
      <c r="Z50" s="36" t="s">
        <v>71</v>
      </c>
      <c r="AA50" s="36" t="s">
        <v>71</v>
      </c>
      <c r="AB50" s="36" t="s">
        <v>71</v>
      </c>
      <c r="AC50" s="36" t="s">
        <v>71</v>
      </c>
      <c r="AD50" s="36" t="s">
        <v>72</v>
      </c>
      <c r="AE50" s="36" t="s">
        <v>94</v>
      </c>
      <c r="AF50" s="36" t="s">
        <v>154</v>
      </c>
      <c r="AG50" s="36" t="s">
        <v>120</v>
      </c>
      <c r="AH50" t="str">
        <f>VLOOKUP($R50,武学奇术!$A:$ZZ,25,FALSE)</f>
        <v>剑</v>
      </c>
      <c r="AI50" s="20">
        <f>VLOOKUP($R50,武学奇术!$A:$ZZ,26,FALSE)</f>
        <v>1.1781</v>
      </c>
      <c r="AJ50" s="21">
        <f>VLOOKUP($R50,武学奇术!$A:$ZZ,27,FALSE)*(1+IF(OR($AH50=$F$4,$AH50=$F$5),$B$22,0))</f>
        <v>456.4</v>
      </c>
      <c r="AK50" s="20">
        <f>VLOOKUP($R50,武学奇术!$A:$ZZ,28,FALSE)</f>
        <v>1.7672</v>
      </c>
      <c r="AL50" s="21">
        <f>VLOOKUP($R50,武学奇术!$A:$ZZ,29,FALSE)*(1+IF(OR($AH50=$F$4,$AH50=$F$5),$B$22,0))</f>
        <v>247.8</v>
      </c>
      <c r="AM50" s="20" cm="1">
        <f t="array" ref="AM50">$G$3+IFERROR(VLOOKUP($AH50,$F$4:$G$7,2,FALSE),0)+VLOOKUP($R50,武学奇术!$A:$ZZ,2,FALSE)+SUM(_xlfn.XLOOKUP($S50:$AG50,增益!$A:$A,增益!$B:$B,0))</f>
        <v>0.6391</v>
      </c>
      <c r="AN50" s="20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1548.52</v>
      </c>
      <c r="AP50" cm="1">
        <f t="array" ref="AP50">$E$10*(1+$AN50)+VLOOKUP($R50,武学奇术!$A:$ZZ,4,FALSE)+SUM(_xlfn.XLOOKUP($S50:$AG50,增益!$A:$A,增益!$D:$D,0))-$I$2</f>
        <v>6659.56</v>
      </c>
      <c r="AQ50" s="29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0.2425</v>
      </c>
      <c r="AR50" s="29" cm="1">
        <f t="array" ref="AR50">$G$10+VLOOKUP($R50,武学奇术!$A:$ZZ,7,FALSE)+SUM(_xlfn.XLOOKUP(S50:AG50,增益!$A:$A,增益!$G:$G,0))</f>
        <v>0</v>
      </c>
      <c r="AS50" s="20" cm="1">
        <f t="array" ref="AS50">VLOOKUP($R50,武学奇术!$A:$ZZ,8,FALSE)+SUM(_xlfn.XLOOKUP(S50:AG50,增益!$A:$A,增益!$H:$H,0))</f>
        <v>0</v>
      </c>
      <c r="AT50">
        <f t="shared" si="1"/>
        <v>538</v>
      </c>
      <c r="AU50">
        <f t="shared" si="2"/>
        <v>1011</v>
      </c>
      <c r="AV50" s="29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</v>
      </c>
      <c r="AW50" s="29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29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29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29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29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29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29" cm="1">
        <f t="array" ref="BI50">$G$14+VLOOKUP($R50,武学奇术!$A:$ZZ,16,FALSE)+SUM(_xlfn.XLOOKUP(S50:AG50,增益!$A:$A,增益!$P:$P,0))</f>
        <v>0</v>
      </c>
      <c r="BJ50" s="20">
        <f>MIN(IF(VLOOKUP($R50,武学奇术!$A:$ZZ,23,FALSE)=1,100%,$B$8),100%)</f>
        <v>0.8271</v>
      </c>
      <c r="BK50" s="20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0.2249</v>
      </c>
      <c r="BL50" s="20" cm="1">
        <f t="array" ref="BL50">1+$B$13+VLOOKUP($R50,武学奇术!$A:$ZZ,18,FALSE)+SUM(_xlfn.XLOOKUP(S50:AG50,增益!$A:$A,增益!$R:$R,0))</f>
        <v>1.5</v>
      </c>
      <c r="BM50" s="20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0.4459</v>
      </c>
      <c r="BN50" s="20" cm="1">
        <f t="array" ref="BN50">1+$B$14+VLOOKUP($R50,武学奇术!$A:$ZZ,20,FALSE)+SUM(_xlfn.XLOOKUP(S50:AG50,增益!$A:$A,增益!$T:$T,0))</f>
        <v>1.602</v>
      </c>
      <c r="BO50" s="20">
        <f t="shared" si="9"/>
        <v>0.18601479</v>
      </c>
      <c r="BP50" s="20">
        <f t="shared" si="10"/>
        <v>0.27228132</v>
      </c>
      <c r="BQ50" s="20">
        <f>IF(VLOOKUP($R50,武学奇术!$A:$ZZ,22,FALSE)=1,0,(1-$BJ50))*(1-$BM50)</f>
        <v>0.09580389</v>
      </c>
      <c r="BR50" s="20" cm="1">
        <f t="array" ref="BR50">SUM(_xlfn.XLOOKUP(S50:AG50,增益!$A:$A,增益!$W:$W,0))+$I$5</f>
        <v>0.21</v>
      </c>
    </row>
    <row r="51" spans="4:70">
      <c r="K51" s="27">
        <f>$L51*VLOOKUP($R51,武学奇术!$A:$ZZ,31,FALSE)</f>
        <v>108441.501935141</v>
      </c>
      <c r="L51" s="27">
        <f t="shared" si="0"/>
        <v>180735.836558568</v>
      </c>
      <c r="M51" s="27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97767.4233070488</v>
      </c>
      <c r="N51" s="27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180735.836558568</v>
      </c>
      <c r="O51" s="27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65178.2822046992</v>
      </c>
      <c r="P51" s="27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28933.5360375872</v>
      </c>
      <c r="Q51" s="35">
        <v>1</v>
      </c>
      <c r="R51" s="36" t="s">
        <v>98</v>
      </c>
      <c r="S51" s="36" t="s">
        <v>152</v>
      </c>
      <c r="T51" s="36" t="s">
        <v>99</v>
      </c>
      <c r="U51" s="36" t="s">
        <v>100</v>
      </c>
      <c r="V51" s="36" t="s">
        <v>101</v>
      </c>
      <c r="W51" s="36" t="s">
        <v>111</v>
      </c>
      <c r="X51" s="36" t="s">
        <v>71</v>
      </c>
      <c r="Y51" s="36" t="s">
        <v>71</v>
      </c>
      <c r="Z51" s="36" t="s">
        <v>71</v>
      </c>
      <c r="AA51" s="36" t="s">
        <v>71</v>
      </c>
      <c r="AB51" s="36" t="s">
        <v>71</v>
      </c>
      <c r="AC51" s="36" t="s">
        <v>71</v>
      </c>
      <c r="AD51" s="36" t="s">
        <v>72</v>
      </c>
      <c r="AE51" s="36" t="s">
        <v>94</v>
      </c>
      <c r="AF51" s="36" t="s">
        <v>154</v>
      </c>
      <c r="AG51" s="36" t="s">
        <v>120</v>
      </c>
      <c r="AH51" t="str">
        <f>VLOOKUP($R51,武学奇术!$A:$ZZ,25,FALSE)</f>
        <v>剑</v>
      </c>
      <c r="AI51" s="20">
        <f>VLOOKUP($R51,武学奇术!$A:$ZZ,26,FALSE)</f>
        <v>2.496</v>
      </c>
      <c r="AJ51" s="21">
        <f>VLOOKUP($R51,武学奇术!$A:$ZZ,27,FALSE)*(1+IF(OR($AH51=$F$4,$AH51=$F$5),$B$22,0))</f>
        <v>0</v>
      </c>
      <c r="AK51" s="20">
        <f>VLOOKUP($R51,武学奇术!$A:$ZZ,28,FALSE)</f>
        <v>3.744</v>
      </c>
      <c r="AL51" s="21">
        <f>VLOOKUP($R51,武学奇术!$A:$ZZ,29,FALSE)*(1+IF(OR($AH51=$F$4,$AH51=$F$5),$B$22,0))</f>
        <v>0</v>
      </c>
      <c r="AM51" s="20" cm="1">
        <f t="array" ref="AM51">$G$3+IFERROR(VLOOKUP($AH51,$F$4:$G$7,2,FALSE),0)+VLOOKUP($R51,武学奇术!$A:$ZZ,2,FALSE)+SUM(_xlfn.XLOOKUP($S51:$AG51,增益!$A:$A,增益!$B:$B,0))</f>
        <v>1.3891</v>
      </c>
      <c r="AN51" s="20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1548.52</v>
      </c>
      <c r="AP51" cm="1">
        <f t="array" ref="AP51">$E$10*(1+$AN51)+VLOOKUP($R51,武学奇术!$A:$ZZ,4,FALSE)+SUM(_xlfn.XLOOKUP($S51:$AG51,增益!$A:$A,增益!$D:$D,0))-$I$2</f>
        <v>6659.56</v>
      </c>
      <c r="AQ51" s="29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0.3175</v>
      </c>
      <c r="AR51" s="29" cm="1">
        <f t="array" ref="AR51">$G$10+VLOOKUP($R51,武学奇术!$A:$ZZ,7,FALSE)+SUM(_xlfn.XLOOKUP(S51:AG51,增益!$A:$A,增益!$G:$G,0))</f>
        <v>0</v>
      </c>
      <c r="AS51" s="20" cm="1">
        <f t="array" ref="AS51">VLOOKUP($R51,武学奇术!$A:$ZZ,8,FALSE)+SUM(_xlfn.XLOOKUP(S51:AG51,增益!$A:$A,增益!$H:$H,0))</f>
        <v>0</v>
      </c>
      <c r="AT51">
        <f t="shared" si="1"/>
        <v>538</v>
      </c>
      <c r="AU51">
        <f t="shared" si="2"/>
        <v>1011</v>
      </c>
      <c r="AV51" s="29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0.075</v>
      </c>
      <c r="AW51" s="29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29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29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29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29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29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29" cm="1">
        <f t="array" ref="BI51">$G$14+VLOOKUP($R51,武学奇术!$A:$ZZ,16,FALSE)+SUM(_xlfn.XLOOKUP(S51:AG51,增益!$A:$A,增益!$P:$P,0))</f>
        <v>0</v>
      </c>
      <c r="BJ51" s="20">
        <f>MIN(IF(VLOOKUP($R51,武学奇术!$A:$ZZ,23,FALSE)=1,100%,$B$8),100%)</f>
        <v>0.8271</v>
      </c>
      <c r="BK51" s="20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</v>
      </c>
      <c r="BL51" s="20" cm="1">
        <f t="array" ref="BL51">1+$B$13+VLOOKUP($R51,武学奇术!$A:$ZZ,18,FALSE)+SUM(_xlfn.XLOOKUP(S51:AG51,增益!$A:$A,增益!$R:$R,0))</f>
        <v>1.5</v>
      </c>
      <c r="BM51" s="20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1</v>
      </c>
      <c r="BN51" s="20" cm="1">
        <f t="array" ref="BN51">1+$B$14+VLOOKUP($R51,武学奇术!$A:$ZZ,20,FALSE)+SUM(_xlfn.XLOOKUP(S51:AG51,增益!$A:$A,增益!$T:$T,0))</f>
        <v>1.782</v>
      </c>
      <c r="BO51" s="20">
        <f t="shared" si="9"/>
        <v>0</v>
      </c>
      <c r="BP51" s="20">
        <f t="shared" si="10"/>
        <v>0</v>
      </c>
      <c r="BQ51" s="20">
        <f>IF(VLOOKUP($R51,武学奇术!$A:$ZZ,22,FALSE)=1,0,(1-$BJ51))*(1-$BM51)</f>
        <v>0</v>
      </c>
      <c r="BR51" s="20" cm="1">
        <f t="array" ref="BR51">SUM(_xlfn.XLOOKUP(S51:AG51,增益!$A:$A,增益!$W:$W,0))+$I$5</f>
        <v>0.21</v>
      </c>
    </row>
    <row r="52" spans="4:70">
      <c r="K52" s="27">
        <f>$L52*VLOOKUP($R52,武学奇术!$A:$ZZ,31,FALSE)</f>
        <v>71577.0421527907</v>
      </c>
      <c r="L52" s="27">
        <f t="shared" si="0"/>
        <v>119295.070254651</v>
      </c>
      <c r="M52" s="27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97767.4233070488</v>
      </c>
      <c r="N52" s="27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180735.836558568</v>
      </c>
      <c r="O52" s="27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65178.2822046992</v>
      </c>
      <c r="P52" s="27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28933.5360375872</v>
      </c>
      <c r="Q52" s="35">
        <v>1</v>
      </c>
      <c r="R52" s="36" t="s">
        <v>105</v>
      </c>
      <c r="S52" s="36" t="s">
        <v>152</v>
      </c>
      <c r="T52" s="36" t="s">
        <v>99</v>
      </c>
      <c r="U52" s="36" t="s">
        <v>100</v>
      </c>
      <c r="V52" s="36" t="s">
        <v>101</v>
      </c>
      <c r="W52" s="36" t="s">
        <v>111</v>
      </c>
      <c r="X52" s="36" t="s">
        <v>71</v>
      </c>
      <c r="Y52" s="36" t="s">
        <v>71</v>
      </c>
      <c r="Z52" s="36" t="s">
        <v>71</v>
      </c>
      <c r="AA52" s="36" t="s">
        <v>71</v>
      </c>
      <c r="AB52" s="36" t="s">
        <v>71</v>
      </c>
      <c r="AC52" s="36" t="s">
        <v>71</v>
      </c>
      <c r="AD52" s="36" t="s">
        <v>72</v>
      </c>
      <c r="AE52" s="36" t="s">
        <v>94</v>
      </c>
      <c r="AF52" s="36" t="s">
        <v>154</v>
      </c>
      <c r="AG52" s="36" t="s">
        <v>120</v>
      </c>
      <c r="AH52" t="str">
        <f>VLOOKUP($R52,武学奇术!$A:$ZZ,25,FALSE)</f>
        <v>剑</v>
      </c>
      <c r="AI52" s="20">
        <f>VLOOKUP($R52,武学奇术!$A:$ZZ,26,FALSE)</f>
        <v>2.496</v>
      </c>
      <c r="AJ52" s="21">
        <f>VLOOKUP($R52,武学奇术!$A:$ZZ,27,FALSE)*(1+IF(OR($AH52=$F$4,$AH52=$F$5),$B$22,0))</f>
        <v>0</v>
      </c>
      <c r="AK52" s="20">
        <f>VLOOKUP($R52,武学奇术!$A:$ZZ,28,FALSE)</f>
        <v>3.744</v>
      </c>
      <c r="AL52" s="21">
        <f>VLOOKUP($R52,武学奇术!$A:$ZZ,29,FALSE)*(1+IF(OR($AH52=$F$4,$AH52=$F$5),$B$22,0))</f>
        <v>0</v>
      </c>
      <c r="AM52" s="20" cm="1">
        <f t="array" ref="AM52">$G$3+IFERROR(VLOOKUP($AH52,$F$4:$G$7,2,FALSE),0)+VLOOKUP($R52,武学奇术!$A:$ZZ,2,FALSE)+SUM(_xlfn.XLOOKUP($S52:$AG52,增益!$A:$A,增益!$B:$B,0))</f>
        <v>1.3891</v>
      </c>
      <c r="AN52" s="20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1548.52</v>
      </c>
      <c r="AP52" cm="1">
        <f t="array" ref="AP52">$E$10*(1+$AN52)+VLOOKUP($R52,武学奇术!$A:$ZZ,4,FALSE)+SUM(_xlfn.XLOOKUP($S52:$AG52,增益!$A:$A,增益!$D:$D,0))-$I$2</f>
        <v>6659.56</v>
      </c>
      <c r="AQ52" s="29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0.3175</v>
      </c>
      <c r="AR52" s="29" cm="1">
        <f t="array" ref="AR52">$G$10+VLOOKUP($R52,武学奇术!$A:$ZZ,7,FALSE)+SUM(_xlfn.XLOOKUP(S52:AG52,增益!$A:$A,增益!$G:$G,0))</f>
        <v>0</v>
      </c>
      <c r="AS52" s="20" cm="1">
        <f t="array" ref="AS52">VLOOKUP($R52,武学奇术!$A:$ZZ,8,FALSE)+SUM(_xlfn.XLOOKUP(S52:AG52,增益!$A:$A,增益!$H:$H,0))</f>
        <v>0</v>
      </c>
      <c r="AT52">
        <f t="shared" si="1"/>
        <v>538</v>
      </c>
      <c r="AU52">
        <f t="shared" si="2"/>
        <v>1011</v>
      </c>
      <c r="AV52" s="29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0.075</v>
      </c>
      <c r="AW52" s="29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29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29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29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29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29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29" cm="1">
        <f t="array" ref="BI52">$G$14+VLOOKUP($R52,武学奇术!$A:$ZZ,16,FALSE)+SUM(_xlfn.XLOOKUP(S52:AG52,增益!$A:$A,增益!$P:$P,0))</f>
        <v>0</v>
      </c>
      <c r="BJ52" s="20">
        <f>MIN(IF(VLOOKUP($R52,武学奇术!$A:$ZZ,23,FALSE)=1,100%,$B$8),100%)</f>
        <v>0.8271</v>
      </c>
      <c r="BK52" s="20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0.2249</v>
      </c>
      <c r="BL52" s="20" cm="1">
        <f t="array" ref="BL52">1+$B$13+VLOOKUP($R52,武学奇术!$A:$ZZ,18,FALSE)+SUM(_xlfn.XLOOKUP(S52:AG52,增益!$A:$A,增益!$R:$R,0))</f>
        <v>1.5</v>
      </c>
      <c r="BM52" s="20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0.4459</v>
      </c>
      <c r="BN52" s="20" cm="1">
        <f t="array" ref="BN52">1+$B$14+VLOOKUP($R52,武学奇术!$A:$ZZ,20,FALSE)+SUM(_xlfn.XLOOKUP(S52:AG52,增益!$A:$A,增益!$T:$T,0))</f>
        <v>1.782</v>
      </c>
      <c r="BO52" s="20">
        <f t="shared" si="9"/>
        <v>0.18601479</v>
      </c>
      <c r="BP52" s="20">
        <f t="shared" si="10"/>
        <v>0.27228132</v>
      </c>
      <c r="BQ52" s="20">
        <f>IF(VLOOKUP($R52,武学奇术!$A:$ZZ,22,FALSE)=1,0,(1-$BJ52))*(1-$BM52)</f>
        <v>0.09580389</v>
      </c>
      <c r="BR52" s="20" cm="1">
        <f t="array" ref="BR52">SUM(_xlfn.XLOOKUP(S52:AG52,增益!$A:$A,增益!$W:$W,0))+$I$5</f>
        <v>0.21</v>
      </c>
    </row>
    <row r="53" spans="4:70">
      <c r="K53" s="27">
        <f>$L53*VLOOKUP($R53,武学奇术!$A:$ZZ,31,FALSE)</f>
        <v>13607.4375354739</v>
      </c>
      <c r="L53" s="27">
        <f t="shared" si="0"/>
        <v>13607.4375354739</v>
      </c>
      <c r="M53" s="27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11965.4681019039</v>
      </c>
      <c r="N53" s="27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19894.5954134209</v>
      </c>
      <c r="O53" s="27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7976.97873460263</v>
      </c>
      <c r="P53" s="27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3535.35858442319</v>
      </c>
      <c r="Q53" s="35">
        <v>1</v>
      </c>
      <c r="R53" s="36" t="s">
        <v>107</v>
      </c>
      <c r="S53" s="36" t="s">
        <v>152</v>
      </c>
      <c r="T53" s="36" t="s">
        <v>93</v>
      </c>
      <c r="U53" s="36" t="s">
        <v>71</v>
      </c>
      <c r="V53" s="36" t="s">
        <v>71</v>
      </c>
      <c r="W53" s="36" t="s">
        <v>111</v>
      </c>
      <c r="X53" s="36" t="s">
        <v>71</v>
      </c>
      <c r="Y53" s="36" t="s">
        <v>71</v>
      </c>
      <c r="Z53" s="36" t="s">
        <v>71</v>
      </c>
      <c r="AA53" s="36" t="s">
        <v>71</v>
      </c>
      <c r="AB53" s="36" t="s">
        <v>71</v>
      </c>
      <c r="AC53" s="36" t="s">
        <v>71</v>
      </c>
      <c r="AD53" s="36" t="s">
        <v>72</v>
      </c>
      <c r="AE53" s="36" t="s">
        <v>94</v>
      </c>
      <c r="AF53" s="36" t="s">
        <v>154</v>
      </c>
      <c r="AG53" s="36" t="s">
        <v>120</v>
      </c>
      <c r="AH53" t="str">
        <f>VLOOKUP($R53,武学奇术!$A:$ZZ,25,FALSE)</f>
        <v>剑</v>
      </c>
      <c r="AI53" s="20">
        <f>VLOOKUP($R53,武学奇术!$A:$ZZ,26,FALSE)</f>
        <v>0.625</v>
      </c>
      <c r="AJ53" s="21">
        <f>VLOOKUP($R53,武学奇术!$A:$ZZ,27,FALSE)*(1+IF(OR($AH53=$F$4,$AH53=$F$5),$B$22,0))</f>
        <v>0</v>
      </c>
      <c r="AK53" s="20">
        <f>VLOOKUP($R53,武学奇术!$A:$ZZ,28,FALSE)</f>
        <v>0.9375</v>
      </c>
      <c r="AL53" s="21">
        <f>VLOOKUP($R53,武学奇术!$A:$ZZ,29,FALSE)*(1+IF(OR($AH53=$F$4,$AH53=$F$5),$B$22,0))</f>
        <v>0</v>
      </c>
      <c r="AM53" s="20" cm="1">
        <f t="array" ref="AM53">$G$3+IFERROR(VLOOKUP($AH53,$F$4:$G$7,2,FALSE),0)+VLOOKUP($R53,武学奇术!$A:$ZZ,2,FALSE)+SUM(_xlfn.XLOOKUP($S53:$AG53,增益!$A:$A,增益!$B:$B,0))</f>
        <v>0.6391</v>
      </c>
      <c r="AN53" s="20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1548.52</v>
      </c>
      <c r="AP53" cm="1">
        <f t="array" ref="AP53">$E$10*(1+$AN53)+VLOOKUP($R53,武学奇术!$A:$ZZ,4,FALSE)+SUM(_xlfn.XLOOKUP($S53:$AG53,增益!$A:$A,增益!$D:$D,0))-$I$2</f>
        <v>6659.56</v>
      </c>
      <c r="AQ53" s="29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0.2425</v>
      </c>
      <c r="AR53" s="29" cm="1">
        <f t="array" ref="AR53">$G$10+VLOOKUP($R53,武学奇术!$A:$ZZ,7,FALSE)+SUM(_xlfn.XLOOKUP(S53:AG53,增益!$A:$A,增益!$G:$G,0))</f>
        <v>0</v>
      </c>
      <c r="AS53" s="20" cm="1">
        <f t="array" ref="AS53">VLOOKUP($R53,武学奇术!$A:$ZZ,8,FALSE)+SUM(_xlfn.XLOOKUP(S53:AG53,增益!$A:$A,增益!$H:$H,0))</f>
        <v>0</v>
      </c>
      <c r="AT53">
        <f t="shared" si="1"/>
        <v>538</v>
      </c>
      <c r="AU53">
        <f t="shared" si="2"/>
        <v>1011</v>
      </c>
      <c r="AV53" s="29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</v>
      </c>
      <c r="AW53" s="29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29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29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29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29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29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29" cm="1">
        <f t="array" ref="BI53">$G$14+VLOOKUP($R53,武学奇术!$A:$ZZ,16,FALSE)+SUM(_xlfn.XLOOKUP(S53:AG53,增益!$A:$A,增益!$P:$P,0))</f>
        <v>0</v>
      </c>
      <c r="BJ53" s="20">
        <f>MIN(IF(VLOOKUP($R53,武学奇术!$A:$ZZ,23,FALSE)=1,100%,$B$8),100%)</f>
        <v>0.8271</v>
      </c>
      <c r="BK53" s="20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0.2249</v>
      </c>
      <c r="BL53" s="20" cm="1">
        <f t="array" ref="BL53">1+$B$13+VLOOKUP($R53,武学奇术!$A:$ZZ,18,FALSE)+SUM(_xlfn.XLOOKUP(S53:AG53,增益!$A:$A,增益!$R:$R,0))</f>
        <v>1.5</v>
      </c>
      <c r="BM53" s="20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0.4459</v>
      </c>
      <c r="BN53" s="20" cm="1">
        <f t="array" ref="BN53">1+$B$14+VLOOKUP($R53,武学奇术!$A:$ZZ,20,FALSE)+SUM(_xlfn.XLOOKUP(S53:AG53,增益!$A:$A,增益!$T:$T,0))</f>
        <v>1.602</v>
      </c>
      <c r="BO53" s="20">
        <f t="shared" si="9"/>
        <v>0.18601479</v>
      </c>
      <c r="BP53" s="20">
        <f t="shared" si="10"/>
        <v>0.27228132</v>
      </c>
      <c r="BQ53" s="20">
        <f>IF(VLOOKUP($R53,武学奇术!$A:$ZZ,22,FALSE)=1,0,(1-$BJ53))*(1-$BM53)</f>
        <v>0.09580389</v>
      </c>
      <c r="BR53" s="20" cm="1">
        <f t="array" ref="BR53">SUM(_xlfn.XLOOKUP(S53:AG53,增益!$A:$A,增益!$W:$W,0))+$I$5</f>
        <v>0.21</v>
      </c>
    </row>
    <row r="54" spans="4:70">
      <c r="K54" s="27">
        <f>$L54*VLOOKUP($R54,武学奇术!$A:$ZZ,31,FALSE)</f>
        <v>60008.8741699672</v>
      </c>
      <c r="L54" s="27">
        <f t="shared" si="0"/>
        <v>60008.8741699672</v>
      </c>
      <c r="M54" s="27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54029.8566897072</v>
      </c>
      <c r="N54" s="27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86116.3203141061</v>
      </c>
      <c r="O54" s="27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36019.9044598048</v>
      </c>
      <c r="P54" s="27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18284.3031055609</v>
      </c>
      <c r="Q54" s="35">
        <v>1</v>
      </c>
      <c r="R54" s="36" t="s">
        <v>81</v>
      </c>
      <c r="S54" s="36" t="s">
        <v>71</v>
      </c>
      <c r="T54" s="36" t="s">
        <v>93</v>
      </c>
      <c r="U54" s="36" t="s">
        <v>71</v>
      </c>
      <c r="V54" s="36" t="s">
        <v>71</v>
      </c>
      <c r="W54" s="36" t="s">
        <v>111</v>
      </c>
      <c r="X54" s="36" t="s">
        <v>71</v>
      </c>
      <c r="Y54" s="36" t="s">
        <v>71</v>
      </c>
      <c r="Z54" s="36" t="s">
        <v>71</v>
      </c>
      <c r="AA54" s="36" t="s">
        <v>71</v>
      </c>
      <c r="AB54" s="36" t="s">
        <v>71</v>
      </c>
      <c r="AC54" s="36" t="s">
        <v>71</v>
      </c>
      <c r="AD54" s="36" t="s">
        <v>72</v>
      </c>
      <c r="AE54" s="36" t="s">
        <v>94</v>
      </c>
      <c r="AF54" s="36" t="s">
        <v>154</v>
      </c>
      <c r="AG54" s="36" t="s">
        <v>120</v>
      </c>
      <c r="AH54" t="str">
        <f>VLOOKUP($R54,武学奇术!$A:$ZZ,25,FALSE)</f>
        <v>剑</v>
      </c>
      <c r="AI54" s="20">
        <f>VLOOKUP($R54,武学奇术!$A:$ZZ,26,FALSE)</f>
        <v>2.7205</v>
      </c>
      <c r="AJ54" s="21">
        <f>VLOOKUP($R54,武学奇术!$A:$ZZ,27,FALSE)*(1+IF(OR($AH54=$F$4,$AH54=$F$5),$B$22,0))</f>
        <v>1048.6</v>
      </c>
      <c r="AK54" s="20">
        <f>VLOOKUP($R54,武学奇术!$A:$ZZ,28,FALSE)</f>
        <v>4.0806</v>
      </c>
      <c r="AL54" s="21">
        <f>VLOOKUP($R54,武学奇术!$A:$ZZ,29,FALSE)*(1+IF(OR($AH54=$F$4,$AH54=$F$5),$B$22,0))</f>
        <v>572.6</v>
      </c>
      <c r="AM54" s="20" cm="1">
        <f t="array" ref="AM54">$G$3+IFERROR(VLOOKUP($AH54,$F$4:$G$7,2,FALSE),0)+VLOOKUP($R54,武学奇术!$A:$ZZ,2,FALSE)+SUM(_xlfn.XLOOKUP($S54:$AG54,增益!$A:$A,增益!$B:$B,0))</f>
        <v>0.6391</v>
      </c>
      <c r="AN54" s="20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1548.52</v>
      </c>
      <c r="AP54" cm="1">
        <f t="array" ref="AP54">$E$10*(1+$AN54)+VLOOKUP($R54,武学奇术!$A:$ZZ,4,FALSE)+SUM(_xlfn.XLOOKUP($S54:$AG54,增益!$A:$A,增益!$D:$D,0))-$I$2</f>
        <v>6659.56</v>
      </c>
      <c r="AQ54" s="29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0.2425</v>
      </c>
      <c r="AR54" s="29" cm="1">
        <f t="array" ref="AR54">$G$10+VLOOKUP($R54,武学奇术!$A:$ZZ,7,FALSE)+SUM(_xlfn.XLOOKUP(S54:AG54,增益!$A:$A,增益!$G:$G,0))</f>
        <v>0</v>
      </c>
      <c r="AS54" s="20" cm="1">
        <f t="array" ref="AS54">VLOOKUP($R54,武学奇术!$A:$ZZ,8,FALSE)+SUM(_xlfn.XLOOKUP(S54:AG54,增益!$A:$A,增益!$H:$H,0))</f>
        <v>0</v>
      </c>
      <c r="AT54">
        <f t="shared" si="1"/>
        <v>538</v>
      </c>
      <c r="AU54">
        <f t="shared" si="2"/>
        <v>1011</v>
      </c>
      <c r="AV54" s="29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</v>
      </c>
      <c r="AW54" s="29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29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29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29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29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29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29" cm="1">
        <f t="array" ref="BI54">$G$14+VLOOKUP($R54,武学奇术!$A:$ZZ,16,FALSE)+SUM(_xlfn.XLOOKUP(S54:AG54,增益!$A:$A,增益!$P:$P,0))</f>
        <v>0</v>
      </c>
      <c r="BJ54" s="20">
        <f>MIN(IF(VLOOKUP($R54,武学奇术!$A:$ZZ,23,FALSE)=1,100%,$B$8),100%)</f>
        <v>0.8271</v>
      </c>
      <c r="BK54" s="20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0.2249</v>
      </c>
      <c r="BL54" s="20" cm="1">
        <f t="array" ref="BL54">1+$B$13+VLOOKUP($R54,武学奇术!$A:$ZZ,18,FALSE)+SUM(_xlfn.XLOOKUP(S54:AG54,增益!$A:$A,增益!$R:$R,0))</f>
        <v>1.5</v>
      </c>
      <c r="BM54" s="20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0.4459</v>
      </c>
      <c r="BN54" s="20" cm="1">
        <f t="array" ref="BN54">1+$B$14+VLOOKUP($R54,武学奇术!$A:$ZZ,20,FALSE)+SUM(_xlfn.XLOOKUP(S54:AG54,增益!$A:$A,增益!$T:$T,0))</f>
        <v>1.602</v>
      </c>
      <c r="BO54" s="20">
        <f t="shared" si="9"/>
        <v>0.18601479</v>
      </c>
      <c r="BP54" s="20">
        <f t="shared" si="10"/>
        <v>0.27228132</v>
      </c>
      <c r="BQ54" s="20">
        <f>IF(VLOOKUP($R54,武学奇术!$A:$ZZ,22,FALSE)=1,0,(1-$BJ54))*(1-$BM54)</f>
        <v>0.09580389</v>
      </c>
      <c r="BR54" s="20" cm="1">
        <f t="array" ref="BR54">SUM(_xlfn.XLOOKUP(S54:AG54,增益!$A:$A,增益!$W:$W,0))+$I$5</f>
        <v>0.11</v>
      </c>
    </row>
    <row r="55" spans="4:70">
      <c r="K55" s="27">
        <f>$L55*VLOOKUP($R55,武学奇术!$A:$ZZ,31,FALSE)</f>
        <v>65661.5841236345</v>
      </c>
      <c r="L55" s="27">
        <f t="shared" si="0"/>
        <v>109435.973539391</v>
      </c>
      <c r="M55" s="27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89687.4709676233</v>
      </c>
      <c r="N55" s="27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165798.990561992</v>
      </c>
      <c r="O55" s="27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59791.6473117489</v>
      </c>
      <c r="P55" s="27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26542.3347121667</v>
      </c>
      <c r="Q55" s="35">
        <v>1</v>
      </c>
      <c r="R55" s="36" t="s">
        <v>105</v>
      </c>
      <c r="S55" s="36" t="s">
        <v>71</v>
      </c>
      <c r="T55" s="36" t="s">
        <v>99</v>
      </c>
      <c r="U55" s="36" t="s">
        <v>100</v>
      </c>
      <c r="V55" s="36" t="s">
        <v>101</v>
      </c>
      <c r="W55" s="36" t="s">
        <v>111</v>
      </c>
      <c r="X55" s="36" t="s">
        <v>71</v>
      </c>
      <c r="Y55" s="36" t="s">
        <v>71</v>
      </c>
      <c r="Z55" s="36" t="s">
        <v>71</v>
      </c>
      <c r="AA55" s="36" t="s">
        <v>71</v>
      </c>
      <c r="AB55" s="36" t="s">
        <v>71</v>
      </c>
      <c r="AC55" s="36" t="s">
        <v>71</v>
      </c>
      <c r="AD55" s="36" t="s">
        <v>72</v>
      </c>
      <c r="AE55" s="36" t="s">
        <v>94</v>
      </c>
      <c r="AF55" s="36" t="s">
        <v>154</v>
      </c>
      <c r="AG55" s="36" t="s">
        <v>120</v>
      </c>
      <c r="AH55" t="str">
        <f>VLOOKUP($R55,武学奇术!$A:$ZZ,25,FALSE)</f>
        <v>剑</v>
      </c>
      <c r="AI55" s="20">
        <f>VLOOKUP($R55,武学奇术!$A:$ZZ,26,FALSE)</f>
        <v>2.496</v>
      </c>
      <c r="AJ55" s="21">
        <f>VLOOKUP($R55,武学奇术!$A:$ZZ,27,FALSE)*(1+IF(OR($AH55=$F$4,$AH55=$F$5),$B$22,0))</f>
        <v>0</v>
      </c>
      <c r="AK55" s="20">
        <f>VLOOKUP($R55,武学奇术!$A:$ZZ,28,FALSE)</f>
        <v>3.744</v>
      </c>
      <c r="AL55" s="21">
        <f>VLOOKUP($R55,武学奇术!$A:$ZZ,29,FALSE)*(1+IF(OR($AH55=$F$4,$AH55=$F$5),$B$22,0))</f>
        <v>0</v>
      </c>
      <c r="AM55" s="20" cm="1">
        <f t="array" ref="AM55">$G$3+IFERROR(VLOOKUP($AH55,$F$4:$G$7,2,FALSE),0)+VLOOKUP($R55,武学奇术!$A:$ZZ,2,FALSE)+SUM(_xlfn.XLOOKUP($S55:$AG55,增益!$A:$A,增益!$B:$B,0))</f>
        <v>1.3891</v>
      </c>
      <c r="AN55" s="20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1548.52</v>
      </c>
      <c r="AP55" cm="1">
        <f t="array" ref="AP55">$E$10*(1+$AN55)+VLOOKUP($R55,武学奇术!$A:$ZZ,4,FALSE)+SUM(_xlfn.XLOOKUP($S55:$AG55,增益!$A:$A,增益!$D:$D,0))-$I$2</f>
        <v>6659.56</v>
      </c>
      <c r="AQ55" s="29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0.3175</v>
      </c>
      <c r="AR55" s="29" cm="1">
        <f t="array" ref="AR55">$G$10+VLOOKUP($R55,武学奇术!$A:$ZZ,7,FALSE)+SUM(_xlfn.XLOOKUP(S55:AG55,增益!$A:$A,增益!$G:$G,0))</f>
        <v>0</v>
      </c>
      <c r="AS55" s="20" cm="1">
        <f t="array" ref="AS55">VLOOKUP($R55,武学奇术!$A:$ZZ,8,FALSE)+SUM(_xlfn.XLOOKUP(S55:AG55,增益!$A:$A,增益!$H:$H,0))</f>
        <v>0</v>
      </c>
      <c r="AT55">
        <f t="shared" si="1"/>
        <v>538</v>
      </c>
      <c r="AU55">
        <f t="shared" si="2"/>
        <v>1011</v>
      </c>
      <c r="AV55" s="29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0.075</v>
      </c>
      <c r="AW55" s="29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29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29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29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29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29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29" cm="1">
        <f t="array" ref="BI55">$G$14+VLOOKUP($R55,武学奇术!$A:$ZZ,16,FALSE)+SUM(_xlfn.XLOOKUP(S55:AG55,增益!$A:$A,增益!$P:$P,0))</f>
        <v>0</v>
      </c>
      <c r="BJ55" s="20">
        <f>MIN(IF(VLOOKUP($R55,武学奇术!$A:$ZZ,23,FALSE)=1,100%,$B$8),100%)</f>
        <v>0.8271</v>
      </c>
      <c r="BK55" s="20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0.2249</v>
      </c>
      <c r="BL55" s="20" cm="1">
        <f t="array" ref="BL55">1+$B$13+VLOOKUP($R55,武学奇术!$A:$ZZ,18,FALSE)+SUM(_xlfn.XLOOKUP(S55:AG55,增益!$A:$A,增益!$R:$R,0))</f>
        <v>1.5</v>
      </c>
      <c r="BM55" s="20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0.4459</v>
      </c>
      <c r="BN55" s="20" cm="1">
        <f t="array" ref="BN55">1+$B$14+VLOOKUP($R55,武学奇术!$A:$ZZ,20,FALSE)+SUM(_xlfn.XLOOKUP(S55:AG55,增益!$A:$A,增益!$T:$T,0))</f>
        <v>1.782</v>
      </c>
      <c r="BO55" s="20">
        <f t="shared" si="9"/>
        <v>0.18601479</v>
      </c>
      <c r="BP55" s="20">
        <f t="shared" si="10"/>
        <v>0.27228132</v>
      </c>
      <c r="BQ55" s="20">
        <f>IF(VLOOKUP($R55,武学奇术!$A:$ZZ,22,FALSE)=1,0,(1-$BJ55))*(1-$BM55)</f>
        <v>0.09580389</v>
      </c>
      <c r="BR55" s="20" cm="1">
        <f t="array" ref="BR55">SUM(_xlfn.XLOOKUP(S55:AG55,增益!$A:$A,增益!$W:$W,0))+$I$5</f>
        <v>0.11</v>
      </c>
    </row>
    <row r="56" spans="4:70">
      <c r="K56" s="27">
        <f>$L56*VLOOKUP($R56,武学奇术!$A:$ZZ,31,FALSE)</f>
        <v>15810.2859952662</v>
      </c>
      <c r="L56" s="27">
        <f t="shared" si="0"/>
        <v>15810.2859952662</v>
      </c>
      <c r="M56" s="27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13902.5053221931</v>
      </c>
      <c r="N56" s="27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23115.2443232833</v>
      </c>
      <c r="O56" s="27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9268.33688146208</v>
      </c>
      <c r="P56" s="27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4107.6823002005</v>
      </c>
      <c r="Q56" s="35">
        <v>1</v>
      </c>
      <c r="R56" s="36" t="s">
        <v>155</v>
      </c>
      <c r="S56" s="36" t="s">
        <v>71</v>
      </c>
      <c r="T56" s="36" t="s">
        <v>93</v>
      </c>
      <c r="U56" s="36" t="s">
        <v>71</v>
      </c>
      <c r="V56" s="36" t="s">
        <v>71</v>
      </c>
      <c r="W56" s="36" t="s">
        <v>111</v>
      </c>
      <c r="X56" s="36" t="s">
        <v>71</v>
      </c>
      <c r="Y56" s="36" t="s">
        <v>71</v>
      </c>
      <c r="Z56" s="36" t="s">
        <v>71</v>
      </c>
      <c r="AA56" s="36" t="s">
        <v>71</v>
      </c>
      <c r="AB56" s="36" t="s">
        <v>71</v>
      </c>
      <c r="AC56" s="36" t="s">
        <v>71</v>
      </c>
      <c r="AD56" s="36" t="s">
        <v>72</v>
      </c>
      <c r="AE56" s="36" t="s">
        <v>94</v>
      </c>
      <c r="AF56" s="36" t="s">
        <v>154</v>
      </c>
      <c r="AG56" s="36" t="s">
        <v>120</v>
      </c>
      <c r="AH56" t="str">
        <f>VLOOKUP($R56,武学奇术!$A:$ZZ,25,FALSE)</f>
        <v>剑</v>
      </c>
      <c r="AI56" s="20">
        <f>VLOOKUP($R56,武学奇术!$A:$ZZ,26,FALSE)</f>
        <v>0.7916</v>
      </c>
      <c r="AJ56" s="21">
        <f>VLOOKUP($R56,武学奇术!$A:$ZZ,27,FALSE)*(1+IF(OR($AH56=$F$4,$AH56=$F$5),$B$22,0))</f>
        <v>0</v>
      </c>
      <c r="AK56" s="20">
        <f>VLOOKUP($R56,武学奇术!$A:$ZZ,28,FALSE)</f>
        <v>1.1874</v>
      </c>
      <c r="AL56" s="21">
        <f>VLOOKUP($R56,武学奇术!$A:$ZZ,29,FALSE)*(1+IF(OR($AH56=$F$4,$AH56=$F$5),$B$22,0))</f>
        <v>0</v>
      </c>
      <c r="AM56" s="20" cm="1">
        <f t="array" ref="AM56">$G$3+IFERROR(VLOOKUP($AH56,$F$4:$G$7,2,FALSE),0)+VLOOKUP($R56,武学奇术!$A:$ZZ,2,FALSE)+SUM(_xlfn.XLOOKUP($S56:$AG56,增益!$A:$A,增益!$B:$B,0))</f>
        <v>0.6391</v>
      </c>
      <c r="AN56" s="20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1548.52</v>
      </c>
      <c r="AP56" cm="1">
        <f t="array" ref="AP56">$E$10*(1+$AN56)+VLOOKUP($R56,武学奇术!$A:$ZZ,4,FALSE)+SUM(_xlfn.XLOOKUP($S56:$AG56,增益!$A:$A,增益!$D:$D,0))-$I$2</f>
        <v>6659.56</v>
      </c>
      <c r="AQ56" s="29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0.2425</v>
      </c>
      <c r="AR56" s="29" cm="1">
        <f t="array" ref="AR56">$G$10+VLOOKUP($R56,武学奇术!$A:$ZZ,7,FALSE)+SUM(_xlfn.XLOOKUP(S56:AG56,增益!$A:$A,增益!$G:$G,0))</f>
        <v>0</v>
      </c>
      <c r="AS56" s="20" cm="1">
        <f t="array" ref="AS56">VLOOKUP($R56,武学奇术!$A:$ZZ,8,FALSE)+SUM(_xlfn.XLOOKUP(S56:AG56,增益!$A:$A,增益!$H:$H,0))</f>
        <v>0</v>
      </c>
      <c r="AT56">
        <f t="shared" si="1"/>
        <v>538</v>
      </c>
      <c r="AU56">
        <f t="shared" si="2"/>
        <v>1011</v>
      </c>
      <c r="AV56" s="29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</v>
      </c>
      <c r="AW56" s="29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29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29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29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29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29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29" cm="1">
        <f t="array" ref="BI56">$G$14+VLOOKUP($R56,武学奇术!$A:$ZZ,16,FALSE)+SUM(_xlfn.XLOOKUP(S56:AG56,增益!$A:$A,增益!$P:$P,0))</f>
        <v>0</v>
      </c>
      <c r="BJ56" s="20">
        <f>MIN(IF(VLOOKUP($R56,武学奇术!$A:$ZZ,23,FALSE)=1,100%,$B$8),100%)</f>
        <v>0.8271</v>
      </c>
      <c r="BK56" s="20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0.2249</v>
      </c>
      <c r="BL56" s="20" cm="1">
        <f t="array" ref="BL56">1+$B$13+VLOOKUP($R56,武学奇术!$A:$ZZ,18,FALSE)+SUM(_xlfn.XLOOKUP(S56:AG56,增益!$A:$A,增益!$R:$R,0))</f>
        <v>1.5</v>
      </c>
      <c r="BM56" s="20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0.4459</v>
      </c>
      <c r="BN56" s="20" cm="1">
        <f t="array" ref="BN56">1+$B$14+VLOOKUP($R56,武学奇术!$A:$ZZ,20,FALSE)+SUM(_xlfn.XLOOKUP(S56:AG56,增益!$A:$A,增益!$T:$T,0))</f>
        <v>1.602</v>
      </c>
      <c r="BO56" s="20">
        <f t="shared" si="9"/>
        <v>0.18601479</v>
      </c>
      <c r="BP56" s="20">
        <f t="shared" si="10"/>
        <v>0.27228132</v>
      </c>
      <c r="BQ56" s="20">
        <f>IF(VLOOKUP($R56,武学奇术!$A:$ZZ,22,FALSE)=1,0,(1-$BJ56))*(1-$BM56)</f>
        <v>0.09580389</v>
      </c>
      <c r="BR56" s="20" cm="1">
        <f t="array" ref="BR56">SUM(_xlfn.XLOOKUP(S56:AG56,增益!$A:$A,增益!$W:$W,0))+$I$5</f>
        <v>0.11</v>
      </c>
    </row>
    <row r="57" spans="4:70">
      <c r="D57" s="4"/>
      <c r="E57" s="4"/>
      <c r="K57" s="27">
        <f>$L57*VLOOKUP($R57,武学奇术!$A:$ZZ,31,FALSE)</f>
        <v>25993.2692862864</v>
      </c>
      <c r="L57" s="27">
        <f t="shared" si="0"/>
        <v>25993.2692862864</v>
      </c>
      <c r="M57" s="27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23404.7266871756</v>
      </c>
      <c r="N57" s="27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37300.2126922078</v>
      </c>
      <c r="O57" s="27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15603.1511247837</v>
      </c>
      <c r="P57" s="27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7922.77372759012</v>
      </c>
      <c r="Q57" s="35">
        <v>1</v>
      </c>
      <c r="R57" s="36" t="s">
        <v>92</v>
      </c>
      <c r="S57" s="36" t="s">
        <v>71</v>
      </c>
      <c r="T57" s="36" t="s">
        <v>93</v>
      </c>
      <c r="U57" s="36" t="s">
        <v>71</v>
      </c>
      <c r="V57" s="36" t="s">
        <v>71</v>
      </c>
      <c r="W57" s="36" t="s">
        <v>111</v>
      </c>
      <c r="X57" s="36" t="s">
        <v>71</v>
      </c>
      <c r="Y57" s="36" t="s">
        <v>71</v>
      </c>
      <c r="Z57" s="36" t="s">
        <v>71</v>
      </c>
      <c r="AA57" s="36" t="s">
        <v>71</v>
      </c>
      <c r="AB57" s="36" t="s">
        <v>71</v>
      </c>
      <c r="AC57" s="36" t="s">
        <v>71</v>
      </c>
      <c r="AD57" s="36" t="s">
        <v>72</v>
      </c>
      <c r="AE57" s="36" t="s">
        <v>94</v>
      </c>
      <c r="AF57" s="36" t="s">
        <v>154</v>
      </c>
      <c r="AG57" s="36" t="s">
        <v>120</v>
      </c>
      <c r="AH57" t="str">
        <f>VLOOKUP($R57,武学奇术!$A:$ZZ,25,FALSE)</f>
        <v>剑</v>
      </c>
      <c r="AI57" s="20">
        <f>VLOOKUP($R57,武学奇术!$A:$ZZ,26,FALSE)</f>
        <v>1.1781</v>
      </c>
      <c r="AJ57" s="21">
        <f>VLOOKUP($R57,武学奇术!$A:$ZZ,27,FALSE)*(1+IF(OR($AH57=$F$4,$AH57=$F$5),$B$22,0))</f>
        <v>456.4</v>
      </c>
      <c r="AK57" s="20">
        <f>VLOOKUP($R57,武学奇术!$A:$ZZ,28,FALSE)</f>
        <v>1.7672</v>
      </c>
      <c r="AL57" s="21">
        <f>VLOOKUP($R57,武学奇术!$A:$ZZ,29,FALSE)*(1+IF(OR($AH57=$F$4,$AH57=$F$5),$B$22,0))</f>
        <v>247.8</v>
      </c>
      <c r="AM57" s="20" cm="1">
        <f t="array" ref="AM57">$G$3+IFERROR(VLOOKUP($AH57,$F$4:$G$7,2,FALSE),0)+VLOOKUP($R57,武学奇术!$A:$ZZ,2,FALSE)+SUM(_xlfn.XLOOKUP($S57:$AG57,增益!$A:$A,增益!$B:$B,0))</f>
        <v>0.6391</v>
      </c>
      <c r="AN57" s="20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1548.52</v>
      </c>
      <c r="AP57" cm="1">
        <f t="array" ref="AP57">$E$10*(1+$AN57)+VLOOKUP($R57,武学奇术!$A:$ZZ,4,FALSE)+SUM(_xlfn.XLOOKUP($S57:$AG57,增益!$A:$A,增益!$D:$D,0))-$I$2</f>
        <v>6659.56</v>
      </c>
      <c r="AQ57" s="29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0.2425</v>
      </c>
      <c r="AR57" s="29" cm="1">
        <f t="array" ref="AR57">$G$10+VLOOKUP($R57,武学奇术!$A:$ZZ,7,FALSE)+SUM(_xlfn.XLOOKUP(S57:AG57,增益!$A:$A,增益!$G:$G,0))</f>
        <v>0</v>
      </c>
      <c r="AS57" s="20" cm="1">
        <f t="array" ref="AS57">VLOOKUP($R57,武学奇术!$A:$ZZ,8,FALSE)+SUM(_xlfn.XLOOKUP(S57:AG57,增益!$A:$A,增益!$H:$H,0))</f>
        <v>0</v>
      </c>
      <c r="AT57">
        <f t="shared" si="1"/>
        <v>538</v>
      </c>
      <c r="AU57">
        <f t="shared" si="2"/>
        <v>1011</v>
      </c>
      <c r="AV57" s="29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29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29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29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29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29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29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29" cm="1">
        <f t="array" ref="BI57">$G$14+VLOOKUP($R57,武学奇术!$A:$ZZ,16,FALSE)+SUM(_xlfn.XLOOKUP(S57:AG57,增益!$A:$A,增益!$P:$P,0))</f>
        <v>0</v>
      </c>
      <c r="BJ57" s="20">
        <f>MIN(IF(VLOOKUP($R57,武学奇术!$A:$ZZ,23,FALSE)=1,100%,$B$8),100%)</f>
        <v>0.8271</v>
      </c>
      <c r="BK57" s="20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0.2249</v>
      </c>
      <c r="BL57" s="20" cm="1">
        <f t="array" ref="BL57">1+$B$13+VLOOKUP($R57,武学奇术!$A:$ZZ,18,FALSE)+SUM(_xlfn.XLOOKUP(S57:AG57,增益!$A:$A,增益!$R:$R,0))</f>
        <v>1.5</v>
      </c>
      <c r="BM57" s="20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0.4459</v>
      </c>
      <c r="BN57" s="20" cm="1">
        <f t="array" ref="BN57">1+$B$14+VLOOKUP($R57,武学奇术!$A:$ZZ,20,FALSE)+SUM(_xlfn.XLOOKUP(S57:AG57,增益!$A:$A,增益!$T:$T,0))</f>
        <v>1.602</v>
      </c>
      <c r="BO57" s="20">
        <f t="shared" si="9"/>
        <v>0.18601479</v>
      </c>
      <c r="BP57" s="20">
        <f t="shared" si="10"/>
        <v>0.27228132</v>
      </c>
      <c r="BQ57" s="20">
        <f>IF(VLOOKUP($R57,武学奇术!$A:$ZZ,22,FALSE)=1,0,(1-$BJ57))*(1-$BM57)</f>
        <v>0.09580389</v>
      </c>
      <c r="BR57" s="20" cm="1">
        <f t="array" ref="BR57">SUM(_xlfn.XLOOKUP(S57:AG57,增益!$A:$A,增益!$W:$W,0))+$I$5</f>
        <v>0.11</v>
      </c>
    </row>
    <row r="58" spans="4:70">
      <c r="K58" s="27">
        <f>$L58*VLOOKUP($R58,武学奇术!$A:$ZZ,31,FALSE)</f>
        <v>65661.5841236345</v>
      </c>
      <c r="L58" s="27">
        <f t="shared" si="0"/>
        <v>109435.973539391</v>
      </c>
      <c r="M58" s="27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89687.4709676233</v>
      </c>
      <c r="N58" s="27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165798.990561992</v>
      </c>
      <c r="O58" s="27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59791.6473117489</v>
      </c>
      <c r="P58" s="27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26542.3347121667</v>
      </c>
      <c r="Q58" s="35">
        <v>1</v>
      </c>
      <c r="R58" s="36" t="s">
        <v>105</v>
      </c>
      <c r="S58" s="36" t="s">
        <v>71</v>
      </c>
      <c r="T58" s="36" t="s">
        <v>99</v>
      </c>
      <c r="U58" s="36" t="s">
        <v>100</v>
      </c>
      <c r="V58" s="36" t="s">
        <v>101</v>
      </c>
      <c r="W58" s="36" t="s">
        <v>111</v>
      </c>
      <c r="X58" s="36" t="s">
        <v>71</v>
      </c>
      <c r="Y58" s="36" t="s">
        <v>71</v>
      </c>
      <c r="Z58" s="36" t="s">
        <v>71</v>
      </c>
      <c r="AA58" s="36" t="s">
        <v>71</v>
      </c>
      <c r="AB58" s="36" t="s">
        <v>71</v>
      </c>
      <c r="AC58" s="36" t="s">
        <v>71</v>
      </c>
      <c r="AD58" s="36" t="s">
        <v>72</v>
      </c>
      <c r="AE58" s="36" t="s">
        <v>94</v>
      </c>
      <c r="AF58" s="36" t="s">
        <v>154</v>
      </c>
      <c r="AG58" s="36" t="s">
        <v>120</v>
      </c>
      <c r="AH58" t="str">
        <f>VLOOKUP($R58,武学奇术!$A:$ZZ,25,FALSE)</f>
        <v>剑</v>
      </c>
      <c r="AI58" s="20">
        <f>VLOOKUP($R58,武学奇术!$A:$ZZ,26,FALSE)</f>
        <v>2.496</v>
      </c>
      <c r="AJ58" s="21">
        <f>VLOOKUP($R58,武学奇术!$A:$ZZ,27,FALSE)*(1+IF(OR($AH58=$F$4,$AH58=$F$5),$B$22,0))</f>
        <v>0</v>
      </c>
      <c r="AK58" s="20">
        <f>VLOOKUP($R58,武学奇术!$A:$ZZ,28,FALSE)</f>
        <v>3.744</v>
      </c>
      <c r="AL58" s="21">
        <f>VLOOKUP($R58,武学奇术!$A:$ZZ,29,FALSE)*(1+IF(OR($AH58=$F$4,$AH58=$F$5),$B$22,0))</f>
        <v>0</v>
      </c>
      <c r="AM58" s="20" cm="1">
        <f t="array" ref="AM58">$G$3+IFERROR(VLOOKUP($AH58,$F$4:$G$7,2,FALSE),0)+VLOOKUP($R58,武学奇术!$A:$ZZ,2,FALSE)+SUM(_xlfn.XLOOKUP($S58:$AG58,增益!$A:$A,增益!$B:$B,0))</f>
        <v>1.3891</v>
      </c>
      <c r="AN58" s="20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1548.52</v>
      </c>
      <c r="AP58" cm="1">
        <f t="array" ref="AP58">$E$10*(1+$AN58)+VLOOKUP($R58,武学奇术!$A:$ZZ,4,FALSE)+SUM(_xlfn.XLOOKUP($S58:$AG58,增益!$A:$A,增益!$D:$D,0))-$I$2</f>
        <v>6659.56</v>
      </c>
      <c r="AQ58" s="29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0.3175</v>
      </c>
      <c r="AR58" s="29" cm="1">
        <f t="array" ref="AR58">$G$10+VLOOKUP($R58,武学奇术!$A:$ZZ,7,FALSE)+SUM(_xlfn.XLOOKUP(S58:AG58,增益!$A:$A,增益!$G:$G,0))</f>
        <v>0</v>
      </c>
      <c r="AS58" s="20" cm="1">
        <f t="array" ref="AS58">VLOOKUP($R58,武学奇术!$A:$ZZ,8,FALSE)+SUM(_xlfn.XLOOKUP(S58:AG58,增益!$A:$A,增益!$H:$H,0))</f>
        <v>0</v>
      </c>
      <c r="AT58">
        <f t="shared" si="1"/>
        <v>538</v>
      </c>
      <c r="AU58">
        <f t="shared" si="2"/>
        <v>1011</v>
      </c>
      <c r="AV58" s="29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0.075</v>
      </c>
      <c r="AW58" s="29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29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29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29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29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29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29" cm="1">
        <f t="array" ref="BI58">$G$14+VLOOKUP($R58,武学奇术!$A:$ZZ,16,FALSE)+SUM(_xlfn.XLOOKUP(S58:AG58,增益!$A:$A,增益!$P:$P,0))</f>
        <v>0</v>
      </c>
      <c r="BJ58" s="20">
        <f>MIN(IF(VLOOKUP($R58,武学奇术!$A:$ZZ,23,FALSE)=1,100%,$B$8),100%)</f>
        <v>0.8271</v>
      </c>
      <c r="BK58" s="20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0.2249</v>
      </c>
      <c r="BL58" s="20" cm="1">
        <f t="array" ref="BL58">1+$B$13+VLOOKUP($R58,武学奇术!$A:$ZZ,18,FALSE)+SUM(_xlfn.XLOOKUP(S58:AG58,增益!$A:$A,增益!$R:$R,0))</f>
        <v>1.5</v>
      </c>
      <c r="BM58" s="20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0.4459</v>
      </c>
      <c r="BN58" s="20" cm="1">
        <f t="array" ref="BN58">1+$B$14+VLOOKUP($R58,武学奇术!$A:$ZZ,20,FALSE)+SUM(_xlfn.XLOOKUP(S58:AG58,增益!$A:$A,增益!$T:$T,0))</f>
        <v>1.782</v>
      </c>
      <c r="BO58" s="20">
        <f t="shared" si="9"/>
        <v>0.18601479</v>
      </c>
      <c r="BP58" s="20">
        <f t="shared" si="10"/>
        <v>0.27228132</v>
      </c>
      <c r="BQ58" s="20">
        <f>IF(VLOOKUP($R58,武学奇术!$A:$ZZ,22,FALSE)=1,0,(1-$BJ58))*(1-$BM58)</f>
        <v>0.09580389</v>
      </c>
      <c r="BR58" s="20" cm="1">
        <f t="array" ref="BR58">SUM(_xlfn.XLOOKUP(S58:AG58,增益!$A:$A,增益!$W:$W,0))+$I$5</f>
        <v>0.11</v>
      </c>
    </row>
    <row r="59" spans="4:70">
      <c r="K59" s="27">
        <f>$L59*VLOOKUP($R59,武学奇术!$A:$ZZ,31,FALSE)</f>
        <v>12482.8559209719</v>
      </c>
      <c r="L59" s="27">
        <f t="shared" si="0"/>
        <v>12482.8559209719</v>
      </c>
      <c r="M59" s="27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10976.5864405896</v>
      </c>
      <c r="N59" s="27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18250.4139742952</v>
      </c>
      <c r="O59" s="27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7317.72429372638</v>
      </c>
      <c r="P59" s="27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3243.18018901631</v>
      </c>
      <c r="Q59" s="35">
        <v>1</v>
      </c>
      <c r="R59" s="36" t="s">
        <v>107</v>
      </c>
      <c r="S59" s="36" t="s">
        <v>71</v>
      </c>
      <c r="T59" s="36" t="s">
        <v>93</v>
      </c>
      <c r="U59" s="36" t="s">
        <v>71</v>
      </c>
      <c r="V59" s="36" t="s">
        <v>71</v>
      </c>
      <c r="W59" s="36" t="s">
        <v>111</v>
      </c>
      <c r="X59" s="36" t="s">
        <v>71</v>
      </c>
      <c r="Y59" s="36" t="s">
        <v>71</v>
      </c>
      <c r="Z59" s="36" t="s">
        <v>71</v>
      </c>
      <c r="AA59" s="36" t="s">
        <v>71</v>
      </c>
      <c r="AB59" s="36" t="s">
        <v>71</v>
      </c>
      <c r="AC59" s="36" t="s">
        <v>71</v>
      </c>
      <c r="AD59" s="36" t="s">
        <v>72</v>
      </c>
      <c r="AE59" s="36" t="s">
        <v>94</v>
      </c>
      <c r="AF59" s="36" t="s">
        <v>154</v>
      </c>
      <c r="AG59" s="36" t="s">
        <v>120</v>
      </c>
      <c r="AH59" t="str">
        <f>VLOOKUP($R59,武学奇术!$A:$ZZ,25,FALSE)</f>
        <v>剑</v>
      </c>
      <c r="AI59" s="20">
        <f>VLOOKUP($R59,武学奇术!$A:$ZZ,26,FALSE)</f>
        <v>0.625</v>
      </c>
      <c r="AJ59" s="21">
        <f>VLOOKUP($R59,武学奇术!$A:$ZZ,27,FALSE)*(1+IF(OR($AH59=$F$4,$AH59=$F$5),$B$22,0))</f>
        <v>0</v>
      </c>
      <c r="AK59" s="20">
        <f>VLOOKUP($R59,武学奇术!$A:$ZZ,28,FALSE)</f>
        <v>0.9375</v>
      </c>
      <c r="AL59" s="21">
        <f>VLOOKUP($R59,武学奇术!$A:$ZZ,29,FALSE)*(1+IF(OR($AH59=$F$4,$AH59=$F$5),$B$22,0))</f>
        <v>0</v>
      </c>
      <c r="AM59" s="20" cm="1">
        <f t="array" ref="AM59">$G$3+IFERROR(VLOOKUP($AH59,$F$4:$G$7,2,FALSE),0)+VLOOKUP($R59,武学奇术!$A:$ZZ,2,FALSE)+SUM(_xlfn.XLOOKUP($S59:$AG59,增益!$A:$A,增益!$B:$B,0))</f>
        <v>0.6391</v>
      </c>
      <c r="AN59" s="20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1548.52</v>
      </c>
      <c r="AP59" cm="1">
        <f t="array" ref="AP59">$E$10*(1+$AN59)+VLOOKUP($R59,武学奇术!$A:$ZZ,4,FALSE)+SUM(_xlfn.XLOOKUP($S59:$AG59,增益!$A:$A,增益!$D:$D,0))-$I$2</f>
        <v>6659.56</v>
      </c>
      <c r="AQ59" s="29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0.2425</v>
      </c>
      <c r="AR59" s="29" cm="1">
        <f t="array" ref="AR59">$G$10+VLOOKUP($R59,武学奇术!$A:$ZZ,7,FALSE)+SUM(_xlfn.XLOOKUP(S59:AG59,增益!$A:$A,增益!$G:$G,0))</f>
        <v>0</v>
      </c>
      <c r="AS59" s="20" cm="1">
        <f t="array" ref="AS59">VLOOKUP($R59,武学奇术!$A:$ZZ,8,FALSE)+SUM(_xlfn.XLOOKUP(S59:AG59,增益!$A:$A,增益!$H:$H,0))</f>
        <v>0</v>
      </c>
      <c r="AT59">
        <f t="shared" si="1"/>
        <v>538</v>
      </c>
      <c r="AU59">
        <f t="shared" si="2"/>
        <v>1011</v>
      </c>
      <c r="AV59" s="29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</v>
      </c>
      <c r="AW59" s="29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29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29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29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29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29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29" cm="1">
        <f t="array" ref="BI59">$G$14+VLOOKUP($R59,武学奇术!$A:$ZZ,16,FALSE)+SUM(_xlfn.XLOOKUP(S59:AG59,增益!$A:$A,增益!$P:$P,0))</f>
        <v>0</v>
      </c>
      <c r="BJ59" s="20">
        <f>MIN(IF(VLOOKUP($R59,武学奇术!$A:$ZZ,23,FALSE)=1,100%,$B$8),100%)</f>
        <v>0.8271</v>
      </c>
      <c r="BK59" s="20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0.2249</v>
      </c>
      <c r="BL59" s="20" cm="1">
        <f t="array" ref="BL59">1+$B$13+VLOOKUP($R59,武学奇术!$A:$ZZ,18,FALSE)+SUM(_xlfn.XLOOKUP(S59:AG59,增益!$A:$A,增益!$R:$R,0))</f>
        <v>1.5</v>
      </c>
      <c r="BM59" s="20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0.4459</v>
      </c>
      <c r="BN59" s="20" cm="1">
        <f t="array" ref="BN59">1+$B$14+VLOOKUP($R59,武学奇术!$A:$ZZ,20,FALSE)+SUM(_xlfn.XLOOKUP(S59:AG59,增益!$A:$A,增益!$T:$T,0))</f>
        <v>1.602</v>
      </c>
      <c r="BO59" s="20">
        <f t="shared" si="9"/>
        <v>0.18601479</v>
      </c>
      <c r="BP59" s="20">
        <f t="shared" si="10"/>
        <v>0.27228132</v>
      </c>
      <c r="BQ59" s="20">
        <f>IF(VLOOKUP($R59,武学奇术!$A:$ZZ,22,FALSE)=1,0,(1-$BJ59))*(1-$BM59)</f>
        <v>0.09580389</v>
      </c>
      <c r="BR59" s="20" cm="1">
        <f t="array" ref="BR59">SUM(_xlfn.XLOOKUP(S59:AG59,增益!$A:$A,增益!$W:$W,0))+$I$5</f>
        <v>0.11</v>
      </c>
    </row>
    <row r="60" spans="4:70">
      <c r="K60" s="27">
        <f>$L60*VLOOKUP($R60,武学奇术!$A:$ZZ,31,FALSE)</f>
        <v>44737.9696287851</v>
      </c>
      <c r="L60" s="27">
        <f t="shared" si="0"/>
        <v>44737.9696287851</v>
      </c>
      <c r="M60" s="27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40277.5054126777</v>
      </c>
      <c r="N60" s="27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64205.4718888942</v>
      </c>
      <c r="O60" s="27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26851.6702751184</v>
      </c>
      <c r="P60" s="27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13625.018522213</v>
      </c>
      <c r="Q60" s="35">
        <v>1</v>
      </c>
      <c r="R60" s="36" t="s">
        <v>88</v>
      </c>
      <c r="S60" s="36" t="s">
        <v>71</v>
      </c>
      <c r="T60" s="36" t="s">
        <v>93</v>
      </c>
      <c r="U60" s="36" t="s">
        <v>71</v>
      </c>
      <c r="V60" s="36" t="s">
        <v>71</v>
      </c>
      <c r="W60" s="36" t="s">
        <v>111</v>
      </c>
      <c r="X60" s="36" t="s">
        <v>71</v>
      </c>
      <c r="Y60" s="36" t="s">
        <v>71</v>
      </c>
      <c r="Z60" s="36" t="s">
        <v>71</v>
      </c>
      <c r="AA60" s="36" t="s">
        <v>71</v>
      </c>
      <c r="AB60" s="36" t="s">
        <v>71</v>
      </c>
      <c r="AC60" s="36" t="s">
        <v>71</v>
      </c>
      <c r="AD60" s="36" t="s">
        <v>72</v>
      </c>
      <c r="AE60" s="36" t="s">
        <v>94</v>
      </c>
      <c r="AF60" s="36" t="s">
        <v>154</v>
      </c>
      <c r="AG60" s="36" t="s">
        <v>120</v>
      </c>
      <c r="AH60" t="str">
        <f>VLOOKUP($R60,武学奇术!$A:$ZZ,25,FALSE)</f>
        <v>枪</v>
      </c>
      <c r="AI60" s="20">
        <f>VLOOKUP($R60,武学奇术!$A:$ZZ,26,FALSE)</f>
        <v>2.1401</v>
      </c>
      <c r="AJ60" s="21">
        <f>VLOOKUP($R60,武学奇术!$A:$ZZ,27,FALSE)*(1+IF(OR($AH60=$F$4,$AH60=$F$5),$B$22,0))</f>
        <v>823.2</v>
      </c>
      <c r="AK60" s="20">
        <f>VLOOKUP($R60,武学奇术!$A:$ZZ,28,FALSE)</f>
        <v>3.2101</v>
      </c>
      <c r="AL60" s="21">
        <f>VLOOKUP($R60,武学奇术!$A:$ZZ,29,FALSE)*(1+IF(OR($AH60=$F$4,$AH60=$F$5),$B$22,0))</f>
        <v>448</v>
      </c>
      <c r="AM60" s="20" cm="1">
        <f t="array" ref="AM60">$G$3+IFERROR(VLOOKUP($AH60,$F$4:$G$7,2,FALSE),0)+VLOOKUP($R60,武学奇术!$A:$ZZ,2,FALSE)+SUM(_xlfn.XLOOKUP($S60:$AG60,增益!$A:$A,增益!$B:$B,0))</f>
        <v>0.5539</v>
      </c>
      <c r="AN60" s="20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1548.52</v>
      </c>
      <c r="AP60" cm="1">
        <f t="array" ref="AP60">$E$10*(1+$AN60)+VLOOKUP($R60,武学奇术!$A:$ZZ,4,FALSE)+SUM(_xlfn.XLOOKUP($S60:$AG60,增益!$A:$A,增益!$D:$D,0))-$I$2</f>
        <v>6659.56</v>
      </c>
      <c r="AQ60" s="29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0.2425</v>
      </c>
      <c r="AR60" s="29" cm="1">
        <f t="array" ref="AR60">$G$10+VLOOKUP($R60,武学奇术!$A:$ZZ,7,FALSE)+SUM(_xlfn.XLOOKUP(S60:AG60,增益!$A:$A,增益!$G:$G,0))</f>
        <v>0</v>
      </c>
      <c r="AS60" s="20" cm="1">
        <f t="array" ref="AS60">VLOOKUP($R60,武学奇术!$A:$ZZ,8,FALSE)+SUM(_xlfn.XLOOKUP(S60:AG60,增益!$A:$A,增益!$H:$H,0))</f>
        <v>0</v>
      </c>
      <c r="AT60">
        <f t="shared" si="1"/>
        <v>538</v>
      </c>
      <c r="AU60">
        <f t="shared" si="2"/>
        <v>1011</v>
      </c>
      <c r="AV60" s="29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</v>
      </c>
      <c r="AW60" s="29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29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29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29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29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29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29" cm="1">
        <f t="array" ref="BI60">$G$14+VLOOKUP($R60,武学奇术!$A:$ZZ,16,FALSE)+SUM(_xlfn.XLOOKUP(S60:AG60,增益!$A:$A,增益!$P:$P,0))</f>
        <v>0</v>
      </c>
      <c r="BJ60" s="20">
        <f>MIN(IF(VLOOKUP($R60,武学奇术!$A:$ZZ,23,FALSE)=1,100%,$B$8),100%)</f>
        <v>0.8271</v>
      </c>
      <c r="BK60" s="20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0.2249</v>
      </c>
      <c r="BL60" s="20" cm="1">
        <f t="array" ref="BL60">1+$B$13+VLOOKUP($R60,武学奇术!$A:$ZZ,18,FALSE)+SUM(_xlfn.XLOOKUP(S60:AG60,增益!$A:$A,增益!$R:$R,0))</f>
        <v>1.5</v>
      </c>
      <c r="BM60" s="20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0.4459</v>
      </c>
      <c r="BN60" s="20" cm="1">
        <f t="array" ref="BN60">1+$B$14+VLOOKUP($R60,武学奇术!$A:$ZZ,20,FALSE)+SUM(_xlfn.XLOOKUP(S60:AG60,增益!$A:$A,增益!$T:$T,0))</f>
        <v>1.602</v>
      </c>
      <c r="BO60" s="20">
        <f t="shared" si="9"/>
        <v>0.18601479</v>
      </c>
      <c r="BP60" s="20">
        <f t="shared" si="10"/>
        <v>0.27228132</v>
      </c>
      <c r="BQ60" s="20">
        <f>IF(VLOOKUP($R60,武学奇术!$A:$ZZ,22,FALSE)=1,0,(1-$BJ60))*(1-$BM60)</f>
        <v>0.09580389</v>
      </c>
      <c r="BR60" s="20" cm="1">
        <f t="array" ref="BR60">SUM(_xlfn.XLOOKUP(S60:AG60,增益!$A:$A,增益!$W:$W,0))+$I$5</f>
        <v>0.11</v>
      </c>
    </row>
    <row r="61" spans="4:70">
      <c r="K61" s="27">
        <f>$L61*VLOOKUP($R61,武学奇术!$A:$ZZ,31,FALSE)</f>
        <v>25880.8691272228</v>
      </c>
      <c r="L61" s="27">
        <f t="shared" si="0"/>
        <v>25880.8691272228</v>
      </c>
      <c r="M61" s="27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23280.886974602</v>
      </c>
      <c r="N61" s="27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37167.9518791791</v>
      </c>
      <c r="O61" s="27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15520.5913164013</v>
      </c>
      <c r="P61" s="27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7840.21391920771</v>
      </c>
      <c r="Q61" s="35">
        <v>1</v>
      </c>
      <c r="R61" s="36" t="s">
        <v>92</v>
      </c>
      <c r="S61" s="36" t="s">
        <v>71</v>
      </c>
      <c r="T61" s="36" t="s">
        <v>93</v>
      </c>
      <c r="U61" s="36" t="s">
        <v>71</v>
      </c>
      <c r="V61" s="36" t="s">
        <v>71</v>
      </c>
      <c r="W61" s="36" t="s">
        <v>71</v>
      </c>
      <c r="X61" s="36" t="s">
        <v>71</v>
      </c>
      <c r="Y61" s="36" t="s">
        <v>71</v>
      </c>
      <c r="Z61" s="36" t="s">
        <v>71</v>
      </c>
      <c r="AA61" s="36" t="s">
        <v>71</v>
      </c>
      <c r="AB61" s="36" t="s">
        <v>71</v>
      </c>
      <c r="AC61" s="36" t="s">
        <v>71</v>
      </c>
      <c r="AD61" s="36" t="s">
        <v>72</v>
      </c>
      <c r="AE61" s="36" t="s">
        <v>94</v>
      </c>
      <c r="AF61" s="36" t="s">
        <v>154</v>
      </c>
      <c r="AG61" s="36" t="s">
        <v>120</v>
      </c>
      <c r="AH61" t="str">
        <f>VLOOKUP($R61,武学奇术!$A:$ZZ,25,FALSE)</f>
        <v>剑</v>
      </c>
      <c r="AI61" s="20">
        <f>VLOOKUP($R61,武学奇术!$A:$ZZ,26,FALSE)</f>
        <v>1.1781</v>
      </c>
      <c r="AJ61" s="21">
        <f>VLOOKUP($R61,武学奇术!$A:$ZZ,27,FALSE)*(1+IF(OR($AH61=$F$4,$AH61=$F$5),$B$22,0))</f>
        <v>456.4</v>
      </c>
      <c r="AK61" s="20">
        <f>VLOOKUP($R61,武学奇术!$A:$ZZ,28,FALSE)</f>
        <v>1.7672</v>
      </c>
      <c r="AL61" s="21">
        <f>VLOOKUP($R61,武学奇术!$A:$ZZ,29,FALSE)*(1+IF(OR($AH61=$F$4,$AH61=$F$5),$B$22,0))</f>
        <v>247.8</v>
      </c>
      <c r="AM61" s="20" cm="1">
        <f t="array" ref="AM61">$G$3+IFERROR(VLOOKUP($AH61,$F$4:$G$7,2,FALSE),0)+VLOOKUP($R61,武学奇术!$A:$ZZ,2,FALSE)+SUM(_xlfn.XLOOKUP($S61:$AG61,增益!$A:$A,增益!$B:$B,0))</f>
        <v>0.6391</v>
      </c>
      <c r="AN61" s="20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1517.52</v>
      </c>
      <c r="AP61" cm="1">
        <f t="array" ref="AP61">$E$10*(1+$AN61)+VLOOKUP($R61,武学奇术!$A:$ZZ,4,FALSE)+SUM(_xlfn.XLOOKUP($S61:$AG61,增益!$A:$A,增益!$D:$D,0))-$I$2</f>
        <v>6628.56</v>
      </c>
      <c r="AQ61" s="29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0.2425</v>
      </c>
      <c r="AR61" s="29" cm="1">
        <f t="array" ref="AR61">$G$10+VLOOKUP($R61,武学奇术!$A:$ZZ,7,FALSE)+SUM(_xlfn.XLOOKUP(S61:AG61,增益!$A:$A,增益!$G:$G,0))</f>
        <v>0</v>
      </c>
      <c r="AS61" s="20" cm="1">
        <f t="array" ref="AS61">VLOOKUP($R61,武学奇术!$A:$ZZ,8,FALSE)+SUM(_xlfn.XLOOKUP(S61:AG61,增益!$A:$A,增益!$H:$H,0))</f>
        <v>0</v>
      </c>
      <c r="AT61">
        <f t="shared" si="1"/>
        <v>538</v>
      </c>
      <c r="AU61">
        <f t="shared" si="2"/>
        <v>1011</v>
      </c>
      <c r="AV61" s="29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</v>
      </c>
      <c r="AW61" s="29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29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29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29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29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29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29" cm="1">
        <f t="array" ref="BI61">$G$14+VLOOKUP($R61,武学奇术!$A:$ZZ,16,FALSE)+SUM(_xlfn.XLOOKUP(S61:AG61,增益!$A:$A,增益!$P:$P,0))</f>
        <v>0</v>
      </c>
      <c r="BJ61" s="20">
        <f>MIN(IF(VLOOKUP($R61,武学奇术!$A:$ZZ,23,FALSE)=1,100%,$B$8),100%)</f>
        <v>0.8271</v>
      </c>
      <c r="BK61" s="20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0.2249</v>
      </c>
      <c r="BL61" s="20" cm="1">
        <f t="array" ref="BL61">1+$B$13+VLOOKUP($R61,武学奇术!$A:$ZZ,18,FALSE)+SUM(_xlfn.XLOOKUP(S61:AG61,增益!$A:$A,增益!$R:$R,0))</f>
        <v>1.5</v>
      </c>
      <c r="BM61" s="20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0.4459</v>
      </c>
      <c r="BN61" s="20" cm="1">
        <f t="array" ref="BN61">1+$B$14+VLOOKUP($R61,武学奇术!$A:$ZZ,20,FALSE)+SUM(_xlfn.XLOOKUP(S61:AG61,增益!$A:$A,增益!$T:$T,0))</f>
        <v>1.602</v>
      </c>
      <c r="BO61" s="20">
        <f t="shared" si="9"/>
        <v>0.18601479</v>
      </c>
      <c r="BP61" s="20">
        <f t="shared" si="10"/>
        <v>0.27228132</v>
      </c>
      <c r="BQ61" s="20">
        <f>IF(VLOOKUP($R61,武学奇术!$A:$ZZ,22,FALSE)=1,0,(1-$BJ61))*(1-$BM61)</f>
        <v>0.09580389</v>
      </c>
      <c r="BR61" s="20" cm="1">
        <f t="array" ref="BR61">SUM(_xlfn.XLOOKUP(S61:AG61,增益!$A:$A,增益!$W:$W,0))+$I$5</f>
        <v>0.11</v>
      </c>
    </row>
    <row r="62" spans="4:70">
      <c r="K62" s="27">
        <f>$L62*VLOOKUP($R62,武学奇术!$A:$ZZ,31,FALSE)</f>
        <v>99097.8481771404</v>
      </c>
      <c r="L62" s="27">
        <f t="shared" si="0"/>
        <v>165163.080295234</v>
      </c>
      <c r="M62" s="27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89152.1929653019</v>
      </c>
      <c r="N62" s="27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165163.080295234</v>
      </c>
      <c r="O62" s="27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59434.7953102013</v>
      </c>
      <c r="P62" s="27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26185.4827106191</v>
      </c>
      <c r="Q62" s="35">
        <v>1</v>
      </c>
      <c r="R62" s="36" t="s">
        <v>98</v>
      </c>
      <c r="S62" s="36" t="s">
        <v>71</v>
      </c>
      <c r="T62" s="36" t="s">
        <v>99</v>
      </c>
      <c r="U62" s="36" t="s">
        <v>100</v>
      </c>
      <c r="V62" s="36" t="s">
        <v>101</v>
      </c>
      <c r="W62" s="36" t="s">
        <v>71</v>
      </c>
      <c r="X62" s="36" t="s">
        <v>71</v>
      </c>
      <c r="Y62" s="36" t="s">
        <v>71</v>
      </c>
      <c r="Z62" s="36" t="s">
        <v>71</v>
      </c>
      <c r="AA62" s="36" t="s">
        <v>71</v>
      </c>
      <c r="AB62" s="36" t="s">
        <v>71</v>
      </c>
      <c r="AC62" s="36" t="s">
        <v>71</v>
      </c>
      <c r="AD62" s="36" t="s">
        <v>72</v>
      </c>
      <c r="AE62" s="36" t="s">
        <v>94</v>
      </c>
      <c r="AF62" s="36" t="s">
        <v>154</v>
      </c>
      <c r="AG62" s="36" t="s">
        <v>120</v>
      </c>
      <c r="AH62" t="str">
        <f>VLOOKUP($R62,武学奇术!$A:$ZZ,25,FALSE)</f>
        <v>剑</v>
      </c>
      <c r="AI62" s="20">
        <f>VLOOKUP($R62,武学奇术!$A:$ZZ,26,FALSE)</f>
        <v>2.496</v>
      </c>
      <c r="AJ62" s="21">
        <f>VLOOKUP($R62,武学奇术!$A:$ZZ,27,FALSE)*(1+IF(OR($AH62=$F$4,$AH62=$F$5),$B$22,0))</f>
        <v>0</v>
      </c>
      <c r="AK62" s="20">
        <f>VLOOKUP($R62,武学奇术!$A:$ZZ,28,FALSE)</f>
        <v>3.744</v>
      </c>
      <c r="AL62" s="21">
        <f>VLOOKUP($R62,武学奇术!$A:$ZZ,29,FALSE)*(1+IF(OR($AH62=$F$4,$AH62=$F$5),$B$22,0))</f>
        <v>0</v>
      </c>
      <c r="AM62" s="20" cm="1">
        <f t="array" ref="AM62">$G$3+IFERROR(VLOOKUP($AH62,$F$4:$G$7,2,FALSE),0)+VLOOKUP($R62,武学奇术!$A:$ZZ,2,FALSE)+SUM(_xlfn.XLOOKUP($S62:$AG62,增益!$A:$A,增益!$B:$B,0))</f>
        <v>1.3891</v>
      </c>
      <c r="AN62" s="20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1517.52</v>
      </c>
      <c r="AP62" cm="1">
        <f t="array" ref="AP62">$E$10*(1+$AN62)+VLOOKUP($R62,武学奇术!$A:$ZZ,4,FALSE)+SUM(_xlfn.XLOOKUP($S62:$AG62,增益!$A:$A,增益!$D:$D,0))-$I$2</f>
        <v>6628.56</v>
      </c>
      <c r="AQ62" s="29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0.3175</v>
      </c>
      <c r="AR62" s="29" cm="1">
        <f t="array" ref="AR62">$G$10+VLOOKUP($R62,武学奇术!$A:$ZZ,7,FALSE)+SUM(_xlfn.XLOOKUP(S62:AG62,增益!$A:$A,增益!$G:$G,0))</f>
        <v>0</v>
      </c>
      <c r="AS62" s="20" cm="1">
        <f t="array" ref="AS62">VLOOKUP($R62,武学奇术!$A:$ZZ,8,FALSE)+SUM(_xlfn.XLOOKUP(S62:AG62,增益!$A:$A,增益!$H:$H,0))</f>
        <v>0</v>
      </c>
      <c r="AT62">
        <f t="shared" si="1"/>
        <v>538</v>
      </c>
      <c r="AU62">
        <f t="shared" si="2"/>
        <v>1011</v>
      </c>
      <c r="AV62" s="29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0.075</v>
      </c>
      <c r="AW62" s="29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29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29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29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29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29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29" cm="1">
        <f t="array" ref="BI62">$G$14+VLOOKUP($R62,武学奇术!$A:$ZZ,16,FALSE)+SUM(_xlfn.XLOOKUP(S62:AG62,增益!$A:$A,增益!$P:$P,0))</f>
        <v>0</v>
      </c>
      <c r="BJ62" s="20">
        <f>MIN(IF(VLOOKUP($R62,武学奇术!$A:$ZZ,23,FALSE)=1,100%,$B$8),100%)</f>
        <v>0.8271</v>
      </c>
      <c r="BK62" s="20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</v>
      </c>
      <c r="BL62" s="20" cm="1">
        <f t="array" ref="BL62">1+$B$13+VLOOKUP($R62,武学奇术!$A:$ZZ,18,FALSE)+SUM(_xlfn.XLOOKUP(S62:AG62,增益!$A:$A,增益!$R:$R,0))</f>
        <v>1.5</v>
      </c>
      <c r="BM62" s="20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1</v>
      </c>
      <c r="BN62" s="20" cm="1">
        <f t="array" ref="BN62">1+$B$14+VLOOKUP($R62,武学奇术!$A:$ZZ,20,FALSE)+SUM(_xlfn.XLOOKUP(S62:AG62,增益!$A:$A,增益!$T:$T,0))</f>
        <v>1.782</v>
      </c>
      <c r="BO62" s="20">
        <f t="shared" si="9"/>
        <v>0</v>
      </c>
      <c r="BP62" s="20">
        <f t="shared" si="10"/>
        <v>0</v>
      </c>
      <c r="BQ62" s="20">
        <f>IF(VLOOKUP($R62,武学奇术!$A:$ZZ,22,FALSE)=1,0,(1-$BJ62))*(1-$BM62)</f>
        <v>0</v>
      </c>
      <c r="BR62" s="20" cm="1">
        <f t="array" ref="BR62">SUM(_xlfn.XLOOKUP(S62:AG62,增益!$A:$A,增益!$W:$W,0))+$I$5</f>
        <v>0.11</v>
      </c>
    </row>
    <row r="63" spans="4:70">
      <c r="K63" s="27">
        <f>$L63*VLOOKUP($R63,武学奇术!$A:$ZZ,31,FALSE)</f>
        <v>65352.8997493929</v>
      </c>
      <c r="L63" s="27">
        <f t="shared" si="0"/>
        <v>108921.499582321</v>
      </c>
      <c r="M63" s="27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89152.1929653019</v>
      </c>
      <c r="N63" s="27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165163.080295234</v>
      </c>
      <c r="O63" s="27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59434.7953102013</v>
      </c>
      <c r="P63" s="27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26185.4827106191</v>
      </c>
      <c r="Q63" s="35">
        <v>1</v>
      </c>
      <c r="R63" s="36" t="s">
        <v>105</v>
      </c>
      <c r="S63" s="36" t="s">
        <v>71</v>
      </c>
      <c r="T63" s="36" t="s">
        <v>99</v>
      </c>
      <c r="U63" s="36" t="s">
        <v>100</v>
      </c>
      <c r="V63" s="36" t="s">
        <v>101</v>
      </c>
      <c r="W63" s="36" t="s">
        <v>71</v>
      </c>
      <c r="X63" s="36" t="s">
        <v>71</v>
      </c>
      <c r="Y63" s="36" t="s">
        <v>71</v>
      </c>
      <c r="Z63" s="36" t="s">
        <v>71</v>
      </c>
      <c r="AA63" s="36" t="s">
        <v>71</v>
      </c>
      <c r="AB63" s="36" t="s">
        <v>71</v>
      </c>
      <c r="AC63" s="36" t="s">
        <v>71</v>
      </c>
      <c r="AD63" s="36" t="s">
        <v>72</v>
      </c>
      <c r="AE63" s="36" t="s">
        <v>94</v>
      </c>
      <c r="AF63" s="36" t="s">
        <v>154</v>
      </c>
      <c r="AG63" s="36" t="s">
        <v>120</v>
      </c>
      <c r="AH63" t="str">
        <f>VLOOKUP($R63,武学奇术!$A:$ZZ,25,FALSE)</f>
        <v>剑</v>
      </c>
      <c r="AI63" s="20">
        <f>VLOOKUP($R63,武学奇术!$A:$ZZ,26,FALSE)</f>
        <v>2.496</v>
      </c>
      <c r="AJ63" s="21">
        <f>VLOOKUP($R63,武学奇术!$A:$ZZ,27,FALSE)*(1+IF(OR($AH63=$F$4,$AH63=$F$5),$B$22,0))</f>
        <v>0</v>
      </c>
      <c r="AK63" s="20">
        <f>VLOOKUP($R63,武学奇术!$A:$ZZ,28,FALSE)</f>
        <v>3.744</v>
      </c>
      <c r="AL63" s="21">
        <f>VLOOKUP($R63,武学奇术!$A:$ZZ,29,FALSE)*(1+IF(OR($AH63=$F$4,$AH63=$F$5),$B$22,0))</f>
        <v>0</v>
      </c>
      <c r="AM63" s="20" cm="1">
        <f t="array" ref="AM63">$G$3+IFERROR(VLOOKUP($AH63,$F$4:$G$7,2,FALSE),0)+VLOOKUP($R63,武学奇术!$A:$ZZ,2,FALSE)+SUM(_xlfn.XLOOKUP($S63:$AG63,增益!$A:$A,增益!$B:$B,0))</f>
        <v>1.3891</v>
      </c>
      <c r="AN63" s="20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1517.52</v>
      </c>
      <c r="AP63" cm="1">
        <f t="array" ref="AP63">$E$10*(1+$AN63)+VLOOKUP($R63,武学奇术!$A:$ZZ,4,FALSE)+SUM(_xlfn.XLOOKUP($S63:$AG63,增益!$A:$A,增益!$D:$D,0))-$I$2</f>
        <v>6628.56</v>
      </c>
      <c r="AQ63" s="29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0.3175</v>
      </c>
      <c r="AR63" s="29" cm="1">
        <f t="array" ref="AR63">$G$10+VLOOKUP($R63,武学奇术!$A:$ZZ,7,FALSE)+SUM(_xlfn.XLOOKUP(S63:AG63,增益!$A:$A,增益!$G:$G,0))</f>
        <v>0</v>
      </c>
      <c r="AS63" s="20" cm="1">
        <f t="array" ref="AS63">VLOOKUP($R63,武学奇术!$A:$ZZ,8,FALSE)+SUM(_xlfn.XLOOKUP(S63:AG63,增益!$A:$A,增益!$H:$H,0))</f>
        <v>0</v>
      </c>
      <c r="AT63">
        <f t="shared" si="1"/>
        <v>538</v>
      </c>
      <c r="AU63">
        <f t="shared" si="2"/>
        <v>1011</v>
      </c>
      <c r="AV63" s="29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0.075</v>
      </c>
      <c r="AW63" s="29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29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29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29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29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29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29" cm="1">
        <f t="array" ref="BI63">$G$14+VLOOKUP($R63,武学奇术!$A:$ZZ,16,FALSE)+SUM(_xlfn.XLOOKUP(S63:AG63,增益!$A:$A,增益!$P:$P,0))</f>
        <v>0</v>
      </c>
      <c r="BJ63" s="20">
        <f>MIN(IF(VLOOKUP($R63,武学奇术!$A:$ZZ,23,FALSE)=1,100%,$B$8),100%)</f>
        <v>0.8271</v>
      </c>
      <c r="BK63" s="20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0.2249</v>
      </c>
      <c r="BL63" s="20" cm="1">
        <f t="array" ref="BL63">1+$B$13+VLOOKUP($R63,武学奇术!$A:$ZZ,18,FALSE)+SUM(_xlfn.XLOOKUP(S63:AG63,增益!$A:$A,增益!$R:$R,0))</f>
        <v>1.5</v>
      </c>
      <c r="BM63" s="20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0.4459</v>
      </c>
      <c r="BN63" s="20" cm="1">
        <f t="array" ref="BN63">1+$B$14+VLOOKUP($R63,武学奇术!$A:$ZZ,20,FALSE)+SUM(_xlfn.XLOOKUP(S63:AG63,增益!$A:$A,增益!$T:$T,0))</f>
        <v>1.782</v>
      </c>
      <c r="BO63" s="20">
        <f t="shared" si="9"/>
        <v>0.18601479</v>
      </c>
      <c r="BP63" s="20">
        <f t="shared" si="10"/>
        <v>0.27228132</v>
      </c>
      <c r="BQ63" s="20">
        <f>IF(VLOOKUP($R63,武学奇术!$A:$ZZ,22,FALSE)=1,0,(1-$BJ63))*(1-$BM63)</f>
        <v>0.09580389</v>
      </c>
      <c r="BR63" s="20" cm="1">
        <f t="array" ref="BR63">SUM(_xlfn.XLOOKUP(S63:AG63,增益!$A:$A,增益!$W:$W,0))+$I$5</f>
        <v>0.11</v>
      </c>
    </row>
    <row r="64" spans="4:70">
      <c r="K64" s="27">
        <f>$L64*VLOOKUP($R64,武学奇术!$A:$ZZ,31,FALSE)</f>
        <v>12423.2259240152</v>
      </c>
      <c r="L64" s="27">
        <f t="shared" si="0"/>
        <v>12423.2259240152</v>
      </c>
      <c r="M64" s="27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10910.8875861982</v>
      </c>
      <c r="N64" s="27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18180.2475978052</v>
      </c>
      <c r="O64" s="27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7273.92505746544</v>
      </c>
      <c r="P64" s="27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3199.38095275538</v>
      </c>
      <c r="Q64" s="35">
        <v>1</v>
      </c>
      <c r="R64" s="36" t="s">
        <v>107</v>
      </c>
      <c r="S64" s="36" t="s">
        <v>71</v>
      </c>
      <c r="T64" s="36" t="s">
        <v>93</v>
      </c>
      <c r="U64" s="36" t="s">
        <v>71</v>
      </c>
      <c r="V64" s="36" t="s">
        <v>71</v>
      </c>
      <c r="W64" s="36" t="s">
        <v>71</v>
      </c>
      <c r="X64" s="36" t="s">
        <v>71</v>
      </c>
      <c r="Y64" s="36" t="s">
        <v>71</v>
      </c>
      <c r="Z64" s="36" t="s">
        <v>71</v>
      </c>
      <c r="AA64" s="36" t="s">
        <v>71</v>
      </c>
      <c r="AB64" s="36" t="s">
        <v>71</v>
      </c>
      <c r="AC64" s="36" t="s">
        <v>71</v>
      </c>
      <c r="AD64" s="36" t="s">
        <v>72</v>
      </c>
      <c r="AE64" s="36" t="s">
        <v>94</v>
      </c>
      <c r="AF64" s="36" t="s">
        <v>154</v>
      </c>
      <c r="AG64" s="36" t="s">
        <v>120</v>
      </c>
      <c r="AH64" t="str">
        <f>VLOOKUP($R64,武学奇术!$A:$ZZ,25,FALSE)</f>
        <v>剑</v>
      </c>
      <c r="AI64" s="20">
        <f>VLOOKUP($R64,武学奇术!$A:$ZZ,26,FALSE)</f>
        <v>0.625</v>
      </c>
      <c r="AJ64" s="21">
        <f>VLOOKUP($R64,武学奇术!$A:$ZZ,27,FALSE)*(1+IF(OR($AH64=$F$4,$AH64=$F$5),$B$22,0))</f>
        <v>0</v>
      </c>
      <c r="AK64" s="20">
        <f>VLOOKUP($R64,武学奇术!$A:$ZZ,28,FALSE)</f>
        <v>0.9375</v>
      </c>
      <c r="AL64" s="21">
        <f>VLOOKUP($R64,武学奇术!$A:$ZZ,29,FALSE)*(1+IF(OR($AH64=$F$4,$AH64=$F$5),$B$22,0))</f>
        <v>0</v>
      </c>
      <c r="AM64" s="20" cm="1">
        <f t="array" ref="AM64">$G$3+IFERROR(VLOOKUP($AH64,$F$4:$G$7,2,FALSE),0)+VLOOKUP($R64,武学奇术!$A:$ZZ,2,FALSE)+SUM(_xlfn.XLOOKUP($S64:$AG64,增益!$A:$A,增益!$B:$B,0))</f>
        <v>0.6391</v>
      </c>
      <c r="AN64" s="20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1517.52</v>
      </c>
      <c r="AP64" cm="1">
        <f t="array" ref="AP64">$E$10*(1+$AN64)+VLOOKUP($R64,武学奇术!$A:$ZZ,4,FALSE)+SUM(_xlfn.XLOOKUP($S64:$AG64,增益!$A:$A,增益!$D:$D,0))-$I$2</f>
        <v>6628.56</v>
      </c>
      <c r="AQ64" s="29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0.2425</v>
      </c>
      <c r="AR64" s="29" cm="1">
        <f t="array" ref="AR64">$G$10+VLOOKUP($R64,武学奇术!$A:$ZZ,7,FALSE)+SUM(_xlfn.XLOOKUP(S64:AG64,增益!$A:$A,增益!$G:$G,0))</f>
        <v>0</v>
      </c>
      <c r="AS64" s="20" cm="1">
        <f t="array" ref="AS64">VLOOKUP($R64,武学奇术!$A:$ZZ,8,FALSE)+SUM(_xlfn.XLOOKUP(S64:AG64,增益!$A:$A,增益!$H:$H,0))</f>
        <v>0</v>
      </c>
      <c r="AT64">
        <f t="shared" si="1"/>
        <v>538</v>
      </c>
      <c r="AU64">
        <f t="shared" si="2"/>
        <v>1011</v>
      </c>
      <c r="AV64" s="29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</v>
      </c>
      <c r="AW64" s="29" cm="1">
        <f t="array" ref="AW64">$G$11+VLOOKUP($R64,武学奇术!$A:$ZZ,10,FALSE)+SUM(_xlfn.XLOOKUP(S64:AG64,增益!$A:$A,增益!$J:$J,0))</f>
        <v>0.15</v>
      </c>
      <c r="AX64">
        <f t="shared" si="3"/>
        <v>0</v>
      </c>
      <c r="AY64">
        <f t="shared" si="4"/>
        <v>0</v>
      </c>
      <c r="AZ64" s="29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29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29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29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29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29" cm="1">
        <f t="array" ref="BI64">$G$14+VLOOKUP($R64,武学奇术!$A:$ZZ,16,FALSE)+SUM(_xlfn.XLOOKUP(S64:AG64,增益!$A:$A,增益!$P:$P,0))</f>
        <v>0</v>
      </c>
      <c r="BJ64" s="20">
        <f>MIN(IF(VLOOKUP($R64,武学奇术!$A:$ZZ,23,FALSE)=1,100%,$B$8),100%)</f>
        <v>0.8271</v>
      </c>
      <c r="BK64" s="20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0.2249</v>
      </c>
      <c r="BL64" s="20" cm="1">
        <f t="array" ref="BL64">1+$B$13+VLOOKUP($R64,武学奇术!$A:$ZZ,18,FALSE)+SUM(_xlfn.XLOOKUP(S64:AG64,增益!$A:$A,增益!$R:$R,0))</f>
        <v>1.5</v>
      </c>
      <c r="BM64" s="20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0.4459</v>
      </c>
      <c r="BN64" s="20" cm="1">
        <f t="array" ref="BN64">1+$B$14+VLOOKUP($R64,武学奇术!$A:$ZZ,20,FALSE)+SUM(_xlfn.XLOOKUP(S64:AG64,增益!$A:$A,增益!$T:$T,0))</f>
        <v>1.602</v>
      </c>
      <c r="BO64" s="20">
        <f t="shared" si="9"/>
        <v>0.18601479</v>
      </c>
      <c r="BP64" s="20">
        <f t="shared" si="10"/>
        <v>0.27228132</v>
      </c>
      <c r="BQ64" s="20">
        <f>IF(VLOOKUP($R64,武学奇术!$A:$ZZ,22,FALSE)=1,0,(1-$BJ64))*(1-$BM64)</f>
        <v>0.09580389</v>
      </c>
      <c r="BR64" s="20" cm="1">
        <f t="array" ref="BR64">SUM(_xlfn.XLOOKUP(S64:AG64,增益!$A:$A,增益!$W:$W,0))+$I$5</f>
        <v>0.11</v>
      </c>
    </row>
    <row r="65" spans="1:70">
      <c r="K65" s="27">
        <f>$L65*VLOOKUP($R65,武学奇术!$A:$ZZ,31,FALSE)</f>
        <v>53728.0664482027</v>
      </c>
      <c r="L65" s="27">
        <f t="shared" si="0"/>
        <v>53728.0664482027</v>
      </c>
      <c r="M65" s="27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48379.0738082379</v>
      </c>
      <c r="N65" s="27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77097.555852433</v>
      </c>
      <c r="O65" s="27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32252.7158721586</v>
      </c>
      <c r="P65" s="27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16379.6166054702</v>
      </c>
      <c r="Q65" s="35">
        <v>1</v>
      </c>
      <c r="R65" s="36" t="s">
        <v>110</v>
      </c>
      <c r="S65" s="36" t="s">
        <v>71</v>
      </c>
      <c r="T65" s="36" t="s">
        <v>93</v>
      </c>
      <c r="U65" s="36" t="s">
        <v>71</v>
      </c>
      <c r="V65" s="36" t="s">
        <v>71</v>
      </c>
      <c r="W65" s="36" t="s">
        <v>111</v>
      </c>
      <c r="X65" s="36" t="s">
        <v>71</v>
      </c>
      <c r="Y65" s="36" t="s">
        <v>71</v>
      </c>
      <c r="Z65" s="36" t="s">
        <v>71</v>
      </c>
      <c r="AA65" s="36" t="s">
        <v>71</v>
      </c>
      <c r="AB65" s="36" t="s">
        <v>71</v>
      </c>
      <c r="AC65" s="36" t="s">
        <v>71</v>
      </c>
      <c r="AD65" s="36" t="s">
        <v>72</v>
      </c>
      <c r="AE65" s="36" t="s">
        <v>94</v>
      </c>
      <c r="AF65" s="36" t="s">
        <v>154</v>
      </c>
      <c r="AG65" s="36" t="s">
        <v>120</v>
      </c>
      <c r="AH65" t="str">
        <f>VLOOKUP($R65,武学奇术!$A:$ZZ,25,FALSE)</f>
        <v>枪</v>
      </c>
      <c r="AI65" s="20">
        <f>VLOOKUP($R65,武学奇术!$A:$ZZ,26,FALSE)</f>
        <v>2.5683</v>
      </c>
      <c r="AJ65" s="21">
        <f>VLOOKUP($R65,武学奇术!$A:$ZZ,27,FALSE)*(1+IF(OR($AH65=$F$4,$AH65=$F$5),$B$22,0))</f>
        <v>995.4</v>
      </c>
      <c r="AK65" s="20">
        <f>VLOOKUP($R65,武学奇术!$A:$ZZ,28,FALSE)</f>
        <v>3.8524</v>
      </c>
      <c r="AL65" s="21">
        <f>VLOOKUP($R65,武学奇术!$A:$ZZ,29,FALSE)*(1+IF(OR($AH65=$F$4,$AH65=$F$5),$B$22,0))</f>
        <v>541.8</v>
      </c>
      <c r="AM65" s="20" cm="1">
        <f t="array" ref="AM65">$G$3+IFERROR(VLOOKUP($AH65,$F$4:$G$7,2,FALSE),0)+VLOOKUP($R65,武学奇术!$A:$ZZ,2,FALSE)+SUM(_xlfn.XLOOKUP($S65:$AG65,增益!$A:$A,增益!$B:$B,0))</f>
        <v>0.5539</v>
      </c>
      <c r="AN65" s="20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1548.52</v>
      </c>
      <c r="AP65" cm="1">
        <f t="array" ref="AP65">$E$10*(1+$AN65)+VLOOKUP($R65,武学奇术!$A:$ZZ,4,FALSE)+SUM(_xlfn.XLOOKUP($S65:$AG65,增益!$A:$A,增益!$D:$D,0))-$I$2</f>
        <v>6659.56</v>
      </c>
      <c r="AQ65" s="29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0.2425</v>
      </c>
      <c r="AR65" s="29" cm="1">
        <f t="array" ref="AR65">$G$10+VLOOKUP($R65,武学奇术!$A:$ZZ,7,FALSE)+SUM(_xlfn.XLOOKUP(S65:AG65,增益!$A:$A,增益!$G:$G,0))</f>
        <v>0</v>
      </c>
      <c r="AS65" s="20" cm="1">
        <f t="array" ref="AS65">VLOOKUP($R65,武学奇术!$A:$ZZ,8,FALSE)+SUM(_xlfn.XLOOKUP(S65:AG65,增益!$A:$A,增益!$H:$H,0))</f>
        <v>0</v>
      </c>
      <c r="AT65">
        <f t="shared" si="1"/>
        <v>538</v>
      </c>
      <c r="AU65">
        <f t="shared" si="2"/>
        <v>1011</v>
      </c>
      <c r="AV65" s="29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</v>
      </c>
      <c r="AW65" s="29" cm="1">
        <f t="array" ref="AW65">$G$11+VLOOKUP($R65,武学奇术!$A:$ZZ,10,FALSE)+SUM(_xlfn.XLOOKUP(S65:AG65,增益!$A:$A,增益!$J:$J,0))</f>
        <v>0.15</v>
      </c>
      <c r="AX65">
        <f t="shared" si="3"/>
        <v>0</v>
      </c>
      <c r="AY65">
        <f t="shared" si="4"/>
        <v>0</v>
      </c>
      <c r="AZ65" s="29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29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29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29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29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29" cm="1">
        <f t="array" ref="BI65">$G$14+VLOOKUP($R65,武学奇术!$A:$ZZ,16,FALSE)+SUM(_xlfn.XLOOKUP(S65:AG65,增益!$A:$A,增益!$P:$P,0))</f>
        <v>0</v>
      </c>
      <c r="BJ65" s="20">
        <f>MIN(IF(VLOOKUP($R65,武学奇术!$A:$ZZ,23,FALSE)=1,100%,$B$8),100%)</f>
        <v>0.8271</v>
      </c>
      <c r="BK65" s="20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0.2249</v>
      </c>
      <c r="BL65" s="20" cm="1">
        <f t="array" ref="BL65">1+$B$13+VLOOKUP($R65,武学奇术!$A:$ZZ,18,FALSE)+SUM(_xlfn.XLOOKUP(S65:AG65,增益!$A:$A,增益!$R:$R,0))</f>
        <v>1.5</v>
      </c>
      <c r="BM65" s="20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0.4459</v>
      </c>
      <c r="BN65" s="20" cm="1">
        <f t="array" ref="BN65">1+$B$14+VLOOKUP($R65,武学奇术!$A:$ZZ,20,FALSE)+SUM(_xlfn.XLOOKUP(S65:AG65,增益!$A:$A,增益!$T:$T,0))</f>
        <v>1.602</v>
      </c>
      <c r="BO65" s="20">
        <f t="shared" si="9"/>
        <v>0.18601479</v>
      </c>
      <c r="BP65" s="20">
        <f t="shared" si="10"/>
        <v>0.27228132</v>
      </c>
      <c r="BQ65" s="20">
        <f>IF(VLOOKUP($R65,武学奇术!$A:$ZZ,22,FALSE)=1,0,(1-$BJ65))*(1-$BM65)</f>
        <v>0.09580389</v>
      </c>
      <c r="BR65" s="20" cm="1">
        <f t="array" ref="BR65">SUM(_xlfn.XLOOKUP(S65:AG65,增益!$A:$A,增益!$W:$W,0))+$I$5</f>
        <v>0.11</v>
      </c>
    </row>
    <row r="66" spans="1:70">
      <c r="K66" s="27">
        <f>$L66*VLOOKUP($R66,武学奇术!$A:$ZZ,31,FALSE)</f>
        <v>65661.5841236345</v>
      </c>
      <c r="L66" s="27">
        <f t="shared" ref="L66:L129" si="11">($M66*$BO66+$N66*$BM66+$O66*$BP66+$P66*$BQ66)</f>
        <v>109435.973539391</v>
      </c>
      <c r="M66" s="27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89687.4709676233</v>
      </c>
      <c r="N66" s="27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165798.990561992</v>
      </c>
      <c r="O66" s="27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59791.6473117489</v>
      </c>
      <c r="P66" s="27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26542.3347121667</v>
      </c>
      <c r="Q66" s="35">
        <v>1</v>
      </c>
      <c r="R66" s="36" t="s">
        <v>105</v>
      </c>
      <c r="S66" s="36" t="s">
        <v>71</v>
      </c>
      <c r="T66" s="36" t="s">
        <v>99</v>
      </c>
      <c r="U66" s="36" t="s">
        <v>100</v>
      </c>
      <c r="V66" s="36" t="s">
        <v>101</v>
      </c>
      <c r="W66" s="36" t="s">
        <v>111</v>
      </c>
      <c r="X66" s="36" t="s">
        <v>71</v>
      </c>
      <c r="Y66" s="36" t="s">
        <v>71</v>
      </c>
      <c r="Z66" s="36" t="s">
        <v>71</v>
      </c>
      <c r="AA66" s="36" t="s">
        <v>71</v>
      </c>
      <c r="AB66" s="36" t="s">
        <v>71</v>
      </c>
      <c r="AC66" s="36" t="s">
        <v>71</v>
      </c>
      <c r="AD66" s="36" t="s">
        <v>72</v>
      </c>
      <c r="AE66" s="36" t="s">
        <v>94</v>
      </c>
      <c r="AF66" s="36" t="s">
        <v>154</v>
      </c>
      <c r="AG66" s="36" t="s">
        <v>120</v>
      </c>
      <c r="AH66" t="str">
        <f>VLOOKUP($R66,武学奇术!$A:$ZZ,25,FALSE)</f>
        <v>剑</v>
      </c>
      <c r="AI66" s="20">
        <f>VLOOKUP($R66,武学奇术!$A:$ZZ,26,FALSE)</f>
        <v>2.496</v>
      </c>
      <c r="AJ66" s="21">
        <f>VLOOKUP($R66,武学奇术!$A:$ZZ,27,FALSE)*(1+IF(OR($AH66=$F$4,$AH66=$F$5),$B$22,0))</f>
        <v>0</v>
      </c>
      <c r="AK66" s="20">
        <f>VLOOKUP($R66,武学奇术!$A:$ZZ,28,FALSE)</f>
        <v>3.744</v>
      </c>
      <c r="AL66" s="21">
        <f>VLOOKUP($R66,武学奇术!$A:$ZZ,29,FALSE)*(1+IF(OR($AH66=$F$4,$AH66=$F$5),$B$22,0))</f>
        <v>0</v>
      </c>
      <c r="AM66" s="20" cm="1">
        <f t="array" ref="AM66">$G$3+IFERROR(VLOOKUP($AH66,$F$4:$G$7,2,FALSE),0)+VLOOKUP($R66,武学奇术!$A:$ZZ,2,FALSE)+SUM(_xlfn.XLOOKUP($S66:$AG66,增益!$A:$A,增益!$B:$B,0))</f>
        <v>1.3891</v>
      </c>
      <c r="AN66" s="20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1548.52</v>
      </c>
      <c r="AP66" cm="1">
        <f t="array" ref="AP66">$E$10*(1+$AN66)+VLOOKUP($R66,武学奇术!$A:$ZZ,4,FALSE)+SUM(_xlfn.XLOOKUP($S66:$AG66,增益!$A:$A,增益!$D:$D,0))-$I$2</f>
        <v>6659.56</v>
      </c>
      <c r="AQ66" s="29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0.3175</v>
      </c>
      <c r="AR66" s="29" cm="1">
        <f t="array" ref="AR66">$G$10+VLOOKUP($R66,武学奇术!$A:$ZZ,7,FALSE)+SUM(_xlfn.XLOOKUP(S66:AG66,增益!$A:$A,增益!$G:$G,0))</f>
        <v>0</v>
      </c>
      <c r="AS66" s="20" cm="1">
        <f t="array" ref="AS66">VLOOKUP($R66,武学奇术!$A:$ZZ,8,FALSE)+SUM(_xlfn.XLOOKUP(S66:AG66,增益!$A:$A,增益!$H:$H,0))</f>
        <v>0</v>
      </c>
      <c r="AT66">
        <f t="shared" ref="AT66:AT129" si="12">$D$11*(1+$AS66)</f>
        <v>538</v>
      </c>
      <c r="AU66">
        <f t="shared" ref="AU66:AU129" si="13">$E$11*(1+$AS66)</f>
        <v>1011</v>
      </c>
      <c r="AV66" s="29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0.075</v>
      </c>
      <c r="AW66" s="29" cm="1">
        <f t="array" ref="AW66">$G$11+VLOOKUP($R66,武学奇术!$A:$ZZ,10,FALSE)+SUM(_xlfn.XLOOKUP(S66:AG66,增益!$A:$A,增益!$J:$J,0))</f>
        <v>0.15</v>
      </c>
      <c r="AX66">
        <f t="shared" ref="AX66:AX129" si="14">$D$12*(1+$AS66)</f>
        <v>0</v>
      </c>
      <c r="AY66">
        <f t="shared" ref="AY66:AY129" si="15">$E$12*(1+$AS66)</f>
        <v>0</v>
      </c>
      <c r="AZ66" s="29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29" cm="1">
        <f t="array" ref="BA66">$G$12+VLOOKUP($R66,武学奇术!$A:$ZZ,12,FALSE)+SUM(_xlfn.XLOOKUP(S66:AG66,增益!$A:$A,增益!$L:$L,0))</f>
        <v>0</v>
      </c>
      <c r="BB66">
        <f t="shared" ref="BB66:BB129" si="16">$D$13*(1+$AS66)</f>
        <v>0</v>
      </c>
      <c r="BC66">
        <f t="shared" ref="BC66:BC129" si="17">$E$13*(1+$AS66)</f>
        <v>0</v>
      </c>
      <c r="BD66" s="29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29" cm="1">
        <f t="array" ref="BE66">$G$13+VLOOKUP($R66,武学奇术!$A:$ZZ,14,FALSE)+SUM(_xlfn.XLOOKUP(S66:AG66,增益!$A:$A,增益!$N:$N,0))</f>
        <v>0</v>
      </c>
      <c r="BF66">
        <f t="shared" ref="BF66:BF129" si="18">$D$14*(1+$AS66)</f>
        <v>0</v>
      </c>
      <c r="BG66">
        <f t="shared" ref="BG66:BG129" si="19">$E$14*(1+$AS66)</f>
        <v>0</v>
      </c>
      <c r="BH66" s="29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29" cm="1">
        <f t="array" ref="BI66">$G$14+VLOOKUP($R66,武学奇术!$A:$ZZ,16,FALSE)+SUM(_xlfn.XLOOKUP(S66:AG66,增益!$A:$A,增益!$P:$P,0))</f>
        <v>0</v>
      </c>
      <c r="BJ66" s="20">
        <f>MIN(IF(VLOOKUP($R66,武学奇术!$A:$ZZ,23,FALSE)=1,100%,$B$8),100%)</f>
        <v>0.8271</v>
      </c>
      <c r="BK66" s="20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0.2249</v>
      </c>
      <c r="BL66" s="20" cm="1">
        <f t="array" ref="BL66">1+$B$13+VLOOKUP($R66,武学奇术!$A:$ZZ,18,FALSE)+SUM(_xlfn.XLOOKUP(S66:AG66,增益!$A:$A,增益!$R:$R,0))</f>
        <v>1.5</v>
      </c>
      <c r="BM66" s="20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0.4459</v>
      </c>
      <c r="BN66" s="20" cm="1">
        <f t="array" ref="BN66">1+$B$14+VLOOKUP($R66,武学奇术!$A:$ZZ,20,FALSE)+SUM(_xlfn.XLOOKUP(S66:AG66,增益!$A:$A,增益!$T:$T,0))</f>
        <v>1.782</v>
      </c>
      <c r="BO66" s="20">
        <f t="shared" ref="BO66:BO129" si="20">MIN((1-BM66)*BJ66,BJ66*BK66)</f>
        <v>0.18601479</v>
      </c>
      <c r="BP66" s="20">
        <f t="shared" ref="BP66:BP129" si="21">1-BM66-BO66-BQ66</f>
        <v>0.27228132</v>
      </c>
      <c r="BQ66" s="20">
        <f>IF(VLOOKUP($R66,武学奇术!$A:$ZZ,22,FALSE)=1,0,(1-$BJ66))*(1-$BM66)</f>
        <v>0.09580389</v>
      </c>
      <c r="BR66" s="20" cm="1">
        <f t="array" ref="BR66">SUM(_xlfn.XLOOKUP(S66:AG66,增益!$A:$A,增益!$W:$W,0))+$I$5</f>
        <v>0.11</v>
      </c>
    </row>
    <row r="67" spans="1:70">
      <c r="K67" s="27">
        <f>$L67*VLOOKUP($R67,武学奇术!$A:$ZZ,31,FALSE)</f>
        <v>154688.244076043</v>
      </c>
      <c r="L67" s="27">
        <f t="shared" si="11"/>
        <v>154688.244076043</v>
      </c>
      <c r="M67" s="27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136979.49542167</v>
      </c>
      <c r="N67" s="27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224932.498787348</v>
      </c>
      <c r="O67" s="27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91319.6636144464</v>
      </c>
      <c r="P67" s="27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42232.0246150678</v>
      </c>
      <c r="Q67" s="35">
        <v>1</v>
      </c>
      <c r="R67" s="36" t="s">
        <v>156</v>
      </c>
      <c r="S67" s="36" t="s">
        <v>71</v>
      </c>
      <c r="T67" s="36" t="s">
        <v>93</v>
      </c>
      <c r="U67" s="36" t="s">
        <v>71</v>
      </c>
      <c r="V67" s="36" t="s">
        <v>71</v>
      </c>
      <c r="W67" s="36" t="s">
        <v>111</v>
      </c>
      <c r="X67" s="36" t="s">
        <v>71</v>
      </c>
      <c r="Y67" s="36" t="s">
        <v>71</v>
      </c>
      <c r="Z67" s="36" t="s">
        <v>71</v>
      </c>
      <c r="AA67" s="36" t="s">
        <v>71</v>
      </c>
      <c r="AB67" s="36" t="s">
        <v>71</v>
      </c>
      <c r="AC67" s="36" t="s">
        <v>71</v>
      </c>
      <c r="AD67" s="36" t="s">
        <v>72</v>
      </c>
      <c r="AE67" s="36" t="s">
        <v>94</v>
      </c>
      <c r="AF67" s="36" t="s">
        <v>154</v>
      </c>
      <c r="AG67" s="36" t="s">
        <v>120</v>
      </c>
      <c r="AH67" t="str">
        <f>VLOOKUP($R67,武学奇术!$A:$ZZ,25,FALSE)</f>
        <v>单体奇术</v>
      </c>
      <c r="AI67" s="20">
        <f>VLOOKUP($R67,武学奇术!$A:$ZZ,26,FALSE)</f>
        <v>7.1074</v>
      </c>
      <c r="AJ67" s="21">
        <f>VLOOKUP($R67,武学奇术!$A:$ZZ,27,FALSE)*(1+IF(OR($AH67=$F$4,$AH67=$F$5),$B$22,0))</f>
        <v>1320</v>
      </c>
      <c r="AK67" s="20">
        <f>VLOOKUP($R67,武学奇术!$A:$ZZ,28,FALSE)</f>
        <v>10.6596</v>
      </c>
      <c r="AL67" s="21">
        <f>VLOOKUP($R67,武学奇术!$A:$ZZ,29,FALSE)*(1+IF(OR($AH67=$F$4,$AH67=$F$5),$B$22,0))</f>
        <v>0</v>
      </c>
      <c r="AM67" s="20" cm="1">
        <f t="array" ref="AM67">$G$3+IFERROR(VLOOKUP($AH67,$F$4:$G$7,2,FALSE),0)+VLOOKUP($R67,武学奇术!$A:$ZZ,2,FALSE)+SUM(_xlfn.XLOOKUP($S67:$AG67,增益!$A:$A,增益!$B:$B,0))</f>
        <v>0.7365</v>
      </c>
      <c r="AN67" s="20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1548.52</v>
      </c>
      <c r="AP67" cm="1">
        <f t="array" ref="AP67">$E$10*(1+$AN67)+VLOOKUP($R67,武学奇术!$A:$ZZ,4,FALSE)+SUM(_xlfn.XLOOKUP($S67:$AG67,增益!$A:$A,增益!$D:$D,0))-$I$2</f>
        <v>6659.56</v>
      </c>
      <c r="AQ67" s="29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0.2425</v>
      </c>
      <c r="AR67" s="29" cm="1">
        <f t="array" ref="AR67">$G$10+VLOOKUP($R67,武学奇术!$A:$ZZ,7,FALSE)+SUM(_xlfn.XLOOKUP(S67:AG67,增益!$A:$A,增益!$G:$G,0))</f>
        <v>0</v>
      </c>
      <c r="AS67" s="20" cm="1">
        <f t="array" ref="AS67">VLOOKUP($R67,武学奇术!$A:$ZZ,8,FALSE)+SUM(_xlfn.XLOOKUP(S67:AG67,增益!$A:$A,增益!$H:$H,0))</f>
        <v>0</v>
      </c>
      <c r="AT67">
        <f t="shared" si="12"/>
        <v>538</v>
      </c>
      <c r="AU67">
        <f t="shared" si="13"/>
        <v>1011</v>
      </c>
      <c r="AV67" s="29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</v>
      </c>
      <c r="AW67" s="29" cm="1">
        <f t="array" ref="AW67">$G$11+VLOOKUP($R67,武学奇术!$A:$ZZ,10,FALSE)+SUM(_xlfn.XLOOKUP(S67:AG67,增益!$A:$A,增益!$J:$J,0))</f>
        <v>0.15</v>
      </c>
      <c r="AX67">
        <f t="shared" si="14"/>
        <v>0</v>
      </c>
      <c r="AY67">
        <f t="shared" si="15"/>
        <v>0</v>
      </c>
      <c r="AZ67" s="29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29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29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29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29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29" cm="1">
        <f t="array" ref="BI67">$G$14+VLOOKUP($R67,武学奇术!$A:$ZZ,16,FALSE)+SUM(_xlfn.XLOOKUP(S67:AG67,增益!$A:$A,增益!$P:$P,0))</f>
        <v>0</v>
      </c>
      <c r="BJ67" s="20">
        <f>MIN(IF(VLOOKUP($R67,武学奇术!$A:$ZZ,23,FALSE)=1,100%,$B$8),100%)</f>
        <v>0.8271</v>
      </c>
      <c r="BK67" s="20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0.2249</v>
      </c>
      <c r="BL67" s="20" cm="1">
        <f t="array" ref="BL67">1+$B$13+VLOOKUP($R67,武学奇术!$A:$ZZ,18,FALSE)+SUM(_xlfn.XLOOKUP(S67:AG67,增益!$A:$A,增益!$R:$R,0))</f>
        <v>1.5</v>
      </c>
      <c r="BM67" s="20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0.4459</v>
      </c>
      <c r="BN67" s="20" cm="1">
        <f t="array" ref="BN67">1+$B$14+VLOOKUP($R67,武学奇术!$A:$ZZ,20,FALSE)+SUM(_xlfn.XLOOKUP(S67:AG67,增益!$A:$A,增益!$T:$T,0))</f>
        <v>1.602</v>
      </c>
      <c r="BO67" s="20">
        <f t="shared" si="20"/>
        <v>0.18601479</v>
      </c>
      <c r="BP67" s="20">
        <f t="shared" si="21"/>
        <v>0.27228132</v>
      </c>
      <c r="BQ67" s="20">
        <f>IF(VLOOKUP($R67,武学奇术!$A:$ZZ,22,FALSE)=1,0,(1-$BJ67))*(1-$BM67)</f>
        <v>0.09580389</v>
      </c>
      <c r="BR67" s="20" cm="1">
        <f t="array" ref="BR67">SUM(_xlfn.XLOOKUP(S67:AG67,增益!$A:$A,增益!$W:$W,0))+$I$5</f>
        <v>0.11</v>
      </c>
    </row>
    <row r="68" spans="1:70">
      <c r="K68" s="27">
        <f>$L68*VLOOKUP($R68,武学奇术!$A:$ZZ,31,FALSE)</f>
        <v>25993.2692862864</v>
      </c>
      <c r="L68" s="27">
        <f t="shared" si="11"/>
        <v>25993.2692862864</v>
      </c>
      <c r="M68" s="27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23404.7266871756</v>
      </c>
      <c r="N68" s="27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37300.2126922078</v>
      </c>
      <c r="O68" s="27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15603.1511247837</v>
      </c>
      <c r="P68" s="27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7922.77372759012</v>
      </c>
      <c r="Q68" s="35">
        <v>1</v>
      </c>
      <c r="R68" s="36" t="s">
        <v>92</v>
      </c>
      <c r="S68" s="36" t="s">
        <v>71</v>
      </c>
      <c r="T68" s="36" t="s">
        <v>93</v>
      </c>
      <c r="U68" s="36" t="s">
        <v>71</v>
      </c>
      <c r="V68" s="36" t="s">
        <v>71</v>
      </c>
      <c r="W68" s="36" t="s">
        <v>111</v>
      </c>
      <c r="X68" s="36" t="s">
        <v>71</v>
      </c>
      <c r="Y68" s="36" t="s">
        <v>71</v>
      </c>
      <c r="Z68" s="36" t="s">
        <v>71</v>
      </c>
      <c r="AA68" s="36" t="s">
        <v>71</v>
      </c>
      <c r="AB68" s="36" t="s">
        <v>71</v>
      </c>
      <c r="AC68" s="36" t="s">
        <v>71</v>
      </c>
      <c r="AD68" s="36" t="s">
        <v>72</v>
      </c>
      <c r="AE68" s="36" t="s">
        <v>94</v>
      </c>
      <c r="AF68" s="36" t="s">
        <v>154</v>
      </c>
      <c r="AG68" s="36" t="s">
        <v>120</v>
      </c>
      <c r="AH68" t="str">
        <f>VLOOKUP($R68,武学奇术!$A:$ZZ,25,FALSE)</f>
        <v>剑</v>
      </c>
      <c r="AI68" s="20">
        <f>VLOOKUP($R68,武学奇术!$A:$ZZ,26,FALSE)</f>
        <v>1.1781</v>
      </c>
      <c r="AJ68" s="21">
        <f>VLOOKUP($R68,武学奇术!$A:$ZZ,27,FALSE)*(1+IF(OR($AH68=$F$4,$AH68=$F$5),$B$22,0))</f>
        <v>456.4</v>
      </c>
      <c r="AK68" s="20">
        <f>VLOOKUP($R68,武学奇术!$A:$ZZ,28,FALSE)</f>
        <v>1.7672</v>
      </c>
      <c r="AL68" s="21">
        <f>VLOOKUP($R68,武学奇术!$A:$ZZ,29,FALSE)*(1+IF(OR($AH68=$F$4,$AH68=$F$5),$B$22,0))</f>
        <v>247.8</v>
      </c>
      <c r="AM68" s="20" cm="1">
        <f t="array" ref="AM68">$G$3+IFERROR(VLOOKUP($AH68,$F$4:$G$7,2,FALSE),0)+VLOOKUP($R68,武学奇术!$A:$ZZ,2,FALSE)+SUM(_xlfn.XLOOKUP($S68:$AG68,增益!$A:$A,增益!$B:$B,0))</f>
        <v>0.6391</v>
      </c>
      <c r="AN68" s="20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1548.52</v>
      </c>
      <c r="AP68" cm="1">
        <f t="array" ref="AP68">$E$10*(1+$AN68)+VLOOKUP($R68,武学奇术!$A:$ZZ,4,FALSE)+SUM(_xlfn.XLOOKUP($S68:$AG68,增益!$A:$A,增益!$D:$D,0))-$I$2</f>
        <v>6659.56</v>
      </c>
      <c r="AQ68" s="29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0.2425</v>
      </c>
      <c r="AR68" s="29" cm="1">
        <f t="array" ref="AR68">$G$10+VLOOKUP($R68,武学奇术!$A:$ZZ,7,FALSE)+SUM(_xlfn.XLOOKUP(S68:AG68,增益!$A:$A,增益!$G:$G,0))</f>
        <v>0</v>
      </c>
      <c r="AS68" s="20" cm="1">
        <f t="array" ref="AS68">VLOOKUP($R68,武学奇术!$A:$ZZ,8,FALSE)+SUM(_xlfn.XLOOKUP(S68:AG68,增益!$A:$A,增益!$H:$H,0))</f>
        <v>0</v>
      </c>
      <c r="AT68">
        <f t="shared" si="12"/>
        <v>538</v>
      </c>
      <c r="AU68">
        <f t="shared" si="13"/>
        <v>1011</v>
      </c>
      <c r="AV68" s="29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</v>
      </c>
      <c r="AW68" s="29" cm="1">
        <f t="array" ref="AW68">$G$11+VLOOKUP($R68,武学奇术!$A:$ZZ,10,FALSE)+SUM(_xlfn.XLOOKUP(S68:AG68,增益!$A:$A,增益!$J:$J,0))</f>
        <v>0.15</v>
      </c>
      <c r="AX68">
        <f t="shared" si="14"/>
        <v>0</v>
      </c>
      <c r="AY68">
        <f t="shared" si="15"/>
        <v>0</v>
      </c>
      <c r="AZ68" s="29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29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29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29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29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29" cm="1">
        <f t="array" ref="BI68">$G$14+VLOOKUP($R68,武学奇术!$A:$ZZ,16,FALSE)+SUM(_xlfn.XLOOKUP(S68:AG68,增益!$A:$A,增益!$P:$P,0))</f>
        <v>0</v>
      </c>
      <c r="BJ68" s="20">
        <f>MIN(IF(VLOOKUP($R68,武学奇术!$A:$ZZ,23,FALSE)=1,100%,$B$8),100%)</f>
        <v>0.8271</v>
      </c>
      <c r="BK68" s="20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0.2249</v>
      </c>
      <c r="BL68" s="20" cm="1">
        <f t="array" ref="BL68">1+$B$13+VLOOKUP($R68,武学奇术!$A:$ZZ,18,FALSE)+SUM(_xlfn.XLOOKUP(S68:AG68,增益!$A:$A,增益!$R:$R,0))</f>
        <v>1.5</v>
      </c>
      <c r="BM68" s="20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0.4459</v>
      </c>
      <c r="BN68" s="20" cm="1">
        <f t="array" ref="BN68">1+$B$14+VLOOKUP($R68,武学奇术!$A:$ZZ,20,FALSE)+SUM(_xlfn.XLOOKUP(S68:AG68,增益!$A:$A,增益!$T:$T,0))</f>
        <v>1.602</v>
      </c>
      <c r="BO68" s="20">
        <f t="shared" si="20"/>
        <v>0.18601479</v>
      </c>
      <c r="BP68" s="20">
        <f t="shared" si="21"/>
        <v>0.27228132</v>
      </c>
      <c r="BQ68" s="20">
        <f>IF(VLOOKUP($R68,武学奇术!$A:$ZZ,22,FALSE)=1,0,(1-$BJ68))*(1-$BM68)</f>
        <v>0.09580389</v>
      </c>
      <c r="BR68" s="20" cm="1">
        <f t="array" ref="BR68">SUM(_xlfn.XLOOKUP(S68:AG68,增益!$A:$A,增益!$W:$W,0))+$I$5</f>
        <v>0.11</v>
      </c>
    </row>
    <row r="69" spans="1:70">
      <c r="K69" s="27">
        <f>$L69*VLOOKUP($R69,武学奇术!$A:$ZZ,31,FALSE)</f>
        <v>65661.5841236345</v>
      </c>
      <c r="L69" s="27">
        <f t="shared" si="11"/>
        <v>109435.973539391</v>
      </c>
      <c r="M69" s="27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89687.4709676233</v>
      </c>
      <c r="N69" s="27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165798.990561992</v>
      </c>
      <c r="O69" s="27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59791.6473117489</v>
      </c>
      <c r="P69" s="27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26542.3347121667</v>
      </c>
      <c r="Q69" s="35">
        <v>1</v>
      </c>
      <c r="R69" s="36" t="s">
        <v>105</v>
      </c>
      <c r="S69" s="36" t="s">
        <v>71</v>
      </c>
      <c r="T69" s="36" t="s">
        <v>99</v>
      </c>
      <c r="U69" s="36" t="s">
        <v>100</v>
      </c>
      <c r="V69" s="36" t="s">
        <v>101</v>
      </c>
      <c r="W69" s="36" t="s">
        <v>111</v>
      </c>
      <c r="X69" s="36" t="s">
        <v>71</v>
      </c>
      <c r="Y69" s="36" t="s">
        <v>71</v>
      </c>
      <c r="Z69" s="36" t="s">
        <v>71</v>
      </c>
      <c r="AA69" s="36" t="s">
        <v>71</v>
      </c>
      <c r="AB69" s="36" t="s">
        <v>71</v>
      </c>
      <c r="AC69" s="36" t="s">
        <v>71</v>
      </c>
      <c r="AD69" s="36" t="s">
        <v>72</v>
      </c>
      <c r="AE69" s="36" t="s">
        <v>94</v>
      </c>
      <c r="AF69" s="36" t="s">
        <v>154</v>
      </c>
      <c r="AG69" s="36" t="s">
        <v>120</v>
      </c>
      <c r="AH69" t="str">
        <f>VLOOKUP($R69,武学奇术!$A:$ZZ,25,FALSE)</f>
        <v>剑</v>
      </c>
      <c r="AI69" s="20">
        <f>VLOOKUP($R69,武学奇术!$A:$ZZ,26,FALSE)</f>
        <v>2.496</v>
      </c>
      <c r="AJ69" s="21">
        <f>VLOOKUP($R69,武学奇术!$A:$ZZ,27,FALSE)*(1+IF(OR($AH69=$F$4,$AH69=$F$5),$B$22,0))</f>
        <v>0</v>
      </c>
      <c r="AK69" s="20">
        <f>VLOOKUP($R69,武学奇术!$A:$ZZ,28,FALSE)</f>
        <v>3.744</v>
      </c>
      <c r="AL69" s="21">
        <f>VLOOKUP($R69,武学奇术!$A:$ZZ,29,FALSE)*(1+IF(OR($AH69=$F$4,$AH69=$F$5),$B$22,0))</f>
        <v>0</v>
      </c>
      <c r="AM69" s="20" cm="1">
        <f t="array" ref="AM69">$G$3+IFERROR(VLOOKUP($AH69,$F$4:$G$7,2,FALSE),0)+VLOOKUP($R69,武学奇术!$A:$ZZ,2,FALSE)+SUM(_xlfn.XLOOKUP($S69:$AG69,增益!$A:$A,增益!$B:$B,0))</f>
        <v>1.3891</v>
      </c>
      <c r="AN69" s="20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1548.52</v>
      </c>
      <c r="AP69" cm="1">
        <f t="array" ref="AP69">$E$10*(1+$AN69)+VLOOKUP($R69,武学奇术!$A:$ZZ,4,FALSE)+SUM(_xlfn.XLOOKUP($S69:$AG69,增益!$A:$A,增益!$D:$D,0))-$I$2</f>
        <v>6659.56</v>
      </c>
      <c r="AQ69" s="29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0.3175</v>
      </c>
      <c r="AR69" s="29" cm="1">
        <f t="array" ref="AR69">$G$10+VLOOKUP($R69,武学奇术!$A:$ZZ,7,FALSE)+SUM(_xlfn.XLOOKUP(S69:AG69,增益!$A:$A,增益!$G:$G,0))</f>
        <v>0</v>
      </c>
      <c r="AS69" s="20" cm="1">
        <f t="array" ref="AS69">VLOOKUP($R69,武学奇术!$A:$ZZ,8,FALSE)+SUM(_xlfn.XLOOKUP(S69:AG69,增益!$A:$A,增益!$H:$H,0))</f>
        <v>0</v>
      </c>
      <c r="AT69">
        <f t="shared" si="12"/>
        <v>538</v>
      </c>
      <c r="AU69">
        <f t="shared" si="13"/>
        <v>1011</v>
      </c>
      <c r="AV69" s="29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0.075</v>
      </c>
      <c r="AW69" s="29" cm="1">
        <f t="array" ref="AW69">$G$11+VLOOKUP($R69,武学奇术!$A:$ZZ,10,FALSE)+SUM(_xlfn.XLOOKUP(S69:AG69,增益!$A:$A,增益!$J:$J,0))</f>
        <v>0.15</v>
      </c>
      <c r="AX69">
        <f t="shared" si="14"/>
        <v>0</v>
      </c>
      <c r="AY69">
        <f t="shared" si="15"/>
        <v>0</v>
      </c>
      <c r="AZ69" s="29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29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29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29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29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29" cm="1">
        <f t="array" ref="BI69">$G$14+VLOOKUP($R69,武学奇术!$A:$ZZ,16,FALSE)+SUM(_xlfn.XLOOKUP(S69:AG69,增益!$A:$A,增益!$P:$P,0))</f>
        <v>0</v>
      </c>
      <c r="BJ69" s="20">
        <f>MIN(IF(VLOOKUP($R69,武学奇术!$A:$ZZ,23,FALSE)=1,100%,$B$8),100%)</f>
        <v>0.8271</v>
      </c>
      <c r="BK69" s="20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0.2249</v>
      </c>
      <c r="BL69" s="20" cm="1">
        <f t="array" ref="BL69">1+$B$13+VLOOKUP($R69,武学奇术!$A:$ZZ,18,FALSE)+SUM(_xlfn.XLOOKUP(S69:AG69,增益!$A:$A,增益!$R:$R,0))</f>
        <v>1.5</v>
      </c>
      <c r="BM69" s="20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0.4459</v>
      </c>
      <c r="BN69" s="20" cm="1">
        <f t="array" ref="BN69">1+$B$14+VLOOKUP($R69,武学奇术!$A:$ZZ,20,FALSE)+SUM(_xlfn.XLOOKUP(S69:AG69,增益!$A:$A,增益!$T:$T,0))</f>
        <v>1.782</v>
      </c>
      <c r="BO69" s="20">
        <f t="shared" si="20"/>
        <v>0.18601479</v>
      </c>
      <c r="BP69" s="20">
        <f t="shared" si="21"/>
        <v>0.27228132</v>
      </c>
      <c r="BQ69" s="20">
        <f>IF(VLOOKUP($R69,武学奇术!$A:$ZZ,22,FALSE)=1,0,(1-$BJ69))*(1-$BM69)</f>
        <v>0.09580389</v>
      </c>
      <c r="BR69" s="20" cm="1">
        <f t="array" ref="BR69">SUM(_xlfn.XLOOKUP(S69:AG69,增益!$A:$A,增益!$W:$W,0))+$I$5</f>
        <v>0.11</v>
      </c>
    </row>
    <row r="70" spans="1:70">
      <c r="K70" s="27">
        <f>$L70*VLOOKUP($R70,武学奇术!$A:$ZZ,31,FALSE)</f>
        <v>99479.3943371952</v>
      </c>
      <c r="L70" s="27">
        <f t="shared" si="11"/>
        <v>165798.990561992</v>
      </c>
      <c r="M70" s="27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89687.4709676233</v>
      </c>
      <c r="N70" s="27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165798.990561992</v>
      </c>
      <c r="O70" s="27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59791.6473117489</v>
      </c>
      <c r="P70" s="27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26542.3347121667</v>
      </c>
      <c r="Q70" s="35">
        <v>1</v>
      </c>
      <c r="R70" s="36" t="s">
        <v>98</v>
      </c>
      <c r="S70" s="36" t="s">
        <v>71</v>
      </c>
      <c r="T70" s="36" t="s">
        <v>99</v>
      </c>
      <c r="U70" s="36" t="s">
        <v>100</v>
      </c>
      <c r="V70" s="36" t="s">
        <v>101</v>
      </c>
      <c r="W70" s="36" t="s">
        <v>111</v>
      </c>
      <c r="X70" s="36" t="s">
        <v>71</v>
      </c>
      <c r="Y70" s="36" t="s">
        <v>71</v>
      </c>
      <c r="Z70" s="36" t="s">
        <v>71</v>
      </c>
      <c r="AA70" s="36" t="s">
        <v>71</v>
      </c>
      <c r="AB70" s="36" t="s">
        <v>71</v>
      </c>
      <c r="AC70" s="36" t="s">
        <v>71</v>
      </c>
      <c r="AD70" s="36" t="s">
        <v>72</v>
      </c>
      <c r="AE70" s="36" t="s">
        <v>94</v>
      </c>
      <c r="AF70" s="36" t="s">
        <v>154</v>
      </c>
      <c r="AG70" s="36" t="s">
        <v>120</v>
      </c>
      <c r="AH70" t="str">
        <f>VLOOKUP($R70,武学奇术!$A:$ZZ,25,FALSE)</f>
        <v>剑</v>
      </c>
      <c r="AI70" s="20">
        <f>VLOOKUP($R70,武学奇术!$A:$ZZ,26,FALSE)</f>
        <v>2.496</v>
      </c>
      <c r="AJ70" s="21">
        <f>VLOOKUP($R70,武学奇术!$A:$ZZ,27,FALSE)*(1+IF(OR($AH70=$F$4,$AH70=$F$5),$B$22,0))</f>
        <v>0</v>
      </c>
      <c r="AK70" s="20">
        <f>VLOOKUP($R70,武学奇术!$A:$ZZ,28,FALSE)</f>
        <v>3.744</v>
      </c>
      <c r="AL70" s="21">
        <f>VLOOKUP($R70,武学奇术!$A:$ZZ,29,FALSE)*(1+IF(OR($AH70=$F$4,$AH70=$F$5),$B$22,0))</f>
        <v>0</v>
      </c>
      <c r="AM70" s="20" cm="1">
        <f t="array" ref="AM70">$G$3+IFERROR(VLOOKUP($AH70,$F$4:$G$7,2,FALSE),0)+VLOOKUP($R70,武学奇术!$A:$ZZ,2,FALSE)+SUM(_xlfn.XLOOKUP($S70:$AG70,增益!$A:$A,增益!$B:$B,0))</f>
        <v>1.3891</v>
      </c>
      <c r="AN70" s="20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1548.52</v>
      </c>
      <c r="AP70" cm="1">
        <f t="array" ref="AP70">$E$10*(1+$AN70)+VLOOKUP($R70,武学奇术!$A:$ZZ,4,FALSE)+SUM(_xlfn.XLOOKUP($S70:$AG70,增益!$A:$A,增益!$D:$D,0))-$I$2</f>
        <v>6659.56</v>
      </c>
      <c r="AQ70" s="29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0.3175</v>
      </c>
      <c r="AR70" s="29" cm="1">
        <f t="array" ref="AR70">$G$10+VLOOKUP($R70,武学奇术!$A:$ZZ,7,FALSE)+SUM(_xlfn.XLOOKUP(S70:AG70,增益!$A:$A,增益!$G:$G,0))</f>
        <v>0</v>
      </c>
      <c r="AS70" s="20" cm="1">
        <f t="array" ref="AS70">VLOOKUP($R70,武学奇术!$A:$ZZ,8,FALSE)+SUM(_xlfn.XLOOKUP(S70:AG70,增益!$A:$A,增益!$H:$H,0))</f>
        <v>0</v>
      </c>
      <c r="AT70">
        <f t="shared" si="12"/>
        <v>538</v>
      </c>
      <c r="AU70">
        <f t="shared" si="13"/>
        <v>1011</v>
      </c>
      <c r="AV70" s="29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0.075</v>
      </c>
      <c r="AW70" s="29" cm="1">
        <f t="array" ref="AW70">$G$11+VLOOKUP($R70,武学奇术!$A:$ZZ,10,FALSE)+SUM(_xlfn.XLOOKUP(S70:AG70,增益!$A:$A,增益!$J:$J,0))</f>
        <v>0.15</v>
      </c>
      <c r="AX70">
        <f t="shared" si="14"/>
        <v>0</v>
      </c>
      <c r="AY70">
        <f t="shared" si="15"/>
        <v>0</v>
      </c>
      <c r="AZ70" s="29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29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29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29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29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29" cm="1">
        <f t="array" ref="BI70">$G$14+VLOOKUP($R70,武学奇术!$A:$ZZ,16,FALSE)+SUM(_xlfn.XLOOKUP(S70:AG70,增益!$A:$A,增益!$P:$P,0))</f>
        <v>0</v>
      </c>
      <c r="BJ70" s="20">
        <f>MIN(IF(VLOOKUP($R70,武学奇术!$A:$ZZ,23,FALSE)=1,100%,$B$8),100%)</f>
        <v>0.8271</v>
      </c>
      <c r="BK70" s="20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</v>
      </c>
      <c r="BL70" s="20" cm="1">
        <f t="array" ref="BL70">1+$B$13+VLOOKUP($R70,武学奇术!$A:$ZZ,18,FALSE)+SUM(_xlfn.XLOOKUP(S70:AG70,增益!$A:$A,增益!$R:$R,0))</f>
        <v>1.5</v>
      </c>
      <c r="BM70" s="20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1</v>
      </c>
      <c r="BN70" s="20" cm="1">
        <f t="array" ref="BN70">1+$B$14+VLOOKUP($R70,武学奇术!$A:$ZZ,20,FALSE)+SUM(_xlfn.XLOOKUP(S70:AG70,增益!$A:$A,增益!$T:$T,0))</f>
        <v>1.782</v>
      </c>
      <c r="BO70" s="20">
        <f t="shared" si="20"/>
        <v>0</v>
      </c>
      <c r="BP70" s="20">
        <f t="shared" si="21"/>
        <v>0</v>
      </c>
      <c r="BQ70" s="20">
        <f>IF(VLOOKUP($R70,武学奇术!$A:$ZZ,22,FALSE)=1,0,(1-$BJ70))*(1-$BM70)</f>
        <v>0</v>
      </c>
      <c r="BR70" s="20" cm="1">
        <f t="array" ref="BR70">SUM(_xlfn.XLOOKUP(S70:AG70,增益!$A:$A,增益!$W:$W,0))+$I$5</f>
        <v>0.11</v>
      </c>
    </row>
    <row r="71" spans="1:70">
      <c r="K71" s="27">
        <f>$L71*VLOOKUP($R71,武学奇术!$A:$ZZ,31,FALSE)</f>
        <v>12482.8559209719</v>
      </c>
      <c r="L71" s="27">
        <f t="shared" si="11"/>
        <v>12482.8559209719</v>
      </c>
      <c r="M71" s="27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10976.5864405896</v>
      </c>
      <c r="N71" s="27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18250.4139742952</v>
      </c>
      <c r="O71" s="27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7317.72429372638</v>
      </c>
      <c r="P71" s="27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3243.18018901631</v>
      </c>
      <c r="Q71" s="35">
        <v>1</v>
      </c>
      <c r="R71" s="36" t="s">
        <v>107</v>
      </c>
      <c r="S71" s="36" t="s">
        <v>71</v>
      </c>
      <c r="T71" s="36" t="s">
        <v>93</v>
      </c>
      <c r="U71" s="36" t="s">
        <v>71</v>
      </c>
      <c r="V71" s="36" t="s">
        <v>71</v>
      </c>
      <c r="W71" s="36" t="s">
        <v>111</v>
      </c>
      <c r="X71" s="36" t="s">
        <v>71</v>
      </c>
      <c r="Y71" s="36" t="s">
        <v>71</v>
      </c>
      <c r="Z71" s="36" t="s">
        <v>71</v>
      </c>
      <c r="AA71" s="36" t="s">
        <v>71</v>
      </c>
      <c r="AB71" s="36" t="s">
        <v>71</v>
      </c>
      <c r="AC71" s="36" t="s">
        <v>71</v>
      </c>
      <c r="AD71" s="36" t="s">
        <v>72</v>
      </c>
      <c r="AE71" s="36" t="s">
        <v>94</v>
      </c>
      <c r="AF71" s="36" t="s">
        <v>154</v>
      </c>
      <c r="AG71" s="36" t="s">
        <v>120</v>
      </c>
      <c r="AH71" t="str">
        <f>VLOOKUP($R71,武学奇术!$A:$ZZ,25,FALSE)</f>
        <v>剑</v>
      </c>
      <c r="AI71" s="20">
        <f>VLOOKUP($R71,武学奇术!$A:$ZZ,26,FALSE)</f>
        <v>0.625</v>
      </c>
      <c r="AJ71" s="21">
        <f>VLOOKUP($R71,武学奇术!$A:$ZZ,27,FALSE)*(1+IF(OR($AH71=$F$4,$AH71=$F$5),$B$22,0))</f>
        <v>0</v>
      </c>
      <c r="AK71" s="20">
        <f>VLOOKUP($R71,武学奇术!$A:$ZZ,28,FALSE)</f>
        <v>0.9375</v>
      </c>
      <c r="AL71" s="21">
        <f>VLOOKUP($R71,武学奇术!$A:$ZZ,29,FALSE)*(1+IF(OR($AH71=$F$4,$AH71=$F$5),$B$22,0))</f>
        <v>0</v>
      </c>
      <c r="AM71" s="20" cm="1">
        <f t="array" ref="AM71">$G$3+IFERROR(VLOOKUP($AH71,$F$4:$G$7,2,FALSE),0)+VLOOKUP($R71,武学奇术!$A:$ZZ,2,FALSE)+SUM(_xlfn.XLOOKUP($S71:$AG71,增益!$A:$A,增益!$B:$B,0))</f>
        <v>0.6391</v>
      </c>
      <c r="AN71" s="20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1548.52</v>
      </c>
      <c r="AP71" cm="1">
        <f t="array" ref="AP71">$E$10*(1+$AN71)+VLOOKUP($R71,武学奇术!$A:$ZZ,4,FALSE)+SUM(_xlfn.XLOOKUP($S71:$AG71,增益!$A:$A,增益!$D:$D,0))-$I$2</f>
        <v>6659.56</v>
      </c>
      <c r="AQ71" s="29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0.2425</v>
      </c>
      <c r="AR71" s="29" cm="1">
        <f t="array" ref="AR71">$G$10+VLOOKUP($R71,武学奇术!$A:$ZZ,7,FALSE)+SUM(_xlfn.XLOOKUP(S71:AG71,增益!$A:$A,增益!$G:$G,0))</f>
        <v>0</v>
      </c>
      <c r="AS71" s="20" cm="1">
        <f t="array" ref="AS71">VLOOKUP($R71,武学奇术!$A:$ZZ,8,FALSE)+SUM(_xlfn.XLOOKUP(S71:AG71,增益!$A:$A,增益!$H:$H,0))</f>
        <v>0</v>
      </c>
      <c r="AT71">
        <f t="shared" si="12"/>
        <v>538</v>
      </c>
      <c r="AU71">
        <f t="shared" si="13"/>
        <v>1011</v>
      </c>
      <c r="AV71" s="29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</v>
      </c>
      <c r="AW71" s="29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29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29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29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29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29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29" cm="1">
        <f t="array" ref="BI71">$G$14+VLOOKUP($R71,武学奇术!$A:$ZZ,16,FALSE)+SUM(_xlfn.XLOOKUP(S71:AG71,增益!$A:$A,增益!$P:$P,0))</f>
        <v>0</v>
      </c>
      <c r="BJ71" s="20">
        <f>MIN(IF(VLOOKUP($R71,武学奇术!$A:$ZZ,23,FALSE)=1,100%,$B$8),100%)</f>
        <v>0.8271</v>
      </c>
      <c r="BK71" s="20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0.2249</v>
      </c>
      <c r="BL71" s="20" cm="1">
        <f t="array" ref="BL71">1+$B$13+VLOOKUP($R71,武学奇术!$A:$ZZ,18,FALSE)+SUM(_xlfn.XLOOKUP(S71:AG71,增益!$A:$A,增益!$R:$R,0))</f>
        <v>1.5</v>
      </c>
      <c r="BM71" s="20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0.4459</v>
      </c>
      <c r="BN71" s="20" cm="1">
        <f t="array" ref="BN71">1+$B$14+VLOOKUP($R71,武学奇术!$A:$ZZ,20,FALSE)+SUM(_xlfn.XLOOKUP(S71:AG71,增益!$A:$A,增益!$T:$T,0))</f>
        <v>1.602</v>
      </c>
      <c r="BO71" s="20">
        <f t="shared" si="20"/>
        <v>0.18601479</v>
      </c>
      <c r="BP71" s="20">
        <f t="shared" si="21"/>
        <v>0.27228132</v>
      </c>
      <c r="BQ71" s="20">
        <f>IF(VLOOKUP($R71,武学奇术!$A:$ZZ,22,FALSE)=1,0,(1-$BJ71))*(1-$BM71)</f>
        <v>0.09580389</v>
      </c>
      <c r="BR71" s="20" cm="1">
        <f t="array" ref="BR71">SUM(_xlfn.XLOOKUP(S71:AG71,增益!$A:$A,增益!$W:$W,0))+$I$5</f>
        <v>0.11</v>
      </c>
    </row>
    <row r="72" spans="1:70">
      <c r="K72" s="27">
        <f>$L72*VLOOKUP($R72,武学奇术!$A:$ZZ,31,FALSE)</f>
        <v>60008.8741699672</v>
      </c>
      <c r="L72" s="27">
        <f t="shared" si="11"/>
        <v>60008.8741699672</v>
      </c>
      <c r="M72" s="27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54029.8566897072</v>
      </c>
      <c r="N72" s="27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86116.3203141061</v>
      </c>
      <c r="O72" s="27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36019.9044598048</v>
      </c>
      <c r="P72" s="27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18284.3031055609</v>
      </c>
      <c r="Q72" s="35">
        <v>1</v>
      </c>
      <c r="R72" s="36" t="s">
        <v>81</v>
      </c>
      <c r="S72" s="36" t="s">
        <v>71</v>
      </c>
      <c r="T72" s="36" t="s">
        <v>93</v>
      </c>
      <c r="U72" s="36" t="s">
        <v>71</v>
      </c>
      <c r="V72" s="36" t="s">
        <v>71</v>
      </c>
      <c r="W72" s="36" t="s">
        <v>111</v>
      </c>
      <c r="X72" s="36" t="s">
        <v>71</v>
      </c>
      <c r="Y72" s="36" t="s">
        <v>71</v>
      </c>
      <c r="Z72" s="36" t="s">
        <v>71</v>
      </c>
      <c r="AA72" s="36" t="s">
        <v>71</v>
      </c>
      <c r="AB72" s="36" t="s">
        <v>71</v>
      </c>
      <c r="AC72" s="36" t="s">
        <v>71</v>
      </c>
      <c r="AD72" s="36" t="s">
        <v>72</v>
      </c>
      <c r="AE72" s="36" t="s">
        <v>94</v>
      </c>
      <c r="AF72" s="36" t="s">
        <v>154</v>
      </c>
      <c r="AG72" s="36" t="s">
        <v>120</v>
      </c>
      <c r="AH72" t="str">
        <f>VLOOKUP($R72,武学奇术!$A:$ZZ,25,FALSE)</f>
        <v>剑</v>
      </c>
      <c r="AI72" s="20">
        <f>VLOOKUP($R72,武学奇术!$A:$ZZ,26,FALSE)</f>
        <v>2.7205</v>
      </c>
      <c r="AJ72" s="21">
        <f>VLOOKUP($R72,武学奇术!$A:$ZZ,27,FALSE)*(1+IF(OR($AH72=$F$4,$AH72=$F$5),$B$22,0))</f>
        <v>1048.6</v>
      </c>
      <c r="AK72" s="20">
        <f>VLOOKUP($R72,武学奇术!$A:$ZZ,28,FALSE)</f>
        <v>4.0806</v>
      </c>
      <c r="AL72" s="21">
        <f>VLOOKUP($R72,武学奇术!$A:$ZZ,29,FALSE)*(1+IF(OR($AH72=$F$4,$AH72=$F$5),$B$22,0))</f>
        <v>572.6</v>
      </c>
      <c r="AM72" s="20" cm="1">
        <f t="array" ref="AM72">$G$3+IFERROR(VLOOKUP($AH72,$F$4:$G$7,2,FALSE),0)+VLOOKUP($R72,武学奇术!$A:$ZZ,2,FALSE)+SUM(_xlfn.XLOOKUP($S72:$AG72,增益!$A:$A,增益!$B:$B,0))</f>
        <v>0.6391</v>
      </c>
      <c r="AN72" s="20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1548.52</v>
      </c>
      <c r="AP72" cm="1">
        <f t="array" ref="AP72">$E$10*(1+$AN72)+VLOOKUP($R72,武学奇术!$A:$ZZ,4,FALSE)+SUM(_xlfn.XLOOKUP($S72:$AG72,增益!$A:$A,增益!$D:$D,0))-$I$2</f>
        <v>6659.56</v>
      </c>
      <c r="AQ72" s="29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0.2425</v>
      </c>
      <c r="AR72" s="29" cm="1">
        <f t="array" ref="AR72">$G$10+VLOOKUP($R72,武学奇术!$A:$ZZ,7,FALSE)+SUM(_xlfn.XLOOKUP(S72:AG72,增益!$A:$A,增益!$G:$G,0))</f>
        <v>0</v>
      </c>
      <c r="AS72" s="20" cm="1">
        <f t="array" ref="AS72">VLOOKUP($R72,武学奇术!$A:$ZZ,8,FALSE)+SUM(_xlfn.XLOOKUP(S72:AG72,增益!$A:$A,增益!$H:$H,0))</f>
        <v>0</v>
      </c>
      <c r="AT72">
        <f t="shared" si="12"/>
        <v>538</v>
      </c>
      <c r="AU72">
        <f t="shared" si="13"/>
        <v>1011</v>
      </c>
      <c r="AV72" s="29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</v>
      </c>
      <c r="AW72" s="29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29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29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29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29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29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29" cm="1">
        <f t="array" ref="BI72">$G$14+VLOOKUP($R72,武学奇术!$A:$ZZ,16,FALSE)+SUM(_xlfn.XLOOKUP(S72:AG72,增益!$A:$A,增益!$P:$P,0))</f>
        <v>0</v>
      </c>
      <c r="BJ72" s="20">
        <f>MIN(IF(VLOOKUP($R72,武学奇术!$A:$ZZ,23,FALSE)=1,100%,$B$8),100%)</f>
        <v>0.8271</v>
      </c>
      <c r="BK72" s="20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0.2249</v>
      </c>
      <c r="BL72" s="20" cm="1">
        <f t="array" ref="BL72">1+$B$13+VLOOKUP($R72,武学奇术!$A:$ZZ,18,FALSE)+SUM(_xlfn.XLOOKUP(S72:AG72,增益!$A:$A,增益!$R:$R,0))</f>
        <v>1.5</v>
      </c>
      <c r="BM72" s="20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0.4459</v>
      </c>
      <c r="BN72" s="20" cm="1">
        <f t="array" ref="BN72">1+$B$14+VLOOKUP($R72,武学奇术!$A:$ZZ,20,FALSE)+SUM(_xlfn.XLOOKUP(S72:AG72,增益!$A:$A,增益!$T:$T,0))</f>
        <v>1.602</v>
      </c>
      <c r="BO72" s="20">
        <f t="shared" si="20"/>
        <v>0.18601479</v>
      </c>
      <c r="BP72" s="20">
        <f t="shared" si="21"/>
        <v>0.27228132</v>
      </c>
      <c r="BQ72" s="20">
        <f>IF(VLOOKUP($R72,武学奇术!$A:$ZZ,22,FALSE)=1,0,(1-$BJ72))*(1-$BM72)</f>
        <v>0.09580389</v>
      </c>
      <c r="BR72" s="20" cm="1">
        <f t="array" ref="BR72">SUM(_xlfn.XLOOKUP(S72:AG72,增益!$A:$A,增益!$W:$W,0))+$I$5</f>
        <v>0.11</v>
      </c>
    </row>
    <row r="73" spans="1:70">
      <c r="K73" s="27">
        <f>$L73*VLOOKUP($R73,武学奇术!$A:$ZZ,31,FALSE)</f>
        <v>65661.5841236345</v>
      </c>
      <c r="L73" s="27">
        <f t="shared" si="11"/>
        <v>109435.973539391</v>
      </c>
      <c r="M73" s="27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89687.4709676233</v>
      </c>
      <c r="N73" s="27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165798.990561992</v>
      </c>
      <c r="O73" s="27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59791.6473117489</v>
      </c>
      <c r="P73" s="27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26542.3347121667</v>
      </c>
      <c r="Q73" s="35">
        <v>1</v>
      </c>
      <c r="R73" s="36" t="s">
        <v>105</v>
      </c>
      <c r="S73" s="36" t="s">
        <v>71</v>
      </c>
      <c r="T73" s="36" t="s">
        <v>99</v>
      </c>
      <c r="U73" s="36" t="s">
        <v>100</v>
      </c>
      <c r="V73" s="36" t="s">
        <v>101</v>
      </c>
      <c r="W73" s="36" t="s">
        <v>111</v>
      </c>
      <c r="X73" s="36" t="s">
        <v>71</v>
      </c>
      <c r="Y73" s="36" t="s">
        <v>71</v>
      </c>
      <c r="Z73" s="36" t="s">
        <v>71</v>
      </c>
      <c r="AA73" s="36" t="s">
        <v>71</v>
      </c>
      <c r="AB73" s="36" t="s">
        <v>71</v>
      </c>
      <c r="AC73" s="36" t="s">
        <v>71</v>
      </c>
      <c r="AD73" s="36" t="s">
        <v>72</v>
      </c>
      <c r="AE73" s="36" t="s">
        <v>94</v>
      </c>
      <c r="AF73" s="36" t="s">
        <v>154</v>
      </c>
      <c r="AG73" s="36" t="s">
        <v>120</v>
      </c>
      <c r="AH73" t="str">
        <f>VLOOKUP($R73,武学奇术!$A:$ZZ,25,FALSE)</f>
        <v>剑</v>
      </c>
      <c r="AI73" s="20">
        <f>VLOOKUP($R73,武学奇术!$A:$ZZ,26,FALSE)</f>
        <v>2.496</v>
      </c>
      <c r="AJ73" s="21">
        <f>VLOOKUP($R73,武学奇术!$A:$ZZ,27,FALSE)*(1+IF(OR($AH73=$F$4,$AH73=$F$5),$B$22,0))</f>
        <v>0</v>
      </c>
      <c r="AK73" s="20">
        <f>VLOOKUP($R73,武学奇术!$A:$ZZ,28,FALSE)</f>
        <v>3.744</v>
      </c>
      <c r="AL73" s="21">
        <f>VLOOKUP($R73,武学奇术!$A:$ZZ,29,FALSE)*(1+IF(OR($AH73=$F$4,$AH73=$F$5),$B$22,0))</f>
        <v>0</v>
      </c>
      <c r="AM73" s="20" cm="1">
        <f t="array" ref="AM73">$G$3+IFERROR(VLOOKUP($AH73,$F$4:$G$7,2,FALSE),0)+VLOOKUP($R73,武学奇术!$A:$ZZ,2,FALSE)+SUM(_xlfn.XLOOKUP($S73:$AG73,增益!$A:$A,增益!$B:$B,0))</f>
        <v>1.3891</v>
      </c>
      <c r="AN73" s="20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1548.52</v>
      </c>
      <c r="AP73" cm="1">
        <f t="array" ref="AP73">$E$10*(1+$AN73)+VLOOKUP($R73,武学奇术!$A:$ZZ,4,FALSE)+SUM(_xlfn.XLOOKUP($S73:$AG73,增益!$A:$A,增益!$D:$D,0))-$I$2</f>
        <v>6659.56</v>
      </c>
      <c r="AQ73" s="29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0.3175</v>
      </c>
      <c r="AR73" s="29" cm="1">
        <f t="array" ref="AR73">$G$10+VLOOKUP($R73,武学奇术!$A:$ZZ,7,FALSE)+SUM(_xlfn.XLOOKUP(S73:AG73,增益!$A:$A,增益!$G:$G,0))</f>
        <v>0</v>
      </c>
      <c r="AS73" s="20" cm="1">
        <f t="array" ref="AS73">VLOOKUP($R73,武学奇术!$A:$ZZ,8,FALSE)+SUM(_xlfn.XLOOKUP(S73:AG73,增益!$A:$A,增益!$H:$H,0))</f>
        <v>0</v>
      </c>
      <c r="AT73">
        <f t="shared" si="12"/>
        <v>538</v>
      </c>
      <c r="AU73">
        <f t="shared" si="13"/>
        <v>1011</v>
      </c>
      <c r="AV73" s="29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0.075</v>
      </c>
      <c r="AW73" s="29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29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29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29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29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29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29" cm="1">
        <f t="array" ref="BI73">$G$14+VLOOKUP($R73,武学奇术!$A:$ZZ,16,FALSE)+SUM(_xlfn.XLOOKUP(S73:AG73,增益!$A:$A,增益!$P:$P,0))</f>
        <v>0</v>
      </c>
      <c r="BJ73" s="20">
        <f>MIN(IF(VLOOKUP($R73,武学奇术!$A:$ZZ,23,FALSE)=1,100%,$B$8),100%)</f>
        <v>0.8271</v>
      </c>
      <c r="BK73" s="20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0.2249</v>
      </c>
      <c r="BL73" s="20" cm="1">
        <f t="array" ref="BL73">1+$B$13+VLOOKUP($R73,武学奇术!$A:$ZZ,18,FALSE)+SUM(_xlfn.XLOOKUP(S73:AG73,增益!$A:$A,增益!$R:$R,0))</f>
        <v>1.5</v>
      </c>
      <c r="BM73" s="20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0.4459</v>
      </c>
      <c r="BN73" s="20" cm="1">
        <f t="array" ref="BN73">1+$B$14+VLOOKUP($R73,武学奇术!$A:$ZZ,20,FALSE)+SUM(_xlfn.XLOOKUP(S73:AG73,增益!$A:$A,增益!$T:$T,0))</f>
        <v>1.782</v>
      </c>
      <c r="BO73" s="20">
        <f t="shared" si="20"/>
        <v>0.18601479</v>
      </c>
      <c r="BP73" s="20">
        <f t="shared" si="21"/>
        <v>0.27228132</v>
      </c>
      <c r="BQ73" s="20">
        <f>IF(VLOOKUP($R73,武学奇术!$A:$ZZ,22,FALSE)=1,0,(1-$BJ73))*(1-$BM73)</f>
        <v>0.09580389</v>
      </c>
      <c r="BR73" s="20" cm="1">
        <f t="array" ref="BR73">SUM(_xlfn.XLOOKUP(S73:AG73,增益!$A:$A,增益!$W:$W,0))+$I$5</f>
        <v>0.11</v>
      </c>
    </row>
    <row r="74" spans="1:70">
      <c r="K74" s="27">
        <f>$L74*VLOOKUP($R74,武学奇术!$A:$ZZ,31,FALSE)</f>
        <v>15810.2859952662</v>
      </c>
      <c r="L74" s="27">
        <f t="shared" si="11"/>
        <v>15810.2859952662</v>
      </c>
      <c r="M74" s="27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13902.5053221931</v>
      </c>
      <c r="N74" s="27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23115.2443232833</v>
      </c>
      <c r="O74" s="27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9268.33688146208</v>
      </c>
      <c r="P74" s="27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4107.6823002005</v>
      </c>
      <c r="Q74" s="35">
        <v>1</v>
      </c>
      <c r="R74" s="36" t="s">
        <v>155</v>
      </c>
      <c r="S74" s="36" t="s">
        <v>71</v>
      </c>
      <c r="T74" s="36" t="s">
        <v>93</v>
      </c>
      <c r="U74" s="36" t="s">
        <v>71</v>
      </c>
      <c r="V74" s="36" t="s">
        <v>71</v>
      </c>
      <c r="W74" s="36" t="s">
        <v>111</v>
      </c>
      <c r="X74" s="36" t="s">
        <v>71</v>
      </c>
      <c r="Y74" s="36" t="s">
        <v>71</v>
      </c>
      <c r="Z74" s="36" t="s">
        <v>71</v>
      </c>
      <c r="AA74" s="36" t="s">
        <v>71</v>
      </c>
      <c r="AB74" s="36" t="s">
        <v>71</v>
      </c>
      <c r="AC74" s="36" t="s">
        <v>71</v>
      </c>
      <c r="AD74" s="36" t="s">
        <v>72</v>
      </c>
      <c r="AE74" s="36" t="s">
        <v>94</v>
      </c>
      <c r="AF74" s="36" t="s">
        <v>154</v>
      </c>
      <c r="AG74" s="36" t="s">
        <v>120</v>
      </c>
      <c r="AH74" t="str">
        <f>VLOOKUP($R74,武学奇术!$A:$ZZ,25,FALSE)</f>
        <v>剑</v>
      </c>
      <c r="AI74" s="20">
        <f>VLOOKUP($R74,武学奇术!$A:$ZZ,26,FALSE)</f>
        <v>0.7916</v>
      </c>
      <c r="AJ74" s="21">
        <f>VLOOKUP($R74,武学奇术!$A:$ZZ,27,FALSE)*(1+IF(OR($AH74=$F$4,$AH74=$F$5),$B$22,0))</f>
        <v>0</v>
      </c>
      <c r="AK74" s="20">
        <f>VLOOKUP($R74,武学奇术!$A:$ZZ,28,FALSE)</f>
        <v>1.1874</v>
      </c>
      <c r="AL74" s="21">
        <f>VLOOKUP($R74,武学奇术!$A:$ZZ,29,FALSE)*(1+IF(OR($AH74=$F$4,$AH74=$F$5),$B$22,0))</f>
        <v>0</v>
      </c>
      <c r="AM74" s="20" cm="1">
        <f t="array" ref="AM74">$G$3+IFERROR(VLOOKUP($AH74,$F$4:$G$7,2,FALSE),0)+VLOOKUP($R74,武学奇术!$A:$ZZ,2,FALSE)+SUM(_xlfn.XLOOKUP($S74:$AG74,增益!$A:$A,增益!$B:$B,0))</f>
        <v>0.6391</v>
      </c>
      <c r="AN74" s="20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1548.52</v>
      </c>
      <c r="AP74" cm="1">
        <f t="array" ref="AP74">$E$10*(1+$AN74)+VLOOKUP($R74,武学奇术!$A:$ZZ,4,FALSE)+SUM(_xlfn.XLOOKUP($S74:$AG74,增益!$A:$A,增益!$D:$D,0))-$I$2</f>
        <v>6659.56</v>
      </c>
      <c r="AQ74" s="29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0.2425</v>
      </c>
      <c r="AR74" s="29" cm="1">
        <f t="array" ref="AR74">$G$10+VLOOKUP($R74,武学奇术!$A:$ZZ,7,FALSE)+SUM(_xlfn.XLOOKUP(S74:AG74,增益!$A:$A,增益!$G:$G,0))</f>
        <v>0</v>
      </c>
      <c r="AS74" s="20" cm="1">
        <f t="array" ref="AS74">VLOOKUP($R74,武学奇术!$A:$ZZ,8,FALSE)+SUM(_xlfn.XLOOKUP(S74:AG74,增益!$A:$A,增益!$H:$H,0))</f>
        <v>0</v>
      </c>
      <c r="AT74">
        <f t="shared" si="12"/>
        <v>538</v>
      </c>
      <c r="AU74">
        <f t="shared" si="13"/>
        <v>1011</v>
      </c>
      <c r="AV74" s="29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</v>
      </c>
      <c r="AW74" s="29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29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29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29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29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29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29" cm="1">
        <f t="array" ref="BI74">$G$14+VLOOKUP($R74,武学奇术!$A:$ZZ,16,FALSE)+SUM(_xlfn.XLOOKUP(S74:AG74,增益!$A:$A,增益!$P:$P,0))</f>
        <v>0</v>
      </c>
      <c r="BJ74" s="20">
        <f>MIN(IF(VLOOKUP($R74,武学奇术!$A:$ZZ,23,FALSE)=1,100%,$B$8),100%)</f>
        <v>0.8271</v>
      </c>
      <c r="BK74" s="20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0.2249</v>
      </c>
      <c r="BL74" s="20" cm="1">
        <f t="array" ref="BL74">1+$B$13+VLOOKUP($R74,武学奇术!$A:$ZZ,18,FALSE)+SUM(_xlfn.XLOOKUP(S74:AG74,增益!$A:$A,增益!$R:$R,0))</f>
        <v>1.5</v>
      </c>
      <c r="BM74" s="20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0.4459</v>
      </c>
      <c r="BN74" s="20" cm="1">
        <f t="array" ref="BN74">1+$B$14+VLOOKUP($R74,武学奇术!$A:$ZZ,20,FALSE)+SUM(_xlfn.XLOOKUP(S74:AG74,增益!$A:$A,增益!$T:$T,0))</f>
        <v>1.602</v>
      </c>
      <c r="BO74" s="20">
        <f t="shared" si="20"/>
        <v>0.18601479</v>
      </c>
      <c r="BP74" s="20">
        <f t="shared" si="21"/>
        <v>0.27228132</v>
      </c>
      <c r="BQ74" s="20">
        <f>IF(VLOOKUP($R74,武学奇术!$A:$ZZ,22,FALSE)=1,0,(1-$BJ74))*(1-$BM74)</f>
        <v>0.09580389</v>
      </c>
      <c r="BR74" s="20" cm="1">
        <f t="array" ref="BR74">SUM(_xlfn.XLOOKUP(S74:AG74,增益!$A:$A,增益!$W:$W,0))+$I$5</f>
        <v>0.11</v>
      </c>
    </row>
    <row r="75" spans="1:70">
      <c r="K75" s="27">
        <f>$L75*VLOOKUP($R75,武学奇术!$A:$ZZ,31,FALSE)</f>
        <v>25993.2692862864</v>
      </c>
      <c r="L75" s="27">
        <f t="shared" si="11"/>
        <v>25993.2692862864</v>
      </c>
      <c r="M75" s="27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23404.7266871756</v>
      </c>
      <c r="N75" s="27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37300.2126922078</v>
      </c>
      <c r="O75" s="27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15603.1511247837</v>
      </c>
      <c r="P75" s="27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7922.77372759012</v>
      </c>
      <c r="Q75" s="35">
        <v>1</v>
      </c>
      <c r="R75" s="36" t="s">
        <v>92</v>
      </c>
      <c r="S75" s="36" t="s">
        <v>71</v>
      </c>
      <c r="T75" s="36" t="s">
        <v>93</v>
      </c>
      <c r="U75" s="36" t="s">
        <v>71</v>
      </c>
      <c r="V75" s="36" t="s">
        <v>71</v>
      </c>
      <c r="W75" s="36" t="s">
        <v>111</v>
      </c>
      <c r="X75" s="36" t="s">
        <v>71</v>
      </c>
      <c r="Y75" s="36" t="s">
        <v>71</v>
      </c>
      <c r="Z75" s="36" t="s">
        <v>71</v>
      </c>
      <c r="AA75" s="36" t="s">
        <v>71</v>
      </c>
      <c r="AB75" s="36" t="s">
        <v>71</v>
      </c>
      <c r="AC75" s="36" t="s">
        <v>71</v>
      </c>
      <c r="AD75" s="36" t="s">
        <v>72</v>
      </c>
      <c r="AE75" s="36" t="s">
        <v>94</v>
      </c>
      <c r="AF75" s="36" t="s">
        <v>154</v>
      </c>
      <c r="AG75" s="36" t="s">
        <v>120</v>
      </c>
      <c r="AH75" t="str">
        <f>VLOOKUP($R75,武学奇术!$A:$ZZ,25,FALSE)</f>
        <v>剑</v>
      </c>
      <c r="AI75" s="20">
        <f>VLOOKUP($R75,武学奇术!$A:$ZZ,26,FALSE)</f>
        <v>1.1781</v>
      </c>
      <c r="AJ75" s="21">
        <f>VLOOKUP($R75,武学奇术!$A:$ZZ,27,FALSE)*(1+IF(OR($AH75=$F$4,$AH75=$F$5),$B$22,0))</f>
        <v>456.4</v>
      </c>
      <c r="AK75" s="20">
        <f>VLOOKUP($R75,武学奇术!$A:$ZZ,28,FALSE)</f>
        <v>1.7672</v>
      </c>
      <c r="AL75" s="21">
        <f>VLOOKUP($R75,武学奇术!$A:$ZZ,29,FALSE)*(1+IF(OR($AH75=$F$4,$AH75=$F$5),$B$22,0))</f>
        <v>247.8</v>
      </c>
      <c r="AM75" s="20" cm="1">
        <f t="array" ref="AM75">$G$3+IFERROR(VLOOKUP($AH75,$F$4:$G$7,2,FALSE),0)+VLOOKUP($R75,武学奇术!$A:$ZZ,2,FALSE)+SUM(_xlfn.XLOOKUP($S75:$AG75,增益!$A:$A,增益!$B:$B,0))</f>
        <v>0.6391</v>
      </c>
      <c r="AN75" s="20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1548.52</v>
      </c>
      <c r="AP75" cm="1">
        <f t="array" ref="AP75">$E$10*(1+$AN75)+VLOOKUP($R75,武学奇术!$A:$ZZ,4,FALSE)+SUM(_xlfn.XLOOKUP($S75:$AG75,增益!$A:$A,增益!$D:$D,0))-$I$2</f>
        <v>6659.56</v>
      </c>
      <c r="AQ75" s="29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0.2425</v>
      </c>
      <c r="AR75" s="29" cm="1">
        <f t="array" ref="AR75">$G$10+VLOOKUP($R75,武学奇术!$A:$ZZ,7,FALSE)+SUM(_xlfn.XLOOKUP(S75:AG75,增益!$A:$A,增益!$G:$G,0))</f>
        <v>0</v>
      </c>
      <c r="AS75" s="20" cm="1">
        <f t="array" ref="AS75">VLOOKUP($R75,武学奇术!$A:$ZZ,8,FALSE)+SUM(_xlfn.XLOOKUP(S75:AG75,增益!$A:$A,增益!$H:$H,0))</f>
        <v>0</v>
      </c>
      <c r="AT75">
        <f t="shared" si="12"/>
        <v>538</v>
      </c>
      <c r="AU75">
        <f t="shared" si="13"/>
        <v>1011</v>
      </c>
      <c r="AV75" s="29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</v>
      </c>
      <c r="AW75" s="29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29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29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29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29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29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29" cm="1">
        <f t="array" ref="BI75">$G$14+VLOOKUP($R75,武学奇术!$A:$ZZ,16,FALSE)+SUM(_xlfn.XLOOKUP(S75:AG75,增益!$A:$A,增益!$P:$P,0))</f>
        <v>0</v>
      </c>
      <c r="BJ75" s="20">
        <f>MIN(IF(VLOOKUP($R75,武学奇术!$A:$ZZ,23,FALSE)=1,100%,$B$8),100%)</f>
        <v>0.8271</v>
      </c>
      <c r="BK75" s="20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0.2249</v>
      </c>
      <c r="BL75" s="20" cm="1">
        <f t="array" ref="BL75">1+$B$13+VLOOKUP($R75,武学奇术!$A:$ZZ,18,FALSE)+SUM(_xlfn.XLOOKUP(S75:AG75,增益!$A:$A,增益!$R:$R,0))</f>
        <v>1.5</v>
      </c>
      <c r="BM75" s="20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0.4459</v>
      </c>
      <c r="BN75" s="20" cm="1">
        <f t="array" ref="BN75">1+$B$14+VLOOKUP($R75,武学奇术!$A:$ZZ,20,FALSE)+SUM(_xlfn.XLOOKUP(S75:AG75,增益!$A:$A,增益!$T:$T,0))</f>
        <v>1.602</v>
      </c>
      <c r="BO75" s="20">
        <f t="shared" si="20"/>
        <v>0.18601479</v>
      </c>
      <c r="BP75" s="20">
        <f t="shared" si="21"/>
        <v>0.27228132</v>
      </c>
      <c r="BQ75" s="20">
        <f>IF(VLOOKUP($R75,武学奇术!$A:$ZZ,22,FALSE)=1,0,(1-$BJ75))*(1-$BM75)</f>
        <v>0.09580389</v>
      </c>
      <c r="BR75" s="20" cm="1">
        <f t="array" ref="BR75">SUM(_xlfn.XLOOKUP(S75:AG75,增益!$A:$A,增益!$W:$W,0))+$I$5</f>
        <v>0.11</v>
      </c>
    </row>
    <row r="76" spans="1:70">
      <c r="K76" s="27">
        <f>$L76*VLOOKUP($R76,武学奇术!$A:$ZZ,31,FALSE)</f>
        <v>65661.5841236345</v>
      </c>
      <c r="L76" s="27">
        <f t="shared" si="11"/>
        <v>109435.973539391</v>
      </c>
      <c r="M76" s="27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89687.4709676233</v>
      </c>
      <c r="N76" s="27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165798.990561992</v>
      </c>
      <c r="O76" s="27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59791.6473117489</v>
      </c>
      <c r="P76" s="27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26542.3347121667</v>
      </c>
      <c r="Q76" s="35">
        <v>1</v>
      </c>
      <c r="R76" s="36" t="s">
        <v>105</v>
      </c>
      <c r="S76" s="36" t="s">
        <v>71</v>
      </c>
      <c r="T76" s="36" t="s">
        <v>99</v>
      </c>
      <c r="U76" s="36" t="s">
        <v>100</v>
      </c>
      <c r="V76" s="36" t="s">
        <v>101</v>
      </c>
      <c r="W76" s="36" t="s">
        <v>111</v>
      </c>
      <c r="X76" s="36" t="s">
        <v>71</v>
      </c>
      <c r="Y76" s="36" t="s">
        <v>71</v>
      </c>
      <c r="Z76" s="36" t="s">
        <v>71</v>
      </c>
      <c r="AA76" s="36" t="s">
        <v>71</v>
      </c>
      <c r="AB76" s="36" t="s">
        <v>71</v>
      </c>
      <c r="AC76" s="36" t="s">
        <v>71</v>
      </c>
      <c r="AD76" s="36" t="s">
        <v>72</v>
      </c>
      <c r="AE76" s="36" t="s">
        <v>94</v>
      </c>
      <c r="AF76" s="36" t="s">
        <v>154</v>
      </c>
      <c r="AG76" s="36" t="s">
        <v>120</v>
      </c>
      <c r="AH76" t="str">
        <f>VLOOKUP($R76,武学奇术!$A:$ZZ,25,FALSE)</f>
        <v>剑</v>
      </c>
      <c r="AI76" s="20">
        <f>VLOOKUP($R76,武学奇术!$A:$ZZ,26,FALSE)</f>
        <v>2.496</v>
      </c>
      <c r="AJ76" s="21">
        <f>VLOOKUP($R76,武学奇术!$A:$ZZ,27,FALSE)*(1+IF(OR($AH76=$F$4,$AH76=$F$5),$B$22,0))</f>
        <v>0</v>
      </c>
      <c r="AK76" s="20">
        <f>VLOOKUP($R76,武学奇术!$A:$ZZ,28,FALSE)</f>
        <v>3.744</v>
      </c>
      <c r="AL76" s="21">
        <f>VLOOKUP($R76,武学奇术!$A:$ZZ,29,FALSE)*(1+IF(OR($AH76=$F$4,$AH76=$F$5),$B$22,0))</f>
        <v>0</v>
      </c>
      <c r="AM76" s="20" cm="1">
        <f t="array" ref="AM76">$G$3+IFERROR(VLOOKUP($AH76,$F$4:$G$7,2,FALSE),0)+VLOOKUP($R76,武学奇术!$A:$ZZ,2,FALSE)+SUM(_xlfn.XLOOKUP($S76:$AG76,增益!$A:$A,增益!$B:$B,0))</f>
        <v>1.3891</v>
      </c>
      <c r="AN76" s="20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1548.52</v>
      </c>
      <c r="AP76" cm="1">
        <f t="array" ref="AP76">$E$10*(1+$AN76)+VLOOKUP($R76,武学奇术!$A:$ZZ,4,FALSE)+SUM(_xlfn.XLOOKUP($S76:$AG76,增益!$A:$A,增益!$D:$D,0))-$I$2</f>
        <v>6659.56</v>
      </c>
      <c r="AQ76" s="29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0.3175</v>
      </c>
      <c r="AR76" s="29" cm="1">
        <f t="array" ref="AR76">$G$10+VLOOKUP($R76,武学奇术!$A:$ZZ,7,FALSE)+SUM(_xlfn.XLOOKUP(S76:AG76,增益!$A:$A,增益!$G:$G,0))</f>
        <v>0</v>
      </c>
      <c r="AS76" s="20" cm="1">
        <f t="array" ref="AS76">VLOOKUP($R76,武学奇术!$A:$ZZ,8,FALSE)+SUM(_xlfn.XLOOKUP(S76:AG76,增益!$A:$A,增益!$H:$H,0))</f>
        <v>0</v>
      </c>
      <c r="AT76">
        <f t="shared" si="12"/>
        <v>538</v>
      </c>
      <c r="AU76">
        <f t="shared" si="13"/>
        <v>1011</v>
      </c>
      <c r="AV76" s="29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0.075</v>
      </c>
      <c r="AW76" s="29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29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29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29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29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29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29" cm="1">
        <f t="array" ref="BI76">$G$14+VLOOKUP($R76,武学奇术!$A:$ZZ,16,FALSE)+SUM(_xlfn.XLOOKUP(S76:AG76,增益!$A:$A,增益!$P:$P,0))</f>
        <v>0</v>
      </c>
      <c r="BJ76" s="20">
        <f>MIN(IF(VLOOKUP($R76,武学奇术!$A:$ZZ,23,FALSE)=1,100%,$B$8),100%)</f>
        <v>0.8271</v>
      </c>
      <c r="BK76" s="20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0.2249</v>
      </c>
      <c r="BL76" s="20" cm="1">
        <f t="array" ref="BL76">1+$B$13+VLOOKUP($R76,武学奇术!$A:$ZZ,18,FALSE)+SUM(_xlfn.XLOOKUP(S76:AG76,增益!$A:$A,增益!$R:$R,0))</f>
        <v>1.5</v>
      </c>
      <c r="BM76" s="20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0.4459</v>
      </c>
      <c r="BN76" s="20" cm="1">
        <f t="array" ref="BN76">1+$B$14+VLOOKUP($R76,武学奇术!$A:$ZZ,20,FALSE)+SUM(_xlfn.XLOOKUP(S76:AG76,增益!$A:$A,增益!$T:$T,0))</f>
        <v>1.782</v>
      </c>
      <c r="BO76" s="20">
        <f t="shared" si="20"/>
        <v>0.18601479</v>
      </c>
      <c r="BP76" s="20">
        <f t="shared" si="21"/>
        <v>0.27228132</v>
      </c>
      <c r="BQ76" s="20">
        <f>IF(VLOOKUP($R76,武学奇术!$A:$ZZ,22,FALSE)=1,0,(1-$BJ76))*(1-$BM76)</f>
        <v>0.09580389</v>
      </c>
      <c r="BR76" s="20" cm="1">
        <f t="array" ref="BR76">SUM(_xlfn.XLOOKUP(S76:AG76,增益!$A:$A,增益!$W:$W,0))+$I$5</f>
        <v>0.11</v>
      </c>
    </row>
    <row r="77" spans="1:70">
      <c r="K77" s="27">
        <f>$L77*VLOOKUP($R77,武学奇术!$A:$ZZ,31,FALSE)</f>
        <v>12482.8559209719</v>
      </c>
      <c r="L77" s="27">
        <f t="shared" si="11"/>
        <v>12482.8559209719</v>
      </c>
      <c r="M77" s="27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10976.5864405896</v>
      </c>
      <c r="N77" s="27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18250.4139742952</v>
      </c>
      <c r="O77" s="27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7317.72429372638</v>
      </c>
      <c r="P77" s="27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3243.18018901631</v>
      </c>
      <c r="Q77" s="35">
        <v>1</v>
      </c>
      <c r="R77" s="36" t="s">
        <v>107</v>
      </c>
      <c r="S77" s="36" t="s">
        <v>71</v>
      </c>
      <c r="T77" s="36" t="s">
        <v>93</v>
      </c>
      <c r="U77" s="36" t="s">
        <v>71</v>
      </c>
      <c r="V77" s="36" t="s">
        <v>71</v>
      </c>
      <c r="W77" s="36" t="s">
        <v>111</v>
      </c>
      <c r="X77" s="36" t="s">
        <v>71</v>
      </c>
      <c r="Y77" s="36" t="s">
        <v>71</v>
      </c>
      <c r="Z77" s="36" t="s">
        <v>71</v>
      </c>
      <c r="AA77" s="36" t="s">
        <v>71</v>
      </c>
      <c r="AB77" s="36" t="s">
        <v>71</v>
      </c>
      <c r="AC77" s="36" t="s">
        <v>71</v>
      </c>
      <c r="AD77" s="36" t="s">
        <v>72</v>
      </c>
      <c r="AE77" s="36" t="s">
        <v>94</v>
      </c>
      <c r="AF77" s="36" t="s">
        <v>154</v>
      </c>
      <c r="AG77" s="36" t="s">
        <v>120</v>
      </c>
      <c r="AH77" t="str">
        <f>VLOOKUP($R77,武学奇术!$A:$ZZ,25,FALSE)</f>
        <v>剑</v>
      </c>
      <c r="AI77" s="20">
        <f>VLOOKUP($R77,武学奇术!$A:$ZZ,26,FALSE)</f>
        <v>0.625</v>
      </c>
      <c r="AJ77" s="21">
        <f>VLOOKUP($R77,武学奇术!$A:$ZZ,27,FALSE)*(1+IF(OR($AH77=$F$4,$AH77=$F$5),$B$22,0))</f>
        <v>0</v>
      </c>
      <c r="AK77" s="20">
        <f>VLOOKUP($R77,武学奇术!$A:$ZZ,28,FALSE)</f>
        <v>0.9375</v>
      </c>
      <c r="AL77" s="21">
        <f>VLOOKUP($R77,武学奇术!$A:$ZZ,29,FALSE)*(1+IF(OR($AH77=$F$4,$AH77=$F$5),$B$22,0))</f>
        <v>0</v>
      </c>
      <c r="AM77" s="20" cm="1">
        <f t="array" ref="AM77">$G$3+IFERROR(VLOOKUP($AH77,$F$4:$G$7,2,FALSE),0)+VLOOKUP($R77,武学奇术!$A:$ZZ,2,FALSE)+SUM(_xlfn.XLOOKUP($S77:$AG77,增益!$A:$A,增益!$B:$B,0))</f>
        <v>0.6391</v>
      </c>
      <c r="AN77" s="20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1548.52</v>
      </c>
      <c r="AP77" cm="1">
        <f t="array" ref="AP77">$E$10*(1+$AN77)+VLOOKUP($R77,武学奇术!$A:$ZZ,4,FALSE)+SUM(_xlfn.XLOOKUP($S77:$AG77,增益!$A:$A,增益!$D:$D,0))-$I$2</f>
        <v>6659.56</v>
      </c>
      <c r="AQ77" s="29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0.2425</v>
      </c>
      <c r="AR77" s="29" cm="1">
        <f t="array" ref="AR77">$G$10+VLOOKUP($R77,武学奇术!$A:$ZZ,7,FALSE)+SUM(_xlfn.XLOOKUP(S77:AG77,增益!$A:$A,增益!$G:$G,0))</f>
        <v>0</v>
      </c>
      <c r="AS77" s="20" cm="1">
        <f t="array" ref="AS77">VLOOKUP($R77,武学奇术!$A:$ZZ,8,FALSE)+SUM(_xlfn.XLOOKUP(S77:AG77,增益!$A:$A,增益!$H:$H,0))</f>
        <v>0</v>
      </c>
      <c r="AT77">
        <f t="shared" si="12"/>
        <v>538</v>
      </c>
      <c r="AU77">
        <f t="shared" si="13"/>
        <v>1011</v>
      </c>
      <c r="AV77" s="29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</v>
      </c>
      <c r="AW77" s="29" cm="1">
        <f t="array" ref="AW77">$G$11+VLOOKUP($R77,武学奇术!$A:$ZZ,10,FALSE)+SUM(_xlfn.XLOOKUP(S77:AG77,增益!$A:$A,增益!$J:$J,0))</f>
        <v>0.15</v>
      </c>
      <c r="AX77">
        <f t="shared" si="14"/>
        <v>0</v>
      </c>
      <c r="AY77">
        <f t="shared" si="15"/>
        <v>0</v>
      </c>
      <c r="AZ77" s="29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29" cm="1">
        <f t="array" ref="BA77">$G$12+VLOOKUP($R77,武学奇术!$A:$ZZ,12,FALSE)+SUM(_xlfn.XLOOKUP(S77:AG77,增益!$A:$A,增益!$L:$L,0))</f>
        <v>0</v>
      </c>
      <c r="BB77">
        <f t="shared" si="16"/>
        <v>0</v>
      </c>
      <c r="BC77">
        <f t="shared" si="17"/>
        <v>0</v>
      </c>
      <c r="BD77" s="29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29" cm="1">
        <f t="array" ref="BE77">$G$13+VLOOKUP($R77,武学奇术!$A:$ZZ,14,FALSE)+SUM(_xlfn.XLOOKUP(S77:AG77,增益!$A:$A,增益!$N:$N,0))</f>
        <v>0</v>
      </c>
      <c r="BF77">
        <f t="shared" si="18"/>
        <v>0</v>
      </c>
      <c r="BG77">
        <f t="shared" si="19"/>
        <v>0</v>
      </c>
      <c r="BH77" s="29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29" cm="1">
        <f t="array" ref="BI77">$G$14+VLOOKUP($R77,武学奇术!$A:$ZZ,16,FALSE)+SUM(_xlfn.XLOOKUP(S77:AG77,增益!$A:$A,增益!$P:$P,0))</f>
        <v>0</v>
      </c>
      <c r="BJ77" s="20">
        <f>MIN(IF(VLOOKUP($R77,武学奇术!$A:$ZZ,23,FALSE)=1,100%,$B$8),100%)</f>
        <v>0.8271</v>
      </c>
      <c r="BK77" s="20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0.2249</v>
      </c>
      <c r="BL77" s="20" cm="1">
        <f t="array" ref="BL77">1+$B$13+VLOOKUP($R77,武学奇术!$A:$ZZ,18,FALSE)+SUM(_xlfn.XLOOKUP(S77:AG77,增益!$A:$A,增益!$R:$R,0))</f>
        <v>1.5</v>
      </c>
      <c r="BM77" s="20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0.4459</v>
      </c>
      <c r="BN77" s="20" cm="1">
        <f t="array" ref="BN77">1+$B$14+VLOOKUP($R77,武学奇术!$A:$ZZ,20,FALSE)+SUM(_xlfn.XLOOKUP(S77:AG77,增益!$A:$A,增益!$T:$T,0))</f>
        <v>1.602</v>
      </c>
      <c r="BO77" s="20">
        <f t="shared" si="20"/>
        <v>0.18601479</v>
      </c>
      <c r="BP77" s="20">
        <f t="shared" si="21"/>
        <v>0.27228132</v>
      </c>
      <c r="BQ77" s="20">
        <f>IF(VLOOKUP($R77,武学奇术!$A:$ZZ,22,FALSE)=1,0,(1-$BJ77))*(1-$BM77)</f>
        <v>0.09580389</v>
      </c>
      <c r="BR77" s="20" cm="1">
        <f t="array" ref="BR77">SUM(_xlfn.XLOOKUP(S77:AG77,增益!$A:$A,增益!$W:$W,0))+$I$5</f>
        <v>0.11</v>
      </c>
    </row>
    <row r="78" spans="1:70">
      <c r="A78" s="4"/>
      <c r="B78" s="4"/>
      <c r="K78" s="27">
        <f>$L78*VLOOKUP($R78,武学奇术!$A:$ZZ,31,FALSE)</f>
        <v>44544.4003405023</v>
      </c>
      <c r="L78" s="27">
        <f t="shared" si="11"/>
        <v>44544.4003405023</v>
      </c>
      <c r="M78" s="27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40064.2355630284</v>
      </c>
      <c r="N78" s="27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63977.6996894688</v>
      </c>
      <c r="O78" s="27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26709.4903753523</v>
      </c>
      <c r="P78" s="27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13482.8386224469</v>
      </c>
      <c r="Q78" s="35">
        <v>1</v>
      </c>
      <c r="R78" s="36" t="s">
        <v>88</v>
      </c>
      <c r="S78" s="36" t="s">
        <v>71</v>
      </c>
      <c r="T78" s="36" t="s">
        <v>93</v>
      </c>
      <c r="U78" s="36" t="s">
        <v>71</v>
      </c>
      <c r="V78" s="36" t="s">
        <v>71</v>
      </c>
      <c r="W78" s="36" t="s">
        <v>71</v>
      </c>
      <c r="X78" s="36" t="s">
        <v>71</v>
      </c>
      <c r="Y78" s="36" t="s">
        <v>71</v>
      </c>
      <c r="Z78" s="36" t="s">
        <v>71</v>
      </c>
      <c r="AA78" s="36" t="s">
        <v>71</v>
      </c>
      <c r="AB78" s="36" t="s">
        <v>71</v>
      </c>
      <c r="AC78" s="36" t="s">
        <v>71</v>
      </c>
      <c r="AD78" s="36" t="s">
        <v>72</v>
      </c>
      <c r="AE78" s="36" t="s">
        <v>94</v>
      </c>
      <c r="AF78" s="36" t="s">
        <v>154</v>
      </c>
      <c r="AG78" s="36" t="s">
        <v>120</v>
      </c>
      <c r="AH78" t="str">
        <f>VLOOKUP($R78,武学奇术!$A:$ZZ,25,FALSE)</f>
        <v>枪</v>
      </c>
      <c r="AI78" s="20">
        <f>VLOOKUP($R78,武学奇术!$A:$ZZ,26,FALSE)</f>
        <v>2.1401</v>
      </c>
      <c r="AJ78" s="21">
        <f>VLOOKUP($R78,武学奇术!$A:$ZZ,27,FALSE)*(1+IF(OR($AH78=$F$4,$AH78=$F$5),$B$22,0))</f>
        <v>823.2</v>
      </c>
      <c r="AK78" s="20">
        <f>VLOOKUP($R78,武学奇术!$A:$ZZ,28,FALSE)</f>
        <v>3.2101</v>
      </c>
      <c r="AL78" s="21">
        <f>VLOOKUP($R78,武学奇术!$A:$ZZ,29,FALSE)*(1+IF(OR($AH78=$F$4,$AH78=$F$5),$B$22,0))</f>
        <v>448</v>
      </c>
      <c r="AM78" s="20" cm="1">
        <f t="array" ref="AM78">$G$3+IFERROR(VLOOKUP($AH78,$F$4:$G$7,2,FALSE),0)+VLOOKUP($R78,武学奇术!$A:$ZZ,2,FALSE)+SUM(_xlfn.XLOOKUP($S78:$AG78,增益!$A:$A,增益!$B:$B,0))</f>
        <v>0.5539</v>
      </c>
      <c r="AN78" s="20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1517.52</v>
      </c>
      <c r="AP78" cm="1">
        <f t="array" ref="AP78">$E$10*(1+$AN78)+VLOOKUP($R78,武学奇术!$A:$ZZ,4,FALSE)+SUM(_xlfn.XLOOKUP($S78:$AG78,增益!$A:$A,增益!$D:$D,0))-$I$2</f>
        <v>6628.56</v>
      </c>
      <c r="AQ78" s="29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0.2425</v>
      </c>
      <c r="AR78" s="29" cm="1">
        <f t="array" ref="AR78">$G$10+VLOOKUP($R78,武学奇术!$A:$ZZ,7,FALSE)+SUM(_xlfn.XLOOKUP(S78:AG78,增益!$A:$A,增益!$G:$G,0))</f>
        <v>0</v>
      </c>
      <c r="AS78" s="20" cm="1">
        <f t="array" ref="AS78">VLOOKUP($R78,武学奇术!$A:$ZZ,8,FALSE)+SUM(_xlfn.XLOOKUP(S78:AG78,增益!$A:$A,增益!$H:$H,0))</f>
        <v>0</v>
      </c>
      <c r="AT78">
        <f t="shared" si="12"/>
        <v>538</v>
      </c>
      <c r="AU78">
        <f t="shared" si="13"/>
        <v>1011</v>
      </c>
      <c r="AV78" s="29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0</v>
      </c>
      <c r="AW78" s="29" cm="1">
        <f t="array" ref="AW78">$G$11+VLOOKUP($R78,武学奇术!$A:$ZZ,10,FALSE)+SUM(_xlfn.XLOOKUP(S78:AG78,增益!$A:$A,增益!$J:$J,0))</f>
        <v>0.15</v>
      </c>
      <c r="AX78">
        <f t="shared" si="14"/>
        <v>0</v>
      </c>
      <c r="AY78">
        <f t="shared" si="15"/>
        <v>0</v>
      </c>
      <c r="AZ78" s="29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29" cm="1">
        <f t="array" ref="BA78">$G$12+VLOOKUP($R78,武学奇术!$A:$ZZ,12,FALSE)+SUM(_xlfn.XLOOKUP(S78:AG78,增益!$A:$A,增益!$L:$L,0))</f>
        <v>0</v>
      </c>
      <c r="BB78">
        <f t="shared" si="16"/>
        <v>0</v>
      </c>
      <c r="BC78">
        <f t="shared" si="17"/>
        <v>0</v>
      </c>
      <c r="BD78" s="29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29" cm="1">
        <f t="array" ref="BE78">$G$13+VLOOKUP($R78,武学奇术!$A:$ZZ,14,FALSE)+SUM(_xlfn.XLOOKUP(S78:AG78,增益!$A:$A,增益!$N:$N,0))</f>
        <v>0</v>
      </c>
      <c r="BF78">
        <f t="shared" si="18"/>
        <v>0</v>
      </c>
      <c r="BG78">
        <f t="shared" si="19"/>
        <v>0</v>
      </c>
      <c r="BH78" s="29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29" cm="1">
        <f t="array" ref="BI78">$G$14+VLOOKUP($R78,武学奇术!$A:$ZZ,16,FALSE)+SUM(_xlfn.XLOOKUP(S78:AG78,增益!$A:$A,增益!$P:$P,0))</f>
        <v>0</v>
      </c>
      <c r="BJ78" s="20">
        <f>MIN(IF(VLOOKUP($R78,武学奇术!$A:$ZZ,23,FALSE)=1,100%,$B$8),100%)</f>
        <v>0.8271</v>
      </c>
      <c r="BK78" s="20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0.2249</v>
      </c>
      <c r="BL78" s="20" cm="1">
        <f t="array" ref="BL78">1+$B$13+VLOOKUP($R78,武学奇术!$A:$ZZ,18,FALSE)+SUM(_xlfn.XLOOKUP(S78:AG78,增益!$A:$A,增益!$R:$R,0))</f>
        <v>1.5</v>
      </c>
      <c r="BM78" s="20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0.4459</v>
      </c>
      <c r="BN78" s="20" cm="1">
        <f t="array" ref="BN78">1+$B$14+VLOOKUP($R78,武学奇术!$A:$ZZ,20,FALSE)+SUM(_xlfn.XLOOKUP(S78:AG78,增益!$A:$A,增益!$T:$T,0))</f>
        <v>1.602</v>
      </c>
      <c r="BO78" s="20">
        <f t="shared" si="20"/>
        <v>0.18601479</v>
      </c>
      <c r="BP78" s="20">
        <f t="shared" si="21"/>
        <v>0.27228132</v>
      </c>
      <c r="BQ78" s="20">
        <f>IF(VLOOKUP($R78,武学奇术!$A:$ZZ,22,FALSE)=1,0,(1-$BJ78))*(1-$BM78)</f>
        <v>0.09580389</v>
      </c>
      <c r="BR78" s="20" cm="1">
        <f t="array" ref="BR78">SUM(_xlfn.XLOOKUP(S78:AG78,增益!$A:$A,增益!$W:$W,0))+$I$5</f>
        <v>0.11</v>
      </c>
    </row>
    <row r="79" spans="1:70">
      <c r="A79" s="4"/>
      <c r="B79" s="4"/>
      <c r="K79" s="27">
        <f>$L79*VLOOKUP($R79,武学奇术!$A:$ZZ,31,FALSE)</f>
        <v>25880.8691272228</v>
      </c>
      <c r="L79" s="27">
        <f t="shared" si="11"/>
        <v>25880.8691272228</v>
      </c>
      <c r="M79" s="27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23280.886974602</v>
      </c>
      <c r="N79" s="27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37167.9518791791</v>
      </c>
      <c r="O79" s="27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15520.5913164013</v>
      </c>
      <c r="P79" s="27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7840.21391920771</v>
      </c>
      <c r="Q79" s="35">
        <v>1</v>
      </c>
      <c r="R79" s="36" t="s">
        <v>92</v>
      </c>
      <c r="S79" s="36" t="s">
        <v>71</v>
      </c>
      <c r="T79" s="36" t="s">
        <v>93</v>
      </c>
      <c r="U79" s="36" t="s">
        <v>71</v>
      </c>
      <c r="V79" s="36" t="s">
        <v>71</v>
      </c>
      <c r="W79" s="36" t="s">
        <v>71</v>
      </c>
      <c r="X79" s="36" t="s">
        <v>71</v>
      </c>
      <c r="Y79" s="36" t="s">
        <v>71</v>
      </c>
      <c r="Z79" s="36" t="s">
        <v>71</v>
      </c>
      <c r="AA79" s="36" t="s">
        <v>71</v>
      </c>
      <c r="AB79" s="36" t="s">
        <v>71</v>
      </c>
      <c r="AC79" s="36" t="s">
        <v>71</v>
      </c>
      <c r="AD79" s="36" t="s">
        <v>72</v>
      </c>
      <c r="AE79" s="36" t="s">
        <v>94</v>
      </c>
      <c r="AF79" s="36" t="s">
        <v>154</v>
      </c>
      <c r="AG79" s="36" t="s">
        <v>120</v>
      </c>
      <c r="AH79" t="str">
        <f>VLOOKUP($R79,武学奇术!$A:$ZZ,25,FALSE)</f>
        <v>剑</v>
      </c>
      <c r="AI79" s="20">
        <f>VLOOKUP($R79,武学奇术!$A:$ZZ,26,FALSE)</f>
        <v>1.1781</v>
      </c>
      <c r="AJ79" s="21">
        <f>VLOOKUP($R79,武学奇术!$A:$ZZ,27,FALSE)*(1+IF(OR($AH79=$F$4,$AH79=$F$5),$B$22,0))</f>
        <v>456.4</v>
      </c>
      <c r="AK79" s="20">
        <f>VLOOKUP($R79,武学奇术!$A:$ZZ,28,FALSE)</f>
        <v>1.7672</v>
      </c>
      <c r="AL79" s="21">
        <f>VLOOKUP($R79,武学奇术!$A:$ZZ,29,FALSE)*(1+IF(OR($AH79=$F$4,$AH79=$F$5),$B$22,0))</f>
        <v>247.8</v>
      </c>
      <c r="AM79" s="20" cm="1">
        <f t="array" ref="AM79">$G$3+IFERROR(VLOOKUP($AH79,$F$4:$G$7,2,FALSE),0)+VLOOKUP($R79,武学奇术!$A:$ZZ,2,FALSE)+SUM(_xlfn.XLOOKUP($S79:$AG79,增益!$A:$A,增益!$B:$B,0))</f>
        <v>0.6391</v>
      </c>
      <c r="AN79" s="20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1517.52</v>
      </c>
      <c r="AP79" cm="1">
        <f t="array" ref="AP79">$E$10*(1+$AN79)+VLOOKUP($R79,武学奇术!$A:$ZZ,4,FALSE)+SUM(_xlfn.XLOOKUP($S79:$AG79,增益!$A:$A,增益!$D:$D,0))-$I$2</f>
        <v>6628.56</v>
      </c>
      <c r="AQ79" s="29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0.2425</v>
      </c>
      <c r="AR79" s="29" cm="1">
        <f t="array" ref="AR79">$G$10+VLOOKUP($R79,武学奇术!$A:$ZZ,7,FALSE)+SUM(_xlfn.XLOOKUP(S79:AG79,增益!$A:$A,增益!$G:$G,0))</f>
        <v>0</v>
      </c>
      <c r="AS79" s="20" cm="1">
        <f t="array" ref="AS79">VLOOKUP($R79,武学奇术!$A:$ZZ,8,FALSE)+SUM(_xlfn.XLOOKUP(S79:AG79,增益!$A:$A,增益!$H:$H,0))</f>
        <v>0</v>
      </c>
      <c r="AT79">
        <f t="shared" si="12"/>
        <v>538</v>
      </c>
      <c r="AU79">
        <f t="shared" si="13"/>
        <v>1011</v>
      </c>
      <c r="AV79" s="29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</v>
      </c>
      <c r="AW79" s="29" cm="1">
        <f t="array" ref="AW79">$G$11+VLOOKUP($R79,武学奇术!$A:$ZZ,10,FALSE)+SUM(_xlfn.XLOOKUP(S79:AG79,增益!$A:$A,增益!$J:$J,0))</f>
        <v>0.15</v>
      </c>
      <c r="AX79">
        <f t="shared" si="14"/>
        <v>0</v>
      </c>
      <c r="AY79">
        <f t="shared" si="15"/>
        <v>0</v>
      </c>
      <c r="AZ79" s="29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29" cm="1">
        <f t="array" ref="BA79">$G$12+VLOOKUP($R79,武学奇术!$A:$ZZ,12,FALSE)+SUM(_xlfn.XLOOKUP(S79:AG79,增益!$A:$A,增益!$L:$L,0))</f>
        <v>0</v>
      </c>
      <c r="BB79">
        <f t="shared" si="16"/>
        <v>0</v>
      </c>
      <c r="BC79">
        <f t="shared" si="17"/>
        <v>0</v>
      </c>
      <c r="BD79" s="29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29" cm="1">
        <f t="array" ref="BE79">$G$13+VLOOKUP($R79,武学奇术!$A:$ZZ,14,FALSE)+SUM(_xlfn.XLOOKUP(S79:AG79,增益!$A:$A,增益!$N:$N,0))</f>
        <v>0</v>
      </c>
      <c r="BF79">
        <f t="shared" si="18"/>
        <v>0</v>
      </c>
      <c r="BG79">
        <f t="shared" si="19"/>
        <v>0</v>
      </c>
      <c r="BH79" s="29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-0.3</v>
      </c>
      <c r="BI79" s="29" cm="1">
        <f t="array" ref="BI79">$G$14+VLOOKUP($R79,武学奇术!$A:$ZZ,16,FALSE)+SUM(_xlfn.XLOOKUP(S79:AG79,增益!$A:$A,增益!$P:$P,0))</f>
        <v>0</v>
      </c>
      <c r="BJ79" s="20">
        <f>MIN(IF(VLOOKUP($R79,武学奇术!$A:$ZZ,23,FALSE)=1,100%,$B$8),100%)</f>
        <v>0.8271</v>
      </c>
      <c r="BK79" s="20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0.2249</v>
      </c>
      <c r="BL79" s="20" cm="1">
        <f t="array" ref="BL79">1+$B$13+VLOOKUP($R79,武学奇术!$A:$ZZ,18,FALSE)+SUM(_xlfn.XLOOKUP(S79:AG79,增益!$A:$A,增益!$R:$R,0))</f>
        <v>1.5</v>
      </c>
      <c r="BM79" s="20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0.4459</v>
      </c>
      <c r="BN79" s="20" cm="1">
        <f t="array" ref="BN79">1+$B$14+VLOOKUP($R79,武学奇术!$A:$ZZ,20,FALSE)+SUM(_xlfn.XLOOKUP(S79:AG79,增益!$A:$A,增益!$T:$T,0))</f>
        <v>1.602</v>
      </c>
      <c r="BO79" s="20">
        <f t="shared" si="20"/>
        <v>0.18601479</v>
      </c>
      <c r="BP79" s="20">
        <f t="shared" si="21"/>
        <v>0.27228132</v>
      </c>
      <c r="BQ79" s="20">
        <f>IF(VLOOKUP($R79,武学奇术!$A:$ZZ,22,FALSE)=1,0,(1-$BJ79))*(1-$BM79)</f>
        <v>0.09580389</v>
      </c>
      <c r="BR79" s="20" cm="1">
        <f t="array" ref="BR79">SUM(_xlfn.XLOOKUP(S79:AG79,增益!$A:$A,增益!$W:$W,0))+$I$5</f>
        <v>0.11</v>
      </c>
    </row>
    <row r="80" spans="1:70">
      <c r="A80" s="4"/>
      <c r="B80" s="4"/>
      <c r="C80" s="35"/>
      <c r="K80" s="27">
        <f>$L80*VLOOKUP($R80,武学奇术!$A:$ZZ,31,FALSE)</f>
        <v>65352.8997493929</v>
      </c>
      <c r="L80" s="27">
        <f t="shared" si="11"/>
        <v>108921.499582321</v>
      </c>
      <c r="M80" s="27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89152.1929653019</v>
      </c>
      <c r="N80" s="27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165163.080295234</v>
      </c>
      <c r="O80" s="27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59434.7953102013</v>
      </c>
      <c r="P80" s="27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26185.4827106191</v>
      </c>
      <c r="Q80" s="35">
        <v>1</v>
      </c>
      <c r="R80" s="36" t="s">
        <v>105</v>
      </c>
      <c r="S80" s="36" t="s">
        <v>71</v>
      </c>
      <c r="T80" s="36" t="s">
        <v>99</v>
      </c>
      <c r="U80" s="36" t="s">
        <v>100</v>
      </c>
      <c r="V80" s="36" t="s">
        <v>101</v>
      </c>
      <c r="W80" s="36" t="s">
        <v>71</v>
      </c>
      <c r="X80" s="36" t="s">
        <v>71</v>
      </c>
      <c r="Y80" s="36" t="s">
        <v>71</v>
      </c>
      <c r="Z80" s="36" t="s">
        <v>71</v>
      </c>
      <c r="AA80" s="36" t="s">
        <v>71</v>
      </c>
      <c r="AB80" s="36" t="s">
        <v>71</v>
      </c>
      <c r="AC80" s="36" t="s">
        <v>71</v>
      </c>
      <c r="AD80" s="36" t="s">
        <v>72</v>
      </c>
      <c r="AE80" s="36" t="s">
        <v>94</v>
      </c>
      <c r="AF80" s="36" t="s">
        <v>154</v>
      </c>
      <c r="AG80" s="36" t="s">
        <v>120</v>
      </c>
      <c r="AH80" t="str">
        <f>VLOOKUP($R80,武学奇术!$A:$ZZ,25,FALSE)</f>
        <v>剑</v>
      </c>
      <c r="AI80" s="20">
        <f>VLOOKUP($R80,武学奇术!$A:$ZZ,26,FALSE)</f>
        <v>2.496</v>
      </c>
      <c r="AJ80" s="21">
        <f>VLOOKUP($R80,武学奇术!$A:$ZZ,27,FALSE)*(1+IF(OR($AH80=$F$4,$AH80=$F$5),$B$22,0))</f>
        <v>0</v>
      </c>
      <c r="AK80" s="20">
        <f>VLOOKUP($R80,武学奇术!$A:$ZZ,28,FALSE)</f>
        <v>3.744</v>
      </c>
      <c r="AL80" s="21">
        <f>VLOOKUP($R80,武学奇术!$A:$ZZ,29,FALSE)*(1+IF(OR($AH80=$F$4,$AH80=$F$5),$B$22,0))</f>
        <v>0</v>
      </c>
      <c r="AM80" s="20" cm="1">
        <f t="array" ref="AM80">$G$3+IFERROR(VLOOKUP($AH80,$F$4:$G$7,2,FALSE),0)+VLOOKUP($R80,武学奇术!$A:$ZZ,2,FALSE)+SUM(_xlfn.XLOOKUP($S80:$AG80,增益!$A:$A,增益!$B:$B,0))</f>
        <v>1.3891</v>
      </c>
      <c r="AN80" s="20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1517.52</v>
      </c>
      <c r="AP80" cm="1">
        <f t="array" ref="AP80">$E$10*(1+$AN80)+VLOOKUP($R80,武学奇术!$A:$ZZ,4,FALSE)+SUM(_xlfn.XLOOKUP($S80:$AG80,增益!$A:$A,增益!$D:$D,0))-$I$2</f>
        <v>6628.56</v>
      </c>
      <c r="AQ80" s="29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0.3175</v>
      </c>
      <c r="AR80" s="29" cm="1">
        <f t="array" ref="AR80">$G$10+VLOOKUP($R80,武学奇术!$A:$ZZ,7,FALSE)+SUM(_xlfn.XLOOKUP(S80:AG80,增益!$A:$A,增益!$G:$G,0))</f>
        <v>0</v>
      </c>
      <c r="AS80" s="20" cm="1">
        <f t="array" ref="AS80">VLOOKUP($R80,武学奇术!$A:$ZZ,8,FALSE)+SUM(_xlfn.XLOOKUP(S80:AG80,增益!$A:$A,增益!$H:$H,0))</f>
        <v>0</v>
      </c>
      <c r="AT80">
        <f t="shared" si="12"/>
        <v>538</v>
      </c>
      <c r="AU80">
        <f t="shared" si="13"/>
        <v>1011</v>
      </c>
      <c r="AV80" s="29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0.075</v>
      </c>
      <c r="AW80" s="29" cm="1">
        <f t="array" ref="AW80">$G$11+VLOOKUP($R80,武学奇术!$A:$ZZ,10,FALSE)+SUM(_xlfn.XLOOKUP(S80:AG80,增益!$A:$A,增益!$J:$J,0))</f>
        <v>0.15</v>
      </c>
      <c r="AX80">
        <f t="shared" si="14"/>
        <v>0</v>
      </c>
      <c r="AY80">
        <f t="shared" si="15"/>
        <v>0</v>
      </c>
      <c r="AZ80" s="29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29" cm="1">
        <f t="array" ref="BA80">$G$12+VLOOKUP($R80,武学奇术!$A:$ZZ,12,FALSE)+SUM(_xlfn.XLOOKUP(S80:AG80,增益!$A:$A,增益!$L:$L,0))</f>
        <v>0</v>
      </c>
      <c r="BB80">
        <f t="shared" si="16"/>
        <v>0</v>
      </c>
      <c r="BC80">
        <f t="shared" si="17"/>
        <v>0</v>
      </c>
      <c r="BD80" s="29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29" cm="1">
        <f t="array" ref="BE80">$G$13+VLOOKUP($R80,武学奇术!$A:$ZZ,14,FALSE)+SUM(_xlfn.XLOOKUP(S80:AG80,增益!$A:$A,增益!$N:$N,0))</f>
        <v>0</v>
      </c>
      <c r="BF80">
        <f t="shared" si="18"/>
        <v>0</v>
      </c>
      <c r="BG80">
        <f t="shared" si="19"/>
        <v>0</v>
      </c>
      <c r="BH80" s="29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29" cm="1">
        <f t="array" ref="BI80">$G$14+VLOOKUP($R80,武学奇术!$A:$ZZ,16,FALSE)+SUM(_xlfn.XLOOKUP(S80:AG80,增益!$A:$A,增益!$P:$P,0))</f>
        <v>0</v>
      </c>
      <c r="BJ80" s="20">
        <f>MIN(IF(VLOOKUP($R80,武学奇术!$A:$ZZ,23,FALSE)=1,100%,$B$8),100%)</f>
        <v>0.8271</v>
      </c>
      <c r="BK80" s="20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0.2249</v>
      </c>
      <c r="BL80" s="20" cm="1">
        <f t="array" ref="BL80">1+$B$13+VLOOKUP($R80,武学奇术!$A:$ZZ,18,FALSE)+SUM(_xlfn.XLOOKUP(S80:AG80,增益!$A:$A,增益!$R:$R,0))</f>
        <v>1.5</v>
      </c>
      <c r="BM80" s="20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0.4459</v>
      </c>
      <c r="BN80" s="20" cm="1">
        <f t="array" ref="BN80">1+$B$14+VLOOKUP($R80,武学奇术!$A:$ZZ,20,FALSE)+SUM(_xlfn.XLOOKUP(S80:AG80,增益!$A:$A,增益!$T:$T,0))</f>
        <v>1.782</v>
      </c>
      <c r="BO80" s="20">
        <f t="shared" si="20"/>
        <v>0.18601479</v>
      </c>
      <c r="BP80" s="20">
        <f t="shared" si="21"/>
        <v>0.27228132</v>
      </c>
      <c r="BQ80" s="20">
        <f>IF(VLOOKUP($R80,武学奇术!$A:$ZZ,22,FALSE)=1,0,(1-$BJ80))*(1-$BM80)</f>
        <v>0.09580389</v>
      </c>
      <c r="BR80" s="20" cm="1">
        <f t="array" ref="BR80">SUM(_xlfn.XLOOKUP(S80:AG80,增益!$A:$A,增益!$W:$W,0))+$I$5</f>
        <v>0.11</v>
      </c>
    </row>
    <row r="81" spans="1:70">
      <c r="K81" s="27">
        <f>$L81*VLOOKUP($R81,武学奇术!$A:$ZZ,31,FALSE)</f>
        <v>99097.8481771404</v>
      </c>
      <c r="L81" s="27">
        <f t="shared" si="11"/>
        <v>165163.080295234</v>
      </c>
      <c r="M81" s="27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89152.1929653019</v>
      </c>
      <c r="N81" s="27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165163.080295234</v>
      </c>
      <c r="O81" s="27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59434.7953102013</v>
      </c>
      <c r="P81" s="27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26185.4827106191</v>
      </c>
      <c r="Q81" s="35">
        <v>1</v>
      </c>
      <c r="R81" s="36" t="s">
        <v>98</v>
      </c>
      <c r="S81" s="36" t="s">
        <v>71</v>
      </c>
      <c r="T81" s="36" t="s">
        <v>99</v>
      </c>
      <c r="U81" s="36" t="s">
        <v>100</v>
      </c>
      <c r="V81" s="36" t="s">
        <v>101</v>
      </c>
      <c r="W81" s="36" t="s">
        <v>71</v>
      </c>
      <c r="X81" s="36" t="s">
        <v>71</v>
      </c>
      <c r="Y81" s="36" t="s">
        <v>71</v>
      </c>
      <c r="Z81" s="36" t="s">
        <v>71</v>
      </c>
      <c r="AA81" s="36" t="s">
        <v>71</v>
      </c>
      <c r="AB81" s="36" t="s">
        <v>71</v>
      </c>
      <c r="AC81" s="36" t="s">
        <v>71</v>
      </c>
      <c r="AD81" s="36" t="s">
        <v>72</v>
      </c>
      <c r="AE81" s="36" t="s">
        <v>94</v>
      </c>
      <c r="AF81" s="36" t="s">
        <v>154</v>
      </c>
      <c r="AG81" s="36" t="s">
        <v>120</v>
      </c>
      <c r="AH81" t="str">
        <f>VLOOKUP($R81,武学奇术!$A:$ZZ,25,FALSE)</f>
        <v>剑</v>
      </c>
      <c r="AI81" s="20">
        <f>VLOOKUP($R81,武学奇术!$A:$ZZ,26,FALSE)</f>
        <v>2.496</v>
      </c>
      <c r="AJ81" s="21">
        <f>VLOOKUP($R81,武学奇术!$A:$ZZ,27,FALSE)*(1+IF(OR($AH81=$F$4,$AH81=$F$5),$B$22,0))</f>
        <v>0</v>
      </c>
      <c r="AK81" s="20">
        <f>VLOOKUP($R81,武学奇术!$A:$ZZ,28,FALSE)</f>
        <v>3.744</v>
      </c>
      <c r="AL81" s="21">
        <f>VLOOKUP($R81,武学奇术!$A:$ZZ,29,FALSE)*(1+IF(OR($AH81=$F$4,$AH81=$F$5),$B$22,0))</f>
        <v>0</v>
      </c>
      <c r="AM81" s="20" cm="1">
        <f t="array" ref="AM81">$G$3+IFERROR(VLOOKUP($AH81,$F$4:$G$7,2,FALSE),0)+VLOOKUP($R81,武学奇术!$A:$ZZ,2,FALSE)+SUM(_xlfn.XLOOKUP($S81:$AG81,增益!$A:$A,增益!$B:$B,0))</f>
        <v>1.3891</v>
      </c>
      <c r="AN81" s="20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1517.52</v>
      </c>
      <c r="AP81" cm="1">
        <f t="array" ref="AP81">$E$10*(1+$AN81)+VLOOKUP($R81,武学奇术!$A:$ZZ,4,FALSE)+SUM(_xlfn.XLOOKUP($S81:$AG81,增益!$A:$A,增益!$D:$D,0))-$I$2</f>
        <v>6628.56</v>
      </c>
      <c r="AQ81" s="29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0.3175</v>
      </c>
      <c r="AR81" s="29" cm="1">
        <f t="array" ref="AR81">$G$10+VLOOKUP($R81,武学奇术!$A:$ZZ,7,FALSE)+SUM(_xlfn.XLOOKUP(S81:AG81,增益!$A:$A,增益!$G:$G,0))</f>
        <v>0</v>
      </c>
      <c r="AS81" s="20" cm="1">
        <f t="array" ref="AS81">VLOOKUP($R81,武学奇术!$A:$ZZ,8,FALSE)+SUM(_xlfn.XLOOKUP(S81:AG81,增益!$A:$A,增益!$H:$H,0))</f>
        <v>0</v>
      </c>
      <c r="AT81">
        <f t="shared" si="12"/>
        <v>538</v>
      </c>
      <c r="AU81">
        <f t="shared" si="13"/>
        <v>1011</v>
      </c>
      <c r="AV81" s="29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0.075</v>
      </c>
      <c r="AW81" s="29" cm="1">
        <f t="array" ref="AW81">$G$11+VLOOKUP($R81,武学奇术!$A:$ZZ,10,FALSE)+SUM(_xlfn.XLOOKUP(S81:AG81,增益!$A:$A,增益!$J:$J,0))</f>
        <v>0.15</v>
      </c>
      <c r="AX81">
        <f t="shared" si="14"/>
        <v>0</v>
      </c>
      <c r="AY81">
        <f t="shared" si="15"/>
        <v>0</v>
      </c>
      <c r="AZ81" s="29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29" cm="1">
        <f t="array" ref="BA81">$G$12+VLOOKUP($R81,武学奇术!$A:$ZZ,12,FALSE)+SUM(_xlfn.XLOOKUP(S81:AG81,增益!$A:$A,增益!$L:$L,0))</f>
        <v>0</v>
      </c>
      <c r="BB81">
        <f t="shared" si="16"/>
        <v>0</v>
      </c>
      <c r="BC81">
        <f t="shared" si="17"/>
        <v>0</v>
      </c>
      <c r="BD81" s="29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29" cm="1">
        <f t="array" ref="BE81">$G$13+VLOOKUP($R81,武学奇术!$A:$ZZ,14,FALSE)+SUM(_xlfn.XLOOKUP(S81:AG81,增益!$A:$A,增益!$N:$N,0))</f>
        <v>0</v>
      </c>
      <c r="BF81">
        <f t="shared" si="18"/>
        <v>0</v>
      </c>
      <c r="BG81">
        <f t="shared" si="19"/>
        <v>0</v>
      </c>
      <c r="BH81" s="29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29" cm="1">
        <f t="array" ref="BI81">$G$14+VLOOKUP($R81,武学奇术!$A:$ZZ,16,FALSE)+SUM(_xlfn.XLOOKUP(S81:AG81,增益!$A:$A,增益!$P:$P,0))</f>
        <v>0</v>
      </c>
      <c r="BJ81" s="20">
        <f>MIN(IF(VLOOKUP($R81,武学奇术!$A:$ZZ,23,FALSE)=1,100%,$B$8),100%)</f>
        <v>0.8271</v>
      </c>
      <c r="BK81" s="20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</v>
      </c>
      <c r="BL81" s="20" cm="1">
        <f t="array" ref="BL81">1+$B$13+VLOOKUP($R81,武学奇术!$A:$ZZ,18,FALSE)+SUM(_xlfn.XLOOKUP(S81:AG81,增益!$A:$A,增益!$R:$R,0))</f>
        <v>1.5</v>
      </c>
      <c r="BM81" s="20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1</v>
      </c>
      <c r="BN81" s="20" cm="1">
        <f t="array" ref="BN81">1+$B$14+VLOOKUP($R81,武学奇术!$A:$ZZ,20,FALSE)+SUM(_xlfn.XLOOKUP(S81:AG81,增益!$A:$A,增益!$T:$T,0))</f>
        <v>1.782</v>
      </c>
      <c r="BO81" s="20">
        <f t="shared" si="20"/>
        <v>0</v>
      </c>
      <c r="BP81" s="20">
        <f t="shared" si="21"/>
        <v>0</v>
      </c>
      <c r="BQ81" s="20">
        <f>IF(VLOOKUP($R81,武学奇术!$A:$ZZ,22,FALSE)=1,0,(1-$BJ81))*(1-$BM81)</f>
        <v>0</v>
      </c>
      <c r="BR81" s="20" cm="1">
        <f t="array" ref="BR81">SUM(_xlfn.XLOOKUP(S81:AG81,增益!$A:$A,增益!$W:$W,0))+$I$5</f>
        <v>0.11</v>
      </c>
    </row>
    <row r="82" spans="1:70">
      <c r="A82" s="4"/>
      <c r="B82" s="4"/>
      <c r="K82" s="27">
        <f>$L82*VLOOKUP($R82,武学奇术!$A:$ZZ,31,FALSE)</f>
        <v>12423.2259240152</v>
      </c>
      <c r="L82" s="27">
        <f t="shared" si="11"/>
        <v>12423.2259240152</v>
      </c>
      <c r="M82" s="27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10910.8875861982</v>
      </c>
      <c r="N82" s="27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18180.2475978052</v>
      </c>
      <c r="O82" s="27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7273.92505746544</v>
      </c>
      <c r="P82" s="27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3199.38095275538</v>
      </c>
      <c r="Q82" s="35">
        <v>1</v>
      </c>
      <c r="R82" s="36" t="s">
        <v>107</v>
      </c>
      <c r="S82" s="36" t="s">
        <v>71</v>
      </c>
      <c r="T82" s="36" t="s">
        <v>93</v>
      </c>
      <c r="U82" s="36" t="s">
        <v>71</v>
      </c>
      <c r="V82" s="36" t="s">
        <v>71</v>
      </c>
      <c r="W82" s="36" t="s">
        <v>71</v>
      </c>
      <c r="X82" s="36" t="s">
        <v>71</v>
      </c>
      <c r="Y82" s="36" t="s">
        <v>71</v>
      </c>
      <c r="Z82" s="36" t="s">
        <v>71</v>
      </c>
      <c r="AA82" s="36" t="s">
        <v>71</v>
      </c>
      <c r="AB82" s="36" t="s">
        <v>71</v>
      </c>
      <c r="AC82" s="36" t="s">
        <v>71</v>
      </c>
      <c r="AD82" s="36" t="s">
        <v>72</v>
      </c>
      <c r="AE82" s="36" t="s">
        <v>94</v>
      </c>
      <c r="AF82" s="36" t="s">
        <v>154</v>
      </c>
      <c r="AG82" s="36" t="s">
        <v>120</v>
      </c>
      <c r="AH82" t="str">
        <f>VLOOKUP($R82,武学奇术!$A:$ZZ,25,FALSE)</f>
        <v>剑</v>
      </c>
      <c r="AI82" s="20">
        <f>VLOOKUP($R82,武学奇术!$A:$ZZ,26,FALSE)</f>
        <v>0.625</v>
      </c>
      <c r="AJ82" s="21">
        <f>VLOOKUP($R82,武学奇术!$A:$ZZ,27,FALSE)*(1+IF(OR($AH82=$F$4,$AH82=$F$5),$B$22,0))</f>
        <v>0</v>
      </c>
      <c r="AK82" s="20">
        <f>VLOOKUP($R82,武学奇术!$A:$ZZ,28,FALSE)</f>
        <v>0.9375</v>
      </c>
      <c r="AL82" s="21">
        <f>VLOOKUP($R82,武学奇术!$A:$ZZ,29,FALSE)*(1+IF(OR($AH82=$F$4,$AH82=$F$5),$B$22,0))</f>
        <v>0</v>
      </c>
      <c r="AM82" s="20" cm="1">
        <f t="array" ref="AM82">$G$3+IFERROR(VLOOKUP($AH82,$F$4:$G$7,2,FALSE),0)+VLOOKUP($R82,武学奇术!$A:$ZZ,2,FALSE)+SUM(_xlfn.XLOOKUP($S82:$AG82,增益!$A:$A,增益!$B:$B,0))</f>
        <v>0.6391</v>
      </c>
      <c r="AN82" s="20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1517.52</v>
      </c>
      <c r="AP82" cm="1">
        <f t="array" ref="AP82">$E$10*(1+$AN82)+VLOOKUP($R82,武学奇术!$A:$ZZ,4,FALSE)+SUM(_xlfn.XLOOKUP($S82:$AG82,增益!$A:$A,增益!$D:$D,0))-$I$2</f>
        <v>6628.56</v>
      </c>
      <c r="AQ82" s="29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0.2425</v>
      </c>
      <c r="AR82" s="29" cm="1">
        <f t="array" ref="AR82">$G$10+VLOOKUP($R82,武学奇术!$A:$ZZ,7,FALSE)+SUM(_xlfn.XLOOKUP(S82:AG82,增益!$A:$A,增益!$G:$G,0))</f>
        <v>0</v>
      </c>
      <c r="AS82" s="20" cm="1">
        <f t="array" ref="AS82">VLOOKUP($R82,武学奇术!$A:$ZZ,8,FALSE)+SUM(_xlfn.XLOOKUP(S82:AG82,增益!$A:$A,增益!$H:$H,0))</f>
        <v>0</v>
      </c>
      <c r="AT82">
        <f t="shared" si="12"/>
        <v>538</v>
      </c>
      <c r="AU82">
        <f t="shared" si="13"/>
        <v>1011</v>
      </c>
      <c r="AV82" s="29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</v>
      </c>
      <c r="AW82" s="29" cm="1">
        <f t="array" ref="AW82">$G$11+VLOOKUP($R82,武学奇术!$A:$ZZ,10,FALSE)+SUM(_xlfn.XLOOKUP(S82:AG82,增益!$A:$A,增益!$J:$J,0))</f>
        <v>0.15</v>
      </c>
      <c r="AX82">
        <f t="shared" si="14"/>
        <v>0</v>
      </c>
      <c r="AY82">
        <f t="shared" si="15"/>
        <v>0</v>
      </c>
      <c r="AZ82" s="29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29" cm="1">
        <f t="array" ref="BA82">$G$12+VLOOKUP($R82,武学奇术!$A:$ZZ,12,FALSE)+SUM(_xlfn.XLOOKUP(S82:AG82,增益!$A:$A,增益!$L:$L,0))</f>
        <v>0</v>
      </c>
      <c r="BB82">
        <f t="shared" si="16"/>
        <v>0</v>
      </c>
      <c r="BC82">
        <f t="shared" si="17"/>
        <v>0</v>
      </c>
      <c r="BD82" s="29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29" cm="1">
        <f t="array" ref="BE82">$G$13+VLOOKUP($R82,武学奇术!$A:$ZZ,14,FALSE)+SUM(_xlfn.XLOOKUP(S82:AG82,增益!$A:$A,增益!$N:$N,0))</f>
        <v>0</v>
      </c>
      <c r="BF82">
        <f t="shared" si="18"/>
        <v>0</v>
      </c>
      <c r="BG82">
        <f t="shared" si="19"/>
        <v>0</v>
      </c>
      <c r="BH82" s="29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29" cm="1">
        <f t="array" ref="BI82">$G$14+VLOOKUP($R82,武学奇术!$A:$ZZ,16,FALSE)+SUM(_xlfn.XLOOKUP(S82:AG82,增益!$A:$A,增益!$P:$P,0))</f>
        <v>0</v>
      </c>
      <c r="BJ82" s="20">
        <f>MIN(IF(VLOOKUP($R82,武学奇术!$A:$ZZ,23,FALSE)=1,100%,$B$8),100%)</f>
        <v>0.8271</v>
      </c>
      <c r="BK82" s="20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0.2249</v>
      </c>
      <c r="BL82" s="20" cm="1">
        <f t="array" ref="BL82">1+$B$13+VLOOKUP($R82,武学奇术!$A:$ZZ,18,FALSE)+SUM(_xlfn.XLOOKUP(S82:AG82,增益!$A:$A,增益!$R:$R,0))</f>
        <v>1.5</v>
      </c>
      <c r="BM82" s="20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0.4459</v>
      </c>
      <c r="BN82" s="20" cm="1">
        <f t="array" ref="BN82">1+$B$14+VLOOKUP($R82,武学奇术!$A:$ZZ,20,FALSE)+SUM(_xlfn.XLOOKUP(S82:AG82,增益!$A:$A,增益!$T:$T,0))</f>
        <v>1.602</v>
      </c>
      <c r="BO82" s="20">
        <f t="shared" si="20"/>
        <v>0.18601479</v>
      </c>
      <c r="BP82" s="20">
        <f t="shared" si="21"/>
        <v>0.27228132</v>
      </c>
      <c r="BQ82" s="20">
        <f>IF(VLOOKUP($R82,武学奇术!$A:$ZZ,22,FALSE)=1,0,(1-$BJ82))*(1-$BM82)</f>
        <v>0.09580389</v>
      </c>
      <c r="BR82" s="20" cm="1">
        <f t="array" ref="BR82">SUM(_xlfn.XLOOKUP(S82:AG82,增益!$A:$A,增益!$W:$W,0))+$I$5</f>
        <v>0.11</v>
      </c>
    </row>
    <row r="83" spans="1:70">
      <c r="A83" s="4"/>
      <c r="B83" s="4"/>
      <c r="K83" s="27">
        <f>$L83*VLOOKUP($R83,武学奇术!$A:$ZZ,31,FALSE)</f>
        <v>53728.0664482027</v>
      </c>
      <c r="L83" s="27">
        <f t="shared" si="11"/>
        <v>53728.0664482027</v>
      </c>
      <c r="M83" s="27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48379.0738082379</v>
      </c>
      <c r="N83" s="27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77097.555852433</v>
      </c>
      <c r="O83" s="27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32252.7158721586</v>
      </c>
      <c r="P83" s="27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16379.6166054702</v>
      </c>
      <c r="Q83" s="35">
        <v>1</v>
      </c>
      <c r="R83" s="36" t="s">
        <v>110</v>
      </c>
      <c r="S83" s="36" t="s">
        <v>71</v>
      </c>
      <c r="T83" s="36" t="s">
        <v>93</v>
      </c>
      <c r="U83" s="36" t="s">
        <v>71</v>
      </c>
      <c r="V83" s="36" t="s">
        <v>71</v>
      </c>
      <c r="W83" s="36" t="s">
        <v>111</v>
      </c>
      <c r="X83" s="36" t="s">
        <v>71</v>
      </c>
      <c r="Y83" s="36" t="s">
        <v>71</v>
      </c>
      <c r="Z83" s="36" t="s">
        <v>71</v>
      </c>
      <c r="AA83" s="36" t="s">
        <v>71</v>
      </c>
      <c r="AB83" s="36" t="s">
        <v>71</v>
      </c>
      <c r="AC83" s="36" t="s">
        <v>71</v>
      </c>
      <c r="AD83" s="36" t="s">
        <v>72</v>
      </c>
      <c r="AE83" s="36" t="s">
        <v>94</v>
      </c>
      <c r="AF83" s="36" t="s">
        <v>154</v>
      </c>
      <c r="AG83" s="36" t="s">
        <v>120</v>
      </c>
      <c r="AH83" t="str">
        <f>VLOOKUP($R83,武学奇术!$A:$ZZ,25,FALSE)</f>
        <v>枪</v>
      </c>
      <c r="AI83" s="20">
        <f>VLOOKUP($R83,武学奇术!$A:$ZZ,26,FALSE)</f>
        <v>2.5683</v>
      </c>
      <c r="AJ83" s="21">
        <f>VLOOKUP($R83,武学奇术!$A:$ZZ,27,FALSE)*(1+IF(OR($AH83=$F$4,$AH83=$F$5),$B$22,0))</f>
        <v>995.4</v>
      </c>
      <c r="AK83" s="20">
        <f>VLOOKUP($R83,武学奇术!$A:$ZZ,28,FALSE)</f>
        <v>3.8524</v>
      </c>
      <c r="AL83" s="21">
        <f>VLOOKUP($R83,武学奇术!$A:$ZZ,29,FALSE)*(1+IF(OR($AH83=$F$4,$AH83=$F$5),$B$22,0))</f>
        <v>541.8</v>
      </c>
      <c r="AM83" s="20" cm="1">
        <f t="array" ref="AM83">$G$3+IFERROR(VLOOKUP($AH83,$F$4:$G$7,2,FALSE),0)+VLOOKUP($R83,武学奇术!$A:$ZZ,2,FALSE)+SUM(_xlfn.XLOOKUP($S83:$AG83,增益!$A:$A,增益!$B:$B,0))</f>
        <v>0.5539</v>
      </c>
      <c r="AN83" s="20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1548.52</v>
      </c>
      <c r="AP83" cm="1">
        <f t="array" ref="AP83">$E$10*(1+$AN83)+VLOOKUP($R83,武学奇术!$A:$ZZ,4,FALSE)+SUM(_xlfn.XLOOKUP($S83:$AG83,增益!$A:$A,增益!$D:$D,0))-$I$2</f>
        <v>6659.56</v>
      </c>
      <c r="AQ83" s="29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0.2425</v>
      </c>
      <c r="AR83" s="29" cm="1">
        <f t="array" ref="AR83">$G$10+VLOOKUP($R83,武学奇术!$A:$ZZ,7,FALSE)+SUM(_xlfn.XLOOKUP(S83:AG83,增益!$A:$A,增益!$G:$G,0))</f>
        <v>0</v>
      </c>
      <c r="AS83" s="20" cm="1">
        <f t="array" ref="AS83">VLOOKUP($R83,武学奇术!$A:$ZZ,8,FALSE)+SUM(_xlfn.XLOOKUP(S83:AG83,增益!$A:$A,增益!$H:$H,0))</f>
        <v>0</v>
      </c>
      <c r="AT83">
        <f t="shared" si="12"/>
        <v>538</v>
      </c>
      <c r="AU83">
        <f t="shared" si="13"/>
        <v>1011</v>
      </c>
      <c r="AV83" s="29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</v>
      </c>
      <c r="AW83" s="29" cm="1">
        <f t="array" ref="AW83">$G$11+VLOOKUP($R83,武学奇术!$A:$ZZ,10,FALSE)+SUM(_xlfn.XLOOKUP(S83:AG83,增益!$A:$A,增益!$J:$J,0))</f>
        <v>0.15</v>
      </c>
      <c r="AX83">
        <f t="shared" si="14"/>
        <v>0</v>
      </c>
      <c r="AY83">
        <f t="shared" si="15"/>
        <v>0</v>
      </c>
      <c r="AZ83" s="29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29" cm="1">
        <f t="array" ref="BA83">$G$12+VLOOKUP($R83,武学奇术!$A:$ZZ,12,FALSE)+SUM(_xlfn.XLOOKUP(S83:AG83,增益!$A:$A,增益!$L:$L,0))</f>
        <v>0</v>
      </c>
      <c r="BB83">
        <f t="shared" si="16"/>
        <v>0</v>
      </c>
      <c r="BC83">
        <f t="shared" si="17"/>
        <v>0</v>
      </c>
      <c r="BD83" s="29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29" cm="1">
        <f t="array" ref="BE83">$G$13+VLOOKUP($R83,武学奇术!$A:$ZZ,14,FALSE)+SUM(_xlfn.XLOOKUP(S83:AG83,增益!$A:$A,增益!$N:$N,0))</f>
        <v>0</v>
      </c>
      <c r="BF83">
        <f t="shared" si="18"/>
        <v>0</v>
      </c>
      <c r="BG83">
        <f t="shared" si="19"/>
        <v>0</v>
      </c>
      <c r="BH83" s="29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29" cm="1">
        <f t="array" ref="BI83">$G$14+VLOOKUP($R83,武学奇术!$A:$ZZ,16,FALSE)+SUM(_xlfn.XLOOKUP(S83:AG83,增益!$A:$A,增益!$P:$P,0))</f>
        <v>0</v>
      </c>
      <c r="BJ83" s="20">
        <f>MIN(IF(VLOOKUP($R83,武学奇术!$A:$ZZ,23,FALSE)=1,100%,$B$8),100%)</f>
        <v>0.8271</v>
      </c>
      <c r="BK83" s="20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0.2249</v>
      </c>
      <c r="BL83" s="20" cm="1">
        <f t="array" ref="BL83">1+$B$13+VLOOKUP($R83,武学奇术!$A:$ZZ,18,FALSE)+SUM(_xlfn.XLOOKUP(S83:AG83,增益!$A:$A,增益!$R:$R,0))</f>
        <v>1.5</v>
      </c>
      <c r="BM83" s="20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0.4459</v>
      </c>
      <c r="BN83" s="20" cm="1">
        <f t="array" ref="BN83">1+$B$14+VLOOKUP($R83,武学奇术!$A:$ZZ,20,FALSE)+SUM(_xlfn.XLOOKUP(S83:AG83,增益!$A:$A,增益!$T:$T,0))</f>
        <v>1.602</v>
      </c>
      <c r="BO83" s="20">
        <f t="shared" si="20"/>
        <v>0.18601479</v>
      </c>
      <c r="BP83" s="20">
        <f t="shared" si="21"/>
        <v>0.27228132</v>
      </c>
      <c r="BQ83" s="20">
        <f>IF(VLOOKUP($R83,武学奇术!$A:$ZZ,22,FALSE)=1,0,(1-$BJ83))*(1-$BM83)</f>
        <v>0.09580389</v>
      </c>
      <c r="BR83" s="20" cm="1">
        <f t="array" ref="BR83">SUM(_xlfn.XLOOKUP(S83:AG83,增益!$A:$A,增益!$W:$W,0))+$I$5</f>
        <v>0.11</v>
      </c>
    </row>
    <row r="84" spans="1:70">
      <c r="A84" s="4"/>
      <c r="B84" s="4"/>
      <c r="K84" s="27">
        <f>$L84*VLOOKUP($R84,武学奇术!$A:$ZZ,31,FALSE)</f>
        <v>65661.5841236345</v>
      </c>
      <c r="L84" s="27">
        <f t="shared" si="11"/>
        <v>109435.973539391</v>
      </c>
      <c r="M84" s="27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89687.4709676233</v>
      </c>
      <c r="N84" s="27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165798.990561992</v>
      </c>
      <c r="O84" s="27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59791.6473117489</v>
      </c>
      <c r="P84" s="27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26542.3347121667</v>
      </c>
      <c r="Q84" s="35">
        <v>1</v>
      </c>
      <c r="R84" s="36" t="s">
        <v>105</v>
      </c>
      <c r="S84" s="36" t="s">
        <v>71</v>
      </c>
      <c r="T84" s="36" t="s">
        <v>99</v>
      </c>
      <c r="U84" s="36" t="s">
        <v>100</v>
      </c>
      <c r="V84" s="36" t="s">
        <v>101</v>
      </c>
      <c r="W84" s="36" t="s">
        <v>111</v>
      </c>
      <c r="X84" s="36" t="s">
        <v>71</v>
      </c>
      <c r="Y84" s="36" t="s">
        <v>71</v>
      </c>
      <c r="Z84" s="36" t="s">
        <v>71</v>
      </c>
      <c r="AA84" s="36" t="s">
        <v>71</v>
      </c>
      <c r="AB84" s="36" t="s">
        <v>71</v>
      </c>
      <c r="AC84" s="36" t="s">
        <v>71</v>
      </c>
      <c r="AD84" s="36" t="s">
        <v>72</v>
      </c>
      <c r="AE84" s="36" t="s">
        <v>94</v>
      </c>
      <c r="AF84" s="36" t="s">
        <v>154</v>
      </c>
      <c r="AG84" s="36" t="s">
        <v>120</v>
      </c>
      <c r="AH84" t="str">
        <f>VLOOKUP($R84,武学奇术!$A:$ZZ,25,FALSE)</f>
        <v>剑</v>
      </c>
      <c r="AI84" s="20">
        <f>VLOOKUP($R84,武学奇术!$A:$ZZ,26,FALSE)</f>
        <v>2.496</v>
      </c>
      <c r="AJ84" s="21">
        <f>VLOOKUP($R84,武学奇术!$A:$ZZ,27,FALSE)*(1+IF(OR($AH84=$F$4,$AH84=$F$5),$B$22,0))</f>
        <v>0</v>
      </c>
      <c r="AK84" s="20">
        <f>VLOOKUP($R84,武学奇术!$A:$ZZ,28,FALSE)</f>
        <v>3.744</v>
      </c>
      <c r="AL84" s="21">
        <f>VLOOKUP($R84,武学奇术!$A:$ZZ,29,FALSE)*(1+IF(OR($AH84=$F$4,$AH84=$F$5),$B$22,0))</f>
        <v>0</v>
      </c>
      <c r="AM84" s="20" cm="1">
        <f t="array" ref="AM84">$G$3+IFERROR(VLOOKUP($AH84,$F$4:$G$7,2,FALSE),0)+VLOOKUP($R84,武学奇术!$A:$ZZ,2,FALSE)+SUM(_xlfn.XLOOKUP($S84:$AG84,增益!$A:$A,增益!$B:$B,0))</f>
        <v>1.3891</v>
      </c>
      <c r="AN84" s="20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1548.52</v>
      </c>
      <c r="AP84" cm="1">
        <f t="array" ref="AP84">$E$10*(1+$AN84)+VLOOKUP($R84,武学奇术!$A:$ZZ,4,FALSE)+SUM(_xlfn.XLOOKUP($S84:$AG84,增益!$A:$A,增益!$D:$D,0))-$I$2</f>
        <v>6659.56</v>
      </c>
      <c r="AQ84" s="29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0.3175</v>
      </c>
      <c r="AR84" s="29" cm="1">
        <f t="array" ref="AR84">$G$10+VLOOKUP($R84,武学奇术!$A:$ZZ,7,FALSE)+SUM(_xlfn.XLOOKUP(S84:AG84,增益!$A:$A,增益!$G:$G,0))</f>
        <v>0</v>
      </c>
      <c r="AS84" s="20" cm="1">
        <f t="array" ref="AS84">VLOOKUP($R84,武学奇术!$A:$ZZ,8,FALSE)+SUM(_xlfn.XLOOKUP(S84:AG84,增益!$A:$A,增益!$H:$H,0))</f>
        <v>0</v>
      </c>
      <c r="AT84">
        <f t="shared" si="12"/>
        <v>538</v>
      </c>
      <c r="AU84">
        <f t="shared" si="13"/>
        <v>1011</v>
      </c>
      <c r="AV84" s="29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0.075</v>
      </c>
      <c r="AW84" s="29" cm="1">
        <f t="array" ref="AW84">$G$11+VLOOKUP($R84,武学奇术!$A:$ZZ,10,FALSE)+SUM(_xlfn.XLOOKUP(S84:AG84,增益!$A:$A,增益!$J:$J,0))</f>
        <v>0.15</v>
      </c>
      <c r="AX84">
        <f t="shared" si="14"/>
        <v>0</v>
      </c>
      <c r="AY84">
        <f t="shared" si="15"/>
        <v>0</v>
      </c>
      <c r="AZ84" s="29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29" cm="1">
        <f t="array" ref="BA84">$G$12+VLOOKUP($R84,武学奇术!$A:$ZZ,12,FALSE)+SUM(_xlfn.XLOOKUP(S84:AG84,增益!$A:$A,增益!$L:$L,0))</f>
        <v>0</v>
      </c>
      <c r="BB84">
        <f t="shared" si="16"/>
        <v>0</v>
      </c>
      <c r="BC84">
        <f t="shared" si="17"/>
        <v>0</v>
      </c>
      <c r="BD84" s="29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29" cm="1">
        <f t="array" ref="BE84">$G$13+VLOOKUP($R84,武学奇术!$A:$ZZ,14,FALSE)+SUM(_xlfn.XLOOKUP(S84:AG84,增益!$A:$A,增益!$N:$N,0))</f>
        <v>0</v>
      </c>
      <c r="BF84">
        <f t="shared" si="18"/>
        <v>0</v>
      </c>
      <c r="BG84">
        <f t="shared" si="19"/>
        <v>0</v>
      </c>
      <c r="BH84" s="29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29" cm="1">
        <f t="array" ref="BI84">$G$14+VLOOKUP($R84,武学奇术!$A:$ZZ,16,FALSE)+SUM(_xlfn.XLOOKUP(S84:AG84,增益!$A:$A,增益!$P:$P,0))</f>
        <v>0</v>
      </c>
      <c r="BJ84" s="20">
        <f>MIN(IF(VLOOKUP($R84,武学奇术!$A:$ZZ,23,FALSE)=1,100%,$B$8),100%)</f>
        <v>0.8271</v>
      </c>
      <c r="BK84" s="20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0.2249</v>
      </c>
      <c r="BL84" s="20" cm="1">
        <f t="array" ref="BL84">1+$B$13+VLOOKUP($R84,武学奇术!$A:$ZZ,18,FALSE)+SUM(_xlfn.XLOOKUP(S84:AG84,增益!$A:$A,增益!$R:$R,0))</f>
        <v>1.5</v>
      </c>
      <c r="BM84" s="20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0.4459</v>
      </c>
      <c r="BN84" s="20" cm="1">
        <f t="array" ref="BN84">1+$B$14+VLOOKUP($R84,武学奇术!$A:$ZZ,20,FALSE)+SUM(_xlfn.XLOOKUP(S84:AG84,增益!$A:$A,增益!$T:$T,0))</f>
        <v>1.782</v>
      </c>
      <c r="BO84" s="20">
        <f t="shared" si="20"/>
        <v>0.18601479</v>
      </c>
      <c r="BP84" s="20">
        <f t="shared" si="21"/>
        <v>0.27228132</v>
      </c>
      <c r="BQ84" s="20">
        <f>IF(VLOOKUP($R84,武学奇术!$A:$ZZ,22,FALSE)=1,0,(1-$BJ84))*(1-$BM84)</f>
        <v>0.09580389</v>
      </c>
      <c r="BR84" s="20" cm="1">
        <f t="array" ref="BR84">SUM(_xlfn.XLOOKUP(S84:AG84,增益!$A:$A,增益!$W:$W,0))+$I$5</f>
        <v>0.11</v>
      </c>
    </row>
    <row r="85" spans="1:70">
      <c r="A85" s="4"/>
      <c r="B85" s="4"/>
      <c r="K85" s="27">
        <f>$L85*VLOOKUP($R85,武学奇术!$A:$ZZ,31,FALSE)</f>
        <v>25993.2692862864</v>
      </c>
      <c r="L85" s="27">
        <f t="shared" si="11"/>
        <v>25993.2692862864</v>
      </c>
      <c r="M85" s="27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23404.7266871756</v>
      </c>
      <c r="N85" s="27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37300.2126922078</v>
      </c>
      <c r="O85" s="27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15603.1511247837</v>
      </c>
      <c r="P85" s="27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7922.77372759012</v>
      </c>
      <c r="Q85" s="35">
        <v>1</v>
      </c>
      <c r="R85" s="36" t="s">
        <v>92</v>
      </c>
      <c r="S85" s="36" t="s">
        <v>71</v>
      </c>
      <c r="T85" s="36" t="s">
        <v>93</v>
      </c>
      <c r="U85" s="36" t="s">
        <v>71</v>
      </c>
      <c r="V85" s="36" t="s">
        <v>71</v>
      </c>
      <c r="W85" s="36" t="s">
        <v>111</v>
      </c>
      <c r="X85" s="36" t="s">
        <v>71</v>
      </c>
      <c r="Y85" s="36" t="s">
        <v>71</v>
      </c>
      <c r="Z85" s="36" t="s">
        <v>71</v>
      </c>
      <c r="AA85" s="36" t="s">
        <v>71</v>
      </c>
      <c r="AB85" s="36" t="s">
        <v>71</v>
      </c>
      <c r="AC85" s="36" t="s">
        <v>71</v>
      </c>
      <c r="AD85" s="36" t="s">
        <v>72</v>
      </c>
      <c r="AE85" s="36" t="s">
        <v>94</v>
      </c>
      <c r="AF85" s="36" t="s">
        <v>154</v>
      </c>
      <c r="AG85" s="36" t="s">
        <v>120</v>
      </c>
      <c r="AH85" t="str">
        <f>VLOOKUP($R85,武学奇术!$A:$ZZ,25,FALSE)</f>
        <v>剑</v>
      </c>
      <c r="AI85" s="20">
        <f>VLOOKUP($R85,武学奇术!$A:$ZZ,26,FALSE)</f>
        <v>1.1781</v>
      </c>
      <c r="AJ85" s="21">
        <f>VLOOKUP($R85,武学奇术!$A:$ZZ,27,FALSE)*(1+IF(OR($AH85=$F$4,$AH85=$F$5),$B$22,0))</f>
        <v>456.4</v>
      </c>
      <c r="AK85" s="20">
        <f>VLOOKUP($R85,武学奇术!$A:$ZZ,28,FALSE)</f>
        <v>1.7672</v>
      </c>
      <c r="AL85" s="21">
        <f>VLOOKUP($R85,武学奇术!$A:$ZZ,29,FALSE)*(1+IF(OR($AH85=$F$4,$AH85=$F$5),$B$22,0))</f>
        <v>247.8</v>
      </c>
      <c r="AM85" s="20" cm="1">
        <f t="array" ref="AM85">$G$3+IFERROR(VLOOKUP($AH85,$F$4:$G$7,2,FALSE),0)+VLOOKUP($R85,武学奇术!$A:$ZZ,2,FALSE)+SUM(_xlfn.XLOOKUP($S85:$AG85,增益!$A:$A,增益!$B:$B,0))</f>
        <v>0.6391</v>
      </c>
      <c r="AN85" s="20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1548.52</v>
      </c>
      <c r="AP85" cm="1">
        <f t="array" ref="AP85">$E$10*(1+$AN85)+VLOOKUP($R85,武学奇术!$A:$ZZ,4,FALSE)+SUM(_xlfn.XLOOKUP($S85:$AG85,增益!$A:$A,增益!$D:$D,0))-$I$2</f>
        <v>6659.56</v>
      </c>
      <c r="AQ85" s="29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0.2425</v>
      </c>
      <c r="AR85" s="29" cm="1">
        <f t="array" ref="AR85">$G$10+VLOOKUP($R85,武学奇术!$A:$ZZ,7,FALSE)+SUM(_xlfn.XLOOKUP(S85:AG85,增益!$A:$A,增益!$G:$G,0))</f>
        <v>0</v>
      </c>
      <c r="AS85" s="20" cm="1">
        <f t="array" ref="AS85">VLOOKUP($R85,武学奇术!$A:$ZZ,8,FALSE)+SUM(_xlfn.XLOOKUP(S85:AG85,增益!$A:$A,增益!$H:$H,0))</f>
        <v>0</v>
      </c>
      <c r="AT85">
        <f t="shared" si="12"/>
        <v>538</v>
      </c>
      <c r="AU85">
        <f t="shared" si="13"/>
        <v>1011</v>
      </c>
      <c r="AV85" s="29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0</v>
      </c>
      <c r="AW85" s="29" cm="1">
        <f t="array" ref="AW85">$G$11+VLOOKUP($R85,武学奇术!$A:$ZZ,10,FALSE)+SUM(_xlfn.XLOOKUP(S85:AG85,增益!$A:$A,增益!$J:$J,0))</f>
        <v>0.15</v>
      </c>
      <c r="AX85">
        <f t="shared" si="14"/>
        <v>0</v>
      </c>
      <c r="AY85">
        <f t="shared" si="15"/>
        <v>0</v>
      </c>
      <c r="AZ85" s="29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29" cm="1">
        <f t="array" ref="BA85">$G$12+VLOOKUP($R85,武学奇术!$A:$ZZ,12,FALSE)+SUM(_xlfn.XLOOKUP(S85:AG85,增益!$A:$A,增益!$L:$L,0))</f>
        <v>0</v>
      </c>
      <c r="BB85">
        <f t="shared" si="16"/>
        <v>0</v>
      </c>
      <c r="BC85">
        <f t="shared" si="17"/>
        <v>0</v>
      </c>
      <c r="BD85" s="29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29" cm="1">
        <f t="array" ref="BE85">$G$13+VLOOKUP($R85,武学奇术!$A:$ZZ,14,FALSE)+SUM(_xlfn.XLOOKUP(S85:AG85,增益!$A:$A,增益!$N:$N,0))</f>
        <v>0</v>
      </c>
      <c r="BF85">
        <f t="shared" si="18"/>
        <v>0</v>
      </c>
      <c r="BG85">
        <f t="shared" si="19"/>
        <v>0</v>
      </c>
      <c r="BH85" s="29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29" cm="1">
        <f t="array" ref="BI85">$G$14+VLOOKUP($R85,武学奇术!$A:$ZZ,16,FALSE)+SUM(_xlfn.XLOOKUP(S85:AG85,增益!$A:$A,增益!$P:$P,0))</f>
        <v>0</v>
      </c>
      <c r="BJ85" s="20">
        <f>MIN(IF(VLOOKUP($R85,武学奇术!$A:$ZZ,23,FALSE)=1,100%,$B$8),100%)</f>
        <v>0.8271</v>
      </c>
      <c r="BK85" s="20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0.2249</v>
      </c>
      <c r="BL85" s="20" cm="1">
        <f t="array" ref="BL85">1+$B$13+VLOOKUP($R85,武学奇术!$A:$ZZ,18,FALSE)+SUM(_xlfn.XLOOKUP(S85:AG85,增益!$A:$A,增益!$R:$R,0))</f>
        <v>1.5</v>
      </c>
      <c r="BM85" s="20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0.4459</v>
      </c>
      <c r="BN85" s="20" cm="1">
        <f t="array" ref="BN85">1+$B$14+VLOOKUP($R85,武学奇术!$A:$ZZ,20,FALSE)+SUM(_xlfn.XLOOKUP(S85:AG85,增益!$A:$A,增益!$T:$T,0))</f>
        <v>1.602</v>
      </c>
      <c r="BO85" s="20">
        <f t="shared" si="20"/>
        <v>0.18601479</v>
      </c>
      <c r="BP85" s="20">
        <f t="shared" si="21"/>
        <v>0.27228132</v>
      </c>
      <c r="BQ85" s="20">
        <f>IF(VLOOKUP($R85,武学奇术!$A:$ZZ,22,FALSE)=1,0,(1-$BJ85))*(1-$BM85)</f>
        <v>0.09580389</v>
      </c>
      <c r="BR85" s="20" cm="1">
        <f t="array" ref="BR85">SUM(_xlfn.XLOOKUP(S85:AG85,增益!$A:$A,增益!$W:$W,0))+$I$5</f>
        <v>0.11</v>
      </c>
    </row>
    <row r="86" spans="1:70">
      <c r="A86" s="4"/>
      <c r="B86" s="4"/>
      <c r="K86" s="27">
        <f>$L86*VLOOKUP($R86,武学奇术!$A:$ZZ,31,FALSE)</f>
        <v>65661.5841236345</v>
      </c>
      <c r="L86" s="27">
        <f t="shared" si="11"/>
        <v>109435.973539391</v>
      </c>
      <c r="M86" s="27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89687.4709676233</v>
      </c>
      <c r="N86" s="27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165798.990561992</v>
      </c>
      <c r="O86" s="27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59791.6473117489</v>
      </c>
      <c r="P86" s="27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26542.3347121667</v>
      </c>
      <c r="Q86" s="35">
        <v>1</v>
      </c>
      <c r="R86" s="36" t="s">
        <v>105</v>
      </c>
      <c r="S86" s="36" t="s">
        <v>71</v>
      </c>
      <c r="T86" s="36" t="s">
        <v>99</v>
      </c>
      <c r="U86" s="36" t="s">
        <v>100</v>
      </c>
      <c r="V86" s="36" t="s">
        <v>101</v>
      </c>
      <c r="W86" s="36" t="s">
        <v>111</v>
      </c>
      <c r="X86" s="36" t="s">
        <v>71</v>
      </c>
      <c r="Y86" s="36" t="s">
        <v>71</v>
      </c>
      <c r="Z86" s="36" t="s">
        <v>71</v>
      </c>
      <c r="AA86" s="36" t="s">
        <v>71</v>
      </c>
      <c r="AB86" s="36" t="s">
        <v>71</v>
      </c>
      <c r="AC86" s="36" t="s">
        <v>71</v>
      </c>
      <c r="AD86" s="36" t="s">
        <v>72</v>
      </c>
      <c r="AE86" s="36" t="s">
        <v>94</v>
      </c>
      <c r="AF86" s="36" t="s">
        <v>154</v>
      </c>
      <c r="AG86" s="36" t="s">
        <v>120</v>
      </c>
      <c r="AH86" t="str">
        <f>VLOOKUP($R86,武学奇术!$A:$ZZ,25,FALSE)</f>
        <v>剑</v>
      </c>
      <c r="AI86" s="20">
        <f>VLOOKUP($R86,武学奇术!$A:$ZZ,26,FALSE)</f>
        <v>2.496</v>
      </c>
      <c r="AJ86" s="21">
        <f>VLOOKUP($R86,武学奇术!$A:$ZZ,27,FALSE)*(1+IF(OR($AH86=$F$4,$AH86=$F$5),$B$22,0))</f>
        <v>0</v>
      </c>
      <c r="AK86" s="20">
        <f>VLOOKUP($R86,武学奇术!$A:$ZZ,28,FALSE)</f>
        <v>3.744</v>
      </c>
      <c r="AL86" s="21">
        <f>VLOOKUP($R86,武学奇术!$A:$ZZ,29,FALSE)*(1+IF(OR($AH86=$F$4,$AH86=$F$5),$B$22,0))</f>
        <v>0</v>
      </c>
      <c r="AM86" s="20" cm="1">
        <f t="array" ref="AM86">$G$3+IFERROR(VLOOKUP($AH86,$F$4:$G$7,2,FALSE),0)+VLOOKUP($R86,武学奇术!$A:$ZZ,2,FALSE)+SUM(_xlfn.XLOOKUP($S86:$AG86,增益!$A:$A,增益!$B:$B,0))</f>
        <v>1.3891</v>
      </c>
      <c r="AN86" s="20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1548.52</v>
      </c>
      <c r="AP86" cm="1">
        <f t="array" ref="AP86">$E$10*(1+$AN86)+VLOOKUP($R86,武学奇术!$A:$ZZ,4,FALSE)+SUM(_xlfn.XLOOKUP($S86:$AG86,增益!$A:$A,增益!$D:$D,0))-$I$2</f>
        <v>6659.56</v>
      </c>
      <c r="AQ86" s="29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0.3175</v>
      </c>
      <c r="AR86" s="29" cm="1">
        <f t="array" ref="AR86">$G$10+VLOOKUP($R86,武学奇术!$A:$ZZ,7,FALSE)+SUM(_xlfn.XLOOKUP(S86:AG86,增益!$A:$A,增益!$G:$G,0))</f>
        <v>0</v>
      </c>
      <c r="AS86" s="20" cm="1">
        <f t="array" ref="AS86">VLOOKUP($R86,武学奇术!$A:$ZZ,8,FALSE)+SUM(_xlfn.XLOOKUP(S86:AG86,增益!$A:$A,增益!$H:$H,0))</f>
        <v>0</v>
      </c>
      <c r="AT86">
        <f t="shared" si="12"/>
        <v>538</v>
      </c>
      <c r="AU86">
        <f t="shared" si="13"/>
        <v>1011</v>
      </c>
      <c r="AV86" s="29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0.075</v>
      </c>
      <c r="AW86" s="29" cm="1">
        <f t="array" ref="AW86">$G$11+VLOOKUP($R86,武学奇术!$A:$ZZ,10,FALSE)+SUM(_xlfn.XLOOKUP(S86:AG86,增益!$A:$A,增益!$J:$J,0))</f>
        <v>0.15</v>
      </c>
      <c r="AX86">
        <f t="shared" si="14"/>
        <v>0</v>
      </c>
      <c r="AY86">
        <f t="shared" si="15"/>
        <v>0</v>
      </c>
      <c r="AZ86" s="29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29" cm="1">
        <f t="array" ref="BA86">$G$12+VLOOKUP($R86,武学奇术!$A:$ZZ,12,FALSE)+SUM(_xlfn.XLOOKUP(S86:AG86,增益!$A:$A,增益!$L:$L,0))</f>
        <v>0</v>
      </c>
      <c r="BB86">
        <f t="shared" si="16"/>
        <v>0</v>
      </c>
      <c r="BC86">
        <f t="shared" si="17"/>
        <v>0</v>
      </c>
      <c r="BD86" s="29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29" cm="1">
        <f t="array" ref="BE86">$G$13+VLOOKUP($R86,武学奇术!$A:$ZZ,14,FALSE)+SUM(_xlfn.XLOOKUP(S86:AG86,增益!$A:$A,增益!$N:$N,0))</f>
        <v>0</v>
      </c>
      <c r="BF86">
        <f t="shared" si="18"/>
        <v>0</v>
      </c>
      <c r="BG86">
        <f t="shared" si="19"/>
        <v>0</v>
      </c>
      <c r="BH86" s="29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29" cm="1">
        <f t="array" ref="BI86">$G$14+VLOOKUP($R86,武学奇术!$A:$ZZ,16,FALSE)+SUM(_xlfn.XLOOKUP(S86:AG86,增益!$A:$A,增益!$P:$P,0))</f>
        <v>0</v>
      </c>
      <c r="BJ86" s="20">
        <f>MIN(IF(VLOOKUP($R86,武学奇术!$A:$ZZ,23,FALSE)=1,100%,$B$8),100%)</f>
        <v>0.8271</v>
      </c>
      <c r="BK86" s="20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0.2249</v>
      </c>
      <c r="BL86" s="20" cm="1">
        <f t="array" ref="BL86">1+$B$13+VLOOKUP($R86,武学奇术!$A:$ZZ,18,FALSE)+SUM(_xlfn.XLOOKUP(S86:AG86,增益!$A:$A,增益!$R:$R,0))</f>
        <v>1.5</v>
      </c>
      <c r="BM86" s="20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0.4459</v>
      </c>
      <c r="BN86" s="20" cm="1">
        <f t="array" ref="BN86">1+$B$14+VLOOKUP($R86,武学奇术!$A:$ZZ,20,FALSE)+SUM(_xlfn.XLOOKUP(S86:AG86,增益!$A:$A,增益!$T:$T,0))</f>
        <v>1.782</v>
      </c>
      <c r="BO86" s="20">
        <f t="shared" si="20"/>
        <v>0.18601479</v>
      </c>
      <c r="BP86" s="20">
        <f t="shared" si="21"/>
        <v>0.27228132</v>
      </c>
      <c r="BQ86" s="20">
        <f>IF(VLOOKUP($R86,武学奇术!$A:$ZZ,22,FALSE)=1,0,(1-$BJ86))*(1-$BM86)</f>
        <v>0.09580389</v>
      </c>
      <c r="BR86" s="20" cm="1">
        <f t="array" ref="BR86">SUM(_xlfn.XLOOKUP(S86:AG86,增益!$A:$A,增益!$W:$W,0))+$I$5</f>
        <v>0.11</v>
      </c>
    </row>
    <row r="87" spans="1:70">
      <c r="K87" s="27">
        <f>$L87*VLOOKUP($R87,武学奇术!$A:$ZZ,31,FALSE)</f>
        <v>65661.5841236345</v>
      </c>
      <c r="L87" s="27">
        <f t="shared" si="11"/>
        <v>109435.973539391</v>
      </c>
      <c r="M87" s="27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89687.4709676233</v>
      </c>
      <c r="N87" s="27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165798.990561992</v>
      </c>
      <c r="O87" s="27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59791.6473117489</v>
      </c>
      <c r="P87" s="27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26542.3347121667</v>
      </c>
      <c r="Q87" s="35">
        <v>1</v>
      </c>
      <c r="R87" s="36" t="s">
        <v>105</v>
      </c>
      <c r="S87" s="36" t="s">
        <v>71</v>
      </c>
      <c r="T87" s="36" t="s">
        <v>99</v>
      </c>
      <c r="U87" s="36" t="s">
        <v>100</v>
      </c>
      <c r="V87" s="36" t="s">
        <v>101</v>
      </c>
      <c r="W87" s="36" t="s">
        <v>111</v>
      </c>
      <c r="X87" s="36" t="s">
        <v>71</v>
      </c>
      <c r="Y87" s="36" t="s">
        <v>71</v>
      </c>
      <c r="Z87" s="36" t="s">
        <v>71</v>
      </c>
      <c r="AA87" s="36" t="s">
        <v>71</v>
      </c>
      <c r="AB87" s="36" t="s">
        <v>71</v>
      </c>
      <c r="AC87" s="36" t="s">
        <v>71</v>
      </c>
      <c r="AD87" s="36" t="s">
        <v>72</v>
      </c>
      <c r="AE87" s="36" t="s">
        <v>94</v>
      </c>
      <c r="AF87" s="36" t="s">
        <v>154</v>
      </c>
      <c r="AG87" s="36" t="s">
        <v>120</v>
      </c>
      <c r="AH87" t="str">
        <f>VLOOKUP($R87,武学奇术!$A:$ZZ,25,FALSE)</f>
        <v>剑</v>
      </c>
      <c r="AI87" s="20">
        <f>VLOOKUP($R87,武学奇术!$A:$ZZ,26,FALSE)</f>
        <v>2.496</v>
      </c>
      <c r="AJ87" s="21">
        <f>VLOOKUP($R87,武学奇术!$A:$ZZ,27,FALSE)*(1+IF(OR($AH87=$F$4,$AH87=$F$5),$B$22,0))</f>
        <v>0</v>
      </c>
      <c r="AK87" s="20">
        <f>VLOOKUP($R87,武学奇术!$A:$ZZ,28,FALSE)</f>
        <v>3.744</v>
      </c>
      <c r="AL87" s="21">
        <f>VLOOKUP($R87,武学奇术!$A:$ZZ,29,FALSE)*(1+IF(OR($AH87=$F$4,$AH87=$F$5),$B$22,0))</f>
        <v>0</v>
      </c>
      <c r="AM87" s="20" cm="1">
        <f t="array" ref="AM87">$G$3+IFERROR(VLOOKUP($AH87,$F$4:$G$7,2,FALSE),0)+VLOOKUP($R87,武学奇术!$A:$ZZ,2,FALSE)+SUM(_xlfn.XLOOKUP($S87:$AG87,增益!$A:$A,增益!$B:$B,0))</f>
        <v>1.3891</v>
      </c>
      <c r="AN87" s="20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1548.52</v>
      </c>
      <c r="AP87" cm="1">
        <f t="array" ref="AP87">$E$10*(1+$AN87)+VLOOKUP($R87,武学奇术!$A:$ZZ,4,FALSE)+SUM(_xlfn.XLOOKUP($S87:$AG87,增益!$A:$A,增益!$D:$D,0))-$I$2</f>
        <v>6659.56</v>
      </c>
      <c r="AQ87" s="29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0.3175</v>
      </c>
      <c r="AR87" s="29" cm="1">
        <f t="array" ref="AR87">$G$10+VLOOKUP($R87,武学奇术!$A:$ZZ,7,FALSE)+SUM(_xlfn.XLOOKUP(S87:AG87,增益!$A:$A,增益!$G:$G,0))</f>
        <v>0</v>
      </c>
      <c r="AS87" s="20" cm="1">
        <f t="array" ref="AS87">VLOOKUP($R87,武学奇术!$A:$ZZ,8,FALSE)+SUM(_xlfn.XLOOKUP(S87:AG87,增益!$A:$A,增益!$H:$H,0))</f>
        <v>0</v>
      </c>
      <c r="AT87">
        <f t="shared" si="12"/>
        <v>538</v>
      </c>
      <c r="AU87">
        <f t="shared" si="13"/>
        <v>1011</v>
      </c>
      <c r="AV87" s="29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0.075</v>
      </c>
      <c r="AW87" s="29" cm="1">
        <f t="array" ref="AW87">$G$11+VLOOKUP($R87,武学奇术!$A:$ZZ,10,FALSE)+SUM(_xlfn.XLOOKUP(S87:AG87,增益!$A:$A,增益!$J:$J,0))</f>
        <v>0.15</v>
      </c>
      <c r="AX87">
        <f t="shared" si="14"/>
        <v>0</v>
      </c>
      <c r="AY87">
        <f t="shared" si="15"/>
        <v>0</v>
      </c>
      <c r="AZ87" s="29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-0.3</v>
      </c>
      <c r="BA87" s="29" cm="1">
        <f t="array" ref="BA87">$G$12+VLOOKUP($R87,武学奇术!$A:$ZZ,12,FALSE)+SUM(_xlfn.XLOOKUP(S87:AG87,增益!$A:$A,增益!$L:$L,0))</f>
        <v>0</v>
      </c>
      <c r="BB87">
        <f t="shared" si="16"/>
        <v>0</v>
      </c>
      <c r="BC87">
        <f t="shared" si="17"/>
        <v>0</v>
      </c>
      <c r="BD87" s="29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-0.3</v>
      </c>
      <c r="BE87" s="29" cm="1">
        <f t="array" ref="BE87">$G$13+VLOOKUP($R87,武学奇术!$A:$ZZ,14,FALSE)+SUM(_xlfn.XLOOKUP(S87:AG87,增益!$A:$A,增益!$N:$N,0))</f>
        <v>0</v>
      </c>
      <c r="BF87">
        <f t="shared" si="18"/>
        <v>0</v>
      </c>
      <c r="BG87">
        <f t="shared" si="19"/>
        <v>0</v>
      </c>
      <c r="BH87" s="29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-0.3</v>
      </c>
      <c r="BI87" s="29" cm="1">
        <f t="array" ref="BI87">$G$14+VLOOKUP($R87,武学奇术!$A:$ZZ,16,FALSE)+SUM(_xlfn.XLOOKUP(S87:AG87,增益!$A:$A,增益!$P:$P,0))</f>
        <v>0</v>
      </c>
      <c r="BJ87" s="20">
        <f>MIN(IF(VLOOKUP($R87,武学奇术!$A:$ZZ,23,FALSE)=1,100%,$B$8),100%)</f>
        <v>0.8271</v>
      </c>
      <c r="BK87" s="20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0.2249</v>
      </c>
      <c r="BL87" s="20" cm="1">
        <f t="array" ref="BL87">1+$B$13+VLOOKUP($R87,武学奇术!$A:$ZZ,18,FALSE)+SUM(_xlfn.XLOOKUP(S87:AG87,增益!$A:$A,增益!$R:$R,0))</f>
        <v>1.5</v>
      </c>
      <c r="BM87" s="20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0.4459</v>
      </c>
      <c r="BN87" s="20" cm="1">
        <f t="array" ref="BN87">1+$B$14+VLOOKUP($R87,武学奇术!$A:$ZZ,20,FALSE)+SUM(_xlfn.XLOOKUP(S87:AG87,增益!$A:$A,增益!$T:$T,0))</f>
        <v>1.782</v>
      </c>
      <c r="BO87" s="20">
        <f t="shared" si="20"/>
        <v>0.18601479</v>
      </c>
      <c r="BP87" s="20">
        <f t="shared" si="21"/>
        <v>0.27228132</v>
      </c>
      <c r="BQ87" s="20">
        <f>IF(VLOOKUP($R87,武学奇术!$A:$ZZ,22,FALSE)=1,0,(1-$BJ87))*(1-$BM87)</f>
        <v>0.09580389</v>
      </c>
      <c r="BR87" s="20" cm="1">
        <f t="array" ref="BR87">SUM(_xlfn.XLOOKUP(S87:AG87,增益!$A:$A,增益!$W:$W,0))+$I$5</f>
        <v>0.11</v>
      </c>
    </row>
    <row r="88" spans="1:70">
      <c r="K88" s="27">
        <f>$L88*VLOOKUP($R88,武学奇术!$A:$ZZ,31,FALSE)</f>
        <v>154688.244076043</v>
      </c>
      <c r="L88" s="27">
        <f t="shared" si="11"/>
        <v>154688.244076043</v>
      </c>
      <c r="M88" s="27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136979.49542167</v>
      </c>
      <c r="N88" s="27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224932.498787348</v>
      </c>
      <c r="O88" s="27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91319.6636144464</v>
      </c>
      <c r="P88" s="27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42232.0246150678</v>
      </c>
      <c r="Q88" s="35">
        <v>1</v>
      </c>
      <c r="R88" s="36" t="s">
        <v>156</v>
      </c>
      <c r="S88" s="36" t="s">
        <v>71</v>
      </c>
      <c r="T88" s="36" t="s">
        <v>93</v>
      </c>
      <c r="U88" s="36" t="s">
        <v>71</v>
      </c>
      <c r="V88" s="36" t="s">
        <v>71</v>
      </c>
      <c r="W88" s="36" t="s">
        <v>111</v>
      </c>
      <c r="X88" s="36" t="s">
        <v>71</v>
      </c>
      <c r="Y88" s="36" t="s">
        <v>71</v>
      </c>
      <c r="Z88" s="36" t="s">
        <v>71</v>
      </c>
      <c r="AA88" s="36" t="s">
        <v>71</v>
      </c>
      <c r="AB88" s="36" t="s">
        <v>71</v>
      </c>
      <c r="AC88" s="36" t="s">
        <v>71</v>
      </c>
      <c r="AD88" s="36" t="s">
        <v>72</v>
      </c>
      <c r="AE88" s="36" t="s">
        <v>94</v>
      </c>
      <c r="AF88" s="36" t="s">
        <v>154</v>
      </c>
      <c r="AG88" s="36" t="s">
        <v>120</v>
      </c>
      <c r="AH88" t="str">
        <f>VLOOKUP($R88,武学奇术!$A:$ZZ,25,FALSE)</f>
        <v>单体奇术</v>
      </c>
      <c r="AI88" s="20">
        <f>VLOOKUP($R88,武学奇术!$A:$ZZ,26,FALSE)</f>
        <v>7.1074</v>
      </c>
      <c r="AJ88" s="21">
        <f>VLOOKUP($R88,武学奇术!$A:$ZZ,27,FALSE)*(1+IF(OR($AH88=$F$4,$AH88=$F$5),$B$22,0))</f>
        <v>1320</v>
      </c>
      <c r="AK88" s="20">
        <f>VLOOKUP($R88,武学奇术!$A:$ZZ,28,FALSE)</f>
        <v>10.6596</v>
      </c>
      <c r="AL88" s="21">
        <f>VLOOKUP($R88,武学奇术!$A:$ZZ,29,FALSE)*(1+IF(OR($AH88=$F$4,$AH88=$F$5),$B$22,0))</f>
        <v>0</v>
      </c>
      <c r="AM88" s="20" cm="1">
        <f t="array" ref="AM88">$G$3+IFERROR(VLOOKUP($AH88,$F$4:$G$7,2,FALSE),0)+VLOOKUP($R88,武学奇术!$A:$ZZ,2,FALSE)+SUM(_xlfn.XLOOKUP($S88:$AG88,增益!$A:$A,增益!$B:$B,0))</f>
        <v>0.7365</v>
      </c>
      <c r="AN88" s="20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1548.52</v>
      </c>
      <c r="AP88" cm="1">
        <f t="array" ref="AP88">$E$10*(1+$AN88)+VLOOKUP($R88,武学奇术!$A:$ZZ,4,FALSE)+SUM(_xlfn.XLOOKUP($S88:$AG88,增益!$A:$A,增益!$D:$D,0))-$I$2</f>
        <v>6659.56</v>
      </c>
      <c r="AQ88" s="29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0.2425</v>
      </c>
      <c r="AR88" s="29" cm="1">
        <f t="array" ref="AR88">$G$10+VLOOKUP($R88,武学奇术!$A:$ZZ,7,FALSE)+SUM(_xlfn.XLOOKUP(S88:AG88,增益!$A:$A,增益!$G:$G,0))</f>
        <v>0</v>
      </c>
      <c r="AS88" s="20" cm="1">
        <f t="array" ref="AS88">VLOOKUP($R88,武学奇术!$A:$ZZ,8,FALSE)+SUM(_xlfn.XLOOKUP(S88:AG88,增益!$A:$A,增益!$H:$H,0))</f>
        <v>0</v>
      </c>
      <c r="AT88">
        <f t="shared" si="12"/>
        <v>538</v>
      </c>
      <c r="AU88">
        <f t="shared" si="13"/>
        <v>1011</v>
      </c>
      <c r="AV88" s="29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</v>
      </c>
      <c r="AW88" s="29" cm="1">
        <f t="array" ref="AW88">$G$11+VLOOKUP($R88,武学奇术!$A:$ZZ,10,FALSE)+SUM(_xlfn.XLOOKUP(S88:AG88,增益!$A:$A,增益!$J:$J,0))</f>
        <v>0.15</v>
      </c>
      <c r="AX88">
        <f t="shared" si="14"/>
        <v>0</v>
      </c>
      <c r="AY88">
        <f t="shared" si="15"/>
        <v>0</v>
      </c>
      <c r="AZ88" s="29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-0.3</v>
      </c>
      <c r="BA88" s="29" cm="1">
        <f t="array" ref="BA88">$G$12+VLOOKUP($R88,武学奇术!$A:$ZZ,12,FALSE)+SUM(_xlfn.XLOOKUP(S88:AG88,增益!$A:$A,增益!$L:$L,0))</f>
        <v>0</v>
      </c>
      <c r="BB88">
        <f t="shared" si="16"/>
        <v>0</v>
      </c>
      <c r="BC88">
        <f t="shared" si="17"/>
        <v>0</v>
      </c>
      <c r="BD88" s="29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-0.3</v>
      </c>
      <c r="BE88" s="29" cm="1">
        <f t="array" ref="BE88">$G$13+VLOOKUP($R88,武学奇术!$A:$ZZ,14,FALSE)+SUM(_xlfn.XLOOKUP(S88:AG88,增益!$A:$A,增益!$N:$N,0))</f>
        <v>0</v>
      </c>
      <c r="BF88">
        <f t="shared" si="18"/>
        <v>0</v>
      </c>
      <c r="BG88">
        <f t="shared" si="19"/>
        <v>0</v>
      </c>
      <c r="BH88" s="29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-0.3</v>
      </c>
      <c r="BI88" s="29" cm="1">
        <f t="array" ref="BI88">$G$14+VLOOKUP($R88,武学奇术!$A:$ZZ,16,FALSE)+SUM(_xlfn.XLOOKUP(S88:AG88,增益!$A:$A,增益!$P:$P,0))</f>
        <v>0</v>
      </c>
      <c r="BJ88" s="20">
        <f>MIN(IF(VLOOKUP($R88,武学奇术!$A:$ZZ,23,FALSE)=1,100%,$B$8),100%)</f>
        <v>0.8271</v>
      </c>
      <c r="BK88" s="20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0.2249</v>
      </c>
      <c r="BL88" s="20" cm="1">
        <f t="array" ref="BL88">1+$B$13+VLOOKUP($R88,武学奇术!$A:$ZZ,18,FALSE)+SUM(_xlfn.XLOOKUP(S88:AG88,增益!$A:$A,增益!$R:$R,0))</f>
        <v>1.5</v>
      </c>
      <c r="BM88" s="20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0.4459</v>
      </c>
      <c r="BN88" s="20" cm="1">
        <f t="array" ref="BN88">1+$B$14+VLOOKUP($R88,武学奇术!$A:$ZZ,20,FALSE)+SUM(_xlfn.XLOOKUP(S88:AG88,增益!$A:$A,增益!$T:$T,0))</f>
        <v>1.602</v>
      </c>
      <c r="BO88" s="20">
        <f t="shared" si="20"/>
        <v>0.18601479</v>
      </c>
      <c r="BP88" s="20">
        <f t="shared" si="21"/>
        <v>0.27228132</v>
      </c>
      <c r="BQ88" s="20">
        <f>IF(VLOOKUP($R88,武学奇术!$A:$ZZ,22,FALSE)=1,0,(1-$BJ88))*(1-$BM88)</f>
        <v>0.09580389</v>
      </c>
      <c r="BR88" s="20" cm="1">
        <f t="array" ref="BR88">SUM(_xlfn.XLOOKUP(S88:AG88,增益!$A:$A,增益!$W:$W,0))+$I$5</f>
        <v>0.11</v>
      </c>
    </row>
    <row r="89" spans="1:70">
      <c r="K89" s="27">
        <f>$L89*VLOOKUP($R89,武学奇术!$A:$ZZ,31,FALSE)</f>
        <v>60008.8741699672</v>
      </c>
      <c r="L89" s="27">
        <f t="shared" si="11"/>
        <v>60008.8741699672</v>
      </c>
      <c r="M89" s="27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54029.8566897072</v>
      </c>
      <c r="N89" s="27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86116.3203141061</v>
      </c>
      <c r="O89" s="27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36019.9044598048</v>
      </c>
      <c r="P89" s="27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18284.3031055609</v>
      </c>
      <c r="Q89" s="35">
        <v>1</v>
      </c>
      <c r="R89" s="36" t="s">
        <v>81</v>
      </c>
      <c r="S89" s="36" t="s">
        <v>71</v>
      </c>
      <c r="T89" s="36" t="s">
        <v>93</v>
      </c>
      <c r="U89" s="36" t="s">
        <v>71</v>
      </c>
      <c r="V89" s="36" t="s">
        <v>71</v>
      </c>
      <c r="W89" s="36" t="s">
        <v>111</v>
      </c>
      <c r="X89" s="36" t="s">
        <v>71</v>
      </c>
      <c r="Y89" s="36" t="s">
        <v>71</v>
      </c>
      <c r="Z89" s="36" t="s">
        <v>71</v>
      </c>
      <c r="AA89" s="36" t="s">
        <v>71</v>
      </c>
      <c r="AB89" s="36" t="s">
        <v>71</v>
      </c>
      <c r="AC89" s="36" t="s">
        <v>71</v>
      </c>
      <c r="AD89" s="36" t="s">
        <v>72</v>
      </c>
      <c r="AE89" s="36" t="s">
        <v>94</v>
      </c>
      <c r="AF89" s="36" t="s">
        <v>154</v>
      </c>
      <c r="AG89" s="36" t="s">
        <v>120</v>
      </c>
      <c r="AH89" t="str">
        <f>VLOOKUP($R89,武学奇术!$A:$ZZ,25,FALSE)</f>
        <v>剑</v>
      </c>
      <c r="AI89" s="20">
        <f>VLOOKUP($R89,武学奇术!$A:$ZZ,26,FALSE)</f>
        <v>2.7205</v>
      </c>
      <c r="AJ89" s="21">
        <f>VLOOKUP($R89,武学奇术!$A:$ZZ,27,FALSE)*(1+IF(OR($AH89=$F$4,$AH89=$F$5),$B$22,0))</f>
        <v>1048.6</v>
      </c>
      <c r="AK89" s="20">
        <f>VLOOKUP($R89,武学奇术!$A:$ZZ,28,FALSE)</f>
        <v>4.0806</v>
      </c>
      <c r="AL89" s="21">
        <f>VLOOKUP($R89,武学奇术!$A:$ZZ,29,FALSE)*(1+IF(OR($AH89=$F$4,$AH89=$F$5),$B$22,0))</f>
        <v>572.6</v>
      </c>
      <c r="AM89" s="20" cm="1">
        <f t="array" ref="AM89">$G$3+IFERROR(VLOOKUP($AH89,$F$4:$G$7,2,FALSE),0)+VLOOKUP($R89,武学奇术!$A:$ZZ,2,FALSE)+SUM(_xlfn.XLOOKUP($S89:$AG89,增益!$A:$A,增益!$B:$B,0))</f>
        <v>0.6391</v>
      </c>
      <c r="AN89" s="20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1548.52</v>
      </c>
      <c r="AP89" cm="1">
        <f t="array" ref="AP89">$E$10*(1+$AN89)+VLOOKUP($R89,武学奇术!$A:$ZZ,4,FALSE)+SUM(_xlfn.XLOOKUP($S89:$AG89,增益!$A:$A,增益!$D:$D,0))-$I$2</f>
        <v>6659.56</v>
      </c>
      <c r="AQ89" s="29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0.2425</v>
      </c>
      <c r="AR89" s="29" cm="1">
        <f t="array" ref="AR89">$G$10+VLOOKUP($R89,武学奇术!$A:$ZZ,7,FALSE)+SUM(_xlfn.XLOOKUP(S89:AG89,增益!$A:$A,增益!$G:$G,0))</f>
        <v>0</v>
      </c>
      <c r="AS89" s="20" cm="1">
        <f t="array" ref="AS89">VLOOKUP($R89,武学奇术!$A:$ZZ,8,FALSE)+SUM(_xlfn.XLOOKUP(S89:AG89,增益!$A:$A,增益!$H:$H,0))</f>
        <v>0</v>
      </c>
      <c r="AT89">
        <f t="shared" si="12"/>
        <v>538</v>
      </c>
      <c r="AU89">
        <f t="shared" si="13"/>
        <v>1011</v>
      </c>
      <c r="AV89" s="29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0</v>
      </c>
      <c r="AW89" s="29" cm="1">
        <f t="array" ref="AW89">$G$11+VLOOKUP($R89,武学奇术!$A:$ZZ,10,FALSE)+SUM(_xlfn.XLOOKUP(S89:AG89,增益!$A:$A,增益!$J:$J,0))</f>
        <v>0.15</v>
      </c>
      <c r="AX89">
        <f t="shared" si="14"/>
        <v>0</v>
      </c>
      <c r="AY89">
        <f t="shared" si="15"/>
        <v>0</v>
      </c>
      <c r="AZ89" s="29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-0.3</v>
      </c>
      <c r="BA89" s="29" cm="1">
        <f t="array" ref="BA89">$G$12+VLOOKUP($R89,武学奇术!$A:$ZZ,12,FALSE)+SUM(_xlfn.XLOOKUP(S89:AG89,增益!$A:$A,增益!$L:$L,0))</f>
        <v>0</v>
      </c>
      <c r="BB89">
        <f t="shared" si="16"/>
        <v>0</v>
      </c>
      <c r="BC89">
        <f t="shared" si="17"/>
        <v>0</v>
      </c>
      <c r="BD89" s="29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-0.3</v>
      </c>
      <c r="BE89" s="29" cm="1">
        <f t="array" ref="BE89">$G$13+VLOOKUP($R89,武学奇术!$A:$ZZ,14,FALSE)+SUM(_xlfn.XLOOKUP(S89:AG89,增益!$A:$A,增益!$N:$N,0))</f>
        <v>0</v>
      </c>
      <c r="BF89">
        <f t="shared" si="18"/>
        <v>0</v>
      </c>
      <c r="BG89">
        <f t="shared" si="19"/>
        <v>0</v>
      </c>
      <c r="BH89" s="29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-0.3</v>
      </c>
      <c r="BI89" s="29" cm="1">
        <f t="array" ref="BI89">$G$14+VLOOKUP($R89,武学奇术!$A:$ZZ,16,FALSE)+SUM(_xlfn.XLOOKUP(S89:AG89,增益!$A:$A,增益!$P:$P,0))</f>
        <v>0</v>
      </c>
      <c r="BJ89" s="20">
        <f>MIN(IF(VLOOKUP($R89,武学奇术!$A:$ZZ,23,FALSE)=1,100%,$B$8),100%)</f>
        <v>0.8271</v>
      </c>
      <c r="BK89" s="20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0.2249</v>
      </c>
      <c r="BL89" s="20" cm="1">
        <f t="array" ref="BL89">1+$B$13+VLOOKUP($R89,武学奇术!$A:$ZZ,18,FALSE)+SUM(_xlfn.XLOOKUP(S89:AG89,增益!$A:$A,增益!$R:$R,0))</f>
        <v>1.5</v>
      </c>
      <c r="BM89" s="20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0.4459</v>
      </c>
      <c r="BN89" s="20" cm="1">
        <f t="array" ref="BN89">1+$B$14+VLOOKUP($R89,武学奇术!$A:$ZZ,20,FALSE)+SUM(_xlfn.XLOOKUP(S89:AG89,增益!$A:$A,增益!$T:$T,0))</f>
        <v>1.602</v>
      </c>
      <c r="BO89" s="20">
        <f t="shared" si="20"/>
        <v>0.18601479</v>
      </c>
      <c r="BP89" s="20">
        <f t="shared" si="21"/>
        <v>0.27228132</v>
      </c>
      <c r="BQ89" s="20">
        <f>IF(VLOOKUP($R89,武学奇术!$A:$ZZ,22,FALSE)=1,0,(1-$BJ89))*(1-$BM89)</f>
        <v>0.09580389</v>
      </c>
      <c r="BR89" s="20" cm="1">
        <f t="array" ref="BR89">SUM(_xlfn.XLOOKUP(S89:AG89,增益!$A:$A,增益!$W:$W,0))+$I$5</f>
        <v>0.11</v>
      </c>
    </row>
    <row r="90" spans="1:70">
      <c r="K90" s="27">
        <f>$L90*VLOOKUP($R90,武学奇术!$A:$ZZ,31,FALSE)</f>
        <v>99479.3943371952</v>
      </c>
      <c r="L90" s="27">
        <f t="shared" si="11"/>
        <v>165798.990561992</v>
      </c>
      <c r="M90" s="27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89687.4709676233</v>
      </c>
      <c r="N90" s="27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165798.990561992</v>
      </c>
      <c r="O90" s="27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59791.6473117489</v>
      </c>
      <c r="P90" s="27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26542.3347121667</v>
      </c>
      <c r="Q90" s="35">
        <v>1</v>
      </c>
      <c r="R90" s="36" t="s">
        <v>98</v>
      </c>
      <c r="S90" s="36" t="s">
        <v>71</v>
      </c>
      <c r="T90" s="36" t="s">
        <v>99</v>
      </c>
      <c r="U90" s="36" t="s">
        <v>100</v>
      </c>
      <c r="V90" s="36" t="s">
        <v>101</v>
      </c>
      <c r="W90" s="36" t="s">
        <v>111</v>
      </c>
      <c r="X90" s="36" t="s">
        <v>71</v>
      </c>
      <c r="Y90" s="36" t="s">
        <v>71</v>
      </c>
      <c r="Z90" s="36" t="s">
        <v>71</v>
      </c>
      <c r="AA90" s="36" t="s">
        <v>71</v>
      </c>
      <c r="AB90" s="36" t="s">
        <v>71</v>
      </c>
      <c r="AC90" s="36" t="s">
        <v>71</v>
      </c>
      <c r="AD90" s="36" t="s">
        <v>72</v>
      </c>
      <c r="AE90" s="36" t="s">
        <v>94</v>
      </c>
      <c r="AF90" s="36" t="s">
        <v>154</v>
      </c>
      <c r="AG90" s="36" t="s">
        <v>120</v>
      </c>
      <c r="AH90" t="str">
        <f>VLOOKUP($R90,武学奇术!$A:$ZZ,25,FALSE)</f>
        <v>剑</v>
      </c>
      <c r="AI90" s="20">
        <f>VLOOKUP($R90,武学奇术!$A:$ZZ,26,FALSE)</f>
        <v>2.496</v>
      </c>
      <c r="AJ90" s="21">
        <f>VLOOKUP($R90,武学奇术!$A:$ZZ,27,FALSE)*(1+IF(OR($AH90=$F$4,$AH90=$F$5),$B$22,0))</f>
        <v>0</v>
      </c>
      <c r="AK90" s="20">
        <f>VLOOKUP($R90,武学奇术!$A:$ZZ,28,FALSE)</f>
        <v>3.744</v>
      </c>
      <c r="AL90" s="21">
        <f>VLOOKUP($R90,武学奇术!$A:$ZZ,29,FALSE)*(1+IF(OR($AH90=$F$4,$AH90=$F$5),$B$22,0))</f>
        <v>0</v>
      </c>
      <c r="AM90" s="20" cm="1">
        <f t="array" ref="AM90">$G$3+IFERROR(VLOOKUP($AH90,$F$4:$G$7,2,FALSE),0)+VLOOKUP($R90,武学奇术!$A:$ZZ,2,FALSE)+SUM(_xlfn.XLOOKUP($S90:$AG90,增益!$A:$A,增益!$B:$B,0))</f>
        <v>1.3891</v>
      </c>
      <c r="AN90" s="20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1548.52</v>
      </c>
      <c r="AP90" cm="1">
        <f t="array" ref="AP90">$E$10*(1+$AN90)+VLOOKUP($R90,武学奇术!$A:$ZZ,4,FALSE)+SUM(_xlfn.XLOOKUP($S90:$AG90,增益!$A:$A,增益!$D:$D,0))-$I$2</f>
        <v>6659.56</v>
      </c>
      <c r="AQ90" s="29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0.3175</v>
      </c>
      <c r="AR90" s="29" cm="1">
        <f t="array" ref="AR90">$G$10+VLOOKUP($R90,武学奇术!$A:$ZZ,7,FALSE)+SUM(_xlfn.XLOOKUP(S90:AG90,增益!$A:$A,增益!$G:$G,0))</f>
        <v>0</v>
      </c>
      <c r="AS90" s="20" cm="1">
        <f t="array" ref="AS90">VLOOKUP($R90,武学奇术!$A:$ZZ,8,FALSE)+SUM(_xlfn.XLOOKUP(S90:AG90,增益!$A:$A,增益!$H:$H,0))</f>
        <v>0</v>
      </c>
      <c r="AT90">
        <f t="shared" si="12"/>
        <v>538</v>
      </c>
      <c r="AU90">
        <f t="shared" si="13"/>
        <v>1011</v>
      </c>
      <c r="AV90" s="29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0.075</v>
      </c>
      <c r="AW90" s="29" cm="1">
        <f t="array" ref="AW90">$G$11+VLOOKUP($R90,武学奇术!$A:$ZZ,10,FALSE)+SUM(_xlfn.XLOOKUP(S90:AG90,增益!$A:$A,增益!$J:$J,0))</f>
        <v>0.15</v>
      </c>
      <c r="AX90">
        <f t="shared" si="14"/>
        <v>0</v>
      </c>
      <c r="AY90">
        <f t="shared" si="15"/>
        <v>0</v>
      </c>
      <c r="AZ90" s="29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-0.3</v>
      </c>
      <c r="BA90" s="29" cm="1">
        <f t="array" ref="BA90">$G$12+VLOOKUP($R90,武学奇术!$A:$ZZ,12,FALSE)+SUM(_xlfn.XLOOKUP(S90:AG90,增益!$A:$A,增益!$L:$L,0))</f>
        <v>0</v>
      </c>
      <c r="BB90">
        <f t="shared" si="16"/>
        <v>0</v>
      </c>
      <c r="BC90">
        <f t="shared" si="17"/>
        <v>0</v>
      </c>
      <c r="BD90" s="29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-0.3</v>
      </c>
      <c r="BE90" s="29" cm="1">
        <f t="array" ref="BE90">$G$13+VLOOKUP($R90,武学奇术!$A:$ZZ,14,FALSE)+SUM(_xlfn.XLOOKUP(S90:AG90,增益!$A:$A,增益!$N:$N,0))</f>
        <v>0</v>
      </c>
      <c r="BF90">
        <f t="shared" si="18"/>
        <v>0</v>
      </c>
      <c r="BG90">
        <f t="shared" si="19"/>
        <v>0</v>
      </c>
      <c r="BH90" s="29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-0.3</v>
      </c>
      <c r="BI90" s="29" cm="1">
        <f t="array" ref="BI90">$G$14+VLOOKUP($R90,武学奇术!$A:$ZZ,16,FALSE)+SUM(_xlfn.XLOOKUP(S90:AG90,增益!$A:$A,增益!$P:$P,0))</f>
        <v>0</v>
      </c>
      <c r="BJ90" s="20">
        <f>MIN(IF(VLOOKUP($R90,武学奇术!$A:$ZZ,23,FALSE)=1,100%,$B$8),100%)</f>
        <v>0.8271</v>
      </c>
      <c r="BK90" s="20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</v>
      </c>
      <c r="BL90" s="20" cm="1">
        <f t="array" ref="BL90">1+$B$13+VLOOKUP($R90,武学奇术!$A:$ZZ,18,FALSE)+SUM(_xlfn.XLOOKUP(S90:AG90,增益!$A:$A,增益!$R:$R,0))</f>
        <v>1.5</v>
      </c>
      <c r="BM90" s="20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1</v>
      </c>
      <c r="BN90" s="20" cm="1">
        <f t="array" ref="BN90">1+$B$14+VLOOKUP($R90,武学奇术!$A:$ZZ,20,FALSE)+SUM(_xlfn.XLOOKUP(S90:AG90,增益!$A:$A,增益!$T:$T,0))</f>
        <v>1.782</v>
      </c>
      <c r="BO90" s="20">
        <f t="shared" si="20"/>
        <v>0</v>
      </c>
      <c r="BP90" s="20">
        <f t="shared" si="21"/>
        <v>0</v>
      </c>
      <c r="BQ90" s="20">
        <f>IF(VLOOKUP($R90,武学奇术!$A:$ZZ,22,FALSE)=1,0,(1-$BJ90))*(1-$BM90)</f>
        <v>0</v>
      </c>
      <c r="BR90" s="20" cm="1">
        <f t="array" ref="BR90">SUM(_xlfn.XLOOKUP(S90:AG90,增益!$A:$A,增益!$W:$W,0))+$I$5</f>
        <v>0.11</v>
      </c>
    </row>
    <row r="91" spans="1:70">
      <c r="K91" s="27">
        <f>$L91*VLOOKUP($R91,武学奇术!$A:$ZZ,31,FALSE)</f>
        <v>15810.2859952662</v>
      </c>
      <c r="L91" s="27">
        <f t="shared" si="11"/>
        <v>15810.2859952662</v>
      </c>
      <c r="M91" s="27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13902.5053221931</v>
      </c>
      <c r="N91" s="27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23115.2443232833</v>
      </c>
      <c r="O91" s="27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9268.33688146208</v>
      </c>
      <c r="P91" s="27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4107.6823002005</v>
      </c>
      <c r="Q91" s="35">
        <v>1</v>
      </c>
      <c r="R91" s="36" t="s">
        <v>155</v>
      </c>
      <c r="S91" s="36" t="s">
        <v>71</v>
      </c>
      <c r="T91" s="36" t="s">
        <v>93</v>
      </c>
      <c r="U91" s="36" t="s">
        <v>71</v>
      </c>
      <c r="V91" s="36" t="s">
        <v>71</v>
      </c>
      <c r="W91" s="36" t="s">
        <v>111</v>
      </c>
      <c r="X91" s="36" t="s">
        <v>71</v>
      </c>
      <c r="Y91" s="36" t="s">
        <v>71</v>
      </c>
      <c r="Z91" s="36" t="s">
        <v>71</v>
      </c>
      <c r="AA91" s="36" t="s">
        <v>71</v>
      </c>
      <c r="AB91" s="36" t="s">
        <v>71</v>
      </c>
      <c r="AC91" s="36" t="s">
        <v>71</v>
      </c>
      <c r="AD91" s="36" t="s">
        <v>72</v>
      </c>
      <c r="AE91" s="36" t="s">
        <v>94</v>
      </c>
      <c r="AF91" s="36" t="s">
        <v>154</v>
      </c>
      <c r="AG91" s="36" t="s">
        <v>120</v>
      </c>
      <c r="AH91" t="str">
        <f>VLOOKUP($R91,武学奇术!$A:$ZZ,25,FALSE)</f>
        <v>剑</v>
      </c>
      <c r="AI91" s="20">
        <f>VLOOKUP($R91,武学奇术!$A:$ZZ,26,FALSE)</f>
        <v>0.7916</v>
      </c>
      <c r="AJ91" s="21">
        <f>VLOOKUP($R91,武学奇术!$A:$ZZ,27,FALSE)*(1+IF(OR($AH91=$F$4,$AH91=$F$5),$B$22,0))</f>
        <v>0</v>
      </c>
      <c r="AK91" s="20">
        <f>VLOOKUP($R91,武学奇术!$A:$ZZ,28,FALSE)</f>
        <v>1.1874</v>
      </c>
      <c r="AL91" s="21">
        <f>VLOOKUP($R91,武学奇术!$A:$ZZ,29,FALSE)*(1+IF(OR($AH91=$F$4,$AH91=$F$5),$B$22,0))</f>
        <v>0</v>
      </c>
      <c r="AM91" s="20" cm="1">
        <f t="array" ref="AM91">$G$3+IFERROR(VLOOKUP($AH91,$F$4:$G$7,2,FALSE),0)+VLOOKUP($R91,武学奇术!$A:$ZZ,2,FALSE)+SUM(_xlfn.XLOOKUP($S91:$AG91,增益!$A:$A,增益!$B:$B,0))</f>
        <v>0.6391</v>
      </c>
      <c r="AN91" s="20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1548.52</v>
      </c>
      <c r="AP91" cm="1">
        <f t="array" ref="AP91">$E$10*(1+$AN91)+VLOOKUP($R91,武学奇术!$A:$ZZ,4,FALSE)+SUM(_xlfn.XLOOKUP($S91:$AG91,增益!$A:$A,增益!$D:$D,0))-$I$2</f>
        <v>6659.56</v>
      </c>
      <c r="AQ91" s="29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0.2425</v>
      </c>
      <c r="AR91" s="29" cm="1">
        <f t="array" ref="AR91">$G$10+VLOOKUP($R91,武学奇术!$A:$ZZ,7,FALSE)+SUM(_xlfn.XLOOKUP(S91:AG91,增益!$A:$A,增益!$G:$G,0))</f>
        <v>0</v>
      </c>
      <c r="AS91" s="20" cm="1">
        <f t="array" ref="AS91">VLOOKUP($R91,武学奇术!$A:$ZZ,8,FALSE)+SUM(_xlfn.XLOOKUP(S91:AG91,增益!$A:$A,增益!$H:$H,0))</f>
        <v>0</v>
      </c>
      <c r="AT91">
        <f t="shared" si="12"/>
        <v>538</v>
      </c>
      <c r="AU91">
        <f t="shared" si="13"/>
        <v>1011</v>
      </c>
      <c r="AV91" s="29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</v>
      </c>
      <c r="AW91" s="29" cm="1">
        <f t="array" ref="AW91">$G$11+VLOOKUP($R91,武学奇术!$A:$ZZ,10,FALSE)+SUM(_xlfn.XLOOKUP(S91:AG91,增益!$A:$A,增益!$J:$J,0))</f>
        <v>0.15</v>
      </c>
      <c r="AX91">
        <f t="shared" si="14"/>
        <v>0</v>
      </c>
      <c r="AY91">
        <f t="shared" si="15"/>
        <v>0</v>
      </c>
      <c r="AZ91" s="29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-0.3</v>
      </c>
      <c r="BA91" s="29" cm="1">
        <f t="array" ref="BA91">$G$12+VLOOKUP($R91,武学奇术!$A:$ZZ,12,FALSE)+SUM(_xlfn.XLOOKUP(S91:AG91,增益!$A:$A,增益!$L:$L,0))</f>
        <v>0</v>
      </c>
      <c r="BB91">
        <f t="shared" si="16"/>
        <v>0</v>
      </c>
      <c r="BC91">
        <f t="shared" si="17"/>
        <v>0</v>
      </c>
      <c r="BD91" s="29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-0.3</v>
      </c>
      <c r="BE91" s="29" cm="1">
        <f t="array" ref="BE91">$G$13+VLOOKUP($R91,武学奇术!$A:$ZZ,14,FALSE)+SUM(_xlfn.XLOOKUP(S91:AG91,增益!$A:$A,增益!$N:$N,0))</f>
        <v>0</v>
      </c>
      <c r="BF91">
        <f t="shared" si="18"/>
        <v>0</v>
      </c>
      <c r="BG91">
        <f t="shared" si="19"/>
        <v>0</v>
      </c>
      <c r="BH91" s="29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-0.3</v>
      </c>
      <c r="BI91" s="29" cm="1">
        <f t="array" ref="BI91">$G$14+VLOOKUP($R91,武学奇术!$A:$ZZ,16,FALSE)+SUM(_xlfn.XLOOKUP(S91:AG91,增益!$A:$A,增益!$P:$P,0))</f>
        <v>0</v>
      </c>
      <c r="BJ91" s="20">
        <f>MIN(IF(VLOOKUP($R91,武学奇术!$A:$ZZ,23,FALSE)=1,100%,$B$8),100%)</f>
        <v>0.8271</v>
      </c>
      <c r="BK91" s="20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0.2249</v>
      </c>
      <c r="BL91" s="20" cm="1">
        <f t="array" ref="BL91">1+$B$13+VLOOKUP($R91,武学奇术!$A:$ZZ,18,FALSE)+SUM(_xlfn.XLOOKUP(S91:AG91,增益!$A:$A,增益!$R:$R,0))</f>
        <v>1.5</v>
      </c>
      <c r="BM91" s="20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0.4459</v>
      </c>
      <c r="BN91" s="20" cm="1">
        <f t="array" ref="BN91">1+$B$14+VLOOKUP($R91,武学奇术!$A:$ZZ,20,FALSE)+SUM(_xlfn.XLOOKUP(S91:AG91,增益!$A:$A,增益!$T:$T,0))</f>
        <v>1.602</v>
      </c>
      <c r="BO91" s="20">
        <f t="shared" si="20"/>
        <v>0.18601479</v>
      </c>
      <c r="BP91" s="20">
        <f t="shared" si="21"/>
        <v>0.27228132</v>
      </c>
      <c r="BQ91" s="20">
        <f>IF(VLOOKUP($R91,武学奇术!$A:$ZZ,22,FALSE)=1,0,(1-$BJ91))*(1-$BM91)</f>
        <v>0.09580389</v>
      </c>
      <c r="BR91" s="20" cm="1">
        <f t="array" ref="BR91">SUM(_xlfn.XLOOKUP(S91:AG91,增益!$A:$A,增益!$W:$W,0))+$I$5</f>
        <v>0.11</v>
      </c>
    </row>
    <row r="92" spans="1:70">
      <c r="K92" s="27">
        <f>$L92*VLOOKUP($R92,武学奇术!$A:$ZZ,31,FALSE)</f>
        <v>25993.2692862864</v>
      </c>
      <c r="L92" s="27">
        <f t="shared" si="11"/>
        <v>25993.2692862864</v>
      </c>
      <c r="M92" s="27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23404.7266871756</v>
      </c>
      <c r="N92" s="27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37300.2126922078</v>
      </c>
      <c r="O92" s="27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15603.1511247837</v>
      </c>
      <c r="P92" s="27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7922.77372759012</v>
      </c>
      <c r="Q92" s="35">
        <v>1</v>
      </c>
      <c r="R92" s="36" t="s">
        <v>92</v>
      </c>
      <c r="S92" s="36" t="s">
        <v>71</v>
      </c>
      <c r="T92" s="36" t="s">
        <v>93</v>
      </c>
      <c r="U92" s="36" t="s">
        <v>71</v>
      </c>
      <c r="V92" s="36" t="s">
        <v>71</v>
      </c>
      <c r="W92" s="36" t="s">
        <v>111</v>
      </c>
      <c r="X92" s="36" t="s">
        <v>71</v>
      </c>
      <c r="Y92" s="36" t="s">
        <v>71</v>
      </c>
      <c r="Z92" s="36" t="s">
        <v>71</v>
      </c>
      <c r="AA92" s="36" t="s">
        <v>71</v>
      </c>
      <c r="AB92" s="36" t="s">
        <v>71</v>
      </c>
      <c r="AC92" s="36" t="s">
        <v>71</v>
      </c>
      <c r="AD92" s="36" t="s">
        <v>72</v>
      </c>
      <c r="AE92" s="36" t="s">
        <v>94</v>
      </c>
      <c r="AF92" s="36" t="s">
        <v>154</v>
      </c>
      <c r="AG92" s="36" t="s">
        <v>120</v>
      </c>
      <c r="AH92" t="str">
        <f>VLOOKUP($R92,武学奇术!$A:$ZZ,25,FALSE)</f>
        <v>剑</v>
      </c>
      <c r="AI92" s="20">
        <f>VLOOKUP($R92,武学奇术!$A:$ZZ,26,FALSE)</f>
        <v>1.1781</v>
      </c>
      <c r="AJ92" s="21">
        <f>VLOOKUP($R92,武学奇术!$A:$ZZ,27,FALSE)*(1+IF(OR($AH92=$F$4,$AH92=$F$5),$B$22,0))</f>
        <v>456.4</v>
      </c>
      <c r="AK92" s="20">
        <f>VLOOKUP($R92,武学奇术!$A:$ZZ,28,FALSE)</f>
        <v>1.7672</v>
      </c>
      <c r="AL92" s="21">
        <f>VLOOKUP($R92,武学奇术!$A:$ZZ,29,FALSE)*(1+IF(OR($AH92=$F$4,$AH92=$F$5),$B$22,0))</f>
        <v>247.8</v>
      </c>
      <c r="AM92" s="20" cm="1">
        <f t="array" ref="AM92">$G$3+IFERROR(VLOOKUP($AH92,$F$4:$G$7,2,FALSE),0)+VLOOKUP($R92,武学奇术!$A:$ZZ,2,FALSE)+SUM(_xlfn.XLOOKUP($S92:$AG92,增益!$A:$A,增益!$B:$B,0))</f>
        <v>0.6391</v>
      </c>
      <c r="AN92" s="20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1548.52</v>
      </c>
      <c r="AP92" cm="1">
        <f t="array" ref="AP92">$E$10*(1+$AN92)+VLOOKUP($R92,武学奇术!$A:$ZZ,4,FALSE)+SUM(_xlfn.XLOOKUP($S92:$AG92,增益!$A:$A,增益!$D:$D,0))-$I$2</f>
        <v>6659.56</v>
      </c>
      <c r="AQ92" s="29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0.2425</v>
      </c>
      <c r="AR92" s="29" cm="1">
        <f t="array" ref="AR92">$G$10+VLOOKUP($R92,武学奇术!$A:$ZZ,7,FALSE)+SUM(_xlfn.XLOOKUP(S92:AG92,增益!$A:$A,增益!$G:$G,0))</f>
        <v>0</v>
      </c>
      <c r="AS92" s="20" cm="1">
        <f t="array" ref="AS92">VLOOKUP($R92,武学奇术!$A:$ZZ,8,FALSE)+SUM(_xlfn.XLOOKUP(S92:AG92,增益!$A:$A,增益!$H:$H,0))</f>
        <v>0</v>
      </c>
      <c r="AT92">
        <f t="shared" si="12"/>
        <v>538</v>
      </c>
      <c r="AU92">
        <f t="shared" si="13"/>
        <v>1011</v>
      </c>
      <c r="AV92" s="29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0</v>
      </c>
      <c r="AW92" s="29" cm="1">
        <f t="array" ref="AW92">$G$11+VLOOKUP($R92,武学奇术!$A:$ZZ,10,FALSE)+SUM(_xlfn.XLOOKUP(S92:AG92,增益!$A:$A,增益!$J:$J,0))</f>
        <v>0.15</v>
      </c>
      <c r="AX92">
        <f t="shared" si="14"/>
        <v>0</v>
      </c>
      <c r="AY92">
        <f t="shared" si="15"/>
        <v>0</v>
      </c>
      <c r="AZ92" s="29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-0.3</v>
      </c>
      <c r="BA92" s="29" cm="1">
        <f t="array" ref="BA92">$G$12+VLOOKUP($R92,武学奇术!$A:$ZZ,12,FALSE)+SUM(_xlfn.XLOOKUP(S92:AG92,增益!$A:$A,增益!$L:$L,0))</f>
        <v>0</v>
      </c>
      <c r="BB92">
        <f t="shared" si="16"/>
        <v>0</v>
      </c>
      <c r="BC92">
        <f t="shared" si="17"/>
        <v>0</v>
      </c>
      <c r="BD92" s="29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-0.3</v>
      </c>
      <c r="BE92" s="29" cm="1">
        <f t="array" ref="BE92">$G$13+VLOOKUP($R92,武学奇术!$A:$ZZ,14,FALSE)+SUM(_xlfn.XLOOKUP(S92:AG92,增益!$A:$A,增益!$N:$N,0))</f>
        <v>0</v>
      </c>
      <c r="BF92">
        <f t="shared" si="18"/>
        <v>0</v>
      </c>
      <c r="BG92">
        <f t="shared" si="19"/>
        <v>0</v>
      </c>
      <c r="BH92" s="29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-0.3</v>
      </c>
      <c r="BI92" s="29" cm="1">
        <f t="array" ref="BI92">$G$14+VLOOKUP($R92,武学奇术!$A:$ZZ,16,FALSE)+SUM(_xlfn.XLOOKUP(S92:AG92,增益!$A:$A,增益!$P:$P,0))</f>
        <v>0</v>
      </c>
      <c r="BJ92" s="20">
        <f>MIN(IF(VLOOKUP($R92,武学奇术!$A:$ZZ,23,FALSE)=1,100%,$B$8),100%)</f>
        <v>0.8271</v>
      </c>
      <c r="BK92" s="20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0.2249</v>
      </c>
      <c r="BL92" s="20" cm="1">
        <f t="array" ref="BL92">1+$B$13+VLOOKUP($R92,武学奇术!$A:$ZZ,18,FALSE)+SUM(_xlfn.XLOOKUP(S92:AG92,增益!$A:$A,增益!$R:$R,0))</f>
        <v>1.5</v>
      </c>
      <c r="BM92" s="20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0.4459</v>
      </c>
      <c r="BN92" s="20" cm="1">
        <f t="array" ref="BN92">1+$B$14+VLOOKUP($R92,武学奇术!$A:$ZZ,20,FALSE)+SUM(_xlfn.XLOOKUP(S92:AG92,增益!$A:$A,增益!$T:$T,0))</f>
        <v>1.602</v>
      </c>
      <c r="BO92" s="20">
        <f t="shared" si="20"/>
        <v>0.18601479</v>
      </c>
      <c r="BP92" s="20">
        <f t="shared" si="21"/>
        <v>0.27228132</v>
      </c>
      <c r="BQ92" s="20">
        <f>IF(VLOOKUP($R92,武学奇术!$A:$ZZ,22,FALSE)=1,0,(1-$BJ92))*(1-$BM92)</f>
        <v>0.09580389</v>
      </c>
      <c r="BR92" s="20" cm="1">
        <f t="array" ref="BR92">SUM(_xlfn.XLOOKUP(S92:AG92,增益!$A:$A,增益!$W:$W,0))+$I$5</f>
        <v>0.11</v>
      </c>
    </row>
    <row r="93" spans="1:70">
      <c r="K93" s="27">
        <f>$L93*VLOOKUP($R93,武学奇术!$A:$ZZ,31,FALSE)</f>
        <v>65661.5841236345</v>
      </c>
      <c r="L93" s="27">
        <f t="shared" si="11"/>
        <v>109435.973539391</v>
      </c>
      <c r="M93" s="27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89687.4709676233</v>
      </c>
      <c r="N93" s="27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165798.990561992</v>
      </c>
      <c r="O93" s="27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59791.6473117489</v>
      </c>
      <c r="P93" s="27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26542.3347121667</v>
      </c>
      <c r="Q93" s="35">
        <v>1</v>
      </c>
      <c r="R93" s="36" t="s">
        <v>105</v>
      </c>
      <c r="S93" s="36" t="s">
        <v>71</v>
      </c>
      <c r="T93" s="36" t="s">
        <v>99</v>
      </c>
      <c r="U93" s="36" t="s">
        <v>100</v>
      </c>
      <c r="V93" s="36" t="s">
        <v>101</v>
      </c>
      <c r="W93" s="36" t="s">
        <v>111</v>
      </c>
      <c r="X93" s="36" t="s">
        <v>71</v>
      </c>
      <c r="Y93" s="36" t="s">
        <v>71</v>
      </c>
      <c r="Z93" s="36" t="s">
        <v>71</v>
      </c>
      <c r="AA93" s="36" t="s">
        <v>71</v>
      </c>
      <c r="AB93" s="36" t="s">
        <v>71</v>
      </c>
      <c r="AC93" s="36" t="s">
        <v>71</v>
      </c>
      <c r="AD93" s="36" t="s">
        <v>72</v>
      </c>
      <c r="AE93" s="36" t="s">
        <v>94</v>
      </c>
      <c r="AF93" s="36" t="s">
        <v>154</v>
      </c>
      <c r="AG93" s="36" t="s">
        <v>120</v>
      </c>
      <c r="AH93" t="str">
        <f>VLOOKUP($R93,武学奇术!$A:$ZZ,25,FALSE)</f>
        <v>剑</v>
      </c>
      <c r="AI93" s="20">
        <f>VLOOKUP($R93,武学奇术!$A:$ZZ,26,FALSE)</f>
        <v>2.496</v>
      </c>
      <c r="AJ93" s="21">
        <f>VLOOKUP($R93,武学奇术!$A:$ZZ,27,FALSE)*(1+IF(OR($AH93=$F$4,$AH93=$F$5),$B$22,0))</f>
        <v>0</v>
      </c>
      <c r="AK93" s="20">
        <f>VLOOKUP($R93,武学奇术!$A:$ZZ,28,FALSE)</f>
        <v>3.744</v>
      </c>
      <c r="AL93" s="21">
        <f>VLOOKUP($R93,武学奇术!$A:$ZZ,29,FALSE)*(1+IF(OR($AH93=$F$4,$AH93=$F$5),$B$22,0))</f>
        <v>0</v>
      </c>
      <c r="AM93" s="20" cm="1">
        <f t="array" ref="AM93">$G$3+IFERROR(VLOOKUP($AH93,$F$4:$G$7,2,FALSE),0)+VLOOKUP($R93,武学奇术!$A:$ZZ,2,FALSE)+SUM(_xlfn.XLOOKUP($S93:$AG93,增益!$A:$A,增益!$B:$B,0))</f>
        <v>1.3891</v>
      </c>
      <c r="AN93" s="20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1548.52</v>
      </c>
      <c r="AP93" cm="1">
        <f t="array" ref="AP93">$E$10*(1+$AN93)+VLOOKUP($R93,武学奇术!$A:$ZZ,4,FALSE)+SUM(_xlfn.XLOOKUP($S93:$AG93,增益!$A:$A,增益!$D:$D,0))-$I$2</f>
        <v>6659.56</v>
      </c>
      <c r="AQ93" s="29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0.3175</v>
      </c>
      <c r="AR93" s="29" cm="1">
        <f t="array" ref="AR93">$G$10+VLOOKUP($R93,武学奇术!$A:$ZZ,7,FALSE)+SUM(_xlfn.XLOOKUP(S93:AG93,增益!$A:$A,增益!$G:$G,0))</f>
        <v>0</v>
      </c>
      <c r="AS93" s="20" cm="1">
        <f t="array" ref="AS93">VLOOKUP($R93,武学奇术!$A:$ZZ,8,FALSE)+SUM(_xlfn.XLOOKUP(S93:AG93,增益!$A:$A,增益!$H:$H,0))</f>
        <v>0</v>
      </c>
      <c r="AT93">
        <f t="shared" si="12"/>
        <v>538</v>
      </c>
      <c r="AU93">
        <f t="shared" si="13"/>
        <v>1011</v>
      </c>
      <c r="AV93" s="29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0.075</v>
      </c>
      <c r="AW93" s="29" cm="1">
        <f t="array" ref="AW93">$G$11+VLOOKUP($R93,武学奇术!$A:$ZZ,10,FALSE)+SUM(_xlfn.XLOOKUP(S93:AG93,增益!$A:$A,增益!$J:$J,0))</f>
        <v>0.15</v>
      </c>
      <c r="AX93">
        <f t="shared" si="14"/>
        <v>0</v>
      </c>
      <c r="AY93">
        <f t="shared" si="15"/>
        <v>0</v>
      </c>
      <c r="AZ93" s="29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-0.3</v>
      </c>
      <c r="BA93" s="29" cm="1">
        <f t="array" ref="BA93">$G$12+VLOOKUP($R93,武学奇术!$A:$ZZ,12,FALSE)+SUM(_xlfn.XLOOKUP(S93:AG93,增益!$A:$A,增益!$L:$L,0))</f>
        <v>0</v>
      </c>
      <c r="BB93">
        <f t="shared" si="16"/>
        <v>0</v>
      </c>
      <c r="BC93">
        <f t="shared" si="17"/>
        <v>0</v>
      </c>
      <c r="BD93" s="29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-0.3</v>
      </c>
      <c r="BE93" s="29" cm="1">
        <f t="array" ref="BE93">$G$13+VLOOKUP($R93,武学奇术!$A:$ZZ,14,FALSE)+SUM(_xlfn.XLOOKUP(S93:AG93,增益!$A:$A,增益!$N:$N,0))</f>
        <v>0</v>
      </c>
      <c r="BF93">
        <f t="shared" si="18"/>
        <v>0</v>
      </c>
      <c r="BG93">
        <f t="shared" si="19"/>
        <v>0</v>
      </c>
      <c r="BH93" s="29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-0.3</v>
      </c>
      <c r="BI93" s="29" cm="1">
        <f t="array" ref="BI93">$G$14+VLOOKUP($R93,武学奇术!$A:$ZZ,16,FALSE)+SUM(_xlfn.XLOOKUP(S93:AG93,增益!$A:$A,增益!$P:$P,0))</f>
        <v>0</v>
      </c>
      <c r="BJ93" s="20">
        <f>MIN(IF(VLOOKUP($R93,武学奇术!$A:$ZZ,23,FALSE)=1,100%,$B$8),100%)</f>
        <v>0.8271</v>
      </c>
      <c r="BK93" s="20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0.2249</v>
      </c>
      <c r="BL93" s="20" cm="1">
        <f t="array" ref="BL93">1+$B$13+VLOOKUP($R93,武学奇术!$A:$ZZ,18,FALSE)+SUM(_xlfn.XLOOKUP(S93:AG93,增益!$A:$A,增益!$R:$R,0))</f>
        <v>1.5</v>
      </c>
      <c r="BM93" s="20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0.4459</v>
      </c>
      <c r="BN93" s="20" cm="1">
        <f t="array" ref="BN93">1+$B$14+VLOOKUP($R93,武学奇术!$A:$ZZ,20,FALSE)+SUM(_xlfn.XLOOKUP(S93:AG93,增益!$A:$A,增益!$T:$T,0))</f>
        <v>1.782</v>
      </c>
      <c r="BO93" s="20">
        <f t="shared" si="20"/>
        <v>0.18601479</v>
      </c>
      <c r="BP93" s="20">
        <f t="shared" si="21"/>
        <v>0.27228132</v>
      </c>
      <c r="BQ93" s="20">
        <f>IF(VLOOKUP($R93,武学奇术!$A:$ZZ,22,FALSE)=1,0,(1-$BJ93))*(1-$BM93)</f>
        <v>0.09580389</v>
      </c>
      <c r="BR93" s="20" cm="1">
        <f t="array" ref="BR93">SUM(_xlfn.XLOOKUP(S93:AG93,增益!$A:$A,增益!$W:$W,0))+$I$5</f>
        <v>0.11</v>
      </c>
    </row>
    <row r="94" spans="1:70">
      <c r="K94" s="27">
        <f>$L94*VLOOKUP($R94,武学奇术!$A:$ZZ,31,FALSE)</f>
        <v>12482.8559209719</v>
      </c>
      <c r="L94" s="27">
        <f t="shared" si="11"/>
        <v>12482.8559209719</v>
      </c>
      <c r="M94" s="27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10976.5864405896</v>
      </c>
      <c r="N94" s="27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18250.4139742952</v>
      </c>
      <c r="O94" s="27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7317.72429372638</v>
      </c>
      <c r="P94" s="27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3243.18018901631</v>
      </c>
      <c r="Q94" s="35">
        <v>1</v>
      </c>
      <c r="R94" s="36" t="s">
        <v>107</v>
      </c>
      <c r="S94" s="36" t="s">
        <v>71</v>
      </c>
      <c r="T94" s="36" t="s">
        <v>93</v>
      </c>
      <c r="U94" s="36" t="s">
        <v>71</v>
      </c>
      <c r="V94" s="36" t="s">
        <v>71</v>
      </c>
      <c r="W94" s="36" t="s">
        <v>111</v>
      </c>
      <c r="X94" s="36" t="s">
        <v>71</v>
      </c>
      <c r="Y94" s="36" t="s">
        <v>71</v>
      </c>
      <c r="Z94" s="36" t="s">
        <v>71</v>
      </c>
      <c r="AA94" s="36" t="s">
        <v>71</v>
      </c>
      <c r="AB94" s="36" t="s">
        <v>71</v>
      </c>
      <c r="AC94" s="36" t="s">
        <v>71</v>
      </c>
      <c r="AD94" s="36" t="s">
        <v>72</v>
      </c>
      <c r="AE94" s="36" t="s">
        <v>94</v>
      </c>
      <c r="AF94" s="36" t="s">
        <v>154</v>
      </c>
      <c r="AG94" s="36" t="s">
        <v>120</v>
      </c>
      <c r="AH94" t="str">
        <f>VLOOKUP($R94,武学奇术!$A:$ZZ,25,FALSE)</f>
        <v>剑</v>
      </c>
      <c r="AI94" s="20">
        <f>VLOOKUP($R94,武学奇术!$A:$ZZ,26,FALSE)</f>
        <v>0.625</v>
      </c>
      <c r="AJ94" s="21">
        <f>VLOOKUP($R94,武学奇术!$A:$ZZ,27,FALSE)*(1+IF(OR($AH94=$F$4,$AH94=$F$5),$B$22,0))</f>
        <v>0</v>
      </c>
      <c r="AK94" s="20">
        <f>VLOOKUP($R94,武学奇术!$A:$ZZ,28,FALSE)</f>
        <v>0.9375</v>
      </c>
      <c r="AL94" s="21">
        <f>VLOOKUP($R94,武学奇术!$A:$ZZ,29,FALSE)*(1+IF(OR($AH94=$F$4,$AH94=$F$5),$B$22,0))</f>
        <v>0</v>
      </c>
      <c r="AM94" s="20" cm="1">
        <f t="array" ref="AM94">$G$3+IFERROR(VLOOKUP($AH94,$F$4:$G$7,2,FALSE),0)+VLOOKUP($R94,武学奇术!$A:$ZZ,2,FALSE)+SUM(_xlfn.XLOOKUP($S94:$AG94,增益!$A:$A,增益!$B:$B,0))</f>
        <v>0.6391</v>
      </c>
      <c r="AN94" s="20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1548.52</v>
      </c>
      <c r="AP94" cm="1">
        <f t="array" ref="AP94">$E$10*(1+$AN94)+VLOOKUP($R94,武学奇术!$A:$ZZ,4,FALSE)+SUM(_xlfn.XLOOKUP($S94:$AG94,增益!$A:$A,增益!$D:$D,0))-$I$2</f>
        <v>6659.56</v>
      </c>
      <c r="AQ94" s="29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0.2425</v>
      </c>
      <c r="AR94" s="29" cm="1">
        <f t="array" ref="AR94">$G$10+VLOOKUP($R94,武学奇术!$A:$ZZ,7,FALSE)+SUM(_xlfn.XLOOKUP(S94:AG94,增益!$A:$A,增益!$G:$G,0))</f>
        <v>0</v>
      </c>
      <c r="AS94" s="20" cm="1">
        <f t="array" ref="AS94">VLOOKUP($R94,武学奇术!$A:$ZZ,8,FALSE)+SUM(_xlfn.XLOOKUP(S94:AG94,增益!$A:$A,增益!$H:$H,0))</f>
        <v>0</v>
      </c>
      <c r="AT94">
        <f t="shared" si="12"/>
        <v>538</v>
      </c>
      <c r="AU94">
        <f t="shared" si="13"/>
        <v>1011</v>
      </c>
      <c r="AV94" s="29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</v>
      </c>
      <c r="AW94" s="29" cm="1">
        <f t="array" ref="AW94">$G$11+VLOOKUP($R94,武学奇术!$A:$ZZ,10,FALSE)+SUM(_xlfn.XLOOKUP(S94:AG94,增益!$A:$A,增益!$J:$J,0))</f>
        <v>0.15</v>
      </c>
      <c r="AX94">
        <f t="shared" si="14"/>
        <v>0</v>
      </c>
      <c r="AY94">
        <f t="shared" si="15"/>
        <v>0</v>
      </c>
      <c r="AZ94" s="29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29" cm="1">
        <f t="array" ref="BA94">$G$12+VLOOKUP($R94,武学奇术!$A:$ZZ,12,FALSE)+SUM(_xlfn.XLOOKUP(S94:AG94,增益!$A:$A,增益!$L:$L,0))</f>
        <v>0</v>
      </c>
      <c r="BB94">
        <f t="shared" si="16"/>
        <v>0</v>
      </c>
      <c r="BC94">
        <f t="shared" si="17"/>
        <v>0</v>
      </c>
      <c r="BD94" s="29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29" cm="1">
        <f t="array" ref="BE94">$G$13+VLOOKUP($R94,武学奇术!$A:$ZZ,14,FALSE)+SUM(_xlfn.XLOOKUP(S94:AG94,增益!$A:$A,增益!$N:$N,0))</f>
        <v>0</v>
      </c>
      <c r="BF94">
        <f t="shared" si="18"/>
        <v>0</v>
      </c>
      <c r="BG94">
        <f t="shared" si="19"/>
        <v>0</v>
      </c>
      <c r="BH94" s="29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-0.3</v>
      </c>
      <c r="BI94" s="29" cm="1">
        <f t="array" ref="BI94">$G$14+VLOOKUP($R94,武学奇术!$A:$ZZ,16,FALSE)+SUM(_xlfn.XLOOKUP(S94:AG94,增益!$A:$A,增益!$P:$P,0))</f>
        <v>0</v>
      </c>
      <c r="BJ94" s="20">
        <f>MIN(IF(VLOOKUP($R94,武学奇术!$A:$ZZ,23,FALSE)=1,100%,$B$8),100%)</f>
        <v>0.8271</v>
      </c>
      <c r="BK94" s="20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0.2249</v>
      </c>
      <c r="BL94" s="20" cm="1">
        <f t="array" ref="BL94">1+$B$13+VLOOKUP($R94,武学奇术!$A:$ZZ,18,FALSE)+SUM(_xlfn.XLOOKUP(S94:AG94,增益!$A:$A,增益!$R:$R,0))</f>
        <v>1.5</v>
      </c>
      <c r="BM94" s="20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0.4459</v>
      </c>
      <c r="BN94" s="20" cm="1">
        <f t="array" ref="BN94">1+$B$14+VLOOKUP($R94,武学奇术!$A:$ZZ,20,FALSE)+SUM(_xlfn.XLOOKUP(S94:AG94,增益!$A:$A,增益!$T:$T,0))</f>
        <v>1.602</v>
      </c>
      <c r="BO94" s="20">
        <f t="shared" si="20"/>
        <v>0.18601479</v>
      </c>
      <c r="BP94" s="20">
        <f t="shared" si="21"/>
        <v>0.27228132</v>
      </c>
      <c r="BQ94" s="20">
        <f>IF(VLOOKUP($R94,武学奇术!$A:$ZZ,22,FALSE)=1,0,(1-$BJ94))*(1-$BM94)</f>
        <v>0.09580389</v>
      </c>
      <c r="BR94" s="20" cm="1">
        <f t="array" ref="BR94">SUM(_xlfn.XLOOKUP(S94:AG94,增益!$A:$A,增益!$W:$W,0))+$I$5</f>
        <v>0.11</v>
      </c>
    </row>
    <row r="95" spans="1:70">
      <c r="K95" s="27">
        <f>$L95*VLOOKUP($R95,武学奇术!$A:$ZZ,31,FALSE)</f>
        <v>44544.4003405023</v>
      </c>
      <c r="L95" s="27">
        <f t="shared" si="11"/>
        <v>44544.4003405023</v>
      </c>
      <c r="M95" s="27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40064.2355630284</v>
      </c>
      <c r="N95" s="27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63977.6996894688</v>
      </c>
      <c r="O95" s="27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26709.4903753523</v>
      </c>
      <c r="P95" s="27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13482.8386224469</v>
      </c>
      <c r="Q95" s="35">
        <v>1</v>
      </c>
      <c r="R95" s="36" t="s">
        <v>88</v>
      </c>
      <c r="S95" s="36" t="s">
        <v>71</v>
      </c>
      <c r="T95" s="36" t="s">
        <v>93</v>
      </c>
      <c r="U95" s="36" t="s">
        <v>71</v>
      </c>
      <c r="V95" s="36" t="s">
        <v>71</v>
      </c>
      <c r="W95" s="36" t="s">
        <v>71</v>
      </c>
      <c r="X95" s="36" t="s">
        <v>71</v>
      </c>
      <c r="Y95" s="36" t="s">
        <v>71</v>
      </c>
      <c r="Z95" s="36" t="s">
        <v>71</v>
      </c>
      <c r="AA95" s="36" t="s">
        <v>71</v>
      </c>
      <c r="AB95" s="36" t="s">
        <v>71</v>
      </c>
      <c r="AC95" s="36" t="s">
        <v>71</v>
      </c>
      <c r="AD95" s="36" t="s">
        <v>72</v>
      </c>
      <c r="AE95" s="36" t="s">
        <v>94</v>
      </c>
      <c r="AF95" s="36" t="s">
        <v>154</v>
      </c>
      <c r="AG95" s="36" t="s">
        <v>120</v>
      </c>
      <c r="AH95" t="str">
        <f>VLOOKUP($R95,武学奇术!$A:$ZZ,25,FALSE)</f>
        <v>枪</v>
      </c>
      <c r="AI95" s="20">
        <f>VLOOKUP($R95,武学奇术!$A:$ZZ,26,FALSE)</f>
        <v>2.1401</v>
      </c>
      <c r="AJ95" s="21">
        <f>VLOOKUP($R95,武学奇术!$A:$ZZ,27,FALSE)*(1+IF(OR($AH95=$F$4,$AH95=$F$5),$B$22,0))</f>
        <v>823.2</v>
      </c>
      <c r="AK95" s="20">
        <f>VLOOKUP($R95,武学奇术!$A:$ZZ,28,FALSE)</f>
        <v>3.2101</v>
      </c>
      <c r="AL95" s="21">
        <f>VLOOKUP($R95,武学奇术!$A:$ZZ,29,FALSE)*(1+IF(OR($AH95=$F$4,$AH95=$F$5),$B$22,0))</f>
        <v>448</v>
      </c>
      <c r="AM95" s="20" cm="1">
        <f t="array" ref="AM95">$G$3+IFERROR(VLOOKUP($AH95,$F$4:$G$7,2,FALSE),0)+VLOOKUP($R95,武学奇术!$A:$ZZ,2,FALSE)+SUM(_xlfn.XLOOKUP($S95:$AG95,增益!$A:$A,增益!$B:$B,0))</f>
        <v>0.5539</v>
      </c>
      <c r="AN95" s="20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1517.52</v>
      </c>
      <c r="AP95" cm="1">
        <f t="array" ref="AP95">$E$10*(1+$AN95)+VLOOKUP($R95,武学奇术!$A:$ZZ,4,FALSE)+SUM(_xlfn.XLOOKUP($S95:$AG95,增益!$A:$A,增益!$D:$D,0))-$I$2</f>
        <v>6628.56</v>
      </c>
      <c r="AQ95" s="29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0.2425</v>
      </c>
      <c r="AR95" s="29" cm="1">
        <f t="array" ref="AR95">$G$10+VLOOKUP($R95,武学奇术!$A:$ZZ,7,FALSE)+SUM(_xlfn.XLOOKUP(S95:AG95,增益!$A:$A,增益!$G:$G,0))</f>
        <v>0</v>
      </c>
      <c r="AS95" s="20" cm="1">
        <f t="array" ref="AS95">VLOOKUP($R95,武学奇术!$A:$ZZ,8,FALSE)+SUM(_xlfn.XLOOKUP(S95:AG95,增益!$A:$A,增益!$H:$H,0))</f>
        <v>0</v>
      </c>
      <c r="AT95">
        <f t="shared" si="12"/>
        <v>538</v>
      </c>
      <c r="AU95">
        <f t="shared" si="13"/>
        <v>1011</v>
      </c>
      <c r="AV95" s="29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</v>
      </c>
      <c r="AW95" s="29" cm="1">
        <f t="array" ref="AW95">$G$11+VLOOKUP($R95,武学奇术!$A:$ZZ,10,FALSE)+SUM(_xlfn.XLOOKUP(S95:AG95,增益!$A:$A,增益!$J:$J,0))</f>
        <v>0.15</v>
      </c>
      <c r="AX95">
        <f t="shared" si="14"/>
        <v>0</v>
      </c>
      <c r="AY95">
        <f t="shared" si="15"/>
        <v>0</v>
      </c>
      <c r="AZ95" s="29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29" cm="1">
        <f t="array" ref="BA95">$G$12+VLOOKUP($R95,武学奇术!$A:$ZZ,12,FALSE)+SUM(_xlfn.XLOOKUP(S95:AG95,增益!$A:$A,增益!$L:$L,0))</f>
        <v>0</v>
      </c>
      <c r="BB95">
        <f t="shared" si="16"/>
        <v>0</v>
      </c>
      <c r="BC95">
        <f t="shared" si="17"/>
        <v>0</v>
      </c>
      <c r="BD95" s="29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29" cm="1">
        <f t="array" ref="BE95">$G$13+VLOOKUP($R95,武学奇术!$A:$ZZ,14,FALSE)+SUM(_xlfn.XLOOKUP(S95:AG95,增益!$A:$A,增益!$N:$N,0))</f>
        <v>0</v>
      </c>
      <c r="BF95">
        <f t="shared" si="18"/>
        <v>0</v>
      </c>
      <c r="BG95">
        <f t="shared" si="19"/>
        <v>0</v>
      </c>
      <c r="BH95" s="29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-0.3</v>
      </c>
      <c r="BI95" s="29" cm="1">
        <f t="array" ref="BI95">$G$14+VLOOKUP($R95,武学奇术!$A:$ZZ,16,FALSE)+SUM(_xlfn.XLOOKUP(S95:AG95,增益!$A:$A,增益!$P:$P,0))</f>
        <v>0</v>
      </c>
      <c r="BJ95" s="20">
        <f>MIN(IF(VLOOKUP($R95,武学奇术!$A:$ZZ,23,FALSE)=1,100%,$B$8),100%)</f>
        <v>0.8271</v>
      </c>
      <c r="BK95" s="20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0.2249</v>
      </c>
      <c r="BL95" s="20" cm="1">
        <f t="array" ref="BL95">1+$B$13+VLOOKUP($R95,武学奇术!$A:$ZZ,18,FALSE)+SUM(_xlfn.XLOOKUP(S95:AG95,增益!$A:$A,增益!$R:$R,0))</f>
        <v>1.5</v>
      </c>
      <c r="BM95" s="20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0.4459</v>
      </c>
      <c r="BN95" s="20" cm="1">
        <f t="array" ref="BN95">1+$B$14+VLOOKUP($R95,武学奇术!$A:$ZZ,20,FALSE)+SUM(_xlfn.XLOOKUP(S95:AG95,增益!$A:$A,增益!$T:$T,0))</f>
        <v>1.602</v>
      </c>
      <c r="BO95" s="20">
        <f t="shared" si="20"/>
        <v>0.18601479</v>
      </c>
      <c r="BP95" s="20">
        <f t="shared" si="21"/>
        <v>0.27228132</v>
      </c>
      <c r="BQ95" s="20">
        <f>IF(VLOOKUP($R95,武学奇术!$A:$ZZ,22,FALSE)=1,0,(1-$BJ95))*(1-$BM95)</f>
        <v>0.09580389</v>
      </c>
      <c r="BR95" s="20" cm="1">
        <f t="array" ref="BR95">SUM(_xlfn.XLOOKUP(S95:AG95,增益!$A:$A,增益!$W:$W,0))+$I$5</f>
        <v>0.11</v>
      </c>
    </row>
    <row r="96" spans="1:70">
      <c r="K96" s="27">
        <f>$L96*VLOOKUP($R96,武学奇术!$A:$ZZ,31,FALSE)</f>
        <v>25880.8691272228</v>
      </c>
      <c r="L96" s="27">
        <f t="shared" si="11"/>
        <v>25880.8691272228</v>
      </c>
      <c r="M96" s="27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23280.886974602</v>
      </c>
      <c r="N96" s="27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37167.9518791791</v>
      </c>
      <c r="O96" s="27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15520.5913164013</v>
      </c>
      <c r="P96" s="27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7840.21391920771</v>
      </c>
      <c r="Q96" s="35">
        <v>1</v>
      </c>
      <c r="R96" s="36" t="s">
        <v>92</v>
      </c>
      <c r="S96" s="36" t="s">
        <v>71</v>
      </c>
      <c r="T96" s="36" t="s">
        <v>93</v>
      </c>
      <c r="U96" s="36" t="s">
        <v>71</v>
      </c>
      <c r="V96" s="36" t="s">
        <v>71</v>
      </c>
      <c r="W96" s="36" t="s">
        <v>71</v>
      </c>
      <c r="X96" s="36" t="s">
        <v>71</v>
      </c>
      <c r="Y96" s="36" t="s">
        <v>71</v>
      </c>
      <c r="Z96" s="36" t="s">
        <v>71</v>
      </c>
      <c r="AA96" s="36" t="s">
        <v>71</v>
      </c>
      <c r="AB96" s="36" t="s">
        <v>71</v>
      </c>
      <c r="AC96" s="36" t="s">
        <v>71</v>
      </c>
      <c r="AD96" s="36" t="s">
        <v>72</v>
      </c>
      <c r="AE96" s="36" t="s">
        <v>94</v>
      </c>
      <c r="AF96" s="36" t="s">
        <v>154</v>
      </c>
      <c r="AG96" s="36" t="s">
        <v>120</v>
      </c>
      <c r="AH96" t="str">
        <f>VLOOKUP($R96,武学奇术!$A:$ZZ,25,FALSE)</f>
        <v>剑</v>
      </c>
      <c r="AI96" s="20">
        <f>VLOOKUP($R96,武学奇术!$A:$ZZ,26,FALSE)</f>
        <v>1.1781</v>
      </c>
      <c r="AJ96" s="21">
        <f>VLOOKUP($R96,武学奇术!$A:$ZZ,27,FALSE)*(1+IF(OR($AH96=$F$4,$AH96=$F$5),$B$22,0))</f>
        <v>456.4</v>
      </c>
      <c r="AK96" s="20">
        <f>VLOOKUP($R96,武学奇术!$A:$ZZ,28,FALSE)</f>
        <v>1.7672</v>
      </c>
      <c r="AL96" s="21">
        <f>VLOOKUP($R96,武学奇术!$A:$ZZ,29,FALSE)*(1+IF(OR($AH96=$F$4,$AH96=$F$5),$B$22,0))</f>
        <v>247.8</v>
      </c>
      <c r="AM96" s="20" cm="1">
        <f t="array" ref="AM96">$G$3+IFERROR(VLOOKUP($AH96,$F$4:$G$7,2,FALSE),0)+VLOOKUP($R96,武学奇术!$A:$ZZ,2,FALSE)+SUM(_xlfn.XLOOKUP($S96:$AG96,增益!$A:$A,增益!$B:$B,0))</f>
        <v>0.6391</v>
      </c>
      <c r="AN96" s="20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1517.52</v>
      </c>
      <c r="AP96" cm="1">
        <f t="array" ref="AP96">$E$10*(1+$AN96)+VLOOKUP($R96,武学奇术!$A:$ZZ,4,FALSE)+SUM(_xlfn.XLOOKUP($S96:$AG96,增益!$A:$A,增益!$D:$D,0))-$I$2</f>
        <v>6628.56</v>
      </c>
      <c r="AQ96" s="29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0.2425</v>
      </c>
      <c r="AR96" s="29" cm="1">
        <f t="array" ref="AR96">$G$10+VLOOKUP($R96,武学奇术!$A:$ZZ,7,FALSE)+SUM(_xlfn.XLOOKUP(S96:AG96,增益!$A:$A,增益!$G:$G,0))</f>
        <v>0</v>
      </c>
      <c r="AS96" s="20" cm="1">
        <f t="array" ref="AS96">VLOOKUP($R96,武学奇术!$A:$ZZ,8,FALSE)+SUM(_xlfn.XLOOKUP(S96:AG96,增益!$A:$A,增益!$H:$H,0))</f>
        <v>0</v>
      </c>
      <c r="AT96">
        <f t="shared" si="12"/>
        <v>538</v>
      </c>
      <c r="AU96">
        <f t="shared" si="13"/>
        <v>1011</v>
      </c>
      <c r="AV96" s="29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</v>
      </c>
      <c r="AW96" s="29" cm="1">
        <f t="array" ref="AW96">$G$11+VLOOKUP($R96,武学奇术!$A:$ZZ,10,FALSE)+SUM(_xlfn.XLOOKUP(S96:AG96,增益!$A:$A,增益!$J:$J,0))</f>
        <v>0.15</v>
      </c>
      <c r="AX96">
        <f t="shared" si="14"/>
        <v>0</v>
      </c>
      <c r="AY96">
        <f t="shared" si="15"/>
        <v>0</v>
      </c>
      <c r="AZ96" s="29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-0.3</v>
      </c>
      <c r="BA96" s="29" cm="1">
        <f t="array" ref="BA96">$G$12+VLOOKUP($R96,武学奇术!$A:$ZZ,12,FALSE)+SUM(_xlfn.XLOOKUP(S96:AG96,增益!$A:$A,增益!$L:$L,0))</f>
        <v>0</v>
      </c>
      <c r="BB96">
        <f t="shared" si="16"/>
        <v>0</v>
      </c>
      <c r="BC96">
        <f t="shared" si="17"/>
        <v>0</v>
      </c>
      <c r="BD96" s="29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-0.3</v>
      </c>
      <c r="BE96" s="29" cm="1">
        <f t="array" ref="BE96">$G$13+VLOOKUP($R96,武学奇术!$A:$ZZ,14,FALSE)+SUM(_xlfn.XLOOKUP(S96:AG96,增益!$A:$A,增益!$N:$N,0))</f>
        <v>0</v>
      </c>
      <c r="BF96">
        <f t="shared" si="18"/>
        <v>0</v>
      </c>
      <c r="BG96">
        <f t="shared" si="19"/>
        <v>0</v>
      </c>
      <c r="BH96" s="29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-0.3</v>
      </c>
      <c r="BI96" s="29" cm="1">
        <f t="array" ref="BI96">$G$14+VLOOKUP($R96,武学奇术!$A:$ZZ,16,FALSE)+SUM(_xlfn.XLOOKUP(S96:AG96,增益!$A:$A,增益!$P:$P,0))</f>
        <v>0</v>
      </c>
      <c r="BJ96" s="20">
        <f>MIN(IF(VLOOKUP($R96,武学奇术!$A:$ZZ,23,FALSE)=1,100%,$B$8),100%)</f>
        <v>0.8271</v>
      </c>
      <c r="BK96" s="20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0.2249</v>
      </c>
      <c r="BL96" s="20" cm="1">
        <f t="array" ref="BL96">1+$B$13+VLOOKUP($R96,武学奇术!$A:$ZZ,18,FALSE)+SUM(_xlfn.XLOOKUP(S96:AG96,增益!$A:$A,增益!$R:$R,0))</f>
        <v>1.5</v>
      </c>
      <c r="BM96" s="20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0.4459</v>
      </c>
      <c r="BN96" s="20" cm="1">
        <f t="array" ref="BN96">1+$B$14+VLOOKUP($R96,武学奇术!$A:$ZZ,20,FALSE)+SUM(_xlfn.XLOOKUP(S96:AG96,增益!$A:$A,增益!$T:$T,0))</f>
        <v>1.602</v>
      </c>
      <c r="BO96" s="20">
        <f t="shared" si="20"/>
        <v>0.18601479</v>
      </c>
      <c r="BP96" s="20">
        <f t="shared" si="21"/>
        <v>0.27228132</v>
      </c>
      <c r="BQ96" s="20">
        <f>IF(VLOOKUP($R96,武学奇术!$A:$ZZ,22,FALSE)=1,0,(1-$BJ96))*(1-$BM96)</f>
        <v>0.09580389</v>
      </c>
      <c r="BR96" s="20" cm="1">
        <f t="array" ref="BR96">SUM(_xlfn.XLOOKUP(S96:AG96,增益!$A:$A,增益!$W:$W,0))+$I$5</f>
        <v>0.11</v>
      </c>
    </row>
    <row r="97" spans="11:70">
      <c r="K97" s="27">
        <f>$L97*VLOOKUP($R97,武学奇术!$A:$ZZ,31,FALSE)</f>
        <v>65352.8997493929</v>
      </c>
      <c r="L97" s="27">
        <f t="shared" si="11"/>
        <v>108921.499582321</v>
      </c>
      <c r="M97" s="27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89152.1929653019</v>
      </c>
      <c r="N97" s="27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165163.080295234</v>
      </c>
      <c r="O97" s="27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59434.7953102013</v>
      </c>
      <c r="P97" s="27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26185.4827106191</v>
      </c>
      <c r="Q97" s="35">
        <v>1</v>
      </c>
      <c r="R97" s="36" t="s">
        <v>105</v>
      </c>
      <c r="S97" s="36" t="s">
        <v>71</v>
      </c>
      <c r="T97" s="36" t="s">
        <v>99</v>
      </c>
      <c r="U97" s="36" t="s">
        <v>100</v>
      </c>
      <c r="V97" s="36" t="s">
        <v>101</v>
      </c>
      <c r="W97" s="36" t="s">
        <v>71</v>
      </c>
      <c r="X97" s="36" t="s">
        <v>71</v>
      </c>
      <c r="Y97" s="36" t="s">
        <v>71</v>
      </c>
      <c r="Z97" s="36" t="s">
        <v>71</v>
      </c>
      <c r="AA97" s="36" t="s">
        <v>71</v>
      </c>
      <c r="AB97" s="36" t="s">
        <v>71</v>
      </c>
      <c r="AC97" s="36" t="s">
        <v>71</v>
      </c>
      <c r="AD97" s="36" t="s">
        <v>72</v>
      </c>
      <c r="AE97" s="36" t="s">
        <v>94</v>
      </c>
      <c r="AF97" s="36" t="s">
        <v>154</v>
      </c>
      <c r="AG97" s="36" t="s">
        <v>120</v>
      </c>
      <c r="AH97" t="str">
        <f>VLOOKUP($R97,武学奇术!$A:$ZZ,25,FALSE)</f>
        <v>剑</v>
      </c>
      <c r="AI97" s="20">
        <f>VLOOKUP($R97,武学奇术!$A:$ZZ,26,FALSE)</f>
        <v>2.496</v>
      </c>
      <c r="AJ97" s="21">
        <f>VLOOKUP($R97,武学奇术!$A:$ZZ,27,FALSE)*(1+IF(OR($AH97=$F$4,$AH97=$F$5),$B$22,0))</f>
        <v>0</v>
      </c>
      <c r="AK97" s="20">
        <f>VLOOKUP($R97,武学奇术!$A:$ZZ,28,FALSE)</f>
        <v>3.744</v>
      </c>
      <c r="AL97" s="21">
        <f>VLOOKUP($R97,武学奇术!$A:$ZZ,29,FALSE)*(1+IF(OR($AH97=$F$4,$AH97=$F$5),$B$22,0))</f>
        <v>0</v>
      </c>
      <c r="AM97" s="20" cm="1">
        <f t="array" ref="AM97">$G$3+IFERROR(VLOOKUP($AH97,$F$4:$G$7,2,FALSE),0)+VLOOKUP($R97,武学奇术!$A:$ZZ,2,FALSE)+SUM(_xlfn.XLOOKUP($S97:$AG97,增益!$A:$A,增益!$B:$B,0))</f>
        <v>1.3891</v>
      </c>
      <c r="AN97" s="20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1517.52</v>
      </c>
      <c r="AP97" cm="1">
        <f t="array" ref="AP97">$E$10*(1+$AN97)+VLOOKUP($R97,武学奇术!$A:$ZZ,4,FALSE)+SUM(_xlfn.XLOOKUP($S97:$AG97,增益!$A:$A,增益!$D:$D,0))-$I$2</f>
        <v>6628.56</v>
      </c>
      <c r="AQ97" s="29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0.3175</v>
      </c>
      <c r="AR97" s="29" cm="1">
        <f t="array" ref="AR97">$G$10+VLOOKUP($R97,武学奇术!$A:$ZZ,7,FALSE)+SUM(_xlfn.XLOOKUP(S97:AG97,增益!$A:$A,增益!$G:$G,0))</f>
        <v>0</v>
      </c>
      <c r="AS97" s="20" cm="1">
        <f t="array" ref="AS97">VLOOKUP($R97,武学奇术!$A:$ZZ,8,FALSE)+SUM(_xlfn.XLOOKUP(S97:AG97,增益!$A:$A,增益!$H:$H,0))</f>
        <v>0</v>
      </c>
      <c r="AT97">
        <f t="shared" si="12"/>
        <v>538</v>
      </c>
      <c r="AU97">
        <f t="shared" si="13"/>
        <v>1011</v>
      </c>
      <c r="AV97" s="29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0.075</v>
      </c>
      <c r="AW97" s="29" cm="1">
        <f t="array" ref="AW97">$G$11+VLOOKUP($R97,武学奇术!$A:$ZZ,10,FALSE)+SUM(_xlfn.XLOOKUP(S97:AG97,增益!$A:$A,增益!$J:$J,0))</f>
        <v>0.15</v>
      </c>
      <c r="AX97">
        <f t="shared" si="14"/>
        <v>0</v>
      </c>
      <c r="AY97">
        <f t="shared" si="15"/>
        <v>0</v>
      </c>
      <c r="AZ97" s="29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29" cm="1">
        <f t="array" ref="BA97">$G$12+VLOOKUP($R97,武学奇术!$A:$ZZ,12,FALSE)+SUM(_xlfn.XLOOKUP(S97:AG97,增益!$A:$A,增益!$L:$L,0))</f>
        <v>0</v>
      </c>
      <c r="BB97">
        <f t="shared" si="16"/>
        <v>0</v>
      </c>
      <c r="BC97">
        <f t="shared" si="17"/>
        <v>0</v>
      </c>
      <c r="BD97" s="29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29" cm="1">
        <f t="array" ref="BE97">$G$13+VLOOKUP($R97,武学奇术!$A:$ZZ,14,FALSE)+SUM(_xlfn.XLOOKUP(S97:AG97,增益!$A:$A,增益!$N:$N,0))</f>
        <v>0</v>
      </c>
      <c r="BF97">
        <f t="shared" si="18"/>
        <v>0</v>
      </c>
      <c r="BG97">
        <f t="shared" si="19"/>
        <v>0</v>
      </c>
      <c r="BH97" s="29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-0.3</v>
      </c>
      <c r="BI97" s="29" cm="1">
        <f t="array" ref="BI97">$G$14+VLOOKUP($R97,武学奇术!$A:$ZZ,16,FALSE)+SUM(_xlfn.XLOOKUP(S97:AG97,增益!$A:$A,增益!$P:$P,0))</f>
        <v>0</v>
      </c>
      <c r="BJ97" s="20">
        <f>MIN(IF(VLOOKUP($R97,武学奇术!$A:$ZZ,23,FALSE)=1,100%,$B$8),100%)</f>
        <v>0.8271</v>
      </c>
      <c r="BK97" s="20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0.2249</v>
      </c>
      <c r="BL97" s="20" cm="1">
        <f t="array" ref="BL97">1+$B$13+VLOOKUP($R97,武学奇术!$A:$ZZ,18,FALSE)+SUM(_xlfn.XLOOKUP(S97:AG97,增益!$A:$A,增益!$R:$R,0))</f>
        <v>1.5</v>
      </c>
      <c r="BM97" s="20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0.4459</v>
      </c>
      <c r="BN97" s="20" cm="1">
        <f t="array" ref="BN97">1+$B$14+VLOOKUP($R97,武学奇术!$A:$ZZ,20,FALSE)+SUM(_xlfn.XLOOKUP(S97:AG97,增益!$A:$A,增益!$T:$T,0))</f>
        <v>1.782</v>
      </c>
      <c r="BO97" s="20">
        <f t="shared" si="20"/>
        <v>0.18601479</v>
      </c>
      <c r="BP97" s="20">
        <f t="shared" si="21"/>
        <v>0.27228132</v>
      </c>
      <c r="BQ97" s="20">
        <f>IF(VLOOKUP($R97,武学奇术!$A:$ZZ,22,FALSE)=1,0,(1-$BJ97))*(1-$BM97)</f>
        <v>0.09580389</v>
      </c>
      <c r="BR97" s="20" cm="1">
        <f t="array" ref="BR97">SUM(_xlfn.XLOOKUP(S97:AG97,增益!$A:$A,增益!$W:$W,0))+$I$5</f>
        <v>0.11</v>
      </c>
    </row>
    <row r="98" spans="11:70">
      <c r="K98" s="27">
        <f>$L98*VLOOKUP($R98,武学奇术!$A:$ZZ,31,FALSE)</f>
        <v>65352.8997493929</v>
      </c>
      <c r="L98" s="27">
        <f t="shared" si="11"/>
        <v>108921.499582321</v>
      </c>
      <c r="M98" s="27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89152.1929653019</v>
      </c>
      <c r="N98" s="27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165163.080295234</v>
      </c>
      <c r="O98" s="27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59434.7953102013</v>
      </c>
      <c r="P98" s="27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26185.4827106191</v>
      </c>
      <c r="Q98" s="35">
        <v>1</v>
      </c>
      <c r="R98" s="36" t="s">
        <v>105</v>
      </c>
      <c r="S98" s="36" t="s">
        <v>71</v>
      </c>
      <c r="T98" s="36" t="s">
        <v>99</v>
      </c>
      <c r="U98" s="36" t="s">
        <v>100</v>
      </c>
      <c r="V98" s="36" t="s">
        <v>101</v>
      </c>
      <c r="W98" s="36" t="s">
        <v>71</v>
      </c>
      <c r="X98" s="36" t="s">
        <v>71</v>
      </c>
      <c r="Y98" s="36" t="s">
        <v>71</v>
      </c>
      <c r="Z98" s="36" t="s">
        <v>71</v>
      </c>
      <c r="AA98" s="36" t="s">
        <v>71</v>
      </c>
      <c r="AB98" s="36" t="s">
        <v>71</v>
      </c>
      <c r="AC98" s="36" t="s">
        <v>71</v>
      </c>
      <c r="AD98" s="36" t="s">
        <v>72</v>
      </c>
      <c r="AE98" s="36" t="s">
        <v>94</v>
      </c>
      <c r="AF98" s="36" t="s">
        <v>154</v>
      </c>
      <c r="AG98" s="36" t="s">
        <v>120</v>
      </c>
      <c r="AH98" t="str">
        <f>VLOOKUP($R98,武学奇术!$A:$ZZ,25,FALSE)</f>
        <v>剑</v>
      </c>
      <c r="AI98" s="20">
        <f>VLOOKUP($R98,武学奇术!$A:$ZZ,26,FALSE)</f>
        <v>2.496</v>
      </c>
      <c r="AJ98" s="21">
        <f>VLOOKUP($R98,武学奇术!$A:$ZZ,27,FALSE)*(1+IF(OR($AH98=$F$4,$AH98=$F$5),$B$22,0))</f>
        <v>0</v>
      </c>
      <c r="AK98" s="20">
        <f>VLOOKUP($R98,武学奇术!$A:$ZZ,28,FALSE)</f>
        <v>3.744</v>
      </c>
      <c r="AL98" s="21">
        <f>VLOOKUP($R98,武学奇术!$A:$ZZ,29,FALSE)*(1+IF(OR($AH98=$F$4,$AH98=$F$5),$B$22,0))</f>
        <v>0</v>
      </c>
      <c r="AM98" s="20" cm="1">
        <f t="array" ref="AM98">$G$3+IFERROR(VLOOKUP($AH98,$F$4:$G$7,2,FALSE),0)+VLOOKUP($R98,武学奇术!$A:$ZZ,2,FALSE)+SUM(_xlfn.XLOOKUP($S98:$AG98,增益!$A:$A,增益!$B:$B,0))</f>
        <v>1.3891</v>
      </c>
      <c r="AN98" s="20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1517.52</v>
      </c>
      <c r="AP98" cm="1">
        <f t="array" ref="AP98">$E$10*(1+$AN98)+VLOOKUP($R98,武学奇术!$A:$ZZ,4,FALSE)+SUM(_xlfn.XLOOKUP($S98:$AG98,增益!$A:$A,增益!$D:$D,0))-$I$2</f>
        <v>6628.56</v>
      </c>
      <c r="AQ98" s="29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0.3175</v>
      </c>
      <c r="AR98" s="29" cm="1">
        <f t="array" ref="AR98">$G$10+VLOOKUP($R98,武学奇术!$A:$ZZ,7,FALSE)+SUM(_xlfn.XLOOKUP(S98:AG98,增益!$A:$A,增益!$G:$G,0))</f>
        <v>0</v>
      </c>
      <c r="AS98" s="20" cm="1">
        <f t="array" ref="AS98">VLOOKUP($R98,武学奇术!$A:$ZZ,8,FALSE)+SUM(_xlfn.XLOOKUP(S98:AG98,增益!$A:$A,增益!$H:$H,0))</f>
        <v>0</v>
      </c>
      <c r="AT98">
        <f t="shared" si="12"/>
        <v>538</v>
      </c>
      <c r="AU98">
        <f t="shared" si="13"/>
        <v>1011</v>
      </c>
      <c r="AV98" s="29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0.075</v>
      </c>
      <c r="AW98" s="29" cm="1">
        <f t="array" ref="AW98">$G$11+VLOOKUP($R98,武学奇术!$A:$ZZ,10,FALSE)+SUM(_xlfn.XLOOKUP(S98:AG98,增益!$A:$A,增益!$J:$J,0))</f>
        <v>0.15</v>
      </c>
      <c r="AX98">
        <f t="shared" si="14"/>
        <v>0</v>
      </c>
      <c r="AY98">
        <f t="shared" si="15"/>
        <v>0</v>
      </c>
      <c r="AZ98" s="29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-0.3</v>
      </c>
      <c r="BA98" s="29" cm="1">
        <f t="array" ref="BA98">$G$12+VLOOKUP($R98,武学奇术!$A:$ZZ,12,FALSE)+SUM(_xlfn.XLOOKUP(S98:AG98,增益!$A:$A,增益!$L:$L,0))</f>
        <v>0</v>
      </c>
      <c r="BB98">
        <f t="shared" si="16"/>
        <v>0</v>
      </c>
      <c r="BC98">
        <f t="shared" si="17"/>
        <v>0</v>
      </c>
      <c r="BD98" s="29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-0.3</v>
      </c>
      <c r="BE98" s="29" cm="1">
        <f t="array" ref="BE98">$G$13+VLOOKUP($R98,武学奇术!$A:$ZZ,14,FALSE)+SUM(_xlfn.XLOOKUP(S98:AG98,增益!$A:$A,增益!$N:$N,0))</f>
        <v>0</v>
      </c>
      <c r="BF98">
        <f t="shared" si="18"/>
        <v>0</v>
      </c>
      <c r="BG98">
        <f t="shared" si="19"/>
        <v>0</v>
      </c>
      <c r="BH98" s="29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-0.3</v>
      </c>
      <c r="BI98" s="29" cm="1">
        <f t="array" ref="BI98">$G$14+VLOOKUP($R98,武学奇术!$A:$ZZ,16,FALSE)+SUM(_xlfn.XLOOKUP(S98:AG98,增益!$A:$A,增益!$P:$P,0))</f>
        <v>0</v>
      </c>
      <c r="BJ98" s="20">
        <f>MIN(IF(VLOOKUP($R98,武学奇术!$A:$ZZ,23,FALSE)=1,100%,$B$8),100%)</f>
        <v>0.8271</v>
      </c>
      <c r="BK98" s="20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0.2249</v>
      </c>
      <c r="BL98" s="20" cm="1">
        <f t="array" ref="BL98">1+$B$13+VLOOKUP($R98,武学奇术!$A:$ZZ,18,FALSE)+SUM(_xlfn.XLOOKUP(S98:AG98,增益!$A:$A,增益!$R:$R,0))</f>
        <v>1.5</v>
      </c>
      <c r="BM98" s="20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0.4459</v>
      </c>
      <c r="BN98" s="20" cm="1">
        <f t="array" ref="BN98">1+$B$14+VLOOKUP($R98,武学奇术!$A:$ZZ,20,FALSE)+SUM(_xlfn.XLOOKUP(S98:AG98,增益!$A:$A,增益!$T:$T,0))</f>
        <v>1.782</v>
      </c>
      <c r="BO98" s="20">
        <f t="shared" si="20"/>
        <v>0.18601479</v>
      </c>
      <c r="BP98" s="20">
        <f t="shared" si="21"/>
        <v>0.27228132</v>
      </c>
      <c r="BQ98" s="20">
        <f>IF(VLOOKUP($R98,武学奇术!$A:$ZZ,22,FALSE)=1,0,(1-$BJ98))*(1-$BM98)</f>
        <v>0.09580389</v>
      </c>
      <c r="BR98" s="20" cm="1">
        <f t="array" ref="BR98">SUM(_xlfn.XLOOKUP(S98:AG98,增益!$A:$A,增益!$W:$W,0))+$I$5</f>
        <v>0.11</v>
      </c>
    </row>
    <row r="99" spans="11:70">
      <c r="K99" s="27">
        <f>$L99*VLOOKUP($R99,武学奇术!$A:$ZZ,31,FALSE)</f>
        <v>12423.2259240152</v>
      </c>
      <c r="L99" s="27">
        <f t="shared" si="11"/>
        <v>12423.2259240152</v>
      </c>
      <c r="M99" s="27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10910.8875861982</v>
      </c>
      <c r="N99" s="27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18180.2475978052</v>
      </c>
      <c r="O99" s="27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7273.92505746544</v>
      </c>
      <c r="P99" s="27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3199.38095275538</v>
      </c>
      <c r="Q99" s="35">
        <v>1</v>
      </c>
      <c r="R99" s="36" t="s">
        <v>107</v>
      </c>
      <c r="S99" s="36" t="s">
        <v>71</v>
      </c>
      <c r="T99" s="36" t="s">
        <v>93</v>
      </c>
      <c r="U99" s="36" t="s">
        <v>71</v>
      </c>
      <c r="V99" s="36" t="s">
        <v>71</v>
      </c>
      <c r="W99" s="36" t="s">
        <v>71</v>
      </c>
      <c r="X99" s="36" t="s">
        <v>71</v>
      </c>
      <c r="Y99" s="36" t="s">
        <v>71</v>
      </c>
      <c r="Z99" s="36" t="s">
        <v>71</v>
      </c>
      <c r="AA99" s="36" t="s">
        <v>71</v>
      </c>
      <c r="AB99" s="36" t="s">
        <v>71</v>
      </c>
      <c r="AC99" s="36" t="s">
        <v>71</v>
      </c>
      <c r="AD99" s="36" t="s">
        <v>72</v>
      </c>
      <c r="AE99" s="36" t="s">
        <v>94</v>
      </c>
      <c r="AF99" s="36" t="s">
        <v>154</v>
      </c>
      <c r="AG99" s="36" t="s">
        <v>120</v>
      </c>
      <c r="AH99" t="str">
        <f>VLOOKUP($R99,武学奇术!$A:$ZZ,25,FALSE)</f>
        <v>剑</v>
      </c>
      <c r="AI99" s="20">
        <f>VLOOKUP($R99,武学奇术!$A:$ZZ,26,FALSE)</f>
        <v>0.625</v>
      </c>
      <c r="AJ99" s="21">
        <f>VLOOKUP($R99,武学奇术!$A:$ZZ,27,FALSE)*(1+IF(OR($AH99=$F$4,$AH99=$F$5),$B$22,0))</f>
        <v>0</v>
      </c>
      <c r="AK99" s="20">
        <f>VLOOKUP($R99,武学奇术!$A:$ZZ,28,FALSE)</f>
        <v>0.9375</v>
      </c>
      <c r="AL99" s="21">
        <f>VLOOKUP($R99,武学奇术!$A:$ZZ,29,FALSE)*(1+IF(OR($AH99=$F$4,$AH99=$F$5),$B$22,0))</f>
        <v>0</v>
      </c>
      <c r="AM99" s="20" cm="1">
        <f t="array" ref="AM99">$G$3+IFERROR(VLOOKUP($AH99,$F$4:$G$7,2,FALSE),0)+VLOOKUP($R99,武学奇术!$A:$ZZ,2,FALSE)+SUM(_xlfn.XLOOKUP($S99:$AG99,增益!$A:$A,增益!$B:$B,0))</f>
        <v>0.6391</v>
      </c>
      <c r="AN99" s="20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1517.52</v>
      </c>
      <c r="AP99" cm="1">
        <f t="array" ref="AP99">$E$10*(1+$AN99)+VLOOKUP($R99,武学奇术!$A:$ZZ,4,FALSE)+SUM(_xlfn.XLOOKUP($S99:$AG99,增益!$A:$A,增益!$D:$D,0))-$I$2</f>
        <v>6628.56</v>
      </c>
      <c r="AQ99" s="29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0.2425</v>
      </c>
      <c r="AR99" s="29" cm="1">
        <f t="array" ref="AR99">$G$10+VLOOKUP($R99,武学奇术!$A:$ZZ,7,FALSE)+SUM(_xlfn.XLOOKUP(S99:AG99,增益!$A:$A,增益!$G:$G,0))</f>
        <v>0</v>
      </c>
      <c r="AS99" s="20" cm="1">
        <f t="array" ref="AS99">VLOOKUP($R99,武学奇术!$A:$ZZ,8,FALSE)+SUM(_xlfn.XLOOKUP(S99:AG99,增益!$A:$A,增益!$H:$H,0))</f>
        <v>0</v>
      </c>
      <c r="AT99">
        <f t="shared" si="12"/>
        <v>538</v>
      </c>
      <c r="AU99">
        <f t="shared" si="13"/>
        <v>1011</v>
      </c>
      <c r="AV99" s="29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</v>
      </c>
      <c r="AW99" s="29" cm="1">
        <f t="array" ref="AW99">$G$11+VLOOKUP($R99,武学奇术!$A:$ZZ,10,FALSE)+SUM(_xlfn.XLOOKUP(S99:AG99,增益!$A:$A,增益!$J:$J,0))</f>
        <v>0.15</v>
      </c>
      <c r="AX99">
        <f t="shared" si="14"/>
        <v>0</v>
      </c>
      <c r="AY99">
        <f t="shared" si="15"/>
        <v>0</v>
      </c>
      <c r="AZ99" s="29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29" cm="1">
        <f t="array" ref="BA99">$G$12+VLOOKUP($R99,武学奇术!$A:$ZZ,12,FALSE)+SUM(_xlfn.XLOOKUP(S99:AG99,增益!$A:$A,增益!$L:$L,0))</f>
        <v>0</v>
      </c>
      <c r="BB99">
        <f t="shared" si="16"/>
        <v>0</v>
      </c>
      <c r="BC99">
        <f t="shared" si="17"/>
        <v>0</v>
      </c>
      <c r="BD99" s="29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29" cm="1">
        <f t="array" ref="BE99">$G$13+VLOOKUP($R99,武学奇术!$A:$ZZ,14,FALSE)+SUM(_xlfn.XLOOKUP(S99:AG99,增益!$A:$A,增益!$N:$N,0))</f>
        <v>0</v>
      </c>
      <c r="BF99">
        <f t="shared" si="18"/>
        <v>0</v>
      </c>
      <c r="BG99">
        <f t="shared" si="19"/>
        <v>0</v>
      </c>
      <c r="BH99" s="29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-0.3</v>
      </c>
      <c r="BI99" s="29" cm="1">
        <f t="array" ref="BI99">$G$14+VLOOKUP($R99,武学奇术!$A:$ZZ,16,FALSE)+SUM(_xlfn.XLOOKUP(S99:AG99,增益!$A:$A,增益!$P:$P,0))</f>
        <v>0</v>
      </c>
      <c r="BJ99" s="20">
        <f>MIN(IF(VLOOKUP($R99,武学奇术!$A:$ZZ,23,FALSE)=1,100%,$B$8),100%)</f>
        <v>0.8271</v>
      </c>
      <c r="BK99" s="20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0.2249</v>
      </c>
      <c r="BL99" s="20" cm="1">
        <f t="array" ref="BL99">1+$B$13+VLOOKUP($R99,武学奇术!$A:$ZZ,18,FALSE)+SUM(_xlfn.XLOOKUP(S99:AG99,增益!$A:$A,增益!$R:$R,0))</f>
        <v>1.5</v>
      </c>
      <c r="BM99" s="20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0.4459</v>
      </c>
      <c r="BN99" s="20" cm="1">
        <f t="array" ref="BN99">1+$B$14+VLOOKUP($R99,武学奇术!$A:$ZZ,20,FALSE)+SUM(_xlfn.XLOOKUP(S99:AG99,增益!$A:$A,增益!$T:$T,0))</f>
        <v>1.602</v>
      </c>
      <c r="BO99" s="20">
        <f t="shared" si="20"/>
        <v>0.18601479</v>
      </c>
      <c r="BP99" s="20">
        <f t="shared" si="21"/>
        <v>0.27228132</v>
      </c>
      <c r="BQ99" s="20">
        <f>IF(VLOOKUP($R99,武学奇术!$A:$ZZ,22,FALSE)=1,0,(1-$BJ99))*(1-$BM99)</f>
        <v>0.09580389</v>
      </c>
      <c r="BR99" s="20" cm="1">
        <f t="array" ref="BR99">SUM(_xlfn.XLOOKUP(S99:AG99,增益!$A:$A,增益!$W:$W,0))+$I$5</f>
        <v>0.11</v>
      </c>
    </row>
    <row r="100" spans="11:70">
      <c r="K100" s="27">
        <f>$L100*VLOOKUP($R100,武学奇术!$A:$ZZ,31,FALSE)</f>
        <v>53728.0664482027</v>
      </c>
      <c r="L100" s="27">
        <f t="shared" si="11"/>
        <v>53728.0664482027</v>
      </c>
      <c r="M100" s="27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48379.0738082379</v>
      </c>
      <c r="N100" s="27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77097.555852433</v>
      </c>
      <c r="O100" s="27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32252.7158721586</v>
      </c>
      <c r="P100" s="27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16379.6166054702</v>
      </c>
      <c r="Q100" s="35">
        <v>1</v>
      </c>
      <c r="R100" s="36" t="s">
        <v>110</v>
      </c>
      <c r="S100" s="36" t="s">
        <v>71</v>
      </c>
      <c r="T100" s="36" t="s">
        <v>93</v>
      </c>
      <c r="U100" s="36" t="s">
        <v>71</v>
      </c>
      <c r="V100" s="36" t="s">
        <v>71</v>
      </c>
      <c r="W100" s="36" t="s">
        <v>111</v>
      </c>
      <c r="X100" s="36" t="s">
        <v>71</v>
      </c>
      <c r="Y100" s="36" t="s">
        <v>71</v>
      </c>
      <c r="Z100" s="36" t="s">
        <v>71</v>
      </c>
      <c r="AA100" s="36" t="s">
        <v>71</v>
      </c>
      <c r="AB100" s="36" t="s">
        <v>71</v>
      </c>
      <c r="AC100" s="36" t="s">
        <v>71</v>
      </c>
      <c r="AD100" s="36" t="s">
        <v>72</v>
      </c>
      <c r="AE100" s="36" t="s">
        <v>94</v>
      </c>
      <c r="AF100" s="36" t="s">
        <v>154</v>
      </c>
      <c r="AG100" s="36" t="s">
        <v>120</v>
      </c>
      <c r="AH100" t="str">
        <f>VLOOKUP($R100,武学奇术!$A:$ZZ,25,FALSE)</f>
        <v>枪</v>
      </c>
      <c r="AI100" s="20">
        <f>VLOOKUP($R100,武学奇术!$A:$ZZ,26,FALSE)</f>
        <v>2.5683</v>
      </c>
      <c r="AJ100" s="21">
        <f>VLOOKUP($R100,武学奇术!$A:$ZZ,27,FALSE)*(1+IF(OR($AH100=$F$4,$AH100=$F$5),$B$22,0))</f>
        <v>995.4</v>
      </c>
      <c r="AK100" s="20">
        <f>VLOOKUP($R100,武学奇术!$A:$ZZ,28,FALSE)</f>
        <v>3.8524</v>
      </c>
      <c r="AL100" s="21">
        <f>VLOOKUP($R100,武学奇术!$A:$ZZ,29,FALSE)*(1+IF(OR($AH100=$F$4,$AH100=$F$5),$B$22,0))</f>
        <v>541.8</v>
      </c>
      <c r="AM100" s="20" cm="1">
        <f t="array" ref="AM100">$G$3+IFERROR(VLOOKUP($AH100,$F$4:$G$7,2,FALSE),0)+VLOOKUP($R100,武学奇术!$A:$ZZ,2,FALSE)+SUM(_xlfn.XLOOKUP($S100:$AG100,增益!$A:$A,增益!$B:$B,0))</f>
        <v>0.5539</v>
      </c>
      <c r="AN100" s="20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1548.52</v>
      </c>
      <c r="AP100" cm="1">
        <f t="array" ref="AP100">$E$10*(1+$AN100)+VLOOKUP($R100,武学奇术!$A:$ZZ,4,FALSE)+SUM(_xlfn.XLOOKUP($S100:$AG100,增益!$A:$A,增益!$D:$D,0))-$I$2</f>
        <v>6659.56</v>
      </c>
      <c r="AQ100" s="29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0.2425</v>
      </c>
      <c r="AR100" s="29" cm="1">
        <f t="array" ref="AR100">$G$10+VLOOKUP($R100,武学奇术!$A:$ZZ,7,FALSE)+SUM(_xlfn.XLOOKUP(S100:AG100,增益!$A:$A,增益!$G:$G,0))</f>
        <v>0</v>
      </c>
      <c r="AS100" s="20" cm="1">
        <f t="array" ref="AS100">VLOOKUP($R100,武学奇术!$A:$ZZ,8,FALSE)+SUM(_xlfn.XLOOKUP(S100:AG100,增益!$A:$A,增益!$H:$H,0))</f>
        <v>0</v>
      </c>
      <c r="AT100">
        <f t="shared" si="12"/>
        <v>538</v>
      </c>
      <c r="AU100">
        <f t="shared" si="13"/>
        <v>1011</v>
      </c>
      <c r="AV100" s="29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29" cm="1">
        <f t="array" ref="AW100">$G$11+VLOOKUP($R100,武学奇术!$A:$ZZ,10,FALSE)+SUM(_xlfn.XLOOKUP(S100:AG100,增益!$A:$A,增益!$J:$J,0))</f>
        <v>0.15</v>
      </c>
      <c r="AX100">
        <f t="shared" si="14"/>
        <v>0</v>
      </c>
      <c r="AY100">
        <f t="shared" si="15"/>
        <v>0</v>
      </c>
      <c r="AZ100" s="29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29" cm="1">
        <f t="array" ref="BA100">$G$12+VLOOKUP($R100,武学奇术!$A:$ZZ,12,FALSE)+SUM(_xlfn.XLOOKUP(S100:AG100,增益!$A:$A,增益!$L:$L,0))</f>
        <v>0</v>
      </c>
      <c r="BB100">
        <f t="shared" si="16"/>
        <v>0</v>
      </c>
      <c r="BC100">
        <f t="shared" si="17"/>
        <v>0</v>
      </c>
      <c r="BD100" s="29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29" cm="1">
        <f t="array" ref="BE100">$G$13+VLOOKUP($R100,武学奇术!$A:$ZZ,14,FALSE)+SUM(_xlfn.XLOOKUP(S100:AG100,增益!$A:$A,增益!$N:$N,0))</f>
        <v>0</v>
      </c>
      <c r="BF100">
        <f t="shared" si="18"/>
        <v>0</v>
      </c>
      <c r="BG100">
        <f t="shared" si="19"/>
        <v>0</v>
      </c>
      <c r="BH100" s="29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29" cm="1">
        <f t="array" ref="BI100">$G$14+VLOOKUP($R100,武学奇术!$A:$ZZ,16,FALSE)+SUM(_xlfn.XLOOKUP(S100:AG100,增益!$A:$A,增益!$P:$P,0))</f>
        <v>0</v>
      </c>
      <c r="BJ100" s="20">
        <f>MIN(IF(VLOOKUP($R100,武学奇术!$A:$ZZ,23,FALSE)=1,100%,$B$8),100%)</f>
        <v>0.8271</v>
      </c>
      <c r="BK100" s="20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0.2249</v>
      </c>
      <c r="BL100" s="20" cm="1">
        <f t="array" ref="BL100">1+$B$13+VLOOKUP($R100,武学奇术!$A:$ZZ,18,FALSE)+SUM(_xlfn.XLOOKUP(S100:AG100,增益!$A:$A,增益!$R:$R,0))</f>
        <v>1.5</v>
      </c>
      <c r="BM100" s="20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0.4459</v>
      </c>
      <c r="BN100" s="20" cm="1">
        <f t="array" ref="BN100">1+$B$14+VLOOKUP($R100,武学奇术!$A:$ZZ,20,FALSE)+SUM(_xlfn.XLOOKUP(S100:AG100,增益!$A:$A,增益!$T:$T,0))</f>
        <v>1.602</v>
      </c>
      <c r="BO100" s="20">
        <f t="shared" si="20"/>
        <v>0.18601479</v>
      </c>
      <c r="BP100" s="20">
        <f t="shared" si="21"/>
        <v>0.27228132</v>
      </c>
      <c r="BQ100" s="20">
        <f>IF(VLOOKUP($R100,武学奇术!$A:$ZZ,22,FALSE)=1,0,(1-$BJ100))*(1-$BM100)</f>
        <v>0.09580389</v>
      </c>
      <c r="BR100" s="20" cm="1">
        <f t="array" ref="BR100">SUM(_xlfn.XLOOKUP(S100:AG100,增益!$A:$A,增益!$W:$W,0))+$I$5</f>
        <v>0.11</v>
      </c>
    </row>
    <row r="101" spans="11:70">
      <c r="K101" s="27">
        <f>$L101*VLOOKUP($R101,武学奇术!$A:$ZZ,31,FALSE)</f>
        <v>99479.3943371952</v>
      </c>
      <c r="L101" s="27">
        <f t="shared" si="11"/>
        <v>165798.990561992</v>
      </c>
      <c r="M101" s="27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89687.4709676233</v>
      </c>
      <c r="N101" s="27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165798.990561992</v>
      </c>
      <c r="O101" s="27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59791.6473117489</v>
      </c>
      <c r="P101" s="27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26542.3347121667</v>
      </c>
      <c r="Q101" s="35">
        <v>1</v>
      </c>
      <c r="R101" s="36" t="s">
        <v>98</v>
      </c>
      <c r="S101" s="36" t="s">
        <v>71</v>
      </c>
      <c r="T101" s="36" t="s">
        <v>99</v>
      </c>
      <c r="U101" s="36" t="s">
        <v>100</v>
      </c>
      <c r="V101" s="36" t="s">
        <v>101</v>
      </c>
      <c r="W101" s="36" t="s">
        <v>111</v>
      </c>
      <c r="X101" s="36" t="s">
        <v>71</v>
      </c>
      <c r="Y101" s="36" t="s">
        <v>71</v>
      </c>
      <c r="Z101" s="36" t="s">
        <v>71</v>
      </c>
      <c r="AA101" s="36" t="s">
        <v>71</v>
      </c>
      <c r="AB101" s="36" t="s">
        <v>71</v>
      </c>
      <c r="AC101" s="36" t="s">
        <v>71</v>
      </c>
      <c r="AD101" s="36" t="s">
        <v>72</v>
      </c>
      <c r="AE101" s="36" t="s">
        <v>94</v>
      </c>
      <c r="AF101" s="36" t="s">
        <v>154</v>
      </c>
      <c r="AG101" s="36" t="s">
        <v>120</v>
      </c>
      <c r="AH101" t="str">
        <f>VLOOKUP($R101,武学奇术!$A:$ZZ,25,FALSE)</f>
        <v>剑</v>
      </c>
      <c r="AI101" s="20">
        <f>VLOOKUP($R101,武学奇术!$A:$ZZ,26,FALSE)</f>
        <v>2.496</v>
      </c>
      <c r="AJ101" s="21">
        <f>VLOOKUP($R101,武学奇术!$A:$ZZ,27,FALSE)*(1+IF(OR($AH101=$F$4,$AH101=$F$5),$B$22,0))</f>
        <v>0</v>
      </c>
      <c r="AK101" s="20">
        <f>VLOOKUP($R101,武学奇术!$A:$ZZ,28,FALSE)</f>
        <v>3.744</v>
      </c>
      <c r="AL101" s="21">
        <f>VLOOKUP($R101,武学奇术!$A:$ZZ,29,FALSE)*(1+IF(OR($AH101=$F$4,$AH101=$F$5),$B$22,0))</f>
        <v>0</v>
      </c>
      <c r="AM101" s="20" cm="1">
        <f t="array" ref="AM101">$G$3+IFERROR(VLOOKUP($AH101,$F$4:$G$7,2,FALSE),0)+VLOOKUP($R101,武学奇术!$A:$ZZ,2,FALSE)+SUM(_xlfn.XLOOKUP($S101:$AG101,增益!$A:$A,增益!$B:$B,0))</f>
        <v>1.3891</v>
      </c>
      <c r="AN101" s="20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1548.52</v>
      </c>
      <c r="AP101" cm="1">
        <f t="array" ref="AP101">$E$10*(1+$AN101)+VLOOKUP($R101,武学奇术!$A:$ZZ,4,FALSE)+SUM(_xlfn.XLOOKUP($S101:$AG101,增益!$A:$A,增益!$D:$D,0))-$I$2</f>
        <v>6659.56</v>
      </c>
      <c r="AQ101" s="29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0.3175</v>
      </c>
      <c r="AR101" s="29" cm="1">
        <f t="array" ref="AR101">$G$10+VLOOKUP($R101,武学奇术!$A:$ZZ,7,FALSE)+SUM(_xlfn.XLOOKUP(S101:AG101,增益!$A:$A,增益!$G:$G,0))</f>
        <v>0</v>
      </c>
      <c r="AS101" s="20" cm="1">
        <f t="array" ref="AS101">VLOOKUP($R101,武学奇术!$A:$ZZ,8,FALSE)+SUM(_xlfn.XLOOKUP(S101:AG101,增益!$A:$A,增益!$H:$H,0))</f>
        <v>0</v>
      </c>
      <c r="AT101">
        <f t="shared" si="12"/>
        <v>538</v>
      </c>
      <c r="AU101">
        <f t="shared" si="13"/>
        <v>1011</v>
      </c>
      <c r="AV101" s="29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0.075</v>
      </c>
      <c r="AW101" s="29" cm="1">
        <f t="array" ref="AW101">$G$11+VLOOKUP($R101,武学奇术!$A:$ZZ,10,FALSE)+SUM(_xlfn.XLOOKUP(S101:AG101,增益!$A:$A,增益!$J:$J,0))</f>
        <v>0.15</v>
      </c>
      <c r="AX101">
        <f t="shared" si="14"/>
        <v>0</v>
      </c>
      <c r="AY101">
        <f t="shared" si="15"/>
        <v>0</v>
      </c>
      <c r="AZ101" s="29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29" cm="1">
        <f t="array" ref="BA101">$G$12+VLOOKUP($R101,武学奇术!$A:$ZZ,12,FALSE)+SUM(_xlfn.XLOOKUP(S101:AG101,增益!$A:$A,增益!$L:$L,0))</f>
        <v>0</v>
      </c>
      <c r="BB101">
        <f t="shared" si="16"/>
        <v>0</v>
      </c>
      <c r="BC101">
        <f t="shared" si="17"/>
        <v>0</v>
      </c>
      <c r="BD101" s="29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29" cm="1">
        <f t="array" ref="BE101">$G$13+VLOOKUP($R101,武学奇术!$A:$ZZ,14,FALSE)+SUM(_xlfn.XLOOKUP(S101:AG101,增益!$A:$A,增益!$N:$N,0))</f>
        <v>0</v>
      </c>
      <c r="BF101">
        <f t="shared" si="18"/>
        <v>0</v>
      </c>
      <c r="BG101">
        <f t="shared" si="19"/>
        <v>0</v>
      </c>
      <c r="BH101" s="29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29" cm="1">
        <f t="array" ref="BI101">$G$14+VLOOKUP($R101,武学奇术!$A:$ZZ,16,FALSE)+SUM(_xlfn.XLOOKUP(S101:AG101,增益!$A:$A,增益!$P:$P,0))</f>
        <v>0</v>
      </c>
      <c r="BJ101" s="20">
        <f>MIN(IF(VLOOKUP($R101,武学奇术!$A:$ZZ,23,FALSE)=1,100%,$B$8),100%)</f>
        <v>0.8271</v>
      </c>
      <c r="BK101" s="20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</v>
      </c>
      <c r="BL101" s="20" cm="1">
        <f t="array" ref="BL101">1+$B$13+VLOOKUP($R101,武学奇术!$A:$ZZ,18,FALSE)+SUM(_xlfn.XLOOKUP(S101:AG101,增益!$A:$A,增益!$R:$R,0))</f>
        <v>1.5</v>
      </c>
      <c r="BM101" s="20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1</v>
      </c>
      <c r="BN101" s="20" cm="1">
        <f t="array" ref="BN101">1+$B$14+VLOOKUP($R101,武学奇术!$A:$ZZ,20,FALSE)+SUM(_xlfn.XLOOKUP(S101:AG101,增益!$A:$A,增益!$T:$T,0))</f>
        <v>1.782</v>
      </c>
      <c r="BO101" s="20">
        <f t="shared" si="20"/>
        <v>0</v>
      </c>
      <c r="BP101" s="20">
        <f t="shared" si="21"/>
        <v>0</v>
      </c>
      <c r="BQ101" s="20">
        <f>IF(VLOOKUP($R101,武学奇术!$A:$ZZ,22,FALSE)=1,0,(1-$BJ101))*(1-$BM101)</f>
        <v>0</v>
      </c>
      <c r="BR101" s="20" cm="1">
        <f t="array" ref="BR101">SUM(_xlfn.XLOOKUP(S101:AG101,增益!$A:$A,增益!$W:$W,0))+$I$5</f>
        <v>0.11</v>
      </c>
    </row>
    <row r="102" spans="11:70">
      <c r="K102" s="27">
        <f>$L102*VLOOKUP($R102,武学奇术!$A:$ZZ,31,FALSE)</f>
        <v>25993.2692862864</v>
      </c>
      <c r="L102" s="27">
        <f t="shared" si="11"/>
        <v>25993.2692862864</v>
      </c>
      <c r="M102" s="27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23404.7266871756</v>
      </c>
      <c r="N102" s="27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37300.2126922078</v>
      </c>
      <c r="O102" s="27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15603.1511247837</v>
      </c>
      <c r="P102" s="27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7922.77372759012</v>
      </c>
      <c r="Q102" s="35">
        <v>1</v>
      </c>
      <c r="R102" s="36" t="s">
        <v>92</v>
      </c>
      <c r="S102" s="36" t="s">
        <v>71</v>
      </c>
      <c r="T102" s="36" t="s">
        <v>93</v>
      </c>
      <c r="U102" s="36" t="s">
        <v>71</v>
      </c>
      <c r="V102" s="36" t="s">
        <v>71</v>
      </c>
      <c r="W102" s="36" t="s">
        <v>111</v>
      </c>
      <c r="X102" s="36" t="s">
        <v>71</v>
      </c>
      <c r="Y102" s="36" t="s">
        <v>71</v>
      </c>
      <c r="Z102" s="36" t="s">
        <v>71</v>
      </c>
      <c r="AA102" s="36" t="s">
        <v>71</v>
      </c>
      <c r="AB102" s="36" t="s">
        <v>71</v>
      </c>
      <c r="AC102" s="36" t="s">
        <v>71</v>
      </c>
      <c r="AD102" s="36" t="s">
        <v>72</v>
      </c>
      <c r="AE102" s="36" t="s">
        <v>94</v>
      </c>
      <c r="AF102" s="36" t="s">
        <v>154</v>
      </c>
      <c r="AG102" s="36" t="s">
        <v>120</v>
      </c>
      <c r="AH102" t="str">
        <f>VLOOKUP($R102,武学奇术!$A:$ZZ,25,FALSE)</f>
        <v>剑</v>
      </c>
      <c r="AI102" s="20">
        <f>VLOOKUP($R102,武学奇术!$A:$ZZ,26,FALSE)</f>
        <v>1.1781</v>
      </c>
      <c r="AJ102" s="21">
        <f>VLOOKUP($R102,武学奇术!$A:$ZZ,27,FALSE)*(1+IF(OR($AH102=$F$4,$AH102=$F$5),$B$22,0))</f>
        <v>456.4</v>
      </c>
      <c r="AK102" s="20">
        <f>VLOOKUP($R102,武学奇术!$A:$ZZ,28,FALSE)</f>
        <v>1.7672</v>
      </c>
      <c r="AL102" s="21">
        <f>VLOOKUP($R102,武学奇术!$A:$ZZ,29,FALSE)*(1+IF(OR($AH102=$F$4,$AH102=$F$5),$B$22,0))</f>
        <v>247.8</v>
      </c>
      <c r="AM102" s="20" cm="1">
        <f t="array" ref="AM102">$G$3+IFERROR(VLOOKUP($AH102,$F$4:$G$7,2,FALSE),0)+VLOOKUP($R102,武学奇术!$A:$ZZ,2,FALSE)+SUM(_xlfn.XLOOKUP($S102:$AG102,增益!$A:$A,增益!$B:$B,0))</f>
        <v>0.6391</v>
      </c>
      <c r="AN102" s="20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1548.52</v>
      </c>
      <c r="AP102" cm="1">
        <f t="array" ref="AP102">$E$10*(1+$AN102)+VLOOKUP($R102,武学奇术!$A:$ZZ,4,FALSE)+SUM(_xlfn.XLOOKUP($S102:$AG102,增益!$A:$A,增益!$D:$D,0))-$I$2</f>
        <v>6659.56</v>
      </c>
      <c r="AQ102" s="29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0.2425</v>
      </c>
      <c r="AR102" s="29" cm="1">
        <f t="array" ref="AR102">$G$10+VLOOKUP($R102,武学奇术!$A:$ZZ,7,FALSE)+SUM(_xlfn.XLOOKUP(S102:AG102,增益!$A:$A,增益!$G:$G,0))</f>
        <v>0</v>
      </c>
      <c r="AS102" s="20" cm="1">
        <f t="array" ref="AS102">VLOOKUP($R102,武学奇术!$A:$ZZ,8,FALSE)+SUM(_xlfn.XLOOKUP(S102:AG102,增益!$A:$A,增益!$H:$H,0))</f>
        <v>0</v>
      </c>
      <c r="AT102">
        <f t="shared" si="12"/>
        <v>538</v>
      </c>
      <c r="AU102">
        <f t="shared" si="13"/>
        <v>1011</v>
      </c>
      <c r="AV102" s="29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</v>
      </c>
      <c r="AW102" s="29" cm="1">
        <f t="array" ref="AW102">$G$11+VLOOKUP($R102,武学奇术!$A:$ZZ,10,FALSE)+SUM(_xlfn.XLOOKUP(S102:AG102,增益!$A:$A,增益!$J:$J,0))</f>
        <v>0.15</v>
      </c>
      <c r="AX102">
        <f t="shared" si="14"/>
        <v>0</v>
      </c>
      <c r="AY102">
        <f t="shared" si="15"/>
        <v>0</v>
      </c>
      <c r="AZ102" s="29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29" cm="1">
        <f t="array" ref="BA102">$G$12+VLOOKUP($R102,武学奇术!$A:$ZZ,12,FALSE)+SUM(_xlfn.XLOOKUP(S102:AG102,增益!$A:$A,增益!$L:$L,0))</f>
        <v>0</v>
      </c>
      <c r="BB102">
        <f t="shared" si="16"/>
        <v>0</v>
      </c>
      <c r="BC102">
        <f t="shared" si="17"/>
        <v>0</v>
      </c>
      <c r="BD102" s="29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29" cm="1">
        <f t="array" ref="BE102">$G$13+VLOOKUP($R102,武学奇术!$A:$ZZ,14,FALSE)+SUM(_xlfn.XLOOKUP(S102:AG102,增益!$A:$A,增益!$N:$N,0))</f>
        <v>0</v>
      </c>
      <c r="BF102">
        <f t="shared" si="18"/>
        <v>0</v>
      </c>
      <c r="BG102">
        <f t="shared" si="19"/>
        <v>0</v>
      </c>
      <c r="BH102" s="29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29" cm="1">
        <f t="array" ref="BI102">$G$14+VLOOKUP($R102,武学奇术!$A:$ZZ,16,FALSE)+SUM(_xlfn.XLOOKUP(S102:AG102,增益!$A:$A,增益!$P:$P,0))</f>
        <v>0</v>
      </c>
      <c r="BJ102" s="20">
        <f>MIN(IF(VLOOKUP($R102,武学奇术!$A:$ZZ,23,FALSE)=1,100%,$B$8),100%)</f>
        <v>0.8271</v>
      </c>
      <c r="BK102" s="20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0.2249</v>
      </c>
      <c r="BL102" s="20" cm="1">
        <f t="array" ref="BL102">1+$B$13+VLOOKUP($R102,武学奇术!$A:$ZZ,18,FALSE)+SUM(_xlfn.XLOOKUP(S102:AG102,增益!$A:$A,增益!$R:$R,0))</f>
        <v>1.5</v>
      </c>
      <c r="BM102" s="20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0.4459</v>
      </c>
      <c r="BN102" s="20" cm="1">
        <f t="array" ref="BN102">1+$B$14+VLOOKUP($R102,武学奇术!$A:$ZZ,20,FALSE)+SUM(_xlfn.XLOOKUP(S102:AG102,增益!$A:$A,增益!$T:$T,0))</f>
        <v>1.602</v>
      </c>
      <c r="BO102" s="20">
        <f t="shared" si="20"/>
        <v>0.18601479</v>
      </c>
      <c r="BP102" s="20">
        <f t="shared" si="21"/>
        <v>0.27228132</v>
      </c>
      <c r="BQ102" s="20">
        <f>IF(VLOOKUP($R102,武学奇术!$A:$ZZ,22,FALSE)=1,0,(1-$BJ102))*(1-$BM102)</f>
        <v>0.09580389</v>
      </c>
      <c r="BR102" s="20" cm="1">
        <f t="array" ref="BR102">SUM(_xlfn.XLOOKUP(S102:AG102,增益!$A:$A,增益!$W:$W,0))+$I$5</f>
        <v>0.11</v>
      </c>
    </row>
    <row r="103" spans="11:70">
      <c r="K103" s="27">
        <f>$L103*VLOOKUP($R103,武学奇术!$A:$ZZ,31,FALSE)</f>
        <v>65661.5841236345</v>
      </c>
      <c r="L103" s="27">
        <f t="shared" si="11"/>
        <v>109435.973539391</v>
      </c>
      <c r="M103" s="27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89687.4709676233</v>
      </c>
      <c r="N103" s="27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165798.990561992</v>
      </c>
      <c r="O103" s="27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59791.6473117489</v>
      </c>
      <c r="P103" s="27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26542.3347121667</v>
      </c>
      <c r="Q103" s="35">
        <v>1</v>
      </c>
      <c r="R103" s="36" t="s">
        <v>105</v>
      </c>
      <c r="S103" s="36" t="s">
        <v>71</v>
      </c>
      <c r="T103" s="36" t="s">
        <v>99</v>
      </c>
      <c r="U103" s="36" t="s">
        <v>100</v>
      </c>
      <c r="V103" s="36" t="s">
        <v>101</v>
      </c>
      <c r="W103" s="36" t="s">
        <v>111</v>
      </c>
      <c r="X103" s="36" t="s">
        <v>71</v>
      </c>
      <c r="Y103" s="36" t="s">
        <v>71</v>
      </c>
      <c r="Z103" s="36" t="s">
        <v>71</v>
      </c>
      <c r="AA103" s="36" t="s">
        <v>71</v>
      </c>
      <c r="AB103" s="36" t="s">
        <v>71</v>
      </c>
      <c r="AC103" s="36" t="s">
        <v>71</v>
      </c>
      <c r="AD103" s="36" t="s">
        <v>72</v>
      </c>
      <c r="AE103" s="36" t="s">
        <v>94</v>
      </c>
      <c r="AF103" s="36" t="s">
        <v>154</v>
      </c>
      <c r="AG103" s="36" t="s">
        <v>120</v>
      </c>
      <c r="AH103" t="str">
        <f>VLOOKUP($R103,武学奇术!$A:$ZZ,25,FALSE)</f>
        <v>剑</v>
      </c>
      <c r="AI103" s="20">
        <f>VLOOKUP($R103,武学奇术!$A:$ZZ,26,FALSE)</f>
        <v>2.496</v>
      </c>
      <c r="AJ103" s="21">
        <f>VLOOKUP($R103,武学奇术!$A:$ZZ,27,FALSE)*(1+IF(OR($AH103=$F$4,$AH103=$F$5),$B$22,0))</f>
        <v>0</v>
      </c>
      <c r="AK103" s="20">
        <f>VLOOKUP($R103,武学奇术!$A:$ZZ,28,FALSE)</f>
        <v>3.744</v>
      </c>
      <c r="AL103" s="21">
        <f>VLOOKUP($R103,武学奇术!$A:$ZZ,29,FALSE)*(1+IF(OR($AH103=$F$4,$AH103=$F$5),$B$22,0))</f>
        <v>0</v>
      </c>
      <c r="AM103" s="20" cm="1">
        <f t="array" ref="AM103">$G$3+IFERROR(VLOOKUP($AH103,$F$4:$G$7,2,FALSE),0)+VLOOKUP($R103,武学奇术!$A:$ZZ,2,FALSE)+SUM(_xlfn.XLOOKUP($S103:$AG103,增益!$A:$A,增益!$B:$B,0))</f>
        <v>1.3891</v>
      </c>
      <c r="AN103" s="20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1548.52</v>
      </c>
      <c r="AP103" cm="1">
        <f t="array" ref="AP103">$E$10*(1+$AN103)+VLOOKUP($R103,武学奇术!$A:$ZZ,4,FALSE)+SUM(_xlfn.XLOOKUP($S103:$AG103,增益!$A:$A,增益!$D:$D,0))-$I$2</f>
        <v>6659.56</v>
      </c>
      <c r="AQ103" s="29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0.3175</v>
      </c>
      <c r="AR103" s="29" cm="1">
        <f t="array" ref="AR103">$G$10+VLOOKUP($R103,武学奇术!$A:$ZZ,7,FALSE)+SUM(_xlfn.XLOOKUP(S103:AG103,增益!$A:$A,增益!$G:$G,0))</f>
        <v>0</v>
      </c>
      <c r="AS103" s="20" cm="1">
        <f t="array" ref="AS103">VLOOKUP($R103,武学奇术!$A:$ZZ,8,FALSE)+SUM(_xlfn.XLOOKUP(S103:AG103,增益!$A:$A,增益!$H:$H,0))</f>
        <v>0</v>
      </c>
      <c r="AT103">
        <f t="shared" si="12"/>
        <v>538</v>
      </c>
      <c r="AU103">
        <f t="shared" si="13"/>
        <v>1011</v>
      </c>
      <c r="AV103" s="29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0.075</v>
      </c>
      <c r="AW103" s="29" cm="1">
        <f t="array" ref="AW103">$G$11+VLOOKUP($R103,武学奇术!$A:$ZZ,10,FALSE)+SUM(_xlfn.XLOOKUP(S103:AG103,增益!$A:$A,增益!$J:$J,0))</f>
        <v>0.15</v>
      </c>
      <c r="AX103">
        <f t="shared" si="14"/>
        <v>0</v>
      </c>
      <c r="AY103">
        <f t="shared" si="15"/>
        <v>0</v>
      </c>
      <c r="AZ103" s="29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29" cm="1">
        <f t="array" ref="BA103">$G$12+VLOOKUP($R103,武学奇术!$A:$ZZ,12,FALSE)+SUM(_xlfn.XLOOKUP(S103:AG103,增益!$A:$A,增益!$L:$L,0))</f>
        <v>0</v>
      </c>
      <c r="BB103">
        <f t="shared" si="16"/>
        <v>0</v>
      </c>
      <c r="BC103">
        <f t="shared" si="17"/>
        <v>0</v>
      </c>
      <c r="BD103" s="29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29" cm="1">
        <f t="array" ref="BE103">$G$13+VLOOKUP($R103,武学奇术!$A:$ZZ,14,FALSE)+SUM(_xlfn.XLOOKUP(S103:AG103,增益!$A:$A,增益!$N:$N,0))</f>
        <v>0</v>
      </c>
      <c r="BF103">
        <f t="shared" si="18"/>
        <v>0</v>
      </c>
      <c r="BG103">
        <f t="shared" si="19"/>
        <v>0</v>
      </c>
      <c r="BH103" s="29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29" cm="1">
        <f t="array" ref="BI103">$G$14+VLOOKUP($R103,武学奇术!$A:$ZZ,16,FALSE)+SUM(_xlfn.XLOOKUP(S103:AG103,增益!$A:$A,增益!$P:$P,0))</f>
        <v>0</v>
      </c>
      <c r="BJ103" s="20">
        <f>MIN(IF(VLOOKUP($R103,武学奇术!$A:$ZZ,23,FALSE)=1,100%,$B$8),100%)</f>
        <v>0.8271</v>
      </c>
      <c r="BK103" s="20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0.2249</v>
      </c>
      <c r="BL103" s="20" cm="1">
        <f t="array" ref="BL103">1+$B$13+VLOOKUP($R103,武学奇术!$A:$ZZ,18,FALSE)+SUM(_xlfn.XLOOKUP(S103:AG103,增益!$A:$A,增益!$R:$R,0))</f>
        <v>1.5</v>
      </c>
      <c r="BM103" s="20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0.4459</v>
      </c>
      <c r="BN103" s="20" cm="1">
        <f t="array" ref="BN103">1+$B$14+VLOOKUP($R103,武学奇术!$A:$ZZ,20,FALSE)+SUM(_xlfn.XLOOKUP(S103:AG103,增益!$A:$A,增益!$T:$T,0))</f>
        <v>1.782</v>
      </c>
      <c r="BO103" s="20">
        <f t="shared" si="20"/>
        <v>0.18601479</v>
      </c>
      <c r="BP103" s="20">
        <f t="shared" si="21"/>
        <v>0.27228132</v>
      </c>
      <c r="BQ103" s="20">
        <f>IF(VLOOKUP($R103,武学奇术!$A:$ZZ,22,FALSE)=1,0,(1-$BJ103))*(1-$BM103)</f>
        <v>0.09580389</v>
      </c>
      <c r="BR103" s="20" cm="1">
        <f t="array" ref="BR103">SUM(_xlfn.XLOOKUP(S103:AG103,增益!$A:$A,增益!$W:$W,0))+$I$5</f>
        <v>0.11</v>
      </c>
    </row>
    <row r="104" spans="11:70">
      <c r="K104" s="27">
        <f>$L104*VLOOKUP($R104,武学奇术!$A:$ZZ,31,FALSE)</f>
        <v>65661.5841236345</v>
      </c>
      <c r="L104" s="27">
        <f t="shared" si="11"/>
        <v>109435.973539391</v>
      </c>
      <c r="M104" s="27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89687.4709676233</v>
      </c>
      <c r="N104" s="27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165798.990561992</v>
      </c>
      <c r="O104" s="27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59791.6473117489</v>
      </c>
      <c r="P104" s="27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26542.3347121667</v>
      </c>
      <c r="Q104" s="35">
        <v>1</v>
      </c>
      <c r="R104" s="36" t="s">
        <v>105</v>
      </c>
      <c r="S104" s="36" t="s">
        <v>71</v>
      </c>
      <c r="T104" s="36" t="s">
        <v>99</v>
      </c>
      <c r="U104" s="36" t="s">
        <v>100</v>
      </c>
      <c r="V104" s="36" t="s">
        <v>101</v>
      </c>
      <c r="W104" s="36" t="s">
        <v>111</v>
      </c>
      <c r="X104" s="36" t="s">
        <v>71</v>
      </c>
      <c r="Y104" s="36" t="s">
        <v>71</v>
      </c>
      <c r="Z104" s="36" t="s">
        <v>71</v>
      </c>
      <c r="AA104" s="36" t="s">
        <v>71</v>
      </c>
      <c r="AB104" s="36" t="s">
        <v>71</v>
      </c>
      <c r="AC104" s="36" t="s">
        <v>71</v>
      </c>
      <c r="AD104" s="36" t="s">
        <v>72</v>
      </c>
      <c r="AE104" s="36" t="s">
        <v>94</v>
      </c>
      <c r="AF104" s="36" t="s">
        <v>154</v>
      </c>
      <c r="AG104" s="36" t="s">
        <v>120</v>
      </c>
      <c r="AH104" t="str">
        <f>VLOOKUP($R104,武学奇术!$A:$ZZ,25,FALSE)</f>
        <v>剑</v>
      </c>
      <c r="AI104" s="20">
        <f>VLOOKUP($R104,武学奇术!$A:$ZZ,26,FALSE)</f>
        <v>2.496</v>
      </c>
      <c r="AJ104" s="21">
        <f>VLOOKUP($R104,武学奇术!$A:$ZZ,27,FALSE)*(1+IF(OR($AH104=$F$4,$AH104=$F$5),$B$22,0))</f>
        <v>0</v>
      </c>
      <c r="AK104" s="20">
        <f>VLOOKUP($R104,武学奇术!$A:$ZZ,28,FALSE)</f>
        <v>3.744</v>
      </c>
      <c r="AL104" s="21">
        <f>VLOOKUP($R104,武学奇术!$A:$ZZ,29,FALSE)*(1+IF(OR($AH104=$F$4,$AH104=$F$5),$B$22,0))</f>
        <v>0</v>
      </c>
      <c r="AM104" s="20" cm="1">
        <f t="array" ref="AM104">$G$3+IFERROR(VLOOKUP($AH104,$F$4:$G$7,2,FALSE),0)+VLOOKUP($R104,武学奇术!$A:$ZZ,2,FALSE)+SUM(_xlfn.XLOOKUP($S104:$AG104,增益!$A:$A,增益!$B:$B,0))</f>
        <v>1.3891</v>
      </c>
      <c r="AN104" s="20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1548.52</v>
      </c>
      <c r="AP104" cm="1">
        <f t="array" ref="AP104">$E$10*(1+$AN104)+VLOOKUP($R104,武学奇术!$A:$ZZ,4,FALSE)+SUM(_xlfn.XLOOKUP($S104:$AG104,增益!$A:$A,增益!$D:$D,0))-$I$2</f>
        <v>6659.56</v>
      </c>
      <c r="AQ104" s="29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0.3175</v>
      </c>
      <c r="AR104" s="29" cm="1">
        <f t="array" ref="AR104">$G$10+VLOOKUP($R104,武学奇术!$A:$ZZ,7,FALSE)+SUM(_xlfn.XLOOKUP(S104:AG104,增益!$A:$A,增益!$G:$G,0))</f>
        <v>0</v>
      </c>
      <c r="AS104" s="20" cm="1">
        <f t="array" ref="AS104">VLOOKUP($R104,武学奇术!$A:$ZZ,8,FALSE)+SUM(_xlfn.XLOOKUP(S104:AG104,增益!$A:$A,增益!$H:$H,0))</f>
        <v>0</v>
      </c>
      <c r="AT104">
        <f t="shared" si="12"/>
        <v>538</v>
      </c>
      <c r="AU104">
        <f t="shared" si="13"/>
        <v>1011</v>
      </c>
      <c r="AV104" s="29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0.075</v>
      </c>
      <c r="AW104" s="29" cm="1">
        <f t="array" ref="AW104">$G$11+VLOOKUP($R104,武学奇术!$A:$ZZ,10,FALSE)+SUM(_xlfn.XLOOKUP(S104:AG104,增益!$A:$A,增益!$J:$J,0))</f>
        <v>0.15</v>
      </c>
      <c r="AX104">
        <f t="shared" si="14"/>
        <v>0</v>
      </c>
      <c r="AY104">
        <f t="shared" si="15"/>
        <v>0</v>
      </c>
      <c r="AZ104" s="29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29" cm="1">
        <f t="array" ref="BA104">$G$12+VLOOKUP($R104,武学奇术!$A:$ZZ,12,FALSE)+SUM(_xlfn.XLOOKUP(S104:AG104,增益!$A:$A,增益!$L:$L,0))</f>
        <v>0</v>
      </c>
      <c r="BB104">
        <f t="shared" si="16"/>
        <v>0</v>
      </c>
      <c r="BC104">
        <f t="shared" si="17"/>
        <v>0</v>
      </c>
      <c r="BD104" s="29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29" cm="1">
        <f t="array" ref="BE104">$G$13+VLOOKUP($R104,武学奇术!$A:$ZZ,14,FALSE)+SUM(_xlfn.XLOOKUP(S104:AG104,增益!$A:$A,增益!$N:$N,0))</f>
        <v>0</v>
      </c>
      <c r="BF104">
        <f t="shared" si="18"/>
        <v>0</v>
      </c>
      <c r="BG104">
        <f t="shared" si="19"/>
        <v>0</v>
      </c>
      <c r="BH104" s="29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29" cm="1">
        <f t="array" ref="BI104">$G$14+VLOOKUP($R104,武学奇术!$A:$ZZ,16,FALSE)+SUM(_xlfn.XLOOKUP(S104:AG104,增益!$A:$A,增益!$P:$P,0))</f>
        <v>0</v>
      </c>
      <c r="BJ104" s="20">
        <f>MIN(IF(VLOOKUP($R104,武学奇术!$A:$ZZ,23,FALSE)=1,100%,$B$8),100%)</f>
        <v>0.8271</v>
      </c>
      <c r="BK104" s="20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0.2249</v>
      </c>
      <c r="BL104" s="20" cm="1">
        <f t="array" ref="BL104">1+$B$13+VLOOKUP($R104,武学奇术!$A:$ZZ,18,FALSE)+SUM(_xlfn.XLOOKUP(S104:AG104,增益!$A:$A,增益!$R:$R,0))</f>
        <v>1.5</v>
      </c>
      <c r="BM104" s="20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0.4459</v>
      </c>
      <c r="BN104" s="20" cm="1">
        <f t="array" ref="BN104">1+$B$14+VLOOKUP($R104,武学奇术!$A:$ZZ,20,FALSE)+SUM(_xlfn.XLOOKUP(S104:AG104,增益!$A:$A,增益!$T:$T,0))</f>
        <v>1.782</v>
      </c>
      <c r="BO104" s="20">
        <f t="shared" si="20"/>
        <v>0.18601479</v>
      </c>
      <c r="BP104" s="20">
        <f t="shared" si="21"/>
        <v>0.27228132</v>
      </c>
      <c r="BQ104" s="20">
        <f>IF(VLOOKUP($R104,武学奇术!$A:$ZZ,22,FALSE)=1,0,(1-$BJ104))*(1-$BM104)</f>
        <v>0.09580389</v>
      </c>
      <c r="BR104" s="20" cm="1">
        <f t="array" ref="BR104">SUM(_xlfn.XLOOKUP(S104:AG104,增益!$A:$A,增益!$W:$W,0))+$I$5</f>
        <v>0.11</v>
      </c>
    </row>
    <row r="105" spans="11:70">
      <c r="K105" s="27">
        <f>$L105*VLOOKUP($R105,武学奇术!$A:$ZZ,31,FALSE)</f>
        <v>12482.8559209719</v>
      </c>
      <c r="L105" s="27">
        <f t="shared" si="11"/>
        <v>12482.8559209719</v>
      </c>
      <c r="M105" s="27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10976.5864405896</v>
      </c>
      <c r="N105" s="27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18250.4139742952</v>
      </c>
      <c r="O105" s="27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7317.72429372638</v>
      </c>
      <c r="P105" s="27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3243.18018901631</v>
      </c>
      <c r="Q105" s="35">
        <v>1</v>
      </c>
      <c r="R105" s="36" t="s">
        <v>107</v>
      </c>
      <c r="S105" s="36" t="s">
        <v>71</v>
      </c>
      <c r="T105" s="36" t="s">
        <v>93</v>
      </c>
      <c r="U105" s="36" t="s">
        <v>71</v>
      </c>
      <c r="V105" s="36" t="s">
        <v>71</v>
      </c>
      <c r="W105" s="36" t="s">
        <v>111</v>
      </c>
      <c r="X105" s="36" t="s">
        <v>71</v>
      </c>
      <c r="Y105" s="36" t="s">
        <v>71</v>
      </c>
      <c r="Z105" s="36" t="s">
        <v>71</v>
      </c>
      <c r="AA105" s="36" t="s">
        <v>71</v>
      </c>
      <c r="AB105" s="36" t="s">
        <v>71</v>
      </c>
      <c r="AC105" s="36" t="s">
        <v>71</v>
      </c>
      <c r="AD105" s="36" t="s">
        <v>72</v>
      </c>
      <c r="AE105" s="36" t="s">
        <v>94</v>
      </c>
      <c r="AF105" s="36" t="s">
        <v>154</v>
      </c>
      <c r="AG105" s="36" t="s">
        <v>120</v>
      </c>
      <c r="AH105" t="str">
        <f>VLOOKUP($R105,武学奇术!$A:$ZZ,25,FALSE)</f>
        <v>剑</v>
      </c>
      <c r="AI105" s="20">
        <f>VLOOKUP($R105,武学奇术!$A:$ZZ,26,FALSE)</f>
        <v>0.625</v>
      </c>
      <c r="AJ105" s="21">
        <f>VLOOKUP($R105,武学奇术!$A:$ZZ,27,FALSE)*(1+IF(OR($AH105=$F$4,$AH105=$F$5),$B$22,0))</f>
        <v>0</v>
      </c>
      <c r="AK105" s="20">
        <f>VLOOKUP($R105,武学奇术!$A:$ZZ,28,FALSE)</f>
        <v>0.9375</v>
      </c>
      <c r="AL105" s="21">
        <f>VLOOKUP($R105,武学奇术!$A:$ZZ,29,FALSE)*(1+IF(OR($AH105=$F$4,$AH105=$F$5),$B$22,0))</f>
        <v>0</v>
      </c>
      <c r="AM105" s="20" cm="1">
        <f t="array" ref="AM105">$G$3+IFERROR(VLOOKUP($AH105,$F$4:$G$7,2,FALSE),0)+VLOOKUP($R105,武学奇术!$A:$ZZ,2,FALSE)+SUM(_xlfn.XLOOKUP($S105:$AG105,增益!$A:$A,增益!$B:$B,0))</f>
        <v>0.6391</v>
      </c>
      <c r="AN105" s="20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1548.52</v>
      </c>
      <c r="AP105" cm="1">
        <f t="array" ref="AP105">$E$10*(1+$AN105)+VLOOKUP($R105,武学奇术!$A:$ZZ,4,FALSE)+SUM(_xlfn.XLOOKUP($S105:$AG105,增益!$A:$A,增益!$D:$D,0))-$I$2</f>
        <v>6659.56</v>
      </c>
      <c r="AQ105" s="29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0.2425</v>
      </c>
      <c r="AR105" s="29" cm="1">
        <f t="array" ref="AR105">$G$10+VLOOKUP($R105,武学奇术!$A:$ZZ,7,FALSE)+SUM(_xlfn.XLOOKUP(S105:AG105,增益!$A:$A,增益!$G:$G,0))</f>
        <v>0</v>
      </c>
      <c r="AS105" s="20" cm="1">
        <f t="array" ref="AS105">VLOOKUP($R105,武学奇术!$A:$ZZ,8,FALSE)+SUM(_xlfn.XLOOKUP(S105:AG105,增益!$A:$A,增益!$H:$H,0))</f>
        <v>0</v>
      </c>
      <c r="AT105">
        <f t="shared" si="12"/>
        <v>538</v>
      </c>
      <c r="AU105">
        <f t="shared" si="13"/>
        <v>1011</v>
      </c>
      <c r="AV105" s="29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29" cm="1">
        <f t="array" ref="AW105">$G$11+VLOOKUP($R105,武学奇术!$A:$ZZ,10,FALSE)+SUM(_xlfn.XLOOKUP(S105:AG105,增益!$A:$A,增益!$J:$J,0))</f>
        <v>0.15</v>
      </c>
      <c r="AX105">
        <f t="shared" si="14"/>
        <v>0</v>
      </c>
      <c r="AY105">
        <f t="shared" si="15"/>
        <v>0</v>
      </c>
      <c r="AZ105" s="29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29" cm="1">
        <f t="array" ref="BA105">$G$12+VLOOKUP($R105,武学奇术!$A:$ZZ,12,FALSE)+SUM(_xlfn.XLOOKUP(S105:AG105,增益!$A:$A,增益!$L:$L,0))</f>
        <v>0</v>
      </c>
      <c r="BB105">
        <f t="shared" si="16"/>
        <v>0</v>
      </c>
      <c r="BC105">
        <f t="shared" si="17"/>
        <v>0</v>
      </c>
      <c r="BD105" s="29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29" cm="1">
        <f t="array" ref="BE105">$G$13+VLOOKUP($R105,武学奇术!$A:$ZZ,14,FALSE)+SUM(_xlfn.XLOOKUP(S105:AG105,增益!$A:$A,增益!$N:$N,0))</f>
        <v>0</v>
      </c>
      <c r="BF105">
        <f t="shared" si="18"/>
        <v>0</v>
      </c>
      <c r="BG105">
        <f t="shared" si="19"/>
        <v>0</v>
      </c>
      <c r="BH105" s="29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29" cm="1">
        <f t="array" ref="BI105">$G$14+VLOOKUP($R105,武学奇术!$A:$ZZ,16,FALSE)+SUM(_xlfn.XLOOKUP(S105:AG105,增益!$A:$A,增益!$P:$P,0))</f>
        <v>0</v>
      </c>
      <c r="BJ105" s="20">
        <f>MIN(IF(VLOOKUP($R105,武学奇术!$A:$ZZ,23,FALSE)=1,100%,$B$8),100%)</f>
        <v>0.8271</v>
      </c>
      <c r="BK105" s="20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0.2249</v>
      </c>
      <c r="BL105" s="20" cm="1">
        <f t="array" ref="BL105">1+$B$13+VLOOKUP($R105,武学奇术!$A:$ZZ,18,FALSE)+SUM(_xlfn.XLOOKUP(S105:AG105,增益!$A:$A,增益!$R:$R,0))</f>
        <v>1.5</v>
      </c>
      <c r="BM105" s="20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0.4459</v>
      </c>
      <c r="BN105" s="20" cm="1">
        <f t="array" ref="BN105">1+$B$14+VLOOKUP($R105,武学奇术!$A:$ZZ,20,FALSE)+SUM(_xlfn.XLOOKUP(S105:AG105,增益!$A:$A,增益!$T:$T,0))</f>
        <v>1.602</v>
      </c>
      <c r="BO105" s="20">
        <f t="shared" si="20"/>
        <v>0.18601479</v>
      </c>
      <c r="BP105" s="20">
        <f t="shared" si="21"/>
        <v>0.27228132</v>
      </c>
      <c r="BQ105" s="20">
        <f>IF(VLOOKUP($R105,武学奇术!$A:$ZZ,22,FALSE)=1,0,(1-$BJ105))*(1-$BM105)</f>
        <v>0.09580389</v>
      </c>
      <c r="BR105" s="20" cm="1">
        <f t="array" ref="BR105">SUM(_xlfn.XLOOKUP(S105:AG105,增益!$A:$A,增益!$W:$W,0))+$I$5</f>
        <v>0.11</v>
      </c>
    </row>
    <row r="106" spans="11:70">
      <c r="K106" s="27">
        <f>$L106*VLOOKUP($R106,武学奇术!$A:$ZZ,31,FALSE)</f>
        <v>60008.8741699672</v>
      </c>
      <c r="L106" s="27">
        <f t="shared" si="11"/>
        <v>60008.8741699672</v>
      </c>
      <c r="M106" s="27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54029.8566897072</v>
      </c>
      <c r="N106" s="27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86116.3203141061</v>
      </c>
      <c r="O106" s="27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36019.9044598048</v>
      </c>
      <c r="P106" s="27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18284.3031055609</v>
      </c>
      <c r="Q106" s="35">
        <v>1</v>
      </c>
      <c r="R106" s="36" t="s">
        <v>81</v>
      </c>
      <c r="S106" s="36" t="s">
        <v>71</v>
      </c>
      <c r="T106" s="36" t="s">
        <v>93</v>
      </c>
      <c r="U106" s="36" t="s">
        <v>71</v>
      </c>
      <c r="V106" s="36" t="s">
        <v>71</v>
      </c>
      <c r="W106" s="36" t="s">
        <v>111</v>
      </c>
      <c r="X106" s="36" t="s">
        <v>71</v>
      </c>
      <c r="Y106" s="36" t="s">
        <v>71</v>
      </c>
      <c r="Z106" s="36" t="s">
        <v>71</v>
      </c>
      <c r="AA106" s="36" t="s">
        <v>71</v>
      </c>
      <c r="AB106" s="36" t="s">
        <v>71</v>
      </c>
      <c r="AC106" s="36" t="s">
        <v>71</v>
      </c>
      <c r="AD106" s="36" t="s">
        <v>72</v>
      </c>
      <c r="AE106" s="36" t="s">
        <v>94</v>
      </c>
      <c r="AF106" s="36" t="s">
        <v>154</v>
      </c>
      <c r="AG106" s="36" t="s">
        <v>120</v>
      </c>
      <c r="AH106" t="str">
        <f>VLOOKUP($R106,武学奇术!$A:$ZZ,25,FALSE)</f>
        <v>剑</v>
      </c>
      <c r="AI106" s="20">
        <f>VLOOKUP($R106,武学奇术!$A:$ZZ,26,FALSE)</f>
        <v>2.7205</v>
      </c>
      <c r="AJ106" s="21">
        <f>VLOOKUP($R106,武学奇术!$A:$ZZ,27,FALSE)*(1+IF(OR($AH106=$F$4,$AH106=$F$5),$B$22,0))</f>
        <v>1048.6</v>
      </c>
      <c r="AK106" s="20">
        <f>VLOOKUP($R106,武学奇术!$A:$ZZ,28,FALSE)</f>
        <v>4.0806</v>
      </c>
      <c r="AL106" s="21">
        <f>VLOOKUP($R106,武学奇术!$A:$ZZ,29,FALSE)*(1+IF(OR($AH106=$F$4,$AH106=$F$5),$B$22,0))</f>
        <v>572.6</v>
      </c>
      <c r="AM106" s="20" cm="1">
        <f t="array" ref="AM106">$G$3+IFERROR(VLOOKUP($AH106,$F$4:$G$7,2,FALSE),0)+VLOOKUP($R106,武学奇术!$A:$ZZ,2,FALSE)+SUM(_xlfn.XLOOKUP($S106:$AG106,增益!$A:$A,增益!$B:$B,0))</f>
        <v>0.6391</v>
      </c>
      <c r="AN106" s="20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1548.52</v>
      </c>
      <c r="AP106" cm="1">
        <f t="array" ref="AP106">$E$10*(1+$AN106)+VLOOKUP($R106,武学奇术!$A:$ZZ,4,FALSE)+SUM(_xlfn.XLOOKUP($S106:$AG106,增益!$A:$A,增益!$D:$D,0))-$I$2</f>
        <v>6659.56</v>
      </c>
      <c r="AQ106" s="29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0.2425</v>
      </c>
      <c r="AR106" s="29" cm="1">
        <f t="array" ref="AR106">$G$10+VLOOKUP($R106,武学奇术!$A:$ZZ,7,FALSE)+SUM(_xlfn.XLOOKUP(S106:AG106,增益!$A:$A,增益!$G:$G,0))</f>
        <v>0</v>
      </c>
      <c r="AS106" s="20" cm="1">
        <f t="array" ref="AS106">VLOOKUP($R106,武学奇术!$A:$ZZ,8,FALSE)+SUM(_xlfn.XLOOKUP(S106:AG106,增益!$A:$A,增益!$H:$H,0))</f>
        <v>0</v>
      </c>
      <c r="AT106">
        <f t="shared" si="12"/>
        <v>538</v>
      </c>
      <c r="AU106">
        <f t="shared" si="13"/>
        <v>1011</v>
      </c>
      <c r="AV106" s="29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</v>
      </c>
      <c r="AW106" s="29" cm="1">
        <f t="array" ref="AW106">$G$11+VLOOKUP($R106,武学奇术!$A:$ZZ,10,FALSE)+SUM(_xlfn.XLOOKUP(S106:AG106,增益!$A:$A,增益!$J:$J,0))</f>
        <v>0.15</v>
      </c>
      <c r="AX106">
        <f t="shared" si="14"/>
        <v>0</v>
      </c>
      <c r="AY106">
        <f t="shared" si="15"/>
        <v>0</v>
      </c>
      <c r="AZ106" s="29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29" cm="1">
        <f t="array" ref="BA106">$G$12+VLOOKUP($R106,武学奇术!$A:$ZZ,12,FALSE)+SUM(_xlfn.XLOOKUP(S106:AG106,增益!$A:$A,增益!$L:$L,0))</f>
        <v>0</v>
      </c>
      <c r="BB106">
        <f t="shared" si="16"/>
        <v>0</v>
      </c>
      <c r="BC106">
        <f t="shared" si="17"/>
        <v>0</v>
      </c>
      <c r="BD106" s="29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29" cm="1">
        <f t="array" ref="BE106">$G$13+VLOOKUP($R106,武学奇术!$A:$ZZ,14,FALSE)+SUM(_xlfn.XLOOKUP(S106:AG106,增益!$A:$A,增益!$N:$N,0))</f>
        <v>0</v>
      </c>
      <c r="BF106">
        <f t="shared" si="18"/>
        <v>0</v>
      </c>
      <c r="BG106">
        <f t="shared" si="19"/>
        <v>0</v>
      </c>
      <c r="BH106" s="29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29" cm="1">
        <f t="array" ref="BI106">$G$14+VLOOKUP($R106,武学奇术!$A:$ZZ,16,FALSE)+SUM(_xlfn.XLOOKUP(S106:AG106,增益!$A:$A,增益!$P:$P,0))</f>
        <v>0</v>
      </c>
      <c r="BJ106" s="20">
        <f>MIN(IF(VLOOKUP($R106,武学奇术!$A:$ZZ,23,FALSE)=1,100%,$B$8),100%)</f>
        <v>0.8271</v>
      </c>
      <c r="BK106" s="20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0.2249</v>
      </c>
      <c r="BL106" s="20" cm="1">
        <f t="array" ref="BL106">1+$B$13+VLOOKUP($R106,武学奇术!$A:$ZZ,18,FALSE)+SUM(_xlfn.XLOOKUP(S106:AG106,增益!$A:$A,增益!$R:$R,0))</f>
        <v>1.5</v>
      </c>
      <c r="BM106" s="20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0.4459</v>
      </c>
      <c r="BN106" s="20" cm="1">
        <f t="array" ref="BN106">1+$B$14+VLOOKUP($R106,武学奇术!$A:$ZZ,20,FALSE)+SUM(_xlfn.XLOOKUP(S106:AG106,增益!$A:$A,增益!$T:$T,0))</f>
        <v>1.602</v>
      </c>
      <c r="BO106" s="20">
        <f t="shared" si="20"/>
        <v>0.18601479</v>
      </c>
      <c r="BP106" s="20">
        <f t="shared" si="21"/>
        <v>0.27228132</v>
      </c>
      <c r="BQ106" s="20">
        <f>IF(VLOOKUP($R106,武学奇术!$A:$ZZ,22,FALSE)=1,0,(1-$BJ106))*(1-$BM106)</f>
        <v>0.09580389</v>
      </c>
      <c r="BR106" s="20" cm="1">
        <f t="array" ref="BR106">SUM(_xlfn.XLOOKUP(S106:AG106,增益!$A:$A,增益!$W:$W,0))+$I$5</f>
        <v>0.11</v>
      </c>
    </row>
    <row r="107" spans="11:70">
      <c r="K107" s="27">
        <f>$L107*VLOOKUP($R107,武学奇术!$A:$ZZ,31,FALSE)</f>
        <v>65661.5841236345</v>
      </c>
      <c r="L107" s="27">
        <f t="shared" si="11"/>
        <v>109435.973539391</v>
      </c>
      <c r="M107" s="27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89687.4709676233</v>
      </c>
      <c r="N107" s="27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165798.990561992</v>
      </c>
      <c r="O107" s="27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59791.6473117489</v>
      </c>
      <c r="P107" s="27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26542.3347121667</v>
      </c>
      <c r="Q107" s="35">
        <v>1</v>
      </c>
      <c r="R107" s="36" t="s">
        <v>105</v>
      </c>
      <c r="S107" s="36" t="s">
        <v>71</v>
      </c>
      <c r="T107" s="36" t="s">
        <v>99</v>
      </c>
      <c r="U107" s="36" t="s">
        <v>100</v>
      </c>
      <c r="V107" s="36" t="s">
        <v>101</v>
      </c>
      <c r="W107" s="36" t="s">
        <v>111</v>
      </c>
      <c r="X107" s="36" t="s">
        <v>71</v>
      </c>
      <c r="Y107" s="36" t="s">
        <v>71</v>
      </c>
      <c r="Z107" s="36" t="s">
        <v>71</v>
      </c>
      <c r="AA107" s="36" t="s">
        <v>71</v>
      </c>
      <c r="AB107" s="36" t="s">
        <v>71</v>
      </c>
      <c r="AC107" s="36" t="s">
        <v>71</v>
      </c>
      <c r="AD107" s="36" t="s">
        <v>72</v>
      </c>
      <c r="AE107" s="36" t="s">
        <v>94</v>
      </c>
      <c r="AF107" s="36" t="s">
        <v>154</v>
      </c>
      <c r="AG107" s="36" t="s">
        <v>120</v>
      </c>
      <c r="AH107" t="str">
        <f>VLOOKUP($R107,武学奇术!$A:$ZZ,25,FALSE)</f>
        <v>剑</v>
      </c>
      <c r="AI107" s="20">
        <f>VLOOKUP($R107,武学奇术!$A:$ZZ,26,FALSE)</f>
        <v>2.496</v>
      </c>
      <c r="AJ107" s="21">
        <f>VLOOKUP($R107,武学奇术!$A:$ZZ,27,FALSE)*(1+IF(OR($AH107=$F$4,$AH107=$F$5),$B$22,0))</f>
        <v>0</v>
      </c>
      <c r="AK107" s="20">
        <f>VLOOKUP($R107,武学奇术!$A:$ZZ,28,FALSE)</f>
        <v>3.744</v>
      </c>
      <c r="AL107" s="21">
        <f>VLOOKUP($R107,武学奇术!$A:$ZZ,29,FALSE)*(1+IF(OR($AH107=$F$4,$AH107=$F$5),$B$22,0))</f>
        <v>0</v>
      </c>
      <c r="AM107" s="20" cm="1">
        <f t="array" ref="AM107">$G$3+IFERROR(VLOOKUP($AH107,$F$4:$G$7,2,FALSE),0)+VLOOKUP($R107,武学奇术!$A:$ZZ,2,FALSE)+SUM(_xlfn.XLOOKUP($S107:$AG107,增益!$A:$A,增益!$B:$B,0))</f>
        <v>1.3891</v>
      </c>
      <c r="AN107" s="20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1548.52</v>
      </c>
      <c r="AP107" cm="1">
        <f t="array" ref="AP107">$E$10*(1+$AN107)+VLOOKUP($R107,武学奇术!$A:$ZZ,4,FALSE)+SUM(_xlfn.XLOOKUP($S107:$AG107,增益!$A:$A,增益!$D:$D,0))-$I$2</f>
        <v>6659.56</v>
      </c>
      <c r="AQ107" s="29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0.3175</v>
      </c>
      <c r="AR107" s="29" cm="1">
        <f t="array" ref="AR107">$G$10+VLOOKUP($R107,武学奇术!$A:$ZZ,7,FALSE)+SUM(_xlfn.XLOOKUP(S107:AG107,增益!$A:$A,增益!$G:$G,0))</f>
        <v>0</v>
      </c>
      <c r="AS107" s="20" cm="1">
        <f t="array" ref="AS107">VLOOKUP($R107,武学奇术!$A:$ZZ,8,FALSE)+SUM(_xlfn.XLOOKUP(S107:AG107,增益!$A:$A,增益!$H:$H,0))</f>
        <v>0</v>
      </c>
      <c r="AT107">
        <f t="shared" si="12"/>
        <v>538</v>
      </c>
      <c r="AU107">
        <f t="shared" si="13"/>
        <v>1011</v>
      </c>
      <c r="AV107" s="29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0.075</v>
      </c>
      <c r="AW107" s="29" cm="1">
        <f t="array" ref="AW107">$G$11+VLOOKUP($R107,武学奇术!$A:$ZZ,10,FALSE)+SUM(_xlfn.XLOOKUP(S107:AG107,增益!$A:$A,增益!$J:$J,0))</f>
        <v>0.15</v>
      </c>
      <c r="AX107">
        <f t="shared" si="14"/>
        <v>0</v>
      </c>
      <c r="AY107">
        <f t="shared" si="15"/>
        <v>0</v>
      </c>
      <c r="AZ107" s="29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29" cm="1">
        <f t="array" ref="BA107">$G$12+VLOOKUP($R107,武学奇术!$A:$ZZ,12,FALSE)+SUM(_xlfn.XLOOKUP(S107:AG107,增益!$A:$A,增益!$L:$L,0))</f>
        <v>0</v>
      </c>
      <c r="BB107">
        <f t="shared" si="16"/>
        <v>0</v>
      </c>
      <c r="BC107">
        <f t="shared" si="17"/>
        <v>0</v>
      </c>
      <c r="BD107" s="29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29" cm="1">
        <f t="array" ref="BE107">$G$13+VLOOKUP($R107,武学奇术!$A:$ZZ,14,FALSE)+SUM(_xlfn.XLOOKUP(S107:AG107,增益!$A:$A,增益!$N:$N,0))</f>
        <v>0</v>
      </c>
      <c r="BF107">
        <f t="shared" si="18"/>
        <v>0</v>
      </c>
      <c r="BG107">
        <f t="shared" si="19"/>
        <v>0</v>
      </c>
      <c r="BH107" s="29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29" cm="1">
        <f t="array" ref="BI107">$G$14+VLOOKUP($R107,武学奇术!$A:$ZZ,16,FALSE)+SUM(_xlfn.XLOOKUP(S107:AG107,增益!$A:$A,增益!$P:$P,0))</f>
        <v>0</v>
      </c>
      <c r="BJ107" s="20">
        <f>MIN(IF(VLOOKUP($R107,武学奇术!$A:$ZZ,23,FALSE)=1,100%,$B$8),100%)</f>
        <v>0.8271</v>
      </c>
      <c r="BK107" s="20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0.2249</v>
      </c>
      <c r="BL107" s="20" cm="1">
        <f t="array" ref="BL107">1+$B$13+VLOOKUP($R107,武学奇术!$A:$ZZ,18,FALSE)+SUM(_xlfn.XLOOKUP(S107:AG107,增益!$A:$A,增益!$R:$R,0))</f>
        <v>1.5</v>
      </c>
      <c r="BM107" s="20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0.4459</v>
      </c>
      <c r="BN107" s="20" cm="1">
        <f t="array" ref="BN107">1+$B$14+VLOOKUP($R107,武学奇术!$A:$ZZ,20,FALSE)+SUM(_xlfn.XLOOKUP(S107:AG107,增益!$A:$A,增益!$T:$T,0))</f>
        <v>1.782</v>
      </c>
      <c r="BO107" s="20">
        <f t="shared" si="20"/>
        <v>0.18601479</v>
      </c>
      <c r="BP107" s="20">
        <f t="shared" si="21"/>
        <v>0.27228132</v>
      </c>
      <c r="BQ107" s="20">
        <f>IF(VLOOKUP($R107,武学奇术!$A:$ZZ,22,FALSE)=1,0,(1-$BJ107))*(1-$BM107)</f>
        <v>0.09580389</v>
      </c>
      <c r="BR107" s="20" cm="1">
        <f t="array" ref="BR107">SUM(_xlfn.XLOOKUP(S107:AG107,增益!$A:$A,增益!$W:$W,0))+$I$5</f>
        <v>0.11</v>
      </c>
    </row>
    <row r="108" spans="11:70">
      <c r="K108" s="27">
        <f>$L108*VLOOKUP($R108,武学奇术!$A:$ZZ,31,FALSE)</f>
        <v>15810.2859952662</v>
      </c>
      <c r="L108" s="27">
        <f t="shared" si="11"/>
        <v>15810.2859952662</v>
      </c>
      <c r="M108" s="27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13902.5053221931</v>
      </c>
      <c r="N108" s="27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23115.2443232833</v>
      </c>
      <c r="O108" s="27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9268.33688146208</v>
      </c>
      <c r="P108" s="27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4107.6823002005</v>
      </c>
      <c r="Q108" s="35">
        <v>1</v>
      </c>
      <c r="R108" s="36" t="s">
        <v>155</v>
      </c>
      <c r="S108" s="36" t="s">
        <v>71</v>
      </c>
      <c r="T108" s="36" t="s">
        <v>93</v>
      </c>
      <c r="U108" s="36" t="s">
        <v>71</v>
      </c>
      <c r="V108" s="36" t="s">
        <v>71</v>
      </c>
      <c r="W108" s="36" t="s">
        <v>111</v>
      </c>
      <c r="X108" s="36" t="s">
        <v>71</v>
      </c>
      <c r="Y108" s="36" t="s">
        <v>71</v>
      </c>
      <c r="Z108" s="36" t="s">
        <v>71</v>
      </c>
      <c r="AA108" s="36" t="s">
        <v>71</v>
      </c>
      <c r="AB108" s="36" t="s">
        <v>71</v>
      </c>
      <c r="AC108" s="36" t="s">
        <v>71</v>
      </c>
      <c r="AD108" s="36" t="s">
        <v>72</v>
      </c>
      <c r="AE108" s="36" t="s">
        <v>94</v>
      </c>
      <c r="AF108" s="36" t="s">
        <v>154</v>
      </c>
      <c r="AG108" s="36" t="s">
        <v>120</v>
      </c>
      <c r="AH108" t="str">
        <f>VLOOKUP($R108,武学奇术!$A:$ZZ,25,FALSE)</f>
        <v>剑</v>
      </c>
      <c r="AI108" s="20">
        <f>VLOOKUP($R108,武学奇术!$A:$ZZ,26,FALSE)</f>
        <v>0.7916</v>
      </c>
      <c r="AJ108" s="21">
        <f>VLOOKUP($R108,武学奇术!$A:$ZZ,27,FALSE)*(1+IF(OR($AH108=$F$4,$AH108=$F$5),$B$22,0))</f>
        <v>0</v>
      </c>
      <c r="AK108" s="20">
        <f>VLOOKUP($R108,武学奇术!$A:$ZZ,28,FALSE)</f>
        <v>1.1874</v>
      </c>
      <c r="AL108" s="21">
        <f>VLOOKUP($R108,武学奇术!$A:$ZZ,29,FALSE)*(1+IF(OR($AH108=$F$4,$AH108=$F$5),$B$22,0))</f>
        <v>0</v>
      </c>
      <c r="AM108" s="20" cm="1">
        <f t="array" ref="AM108">$G$3+IFERROR(VLOOKUP($AH108,$F$4:$G$7,2,FALSE),0)+VLOOKUP($R108,武学奇术!$A:$ZZ,2,FALSE)+SUM(_xlfn.XLOOKUP($S108:$AG108,增益!$A:$A,增益!$B:$B,0))</f>
        <v>0.6391</v>
      </c>
      <c r="AN108" s="20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1548.52</v>
      </c>
      <c r="AP108" cm="1">
        <f t="array" ref="AP108">$E$10*(1+$AN108)+VLOOKUP($R108,武学奇术!$A:$ZZ,4,FALSE)+SUM(_xlfn.XLOOKUP($S108:$AG108,增益!$A:$A,增益!$D:$D,0))-$I$2</f>
        <v>6659.56</v>
      </c>
      <c r="AQ108" s="29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0.2425</v>
      </c>
      <c r="AR108" s="29" cm="1">
        <f t="array" ref="AR108">$G$10+VLOOKUP($R108,武学奇术!$A:$ZZ,7,FALSE)+SUM(_xlfn.XLOOKUP(S108:AG108,增益!$A:$A,增益!$G:$G,0))</f>
        <v>0</v>
      </c>
      <c r="AS108" s="20" cm="1">
        <f t="array" ref="AS108">VLOOKUP($R108,武学奇术!$A:$ZZ,8,FALSE)+SUM(_xlfn.XLOOKUP(S108:AG108,增益!$A:$A,增益!$H:$H,0))</f>
        <v>0</v>
      </c>
      <c r="AT108">
        <f t="shared" si="12"/>
        <v>538</v>
      </c>
      <c r="AU108">
        <f t="shared" si="13"/>
        <v>1011</v>
      </c>
      <c r="AV108" s="29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29" cm="1">
        <f t="array" ref="AW108">$G$11+VLOOKUP($R108,武学奇术!$A:$ZZ,10,FALSE)+SUM(_xlfn.XLOOKUP(S108:AG108,增益!$A:$A,增益!$J:$J,0))</f>
        <v>0.15</v>
      </c>
      <c r="AX108">
        <f t="shared" si="14"/>
        <v>0</v>
      </c>
      <c r="AY108">
        <f t="shared" si="15"/>
        <v>0</v>
      </c>
      <c r="AZ108" s="29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29" cm="1">
        <f t="array" ref="BA108">$G$12+VLOOKUP($R108,武学奇术!$A:$ZZ,12,FALSE)+SUM(_xlfn.XLOOKUP(S108:AG108,增益!$A:$A,增益!$L:$L,0))</f>
        <v>0</v>
      </c>
      <c r="BB108">
        <f t="shared" si="16"/>
        <v>0</v>
      </c>
      <c r="BC108">
        <f t="shared" si="17"/>
        <v>0</v>
      </c>
      <c r="BD108" s="29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29" cm="1">
        <f t="array" ref="BE108">$G$13+VLOOKUP($R108,武学奇术!$A:$ZZ,14,FALSE)+SUM(_xlfn.XLOOKUP(S108:AG108,增益!$A:$A,增益!$N:$N,0))</f>
        <v>0</v>
      </c>
      <c r="BF108">
        <f t="shared" si="18"/>
        <v>0</v>
      </c>
      <c r="BG108">
        <f t="shared" si="19"/>
        <v>0</v>
      </c>
      <c r="BH108" s="29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29" cm="1">
        <f t="array" ref="BI108">$G$14+VLOOKUP($R108,武学奇术!$A:$ZZ,16,FALSE)+SUM(_xlfn.XLOOKUP(S108:AG108,增益!$A:$A,增益!$P:$P,0))</f>
        <v>0</v>
      </c>
      <c r="BJ108" s="20">
        <f>MIN(IF(VLOOKUP($R108,武学奇术!$A:$ZZ,23,FALSE)=1,100%,$B$8),100%)</f>
        <v>0.8271</v>
      </c>
      <c r="BK108" s="20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0.2249</v>
      </c>
      <c r="BL108" s="20" cm="1">
        <f t="array" ref="BL108">1+$B$13+VLOOKUP($R108,武学奇术!$A:$ZZ,18,FALSE)+SUM(_xlfn.XLOOKUP(S108:AG108,增益!$A:$A,增益!$R:$R,0))</f>
        <v>1.5</v>
      </c>
      <c r="BM108" s="20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0.4459</v>
      </c>
      <c r="BN108" s="20" cm="1">
        <f t="array" ref="BN108">1+$B$14+VLOOKUP($R108,武学奇术!$A:$ZZ,20,FALSE)+SUM(_xlfn.XLOOKUP(S108:AG108,增益!$A:$A,增益!$T:$T,0))</f>
        <v>1.602</v>
      </c>
      <c r="BO108" s="20">
        <f t="shared" si="20"/>
        <v>0.18601479</v>
      </c>
      <c r="BP108" s="20">
        <f t="shared" si="21"/>
        <v>0.27228132</v>
      </c>
      <c r="BQ108" s="20">
        <f>IF(VLOOKUP($R108,武学奇术!$A:$ZZ,22,FALSE)=1,0,(1-$BJ108))*(1-$BM108)</f>
        <v>0.09580389</v>
      </c>
      <c r="BR108" s="20" cm="1">
        <f t="array" ref="BR108">SUM(_xlfn.XLOOKUP(S108:AG108,增益!$A:$A,增益!$W:$W,0))+$I$5</f>
        <v>0.11</v>
      </c>
    </row>
    <row r="109" spans="11:70">
      <c r="K109" s="27">
        <f>$L109*VLOOKUP($R109,武学奇术!$A:$ZZ,31,FALSE)</f>
        <v>25993.2692862864</v>
      </c>
      <c r="L109" s="27">
        <f t="shared" si="11"/>
        <v>25993.2692862864</v>
      </c>
      <c r="M109" s="27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23404.7266871756</v>
      </c>
      <c r="N109" s="27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37300.2126922078</v>
      </c>
      <c r="O109" s="27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15603.1511247837</v>
      </c>
      <c r="P109" s="27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7922.77372759012</v>
      </c>
      <c r="Q109" s="35">
        <v>1</v>
      </c>
      <c r="R109" s="36" t="s">
        <v>92</v>
      </c>
      <c r="S109" s="36" t="s">
        <v>71</v>
      </c>
      <c r="T109" s="36" t="s">
        <v>93</v>
      </c>
      <c r="U109" s="36" t="s">
        <v>71</v>
      </c>
      <c r="V109" s="36" t="s">
        <v>71</v>
      </c>
      <c r="W109" s="36" t="s">
        <v>111</v>
      </c>
      <c r="X109" s="36" t="s">
        <v>71</v>
      </c>
      <c r="Y109" s="36" t="s">
        <v>71</v>
      </c>
      <c r="Z109" s="36" t="s">
        <v>71</v>
      </c>
      <c r="AA109" s="36" t="s">
        <v>71</v>
      </c>
      <c r="AB109" s="36" t="s">
        <v>71</v>
      </c>
      <c r="AC109" s="36" t="s">
        <v>71</v>
      </c>
      <c r="AD109" s="36" t="s">
        <v>72</v>
      </c>
      <c r="AE109" s="36" t="s">
        <v>94</v>
      </c>
      <c r="AF109" s="36" t="s">
        <v>154</v>
      </c>
      <c r="AG109" s="36" t="s">
        <v>120</v>
      </c>
      <c r="AH109" t="str">
        <f>VLOOKUP($R109,武学奇术!$A:$ZZ,25,FALSE)</f>
        <v>剑</v>
      </c>
      <c r="AI109" s="20">
        <f>VLOOKUP($R109,武学奇术!$A:$ZZ,26,FALSE)</f>
        <v>1.1781</v>
      </c>
      <c r="AJ109" s="21">
        <f>VLOOKUP($R109,武学奇术!$A:$ZZ,27,FALSE)*(1+IF(OR($AH109=$F$4,$AH109=$F$5),$B$22,0))</f>
        <v>456.4</v>
      </c>
      <c r="AK109" s="20">
        <f>VLOOKUP($R109,武学奇术!$A:$ZZ,28,FALSE)</f>
        <v>1.7672</v>
      </c>
      <c r="AL109" s="21">
        <f>VLOOKUP($R109,武学奇术!$A:$ZZ,29,FALSE)*(1+IF(OR($AH109=$F$4,$AH109=$F$5),$B$22,0))</f>
        <v>247.8</v>
      </c>
      <c r="AM109" s="20" cm="1">
        <f t="array" ref="AM109">$G$3+IFERROR(VLOOKUP($AH109,$F$4:$G$7,2,FALSE),0)+VLOOKUP($R109,武学奇术!$A:$ZZ,2,FALSE)+SUM(_xlfn.XLOOKUP($S109:$AG109,增益!$A:$A,增益!$B:$B,0))</f>
        <v>0.6391</v>
      </c>
      <c r="AN109" s="20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1548.52</v>
      </c>
      <c r="AP109" cm="1">
        <f t="array" ref="AP109">$E$10*(1+$AN109)+VLOOKUP($R109,武学奇术!$A:$ZZ,4,FALSE)+SUM(_xlfn.XLOOKUP($S109:$AG109,增益!$A:$A,增益!$D:$D,0))-$I$2</f>
        <v>6659.56</v>
      </c>
      <c r="AQ109" s="29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0.2425</v>
      </c>
      <c r="AR109" s="29" cm="1">
        <f t="array" ref="AR109">$G$10+VLOOKUP($R109,武学奇术!$A:$ZZ,7,FALSE)+SUM(_xlfn.XLOOKUP(S109:AG109,增益!$A:$A,增益!$G:$G,0))</f>
        <v>0</v>
      </c>
      <c r="AS109" s="20" cm="1">
        <f t="array" ref="AS109">VLOOKUP($R109,武学奇术!$A:$ZZ,8,FALSE)+SUM(_xlfn.XLOOKUP(S109:AG109,增益!$A:$A,增益!$H:$H,0))</f>
        <v>0</v>
      </c>
      <c r="AT109">
        <f t="shared" si="12"/>
        <v>538</v>
      </c>
      <c r="AU109">
        <f t="shared" si="13"/>
        <v>1011</v>
      </c>
      <c r="AV109" s="29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0</v>
      </c>
      <c r="AW109" s="29" cm="1">
        <f t="array" ref="AW109">$G$11+VLOOKUP($R109,武学奇术!$A:$ZZ,10,FALSE)+SUM(_xlfn.XLOOKUP(S109:AG109,增益!$A:$A,增益!$J:$J,0))</f>
        <v>0.15</v>
      </c>
      <c r="AX109">
        <f t="shared" si="14"/>
        <v>0</v>
      </c>
      <c r="AY109">
        <f t="shared" si="15"/>
        <v>0</v>
      </c>
      <c r="AZ109" s="29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29" cm="1">
        <f t="array" ref="BA109">$G$12+VLOOKUP($R109,武学奇术!$A:$ZZ,12,FALSE)+SUM(_xlfn.XLOOKUP(S109:AG109,增益!$A:$A,增益!$L:$L,0))</f>
        <v>0</v>
      </c>
      <c r="BB109">
        <f t="shared" si="16"/>
        <v>0</v>
      </c>
      <c r="BC109">
        <f t="shared" si="17"/>
        <v>0</v>
      </c>
      <c r="BD109" s="29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29" cm="1">
        <f t="array" ref="BE109">$G$13+VLOOKUP($R109,武学奇术!$A:$ZZ,14,FALSE)+SUM(_xlfn.XLOOKUP(S109:AG109,增益!$A:$A,增益!$N:$N,0))</f>
        <v>0</v>
      </c>
      <c r="BF109">
        <f t="shared" si="18"/>
        <v>0</v>
      </c>
      <c r="BG109">
        <f t="shared" si="19"/>
        <v>0</v>
      </c>
      <c r="BH109" s="29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29" cm="1">
        <f t="array" ref="BI109">$G$14+VLOOKUP($R109,武学奇术!$A:$ZZ,16,FALSE)+SUM(_xlfn.XLOOKUP(S109:AG109,增益!$A:$A,增益!$P:$P,0))</f>
        <v>0</v>
      </c>
      <c r="BJ109" s="20">
        <f>MIN(IF(VLOOKUP($R109,武学奇术!$A:$ZZ,23,FALSE)=1,100%,$B$8),100%)</f>
        <v>0.8271</v>
      </c>
      <c r="BK109" s="20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0.2249</v>
      </c>
      <c r="BL109" s="20" cm="1">
        <f t="array" ref="BL109">1+$B$13+VLOOKUP($R109,武学奇术!$A:$ZZ,18,FALSE)+SUM(_xlfn.XLOOKUP(S109:AG109,增益!$A:$A,增益!$R:$R,0))</f>
        <v>1.5</v>
      </c>
      <c r="BM109" s="20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0.4459</v>
      </c>
      <c r="BN109" s="20" cm="1">
        <f t="array" ref="BN109">1+$B$14+VLOOKUP($R109,武学奇术!$A:$ZZ,20,FALSE)+SUM(_xlfn.XLOOKUP(S109:AG109,增益!$A:$A,增益!$T:$T,0))</f>
        <v>1.602</v>
      </c>
      <c r="BO109" s="20">
        <f t="shared" si="20"/>
        <v>0.18601479</v>
      </c>
      <c r="BP109" s="20">
        <f t="shared" si="21"/>
        <v>0.27228132</v>
      </c>
      <c r="BQ109" s="20">
        <f>IF(VLOOKUP($R109,武学奇术!$A:$ZZ,22,FALSE)=1,0,(1-$BJ109))*(1-$BM109)</f>
        <v>0.09580389</v>
      </c>
      <c r="BR109" s="20" cm="1">
        <f t="array" ref="BR109">SUM(_xlfn.XLOOKUP(S109:AG109,增益!$A:$A,增益!$W:$W,0))+$I$5</f>
        <v>0.11</v>
      </c>
    </row>
    <row r="110" spans="11:70">
      <c r="K110" s="27">
        <f>$L110*VLOOKUP($R110,武学奇术!$A:$ZZ,31,FALSE)</f>
        <v>99479.3943371952</v>
      </c>
      <c r="L110" s="27">
        <f t="shared" si="11"/>
        <v>165798.990561992</v>
      </c>
      <c r="M110" s="27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89687.4709676233</v>
      </c>
      <c r="N110" s="27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165798.990561992</v>
      </c>
      <c r="O110" s="27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59791.6473117489</v>
      </c>
      <c r="P110" s="27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26542.3347121667</v>
      </c>
      <c r="Q110" s="35">
        <v>1</v>
      </c>
      <c r="R110" s="36" t="s">
        <v>98</v>
      </c>
      <c r="S110" s="36" t="s">
        <v>71</v>
      </c>
      <c r="T110" s="36" t="s">
        <v>99</v>
      </c>
      <c r="U110" s="36" t="s">
        <v>100</v>
      </c>
      <c r="V110" s="36" t="s">
        <v>101</v>
      </c>
      <c r="W110" s="36" t="s">
        <v>111</v>
      </c>
      <c r="X110" s="36" t="s">
        <v>71</v>
      </c>
      <c r="Y110" s="36" t="s">
        <v>71</v>
      </c>
      <c r="Z110" s="36" t="s">
        <v>71</v>
      </c>
      <c r="AA110" s="36" t="s">
        <v>71</v>
      </c>
      <c r="AB110" s="36" t="s">
        <v>71</v>
      </c>
      <c r="AC110" s="36" t="s">
        <v>71</v>
      </c>
      <c r="AD110" s="36" t="s">
        <v>72</v>
      </c>
      <c r="AE110" s="36" t="s">
        <v>94</v>
      </c>
      <c r="AF110" s="36" t="s">
        <v>154</v>
      </c>
      <c r="AG110" s="36" t="s">
        <v>120</v>
      </c>
      <c r="AH110" t="str">
        <f>VLOOKUP($R110,武学奇术!$A:$ZZ,25,FALSE)</f>
        <v>剑</v>
      </c>
      <c r="AI110" s="20">
        <f>VLOOKUP($R110,武学奇术!$A:$ZZ,26,FALSE)</f>
        <v>2.496</v>
      </c>
      <c r="AJ110" s="21">
        <f>VLOOKUP($R110,武学奇术!$A:$ZZ,27,FALSE)*(1+IF(OR($AH110=$F$4,$AH110=$F$5),$B$22,0))</f>
        <v>0</v>
      </c>
      <c r="AK110" s="20">
        <f>VLOOKUP($R110,武学奇术!$A:$ZZ,28,FALSE)</f>
        <v>3.744</v>
      </c>
      <c r="AL110" s="21">
        <f>VLOOKUP($R110,武学奇术!$A:$ZZ,29,FALSE)*(1+IF(OR($AH110=$F$4,$AH110=$F$5),$B$22,0))</f>
        <v>0</v>
      </c>
      <c r="AM110" s="20" cm="1">
        <f t="array" ref="AM110">$G$3+IFERROR(VLOOKUP($AH110,$F$4:$G$7,2,FALSE),0)+VLOOKUP($R110,武学奇术!$A:$ZZ,2,FALSE)+SUM(_xlfn.XLOOKUP($S110:$AG110,增益!$A:$A,增益!$B:$B,0))</f>
        <v>1.3891</v>
      </c>
      <c r="AN110" s="20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1548.52</v>
      </c>
      <c r="AP110" cm="1">
        <f t="array" ref="AP110">$E$10*(1+$AN110)+VLOOKUP($R110,武学奇术!$A:$ZZ,4,FALSE)+SUM(_xlfn.XLOOKUP($S110:$AG110,增益!$A:$A,增益!$D:$D,0))-$I$2</f>
        <v>6659.56</v>
      </c>
      <c r="AQ110" s="29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0.3175</v>
      </c>
      <c r="AR110" s="29" cm="1">
        <f t="array" ref="AR110">$G$10+VLOOKUP($R110,武学奇术!$A:$ZZ,7,FALSE)+SUM(_xlfn.XLOOKUP(S110:AG110,增益!$A:$A,增益!$G:$G,0))</f>
        <v>0</v>
      </c>
      <c r="AS110" s="20" cm="1">
        <f t="array" ref="AS110">VLOOKUP($R110,武学奇术!$A:$ZZ,8,FALSE)+SUM(_xlfn.XLOOKUP(S110:AG110,增益!$A:$A,增益!$H:$H,0))</f>
        <v>0</v>
      </c>
      <c r="AT110">
        <f t="shared" si="12"/>
        <v>538</v>
      </c>
      <c r="AU110">
        <f t="shared" si="13"/>
        <v>1011</v>
      </c>
      <c r="AV110" s="29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0.075</v>
      </c>
      <c r="AW110" s="29" cm="1">
        <f t="array" ref="AW110">$G$11+VLOOKUP($R110,武学奇术!$A:$ZZ,10,FALSE)+SUM(_xlfn.XLOOKUP(S110:AG110,增益!$A:$A,增益!$J:$J,0))</f>
        <v>0.15</v>
      </c>
      <c r="AX110">
        <f t="shared" si="14"/>
        <v>0</v>
      </c>
      <c r="AY110">
        <f t="shared" si="15"/>
        <v>0</v>
      </c>
      <c r="AZ110" s="29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29" cm="1">
        <f t="array" ref="BA110">$G$12+VLOOKUP($R110,武学奇术!$A:$ZZ,12,FALSE)+SUM(_xlfn.XLOOKUP(S110:AG110,增益!$A:$A,增益!$L:$L,0))</f>
        <v>0</v>
      </c>
      <c r="BB110">
        <f t="shared" si="16"/>
        <v>0</v>
      </c>
      <c r="BC110">
        <f t="shared" si="17"/>
        <v>0</v>
      </c>
      <c r="BD110" s="29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29" cm="1">
        <f t="array" ref="BE110">$G$13+VLOOKUP($R110,武学奇术!$A:$ZZ,14,FALSE)+SUM(_xlfn.XLOOKUP(S110:AG110,增益!$A:$A,增益!$N:$N,0))</f>
        <v>0</v>
      </c>
      <c r="BF110">
        <f t="shared" si="18"/>
        <v>0</v>
      </c>
      <c r="BG110">
        <f t="shared" si="19"/>
        <v>0</v>
      </c>
      <c r="BH110" s="29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29" cm="1">
        <f t="array" ref="BI110">$G$14+VLOOKUP($R110,武学奇术!$A:$ZZ,16,FALSE)+SUM(_xlfn.XLOOKUP(S110:AG110,增益!$A:$A,增益!$P:$P,0))</f>
        <v>0</v>
      </c>
      <c r="BJ110" s="20">
        <f>MIN(IF(VLOOKUP($R110,武学奇术!$A:$ZZ,23,FALSE)=1,100%,$B$8),100%)</f>
        <v>0.8271</v>
      </c>
      <c r="BK110" s="20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</v>
      </c>
      <c r="BL110" s="20" cm="1">
        <f t="array" ref="BL110">1+$B$13+VLOOKUP($R110,武学奇术!$A:$ZZ,18,FALSE)+SUM(_xlfn.XLOOKUP(S110:AG110,增益!$A:$A,增益!$R:$R,0))</f>
        <v>1.5</v>
      </c>
      <c r="BM110" s="20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1</v>
      </c>
      <c r="BN110" s="20" cm="1">
        <f t="array" ref="BN110">1+$B$14+VLOOKUP($R110,武学奇术!$A:$ZZ,20,FALSE)+SUM(_xlfn.XLOOKUP(S110:AG110,增益!$A:$A,增益!$T:$T,0))</f>
        <v>1.782</v>
      </c>
      <c r="BO110" s="20">
        <f t="shared" si="20"/>
        <v>0</v>
      </c>
      <c r="BP110" s="20">
        <f t="shared" si="21"/>
        <v>0</v>
      </c>
      <c r="BQ110" s="20">
        <f>IF(VLOOKUP($R110,武学奇术!$A:$ZZ,22,FALSE)=1,0,(1-$BJ110))*(1-$BM110)</f>
        <v>0</v>
      </c>
      <c r="BR110" s="20" cm="1">
        <f t="array" ref="BR110">SUM(_xlfn.XLOOKUP(S110:AG110,增益!$A:$A,增益!$W:$W,0))+$I$5</f>
        <v>0.11</v>
      </c>
    </row>
    <row r="111" spans="11:70">
      <c r="K111" s="27">
        <f>$L111*VLOOKUP($R111,武学奇术!$A:$ZZ,31,FALSE)</f>
        <v>12482.8559209719</v>
      </c>
      <c r="L111" s="27">
        <f t="shared" si="11"/>
        <v>12482.8559209719</v>
      </c>
      <c r="M111" s="27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10976.5864405896</v>
      </c>
      <c r="N111" s="27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18250.4139742952</v>
      </c>
      <c r="O111" s="27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7317.72429372638</v>
      </c>
      <c r="P111" s="27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3243.18018901631</v>
      </c>
      <c r="Q111" s="35">
        <v>1</v>
      </c>
      <c r="R111" s="36" t="s">
        <v>107</v>
      </c>
      <c r="S111" s="36" t="s">
        <v>71</v>
      </c>
      <c r="T111" s="36" t="s">
        <v>93</v>
      </c>
      <c r="U111" s="36" t="s">
        <v>71</v>
      </c>
      <c r="V111" s="36" t="s">
        <v>71</v>
      </c>
      <c r="W111" s="36" t="s">
        <v>111</v>
      </c>
      <c r="X111" s="36" t="s">
        <v>71</v>
      </c>
      <c r="Y111" s="36" t="s">
        <v>71</v>
      </c>
      <c r="Z111" s="36" t="s">
        <v>71</v>
      </c>
      <c r="AA111" s="36" t="s">
        <v>71</v>
      </c>
      <c r="AB111" s="36" t="s">
        <v>71</v>
      </c>
      <c r="AC111" s="36" t="s">
        <v>71</v>
      </c>
      <c r="AD111" s="36" t="s">
        <v>72</v>
      </c>
      <c r="AE111" s="36" t="s">
        <v>94</v>
      </c>
      <c r="AF111" s="36" t="s">
        <v>154</v>
      </c>
      <c r="AG111" s="36" t="s">
        <v>120</v>
      </c>
      <c r="AH111" t="str">
        <f>VLOOKUP($R111,武学奇术!$A:$ZZ,25,FALSE)</f>
        <v>剑</v>
      </c>
      <c r="AI111" s="20">
        <f>VLOOKUP($R111,武学奇术!$A:$ZZ,26,FALSE)</f>
        <v>0.625</v>
      </c>
      <c r="AJ111" s="21">
        <f>VLOOKUP($R111,武学奇术!$A:$ZZ,27,FALSE)*(1+IF(OR($AH111=$F$4,$AH111=$F$5),$B$22,0))</f>
        <v>0</v>
      </c>
      <c r="AK111" s="20">
        <f>VLOOKUP($R111,武学奇术!$A:$ZZ,28,FALSE)</f>
        <v>0.9375</v>
      </c>
      <c r="AL111" s="21">
        <f>VLOOKUP($R111,武学奇术!$A:$ZZ,29,FALSE)*(1+IF(OR($AH111=$F$4,$AH111=$F$5),$B$22,0))</f>
        <v>0</v>
      </c>
      <c r="AM111" s="20" cm="1">
        <f t="array" ref="AM111">$G$3+IFERROR(VLOOKUP($AH111,$F$4:$G$7,2,FALSE),0)+VLOOKUP($R111,武学奇术!$A:$ZZ,2,FALSE)+SUM(_xlfn.XLOOKUP($S111:$AG111,增益!$A:$A,增益!$B:$B,0))</f>
        <v>0.6391</v>
      </c>
      <c r="AN111" s="20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1548.52</v>
      </c>
      <c r="AP111" cm="1">
        <f t="array" ref="AP111">$E$10*(1+$AN111)+VLOOKUP($R111,武学奇术!$A:$ZZ,4,FALSE)+SUM(_xlfn.XLOOKUP($S111:$AG111,增益!$A:$A,增益!$D:$D,0))-$I$2</f>
        <v>6659.56</v>
      </c>
      <c r="AQ111" s="29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0.2425</v>
      </c>
      <c r="AR111" s="29" cm="1">
        <f t="array" ref="AR111">$G$10+VLOOKUP($R111,武学奇术!$A:$ZZ,7,FALSE)+SUM(_xlfn.XLOOKUP(S111:AG111,增益!$A:$A,增益!$G:$G,0))</f>
        <v>0</v>
      </c>
      <c r="AS111" s="20" cm="1">
        <f t="array" ref="AS111">VLOOKUP($R111,武学奇术!$A:$ZZ,8,FALSE)+SUM(_xlfn.XLOOKUP(S111:AG111,增益!$A:$A,增益!$H:$H,0))</f>
        <v>0</v>
      </c>
      <c r="AT111">
        <f t="shared" si="12"/>
        <v>538</v>
      </c>
      <c r="AU111">
        <f t="shared" si="13"/>
        <v>1011</v>
      </c>
      <c r="AV111" s="29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29" cm="1">
        <f t="array" ref="AW111">$G$11+VLOOKUP($R111,武学奇术!$A:$ZZ,10,FALSE)+SUM(_xlfn.XLOOKUP(S111:AG111,增益!$A:$A,增益!$J:$J,0))</f>
        <v>0.15</v>
      </c>
      <c r="AX111">
        <f t="shared" si="14"/>
        <v>0</v>
      </c>
      <c r="AY111">
        <f t="shared" si="15"/>
        <v>0</v>
      </c>
      <c r="AZ111" s="29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29" cm="1">
        <f t="array" ref="BA111">$G$12+VLOOKUP($R111,武学奇术!$A:$ZZ,12,FALSE)+SUM(_xlfn.XLOOKUP(S111:AG111,增益!$A:$A,增益!$L:$L,0))</f>
        <v>0</v>
      </c>
      <c r="BB111">
        <f t="shared" si="16"/>
        <v>0</v>
      </c>
      <c r="BC111">
        <f t="shared" si="17"/>
        <v>0</v>
      </c>
      <c r="BD111" s="29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29" cm="1">
        <f t="array" ref="BE111">$G$13+VLOOKUP($R111,武学奇术!$A:$ZZ,14,FALSE)+SUM(_xlfn.XLOOKUP(S111:AG111,增益!$A:$A,增益!$N:$N,0))</f>
        <v>0</v>
      </c>
      <c r="BF111">
        <f t="shared" si="18"/>
        <v>0</v>
      </c>
      <c r="BG111">
        <f t="shared" si="19"/>
        <v>0</v>
      </c>
      <c r="BH111" s="29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29" cm="1">
        <f t="array" ref="BI111">$G$14+VLOOKUP($R111,武学奇术!$A:$ZZ,16,FALSE)+SUM(_xlfn.XLOOKUP(S111:AG111,增益!$A:$A,增益!$P:$P,0))</f>
        <v>0</v>
      </c>
      <c r="BJ111" s="20">
        <f>MIN(IF(VLOOKUP($R111,武学奇术!$A:$ZZ,23,FALSE)=1,100%,$B$8),100%)</f>
        <v>0.8271</v>
      </c>
      <c r="BK111" s="20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0.2249</v>
      </c>
      <c r="BL111" s="20" cm="1">
        <f t="array" ref="BL111">1+$B$13+VLOOKUP($R111,武学奇术!$A:$ZZ,18,FALSE)+SUM(_xlfn.XLOOKUP(S111:AG111,增益!$A:$A,增益!$R:$R,0))</f>
        <v>1.5</v>
      </c>
      <c r="BM111" s="20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0.4459</v>
      </c>
      <c r="BN111" s="20" cm="1">
        <f t="array" ref="BN111">1+$B$14+VLOOKUP($R111,武学奇术!$A:$ZZ,20,FALSE)+SUM(_xlfn.XLOOKUP(S111:AG111,增益!$A:$A,增益!$T:$T,0))</f>
        <v>1.602</v>
      </c>
      <c r="BO111" s="20">
        <f t="shared" si="20"/>
        <v>0.18601479</v>
      </c>
      <c r="BP111" s="20">
        <f t="shared" si="21"/>
        <v>0.27228132</v>
      </c>
      <c r="BQ111" s="20">
        <f>IF(VLOOKUP($R111,武学奇术!$A:$ZZ,22,FALSE)=1,0,(1-$BJ111))*(1-$BM111)</f>
        <v>0.09580389</v>
      </c>
      <c r="BR111" s="20" cm="1">
        <f t="array" ref="BR111">SUM(_xlfn.XLOOKUP(S111:AG111,增益!$A:$A,增益!$W:$W,0))+$I$5</f>
        <v>0.11</v>
      </c>
    </row>
    <row r="112" spans="11:70">
      <c r="K112" s="27">
        <f>$L112*VLOOKUP($R112,武学奇术!$A:$ZZ,31,FALSE)</f>
        <v>48768.41734309</v>
      </c>
      <c r="L112" s="27">
        <f t="shared" si="11"/>
        <v>48768.41734309</v>
      </c>
      <c r="M112" s="27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43906.1095039099</v>
      </c>
      <c r="N112" s="27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69989.7486356414</v>
      </c>
      <c r="O112" s="27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29270.7396692732</v>
      </c>
      <c r="P112" s="27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14852.4976683583</v>
      </c>
      <c r="Q112" s="35">
        <v>1</v>
      </c>
      <c r="R112" s="36" t="s">
        <v>88</v>
      </c>
      <c r="S112" s="36" t="s">
        <v>152</v>
      </c>
      <c r="T112" s="36" t="s">
        <v>93</v>
      </c>
      <c r="U112" s="36" t="s">
        <v>71</v>
      </c>
      <c r="V112" s="36" t="s">
        <v>71</v>
      </c>
      <c r="W112" s="36" t="s">
        <v>111</v>
      </c>
      <c r="X112" s="36" t="s">
        <v>71</v>
      </c>
      <c r="Y112" s="36" t="s">
        <v>71</v>
      </c>
      <c r="Z112" s="36" t="s">
        <v>71</v>
      </c>
      <c r="AA112" s="36" t="s">
        <v>71</v>
      </c>
      <c r="AB112" s="36" t="s">
        <v>71</v>
      </c>
      <c r="AC112" s="36" t="s">
        <v>71</v>
      </c>
      <c r="AD112" s="36" t="s">
        <v>72</v>
      </c>
      <c r="AE112" s="36" t="s">
        <v>94</v>
      </c>
      <c r="AF112" s="36" t="s">
        <v>154</v>
      </c>
      <c r="AG112" s="36" t="s">
        <v>120</v>
      </c>
      <c r="AH112" t="str">
        <f>VLOOKUP($R112,武学奇术!$A:$ZZ,25,FALSE)</f>
        <v>枪</v>
      </c>
      <c r="AI112" s="20">
        <f>VLOOKUP($R112,武学奇术!$A:$ZZ,26,FALSE)</f>
        <v>2.1401</v>
      </c>
      <c r="AJ112" s="21">
        <f>VLOOKUP($R112,武学奇术!$A:$ZZ,27,FALSE)*(1+IF(OR($AH112=$F$4,$AH112=$F$5),$B$22,0))</f>
        <v>823.2</v>
      </c>
      <c r="AK112" s="20">
        <f>VLOOKUP($R112,武学奇术!$A:$ZZ,28,FALSE)</f>
        <v>3.2101</v>
      </c>
      <c r="AL112" s="21">
        <f>VLOOKUP($R112,武学奇术!$A:$ZZ,29,FALSE)*(1+IF(OR($AH112=$F$4,$AH112=$F$5),$B$22,0))</f>
        <v>448</v>
      </c>
      <c r="AM112" s="20" cm="1">
        <f t="array" ref="AM112">$G$3+IFERROR(VLOOKUP($AH112,$F$4:$G$7,2,FALSE),0)+VLOOKUP($R112,武学奇术!$A:$ZZ,2,FALSE)+SUM(_xlfn.XLOOKUP($S112:$AG112,增益!$A:$A,增益!$B:$B,0))</f>
        <v>0.5539</v>
      </c>
      <c r="AN112" s="20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1548.52</v>
      </c>
      <c r="AP112" cm="1">
        <f t="array" ref="AP112">$E$10*(1+$AN112)+VLOOKUP($R112,武学奇术!$A:$ZZ,4,FALSE)+SUM(_xlfn.XLOOKUP($S112:$AG112,增益!$A:$A,增益!$D:$D,0))-$I$2</f>
        <v>6659.56</v>
      </c>
      <c r="AQ112" s="29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0.2425</v>
      </c>
      <c r="AR112" s="29" cm="1">
        <f t="array" ref="AR112">$G$10+VLOOKUP($R112,武学奇术!$A:$ZZ,7,FALSE)+SUM(_xlfn.XLOOKUP(S112:AG112,增益!$A:$A,增益!$G:$G,0))</f>
        <v>0</v>
      </c>
      <c r="AS112" s="20" cm="1">
        <f t="array" ref="AS112">VLOOKUP($R112,武学奇术!$A:$ZZ,8,FALSE)+SUM(_xlfn.XLOOKUP(S112:AG112,增益!$A:$A,增益!$H:$H,0))</f>
        <v>0</v>
      </c>
      <c r="AT112">
        <f t="shared" si="12"/>
        <v>538</v>
      </c>
      <c r="AU112">
        <f t="shared" si="13"/>
        <v>1011</v>
      </c>
      <c r="AV112" s="29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29" cm="1">
        <f t="array" ref="AW112">$G$11+VLOOKUP($R112,武学奇术!$A:$ZZ,10,FALSE)+SUM(_xlfn.XLOOKUP(S112:AG112,增益!$A:$A,增益!$J:$J,0))</f>
        <v>0.15</v>
      </c>
      <c r="AX112">
        <f t="shared" si="14"/>
        <v>0</v>
      </c>
      <c r="AY112">
        <f t="shared" si="15"/>
        <v>0</v>
      </c>
      <c r="AZ112" s="29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29" cm="1">
        <f t="array" ref="BA112">$G$12+VLOOKUP($R112,武学奇术!$A:$ZZ,12,FALSE)+SUM(_xlfn.XLOOKUP(S112:AG112,增益!$A:$A,增益!$L:$L,0))</f>
        <v>0</v>
      </c>
      <c r="BB112">
        <f t="shared" si="16"/>
        <v>0</v>
      </c>
      <c r="BC112">
        <f t="shared" si="17"/>
        <v>0</v>
      </c>
      <c r="BD112" s="29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29" cm="1">
        <f t="array" ref="BE112">$G$13+VLOOKUP($R112,武学奇术!$A:$ZZ,14,FALSE)+SUM(_xlfn.XLOOKUP(S112:AG112,增益!$A:$A,增益!$N:$N,0))</f>
        <v>0</v>
      </c>
      <c r="BF112">
        <f t="shared" si="18"/>
        <v>0</v>
      </c>
      <c r="BG112">
        <f t="shared" si="19"/>
        <v>0</v>
      </c>
      <c r="BH112" s="29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29" cm="1">
        <f t="array" ref="BI112">$G$14+VLOOKUP($R112,武学奇术!$A:$ZZ,16,FALSE)+SUM(_xlfn.XLOOKUP(S112:AG112,增益!$A:$A,增益!$P:$P,0))</f>
        <v>0</v>
      </c>
      <c r="BJ112" s="20">
        <f>MIN(IF(VLOOKUP($R112,武学奇术!$A:$ZZ,23,FALSE)=1,100%,$B$8),100%)</f>
        <v>0.8271</v>
      </c>
      <c r="BK112" s="20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0.2249</v>
      </c>
      <c r="BL112" s="20" cm="1">
        <f t="array" ref="BL112">1+$B$13+VLOOKUP($R112,武学奇术!$A:$ZZ,18,FALSE)+SUM(_xlfn.XLOOKUP(S112:AG112,增益!$A:$A,增益!$R:$R,0))</f>
        <v>1.5</v>
      </c>
      <c r="BM112" s="20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0.4459</v>
      </c>
      <c r="BN112" s="20" cm="1">
        <f t="array" ref="BN112">1+$B$14+VLOOKUP($R112,武学奇术!$A:$ZZ,20,FALSE)+SUM(_xlfn.XLOOKUP(S112:AG112,增益!$A:$A,增益!$T:$T,0))</f>
        <v>1.602</v>
      </c>
      <c r="BO112" s="20">
        <f t="shared" si="20"/>
        <v>0.18601479</v>
      </c>
      <c r="BP112" s="20">
        <f t="shared" si="21"/>
        <v>0.27228132</v>
      </c>
      <c r="BQ112" s="20">
        <f>IF(VLOOKUP($R112,武学奇术!$A:$ZZ,22,FALSE)=1,0,(1-$BJ112))*(1-$BM112)</f>
        <v>0.09580389</v>
      </c>
      <c r="BR112" s="20" cm="1">
        <f t="array" ref="BR112">SUM(_xlfn.XLOOKUP(S112:AG112,增益!$A:$A,增益!$W:$W,0))+$I$5</f>
        <v>0.21</v>
      </c>
    </row>
    <row r="113" spans="11:70">
      <c r="K113" s="27">
        <f>$L113*VLOOKUP($R113,武学奇术!$A:$ZZ,31,FALSE)</f>
        <v>121804.856970002</v>
      </c>
      <c r="L113" s="27">
        <f t="shared" si="11"/>
        <v>121804.856970002</v>
      </c>
      <c r="M113" s="27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107979.223829141</v>
      </c>
      <c r="N113" s="27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176964.538319079</v>
      </c>
      <c r="O113" s="27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71986.149219427</v>
      </c>
      <c r="P113" s="27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33507.5429338109</v>
      </c>
      <c r="Q113" s="35">
        <v>4</v>
      </c>
      <c r="R113" s="36" t="s">
        <v>157</v>
      </c>
      <c r="S113" s="36" t="s">
        <v>152</v>
      </c>
      <c r="T113" s="36" t="s">
        <v>93</v>
      </c>
      <c r="U113" s="36" t="s">
        <v>71</v>
      </c>
      <c r="V113" s="36" t="s">
        <v>71</v>
      </c>
      <c r="W113" s="36" t="s">
        <v>71</v>
      </c>
      <c r="X113" s="36" t="s">
        <v>158</v>
      </c>
      <c r="Y113" s="36" t="s">
        <v>71</v>
      </c>
      <c r="Z113" s="36" t="s">
        <v>71</v>
      </c>
      <c r="AA113" s="36" t="s">
        <v>71</v>
      </c>
      <c r="AB113" s="36" t="s">
        <v>71</v>
      </c>
      <c r="AC113" s="36" t="s">
        <v>71</v>
      </c>
      <c r="AD113" s="36" t="s">
        <v>72</v>
      </c>
      <c r="AE113" s="36" t="s">
        <v>94</v>
      </c>
      <c r="AF113" s="36" t="s">
        <v>154</v>
      </c>
      <c r="AG113" s="36" t="s">
        <v>120</v>
      </c>
      <c r="AH113" t="str">
        <f>VLOOKUP($R113,武学奇术!$A:$ZZ,25,FALSE)</f>
        <v>群体奇术</v>
      </c>
      <c r="AI113" s="20">
        <f>VLOOKUP($R113,武学奇术!$A:$ZZ,26,FALSE)</f>
        <v>1.4904</v>
      </c>
      <c r="AJ113" s="21">
        <f>VLOOKUP($R113,武学奇术!$A:$ZZ,27,FALSE)*(1+IF(OR($AH113=$F$4,$AH113=$F$5),$B$22,0))</f>
        <v>368</v>
      </c>
      <c r="AK113" s="20">
        <f>VLOOKUP($R113,武学奇术!$A:$ZZ,28,FALSE)</f>
        <v>2.2353</v>
      </c>
      <c r="AL113" s="21">
        <f>VLOOKUP($R113,武学奇术!$A:$ZZ,29,FALSE)*(1+IF(OR($AH113=$F$4,$AH113=$F$5),$B$22,0))</f>
        <v>0</v>
      </c>
      <c r="AM113" s="20" cm="1">
        <f t="array" ref="AM113">$G$3+IFERROR(VLOOKUP($AH113,$F$4:$G$7,2,FALSE),0)+VLOOKUP($R113,武学奇术!$A:$ZZ,2,FALSE)+SUM(_xlfn.XLOOKUP($S113:$AG113,增益!$A:$A,增益!$B:$B,0))</f>
        <v>0.4887</v>
      </c>
      <c r="AN113" s="20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1517.52</v>
      </c>
      <c r="AP113" cm="1">
        <f t="array" ref="AP113">$E$10*(1+$AN113)+VLOOKUP($R113,武学奇术!$A:$ZZ,4,FALSE)+SUM(_xlfn.XLOOKUP($S113:$AG113,增益!$A:$A,增益!$D:$D,0))-$I$2</f>
        <v>6628.56</v>
      </c>
      <c r="AQ113" s="29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0.2425</v>
      </c>
      <c r="AR113" s="29" cm="1">
        <f t="array" ref="AR113">$G$10+VLOOKUP($R113,武学奇术!$A:$ZZ,7,FALSE)+SUM(_xlfn.XLOOKUP(S113:AG113,增益!$A:$A,增益!$G:$G,0))</f>
        <v>0</v>
      </c>
      <c r="AS113" s="20" cm="1">
        <f t="array" ref="AS113">VLOOKUP($R113,武学奇术!$A:$ZZ,8,FALSE)+SUM(_xlfn.XLOOKUP(S113:AG113,增益!$A:$A,增益!$H:$H,0))</f>
        <v>0</v>
      </c>
      <c r="AT113">
        <f t="shared" si="12"/>
        <v>538</v>
      </c>
      <c r="AU113">
        <f t="shared" si="13"/>
        <v>1011</v>
      </c>
      <c r="AV113" s="29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0</v>
      </c>
      <c r="AW113" s="29" cm="1">
        <f t="array" ref="AW113">$G$11+VLOOKUP($R113,武学奇术!$A:$ZZ,10,FALSE)+SUM(_xlfn.XLOOKUP(S113:AG113,增益!$A:$A,增益!$J:$J,0))</f>
        <v>0.15</v>
      </c>
      <c r="AX113">
        <f t="shared" si="14"/>
        <v>0</v>
      </c>
      <c r="AY113">
        <f t="shared" si="15"/>
        <v>0</v>
      </c>
      <c r="AZ113" s="29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29" cm="1">
        <f t="array" ref="BA113">$G$12+VLOOKUP($R113,武学奇术!$A:$ZZ,12,FALSE)+SUM(_xlfn.XLOOKUP(S113:AG113,增益!$A:$A,增益!$L:$L,0))</f>
        <v>0</v>
      </c>
      <c r="BB113">
        <f t="shared" si="16"/>
        <v>0</v>
      </c>
      <c r="BC113">
        <f t="shared" si="17"/>
        <v>0</v>
      </c>
      <c r="BD113" s="29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29" cm="1">
        <f t="array" ref="BE113">$G$13+VLOOKUP($R113,武学奇术!$A:$ZZ,14,FALSE)+SUM(_xlfn.XLOOKUP(S113:AG113,增益!$A:$A,增益!$N:$N,0))</f>
        <v>0</v>
      </c>
      <c r="BF113">
        <f t="shared" si="18"/>
        <v>0</v>
      </c>
      <c r="BG113">
        <f t="shared" si="19"/>
        <v>0</v>
      </c>
      <c r="BH113" s="29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29" cm="1">
        <f t="array" ref="BI113">$G$14+VLOOKUP($R113,武学奇术!$A:$ZZ,16,FALSE)+SUM(_xlfn.XLOOKUP(S113:AG113,增益!$A:$A,增益!$P:$P,0))</f>
        <v>0</v>
      </c>
      <c r="BJ113" s="20">
        <f>MIN(IF(VLOOKUP($R113,武学奇术!$A:$ZZ,23,FALSE)=1,100%,$B$8),100%)</f>
        <v>0.8271</v>
      </c>
      <c r="BK113" s="20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0.2249</v>
      </c>
      <c r="BL113" s="20" cm="1">
        <f t="array" ref="BL113">1+$B$13+VLOOKUP($R113,武学奇术!$A:$ZZ,18,FALSE)+SUM(_xlfn.XLOOKUP(S113:AG113,增益!$A:$A,增益!$R:$R,0))</f>
        <v>1.5</v>
      </c>
      <c r="BM113" s="20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0.4459</v>
      </c>
      <c r="BN113" s="20" cm="1">
        <f t="array" ref="BN113">1+$B$14+VLOOKUP($R113,武学奇术!$A:$ZZ,20,FALSE)+SUM(_xlfn.XLOOKUP(S113:AG113,增益!$A:$A,增益!$T:$T,0))</f>
        <v>1.602</v>
      </c>
      <c r="BO113" s="20">
        <f t="shared" si="20"/>
        <v>0.18601479</v>
      </c>
      <c r="BP113" s="20">
        <f t="shared" si="21"/>
        <v>0.27228132</v>
      </c>
      <c r="BQ113" s="20">
        <f>IF(VLOOKUP($R113,武学奇术!$A:$ZZ,22,FALSE)=1,0,(1-$BJ113))*(1-$BM113)</f>
        <v>0.09580389</v>
      </c>
      <c r="BR113" s="20" cm="1">
        <f t="array" ref="BR113">SUM(_xlfn.XLOOKUP(S113:AG113,增益!$A:$A,增益!$W:$W,0))+$I$5</f>
        <v>0.21</v>
      </c>
    </row>
    <row r="114" spans="11:70">
      <c r="K114" s="27">
        <f>$L114*VLOOKUP($R114,武学奇术!$A:$ZZ,31,FALSE)</f>
        <v>28556.7224940847</v>
      </c>
      <c r="L114" s="27">
        <f t="shared" si="11"/>
        <v>28556.7224940847</v>
      </c>
      <c r="M114" s="27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25687.9251419947</v>
      </c>
      <c r="N114" s="27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41010.7899495069</v>
      </c>
      <c r="O114" s="27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17125.2834279964</v>
      </c>
      <c r="P114" s="27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8650.82281759908</v>
      </c>
      <c r="Q114" s="35">
        <v>1</v>
      </c>
      <c r="R114" s="36" t="s">
        <v>92</v>
      </c>
      <c r="S114" s="36" t="s">
        <v>152</v>
      </c>
      <c r="T114" s="36" t="s">
        <v>93</v>
      </c>
      <c r="U114" s="36" t="s">
        <v>71</v>
      </c>
      <c r="V114" s="36" t="s">
        <v>71</v>
      </c>
      <c r="W114" s="36" t="s">
        <v>71</v>
      </c>
      <c r="X114" s="36" t="s">
        <v>158</v>
      </c>
      <c r="Y114" s="36" t="s">
        <v>71</v>
      </c>
      <c r="Z114" s="36" t="s">
        <v>71</v>
      </c>
      <c r="AA114" s="36" t="s">
        <v>71</v>
      </c>
      <c r="AB114" s="36" t="s">
        <v>71</v>
      </c>
      <c r="AC114" s="36" t="s">
        <v>71</v>
      </c>
      <c r="AD114" s="36" t="s">
        <v>72</v>
      </c>
      <c r="AE114" s="36" t="s">
        <v>94</v>
      </c>
      <c r="AF114" s="36" t="s">
        <v>154</v>
      </c>
      <c r="AG114" s="36" t="s">
        <v>120</v>
      </c>
      <c r="AH114" t="str">
        <f>VLOOKUP($R114,武学奇术!$A:$ZZ,25,FALSE)</f>
        <v>剑</v>
      </c>
      <c r="AI114" s="20">
        <f>VLOOKUP($R114,武学奇术!$A:$ZZ,26,FALSE)</f>
        <v>1.1781</v>
      </c>
      <c r="AJ114" s="21">
        <f>VLOOKUP($R114,武学奇术!$A:$ZZ,27,FALSE)*(1+IF(OR($AH114=$F$4,$AH114=$F$5),$B$22,0))</f>
        <v>456.4</v>
      </c>
      <c r="AK114" s="20">
        <f>VLOOKUP($R114,武学奇术!$A:$ZZ,28,FALSE)</f>
        <v>1.7672</v>
      </c>
      <c r="AL114" s="21">
        <f>VLOOKUP($R114,武学奇术!$A:$ZZ,29,FALSE)*(1+IF(OR($AH114=$F$4,$AH114=$F$5),$B$22,0))</f>
        <v>247.8</v>
      </c>
      <c r="AM114" s="20" cm="1">
        <f t="array" ref="AM114">$G$3+IFERROR(VLOOKUP($AH114,$F$4:$G$7,2,FALSE),0)+VLOOKUP($R114,武学奇术!$A:$ZZ,2,FALSE)+SUM(_xlfn.XLOOKUP($S114:$AG114,增益!$A:$A,增益!$B:$B,0))</f>
        <v>0.6591</v>
      </c>
      <c r="AN114" s="20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1517.52</v>
      </c>
      <c r="AP114" cm="1">
        <f t="array" ref="AP114">$E$10*(1+$AN114)+VLOOKUP($R114,武学奇术!$A:$ZZ,4,FALSE)+SUM(_xlfn.XLOOKUP($S114:$AG114,增益!$A:$A,增益!$D:$D,0))-$I$2</f>
        <v>6628.56</v>
      </c>
      <c r="AQ114" s="29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0.2425</v>
      </c>
      <c r="AR114" s="29" cm="1">
        <f t="array" ref="AR114">$G$10+VLOOKUP($R114,武学奇术!$A:$ZZ,7,FALSE)+SUM(_xlfn.XLOOKUP(S114:AG114,增益!$A:$A,增益!$G:$G,0))</f>
        <v>0</v>
      </c>
      <c r="AS114" s="20" cm="1">
        <f t="array" ref="AS114">VLOOKUP($R114,武学奇术!$A:$ZZ,8,FALSE)+SUM(_xlfn.XLOOKUP(S114:AG114,增益!$A:$A,增益!$H:$H,0))</f>
        <v>0</v>
      </c>
      <c r="AT114">
        <f t="shared" si="12"/>
        <v>538</v>
      </c>
      <c r="AU114">
        <f t="shared" si="13"/>
        <v>1011</v>
      </c>
      <c r="AV114" s="29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29" cm="1">
        <f t="array" ref="AW114">$G$11+VLOOKUP($R114,武学奇术!$A:$ZZ,10,FALSE)+SUM(_xlfn.XLOOKUP(S114:AG114,增益!$A:$A,增益!$J:$J,0))</f>
        <v>0.15</v>
      </c>
      <c r="AX114">
        <f t="shared" si="14"/>
        <v>0</v>
      </c>
      <c r="AY114">
        <f t="shared" si="15"/>
        <v>0</v>
      </c>
      <c r="AZ114" s="29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29" cm="1">
        <f t="array" ref="BA114">$G$12+VLOOKUP($R114,武学奇术!$A:$ZZ,12,FALSE)+SUM(_xlfn.XLOOKUP(S114:AG114,增益!$A:$A,增益!$L:$L,0))</f>
        <v>0</v>
      </c>
      <c r="BB114">
        <f t="shared" si="16"/>
        <v>0</v>
      </c>
      <c r="BC114">
        <f t="shared" si="17"/>
        <v>0</v>
      </c>
      <c r="BD114" s="29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29" cm="1">
        <f t="array" ref="BE114">$G$13+VLOOKUP($R114,武学奇术!$A:$ZZ,14,FALSE)+SUM(_xlfn.XLOOKUP(S114:AG114,增益!$A:$A,增益!$N:$N,0))</f>
        <v>0</v>
      </c>
      <c r="BF114">
        <f t="shared" si="18"/>
        <v>0</v>
      </c>
      <c r="BG114">
        <f t="shared" si="19"/>
        <v>0</v>
      </c>
      <c r="BH114" s="29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29" cm="1">
        <f t="array" ref="BI114">$G$14+VLOOKUP($R114,武学奇术!$A:$ZZ,16,FALSE)+SUM(_xlfn.XLOOKUP(S114:AG114,增益!$A:$A,增益!$P:$P,0))</f>
        <v>0</v>
      </c>
      <c r="BJ114" s="20">
        <f>MIN(IF(VLOOKUP($R114,武学奇术!$A:$ZZ,23,FALSE)=1,100%,$B$8),100%)</f>
        <v>0.8271</v>
      </c>
      <c r="BK114" s="20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0.2249</v>
      </c>
      <c r="BL114" s="20" cm="1">
        <f t="array" ref="BL114">1+$B$13+VLOOKUP($R114,武学奇术!$A:$ZZ,18,FALSE)+SUM(_xlfn.XLOOKUP(S114:AG114,增益!$A:$A,增益!$R:$R,0))</f>
        <v>1.5</v>
      </c>
      <c r="BM114" s="20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0.4459</v>
      </c>
      <c r="BN114" s="20" cm="1">
        <f t="array" ref="BN114">1+$B$14+VLOOKUP($R114,武学奇术!$A:$ZZ,20,FALSE)+SUM(_xlfn.XLOOKUP(S114:AG114,增益!$A:$A,增益!$T:$T,0))</f>
        <v>1.602</v>
      </c>
      <c r="BO114" s="20">
        <f t="shared" si="20"/>
        <v>0.18601479</v>
      </c>
      <c r="BP114" s="20">
        <f t="shared" si="21"/>
        <v>0.27228132</v>
      </c>
      <c r="BQ114" s="20">
        <f>IF(VLOOKUP($R114,武学奇术!$A:$ZZ,22,FALSE)=1,0,(1-$BJ114))*(1-$BM114)</f>
        <v>0.09580389</v>
      </c>
      <c r="BR114" s="20" cm="1">
        <f t="array" ref="BR114">SUM(_xlfn.XLOOKUP(S114:AG114,增益!$A:$A,增益!$W:$W,0))+$I$5</f>
        <v>0.21</v>
      </c>
    </row>
    <row r="115" spans="11:70">
      <c r="K115" s="27">
        <f>$L115*VLOOKUP($R115,武学奇术!$A:$ZZ,31,FALSE)</f>
        <v>71836.9281701607</v>
      </c>
      <c r="L115" s="27">
        <f t="shared" si="11"/>
        <v>119728.213616935</v>
      </c>
      <c r="M115" s="27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97997.4830010538</v>
      </c>
      <c r="N115" s="27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181549.837589899</v>
      </c>
      <c r="O115" s="27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65331.6553340359</v>
      </c>
      <c r="P115" s="27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28783.4915940544</v>
      </c>
      <c r="Q115" s="35">
        <v>1</v>
      </c>
      <c r="R115" s="36" t="s">
        <v>105</v>
      </c>
      <c r="S115" s="36" t="s">
        <v>152</v>
      </c>
      <c r="T115" s="36" t="s">
        <v>99</v>
      </c>
      <c r="U115" s="36" t="s">
        <v>100</v>
      </c>
      <c r="V115" s="36" t="s">
        <v>101</v>
      </c>
      <c r="W115" s="36" t="s">
        <v>71</v>
      </c>
      <c r="X115" s="36" t="s">
        <v>158</v>
      </c>
      <c r="Y115" s="36" t="s">
        <v>71</v>
      </c>
      <c r="Z115" s="36" t="s">
        <v>71</v>
      </c>
      <c r="AA115" s="36" t="s">
        <v>71</v>
      </c>
      <c r="AB115" s="36" t="s">
        <v>71</v>
      </c>
      <c r="AC115" s="36" t="s">
        <v>71</v>
      </c>
      <c r="AD115" s="36" t="s">
        <v>72</v>
      </c>
      <c r="AE115" s="36" t="s">
        <v>94</v>
      </c>
      <c r="AF115" s="36" t="s">
        <v>154</v>
      </c>
      <c r="AG115" s="36" t="s">
        <v>120</v>
      </c>
      <c r="AH115" t="str">
        <f>VLOOKUP($R115,武学奇术!$A:$ZZ,25,FALSE)</f>
        <v>剑</v>
      </c>
      <c r="AI115" s="20">
        <f>VLOOKUP($R115,武学奇术!$A:$ZZ,26,FALSE)</f>
        <v>2.496</v>
      </c>
      <c r="AJ115" s="21">
        <f>VLOOKUP($R115,武学奇术!$A:$ZZ,27,FALSE)*(1+IF(OR($AH115=$F$4,$AH115=$F$5),$B$22,0))</f>
        <v>0</v>
      </c>
      <c r="AK115" s="20">
        <f>VLOOKUP($R115,武学奇术!$A:$ZZ,28,FALSE)</f>
        <v>3.744</v>
      </c>
      <c r="AL115" s="21">
        <f>VLOOKUP($R115,武学奇术!$A:$ZZ,29,FALSE)*(1+IF(OR($AH115=$F$4,$AH115=$F$5),$B$22,0))</f>
        <v>0</v>
      </c>
      <c r="AM115" s="20" cm="1">
        <f t="array" ref="AM115">$G$3+IFERROR(VLOOKUP($AH115,$F$4:$G$7,2,FALSE),0)+VLOOKUP($R115,武学奇术!$A:$ZZ,2,FALSE)+SUM(_xlfn.XLOOKUP($S115:$AG115,增益!$A:$A,增益!$B:$B,0))</f>
        <v>1.4091</v>
      </c>
      <c r="AN115" s="20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1517.52</v>
      </c>
      <c r="AP115" cm="1">
        <f t="array" ref="AP115">$E$10*(1+$AN115)+VLOOKUP($R115,武学奇术!$A:$ZZ,4,FALSE)+SUM(_xlfn.XLOOKUP($S115:$AG115,增益!$A:$A,增益!$D:$D,0))-$I$2</f>
        <v>6628.56</v>
      </c>
      <c r="AQ115" s="29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0.3175</v>
      </c>
      <c r="AR115" s="29" cm="1">
        <f t="array" ref="AR115">$G$10+VLOOKUP($R115,武学奇术!$A:$ZZ,7,FALSE)+SUM(_xlfn.XLOOKUP(S115:AG115,增益!$A:$A,增益!$G:$G,0))</f>
        <v>0</v>
      </c>
      <c r="AS115" s="20" cm="1">
        <f t="array" ref="AS115">VLOOKUP($R115,武学奇术!$A:$ZZ,8,FALSE)+SUM(_xlfn.XLOOKUP(S115:AG115,增益!$A:$A,增益!$H:$H,0))</f>
        <v>0</v>
      </c>
      <c r="AT115">
        <f t="shared" si="12"/>
        <v>538</v>
      </c>
      <c r="AU115">
        <f t="shared" si="13"/>
        <v>1011</v>
      </c>
      <c r="AV115" s="29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0.075</v>
      </c>
      <c r="AW115" s="29" cm="1">
        <f t="array" ref="AW115">$G$11+VLOOKUP($R115,武学奇术!$A:$ZZ,10,FALSE)+SUM(_xlfn.XLOOKUP(S115:AG115,增益!$A:$A,增益!$J:$J,0))</f>
        <v>0.15</v>
      </c>
      <c r="AX115">
        <f t="shared" si="14"/>
        <v>0</v>
      </c>
      <c r="AY115">
        <f t="shared" si="15"/>
        <v>0</v>
      </c>
      <c r="AZ115" s="29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29" cm="1">
        <f t="array" ref="BA115">$G$12+VLOOKUP($R115,武学奇术!$A:$ZZ,12,FALSE)+SUM(_xlfn.XLOOKUP(S115:AG115,增益!$A:$A,增益!$L:$L,0))</f>
        <v>0</v>
      </c>
      <c r="BB115">
        <f t="shared" si="16"/>
        <v>0</v>
      </c>
      <c r="BC115">
        <f t="shared" si="17"/>
        <v>0</v>
      </c>
      <c r="BD115" s="29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29" cm="1">
        <f t="array" ref="BE115">$G$13+VLOOKUP($R115,武学奇术!$A:$ZZ,14,FALSE)+SUM(_xlfn.XLOOKUP(S115:AG115,增益!$A:$A,增益!$N:$N,0))</f>
        <v>0</v>
      </c>
      <c r="BF115">
        <f t="shared" si="18"/>
        <v>0</v>
      </c>
      <c r="BG115">
        <f t="shared" si="19"/>
        <v>0</v>
      </c>
      <c r="BH115" s="29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29" cm="1">
        <f t="array" ref="BI115">$G$14+VLOOKUP($R115,武学奇术!$A:$ZZ,16,FALSE)+SUM(_xlfn.XLOOKUP(S115:AG115,增益!$A:$A,增益!$P:$P,0))</f>
        <v>0</v>
      </c>
      <c r="BJ115" s="20">
        <f>MIN(IF(VLOOKUP($R115,武学奇术!$A:$ZZ,23,FALSE)=1,100%,$B$8),100%)</f>
        <v>0.8271</v>
      </c>
      <c r="BK115" s="20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0.2249</v>
      </c>
      <c r="BL115" s="20" cm="1">
        <f t="array" ref="BL115">1+$B$13+VLOOKUP($R115,武学奇术!$A:$ZZ,18,FALSE)+SUM(_xlfn.XLOOKUP(S115:AG115,增益!$A:$A,增益!$R:$R,0))</f>
        <v>1.5</v>
      </c>
      <c r="BM115" s="20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0.4459</v>
      </c>
      <c r="BN115" s="20" cm="1">
        <f t="array" ref="BN115">1+$B$14+VLOOKUP($R115,武学奇术!$A:$ZZ,20,FALSE)+SUM(_xlfn.XLOOKUP(S115:AG115,增益!$A:$A,增益!$T:$T,0))</f>
        <v>1.782</v>
      </c>
      <c r="BO115" s="20">
        <f t="shared" si="20"/>
        <v>0.18601479</v>
      </c>
      <c r="BP115" s="20">
        <f t="shared" si="21"/>
        <v>0.27228132</v>
      </c>
      <c r="BQ115" s="20">
        <f>IF(VLOOKUP($R115,武学奇术!$A:$ZZ,22,FALSE)=1,0,(1-$BJ115))*(1-$BM115)</f>
        <v>0.09580389</v>
      </c>
      <c r="BR115" s="20" cm="1">
        <f t="array" ref="BR115">SUM(_xlfn.XLOOKUP(S115:AG115,增益!$A:$A,增益!$W:$W,0))+$I$5</f>
        <v>0.21</v>
      </c>
    </row>
    <row r="116" spans="11:70">
      <c r="K116" s="27">
        <f>$L116*VLOOKUP($R116,武学奇术!$A:$ZZ,31,FALSE)</f>
        <v>71836.9281701607</v>
      </c>
      <c r="L116" s="27">
        <f t="shared" si="11"/>
        <v>119728.213616935</v>
      </c>
      <c r="M116" s="27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97997.4830010538</v>
      </c>
      <c r="N116" s="27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181549.837589899</v>
      </c>
      <c r="O116" s="27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65331.6553340359</v>
      </c>
      <c r="P116" s="27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28783.4915940544</v>
      </c>
      <c r="Q116" s="35">
        <v>1</v>
      </c>
      <c r="R116" s="36" t="s">
        <v>105</v>
      </c>
      <c r="S116" s="36" t="s">
        <v>152</v>
      </c>
      <c r="T116" s="36" t="s">
        <v>99</v>
      </c>
      <c r="U116" s="36" t="s">
        <v>100</v>
      </c>
      <c r="V116" s="36" t="s">
        <v>101</v>
      </c>
      <c r="W116" s="36" t="s">
        <v>71</v>
      </c>
      <c r="X116" s="36" t="s">
        <v>158</v>
      </c>
      <c r="Y116" s="36" t="s">
        <v>71</v>
      </c>
      <c r="Z116" s="36" t="s">
        <v>71</v>
      </c>
      <c r="AA116" s="36" t="s">
        <v>71</v>
      </c>
      <c r="AB116" s="36" t="s">
        <v>71</v>
      </c>
      <c r="AC116" s="36" t="s">
        <v>71</v>
      </c>
      <c r="AD116" s="36" t="s">
        <v>72</v>
      </c>
      <c r="AE116" s="36" t="s">
        <v>94</v>
      </c>
      <c r="AF116" s="36" t="s">
        <v>154</v>
      </c>
      <c r="AG116" s="36" t="s">
        <v>120</v>
      </c>
      <c r="AH116" t="str">
        <f>VLOOKUP($R116,武学奇术!$A:$ZZ,25,FALSE)</f>
        <v>剑</v>
      </c>
      <c r="AI116" s="20">
        <f>VLOOKUP($R116,武学奇术!$A:$ZZ,26,FALSE)</f>
        <v>2.496</v>
      </c>
      <c r="AJ116" s="21">
        <f>VLOOKUP($R116,武学奇术!$A:$ZZ,27,FALSE)*(1+IF(OR($AH116=$F$4,$AH116=$F$5),$B$22,0))</f>
        <v>0</v>
      </c>
      <c r="AK116" s="20">
        <f>VLOOKUP($R116,武学奇术!$A:$ZZ,28,FALSE)</f>
        <v>3.744</v>
      </c>
      <c r="AL116" s="21">
        <f>VLOOKUP($R116,武学奇术!$A:$ZZ,29,FALSE)*(1+IF(OR($AH116=$F$4,$AH116=$F$5),$B$22,0))</f>
        <v>0</v>
      </c>
      <c r="AM116" s="20" cm="1">
        <f t="array" ref="AM116">$G$3+IFERROR(VLOOKUP($AH116,$F$4:$G$7,2,FALSE),0)+VLOOKUP($R116,武学奇术!$A:$ZZ,2,FALSE)+SUM(_xlfn.XLOOKUP($S116:$AG116,增益!$A:$A,增益!$B:$B,0))</f>
        <v>1.4091</v>
      </c>
      <c r="AN116" s="20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1517.52</v>
      </c>
      <c r="AP116" cm="1">
        <f t="array" ref="AP116">$E$10*(1+$AN116)+VLOOKUP($R116,武学奇术!$A:$ZZ,4,FALSE)+SUM(_xlfn.XLOOKUP($S116:$AG116,增益!$A:$A,增益!$D:$D,0))-$I$2</f>
        <v>6628.56</v>
      </c>
      <c r="AQ116" s="29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0.3175</v>
      </c>
      <c r="AR116" s="29" cm="1">
        <f t="array" ref="AR116">$G$10+VLOOKUP($R116,武学奇术!$A:$ZZ,7,FALSE)+SUM(_xlfn.XLOOKUP(S116:AG116,增益!$A:$A,增益!$G:$G,0))</f>
        <v>0</v>
      </c>
      <c r="AS116" s="20" cm="1">
        <f t="array" ref="AS116">VLOOKUP($R116,武学奇术!$A:$ZZ,8,FALSE)+SUM(_xlfn.XLOOKUP(S116:AG116,增益!$A:$A,增益!$H:$H,0))</f>
        <v>0</v>
      </c>
      <c r="AT116">
        <f t="shared" si="12"/>
        <v>538</v>
      </c>
      <c r="AU116">
        <f t="shared" si="13"/>
        <v>1011</v>
      </c>
      <c r="AV116" s="29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0.075</v>
      </c>
      <c r="AW116" s="29" cm="1">
        <f t="array" ref="AW116">$G$11+VLOOKUP($R116,武学奇术!$A:$ZZ,10,FALSE)+SUM(_xlfn.XLOOKUP(S116:AG116,增益!$A:$A,增益!$J:$J,0))</f>
        <v>0.15</v>
      </c>
      <c r="AX116">
        <f t="shared" si="14"/>
        <v>0</v>
      </c>
      <c r="AY116">
        <f t="shared" si="15"/>
        <v>0</v>
      </c>
      <c r="AZ116" s="29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29" cm="1">
        <f t="array" ref="BA116">$G$12+VLOOKUP($R116,武学奇术!$A:$ZZ,12,FALSE)+SUM(_xlfn.XLOOKUP(S116:AG116,增益!$A:$A,增益!$L:$L,0))</f>
        <v>0</v>
      </c>
      <c r="BB116">
        <f t="shared" si="16"/>
        <v>0</v>
      </c>
      <c r="BC116">
        <f t="shared" si="17"/>
        <v>0</v>
      </c>
      <c r="BD116" s="29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29" cm="1">
        <f t="array" ref="BE116">$G$13+VLOOKUP($R116,武学奇术!$A:$ZZ,14,FALSE)+SUM(_xlfn.XLOOKUP(S116:AG116,增益!$A:$A,增益!$N:$N,0))</f>
        <v>0</v>
      </c>
      <c r="BF116">
        <f t="shared" si="18"/>
        <v>0</v>
      </c>
      <c r="BG116">
        <f t="shared" si="19"/>
        <v>0</v>
      </c>
      <c r="BH116" s="29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29" cm="1">
        <f t="array" ref="BI116">$G$14+VLOOKUP($R116,武学奇术!$A:$ZZ,16,FALSE)+SUM(_xlfn.XLOOKUP(S116:AG116,增益!$A:$A,增益!$P:$P,0))</f>
        <v>0</v>
      </c>
      <c r="BJ116" s="20">
        <f>MIN(IF(VLOOKUP($R116,武学奇术!$A:$ZZ,23,FALSE)=1,100%,$B$8),100%)</f>
        <v>0.8271</v>
      </c>
      <c r="BK116" s="20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0.2249</v>
      </c>
      <c r="BL116" s="20" cm="1">
        <f t="array" ref="BL116">1+$B$13+VLOOKUP($R116,武学奇术!$A:$ZZ,18,FALSE)+SUM(_xlfn.XLOOKUP(S116:AG116,增益!$A:$A,增益!$R:$R,0))</f>
        <v>1.5</v>
      </c>
      <c r="BM116" s="20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0.4459</v>
      </c>
      <c r="BN116" s="20" cm="1">
        <f t="array" ref="BN116">1+$B$14+VLOOKUP($R116,武学奇术!$A:$ZZ,20,FALSE)+SUM(_xlfn.XLOOKUP(S116:AG116,增益!$A:$A,增益!$T:$T,0))</f>
        <v>1.782</v>
      </c>
      <c r="BO116" s="20">
        <f t="shared" si="20"/>
        <v>0.18601479</v>
      </c>
      <c r="BP116" s="20">
        <f t="shared" si="21"/>
        <v>0.27228132</v>
      </c>
      <c r="BQ116" s="20">
        <f>IF(VLOOKUP($R116,武学奇术!$A:$ZZ,22,FALSE)=1,0,(1-$BJ116))*(1-$BM116)</f>
        <v>0.09580389</v>
      </c>
      <c r="BR116" s="20" cm="1">
        <f t="array" ref="BR116">SUM(_xlfn.XLOOKUP(S116:AG116,增益!$A:$A,增益!$W:$W,0))+$I$5</f>
        <v>0.21</v>
      </c>
    </row>
    <row r="117" spans="11:70">
      <c r="K117" s="27">
        <f>$L117*VLOOKUP($R117,武学奇术!$A:$ZZ,31,FALSE)</f>
        <v>13707.677800521</v>
      </c>
      <c r="L117" s="27">
        <f t="shared" si="11"/>
        <v>13707.677800521</v>
      </c>
      <c r="M117" s="27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12038.9770309328</v>
      </c>
      <c r="N117" s="27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20059.9246869258</v>
      </c>
      <c r="O117" s="27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8025.98468728856</v>
      </c>
      <c r="P117" s="27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3530.16869609662</v>
      </c>
      <c r="Q117" s="35">
        <v>1</v>
      </c>
      <c r="R117" s="36" t="s">
        <v>107</v>
      </c>
      <c r="S117" s="36" t="s">
        <v>152</v>
      </c>
      <c r="T117" s="36" t="s">
        <v>93</v>
      </c>
      <c r="U117" s="36" t="s">
        <v>71</v>
      </c>
      <c r="V117" s="36" t="s">
        <v>71</v>
      </c>
      <c r="W117" s="36" t="s">
        <v>71</v>
      </c>
      <c r="X117" s="36" t="s">
        <v>158</v>
      </c>
      <c r="Y117" s="36" t="s">
        <v>71</v>
      </c>
      <c r="Z117" s="36" t="s">
        <v>71</v>
      </c>
      <c r="AA117" s="36" t="s">
        <v>71</v>
      </c>
      <c r="AB117" s="36" t="s">
        <v>71</v>
      </c>
      <c r="AC117" s="36" t="s">
        <v>71</v>
      </c>
      <c r="AD117" s="36" t="s">
        <v>72</v>
      </c>
      <c r="AE117" s="36" t="s">
        <v>94</v>
      </c>
      <c r="AF117" s="36" t="s">
        <v>154</v>
      </c>
      <c r="AG117" s="36" t="s">
        <v>120</v>
      </c>
      <c r="AH117" t="str">
        <f>VLOOKUP($R117,武学奇术!$A:$ZZ,25,FALSE)</f>
        <v>剑</v>
      </c>
      <c r="AI117" s="20">
        <f>VLOOKUP($R117,武学奇术!$A:$ZZ,26,FALSE)</f>
        <v>0.625</v>
      </c>
      <c r="AJ117" s="21">
        <f>VLOOKUP($R117,武学奇术!$A:$ZZ,27,FALSE)*(1+IF(OR($AH117=$F$4,$AH117=$F$5),$B$22,0))</f>
        <v>0</v>
      </c>
      <c r="AK117" s="20">
        <f>VLOOKUP($R117,武学奇术!$A:$ZZ,28,FALSE)</f>
        <v>0.9375</v>
      </c>
      <c r="AL117" s="21">
        <f>VLOOKUP($R117,武学奇术!$A:$ZZ,29,FALSE)*(1+IF(OR($AH117=$F$4,$AH117=$F$5),$B$22,0))</f>
        <v>0</v>
      </c>
      <c r="AM117" s="20" cm="1">
        <f t="array" ref="AM117">$G$3+IFERROR(VLOOKUP($AH117,$F$4:$G$7,2,FALSE),0)+VLOOKUP($R117,武学奇术!$A:$ZZ,2,FALSE)+SUM(_xlfn.XLOOKUP($S117:$AG117,增益!$A:$A,增益!$B:$B,0))</f>
        <v>0.6591</v>
      </c>
      <c r="AN117" s="20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1517.52</v>
      </c>
      <c r="AP117" cm="1">
        <f t="array" ref="AP117">$E$10*(1+$AN117)+VLOOKUP($R117,武学奇术!$A:$ZZ,4,FALSE)+SUM(_xlfn.XLOOKUP($S117:$AG117,增益!$A:$A,增益!$D:$D,0))-$I$2</f>
        <v>6628.56</v>
      </c>
      <c r="AQ117" s="29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0.2425</v>
      </c>
      <c r="AR117" s="29" cm="1">
        <f t="array" ref="AR117">$G$10+VLOOKUP($R117,武学奇术!$A:$ZZ,7,FALSE)+SUM(_xlfn.XLOOKUP(S117:AG117,增益!$A:$A,增益!$G:$G,0))</f>
        <v>0</v>
      </c>
      <c r="AS117" s="20" cm="1">
        <f t="array" ref="AS117">VLOOKUP($R117,武学奇术!$A:$ZZ,8,FALSE)+SUM(_xlfn.XLOOKUP(S117:AG117,增益!$A:$A,增益!$H:$H,0))</f>
        <v>0</v>
      </c>
      <c r="AT117">
        <f t="shared" si="12"/>
        <v>538</v>
      </c>
      <c r="AU117">
        <f t="shared" si="13"/>
        <v>1011</v>
      </c>
      <c r="AV117" s="29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</v>
      </c>
      <c r="AW117" s="29" cm="1">
        <f t="array" ref="AW117">$G$11+VLOOKUP($R117,武学奇术!$A:$ZZ,10,FALSE)+SUM(_xlfn.XLOOKUP(S117:AG117,增益!$A:$A,增益!$J:$J,0))</f>
        <v>0.15</v>
      </c>
      <c r="AX117">
        <f t="shared" si="14"/>
        <v>0</v>
      </c>
      <c r="AY117">
        <f t="shared" si="15"/>
        <v>0</v>
      </c>
      <c r="AZ117" s="29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29" cm="1">
        <f t="array" ref="BA117">$G$12+VLOOKUP($R117,武学奇术!$A:$ZZ,12,FALSE)+SUM(_xlfn.XLOOKUP(S117:AG117,增益!$A:$A,增益!$L:$L,0))</f>
        <v>0</v>
      </c>
      <c r="BB117">
        <f t="shared" si="16"/>
        <v>0</v>
      </c>
      <c r="BC117">
        <f t="shared" si="17"/>
        <v>0</v>
      </c>
      <c r="BD117" s="29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29" cm="1">
        <f t="array" ref="BE117">$G$13+VLOOKUP($R117,武学奇术!$A:$ZZ,14,FALSE)+SUM(_xlfn.XLOOKUP(S117:AG117,增益!$A:$A,增益!$N:$N,0))</f>
        <v>0</v>
      </c>
      <c r="BF117">
        <f t="shared" si="18"/>
        <v>0</v>
      </c>
      <c r="BG117">
        <f t="shared" si="19"/>
        <v>0</v>
      </c>
      <c r="BH117" s="29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29" cm="1">
        <f t="array" ref="BI117">$G$14+VLOOKUP($R117,武学奇术!$A:$ZZ,16,FALSE)+SUM(_xlfn.XLOOKUP(S117:AG117,增益!$A:$A,增益!$P:$P,0))</f>
        <v>0</v>
      </c>
      <c r="BJ117" s="20">
        <f>MIN(IF(VLOOKUP($R117,武学奇术!$A:$ZZ,23,FALSE)=1,100%,$B$8),100%)</f>
        <v>0.8271</v>
      </c>
      <c r="BK117" s="20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0.2249</v>
      </c>
      <c r="BL117" s="20" cm="1">
        <f t="array" ref="BL117">1+$B$13+VLOOKUP($R117,武学奇术!$A:$ZZ,18,FALSE)+SUM(_xlfn.XLOOKUP(S117:AG117,增益!$A:$A,增益!$R:$R,0))</f>
        <v>1.5</v>
      </c>
      <c r="BM117" s="20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0.4459</v>
      </c>
      <c r="BN117" s="20" cm="1">
        <f t="array" ref="BN117">1+$B$14+VLOOKUP($R117,武学奇术!$A:$ZZ,20,FALSE)+SUM(_xlfn.XLOOKUP(S117:AG117,增益!$A:$A,增益!$T:$T,0))</f>
        <v>1.602</v>
      </c>
      <c r="BO117" s="20">
        <f t="shared" si="20"/>
        <v>0.18601479</v>
      </c>
      <c r="BP117" s="20">
        <f t="shared" si="21"/>
        <v>0.27228132</v>
      </c>
      <c r="BQ117" s="20">
        <f>IF(VLOOKUP($R117,武学奇术!$A:$ZZ,22,FALSE)=1,0,(1-$BJ117))*(1-$BM117)</f>
        <v>0.09580389</v>
      </c>
      <c r="BR117" s="20" cm="1">
        <f t="array" ref="BR117">SUM(_xlfn.XLOOKUP(S117:AG117,增益!$A:$A,增益!$W:$W,0))+$I$5</f>
        <v>0.21</v>
      </c>
    </row>
    <row r="118" spans="11:70">
      <c r="K118" s="27">
        <f>$L118*VLOOKUP($R118,武学奇术!$A:$ZZ,31,FALSE)</f>
        <v>59322.2577874211</v>
      </c>
      <c r="L118" s="27">
        <f t="shared" si="11"/>
        <v>59322.2577874211</v>
      </c>
      <c r="M118" s="27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53416.3255388277</v>
      </c>
      <c r="N118" s="27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85124.9893287593</v>
      </c>
      <c r="O118" s="27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35610.8836925518</v>
      </c>
      <c r="P118" s="27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18085.0699264524</v>
      </c>
      <c r="Q118" s="35">
        <v>1</v>
      </c>
      <c r="R118" s="36" t="s">
        <v>110</v>
      </c>
      <c r="S118" s="36" t="s">
        <v>152</v>
      </c>
      <c r="T118" s="36" t="s">
        <v>93</v>
      </c>
      <c r="U118" s="36" t="s">
        <v>71</v>
      </c>
      <c r="V118" s="36" t="s">
        <v>71</v>
      </c>
      <c r="W118" s="36" t="s">
        <v>111</v>
      </c>
      <c r="X118" s="36" t="s">
        <v>158</v>
      </c>
      <c r="Y118" s="36" t="s">
        <v>71</v>
      </c>
      <c r="Z118" s="36" t="s">
        <v>71</v>
      </c>
      <c r="AA118" s="36" t="s">
        <v>71</v>
      </c>
      <c r="AB118" s="36" t="s">
        <v>71</v>
      </c>
      <c r="AC118" s="36" t="s">
        <v>71</v>
      </c>
      <c r="AD118" s="36" t="s">
        <v>72</v>
      </c>
      <c r="AE118" s="36" t="s">
        <v>94</v>
      </c>
      <c r="AF118" s="36" t="s">
        <v>154</v>
      </c>
      <c r="AG118" s="36" t="s">
        <v>120</v>
      </c>
      <c r="AH118" t="str">
        <f>VLOOKUP($R118,武学奇术!$A:$ZZ,25,FALSE)</f>
        <v>枪</v>
      </c>
      <c r="AI118" s="20">
        <f>VLOOKUP($R118,武学奇术!$A:$ZZ,26,FALSE)</f>
        <v>2.5683</v>
      </c>
      <c r="AJ118" s="21">
        <f>VLOOKUP($R118,武学奇术!$A:$ZZ,27,FALSE)*(1+IF(OR($AH118=$F$4,$AH118=$F$5),$B$22,0))</f>
        <v>995.4</v>
      </c>
      <c r="AK118" s="20">
        <f>VLOOKUP($R118,武学奇术!$A:$ZZ,28,FALSE)</f>
        <v>3.8524</v>
      </c>
      <c r="AL118" s="21">
        <f>VLOOKUP($R118,武学奇术!$A:$ZZ,29,FALSE)*(1+IF(OR($AH118=$F$4,$AH118=$F$5),$B$22,0))</f>
        <v>541.8</v>
      </c>
      <c r="AM118" s="20" cm="1">
        <f t="array" ref="AM118">$G$3+IFERROR(VLOOKUP($AH118,$F$4:$G$7,2,FALSE),0)+VLOOKUP($R118,武学奇术!$A:$ZZ,2,FALSE)+SUM(_xlfn.XLOOKUP($S118:$AG118,增益!$A:$A,增益!$B:$B,0))</f>
        <v>0.5739</v>
      </c>
      <c r="AN118" s="20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1548.52</v>
      </c>
      <c r="AP118" cm="1">
        <f t="array" ref="AP118">$E$10*(1+$AN118)+VLOOKUP($R118,武学奇术!$A:$ZZ,4,FALSE)+SUM(_xlfn.XLOOKUP($S118:$AG118,增益!$A:$A,增益!$D:$D,0))-$I$2</f>
        <v>6659.56</v>
      </c>
      <c r="AQ118" s="29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0.2425</v>
      </c>
      <c r="AR118" s="29" cm="1">
        <f t="array" ref="AR118">$G$10+VLOOKUP($R118,武学奇术!$A:$ZZ,7,FALSE)+SUM(_xlfn.XLOOKUP(S118:AG118,增益!$A:$A,增益!$G:$G,0))</f>
        <v>0</v>
      </c>
      <c r="AS118" s="20" cm="1">
        <f t="array" ref="AS118">VLOOKUP($R118,武学奇术!$A:$ZZ,8,FALSE)+SUM(_xlfn.XLOOKUP(S118:AG118,增益!$A:$A,增益!$H:$H,0))</f>
        <v>0</v>
      </c>
      <c r="AT118">
        <f t="shared" si="12"/>
        <v>538</v>
      </c>
      <c r="AU118">
        <f t="shared" si="13"/>
        <v>1011</v>
      </c>
      <c r="AV118" s="29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29" cm="1">
        <f t="array" ref="AW118">$G$11+VLOOKUP($R118,武学奇术!$A:$ZZ,10,FALSE)+SUM(_xlfn.XLOOKUP(S118:AG118,增益!$A:$A,增益!$J:$J,0))</f>
        <v>0.15</v>
      </c>
      <c r="AX118">
        <f t="shared" si="14"/>
        <v>0</v>
      </c>
      <c r="AY118">
        <f t="shared" si="15"/>
        <v>0</v>
      </c>
      <c r="AZ118" s="29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29" cm="1">
        <f t="array" ref="BA118">$G$12+VLOOKUP($R118,武学奇术!$A:$ZZ,12,FALSE)+SUM(_xlfn.XLOOKUP(S118:AG118,增益!$A:$A,增益!$L:$L,0))</f>
        <v>0</v>
      </c>
      <c r="BB118">
        <f t="shared" si="16"/>
        <v>0</v>
      </c>
      <c r="BC118">
        <f t="shared" si="17"/>
        <v>0</v>
      </c>
      <c r="BD118" s="29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29" cm="1">
        <f t="array" ref="BE118">$G$13+VLOOKUP($R118,武学奇术!$A:$ZZ,14,FALSE)+SUM(_xlfn.XLOOKUP(S118:AG118,增益!$A:$A,增益!$N:$N,0))</f>
        <v>0</v>
      </c>
      <c r="BF118">
        <f t="shared" si="18"/>
        <v>0</v>
      </c>
      <c r="BG118">
        <f t="shared" si="19"/>
        <v>0</v>
      </c>
      <c r="BH118" s="29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29" cm="1">
        <f t="array" ref="BI118">$G$14+VLOOKUP($R118,武学奇术!$A:$ZZ,16,FALSE)+SUM(_xlfn.XLOOKUP(S118:AG118,增益!$A:$A,增益!$P:$P,0))</f>
        <v>0</v>
      </c>
      <c r="BJ118" s="20">
        <f>MIN(IF(VLOOKUP($R118,武学奇术!$A:$ZZ,23,FALSE)=1,100%,$B$8),100%)</f>
        <v>0.8271</v>
      </c>
      <c r="BK118" s="20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0.2249</v>
      </c>
      <c r="BL118" s="20" cm="1">
        <f t="array" ref="BL118">1+$B$13+VLOOKUP($R118,武学奇术!$A:$ZZ,18,FALSE)+SUM(_xlfn.XLOOKUP(S118:AG118,增益!$A:$A,增益!$R:$R,0))</f>
        <v>1.5</v>
      </c>
      <c r="BM118" s="20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0.4459</v>
      </c>
      <c r="BN118" s="20" cm="1">
        <f t="array" ref="BN118">1+$B$14+VLOOKUP($R118,武学奇术!$A:$ZZ,20,FALSE)+SUM(_xlfn.XLOOKUP(S118:AG118,增益!$A:$A,增益!$T:$T,0))</f>
        <v>1.602</v>
      </c>
      <c r="BO118" s="20">
        <f t="shared" si="20"/>
        <v>0.18601479</v>
      </c>
      <c r="BP118" s="20">
        <f t="shared" si="21"/>
        <v>0.27228132</v>
      </c>
      <c r="BQ118" s="20">
        <f>IF(VLOOKUP($R118,武学奇术!$A:$ZZ,22,FALSE)=1,0,(1-$BJ118))*(1-$BM118)</f>
        <v>0.09580389</v>
      </c>
      <c r="BR118" s="20" cm="1">
        <f t="array" ref="BR118">SUM(_xlfn.XLOOKUP(S118:AG118,增益!$A:$A,增益!$W:$W,0))+$I$5</f>
        <v>0.21</v>
      </c>
    </row>
    <row r="119" spans="11:70">
      <c r="K119" s="27">
        <f>$L119*VLOOKUP($R119,武学奇术!$A:$ZZ,31,FALSE)</f>
        <v>72176.2388557566</v>
      </c>
      <c r="L119" s="27">
        <f t="shared" si="11"/>
        <v>120293.731426261</v>
      </c>
      <c r="M119" s="27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98585.8689418657</v>
      </c>
      <c r="N119" s="27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182248.840087583</v>
      </c>
      <c r="O119" s="27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65723.9126279105</v>
      </c>
      <c r="P119" s="27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29175.748887929</v>
      </c>
      <c r="Q119" s="35">
        <v>1</v>
      </c>
      <c r="R119" s="36" t="s">
        <v>105</v>
      </c>
      <c r="S119" s="36" t="s">
        <v>152</v>
      </c>
      <c r="T119" s="36" t="s">
        <v>99</v>
      </c>
      <c r="U119" s="36" t="s">
        <v>100</v>
      </c>
      <c r="V119" s="36" t="s">
        <v>101</v>
      </c>
      <c r="W119" s="36" t="s">
        <v>111</v>
      </c>
      <c r="X119" s="36" t="s">
        <v>158</v>
      </c>
      <c r="Y119" s="36" t="s">
        <v>71</v>
      </c>
      <c r="Z119" s="36" t="s">
        <v>71</v>
      </c>
      <c r="AA119" s="36" t="s">
        <v>71</v>
      </c>
      <c r="AB119" s="36" t="s">
        <v>71</v>
      </c>
      <c r="AC119" s="36" t="s">
        <v>71</v>
      </c>
      <c r="AD119" s="36" t="s">
        <v>72</v>
      </c>
      <c r="AE119" s="36" t="s">
        <v>94</v>
      </c>
      <c r="AF119" s="36" t="s">
        <v>154</v>
      </c>
      <c r="AG119" s="36" t="s">
        <v>120</v>
      </c>
      <c r="AH119" t="str">
        <f>VLOOKUP($R119,武学奇术!$A:$ZZ,25,FALSE)</f>
        <v>剑</v>
      </c>
      <c r="AI119" s="20">
        <f>VLOOKUP($R119,武学奇术!$A:$ZZ,26,FALSE)</f>
        <v>2.496</v>
      </c>
      <c r="AJ119" s="21">
        <f>VLOOKUP($R119,武学奇术!$A:$ZZ,27,FALSE)*(1+IF(OR($AH119=$F$4,$AH119=$F$5),$B$22,0))</f>
        <v>0</v>
      </c>
      <c r="AK119" s="20">
        <f>VLOOKUP($R119,武学奇术!$A:$ZZ,28,FALSE)</f>
        <v>3.744</v>
      </c>
      <c r="AL119" s="21">
        <f>VLOOKUP($R119,武学奇术!$A:$ZZ,29,FALSE)*(1+IF(OR($AH119=$F$4,$AH119=$F$5),$B$22,0))</f>
        <v>0</v>
      </c>
      <c r="AM119" s="20" cm="1">
        <f t="array" ref="AM119">$G$3+IFERROR(VLOOKUP($AH119,$F$4:$G$7,2,FALSE),0)+VLOOKUP($R119,武学奇术!$A:$ZZ,2,FALSE)+SUM(_xlfn.XLOOKUP($S119:$AG119,增益!$A:$A,增益!$B:$B,0))</f>
        <v>1.4091</v>
      </c>
      <c r="AN119" s="20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1548.52</v>
      </c>
      <c r="AP119" cm="1">
        <f t="array" ref="AP119">$E$10*(1+$AN119)+VLOOKUP($R119,武学奇术!$A:$ZZ,4,FALSE)+SUM(_xlfn.XLOOKUP($S119:$AG119,增益!$A:$A,增益!$D:$D,0))-$I$2</f>
        <v>6659.56</v>
      </c>
      <c r="AQ119" s="29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0.3175</v>
      </c>
      <c r="AR119" s="29" cm="1">
        <f t="array" ref="AR119">$G$10+VLOOKUP($R119,武学奇术!$A:$ZZ,7,FALSE)+SUM(_xlfn.XLOOKUP(S119:AG119,增益!$A:$A,增益!$G:$G,0))</f>
        <v>0</v>
      </c>
      <c r="AS119" s="20" cm="1">
        <f t="array" ref="AS119">VLOOKUP($R119,武学奇术!$A:$ZZ,8,FALSE)+SUM(_xlfn.XLOOKUP(S119:AG119,增益!$A:$A,增益!$H:$H,0))</f>
        <v>0</v>
      </c>
      <c r="AT119">
        <f t="shared" si="12"/>
        <v>538</v>
      </c>
      <c r="AU119">
        <f t="shared" si="13"/>
        <v>1011</v>
      </c>
      <c r="AV119" s="29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0.075</v>
      </c>
      <c r="AW119" s="29" cm="1">
        <f t="array" ref="AW119">$G$11+VLOOKUP($R119,武学奇术!$A:$ZZ,10,FALSE)+SUM(_xlfn.XLOOKUP(S119:AG119,增益!$A:$A,增益!$J:$J,0))</f>
        <v>0.15</v>
      </c>
      <c r="AX119">
        <f t="shared" si="14"/>
        <v>0</v>
      </c>
      <c r="AY119">
        <f t="shared" si="15"/>
        <v>0</v>
      </c>
      <c r="AZ119" s="29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29" cm="1">
        <f t="array" ref="BA119">$G$12+VLOOKUP($R119,武学奇术!$A:$ZZ,12,FALSE)+SUM(_xlfn.XLOOKUP(S119:AG119,增益!$A:$A,增益!$L:$L,0))</f>
        <v>0</v>
      </c>
      <c r="BB119">
        <f t="shared" si="16"/>
        <v>0</v>
      </c>
      <c r="BC119">
        <f t="shared" si="17"/>
        <v>0</v>
      </c>
      <c r="BD119" s="29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29" cm="1">
        <f t="array" ref="BE119">$G$13+VLOOKUP($R119,武学奇术!$A:$ZZ,14,FALSE)+SUM(_xlfn.XLOOKUP(S119:AG119,增益!$A:$A,增益!$N:$N,0))</f>
        <v>0</v>
      </c>
      <c r="BF119">
        <f t="shared" si="18"/>
        <v>0</v>
      </c>
      <c r="BG119">
        <f t="shared" si="19"/>
        <v>0</v>
      </c>
      <c r="BH119" s="29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-0.3</v>
      </c>
      <c r="BI119" s="29" cm="1">
        <f t="array" ref="BI119">$G$14+VLOOKUP($R119,武学奇术!$A:$ZZ,16,FALSE)+SUM(_xlfn.XLOOKUP(S119:AG119,增益!$A:$A,增益!$P:$P,0))</f>
        <v>0</v>
      </c>
      <c r="BJ119" s="20">
        <f>MIN(IF(VLOOKUP($R119,武学奇术!$A:$ZZ,23,FALSE)=1,100%,$B$8),100%)</f>
        <v>0.8271</v>
      </c>
      <c r="BK119" s="20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0.2249</v>
      </c>
      <c r="BL119" s="20" cm="1">
        <f t="array" ref="BL119">1+$B$13+VLOOKUP($R119,武学奇术!$A:$ZZ,18,FALSE)+SUM(_xlfn.XLOOKUP(S119:AG119,增益!$A:$A,增益!$R:$R,0))</f>
        <v>1.5</v>
      </c>
      <c r="BM119" s="20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0.4459</v>
      </c>
      <c r="BN119" s="20" cm="1">
        <f t="array" ref="BN119">1+$B$14+VLOOKUP($R119,武学奇术!$A:$ZZ,20,FALSE)+SUM(_xlfn.XLOOKUP(S119:AG119,增益!$A:$A,增益!$T:$T,0))</f>
        <v>1.782</v>
      </c>
      <c r="BO119" s="20">
        <f t="shared" si="20"/>
        <v>0.18601479</v>
      </c>
      <c r="BP119" s="20">
        <f t="shared" si="21"/>
        <v>0.27228132</v>
      </c>
      <c r="BQ119" s="20">
        <f>IF(VLOOKUP($R119,武学奇术!$A:$ZZ,22,FALSE)=1,0,(1-$BJ119))*(1-$BM119)</f>
        <v>0.09580389</v>
      </c>
      <c r="BR119" s="20" cm="1">
        <f t="array" ref="BR119">SUM(_xlfn.XLOOKUP(S119:AG119,增益!$A:$A,增益!$W:$W,0))+$I$5</f>
        <v>0.21</v>
      </c>
    </row>
    <row r="120" spans="11:70">
      <c r="K120" s="27">
        <f>$L120*VLOOKUP($R120,武学奇术!$A:$ZZ,31,FALSE)</f>
        <v>28680.74383722</v>
      </c>
      <c r="L120" s="27">
        <f t="shared" si="11"/>
        <v>28680.74383722</v>
      </c>
      <c r="M120" s="27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25824.5687874738</v>
      </c>
      <c r="N120" s="27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41156.7253628786</v>
      </c>
      <c r="O120" s="27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17216.3791916492</v>
      </c>
      <c r="P120" s="27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8741.91858125184</v>
      </c>
      <c r="Q120" s="35">
        <v>1</v>
      </c>
      <c r="R120" s="36" t="s">
        <v>92</v>
      </c>
      <c r="S120" s="36" t="s">
        <v>152</v>
      </c>
      <c r="T120" s="36" t="s">
        <v>93</v>
      </c>
      <c r="U120" s="36" t="s">
        <v>71</v>
      </c>
      <c r="V120" s="36" t="s">
        <v>71</v>
      </c>
      <c r="W120" s="36" t="s">
        <v>111</v>
      </c>
      <c r="X120" s="36" t="s">
        <v>158</v>
      </c>
      <c r="Y120" s="36" t="s">
        <v>71</v>
      </c>
      <c r="Z120" s="36" t="s">
        <v>71</v>
      </c>
      <c r="AA120" s="36" t="s">
        <v>71</v>
      </c>
      <c r="AB120" s="36" t="s">
        <v>71</v>
      </c>
      <c r="AC120" s="36" t="s">
        <v>71</v>
      </c>
      <c r="AD120" s="36" t="s">
        <v>72</v>
      </c>
      <c r="AE120" s="36" t="s">
        <v>94</v>
      </c>
      <c r="AF120" s="36" t="s">
        <v>154</v>
      </c>
      <c r="AG120" s="36" t="s">
        <v>120</v>
      </c>
      <c r="AH120" t="str">
        <f>VLOOKUP($R120,武学奇术!$A:$ZZ,25,FALSE)</f>
        <v>剑</v>
      </c>
      <c r="AI120" s="20">
        <f>VLOOKUP($R120,武学奇术!$A:$ZZ,26,FALSE)</f>
        <v>1.1781</v>
      </c>
      <c r="AJ120" s="21">
        <f>VLOOKUP($R120,武学奇术!$A:$ZZ,27,FALSE)*(1+IF(OR($AH120=$F$4,$AH120=$F$5),$B$22,0))</f>
        <v>456.4</v>
      </c>
      <c r="AK120" s="20">
        <f>VLOOKUP($R120,武学奇术!$A:$ZZ,28,FALSE)</f>
        <v>1.7672</v>
      </c>
      <c r="AL120" s="21">
        <f>VLOOKUP($R120,武学奇术!$A:$ZZ,29,FALSE)*(1+IF(OR($AH120=$F$4,$AH120=$F$5),$B$22,0))</f>
        <v>247.8</v>
      </c>
      <c r="AM120" s="20" cm="1">
        <f t="array" ref="AM120">$G$3+IFERROR(VLOOKUP($AH120,$F$4:$G$7,2,FALSE),0)+VLOOKUP($R120,武学奇术!$A:$ZZ,2,FALSE)+SUM(_xlfn.XLOOKUP($S120:$AG120,增益!$A:$A,增益!$B:$B,0))</f>
        <v>0.6591</v>
      </c>
      <c r="AN120" s="20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1548.52</v>
      </c>
      <c r="AP120" cm="1">
        <f t="array" ref="AP120">$E$10*(1+$AN120)+VLOOKUP($R120,武学奇术!$A:$ZZ,4,FALSE)+SUM(_xlfn.XLOOKUP($S120:$AG120,增益!$A:$A,增益!$D:$D,0))-$I$2</f>
        <v>6659.56</v>
      </c>
      <c r="AQ120" s="29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0.2425</v>
      </c>
      <c r="AR120" s="29" cm="1">
        <f t="array" ref="AR120">$G$10+VLOOKUP($R120,武学奇术!$A:$ZZ,7,FALSE)+SUM(_xlfn.XLOOKUP(S120:AG120,增益!$A:$A,增益!$G:$G,0))</f>
        <v>0</v>
      </c>
      <c r="AS120" s="20" cm="1">
        <f t="array" ref="AS120">VLOOKUP($R120,武学奇术!$A:$ZZ,8,FALSE)+SUM(_xlfn.XLOOKUP(S120:AG120,增益!$A:$A,增益!$H:$H,0))</f>
        <v>0</v>
      </c>
      <c r="AT120">
        <f t="shared" si="12"/>
        <v>538</v>
      </c>
      <c r="AU120">
        <f t="shared" si="13"/>
        <v>1011</v>
      </c>
      <c r="AV120" s="29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0</v>
      </c>
      <c r="AW120" s="29" cm="1">
        <f t="array" ref="AW120">$G$11+VLOOKUP($R120,武学奇术!$A:$ZZ,10,FALSE)+SUM(_xlfn.XLOOKUP(S120:AG120,增益!$A:$A,增益!$J:$J,0))</f>
        <v>0.15</v>
      </c>
      <c r="AX120">
        <f t="shared" si="14"/>
        <v>0</v>
      </c>
      <c r="AY120">
        <f t="shared" si="15"/>
        <v>0</v>
      </c>
      <c r="AZ120" s="29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29" cm="1">
        <f t="array" ref="BA120">$G$12+VLOOKUP($R120,武学奇术!$A:$ZZ,12,FALSE)+SUM(_xlfn.XLOOKUP(S120:AG120,增益!$A:$A,增益!$L:$L,0))</f>
        <v>0</v>
      </c>
      <c r="BB120">
        <f t="shared" si="16"/>
        <v>0</v>
      </c>
      <c r="BC120">
        <f t="shared" si="17"/>
        <v>0</v>
      </c>
      <c r="BD120" s="29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29" cm="1">
        <f t="array" ref="BE120">$G$13+VLOOKUP($R120,武学奇术!$A:$ZZ,14,FALSE)+SUM(_xlfn.XLOOKUP(S120:AG120,增益!$A:$A,增益!$N:$N,0))</f>
        <v>0</v>
      </c>
      <c r="BF120">
        <f t="shared" si="18"/>
        <v>0</v>
      </c>
      <c r="BG120">
        <f t="shared" si="19"/>
        <v>0</v>
      </c>
      <c r="BH120" s="29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-0.3</v>
      </c>
      <c r="BI120" s="29" cm="1">
        <f t="array" ref="BI120">$G$14+VLOOKUP($R120,武学奇术!$A:$ZZ,16,FALSE)+SUM(_xlfn.XLOOKUP(S120:AG120,增益!$A:$A,增益!$P:$P,0))</f>
        <v>0</v>
      </c>
      <c r="BJ120" s="20">
        <f>MIN(IF(VLOOKUP($R120,武学奇术!$A:$ZZ,23,FALSE)=1,100%,$B$8),100%)</f>
        <v>0.8271</v>
      </c>
      <c r="BK120" s="20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0.2249</v>
      </c>
      <c r="BL120" s="20" cm="1">
        <f t="array" ref="BL120">1+$B$13+VLOOKUP($R120,武学奇术!$A:$ZZ,18,FALSE)+SUM(_xlfn.XLOOKUP(S120:AG120,增益!$A:$A,增益!$R:$R,0))</f>
        <v>1.5</v>
      </c>
      <c r="BM120" s="20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0.4459</v>
      </c>
      <c r="BN120" s="20" cm="1">
        <f t="array" ref="BN120">1+$B$14+VLOOKUP($R120,武学奇术!$A:$ZZ,20,FALSE)+SUM(_xlfn.XLOOKUP(S120:AG120,增益!$A:$A,增益!$T:$T,0))</f>
        <v>1.602</v>
      </c>
      <c r="BO120" s="20">
        <f t="shared" si="20"/>
        <v>0.18601479</v>
      </c>
      <c r="BP120" s="20">
        <f t="shared" si="21"/>
        <v>0.27228132</v>
      </c>
      <c r="BQ120" s="20">
        <f>IF(VLOOKUP($R120,武学奇术!$A:$ZZ,22,FALSE)=1,0,(1-$BJ120))*(1-$BM120)</f>
        <v>0.09580389</v>
      </c>
      <c r="BR120" s="20" cm="1">
        <f t="array" ref="BR120">SUM(_xlfn.XLOOKUP(S120:AG120,增益!$A:$A,增益!$W:$W,0))+$I$5</f>
        <v>0.21</v>
      </c>
    </row>
    <row r="121" spans="11:70">
      <c r="K121" s="27">
        <f>$L121*VLOOKUP($R121,武学奇术!$A:$ZZ,31,FALSE)</f>
        <v>109349.30405255</v>
      </c>
      <c r="L121" s="27">
        <f t="shared" si="11"/>
        <v>182248.840087583</v>
      </c>
      <c r="M121" s="27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98585.8689418657</v>
      </c>
      <c r="N121" s="27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182248.840087583</v>
      </c>
      <c r="O121" s="27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65723.9126279105</v>
      </c>
      <c r="P121" s="27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29175.748887929</v>
      </c>
      <c r="Q121" s="35">
        <v>1</v>
      </c>
      <c r="R121" s="36" t="s">
        <v>98</v>
      </c>
      <c r="S121" s="36" t="s">
        <v>152</v>
      </c>
      <c r="T121" s="36" t="s">
        <v>99</v>
      </c>
      <c r="U121" s="36" t="s">
        <v>100</v>
      </c>
      <c r="V121" s="36" t="s">
        <v>101</v>
      </c>
      <c r="W121" s="36" t="s">
        <v>111</v>
      </c>
      <c r="X121" s="36" t="s">
        <v>158</v>
      </c>
      <c r="Y121" s="36" t="s">
        <v>71</v>
      </c>
      <c r="Z121" s="36" t="s">
        <v>71</v>
      </c>
      <c r="AA121" s="36" t="s">
        <v>71</v>
      </c>
      <c r="AB121" s="36" t="s">
        <v>71</v>
      </c>
      <c r="AC121" s="36" t="s">
        <v>71</v>
      </c>
      <c r="AD121" s="36" t="s">
        <v>72</v>
      </c>
      <c r="AE121" s="36" t="s">
        <v>94</v>
      </c>
      <c r="AF121" s="36" t="s">
        <v>154</v>
      </c>
      <c r="AG121" s="36" t="s">
        <v>120</v>
      </c>
      <c r="AH121" t="str">
        <f>VLOOKUP($R121,武学奇术!$A:$ZZ,25,FALSE)</f>
        <v>剑</v>
      </c>
      <c r="AI121" s="20">
        <f>VLOOKUP($R121,武学奇术!$A:$ZZ,26,FALSE)</f>
        <v>2.496</v>
      </c>
      <c r="AJ121" s="21">
        <f>VLOOKUP($R121,武学奇术!$A:$ZZ,27,FALSE)*(1+IF(OR($AH121=$F$4,$AH121=$F$5),$B$22,0))</f>
        <v>0</v>
      </c>
      <c r="AK121" s="20">
        <f>VLOOKUP($R121,武学奇术!$A:$ZZ,28,FALSE)</f>
        <v>3.744</v>
      </c>
      <c r="AL121" s="21">
        <f>VLOOKUP($R121,武学奇术!$A:$ZZ,29,FALSE)*(1+IF(OR($AH121=$F$4,$AH121=$F$5),$B$22,0))</f>
        <v>0</v>
      </c>
      <c r="AM121" s="20" cm="1">
        <f t="array" ref="AM121">$G$3+IFERROR(VLOOKUP($AH121,$F$4:$G$7,2,FALSE),0)+VLOOKUP($R121,武学奇术!$A:$ZZ,2,FALSE)+SUM(_xlfn.XLOOKUP($S121:$AG121,增益!$A:$A,增益!$B:$B,0))</f>
        <v>1.4091</v>
      </c>
      <c r="AN121" s="20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1548.52</v>
      </c>
      <c r="AP121" cm="1">
        <f t="array" ref="AP121">$E$10*(1+$AN121)+VLOOKUP($R121,武学奇术!$A:$ZZ,4,FALSE)+SUM(_xlfn.XLOOKUP($S121:$AG121,增益!$A:$A,增益!$D:$D,0))-$I$2</f>
        <v>6659.56</v>
      </c>
      <c r="AQ121" s="29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0.3175</v>
      </c>
      <c r="AR121" s="29" cm="1">
        <f t="array" ref="AR121">$G$10+VLOOKUP($R121,武学奇术!$A:$ZZ,7,FALSE)+SUM(_xlfn.XLOOKUP(S121:AG121,增益!$A:$A,增益!$G:$G,0))</f>
        <v>0</v>
      </c>
      <c r="AS121" s="20" cm="1">
        <f t="array" ref="AS121">VLOOKUP($R121,武学奇术!$A:$ZZ,8,FALSE)+SUM(_xlfn.XLOOKUP(S121:AG121,增益!$A:$A,增益!$H:$H,0))</f>
        <v>0</v>
      </c>
      <c r="AT121">
        <f t="shared" si="12"/>
        <v>538</v>
      </c>
      <c r="AU121">
        <f t="shared" si="13"/>
        <v>1011</v>
      </c>
      <c r="AV121" s="29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0.075</v>
      </c>
      <c r="AW121" s="29" cm="1">
        <f t="array" ref="AW121">$G$11+VLOOKUP($R121,武学奇术!$A:$ZZ,10,FALSE)+SUM(_xlfn.XLOOKUP(S121:AG121,增益!$A:$A,增益!$J:$J,0))</f>
        <v>0.15</v>
      </c>
      <c r="AX121">
        <f t="shared" si="14"/>
        <v>0</v>
      </c>
      <c r="AY121">
        <f t="shared" si="15"/>
        <v>0</v>
      </c>
      <c r="AZ121" s="29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29" cm="1">
        <f t="array" ref="BA121">$G$12+VLOOKUP($R121,武学奇术!$A:$ZZ,12,FALSE)+SUM(_xlfn.XLOOKUP(S121:AG121,增益!$A:$A,增益!$L:$L,0))</f>
        <v>0</v>
      </c>
      <c r="BB121">
        <f t="shared" si="16"/>
        <v>0</v>
      </c>
      <c r="BC121">
        <f t="shared" si="17"/>
        <v>0</v>
      </c>
      <c r="BD121" s="29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29" cm="1">
        <f t="array" ref="BE121">$G$13+VLOOKUP($R121,武学奇术!$A:$ZZ,14,FALSE)+SUM(_xlfn.XLOOKUP(S121:AG121,增益!$A:$A,增益!$N:$N,0))</f>
        <v>0</v>
      </c>
      <c r="BF121">
        <f t="shared" si="18"/>
        <v>0</v>
      </c>
      <c r="BG121">
        <f t="shared" si="19"/>
        <v>0</v>
      </c>
      <c r="BH121" s="29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-0.3</v>
      </c>
      <c r="BI121" s="29" cm="1">
        <f t="array" ref="BI121">$G$14+VLOOKUP($R121,武学奇术!$A:$ZZ,16,FALSE)+SUM(_xlfn.XLOOKUP(S121:AG121,增益!$A:$A,增益!$P:$P,0))</f>
        <v>0</v>
      </c>
      <c r="BJ121" s="20">
        <f>MIN(IF(VLOOKUP($R121,武学奇术!$A:$ZZ,23,FALSE)=1,100%,$B$8),100%)</f>
        <v>0.8271</v>
      </c>
      <c r="BK121" s="20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</v>
      </c>
      <c r="BL121" s="20" cm="1">
        <f t="array" ref="BL121">1+$B$13+VLOOKUP($R121,武学奇术!$A:$ZZ,18,FALSE)+SUM(_xlfn.XLOOKUP(S121:AG121,增益!$A:$A,增益!$R:$R,0))</f>
        <v>1.5</v>
      </c>
      <c r="BM121" s="20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1</v>
      </c>
      <c r="BN121" s="20" cm="1">
        <f t="array" ref="BN121">1+$B$14+VLOOKUP($R121,武学奇术!$A:$ZZ,20,FALSE)+SUM(_xlfn.XLOOKUP(S121:AG121,增益!$A:$A,增益!$T:$T,0))</f>
        <v>1.782</v>
      </c>
      <c r="BO121" s="20">
        <f t="shared" si="20"/>
        <v>0</v>
      </c>
      <c r="BP121" s="20">
        <f t="shared" si="21"/>
        <v>0</v>
      </c>
      <c r="BQ121" s="20">
        <f>IF(VLOOKUP($R121,武学奇术!$A:$ZZ,22,FALSE)=1,0,(1-$BJ121))*(1-$BM121)</f>
        <v>0</v>
      </c>
      <c r="BR121" s="20" cm="1">
        <f t="array" ref="BR121">SUM(_xlfn.XLOOKUP(S121:AG121,增益!$A:$A,增益!$W:$W,0))+$I$5</f>
        <v>0.21</v>
      </c>
    </row>
    <row r="122" spans="11:70">
      <c r="K122" s="27">
        <f>$L122*VLOOKUP($R122,武学奇术!$A:$ZZ,31,FALSE)</f>
        <v>72176.2388557566</v>
      </c>
      <c r="L122" s="27">
        <f t="shared" si="11"/>
        <v>120293.731426261</v>
      </c>
      <c r="M122" s="27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98585.8689418657</v>
      </c>
      <c r="N122" s="27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182248.840087583</v>
      </c>
      <c r="O122" s="27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65723.9126279105</v>
      </c>
      <c r="P122" s="27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29175.748887929</v>
      </c>
      <c r="Q122" s="35">
        <v>1</v>
      </c>
      <c r="R122" s="36" t="s">
        <v>105</v>
      </c>
      <c r="S122" s="36" t="s">
        <v>152</v>
      </c>
      <c r="T122" s="36" t="s">
        <v>99</v>
      </c>
      <c r="U122" s="36" t="s">
        <v>100</v>
      </c>
      <c r="V122" s="36" t="s">
        <v>101</v>
      </c>
      <c r="W122" s="36" t="s">
        <v>111</v>
      </c>
      <c r="X122" s="36" t="s">
        <v>158</v>
      </c>
      <c r="Y122" s="36" t="s">
        <v>71</v>
      </c>
      <c r="Z122" s="36" t="s">
        <v>71</v>
      </c>
      <c r="AA122" s="36" t="s">
        <v>71</v>
      </c>
      <c r="AB122" s="36" t="s">
        <v>71</v>
      </c>
      <c r="AC122" s="36" t="s">
        <v>71</v>
      </c>
      <c r="AD122" s="36" t="s">
        <v>72</v>
      </c>
      <c r="AE122" s="36" t="s">
        <v>94</v>
      </c>
      <c r="AF122" s="36" t="s">
        <v>154</v>
      </c>
      <c r="AG122" s="36" t="s">
        <v>120</v>
      </c>
      <c r="AH122" t="str">
        <f>VLOOKUP($R122,武学奇术!$A:$ZZ,25,FALSE)</f>
        <v>剑</v>
      </c>
      <c r="AI122" s="20">
        <f>VLOOKUP($R122,武学奇术!$A:$ZZ,26,FALSE)</f>
        <v>2.496</v>
      </c>
      <c r="AJ122" s="21">
        <f>VLOOKUP($R122,武学奇术!$A:$ZZ,27,FALSE)*(1+IF(OR($AH122=$F$4,$AH122=$F$5),$B$22,0))</f>
        <v>0</v>
      </c>
      <c r="AK122" s="20">
        <f>VLOOKUP($R122,武学奇术!$A:$ZZ,28,FALSE)</f>
        <v>3.744</v>
      </c>
      <c r="AL122" s="21">
        <f>VLOOKUP($R122,武学奇术!$A:$ZZ,29,FALSE)*(1+IF(OR($AH122=$F$4,$AH122=$F$5),$B$22,0))</f>
        <v>0</v>
      </c>
      <c r="AM122" s="20" cm="1">
        <f t="array" ref="AM122">$G$3+IFERROR(VLOOKUP($AH122,$F$4:$G$7,2,FALSE),0)+VLOOKUP($R122,武学奇术!$A:$ZZ,2,FALSE)+SUM(_xlfn.XLOOKUP($S122:$AG122,增益!$A:$A,增益!$B:$B,0))</f>
        <v>1.4091</v>
      </c>
      <c r="AN122" s="20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1548.52</v>
      </c>
      <c r="AP122" cm="1">
        <f t="array" ref="AP122">$E$10*(1+$AN122)+VLOOKUP($R122,武学奇术!$A:$ZZ,4,FALSE)+SUM(_xlfn.XLOOKUP($S122:$AG122,增益!$A:$A,增益!$D:$D,0))-$I$2</f>
        <v>6659.56</v>
      </c>
      <c r="AQ122" s="29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0.3175</v>
      </c>
      <c r="AR122" s="29" cm="1">
        <f t="array" ref="AR122">$G$10+VLOOKUP($R122,武学奇术!$A:$ZZ,7,FALSE)+SUM(_xlfn.XLOOKUP(S122:AG122,增益!$A:$A,增益!$G:$G,0))</f>
        <v>0</v>
      </c>
      <c r="AS122" s="20" cm="1">
        <f t="array" ref="AS122">VLOOKUP($R122,武学奇术!$A:$ZZ,8,FALSE)+SUM(_xlfn.XLOOKUP(S122:AG122,增益!$A:$A,增益!$H:$H,0))</f>
        <v>0</v>
      </c>
      <c r="AT122">
        <f t="shared" si="12"/>
        <v>538</v>
      </c>
      <c r="AU122">
        <f t="shared" si="13"/>
        <v>1011</v>
      </c>
      <c r="AV122" s="29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0.075</v>
      </c>
      <c r="AW122" s="29" cm="1">
        <f t="array" ref="AW122">$G$11+VLOOKUP($R122,武学奇术!$A:$ZZ,10,FALSE)+SUM(_xlfn.XLOOKUP(S122:AG122,增益!$A:$A,增益!$J:$J,0))</f>
        <v>0.15</v>
      </c>
      <c r="AX122">
        <f t="shared" si="14"/>
        <v>0</v>
      </c>
      <c r="AY122">
        <f t="shared" si="15"/>
        <v>0</v>
      </c>
      <c r="AZ122" s="29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29" cm="1">
        <f t="array" ref="BA122">$G$12+VLOOKUP($R122,武学奇术!$A:$ZZ,12,FALSE)+SUM(_xlfn.XLOOKUP(S122:AG122,增益!$A:$A,增益!$L:$L,0))</f>
        <v>0</v>
      </c>
      <c r="BB122">
        <f t="shared" si="16"/>
        <v>0</v>
      </c>
      <c r="BC122">
        <f t="shared" si="17"/>
        <v>0</v>
      </c>
      <c r="BD122" s="29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29" cm="1">
        <f t="array" ref="BE122">$G$13+VLOOKUP($R122,武学奇术!$A:$ZZ,14,FALSE)+SUM(_xlfn.XLOOKUP(S122:AG122,增益!$A:$A,增益!$N:$N,0))</f>
        <v>0</v>
      </c>
      <c r="BF122">
        <f t="shared" si="18"/>
        <v>0</v>
      </c>
      <c r="BG122">
        <f t="shared" si="19"/>
        <v>0</v>
      </c>
      <c r="BH122" s="29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-0.3</v>
      </c>
      <c r="BI122" s="29" cm="1">
        <f t="array" ref="BI122">$G$14+VLOOKUP($R122,武学奇术!$A:$ZZ,16,FALSE)+SUM(_xlfn.XLOOKUP(S122:AG122,增益!$A:$A,增益!$P:$P,0))</f>
        <v>0</v>
      </c>
      <c r="BJ122" s="20">
        <f>MIN(IF(VLOOKUP($R122,武学奇术!$A:$ZZ,23,FALSE)=1,100%,$B$8),100%)</f>
        <v>0.8271</v>
      </c>
      <c r="BK122" s="20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0.2249</v>
      </c>
      <c r="BL122" s="20" cm="1">
        <f t="array" ref="BL122">1+$B$13+VLOOKUP($R122,武学奇术!$A:$ZZ,18,FALSE)+SUM(_xlfn.XLOOKUP(S122:AG122,增益!$A:$A,增益!$R:$R,0))</f>
        <v>1.5</v>
      </c>
      <c r="BM122" s="20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0.4459</v>
      </c>
      <c r="BN122" s="20" cm="1">
        <f t="array" ref="BN122">1+$B$14+VLOOKUP($R122,武学奇术!$A:$ZZ,20,FALSE)+SUM(_xlfn.XLOOKUP(S122:AG122,增益!$A:$A,增益!$T:$T,0))</f>
        <v>1.782</v>
      </c>
      <c r="BO122" s="20">
        <f t="shared" si="20"/>
        <v>0.18601479</v>
      </c>
      <c r="BP122" s="20">
        <f t="shared" si="21"/>
        <v>0.27228132</v>
      </c>
      <c r="BQ122" s="20">
        <f>IF(VLOOKUP($R122,武学奇术!$A:$ZZ,22,FALSE)=1,0,(1-$BJ122))*(1-$BM122)</f>
        <v>0.09580389</v>
      </c>
      <c r="BR122" s="20" cm="1">
        <f t="array" ref="BR122">SUM(_xlfn.XLOOKUP(S122:AG122,增益!$A:$A,增益!$W:$W,0))+$I$5</f>
        <v>0.21</v>
      </c>
    </row>
    <row r="123" spans="11:70">
      <c r="K123" s="27">
        <f>$L123*VLOOKUP($R123,武学奇术!$A:$ZZ,31,FALSE)</f>
        <v>13773.4730126928</v>
      </c>
      <c r="L123" s="27">
        <f t="shared" si="11"/>
        <v>13773.4730126928</v>
      </c>
      <c r="M123" s="27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12111.4685668164</v>
      </c>
      <c r="N123" s="27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20137.3456472494</v>
      </c>
      <c r="O123" s="27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8074.31237787763</v>
      </c>
      <c r="P123" s="27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3578.49638668569</v>
      </c>
      <c r="Q123" s="35">
        <v>1</v>
      </c>
      <c r="R123" s="36" t="s">
        <v>107</v>
      </c>
      <c r="S123" s="36" t="s">
        <v>152</v>
      </c>
      <c r="T123" s="36" t="s">
        <v>93</v>
      </c>
      <c r="U123" s="36" t="s">
        <v>71</v>
      </c>
      <c r="V123" s="36" t="s">
        <v>71</v>
      </c>
      <c r="W123" s="36" t="s">
        <v>111</v>
      </c>
      <c r="X123" s="36" t="s">
        <v>158</v>
      </c>
      <c r="Y123" s="36" t="s">
        <v>71</v>
      </c>
      <c r="Z123" s="36" t="s">
        <v>71</v>
      </c>
      <c r="AA123" s="36" t="s">
        <v>71</v>
      </c>
      <c r="AB123" s="36" t="s">
        <v>71</v>
      </c>
      <c r="AC123" s="36" t="s">
        <v>71</v>
      </c>
      <c r="AD123" s="36" t="s">
        <v>72</v>
      </c>
      <c r="AE123" s="36" t="s">
        <v>94</v>
      </c>
      <c r="AF123" s="36" t="s">
        <v>154</v>
      </c>
      <c r="AG123" s="36" t="s">
        <v>120</v>
      </c>
      <c r="AH123" t="str">
        <f>VLOOKUP($R123,武学奇术!$A:$ZZ,25,FALSE)</f>
        <v>剑</v>
      </c>
      <c r="AI123" s="20">
        <f>VLOOKUP($R123,武学奇术!$A:$ZZ,26,FALSE)</f>
        <v>0.625</v>
      </c>
      <c r="AJ123" s="21">
        <f>VLOOKUP($R123,武学奇术!$A:$ZZ,27,FALSE)*(1+IF(OR($AH123=$F$4,$AH123=$F$5),$B$22,0))</f>
        <v>0</v>
      </c>
      <c r="AK123" s="20">
        <f>VLOOKUP($R123,武学奇术!$A:$ZZ,28,FALSE)</f>
        <v>0.9375</v>
      </c>
      <c r="AL123" s="21">
        <f>VLOOKUP($R123,武学奇术!$A:$ZZ,29,FALSE)*(1+IF(OR($AH123=$F$4,$AH123=$F$5),$B$22,0))</f>
        <v>0</v>
      </c>
      <c r="AM123" s="20" cm="1">
        <f t="array" ref="AM123">$G$3+IFERROR(VLOOKUP($AH123,$F$4:$G$7,2,FALSE),0)+VLOOKUP($R123,武学奇术!$A:$ZZ,2,FALSE)+SUM(_xlfn.XLOOKUP($S123:$AG123,增益!$A:$A,增益!$B:$B,0))</f>
        <v>0.6591</v>
      </c>
      <c r="AN123" s="20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1548.52</v>
      </c>
      <c r="AP123" cm="1">
        <f t="array" ref="AP123">$E$10*(1+$AN123)+VLOOKUP($R123,武学奇术!$A:$ZZ,4,FALSE)+SUM(_xlfn.XLOOKUP($S123:$AG123,增益!$A:$A,增益!$D:$D,0))-$I$2</f>
        <v>6659.56</v>
      </c>
      <c r="AQ123" s="29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0.2425</v>
      </c>
      <c r="AR123" s="29" cm="1">
        <f t="array" ref="AR123">$G$10+VLOOKUP($R123,武学奇术!$A:$ZZ,7,FALSE)+SUM(_xlfn.XLOOKUP(S123:AG123,增益!$A:$A,增益!$G:$G,0))</f>
        <v>0</v>
      </c>
      <c r="AS123" s="20" cm="1">
        <f t="array" ref="AS123">VLOOKUP($R123,武学奇术!$A:$ZZ,8,FALSE)+SUM(_xlfn.XLOOKUP(S123:AG123,增益!$A:$A,增益!$H:$H,0))</f>
        <v>0</v>
      </c>
      <c r="AT123">
        <f t="shared" si="12"/>
        <v>538</v>
      </c>
      <c r="AU123">
        <f t="shared" si="13"/>
        <v>1011</v>
      </c>
      <c r="AV123" s="29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0</v>
      </c>
      <c r="AW123" s="29" cm="1">
        <f t="array" ref="AW123">$G$11+VLOOKUP($R123,武学奇术!$A:$ZZ,10,FALSE)+SUM(_xlfn.XLOOKUP(S123:AG123,增益!$A:$A,增益!$J:$J,0))</f>
        <v>0.15</v>
      </c>
      <c r="AX123">
        <f t="shared" si="14"/>
        <v>0</v>
      </c>
      <c r="AY123">
        <f t="shared" si="15"/>
        <v>0</v>
      </c>
      <c r="AZ123" s="29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29" cm="1">
        <f t="array" ref="BA123">$G$12+VLOOKUP($R123,武学奇术!$A:$ZZ,12,FALSE)+SUM(_xlfn.XLOOKUP(S123:AG123,增益!$A:$A,增益!$L:$L,0))</f>
        <v>0</v>
      </c>
      <c r="BB123">
        <f t="shared" si="16"/>
        <v>0</v>
      </c>
      <c r="BC123">
        <f t="shared" si="17"/>
        <v>0</v>
      </c>
      <c r="BD123" s="29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29" cm="1">
        <f t="array" ref="BE123">$G$13+VLOOKUP($R123,武学奇术!$A:$ZZ,14,FALSE)+SUM(_xlfn.XLOOKUP(S123:AG123,增益!$A:$A,增益!$N:$N,0))</f>
        <v>0</v>
      </c>
      <c r="BF123">
        <f t="shared" si="18"/>
        <v>0</v>
      </c>
      <c r="BG123">
        <f t="shared" si="19"/>
        <v>0</v>
      </c>
      <c r="BH123" s="29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-0.3</v>
      </c>
      <c r="BI123" s="29" cm="1">
        <f t="array" ref="BI123">$G$14+VLOOKUP($R123,武学奇术!$A:$ZZ,16,FALSE)+SUM(_xlfn.XLOOKUP(S123:AG123,增益!$A:$A,增益!$P:$P,0))</f>
        <v>0</v>
      </c>
      <c r="BJ123" s="20">
        <f>MIN(IF(VLOOKUP($R123,武学奇术!$A:$ZZ,23,FALSE)=1,100%,$B$8),100%)</f>
        <v>0.8271</v>
      </c>
      <c r="BK123" s="20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0.2249</v>
      </c>
      <c r="BL123" s="20" cm="1">
        <f t="array" ref="BL123">1+$B$13+VLOOKUP($R123,武学奇术!$A:$ZZ,18,FALSE)+SUM(_xlfn.XLOOKUP(S123:AG123,增益!$A:$A,增益!$R:$R,0))</f>
        <v>1.5</v>
      </c>
      <c r="BM123" s="20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0.4459</v>
      </c>
      <c r="BN123" s="20" cm="1">
        <f t="array" ref="BN123">1+$B$14+VLOOKUP($R123,武学奇术!$A:$ZZ,20,FALSE)+SUM(_xlfn.XLOOKUP(S123:AG123,增益!$A:$A,增益!$T:$T,0))</f>
        <v>1.602</v>
      </c>
      <c r="BO123" s="20">
        <f t="shared" si="20"/>
        <v>0.18601479</v>
      </c>
      <c r="BP123" s="20">
        <f t="shared" si="21"/>
        <v>0.27228132</v>
      </c>
      <c r="BQ123" s="20">
        <f>IF(VLOOKUP($R123,武学奇术!$A:$ZZ,22,FALSE)=1,0,(1-$BJ123))*(1-$BM123)</f>
        <v>0.09580389</v>
      </c>
      <c r="BR123" s="20" cm="1">
        <f t="array" ref="BR123">SUM(_xlfn.XLOOKUP(S123:AG123,增益!$A:$A,增益!$W:$W,0))+$I$5</f>
        <v>0.21</v>
      </c>
    </row>
    <row r="124" spans="11:70">
      <c r="K124" s="27">
        <f>$L124*VLOOKUP($R124,武学奇术!$A:$ZZ,31,FALSE)</f>
        <v>13621.1794305186</v>
      </c>
      <c r="L124" s="27">
        <f t="shared" si="11"/>
        <v>13621.1794305186</v>
      </c>
      <c r="M124" s="27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12340.272533998</v>
      </c>
      <c r="N124" s="27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19449.3991982921</v>
      </c>
      <c r="O124" s="27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8226.84835599865</v>
      </c>
      <c r="P124" s="27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4312.99808634681</v>
      </c>
      <c r="Q124" s="35">
        <v>1</v>
      </c>
      <c r="R124" s="36" t="s">
        <v>149</v>
      </c>
      <c r="S124" s="36" t="s">
        <v>152</v>
      </c>
      <c r="T124" s="36" t="s">
        <v>93</v>
      </c>
      <c r="U124" s="36" t="s">
        <v>71</v>
      </c>
      <c r="V124" s="36" t="s">
        <v>71</v>
      </c>
      <c r="W124" s="36" t="s">
        <v>111</v>
      </c>
      <c r="X124" s="36" t="s">
        <v>158</v>
      </c>
      <c r="Y124" s="36" t="s">
        <v>71</v>
      </c>
      <c r="Z124" s="36" t="s">
        <v>71</v>
      </c>
      <c r="AA124" s="36" t="s">
        <v>71</v>
      </c>
      <c r="AB124" s="36" t="s">
        <v>71</v>
      </c>
      <c r="AC124" s="36" t="s">
        <v>71</v>
      </c>
      <c r="AD124" s="36" t="s">
        <v>72</v>
      </c>
      <c r="AE124" s="36" t="s">
        <v>94</v>
      </c>
      <c r="AF124" s="36" t="s">
        <v>154</v>
      </c>
      <c r="AG124" s="36" t="s">
        <v>120</v>
      </c>
      <c r="AH124" t="str">
        <f>VLOOKUP($R124,武学奇术!$A:$ZZ,25,FALSE)</f>
        <v>剑</v>
      </c>
      <c r="AI124" s="20">
        <f>VLOOKUP($R124,武学奇术!$A:$ZZ,26,FALSE)</f>
        <v>0.5441</v>
      </c>
      <c r="AJ124" s="21">
        <f>VLOOKUP($R124,武学奇术!$A:$ZZ,27,FALSE)*(1+IF(OR($AH124=$F$4,$AH124=$F$5),$B$22,0))</f>
        <v>273</v>
      </c>
      <c r="AK124" s="20">
        <f>VLOOKUP($R124,武学奇术!$A:$ZZ,28,FALSE)</f>
        <v>0.8161</v>
      </c>
      <c r="AL124" s="21">
        <f>VLOOKUP($R124,武学奇术!$A:$ZZ,29,FALSE)*(1+IF(OR($AH124=$F$4,$AH124=$F$5),$B$22,0))</f>
        <v>149.24</v>
      </c>
      <c r="AM124" s="20" cm="1">
        <f t="array" ref="AM124">$G$3+IFERROR(VLOOKUP($AH124,$F$4:$G$7,2,FALSE),0)+VLOOKUP($R124,武学奇术!$A:$ZZ,2,FALSE)+SUM(_xlfn.XLOOKUP($S124:$AG124,增益!$A:$A,增益!$B:$B,0))</f>
        <v>0.6591</v>
      </c>
      <c r="AN124" s="20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1548.52</v>
      </c>
      <c r="AP124" cm="1">
        <f t="array" ref="AP124">$E$10*(1+$AN124)+VLOOKUP($R124,武学奇术!$A:$ZZ,4,FALSE)+SUM(_xlfn.XLOOKUP($S124:$AG124,增益!$A:$A,增益!$D:$D,0))-$I$2</f>
        <v>6659.56</v>
      </c>
      <c r="AQ124" s="29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0.2425</v>
      </c>
      <c r="AR124" s="29" cm="1">
        <f t="array" ref="AR124">$G$10+VLOOKUP($R124,武学奇术!$A:$ZZ,7,FALSE)+SUM(_xlfn.XLOOKUP(S124:AG124,增益!$A:$A,增益!$G:$G,0))</f>
        <v>0</v>
      </c>
      <c r="AS124" s="20" cm="1">
        <f t="array" ref="AS124">VLOOKUP($R124,武学奇术!$A:$ZZ,8,FALSE)+SUM(_xlfn.XLOOKUP(S124:AG124,增益!$A:$A,增益!$H:$H,0))</f>
        <v>0</v>
      </c>
      <c r="AT124">
        <f t="shared" si="12"/>
        <v>538</v>
      </c>
      <c r="AU124">
        <f t="shared" si="13"/>
        <v>1011</v>
      </c>
      <c r="AV124" s="29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</v>
      </c>
      <c r="AW124" s="29" cm="1">
        <f t="array" ref="AW124">$G$11+VLOOKUP($R124,武学奇术!$A:$ZZ,10,FALSE)+SUM(_xlfn.XLOOKUP(S124:AG124,增益!$A:$A,增益!$J:$J,0))</f>
        <v>0.15</v>
      </c>
      <c r="AX124">
        <f t="shared" si="14"/>
        <v>0</v>
      </c>
      <c r="AY124">
        <f t="shared" si="15"/>
        <v>0</v>
      </c>
      <c r="AZ124" s="29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29" cm="1">
        <f t="array" ref="BA124">$G$12+VLOOKUP($R124,武学奇术!$A:$ZZ,12,FALSE)+SUM(_xlfn.XLOOKUP(S124:AG124,增益!$A:$A,增益!$L:$L,0))</f>
        <v>0</v>
      </c>
      <c r="BB124">
        <f t="shared" si="16"/>
        <v>0</v>
      </c>
      <c r="BC124">
        <f t="shared" si="17"/>
        <v>0</v>
      </c>
      <c r="BD124" s="29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29" cm="1">
        <f t="array" ref="BE124">$G$13+VLOOKUP($R124,武学奇术!$A:$ZZ,14,FALSE)+SUM(_xlfn.XLOOKUP(S124:AG124,增益!$A:$A,增益!$N:$N,0))</f>
        <v>0</v>
      </c>
      <c r="BF124">
        <f t="shared" si="18"/>
        <v>0</v>
      </c>
      <c r="BG124">
        <f t="shared" si="19"/>
        <v>0</v>
      </c>
      <c r="BH124" s="29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-0.3</v>
      </c>
      <c r="BI124" s="29" cm="1">
        <f t="array" ref="BI124">$G$14+VLOOKUP($R124,武学奇术!$A:$ZZ,16,FALSE)+SUM(_xlfn.XLOOKUP(S124:AG124,增益!$A:$A,增益!$P:$P,0))</f>
        <v>0</v>
      </c>
      <c r="BJ124" s="20">
        <f>MIN(IF(VLOOKUP($R124,武学奇术!$A:$ZZ,23,FALSE)=1,100%,$B$8),100%)</f>
        <v>0.8271</v>
      </c>
      <c r="BK124" s="20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0.2249</v>
      </c>
      <c r="BL124" s="20" cm="1">
        <f t="array" ref="BL124">1+$B$13+VLOOKUP($R124,武学奇术!$A:$ZZ,18,FALSE)+SUM(_xlfn.XLOOKUP(S124:AG124,增益!$A:$A,增益!$R:$R,0))</f>
        <v>1.5</v>
      </c>
      <c r="BM124" s="20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0.4459</v>
      </c>
      <c r="BN124" s="20" cm="1">
        <f t="array" ref="BN124">1+$B$14+VLOOKUP($R124,武学奇术!$A:$ZZ,20,FALSE)+SUM(_xlfn.XLOOKUP(S124:AG124,增益!$A:$A,增益!$T:$T,0))</f>
        <v>1.602</v>
      </c>
      <c r="BO124" s="20">
        <f t="shared" si="20"/>
        <v>0.18601479</v>
      </c>
      <c r="BP124" s="20">
        <f t="shared" si="21"/>
        <v>0.27228132</v>
      </c>
      <c r="BQ124" s="20">
        <f>IF(VLOOKUP($R124,武学奇术!$A:$ZZ,22,FALSE)=1,0,(1-$BJ124))*(1-$BM124)</f>
        <v>0.09580389</v>
      </c>
      <c r="BR124" s="20" cm="1">
        <f t="array" ref="BR124">SUM(_xlfn.XLOOKUP(S124:AG124,增益!$A:$A,增益!$W:$W,0))+$I$5</f>
        <v>0.21</v>
      </c>
    </row>
    <row r="125" spans="11:70">
      <c r="K125" s="27">
        <f>$L125*VLOOKUP($R125,武学奇术!$A:$ZZ,31,FALSE)</f>
        <v>28680.74383722</v>
      </c>
      <c r="L125" s="27">
        <f t="shared" si="11"/>
        <v>28680.74383722</v>
      </c>
      <c r="M125" s="27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25824.5687874738</v>
      </c>
      <c r="N125" s="27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41156.7253628786</v>
      </c>
      <c r="O125" s="27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17216.3791916492</v>
      </c>
      <c r="P125" s="27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8741.91858125184</v>
      </c>
      <c r="Q125" s="35">
        <v>1</v>
      </c>
      <c r="R125" s="36" t="s">
        <v>92</v>
      </c>
      <c r="S125" s="36" t="s">
        <v>152</v>
      </c>
      <c r="T125" s="36" t="s">
        <v>93</v>
      </c>
      <c r="U125" s="36" t="s">
        <v>71</v>
      </c>
      <c r="V125" s="36" t="s">
        <v>71</v>
      </c>
      <c r="W125" s="36" t="s">
        <v>111</v>
      </c>
      <c r="X125" s="36" t="s">
        <v>158</v>
      </c>
      <c r="Y125" s="36" t="s">
        <v>71</v>
      </c>
      <c r="Z125" s="36" t="s">
        <v>71</v>
      </c>
      <c r="AA125" s="36" t="s">
        <v>71</v>
      </c>
      <c r="AB125" s="36" t="s">
        <v>71</v>
      </c>
      <c r="AC125" s="36" t="s">
        <v>71</v>
      </c>
      <c r="AD125" s="36" t="s">
        <v>72</v>
      </c>
      <c r="AE125" s="36" t="s">
        <v>94</v>
      </c>
      <c r="AF125" s="36" t="s">
        <v>154</v>
      </c>
      <c r="AG125" s="36" t="s">
        <v>120</v>
      </c>
      <c r="AH125" t="str">
        <f>VLOOKUP($R125,武学奇术!$A:$ZZ,25,FALSE)</f>
        <v>剑</v>
      </c>
      <c r="AI125" s="20">
        <f>VLOOKUP($R125,武学奇术!$A:$ZZ,26,FALSE)</f>
        <v>1.1781</v>
      </c>
      <c r="AJ125" s="21">
        <f>VLOOKUP($R125,武学奇术!$A:$ZZ,27,FALSE)*(1+IF(OR($AH125=$F$4,$AH125=$F$5),$B$22,0))</f>
        <v>456.4</v>
      </c>
      <c r="AK125" s="20">
        <f>VLOOKUP($R125,武学奇术!$A:$ZZ,28,FALSE)</f>
        <v>1.7672</v>
      </c>
      <c r="AL125" s="21">
        <f>VLOOKUP($R125,武学奇术!$A:$ZZ,29,FALSE)*(1+IF(OR($AH125=$F$4,$AH125=$F$5),$B$22,0))</f>
        <v>247.8</v>
      </c>
      <c r="AM125" s="20" cm="1">
        <f t="array" ref="AM125">$G$3+IFERROR(VLOOKUP($AH125,$F$4:$G$7,2,FALSE),0)+VLOOKUP($R125,武学奇术!$A:$ZZ,2,FALSE)+SUM(_xlfn.XLOOKUP($S125:$AG125,增益!$A:$A,增益!$B:$B,0))</f>
        <v>0.6591</v>
      </c>
      <c r="AN125" s="20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1548.52</v>
      </c>
      <c r="AP125" cm="1">
        <f t="array" ref="AP125">$E$10*(1+$AN125)+VLOOKUP($R125,武学奇术!$A:$ZZ,4,FALSE)+SUM(_xlfn.XLOOKUP($S125:$AG125,增益!$A:$A,增益!$D:$D,0))-$I$2</f>
        <v>6659.56</v>
      </c>
      <c r="AQ125" s="29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0.2425</v>
      </c>
      <c r="AR125" s="29" cm="1">
        <f t="array" ref="AR125">$G$10+VLOOKUP($R125,武学奇术!$A:$ZZ,7,FALSE)+SUM(_xlfn.XLOOKUP(S125:AG125,增益!$A:$A,增益!$G:$G,0))</f>
        <v>0</v>
      </c>
      <c r="AS125" s="20" cm="1">
        <f t="array" ref="AS125">VLOOKUP($R125,武学奇术!$A:$ZZ,8,FALSE)+SUM(_xlfn.XLOOKUP(S125:AG125,增益!$A:$A,增益!$H:$H,0))</f>
        <v>0</v>
      </c>
      <c r="AT125">
        <f t="shared" si="12"/>
        <v>538</v>
      </c>
      <c r="AU125">
        <f t="shared" si="13"/>
        <v>1011</v>
      </c>
      <c r="AV125" s="29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</v>
      </c>
      <c r="AW125" s="29" cm="1">
        <f t="array" ref="AW125">$G$11+VLOOKUP($R125,武学奇术!$A:$ZZ,10,FALSE)+SUM(_xlfn.XLOOKUP(S125:AG125,增益!$A:$A,增益!$J:$J,0))</f>
        <v>0.15</v>
      </c>
      <c r="AX125">
        <f t="shared" si="14"/>
        <v>0</v>
      </c>
      <c r="AY125">
        <f t="shared" si="15"/>
        <v>0</v>
      </c>
      <c r="AZ125" s="29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29" cm="1">
        <f t="array" ref="BA125">$G$12+VLOOKUP($R125,武学奇术!$A:$ZZ,12,FALSE)+SUM(_xlfn.XLOOKUP(S125:AG125,增益!$A:$A,增益!$L:$L,0))</f>
        <v>0</v>
      </c>
      <c r="BB125">
        <f t="shared" si="16"/>
        <v>0</v>
      </c>
      <c r="BC125">
        <f t="shared" si="17"/>
        <v>0</v>
      </c>
      <c r="BD125" s="29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29" cm="1">
        <f t="array" ref="BE125">$G$13+VLOOKUP($R125,武学奇术!$A:$ZZ,14,FALSE)+SUM(_xlfn.XLOOKUP(S125:AG125,增益!$A:$A,增益!$N:$N,0))</f>
        <v>0</v>
      </c>
      <c r="BF125">
        <f t="shared" si="18"/>
        <v>0</v>
      </c>
      <c r="BG125">
        <f t="shared" si="19"/>
        <v>0</v>
      </c>
      <c r="BH125" s="29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-0.3</v>
      </c>
      <c r="BI125" s="29" cm="1">
        <f t="array" ref="BI125">$G$14+VLOOKUP($R125,武学奇术!$A:$ZZ,16,FALSE)+SUM(_xlfn.XLOOKUP(S125:AG125,增益!$A:$A,增益!$P:$P,0))</f>
        <v>0</v>
      </c>
      <c r="BJ125" s="20">
        <f>MIN(IF(VLOOKUP($R125,武学奇术!$A:$ZZ,23,FALSE)=1,100%,$B$8),100%)</f>
        <v>0.8271</v>
      </c>
      <c r="BK125" s="20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0.2249</v>
      </c>
      <c r="BL125" s="20" cm="1">
        <f t="array" ref="BL125">1+$B$13+VLOOKUP($R125,武学奇术!$A:$ZZ,18,FALSE)+SUM(_xlfn.XLOOKUP(S125:AG125,增益!$A:$A,增益!$R:$R,0))</f>
        <v>1.5</v>
      </c>
      <c r="BM125" s="20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0.4459</v>
      </c>
      <c r="BN125" s="20" cm="1">
        <f t="array" ref="BN125">1+$B$14+VLOOKUP($R125,武学奇术!$A:$ZZ,20,FALSE)+SUM(_xlfn.XLOOKUP(S125:AG125,增益!$A:$A,增益!$T:$T,0))</f>
        <v>1.602</v>
      </c>
      <c r="BO125" s="20">
        <f t="shared" si="20"/>
        <v>0.18601479</v>
      </c>
      <c r="BP125" s="20">
        <f t="shared" si="21"/>
        <v>0.27228132</v>
      </c>
      <c r="BQ125" s="20">
        <f>IF(VLOOKUP($R125,武学奇术!$A:$ZZ,22,FALSE)=1,0,(1-$BJ125))*(1-$BM125)</f>
        <v>0.09580389</v>
      </c>
      <c r="BR125" s="20" cm="1">
        <f t="array" ref="BR125">SUM(_xlfn.XLOOKUP(S125:AG125,增益!$A:$A,增益!$W:$W,0))+$I$5</f>
        <v>0.21</v>
      </c>
    </row>
    <row r="126" spans="11:70">
      <c r="K126" s="27">
        <f>$L126*VLOOKUP($R126,武学奇术!$A:$ZZ,31,FALSE)</f>
        <v>72176.2388557566</v>
      </c>
      <c r="L126" s="27">
        <f t="shared" si="11"/>
        <v>120293.731426261</v>
      </c>
      <c r="M126" s="27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98585.8689418657</v>
      </c>
      <c r="N126" s="27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182248.840087583</v>
      </c>
      <c r="O126" s="27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65723.9126279105</v>
      </c>
      <c r="P126" s="27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29175.748887929</v>
      </c>
      <c r="Q126" s="35">
        <v>1</v>
      </c>
      <c r="R126" s="36" t="s">
        <v>105</v>
      </c>
      <c r="S126" s="36" t="s">
        <v>152</v>
      </c>
      <c r="T126" s="36" t="s">
        <v>99</v>
      </c>
      <c r="U126" s="36" t="s">
        <v>100</v>
      </c>
      <c r="V126" s="36" t="s">
        <v>101</v>
      </c>
      <c r="W126" s="36" t="s">
        <v>111</v>
      </c>
      <c r="X126" s="36" t="s">
        <v>158</v>
      </c>
      <c r="Y126" s="36" t="s">
        <v>71</v>
      </c>
      <c r="Z126" s="36" t="s">
        <v>71</v>
      </c>
      <c r="AA126" s="36" t="s">
        <v>71</v>
      </c>
      <c r="AB126" s="36" t="s">
        <v>71</v>
      </c>
      <c r="AC126" s="36" t="s">
        <v>71</v>
      </c>
      <c r="AD126" s="36" t="s">
        <v>72</v>
      </c>
      <c r="AE126" s="36" t="s">
        <v>94</v>
      </c>
      <c r="AF126" s="36" t="s">
        <v>154</v>
      </c>
      <c r="AG126" s="36" t="s">
        <v>120</v>
      </c>
      <c r="AH126" t="str">
        <f>VLOOKUP($R126,武学奇术!$A:$ZZ,25,FALSE)</f>
        <v>剑</v>
      </c>
      <c r="AI126" s="20">
        <f>VLOOKUP($R126,武学奇术!$A:$ZZ,26,FALSE)</f>
        <v>2.496</v>
      </c>
      <c r="AJ126" s="21">
        <f>VLOOKUP($R126,武学奇术!$A:$ZZ,27,FALSE)*(1+IF(OR($AH126=$F$4,$AH126=$F$5),$B$22,0))</f>
        <v>0</v>
      </c>
      <c r="AK126" s="20">
        <f>VLOOKUP($R126,武学奇术!$A:$ZZ,28,FALSE)</f>
        <v>3.744</v>
      </c>
      <c r="AL126" s="21">
        <f>VLOOKUP($R126,武学奇术!$A:$ZZ,29,FALSE)*(1+IF(OR($AH126=$F$4,$AH126=$F$5),$B$22,0))</f>
        <v>0</v>
      </c>
      <c r="AM126" s="20" cm="1">
        <f t="array" ref="AM126">$G$3+IFERROR(VLOOKUP($AH126,$F$4:$G$7,2,FALSE),0)+VLOOKUP($R126,武学奇术!$A:$ZZ,2,FALSE)+SUM(_xlfn.XLOOKUP($S126:$AG126,增益!$A:$A,增益!$B:$B,0))</f>
        <v>1.4091</v>
      </c>
      <c r="AN126" s="20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1548.52</v>
      </c>
      <c r="AP126" cm="1">
        <f t="array" ref="AP126">$E$10*(1+$AN126)+VLOOKUP($R126,武学奇术!$A:$ZZ,4,FALSE)+SUM(_xlfn.XLOOKUP($S126:$AG126,增益!$A:$A,增益!$D:$D,0))-$I$2</f>
        <v>6659.56</v>
      </c>
      <c r="AQ126" s="29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0.3175</v>
      </c>
      <c r="AR126" s="29" cm="1">
        <f t="array" ref="AR126">$G$10+VLOOKUP($R126,武学奇术!$A:$ZZ,7,FALSE)+SUM(_xlfn.XLOOKUP(S126:AG126,增益!$A:$A,增益!$G:$G,0))</f>
        <v>0</v>
      </c>
      <c r="AS126" s="20" cm="1">
        <f t="array" ref="AS126">VLOOKUP($R126,武学奇术!$A:$ZZ,8,FALSE)+SUM(_xlfn.XLOOKUP(S126:AG126,增益!$A:$A,增益!$H:$H,0))</f>
        <v>0</v>
      </c>
      <c r="AT126">
        <f t="shared" si="12"/>
        <v>538</v>
      </c>
      <c r="AU126">
        <f t="shared" si="13"/>
        <v>1011</v>
      </c>
      <c r="AV126" s="29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0.075</v>
      </c>
      <c r="AW126" s="29" cm="1">
        <f t="array" ref="AW126">$G$11+VLOOKUP($R126,武学奇术!$A:$ZZ,10,FALSE)+SUM(_xlfn.XLOOKUP(S126:AG126,增益!$A:$A,增益!$J:$J,0))</f>
        <v>0.15</v>
      </c>
      <c r="AX126">
        <f t="shared" si="14"/>
        <v>0</v>
      </c>
      <c r="AY126">
        <f t="shared" si="15"/>
        <v>0</v>
      </c>
      <c r="AZ126" s="29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29" cm="1">
        <f t="array" ref="BA126">$G$12+VLOOKUP($R126,武学奇术!$A:$ZZ,12,FALSE)+SUM(_xlfn.XLOOKUP(S126:AG126,增益!$A:$A,增益!$L:$L,0))</f>
        <v>0</v>
      </c>
      <c r="BB126">
        <f t="shared" si="16"/>
        <v>0</v>
      </c>
      <c r="BC126">
        <f t="shared" si="17"/>
        <v>0</v>
      </c>
      <c r="BD126" s="29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29" cm="1">
        <f t="array" ref="BE126">$G$13+VLOOKUP($R126,武学奇术!$A:$ZZ,14,FALSE)+SUM(_xlfn.XLOOKUP(S126:AG126,增益!$A:$A,增益!$N:$N,0))</f>
        <v>0</v>
      </c>
      <c r="BF126">
        <f t="shared" si="18"/>
        <v>0</v>
      </c>
      <c r="BG126">
        <f t="shared" si="19"/>
        <v>0</v>
      </c>
      <c r="BH126" s="29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-0.3</v>
      </c>
      <c r="BI126" s="29" cm="1">
        <f t="array" ref="BI126">$G$14+VLOOKUP($R126,武学奇术!$A:$ZZ,16,FALSE)+SUM(_xlfn.XLOOKUP(S126:AG126,增益!$A:$A,增益!$P:$P,0))</f>
        <v>0</v>
      </c>
      <c r="BJ126" s="20">
        <f>MIN(IF(VLOOKUP($R126,武学奇术!$A:$ZZ,23,FALSE)=1,100%,$B$8),100%)</f>
        <v>0.8271</v>
      </c>
      <c r="BK126" s="20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0.2249</v>
      </c>
      <c r="BL126" s="20" cm="1">
        <f t="array" ref="BL126">1+$B$13+VLOOKUP($R126,武学奇术!$A:$ZZ,18,FALSE)+SUM(_xlfn.XLOOKUP(S126:AG126,增益!$A:$A,增益!$R:$R,0))</f>
        <v>1.5</v>
      </c>
      <c r="BM126" s="20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0.4459</v>
      </c>
      <c r="BN126" s="20" cm="1">
        <f t="array" ref="BN126">1+$B$14+VLOOKUP($R126,武学奇术!$A:$ZZ,20,FALSE)+SUM(_xlfn.XLOOKUP(S126:AG126,增益!$A:$A,增益!$T:$T,0))</f>
        <v>1.782</v>
      </c>
      <c r="BO126" s="20">
        <f t="shared" si="20"/>
        <v>0.18601479</v>
      </c>
      <c r="BP126" s="20">
        <f t="shared" si="21"/>
        <v>0.27228132</v>
      </c>
      <c r="BQ126" s="20">
        <f>IF(VLOOKUP($R126,武学奇术!$A:$ZZ,22,FALSE)=1,0,(1-$BJ126))*(1-$BM126)</f>
        <v>0.09580389</v>
      </c>
      <c r="BR126" s="20" cm="1">
        <f t="array" ref="BR126">SUM(_xlfn.XLOOKUP(S126:AG126,增益!$A:$A,增益!$W:$W,0))+$I$5</f>
        <v>0.21</v>
      </c>
    </row>
    <row r="127" spans="11:70">
      <c r="K127" s="27">
        <f>$L127*VLOOKUP($R127,武学奇术!$A:$ZZ,31,FALSE)</f>
        <v>13773.4730126928</v>
      </c>
      <c r="L127" s="27">
        <f t="shared" si="11"/>
        <v>13773.4730126928</v>
      </c>
      <c r="M127" s="27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12111.4685668164</v>
      </c>
      <c r="N127" s="27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20137.3456472494</v>
      </c>
      <c r="O127" s="27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8074.31237787763</v>
      </c>
      <c r="P127" s="27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3578.49638668569</v>
      </c>
      <c r="Q127" s="35">
        <v>1</v>
      </c>
      <c r="R127" s="36" t="s">
        <v>107</v>
      </c>
      <c r="S127" s="36" t="s">
        <v>152</v>
      </c>
      <c r="T127" s="36" t="s">
        <v>93</v>
      </c>
      <c r="U127" s="36" t="s">
        <v>71</v>
      </c>
      <c r="V127" s="36" t="s">
        <v>71</v>
      </c>
      <c r="W127" s="36" t="s">
        <v>111</v>
      </c>
      <c r="X127" s="36" t="s">
        <v>158</v>
      </c>
      <c r="Y127" s="36" t="s">
        <v>71</v>
      </c>
      <c r="Z127" s="36" t="s">
        <v>71</v>
      </c>
      <c r="AA127" s="36" t="s">
        <v>71</v>
      </c>
      <c r="AB127" s="36" t="s">
        <v>71</v>
      </c>
      <c r="AC127" s="36" t="s">
        <v>71</v>
      </c>
      <c r="AD127" s="36" t="s">
        <v>72</v>
      </c>
      <c r="AE127" s="36" t="s">
        <v>94</v>
      </c>
      <c r="AF127" s="36" t="s">
        <v>154</v>
      </c>
      <c r="AG127" s="36" t="s">
        <v>120</v>
      </c>
      <c r="AH127" t="str">
        <f>VLOOKUP($R127,武学奇术!$A:$ZZ,25,FALSE)</f>
        <v>剑</v>
      </c>
      <c r="AI127" s="20">
        <f>VLOOKUP($R127,武学奇术!$A:$ZZ,26,FALSE)</f>
        <v>0.625</v>
      </c>
      <c r="AJ127" s="21">
        <f>VLOOKUP($R127,武学奇术!$A:$ZZ,27,FALSE)*(1+IF(OR($AH127=$F$4,$AH127=$F$5),$B$22,0))</f>
        <v>0</v>
      </c>
      <c r="AK127" s="20">
        <f>VLOOKUP($R127,武学奇术!$A:$ZZ,28,FALSE)</f>
        <v>0.9375</v>
      </c>
      <c r="AL127" s="21">
        <f>VLOOKUP($R127,武学奇术!$A:$ZZ,29,FALSE)*(1+IF(OR($AH127=$F$4,$AH127=$F$5),$B$22,0))</f>
        <v>0</v>
      </c>
      <c r="AM127" s="20" cm="1">
        <f t="array" ref="AM127">$G$3+IFERROR(VLOOKUP($AH127,$F$4:$G$7,2,FALSE),0)+VLOOKUP($R127,武学奇术!$A:$ZZ,2,FALSE)+SUM(_xlfn.XLOOKUP($S127:$AG127,增益!$A:$A,增益!$B:$B,0))</f>
        <v>0.6591</v>
      </c>
      <c r="AN127" s="20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1548.52</v>
      </c>
      <c r="AP127" cm="1">
        <f t="array" ref="AP127">$E$10*(1+$AN127)+VLOOKUP($R127,武学奇术!$A:$ZZ,4,FALSE)+SUM(_xlfn.XLOOKUP($S127:$AG127,增益!$A:$A,增益!$D:$D,0))-$I$2</f>
        <v>6659.56</v>
      </c>
      <c r="AQ127" s="29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0.2425</v>
      </c>
      <c r="AR127" s="29" cm="1">
        <f t="array" ref="AR127">$G$10+VLOOKUP($R127,武学奇术!$A:$ZZ,7,FALSE)+SUM(_xlfn.XLOOKUP(S127:AG127,增益!$A:$A,增益!$G:$G,0))</f>
        <v>0</v>
      </c>
      <c r="AS127" s="20" cm="1">
        <f t="array" ref="AS127">VLOOKUP($R127,武学奇术!$A:$ZZ,8,FALSE)+SUM(_xlfn.XLOOKUP(S127:AG127,增益!$A:$A,增益!$H:$H,0))</f>
        <v>0</v>
      </c>
      <c r="AT127">
        <f t="shared" si="12"/>
        <v>538</v>
      </c>
      <c r="AU127">
        <f t="shared" si="13"/>
        <v>1011</v>
      </c>
      <c r="AV127" s="29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</v>
      </c>
      <c r="AW127" s="29" cm="1">
        <f t="array" ref="AW127">$G$11+VLOOKUP($R127,武学奇术!$A:$ZZ,10,FALSE)+SUM(_xlfn.XLOOKUP(S127:AG127,增益!$A:$A,增益!$J:$J,0))</f>
        <v>0.15</v>
      </c>
      <c r="AX127">
        <f t="shared" si="14"/>
        <v>0</v>
      </c>
      <c r="AY127">
        <f t="shared" si="15"/>
        <v>0</v>
      </c>
      <c r="AZ127" s="29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-0.3</v>
      </c>
      <c r="BA127" s="29" cm="1">
        <f t="array" ref="BA127">$G$12+VLOOKUP($R127,武学奇术!$A:$ZZ,12,FALSE)+SUM(_xlfn.XLOOKUP(S127:AG127,增益!$A:$A,增益!$L:$L,0))</f>
        <v>0</v>
      </c>
      <c r="BB127">
        <f t="shared" si="16"/>
        <v>0</v>
      </c>
      <c r="BC127">
        <f t="shared" si="17"/>
        <v>0</v>
      </c>
      <c r="BD127" s="29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-0.3</v>
      </c>
      <c r="BE127" s="29" cm="1">
        <f t="array" ref="BE127">$G$13+VLOOKUP($R127,武学奇术!$A:$ZZ,14,FALSE)+SUM(_xlfn.XLOOKUP(S127:AG127,增益!$A:$A,增益!$N:$N,0))</f>
        <v>0</v>
      </c>
      <c r="BF127">
        <f t="shared" si="18"/>
        <v>0</v>
      </c>
      <c r="BG127">
        <f t="shared" si="19"/>
        <v>0</v>
      </c>
      <c r="BH127" s="29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-0.3</v>
      </c>
      <c r="BI127" s="29" cm="1">
        <f t="array" ref="BI127">$G$14+VLOOKUP($R127,武学奇术!$A:$ZZ,16,FALSE)+SUM(_xlfn.XLOOKUP(S127:AG127,增益!$A:$A,增益!$P:$P,0))</f>
        <v>0</v>
      </c>
      <c r="BJ127" s="20">
        <f>MIN(IF(VLOOKUP($R127,武学奇术!$A:$ZZ,23,FALSE)=1,100%,$B$8),100%)</f>
        <v>0.8271</v>
      </c>
      <c r="BK127" s="20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0.2249</v>
      </c>
      <c r="BL127" s="20" cm="1">
        <f t="array" ref="BL127">1+$B$13+VLOOKUP($R127,武学奇术!$A:$ZZ,18,FALSE)+SUM(_xlfn.XLOOKUP(S127:AG127,增益!$A:$A,增益!$R:$R,0))</f>
        <v>1.5</v>
      </c>
      <c r="BM127" s="20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0.4459</v>
      </c>
      <c r="BN127" s="20" cm="1">
        <f t="array" ref="BN127">1+$B$14+VLOOKUP($R127,武学奇术!$A:$ZZ,20,FALSE)+SUM(_xlfn.XLOOKUP(S127:AG127,增益!$A:$A,增益!$T:$T,0))</f>
        <v>1.602</v>
      </c>
      <c r="BO127" s="20">
        <f t="shared" si="20"/>
        <v>0.18601479</v>
      </c>
      <c r="BP127" s="20">
        <f t="shared" si="21"/>
        <v>0.27228132</v>
      </c>
      <c r="BQ127" s="20">
        <f>IF(VLOOKUP($R127,武学奇术!$A:$ZZ,22,FALSE)=1,0,(1-$BJ127))*(1-$BM127)</f>
        <v>0.09580389</v>
      </c>
      <c r="BR127" s="20" cm="1">
        <f t="array" ref="BR127">SUM(_xlfn.XLOOKUP(S127:AG127,增益!$A:$A,增益!$W:$W,0))+$I$5</f>
        <v>0.21</v>
      </c>
    </row>
    <row r="128" spans="11:70">
      <c r="K128" s="27">
        <f>$L128*VLOOKUP($R128,武学奇术!$A:$ZZ,31,FALSE)</f>
        <v>28680.74383722</v>
      </c>
      <c r="L128" s="27">
        <f t="shared" si="11"/>
        <v>28680.74383722</v>
      </c>
      <c r="M128" s="27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25824.5687874738</v>
      </c>
      <c r="N128" s="27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41156.7253628786</v>
      </c>
      <c r="O128" s="27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17216.3791916492</v>
      </c>
      <c r="P128" s="27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8741.91858125184</v>
      </c>
      <c r="Q128" s="35">
        <v>1</v>
      </c>
      <c r="R128" s="36" t="s">
        <v>92</v>
      </c>
      <c r="S128" s="36" t="s">
        <v>152</v>
      </c>
      <c r="T128" s="36" t="s">
        <v>93</v>
      </c>
      <c r="U128" s="36" t="s">
        <v>71</v>
      </c>
      <c r="V128" s="36" t="s">
        <v>71</v>
      </c>
      <c r="W128" s="36" t="s">
        <v>111</v>
      </c>
      <c r="X128" s="36" t="s">
        <v>158</v>
      </c>
      <c r="Y128" s="36" t="s">
        <v>71</v>
      </c>
      <c r="Z128" s="36" t="s">
        <v>71</v>
      </c>
      <c r="AA128" s="36" t="s">
        <v>71</v>
      </c>
      <c r="AB128" s="36" t="s">
        <v>71</v>
      </c>
      <c r="AC128" s="36" t="s">
        <v>71</v>
      </c>
      <c r="AD128" s="36" t="s">
        <v>72</v>
      </c>
      <c r="AE128" s="36" t="s">
        <v>94</v>
      </c>
      <c r="AF128" s="36" t="s">
        <v>154</v>
      </c>
      <c r="AG128" s="36" t="s">
        <v>120</v>
      </c>
      <c r="AH128" t="str">
        <f>VLOOKUP($R128,武学奇术!$A:$ZZ,25,FALSE)</f>
        <v>剑</v>
      </c>
      <c r="AI128" s="20">
        <f>VLOOKUP($R128,武学奇术!$A:$ZZ,26,FALSE)</f>
        <v>1.1781</v>
      </c>
      <c r="AJ128" s="21">
        <f>VLOOKUP($R128,武学奇术!$A:$ZZ,27,FALSE)*(1+IF(OR($AH128=$F$4,$AH128=$F$5),$B$22,0))</f>
        <v>456.4</v>
      </c>
      <c r="AK128" s="20">
        <f>VLOOKUP($R128,武学奇术!$A:$ZZ,28,FALSE)</f>
        <v>1.7672</v>
      </c>
      <c r="AL128" s="21">
        <f>VLOOKUP($R128,武学奇术!$A:$ZZ,29,FALSE)*(1+IF(OR($AH128=$F$4,$AH128=$F$5),$B$22,0))</f>
        <v>247.8</v>
      </c>
      <c r="AM128" s="20" cm="1">
        <f t="array" ref="AM128">$G$3+IFERROR(VLOOKUP($AH128,$F$4:$G$7,2,FALSE),0)+VLOOKUP($R128,武学奇术!$A:$ZZ,2,FALSE)+SUM(_xlfn.XLOOKUP($S128:$AG128,增益!$A:$A,增益!$B:$B,0))</f>
        <v>0.6591</v>
      </c>
      <c r="AN128" s="20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1548.52</v>
      </c>
      <c r="AP128" cm="1">
        <f t="array" ref="AP128">$E$10*(1+$AN128)+VLOOKUP($R128,武学奇术!$A:$ZZ,4,FALSE)+SUM(_xlfn.XLOOKUP($S128:$AG128,增益!$A:$A,增益!$D:$D,0))-$I$2</f>
        <v>6659.56</v>
      </c>
      <c r="AQ128" s="29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0.2425</v>
      </c>
      <c r="AR128" s="29" cm="1">
        <f t="array" ref="AR128">$G$10+VLOOKUP($R128,武学奇术!$A:$ZZ,7,FALSE)+SUM(_xlfn.XLOOKUP(S128:AG128,增益!$A:$A,增益!$G:$G,0))</f>
        <v>0</v>
      </c>
      <c r="AS128" s="20" cm="1">
        <f t="array" ref="AS128">VLOOKUP($R128,武学奇术!$A:$ZZ,8,FALSE)+SUM(_xlfn.XLOOKUP(S128:AG128,增益!$A:$A,增益!$H:$H,0))</f>
        <v>0</v>
      </c>
      <c r="AT128">
        <f t="shared" si="12"/>
        <v>538</v>
      </c>
      <c r="AU128">
        <f t="shared" si="13"/>
        <v>1011</v>
      </c>
      <c r="AV128" s="29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</v>
      </c>
      <c r="AW128" s="29" cm="1">
        <f t="array" ref="AW128">$G$11+VLOOKUP($R128,武学奇术!$A:$ZZ,10,FALSE)+SUM(_xlfn.XLOOKUP(S128:AG128,增益!$A:$A,增益!$J:$J,0))</f>
        <v>0.15</v>
      </c>
      <c r="AX128">
        <f t="shared" si="14"/>
        <v>0</v>
      </c>
      <c r="AY128">
        <f t="shared" si="15"/>
        <v>0</v>
      </c>
      <c r="AZ128" s="29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29" cm="1">
        <f t="array" ref="BA128">$G$12+VLOOKUP($R128,武学奇术!$A:$ZZ,12,FALSE)+SUM(_xlfn.XLOOKUP(S128:AG128,增益!$A:$A,增益!$L:$L,0))</f>
        <v>0</v>
      </c>
      <c r="BB128">
        <f t="shared" si="16"/>
        <v>0</v>
      </c>
      <c r="BC128">
        <f t="shared" si="17"/>
        <v>0</v>
      </c>
      <c r="BD128" s="29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29" cm="1">
        <f t="array" ref="BE128">$G$13+VLOOKUP($R128,武学奇术!$A:$ZZ,14,FALSE)+SUM(_xlfn.XLOOKUP(S128:AG128,增益!$A:$A,增益!$N:$N,0))</f>
        <v>0</v>
      </c>
      <c r="BF128">
        <f t="shared" si="18"/>
        <v>0</v>
      </c>
      <c r="BG128">
        <f t="shared" si="19"/>
        <v>0</v>
      </c>
      <c r="BH128" s="29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-0.3</v>
      </c>
      <c r="BI128" s="29" cm="1">
        <f t="array" ref="BI128">$G$14+VLOOKUP($R128,武学奇术!$A:$ZZ,16,FALSE)+SUM(_xlfn.XLOOKUP(S128:AG128,增益!$A:$A,增益!$P:$P,0))</f>
        <v>0</v>
      </c>
      <c r="BJ128" s="20">
        <f>MIN(IF(VLOOKUP($R128,武学奇术!$A:$ZZ,23,FALSE)=1,100%,$B$8),100%)</f>
        <v>0.8271</v>
      </c>
      <c r="BK128" s="20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0.2249</v>
      </c>
      <c r="BL128" s="20" cm="1">
        <f t="array" ref="BL128">1+$B$13+VLOOKUP($R128,武学奇术!$A:$ZZ,18,FALSE)+SUM(_xlfn.XLOOKUP(S128:AG128,增益!$A:$A,增益!$R:$R,0))</f>
        <v>1.5</v>
      </c>
      <c r="BM128" s="20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0.4459</v>
      </c>
      <c r="BN128" s="20" cm="1">
        <f t="array" ref="BN128">1+$B$14+VLOOKUP($R128,武学奇术!$A:$ZZ,20,FALSE)+SUM(_xlfn.XLOOKUP(S128:AG128,增益!$A:$A,增益!$T:$T,0))</f>
        <v>1.602</v>
      </c>
      <c r="BO128" s="20">
        <f t="shared" si="20"/>
        <v>0.18601479</v>
      </c>
      <c r="BP128" s="20">
        <f t="shared" si="21"/>
        <v>0.27228132</v>
      </c>
      <c r="BQ128" s="20">
        <f>IF(VLOOKUP($R128,武学奇术!$A:$ZZ,22,FALSE)=1,0,(1-$BJ128))*(1-$BM128)</f>
        <v>0.09580389</v>
      </c>
      <c r="BR128" s="20" cm="1">
        <f t="array" ref="BR128">SUM(_xlfn.XLOOKUP(S128:AG128,增益!$A:$A,增益!$W:$W,0))+$I$5</f>
        <v>0.21</v>
      </c>
    </row>
    <row r="129" spans="11:70">
      <c r="K129" s="27">
        <f>$L129*VLOOKUP($R129,武学奇术!$A:$ZZ,31,FALSE)</f>
        <v>72176.2388557566</v>
      </c>
      <c r="L129" s="27">
        <f t="shared" si="11"/>
        <v>120293.731426261</v>
      </c>
      <c r="M129" s="27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98585.8689418657</v>
      </c>
      <c r="N129" s="27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182248.840087583</v>
      </c>
      <c r="O129" s="27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65723.9126279105</v>
      </c>
      <c r="P129" s="27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29175.748887929</v>
      </c>
      <c r="Q129" s="35">
        <v>1</v>
      </c>
      <c r="R129" s="36" t="s">
        <v>105</v>
      </c>
      <c r="S129" s="36" t="s">
        <v>152</v>
      </c>
      <c r="T129" s="36" t="s">
        <v>99</v>
      </c>
      <c r="U129" s="36" t="s">
        <v>100</v>
      </c>
      <c r="V129" s="36" t="s">
        <v>101</v>
      </c>
      <c r="W129" s="36" t="s">
        <v>111</v>
      </c>
      <c r="X129" s="36" t="s">
        <v>158</v>
      </c>
      <c r="Y129" s="36" t="s">
        <v>71</v>
      </c>
      <c r="Z129" s="36" t="s">
        <v>71</v>
      </c>
      <c r="AA129" s="36" t="s">
        <v>71</v>
      </c>
      <c r="AB129" s="36" t="s">
        <v>71</v>
      </c>
      <c r="AC129" s="36" t="s">
        <v>71</v>
      </c>
      <c r="AD129" s="36" t="s">
        <v>72</v>
      </c>
      <c r="AE129" s="36" t="s">
        <v>94</v>
      </c>
      <c r="AF129" s="36" t="s">
        <v>154</v>
      </c>
      <c r="AG129" s="36" t="s">
        <v>120</v>
      </c>
      <c r="AH129" t="str">
        <f>VLOOKUP($R129,武学奇术!$A:$ZZ,25,FALSE)</f>
        <v>剑</v>
      </c>
      <c r="AI129" s="20">
        <f>VLOOKUP($R129,武学奇术!$A:$ZZ,26,FALSE)</f>
        <v>2.496</v>
      </c>
      <c r="AJ129" s="21">
        <f>VLOOKUP($R129,武学奇术!$A:$ZZ,27,FALSE)*(1+IF(OR($AH129=$F$4,$AH129=$F$5),$B$22,0))</f>
        <v>0</v>
      </c>
      <c r="AK129" s="20">
        <f>VLOOKUP($R129,武学奇术!$A:$ZZ,28,FALSE)</f>
        <v>3.744</v>
      </c>
      <c r="AL129" s="21">
        <f>VLOOKUP($R129,武学奇术!$A:$ZZ,29,FALSE)*(1+IF(OR($AH129=$F$4,$AH129=$F$5),$B$22,0))</f>
        <v>0</v>
      </c>
      <c r="AM129" s="20" cm="1">
        <f t="array" ref="AM129">$G$3+IFERROR(VLOOKUP($AH129,$F$4:$G$7,2,FALSE),0)+VLOOKUP($R129,武学奇术!$A:$ZZ,2,FALSE)+SUM(_xlfn.XLOOKUP($S129:$AG129,增益!$A:$A,增益!$B:$B,0))</f>
        <v>1.4091</v>
      </c>
      <c r="AN129" s="20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1548.52</v>
      </c>
      <c r="AP129" cm="1">
        <f t="array" ref="AP129">$E$10*(1+$AN129)+VLOOKUP($R129,武学奇术!$A:$ZZ,4,FALSE)+SUM(_xlfn.XLOOKUP($S129:$AG129,增益!$A:$A,增益!$D:$D,0))-$I$2</f>
        <v>6659.56</v>
      </c>
      <c r="AQ129" s="29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0.3175</v>
      </c>
      <c r="AR129" s="29" cm="1">
        <f t="array" ref="AR129">$G$10+VLOOKUP($R129,武学奇术!$A:$ZZ,7,FALSE)+SUM(_xlfn.XLOOKUP(S129:AG129,增益!$A:$A,增益!$G:$G,0))</f>
        <v>0</v>
      </c>
      <c r="AS129" s="20" cm="1">
        <f t="array" ref="AS129">VLOOKUP($R129,武学奇术!$A:$ZZ,8,FALSE)+SUM(_xlfn.XLOOKUP(S129:AG129,增益!$A:$A,增益!$H:$H,0))</f>
        <v>0</v>
      </c>
      <c r="AT129">
        <f t="shared" si="12"/>
        <v>538</v>
      </c>
      <c r="AU129">
        <f t="shared" si="13"/>
        <v>1011</v>
      </c>
      <c r="AV129" s="29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0.075</v>
      </c>
      <c r="AW129" s="29" cm="1">
        <f t="array" ref="AW129">$G$11+VLOOKUP($R129,武学奇术!$A:$ZZ,10,FALSE)+SUM(_xlfn.XLOOKUP(S129:AG129,增益!$A:$A,增益!$J:$J,0))</f>
        <v>0.15</v>
      </c>
      <c r="AX129">
        <f t="shared" si="14"/>
        <v>0</v>
      </c>
      <c r="AY129">
        <f t="shared" si="15"/>
        <v>0</v>
      </c>
      <c r="AZ129" s="29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-0.3</v>
      </c>
      <c r="BA129" s="29" cm="1">
        <f t="array" ref="BA129">$G$12+VLOOKUP($R129,武学奇术!$A:$ZZ,12,FALSE)+SUM(_xlfn.XLOOKUP(S129:AG129,增益!$A:$A,增益!$L:$L,0))</f>
        <v>0</v>
      </c>
      <c r="BB129">
        <f t="shared" si="16"/>
        <v>0</v>
      </c>
      <c r="BC129">
        <f t="shared" si="17"/>
        <v>0</v>
      </c>
      <c r="BD129" s="29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-0.3</v>
      </c>
      <c r="BE129" s="29" cm="1">
        <f t="array" ref="BE129">$G$13+VLOOKUP($R129,武学奇术!$A:$ZZ,14,FALSE)+SUM(_xlfn.XLOOKUP(S129:AG129,增益!$A:$A,增益!$N:$N,0))</f>
        <v>0</v>
      </c>
      <c r="BF129">
        <f t="shared" si="18"/>
        <v>0</v>
      </c>
      <c r="BG129">
        <f t="shared" si="19"/>
        <v>0</v>
      </c>
      <c r="BH129" s="29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-0.3</v>
      </c>
      <c r="BI129" s="29" cm="1">
        <f t="array" ref="BI129">$G$14+VLOOKUP($R129,武学奇术!$A:$ZZ,16,FALSE)+SUM(_xlfn.XLOOKUP(S129:AG129,增益!$A:$A,增益!$P:$P,0))</f>
        <v>0</v>
      </c>
      <c r="BJ129" s="20">
        <f>MIN(IF(VLOOKUP($R129,武学奇术!$A:$ZZ,23,FALSE)=1,100%,$B$8),100%)</f>
        <v>0.8271</v>
      </c>
      <c r="BK129" s="20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0.2249</v>
      </c>
      <c r="BL129" s="20" cm="1">
        <f t="array" ref="BL129">1+$B$13+VLOOKUP($R129,武学奇术!$A:$ZZ,18,FALSE)+SUM(_xlfn.XLOOKUP(S129:AG129,增益!$A:$A,增益!$R:$R,0))</f>
        <v>1.5</v>
      </c>
      <c r="BM129" s="20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0.4459</v>
      </c>
      <c r="BN129" s="20" cm="1">
        <f t="array" ref="BN129">1+$B$14+VLOOKUP($R129,武学奇术!$A:$ZZ,20,FALSE)+SUM(_xlfn.XLOOKUP(S129:AG129,增益!$A:$A,增益!$T:$T,0))</f>
        <v>1.782</v>
      </c>
      <c r="BO129" s="20">
        <f t="shared" si="20"/>
        <v>0.18601479</v>
      </c>
      <c r="BP129" s="20">
        <f t="shared" si="21"/>
        <v>0.27228132</v>
      </c>
      <c r="BQ129" s="20">
        <f>IF(VLOOKUP($R129,武学奇术!$A:$ZZ,22,FALSE)=1,0,(1-$BJ129))*(1-$BM129)</f>
        <v>0.09580389</v>
      </c>
      <c r="BR129" s="20" cm="1">
        <f t="array" ref="BR129">SUM(_xlfn.XLOOKUP(S129:AG129,增益!$A:$A,增益!$W:$W,0))+$I$5</f>
        <v>0.21</v>
      </c>
    </row>
    <row r="130" spans="11:70">
      <c r="K130" s="27">
        <f>$L130*VLOOKUP($R130,武学奇术!$A:$ZZ,31,FALSE)</f>
        <v>109349.30405255</v>
      </c>
      <c r="L130" s="27">
        <f t="shared" ref="L130:L193" si="22">($M130*$BO130+$N130*$BM130+$O130*$BP130+$P130*$BQ130)</f>
        <v>182248.840087583</v>
      </c>
      <c r="M130" s="27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98585.8689418657</v>
      </c>
      <c r="N130" s="27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182248.840087583</v>
      </c>
      <c r="O130" s="27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65723.9126279105</v>
      </c>
      <c r="P130" s="27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29175.748887929</v>
      </c>
      <c r="Q130" s="35">
        <v>1</v>
      </c>
      <c r="R130" s="36" t="s">
        <v>98</v>
      </c>
      <c r="S130" s="36" t="s">
        <v>152</v>
      </c>
      <c r="T130" s="36" t="s">
        <v>99</v>
      </c>
      <c r="U130" s="36" t="s">
        <v>100</v>
      </c>
      <c r="V130" s="36" t="s">
        <v>101</v>
      </c>
      <c r="W130" s="36" t="s">
        <v>111</v>
      </c>
      <c r="X130" s="36" t="s">
        <v>158</v>
      </c>
      <c r="Y130" s="36" t="s">
        <v>71</v>
      </c>
      <c r="Z130" s="36" t="s">
        <v>71</v>
      </c>
      <c r="AA130" s="36" t="s">
        <v>71</v>
      </c>
      <c r="AB130" s="36" t="s">
        <v>71</v>
      </c>
      <c r="AC130" s="36" t="s">
        <v>71</v>
      </c>
      <c r="AD130" s="36" t="s">
        <v>72</v>
      </c>
      <c r="AE130" s="36" t="s">
        <v>94</v>
      </c>
      <c r="AF130" s="36" t="s">
        <v>154</v>
      </c>
      <c r="AG130" s="36" t="s">
        <v>120</v>
      </c>
      <c r="AH130" t="str">
        <f>VLOOKUP($R130,武学奇术!$A:$ZZ,25,FALSE)</f>
        <v>剑</v>
      </c>
      <c r="AI130" s="20">
        <f>VLOOKUP($R130,武学奇术!$A:$ZZ,26,FALSE)</f>
        <v>2.496</v>
      </c>
      <c r="AJ130" s="21">
        <f>VLOOKUP($R130,武学奇术!$A:$ZZ,27,FALSE)*(1+IF(OR($AH130=$F$4,$AH130=$F$5),$B$22,0))</f>
        <v>0</v>
      </c>
      <c r="AK130" s="20">
        <f>VLOOKUP($R130,武学奇术!$A:$ZZ,28,FALSE)</f>
        <v>3.744</v>
      </c>
      <c r="AL130" s="21">
        <f>VLOOKUP($R130,武学奇术!$A:$ZZ,29,FALSE)*(1+IF(OR($AH130=$F$4,$AH130=$F$5),$B$22,0))</f>
        <v>0</v>
      </c>
      <c r="AM130" s="20" cm="1">
        <f t="array" ref="AM130">$G$3+IFERROR(VLOOKUP($AH130,$F$4:$G$7,2,FALSE),0)+VLOOKUP($R130,武学奇术!$A:$ZZ,2,FALSE)+SUM(_xlfn.XLOOKUP($S130:$AG130,增益!$A:$A,增益!$B:$B,0))</f>
        <v>1.4091</v>
      </c>
      <c r="AN130" s="20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1548.52</v>
      </c>
      <c r="AP130" cm="1">
        <f t="array" ref="AP130">$E$10*(1+$AN130)+VLOOKUP($R130,武学奇术!$A:$ZZ,4,FALSE)+SUM(_xlfn.XLOOKUP($S130:$AG130,增益!$A:$A,增益!$D:$D,0))-$I$2</f>
        <v>6659.56</v>
      </c>
      <c r="AQ130" s="29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0.3175</v>
      </c>
      <c r="AR130" s="29" cm="1">
        <f t="array" ref="AR130">$G$10+VLOOKUP($R130,武学奇术!$A:$ZZ,7,FALSE)+SUM(_xlfn.XLOOKUP(S130:AG130,增益!$A:$A,增益!$G:$G,0))</f>
        <v>0</v>
      </c>
      <c r="AS130" s="20" cm="1">
        <f t="array" ref="AS130">VLOOKUP($R130,武学奇术!$A:$ZZ,8,FALSE)+SUM(_xlfn.XLOOKUP(S130:AG130,增益!$A:$A,增益!$H:$H,0))</f>
        <v>0</v>
      </c>
      <c r="AT130">
        <f t="shared" ref="AT130:AT193" si="23">$D$11*(1+$AS130)</f>
        <v>538</v>
      </c>
      <c r="AU130">
        <f t="shared" ref="AU130:AU193" si="24">$E$11*(1+$AS130)</f>
        <v>1011</v>
      </c>
      <c r="AV130" s="29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0.075</v>
      </c>
      <c r="AW130" s="29" cm="1">
        <f t="array" ref="AW130">$G$11+VLOOKUP($R130,武学奇术!$A:$ZZ,10,FALSE)+SUM(_xlfn.XLOOKUP(S130:AG130,增益!$A:$A,增益!$J:$J,0))</f>
        <v>0.15</v>
      </c>
      <c r="AX130">
        <f t="shared" ref="AX130:AX193" si="25">$D$12*(1+$AS130)</f>
        <v>0</v>
      </c>
      <c r="AY130">
        <f t="shared" ref="AY130:AY193" si="26">$E$12*(1+$AS130)</f>
        <v>0</v>
      </c>
      <c r="AZ130" s="29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29" cm="1">
        <f t="array" ref="BA130">$G$12+VLOOKUP($R130,武学奇术!$A:$ZZ,12,FALSE)+SUM(_xlfn.XLOOKUP(S130:AG130,增益!$A:$A,增益!$L:$L,0))</f>
        <v>0</v>
      </c>
      <c r="BB130">
        <f t="shared" ref="BB130:BB193" si="27">$D$13*(1+$AS130)</f>
        <v>0</v>
      </c>
      <c r="BC130">
        <f t="shared" ref="BC130:BC193" si="28">$E$13*(1+$AS130)</f>
        <v>0</v>
      </c>
      <c r="BD130" s="29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29" cm="1">
        <f t="array" ref="BE130">$G$13+VLOOKUP($R130,武学奇术!$A:$ZZ,14,FALSE)+SUM(_xlfn.XLOOKUP(S130:AG130,增益!$A:$A,增益!$N:$N,0))</f>
        <v>0</v>
      </c>
      <c r="BF130">
        <f t="shared" ref="BF130:BF193" si="29">$D$14*(1+$AS130)</f>
        <v>0</v>
      </c>
      <c r="BG130">
        <f t="shared" ref="BG130:BG193" si="30">$E$14*(1+$AS130)</f>
        <v>0</v>
      </c>
      <c r="BH130" s="29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-0.3</v>
      </c>
      <c r="BI130" s="29" cm="1">
        <f t="array" ref="BI130">$G$14+VLOOKUP($R130,武学奇术!$A:$ZZ,16,FALSE)+SUM(_xlfn.XLOOKUP(S130:AG130,增益!$A:$A,增益!$P:$P,0))</f>
        <v>0</v>
      </c>
      <c r="BJ130" s="20">
        <f>MIN(IF(VLOOKUP($R130,武学奇术!$A:$ZZ,23,FALSE)=1,100%,$B$8),100%)</f>
        <v>0.8271</v>
      </c>
      <c r="BK130" s="20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</v>
      </c>
      <c r="BL130" s="20" cm="1">
        <f t="array" ref="BL130">1+$B$13+VLOOKUP($R130,武学奇术!$A:$ZZ,18,FALSE)+SUM(_xlfn.XLOOKUP(S130:AG130,增益!$A:$A,增益!$R:$R,0))</f>
        <v>1.5</v>
      </c>
      <c r="BM130" s="20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1</v>
      </c>
      <c r="BN130" s="20" cm="1">
        <f t="array" ref="BN130">1+$B$14+VLOOKUP($R130,武学奇术!$A:$ZZ,20,FALSE)+SUM(_xlfn.XLOOKUP(S130:AG130,增益!$A:$A,增益!$T:$T,0))</f>
        <v>1.782</v>
      </c>
      <c r="BO130" s="20">
        <f t="shared" ref="BO130:BO193" si="31">MIN((1-BM130)*BJ130,BJ130*BK130)</f>
        <v>0</v>
      </c>
      <c r="BP130" s="20">
        <f t="shared" ref="BP130:BP193" si="32">1-BM130-BO130-BQ130</f>
        <v>0</v>
      </c>
      <c r="BQ130" s="20">
        <f>IF(VLOOKUP($R130,武学奇术!$A:$ZZ,22,FALSE)=1,0,(1-$BJ130))*(1-$BM130)</f>
        <v>0</v>
      </c>
      <c r="BR130" s="20" cm="1">
        <f t="array" ref="BR130">SUM(_xlfn.XLOOKUP(S130:AG130,增益!$A:$A,增益!$W:$W,0))+$I$5</f>
        <v>0.21</v>
      </c>
    </row>
    <row r="131" spans="11:70">
      <c r="K131" s="27">
        <f>$L131*VLOOKUP($R131,武学奇术!$A:$ZZ,31,FALSE)</f>
        <v>13773.4730126928</v>
      </c>
      <c r="L131" s="27">
        <f t="shared" si="22"/>
        <v>13773.4730126928</v>
      </c>
      <c r="M131" s="27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12111.4685668164</v>
      </c>
      <c r="N131" s="27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20137.3456472494</v>
      </c>
      <c r="O131" s="27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8074.31237787763</v>
      </c>
      <c r="P131" s="27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3578.49638668569</v>
      </c>
      <c r="Q131" s="35">
        <v>1</v>
      </c>
      <c r="R131" s="36" t="s">
        <v>107</v>
      </c>
      <c r="S131" s="36" t="s">
        <v>152</v>
      </c>
      <c r="T131" s="36" t="s">
        <v>93</v>
      </c>
      <c r="U131" s="36" t="s">
        <v>71</v>
      </c>
      <c r="V131" s="36" t="s">
        <v>71</v>
      </c>
      <c r="W131" s="36" t="s">
        <v>111</v>
      </c>
      <c r="X131" s="36" t="s">
        <v>158</v>
      </c>
      <c r="Y131" s="36" t="s">
        <v>71</v>
      </c>
      <c r="Z131" s="36" t="s">
        <v>71</v>
      </c>
      <c r="AA131" s="36" t="s">
        <v>71</v>
      </c>
      <c r="AB131" s="36" t="s">
        <v>71</v>
      </c>
      <c r="AC131" s="36" t="s">
        <v>71</v>
      </c>
      <c r="AD131" s="36" t="s">
        <v>72</v>
      </c>
      <c r="AE131" s="36" t="s">
        <v>94</v>
      </c>
      <c r="AF131" s="36" t="s">
        <v>154</v>
      </c>
      <c r="AG131" s="36" t="s">
        <v>120</v>
      </c>
      <c r="AH131" t="str">
        <f>VLOOKUP($R131,武学奇术!$A:$ZZ,25,FALSE)</f>
        <v>剑</v>
      </c>
      <c r="AI131" s="20">
        <f>VLOOKUP($R131,武学奇术!$A:$ZZ,26,FALSE)</f>
        <v>0.625</v>
      </c>
      <c r="AJ131" s="21">
        <f>VLOOKUP($R131,武学奇术!$A:$ZZ,27,FALSE)*(1+IF(OR($AH131=$F$4,$AH131=$F$5),$B$22,0))</f>
        <v>0</v>
      </c>
      <c r="AK131" s="20">
        <f>VLOOKUP($R131,武学奇术!$A:$ZZ,28,FALSE)</f>
        <v>0.9375</v>
      </c>
      <c r="AL131" s="21">
        <f>VLOOKUP($R131,武学奇术!$A:$ZZ,29,FALSE)*(1+IF(OR($AH131=$F$4,$AH131=$F$5),$B$22,0))</f>
        <v>0</v>
      </c>
      <c r="AM131" s="20" cm="1">
        <f t="array" ref="AM131">$G$3+IFERROR(VLOOKUP($AH131,$F$4:$G$7,2,FALSE),0)+VLOOKUP($R131,武学奇术!$A:$ZZ,2,FALSE)+SUM(_xlfn.XLOOKUP($S131:$AG131,增益!$A:$A,增益!$B:$B,0))</f>
        <v>0.6591</v>
      </c>
      <c r="AN131" s="20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1548.52</v>
      </c>
      <c r="AP131" cm="1">
        <f t="array" ref="AP131">$E$10*(1+$AN131)+VLOOKUP($R131,武学奇术!$A:$ZZ,4,FALSE)+SUM(_xlfn.XLOOKUP($S131:$AG131,增益!$A:$A,增益!$D:$D,0))-$I$2</f>
        <v>6659.56</v>
      </c>
      <c r="AQ131" s="29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0.2425</v>
      </c>
      <c r="AR131" s="29" cm="1">
        <f t="array" ref="AR131">$G$10+VLOOKUP($R131,武学奇术!$A:$ZZ,7,FALSE)+SUM(_xlfn.XLOOKUP(S131:AG131,增益!$A:$A,增益!$G:$G,0))</f>
        <v>0</v>
      </c>
      <c r="AS131" s="20" cm="1">
        <f t="array" ref="AS131">VLOOKUP($R131,武学奇术!$A:$ZZ,8,FALSE)+SUM(_xlfn.XLOOKUP(S131:AG131,增益!$A:$A,增益!$H:$H,0))</f>
        <v>0</v>
      </c>
      <c r="AT131">
        <f t="shared" si="23"/>
        <v>538</v>
      </c>
      <c r="AU131">
        <f t="shared" si="24"/>
        <v>1011</v>
      </c>
      <c r="AV131" s="29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</v>
      </c>
      <c r="AW131" s="29" cm="1">
        <f t="array" ref="AW131">$G$11+VLOOKUP($R131,武学奇术!$A:$ZZ,10,FALSE)+SUM(_xlfn.XLOOKUP(S131:AG131,增益!$A:$A,增益!$J:$J,0))</f>
        <v>0.15</v>
      </c>
      <c r="AX131">
        <f t="shared" si="25"/>
        <v>0</v>
      </c>
      <c r="AY131">
        <f t="shared" si="26"/>
        <v>0</v>
      </c>
      <c r="AZ131" s="29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-0.3</v>
      </c>
      <c r="BA131" s="29" cm="1">
        <f t="array" ref="BA131">$G$12+VLOOKUP($R131,武学奇术!$A:$ZZ,12,FALSE)+SUM(_xlfn.XLOOKUP(S131:AG131,增益!$A:$A,增益!$L:$L,0))</f>
        <v>0</v>
      </c>
      <c r="BB131">
        <f t="shared" si="27"/>
        <v>0</v>
      </c>
      <c r="BC131">
        <f t="shared" si="28"/>
        <v>0</v>
      </c>
      <c r="BD131" s="29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-0.3</v>
      </c>
      <c r="BE131" s="29" cm="1">
        <f t="array" ref="BE131">$G$13+VLOOKUP($R131,武学奇术!$A:$ZZ,14,FALSE)+SUM(_xlfn.XLOOKUP(S131:AG131,增益!$A:$A,增益!$N:$N,0))</f>
        <v>0</v>
      </c>
      <c r="BF131">
        <f t="shared" si="29"/>
        <v>0</v>
      </c>
      <c r="BG131">
        <f t="shared" si="30"/>
        <v>0</v>
      </c>
      <c r="BH131" s="29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-0.3</v>
      </c>
      <c r="BI131" s="29" cm="1">
        <f t="array" ref="BI131">$G$14+VLOOKUP($R131,武学奇术!$A:$ZZ,16,FALSE)+SUM(_xlfn.XLOOKUP(S131:AG131,增益!$A:$A,增益!$P:$P,0))</f>
        <v>0</v>
      </c>
      <c r="BJ131" s="20">
        <f>MIN(IF(VLOOKUP($R131,武学奇术!$A:$ZZ,23,FALSE)=1,100%,$B$8),100%)</f>
        <v>0.8271</v>
      </c>
      <c r="BK131" s="20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0.2249</v>
      </c>
      <c r="BL131" s="20" cm="1">
        <f t="array" ref="BL131">1+$B$13+VLOOKUP($R131,武学奇术!$A:$ZZ,18,FALSE)+SUM(_xlfn.XLOOKUP(S131:AG131,增益!$A:$A,增益!$R:$R,0))</f>
        <v>1.5</v>
      </c>
      <c r="BM131" s="20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0.4459</v>
      </c>
      <c r="BN131" s="20" cm="1">
        <f t="array" ref="BN131">1+$B$14+VLOOKUP($R131,武学奇术!$A:$ZZ,20,FALSE)+SUM(_xlfn.XLOOKUP(S131:AG131,增益!$A:$A,增益!$T:$T,0))</f>
        <v>1.602</v>
      </c>
      <c r="BO131" s="20">
        <f t="shared" si="31"/>
        <v>0.18601479</v>
      </c>
      <c r="BP131" s="20">
        <f t="shared" si="32"/>
        <v>0.27228132</v>
      </c>
      <c r="BQ131" s="20">
        <f>IF(VLOOKUP($R131,武学奇术!$A:$ZZ,22,FALSE)=1,0,(1-$BJ131))*(1-$BM131)</f>
        <v>0.09580389</v>
      </c>
      <c r="BR131" s="20" cm="1">
        <f t="array" ref="BR131">SUM(_xlfn.XLOOKUP(S131:AG131,增益!$A:$A,增益!$W:$W,0))+$I$5</f>
        <v>0.21</v>
      </c>
    </row>
    <row r="132" spans="11:70">
      <c r="K132" s="27">
        <f>$L132*VLOOKUP($R132,武学奇术!$A:$ZZ,31,FALSE)</f>
        <v>10541.5060928168</v>
      </c>
      <c r="L132" s="27">
        <f t="shared" si="22"/>
        <v>17569.1768213614</v>
      </c>
      <c r="M132" s="27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16052.9933414988</v>
      </c>
      <c r="N132" s="27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26221.0757505411</v>
      </c>
      <c r="O132" s="27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10701.9955609992</v>
      </c>
      <c r="P132" s="27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4933.46615306549</v>
      </c>
      <c r="Q132" s="35">
        <v>4</v>
      </c>
      <c r="R132" s="36" t="s">
        <v>159</v>
      </c>
      <c r="S132" s="36" t="s">
        <v>71</v>
      </c>
      <c r="T132" s="36" t="s">
        <v>71</v>
      </c>
      <c r="U132" s="36" t="s">
        <v>160</v>
      </c>
      <c r="V132" s="36" t="s">
        <v>71</v>
      </c>
      <c r="W132" s="36" t="s">
        <v>71</v>
      </c>
      <c r="X132" s="36" t="s">
        <v>71</v>
      </c>
      <c r="Y132" s="36" t="s">
        <v>71</v>
      </c>
      <c r="Z132" s="36" t="s">
        <v>71</v>
      </c>
      <c r="AA132" s="36" t="s">
        <v>71</v>
      </c>
      <c r="AB132" s="36" t="s">
        <v>71</v>
      </c>
      <c r="AC132" s="36" t="s">
        <v>71</v>
      </c>
      <c r="AD132" s="36" t="s">
        <v>72</v>
      </c>
      <c r="AE132" s="36" t="s">
        <v>73</v>
      </c>
      <c r="AF132" s="36" t="s">
        <v>74</v>
      </c>
      <c r="AG132" s="36" t="s">
        <v>75</v>
      </c>
      <c r="AH132" t="str">
        <f>VLOOKUP($R132,武学奇术!$A:$ZZ,25,FALSE)</f>
        <v>单体奇术</v>
      </c>
      <c r="AI132" s="20">
        <f>VLOOKUP($R132,武学奇术!$A:$ZZ,26,FALSE)</f>
        <v>0.236</v>
      </c>
      <c r="AJ132" s="21">
        <f>VLOOKUP($R132,武学奇术!$A:$ZZ,27,FALSE)*(1+IF(OR($AH132=$F$4,$AH132=$F$5),$B$22,0))</f>
        <v>44</v>
      </c>
      <c r="AK132" s="20">
        <f>VLOOKUP($R132,武学奇术!$A:$ZZ,28,FALSE)</f>
        <v>0.354</v>
      </c>
      <c r="AL132" s="21">
        <f>VLOOKUP($R132,武学奇术!$A:$ZZ,29,FALSE)*(1+IF(OR($AH132=$F$4,$AH132=$F$5),$B$22,0))</f>
        <v>0</v>
      </c>
      <c r="AM132" s="20" cm="1">
        <f t="array" ref="AM132">$G$3+IFERROR(VLOOKUP($AH132,$F$4:$G$7,2,FALSE),0)+VLOOKUP($R132,武学奇术!$A:$ZZ,2,FALSE)+SUM(_xlfn.XLOOKUP($S132:$AG132,增益!$A:$A,增益!$B:$B,0))</f>
        <v>0.5815</v>
      </c>
      <c r="AN132" s="20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1517.52</v>
      </c>
      <c r="AP132" cm="1">
        <f t="array" ref="AP132">$E$10*(1+$AN132)+VLOOKUP($R132,武学奇术!$A:$ZZ,4,FALSE)+SUM(_xlfn.XLOOKUP($S132:$AG132,增益!$A:$A,增益!$D:$D,0))-$I$2</f>
        <v>6628.56</v>
      </c>
      <c r="AQ132" s="29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0.2025</v>
      </c>
      <c r="AR132" s="29" cm="1">
        <f t="array" ref="AR132">$G$10+VLOOKUP($R132,武学奇术!$A:$ZZ,7,FALSE)+SUM(_xlfn.XLOOKUP(S132:AG132,增益!$A:$A,增益!$G:$G,0))</f>
        <v>0</v>
      </c>
      <c r="AS132" s="20" cm="1">
        <f t="array" ref="AS132">VLOOKUP($R132,武学奇术!$A:$ZZ,8,FALSE)+SUM(_xlfn.XLOOKUP(S132:AG132,增益!$A:$A,增益!$H:$H,0))</f>
        <v>0</v>
      </c>
      <c r="AT132">
        <f t="shared" si="23"/>
        <v>538</v>
      </c>
      <c r="AU132">
        <f t="shared" si="24"/>
        <v>1011</v>
      </c>
      <c r="AV132" s="29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0</v>
      </c>
      <c r="AW132" s="29" cm="1">
        <f t="array" ref="AW132">$G$11+VLOOKUP($R132,武学奇术!$A:$ZZ,10,FALSE)+SUM(_xlfn.XLOOKUP(S132:AG132,增益!$A:$A,增益!$J:$J,0))</f>
        <v>0.15</v>
      </c>
      <c r="AX132">
        <f t="shared" si="25"/>
        <v>0</v>
      </c>
      <c r="AY132">
        <f t="shared" si="26"/>
        <v>0</v>
      </c>
      <c r="AZ132" s="29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29" cm="1">
        <f t="array" ref="BA132">$G$12+VLOOKUP($R132,武学奇术!$A:$ZZ,12,FALSE)+SUM(_xlfn.XLOOKUP(S132:AG132,增益!$A:$A,增益!$L:$L,0))</f>
        <v>0</v>
      </c>
      <c r="BB132">
        <f t="shared" si="27"/>
        <v>0</v>
      </c>
      <c r="BC132">
        <f t="shared" si="28"/>
        <v>0</v>
      </c>
      <c r="BD132" s="29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29" cm="1">
        <f t="array" ref="BE132">$G$13+VLOOKUP($R132,武学奇术!$A:$ZZ,14,FALSE)+SUM(_xlfn.XLOOKUP(S132:AG132,增益!$A:$A,增益!$N:$N,0))</f>
        <v>0</v>
      </c>
      <c r="BF132">
        <f t="shared" si="29"/>
        <v>0</v>
      </c>
      <c r="BG132">
        <f t="shared" si="30"/>
        <v>0</v>
      </c>
      <c r="BH132" s="29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29" cm="1">
        <f t="array" ref="BI132">$G$14+VLOOKUP($R132,武学奇术!$A:$ZZ,16,FALSE)+SUM(_xlfn.XLOOKUP(S132:AG132,增益!$A:$A,增益!$P:$P,0))</f>
        <v>0</v>
      </c>
      <c r="BJ132" s="20">
        <f>MIN(IF(VLOOKUP($R132,武学奇术!$A:$ZZ,23,FALSE)=1,100%,$B$8),100%)</f>
        <v>0.8271</v>
      </c>
      <c r="BK132" s="20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0.2249</v>
      </c>
      <c r="BL132" s="20" cm="1">
        <f t="array" ref="BL132">1+$B$13+VLOOKUP($R132,武学奇术!$A:$ZZ,18,FALSE)+SUM(_xlfn.XLOOKUP(S132:AG132,增益!$A:$A,增益!$R:$R,0))</f>
        <v>1.5</v>
      </c>
      <c r="BM132" s="20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0.4159</v>
      </c>
      <c r="BN132" s="20" cm="1">
        <f t="array" ref="BN132">1+$B$14+VLOOKUP($R132,武学奇术!$A:$ZZ,20,FALSE)+SUM(_xlfn.XLOOKUP(S132:AG132,增益!$A:$A,增益!$T:$T,0))</f>
        <v>1.592</v>
      </c>
      <c r="BO132" s="20">
        <f t="shared" si="31"/>
        <v>0.18601479</v>
      </c>
      <c r="BP132" s="20">
        <f t="shared" si="32"/>
        <v>0.29709432</v>
      </c>
      <c r="BQ132" s="20">
        <f>IF(VLOOKUP($R132,武学奇术!$A:$ZZ,22,FALSE)=1,0,(1-$BJ132))*(1-$BM132)</f>
        <v>0.10099089</v>
      </c>
      <c r="BR132" s="20" cm="1">
        <f t="array" ref="BR132">SUM(_xlfn.XLOOKUP(S132:AG132,增益!$A:$A,增益!$W:$W,0))+$I$5</f>
        <v>0.11</v>
      </c>
    </row>
    <row r="133" spans="11:70">
      <c r="K133" s="27">
        <f>$L133*VLOOKUP($R133,武学奇术!$A:$ZZ,31,FALSE)</f>
        <v>10721.2302208431</v>
      </c>
      <c r="L133" s="27">
        <f t="shared" si="22"/>
        <v>17868.7170347385</v>
      </c>
      <c r="M133" s="27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16261.0472364989</v>
      </c>
      <c r="N133" s="27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26734.6877163596</v>
      </c>
      <c r="O133" s="27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10840.698157666</v>
      </c>
      <c r="P133" s="27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4993.07689188648</v>
      </c>
      <c r="Q133" s="35">
        <v>4</v>
      </c>
      <c r="R133" s="36" t="s">
        <v>159</v>
      </c>
      <c r="S133" s="36" t="s">
        <v>71</v>
      </c>
      <c r="T133" s="36" t="s">
        <v>71</v>
      </c>
      <c r="U133" s="36" t="s">
        <v>160</v>
      </c>
      <c r="V133" s="36" t="s">
        <v>71</v>
      </c>
      <c r="W133" s="36" t="s">
        <v>71</v>
      </c>
      <c r="X133" s="36" t="s">
        <v>71</v>
      </c>
      <c r="Y133" s="36" t="s">
        <v>71</v>
      </c>
      <c r="Z133" s="36" t="s">
        <v>71</v>
      </c>
      <c r="AA133" s="36" t="s">
        <v>71</v>
      </c>
      <c r="AB133" s="36" t="s">
        <v>71</v>
      </c>
      <c r="AC133" s="36" t="s">
        <v>71</v>
      </c>
      <c r="AD133" s="36" t="s">
        <v>72</v>
      </c>
      <c r="AE133" s="36" t="s">
        <v>73</v>
      </c>
      <c r="AF133" s="36" t="s">
        <v>83</v>
      </c>
      <c r="AG133" s="36" t="s">
        <v>84</v>
      </c>
      <c r="AH133" t="str">
        <f>VLOOKUP($R133,武学奇术!$A:$ZZ,25,FALSE)</f>
        <v>单体奇术</v>
      </c>
      <c r="AI133" s="20">
        <f>VLOOKUP($R133,武学奇术!$A:$ZZ,26,FALSE)</f>
        <v>0.236</v>
      </c>
      <c r="AJ133" s="21">
        <f>VLOOKUP($R133,武学奇术!$A:$ZZ,27,FALSE)*(1+IF(OR($AH133=$F$4,$AH133=$F$5),$B$22,0))</f>
        <v>44</v>
      </c>
      <c r="AK133" s="20">
        <f>VLOOKUP($R133,武学奇术!$A:$ZZ,28,FALSE)</f>
        <v>0.354</v>
      </c>
      <c r="AL133" s="21">
        <f>VLOOKUP($R133,武学奇术!$A:$ZZ,29,FALSE)*(1+IF(OR($AH133=$F$4,$AH133=$F$5),$B$22,0))</f>
        <v>0</v>
      </c>
      <c r="AM133" s="20" cm="1">
        <f t="array" ref="AM133">$G$3+IFERROR(VLOOKUP($AH133,$F$4:$G$7,2,FALSE),0)+VLOOKUP($R133,武学奇术!$A:$ZZ,2,FALSE)+SUM(_xlfn.XLOOKUP($S133:$AG133,增益!$A:$A,增益!$B:$B,0))</f>
        <v>0.5915</v>
      </c>
      <c r="AN133" s="20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1517.52</v>
      </c>
      <c r="AP133" cm="1">
        <f t="array" ref="AP133">$E$10*(1+$AN133)+VLOOKUP($R133,武学奇术!$A:$ZZ,4,FALSE)+SUM(_xlfn.XLOOKUP($S133:$AG133,增益!$A:$A,增益!$D:$D,0))-$I$2</f>
        <v>6628.56</v>
      </c>
      <c r="AQ133" s="29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0.2125</v>
      </c>
      <c r="AR133" s="29" cm="1">
        <f t="array" ref="AR133">$G$10+VLOOKUP($R133,武学奇术!$A:$ZZ,7,FALSE)+SUM(_xlfn.XLOOKUP(S133:AG133,增益!$A:$A,增益!$G:$G,0))</f>
        <v>0</v>
      </c>
      <c r="AS133" s="20" cm="1">
        <f t="array" ref="AS133">VLOOKUP($R133,武学奇术!$A:$ZZ,8,FALSE)+SUM(_xlfn.XLOOKUP(S133:AG133,增益!$A:$A,增益!$H:$H,0))</f>
        <v>0</v>
      </c>
      <c r="AT133">
        <f t="shared" si="23"/>
        <v>538</v>
      </c>
      <c r="AU133">
        <f t="shared" si="24"/>
        <v>1011</v>
      </c>
      <c r="AV133" s="29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</v>
      </c>
      <c r="AW133" s="29" cm="1">
        <f t="array" ref="AW133">$G$11+VLOOKUP($R133,武学奇术!$A:$ZZ,10,FALSE)+SUM(_xlfn.XLOOKUP(S133:AG133,增益!$A:$A,增益!$J:$J,0))</f>
        <v>0.15</v>
      </c>
      <c r="AX133">
        <f t="shared" si="25"/>
        <v>0</v>
      </c>
      <c r="AY133">
        <f t="shared" si="26"/>
        <v>0</v>
      </c>
      <c r="AZ133" s="29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-0.3</v>
      </c>
      <c r="BA133" s="29" cm="1">
        <f t="array" ref="BA133">$G$12+VLOOKUP($R133,武学奇术!$A:$ZZ,12,FALSE)+SUM(_xlfn.XLOOKUP(S133:AG133,增益!$A:$A,增益!$L:$L,0))</f>
        <v>0</v>
      </c>
      <c r="BB133">
        <f t="shared" si="27"/>
        <v>0</v>
      </c>
      <c r="BC133">
        <f t="shared" si="28"/>
        <v>0</v>
      </c>
      <c r="BD133" s="29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-0.3</v>
      </c>
      <c r="BE133" s="29" cm="1">
        <f t="array" ref="BE133">$G$13+VLOOKUP($R133,武学奇术!$A:$ZZ,14,FALSE)+SUM(_xlfn.XLOOKUP(S133:AG133,增益!$A:$A,增益!$N:$N,0))</f>
        <v>0</v>
      </c>
      <c r="BF133">
        <f t="shared" si="29"/>
        <v>0</v>
      </c>
      <c r="BG133">
        <f t="shared" si="30"/>
        <v>0</v>
      </c>
      <c r="BH133" s="29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-0.3</v>
      </c>
      <c r="BI133" s="29" cm="1">
        <f t="array" ref="BI133">$G$14+VLOOKUP($R133,武学奇术!$A:$ZZ,16,FALSE)+SUM(_xlfn.XLOOKUP(S133:AG133,增益!$A:$A,增益!$P:$P,0))</f>
        <v>0</v>
      </c>
      <c r="BJ133" s="20">
        <f>MIN(IF(VLOOKUP($R133,武学奇术!$A:$ZZ,23,FALSE)=1,100%,$B$8),100%)</f>
        <v>0.8271</v>
      </c>
      <c r="BK133" s="20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0.2249</v>
      </c>
      <c r="BL133" s="20" cm="1">
        <f t="array" ref="BL133">1+$B$13+VLOOKUP($R133,武学奇术!$A:$ZZ,18,FALSE)+SUM(_xlfn.XLOOKUP(S133:AG133,增益!$A:$A,增益!$R:$R,0))</f>
        <v>1.5</v>
      </c>
      <c r="BM133" s="20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0.4159</v>
      </c>
      <c r="BN133" s="20" cm="1">
        <f t="array" ref="BN133">1+$B$14+VLOOKUP($R133,武学奇术!$A:$ZZ,20,FALSE)+SUM(_xlfn.XLOOKUP(S133:AG133,增益!$A:$A,增益!$T:$T,0))</f>
        <v>1.602</v>
      </c>
      <c r="BO133" s="20">
        <f t="shared" si="31"/>
        <v>0.18601479</v>
      </c>
      <c r="BP133" s="20">
        <f t="shared" si="32"/>
        <v>0.29709432</v>
      </c>
      <c r="BQ133" s="20">
        <f>IF(VLOOKUP($R133,武学奇术!$A:$ZZ,22,FALSE)=1,0,(1-$BJ133))*(1-$BM133)</f>
        <v>0.10099089</v>
      </c>
      <c r="BR133" s="20" cm="1">
        <f t="array" ref="BR133">SUM(_xlfn.XLOOKUP(S133:AG133,增益!$A:$A,增益!$W:$W,0))+$I$5</f>
        <v>0.11</v>
      </c>
    </row>
    <row r="134" spans="11:70">
      <c r="K134" s="27">
        <f>$L134*VLOOKUP($R134,武学奇术!$A:$ZZ,31,FALSE)</f>
        <v>6108.53888051894</v>
      </c>
      <c r="L134" s="27">
        <f t="shared" si="22"/>
        <v>10180.8981341982</v>
      </c>
      <c r="M134" s="27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9263.658399671</v>
      </c>
      <c r="N134" s="27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15234.223283518</v>
      </c>
      <c r="O134" s="27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6175.77226644733</v>
      </c>
      <c r="P134" s="27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2842.04185903822</v>
      </c>
      <c r="Q134" s="35">
        <v>2</v>
      </c>
      <c r="R134" s="36" t="s">
        <v>159</v>
      </c>
      <c r="S134" s="36" t="s">
        <v>71</v>
      </c>
      <c r="T134" s="36" t="s">
        <v>71</v>
      </c>
      <c r="U134" s="36" t="s">
        <v>161</v>
      </c>
      <c r="V134" s="36" t="s">
        <v>71</v>
      </c>
      <c r="W134" s="36" t="s">
        <v>71</v>
      </c>
      <c r="X134" s="36" t="s">
        <v>71</v>
      </c>
      <c r="Y134" s="36" t="s">
        <v>71</v>
      </c>
      <c r="Z134" s="36" t="s">
        <v>71</v>
      </c>
      <c r="AA134" s="36" t="s">
        <v>71</v>
      </c>
      <c r="AB134" s="36" t="s">
        <v>71</v>
      </c>
      <c r="AC134" s="36" t="s">
        <v>71</v>
      </c>
      <c r="AD134" s="36" t="s">
        <v>72</v>
      </c>
      <c r="AE134" s="36" t="s">
        <v>73</v>
      </c>
      <c r="AF134" s="36" t="s">
        <v>83</v>
      </c>
      <c r="AG134" s="36" t="s">
        <v>89</v>
      </c>
      <c r="AH134" t="str">
        <f>VLOOKUP($R134,武学奇术!$A:$ZZ,25,FALSE)</f>
        <v>单体奇术</v>
      </c>
      <c r="AI134" s="20">
        <f>VLOOKUP($R134,武学奇术!$A:$ZZ,26,FALSE)</f>
        <v>0.236</v>
      </c>
      <c r="AJ134" s="21">
        <f>VLOOKUP($R134,武学奇术!$A:$ZZ,27,FALSE)*(1+IF(OR($AH134=$F$4,$AH134=$F$5),$B$22,0))</f>
        <v>44</v>
      </c>
      <c r="AK134" s="20">
        <f>VLOOKUP($R134,武学奇术!$A:$ZZ,28,FALSE)</f>
        <v>0.354</v>
      </c>
      <c r="AL134" s="21">
        <f>VLOOKUP($R134,武学奇术!$A:$ZZ,29,FALSE)*(1+IF(OR($AH134=$F$4,$AH134=$F$5),$B$22,0))</f>
        <v>0</v>
      </c>
      <c r="AM134" s="20" cm="1">
        <f t="array" ref="AM134">$G$3+IFERROR(VLOOKUP($AH134,$F$4:$G$7,2,FALSE),0)+VLOOKUP($R134,武学奇术!$A:$ZZ,2,FALSE)+SUM(_xlfn.XLOOKUP($S134:$AG134,增益!$A:$A,增益!$B:$B,0))</f>
        <v>0.8015</v>
      </c>
      <c r="AN134" s="20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1517.52</v>
      </c>
      <c r="AP134" cm="1">
        <f t="array" ref="AP134">$E$10*(1+$AN134)+VLOOKUP($R134,武学奇术!$A:$ZZ,4,FALSE)+SUM(_xlfn.XLOOKUP($S134:$AG134,增益!$A:$A,增益!$D:$D,0))-$I$2</f>
        <v>6628.56</v>
      </c>
      <c r="AQ134" s="29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0.2225</v>
      </c>
      <c r="AR134" s="29" cm="1">
        <f t="array" ref="AR134">$G$10+VLOOKUP($R134,武学奇术!$A:$ZZ,7,FALSE)+SUM(_xlfn.XLOOKUP(S134:AG134,增益!$A:$A,增益!$G:$G,0))</f>
        <v>0</v>
      </c>
      <c r="AS134" s="20" cm="1">
        <f t="array" ref="AS134">VLOOKUP($R134,武学奇术!$A:$ZZ,8,FALSE)+SUM(_xlfn.XLOOKUP(S134:AG134,增益!$A:$A,增益!$H:$H,0))</f>
        <v>0</v>
      </c>
      <c r="AT134">
        <f t="shared" si="23"/>
        <v>538</v>
      </c>
      <c r="AU134">
        <f t="shared" si="24"/>
        <v>1011</v>
      </c>
      <c r="AV134" s="29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</v>
      </c>
      <c r="AW134" s="29" cm="1">
        <f t="array" ref="AW134">$G$11+VLOOKUP($R134,武学奇术!$A:$ZZ,10,FALSE)+SUM(_xlfn.XLOOKUP(S134:AG134,增益!$A:$A,增益!$J:$J,0))</f>
        <v>0.15</v>
      </c>
      <c r="AX134">
        <f t="shared" si="25"/>
        <v>0</v>
      </c>
      <c r="AY134">
        <f t="shared" si="26"/>
        <v>0</v>
      </c>
      <c r="AZ134" s="29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-0.3</v>
      </c>
      <c r="BA134" s="29" cm="1">
        <f t="array" ref="BA134">$G$12+VLOOKUP($R134,武学奇术!$A:$ZZ,12,FALSE)+SUM(_xlfn.XLOOKUP(S134:AG134,增益!$A:$A,增益!$L:$L,0))</f>
        <v>0</v>
      </c>
      <c r="BB134">
        <f t="shared" si="27"/>
        <v>0</v>
      </c>
      <c r="BC134">
        <f t="shared" si="28"/>
        <v>0</v>
      </c>
      <c r="BD134" s="29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-0.3</v>
      </c>
      <c r="BE134" s="29" cm="1">
        <f t="array" ref="BE134">$G$13+VLOOKUP($R134,武学奇术!$A:$ZZ,14,FALSE)+SUM(_xlfn.XLOOKUP(S134:AG134,增益!$A:$A,增益!$N:$N,0))</f>
        <v>0</v>
      </c>
      <c r="BF134">
        <f t="shared" si="29"/>
        <v>0</v>
      </c>
      <c r="BG134">
        <f t="shared" si="30"/>
        <v>0</v>
      </c>
      <c r="BH134" s="29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-0.3</v>
      </c>
      <c r="BI134" s="29" cm="1">
        <f t="array" ref="BI134">$G$14+VLOOKUP($R134,武学奇术!$A:$ZZ,16,FALSE)+SUM(_xlfn.XLOOKUP(S134:AG134,增益!$A:$A,增益!$P:$P,0))</f>
        <v>0</v>
      </c>
      <c r="BJ134" s="20">
        <f>MIN(IF(VLOOKUP($R134,武学奇术!$A:$ZZ,23,FALSE)=1,100%,$B$8),100%)</f>
        <v>0.8271</v>
      </c>
      <c r="BK134" s="20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0.2249</v>
      </c>
      <c r="BL134" s="20" cm="1">
        <f t="array" ref="BL134">1+$B$13+VLOOKUP($R134,武学奇术!$A:$ZZ,18,FALSE)+SUM(_xlfn.XLOOKUP(S134:AG134,增益!$A:$A,增益!$R:$R,0))</f>
        <v>1.5</v>
      </c>
      <c r="BM134" s="20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0.4159</v>
      </c>
      <c r="BN134" s="20" cm="1">
        <f t="array" ref="BN134">1+$B$14+VLOOKUP($R134,武学奇术!$A:$ZZ,20,FALSE)+SUM(_xlfn.XLOOKUP(S134:AG134,增益!$A:$A,增益!$T:$T,0))</f>
        <v>1.602</v>
      </c>
      <c r="BO134" s="20">
        <f t="shared" si="31"/>
        <v>0.18601479</v>
      </c>
      <c r="BP134" s="20">
        <f t="shared" si="32"/>
        <v>0.29709432</v>
      </c>
      <c r="BQ134" s="20">
        <f>IF(VLOOKUP($R134,武学奇术!$A:$ZZ,22,FALSE)=1,0,(1-$BJ134))*(1-$BM134)</f>
        <v>0.10099089</v>
      </c>
      <c r="BR134" s="20" cm="1">
        <f t="array" ref="BR134">SUM(_xlfn.XLOOKUP(S134:AG134,增益!$A:$A,增益!$W:$W,0))+$I$5</f>
        <v>0.11</v>
      </c>
    </row>
    <row r="135" spans="11:70">
      <c r="K135" s="27">
        <f>$L135*VLOOKUP($R135,武学奇术!$A:$ZZ,31,FALSE)</f>
        <v>8437.67308278383</v>
      </c>
      <c r="L135" s="27">
        <f t="shared" si="22"/>
        <v>14062.7884713064</v>
      </c>
      <c r="M135" s="27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11911.887140071</v>
      </c>
      <c r="N135" s="27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20934.3559034739</v>
      </c>
      <c r="O135" s="27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7941.25809338065</v>
      </c>
      <c r="P135" s="27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3654.50456090038</v>
      </c>
      <c r="Q135" s="35">
        <v>2</v>
      </c>
      <c r="R135" s="36" t="s">
        <v>159</v>
      </c>
      <c r="S135" s="36" t="s">
        <v>71</v>
      </c>
      <c r="T135" s="36" t="s">
        <v>99</v>
      </c>
      <c r="U135" s="36" t="s">
        <v>100</v>
      </c>
      <c r="V135" s="36" t="s">
        <v>71</v>
      </c>
      <c r="W135" s="36" t="s">
        <v>71</v>
      </c>
      <c r="X135" s="36" t="s">
        <v>71</v>
      </c>
      <c r="Y135" s="36" t="s">
        <v>71</v>
      </c>
      <c r="Z135" s="36" t="s">
        <v>71</v>
      </c>
      <c r="AA135" s="36" t="s">
        <v>71</v>
      </c>
      <c r="AB135" s="36" t="s">
        <v>71</v>
      </c>
      <c r="AC135" s="36" t="s">
        <v>71</v>
      </c>
      <c r="AD135" s="36" t="s">
        <v>72</v>
      </c>
      <c r="AE135" s="36" t="s">
        <v>94</v>
      </c>
      <c r="AF135" s="36" t="s">
        <v>95</v>
      </c>
      <c r="AG135" s="36" t="s">
        <v>89</v>
      </c>
      <c r="AH135" t="str">
        <f>VLOOKUP($R135,武学奇术!$A:$ZZ,25,FALSE)</f>
        <v>单体奇术</v>
      </c>
      <c r="AI135" s="20">
        <f>VLOOKUP($R135,武学奇术!$A:$ZZ,26,FALSE)</f>
        <v>0.236</v>
      </c>
      <c r="AJ135" s="21">
        <f>VLOOKUP($R135,武学奇术!$A:$ZZ,27,FALSE)*(1+IF(OR($AH135=$F$4,$AH135=$F$5),$B$22,0))</f>
        <v>44</v>
      </c>
      <c r="AK135" s="20">
        <f>VLOOKUP($R135,武学奇术!$A:$ZZ,28,FALSE)</f>
        <v>0.354</v>
      </c>
      <c r="AL135" s="21">
        <f>VLOOKUP($R135,武学奇术!$A:$ZZ,29,FALSE)*(1+IF(OR($AH135=$F$4,$AH135=$F$5),$B$22,0))</f>
        <v>0</v>
      </c>
      <c r="AM135" s="20" cm="1">
        <f t="array" ref="AM135">$G$3+IFERROR(VLOOKUP($AH135,$F$4:$G$7,2,FALSE),0)+VLOOKUP($R135,武学奇术!$A:$ZZ,2,FALSE)+SUM(_xlfn.XLOOKUP($S135:$AG135,增益!$A:$A,增益!$B:$B,0))</f>
        <v>1.3165</v>
      </c>
      <c r="AN135" s="20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1517.52</v>
      </c>
      <c r="AP135" cm="1">
        <f t="array" ref="AP135">$E$10*(1+$AN135)+VLOOKUP($R135,武学奇术!$A:$ZZ,4,FALSE)+SUM(_xlfn.XLOOKUP($S135:$AG135,增益!$A:$A,增益!$D:$D,0))-$I$2</f>
        <v>6628.56</v>
      </c>
      <c r="AQ135" s="29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0.2225</v>
      </c>
      <c r="AR135" s="29" cm="1">
        <f t="array" ref="AR135">$G$10+VLOOKUP($R135,武学奇术!$A:$ZZ,7,FALSE)+SUM(_xlfn.XLOOKUP(S135:AG135,增益!$A:$A,增益!$G:$G,0))</f>
        <v>0</v>
      </c>
      <c r="AS135" s="20" cm="1">
        <f t="array" ref="AS135">VLOOKUP($R135,武学奇术!$A:$ZZ,8,FALSE)+SUM(_xlfn.XLOOKUP(S135:AG135,增益!$A:$A,增益!$H:$H,0))</f>
        <v>0</v>
      </c>
      <c r="AT135">
        <f t="shared" si="23"/>
        <v>538</v>
      </c>
      <c r="AU135">
        <f t="shared" si="24"/>
        <v>1011</v>
      </c>
      <c r="AV135" s="29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</v>
      </c>
      <c r="AW135" s="29" cm="1">
        <f t="array" ref="AW135">$G$11+VLOOKUP($R135,武学奇术!$A:$ZZ,10,FALSE)+SUM(_xlfn.XLOOKUP(S135:AG135,增益!$A:$A,增益!$J:$J,0))</f>
        <v>0.15</v>
      </c>
      <c r="AX135">
        <f t="shared" si="25"/>
        <v>0</v>
      </c>
      <c r="AY135">
        <f t="shared" si="26"/>
        <v>0</v>
      </c>
      <c r="AZ135" s="29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29" cm="1">
        <f t="array" ref="BA135">$G$12+VLOOKUP($R135,武学奇术!$A:$ZZ,12,FALSE)+SUM(_xlfn.XLOOKUP(S135:AG135,增益!$A:$A,增益!$L:$L,0))</f>
        <v>0</v>
      </c>
      <c r="BB135">
        <f t="shared" si="27"/>
        <v>0</v>
      </c>
      <c r="BC135">
        <f t="shared" si="28"/>
        <v>0</v>
      </c>
      <c r="BD135" s="29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29" cm="1">
        <f t="array" ref="BE135">$G$13+VLOOKUP($R135,武学奇术!$A:$ZZ,14,FALSE)+SUM(_xlfn.XLOOKUP(S135:AG135,增益!$A:$A,增益!$N:$N,0))</f>
        <v>0</v>
      </c>
      <c r="BF135">
        <f t="shared" si="29"/>
        <v>0</v>
      </c>
      <c r="BG135">
        <f t="shared" si="30"/>
        <v>0</v>
      </c>
      <c r="BH135" s="29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-0.3</v>
      </c>
      <c r="BI135" s="29" cm="1">
        <f t="array" ref="BI135">$G$14+VLOOKUP($R135,武学奇术!$A:$ZZ,16,FALSE)+SUM(_xlfn.XLOOKUP(S135:AG135,增益!$A:$A,增益!$P:$P,0))</f>
        <v>0</v>
      </c>
      <c r="BJ135" s="20">
        <f>MIN(IF(VLOOKUP($R135,武学奇术!$A:$ZZ,23,FALSE)=1,100%,$B$8),100%)</f>
        <v>0.8271</v>
      </c>
      <c r="BK135" s="20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0.2249</v>
      </c>
      <c r="BL135" s="20" cm="1">
        <f t="array" ref="BL135">1+$B$13+VLOOKUP($R135,武学奇术!$A:$ZZ,18,FALSE)+SUM(_xlfn.XLOOKUP(S135:AG135,增益!$A:$A,增益!$R:$R,0))</f>
        <v>1.5</v>
      </c>
      <c r="BM135" s="20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0.4459</v>
      </c>
      <c r="BN135" s="20" cm="1">
        <f t="array" ref="BN135">1+$B$14+VLOOKUP($R135,武学奇术!$A:$ZZ,20,FALSE)+SUM(_xlfn.XLOOKUP(S135:AG135,增益!$A:$A,增益!$T:$T,0))</f>
        <v>1.712</v>
      </c>
      <c r="BO135" s="20">
        <f t="shared" si="31"/>
        <v>0.18601479</v>
      </c>
      <c r="BP135" s="20">
        <f t="shared" si="32"/>
        <v>0.27228132</v>
      </c>
      <c r="BQ135" s="20">
        <f>IF(VLOOKUP($R135,武学奇术!$A:$ZZ,22,FALSE)=1,0,(1-$BJ135))*(1-$BM135)</f>
        <v>0.09580389</v>
      </c>
      <c r="BR135" s="20" cm="1">
        <f t="array" ref="BR135">SUM(_xlfn.XLOOKUP(S135:AG135,增益!$A:$A,增益!$W:$W,0))+$I$5</f>
        <v>0.11</v>
      </c>
    </row>
    <row r="136" spans="11:70">
      <c r="K136" s="27">
        <f>$L136*VLOOKUP($R136,武学奇术!$A:$ZZ,31,FALSE)</f>
        <v>8530.51253459679</v>
      </c>
      <c r="L136" s="27">
        <f t="shared" si="22"/>
        <v>14217.5208909947</v>
      </c>
      <c r="M136" s="27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12041.1872646688</v>
      </c>
      <c r="N136" s="27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21166.9390072267</v>
      </c>
      <c r="O136" s="27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8027.45817644589</v>
      </c>
      <c r="P136" s="27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3691.05011035279</v>
      </c>
      <c r="Q136" s="35">
        <v>2</v>
      </c>
      <c r="R136" s="36" t="s">
        <v>159</v>
      </c>
      <c r="S136" s="36" t="s">
        <v>71</v>
      </c>
      <c r="T136" s="36" t="s">
        <v>99</v>
      </c>
      <c r="U136" s="36" t="s">
        <v>100</v>
      </c>
      <c r="V136" s="36" t="s">
        <v>71</v>
      </c>
      <c r="W136" s="36" t="s">
        <v>71</v>
      </c>
      <c r="X136" s="36" t="s">
        <v>71</v>
      </c>
      <c r="Y136" s="36" t="s">
        <v>71</v>
      </c>
      <c r="Z136" s="36" t="s">
        <v>71</v>
      </c>
      <c r="AA136" s="36" t="s">
        <v>71</v>
      </c>
      <c r="AB136" s="36" t="s">
        <v>71</v>
      </c>
      <c r="AC136" s="36" t="s">
        <v>71</v>
      </c>
      <c r="AD136" s="36" t="s">
        <v>72</v>
      </c>
      <c r="AE136" s="36" t="s">
        <v>94</v>
      </c>
      <c r="AF136" s="36" t="s">
        <v>95</v>
      </c>
      <c r="AG136" s="36" t="s">
        <v>112</v>
      </c>
      <c r="AH136" t="str">
        <f>VLOOKUP($R136,武学奇术!$A:$ZZ,25,FALSE)</f>
        <v>单体奇术</v>
      </c>
      <c r="AI136" s="20">
        <f>VLOOKUP($R136,武学奇术!$A:$ZZ,26,FALSE)</f>
        <v>0.236</v>
      </c>
      <c r="AJ136" s="21">
        <f>VLOOKUP($R136,武学奇术!$A:$ZZ,27,FALSE)*(1+IF(OR($AH136=$F$4,$AH136=$F$5),$B$22,0))</f>
        <v>44</v>
      </c>
      <c r="AK136" s="20">
        <f>VLOOKUP($R136,武学奇术!$A:$ZZ,28,FALSE)</f>
        <v>0.354</v>
      </c>
      <c r="AL136" s="21">
        <f>VLOOKUP($R136,武学奇术!$A:$ZZ,29,FALSE)*(1+IF(OR($AH136=$F$4,$AH136=$F$5),$B$22,0))</f>
        <v>0</v>
      </c>
      <c r="AM136" s="20" cm="1">
        <f t="array" ref="AM136">$G$3+IFERROR(VLOOKUP($AH136,$F$4:$G$7,2,FALSE),0)+VLOOKUP($R136,武学奇术!$A:$ZZ,2,FALSE)+SUM(_xlfn.XLOOKUP($S136:$AG136,增益!$A:$A,增益!$B:$B,0))</f>
        <v>1.3265</v>
      </c>
      <c r="AN136" s="20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1517.52</v>
      </c>
      <c r="AP136" cm="1">
        <f t="array" ref="AP136">$E$10*(1+$AN136)+VLOOKUP($R136,武学奇术!$A:$ZZ,4,FALSE)+SUM(_xlfn.XLOOKUP($S136:$AG136,增益!$A:$A,增益!$D:$D,0))-$I$2</f>
        <v>6628.56</v>
      </c>
      <c r="AQ136" s="29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0.2325</v>
      </c>
      <c r="AR136" s="29" cm="1">
        <f t="array" ref="AR136">$G$10+VLOOKUP($R136,武学奇术!$A:$ZZ,7,FALSE)+SUM(_xlfn.XLOOKUP(S136:AG136,增益!$A:$A,增益!$G:$G,0))</f>
        <v>0</v>
      </c>
      <c r="AS136" s="20" cm="1">
        <f t="array" ref="AS136">VLOOKUP($R136,武学奇术!$A:$ZZ,8,FALSE)+SUM(_xlfn.XLOOKUP(S136:AG136,增益!$A:$A,增益!$H:$H,0))</f>
        <v>0</v>
      </c>
      <c r="AT136">
        <f t="shared" si="23"/>
        <v>538</v>
      </c>
      <c r="AU136">
        <f t="shared" si="24"/>
        <v>1011</v>
      </c>
      <c r="AV136" s="29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0</v>
      </c>
      <c r="AW136" s="29" cm="1">
        <f t="array" ref="AW136">$G$11+VLOOKUP($R136,武学奇术!$A:$ZZ,10,FALSE)+SUM(_xlfn.XLOOKUP(S136:AG136,增益!$A:$A,增益!$J:$J,0))</f>
        <v>0.15</v>
      </c>
      <c r="AX136">
        <f t="shared" si="25"/>
        <v>0</v>
      </c>
      <c r="AY136">
        <f t="shared" si="26"/>
        <v>0</v>
      </c>
      <c r="AZ136" s="29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-0.3</v>
      </c>
      <c r="BA136" s="29" cm="1">
        <f t="array" ref="BA136">$G$12+VLOOKUP($R136,武学奇术!$A:$ZZ,12,FALSE)+SUM(_xlfn.XLOOKUP(S136:AG136,增益!$A:$A,增益!$L:$L,0))</f>
        <v>0</v>
      </c>
      <c r="BB136">
        <f t="shared" si="27"/>
        <v>0</v>
      </c>
      <c r="BC136">
        <f t="shared" si="28"/>
        <v>0</v>
      </c>
      <c r="BD136" s="29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-0.3</v>
      </c>
      <c r="BE136" s="29" cm="1">
        <f t="array" ref="BE136">$G$13+VLOOKUP($R136,武学奇术!$A:$ZZ,14,FALSE)+SUM(_xlfn.XLOOKUP(S136:AG136,增益!$A:$A,增益!$N:$N,0))</f>
        <v>0</v>
      </c>
      <c r="BF136">
        <f t="shared" si="29"/>
        <v>0</v>
      </c>
      <c r="BG136">
        <f t="shared" si="30"/>
        <v>0</v>
      </c>
      <c r="BH136" s="29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-0.3</v>
      </c>
      <c r="BI136" s="29" cm="1">
        <f t="array" ref="BI136">$G$14+VLOOKUP($R136,武学奇术!$A:$ZZ,16,FALSE)+SUM(_xlfn.XLOOKUP(S136:AG136,增益!$A:$A,增益!$P:$P,0))</f>
        <v>0</v>
      </c>
      <c r="BJ136" s="20">
        <f>MIN(IF(VLOOKUP($R136,武学奇术!$A:$ZZ,23,FALSE)=1,100%,$B$8),100%)</f>
        <v>0.8271</v>
      </c>
      <c r="BK136" s="20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0.2249</v>
      </c>
      <c r="BL136" s="20" cm="1">
        <f t="array" ref="BL136">1+$B$13+VLOOKUP($R136,武学奇术!$A:$ZZ,18,FALSE)+SUM(_xlfn.XLOOKUP(S136:AG136,增益!$A:$A,增益!$R:$R,0))</f>
        <v>1.5</v>
      </c>
      <c r="BM136" s="20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0.4459</v>
      </c>
      <c r="BN136" s="20" cm="1">
        <f t="array" ref="BN136">1+$B$14+VLOOKUP($R136,武学奇术!$A:$ZZ,20,FALSE)+SUM(_xlfn.XLOOKUP(S136:AG136,增益!$A:$A,增益!$T:$T,0))</f>
        <v>1.712</v>
      </c>
      <c r="BO136" s="20">
        <f t="shared" si="31"/>
        <v>0.18601479</v>
      </c>
      <c r="BP136" s="20">
        <f t="shared" si="32"/>
        <v>0.27228132</v>
      </c>
      <c r="BQ136" s="20">
        <f>IF(VLOOKUP($R136,武学奇术!$A:$ZZ,22,FALSE)=1,0,(1-$BJ136))*(1-$BM136)</f>
        <v>0.09580389</v>
      </c>
      <c r="BR136" s="20" cm="1">
        <f t="array" ref="BR136">SUM(_xlfn.XLOOKUP(S136:AG136,增益!$A:$A,增益!$W:$W,0))+$I$5</f>
        <v>0.11</v>
      </c>
    </row>
    <row r="137" spans="11:70">
      <c r="K137" s="27">
        <f>$L137*VLOOKUP($R137,武学奇术!$A:$ZZ,31,FALSE)</f>
        <v>8569.92534119039</v>
      </c>
      <c r="L137" s="27">
        <f t="shared" si="22"/>
        <v>14283.208901984</v>
      </c>
      <c r="M137" s="27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12111.0439404165</v>
      </c>
      <c r="N137" s="27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21246.6687598134</v>
      </c>
      <c r="O137" s="27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8074.02929361098</v>
      </c>
      <c r="P137" s="27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3737.62122751789</v>
      </c>
      <c r="Q137" s="35">
        <v>2</v>
      </c>
      <c r="R137" s="36" t="s">
        <v>159</v>
      </c>
      <c r="S137" s="36" t="s">
        <v>71</v>
      </c>
      <c r="T137" s="36" t="s">
        <v>99</v>
      </c>
      <c r="U137" s="36" t="s">
        <v>100</v>
      </c>
      <c r="V137" s="36" t="s">
        <v>71</v>
      </c>
      <c r="W137" s="36" t="s">
        <v>111</v>
      </c>
      <c r="X137" s="36" t="s">
        <v>71</v>
      </c>
      <c r="Y137" s="36" t="s">
        <v>71</v>
      </c>
      <c r="Z137" s="36" t="s">
        <v>71</v>
      </c>
      <c r="AA137" s="36" t="s">
        <v>71</v>
      </c>
      <c r="AB137" s="36" t="s">
        <v>71</v>
      </c>
      <c r="AC137" s="36" t="s">
        <v>71</v>
      </c>
      <c r="AD137" s="36" t="s">
        <v>72</v>
      </c>
      <c r="AE137" s="36" t="s">
        <v>94</v>
      </c>
      <c r="AF137" s="36" t="s">
        <v>95</v>
      </c>
      <c r="AG137" s="36" t="s">
        <v>112</v>
      </c>
      <c r="AH137" t="str">
        <f>VLOOKUP($R137,武学奇术!$A:$ZZ,25,FALSE)</f>
        <v>单体奇术</v>
      </c>
      <c r="AI137" s="20">
        <f>VLOOKUP($R137,武学奇术!$A:$ZZ,26,FALSE)</f>
        <v>0.236</v>
      </c>
      <c r="AJ137" s="21">
        <f>VLOOKUP($R137,武学奇术!$A:$ZZ,27,FALSE)*(1+IF(OR($AH137=$F$4,$AH137=$F$5),$B$22,0))</f>
        <v>44</v>
      </c>
      <c r="AK137" s="20">
        <f>VLOOKUP($R137,武学奇术!$A:$ZZ,28,FALSE)</f>
        <v>0.354</v>
      </c>
      <c r="AL137" s="21">
        <f>VLOOKUP($R137,武学奇术!$A:$ZZ,29,FALSE)*(1+IF(OR($AH137=$F$4,$AH137=$F$5),$B$22,0))</f>
        <v>0</v>
      </c>
      <c r="AM137" s="20" cm="1">
        <f t="array" ref="AM137">$G$3+IFERROR(VLOOKUP($AH137,$F$4:$G$7,2,FALSE),0)+VLOOKUP($R137,武学奇术!$A:$ZZ,2,FALSE)+SUM(_xlfn.XLOOKUP($S137:$AG137,增益!$A:$A,增益!$B:$B,0))</f>
        <v>1.3265</v>
      </c>
      <c r="AN137" s="20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1548.52</v>
      </c>
      <c r="AP137" cm="1">
        <f t="array" ref="AP137">$E$10*(1+$AN137)+VLOOKUP($R137,武学奇术!$A:$ZZ,4,FALSE)+SUM(_xlfn.XLOOKUP($S137:$AG137,增益!$A:$A,增益!$D:$D,0))-$I$2</f>
        <v>6659.56</v>
      </c>
      <c r="AQ137" s="29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0.2325</v>
      </c>
      <c r="AR137" s="29" cm="1">
        <f t="array" ref="AR137">$G$10+VLOOKUP($R137,武学奇术!$A:$ZZ,7,FALSE)+SUM(_xlfn.XLOOKUP(S137:AG137,增益!$A:$A,增益!$G:$G,0))</f>
        <v>0</v>
      </c>
      <c r="AS137" s="20" cm="1">
        <f t="array" ref="AS137">VLOOKUP($R137,武学奇术!$A:$ZZ,8,FALSE)+SUM(_xlfn.XLOOKUP(S137:AG137,增益!$A:$A,增益!$H:$H,0))</f>
        <v>0</v>
      </c>
      <c r="AT137">
        <f t="shared" si="23"/>
        <v>538</v>
      </c>
      <c r="AU137">
        <f t="shared" si="24"/>
        <v>1011</v>
      </c>
      <c r="AV137" s="29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0</v>
      </c>
      <c r="AW137" s="29" cm="1">
        <f t="array" ref="AW137">$G$11+VLOOKUP($R137,武学奇术!$A:$ZZ,10,FALSE)+SUM(_xlfn.XLOOKUP(S137:AG137,增益!$A:$A,增益!$J:$J,0))</f>
        <v>0.15</v>
      </c>
      <c r="AX137">
        <f t="shared" si="25"/>
        <v>0</v>
      </c>
      <c r="AY137">
        <f t="shared" si="26"/>
        <v>0</v>
      </c>
      <c r="AZ137" s="29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-0.3</v>
      </c>
      <c r="BA137" s="29" cm="1">
        <f t="array" ref="BA137">$G$12+VLOOKUP($R137,武学奇术!$A:$ZZ,12,FALSE)+SUM(_xlfn.XLOOKUP(S137:AG137,增益!$A:$A,增益!$L:$L,0))</f>
        <v>0</v>
      </c>
      <c r="BB137">
        <f t="shared" si="27"/>
        <v>0</v>
      </c>
      <c r="BC137">
        <f t="shared" si="28"/>
        <v>0</v>
      </c>
      <c r="BD137" s="29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-0.3</v>
      </c>
      <c r="BE137" s="29" cm="1">
        <f t="array" ref="BE137">$G$13+VLOOKUP($R137,武学奇术!$A:$ZZ,14,FALSE)+SUM(_xlfn.XLOOKUP(S137:AG137,增益!$A:$A,增益!$N:$N,0))</f>
        <v>0</v>
      </c>
      <c r="BF137">
        <f t="shared" si="29"/>
        <v>0</v>
      </c>
      <c r="BG137">
        <f t="shared" si="30"/>
        <v>0</v>
      </c>
      <c r="BH137" s="29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-0.3</v>
      </c>
      <c r="BI137" s="29" cm="1">
        <f t="array" ref="BI137">$G$14+VLOOKUP($R137,武学奇术!$A:$ZZ,16,FALSE)+SUM(_xlfn.XLOOKUP(S137:AG137,增益!$A:$A,增益!$P:$P,0))</f>
        <v>0</v>
      </c>
      <c r="BJ137" s="20">
        <f>MIN(IF(VLOOKUP($R137,武学奇术!$A:$ZZ,23,FALSE)=1,100%,$B$8),100%)</f>
        <v>0.8271</v>
      </c>
      <c r="BK137" s="20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0.2249</v>
      </c>
      <c r="BL137" s="20" cm="1">
        <f t="array" ref="BL137">1+$B$13+VLOOKUP($R137,武学奇术!$A:$ZZ,18,FALSE)+SUM(_xlfn.XLOOKUP(S137:AG137,增益!$A:$A,增益!$R:$R,0))</f>
        <v>1.5</v>
      </c>
      <c r="BM137" s="20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0.4459</v>
      </c>
      <c r="BN137" s="20" cm="1">
        <f t="array" ref="BN137">1+$B$14+VLOOKUP($R137,武学奇术!$A:$ZZ,20,FALSE)+SUM(_xlfn.XLOOKUP(S137:AG137,增益!$A:$A,增益!$T:$T,0))</f>
        <v>1.712</v>
      </c>
      <c r="BO137" s="20">
        <f t="shared" si="31"/>
        <v>0.18601479</v>
      </c>
      <c r="BP137" s="20">
        <f t="shared" si="32"/>
        <v>0.27228132</v>
      </c>
      <c r="BQ137" s="20">
        <f>IF(VLOOKUP($R137,武学奇术!$A:$ZZ,22,FALSE)=1,0,(1-$BJ137))*(1-$BM137)</f>
        <v>0.09580389</v>
      </c>
      <c r="BR137" s="20" cm="1">
        <f t="array" ref="BR137">SUM(_xlfn.XLOOKUP(S137:AG137,增益!$A:$A,增益!$W:$W,0))+$I$5</f>
        <v>0.11</v>
      </c>
    </row>
    <row r="138" spans="11:70">
      <c r="K138" s="27">
        <f>$L138*VLOOKUP($R138,武学奇术!$A:$ZZ,31,FALSE)</f>
        <v>26091.9304357431</v>
      </c>
      <c r="L138" s="27">
        <f t="shared" si="22"/>
        <v>43486.5507262384</v>
      </c>
      <c r="M138" s="27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36725.6491287677</v>
      </c>
      <c r="N138" s="27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64820.8279290273</v>
      </c>
      <c r="O138" s="27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24483.7660858451</v>
      </c>
      <c r="P138" s="27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11324.7749539044</v>
      </c>
      <c r="Q138" s="35">
        <v>6</v>
      </c>
      <c r="R138" s="36" t="s">
        <v>159</v>
      </c>
      <c r="S138" s="36" t="s">
        <v>71</v>
      </c>
      <c r="T138" s="36" t="s">
        <v>99</v>
      </c>
      <c r="U138" s="36" t="s">
        <v>100</v>
      </c>
      <c r="V138" s="36" t="s">
        <v>71</v>
      </c>
      <c r="W138" s="36" t="s">
        <v>111</v>
      </c>
      <c r="X138" s="36" t="s">
        <v>71</v>
      </c>
      <c r="Y138" s="36" t="s">
        <v>71</v>
      </c>
      <c r="Z138" s="36" t="s">
        <v>71</v>
      </c>
      <c r="AA138" s="36" t="s">
        <v>71</v>
      </c>
      <c r="AB138" s="36" t="s">
        <v>71</v>
      </c>
      <c r="AC138" s="36" t="s">
        <v>71</v>
      </c>
      <c r="AD138" s="36" t="s">
        <v>72</v>
      </c>
      <c r="AE138" s="36" t="s">
        <v>94</v>
      </c>
      <c r="AF138" s="36" t="s">
        <v>116</v>
      </c>
      <c r="AG138" s="36" t="s">
        <v>120</v>
      </c>
      <c r="AH138" t="str">
        <f>VLOOKUP($R138,武学奇术!$A:$ZZ,25,FALSE)</f>
        <v>单体奇术</v>
      </c>
      <c r="AI138" s="20">
        <f>VLOOKUP($R138,武学奇术!$A:$ZZ,26,FALSE)</f>
        <v>0.236</v>
      </c>
      <c r="AJ138" s="21">
        <f>VLOOKUP($R138,武学奇术!$A:$ZZ,27,FALSE)*(1+IF(OR($AH138=$F$4,$AH138=$F$5),$B$22,0))</f>
        <v>44</v>
      </c>
      <c r="AK138" s="20">
        <f>VLOOKUP($R138,武学奇术!$A:$ZZ,28,FALSE)</f>
        <v>0.354</v>
      </c>
      <c r="AL138" s="21">
        <f>VLOOKUP($R138,武学奇术!$A:$ZZ,29,FALSE)*(1+IF(OR($AH138=$F$4,$AH138=$F$5),$B$22,0))</f>
        <v>0</v>
      </c>
      <c r="AM138" s="20" cm="1">
        <f t="array" ref="AM138">$G$3+IFERROR(VLOOKUP($AH138,$F$4:$G$7,2,FALSE),0)+VLOOKUP($R138,武学奇术!$A:$ZZ,2,FALSE)+SUM(_xlfn.XLOOKUP($S138:$AG138,增益!$A:$A,增益!$B:$B,0))</f>
        <v>1.3365</v>
      </c>
      <c r="AN138" s="20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1548.52</v>
      </c>
      <c r="AP138" cm="1">
        <f t="array" ref="AP138">$E$10*(1+$AN138)+VLOOKUP($R138,武学奇术!$A:$ZZ,4,FALSE)+SUM(_xlfn.XLOOKUP($S138:$AG138,增益!$A:$A,增益!$D:$D,0))-$I$2</f>
        <v>6659.56</v>
      </c>
      <c r="AQ138" s="29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0.2425</v>
      </c>
      <c r="AR138" s="29" cm="1">
        <f t="array" ref="AR138">$G$10+VLOOKUP($R138,武学奇术!$A:$ZZ,7,FALSE)+SUM(_xlfn.XLOOKUP(S138:AG138,增益!$A:$A,增益!$G:$G,0))</f>
        <v>0</v>
      </c>
      <c r="AS138" s="20" cm="1">
        <f t="array" ref="AS138">VLOOKUP($R138,武学奇术!$A:$ZZ,8,FALSE)+SUM(_xlfn.XLOOKUP(S138:AG138,增益!$A:$A,增益!$H:$H,0))</f>
        <v>0</v>
      </c>
      <c r="AT138">
        <f t="shared" si="23"/>
        <v>538</v>
      </c>
      <c r="AU138">
        <f t="shared" si="24"/>
        <v>1011</v>
      </c>
      <c r="AV138" s="29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</v>
      </c>
      <c r="AW138" s="29" cm="1">
        <f t="array" ref="AW138">$G$11+VLOOKUP($R138,武学奇术!$A:$ZZ,10,FALSE)+SUM(_xlfn.XLOOKUP(S138:AG138,增益!$A:$A,增益!$J:$J,0))</f>
        <v>0.15</v>
      </c>
      <c r="AX138">
        <f t="shared" si="25"/>
        <v>0</v>
      </c>
      <c r="AY138">
        <f t="shared" si="26"/>
        <v>0</v>
      </c>
      <c r="AZ138" s="29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-0.3</v>
      </c>
      <c r="BA138" s="29" cm="1">
        <f t="array" ref="BA138">$G$12+VLOOKUP($R138,武学奇术!$A:$ZZ,12,FALSE)+SUM(_xlfn.XLOOKUP(S138:AG138,增益!$A:$A,增益!$L:$L,0))</f>
        <v>0</v>
      </c>
      <c r="BB138">
        <f t="shared" si="27"/>
        <v>0</v>
      </c>
      <c r="BC138">
        <f t="shared" si="28"/>
        <v>0</v>
      </c>
      <c r="BD138" s="29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-0.3</v>
      </c>
      <c r="BE138" s="29" cm="1">
        <f t="array" ref="BE138">$G$13+VLOOKUP($R138,武学奇术!$A:$ZZ,14,FALSE)+SUM(_xlfn.XLOOKUP(S138:AG138,增益!$A:$A,增益!$N:$N,0))</f>
        <v>0</v>
      </c>
      <c r="BF138">
        <f t="shared" si="29"/>
        <v>0</v>
      </c>
      <c r="BG138">
        <f t="shared" si="30"/>
        <v>0</v>
      </c>
      <c r="BH138" s="29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-0.3</v>
      </c>
      <c r="BI138" s="29" cm="1">
        <f t="array" ref="BI138">$G$14+VLOOKUP($R138,武学奇术!$A:$ZZ,16,FALSE)+SUM(_xlfn.XLOOKUP(S138:AG138,增益!$A:$A,增益!$P:$P,0))</f>
        <v>0</v>
      </c>
      <c r="BJ138" s="20">
        <f>MIN(IF(VLOOKUP($R138,武学奇术!$A:$ZZ,23,FALSE)=1,100%,$B$8),100%)</f>
        <v>0.8271</v>
      </c>
      <c r="BK138" s="20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0.2249</v>
      </c>
      <c r="BL138" s="20" cm="1">
        <f t="array" ref="BL138">1+$B$13+VLOOKUP($R138,武学奇术!$A:$ZZ,18,FALSE)+SUM(_xlfn.XLOOKUP(S138:AG138,增益!$A:$A,增益!$R:$R,0))</f>
        <v>1.5</v>
      </c>
      <c r="BM138" s="20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0.4459</v>
      </c>
      <c r="BN138" s="20" cm="1">
        <f t="array" ref="BN138">1+$B$14+VLOOKUP($R138,武学奇术!$A:$ZZ,20,FALSE)+SUM(_xlfn.XLOOKUP(S138:AG138,增益!$A:$A,增益!$T:$T,0))</f>
        <v>1.722</v>
      </c>
      <c r="BO138" s="20">
        <f t="shared" si="31"/>
        <v>0.18601479</v>
      </c>
      <c r="BP138" s="20">
        <f t="shared" si="32"/>
        <v>0.27228132</v>
      </c>
      <c r="BQ138" s="20">
        <f>IF(VLOOKUP($R138,武学奇术!$A:$ZZ,22,FALSE)=1,0,(1-$BJ138))*(1-$BM138)</f>
        <v>0.09580389</v>
      </c>
      <c r="BR138" s="20" cm="1">
        <f t="array" ref="BR138">SUM(_xlfn.XLOOKUP(S138:AG138,增益!$A:$A,增益!$W:$W,0))+$I$5</f>
        <v>0.11</v>
      </c>
    </row>
    <row r="139" spans="11:70">
      <c r="K139" s="27">
        <f>$L139*VLOOKUP($R139,武学奇术!$A:$ZZ,31,FALSE)</f>
        <v>26192.6398684035</v>
      </c>
      <c r="L139" s="27">
        <f t="shared" si="22"/>
        <v>43654.3997806725</v>
      </c>
      <c r="M139" s="27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36725.6491287677</v>
      </c>
      <c r="N139" s="27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65197.2555012052</v>
      </c>
      <c r="O139" s="27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24483.7660858451</v>
      </c>
      <c r="P139" s="27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11324.7749539044</v>
      </c>
      <c r="Q139" s="35">
        <v>6</v>
      </c>
      <c r="R139" s="36" t="s">
        <v>159</v>
      </c>
      <c r="S139" s="36" t="s">
        <v>71</v>
      </c>
      <c r="T139" s="36" t="s">
        <v>99</v>
      </c>
      <c r="U139" s="36" t="s">
        <v>100</v>
      </c>
      <c r="V139" s="36" t="s">
        <v>71</v>
      </c>
      <c r="W139" s="36" t="s">
        <v>111</v>
      </c>
      <c r="X139" s="36" t="s">
        <v>71</v>
      </c>
      <c r="Y139" s="36" t="s">
        <v>71</v>
      </c>
      <c r="Z139" s="36" t="s">
        <v>71</v>
      </c>
      <c r="AA139" s="36" t="s">
        <v>71</v>
      </c>
      <c r="AB139" s="36" t="s">
        <v>71</v>
      </c>
      <c r="AC139" s="36" t="s">
        <v>71</v>
      </c>
      <c r="AD139" s="36" t="s">
        <v>72</v>
      </c>
      <c r="AE139" s="36" t="s">
        <v>94</v>
      </c>
      <c r="AF139" s="36" t="s">
        <v>134</v>
      </c>
      <c r="AG139" s="36" t="s">
        <v>120</v>
      </c>
      <c r="AH139" t="str">
        <f>VLOOKUP($R139,武学奇术!$A:$ZZ,25,FALSE)</f>
        <v>单体奇术</v>
      </c>
      <c r="AI139" s="20">
        <f>VLOOKUP($R139,武学奇术!$A:$ZZ,26,FALSE)</f>
        <v>0.236</v>
      </c>
      <c r="AJ139" s="21">
        <f>VLOOKUP($R139,武学奇术!$A:$ZZ,27,FALSE)*(1+IF(OR($AH139=$F$4,$AH139=$F$5),$B$22,0))</f>
        <v>44</v>
      </c>
      <c r="AK139" s="20">
        <f>VLOOKUP($R139,武学奇术!$A:$ZZ,28,FALSE)</f>
        <v>0.354</v>
      </c>
      <c r="AL139" s="21">
        <f>VLOOKUP($R139,武学奇术!$A:$ZZ,29,FALSE)*(1+IF(OR($AH139=$F$4,$AH139=$F$5),$B$22,0))</f>
        <v>0</v>
      </c>
      <c r="AM139" s="20" cm="1">
        <f t="array" ref="AM139">$G$3+IFERROR(VLOOKUP($AH139,$F$4:$G$7,2,FALSE),0)+VLOOKUP($R139,武学奇术!$A:$ZZ,2,FALSE)+SUM(_xlfn.XLOOKUP($S139:$AG139,增益!$A:$A,增益!$B:$B,0))</f>
        <v>1.3365</v>
      </c>
      <c r="AN139" s="20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1548.52</v>
      </c>
      <c r="AP139" cm="1">
        <f t="array" ref="AP139">$E$10*(1+$AN139)+VLOOKUP($R139,武学奇术!$A:$ZZ,4,FALSE)+SUM(_xlfn.XLOOKUP($S139:$AG139,增益!$A:$A,增益!$D:$D,0))-$I$2</f>
        <v>6659.56</v>
      </c>
      <c r="AQ139" s="29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0.2425</v>
      </c>
      <c r="AR139" s="29" cm="1">
        <f t="array" ref="AR139">$G$10+VLOOKUP($R139,武学奇术!$A:$ZZ,7,FALSE)+SUM(_xlfn.XLOOKUP(S139:AG139,增益!$A:$A,增益!$G:$G,0))</f>
        <v>0</v>
      </c>
      <c r="AS139" s="20" cm="1">
        <f t="array" ref="AS139">VLOOKUP($R139,武学奇术!$A:$ZZ,8,FALSE)+SUM(_xlfn.XLOOKUP(S139:AG139,增益!$A:$A,增益!$H:$H,0))</f>
        <v>0</v>
      </c>
      <c r="AT139">
        <f t="shared" si="23"/>
        <v>538</v>
      </c>
      <c r="AU139">
        <f t="shared" si="24"/>
        <v>1011</v>
      </c>
      <c r="AV139" s="29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0</v>
      </c>
      <c r="AW139" s="29" cm="1">
        <f t="array" ref="AW139">$G$11+VLOOKUP($R139,武学奇术!$A:$ZZ,10,FALSE)+SUM(_xlfn.XLOOKUP(S139:AG139,增益!$A:$A,增益!$J:$J,0))</f>
        <v>0.15</v>
      </c>
      <c r="AX139">
        <f t="shared" si="25"/>
        <v>0</v>
      </c>
      <c r="AY139">
        <f t="shared" si="26"/>
        <v>0</v>
      </c>
      <c r="AZ139" s="29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-0.3</v>
      </c>
      <c r="BA139" s="29" cm="1">
        <f t="array" ref="BA139">$G$12+VLOOKUP($R139,武学奇术!$A:$ZZ,12,FALSE)+SUM(_xlfn.XLOOKUP(S139:AG139,增益!$A:$A,增益!$L:$L,0))</f>
        <v>0</v>
      </c>
      <c r="BB139">
        <f t="shared" si="27"/>
        <v>0</v>
      </c>
      <c r="BC139">
        <f t="shared" si="28"/>
        <v>0</v>
      </c>
      <c r="BD139" s="29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-0.3</v>
      </c>
      <c r="BE139" s="29" cm="1">
        <f t="array" ref="BE139">$G$13+VLOOKUP($R139,武学奇术!$A:$ZZ,14,FALSE)+SUM(_xlfn.XLOOKUP(S139:AG139,增益!$A:$A,增益!$N:$N,0))</f>
        <v>0</v>
      </c>
      <c r="BF139">
        <f t="shared" si="29"/>
        <v>0</v>
      </c>
      <c r="BG139">
        <f t="shared" si="30"/>
        <v>0</v>
      </c>
      <c r="BH139" s="29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-0.3</v>
      </c>
      <c r="BI139" s="29" cm="1">
        <f t="array" ref="BI139">$G$14+VLOOKUP($R139,武学奇术!$A:$ZZ,16,FALSE)+SUM(_xlfn.XLOOKUP(S139:AG139,增益!$A:$A,增益!$P:$P,0))</f>
        <v>0</v>
      </c>
      <c r="BJ139" s="20">
        <f>MIN(IF(VLOOKUP($R139,武学奇术!$A:$ZZ,23,FALSE)=1,100%,$B$8),100%)</f>
        <v>0.8271</v>
      </c>
      <c r="BK139" s="20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0.2249</v>
      </c>
      <c r="BL139" s="20" cm="1">
        <f t="array" ref="BL139">1+$B$13+VLOOKUP($R139,武学奇术!$A:$ZZ,18,FALSE)+SUM(_xlfn.XLOOKUP(S139:AG139,增益!$A:$A,增益!$R:$R,0))</f>
        <v>1.5</v>
      </c>
      <c r="BM139" s="20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0.4459</v>
      </c>
      <c r="BN139" s="20" cm="1">
        <f t="array" ref="BN139">1+$B$14+VLOOKUP($R139,武学奇术!$A:$ZZ,20,FALSE)+SUM(_xlfn.XLOOKUP(S139:AG139,增益!$A:$A,增益!$T:$T,0))</f>
        <v>1.732</v>
      </c>
      <c r="BO139" s="20">
        <f t="shared" si="31"/>
        <v>0.18601479</v>
      </c>
      <c r="BP139" s="20">
        <f t="shared" si="32"/>
        <v>0.27228132</v>
      </c>
      <c r="BQ139" s="20">
        <f>IF(VLOOKUP($R139,武学奇术!$A:$ZZ,22,FALSE)=1,0,(1-$BJ139))*(1-$BM139)</f>
        <v>0.09580389</v>
      </c>
      <c r="BR139" s="20" cm="1">
        <f t="array" ref="BR139">SUM(_xlfn.XLOOKUP(S139:AG139,增益!$A:$A,增益!$W:$W,0))+$I$5</f>
        <v>0.11</v>
      </c>
    </row>
    <row r="140" spans="11:70">
      <c r="K140" s="27">
        <f>$L140*VLOOKUP($R140,武学奇术!$A:$ZZ,31,FALSE)</f>
        <v>26293.349301064</v>
      </c>
      <c r="L140" s="27">
        <f t="shared" si="22"/>
        <v>43822.2488351066</v>
      </c>
      <c r="M140" s="27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36725.6491287677</v>
      </c>
      <c r="N140" s="27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65573.683073383</v>
      </c>
      <c r="O140" s="27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24483.7660858451</v>
      </c>
      <c r="P140" s="27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11324.7749539044</v>
      </c>
      <c r="Q140" s="35">
        <v>6</v>
      </c>
      <c r="R140" s="36" t="s">
        <v>159</v>
      </c>
      <c r="S140" s="36" t="s">
        <v>71</v>
      </c>
      <c r="T140" s="36" t="s">
        <v>99</v>
      </c>
      <c r="U140" s="36" t="s">
        <v>100</v>
      </c>
      <c r="V140" s="36" t="s">
        <v>71</v>
      </c>
      <c r="W140" s="36" t="s">
        <v>111</v>
      </c>
      <c r="X140" s="36" t="s">
        <v>71</v>
      </c>
      <c r="Y140" s="36" t="s">
        <v>71</v>
      </c>
      <c r="Z140" s="36" t="s">
        <v>71</v>
      </c>
      <c r="AA140" s="36" t="s">
        <v>71</v>
      </c>
      <c r="AB140" s="36" t="s">
        <v>71</v>
      </c>
      <c r="AC140" s="36" t="s">
        <v>71</v>
      </c>
      <c r="AD140" s="36" t="s">
        <v>72</v>
      </c>
      <c r="AE140" s="36" t="s">
        <v>94</v>
      </c>
      <c r="AF140" s="36" t="s">
        <v>145</v>
      </c>
      <c r="AG140" s="36" t="s">
        <v>120</v>
      </c>
      <c r="AH140" t="str">
        <f>VLOOKUP($R140,武学奇术!$A:$ZZ,25,FALSE)</f>
        <v>单体奇术</v>
      </c>
      <c r="AI140" s="20">
        <f>VLOOKUP($R140,武学奇术!$A:$ZZ,26,FALSE)</f>
        <v>0.236</v>
      </c>
      <c r="AJ140" s="21">
        <f>VLOOKUP($R140,武学奇术!$A:$ZZ,27,FALSE)*(1+IF(OR($AH140=$F$4,$AH140=$F$5),$B$22,0))</f>
        <v>44</v>
      </c>
      <c r="AK140" s="20">
        <f>VLOOKUP($R140,武学奇术!$A:$ZZ,28,FALSE)</f>
        <v>0.354</v>
      </c>
      <c r="AL140" s="21">
        <f>VLOOKUP($R140,武学奇术!$A:$ZZ,29,FALSE)*(1+IF(OR($AH140=$F$4,$AH140=$F$5),$B$22,0))</f>
        <v>0</v>
      </c>
      <c r="AM140" s="20" cm="1">
        <f t="array" ref="AM140">$G$3+IFERROR(VLOOKUP($AH140,$F$4:$G$7,2,FALSE),0)+VLOOKUP($R140,武学奇术!$A:$ZZ,2,FALSE)+SUM(_xlfn.XLOOKUP($S140:$AG140,增益!$A:$A,增益!$B:$B,0))</f>
        <v>1.3365</v>
      </c>
      <c r="AN140" s="20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1548.52</v>
      </c>
      <c r="AP140" cm="1">
        <f t="array" ref="AP140">$E$10*(1+$AN140)+VLOOKUP($R140,武学奇术!$A:$ZZ,4,FALSE)+SUM(_xlfn.XLOOKUP($S140:$AG140,增益!$A:$A,增益!$D:$D,0))-$I$2</f>
        <v>6659.56</v>
      </c>
      <c r="AQ140" s="29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0.2425</v>
      </c>
      <c r="AR140" s="29" cm="1">
        <f t="array" ref="AR140">$G$10+VLOOKUP($R140,武学奇术!$A:$ZZ,7,FALSE)+SUM(_xlfn.XLOOKUP(S140:AG140,增益!$A:$A,增益!$G:$G,0))</f>
        <v>0</v>
      </c>
      <c r="AS140" s="20" cm="1">
        <f t="array" ref="AS140">VLOOKUP($R140,武学奇术!$A:$ZZ,8,FALSE)+SUM(_xlfn.XLOOKUP(S140:AG140,增益!$A:$A,增益!$H:$H,0))</f>
        <v>0</v>
      </c>
      <c r="AT140">
        <f t="shared" si="23"/>
        <v>538</v>
      </c>
      <c r="AU140">
        <f t="shared" si="24"/>
        <v>1011</v>
      </c>
      <c r="AV140" s="29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</v>
      </c>
      <c r="AW140" s="29" cm="1">
        <f t="array" ref="AW140">$G$11+VLOOKUP($R140,武学奇术!$A:$ZZ,10,FALSE)+SUM(_xlfn.XLOOKUP(S140:AG140,增益!$A:$A,增益!$J:$J,0))</f>
        <v>0.15</v>
      </c>
      <c r="AX140">
        <f t="shared" si="25"/>
        <v>0</v>
      </c>
      <c r="AY140">
        <f t="shared" si="26"/>
        <v>0</v>
      </c>
      <c r="AZ140" s="29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-0.3</v>
      </c>
      <c r="BA140" s="29" cm="1">
        <f t="array" ref="BA140">$G$12+VLOOKUP($R140,武学奇术!$A:$ZZ,12,FALSE)+SUM(_xlfn.XLOOKUP(S140:AG140,增益!$A:$A,增益!$L:$L,0))</f>
        <v>0</v>
      </c>
      <c r="BB140">
        <f t="shared" si="27"/>
        <v>0</v>
      </c>
      <c r="BC140">
        <f t="shared" si="28"/>
        <v>0</v>
      </c>
      <c r="BD140" s="29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-0.3</v>
      </c>
      <c r="BE140" s="29" cm="1">
        <f t="array" ref="BE140">$G$13+VLOOKUP($R140,武学奇术!$A:$ZZ,14,FALSE)+SUM(_xlfn.XLOOKUP(S140:AG140,增益!$A:$A,增益!$N:$N,0))</f>
        <v>0</v>
      </c>
      <c r="BF140">
        <f t="shared" si="29"/>
        <v>0</v>
      </c>
      <c r="BG140">
        <f t="shared" si="30"/>
        <v>0</v>
      </c>
      <c r="BH140" s="29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-0.3</v>
      </c>
      <c r="BI140" s="29" cm="1">
        <f t="array" ref="BI140">$G$14+VLOOKUP($R140,武学奇术!$A:$ZZ,16,FALSE)+SUM(_xlfn.XLOOKUP(S140:AG140,增益!$A:$A,增益!$P:$P,0))</f>
        <v>0</v>
      </c>
      <c r="BJ140" s="20">
        <f>MIN(IF(VLOOKUP($R140,武学奇术!$A:$ZZ,23,FALSE)=1,100%,$B$8),100%)</f>
        <v>0.8271</v>
      </c>
      <c r="BK140" s="20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0.2249</v>
      </c>
      <c r="BL140" s="20" cm="1">
        <f t="array" ref="BL140">1+$B$13+VLOOKUP($R140,武学奇术!$A:$ZZ,18,FALSE)+SUM(_xlfn.XLOOKUP(S140:AG140,增益!$A:$A,增益!$R:$R,0))</f>
        <v>1.5</v>
      </c>
      <c r="BM140" s="20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0.4459</v>
      </c>
      <c r="BN140" s="20" cm="1">
        <f t="array" ref="BN140">1+$B$14+VLOOKUP($R140,武学奇术!$A:$ZZ,20,FALSE)+SUM(_xlfn.XLOOKUP(S140:AG140,增益!$A:$A,增益!$T:$T,0))</f>
        <v>1.742</v>
      </c>
      <c r="BO140" s="20">
        <f t="shared" si="31"/>
        <v>0.18601479</v>
      </c>
      <c r="BP140" s="20">
        <f t="shared" si="32"/>
        <v>0.27228132</v>
      </c>
      <c r="BQ140" s="20">
        <f>IF(VLOOKUP($R140,武学奇术!$A:$ZZ,22,FALSE)=1,0,(1-$BJ140))*(1-$BM140)</f>
        <v>0.09580389</v>
      </c>
      <c r="BR140" s="20" cm="1">
        <f t="array" ref="BR140">SUM(_xlfn.XLOOKUP(S140:AG140,增益!$A:$A,增益!$W:$W,0))+$I$5</f>
        <v>0.11</v>
      </c>
    </row>
    <row r="141" spans="11:70">
      <c r="K141" s="27">
        <f>$L141*VLOOKUP($R141,武学奇术!$A:$ZZ,31,FALSE)</f>
        <v>17515.2232410699</v>
      </c>
      <c r="L141" s="27">
        <f t="shared" si="22"/>
        <v>29192.0387351165</v>
      </c>
      <c r="M141" s="27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24342.3137548034</v>
      </c>
      <c r="N141" s="27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43801.5241077172</v>
      </c>
      <c r="O141" s="27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16228.209169869</v>
      </c>
      <c r="P141" s="27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7455.54841524178</v>
      </c>
      <c r="Q141" s="35">
        <v>4</v>
      </c>
      <c r="R141" s="36" t="s">
        <v>159</v>
      </c>
      <c r="S141" s="36" t="s">
        <v>71</v>
      </c>
      <c r="T141" s="36" t="s">
        <v>99</v>
      </c>
      <c r="U141" s="36" t="s">
        <v>100</v>
      </c>
      <c r="V141" s="36" t="s">
        <v>71</v>
      </c>
      <c r="W141" s="36" t="s">
        <v>71</v>
      </c>
      <c r="X141" s="36" t="s">
        <v>71</v>
      </c>
      <c r="Y141" s="36" t="s">
        <v>71</v>
      </c>
      <c r="Z141" s="36" t="s">
        <v>71</v>
      </c>
      <c r="AA141" s="36" t="s">
        <v>71</v>
      </c>
      <c r="AB141" s="36" t="s">
        <v>71</v>
      </c>
      <c r="AC141" s="36" t="s">
        <v>71</v>
      </c>
      <c r="AD141" s="36" t="s">
        <v>72</v>
      </c>
      <c r="AE141" s="36" t="s">
        <v>94</v>
      </c>
      <c r="AF141" s="36" t="s">
        <v>147</v>
      </c>
      <c r="AG141" s="36" t="s">
        <v>120</v>
      </c>
      <c r="AH141" t="str">
        <f>VLOOKUP($R141,武学奇术!$A:$ZZ,25,FALSE)</f>
        <v>单体奇术</v>
      </c>
      <c r="AI141" s="20">
        <f>VLOOKUP($R141,武学奇术!$A:$ZZ,26,FALSE)</f>
        <v>0.236</v>
      </c>
      <c r="AJ141" s="21">
        <f>VLOOKUP($R141,武学奇术!$A:$ZZ,27,FALSE)*(1+IF(OR($AH141=$F$4,$AH141=$F$5),$B$22,0))</f>
        <v>44</v>
      </c>
      <c r="AK141" s="20">
        <f>VLOOKUP($R141,武学奇术!$A:$ZZ,28,FALSE)</f>
        <v>0.354</v>
      </c>
      <c r="AL141" s="21">
        <f>VLOOKUP($R141,武学奇术!$A:$ZZ,29,FALSE)*(1+IF(OR($AH141=$F$4,$AH141=$F$5),$B$22,0))</f>
        <v>0</v>
      </c>
      <c r="AM141" s="20" cm="1">
        <f t="array" ref="AM141">$G$3+IFERROR(VLOOKUP($AH141,$F$4:$G$7,2,FALSE),0)+VLOOKUP($R141,武学奇术!$A:$ZZ,2,FALSE)+SUM(_xlfn.XLOOKUP($S141:$AG141,增益!$A:$A,增益!$B:$B,0))</f>
        <v>1.3365</v>
      </c>
      <c r="AN141" s="20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1517.52</v>
      </c>
      <c r="AP141" cm="1">
        <f t="array" ref="AP141">$E$10*(1+$AN141)+VLOOKUP($R141,武学奇术!$A:$ZZ,4,FALSE)+SUM(_xlfn.XLOOKUP($S141:$AG141,增益!$A:$A,增益!$D:$D,0))-$I$2</f>
        <v>6628.56</v>
      </c>
      <c r="AQ141" s="29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0.2425</v>
      </c>
      <c r="AR141" s="29" cm="1">
        <f t="array" ref="AR141">$G$10+VLOOKUP($R141,武学奇术!$A:$ZZ,7,FALSE)+SUM(_xlfn.XLOOKUP(S141:AG141,增益!$A:$A,增益!$G:$G,0))</f>
        <v>0</v>
      </c>
      <c r="AS141" s="20" cm="1">
        <f t="array" ref="AS141">VLOOKUP($R141,武学奇术!$A:$ZZ,8,FALSE)+SUM(_xlfn.XLOOKUP(S141:AG141,增益!$A:$A,增益!$H:$H,0))</f>
        <v>0</v>
      </c>
      <c r="AT141">
        <f t="shared" si="23"/>
        <v>538</v>
      </c>
      <c r="AU141">
        <f t="shared" si="24"/>
        <v>1011</v>
      </c>
      <c r="AV141" s="29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</v>
      </c>
      <c r="AW141" s="29" cm="1">
        <f t="array" ref="AW141">$G$11+VLOOKUP($R141,武学奇术!$A:$ZZ,10,FALSE)+SUM(_xlfn.XLOOKUP(S141:AG141,增益!$A:$A,增益!$J:$J,0))</f>
        <v>0.15</v>
      </c>
      <c r="AX141">
        <f t="shared" si="25"/>
        <v>0</v>
      </c>
      <c r="AY141">
        <f t="shared" si="26"/>
        <v>0</v>
      </c>
      <c r="AZ141" s="29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29" cm="1">
        <f t="array" ref="BA141">$G$12+VLOOKUP($R141,武学奇术!$A:$ZZ,12,FALSE)+SUM(_xlfn.XLOOKUP(S141:AG141,增益!$A:$A,增益!$L:$L,0))</f>
        <v>0</v>
      </c>
      <c r="BB141">
        <f t="shared" si="27"/>
        <v>0</v>
      </c>
      <c r="BC141">
        <f t="shared" si="28"/>
        <v>0</v>
      </c>
      <c r="BD141" s="29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29" cm="1">
        <f t="array" ref="BE141">$G$13+VLOOKUP($R141,武学奇术!$A:$ZZ,14,FALSE)+SUM(_xlfn.XLOOKUP(S141:AG141,增益!$A:$A,增益!$N:$N,0))</f>
        <v>0</v>
      </c>
      <c r="BF141">
        <f t="shared" si="29"/>
        <v>0</v>
      </c>
      <c r="BG141">
        <f t="shared" si="30"/>
        <v>0</v>
      </c>
      <c r="BH141" s="29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29" cm="1">
        <f t="array" ref="BI141">$G$14+VLOOKUP($R141,武学奇术!$A:$ZZ,16,FALSE)+SUM(_xlfn.XLOOKUP(S141:AG141,增益!$A:$A,增益!$P:$P,0))</f>
        <v>0</v>
      </c>
      <c r="BJ141" s="20">
        <f>MIN(IF(VLOOKUP($R141,武学奇术!$A:$ZZ,23,FALSE)=1,100%,$B$8),100%)</f>
        <v>0.8271</v>
      </c>
      <c r="BK141" s="20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0.2249</v>
      </c>
      <c r="BL141" s="20" cm="1">
        <f t="array" ref="BL141">1+$B$13+VLOOKUP($R141,武学奇术!$A:$ZZ,18,FALSE)+SUM(_xlfn.XLOOKUP(S141:AG141,增益!$A:$A,增益!$R:$R,0))</f>
        <v>1.5</v>
      </c>
      <c r="BM141" s="20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0.4459</v>
      </c>
      <c r="BN141" s="20" cm="1">
        <f t="array" ref="BN141">1+$B$14+VLOOKUP($R141,武学奇术!$A:$ZZ,20,FALSE)+SUM(_xlfn.XLOOKUP(S141:AG141,增益!$A:$A,增益!$T:$T,0))</f>
        <v>1.752</v>
      </c>
      <c r="BO141" s="20">
        <f t="shared" si="31"/>
        <v>0.18601479</v>
      </c>
      <c r="BP141" s="20">
        <f t="shared" si="32"/>
        <v>0.27228132</v>
      </c>
      <c r="BQ141" s="20">
        <f>IF(VLOOKUP($R141,武学奇术!$A:$ZZ,22,FALSE)=1,0,(1-$BJ141))*(1-$BM141)</f>
        <v>0.09580389</v>
      </c>
      <c r="BR141" s="20" cm="1">
        <f t="array" ref="BR141">SUM(_xlfn.XLOOKUP(S141:AG141,增益!$A:$A,增益!$W:$W,0))+$I$5</f>
        <v>0.11</v>
      </c>
    </row>
    <row r="142" spans="11:70">
      <c r="K142" s="27">
        <f>$L142*VLOOKUP($R142,武学奇术!$A:$ZZ,31,FALSE)</f>
        <v>8757.61162053495</v>
      </c>
      <c r="L142" s="27">
        <f t="shared" si="22"/>
        <v>14596.0193675582</v>
      </c>
      <c r="M142" s="27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12171.1568774017</v>
      </c>
      <c r="N142" s="27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21900.7620538586</v>
      </c>
      <c r="O142" s="27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8114.10458493448</v>
      </c>
      <c r="P142" s="27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3727.77420762089</v>
      </c>
      <c r="Q142" s="35">
        <v>2</v>
      </c>
      <c r="R142" s="36" t="s">
        <v>159</v>
      </c>
      <c r="S142" s="36" t="s">
        <v>71</v>
      </c>
      <c r="T142" s="36" t="s">
        <v>99</v>
      </c>
      <c r="U142" s="36" t="s">
        <v>100</v>
      </c>
      <c r="V142" s="36" t="s">
        <v>71</v>
      </c>
      <c r="W142" s="36" t="s">
        <v>71</v>
      </c>
      <c r="X142" s="36" t="s">
        <v>71</v>
      </c>
      <c r="Y142" s="36" t="s">
        <v>71</v>
      </c>
      <c r="Z142" s="36" t="s">
        <v>71</v>
      </c>
      <c r="AA142" s="36" t="s">
        <v>71</v>
      </c>
      <c r="AB142" s="36" t="s">
        <v>71</v>
      </c>
      <c r="AC142" s="36" t="s">
        <v>71</v>
      </c>
      <c r="AD142" s="36" t="s">
        <v>72</v>
      </c>
      <c r="AE142" s="36" t="s">
        <v>94</v>
      </c>
      <c r="AF142" s="36" t="s">
        <v>147</v>
      </c>
      <c r="AG142" s="36" t="s">
        <v>120</v>
      </c>
      <c r="AH142" t="str">
        <f>VLOOKUP($R142,武学奇术!$A:$ZZ,25,FALSE)</f>
        <v>单体奇术</v>
      </c>
      <c r="AI142" s="20">
        <f>VLOOKUP($R142,武学奇术!$A:$ZZ,26,FALSE)</f>
        <v>0.236</v>
      </c>
      <c r="AJ142" s="21">
        <f>VLOOKUP($R142,武学奇术!$A:$ZZ,27,FALSE)*(1+IF(OR($AH142=$F$4,$AH142=$F$5),$B$22,0))</f>
        <v>44</v>
      </c>
      <c r="AK142" s="20">
        <f>VLOOKUP($R142,武学奇术!$A:$ZZ,28,FALSE)</f>
        <v>0.354</v>
      </c>
      <c r="AL142" s="21">
        <f>VLOOKUP($R142,武学奇术!$A:$ZZ,29,FALSE)*(1+IF(OR($AH142=$F$4,$AH142=$F$5),$B$22,0))</f>
        <v>0</v>
      </c>
      <c r="AM142" s="20" cm="1">
        <f t="array" ref="AM142">$G$3+IFERROR(VLOOKUP($AH142,$F$4:$G$7,2,FALSE),0)+VLOOKUP($R142,武学奇术!$A:$ZZ,2,FALSE)+SUM(_xlfn.XLOOKUP($S142:$AG142,增益!$A:$A,增益!$B:$B,0))</f>
        <v>1.3365</v>
      </c>
      <c r="AN142" s="20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1517.52</v>
      </c>
      <c r="AP142" cm="1">
        <f t="array" ref="AP142">$E$10*(1+$AN142)+VLOOKUP($R142,武学奇术!$A:$ZZ,4,FALSE)+SUM(_xlfn.XLOOKUP($S142:$AG142,增益!$A:$A,增益!$D:$D,0))-$I$2</f>
        <v>6628.56</v>
      </c>
      <c r="AQ142" s="29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0.2425</v>
      </c>
      <c r="AR142" s="29" cm="1">
        <f t="array" ref="AR142">$G$10+VLOOKUP($R142,武学奇术!$A:$ZZ,7,FALSE)+SUM(_xlfn.XLOOKUP(S142:AG142,增益!$A:$A,增益!$G:$G,0))</f>
        <v>0</v>
      </c>
      <c r="AS142" s="20" cm="1">
        <f t="array" ref="AS142">VLOOKUP($R142,武学奇术!$A:$ZZ,8,FALSE)+SUM(_xlfn.XLOOKUP(S142:AG142,增益!$A:$A,增益!$H:$H,0))</f>
        <v>0</v>
      </c>
      <c r="AT142">
        <f t="shared" si="23"/>
        <v>538</v>
      </c>
      <c r="AU142">
        <f t="shared" si="24"/>
        <v>1011</v>
      </c>
      <c r="AV142" s="29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0</v>
      </c>
      <c r="AW142" s="29" cm="1">
        <f t="array" ref="AW142">$G$11+VLOOKUP($R142,武学奇术!$A:$ZZ,10,FALSE)+SUM(_xlfn.XLOOKUP(S142:AG142,增益!$A:$A,增益!$J:$J,0))</f>
        <v>0.15</v>
      </c>
      <c r="AX142">
        <f t="shared" si="25"/>
        <v>0</v>
      </c>
      <c r="AY142">
        <f t="shared" si="26"/>
        <v>0</v>
      </c>
      <c r="AZ142" s="29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29" cm="1">
        <f t="array" ref="BA142">$G$12+VLOOKUP($R142,武学奇术!$A:$ZZ,12,FALSE)+SUM(_xlfn.XLOOKUP(S142:AG142,增益!$A:$A,增益!$L:$L,0))</f>
        <v>0</v>
      </c>
      <c r="BB142">
        <f t="shared" si="27"/>
        <v>0</v>
      </c>
      <c r="BC142">
        <f t="shared" si="28"/>
        <v>0</v>
      </c>
      <c r="BD142" s="29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29" cm="1">
        <f t="array" ref="BE142">$G$13+VLOOKUP($R142,武学奇术!$A:$ZZ,14,FALSE)+SUM(_xlfn.XLOOKUP(S142:AG142,增益!$A:$A,增益!$N:$N,0))</f>
        <v>0</v>
      </c>
      <c r="BF142">
        <f t="shared" si="29"/>
        <v>0</v>
      </c>
      <c r="BG142">
        <f t="shared" si="30"/>
        <v>0</v>
      </c>
      <c r="BH142" s="29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29" cm="1">
        <f t="array" ref="BI142">$G$14+VLOOKUP($R142,武学奇术!$A:$ZZ,16,FALSE)+SUM(_xlfn.XLOOKUP(S142:AG142,增益!$A:$A,增益!$P:$P,0))</f>
        <v>0</v>
      </c>
      <c r="BJ142" s="20">
        <f>MIN(IF(VLOOKUP($R142,武学奇术!$A:$ZZ,23,FALSE)=1,100%,$B$8),100%)</f>
        <v>0.8271</v>
      </c>
      <c r="BK142" s="20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0.2249</v>
      </c>
      <c r="BL142" s="20" cm="1">
        <f t="array" ref="BL142">1+$B$13+VLOOKUP($R142,武学奇术!$A:$ZZ,18,FALSE)+SUM(_xlfn.XLOOKUP(S142:AG142,增益!$A:$A,增益!$R:$R,0))</f>
        <v>1.5</v>
      </c>
      <c r="BM142" s="20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0.4459</v>
      </c>
      <c r="BN142" s="20" cm="1">
        <f t="array" ref="BN142">1+$B$14+VLOOKUP($R142,武学奇术!$A:$ZZ,20,FALSE)+SUM(_xlfn.XLOOKUP(S142:AG142,增益!$A:$A,增益!$T:$T,0))</f>
        <v>1.752</v>
      </c>
      <c r="BO142" s="20">
        <f t="shared" si="31"/>
        <v>0.18601479</v>
      </c>
      <c r="BP142" s="20">
        <f t="shared" si="32"/>
        <v>0.27228132</v>
      </c>
      <c r="BQ142" s="20">
        <f>IF(VLOOKUP($R142,武学奇术!$A:$ZZ,22,FALSE)=1,0,(1-$BJ142))*(1-$BM142)</f>
        <v>0.09580389</v>
      </c>
      <c r="BR142" s="20" cm="1">
        <f t="array" ref="BR142">SUM(_xlfn.XLOOKUP(S142:AG142,增益!$A:$A,增益!$W:$W,0))+$I$5</f>
        <v>0.11</v>
      </c>
    </row>
    <row r="143" spans="11:70">
      <c r="K143" s="27">
        <f>$L143*VLOOKUP($R143,武学奇术!$A:$ZZ,31,FALSE)</f>
        <v>8791.05528423295</v>
      </c>
      <c r="L143" s="27">
        <f t="shared" si="22"/>
        <v>14651.7588070549</v>
      </c>
      <c r="M143" s="27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12171.1568774017</v>
      </c>
      <c r="N143" s="27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22025.7664034811</v>
      </c>
      <c r="O143" s="27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8114.10458493448</v>
      </c>
      <c r="P143" s="27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3727.77420762089</v>
      </c>
      <c r="Q143" s="35">
        <v>2</v>
      </c>
      <c r="R143" s="36" t="s">
        <v>159</v>
      </c>
      <c r="S143" s="36" t="s">
        <v>71</v>
      </c>
      <c r="T143" s="36" t="s">
        <v>99</v>
      </c>
      <c r="U143" s="36" t="s">
        <v>100</v>
      </c>
      <c r="V143" s="36" t="s">
        <v>71</v>
      </c>
      <c r="W143" s="36" t="s">
        <v>71</v>
      </c>
      <c r="X143" s="36" t="s">
        <v>71</v>
      </c>
      <c r="Y143" s="36" t="s">
        <v>71</v>
      </c>
      <c r="Z143" s="36" t="s">
        <v>71</v>
      </c>
      <c r="AA143" s="36" t="s">
        <v>71</v>
      </c>
      <c r="AB143" s="36" t="s">
        <v>71</v>
      </c>
      <c r="AC143" s="36" t="s">
        <v>71</v>
      </c>
      <c r="AD143" s="36" t="s">
        <v>72</v>
      </c>
      <c r="AE143" s="36" t="s">
        <v>94</v>
      </c>
      <c r="AF143" s="36" t="s">
        <v>148</v>
      </c>
      <c r="AG143" s="36" t="s">
        <v>120</v>
      </c>
      <c r="AH143" t="str">
        <f>VLOOKUP($R143,武学奇术!$A:$ZZ,25,FALSE)</f>
        <v>单体奇术</v>
      </c>
      <c r="AI143" s="20">
        <f>VLOOKUP($R143,武学奇术!$A:$ZZ,26,FALSE)</f>
        <v>0.236</v>
      </c>
      <c r="AJ143" s="21">
        <f>VLOOKUP($R143,武学奇术!$A:$ZZ,27,FALSE)*(1+IF(OR($AH143=$F$4,$AH143=$F$5),$B$22,0))</f>
        <v>44</v>
      </c>
      <c r="AK143" s="20">
        <f>VLOOKUP($R143,武学奇术!$A:$ZZ,28,FALSE)</f>
        <v>0.354</v>
      </c>
      <c r="AL143" s="21">
        <f>VLOOKUP($R143,武学奇术!$A:$ZZ,29,FALSE)*(1+IF(OR($AH143=$F$4,$AH143=$F$5),$B$22,0))</f>
        <v>0</v>
      </c>
      <c r="AM143" s="20" cm="1">
        <f t="array" ref="AM143">$G$3+IFERROR(VLOOKUP($AH143,$F$4:$G$7,2,FALSE),0)+VLOOKUP($R143,武学奇术!$A:$ZZ,2,FALSE)+SUM(_xlfn.XLOOKUP($S143:$AG143,增益!$A:$A,增益!$B:$B,0))</f>
        <v>1.3365</v>
      </c>
      <c r="AN143" s="20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1517.52</v>
      </c>
      <c r="AP143" cm="1">
        <f t="array" ref="AP143">$E$10*(1+$AN143)+VLOOKUP($R143,武学奇术!$A:$ZZ,4,FALSE)+SUM(_xlfn.XLOOKUP($S143:$AG143,增益!$A:$A,增益!$D:$D,0))-$I$2</f>
        <v>6628.56</v>
      </c>
      <c r="AQ143" s="29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0.2425</v>
      </c>
      <c r="AR143" s="29" cm="1">
        <f t="array" ref="AR143">$G$10+VLOOKUP($R143,武学奇术!$A:$ZZ,7,FALSE)+SUM(_xlfn.XLOOKUP(S143:AG143,增益!$A:$A,增益!$G:$G,0))</f>
        <v>0</v>
      </c>
      <c r="AS143" s="20" cm="1">
        <f t="array" ref="AS143">VLOOKUP($R143,武学奇术!$A:$ZZ,8,FALSE)+SUM(_xlfn.XLOOKUP(S143:AG143,增益!$A:$A,增益!$H:$H,0))</f>
        <v>0</v>
      </c>
      <c r="AT143">
        <f t="shared" si="23"/>
        <v>538</v>
      </c>
      <c r="AU143">
        <f t="shared" si="24"/>
        <v>1011</v>
      </c>
      <c r="AV143" s="29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29" cm="1">
        <f t="array" ref="AW143">$G$11+VLOOKUP($R143,武学奇术!$A:$ZZ,10,FALSE)+SUM(_xlfn.XLOOKUP(S143:AG143,增益!$A:$A,增益!$J:$J,0))</f>
        <v>0.15</v>
      </c>
      <c r="AX143">
        <f t="shared" si="25"/>
        <v>0</v>
      </c>
      <c r="AY143">
        <f t="shared" si="26"/>
        <v>0</v>
      </c>
      <c r="AZ143" s="29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29" cm="1">
        <f t="array" ref="BA143">$G$12+VLOOKUP($R143,武学奇术!$A:$ZZ,12,FALSE)+SUM(_xlfn.XLOOKUP(S143:AG143,增益!$A:$A,增益!$L:$L,0))</f>
        <v>0</v>
      </c>
      <c r="BB143">
        <f t="shared" si="27"/>
        <v>0</v>
      </c>
      <c r="BC143">
        <f t="shared" si="28"/>
        <v>0</v>
      </c>
      <c r="BD143" s="29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29" cm="1">
        <f t="array" ref="BE143">$G$13+VLOOKUP($R143,武学奇术!$A:$ZZ,14,FALSE)+SUM(_xlfn.XLOOKUP(S143:AG143,增益!$A:$A,增益!$N:$N,0))</f>
        <v>0</v>
      </c>
      <c r="BF143">
        <f t="shared" si="29"/>
        <v>0</v>
      </c>
      <c r="BG143">
        <f t="shared" si="30"/>
        <v>0</v>
      </c>
      <c r="BH143" s="29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29" cm="1">
        <f t="array" ref="BI143">$G$14+VLOOKUP($R143,武学奇术!$A:$ZZ,16,FALSE)+SUM(_xlfn.XLOOKUP(S143:AG143,增益!$A:$A,增益!$P:$P,0))</f>
        <v>0</v>
      </c>
      <c r="BJ143" s="20">
        <f>MIN(IF(VLOOKUP($R143,武学奇术!$A:$ZZ,23,FALSE)=1,100%,$B$8),100%)</f>
        <v>0.8271</v>
      </c>
      <c r="BK143" s="20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0.2249</v>
      </c>
      <c r="BL143" s="20" cm="1">
        <f t="array" ref="BL143">1+$B$13+VLOOKUP($R143,武学奇术!$A:$ZZ,18,FALSE)+SUM(_xlfn.XLOOKUP(S143:AG143,增益!$A:$A,增益!$R:$R,0))</f>
        <v>1.5</v>
      </c>
      <c r="BM143" s="20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0.4459</v>
      </c>
      <c r="BN143" s="20" cm="1">
        <f t="array" ref="BN143">1+$B$14+VLOOKUP($R143,武学奇术!$A:$ZZ,20,FALSE)+SUM(_xlfn.XLOOKUP(S143:AG143,增益!$A:$A,增益!$T:$T,0))</f>
        <v>1.762</v>
      </c>
      <c r="BO143" s="20">
        <f t="shared" si="31"/>
        <v>0.18601479</v>
      </c>
      <c r="BP143" s="20">
        <f t="shared" si="32"/>
        <v>0.27228132</v>
      </c>
      <c r="BQ143" s="20">
        <f>IF(VLOOKUP($R143,武学奇术!$A:$ZZ,22,FALSE)=1,0,(1-$BJ143))*(1-$BM143)</f>
        <v>0.09580389</v>
      </c>
      <c r="BR143" s="20" cm="1">
        <f t="array" ref="BR143">SUM(_xlfn.XLOOKUP(S143:AG143,增益!$A:$A,增益!$W:$W,0))+$I$5</f>
        <v>0.11</v>
      </c>
    </row>
    <row r="144" spans="11:70">
      <c r="K144" s="27">
        <f>$L144*VLOOKUP($R144,武学奇术!$A:$ZZ,31,FALSE)</f>
        <v>17663.1787775899</v>
      </c>
      <c r="L144" s="27">
        <f t="shared" si="22"/>
        <v>29438.6312959832</v>
      </c>
      <c r="M144" s="27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24483.7660858451</v>
      </c>
      <c r="N144" s="27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44217.6921451592</v>
      </c>
      <c r="O144" s="27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16322.5107238968</v>
      </c>
      <c r="P144" s="27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7549.84996926958</v>
      </c>
      <c r="Q144" s="35">
        <v>4</v>
      </c>
      <c r="R144" s="36" t="s">
        <v>159</v>
      </c>
      <c r="S144" s="36" t="s">
        <v>71</v>
      </c>
      <c r="T144" s="36" t="s">
        <v>99</v>
      </c>
      <c r="U144" s="36" t="s">
        <v>100</v>
      </c>
      <c r="V144" s="36" t="s">
        <v>71</v>
      </c>
      <c r="W144" s="36" t="s">
        <v>111</v>
      </c>
      <c r="X144" s="36" t="s">
        <v>71</v>
      </c>
      <c r="Y144" s="36" t="s">
        <v>71</v>
      </c>
      <c r="Z144" s="36" t="s">
        <v>71</v>
      </c>
      <c r="AA144" s="36" t="s">
        <v>71</v>
      </c>
      <c r="AB144" s="36" t="s">
        <v>71</v>
      </c>
      <c r="AC144" s="36" t="s">
        <v>71</v>
      </c>
      <c r="AD144" s="36" t="s">
        <v>72</v>
      </c>
      <c r="AE144" s="36" t="s">
        <v>94</v>
      </c>
      <c r="AF144" s="36" t="s">
        <v>148</v>
      </c>
      <c r="AG144" s="36" t="s">
        <v>120</v>
      </c>
      <c r="AH144" t="str">
        <f>VLOOKUP($R144,武学奇术!$A:$ZZ,25,FALSE)</f>
        <v>单体奇术</v>
      </c>
      <c r="AI144" s="20">
        <f>VLOOKUP($R144,武学奇术!$A:$ZZ,26,FALSE)</f>
        <v>0.236</v>
      </c>
      <c r="AJ144" s="21">
        <f>VLOOKUP($R144,武学奇术!$A:$ZZ,27,FALSE)*(1+IF(OR($AH144=$F$4,$AH144=$F$5),$B$22,0))</f>
        <v>44</v>
      </c>
      <c r="AK144" s="20">
        <f>VLOOKUP($R144,武学奇术!$A:$ZZ,28,FALSE)</f>
        <v>0.354</v>
      </c>
      <c r="AL144" s="21">
        <f>VLOOKUP($R144,武学奇术!$A:$ZZ,29,FALSE)*(1+IF(OR($AH144=$F$4,$AH144=$F$5),$B$22,0))</f>
        <v>0</v>
      </c>
      <c r="AM144" s="20" cm="1">
        <f t="array" ref="AM144">$G$3+IFERROR(VLOOKUP($AH144,$F$4:$G$7,2,FALSE),0)+VLOOKUP($R144,武学奇术!$A:$ZZ,2,FALSE)+SUM(_xlfn.XLOOKUP($S144:$AG144,增益!$A:$A,增益!$B:$B,0))</f>
        <v>1.3365</v>
      </c>
      <c r="AN144" s="20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1548.52</v>
      </c>
      <c r="AP144" cm="1">
        <f t="array" ref="AP144">$E$10*(1+$AN144)+VLOOKUP($R144,武学奇术!$A:$ZZ,4,FALSE)+SUM(_xlfn.XLOOKUP($S144:$AG144,增益!$A:$A,增益!$D:$D,0))-$I$2</f>
        <v>6659.56</v>
      </c>
      <c r="AQ144" s="29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0.2425</v>
      </c>
      <c r="AR144" s="29" cm="1">
        <f t="array" ref="AR144">$G$10+VLOOKUP($R144,武学奇术!$A:$ZZ,7,FALSE)+SUM(_xlfn.XLOOKUP(S144:AG144,增益!$A:$A,增益!$G:$G,0))</f>
        <v>0</v>
      </c>
      <c r="AS144" s="20" cm="1">
        <f t="array" ref="AS144">VLOOKUP($R144,武学奇术!$A:$ZZ,8,FALSE)+SUM(_xlfn.XLOOKUP(S144:AG144,增益!$A:$A,增益!$H:$H,0))</f>
        <v>0</v>
      </c>
      <c r="AT144">
        <f t="shared" si="23"/>
        <v>538</v>
      </c>
      <c r="AU144">
        <f t="shared" si="24"/>
        <v>1011</v>
      </c>
      <c r="AV144" s="29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0</v>
      </c>
      <c r="AW144" s="29" cm="1">
        <f t="array" ref="AW144">$G$11+VLOOKUP($R144,武学奇术!$A:$ZZ,10,FALSE)+SUM(_xlfn.XLOOKUP(S144:AG144,增益!$A:$A,增益!$J:$J,0))</f>
        <v>0.15</v>
      </c>
      <c r="AX144">
        <f t="shared" si="25"/>
        <v>0</v>
      </c>
      <c r="AY144">
        <f t="shared" si="26"/>
        <v>0</v>
      </c>
      <c r="AZ144" s="29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29" cm="1">
        <f t="array" ref="BA144">$G$12+VLOOKUP($R144,武学奇术!$A:$ZZ,12,FALSE)+SUM(_xlfn.XLOOKUP(S144:AG144,增益!$A:$A,增益!$L:$L,0))</f>
        <v>0</v>
      </c>
      <c r="BB144">
        <f t="shared" si="27"/>
        <v>0</v>
      </c>
      <c r="BC144">
        <f t="shared" si="28"/>
        <v>0</v>
      </c>
      <c r="BD144" s="29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29" cm="1">
        <f t="array" ref="BE144">$G$13+VLOOKUP($R144,武学奇术!$A:$ZZ,14,FALSE)+SUM(_xlfn.XLOOKUP(S144:AG144,增益!$A:$A,增益!$N:$N,0))</f>
        <v>0</v>
      </c>
      <c r="BF144">
        <f t="shared" si="29"/>
        <v>0</v>
      </c>
      <c r="BG144">
        <f t="shared" si="30"/>
        <v>0</v>
      </c>
      <c r="BH144" s="29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29" cm="1">
        <f t="array" ref="BI144">$G$14+VLOOKUP($R144,武学奇术!$A:$ZZ,16,FALSE)+SUM(_xlfn.XLOOKUP(S144:AG144,增益!$A:$A,增益!$P:$P,0))</f>
        <v>0</v>
      </c>
      <c r="BJ144" s="20">
        <f>MIN(IF(VLOOKUP($R144,武学奇术!$A:$ZZ,23,FALSE)=1,100%,$B$8),100%)</f>
        <v>0.8271</v>
      </c>
      <c r="BK144" s="20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0.2249</v>
      </c>
      <c r="BL144" s="20" cm="1">
        <f t="array" ref="BL144">1+$B$13+VLOOKUP($R144,武学奇术!$A:$ZZ,18,FALSE)+SUM(_xlfn.XLOOKUP(S144:AG144,增益!$A:$A,增益!$R:$R,0))</f>
        <v>1.5</v>
      </c>
      <c r="BM144" s="20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0.4459</v>
      </c>
      <c r="BN144" s="20" cm="1">
        <f t="array" ref="BN144">1+$B$14+VLOOKUP($R144,武学奇术!$A:$ZZ,20,FALSE)+SUM(_xlfn.XLOOKUP(S144:AG144,增益!$A:$A,增益!$T:$T,0))</f>
        <v>1.762</v>
      </c>
      <c r="BO144" s="20">
        <f t="shared" si="31"/>
        <v>0.18601479</v>
      </c>
      <c r="BP144" s="20">
        <f t="shared" si="32"/>
        <v>0.27228132</v>
      </c>
      <c r="BQ144" s="20">
        <f>IF(VLOOKUP($R144,武学奇术!$A:$ZZ,22,FALSE)=1,0,(1-$BJ144))*(1-$BM144)</f>
        <v>0.09580389</v>
      </c>
      <c r="BR144" s="20" cm="1">
        <f t="array" ref="BR144">SUM(_xlfn.XLOOKUP(S144:AG144,增益!$A:$A,增益!$W:$W,0))+$I$5</f>
        <v>0.11</v>
      </c>
    </row>
    <row r="145" spans="11:70">
      <c r="K145" s="27">
        <f>$L145*VLOOKUP($R145,武学奇术!$A:$ZZ,31,FALSE)</f>
        <v>26595.4775990454</v>
      </c>
      <c r="L145" s="27">
        <f t="shared" si="22"/>
        <v>44325.795998409</v>
      </c>
      <c r="M145" s="27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36725.6491287677</v>
      </c>
      <c r="N145" s="27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66702.9657899166</v>
      </c>
      <c r="O145" s="27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24483.7660858451</v>
      </c>
      <c r="P145" s="27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11324.7749539044</v>
      </c>
      <c r="Q145" s="35">
        <v>6</v>
      </c>
      <c r="R145" s="36" t="s">
        <v>159</v>
      </c>
      <c r="S145" s="36" t="s">
        <v>71</v>
      </c>
      <c r="T145" s="36" t="s">
        <v>99</v>
      </c>
      <c r="U145" s="36" t="s">
        <v>100</v>
      </c>
      <c r="V145" s="36" t="s">
        <v>71</v>
      </c>
      <c r="W145" s="36" t="s">
        <v>111</v>
      </c>
      <c r="X145" s="36" t="s">
        <v>71</v>
      </c>
      <c r="Y145" s="36" t="s">
        <v>71</v>
      </c>
      <c r="Z145" s="36" t="s">
        <v>71</v>
      </c>
      <c r="AA145" s="36" t="s">
        <v>71</v>
      </c>
      <c r="AB145" s="36" t="s">
        <v>71</v>
      </c>
      <c r="AC145" s="36" t="s">
        <v>71</v>
      </c>
      <c r="AD145" s="36" t="s">
        <v>72</v>
      </c>
      <c r="AE145" s="36" t="s">
        <v>94</v>
      </c>
      <c r="AF145" s="36" t="s">
        <v>150</v>
      </c>
      <c r="AG145" s="36" t="s">
        <v>120</v>
      </c>
      <c r="AH145" t="str">
        <f>VLOOKUP($R145,武学奇术!$A:$ZZ,25,FALSE)</f>
        <v>单体奇术</v>
      </c>
      <c r="AI145" s="20">
        <f>VLOOKUP($R145,武学奇术!$A:$ZZ,26,FALSE)</f>
        <v>0.236</v>
      </c>
      <c r="AJ145" s="21">
        <f>VLOOKUP($R145,武学奇术!$A:$ZZ,27,FALSE)*(1+IF(OR($AH145=$F$4,$AH145=$F$5),$B$22,0))</f>
        <v>44</v>
      </c>
      <c r="AK145" s="20">
        <f>VLOOKUP($R145,武学奇术!$A:$ZZ,28,FALSE)</f>
        <v>0.354</v>
      </c>
      <c r="AL145" s="21">
        <f>VLOOKUP($R145,武学奇术!$A:$ZZ,29,FALSE)*(1+IF(OR($AH145=$F$4,$AH145=$F$5),$B$22,0))</f>
        <v>0</v>
      </c>
      <c r="AM145" s="20" cm="1">
        <f t="array" ref="AM145">$G$3+IFERROR(VLOOKUP($AH145,$F$4:$G$7,2,FALSE),0)+VLOOKUP($R145,武学奇术!$A:$ZZ,2,FALSE)+SUM(_xlfn.XLOOKUP($S145:$AG145,增益!$A:$A,增益!$B:$B,0))</f>
        <v>1.3365</v>
      </c>
      <c r="AN145" s="20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1548.52</v>
      </c>
      <c r="AP145" cm="1">
        <f t="array" ref="AP145">$E$10*(1+$AN145)+VLOOKUP($R145,武学奇术!$A:$ZZ,4,FALSE)+SUM(_xlfn.XLOOKUP($S145:$AG145,增益!$A:$A,增益!$D:$D,0))-$I$2</f>
        <v>6659.56</v>
      </c>
      <c r="AQ145" s="29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0.2425</v>
      </c>
      <c r="AR145" s="29" cm="1">
        <f t="array" ref="AR145">$G$10+VLOOKUP($R145,武学奇术!$A:$ZZ,7,FALSE)+SUM(_xlfn.XLOOKUP(S145:AG145,增益!$A:$A,增益!$G:$G,0))</f>
        <v>0</v>
      </c>
      <c r="AS145" s="20" cm="1">
        <f t="array" ref="AS145">VLOOKUP($R145,武学奇术!$A:$ZZ,8,FALSE)+SUM(_xlfn.XLOOKUP(S145:AG145,增益!$A:$A,增益!$H:$H,0))</f>
        <v>0</v>
      </c>
      <c r="AT145">
        <f t="shared" si="23"/>
        <v>538</v>
      </c>
      <c r="AU145">
        <f t="shared" si="24"/>
        <v>1011</v>
      </c>
      <c r="AV145" s="29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0</v>
      </c>
      <c r="AW145" s="29" cm="1">
        <f t="array" ref="AW145">$G$11+VLOOKUP($R145,武学奇术!$A:$ZZ,10,FALSE)+SUM(_xlfn.XLOOKUP(S145:AG145,增益!$A:$A,增益!$J:$J,0))</f>
        <v>0.15</v>
      </c>
      <c r="AX145">
        <f t="shared" si="25"/>
        <v>0</v>
      </c>
      <c r="AY145">
        <f t="shared" si="26"/>
        <v>0</v>
      </c>
      <c r="AZ145" s="29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29" cm="1">
        <f t="array" ref="BA145">$G$12+VLOOKUP($R145,武学奇术!$A:$ZZ,12,FALSE)+SUM(_xlfn.XLOOKUP(S145:AG145,增益!$A:$A,增益!$L:$L,0))</f>
        <v>0</v>
      </c>
      <c r="BB145">
        <f t="shared" si="27"/>
        <v>0</v>
      </c>
      <c r="BC145">
        <f t="shared" si="28"/>
        <v>0</v>
      </c>
      <c r="BD145" s="29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29" cm="1">
        <f t="array" ref="BE145">$G$13+VLOOKUP($R145,武学奇术!$A:$ZZ,14,FALSE)+SUM(_xlfn.XLOOKUP(S145:AG145,增益!$A:$A,增益!$N:$N,0))</f>
        <v>0</v>
      </c>
      <c r="BF145">
        <f t="shared" si="29"/>
        <v>0</v>
      </c>
      <c r="BG145">
        <f t="shared" si="30"/>
        <v>0</v>
      </c>
      <c r="BH145" s="29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29" cm="1">
        <f t="array" ref="BI145">$G$14+VLOOKUP($R145,武学奇术!$A:$ZZ,16,FALSE)+SUM(_xlfn.XLOOKUP(S145:AG145,增益!$A:$A,增益!$P:$P,0))</f>
        <v>0</v>
      </c>
      <c r="BJ145" s="20">
        <f>MIN(IF(VLOOKUP($R145,武学奇术!$A:$ZZ,23,FALSE)=1,100%,$B$8),100%)</f>
        <v>0.8271</v>
      </c>
      <c r="BK145" s="20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0.2249</v>
      </c>
      <c r="BL145" s="20" cm="1">
        <f t="array" ref="BL145">1+$B$13+VLOOKUP($R145,武学奇术!$A:$ZZ,18,FALSE)+SUM(_xlfn.XLOOKUP(S145:AG145,增益!$A:$A,增益!$R:$R,0))</f>
        <v>1.5</v>
      </c>
      <c r="BM145" s="20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0.4459</v>
      </c>
      <c r="BN145" s="20" cm="1">
        <f t="array" ref="BN145">1+$B$14+VLOOKUP($R145,武学奇术!$A:$ZZ,20,FALSE)+SUM(_xlfn.XLOOKUP(S145:AG145,增益!$A:$A,增益!$T:$T,0))</f>
        <v>1.772</v>
      </c>
      <c r="BO145" s="20">
        <f t="shared" si="31"/>
        <v>0.18601479</v>
      </c>
      <c r="BP145" s="20">
        <f t="shared" si="32"/>
        <v>0.27228132</v>
      </c>
      <c r="BQ145" s="20">
        <f>IF(VLOOKUP($R145,武学奇术!$A:$ZZ,22,FALSE)=1,0,(1-$BJ145))*(1-$BM145)</f>
        <v>0.09580389</v>
      </c>
      <c r="BR145" s="20" cm="1">
        <f t="array" ref="BR145">SUM(_xlfn.XLOOKUP(S145:AG145,增益!$A:$A,增益!$W:$W,0))+$I$5</f>
        <v>0.11</v>
      </c>
    </row>
    <row r="146" spans="11:70">
      <c r="K146" s="27">
        <f>$L146*VLOOKUP($R146,武学奇术!$A:$ZZ,31,FALSE)</f>
        <v>17797.4580211372</v>
      </c>
      <c r="L146" s="27">
        <f t="shared" si="22"/>
        <v>29662.4300352287</v>
      </c>
      <c r="M146" s="27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24483.7660858451</v>
      </c>
      <c r="N146" s="27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44719.5955747296</v>
      </c>
      <c r="O146" s="27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16322.5107238968</v>
      </c>
      <c r="P146" s="27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7549.84996926958</v>
      </c>
      <c r="Q146" s="35">
        <v>4</v>
      </c>
      <c r="R146" s="36" t="s">
        <v>159</v>
      </c>
      <c r="S146" s="36" t="s">
        <v>71</v>
      </c>
      <c r="T146" s="36" t="s">
        <v>99</v>
      </c>
      <c r="U146" s="36" t="s">
        <v>100</v>
      </c>
      <c r="V146" s="36" t="s">
        <v>71</v>
      </c>
      <c r="W146" s="36" t="s">
        <v>111</v>
      </c>
      <c r="X146" s="36" t="s">
        <v>71</v>
      </c>
      <c r="Y146" s="36" t="s">
        <v>71</v>
      </c>
      <c r="Z146" s="36" t="s">
        <v>71</v>
      </c>
      <c r="AA146" s="36" t="s">
        <v>71</v>
      </c>
      <c r="AB146" s="36" t="s">
        <v>71</v>
      </c>
      <c r="AC146" s="36" t="s">
        <v>71</v>
      </c>
      <c r="AD146" s="36" t="s">
        <v>72</v>
      </c>
      <c r="AE146" s="36" t="s">
        <v>94</v>
      </c>
      <c r="AF146" s="36" t="s">
        <v>154</v>
      </c>
      <c r="AG146" s="36" t="s">
        <v>120</v>
      </c>
      <c r="AH146" t="str">
        <f>VLOOKUP($R146,武学奇术!$A:$ZZ,25,FALSE)</f>
        <v>单体奇术</v>
      </c>
      <c r="AI146" s="20">
        <f>VLOOKUP($R146,武学奇术!$A:$ZZ,26,FALSE)</f>
        <v>0.236</v>
      </c>
      <c r="AJ146" s="21">
        <f>VLOOKUP($R146,武学奇术!$A:$ZZ,27,FALSE)*(1+IF(OR($AH146=$F$4,$AH146=$F$5),$B$22,0))</f>
        <v>44</v>
      </c>
      <c r="AK146" s="20">
        <f>VLOOKUP($R146,武学奇术!$A:$ZZ,28,FALSE)</f>
        <v>0.354</v>
      </c>
      <c r="AL146" s="21">
        <f>VLOOKUP($R146,武学奇术!$A:$ZZ,29,FALSE)*(1+IF(OR($AH146=$F$4,$AH146=$F$5),$B$22,0))</f>
        <v>0</v>
      </c>
      <c r="AM146" s="20" cm="1">
        <f t="array" ref="AM146">$G$3+IFERROR(VLOOKUP($AH146,$F$4:$G$7,2,FALSE),0)+VLOOKUP($R146,武学奇术!$A:$ZZ,2,FALSE)+SUM(_xlfn.XLOOKUP($S146:$AG146,增益!$A:$A,增益!$B:$B,0))</f>
        <v>1.3365</v>
      </c>
      <c r="AN146" s="20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1548.52</v>
      </c>
      <c r="AP146" cm="1">
        <f t="array" ref="AP146">$E$10*(1+$AN146)+VLOOKUP($R146,武学奇术!$A:$ZZ,4,FALSE)+SUM(_xlfn.XLOOKUP($S146:$AG146,增益!$A:$A,增益!$D:$D,0))-$I$2</f>
        <v>6659.56</v>
      </c>
      <c r="AQ146" s="29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0.2425</v>
      </c>
      <c r="AR146" s="29" cm="1">
        <f t="array" ref="AR146">$G$10+VLOOKUP($R146,武学奇术!$A:$ZZ,7,FALSE)+SUM(_xlfn.XLOOKUP(S146:AG146,增益!$A:$A,增益!$G:$G,0))</f>
        <v>0</v>
      </c>
      <c r="AS146" s="20" cm="1">
        <f t="array" ref="AS146">VLOOKUP($R146,武学奇术!$A:$ZZ,8,FALSE)+SUM(_xlfn.XLOOKUP(S146:AG146,增益!$A:$A,增益!$H:$H,0))</f>
        <v>0</v>
      </c>
      <c r="AT146">
        <f t="shared" si="23"/>
        <v>538</v>
      </c>
      <c r="AU146">
        <f t="shared" si="24"/>
        <v>1011</v>
      </c>
      <c r="AV146" s="29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</v>
      </c>
      <c r="AW146" s="29" cm="1">
        <f t="array" ref="AW146">$G$11+VLOOKUP($R146,武学奇术!$A:$ZZ,10,FALSE)+SUM(_xlfn.XLOOKUP(S146:AG146,增益!$A:$A,增益!$J:$J,0))</f>
        <v>0.15</v>
      </c>
      <c r="AX146">
        <f t="shared" si="25"/>
        <v>0</v>
      </c>
      <c r="AY146">
        <f t="shared" si="26"/>
        <v>0</v>
      </c>
      <c r="AZ146" s="29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-0.3</v>
      </c>
      <c r="BA146" s="29" cm="1">
        <f t="array" ref="BA146">$G$12+VLOOKUP($R146,武学奇术!$A:$ZZ,12,FALSE)+SUM(_xlfn.XLOOKUP(S146:AG146,增益!$A:$A,增益!$L:$L,0))</f>
        <v>0</v>
      </c>
      <c r="BB146">
        <f t="shared" si="27"/>
        <v>0</v>
      </c>
      <c r="BC146">
        <f t="shared" si="28"/>
        <v>0</v>
      </c>
      <c r="BD146" s="29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-0.3</v>
      </c>
      <c r="BE146" s="29" cm="1">
        <f t="array" ref="BE146">$G$13+VLOOKUP($R146,武学奇术!$A:$ZZ,14,FALSE)+SUM(_xlfn.XLOOKUP(S146:AG146,增益!$A:$A,增益!$N:$N,0))</f>
        <v>0</v>
      </c>
      <c r="BF146">
        <f t="shared" si="29"/>
        <v>0</v>
      </c>
      <c r="BG146">
        <f t="shared" si="30"/>
        <v>0</v>
      </c>
      <c r="BH146" s="29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-0.3</v>
      </c>
      <c r="BI146" s="29" cm="1">
        <f t="array" ref="BI146">$G$14+VLOOKUP($R146,武学奇术!$A:$ZZ,16,FALSE)+SUM(_xlfn.XLOOKUP(S146:AG146,增益!$A:$A,增益!$P:$P,0))</f>
        <v>0</v>
      </c>
      <c r="BJ146" s="20">
        <f>MIN(IF(VLOOKUP($R146,武学奇术!$A:$ZZ,23,FALSE)=1,100%,$B$8),100%)</f>
        <v>0.8271</v>
      </c>
      <c r="BK146" s="20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0.2249</v>
      </c>
      <c r="BL146" s="20" cm="1">
        <f t="array" ref="BL146">1+$B$13+VLOOKUP($R146,武学奇术!$A:$ZZ,18,FALSE)+SUM(_xlfn.XLOOKUP(S146:AG146,增益!$A:$A,增益!$R:$R,0))</f>
        <v>1.5</v>
      </c>
      <c r="BM146" s="20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0.4459</v>
      </c>
      <c r="BN146" s="20" cm="1">
        <f t="array" ref="BN146">1+$B$14+VLOOKUP($R146,武学奇术!$A:$ZZ,20,FALSE)+SUM(_xlfn.XLOOKUP(S146:AG146,增益!$A:$A,增益!$T:$T,0))</f>
        <v>1.782</v>
      </c>
      <c r="BO146" s="20">
        <f t="shared" si="31"/>
        <v>0.18601479</v>
      </c>
      <c r="BP146" s="20">
        <f t="shared" si="32"/>
        <v>0.27228132</v>
      </c>
      <c r="BQ146" s="20">
        <f>IF(VLOOKUP($R146,武学奇术!$A:$ZZ,22,FALSE)=1,0,(1-$BJ146))*(1-$BM146)</f>
        <v>0.09580389</v>
      </c>
      <c r="BR146" s="20" cm="1">
        <f t="array" ref="BR146">SUM(_xlfn.XLOOKUP(S146:AG146,增益!$A:$A,增益!$W:$W,0))+$I$5</f>
        <v>0.11</v>
      </c>
    </row>
    <row r="147" spans="11:70">
      <c r="K147" s="27">
        <f>$L147*VLOOKUP($R147,武学奇术!$A:$ZZ,31,FALSE)</f>
        <v>29101.2489264541</v>
      </c>
      <c r="L147" s="27">
        <f t="shared" si="22"/>
        <v>48502.0815440902</v>
      </c>
      <c r="M147" s="27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40034.2661673954</v>
      </c>
      <c r="N147" s="27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73122.5819532741</v>
      </c>
      <c r="O147" s="27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26689.5107782636</v>
      </c>
      <c r="P147" s="27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12345.0249497516</v>
      </c>
      <c r="Q147" s="35">
        <v>6</v>
      </c>
      <c r="R147" s="36" t="s">
        <v>159</v>
      </c>
      <c r="S147" s="36" t="s">
        <v>152</v>
      </c>
      <c r="T147" s="36" t="s">
        <v>99</v>
      </c>
      <c r="U147" s="36" t="s">
        <v>100</v>
      </c>
      <c r="V147" s="36" t="s">
        <v>71</v>
      </c>
      <c r="W147" s="36" t="s">
        <v>111</v>
      </c>
      <c r="X147" s="36" t="s">
        <v>71</v>
      </c>
      <c r="Y147" s="36" t="s">
        <v>71</v>
      </c>
      <c r="Z147" s="36" t="s">
        <v>71</v>
      </c>
      <c r="AA147" s="36" t="s">
        <v>71</v>
      </c>
      <c r="AB147" s="36" t="s">
        <v>71</v>
      </c>
      <c r="AC147" s="36" t="s">
        <v>71</v>
      </c>
      <c r="AD147" s="36" t="s">
        <v>72</v>
      </c>
      <c r="AE147" s="36" t="s">
        <v>94</v>
      </c>
      <c r="AF147" s="36" t="s">
        <v>154</v>
      </c>
      <c r="AG147" s="36" t="s">
        <v>120</v>
      </c>
      <c r="AH147" t="str">
        <f>VLOOKUP($R147,武学奇术!$A:$ZZ,25,FALSE)</f>
        <v>单体奇术</v>
      </c>
      <c r="AI147" s="20">
        <f>VLOOKUP($R147,武学奇术!$A:$ZZ,26,FALSE)</f>
        <v>0.236</v>
      </c>
      <c r="AJ147" s="21">
        <f>VLOOKUP($R147,武学奇术!$A:$ZZ,27,FALSE)*(1+IF(OR($AH147=$F$4,$AH147=$F$5),$B$22,0))</f>
        <v>44</v>
      </c>
      <c r="AK147" s="20">
        <f>VLOOKUP($R147,武学奇术!$A:$ZZ,28,FALSE)</f>
        <v>0.354</v>
      </c>
      <c r="AL147" s="21">
        <f>VLOOKUP($R147,武学奇术!$A:$ZZ,29,FALSE)*(1+IF(OR($AH147=$F$4,$AH147=$F$5),$B$22,0))</f>
        <v>0</v>
      </c>
      <c r="AM147" s="20" cm="1">
        <f t="array" ref="AM147">$G$3+IFERROR(VLOOKUP($AH147,$F$4:$G$7,2,FALSE),0)+VLOOKUP($R147,武学奇术!$A:$ZZ,2,FALSE)+SUM(_xlfn.XLOOKUP($S147:$AG147,增益!$A:$A,增益!$B:$B,0))</f>
        <v>1.3365</v>
      </c>
      <c r="AN147" s="20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1548.52</v>
      </c>
      <c r="AP147" cm="1">
        <f t="array" ref="AP147">$E$10*(1+$AN147)+VLOOKUP($R147,武学奇术!$A:$ZZ,4,FALSE)+SUM(_xlfn.XLOOKUP($S147:$AG147,增益!$A:$A,增益!$D:$D,0))-$I$2</f>
        <v>6659.56</v>
      </c>
      <c r="AQ147" s="29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0.2425</v>
      </c>
      <c r="AR147" s="29" cm="1">
        <f t="array" ref="AR147">$G$10+VLOOKUP($R147,武学奇术!$A:$ZZ,7,FALSE)+SUM(_xlfn.XLOOKUP(S147:AG147,增益!$A:$A,增益!$G:$G,0))</f>
        <v>0</v>
      </c>
      <c r="AS147" s="20" cm="1">
        <f t="array" ref="AS147">VLOOKUP($R147,武学奇术!$A:$ZZ,8,FALSE)+SUM(_xlfn.XLOOKUP(S147:AG147,增益!$A:$A,增益!$H:$H,0))</f>
        <v>0</v>
      </c>
      <c r="AT147">
        <f t="shared" si="23"/>
        <v>538</v>
      </c>
      <c r="AU147">
        <f t="shared" si="24"/>
        <v>1011</v>
      </c>
      <c r="AV147" s="29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</v>
      </c>
      <c r="AW147" s="29" cm="1">
        <f t="array" ref="AW147">$G$11+VLOOKUP($R147,武学奇术!$A:$ZZ,10,FALSE)+SUM(_xlfn.XLOOKUP(S147:AG147,增益!$A:$A,增益!$J:$J,0))</f>
        <v>0.15</v>
      </c>
      <c r="AX147">
        <f t="shared" si="25"/>
        <v>0</v>
      </c>
      <c r="AY147">
        <f t="shared" si="26"/>
        <v>0</v>
      </c>
      <c r="AZ147" s="29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-0.3</v>
      </c>
      <c r="BA147" s="29" cm="1">
        <f t="array" ref="BA147">$G$12+VLOOKUP($R147,武学奇术!$A:$ZZ,12,FALSE)+SUM(_xlfn.XLOOKUP(S147:AG147,增益!$A:$A,增益!$L:$L,0))</f>
        <v>0</v>
      </c>
      <c r="BB147">
        <f t="shared" si="27"/>
        <v>0</v>
      </c>
      <c r="BC147">
        <f t="shared" si="28"/>
        <v>0</v>
      </c>
      <c r="BD147" s="29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-0.3</v>
      </c>
      <c r="BE147" s="29" cm="1">
        <f t="array" ref="BE147">$G$13+VLOOKUP($R147,武学奇术!$A:$ZZ,14,FALSE)+SUM(_xlfn.XLOOKUP(S147:AG147,增益!$A:$A,增益!$N:$N,0))</f>
        <v>0</v>
      </c>
      <c r="BF147">
        <f t="shared" si="29"/>
        <v>0</v>
      </c>
      <c r="BG147">
        <f t="shared" si="30"/>
        <v>0</v>
      </c>
      <c r="BH147" s="29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-0.3</v>
      </c>
      <c r="BI147" s="29" cm="1">
        <f t="array" ref="BI147">$G$14+VLOOKUP($R147,武学奇术!$A:$ZZ,16,FALSE)+SUM(_xlfn.XLOOKUP(S147:AG147,增益!$A:$A,增益!$P:$P,0))</f>
        <v>0</v>
      </c>
      <c r="BJ147" s="20">
        <f>MIN(IF(VLOOKUP($R147,武学奇术!$A:$ZZ,23,FALSE)=1,100%,$B$8),100%)</f>
        <v>0.8271</v>
      </c>
      <c r="BK147" s="20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0.2249</v>
      </c>
      <c r="BL147" s="20" cm="1">
        <f t="array" ref="BL147">1+$B$13+VLOOKUP($R147,武学奇术!$A:$ZZ,18,FALSE)+SUM(_xlfn.XLOOKUP(S147:AG147,增益!$A:$A,增益!$R:$R,0))</f>
        <v>1.5</v>
      </c>
      <c r="BM147" s="20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0.4459</v>
      </c>
      <c r="BN147" s="20" cm="1">
        <f t="array" ref="BN147">1+$B$14+VLOOKUP($R147,武学奇术!$A:$ZZ,20,FALSE)+SUM(_xlfn.XLOOKUP(S147:AG147,增益!$A:$A,增益!$T:$T,0))</f>
        <v>1.782</v>
      </c>
      <c r="BO147" s="20">
        <f t="shared" si="31"/>
        <v>0.18601479</v>
      </c>
      <c r="BP147" s="20">
        <f t="shared" si="32"/>
        <v>0.27228132</v>
      </c>
      <c r="BQ147" s="20">
        <f>IF(VLOOKUP($R147,武学奇术!$A:$ZZ,22,FALSE)=1,0,(1-$BJ147))*(1-$BM147)</f>
        <v>0.09580389</v>
      </c>
      <c r="BR147" s="20" cm="1">
        <f t="array" ref="BR147">SUM(_xlfn.XLOOKUP(S147:AG147,增益!$A:$A,增益!$W:$W,0))+$I$5</f>
        <v>0.21</v>
      </c>
    </row>
    <row r="148" spans="11:70">
      <c r="K148" s="27">
        <f>$L148*VLOOKUP($R148,武学奇术!$A:$ZZ,31,FALSE)</f>
        <v>28967.8663785703</v>
      </c>
      <c r="L148" s="27">
        <f t="shared" si="22"/>
        <v>48279.7772976172</v>
      </c>
      <c r="M148" s="27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39802.9724909624</v>
      </c>
      <c r="N148" s="27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72847.8050656717</v>
      </c>
      <c r="O148" s="27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26535.3149939749</v>
      </c>
      <c r="P148" s="27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12190.8291654629</v>
      </c>
      <c r="Q148" s="35">
        <v>6</v>
      </c>
      <c r="R148" s="36" t="s">
        <v>159</v>
      </c>
      <c r="S148" s="36" t="s">
        <v>152</v>
      </c>
      <c r="T148" s="36" t="s">
        <v>99</v>
      </c>
      <c r="U148" s="36" t="s">
        <v>100</v>
      </c>
      <c r="V148" s="36" t="s">
        <v>71</v>
      </c>
      <c r="W148" s="36" t="s">
        <v>71</v>
      </c>
      <c r="X148" s="36" t="s">
        <v>71</v>
      </c>
      <c r="Y148" s="36" t="s">
        <v>71</v>
      </c>
      <c r="Z148" s="36" t="s">
        <v>71</v>
      </c>
      <c r="AA148" s="36" t="s">
        <v>71</v>
      </c>
      <c r="AB148" s="36" t="s">
        <v>71</v>
      </c>
      <c r="AC148" s="36" t="s">
        <v>71</v>
      </c>
      <c r="AD148" s="36" t="s">
        <v>72</v>
      </c>
      <c r="AE148" s="36" t="s">
        <v>94</v>
      </c>
      <c r="AF148" s="36" t="s">
        <v>154</v>
      </c>
      <c r="AG148" s="36" t="s">
        <v>120</v>
      </c>
      <c r="AH148" t="str">
        <f>VLOOKUP($R148,武学奇术!$A:$ZZ,25,FALSE)</f>
        <v>单体奇术</v>
      </c>
      <c r="AI148" s="20">
        <f>VLOOKUP($R148,武学奇术!$A:$ZZ,26,FALSE)</f>
        <v>0.236</v>
      </c>
      <c r="AJ148" s="21">
        <f>VLOOKUP($R148,武学奇术!$A:$ZZ,27,FALSE)*(1+IF(OR($AH148=$F$4,$AH148=$F$5),$B$22,0))</f>
        <v>44</v>
      </c>
      <c r="AK148" s="20">
        <f>VLOOKUP($R148,武学奇术!$A:$ZZ,28,FALSE)</f>
        <v>0.354</v>
      </c>
      <c r="AL148" s="21">
        <f>VLOOKUP($R148,武学奇术!$A:$ZZ,29,FALSE)*(1+IF(OR($AH148=$F$4,$AH148=$F$5),$B$22,0))</f>
        <v>0</v>
      </c>
      <c r="AM148" s="20" cm="1">
        <f t="array" ref="AM148">$G$3+IFERROR(VLOOKUP($AH148,$F$4:$G$7,2,FALSE),0)+VLOOKUP($R148,武学奇术!$A:$ZZ,2,FALSE)+SUM(_xlfn.XLOOKUP($S148:$AG148,增益!$A:$A,增益!$B:$B,0))</f>
        <v>1.3365</v>
      </c>
      <c r="AN148" s="20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1517.52</v>
      </c>
      <c r="AP148" cm="1">
        <f t="array" ref="AP148">$E$10*(1+$AN148)+VLOOKUP($R148,武学奇术!$A:$ZZ,4,FALSE)+SUM(_xlfn.XLOOKUP($S148:$AG148,增益!$A:$A,增益!$D:$D,0))-$I$2</f>
        <v>6628.56</v>
      </c>
      <c r="AQ148" s="29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0.2425</v>
      </c>
      <c r="AR148" s="29" cm="1">
        <f t="array" ref="AR148">$G$10+VLOOKUP($R148,武学奇术!$A:$ZZ,7,FALSE)+SUM(_xlfn.XLOOKUP(S148:AG148,增益!$A:$A,增益!$G:$G,0))</f>
        <v>0</v>
      </c>
      <c r="AS148" s="20" cm="1">
        <f t="array" ref="AS148">VLOOKUP($R148,武学奇术!$A:$ZZ,8,FALSE)+SUM(_xlfn.XLOOKUP(S148:AG148,增益!$A:$A,增益!$H:$H,0))</f>
        <v>0</v>
      </c>
      <c r="AT148">
        <f t="shared" si="23"/>
        <v>538</v>
      </c>
      <c r="AU148">
        <f t="shared" si="24"/>
        <v>1011</v>
      </c>
      <c r="AV148" s="29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</v>
      </c>
      <c r="AW148" s="29" cm="1">
        <f t="array" ref="AW148">$G$11+VLOOKUP($R148,武学奇术!$A:$ZZ,10,FALSE)+SUM(_xlfn.XLOOKUP(S148:AG148,增益!$A:$A,增益!$J:$J,0))</f>
        <v>0.15</v>
      </c>
      <c r="AX148">
        <f t="shared" si="25"/>
        <v>0</v>
      </c>
      <c r="AY148">
        <f t="shared" si="26"/>
        <v>0</v>
      </c>
      <c r="AZ148" s="29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-0.3</v>
      </c>
      <c r="BA148" s="29" cm="1">
        <f t="array" ref="BA148">$G$12+VLOOKUP($R148,武学奇术!$A:$ZZ,12,FALSE)+SUM(_xlfn.XLOOKUP(S148:AG148,增益!$A:$A,增益!$L:$L,0))</f>
        <v>0</v>
      </c>
      <c r="BB148">
        <f t="shared" si="27"/>
        <v>0</v>
      </c>
      <c r="BC148">
        <f t="shared" si="28"/>
        <v>0</v>
      </c>
      <c r="BD148" s="29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-0.3</v>
      </c>
      <c r="BE148" s="29" cm="1">
        <f t="array" ref="BE148">$G$13+VLOOKUP($R148,武学奇术!$A:$ZZ,14,FALSE)+SUM(_xlfn.XLOOKUP(S148:AG148,增益!$A:$A,增益!$N:$N,0))</f>
        <v>0</v>
      </c>
      <c r="BF148">
        <f t="shared" si="29"/>
        <v>0</v>
      </c>
      <c r="BG148">
        <f t="shared" si="30"/>
        <v>0</v>
      </c>
      <c r="BH148" s="29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-0.3</v>
      </c>
      <c r="BI148" s="29" cm="1">
        <f t="array" ref="BI148">$G$14+VLOOKUP($R148,武学奇术!$A:$ZZ,16,FALSE)+SUM(_xlfn.XLOOKUP(S148:AG148,增益!$A:$A,增益!$P:$P,0))</f>
        <v>0</v>
      </c>
      <c r="BJ148" s="20">
        <f>MIN(IF(VLOOKUP($R148,武学奇术!$A:$ZZ,23,FALSE)=1,100%,$B$8),100%)</f>
        <v>0.8271</v>
      </c>
      <c r="BK148" s="20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0.2249</v>
      </c>
      <c r="BL148" s="20" cm="1">
        <f t="array" ref="BL148">1+$B$13+VLOOKUP($R148,武学奇术!$A:$ZZ,18,FALSE)+SUM(_xlfn.XLOOKUP(S148:AG148,增益!$A:$A,增益!$R:$R,0))</f>
        <v>1.5</v>
      </c>
      <c r="BM148" s="20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0.4459</v>
      </c>
      <c r="BN148" s="20" cm="1">
        <f t="array" ref="BN148">1+$B$14+VLOOKUP($R148,武学奇术!$A:$ZZ,20,FALSE)+SUM(_xlfn.XLOOKUP(S148:AG148,增益!$A:$A,增益!$T:$T,0))</f>
        <v>1.782</v>
      </c>
      <c r="BO148" s="20">
        <f t="shared" si="31"/>
        <v>0.18601479</v>
      </c>
      <c r="BP148" s="20">
        <f t="shared" si="32"/>
        <v>0.27228132</v>
      </c>
      <c r="BQ148" s="20">
        <f>IF(VLOOKUP($R148,武学奇术!$A:$ZZ,22,FALSE)=1,0,(1-$BJ148))*(1-$BM148)</f>
        <v>0.09580389</v>
      </c>
      <c r="BR148" s="20" cm="1">
        <f t="array" ref="BR148">SUM(_xlfn.XLOOKUP(S148:AG148,增益!$A:$A,增益!$W:$W,0))+$I$5</f>
        <v>0.21</v>
      </c>
    </row>
    <row r="149" spans="11:70">
      <c r="K149" s="27">
        <f>$L149*VLOOKUP($R149,武学奇术!$A:$ZZ,31,FALSE)</f>
        <v>9655.95545952344</v>
      </c>
      <c r="L149" s="27">
        <f t="shared" si="22"/>
        <v>16093.2590992057</v>
      </c>
      <c r="M149" s="27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13267.6574969875</v>
      </c>
      <c r="N149" s="27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24282.6016885572</v>
      </c>
      <c r="O149" s="27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8845.10499799164</v>
      </c>
      <c r="P149" s="27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4063.60972182097</v>
      </c>
      <c r="Q149" s="35">
        <v>2</v>
      </c>
      <c r="R149" s="36" t="s">
        <v>159</v>
      </c>
      <c r="S149" s="36" t="s">
        <v>152</v>
      </c>
      <c r="T149" s="36" t="s">
        <v>99</v>
      </c>
      <c r="U149" s="36" t="s">
        <v>100</v>
      </c>
      <c r="V149" s="36" t="s">
        <v>71</v>
      </c>
      <c r="W149" s="36" t="s">
        <v>71</v>
      </c>
      <c r="X149" s="36" t="s">
        <v>71</v>
      </c>
      <c r="Y149" s="36" t="s">
        <v>71</v>
      </c>
      <c r="Z149" s="36" t="s">
        <v>71</v>
      </c>
      <c r="AA149" s="36" t="s">
        <v>71</v>
      </c>
      <c r="AB149" s="36" t="s">
        <v>71</v>
      </c>
      <c r="AC149" s="36" t="s">
        <v>71</v>
      </c>
      <c r="AD149" s="36" t="s">
        <v>72</v>
      </c>
      <c r="AE149" s="36" t="s">
        <v>94</v>
      </c>
      <c r="AF149" s="36" t="s">
        <v>154</v>
      </c>
      <c r="AG149" s="36" t="s">
        <v>120</v>
      </c>
      <c r="AH149" t="str">
        <f>VLOOKUP($R149,武学奇术!$A:$ZZ,25,FALSE)</f>
        <v>单体奇术</v>
      </c>
      <c r="AI149" s="20">
        <f>VLOOKUP($R149,武学奇术!$A:$ZZ,26,FALSE)</f>
        <v>0.236</v>
      </c>
      <c r="AJ149" s="21">
        <f>VLOOKUP($R149,武学奇术!$A:$ZZ,27,FALSE)*(1+IF(OR($AH149=$F$4,$AH149=$F$5),$B$22,0))</f>
        <v>44</v>
      </c>
      <c r="AK149" s="20">
        <f>VLOOKUP($R149,武学奇术!$A:$ZZ,28,FALSE)</f>
        <v>0.354</v>
      </c>
      <c r="AL149" s="21">
        <f>VLOOKUP($R149,武学奇术!$A:$ZZ,29,FALSE)*(1+IF(OR($AH149=$F$4,$AH149=$F$5),$B$22,0))</f>
        <v>0</v>
      </c>
      <c r="AM149" s="20" cm="1">
        <f t="array" ref="AM149">$G$3+IFERROR(VLOOKUP($AH149,$F$4:$G$7,2,FALSE),0)+VLOOKUP($R149,武学奇术!$A:$ZZ,2,FALSE)+SUM(_xlfn.XLOOKUP($S149:$AG149,增益!$A:$A,增益!$B:$B,0))</f>
        <v>1.3365</v>
      </c>
      <c r="AN149" s="20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1517.52</v>
      </c>
      <c r="AP149" cm="1">
        <f t="array" ref="AP149">$E$10*(1+$AN149)+VLOOKUP($R149,武学奇术!$A:$ZZ,4,FALSE)+SUM(_xlfn.XLOOKUP($S149:$AG149,增益!$A:$A,增益!$D:$D,0))-$I$2</f>
        <v>6628.56</v>
      </c>
      <c r="AQ149" s="29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0.2425</v>
      </c>
      <c r="AR149" s="29" cm="1">
        <f t="array" ref="AR149">$G$10+VLOOKUP($R149,武学奇术!$A:$ZZ,7,FALSE)+SUM(_xlfn.XLOOKUP(S149:AG149,增益!$A:$A,增益!$G:$G,0))</f>
        <v>0</v>
      </c>
      <c r="AS149" s="20" cm="1">
        <f t="array" ref="AS149">VLOOKUP($R149,武学奇术!$A:$ZZ,8,FALSE)+SUM(_xlfn.XLOOKUP(S149:AG149,增益!$A:$A,增益!$H:$H,0))</f>
        <v>0</v>
      </c>
      <c r="AT149">
        <f t="shared" si="23"/>
        <v>538</v>
      </c>
      <c r="AU149">
        <f t="shared" si="24"/>
        <v>1011</v>
      </c>
      <c r="AV149" s="29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29" cm="1">
        <f t="array" ref="AW149">$G$11+VLOOKUP($R149,武学奇术!$A:$ZZ,10,FALSE)+SUM(_xlfn.XLOOKUP(S149:AG149,增益!$A:$A,增益!$J:$J,0))</f>
        <v>0.15</v>
      </c>
      <c r="AX149">
        <f t="shared" si="25"/>
        <v>0</v>
      </c>
      <c r="AY149">
        <f t="shared" si="26"/>
        <v>0</v>
      </c>
      <c r="AZ149" s="29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29" cm="1">
        <f t="array" ref="BA149">$G$12+VLOOKUP($R149,武学奇术!$A:$ZZ,12,FALSE)+SUM(_xlfn.XLOOKUP(S149:AG149,增益!$A:$A,增益!$L:$L,0))</f>
        <v>0</v>
      </c>
      <c r="BB149">
        <f t="shared" si="27"/>
        <v>0</v>
      </c>
      <c r="BC149">
        <f t="shared" si="28"/>
        <v>0</v>
      </c>
      <c r="BD149" s="29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29" cm="1">
        <f t="array" ref="BE149">$G$13+VLOOKUP($R149,武学奇术!$A:$ZZ,14,FALSE)+SUM(_xlfn.XLOOKUP(S149:AG149,增益!$A:$A,增益!$N:$N,0))</f>
        <v>0</v>
      </c>
      <c r="BF149">
        <f t="shared" si="29"/>
        <v>0</v>
      </c>
      <c r="BG149">
        <f t="shared" si="30"/>
        <v>0</v>
      </c>
      <c r="BH149" s="29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29" cm="1">
        <f t="array" ref="BI149">$G$14+VLOOKUP($R149,武学奇术!$A:$ZZ,16,FALSE)+SUM(_xlfn.XLOOKUP(S149:AG149,增益!$A:$A,增益!$P:$P,0))</f>
        <v>0</v>
      </c>
      <c r="BJ149" s="20">
        <f>MIN(IF(VLOOKUP($R149,武学奇术!$A:$ZZ,23,FALSE)=1,100%,$B$8),100%)</f>
        <v>0.8271</v>
      </c>
      <c r="BK149" s="20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0.2249</v>
      </c>
      <c r="BL149" s="20" cm="1">
        <f t="array" ref="BL149">1+$B$13+VLOOKUP($R149,武学奇术!$A:$ZZ,18,FALSE)+SUM(_xlfn.XLOOKUP(S149:AG149,增益!$A:$A,增益!$R:$R,0))</f>
        <v>1.5</v>
      </c>
      <c r="BM149" s="20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0.4459</v>
      </c>
      <c r="BN149" s="20" cm="1">
        <f t="array" ref="BN149">1+$B$14+VLOOKUP($R149,武学奇术!$A:$ZZ,20,FALSE)+SUM(_xlfn.XLOOKUP(S149:AG149,增益!$A:$A,增益!$T:$T,0))</f>
        <v>1.782</v>
      </c>
      <c r="BO149" s="20">
        <f t="shared" si="31"/>
        <v>0.18601479</v>
      </c>
      <c r="BP149" s="20">
        <f t="shared" si="32"/>
        <v>0.27228132</v>
      </c>
      <c r="BQ149" s="20">
        <f>IF(VLOOKUP($R149,武学奇术!$A:$ZZ,22,FALSE)=1,0,(1-$BJ149))*(1-$BM149)</f>
        <v>0.09580389</v>
      </c>
      <c r="BR149" s="20" cm="1">
        <f t="array" ref="BR149">SUM(_xlfn.XLOOKUP(S149:AG149,增益!$A:$A,增益!$W:$W,0))+$I$5</f>
        <v>0.21</v>
      </c>
    </row>
    <row r="150" spans="11:70">
      <c r="K150" s="27">
        <f>$L150*VLOOKUP($R150,武学奇术!$A:$ZZ,31,FALSE)</f>
        <v>29101.2489264541</v>
      </c>
      <c r="L150" s="27">
        <f t="shared" si="22"/>
        <v>48502.0815440902</v>
      </c>
      <c r="M150" s="27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40034.2661673954</v>
      </c>
      <c r="N150" s="27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73122.5819532741</v>
      </c>
      <c r="O150" s="27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26689.5107782636</v>
      </c>
      <c r="P150" s="27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12345.0249497516</v>
      </c>
      <c r="Q150" s="35">
        <v>6</v>
      </c>
      <c r="R150" s="36" t="s">
        <v>159</v>
      </c>
      <c r="S150" s="36" t="s">
        <v>152</v>
      </c>
      <c r="T150" s="36" t="s">
        <v>99</v>
      </c>
      <c r="U150" s="36" t="s">
        <v>100</v>
      </c>
      <c r="V150" s="36" t="s">
        <v>71</v>
      </c>
      <c r="W150" s="36" t="s">
        <v>111</v>
      </c>
      <c r="X150" s="36" t="s">
        <v>71</v>
      </c>
      <c r="Y150" s="36" t="s">
        <v>71</v>
      </c>
      <c r="Z150" s="36" t="s">
        <v>71</v>
      </c>
      <c r="AA150" s="36" t="s">
        <v>71</v>
      </c>
      <c r="AB150" s="36" t="s">
        <v>71</v>
      </c>
      <c r="AC150" s="36" t="s">
        <v>71</v>
      </c>
      <c r="AD150" s="36" t="s">
        <v>72</v>
      </c>
      <c r="AE150" s="36" t="s">
        <v>94</v>
      </c>
      <c r="AF150" s="36" t="s">
        <v>154</v>
      </c>
      <c r="AG150" s="36" t="s">
        <v>120</v>
      </c>
      <c r="AH150" t="str">
        <f>VLOOKUP($R150,武学奇术!$A:$ZZ,25,FALSE)</f>
        <v>单体奇术</v>
      </c>
      <c r="AI150" s="20">
        <f>VLOOKUP($R150,武学奇术!$A:$ZZ,26,FALSE)</f>
        <v>0.236</v>
      </c>
      <c r="AJ150" s="21">
        <f>VLOOKUP($R150,武学奇术!$A:$ZZ,27,FALSE)*(1+IF(OR($AH150=$F$4,$AH150=$F$5),$B$22,0))</f>
        <v>44</v>
      </c>
      <c r="AK150" s="20">
        <f>VLOOKUP($R150,武学奇术!$A:$ZZ,28,FALSE)</f>
        <v>0.354</v>
      </c>
      <c r="AL150" s="21">
        <f>VLOOKUP($R150,武学奇术!$A:$ZZ,29,FALSE)*(1+IF(OR($AH150=$F$4,$AH150=$F$5),$B$22,0))</f>
        <v>0</v>
      </c>
      <c r="AM150" s="20" cm="1">
        <f t="array" ref="AM150">$G$3+IFERROR(VLOOKUP($AH150,$F$4:$G$7,2,FALSE),0)+VLOOKUP($R150,武学奇术!$A:$ZZ,2,FALSE)+SUM(_xlfn.XLOOKUP($S150:$AG150,增益!$A:$A,增益!$B:$B,0))</f>
        <v>1.3365</v>
      </c>
      <c r="AN150" s="20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1548.52</v>
      </c>
      <c r="AP150" cm="1">
        <f t="array" ref="AP150">$E$10*(1+$AN150)+VLOOKUP($R150,武学奇术!$A:$ZZ,4,FALSE)+SUM(_xlfn.XLOOKUP($S150:$AG150,增益!$A:$A,增益!$D:$D,0))-$I$2</f>
        <v>6659.56</v>
      </c>
      <c r="AQ150" s="29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0.2425</v>
      </c>
      <c r="AR150" s="29" cm="1">
        <f t="array" ref="AR150">$G$10+VLOOKUP($R150,武学奇术!$A:$ZZ,7,FALSE)+SUM(_xlfn.XLOOKUP(S150:AG150,增益!$A:$A,增益!$G:$G,0))</f>
        <v>0</v>
      </c>
      <c r="AS150" s="20" cm="1">
        <f t="array" ref="AS150">VLOOKUP($R150,武学奇术!$A:$ZZ,8,FALSE)+SUM(_xlfn.XLOOKUP(S150:AG150,增益!$A:$A,增益!$H:$H,0))</f>
        <v>0</v>
      </c>
      <c r="AT150">
        <f t="shared" si="23"/>
        <v>538</v>
      </c>
      <c r="AU150">
        <f t="shared" si="24"/>
        <v>1011</v>
      </c>
      <c r="AV150" s="29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29" cm="1">
        <f t="array" ref="AW150">$G$11+VLOOKUP($R150,武学奇术!$A:$ZZ,10,FALSE)+SUM(_xlfn.XLOOKUP(S150:AG150,增益!$A:$A,增益!$J:$J,0))</f>
        <v>0.15</v>
      </c>
      <c r="AX150">
        <f t="shared" si="25"/>
        <v>0</v>
      </c>
      <c r="AY150">
        <f t="shared" si="26"/>
        <v>0</v>
      </c>
      <c r="AZ150" s="29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29" cm="1">
        <f t="array" ref="BA150">$G$12+VLOOKUP($R150,武学奇术!$A:$ZZ,12,FALSE)+SUM(_xlfn.XLOOKUP(S150:AG150,增益!$A:$A,增益!$L:$L,0))</f>
        <v>0</v>
      </c>
      <c r="BB150">
        <f t="shared" si="27"/>
        <v>0</v>
      </c>
      <c r="BC150">
        <f t="shared" si="28"/>
        <v>0</v>
      </c>
      <c r="BD150" s="29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29" cm="1">
        <f t="array" ref="BE150">$G$13+VLOOKUP($R150,武学奇术!$A:$ZZ,14,FALSE)+SUM(_xlfn.XLOOKUP(S150:AG150,增益!$A:$A,增益!$N:$N,0))</f>
        <v>0</v>
      </c>
      <c r="BF150">
        <f t="shared" si="29"/>
        <v>0</v>
      </c>
      <c r="BG150">
        <f t="shared" si="30"/>
        <v>0</v>
      </c>
      <c r="BH150" s="29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29" cm="1">
        <f t="array" ref="BI150">$G$14+VLOOKUP($R150,武学奇术!$A:$ZZ,16,FALSE)+SUM(_xlfn.XLOOKUP(S150:AG150,增益!$A:$A,增益!$P:$P,0))</f>
        <v>0</v>
      </c>
      <c r="BJ150" s="20">
        <f>MIN(IF(VLOOKUP($R150,武学奇术!$A:$ZZ,23,FALSE)=1,100%,$B$8),100%)</f>
        <v>0.8271</v>
      </c>
      <c r="BK150" s="20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0.2249</v>
      </c>
      <c r="BL150" s="20" cm="1">
        <f t="array" ref="BL150">1+$B$13+VLOOKUP($R150,武学奇术!$A:$ZZ,18,FALSE)+SUM(_xlfn.XLOOKUP(S150:AG150,增益!$A:$A,增益!$R:$R,0))</f>
        <v>1.5</v>
      </c>
      <c r="BM150" s="20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0.4459</v>
      </c>
      <c r="BN150" s="20" cm="1">
        <f t="array" ref="BN150">1+$B$14+VLOOKUP($R150,武学奇术!$A:$ZZ,20,FALSE)+SUM(_xlfn.XLOOKUP(S150:AG150,增益!$A:$A,增益!$T:$T,0))</f>
        <v>1.782</v>
      </c>
      <c r="BO150" s="20">
        <f t="shared" si="31"/>
        <v>0.18601479</v>
      </c>
      <c r="BP150" s="20">
        <f t="shared" si="32"/>
        <v>0.27228132</v>
      </c>
      <c r="BQ150" s="20">
        <f>IF(VLOOKUP($R150,武学奇术!$A:$ZZ,22,FALSE)=1,0,(1-$BJ150))*(1-$BM150)</f>
        <v>0.09580389</v>
      </c>
      <c r="BR150" s="20" cm="1">
        <f t="array" ref="BR150">SUM(_xlfn.XLOOKUP(S150:AG150,增益!$A:$A,增益!$W:$W,0))+$I$5</f>
        <v>0.21</v>
      </c>
    </row>
    <row r="151" spans="11:70">
      <c r="K151" s="27">
        <f>$L151*VLOOKUP($R151,武学奇术!$A:$ZZ,31,FALSE)</f>
        <v>8898.72901056862</v>
      </c>
      <c r="L151" s="27">
        <f t="shared" si="22"/>
        <v>14831.2150176144</v>
      </c>
      <c r="M151" s="27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12241.8830429226</v>
      </c>
      <c r="N151" s="27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22359.7977873648</v>
      </c>
      <c r="O151" s="27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8161.25536194838</v>
      </c>
      <c r="P151" s="27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3774.92498463479</v>
      </c>
      <c r="Q151" s="35">
        <v>2</v>
      </c>
      <c r="R151" s="36" t="s">
        <v>159</v>
      </c>
      <c r="S151" s="36" t="s">
        <v>71</v>
      </c>
      <c r="T151" s="36" t="s">
        <v>99</v>
      </c>
      <c r="U151" s="36" t="s">
        <v>100</v>
      </c>
      <c r="V151" s="36" t="s">
        <v>71</v>
      </c>
      <c r="W151" s="36" t="s">
        <v>111</v>
      </c>
      <c r="X151" s="36" t="s">
        <v>71</v>
      </c>
      <c r="Y151" s="36" t="s">
        <v>71</v>
      </c>
      <c r="Z151" s="36" t="s">
        <v>71</v>
      </c>
      <c r="AA151" s="36" t="s">
        <v>71</v>
      </c>
      <c r="AB151" s="36" t="s">
        <v>71</v>
      </c>
      <c r="AC151" s="36" t="s">
        <v>71</v>
      </c>
      <c r="AD151" s="36" t="s">
        <v>72</v>
      </c>
      <c r="AE151" s="36" t="s">
        <v>94</v>
      </c>
      <c r="AF151" s="36" t="s">
        <v>154</v>
      </c>
      <c r="AG151" s="36" t="s">
        <v>120</v>
      </c>
      <c r="AH151" t="str">
        <f>VLOOKUP($R151,武学奇术!$A:$ZZ,25,FALSE)</f>
        <v>单体奇术</v>
      </c>
      <c r="AI151" s="20">
        <f>VLOOKUP($R151,武学奇术!$A:$ZZ,26,FALSE)</f>
        <v>0.236</v>
      </c>
      <c r="AJ151" s="21">
        <f>VLOOKUP($R151,武学奇术!$A:$ZZ,27,FALSE)*(1+IF(OR($AH151=$F$4,$AH151=$F$5),$B$22,0))</f>
        <v>44</v>
      </c>
      <c r="AK151" s="20">
        <f>VLOOKUP($R151,武学奇术!$A:$ZZ,28,FALSE)</f>
        <v>0.354</v>
      </c>
      <c r="AL151" s="21">
        <f>VLOOKUP($R151,武学奇术!$A:$ZZ,29,FALSE)*(1+IF(OR($AH151=$F$4,$AH151=$F$5),$B$22,0))</f>
        <v>0</v>
      </c>
      <c r="AM151" s="20" cm="1">
        <f t="array" ref="AM151">$G$3+IFERROR(VLOOKUP($AH151,$F$4:$G$7,2,FALSE),0)+VLOOKUP($R151,武学奇术!$A:$ZZ,2,FALSE)+SUM(_xlfn.XLOOKUP($S151:$AG151,增益!$A:$A,增益!$B:$B,0))</f>
        <v>1.3365</v>
      </c>
      <c r="AN151" s="20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1548.52</v>
      </c>
      <c r="AP151" cm="1">
        <f t="array" ref="AP151">$E$10*(1+$AN151)+VLOOKUP($R151,武学奇术!$A:$ZZ,4,FALSE)+SUM(_xlfn.XLOOKUP($S151:$AG151,增益!$A:$A,增益!$D:$D,0))-$I$2</f>
        <v>6659.56</v>
      </c>
      <c r="AQ151" s="29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0.2425</v>
      </c>
      <c r="AR151" s="29" cm="1">
        <f t="array" ref="AR151">$G$10+VLOOKUP($R151,武学奇术!$A:$ZZ,7,FALSE)+SUM(_xlfn.XLOOKUP(S151:AG151,增益!$A:$A,增益!$G:$G,0))</f>
        <v>0</v>
      </c>
      <c r="AS151" s="20" cm="1">
        <f t="array" ref="AS151">VLOOKUP($R151,武学奇术!$A:$ZZ,8,FALSE)+SUM(_xlfn.XLOOKUP(S151:AG151,增益!$A:$A,增益!$H:$H,0))</f>
        <v>0</v>
      </c>
      <c r="AT151">
        <f t="shared" si="23"/>
        <v>538</v>
      </c>
      <c r="AU151">
        <f t="shared" si="24"/>
        <v>1011</v>
      </c>
      <c r="AV151" s="29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</v>
      </c>
      <c r="AW151" s="29" cm="1">
        <f t="array" ref="AW151">$G$11+VLOOKUP($R151,武学奇术!$A:$ZZ,10,FALSE)+SUM(_xlfn.XLOOKUP(S151:AG151,增益!$A:$A,增益!$J:$J,0))</f>
        <v>0.15</v>
      </c>
      <c r="AX151">
        <f t="shared" si="25"/>
        <v>0</v>
      </c>
      <c r="AY151">
        <f t="shared" si="26"/>
        <v>0</v>
      </c>
      <c r="AZ151" s="29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-0.3</v>
      </c>
      <c r="BA151" s="29" cm="1">
        <f t="array" ref="BA151">$G$12+VLOOKUP($R151,武学奇术!$A:$ZZ,12,FALSE)+SUM(_xlfn.XLOOKUP(S151:AG151,增益!$A:$A,增益!$L:$L,0))</f>
        <v>0</v>
      </c>
      <c r="BB151">
        <f t="shared" si="27"/>
        <v>0</v>
      </c>
      <c r="BC151">
        <f t="shared" si="28"/>
        <v>0</v>
      </c>
      <c r="BD151" s="29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-0.3</v>
      </c>
      <c r="BE151" s="29" cm="1">
        <f t="array" ref="BE151">$G$13+VLOOKUP($R151,武学奇术!$A:$ZZ,14,FALSE)+SUM(_xlfn.XLOOKUP(S151:AG151,增益!$A:$A,增益!$N:$N,0))</f>
        <v>0</v>
      </c>
      <c r="BF151">
        <f t="shared" si="29"/>
        <v>0</v>
      </c>
      <c r="BG151">
        <f t="shared" si="30"/>
        <v>0</v>
      </c>
      <c r="BH151" s="29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-0.3</v>
      </c>
      <c r="BI151" s="29" cm="1">
        <f t="array" ref="BI151">$G$14+VLOOKUP($R151,武学奇术!$A:$ZZ,16,FALSE)+SUM(_xlfn.XLOOKUP(S151:AG151,增益!$A:$A,增益!$P:$P,0))</f>
        <v>0</v>
      </c>
      <c r="BJ151" s="20">
        <f>MIN(IF(VLOOKUP($R151,武学奇术!$A:$ZZ,23,FALSE)=1,100%,$B$8),100%)</f>
        <v>0.8271</v>
      </c>
      <c r="BK151" s="20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0.2249</v>
      </c>
      <c r="BL151" s="20" cm="1">
        <f t="array" ref="BL151">1+$B$13+VLOOKUP($R151,武学奇术!$A:$ZZ,18,FALSE)+SUM(_xlfn.XLOOKUP(S151:AG151,增益!$A:$A,增益!$R:$R,0))</f>
        <v>1.5</v>
      </c>
      <c r="BM151" s="20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0.4459</v>
      </c>
      <c r="BN151" s="20" cm="1">
        <f t="array" ref="BN151">1+$B$14+VLOOKUP($R151,武学奇术!$A:$ZZ,20,FALSE)+SUM(_xlfn.XLOOKUP(S151:AG151,增益!$A:$A,增益!$T:$T,0))</f>
        <v>1.782</v>
      </c>
      <c r="BO151" s="20">
        <f t="shared" si="31"/>
        <v>0.18601479</v>
      </c>
      <c r="BP151" s="20">
        <f t="shared" si="32"/>
        <v>0.27228132</v>
      </c>
      <c r="BQ151" s="20">
        <f>IF(VLOOKUP($R151,武学奇术!$A:$ZZ,22,FALSE)=1,0,(1-$BJ151))*(1-$BM151)</f>
        <v>0.09580389</v>
      </c>
      <c r="BR151" s="20" cm="1">
        <f t="array" ref="BR151">SUM(_xlfn.XLOOKUP(S151:AG151,增益!$A:$A,增益!$W:$W,0))+$I$5</f>
        <v>0.11</v>
      </c>
    </row>
    <row r="152" spans="11:70">
      <c r="K152" s="27">
        <f>$L152*VLOOKUP($R152,武学奇术!$A:$ZZ,31,FALSE)</f>
        <v>26696.1870317058</v>
      </c>
      <c r="L152" s="27">
        <f t="shared" si="22"/>
        <v>44493.6450528431</v>
      </c>
      <c r="M152" s="27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36725.6491287677</v>
      </c>
      <c r="N152" s="27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67079.3933620945</v>
      </c>
      <c r="O152" s="27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24483.7660858451</v>
      </c>
      <c r="P152" s="27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11324.7749539044</v>
      </c>
      <c r="Q152" s="35">
        <v>6</v>
      </c>
      <c r="R152" s="36" t="s">
        <v>159</v>
      </c>
      <c r="S152" s="36" t="s">
        <v>71</v>
      </c>
      <c r="T152" s="36" t="s">
        <v>99</v>
      </c>
      <c r="U152" s="36" t="s">
        <v>100</v>
      </c>
      <c r="V152" s="36" t="s">
        <v>71</v>
      </c>
      <c r="W152" s="36" t="s">
        <v>111</v>
      </c>
      <c r="X152" s="36" t="s">
        <v>71</v>
      </c>
      <c r="Y152" s="36" t="s">
        <v>71</v>
      </c>
      <c r="Z152" s="36" t="s">
        <v>71</v>
      </c>
      <c r="AA152" s="36" t="s">
        <v>71</v>
      </c>
      <c r="AB152" s="36" t="s">
        <v>71</v>
      </c>
      <c r="AC152" s="36" t="s">
        <v>71</v>
      </c>
      <c r="AD152" s="36" t="s">
        <v>72</v>
      </c>
      <c r="AE152" s="36" t="s">
        <v>94</v>
      </c>
      <c r="AF152" s="36" t="s">
        <v>154</v>
      </c>
      <c r="AG152" s="36" t="s">
        <v>120</v>
      </c>
      <c r="AH152" t="str">
        <f>VLOOKUP($R152,武学奇术!$A:$ZZ,25,FALSE)</f>
        <v>单体奇术</v>
      </c>
      <c r="AI152" s="20">
        <f>VLOOKUP($R152,武学奇术!$A:$ZZ,26,FALSE)</f>
        <v>0.236</v>
      </c>
      <c r="AJ152" s="21">
        <f>VLOOKUP($R152,武学奇术!$A:$ZZ,27,FALSE)*(1+IF(OR($AH152=$F$4,$AH152=$F$5),$B$22,0))</f>
        <v>44</v>
      </c>
      <c r="AK152" s="20">
        <f>VLOOKUP($R152,武学奇术!$A:$ZZ,28,FALSE)</f>
        <v>0.354</v>
      </c>
      <c r="AL152" s="21">
        <f>VLOOKUP($R152,武学奇术!$A:$ZZ,29,FALSE)*(1+IF(OR($AH152=$F$4,$AH152=$F$5),$B$22,0))</f>
        <v>0</v>
      </c>
      <c r="AM152" s="20" cm="1">
        <f t="array" ref="AM152">$G$3+IFERROR(VLOOKUP($AH152,$F$4:$G$7,2,FALSE),0)+VLOOKUP($R152,武学奇术!$A:$ZZ,2,FALSE)+SUM(_xlfn.XLOOKUP($S152:$AG152,增益!$A:$A,增益!$B:$B,0))</f>
        <v>1.3365</v>
      </c>
      <c r="AN152" s="20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1548.52</v>
      </c>
      <c r="AP152" cm="1">
        <f t="array" ref="AP152">$E$10*(1+$AN152)+VLOOKUP($R152,武学奇术!$A:$ZZ,4,FALSE)+SUM(_xlfn.XLOOKUP($S152:$AG152,增益!$A:$A,增益!$D:$D,0))-$I$2</f>
        <v>6659.56</v>
      </c>
      <c r="AQ152" s="29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0.2425</v>
      </c>
      <c r="AR152" s="29" cm="1">
        <f t="array" ref="AR152">$G$10+VLOOKUP($R152,武学奇术!$A:$ZZ,7,FALSE)+SUM(_xlfn.XLOOKUP(S152:AG152,增益!$A:$A,增益!$G:$G,0))</f>
        <v>0</v>
      </c>
      <c r="AS152" s="20" cm="1">
        <f t="array" ref="AS152">VLOOKUP($R152,武学奇术!$A:$ZZ,8,FALSE)+SUM(_xlfn.XLOOKUP(S152:AG152,增益!$A:$A,增益!$H:$H,0))</f>
        <v>0</v>
      </c>
      <c r="AT152">
        <f t="shared" si="23"/>
        <v>538</v>
      </c>
      <c r="AU152">
        <f t="shared" si="24"/>
        <v>1011</v>
      </c>
      <c r="AV152" s="29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</v>
      </c>
      <c r="AW152" s="29" cm="1">
        <f t="array" ref="AW152">$G$11+VLOOKUP($R152,武学奇术!$A:$ZZ,10,FALSE)+SUM(_xlfn.XLOOKUP(S152:AG152,增益!$A:$A,增益!$J:$J,0))</f>
        <v>0.15</v>
      </c>
      <c r="AX152">
        <f t="shared" si="25"/>
        <v>0</v>
      </c>
      <c r="AY152">
        <f t="shared" si="26"/>
        <v>0</v>
      </c>
      <c r="AZ152" s="29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-0.3</v>
      </c>
      <c r="BA152" s="29" cm="1">
        <f t="array" ref="BA152">$G$12+VLOOKUP($R152,武学奇术!$A:$ZZ,12,FALSE)+SUM(_xlfn.XLOOKUP(S152:AG152,增益!$A:$A,增益!$L:$L,0))</f>
        <v>0</v>
      </c>
      <c r="BB152">
        <f t="shared" si="27"/>
        <v>0</v>
      </c>
      <c r="BC152">
        <f t="shared" si="28"/>
        <v>0</v>
      </c>
      <c r="BD152" s="29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-0.3</v>
      </c>
      <c r="BE152" s="29" cm="1">
        <f t="array" ref="BE152">$G$13+VLOOKUP($R152,武学奇术!$A:$ZZ,14,FALSE)+SUM(_xlfn.XLOOKUP(S152:AG152,增益!$A:$A,增益!$N:$N,0))</f>
        <v>0</v>
      </c>
      <c r="BF152">
        <f t="shared" si="29"/>
        <v>0</v>
      </c>
      <c r="BG152">
        <f t="shared" si="30"/>
        <v>0</v>
      </c>
      <c r="BH152" s="29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-0.3</v>
      </c>
      <c r="BI152" s="29" cm="1">
        <f t="array" ref="BI152">$G$14+VLOOKUP($R152,武学奇术!$A:$ZZ,16,FALSE)+SUM(_xlfn.XLOOKUP(S152:AG152,增益!$A:$A,增益!$P:$P,0))</f>
        <v>0</v>
      </c>
      <c r="BJ152" s="20">
        <f>MIN(IF(VLOOKUP($R152,武学奇术!$A:$ZZ,23,FALSE)=1,100%,$B$8),100%)</f>
        <v>0.8271</v>
      </c>
      <c r="BK152" s="20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0.2249</v>
      </c>
      <c r="BL152" s="20" cm="1">
        <f t="array" ref="BL152">1+$B$13+VLOOKUP($R152,武学奇术!$A:$ZZ,18,FALSE)+SUM(_xlfn.XLOOKUP(S152:AG152,增益!$A:$A,增益!$R:$R,0))</f>
        <v>1.5</v>
      </c>
      <c r="BM152" s="20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0.4459</v>
      </c>
      <c r="BN152" s="20" cm="1">
        <f t="array" ref="BN152">1+$B$14+VLOOKUP($R152,武学奇术!$A:$ZZ,20,FALSE)+SUM(_xlfn.XLOOKUP(S152:AG152,增益!$A:$A,增益!$T:$T,0))</f>
        <v>1.782</v>
      </c>
      <c r="BO152" s="20">
        <f t="shared" si="31"/>
        <v>0.18601479</v>
      </c>
      <c r="BP152" s="20">
        <f t="shared" si="32"/>
        <v>0.27228132</v>
      </c>
      <c r="BQ152" s="20">
        <f>IF(VLOOKUP($R152,武学奇术!$A:$ZZ,22,FALSE)=1,0,(1-$BJ152))*(1-$BM152)</f>
        <v>0.09580389</v>
      </c>
      <c r="BR152" s="20" cm="1">
        <f t="array" ref="BR152">SUM(_xlfn.XLOOKUP(S152:AG152,增益!$A:$A,增益!$W:$W,0))+$I$5</f>
        <v>0.11</v>
      </c>
    </row>
    <row r="153" spans="11:70">
      <c r="K153" s="27">
        <f>$L153*VLOOKUP($R153,武学奇术!$A:$ZZ,31,FALSE)</f>
        <v>26696.1870317058</v>
      </c>
      <c r="L153" s="27">
        <f t="shared" si="22"/>
        <v>44493.6450528431</v>
      </c>
      <c r="M153" s="27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36725.6491287677</v>
      </c>
      <c r="N153" s="27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67079.3933620945</v>
      </c>
      <c r="O153" s="27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24483.7660858451</v>
      </c>
      <c r="P153" s="27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11324.7749539044</v>
      </c>
      <c r="Q153" s="35">
        <v>6</v>
      </c>
      <c r="R153" s="36" t="s">
        <v>159</v>
      </c>
      <c r="S153" s="36" t="s">
        <v>71</v>
      </c>
      <c r="T153" s="36" t="s">
        <v>99</v>
      </c>
      <c r="U153" s="36" t="s">
        <v>100</v>
      </c>
      <c r="V153" s="36" t="s">
        <v>71</v>
      </c>
      <c r="W153" s="36" t="s">
        <v>111</v>
      </c>
      <c r="X153" s="36" t="s">
        <v>71</v>
      </c>
      <c r="Y153" s="36" t="s">
        <v>71</v>
      </c>
      <c r="Z153" s="36" t="s">
        <v>71</v>
      </c>
      <c r="AA153" s="36" t="s">
        <v>71</v>
      </c>
      <c r="AB153" s="36" t="s">
        <v>71</v>
      </c>
      <c r="AC153" s="36" t="s">
        <v>71</v>
      </c>
      <c r="AD153" s="36" t="s">
        <v>72</v>
      </c>
      <c r="AE153" s="36" t="s">
        <v>94</v>
      </c>
      <c r="AF153" s="36" t="s">
        <v>154</v>
      </c>
      <c r="AG153" s="36" t="s">
        <v>120</v>
      </c>
      <c r="AH153" t="str">
        <f>VLOOKUP($R153,武学奇术!$A:$ZZ,25,FALSE)</f>
        <v>单体奇术</v>
      </c>
      <c r="AI153" s="20">
        <f>VLOOKUP($R153,武学奇术!$A:$ZZ,26,FALSE)</f>
        <v>0.236</v>
      </c>
      <c r="AJ153" s="21">
        <f>VLOOKUP($R153,武学奇术!$A:$ZZ,27,FALSE)*(1+IF(OR($AH153=$F$4,$AH153=$F$5),$B$22,0))</f>
        <v>44</v>
      </c>
      <c r="AK153" s="20">
        <f>VLOOKUP($R153,武学奇术!$A:$ZZ,28,FALSE)</f>
        <v>0.354</v>
      </c>
      <c r="AL153" s="21">
        <f>VLOOKUP($R153,武学奇术!$A:$ZZ,29,FALSE)*(1+IF(OR($AH153=$F$4,$AH153=$F$5),$B$22,0))</f>
        <v>0</v>
      </c>
      <c r="AM153" s="20" cm="1">
        <f t="array" ref="AM153">$G$3+IFERROR(VLOOKUP($AH153,$F$4:$G$7,2,FALSE),0)+VLOOKUP($R153,武学奇术!$A:$ZZ,2,FALSE)+SUM(_xlfn.XLOOKUP($S153:$AG153,增益!$A:$A,增益!$B:$B,0))</f>
        <v>1.3365</v>
      </c>
      <c r="AN153" s="20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1548.52</v>
      </c>
      <c r="AP153" cm="1">
        <f t="array" ref="AP153">$E$10*(1+$AN153)+VLOOKUP($R153,武学奇术!$A:$ZZ,4,FALSE)+SUM(_xlfn.XLOOKUP($S153:$AG153,增益!$A:$A,增益!$D:$D,0))-$I$2</f>
        <v>6659.56</v>
      </c>
      <c r="AQ153" s="29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0.2425</v>
      </c>
      <c r="AR153" s="29" cm="1">
        <f t="array" ref="AR153">$G$10+VLOOKUP($R153,武学奇术!$A:$ZZ,7,FALSE)+SUM(_xlfn.XLOOKUP(S153:AG153,增益!$A:$A,增益!$G:$G,0))</f>
        <v>0</v>
      </c>
      <c r="AS153" s="20" cm="1">
        <f t="array" ref="AS153">VLOOKUP($R153,武学奇术!$A:$ZZ,8,FALSE)+SUM(_xlfn.XLOOKUP(S153:AG153,增益!$A:$A,增益!$H:$H,0))</f>
        <v>0</v>
      </c>
      <c r="AT153">
        <f t="shared" si="23"/>
        <v>538</v>
      </c>
      <c r="AU153">
        <f t="shared" si="24"/>
        <v>1011</v>
      </c>
      <c r="AV153" s="29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</v>
      </c>
      <c r="AW153" s="29" cm="1">
        <f t="array" ref="AW153">$G$11+VLOOKUP($R153,武学奇术!$A:$ZZ,10,FALSE)+SUM(_xlfn.XLOOKUP(S153:AG153,增益!$A:$A,增益!$J:$J,0))</f>
        <v>0.15</v>
      </c>
      <c r="AX153">
        <f t="shared" si="25"/>
        <v>0</v>
      </c>
      <c r="AY153">
        <f t="shared" si="26"/>
        <v>0</v>
      </c>
      <c r="AZ153" s="29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-0.3</v>
      </c>
      <c r="BA153" s="29" cm="1">
        <f t="array" ref="BA153">$G$12+VLOOKUP($R153,武学奇术!$A:$ZZ,12,FALSE)+SUM(_xlfn.XLOOKUP(S153:AG153,增益!$A:$A,增益!$L:$L,0))</f>
        <v>0</v>
      </c>
      <c r="BB153">
        <f t="shared" si="27"/>
        <v>0</v>
      </c>
      <c r="BC153">
        <f t="shared" si="28"/>
        <v>0</v>
      </c>
      <c r="BD153" s="29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-0.3</v>
      </c>
      <c r="BE153" s="29" cm="1">
        <f t="array" ref="BE153">$G$13+VLOOKUP($R153,武学奇术!$A:$ZZ,14,FALSE)+SUM(_xlfn.XLOOKUP(S153:AG153,增益!$A:$A,增益!$N:$N,0))</f>
        <v>0</v>
      </c>
      <c r="BF153">
        <f t="shared" si="29"/>
        <v>0</v>
      </c>
      <c r="BG153">
        <f t="shared" si="30"/>
        <v>0</v>
      </c>
      <c r="BH153" s="29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-0.3</v>
      </c>
      <c r="BI153" s="29" cm="1">
        <f t="array" ref="BI153">$G$14+VLOOKUP($R153,武学奇术!$A:$ZZ,16,FALSE)+SUM(_xlfn.XLOOKUP(S153:AG153,增益!$A:$A,增益!$P:$P,0))</f>
        <v>0</v>
      </c>
      <c r="BJ153" s="20">
        <f>MIN(IF(VLOOKUP($R153,武学奇术!$A:$ZZ,23,FALSE)=1,100%,$B$8),100%)</f>
        <v>0.8271</v>
      </c>
      <c r="BK153" s="20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0.2249</v>
      </c>
      <c r="BL153" s="20" cm="1">
        <f t="array" ref="BL153">1+$B$13+VLOOKUP($R153,武学奇术!$A:$ZZ,18,FALSE)+SUM(_xlfn.XLOOKUP(S153:AG153,增益!$A:$A,增益!$R:$R,0))</f>
        <v>1.5</v>
      </c>
      <c r="BM153" s="20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0.4459</v>
      </c>
      <c r="BN153" s="20" cm="1">
        <f t="array" ref="BN153">1+$B$14+VLOOKUP($R153,武学奇术!$A:$ZZ,20,FALSE)+SUM(_xlfn.XLOOKUP(S153:AG153,增益!$A:$A,增益!$T:$T,0))</f>
        <v>1.782</v>
      </c>
      <c r="BO153" s="20">
        <f t="shared" si="31"/>
        <v>0.18601479</v>
      </c>
      <c r="BP153" s="20">
        <f t="shared" si="32"/>
        <v>0.27228132</v>
      </c>
      <c r="BQ153" s="20">
        <f>IF(VLOOKUP($R153,武学奇术!$A:$ZZ,22,FALSE)=1,0,(1-$BJ153))*(1-$BM153)</f>
        <v>0.09580389</v>
      </c>
      <c r="BR153" s="20" cm="1">
        <f t="array" ref="BR153">SUM(_xlfn.XLOOKUP(S153:AG153,增益!$A:$A,增益!$W:$W,0))+$I$5</f>
        <v>0.11</v>
      </c>
    </row>
    <row r="154" spans="11:70">
      <c r="K154" s="27">
        <f>$L154*VLOOKUP($R154,武学奇术!$A:$ZZ,31,FALSE)</f>
        <v>22144.8565290724</v>
      </c>
      <c r="L154" s="27">
        <f t="shared" si="22"/>
        <v>36908.0942151206</v>
      </c>
      <c r="M154" s="27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30427.8921935043</v>
      </c>
      <c r="N154" s="27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55689.4377568151</v>
      </c>
      <c r="O154" s="27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20285.2614623362</v>
      </c>
      <c r="P154" s="27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9319.43551905222</v>
      </c>
      <c r="Q154" s="35">
        <v>5</v>
      </c>
      <c r="R154" s="36" t="s">
        <v>159</v>
      </c>
      <c r="S154" s="36" t="s">
        <v>71</v>
      </c>
      <c r="T154" s="36" t="s">
        <v>99</v>
      </c>
      <c r="U154" s="36" t="s">
        <v>100</v>
      </c>
      <c r="V154" s="36" t="s">
        <v>71</v>
      </c>
      <c r="W154" s="36" t="s">
        <v>71</v>
      </c>
      <c r="X154" s="36" t="s">
        <v>71</v>
      </c>
      <c r="Y154" s="36" t="s">
        <v>71</v>
      </c>
      <c r="Z154" s="36" t="s">
        <v>71</v>
      </c>
      <c r="AA154" s="36" t="s">
        <v>71</v>
      </c>
      <c r="AB154" s="36" t="s">
        <v>71</v>
      </c>
      <c r="AC154" s="36" t="s">
        <v>71</v>
      </c>
      <c r="AD154" s="36" t="s">
        <v>72</v>
      </c>
      <c r="AE154" s="36" t="s">
        <v>94</v>
      </c>
      <c r="AF154" s="36" t="s">
        <v>154</v>
      </c>
      <c r="AG154" s="36" t="s">
        <v>120</v>
      </c>
      <c r="AH154" t="str">
        <f>VLOOKUP($R154,武学奇术!$A:$ZZ,25,FALSE)</f>
        <v>单体奇术</v>
      </c>
      <c r="AI154" s="20">
        <f>VLOOKUP($R154,武学奇术!$A:$ZZ,26,FALSE)</f>
        <v>0.236</v>
      </c>
      <c r="AJ154" s="21">
        <f>VLOOKUP($R154,武学奇术!$A:$ZZ,27,FALSE)*(1+IF(OR($AH154=$F$4,$AH154=$F$5),$B$22,0))</f>
        <v>44</v>
      </c>
      <c r="AK154" s="20">
        <f>VLOOKUP($R154,武学奇术!$A:$ZZ,28,FALSE)</f>
        <v>0.354</v>
      </c>
      <c r="AL154" s="21">
        <f>VLOOKUP($R154,武学奇术!$A:$ZZ,29,FALSE)*(1+IF(OR($AH154=$F$4,$AH154=$F$5),$B$22,0))</f>
        <v>0</v>
      </c>
      <c r="AM154" s="20" cm="1">
        <f t="array" ref="AM154">$G$3+IFERROR(VLOOKUP($AH154,$F$4:$G$7,2,FALSE),0)+VLOOKUP($R154,武学奇术!$A:$ZZ,2,FALSE)+SUM(_xlfn.XLOOKUP($S154:$AG154,增益!$A:$A,增益!$B:$B,0))</f>
        <v>1.3365</v>
      </c>
      <c r="AN154" s="20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1517.52</v>
      </c>
      <c r="AP154" cm="1">
        <f t="array" ref="AP154">$E$10*(1+$AN154)+VLOOKUP($R154,武学奇术!$A:$ZZ,4,FALSE)+SUM(_xlfn.XLOOKUP($S154:$AG154,增益!$A:$A,增益!$D:$D,0))-$I$2</f>
        <v>6628.56</v>
      </c>
      <c r="AQ154" s="29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0.2425</v>
      </c>
      <c r="AR154" s="29" cm="1">
        <f t="array" ref="AR154">$G$10+VLOOKUP($R154,武学奇术!$A:$ZZ,7,FALSE)+SUM(_xlfn.XLOOKUP(S154:AG154,增益!$A:$A,增益!$G:$G,0))</f>
        <v>0</v>
      </c>
      <c r="AS154" s="20" cm="1">
        <f t="array" ref="AS154">VLOOKUP($R154,武学奇术!$A:$ZZ,8,FALSE)+SUM(_xlfn.XLOOKUP(S154:AG154,增益!$A:$A,增益!$H:$H,0))</f>
        <v>0</v>
      </c>
      <c r="AT154">
        <f t="shared" si="23"/>
        <v>538</v>
      </c>
      <c r="AU154">
        <f t="shared" si="24"/>
        <v>1011</v>
      </c>
      <c r="AV154" s="29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</v>
      </c>
      <c r="AW154" s="29" cm="1">
        <f t="array" ref="AW154">$G$11+VLOOKUP($R154,武学奇术!$A:$ZZ,10,FALSE)+SUM(_xlfn.XLOOKUP(S154:AG154,增益!$A:$A,增益!$J:$J,0))</f>
        <v>0.15</v>
      </c>
      <c r="AX154">
        <f t="shared" si="25"/>
        <v>0</v>
      </c>
      <c r="AY154">
        <f t="shared" si="26"/>
        <v>0</v>
      </c>
      <c r="AZ154" s="29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-0.3</v>
      </c>
      <c r="BA154" s="29" cm="1">
        <f t="array" ref="BA154">$G$12+VLOOKUP($R154,武学奇术!$A:$ZZ,12,FALSE)+SUM(_xlfn.XLOOKUP(S154:AG154,增益!$A:$A,增益!$L:$L,0))</f>
        <v>0</v>
      </c>
      <c r="BB154">
        <f t="shared" si="27"/>
        <v>0</v>
      </c>
      <c r="BC154">
        <f t="shared" si="28"/>
        <v>0</v>
      </c>
      <c r="BD154" s="29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-0.3</v>
      </c>
      <c r="BE154" s="29" cm="1">
        <f t="array" ref="BE154">$G$13+VLOOKUP($R154,武学奇术!$A:$ZZ,14,FALSE)+SUM(_xlfn.XLOOKUP(S154:AG154,增益!$A:$A,增益!$N:$N,0))</f>
        <v>0</v>
      </c>
      <c r="BF154">
        <f t="shared" si="29"/>
        <v>0</v>
      </c>
      <c r="BG154">
        <f t="shared" si="30"/>
        <v>0</v>
      </c>
      <c r="BH154" s="29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-0.3</v>
      </c>
      <c r="BI154" s="29" cm="1">
        <f t="array" ref="BI154">$G$14+VLOOKUP($R154,武学奇术!$A:$ZZ,16,FALSE)+SUM(_xlfn.XLOOKUP(S154:AG154,增益!$A:$A,增益!$P:$P,0))</f>
        <v>0</v>
      </c>
      <c r="BJ154" s="20">
        <f>MIN(IF(VLOOKUP($R154,武学奇术!$A:$ZZ,23,FALSE)=1,100%,$B$8),100%)</f>
        <v>0.8271</v>
      </c>
      <c r="BK154" s="20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0.2249</v>
      </c>
      <c r="BL154" s="20" cm="1">
        <f t="array" ref="BL154">1+$B$13+VLOOKUP($R154,武学奇术!$A:$ZZ,18,FALSE)+SUM(_xlfn.XLOOKUP(S154:AG154,增益!$A:$A,增益!$R:$R,0))</f>
        <v>1.5</v>
      </c>
      <c r="BM154" s="20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0.4459</v>
      </c>
      <c r="BN154" s="20" cm="1">
        <f t="array" ref="BN154">1+$B$14+VLOOKUP($R154,武学奇术!$A:$ZZ,20,FALSE)+SUM(_xlfn.XLOOKUP(S154:AG154,增益!$A:$A,增益!$T:$T,0))</f>
        <v>1.782</v>
      </c>
      <c r="BO154" s="20">
        <f t="shared" si="31"/>
        <v>0.18601479</v>
      </c>
      <c r="BP154" s="20">
        <f t="shared" si="32"/>
        <v>0.27228132</v>
      </c>
      <c r="BQ154" s="20">
        <f>IF(VLOOKUP($R154,武学奇术!$A:$ZZ,22,FALSE)=1,0,(1-$BJ154))*(1-$BM154)</f>
        <v>0.09580389</v>
      </c>
      <c r="BR154" s="20" cm="1">
        <f t="array" ref="BR154">SUM(_xlfn.XLOOKUP(S154:AG154,增益!$A:$A,增益!$W:$W,0))+$I$5</f>
        <v>0.11</v>
      </c>
    </row>
    <row r="155" spans="11:70">
      <c r="K155" s="27">
        <f>$L155*VLOOKUP($R155,武学奇术!$A:$ZZ,31,FALSE)</f>
        <v>48943.0095581274</v>
      </c>
      <c r="L155" s="27">
        <f t="shared" si="22"/>
        <v>81571.682596879</v>
      </c>
      <c r="M155" s="27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67330.3567360741</v>
      </c>
      <c r="N155" s="27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122978.887830507</v>
      </c>
      <c r="O155" s="27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44886.9044907161</v>
      </c>
      <c r="P155" s="27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20762.0874154913</v>
      </c>
      <c r="Q155" s="35">
        <v>11</v>
      </c>
      <c r="R155" s="36" t="s">
        <v>159</v>
      </c>
      <c r="S155" s="36" t="s">
        <v>71</v>
      </c>
      <c r="T155" s="36" t="s">
        <v>99</v>
      </c>
      <c r="U155" s="36" t="s">
        <v>100</v>
      </c>
      <c r="V155" s="36" t="s">
        <v>71</v>
      </c>
      <c r="W155" s="36" t="s">
        <v>111</v>
      </c>
      <c r="X155" s="36" t="s">
        <v>71</v>
      </c>
      <c r="Y155" s="36" t="s">
        <v>71</v>
      </c>
      <c r="Z155" s="36" t="s">
        <v>71</v>
      </c>
      <c r="AA155" s="36" t="s">
        <v>71</v>
      </c>
      <c r="AB155" s="36" t="s">
        <v>71</v>
      </c>
      <c r="AC155" s="36" t="s">
        <v>71</v>
      </c>
      <c r="AD155" s="36" t="s">
        <v>72</v>
      </c>
      <c r="AE155" s="36" t="s">
        <v>94</v>
      </c>
      <c r="AF155" s="36" t="s">
        <v>154</v>
      </c>
      <c r="AG155" s="36" t="s">
        <v>120</v>
      </c>
      <c r="AH155" t="str">
        <f>VLOOKUP($R155,武学奇术!$A:$ZZ,25,FALSE)</f>
        <v>单体奇术</v>
      </c>
      <c r="AI155" s="20">
        <f>VLOOKUP($R155,武学奇术!$A:$ZZ,26,FALSE)</f>
        <v>0.236</v>
      </c>
      <c r="AJ155" s="21">
        <f>VLOOKUP($R155,武学奇术!$A:$ZZ,27,FALSE)*(1+IF(OR($AH155=$F$4,$AH155=$F$5),$B$22,0))</f>
        <v>44</v>
      </c>
      <c r="AK155" s="20">
        <f>VLOOKUP($R155,武学奇术!$A:$ZZ,28,FALSE)</f>
        <v>0.354</v>
      </c>
      <c r="AL155" s="21">
        <f>VLOOKUP($R155,武学奇术!$A:$ZZ,29,FALSE)*(1+IF(OR($AH155=$F$4,$AH155=$F$5),$B$22,0))</f>
        <v>0</v>
      </c>
      <c r="AM155" s="20" cm="1">
        <f t="array" ref="AM155">$G$3+IFERROR(VLOOKUP($AH155,$F$4:$G$7,2,FALSE),0)+VLOOKUP($R155,武学奇术!$A:$ZZ,2,FALSE)+SUM(_xlfn.XLOOKUP($S155:$AG155,增益!$A:$A,增益!$B:$B,0))</f>
        <v>1.3365</v>
      </c>
      <c r="AN155" s="20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1548.52</v>
      </c>
      <c r="AP155" cm="1">
        <f t="array" ref="AP155">$E$10*(1+$AN155)+VLOOKUP($R155,武学奇术!$A:$ZZ,4,FALSE)+SUM(_xlfn.XLOOKUP($S155:$AG155,增益!$A:$A,增益!$D:$D,0))-$I$2</f>
        <v>6659.56</v>
      </c>
      <c r="AQ155" s="29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0.2425</v>
      </c>
      <c r="AR155" s="29" cm="1">
        <f t="array" ref="AR155">$G$10+VLOOKUP($R155,武学奇术!$A:$ZZ,7,FALSE)+SUM(_xlfn.XLOOKUP(S155:AG155,增益!$A:$A,增益!$G:$G,0))</f>
        <v>0</v>
      </c>
      <c r="AS155" s="20" cm="1">
        <f t="array" ref="AS155">VLOOKUP($R155,武学奇术!$A:$ZZ,8,FALSE)+SUM(_xlfn.XLOOKUP(S155:AG155,增益!$A:$A,增益!$H:$H,0))</f>
        <v>0</v>
      </c>
      <c r="AT155">
        <f t="shared" si="23"/>
        <v>538</v>
      </c>
      <c r="AU155">
        <f t="shared" si="24"/>
        <v>1011</v>
      </c>
      <c r="AV155" s="29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</v>
      </c>
      <c r="AW155" s="29" cm="1">
        <f t="array" ref="AW155">$G$11+VLOOKUP($R155,武学奇术!$A:$ZZ,10,FALSE)+SUM(_xlfn.XLOOKUP(S155:AG155,增益!$A:$A,增益!$J:$J,0))</f>
        <v>0.15</v>
      </c>
      <c r="AX155">
        <f t="shared" si="25"/>
        <v>0</v>
      </c>
      <c r="AY155">
        <f t="shared" si="26"/>
        <v>0</v>
      </c>
      <c r="AZ155" s="29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-0.3</v>
      </c>
      <c r="BA155" s="29" cm="1">
        <f t="array" ref="BA155">$G$12+VLOOKUP($R155,武学奇术!$A:$ZZ,12,FALSE)+SUM(_xlfn.XLOOKUP(S155:AG155,增益!$A:$A,增益!$L:$L,0))</f>
        <v>0</v>
      </c>
      <c r="BB155">
        <f t="shared" si="27"/>
        <v>0</v>
      </c>
      <c r="BC155">
        <f t="shared" si="28"/>
        <v>0</v>
      </c>
      <c r="BD155" s="29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-0.3</v>
      </c>
      <c r="BE155" s="29" cm="1">
        <f t="array" ref="BE155">$G$13+VLOOKUP($R155,武学奇术!$A:$ZZ,14,FALSE)+SUM(_xlfn.XLOOKUP(S155:AG155,增益!$A:$A,增益!$N:$N,0))</f>
        <v>0</v>
      </c>
      <c r="BF155">
        <f t="shared" si="29"/>
        <v>0</v>
      </c>
      <c r="BG155">
        <f t="shared" si="30"/>
        <v>0</v>
      </c>
      <c r="BH155" s="29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-0.3</v>
      </c>
      <c r="BI155" s="29" cm="1">
        <f t="array" ref="BI155">$G$14+VLOOKUP($R155,武学奇术!$A:$ZZ,16,FALSE)+SUM(_xlfn.XLOOKUP(S155:AG155,增益!$A:$A,增益!$P:$P,0))</f>
        <v>0</v>
      </c>
      <c r="BJ155" s="20">
        <f>MIN(IF(VLOOKUP($R155,武学奇术!$A:$ZZ,23,FALSE)=1,100%,$B$8),100%)</f>
        <v>0.8271</v>
      </c>
      <c r="BK155" s="20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0.2249</v>
      </c>
      <c r="BL155" s="20" cm="1">
        <f t="array" ref="BL155">1+$B$13+VLOOKUP($R155,武学奇术!$A:$ZZ,18,FALSE)+SUM(_xlfn.XLOOKUP(S155:AG155,增益!$A:$A,增益!$R:$R,0))</f>
        <v>1.5</v>
      </c>
      <c r="BM155" s="20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0.4459</v>
      </c>
      <c r="BN155" s="20" cm="1">
        <f t="array" ref="BN155">1+$B$14+VLOOKUP($R155,武学奇术!$A:$ZZ,20,FALSE)+SUM(_xlfn.XLOOKUP(S155:AG155,增益!$A:$A,增益!$T:$T,0))</f>
        <v>1.782</v>
      </c>
      <c r="BO155" s="20">
        <f t="shared" si="31"/>
        <v>0.18601479</v>
      </c>
      <c r="BP155" s="20">
        <f t="shared" si="32"/>
        <v>0.27228132</v>
      </c>
      <c r="BQ155" s="20">
        <f>IF(VLOOKUP($R155,武学奇术!$A:$ZZ,22,FALSE)=1,0,(1-$BJ155))*(1-$BM155)</f>
        <v>0.09580389</v>
      </c>
      <c r="BR155" s="20" cm="1">
        <f t="array" ref="BR155">SUM(_xlfn.XLOOKUP(S155:AG155,增益!$A:$A,增益!$W:$W,0))+$I$5</f>
        <v>0.11</v>
      </c>
    </row>
    <row r="156" spans="11:70">
      <c r="K156" s="27">
        <f>$L156*VLOOKUP($R156,武学奇术!$A:$ZZ,31,FALSE)</f>
        <v>40044.2805475588</v>
      </c>
      <c r="L156" s="27">
        <f t="shared" si="22"/>
        <v>66740.4675792646</v>
      </c>
      <c r="M156" s="27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55088.4736931515</v>
      </c>
      <c r="N156" s="27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100619.090043142</v>
      </c>
      <c r="O156" s="27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36725.6491287677</v>
      </c>
      <c r="P156" s="27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16987.1624308565</v>
      </c>
      <c r="Q156" s="35">
        <v>9</v>
      </c>
      <c r="R156" s="36" t="s">
        <v>159</v>
      </c>
      <c r="S156" s="36" t="s">
        <v>71</v>
      </c>
      <c r="T156" s="36" t="s">
        <v>99</v>
      </c>
      <c r="U156" s="36" t="s">
        <v>100</v>
      </c>
      <c r="V156" s="36" t="s">
        <v>71</v>
      </c>
      <c r="W156" s="36" t="s">
        <v>111</v>
      </c>
      <c r="X156" s="36" t="s">
        <v>71</v>
      </c>
      <c r="Y156" s="36" t="s">
        <v>71</v>
      </c>
      <c r="Z156" s="36" t="s">
        <v>71</v>
      </c>
      <c r="AA156" s="36" t="s">
        <v>71</v>
      </c>
      <c r="AB156" s="36" t="s">
        <v>71</v>
      </c>
      <c r="AC156" s="36" t="s">
        <v>71</v>
      </c>
      <c r="AD156" s="36" t="s">
        <v>72</v>
      </c>
      <c r="AE156" s="36" t="s">
        <v>94</v>
      </c>
      <c r="AF156" s="36" t="s">
        <v>154</v>
      </c>
      <c r="AG156" s="36" t="s">
        <v>120</v>
      </c>
      <c r="AH156" t="str">
        <f>VLOOKUP($R156,武学奇术!$A:$ZZ,25,FALSE)</f>
        <v>单体奇术</v>
      </c>
      <c r="AI156" s="20">
        <f>VLOOKUP($R156,武学奇术!$A:$ZZ,26,FALSE)</f>
        <v>0.236</v>
      </c>
      <c r="AJ156" s="21">
        <f>VLOOKUP($R156,武学奇术!$A:$ZZ,27,FALSE)*(1+IF(OR($AH156=$F$4,$AH156=$F$5),$B$22,0))</f>
        <v>44</v>
      </c>
      <c r="AK156" s="20">
        <f>VLOOKUP($R156,武学奇术!$A:$ZZ,28,FALSE)</f>
        <v>0.354</v>
      </c>
      <c r="AL156" s="21">
        <f>VLOOKUP($R156,武学奇术!$A:$ZZ,29,FALSE)*(1+IF(OR($AH156=$F$4,$AH156=$F$5),$B$22,0))</f>
        <v>0</v>
      </c>
      <c r="AM156" s="20" cm="1">
        <f t="array" ref="AM156">$G$3+IFERROR(VLOOKUP($AH156,$F$4:$G$7,2,FALSE),0)+VLOOKUP($R156,武学奇术!$A:$ZZ,2,FALSE)+SUM(_xlfn.XLOOKUP($S156:$AG156,增益!$A:$A,增益!$B:$B,0))</f>
        <v>1.3365</v>
      </c>
      <c r="AN156" s="20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1548.52</v>
      </c>
      <c r="AP156" cm="1">
        <f t="array" ref="AP156">$E$10*(1+$AN156)+VLOOKUP($R156,武学奇术!$A:$ZZ,4,FALSE)+SUM(_xlfn.XLOOKUP($S156:$AG156,增益!$A:$A,增益!$D:$D,0))-$I$2</f>
        <v>6659.56</v>
      </c>
      <c r="AQ156" s="29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0.2425</v>
      </c>
      <c r="AR156" s="29" cm="1">
        <f t="array" ref="AR156">$G$10+VLOOKUP($R156,武学奇术!$A:$ZZ,7,FALSE)+SUM(_xlfn.XLOOKUP(S156:AG156,增益!$A:$A,增益!$G:$G,0))</f>
        <v>0</v>
      </c>
      <c r="AS156" s="20" cm="1">
        <f t="array" ref="AS156">VLOOKUP($R156,武学奇术!$A:$ZZ,8,FALSE)+SUM(_xlfn.XLOOKUP(S156:AG156,增益!$A:$A,增益!$H:$H,0))</f>
        <v>0</v>
      </c>
      <c r="AT156">
        <f t="shared" si="23"/>
        <v>538</v>
      </c>
      <c r="AU156">
        <f t="shared" si="24"/>
        <v>1011</v>
      </c>
      <c r="AV156" s="29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29" cm="1">
        <f t="array" ref="AW156">$G$11+VLOOKUP($R156,武学奇术!$A:$ZZ,10,FALSE)+SUM(_xlfn.XLOOKUP(S156:AG156,增益!$A:$A,增益!$J:$J,0))</f>
        <v>0.15</v>
      </c>
      <c r="AX156">
        <f t="shared" si="25"/>
        <v>0</v>
      </c>
      <c r="AY156">
        <f t="shared" si="26"/>
        <v>0</v>
      </c>
      <c r="AZ156" s="29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29" cm="1">
        <f t="array" ref="BA156">$G$12+VLOOKUP($R156,武学奇术!$A:$ZZ,12,FALSE)+SUM(_xlfn.XLOOKUP(S156:AG156,增益!$A:$A,增益!$L:$L,0))</f>
        <v>0</v>
      </c>
      <c r="BB156">
        <f t="shared" si="27"/>
        <v>0</v>
      </c>
      <c r="BC156">
        <f t="shared" si="28"/>
        <v>0</v>
      </c>
      <c r="BD156" s="29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29" cm="1">
        <f t="array" ref="BE156">$G$13+VLOOKUP($R156,武学奇术!$A:$ZZ,14,FALSE)+SUM(_xlfn.XLOOKUP(S156:AG156,增益!$A:$A,增益!$N:$N,0))</f>
        <v>0</v>
      </c>
      <c r="BF156">
        <f t="shared" si="29"/>
        <v>0</v>
      </c>
      <c r="BG156">
        <f t="shared" si="30"/>
        <v>0</v>
      </c>
      <c r="BH156" s="29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29" cm="1">
        <f t="array" ref="BI156">$G$14+VLOOKUP($R156,武学奇术!$A:$ZZ,16,FALSE)+SUM(_xlfn.XLOOKUP(S156:AG156,增益!$A:$A,增益!$P:$P,0))</f>
        <v>0</v>
      </c>
      <c r="BJ156" s="20">
        <f>MIN(IF(VLOOKUP($R156,武学奇术!$A:$ZZ,23,FALSE)=1,100%,$B$8),100%)</f>
        <v>0.8271</v>
      </c>
      <c r="BK156" s="20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0.2249</v>
      </c>
      <c r="BL156" s="20" cm="1">
        <f t="array" ref="BL156">1+$B$13+VLOOKUP($R156,武学奇术!$A:$ZZ,18,FALSE)+SUM(_xlfn.XLOOKUP(S156:AG156,增益!$A:$A,增益!$R:$R,0))</f>
        <v>1.5</v>
      </c>
      <c r="BM156" s="20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0.4459</v>
      </c>
      <c r="BN156" s="20" cm="1">
        <f t="array" ref="BN156">1+$B$14+VLOOKUP($R156,武学奇术!$A:$ZZ,20,FALSE)+SUM(_xlfn.XLOOKUP(S156:AG156,增益!$A:$A,增益!$T:$T,0))</f>
        <v>1.782</v>
      </c>
      <c r="BO156" s="20">
        <f t="shared" si="31"/>
        <v>0.18601479</v>
      </c>
      <c r="BP156" s="20">
        <f t="shared" si="32"/>
        <v>0.27228132</v>
      </c>
      <c r="BQ156" s="20">
        <f>IF(VLOOKUP($R156,武学奇术!$A:$ZZ,22,FALSE)=1,0,(1-$BJ156))*(1-$BM156)</f>
        <v>0.09580389</v>
      </c>
      <c r="BR156" s="20" cm="1">
        <f t="array" ref="BR156">SUM(_xlfn.XLOOKUP(S156:AG156,增益!$A:$A,增益!$W:$W,0))+$I$5</f>
        <v>0.11</v>
      </c>
    </row>
    <row r="157" spans="11:70">
      <c r="K157" s="27">
        <f>$L157*VLOOKUP($R157,武学奇术!$A:$ZZ,31,FALSE)</f>
        <v>13286.9139174434</v>
      </c>
      <c r="L157" s="27">
        <f t="shared" si="22"/>
        <v>22144.8565290724</v>
      </c>
      <c r="M157" s="27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18256.7353161026</v>
      </c>
      <c r="N157" s="27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33413.6626540891</v>
      </c>
      <c r="O157" s="27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12171.1568774017</v>
      </c>
      <c r="P157" s="27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5591.66131143133</v>
      </c>
      <c r="Q157" s="35">
        <v>3</v>
      </c>
      <c r="R157" s="36" t="s">
        <v>159</v>
      </c>
      <c r="S157" s="36" t="s">
        <v>71</v>
      </c>
      <c r="T157" s="36" t="s">
        <v>99</v>
      </c>
      <c r="U157" s="36" t="s">
        <v>100</v>
      </c>
      <c r="V157" s="36" t="s">
        <v>71</v>
      </c>
      <c r="W157" s="36" t="s">
        <v>71</v>
      </c>
      <c r="X157" s="36" t="s">
        <v>71</v>
      </c>
      <c r="Y157" s="36" t="s">
        <v>71</v>
      </c>
      <c r="Z157" s="36" t="s">
        <v>71</v>
      </c>
      <c r="AA157" s="36" t="s">
        <v>71</v>
      </c>
      <c r="AB157" s="36" t="s">
        <v>71</v>
      </c>
      <c r="AC157" s="36" t="s">
        <v>71</v>
      </c>
      <c r="AD157" s="36" t="s">
        <v>72</v>
      </c>
      <c r="AE157" s="36" t="s">
        <v>94</v>
      </c>
      <c r="AF157" s="36" t="s">
        <v>154</v>
      </c>
      <c r="AG157" s="36" t="s">
        <v>120</v>
      </c>
      <c r="AH157" t="str">
        <f>VLOOKUP($R157,武学奇术!$A:$ZZ,25,FALSE)</f>
        <v>单体奇术</v>
      </c>
      <c r="AI157" s="20">
        <f>VLOOKUP($R157,武学奇术!$A:$ZZ,26,FALSE)</f>
        <v>0.236</v>
      </c>
      <c r="AJ157" s="21">
        <f>VLOOKUP($R157,武学奇术!$A:$ZZ,27,FALSE)*(1+IF(OR($AH157=$F$4,$AH157=$F$5),$B$22,0))</f>
        <v>44</v>
      </c>
      <c r="AK157" s="20">
        <f>VLOOKUP($R157,武学奇术!$A:$ZZ,28,FALSE)</f>
        <v>0.354</v>
      </c>
      <c r="AL157" s="21">
        <f>VLOOKUP($R157,武学奇术!$A:$ZZ,29,FALSE)*(1+IF(OR($AH157=$F$4,$AH157=$F$5),$B$22,0))</f>
        <v>0</v>
      </c>
      <c r="AM157" s="20" cm="1">
        <f t="array" ref="AM157">$G$3+IFERROR(VLOOKUP($AH157,$F$4:$G$7,2,FALSE),0)+VLOOKUP($R157,武学奇术!$A:$ZZ,2,FALSE)+SUM(_xlfn.XLOOKUP($S157:$AG157,增益!$A:$A,增益!$B:$B,0))</f>
        <v>1.3365</v>
      </c>
      <c r="AN157" s="20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1517.52</v>
      </c>
      <c r="AP157" cm="1">
        <f t="array" ref="AP157">$E$10*(1+$AN157)+VLOOKUP($R157,武学奇术!$A:$ZZ,4,FALSE)+SUM(_xlfn.XLOOKUP($S157:$AG157,增益!$A:$A,增益!$D:$D,0))-$I$2</f>
        <v>6628.56</v>
      </c>
      <c r="AQ157" s="29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0.2425</v>
      </c>
      <c r="AR157" s="29" cm="1">
        <f t="array" ref="AR157">$G$10+VLOOKUP($R157,武学奇术!$A:$ZZ,7,FALSE)+SUM(_xlfn.XLOOKUP(S157:AG157,增益!$A:$A,增益!$G:$G,0))</f>
        <v>0</v>
      </c>
      <c r="AS157" s="20" cm="1">
        <f t="array" ref="AS157">VLOOKUP($R157,武学奇术!$A:$ZZ,8,FALSE)+SUM(_xlfn.XLOOKUP(S157:AG157,增益!$A:$A,增益!$H:$H,0))</f>
        <v>0</v>
      </c>
      <c r="AT157">
        <f t="shared" si="23"/>
        <v>538</v>
      </c>
      <c r="AU157">
        <f t="shared" si="24"/>
        <v>1011</v>
      </c>
      <c r="AV157" s="29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29" cm="1">
        <f t="array" ref="AW157">$G$11+VLOOKUP($R157,武学奇术!$A:$ZZ,10,FALSE)+SUM(_xlfn.XLOOKUP(S157:AG157,增益!$A:$A,增益!$J:$J,0))</f>
        <v>0.15</v>
      </c>
      <c r="AX157">
        <f t="shared" si="25"/>
        <v>0</v>
      </c>
      <c r="AY157">
        <f t="shared" si="26"/>
        <v>0</v>
      </c>
      <c r="AZ157" s="29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29" cm="1">
        <f t="array" ref="BA157">$G$12+VLOOKUP($R157,武学奇术!$A:$ZZ,12,FALSE)+SUM(_xlfn.XLOOKUP(S157:AG157,增益!$A:$A,增益!$L:$L,0))</f>
        <v>0</v>
      </c>
      <c r="BB157">
        <f t="shared" si="27"/>
        <v>0</v>
      </c>
      <c r="BC157">
        <f t="shared" si="28"/>
        <v>0</v>
      </c>
      <c r="BD157" s="29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29" cm="1">
        <f t="array" ref="BE157">$G$13+VLOOKUP($R157,武学奇术!$A:$ZZ,14,FALSE)+SUM(_xlfn.XLOOKUP(S157:AG157,增益!$A:$A,增益!$N:$N,0))</f>
        <v>0</v>
      </c>
      <c r="BF157">
        <f t="shared" si="29"/>
        <v>0</v>
      </c>
      <c r="BG157">
        <f t="shared" si="30"/>
        <v>0</v>
      </c>
      <c r="BH157" s="29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29" cm="1">
        <f t="array" ref="BI157">$G$14+VLOOKUP($R157,武学奇术!$A:$ZZ,16,FALSE)+SUM(_xlfn.XLOOKUP(S157:AG157,增益!$A:$A,增益!$P:$P,0))</f>
        <v>0</v>
      </c>
      <c r="BJ157" s="20">
        <f>MIN(IF(VLOOKUP($R157,武学奇术!$A:$ZZ,23,FALSE)=1,100%,$B$8),100%)</f>
        <v>0.8271</v>
      </c>
      <c r="BK157" s="20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0.2249</v>
      </c>
      <c r="BL157" s="20" cm="1">
        <f t="array" ref="BL157">1+$B$13+VLOOKUP($R157,武学奇术!$A:$ZZ,18,FALSE)+SUM(_xlfn.XLOOKUP(S157:AG157,增益!$A:$A,增益!$R:$R,0))</f>
        <v>1.5</v>
      </c>
      <c r="BM157" s="20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0.4459</v>
      </c>
      <c r="BN157" s="20" cm="1">
        <f t="array" ref="BN157">1+$B$14+VLOOKUP($R157,武学奇术!$A:$ZZ,20,FALSE)+SUM(_xlfn.XLOOKUP(S157:AG157,增益!$A:$A,增益!$T:$T,0))</f>
        <v>1.782</v>
      </c>
      <c r="BO157" s="20">
        <f t="shared" si="31"/>
        <v>0.18601479</v>
      </c>
      <c r="BP157" s="20">
        <f t="shared" si="32"/>
        <v>0.27228132</v>
      </c>
      <c r="BQ157" s="20">
        <f>IF(VLOOKUP($R157,武学奇术!$A:$ZZ,22,FALSE)=1,0,(1-$BJ157))*(1-$BM157)</f>
        <v>0.09580389</v>
      </c>
      <c r="BR157" s="20" cm="1">
        <f t="array" ref="BR157">SUM(_xlfn.XLOOKUP(S157:AG157,增益!$A:$A,增益!$W:$W,0))+$I$5</f>
        <v>0.11</v>
      </c>
    </row>
    <row r="158" spans="11:70">
      <c r="K158" s="27">
        <f>$L158*VLOOKUP($R158,武学奇术!$A:$ZZ,31,FALSE)</f>
        <v>13286.9139174434</v>
      </c>
      <c r="L158" s="27">
        <f t="shared" si="22"/>
        <v>22144.8565290724</v>
      </c>
      <c r="M158" s="27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18256.7353161026</v>
      </c>
      <c r="N158" s="27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33413.6626540891</v>
      </c>
      <c r="O158" s="27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12171.1568774017</v>
      </c>
      <c r="P158" s="27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5591.66131143133</v>
      </c>
      <c r="Q158" s="35">
        <v>3</v>
      </c>
      <c r="R158" s="36" t="s">
        <v>159</v>
      </c>
      <c r="S158" s="36" t="s">
        <v>71</v>
      </c>
      <c r="T158" s="36" t="s">
        <v>99</v>
      </c>
      <c r="U158" s="36" t="s">
        <v>100</v>
      </c>
      <c r="V158" s="36" t="s">
        <v>71</v>
      </c>
      <c r="W158" s="36" t="s">
        <v>71</v>
      </c>
      <c r="X158" s="36" t="s">
        <v>71</v>
      </c>
      <c r="Y158" s="36" t="s">
        <v>71</v>
      </c>
      <c r="Z158" s="36" t="s">
        <v>71</v>
      </c>
      <c r="AA158" s="36" t="s">
        <v>71</v>
      </c>
      <c r="AB158" s="36" t="s">
        <v>71</v>
      </c>
      <c r="AC158" s="36" t="s">
        <v>71</v>
      </c>
      <c r="AD158" s="36" t="s">
        <v>72</v>
      </c>
      <c r="AE158" s="36" t="s">
        <v>94</v>
      </c>
      <c r="AF158" s="36" t="s">
        <v>154</v>
      </c>
      <c r="AG158" s="36" t="s">
        <v>120</v>
      </c>
      <c r="AH158" t="str">
        <f>VLOOKUP($R158,武学奇术!$A:$ZZ,25,FALSE)</f>
        <v>单体奇术</v>
      </c>
      <c r="AI158" s="20">
        <f>VLOOKUP($R158,武学奇术!$A:$ZZ,26,FALSE)</f>
        <v>0.236</v>
      </c>
      <c r="AJ158" s="21">
        <f>VLOOKUP($R158,武学奇术!$A:$ZZ,27,FALSE)*(1+IF(OR($AH158=$F$4,$AH158=$F$5),$B$22,0))</f>
        <v>44</v>
      </c>
      <c r="AK158" s="20">
        <f>VLOOKUP($R158,武学奇术!$A:$ZZ,28,FALSE)</f>
        <v>0.354</v>
      </c>
      <c r="AL158" s="21">
        <f>VLOOKUP($R158,武学奇术!$A:$ZZ,29,FALSE)*(1+IF(OR($AH158=$F$4,$AH158=$F$5),$B$22,0))</f>
        <v>0</v>
      </c>
      <c r="AM158" s="20" cm="1">
        <f t="array" ref="AM158">$G$3+IFERROR(VLOOKUP($AH158,$F$4:$G$7,2,FALSE),0)+VLOOKUP($R158,武学奇术!$A:$ZZ,2,FALSE)+SUM(_xlfn.XLOOKUP($S158:$AG158,增益!$A:$A,增益!$B:$B,0))</f>
        <v>1.3365</v>
      </c>
      <c r="AN158" s="20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1517.52</v>
      </c>
      <c r="AP158" cm="1">
        <f t="array" ref="AP158">$E$10*(1+$AN158)+VLOOKUP($R158,武学奇术!$A:$ZZ,4,FALSE)+SUM(_xlfn.XLOOKUP($S158:$AG158,增益!$A:$A,增益!$D:$D,0))-$I$2</f>
        <v>6628.56</v>
      </c>
      <c r="AQ158" s="29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0.2425</v>
      </c>
      <c r="AR158" s="29" cm="1">
        <f t="array" ref="AR158">$G$10+VLOOKUP($R158,武学奇术!$A:$ZZ,7,FALSE)+SUM(_xlfn.XLOOKUP(S158:AG158,增益!$A:$A,增益!$G:$G,0))</f>
        <v>0</v>
      </c>
      <c r="AS158" s="20" cm="1">
        <f t="array" ref="AS158">VLOOKUP($R158,武学奇术!$A:$ZZ,8,FALSE)+SUM(_xlfn.XLOOKUP(S158:AG158,增益!$A:$A,增益!$H:$H,0))</f>
        <v>0</v>
      </c>
      <c r="AT158">
        <f t="shared" si="23"/>
        <v>538</v>
      </c>
      <c r="AU158">
        <f t="shared" si="24"/>
        <v>1011</v>
      </c>
      <c r="AV158" s="29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29" cm="1">
        <f t="array" ref="AW158">$G$11+VLOOKUP($R158,武学奇术!$A:$ZZ,10,FALSE)+SUM(_xlfn.XLOOKUP(S158:AG158,增益!$A:$A,增益!$J:$J,0))</f>
        <v>0.15</v>
      </c>
      <c r="AX158">
        <f t="shared" si="25"/>
        <v>0</v>
      </c>
      <c r="AY158">
        <f t="shared" si="26"/>
        <v>0</v>
      </c>
      <c r="AZ158" s="29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29" cm="1">
        <f t="array" ref="BA158">$G$12+VLOOKUP($R158,武学奇术!$A:$ZZ,12,FALSE)+SUM(_xlfn.XLOOKUP(S158:AG158,增益!$A:$A,增益!$L:$L,0))</f>
        <v>0</v>
      </c>
      <c r="BB158">
        <f t="shared" si="27"/>
        <v>0</v>
      </c>
      <c r="BC158">
        <f t="shared" si="28"/>
        <v>0</v>
      </c>
      <c r="BD158" s="29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29" cm="1">
        <f t="array" ref="BE158">$G$13+VLOOKUP($R158,武学奇术!$A:$ZZ,14,FALSE)+SUM(_xlfn.XLOOKUP(S158:AG158,增益!$A:$A,增益!$N:$N,0))</f>
        <v>0</v>
      </c>
      <c r="BF158">
        <f t="shared" si="29"/>
        <v>0</v>
      </c>
      <c r="BG158">
        <f t="shared" si="30"/>
        <v>0</v>
      </c>
      <c r="BH158" s="29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29" cm="1">
        <f t="array" ref="BI158">$G$14+VLOOKUP($R158,武学奇术!$A:$ZZ,16,FALSE)+SUM(_xlfn.XLOOKUP(S158:AG158,增益!$A:$A,增益!$P:$P,0))</f>
        <v>0</v>
      </c>
      <c r="BJ158" s="20">
        <f>MIN(IF(VLOOKUP($R158,武学奇术!$A:$ZZ,23,FALSE)=1,100%,$B$8),100%)</f>
        <v>0.8271</v>
      </c>
      <c r="BK158" s="20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0.2249</v>
      </c>
      <c r="BL158" s="20" cm="1">
        <f t="array" ref="BL158">1+$B$13+VLOOKUP($R158,武学奇术!$A:$ZZ,18,FALSE)+SUM(_xlfn.XLOOKUP(S158:AG158,增益!$A:$A,增益!$R:$R,0))</f>
        <v>1.5</v>
      </c>
      <c r="BM158" s="20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0.4459</v>
      </c>
      <c r="BN158" s="20" cm="1">
        <f t="array" ref="BN158">1+$B$14+VLOOKUP($R158,武学奇术!$A:$ZZ,20,FALSE)+SUM(_xlfn.XLOOKUP(S158:AG158,增益!$A:$A,增益!$T:$T,0))</f>
        <v>1.782</v>
      </c>
      <c r="BO158" s="20">
        <f t="shared" si="31"/>
        <v>0.18601479</v>
      </c>
      <c r="BP158" s="20">
        <f t="shared" si="32"/>
        <v>0.27228132</v>
      </c>
      <c r="BQ158" s="20">
        <f>IF(VLOOKUP($R158,武学奇术!$A:$ZZ,22,FALSE)=1,0,(1-$BJ158))*(1-$BM158)</f>
        <v>0.09580389</v>
      </c>
      <c r="BR158" s="20" cm="1">
        <f t="array" ref="BR158">SUM(_xlfn.XLOOKUP(S158:AG158,增益!$A:$A,增益!$W:$W,0))+$I$5</f>
        <v>0.11</v>
      </c>
    </row>
    <row r="159" spans="11:70">
      <c r="K159" s="27">
        <f>$L159*VLOOKUP($R159,武学奇术!$A:$ZZ,31,FALSE)</f>
        <v>88987.2901056862</v>
      </c>
      <c r="L159" s="27">
        <f t="shared" si="22"/>
        <v>148312.150176144</v>
      </c>
      <c r="M159" s="27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122418.830429226</v>
      </c>
      <c r="N159" s="27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223597.977873648</v>
      </c>
      <c r="O159" s="27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81612.5536194838</v>
      </c>
      <c r="P159" s="27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37749.2498463479</v>
      </c>
      <c r="Q159" s="35">
        <v>20</v>
      </c>
      <c r="R159" s="36" t="s">
        <v>159</v>
      </c>
      <c r="S159" s="36" t="s">
        <v>71</v>
      </c>
      <c r="T159" s="36" t="s">
        <v>99</v>
      </c>
      <c r="U159" s="36" t="s">
        <v>100</v>
      </c>
      <c r="V159" s="36" t="s">
        <v>71</v>
      </c>
      <c r="W159" s="36" t="s">
        <v>111</v>
      </c>
      <c r="X159" s="36" t="s">
        <v>71</v>
      </c>
      <c r="Y159" s="36" t="s">
        <v>71</v>
      </c>
      <c r="Z159" s="36" t="s">
        <v>71</v>
      </c>
      <c r="AA159" s="36" t="s">
        <v>71</v>
      </c>
      <c r="AB159" s="36" t="s">
        <v>71</v>
      </c>
      <c r="AC159" s="36" t="s">
        <v>71</v>
      </c>
      <c r="AD159" s="36" t="s">
        <v>72</v>
      </c>
      <c r="AE159" s="36" t="s">
        <v>94</v>
      </c>
      <c r="AF159" s="36" t="s">
        <v>154</v>
      </c>
      <c r="AG159" s="36" t="s">
        <v>120</v>
      </c>
      <c r="AH159" t="str">
        <f>VLOOKUP($R159,武学奇术!$A:$ZZ,25,FALSE)</f>
        <v>单体奇术</v>
      </c>
      <c r="AI159" s="20">
        <f>VLOOKUP($R159,武学奇术!$A:$ZZ,26,FALSE)</f>
        <v>0.236</v>
      </c>
      <c r="AJ159" s="21">
        <f>VLOOKUP($R159,武学奇术!$A:$ZZ,27,FALSE)*(1+IF(OR($AH159=$F$4,$AH159=$F$5),$B$22,0))</f>
        <v>44</v>
      </c>
      <c r="AK159" s="20">
        <f>VLOOKUP($R159,武学奇术!$A:$ZZ,28,FALSE)</f>
        <v>0.354</v>
      </c>
      <c r="AL159" s="21">
        <f>VLOOKUP($R159,武学奇术!$A:$ZZ,29,FALSE)*(1+IF(OR($AH159=$F$4,$AH159=$F$5),$B$22,0))</f>
        <v>0</v>
      </c>
      <c r="AM159" s="20" cm="1">
        <f t="array" ref="AM159">$G$3+IFERROR(VLOOKUP($AH159,$F$4:$G$7,2,FALSE),0)+VLOOKUP($R159,武学奇术!$A:$ZZ,2,FALSE)+SUM(_xlfn.XLOOKUP($S159:$AG159,增益!$A:$A,增益!$B:$B,0))</f>
        <v>1.3365</v>
      </c>
      <c r="AN159" s="20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1548.52</v>
      </c>
      <c r="AP159" cm="1">
        <f t="array" ref="AP159">$E$10*(1+$AN159)+VLOOKUP($R159,武学奇术!$A:$ZZ,4,FALSE)+SUM(_xlfn.XLOOKUP($S159:$AG159,增益!$A:$A,增益!$D:$D,0))-$I$2</f>
        <v>6659.56</v>
      </c>
      <c r="AQ159" s="29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0.2425</v>
      </c>
      <c r="AR159" s="29" cm="1">
        <f t="array" ref="AR159">$G$10+VLOOKUP($R159,武学奇术!$A:$ZZ,7,FALSE)+SUM(_xlfn.XLOOKUP(S159:AG159,增益!$A:$A,增益!$G:$G,0))</f>
        <v>0</v>
      </c>
      <c r="AS159" s="20" cm="1">
        <f t="array" ref="AS159">VLOOKUP($R159,武学奇术!$A:$ZZ,8,FALSE)+SUM(_xlfn.XLOOKUP(S159:AG159,增益!$A:$A,增益!$H:$H,0))</f>
        <v>0</v>
      </c>
      <c r="AT159">
        <f t="shared" si="23"/>
        <v>538</v>
      </c>
      <c r="AU159">
        <f t="shared" si="24"/>
        <v>1011</v>
      </c>
      <c r="AV159" s="29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29" cm="1">
        <f t="array" ref="AW159">$G$11+VLOOKUP($R159,武学奇术!$A:$ZZ,10,FALSE)+SUM(_xlfn.XLOOKUP(S159:AG159,增益!$A:$A,增益!$J:$J,0))</f>
        <v>0.15</v>
      </c>
      <c r="AX159">
        <f t="shared" si="25"/>
        <v>0</v>
      </c>
      <c r="AY159">
        <f t="shared" si="26"/>
        <v>0</v>
      </c>
      <c r="AZ159" s="29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29" cm="1">
        <f t="array" ref="BA159">$G$12+VLOOKUP($R159,武学奇术!$A:$ZZ,12,FALSE)+SUM(_xlfn.XLOOKUP(S159:AG159,增益!$A:$A,增益!$L:$L,0))</f>
        <v>0</v>
      </c>
      <c r="BB159">
        <f t="shared" si="27"/>
        <v>0</v>
      </c>
      <c r="BC159">
        <f t="shared" si="28"/>
        <v>0</v>
      </c>
      <c r="BD159" s="29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29" cm="1">
        <f t="array" ref="BE159">$G$13+VLOOKUP($R159,武学奇术!$A:$ZZ,14,FALSE)+SUM(_xlfn.XLOOKUP(S159:AG159,增益!$A:$A,增益!$N:$N,0))</f>
        <v>0</v>
      </c>
      <c r="BF159">
        <f t="shared" si="29"/>
        <v>0</v>
      </c>
      <c r="BG159">
        <f t="shared" si="30"/>
        <v>0</v>
      </c>
      <c r="BH159" s="29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29" cm="1">
        <f t="array" ref="BI159">$G$14+VLOOKUP($R159,武学奇术!$A:$ZZ,16,FALSE)+SUM(_xlfn.XLOOKUP(S159:AG159,增益!$A:$A,增益!$P:$P,0))</f>
        <v>0</v>
      </c>
      <c r="BJ159" s="20">
        <f>MIN(IF(VLOOKUP($R159,武学奇术!$A:$ZZ,23,FALSE)=1,100%,$B$8),100%)</f>
        <v>0.8271</v>
      </c>
      <c r="BK159" s="20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0.2249</v>
      </c>
      <c r="BL159" s="20" cm="1">
        <f t="array" ref="BL159">1+$B$13+VLOOKUP($R159,武学奇术!$A:$ZZ,18,FALSE)+SUM(_xlfn.XLOOKUP(S159:AG159,增益!$A:$A,增益!$R:$R,0))</f>
        <v>1.5</v>
      </c>
      <c r="BM159" s="20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0.4459</v>
      </c>
      <c r="BN159" s="20" cm="1">
        <f t="array" ref="BN159">1+$B$14+VLOOKUP($R159,武学奇术!$A:$ZZ,20,FALSE)+SUM(_xlfn.XLOOKUP(S159:AG159,增益!$A:$A,增益!$T:$T,0))</f>
        <v>1.782</v>
      </c>
      <c r="BO159" s="20">
        <f t="shared" si="31"/>
        <v>0.18601479</v>
      </c>
      <c r="BP159" s="20">
        <f t="shared" si="32"/>
        <v>0.27228132</v>
      </c>
      <c r="BQ159" s="20">
        <f>IF(VLOOKUP($R159,武学奇术!$A:$ZZ,22,FALSE)=1,0,(1-$BJ159))*(1-$BM159)</f>
        <v>0.09580389</v>
      </c>
      <c r="BR159" s="20" cm="1">
        <f t="array" ref="BR159">SUM(_xlfn.XLOOKUP(S159:AG159,增益!$A:$A,增益!$W:$W,0))+$I$5</f>
        <v>0.11</v>
      </c>
    </row>
    <row r="160" spans="11:70">
      <c r="K160" s="27">
        <f>$L160*VLOOKUP($R160,武学奇术!$A:$ZZ,31,FALSE)</f>
        <v>31002.7991407013</v>
      </c>
      <c r="L160" s="27">
        <f t="shared" si="22"/>
        <v>51671.3319011688</v>
      </c>
      <c r="M160" s="27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42599.049070906</v>
      </c>
      <c r="N160" s="27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77965.2128595412</v>
      </c>
      <c r="O160" s="27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28399.3660472707</v>
      </c>
      <c r="P160" s="27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13047.2097266731</v>
      </c>
      <c r="Q160" s="35">
        <v>7</v>
      </c>
      <c r="R160" s="36" t="s">
        <v>159</v>
      </c>
      <c r="S160" s="36" t="s">
        <v>71</v>
      </c>
      <c r="T160" s="36" t="s">
        <v>99</v>
      </c>
      <c r="U160" s="36" t="s">
        <v>100</v>
      </c>
      <c r="V160" s="36" t="s">
        <v>71</v>
      </c>
      <c r="W160" s="36" t="s">
        <v>71</v>
      </c>
      <c r="X160" s="36" t="s">
        <v>71</v>
      </c>
      <c r="Y160" s="36" t="s">
        <v>71</v>
      </c>
      <c r="Z160" s="36" t="s">
        <v>71</v>
      </c>
      <c r="AA160" s="36" t="s">
        <v>71</v>
      </c>
      <c r="AB160" s="36" t="s">
        <v>71</v>
      </c>
      <c r="AC160" s="36" t="s">
        <v>71</v>
      </c>
      <c r="AD160" s="36" t="s">
        <v>72</v>
      </c>
      <c r="AE160" s="36" t="s">
        <v>94</v>
      </c>
      <c r="AF160" s="36" t="s">
        <v>154</v>
      </c>
      <c r="AG160" s="36" t="s">
        <v>120</v>
      </c>
      <c r="AH160" t="str">
        <f>VLOOKUP($R160,武学奇术!$A:$ZZ,25,FALSE)</f>
        <v>单体奇术</v>
      </c>
      <c r="AI160" s="20">
        <f>VLOOKUP($R160,武学奇术!$A:$ZZ,26,FALSE)</f>
        <v>0.236</v>
      </c>
      <c r="AJ160" s="21">
        <f>VLOOKUP($R160,武学奇术!$A:$ZZ,27,FALSE)*(1+IF(OR($AH160=$F$4,$AH160=$F$5),$B$22,0))</f>
        <v>44</v>
      </c>
      <c r="AK160" s="20">
        <f>VLOOKUP($R160,武学奇术!$A:$ZZ,28,FALSE)</f>
        <v>0.354</v>
      </c>
      <c r="AL160" s="21">
        <f>VLOOKUP($R160,武学奇术!$A:$ZZ,29,FALSE)*(1+IF(OR($AH160=$F$4,$AH160=$F$5),$B$22,0))</f>
        <v>0</v>
      </c>
      <c r="AM160" s="20" cm="1">
        <f t="array" ref="AM160">$G$3+IFERROR(VLOOKUP($AH160,$F$4:$G$7,2,FALSE),0)+VLOOKUP($R160,武学奇术!$A:$ZZ,2,FALSE)+SUM(_xlfn.XLOOKUP($S160:$AG160,增益!$A:$A,增益!$B:$B,0))</f>
        <v>1.3365</v>
      </c>
      <c r="AN160" s="20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1517.52</v>
      </c>
      <c r="AP160" cm="1">
        <f t="array" ref="AP160">$E$10*(1+$AN160)+VLOOKUP($R160,武学奇术!$A:$ZZ,4,FALSE)+SUM(_xlfn.XLOOKUP($S160:$AG160,增益!$A:$A,增益!$D:$D,0))-$I$2</f>
        <v>6628.56</v>
      </c>
      <c r="AQ160" s="29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0.2425</v>
      </c>
      <c r="AR160" s="29" cm="1">
        <f t="array" ref="AR160">$G$10+VLOOKUP($R160,武学奇术!$A:$ZZ,7,FALSE)+SUM(_xlfn.XLOOKUP(S160:AG160,增益!$A:$A,增益!$G:$G,0))</f>
        <v>0</v>
      </c>
      <c r="AS160" s="20" cm="1">
        <f t="array" ref="AS160">VLOOKUP($R160,武学奇术!$A:$ZZ,8,FALSE)+SUM(_xlfn.XLOOKUP(S160:AG160,增益!$A:$A,增益!$H:$H,0))</f>
        <v>0</v>
      </c>
      <c r="AT160">
        <f t="shared" si="23"/>
        <v>538</v>
      </c>
      <c r="AU160">
        <f t="shared" si="24"/>
        <v>1011</v>
      </c>
      <c r="AV160" s="29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</v>
      </c>
      <c r="AW160" s="29" cm="1">
        <f t="array" ref="AW160">$G$11+VLOOKUP($R160,武学奇术!$A:$ZZ,10,FALSE)+SUM(_xlfn.XLOOKUP(S160:AG160,增益!$A:$A,增益!$J:$J,0))</f>
        <v>0.15</v>
      </c>
      <c r="AX160">
        <f t="shared" si="25"/>
        <v>0</v>
      </c>
      <c r="AY160">
        <f t="shared" si="26"/>
        <v>0</v>
      </c>
      <c r="AZ160" s="29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-0.3</v>
      </c>
      <c r="BA160" s="29" cm="1">
        <f t="array" ref="BA160">$G$12+VLOOKUP($R160,武学奇术!$A:$ZZ,12,FALSE)+SUM(_xlfn.XLOOKUP(S160:AG160,增益!$A:$A,增益!$L:$L,0))</f>
        <v>0</v>
      </c>
      <c r="BB160">
        <f t="shared" si="27"/>
        <v>0</v>
      </c>
      <c r="BC160">
        <f t="shared" si="28"/>
        <v>0</v>
      </c>
      <c r="BD160" s="29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-0.3</v>
      </c>
      <c r="BE160" s="29" cm="1">
        <f t="array" ref="BE160">$G$13+VLOOKUP($R160,武学奇术!$A:$ZZ,14,FALSE)+SUM(_xlfn.XLOOKUP(S160:AG160,增益!$A:$A,增益!$N:$N,0))</f>
        <v>0</v>
      </c>
      <c r="BF160">
        <f t="shared" si="29"/>
        <v>0</v>
      </c>
      <c r="BG160">
        <f t="shared" si="30"/>
        <v>0</v>
      </c>
      <c r="BH160" s="29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-0.3</v>
      </c>
      <c r="BI160" s="29" cm="1">
        <f t="array" ref="BI160">$G$14+VLOOKUP($R160,武学奇术!$A:$ZZ,16,FALSE)+SUM(_xlfn.XLOOKUP(S160:AG160,增益!$A:$A,增益!$P:$P,0))</f>
        <v>0</v>
      </c>
      <c r="BJ160" s="20">
        <f>MIN(IF(VLOOKUP($R160,武学奇术!$A:$ZZ,23,FALSE)=1,100%,$B$8),100%)</f>
        <v>0.8271</v>
      </c>
      <c r="BK160" s="20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0.2249</v>
      </c>
      <c r="BL160" s="20" cm="1">
        <f t="array" ref="BL160">1+$B$13+VLOOKUP($R160,武学奇术!$A:$ZZ,18,FALSE)+SUM(_xlfn.XLOOKUP(S160:AG160,增益!$A:$A,增益!$R:$R,0))</f>
        <v>1.5</v>
      </c>
      <c r="BM160" s="20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0.4459</v>
      </c>
      <c r="BN160" s="20" cm="1">
        <f t="array" ref="BN160">1+$B$14+VLOOKUP($R160,武学奇术!$A:$ZZ,20,FALSE)+SUM(_xlfn.XLOOKUP(S160:AG160,增益!$A:$A,增益!$T:$T,0))</f>
        <v>1.782</v>
      </c>
      <c r="BO160" s="20">
        <f t="shared" si="31"/>
        <v>0.18601479</v>
      </c>
      <c r="BP160" s="20">
        <f t="shared" si="32"/>
        <v>0.27228132</v>
      </c>
      <c r="BQ160" s="20">
        <f>IF(VLOOKUP($R160,武学奇术!$A:$ZZ,22,FALSE)=1,0,(1-$BJ160))*(1-$BM160)</f>
        <v>0.09580389</v>
      </c>
      <c r="BR160" s="20" cm="1">
        <f t="array" ref="BR160">SUM(_xlfn.XLOOKUP(S160:AG160,增益!$A:$A,增益!$W:$W,0))+$I$5</f>
        <v>0.11</v>
      </c>
    </row>
    <row r="161" spans="11:70">
      <c r="K161" s="27">
        <f>$L161*VLOOKUP($R161,武学奇术!$A:$ZZ,31,FALSE)</f>
        <v>4428.97130581447</v>
      </c>
      <c r="L161" s="27">
        <f t="shared" si="22"/>
        <v>7381.61884302412</v>
      </c>
      <c r="M161" s="27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6085.57843870086</v>
      </c>
      <c r="N161" s="27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11137.887551363</v>
      </c>
      <c r="O161" s="27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4057.05229246724</v>
      </c>
      <c r="P161" s="27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1863.88710381044</v>
      </c>
      <c r="Q161" s="35">
        <v>1</v>
      </c>
      <c r="R161" s="36" t="s">
        <v>159</v>
      </c>
      <c r="S161" s="36" t="s">
        <v>71</v>
      </c>
      <c r="T161" s="36" t="s">
        <v>99</v>
      </c>
      <c r="U161" s="36" t="s">
        <v>100</v>
      </c>
      <c r="V161" s="36" t="s">
        <v>71</v>
      </c>
      <c r="W161" s="36" t="s">
        <v>71</v>
      </c>
      <c r="X161" s="36" t="s">
        <v>71</v>
      </c>
      <c r="Y161" s="36" t="s">
        <v>71</v>
      </c>
      <c r="Z161" s="36" t="s">
        <v>71</v>
      </c>
      <c r="AA161" s="36" t="s">
        <v>71</v>
      </c>
      <c r="AB161" s="36" t="s">
        <v>71</v>
      </c>
      <c r="AC161" s="36" t="s">
        <v>71</v>
      </c>
      <c r="AD161" s="36" t="s">
        <v>72</v>
      </c>
      <c r="AE161" s="36" t="s">
        <v>94</v>
      </c>
      <c r="AF161" s="36" t="s">
        <v>154</v>
      </c>
      <c r="AG161" s="36" t="s">
        <v>120</v>
      </c>
      <c r="AH161" t="str">
        <f>VLOOKUP($R161,武学奇术!$A:$ZZ,25,FALSE)</f>
        <v>单体奇术</v>
      </c>
      <c r="AI161" s="20">
        <f>VLOOKUP($R161,武学奇术!$A:$ZZ,26,FALSE)</f>
        <v>0.236</v>
      </c>
      <c r="AJ161" s="21">
        <f>VLOOKUP($R161,武学奇术!$A:$ZZ,27,FALSE)*(1+IF(OR($AH161=$F$4,$AH161=$F$5),$B$22,0))</f>
        <v>44</v>
      </c>
      <c r="AK161" s="20">
        <f>VLOOKUP($R161,武学奇术!$A:$ZZ,28,FALSE)</f>
        <v>0.354</v>
      </c>
      <c r="AL161" s="21">
        <f>VLOOKUP($R161,武学奇术!$A:$ZZ,29,FALSE)*(1+IF(OR($AH161=$F$4,$AH161=$F$5),$B$22,0))</f>
        <v>0</v>
      </c>
      <c r="AM161" s="20" cm="1">
        <f t="array" ref="AM161">$G$3+IFERROR(VLOOKUP($AH161,$F$4:$G$7,2,FALSE),0)+VLOOKUP($R161,武学奇术!$A:$ZZ,2,FALSE)+SUM(_xlfn.XLOOKUP($S161:$AG161,增益!$A:$A,增益!$B:$B,0))</f>
        <v>1.3365</v>
      </c>
      <c r="AN161" s="20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1517.52</v>
      </c>
      <c r="AP161" cm="1">
        <f t="array" ref="AP161">$E$10*(1+$AN161)+VLOOKUP($R161,武学奇术!$A:$ZZ,4,FALSE)+SUM(_xlfn.XLOOKUP($S161:$AG161,增益!$A:$A,增益!$D:$D,0))-$I$2</f>
        <v>6628.56</v>
      </c>
      <c r="AQ161" s="29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0.2425</v>
      </c>
      <c r="AR161" s="29" cm="1">
        <f t="array" ref="AR161">$G$10+VLOOKUP($R161,武学奇术!$A:$ZZ,7,FALSE)+SUM(_xlfn.XLOOKUP(S161:AG161,增益!$A:$A,增益!$G:$G,0))</f>
        <v>0</v>
      </c>
      <c r="AS161" s="20" cm="1">
        <f t="array" ref="AS161">VLOOKUP($R161,武学奇术!$A:$ZZ,8,FALSE)+SUM(_xlfn.XLOOKUP(S161:AG161,增益!$A:$A,增益!$H:$H,0))</f>
        <v>0</v>
      </c>
      <c r="AT161">
        <f t="shared" si="23"/>
        <v>538</v>
      </c>
      <c r="AU161">
        <f t="shared" si="24"/>
        <v>1011</v>
      </c>
      <c r="AV161" s="29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29" cm="1">
        <f t="array" ref="AW161">$G$11+VLOOKUP($R161,武学奇术!$A:$ZZ,10,FALSE)+SUM(_xlfn.XLOOKUP(S161:AG161,增益!$A:$A,增益!$J:$J,0))</f>
        <v>0.15</v>
      </c>
      <c r="AX161">
        <f t="shared" si="25"/>
        <v>0</v>
      </c>
      <c r="AY161">
        <f t="shared" si="26"/>
        <v>0</v>
      </c>
      <c r="AZ161" s="29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29" cm="1">
        <f t="array" ref="BA161">$G$12+VLOOKUP($R161,武学奇术!$A:$ZZ,12,FALSE)+SUM(_xlfn.XLOOKUP(S161:AG161,增益!$A:$A,增益!$L:$L,0))</f>
        <v>0</v>
      </c>
      <c r="BB161">
        <f t="shared" si="27"/>
        <v>0</v>
      </c>
      <c r="BC161">
        <f t="shared" si="28"/>
        <v>0</v>
      </c>
      <c r="BD161" s="29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29" cm="1">
        <f t="array" ref="BE161">$G$13+VLOOKUP($R161,武学奇术!$A:$ZZ,14,FALSE)+SUM(_xlfn.XLOOKUP(S161:AG161,增益!$A:$A,增益!$N:$N,0))</f>
        <v>0</v>
      </c>
      <c r="BF161">
        <f t="shared" si="29"/>
        <v>0</v>
      </c>
      <c r="BG161">
        <f t="shared" si="30"/>
        <v>0</v>
      </c>
      <c r="BH161" s="29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29" cm="1">
        <f t="array" ref="BI161">$G$14+VLOOKUP($R161,武学奇术!$A:$ZZ,16,FALSE)+SUM(_xlfn.XLOOKUP(S161:AG161,增益!$A:$A,增益!$P:$P,0))</f>
        <v>0</v>
      </c>
      <c r="BJ161" s="20">
        <f>MIN(IF(VLOOKUP($R161,武学奇术!$A:$ZZ,23,FALSE)=1,100%,$B$8),100%)</f>
        <v>0.8271</v>
      </c>
      <c r="BK161" s="20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0.2249</v>
      </c>
      <c r="BL161" s="20" cm="1">
        <f t="array" ref="BL161">1+$B$13+VLOOKUP($R161,武学奇术!$A:$ZZ,18,FALSE)+SUM(_xlfn.XLOOKUP(S161:AG161,增益!$A:$A,增益!$R:$R,0))</f>
        <v>1.5</v>
      </c>
      <c r="BM161" s="20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0.4459</v>
      </c>
      <c r="BN161" s="20" cm="1">
        <f t="array" ref="BN161">1+$B$14+VLOOKUP($R161,武学奇术!$A:$ZZ,20,FALSE)+SUM(_xlfn.XLOOKUP(S161:AG161,增益!$A:$A,增益!$T:$T,0))</f>
        <v>1.782</v>
      </c>
      <c r="BO161" s="20">
        <f t="shared" si="31"/>
        <v>0.18601479</v>
      </c>
      <c r="BP161" s="20">
        <f t="shared" si="32"/>
        <v>0.27228132</v>
      </c>
      <c r="BQ161" s="20">
        <f>IF(VLOOKUP($R161,武学奇术!$A:$ZZ,22,FALSE)=1,0,(1-$BJ161))*(1-$BM161)</f>
        <v>0.09580389</v>
      </c>
      <c r="BR161" s="20" cm="1">
        <f t="array" ref="BR161">SUM(_xlfn.XLOOKUP(S161:AG161,增益!$A:$A,增益!$W:$W,0))+$I$5</f>
        <v>0.11</v>
      </c>
    </row>
    <row r="162" spans="11:70">
      <c r="K162" s="27">
        <f>$L162*VLOOKUP($R162,武学奇术!$A:$ZZ,31,FALSE)</f>
        <v>48943.0095581274</v>
      </c>
      <c r="L162" s="27">
        <f t="shared" si="22"/>
        <v>81571.682596879</v>
      </c>
      <c r="M162" s="27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67330.3567360741</v>
      </c>
      <c r="N162" s="27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122978.887830507</v>
      </c>
      <c r="O162" s="27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44886.9044907161</v>
      </c>
      <c r="P162" s="27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20762.0874154913</v>
      </c>
      <c r="Q162" s="35">
        <v>11</v>
      </c>
      <c r="R162" s="36" t="s">
        <v>159</v>
      </c>
      <c r="S162" s="36" t="s">
        <v>71</v>
      </c>
      <c r="T162" s="36" t="s">
        <v>99</v>
      </c>
      <c r="U162" s="36" t="s">
        <v>100</v>
      </c>
      <c r="V162" s="36" t="s">
        <v>71</v>
      </c>
      <c r="W162" s="36" t="s">
        <v>111</v>
      </c>
      <c r="X162" s="36" t="s">
        <v>71</v>
      </c>
      <c r="Y162" s="36" t="s">
        <v>71</v>
      </c>
      <c r="Z162" s="36" t="s">
        <v>71</v>
      </c>
      <c r="AA162" s="36" t="s">
        <v>71</v>
      </c>
      <c r="AB162" s="36" t="s">
        <v>71</v>
      </c>
      <c r="AC162" s="36" t="s">
        <v>71</v>
      </c>
      <c r="AD162" s="36" t="s">
        <v>72</v>
      </c>
      <c r="AE162" s="36" t="s">
        <v>94</v>
      </c>
      <c r="AF162" s="36" t="s">
        <v>154</v>
      </c>
      <c r="AG162" s="36" t="s">
        <v>120</v>
      </c>
      <c r="AH162" t="str">
        <f>VLOOKUP($R162,武学奇术!$A:$ZZ,25,FALSE)</f>
        <v>单体奇术</v>
      </c>
      <c r="AI162" s="20">
        <f>VLOOKUP($R162,武学奇术!$A:$ZZ,26,FALSE)</f>
        <v>0.236</v>
      </c>
      <c r="AJ162" s="21">
        <f>VLOOKUP($R162,武学奇术!$A:$ZZ,27,FALSE)*(1+IF(OR($AH162=$F$4,$AH162=$F$5),$B$22,0))</f>
        <v>44</v>
      </c>
      <c r="AK162" s="20">
        <f>VLOOKUP($R162,武学奇术!$A:$ZZ,28,FALSE)</f>
        <v>0.354</v>
      </c>
      <c r="AL162" s="21">
        <f>VLOOKUP($R162,武学奇术!$A:$ZZ,29,FALSE)*(1+IF(OR($AH162=$F$4,$AH162=$F$5),$B$22,0))</f>
        <v>0</v>
      </c>
      <c r="AM162" s="20" cm="1">
        <f t="array" ref="AM162">$G$3+IFERROR(VLOOKUP($AH162,$F$4:$G$7,2,FALSE),0)+VLOOKUP($R162,武学奇术!$A:$ZZ,2,FALSE)+SUM(_xlfn.XLOOKUP($S162:$AG162,增益!$A:$A,增益!$B:$B,0))</f>
        <v>1.3365</v>
      </c>
      <c r="AN162" s="20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1548.52</v>
      </c>
      <c r="AP162" cm="1">
        <f t="array" ref="AP162">$E$10*(1+$AN162)+VLOOKUP($R162,武学奇术!$A:$ZZ,4,FALSE)+SUM(_xlfn.XLOOKUP($S162:$AG162,增益!$A:$A,增益!$D:$D,0))-$I$2</f>
        <v>6659.56</v>
      </c>
      <c r="AQ162" s="29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0.2425</v>
      </c>
      <c r="AR162" s="29" cm="1">
        <f t="array" ref="AR162">$G$10+VLOOKUP($R162,武学奇术!$A:$ZZ,7,FALSE)+SUM(_xlfn.XLOOKUP(S162:AG162,增益!$A:$A,增益!$G:$G,0))</f>
        <v>0</v>
      </c>
      <c r="AS162" s="20" cm="1">
        <f t="array" ref="AS162">VLOOKUP($R162,武学奇术!$A:$ZZ,8,FALSE)+SUM(_xlfn.XLOOKUP(S162:AG162,增益!$A:$A,增益!$H:$H,0))</f>
        <v>0</v>
      </c>
      <c r="AT162">
        <f t="shared" si="23"/>
        <v>538</v>
      </c>
      <c r="AU162">
        <f t="shared" si="24"/>
        <v>1011</v>
      </c>
      <c r="AV162" s="29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29" cm="1">
        <f t="array" ref="AW162">$G$11+VLOOKUP($R162,武学奇术!$A:$ZZ,10,FALSE)+SUM(_xlfn.XLOOKUP(S162:AG162,增益!$A:$A,增益!$J:$J,0))</f>
        <v>0.15</v>
      </c>
      <c r="AX162">
        <f t="shared" si="25"/>
        <v>0</v>
      </c>
      <c r="AY162">
        <f t="shared" si="26"/>
        <v>0</v>
      </c>
      <c r="AZ162" s="29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29" cm="1">
        <f t="array" ref="BA162">$G$12+VLOOKUP($R162,武学奇术!$A:$ZZ,12,FALSE)+SUM(_xlfn.XLOOKUP(S162:AG162,增益!$A:$A,增益!$L:$L,0))</f>
        <v>0</v>
      </c>
      <c r="BB162">
        <f t="shared" si="27"/>
        <v>0</v>
      </c>
      <c r="BC162">
        <f t="shared" si="28"/>
        <v>0</v>
      </c>
      <c r="BD162" s="29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29" cm="1">
        <f t="array" ref="BE162">$G$13+VLOOKUP($R162,武学奇术!$A:$ZZ,14,FALSE)+SUM(_xlfn.XLOOKUP(S162:AG162,增益!$A:$A,增益!$N:$N,0))</f>
        <v>0</v>
      </c>
      <c r="BF162">
        <f t="shared" si="29"/>
        <v>0</v>
      </c>
      <c r="BG162">
        <f t="shared" si="30"/>
        <v>0</v>
      </c>
      <c r="BH162" s="29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29" cm="1">
        <f t="array" ref="BI162">$G$14+VLOOKUP($R162,武学奇术!$A:$ZZ,16,FALSE)+SUM(_xlfn.XLOOKUP(S162:AG162,增益!$A:$A,增益!$P:$P,0))</f>
        <v>0</v>
      </c>
      <c r="BJ162" s="20">
        <f>MIN(IF(VLOOKUP($R162,武学奇术!$A:$ZZ,23,FALSE)=1,100%,$B$8),100%)</f>
        <v>0.8271</v>
      </c>
      <c r="BK162" s="20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0.2249</v>
      </c>
      <c r="BL162" s="20" cm="1">
        <f t="array" ref="BL162">1+$B$13+VLOOKUP($R162,武学奇术!$A:$ZZ,18,FALSE)+SUM(_xlfn.XLOOKUP(S162:AG162,增益!$A:$A,增益!$R:$R,0))</f>
        <v>1.5</v>
      </c>
      <c r="BM162" s="20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0.4459</v>
      </c>
      <c r="BN162" s="20" cm="1">
        <f t="array" ref="BN162">1+$B$14+VLOOKUP($R162,武学奇术!$A:$ZZ,20,FALSE)+SUM(_xlfn.XLOOKUP(S162:AG162,增益!$A:$A,增益!$T:$T,0))</f>
        <v>1.782</v>
      </c>
      <c r="BO162" s="20">
        <f t="shared" si="31"/>
        <v>0.18601479</v>
      </c>
      <c r="BP162" s="20">
        <f t="shared" si="32"/>
        <v>0.27228132</v>
      </c>
      <c r="BQ162" s="20">
        <f>IF(VLOOKUP($R162,武学奇术!$A:$ZZ,22,FALSE)=1,0,(1-$BJ162))*(1-$BM162)</f>
        <v>0.09580389</v>
      </c>
      <c r="BR162" s="20" cm="1">
        <f t="array" ref="BR162">SUM(_xlfn.XLOOKUP(S162:AG162,增益!$A:$A,增益!$W:$W,0))+$I$5</f>
        <v>0.11</v>
      </c>
    </row>
    <row r="163" spans="11:70">
      <c r="K163" s="27">
        <f>$L163*VLOOKUP($R163,武学奇术!$A:$ZZ,31,FALSE)</f>
        <v>31145.5515369902</v>
      </c>
      <c r="L163" s="27">
        <f t="shared" si="22"/>
        <v>51909.2525616503</v>
      </c>
      <c r="M163" s="27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42846.590650229</v>
      </c>
      <c r="N163" s="27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78259.2922557769</v>
      </c>
      <c r="O163" s="27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28564.3937668193</v>
      </c>
      <c r="P163" s="27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13212.2374462218</v>
      </c>
      <c r="Q163" s="35">
        <v>7</v>
      </c>
      <c r="R163" s="36" t="s">
        <v>159</v>
      </c>
      <c r="S163" s="36" t="s">
        <v>71</v>
      </c>
      <c r="T163" s="36" t="s">
        <v>99</v>
      </c>
      <c r="U163" s="36" t="s">
        <v>100</v>
      </c>
      <c r="V163" s="36" t="s">
        <v>71</v>
      </c>
      <c r="W163" s="36" t="s">
        <v>111</v>
      </c>
      <c r="X163" s="36" t="s">
        <v>71</v>
      </c>
      <c r="Y163" s="36" t="s">
        <v>71</v>
      </c>
      <c r="Z163" s="36" t="s">
        <v>71</v>
      </c>
      <c r="AA163" s="36" t="s">
        <v>71</v>
      </c>
      <c r="AB163" s="36" t="s">
        <v>71</v>
      </c>
      <c r="AC163" s="36" t="s">
        <v>71</v>
      </c>
      <c r="AD163" s="36" t="s">
        <v>72</v>
      </c>
      <c r="AE163" s="36" t="s">
        <v>94</v>
      </c>
      <c r="AF163" s="36" t="s">
        <v>154</v>
      </c>
      <c r="AG163" s="36" t="s">
        <v>120</v>
      </c>
      <c r="AH163" t="str">
        <f>VLOOKUP($R163,武学奇术!$A:$ZZ,25,FALSE)</f>
        <v>单体奇术</v>
      </c>
      <c r="AI163" s="20">
        <f>VLOOKUP($R163,武学奇术!$A:$ZZ,26,FALSE)</f>
        <v>0.236</v>
      </c>
      <c r="AJ163" s="21">
        <f>VLOOKUP($R163,武学奇术!$A:$ZZ,27,FALSE)*(1+IF(OR($AH163=$F$4,$AH163=$F$5),$B$22,0))</f>
        <v>44</v>
      </c>
      <c r="AK163" s="20">
        <f>VLOOKUP($R163,武学奇术!$A:$ZZ,28,FALSE)</f>
        <v>0.354</v>
      </c>
      <c r="AL163" s="21">
        <f>VLOOKUP($R163,武学奇术!$A:$ZZ,29,FALSE)*(1+IF(OR($AH163=$F$4,$AH163=$F$5),$B$22,0))</f>
        <v>0</v>
      </c>
      <c r="AM163" s="20" cm="1">
        <f t="array" ref="AM163">$G$3+IFERROR(VLOOKUP($AH163,$F$4:$G$7,2,FALSE),0)+VLOOKUP($R163,武学奇术!$A:$ZZ,2,FALSE)+SUM(_xlfn.XLOOKUP($S163:$AG163,增益!$A:$A,增益!$B:$B,0))</f>
        <v>1.3365</v>
      </c>
      <c r="AN163" s="20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1548.52</v>
      </c>
      <c r="AP163" cm="1">
        <f t="array" ref="AP163">$E$10*(1+$AN163)+VLOOKUP($R163,武学奇术!$A:$ZZ,4,FALSE)+SUM(_xlfn.XLOOKUP($S163:$AG163,增益!$A:$A,增益!$D:$D,0))-$I$2</f>
        <v>6659.56</v>
      </c>
      <c r="AQ163" s="29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0.2425</v>
      </c>
      <c r="AR163" s="29" cm="1">
        <f t="array" ref="AR163">$G$10+VLOOKUP($R163,武学奇术!$A:$ZZ,7,FALSE)+SUM(_xlfn.XLOOKUP(S163:AG163,增益!$A:$A,增益!$G:$G,0))</f>
        <v>0</v>
      </c>
      <c r="AS163" s="20" cm="1">
        <f t="array" ref="AS163">VLOOKUP($R163,武学奇术!$A:$ZZ,8,FALSE)+SUM(_xlfn.XLOOKUP(S163:AG163,增益!$A:$A,增益!$H:$H,0))</f>
        <v>0</v>
      </c>
      <c r="AT163">
        <f t="shared" si="23"/>
        <v>538</v>
      </c>
      <c r="AU163">
        <f t="shared" si="24"/>
        <v>1011</v>
      </c>
      <c r="AV163" s="29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</v>
      </c>
      <c r="AW163" s="29" cm="1">
        <f t="array" ref="AW163">$G$11+VLOOKUP($R163,武学奇术!$A:$ZZ,10,FALSE)+SUM(_xlfn.XLOOKUP(S163:AG163,增益!$A:$A,增益!$J:$J,0))</f>
        <v>0.15</v>
      </c>
      <c r="AX163">
        <f t="shared" si="25"/>
        <v>0</v>
      </c>
      <c r="AY163">
        <f t="shared" si="26"/>
        <v>0</v>
      </c>
      <c r="AZ163" s="29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-0.3</v>
      </c>
      <c r="BA163" s="29" cm="1">
        <f t="array" ref="BA163">$G$12+VLOOKUP($R163,武学奇术!$A:$ZZ,12,FALSE)+SUM(_xlfn.XLOOKUP(S163:AG163,增益!$A:$A,增益!$L:$L,0))</f>
        <v>0</v>
      </c>
      <c r="BB163">
        <f t="shared" si="27"/>
        <v>0</v>
      </c>
      <c r="BC163">
        <f t="shared" si="28"/>
        <v>0</v>
      </c>
      <c r="BD163" s="29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-0.3</v>
      </c>
      <c r="BE163" s="29" cm="1">
        <f t="array" ref="BE163">$G$13+VLOOKUP($R163,武学奇术!$A:$ZZ,14,FALSE)+SUM(_xlfn.XLOOKUP(S163:AG163,增益!$A:$A,增益!$N:$N,0))</f>
        <v>0</v>
      </c>
      <c r="BF163">
        <f t="shared" si="29"/>
        <v>0</v>
      </c>
      <c r="BG163">
        <f t="shared" si="30"/>
        <v>0</v>
      </c>
      <c r="BH163" s="29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-0.3</v>
      </c>
      <c r="BI163" s="29" cm="1">
        <f t="array" ref="BI163">$G$14+VLOOKUP($R163,武学奇术!$A:$ZZ,16,FALSE)+SUM(_xlfn.XLOOKUP(S163:AG163,增益!$A:$A,增益!$P:$P,0))</f>
        <v>0</v>
      </c>
      <c r="BJ163" s="20">
        <f>MIN(IF(VLOOKUP($R163,武学奇术!$A:$ZZ,23,FALSE)=1,100%,$B$8),100%)</f>
        <v>0.8271</v>
      </c>
      <c r="BK163" s="20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0.2249</v>
      </c>
      <c r="BL163" s="20" cm="1">
        <f t="array" ref="BL163">1+$B$13+VLOOKUP($R163,武学奇术!$A:$ZZ,18,FALSE)+SUM(_xlfn.XLOOKUP(S163:AG163,增益!$A:$A,增益!$R:$R,0))</f>
        <v>1.5</v>
      </c>
      <c r="BM163" s="20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0.4459</v>
      </c>
      <c r="BN163" s="20" cm="1">
        <f t="array" ref="BN163">1+$B$14+VLOOKUP($R163,武学奇术!$A:$ZZ,20,FALSE)+SUM(_xlfn.XLOOKUP(S163:AG163,增益!$A:$A,增益!$T:$T,0))</f>
        <v>1.782</v>
      </c>
      <c r="BO163" s="20">
        <f t="shared" si="31"/>
        <v>0.18601479</v>
      </c>
      <c r="BP163" s="20">
        <f t="shared" si="32"/>
        <v>0.27228132</v>
      </c>
      <c r="BQ163" s="20">
        <f>IF(VLOOKUP($R163,武学奇术!$A:$ZZ,22,FALSE)=1,0,(1-$BJ163))*(1-$BM163)</f>
        <v>0.09580389</v>
      </c>
      <c r="BR163" s="20" cm="1">
        <f t="array" ref="BR163">SUM(_xlfn.XLOOKUP(S163:AG163,增益!$A:$A,增益!$W:$W,0))+$I$5</f>
        <v>0.11</v>
      </c>
    </row>
    <row r="164" spans="11:70">
      <c r="K164" s="27">
        <f>$L164*VLOOKUP($R164,武学奇术!$A:$ZZ,31,FALSE)</f>
        <v>9783.45004567931</v>
      </c>
      <c r="L164" s="27">
        <f t="shared" si="22"/>
        <v>16305.7500761322</v>
      </c>
      <c r="M164" s="27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13458.9839822337</v>
      </c>
      <c r="N164" s="27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24582.8324948842</v>
      </c>
      <c r="O164" s="27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8972.65598815582</v>
      </c>
      <c r="P164" s="27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4150.23201285251</v>
      </c>
      <c r="Q164" s="35">
        <v>2</v>
      </c>
      <c r="R164" s="36" t="s">
        <v>159</v>
      </c>
      <c r="S164" s="36" t="s">
        <v>152</v>
      </c>
      <c r="T164" s="36" t="s">
        <v>99</v>
      </c>
      <c r="U164" s="36" t="s">
        <v>100</v>
      </c>
      <c r="V164" s="36" t="s">
        <v>71</v>
      </c>
      <c r="W164" s="36" t="s">
        <v>111</v>
      </c>
      <c r="X164" s="36" t="s">
        <v>158</v>
      </c>
      <c r="Y164" s="36" t="s">
        <v>71</v>
      </c>
      <c r="Z164" s="36" t="s">
        <v>71</v>
      </c>
      <c r="AA164" s="36" t="s">
        <v>71</v>
      </c>
      <c r="AB164" s="36" t="s">
        <v>71</v>
      </c>
      <c r="AC164" s="36" t="s">
        <v>71</v>
      </c>
      <c r="AD164" s="36" t="s">
        <v>72</v>
      </c>
      <c r="AE164" s="36" t="s">
        <v>94</v>
      </c>
      <c r="AF164" s="36" t="s">
        <v>154</v>
      </c>
      <c r="AG164" s="36" t="s">
        <v>120</v>
      </c>
      <c r="AH164" t="str">
        <f>VLOOKUP($R164,武学奇术!$A:$ZZ,25,FALSE)</f>
        <v>单体奇术</v>
      </c>
      <c r="AI164" s="20">
        <f>VLOOKUP($R164,武学奇术!$A:$ZZ,26,FALSE)</f>
        <v>0.236</v>
      </c>
      <c r="AJ164" s="21">
        <f>VLOOKUP($R164,武学奇术!$A:$ZZ,27,FALSE)*(1+IF(OR($AH164=$F$4,$AH164=$F$5),$B$22,0))</f>
        <v>44</v>
      </c>
      <c r="AK164" s="20">
        <f>VLOOKUP($R164,武学奇术!$A:$ZZ,28,FALSE)</f>
        <v>0.354</v>
      </c>
      <c r="AL164" s="21">
        <f>VLOOKUP($R164,武学奇术!$A:$ZZ,29,FALSE)*(1+IF(OR($AH164=$F$4,$AH164=$F$5),$B$22,0))</f>
        <v>0</v>
      </c>
      <c r="AM164" s="20" cm="1">
        <f t="array" ref="AM164">$G$3+IFERROR(VLOOKUP($AH164,$F$4:$G$7,2,FALSE),0)+VLOOKUP($R164,武学奇术!$A:$ZZ,2,FALSE)+SUM(_xlfn.XLOOKUP($S164:$AG164,增益!$A:$A,增益!$B:$B,0))</f>
        <v>1.3565</v>
      </c>
      <c r="AN164" s="20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1548.52</v>
      </c>
      <c r="AP164" cm="1">
        <f t="array" ref="AP164">$E$10*(1+$AN164)+VLOOKUP($R164,武学奇术!$A:$ZZ,4,FALSE)+SUM(_xlfn.XLOOKUP($S164:$AG164,增益!$A:$A,增益!$D:$D,0))-$I$2</f>
        <v>6659.56</v>
      </c>
      <c r="AQ164" s="29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0.2425</v>
      </c>
      <c r="AR164" s="29" cm="1">
        <f t="array" ref="AR164">$G$10+VLOOKUP($R164,武学奇术!$A:$ZZ,7,FALSE)+SUM(_xlfn.XLOOKUP(S164:AG164,增益!$A:$A,增益!$G:$G,0))</f>
        <v>0</v>
      </c>
      <c r="AS164" s="20" cm="1">
        <f t="array" ref="AS164">VLOOKUP($R164,武学奇术!$A:$ZZ,8,FALSE)+SUM(_xlfn.XLOOKUP(S164:AG164,增益!$A:$A,增益!$H:$H,0))</f>
        <v>0</v>
      </c>
      <c r="AT164">
        <f t="shared" si="23"/>
        <v>538</v>
      </c>
      <c r="AU164">
        <f t="shared" si="24"/>
        <v>1011</v>
      </c>
      <c r="AV164" s="29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</v>
      </c>
      <c r="AW164" s="29" cm="1">
        <f t="array" ref="AW164">$G$11+VLOOKUP($R164,武学奇术!$A:$ZZ,10,FALSE)+SUM(_xlfn.XLOOKUP(S164:AG164,增益!$A:$A,增益!$J:$J,0))</f>
        <v>0.15</v>
      </c>
      <c r="AX164">
        <f t="shared" si="25"/>
        <v>0</v>
      </c>
      <c r="AY164">
        <f t="shared" si="26"/>
        <v>0</v>
      </c>
      <c r="AZ164" s="29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-0.3</v>
      </c>
      <c r="BA164" s="29" cm="1">
        <f t="array" ref="BA164">$G$12+VLOOKUP($R164,武学奇术!$A:$ZZ,12,FALSE)+SUM(_xlfn.XLOOKUP(S164:AG164,增益!$A:$A,增益!$L:$L,0))</f>
        <v>0</v>
      </c>
      <c r="BB164">
        <f t="shared" si="27"/>
        <v>0</v>
      </c>
      <c r="BC164">
        <f t="shared" si="28"/>
        <v>0</v>
      </c>
      <c r="BD164" s="29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-0.3</v>
      </c>
      <c r="BE164" s="29" cm="1">
        <f t="array" ref="BE164">$G$13+VLOOKUP($R164,武学奇术!$A:$ZZ,14,FALSE)+SUM(_xlfn.XLOOKUP(S164:AG164,增益!$A:$A,增益!$N:$N,0))</f>
        <v>0</v>
      </c>
      <c r="BF164">
        <f t="shared" si="29"/>
        <v>0</v>
      </c>
      <c r="BG164">
        <f t="shared" si="30"/>
        <v>0</v>
      </c>
      <c r="BH164" s="29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-0.3</v>
      </c>
      <c r="BI164" s="29" cm="1">
        <f t="array" ref="BI164">$G$14+VLOOKUP($R164,武学奇术!$A:$ZZ,16,FALSE)+SUM(_xlfn.XLOOKUP(S164:AG164,增益!$A:$A,增益!$P:$P,0))</f>
        <v>0</v>
      </c>
      <c r="BJ164" s="20">
        <f>MIN(IF(VLOOKUP($R164,武学奇术!$A:$ZZ,23,FALSE)=1,100%,$B$8),100%)</f>
        <v>0.8271</v>
      </c>
      <c r="BK164" s="20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0.2249</v>
      </c>
      <c r="BL164" s="20" cm="1">
        <f t="array" ref="BL164">1+$B$13+VLOOKUP($R164,武学奇术!$A:$ZZ,18,FALSE)+SUM(_xlfn.XLOOKUP(S164:AG164,增益!$A:$A,增益!$R:$R,0))</f>
        <v>1.5</v>
      </c>
      <c r="BM164" s="20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0.4459</v>
      </c>
      <c r="BN164" s="20" cm="1">
        <f t="array" ref="BN164">1+$B$14+VLOOKUP($R164,武学奇术!$A:$ZZ,20,FALSE)+SUM(_xlfn.XLOOKUP(S164:AG164,增益!$A:$A,增益!$T:$T,0))</f>
        <v>1.782</v>
      </c>
      <c r="BO164" s="20">
        <f t="shared" si="31"/>
        <v>0.18601479</v>
      </c>
      <c r="BP164" s="20">
        <f t="shared" si="32"/>
        <v>0.27228132</v>
      </c>
      <c r="BQ164" s="20">
        <f>IF(VLOOKUP($R164,武学奇术!$A:$ZZ,22,FALSE)=1,0,(1-$BJ164))*(1-$BM164)</f>
        <v>0.09580389</v>
      </c>
      <c r="BR164" s="20" cm="1">
        <f t="array" ref="BR164">SUM(_xlfn.XLOOKUP(S164:AG164,增益!$A:$A,增益!$W:$W,0))+$I$5</f>
        <v>0.21</v>
      </c>
    </row>
    <row r="165" spans="11:70">
      <c r="K165" s="27">
        <f>$L165*VLOOKUP($R165,武学奇术!$A:$ZZ,31,FALSE)</f>
        <v>19477.2172397749</v>
      </c>
      <c r="L165" s="27">
        <f t="shared" si="22"/>
        <v>32462.0287329581</v>
      </c>
      <c r="M165" s="27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26762.4522933027</v>
      </c>
      <c r="N165" s="27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48980.9123724246</v>
      </c>
      <c r="O165" s="27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17841.6348622018</v>
      </c>
      <c r="P165" s="27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8196.78691159521</v>
      </c>
      <c r="Q165" s="35">
        <v>4</v>
      </c>
      <c r="R165" s="36" t="s">
        <v>159</v>
      </c>
      <c r="S165" s="36" t="s">
        <v>152</v>
      </c>
      <c r="T165" s="36" t="s">
        <v>99</v>
      </c>
      <c r="U165" s="36" t="s">
        <v>100</v>
      </c>
      <c r="V165" s="36" t="s">
        <v>71</v>
      </c>
      <c r="W165" s="36" t="s">
        <v>71</v>
      </c>
      <c r="X165" s="36" t="s">
        <v>158</v>
      </c>
      <c r="Y165" s="36" t="s">
        <v>71</v>
      </c>
      <c r="Z165" s="36" t="s">
        <v>71</v>
      </c>
      <c r="AA165" s="36" t="s">
        <v>71</v>
      </c>
      <c r="AB165" s="36" t="s">
        <v>71</v>
      </c>
      <c r="AC165" s="36" t="s">
        <v>71</v>
      </c>
      <c r="AD165" s="36" t="s">
        <v>72</v>
      </c>
      <c r="AE165" s="36" t="s">
        <v>94</v>
      </c>
      <c r="AF165" s="36" t="s">
        <v>154</v>
      </c>
      <c r="AG165" s="36" t="s">
        <v>120</v>
      </c>
      <c r="AH165" t="str">
        <f>VLOOKUP($R165,武学奇术!$A:$ZZ,25,FALSE)</f>
        <v>单体奇术</v>
      </c>
      <c r="AI165" s="20">
        <f>VLOOKUP($R165,武学奇术!$A:$ZZ,26,FALSE)</f>
        <v>0.236</v>
      </c>
      <c r="AJ165" s="21">
        <f>VLOOKUP($R165,武学奇术!$A:$ZZ,27,FALSE)*(1+IF(OR($AH165=$F$4,$AH165=$F$5),$B$22,0))</f>
        <v>44</v>
      </c>
      <c r="AK165" s="20">
        <f>VLOOKUP($R165,武学奇术!$A:$ZZ,28,FALSE)</f>
        <v>0.354</v>
      </c>
      <c r="AL165" s="21">
        <f>VLOOKUP($R165,武学奇术!$A:$ZZ,29,FALSE)*(1+IF(OR($AH165=$F$4,$AH165=$F$5),$B$22,0))</f>
        <v>0</v>
      </c>
      <c r="AM165" s="20" cm="1">
        <f t="array" ref="AM165">$G$3+IFERROR(VLOOKUP($AH165,$F$4:$G$7,2,FALSE),0)+VLOOKUP($R165,武学奇术!$A:$ZZ,2,FALSE)+SUM(_xlfn.XLOOKUP($S165:$AG165,增益!$A:$A,增益!$B:$B,0))</f>
        <v>1.3565</v>
      </c>
      <c r="AN165" s="20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1517.52</v>
      </c>
      <c r="AP165" cm="1">
        <f t="array" ref="AP165">$E$10*(1+$AN165)+VLOOKUP($R165,武学奇术!$A:$ZZ,4,FALSE)+SUM(_xlfn.XLOOKUP($S165:$AG165,增益!$A:$A,增益!$D:$D,0))-$I$2</f>
        <v>6628.56</v>
      </c>
      <c r="AQ165" s="29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0.2425</v>
      </c>
      <c r="AR165" s="29" cm="1">
        <f t="array" ref="AR165">$G$10+VLOOKUP($R165,武学奇术!$A:$ZZ,7,FALSE)+SUM(_xlfn.XLOOKUP(S165:AG165,增益!$A:$A,增益!$G:$G,0))</f>
        <v>0</v>
      </c>
      <c r="AS165" s="20" cm="1">
        <f t="array" ref="AS165">VLOOKUP($R165,武学奇术!$A:$ZZ,8,FALSE)+SUM(_xlfn.XLOOKUP(S165:AG165,增益!$A:$A,增益!$H:$H,0))</f>
        <v>0</v>
      </c>
      <c r="AT165">
        <f t="shared" si="23"/>
        <v>538</v>
      </c>
      <c r="AU165">
        <f t="shared" si="24"/>
        <v>1011</v>
      </c>
      <c r="AV165" s="29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</v>
      </c>
      <c r="AW165" s="29" cm="1">
        <f t="array" ref="AW165">$G$11+VLOOKUP($R165,武学奇术!$A:$ZZ,10,FALSE)+SUM(_xlfn.XLOOKUP(S165:AG165,增益!$A:$A,增益!$J:$J,0))</f>
        <v>0.15</v>
      </c>
      <c r="AX165">
        <f t="shared" si="25"/>
        <v>0</v>
      </c>
      <c r="AY165">
        <f t="shared" si="26"/>
        <v>0</v>
      </c>
      <c r="AZ165" s="29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-0.3</v>
      </c>
      <c r="BA165" s="29" cm="1">
        <f t="array" ref="BA165">$G$12+VLOOKUP($R165,武学奇术!$A:$ZZ,12,FALSE)+SUM(_xlfn.XLOOKUP(S165:AG165,增益!$A:$A,增益!$L:$L,0))</f>
        <v>0</v>
      </c>
      <c r="BB165">
        <f t="shared" si="27"/>
        <v>0</v>
      </c>
      <c r="BC165">
        <f t="shared" si="28"/>
        <v>0</v>
      </c>
      <c r="BD165" s="29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-0.3</v>
      </c>
      <c r="BE165" s="29" cm="1">
        <f t="array" ref="BE165">$G$13+VLOOKUP($R165,武学奇术!$A:$ZZ,14,FALSE)+SUM(_xlfn.XLOOKUP(S165:AG165,增益!$A:$A,增益!$N:$N,0))</f>
        <v>0</v>
      </c>
      <c r="BF165">
        <f t="shared" si="29"/>
        <v>0</v>
      </c>
      <c r="BG165">
        <f t="shared" si="30"/>
        <v>0</v>
      </c>
      <c r="BH165" s="29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-0.3</v>
      </c>
      <c r="BI165" s="29" cm="1">
        <f t="array" ref="BI165">$G$14+VLOOKUP($R165,武学奇术!$A:$ZZ,16,FALSE)+SUM(_xlfn.XLOOKUP(S165:AG165,增益!$A:$A,增益!$P:$P,0))</f>
        <v>0</v>
      </c>
      <c r="BJ165" s="20">
        <f>MIN(IF(VLOOKUP($R165,武学奇术!$A:$ZZ,23,FALSE)=1,100%,$B$8),100%)</f>
        <v>0.8271</v>
      </c>
      <c r="BK165" s="20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0.2249</v>
      </c>
      <c r="BL165" s="20" cm="1">
        <f t="array" ref="BL165">1+$B$13+VLOOKUP($R165,武学奇术!$A:$ZZ,18,FALSE)+SUM(_xlfn.XLOOKUP(S165:AG165,增益!$A:$A,增益!$R:$R,0))</f>
        <v>1.5</v>
      </c>
      <c r="BM165" s="20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0.4459</v>
      </c>
      <c r="BN165" s="20" cm="1">
        <f t="array" ref="BN165">1+$B$14+VLOOKUP($R165,武学奇术!$A:$ZZ,20,FALSE)+SUM(_xlfn.XLOOKUP(S165:AG165,增益!$A:$A,增益!$T:$T,0))</f>
        <v>1.782</v>
      </c>
      <c r="BO165" s="20">
        <f t="shared" si="31"/>
        <v>0.18601479</v>
      </c>
      <c r="BP165" s="20">
        <f t="shared" si="32"/>
        <v>0.27228132</v>
      </c>
      <c r="BQ165" s="20">
        <f>IF(VLOOKUP($R165,武学奇术!$A:$ZZ,22,FALSE)=1,0,(1-$BJ165))*(1-$BM165)</f>
        <v>0.09580389</v>
      </c>
      <c r="BR165" s="20" cm="1">
        <f t="array" ref="BR165">SUM(_xlfn.XLOOKUP(S165:AG165,增益!$A:$A,增益!$W:$W,0))+$I$5</f>
        <v>0.21</v>
      </c>
    </row>
    <row r="166" spans="11:70">
      <c r="K166" s="27">
        <f>$L166*VLOOKUP($R166,武学奇术!$A:$ZZ,31,FALSE)</f>
        <v>63592.4252969155</v>
      </c>
      <c r="L166" s="27">
        <f t="shared" si="22"/>
        <v>105987.375494859</v>
      </c>
      <c r="M166" s="27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87483.3958845192</v>
      </c>
      <c r="N166" s="27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159788.411216747</v>
      </c>
      <c r="O166" s="27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58322.2639230128</v>
      </c>
      <c r="P166" s="27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26976.5080835413</v>
      </c>
      <c r="Q166" s="35">
        <v>13</v>
      </c>
      <c r="R166" s="36" t="s">
        <v>159</v>
      </c>
      <c r="S166" s="36" t="s">
        <v>152</v>
      </c>
      <c r="T166" s="36" t="s">
        <v>99</v>
      </c>
      <c r="U166" s="36" t="s">
        <v>100</v>
      </c>
      <c r="V166" s="36" t="s">
        <v>71</v>
      </c>
      <c r="W166" s="36" t="s">
        <v>111</v>
      </c>
      <c r="X166" s="36" t="s">
        <v>158</v>
      </c>
      <c r="Y166" s="36" t="s">
        <v>71</v>
      </c>
      <c r="Z166" s="36" t="s">
        <v>71</v>
      </c>
      <c r="AA166" s="36" t="s">
        <v>71</v>
      </c>
      <c r="AB166" s="36" t="s">
        <v>71</v>
      </c>
      <c r="AC166" s="36" t="s">
        <v>71</v>
      </c>
      <c r="AD166" s="36" t="s">
        <v>72</v>
      </c>
      <c r="AE166" s="36" t="s">
        <v>94</v>
      </c>
      <c r="AF166" s="36" t="s">
        <v>154</v>
      </c>
      <c r="AG166" s="36" t="s">
        <v>120</v>
      </c>
      <c r="AH166" t="str">
        <f>VLOOKUP($R166,武学奇术!$A:$ZZ,25,FALSE)</f>
        <v>单体奇术</v>
      </c>
      <c r="AI166" s="20">
        <f>VLOOKUP($R166,武学奇术!$A:$ZZ,26,FALSE)</f>
        <v>0.236</v>
      </c>
      <c r="AJ166" s="21">
        <f>VLOOKUP($R166,武学奇术!$A:$ZZ,27,FALSE)*(1+IF(OR($AH166=$F$4,$AH166=$F$5),$B$22,0))</f>
        <v>44</v>
      </c>
      <c r="AK166" s="20">
        <f>VLOOKUP($R166,武学奇术!$A:$ZZ,28,FALSE)</f>
        <v>0.354</v>
      </c>
      <c r="AL166" s="21">
        <f>VLOOKUP($R166,武学奇术!$A:$ZZ,29,FALSE)*(1+IF(OR($AH166=$F$4,$AH166=$F$5),$B$22,0))</f>
        <v>0</v>
      </c>
      <c r="AM166" s="20" cm="1">
        <f t="array" ref="AM166">$G$3+IFERROR(VLOOKUP($AH166,$F$4:$G$7,2,FALSE),0)+VLOOKUP($R166,武学奇术!$A:$ZZ,2,FALSE)+SUM(_xlfn.XLOOKUP($S166:$AG166,增益!$A:$A,增益!$B:$B,0))</f>
        <v>1.3565</v>
      </c>
      <c r="AN166" s="20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1548.52</v>
      </c>
      <c r="AP166" cm="1">
        <f t="array" ref="AP166">$E$10*(1+$AN166)+VLOOKUP($R166,武学奇术!$A:$ZZ,4,FALSE)+SUM(_xlfn.XLOOKUP($S166:$AG166,增益!$A:$A,增益!$D:$D,0))-$I$2</f>
        <v>6659.56</v>
      </c>
      <c r="AQ166" s="29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0.2425</v>
      </c>
      <c r="AR166" s="29" cm="1">
        <f t="array" ref="AR166">$G$10+VLOOKUP($R166,武学奇术!$A:$ZZ,7,FALSE)+SUM(_xlfn.XLOOKUP(S166:AG166,增益!$A:$A,增益!$G:$G,0))</f>
        <v>0</v>
      </c>
      <c r="AS166" s="20" cm="1">
        <f t="array" ref="AS166">VLOOKUP($R166,武学奇术!$A:$ZZ,8,FALSE)+SUM(_xlfn.XLOOKUP(S166:AG166,增益!$A:$A,增益!$H:$H,0))</f>
        <v>0</v>
      </c>
      <c r="AT166">
        <f t="shared" si="23"/>
        <v>538</v>
      </c>
      <c r="AU166">
        <f t="shared" si="24"/>
        <v>1011</v>
      </c>
      <c r="AV166" s="29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29" cm="1">
        <f t="array" ref="AW166">$G$11+VLOOKUP($R166,武学奇术!$A:$ZZ,10,FALSE)+SUM(_xlfn.XLOOKUP(S166:AG166,增益!$A:$A,增益!$J:$J,0))</f>
        <v>0.15</v>
      </c>
      <c r="AX166">
        <f t="shared" si="25"/>
        <v>0</v>
      </c>
      <c r="AY166">
        <f t="shared" si="26"/>
        <v>0</v>
      </c>
      <c r="AZ166" s="29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29" cm="1">
        <f t="array" ref="BA166">$G$12+VLOOKUP($R166,武学奇术!$A:$ZZ,12,FALSE)+SUM(_xlfn.XLOOKUP(S166:AG166,增益!$A:$A,增益!$L:$L,0))</f>
        <v>0</v>
      </c>
      <c r="BB166">
        <f t="shared" si="27"/>
        <v>0</v>
      </c>
      <c r="BC166">
        <f t="shared" si="28"/>
        <v>0</v>
      </c>
      <c r="BD166" s="29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29" cm="1">
        <f t="array" ref="BE166">$G$13+VLOOKUP($R166,武学奇术!$A:$ZZ,14,FALSE)+SUM(_xlfn.XLOOKUP(S166:AG166,增益!$A:$A,增益!$N:$N,0))</f>
        <v>0</v>
      </c>
      <c r="BF166">
        <f t="shared" si="29"/>
        <v>0</v>
      </c>
      <c r="BG166">
        <f t="shared" si="30"/>
        <v>0</v>
      </c>
      <c r="BH166" s="29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29" cm="1">
        <f t="array" ref="BI166">$G$14+VLOOKUP($R166,武学奇术!$A:$ZZ,16,FALSE)+SUM(_xlfn.XLOOKUP(S166:AG166,增益!$A:$A,增益!$P:$P,0))</f>
        <v>0</v>
      </c>
      <c r="BJ166" s="20">
        <f>MIN(IF(VLOOKUP($R166,武学奇术!$A:$ZZ,23,FALSE)=1,100%,$B$8),100%)</f>
        <v>0.8271</v>
      </c>
      <c r="BK166" s="20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0.2249</v>
      </c>
      <c r="BL166" s="20" cm="1">
        <f t="array" ref="BL166">1+$B$13+VLOOKUP($R166,武学奇术!$A:$ZZ,18,FALSE)+SUM(_xlfn.XLOOKUP(S166:AG166,增益!$A:$A,增益!$R:$R,0))</f>
        <v>1.5</v>
      </c>
      <c r="BM166" s="20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0.4459</v>
      </c>
      <c r="BN166" s="20" cm="1">
        <f t="array" ref="BN166">1+$B$14+VLOOKUP($R166,武学奇术!$A:$ZZ,20,FALSE)+SUM(_xlfn.XLOOKUP(S166:AG166,增益!$A:$A,增益!$T:$T,0))</f>
        <v>1.782</v>
      </c>
      <c r="BO166" s="20">
        <f t="shared" si="31"/>
        <v>0.18601479</v>
      </c>
      <c r="BP166" s="20">
        <f t="shared" si="32"/>
        <v>0.27228132</v>
      </c>
      <c r="BQ166" s="20">
        <f>IF(VLOOKUP($R166,武学奇术!$A:$ZZ,22,FALSE)=1,0,(1-$BJ166))*(1-$BM166)</f>
        <v>0.09580389</v>
      </c>
      <c r="BR166" s="20" cm="1">
        <f t="array" ref="BR166">SUM(_xlfn.XLOOKUP(S166:AG166,增益!$A:$A,增益!$W:$W,0))+$I$5</f>
        <v>0.21</v>
      </c>
    </row>
    <row r="167" spans="11:70">
      <c r="K167" s="27">
        <f>$L167*VLOOKUP($R167,武学奇术!$A:$ZZ,31,FALSE)</f>
        <v>0</v>
      </c>
      <c r="L167" s="27">
        <f t="shared" si="22"/>
        <v>0</v>
      </c>
      <c r="M167" s="27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0</v>
      </c>
      <c r="N167" s="27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0</v>
      </c>
      <c r="O167" s="27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0</v>
      </c>
      <c r="P167" s="27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0</v>
      </c>
      <c r="Q167" s="35">
        <v>0</v>
      </c>
      <c r="R167" s="36" t="s">
        <v>162</v>
      </c>
      <c r="S167" s="36" t="s">
        <v>71</v>
      </c>
      <c r="T167" s="36" t="s">
        <v>71</v>
      </c>
      <c r="U167" s="36" t="s">
        <v>100</v>
      </c>
      <c r="V167" s="36" t="s">
        <v>71</v>
      </c>
      <c r="W167" s="36" t="s">
        <v>71</v>
      </c>
      <c r="X167" s="36" t="s">
        <v>71</v>
      </c>
      <c r="Y167" s="36" t="s">
        <v>71</v>
      </c>
      <c r="Z167" s="36" t="s">
        <v>71</v>
      </c>
      <c r="AA167" s="36" t="s">
        <v>71</v>
      </c>
      <c r="AB167" s="36" t="s">
        <v>71</v>
      </c>
      <c r="AC167" s="36" t="s">
        <v>71</v>
      </c>
      <c r="AD167" s="36" t="s">
        <v>72</v>
      </c>
      <c r="AE167" s="36" t="s">
        <v>73</v>
      </c>
      <c r="AF167" s="36" t="s">
        <v>74</v>
      </c>
      <c r="AG167" s="36" t="s">
        <v>75</v>
      </c>
      <c r="AH167" t="str">
        <f>VLOOKUP($R167,武学奇术!$A:$ZZ,25,FALSE)</f>
        <v>剑</v>
      </c>
      <c r="AI167" s="20">
        <f>VLOOKUP($R167,武学奇术!$A:$ZZ,26,FALSE)</f>
        <v>0.3432</v>
      </c>
      <c r="AJ167" s="21">
        <f>VLOOKUP($R167,武学奇术!$A:$ZZ,27,FALSE)*(1+IF(OR($AH167=$F$4,$AH167=$F$5),$B$22,0))</f>
        <v>0</v>
      </c>
      <c r="AK167" s="20">
        <f>VLOOKUP($R167,武学奇术!$A:$ZZ,28,FALSE)</f>
        <v>0.5148</v>
      </c>
      <c r="AL167" s="21">
        <f>VLOOKUP($R167,武学奇术!$A:$ZZ,29,FALSE)*(1+IF(OR($AH167=$F$4,$AH167=$F$5),$B$22,0))</f>
        <v>0</v>
      </c>
      <c r="AM167" s="20" cm="1">
        <f t="array" ref="AM167">$G$3+IFERROR(VLOOKUP($AH167,$F$4:$G$7,2,FALSE),0)+VLOOKUP($R167,武学奇术!$A:$ZZ,2,FALSE)+SUM(_xlfn.XLOOKUP($S167:$AG167,增益!$A:$A,增益!$B:$B,0))</f>
        <v>0.8841</v>
      </c>
      <c r="AN167" s="20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1517.52</v>
      </c>
      <c r="AP167" cm="1">
        <f t="array" ref="AP167">$E$10*(1+$AN167)+VLOOKUP($R167,武学奇术!$A:$ZZ,4,FALSE)+SUM(_xlfn.XLOOKUP($S167:$AG167,增益!$A:$A,增益!$D:$D,0))-$I$2</f>
        <v>6628.56</v>
      </c>
      <c r="AQ167" s="29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0.2775</v>
      </c>
      <c r="AR167" s="29" cm="1">
        <f t="array" ref="AR167">$G$10+VLOOKUP($R167,武学奇术!$A:$ZZ,7,FALSE)+SUM(_xlfn.XLOOKUP(S167:AG167,增益!$A:$A,增益!$G:$G,0))</f>
        <v>0</v>
      </c>
      <c r="AS167" s="20" cm="1">
        <f t="array" ref="AS167">VLOOKUP($R167,武学奇术!$A:$ZZ,8,FALSE)+SUM(_xlfn.XLOOKUP(S167:AG167,增益!$A:$A,增益!$H:$H,0))</f>
        <v>0</v>
      </c>
      <c r="AT167">
        <f t="shared" si="23"/>
        <v>538</v>
      </c>
      <c r="AU167">
        <f t="shared" si="24"/>
        <v>1011</v>
      </c>
      <c r="AV167" s="29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0.075</v>
      </c>
      <c r="AW167" s="29" cm="1">
        <f t="array" ref="AW167">$G$11+VLOOKUP($R167,武学奇术!$A:$ZZ,10,FALSE)+SUM(_xlfn.XLOOKUP(S167:AG167,增益!$A:$A,增益!$J:$J,0))</f>
        <v>0.15</v>
      </c>
      <c r="AX167">
        <f t="shared" si="25"/>
        <v>0</v>
      </c>
      <c r="AY167">
        <f t="shared" si="26"/>
        <v>0</v>
      </c>
      <c r="AZ167" s="29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29" cm="1">
        <f t="array" ref="BA167">$G$12+VLOOKUP($R167,武学奇术!$A:$ZZ,12,FALSE)+SUM(_xlfn.XLOOKUP(S167:AG167,增益!$A:$A,增益!$L:$L,0))</f>
        <v>0</v>
      </c>
      <c r="BB167">
        <f t="shared" si="27"/>
        <v>0</v>
      </c>
      <c r="BC167">
        <f t="shared" si="28"/>
        <v>0</v>
      </c>
      <c r="BD167" s="29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29" cm="1">
        <f t="array" ref="BE167">$G$13+VLOOKUP($R167,武学奇术!$A:$ZZ,14,FALSE)+SUM(_xlfn.XLOOKUP(S167:AG167,增益!$A:$A,增益!$N:$N,0))</f>
        <v>0</v>
      </c>
      <c r="BF167">
        <f t="shared" si="29"/>
        <v>0</v>
      </c>
      <c r="BG167">
        <f t="shared" si="30"/>
        <v>0</v>
      </c>
      <c r="BH167" s="29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29" cm="1">
        <f t="array" ref="BI167">$G$14+VLOOKUP($R167,武学奇术!$A:$ZZ,16,FALSE)+SUM(_xlfn.XLOOKUP(S167:AG167,增益!$A:$A,增益!$P:$P,0))</f>
        <v>0</v>
      </c>
      <c r="BJ167" s="20">
        <f>MIN(IF(VLOOKUP($R167,武学奇术!$A:$ZZ,23,FALSE)=1,100%,$B$8),100%)</f>
        <v>0.8271</v>
      </c>
      <c r="BK167" s="20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0.2249</v>
      </c>
      <c r="BL167" s="20" cm="1">
        <f t="array" ref="BL167">1+$B$13+VLOOKUP($R167,武学奇术!$A:$ZZ,18,FALSE)+SUM(_xlfn.XLOOKUP(S167:AG167,增益!$A:$A,增益!$R:$R,0))</f>
        <v>1.5</v>
      </c>
      <c r="BM167" s="20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0.4159</v>
      </c>
      <c r="BN167" s="20" cm="1">
        <f t="array" ref="BN167">1+$B$14+VLOOKUP($R167,武学奇术!$A:$ZZ,20,FALSE)+SUM(_xlfn.XLOOKUP(S167:AG167,增益!$A:$A,增益!$T:$T,0))</f>
        <v>1.592</v>
      </c>
      <c r="BO167" s="20">
        <f t="shared" si="31"/>
        <v>0.18601479</v>
      </c>
      <c r="BP167" s="20">
        <f t="shared" si="32"/>
        <v>0.29709432</v>
      </c>
      <c r="BQ167" s="20">
        <f>IF(VLOOKUP($R167,武学奇术!$A:$ZZ,22,FALSE)=1,0,(1-$BJ167))*(1-$BM167)</f>
        <v>0.10099089</v>
      </c>
      <c r="BR167" s="20" cm="1">
        <f t="array" ref="BR167">SUM(_xlfn.XLOOKUP(S167:AG167,增益!$A:$A,增益!$W:$W,0))+$I$5</f>
        <v>0.11</v>
      </c>
    </row>
    <row r="168" spans="11:70">
      <c r="K168" s="27">
        <f>$L168*VLOOKUP($R168,武学奇术!$A:$ZZ,31,FALSE)</f>
        <v>6308.32041280828</v>
      </c>
      <c r="L168" s="27">
        <f t="shared" si="22"/>
        <v>10513.8673546805</v>
      </c>
      <c r="M168" s="27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9544.01748869683</v>
      </c>
      <c r="N168" s="27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15783.4161066742</v>
      </c>
      <c r="O168" s="27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6362.67832579788</v>
      </c>
      <c r="P168" s="27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2811.15055443864</v>
      </c>
      <c r="Q168" s="35">
        <v>1</v>
      </c>
      <c r="R168" s="36" t="s">
        <v>162</v>
      </c>
      <c r="S168" s="36" t="s">
        <v>71</v>
      </c>
      <c r="T168" s="36" t="s">
        <v>71</v>
      </c>
      <c r="U168" s="36" t="s">
        <v>100</v>
      </c>
      <c r="V168" s="36" t="s">
        <v>71</v>
      </c>
      <c r="W168" s="36" t="s">
        <v>71</v>
      </c>
      <c r="X168" s="36" t="s">
        <v>71</v>
      </c>
      <c r="Y168" s="36" t="s">
        <v>71</v>
      </c>
      <c r="Z168" s="36" t="s">
        <v>71</v>
      </c>
      <c r="AA168" s="36" t="s">
        <v>71</v>
      </c>
      <c r="AB168" s="36" t="s">
        <v>71</v>
      </c>
      <c r="AC168" s="36" t="s">
        <v>71</v>
      </c>
      <c r="AD168" s="36" t="s">
        <v>72</v>
      </c>
      <c r="AE168" s="36" t="s">
        <v>73</v>
      </c>
      <c r="AF168" s="36" t="s">
        <v>74</v>
      </c>
      <c r="AG168" s="36" t="s">
        <v>84</v>
      </c>
      <c r="AH168" t="str">
        <f>VLOOKUP($R168,武学奇术!$A:$ZZ,25,FALSE)</f>
        <v>剑</v>
      </c>
      <c r="AI168" s="20">
        <f>VLOOKUP($R168,武学奇术!$A:$ZZ,26,FALSE)</f>
        <v>0.3432</v>
      </c>
      <c r="AJ168" s="21">
        <f>VLOOKUP($R168,武学奇术!$A:$ZZ,27,FALSE)*(1+IF(OR($AH168=$F$4,$AH168=$F$5),$B$22,0))</f>
        <v>0</v>
      </c>
      <c r="AK168" s="20">
        <f>VLOOKUP($R168,武学奇术!$A:$ZZ,28,FALSE)</f>
        <v>0.5148</v>
      </c>
      <c r="AL168" s="21">
        <f>VLOOKUP($R168,武学奇术!$A:$ZZ,29,FALSE)*(1+IF(OR($AH168=$F$4,$AH168=$F$5),$B$22,0))</f>
        <v>0</v>
      </c>
      <c r="AM168" s="20" cm="1">
        <f t="array" ref="AM168">$G$3+IFERROR(VLOOKUP($AH168,$F$4:$G$7,2,FALSE),0)+VLOOKUP($R168,武学奇术!$A:$ZZ,2,FALSE)+SUM(_xlfn.XLOOKUP($S168:$AG168,增益!$A:$A,增益!$B:$B,0))</f>
        <v>0.8941</v>
      </c>
      <c r="AN168" s="20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1517.52</v>
      </c>
      <c r="AP168" cm="1">
        <f t="array" ref="AP168">$E$10*(1+$AN168)+VLOOKUP($R168,武学奇术!$A:$ZZ,4,FALSE)+SUM(_xlfn.XLOOKUP($S168:$AG168,增益!$A:$A,增益!$D:$D,0))-$I$2</f>
        <v>6628.56</v>
      </c>
      <c r="AQ168" s="29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0.2875</v>
      </c>
      <c r="AR168" s="29" cm="1">
        <f t="array" ref="AR168">$G$10+VLOOKUP($R168,武学奇术!$A:$ZZ,7,FALSE)+SUM(_xlfn.XLOOKUP(S168:AG168,增益!$A:$A,增益!$G:$G,0))</f>
        <v>0</v>
      </c>
      <c r="AS168" s="20" cm="1">
        <f t="array" ref="AS168">VLOOKUP($R168,武学奇术!$A:$ZZ,8,FALSE)+SUM(_xlfn.XLOOKUP(S168:AG168,增益!$A:$A,增益!$H:$H,0))</f>
        <v>0</v>
      </c>
      <c r="AT168">
        <f t="shared" si="23"/>
        <v>538</v>
      </c>
      <c r="AU168">
        <f t="shared" si="24"/>
        <v>1011</v>
      </c>
      <c r="AV168" s="29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0.075</v>
      </c>
      <c r="AW168" s="29" cm="1">
        <f t="array" ref="AW168">$G$11+VLOOKUP($R168,武学奇术!$A:$ZZ,10,FALSE)+SUM(_xlfn.XLOOKUP(S168:AG168,增益!$A:$A,增益!$J:$J,0))</f>
        <v>0.15</v>
      </c>
      <c r="AX168">
        <f t="shared" si="25"/>
        <v>0</v>
      </c>
      <c r="AY168">
        <f t="shared" si="26"/>
        <v>0</v>
      </c>
      <c r="AZ168" s="29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-0.3</v>
      </c>
      <c r="BA168" s="29" cm="1">
        <f t="array" ref="BA168">$G$12+VLOOKUP($R168,武学奇术!$A:$ZZ,12,FALSE)+SUM(_xlfn.XLOOKUP(S168:AG168,增益!$A:$A,增益!$L:$L,0))</f>
        <v>0</v>
      </c>
      <c r="BB168">
        <f t="shared" si="27"/>
        <v>0</v>
      </c>
      <c r="BC168">
        <f t="shared" si="28"/>
        <v>0</v>
      </c>
      <c r="BD168" s="29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-0.3</v>
      </c>
      <c r="BE168" s="29" cm="1">
        <f t="array" ref="BE168">$G$13+VLOOKUP($R168,武学奇术!$A:$ZZ,14,FALSE)+SUM(_xlfn.XLOOKUP(S168:AG168,增益!$A:$A,增益!$N:$N,0))</f>
        <v>0</v>
      </c>
      <c r="BF168">
        <f t="shared" si="29"/>
        <v>0</v>
      </c>
      <c r="BG168">
        <f t="shared" si="30"/>
        <v>0</v>
      </c>
      <c r="BH168" s="29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-0.3</v>
      </c>
      <c r="BI168" s="29" cm="1">
        <f t="array" ref="BI168">$G$14+VLOOKUP($R168,武学奇术!$A:$ZZ,16,FALSE)+SUM(_xlfn.XLOOKUP(S168:AG168,增益!$A:$A,增益!$P:$P,0))</f>
        <v>0</v>
      </c>
      <c r="BJ168" s="20">
        <f>MIN(IF(VLOOKUP($R168,武学奇术!$A:$ZZ,23,FALSE)=1,100%,$B$8),100%)</f>
        <v>0.8271</v>
      </c>
      <c r="BK168" s="20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0.2249</v>
      </c>
      <c r="BL168" s="20" cm="1">
        <f t="array" ref="BL168">1+$B$13+VLOOKUP($R168,武学奇术!$A:$ZZ,18,FALSE)+SUM(_xlfn.XLOOKUP(S168:AG168,增益!$A:$A,增益!$R:$R,0))</f>
        <v>1.5</v>
      </c>
      <c r="BM168" s="20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0.4159</v>
      </c>
      <c r="BN168" s="20" cm="1">
        <f t="array" ref="BN168">1+$B$14+VLOOKUP($R168,武学奇术!$A:$ZZ,20,FALSE)+SUM(_xlfn.XLOOKUP(S168:AG168,增益!$A:$A,增益!$T:$T,0))</f>
        <v>1.592</v>
      </c>
      <c r="BO168" s="20">
        <f t="shared" si="31"/>
        <v>0.18601479</v>
      </c>
      <c r="BP168" s="20">
        <f t="shared" si="32"/>
        <v>0.29709432</v>
      </c>
      <c r="BQ168" s="20">
        <f>IF(VLOOKUP($R168,武学奇术!$A:$ZZ,22,FALSE)=1,0,(1-$BJ168))*(1-$BM168)</f>
        <v>0.10099089</v>
      </c>
      <c r="BR168" s="20" cm="1">
        <f t="array" ref="BR168">SUM(_xlfn.XLOOKUP(S168:AG168,增益!$A:$A,增益!$W:$W,0))+$I$5</f>
        <v>0.11</v>
      </c>
    </row>
    <row r="169" spans="11:70">
      <c r="K169" s="27">
        <f>$L169*VLOOKUP($R169,武学奇术!$A:$ZZ,31,FALSE)</f>
        <v>6333.06032270312</v>
      </c>
      <c r="L169" s="27">
        <f t="shared" si="22"/>
        <v>10555.1005378385</v>
      </c>
      <c r="M169" s="27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9544.01748869683</v>
      </c>
      <c r="N169" s="27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15882.5581676457</v>
      </c>
      <c r="O169" s="27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6362.67832579788</v>
      </c>
      <c r="P169" s="27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2811.15055443864</v>
      </c>
      <c r="Q169" s="35">
        <v>1</v>
      </c>
      <c r="R169" s="36" t="s">
        <v>162</v>
      </c>
      <c r="S169" s="36" t="s">
        <v>71</v>
      </c>
      <c r="T169" s="36" t="s">
        <v>71</v>
      </c>
      <c r="U169" s="36" t="s">
        <v>100</v>
      </c>
      <c r="V169" s="36" t="s">
        <v>71</v>
      </c>
      <c r="W169" s="36" t="s">
        <v>71</v>
      </c>
      <c r="X169" s="36" t="s">
        <v>71</v>
      </c>
      <c r="Y169" s="36" t="s">
        <v>71</v>
      </c>
      <c r="Z169" s="36" t="s">
        <v>71</v>
      </c>
      <c r="AA169" s="36" t="s">
        <v>71</v>
      </c>
      <c r="AB169" s="36" t="s">
        <v>71</v>
      </c>
      <c r="AC169" s="36" t="s">
        <v>71</v>
      </c>
      <c r="AD169" s="36" t="s">
        <v>72</v>
      </c>
      <c r="AE169" s="36" t="s">
        <v>73</v>
      </c>
      <c r="AF169" s="36" t="s">
        <v>83</v>
      </c>
      <c r="AG169" s="36" t="s">
        <v>84</v>
      </c>
      <c r="AH169" t="str">
        <f>VLOOKUP($R169,武学奇术!$A:$ZZ,25,FALSE)</f>
        <v>剑</v>
      </c>
      <c r="AI169" s="20">
        <f>VLOOKUP($R169,武学奇术!$A:$ZZ,26,FALSE)</f>
        <v>0.3432</v>
      </c>
      <c r="AJ169" s="21">
        <f>VLOOKUP($R169,武学奇术!$A:$ZZ,27,FALSE)*(1+IF(OR($AH169=$F$4,$AH169=$F$5),$B$22,0))</f>
        <v>0</v>
      </c>
      <c r="AK169" s="20">
        <f>VLOOKUP($R169,武学奇术!$A:$ZZ,28,FALSE)</f>
        <v>0.5148</v>
      </c>
      <c r="AL169" s="21">
        <f>VLOOKUP($R169,武学奇术!$A:$ZZ,29,FALSE)*(1+IF(OR($AH169=$F$4,$AH169=$F$5),$B$22,0))</f>
        <v>0</v>
      </c>
      <c r="AM169" s="20" cm="1">
        <f t="array" ref="AM169">$G$3+IFERROR(VLOOKUP($AH169,$F$4:$G$7,2,FALSE),0)+VLOOKUP($R169,武学奇术!$A:$ZZ,2,FALSE)+SUM(_xlfn.XLOOKUP($S169:$AG169,增益!$A:$A,增益!$B:$B,0))</f>
        <v>0.8941</v>
      </c>
      <c r="AN169" s="20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1517.52</v>
      </c>
      <c r="AP169" cm="1">
        <f t="array" ref="AP169">$E$10*(1+$AN169)+VLOOKUP($R169,武学奇术!$A:$ZZ,4,FALSE)+SUM(_xlfn.XLOOKUP($S169:$AG169,增益!$A:$A,增益!$D:$D,0))-$I$2</f>
        <v>6628.56</v>
      </c>
      <c r="AQ169" s="29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0.2875</v>
      </c>
      <c r="AR169" s="29" cm="1">
        <f t="array" ref="AR169">$G$10+VLOOKUP($R169,武学奇术!$A:$ZZ,7,FALSE)+SUM(_xlfn.XLOOKUP(S169:AG169,增益!$A:$A,增益!$G:$G,0))</f>
        <v>0</v>
      </c>
      <c r="AS169" s="20" cm="1">
        <f t="array" ref="AS169">VLOOKUP($R169,武学奇术!$A:$ZZ,8,FALSE)+SUM(_xlfn.XLOOKUP(S169:AG169,增益!$A:$A,增益!$H:$H,0))</f>
        <v>0</v>
      </c>
      <c r="AT169">
        <f t="shared" si="23"/>
        <v>538</v>
      </c>
      <c r="AU169">
        <f t="shared" si="24"/>
        <v>1011</v>
      </c>
      <c r="AV169" s="29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0.075</v>
      </c>
      <c r="AW169" s="29" cm="1">
        <f t="array" ref="AW169">$G$11+VLOOKUP($R169,武学奇术!$A:$ZZ,10,FALSE)+SUM(_xlfn.XLOOKUP(S169:AG169,增益!$A:$A,增益!$J:$J,0))</f>
        <v>0.15</v>
      </c>
      <c r="AX169">
        <f t="shared" si="25"/>
        <v>0</v>
      </c>
      <c r="AY169">
        <f t="shared" si="26"/>
        <v>0</v>
      </c>
      <c r="AZ169" s="29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-0.3</v>
      </c>
      <c r="BA169" s="29" cm="1">
        <f t="array" ref="BA169">$G$12+VLOOKUP($R169,武学奇术!$A:$ZZ,12,FALSE)+SUM(_xlfn.XLOOKUP(S169:AG169,增益!$A:$A,增益!$L:$L,0))</f>
        <v>0</v>
      </c>
      <c r="BB169">
        <f t="shared" si="27"/>
        <v>0</v>
      </c>
      <c r="BC169">
        <f t="shared" si="28"/>
        <v>0</v>
      </c>
      <c r="BD169" s="29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-0.3</v>
      </c>
      <c r="BE169" s="29" cm="1">
        <f t="array" ref="BE169">$G$13+VLOOKUP($R169,武学奇术!$A:$ZZ,14,FALSE)+SUM(_xlfn.XLOOKUP(S169:AG169,增益!$A:$A,增益!$N:$N,0))</f>
        <v>0</v>
      </c>
      <c r="BF169">
        <f t="shared" si="29"/>
        <v>0</v>
      </c>
      <c r="BG169">
        <f t="shared" si="30"/>
        <v>0</v>
      </c>
      <c r="BH169" s="29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-0.3</v>
      </c>
      <c r="BI169" s="29" cm="1">
        <f t="array" ref="BI169">$G$14+VLOOKUP($R169,武学奇术!$A:$ZZ,16,FALSE)+SUM(_xlfn.XLOOKUP(S169:AG169,增益!$A:$A,增益!$P:$P,0))</f>
        <v>0</v>
      </c>
      <c r="BJ169" s="20">
        <f>MIN(IF(VLOOKUP($R169,武学奇术!$A:$ZZ,23,FALSE)=1,100%,$B$8),100%)</f>
        <v>0.8271</v>
      </c>
      <c r="BK169" s="20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0.2249</v>
      </c>
      <c r="BL169" s="20" cm="1">
        <f t="array" ref="BL169">1+$B$13+VLOOKUP($R169,武学奇术!$A:$ZZ,18,FALSE)+SUM(_xlfn.XLOOKUP(S169:AG169,增益!$A:$A,增益!$R:$R,0))</f>
        <v>1.5</v>
      </c>
      <c r="BM169" s="20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0.4159</v>
      </c>
      <c r="BN169" s="20" cm="1">
        <f t="array" ref="BN169">1+$B$14+VLOOKUP($R169,武学奇术!$A:$ZZ,20,FALSE)+SUM(_xlfn.XLOOKUP(S169:AG169,增益!$A:$A,增益!$T:$T,0))</f>
        <v>1.602</v>
      </c>
      <c r="BO169" s="20">
        <f t="shared" si="31"/>
        <v>0.18601479</v>
      </c>
      <c r="BP169" s="20">
        <f t="shared" si="32"/>
        <v>0.29709432</v>
      </c>
      <c r="BQ169" s="20">
        <f>IF(VLOOKUP($R169,武学奇术!$A:$ZZ,22,FALSE)=1,0,(1-$BJ169))*(1-$BM169)</f>
        <v>0.10099089</v>
      </c>
      <c r="BR169" s="20" cm="1">
        <f t="array" ref="BR169">SUM(_xlfn.XLOOKUP(S169:AG169,增益!$A:$A,增益!$W:$W,0))+$I$5</f>
        <v>0.11</v>
      </c>
    </row>
    <row r="170" spans="11:70">
      <c r="K170" s="27">
        <f>$L170*VLOOKUP($R170,武学奇术!$A:$ZZ,31,FALSE)</f>
        <v>6406.22930912626</v>
      </c>
      <c r="L170" s="27">
        <f t="shared" si="22"/>
        <v>10677.0488485438</v>
      </c>
      <c r="M170" s="27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9652.90401312436</v>
      </c>
      <c r="N170" s="27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16068.0863069469</v>
      </c>
      <c r="O170" s="27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6435.26934208291</v>
      </c>
      <c r="P170" s="27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2840.52226285067</v>
      </c>
      <c r="Q170" s="35">
        <v>1</v>
      </c>
      <c r="R170" s="36" t="s">
        <v>162</v>
      </c>
      <c r="S170" s="36" t="s">
        <v>71</v>
      </c>
      <c r="T170" s="36" t="s">
        <v>71</v>
      </c>
      <c r="U170" s="36" t="s">
        <v>100</v>
      </c>
      <c r="V170" s="36" t="s">
        <v>71</v>
      </c>
      <c r="W170" s="36" t="s">
        <v>71</v>
      </c>
      <c r="X170" s="36" t="s">
        <v>71</v>
      </c>
      <c r="Y170" s="36" t="s">
        <v>71</v>
      </c>
      <c r="Z170" s="36" t="s">
        <v>71</v>
      </c>
      <c r="AA170" s="36" t="s">
        <v>71</v>
      </c>
      <c r="AB170" s="36" t="s">
        <v>71</v>
      </c>
      <c r="AC170" s="36" t="s">
        <v>71</v>
      </c>
      <c r="AD170" s="36" t="s">
        <v>72</v>
      </c>
      <c r="AE170" s="36" t="s">
        <v>73</v>
      </c>
      <c r="AF170" s="36" t="s">
        <v>83</v>
      </c>
      <c r="AG170" s="36" t="s">
        <v>89</v>
      </c>
      <c r="AH170" t="str">
        <f>VLOOKUP($R170,武学奇术!$A:$ZZ,25,FALSE)</f>
        <v>剑</v>
      </c>
      <c r="AI170" s="20">
        <f>VLOOKUP($R170,武学奇术!$A:$ZZ,26,FALSE)</f>
        <v>0.3432</v>
      </c>
      <c r="AJ170" s="21">
        <f>VLOOKUP($R170,武学奇术!$A:$ZZ,27,FALSE)*(1+IF(OR($AH170=$F$4,$AH170=$F$5),$B$22,0))</f>
        <v>0</v>
      </c>
      <c r="AK170" s="20">
        <f>VLOOKUP($R170,武学奇术!$A:$ZZ,28,FALSE)</f>
        <v>0.5148</v>
      </c>
      <c r="AL170" s="21">
        <f>VLOOKUP($R170,武学奇术!$A:$ZZ,29,FALSE)*(1+IF(OR($AH170=$F$4,$AH170=$F$5),$B$22,0))</f>
        <v>0</v>
      </c>
      <c r="AM170" s="20" cm="1">
        <f t="array" ref="AM170">$G$3+IFERROR(VLOOKUP($AH170,$F$4:$G$7,2,FALSE),0)+VLOOKUP($R170,武学奇术!$A:$ZZ,2,FALSE)+SUM(_xlfn.XLOOKUP($S170:$AG170,增益!$A:$A,增益!$B:$B,0))</f>
        <v>0.9041</v>
      </c>
      <c r="AN170" s="20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1517.52</v>
      </c>
      <c r="AP170" cm="1">
        <f t="array" ref="AP170">$E$10*(1+$AN170)+VLOOKUP($R170,武学奇术!$A:$ZZ,4,FALSE)+SUM(_xlfn.XLOOKUP($S170:$AG170,增益!$A:$A,增益!$D:$D,0))-$I$2</f>
        <v>6628.56</v>
      </c>
      <c r="AQ170" s="29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0.2975</v>
      </c>
      <c r="AR170" s="29" cm="1">
        <f t="array" ref="AR170">$G$10+VLOOKUP($R170,武学奇术!$A:$ZZ,7,FALSE)+SUM(_xlfn.XLOOKUP(S170:AG170,增益!$A:$A,增益!$G:$G,0))</f>
        <v>0</v>
      </c>
      <c r="AS170" s="20" cm="1">
        <f t="array" ref="AS170">VLOOKUP($R170,武学奇术!$A:$ZZ,8,FALSE)+SUM(_xlfn.XLOOKUP(S170:AG170,增益!$A:$A,增益!$H:$H,0))</f>
        <v>0</v>
      </c>
      <c r="AT170">
        <f t="shared" si="23"/>
        <v>538</v>
      </c>
      <c r="AU170">
        <f t="shared" si="24"/>
        <v>1011</v>
      </c>
      <c r="AV170" s="29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0.075</v>
      </c>
      <c r="AW170" s="29" cm="1">
        <f t="array" ref="AW170">$G$11+VLOOKUP($R170,武学奇术!$A:$ZZ,10,FALSE)+SUM(_xlfn.XLOOKUP(S170:AG170,增益!$A:$A,增益!$J:$J,0))</f>
        <v>0.15</v>
      </c>
      <c r="AX170">
        <f t="shared" si="25"/>
        <v>0</v>
      </c>
      <c r="AY170">
        <f t="shared" si="26"/>
        <v>0</v>
      </c>
      <c r="AZ170" s="29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-0.3</v>
      </c>
      <c r="BA170" s="29" cm="1">
        <f t="array" ref="BA170">$G$12+VLOOKUP($R170,武学奇术!$A:$ZZ,12,FALSE)+SUM(_xlfn.XLOOKUP(S170:AG170,增益!$A:$A,增益!$L:$L,0))</f>
        <v>0</v>
      </c>
      <c r="BB170">
        <f t="shared" si="27"/>
        <v>0</v>
      </c>
      <c r="BC170">
        <f t="shared" si="28"/>
        <v>0</v>
      </c>
      <c r="BD170" s="29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-0.3</v>
      </c>
      <c r="BE170" s="29" cm="1">
        <f t="array" ref="BE170">$G$13+VLOOKUP($R170,武学奇术!$A:$ZZ,14,FALSE)+SUM(_xlfn.XLOOKUP(S170:AG170,增益!$A:$A,增益!$N:$N,0))</f>
        <v>0</v>
      </c>
      <c r="BF170">
        <f t="shared" si="29"/>
        <v>0</v>
      </c>
      <c r="BG170">
        <f t="shared" si="30"/>
        <v>0</v>
      </c>
      <c r="BH170" s="29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-0.3</v>
      </c>
      <c r="BI170" s="29" cm="1">
        <f t="array" ref="BI170">$G$14+VLOOKUP($R170,武学奇术!$A:$ZZ,16,FALSE)+SUM(_xlfn.XLOOKUP(S170:AG170,增益!$A:$A,增益!$P:$P,0))</f>
        <v>0</v>
      </c>
      <c r="BJ170" s="20">
        <f>MIN(IF(VLOOKUP($R170,武学奇术!$A:$ZZ,23,FALSE)=1,100%,$B$8),100%)</f>
        <v>0.8271</v>
      </c>
      <c r="BK170" s="20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0.2249</v>
      </c>
      <c r="BL170" s="20" cm="1">
        <f t="array" ref="BL170">1+$B$13+VLOOKUP($R170,武学奇术!$A:$ZZ,18,FALSE)+SUM(_xlfn.XLOOKUP(S170:AG170,增益!$A:$A,增益!$R:$R,0))</f>
        <v>1.5</v>
      </c>
      <c r="BM170" s="20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0.4159</v>
      </c>
      <c r="BN170" s="20" cm="1">
        <f t="array" ref="BN170">1+$B$14+VLOOKUP($R170,武学奇术!$A:$ZZ,20,FALSE)+SUM(_xlfn.XLOOKUP(S170:AG170,增益!$A:$A,增益!$T:$T,0))</f>
        <v>1.602</v>
      </c>
      <c r="BO170" s="20">
        <f t="shared" si="31"/>
        <v>0.18601479</v>
      </c>
      <c r="BP170" s="20">
        <f t="shared" si="32"/>
        <v>0.29709432</v>
      </c>
      <c r="BQ170" s="20">
        <f>IF(VLOOKUP($R170,武学奇术!$A:$ZZ,22,FALSE)=1,0,(1-$BJ170))*(1-$BM170)</f>
        <v>0.10099089</v>
      </c>
      <c r="BR170" s="20" cm="1">
        <f t="array" ref="BR170">SUM(_xlfn.XLOOKUP(S170:AG170,增益!$A:$A,增益!$W:$W,0))+$I$5</f>
        <v>0.11</v>
      </c>
    </row>
    <row r="171" spans="11:70">
      <c r="K171" s="27">
        <f>$L171*VLOOKUP($R171,武学奇术!$A:$ZZ,31,FALSE)</f>
        <v>6406.22930912626</v>
      </c>
      <c r="L171" s="27">
        <f t="shared" si="22"/>
        <v>10677.0488485438</v>
      </c>
      <c r="M171" s="27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9652.90401312436</v>
      </c>
      <c r="N171" s="27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16068.0863069469</v>
      </c>
      <c r="O171" s="27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6435.26934208291</v>
      </c>
      <c r="P171" s="27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2840.52226285067</v>
      </c>
      <c r="Q171" s="35">
        <v>1</v>
      </c>
      <c r="R171" s="36" t="s">
        <v>162</v>
      </c>
      <c r="S171" s="36" t="s">
        <v>71</v>
      </c>
      <c r="T171" s="36" t="s">
        <v>71</v>
      </c>
      <c r="U171" s="36" t="s">
        <v>100</v>
      </c>
      <c r="V171" s="36" t="s">
        <v>71</v>
      </c>
      <c r="W171" s="36" t="s">
        <v>71</v>
      </c>
      <c r="X171" s="36" t="s">
        <v>71</v>
      </c>
      <c r="Y171" s="36" t="s">
        <v>71</v>
      </c>
      <c r="Z171" s="36" t="s">
        <v>71</v>
      </c>
      <c r="AA171" s="36" t="s">
        <v>71</v>
      </c>
      <c r="AB171" s="36" t="s">
        <v>71</v>
      </c>
      <c r="AC171" s="36" t="s">
        <v>71</v>
      </c>
      <c r="AD171" s="36" t="s">
        <v>72</v>
      </c>
      <c r="AE171" s="36" t="s">
        <v>73</v>
      </c>
      <c r="AF171" s="36" t="s">
        <v>83</v>
      </c>
      <c r="AG171" s="36" t="s">
        <v>89</v>
      </c>
      <c r="AH171" t="str">
        <f>VLOOKUP($R171,武学奇术!$A:$ZZ,25,FALSE)</f>
        <v>剑</v>
      </c>
      <c r="AI171" s="20">
        <f>VLOOKUP($R171,武学奇术!$A:$ZZ,26,FALSE)</f>
        <v>0.3432</v>
      </c>
      <c r="AJ171" s="21">
        <f>VLOOKUP($R171,武学奇术!$A:$ZZ,27,FALSE)*(1+IF(OR($AH171=$F$4,$AH171=$F$5),$B$22,0))</f>
        <v>0</v>
      </c>
      <c r="AK171" s="20">
        <f>VLOOKUP($R171,武学奇术!$A:$ZZ,28,FALSE)</f>
        <v>0.5148</v>
      </c>
      <c r="AL171" s="21">
        <f>VLOOKUP($R171,武学奇术!$A:$ZZ,29,FALSE)*(1+IF(OR($AH171=$F$4,$AH171=$F$5),$B$22,0))</f>
        <v>0</v>
      </c>
      <c r="AM171" s="20" cm="1">
        <f t="array" ref="AM171">$G$3+IFERROR(VLOOKUP($AH171,$F$4:$G$7,2,FALSE),0)+VLOOKUP($R171,武学奇术!$A:$ZZ,2,FALSE)+SUM(_xlfn.XLOOKUP($S171:$AG171,增益!$A:$A,增益!$B:$B,0))</f>
        <v>0.9041</v>
      </c>
      <c r="AN171" s="20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1517.52</v>
      </c>
      <c r="AP171" cm="1">
        <f t="array" ref="AP171">$E$10*(1+$AN171)+VLOOKUP($R171,武学奇术!$A:$ZZ,4,FALSE)+SUM(_xlfn.XLOOKUP($S171:$AG171,增益!$A:$A,增益!$D:$D,0))-$I$2</f>
        <v>6628.56</v>
      </c>
      <c r="AQ171" s="29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0.2975</v>
      </c>
      <c r="AR171" s="29" cm="1">
        <f t="array" ref="AR171">$G$10+VLOOKUP($R171,武学奇术!$A:$ZZ,7,FALSE)+SUM(_xlfn.XLOOKUP(S171:AG171,增益!$A:$A,增益!$G:$G,0))</f>
        <v>0</v>
      </c>
      <c r="AS171" s="20" cm="1">
        <f t="array" ref="AS171">VLOOKUP($R171,武学奇术!$A:$ZZ,8,FALSE)+SUM(_xlfn.XLOOKUP(S171:AG171,增益!$A:$A,增益!$H:$H,0))</f>
        <v>0</v>
      </c>
      <c r="AT171">
        <f t="shared" si="23"/>
        <v>538</v>
      </c>
      <c r="AU171">
        <f t="shared" si="24"/>
        <v>1011</v>
      </c>
      <c r="AV171" s="29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0.075</v>
      </c>
      <c r="AW171" s="29" cm="1">
        <f t="array" ref="AW171">$G$11+VLOOKUP($R171,武学奇术!$A:$ZZ,10,FALSE)+SUM(_xlfn.XLOOKUP(S171:AG171,增益!$A:$A,增益!$J:$J,0))</f>
        <v>0.15</v>
      </c>
      <c r="AX171">
        <f t="shared" si="25"/>
        <v>0</v>
      </c>
      <c r="AY171">
        <f t="shared" si="26"/>
        <v>0</v>
      </c>
      <c r="AZ171" s="29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-0.3</v>
      </c>
      <c r="BA171" s="29" cm="1">
        <f t="array" ref="BA171">$G$12+VLOOKUP($R171,武学奇术!$A:$ZZ,12,FALSE)+SUM(_xlfn.XLOOKUP(S171:AG171,增益!$A:$A,增益!$L:$L,0))</f>
        <v>0</v>
      </c>
      <c r="BB171">
        <f t="shared" si="27"/>
        <v>0</v>
      </c>
      <c r="BC171">
        <f t="shared" si="28"/>
        <v>0</v>
      </c>
      <c r="BD171" s="29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-0.3</v>
      </c>
      <c r="BE171" s="29" cm="1">
        <f t="array" ref="BE171">$G$13+VLOOKUP($R171,武学奇术!$A:$ZZ,14,FALSE)+SUM(_xlfn.XLOOKUP(S171:AG171,增益!$A:$A,增益!$N:$N,0))</f>
        <v>0</v>
      </c>
      <c r="BF171">
        <f t="shared" si="29"/>
        <v>0</v>
      </c>
      <c r="BG171">
        <f t="shared" si="30"/>
        <v>0</v>
      </c>
      <c r="BH171" s="29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-0.3</v>
      </c>
      <c r="BI171" s="29" cm="1">
        <f t="array" ref="BI171">$G$14+VLOOKUP($R171,武学奇术!$A:$ZZ,16,FALSE)+SUM(_xlfn.XLOOKUP(S171:AG171,增益!$A:$A,增益!$P:$P,0))</f>
        <v>0</v>
      </c>
      <c r="BJ171" s="20">
        <f>MIN(IF(VLOOKUP($R171,武学奇术!$A:$ZZ,23,FALSE)=1,100%,$B$8),100%)</f>
        <v>0.8271</v>
      </c>
      <c r="BK171" s="20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0.2249</v>
      </c>
      <c r="BL171" s="20" cm="1">
        <f t="array" ref="BL171">1+$B$13+VLOOKUP($R171,武学奇术!$A:$ZZ,18,FALSE)+SUM(_xlfn.XLOOKUP(S171:AG171,增益!$A:$A,增益!$R:$R,0))</f>
        <v>1.5</v>
      </c>
      <c r="BM171" s="20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0.4159</v>
      </c>
      <c r="BN171" s="20" cm="1">
        <f t="array" ref="BN171">1+$B$14+VLOOKUP($R171,武学奇术!$A:$ZZ,20,FALSE)+SUM(_xlfn.XLOOKUP(S171:AG171,增益!$A:$A,增益!$T:$T,0))</f>
        <v>1.602</v>
      </c>
      <c r="BO171" s="20">
        <f t="shared" si="31"/>
        <v>0.18601479</v>
      </c>
      <c r="BP171" s="20">
        <f t="shared" si="32"/>
        <v>0.29709432</v>
      </c>
      <c r="BQ171" s="20">
        <f>IF(VLOOKUP($R171,武学奇术!$A:$ZZ,22,FALSE)=1,0,(1-$BJ171))*(1-$BM171)</f>
        <v>0.10099089</v>
      </c>
      <c r="BR171" s="20" cm="1">
        <f t="array" ref="BR171">SUM(_xlfn.XLOOKUP(S171:AG171,增益!$A:$A,增益!$W:$W,0))+$I$5</f>
        <v>0.11</v>
      </c>
    </row>
    <row r="172" spans="11:70">
      <c r="K172" s="27">
        <f>$L172*VLOOKUP($R172,武学奇术!$A:$ZZ,31,FALSE)</f>
        <v>6489.14094515888</v>
      </c>
      <c r="L172" s="27">
        <f t="shared" si="22"/>
        <v>10815.2349085981</v>
      </c>
      <c r="M172" s="27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9095.18915420923</v>
      </c>
      <c r="N172" s="27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16183.5819997187</v>
      </c>
      <c r="O172" s="27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6063.45943613948</v>
      </c>
      <c r="P172" s="27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2673.89200328439</v>
      </c>
      <c r="Q172" s="35">
        <v>1</v>
      </c>
      <c r="R172" s="36" t="s">
        <v>163</v>
      </c>
      <c r="S172" s="36" t="s">
        <v>71</v>
      </c>
      <c r="T172" s="36" t="s">
        <v>99</v>
      </c>
      <c r="U172" s="36" t="s">
        <v>100</v>
      </c>
      <c r="V172" s="36" t="s">
        <v>71</v>
      </c>
      <c r="W172" s="36" t="s">
        <v>71</v>
      </c>
      <c r="X172" s="36" t="s">
        <v>71</v>
      </c>
      <c r="Y172" s="36" t="s">
        <v>71</v>
      </c>
      <c r="Z172" s="36" t="s">
        <v>71</v>
      </c>
      <c r="AA172" s="36" t="s">
        <v>71</v>
      </c>
      <c r="AB172" s="36" t="s">
        <v>71</v>
      </c>
      <c r="AC172" s="36" t="s">
        <v>71</v>
      </c>
      <c r="AD172" s="36" t="s">
        <v>72</v>
      </c>
      <c r="AE172" s="36" t="s">
        <v>94</v>
      </c>
      <c r="AF172" s="36" t="s">
        <v>95</v>
      </c>
      <c r="AG172" s="36" t="s">
        <v>112</v>
      </c>
      <c r="AH172" t="str">
        <f>VLOOKUP($R172,武学奇术!$A:$ZZ,25,FALSE)</f>
        <v>剑</v>
      </c>
      <c r="AI172" s="20">
        <f>VLOOKUP($R172,武学奇术!$A:$ZZ,26,FALSE)</f>
        <v>0.27456</v>
      </c>
      <c r="AJ172" s="21">
        <f>VLOOKUP($R172,武学奇术!$A:$ZZ,27,FALSE)*(1+IF(OR($AH172=$F$4,$AH172=$F$5),$B$22,0))</f>
        <v>0</v>
      </c>
      <c r="AK172" s="20">
        <f>VLOOKUP($R172,武学奇术!$A:$ZZ,28,FALSE)</f>
        <v>0.41184</v>
      </c>
      <c r="AL172" s="21">
        <f>VLOOKUP($R172,武学奇术!$A:$ZZ,29,FALSE)*(1+IF(OR($AH172=$F$4,$AH172=$F$5),$B$22,0))</f>
        <v>0</v>
      </c>
      <c r="AM172" s="20" cm="1">
        <f t="array" ref="AM172">$G$3+IFERROR(VLOOKUP($AH172,$F$4:$G$7,2,FALSE),0)+VLOOKUP($R172,武学奇术!$A:$ZZ,2,FALSE)+SUM(_xlfn.XLOOKUP($S172:$AG172,增益!$A:$A,增益!$B:$B,0))</f>
        <v>1.2291</v>
      </c>
      <c r="AN172" s="20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1517.52</v>
      </c>
      <c r="AP172" cm="1">
        <f t="array" ref="AP172">$E$10*(1+$AN172)+VLOOKUP($R172,武学奇术!$A:$ZZ,4,FALSE)+SUM(_xlfn.XLOOKUP($S172:$AG172,增益!$A:$A,增益!$D:$D,0))-$I$2</f>
        <v>6628.56</v>
      </c>
      <c r="AQ172" s="29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0.3075</v>
      </c>
      <c r="AR172" s="29" cm="1">
        <f t="array" ref="AR172">$G$10+VLOOKUP($R172,武学奇术!$A:$ZZ,7,FALSE)+SUM(_xlfn.XLOOKUP(S172:AG172,增益!$A:$A,增益!$G:$G,0))</f>
        <v>0</v>
      </c>
      <c r="AS172" s="20" cm="1">
        <f t="array" ref="AS172">VLOOKUP($R172,武学奇术!$A:$ZZ,8,FALSE)+SUM(_xlfn.XLOOKUP(S172:AG172,增益!$A:$A,增益!$H:$H,0))</f>
        <v>0</v>
      </c>
      <c r="AT172">
        <f t="shared" si="23"/>
        <v>538</v>
      </c>
      <c r="AU172">
        <f t="shared" si="24"/>
        <v>1011</v>
      </c>
      <c r="AV172" s="29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0.075</v>
      </c>
      <c r="AW172" s="29" cm="1">
        <f t="array" ref="AW172">$G$11+VLOOKUP($R172,武学奇术!$A:$ZZ,10,FALSE)+SUM(_xlfn.XLOOKUP(S172:AG172,增益!$A:$A,增益!$J:$J,0))</f>
        <v>0.15</v>
      </c>
      <c r="AX172">
        <f t="shared" si="25"/>
        <v>0</v>
      </c>
      <c r="AY172">
        <f t="shared" si="26"/>
        <v>0</v>
      </c>
      <c r="AZ172" s="29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29" cm="1">
        <f t="array" ref="BA172">$G$12+VLOOKUP($R172,武学奇术!$A:$ZZ,12,FALSE)+SUM(_xlfn.XLOOKUP(S172:AG172,增益!$A:$A,增益!$L:$L,0))</f>
        <v>0</v>
      </c>
      <c r="BB172">
        <f t="shared" si="27"/>
        <v>0</v>
      </c>
      <c r="BC172">
        <f t="shared" si="28"/>
        <v>0</v>
      </c>
      <c r="BD172" s="29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29" cm="1">
        <f t="array" ref="BE172">$G$13+VLOOKUP($R172,武学奇术!$A:$ZZ,14,FALSE)+SUM(_xlfn.XLOOKUP(S172:AG172,增益!$A:$A,增益!$N:$N,0))</f>
        <v>0</v>
      </c>
      <c r="BF172">
        <f t="shared" si="29"/>
        <v>0</v>
      </c>
      <c r="BG172">
        <f t="shared" si="30"/>
        <v>0</v>
      </c>
      <c r="BH172" s="29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29" cm="1">
        <f t="array" ref="BI172">$G$14+VLOOKUP($R172,武学奇术!$A:$ZZ,16,FALSE)+SUM(_xlfn.XLOOKUP(S172:AG172,增益!$A:$A,增益!$P:$P,0))</f>
        <v>0</v>
      </c>
      <c r="BJ172" s="20">
        <f>MIN(IF(VLOOKUP($R172,武学奇术!$A:$ZZ,23,FALSE)=1,100%,$B$8),100%)</f>
        <v>0.8271</v>
      </c>
      <c r="BK172" s="20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0.2249</v>
      </c>
      <c r="BL172" s="20" cm="1">
        <f t="array" ref="BL172">1+$B$13+VLOOKUP($R172,武学奇术!$A:$ZZ,18,FALSE)+SUM(_xlfn.XLOOKUP(S172:AG172,增益!$A:$A,增益!$R:$R,0))</f>
        <v>1.5</v>
      </c>
      <c r="BM172" s="20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0.4459</v>
      </c>
      <c r="BN172" s="20" cm="1">
        <f t="array" ref="BN172">1+$B$14+VLOOKUP($R172,武学奇术!$A:$ZZ,20,FALSE)+SUM(_xlfn.XLOOKUP(S172:AG172,增益!$A:$A,增益!$T:$T,0))</f>
        <v>1.712</v>
      </c>
      <c r="BO172" s="20">
        <f t="shared" si="31"/>
        <v>0.18601479</v>
      </c>
      <c r="BP172" s="20">
        <f t="shared" si="32"/>
        <v>0.27228132</v>
      </c>
      <c r="BQ172" s="20">
        <f>IF(VLOOKUP($R172,武学奇术!$A:$ZZ,22,FALSE)=1,0,(1-$BJ172))*(1-$BM172)</f>
        <v>0.09580389</v>
      </c>
      <c r="BR172" s="20" cm="1">
        <f t="array" ref="BR172">SUM(_xlfn.XLOOKUP(S172:AG172,增益!$A:$A,增益!$W:$W,0))+$I$5</f>
        <v>0.11</v>
      </c>
    </row>
    <row r="173" spans="11:70">
      <c r="K173" s="27">
        <f>$L173*VLOOKUP($R173,武学奇术!$A:$ZZ,31,FALSE)</f>
        <v>4055.7130907243</v>
      </c>
      <c r="L173" s="27">
        <f t="shared" si="22"/>
        <v>6759.52181787384</v>
      </c>
      <c r="M173" s="27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5684.49322138077</v>
      </c>
      <c r="N173" s="27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10114.7387498242</v>
      </c>
      <c r="O173" s="27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3789.66214758718</v>
      </c>
      <c r="P173" s="27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1671.18250205274</v>
      </c>
      <c r="Q173" s="35">
        <v>1</v>
      </c>
      <c r="R173" s="36" t="s">
        <v>164</v>
      </c>
      <c r="S173" s="36" t="s">
        <v>71</v>
      </c>
      <c r="T173" s="36" t="s">
        <v>99</v>
      </c>
      <c r="U173" s="36" t="s">
        <v>100</v>
      </c>
      <c r="V173" s="36" t="s">
        <v>71</v>
      </c>
      <c r="W173" s="36" t="s">
        <v>71</v>
      </c>
      <c r="X173" s="36" t="s">
        <v>71</v>
      </c>
      <c r="Y173" s="36" t="s">
        <v>71</v>
      </c>
      <c r="Z173" s="36" t="s">
        <v>71</v>
      </c>
      <c r="AA173" s="36" t="s">
        <v>71</v>
      </c>
      <c r="AB173" s="36" t="s">
        <v>71</v>
      </c>
      <c r="AC173" s="36" t="s">
        <v>71</v>
      </c>
      <c r="AD173" s="36" t="s">
        <v>72</v>
      </c>
      <c r="AE173" s="36" t="s">
        <v>94</v>
      </c>
      <c r="AF173" s="36" t="s">
        <v>95</v>
      </c>
      <c r="AG173" s="36" t="s">
        <v>112</v>
      </c>
      <c r="AH173" t="str">
        <f>VLOOKUP($R173,武学奇术!$A:$ZZ,25,FALSE)</f>
        <v>剑</v>
      </c>
      <c r="AI173" s="20">
        <f>VLOOKUP($R173,武学奇术!$A:$ZZ,26,FALSE)</f>
        <v>0.1716</v>
      </c>
      <c r="AJ173" s="21">
        <f>VLOOKUP($R173,武学奇术!$A:$ZZ,27,FALSE)*(1+IF(OR($AH173=$F$4,$AH173=$F$5),$B$22,0))</f>
        <v>0</v>
      </c>
      <c r="AK173" s="20">
        <f>VLOOKUP($R173,武学奇术!$A:$ZZ,28,FALSE)</f>
        <v>0.2574</v>
      </c>
      <c r="AL173" s="21">
        <f>VLOOKUP($R173,武学奇术!$A:$ZZ,29,FALSE)*(1+IF(OR($AH173=$F$4,$AH173=$F$5),$B$22,0))</f>
        <v>0</v>
      </c>
      <c r="AM173" s="20" cm="1">
        <f t="array" ref="AM173">$G$3+IFERROR(VLOOKUP($AH173,$F$4:$G$7,2,FALSE),0)+VLOOKUP($R173,武学奇术!$A:$ZZ,2,FALSE)+SUM(_xlfn.XLOOKUP($S173:$AG173,增益!$A:$A,增益!$B:$B,0))</f>
        <v>1.2291</v>
      </c>
      <c r="AN173" s="20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1517.52</v>
      </c>
      <c r="AP173" cm="1">
        <f t="array" ref="AP173">$E$10*(1+$AN173)+VLOOKUP($R173,武学奇术!$A:$ZZ,4,FALSE)+SUM(_xlfn.XLOOKUP($S173:$AG173,增益!$A:$A,增益!$D:$D,0))-$I$2</f>
        <v>6628.56</v>
      </c>
      <c r="AQ173" s="29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0.3075</v>
      </c>
      <c r="AR173" s="29" cm="1">
        <f t="array" ref="AR173">$G$10+VLOOKUP($R173,武学奇术!$A:$ZZ,7,FALSE)+SUM(_xlfn.XLOOKUP(S173:AG173,增益!$A:$A,增益!$G:$G,0))</f>
        <v>0</v>
      </c>
      <c r="AS173" s="20" cm="1">
        <f t="array" ref="AS173">VLOOKUP($R173,武学奇术!$A:$ZZ,8,FALSE)+SUM(_xlfn.XLOOKUP(S173:AG173,增益!$A:$A,增益!$H:$H,0))</f>
        <v>0</v>
      </c>
      <c r="AT173">
        <f t="shared" si="23"/>
        <v>538</v>
      </c>
      <c r="AU173">
        <f t="shared" si="24"/>
        <v>1011</v>
      </c>
      <c r="AV173" s="29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0.075</v>
      </c>
      <c r="AW173" s="29" cm="1">
        <f t="array" ref="AW173">$G$11+VLOOKUP($R173,武学奇术!$A:$ZZ,10,FALSE)+SUM(_xlfn.XLOOKUP(S173:AG173,增益!$A:$A,增益!$J:$J,0))</f>
        <v>0.15</v>
      </c>
      <c r="AX173">
        <f t="shared" si="25"/>
        <v>0</v>
      </c>
      <c r="AY173">
        <f t="shared" si="26"/>
        <v>0</v>
      </c>
      <c r="AZ173" s="29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29" cm="1">
        <f t="array" ref="BA173">$G$12+VLOOKUP($R173,武学奇术!$A:$ZZ,12,FALSE)+SUM(_xlfn.XLOOKUP(S173:AG173,增益!$A:$A,增益!$L:$L,0))</f>
        <v>0</v>
      </c>
      <c r="BB173">
        <f t="shared" si="27"/>
        <v>0</v>
      </c>
      <c r="BC173">
        <f t="shared" si="28"/>
        <v>0</v>
      </c>
      <c r="BD173" s="29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29" cm="1">
        <f t="array" ref="BE173">$G$13+VLOOKUP($R173,武学奇术!$A:$ZZ,14,FALSE)+SUM(_xlfn.XLOOKUP(S173:AG173,增益!$A:$A,增益!$N:$N,0))</f>
        <v>0</v>
      </c>
      <c r="BF173">
        <f t="shared" si="29"/>
        <v>0</v>
      </c>
      <c r="BG173">
        <f t="shared" si="30"/>
        <v>0</v>
      </c>
      <c r="BH173" s="29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29" cm="1">
        <f t="array" ref="BI173">$G$14+VLOOKUP($R173,武学奇术!$A:$ZZ,16,FALSE)+SUM(_xlfn.XLOOKUP(S173:AG173,增益!$A:$A,增益!$P:$P,0))</f>
        <v>0</v>
      </c>
      <c r="BJ173" s="20">
        <f>MIN(IF(VLOOKUP($R173,武学奇术!$A:$ZZ,23,FALSE)=1,100%,$B$8),100%)</f>
        <v>0.8271</v>
      </c>
      <c r="BK173" s="20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0.2249</v>
      </c>
      <c r="BL173" s="20" cm="1">
        <f t="array" ref="BL173">1+$B$13+VLOOKUP($R173,武学奇术!$A:$ZZ,18,FALSE)+SUM(_xlfn.XLOOKUP(S173:AG173,增益!$A:$A,增益!$R:$R,0))</f>
        <v>1.5</v>
      </c>
      <c r="BM173" s="20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0.4459</v>
      </c>
      <c r="BN173" s="20" cm="1">
        <f t="array" ref="BN173">1+$B$14+VLOOKUP($R173,武学奇术!$A:$ZZ,20,FALSE)+SUM(_xlfn.XLOOKUP(S173:AG173,增益!$A:$A,增益!$T:$T,0))</f>
        <v>1.712</v>
      </c>
      <c r="BO173" s="20">
        <f t="shared" si="31"/>
        <v>0.18601479</v>
      </c>
      <c r="BP173" s="20">
        <f t="shared" si="32"/>
        <v>0.27228132</v>
      </c>
      <c r="BQ173" s="20">
        <f>IF(VLOOKUP($R173,武学奇术!$A:$ZZ,22,FALSE)=1,0,(1-$BJ173))*(1-$BM173)</f>
        <v>0.09580389</v>
      </c>
      <c r="BR173" s="20" cm="1">
        <f t="array" ref="BR173">SUM(_xlfn.XLOOKUP(S173:AG173,增益!$A:$A,增益!$W:$W,0))+$I$5</f>
        <v>0.11</v>
      </c>
    </row>
    <row r="174" spans="11:70">
      <c r="K174" s="27">
        <f>$L174*VLOOKUP($R174,武学奇术!$A:$ZZ,31,FALSE)</f>
        <v>8237.0694198314</v>
      </c>
      <c r="L174" s="27">
        <f t="shared" si="22"/>
        <v>13728.4490330523</v>
      </c>
      <c r="M174" s="27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11557.7590864743</v>
      </c>
      <c r="N174" s="27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20526.7315472933</v>
      </c>
      <c r="O174" s="27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7705.1727243162</v>
      </c>
      <c r="P174" s="27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3420.43216166202</v>
      </c>
      <c r="Q174" s="35">
        <v>1</v>
      </c>
      <c r="R174" s="36" t="s">
        <v>162</v>
      </c>
      <c r="S174" s="36" t="s">
        <v>71</v>
      </c>
      <c r="T174" s="36" t="s">
        <v>99</v>
      </c>
      <c r="U174" s="36" t="s">
        <v>100</v>
      </c>
      <c r="V174" s="36" t="s">
        <v>71</v>
      </c>
      <c r="W174" s="36" t="s">
        <v>111</v>
      </c>
      <c r="X174" s="36" t="s">
        <v>71</v>
      </c>
      <c r="Y174" s="36" t="s">
        <v>71</v>
      </c>
      <c r="Z174" s="36" t="s">
        <v>71</v>
      </c>
      <c r="AA174" s="36" t="s">
        <v>71</v>
      </c>
      <c r="AB174" s="36" t="s">
        <v>71</v>
      </c>
      <c r="AC174" s="36" t="s">
        <v>71</v>
      </c>
      <c r="AD174" s="36" t="s">
        <v>72</v>
      </c>
      <c r="AE174" s="36" t="s">
        <v>94</v>
      </c>
      <c r="AF174" s="36" t="s">
        <v>95</v>
      </c>
      <c r="AG174" s="36" t="s">
        <v>120</v>
      </c>
      <c r="AH174" t="str">
        <f>VLOOKUP($R174,武学奇术!$A:$ZZ,25,FALSE)</f>
        <v>剑</v>
      </c>
      <c r="AI174" s="20">
        <f>VLOOKUP($R174,武学奇术!$A:$ZZ,26,FALSE)</f>
        <v>0.3432</v>
      </c>
      <c r="AJ174" s="21">
        <f>VLOOKUP($R174,武学奇术!$A:$ZZ,27,FALSE)*(1+IF(OR($AH174=$F$4,$AH174=$F$5),$B$22,0))</f>
        <v>0</v>
      </c>
      <c r="AK174" s="20">
        <f>VLOOKUP($R174,武学奇术!$A:$ZZ,28,FALSE)</f>
        <v>0.5148</v>
      </c>
      <c r="AL174" s="21">
        <f>VLOOKUP($R174,武学奇术!$A:$ZZ,29,FALSE)*(1+IF(OR($AH174=$F$4,$AH174=$F$5),$B$22,0))</f>
        <v>0</v>
      </c>
      <c r="AM174" s="20" cm="1">
        <f t="array" ref="AM174">$G$3+IFERROR(VLOOKUP($AH174,$F$4:$G$7,2,FALSE),0)+VLOOKUP($R174,武学奇术!$A:$ZZ,2,FALSE)+SUM(_xlfn.XLOOKUP($S174:$AG174,增益!$A:$A,增益!$B:$B,0))</f>
        <v>1.2391</v>
      </c>
      <c r="AN174" s="20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1548.52</v>
      </c>
      <c r="AP174" cm="1">
        <f t="array" ref="AP174">$E$10*(1+$AN174)+VLOOKUP($R174,武学奇术!$A:$ZZ,4,FALSE)+SUM(_xlfn.XLOOKUP($S174:$AG174,增益!$A:$A,增益!$D:$D,0))-$I$2</f>
        <v>6659.56</v>
      </c>
      <c r="AQ174" s="29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0.3175</v>
      </c>
      <c r="AR174" s="29" cm="1">
        <f t="array" ref="AR174">$G$10+VLOOKUP($R174,武学奇术!$A:$ZZ,7,FALSE)+SUM(_xlfn.XLOOKUP(S174:AG174,增益!$A:$A,增益!$G:$G,0))</f>
        <v>0</v>
      </c>
      <c r="AS174" s="20" cm="1">
        <f t="array" ref="AS174">VLOOKUP($R174,武学奇术!$A:$ZZ,8,FALSE)+SUM(_xlfn.XLOOKUP(S174:AG174,增益!$A:$A,增益!$H:$H,0))</f>
        <v>0</v>
      </c>
      <c r="AT174">
        <f t="shared" si="23"/>
        <v>538</v>
      </c>
      <c r="AU174">
        <f t="shared" si="24"/>
        <v>1011</v>
      </c>
      <c r="AV174" s="29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0.075</v>
      </c>
      <c r="AW174" s="29" cm="1">
        <f t="array" ref="AW174">$G$11+VLOOKUP($R174,武学奇术!$A:$ZZ,10,FALSE)+SUM(_xlfn.XLOOKUP(S174:AG174,增益!$A:$A,增益!$J:$J,0))</f>
        <v>0.15</v>
      </c>
      <c r="AX174">
        <f t="shared" si="25"/>
        <v>0</v>
      </c>
      <c r="AY174">
        <f t="shared" si="26"/>
        <v>0</v>
      </c>
      <c r="AZ174" s="29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29" cm="1">
        <f t="array" ref="BA174">$G$12+VLOOKUP($R174,武学奇术!$A:$ZZ,12,FALSE)+SUM(_xlfn.XLOOKUP(S174:AG174,增益!$A:$A,增益!$L:$L,0))</f>
        <v>0</v>
      </c>
      <c r="BB174">
        <f t="shared" si="27"/>
        <v>0</v>
      </c>
      <c r="BC174">
        <f t="shared" si="28"/>
        <v>0</v>
      </c>
      <c r="BD174" s="29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29" cm="1">
        <f t="array" ref="BE174">$G$13+VLOOKUP($R174,武学奇术!$A:$ZZ,14,FALSE)+SUM(_xlfn.XLOOKUP(S174:AG174,增益!$A:$A,增益!$N:$N,0))</f>
        <v>0</v>
      </c>
      <c r="BF174">
        <f t="shared" si="29"/>
        <v>0</v>
      </c>
      <c r="BG174">
        <f t="shared" si="30"/>
        <v>0</v>
      </c>
      <c r="BH174" s="29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29" cm="1">
        <f t="array" ref="BI174">$G$14+VLOOKUP($R174,武学奇术!$A:$ZZ,16,FALSE)+SUM(_xlfn.XLOOKUP(S174:AG174,增益!$A:$A,增益!$P:$P,0))</f>
        <v>0</v>
      </c>
      <c r="BJ174" s="20">
        <f>MIN(IF(VLOOKUP($R174,武学奇术!$A:$ZZ,23,FALSE)=1,100%,$B$8),100%)</f>
        <v>0.8271</v>
      </c>
      <c r="BK174" s="20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0.2249</v>
      </c>
      <c r="BL174" s="20" cm="1">
        <f t="array" ref="BL174">1+$B$13+VLOOKUP($R174,武学奇术!$A:$ZZ,18,FALSE)+SUM(_xlfn.XLOOKUP(S174:AG174,增益!$A:$A,增益!$R:$R,0))</f>
        <v>1.5</v>
      </c>
      <c r="BM174" s="20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0.4459</v>
      </c>
      <c r="BN174" s="20" cm="1">
        <f t="array" ref="BN174">1+$B$14+VLOOKUP($R174,武学奇术!$A:$ZZ,20,FALSE)+SUM(_xlfn.XLOOKUP(S174:AG174,增益!$A:$A,增益!$T:$T,0))</f>
        <v>1.712</v>
      </c>
      <c r="BO174" s="20">
        <f t="shared" si="31"/>
        <v>0.18601479</v>
      </c>
      <c r="BP174" s="20">
        <f t="shared" si="32"/>
        <v>0.27228132</v>
      </c>
      <c r="BQ174" s="20">
        <f>IF(VLOOKUP($R174,武学奇术!$A:$ZZ,22,FALSE)=1,0,(1-$BJ174))*(1-$BM174)</f>
        <v>0.09580389</v>
      </c>
      <c r="BR174" s="20" cm="1">
        <f t="array" ref="BR174">SUM(_xlfn.XLOOKUP(S174:AG174,增益!$A:$A,增益!$W:$W,0))+$I$5</f>
        <v>0.11</v>
      </c>
    </row>
    <row r="175" spans="11:70">
      <c r="K175" s="27">
        <f>$L175*VLOOKUP($R175,武学奇术!$A:$ZZ,31,FALSE)</f>
        <v>4134.57361691968</v>
      </c>
      <c r="L175" s="27">
        <f t="shared" si="22"/>
        <v>6890.95602819946</v>
      </c>
      <c r="M175" s="27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5778.87954323715</v>
      </c>
      <c r="N175" s="27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10323.3153400815</v>
      </c>
      <c r="O175" s="27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3852.5863621581</v>
      </c>
      <c r="P175" s="27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1710.21608083101</v>
      </c>
      <c r="Q175" s="35">
        <v>1</v>
      </c>
      <c r="R175" s="36" t="s">
        <v>164</v>
      </c>
      <c r="S175" s="36" t="s">
        <v>71</v>
      </c>
      <c r="T175" s="36" t="s">
        <v>99</v>
      </c>
      <c r="U175" s="36" t="s">
        <v>100</v>
      </c>
      <c r="V175" s="36" t="s">
        <v>71</v>
      </c>
      <c r="W175" s="36" t="s">
        <v>111</v>
      </c>
      <c r="X175" s="36" t="s">
        <v>71</v>
      </c>
      <c r="Y175" s="36" t="s">
        <v>71</v>
      </c>
      <c r="Z175" s="36" t="s">
        <v>71</v>
      </c>
      <c r="AA175" s="36" t="s">
        <v>71</v>
      </c>
      <c r="AB175" s="36" t="s">
        <v>71</v>
      </c>
      <c r="AC175" s="36" t="s">
        <v>71</v>
      </c>
      <c r="AD175" s="36" t="s">
        <v>72</v>
      </c>
      <c r="AE175" s="36" t="s">
        <v>94</v>
      </c>
      <c r="AF175" s="36" t="s">
        <v>116</v>
      </c>
      <c r="AG175" s="36" t="s">
        <v>120</v>
      </c>
      <c r="AH175" t="str">
        <f>VLOOKUP($R175,武学奇术!$A:$ZZ,25,FALSE)</f>
        <v>剑</v>
      </c>
      <c r="AI175" s="20">
        <f>VLOOKUP($R175,武学奇术!$A:$ZZ,26,FALSE)</f>
        <v>0.1716</v>
      </c>
      <c r="AJ175" s="21">
        <f>VLOOKUP($R175,武学奇术!$A:$ZZ,27,FALSE)*(1+IF(OR($AH175=$F$4,$AH175=$F$5),$B$22,0))</f>
        <v>0</v>
      </c>
      <c r="AK175" s="20">
        <f>VLOOKUP($R175,武学奇术!$A:$ZZ,28,FALSE)</f>
        <v>0.2574</v>
      </c>
      <c r="AL175" s="21">
        <f>VLOOKUP($R175,武学奇术!$A:$ZZ,29,FALSE)*(1+IF(OR($AH175=$F$4,$AH175=$F$5),$B$22,0))</f>
        <v>0</v>
      </c>
      <c r="AM175" s="20" cm="1">
        <f t="array" ref="AM175">$G$3+IFERROR(VLOOKUP($AH175,$F$4:$G$7,2,FALSE),0)+VLOOKUP($R175,武学奇术!$A:$ZZ,2,FALSE)+SUM(_xlfn.XLOOKUP($S175:$AG175,增益!$A:$A,增益!$B:$B,0))</f>
        <v>1.2391</v>
      </c>
      <c r="AN175" s="20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1548.52</v>
      </c>
      <c r="AP175" cm="1">
        <f t="array" ref="AP175">$E$10*(1+$AN175)+VLOOKUP($R175,武学奇术!$A:$ZZ,4,FALSE)+SUM(_xlfn.XLOOKUP($S175:$AG175,增益!$A:$A,增益!$D:$D,0))-$I$2</f>
        <v>6659.56</v>
      </c>
      <c r="AQ175" s="29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0.3175</v>
      </c>
      <c r="AR175" s="29" cm="1">
        <f t="array" ref="AR175">$G$10+VLOOKUP($R175,武学奇术!$A:$ZZ,7,FALSE)+SUM(_xlfn.XLOOKUP(S175:AG175,增益!$A:$A,增益!$G:$G,0))</f>
        <v>0</v>
      </c>
      <c r="AS175" s="20" cm="1">
        <f t="array" ref="AS175">VLOOKUP($R175,武学奇术!$A:$ZZ,8,FALSE)+SUM(_xlfn.XLOOKUP(S175:AG175,增益!$A:$A,增益!$H:$H,0))</f>
        <v>0</v>
      </c>
      <c r="AT175">
        <f t="shared" si="23"/>
        <v>538</v>
      </c>
      <c r="AU175">
        <f t="shared" si="24"/>
        <v>1011</v>
      </c>
      <c r="AV175" s="29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0.075</v>
      </c>
      <c r="AW175" s="29" cm="1">
        <f t="array" ref="AW175">$G$11+VLOOKUP($R175,武学奇术!$A:$ZZ,10,FALSE)+SUM(_xlfn.XLOOKUP(S175:AG175,增益!$A:$A,增益!$J:$J,0))</f>
        <v>0.15</v>
      </c>
      <c r="AX175">
        <f t="shared" si="25"/>
        <v>0</v>
      </c>
      <c r="AY175">
        <f t="shared" si="26"/>
        <v>0</v>
      </c>
      <c r="AZ175" s="29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29" cm="1">
        <f t="array" ref="BA175">$G$12+VLOOKUP($R175,武学奇术!$A:$ZZ,12,FALSE)+SUM(_xlfn.XLOOKUP(S175:AG175,增益!$A:$A,增益!$L:$L,0))</f>
        <v>0</v>
      </c>
      <c r="BB175">
        <f t="shared" si="27"/>
        <v>0</v>
      </c>
      <c r="BC175">
        <f t="shared" si="28"/>
        <v>0</v>
      </c>
      <c r="BD175" s="29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29" cm="1">
        <f t="array" ref="BE175">$G$13+VLOOKUP($R175,武学奇术!$A:$ZZ,14,FALSE)+SUM(_xlfn.XLOOKUP(S175:AG175,增益!$A:$A,增益!$N:$N,0))</f>
        <v>0</v>
      </c>
      <c r="BF175">
        <f t="shared" si="29"/>
        <v>0</v>
      </c>
      <c r="BG175">
        <f t="shared" si="30"/>
        <v>0</v>
      </c>
      <c r="BH175" s="29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29" cm="1">
        <f t="array" ref="BI175">$G$14+VLOOKUP($R175,武学奇术!$A:$ZZ,16,FALSE)+SUM(_xlfn.XLOOKUP(S175:AG175,增益!$A:$A,增益!$P:$P,0))</f>
        <v>0</v>
      </c>
      <c r="BJ175" s="20">
        <f>MIN(IF(VLOOKUP($R175,武学奇术!$A:$ZZ,23,FALSE)=1,100%,$B$8),100%)</f>
        <v>0.8271</v>
      </c>
      <c r="BK175" s="20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0.2249</v>
      </c>
      <c r="BL175" s="20" cm="1">
        <f t="array" ref="BL175">1+$B$13+VLOOKUP($R175,武学奇术!$A:$ZZ,18,FALSE)+SUM(_xlfn.XLOOKUP(S175:AG175,增益!$A:$A,增益!$R:$R,0))</f>
        <v>1.5</v>
      </c>
      <c r="BM175" s="20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0.4459</v>
      </c>
      <c r="BN175" s="20" cm="1">
        <f t="array" ref="BN175">1+$B$14+VLOOKUP($R175,武学奇术!$A:$ZZ,20,FALSE)+SUM(_xlfn.XLOOKUP(S175:AG175,增益!$A:$A,增益!$T:$T,0))</f>
        <v>1.722</v>
      </c>
      <c r="BO175" s="20">
        <f t="shared" si="31"/>
        <v>0.18601479</v>
      </c>
      <c r="BP175" s="20">
        <f t="shared" si="32"/>
        <v>0.27228132</v>
      </c>
      <c r="BQ175" s="20">
        <f>IF(VLOOKUP($R175,武学奇术!$A:$ZZ,22,FALSE)=1,0,(1-$BJ175))*(1-$BM175)</f>
        <v>0.09580389</v>
      </c>
      <c r="BR175" s="20" cm="1">
        <f t="array" ref="BR175">SUM(_xlfn.XLOOKUP(S175:AG175,增益!$A:$A,增益!$W:$W,0))+$I$5</f>
        <v>0.11</v>
      </c>
    </row>
    <row r="176" spans="11:70">
      <c r="K176" s="27">
        <f>$L176*VLOOKUP($R176,武学奇术!$A:$ZZ,31,FALSE)</f>
        <v>4134.57361691968</v>
      </c>
      <c r="L176" s="27">
        <f t="shared" si="22"/>
        <v>6890.95602819946</v>
      </c>
      <c r="M176" s="27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5778.87954323715</v>
      </c>
      <c r="N176" s="27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10323.3153400815</v>
      </c>
      <c r="O176" s="27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3852.5863621581</v>
      </c>
      <c r="P176" s="27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1710.21608083101</v>
      </c>
      <c r="Q176" s="35">
        <v>1</v>
      </c>
      <c r="R176" s="36" t="s">
        <v>164</v>
      </c>
      <c r="S176" s="36" t="s">
        <v>71</v>
      </c>
      <c r="T176" s="36" t="s">
        <v>99</v>
      </c>
      <c r="U176" s="36" t="s">
        <v>100</v>
      </c>
      <c r="V176" s="36" t="s">
        <v>71</v>
      </c>
      <c r="W176" s="36" t="s">
        <v>111</v>
      </c>
      <c r="X176" s="36" t="s">
        <v>71</v>
      </c>
      <c r="Y176" s="36" t="s">
        <v>71</v>
      </c>
      <c r="Z176" s="36" t="s">
        <v>71</v>
      </c>
      <c r="AA176" s="36" t="s">
        <v>71</v>
      </c>
      <c r="AB176" s="36" t="s">
        <v>71</v>
      </c>
      <c r="AC176" s="36" t="s">
        <v>71</v>
      </c>
      <c r="AD176" s="36" t="s">
        <v>72</v>
      </c>
      <c r="AE176" s="36" t="s">
        <v>94</v>
      </c>
      <c r="AF176" s="36" t="s">
        <v>116</v>
      </c>
      <c r="AG176" s="36" t="s">
        <v>120</v>
      </c>
      <c r="AH176" t="str">
        <f>VLOOKUP($R176,武学奇术!$A:$ZZ,25,FALSE)</f>
        <v>剑</v>
      </c>
      <c r="AI176" s="20">
        <f>VLOOKUP($R176,武学奇术!$A:$ZZ,26,FALSE)</f>
        <v>0.1716</v>
      </c>
      <c r="AJ176" s="21">
        <f>VLOOKUP($R176,武学奇术!$A:$ZZ,27,FALSE)*(1+IF(OR($AH176=$F$4,$AH176=$F$5),$B$22,0))</f>
        <v>0</v>
      </c>
      <c r="AK176" s="20">
        <f>VLOOKUP($R176,武学奇术!$A:$ZZ,28,FALSE)</f>
        <v>0.2574</v>
      </c>
      <c r="AL176" s="21">
        <f>VLOOKUP($R176,武学奇术!$A:$ZZ,29,FALSE)*(1+IF(OR($AH176=$F$4,$AH176=$F$5),$B$22,0))</f>
        <v>0</v>
      </c>
      <c r="AM176" s="20" cm="1">
        <f t="array" ref="AM176">$G$3+IFERROR(VLOOKUP($AH176,$F$4:$G$7,2,FALSE),0)+VLOOKUP($R176,武学奇术!$A:$ZZ,2,FALSE)+SUM(_xlfn.XLOOKUP($S176:$AG176,增益!$A:$A,增益!$B:$B,0))</f>
        <v>1.2391</v>
      </c>
      <c r="AN176" s="20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1548.52</v>
      </c>
      <c r="AP176" cm="1">
        <f t="array" ref="AP176">$E$10*(1+$AN176)+VLOOKUP($R176,武学奇术!$A:$ZZ,4,FALSE)+SUM(_xlfn.XLOOKUP($S176:$AG176,增益!$A:$A,增益!$D:$D,0))-$I$2</f>
        <v>6659.56</v>
      </c>
      <c r="AQ176" s="29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0.3175</v>
      </c>
      <c r="AR176" s="29" cm="1">
        <f t="array" ref="AR176">$G$10+VLOOKUP($R176,武学奇术!$A:$ZZ,7,FALSE)+SUM(_xlfn.XLOOKUP(S176:AG176,增益!$A:$A,增益!$G:$G,0))</f>
        <v>0</v>
      </c>
      <c r="AS176" s="20" cm="1">
        <f t="array" ref="AS176">VLOOKUP($R176,武学奇术!$A:$ZZ,8,FALSE)+SUM(_xlfn.XLOOKUP(S176:AG176,增益!$A:$A,增益!$H:$H,0))</f>
        <v>0</v>
      </c>
      <c r="AT176">
        <f t="shared" si="23"/>
        <v>538</v>
      </c>
      <c r="AU176">
        <f t="shared" si="24"/>
        <v>1011</v>
      </c>
      <c r="AV176" s="29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0.075</v>
      </c>
      <c r="AW176" s="29" cm="1">
        <f t="array" ref="AW176">$G$11+VLOOKUP($R176,武学奇术!$A:$ZZ,10,FALSE)+SUM(_xlfn.XLOOKUP(S176:AG176,增益!$A:$A,增益!$J:$J,0))</f>
        <v>0.15</v>
      </c>
      <c r="AX176">
        <f t="shared" si="25"/>
        <v>0</v>
      </c>
      <c r="AY176">
        <f t="shared" si="26"/>
        <v>0</v>
      </c>
      <c r="AZ176" s="29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29" cm="1">
        <f t="array" ref="BA176">$G$12+VLOOKUP($R176,武学奇术!$A:$ZZ,12,FALSE)+SUM(_xlfn.XLOOKUP(S176:AG176,增益!$A:$A,增益!$L:$L,0))</f>
        <v>0</v>
      </c>
      <c r="BB176">
        <f t="shared" si="27"/>
        <v>0</v>
      </c>
      <c r="BC176">
        <f t="shared" si="28"/>
        <v>0</v>
      </c>
      <c r="BD176" s="29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29" cm="1">
        <f t="array" ref="BE176">$G$13+VLOOKUP($R176,武学奇术!$A:$ZZ,14,FALSE)+SUM(_xlfn.XLOOKUP(S176:AG176,增益!$A:$A,增益!$N:$N,0))</f>
        <v>0</v>
      </c>
      <c r="BF176">
        <f t="shared" si="29"/>
        <v>0</v>
      </c>
      <c r="BG176">
        <f t="shared" si="30"/>
        <v>0</v>
      </c>
      <c r="BH176" s="29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29" cm="1">
        <f t="array" ref="BI176">$G$14+VLOOKUP($R176,武学奇术!$A:$ZZ,16,FALSE)+SUM(_xlfn.XLOOKUP(S176:AG176,增益!$A:$A,增益!$P:$P,0))</f>
        <v>0</v>
      </c>
      <c r="BJ176" s="20">
        <f>MIN(IF(VLOOKUP($R176,武学奇术!$A:$ZZ,23,FALSE)=1,100%,$B$8),100%)</f>
        <v>0.8271</v>
      </c>
      <c r="BK176" s="20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0.2249</v>
      </c>
      <c r="BL176" s="20" cm="1">
        <f t="array" ref="BL176">1+$B$13+VLOOKUP($R176,武学奇术!$A:$ZZ,18,FALSE)+SUM(_xlfn.XLOOKUP(S176:AG176,增益!$A:$A,增益!$R:$R,0))</f>
        <v>1.5</v>
      </c>
      <c r="BM176" s="20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0.4459</v>
      </c>
      <c r="BN176" s="20" cm="1">
        <f t="array" ref="BN176">1+$B$14+VLOOKUP($R176,武学奇术!$A:$ZZ,20,FALSE)+SUM(_xlfn.XLOOKUP(S176:AG176,增益!$A:$A,增益!$T:$T,0))</f>
        <v>1.722</v>
      </c>
      <c r="BO176" s="20">
        <f t="shared" si="31"/>
        <v>0.18601479</v>
      </c>
      <c r="BP176" s="20">
        <f t="shared" si="32"/>
        <v>0.27228132</v>
      </c>
      <c r="BQ176" s="20">
        <f>IF(VLOOKUP($R176,武学奇术!$A:$ZZ,22,FALSE)=1,0,(1-$BJ176))*(1-$BM176)</f>
        <v>0.09580389</v>
      </c>
      <c r="BR176" s="20" cm="1">
        <f t="array" ref="BR176">SUM(_xlfn.XLOOKUP(S176:AG176,增益!$A:$A,增益!$W:$W,0))+$I$5</f>
        <v>0.11</v>
      </c>
    </row>
    <row r="177" spans="11:70">
      <c r="K177" s="27">
        <f>$L177*VLOOKUP($R177,武学奇术!$A:$ZZ,31,FALSE)</f>
        <v>4961.48834030361</v>
      </c>
      <c r="L177" s="27">
        <f t="shared" si="22"/>
        <v>8269.14723383936</v>
      </c>
      <c r="M177" s="27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6934.65545188458</v>
      </c>
      <c r="N177" s="27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12387.9784080978</v>
      </c>
      <c r="O177" s="27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4623.10363458972</v>
      </c>
      <c r="P177" s="27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2052.25929699721</v>
      </c>
      <c r="Q177" s="35">
        <v>1</v>
      </c>
      <c r="R177" s="36" t="s">
        <v>165</v>
      </c>
      <c r="S177" s="36" t="s">
        <v>71</v>
      </c>
      <c r="T177" s="36" t="s">
        <v>99</v>
      </c>
      <c r="U177" s="36" t="s">
        <v>100</v>
      </c>
      <c r="V177" s="36" t="s">
        <v>71</v>
      </c>
      <c r="W177" s="36" t="s">
        <v>111</v>
      </c>
      <c r="X177" s="36" t="s">
        <v>71</v>
      </c>
      <c r="Y177" s="36" t="s">
        <v>71</v>
      </c>
      <c r="Z177" s="36" t="s">
        <v>71</v>
      </c>
      <c r="AA177" s="36" t="s">
        <v>71</v>
      </c>
      <c r="AB177" s="36" t="s">
        <v>71</v>
      </c>
      <c r="AC177" s="36" t="s">
        <v>71</v>
      </c>
      <c r="AD177" s="36" t="s">
        <v>72</v>
      </c>
      <c r="AE177" s="36" t="s">
        <v>94</v>
      </c>
      <c r="AF177" s="36" t="s">
        <v>116</v>
      </c>
      <c r="AG177" s="36" t="s">
        <v>120</v>
      </c>
      <c r="AH177" t="str">
        <f>VLOOKUP($R177,武学奇术!$A:$ZZ,25,FALSE)</f>
        <v>剑</v>
      </c>
      <c r="AI177" s="20">
        <f>VLOOKUP($R177,武学奇术!$A:$ZZ,26,FALSE)</f>
        <v>0.20592</v>
      </c>
      <c r="AJ177" s="21">
        <f>VLOOKUP($R177,武学奇术!$A:$ZZ,27,FALSE)*(1+IF(OR($AH177=$F$4,$AH177=$F$5),$B$22,0))</f>
        <v>0</v>
      </c>
      <c r="AK177" s="20">
        <f>VLOOKUP($R177,武学奇术!$A:$ZZ,28,FALSE)</f>
        <v>0.30888</v>
      </c>
      <c r="AL177" s="21">
        <f>VLOOKUP($R177,武学奇术!$A:$ZZ,29,FALSE)*(1+IF(OR($AH177=$F$4,$AH177=$F$5),$B$22,0))</f>
        <v>0</v>
      </c>
      <c r="AM177" s="20" cm="1">
        <f t="array" ref="AM177">$G$3+IFERROR(VLOOKUP($AH177,$F$4:$G$7,2,FALSE),0)+VLOOKUP($R177,武学奇术!$A:$ZZ,2,FALSE)+SUM(_xlfn.XLOOKUP($S177:$AG177,增益!$A:$A,增益!$B:$B,0))</f>
        <v>1.2391</v>
      </c>
      <c r="AN177" s="20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1548.52</v>
      </c>
      <c r="AP177" cm="1">
        <f t="array" ref="AP177">$E$10*(1+$AN177)+VLOOKUP($R177,武学奇术!$A:$ZZ,4,FALSE)+SUM(_xlfn.XLOOKUP($S177:$AG177,增益!$A:$A,增益!$D:$D,0))-$I$2</f>
        <v>6659.56</v>
      </c>
      <c r="AQ177" s="29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0.3175</v>
      </c>
      <c r="AR177" s="29" cm="1">
        <f t="array" ref="AR177">$G$10+VLOOKUP($R177,武学奇术!$A:$ZZ,7,FALSE)+SUM(_xlfn.XLOOKUP(S177:AG177,增益!$A:$A,增益!$G:$G,0))</f>
        <v>0</v>
      </c>
      <c r="AS177" s="20" cm="1">
        <f t="array" ref="AS177">VLOOKUP($R177,武学奇术!$A:$ZZ,8,FALSE)+SUM(_xlfn.XLOOKUP(S177:AG177,增益!$A:$A,增益!$H:$H,0))</f>
        <v>0</v>
      </c>
      <c r="AT177">
        <f t="shared" si="23"/>
        <v>538</v>
      </c>
      <c r="AU177">
        <f t="shared" si="24"/>
        <v>1011</v>
      </c>
      <c r="AV177" s="29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0.075</v>
      </c>
      <c r="AW177" s="29" cm="1">
        <f t="array" ref="AW177">$G$11+VLOOKUP($R177,武学奇术!$A:$ZZ,10,FALSE)+SUM(_xlfn.XLOOKUP(S177:AG177,增益!$A:$A,增益!$J:$J,0))</f>
        <v>0.15</v>
      </c>
      <c r="AX177">
        <f t="shared" si="25"/>
        <v>0</v>
      </c>
      <c r="AY177">
        <f t="shared" si="26"/>
        <v>0</v>
      </c>
      <c r="AZ177" s="29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29" cm="1">
        <f t="array" ref="BA177">$G$12+VLOOKUP($R177,武学奇术!$A:$ZZ,12,FALSE)+SUM(_xlfn.XLOOKUP(S177:AG177,增益!$A:$A,增益!$L:$L,0))</f>
        <v>0</v>
      </c>
      <c r="BB177">
        <f t="shared" si="27"/>
        <v>0</v>
      </c>
      <c r="BC177">
        <f t="shared" si="28"/>
        <v>0</v>
      </c>
      <c r="BD177" s="29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29" cm="1">
        <f t="array" ref="BE177">$G$13+VLOOKUP($R177,武学奇术!$A:$ZZ,14,FALSE)+SUM(_xlfn.XLOOKUP(S177:AG177,增益!$A:$A,增益!$N:$N,0))</f>
        <v>0</v>
      </c>
      <c r="BF177">
        <f t="shared" si="29"/>
        <v>0</v>
      </c>
      <c r="BG177">
        <f t="shared" si="30"/>
        <v>0</v>
      </c>
      <c r="BH177" s="29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29" cm="1">
        <f t="array" ref="BI177">$G$14+VLOOKUP($R177,武学奇术!$A:$ZZ,16,FALSE)+SUM(_xlfn.XLOOKUP(S177:AG177,增益!$A:$A,增益!$P:$P,0))</f>
        <v>0</v>
      </c>
      <c r="BJ177" s="20">
        <f>MIN(IF(VLOOKUP($R177,武学奇术!$A:$ZZ,23,FALSE)=1,100%,$B$8),100%)</f>
        <v>0.8271</v>
      </c>
      <c r="BK177" s="20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0.2249</v>
      </c>
      <c r="BL177" s="20" cm="1">
        <f t="array" ref="BL177">1+$B$13+VLOOKUP($R177,武学奇术!$A:$ZZ,18,FALSE)+SUM(_xlfn.XLOOKUP(S177:AG177,增益!$A:$A,增益!$R:$R,0))</f>
        <v>1.5</v>
      </c>
      <c r="BM177" s="20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0.4459</v>
      </c>
      <c r="BN177" s="20" cm="1">
        <f t="array" ref="BN177">1+$B$14+VLOOKUP($R177,武学奇术!$A:$ZZ,20,FALSE)+SUM(_xlfn.XLOOKUP(S177:AG177,增益!$A:$A,增益!$T:$T,0))</f>
        <v>1.722</v>
      </c>
      <c r="BO177" s="20">
        <f t="shared" si="31"/>
        <v>0.18601479</v>
      </c>
      <c r="BP177" s="20">
        <f t="shared" si="32"/>
        <v>0.27228132</v>
      </c>
      <c r="BQ177" s="20">
        <f>IF(VLOOKUP($R177,武学奇术!$A:$ZZ,22,FALSE)=1,0,(1-$BJ177))*(1-$BM177)</f>
        <v>0.09580389</v>
      </c>
      <c r="BR177" s="20" cm="1">
        <f t="array" ref="BR177">SUM(_xlfn.XLOOKUP(S177:AG177,增益!$A:$A,增益!$W:$W,0))+$I$5</f>
        <v>0.11</v>
      </c>
    </row>
    <row r="178" spans="11:70">
      <c r="K178" s="27">
        <f>$L178*VLOOKUP($R178,武学奇术!$A:$ZZ,31,FALSE)</f>
        <v>6640.98003827786</v>
      </c>
      <c r="L178" s="27">
        <f t="shared" si="22"/>
        <v>11068.3000637964</v>
      </c>
      <c r="M178" s="27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9246.20726917944</v>
      </c>
      <c r="N178" s="27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16613.2238504262</v>
      </c>
      <c r="O178" s="27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6164.13817945296</v>
      </c>
      <c r="P178" s="27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2736.34572932961</v>
      </c>
      <c r="Q178" s="35">
        <v>1</v>
      </c>
      <c r="R178" s="36" t="s">
        <v>163</v>
      </c>
      <c r="S178" s="36" t="s">
        <v>71</v>
      </c>
      <c r="T178" s="36" t="s">
        <v>99</v>
      </c>
      <c r="U178" s="36" t="s">
        <v>100</v>
      </c>
      <c r="V178" s="36" t="s">
        <v>71</v>
      </c>
      <c r="W178" s="36" t="s">
        <v>111</v>
      </c>
      <c r="X178" s="36" t="s">
        <v>71</v>
      </c>
      <c r="Y178" s="36" t="s">
        <v>71</v>
      </c>
      <c r="Z178" s="36" t="s">
        <v>71</v>
      </c>
      <c r="AA178" s="36" t="s">
        <v>71</v>
      </c>
      <c r="AB178" s="36" t="s">
        <v>71</v>
      </c>
      <c r="AC178" s="36" t="s">
        <v>71</v>
      </c>
      <c r="AD178" s="36" t="s">
        <v>72</v>
      </c>
      <c r="AE178" s="36" t="s">
        <v>94</v>
      </c>
      <c r="AF178" s="36" t="s">
        <v>134</v>
      </c>
      <c r="AG178" s="36" t="s">
        <v>120</v>
      </c>
      <c r="AH178" t="str">
        <f>VLOOKUP($R178,武学奇术!$A:$ZZ,25,FALSE)</f>
        <v>剑</v>
      </c>
      <c r="AI178" s="20">
        <f>VLOOKUP($R178,武学奇术!$A:$ZZ,26,FALSE)</f>
        <v>0.27456</v>
      </c>
      <c r="AJ178" s="21">
        <f>VLOOKUP($R178,武学奇术!$A:$ZZ,27,FALSE)*(1+IF(OR($AH178=$F$4,$AH178=$F$5),$B$22,0))</f>
        <v>0</v>
      </c>
      <c r="AK178" s="20">
        <f>VLOOKUP($R178,武学奇术!$A:$ZZ,28,FALSE)</f>
        <v>0.41184</v>
      </c>
      <c r="AL178" s="21">
        <f>VLOOKUP($R178,武学奇术!$A:$ZZ,29,FALSE)*(1+IF(OR($AH178=$F$4,$AH178=$F$5),$B$22,0))</f>
        <v>0</v>
      </c>
      <c r="AM178" s="20" cm="1">
        <f t="array" ref="AM178">$G$3+IFERROR(VLOOKUP($AH178,$F$4:$G$7,2,FALSE),0)+VLOOKUP($R178,武学奇术!$A:$ZZ,2,FALSE)+SUM(_xlfn.XLOOKUP($S178:$AG178,增益!$A:$A,增益!$B:$B,0))</f>
        <v>1.2391</v>
      </c>
      <c r="AN178" s="20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1548.52</v>
      </c>
      <c r="AP178" cm="1">
        <f t="array" ref="AP178">$E$10*(1+$AN178)+VLOOKUP($R178,武学奇术!$A:$ZZ,4,FALSE)+SUM(_xlfn.XLOOKUP($S178:$AG178,增益!$A:$A,增益!$D:$D,0))-$I$2</f>
        <v>6659.56</v>
      </c>
      <c r="AQ178" s="29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0.3175</v>
      </c>
      <c r="AR178" s="29" cm="1">
        <f t="array" ref="AR178">$G$10+VLOOKUP($R178,武学奇术!$A:$ZZ,7,FALSE)+SUM(_xlfn.XLOOKUP(S178:AG178,增益!$A:$A,增益!$G:$G,0))</f>
        <v>0</v>
      </c>
      <c r="AS178" s="20" cm="1">
        <f t="array" ref="AS178">VLOOKUP($R178,武学奇术!$A:$ZZ,8,FALSE)+SUM(_xlfn.XLOOKUP(S178:AG178,增益!$A:$A,增益!$H:$H,0))</f>
        <v>0</v>
      </c>
      <c r="AT178">
        <f t="shared" si="23"/>
        <v>538</v>
      </c>
      <c r="AU178">
        <f t="shared" si="24"/>
        <v>1011</v>
      </c>
      <c r="AV178" s="29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0.075</v>
      </c>
      <c r="AW178" s="29" cm="1">
        <f t="array" ref="AW178">$G$11+VLOOKUP($R178,武学奇术!$A:$ZZ,10,FALSE)+SUM(_xlfn.XLOOKUP(S178:AG178,增益!$A:$A,增益!$J:$J,0))</f>
        <v>0.15</v>
      </c>
      <c r="AX178">
        <f t="shared" si="25"/>
        <v>0</v>
      </c>
      <c r="AY178">
        <f t="shared" si="26"/>
        <v>0</v>
      </c>
      <c r="AZ178" s="29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29" cm="1">
        <f t="array" ref="BA178">$G$12+VLOOKUP($R178,武学奇术!$A:$ZZ,12,FALSE)+SUM(_xlfn.XLOOKUP(S178:AG178,增益!$A:$A,增益!$L:$L,0))</f>
        <v>0</v>
      </c>
      <c r="BB178">
        <f t="shared" si="27"/>
        <v>0</v>
      </c>
      <c r="BC178">
        <f t="shared" si="28"/>
        <v>0</v>
      </c>
      <c r="BD178" s="29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29" cm="1">
        <f t="array" ref="BE178">$G$13+VLOOKUP($R178,武学奇术!$A:$ZZ,14,FALSE)+SUM(_xlfn.XLOOKUP(S178:AG178,增益!$A:$A,增益!$N:$N,0))</f>
        <v>0</v>
      </c>
      <c r="BF178">
        <f t="shared" si="29"/>
        <v>0</v>
      </c>
      <c r="BG178">
        <f t="shared" si="30"/>
        <v>0</v>
      </c>
      <c r="BH178" s="29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29" cm="1">
        <f t="array" ref="BI178">$G$14+VLOOKUP($R178,武学奇术!$A:$ZZ,16,FALSE)+SUM(_xlfn.XLOOKUP(S178:AG178,增益!$A:$A,增益!$P:$P,0))</f>
        <v>0</v>
      </c>
      <c r="BJ178" s="20">
        <f>MIN(IF(VLOOKUP($R178,武学奇术!$A:$ZZ,23,FALSE)=1,100%,$B$8),100%)</f>
        <v>0.8271</v>
      </c>
      <c r="BK178" s="20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0.2249</v>
      </c>
      <c r="BL178" s="20" cm="1">
        <f t="array" ref="BL178">1+$B$13+VLOOKUP($R178,武学奇术!$A:$ZZ,18,FALSE)+SUM(_xlfn.XLOOKUP(S178:AG178,增益!$A:$A,增益!$R:$R,0))</f>
        <v>1.5</v>
      </c>
      <c r="BM178" s="20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0.4459</v>
      </c>
      <c r="BN178" s="20" cm="1">
        <f t="array" ref="BN178">1+$B$14+VLOOKUP($R178,武学奇术!$A:$ZZ,20,FALSE)+SUM(_xlfn.XLOOKUP(S178:AG178,增益!$A:$A,增益!$T:$T,0))</f>
        <v>1.732</v>
      </c>
      <c r="BO178" s="20">
        <f t="shared" si="31"/>
        <v>0.18601479</v>
      </c>
      <c r="BP178" s="20">
        <f t="shared" si="32"/>
        <v>0.27228132</v>
      </c>
      <c r="BQ178" s="20">
        <f>IF(VLOOKUP($R178,武学奇术!$A:$ZZ,22,FALSE)=1,0,(1-$BJ178))*(1-$BM178)</f>
        <v>0.09580389</v>
      </c>
      <c r="BR178" s="20" cm="1">
        <f t="array" ref="BR178">SUM(_xlfn.XLOOKUP(S178:AG178,增益!$A:$A,增益!$W:$W,0))+$I$5</f>
        <v>0.11</v>
      </c>
    </row>
    <row r="179" spans="11:70">
      <c r="K179" s="27">
        <f>$L179*VLOOKUP($R179,武学奇术!$A:$ZZ,31,FALSE)</f>
        <v>6640.98003827786</v>
      </c>
      <c r="L179" s="27">
        <f t="shared" si="22"/>
        <v>11068.3000637964</v>
      </c>
      <c r="M179" s="27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9246.20726917944</v>
      </c>
      <c r="N179" s="27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16613.2238504262</v>
      </c>
      <c r="O179" s="27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6164.13817945296</v>
      </c>
      <c r="P179" s="27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2736.34572932961</v>
      </c>
      <c r="Q179" s="35">
        <v>1</v>
      </c>
      <c r="R179" s="36" t="s">
        <v>163</v>
      </c>
      <c r="S179" s="36" t="s">
        <v>71</v>
      </c>
      <c r="T179" s="36" t="s">
        <v>99</v>
      </c>
      <c r="U179" s="36" t="s">
        <v>100</v>
      </c>
      <c r="V179" s="36" t="s">
        <v>71</v>
      </c>
      <c r="W179" s="36" t="s">
        <v>111</v>
      </c>
      <c r="X179" s="36" t="s">
        <v>71</v>
      </c>
      <c r="Y179" s="36" t="s">
        <v>71</v>
      </c>
      <c r="Z179" s="36" t="s">
        <v>71</v>
      </c>
      <c r="AA179" s="36" t="s">
        <v>71</v>
      </c>
      <c r="AB179" s="36" t="s">
        <v>71</v>
      </c>
      <c r="AC179" s="36" t="s">
        <v>71</v>
      </c>
      <c r="AD179" s="36" t="s">
        <v>72</v>
      </c>
      <c r="AE179" s="36" t="s">
        <v>94</v>
      </c>
      <c r="AF179" s="36" t="s">
        <v>134</v>
      </c>
      <c r="AG179" s="36" t="s">
        <v>120</v>
      </c>
      <c r="AH179" t="str">
        <f>VLOOKUP($R179,武学奇术!$A:$ZZ,25,FALSE)</f>
        <v>剑</v>
      </c>
      <c r="AI179" s="20">
        <f>VLOOKUP($R179,武学奇术!$A:$ZZ,26,FALSE)</f>
        <v>0.27456</v>
      </c>
      <c r="AJ179" s="21">
        <f>VLOOKUP($R179,武学奇术!$A:$ZZ,27,FALSE)*(1+IF(OR($AH179=$F$4,$AH179=$F$5),$B$22,0))</f>
        <v>0</v>
      </c>
      <c r="AK179" s="20">
        <f>VLOOKUP($R179,武学奇术!$A:$ZZ,28,FALSE)</f>
        <v>0.41184</v>
      </c>
      <c r="AL179" s="21">
        <f>VLOOKUP($R179,武学奇术!$A:$ZZ,29,FALSE)*(1+IF(OR($AH179=$F$4,$AH179=$F$5),$B$22,0))</f>
        <v>0</v>
      </c>
      <c r="AM179" s="20" cm="1">
        <f t="array" ref="AM179">$G$3+IFERROR(VLOOKUP($AH179,$F$4:$G$7,2,FALSE),0)+VLOOKUP($R179,武学奇术!$A:$ZZ,2,FALSE)+SUM(_xlfn.XLOOKUP($S179:$AG179,增益!$A:$A,增益!$B:$B,0))</f>
        <v>1.2391</v>
      </c>
      <c r="AN179" s="20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1548.52</v>
      </c>
      <c r="AP179" cm="1">
        <f t="array" ref="AP179">$E$10*(1+$AN179)+VLOOKUP($R179,武学奇术!$A:$ZZ,4,FALSE)+SUM(_xlfn.XLOOKUP($S179:$AG179,增益!$A:$A,增益!$D:$D,0))-$I$2</f>
        <v>6659.56</v>
      </c>
      <c r="AQ179" s="29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0.3175</v>
      </c>
      <c r="AR179" s="29" cm="1">
        <f t="array" ref="AR179">$G$10+VLOOKUP($R179,武学奇术!$A:$ZZ,7,FALSE)+SUM(_xlfn.XLOOKUP(S179:AG179,增益!$A:$A,增益!$G:$G,0))</f>
        <v>0</v>
      </c>
      <c r="AS179" s="20" cm="1">
        <f t="array" ref="AS179">VLOOKUP($R179,武学奇术!$A:$ZZ,8,FALSE)+SUM(_xlfn.XLOOKUP(S179:AG179,增益!$A:$A,增益!$H:$H,0))</f>
        <v>0</v>
      </c>
      <c r="AT179">
        <f t="shared" si="23"/>
        <v>538</v>
      </c>
      <c r="AU179">
        <f t="shared" si="24"/>
        <v>1011</v>
      </c>
      <c r="AV179" s="29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0.075</v>
      </c>
      <c r="AW179" s="29" cm="1">
        <f t="array" ref="AW179">$G$11+VLOOKUP($R179,武学奇术!$A:$ZZ,10,FALSE)+SUM(_xlfn.XLOOKUP(S179:AG179,增益!$A:$A,增益!$J:$J,0))</f>
        <v>0.15</v>
      </c>
      <c r="AX179">
        <f t="shared" si="25"/>
        <v>0</v>
      </c>
      <c r="AY179">
        <f t="shared" si="26"/>
        <v>0</v>
      </c>
      <c r="AZ179" s="29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29" cm="1">
        <f t="array" ref="BA179">$G$12+VLOOKUP($R179,武学奇术!$A:$ZZ,12,FALSE)+SUM(_xlfn.XLOOKUP(S179:AG179,增益!$A:$A,增益!$L:$L,0))</f>
        <v>0</v>
      </c>
      <c r="BB179">
        <f t="shared" si="27"/>
        <v>0</v>
      </c>
      <c r="BC179">
        <f t="shared" si="28"/>
        <v>0</v>
      </c>
      <c r="BD179" s="29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29" cm="1">
        <f t="array" ref="BE179">$G$13+VLOOKUP($R179,武学奇术!$A:$ZZ,14,FALSE)+SUM(_xlfn.XLOOKUP(S179:AG179,增益!$A:$A,增益!$N:$N,0))</f>
        <v>0</v>
      </c>
      <c r="BF179">
        <f t="shared" si="29"/>
        <v>0</v>
      </c>
      <c r="BG179">
        <f t="shared" si="30"/>
        <v>0</v>
      </c>
      <c r="BH179" s="29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29" cm="1">
        <f t="array" ref="BI179">$G$14+VLOOKUP($R179,武学奇术!$A:$ZZ,16,FALSE)+SUM(_xlfn.XLOOKUP(S179:AG179,增益!$A:$A,增益!$P:$P,0))</f>
        <v>0</v>
      </c>
      <c r="BJ179" s="20">
        <f>MIN(IF(VLOOKUP($R179,武学奇术!$A:$ZZ,23,FALSE)=1,100%,$B$8),100%)</f>
        <v>0.8271</v>
      </c>
      <c r="BK179" s="20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0.2249</v>
      </c>
      <c r="BL179" s="20" cm="1">
        <f t="array" ref="BL179">1+$B$13+VLOOKUP($R179,武学奇术!$A:$ZZ,18,FALSE)+SUM(_xlfn.XLOOKUP(S179:AG179,增益!$A:$A,增益!$R:$R,0))</f>
        <v>1.5</v>
      </c>
      <c r="BM179" s="20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0.4459</v>
      </c>
      <c r="BN179" s="20" cm="1">
        <f t="array" ref="BN179">1+$B$14+VLOOKUP($R179,武学奇术!$A:$ZZ,20,FALSE)+SUM(_xlfn.XLOOKUP(S179:AG179,增益!$A:$A,增益!$T:$T,0))</f>
        <v>1.732</v>
      </c>
      <c r="BO179" s="20">
        <f t="shared" si="31"/>
        <v>0.18601479</v>
      </c>
      <c r="BP179" s="20">
        <f t="shared" si="32"/>
        <v>0.27228132</v>
      </c>
      <c r="BQ179" s="20">
        <f>IF(VLOOKUP($R179,武学奇术!$A:$ZZ,22,FALSE)=1,0,(1-$BJ179))*(1-$BM179)</f>
        <v>0.09580389</v>
      </c>
      <c r="BR179" s="20" cm="1">
        <f t="array" ref="BR179">SUM(_xlfn.XLOOKUP(S179:AG179,增益!$A:$A,增益!$W:$W,0))+$I$5</f>
        <v>0.11</v>
      </c>
    </row>
    <row r="180" spans="11:70">
      <c r="K180" s="27">
        <f>$L180*VLOOKUP($R180,武学奇术!$A:$ZZ,31,FALSE)</f>
        <v>6640.98003827786</v>
      </c>
      <c r="L180" s="27">
        <f t="shared" si="22"/>
        <v>11068.3000637964</v>
      </c>
      <c r="M180" s="27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9246.20726917944</v>
      </c>
      <c r="N180" s="27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16613.2238504262</v>
      </c>
      <c r="O180" s="27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6164.13817945296</v>
      </c>
      <c r="P180" s="27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2736.34572932961</v>
      </c>
      <c r="Q180" s="35">
        <v>1</v>
      </c>
      <c r="R180" s="36" t="s">
        <v>163</v>
      </c>
      <c r="S180" s="36" t="s">
        <v>71</v>
      </c>
      <c r="T180" s="36" t="s">
        <v>99</v>
      </c>
      <c r="U180" s="36" t="s">
        <v>100</v>
      </c>
      <c r="V180" s="36" t="s">
        <v>71</v>
      </c>
      <c r="W180" s="36" t="s">
        <v>111</v>
      </c>
      <c r="X180" s="36" t="s">
        <v>71</v>
      </c>
      <c r="Y180" s="36" t="s">
        <v>71</v>
      </c>
      <c r="Z180" s="36" t="s">
        <v>71</v>
      </c>
      <c r="AA180" s="36" t="s">
        <v>71</v>
      </c>
      <c r="AB180" s="36" t="s">
        <v>71</v>
      </c>
      <c r="AC180" s="36" t="s">
        <v>71</v>
      </c>
      <c r="AD180" s="36" t="s">
        <v>72</v>
      </c>
      <c r="AE180" s="36" t="s">
        <v>94</v>
      </c>
      <c r="AF180" s="36" t="s">
        <v>134</v>
      </c>
      <c r="AG180" s="36" t="s">
        <v>120</v>
      </c>
      <c r="AH180" t="str">
        <f>VLOOKUP($R180,武学奇术!$A:$ZZ,25,FALSE)</f>
        <v>剑</v>
      </c>
      <c r="AI180" s="20">
        <f>VLOOKUP($R180,武学奇术!$A:$ZZ,26,FALSE)</f>
        <v>0.27456</v>
      </c>
      <c r="AJ180" s="21">
        <f>VLOOKUP($R180,武学奇术!$A:$ZZ,27,FALSE)*(1+IF(OR($AH180=$F$4,$AH180=$F$5),$B$22,0))</f>
        <v>0</v>
      </c>
      <c r="AK180" s="20">
        <f>VLOOKUP($R180,武学奇术!$A:$ZZ,28,FALSE)</f>
        <v>0.41184</v>
      </c>
      <c r="AL180" s="21">
        <f>VLOOKUP($R180,武学奇术!$A:$ZZ,29,FALSE)*(1+IF(OR($AH180=$F$4,$AH180=$F$5),$B$22,0))</f>
        <v>0</v>
      </c>
      <c r="AM180" s="20" cm="1">
        <f t="array" ref="AM180">$G$3+IFERROR(VLOOKUP($AH180,$F$4:$G$7,2,FALSE),0)+VLOOKUP($R180,武学奇术!$A:$ZZ,2,FALSE)+SUM(_xlfn.XLOOKUP($S180:$AG180,增益!$A:$A,增益!$B:$B,0))</f>
        <v>1.2391</v>
      </c>
      <c r="AN180" s="20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1548.52</v>
      </c>
      <c r="AP180" cm="1">
        <f t="array" ref="AP180">$E$10*(1+$AN180)+VLOOKUP($R180,武学奇术!$A:$ZZ,4,FALSE)+SUM(_xlfn.XLOOKUP($S180:$AG180,增益!$A:$A,增益!$D:$D,0))-$I$2</f>
        <v>6659.56</v>
      </c>
      <c r="AQ180" s="29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0.3175</v>
      </c>
      <c r="AR180" s="29" cm="1">
        <f t="array" ref="AR180">$G$10+VLOOKUP($R180,武学奇术!$A:$ZZ,7,FALSE)+SUM(_xlfn.XLOOKUP(S180:AG180,增益!$A:$A,增益!$G:$G,0))</f>
        <v>0</v>
      </c>
      <c r="AS180" s="20" cm="1">
        <f t="array" ref="AS180">VLOOKUP($R180,武学奇术!$A:$ZZ,8,FALSE)+SUM(_xlfn.XLOOKUP(S180:AG180,增益!$A:$A,增益!$H:$H,0))</f>
        <v>0</v>
      </c>
      <c r="AT180">
        <f t="shared" si="23"/>
        <v>538</v>
      </c>
      <c r="AU180">
        <f t="shared" si="24"/>
        <v>1011</v>
      </c>
      <c r="AV180" s="29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0.075</v>
      </c>
      <c r="AW180" s="29" cm="1">
        <f t="array" ref="AW180">$G$11+VLOOKUP($R180,武学奇术!$A:$ZZ,10,FALSE)+SUM(_xlfn.XLOOKUP(S180:AG180,增益!$A:$A,增益!$J:$J,0))</f>
        <v>0.15</v>
      </c>
      <c r="AX180">
        <f t="shared" si="25"/>
        <v>0</v>
      </c>
      <c r="AY180">
        <f t="shared" si="26"/>
        <v>0</v>
      </c>
      <c r="AZ180" s="29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29" cm="1">
        <f t="array" ref="BA180">$G$12+VLOOKUP($R180,武学奇术!$A:$ZZ,12,FALSE)+SUM(_xlfn.XLOOKUP(S180:AG180,增益!$A:$A,增益!$L:$L,0))</f>
        <v>0</v>
      </c>
      <c r="BB180">
        <f t="shared" si="27"/>
        <v>0</v>
      </c>
      <c r="BC180">
        <f t="shared" si="28"/>
        <v>0</v>
      </c>
      <c r="BD180" s="29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29" cm="1">
        <f t="array" ref="BE180">$G$13+VLOOKUP($R180,武学奇术!$A:$ZZ,14,FALSE)+SUM(_xlfn.XLOOKUP(S180:AG180,增益!$A:$A,增益!$N:$N,0))</f>
        <v>0</v>
      </c>
      <c r="BF180">
        <f t="shared" si="29"/>
        <v>0</v>
      </c>
      <c r="BG180">
        <f t="shared" si="30"/>
        <v>0</v>
      </c>
      <c r="BH180" s="29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29" cm="1">
        <f t="array" ref="BI180">$G$14+VLOOKUP($R180,武学奇术!$A:$ZZ,16,FALSE)+SUM(_xlfn.XLOOKUP(S180:AG180,增益!$A:$A,增益!$P:$P,0))</f>
        <v>0</v>
      </c>
      <c r="BJ180" s="20">
        <f>MIN(IF(VLOOKUP($R180,武学奇术!$A:$ZZ,23,FALSE)=1,100%,$B$8),100%)</f>
        <v>0.8271</v>
      </c>
      <c r="BK180" s="20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0.2249</v>
      </c>
      <c r="BL180" s="20" cm="1">
        <f t="array" ref="BL180">1+$B$13+VLOOKUP($R180,武学奇术!$A:$ZZ,18,FALSE)+SUM(_xlfn.XLOOKUP(S180:AG180,增益!$A:$A,增益!$R:$R,0))</f>
        <v>1.5</v>
      </c>
      <c r="BM180" s="20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0.4459</v>
      </c>
      <c r="BN180" s="20" cm="1">
        <f t="array" ref="BN180">1+$B$14+VLOOKUP($R180,武学奇术!$A:$ZZ,20,FALSE)+SUM(_xlfn.XLOOKUP(S180:AG180,增益!$A:$A,增益!$T:$T,0))</f>
        <v>1.732</v>
      </c>
      <c r="BO180" s="20">
        <f t="shared" si="31"/>
        <v>0.18601479</v>
      </c>
      <c r="BP180" s="20">
        <f t="shared" si="32"/>
        <v>0.27228132</v>
      </c>
      <c r="BQ180" s="20">
        <f>IF(VLOOKUP($R180,武学奇术!$A:$ZZ,22,FALSE)=1,0,(1-$BJ180))*(1-$BM180)</f>
        <v>0.09580389</v>
      </c>
      <c r="BR180" s="20" cm="1">
        <f t="array" ref="BR180">SUM(_xlfn.XLOOKUP(S180:AG180,增益!$A:$A,增益!$W:$W,0))+$I$5</f>
        <v>0.11</v>
      </c>
    </row>
    <row r="181" spans="11:70">
      <c r="K181" s="27">
        <f>$L181*VLOOKUP($R181,武学奇术!$A:$ZZ,31,FALSE)</f>
        <v>6666.64228948422</v>
      </c>
      <c r="L181" s="27">
        <f t="shared" si="22"/>
        <v>11111.0704824737</v>
      </c>
      <c r="M181" s="27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9246.20726917944</v>
      </c>
      <c r="N181" s="27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16709.1431567219</v>
      </c>
      <c r="O181" s="27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6164.13817945296</v>
      </c>
      <c r="P181" s="27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2736.34572932961</v>
      </c>
      <c r="Q181" s="35">
        <v>1</v>
      </c>
      <c r="R181" s="36" t="s">
        <v>163</v>
      </c>
      <c r="S181" s="36" t="s">
        <v>71</v>
      </c>
      <c r="T181" s="36" t="s">
        <v>99</v>
      </c>
      <c r="U181" s="36" t="s">
        <v>100</v>
      </c>
      <c r="V181" s="36" t="s">
        <v>71</v>
      </c>
      <c r="W181" s="36" t="s">
        <v>111</v>
      </c>
      <c r="X181" s="36" t="s">
        <v>71</v>
      </c>
      <c r="Y181" s="36" t="s">
        <v>71</v>
      </c>
      <c r="Z181" s="36" t="s">
        <v>71</v>
      </c>
      <c r="AA181" s="36" t="s">
        <v>71</v>
      </c>
      <c r="AB181" s="36" t="s">
        <v>71</v>
      </c>
      <c r="AC181" s="36" t="s">
        <v>71</v>
      </c>
      <c r="AD181" s="36" t="s">
        <v>72</v>
      </c>
      <c r="AE181" s="36" t="s">
        <v>94</v>
      </c>
      <c r="AF181" s="36" t="s">
        <v>145</v>
      </c>
      <c r="AG181" s="36" t="s">
        <v>120</v>
      </c>
      <c r="AH181" t="str">
        <f>VLOOKUP($R181,武学奇术!$A:$ZZ,25,FALSE)</f>
        <v>剑</v>
      </c>
      <c r="AI181" s="20">
        <f>VLOOKUP($R181,武学奇术!$A:$ZZ,26,FALSE)</f>
        <v>0.27456</v>
      </c>
      <c r="AJ181" s="21">
        <f>VLOOKUP($R181,武学奇术!$A:$ZZ,27,FALSE)*(1+IF(OR($AH181=$F$4,$AH181=$F$5),$B$22,0))</f>
        <v>0</v>
      </c>
      <c r="AK181" s="20">
        <f>VLOOKUP($R181,武学奇术!$A:$ZZ,28,FALSE)</f>
        <v>0.41184</v>
      </c>
      <c r="AL181" s="21">
        <f>VLOOKUP($R181,武学奇术!$A:$ZZ,29,FALSE)*(1+IF(OR($AH181=$F$4,$AH181=$F$5),$B$22,0))</f>
        <v>0</v>
      </c>
      <c r="AM181" s="20" cm="1">
        <f t="array" ref="AM181">$G$3+IFERROR(VLOOKUP($AH181,$F$4:$G$7,2,FALSE),0)+VLOOKUP($R181,武学奇术!$A:$ZZ,2,FALSE)+SUM(_xlfn.XLOOKUP($S181:$AG181,增益!$A:$A,增益!$B:$B,0))</f>
        <v>1.2391</v>
      </c>
      <c r="AN181" s="20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1548.52</v>
      </c>
      <c r="AP181" cm="1">
        <f t="array" ref="AP181">$E$10*(1+$AN181)+VLOOKUP($R181,武学奇术!$A:$ZZ,4,FALSE)+SUM(_xlfn.XLOOKUP($S181:$AG181,增益!$A:$A,增益!$D:$D,0))-$I$2</f>
        <v>6659.56</v>
      </c>
      <c r="AQ181" s="29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0.3175</v>
      </c>
      <c r="AR181" s="29" cm="1">
        <f t="array" ref="AR181">$G$10+VLOOKUP($R181,武学奇术!$A:$ZZ,7,FALSE)+SUM(_xlfn.XLOOKUP(S181:AG181,增益!$A:$A,增益!$G:$G,0))</f>
        <v>0</v>
      </c>
      <c r="AS181" s="20" cm="1">
        <f t="array" ref="AS181">VLOOKUP($R181,武学奇术!$A:$ZZ,8,FALSE)+SUM(_xlfn.XLOOKUP(S181:AG181,增益!$A:$A,增益!$H:$H,0))</f>
        <v>0</v>
      </c>
      <c r="AT181">
        <f t="shared" si="23"/>
        <v>538</v>
      </c>
      <c r="AU181">
        <f t="shared" si="24"/>
        <v>1011</v>
      </c>
      <c r="AV181" s="29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0.075</v>
      </c>
      <c r="AW181" s="29" cm="1">
        <f t="array" ref="AW181">$G$11+VLOOKUP($R181,武学奇术!$A:$ZZ,10,FALSE)+SUM(_xlfn.XLOOKUP(S181:AG181,增益!$A:$A,增益!$J:$J,0))</f>
        <v>0.15</v>
      </c>
      <c r="AX181">
        <f t="shared" si="25"/>
        <v>0</v>
      </c>
      <c r="AY181">
        <f t="shared" si="26"/>
        <v>0</v>
      </c>
      <c r="AZ181" s="29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29" cm="1">
        <f t="array" ref="BA181">$G$12+VLOOKUP($R181,武学奇术!$A:$ZZ,12,FALSE)+SUM(_xlfn.XLOOKUP(S181:AG181,增益!$A:$A,增益!$L:$L,0))</f>
        <v>0</v>
      </c>
      <c r="BB181">
        <f t="shared" si="27"/>
        <v>0</v>
      </c>
      <c r="BC181">
        <f t="shared" si="28"/>
        <v>0</v>
      </c>
      <c r="BD181" s="29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29" cm="1">
        <f t="array" ref="BE181">$G$13+VLOOKUP($R181,武学奇术!$A:$ZZ,14,FALSE)+SUM(_xlfn.XLOOKUP(S181:AG181,增益!$A:$A,增益!$N:$N,0))</f>
        <v>0</v>
      </c>
      <c r="BF181">
        <f t="shared" si="29"/>
        <v>0</v>
      </c>
      <c r="BG181">
        <f t="shared" si="30"/>
        <v>0</v>
      </c>
      <c r="BH181" s="29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29" cm="1">
        <f t="array" ref="BI181">$G$14+VLOOKUP($R181,武学奇术!$A:$ZZ,16,FALSE)+SUM(_xlfn.XLOOKUP(S181:AG181,增益!$A:$A,增益!$P:$P,0))</f>
        <v>0</v>
      </c>
      <c r="BJ181" s="20">
        <f>MIN(IF(VLOOKUP($R181,武学奇术!$A:$ZZ,23,FALSE)=1,100%,$B$8),100%)</f>
        <v>0.8271</v>
      </c>
      <c r="BK181" s="20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0.2249</v>
      </c>
      <c r="BL181" s="20" cm="1">
        <f t="array" ref="BL181">1+$B$13+VLOOKUP($R181,武学奇术!$A:$ZZ,18,FALSE)+SUM(_xlfn.XLOOKUP(S181:AG181,增益!$A:$A,增益!$R:$R,0))</f>
        <v>1.5</v>
      </c>
      <c r="BM181" s="20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0.4459</v>
      </c>
      <c r="BN181" s="20" cm="1">
        <f t="array" ref="BN181">1+$B$14+VLOOKUP($R181,武学奇术!$A:$ZZ,20,FALSE)+SUM(_xlfn.XLOOKUP(S181:AG181,增益!$A:$A,增益!$T:$T,0))</f>
        <v>1.742</v>
      </c>
      <c r="BO181" s="20">
        <f t="shared" si="31"/>
        <v>0.18601479</v>
      </c>
      <c r="BP181" s="20">
        <f t="shared" si="32"/>
        <v>0.27228132</v>
      </c>
      <c r="BQ181" s="20">
        <f>IF(VLOOKUP($R181,武学奇术!$A:$ZZ,22,FALSE)=1,0,(1-$BJ181))*(1-$BM181)</f>
        <v>0.09580389</v>
      </c>
      <c r="BR181" s="20" cm="1">
        <f t="array" ref="BR181">SUM(_xlfn.XLOOKUP(S181:AG181,增益!$A:$A,增益!$W:$W,0))+$I$5</f>
        <v>0.11</v>
      </c>
    </row>
    <row r="182" spans="11:70">
      <c r="K182" s="27">
        <f>$L182*VLOOKUP($R182,武学奇术!$A:$ZZ,31,FALSE)</f>
        <v>6666.64228948422</v>
      </c>
      <c r="L182" s="27">
        <f t="shared" si="22"/>
        <v>11111.0704824737</v>
      </c>
      <c r="M182" s="27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9246.20726917944</v>
      </c>
      <c r="N182" s="27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16709.1431567219</v>
      </c>
      <c r="O182" s="27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6164.13817945296</v>
      </c>
      <c r="P182" s="27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2736.34572932961</v>
      </c>
      <c r="Q182" s="35">
        <v>1</v>
      </c>
      <c r="R182" s="36" t="s">
        <v>163</v>
      </c>
      <c r="S182" s="36" t="s">
        <v>71</v>
      </c>
      <c r="T182" s="36" t="s">
        <v>99</v>
      </c>
      <c r="U182" s="36" t="s">
        <v>100</v>
      </c>
      <c r="V182" s="36" t="s">
        <v>71</v>
      </c>
      <c r="W182" s="36" t="s">
        <v>111</v>
      </c>
      <c r="X182" s="36" t="s">
        <v>71</v>
      </c>
      <c r="Y182" s="36" t="s">
        <v>71</v>
      </c>
      <c r="Z182" s="36" t="s">
        <v>71</v>
      </c>
      <c r="AA182" s="36" t="s">
        <v>71</v>
      </c>
      <c r="AB182" s="36" t="s">
        <v>71</v>
      </c>
      <c r="AC182" s="36" t="s">
        <v>71</v>
      </c>
      <c r="AD182" s="36" t="s">
        <v>72</v>
      </c>
      <c r="AE182" s="36" t="s">
        <v>94</v>
      </c>
      <c r="AF182" s="36" t="s">
        <v>145</v>
      </c>
      <c r="AG182" s="36" t="s">
        <v>120</v>
      </c>
      <c r="AH182" t="str">
        <f>VLOOKUP($R182,武学奇术!$A:$ZZ,25,FALSE)</f>
        <v>剑</v>
      </c>
      <c r="AI182" s="20">
        <f>VLOOKUP($R182,武学奇术!$A:$ZZ,26,FALSE)</f>
        <v>0.27456</v>
      </c>
      <c r="AJ182" s="21">
        <f>VLOOKUP($R182,武学奇术!$A:$ZZ,27,FALSE)*(1+IF(OR($AH182=$F$4,$AH182=$F$5),$B$22,0))</f>
        <v>0</v>
      </c>
      <c r="AK182" s="20">
        <f>VLOOKUP($R182,武学奇术!$A:$ZZ,28,FALSE)</f>
        <v>0.41184</v>
      </c>
      <c r="AL182" s="21">
        <f>VLOOKUP($R182,武学奇术!$A:$ZZ,29,FALSE)*(1+IF(OR($AH182=$F$4,$AH182=$F$5),$B$22,0))</f>
        <v>0</v>
      </c>
      <c r="AM182" s="20" cm="1">
        <f t="array" ref="AM182">$G$3+IFERROR(VLOOKUP($AH182,$F$4:$G$7,2,FALSE),0)+VLOOKUP($R182,武学奇术!$A:$ZZ,2,FALSE)+SUM(_xlfn.XLOOKUP($S182:$AG182,增益!$A:$A,增益!$B:$B,0))</f>
        <v>1.2391</v>
      </c>
      <c r="AN182" s="20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1548.52</v>
      </c>
      <c r="AP182" cm="1">
        <f t="array" ref="AP182">$E$10*(1+$AN182)+VLOOKUP($R182,武学奇术!$A:$ZZ,4,FALSE)+SUM(_xlfn.XLOOKUP($S182:$AG182,增益!$A:$A,增益!$D:$D,0))-$I$2</f>
        <v>6659.56</v>
      </c>
      <c r="AQ182" s="29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0.3175</v>
      </c>
      <c r="AR182" s="29" cm="1">
        <f t="array" ref="AR182">$G$10+VLOOKUP($R182,武学奇术!$A:$ZZ,7,FALSE)+SUM(_xlfn.XLOOKUP(S182:AG182,增益!$A:$A,增益!$G:$G,0))</f>
        <v>0</v>
      </c>
      <c r="AS182" s="20" cm="1">
        <f t="array" ref="AS182">VLOOKUP($R182,武学奇术!$A:$ZZ,8,FALSE)+SUM(_xlfn.XLOOKUP(S182:AG182,增益!$A:$A,增益!$H:$H,0))</f>
        <v>0</v>
      </c>
      <c r="AT182">
        <f t="shared" si="23"/>
        <v>538</v>
      </c>
      <c r="AU182">
        <f t="shared" si="24"/>
        <v>1011</v>
      </c>
      <c r="AV182" s="29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0.075</v>
      </c>
      <c r="AW182" s="29" cm="1">
        <f t="array" ref="AW182">$G$11+VLOOKUP($R182,武学奇术!$A:$ZZ,10,FALSE)+SUM(_xlfn.XLOOKUP(S182:AG182,增益!$A:$A,增益!$J:$J,0))</f>
        <v>0.15</v>
      </c>
      <c r="AX182">
        <f t="shared" si="25"/>
        <v>0</v>
      </c>
      <c r="AY182">
        <f t="shared" si="26"/>
        <v>0</v>
      </c>
      <c r="AZ182" s="29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29" cm="1">
        <f t="array" ref="BA182">$G$12+VLOOKUP($R182,武学奇术!$A:$ZZ,12,FALSE)+SUM(_xlfn.XLOOKUP(S182:AG182,增益!$A:$A,增益!$L:$L,0))</f>
        <v>0</v>
      </c>
      <c r="BB182">
        <f t="shared" si="27"/>
        <v>0</v>
      </c>
      <c r="BC182">
        <f t="shared" si="28"/>
        <v>0</v>
      </c>
      <c r="BD182" s="29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29" cm="1">
        <f t="array" ref="BE182">$G$13+VLOOKUP($R182,武学奇术!$A:$ZZ,14,FALSE)+SUM(_xlfn.XLOOKUP(S182:AG182,增益!$A:$A,增益!$N:$N,0))</f>
        <v>0</v>
      </c>
      <c r="BF182">
        <f t="shared" si="29"/>
        <v>0</v>
      </c>
      <c r="BG182">
        <f t="shared" si="30"/>
        <v>0</v>
      </c>
      <c r="BH182" s="29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29" cm="1">
        <f t="array" ref="BI182">$G$14+VLOOKUP($R182,武学奇术!$A:$ZZ,16,FALSE)+SUM(_xlfn.XLOOKUP(S182:AG182,增益!$A:$A,增益!$P:$P,0))</f>
        <v>0</v>
      </c>
      <c r="BJ182" s="20">
        <f>MIN(IF(VLOOKUP($R182,武学奇术!$A:$ZZ,23,FALSE)=1,100%,$B$8),100%)</f>
        <v>0.8271</v>
      </c>
      <c r="BK182" s="20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0.2249</v>
      </c>
      <c r="BL182" s="20" cm="1">
        <f t="array" ref="BL182">1+$B$13+VLOOKUP($R182,武学奇术!$A:$ZZ,18,FALSE)+SUM(_xlfn.XLOOKUP(S182:AG182,增益!$A:$A,增益!$R:$R,0))</f>
        <v>1.5</v>
      </c>
      <c r="BM182" s="20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0.4459</v>
      </c>
      <c r="BN182" s="20" cm="1">
        <f t="array" ref="BN182">1+$B$14+VLOOKUP($R182,武学奇术!$A:$ZZ,20,FALSE)+SUM(_xlfn.XLOOKUP(S182:AG182,增益!$A:$A,增益!$T:$T,0))</f>
        <v>1.742</v>
      </c>
      <c r="BO182" s="20">
        <f t="shared" si="31"/>
        <v>0.18601479</v>
      </c>
      <c r="BP182" s="20">
        <f t="shared" si="32"/>
        <v>0.27228132</v>
      </c>
      <c r="BQ182" s="20">
        <f>IF(VLOOKUP($R182,武学奇术!$A:$ZZ,22,FALSE)=1,0,(1-$BJ182))*(1-$BM182)</f>
        <v>0.09580389</v>
      </c>
      <c r="BR182" s="20" cm="1">
        <f t="array" ref="BR182">SUM(_xlfn.XLOOKUP(S182:AG182,增益!$A:$A,增益!$W:$W,0))+$I$5</f>
        <v>0.11</v>
      </c>
    </row>
    <row r="183" spans="11:70">
      <c r="K183" s="27">
        <f>$L183*VLOOKUP($R183,武学奇术!$A:$ZZ,31,FALSE)</f>
        <v>6666.64228948422</v>
      </c>
      <c r="L183" s="27">
        <f t="shared" si="22"/>
        <v>11111.0704824737</v>
      </c>
      <c r="M183" s="27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9246.20726917944</v>
      </c>
      <c r="N183" s="27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16709.1431567219</v>
      </c>
      <c r="O183" s="27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6164.13817945296</v>
      </c>
      <c r="P183" s="27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2736.34572932961</v>
      </c>
      <c r="Q183" s="35">
        <v>1</v>
      </c>
      <c r="R183" s="36" t="s">
        <v>163</v>
      </c>
      <c r="S183" s="36" t="s">
        <v>71</v>
      </c>
      <c r="T183" s="36" t="s">
        <v>99</v>
      </c>
      <c r="U183" s="36" t="s">
        <v>100</v>
      </c>
      <c r="V183" s="36" t="s">
        <v>71</v>
      </c>
      <c r="W183" s="36" t="s">
        <v>111</v>
      </c>
      <c r="X183" s="36" t="s">
        <v>71</v>
      </c>
      <c r="Y183" s="36" t="s">
        <v>71</v>
      </c>
      <c r="Z183" s="36" t="s">
        <v>71</v>
      </c>
      <c r="AA183" s="36" t="s">
        <v>71</v>
      </c>
      <c r="AB183" s="36" t="s">
        <v>71</v>
      </c>
      <c r="AC183" s="36" t="s">
        <v>71</v>
      </c>
      <c r="AD183" s="36" t="s">
        <v>72</v>
      </c>
      <c r="AE183" s="36" t="s">
        <v>94</v>
      </c>
      <c r="AF183" s="36" t="s">
        <v>145</v>
      </c>
      <c r="AG183" s="36" t="s">
        <v>120</v>
      </c>
      <c r="AH183" t="str">
        <f>VLOOKUP($R183,武学奇术!$A:$ZZ,25,FALSE)</f>
        <v>剑</v>
      </c>
      <c r="AI183" s="20">
        <f>VLOOKUP($R183,武学奇术!$A:$ZZ,26,FALSE)</f>
        <v>0.27456</v>
      </c>
      <c r="AJ183" s="21">
        <f>VLOOKUP($R183,武学奇术!$A:$ZZ,27,FALSE)*(1+IF(OR($AH183=$F$4,$AH183=$F$5),$B$22,0))</f>
        <v>0</v>
      </c>
      <c r="AK183" s="20">
        <f>VLOOKUP($R183,武学奇术!$A:$ZZ,28,FALSE)</f>
        <v>0.41184</v>
      </c>
      <c r="AL183" s="21">
        <f>VLOOKUP($R183,武学奇术!$A:$ZZ,29,FALSE)*(1+IF(OR($AH183=$F$4,$AH183=$F$5),$B$22,0))</f>
        <v>0</v>
      </c>
      <c r="AM183" s="20" cm="1">
        <f t="array" ref="AM183">$G$3+IFERROR(VLOOKUP($AH183,$F$4:$G$7,2,FALSE),0)+VLOOKUP($R183,武学奇术!$A:$ZZ,2,FALSE)+SUM(_xlfn.XLOOKUP($S183:$AG183,增益!$A:$A,增益!$B:$B,0))</f>
        <v>1.2391</v>
      </c>
      <c r="AN183" s="20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1548.52</v>
      </c>
      <c r="AP183" cm="1">
        <f t="array" ref="AP183">$E$10*(1+$AN183)+VLOOKUP($R183,武学奇术!$A:$ZZ,4,FALSE)+SUM(_xlfn.XLOOKUP($S183:$AG183,增益!$A:$A,增益!$D:$D,0))-$I$2</f>
        <v>6659.56</v>
      </c>
      <c r="AQ183" s="29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0.3175</v>
      </c>
      <c r="AR183" s="29" cm="1">
        <f t="array" ref="AR183">$G$10+VLOOKUP($R183,武学奇术!$A:$ZZ,7,FALSE)+SUM(_xlfn.XLOOKUP(S183:AG183,增益!$A:$A,增益!$G:$G,0))</f>
        <v>0</v>
      </c>
      <c r="AS183" s="20" cm="1">
        <f t="array" ref="AS183">VLOOKUP($R183,武学奇术!$A:$ZZ,8,FALSE)+SUM(_xlfn.XLOOKUP(S183:AG183,增益!$A:$A,增益!$H:$H,0))</f>
        <v>0</v>
      </c>
      <c r="AT183">
        <f t="shared" si="23"/>
        <v>538</v>
      </c>
      <c r="AU183">
        <f t="shared" si="24"/>
        <v>1011</v>
      </c>
      <c r="AV183" s="29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0.075</v>
      </c>
      <c r="AW183" s="29" cm="1">
        <f t="array" ref="AW183">$G$11+VLOOKUP($R183,武学奇术!$A:$ZZ,10,FALSE)+SUM(_xlfn.XLOOKUP(S183:AG183,增益!$A:$A,增益!$J:$J,0))</f>
        <v>0.15</v>
      </c>
      <c r="AX183">
        <f t="shared" si="25"/>
        <v>0</v>
      </c>
      <c r="AY183">
        <f t="shared" si="26"/>
        <v>0</v>
      </c>
      <c r="AZ183" s="29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29" cm="1">
        <f t="array" ref="BA183">$G$12+VLOOKUP($R183,武学奇术!$A:$ZZ,12,FALSE)+SUM(_xlfn.XLOOKUP(S183:AG183,增益!$A:$A,增益!$L:$L,0))</f>
        <v>0</v>
      </c>
      <c r="BB183">
        <f t="shared" si="27"/>
        <v>0</v>
      </c>
      <c r="BC183">
        <f t="shared" si="28"/>
        <v>0</v>
      </c>
      <c r="BD183" s="29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29" cm="1">
        <f t="array" ref="BE183">$G$13+VLOOKUP($R183,武学奇术!$A:$ZZ,14,FALSE)+SUM(_xlfn.XLOOKUP(S183:AG183,增益!$A:$A,增益!$N:$N,0))</f>
        <v>0</v>
      </c>
      <c r="BF183">
        <f t="shared" si="29"/>
        <v>0</v>
      </c>
      <c r="BG183">
        <f t="shared" si="30"/>
        <v>0</v>
      </c>
      <c r="BH183" s="29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29" cm="1">
        <f t="array" ref="BI183">$G$14+VLOOKUP($R183,武学奇术!$A:$ZZ,16,FALSE)+SUM(_xlfn.XLOOKUP(S183:AG183,增益!$A:$A,增益!$P:$P,0))</f>
        <v>0</v>
      </c>
      <c r="BJ183" s="20">
        <f>MIN(IF(VLOOKUP($R183,武学奇术!$A:$ZZ,23,FALSE)=1,100%,$B$8),100%)</f>
        <v>0.8271</v>
      </c>
      <c r="BK183" s="20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0.2249</v>
      </c>
      <c r="BL183" s="20" cm="1">
        <f t="array" ref="BL183">1+$B$13+VLOOKUP($R183,武学奇术!$A:$ZZ,18,FALSE)+SUM(_xlfn.XLOOKUP(S183:AG183,增益!$A:$A,增益!$R:$R,0))</f>
        <v>1.5</v>
      </c>
      <c r="BM183" s="20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0.4459</v>
      </c>
      <c r="BN183" s="20" cm="1">
        <f t="array" ref="BN183">1+$B$14+VLOOKUP($R183,武学奇术!$A:$ZZ,20,FALSE)+SUM(_xlfn.XLOOKUP(S183:AG183,增益!$A:$A,增益!$T:$T,0))</f>
        <v>1.742</v>
      </c>
      <c r="BO183" s="20">
        <f t="shared" si="31"/>
        <v>0.18601479</v>
      </c>
      <c r="BP183" s="20">
        <f t="shared" si="32"/>
        <v>0.27228132</v>
      </c>
      <c r="BQ183" s="20">
        <f>IF(VLOOKUP($R183,武学奇术!$A:$ZZ,22,FALSE)=1,0,(1-$BJ183))*(1-$BM183)</f>
        <v>0.09580389</v>
      </c>
      <c r="BR183" s="20" cm="1">
        <f t="array" ref="BR183">SUM(_xlfn.XLOOKUP(S183:AG183,增益!$A:$A,增益!$W:$W,0))+$I$5</f>
        <v>0.11</v>
      </c>
    </row>
    <row r="184" spans="11:70">
      <c r="K184" s="27">
        <f>$L184*VLOOKUP($R184,武学奇术!$A:$ZZ,31,FALSE)</f>
        <v>6660.77642415102</v>
      </c>
      <c r="L184" s="27">
        <f t="shared" si="22"/>
        <v>11101.2940402517</v>
      </c>
      <c r="M184" s="27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9191.02351494154</v>
      </c>
      <c r="N184" s="27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16740.6078380678</v>
      </c>
      <c r="O184" s="27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6127.34900996102</v>
      </c>
      <c r="P184" s="27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2699.55655983768</v>
      </c>
      <c r="Q184" s="35">
        <v>1</v>
      </c>
      <c r="R184" s="36" t="s">
        <v>163</v>
      </c>
      <c r="S184" s="36" t="s">
        <v>71</v>
      </c>
      <c r="T184" s="36" t="s">
        <v>99</v>
      </c>
      <c r="U184" s="36" t="s">
        <v>100</v>
      </c>
      <c r="V184" s="36" t="s">
        <v>71</v>
      </c>
      <c r="W184" s="36" t="s">
        <v>71</v>
      </c>
      <c r="X184" s="36" t="s">
        <v>71</v>
      </c>
      <c r="Y184" s="36" t="s">
        <v>71</v>
      </c>
      <c r="Z184" s="36" t="s">
        <v>71</v>
      </c>
      <c r="AA184" s="36" t="s">
        <v>71</v>
      </c>
      <c r="AB184" s="36" t="s">
        <v>71</v>
      </c>
      <c r="AC184" s="36" t="s">
        <v>71</v>
      </c>
      <c r="AD184" s="36" t="s">
        <v>72</v>
      </c>
      <c r="AE184" s="36" t="s">
        <v>94</v>
      </c>
      <c r="AF184" s="36" t="s">
        <v>147</v>
      </c>
      <c r="AG184" s="36" t="s">
        <v>120</v>
      </c>
      <c r="AH184" t="str">
        <f>VLOOKUP($R184,武学奇术!$A:$ZZ,25,FALSE)</f>
        <v>剑</v>
      </c>
      <c r="AI184" s="20">
        <f>VLOOKUP($R184,武学奇术!$A:$ZZ,26,FALSE)</f>
        <v>0.27456</v>
      </c>
      <c r="AJ184" s="21">
        <f>VLOOKUP($R184,武学奇术!$A:$ZZ,27,FALSE)*(1+IF(OR($AH184=$F$4,$AH184=$F$5),$B$22,0))</f>
        <v>0</v>
      </c>
      <c r="AK184" s="20">
        <f>VLOOKUP($R184,武学奇术!$A:$ZZ,28,FALSE)</f>
        <v>0.41184</v>
      </c>
      <c r="AL184" s="21">
        <f>VLOOKUP($R184,武学奇术!$A:$ZZ,29,FALSE)*(1+IF(OR($AH184=$F$4,$AH184=$F$5),$B$22,0))</f>
        <v>0</v>
      </c>
      <c r="AM184" s="20" cm="1">
        <f t="array" ref="AM184">$G$3+IFERROR(VLOOKUP($AH184,$F$4:$G$7,2,FALSE),0)+VLOOKUP($R184,武学奇术!$A:$ZZ,2,FALSE)+SUM(_xlfn.XLOOKUP($S184:$AG184,增益!$A:$A,增益!$B:$B,0))</f>
        <v>1.2391</v>
      </c>
      <c r="AN184" s="20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1517.52</v>
      </c>
      <c r="AP184" cm="1">
        <f t="array" ref="AP184">$E$10*(1+$AN184)+VLOOKUP($R184,武学奇术!$A:$ZZ,4,FALSE)+SUM(_xlfn.XLOOKUP($S184:$AG184,增益!$A:$A,增益!$D:$D,0))-$I$2</f>
        <v>6628.56</v>
      </c>
      <c r="AQ184" s="29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0.3175</v>
      </c>
      <c r="AR184" s="29" cm="1">
        <f t="array" ref="AR184">$G$10+VLOOKUP($R184,武学奇术!$A:$ZZ,7,FALSE)+SUM(_xlfn.XLOOKUP(S184:AG184,增益!$A:$A,增益!$G:$G,0))</f>
        <v>0</v>
      </c>
      <c r="AS184" s="20" cm="1">
        <f t="array" ref="AS184">VLOOKUP($R184,武学奇术!$A:$ZZ,8,FALSE)+SUM(_xlfn.XLOOKUP(S184:AG184,增益!$A:$A,增益!$H:$H,0))</f>
        <v>0</v>
      </c>
      <c r="AT184">
        <f t="shared" si="23"/>
        <v>538</v>
      </c>
      <c r="AU184">
        <f t="shared" si="24"/>
        <v>1011</v>
      </c>
      <c r="AV184" s="29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0.075</v>
      </c>
      <c r="AW184" s="29" cm="1">
        <f t="array" ref="AW184">$G$11+VLOOKUP($R184,武学奇术!$A:$ZZ,10,FALSE)+SUM(_xlfn.XLOOKUP(S184:AG184,增益!$A:$A,增益!$J:$J,0))</f>
        <v>0.15</v>
      </c>
      <c r="AX184">
        <f t="shared" si="25"/>
        <v>0</v>
      </c>
      <c r="AY184">
        <f t="shared" si="26"/>
        <v>0</v>
      </c>
      <c r="AZ184" s="29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29" cm="1">
        <f t="array" ref="BA184">$G$12+VLOOKUP($R184,武学奇术!$A:$ZZ,12,FALSE)+SUM(_xlfn.XLOOKUP(S184:AG184,增益!$A:$A,增益!$L:$L,0))</f>
        <v>0</v>
      </c>
      <c r="BB184">
        <f t="shared" si="27"/>
        <v>0</v>
      </c>
      <c r="BC184">
        <f t="shared" si="28"/>
        <v>0</v>
      </c>
      <c r="BD184" s="29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29" cm="1">
        <f t="array" ref="BE184">$G$13+VLOOKUP($R184,武学奇术!$A:$ZZ,14,FALSE)+SUM(_xlfn.XLOOKUP(S184:AG184,增益!$A:$A,增益!$N:$N,0))</f>
        <v>0</v>
      </c>
      <c r="BF184">
        <f t="shared" si="29"/>
        <v>0</v>
      </c>
      <c r="BG184">
        <f t="shared" si="30"/>
        <v>0</v>
      </c>
      <c r="BH184" s="29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29" cm="1">
        <f t="array" ref="BI184">$G$14+VLOOKUP($R184,武学奇术!$A:$ZZ,16,FALSE)+SUM(_xlfn.XLOOKUP(S184:AG184,增益!$A:$A,增益!$P:$P,0))</f>
        <v>0</v>
      </c>
      <c r="BJ184" s="20">
        <f>MIN(IF(VLOOKUP($R184,武学奇术!$A:$ZZ,23,FALSE)=1,100%,$B$8),100%)</f>
        <v>0.8271</v>
      </c>
      <c r="BK184" s="20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0.2249</v>
      </c>
      <c r="BL184" s="20" cm="1">
        <f t="array" ref="BL184">1+$B$13+VLOOKUP($R184,武学奇术!$A:$ZZ,18,FALSE)+SUM(_xlfn.XLOOKUP(S184:AG184,增益!$A:$A,增益!$R:$R,0))</f>
        <v>1.5</v>
      </c>
      <c r="BM184" s="20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0.4459</v>
      </c>
      <c r="BN184" s="20" cm="1">
        <f t="array" ref="BN184">1+$B$14+VLOOKUP($R184,武学奇术!$A:$ZZ,20,FALSE)+SUM(_xlfn.XLOOKUP(S184:AG184,增益!$A:$A,增益!$T:$T,0))</f>
        <v>1.752</v>
      </c>
      <c r="BO184" s="20">
        <f t="shared" si="31"/>
        <v>0.18601479</v>
      </c>
      <c r="BP184" s="20">
        <f t="shared" si="32"/>
        <v>0.27228132</v>
      </c>
      <c r="BQ184" s="20">
        <f>IF(VLOOKUP($R184,武学奇术!$A:$ZZ,22,FALSE)=1,0,(1-$BJ184))*(1-$BM184)</f>
        <v>0.09580389</v>
      </c>
      <c r="BR184" s="20" cm="1">
        <f t="array" ref="BR184">SUM(_xlfn.XLOOKUP(S184:AG184,增益!$A:$A,增益!$W:$W,0))+$I$5</f>
        <v>0.11</v>
      </c>
    </row>
    <row r="185" spans="11:70">
      <c r="K185" s="27">
        <f>$L185*VLOOKUP($R185,武学奇术!$A:$ZZ,31,FALSE)</f>
        <v>6660.77642415102</v>
      </c>
      <c r="L185" s="27">
        <f t="shared" si="22"/>
        <v>11101.2940402517</v>
      </c>
      <c r="M185" s="27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9191.02351494154</v>
      </c>
      <c r="N185" s="27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16740.6078380678</v>
      </c>
      <c r="O185" s="27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6127.34900996102</v>
      </c>
      <c r="P185" s="27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2699.55655983768</v>
      </c>
      <c r="Q185" s="35">
        <v>1</v>
      </c>
      <c r="R185" s="36" t="s">
        <v>163</v>
      </c>
      <c r="S185" s="36" t="s">
        <v>71</v>
      </c>
      <c r="T185" s="36" t="s">
        <v>99</v>
      </c>
      <c r="U185" s="36" t="s">
        <v>100</v>
      </c>
      <c r="V185" s="36" t="s">
        <v>71</v>
      </c>
      <c r="W185" s="36" t="s">
        <v>71</v>
      </c>
      <c r="X185" s="36" t="s">
        <v>71</v>
      </c>
      <c r="Y185" s="36" t="s">
        <v>71</v>
      </c>
      <c r="Z185" s="36" t="s">
        <v>71</v>
      </c>
      <c r="AA185" s="36" t="s">
        <v>71</v>
      </c>
      <c r="AB185" s="36" t="s">
        <v>71</v>
      </c>
      <c r="AC185" s="36" t="s">
        <v>71</v>
      </c>
      <c r="AD185" s="36" t="s">
        <v>72</v>
      </c>
      <c r="AE185" s="36" t="s">
        <v>94</v>
      </c>
      <c r="AF185" s="36" t="s">
        <v>147</v>
      </c>
      <c r="AG185" s="36" t="s">
        <v>120</v>
      </c>
      <c r="AH185" t="str">
        <f>VLOOKUP($R185,武学奇术!$A:$ZZ,25,FALSE)</f>
        <v>剑</v>
      </c>
      <c r="AI185" s="20">
        <f>VLOOKUP($R185,武学奇术!$A:$ZZ,26,FALSE)</f>
        <v>0.27456</v>
      </c>
      <c r="AJ185" s="21">
        <f>VLOOKUP($R185,武学奇术!$A:$ZZ,27,FALSE)*(1+IF(OR($AH185=$F$4,$AH185=$F$5),$B$22,0))</f>
        <v>0</v>
      </c>
      <c r="AK185" s="20">
        <f>VLOOKUP($R185,武学奇术!$A:$ZZ,28,FALSE)</f>
        <v>0.41184</v>
      </c>
      <c r="AL185" s="21">
        <f>VLOOKUP($R185,武学奇术!$A:$ZZ,29,FALSE)*(1+IF(OR($AH185=$F$4,$AH185=$F$5),$B$22,0))</f>
        <v>0</v>
      </c>
      <c r="AM185" s="20" cm="1">
        <f t="array" ref="AM185">$G$3+IFERROR(VLOOKUP($AH185,$F$4:$G$7,2,FALSE),0)+VLOOKUP($R185,武学奇术!$A:$ZZ,2,FALSE)+SUM(_xlfn.XLOOKUP($S185:$AG185,增益!$A:$A,增益!$B:$B,0))</f>
        <v>1.2391</v>
      </c>
      <c r="AN185" s="20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1517.52</v>
      </c>
      <c r="AP185" cm="1">
        <f t="array" ref="AP185">$E$10*(1+$AN185)+VLOOKUP($R185,武学奇术!$A:$ZZ,4,FALSE)+SUM(_xlfn.XLOOKUP($S185:$AG185,增益!$A:$A,增益!$D:$D,0))-$I$2</f>
        <v>6628.56</v>
      </c>
      <c r="AQ185" s="29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0.3175</v>
      </c>
      <c r="AR185" s="29" cm="1">
        <f t="array" ref="AR185">$G$10+VLOOKUP($R185,武学奇术!$A:$ZZ,7,FALSE)+SUM(_xlfn.XLOOKUP(S185:AG185,增益!$A:$A,增益!$G:$G,0))</f>
        <v>0</v>
      </c>
      <c r="AS185" s="20" cm="1">
        <f t="array" ref="AS185">VLOOKUP($R185,武学奇术!$A:$ZZ,8,FALSE)+SUM(_xlfn.XLOOKUP(S185:AG185,增益!$A:$A,增益!$H:$H,0))</f>
        <v>0</v>
      </c>
      <c r="AT185">
        <f t="shared" si="23"/>
        <v>538</v>
      </c>
      <c r="AU185">
        <f t="shared" si="24"/>
        <v>1011</v>
      </c>
      <c r="AV185" s="29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0.075</v>
      </c>
      <c r="AW185" s="29" cm="1">
        <f t="array" ref="AW185">$G$11+VLOOKUP($R185,武学奇术!$A:$ZZ,10,FALSE)+SUM(_xlfn.XLOOKUP(S185:AG185,增益!$A:$A,增益!$J:$J,0))</f>
        <v>0.15</v>
      </c>
      <c r="AX185">
        <f t="shared" si="25"/>
        <v>0</v>
      </c>
      <c r="AY185">
        <f t="shared" si="26"/>
        <v>0</v>
      </c>
      <c r="AZ185" s="29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-0.3</v>
      </c>
      <c r="BA185" s="29" cm="1">
        <f t="array" ref="BA185">$G$12+VLOOKUP($R185,武学奇术!$A:$ZZ,12,FALSE)+SUM(_xlfn.XLOOKUP(S185:AG185,增益!$A:$A,增益!$L:$L,0))</f>
        <v>0</v>
      </c>
      <c r="BB185">
        <f t="shared" si="27"/>
        <v>0</v>
      </c>
      <c r="BC185">
        <f t="shared" si="28"/>
        <v>0</v>
      </c>
      <c r="BD185" s="29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-0.3</v>
      </c>
      <c r="BE185" s="29" cm="1">
        <f t="array" ref="BE185">$G$13+VLOOKUP($R185,武学奇术!$A:$ZZ,14,FALSE)+SUM(_xlfn.XLOOKUP(S185:AG185,增益!$A:$A,增益!$N:$N,0))</f>
        <v>0</v>
      </c>
      <c r="BF185">
        <f t="shared" si="29"/>
        <v>0</v>
      </c>
      <c r="BG185">
        <f t="shared" si="30"/>
        <v>0</v>
      </c>
      <c r="BH185" s="29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-0.3</v>
      </c>
      <c r="BI185" s="29" cm="1">
        <f t="array" ref="BI185">$G$14+VLOOKUP($R185,武学奇术!$A:$ZZ,16,FALSE)+SUM(_xlfn.XLOOKUP(S185:AG185,增益!$A:$A,增益!$P:$P,0))</f>
        <v>0</v>
      </c>
      <c r="BJ185" s="20">
        <f>MIN(IF(VLOOKUP($R185,武学奇术!$A:$ZZ,23,FALSE)=1,100%,$B$8),100%)</f>
        <v>0.8271</v>
      </c>
      <c r="BK185" s="20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0.2249</v>
      </c>
      <c r="BL185" s="20" cm="1">
        <f t="array" ref="BL185">1+$B$13+VLOOKUP($R185,武学奇术!$A:$ZZ,18,FALSE)+SUM(_xlfn.XLOOKUP(S185:AG185,增益!$A:$A,增益!$R:$R,0))</f>
        <v>1.5</v>
      </c>
      <c r="BM185" s="20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0.4459</v>
      </c>
      <c r="BN185" s="20" cm="1">
        <f t="array" ref="BN185">1+$B$14+VLOOKUP($R185,武学奇术!$A:$ZZ,20,FALSE)+SUM(_xlfn.XLOOKUP(S185:AG185,增益!$A:$A,增益!$T:$T,0))</f>
        <v>1.752</v>
      </c>
      <c r="BO185" s="20">
        <f t="shared" si="31"/>
        <v>0.18601479</v>
      </c>
      <c r="BP185" s="20">
        <f t="shared" si="32"/>
        <v>0.27228132</v>
      </c>
      <c r="BQ185" s="20">
        <f>IF(VLOOKUP($R185,武学奇术!$A:$ZZ,22,FALSE)=1,0,(1-$BJ185))*(1-$BM185)</f>
        <v>0.09580389</v>
      </c>
      <c r="BR185" s="20" cm="1">
        <f t="array" ref="BR185">SUM(_xlfn.XLOOKUP(S185:AG185,增益!$A:$A,增益!$W:$W,0))+$I$5</f>
        <v>0.11</v>
      </c>
    </row>
    <row r="186" spans="11:70">
      <c r="K186" s="27">
        <f>$L186*VLOOKUP($R186,武学奇术!$A:$ZZ,31,FALSE)</f>
        <v>6660.77642415102</v>
      </c>
      <c r="L186" s="27">
        <f t="shared" si="22"/>
        <v>11101.2940402517</v>
      </c>
      <c r="M186" s="27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9191.02351494154</v>
      </c>
      <c r="N186" s="27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16740.6078380678</v>
      </c>
      <c r="O186" s="27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6127.34900996102</v>
      </c>
      <c r="P186" s="27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2699.55655983768</v>
      </c>
      <c r="Q186" s="35">
        <v>1</v>
      </c>
      <c r="R186" s="36" t="s">
        <v>163</v>
      </c>
      <c r="S186" s="36" t="s">
        <v>71</v>
      </c>
      <c r="T186" s="36" t="s">
        <v>99</v>
      </c>
      <c r="U186" s="36" t="s">
        <v>100</v>
      </c>
      <c r="V186" s="36" t="s">
        <v>71</v>
      </c>
      <c r="W186" s="36" t="s">
        <v>71</v>
      </c>
      <c r="X186" s="36" t="s">
        <v>71</v>
      </c>
      <c r="Y186" s="36" t="s">
        <v>71</v>
      </c>
      <c r="Z186" s="36" t="s">
        <v>71</v>
      </c>
      <c r="AA186" s="36" t="s">
        <v>71</v>
      </c>
      <c r="AB186" s="36" t="s">
        <v>71</v>
      </c>
      <c r="AC186" s="36" t="s">
        <v>71</v>
      </c>
      <c r="AD186" s="36" t="s">
        <v>72</v>
      </c>
      <c r="AE186" s="36" t="s">
        <v>94</v>
      </c>
      <c r="AF186" s="36" t="s">
        <v>147</v>
      </c>
      <c r="AG186" s="36" t="s">
        <v>120</v>
      </c>
      <c r="AH186" t="str">
        <f>VLOOKUP($R186,武学奇术!$A:$ZZ,25,FALSE)</f>
        <v>剑</v>
      </c>
      <c r="AI186" s="20">
        <f>VLOOKUP($R186,武学奇术!$A:$ZZ,26,FALSE)</f>
        <v>0.27456</v>
      </c>
      <c r="AJ186" s="21">
        <f>VLOOKUP($R186,武学奇术!$A:$ZZ,27,FALSE)*(1+IF(OR($AH186=$F$4,$AH186=$F$5),$B$22,0))</f>
        <v>0</v>
      </c>
      <c r="AK186" s="20">
        <f>VLOOKUP($R186,武学奇术!$A:$ZZ,28,FALSE)</f>
        <v>0.41184</v>
      </c>
      <c r="AL186" s="21">
        <f>VLOOKUP($R186,武学奇术!$A:$ZZ,29,FALSE)*(1+IF(OR($AH186=$F$4,$AH186=$F$5),$B$22,0))</f>
        <v>0</v>
      </c>
      <c r="AM186" s="20" cm="1">
        <f t="array" ref="AM186">$G$3+IFERROR(VLOOKUP($AH186,$F$4:$G$7,2,FALSE),0)+VLOOKUP($R186,武学奇术!$A:$ZZ,2,FALSE)+SUM(_xlfn.XLOOKUP($S186:$AG186,增益!$A:$A,增益!$B:$B,0))</f>
        <v>1.2391</v>
      </c>
      <c r="AN186" s="20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1517.52</v>
      </c>
      <c r="AP186" cm="1">
        <f t="array" ref="AP186">$E$10*(1+$AN186)+VLOOKUP($R186,武学奇术!$A:$ZZ,4,FALSE)+SUM(_xlfn.XLOOKUP($S186:$AG186,增益!$A:$A,增益!$D:$D,0))-$I$2</f>
        <v>6628.56</v>
      </c>
      <c r="AQ186" s="29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0.3175</v>
      </c>
      <c r="AR186" s="29" cm="1">
        <f t="array" ref="AR186">$G$10+VLOOKUP($R186,武学奇术!$A:$ZZ,7,FALSE)+SUM(_xlfn.XLOOKUP(S186:AG186,增益!$A:$A,增益!$G:$G,0))</f>
        <v>0</v>
      </c>
      <c r="AS186" s="20" cm="1">
        <f t="array" ref="AS186">VLOOKUP($R186,武学奇术!$A:$ZZ,8,FALSE)+SUM(_xlfn.XLOOKUP(S186:AG186,增益!$A:$A,增益!$H:$H,0))</f>
        <v>0</v>
      </c>
      <c r="AT186">
        <f t="shared" si="23"/>
        <v>538</v>
      </c>
      <c r="AU186">
        <f t="shared" si="24"/>
        <v>1011</v>
      </c>
      <c r="AV186" s="29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0.075</v>
      </c>
      <c r="AW186" s="29" cm="1">
        <f t="array" ref="AW186">$G$11+VLOOKUP($R186,武学奇术!$A:$ZZ,10,FALSE)+SUM(_xlfn.XLOOKUP(S186:AG186,增益!$A:$A,增益!$J:$J,0))</f>
        <v>0.15</v>
      </c>
      <c r="AX186">
        <f t="shared" si="25"/>
        <v>0</v>
      </c>
      <c r="AY186">
        <f t="shared" si="26"/>
        <v>0</v>
      </c>
      <c r="AZ186" s="29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-0.3</v>
      </c>
      <c r="BA186" s="29" cm="1">
        <f t="array" ref="BA186">$G$12+VLOOKUP($R186,武学奇术!$A:$ZZ,12,FALSE)+SUM(_xlfn.XLOOKUP(S186:AG186,增益!$A:$A,增益!$L:$L,0))</f>
        <v>0</v>
      </c>
      <c r="BB186">
        <f t="shared" si="27"/>
        <v>0</v>
      </c>
      <c r="BC186">
        <f t="shared" si="28"/>
        <v>0</v>
      </c>
      <c r="BD186" s="29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-0.3</v>
      </c>
      <c r="BE186" s="29" cm="1">
        <f t="array" ref="BE186">$G$13+VLOOKUP($R186,武学奇术!$A:$ZZ,14,FALSE)+SUM(_xlfn.XLOOKUP(S186:AG186,增益!$A:$A,增益!$N:$N,0))</f>
        <v>0</v>
      </c>
      <c r="BF186">
        <f t="shared" si="29"/>
        <v>0</v>
      </c>
      <c r="BG186">
        <f t="shared" si="30"/>
        <v>0</v>
      </c>
      <c r="BH186" s="29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-0.3</v>
      </c>
      <c r="BI186" s="29" cm="1">
        <f t="array" ref="BI186">$G$14+VLOOKUP($R186,武学奇术!$A:$ZZ,16,FALSE)+SUM(_xlfn.XLOOKUP(S186:AG186,增益!$A:$A,增益!$P:$P,0))</f>
        <v>0</v>
      </c>
      <c r="BJ186" s="20">
        <f>MIN(IF(VLOOKUP($R186,武学奇术!$A:$ZZ,23,FALSE)=1,100%,$B$8),100%)</f>
        <v>0.8271</v>
      </c>
      <c r="BK186" s="20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0.2249</v>
      </c>
      <c r="BL186" s="20" cm="1">
        <f t="array" ref="BL186">1+$B$13+VLOOKUP($R186,武学奇术!$A:$ZZ,18,FALSE)+SUM(_xlfn.XLOOKUP(S186:AG186,增益!$A:$A,增益!$R:$R,0))</f>
        <v>1.5</v>
      </c>
      <c r="BM186" s="20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0.4459</v>
      </c>
      <c r="BN186" s="20" cm="1">
        <f t="array" ref="BN186">1+$B$14+VLOOKUP($R186,武学奇术!$A:$ZZ,20,FALSE)+SUM(_xlfn.XLOOKUP(S186:AG186,增益!$A:$A,增益!$T:$T,0))</f>
        <v>1.752</v>
      </c>
      <c r="BO186" s="20">
        <f t="shared" si="31"/>
        <v>0.18601479</v>
      </c>
      <c r="BP186" s="20">
        <f t="shared" si="32"/>
        <v>0.27228132</v>
      </c>
      <c r="BQ186" s="20">
        <f>IF(VLOOKUP($R186,武学奇术!$A:$ZZ,22,FALSE)=1,0,(1-$BJ186))*(1-$BM186)</f>
        <v>0.09580389</v>
      </c>
      <c r="BR186" s="20" cm="1">
        <f t="array" ref="BR186">SUM(_xlfn.XLOOKUP(S186:AG186,增益!$A:$A,增益!$W:$W,0))+$I$5</f>
        <v>0.11</v>
      </c>
    </row>
    <row r="187" spans="11:70">
      <c r="K187" s="27">
        <f>$L187*VLOOKUP($R187,武学奇术!$A:$ZZ,31,FALSE)</f>
        <v>4178.96265600833</v>
      </c>
      <c r="L187" s="27">
        <f t="shared" si="22"/>
        <v>6964.93776001388</v>
      </c>
      <c r="M187" s="27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5744.38969683846</v>
      </c>
      <c r="N187" s="27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10522.5995329179</v>
      </c>
      <c r="O187" s="27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3829.59313122564</v>
      </c>
      <c r="P187" s="27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1687.22284989855</v>
      </c>
      <c r="Q187" s="35">
        <v>1</v>
      </c>
      <c r="R187" s="36" t="s">
        <v>164</v>
      </c>
      <c r="S187" s="36" t="s">
        <v>71</v>
      </c>
      <c r="T187" s="36" t="s">
        <v>99</v>
      </c>
      <c r="U187" s="36" t="s">
        <v>100</v>
      </c>
      <c r="V187" s="36" t="s">
        <v>71</v>
      </c>
      <c r="W187" s="36" t="s">
        <v>71</v>
      </c>
      <c r="X187" s="36" t="s">
        <v>71</v>
      </c>
      <c r="Y187" s="36" t="s">
        <v>71</v>
      </c>
      <c r="Z187" s="36" t="s">
        <v>71</v>
      </c>
      <c r="AA187" s="36" t="s">
        <v>71</v>
      </c>
      <c r="AB187" s="36" t="s">
        <v>71</v>
      </c>
      <c r="AC187" s="36" t="s">
        <v>71</v>
      </c>
      <c r="AD187" s="36" t="s">
        <v>72</v>
      </c>
      <c r="AE187" s="36" t="s">
        <v>94</v>
      </c>
      <c r="AF187" s="36" t="s">
        <v>148</v>
      </c>
      <c r="AG187" s="36" t="s">
        <v>120</v>
      </c>
      <c r="AH187" t="str">
        <f>VLOOKUP($R187,武学奇术!$A:$ZZ,25,FALSE)</f>
        <v>剑</v>
      </c>
      <c r="AI187" s="20">
        <f>VLOOKUP($R187,武学奇术!$A:$ZZ,26,FALSE)</f>
        <v>0.1716</v>
      </c>
      <c r="AJ187" s="21">
        <f>VLOOKUP($R187,武学奇术!$A:$ZZ,27,FALSE)*(1+IF(OR($AH187=$F$4,$AH187=$F$5),$B$22,0))</f>
        <v>0</v>
      </c>
      <c r="AK187" s="20">
        <f>VLOOKUP($R187,武学奇术!$A:$ZZ,28,FALSE)</f>
        <v>0.2574</v>
      </c>
      <c r="AL187" s="21">
        <f>VLOOKUP($R187,武学奇术!$A:$ZZ,29,FALSE)*(1+IF(OR($AH187=$F$4,$AH187=$F$5),$B$22,0))</f>
        <v>0</v>
      </c>
      <c r="AM187" s="20" cm="1">
        <f t="array" ref="AM187">$G$3+IFERROR(VLOOKUP($AH187,$F$4:$G$7,2,FALSE),0)+VLOOKUP($R187,武学奇术!$A:$ZZ,2,FALSE)+SUM(_xlfn.XLOOKUP($S187:$AG187,增益!$A:$A,增益!$B:$B,0))</f>
        <v>1.2391</v>
      </c>
      <c r="AN187" s="20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1517.52</v>
      </c>
      <c r="AP187" cm="1">
        <f t="array" ref="AP187">$E$10*(1+$AN187)+VLOOKUP($R187,武学奇术!$A:$ZZ,4,FALSE)+SUM(_xlfn.XLOOKUP($S187:$AG187,增益!$A:$A,增益!$D:$D,0))-$I$2</f>
        <v>6628.56</v>
      </c>
      <c r="AQ187" s="29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0.3175</v>
      </c>
      <c r="AR187" s="29" cm="1">
        <f t="array" ref="AR187">$G$10+VLOOKUP($R187,武学奇术!$A:$ZZ,7,FALSE)+SUM(_xlfn.XLOOKUP(S187:AG187,增益!$A:$A,增益!$G:$G,0))</f>
        <v>0</v>
      </c>
      <c r="AS187" s="20" cm="1">
        <f t="array" ref="AS187">VLOOKUP($R187,武学奇术!$A:$ZZ,8,FALSE)+SUM(_xlfn.XLOOKUP(S187:AG187,增益!$A:$A,增益!$H:$H,0))</f>
        <v>0</v>
      </c>
      <c r="AT187">
        <f t="shared" si="23"/>
        <v>538</v>
      </c>
      <c r="AU187">
        <f t="shared" si="24"/>
        <v>1011</v>
      </c>
      <c r="AV187" s="29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0.075</v>
      </c>
      <c r="AW187" s="29" cm="1">
        <f t="array" ref="AW187">$G$11+VLOOKUP($R187,武学奇术!$A:$ZZ,10,FALSE)+SUM(_xlfn.XLOOKUP(S187:AG187,增益!$A:$A,增益!$J:$J,0))</f>
        <v>0.15</v>
      </c>
      <c r="AX187">
        <f t="shared" si="25"/>
        <v>0</v>
      </c>
      <c r="AY187">
        <f t="shared" si="26"/>
        <v>0</v>
      </c>
      <c r="AZ187" s="29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-0.3</v>
      </c>
      <c r="BA187" s="29" cm="1">
        <f t="array" ref="BA187">$G$12+VLOOKUP($R187,武学奇术!$A:$ZZ,12,FALSE)+SUM(_xlfn.XLOOKUP(S187:AG187,增益!$A:$A,增益!$L:$L,0))</f>
        <v>0</v>
      </c>
      <c r="BB187">
        <f t="shared" si="27"/>
        <v>0</v>
      </c>
      <c r="BC187">
        <f t="shared" si="28"/>
        <v>0</v>
      </c>
      <c r="BD187" s="29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-0.3</v>
      </c>
      <c r="BE187" s="29" cm="1">
        <f t="array" ref="BE187">$G$13+VLOOKUP($R187,武学奇术!$A:$ZZ,14,FALSE)+SUM(_xlfn.XLOOKUP(S187:AG187,增益!$A:$A,增益!$N:$N,0))</f>
        <v>0</v>
      </c>
      <c r="BF187">
        <f t="shared" si="29"/>
        <v>0</v>
      </c>
      <c r="BG187">
        <f t="shared" si="30"/>
        <v>0</v>
      </c>
      <c r="BH187" s="29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-0.3</v>
      </c>
      <c r="BI187" s="29" cm="1">
        <f t="array" ref="BI187">$G$14+VLOOKUP($R187,武学奇术!$A:$ZZ,16,FALSE)+SUM(_xlfn.XLOOKUP(S187:AG187,增益!$A:$A,增益!$P:$P,0))</f>
        <v>0</v>
      </c>
      <c r="BJ187" s="20">
        <f>MIN(IF(VLOOKUP($R187,武学奇术!$A:$ZZ,23,FALSE)=1,100%,$B$8),100%)</f>
        <v>0.8271</v>
      </c>
      <c r="BK187" s="20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0.2249</v>
      </c>
      <c r="BL187" s="20" cm="1">
        <f t="array" ref="BL187">1+$B$13+VLOOKUP($R187,武学奇术!$A:$ZZ,18,FALSE)+SUM(_xlfn.XLOOKUP(S187:AG187,增益!$A:$A,增益!$R:$R,0))</f>
        <v>1.5</v>
      </c>
      <c r="BM187" s="20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0.4459</v>
      </c>
      <c r="BN187" s="20" cm="1">
        <f t="array" ref="BN187">1+$B$14+VLOOKUP($R187,武学奇术!$A:$ZZ,20,FALSE)+SUM(_xlfn.XLOOKUP(S187:AG187,增益!$A:$A,增益!$T:$T,0))</f>
        <v>1.762</v>
      </c>
      <c r="BO187" s="20">
        <f t="shared" si="31"/>
        <v>0.18601479</v>
      </c>
      <c r="BP187" s="20">
        <f t="shared" si="32"/>
        <v>0.27228132</v>
      </c>
      <c r="BQ187" s="20">
        <f>IF(VLOOKUP($R187,武学奇术!$A:$ZZ,22,FALSE)=1,0,(1-$BJ187))*(1-$BM187)</f>
        <v>0.09580389</v>
      </c>
      <c r="BR187" s="20" cm="1">
        <f t="array" ref="BR187">SUM(_xlfn.XLOOKUP(S187:AG187,增益!$A:$A,增益!$W:$W,0))+$I$5</f>
        <v>0.11</v>
      </c>
    </row>
    <row r="188" spans="11:70">
      <c r="K188" s="27">
        <f>$L188*VLOOKUP($R188,武学奇术!$A:$ZZ,31,FALSE)</f>
        <v>8397.4584898712</v>
      </c>
      <c r="L188" s="27">
        <f t="shared" si="22"/>
        <v>13995.7641497853</v>
      </c>
      <c r="M188" s="27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11557.7590864743</v>
      </c>
      <c r="N188" s="27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21126.2272116418</v>
      </c>
      <c r="O188" s="27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7705.1727243162</v>
      </c>
      <c r="P188" s="27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3420.43216166202</v>
      </c>
      <c r="Q188" s="35">
        <v>1</v>
      </c>
      <c r="R188" s="36" t="s">
        <v>162</v>
      </c>
      <c r="S188" s="36" t="s">
        <v>71</v>
      </c>
      <c r="T188" s="36" t="s">
        <v>99</v>
      </c>
      <c r="U188" s="36" t="s">
        <v>100</v>
      </c>
      <c r="V188" s="36" t="s">
        <v>71</v>
      </c>
      <c r="W188" s="36" t="s">
        <v>111</v>
      </c>
      <c r="X188" s="36" t="s">
        <v>71</v>
      </c>
      <c r="Y188" s="36" t="s">
        <v>71</v>
      </c>
      <c r="Z188" s="36" t="s">
        <v>71</v>
      </c>
      <c r="AA188" s="36" t="s">
        <v>71</v>
      </c>
      <c r="AB188" s="36" t="s">
        <v>71</v>
      </c>
      <c r="AC188" s="36" t="s">
        <v>71</v>
      </c>
      <c r="AD188" s="36" t="s">
        <v>72</v>
      </c>
      <c r="AE188" s="36" t="s">
        <v>94</v>
      </c>
      <c r="AF188" s="36" t="s">
        <v>148</v>
      </c>
      <c r="AG188" s="36" t="s">
        <v>120</v>
      </c>
      <c r="AH188" t="str">
        <f>VLOOKUP($R188,武学奇术!$A:$ZZ,25,FALSE)</f>
        <v>剑</v>
      </c>
      <c r="AI188" s="20">
        <f>VLOOKUP($R188,武学奇术!$A:$ZZ,26,FALSE)</f>
        <v>0.3432</v>
      </c>
      <c r="AJ188" s="21">
        <f>VLOOKUP($R188,武学奇术!$A:$ZZ,27,FALSE)*(1+IF(OR($AH188=$F$4,$AH188=$F$5),$B$22,0))</f>
        <v>0</v>
      </c>
      <c r="AK188" s="20">
        <f>VLOOKUP($R188,武学奇术!$A:$ZZ,28,FALSE)</f>
        <v>0.5148</v>
      </c>
      <c r="AL188" s="21">
        <f>VLOOKUP($R188,武学奇术!$A:$ZZ,29,FALSE)*(1+IF(OR($AH188=$F$4,$AH188=$F$5),$B$22,0))</f>
        <v>0</v>
      </c>
      <c r="AM188" s="20" cm="1">
        <f t="array" ref="AM188">$G$3+IFERROR(VLOOKUP($AH188,$F$4:$G$7,2,FALSE),0)+VLOOKUP($R188,武学奇术!$A:$ZZ,2,FALSE)+SUM(_xlfn.XLOOKUP($S188:$AG188,增益!$A:$A,增益!$B:$B,0))</f>
        <v>1.2391</v>
      </c>
      <c r="AN188" s="20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1548.52</v>
      </c>
      <c r="AP188" cm="1">
        <f t="array" ref="AP188">$E$10*(1+$AN188)+VLOOKUP($R188,武学奇术!$A:$ZZ,4,FALSE)+SUM(_xlfn.XLOOKUP($S188:$AG188,增益!$A:$A,增益!$D:$D,0))-$I$2</f>
        <v>6659.56</v>
      </c>
      <c r="AQ188" s="29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0.3175</v>
      </c>
      <c r="AR188" s="29" cm="1">
        <f t="array" ref="AR188">$G$10+VLOOKUP($R188,武学奇术!$A:$ZZ,7,FALSE)+SUM(_xlfn.XLOOKUP(S188:AG188,增益!$A:$A,增益!$G:$G,0))</f>
        <v>0</v>
      </c>
      <c r="AS188" s="20" cm="1">
        <f t="array" ref="AS188">VLOOKUP($R188,武学奇术!$A:$ZZ,8,FALSE)+SUM(_xlfn.XLOOKUP(S188:AG188,增益!$A:$A,增益!$H:$H,0))</f>
        <v>0</v>
      </c>
      <c r="AT188">
        <f t="shared" si="23"/>
        <v>538</v>
      </c>
      <c r="AU188">
        <f t="shared" si="24"/>
        <v>1011</v>
      </c>
      <c r="AV188" s="29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0.075</v>
      </c>
      <c r="AW188" s="29" cm="1">
        <f t="array" ref="AW188">$G$11+VLOOKUP($R188,武学奇术!$A:$ZZ,10,FALSE)+SUM(_xlfn.XLOOKUP(S188:AG188,增益!$A:$A,增益!$J:$J,0))</f>
        <v>0.15</v>
      </c>
      <c r="AX188">
        <f t="shared" si="25"/>
        <v>0</v>
      </c>
      <c r="AY188">
        <f t="shared" si="26"/>
        <v>0</v>
      </c>
      <c r="AZ188" s="29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-0.3</v>
      </c>
      <c r="BA188" s="29" cm="1">
        <f t="array" ref="BA188">$G$12+VLOOKUP($R188,武学奇术!$A:$ZZ,12,FALSE)+SUM(_xlfn.XLOOKUP(S188:AG188,增益!$A:$A,增益!$L:$L,0))</f>
        <v>0</v>
      </c>
      <c r="BB188">
        <f t="shared" si="27"/>
        <v>0</v>
      </c>
      <c r="BC188">
        <f t="shared" si="28"/>
        <v>0</v>
      </c>
      <c r="BD188" s="29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-0.3</v>
      </c>
      <c r="BE188" s="29" cm="1">
        <f t="array" ref="BE188">$G$13+VLOOKUP($R188,武学奇术!$A:$ZZ,14,FALSE)+SUM(_xlfn.XLOOKUP(S188:AG188,增益!$A:$A,增益!$N:$N,0))</f>
        <v>0</v>
      </c>
      <c r="BF188">
        <f t="shared" si="29"/>
        <v>0</v>
      </c>
      <c r="BG188">
        <f t="shared" si="30"/>
        <v>0</v>
      </c>
      <c r="BH188" s="29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-0.3</v>
      </c>
      <c r="BI188" s="29" cm="1">
        <f t="array" ref="BI188">$G$14+VLOOKUP($R188,武学奇术!$A:$ZZ,16,FALSE)+SUM(_xlfn.XLOOKUP(S188:AG188,增益!$A:$A,增益!$P:$P,0))</f>
        <v>0</v>
      </c>
      <c r="BJ188" s="20">
        <f>MIN(IF(VLOOKUP($R188,武学奇术!$A:$ZZ,23,FALSE)=1,100%,$B$8),100%)</f>
        <v>0.8271</v>
      </c>
      <c r="BK188" s="20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0.2249</v>
      </c>
      <c r="BL188" s="20" cm="1">
        <f t="array" ref="BL188">1+$B$13+VLOOKUP($R188,武学奇术!$A:$ZZ,18,FALSE)+SUM(_xlfn.XLOOKUP(S188:AG188,增益!$A:$A,增益!$R:$R,0))</f>
        <v>1.5</v>
      </c>
      <c r="BM188" s="20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0.4459</v>
      </c>
      <c r="BN188" s="20" cm="1">
        <f t="array" ref="BN188">1+$B$14+VLOOKUP($R188,武学奇术!$A:$ZZ,20,FALSE)+SUM(_xlfn.XLOOKUP(S188:AG188,增益!$A:$A,增益!$T:$T,0))</f>
        <v>1.762</v>
      </c>
      <c r="BO188" s="20">
        <f t="shared" si="31"/>
        <v>0.18601479</v>
      </c>
      <c r="BP188" s="20">
        <f t="shared" si="32"/>
        <v>0.27228132</v>
      </c>
      <c r="BQ188" s="20">
        <f>IF(VLOOKUP($R188,武学奇术!$A:$ZZ,22,FALSE)=1,0,(1-$BJ188))*(1-$BM188)</f>
        <v>0.09580389</v>
      </c>
      <c r="BR188" s="20" cm="1">
        <f t="array" ref="BR188">SUM(_xlfn.XLOOKUP(S188:AG188,增益!$A:$A,增益!$W:$W,0))+$I$5</f>
        <v>0.11</v>
      </c>
    </row>
    <row r="189" spans="11:70">
      <c r="K189" s="27">
        <f>$L189*VLOOKUP($R189,武学奇术!$A:$ZZ,31,FALSE)</f>
        <v>4198.7292449356</v>
      </c>
      <c r="L189" s="27">
        <f t="shared" si="22"/>
        <v>6997.88207489267</v>
      </c>
      <c r="M189" s="27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5778.87954323715</v>
      </c>
      <c r="N189" s="27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10563.1136058209</v>
      </c>
      <c r="O189" s="27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3852.5863621581</v>
      </c>
      <c r="P189" s="27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1710.21608083101</v>
      </c>
      <c r="Q189" s="35">
        <v>1</v>
      </c>
      <c r="R189" s="36" t="s">
        <v>164</v>
      </c>
      <c r="S189" s="36" t="s">
        <v>71</v>
      </c>
      <c r="T189" s="36" t="s">
        <v>99</v>
      </c>
      <c r="U189" s="36" t="s">
        <v>100</v>
      </c>
      <c r="V189" s="36" t="s">
        <v>71</v>
      </c>
      <c r="W189" s="36" t="s">
        <v>111</v>
      </c>
      <c r="X189" s="36" t="s">
        <v>71</v>
      </c>
      <c r="Y189" s="36" t="s">
        <v>71</v>
      </c>
      <c r="Z189" s="36" t="s">
        <v>71</v>
      </c>
      <c r="AA189" s="36" t="s">
        <v>71</v>
      </c>
      <c r="AB189" s="36" t="s">
        <v>71</v>
      </c>
      <c r="AC189" s="36" t="s">
        <v>71</v>
      </c>
      <c r="AD189" s="36" t="s">
        <v>72</v>
      </c>
      <c r="AE189" s="36" t="s">
        <v>94</v>
      </c>
      <c r="AF189" s="36" t="s">
        <v>148</v>
      </c>
      <c r="AG189" s="36" t="s">
        <v>120</v>
      </c>
      <c r="AH189" t="str">
        <f>VLOOKUP($R189,武学奇术!$A:$ZZ,25,FALSE)</f>
        <v>剑</v>
      </c>
      <c r="AI189" s="20">
        <f>VLOOKUP($R189,武学奇术!$A:$ZZ,26,FALSE)</f>
        <v>0.1716</v>
      </c>
      <c r="AJ189" s="21">
        <f>VLOOKUP($R189,武学奇术!$A:$ZZ,27,FALSE)*(1+IF(OR($AH189=$F$4,$AH189=$F$5),$B$22,0))</f>
        <v>0</v>
      </c>
      <c r="AK189" s="20">
        <f>VLOOKUP($R189,武学奇术!$A:$ZZ,28,FALSE)</f>
        <v>0.2574</v>
      </c>
      <c r="AL189" s="21">
        <f>VLOOKUP($R189,武学奇术!$A:$ZZ,29,FALSE)*(1+IF(OR($AH189=$F$4,$AH189=$F$5),$B$22,0))</f>
        <v>0</v>
      </c>
      <c r="AM189" s="20" cm="1">
        <f t="array" ref="AM189">$G$3+IFERROR(VLOOKUP($AH189,$F$4:$G$7,2,FALSE),0)+VLOOKUP($R189,武学奇术!$A:$ZZ,2,FALSE)+SUM(_xlfn.XLOOKUP($S189:$AG189,增益!$A:$A,增益!$B:$B,0))</f>
        <v>1.2391</v>
      </c>
      <c r="AN189" s="20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1548.52</v>
      </c>
      <c r="AP189" cm="1">
        <f t="array" ref="AP189">$E$10*(1+$AN189)+VLOOKUP($R189,武学奇术!$A:$ZZ,4,FALSE)+SUM(_xlfn.XLOOKUP($S189:$AG189,增益!$A:$A,增益!$D:$D,0))-$I$2</f>
        <v>6659.56</v>
      </c>
      <c r="AQ189" s="29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0.3175</v>
      </c>
      <c r="AR189" s="29" cm="1">
        <f t="array" ref="AR189">$G$10+VLOOKUP($R189,武学奇术!$A:$ZZ,7,FALSE)+SUM(_xlfn.XLOOKUP(S189:AG189,增益!$A:$A,增益!$G:$G,0))</f>
        <v>0</v>
      </c>
      <c r="AS189" s="20" cm="1">
        <f t="array" ref="AS189">VLOOKUP($R189,武学奇术!$A:$ZZ,8,FALSE)+SUM(_xlfn.XLOOKUP(S189:AG189,增益!$A:$A,增益!$H:$H,0))</f>
        <v>0</v>
      </c>
      <c r="AT189">
        <f t="shared" si="23"/>
        <v>538</v>
      </c>
      <c r="AU189">
        <f t="shared" si="24"/>
        <v>1011</v>
      </c>
      <c r="AV189" s="29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0.075</v>
      </c>
      <c r="AW189" s="29" cm="1">
        <f t="array" ref="AW189">$G$11+VLOOKUP($R189,武学奇术!$A:$ZZ,10,FALSE)+SUM(_xlfn.XLOOKUP(S189:AG189,增益!$A:$A,增益!$J:$J,0))</f>
        <v>0.15</v>
      </c>
      <c r="AX189">
        <f t="shared" si="25"/>
        <v>0</v>
      </c>
      <c r="AY189">
        <f t="shared" si="26"/>
        <v>0</v>
      </c>
      <c r="AZ189" s="29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-0.3</v>
      </c>
      <c r="BA189" s="29" cm="1">
        <f t="array" ref="BA189">$G$12+VLOOKUP($R189,武学奇术!$A:$ZZ,12,FALSE)+SUM(_xlfn.XLOOKUP(S189:AG189,增益!$A:$A,增益!$L:$L,0))</f>
        <v>0</v>
      </c>
      <c r="BB189">
        <f t="shared" si="27"/>
        <v>0</v>
      </c>
      <c r="BC189">
        <f t="shared" si="28"/>
        <v>0</v>
      </c>
      <c r="BD189" s="29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-0.3</v>
      </c>
      <c r="BE189" s="29" cm="1">
        <f t="array" ref="BE189">$G$13+VLOOKUP($R189,武学奇术!$A:$ZZ,14,FALSE)+SUM(_xlfn.XLOOKUP(S189:AG189,增益!$A:$A,增益!$N:$N,0))</f>
        <v>0</v>
      </c>
      <c r="BF189">
        <f t="shared" si="29"/>
        <v>0</v>
      </c>
      <c r="BG189">
        <f t="shared" si="30"/>
        <v>0</v>
      </c>
      <c r="BH189" s="29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-0.3</v>
      </c>
      <c r="BI189" s="29" cm="1">
        <f t="array" ref="BI189">$G$14+VLOOKUP($R189,武学奇术!$A:$ZZ,16,FALSE)+SUM(_xlfn.XLOOKUP(S189:AG189,增益!$A:$A,增益!$P:$P,0))</f>
        <v>0</v>
      </c>
      <c r="BJ189" s="20">
        <f>MIN(IF(VLOOKUP($R189,武学奇术!$A:$ZZ,23,FALSE)=1,100%,$B$8),100%)</f>
        <v>0.8271</v>
      </c>
      <c r="BK189" s="20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0.2249</v>
      </c>
      <c r="BL189" s="20" cm="1">
        <f t="array" ref="BL189">1+$B$13+VLOOKUP($R189,武学奇术!$A:$ZZ,18,FALSE)+SUM(_xlfn.XLOOKUP(S189:AG189,增益!$A:$A,增益!$R:$R,0))</f>
        <v>1.5</v>
      </c>
      <c r="BM189" s="20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0.4459</v>
      </c>
      <c r="BN189" s="20" cm="1">
        <f t="array" ref="BN189">1+$B$14+VLOOKUP($R189,武学奇术!$A:$ZZ,20,FALSE)+SUM(_xlfn.XLOOKUP(S189:AG189,增益!$A:$A,增益!$T:$T,0))</f>
        <v>1.762</v>
      </c>
      <c r="BO189" s="20">
        <f t="shared" si="31"/>
        <v>0.18601479</v>
      </c>
      <c r="BP189" s="20">
        <f t="shared" si="32"/>
        <v>0.27228132</v>
      </c>
      <c r="BQ189" s="20">
        <f>IF(VLOOKUP($R189,武学奇术!$A:$ZZ,22,FALSE)=1,0,(1-$BJ189))*(1-$BM189)</f>
        <v>0.09580389</v>
      </c>
      <c r="BR189" s="20" cm="1">
        <f t="array" ref="BR189">SUM(_xlfn.XLOOKUP(S189:AG189,增益!$A:$A,增益!$W:$W,0))+$I$5</f>
        <v>0.11</v>
      </c>
    </row>
    <row r="190" spans="11:70">
      <c r="K190" s="27">
        <f>$L190*VLOOKUP($R190,武学奇术!$A:$ZZ,31,FALSE)</f>
        <v>5057.7217823275</v>
      </c>
      <c r="L190" s="27">
        <f t="shared" si="22"/>
        <v>8429.53630387916</v>
      </c>
      <c r="M190" s="27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6934.65545188458</v>
      </c>
      <c r="N190" s="27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12747.6758067069</v>
      </c>
      <c r="O190" s="27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4623.10363458972</v>
      </c>
      <c r="P190" s="27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2052.25929699721</v>
      </c>
      <c r="Q190" s="35">
        <v>1</v>
      </c>
      <c r="R190" s="36" t="s">
        <v>165</v>
      </c>
      <c r="S190" s="36" t="s">
        <v>71</v>
      </c>
      <c r="T190" s="36" t="s">
        <v>99</v>
      </c>
      <c r="U190" s="36" t="s">
        <v>100</v>
      </c>
      <c r="V190" s="36" t="s">
        <v>71</v>
      </c>
      <c r="W190" s="36" t="s">
        <v>111</v>
      </c>
      <c r="X190" s="36" t="s">
        <v>71</v>
      </c>
      <c r="Y190" s="36" t="s">
        <v>71</v>
      </c>
      <c r="Z190" s="36" t="s">
        <v>71</v>
      </c>
      <c r="AA190" s="36" t="s">
        <v>71</v>
      </c>
      <c r="AB190" s="36" t="s">
        <v>71</v>
      </c>
      <c r="AC190" s="36" t="s">
        <v>71</v>
      </c>
      <c r="AD190" s="36" t="s">
        <v>72</v>
      </c>
      <c r="AE190" s="36" t="s">
        <v>94</v>
      </c>
      <c r="AF190" s="36" t="s">
        <v>150</v>
      </c>
      <c r="AG190" s="36" t="s">
        <v>120</v>
      </c>
      <c r="AH190" t="str">
        <f>VLOOKUP($R190,武学奇术!$A:$ZZ,25,FALSE)</f>
        <v>剑</v>
      </c>
      <c r="AI190" s="20">
        <f>VLOOKUP($R190,武学奇术!$A:$ZZ,26,FALSE)</f>
        <v>0.20592</v>
      </c>
      <c r="AJ190" s="21">
        <f>VLOOKUP($R190,武学奇术!$A:$ZZ,27,FALSE)*(1+IF(OR($AH190=$F$4,$AH190=$F$5),$B$22,0))</f>
        <v>0</v>
      </c>
      <c r="AK190" s="20">
        <f>VLOOKUP($R190,武学奇术!$A:$ZZ,28,FALSE)</f>
        <v>0.30888</v>
      </c>
      <c r="AL190" s="21">
        <f>VLOOKUP($R190,武学奇术!$A:$ZZ,29,FALSE)*(1+IF(OR($AH190=$F$4,$AH190=$F$5),$B$22,0))</f>
        <v>0</v>
      </c>
      <c r="AM190" s="20" cm="1">
        <f t="array" ref="AM190">$G$3+IFERROR(VLOOKUP($AH190,$F$4:$G$7,2,FALSE),0)+VLOOKUP($R190,武学奇术!$A:$ZZ,2,FALSE)+SUM(_xlfn.XLOOKUP($S190:$AG190,增益!$A:$A,增益!$B:$B,0))</f>
        <v>1.2391</v>
      </c>
      <c r="AN190" s="20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1548.52</v>
      </c>
      <c r="AP190" cm="1">
        <f t="array" ref="AP190">$E$10*(1+$AN190)+VLOOKUP($R190,武学奇术!$A:$ZZ,4,FALSE)+SUM(_xlfn.XLOOKUP($S190:$AG190,增益!$A:$A,增益!$D:$D,0))-$I$2</f>
        <v>6659.56</v>
      </c>
      <c r="AQ190" s="29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0.3175</v>
      </c>
      <c r="AR190" s="29" cm="1">
        <f t="array" ref="AR190">$G$10+VLOOKUP($R190,武学奇术!$A:$ZZ,7,FALSE)+SUM(_xlfn.XLOOKUP(S190:AG190,增益!$A:$A,增益!$G:$G,0))</f>
        <v>0</v>
      </c>
      <c r="AS190" s="20" cm="1">
        <f t="array" ref="AS190">VLOOKUP($R190,武学奇术!$A:$ZZ,8,FALSE)+SUM(_xlfn.XLOOKUP(S190:AG190,增益!$A:$A,增益!$H:$H,0))</f>
        <v>0</v>
      </c>
      <c r="AT190">
        <f t="shared" si="23"/>
        <v>538</v>
      </c>
      <c r="AU190">
        <f t="shared" si="24"/>
        <v>1011</v>
      </c>
      <c r="AV190" s="29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0.075</v>
      </c>
      <c r="AW190" s="29" cm="1">
        <f t="array" ref="AW190">$G$11+VLOOKUP($R190,武学奇术!$A:$ZZ,10,FALSE)+SUM(_xlfn.XLOOKUP(S190:AG190,增益!$A:$A,增益!$J:$J,0))</f>
        <v>0.15</v>
      </c>
      <c r="AX190">
        <f t="shared" si="25"/>
        <v>0</v>
      </c>
      <c r="AY190">
        <f t="shared" si="26"/>
        <v>0</v>
      </c>
      <c r="AZ190" s="29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29" cm="1">
        <f t="array" ref="BA190">$G$12+VLOOKUP($R190,武学奇术!$A:$ZZ,12,FALSE)+SUM(_xlfn.XLOOKUP(S190:AG190,增益!$A:$A,增益!$L:$L,0))</f>
        <v>0</v>
      </c>
      <c r="BB190">
        <f t="shared" si="27"/>
        <v>0</v>
      </c>
      <c r="BC190">
        <f t="shared" si="28"/>
        <v>0</v>
      </c>
      <c r="BD190" s="29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29" cm="1">
        <f t="array" ref="BE190">$G$13+VLOOKUP($R190,武学奇术!$A:$ZZ,14,FALSE)+SUM(_xlfn.XLOOKUP(S190:AG190,增益!$A:$A,增益!$N:$N,0))</f>
        <v>0</v>
      </c>
      <c r="BF190">
        <f t="shared" si="29"/>
        <v>0</v>
      </c>
      <c r="BG190">
        <f t="shared" si="30"/>
        <v>0</v>
      </c>
      <c r="BH190" s="29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29" cm="1">
        <f t="array" ref="BI190">$G$14+VLOOKUP($R190,武学奇术!$A:$ZZ,16,FALSE)+SUM(_xlfn.XLOOKUP(S190:AG190,增益!$A:$A,增益!$P:$P,0))</f>
        <v>0</v>
      </c>
      <c r="BJ190" s="20">
        <f>MIN(IF(VLOOKUP($R190,武学奇术!$A:$ZZ,23,FALSE)=1,100%,$B$8),100%)</f>
        <v>0.8271</v>
      </c>
      <c r="BK190" s="20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0.2249</v>
      </c>
      <c r="BL190" s="20" cm="1">
        <f t="array" ref="BL190">1+$B$13+VLOOKUP($R190,武学奇术!$A:$ZZ,18,FALSE)+SUM(_xlfn.XLOOKUP(S190:AG190,增益!$A:$A,增益!$R:$R,0))</f>
        <v>1.5</v>
      </c>
      <c r="BM190" s="20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0.4459</v>
      </c>
      <c r="BN190" s="20" cm="1">
        <f t="array" ref="BN190">1+$B$14+VLOOKUP($R190,武学奇术!$A:$ZZ,20,FALSE)+SUM(_xlfn.XLOOKUP(S190:AG190,增益!$A:$A,增益!$T:$T,0))</f>
        <v>1.772</v>
      </c>
      <c r="BO190" s="20">
        <f t="shared" si="31"/>
        <v>0.18601479</v>
      </c>
      <c r="BP190" s="20">
        <f t="shared" si="32"/>
        <v>0.27228132</v>
      </c>
      <c r="BQ190" s="20">
        <f>IF(VLOOKUP($R190,武学奇术!$A:$ZZ,22,FALSE)=1,0,(1-$BJ190))*(1-$BM190)</f>
        <v>0.09580389</v>
      </c>
      <c r="BR190" s="20" cm="1">
        <f t="array" ref="BR190">SUM(_xlfn.XLOOKUP(S190:AG190,增益!$A:$A,增益!$W:$W,0))+$I$5</f>
        <v>0.11</v>
      </c>
    </row>
    <row r="191" spans="11:70">
      <c r="K191" s="27">
        <f>$L191*VLOOKUP($R191,武学奇术!$A:$ZZ,31,FALSE)</f>
        <v>5057.7217823275</v>
      </c>
      <c r="L191" s="27">
        <f t="shared" si="22"/>
        <v>8429.53630387916</v>
      </c>
      <c r="M191" s="27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6934.65545188458</v>
      </c>
      <c r="N191" s="27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12747.6758067069</v>
      </c>
      <c r="O191" s="27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4623.10363458972</v>
      </c>
      <c r="P191" s="27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2052.25929699721</v>
      </c>
      <c r="Q191" s="35">
        <v>1</v>
      </c>
      <c r="R191" s="36" t="s">
        <v>165</v>
      </c>
      <c r="S191" s="36" t="s">
        <v>71</v>
      </c>
      <c r="T191" s="36" t="s">
        <v>99</v>
      </c>
      <c r="U191" s="36" t="s">
        <v>100</v>
      </c>
      <c r="V191" s="36" t="s">
        <v>71</v>
      </c>
      <c r="W191" s="36" t="s">
        <v>111</v>
      </c>
      <c r="X191" s="36" t="s">
        <v>71</v>
      </c>
      <c r="Y191" s="36" t="s">
        <v>71</v>
      </c>
      <c r="Z191" s="36" t="s">
        <v>71</v>
      </c>
      <c r="AA191" s="36" t="s">
        <v>71</v>
      </c>
      <c r="AB191" s="36" t="s">
        <v>71</v>
      </c>
      <c r="AC191" s="36" t="s">
        <v>71</v>
      </c>
      <c r="AD191" s="36" t="s">
        <v>72</v>
      </c>
      <c r="AE191" s="36" t="s">
        <v>94</v>
      </c>
      <c r="AF191" s="36" t="s">
        <v>150</v>
      </c>
      <c r="AG191" s="36" t="s">
        <v>120</v>
      </c>
      <c r="AH191" t="str">
        <f>VLOOKUP($R191,武学奇术!$A:$ZZ,25,FALSE)</f>
        <v>剑</v>
      </c>
      <c r="AI191" s="20">
        <f>VLOOKUP($R191,武学奇术!$A:$ZZ,26,FALSE)</f>
        <v>0.20592</v>
      </c>
      <c r="AJ191" s="21">
        <f>VLOOKUP($R191,武学奇术!$A:$ZZ,27,FALSE)*(1+IF(OR($AH191=$F$4,$AH191=$F$5),$B$22,0))</f>
        <v>0</v>
      </c>
      <c r="AK191" s="20">
        <f>VLOOKUP($R191,武学奇术!$A:$ZZ,28,FALSE)</f>
        <v>0.30888</v>
      </c>
      <c r="AL191" s="21">
        <f>VLOOKUP($R191,武学奇术!$A:$ZZ,29,FALSE)*(1+IF(OR($AH191=$F$4,$AH191=$F$5),$B$22,0))</f>
        <v>0</v>
      </c>
      <c r="AM191" s="20" cm="1">
        <f t="array" ref="AM191">$G$3+IFERROR(VLOOKUP($AH191,$F$4:$G$7,2,FALSE),0)+VLOOKUP($R191,武学奇术!$A:$ZZ,2,FALSE)+SUM(_xlfn.XLOOKUP($S191:$AG191,增益!$A:$A,增益!$B:$B,0))</f>
        <v>1.2391</v>
      </c>
      <c r="AN191" s="20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1548.52</v>
      </c>
      <c r="AP191" cm="1">
        <f t="array" ref="AP191">$E$10*(1+$AN191)+VLOOKUP($R191,武学奇术!$A:$ZZ,4,FALSE)+SUM(_xlfn.XLOOKUP($S191:$AG191,增益!$A:$A,增益!$D:$D,0))-$I$2</f>
        <v>6659.56</v>
      </c>
      <c r="AQ191" s="29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0.3175</v>
      </c>
      <c r="AR191" s="29" cm="1">
        <f t="array" ref="AR191">$G$10+VLOOKUP($R191,武学奇术!$A:$ZZ,7,FALSE)+SUM(_xlfn.XLOOKUP(S191:AG191,增益!$A:$A,增益!$G:$G,0))</f>
        <v>0</v>
      </c>
      <c r="AS191" s="20" cm="1">
        <f t="array" ref="AS191">VLOOKUP($R191,武学奇术!$A:$ZZ,8,FALSE)+SUM(_xlfn.XLOOKUP(S191:AG191,增益!$A:$A,增益!$H:$H,0))</f>
        <v>0</v>
      </c>
      <c r="AT191">
        <f t="shared" si="23"/>
        <v>538</v>
      </c>
      <c r="AU191">
        <f t="shared" si="24"/>
        <v>1011</v>
      </c>
      <c r="AV191" s="29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0.075</v>
      </c>
      <c r="AW191" s="29" cm="1">
        <f t="array" ref="AW191">$G$11+VLOOKUP($R191,武学奇术!$A:$ZZ,10,FALSE)+SUM(_xlfn.XLOOKUP(S191:AG191,增益!$A:$A,增益!$J:$J,0))</f>
        <v>0.15</v>
      </c>
      <c r="AX191">
        <f t="shared" si="25"/>
        <v>0</v>
      </c>
      <c r="AY191">
        <f t="shared" si="26"/>
        <v>0</v>
      </c>
      <c r="AZ191" s="29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-0.3</v>
      </c>
      <c r="BA191" s="29" cm="1">
        <f t="array" ref="BA191">$G$12+VLOOKUP($R191,武学奇术!$A:$ZZ,12,FALSE)+SUM(_xlfn.XLOOKUP(S191:AG191,增益!$A:$A,增益!$L:$L,0))</f>
        <v>0</v>
      </c>
      <c r="BB191">
        <f t="shared" si="27"/>
        <v>0</v>
      </c>
      <c r="BC191">
        <f t="shared" si="28"/>
        <v>0</v>
      </c>
      <c r="BD191" s="29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-0.3</v>
      </c>
      <c r="BE191" s="29" cm="1">
        <f t="array" ref="BE191">$G$13+VLOOKUP($R191,武学奇术!$A:$ZZ,14,FALSE)+SUM(_xlfn.XLOOKUP(S191:AG191,增益!$A:$A,增益!$N:$N,0))</f>
        <v>0</v>
      </c>
      <c r="BF191">
        <f t="shared" si="29"/>
        <v>0</v>
      </c>
      <c r="BG191">
        <f t="shared" si="30"/>
        <v>0</v>
      </c>
      <c r="BH191" s="29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-0.3</v>
      </c>
      <c r="BI191" s="29" cm="1">
        <f t="array" ref="BI191">$G$14+VLOOKUP($R191,武学奇术!$A:$ZZ,16,FALSE)+SUM(_xlfn.XLOOKUP(S191:AG191,增益!$A:$A,增益!$P:$P,0))</f>
        <v>0</v>
      </c>
      <c r="BJ191" s="20">
        <f>MIN(IF(VLOOKUP($R191,武学奇术!$A:$ZZ,23,FALSE)=1,100%,$B$8),100%)</f>
        <v>0.8271</v>
      </c>
      <c r="BK191" s="20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0.2249</v>
      </c>
      <c r="BL191" s="20" cm="1">
        <f t="array" ref="BL191">1+$B$13+VLOOKUP($R191,武学奇术!$A:$ZZ,18,FALSE)+SUM(_xlfn.XLOOKUP(S191:AG191,增益!$A:$A,增益!$R:$R,0))</f>
        <v>1.5</v>
      </c>
      <c r="BM191" s="20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0.4459</v>
      </c>
      <c r="BN191" s="20" cm="1">
        <f t="array" ref="BN191">1+$B$14+VLOOKUP($R191,武学奇术!$A:$ZZ,20,FALSE)+SUM(_xlfn.XLOOKUP(S191:AG191,增益!$A:$A,增益!$T:$T,0))</f>
        <v>1.772</v>
      </c>
      <c r="BO191" s="20">
        <f t="shared" si="31"/>
        <v>0.18601479</v>
      </c>
      <c r="BP191" s="20">
        <f t="shared" si="32"/>
        <v>0.27228132</v>
      </c>
      <c r="BQ191" s="20">
        <f>IF(VLOOKUP($R191,武学奇术!$A:$ZZ,22,FALSE)=1,0,(1-$BJ191))*(1-$BM191)</f>
        <v>0.09580389</v>
      </c>
      <c r="BR191" s="20" cm="1">
        <f t="array" ref="BR191">SUM(_xlfn.XLOOKUP(S191:AG191,增益!$A:$A,增益!$W:$W,0))+$I$5</f>
        <v>0.11</v>
      </c>
    </row>
    <row r="192" spans="11:70">
      <c r="K192" s="27">
        <f>$L192*VLOOKUP($R192,武学奇术!$A:$ZZ,31,FALSE)</f>
        <v>5057.7217823275</v>
      </c>
      <c r="L192" s="27">
        <f t="shared" si="22"/>
        <v>8429.53630387916</v>
      </c>
      <c r="M192" s="27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6934.65545188458</v>
      </c>
      <c r="N192" s="27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12747.6758067069</v>
      </c>
      <c r="O192" s="27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4623.10363458972</v>
      </c>
      <c r="P192" s="27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2052.25929699721</v>
      </c>
      <c r="Q192" s="35">
        <v>1</v>
      </c>
      <c r="R192" s="36" t="s">
        <v>165</v>
      </c>
      <c r="S192" s="36" t="s">
        <v>71</v>
      </c>
      <c r="T192" s="36" t="s">
        <v>99</v>
      </c>
      <c r="U192" s="36" t="s">
        <v>100</v>
      </c>
      <c r="V192" s="36" t="s">
        <v>71</v>
      </c>
      <c r="W192" s="36" t="s">
        <v>111</v>
      </c>
      <c r="X192" s="36" t="s">
        <v>71</v>
      </c>
      <c r="Y192" s="36" t="s">
        <v>71</v>
      </c>
      <c r="Z192" s="36" t="s">
        <v>71</v>
      </c>
      <c r="AA192" s="36" t="s">
        <v>71</v>
      </c>
      <c r="AB192" s="36" t="s">
        <v>71</v>
      </c>
      <c r="AC192" s="36" t="s">
        <v>71</v>
      </c>
      <c r="AD192" s="36" t="s">
        <v>72</v>
      </c>
      <c r="AE192" s="36" t="s">
        <v>94</v>
      </c>
      <c r="AF192" s="36" t="s">
        <v>150</v>
      </c>
      <c r="AG192" s="36" t="s">
        <v>120</v>
      </c>
      <c r="AH192" t="str">
        <f>VLOOKUP($R192,武学奇术!$A:$ZZ,25,FALSE)</f>
        <v>剑</v>
      </c>
      <c r="AI192" s="20">
        <f>VLOOKUP($R192,武学奇术!$A:$ZZ,26,FALSE)</f>
        <v>0.20592</v>
      </c>
      <c r="AJ192" s="21">
        <f>VLOOKUP($R192,武学奇术!$A:$ZZ,27,FALSE)*(1+IF(OR($AH192=$F$4,$AH192=$F$5),$B$22,0))</f>
        <v>0</v>
      </c>
      <c r="AK192" s="20">
        <f>VLOOKUP($R192,武学奇术!$A:$ZZ,28,FALSE)</f>
        <v>0.30888</v>
      </c>
      <c r="AL192" s="21">
        <f>VLOOKUP($R192,武学奇术!$A:$ZZ,29,FALSE)*(1+IF(OR($AH192=$F$4,$AH192=$F$5),$B$22,0))</f>
        <v>0</v>
      </c>
      <c r="AM192" s="20" cm="1">
        <f t="array" ref="AM192">$G$3+IFERROR(VLOOKUP($AH192,$F$4:$G$7,2,FALSE),0)+VLOOKUP($R192,武学奇术!$A:$ZZ,2,FALSE)+SUM(_xlfn.XLOOKUP($S192:$AG192,增益!$A:$A,增益!$B:$B,0))</f>
        <v>1.2391</v>
      </c>
      <c r="AN192" s="20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1548.52</v>
      </c>
      <c r="AP192" cm="1">
        <f t="array" ref="AP192">$E$10*(1+$AN192)+VLOOKUP($R192,武学奇术!$A:$ZZ,4,FALSE)+SUM(_xlfn.XLOOKUP($S192:$AG192,增益!$A:$A,增益!$D:$D,0))-$I$2</f>
        <v>6659.56</v>
      </c>
      <c r="AQ192" s="29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0.3175</v>
      </c>
      <c r="AR192" s="29" cm="1">
        <f t="array" ref="AR192">$G$10+VLOOKUP($R192,武学奇术!$A:$ZZ,7,FALSE)+SUM(_xlfn.XLOOKUP(S192:AG192,增益!$A:$A,增益!$G:$G,0))</f>
        <v>0</v>
      </c>
      <c r="AS192" s="20" cm="1">
        <f t="array" ref="AS192">VLOOKUP($R192,武学奇术!$A:$ZZ,8,FALSE)+SUM(_xlfn.XLOOKUP(S192:AG192,增益!$A:$A,增益!$H:$H,0))</f>
        <v>0</v>
      </c>
      <c r="AT192">
        <f t="shared" si="23"/>
        <v>538</v>
      </c>
      <c r="AU192">
        <f t="shared" si="24"/>
        <v>1011</v>
      </c>
      <c r="AV192" s="29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0.075</v>
      </c>
      <c r="AW192" s="29" cm="1">
        <f t="array" ref="AW192">$G$11+VLOOKUP($R192,武学奇术!$A:$ZZ,10,FALSE)+SUM(_xlfn.XLOOKUP(S192:AG192,增益!$A:$A,增益!$J:$J,0))</f>
        <v>0.15</v>
      </c>
      <c r="AX192">
        <f t="shared" si="25"/>
        <v>0</v>
      </c>
      <c r="AY192">
        <f t="shared" si="26"/>
        <v>0</v>
      </c>
      <c r="AZ192" s="29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-0.3</v>
      </c>
      <c r="BA192" s="29" cm="1">
        <f t="array" ref="BA192">$G$12+VLOOKUP($R192,武学奇术!$A:$ZZ,12,FALSE)+SUM(_xlfn.XLOOKUP(S192:AG192,增益!$A:$A,增益!$L:$L,0))</f>
        <v>0</v>
      </c>
      <c r="BB192">
        <f t="shared" si="27"/>
        <v>0</v>
      </c>
      <c r="BC192">
        <f t="shared" si="28"/>
        <v>0</v>
      </c>
      <c r="BD192" s="29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-0.3</v>
      </c>
      <c r="BE192" s="29" cm="1">
        <f t="array" ref="BE192">$G$13+VLOOKUP($R192,武学奇术!$A:$ZZ,14,FALSE)+SUM(_xlfn.XLOOKUP(S192:AG192,增益!$A:$A,增益!$N:$N,0))</f>
        <v>0</v>
      </c>
      <c r="BF192">
        <f t="shared" si="29"/>
        <v>0</v>
      </c>
      <c r="BG192">
        <f t="shared" si="30"/>
        <v>0</v>
      </c>
      <c r="BH192" s="29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-0.3</v>
      </c>
      <c r="BI192" s="29" cm="1">
        <f t="array" ref="BI192">$G$14+VLOOKUP($R192,武学奇术!$A:$ZZ,16,FALSE)+SUM(_xlfn.XLOOKUP(S192:AG192,增益!$A:$A,增益!$P:$P,0))</f>
        <v>0</v>
      </c>
      <c r="BJ192" s="20">
        <f>MIN(IF(VLOOKUP($R192,武学奇术!$A:$ZZ,23,FALSE)=1,100%,$B$8),100%)</f>
        <v>0.8271</v>
      </c>
      <c r="BK192" s="20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0.2249</v>
      </c>
      <c r="BL192" s="20" cm="1">
        <f t="array" ref="BL192">1+$B$13+VLOOKUP($R192,武学奇术!$A:$ZZ,18,FALSE)+SUM(_xlfn.XLOOKUP(S192:AG192,增益!$A:$A,增益!$R:$R,0))</f>
        <v>1.5</v>
      </c>
      <c r="BM192" s="20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0.4459</v>
      </c>
      <c r="BN192" s="20" cm="1">
        <f t="array" ref="BN192">1+$B$14+VLOOKUP($R192,武学奇术!$A:$ZZ,20,FALSE)+SUM(_xlfn.XLOOKUP(S192:AG192,增益!$A:$A,增益!$T:$T,0))</f>
        <v>1.772</v>
      </c>
      <c r="BO192" s="20">
        <f t="shared" si="31"/>
        <v>0.18601479</v>
      </c>
      <c r="BP192" s="20">
        <f t="shared" si="32"/>
        <v>0.27228132</v>
      </c>
      <c r="BQ192" s="20">
        <f>IF(VLOOKUP($R192,武学奇术!$A:$ZZ,22,FALSE)=1,0,(1-$BJ192))*(1-$BM192)</f>
        <v>0.09580389</v>
      </c>
      <c r="BR192" s="20" cm="1">
        <f t="array" ref="BR192">SUM(_xlfn.XLOOKUP(S192:AG192,增益!$A:$A,增益!$W:$W,0))+$I$5</f>
        <v>0.11</v>
      </c>
    </row>
    <row r="193" spans="11:70">
      <c r="K193" s="27">
        <f>$L193*VLOOKUP($R193,武学奇术!$A:$ZZ,31,FALSE)</f>
        <v>5076.96847073227</v>
      </c>
      <c r="L193" s="27">
        <f t="shared" si="22"/>
        <v>8461.61411788712</v>
      </c>
      <c r="M193" s="27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6934.65545188458</v>
      </c>
      <c r="N193" s="27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12819.6152864287</v>
      </c>
      <c r="O193" s="27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4623.10363458972</v>
      </c>
      <c r="P193" s="27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2052.25929699721</v>
      </c>
      <c r="Q193" s="35">
        <v>1</v>
      </c>
      <c r="R193" s="36" t="s">
        <v>165</v>
      </c>
      <c r="S193" s="36" t="s">
        <v>71</v>
      </c>
      <c r="T193" s="36" t="s">
        <v>99</v>
      </c>
      <c r="U193" s="36" t="s">
        <v>100</v>
      </c>
      <c r="V193" s="36" t="s">
        <v>71</v>
      </c>
      <c r="W193" s="36" t="s">
        <v>111</v>
      </c>
      <c r="X193" s="36" t="s">
        <v>71</v>
      </c>
      <c r="Y193" s="36" t="s">
        <v>71</v>
      </c>
      <c r="Z193" s="36" t="s">
        <v>71</v>
      </c>
      <c r="AA193" s="36" t="s">
        <v>71</v>
      </c>
      <c r="AB193" s="36" t="s">
        <v>71</v>
      </c>
      <c r="AC193" s="36" t="s">
        <v>71</v>
      </c>
      <c r="AD193" s="36" t="s">
        <v>72</v>
      </c>
      <c r="AE193" s="36" t="s">
        <v>94</v>
      </c>
      <c r="AF193" s="36" t="s">
        <v>154</v>
      </c>
      <c r="AG193" s="36" t="s">
        <v>120</v>
      </c>
      <c r="AH193" t="str">
        <f>VLOOKUP($R193,武学奇术!$A:$ZZ,25,FALSE)</f>
        <v>剑</v>
      </c>
      <c r="AI193" s="20">
        <f>VLOOKUP($R193,武学奇术!$A:$ZZ,26,FALSE)</f>
        <v>0.20592</v>
      </c>
      <c r="AJ193" s="21">
        <f>VLOOKUP($R193,武学奇术!$A:$ZZ,27,FALSE)*(1+IF(OR($AH193=$F$4,$AH193=$F$5),$B$22,0))</f>
        <v>0</v>
      </c>
      <c r="AK193" s="20">
        <f>VLOOKUP($R193,武学奇术!$A:$ZZ,28,FALSE)</f>
        <v>0.30888</v>
      </c>
      <c r="AL193" s="21">
        <f>VLOOKUP($R193,武学奇术!$A:$ZZ,29,FALSE)*(1+IF(OR($AH193=$F$4,$AH193=$F$5),$B$22,0))</f>
        <v>0</v>
      </c>
      <c r="AM193" s="20" cm="1">
        <f t="array" ref="AM193">$G$3+IFERROR(VLOOKUP($AH193,$F$4:$G$7,2,FALSE),0)+VLOOKUP($R193,武学奇术!$A:$ZZ,2,FALSE)+SUM(_xlfn.XLOOKUP($S193:$AG193,增益!$A:$A,增益!$B:$B,0))</f>
        <v>1.2391</v>
      </c>
      <c r="AN193" s="20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1548.52</v>
      </c>
      <c r="AP193" cm="1">
        <f t="array" ref="AP193">$E$10*(1+$AN193)+VLOOKUP($R193,武学奇术!$A:$ZZ,4,FALSE)+SUM(_xlfn.XLOOKUP($S193:$AG193,增益!$A:$A,增益!$D:$D,0))-$I$2</f>
        <v>6659.56</v>
      </c>
      <c r="AQ193" s="29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0.3175</v>
      </c>
      <c r="AR193" s="29" cm="1">
        <f t="array" ref="AR193">$G$10+VLOOKUP($R193,武学奇术!$A:$ZZ,7,FALSE)+SUM(_xlfn.XLOOKUP(S193:AG193,增益!$A:$A,增益!$G:$G,0))</f>
        <v>0</v>
      </c>
      <c r="AS193" s="20" cm="1">
        <f t="array" ref="AS193">VLOOKUP($R193,武学奇术!$A:$ZZ,8,FALSE)+SUM(_xlfn.XLOOKUP(S193:AG193,增益!$A:$A,增益!$H:$H,0))</f>
        <v>0</v>
      </c>
      <c r="AT193">
        <f t="shared" si="23"/>
        <v>538</v>
      </c>
      <c r="AU193">
        <f t="shared" si="24"/>
        <v>1011</v>
      </c>
      <c r="AV193" s="29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0.075</v>
      </c>
      <c r="AW193" s="29" cm="1">
        <f t="array" ref="AW193">$G$11+VLOOKUP($R193,武学奇术!$A:$ZZ,10,FALSE)+SUM(_xlfn.XLOOKUP(S193:AG193,增益!$A:$A,增益!$J:$J,0))</f>
        <v>0.15</v>
      </c>
      <c r="AX193">
        <f t="shared" si="25"/>
        <v>0</v>
      </c>
      <c r="AY193">
        <f t="shared" si="26"/>
        <v>0</v>
      </c>
      <c r="AZ193" s="29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-0.3</v>
      </c>
      <c r="BA193" s="29" cm="1">
        <f t="array" ref="BA193">$G$12+VLOOKUP($R193,武学奇术!$A:$ZZ,12,FALSE)+SUM(_xlfn.XLOOKUP(S193:AG193,增益!$A:$A,增益!$L:$L,0))</f>
        <v>0</v>
      </c>
      <c r="BB193">
        <f t="shared" si="27"/>
        <v>0</v>
      </c>
      <c r="BC193">
        <f t="shared" si="28"/>
        <v>0</v>
      </c>
      <c r="BD193" s="29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-0.3</v>
      </c>
      <c r="BE193" s="29" cm="1">
        <f t="array" ref="BE193">$G$13+VLOOKUP($R193,武学奇术!$A:$ZZ,14,FALSE)+SUM(_xlfn.XLOOKUP(S193:AG193,增益!$A:$A,增益!$N:$N,0))</f>
        <v>0</v>
      </c>
      <c r="BF193">
        <f t="shared" si="29"/>
        <v>0</v>
      </c>
      <c r="BG193">
        <f t="shared" si="30"/>
        <v>0</v>
      </c>
      <c r="BH193" s="29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-0.3</v>
      </c>
      <c r="BI193" s="29" cm="1">
        <f t="array" ref="BI193">$G$14+VLOOKUP($R193,武学奇术!$A:$ZZ,16,FALSE)+SUM(_xlfn.XLOOKUP(S193:AG193,增益!$A:$A,增益!$P:$P,0))</f>
        <v>0</v>
      </c>
      <c r="BJ193" s="20">
        <f>MIN(IF(VLOOKUP($R193,武学奇术!$A:$ZZ,23,FALSE)=1,100%,$B$8),100%)</f>
        <v>0.8271</v>
      </c>
      <c r="BK193" s="20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0.2249</v>
      </c>
      <c r="BL193" s="20" cm="1">
        <f t="array" ref="BL193">1+$B$13+VLOOKUP($R193,武学奇术!$A:$ZZ,18,FALSE)+SUM(_xlfn.XLOOKUP(S193:AG193,增益!$A:$A,增益!$R:$R,0))</f>
        <v>1.5</v>
      </c>
      <c r="BM193" s="20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0.4459</v>
      </c>
      <c r="BN193" s="20" cm="1">
        <f t="array" ref="BN193">1+$B$14+VLOOKUP($R193,武学奇术!$A:$ZZ,20,FALSE)+SUM(_xlfn.XLOOKUP(S193:AG193,增益!$A:$A,增益!$T:$T,0))</f>
        <v>1.782</v>
      </c>
      <c r="BO193" s="20">
        <f t="shared" si="31"/>
        <v>0.18601479</v>
      </c>
      <c r="BP193" s="20">
        <f t="shared" si="32"/>
        <v>0.27228132</v>
      </c>
      <c r="BQ193" s="20">
        <f>IF(VLOOKUP($R193,武学奇术!$A:$ZZ,22,FALSE)=1,0,(1-$BJ193))*(1-$BM193)</f>
        <v>0.09580389</v>
      </c>
      <c r="BR193" s="20" cm="1">
        <f t="array" ref="BR193">SUM(_xlfn.XLOOKUP(S193:AG193,增益!$A:$A,增益!$W:$W,0))+$I$5</f>
        <v>0.11</v>
      </c>
    </row>
    <row r="194" spans="11:70">
      <c r="K194" s="27">
        <f>$L194*VLOOKUP($R194,武学奇术!$A:$ZZ,31,FALSE)</f>
        <v>5076.96847073227</v>
      </c>
      <c r="L194" s="27">
        <f t="shared" ref="L194:L257" si="33">($M194*$BO194+$N194*$BM194+$O194*$BP194+$P194*$BQ194)</f>
        <v>8461.61411788712</v>
      </c>
      <c r="M194" s="27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6934.65545188458</v>
      </c>
      <c r="N194" s="27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12819.6152864287</v>
      </c>
      <c r="O194" s="27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4623.10363458972</v>
      </c>
      <c r="P194" s="27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2052.25929699721</v>
      </c>
      <c r="Q194" s="35">
        <v>1</v>
      </c>
      <c r="R194" s="36" t="s">
        <v>165</v>
      </c>
      <c r="S194" s="36" t="s">
        <v>71</v>
      </c>
      <c r="T194" s="36" t="s">
        <v>99</v>
      </c>
      <c r="U194" s="36" t="s">
        <v>100</v>
      </c>
      <c r="V194" s="36" t="s">
        <v>71</v>
      </c>
      <c r="W194" s="36" t="s">
        <v>111</v>
      </c>
      <c r="X194" s="36" t="s">
        <v>71</v>
      </c>
      <c r="Y194" s="36" t="s">
        <v>71</v>
      </c>
      <c r="Z194" s="36" t="s">
        <v>71</v>
      </c>
      <c r="AA194" s="36" t="s">
        <v>71</v>
      </c>
      <c r="AB194" s="36" t="s">
        <v>71</v>
      </c>
      <c r="AC194" s="36" t="s">
        <v>71</v>
      </c>
      <c r="AD194" s="36" t="s">
        <v>72</v>
      </c>
      <c r="AE194" s="36" t="s">
        <v>94</v>
      </c>
      <c r="AF194" s="36" t="s">
        <v>154</v>
      </c>
      <c r="AG194" s="36" t="s">
        <v>120</v>
      </c>
      <c r="AH194" t="str">
        <f>VLOOKUP($R194,武学奇术!$A:$ZZ,25,FALSE)</f>
        <v>剑</v>
      </c>
      <c r="AI194" s="20">
        <f>VLOOKUP($R194,武学奇术!$A:$ZZ,26,FALSE)</f>
        <v>0.20592</v>
      </c>
      <c r="AJ194" s="21">
        <f>VLOOKUP($R194,武学奇术!$A:$ZZ,27,FALSE)*(1+IF(OR($AH194=$F$4,$AH194=$F$5),$B$22,0))</f>
        <v>0</v>
      </c>
      <c r="AK194" s="20">
        <f>VLOOKUP($R194,武学奇术!$A:$ZZ,28,FALSE)</f>
        <v>0.30888</v>
      </c>
      <c r="AL194" s="21">
        <f>VLOOKUP($R194,武学奇术!$A:$ZZ,29,FALSE)*(1+IF(OR($AH194=$F$4,$AH194=$F$5),$B$22,0))</f>
        <v>0</v>
      </c>
      <c r="AM194" s="20" cm="1">
        <f t="array" ref="AM194">$G$3+IFERROR(VLOOKUP($AH194,$F$4:$G$7,2,FALSE),0)+VLOOKUP($R194,武学奇术!$A:$ZZ,2,FALSE)+SUM(_xlfn.XLOOKUP($S194:$AG194,增益!$A:$A,增益!$B:$B,0))</f>
        <v>1.2391</v>
      </c>
      <c r="AN194" s="20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1548.52</v>
      </c>
      <c r="AP194" cm="1">
        <f t="array" ref="AP194">$E$10*(1+$AN194)+VLOOKUP($R194,武学奇术!$A:$ZZ,4,FALSE)+SUM(_xlfn.XLOOKUP($S194:$AG194,增益!$A:$A,增益!$D:$D,0))-$I$2</f>
        <v>6659.56</v>
      </c>
      <c r="AQ194" s="29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0.3175</v>
      </c>
      <c r="AR194" s="29" cm="1">
        <f t="array" ref="AR194">$G$10+VLOOKUP($R194,武学奇术!$A:$ZZ,7,FALSE)+SUM(_xlfn.XLOOKUP(S194:AG194,增益!$A:$A,增益!$G:$G,0))</f>
        <v>0</v>
      </c>
      <c r="AS194" s="20" cm="1">
        <f t="array" ref="AS194">VLOOKUP($R194,武学奇术!$A:$ZZ,8,FALSE)+SUM(_xlfn.XLOOKUP(S194:AG194,增益!$A:$A,增益!$H:$H,0))</f>
        <v>0</v>
      </c>
      <c r="AT194">
        <f t="shared" ref="AT194:AT257" si="34">$D$11*(1+$AS194)</f>
        <v>538</v>
      </c>
      <c r="AU194">
        <f t="shared" ref="AU194:AU257" si="35">$E$11*(1+$AS194)</f>
        <v>1011</v>
      </c>
      <c r="AV194" s="29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0.075</v>
      </c>
      <c r="AW194" s="29" cm="1">
        <f t="array" ref="AW194">$G$11+VLOOKUP($R194,武学奇术!$A:$ZZ,10,FALSE)+SUM(_xlfn.XLOOKUP(S194:AG194,增益!$A:$A,增益!$J:$J,0))</f>
        <v>0.15</v>
      </c>
      <c r="AX194">
        <f t="shared" ref="AX194:AX257" si="36">$D$12*(1+$AS194)</f>
        <v>0</v>
      </c>
      <c r="AY194">
        <f t="shared" ref="AY194:AY257" si="37">$E$12*(1+$AS194)</f>
        <v>0</v>
      </c>
      <c r="AZ194" s="29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29" cm="1">
        <f t="array" ref="BA194">$G$12+VLOOKUP($R194,武学奇术!$A:$ZZ,12,FALSE)+SUM(_xlfn.XLOOKUP(S194:AG194,增益!$A:$A,增益!$L:$L,0))</f>
        <v>0</v>
      </c>
      <c r="BB194">
        <f t="shared" ref="BB194:BB257" si="38">$D$13*(1+$AS194)</f>
        <v>0</v>
      </c>
      <c r="BC194">
        <f t="shared" ref="BC194:BC257" si="39">$E$13*(1+$AS194)</f>
        <v>0</v>
      </c>
      <c r="BD194" s="29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29" cm="1">
        <f t="array" ref="BE194">$G$13+VLOOKUP($R194,武学奇术!$A:$ZZ,14,FALSE)+SUM(_xlfn.XLOOKUP(S194:AG194,增益!$A:$A,增益!$N:$N,0))</f>
        <v>0</v>
      </c>
      <c r="BF194">
        <f t="shared" ref="BF194:BF257" si="40">$D$14*(1+$AS194)</f>
        <v>0</v>
      </c>
      <c r="BG194">
        <f t="shared" ref="BG194:BG257" si="41">$E$14*(1+$AS194)</f>
        <v>0</v>
      </c>
      <c r="BH194" s="29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29" cm="1">
        <f t="array" ref="BI194">$G$14+VLOOKUP($R194,武学奇术!$A:$ZZ,16,FALSE)+SUM(_xlfn.XLOOKUP(S194:AG194,增益!$A:$A,增益!$P:$P,0))</f>
        <v>0</v>
      </c>
      <c r="BJ194" s="20">
        <f>MIN(IF(VLOOKUP($R194,武学奇术!$A:$ZZ,23,FALSE)=1,100%,$B$8),100%)</f>
        <v>0.8271</v>
      </c>
      <c r="BK194" s="20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0.2249</v>
      </c>
      <c r="BL194" s="20" cm="1">
        <f t="array" ref="BL194">1+$B$13+VLOOKUP($R194,武学奇术!$A:$ZZ,18,FALSE)+SUM(_xlfn.XLOOKUP(S194:AG194,增益!$A:$A,增益!$R:$R,0))</f>
        <v>1.5</v>
      </c>
      <c r="BM194" s="20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0.4459</v>
      </c>
      <c r="BN194" s="20" cm="1">
        <f t="array" ref="BN194">1+$B$14+VLOOKUP($R194,武学奇术!$A:$ZZ,20,FALSE)+SUM(_xlfn.XLOOKUP(S194:AG194,增益!$A:$A,增益!$T:$T,0))</f>
        <v>1.782</v>
      </c>
      <c r="BO194" s="20">
        <f t="shared" ref="BO194:BO257" si="42">MIN((1-BM194)*BJ194,BJ194*BK194)</f>
        <v>0.18601479</v>
      </c>
      <c r="BP194" s="20">
        <f t="shared" ref="BP194:BP257" si="43">1-BM194-BO194-BQ194</f>
        <v>0.27228132</v>
      </c>
      <c r="BQ194" s="20">
        <f>IF(VLOOKUP($R194,武学奇术!$A:$ZZ,22,FALSE)=1,0,(1-$BJ194))*(1-$BM194)</f>
        <v>0.09580389</v>
      </c>
      <c r="BR194" s="20" cm="1">
        <f t="array" ref="BR194">SUM(_xlfn.XLOOKUP(S194:AG194,增益!$A:$A,增益!$W:$W,0))+$I$5</f>
        <v>0.11</v>
      </c>
    </row>
    <row r="195" spans="11:70">
      <c r="K195" s="27">
        <f>$L195*VLOOKUP($R195,武学奇术!$A:$ZZ,31,FALSE)</f>
        <v>5076.96847073227</v>
      </c>
      <c r="L195" s="27">
        <f t="shared" si="33"/>
        <v>8461.61411788712</v>
      </c>
      <c r="M195" s="27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6934.65545188458</v>
      </c>
      <c r="N195" s="27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12819.6152864287</v>
      </c>
      <c r="O195" s="27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4623.10363458972</v>
      </c>
      <c r="P195" s="27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2052.25929699721</v>
      </c>
      <c r="Q195" s="35">
        <v>1</v>
      </c>
      <c r="R195" s="36" t="s">
        <v>165</v>
      </c>
      <c r="S195" s="36" t="s">
        <v>71</v>
      </c>
      <c r="T195" s="36" t="s">
        <v>99</v>
      </c>
      <c r="U195" s="36" t="s">
        <v>100</v>
      </c>
      <c r="V195" s="36" t="s">
        <v>71</v>
      </c>
      <c r="W195" s="36" t="s">
        <v>111</v>
      </c>
      <c r="X195" s="36" t="s">
        <v>71</v>
      </c>
      <c r="Y195" s="36" t="s">
        <v>71</v>
      </c>
      <c r="Z195" s="36" t="s">
        <v>71</v>
      </c>
      <c r="AA195" s="36" t="s">
        <v>71</v>
      </c>
      <c r="AB195" s="36" t="s">
        <v>71</v>
      </c>
      <c r="AC195" s="36" t="s">
        <v>71</v>
      </c>
      <c r="AD195" s="36" t="s">
        <v>72</v>
      </c>
      <c r="AE195" s="36" t="s">
        <v>94</v>
      </c>
      <c r="AF195" s="36" t="s">
        <v>154</v>
      </c>
      <c r="AG195" s="36" t="s">
        <v>120</v>
      </c>
      <c r="AH195" t="str">
        <f>VLOOKUP($R195,武学奇术!$A:$ZZ,25,FALSE)</f>
        <v>剑</v>
      </c>
      <c r="AI195" s="20">
        <f>VLOOKUP($R195,武学奇术!$A:$ZZ,26,FALSE)</f>
        <v>0.20592</v>
      </c>
      <c r="AJ195" s="21">
        <f>VLOOKUP($R195,武学奇术!$A:$ZZ,27,FALSE)*(1+IF(OR($AH195=$F$4,$AH195=$F$5),$B$22,0))</f>
        <v>0</v>
      </c>
      <c r="AK195" s="20">
        <f>VLOOKUP($R195,武学奇术!$A:$ZZ,28,FALSE)</f>
        <v>0.30888</v>
      </c>
      <c r="AL195" s="21">
        <f>VLOOKUP($R195,武学奇术!$A:$ZZ,29,FALSE)*(1+IF(OR($AH195=$F$4,$AH195=$F$5),$B$22,0))</f>
        <v>0</v>
      </c>
      <c r="AM195" s="20" cm="1">
        <f t="array" ref="AM195">$G$3+IFERROR(VLOOKUP($AH195,$F$4:$G$7,2,FALSE),0)+VLOOKUP($R195,武学奇术!$A:$ZZ,2,FALSE)+SUM(_xlfn.XLOOKUP($S195:$AG195,增益!$A:$A,增益!$B:$B,0))</f>
        <v>1.2391</v>
      </c>
      <c r="AN195" s="20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1548.52</v>
      </c>
      <c r="AP195" cm="1">
        <f t="array" ref="AP195">$E$10*(1+$AN195)+VLOOKUP($R195,武学奇术!$A:$ZZ,4,FALSE)+SUM(_xlfn.XLOOKUP($S195:$AG195,增益!$A:$A,增益!$D:$D,0))-$I$2</f>
        <v>6659.56</v>
      </c>
      <c r="AQ195" s="29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0.3175</v>
      </c>
      <c r="AR195" s="29" cm="1">
        <f t="array" ref="AR195">$G$10+VLOOKUP($R195,武学奇术!$A:$ZZ,7,FALSE)+SUM(_xlfn.XLOOKUP(S195:AG195,增益!$A:$A,增益!$G:$G,0))</f>
        <v>0</v>
      </c>
      <c r="AS195" s="20" cm="1">
        <f t="array" ref="AS195">VLOOKUP($R195,武学奇术!$A:$ZZ,8,FALSE)+SUM(_xlfn.XLOOKUP(S195:AG195,增益!$A:$A,增益!$H:$H,0))</f>
        <v>0</v>
      </c>
      <c r="AT195">
        <f t="shared" si="34"/>
        <v>538</v>
      </c>
      <c r="AU195">
        <f t="shared" si="35"/>
        <v>1011</v>
      </c>
      <c r="AV195" s="29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0.075</v>
      </c>
      <c r="AW195" s="29" cm="1">
        <f t="array" ref="AW195">$G$11+VLOOKUP($R195,武学奇术!$A:$ZZ,10,FALSE)+SUM(_xlfn.XLOOKUP(S195:AG195,增益!$A:$A,增益!$J:$J,0))</f>
        <v>0.15</v>
      </c>
      <c r="AX195">
        <f t="shared" si="36"/>
        <v>0</v>
      </c>
      <c r="AY195">
        <f t="shared" si="37"/>
        <v>0</v>
      </c>
      <c r="AZ195" s="29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29" cm="1">
        <f t="array" ref="BA195">$G$12+VLOOKUP($R195,武学奇术!$A:$ZZ,12,FALSE)+SUM(_xlfn.XLOOKUP(S195:AG195,增益!$A:$A,增益!$L:$L,0))</f>
        <v>0</v>
      </c>
      <c r="BB195">
        <f t="shared" si="38"/>
        <v>0</v>
      </c>
      <c r="BC195">
        <f t="shared" si="39"/>
        <v>0</v>
      </c>
      <c r="BD195" s="29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29" cm="1">
        <f t="array" ref="BE195">$G$13+VLOOKUP($R195,武学奇术!$A:$ZZ,14,FALSE)+SUM(_xlfn.XLOOKUP(S195:AG195,增益!$A:$A,增益!$N:$N,0))</f>
        <v>0</v>
      </c>
      <c r="BF195">
        <f t="shared" si="40"/>
        <v>0</v>
      </c>
      <c r="BG195">
        <f t="shared" si="41"/>
        <v>0</v>
      </c>
      <c r="BH195" s="29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29" cm="1">
        <f t="array" ref="BI195">$G$14+VLOOKUP($R195,武学奇术!$A:$ZZ,16,FALSE)+SUM(_xlfn.XLOOKUP(S195:AG195,增益!$A:$A,增益!$P:$P,0))</f>
        <v>0</v>
      </c>
      <c r="BJ195" s="20">
        <f>MIN(IF(VLOOKUP($R195,武学奇术!$A:$ZZ,23,FALSE)=1,100%,$B$8),100%)</f>
        <v>0.8271</v>
      </c>
      <c r="BK195" s="20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0.2249</v>
      </c>
      <c r="BL195" s="20" cm="1">
        <f t="array" ref="BL195">1+$B$13+VLOOKUP($R195,武学奇术!$A:$ZZ,18,FALSE)+SUM(_xlfn.XLOOKUP(S195:AG195,增益!$A:$A,增益!$R:$R,0))</f>
        <v>1.5</v>
      </c>
      <c r="BM195" s="20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0.4459</v>
      </c>
      <c r="BN195" s="20" cm="1">
        <f t="array" ref="BN195">1+$B$14+VLOOKUP($R195,武学奇术!$A:$ZZ,20,FALSE)+SUM(_xlfn.XLOOKUP(S195:AG195,增益!$A:$A,增益!$T:$T,0))</f>
        <v>1.782</v>
      </c>
      <c r="BO195" s="20">
        <f t="shared" si="42"/>
        <v>0.18601479</v>
      </c>
      <c r="BP195" s="20">
        <f t="shared" si="43"/>
        <v>0.27228132</v>
      </c>
      <c r="BQ195" s="20">
        <f>IF(VLOOKUP($R195,武学奇术!$A:$ZZ,22,FALSE)=1,0,(1-$BJ195))*(1-$BM195)</f>
        <v>0.09580389</v>
      </c>
      <c r="BR195" s="20" cm="1">
        <f t="array" ref="BR195">SUM(_xlfn.XLOOKUP(S195:AG195,增益!$A:$A,增益!$W:$W,0))+$I$5</f>
        <v>0.11</v>
      </c>
    </row>
    <row r="196" spans="11:70">
      <c r="K196" s="27">
        <f>$L196*VLOOKUP($R196,武学奇术!$A:$ZZ,31,FALSE)</f>
        <v>5534.35301764509</v>
      </c>
      <c r="L196" s="27">
        <f t="shared" si="33"/>
        <v>9223.92169607515</v>
      </c>
      <c r="M196" s="27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7559.39918628859</v>
      </c>
      <c r="N196" s="27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13974.5355825034</v>
      </c>
      <c r="O196" s="27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5039.59945752573</v>
      </c>
      <c r="P196" s="27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2237.14752195191</v>
      </c>
      <c r="Q196" s="35">
        <v>1</v>
      </c>
      <c r="R196" s="36" t="s">
        <v>165</v>
      </c>
      <c r="S196" s="36" t="s">
        <v>152</v>
      </c>
      <c r="T196" s="36" t="s">
        <v>99</v>
      </c>
      <c r="U196" s="36" t="s">
        <v>100</v>
      </c>
      <c r="V196" s="36" t="s">
        <v>71</v>
      </c>
      <c r="W196" s="36" t="s">
        <v>111</v>
      </c>
      <c r="X196" s="36" t="s">
        <v>71</v>
      </c>
      <c r="Y196" s="36" t="s">
        <v>71</v>
      </c>
      <c r="Z196" s="36" t="s">
        <v>71</v>
      </c>
      <c r="AA196" s="36" t="s">
        <v>71</v>
      </c>
      <c r="AB196" s="36" t="s">
        <v>71</v>
      </c>
      <c r="AC196" s="36" t="s">
        <v>71</v>
      </c>
      <c r="AD196" s="36" t="s">
        <v>72</v>
      </c>
      <c r="AE196" s="36" t="s">
        <v>94</v>
      </c>
      <c r="AF196" s="36" t="s">
        <v>154</v>
      </c>
      <c r="AG196" s="36" t="s">
        <v>120</v>
      </c>
      <c r="AH196" t="str">
        <f>VLOOKUP($R196,武学奇术!$A:$ZZ,25,FALSE)</f>
        <v>剑</v>
      </c>
      <c r="AI196" s="20">
        <f>VLOOKUP($R196,武学奇术!$A:$ZZ,26,FALSE)</f>
        <v>0.20592</v>
      </c>
      <c r="AJ196" s="21">
        <f>VLOOKUP($R196,武学奇术!$A:$ZZ,27,FALSE)*(1+IF(OR($AH196=$F$4,$AH196=$F$5),$B$22,0))</f>
        <v>0</v>
      </c>
      <c r="AK196" s="20">
        <f>VLOOKUP($R196,武学奇术!$A:$ZZ,28,FALSE)</f>
        <v>0.30888</v>
      </c>
      <c r="AL196" s="21">
        <f>VLOOKUP($R196,武学奇术!$A:$ZZ,29,FALSE)*(1+IF(OR($AH196=$F$4,$AH196=$F$5),$B$22,0))</f>
        <v>0</v>
      </c>
      <c r="AM196" s="20" cm="1">
        <f t="array" ref="AM196">$G$3+IFERROR(VLOOKUP($AH196,$F$4:$G$7,2,FALSE),0)+VLOOKUP($R196,武学奇术!$A:$ZZ,2,FALSE)+SUM(_xlfn.XLOOKUP($S196:$AG196,增益!$A:$A,增益!$B:$B,0))</f>
        <v>1.2391</v>
      </c>
      <c r="AN196" s="20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1548.52</v>
      </c>
      <c r="AP196" cm="1">
        <f t="array" ref="AP196">$E$10*(1+$AN196)+VLOOKUP($R196,武学奇术!$A:$ZZ,4,FALSE)+SUM(_xlfn.XLOOKUP($S196:$AG196,增益!$A:$A,增益!$D:$D,0))-$I$2</f>
        <v>6659.56</v>
      </c>
      <c r="AQ196" s="29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0.3175</v>
      </c>
      <c r="AR196" s="29" cm="1">
        <f t="array" ref="AR196">$G$10+VLOOKUP($R196,武学奇术!$A:$ZZ,7,FALSE)+SUM(_xlfn.XLOOKUP(S196:AG196,增益!$A:$A,增益!$G:$G,0))</f>
        <v>0</v>
      </c>
      <c r="AS196" s="20" cm="1">
        <f t="array" ref="AS196">VLOOKUP($R196,武学奇术!$A:$ZZ,8,FALSE)+SUM(_xlfn.XLOOKUP(S196:AG196,增益!$A:$A,增益!$H:$H,0))</f>
        <v>0</v>
      </c>
      <c r="AT196">
        <f t="shared" si="34"/>
        <v>538</v>
      </c>
      <c r="AU196">
        <f t="shared" si="35"/>
        <v>1011</v>
      </c>
      <c r="AV196" s="29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0.075</v>
      </c>
      <c r="AW196" s="29" cm="1">
        <f t="array" ref="AW196">$G$11+VLOOKUP($R196,武学奇术!$A:$ZZ,10,FALSE)+SUM(_xlfn.XLOOKUP(S196:AG196,增益!$A:$A,增益!$J:$J,0))</f>
        <v>0.15</v>
      </c>
      <c r="AX196">
        <f t="shared" si="36"/>
        <v>0</v>
      </c>
      <c r="AY196">
        <f t="shared" si="37"/>
        <v>0</v>
      </c>
      <c r="AZ196" s="29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29" cm="1">
        <f t="array" ref="BA196">$G$12+VLOOKUP($R196,武学奇术!$A:$ZZ,12,FALSE)+SUM(_xlfn.XLOOKUP(S196:AG196,增益!$A:$A,增益!$L:$L,0))</f>
        <v>0</v>
      </c>
      <c r="BB196">
        <f t="shared" si="38"/>
        <v>0</v>
      </c>
      <c r="BC196">
        <f t="shared" si="39"/>
        <v>0</v>
      </c>
      <c r="BD196" s="29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29" cm="1">
        <f t="array" ref="BE196">$G$13+VLOOKUP($R196,武学奇术!$A:$ZZ,14,FALSE)+SUM(_xlfn.XLOOKUP(S196:AG196,增益!$A:$A,增益!$N:$N,0))</f>
        <v>0</v>
      </c>
      <c r="BF196">
        <f t="shared" si="40"/>
        <v>0</v>
      </c>
      <c r="BG196">
        <f t="shared" si="41"/>
        <v>0</v>
      </c>
      <c r="BH196" s="29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29" cm="1">
        <f t="array" ref="BI196">$G$14+VLOOKUP($R196,武学奇术!$A:$ZZ,16,FALSE)+SUM(_xlfn.XLOOKUP(S196:AG196,增益!$A:$A,增益!$P:$P,0))</f>
        <v>0</v>
      </c>
      <c r="BJ196" s="20">
        <f>MIN(IF(VLOOKUP($R196,武学奇术!$A:$ZZ,23,FALSE)=1,100%,$B$8),100%)</f>
        <v>0.8271</v>
      </c>
      <c r="BK196" s="20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0.2249</v>
      </c>
      <c r="BL196" s="20" cm="1">
        <f t="array" ref="BL196">1+$B$13+VLOOKUP($R196,武学奇术!$A:$ZZ,18,FALSE)+SUM(_xlfn.XLOOKUP(S196:AG196,增益!$A:$A,增益!$R:$R,0))</f>
        <v>1.5</v>
      </c>
      <c r="BM196" s="20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0.4459</v>
      </c>
      <c r="BN196" s="20" cm="1">
        <f t="array" ref="BN196">1+$B$14+VLOOKUP($R196,武学奇术!$A:$ZZ,20,FALSE)+SUM(_xlfn.XLOOKUP(S196:AG196,增益!$A:$A,增益!$T:$T,0))</f>
        <v>1.782</v>
      </c>
      <c r="BO196" s="20">
        <f t="shared" si="42"/>
        <v>0.18601479</v>
      </c>
      <c r="BP196" s="20">
        <f t="shared" si="43"/>
        <v>0.27228132</v>
      </c>
      <c r="BQ196" s="20">
        <f>IF(VLOOKUP($R196,武学奇术!$A:$ZZ,22,FALSE)=1,0,(1-$BJ196))*(1-$BM196)</f>
        <v>0.09580389</v>
      </c>
      <c r="BR196" s="20" cm="1">
        <f t="array" ref="BR196">SUM(_xlfn.XLOOKUP(S196:AG196,增益!$A:$A,增益!$W:$W,0))+$I$5</f>
        <v>0.21</v>
      </c>
    </row>
    <row r="197" spans="11:70">
      <c r="K197" s="27">
        <f>$L197*VLOOKUP($R197,武学奇术!$A:$ZZ,31,FALSE)</f>
        <v>7379.13735686012</v>
      </c>
      <c r="L197" s="27">
        <f t="shared" si="33"/>
        <v>12298.5622614335</v>
      </c>
      <c r="M197" s="27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10079.1989150515</v>
      </c>
      <c r="N197" s="27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18632.7141100045</v>
      </c>
      <c r="O197" s="27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6719.46594336764</v>
      </c>
      <c r="P197" s="27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2982.86336260255</v>
      </c>
      <c r="Q197" s="35">
        <v>1</v>
      </c>
      <c r="R197" s="36" t="s">
        <v>163</v>
      </c>
      <c r="S197" s="36" t="s">
        <v>152</v>
      </c>
      <c r="T197" s="36" t="s">
        <v>99</v>
      </c>
      <c r="U197" s="36" t="s">
        <v>100</v>
      </c>
      <c r="V197" s="36" t="s">
        <v>71</v>
      </c>
      <c r="W197" s="36" t="s">
        <v>111</v>
      </c>
      <c r="X197" s="36" t="s">
        <v>71</v>
      </c>
      <c r="Y197" s="36" t="s">
        <v>71</v>
      </c>
      <c r="Z197" s="36" t="s">
        <v>71</v>
      </c>
      <c r="AA197" s="36" t="s">
        <v>71</v>
      </c>
      <c r="AB197" s="36" t="s">
        <v>71</v>
      </c>
      <c r="AC197" s="36" t="s">
        <v>71</v>
      </c>
      <c r="AD197" s="36" t="s">
        <v>72</v>
      </c>
      <c r="AE197" s="36" t="s">
        <v>94</v>
      </c>
      <c r="AF197" s="36" t="s">
        <v>154</v>
      </c>
      <c r="AG197" s="36" t="s">
        <v>120</v>
      </c>
      <c r="AH197" t="str">
        <f>VLOOKUP($R197,武学奇术!$A:$ZZ,25,FALSE)</f>
        <v>剑</v>
      </c>
      <c r="AI197" s="20">
        <f>VLOOKUP($R197,武学奇术!$A:$ZZ,26,FALSE)</f>
        <v>0.27456</v>
      </c>
      <c r="AJ197" s="21">
        <f>VLOOKUP($R197,武学奇术!$A:$ZZ,27,FALSE)*(1+IF(OR($AH197=$F$4,$AH197=$F$5),$B$22,0))</f>
        <v>0</v>
      </c>
      <c r="AK197" s="20">
        <f>VLOOKUP($R197,武学奇术!$A:$ZZ,28,FALSE)</f>
        <v>0.41184</v>
      </c>
      <c r="AL197" s="21">
        <f>VLOOKUP($R197,武学奇术!$A:$ZZ,29,FALSE)*(1+IF(OR($AH197=$F$4,$AH197=$F$5),$B$22,0))</f>
        <v>0</v>
      </c>
      <c r="AM197" s="20" cm="1">
        <f t="array" ref="AM197">$G$3+IFERROR(VLOOKUP($AH197,$F$4:$G$7,2,FALSE),0)+VLOOKUP($R197,武学奇术!$A:$ZZ,2,FALSE)+SUM(_xlfn.XLOOKUP($S197:$AG197,增益!$A:$A,增益!$B:$B,0))</f>
        <v>1.2391</v>
      </c>
      <c r="AN197" s="20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1548.52</v>
      </c>
      <c r="AP197" cm="1">
        <f t="array" ref="AP197">$E$10*(1+$AN197)+VLOOKUP($R197,武学奇术!$A:$ZZ,4,FALSE)+SUM(_xlfn.XLOOKUP($S197:$AG197,增益!$A:$A,增益!$D:$D,0))-$I$2</f>
        <v>6659.56</v>
      </c>
      <c r="AQ197" s="29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0.3175</v>
      </c>
      <c r="AR197" s="29" cm="1">
        <f t="array" ref="AR197">$G$10+VLOOKUP($R197,武学奇术!$A:$ZZ,7,FALSE)+SUM(_xlfn.XLOOKUP(S197:AG197,增益!$A:$A,增益!$G:$G,0))</f>
        <v>0</v>
      </c>
      <c r="AS197" s="20" cm="1">
        <f t="array" ref="AS197">VLOOKUP($R197,武学奇术!$A:$ZZ,8,FALSE)+SUM(_xlfn.XLOOKUP(S197:AG197,增益!$A:$A,增益!$H:$H,0))</f>
        <v>0</v>
      </c>
      <c r="AT197">
        <f t="shared" si="34"/>
        <v>538</v>
      </c>
      <c r="AU197">
        <f t="shared" si="35"/>
        <v>1011</v>
      </c>
      <c r="AV197" s="29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0.075</v>
      </c>
      <c r="AW197" s="29" cm="1">
        <f t="array" ref="AW197">$G$11+VLOOKUP($R197,武学奇术!$A:$ZZ,10,FALSE)+SUM(_xlfn.XLOOKUP(S197:AG197,增益!$A:$A,增益!$J:$J,0))</f>
        <v>0.15</v>
      </c>
      <c r="AX197">
        <f t="shared" si="36"/>
        <v>0</v>
      </c>
      <c r="AY197">
        <f t="shared" si="37"/>
        <v>0</v>
      </c>
      <c r="AZ197" s="29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-0.3</v>
      </c>
      <c r="BA197" s="29" cm="1">
        <f t="array" ref="BA197">$G$12+VLOOKUP($R197,武学奇术!$A:$ZZ,12,FALSE)+SUM(_xlfn.XLOOKUP(S197:AG197,增益!$A:$A,增益!$L:$L,0))</f>
        <v>0</v>
      </c>
      <c r="BB197">
        <f t="shared" si="38"/>
        <v>0</v>
      </c>
      <c r="BC197">
        <f t="shared" si="39"/>
        <v>0</v>
      </c>
      <c r="BD197" s="29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-0.3</v>
      </c>
      <c r="BE197" s="29" cm="1">
        <f t="array" ref="BE197">$G$13+VLOOKUP($R197,武学奇术!$A:$ZZ,14,FALSE)+SUM(_xlfn.XLOOKUP(S197:AG197,增益!$A:$A,增益!$N:$N,0))</f>
        <v>0</v>
      </c>
      <c r="BF197">
        <f t="shared" si="40"/>
        <v>0</v>
      </c>
      <c r="BG197">
        <f t="shared" si="41"/>
        <v>0</v>
      </c>
      <c r="BH197" s="29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-0.3</v>
      </c>
      <c r="BI197" s="29" cm="1">
        <f t="array" ref="BI197">$G$14+VLOOKUP($R197,武学奇术!$A:$ZZ,16,FALSE)+SUM(_xlfn.XLOOKUP(S197:AG197,增益!$A:$A,增益!$P:$P,0))</f>
        <v>0</v>
      </c>
      <c r="BJ197" s="20">
        <f>MIN(IF(VLOOKUP($R197,武学奇术!$A:$ZZ,23,FALSE)=1,100%,$B$8),100%)</f>
        <v>0.8271</v>
      </c>
      <c r="BK197" s="20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0.2249</v>
      </c>
      <c r="BL197" s="20" cm="1">
        <f t="array" ref="BL197">1+$B$13+VLOOKUP($R197,武学奇术!$A:$ZZ,18,FALSE)+SUM(_xlfn.XLOOKUP(S197:AG197,增益!$A:$A,增益!$R:$R,0))</f>
        <v>1.5</v>
      </c>
      <c r="BM197" s="20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0.4459</v>
      </c>
      <c r="BN197" s="20" cm="1">
        <f t="array" ref="BN197">1+$B$14+VLOOKUP($R197,武学奇术!$A:$ZZ,20,FALSE)+SUM(_xlfn.XLOOKUP(S197:AG197,增益!$A:$A,增益!$T:$T,0))</f>
        <v>1.782</v>
      </c>
      <c r="BO197" s="20">
        <f t="shared" si="42"/>
        <v>0.18601479</v>
      </c>
      <c r="BP197" s="20">
        <f t="shared" si="43"/>
        <v>0.27228132</v>
      </c>
      <c r="BQ197" s="20">
        <f>IF(VLOOKUP($R197,武学奇术!$A:$ZZ,22,FALSE)=1,0,(1-$BJ197))*(1-$BM197)</f>
        <v>0.09580389</v>
      </c>
      <c r="BR197" s="20" cm="1">
        <f t="array" ref="BR197">SUM(_xlfn.XLOOKUP(S197:AG197,增益!$A:$A,增益!$W:$W,0))+$I$5</f>
        <v>0.21</v>
      </c>
    </row>
    <row r="198" spans="11:70">
      <c r="K198" s="27">
        <f>$L198*VLOOKUP($R198,武学奇术!$A:$ZZ,31,FALSE)</f>
        <v>7344.4469906765</v>
      </c>
      <c r="L198" s="27">
        <f t="shared" si="33"/>
        <v>12240.7449844608</v>
      </c>
      <c r="M198" s="27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10019.0436514228</v>
      </c>
      <c r="N198" s="27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18561.2496568136</v>
      </c>
      <c r="O198" s="27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6679.36243428184</v>
      </c>
      <c r="P198" s="27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2942.75985351675</v>
      </c>
      <c r="Q198" s="35">
        <v>1</v>
      </c>
      <c r="R198" s="36" t="s">
        <v>163</v>
      </c>
      <c r="S198" s="36" t="s">
        <v>152</v>
      </c>
      <c r="T198" s="36" t="s">
        <v>99</v>
      </c>
      <c r="U198" s="36" t="s">
        <v>100</v>
      </c>
      <c r="V198" s="36" t="s">
        <v>71</v>
      </c>
      <c r="W198" s="36" t="s">
        <v>71</v>
      </c>
      <c r="X198" s="36" t="s">
        <v>71</v>
      </c>
      <c r="Y198" s="36" t="s">
        <v>71</v>
      </c>
      <c r="Z198" s="36" t="s">
        <v>71</v>
      </c>
      <c r="AA198" s="36" t="s">
        <v>71</v>
      </c>
      <c r="AB198" s="36" t="s">
        <v>71</v>
      </c>
      <c r="AC198" s="36" t="s">
        <v>71</v>
      </c>
      <c r="AD198" s="36" t="s">
        <v>72</v>
      </c>
      <c r="AE198" s="36" t="s">
        <v>94</v>
      </c>
      <c r="AF198" s="36" t="s">
        <v>154</v>
      </c>
      <c r="AG198" s="36" t="s">
        <v>120</v>
      </c>
      <c r="AH198" t="str">
        <f>VLOOKUP($R198,武学奇术!$A:$ZZ,25,FALSE)</f>
        <v>剑</v>
      </c>
      <c r="AI198" s="20">
        <f>VLOOKUP($R198,武学奇术!$A:$ZZ,26,FALSE)</f>
        <v>0.27456</v>
      </c>
      <c r="AJ198" s="21">
        <f>VLOOKUP($R198,武学奇术!$A:$ZZ,27,FALSE)*(1+IF(OR($AH198=$F$4,$AH198=$F$5),$B$22,0))</f>
        <v>0</v>
      </c>
      <c r="AK198" s="20">
        <f>VLOOKUP($R198,武学奇术!$A:$ZZ,28,FALSE)</f>
        <v>0.41184</v>
      </c>
      <c r="AL198" s="21">
        <f>VLOOKUP($R198,武学奇术!$A:$ZZ,29,FALSE)*(1+IF(OR($AH198=$F$4,$AH198=$F$5),$B$22,0))</f>
        <v>0</v>
      </c>
      <c r="AM198" s="20" cm="1">
        <f t="array" ref="AM198">$G$3+IFERROR(VLOOKUP($AH198,$F$4:$G$7,2,FALSE),0)+VLOOKUP($R198,武学奇术!$A:$ZZ,2,FALSE)+SUM(_xlfn.XLOOKUP($S198:$AG198,增益!$A:$A,增益!$B:$B,0))</f>
        <v>1.2391</v>
      </c>
      <c r="AN198" s="20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1517.52</v>
      </c>
      <c r="AP198" cm="1">
        <f t="array" ref="AP198">$E$10*(1+$AN198)+VLOOKUP($R198,武学奇术!$A:$ZZ,4,FALSE)+SUM(_xlfn.XLOOKUP($S198:$AG198,增益!$A:$A,增益!$D:$D,0))-$I$2</f>
        <v>6628.56</v>
      </c>
      <c r="AQ198" s="29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0.3175</v>
      </c>
      <c r="AR198" s="29" cm="1">
        <f t="array" ref="AR198">$G$10+VLOOKUP($R198,武学奇术!$A:$ZZ,7,FALSE)+SUM(_xlfn.XLOOKUP(S198:AG198,增益!$A:$A,增益!$G:$G,0))</f>
        <v>0</v>
      </c>
      <c r="AS198" s="20" cm="1">
        <f t="array" ref="AS198">VLOOKUP($R198,武学奇术!$A:$ZZ,8,FALSE)+SUM(_xlfn.XLOOKUP(S198:AG198,增益!$A:$A,增益!$H:$H,0))</f>
        <v>0</v>
      </c>
      <c r="AT198">
        <f t="shared" si="34"/>
        <v>538</v>
      </c>
      <c r="AU198">
        <f t="shared" si="35"/>
        <v>1011</v>
      </c>
      <c r="AV198" s="29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0.075</v>
      </c>
      <c r="AW198" s="29" cm="1">
        <f t="array" ref="AW198">$G$11+VLOOKUP($R198,武学奇术!$A:$ZZ,10,FALSE)+SUM(_xlfn.XLOOKUP(S198:AG198,增益!$A:$A,增益!$J:$J,0))</f>
        <v>0.15</v>
      </c>
      <c r="AX198">
        <f t="shared" si="36"/>
        <v>0</v>
      </c>
      <c r="AY198">
        <f t="shared" si="37"/>
        <v>0</v>
      </c>
      <c r="AZ198" s="29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-0.3</v>
      </c>
      <c r="BA198" s="29" cm="1">
        <f t="array" ref="BA198">$G$12+VLOOKUP($R198,武学奇术!$A:$ZZ,12,FALSE)+SUM(_xlfn.XLOOKUP(S198:AG198,增益!$A:$A,增益!$L:$L,0))</f>
        <v>0</v>
      </c>
      <c r="BB198">
        <f t="shared" si="38"/>
        <v>0</v>
      </c>
      <c r="BC198">
        <f t="shared" si="39"/>
        <v>0</v>
      </c>
      <c r="BD198" s="29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-0.3</v>
      </c>
      <c r="BE198" s="29" cm="1">
        <f t="array" ref="BE198">$G$13+VLOOKUP($R198,武学奇术!$A:$ZZ,14,FALSE)+SUM(_xlfn.XLOOKUP(S198:AG198,增益!$A:$A,增益!$N:$N,0))</f>
        <v>0</v>
      </c>
      <c r="BF198">
        <f t="shared" si="40"/>
        <v>0</v>
      </c>
      <c r="BG198">
        <f t="shared" si="41"/>
        <v>0</v>
      </c>
      <c r="BH198" s="29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-0.3</v>
      </c>
      <c r="BI198" s="29" cm="1">
        <f t="array" ref="BI198">$G$14+VLOOKUP($R198,武学奇术!$A:$ZZ,16,FALSE)+SUM(_xlfn.XLOOKUP(S198:AG198,增益!$A:$A,增益!$P:$P,0))</f>
        <v>0</v>
      </c>
      <c r="BJ198" s="20">
        <f>MIN(IF(VLOOKUP($R198,武学奇术!$A:$ZZ,23,FALSE)=1,100%,$B$8),100%)</f>
        <v>0.8271</v>
      </c>
      <c r="BK198" s="20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0.2249</v>
      </c>
      <c r="BL198" s="20" cm="1">
        <f t="array" ref="BL198">1+$B$13+VLOOKUP($R198,武学奇术!$A:$ZZ,18,FALSE)+SUM(_xlfn.XLOOKUP(S198:AG198,增益!$A:$A,增益!$R:$R,0))</f>
        <v>1.5</v>
      </c>
      <c r="BM198" s="20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0.4459</v>
      </c>
      <c r="BN198" s="20" cm="1">
        <f t="array" ref="BN198">1+$B$14+VLOOKUP($R198,武学奇术!$A:$ZZ,20,FALSE)+SUM(_xlfn.XLOOKUP(S198:AG198,增益!$A:$A,增益!$T:$T,0))</f>
        <v>1.782</v>
      </c>
      <c r="BO198" s="20">
        <f t="shared" si="42"/>
        <v>0.18601479</v>
      </c>
      <c r="BP198" s="20">
        <f t="shared" si="43"/>
        <v>0.27228132</v>
      </c>
      <c r="BQ198" s="20">
        <f>IF(VLOOKUP($R198,武学奇术!$A:$ZZ,22,FALSE)=1,0,(1-$BJ198))*(1-$BM198)</f>
        <v>0.09580389</v>
      </c>
      <c r="BR198" s="20" cm="1">
        <f t="array" ref="BR198">SUM(_xlfn.XLOOKUP(S198:AG198,增益!$A:$A,增益!$W:$W,0))+$I$5</f>
        <v>0.21</v>
      </c>
    </row>
    <row r="199" spans="11:70">
      <c r="K199" s="27">
        <f>$L199*VLOOKUP($R199,武学奇术!$A:$ZZ,31,FALSE)</f>
        <v>7344.4469906765</v>
      </c>
      <c r="L199" s="27">
        <f t="shared" si="33"/>
        <v>12240.7449844608</v>
      </c>
      <c r="M199" s="27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10019.0436514228</v>
      </c>
      <c r="N199" s="27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18561.2496568136</v>
      </c>
      <c r="O199" s="27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6679.36243428184</v>
      </c>
      <c r="P199" s="27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2942.75985351675</v>
      </c>
      <c r="Q199" s="35">
        <v>1</v>
      </c>
      <c r="R199" s="36" t="s">
        <v>163</v>
      </c>
      <c r="S199" s="36" t="s">
        <v>152</v>
      </c>
      <c r="T199" s="36" t="s">
        <v>99</v>
      </c>
      <c r="U199" s="36" t="s">
        <v>100</v>
      </c>
      <c r="V199" s="36" t="s">
        <v>71</v>
      </c>
      <c r="W199" s="36" t="s">
        <v>71</v>
      </c>
      <c r="X199" s="36" t="s">
        <v>71</v>
      </c>
      <c r="Y199" s="36" t="s">
        <v>71</v>
      </c>
      <c r="Z199" s="36" t="s">
        <v>71</v>
      </c>
      <c r="AA199" s="36" t="s">
        <v>71</v>
      </c>
      <c r="AB199" s="36" t="s">
        <v>71</v>
      </c>
      <c r="AC199" s="36" t="s">
        <v>71</v>
      </c>
      <c r="AD199" s="36" t="s">
        <v>72</v>
      </c>
      <c r="AE199" s="36" t="s">
        <v>94</v>
      </c>
      <c r="AF199" s="36" t="s">
        <v>154</v>
      </c>
      <c r="AG199" s="36" t="s">
        <v>120</v>
      </c>
      <c r="AH199" t="str">
        <f>VLOOKUP($R199,武学奇术!$A:$ZZ,25,FALSE)</f>
        <v>剑</v>
      </c>
      <c r="AI199" s="20">
        <f>VLOOKUP($R199,武学奇术!$A:$ZZ,26,FALSE)</f>
        <v>0.27456</v>
      </c>
      <c r="AJ199" s="21">
        <f>VLOOKUP($R199,武学奇术!$A:$ZZ,27,FALSE)*(1+IF(OR($AH199=$F$4,$AH199=$F$5),$B$22,0))</f>
        <v>0</v>
      </c>
      <c r="AK199" s="20">
        <f>VLOOKUP($R199,武学奇术!$A:$ZZ,28,FALSE)</f>
        <v>0.41184</v>
      </c>
      <c r="AL199" s="21">
        <f>VLOOKUP($R199,武学奇术!$A:$ZZ,29,FALSE)*(1+IF(OR($AH199=$F$4,$AH199=$F$5),$B$22,0))</f>
        <v>0</v>
      </c>
      <c r="AM199" s="20" cm="1">
        <f t="array" ref="AM199">$G$3+IFERROR(VLOOKUP($AH199,$F$4:$G$7,2,FALSE),0)+VLOOKUP($R199,武学奇术!$A:$ZZ,2,FALSE)+SUM(_xlfn.XLOOKUP($S199:$AG199,增益!$A:$A,增益!$B:$B,0))</f>
        <v>1.2391</v>
      </c>
      <c r="AN199" s="20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1517.52</v>
      </c>
      <c r="AP199" cm="1">
        <f t="array" ref="AP199">$E$10*(1+$AN199)+VLOOKUP($R199,武学奇术!$A:$ZZ,4,FALSE)+SUM(_xlfn.XLOOKUP($S199:$AG199,增益!$A:$A,增益!$D:$D,0))-$I$2</f>
        <v>6628.56</v>
      </c>
      <c r="AQ199" s="29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0.3175</v>
      </c>
      <c r="AR199" s="29" cm="1">
        <f t="array" ref="AR199">$G$10+VLOOKUP($R199,武学奇术!$A:$ZZ,7,FALSE)+SUM(_xlfn.XLOOKUP(S199:AG199,增益!$A:$A,增益!$G:$G,0))</f>
        <v>0</v>
      </c>
      <c r="AS199" s="20" cm="1">
        <f t="array" ref="AS199">VLOOKUP($R199,武学奇术!$A:$ZZ,8,FALSE)+SUM(_xlfn.XLOOKUP(S199:AG199,增益!$A:$A,增益!$H:$H,0))</f>
        <v>0</v>
      </c>
      <c r="AT199">
        <f t="shared" si="34"/>
        <v>538</v>
      </c>
      <c r="AU199">
        <f t="shared" si="35"/>
        <v>1011</v>
      </c>
      <c r="AV199" s="29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0.075</v>
      </c>
      <c r="AW199" s="29" cm="1">
        <f t="array" ref="AW199">$G$11+VLOOKUP($R199,武学奇术!$A:$ZZ,10,FALSE)+SUM(_xlfn.XLOOKUP(S199:AG199,增益!$A:$A,增益!$J:$J,0))</f>
        <v>0.15</v>
      </c>
      <c r="AX199">
        <f t="shared" si="36"/>
        <v>0</v>
      </c>
      <c r="AY199">
        <f t="shared" si="37"/>
        <v>0</v>
      </c>
      <c r="AZ199" s="29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-0.3</v>
      </c>
      <c r="BA199" s="29" cm="1">
        <f t="array" ref="BA199">$G$12+VLOOKUP($R199,武学奇术!$A:$ZZ,12,FALSE)+SUM(_xlfn.XLOOKUP(S199:AG199,增益!$A:$A,增益!$L:$L,0))</f>
        <v>0</v>
      </c>
      <c r="BB199">
        <f t="shared" si="38"/>
        <v>0</v>
      </c>
      <c r="BC199">
        <f t="shared" si="39"/>
        <v>0</v>
      </c>
      <c r="BD199" s="29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-0.3</v>
      </c>
      <c r="BE199" s="29" cm="1">
        <f t="array" ref="BE199">$G$13+VLOOKUP($R199,武学奇术!$A:$ZZ,14,FALSE)+SUM(_xlfn.XLOOKUP(S199:AG199,增益!$A:$A,增益!$N:$N,0))</f>
        <v>0</v>
      </c>
      <c r="BF199">
        <f t="shared" si="40"/>
        <v>0</v>
      </c>
      <c r="BG199">
        <f t="shared" si="41"/>
        <v>0</v>
      </c>
      <c r="BH199" s="29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-0.3</v>
      </c>
      <c r="BI199" s="29" cm="1">
        <f t="array" ref="BI199">$G$14+VLOOKUP($R199,武学奇术!$A:$ZZ,16,FALSE)+SUM(_xlfn.XLOOKUP(S199:AG199,增益!$A:$A,增益!$P:$P,0))</f>
        <v>0</v>
      </c>
      <c r="BJ199" s="20">
        <f>MIN(IF(VLOOKUP($R199,武学奇术!$A:$ZZ,23,FALSE)=1,100%,$B$8),100%)</f>
        <v>0.8271</v>
      </c>
      <c r="BK199" s="20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0.2249</v>
      </c>
      <c r="BL199" s="20" cm="1">
        <f t="array" ref="BL199">1+$B$13+VLOOKUP($R199,武学奇术!$A:$ZZ,18,FALSE)+SUM(_xlfn.XLOOKUP(S199:AG199,增益!$A:$A,增益!$R:$R,0))</f>
        <v>1.5</v>
      </c>
      <c r="BM199" s="20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0.4459</v>
      </c>
      <c r="BN199" s="20" cm="1">
        <f t="array" ref="BN199">1+$B$14+VLOOKUP($R199,武学奇术!$A:$ZZ,20,FALSE)+SUM(_xlfn.XLOOKUP(S199:AG199,增益!$A:$A,增益!$T:$T,0))</f>
        <v>1.782</v>
      </c>
      <c r="BO199" s="20">
        <f t="shared" si="42"/>
        <v>0.18601479</v>
      </c>
      <c r="BP199" s="20">
        <f t="shared" si="43"/>
        <v>0.27228132</v>
      </c>
      <c r="BQ199" s="20">
        <f>IF(VLOOKUP($R199,武学奇术!$A:$ZZ,22,FALSE)=1,0,(1-$BJ199))*(1-$BM199)</f>
        <v>0.09580389</v>
      </c>
      <c r="BR199" s="20" cm="1">
        <f t="array" ref="BR199">SUM(_xlfn.XLOOKUP(S199:AG199,增益!$A:$A,增益!$W:$W,0))+$I$5</f>
        <v>0.21</v>
      </c>
    </row>
    <row r="200" spans="11:70">
      <c r="K200" s="27">
        <f>$L200*VLOOKUP($R200,武学奇术!$A:$ZZ,31,FALSE)</f>
        <v>7344.4469906765</v>
      </c>
      <c r="L200" s="27">
        <f t="shared" si="33"/>
        <v>12240.7449844608</v>
      </c>
      <c r="M200" s="27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10019.0436514228</v>
      </c>
      <c r="N200" s="27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18561.2496568136</v>
      </c>
      <c r="O200" s="27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6679.36243428184</v>
      </c>
      <c r="P200" s="27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2942.75985351675</v>
      </c>
      <c r="Q200" s="35">
        <v>1</v>
      </c>
      <c r="R200" s="36" t="s">
        <v>163</v>
      </c>
      <c r="S200" s="36" t="s">
        <v>152</v>
      </c>
      <c r="T200" s="36" t="s">
        <v>99</v>
      </c>
      <c r="U200" s="36" t="s">
        <v>100</v>
      </c>
      <c r="V200" s="36" t="s">
        <v>71</v>
      </c>
      <c r="W200" s="36" t="s">
        <v>71</v>
      </c>
      <c r="X200" s="36" t="s">
        <v>71</v>
      </c>
      <c r="Y200" s="36" t="s">
        <v>71</v>
      </c>
      <c r="Z200" s="36" t="s">
        <v>71</v>
      </c>
      <c r="AA200" s="36" t="s">
        <v>71</v>
      </c>
      <c r="AB200" s="36" t="s">
        <v>71</v>
      </c>
      <c r="AC200" s="36" t="s">
        <v>71</v>
      </c>
      <c r="AD200" s="36" t="s">
        <v>72</v>
      </c>
      <c r="AE200" s="36" t="s">
        <v>94</v>
      </c>
      <c r="AF200" s="36" t="s">
        <v>154</v>
      </c>
      <c r="AG200" s="36" t="s">
        <v>120</v>
      </c>
      <c r="AH200" t="str">
        <f>VLOOKUP($R200,武学奇术!$A:$ZZ,25,FALSE)</f>
        <v>剑</v>
      </c>
      <c r="AI200" s="20">
        <f>VLOOKUP($R200,武学奇术!$A:$ZZ,26,FALSE)</f>
        <v>0.27456</v>
      </c>
      <c r="AJ200" s="21">
        <f>VLOOKUP($R200,武学奇术!$A:$ZZ,27,FALSE)*(1+IF(OR($AH200=$F$4,$AH200=$F$5),$B$22,0))</f>
        <v>0</v>
      </c>
      <c r="AK200" s="20">
        <f>VLOOKUP($R200,武学奇术!$A:$ZZ,28,FALSE)</f>
        <v>0.41184</v>
      </c>
      <c r="AL200" s="21">
        <f>VLOOKUP($R200,武学奇术!$A:$ZZ,29,FALSE)*(1+IF(OR($AH200=$F$4,$AH200=$F$5),$B$22,0))</f>
        <v>0</v>
      </c>
      <c r="AM200" s="20" cm="1">
        <f t="array" ref="AM200">$G$3+IFERROR(VLOOKUP($AH200,$F$4:$G$7,2,FALSE),0)+VLOOKUP($R200,武学奇术!$A:$ZZ,2,FALSE)+SUM(_xlfn.XLOOKUP($S200:$AG200,增益!$A:$A,增益!$B:$B,0))</f>
        <v>1.2391</v>
      </c>
      <c r="AN200" s="20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1517.52</v>
      </c>
      <c r="AP200" cm="1">
        <f t="array" ref="AP200">$E$10*(1+$AN200)+VLOOKUP($R200,武学奇术!$A:$ZZ,4,FALSE)+SUM(_xlfn.XLOOKUP($S200:$AG200,增益!$A:$A,增益!$D:$D,0))-$I$2</f>
        <v>6628.56</v>
      </c>
      <c r="AQ200" s="29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0.3175</v>
      </c>
      <c r="AR200" s="29" cm="1">
        <f t="array" ref="AR200">$G$10+VLOOKUP($R200,武学奇术!$A:$ZZ,7,FALSE)+SUM(_xlfn.XLOOKUP(S200:AG200,增益!$A:$A,增益!$G:$G,0))</f>
        <v>0</v>
      </c>
      <c r="AS200" s="20" cm="1">
        <f t="array" ref="AS200">VLOOKUP($R200,武学奇术!$A:$ZZ,8,FALSE)+SUM(_xlfn.XLOOKUP(S200:AG200,增益!$A:$A,增益!$H:$H,0))</f>
        <v>0</v>
      </c>
      <c r="AT200">
        <f t="shared" si="34"/>
        <v>538</v>
      </c>
      <c r="AU200">
        <f t="shared" si="35"/>
        <v>1011</v>
      </c>
      <c r="AV200" s="29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0.075</v>
      </c>
      <c r="AW200" s="29" cm="1">
        <f t="array" ref="AW200">$G$11+VLOOKUP($R200,武学奇术!$A:$ZZ,10,FALSE)+SUM(_xlfn.XLOOKUP(S200:AG200,增益!$A:$A,增益!$J:$J,0))</f>
        <v>0.15</v>
      </c>
      <c r="AX200">
        <f t="shared" si="36"/>
        <v>0</v>
      </c>
      <c r="AY200">
        <f t="shared" si="37"/>
        <v>0</v>
      </c>
      <c r="AZ200" s="29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29" cm="1">
        <f t="array" ref="BA200">$G$12+VLOOKUP($R200,武学奇术!$A:$ZZ,12,FALSE)+SUM(_xlfn.XLOOKUP(S200:AG200,增益!$A:$A,增益!$L:$L,0))</f>
        <v>0</v>
      </c>
      <c r="BB200">
        <f t="shared" si="38"/>
        <v>0</v>
      </c>
      <c r="BC200">
        <f t="shared" si="39"/>
        <v>0</v>
      </c>
      <c r="BD200" s="29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29" cm="1">
        <f t="array" ref="BE200">$G$13+VLOOKUP($R200,武学奇术!$A:$ZZ,14,FALSE)+SUM(_xlfn.XLOOKUP(S200:AG200,增益!$A:$A,增益!$N:$N,0))</f>
        <v>0</v>
      </c>
      <c r="BF200">
        <f t="shared" si="40"/>
        <v>0</v>
      </c>
      <c r="BG200">
        <f t="shared" si="41"/>
        <v>0</v>
      </c>
      <c r="BH200" s="29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29" cm="1">
        <f t="array" ref="BI200">$G$14+VLOOKUP($R200,武学奇术!$A:$ZZ,16,FALSE)+SUM(_xlfn.XLOOKUP(S200:AG200,增益!$A:$A,增益!$P:$P,0))</f>
        <v>0</v>
      </c>
      <c r="BJ200" s="20">
        <f>MIN(IF(VLOOKUP($R200,武学奇术!$A:$ZZ,23,FALSE)=1,100%,$B$8),100%)</f>
        <v>0.8271</v>
      </c>
      <c r="BK200" s="20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0.2249</v>
      </c>
      <c r="BL200" s="20" cm="1">
        <f t="array" ref="BL200">1+$B$13+VLOOKUP($R200,武学奇术!$A:$ZZ,18,FALSE)+SUM(_xlfn.XLOOKUP(S200:AG200,增益!$A:$A,增益!$R:$R,0))</f>
        <v>1.5</v>
      </c>
      <c r="BM200" s="20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0.4459</v>
      </c>
      <c r="BN200" s="20" cm="1">
        <f t="array" ref="BN200">1+$B$14+VLOOKUP($R200,武学奇术!$A:$ZZ,20,FALSE)+SUM(_xlfn.XLOOKUP(S200:AG200,增益!$A:$A,增益!$T:$T,0))</f>
        <v>1.782</v>
      </c>
      <c r="BO200" s="20">
        <f t="shared" si="42"/>
        <v>0.18601479</v>
      </c>
      <c r="BP200" s="20">
        <f t="shared" si="43"/>
        <v>0.27228132</v>
      </c>
      <c r="BQ200" s="20">
        <f>IF(VLOOKUP($R200,武学奇术!$A:$ZZ,22,FALSE)=1,0,(1-$BJ200))*(1-$BM200)</f>
        <v>0.09580389</v>
      </c>
      <c r="BR200" s="20" cm="1">
        <f t="array" ref="BR200">SUM(_xlfn.XLOOKUP(S200:AG200,增益!$A:$A,增益!$W:$W,0))+$I$5</f>
        <v>0.21</v>
      </c>
    </row>
    <row r="201" spans="11:70">
      <c r="K201" s="27">
        <f>$L201*VLOOKUP($R201,武学奇术!$A:$ZZ,31,FALSE)</f>
        <v>4590.27936917281</v>
      </c>
      <c r="L201" s="27">
        <f t="shared" si="33"/>
        <v>7650.46561528802</v>
      </c>
      <c r="M201" s="27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6261.90228213922</v>
      </c>
      <c r="N201" s="27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11600.7810355085</v>
      </c>
      <c r="O201" s="27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4174.60152142615</v>
      </c>
      <c r="P201" s="27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1839.22490844797</v>
      </c>
      <c r="Q201" s="35">
        <v>1</v>
      </c>
      <c r="R201" s="36" t="s">
        <v>164</v>
      </c>
      <c r="S201" s="36" t="s">
        <v>152</v>
      </c>
      <c r="T201" s="36" t="s">
        <v>99</v>
      </c>
      <c r="U201" s="36" t="s">
        <v>100</v>
      </c>
      <c r="V201" s="36" t="s">
        <v>71</v>
      </c>
      <c r="W201" s="36" t="s">
        <v>71</v>
      </c>
      <c r="X201" s="36" t="s">
        <v>71</v>
      </c>
      <c r="Y201" s="36" t="s">
        <v>71</v>
      </c>
      <c r="Z201" s="36" t="s">
        <v>71</v>
      </c>
      <c r="AA201" s="36" t="s">
        <v>71</v>
      </c>
      <c r="AB201" s="36" t="s">
        <v>71</v>
      </c>
      <c r="AC201" s="36" t="s">
        <v>71</v>
      </c>
      <c r="AD201" s="36" t="s">
        <v>72</v>
      </c>
      <c r="AE201" s="36" t="s">
        <v>94</v>
      </c>
      <c r="AF201" s="36" t="s">
        <v>154</v>
      </c>
      <c r="AG201" s="36" t="s">
        <v>120</v>
      </c>
      <c r="AH201" t="str">
        <f>VLOOKUP($R201,武学奇术!$A:$ZZ,25,FALSE)</f>
        <v>剑</v>
      </c>
      <c r="AI201" s="20">
        <f>VLOOKUP($R201,武学奇术!$A:$ZZ,26,FALSE)</f>
        <v>0.1716</v>
      </c>
      <c r="AJ201" s="21">
        <f>VLOOKUP($R201,武学奇术!$A:$ZZ,27,FALSE)*(1+IF(OR($AH201=$F$4,$AH201=$F$5),$B$22,0))</f>
        <v>0</v>
      </c>
      <c r="AK201" s="20">
        <f>VLOOKUP($R201,武学奇术!$A:$ZZ,28,FALSE)</f>
        <v>0.2574</v>
      </c>
      <c r="AL201" s="21">
        <f>VLOOKUP($R201,武学奇术!$A:$ZZ,29,FALSE)*(1+IF(OR($AH201=$F$4,$AH201=$F$5),$B$22,0))</f>
        <v>0</v>
      </c>
      <c r="AM201" s="20" cm="1">
        <f t="array" ref="AM201">$G$3+IFERROR(VLOOKUP($AH201,$F$4:$G$7,2,FALSE),0)+VLOOKUP($R201,武学奇术!$A:$ZZ,2,FALSE)+SUM(_xlfn.XLOOKUP($S201:$AG201,增益!$A:$A,增益!$B:$B,0))</f>
        <v>1.2391</v>
      </c>
      <c r="AN201" s="20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1517.52</v>
      </c>
      <c r="AP201" cm="1">
        <f t="array" ref="AP201">$E$10*(1+$AN201)+VLOOKUP($R201,武学奇术!$A:$ZZ,4,FALSE)+SUM(_xlfn.XLOOKUP($S201:$AG201,增益!$A:$A,增益!$D:$D,0))-$I$2</f>
        <v>6628.56</v>
      </c>
      <c r="AQ201" s="29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0.3175</v>
      </c>
      <c r="AR201" s="29" cm="1">
        <f t="array" ref="AR201">$G$10+VLOOKUP($R201,武学奇术!$A:$ZZ,7,FALSE)+SUM(_xlfn.XLOOKUP(S201:AG201,增益!$A:$A,增益!$G:$G,0))</f>
        <v>0</v>
      </c>
      <c r="AS201" s="20" cm="1">
        <f t="array" ref="AS201">VLOOKUP($R201,武学奇术!$A:$ZZ,8,FALSE)+SUM(_xlfn.XLOOKUP(S201:AG201,增益!$A:$A,增益!$H:$H,0))</f>
        <v>0</v>
      </c>
      <c r="AT201">
        <f t="shared" si="34"/>
        <v>538</v>
      </c>
      <c r="AU201">
        <f t="shared" si="35"/>
        <v>1011</v>
      </c>
      <c r="AV201" s="29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0.075</v>
      </c>
      <c r="AW201" s="29" cm="1">
        <f t="array" ref="AW201">$G$11+VLOOKUP($R201,武学奇术!$A:$ZZ,10,FALSE)+SUM(_xlfn.XLOOKUP(S201:AG201,增益!$A:$A,增益!$J:$J,0))</f>
        <v>0.15</v>
      </c>
      <c r="AX201">
        <f t="shared" si="36"/>
        <v>0</v>
      </c>
      <c r="AY201">
        <f t="shared" si="37"/>
        <v>0</v>
      </c>
      <c r="AZ201" s="29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29" cm="1">
        <f t="array" ref="BA201">$G$12+VLOOKUP($R201,武学奇术!$A:$ZZ,12,FALSE)+SUM(_xlfn.XLOOKUP(S201:AG201,增益!$A:$A,增益!$L:$L,0))</f>
        <v>0</v>
      </c>
      <c r="BB201">
        <f t="shared" si="38"/>
        <v>0</v>
      </c>
      <c r="BC201">
        <f t="shared" si="39"/>
        <v>0</v>
      </c>
      <c r="BD201" s="29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29" cm="1">
        <f t="array" ref="BE201">$G$13+VLOOKUP($R201,武学奇术!$A:$ZZ,14,FALSE)+SUM(_xlfn.XLOOKUP(S201:AG201,增益!$A:$A,增益!$N:$N,0))</f>
        <v>0</v>
      </c>
      <c r="BF201">
        <f t="shared" si="40"/>
        <v>0</v>
      </c>
      <c r="BG201">
        <f t="shared" si="41"/>
        <v>0</v>
      </c>
      <c r="BH201" s="29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29" cm="1">
        <f t="array" ref="BI201">$G$14+VLOOKUP($R201,武学奇术!$A:$ZZ,16,FALSE)+SUM(_xlfn.XLOOKUP(S201:AG201,增益!$A:$A,增益!$P:$P,0))</f>
        <v>0</v>
      </c>
      <c r="BJ201" s="20">
        <f>MIN(IF(VLOOKUP($R201,武学奇术!$A:$ZZ,23,FALSE)=1,100%,$B$8),100%)</f>
        <v>0.8271</v>
      </c>
      <c r="BK201" s="20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0.2249</v>
      </c>
      <c r="BL201" s="20" cm="1">
        <f t="array" ref="BL201">1+$B$13+VLOOKUP($R201,武学奇术!$A:$ZZ,18,FALSE)+SUM(_xlfn.XLOOKUP(S201:AG201,增益!$A:$A,增益!$R:$R,0))</f>
        <v>1.5</v>
      </c>
      <c r="BM201" s="20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0.4459</v>
      </c>
      <c r="BN201" s="20" cm="1">
        <f t="array" ref="BN201">1+$B$14+VLOOKUP($R201,武学奇术!$A:$ZZ,20,FALSE)+SUM(_xlfn.XLOOKUP(S201:AG201,增益!$A:$A,增益!$T:$T,0))</f>
        <v>1.782</v>
      </c>
      <c r="BO201" s="20">
        <f t="shared" si="42"/>
        <v>0.18601479</v>
      </c>
      <c r="BP201" s="20">
        <f t="shared" si="43"/>
        <v>0.27228132</v>
      </c>
      <c r="BQ201" s="20">
        <f>IF(VLOOKUP($R201,武学奇术!$A:$ZZ,22,FALSE)=1,0,(1-$BJ201))*(1-$BM201)</f>
        <v>0.09580389</v>
      </c>
      <c r="BR201" s="20" cm="1">
        <f t="array" ref="BR201">SUM(_xlfn.XLOOKUP(S201:AG201,增益!$A:$A,增益!$W:$W,0))+$I$5</f>
        <v>0.21</v>
      </c>
    </row>
    <row r="202" spans="11:70">
      <c r="K202" s="27">
        <f>$L202*VLOOKUP($R202,武学奇术!$A:$ZZ,31,FALSE)</f>
        <v>9223.92169607515</v>
      </c>
      <c r="L202" s="27">
        <f t="shared" si="33"/>
        <v>15373.2028267919</v>
      </c>
      <c r="M202" s="27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12598.9986438143</v>
      </c>
      <c r="N202" s="27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23290.8926375057</v>
      </c>
      <c r="O202" s="27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8399.33242920955</v>
      </c>
      <c r="P202" s="27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3728.57920325319</v>
      </c>
      <c r="Q202" s="35">
        <v>1</v>
      </c>
      <c r="R202" s="36" t="s">
        <v>162</v>
      </c>
      <c r="S202" s="36" t="s">
        <v>152</v>
      </c>
      <c r="T202" s="36" t="s">
        <v>99</v>
      </c>
      <c r="U202" s="36" t="s">
        <v>100</v>
      </c>
      <c r="V202" s="36" t="s">
        <v>71</v>
      </c>
      <c r="W202" s="36" t="s">
        <v>111</v>
      </c>
      <c r="X202" s="36" t="s">
        <v>71</v>
      </c>
      <c r="Y202" s="36" t="s">
        <v>71</v>
      </c>
      <c r="Z202" s="36" t="s">
        <v>71</v>
      </c>
      <c r="AA202" s="36" t="s">
        <v>71</v>
      </c>
      <c r="AB202" s="36" t="s">
        <v>71</v>
      </c>
      <c r="AC202" s="36" t="s">
        <v>71</v>
      </c>
      <c r="AD202" s="36" t="s">
        <v>72</v>
      </c>
      <c r="AE202" s="36" t="s">
        <v>94</v>
      </c>
      <c r="AF202" s="36" t="s">
        <v>154</v>
      </c>
      <c r="AG202" s="36" t="s">
        <v>120</v>
      </c>
      <c r="AH202" t="str">
        <f>VLOOKUP($R202,武学奇术!$A:$ZZ,25,FALSE)</f>
        <v>剑</v>
      </c>
      <c r="AI202" s="20">
        <f>VLOOKUP($R202,武学奇术!$A:$ZZ,26,FALSE)</f>
        <v>0.3432</v>
      </c>
      <c r="AJ202" s="21">
        <f>VLOOKUP($R202,武学奇术!$A:$ZZ,27,FALSE)*(1+IF(OR($AH202=$F$4,$AH202=$F$5),$B$22,0))</f>
        <v>0</v>
      </c>
      <c r="AK202" s="20">
        <f>VLOOKUP($R202,武学奇术!$A:$ZZ,28,FALSE)</f>
        <v>0.5148</v>
      </c>
      <c r="AL202" s="21">
        <f>VLOOKUP($R202,武学奇术!$A:$ZZ,29,FALSE)*(1+IF(OR($AH202=$F$4,$AH202=$F$5),$B$22,0))</f>
        <v>0</v>
      </c>
      <c r="AM202" s="20" cm="1">
        <f t="array" ref="AM202">$G$3+IFERROR(VLOOKUP($AH202,$F$4:$G$7,2,FALSE),0)+VLOOKUP($R202,武学奇术!$A:$ZZ,2,FALSE)+SUM(_xlfn.XLOOKUP($S202:$AG202,增益!$A:$A,增益!$B:$B,0))</f>
        <v>1.2391</v>
      </c>
      <c r="AN202" s="20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1548.52</v>
      </c>
      <c r="AP202" cm="1">
        <f t="array" ref="AP202">$E$10*(1+$AN202)+VLOOKUP($R202,武学奇术!$A:$ZZ,4,FALSE)+SUM(_xlfn.XLOOKUP($S202:$AG202,增益!$A:$A,增益!$D:$D,0))-$I$2</f>
        <v>6659.56</v>
      </c>
      <c r="AQ202" s="29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0.3175</v>
      </c>
      <c r="AR202" s="29" cm="1">
        <f t="array" ref="AR202">$G$10+VLOOKUP($R202,武学奇术!$A:$ZZ,7,FALSE)+SUM(_xlfn.XLOOKUP(S202:AG202,增益!$A:$A,增益!$G:$G,0))</f>
        <v>0</v>
      </c>
      <c r="AS202" s="20" cm="1">
        <f t="array" ref="AS202">VLOOKUP($R202,武学奇术!$A:$ZZ,8,FALSE)+SUM(_xlfn.XLOOKUP(S202:AG202,增益!$A:$A,增益!$H:$H,0))</f>
        <v>0</v>
      </c>
      <c r="AT202">
        <f t="shared" si="34"/>
        <v>538</v>
      </c>
      <c r="AU202">
        <f t="shared" si="35"/>
        <v>1011</v>
      </c>
      <c r="AV202" s="29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0.075</v>
      </c>
      <c r="AW202" s="29" cm="1">
        <f t="array" ref="AW202">$G$11+VLOOKUP($R202,武学奇术!$A:$ZZ,10,FALSE)+SUM(_xlfn.XLOOKUP(S202:AG202,增益!$A:$A,增益!$J:$J,0))</f>
        <v>0.15</v>
      </c>
      <c r="AX202">
        <f t="shared" si="36"/>
        <v>0</v>
      </c>
      <c r="AY202">
        <f t="shared" si="37"/>
        <v>0</v>
      </c>
      <c r="AZ202" s="29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29" cm="1">
        <f t="array" ref="BA202">$G$12+VLOOKUP($R202,武学奇术!$A:$ZZ,12,FALSE)+SUM(_xlfn.XLOOKUP(S202:AG202,增益!$A:$A,增益!$L:$L,0))</f>
        <v>0</v>
      </c>
      <c r="BB202">
        <f t="shared" si="38"/>
        <v>0</v>
      </c>
      <c r="BC202">
        <f t="shared" si="39"/>
        <v>0</v>
      </c>
      <c r="BD202" s="29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29" cm="1">
        <f t="array" ref="BE202">$G$13+VLOOKUP($R202,武学奇术!$A:$ZZ,14,FALSE)+SUM(_xlfn.XLOOKUP(S202:AG202,增益!$A:$A,增益!$N:$N,0))</f>
        <v>0</v>
      </c>
      <c r="BF202">
        <f t="shared" si="40"/>
        <v>0</v>
      </c>
      <c r="BG202">
        <f t="shared" si="41"/>
        <v>0</v>
      </c>
      <c r="BH202" s="29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29" cm="1">
        <f t="array" ref="BI202">$G$14+VLOOKUP($R202,武学奇术!$A:$ZZ,16,FALSE)+SUM(_xlfn.XLOOKUP(S202:AG202,增益!$A:$A,增益!$P:$P,0))</f>
        <v>0</v>
      </c>
      <c r="BJ202" s="20">
        <f>MIN(IF(VLOOKUP($R202,武学奇术!$A:$ZZ,23,FALSE)=1,100%,$B$8),100%)</f>
        <v>0.8271</v>
      </c>
      <c r="BK202" s="20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0.2249</v>
      </c>
      <c r="BL202" s="20" cm="1">
        <f t="array" ref="BL202">1+$B$13+VLOOKUP($R202,武学奇术!$A:$ZZ,18,FALSE)+SUM(_xlfn.XLOOKUP(S202:AG202,增益!$A:$A,增益!$R:$R,0))</f>
        <v>1.5</v>
      </c>
      <c r="BM202" s="20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0.4459</v>
      </c>
      <c r="BN202" s="20" cm="1">
        <f t="array" ref="BN202">1+$B$14+VLOOKUP($R202,武学奇术!$A:$ZZ,20,FALSE)+SUM(_xlfn.XLOOKUP(S202:AG202,增益!$A:$A,增益!$T:$T,0))</f>
        <v>1.782</v>
      </c>
      <c r="BO202" s="20">
        <f t="shared" si="42"/>
        <v>0.18601479</v>
      </c>
      <c r="BP202" s="20">
        <f t="shared" si="43"/>
        <v>0.27228132</v>
      </c>
      <c r="BQ202" s="20">
        <f>IF(VLOOKUP($R202,武学奇术!$A:$ZZ,22,FALSE)=1,0,(1-$BJ202))*(1-$BM202)</f>
        <v>0.09580389</v>
      </c>
      <c r="BR202" s="20" cm="1">
        <f t="array" ref="BR202">SUM(_xlfn.XLOOKUP(S202:AG202,增益!$A:$A,增益!$W:$W,0))+$I$5</f>
        <v>0.21</v>
      </c>
    </row>
    <row r="203" spans="11:70">
      <c r="K203" s="27">
        <f>$L203*VLOOKUP($R203,武学奇术!$A:$ZZ,31,FALSE)</f>
        <v>4611.96084803757</v>
      </c>
      <c r="L203" s="27">
        <f t="shared" si="33"/>
        <v>7686.60141339596</v>
      </c>
      <c r="M203" s="27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6299.49932190716</v>
      </c>
      <c r="N203" s="27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11645.4463187528</v>
      </c>
      <c r="O203" s="27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4199.66621460477</v>
      </c>
      <c r="P203" s="27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1864.2896016266</v>
      </c>
      <c r="Q203" s="35">
        <v>1</v>
      </c>
      <c r="R203" s="36" t="s">
        <v>164</v>
      </c>
      <c r="S203" s="36" t="s">
        <v>152</v>
      </c>
      <c r="T203" s="36" t="s">
        <v>99</v>
      </c>
      <c r="U203" s="36" t="s">
        <v>100</v>
      </c>
      <c r="V203" s="36" t="s">
        <v>71</v>
      </c>
      <c r="W203" s="36" t="s">
        <v>111</v>
      </c>
      <c r="X203" s="36" t="s">
        <v>71</v>
      </c>
      <c r="Y203" s="36" t="s">
        <v>71</v>
      </c>
      <c r="Z203" s="36" t="s">
        <v>71</v>
      </c>
      <c r="AA203" s="36" t="s">
        <v>71</v>
      </c>
      <c r="AB203" s="36" t="s">
        <v>71</v>
      </c>
      <c r="AC203" s="36" t="s">
        <v>71</v>
      </c>
      <c r="AD203" s="36" t="s">
        <v>72</v>
      </c>
      <c r="AE203" s="36" t="s">
        <v>94</v>
      </c>
      <c r="AF203" s="36" t="s">
        <v>154</v>
      </c>
      <c r="AG203" s="36" t="s">
        <v>120</v>
      </c>
      <c r="AH203" t="str">
        <f>VLOOKUP($R203,武学奇术!$A:$ZZ,25,FALSE)</f>
        <v>剑</v>
      </c>
      <c r="AI203" s="20">
        <f>VLOOKUP($R203,武学奇术!$A:$ZZ,26,FALSE)</f>
        <v>0.1716</v>
      </c>
      <c r="AJ203" s="21">
        <f>VLOOKUP($R203,武学奇术!$A:$ZZ,27,FALSE)*(1+IF(OR($AH203=$F$4,$AH203=$F$5),$B$22,0))</f>
        <v>0</v>
      </c>
      <c r="AK203" s="20">
        <f>VLOOKUP($R203,武学奇术!$A:$ZZ,28,FALSE)</f>
        <v>0.2574</v>
      </c>
      <c r="AL203" s="21">
        <f>VLOOKUP($R203,武学奇术!$A:$ZZ,29,FALSE)*(1+IF(OR($AH203=$F$4,$AH203=$F$5),$B$22,0))</f>
        <v>0</v>
      </c>
      <c r="AM203" s="20" cm="1">
        <f t="array" ref="AM203">$G$3+IFERROR(VLOOKUP($AH203,$F$4:$G$7,2,FALSE),0)+VLOOKUP($R203,武学奇术!$A:$ZZ,2,FALSE)+SUM(_xlfn.XLOOKUP($S203:$AG203,增益!$A:$A,增益!$B:$B,0))</f>
        <v>1.2391</v>
      </c>
      <c r="AN203" s="20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1548.52</v>
      </c>
      <c r="AP203" cm="1">
        <f t="array" ref="AP203">$E$10*(1+$AN203)+VLOOKUP($R203,武学奇术!$A:$ZZ,4,FALSE)+SUM(_xlfn.XLOOKUP($S203:$AG203,增益!$A:$A,增益!$D:$D,0))-$I$2</f>
        <v>6659.56</v>
      </c>
      <c r="AQ203" s="29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0.3175</v>
      </c>
      <c r="AR203" s="29" cm="1">
        <f t="array" ref="AR203">$G$10+VLOOKUP($R203,武学奇术!$A:$ZZ,7,FALSE)+SUM(_xlfn.XLOOKUP(S203:AG203,增益!$A:$A,增益!$G:$G,0))</f>
        <v>0</v>
      </c>
      <c r="AS203" s="20" cm="1">
        <f t="array" ref="AS203">VLOOKUP($R203,武学奇术!$A:$ZZ,8,FALSE)+SUM(_xlfn.XLOOKUP(S203:AG203,增益!$A:$A,增益!$H:$H,0))</f>
        <v>0</v>
      </c>
      <c r="AT203">
        <f t="shared" si="34"/>
        <v>538</v>
      </c>
      <c r="AU203">
        <f t="shared" si="35"/>
        <v>1011</v>
      </c>
      <c r="AV203" s="29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0.075</v>
      </c>
      <c r="AW203" s="29" cm="1">
        <f t="array" ref="AW203">$G$11+VLOOKUP($R203,武学奇术!$A:$ZZ,10,FALSE)+SUM(_xlfn.XLOOKUP(S203:AG203,增益!$A:$A,增益!$J:$J,0))</f>
        <v>0.15</v>
      </c>
      <c r="AX203">
        <f t="shared" si="36"/>
        <v>0</v>
      </c>
      <c r="AY203">
        <f t="shared" si="37"/>
        <v>0</v>
      </c>
      <c r="AZ203" s="29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29" cm="1">
        <f t="array" ref="BA203">$G$12+VLOOKUP($R203,武学奇术!$A:$ZZ,12,FALSE)+SUM(_xlfn.XLOOKUP(S203:AG203,增益!$A:$A,增益!$L:$L,0))</f>
        <v>0</v>
      </c>
      <c r="BB203">
        <f t="shared" si="38"/>
        <v>0</v>
      </c>
      <c r="BC203">
        <f t="shared" si="39"/>
        <v>0</v>
      </c>
      <c r="BD203" s="29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29" cm="1">
        <f t="array" ref="BE203">$G$13+VLOOKUP($R203,武学奇术!$A:$ZZ,14,FALSE)+SUM(_xlfn.XLOOKUP(S203:AG203,增益!$A:$A,增益!$N:$N,0))</f>
        <v>0</v>
      </c>
      <c r="BF203">
        <f t="shared" si="40"/>
        <v>0</v>
      </c>
      <c r="BG203">
        <f t="shared" si="41"/>
        <v>0</v>
      </c>
      <c r="BH203" s="29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29" cm="1">
        <f t="array" ref="BI203">$G$14+VLOOKUP($R203,武学奇术!$A:$ZZ,16,FALSE)+SUM(_xlfn.XLOOKUP(S203:AG203,增益!$A:$A,增益!$P:$P,0))</f>
        <v>0</v>
      </c>
      <c r="BJ203" s="20">
        <f>MIN(IF(VLOOKUP($R203,武学奇术!$A:$ZZ,23,FALSE)=1,100%,$B$8),100%)</f>
        <v>0.8271</v>
      </c>
      <c r="BK203" s="20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0.2249</v>
      </c>
      <c r="BL203" s="20" cm="1">
        <f t="array" ref="BL203">1+$B$13+VLOOKUP($R203,武学奇术!$A:$ZZ,18,FALSE)+SUM(_xlfn.XLOOKUP(S203:AG203,增益!$A:$A,增益!$R:$R,0))</f>
        <v>1.5</v>
      </c>
      <c r="BM203" s="20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0.4459</v>
      </c>
      <c r="BN203" s="20" cm="1">
        <f t="array" ref="BN203">1+$B$14+VLOOKUP($R203,武学奇术!$A:$ZZ,20,FALSE)+SUM(_xlfn.XLOOKUP(S203:AG203,增益!$A:$A,增益!$T:$T,0))</f>
        <v>1.782</v>
      </c>
      <c r="BO203" s="20">
        <f t="shared" si="42"/>
        <v>0.18601479</v>
      </c>
      <c r="BP203" s="20">
        <f t="shared" si="43"/>
        <v>0.27228132</v>
      </c>
      <c r="BQ203" s="20">
        <f>IF(VLOOKUP($R203,武学奇术!$A:$ZZ,22,FALSE)=1,0,(1-$BJ203))*(1-$BM203)</f>
        <v>0.09580389</v>
      </c>
      <c r="BR203" s="20" cm="1">
        <f t="array" ref="BR203">SUM(_xlfn.XLOOKUP(S203:AG203,增益!$A:$A,增益!$W:$W,0))+$I$5</f>
        <v>0.21</v>
      </c>
    </row>
    <row r="204" spans="11:70">
      <c r="K204" s="27">
        <f>$L204*VLOOKUP($R204,武学奇术!$A:$ZZ,31,FALSE)</f>
        <v>4611.96084803757</v>
      </c>
      <c r="L204" s="27">
        <f t="shared" si="33"/>
        <v>7686.60141339596</v>
      </c>
      <c r="M204" s="27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6299.49932190716</v>
      </c>
      <c r="N204" s="27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11645.4463187528</v>
      </c>
      <c r="O204" s="27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4199.66621460477</v>
      </c>
      <c r="P204" s="27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1864.2896016266</v>
      </c>
      <c r="Q204" s="35">
        <v>1</v>
      </c>
      <c r="R204" s="36" t="s">
        <v>164</v>
      </c>
      <c r="S204" s="36" t="s">
        <v>152</v>
      </c>
      <c r="T204" s="36" t="s">
        <v>99</v>
      </c>
      <c r="U204" s="36" t="s">
        <v>100</v>
      </c>
      <c r="V204" s="36" t="s">
        <v>71</v>
      </c>
      <c r="W204" s="36" t="s">
        <v>111</v>
      </c>
      <c r="X204" s="36" t="s">
        <v>71</v>
      </c>
      <c r="Y204" s="36" t="s">
        <v>71</v>
      </c>
      <c r="Z204" s="36" t="s">
        <v>71</v>
      </c>
      <c r="AA204" s="36" t="s">
        <v>71</v>
      </c>
      <c r="AB204" s="36" t="s">
        <v>71</v>
      </c>
      <c r="AC204" s="36" t="s">
        <v>71</v>
      </c>
      <c r="AD204" s="36" t="s">
        <v>72</v>
      </c>
      <c r="AE204" s="36" t="s">
        <v>94</v>
      </c>
      <c r="AF204" s="36" t="s">
        <v>154</v>
      </c>
      <c r="AG204" s="36" t="s">
        <v>120</v>
      </c>
      <c r="AH204" t="str">
        <f>VLOOKUP($R204,武学奇术!$A:$ZZ,25,FALSE)</f>
        <v>剑</v>
      </c>
      <c r="AI204" s="20">
        <f>VLOOKUP($R204,武学奇术!$A:$ZZ,26,FALSE)</f>
        <v>0.1716</v>
      </c>
      <c r="AJ204" s="21">
        <f>VLOOKUP($R204,武学奇术!$A:$ZZ,27,FALSE)*(1+IF(OR($AH204=$F$4,$AH204=$F$5),$B$22,0))</f>
        <v>0</v>
      </c>
      <c r="AK204" s="20">
        <f>VLOOKUP($R204,武学奇术!$A:$ZZ,28,FALSE)</f>
        <v>0.2574</v>
      </c>
      <c r="AL204" s="21">
        <f>VLOOKUP($R204,武学奇术!$A:$ZZ,29,FALSE)*(1+IF(OR($AH204=$F$4,$AH204=$F$5),$B$22,0))</f>
        <v>0</v>
      </c>
      <c r="AM204" s="20" cm="1">
        <f t="array" ref="AM204">$G$3+IFERROR(VLOOKUP($AH204,$F$4:$G$7,2,FALSE),0)+VLOOKUP($R204,武学奇术!$A:$ZZ,2,FALSE)+SUM(_xlfn.XLOOKUP($S204:$AG204,增益!$A:$A,增益!$B:$B,0))</f>
        <v>1.2391</v>
      </c>
      <c r="AN204" s="20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1548.52</v>
      </c>
      <c r="AP204" cm="1">
        <f t="array" ref="AP204">$E$10*(1+$AN204)+VLOOKUP($R204,武学奇术!$A:$ZZ,4,FALSE)+SUM(_xlfn.XLOOKUP($S204:$AG204,增益!$A:$A,增益!$D:$D,0))-$I$2</f>
        <v>6659.56</v>
      </c>
      <c r="AQ204" s="29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0.3175</v>
      </c>
      <c r="AR204" s="29" cm="1">
        <f t="array" ref="AR204">$G$10+VLOOKUP($R204,武学奇术!$A:$ZZ,7,FALSE)+SUM(_xlfn.XLOOKUP(S204:AG204,增益!$A:$A,增益!$G:$G,0))</f>
        <v>0</v>
      </c>
      <c r="AS204" s="20" cm="1">
        <f t="array" ref="AS204">VLOOKUP($R204,武学奇术!$A:$ZZ,8,FALSE)+SUM(_xlfn.XLOOKUP(S204:AG204,增益!$A:$A,增益!$H:$H,0))</f>
        <v>0</v>
      </c>
      <c r="AT204">
        <f t="shared" si="34"/>
        <v>538</v>
      </c>
      <c r="AU204">
        <f t="shared" si="35"/>
        <v>1011</v>
      </c>
      <c r="AV204" s="29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0.075</v>
      </c>
      <c r="AW204" s="29" cm="1">
        <f t="array" ref="AW204">$G$11+VLOOKUP($R204,武学奇术!$A:$ZZ,10,FALSE)+SUM(_xlfn.XLOOKUP(S204:AG204,增益!$A:$A,增益!$J:$J,0))</f>
        <v>0.15</v>
      </c>
      <c r="AX204">
        <f t="shared" si="36"/>
        <v>0</v>
      </c>
      <c r="AY204">
        <f t="shared" si="37"/>
        <v>0</v>
      </c>
      <c r="AZ204" s="29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29" cm="1">
        <f t="array" ref="BA204">$G$12+VLOOKUP($R204,武学奇术!$A:$ZZ,12,FALSE)+SUM(_xlfn.XLOOKUP(S204:AG204,增益!$A:$A,增益!$L:$L,0))</f>
        <v>0</v>
      </c>
      <c r="BB204">
        <f t="shared" si="38"/>
        <v>0</v>
      </c>
      <c r="BC204">
        <f t="shared" si="39"/>
        <v>0</v>
      </c>
      <c r="BD204" s="29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29" cm="1">
        <f t="array" ref="BE204">$G$13+VLOOKUP($R204,武学奇术!$A:$ZZ,14,FALSE)+SUM(_xlfn.XLOOKUP(S204:AG204,增益!$A:$A,增益!$N:$N,0))</f>
        <v>0</v>
      </c>
      <c r="BF204">
        <f t="shared" si="40"/>
        <v>0</v>
      </c>
      <c r="BG204">
        <f t="shared" si="41"/>
        <v>0</v>
      </c>
      <c r="BH204" s="29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29" cm="1">
        <f t="array" ref="BI204">$G$14+VLOOKUP($R204,武学奇术!$A:$ZZ,16,FALSE)+SUM(_xlfn.XLOOKUP(S204:AG204,增益!$A:$A,增益!$P:$P,0))</f>
        <v>0</v>
      </c>
      <c r="BJ204" s="20">
        <f>MIN(IF(VLOOKUP($R204,武学奇术!$A:$ZZ,23,FALSE)=1,100%,$B$8),100%)</f>
        <v>0.8271</v>
      </c>
      <c r="BK204" s="20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0.2249</v>
      </c>
      <c r="BL204" s="20" cm="1">
        <f t="array" ref="BL204">1+$B$13+VLOOKUP($R204,武学奇术!$A:$ZZ,18,FALSE)+SUM(_xlfn.XLOOKUP(S204:AG204,增益!$A:$A,增益!$R:$R,0))</f>
        <v>1.5</v>
      </c>
      <c r="BM204" s="20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0.4459</v>
      </c>
      <c r="BN204" s="20" cm="1">
        <f t="array" ref="BN204">1+$B$14+VLOOKUP($R204,武学奇术!$A:$ZZ,20,FALSE)+SUM(_xlfn.XLOOKUP(S204:AG204,增益!$A:$A,增益!$T:$T,0))</f>
        <v>1.782</v>
      </c>
      <c r="BO204" s="20">
        <f t="shared" si="42"/>
        <v>0.18601479</v>
      </c>
      <c r="BP204" s="20">
        <f t="shared" si="43"/>
        <v>0.27228132</v>
      </c>
      <c r="BQ204" s="20">
        <f>IF(VLOOKUP($R204,武学奇术!$A:$ZZ,22,FALSE)=1,0,(1-$BJ204))*(1-$BM204)</f>
        <v>0.09580389</v>
      </c>
      <c r="BR204" s="20" cm="1">
        <f t="array" ref="BR204">SUM(_xlfn.XLOOKUP(S204:AG204,增益!$A:$A,增益!$W:$W,0))+$I$5</f>
        <v>0.21</v>
      </c>
    </row>
    <row r="205" spans="11:70">
      <c r="K205" s="27">
        <f>$L205*VLOOKUP($R205,武学奇术!$A:$ZZ,31,FALSE)</f>
        <v>4611.96084803757</v>
      </c>
      <c r="L205" s="27">
        <f t="shared" si="33"/>
        <v>7686.60141339596</v>
      </c>
      <c r="M205" s="27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6299.49932190716</v>
      </c>
      <c r="N205" s="27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11645.4463187528</v>
      </c>
      <c r="O205" s="27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4199.66621460477</v>
      </c>
      <c r="P205" s="27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1864.2896016266</v>
      </c>
      <c r="Q205" s="35">
        <v>1</v>
      </c>
      <c r="R205" s="36" t="s">
        <v>164</v>
      </c>
      <c r="S205" s="36" t="s">
        <v>152</v>
      </c>
      <c r="T205" s="36" t="s">
        <v>99</v>
      </c>
      <c r="U205" s="36" t="s">
        <v>100</v>
      </c>
      <c r="V205" s="36" t="s">
        <v>71</v>
      </c>
      <c r="W205" s="36" t="s">
        <v>111</v>
      </c>
      <c r="X205" s="36" t="s">
        <v>71</v>
      </c>
      <c r="Y205" s="36" t="s">
        <v>71</v>
      </c>
      <c r="Z205" s="36" t="s">
        <v>71</v>
      </c>
      <c r="AA205" s="36" t="s">
        <v>71</v>
      </c>
      <c r="AB205" s="36" t="s">
        <v>71</v>
      </c>
      <c r="AC205" s="36" t="s">
        <v>71</v>
      </c>
      <c r="AD205" s="36" t="s">
        <v>72</v>
      </c>
      <c r="AE205" s="36" t="s">
        <v>94</v>
      </c>
      <c r="AF205" s="36" t="s">
        <v>154</v>
      </c>
      <c r="AG205" s="36" t="s">
        <v>120</v>
      </c>
      <c r="AH205" t="str">
        <f>VLOOKUP($R205,武学奇术!$A:$ZZ,25,FALSE)</f>
        <v>剑</v>
      </c>
      <c r="AI205" s="20">
        <f>VLOOKUP($R205,武学奇术!$A:$ZZ,26,FALSE)</f>
        <v>0.1716</v>
      </c>
      <c r="AJ205" s="21">
        <f>VLOOKUP($R205,武学奇术!$A:$ZZ,27,FALSE)*(1+IF(OR($AH205=$F$4,$AH205=$F$5),$B$22,0))</f>
        <v>0</v>
      </c>
      <c r="AK205" s="20">
        <f>VLOOKUP($R205,武学奇术!$A:$ZZ,28,FALSE)</f>
        <v>0.2574</v>
      </c>
      <c r="AL205" s="21">
        <f>VLOOKUP($R205,武学奇术!$A:$ZZ,29,FALSE)*(1+IF(OR($AH205=$F$4,$AH205=$F$5),$B$22,0))</f>
        <v>0</v>
      </c>
      <c r="AM205" s="20" cm="1">
        <f t="array" ref="AM205">$G$3+IFERROR(VLOOKUP($AH205,$F$4:$G$7,2,FALSE),0)+VLOOKUP($R205,武学奇术!$A:$ZZ,2,FALSE)+SUM(_xlfn.XLOOKUP($S205:$AG205,增益!$A:$A,增益!$B:$B,0))</f>
        <v>1.2391</v>
      </c>
      <c r="AN205" s="20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1548.52</v>
      </c>
      <c r="AP205" cm="1">
        <f t="array" ref="AP205">$E$10*(1+$AN205)+VLOOKUP($R205,武学奇术!$A:$ZZ,4,FALSE)+SUM(_xlfn.XLOOKUP($S205:$AG205,增益!$A:$A,增益!$D:$D,0))-$I$2</f>
        <v>6659.56</v>
      </c>
      <c r="AQ205" s="29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0.3175</v>
      </c>
      <c r="AR205" s="29" cm="1">
        <f t="array" ref="AR205">$G$10+VLOOKUP($R205,武学奇术!$A:$ZZ,7,FALSE)+SUM(_xlfn.XLOOKUP(S205:AG205,增益!$A:$A,增益!$G:$G,0))</f>
        <v>0</v>
      </c>
      <c r="AS205" s="20" cm="1">
        <f t="array" ref="AS205">VLOOKUP($R205,武学奇术!$A:$ZZ,8,FALSE)+SUM(_xlfn.XLOOKUP(S205:AG205,增益!$A:$A,增益!$H:$H,0))</f>
        <v>0</v>
      </c>
      <c r="AT205">
        <f t="shared" si="34"/>
        <v>538</v>
      </c>
      <c r="AU205">
        <f t="shared" si="35"/>
        <v>1011</v>
      </c>
      <c r="AV205" s="29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0.075</v>
      </c>
      <c r="AW205" s="29" cm="1">
        <f t="array" ref="AW205">$G$11+VLOOKUP($R205,武学奇术!$A:$ZZ,10,FALSE)+SUM(_xlfn.XLOOKUP(S205:AG205,增益!$A:$A,增益!$J:$J,0))</f>
        <v>0.15</v>
      </c>
      <c r="AX205">
        <f t="shared" si="36"/>
        <v>0</v>
      </c>
      <c r="AY205">
        <f t="shared" si="37"/>
        <v>0</v>
      </c>
      <c r="AZ205" s="29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29" cm="1">
        <f t="array" ref="BA205">$G$12+VLOOKUP($R205,武学奇术!$A:$ZZ,12,FALSE)+SUM(_xlfn.XLOOKUP(S205:AG205,增益!$A:$A,增益!$L:$L,0))</f>
        <v>0</v>
      </c>
      <c r="BB205">
        <f t="shared" si="38"/>
        <v>0</v>
      </c>
      <c r="BC205">
        <f t="shared" si="39"/>
        <v>0</v>
      </c>
      <c r="BD205" s="29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29" cm="1">
        <f t="array" ref="BE205">$G$13+VLOOKUP($R205,武学奇术!$A:$ZZ,14,FALSE)+SUM(_xlfn.XLOOKUP(S205:AG205,增益!$A:$A,增益!$N:$N,0))</f>
        <v>0</v>
      </c>
      <c r="BF205">
        <f t="shared" si="40"/>
        <v>0</v>
      </c>
      <c r="BG205">
        <f t="shared" si="41"/>
        <v>0</v>
      </c>
      <c r="BH205" s="29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29" cm="1">
        <f t="array" ref="BI205">$G$14+VLOOKUP($R205,武学奇术!$A:$ZZ,16,FALSE)+SUM(_xlfn.XLOOKUP(S205:AG205,增益!$A:$A,增益!$P:$P,0))</f>
        <v>0</v>
      </c>
      <c r="BJ205" s="20">
        <f>MIN(IF(VLOOKUP($R205,武学奇术!$A:$ZZ,23,FALSE)=1,100%,$B$8),100%)</f>
        <v>0.8271</v>
      </c>
      <c r="BK205" s="20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0.2249</v>
      </c>
      <c r="BL205" s="20" cm="1">
        <f t="array" ref="BL205">1+$B$13+VLOOKUP($R205,武学奇术!$A:$ZZ,18,FALSE)+SUM(_xlfn.XLOOKUP(S205:AG205,增益!$A:$A,增益!$R:$R,0))</f>
        <v>1.5</v>
      </c>
      <c r="BM205" s="20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0.4459</v>
      </c>
      <c r="BN205" s="20" cm="1">
        <f t="array" ref="BN205">1+$B$14+VLOOKUP($R205,武学奇术!$A:$ZZ,20,FALSE)+SUM(_xlfn.XLOOKUP(S205:AG205,增益!$A:$A,增益!$T:$T,0))</f>
        <v>1.782</v>
      </c>
      <c r="BO205" s="20">
        <f t="shared" si="42"/>
        <v>0.18601479</v>
      </c>
      <c r="BP205" s="20">
        <f t="shared" si="43"/>
        <v>0.27228132</v>
      </c>
      <c r="BQ205" s="20">
        <f>IF(VLOOKUP($R205,武学奇术!$A:$ZZ,22,FALSE)=1,0,(1-$BJ205))*(1-$BM205)</f>
        <v>0.09580389</v>
      </c>
      <c r="BR205" s="20" cm="1">
        <f t="array" ref="BR205">SUM(_xlfn.XLOOKUP(S205:AG205,增益!$A:$A,增益!$W:$W,0))+$I$5</f>
        <v>0.21</v>
      </c>
    </row>
    <row r="206" spans="11:70">
      <c r="K206" s="27">
        <f>$L206*VLOOKUP($R206,武学奇术!$A:$ZZ,31,FALSE)</f>
        <v>4230.80705894356</v>
      </c>
      <c r="L206" s="27">
        <f t="shared" si="33"/>
        <v>7051.34509823927</v>
      </c>
      <c r="M206" s="27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5778.87954323715</v>
      </c>
      <c r="N206" s="27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10683.0127386906</v>
      </c>
      <c r="O206" s="27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3852.5863621581</v>
      </c>
      <c r="P206" s="27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1710.21608083101</v>
      </c>
      <c r="Q206" s="35">
        <v>1</v>
      </c>
      <c r="R206" s="36" t="s">
        <v>164</v>
      </c>
      <c r="S206" s="36" t="s">
        <v>71</v>
      </c>
      <c r="T206" s="36" t="s">
        <v>99</v>
      </c>
      <c r="U206" s="36" t="s">
        <v>100</v>
      </c>
      <c r="V206" s="36" t="s">
        <v>71</v>
      </c>
      <c r="W206" s="36" t="s">
        <v>111</v>
      </c>
      <c r="X206" s="36" t="s">
        <v>71</v>
      </c>
      <c r="Y206" s="36" t="s">
        <v>71</v>
      </c>
      <c r="Z206" s="36" t="s">
        <v>71</v>
      </c>
      <c r="AA206" s="36" t="s">
        <v>71</v>
      </c>
      <c r="AB206" s="36" t="s">
        <v>71</v>
      </c>
      <c r="AC206" s="36" t="s">
        <v>71</v>
      </c>
      <c r="AD206" s="36" t="s">
        <v>72</v>
      </c>
      <c r="AE206" s="36" t="s">
        <v>94</v>
      </c>
      <c r="AF206" s="36" t="s">
        <v>154</v>
      </c>
      <c r="AG206" s="36" t="s">
        <v>120</v>
      </c>
      <c r="AH206" t="str">
        <f>VLOOKUP($R206,武学奇术!$A:$ZZ,25,FALSE)</f>
        <v>剑</v>
      </c>
      <c r="AI206" s="20">
        <f>VLOOKUP($R206,武学奇术!$A:$ZZ,26,FALSE)</f>
        <v>0.1716</v>
      </c>
      <c r="AJ206" s="21">
        <f>VLOOKUP($R206,武学奇术!$A:$ZZ,27,FALSE)*(1+IF(OR($AH206=$F$4,$AH206=$F$5),$B$22,0))</f>
        <v>0</v>
      </c>
      <c r="AK206" s="20">
        <f>VLOOKUP($R206,武学奇术!$A:$ZZ,28,FALSE)</f>
        <v>0.2574</v>
      </c>
      <c r="AL206" s="21">
        <f>VLOOKUP($R206,武学奇术!$A:$ZZ,29,FALSE)*(1+IF(OR($AH206=$F$4,$AH206=$F$5),$B$22,0))</f>
        <v>0</v>
      </c>
      <c r="AM206" s="20" cm="1">
        <f t="array" ref="AM206">$G$3+IFERROR(VLOOKUP($AH206,$F$4:$G$7,2,FALSE),0)+VLOOKUP($R206,武学奇术!$A:$ZZ,2,FALSE)+SUM(_xlfn.XLOOKUP($S206:$AG206,增益!$A:$A,增益!$B:$B,0))</f>
        <v>1.2391</v>
      </c>
      <c r="AN206" s="20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1548.52</v>
      </c>
      <c r="AP206" cm="1">
        <f t="array" ref="AP206">$E$10*(1+$AN206)+VLOOKUP($R206,武学奇术!$A:$ZZ,4,FALSE)+SUM(_xlfn.XLOOKUP($S206:$AG206,增益!$A:$A,增益!$D:$D,0))-$I$2</f>
        <v>6659.56</v>
      </c>
      <c r="AQ206" s="29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0.3175</v>
      </c>
      <c r="AR206" s="29" cm="1">
        <f t="array" ref="AR206">$G$10+VLOOKUP($R206,武学奇术!$A:$ZZ,7,FALSE)+SUM(_xlfn.XLOOKUP(S206:AG206,增益!$A:$A,增益!$G:$G,0))</f>
        <v>0</v>
      </c>
      <c r="AS206" s="20" cm="1">
        <f t="array" ref="AS206">VLOOKUP($R206,武学奇术!$A:$ZZ,8,FALSE)+SUM(_xlfn.XLOOKUP(S206:AG206,增益!$A:$A,增益!$H:$H,0))</f>
        <v>0</v>
      </c>
      <c r="AT206">
        <f t="shared" si="34"/>
        <v>538</v>
      </c>
      <c r="AU206">
        <f t="shared" si="35"/>
        <v>1011</v>
      </c>
      <c r="AV206" s="29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0.075</v>
      </c>
      <c r="AW206" s="29" cm="1">
        <f t="array" ref="AW206">$G$11+VLOOKUP($R206,武学奇术!$A:$ZZ,10,FALSE)+SUM(_xlfn.XLOOKUP(S206:AG206,增益!$A:$A,增益!$J:$J,0))</f>
        <v>0.15</v>
      </c>
      <c r="AX206">
        <f t="shared" si="36"/>
        <v>0</v>
      </c>
      <c r="AY206">
        <f t="shared" si="37"/>
        <v>0</v>
      </c>
      <c r="AZ206" s="29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-0.3</v>
      </c>
      <c r="BA206" s="29" cm="1">
        <f t="array" ref="BA206">$G$12+VLOOKUP($R206,武学奇术!$A:$ZZ,12,FALSE)+SUM(_xlfn.XLOOKUP(S206:AG206,增益!$A:$A,增益!$L:$L,0))</f>
        <v>0</v>
      </c>
      <c r="BB206">
        <f t="shared" si="38"/>
        <v>0</v>
      </c>
      <c r="BC206">
        <f t="shared" si="39"/>
        <v>0</v>
      </c>
      <c r="BD206" s="29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-0.3</v>
      </c>
      <c r="BE206" s="29" cm="1">
        <f t="array" ref="BE206">$G$13+VLOOKUP($R206,武学奇术!$A:$ZZ,14,FALSE)+SUM(_xlfn.XLOOKUP(S206:AG206,增益!$A:$A,增益!$N:$N,0))</f>
        <v>0</v>
      </c>
      <c r="BF206">
        <f t="shared" si="40"/>
        <v>0</v>
      </c>
      <c r="BG206">
        <f t="shared" si="41"/>
        <v>0</v>
      </c>
      <c r="BH206" s="29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-0.3</v>
      </c>
      <c r="BI206" s="29" cm="1">
        <f t="array" ref="BI206">$G$14+VLOOKUP($R206,武学奇术!$A:$ZZ,16,FALSE)+SUM(_xlfn.XLOOKUP(S206:AG206,增益!$A:$A,增益!$P:$P,0))</f>
        <v>0</v>
      </c>
      <c r="BJ206" s="20">
        <f>MIN(IF(VLOOKUP($R206,武学奇术!$A:$ZZ,23,FALSE)=1,100%,$B$8),100%)</f>
        <v>0.8271</v>
      </c>
      <c r="BK206" s="20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0.2249</v>
      </c>
      <c r="BL206" s="20" cm="1">
        <f t="array" ref="BL206">1+$B$13+VLOOKUP($R206,武学奇术!$A:$ZZ,18,FALSE)+SUM(_xlfn.XLOOKUP(S206:AG206,增益!$A:$A,增益!$R:$R,0))</f>
        <v>1.5</v>
      </c>
      <c r="BM206" s="20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0.4459</v>
      </c>
      <c r="BN206" s="20" cm="1">
        <f t="array" ref="BN206">1+$B$14+VLOOKUP($R206,武学奇术!$A:$ZZ,20,FALSE)+SUM(_xlfn.XLOOKUP(S206:AG206,增益!$A:$A,增益!$T:$T,0))</f>
        <v>1.782</v>
      </c>
      <c r="BO206" s="20">
        <f t="shared" si="42"/>
        <v>0.18601479</v>
      </c>
      <c r="BP206" s="20">
        <f t="shared" si="43"/>
        <v>0.27228132</v>
      </c>
      <c r="BQ206" s="20">
        <f>IF(VLOOKUP($R206,武学奇术!$A:$ZZ,22,FALSE)=1,0,(1-$BJ206))*(1-$BM206)</f>
        <v>0.09580389</v>
      </c>
      <c r="BR206" s="20" cm="1">
        <f t="array" ref="BR206">SUM(_xlfn.XLOOKUP(S206:AG206,增益!$A:$A,增益!$W:$W,0))+$I$5</f>
        <v>0.11</v>
      </c>
    </row>
    <row r="207" spans="11:70">
      <c r="K207" s="27">
        <f>$L207*VLOOKUP($R207,武学奇术!$A:$ZZ,31,FALSE)</f>
        <v>8461.61411788712</v>
      </c>
      <c r="L207" s="27">
        <f t="shared" si="33"/>
        <v>14102.6901964785</v>
      </c>
      <c r="M207" s="27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11557.7590864743</v>
      </c>
      <c r="N207" s="27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21366.0254773812</v>
      </c>
      <c r="O207" s="27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7705.1727243162</v>
      </c>
      <c r="P207" s="27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3420.43216166202</v>
      </c>
      <c r="Q207" s="35">
        <v>1</v>
      </c>
      <c r="R207" s="36" t="s">
        <v>162</v>
      </c>
      <c r="S207" s="36" t="s">
        <v>71</v>
      </c>
      <c r="T207" s="36" t="s">
        <v>99</v>
      </c>
      <c r="U207" s="36" t="s">
        <v>100</v>
      </c>
      <c r="V207" s="36" t="s">
        <v>71</v>
      </c>
      <c r="W207" s="36" t="s">
        <v>111</v>
      </c>
      <c r="X207" s="36" t="s">
        <v>71</v>
      </c>
      <c r="Y207" s="36" t="s">
        <v>71</v>
      </c>
      <c r="Z207" s="36" t="s">
        <v>71</v>
      </c>
      <c r="AA207" s="36" t="s">
        <v>71</v>
      </c>
      <c r="AB207" s="36" t="s">
        <v>71</v>
      </c>
      <c r="AC207" s="36" t="s">
        <v>71</v>
      </c>
      <c r="AD207" s="36" t="s">
        <v>72</v>
      </c>
      <c r="AE207" s="36" t="s">
        <v>94</v>
      </c>
      <c r="AF207" s="36" t="s">
        <v>154</v>
      </c>
      <c r="AG207" s="36" t="s">
        <v>120</v>
      </c>
      <c r="AH207" t="str">
        <f>VLOOKUP($R207,武学奇术!$A:$ZZ,25,FALSE)</f>
        <v>剑</v>
      </c>
      <c r="AI207" s="20">
        <f>VLOOKUP($R207,武学奇术!$A:$ZZ,26,FALSE)</f>
        <v>0.3432</v>
      </c>
      <c r="AJ207" s="21">
        <f>VLOOKUP($R207,武学奇术!$A:$ZZ,27,FALSE)*(1+IF(OR($AH207=$F$4,$AH207=$F$5),$B$22,0))</f>
        <v>0</v>
      </c>
      <c r="AK207" s="20">
        <f>VLOOKUP($R207,武学奇术!$A:$ZZ,28,FALSE)</f>
        <v>0.5148</v>
      </c>
      <c r="AL207" s="21">
        <f>VLOOKUP($R207,武学奇术!$A:$ZZ,29,FALSE)*(1+IF(OR($AH207=$F$4,$AH207=$F$5),$B$22,0))</f>
        <v>0</v>
      </c>
      <c r="AM207" s="20" cm="1">
        <f t="array" ref="AM207">$G$3+IFERROR(VLOOKUP($AH207,$F$4:$G$7,2,FALSE),0)+VLOOKUP($R207,武学奇术!$A:$ZZ,2,FALSE)+SUM(_xlfn.XLOOKUP($S207:$AG207,增益!$A:$A,增益!$B:$B,0))</f>
        <v>1.2391</v>
      </c>
      <c r="AN207" s="20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1548.52</v>
      </c>
      <c r="AP207" cm="1">
        <f t="array" ref="AP207">$E$10*(1+$AN207)+VLOOKUP($R207,武学奇术!$A:$ZZ,4,FALSE)+SUM(_xlfn.XLOOKUP($S207:$AG207,增益!$A:$A,增益!$D:$D,0))-$I$2</f>
        <v>6659.56</v>
      </c>
      <c r="AQ207" s="29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0.3175</v>
      </c>
      <c r="AR207" s="29" cm="1">
        <f t="array" ref="AR207">$G$10+VLOOKUP($R207,武学奇术!$A:$ZZ,7,FALSE)+SUM(_xlfn.XLOOKUP(S207:AG207,增益!$A:$A,增益!$G:$G,0))</f>
        <v>0</v>
      </c>
      <c r="AS207" s="20" cm="1">
        <f t="array" ref="AS207">VLOOKUP($R207,武学奇术!$A:$ZZ,8,FALSE)+SUM(_xlfn.XLOOKUP(S207:AG207,增益!$A:$A,增益!$H:$H,0))</f>
        <v>0</v>
      </c>
      <c r="AT207">
        <f t="shared" si="34"/>
        <v>538</v>
      </c>
      <c r="AU207">
        <f t="shared" si="35"/>
        <v>1011</v>
      </c>
      <c r="AV207" s="29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0.075</v>
      </c>
      <c r="AW207" s="29" cm="1">
        <f t="array" ref="AW207">$G$11+VLOOKUP($R207,武学奇术!$A:$ZZ,10,FALSE)+SUM(_xlfn.XLOOKUP(S207:AG207,增益!$A:$A,增益!$J:$J,0))</f>
        <v>0.15</v>
      </c>
      <c r="AX207">
        <f t="shared" si="36"/>
        <v>0</v>
      </c>
      <c r="AY207">
        <f t="shared" si="37"/>
        <v>0</v>
      </c>
      <c r="AZ207" s="29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-0.3</v>
      </c>
      <c r="BA207" s="29" cm="1">
        <f t="array" ref="BA207">$G$12+VLOOKUP($R207,武学奇术!$A:$ZZ,12,FALSE)+SUM(_xlfn.XLOOKUP(S207:AG207,增益!$A:$A,增益!$L:$L,0))</f>
        <v>0</v>
      </c>
      <c r="BB207">
        <f t="shared" si="38"/>
        <v>0</v>
      </c>
      <c r="BC207">
        <f t="shared" si="39"/>
        <v>0</v>
      </c>
      <c r="BD207" s="29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-0.3</v>
      </c>
      <c r="BE207" s="29" cm="1">
        <f t="array" ref="BE207">$G$13+VLOOKUP($R207,武学奇术!$A:$ZZ,14,FALSE)+SUM(_xlfn.XLOOKUP(S207:AG207,增益!$A:$A,增益!$N:$N,0))</f>
        <v>0</v>
      </c>
      <c r="BF207">
        <f t="shared" si="40"/>
        <v>0</v>
      </c>
      <c r="BG207">
        <f t="shared" si="41"/>
        <v>0</v>
      </c>
      <c r="BH207" s="29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-0.3</v>
      </c>
      <c r="BI207" s="29" cm="1">
        <f t="array" ref="BI207">$G$14+VLOOKUP($R207,武学奇术!$A:$ZZ,16,FALSE)+SUM(_xlfn.XLOOKUP(S207:AG207,增益!$A:$A,增益!$P:$P,0))</f>
        <v>0</v>
      </c>
      <c r="BJ207" s="20">
        <f>MIN(IF(VLOOKUP($R207,武学奇术!$A:$ZZ,23,FALSE)=1,100%,$B$8),100%)</f>
        <v>0.8271</v>
      </c>
      <c r="BK207" s="20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0.2249</v>
      </c>
      <c r="BL207" s="20" cm="1">
        <f t="array" ref="BL207">1+$B$13+VLOOKUP($R207,武学奇术!$A:$ZZ,18,FALSE)+SUM(_xlfn.XLOOKUP(S207:AG207,增益!$A:$A,增益!$R:$R,0))</f>
        <v>1.5</v>
      </c>
      <c r="BM207" s="20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0.4459</v>
      </c>
      <c r="BN207" s="20" cm="1">
        <f t="array" ref="BN207">1+$B$14+VLOOKUP($R207,武学奇术!$A:$ZZ,20,FALSE)+SUM(_xlfn.XLOOKUP(S207:AG207,增益!$A:$A,增益!$T:$T,0))</f>
        <v>1.782</v>
      </c>
      <c r="BO207" s="20">
        <f t="shared" si="42"/>
        <v>0.18601479</v>
      </c>
      <c r="BP207" s="20">
        <f t="shared" si="43"/>
        <v>0.27228132</v>
      </c>
      <c r="BQ207" s="20">
        <f>IF(VLOOKUP($R207,武学奇术!$A:$ZZ,22,FALSE)=1,0,(1-$BJ207))*(1-$BM207)</f>
        <v>0.09580389</v>
      </c>
      <c r="BR207" s="20" cm="1">
        <f t="array" ref="BR207">SUM(_xlfn.XLOOKUP(S207:AG207,增益!$A:$A,增益!$W:$W,0))+$I$5</f>
        <v>0.11</v>
      </c>
    </row>
    <row r="208" spans="11:70">
      <c r="K208" s="27">
        <f>$L208*VLOOKUP($R208,武学奇术!$A:$ZZ,31,FALSE)</f>
        <v>5076.96847073227</v>
      </c>
      <c r="L208" s="27">
        <f t="shared" si="33"/>
        <v>8461.61411788712</v>
      </c>
      <c r="M208" s="27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6934.65545188458</v>
      </c>
      <c r="N208" s="27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12819.6152864287</v>
      </c>
      <c r="O208" s="27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4623.10363458972</v>
      </c>
      <c r="P208" s="27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2052.25929699721</v>
      </c>
      <c r="Q208" s="35">
        <v>1</v>
      </c>
      <c r="R208" s="36" t="s">
        <v>165</v>
      </c>
      <c r="S208" s="36" t="s">
        <v>71</v>
      </c>
      <c r="T208" s="36" t="s">
        <v>99</v>
      </c>
      <c r="U208" s="36" t="s">
        <v>100</v>
      </c>
      <c r="V208" s="36" t="s">
        <v>71</v>
      </c>
      <c r="W208" s="36" t="s">
        <v>111</v>
      </c>
      <c r="X208" s="36" t="s">
        <v>71</v>
      </c>
      <c r="Y208" s="36" t="s">
        <v>71</v>
      </c>
      <c r="Z208" s="36" t="s">
        <v>71</v>
      </c>
      <c r="AA208" s="36" t="s">
        <v>71</v>
      </c>
      <c r="AB208" s="36" t="s">
        <v>71</v>
      </c>
      <c r="AC208" s="36" t="s">
        <v>71</v>
      </c>
      <c r="AD208" s="36" t="s">
        <v>72</v>
      </c>
      <c r="AE208" s="36" t="s">
        <v>94</v>
      </c>
      <c r="AF208" s="36" t="s">
        <v>154</v>
      </c>
      <c r="AG208" s="36" t="s">
        <v>120</v>
      </c>
      <c r="AH208" t="str">
        <f>VLOOKUP($R208,武学奇术!$A:$ZZ,25,FALSE)</f>
        <v>剑</v>
      </c>
      <c r="AI208" s="20">
        <f>VLOOKUP($R208,武学奇术!$A:$ZZ,26,FALSE)</f>
        <v>0.20592</v>
      </c>
      <c r="AJ208" s="21">
        <f>VLOOKUP($R208,武学奇术!$A:$ZZ,27,FALSE)*(1+IF(OR($AH208=$F$4,$AH208=$F$5),$B$22,0))</f>
        <v>0</v>
      </c>
      <c r="AK208" s="20">
        <f>VLOOKUP($R208,武学奇术!$A:$ZZ,28,FALSE)</f>
        <v>0.30888</v>
      </c>
      <c r="AL208" s="21">
        <f>VLOOKUP($R208,武学奇术!$A:$ZZ,29,FALSE)*(1+IF(OR($AH208=$F$4,$AH208=$F$5),$B$22,0))</f>
        <v>0</v>
      </c>
      <c r="AM208" s="20" cm="1">
        <f t="array" ref="AM208">$G$3+IFERROR(VLOOKUP($AH208,$F$4:$G$7,2,FALSE),0)+VLOOKUP($R208,武学奇术!$A:$ZZ,2,FALSE)+SUM(_xlfn.XLOOKUP($S208:$AG208,增益!$A:$A,增益!$B:$B,0))</f>
        <v>1.2391</v>
      </c>
      <c r="AN208" s="20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1548.52</v>
      </c>
      <c r="AP208" cm="1">
        <f t="array" ref="AP208">$E$10*(1+$AN208)+VLOOKUP($R208,武学奇术!$A:$ZZ,4,FALSE)+SUM(_xlfn.XLOOKUP($S208:$AG208,增益!$A:$A,增益!$D:$D,0))-$I$2</f>
        <v>6659.56</v>
      </c>
      <c r="AQ208" s="29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0.3175</v>
      </c>
      <c r="AR208" s="29" cm="1">
        <f t="array" ref="AR208">$G$10+VLOOKUP($R208,武学奇术!$A:$ZZ,7,FALSE)+SUM(_xlfn.XLOOKUP(S208:AG208,增益!$A:$A,增益!$G:$G,0))</f>
        <v>0</v>
      </c>
      <c r="AS208" s="20" cm="1">
        <f t="array" ref="AS208">VLOOKUP($R208,武学奇术!$A:$ZZ,8,FALSE)+SUM(_xlfn.XLOOKUP(S208:AG208,增益!$A:$A,增益!$H:$H,0))</f>
        <v>0</v>
      </c>
      <c r="AT208">
        <f t="shared" si="34"/>
        <v>538</v>
      </c>
      <c r="AU208">
        <f t="shared" si="35"/>
        <v>1011</v>
      </c>
      <c r="AV208" s="29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0.075</v>
      </c>
      <c r="AW208" s="29" cm="1">
        <f t="array" ref="AW208">$G$11+VLOOKUP($R208,武学奇术!$A:$ZZ,10,FALSE)+SUM(_xlfn.XLOOKUP(S208:AG208,增益!$A:$A,增益!$J:$J,0))</f>
        <v>0.15</v>
      </c>
      <c r="AX208">
        <f t="shared" si="36"/>
        <v>0</v>
      </c>
      <c r="AY208">
        <f t="shared" si="37"/>
        <v>0</v>
      </c>
      <c r="AZ208" s="29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-0.3</v>
      </c>
      <c r="BA208" s="29" cm="1">
        <f t="array" ref="BA208">$G$12+VLOOKUP($R208,武学奇术!$A:$ZZ,12,FALSE)+SUM(_xlfn.XLOOKUP(S208:AG208,增益!$A:$A,增益!$L:$L,0))</f>
        <v>0</v>
      </c>
      <c r="BB208">
        <f t="shared" si="38"/>
        <v>0</v>
      </c>
      <c r="BC208">
        <f t="shared" si="39"/>
        <v>0</v>
      </c>
      <c r="BD208" s="29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-0.3</v>
      </c>
      <c r="BE208" s="29" cm="1">
        <f t="array" ref="BE208">$G$13+VLOOKUP($R208,武学奇术!$A:$ZZ,14,FALSE)+SUM(_xlfn.XLOOKUP(S208:AG208,增益!$A:$A,增益!$N:$N,0))</f>
        <v>0</v>
      </c>
      <c r="BF208">
        <f t="shared" si="40"/>
        <v>0</v>
      </c>
      <c r="BG208">
        <f t="shared" si="41"/>
        <v>0</v>
      </c>
      <c r="BH208" s="29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-0.3</v>
      </c>
      <c r="BI208" s="29" cm="1">
        <f t="array" ref="BI208">$G$14+VLOOKUP($R208,武学奇术!$A:$ZZ,16,FALSE)+SUM(_xlfn.XLOOKUP(S208:AG208,增益!$A:$A,增益!$P:$P,0))</f>
        <v>0</v>
      </c>
      <c r="BJ208" s="20">
        <f>MIN(IF(VLOOKUP($R208,武学奇术!$A:$ZZ,23,FALSE)=1,100%,$B$8),100%)</f>
        <v>0.8271</v>
      </c>
      <c r="BK208" s="20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0.2249</v>
      </c>
      <c r="BL208" s="20" cm="1">
        <f t="array" ref="BL208">1+$B$13+VLOOKUP($R208,武学奇术!$A:$ZZ,18,FALSE)+SUM(_xlfn.XLOOKUP(S208:AG208,增益!$A:$A,增益!$R:$R,0))</f>
        <v>1.5</v>
      </c>
      <c r="BM208" s="20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0.4459</v>
      </c>
      <c r="BN208" s="20" cm="1">
        <f t="array" ref="BN208">1+$B$14+VLOOKUP($R208,武学奇术!$A:$ZZ,20,FALSE)+SUM(_xlfn.XLOOKUP(S208:AG208,增益!$A:$A,增益!$T:$T,0))</f>
        <v>1.782</v>
      </c>
      <c r="BO208" s="20">
        <f t="shared" si="42"/>
        <v>0.18601479</v>
      </c>
      <c r="BP208" s="20">
        <f t="shared" si="43"/>
        <v>0.27228132</v>
      </c>
      <c r="BQ208" s="20">
        <f>IF(VLOOKUP($R208,武学奇术!$A:$ZZ,22,FALSE)=1,0,(1-$BJ208))*(1-$BM208)</f>
        <v>0.09580389</v>
      </c>
      <c r="BR208" s="20" cm="1">
        <f t="array" ref="BR208">SUM(_xlfn.XLOOKUP(S208:AG208,增益!$A:$A,增益!$W:$W,0))+$I$5</f>
        <v>0.11</v>
      </c>
    </row>
    <row r="209" spans="11:70">
      <c r="K209" s="27">
        <f>$L209*VLOOKUP($R209,武学奇术!$A:$ZZ,31,FALSE)</f>
        <v>6769.2912943097</v>
      </c>
      <c r="L209" s="27">
        <f t="shared" si="33"/>
        <v>11282.1521571828</v>
      </c>
      <c r="M209" s="27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9246.20726917944</v>
      </c>
      <c r="N209" s="27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17092.820381905</v>
      </c>
      <c r="O209" s="27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6164.13817945296</v>
      </c>
      <c r="P209" s="27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2736.34572932961</v>
      </c>
      <c r="Q209" s="35">
        <v>1</v>
      </c>
      <c r="R209" s="36" t="s">
        <v>163</v>
      </c>
      <c r="S209" s="36" t="s">
        <v>71</v>
      </c>
      <c r="T209" s="36" t="s">
        <v>99</v>
      </c>
      <c r="U209" s="36" t="s">
        <v>100</v>
      </c>
      <c r="V209" s="36" t="s">
        <v>71</v>
      </c>
      <c r="W209" s="36" t="s">
        <v>111</v>
      </c>
      <c r="X209" s="36" t="s">
        <v>71</v>
      </c>
      <c r="Y209" s="36" t="s">
        <v>71</v>
      </c>
      <c r="Z209" s="36" t="s">
        <v>71</v>
      </c>
      <c r="AA209" s="36" t="s">
        <v>71</v>
      </c>
      <c r="AB209" s="36" t="s">
        <v>71</v>
      </c>
      <c r="AC209" s="36" t="s">
        <v>71</v>
      </c>
      <c r="AD209" s="36" t="s">
        <v>72</v>
      </c>
      <c r="AE209" s="36" t="s">
        <v>94</v>
      </c>
      <c r="AF209" s="36" t="s">
        <v>154</v>
      </c>
      <c r="AG209" s="36" t="s">
        <v>120</v>
      </c>
      <c r="AH209" t="str">
        <f>VLOOKUP($R209,武学奇术!$A:$ZZ,25,FALSE)</f>
        <v>剑</v>
      </c>
      <c r="AI209" s="20">
        <f>VLOOKUP($R209,武学奇术!$A:$ZZ,26,FALSE)</f>
        <v>0.27456</v>
      </c>
      <c r="AJ209" s="21">
        <f>VLOOKUP($R209,武学奇术!$A:$ZZ,27,FALSE)*(1+IF(OR($AH209=$F$4,$AH209=$F$5),$B$22,0))</f>
        <v>0</v>
      </c>
      <c r="AK209" s="20">
        <f>VLOOKUP($R209,武学奇术!$A:$ZZ,28,FALSE)</f>
        <v>0.41184</v>
      </c>
      <c r="AL209" s="21">
        <f>VLOOKUP($R209,武学奇术!$A:$ZZ,29,FALSE)*(1+IF(OR($AH209=$F$4,$AH209=$F$5),$B$22,0))</f>
        <v>0</v>
      </c>
      <c r="AM209" s="20" cm="1">
        <f t="array" ref="AM209">$G$3+IFERROR(VLOOKUP($AH209,$F$4:$G$7,2,FALSE),0)+VLOOKUP($R209,武学奇术!$A:$ZZ,2,FALSE)+SUM(_xlfn.XLOOKUP($S209:$AG209,增益!$A:$A,增益!$B:$B,0))</f>
        <v>1.2391</v>
      </c>
      <c r="AN209" s="20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1548.52</v>
      </c>
      <c r="AP209" cm="1">
        <f t="array" ref="AP209">$E$10*(1+$AN209)+VLOOKUP($R209,武学奇术!$A:$ZZ,4,FALSE)+SUM(_xlfn.XLOOKUP($S209:$AG209,增益!$A:$A,增益!$D:$D,0))-$I$2</f>
        <v>6659.56</v>
      </c>
      <c r="AQ209" s="29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0.3175</v>
      </c>
      <c r="AR209" s="29" cm="1">
        <f t="array" ref="AR209">$G$10+VLOOKUP($R209,武学奇术!$A:$ZZ,7,FALSE)+SUM(_xlfn.XLOOKUP(S209:AG209,增益!$A:$A,增益!$G:$G,0))</f>
        <v>0</v>
      </c>
      <c r="AS209" s="20" cm="1">
        <f t="array" ref="AS209">VLOOKUP($R209,武学奇术!$A:$ZZ,8,FALSE)+SUM(_xlfn.XLOOKUP(S209:AG209,增益!$A:$A,增益!$H:$H,0))</f>
        <v>0</v>
      </c>
      <c r="AT209">
        <f t="shared" si="34"/>
        <v>538</v>
      </c>
      <c r="AU209">
        <f t="shared" si="35"/>
        <v>1011</v>
      </c>
      <c r="AV209" s="29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0.075</v>
      </c>
      <c r="AW209" s="29" cm="1">
        <f t="array" ref="AW209">$G$11+VLOOKUP($R209,武学奇术!$A:$ZZ,10,FALSE)+SUM(_xlfn.XLOOKUP(S209:AG209,增益!$A:$A,增益!$J:$J,0))</f>
        <v>0.15</v>
      </c>
      <c r="AX209">
        <f t="shared" si="36"/>
        <v>0</v>
      </c>
      <c r="AY209">
        <f t="shared" si="37"/>
        <v>0</v>
      </c>
      <c r="AZ209" s="29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-0.3</v>
      </c>
      <c r="BA209" s="29" cm="1">
        <f t="array" ref="BA209">$G$12+VLOOKUP($R209,武学奇术!$A:$ZZ,12,FALSE)+SUM(_xlfn.XLOOKUP(S209:AG209,增益!$A:$A,增益!$L:$L,0))</f>
        <v>0</v>
      </c>
      <c r="BB209">
        <f t="shared" si="38"/>
        <v>0</v>
      </c>
      <c r="BC209">
        <f t="shared" si="39"/>
        <v>0</v>
      </c>
      <c r="BD209" s="29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-0.3</v>
      </c>
      <c r="BE209" s="29" cm="1">
        <f t="array" ref="BE209">$G$13+VLOOKUP($R209,武学奇术!$A:$ZZ,14,FALSE)+SUM(_xlfn.XLOOKUP(S209:AG209,增益!$A:$A,增益!$N:$N,0))</f>
        <v>0</v>
      </c>
      <c r="BF209">
        <f t="shared" si="40"/>
        <v>0</v>
      </c>
      <c r="BG209">
        <f t="shared" si="41"/>
        <v>0</v>
      </c>
      <c r="BH209" s="29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-0.3</v>
      </c>
      <c r="BI209" s="29" cm="1">
        <f t="array" ref="BI209">$G$14+VLOOKUP($R209,武学奇术!$A:$ZZ,16,FALSE)+SUM(_xlfn.XLOOKUP(S209:AG209,增益!$A:$A,增益!$P:$P,0))</f>
        <v>0</v>
      </c>
      <c r="BJ209" s="20">
        <f>MIN(IF(VLOOKUP($R209,武学奇术!$A:$ZZ,23,FALSE)=1,100%,$B$8),100%)</f>
        <v>0.8271</v>
      </c>
      <c r="BK209" s="20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0.2249</v>
      </c>
      <c r="BL209" s="20" cm="1">
        <f t="array" ref="BL209">1+$B$13+VLOOKUP($R209,武学奇术!$A:$ZZ,18,FALSE)+SUM(_xlfn.XLOOKUP(S209:AG209,增益!$A:$A,增益!$R:$R,0))</f>
        <v>1.5</v>
      </c>
      <c r="BM209" s="20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0.4459</v>
      </c>
      <c r="BN209" s="20" cm="1">
        <f t="array" ref="BN209">1+$B$14+VLOOKUP($R209,武学奇术!$A:$ZZ,20,FALSE)+SUM(_xlfn.XLOOKUP(S209:AG209,增益!$A:$A,增益!$T:$T,0))</f>
        <v>1.782</v>
      </c>
      <c r="BO209" s="20">
        <f t="shared" si="42"/>
        <v>0.18601479</v>
      </c>
      <c r="BP209" s="20">
        <f t="shared" si="43"/>
        <v>0.27228132</v>
      </c>
      <c r="BQ209" s="20">
        <f>IF(VLOOKUP($R209,武学奇术!$A:$ZZ,22,FALSE)=1,0,(1-$BJ209))*(1-$BM209)</f>
        <v>0.09580389</v>
      </c>
      <c r="BR209" s="20" cm="1">
        <f t="array" ref="BR209">SUM(_xlfn.XLOOKUP(S209:AG209,增益!$A:$A,增益!$W:$W,0))+$I$5</f>
        <v>0.11</v>
      </c>
    </row>
    <row r="210" spans="11:70">
      <c r="K210" s="27">
        <f>$L210*VLOOKUP($R210,武学奇术!$A:$ZZ,31,FALSE)</f>
        <v>6769.2912943097</v>
      </c>
      <c r="L210" s="27">
        <f t="shared" si="33"/>
        <v>11282.1521571828</v>
      </c>
      <c r="M210" s="27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9246.20726917944</v>
      </c>
      <c r="N210" s="27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17092.820381905</v>
      </c>
      <c r="O210" s="27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6164.13817945296</v>
      </c>
      <c r="P210" s="27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2736.34572932961</v>
      </c>
      <c r="Q210" s="35">
        <v>1</v>
      </c>
      <c r="R210" s="36" t="s">
        <v>163</v>
      </c>
      <c r="S210" s="36" t="s">
        <v>71</v>
      </c>
      <c r="T210" s="36" t="s">
        <v>99</v>
      </c>
      <c r="U210" s="36" t="s">
        <v>100</v>
      </c>
      <c r="V210" s="36" t="s">
        <v>71</v>
      </c>
      <c r="W210" s="36" t="s">
        <v>111</v>
      </c>
      <c r="X210" s="36" t="s">
        <v>71</v>
      </c>
      <c r="Y210" s="36" t="s">
        <v>71</v>
      </c>
      <c r="Z210" s="36" t="s">
        <v>71</v>
      </c>
      <c r="AA210" s="36" t="s">
        <v>71</v>
      </c>
      <c r="AB210" s="36" t="s">
        <v>71</v>
      </c>
      <c r="AC210" s="36" t="s">
        <v>71</v>
      </c>
      <c r="AD210" s="36" t="s">
        <v>72</v>
      </c>
      <c r="AE210" s="36" t="s">
        <v>94</v>
      </c>
      <c r="AF210" s="36" t="s">
        <v>154</v>
      </c>
      <c r="AG210" s="36" t="s">
        <v>120</v>
      </c>
      <c r="AH210" t="str">
        <f>VLOOKUP($R210,武学奇术!$A:$ZZ,25,FALSE)</f>
        <v>剑</v>
      </c>
      <c r="AI210" s="20">
        <f>VLOOKUP($R210,武学奇术!$A:$ZZ,26,FALSE)</f>
        <v>0.27456</v>
      </c>
      <c r="AJ210" s="21">
        <f>VLOOKUP($R210,武学奇术!$A:$ZZ,27,FALSE)*(1+IF(OR($AH210=$F$4,$AH210=$F$5),$B$22,0))</f>
        <v>0</v>
      </c>
      <c r="AK210" s="20">
        <f>VLOOKUP($R210,武学奇术!$A:$ZZ,28,FALSE)</f>
        <v>0.41184</v>
      </c>
      <c r="AL210" s="21">
        <f>VLOOKUP($R210,武学奇术!$A:$ZZ,29,FALSE)*(1+IF(OR($AH210=$F$4,$AH210=$F$5),$B$22,0))</f>
        <v>0</v>
      </c>
      <c r="AM210" s="20" cm="1">
        <f t="array" ref="AM210">$G$3+IFERROR(VLOOKUP($AH210,$F$4:$G$7,2,FALSE),0)+VLOOKUP($R210,武学奇术!$A:$ZZ,2,FALSE)+SUM(_xlfn.XLOOKUP($S210:$AG210,增益!$A:$A,增益!$B:$B,0))</f>
        <v>1.2391</v>
      </c>
      <c r="AN210" s="20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1548.52</v>
      </c>
      <c r="AP210" cm="1">
        <f t="array" ref="AP210">$E$10*(1+$AN210)+VLOOKUP($R210,武学奇术!$A:$ZZ,4,FALSE)+SUM(_xlfn.XLOOKUP($S210:$AG210,增益!$A:$A,增益!$D:$D,0))-$I$2</f>
        <v>6659.56</v>
      </c>
      <c r="AQ210" s="29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0.3175</v>
      </c>
      <c r="AR210" s="29" cm="1">
        <f t="array" ref="AR210">$G$10+VLOOKUP($R210,武学奇术!$A:$ZZ,7,FALSE)+SUM(_xlfn.XLOOKUP(S210:AG210,增益!$A:$A,增益!$G:$G,0))</f>
        <v>0</v>
      </c>
      <c r="AS210" s="20" cm="1">
        <f t="array" ref="AS210">VLOOKUP($R210,武学奇术!$A:$ZZ,8,FALSE)+SUM(_xlfn.XLOOKUP(S210:AG210,增益!$A:$A,增益!$H:$H,0))</f>
        <v>0</v>
      </c>
      <c r="AT210">
        <f t="shared" si="34"/>
        <v>538</v>
      </c>
      <c r="AU210">
        <f t="shared" si="35"/>
        <v>1011</v>
      </c>
      <c r="AV210" s="29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0.075</v>
      </c>
      <c r="AW210" s="29" cm="1">
        <f t="array" ref="AW210">$G$11+VLOOKUP($R210,武学奇术!$A:$ZZ,10,FALSE)+SUM(_xlfn.XLOOKUP(S210:AG210,增益!$A:$A,增益!$J:$J,0))</f>
        <v>0.15</v>
      </c>
      <c r="AX210">
        <f t="shared" si="36"/>
        <v>0</v>
      </c>
      <c r="AY210">
        <f t="shared" si="37"/>
        <v>0</v>
      </c>
      <c r="AZ210" s="29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-0.3</v>
      </c>
      <c r="BA210" s="29" cm="1">
        <f t="array" ref="BA210">$G$12+VLOOKUP($R210,武学奇术!$A:$ZZ,12,FALSE)+SUM(_xlfn.XLOOKUP(S210:AG210,增益!$A:$A,增益!$L:$L,0))</f>
        <v>0</v>
      </c>
      <c r="BB210">
        <f t="shared" si="38"/>
        <v>0</v>
      </c>
      <c r="BC210">
        <f t="shared" si="39"/>
        <v>0</v>
      </c>
      <c r="BD210" s="29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-0.3</v>
      </c>
      <c r="BE210" s="29" cm="1">
        <f t="array" ref="BE210">$G$13+VLOOKUP($R210,武学奇术!$A:$ZZ,14,FALSE)+SUM(_xlfn.XLOOKUP(S210:AG210,增益!$A:$A,增益!$N:$N,0))</f>
        <v>0</v>
      </c>
      <c r="BF210">
        <f t="shared" si="40"/>
        <v>0</v>
      </c>
      <c r="BG210">
        <f t="shared" si="41"/>
        <v>0</v>
      </c>
      <c r="BH210" s="29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-0.3</v>
      </c>
      <c r="BI210" s="29" cm="1">
        <f t="array" ref="BI210">$G$14+VLOOKUP($R210,武学奇术!$A:$ZZ,16,FALSE)+SUM(_xlfn.XLOOKUP(S210:AG210,增益!$A:$A,增益!$P:$P,0))</f>
        <v>0</v>
      </c>
      <c r="BJ210" s="20">
        <f>MIN(IF(VLOOKUP($R210,武学奇术!$A:$ZZ,23,FALSE)=1,100%,$B$8),100%)</f>
        <v>0.8271</v>
      </c>
      <c r="BK210" s="20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0.2249</v>
      </c>
      <c r="BL210" s="20" cm="1">
        <f t="array" ref="BL210">1+$B$13+VLOOKUP($R210,武学奇术!$A:$ZZ,18,FALSE)+SUM(_xlfn.XLOOKUP(S210:AG210,增益!$A:$A,增益!$R:$R,0))</f>
        <v>1.5</v>
      </c>
      <c r="BM210" s="20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0.4459</v>
      </c>
      <c r="BN210" s="20" cm="1">
        <f t="array" ref="BN210">1+$B$14+VLOOKUP($R210,武学奇术!$A:$ZZ,20,FALSE)+SUM(_xlfn.XLOOKUP(S210:AG210,增益!$A:$A,增益!$T:$T,0))</f>
        <v>1.782</v>
      </c>
      <c r="BO210" s="20">
        <f t="shared" si="42"/>
        <v>0.18601479</v>
      </c>
      <c r="BP210" s="20">
        <f t="shared" si="43"/>
        <v>0.27228132</v>
      </c>
      <c r="BQ210" s="20">
        <f>IF(VLOOKUP($R210,武学奇术!$A:$ZZ,22,FALSE)=1,0,(1-$BJ210))*(1-$BM210)</f>
        <v>0.09580389</v>
      </c>
      <c r="BR210" s="20" cm="1">
        <f t="array" ref="BR210">SUM(_xlfn.XLOOKUP(S210:AG210,增益!$A:$A,增益!$W:$W,0))+$I$5</f>
        <v>0.11</v>
      </c>
    </row>
    <row r="211" spans="11:70">
      <c r="K211" s="27">
        <f>$L211*VLOOKUP($R211,武学奇术!$A:$ZZ,31,FALSE)</f>
        <v>6769.2912943097</v>
      </c>
      <c r="L211" s="27">
        <f t="shared" si="33"/>
        <v>11282.1521571828</v>
      </c>
      <c r="M211" s="27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9246.20726917944</v>
      </c>
      <c r="N211" s="27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17092.820381905</v>
      </c>
      <c r="O211" s="27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6164.13817945296</v>
      </c>
      <c r="P211" s="27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2736.34572932961</v>
      </c>
      <c r="Q211" s="35">
        <v>1</v>
      </c>
      <c r="R211" s="36" t="s">
        <v>163</v>
      </c>
      <c r="S211" s="36" t="s">
        <v>71</v>
      </c>
      <c r="T211" s="36" t="s">
        <v>99</v>
      </c>
      <c r="U211" s="36" t="s">
        <v>100</v>
      </c>
      <c r="V211" s="36" t="s">
        <v>71</v>
      </c>
      <c r="W211" s="36" t="s">
        <v>111</v>
      </c>
      <c r="X211" s="36" t="s">
        <v>71</v>
      </c>
      <c r="Y211" s="36" t="s">
        <v>71</v>
      </c>
      <c r="Z211" s="36" t="s">
        <v>71</v>
      </c>
      <c r="AA211" s="36" t="s">
        <v>71</v>
      </c>
      <c r="AB211" s="36" t="s">
        <v>71</v>
      </c>
      <c r="AC211" s="36" t="s">
        <v>71</v>
      </c>
      <c r="AD211" s="36" t="s">
        <v>72</v>
      </c>
      <c r="AE211" s="36" t="s">
        <v>94</v>
      </c>
      <c r="AF211" s="36" t="s">
        <v>154</v>
      </c>
      <c r="AG211" s="36" t="s">
        <v>120</v>
      </c>
      <c r="AH211" t="str">
        <f>VLOOKUP($R211,武学奇术!$A:$ZZ,25,FALSE)</f>
        <v>剑</v>
      </c>
      <c r="AI211" s="20">
        <f>VLOOKUP($R211,武学奇术!$A:$ZZ,26,FALSE)</f>
        <v>0.27456</v>
      </c>
      <c r="AJ211" s="21">
        <f>VLOOKUP($R211,武学奇术!$A:$ZZ,27,FALSE)*(1+IF(OR($AH211=$F$4,$AH211=$F$5),$B$22,0))</f>
        <v>0</v>
      </c>
      <c r="AK211" s="20">
        <f>VLOOKUP($R211,武学奇术!$A:$ZZ,28,FALSE)</f>
        <v>0.41184</v>
      </c>
      <c r="AL211" s="21">
        <f>VLOOKUP($R211,武学奇术!$A:$ZZ,29,FALSE)*(1+IF(OR($AH211=$F$4,$AH211=$F$5),$B$22,0))</f>
        <v>0</v>
      </c>
      <c r="AM211" s="20" cm="1">
        <f t="array" ref="AM211">$G$3+IFERROR(VLOOKUP($AH211,$F$4:$G$7,2,FALSE),0)+VLOOKUP($R211,武学奇术!$A:$ZZ,2,FALSE)+SUM(_xlfn.XLOOKUP($S211:$AG211,增益!$A:$A,增益!$B:$B,0))</f>
        <v>1.2391</v>
      </c>
      <c r="AN211" s="20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1548.52</v>
      </c>
      <c r="AP211" cm="1">
        <f t="array" ref="AP211">$E$10*(1+$AN211)+VLOOKUP($R211,武学奇术!$A:$ZZ,4,FALSE)+SUM(_xlfn.XLOOKUP($S211:$AG211,增益!$A:$A,增益!$D:$D,0))-$I$2</f>
        <v>6659.56</v>
      </c>
      <c r="AQ211" s="29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0.3175</v>
      </c>
      <c r="AR211" s="29" cm="1">
        <f t="array" ref="AR211">$G$10+VLOOKUP($R211,武学奇术!$A:$ZZ,7,FALSE)+SUM(_xlfn.XLOOKUP(S211:AG211,增益!$A:$A,增益!$G:$G,0))</f>
        <v>0</v>
      </c>
      <c r="AS211" s="20" cm="1">
        <f t="array" ref="AS211">VLOOKUP($R211,武学奇术!$A:$ZZ,8,FALSE)+SUM(_xlfn.XLOOKUP(S211:AG211,增益!$A:$A,增益!$H:$H,0))</f>
        <v>0</v>
      </c>
      <c r="AT211">
        <f t="shared" si="34"/>
        <v>538</v>
      </c>
      <c r="AU211">
        <f t="shared" si="35"/>
        <v>1011</v>
      </c>
      <c r="AV211" s="29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0.075</v>
      </c>
      <c r="AW211" s="29" cm="1">
        <f t="array" ref="AW211">$G$11+VLOOKUP($R211,武学奇术!$A:$ZZ,10,FALSE)+SUM(_xlfn.XLOOKUP(S211:AG211,增益!$A:$A,增益!$J:$J,0))</f>
        <v>0.15</v>
      </c>
      <c r="AX211">
        <f t="shared" si="36"/>
        <v>0</v>
      </c>
      <c r="AY211">
        <f t="shared" si="37"/>
        <v>0</v>
      </c>
      <c r="AZ211" s="29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-0.3</v>
      </c>
      <c r="BA211" s="29" cm="1">
        <f t="array" ref="BA211">$G$12+VLOOKUP($R211,武学奇术!$A:$ZZ,12,FALSE)+SUM(_xlfn.XLOOKUP(S211:AG211,增益!$A:$A,增益!$L:$L,0))</f>
        <v>0</v>
      </c>
      <c r="BB211">
        <f t="shared" si="38"/>
        <v>0</v>
      </c>
      <c r="BC211">
        <f t="shared" si="39"/>
        <v>0</v>
      </c>
      <c r="BD211" s="29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-0.3</v>
      </c>
      <c r="BE211" s="29" cm="1">
        <f t="array" ref="BE211">$G$13+VLOOKUP($R211,武学奇术!$A:$ZZ,14,FALSE)+SUM(_xlfn.XLOOKUP(S211:AG211,增益!$A:$A,增益!$N:$N,0))</f>
        <v>0</v>
      </c>
      <c r="BF211">
        <f t="shared" si="40"/>
        <v>0</v>
      </c>
      <c r="BG211">
        <f t="shared" si="41"/>
        <v>0</v>
      </c>
      <c r="BH211" s="29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-0.3</v>
      </c>
      <c r="BI211" s="29" cm="1">
        <f t="array" ref="BI211">$G$14+VLOOKUP($R211,武学奇术!$A:$ZZ,16,FALSE)+SUM(_xlfn.XLOOKUP(S211:AG211,增益!$A:$A,增益!$P:$P,0))</f>
        <v>0</v>
      </c>
      <c r="BJ211" s="20">
        <f>MIN(IF(VLOOKUP($R211,武学奇术!$A:$ZZ,23,FALSE)=1,100%,$B$8),100%)</f>
        <v>0.8271</v>
      </c>
      <c r="BK211" s="20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0.2249</v>
      </c>
      <c r="BL211" s="20" cm="1">
        <f t="array" ref="BL211">1+$B$13+VLOOKUP($R211,武学奇术!$A:$ZZ,18,FALSE)+SUM(_xlfn.XLOOKUP(S211:AG211,增益!$A:$A,增益!$R:$R,0))</f>
        <v>1.5</v>
      </c>
      <c r="BM211" s="20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0.4459</v>
      </c>
      <c r="BN211" s="20" cm="1">
        <f t="array" ref="BN211">1+$B$14+VLOOKUP($R211,武学奇术!$A:$ZZ,20,FALSE)+SUM(_xlfn.XLOOKUP(S211:AG211,增益!$A:$A,增益!$T:$T,0))</f>
        <v>1.782</v>
      </c>
      <c r="BO211" s="20">
        <f t="shared" si="42"/>
        <v>0.18601479</v>
      </c>
      <c r="BP211" s="20">
        <f t="shared" si="43"/>
        <v>0.27228132</v>
      </c>
      <c r="BQ211" s="20">
        <f>IF(VLOOKUP($R211,武学奇术!$A:$ZZ,22,FALSE)=1,0,(1-$BJ211))*(1-$BM211)</f>
        <v>0.09580389</v>
      </c>
      <c r="BR211" s="20" cm="1">
        <f t="array" ref="BR211">SUM(_xlfn.XLOOKUP(S211:AG211,增益!$A:$A,增益!$W:$W,0))+$I$5</f>
        <v>0.11</v>
      </c>
    </row>
    <row r="212" spans="11:70">
      <c r="K212" s="27">
        <f>$L212*VLOOKUP($R212,武学奇术!$A:$ZZ,31,FALSE)</f>
        <v>6737.46790053795</v>
      </c>
      <c r="L212" s="27">
        <f t="shared" si="33"/>
        <v>11229.1131675632</v>
      </c>
      <c r="M212" s="27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9191.02351494154</v>
      </c>
      <c r="N212" s="27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17027.2620818703</v>
      </c>
      <c r="O212" s="27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6127.34900996102</v>
      </c>
      <c r="P212" s="27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2699.55655983768</v>
      </c>
      <c r="Q212" s="35">
        <v>1</v>
      </c>
      <c r="R212" s="36" t="s">
        <v>163</v>
      </c>
      <c r="S212" s="36" t="s">
        <v>71</v>
      </c>
      <c r="T212" s="36" t="s">
        <v>99</v>
      </c>
      <c r="U212" s="36" t="s">
        <v>100</v>
      </c>
      <c r="V212" s="36" t="s">
        <v>71</v>
      </c>
      <c r="W212" s="36" t="s">
        <v>71</v>
      </c>
      <c r="X212" s="36" t="s">
        <v>71</v>
      </c>
      <c r="Y212" s="36" t="s">
        <v>71</v>
      </c>
      <c r="Z212" s="36" t="s">
        <v>71</v>
      </c>
      <c r="AA212" s="36" t="s">
        <v>71</v>
      </c>
      <c r="AB212" s="36" t="s">
        <v>71</v>
      </c>
      <c r="AC212" s="36" t="s">
        <v>71</v>
      </c>
      <c r="AD212" s="36" t="s">
        <v>72</v>
      </c>
      <c r="AE212" s="36" t="s">
        <v>94</v>
      </c>
      <c r="AF212" s="36" t="s">
        <v>154</v>
      </c>
      <c r="AG212" s="36" t="s">
        <v>120</v>
      </c>
      <c r="AH212" t="str">
        <f>VLOOKUP($R212,武学奇术!$A:$ZZ,25,FALSE)</f>
        <v>剑</v>
      </c>
      <c r="AI212" s="20">
        <f>VLOOKUP($R212,武学奇术!$A:$ZZ,26,FALSE)</f>
        <v>0.27456</v>
      </c>
      <c r="AJ212" s="21">
        <f>VLOOKUP($R212,武学奇术!$A:$ZZ,27,FALSE)*(1+IF(OR($AH212=$F$4,$AH212=$F$5),$B$22,0))</f>
        <v>0</v>
      </c>
      <c r="AK212" s="20">
        <f>VLOOKUP($R212,武学奇术!$A:$ZZ,28,FALSE)</f>
        <v>0.41184</v>
      </c>
      <c r="AL212" s="21">
        <f>VLOOKUP($R212,武学奇术!$A:$ZZ,29,FALSE)*(1+IF(OR($AH212=$F$4,$AH212=$F$5),$B$22,0))</f>
        <v>0</v>
      </c>
      <c r="AM212" s="20" cm="1">
        <f t="array" ref="AM212">$G$3+IFERROR(VLOOKUP($AH212,$F$4:$G$7,2,FALSE),0)+VLOOKUP($R212,武学奇术!$A:$ZZ,2,FALSE)+SUM(_xlfn.XLOOKUP($S212:$AG212,增益!$A:$A,增益!$B:$B,0))</f>
        <v>1.2391</v>
      </c>
      <c r="AN212" s="20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1517.52</v>
      </c>
      <c r="AP212" cm="1">
        <f t="array" ref="AP212">$E$10*(1+$AN212)+VLOOKUP($R212,武学奇术!$A:$ZZ,4,FALSE)+SUM(_xlfn.XLOOKUP($S212:$AG212,增益!$A:$A,增益!$D:$D,0))-$I$2</f>
        <v>6628.56</v>
      </c>
      <c r="AQ212" s="29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0.3175</v>
      </c>
      <c r="AR212" s="29" cm="1">
        <f t="array" ref="AR212">$G$10+VLOOKUP($R212,武学奇术!$A:$ZZ,7,FALSE)+SUM(_xlfn.XLOOKUP(S212:AG212,增益!$A:$A,增益!$G:$G,0))</f>
        <v>0</v>
      </c>
      <c r="AS212" s="20" cm="1">
        <f t="array" ref="AS212">VLOOKUP($R212,武学奇术!$A:$ZZ,8,FALSE)+SUM(_xlfn.XLOOKUP(S212:AG212,增益!$A:$A,增益!$H:$H,0))</f>
        <v>0</v>
      </c>
      <c r="AT212">
        <f t="shared" si="34"/>
        <v>538</v>
      </c>
      <c r="AU212">
        <f t="shared" si="35"/>
        <v>1011</v>
      </c>
      <c r="AV212" s="29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0.075</v>
      </c>
      <c r="AW212" s="29" cm="1">
        <f t="array" ref="AW212">$G$11+VLOOKUP($R212,武学奇术!$A:$ZZ,10,FALSE)+SUM(_xlfn.XLOOKUP(S212:AG212,增益!$A:$A,增益!$J:$J,0))</f>
        <v>0.15</v>
      </c>
      <c r="AX212">
        <f t="shared" si="36"/>
        <v>0</v>
      </c>
      <c r="AY212">
        <f t="shared" si="37"/>
        <v>0</v>
      </c>
      <c r="AZ212" s="29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29" cm="1">
        <f t="array" ref="BA212">$G$12+VLOOKUP($R212,武学奇术!$A:$ZZ,12,FALSE)+SUM(_xlfn.XLOOKUP(S212:AG212,增益!$A:$A,增益!$L:$L,0))</f>
        <v>0</v>
      </c>
      <c r="BB212">
        <f t="shared" si="38"/>
        <v>0</v>
      </c>
      <c r="BC212">
        <f t="shared" si="39"/>
        <v>0</v>
      </c>
      <c r="BD212" s="29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29" cm="1">
        <f t="array" ref="BE212">$G$13+VLOOKUP($R212,武学奇术!$A:$ZZ,14,FALSE)+SUM(_xlfn.XLOOKUP(S212:AG212,增益!$A:$A,增益!$N:$N,0))</f>
        <v>0</v>
      </c>
      <c r="BF212">
        <f t="shared" si="40"/>
        <v>0</v>
      </c>
      <c r="BG212">
        <f t="shared" si="41"/>
        <v>0</v>
      </c>
      <c r="BH212" s="29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29" cm="1">
        <f t="array" ref="BI212">$G$14+VLOOKUP($R212,武学奇术!$A:$ZZ,16,FALSE)+SUM(_xlfn.XLOOKUP(S212:AG212,增益!$A:$A,增益!$P:$P,0))</f>
        <v>0</v>
      </c>
      <c r="BJ212" s="20">
        <f>MIN(IF(VLOOKUP($R212,武学奇术!$A:$ZZ,23,FALSE)=1,100%,$B$8),100%)</f>
        <v>0.8271</v>
      </c>
      <c r="BK212" s="20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0.2249</v>
      </c>
      <c r="BL212" s="20" cm="1">
        <f t="array" ref="BL212">1+$B$13+VLOOKUP($R212,武学奇术!$A:$ZZ,18,FALSE)+SUM(_xlfn.XLOOKUP(S212:AG212,增益!$A:$A,增益!$R:$R,0))</f>
        <v>1.5</v>
      </c>
      <c r="BM212" s="20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0.4459</v>
      </c>
      <c r="BN212" s="20" cm="1">
        <f t="array" ref="BN212">1+$B$14+VLOOKUP($R212,武学奇术!$A:$ZZ,20,FALSE)+SUM(_xlfn.XLOOKUP(S212:AG212,增益!$A:$A,增益!$T:$T,0))</f>
        <v>1.782</v>
      </c>
      <c r="BO212" s="20">
        <f t="shared" si="42"/>
        <v>0.18601479</v>
      </c>
      <c r="BP212" s="20">
        <f t="shared" si="43"/>
        <v>0.27228132</v>
      </c>
      <c r="BQ212" s="20">
        <f>IF(VLOOKUP($R212,武学奇术!$A:$ZZ,22,FALSE)=1,0,(1-$BJ212))*(1-$BM212)</f>
        <v>0.09580389</v>
      </c>
      <c r="BR212" s="20" cm="1">
        <f t="array" ref="BR212">SUM(_xlfn.XLOOKUP(S212:AG212,增益!$A:$A,增益!$W:$W,0))+$I$5</f>
        <v>0.11</v>
      </c>
    </row>
    <row r="213" spans="11:70">
      <c r="K213" s="27">
        <f>$L213*VLOOKUP($R213,武学奇术!$A:$ZZ,31,FALSE)</f>
        <v>4210.91743783622</v>
      </c>
      <c r="L213" s="27">
        <f t="shared" si="33"/>
        <v>7018.19572972703</v>
      </c>
      <c r="M213" s="27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5744.38969683846</v>
      </c>
      <c r="N213" s="27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10642.038801169</v>
      </c>
      <c r="O213" s="27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3829.59313122564</v>
      </c>
      <c r="P213" s="27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1687.22284989855</v>
      </c>
      <c r="Q213" s="35">
        <v>1</v>
      </c>
      <c r="R213" s="36" t="s">
        <v>164</v>
      </c>
      <c r="S213" s="36" t="s">
        <v>71</v>
      </c>
      <c r="T213" s="36" t="s">
        <v>99</v>
      </c>
      <c r="U213" s="36" t="s">
        <v>100</v>
      </c>
      <c r="V213" s="36" t="s">
        <v>71</v>
      </c>
      <c r="W213" s="36" t="s">
        <v>71</v>
      </c>
      <c r="X213" s="36" t="s">
        <v>71</v>
      </c>
      <c r="Y213" s="36" t="s">
        <v>71</v>
      </c>
      <c r="Z213" s="36" t="s">
        <v>71</v>
      </c>
      <c r="AA213" s="36" t="s">
        <v>71</v>
      </c>
      <c r="AB213" s="36" t="s">
        <v>71</v>
      </c>
      <c r="AC213" s="36" t="s">
        <v>71</v>
      </c>
      <c r="AD213" s="36" t="s">
        <v>72</v>
      </c>
      <c r="AE213" s="36" t="s">
        <v>94</v>
      </c>
      <c r="AF213" s="36" t="s">
        <v>154</v>
      </c>
      <c r="AG213" s="36" t="s">
        <v>120</v>
      </c>
      <c r="AH213" t="str">
        <f>VLOOKUP($R213,武学奇术!$A:$ZZ,25,FALSE)</f>
        <v>剑</v>
      </c>
      <c r="AI213" s="20">
        <f>VLOOKUP($R213,武学奇术!$A:$ZZ,26,FALSE)</f>
        <v>0.1716</v>
      </c>
      <c r="AJ213" s="21">
        <f>VLOOKUP($R213,武学奇术!$A:$ZZ,27,FALSE)*(1+IF(OR($AH213=$F$4,$AH213=$F$5),$B$22,0))</f>
        <v>0</v>
      </c>
      <c r="AK213" s="20">
        <f>VLOOKUP($R213,武学奇术!$A:$ZZ,28,FALSE)</f>
        <v>0.2574</v>
      </c>
      <c r="AL213" s="21">
        <f>VLOOKUP($R213,武学奇术!$A:$ZZ,29,FALSE)*(1+IF(OR($AH213=$F$4,$AH213=$F$5),$B$22,0))</f>
        <v>0</v>
      </c>
      <c r="AM213" s="20" cm="1">
        <f t="array" ref="AM213">$G$3+IFERROR(VLOOKUP($AH213,$F$4:$G$7,2,FALSE),0)+VLOOKUP($R213,武学奇术!$A:$ZZ,2,FALSE)+SUM(_xlfn.XLOOKUP($S213:$AG213,增益!$A:$A,增益!$B:$B,0))</f>
        <v>1.2391</v>
      </c>
      <c r="AN213" s="20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1517.52</v>
      </c>
      <c r="AP213" cm="1">
        <f t="array" ref="AP213">$E$10*(1+$AN213)+VLOOKUP($R213,武学奇术!$A:$ZZ,4,FALSE)+SUM(_xlfn.XLOOKUP($S213:$AG213,增益!$A:$A,增益!$D:$D,0))-$I$2</f>
        <v>6628.56</v>
      </c>
      <c r="AQ213" s="29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0.3175</v>
      </c>
      <c r="AR213" s="29" cm="1">
        <f t="array" ref="AR213">$G$10+VLOOKUP($R213,武学奇术!$A:$ZZ,7,FALSE)+SUM(_xlfn.XLOOKUP(S213:AG213,增益!$A:$A,增益!$G:$G,0))</f>
        <v>0</v>
      </c>
      <c r="AS213" s="20" cm="1">
        <f t="array" ref="AS213">VLOOKUP($R213,武学奇术!$A:$ZZ,8,FALSE)+SUM(_xlfn.XLOOKUP(S213:AG213,增益!$A:$A,增益!$H:$H,0))</f>
        <v>0</v>
      </c>
      <c r="AT213">
        <f t="shared" si="34"/>
        <v>538</v>
      </c>
      <c r="AU213">
        <f t="shared" si="35"/>
        <v>1011</v>
      </c>
      <c r="AV213" s="29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0.075</v>
      </c>
      <c r="AW213" s="29" cm="1">
        <f t="array" ref="AW213">$G$11+VLOOKUP($R213,武学奇术!$A:$ZZ,10,FALSE)+SUM(_xlfn.XLOOKUP(S213:AG213,增益!$A:$A,增益!$J:$J,0))</f>
        <v>0.15</v>
      </c>
      <c r="AX213">
        <f t="shared" si="36"/>
        <v>0</v>
      </c>
      <c r="AY213">
        <f t="shared" si="37"/>
        <v>0</v>
      </c>
      <c r="AZ213" s="29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29" cm="1">
        <f t="array" ref="BA213">$G$12+VLOOKUP($R213,武学奇术!$A:$ZZ,12,FALSE)+SUM(_xlfn.XLOOKUP(S213:AG213,增益!$A:$A,增益!$L:$L,0))</f>
        <v>0</v>
      </c>
      <c r="BB213">
        <f t="shared" si="38"/>
        <v>0</v>
      </c>
      <c r="BC213">
        <f t="shared" si="39"/>
        <v>0</v>
      </c>
      <c r="BD213" s="29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29" cm="1">
        <f t="array" ref="BE213">$G$13+VLOOKUP($R213,武学奇术!$A:$ZZ,14,FALSE)+SUM(_xlfn.XLOOKUP(S213:AG213,增益!$A:$A,增益!$N:$N,0))</f>
        <v>0</v>
      </c>
      <c r="BF213">
        <f t="shared" si="40"/>
        <v>0</v>
      </c>
      <c r="BG213">
        <f t="shared" si="41"/>
        <v>0</v>
      </c>
      <c r="BH213" s="29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29" cm="1">
        <f t="array" ref="BI213">$G$14+VLOOKUP($R213,武学奇术!$A:$ZZ,16,FALSE)+SUM(_xlfn.XLOOKUP(S213:AG213,增益!$A:$A,增益!$P:$P,0))</f>
        <v>0</v>
      </c>
      <c r="BJ213" s="20">
        <f>MIN(IF(VLOOKUP($R213,武学奇术!$A:$ZZ,23,FALSE)=1,100%,$B$8),100%)</f>
        <v>0.8271</v>
      </c>
      <c r="BK213" s="20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0.2249</v>
      </c>
      <c r="BL213" s="20" cm="1">
        <f t="array" ref="BL213">1+$B$13+VLOOKUP($R213,武学奇术!$A:$ZZ,18,FALSE)+SUM(_xlfn.XLOOKUP(S213:AG213,增益!$A:$A,增益!$R:$R,0))</f>
        <v>1.5</v>
      </c>
      <c r="BM213" s="20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0.4459</v>
      </c>
      <c r="BN213" s="20" cm="1">
        <f t="array" ref="BN213">1+$B$14+VLOOKUP($R213,武学奇术!$A:$ZZ,20,FALSE)+SUM(_xlfn.XLOOKUP(S213:AG213,增益!$A:$A,增益!$T:$T,0))</f>
        <v>1.782</v>
      </c>
      <c r="BO213" s="20">
        <f t="shared" si="42"/>
        <v>0.18601479</v>
      </c>
      <c r="BP213" s="20">
        <f t="shared" si="43"/>
        <v>0.27228132</v>
      </c>
      <c r="BQ213" s="20">
        <f>IF(VLOOKUP($R213,武学奇术!$A:$ZZ,22,FALSE)=1,0,(1-$BJ213))*(1-$BM213)</f>
        <v>0.09580389</v>
      </c>
      <c r="BR213" s="20" cm="1">
        <f t="array" ref="BR213">SUM(_xlfn.XLOOKUP(S213:AG213,增益!$A:$A,增益!$W:$W,0))+$I$5</f>
        <v>0.11</v>
      </c>
    </row>
    <row r="214" spans="11:70">
      <c r="K214" s="27">
        <f>$L214*VLOOKUP($R214,武学奇术!$A:$ZZ,31,FALSE)</f>
        <v>4210.91743783622</v>
      </c>
      <c r="L214" s="27">
        <f t="shared" si="33"/>
        <v>7018.19572972703</v>
      </c>
      <c r="M214" s="27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5744.38969683846</v>
      </c>
      <c r="N214" s="27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10642.038801169</v>
      </c>
      <c r="O214" s="27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3829.59313122564</v>
      </c>
      <c r="P214" s="27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1687.22284989855</v>
      </c>
      <c r="Q214" s="35">
        <v>1</v>
      </c>
      <c r="R214" s="36" t="s">
        <v>164</v>
      </c>
      <c r="S214" s="36" t="s">
        <v>71</v>
      </c>
      <c r="T214" s="36" t="s">
        <v>99</v>
      </c>
      <c r="U214" s="36" t="s">
        <v>100</v>
      </c>
      <c r="V214" s="36" t="s">
        <v>71</v>
      </c>
      <c r="W214" s="36" t="s">
        <v>71</v>
      </c>
      <c r="X214" s="36" t="s">
        <v>71</v>
      </c>
      <c r="Y214" s="36" t="s">
        <v>71</v>
      </c>
      <c r="Z214" s="36" t="s">
        <v>71</v>
      </c>
      <c r="AA214" s="36" t="s">
        <v>71</v>
      </c>
      <c r="AB214" s="36" t="s">
        <v>71</v>
      </c>
      <c r="AC214" s="36" t="s">
        <v>71</v>
      </c>
      <c r="AD214" s="36" t="s">
        <v>72</v>
      </c>
      <c r="AE214" s="36" t="s">
        <v>94</v>
      </c>
      <c r="AF214" s="36" t="s">
        <v>154</v>
      </c>
      <c r="AG214" s="36" t="s">
        <v>120</v>
      </c>
      <c r="AH214" t="str">
        <f>VLOOKUP($R214,武学奇术!$A:$ZZ,25,FALSE)</f>
        <v>剑</v>
      </c>
      <c r="AI214" s="20">
        <f>VLOOKUP($R214,武学奇术!$A:$ZZ,26,FALSE)</f>
        <v>0.1716</v>
      </c>
      <c r="AJ214" s="21">
        <f>VLOOKUP($R214,武学奇术!$A:$ZZ,27,FALSE)*(1+IF(OR($AH214=$F$4,$AH214=$F$5),$B$22,0))</f>
        <v>0</v>
      </c>
      <c r="AK214" s="20">
        <f>VLOOKUP($R214,武学奇术!$A:$ZZ,28,FALSE)</f>
        <v>0.2574</v>
      </c>
      <c r="AL214" s="21">
        <f>VLOOKUP($R214,武学奇术!$A:$ZZ,29,FALSE)*(1+IF(OR($AH214=$F$4,$AH214=$F$5),$B$22,0))</f>
        <v>0</v>
      </c>
      <c r="AM214" s="20" cm="1">
        <f t="array" ref="AM214">$G$3+IFERROR(VLOOKUP($AH214,$F$4:$G$7,2,FALSE),0)+VLOOKUP($R214,武学奇术!$A:$ZZ,2,FALSE)+SUM(_xlfn.XLOOKUP($S214:$AG214,增益!$A:$A,增益!$B:$B,0))</f>
        <v>1.2391</v>
      </c>
      <c r="AN214" s="20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1517.52</v>
      </c>
      <c r="AP214" cm="1">
        <f t="array" ref="AP214">$E$10*(1+$AN214)+VLOOKUP($R214,武学奇术!$A:$ZZ,4,FALSE)+SUM(_xlfn.XLOOKUP($S214:$AG214,增益!$A:$A,增益!$D:$D,0))-$I$2</f>
        <v>6628.56</v>
      </c>
      <c r="AQ214" s="29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0.3175</v>
      </c>
      <c r="AR214" s="29" cm="1">
        <f t="array" ref="AR214">$G$10+VLOOKUP($R214,武学奇术!$A:$ZZ,7,FALSE)+SUM(_xlfn.XLOOKUP(S214:AG214,增益!$A:$A,增益!$G:$G,0))</f>
        <v>0</v>
      </c>
      <c r="AS214" s="20" cm="1">
        <f t="array" ref="AS214">VLOOKUP($R214,武学奇术!$A:$ZZ,8,FALSE)+SUM(_xlfn.XLOOKUP(S214:AG214,增益!$A:$A,增益!$H:$H,0))</f>
        <v>0</v>
      </c>
      <c r="AT214">
        <f t="shared" si="34"/>
        <v>538</v>
      </c>
      <c r="AU214">
        <f t="shared" si="35"/>
        <v>1011</v>
      </c>
      <c r="AV214" s="29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0.075</v>
      </c>
      <c r="AW214" s="29" cm="1">
        <f t="array" ref="AW214">$G$11+VLOOKUP($R214,武学奇术!$A:$ZZ,10,FALSE)+SUM(_xlfn.XLOOKUP(S214:AG214,增益!$A:$A,增益!$J:$J,0))</f>
        <v>0.15</v>
      </c>
      <c r="AX214">
        <f t="shared" si="36"/>
        <v>0</v>
      </c>
      <c r="AY214">
        <f t="shared" si="37"/>
        <v>0</v>
      </c>
      <c r="AZ214" s="29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29" cm="1">
        <f t="array" ref="BA214">$G$12+VLOOKUP($R214,武学奇术!$A:$ZZ,12,FALSE)+SUM(_xlfn.XLOOKUP(S214:AG214,增益!$A:$A,增益!$L:$L,0))</f>
        <v>0</v>
      </c>
      <c r="BB214">
        <f t="shared" si="38"/>
        <v>0</v>
      </c>
      <c r="BC214">
        <f t="shared" si="39"/>
        <v>0</v>
      </c>
      <c r="BD214" s="29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29" cm="1">
        <f t="array" ref="BE214">$G$13+VLOOKUP($R214,武学奇术!$A:$ZZ,14,FALSE)+SUM(_xlfn.XLOOKUP(S214:AG214,增益!$A:$A,增益!$N:$N,0))</f>
        <v>0</v>
      </c>
      <c r="BF214">
        <f t="shared" si="40"/>
        <v>0</v>
      </c>
      <c r="BG214">
        <f t="shared" si="41"/>
        <v>0</v>
      </c>
      <c r="BH214" s="29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29" cm="1">
        <f t="array" ref="BI214">$G$14+VLOOKUP($R214,武学奇术!$A:$ZZ,16,FALSE)+SUM(_xlfn.XLOOKUP(S214:AG214,增益!$A:$A,增益!$P:$P,0))</f>
        <v>0</v>
      </c>
      <c r="BJ214" s="20">
        <f>MIN(IF(VLOOKUP($R214,武学奇术!$A:$ZZ,23,FALSE)=1,100%,$B$8),100%)</f>
        <v>0.8271</v>
      </c>
      <c r="BK214" s="20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0.2249</v>
      </c>
      <c r="BL214" s="20" cm="1">
        <f t="array" ref="BL214">1+$B$13+VLOOKUP($R214,武学奇术!$A:$ZZ,18,FALSE)+SUM(_xlfn.XLOOKUP(S214:AG214,增益!$A:$A,增益!$R:$R,0))</f>
        <v>1.5</v>
      </c>
      <c r="BM214" s="20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0.4459</v>
      </c>
      <c r="BN214" s="20" cm="1">
        <f t="array" ref="BN214">1+$B$14+VLOOKUP($R214,武学奇术!$A:$ZZ,20,FALSE)+SUM(_xlfn.XLOOKUP(S214:AG214,增益!$A:$A,增益!$T:$T,0))</f>
        <v>1.782</v>
      </c>
      <c r="BO214" s="20">
        <f t="shared" si="42"/>
        <v>0.18601479</v>
      </c>
      <c r="BP214" s="20">
        <f t="shared" si="43"/>
        <v>0.27228132</v>
      </c>
      <c r="BQ214" s="20">
        <f>IF(VLOOKUP($R214,武学奇术!$A:$ZZ,22,FALSE)=1,0,(1-$BJ214))*(1-$BM214)</f>
        <v>0.09580389</v>
      </c>
      <c r="BR214" s="20" cm="1">
        <f t="array" ref="BR214">SUM(_xlfn.XLOOKUP(S214:AG214,增益!$A:$A,增益!$W:$W,0))+$I$5</f>
        <v>0.11</v>
      </c>
    </row>
    <row r="215" spans="11:70">
      <c r="K215" s="27">
        <f>$L215*VLOOKUP($R215,武学奇术!$A:$ZZ,31,FALSE)</f>
        <v>8461.61411788712</v>
      </c>
      <c r="L215" s="27">
        <f t="shared" si="33"/>
        <v>14102.6901964785</v>
      </c>
      <c r="M215" s="27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11557.7590864743</v>
      </c>
      <c r="N215" s="27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21366.0254773812</v>
      </c>
      <c r="O215" s="27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7705.1727243162</v>
      </c>
      <c r="P215" s="27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3420.43216166202</v>
      </c>
      <c r="Q215" s="35">
        <v>1</v>
      </c>
      <c r="R215" s="36" t="s">
        <v>162</v>
      </c>
      <c r="S215" s="36" t="s">
        <v>71</v>
      </c>
      <c r="T215" s="36" t="s">
        <v>99</v>
      </c>
      <c r="U215" s="36" t="s">
        <v>100</v>
      </c>
      <c r="V215" s="36" t="s">
        <v>71</v>
      </c>
      <c r="W215" s="36" t="s">
        <v>111</v>
      </c>
      <c r="X215" s="36" t="s">
        <v>71</v>
      </c>
      <c r="Y215" s="36" t="s">
        <v>71</v>
      </c>
      <c r="Z215" s="36" t="s">
        <v>71</v>
      </c>
      <c r="AA215" s="36" t="s">
        <v>71</v>
      </c>
      <c r="AB215" s="36" t="s">
        <v>71</v>
      </c>
      <c r="AC215" s="36" t="s">
        <v>71</v>
      </c>
      <c r="AD215" s="36" t="s">
        <v>72</v>
      </c>
      <c r="AE215" s="36" t="s">
        <v>94</v>
      </c>
      <c r="AF215" s="36" t="s">
        <v>154</v>
      </c>
      <c r="AG215" s="36" t="s">
        <v>120</v>
      </c>
      <c r="AH215" t="str">
        <f>VLOOKUP($R215,武学奇术!$A:$ZZ,25,FALSE)</f>
        <v>剑</v>
      </c>
      <c r="AI215" s="20">
        <f>VLOOKUP($R215,武学奇术!$A:$ZZ,26,FALSE)</f>
        <v>0.3432</v>
      </c>
      <c r="AJ215" s="21">
        <f>VLOOKUP($R215,武学奇术!$A:$ZZ,27,FALSE)*(1+IF(OR($AH215=$F$4,$AH215=$F$5),$B$22,0))</f>
        <v>0</v>
      </c>
      <c r="AK215" s="20">
        <f>VLOOKUP($R215,武学奇术!$A:$ZZ,28,FALSE)</f>
        <v>0.5148</v>
      </c>
      <c r="AL215" s="21">
        <f>VLOOKUP($R215,武学奇术!$A:$ZZ,29,FALSE)*(1+IF(OR($AH215=$F$4,$AH215=$F$5),$B$22,0))</f>
        <v>0</v>
      </c>
      <c r="AM215" s="20" cm="1">
        <f t="array" ref="AM215">$G$3+IFERROR(VLOOKUP($AH215,$F$4:$G$7,2,FALSE),0)+VLOOKUP($R215,武学奇术!$A:$ZZ,2,FALSE)+SUM(_xlfn.XLOOKUP($S215:$AG215,增益!$A:$A,增益!$B:$B,0))</f>
        <v>1.2391</v>
      </c>
      <c r="AN215" s="20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1548.52</v>
      </c>
      <c r="AP215" cm="1">
        <f t="array" ref="AP215">$E$10*(1+$AN215)+VLOOKUP($R215,武学奇术!$A:$ZZ,4,FALSE)+SUM(_xlfn.XLOOKUP($S215:$AG215,增益!$A:$A,增益!$D:$D,0))-$I$2</f>
        <v>6659.56</v>
      </c>
      <c r="AQ215" s="29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0.3175</v>
      </c>
      <c r="AR215" s="29" cm="1">
        <f t="array" ref="AR215">$G$10+VLOOKUP($R215,武学奇术!$A:$ZZ,7,FALSE)+SUM(_xlfn.XLOOKUP(S215:AG215,增益!$A:$A,增益!$G:$G,0))</f>
        <v>0</v>
      </c>
      <c r="AS215" s="20" cm="1">
        <f t="array" ref="AS215">VLOOKUP($R215,武学奇术!$A:$ZZ,8,FALSE)+SUM(_xlfn.XLOOKUP(S215:AG215,增益!$A:$A,增益!$H:$H,0))</f>
        <v>0</v>
      </c>
      <c r="AT215">
        <f t="shared" si="34"/>
        <v>538</v>
      </c>
      <c r="AU215">
        <f t="shared" si="35"/>
        <v>1011</v>
      </c>
      <c r="AV215" s="29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0.075</v>
      </c>
      <c r="AW215" s="29" cm="1">
        <f t="array" ref="AW215">$G$11+VLOOKUP($R215,武学奇术!$A:$ZZ,10,FALSE)+SUM(_xlfn.XLOOKUP(S215:AG215,增益!$A:$A,增益!$J:$J,0))</f>
        <v>0.15</v>
      </c>
      <c r="AX215">
        <f t="shared" si="36"/>
        <v>0</v>
      </c>
      <c r="AY215">
        <f t="shared" si="37"/>
        <v>0</v>
      </c>
      <c r="AZ215" s="29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29" cm="1">
        <f t="array" ref="BA215">$G$12+VLOOKUP($R215,武学奇术!$A:$ZZ,12,FALSE)+SUM(_xlfn.XLOOKUP(S215:AG215,增益!$A:$A,增益!$L:$L,0))</f>
        <v>0</v>
      </c>
      <c r="BB215">
        <f t="shared" si="38"/>
        <v>0</v>
      </c>
      <c r="BC215">
        <f t="shared" si="39"/>
        <v>0</v>
      </c>
      <c r="BD215" s="29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29" cm="1">
        <f t="array" ref="BE215">$G$13+VLOOKUP($R215,武学奇术!$A:$ZZ,14,FALSE)+SUM(_xlfn.XLOOKUP(S215:AG215,增益!$A:$A,增益!$N:$N,0))</f>
        <v>0</v>
      </c>
      <c r="BF215">
        <f t="shared" si="40"/>
        <v>0</v>
      </c>
      <c r="BG215">
        <f t="shared" si="41"/>
        <v>0</v>
      </c>
      <c r="BH215" s="29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29" cm="1">
        <f t="array" ref="BI215">$G$14+VLOOKUP($R215,武学奇术!$A:$ZZ,16,FALSE)+SUM(_xlfn.XLOOKUP(S215:AG215,增益!$A:$A,增益!$P:$P,0))</f>
        <v>0</v>
      </c>
      <c r="BJ215" s="20">
        <f>MIN(IF(VLOOKUP($R215,武学奇术!$A:$ZZ,23,FALSE)=1,100%,$B$8),100%)</f>
        <v>0.8271</v>
      </c>
      <c r="BK215" s="20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0.2249</v>
      </c>
      <c r="BL215" s="20" cm="1">
        <f t="array" ref="BL215">1+$B$13+VLOOKUP($R215,武学奇术!$A:$ZZ,18,FALSE)+SUM(_xlfn.XLOOKUP(S215:AG215,增益!$A:$A,增益!$R:$R,0))</f>
        <v>1.5</v>
      </c>
      <c r="BM215" s="20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0.4459</v>
      </c>
      <c r="BN215" s="20" cm="1">
        <f t="array" ref="BN215">1+$B$14+VLOOKUP($R215,武学奇术!$A:$ZZ,20,FALSE)+SUM(_xlfn.XLOOKUP(S215:AG215,增益!$A:$A,增益!$T:$T,0))</f>
        <v>1.782</v>
      </c>
      <c r="BO215" s="20">
        <f t="shared" si="42"/>
        <v>0.18601479</v>
      </c>
      <c r="BP215" s="20">
        <f t="shared" si="43"/>
        <v>0.27228132</v>
      </c>
      <c r="BQ215" s="20">
        <f>IF(VLOOKUP($R215,武学奇术!$A:$ZZ,22,FALSE)=1,0,(1-$BJ215))*(1-$BM215)</f>
        <v>0.09580389</v>
      </c>
      <c r="BR215" s="20" cm="1">
        <f t="array" ref="BR215">SUM(_xlfn.XLOOKUP(S215:AG215,增益!$A:$A,增益!$W:$W,0))+$I$5</f>
        <v>0.11</v>
      </c>
    </row>
    <row r="216" spans="11:70">
      <c r="K216" s="27">
        <f>$L216*VLOOKUP($R216,武学奇术!$A:$ZZ,31,FALSE)</f>
        <v>8461.61411788712</v>
      </c>
      <c r="L216" s="27">
        <f t="shared" si="33"/>
        <v>14102.6901964785</v>
      </c>
      <c r="M216" s="27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11557.7590864743</v>
      </c>
      <c r="N216" s="27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21366.0254773812</v>
      </c>
      <c r="O216" s="27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7705.1727243162</v>
      </c>
      <c r="P216" s="27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3420.43216166202</v>
      </c>
      <c r="Q216" s="35">
        <v>1</v>
      </c>
      <c r="R216" s="36" t="s">
        <v>162</v>
      </c>
      <c r="S216" s="36" t="s">
        <v>71</v>
      </c>
      <c r="T216" s="36" t="s">
        <v>99</v>
      </c>
      <c r="U216" s="36" t="s">
        <v>100</v>
      </c>
      <c r="V216" s="36" t="s">
        <v>71</v>
      </c>
      <c r="W216" s="36" t="s">
        <v>111</v>
      </c>
      <c r="X216" s="36" t="s">
        <v>71</v>
      </c>
      <c r="Y216" s="36" t="s">
        <v>71</v>
      </c>
      <c r="Z216" s="36" t="s">
        <v>71</v>
      </c>
      <c r="AA216" s="36" t="s">
        <v>71</v>
      </c>
      <c r="AB216" s="36" t="s">
        <v>71</v>
      </c>
      <c r="AC216" s="36" t="s">
        <v>71</v>
      </c>
      <c r="AD216" s="36" t="s">
        <v>72</v>
      </c>
      <c r="AE216" s="36" t="s">
        <v>94</v>
      </c>
      <c r="AF216" s="36" t="s">
        <v>154</v>
      </c>
      <c r="AG216" s="36" t="s">
        <v>120</v>
      </c>
      <c r="AH216" t="str">
        <f>VLOOKUP($R216,武学奇术!$A:$ZZ,25,FALSE)</f>
        <v>剑</v>
      </c>
      <c r="AI216" s="20">
        <f>VLOOKUP($R216,武学奇术!$A:$ZZ,26,FALSE)</f>
        <v>0.3432</v>
      </c>
      <c r="AJ216" s="21">
        <f>VLOOKUP($R216,武学奇术!$A:$ZZ,27,FALSE)*(1+IF(OR($AH216=$F$4,$AH216=$F$5),$B$22,0))</f>
        <v>0</v>
      </c>
      <c r="AK216" s="20">
        <f>VLOOKUP($R216,武学奇术!$A:$ZZ,28,FALSE)</f>
        <v>0.5148</v>
      </c>
      <c r="AL216" s="21">
        <f>VLOOKUP($R216,武学奇术!$A:$ZZ,29,FALSE)*(1+IF(OR($AH216=$F$4,$AH216=$F$5),$B$22,0))</f>
        <v>0</v>
      </c>
      <c r="AM216" s="20" cm="1">
        <f t="array" ref="AM216">$G$3+IFERROR(VLOOKUP($AH216,$F$4:$G$7,2,FALSE),0)+VLOOKUP($R216,武学奇术!$A:$ZZ,2,FALSE)+SUM(_xlfn.XLOOKUP($S216:$AG216,增益!$A:$A,增益!$B:$B,0))</f>
        <v>1.2391</v>
      </c>
      <c r="AN216" s="20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1548.52</v>
      </c>
      <c r="AP216" cm="1">
        <f t="array" ref="AP216">$E$10*(1+$AN216)+VLOOKUP($R216,武学奇术!$A:$ZZ,4,FALSE)+SUM(_xlfn.XLOOKUP($S216:$AG216,增益!$A:$A,增益!$D:$D,0))-$I$2</f>
        <v>6659.56</v>
      </c>
      <c r="AQ216" s="29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0.3175</v>
      </c>
      <c r="AR216" s="29" cm="1">
        <f t="array" ref="AR216">$G$10+VLOOKUP($R216,武学奇术!$A:$ZZ,7,FALSE)+SUM(_xlfn.XLOOKUP(S216:AG216,增益!$A:$A,增益!$G:$G,0))</f>
        <v>0</v>
      </c>
      <c r="AS216" s="20" cm="1">
        <f t="array" ref="AS216">VLOOKUP($R216,武学奇术!$A:$ZZ,8,FALSE)+SUM(_xlfn.XLOOKUP(S216:AG216,增益!$A:$A,增益!$H:$H,0))</f>
        <v>0</v>
      </c>
      <c r="AT216">
        <f t="shared" si="34"/>
        <v>538</v>
      </c>
      <c r="AU216">
        <f t="shared" si="35"/>
        <v>1011</v>
      </c>
      <c r="AV216" s="29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0.075</v>
      </c>
      <c r="AW216" s="29" cm="1">
        <f t="array" ref="AW216">$G$11+VLOOKUP($R216,武学奇术!$A:$ZZ,10,FALSE)+SUM(_xlfn.XLOOKUP(S216:AG216,增益!$A:$A,增益!$J:$J,0))</f>
        <v>0.15</v>
      </c>
      <c r="AX216">
        <f t="shared" si="36"/>
        <v>0</v>
      </c>
      <c r="AY216">
        <f t="shared" si="37"/>
        <v>0</v>
      </c>
      <c r="AZ216" s="29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-0.3</v>
      </c>
      <c r="BA216" s="29" cm="1">
        <f t="array" ref="BA216">$G$12+VLOOKUP($R216,武学奇术!$A:$ZZ,12,FALSE)+SUM(_xlfn.XLOOKUP(S216:AG216,增益!$A:$A,增益!$L:$L,0))</f>
        <v>0</v>
      </c>
      <c r="BB216">
        <f t="shared" si="38"/>
        <v>0</v>
      </c>
      <c r="BC216">
        <f t="shared" si="39"/>
        <v>0</v>
      </c>
      <c r="BD216" s="29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-0.3</v>
      </c>
      <c r="BE216" s="29" cm="1">
        <f t="array" ref="BE216">$G$13+VLOOKUP($R216,武学奇术!$A:$ZZ,14,FALSE)+SUM(_xlfn.XLOOKUP(S216:AG216,增益!$A:$A,增益!$N:$N,0))</f>
        <v>0</v>
      </c>
      <c r="BF216">
        <f t="shared" si="40"/>
        <v>0</v>
      </c>
      <c r="BG216">
        <f t="shared" si="41"/>
        <v>0</v>
      </c>
      <c r="BH216" s="29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-0.3</v>
      </c>
      <c r="BI216" s="29" cm="1">
        <f t="array" ref="BI216">$G$14+VLOOKUP($R216,武学奇术!$A:$ZZ,16,FALSE)+SUM(_xlfn.XLOOKUP(S216:AG216,增益!$A:$A,增益!$P:$P,0))</f>
        <v>0</v>
      </c>
      <c r="BJ216" s="20">
        <f>MIN(IF(VLOOKUP($R216,武学奇术!$A:$ZZ,23,FALSE)=1,100%,$B$8),100%)</f>
        <v>0.8271</v>
      </c>
      <c r="BK216" s="20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0.2249</v>
      </c>
      <c r="BL216" s="20" cm="1">
        <f t="array" ref="BL216">1+$B$13+VLOOKUP($R216,武学奇术!$A:$ZZ,18,FALSE)+SUM(_xlfn.XLOOKUP(S216:AG216,增益!$A:$A,增益!$R:$R,0))</f>
        <v>1.5</v>
      </c>
      <c r="BM216" s="20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0.4459</v>
      </c>
      <c r="BN216" s="20" cm="1">
        <f t="array" ref="BN216">1+$B$14+VLOOKUP($R216,武学奇术!$A:$ZZ,20,FALSE)+SUM(_xlfn.XLOOKUP(S216:AG216,增益!$A:$A,增益!$T:$T,0))</f>
        <v>1.782</v>
      </c>
      <c r="BO216" s="20">
        <f t="shared" si="42"/>
        <v>0.18601479</v>
      </c>
      <c r="BP216" s="20">
        <f t="shared" si="43"/>
        <v>0.27228132</v>
      </c>
      <c r="BQ216" s="20">
        <f>IF(VLOOKUP($R216,武学奇术!$A:$ZZ,22,FALSE)=1,0,(1-$BJ216))*(1-$BM216)</f>
        <v>0.09580389</v>
      </c>
      <c r="BR216" s="20" cm="1">
        <f t="array" ref="BR216">SUM(_xlfn.XLOOKUP(S216:AG216,增益!$A:$A,增益!$W:$W,0))+$I$5</f>
        <v>0.11</v>
      </c>
    </row>
    <row r="217" spans="11:70">
      <c r="K217" s="27">
        <f>$L217*VLOOKUP($R217,武学奇术!$A:$ZZ,31,FALSE)</f>
        <v>8461.61411788712</v>
      </c>
      <c r="L217" s="27">
        <f t="shared" si="33"/>
        <v>14102.6901964785</v>
      </c>
      <c r="M217" s="27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11557.7590864743</v>
      </c>
      <c r="N217" s="27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21366.0254773812</v>
      </c>
      <c r="O217" s="27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7705.1727243162</v>
      </c>
      <c r="P217" s="27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3420.43216166202</v>
      </c>
      <c r="Q217" s="35">
        <v>1</v>
      </c>
      <c r="R217" s="36" t="s">
        <v>162</v>
      </c>
      <c r="S217" s="36" t="s">
        <v>71</v>
      </c>
      <c r="T217" s="36" t="s">
        <v>99</v>
      </c>
      <c r="U217" s="36" t="s">
        <v>100</v>
      </c>
      <c r="V217" s="36" t="s">
        <v>71</v>
      </c>
      <c r="W217" s="36" t="s">
        <v>111</v>
      </c>
      <c r="X217" s="36" t="s">
        <v>71</v>
      </c>
      <c r="Y217" s="36" t="s">
        <v>71</v>
      </c>
      <c r="Z217" s="36" t="s">
        <v>71</v>
      </c>
      <c r="AA217" s="36" t="s">
        <v>71</v>
      </c>
      <c r="AB217" s="36" t="s">
        <v>71</v>
      </c>
      <c r="AC217" s="36" t="s">
        <v>71</v>
      </c>
      <c r="AD217" s="36" t="s">
        <v>72</v>
      </c>
      <c r="AE217" s="36" t="s">
        <v>94</v>
      </c>
      <c r="AF217" s="36" t="s">
        <v>154</v>
      </c>
      <c r="AG217" s="36" t="s">
        <v>120</v>
      </c>
      <c r="AH217" t="str">
        <f>VLOOKUP($R217,武学奇术!$A:$ZZ,25,FALSE)</f>
        <v>剑</v>
      </c>
      <c r="AI217" s="20">
        <f>VLOOKUP($R217,武学奇术!$A:$ZZ,26,FALSE)</f>
        <v>0.3432</v>
      </c>
      <c r="AJ217" s="21">
        <f>VLOOKUP($R217,武学奇术!$A:$ZZ,27,FALSE)*(1+IF(OR($AH217=$F$4,$AH217=$F$5),$B$22,0))</f>
        <v>0</v>
      </c>
      <c r="AK217" s="20">
        <f>VLOOKUP($R217,武学奇术!$A:$ZZ,28,FALSE)</f>
        <v>0.5148</v>
      </c>
      <c r="AL217" s="21">
        <f>VLOOKUP($R217,武学奇术!$A:$ZZ,29,FALSE)*(1+IF(OR($AH217=$F$4,$AH217=$F$5),$B$22,0))</f>
        <v>0</v>
      </c>
      <c r="AM217" s="20" cm="1">
        <f t="array" ref="AM217">$G$3+IFERROR(VLOOKUP($AH217,$F$4:$G$7,2,FALSE),0)+VLOOKUP($R217,武学奇术!$A:$ZZ,2,FALSE)+SUM(_xlfn.XLOOKUP($S217:$AG217,增益!$A:$A,增益!$B:$B,0))</f>
        <v>1.2391</v>
      </c>
      <c r="AN217" s="20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1548.52</v>
      </c>
      <c r="AP217" cm="1">
        <f t="array" ref="AP217">$E$10*(1+$AN217)+VLOOKUP($R217,武学奇术!$A:$ZZ,4,FALSE)+SUM(_xlfn.XLOOKUP($S217:$AG217,增益!$A:$A,增益!$D:$D,0))-$I$2</f>
        <v>6659.56</v>
      </c>
      <c r="AQ217" s="29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0.3175</v>
      </c>
      <c r="AR217" s="29" cm="1">
        <f t="array" ref="AR217">$G$10+VLOOKUP($R217,武学奇术!$A:$ZZ,7,FALSE)+SUM(_xlfn.XLOOKUP(S217:AG217,增益!$A:$A,增益!$G:$G,0))</f>
        <v>0</v>
      </c>
      <c r="AS217" s="20" cm="1">
        <f t="array" ref="AS217">VLOOKUP($R217,武学奇术!$A:$ZZ,8,FALSE)+SUM(_xlfn.XLOOKUP(S217:AG217,增益!$A:$A,增益!$H:$H,0))</f>
        <v>0</v>
      </c>
      <c r="AT217">
        <f t="shared" si="34"/>
        <v>538</v>
      </c>
      <c r="AU217">
        <f t="shared" si="35"/>
        <v>1011</v>
      </c>
      <c r="AV217" s="29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0.075</v>
      </c>
      <c r="AW217" s="29" cm="1">
        <f t="array" ref="AW217">$G$11+VLOOKUP($R217,武学奇术!$A:$ZZ,10,FALSE)+SUM(_xlfn.XLOOKUP(S217:AG217,增益!$A:$A,增益!$J:$J,0))</f>
        <v>0.15</v>
      </c>
      <c r="AX217">
        <f t="shared" si="36"/>
        <v>0</v>
      </c>
      <c r="AY217">
        <f t="shared" si="37"/>
        <v>0</v>
      </c>
      <c r="AZ217" s="29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-0.3</v>
      </c>
      <c r="BA217" s="29" cm="1">
        <f t="array" ref="BA217">$G$12+VLOOKUP($R217,武学奇术!$A:$ZZ,12,FALSE)+SUM(_xlfn.XLOOKUP(S217:AG217,增益!$A:$A,增益!$L:$L,0))</f>
        <v>0</v>
      </c>
      <c r="BB217">
        <f t="shared" si="38"/>
        <v>0</v>
      </c>
      <c r="BC217">
        <f t="shared" si="39"/>
        <v>0</v>
      </c>
      <c r="BD217" s="29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-0.3</v>
      </c>
      <c r="BE217" s="29" cm="1">
        <f t="array" ref="BE217">$G$13+VLOOKUP($R217,武学奇术!$A:$ZZ,14,FALSE)+SUM(_xlfn.XLOOKUP(S217:AG217,增益!$A:$A,增益!$N:$N,0))</f>
        <v>0</v>
      </c>
      <c r="BF217">
        <f t="shared" si="40"/>
        <v>0</v>
      </c>
      <c r="BG217">
        <f t="shared" si="41"/>
        <v>0</v>
      </c>
      <c r="BH217" s="29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-0.3</v>
      </c>
      <c r="BI217" s="29" cm="1">
        <f t="array" ref="BI217">$G$14+VLOOKUP($R217,武学奇术!$A:$ZZ,16,FALSE)+SUM(_xlfn.XLOOKUP(S217:AG217,增益!$A:$A,增益!$P:$P,0))</f>
        <v>0</v>
      </c>
      <c r="BJ217" s="20">
        <f>MIN(IF(VLOOKUP($R217,武学奇术!$A:$ZZ,23,FALSE)=1,100%,$B$8),100%)</f>
        <v>0.8271</v>
      </c>
      <c r="BK217" s="20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0.2249</v>
      </c>
      <c r="BL217" s="20" cm="1">
        <f t="array" ref="BL217">1+$B$13+VLOOKUP($R217,武学奇术!$A:$ZZ,18,FALSE)+SUM(_xlfn.XLOOKUP(S217:AG217,增益!$A:$A,增益!$R:$R,0))</f>
        <v>1.5</v>
      </c>
      <c r="BM217" s="20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0.4459</v>
      </c>
      <c r="BN217" s="20" cm="1">
        <f t="array" ref="BN217">1+$B$14+VLOOKUP($R217,武学奇术!$A:$ZZ,20,FALSE)+SUM(_xlfn.XLOOKUP(S217:AG217,增益!$A:$A,增益!$T:$T,0))</f>
        <v>1.782</v>
      </c>
      <c r="BO217" s="20">
        <f t="shared" si="42"/>
        <v>0.18601479</v>
      </c>
      <c r="BP217" s="20">
        <f t="shared" si="43"/>
        <v>0.27228132</v>
      </c>
      <c r="BQ217" s="20">
        <f>IF(VLOOKUP($R217,武学奇术!$A:$ZZ,22,FALSE)=1,0,(1-$BJ217))*(1-$BM217)</f>
        <v>0.09580389</v>
      </c>
      <c r="BR217" s="20" cm="1">
        <f t="array" ref="BR217">SUM(_xlfn.XLOOKUP(S217:AG217,增益!$A:$A,增益!$W:$W,0))+$I$5</f>
        <v>0.11</v>
      </c>
    </row>
    <row r="218" spans="11:70">
      <c r="K218" s="27">
        <f>$L218*VLOOKUP($R218,武学奇术!$A:$ZZ,31,FALSE)</f>
        <v>6769.2912943097</v>
      </c>
      <c r="L218" s="27">
        <f t="shared" si="33"/>
        <v>11282.1521571828</v>
      </c>
      <c r="M218" s="27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9246.20726917944</v>
      </c>
      <c r="N218" s="27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17092.820381905</v>
      </c>
      <c r="O218" s="27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6164.13817945296</v>
      </c>
      <c r="P218" s="27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2736.34572932961</v>
      </c>
      <c r="Q218" s="35">
        <v>1</v>
      </c>
      <c r="R218" s="36" t="s">
        <v>163</v>
      </c>
      <c r="S218" s="36" t="s">
        <v>71</v>
      </c>
      <c r="T218" s="36" t="s">
        <v>99</v>
      </c>
      <c r="U218" s="36" t="s">
        <v>100</v>
      </c>
      <c r="V218" s="36" t="s">
        <v>71</v>
      </c>
      <c r="W218" s="36" t="s">
        <v>111</v>
      </c>
      <c r="X218" s="36" t="s">
        <v>71</v>
      </c>
      <c r="Y218" s="36" t="s">
        <v>71</v>
      </c>
      <c r="Z218" s="36" t="s">
        <v>71</v>
      </c>
      <c r="AA218" s="36" t="s">
        <v>71</v>
      </c>
      <c r="AB218" s="36" t="s">
        <v>71</v>
      </c>
      <c r="AC218" s="36" t="s">
        <v>71</v>
      </c>
      <c r="AD218" s="36" t="s">
        <v>72</v>
      </c>
      <c r="AE218" s="36" t="s">
        <v>94</v>
      </c>
      <c r="AF218" s="36" t="s">
        <v>154</v>
      </c>
      <c r="AG218" s="36" t="s">
        <v>120</v>
      </c>
      <c r="AH218" t="str">
        <f>VLOOKUP($R218,武学奇术!$A:$ZZ,25,FALSE)</f>
        <v>剑</v>
      </c>
      <c r="AI218" s="20">
        <f>VLOOKUP($R218,武学奇术!$A:$ZZ,26,FALSE)</f>
        <v>0.27456</v>
      </c>
      <c r="AJ218" s="21">
        <f>VLOOKUP($R218,武学奇术!$A:$ZZ,27,FALSE)*(1+IF(OR($AH218=$F$4,$AH218=$F$5),$B$22,0))</f>
        <v>0</v>
      </c>
      <c r="AK218" s="20">
        <f>VLOOKUP($R218,武学奇术!$A:$ZZ,28,FALSE)</f>
        <v>0.41184</v>
      </c>
      <c r="AL218" s="21">
        <f>VLOOKUP($R218,武学奇术!$A:$ZZ,29,FALSE)*(1+IF(OR($AH218=$F$4,$AH218=$F$5),$B$22,0))</f>
        <v>0</v>
      </c>
      <c r="AM218" s="20" cm="1">
        <f t="array" ref="AM218">$G$3+IFERROR(VLOOKUP($AH218,$F$4:$G$7,2,FALSE),0)+VLOOKUP($R218,武学奇术!$A:$ZZ,2,FALSE)+SUM(_xlfn.XLOOKUP($S218:$AG218,增益!$A:$A,增益!$B:$B,0))</f>
        <v>1.2391</v>
      </c>
      <c r="AN218" s="20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1548.52</v>
      </c>
      <c r="AP218" cm="1">
        <f t="array" ref="AP218">$E$10*(1+$AN218)+VLOOKUP($R218,武学奇术!$A:$ZZ,4,FALSE)+SUM(_xlfn.XLOOKUP($S218:$AG218,增益!$A:$A,增益!$D:$D,0))-$I$2</f>
        <v>6659.56</v>
      </c>
      <c r="AQ218" s="29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0.3175</v>
      </c>
      <c r="AR218" s="29" cm="1">
        <f t="array" ref="AR218">$G$10+VLOOKUP($R218,武学奇术!$A:$ZZ,7,FALSE)+SUM(_xlfn.XLOOKUP(S218:AG218,增益!$A:$A,增益!$G:$G,0))</f>
        <v>0</v>
      </c>
      <c r="AS218" s="20" cm="1">
        <f t="array" ref="AS218">VLOOKUP($R218,武学奇术!$A:$ZZ,8,FALSE)+SUM(_xlfn.XLOOKUP(S218:AG218,增益!$A:$A,增益!$H:$H,0))</f>
        <v>0</v>
      </c>
      <c r="AT218">
        <f t="shared" si="34"/>
        <v>538</v>
      </c>
      <c r="AU218">
        <f t="shared" si="35"/>
        <v>1011</v>
      </c>
      <c r="AV218" s="29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0.075</v>
      </c>
      <c r="AW218" s="29" cm="1">
        <f t="array" ref="AW218">$G$11+VLOOKUP($R218,武学奇术!$A:$ZZ,10,FALSE)+SUM(_xlfn.XLOOKUP(S218:AG218,增益!$A:$A,增益!$J:$J,0))</f>
        <v>0.15</v>
      </c>
      <c r="AX218">
        <f t="shared" si="36"/>
        <v>0</v>
      </c>
      <c r="AY218">
        <f t="shared" si="37"/>
        <v>0</v>
      </c>
      <c r="AZ218" s="29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-0.3</v>
      </c>
      <c r="BA218" s="29" cm="1">
        <f t="array" ref="BA218">$G$12+VLOOKUP($R218,武学奇术!$A:$ZZ,12,FALSE)+SUM(_xlfn.XLOOKUP(S218:AG218,增益!$A:$A,增益!$L:$L,0))</f>
        <v>0</v>
      </c>
      <c r="BB218">
        <f t="shared" si="38"/>
        <v>0</v>
      </c>
      <c r="BC218">
        <f t="shared" si="39"/>
        <v>0</v>
      </c>
      <c r="BD218" s="29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-0.3</v>
      </c>
      <c r="BE218" s="29" cm="1">
        <f t="array" ref="BE218">$G$13+VLOOKUP($R218,武学奇术!$A:$ZZ,14,FALSE)+SUM(_xlfn.XLOOKUP(S218:AG218,增益!$A:$A,增益!$N:$N,0))</f>
        <v>0</v>
      </c>
      <c r="BF218">
        <f t="shared" si="40"/>
        <v>0</v>
      </c>
      <c r="BG218">
        <f t="shared" si="41"/>
        <v>0</v>
      </c>
      <c r="BH218" s="29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-0.3</v>
      </c>
      <c r="BI218" s="29" cm="1">
        <f t="array" ref="BI218">$G$14+VLOOKUP($R218,武学奇术!$A:$ZZ,16,FALSE)+SUM(_xlfn.XLOOKUP(S218:AG218,增益!$A:$A,增益!$P:$P,0))</f>
        <v>0</v>
      </c>
      <c r="BJ218" s="20">
        <f>MIN(IF(VLOOKUP($R218,武学奇术!$A:$ZZ,23,FALSE)=1,100%,$B$8),100%)</f>
        <v>0.8271</v>
      </c>
      <c r="BK218" s="20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0.2249</v>
      </c>
      <c r="BL218" s="20" cm="1">
        <f t="array" ref="BL218">1+$B$13+VLOOKUP($R218,武学奇术!$A:$ZZ,18,FALSE)+SUM(_xlfn.XLOOKUP(S218:AG218,增益!$A:$A,增益!$R:$R,0))</f>
        <v>1.5</v>
      </c>
      <c r="BM218" s="20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0.4459</v>
      </c>
      <c r="BN218" s="20" cm="1">
        <f t="array" ref="BN218">1+$B$14+VLOOKUP($R218,武学奇术!$A:$ZZ,20,FALSE)+SUM(_xlfn.XLOOKUP(S218:AG218,增益!$A:$A,增益!$T:$T,0))</f>
        <v>1.782</v>
      </c>
      <c r="BO218" s="20">
        <f t="shared" si="42"/>
        <v>0.18601479</v>
      </c>
      <c r="BP218" s="20">
        <f t="shared" si="43"/>
        <v>0.27228132</v>
      </c>
      <c r="BQ218" s="20">
        <f>IF(VLOOKUP($R218,武学奇术!$A:$ZZ,22,FALSE)=1,0,(1-$BJ218))*(1-$BM218)</f>
        <v>0.09580389</v>
      </c>
      <c r="BR218" s="20" cm="1">
        <f t="array" ref="BR218">SUM(_xlfn.XLOOKUP(S218:AG218,增益!$A:$A,增益!$W:$W,0))+$I$5</f>
        <v>0.11</v>
      </c>
    </row>
    <row r="219" spans="11:70">
      <c r="K219" s="27">
        <f>$L219*VLOOKUP($R219,武学奇术!$A:$ZZ,31,FALSE)</f>
        <v>4230.80705894356</v>
      </c>
      <c r="L219" s="27">
        <f t="shared" si="33"/>
        <v>7051.34509823927</v>
      </c>
      <c r="M219" s="27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5778.87954323715</v>
      </c>
      <c r="N219" s="27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10683.0127386906</v>
      </c>
      <c r="O219" s="27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3852.5863621581</v>
      </c>
      <c r="P219" s="27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1710.21608083101</v>
      </c>
      <c r="Q219" s="35">
        <v>1</v>
      </c>
      <c r="R219" s="36" t="s">
        <v>164</v>
      </c>
      <c r="S219" s="36" t="s">
        <v>71</v>
      </c>
      <c r="T219" s="36" t="s">
        <v>99</v>
      </c>
      <c r="U219" s="36" t="s">
        <v>100</v>
      </c>
      <c r="V219" s="36" t="s">
        <v>71</v>
      </c>
      <c r="W219" s="36" t="s">
        <v>111</v>
      </c>
      <c r="X219" s="36" t="s">
        <v>71</v>
      </c>
      <c r="Y219" s="36" t="s">
        <v>71</v>
      </c>
      <c r="Z219" s="36" t="s">
        <v>71</v>
      </c>
      <c r="AA219" s="36" t="s">
        <v>71</v>
      </c>
      <c r="AB219" s="36" t="s">
        <v>71</v>
      </c>
      <c r="AC219" s="36" t="s">
        <v>71</v>
      </c>
      <c r="AD219" s="36" t="s">
        <v>72</v>
      </c>
      <c r="AE219" s="36" t="s">
        <v>94</v>
      </c>
      <c r="AF219" s="36" t="s">
        <v>154</v>
      </c>
      <c r="AG219" s="36" t="s">
        <v>120</v>
      </c>
      <c r="AH219" t="str">
        <f>VLOOKUP($R219,武学奇术!$A:$ZZ,25,FALSE)</f>
        <v>剑</v>
      </c>
      <c r="AI219" s="20">
        <f>VLOOKUP($R219,武学奇术!$A:$ZZ,26,FALSE)</f>
        <v>0.1716</v>
      </c>
      <c r="AJ219" s="21">
        <f>VLOOKUP($R219,武学奇术!$A:$ZZ,27,FALSE)*(1+IF(OR($AH219=$F$4,$AH219=$F$5),$B$22,0))</f>
        <v>0</v>
      </c>
      <c r="AK219" s="20">
        <f>VLOOKUP($R219,武学奇术!$A:$ZZ,28,FALSE)</f>
        <v>0.2574</v>
      </c>
      <c r="AL219" s="21">
        <f>VLOOKUP($R219,武学奇术!$A:$ZZ,29,FALSE)*(1+IF(OR($AH219=$F$4,$AH219=$F$5),$B$22,0))</f>
        <v>0</v>
      </c>
      <c r="AM219" s="20" cm="1">
        <f t="array" ref="AM219">$G$3+IFERROR(VLOOKUP($AH219,$F$4:$G$7,2,FALSE),0)+VLOOKUP($R219,武学奇术!$A:$ZZ,2,FALSE)+SUM(_xlfn.XLOOKUP($S219:$AG219,增益!$A:$A,增益!$B:$B,0))</f>
        <v>1.2391</v>
      </c>
      <c r="AN219" s="20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1548.52</v>
      </c>
      <c r="AP219" cm="1">
        <f t="array" ref="AP219">$E$10*(1+$AN219)+VLOOKUP($R219,武学奇术!$A:$ZZ,4,FALSE)+SUM(_xlfn.XLOOKUP($S219:$AG219,增益!$A:$A,增益!$D:$D,0))-$I$2</f>
        <v>6659.56</v>
      </c>
      <c r="AQ219" s="29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0.3175</v>
      </c>
      <c r="AR219" s="29" cm="1">
        <f t="array" ref="AR219">$G$10+VLOOKUP($R219,武学奇术!$A:$ZZ,7,FALSE)+SUM(_xlfn.XLOOKUP(S219:AG219,增益!$A:$A,增益!$G:$G,0))</f>
        <v>0</v>
      </c>
      <c r="AS219" s="20" cm="1">
        <f t="array" ref="AS219">VLOOKUP($R219,武学奇术!$A:$ZZ,8,FALSE)+SUM(_xlfn.XLOOKUP(S219:AG219,增益!$A:$A,增益!$H:$H,0))</f>
        <v>0</v>
      </c>
      <c r="AT219">
        <f t="shared" si="34"/>
        <v>538</v>
      </c>
      <c r="AU219">
        <f t="shared" si="35"/>
        <v>1011</v>
      </c>
      <c r="AV219" s="29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0.075</v>
      </c>
      <c r="AW219" s="29" cm="1">
        <f t="array" ref="AW219">$G$11+VLOOKUP($R219,武学奇术!$A:$ZZ,10,FALSE)+SUM(_xlfn.XLOOKUP(S219:AG219,增益!$A:$A,增益!$J:$J,0))</f>
        <v>0.15</v>
      </c>
      <c r="AX219">
        <f t="shared" si="36"/>
        <v>0</v>
      </c>
      <c r="AY219">
        <f t="shared" si="37"/>
        <v>0</v>
      </c>
      <c r="AZ219" s="29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-0.3</v>
      </c>
      <c r="BA219" s="29" cm="1">
        <f t="array" ref="BA219">$G$12+VLOOKUP($R219,武学奇术!$A:$ZZ,12,FALSE)+SUM(_xlfn.XLOOKUP(S219:AG219,增益!$A:$A,增益!$L:$L,0))</f>
        <v>0</v>
      </c>
      <c r="BB219">
        <f t="shared" si="38"/>
        <v>0</v>
      </c>
      <c r="BC219">
        <f t="shared" si="39"/>
        <v>0</v>
      </c>
      <c r="BD219" s="29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-0.3</v>
      </c>
      <c r="BE219" s="29" cm="1">
        <f t="array" ref="BE219">$G$13+VLOOKUP($R219,武学奇术!$A:$ZZ,14,FALSE)+SUM(_xlfn.XLOOKUP(S219:AG219,增益!$A:$A,增益!$N:$N,0))</f>
        <v>0</v>
      </c>
      <c r="BF219">
        <f t="shared" si="40"/>
        <v>0</v>
      </c>
      <c r="BG219">
        <f t="shared" si="41"/>
        <v>0</v>
      </c>
      <c r="BH219" s="29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-0.3</v>
      </c>
      <c r="BI219" s="29" cm="1">
        <f t="array" ref="BI219">$G$14+VLOOKUP($R219,武学奇术!$A:$ZZ,16,FALSE)+SUM(_xlfn.XLOOKUP(S219:AG219,增益!$A:$A,增益!$P:$P,0))</f>
        <v>0</v>
      </c>
      <c r="BJ219" s="20">
        <f>MIN(IF(VLOOKUP($R219,武学奇术!$A:$ZZ,23,FALSE)=1,100%,$B$8),100%)</f>
        <v>0.8271</v>
      </c>
      <c r="BK219" s="20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0.2249</v>
      </c>
      <c r="BL219" s="20" cm="1">
        <f t="array" ref="BL219">1+$B$13+VLOOKUP($R219,武学奇术!$A:$ZZ,18,FALSE)+SUM(_xlfn.XLOOKUP(S219:AG219,增益!$A:$A,增益!$R:$R,0))</f>
        <v>1.5</v>
      </c>
      <c r="BM219" s="20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0.4459</v>
      </c>
      <c r="BN219" s="20" cm="1">
        <f t="array" ref="BN219">1+$B$14+VLOOKUP($R219,武学奇术!$A:$ZZ,20,FALSE)+SUM(_xlfn.XLOOKUP(S219:AG219,增益!$A:$A,增益!$T:$T,0))</f>
        <v>1.782</v>
      </c>
      <c r="BO219" s="20">
        <f t="shared" si="42"/>
        <v>0.18601479</v>
      </c>
      <c r="BP219" s="20">
        <f t="shared" si="43"/>
        <v>0.27228132</v>
      </c>
      <c r="BQ219" s="20">
        <f>IF(VLOOKUP($R219,武学奇术!$A:$ZZ,22,FALSE)=1,0,(1-$BJ219))*(1-$BM219)</f>
        <v>0.09580389</v>
      </c>
      <c r="BR219" s="20" cm="1">
        <f t="array" ref="BR219">SUM(_xlfn.XLOOKUP(S219:AG219,增益!$A:$A,增益!$W:$W,0))+$I$5</f>
        <v>0.11</v>
      </c>
    </row>
    <row r="220" spans="11:70">
      <c r="K220" s="27">
        <f>$L220*VLOOKUP($R220,武学奇术!$A:$ZZ,31,FALSE)</f>
        <v>8461.61411788712</v>
      </c>
      <c r="L220" s="27">
        <f t="shared" si="33"/>
        <v>14102.6901964785</v>
      </c>
      <c r="M220" s="27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11557.7590864743</v>
      </c>
      <c r="N220" s="27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21366.0254773812</v>
      </c>
      <c r="O220" s="27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7705.1727243162</v>
      </c>
      <c r="P220" s="27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3420.43216166202</v>
      </c>
      <c r="Q220" s="35">
        <v>1</v>
      </c>
      <c r="R220" s="36" t="s">
        <v>162</v>
      </c>
      <c r="S220" s="36" t="s">
        <v>71</v>
      </c>
      <c r="T220" s="36" t="s">
        <v>99</v>
      </c>
      <c r="U220" s="36" t="s">
        <v>100</v>
      </c>
      <c r="V220" s="36" t="s">
        <v>71</v>
      </c>
      <c r="W220" s="36" t="s">
        <v>111</v>
      </c>
      <c r="X220" s="36" t="s">
        <v>71</v>
      </c>
      <c r="Y220" s="36" t="s">
        <v>71</v>
      </c>
      <c r="Z220" s="36" t="s">
        <v>71</v>
      </c>
      <c r="AA220" s="36" t="s">
        <v>71</v>
      </c>
      <c r="AB220" s="36" t="s">
        <v>71</v>
      </c>
      <c r="AC220" s="36" t="s">
        <v>71</v>
      </c>
      <c r="AD220" s="36" t="s">
        <v>72</v>
      </c>
      <c r="AE220" s="36" t="s">
        <v>94</v>
      </c>
      <c r="AF220" s="36" t="s">
        <v>154</v>
      </c>
      <c r="AG220" s="36" t="s">
        <v>120</v>
      </c>
      <c r="AH220" t="str">
        <f>VLOOKUP($R220,武学奇术!$A:$ZZ,25,FALSE)</f>
        <v>剑</v>
      </c>
      <c r="AI220" s="20">
        <f>VLOOKUP($R220,武学奇术!$A:$ZZ,26,FALSE)</f>
        <v>0.3432</v>
      </c>
      <c r="AJ220" s="21">
        <f>VLOOKUP($R220,武学奇术!$A:$ZZ,27,FALSE)*(1+IF(OR($AH220=$F$4,$AH220=$F$5),$B$22,0))</f>
        <v>0</v>
      </c>
      <c r="AK220" s="20">
        <f>VLOOKUP($R220,武学奇术!$A:$ZZ,28,FALSE)</f>
        <v>0.5148</v>
      </c>
      <c r="AL220" s="21">
        <f>VLOOKUP($R220,武学奇术!$A:$ZZ,29,FALSE)*(1+IF(OR($AH220=$F$4,$AH220=$F$5),$B$22,0))</f>
        <v>0</v>
      </c>
      <c r="AM220" s="20" cm="1">
        <f t="array" ref="AM220">$G$3+IFERROR(VLOOKUP($AH220,$F$4:$G$7,2,FALSE),0)+VLOOKUP($R220,武学奇术!$A:$ZZ,2,FALSE)+SUM(_xlfn.XLOOKUP($S220:$AG220,增益!$A:$A,增益!$B:$B,0))</f>
        <v>1.2391</v>
      </c>
      <c r="AN220" s="20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1548.52</v>
      </c>
      <c r="AP220" cm="1">
        <f t="array" ref="AP220">$E$10*(1+$AN220)+VLOOKUP($R220,武学奇术!$A:$ZZ,4,FALSE)+SUM(_xlfn.XLOOKUP($S220:$AG220,增益!$A:$A,增益!$D:$D,0))-$I$2</f>
        <v>6659.56</v>
      </c>
      <c r="AQ220" s="29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0.3175</v>
      </c>
      <c r="AR220" s="29" cm="1">
        <f t="array" ref="AR220">$G$10+VLOOKUP($R220,武学奇术!$A:$ZZ,7,FALSE)+SUM(_xlfn.XLOOKUP(S220:AG220,增益!$A:$A,增益!$G:$G,0))</f>
        <v>0</v>
      </c>
      <c r="AS220" s="20" cm="1">
        <f t="array" ref="AS220">VLOOKUP($R220,武学奇术!$A:$ZZ,8,FALSE)+SUM(_xlfn.XLOOKUP(S220:AG220,增益!$A:$A,增益!$H:$H,0))</f>
        <v>0</v>
      </c>
      <c r="AT220">
        <f t="shared" si="34"/>
        <v>538</v>
      </c>
      <c r="AU220">
        <f t="shared" si="35"/>
        <v>1011</v>
      </c>
      <c r="AV220" s="29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0.075</v>
      </c>
      <c r="AW220" s="29" cm="1">
        <f t="array" ref="AW220">$G$11+VLOOKUP($R220,武学奇术!$A:$ZZ,10,FALSE)+SUM(_xlfn.XLOOKUP(S220:AG220,增益!$A:$A,增益!$J:$J,0))</f>
        <v>0.15</v>
      </c>
      <c r="AX220">
        <f t="shared" si="36"/>
        <v>0</v>
      </c>
      <c r="AY220">
        <f t="shared" si="37"/>
        <v>0</v>
      </c>
      <c r="AZ220" s="29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-0.3</v>
      </c>
      <c r="BA220" s="29" cm="1">
        <f t="array" ref="BA220">$G$12+VLOOKUP($R220,武学奇术!$A:$ZZ,12,FALSE)+SUM(_xlfn.XLOOKUP(S220:AG220,增益!$A:$A,增益!$L:$L,0))</f>
        <v>0</v>
      </c>
      <c r="BB220">
        <f t="shared" si="38"/>
        <v>0</v>
      </c>
      <c r="BC220">
        <f t="shared" si="39"/>
        <v>0</v>
      </c>
      <c r="BD220" s="29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-0.3</v>
      </c>
      <c r="BE220" s="29" cm="1">
        <f t="array" ref="BE220">$G$13+VLOOKUP($R220,武学奇术!$A:$ZZ,14,FALSE)+SUM(_xlfn.XLOOKUP(S220:AG220,增益!$A:$A,增益!$N:$N,0))</f>
        <v>0</v>
      </c>
      <c r="BF220">
        <f t="shared" si="40"/>
        <v>0</v>
      </c>
      <c r="BG220">
        <f t="shared" si="41"/>
        <v>0</v>
      </c>
      <c r="BH220" s="29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-0.3</v>
      </c>
      <c r="BI220" s="29" cm="1">
        <f t="array" ref="BI220">$G$14+VLOOKUP($R220,武学奇术!$A:$ZZ,16,FALSE)+SUM(_xlfn.XLOOKUP(S220:AG220,增益!$A:$A,增益!$P:$P,0))</f>
        <v>0</v>
      </c>
      <c r="BJ220" s="20">
        <f>MIN(IF(VLOOKUP($R220,武学奇术!$A:$ZZ,23,FALSE)=1,100%,$B$8),100%)</f>
        <v>0.8271</v>
      </c>
      <c r="BK220" s="20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0.2249</v>
      </c>
      <c r="BL220" s="20" cm="1">
        <f t="array" ref="BL220">1+$B$13+VLOOKUP($R220,武学奇术!$A:$ZZ,18,FALSE)+SUM(_xlfn.XLOOKUP(S220:AG220,增益!$A:$A,增益!$R:$R,0))</f>
        <v>1.5</v>
      </c>
      <c r="BM220" s="20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0.4459</v>
      </c>
      <c r="BN220" s="20" cm="1">
        <f t="array" ref="BN220">1+$B$14+VLOOKUP($R220,武学奇术!$A:$ZZ,20,FALSE)+SUM(_xlfn.XLOOKUP(S220:AG220,增益!$A:$A,增益!$T:$T,0))</f>
        <v>1.782</v>
      </c>
      <c r="BO220" s="20">
        <f t="shared" si="42"/>
        <v>0.18601479</v>
      </c>
      <c r="BP220" s="20">
        <f t="shared" si="43"/>
        <v>0.27228132</v>
      </c>
      <c r="BQ220" s="20">
        <f>IF(VLOOKUP($R220,武学奇术!$A:$ZZ,22,FALSE)=1,0,(1-$BJ220))*(1-$BM220)</f>
        <v>0.09580389</v>
      </c>
      <c r="BR220" s="20" cm="1">
        <f t="array" ref="BR220">SUM(_xlfn.XLOOKUP(S220:AG220,增益!$A:$A,增益!$W:$W,0))+$I$5</f>
        <v>0.11</v>
      </c>
    </row>
    <row r="221" spans="11:70">
      <c r="K221" s="27">
        <f>$L221*VLOOKUP($R221,武学奇术!$A:$ZZ,31,FALSE)</f>
        <v>4230.80705894356</v>
      </c>
      <c r="L221" s="27">
        <f t="shared" si="33"/>
        <v>7051.34509823927</v>
      </c>
      <c r="M221" s="27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5778.87954323715</v>
      </c>
      <c r="N221" s="27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10683.0127386906</v>
      </c>
      <c r="O221" s="27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3852.5863621581</v>
      </c>
      <c r="P221" s="27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1710.21608083101</v>
      </c>
      <c r="Q221" s="35">
        <v>1</v>
      </c>
      <c r="R221" s="36" t="s">
        <v>164</v>
      </c>
      <c r="S221" s="36" t="s">
        <v>71</v>
      </c>
      <c r="T221" s="36" t="s">
        <v>99</v>
      </c>
      <c r="U221" s="36" t="s">
        <v>100</v>
      </c>
      <c r="V221" s="36" t="s">
        <v>71</v>
      </c>
      <c r="W221" s="36" t="s">
        <v>111</v>
      </c>
      <c r="X221" s="36" t="s">
        <v>71</v>
      </c>
      <c r="Y221" s="36" t="s">
        <v>71</v>
      </c>
      <c r="Z221" s="36" t="s">
        <v>71</v>
      </c>
      <c r="AA221" s="36" t="s">
        <v>71</v>
      </c>
      <c r="AB221" s="36" t="s">
        <v>71</v>
      </c>
      <c r="AC221" s="36" t="s">
        <v>71</v>
      </c>
      <c r="AD221" s="36" t="s">
        <v>72</v>
      </c>
      <c r="AE221" s="36" t="s">
        <v>94</v>
      </c>
      <c r="AF221" s="36" t="s">
        <v>154</v>
      </c>
      <c r="AG221" s="36" t="s">
        <v>120</v>
      </c>
      <c r="AH221" t="str">
        <f>VLOOKUP($R221,武学奇术!$A:$ZZ,25,FALSE)</f>
        <v>剑</v>
      </c>
      <c r="AI221" s="20">
        <f>VLOOKUP($R221,武学奇术!$A:$ZZ,26,FALSE)</f>
        <v>0.1716</v>
      </c>
      <c r="AJ221" s="21">
        <f>VLOOKUP($R221,武学奇术!$A:$ZZ,27,FALSE)*(1+IF(OR($AH221=$F$4,$AH221=$F$5),$B$22,0))</f>
        <v>0</v>
      </c>
      <c r="AK221" s="20">
        <f>VLOOKUP($R221,武学奇术!$A:$ZZ,28,FALSE)</f>
        <v>0.2574</v>
      </c>
      <c r="AL221" s="21">
        <f>VLOOKUP($R221,武学奇术!$A:$ZZ,29,FALSE)*(1+IF(OR($AH221=$F$4,$AH221=$F$5),$B$22,0))</f>
        <v>0</v>
      </c>
      <c r="AM221" s="20" cm="1">
        <f t="array" ref="AM221">$G$3+IFERROR(VLOOKUP($AH221,$F$4:$G$7,2,FALSE),0)+VLOOKUP($R221,武学奇术!$A:$ZZ,2,FALSE)+SUM(_xlfn.XLOOKUP($S221:$AG221,增益!$A:$A,增益!$B:$B,0))</f>
        <v>1.2391</v>
      </c>
      <c r="AN221" s="20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1548.52</v>
      </c>
      <c r="AP221" cm="1">
        <f t="array" ref="AP221">$E$10*(1+$AN221)+VLOOKUP($R221,武学奇术!$A:$ZZ,4,FALSE)+SUM(_xlfn.XLOOKUP($S221:$AG221,增益!$A:$A,增益!$D:$D,0))-$I$2</f>
        <v>6659.56</v>
      </c>
      <c r="AQ221" s="29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0.3175</v>
      </c>
      <c r="AR221" s="29" cm="1">
        <f t="array" ref="AR221">$G$10+VLOOKUP($R221,武学奇术!$A:$ZZ,7,FALSE)+SUM(_xlfn.XLOOKUP(S221:AG221,增益!$A:$A,增益!$G:$G,0))</f>
        <v>0</v>
      </c>
      <c r="AS221" s="20" cm="1">
        <f t="array" ref="AS221">VLOOKUP($R221,武学奇术!$A:$ZZ,8,FALSE)+SUM(_xlfn.XLOOKUP(S221:AG221,增益!$A:$A,增益!$H:$H,0))</f>
        <v>0</v>
      </c>
      <c r="AT221">
        <f t="shared" si="34"/>
        <v>538</v>
      </c>
      <c r="AU221">
        <f t="shared" si="35"/>
        <v>1011</v>
      </c>
      <c r="AV221" s="29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0.075</v>
      </c>
      <c r="AW221" s="29" cm="1">
        <f t="array" ref="AW221">$G$11+VLOOKUP($R221,武学奇术!$A:$ZZ,10,FALSE)+SUM(_xlfn.XLOOKUP(S221:AG221,增益!$A:$A,增益!$J:$J,0))</f>
        <v>0.15</v>
      </c>
      <c r="AX221">
        <f t="shared" si="36"/>
        <v>0</v>
      </c>
      <c r="AY221">
        <f t="shared" si="37"/>
        <v>0</v>
      </c>
      <c r="AZ221" s="29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29" cm="1">
        <f t="array" ref="BA221">$G$12+VLOOKUP($R221,武学奇术!$A:$ZZ,12,FALSE)+SUM(_xlfn.XLOOKUP(S221:AG221,增益!$A:$A,增益!$L:$L,0))</f>
        <v>0</v>
      </c>
      <c r="BB221">
        <f t="shared" si="38"/>
        <v>0</v>
      </c>
      <c r="BC221">
        <f t="shared" si="39"/>
        <v>0</v>
      </c>
      <c r="BD221" s="29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29" cm="1">
        <f t="array" ref="BE221">$G$13+VLOOKUP($R221,武学奇术!$A:$ZZ,14,FALSE)+SUM(_xlfn.XLOOKUP(S221:AG221,增益!$A:$A,增益!$N:$N,0))</f>
        <v>0</v>
      </c>
      <c r="BF221">
        <f t="shared" si="40"/>
        <v>0</v>
      </c>
      <c r="BG221">
        <f t="shared" si="41"/>
        <v>0</v>
      </c>
      <c r="BH221" s="29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29" cm="1">
        <f t="array" ref="BI221">$G$14+VLOOKUP($R221,武学奇术!$A:$ZZ,16,FALSE)+SUM(_xlfn.XLOOKUP(S221:AG221,增益!$A:$A,增益!$P:$P,0))</f>
        <v>0</v>
      </c>
      <c r="BJ221" s="20">
        <f>MIN(IF(VLOOKUP($R221,武学奇术!$A:$ZZ,23,FALSE)=1,100%,$B$8),100%)</f>
        <v>0.8271</v>
      </c>
      <c r="BK221" s="20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0.2249</v>
      </c>
      <c r="BL221" s="20" cm="1">
        <f t="array" ref="BL221">1+$B$13+VLOOKUP($R221,武学奇术!$A:$ZZ,18,FALSE)+SUM(_xlfn.XLOOKUP(S221:AG221,增益!$A:$A,增益!$R:$R,0))</f>
        <v>1.5</v>
      </c>
      <c r="BM221" s="20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0.4459</v>
      </c>
      <c r="BN221" s="20" cm="1">
        <f t="array" ref="BN221">1+$B$14+VLOOKUP($R221,武学奇术!$A:$ZZ,20,FALSE)+SUM(_xlfn.XLOOKUP(S221:AG221,增益!$A:$A,增益!$T:$T,0))</f>
        <v>1.782</v>
      </c>
      <c r="BO221" s="20">
        <f t="shared" si="42"/>
        <v>0.18601479</v>
      </c>
      <c r="BP221" s="20">
        <f t="shared" si="43"/>
        <v>0.27228132</v>
      </c>
      <c r="BQ221" s="20">
        <f>IF(VLOOKUP($R221,武学奇术!$A:$ZZ,22,FALSE)=1,0,(1-$BJ221))*(1-$BM221)</f>
        <v>0.09580389</v>
      </c>
      <c r="BR221" s="20" cm="1">
        <f t="array" ref="BR221">SUM(_xlfn.XLOOKUP(S221:AG221,增益!$A:$A,增益!$W:$W,0))+$I$5</f>
        <v>0.11</v>
      </c>
    </row>
    <row r="222" spans="11:70">
      <c r="K222" s="27">
        <f>$L222*VLOOKUP($R222,武学奇术!$A:$ZZ,31,FALSE)</f>
        <v>5076.96847073227</v>
      </c>
      <c r="L222" s="27">
        <f t="shared" si="33"/>
        <v>8461.61411788712</v>
      </c>
      <c r="M222" s="27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6934.65545188458</v>
      </c>
      <c r="N222" s="27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12819.6152864287</v>
      </c>
      <c r="O222" s="27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4623.10363458972</v>
      </c>
      <c r="P222" s="27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2052.25929699721</v>
      </c>
      <c r="Q222" s="35">
        <v>1</v>
      </c>
      <c r="R222" s="36" t="s">
        <v>165</v>
      </c>
      <c r="S222" s="36" t="s">
        <v>71</v>
      </c>
      <c r="T222" s="36" t="s">
        <v>99</v>
      </c>
      <c r="U222" s="36" t="s">
        <v>100</v>
      </c>
      <c r="V222" s="36" t="s">
        <v>71</v>
      </c>
      <c r="W222" s="36" t="s">
        <v>111</v>
      </c>
      <c r="X222" s="36" t="s">
        <v>71</v>
      </c>
      <c r="Y222" s="36" t="s">
        <v>71</v>
      </c>
      <c r="Z222" s="36" t="s">
        <v>71</v>
      </c>
      <c r="AA222" s="36" t="s">
        <v>71</v>
      </c>
      <c r="AB222" s="36" t="s">
        <v>71</v>
      </c>
      <c r="AC222" s="36" t="s">
        <v>71</v>
      </c>
      <c r="AD222" s="36" t="s">
        <v>72</v>
      </c>
      <c r="AE222" s="36" t="s">
        <v>94</v>
      </c>
      <c r="AF222" s="36" t="s">
        <v>154</v>
      </c>
      <c r="AG222" s="36" t="s">
        <v>120</v>
      </c>
      <c r="AH222" t="str">
        <f>VLOOKUP($R222,武学奇术!$A:$ZZ,25,FALSE)</f>
        <v>剑</v>
      </c>
      <c r="AI222" s="20">
        <f>VLOOKUP($R222,武学奇术!$A:$ZZ,26,FALSE)</f>
        <v>0.20592</v>
      </c>
      <c r="AJ222" s="21">
        <f>VLOOKUP($R222,武学奇术!$A:$ZZ,27,FALSE)*(1+IF(OR($AH222=$F$4,$AH222=$F$5),$B$22,0))</f>
        <v>0</v>
      </c>
      <c r="AK222" s="20">
        <f>VLOOKUP($R222,武学奇术!$A:$ZZ,28,FALSE)</f>
        <v>0.30888</v>
      </c>
      <c r="AL222" s="21">
        <f>VLOOKUP($R222,武学奇术!$A:$ZZ,29,FALSE)*(1+IF(OR($AH222=$F$4,$AH222=$F$5),$B$22,0))</f>
        <v>0</v>
      </c>
      <c r="AM222" s="20" cm="1">
        <f t="array" ref="AM222">$G$3+IFERROR(VLOOKUP($AH222,$F$4:$G$7,2,FALSE),0)+VLOOKUP($R222,武学奇术!$A:$ZZ,2,FALSE)+SUM(_xlfn.XLOOKUP($S222:$AG222,增益!$A:$A,增益!$B:$B,0))</f>
        <v>1.2391</v>
      </c>
      <c r="AN222" s="20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1548.52</v>
      </c>
      <c r="AP222" cm="1">
        <f t="array" ref="AP222">$E$10*(1+$AN222)+VLOOKUP($R222,武学奇术!$A:$ZZ,4,FALSE)+SUM(_xlfn.XLOOKUP($S222:$AG222,增益!$A:$A,增益!$D:$D,0))-$I$2</f>
        <v>6659.56</v>
      </c>
      <c r="AQ222" s="29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0.3175</v>
      </c>
      <c r="AR222" s="29" cm="1">
        <f t="array" ref="AR222">$G$10+VLOOKUP($R222,武学奇术!$A:$ZZ,7,FALSE)+SUM(_xlfn.XLOOKUP(S222:AG222,增益!$A:$A,增益!$G:$G,0))</f>
        <v>0</v>
      </c>
      <c r="AS222" s="20" cm="1">
        <f t="array" ref="AS222">VLOOKUP($R222,武学奇术!$A:$ZZ,8,FALSE)+SUM(_xlfn.XLOOKUP(S222:AG222,增益!$A:$A,增益!$H:$H,0))</f>
        <v>0</v>
      </c>
      <c r="AT222">
        <f t="shared" si="34"/>
        <v>538</v>
      </c>
      <c r="AU222">
        <f t="shared" si="35"/>
        <v>1011</v>
      </c>
      <c r="AV222" s="29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0.075</v>
      </c>
      <c r="AW222" s="29" cm="1">
        <f t="array" ref="AW222">$G$11+VLOOKUP($R222,武学奇术!$A:$ZZ,10,FALSE)+SUM(_xlfn.XLOOKUP(S222:AG222,增益!$A:$A,增益!$J:$J,0))</f>
        <v>0.15</v>
      </c>
      <c r="AX222">
        <f t="shared" si="36"/>
        <v>0</v>
      </c>
      <c r="AY222">
        <f t="shared" si="37"/>
        <v>0</v>
      </c>
      <c r="AZ222" s="29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29" cm="1">
        <f t="array" ref="BA222">$G$12+VLOOKUP($R222,武学奇术!$A:$ZZ,12,FALSE)+SUM(_xlfn.XLOOKUP(S222:AG222,增益!$A:$A,增益!$L:$L,0))</f>
        <v>0</v>
      </c>
      <c r="BB222">
        <f t="shared" si="38"/>
        <v>0</v>
      </c>
      <c r="BC222">
        <f t="shared" si="39"/>
        <v>0</v>
      </c>
      <c r="BD222" s="29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29" cm="1">
        <f t="array" ref="BE222">$G$13+VLOOKUP($R222,武学奇术!$A:$ZZ,14,FALSE)+SUM(_xlfn.XLOOKUP(S222:AG222,增益!$A:$A,增益!$N:$N,0))</f>
        <v>0</v>
      </c>
      <c r="BF222">
        <f t="shared" si="40"/>
        <v>0</v>
      </c>
      <c r="BG222">
        <f t="shared" si="41"/>
        <v>0</v>
      </c>
      <c r="BH222" s="29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29" cm="1">
        <f t="array" ref="BI222">$G$14+VLOOKUP($R222,武学奇术!$A:$ZZ,16,FALSE)+SUM(_xlfn.XLOOKUP(S222:AG222,增益!$A:$A,增益!$P:$P,0))</f>
        <v>0</v>
      </c>
      <c r="BJ222" s="20">
        <f>MIN(IF(VLOOKUP($R222,武学奇术!$A:$ZZ,23,FALSE)=1,100%,$B$8),100%)</f>
        <v>0.8271</v>
      </c>
      <c r="BK222" s="20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0.2249</v>
      </c>
      <c r="BL222" s="20" cm="1">
        <f t="array" ref="BL222">1+$B$13+VLOOKUP($R222,武学奇术!$A:$ZZ,18,FALSE)+SUM(_xlfn.XLOOKUP(S222:AG222,增益!$A:$A,增益!$R:$R,0))</f>
        <v>1.5</v>
      </c>
      <c r="BM222" s="20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0.4459</v>
      </c>
      <c r="BN222" s="20" cm="1">
        <f t="array" ref="BN222">1+$B$14+VLOOKUP($R222,武学奇术!$A:$ZZ,20,FALSE)+SUM(_xlfn.XLOOKUP(S222:AG222,增益!$A:$A,增益!$T:$T,0))</f>
        <v>1.782</v>
      </c>
      <c r="BO222" s="20">
        <f t="shared" si="42"/>
        <v>0.18601479</v>
      </c>
      <c r="BP222" s="20">
        <f t="shared" si="43"/>
        <v>0.27228132</v>
      </c>
      <c r="BQ222" s="20">
        <f>IF(VLOOKUP($R222,武学奇术!$A:$ZZ,22,FALSE)=1,0,(1-$BJ222))*(1-$BM222)</f>
        <v>0.09580389</v>
      </c>
      <c r="BR222" s="20" cm="1">
        <f t="array" ref="BR222">SUM(_xlfn.XLOOKUP(S222:AG222,增益!$A:$A,增益!$W:$W,0))+$I$5</f>
        <v>0.11</v>
      </c>
    </row>
    <row r="223" spans="11:70">
      <c r="K223" s="27">
        <f>$L223*VLOOKUP($R223,武学奇术!$A:$ZZ,31,FALSE)</f>
        <v>6769.2912943097</v>
      </c>
      <c r="L223" s="27">
        <f t="shared" si="33"/>
        <v>11282.1521571828</v>
      </c>
      <c r="M223" s="27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9246.20726917944</v>
      </c>
      <c r="N223" s="27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17092.820381905</v>
      </c>
      <c r="O223" s="27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6164.13817945296</v>
      </c>
      <c r="P223" s="27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2736.34572932961</v>
      </c>
      <c r="Q223" s="35">
        <v>1</v>
      </c>
      <c r="R223" s="36" t="s">
        <v>163</v>
      </c>
      <c r="S223" s="36" t="s">
        <v>71</v>
      </c>
      <c r="T223" s="36" t="s">
        <v>99</v>
      </c>
      <c r="U223" s="36" t="s">
        <v>100</v>
      </c>
      <c r="V223" s="36" t="s">
        <v>71</v>
      </c>
      <c r="W223" s="36" t="s">
        <v>111</v>
      </c>
      <c r="X223" s="36" t="s">
        <v>71</v>
      </c>
      <c r="Y223" s="36" t="s">
        <v>71</v>
      </c>
      <c r="Z223" s="36" t="s">
        <v>71</v>
      </c>
      <c r="AA223" s="36" t="s">
        <v>71</v>
      </c>
      <c r="AB223" s="36" t="s">
        <v>71</v>
      </c>
      <c r="AC223" s="36" t="s">
        <v>71</v>
      </c>
      <c r="AD223" s="36" t="s">
        <v>72</v>
      </c>
      <c r="AE223" s="36" t="s">
        <v>94</v>
      </c>
      <c r="AF223" s="36" t="s">
        <v>154</v>
      </c>
      <c r="AG223" s="36" t="s">
        <v>120</v>
      </c>
      <c r="AH223" t="str">
        <f>VLOOKUP($R223,武学奇术!$A:$ZZ,25,FALSE)</f>
        <v>剑</v>
      </c>
      <c r="AI223" s="20">
        <f>VLOOKUP($R223,武学奇术!$A:$ZZ,26,FALSE)</f>
        <v>0.27456</v>
      </c>
      <c r="AJ223" s="21">
        <f>VLOOKUP($R223,武学奇术!$A:$ZZ,27,FALSE)*(1+IF(OR($AH223=$F$4,$AH223=$F$5),$B$22,0))</f>
        <v>0</v>
      </c>
      <c r="AK223" s="20">
        <f>VLOOKUP($R223,武学奇术!$A:$ZZ,28,FALSE)</f>
        <v>0.41184</v>
      </c>
      <c r="AL223" s="21">
        <f>VLOOKUP($R223,武学奇术!$A:$ZZ,29,FALSE)*(1+IF(OR($AH223=$F$4,$AH223=$F$5),$B$22,0))</f>
        <v>0</v>
      </c>
      <c r="AM223" s="20" cm="1">
        <f t="array" ref="AM223">$G$3+IFERROR(VLOOKUP($AH223,$F$4:$G$7,2,FALSE),0)+VLOOKUP($R223,武学奇术!$A:$ZZ,2,FALSE)+SUM(_xlfn.XLOOKUP($S223:$AG223,增益!$A:$A,增益!$B:$B,0))</f>
        <v>1.2391</v>
      </c>
      <c r="AN223" s="20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1548.52</v>
      </c>
      <c r="AP223" cm="1">
        <f t="array" ref="AP223">$E$10*(1+$AN223)+VLOOKUP($R223,武学奇术!$A:$ZZ,4,FALSE)+SUM(_xlfn.XLOOKUP($S223:$AG223,增益!$A:$A,增益!$D:$D,0))-$I$2</f>
        <v>6659.56</v>
      </c>
      <c r="AQ223" s="29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0.3175</v>
      </c>
      <c r="AR223" s="29" cm="1">
        <f t="array" ref="AR223">$G$10+VLOOKUP($R223,武学奇术!$A:$ZZ,7,FALSE)+SUM(_xlfn.XLOOKUP(S223:AG223,增益!$A:$A,增益!$G:$G,0))</f>
        <v>0</v>
      </c>
      <c r="AS223" s="20" cm="1">
        <f t="array" ref="AS223">VLOOKUP($R223,武学奇术!$A:$ZZ,8,FALSE)+SUM(_xlfn.XLOOKUP(S223:AG223,增益!$A:$A,增益!$H:$H,0))</f>
        <v>0</v>
      </c>
      <c r="AT223">
        <f t="shared" si="34"/>
        <v>538</v>
      </c>
      <c r="AU223">
        <f t="shared" si="35"/>
        <v>1011</v>
      </c>
      <c r="AV223" s="29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0.075</v>
      </c>
      <c r="AW223" s="29" cm="1">
        <f t="array" ref="AW223">$G$11+VLOOKUP($R223,武学奇术!$A:$ZZ,10,FALSE)+SUM(_xlfn.XLOOKUP(S223:AG223,增益!$A:$A,增益!$J:$J,0))</f>
        <v>0.15</v>
      </c>
      <c r="AX223">
        <f t="shared" si="36"/>
        <v>0</v>
      </c>
      <c r="AY223">
        <f t="shared" si="37"/>
        <v>0</v>
      </c>
      <c r="AZ223" s="29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29" cm="1">
        <f t="array" ref="BA223">$G$12+VLOOKUP($R223,武学奇术!$A:$ZZ,12,FALSE)+SUM(_xlfn.XLOOKUP(S223:AG223,增益!$A:$A,增益!$L:$L,0))</f>
        <v>0</v>
      </c>
      <c r="BB223">
        <f t="shared" si="38"/>
        <v>0</v>
      </c>
      <c r="BC223">
        <f t="shared" si="39"/>
        <v>0</v>
      </c>
      <c r="BD223" s="29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29" cm="1">
        <f t="array" ref="BE223">$G$13+VLOOKUP($R223,武学奇术!$A:$ZZ,14,FALSE)+SUM(_xlfn.XLOOKUP(S223:AG223,增益!$A:$A,增益!$N:$N,0))</f>
        <v>0</v>
      </c>
      <c r="BF223">
        <f t="shared" si="40"/>
        <v>0</v>
      </c>
      <c r="BG223">
        <f t="shared" si="41"/>
        <v>0</v>
      </c>
      <c r="BH223" s="29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29" cm="1">
        <f t="array" ref="BI223">$G$14+VLOOKUP($R223,武学奇术!$A:$ZZ,16,FALSE)+SUM(_xlfn.XLOOKUP(S223:AG223,增益!$A:$A,增益!$P:$P,0))</f>
        <v>0</v>
      </c>
      <c r="BJ223" s="20">
        <f>MIN(IF(VLOOKUP($R223,武学奇术!$A:$ZZ,23,FALSE)=1,100%,$B$8),100%)</f>
        <v>0.8271</v>
      </c>
      <c r="BK223" s="20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0.2249</v>
      </c>
      <c r="BL223" s="20" cm="1">
        <f t="array" ref="BL223">1+$B$13+VLOOKUP($R223,武学奇术!$A:$ZZ,18,FALSE)+SUM(_xlfn.XLOOKUP(S223:AG223,增益!$A:$A,增益!$R:$R,0))</f>
        <v>1.5</v>
      </c>
      <c r="BM223" s="20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0.4459</v>
      </c>
      <c r="BN223" s="20" cm="1">
        <f t="array" ref="BN223">1+$B$14+VLOOKUP($R223,武学奇术!$A:$ZZ,20,FALSE)+SUM(_xlfn.XLOOKUP(S223:AG223,增益!$A:$A,增益!$T:$T,0))</f>
        <v>1.782</v>
      </c>
      <c r="BO223" s="20">
        <f t="shared" si="42"/>
        <v>0.18601479</v>
      </c>
      <c r="BP223" s="20">
        <f t="shared" si="43"/>
        <v>0.27228132</v>
      </c>
      <c r="BQ223" s="20">
        <f>IF(VLOOKUP($R223,武学奇术!$A:$ZZ,22,FALSE)=1,0,(1-$BJ223))*(1-$BM223)</f>
        <v>0.09580389</v>
      </c>
      <c r="BR223" s="20" cm="1">
        <f t="array" ref="BR223">SUM(_xlfn.XLOOKUP(S223:AG223,增益!$A:$A,增益!$W:$W,0))+$I$5</f>
        <v>0.11</v>
      </c>
    </row>
    <row r="224" spans="11:70">
      <c r="K224" s="27">
        <f>$L224*VLOOKUP($R224,武学奇术!$A:$ZZ,31,FALSE)</f>
        <v>6769.2912943097</v>
      </c>
      <c r="L224" s="27">
        <f t="shared" si="33"/>
        <v>11282.1521571828</v>
      </c>
      <c r="M224" s="27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9246.20726917944</v>
      </c>
      <c r="N224" s="27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17092.820381905</v>
      </c>
      <c r="O224" s="27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6164.13817945296</v>
      </c>
      <c r="P224" s="27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2736.34572932961</v>
      </c>
      <c r="Q224" s="35">
        <v>1</v>
      </c>
      <c r="R224" s="36" t="s">
        <v>163</v>
      </c>
      <c r="S224" s="36" t="s">
        <v>71</v>
      </c>
      <c r="T224" s="36" t="s">
        <v>99</v>
      </c>
      <c r="U224" s="36" t="s">
        <v>100</v>
      </c>
      <c r="V224" s="36" t="s">
        <v>71</v>
      </c>
      <c r="W224" s="36" t="s">
        <v>111</v>
      </c>
      <c r="X224" s="36" t="s">
        <v>71</v>
      </c>
      <c r="Y224" s="36" t="s">
        <v>71</v>
      </c>
      <c r="Z224" s="36" t="s">
        <v>71</v>
      </c>
      <c r="AA224" s="36" t="s">
        <v>71</v>
      </c>
      <c r="AB224" s="36" t="s">
        <v>71</v>
      </c>
      <c r="AC224" s="36" t="s">
        <v>71</v>
      </c>
      <c r="AD224" s="36" t="s">
        <v>72</v>
      </c>
      <c r="AE224" s="36" t="s">
        <v>94</v>
      </c>
      <c r="AF224" s="36" t="s">
        <v>154</v>
      </c>
      <c r="AG224" s="36" t="s">
        <v>120</v>
      </c>
      <c r="AH224" t="str">
        <f>VLOOKUP($R224,武学奇术!$A:$ZZ,25,FALSE)</f>
        <v>剑</v>
      </c>
      <c r="AI224" s="20">
        <f>VLOOKUP($R224,武学奇术!$A:$ZZ,26,FALSE)</f>
        <v>0.27456</v>
      </c>
      <c r="AJ224" s="21">
        <f>VLOOKUP($R224,武学奇术!$A:$ZZ,27,FALSE)*(1+IF(OR($AH224=$F$4,$AH224=$F$5),$B$22,0))</f>
        <v>0</v>
      </c>
      <c r="AK224" s="20">
        <f>VLOOKUP($R224,武学奇术!$A:$ZZ,28,FALSE)</f>
        <v>0.41184</v>
      </c>
      <c r="AL224" s="21">
        <f>VLOOKUP($R224,武学奇术!$A:$ZZ,29,FALSE)*(1+IF(OR($AH224=$F$4,$AH224=$F$5),$B$22,0))</f>
        <v>0</v>
      </c>
      <c r="AM224" s="20" cm="1">
        <f t="array" ref="AM224">$G$3+IFERROR(VLOOKUP($AH224,$F$4:$G$7,2,FALSE),0)+VLOOKUP($R224,武学奇术!$A:$ZZ,2,FALSE)+SUM(_xlfn.XLOOKUP($S224:$AG224,增益!$A:$A,增益!$B:$B,0))</f>
        <v>1.2391</v>
      </c>
      <c r="AN224" s="20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1548.52</v>
      </c>
      <c r="AP224" cm="1">
        <f t="array" ref="AP224">$E$10*(1+$AN224)+VLOOKUP($R224,武学奇术!$A:$ZZ,4,FALSE)+SUM(_xlfn.XLOOKUP($S224:$AG224,增益!$A:$A,增益!$D:$D,0))-$I$2</f>
        <v>6659.56</v>
      </c>
      <c r="AQ224" s="29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0.3175</v>
      </c>
      <c r="AR224" s="29" cm="1">
        <f t="array" ref="AR224">$G$10+VLOOKUP($R224,武学奇术!$A:$ZZ,7,FALSE)+SUM(_xlfn.XLOOKUP(S224:AG224,增益!$A:$A,增益!$G:$G,0))</f>
        <v>0</v>
      </c>
      <c r="AS224" s="20" cm="1">
        <f t="array" ref="AS224">VLOOKUP($R224,武学奇术!$A:$ZZ,8,FALSE)+SUM(_xlfn.XLOOKUP(S224:AG224,增益!$A:$A,增益!$H:$H,0))</f>
        <v>0</v>
      </c>
      <c r="AT224">
        <f t="shared" si="34"/>
        <v>538</v>
      </c>
      <c r="AU224">
        <f t="shared" si="35"/>
        <v>1011</v>
      </c>
      <c r="AV224" s="29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0.075</v>
      </c>
      <c r="AW224" s="29" cm="1">
        <f t="array" ref="AW224">$G$11+VLOOKUP($R224,武学奇术!$A:$ZZ,10,FALSE)+SUM(_xlfn.XLOOKUP(S224:AG224,增益!$A:$A,增益!$J:$J,0))</f>
        <v>0.15</v>
      </c>
      <c r="AX224">
        <f t="shared" si="36"/>
        <v>0</v>
      </c>
      <c r="AY224">
        <f t="shared" si="37"/>
        <v>0</v>
      </c>
      <c r="AZ224" s="29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29" cm="1">
        <f t="array" ref="BA224">$G$12+VLOOKUP($R224,武学奇术!$A:$ZZ,12,FALSE)+SUM(_xlfn.XLOOKUP(S224:AG224,增益!$A:$A,增益!$L:$L,0))</f>
        <v>0</v>
      </c>
      <c r="BB224">
        <f t="shared" si="38"/>
        <v>0</v>
      </c>
      <c r="BC224">
        <f t="shared" si="39"/>
        <v>0</v>
      </c>
      <c r="BD224" s="29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29" cm="1">
        <f t="array" ref="BE224">$G$13+VLOOKUP($R224,武学奇术!$A:$ZZ,14,FALSE)+SUM(_xlfn.XLOOKUP(S224:AG224,增益!$A:$A,增益!$N:$N,0))</f>
        <v>0</v>
      </c>
      <c r="BF224">
        <f t="shared" si="40"/>
        <v>0</v>
      </c>
      <c r="BG224">
        <f t="shared" si="41"/>
        <v>0</v>
      </c>
      <c r="BH224" s="29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29" cm="1">
        <f t="array" ref="BI224">$G$14+VLOOKUP($R224,武学奇术!$A:$ZZ,16,FALSE)+SUM(_xlfn.XLOOKUP(S224:AG224,增益!$A:$A,增益!$P:$P,0))</f>
        <v>0</v>
      </c>
      <c r="BJ224" s="20">
        <f>MIN(IF(VLOOKUP($R224,武学奇术!$A:$ZZ,23,FALSE)=1,100%,$B$8),100%)</f>
        <v>0.8271</v>
      </c>
      <c r="BK224" s="20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0.2249</v>
      </c>
      <c r="BL224" s="20" cm="1">
        <f t="array" ref="BL224">1+$B$13+VLOOKUP($R224,武学奇术!$A:$ZZ,18,FALSE)+SUM(_xlfn.XLOOKUP(S224:AG224,增益!$A:$A,增益!$R:$R,0))</f>
        <v>1.5</v>
      </c>
      <c r="BM224" s="20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0.4459</v>
      </c>
      <c r="BN224" s="20" cm="1">
        <f t="array" ref="BN224">1+$B$14+VLOOKUP($R224,武学奇术!$A:$ZZ,20,FALSE)+SUM(_xlfn.XLOOKUP(S224:AG224,增益!$A:$A,增益!$T:$T,0))</f>
        <v>1.782</v>
      </c>
      <c r="BO224" s="20">
        <f t="shared" si="42"/>
        <v>0.18601479</v>
      </c>
      <c r="BP224" s="20">
        <f t="shared" si="43"/>
        <v>0.27228132</v>
      </c>
      <c r="BQ224" s="20">
        <f>IF(VLOOKUP($R224,武学奇术!$A:$ZZ,22,FALSE)=1,0,(1-$BJ224))*(1-$BM224)</f>
        <v>0.09580389</v>
      </c>
      <c r="BR224" s="20" cm="1">
        <f t="array" ref="BR224">SUM(_xlfn.XLOOKUP(S224:AG224,增益!$A:$A,增益!$W:$W,0))+$I$5</f>
        <v>0.11</v>
      </c>
    </row>
    <row r="225" spans="11:70">
      <c r="K225" s="27">
        <f>$L225*VLOOKUP($R225,武学奇术!$A:$ZZ,31,FALSE)</f>
        <v>6737.46790053795</v>
      </c>
      <c r="L225" s="27">
        <f t="shared" si="33"/>
        <v>11229.1131675632</v>
      </c>
      <c r="M225" s="27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9191.02351494154</v>
      </c>
      <c r="N225" s="27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17027.2620818703</v>
      </c>
      <c r="O225" s="27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6127.34900996102</v>
      </c>
      <c r="P225" s="27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2699.55655983768</v>
      </c>
      <c r="Q225" s="35">
        <v>1</v>
      </c>
      <c r="R225" s="36" t="s">
        <v>163</v>
      </c>
      <c r="S225" s="36" t="s">
        <v>71</v>
      </c>
      <c r="T225" s="36" t="s">
        <v>99</v>
      </c>
      <c r="U225" s="36" t="s">
        <v>100</v>
      </c>
      <c r="V225" s="36" t="s">
        <v>71</v>
      </c>
      <c r="W225" s="36" t="s">
        <v>71</v>
      </c>
      <c r="X225" s="36" t="s">
        <v>71</v>
      </c>
      <c r="Y225" s="36" t="s">
        <v>71</v>
      </c>
      <c r="Z225" s="36" t="s">
        <v>71</v>
      </c>
      <c r="AA225" s="36" t="s">
        <v>71</v>
      </c>
      <c r="AB225" s="36" t="s">
        <v>71</v>
      </c>
      <c r="AC225" s="36" t="s">
        <v>71</v>
      </c>
      <c r="AD225" s="36" t="s">
        <v>72</v>
      </c>
      <c r="AE225" s="36" t="s">
        <v>94</v>
      </c>
      <c r="AF225" s="36" t="s">
        <v>154</v>
      </c>
      <c r="AG225" s="36" t="s">
        <v>120</v>
      </c>
      <c r="AH225" t="str">
        <f>VLOOKUP($R225,武学奇术!$A:$ZZ,25,FALSE)</f>
        <v>剑</v>
      </c>
      <c r="AI225" s="20">
        <f>VLOOKUP($R225,武学奇术!$A:$ZZ,26,FALSE)</f>
        <v>0.27456</v>
      </c>
      <c r="AJ225" s="21">
        <f>VLOOKUP($R225,武学奇术!$A:$ZZ,27,FALSE)*(1+IF(OR($AH225=$F$4,$AH225=$F$5),$B$22,0))</f>
        <v>0</v>
      </c>
      <c r="AK225" s="20">
        <f>VLOOKUP($R225,武学奇术!$A:$ZZ,28,FALSE)</f>
        <v>0.41184</v>
      </c>
      <c r="AL225" s="21">
        <f>VLOOKUP($R225,武学奇术!$A:$ZZ,29,FALSE)*(1+IF(OR($AH225=$F$4,$AH225=$F$5),$B$22,0))</f>
        <v>0</v>
      </c>
      <c r="AM225" s="20" cm="1">
        <f t="array" ref="AM225">$G$3+IFERROR(VLOOKUP($AH225,$F$4:$G$7,2,FALSE),0)+VLOOKUP($R225,武学奇术!$A:$ZZ,2,FALSE)+SUM(_xlfn.XLOOKUP($S225:$AG225,增益!$A:$A,增益!$B:$B,0))</f>
        <v>1.2391</v>
      </c>
      <c r="AN225" s="20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1517.52</v>
      </c>
      <c r="AP225" cm="1">
        <f t="array" ref="AP225">$E$10*(1+$AN225)+VLOOKUP($R225,武学奇术!$A:$ZZ,4,FALSE)+SUM(_xlfn.XLOOKUP($S225:$AG225,增益!$A:$A,增益!$D:$D,0))-$I$2</f>
        <v>6628.56</v>
      </c>
      <c r="AQ225" s="29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0.3175</v>
      </c>
      <c r="AR225" s="29" cm="1">
        <f t="array" ref="AR225">$G$10+VLOOKUP($R225,武学奇术!$A:$ZZ,7,FALSE)+SUM(_xlfn.XLOOKUP(S225:AG225,增益!$A:$A,增益!$G:$G,0))</f>
        <v>0</v>
      </c>
      <c r="AS225" s="20" cm="1">
        <f t="array" ref="AS225">VLOOKUP($R225,武学奇术!$A:$ZZ,8,FALSE)+SUM(_xlfn.XLOOKUP(S225:AG225,增益!$A:$A,增益!$H:$H,0))</f>
        <v>0</v>
      </c>
      <c r="AT225">
        <f t="shared" si="34"/>
        <v>538</v>
      </c>
      <c r="AU225">
        <f t="shared" si="35"/>
        <v>1011</v>
      </c>
      <c r="AV225" s="29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0.075</v>
      </c>
      <c r="AW225" s="29" cm="1">
        <f t="array" ref="AW225">$G$11+VLOOKUP($R225,武学奇术!$A:$ZZ,10,FALSE)+SUM(_xlfn.XLOOKUP(S225:AG225,增益!$A:$A,增益!$J:$J,0))</f>
        <v>0.15</v>
      </c>
      <c r="AX225">
        <f t="shared" si="36"/>
        <v>0</v>
      </c>
      <c r="AY225">
        <f t="shared" si="37"/>
        <v>0</v>
      </c>
      <c r="AZ225" s="29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29" cm="1">
        <f t="array" ref="BA225">$G$12+VLOOKUP($R225,武学奇术!$A:$ZZ,12,FALSE)+SUM(_xlfn.XLOOKUP(S225:AG225,增益!$A:$A,增益!$L:$L,0))</f>
        <v>0</v>
      </c>
      <c r="BB225">
        <f t="shared" si="38"/>
        <v>0</v>
      </c>
      <c r="BC225">
        <f t="shared" si="39"/>
        <v>0</v>
      </c>
      <c r="BD225" s="29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29" cm="1">
        <f t="array" ref="BE225">$G$13+VLOOKUP($R225,武学奇术!$A:$ZZ,14,FALSE)+SUM(_xlfn.XLOOKUP(S225:AG225,增益!$A:$A,增益!$N:$N,0))</f>
        <v>0</v>
      </c>
      <c r="BF225">
        <f t="shared" si="40"/>
        <v>0</v>
      </c>
      <c r="BG225">
        <f t="shared" si="41"/>
        <v>0</v>
      </c>
      <c r="BH225" s="29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29" cm="1">
        <f t="array" ref="BI225">$G$14+VLOOKUP($R225,武学奇术!$A:$ZZ,16,FALSE)+SUM(_xlfn.XLOOKUP(S225:AG225,增益!$A:$A,增益!$P:$P,0))</f>
        <v>0</v>
      </c>
      <c r="BJ225" s="20">
        <f>MIN(IF(VLOOKUP($R225,武学奇术!$A:$ZZ,23,FALSE)=1,100%,$B$8),100%)</f>
        <v>0.8271</v>
      </c>
      <c r="BK225" s="20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0.2249</v>
      </c>
      <c r="BL225" s="20" cm="1">
        <f t="array" ref="BL225">1+$B$13+VLOOKUP($R225,武学奇术!$A:$ZZ,18,FALSE)+SUM(_xlfn.XLOOKUP(S225:AG225,增益!$A:$A,增益!$R:$R,0))</f>
        <v>1.5</v>
      </c>
      <c r="BM225" s="20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0.4459</v>
      </c>
      <c r="BN225" s="20" cm="1">
        <f t="array" ref="BN225">1+$B$14+VLOOKUP($R225,武学奇术!$A:$ZZ,20,FALSE)+SUM(_xlfn.XLOOKUP(S225:AG225,增益!$A:$A,增益!$T:$T,0))</f>
        <v>1.782</v>
      </c>
      <c r="BO225" s="20">
        <f t="shared" si="42"/>
        <v>0.18601479</v>
      </c>
      <c r="BP225" s="20">
        <f t="shared" si="43"/>
        <v>0.27228132</v>
      </c>
      <c r="BQ225" s="20">
        <f>IF(VLOOKUP($R225,武学奇术!$A:$ZZ,22,FALSE)=1,0,(1-$BJ225))*(1-$BM225)</f>
        <v>0.09580389</v>
      </c>
      <c r="BR225" s="20" cm="1">
        <f t="array" ref="BR225">SUM(_xlfn.XLOOKUP(S225:AG225,增益!$A:$A,增益!$W:$W,0))+$I$5</f>
        <v>0.11</v>
      </c>
    </row>
    <row r="226" spans="11:70">
      <c r="K226" s="27">
        <f>$L226*VLOOKUP($R226,武学奇术!$A:$ZZ,31,FALSE)</f>
        <v>6737.46790053795</v>
      </c>
      <c r="L226" s="27">
        <f t="shared" si="33"/>
        <v>11229.1131675632</v>
      </c>
      <c r="M226" s="27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9191.02351494154</v>
      </c>
      <c r="N226" s="27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17027.2620818703</v>
      </c>
      <c r="O226" s="27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6127.34900996102</v>
      </c>
      <c r="P226" s="27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2699.55655983768</v>
      </c>
      <c r="Q226" s="35">
        <v>1</v>
      </c>
      <c r="R226" s="36" t="s">
        <v>163</v>
      </c>
      <c r="S226" s="36" t="s">
        <v>71</v>
      </c>
      <c r="T226" s="36" t="s">
        <v>99</v>
      </c>
      <c r="U226" s="36" t="s">
        <v>100</v>
      </c>
      <c r="V226" s="36" t="s">
        <v>71</v>
      </c>
      <c r="W226" s="36" t="s">
        <v>71</v>
      </c>
      <c r="X226" s="36" t="s">
        <v>71</v>
      </c>
      <c r="Y226" s="36" t="s">
        <v>71</v>
      </c>
      <c r="Z226" s="36" t="s">
        <v>71</v>
      </c>
      <c r="AA226" s="36" t="s">
        <v>71</v>
      </c>
      <c r="AB226" s="36" t="s">
        <v>71</v>
      </c>
      <c r="AC226" s="36" t="s">
        <v>71</v>
      </c>
      <c r="AD226" s="36" t="s">
        <v>72</v>
      </c>
      <c r="AE226" s="36" t="s">
        <v>94</v>
      </c>
      <c r="AF226" s="36" t="s">
        <v>154</v>
      </c>
      <c r="AG226" s="36" t="s">
        <v>120</v>
      </c>
      <c r="AH226" t="str">
        <f>VLOOKUP($R226,武学奇术!$A:$ZZ,25,FALSE)</f>
        <v>剑</v>
      </c>
      <c r="AI226" s="20">
        <f>VLOOKUP($R226,武学奇术!$A:$ZZ,26,FALSE)</f>
        <v>0.27456</v>
      </c>
      <c r="AJ226" s="21">
        <f>VLOOKUP($R226,武学奇术!$A:$ZZ,27,FALSE)*(1+IF(OR($AH226=$F$4,$AH226=$F$5),$B$22,0))</f>
        <v>0</v>
      </c>
      <c r="AK226" s="20">
        <f>VLOOKUP($R226,武学奇术!$A:$ZZ,28,FALSE)</f>
        <v>0.41184</v>
      </c>
      <c r="AL226" s="21">
        <f>VLOOKUP($R226,武学奇术!$A:$ZZ,29,FALSE)*(1+IF(OR($AH226=$F$4,$AH226=$F$5),$B$22,0))</f>
        <v>0</v>
      </c>
      <c r="AM226" s="20" cm="1">
        <f t="array" ref="AM226">$G$3+IFERROR(VLOOKUP($AH226,$F$4:$G$7,2,FALSE),0)+VLOOKUP($R226,武学奇术!$A:$ZZ,2,FALSE)+SUM(_xlfn.XLOOKUP($S226:$AG226,增益!$A:$A,增益!$B:$B,0))</f>
        <v>1.2391</v>
      </c>
      <c r="AN226" s="20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1517.52</v>
      </c>
      <c r="AP226" cm="1">
        <f t="array" ref="AP226">$E$10*(1+$AN226)+VLOOKUP($R226,武学奇术!$A:$ZZ,4,FALSE)+SUM(_xlfn.XLOOKUP($S226:$AG226,增益!$A:$A,增益!$D:$D,0))-$I$2</f>
        <v>6628.56</v>
      </c>
      <c r="AQ226" s="29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0.3175</v>
      </c>
      <c r="AR226" s="29" cm="1">
        <f t="array" ref="AR226">$G$10+VLOOKUP($R226,武学奇术!$A:$ZZ,7,FALSE)+SUM(_xlfn.XLOOKUP(S226:AG226,增益!$A:$A,增益!$G:$G,0))</f>
        <v>0</v>
      </c>
      <c r="AS226" s="20" cm="1">
        <f t="array" ref="AS226">VLOOKUP($R226,武学奇术!$A:$ZZ,8,FALSE)+SUM(_xlfn.XLOOKUP(S226:AG226,增益!$A:$A,增益!$H:$H,0))</f>
        <v>0</v>
      </c>
      <c r="AT226">
        <f t="shared" si="34"/>
        <v>538</v>
      </c>
      <c r="AU226">
        <f t="shared" si="35"/>
        <v>1011</v>
      </c>
      <c r="AV226" s="29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0.075</v>
      </c>
      <c r="AW226" s="29" cm="1">
        <f t="array" ref="AW226">$G$11+VLOOKUP($R226,武学奇术!$A:$ZZ,10,FALSE)+SUM(_xlfn.XLOOKUP(S226:AG226,增益!$A:$A,增益!$J:$J,0))</f>
        <v>0.15</v>
      </c>
      <c r="AX226">
        <f t="shared" si="36"/>
        <v>0</v>
      </c>
      <c r="AY226">
        <f t="shared" si="37"/>
        <v>0</v>
      </c>
      <c r="AZ226" s="29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-0.3</v>
      </c>
      <c r="BA226" s="29" cm="1">
        <f t="array" ref="BA226">$G$12+VLOOKUP($R226,武学奇术!$A:$ZZ,12,FALSE)+SUM(_xlfn.XLOOKUP(S226:AG226,增益!$A:$A,增益!$L:$L,0))</f>
        <v>0</v>
      </c>
      <c r="BB226">
        <f t="shared" si="38"/>
        <v>0</v>
      </c>
      <c r="BC226">
        <f t="shared" si="39"/>
        <v>0</v>
      </c>
      <c r="BD226" s="29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-0.3</v>
      </c>
      <c r="BE226" s="29" cm="1">
        <f t="array" ref="BE226">$G$13+VLOOKUP($R226,武学奇术!$A:$ZZ,14,FALSE)+SUM(_xlfn.XLOOKUP(S226:AG226,增益!$A:$A,增益!$N:$N,0))</f>
        <v>0</v>
      </c>
      <c r="BF226">
        <f t="shared" si="40"/>
        <v>0</v>
      </c>
      <c r="BG226">
        <f t="shared" si="41"/>
        <v>0</v>
      </c>
      <c r="BH226" s="29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-0.3</v>
      </c>
      <c r="BI226" s="29" cm="1">
        <f t="array" ref="BI226">$G$14+VLOOKUP($R226,武学奇术!$A:$ZZ,16,FALSE)+SUM(_xlfn.XLOOKUP(S226:AG226,增益!$A:$A,增益!$P:$P,0))</f>
        <v>0</v>
      </c>
      <c r="BJ226" s="20">
        <f>MIN(IF(VLOOKUP($R226,武学奇术!$A:$ZZ,23,FALSE)=1,100%,$B$8),100%)</f>
        <v>0.8271</v>
      </c>
      <c r="BK226" s="20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0.2249</v>
      </c>
      <c r="BL226" s="20" cm="1">
        <f t="array" ref="BL226">1+$B$13+VLOOKUP($R226,武学奇术!$A:$ZZ,18,FALSE)+SUM(_xlfn.XLOOKUP(S226:AG226,增益!$A:$A,增益!$R:$R,0))</f>
        <v>1.5</v>
      </c>
      <c r="BM226" s="20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0.4459</v>
      </c>
      <c r="BN226" s="20" cm="1">
        <f t="array" ref="BN226">1+$B$14+VLOOKUP($R226,武学奇术!$A:$ZZ,20,FALSE)+SUM(_xlfn.XLOOKUP(S226:AG226,增益!$A:$A,增益!$T:$T,0))</f>
        <v>1.782</v>
      </c>
      <c r="BO226" s="20">
        <f t="shared" si="42"/>
        <v>0.18601479</v>
      </c>
      <c r="BP226" s="20">
        <f t="shared" si="43"/>
        <v>0.27228132</v>
      </c>
      <c r="BQ226" s="20">
        <f>IF(VLOOKUP($R226,武学奇术!$A:$ZZ,22,FALSE)=1,0,(1-$BJ226))*(1-$BM226)</f>
        <v>0.09580389</v>
      </c>
      <c r="BR226" s="20" cm="1">
        <f t="array" ref="BR226">SUM(_xlfn.XLOOKUP(S226:AG226,增益!$A:$A,增益!$W:$W,0))+$I$5</f>
        <v>0.11</v>
      </c>
    </row>
    <row r="227" spans="11:70">
      <c r="K227" s="27">
        <f>$L227*VLOOKUP($R227,武学奇术!$A:$ZZ,31,FALSE)</f>
        <v>4210.91743783622</v>
      </c>
      <c r="L227" s="27">
        <f t="shared" si="33"/>
        <v>7018.19572972703</v>
      </c>
      <c r="M227" s="27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5744.38969683846</v>
      </c>
      <c r="N227" s="27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10642.038801169</v>
      </c>
      <c r="O227" s="27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3829.59313122564</v>
      </c>
      <c r="P227" s="27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1687.22284989855</v>
      </c>
      <c r="Q227" s="35">
        <v>1</v>
      </c>
      <c r="R227" s="36" t="s">
        <v>164</v>
      </c>
      <c r="S227" s="36" t="s">
        <v>71</v>
      </c>
      <c r="T227" s="36" t="s">
        <v>99</v>
      </c>
      <c r="U227" s="36" t="s">
        <v>100</v>
      </c>
      <c r="V227" s="36" t="s">
        <v>71</v>
      </c>
      <c r="W227" s="36" t="s">
        <v>71</v>
      </c>
      <c r="X227" s="36" t="s">
        <v>71</v>
      </c>
      <c r="Y227" s="36" t="s">
        <v>71</v>
      </c>
      <c r="Z227" s="36" t="s">
        <v>71</v>
      </c>
      <c r="AA227" s="36" t="s">
        <v>71</v>
      </c>
      <c r="AB227" s="36" t="s">
        <v>71</v>
      </c>
      <c r="AC227" s="36" t="s">
        <v>71</v>
      </c>
      <c r="AD227" s="36" t="s">
        <v>72</v>
      </c>
      <c r="AE227" s="36" t="s">
        <v>94</v>
      </c>
      <c r="AF227" s="36" t="s">
        <v>154</v>
      </c>
      <c r="AG227" s="36" t="s">
        <v>120</v>
      </c>
      <c r="AH227" t="str">
        <f>VLOOKUP($R227,武学奇术!$A:$ZZ,25,FALSE)</f>
        <v>剑</v>
      </c>
      <c r="AI227" s="20">
        <f>VLOOKUP($R227,武学奇术!$A:$ZZ,26,FALSE)</f>
        <v>0.1716</v>
      </c>
      <c r="AJ227" s="21">
        <f>VLOOKUP($R227,武学奇术!$A:$ZZ,27,FALSE)*(1+IF(OR($AH227=$F$4,$AH227=$F$5),$B$22,0))</f>
        <v>0</v>
      </c>
      <c r="AK227" s="20">
        <f>VLOOKUP($R227,武学奇术!$A:$ZZ,28,FALSE)</f>
        <v>0.2574</v>
      </c>
      <c r="AL227" s="21">
        <f>VLOOKUP($R227,武学奇术!$A:$ZZ,29,FALSE)*(1+IF(OR($AH227=$F$4,$AH227=$F$5),$B$22,0))</f>
        <v>0</v>
      </c>
      <c r="AM227" s="20" cm="1">
        <f t="array" ref="AM227">$G$3+IFERROR(VLOOKUP($AH227,$F$4:$G$7,2,FALSE),0)+VLOOKUP($R227,武学奇术!$A:$ZZ,2,FALSE)+SUM(_xlfn.XLOOKUP($S227:$AG227,增益!$A:$A,增益!$B:$B,0))</f>
        <v>1.2391</v>
      </c>
      <c r="AN227" s="20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1517.52</v>
      </c>
      <c r="AP227" cm="1">
        <f t="array" ref="AP227">$E$10*(1+$AN227)+VLOOKUP($R227,武学奇术!$A:$ZZ,4,FALSE)+SUM(_xlfn.XLOOKUP($S227:$AG227,增益!$A:$A,增益!$D:$D,0))-$I$2</f>
        <v>6628.56</v>
      </c>
      <c r="AQ227" s="29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0.3175</v>
      </c>
      <c r="AR227" s="29" cm="1">
        <f t="array" ref="AR227">$G$10+VLOOKUP($R227,武学奇术!$A:$ZZ,7,FALSE)+SUM(_xlfn.XLOOKUP(S227:AG227,增益!$A:$A,增益!$G:$G,0))</f>
        <v>0</v>
      </c>
      <c r="AS227" s="20" cm="1">
        <f t="array" ref="AS227">VLOOKUP($R227,武学奇术!$A:$ZZ,8,FALSE)+SUM(_xlfn.XLOOKUP(S227:AG227,增益!$A:$A,增益!$H:$H,0))</f>
        <v>0</v>
      </c>
      <c r="AT227">
        <f t="shared" si="34"/>
        <v>538</v>
      </c>
      <c r="AU227">
        <f t="shared" si="35"/>
        <v>1011</v>
      </c>
      <c r="AV227" s="29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0.075</v>
      </c>
      <c r="AW227" s="29" cm="1">
        <f t="array" ref="AW227">$G$11+VLOOKUP($R227,武学奇术!$A:$ZZ,10,FALSE)+SUM(_xlfn.XLOOKUP(S227:AG227,增益!$A:$A,增益!$J:$J,0))</f>
        <v>0.15</v>
      </c>
      <c r="AX227">
        <f t="shared" si="36"/>
        <v>0</v>
      </c>
      <c r="AY227">
        <f t="shared" si="37"/>
        <v>0</v>
      </c>
      <c r="AZ227" s="29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-0.3</v>
      </c>
      <c r="BA227" s="29" cm="1">
        <f t="array" ref="BA227">$G$12+VLOOKUP($R227,武学奇术!$A:$ZZ,12,FALSE)+SUM(_xlfn.XLOOKUP(S227:AG227,增益!$A:$A,增益!$L:$L,0))</f>
        <v>0</v>
      </c>
      <c r="BB227">
        <f t="shared" si="38"/>
        <v>0</v>
      </c>
      <c r="BC227">
        <f t="shared" si="39"/>
        <v>0</v>
      </c>
      <c r="BD227" s="29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-0.3</v>
      </c>
      <c r="BE227" s="29" cm="1">
        <f t="array" ref="BE227">$G$13+VLOOKUP($R227,武学奇术!$A:$ZZ,14,FALSE)+SUM(_xlfn.XLOOKUP(S227:AG227,增益!$A:$A,增益!$N:$N,0))</f>
        <v>0</v>
      </c>
      <c r="BF227">
        <f t="shared" si="40"/>
        <v>0</v>
      </c>
      <c r="BG227">
        <f t="shared" si="41"/>
        <v>0</v>
      </c>
      <c r="BH227" s="29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-0.3</v>
      </c>
      <c r="BI227" s="29" cm="1">
        <f t="array" ref="BI227">$G$14+VLOOKUP($R227,武学奇术!$A:$ZZ,16,FALSE)+SUM(_xlfn.XLOOKUP(S227:AG227,增益!$A:$A,增益!$P:$P,0))</f>
        <v>0</v>
      </c>
      <c r="BJ227" s="20">
        <f>MIN(IF(VLOOKUP($R227,武学奇术!$A:$ZZ,23,FALSE)=1,100%,$B$8),100%)</f>
        <v>0.8271</v>
      </c>
      <c r="BK227" s="20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0.2249</v>
      </c>
      <c r="BL227" s="20" cm="1">
        <f t="array" ref="BL227">1+$B$13+VLOOKUP($R227,武学奇术!$A:$ZZ,18,FALSE)+SUM(_xlfn.XLOOKUP(S227:AG227,增益!$A:$A,增益!$R:$R,0))</f>
        <v>1.5</v>
      </c>
      <c r="BM227" s="20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0.4459</v>
      </c>
      <c r="BN227" s="20" cm="1">
        <f t="array" ref="BN227">1+$B$14+VLOOKUP($R227,武学奇术!$A:$ZZ,20,FALSE)+SUM(_xlfn.XLOOKUP(S227:AG227,增益!$A:$A,增益!$T:$T,0))</f>
        <v>1.782</v>
      </c>
      <c r="BO227" s="20">
        <f t="shared" si="42"/>
        <v>0.18601479</v>
      </c>
      <c r="BP227" s="20">
        <f t="shared" si="43"/>
        <v>0.27228132</v>
      </c>
      <c r="BQ227" s="20">
        <f>IF(VLOOKUP($R227,武学奇术!$A:$ZZ,22,FALSE)=1,0,(1-$BJ227))*(1-$BM227)</f>
        <v>0.09580389</v>
      </c>
      <c r="BR227" s="20" cm="1">
        <f t="array" ref="BR227">SUM(_xlfn.XLOOKUP(S227:AG227,增益!$A:$A,增益!$W:$W,0))+$I$5</f>
        <v>0.11</v>
      </c>
    </row>
    <row r="228" spans="11:70">
      <c r="K228" s="27">
        <f>$L228*VLOOKUP($R228,武学奇术!$A:$ZZ,31,FALSE)</f>
        <v>8461.61411788712</v>
      </c>
      <c r="L228" s="27">
        <f t="shared" si="33"/>
        <v>14102.6901964785</v>
      </c>
      <c r="M228" s="27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11557.7590864743</v>
      </c>
      <c r="N228" s="27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21366.0254773812</v>
      </c>
      <c r="O228" s="27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7705.1727243162</v>
      </c>
      <c r="P228" s="27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3420.43216166202</v>
      </c>
      <c r="Q228" s="35">
        <v>1</v>
      </c>
      <c r="R228" s="36" t="s">
        <v>162</v>
      </c>
      <c r="S228" s="36" t="s">
        <v>71</v>
      </c>
      <c r="T228" s="36" t="s">
        <v>99</v>
      </c>
      <c r="U228" s="36" t="s">
        <v>100</v>
      </c>
      <c r="V228" s="36" t="s">
        <v>71</v>
      </c>
      <c r="W228" s="36" t="s">
        <v>111</v>
      </c>
      <c r="X228" s="36" t="s">
        <v>71</v>
      </c>
      <c r="Y228" s="36" t="s">
        <v>71</v>
      </c>
      <c r="Z228" s="36" t="s">
        <v>71</v>
      </c>
      <c r="AA228" s="36" t="s">
        <v>71</v>
      </c>
      <c r="AB228" s="36" t="s">
        <v>71</v>
      </c>
      <c r="AC228" s="36" t="s">
        <v>71</v>
      </c>
      <c r="AD228" s="36" t="s">
        <v>72</v>
      </c>
      <c r="AE228" s="36" t="s">
        <v>94</v>
      </c>
      <c r="AF228" s="36" t="s">
        <v>154</v>
      </c>
      <c r="AG228" s="36" t="s">
        <v>120</v>
      </c>
      <c r="AH228" t="str">
        <f>VLOOKUP($R228,武学奇术!$A:$ZZ,25,FALSE)</f>
        <v>剑</v>
      </c>
      <c r="AI228" s="20">
        <f>VLOOKUP($R228,武学奇术!$A:$ZZ,26,FALSE)</f>
        <v>0.3432</v>
      </c>
      <c r="AJ228" s="21">
        <f>VLOOKUP($R228,武学奇术!$A:$ZZ,27,FALSE)*(1+IF(OR($AH228=$F$4,$AH228=$F$5),$B$22,0))</f>
        <v>0</v>
      </c>
      <c r="AK228" s="20">
        <f>VLOOKUP($R228,武学奇术!$A:$ZZ,28,FALSE)</f>
        <v>0.5148</v>
      </c>
      <c r="AL228" s="21">
        <f>VLOOKUP($R228,武学奇术!$A:$ZZ,29,FALSE)*(1+IF(OR($AH228=$F$4,$AH228=$F$5),$B$22,0))</f>
        <v>0</v>
      </c>
      <c r="AM228" s="20" cm="1">
        <f t="array" ref="AM228">$G$3+IFERROR(VLOOKUP($AH228,$F$4:$G$7,2,FALSE),0)+VLOOKUP($R228,武学奇术!$A:$ZZ,2,FALSE)+SUM(_xlfn.XLOOKUP($S228:$AG228,增益!$A:$A,增益!$B:$B,0))</f>
        <v>1.2391</v>
      </c>
      <c r="AN228" s="20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1548.52</v>
      </c>
      <c r="AP228" cm="1">
        <f t="array" ref="AP228">$E$10*(1+$AN228)+VLOOKUP($R228,武学奇术!$A:$ZZ,4,FALSE)+SUM(_xlfn.XLOOKUP($S228:$AG228,增益!$A:$A,增益!$D:$D,0))-$I$2</f>
        <v>6659.56</v>
      </c>
      <c r="AQ228" s="29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0.3175</v>
      </c>
      <c r="AR228" s="29" cm="1">
        <f t="array" ref="AR228">$G$10+VLOOKUP($R228,武学奇术!$A:$ZZ,7,FALSE)+SUM(_xlfn.XLOOKUP(S228:AG228,增益!$A:$A,增益!$G:$G,0))</f>
        <v>0</v>
      </c>
      <c r="AS228" s="20" cm="1">
        <f t="array" ref="AS228">VLOOKUP($R228,武学奇术!$A:$ZZ,8,FALSE)+SUM(_xlfn.XLOOKUP(S228:AG228,增益!$A:$A,增益!$H:$H,0))</f>
        <v>0</v>
      </c>
      <c r="AT228">
        <f t="shared" si="34"/>
        <v>538</v>
      </c>
      <c r="AU228">
        <f t="shared" si="35"/>
        <v>1011</v>
      </c>
      <c r="AV228" s="29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0.075</v>
      </c>
      <c r="AW228" s="29" cm="1">
        <f t="array" ref="AW228">$G$11+VLOOKUP($R228,武学奇术!$A:$ZZ,10,FALSE)+SUM(_xlfn.XLOOKUP(S228:AG228,增益!$A:$A,增益!$J:$J,0))</f>
        <v>0.15</v>
      </c>
      <c r="AX228">
        <f t="shared" si="36"/>
        <v>0</v>
      </c>
      <c r="AY228">
        <f t="shared" si="37"/>
        <v>0</v>
      </c>
      <c r="AZ228" s="29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-0.3</v>
      </c>
      <c r="BA228" s="29" cm="1">
        <f t="array" ref="BA228">$G$12+VLOOKUP($R228,武学奇术!$A:$ZZ,12,FALSE)+SUM(_xlfn.XLOOKUP(S228:AG228,增益!$A:$A,增益!$L:$L,0))</f>
        <v>0</v>
      </c>
      <c r="BB228">
        <f t="shared" si="38"/>
        <v>0</v>
      </c>
      <c r="BC228">
        <f t="shared" si="39"/>
        <v>0</v>
      </c>
      <c r="BD228" s="29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-0.3</v>
      </c>
      <c r="BE228" s="29" cm="1">
        <f t="array" ref="BE228">$G$13+VLOOKUP($R228,武学奇术!$A:$ZZ,14,FALSE)+SUM(_xlfn.XLOOKUP(S228:AG228,增益!$A:$A,增益!$N:$N,0))</f>
        <v>0</v>
      </c>
      <c r="BF228">
        <f t="shared" si="40"/>
        <v>0</v>
      </c>
      <c r="BG228">
        <f t="shared" si="41"/>
        <v>0</v>
      </c>
      <c r="BH228" s="29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-0.3</v>
      </c>
      <c r="BI228" s="29" cm="1">
        <f t="array" ref="BI228">$G$14+VLOOKUP($R228,武学奇术!$A:$ZZ,16,FALSE)+SUM(_xlfn.XLOOKUP(S228:AG228,增益!$A:$A,增益!$P:$P,0))</f>
        <v>0</v>
      </c>
      <c r="BJ228" s="20">
        <f>MIN(IF(VLOOKUP($R228,武学奇术!$A:$ZZ,23,FALSE)=1,100%,$B$8),100%)</f>
        <v>0.8271</v>
      </c>
      <c r="BK228" s="20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0.2249</v>
      </c>
      <c r="BL228" s="20" cm="1">
        <f t="array" ref="BL228">1+$B$13+VLOOKUP($R228,武学奇术!$A:$ZZ,18,FALSE)+SUM(_xlfn.XLOOKUP(S228:AG228,增益!$A:$A,增益!$R:$R,0))</f>
        <v>1.5</v>
      </c>
      <c r="BM228" s="20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0.4459</v>
      </c>
      <c r="BN228" s="20" cm="1">
        <f t="array" ref="BN228">1+$B$14+VLOOKUP($R228,武学奇术!$A:$ZZ,20,FALSE)+SUM(_xlfn.XLOOKUP(S228:AG228,增益!$A:$A,增益!$T:$T,0))</f>
        <v>1.782</v>
      </c>
      <c r="BO228" s="20">
        <f t="shared" si="42"/>
        <v>0.18601479</v>
      </c>
      <c r="BP228" s="20">
        <f t="shared" si="43"/>
        <v>0.27228132</v>
      </c>
      <c r="BQ228" s="20">
        <f>IF(VLOOKUP($R228,武学奇术!$A:$ZZ,22,FALSE)=1,0,(1-$BJ228))*(1-$BM228)</f>
        <v>0.09580389</v>
      </c>
      <c r="BR228" s="20" cm="1">
        <f t="array" ref="BR228">SUM(_xlfn.XLOOKUP(S228:AG228,增益!$A:$A,增益!$W:$W,0))+$I$5</f>
        <v>0.11</v>
      </c>
    </row>
    <row r="229" spans="11:70">
      <c r="K229" s="27">
        <f>$L229*VLOOKUP($R229,武学奇术!$A:$ZZ,31,FALSE)</f>
        <v>6769.2912943097</v>
      </c>
      <c r="L229" s="27">
        <f t="shared" si="33"/>
        <v>11282.1521571828</v>
      </c>
      <c r="M229" s="27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9246.20726917944</v>
      </c>
      <c r="N229" s="27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17092.820381905</v>
      </c>
      <c r="O229" s="27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6164.13817945296</v>
      </c>
      <c r="P229" s="27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2736.34572932961</v>
      </c>
      <c r="Q229" s="35">
        <v>1</v>
      </c>
      <c r="R229" s="36" t="s">
        <v>163</v>
      </c>
      <c r="S229" s="36" t="s">
        <v>71</v>
      </c>
      <c r="T229" s="36" t="s">
        <v>99</v>
      </c>
      <c r="U229" s="36" t="s">
        <v>100</v>
      </c>
      <c r="V229" s="36" t="s">
        <v>71</v>
      </c>
      <c r="W229" s="36" t="s">
        <v>111</v>
      </c>
      <c r="X229" s="36" t="s">
        <v>71</v>
      </c>
      <c r="Y229" s="36" t="s">
        <v>71</v>
      </c>
      <c r="Z229" s="36" t="s">
        <v>71</v>
      </c>
      <c r="AA229" s="36" t="s">
        <v>71</v>
      </c>
      <c r="AB229" s="36" t="s">
        <v>71</v>
      </c>
      <c r="AC229" s="36" t="s">
        <v>71</v>
      </c>
      <c r="AD229" s="36" t="s">
        <v>72</v>
      </c>
      <c r="AE229" s="36" t="s">
        <v>94</v>
      </c>
      <c r="AF229" s="36" t="s">
        <v>154</v>
      </c>
      <c r="AG229" s="36" t="s">
        <v>120</v>
      </c>
      <c r="AH229" t="str">
        <f>VLOOKUP($R229,武学奇术!$A:$ZZ,25,FALSE)</f>
        <v>剑</v>
      </c>
      <c r="AI229" s="20">
        <f>VLOOKUP($R229,武学奇术!$A:$ZZ,26,FALSE)</f>
        <v>0.27456</v>
      </c>
      <c r="AJ229" s="21">
        <f>VLOOKUP($R229,武学奇术!$A:$ZZ,27,FALSE)*(1+IF(OR($AH229=$F$4,$AH229=$F$5),$B$22,0))</f>
        <v>0</v>
      </c>
      <c r="AK229" s="20">
        <f>VLOOKUP($R229,武学奇术!$A:$ZZ,28,FALSE)</f>
        <v>0.41184</v>
      </c>
      <c r="AL229" s="21">
        <f>VLOOKUP($R229,武学奇术!$A:$ZZ,29,FALSE)*(1+IF(OR($AH229=$F$4,$AH229=$F$5),$B$22,0))</f>
        <v>0</v>
      </c>
      <c r="AM229" s="20" cm="1">
        <f t="array" ref="AM229">$G$3+IFERROR(VLOOKUP($AH229,$F$4:$G$7,2,FALSE),0)+VLOOKUP($R229,武学奇术!$A:$ZZ,2,FALSE)+SUM(_xlfn.XLOOKUP($S229:$AG229,增益!$A:$A,增益!$B:$B,0))</f>
        <v>1.2391</v>
      </c>
      <c r="AN229" s="20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1548.52</v>
      </c>
      <c r="AP229" cm="1">
        <f t="array" ref="AP229">$E$10*(1+$AN229)+VLOOKUP($R229,武学奇术!$A:$ZZ,4,FALSE)+SUM(_xlfn.XLOOKUP($S229:$AG229,增益!$A:$A,增益!$D:$D,0))-$I$2</f>
        <v>6659.56</v>
      </c>
      <c r="AQ229" s="29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0.3175</v>
      </c>
      <c r="AR229" s="29" cm="1">
        <f t="array" ref="AR229">$G$10+VLOOKUP($R229,武学奇术!$A:$ZZ,7,FALSE)+SUM(_xlfn.XLOOKUP(S229:AG229,增益!$A:$A,增益!$G:$G,0))</f>
        <v>0</v>
      </c>
      <c r="AS229" s="20" cm="1">
        <f t="array" ref="AS229">VLOOKUP($R229,武学奇术!$A:$ZZ,8,FALSE)+SUM(_xlfn.XLOOKUP(S229:AG229,增益!$A:$A,增益!$H:$H,0))</f>
        <v>0</v>
      </c>
      <c r="AT229">
        <f t="shared" si="34"/>
        <v>538</v>
      </c>
      <c r="AU229">
        <f t="shared" si="35"/>
        <v>1011</v>
      </c>
      <c r="AV229" s="29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0.075</v>
      </c>
      <c r="AW229" s="29" cm="1">
        <f t="array" ref="AW229">$G$11+VLOOKUP($R229,武学奇术!$A:$ZZ,10,FALSE)+SUM(_xlfn.XLOOKUP(S229:AG229,增益!$A:$A,增益!$J:$J,0))</f>
        <v>0.15</v>
      </c>
      <c r="AX229">
        <f t="shared" si="36"/>
        <v>0</v>
      </c>
      <c r="AY229">
        <f t="shared" si="37"/>
        <v>0</v>
      </c>
      <c r="AZ229" s="29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-0.3</v>
      </c>
      <c r="BA229" s="29" cm="1">
        <f t="array" ref="BA229">$G$12+VLOOKUP($R229,武学奇术!$A:$ZZ,12,FALSE)+SUM(_xlfn.XLOOKUP(S229:AG229,增益!$A:$A,增益!$L:$L,0))</f>
        <v>0</v>
      </c>
      <c r="BB229">
        <f t="shared" si="38"/>
        <v>0</v>
      </c>
      <c r="BC229">
        <f t="shared" si="39"/>
        <v>0</v>
      </c>
      <c r="BD229" s="29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-0.3</v>
      </c>
      <c r="BE229" s="29" cm="1">
        <f t="array" ref="BE229">$G$13+VLOOKUP($R229,武学奇术!$A:$ZZ,14,FALSE)+SUM(_xlfn.XLOOKUP(S229:AG229,增益!$A:$A,增益!$N:$N,0))</f>
        <v>0</v>
      </c>
      <c r="BF229">
        <f t="shared" si="40"/>
        <v>0</v>
      </c>
      <c r="BG229">
        <f t="shared" si="41"/>
        <v>0</v>
      </c>
      <c r="BH229" s="29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-0.3</v>
      </c>
      <c r="BI229" s="29" cm="1">
        <f t="array" ref="BI229">$G$14+VLOOKUP($R229,武学奇术!$A:$ZZ,16,FALSE)+SUM(_xlfn.XLOOKUP(S229:AG229,增益!$A:$A,增益!$P:$P,0))</f>
        <v>0</v>
      </c>
      <c r="BJ229" s="20">
        <f>MIN(IF(VLOOKUP($R229,武学奇术!$A:$ZZ,23,FALSE)=1,100%,$B$8),100%)</f>
        <v>0.8271</v>
      </c>
      <c r="BK229" s="20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0.2249</v>
      </c>
      <c r="BL229" s="20" cm="1">
        <f t="array" ref="BL229">1+$B$13+VLOOKUP($R229,武学奇术!$A:$ZZ,18,FALSE)+SUM(_xlfn.XLOOKUP(S229:AG229,增益!$A:$A,增益!$R:$R,0))</f>
        <v>1.5</v>
      </c>
      <c r="BM229" s="20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0.4459</v>
      </c>
      <c r="BN229" s="20" cm="1">
        <f t="array" ref="BN229">1+$B$14+VLOOKUP($R229,武学奇术!$A:$ZZ,20,FALSE)+SUM(_xlfn.XLOOKUP(S229:AG229,增益!$A:$A,增益!$T:$T,0))</f>
        <v>1.782</v>
      </c>
      <c r="BO229" s="20">
        <f t="shared" si="42"/>
        <v>0.18601479</v>
      </c>
      <c r="BP229" s="20">
        <f t="shared" si="43"/>
        <v>0.27228132</v>
      </c>
      <c r="BQ229" s="20">
        <f>IF(VLOOKUP($R229,武学奇术!$A:$ZZ,22,FALSE)=1,0,(1-$BJ229))*(1-$BM229)</f>
        <v>0.09580389</v>
      </c>
      <c r="BR229" s="20" cm="1">
        <f t="array" ref="BR229">SUM(_xlfn.XLOOKUP(S229:AG229,增益!$A:$A,增益!$W:$W,0))+$I$5</f>
        <v>0.11</v>
      </c>
    </row>
    <row r="230" spans="11:70">
      <c r="K230" s="27">
        <f>$L230*VLOOKUP($R230,武学奇术!$A:$ZZ,31,FALSE)</f>
        <v>4230.80705894356</v>
      </c>
      <c r="L230" s="27">
        <f t="shared" si="33"/>
        <v>7051.34509823927</v>
      </c>
      <c r="M230" s="27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5778.87954323715</v>
      </c>
      <c r="N230" s="27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10683.0127386906</v>
      </c>
      <c r="O230" s="27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3852.5863621581</v>
      </c>
      <c r="P230" s="27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1710.21608083101</v>
      </c>
      <c r="Q230" s="35">
        <v>1</v>
      </c>
      <c r="R230" s="36" t="s">
        <v>164</v>
      </c>
      <c r="S230" s="36" t="s">
        <v>71</v>
      </c>
      <c r="T230" s="36" t="s">
        <v>99</v>
      </c>
      <c r="U230" s="36" t="s">
        <v>100</v>
      </c>
      <c r="V230" s="36" t="s">
        <v>71</v>
      </c>
      <c r="W230" s="36" t="s">
        <v>111</v>
      </c>
      <c r="X230" s="36" t="s">
        <v>71</v>
      </c>
      <c r="Y230" s="36" t="s">
        <v>71</v>
      </c>
      <c r="Z230" s="36" t="s">
        <v>71</v>
      </c>
      <c r="AA230" s="36" t="s">
        <v>71</v>
      </c>
      <c r="AB230" s="36" t="s">
        <v>71</v>
      </c>
      <c r="AC230" s="36" t="s">
        <v>71</v>
      </c>
      <c r="AD230" s="36" t="s">
        <v>72</v>
      </c>
      <c r="AE230" s="36" t="s">
        <v>94</v>
      </c>
      <c r="AF230" s="36" t="s">
        <v>154</v>
      </c>
      <c r="AG230" s="36" t="s">
        <v>120</v>
      </c>
      <c r="AH230" t="str">
        <f>VLOOKUP($R230,武学奇术!$A:$ZZ,25,FALSE)</f>
        <v>剑</v>
      </c>
      <c r="AI230" s="20">
        <f>VLOOKUP($R230,武学奇术!$A:$ZZ,26,FALSE)</f>
        <v>0.1716</v>
      </c>
      <c r="AJ230" s="21">
        <f>VLOOKUP($R230,武学奇术!$A:$ZZ,27,FALSE)*(1+IF(OR($AH230=$F$4,$AH230=$F$5),$B$22,0))</f>
        <v>0</v>
      </c>
      <c r="AK230" s="20">
        <f>VLOOKUP($R230,武学奇术!$A:$ZZ,28,FALSE)</f>
        <v>0.2574</v>
      </c>
      <c r="AL230" s="21">
        <f>VLOOKUP($R230,武学奇术!$A:$ZZ,29,FALSE)*(1+IF(OR($AH230=$F$4,$AH230=$F$5),$B$22,0))</f>
        <v>0</v>
      </c>
      <c r="AM230" s="20" cm="1">
        <f t="array" ref="AM230">$G$3+IFERROR(VLOOKUP($AH230,$F$4:$G$7,2,FALSE),0)+VLOOKUP($R230,武学奇术!$A:$ZZ,2,FALSE)+SUM(_xlfn.XLOOKUP($S230:$AG230,增益!$A:$A,增益!$B:$B,0))</f>
        <v>1.2391</v>
      </c>
      <c r="AN230" s="20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1548.52</v>
      </c>
      <c r="AP230" cm="1">
        <f t="array" ref="AP230">$E$10*(1+$AN230)+VLOOKUP($R230,武学奇术!$A:$ZZ,4,FALSE)+SUM(_xlfn.XLOOKUP($S230:$AG230,增益!$A:$A,增益!$D:$D,0))-$I$2</f>
        <v>6659.56</v>
      </c>
      <c r="AQ230" s="29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0.3175</v>
      </c>
      <c r="AR230" s="29" cm="1">
        <f t="array" ref="AR230">$G$10+VLOOKUP($R230,武学奇术!$A:$ZZ,7,FALSE)+SUM(_xlfn.XLOOKUP(S230:AG230,增益!$A:$A,增益!$G:$G,0))</f>
        <v>0</v>
      </c>
      <c r="AS230" s="20" cm="1">
        <f t="array" ref="AS230">VLOOKUP($R230,武学奇术!$A:$ZZ,8,FALSE)+SUM(_xlfn.XLOOKUP(S230:AG230,增益!$A:$A,增益!$H:$H,0))</f>
        <v>0</v>
      </c>
      <c r="AT230">
        <f t="shared" si="34"/>
        <v>538</v>
      </c>
      <c r="AU230">
        <f t="shared" si="35"/>
        <v>1011</v>
      </c>
      <c r="AV230" s="29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0.075</v>
      </c>
      <c r="AW230" s="29" cm="1">
        <f t="array" ref="AW230">$G$11+VLOOKUP($R230,武学奇术!$A:$ZZ,10,FALSE)+SUM(_xlfn.XLOOKUP(S230:AG230,增益!$A:$A,增益!$J:$J,0))</f>
        <v>0.15</v>
      </c>
      <c r="AX230">
        <f t="shared" si="36"/>
        <v>0</v>
      </c>
      <c r="AY230">
        <f t="shared" si="37"/>
        <v>0</v>
      </c>
      <c r="AZ230" s="29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-0.3</v>
      </c>
      <c r="BA230" s="29" cm="1">
        <f t="array" ref="BA230">$G$12+VLOOKUP($R230,武学奇术!$A:$ZZ,12,FALSE)+SUM(_xlfn.XLOOKUP(S230:AG230,增益!$A:$A,增益!$L:$L,0))</f>
        <v>0</v>
      </c>
      <c r="BB230">
        <f t="shared" si="38"/>
        <v>0</v>
      </c>
      <c r="BC230">
        <f t="shared" si="39"/>
        <v>0</v>
      </c>
      <c r="BD230" s="29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-0.3</v>
      </c>
      <c r="BE230" s="29" cm="1">
        <f t="array" ref="BE230">$G$13+VLOOKUP($R230,武学奇术!$A:$ZZ,14,FALSE)+SUM(_xlfn.XLOOKUP(S230:AG230,增益!$A:$A,增益!$N:$N,0))</f>
        <v>0</v>
      </c>
      <c r="BF230">
        <f t="shared" si="40"/>
        <v>0</v>
      </c>
      <c r="BG230">
        <f t="shared" si="41"/>
        <v>0</v>
      </c>
      <c r="BH230" s="29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-0.3</v>
      </c>
      <c r="BI230" s="29" cm="1">
        <f t="array" ref="BI230">$G$14+VLOOKUP($R230,武学奇术!$A:$ZZ,16,FALSE)+SUM(_xlfn.XLOOKUP(S230:AG230,增益!$A:$A,增益!$P:$P,0))</f>
        <v>0</v>
      </c>
      <c r="BJ230" s="20">
        <f>MIN(IF(VLOOKUP($R230,武学奇术!$A:$ZZ,23,FALSE)=1,100%,$B$8),100%)</f>
        <v>0.8271</v>
      </c>
      <c r="BK230" s="20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0.2249</v>
      </c>
      <c r="BL230" s="20" cm="1">
        <f t="array" ref="BL230">1+$B$13+VLOOKUP($R230,武学奇术!$A:$ZZ,18,FALSE)+SUM(_xlfn.XLOOKUP(S230:AG230,增益!$A:$A,增益!$R:$R,0))</f>
        <v>1.5</v>
      </c>
      <c r="BM230" s="20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0.4459</v>
      </c>
      <c r="BN230" s="20" cm="1">
        <f t="array" ref="BN230">1+$B$14+VLOOKUP($R230,武学奇术!$A:$ZZ,20,FALSE)+SUM(_xlfn.XLOOKUP(S230:AG230,增益!$A:$A,增益!$T:$T,0))</f>
        <v>1.782</v>
      </c>
      <c r="BO230" s="20">
        <f t="shared" si="42"/>
        <v>0.18601479</v>
      </c>
      <c r="BP230" s="20">
        <f t="shared" si="43"/>
        <v>0.27228132</v>
      </c>
      <c r="BQ230" s="20">
        <f>IF(VLOOKUP($R230,武学奇术!$A:$ZZ,22,FALSE)=1,0,(1-$BJ230))*(1-$BM230)</f>
        <v>0.09580389</v>
      </c>
      <c r="BR230" s="20" cm="1">
        <f t="array" ref="BR230">SUM(_xlfn.XLOOKUP(S230:AG230,增益!$A:$A,增益!$W:$W,0))+$I$5</f>
        <v>0.11</v>
      </c>
    </row>
    <row r="231" spans="11:70">
      <c r="K231" s="27">
        <f>$L231*VLOOKUP($R231,武学奇术!$A:$ZZ,31,FALSE)</f>
        <v>4230.80705894356</v>
      </c>
      <c r="L231" s="27">
        <f t="shared" si="33"/>
        <v>7051.34509823927</v>
      </c>
      <c r="M231" s="27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5778.87954323715</v>
      </c>
      <c r="N231" s="27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10683.0127386906</v>
      </c>
      <c r="O231" s="27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3852.5863621581</v>
      </c>
      <c r="P231" s="27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1710.21608083101</v>
      </c>
      <c r="Q231" s="35">
        <v>1</v>
      </c>
      <c r="R231" s="36" t="s">
        <v>164</v>
      </c>
      <c r="S231" s="36" t="s">
        <v>71</v>
      </c>
      <c r="T231" s="36" t="s">
        <v>99</v>
      </c>
      <c r="U231" s="36" t="s">
        <v>100</v>
      </c>
      <c r="V231" s="36" t="s">
        <v>71</v>
      </c>
      <c r="W231" s="36" t="s">
        <v>111</v>
      </c>
      <c r="X231" s="36" t="s">
        <v>71</v>
      </c>
      <c r="Y231" s="36" t="s">
        <v>71</v>
      </c>
      <c r="Z231" s="36" t="s">
        <v>71</v>
      </c>
      <c r="AA231" s="36" t="s">
        <v>71</v>
      </c>
      <c r="AB231" s="36" t="s">
        <v>71</v>
      </c>
      <c r="AC231" s="36" t="s">
        <v>71</v>
      </c>
      <c r="AD231" s="36" t="s">
        <v>72</v>
      </c>
      <c r="AE231" s="36" t="s">
        <v>94</v>
      </c>
      <c r="AF231" s="36" t="s">
        <v>154</v>
      </c>
      <c r="AG231" s="36" t="s">
        <v>120</v>
      </c>
      <c r="AH231" t="str">
        <f>VLOOKUP($R231,武学奇术!$A:$ZZ,25,FALSE)</f>
        <v>剑</v>
      </c>
      <c r="AI231" s="20">
        <f>VLOOKUP($R231,武学奇术!$A:$ZZ,26,FALSE)</f>
        <v>0.1716</v>
      </c>
      <c r="AJ231" s="21">
        <f>VLOOKUP($R231,武学奇术!$A:$ZZ,27,FALSE)*(1+IF(OR($AH231=$F$4,$AH231=$F$5),$B$22,0))</f>
        <v>0</v>
      </c>
      <c r="AK231" s="20">
        <f>VLOOKUP($R231,武学奇术!$A:$ZZ,28,FALSE)</f>
        <v>0.2574</v>
      </c>
      <c r="AL231" s="21">
        <f>VLOOKUP($R231,武学奇术!$A:$ZZ,29,FALSE)*(1+IF(OR($AH231=$F$4,$AH231=$F$5),$B$22,0))</f>
        <v>0</v>
      </c>
      <c r="AM231" s="20" cm="1">
        <f t="array" ref="AM231">$G$3+IFERROR(VLOOKUP($AH231,$F$4:$G$7,2,FALSE),0)+VLOOKUP($R231,武学奇术!$A:$ZZ,2,FALSE)+SUM(_xlfn.XLOOKUP($S231:$AG231,增益!$A:$A,增益!$B:$B,0))</f>
        <v>1.2391</v>
      </c>
      <c r="AN231" s="20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1548.52</v>
      </c>
      <c r="AP231" cm="1">
        <f t="array" ref="AP231">$E$10*(1+$AN231)+VLOOKUP($R231,武学奇术!$A:$ZZ,4,FALSE)+SUM(_xlfn.XLOOKUP($S231:$AG231,增益!$A:$A,增益!$D:$D,0))-$I$2</f>
        <v>6659.56</v>
      </c>
      <c r="AQ231" s="29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0.3175</v>
      </c>
      <c r="AR231" s="29" cm="1">
        <f t="array" ref="AR231">$G$10+VLOOKUP($R231,武学奇术!$A:$ZZ,7,FALSE)+SUM(_xlfn.XLOOKUP(S231:AG231,增益!$A:$A,增益!$G:$G,0))</f>
        <v>0</v>
      </c>
      <c r="AS231" s="20" cm="1">
        <f t="array" ref="AS231">VLOOKUP($R231,武学奇术!$A:$ZZ,8,FALSE)+SUM(_xlfn.XLOOKUP(S231:AG231,增益!$A:$A,增益!$H:$H,0))</f>
        <v>0</v>
      </c>
      <c r="AT231">
        <f t="shared" si="34"/>
        <v>538</v>
      </c>
      <c r="AU231">
        <f t="shared" si="35"/>
        <v>1011</v>
      </c>
      <c r="AV231" s="29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0.075</v>
      </c>
      <c r="AW231" s="29" cm="1">
        <f t="array" ref="AW231">$G$11+VLOOKUP($R231,武学奇术!$A:$ZZ,10,FALSE)+SUM(_xlfn.XLOOKUP(S231:AG231,增益!$A:$A,增益!$J:$J,0))</f>
        <v>0.15</v>
      </c>
      <c r="AX231">
        <f t="shared" si="36"/>
        <v>0</v>
      </c>
      <c r="AY231">
        <f t="shared" si="37"/>
        <v>0</v>
      </c>
      <c r="AZ231" s="29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29" cm="1">
        <f t="array" ref="BA231">$G$12+VLOOKUP($R231,武学奇术!$A:$ZZ,12,FALSE)+SUM(_xlfn.XLOOKUP(S231:AG231,增益!$A:$A,增益!$L:$L,0))</f>
        <v>0</v>
      </c>
      <c r="BB231">
        <f t="shared" si="38"/>
        <v>0</v>
      </c>
      <c r="BC231">
        <f t="shared" si="39"/>
        <v>0</v>
      </c>
      <c r="BD231" s="29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29" cm="1">
        <f t="array" ref="BE231">$G$13+VLOOKUP($R231,武学奇术!$A:$ZZ,14,FALSE)+SUM(_xlfn.XLOOKUP(S231:AG231,增益!$A:$A,增益!$N:$N,0))</f>
        <v>0</v>
      </c>
      <c r="BF231">
        <f t="shared" si="40"/>
        <v>0</v>
      </c>
      <c r="BG231">
        <f t="shared" si="41"/>
        <v>0</v>
      </c>
      <c r="BH231" s="29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29" cm="1">
        <f t="array" ref="BI231">$G$14+VLOOKUP($R231,武学奇术!$A:$ZZ,16,FALSE)+SUM(_xlfn.XLOOKUP(S231:AG231,增益!$A:$A,增益!$P:$P,0))</f>
        <v>0</v>
      </c>
      <c r="BJ231" s="20">
        <f>MIN(IF(VLOOKUP($R231,武学奇术!$A:$ZZ,23,FALSE)=1,100%,$B$8),100%)</f>
        <v>0.8271</v>
      </c>
      <c r="BK231" s="20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0.2249</v>
      </c>
      <c r="BL231" s="20" cm="1">
        <f t="array" ref="BL231">1+$B$13+VLOOKUP($R231,武学奇术!$A:$ZZ,18,FALSE)+SUM(_xlfn.XLOOKUP(S231:AG231,增益!$A:$A,增益!$R:$R,0))</f>
        <v>1.5</v>
      </c>
      <c r="BM231" s="20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0.4459</v>
      </c>
      <c r="BN231" s="20" cm="1">
        <f t="array" ref="BN231">1+$B$14+VLOOKUP($R231,武学奇术!$A:$ZZ,20,FALSE)+SUM(_xlfn.XLOOKUP(S231:AG231,增益!$A:$A,增益!$T:$T,0))</f>
        <v>1.782</v>
      </c>
      <c r="BO231" s="20">
        <f t="shared" si="42"/>
        <v>0.18601479</v>
      </c>
      <c r="BP231" s="20">
        <f t="shared" si="43"/>
        <v>0.27228132</v>
      </c>
      <c r="BQ231" s="20">
        <f>IF(VLOOKUP($R231,武学奇术!$A:$ZZ,22,FALSE)=1,0,(1-$BJ231))*(1-$BM231)</f>
        <v>0.09580389</v>
      </c>
      <c r="BR231" s="20" cm="1">
        <f t="array" ref="BR231">SUM(_xlfn.XLOOKUP(S231:AG231,增益!$A:$A,增益!$W:$W,0))+$I$5</f>
        <v>0.11</v>
      </c>
    </row>
    <row r="232" spans="11:70">
      <c r="K232" s="27">
        <f>$L232*VLOOKUP($R232,武学奇术!$A:$ZZ,31,FALSE)</f>
        <v>4230.80705894356</v>
      </c>
      <c r="L232" s="27">
        <f t="shared" si="33"/>
        <v>7051.34509823927</v>
      </c>
      <c r="M232" s="27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5778.87954323715</v>
      </c>
      <c r="N232" s="27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10683.0127386906</v>
      </c>
      <c r="O232" s="27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3852.5863621581</v>
      </c>
      <c r="P232" s="27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1710.21608083101</v>
      </c>
      <c r="Q232" s="35">
        <v>1</v>
      </c>
      <c r="R232" s="36" t="s">
        <v>164</v>
      </c>
      <c r="S232" s="36" t="s">
        <v>71</v>
      </c>
      <c r="T232" s="36" t="s">
        <v>99</v>
      </c>
      <c r="U232" s="36" t="s">
        <v>100</v>
      </c>
      <c r="V232" s="36" t="s">
        <v>71</v>
      </c>
      <c r="W232" s="36" t="s">
        <v>111</v>
      </c>
      <c r="X232" s="36" t="s">
        <v>71</v>
      </c>
      <c r="Y232" s="36" t="s">
        <v>71</v>
      </c>
      <c r="Z232" s="36" t="s">
        <v>71</v>
      </c>
      <c r="AA232" s="36" t="s">
        <v>71</v>
      </c>
      <c r="AB232" s="36" t="s">
        <v>71</v>
      </c>
      <c r="AC232" s="36" t="s">
        <v>71</v>
      </c>
      <c r="AD232" s="36" t="s">
        <v>72</v>
      </c>
      <c r="AE232" s="36" t="s">
        <v>94</v>
      </c>
      <c r="AF232" s="36" t="s">
        <v>154</v>
      </c>
      <c r="AG232" s="36" t="s">
        <v>120</v>
      </c>
      <c r="AH232" t="str">
        <f>VLOOKUP($R232,武学奇术!$A:$ZZ,25,FALSE)</f>
        <v>剑</v>
      </c>
      <c r="AI232" s="20">
        <f>VLOOKUP($R232,武学奇术!$A:$ZZ,26,FALSE)</f>
        <v>0.1716</v>
      </c>
      <c r="AJ232" s="21">
        <f>VLOOKUP($R232,武学奇术!$A:$ZZ,27,FALSE)*(1+IF(OR($AH232=$F$4,$AH232=$F$5),$B$22,0))</f>
        <v>0</v>
      </c>
      <c r="AK232" s="20">
        <f>VLOOKUP($R232,武学奇术!$A:$ZZ,28,FALSE)</f>
        <v>0.2574</v>
      </c>
      <c r="AL232" s="21">
        <f>VLOOKUP($R232,武学奇术!$A:$ZZ,29,FALSE)*(1+IF(OR($AH232=$F$4,$AH232=$F$5),$B$22,0))</f>
        <v>0</v>
      </c>
      <c r="AM232" s="20" cm="1">
        <f t="array" ref="AM232">$G$3+IFERROR(VLOOKUP($AH232,$F$4:$G$7,2,FALSE),0)+VLOOKUP($R232,武学奇术!$A:$ZZ,2,FALSE)+SUM(_xlfn.XLOOKUP($S232:$AG232,增益!$A:$A,增益!$B:$B,0))</f>
        <v>1.2391</v>
      </c>
      <c r="AN232" s="20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1548.52</v>
      </c>
      <c r="AP232" cm="1">
        <f t="array" ref="AP232">$E$10*(1+$AN232)+VLOOKUP($R232,武学奇术!$A:$ZZ,4,FALSE)+SUM(_xlfn.XLOOKUP($S232:$AG232,增益!$A:$A,增益!$D:$D,0))-$I$2</f>
        <v>6659.56</v>
      </c>
      <c r="AQ232" s="29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0.3175</v>
      </c>
      <c r="AR232" s="29" cm="1">
        <f t="array" ref="AR232">$G$10+VLOOKUP($R232,武学奇术!$A:$ZZ,7,FALSE)+SUM(_xlfn.XLOOKUP(S232:AG232,增益!$A:$A,增益!$G:$G,0))</f>
        <v>0</v>
      </c>
      <c r="AS232" s="20" cm="1">
        <f t="array" ref="AS232">VLOOKUP($R232,武学奇术!$A:$ZZ,8,FALSE)+SUM(_xlfn.XLOOKUP(S232:AG232,增益!$A:$A,增益!$H:$H,0))</f>
        <v>0</v>
      </c>
      <c r="AT232">
        <f t="shared" si="34"/>
        <v>538</v>
      </c>
      <c r="AU232">
        <f t="shared" si="35"/>
        <v>1011</v>
      </c>
      <c r="AV232" s="29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0.075</v>
      </c>
      <c r="AW232" s="29" cm="1">
        <f t="array" ref="AW232">$G$11+VLOOKUP($R232,武学奇术!$A:$ZZ,10,FALSE)+SUM(_xlfn.XLOOKUP(S232:AG232,增益!$A:$A,增益!$J:$J,0))</f>
        <v>0.15</v>
      </c>
      <c r="AX232">
        <f t="shared" si="36"/>
        <v>0</v>
      </c>
      <c r="AY232">
        <f t="shared" si="37"/>
        <v>0</v>
      </c>
      <c r="AZ232" s="29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29" cm="1">
        <f t="array" ref="BA232">$G$12+VLOOKUP($R232,武学奇术!$A:$ZZ,12,FALSE)+SUM(_xlfn.XLOOKUP(S232:AG232,增益!$A:$A,增益!$L:$L,0))</f>
        <v>0</v>
      </c>
      <c r="BB232">
        <f t="shared" si="38"/>
        <v>0</v>
      </c>
      <c r="BC232">
        <f t="shared" si="39"/>
        <v>0</v>
      </c>
      <c r="BD232" s="29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29" cm="1">
        <f t="array" ref="BE232">$G$13+VLOOKUP($R232,武学奇术!$A:$ZZ,14,FALSE)+SUM(_xlfn.XLOOKUP(S232:AG232,增益!$A:$A,增益!$N:$N,0))</f>
        <v>0</v>
      </c>
      <c r="BF232">
        <f t="shared" si="40"/>
        <v>0</v>
      </c>
      <c r="BG232">
        <f t="shared" si="41"/>
        <v>0</v>
      </c>
      <c r="BH232" s="29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29" cm="1">
        <f t="array" ref="BI232">$G$14+VLOOKUP($R232,武学奇术!$A:$ZZ,16,FALSE)+SUM(_xlfn.XLOOKUP(S232:AG232,增益!$A:$A,增益!$P:$P,0))</f>
        <v>0</v>
      </c>
      <c r="BJ232" s="20">
        <f>MIN(IF(VLOOKUP($R232,武学奇术!$A:$ZZ,23,FALSE)=1,100%,$B$8),100%)</f>
        <v>0.8271</v>
      </c>
      <c r="BK232" s="20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0.2249</v>
      </c>
      <c r="BL232" s="20" cm="1">
        <f t="array" ref="BL232">1+$B$13+VLOOKUP($R232,武学奇术!$A:$ZZ,18,FALSE)+SUM(_xlfn.XLOOKUP(S232:AG232,增益!$A:$A,增益!$R:$R,0))</f>
        <v>1.5</v>
      </c>
      <c r="BM232" s="20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0.4459</v>
      </c>
      <c r="BN232" s="20" cm="1">
        <f t="array" ref="BN232">1+$B$14+VLOOKUP($R232,武学奇术!$A:$ZZ,20,FALSE)+SUM(_xlfn.XLOOKUP(S232:AG232,增益!$A:$A,增益!$T:$T,0))</f>
        <v>1.782</v>
      </c>
      <c r="BO232" s="20">
        <f t="shared" si="42"/>
        <v>0.18601479</v>
      </c>
      <c r="BP232" s="20">
        <f t="shared" si="43"/>
        <v>0.27228132</v>
      </c>
      <c r="BQ232" s="20">
        <f>IF(VLOOKUP($R232,武学奇术!$A:$ZZ,22,FALSE)=1,0,(1-$BJ232))*(1-$BM232)</f>
        <v>0.09580389</v>
      </c>
      <c r="BR232" s="20" cm="1">
        <f t="array" ref="BR232">SUM(_xlfn.XLOOKUP(S232:AG232,增益!$A:$A,增益!$W:$W,0))+$I$5</f>
        <v>0.11</v>
      </c>
    </row>
    <row r="233" spans="11:70">
      <c r="K233" s="27">
        <f>$L233*VLOOKUP($R233,武学奇术!$A:$ZZ,31,FALSE)</f>
        <v>8461.61411788712</v>
      </c>
      <c r="L233" s="27">
        <f t="shared" si="33"/>
        <v>14102.6901964785</v>
      </c>
      <c r="M233" s="27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11557.7590864743</v>
      </c>
      <c r="N233" s="27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21366.0254773812</v>
      </c>
      <c r="O233" s="27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7705.1727243162</v>
      </c>
      <c r="P233" s="27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3420.43216166202</v>
      </c>
      <c r="Q233" s="35">
        <v>1</v>
      </c>
      <c r="R233" s="36" t="s">
        <v>162</v>
      </c>
      <c r="S233" s="36" t="s">
        <v>71</v>
      </c>
      <c r="T233" s="36" t="s">
        <v>99</v>
      </c>
      <c r="U233" s="36" t="s">
        <v>100</v>
      </c>
      <c r="V233" s="36" t="s">
        <v>71</v>
      </c>
      <c r="W233" s="36" t="s">
        <v>111</v>
      </c>
      <c r="X233" s="36" t="s">
        <v>71</v>
      </c>
      <c r="Y233" s="36" t="s">
        <v>71</v>
      </c>
      <c r="Z233" s="36" t="s">
        <v>71</v>
      </c>
      <c r="AA233" s="36" t="s">
        <v>71</v>
      </c>
      <c r="AB233" s="36" t="s">
        <v>71</v>
      </c>
      <c r="AC233" s="36" t="s">
        <v>71</v>
      </c>
      <c r="AD233" s="36" t="s">
        <v>72</v>
      </c>
      <c r="AE233" s="36" t="s">
        <v>94</v>
      </c>
      <c r="AF233" s="36" t="s">
        <v>154</v>
      </c>
      <c r="AG233" s="36" t="s">
        <v>120</v>
      </c>
      <c r="AH233" t="str">
        <f>VLOOKUP($R233,武学奇术!$A:$ZZ,25,FALSE)</f>
        <v>剑</v>
      </c>
      <c r="AI233" s="20">
        <f>VLOOKUP($R233,武学奇术!$A:$ZZ,26,FALSE)</f>
        <v>0.3432</v>
      </c>
      <c r="AJ233" s="21">
        <f>VLOOKUP($R233,武学奇术!$A:$ZZ,27,FALSE)*(1+IF(OR($AH233=$F$4,$AH233=$F$5),$B$22,0))</f>
        <v>0</v>
      </c>
      <c r="AK233" s="20">
        <f>VLOOKUP($R233,武学奇术!$A:$ZZ,28,FALSE)</f>
        <v>0.5148</v>
      </c>
      <c r="AL233" s="21">
        <f>VLOOKUP($R233,武学奇术!$A:$ZZ,29,FALSE)*(1+IF(OR($AH233=$F$4,$AH233=$F$5),$B$22,0))</f>
        <v>0</v>
      </c>
      <c r="AM233" s="20" cm="1">
        <f t="array" ref="AM233">$G$3+IFERROR(VLOOKUP($AH233,$F$4:$G$7,2,FALSE),0)+VLOOKUP($R233,武学奇术!$A:$ZZ,2,FALSE)+SUM(_xlfn.XLOOKUP($S233:$AG233,增益!$A:$A,增益!$B:$B,0))</f>
        <v>1.2391</v>
      </c>
      <c r="AN233" s="20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1548.52</v>
      </c>
      <c r="AP233" cm="1">
        <f t="array" ref="AP233">$E$10*(1+$AN233)+VLOOKUP($R233,武学奇术!$A:$ZZ,4,FALSE)+SUM(_xlfn.XLOOKUP($S233:$AG233,增益!$A:$A,增益!$D:$D,0))-$I$2</f>
        <v>6659.56</v>
      </c>
      <c r="AQ233" s="29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0.3175</v>
      </c>
      <c r="AR233" s="29" cm="1">
        <f t="array" ref="AR233">$G$10+VLOOKUP($R233,武学奇术!$A:$ZZ,7,FALSE)+SUM(_xlfn.XLOOKUP(S233:AG233,增益!$A:$A,增益!$G:$G,0))</f>
        <v>0</v>
      </c>
      <c r="AS233" s="20" cm="1">
        <f t="array" ref="AS233">VLOOKUP($R233,武学奇术!$A:$ZZ,8,FALSE)+SUM(_xlfn.XLOOKUP(S233:AG233,增益!$A:$A,增益!$H:$H,0))</f>
        <v>0</v>
      </c>
      <c r="AT233">
        <f t="shared" si="34"/>
        <v>538</v>
      </c>
      <c r="AU233">
        <f t="shared" si="35"/>
        <v>1011</v>
      </c>
      <c r="AV233" s="29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0.075</v>
      </c>
      <c r="AW233" s="29" cm="1">
        <f t="array" ref="AW233">$G$11+VLOOKUP($R233,武学奇术!$A:$ZZ,10,FALSE)+SUM(_xlfn.XLOOKUP(S233:AG233,增益!$A:$A,增益!$J:$J,0))</f>
        <v>0.15</v>
      </c>
      <c r="AX233">
        <f t="shared" si="36"/>
        <v>0</v>
      </c>
      <c r="AY233">
        <f t="shared" si="37"/>
        <v>0</v>
      </c>
      <c r="AZ233" s="29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29" cm="1">
        <f t="array" ref="BA233">$G$12+VLOOKUP($R233,武学奇术!$A:$ZZ,12,FALSE)+SUM(_xlfn.XLOOKUP(S233:AG233,增益!$A:$A,增益!$L:$L,0))</f>
        <v>0</v>
      </c>
      <c r="BB233">
        <f t="shared" si="38"/>
        <v>0</v>
      </c>
      <c r="BC233">
        <f t="shared" si="39"/>
        <v>0</v>
      </c>
      <c r="BD233" s="29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29" cm="1">
        <f t="array" ref="BE233">$G$13+VLOOKUP($R233,武学奇术!$A:$ZZ,14,FALSE)+SUM(_xlfn.XLOOKUP(S233:AG233,增益!$A:$A,增益!$N:$N,0))</f>
        <v>0</v>
      </c>
      <c r="BF233">
        <f t="shared" si="40"/>
        <v>0</v>
      </c>
      <c r="BG233">
        <f t="shared" si="41"/>
        <v>0</v>
      </c>
      <c r="BH233" s="29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29" cm="1">
        <f t="array" ref="BI233">$G$14+VLOOKUP($R233,武学奇术!$A:$ZZ,16,FALSE)+SUM(_xlfn.XLOOKUP(S233:AG233,增益!$A:$A,增益!$P:$P,0))</f>
        <v>0</v>
      </c>
      <c r="BJ233" s="20">
        <f>MIN(IF(VLOOKUP($R233,武学奇术!$A:$ZZ,23,FALSE)=1,100%,$B$8),100%)</f>
        <v>0.8271</v>
      </c>
      <c r="BK233" s="20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0.2249</v>
      </c>
      <c r="BL233" s="20" cm="1">
        <f t="array" ref="BL233">1+$B$13+VLOOKUP($R233,武学奇术!$A:$ZZ,18,FALSE)+SUM(_xlfn.XLOOKUP(S233:AG233,增益!$A:$A,增益!$R:$R,0))</f>
        <v>1.5</v>
      </c>
      <c r="BM233" s="20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0.4459</v>
      </c>
      <c r="BN233" s="20" cm="1">
        <f t="array" ref="BN233">1+$B$14+VLOOKUP($R233,武学奇术!$A:$ZZ,20,FALSE)+SUM(_xlfn.XLOOKUP(S233:AG233,增益!$A:$A,增益!$T:$T,0))</f>
        <v>1.782</v>
      </c>
      <c r="BO233" s="20">
        <f t="shared" si="42"/>
        <v>0.18601479</v>
      </c>
      <c r="BP233" s="20">
        <f t="shared" si="43"/>
        <v>0.27228132</v>
      </c>
      <c r="BQ233" s="20">
        <f>IF(VLOOKUP($R233,武学奇术!$A:$ZZ,22,FALSE)=1,0,(1-$BJ233))*(1-$BM233)</f>
        <v>0.09580389</v>
      </c>
      <c r="BR233" s="20" cm="1">
        <f t="array" ref="BR233">SUM(_xlfn.XLOOKUP(S233:AG233,增益!$A:$A,增益!$W:$W,0))+$I$5</f>
        <v>0.11</v>
      </c>
    </row>
    <row r="234" spans="11:70">
      <c r="K234" s="27">
        <f>$L234*VLOOKUP($R234,武学奇术!$A:$ZZ,31,FALSE)</f>
        <v>4230.80705894356</v>
      </c>
      <c r="L234" s="27">
        <f t="shared" si="33"/>
        <v>7051.34509823927</v>
      </c>
      <c r="M234" s="27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5778.87954323715</v>
      </c>
      <c r="N234" s="27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10683.0127386906</v>
      </c>
      <c r="O234" s="27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3852.5863621581</v>
      </c>
      <c r="P234" s="27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1710.21608083101</v>
      </c>
      <c r="Q234" s="35">
        <v>1</v>
      </c>
      <c r="R234" s="36" t="s">
        <v>164</v>
      </c>
      <c r="S234" s="36" t="s">
        <v>71</v>
      </c>
      <c r="T234" s="36" t="s">
        <v>99</v>
      </c>
      <c r="U234" s="36" t="s">
        <v>100</v>
      </c>
      <c r="V234" s="36" t="s">
        <v>71</v>
      </c>
      <c r="W234" s="36" t="s">
        <v>111</v>
      </c>
      <c r="X234" s="36" t="s">
        <v>71</v>
      </c>
      <c r="Y234" s="36" t="s">
        <v>71</v>
      </c>
      <c r="Z234" s="36" t="s">
        <v>71</v>
      </c>
      <c r="AA234" s="36" t="s">
        <v>71</v>
      </c>
      <c r="AB234" s="36" t="s">
        <v>71</v>
      </c>
      <c r="AC234" s="36" t="s">
        <v>71</v>
      </c>
      <c r="AD234" s="36" t="s">
        <v>72</v>
      </c>
      <c r="AE234" s="36" t="s">
        <v>94</v>
      </c>
      <c r="AF234" s="36" t="s">
        <v>154</v>
      </c>
      <c r="AG234" s="36" t="s">
        <v>120</v>
      </c>
      <c r="AH234" t="str">
        <f>VLOOKUP($R234,武学奇术!$A:$ZZ,25,FALSE)</f>
        <v>剑</v>
      </c>
      <c r="AI234" s="20">
        <f>VLOOKUP($R234,武学奇术!$A:$ZZ,26,FALSE)</f>
        <v>0.1716</v>
      </c>
      <c r="AJ234" s="21">
        <f>VLOOKUP($R234,武学奇术!$A:$ZZ,27,FALSE)*(1+IF(OR($AH234=$F$4,$AH234=$F$5),$B$22,0))</f>
        <v>0</v>
      </c>
      <c r="AK234" s="20">
        <f>VLOOKUP($R234,武学奇术!$A:$ZZ,28,FALSE)</f>
        <v>0.2574</v>
      </c>
      <c r="AL234" s="21">
        <f>VLOOKUP($R234,武学奇术!$A:$ZZ,29,FALSE)*(1+IF(OR($AH234=$F$4,$AH234=$F$5),$B$22,0))</f>
        <v>0</v>
      </c>
      <c r="AM234" s="20" cm="1">
        <f t="array" ref="AM234">$G$3+IFERROR(VLOOKUP($AH234,$F$4:$G$7,2,FALSE),0)+VLOOKUP($R234,武学奇术!$A:$ZZ,2,FALSE)+SUM(_xlfn.XLOOKUP($S234:$AG234,增益!$A:$A,增益!$B:$B,0))</f>
        <v>1.2391</v>
      </c>
      <c r="AN234" s="20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1548.52</v>
      </c>
      <c r="AP234" cm="1">
        <f t="array" ref="AP234">$E$10*(1+$AN234)+VLOOKUP($R234,武学奇术!$A:$ZZ,4,FALSE)+SUM(_xlfn.XLOOKUP($S234:$AG234,增益!$A:$A,增益!$D:$D,0))-$I$2</f>
        <v>6659.56</v>
      </c>
      <c r="AQ234" s="29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0.3175</v>
      </c>
      <c r="AR234" s="29" cm="1">
        <f t="array" ref="AR234">$G$10+VLOOKUP($R234,武学奇术!$A:$ZZ,7,FALSE)+SUM(_xlfn.XLOOKUP(S234:AG234,增益!$A:$A,增益!$G:$G,0))</f>
        <v>0</v>
      </c>
      <c r="AS234" s="20" cm="1">
        <f t="array" ref="AS234">VLOOKUP($R234,武学奇术!$A:$ZZ,8,FALSE)+SUM(_xlfn.XLOOKUP(S234:AG234,增益!$A:$A,增益!$H:$H,0))</f>
        <v>0</v>
      </c>
      <c r="AT234">
        <f t="shared" si="34"/>
        <v>538</v>
      </c>
      <c r="AU234">
        <f t="shared" si="35"/>
        <v>1011</v>
      </c>
      <c r="AV234" s="29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0.075</v>
      </c>
      <c r="AW234" s="29" cm="1">
        <f t="array" ref="AW234">$G$11+VLOOKUP($R234,武学奇术!$A:$ZZ,10,FALSE)+SUM(_xlfn.XLOOKUP(S234:AG234,增益!$A:$A,增益!$J:$J,0))</f>
        <v>0.15</v>
      </c>
      <c r="AX234">
        <f t="shared" si="36"/>
        <v>0</v>
      </c>
      <c r="AY234">
        <f t="shared" si="37"/>
        <v>0</v>
      </c>
      <c r="AZ234" s="29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29" cm="1">
        <f t="array" ref="BA234">$G$12+VLOOKUP($R234,武学奇术!$A:$ZZ,12,FALSE)+SUM(_xlfn.XLOOKUP(S234:AG234,增益!$A:$A,增益!$L:$L,0))</f>
        <v>0</v>
      </c>
      <c r="BB234">
        <f t="shared" si="38"/>
        <v>0</v>
      </c>
      <c r="BC234">
        <f t="shared" si="39"/>
        <v>0</v>
      </c>
      <c r="BD234" s="29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29" cm="1">
        <f t="array" ref="BE234">$G$13+VLOOKUP($R234,武学奇术!$A:$ZZ,14,FALSE)+SUM(_xlfn.XLOOKUP(S234:AG234,增益!$A:$A,增益!$N:$N,0))</f>
        <v>0</v>
      </c>
      <c r="BF234">
        <f t="shared" si="40"/>
        <v>0</v>
      </c>
      <c r="BG234">
        <f t="shared" si="41"/>
        <v>0</v>
      </c>
      <c r="BH234" s="29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29" cm="1">
        <f t="array" ref="BI234">$G$14+VLOOKUP($R234,武学奇术!$A:$ZZ,16,FALSE)+SUM(_xlfn.XLOOKUP(S234:AG234,增益!$A:$A,增益!$P:$P,0))</f>
        <v>0</v>
      </c>
      <c r="BJ234" s="20">
        <f>MIN(IF(VLOOKUP($R234,武学奇术!$A:$ZZ,23,FALSE)=1,100%,$B$8),100%)</f>
        <v>0.8271</v>
      </c>
      <c r="BK234" s="20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0.2249</v>
      </c>
      <c r="BL234" s="20" cm="1">
        <f t="array" ref="BL234">1+$B$13+VLOOKUP($R234,武学奇术!$A:$ZZ,18,FALSE)+SUM(_xlfn.XLOOKUP(S234:AG234,增益!$A:$A,增益!$R:$R,0))</f>
        <v>1.5</v>
      </c>
      <c r="BM234" s="20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0.4459</v>
      </c>
      <c r="BN234" s="20" cm="1">
        <f t="array" ref="BN234">1+$B$14+VLOOKUP($R234,武学奇术!$A:$ZZ,20,FALSE)+SUM(_xlfn.XLOOKUP(S234:AG234,增益!$A:$A,增益!$T:$T,0))</f>
        <v>1.782</v>
      </c>
      <c r="BO234" s="20">
        <f t="shared" si="42"/>
        <v>0.18601479</v>
      </c>
      <c r="BP234" s="20">
        <f t="shared" si="43"/>
        <v>0.27228132</v>
      </c>
      <c r="BQ234" s="20">
        <f>IF(VLOOKUP($R234,武学奇术!$A:$ZZ,22,FALSE)=1,0,(1-$BJ234))*(1-$BM234)</f>
        <v>0.09580389</v>
      </c>
      <c r="BR234" s="20" cm="1">
        <f t="array" ref="BR234">SUM(_xlfn.XLOOKUP(S234:AG234,增益!$A:$A,增益!$W:$W,0))+$I$5</f>
        <v>0.11</v>
      </c>
    </row>
    <row r="235" spans="11:70">
      <c r="K235" s="27">
        <f>$L235*VLOOKUP($R235,武学奇术!$A:$ZZ,31,FALSE)</f>
        <v>5076.96847073227</v>
      </c>
      <c r="L235" s="27">
        <f t="shared" si="33"/>
        <v>8461.61411788712</v>
      </c>
      <c r="M235" s="27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6934.65545188458</v>
      </c>
      <c r="N235" s="27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12819.6152864287</v>
      </c>
      <c r="O235" s="27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4623.10363458972</v>
      </c>
      <c r="P235" s="27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2052.25929699721</v>
      </c>
      <c r="Q235" s="35">
        <v>1</v>
      </c>
      <c r="R235" s="36" t="s">
        <v>165</v>
      </c>
      <c r="S235" s="36" t="s">
        <v>71</v>
      </c>
      <c r="T235" s="36" t="s">
        <v>99</v>
      </c>
      <c r="U235" s="36" t="s">
        <v>100</v>
      </c>
      <c r="V235" s="36" t="s">
        <v>71</v>
      </c>
      <c r="W235" s="36" t="s">
        <v>111</v>
      </c>
      <c r="X235" s="36" t="s">
        <v>71</v>
      </c>
      <c r="Y235" s="36" t="s">
        <v>71</v>
      </c>
      <c r="Z235" s="36" t="s">
        <v>71</v>
      </c>
      <c r="AA235" s="36" t="s">
        <v>71</v>
      </c>
      <c r="AB235" s="36" t="s">
        <v>71</v>
      </c>
      <c r="AC235" s="36" t="s">
        <v>71</v>
      </c>
      <c r="AD235" s="36" t="s">
        <v>72</v>
      </c>
      <c r="AE235" s="36" t="s">
        <v>94</v>
      </c>
      <c r="AF235" s="36" t="s">
        <v>154</v>
      </c>
      <c r="AG235" s="36" t="s">
        <v>120</v>
      </c>
      <c r="AH235" t="str">
        <f>VLOOKUP($R235,武学奇术!$A:$ZZ,25,FALSE)</f>
        <v>剑</v>
      </c>
      <c r="AI235" s="20">
        <f>VLOOKUP($R235,武学奇术!$A:$ZZ,26,FALSE)</f>
        <v>0.20592</v>
      </c>
      <c r="AJ235" s="21">
        <f>VLOOKUP($R235,武学奇术!$A:$ZZ,27,FALSE)*(1+IF(OR($AH235=$F$4,$AH235=$F$5),$B$22,0))</f>
        <v>0</v>
      </c>
      <c r="AK235" s="20">
        <f>VLOOKUP($R235,武学奇术!$A:$ZZ,28,FALSE)</f>
        <v>0.30888</v>
      </c>
      <c r="AL235" s="21">
        <f>VLOOKUP($R235,武学奇术!$A:$ZZ,29,FALSE)*(1+IF(OR($AH235=$F$4,$AH235=$F$5),$B$22,0))</f>
        <v>0</v>
      </c>
      <c r="AM235" s="20" cm="1">
        <f t="array" ref="AM235">$G$3+IFERROR(VLOOKUP($AH235,$F$4:$G$7,2,FALSE),0)+VLOOKUP($R235,武学奇术!$A:$ZZ,2,FALSE)+SUM(_xlfn.XLOOKUP($S235:$AG235,增益!$A:$A,增益!$B:$B,0))</f>
        <v>1.2391</v>
      </c>
      <c r="AN235" s="20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1548.52</v>
      </c>
      <c r="AP235" cm="1">
        <f t="array" ref="AP235">$E$10*(1+$AN235)+VLOOKUP($R235,武学奇术!$A:$ZZ,4,FALSE)+SUM(_xlfn.XLOOKUP($S235:$AG235,增益!$A:$A,增益!$D:$D,0))-$I$2</f>
        <v>6659.56</v>
      </c>
      <c r="AQ235" s="29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0.3175</v>
      </c>
      <c r="AR235" s="29" cm="1">
        <f t="array" ref="AR235">$G$10+VLOOKUP($R235,武学奇术!$A:$ZZ,7,FALSE)+SUM(_xlfn.XLOOKUP(S235:AG235,增益!$A:$A,增益!$G:$G,0))</f>
        <v>0</v>
      </c>
      <c r="AS235" s="20" cm="1">
        <f t="array" ref="AS235">VLOOKUP($R235,武学奇术!$A:$ZZ,8,FALSE)+SUM(_xlfn.XLOOKUP(S235:AG235,增益!$A:$A,增益!$H:$H,0))</f>
        <v>0</v>
      </c>
      <c r="AT235">
        <f t="shared" si="34"/>
        <v>538</v>
      </c>
      <c r="AU235">
        <f t="shared" si="35"/>
        <v>1011</v>
      </c>
      <c r="AV235" s="29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0.075</v>
      </c>
      <c r="AW235" s="29" cm="1">
        <f t="array" ref="AW235">$G$11+VLOOKUP($R235,武学奇术!$A:$ZZ,10,FALSE)+SUM(_xlfn.XLOOKUP(S235:AG235,增益!$A:$A,增益!$J:$J,0))</f>
        <v>0.15</v>
      </c>
      <c r="AX235">
        <f t="shared" si="36"/>
        <v>0</v>
      </c>
      <c r="AY235">
        <f t="shared" si="37"/>
        <v>0</v>
      </c>
      <c r="AZ235" s="29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-0.3</v>
      </c>
      <c r="BA235" s="29" cm="1">
        <f t="array" ref="BA235">$G$12+VLOOKUP($R235,武学奇术!$A:$ZZ,12,FALSE)+SUM(_xlfn.XLOOKUP(S235:AG235,增益!$A:$A,增益!$L:$L,0))</f>
        <v>0</v>
      </c>
      <c r="BB235">
        <f t="shared" si="38"/>
        <v>0</v>
      </c>
      <c r="BC235">
        <f t="shared" si="39"/>
        <v>0</v>
      </c>
      <c r="BD235" s="29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-0.3</v>
      </c>
      <c r="BE235" s="29" cm="1">
        <f t="array" ref="BE235">$G$13+VLOOKUP($R235,武学奇术!$A:$ZZ,14,FALSE)+SUM(_xlfn.XLOOKUP(S235:AG235,增益!$A:$A,增益!$N:$N,0))</f>
        <v>0</v>
      </c>
      <c r="BF235">
        <f t="shared" si="40"/>
        <v>0</v>
      </c>
      <c r="BG235">
        <f t="shared" si="41"/>
        <v>0</v>
      </c>
      <c r="BH235" s="29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-0.3</v>
      </c>
      <c r="BI235" s="29" cm="1">
        <f t="array" ref="BI235">$G$14+VLOOKUP($R235,武学奇术!$A:$ZZ,16,FALSE)+SUM(_xlfn.XLOOKUP(S235:AG235,增益!$A:$A,增益!$P:$P,0))</f>
        <v>0</v>
      </c>
      <c r="BJ235" s="20">
        <f>MIN(IF(VLOOKUP($R235,武学奇术!$A:$ZZ,23,FALSE)=1,100%,$B$8),100%)</f>
        <v>0.8271</v>
      </c>
      <c r="BK235" s="20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0.2249</v>
      </c>
      <c r="BL235" s="20" cm="1">
        <f t="array" ref="BL235">1+$B$13+VLOOKUP($R235,武学奇术!$A:$ZZ,18,FALSE)+SUM(_xlfn.XLOOKUP(S235:AG235,增益!$A:$A,增益!$R:$R,0))</f>
        <v>1.5</v>
      </c>
      <c r="BM235" s="20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0.4459</v>
      </c>
      <c r="BN235" s="20" cm="1">
        <f t="array" ref="BN235">1+$B$14+VLOOKUP($R235,武学奇术!$A:$ZZ,20,FALSE)+SUM(_xlfn.XLOOKUP(S235:AG235,增益!$A:$A,增益!$T:$T,0))</f>
        <v>1.782</v>
      </c>
      <c r="BO235" s="20">
        <f t="shared" si="42"/>
        <v>0.18601479</v>
      </c>
      <c r="BP235" s="20">
        <f t="shared" si="43"/>
        <v>0.27228132</v>
      </c>
      <c r="BQ235" s="20">
        <f>IF(VLOOKUP($R235,武学奇术!$A:$ZZ,22,FALSE)=1,0,(1-$BJ235))*(1-$BM235)</f>
        <v>0.09580389</v>
      </c>
      <c r="BR235" s="20" cm="1">
        <f t="array" ref="BR235">SUM(_xlfn.XLOOKUP(S235:AG235,增益!$A:$A,增益!$W:$W,0))+$I$5</f>
        <v>0.11</v>
      </c>
    </row>
    <row r="236" spans="11:70">
      <c r="K236" s="27">
        <f>$L236*VLOOKUP($R236,武学奇术!$A:$ZZ,31,FALSE)</f>
        <v>6769.2912943097</v>
      </c>
      <c r="L236" s="27">
        <f t="shared" si="33"/>
        <v>11282.1521571828</v>
      </c>
      <c r="M236" s="27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9246.20726917944</v>
      </c>
      <c r="N236" s="27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17092.820381905</v>
      </c>
      <c r="O236" s="27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6164.13817945296</v>
      </c>
      <c r="P236" s="27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2736.34572932961</v>
      </c>
      <c r="Q236" s="35">
        <v>1</v>
      </c>
      <c r="R236" s="36" t="s">
        <v>163</v>
      </c>
      <c r="S236" s="36" t="s">
        <v>71</v>
      </c>
      <c r="T236" s="36" t="s">
        <v>99</v>
      </c>
      <c r="U236" s="36" t="s">
        <v>100</v>
      </c>
      <c r="V236" s="36" t="s">
        <v>71</v>
      </c>
      <c r="W236" s="36" t="s">
        <v>111</v>
      </c>
      <c r="X236" s="36" t="s">
        <v>71</v>
      </c>
      <c r="Y236" s="36" t="s">
        <v>71</v>
      </c>
      <c r="Z236" s="36" t="s">
        <v>71</v>
      </c>
      <c r="AA236" s="36" t="s">
        <v>71</v>
      </c>
      <c r="AB236" s="36" t="s">
        <v>71</v>
      </c>
      <c r="AC236" s="36" t="s">
        <v>71</v>
      </c>
      <c r="AD236" s="36" t="s">
        <v>72</v>
      </c>
      <c r="AE236" s="36" t="s">
        <v>94</v>
      </c>
      <c r="AF236" s="36" t="s">
        <v>154</v>
      </c>
      <c r="AG236" s="36" t="s">
        <v>120</v>
      </c>
      <c r="AH236" t="str">
        <f>VLOOKUP($R236,武学奇术!$A:$ZZ,25,FALSE)</f>
        <v>剑</v>
      </c>
      <c r="AI236" s="20">
        <f>VLOOKUP($R236,武学奇术!$A:$ZZ,26,FALSE)</f>
        <v>0.27456</v>
      </c>
      <c r="AJ236" s="21">
        <f>VLOOKUP($R236,武学奇术!$A:$ZZ,27,FALSE)*(1+IF(OR($AH236=$F$4,$AH236=$F$5),$B$22,0))</f>
        <v>0</v>
      </c>
      <c r="AK236" s="20">
        <f>VLOOKUP($R236,武学奇术!$A:$ZZ,28,FALSE)</f>
        <v>0.41184</v>
      </c>
      <c r="AL236" s="21">
        <f>VLOOKUP($R236,武学奇术!$A:$ZZ,29,FALSE)*(1+IF(OR($AH236=$F$4,$AH236=$F$5),$B$22,0))</f>
        <v>0</v>
      </c>
      <c r="AM236" s="20" cm="1">
        <f t="array" ref="AM236">$G$3+IFERROR(VLOOKUP($AH236,$F$4:$G$7,2,FALSE),0)+VLOOKUP($R236,武学奇术!$A:$ZZ,2,FALSE)+SUM(_xlfn.XLOOKUP($S236:$AG236,增益!$A:$A,增益!$B:$B,0))</f>
        <v>1.2391</v>
      </c>
      <c r="AN236" s="20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1548.52</v>
      </c>
      <c r="AP236" cm="1">
        <f t="array" ref="AP236">$E$10*(1+$AN236)+VLOOKUP($R236,武学奇术!$A:$ZZ,4,FALSE)+SUM(_xlfn.XLOOKUP($S236:$AG236,增益!$A:$A,增益!$D:$D,0))-$I$2</f>
        <v>6659.56</v>
      </c>
      <c r="AQ236" s="29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0.3175</v>
      </c>
      <c r="AR236" s="29" cm="1">
        <f t="array" ref="AR236">$G$10+VLOOKUP($R236,武学奇术!$A:$ZZ,7,FALSE)+SUM(_xlfn.XLOOKUP(S236:AG236,增益!$A:$A,增益!$G:$G,0))</f>
        <v>0</v>
      </c>
      <c r="AS236" s="20" cm="1">
        <f t="array" ref="AS236">VLOOKUP($R236,武学奇术!$A:$ZZ,8,FALSE)+SUM(_xlfn.XLOOKUP(S236:AG236,增益!$A:$A,增益!$H:$H,0))</f>
        <v>0</v>
      </c>
      <c r="AT236">
        <f t="shared" si="34"/>
        <v>538</v>
      </c>
      <c r="AU236">
        <f t="shared" si="35"/>
        <v>1011</v>
      </c>
      <c r="AV236" s="29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0.075</v>
      </c>
      <c r="AW236" s="29" cm="1">
        <f t="array" ref="AW236">$G$11+VLOOKUP($R236,武学奇术!$A:$ZZ,10,FALSE)+SUM(_xlfn.XLOOKUP(S236:AG236,增益!$A:$A,增益!$J:$J,0))</f>
        <v>0.15</v>
      </c>
      <c r="AX236">
        <f t="shared" si="36"/>
        <v>0</v>
      </c>
      <c r="AY236">
        <f t="shared" si="37"/>
        <v>0</v>
      </c>
      <c r="AZ236" s="29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-0.3</v>
      </c>
      <c r="BA236" s="29" cm="1">
        <f t="array" ref="BA236">$G$12+VLOOKUP($R236,武学奇术!$A:$ZZ,12,FALSE)+SUM(_xlfn.XLOOKUP(S236:AG236,增益!$A:$A,增益!$L:$L,0))</f>
        <v>0</v>
      </c>
      <c r="BB236">
        <f t="shared" si="38"/>
        <v>0</v>
      </c>
      <c r="BC236">
        <f t="shared" si="39"/>
        <v>0</v>
      </c>
      <c r="BD236" s="29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-0.3</v>
      </c>
      <c r="BE236" s="29" cm="1">
        <f t="array" ref="BE236">$G$13+VLOOKUP($R236,武学奇术!$A:$ZZ,14,FALSE)+SUM(_xlfn.XLOOKUP(S236:AG236,增益!$A:$A,增益!$N:$N,0))</f>
        <v>0</v>
      </c>
      <c r="BF236">
        <f t="shared" si="40"/>
        <v>0</v>
      </c>
      <c r="BG236">
        <f t="shared" si="41"/>
        <v>0</v>
      </c>
      <c r="BH236" s="29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-0.3</v>
      </c>
      <c r="BI236" s="29" cm="1">
        <f t="array" ref="BI236">$G$14+VLOOKUP($R236,武学奇术!$A:$ZZ,16,FALSE)+SUM(_xlfn.XLOOKUP(S236:AG236,增益!$A:$A,增益!$P:$P,0))</f>
        <v>0</v>
      </c>
      <c r="BJ236" s="20">
        <f>MIN(IF(VLOOKUP($R236,武学奇术!$A:$ZZ,23,FALSE)=1,100%,$B$8),100%)</f>
        <v>0.8271</v>
      </c>
      <c r="BK236" s="20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0.2249</v>
      </c>
      <c r="BL236" s="20" cm="1">
        <f t="array" ref="BL236">1+$B$13+VLOOKUP($R236,武学奇术!$A:$ZZ,18,FALSE)+SUM(_xlfn.XLOOKUP(S236:AG236,增益!$A:$A,增益!$R:$R,0))</f>
        <v>1.5</v>
      </c>
      <c r="BM236" s="20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0.4459</v>
      </c>
      <c r="BN236" s="20" cm="1">
        <f t="array" ref="BN236">1+$B$14+VLOOKUP($R236,武学奇术!$A:$ZZ,20,FALSE)+SUM(_xlfn.XLOOKUP(S236:AG236,增益!$A:$A,增益!$T:$T,0))</f>
        <v>1.782</v>
      </c>
      <c r="BO236" s="20">
        <f t="shared" si="42"/>
        <v>0.18601479</v>
      </c>
      <c r="BP236" s="20">
        <f t="shared" si="43"/>
        <v>0.27228132</v>
      </c>
      <c r="BQ236" s="20">
        <f>IF(VLOOKUP($R236,武学奇术!$A:$ZZ,22,FALSE)=1,0,(1-$BJ236))*(1-$BM236)</f>
        <v>0.09580389</v>
      </c>
      <c r="BR236" s="20" cm="1">
        <f t="array" ref="BR236">SUM(_xlfn.XLOOKUP(S236:AG236,增益!$A:$A,增益!$W:$W,0))+$I$5</f>
        <v>0.11</v>
      </c>
    </row>
    <row r="237" spans="11:70">
      <c r="K237" s="27">
        <f>$L237*VLOOKUP($R237,武学奇术!$A:$ZZ,31,FALSE)</f>
        <v>6769.2912943097</v>
      </c>
      <c r="L237" s="27">
        <f t="shared" si="33"/>
        <v>11282.1521571828</v>
      </c>
      <c r="M237" s="27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9246.20726917944</v>
      </c>
      <c r="N237" s="27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17092.820381905</v>
      </c>
      <c r="O237" s="27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6164.13817945296</v>
      </c>
      <c r="P237" s="27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2736.34572932961</v>
      </c>
      <c r="Q237" s="35">
        <v>1</v>
      </c>
      <c r="R237" s="36" t="s">
        <v>163</v>
      </c>
      <c r="S237" s="36" t="s">
        <v>71</v>
      </c>
      <c r="T237" s="36" t="s">
        <v>99</v>
      </c>
      <c r="U237" s="36" t="s">
        <v>100</v>
      </c>
      <c r="V237" s="36" t="s">
        <v>71</v>
      </c>
      <c r="W237" s="36" t="s">
        <v>111</v>
      </c>
      <c r="X237" s="36" t="s">
        <v>71</v>
      </c>
      <c r="Y237" s="36" t="s">
        <v>71</v>
      </c>
      <c r="Z237" s="36" t="s">
        <v>71</v>
      </c>
      <c r="AA237" s="36" t="s">
        <v>71</v>
      </c>
      <c r="AB237" s="36" t="s">
        <v>71</v>
      </c>
      <c r="AC237" s="36" t="s">
        <v>71</v>
      </c>
      <c r="AD237" s="36" t="s">
        <v>72</v>
      </c>
      <c r="AE237" s="36" t="s">
        <v>94</v>
      </c>
      <c r="AF237" s="36" t="s">
        <v>154</v>
      </c>
      <c r="AG237" s="36" t="s">
        <v>120</v>
      </c>
      <c r="AH237" t="str">
        <f>VLOOKUP($R237,武学奇术!$A:$ZZ,25,FALSE)</f>
        <v>剑</v>
      </c>
      <c r="AI237" s="20">
        <f>VLOOKUP($R237,武学奇术!$A:$ZZ,26,FALSE)</f>
        <v>0.27456</v>
      </c>
      <c r="AJ237" s="21">
        <f>VLOOKUP($R237,武学奇术!$A:$ZZ,27,FALSE)*(1+IF(OR($AH237=$F$4,$AH237=$F$5),$B$22,0))</f>
        <v>0</v>
      </c>
      <c r="AK237" s="20">
        <f>VLOOKUP($R237,武学奇术!$A:$ZZ,28,FALSE)</f>
        <v>0.41184</v>
      </c>
      <c r="AL237" s="21">
        <f>VLOOKUP($R237,武学奇术!$A:$ZZ,29,FALSE)*(1+IF(OR($AH237=$F$4,$AH237=$F$5),$B$22,0))</f>
        <v>0</v>
      </c>
      <c r="AM237" s="20" cm="1">
        <f t="array" ref="AM237">$G$3+IFERROR(VLOOKUP($AH237,$F$4:$G$7,2,FALSE),0)+VLOOKUP($R237,武学奇术!$A:$ZZ,2,FALSE)+SUM(_xlfn.XLOOKUP($S237:$AG237,增益!$A:$A,增益!$B:$B,0))</f>
        <v>1.2391</v>
      </c>
      <c r="AN237" s="20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1548.52</v>
      </c>
      <c r="AP237" cm="1">
        <f t="array" ref="AP237">$E$10*(1+$AN237)+VLOOKUP($R237,武学奇术!$A:$ZZ,4,FALSE)+SUM(_xlfn.XLOOKUP($S237:$AG237,增益!$A:$A,增益!$D:$D,0))-$I$2</f>
        <v>6659.56</v>
      </c>
      <c r="AQ237" s="29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0.3175</v>
      </c>
      <c r="AR237" s="29" cm="1">
        <f t="array" ref="AR237">$G$10+VLOOKUP($R237,武学奇术!$A:$ZZ,7,FALSE)+SUM(_xlfn.XLOOKUP(S237:AG237,增益!$A:$A,增益!$G:$G,0))</f>
        <v>0</v>
      </c>
      <c r="AS237" s="20" cm="1">
        <f t="array" ref="AS237">VLOOKUP($R237,武学奇术!$A:$ZZ,8,FALSE)+SUM(_xlfn.XLOOKUP(S237:AG237,增益!$A:$A,增益!$H:$H,0))</f>
        <v>0</v>
      </c>
      <c r="AT237">
        <f t="shared" si="34"/>
        <v>538</v>
      </c>
      <c r="AU237">
        <f t="shared" si="35"/>
        <v>1011</v>
      </c>
      <c r="AV237" s="29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0.075</v>
      </c>
      <c r="AW237" s="29" cm="1">
        <f t="array" ref="AW237">$G$11+VLOOKUP($R237,武学奇术!$A:$ZZ,10,FALSE)+SUM(_xlfn.XLOOKUP(S237:AG237,增益!$A:$A,增益!$J:$J,0))</f>
        <v>0.15</v>
      </c>
      <c r="AX237">
        <f t="shared" si="36"/>
        <v>0</v>
      </c>
      <c r="AY237">
        <f t="shared" si="37"/>
        <v>0</v>
      </c>
      <c r="AZ237" s="29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-0.3</v>
      </c>
      <c r="BA237" s="29" cm="1">
        <f t="array" ref="BA237">$G$12+VLOOKUP($R237,武学奇术!$A:$ZZ,12,FALSE)+SUM(_xlfn.XLOOKUP(S237:AG237,增益!$A:$A,增益!$L:$L,0))</f>
        <v>0</v>
      </c>
      <c r="BB237">
        <f t="shared" si="38"/>
        <v>0</v>
      </c>
      <c r="BC237">
        <f t="shared" si="39"/>
        <v>0</v>
      </c>
      <c r="BD237" s="29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-0.3</v>
      </c>
      <c r="BE237" s="29" cm="1">
        <f t="array" ref="BE237">$G$13+VLOOKUP($R237,武学奇术!$A:$ZZ,14,FALSE)+SUM(_xlfn.XLOOKUP(S237:AG237,增益!$A:$A,增益!$N:$N,0))</f>
        <v>0</v>
      </c>
      <c r="BF237">
        <f t="shared" si="40"/>
        <v>0</v>
      </c>
      <c r="BG237">
        <f t="shared" si="41"/>
        <v>0</v>
      </c>
      <c r="BH237" s="29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-0.3</v>
      </c>
      <c r="BI237" s="29" cm="1">
        <f t="array" ref="BI237">$G$14+VLOOKUP($R237,武学奇术!$A:$ZZ,16,FALSE)+SUM(_xlfn.XLOOKUP(S237:AG237,增益!$A:$A,增益!$P:$P,0))</f>
        <v>0</v>
      </c>
      <c r="BJ237" s="20">
        <f>MIN(IF(VLOOKUP($R237,武学奇术!$A:$ZZ,23,FALSE)=1,100%,$B$8),100%)</f>
        <v>0.8271</v>
      </c>
      <c r="BK237" s="20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0.2249</v>
      </c>
      <c r="BL237" s="20" cm="1">
        <f t="array" ref="BL237">1+$B$13+VLOOKUP($R237,武学奇术!$A:$ZZ,18,FALSE)+SUM(_xlfn.XLOOKUP(S237:AG237,增益!$A:$A,增益!$R:$R,0))</f>
        <v>1.5</v>
      </c>
      <c r="BM237" s="20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0.4459</v>
      </c>
      <c r="BN237" s="20" cm="1">
        <f t="array" ref="BN237">1+$B$14+VLOOKUP($R237,武学奇术!$A:$ZZ,20,FALSE)+SUM(_xlfn.XLOOKUP(S237:AG237,增益!$A:$A,增益!$T:$T,0))</f>
        <v>1.782</v>
      </c>
      <c r="BO237" s="20">
        <f t="shared" si="42"/>
        <v>0.18601479</v>
      </c>
      <c r="BP237" s="20">
        <f t="shared" si="43"/>
        <v>0.27228132</v>
      </c>
      <c r="BQ237" s="20">
        <f>IF(VLOOKUP($R237,武学奇术!$A:$ZZ,22,FALSE)=1,0,(1-$BJ237))*(1-$BM237)</f>
        <v>0.09580389</v>
      </c>
      <c r="BR237" s="20" cm="1">
        <f t="array" ref="BR237">SUM(_xlfn.XLOOKUP(S237:AG237,增益!$A:$A,增益!$W:$W,0))+$I$5</f>
        <v>0.11</v>
      </c>
    </row>
    <row r="238" spans="11:70">
      <c r="K238" s="27">
        <f>$L238*VLOOKUP($R238,武学奇术!$A:$ZZ,31,FALSE)</f>
        <v>6737.46790053795</v>
      </c>
      <c r="L238" s="27">
        <f t="shared" si="33"/>
        <v>11229.1131675632</v>
      </c>
      <c r="M238" s="27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9191.02351494154</v>
      </c>
      <c r="N238" s="27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17027.2620818703</v>
      </c>
      <c r="O238" s="27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6127.34900996102</v>
      </c>
      <c r="P238" s="27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2699.55655983768</v>
      </c>
      <c r="Q238" s="35">
        <v>1</v>
      </c>
      <c r="R238" s="36" t="s">
        <v>163</v>
      </c>
      <c r="S238" s="36" t="s">
        <v>71</v>
      </c>
      <c r="T238" s="36" t="s">
        <v>99</v>
      </c>
      <c r="U238" s="36" t="s">
        <v>100</v>
      </c>
      <c r="V238" s="36" t="s">
        <v>71</v>
      </c>
      <c r="W238" s="36" t="s">
        <v>71</v>
      </c>
      <c r="X238" s="36" t="s">
        <v>71</v>
      </c>
      <c r="Y238" s="36" t="s">
        <v>71</v>
      </c>
      <c r="Z238" s="36" t="s">
        <v>71</v>
      </c>
      <c r="AA238" s="36" t="s">
        <v>71</v>
      </c>
      <c r="AB238" s="36" t="s">
        <v>71</v>
      </c>
      <c r="AC238" s="36" t="s">
        <v>71</v>
      </c>
      <c r="AD238" s="36" t="s">
        <v>72</v>
      </c>
      <c r="AE238" s="36" t="s">
        <v>94</v>
      </c>
      <c r="AF238" s="36" t="s">
        <v>154</v>
      </c>
      <c r="AG238" s="36" t="s">
        <v>120</v>
      </c>
      <c r="AH238" t="str">
        <f>VLOOKUP($R238,武学奇术!$A:$ZZ,25,FALSE)</f>
        <v>剑</v>
      </c>
      <c r="AI238" s="20">
        <f>VLOOKUP($R238,武学奇术!$A:$ZZ,26,FALSE)</f>
        <v>0.27456</v>
      </c>
      <c r="AJ238" s="21">
        <f>VLOOKUP($R238,武学奇术!$A:$ZZ,27,FALSE)*(1+IF(OR($AH238=$F$4,$AH238=$F$5),$B$22,0))</f>
        <v>0</v>
      </c>
      <c r="AK238" s="20">
        <f>VLOOKUP($R238,武学奇术!$A:$ZZ,28,FALSE)</f>
        <v>0.41184</v>
      </c>
      <c r="AL238" s="21">
        <f>VLOOKUP($R238,武学奇术!$A:$ZZ,29,FALSE)*(1+IF(OR($AH238=$F$4,$AH238=$F$5),$B$22,0))</f>
        <v>0</v>
      </c>
      <c r="AM238" s="20" cm="1">
        <f t="array" ref="AM238">$G$3+IFERROR(VLOOKUP($AH238,$F$4:$G$7,2,FALSE),0)+VLOOKUP($R238,武学奇术!$A:$ZZ,2,FALSE)+SUM(_xlfn.XLOOKUP($S238:$AG238,增益!$A:$A,增益!$B:$B,0))</f>
        <v>1.2391</v>
      </c>
      <c r="AN238" s="20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1517.52</v>
      </c>
      <c r="AP238" cm="1">
        <f t="array" ref="AP238">$E$10*(1+$AN238)+VLOOKUP($R238,武学奇术!$A:$ZZ,4,FALSE)+SUM(_xlfn.XLOOKUP($S238:$AG238,增益!$A:$A,增益!$D:$D,0))-$I$2</f>
        <v>6628.56</v>
      </c>
      <c r="AQ238" s="29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0.3175</v>
      </c>
      <c r="AR238" s="29" cm="1">
        <f t="array" ref="AR238">$G$10+VLOOKUP($R238,武学奇术!$A:$ZZ,7,FALSE)+SUM(_xlfn.XLOOKUP(S238:AG238,增益!$A:$A,增益!$G:$G,0))</f>
        <v>0</v>
      </c>
      <c r="AS238" s="20" cm="1">
        <f t="array" ref="AS238">VLOOKUP($R238,武学奇术!$A:$ZZ,8,FALSE)+SUM(_xlfn.XLOOKUP(S238:AG238,增益!$A:$A,增益!$H:$H,0))</f>
        <v>0</v>
      </c>
      <c r="AT238">
        <f t="shared" si="34"/>
        <v>538</v>
      </c>
      <c r="AU238">
        <f t="shared" si="35"/>
        <v>1011</v>
      </c>
      <c r="AV238" s="29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0.075</v>
      </c>
      <c r="AW238" s="29" cm="1">
        <f t="array" ref="AW238">$G$11+VLOOKUP($R238,武学奇术!$A:$ZZ,10,FALSE)+SUM(_xlfn.XLOOKUP(S238:AG238,增益!$A:$A,增益!$J:$J,0))</f>
        <v>0.15</v>
      </c>
      <c r="AX238">
        <f t="shared" si="36"/>
        <v>0</v>
      </c>
      <c r="AY238">
        <f t="shared" si="37"/>
        <v>0</v>
      </c>
      <c r="AZ238" s="29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-0.3</v>
      </c>
      <c r="BA238" s="29" cm="1">
        <f t="array" ref="BA238">$G$12+VLOOKUP($R238,武学奇术!$A:$ZZ,12,FALSE)+SUM(_xlfn.XLOOKUP(S238:AG238,增益!$A:$A,增益!$L:$L,0))</f>
        <v>0</v>
      </c>
      <c r="BB238">
        <f t="shared" si="38"/>
        <v>0</v>
      </c>
      <c r="BC238">
        <f t="shared" si="39"/>
        <v>0</v>
      </c>
      <c r="BD238" s="29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-0.3</v>
      </c>
      <c r="BE238" s="29" cm="1">
        <f t="array" ref="BE238">$G$13+VLOOKUP($R238,武学奇术!$A:$ZZ,14,FALSE)+SUM(_xlfn.XLOOKUP(S238:AG238,增益!$A:$A,增益!$N:$N,0))</f>
        <v>0</v>
      </c>
      <c r="BF238">
        <f t="shared" si="40"/>
        <v>0</v>
      </c>
      <c r="BG238">
        <f t="shared" si="41"/>
        <v>0</v>
      </c>
      <c r="BH238" s="29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-0.3</v>
      </c>
      <c r="BI238" s="29" cm="1">
        <f t="array" ref="BI238">$G$14+VLOOKUP($R238,武学奇术!$A:$ZZ,16,FALSE)+SUM(_xlfn.XLOOKUP(S238:AG238,增益!$A:$A,增益!$P:$P,0))</f>
        <v>0</v>
      </c>
      <c r="BJ238" s="20">
        <f>MIN(IF(VLOOKUP($R238,武学奇术!$A:$ZZ,23,FALSE)=1,100%,$B$8),100%)</f>
        <v>0.8271</v>
      </c>
      <c r="BK238" s="20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0.2249</v>
      </c>
      <c r="BL238" s="20" cm="1">
        <f t="array" ref="BL238">1+$B$13+VLOOKUP($R238,武学奇术!$A:$ZZ,18,FALSE)+SUM(_xlfn.XLOOKUP(S238:AG238,增益!$A:$A,增益!$R:$R,0))</f>
        <v>1.5</v>
      </c>
      <c r="BM238" s="20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0.4459</v>
      </c>
      <c r="BN238" s="20" cm="1">
        <f t="array" ref="BN238">1+$B$14+VLOOKUP($R238,武学奇术!$A:$ZZ,20,FALSE)+SUM(_xlfn.XLOOKUP(S238:AG238,增益!$A:$A,增益!$T:$T,0))</f>
        <v>1.782</v>
      </c>
      <c r="BO238" s="20">
        <f t="shared" si="42"/>
        <v>0.18601479</v>
      </c>
      <c r="BP238" s="20">
        <f t="shared" si="43"/>
        <v>0.27228132</v>
      </c>
      <c r="BQ238" s="20">
        <f>IF(VLOOKUP($R238,武学奇术!$A:$ZZ,22,FALSE)=1,0,(1-$BJ238))*(1-$BM238)</f>
        <v>0.09580389</v>
      </c>
      <c r="BR238" s="20" cm="1">
        <f t="array" ref="BR238">SUM(_xlfn.XLOOKUP(S238:AG238,增益!$A:$A,增益!$W:$W,0))+$I$5</f>
        <v>0.11</v>
      </c>
    </row>
    <row r="239" spans="11:70">
      <c r="K239" s="27">
        <f>$L239*VLOOKUP($R239,武学奇术!$A:$ZZ,31,FALSE)</f>
        <v>6737.46790053795</v>
      </c>
      <c r="L239" s="27">
        <f t="shared" si="33"/>
        <v>11229.1131675632</v>
      </c>
      <c r="M239" s="27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9191.02351494154</v>
      </c>
      <c r="N239" s="27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17027.2620818703</v>
      </c>
      <c r="O239" s="27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6127.34900996102</v>
      </c>
      <c r="P239" s="27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2699.55655983768</v>
      </c>
      <c r="Q239" s="35">
        <v>1</v>
      </c>
      <c r="R239" s="36" t="s">
        <v>163</v>
      </c>
      <c r="S239" s="36" t="s">
        <v>71</v>
      </c>
      <c r="T239" s="36" t="s">
        <v>99</v>
      </c>
      <c r="U239" s="36" t="s">
        <v>100</v>
      </c>
      <c r="V239" s="36" t="s">
        <v>71</v>
      </c>
      <c r="W239" s="36" t="s">
        <v>71</v>
      </c>
      <c r="X239" s="36" t="s">
        <v>71</v>
      </c>
      <c r="Y239" s="36" t="s">
        <v>71</v>
      </c>
      <c r="Z239" s="36" t="s">
        <v>71</v>
      </c>
      <c r="AA239" s="36" t="s">
        <v>71</v>
      </c>
      <c r="AB239" s="36" t="s">
        <v>71</v>
      </c>
      <c r="AC239" s="36" t="s">
        <v>71</v>
      </c>
      <c r="AD239" s="36" t="s">
        <v>72</v>
      </c>
      <c r="AE239" s="36" t="s">
        <v>94</v>
      </c>
      <c r="AF239" s="36" t="s">
        <v>154</v>
      </c>
      <c r="AG239" s="36" t="s">
        <v>120</v>
      </c>
      <c r="AH239" t="str">
        <f>VLOOKUP($R239,武学奇术!$A:$ZZ,25,FALSE)</f>
        <v>剑</v>
      </c>
      <c r="AI239" s="20">
        <f>VLOOKUP($R239,武学奇术!$A:$ZZ,26,FALSE)</f>
        <v>0.27456</v>
      </c>
      <c r="AJ239" s="21">
        <f>VLOOKUP($R239,武学奇术!$A:$ZZ,27,FALSE)*(1+IF(OR($AH239=$F$4,$AH239=$F$5),$B$22,0))</f>
        <v>0</v>
      </c>
      <c r="AK239" s="20">
        <f>VLOOKUP($R239,武学奇术!$A:$ZZ,28,FALSE)</f>
        <v>0.41184</v>
      </c>
      <c r="AL239" s="21">
        <f>VLOOKUP($R239,武学奇术!$A:$ZZ,29,FALSE)*(1+IF(OR($AH239=$F$4,$AH239=$F$5),$B$22,0))</f>
        <v>0</v>
      </c>
      <c r="AM239" s="20" cm="1">
        <f t="array" ref="AM239">$G$3+IFERROR(VLOOKUP($AH239,$F$4:$G$7,2,FALSE),0)+VLOOKUP($R239,武学奇术!$A:$ZZ,2,FALSE)+SUM(_xlfn.XLOOKUP($S239:$AG239,增益!$A:$A,增益!$B:$B,0))</f>
        <v>1.2391</v>
      </c>
      <c r="AN239" s="20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1517.52</v>
      </c>
      <c r="AP239" cm="1">
        <f t="array" ref="AP239">$E$10*(1+$AN239)+VLOOKUP($R239,武学奇术!$A:$ZZ,4,FALSE)+SUM(_xlfn.XLOOKUP($S239:$AG239,增益!$A:$A,增益!$D:$D,0))-$I$2</f>
        <v>6628.56</v>
      </c>
      <c r="AQ239" s="29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0.3175</v>
      </c>
      <c r="AR239" s="29" cm="1">
        <f t="array" ref="AR239">$G$10+VLOOKUP($R239,武学奇术!$A:$ZZ,7,FALSE)+SUM(_xlfn.XLOOKUP(S239:AG239,增益!$A:$A,增益!$G:$G,0))</f>
        <v>0</v>
      </c>
      <c r="AS239" s="20" cm="1">
        <f t="array" ref="AS239">VLOOKUP($R239,武学奇术!$A:$ZZ,8,FALSE)+SUM(_xlfn.XLOOKUP(S239:AG239,增益!$A:$A,增益!$H:$H,0))</f>
        <v>0</v>
      </c>
      <c r="AT239">
        <f t="shared" si="34"/>
        <v>538</v>
      </c>
      <c r="AU239">
        <f t="shared" si="35"/>
        <v>1011</v>
      </c>
      <c r="AV239" s="29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0.075</v>
      </c>
      <c r="AW239" s="29" cm="1">
        <f t="array" ref="AW239">$G$11+VLOOKUP($R239,武学奇术!$A:$ZZ,10,FALSE)+SUM(_xlfn.XLOOKUP(S239:AG239,增益!$A:$A,增益!$J:$J,0))</f>
        <v>0.15</v>
      </c>
      <c r="AX239">
        <f t="shared" si="36"/>
        <v>0</v>
      </c>
      <c r="AY239">
        <f t="shared" si="37"/>
        <v>0</v>
      </c>
      <c r="AZ239" s="29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-0.3</v>
      </c>
      <c r="BA239" s="29" cm="1">
        <f t="array" ref="BA239">$G$12+VLOOKUP($R239,武学奇术!$A:$ZZ,12,FALSE)+SUM(_xlfn.XLOOKUP(S239:AG239,增益!$A:$A,增益!$L:$L,0))</f>
        <v>0</v>
      </c>
      <c r="BB239">
        <f t="shared" si="38"/>
        <v>0</v>
      </c>
      <c r="BC239">
        <f t="shared" si="39"/>
        <v>0</v>
      </c>
      <c r="BD239" s="29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-0.3</v>
      </c>
      <c r="BE239" s="29" cm="1">
        <f t="array" ref="BE239">$G$13+VLOOKUP($R239,武学奇术!$A:$ZZ,14,FALSE)+SUM(_xlfn.XLOOKUP(S239:AG239,增益!$A:$A,增益!$N:$N,0))</f>
        <v>0</v>
      </c>
      <c r="BF239">
        <f t="shared" si="40"/>
        <v>0</v>
      </c>
      <c r="BG239">
        <f t="shared" si="41"/>
        <v>0</v>
      </c>
      <c r="BH239" s="29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-0.3</v>
      </c>
      <c r="BI239" s="29" cm="1">
        <f t="array" ref="BI239">$G$14+VLOOKUP($R239,武学奇术!$A:$ZZ,16,FALSE)+SUM(_xlfn.XLOOKUP(S239:AG239,增益!$A:$A,增益!$P:$P,0))</f>
        <v>0</v>
      </c>
      <c r="BJ239" s="20">
        <f>MIN(IF(VLOOKUP($R239,武学奇术!$A:$ZZ,23,FALSE)=1,100%,$B$8),100%)</f>
        <v>0.8271</v>
      </c>
      <c r="BK239" s="20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0.2249</v>
      </c>
      <c r="BL239" s="20" cm="1">
        <f t="array" ref="BL239">1+$B$13+VLOOKUP($R239,武学奇术!$A:$ZZ,18,FALSE)+SUM(_xlfn.XLOOKUP(S239:AG239,增益!$A:$A,增益!$R:$R,0))</f>
        <v>1.5</v>
      </c>
      <c r="BM239" s="20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0.4459</v>
      </c>
      <c r="BN239" s="20" cm="1">
        <f t="array" ref="BN239">1+$B$14+VLOOKUP($R239,武学奇术!$A:$ZZ,20,FALSE)+SUM(_xlfn.XLOOKUP(S239:AG239,增益!$A:$A,增益!$T:$T,0))</f>
        <v>1.782</v>
      </c>
      <c r="BO239" s="20">
        <f t="shared" si="42"/>
        <v>0.18601479</v>
      </c>
      <c r="BP239" s="20">
        <f t="shared" si="43"/>
        <v>0.27228132</v>
      </c>
      <c r="BQ239" s="20">
        <f>IF(VLOOKUP($R239,武学奇术!$A:$ZZ,22,FALSE)=1,0,(1-$BJ239))*(1-$BM239)</f>
        <v>0.09580389</v>
      </c>
      <c r="BR239" s="20" cm="1">
        <f t="array" ref="BR239">SUM(_xlfn.XLOOKUP(S239:AG239,增益!$A:$A,增益!$W:$W,0))+$I$5</f>
        <v>0.11</v>
      </c>
    </row>
    <row r="240" spans="11:70">
      <c r="K240" s="27">
        <f>$L240*VLOOKUP($R240,武学奇术!$A:$ZZ,31,FALSE)</f>
        <v>6737.46790053795</v>
      </c>
      <c r="L240" s="27">
        <f t="shared" si="33"/>
        <v>11229.1131675632</v>
      </c>
      <c r="M240" s="27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9191.02351494154</v>
      </c>
      <c r="N240" s="27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17027.2620818703</v>
      </c>
      <c r="O240" s="27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6127.34900996102</v>
      </c>
      <c r="P240" s="27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2699.55655983768</v>
      </c>
      <c r="Q240" s="35">
        <v>1</v>
      </c>
      <c r="R240" s="36" t="s">
        <v>163</v>
      </c>
      <c r="S240" s="36" t="s">
        <v>71</v>
      </c>
      <c r="T240" s="36" t="s">
        <v>99</v>
      </c>
      <c r="U240" s="36" t="s">
        <v>100</v>
      </c>
      <c r="V240" s="36" t="s">
        <v>71</v>
      </c>
      <c r="W240" s="36" t="s">
        <v>71</v>
      </c>
      <c r="X240" s="36" t="s">
        <v>71</v>
      </c>
      <c r="Y240" s="36" t="s">
        <v>71</v>
      </c>
      <c r="Z240" s="36" t="s">
        <v>71</v>
      </c>
      <c r="AA240" s="36" t="s">
        <v>71</v>
      </c>
      <c r="AB240" s="36" t="s">
        <v>71</v>
      </c>
      <c r="AC240" s="36" t="s">
        <v>71</v>
      </c>
      <c r="AD240" s="36" t="s">
        <v>72</v>
      </c>
      <c r="AE240" s="36" t="s">
        <v>94</v>
      </c>
      <c r="AF240" s="36" t="s">
        <v>154</v>
      </c>
      <c r="AG240" s="36" t="s">
        <v>120</v>
      </c>
      <c r="AH240" t="str">
        <f>VLOOKUP($R240,武学奇术!$A:$ZZ,25,FALSE)</f>
        <v>剑</v>
      </c>
      <c r="AI240" s="20">
        <f>VLOOKUP($R240,武学奇术!$A:$ZZ,26,FALSE)</f>
        <v>0.27456</v>
      </c>
      <c r="AJ240" s="21">
        <f>VLOOKUP($R240,武学奇术!$A:$ZZ,27,FALSE)*(1+IF(OR($AH240=$F$4,$AH240=$F$5),$B$22,0))</f>
        <v>0</v>
      </c>
      <c r="AK240" s="20">
        <f>VLOOKUP($R240,武学奇术!$A:$ZZ,28,FALSE)</f>
        <v>0.41184</v>
      </c>
      <c r="AL240" s="21">
        <f>VLOOKUP($R240,武学奇术!$A:$ZZ,29,FALSE)*(1+IF(OR($AH240=$F$4,$AH240=$F$5),$B$22,0))</f>
        <v>0</v>
      </c>
      <c r="AM240" s="20" cm="1">
        <f t="array" ref="AM240">$G$3+IFERROR(VLOOKUP($AH240,$F$4:$G$7,2,FALSE),0)+VLOOKUP($R240,武学奇术!$A:$ZZ,2,FALSE)+SUM(_xlfn.XLOOKUP($S240:$AG240,增益!$A:$A,增益!$B:$B,0))</f>
        <v>1.2391</v>
      </c>
      <c r="AN240" s="20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1517.52</v>
      </c>
      <c r="AP240" cm="1">
        <f t="array" ref="AP240">$E$10*(1+$AN240)+VLOOKUP($R240,武学奇术!$A:$ZZ,4,FALSE)+SUM(_xlfn.XLOOKUP($S240:$AG240,增益!$A:$A,增益!$D:$D,0))-$I$2</f>
        <v>6628.56</v>
      </c>
      <c r="AQ240" s="29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0.3175</v>
      </c>
      <c r="AR240" s="29" cm="1">
        <f t="array" ref="AR240">$G$10+VLOOKUP($R240,武学奇术!$A:$ZZ,7,FALSE)+SUM(_xlfn.XLOOKUP(S240:AG240,增益!$A:$A,增益!$G:$G,0))</f>
        <v>0</v>
      </c>
      <c r="AS240" s="20" cm="1">
        <f t="array" ref="AS240">VLOOKUP($R240,武学奇术!$A:$ZZ,8,FALSE)+SUM(_xlfn.XLOOKUP(S240:AG240,增益!$A:$A,增益!$H:$H,0))</f>
        <v>0</v>
      </c>
      <c r="AT240">
        <f t="shared" si="34"/>
        <v>538</v>
      </c>
      <c r="AU240">
        <f t="shared" si="35"/>
        <v>1011</v>
      </c>
      <c r="AV240" s="29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0.075</v>
      </c>
      <c r="AW240" s="29" cm="1">
        <f t="array" ref="AW240">$G$11+VLOOKUP($R240,武学奇术!$A:$ZZ,10,FALSE)+SUM(_xlfn.XLOOKUP(S240:AG240,增益!$A:$A,增益!$J:$J,0))</f>
        <v>0.15</v>
      </c>
      <c r="AX240">
        <f t="shared" si="36"/>
        <v>0</v>
      </c>
      <c r="AY240">
        <f t="shared" si="37"/>
        <v>0</v>
      </c>
      <c r="AZ240" s="29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-0.3</v>
      </c>
      <c r="BA240" s="29" cm="1">
        <f t="array" ref="BA240">$G$12+VLOOKUP($R240,武学奇术!$A:$ZZ,12,FALSE)+SUM(_xlfn.XLOOKUP(S240:AG240,增益!$A:$A,增益!$L:$L,0))</f>
        <v>0</v>
      </c>
      <c r="BB240">
        <f t="shared" si="38"/>
        <v>0</v>
      </c>
      <c r="BC240">
        <f t="shared" si="39"/>
        <v>0</v>
      </c>
      <c r="BD240" s="29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-0.3</v>
      </c>
      <c r="BE240" s="29" cm="1">
        <f t="array" ref="BE240">$G$13+VLOOKUP($R240,武学奇术!$A:$ZZ,14,FALSE)+SUM(_xlfn.XLOOKUP(S240:AG240,增益!$A:$A,增益!$N:$N,0))</f>
        <v>0</v>
      </c>
      <c r="BF240">
        <f t="shared" si="40"/>
        <v>0</v>
      </c>
      <c r="BG240">
        <f t="shared" si="41"/>
        <v>0</v>
      </c>
      <c r="BH240" s="29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-0.3</v>
      </c>
      <c r="BI240" s="29" cm="1">
        <f t="array" ref="BI240">$G$14+VLOOKUP($R240,武学奇术!$A:$ZZ,16,FALSE)+SUM(_xlfn.XLOOKUP(S240:AG240,增益!$A:$A,增益!$P:$P,0))</f>
        <v>0</v>
      </c>
      <c r="BJ240" s="20">
        <f>MIN(IF(VLOOKUP($R240,武学奇术!$A:$ZZ,23,FALSE)=1,100%,$B$8),100%)</f>
        <v>0.8271</v>
      </c>
      <c r="BK240" s="20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0.2249</v>
      </c>
      <c r="BL240" s="20" cm="1">
        <f t="array" ref="BL240">1+$B$13+VLOOKUP($R240,武学奇术!$A:$ZZ,18,FALSE)+SUM(_xlfn.XLOOKUP(S240:AG240,增益!$A:$A,增益!$R:$R,0))</f>
        <v>1.5</v>
      </c>
      <c r="BM240" s="20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0.4459</v>
      </c>
      <c r="BN240" s="20" cm="1">
        <f t="array" ref="BN240">1+$B$14+VLOOKUP($R240,武学奇术!$A:$ZZ,20,FALSE)+SUM(_xlfn.XLOOKUP(S240:AG240,增益!$A:$A,增益!$T:$T,0))</f>
        <v>1.782</v>
      </c>
      <c r="BO240" s="20">
        <f t="shared" si="42"/>
        <v>0.18601479</v>
      </c>
      <c r="BP240" s="20">
        <f t="shared" si="43"/>
        <v>0.27228132</v>
      </c>
      <c r="BQ240" s="20">
        <f>IF(VLOOKUP($R240,武学奇术!$A:$ZZ,22,FALSE)=1,0,(1-$BJ240))*(1-$BM240)</f>
        <v>0.09580389</v>
      </c>
      <c r="BR240" s="20" cm="1">
        <f t="array" ref="BR240">SUM(_xlfn.XLOOKUP(S240:AG240,增益!$A:$A,增益!$W:$W,0))+$I$5</f>
        <v>0.11</v>
      </c>
    </row>
    <row r="241" spans="11:70">
      <c r="K241" s="27">
        <f>$L241*VLOOKUP($R241,武学奇术!$A:$ZZ,31,FALSE)</f>
        <v>4210.91743783622</v>
      </c>
      <c r="L241" s="27">
        <f t="shared" si="33"/>
        <v>7018.19572972703</v>
      </c>
      <c r="M241" s="27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5744.38969683846</v>
      </c>
      <c r="N241" s="27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10642.038801169</v>
      </c>
      <c r="O241" s="27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3829.59313122564</v>
      </c>
      <c r="P241" s="27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1687.22284989855</v>
      </c>
      <c r="Q241" s="35">
        <v>1</v>
      </c>
      <c r="R241" s="36" t="s">
        <v>164</v>
      </c>
      <c r="S241" s="36" t="s">
        <v>71</v>
      </c>
      <c r="T241" s="36" t="s">
        <v>99</v>
      </c>
      <c r="U241" s="36" t="s">
        <v>100</v>
      </c>
      <c r="V241" s="36" t="s">
        <v>71</v>
      </c>
      <c r="W241" s="36" t="s">
        <v>71</v>
      </c>
      <c r="X241" s="36" t="s">
        <v>71</v>
      </c>
      <c r="Y241" s="36" t="s">
        <v>71</v>
      </c>
      <c r="Z241" s="36" t="s">
        <v>71</v>
      </c>
      <c r="AA241" s="36" t="s">
        <v>71</v>
      </c>
      <c r="AB241" s="36" t="s">
        <v>71</v>
      </c>
      <c r="AC241" s="36" t="s">
        <v>71</v>
      </c>
      <c r="AD241" s="36" t="s">
        <v>72</v>
      </c>
      <c r="AE241" s="36" t="s">
        <v>94</v>
      </c>
      <c r="AF241" s="36" t="s">
        <v>154</v>
      </c>
      <c r="AG241" s="36" t="s">
        <v>120</v>
      </c>
      <c r="AH241" t="str">
        <f>VLOOKUP($R241,武学奇术!$A:$ZZ,25,FALSE)</f>
        <v>剑</v>
      </c>
      <c r="AI241" s="20">
        <f>VLOOKUP($R241,武学奇术!$A:$ZZ,26,FALSE)</f>
        <v>0.1716</v>
      </c>
      <c r="AJ241" s="21">
        <f>VLOOKUP($R241,武学奇术!$A:$ZZ,27,FALSE)*(1+IF(OR($AH241=$F$4,$AH241=$F$5),$B$22,0))</f>
        <v>0</v>
      </c>
      <c r="AK241" s="20">
        <f>VLOOKUP($R241,武学奇术!$A:$ZZ,28,FALSE)</f>
        <v>0.2574</v>
      </c>
      <c r="AL241" s="21">
        <f>VLOOKUP($R241,武学奇术!$A:$ZZ,29,FALSE)*(1+IF(OR($AH241=$F$4,$AH241=$F$5),$B$22,0))</f>
        <v>0</v>
      </c>
      <c r="AM241" s="20" cm="1">
        <f t="array" ref="AM241">$G$3+IFERROR(VLOOKUP($AH241,$F$4:$G$7,2,FALSE),0)+VLOOKUP($R241,武学奇术!$A:$ZZ,2,FALSE)+SUM(_xlfn.XLOOKUP($S241:$AG241,增益!$A:$A,增益!$B:$B,0))</f>
        <v>1.2391</v>
      </c>
      <c r="AN241" s="20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1517.52</v>
      </c>
      <c r="AP241" cm="1">
        <f t="array" ref="AP241">$E$10*(1+$AN241)+VLOOKUP($R241,武学奇术!$A:$ZZ,4,FALSE)+SUM(_xlfn.XLOOKUP($S241:$AG241,增益!$A:$A,增益!$D:$D,0))-$I$2</f>
        <v>6628.56</v>
      </c>
      <c r="AQ241" s="29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0.3175</v>
      </c>
      <c r="AR241" s="29" cm="1">
        <f t="array" ref="AR241">$G$10+VLOOKUP($R241,武学奇术!$A:$ZZ,7,FALSE)+SUM(_xlfn.XLOOKUP(S241:AG241,增益!$A:$A,增益!$G:$G,0))</f>
        <v>0</v>
      </c>
      <c r="AS241" s="20" cm="1">
        <f t="array" ref="AS241">VLOOKUP($R241,武学奇术!$A:$ZZ,8,FALSE)+SUM(_xlfn.XLOOKUP(S241:AG241,增益!$A:$A,增益!$H:$H,0))</f>
        <v>0</v>
      </c>
      <c r="AT241">
        <f t="shared" si="34"/>
        <v>538</v>
      </c>
      <c r="AU241">
        <f t="shared" si="35"/>
        <v>1011</v>
      </c>
      <c r="AV241" s="29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0.075</v>
      </c>
      <c r="AW241" s="29" cm="1">
        <f t="array" ref="AW241">$G$11+VLOOKUP($R241,武学奇术!$A:$ZZ,10,FALSE)+SUM(_xlfn.XLOOKUP(S241:AG241,增益!$A:$A,增益!$J:$J,0))</f>
        <v>0.15</v>
      </c>
      <c r="AX241">
        <f t="shared" si="36"/>
        <v>0</v>
      </c>
      <c r="AY241">
        <f t="shared" si="37"/>
        <v>0</v>
      </c>
      <c r="AZ241" s="29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29" cm="1">
        <f t="array" ref="BA241">$G$12+VLOOKUP($R241,武学奇术!$A:$ZZ,12,FALSE)+SUM(_xlfn.XLOOKUP(S241:AG241,增益!$A:$A,增益!$L:$L,0))</f>
        <v>0</v>
      </c>
      <c r="BB241">
        <f t="shared" si="38"/>
        <v>0</v>
      </c>
      <c r="BC241">
        <f t="shared" si="39"/>
        <v>0</v>
      </c>
      <c r="BD241" s="29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29" cm="1">
        <f t="array" ref="BE241">$G$13+VLOOKUP($R241,武学奇术!$A:$ZZ,14,FALSE)+SUM(_xlfn.XLOOKUP(S241:AG241,增益!$A:$A,增益!$N:$N,0))</f>
        <v>0</v>
      </c>
      <c r="BF241">
        <f t="shared" si="40"/>
        <v>0</v>
      </c>
      <c r="BG241">
        <f t="shared" si="41"/>
        <v>0</v>
      </c>
      <c r="BH241" s="29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29" cm="1">
        <f t="array" ref="BI241">$G$14+VLOOKUP($R241,武学奇术!$A:$ZZ,16,FALSE)+SUM(_xlfn.XLOOKUP(S241:AG241,增益!$A:$A,增益!$P:$P,0))</f>
        <v>0</v>
      </c>
      <c r="BJ241" s="20">
        <f>MIN(IF(VLOOKUP($R241,武学奇术!$A:$ZZ,23,FALSE)=1,100%,$B$8),100%)</f>
        <v>0.8271</v>
      </c>
      <c r="BK241" s="20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0.2249</v>
      </c>
      <c r="BL241" s="20" cm="1">
        <f t="array" ref="BL241">1+$B$13+VLOOKUP($R241,武学奇术!$A:$ZZ,18,FALSE)+SUM(_xlfn.XLOOKUP(S241:AG241,增益!$A:$A,增益!$R:$R,0))</f>
        <v>1.5</v>
      </c>
      <c r="BM241" s="20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0.4459</v>
      </c>
      <c r="BN241" s="20" cm="1">
        <f t="array" ref="BN241">1+$B$14+VLOOKUP($R241,武学奇术!$A:$ZZ,20,FALSE)+SUM(_xlfn.XLOOKUP(S241:AG241,增益!$A:$A,增益!$T:$T,0))</f>
        <v>1.782</v>
      </c>
      <c r="BO241" s="20">
        <f t="shared" si="42"/>
        <v>0.18601479</v>
      </c>
      <c r="BP241" s="20">
        <f t="shared" si="43"/>
        <v>0.27228132</v>
      </c>
      <c r="BQ241" s="20">
        <f>IF(VLOOKUP($R241,武学奇术!$A:$ZZ,22,FALSE)=1,0,(1-$BJ241))*(1-$BM241)</f>
        <v>0.09580389</v>
      </c>
      <c r="BR241" s="20" cm="1">
        <f t="array" ref="BR241">SUM(_xlfn.XLOOKUP(S241:AG241,增益!$A:$A,增益!$W:$W,0))+$I$5</f>
        <v>0.11</v>
      </c>
    </row>
    <row r="242" spans="11:70">
      <c r="K242" s="27">
        <f>$L242*VLOOKUP($R242,武学奇术!$A:$ZZ,31,FALSE)</f>
        <v>8461.61411788712</v>
      </c>
      <c r="L242" s="27">
        <f t="shared" si="33"/>
        <v>14102.6901964785</v>
      </c>
      <c r="M242" s="27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11557.7590864743</v>
      </c>
      <c r="N242" s="27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21366.0254773812</v>
      </c>
      <c r="O242" s="27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7705.1727243162</v>
      </c>
      <c r="P242" s="27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3420.43216166202</v>
      </c>
      <c r="Q242" s="35">
        <v>1</v>
      </c>
      <c r="R242" s="36" t="s">
        <v>162</v>
      </c>
      <c r="S242" s="36" t="s">
        <v>71</v>
      </c>
      <c r="T242" s="36" t="s">
        <v>99</v>
      </c>
      <c r="U242" s="36" t="s">
        <v>100</v>
      </c>
      <c r="V242" s="36" t="s">
        <v>71</v>
      </c>
      <c r="W242" s="36" t="s">
        <v>111</v>
      </c>
      <c r="X242" s="36" t="s">
        <v>71</v>
      </c>
      <c r="Y242" s="36" t="s">
        <v>71</v>
      </c>
      <c r="Z242" s="36" t="s">
        <v>71</v>
      </c>
      <c r="AA242" s="36" t="s">
        <v>71</v>
      </c>
      <c r="AB242" s="36" t="s">
        <v>71</v>
      </c>
      <c r="AC242" s="36" t="s">
        <v>71</v>
      </c>
      <c r="AD242" s="36" t="s">
        <v>72</v>
      </c>
      <c r="AE242" s="36" t="s">
        <v>94</v>
      </c>
      <c r="AF242" s="36" t="s">
        <v>154</v>
      </c>
      <c r="AG242" s="36" t="s">
        <v>120</v>
      </c>
      <c r="AH242" t="str">
        <f>VLOOKUP($R242,武学奇术!$A:$ZZ,25,FALSE)</f>
        <v>剑</v>
      </c>
      <c r="AI242" s="20">
        <f>VLOOKUP($R242,武学奇术!$A:$ZZ,26,FALSE)</f>
        <v>0.3432</v>
      </c>
      <c r="AJ242" s="21">
        <f>VLOOKUP($R242,武学奇术!$A:$ZZ,27,FALSE)*(1+IF(OR($AH242=$F$4,$AH242=$F$5),$B$22,0))</f>
        <v>0</v>
      </c>
      <c r="AK242" s="20">
        <f>VLOOKUP($R242,武学奇术!$A:$ZZ,28,FALSE)</f>
        <v>0.5148</v>
      </c>
      <c r="AL242" s="21">
        <f>VLOOKUP($R242,武学奇术!$A:$ZZ,29,FALSE)*(1+IF(OR($AH242=$F$4,$AH242=$F$5),$B$22,0))</f>
        <v>0</v>
      </c>
      <c r="AM242" s="20" cm="1">
        <f t="array" ref="AM242">$G$3+IFERROR(VLOOKUP($AH242,$F$4:$G$7,2,FALSE),0)+VLOOKUP($R242,武学奇术!$A:$ZZ,2,FALSE)+SUM(_xlfn.XLOOKUP($S242:$AG242,增益!$A:$A,增益!$B:$B,0))</f>
        <v>1.2391</v>
      </c>
      <c r="AN242" s="20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1548.52</v>
      </c>
      <c r="AP242" cm="1">
        <f t="array" ref="AP242">$E$10*(1+$AN242)+VLOOKUP($R242,武学奇术!$A:$ZZ,4,FALSE)+SUM(_xlfn.XLOOKUP($S242:$AG242,增益!$A:$A,增益!$D:$D,0))-$I$2</f>
        <v>6659.56</v>
      </c>
      <c r="AQ242" s="29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0.3175</v>
      </c>
      <c r="AR242" s="29" cm="1">
        <f t="array" ref="AR242">$G$10+VLOOKUP($R242,武学奇术!$A:$ZZ,7,FALSE)+SUM(_xlfn.XLOOKUP(S242:AG242,增益!$A:$A,增益!$G:$G,0))</f>
        <v>0</v>
      </c>
      <c r="AS242" s="20" cm="1">
        <f t="array" ref="AS242">VLOOKUP($R242,武学奇术!$A:$ZZ,8,FALSE)+SUM(_xlfn.XLOOKUP(S242:AG242,增益!$A:$A,增益!$H:$H,0))</f>
        <v>0</v>
      </c>
      <c r="AT242">
        <f t="shared" si="34"/>
        <v>538</v>
      </c>
      <c r="AU242">
        <f t="shared" si="35"/>
        <v>1011</v>
      </c>
      <c r="AV242" s="29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0.075</v>
      </c>
      <c r="AW242" s="29" cm="1">
        <f t="array" ref="AW242">$G$11+VLOOKUP($R242,武学奇术!$A:$ZZ,10,FALSE)+SUM(_xlfn.XLOOKUP(S242:AG242,增益!$A:$A,增益!$J:$J,0))</f>
        <v>0.15</v>
      </c>
      <c r="AX242">
        <f t="shared" si="36"/>
        <v>0</v>
      </c>
      <c r="AY242">
        <f t="shared" si="37"/>
        <v>0</v>
      </c>
      <c r="AZ242" s="29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29" cm="1">
        <f t="array" ref="BA242">$G$12+VLOOKUP($R242,武学奇术!$A:$ZZ,12,FALSE)+SUM(_xlfn.XLOOKUP(S242:AG242,增益!$A:$A,增益!$L:$L,0))</f>
        <v>0</v>
      </c>
      <c r="BB242">
        <f t="shared" si="38"/>
        <v>0</v>
      </c>
      <c r="BC242">
        <f t="shared" si="39"/>
        <v>0</v>
      </c>
      <c r="BD242" s="29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29" cm="1">
        <f t="array" ref="BE242">$G$13+VLOOKUP($R242,武学奇术!$A:$ZZ,14,FALSE)+SUM(_xlfn.XLOOKUP(S242:AG242,增益!$A:$A,增益!$N:$N,0))</f>
        <v>0</v>
      </c>
      <c r="BF242">
        <f t="shared" si="40"/>
        <v>0</v>
      </c>
      <c r="BG242">
        <f t="shared" si="41"/>
        <v>0</v>
      </c>
      <c r="BH242" s="29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29" cm="1">
        <f t="array" ref="BI242">$G$14+VLOOKUP($R242,武学奇术!$A:$ZZ,16,FALSE)+SUM(_xlfn.XLOOKUP(S242:AG242,增益!$A:$A,增益!$P:$P,0))</f>
        <v>0</v>
      </c>
      <c r="BJ242" s="20">
        <f>MIN(IF(VLOOKUP($R242,武学奇术!$A:$ZZ,23,FALSE)=1,100%,$B$8),100%)</f>
        <v>0.8271</v>
      </c>
      <c r="BK242" s="20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0.2249</v>
      </c>
      <c r="BL242" s="20" cm="1">
        <f t="array" ref="BL242">1+$B$13+VLOOKUP($R242,武学奇术!$A:$ZZ,18,FALSE)+SUM(_xlfn.XLOOKUP(S242:AG242,增益!$A:$A,增益!$R:$R,0))</f>
        <v>1.5</v>
      </c>
      <c r="BM242" s="20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0.4459</v>
      </c>
      <c r="BN242" s="20" cm="1">
        <f t="array" ref="BN242">1+$B$14+VLOOKUP($R242,武学奇术!$A:$ZZ,20,FALSE)+SUM(_xlfn.XLOOKUP(S242:AG242,增益!$A:$A,增益!$T:$T,0))</f>
        <v>1.782</v>
      </c>
      <c r="BO242" s="20">
        <f t="shared" si="42"/>
        <v>0.18601479</v>
      </c>
      <c r="BP242" s="20">
        <f t="shared" si="43"/>
        <v>0.27228132</v>
      </c>
      <c r="BQ242" s="20">
        <f>IF(VLOOKUP($R242,武学奇术!$A:$ZZ,22,FALSE)=1,0,(1-$BJ242))*(1-$BM242)</f>
        <v>0.09580389</v>
      </c>
      <c r="BR242" s="20" cm="1">
        <f t="array" ref="BR242">SUM(_xlfn.XLOOKUP(S242:AG242,增益!$A:$A,增益!$W:$W,0))+$I$5</f>
        <v>0.11</v>
      </c>
    </row>
    <row r="243" spans="11:70">
      <c r="K243" s="27">
        <f>$L243*VLOOKUP($R243,武学奇术!$A:$ZZ,31,FALSE)</f>
        <v>4230.80705894356</v>
      </c>
      <c r="L243" s="27">
        <f t="shared" si="33"/>
        <v>7051.34509823927</v>
      </c>
      <c r="M243" s="27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5778.87954323715</v>
      </c>
      <c r="N243" s="27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10683.0127386906</v>
      </c>
      <c r="O243" s="27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3852.5863621581</v>
      </c>
      <c r="P243" s="27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1710.21608083101</v>
      </c>
      <c r="Q243" s="35">
        <v>1</v>
      </c>
      <c r="R243" s="36" t="s">
        <v>164</v>
      </c>
      <c r="S243" s="36" t="s">
        <v>71</v>
      </c>
      <c r="T243" s="36" t="s">
        <v>99</v>
      </c>
      <c r="U243" s="36" t="s">
        <v>100</v>
      </c>
      <c r="V243" s="36" t="s">
        <v>71</v>
      </c>
      <c r="W243" s="36" t="s">
        <v>111</v>
      </c>
      <c r="X243" s="36" t="s">
        <v>71</v>
      </c>
      <c r="Y243" s="36" t="s">
        <v>71</v>
      </c>
      <c r="Z243" s="36" t="s">
        <v>71</v>
      </c>
      <c r="AA243" s="36" t="s">
        <v>71</v>
      </c>
      <c r="AB243" s="36" t="s">
        <v>71</v>
      </c>
      <c r="AC243" s="36" t="s">
        <v>71</v>
      </c>
      <c r="AD243" s="36" t="s">
        <v>72</v>
      </c>
      <c r="AE243" s="36" t="s">
        <v>94</v>
      </c>
      <c r="AF243" s="36" t="s">
        <v>154</v>
      </c>
      <c r="AG243" s="36" t="s">
        <v>120</v>
      </c>
      <c r="AH243" t="str">
        <f>VLOOKUP($R243,武学奇术!$A:$ZZ,25,FALSE)</f>
        <v>剑</v>
      </c>
      <c r="AI243" s="20">
        <f>VLOOKUP($R243,武学奇术!$A:$ZZ,26,FALSE)</f>
        <v>0.1716</v>
      </c>
      <c r="AJ243" s="21">
        <f>VLOOKUP($R243,武学奇术!$A:$ZZ,27,FALSE)*(1+IF(OR($AH243=$F$4,$AH243=$F$5),$B$22,0))</f>
        <v>0</v>
      </c>
      <c r="AK243" s="20">
        <f>VLOOKUP($R243,武学奇术!$A:$ZZ,28,FALSE)</f>
        <v>0.2574</v>
      </c>
      <c r="AL243" s="21">
        <f>VLOOKUP($R243,武学奇术!$A:$ZZ,29,FALSE)*(1+IF(OR($AH243=$F$4,$AH243=$F$5),$B$22,0))</f>
        <v>0</v>
      </c>
      <c r="AM243" s="20" cm="1">
        <f t="array" ref="AM243">$G$3+IFERROR(VLOOKUP($AH243,$F$4:$G$7,2,FALSE),0)+VLOOKUP($R243,武学奇术!$A:$ZZ,2,FALSE)+SUM(_xlfn.XLOOKUP($S243:$AG243,增益!$A:$A,增益!$B:$B,0))</f>
        <v>1.2391</v>
      </c>
      <c r="AN243" s="20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1548.52</v>
      </c>
      <c r="AP243" cm="1">
        <f t="array" ref="AP243">$E$10*(1+$AN243)+VLOOKUP($R243,武学奇术!$A:$ZZ,4,FALSE)+SUM(_xlfn.XLOOKUP($S243:$AG243,增益!$A:$A,增益!$D:$D,0))-$I$2</f>
        <v>6659.56</v>
      </c>
      <c r="AQ243" s="29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0.3175</v>
      </c>
      <c r="AR243" s="29" cm="1">
        <f t="array" ref="AR243">$G$10+VLOOKUP($R243,武学奇术!$A:$ZZ,7,FALSE)+SUM(_xlfn.XLOOKUP(S243:AG243,增益!$A:$A,增益!$G:$G,0))</f>
        <v>0</v>
      </c>
      <c r="AS243" s="20" cm="1">
        <f t="array" ref="AS243">VLOOKUP($R243,武学奇术!$A:$ZZ,8,FALSE)+SUM(_xlfn.XLOOKUP(S243:AG243,增益!$A:$A,增益!$H:$H,0))</f>
        <v>0</v>
      </c>
      <c r="AT243">
        <f t="shared" si="34"/>
        <v>538</v>
      </c>
      <c r="AU243">
        <f t="shared" si="35"/>
        <v>1011</v>
      </c>
      <c r="AV243" s="29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0.075</v>
      </c>
      <c r="AW243" s="29" cm="1">
        <f t="array" ref="AW243">$G$11+VLOOKUP($R243,武学奇术!$A:$ZZ,10,FALSE)+SUM(_xlfn.XLOOKUP(S243:AG243,增益!$A:$A,增益!$J:$J,0))</f>
        <v>0.15</v>
      </c>
      <c r="AX243">
        <f t="shared" si="36"/>
        <v>0</v>
      </c>
      <c r="AY243">
        <f t="shared" si="37"/>
        <v>0</v>
      </c>
      <c r="AZ243" s="29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29" cm="1">
        <f t="array" ref="BA243">$G$12+VLOOKUP($R243,武学奇术!$A:$ZZ,12,FALSE)+SUM(_xlfn.XLOOKUP(S243:AG243,增益!$A:$A,增益!$L:$L,0))</f>
        <v>0</v>
      </c>
      <c r="BB243">
        <f t="shared" si="38"/>
        <v>0</v>
      </c>
      <c r="BC243">
        <f t="shared" si="39"/>
        <v>0</v>
      </c>
      <c r="BD243" s="29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29" cm="1">
        <f t="array" ref="BE243">$G$13+VLOOKUP($R243,武学奇术!$A:$ZZ,14,FALSE)+SUM(_xlfn.XLOOKUP(S243:AG243,增益!$A:$A,增益!$N:$N,0))</f>
        <v>0</v>
      </c>
      <c r="BF243">
        <f t="shared" si="40"/>
        <v>0</v>
      </c>
      <c r="BG243">
        <f t="shared" si="41"/>
        <v>0</v>
      </c>
      <c r="BH243" s="29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29" cm="1">
        <f t="array" ref="BI243">$G$14+VLOOKUP($R243,武学奇术!$A:$ZZ,16,FALSE)+SUM(_xlfn.XLOOKUP(S243:AG243,增益!$A:$A,增益!$P:$P,0))</f>
        <v>0</v>
      </c>
      <c r="BJ243" s="20">
        <f>MIN(IF(VLOOKUP($R243,武学奇术!$A:$ZZ,23,FALSE)=1,100%,$B$8),100%)</f>
        <v>0.8271</v>
      </c>
      <c r="BK243" s="20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0.2249</v>
      </c>
      <c r="BL243" s="20" cm="1">
        <f t="array" ref="BL243">1+$B$13+VLOOKUP($R243,武学奇术!$A:$ZZ,18,FALSE)+SUM(_xlfn.XLOOKUP(S243:AG243,增益!$A:$A,增益!$R:$R,0))</f>
        <v>1.5</v>
      </c>
      <c r="BM243" s="20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0.4459</v>
      </c>
      <c r="BN243" s="20" cm="1">
        <f t="array" ref="BN243">1+$B$14+VLOOKUP($R243,武学奇术!$A:$ZZ,20,FALSE)+SUM(_xlfn.XLOOKUP(S243:AG243,增益!$A:$A,增益!$T:$T,0))</f>
        <v>1.782</v>
      </c>
      <c r="BO243" s="20">
        <f t="shared" si="42"/>
        <v>0.18601479</v>
      </c>
      <c r="BP243" s="20">
        <f t="shared" si="43"/>
        <v>0.27228132</v>
      </c>
      <c r="BQ243" s="20">
        <f>IF(VLOOKUP($R243,武学奇术!$A:$ZZ,22,FALSE)=1,0,(1-$BJ243))*(1-$BM243)</f>
        <v>0.09580389</v>
      </c>
      <c r="BR243" s="20" cm="1">
        <f t="array" ref="BR243">SUM(_xlfn.XLOOKUP(S243:AG243,增益!$A:$A,增益!$W:$W,0))+$I$5</f>
        <v>0.11</v>
      </c>
    </row>
    <row r="244" spans="11:70">
      <c r="K244" s="27">
        <f>$L244*VLOOKUP($R244,武学奇术!$A:$ZZ,31,FALSE)</f>
        <v>8461.61411788712</v>
      </c>
      <c r="L244" s="27">
        <f t="shared" si="33"/>
        <v>14102.6901964785</v>
      </c>
      <c r="M244" s="27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11557.7590864743</v>
      </c>
      <c r="N244" s="27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21366.0254773812</v>
      </c>
      <c r="O244" s="27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7705.1727243162</v>
      </c>
      <c r="P244" s="27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3420.43216166202</v>
      </c>
      <c r="Q244" s="35">
        <v>1</v>
      </c>
      <c r="R244" s="36" t="s">
        <v>162</v>
      </c>
      <c r="S244" s="36" t="s">
        <v>71</v>
      </c>
      <c r="T244" s="36" t="s">
        <v>99</v>
      </c>
      <c r="U244" s="36" t="s">
        <v>100</v>
      </c>
      <c r="V244" s="36" t="s">
        <v>71</v>
      </c>
      <c r="W244" s="36" t="s">
        <v>111</v>
      </c>
      <c r="X244" s="36" t="s">
        <v>71</v>
      </c>
      <c r="Y244" s="36" t="s">
        <v>71</v>
      </c>
      <c r="Z244" s="36" t="s">
        <v>71</v>
      </c>
      <c r="AA244" s="36" t="s">
        <v>71</v>
      </c>
      <c r="AB244" s="36" t="s">
        <v>71</v>
      </c>
      <c r="AC244" s="36" t="s">
        <v>71</v>
      </c>
      <c r="AD244" s="36" t="s">
        <v>72</v>
      </c>
      <c r="AE244" s="36" t="s">
        <v>94</v>
      </c>
      <c r="AF244" s="36" t="s">
        <v>154</v>
      </c>
      <c r="AG244" s="36" t="s">
        <v>120</v>
      </c>
      <c r="AH244" t="str">
        <f>VLOOKUP($R244,武学奇术!$A:$ZZ,25,FALSE)</f>
        <v>剑</v>
      </c>
      <c r="AI244" s="20">
        <f>VLOOKUP($R244,武学奇术!$A:$ZZ,26,FALSE)</f>
        <v>0.3432</v>
      </c>
      <c r="AJ244" s="21">
        <f>VLOOKUP($R244,武学奇术!$A:$ZZ,27,FALSE)*(1+IF(OR($AH244=$F$4,$AH244=$F$5),$B$22,0))</f>
        <v>0</v>
      </c>
      <c r="AK244" s="20">
        <f>VLOOKUP($R244,武学奇术!$A:$ZZ,28,FALSE)</f>
        <v>0.5148</v>
      </c>
      <c r="AL244" s="21">
        <f>VLOOKUP($R244,武学奇术!$A:$ZZ,29,FALSE)*(1+IF(OR($AH244=$F$4,$AH244=$F$5),$B$22,0))</f>
        <v>0</v>
      </c>
      <c r="AM244" s="20" cm="1">
        <f t="array" ref="AM244">$G$3+IFERROR(VLOOKUP($AH244,$F$4:$G$7,2,FALSE),0)+VLOOKUP($R244,武学奇术!$A:$ZZ,2,FALSE)+SUM(_xlfn.XLOOKUP($S244:$AG244,增益!$A:$A,增益!$B:$B,0))</f>
        <v>1.2391</v>
      </c>
      <c r="AN244" s="20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1548.52</v>
      </c>
      <c r="AP244" cm="1">
        <f t="array" ref="AP244">$E$10*(1+$AN244)+VLOOKUP($R244,武学奇术!$A:$ZZ,4,FALSE)+SUM(_xlfn.XLOOKUP($S244:$AG244,增益!$A:$A,增益!$D:$D,0))-$I$2</f>
        <v>6659.56</v>
      </c>
      <c r="AQ244" s="29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0.3175</v>
      </c>
      <c r="AR244" s="29" cm="1">
        <f t="array" ref="AR244">$G$10+VLOOKUP($R244,武学奇术!$A:$ZZ,7,FALSE)+SUM(_xlfn.XLOOKUP(S244:AG244,增益!$A:$A,增益!$G:$G,0))</f>
        <v>0</v>
      </c>
      <c r="AS244" s="20" cm="1">
        <f t="array" ref="AS244">VLOOKUP($R244,武学奇术!$A:$ZZ,8,FALSE)+SUM(_xlfn.XLOOKUP(S244:AG244,增益!$A:$A,增益!$H:$H,0))</f>
        <v>0</v>
      </c>
      <c r="AT244">
        <f t="shared" si="34"/>
        <v>538</v>
      </c>
      <c r="AU244">
        <f t="shared" si="35"/>
        <v>1011</v>
      </c>
      <c r="AV244" s="29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0.075</v>
      </c>
      <c r="AW244" s="29" cm="1">
        <f t="array" ref="AW244">$G$11+VLOOKUP($R244,武学奇术!$A:$ZZ,10,FALSE)+SUM(_xlfn.XLOOKUP(S244:AG244,增益!$A:$A,增益!$J:$J,0))</f>
        <v>0.15</v>
      </c>
      <c r="AX244">
        <f t="shared" si="36"/>
        <v>0</v>
      </c>
      <c r="AY244">
        <f t="shared" si="37"/>
        <v>0</v>
      </c>
      <c r="AZ244" s="29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29" cm="1">
        <f t="array" ref="BA244">$G$12+VLOOKUP($R244,武学奇术!$A:$ZZ,12,FALSE)+SUM(_xlfn.XLOOKUP(S244:AG244,增益!$A:$A,增益!$L:$L,0))</f>
        <v>0</v>
      </c>
      <c r="BB244">
        <f t="shared" si="38"/>
        <v>0</v>
      </c>
      <c r="BC244">
        <f t="shared" si="39"/>
        <v>0</v>
      </c>
      <c r="BD244" s="29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29" cm="1">
        <f t="array" ref="BE244">$G$13+VLOOKUP($R244,武学奇术!$A:$ZZ,14,FALSE)+SUM(_xlfn.XLOOKUP(S244:AG244,增益!$A:$A,增益!$N:$N,0))</f>
        <v>0</v>
      </c>
      <c r="BF244">
        <f t="shared" si="40"/>
        <v>0</v>
      </c>
      <c r="BG244">
        <f t="shared" si="41"/>
        <v>0</v>
      </c>
      <c r="BH244" s="29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29" cm="1">
        <f t="array" ref="BI244">$G$14+VLOOKUP($R244,武学奇术!$A:$ZZ,16,FALSE)+SUM(_xlfn.XLOOKUP(S244:AG244,增益!$A:$A,增益!$P:$P,0))</f>
        <v>0</v>
      </c>
      <c r="BJ244" s="20">
        <f>MIN(IF(VLOOKUP($R244,武学奇术!$A:$ZZ,23,FALSE)=1,100%,$B$8),100%)</f>
        <v>0.8271</v>
      </c>
      <c r="BK244" s="20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0.2249</v>
      </c>
      <c r="BL244" s="20" cm="1">
        <f t="array" ref="BL244">1+$B$13+VLOOKUP($R244,武学奇术!$A:$ZZ,18,FALSE)+SUM(_xlfn.XLOOKUP(S244:AG244,增益!$A:$A,增益!$R:$R,0))</f>
        <v>1.5</v>
      </c>
      <c r="BM244" s="20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0.4459</v>
      </c>
      <c r="BN244" s="20" cm="1">
        <f t="array" ref="BN244">1+$B$14+VLOOKUP($R244,武学奇术!$A:$ZZ,20,FALSE)+SUM(_xlfn.XLOOKUP(S244:AG244,增益!$A:$A,增益!$T:$T,0))</f>
        <v>1.782</v>
      </c>
      <c r="BO244" s="20">
        <f t="shared" si="42"/>
        <v>0.18601479</v>
      </c>
      <c r="BP244" s="20">
        <f t="shared" si="43"/>
        <v>0.27228132</v>
      </c>
      <c r="BQ244" s="20">
        <f>IF(VLOOKUP($R244,武学奇术!$A:$ZZ,22,FALSE)=1,0,(1-$BJ244))*(1-$BM244)</f>
        <v>0.09580389</v>
      </c>
      <c r="BR244" s="20" cm="1">
        <f t="array" ref="BR244">SUM(_xlfn.XLOOKUP(S244:AG244,增益!$A:$A,增益!$W:$W,0))+$I$5</f>
        <v>0.11</v>
      </c>
    </row>
    <row r="245" spans="11:70">
      <c r="K245" s="27">
        <f>$L245*VLOOKUP($R245,武学奇术!$A:$ZZ,31,FALSE)</f>
        <v>4230.80705894356</v>
      </c>
      <c r="L245" s="27">
        <f t="shared" si="33"/>
        <v>7051.34509823927</v>
      </c>
      <c r="M245" s="27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5778.87954323715</v>
      </c>
      <c r="N245" s="27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10683.0127386906</v>
      </c>
      <c r="O245" s="27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3852.5863621581</v>
      </c>
      <c r="P245" s="27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1710.21608083101</v>
      </c>
      <c r="Q245" s="35">
        <v>1</v>
      </c>
      <c r="R245" s="36" t="s">
        <v>164</v>
      </c>
      <c r="S245" s="36" t="s">
        <v>71</v>
      </c>
      <c r="T245" s="36" t="s">
        <v>99</v>
      </c>
      <c r="U245" s="36" t="s">
        <v>100</v>
      </c>
      <c r="V245" s="36" t="s">
        <v>71</v>
      </c>
      <c r="W245" s="36" t="s">
        <v>111</v>
      </c>
      <c r="X245" s="36" t="s">
        <v>71</v>
      </c>
      <c r="Y245" s="36" t="s">
        <v>71</v>
      </c>
      <c r="Z245" s="36" t="s">
        <v>71</v>
      </c>
      <c r="AA245" s="36" t="s">
        <v>71</v>
      </c>
      <c r="AB245" s="36" t="s">
        <v>71</v>
      </c>
      <c r="AC245" s="36" t="s">
        <v>71</v>
      </c>
      <c r="AD245" s="36" t="s">
        <v>72</v>
      </c>
      <c r="AE245" s="36" t="s">
        <v>94</v>
      </c>
      <c r="AF245" s="36" t="s">
        <v>154</v>
      </c>
      <c r="AG245" s="36" t="s">
        <v>120</v>
      </c>
      <c r="AH245" t="str">
        <f>VLOOKUP($R245,武学奇术!$A:$ZZ,25,FALSE)</f>
        <v>剑</v>
      </c>
      <c r="AI245" s="20">
        <f>VLOOKUP($R245,武学奇术!$A:$ZZ,26,FALSE)</f>
        <v>0.1716</v>
      </c>
      <c r="AJ245" s="21">
        <f>VLOOKUP($R245,武学奇术!$A:$ZZ,27,FALSE)*(1+IF(OR($AH245=$F$4,$AH245=$F$5),$B$22,0))</f>
        <v>0</v>
      </c>
      <c r="AK245" s="20">
        <f>VLOOKUP($R245,武学奇术!$A:$ZZ,28,FALSE)</f>
        <v>0.2574</v>
      </c>
      <c r="AL245" s="21">
        <f>VLOOKUP($R245,武学奇术!$A:$ZZ,29,FALSE)*(1+IF(OR($AH245=$F$4,$AH245=$F$5),$B$22,0))</f>
        <v>0</v>
      </c>
      <c r="AM245" s="20" cm="1">
        <f t="array" ref="AM245">$G$3+IFERROR(VLOOKUP($AH245,$F$4:$G$7,2,FALSE),0)+VLOOKUP($R245,武学奇术!$A:$ZZ,2,FALSE)+SUM(_xlfn.XLOOKUP($S245:$AG245,增益!$A:$A,增益!$B:$B,0))</f>
        <v>1.2391</v>
      </c>
      <c r="AN245" s="20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1548.52</v>
      </c>
      <c r="AP245" cm="1">
        <f t="array" ref="AP245">$E$10*(1+$AN245)+VLOOKUP($R245,武学奇术!$A:$ZZ,4,FALSE)+SUM(_xlfn.XLOOKUP($S245:$AG245,增益!$A:$A,增益!$D:$D,0))-$I$2</f>
        <v>6659.56</v>
      </c>
      <c r="AQ245" s="29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0.3175</v>
      </c>
      <c r="AR245" s="29" cm="1">
        <f t="array" ref="AR245">$G$10+VLOOKUP($R245,武学奇术!$A:$ZZ,7,FALSE)+SUM(_xlfn.XLOOKUP(S245:AG245,增益!$A:$A,增益!$G:$G,0))</f>
        <v>0</v>
      </c>
      <c r="AS245" s="20" cm="1">
        <f t="array" ref="AS245">VLOOKUP($R245,武学奇术!$A:$ZZ,8,FALSE)+SUM(_xlfn.XLOOKUP(S245:AG245,增益!$A:$A,增益!$H:$H,0))</f>
        <v>0</v>
      </c>
      <c r="AT245">
        <f t="shared" si="34"/>
        <v>538</v>
      </c>
      <c r="AU245">
        <f t="shared" si="35"/>
        <v>1011</v>
      </c>
      <c r="AV245" s="29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0.075</v>
      </c>
      <c r="AW245" s="29" cm="1">
        <f t="array" ref="AW245">$G$11+VLOOKUP($R245,武学奇术!$A:$ZZ,10,FALSE)+SUM(_xlfn.XLOOKUP(S245:AG245,增益!$A:$A,增益!$J:$J,0))</f>
        <v>0.15</v>
      </c>
      <c r="AX245">
        <f t="shared" si="36"/>
        <v>0</v>
      </c>
      <c r="AY245">
        <f t="shared" si="37"/>
        <v>0</v>
      </c>
      <c r="AZ245" s="29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29" cm="1">
        <f t="array" ref="BA245">$G$12+VLOOKUP($R245,武学奇术!$A:$ZZ,12,FALSE)+SUM(_xlfn.XLOOKUP(S245:AG245,增益!$A:$A,增益!$L:$L,0))</f>
        <v>0</v>
      </c>
      <c r="BB245">
        <f t="shared" si="38"/>
        <v>0</v>
      </c>
      <c r="BC245">
        <f t="shared" si="39"/>
        <v>0</v>
      </c>
      <c r="BD245" s="29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29" cm="1">
        <f t="array" ref="BE245">$G$13+VLOOKUP($R245,武学奇术!$A:$ZZ,14,FALSE)+SUM(_xlfn.XLOOKUP(S245:AG245,增益!$A:$A,增益!$N:$N,0))</f>
        <v>0</v>
      </c>
      <c r="BF245">
        <f t="shared" si="40"/>
        <v>0</v>
      </c>
      <c r="BG245">
        <f t="shared" si="41"/>
        <v>0</v>
      </c>
      <c r="BH245" s="29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29" cm="1">
        <f t="array" ref="BI245">$G$14+VLOOKUP($R245,武学奇术!$A:$ZZ,16,FALSE)+SUM(_xlfn.XLOOKUP(S245:AG245,增益!$A:$A,增益!$P:$P,0))</f>
        <v>0</v>
      </c>
      <c r="BJ245" s="20">
        <f>MIN(IF(VLOOKUP($R245,武学奇术!$A:$ZZ,23,FALSE)=1,100%,$B$8),100%)</f>
        <v>0.8271</v>
      </c>
      <c r="BK245" s="20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0.2249</v>
      </c>
      <c r="BL245" s="20" cm="1">
        <f t="array" ref="BL245">1+$B$13+VLOOKUP($R245,武学奇术!$A:$ZZ,18,FALSE)+SUM(_xlfn.XLOOKUP(S245:AG245,增益!$A:$A,增益!$R:$R,0))</f>
        <v>1.5</v>
      </c>
      <c r="BM245" s="20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0.4459</v>
      </c>
      <c r="BN245" s="20" cm="1">
        <f t="array" ref="BN245">1+$B$14+VLOOKUP($R245,武学奇术!$A:$ZZ,20,FALSE)+SUM(_xlfn.XLOOKUP(S245:AG245,增益!$A:$A,增益!$T:$T,0))</f>
        <v>1.782</v>
      </c>
      <c r="BO245" s="20">
        <f t="shared" si="42"/>
        <v>0.18601479</v>
      </c>
      <c r="BP245" s="20">
        <f t="shared" si="43"/>
        <v>0.27228132</v>
      </c>
      <c r="BQ245" s="20">
        <f>IF(VLOOKUP($R245,武学奇术!$A:$ZZ,22,FALSE)=1,0,(1-$BJ245))*(1-$BM245)</f>
        <v>0.09580389</v>
      </c>
      <c r="BR245" s="20" cm="1">
        <f t="array" ref="BR245">SUM(_xlfn.XLOOKUP(S245:AG245,增益!$A:$A,增益!$W:$W,0))+$I$5</f>
        <v>0.11</v>
      </c>
    </row>
    <row r="246" spans="11:70">
      <c r="K246" s="27">
        <f>$L246*VLOOKUP($R246,武学奇术!$A:$ZZ,31,FALSE)</f>
        <v>5076.96847073227</v>
      </c>
      <c r="L246" s="27">
        <f t="shared" si="33"/>
        <v>8461.61411788712</v>
      </c>
      <c r="M246" s="27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6934.65545188458</v>
      </c>
      <c r="N246" s="27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12819.6152864287</v>
      </c>
      <c r="O246" s="27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4623.10363458972</v>
      </c>
      <c r="P246" s="27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2052.25929699721</v>
      </c>
      <c r="Q246" s="35">
        <v>1</v>
      </c>
      <c r="R246" s="36" t="s">
        <v>165</v>
      </c>
      <c r="S246" s="36" t="s">
        <v>71</v>
      </c>
      <c r="T246" s="36" t="s">
        <v>99</v>
      </c>
      <c r="U246" s="36" t="s">
        <v>100</v>
      </c>
      <c r="V246" s="36" t="s">
        <v>71</v>
      </c>
      <c r="W246" s="36" t="s">
        <v>111</v>
      </c>
      <c r="X246" s="36" t="s">
        <v>71</v>
      </c>
      <c r="Y246" s="36" t="s">
        <v>71</v>
      </c>
      <c r="Z246" s="36" t="s">
        <v>71</v>
      </c>
      <c r="AA246" s="36" t="s">
        <v>71</v>
      </c>
      <c r="AB246" s="36" t="s">
        <v>71</v>
      </c>
      <c r="AC246" s="36" t="s">
        <v>71</v>
      </c>
      <c r="AD246" s="36" t="s">
        <v>72</v>
      </c>
      <c r="AE246" s="36" t="s">
        <v>94</v>
      </c>
      <c r="AF246" s="36" t="s">
        <v>154</v>
      </c>
      <c r="AG246" s="36" t="s">
        <v>120</v>
      </c>
      <c r="AH246" t="str">
        <f>VLOOKUP($R246,武学奇术!$A:$ZZ,25,FALSE)</f>
        <v>剑</v>
      </c>
      <c r="AI246" s="20">
        <f>VLOOKUP($R246,武学奇术!$A:$ZZ,26,FALSE)</f>
        <v>0.20592</v>
      </c>
      <c r="AJ246" s="21">
        <f>VLOOKUP($R246,武学奇术!$A:$ZZ,27,FALSE)*(1+IF(OR($AH246=$F$4,$AH246=$F$5),$B$22,0))</f>
        <v>0</v>
      </c>
      <c r="AK246" s="20">
        <f>VLOOKUP($R246,武学奇术!$A:$ZZ,28,FALSE)</f>
        <v>0.30888</v>
      </c>
      <c r="AL246" s="21">
        <f>VLOOKUP($R246,武学奇术!$A:$ZZ,29,FALSE)*(1+IF(OR($AH246=$F$4,$AH246=$F$5),$B$22,0))</f>
        <v>0</v>
      </c>
      <c r="AM246" s="20" cm="1">
        <f t="array" ref="AM246">$G$3+IFERROR(VLOOKUP($AH246,$F$4:$G$7,2,FALSE),0)+VLOOKUP($R246,武学奇术!$A:$ZZ,2,FALSE)+SUM(_xlfn.XLOOKUP($S246:$AG246,增益!$A:$A,增益!$B:$B,0))</f>
        <v>1.2391</v>
      </c>
      <c r="AN246" s="20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1548.52</v>
      </c>
      <c r="AP246" cm="1">
        <f t="array" ref="AP246">$E$10*(1+$AN246)+VLOOKUP($R246,武学奇术!$A:$ZZ,4,FALSE)+SUM(_xlfn.XLOOKUP($S246:$AG246,增益!$A:$A,增益!$D:$D,0))-$I$2</f>
        <v>6659.56</v>
      </c>
      <c r="AQ246" s="29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0.3175</v>
      </c>
      <c r="AR246" s="29" cm="1">
        <f t="array" ref="AR246">$G$10+VLOOKUP($R246,武学奇术!$A:$ZZ,7,FALSE)+SUM(_xlfn.XLOOKUP(S246:AG246,增益!$A:$A,增益!$G:$G,0))</f>
        <v>0</v>
      </c>
      <c r="AS246" s="20" cm="1">
        <f t="array" ref="AS246">VLOOKUP($R246,武学奇术!$A:$ZZ,8,FALSE)+SUM(_xlfn.XLOOKUP(S246:AG246,增益!$A:$A,增益!$H:$H,0))</f>
        <v>0</v>
      </c>
      <c r="AT246">
        <f t="shared" si="34"/>
        <v>538</v>
      </c>
      <c r="AU246">
        <f t="shared" si="35"/>
        <v>1011</v>
      </c>
      <c r="AV246" s="29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0.075</v>
      </c>
      <c r="AW246" s="29" cm="1">
        <f t="array" ref="AW246">$G$11+VLOOKUP($R246,武学奇术!$A:$ZZ,10,FALSE)+SUM(_xlfn.XLOOKUP(S246:AG246,增益!$A:$A,增益!$J:$J,0))</f>
        <v>0.15</v>
      </c>
      <c r="AX246">
        <f t="shared" si="36"/>
        <v>0</v>
      </c>
      <c r="AY246">
        <f t="shared" si="37"/>
        <v>0</v>
      </c>
      <c r="AZ246" s="29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29" cm="1">
        <f t="array" ref="BA246">$G$12+VLOOKUP($R246,武学奇术!$A:$ZZ,12,FALSE)+SUM(_xlfn.XLOOKUP(S246:AG246,增益!$A:$A,增益!$L:$L,0))</f>
        <v>0</v>
      </c>
      <c r="BB246">
        <f t="shared" si="38"/>
        <v>0</v>
      </c>
      <c r="BC246">
        <f t="shared" si="39"/>
        <v>0</v>
      </c>
      <c r="BD246" s="29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29" cm="1">
        <f t="array" ref="BE246">$G$13+VLOOKUP($R246,武学奇术!$A:$ZZ,14,FALSE)+SUM(_xlfn.XLOOKUP(S246:AG246,增益!$A:$A,增益!$N:$N,0))</f>
        <v>0</v>
      </c>
      <c r="BF246">
        <f t="shared" si="40"/>
        <v>0</v>
      </c>
      <c r="BG246">
        <f t="shared" si="41"/>
        <v>0</v>
      </c>
      <c r="BH246" s="29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29" cm="1">
        <f t="array" ref="BI246">$G$14+VLOOKUP($R246,武学奇术!$A:$ZZ,16,FALSE)+SUM(_xlfn.XLOOKUP(S246:AG246,增益!$A:$A,增益!$P:$P,0))</f>
        <v>0</v>
      </c>
      <c r="BJ246" s="20">
        <f>MIN(IF(VLOOKUP($R246,武学奇术!$A:$ZZ,23,FALSE)=1,100%,$B$8),100%)</f>
        <v>0.8271</v>
      </c>
      <c r="BK246" s="20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0.2249</v>
      </c>
      <c r="BL246" s="20" cm="1">
        <f t="array" ref="BL246">1+$B$13+VLOOKUP($R246,武学奇术!$A:$ZZ,18,FALSE)+SUM(_xlfn.XLOOKUP(S246:AG246,增益!$A:$A,增益!$R:$R,0))</f>
        <v>1.5</v>
      </c>
      <c r="BM246" s="20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0.4459</v>
      </c>
      <c r="BN246" s="20" cm="1">
        <f t="array" ref="BN246">1+$B$14+VLOOKUP($R246,武学奇术!$A:$ZZ,20,FALSE)+SUM(_xlfn.XLOOKUP(S246:AG246,增益!$A:$A,增益!$T:$T,0))</f>
        <v>1.782</v>
      </c>
      <c r="BO246" s="20">
        <f t="shared" si="42"/>
        <v>0.18601479</v>
      </c>
      <c r="BP246" s="20">
        <f t="shared" si="43"/>
        <v>0.27228132</v>
      </c>
      <c r="BQ246" s="20">
        <f>IF(VLOOKUP($R246,武学奇术!$A:$ZZ,22,FALSE)=1,0,(1-$BJ246))*(1-$BM246)</f>
        <v>0.09580389</v>
      </c>
      <c r="BR246" s="20" cm="1">
        <f t="array" ref="BR246">SUM(_xlfn.XLOOKUP(S246:AG246,增益!$A:$A,增益!$W:$W,0))+$I$5</f>
        <v>0.11</v>
      </c>
    </row>
    <row r="247" spans="11:70">
      <c r="K247" s="27">
        <f>$L247*VLOOKUP($R247,武学奇术!$A:$ZZ,31,FALSE)</f>
        <v>5076.96847073227</v>
      </c>
      <c r="L247" s="27">
        <f t="shared" si="33"/>
        <v>8461.61411788712</v>
      </c>
      <c r="M247" s="27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6934.65545188458</v>
      </c>
      <c r="N247" s="27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12819.6152864287</v>
      </c>
      <c r="O247" s="27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4623.10363458972</v>
      </c>
      <c r="P247" s="27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2052.25929699721</v>
      </c>
      <c r="Q247" s="35">
        <v>1</v>
      </c>
      <c r="R247" s="36" t="s">
        <v>165</v>
      </c>
      <c r="S247" s="36" t="s">
        <v>71</v>
      </c>
      <c r="T247" s="36" t="s">
        <v>99</v>
      </c>
      <c r="U247" s="36" t="s">
        <v>100</v>
      </c>
      <c r="V247" s="36" t="s">
        <v>71</v>
      </c>
      <c r="W247" s="36" t="s">
        <v>111</v>
      </c>
      <c r="X247" s="36" t="s">
        <v>71</v>
      </c>
      <c r="Y247" s="36" t="s">
        <v>71</v>
      </c>
      <c r="Z247" s="36" t="s">
        <v>71</v>
      </c>
      <c r="AA247" s="36" t="s">
        <v>71</v>
      </c>
      <c r="AB247" s="36" t="s">
        <v>71</v>
      </c>
      <c r="AC247" s="36" t="s">
        <v>71</v>
      </c>
      <c r="AD247" s="36" t="s">
        <v>72</v>
      </c>
      <c r="AE247" s="36" t="s">
        <v>94</v>
      </c>
      <c r="AF247" s="36" t="s">
        <v>154</v>
      </c>
      <c r="AG247" s="36" t="s">
        <v>120</v>
      </c>
      <c r="AH247" t="str">
        <f>VLOOKUP($R247,武学奇术!$A:$ZZ,25,FALSE)</f>
        <v>剑</v>
      </c>
      <c r="AI247" s="20">
        <f>VLOOKUP($R247,武学奇术!$A:$ZZ,26,FALSE)</f>
        <v>0.20592</v>
      </c>
      <c r="AJ247" s="21">
        <f>VLOOKUP($R247,武学奇术!$A:$ZZ,27,FALSE)*(1+IF(OR($AH247=$F$4,$AH247=$F$5),$B$22,0))</f>
        <v>0</v>
      </c>
      <c r="AK247" s="20">
        <f>VLOOKUP($R247,武学奇术!$A:$ZZ,28,FALSE)</f>
        <v>0.30888</v>
      </c>
      <c r="AL247" s="21">
        <f>VLOOKUP($R247,武学奇术!$A:$ZZ,29,FALSE)*(1+IF(OR($AH247=$F$4,$AH247=$F$5),$B$22,0))</f>
        <v>0</v>
      </c>
      <c r="AM247" s="20" cm="1">
        <f t="array" ref="AM247">$G$3+IFERROR(VLOOKUP($AH247,$F$4:$G$7,2,FALSE),0)+VLOOKUP($R247,武学奇术!$A:$ZZ,2,FALSE)+SUM(_xlfn.XLOOKUP($S247:$AG247,增益!$A:$A,增益!$B:$B,0))</f>
        <v>1.2391</v>
      </c>
      <c r="AN247" s="20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1548.52</v>
      </c>
      <c r="AP247" cm="1">
        <f t="array" ref="AP247">$E$10*(1+$AN247)+VLOOKUP($R247,武学奇术!$A:$ZZ,4,FALSE)+SUM(_xlfn.XLOOKUP($S247:$AG247,增益!$A:$A,增益!$D:$D,0))-$I$2</f>
        <v>6659.56</v>
      </c>
      <c r="AQ247" s="29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0.3175</v>
      </c>
      <c r="AR247" s="29" cm="1">
        <f t="array" ref="AR247">$G$10+VLOOKUP($R247,武学奇术!$A:$ZZ,7,FALSE)+SUM(_xlfn.XLOOKUP(S247:AG247,增益!$A:$A,增益!$G:$G,0))</f>
        <v>0</v>
      </c>
      <c r="AS247" s="20" cm="1">
        <f t="array" ref="AS247">VLOOKUP($R247,武学奇术!$A:$ZZ,8,FALSE)+SUM(_xlfn.XLOOKUP(S247:AG247,增益!$A:$A,增益!$H:$H,0))</f>
        <v>0</v>
      </c>
      <c r="AT247">
        <f t="shared" si="34"/>
        <v>538</v>
      </c>
      <c r="AU247">
        <f t="shared" si="35"/>
        <v>1011</v>
      </c>
      <c r="AV247" s="29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0.075</v>
      </c>
      <c r="AW247" s="29" cm="1">
        <f t="array" ref="AW247">$G$11+VLOOKUP($R247,武学奇术!$A:$ZZ,10,FALSE)+SUM(_xlfn.XLOOKUP(S247:AG247,增益!$A:$A,增益!$J:$J,0))</f>
        <v>0.15</v>
      </c>
      <c r="AX247">
        <f t="shared" si="36"/>
        <v>0</v>
      </c>
      <c r="AY247">
        <f t="shared" si="37"/>
        <v>0</v>
      </c>
      <c r="AZ247" s="29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-0.3</v>
      </c>
      <c r="BA247" s="29" cm="1">
        <f t="array" ref="BA247">$G$12+VLOOKUP($R247,武学奇术!$A:$ZZ,12,FALSE)+SUM(_xlfn.XLOOKUP(S247:AG247,增益!$A:$A,增益!$L:$L,0))</f>
        <v>0</v>
      </c>
      <c r="BB247">
        <f t="shared" si="38"/>
        <v>0</v>
      </c>
      <c r="BC247">
        <f t="shared" si="39"/>
        <v>0</v>
      </c>
      <c r="BD247" s="29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-0.3</v>
      </c>
      <c r="BE247" s="29" cm="1">
        <f t="array" ref="BE247">$G$13+VLOOKUP($R247,武学奇术!$A:$ZZ,14,FALSE)+SUM(_xlfn.XLOOKUP(S247:AG247,增益!$A:$A,增益!$N:$N,0))</f>
        <v>0</v>
      </c>
      <c r="BF247">
        <f t="shared" si="40"/>
        <v>0</v>
      </c>
      <c r="BG247">
        <f t="shared" si="41"/>
        <v>0</v>
      </c>
      <c r="BH247" s="29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-0.3</v>
      </c>
      <c r="BI247" s="29" cm="1">
        <f t="array" ref="BI247">$G$14+VLOOKUP($R247,武学奇术!$A:$ZZ,16,FALSE)+SUM(_xlfn.XLOOKUP(S247:AG247,增益!$A:$A,增益!$P:$P,0))</f>
        <v>0</v>
      </c>
      <c r="BJ247" s="20">
        <f>MIN(IF(VLOOKUP($R247,武学奇术!$A:$ZZ,23,FALSE)=1,100%,$B$8),100%)</f>
        <v>0.8271</v>
      </c>
      <c r="BK247" s="20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0.2249</v>
      </c>
      <c r="BL247" s="20" cm="1">
        <f t="array" ref="BL247">1+$B$13+VLOOKUP($R247,武学奇术!$A:$ZZ,18,FALSE)+SUM(_xlfn.XLOOKUP(S247:AG247,增益!$A:$A,增益!$R:$R,0))</f>
        <v>1.5</v>
      </c>
      <c r="BM247" s="20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0.4459</v>
      </c>
      <c r="BN247" s="20" cm="1">
        <f t="array" ref="BN247">1+$B$14+VLOOKUP($R247,武学奇术!$A:$ZZ,20,FALSE)+SUM(_xlfn.XLOOKUP(S247:AG247,增益!$A:$A,增益!$T:$T,0))</f>
        <v>1.782</v>
      </c>
      <c r="BO247" s="20">
        <f t="shared" si="42"/>
        <v>0.18601479</v>
      </c>
      <c r="BP247" s="20">
        <f t="shared" si="43"/>
        <v>0.27228132</v>
      </c>
      <c r="BQ247" s="20">
        <f>IF(VLOOKUP($R247,武学奇术!$A:$ZZ,22,FALSE)=1,0,(1-$BJ247))*(1-$BM247)</f>
        <v>0.09580389</v>
      </c>
      <c r="BR247" s="20" cm="1">
        <f t="array" ref="BR247">SUM(_xlfn.XLOOKUP(S247:AG247,增益!$A:$A,增益!$W:$W,0))+$I$5</f>
        <v>0.11</v>
      </c>
    </row>
    <row r="248" spans="11:70">
      <c r="K248" s="27">
        <f>$L248*VLOOKUP($R248,武学奇术!$A:$ZZ,31,FALSE)</f>
        <v>6769.2912943097</v>
      </c>
      <c r="L248" s="27">
        <f t="shared" si="33"/>
        <v>11282.1521571828</v>
      </c>
      <c r="M248" s="27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9246.20726917944</v>
      </c>
      <c r="N248" s="27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17092.820381905</v>
      </c>
      <c r="O248" s="27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6164.13817945296</v>
      </c>
      <c r="P248" s="27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2736.34572932961</v>
      </c>
      <c r="Q248" s="35">
        <v>1</v>
      </c>
      <c r="R248" s="36" t="s">
        <v>163</v>
      </c>
      <c r="S248" s="36" t="s">
        <v>71</v>
      </c>
      <c r="T248" s="36" t="s">
        <v>99</v>
      </c>
      <c r="U248" s="36" t="s">
        <v>100</v>
      </c>
      <c r="V248" s="36" t="s">
        <v>71</v>
      </c>
      <c r="W248" s="36" t="s">
        <v>111</v>
      </c>
      <c r="X248" s="36" t="s">
        <v>71</v>
      </c>
      <c r="Y248" s="36" t="s">
        <v>71</v>
      </c>
      <c r="Z248" s="36" t="s">
        <v>71</v>
      </c>
      <c r="AA248" s="36" t="s">
        <v>71</v>
      </c>
      <c r="AB248" s="36" t="s">
        <v>71</v>
      </c>
      <c r="AC248" s="36" t="s">
        <v>71</v>
      </c>
      <c r="AD248" s="36" t="s">
        <v>72</v>
      </c>
      <c r="AE248" s="36" t="s">
        <v>94</v>
      </c>
      <c r="AF248" s="36" t="s">
        <v>154</v>
      </c>
      <c r="AG248" s="36" t="s">
        <v>120</v>
      </c>
      <c r="AH248" t="str">
        <f>VLOOKUP($R248,武学奇术!$A:$ZZ,25,FALSE)</f>
        <v>剑</v>
      </c>
      <c r="AI248" s="20">
        <f>VLOOKUP($R248,武学奇术!$A:$ZZ,26,FALSE)</f>
        <v>0.27456</v>
      </c>
      <c r="AJ248" s="21">
        <f>VLOOKUP($R248,武学奇术!$A:$ZZ,27,FALSE)*(1+IF(OR($AH248=$F$4,$AH248=$F$5),$B$22,0))</f>
        <v>0</v>
      </c>
      <c r="AK248" s="20">
        <f>VLOOKUP($R248,武学奇术!$A:$ZZ,28,FALSE)</f>
        <v>0.41184</v>
      </c>
      <c r="AL248" s="21">
        <f>VLOOKUP($R248,武学奇术!$A:$ZZ,29,FALSE)*(1+IF(OR($AH248=$F$4,$AH248=$F$5),$B$22,0))</f>
        <v>0</v>
      </c>
      <c r="AM248" s="20" cm="1">
        <f t="array" ref="AM248">$G$3+IFERROR(VLOOKUP($AH248,$F$4:$G$7,2,FALSE),0)+VLOOKUP($R248,武学奇术!$A:$ZZ,2,FALSE)+SUM(_xlfn.XLOOKUP($S248:$AG248,增益!$A:$A,增益!$B:$B,0))</f>
        <v>1.2391</v>
      </c>
      <c r="AN248" s="20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1548.52</v>
      </c>
      <c r="AP248" cm="1">
        <f t="array" ref="AP248">$E$10*(1+$AN248)+VLOOKUP($R248,武学奇术!$A:$ZZ,4,FALSE)+SUM(_xlfn.XLOOKUP($S248:$AG248,增益!$A:$A,增益!$D:$D,0))-$I$2</f>
        <v>6659.56</v>
      </c>
      <c r="AQ248" s="29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0.3175</v>
      </c>
      <c r="AR248" s="29" cm="1">
        <f t="array" ref="AR248">$G$10+VLOOKUP($R248,武学奇术!$A:$ZZ,7,FALSE)+SUM(_xlfn.XLOOKUP(S248:AG248,增益!$A:$A,增益!$G:$G,0))</f>
        <v>0</v>
      </c>
      <c r="AS248" s="20" cm="1">
        <f t="array" ref="AS248">VLOOKUP($R248,武学奇术!$A:$ZZ,8,FALSE)+SUM(_xlfn.XLOOKUP(S248:AG248,增益!$A:$A,增益!$H:$H,0))</f>
        <v>0</v>
      </c>
      <c r="AT248">
        <f t="shared" si="34"/>
        <v>538</v>
      </c>
      <c r="AU248">
        <f t="shared" si="35"/>
        <v>1011</v>
      </c>
      <c r="AV248" s="29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0.075</v>
      </c>
      <c r="AW248" s="29" cm="1">
        <f t="array" ref="AW248">$G$11+VLOOKUP($R248,武学奇术!$A:$ZZ,10,FALSE)+SUM(_xlfn.XLOOKUP(S248:AG248,增益!$A:$A,增益!$J:$J,0))</f>
        <v>0.15</v>
      </c>
      <c r="AX248">
        <f t="shared" si="36"/>
        <v>0</v>
      </c>
      <c r="AY248">
        <f t="shared" si="37"/>
        <v>0</v>
      </c>
      <c r="AZ248" s="29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-0.3</v>
      </c>
      <c r="BA248" s="29" cm="1">
        <f t="array" ref="BA248">$G$12+VLOOKUP($R248,武学奇术!$A:$ZZ,12,FALSE)+SUM(_xlfn.XLOOKUP(S248:AG248,增益!$A:$A,增益!$L:$L,0))</f>
        <v>0</v>
      </c>
      <c r="BB248">
        <f t="shared" si="38"/>
        <v>0</v>
      </c>
      <c r="BC248">
        <f t="shared" si="39"/>
        <v>0</v>
      </c>
      <c r="BD248" s="29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-0.3</v>
      </c>
      <c r="BE248" s="29" cm="1">
        <f t="array" ref="BE248">$G$13+VLOOKUP($R248,武学奇术!$A:$ZZ,14,FALSE)+SUM(_xlfn.XLOOKUP(S248:AG248,增益!$A:$A,增益!$N:$N,0))</f>
        <v>0</v>
      </c>
      <c r="BF248">
        <f t="shared" si="40"/>
        <v>0</v>
      </c>
      <c r="BG248">
        <f t="shared" si="41"/>
        <v>0</v>
      </c>
      <c r="BH248" s="29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-0.3</v>
      </c>
      <c r="BI248" s="29" cm="1">
        <f t="array" ref="BI248">$G$14+VLOOKUP($R248,武学奇术!$A:$ZZ,16,FALSE)+SUM(_xlfn.XLOOKUP(S248:AG248,增益!$A:$A,增益!$P:$P,0))</f>
        <v>0</v>
      </c>
      <c r="BJ248" s="20">
        <f>MIN(IF(VLOOKUP($R248,武学奇术!$A:$ZZ,23,FALSE)=1,100%,$B$8),100%)</f>
        <v>0.8271</v>
      </c>
      <c r="BK248" s="20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0.2249</v>
      </c>
      <c r="BL248" s="20" cm="1">
        <f t="array" ref="BL248">1+$B$13+VLOOKUP($R248,武学奇术!$A:$ZZ,18,FALSE)+SUM(_xlfn.XLOOKUP(S248:AG248,增益!$A:$A,增益!$R:$R,0))</f>
        <v>1.5</v>
      </c>
      <c r="BM248" s="20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0.4459</v>
      </c>
      <c r="BN248" s="20" cm="1">
        <f t="array" ref="BN248">1+$B$14+VLOOKUP($R248,武学奇术!$A:$ZZ,20,FALSE)+SUM(_xlfn.XLOOKUP(S248:AG248,增益!$A:$A,增益!$T:$T,0))</f>
        <v>1.782</v>
      </c>
      <c r="BO248" s="20">
        <f t="shared" si="42"/>
        <v>0.18601479</v>
      </c>
      <c r="BP248" s="20">
        <f t="shared" si="43"/>
        <v>0.27228132</v>
      </c>
      <c r="BQ248" s="20">
        <f>IF(VLOOKUP($R248,武学奇术!$A:$ZZ,22,FALSE)=1,0,(1-$BJ248))*(1-$BM248)</f>
        <v>0.09580389</v>
      </c>
      <c r="BR248" s="20" cm="1">
        <f t="array" ref="BR248">SUM(_xlfn.XLOOKUP(S248:AG248,增益!$A:$A,增益!$W:$W,0))+$I$5</f>
        <v>0.11</v>
      </c>
    </row>
    <row r="249" spans="11:70">
      <c r="K249" s="27">
        <f>$L249*VLOOKUP($R249,武学奇术!$A:$ZZ,31,FALSE)</f>
        <v>6769.2912943097</v>
      </c>
      <c r="L249" s="27">
        <f t="shared" si="33"/>
        <v>11282.1521571828</v>
      </c>
      <c r="M249" s="27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9246.20726917944</v>
      </c>
      <c r="N249" s="27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17092.820381905</v>
      </c>
      <c r="O249" s="27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6164.13817945296</v>
      </c>
      <c r="P249" s="27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2736.34572932961</v>
      </c>
      <c r="Q249" s="35">
        <v>1</v>
      </c>
      <c r="R249" s="36" t="s">
        <v>163</v>
      </c>
      <c r="S249" s="36" t="s">
        <v>71</v>
      </c>
      <c r="T249" s="36" t="s">
        <v>99</v>
      </c>
      <c r="U249" s="36" t="s">
        <v>100</v>
      </c>
      <c r="V249" s="36" t="s">
        <v>71</v>
      </c>
      <c r="W249" s="36" t="s">
        <v>111</v>
      </c>
      <c r="X249" s="36" t="s">
        <v>71</v>
      </c>
      <c r="Y249" s="36" t="s">
        <v>71</v>
      </c>
      <c r="Z249" s="36" t="s">
        <v>71</v>
      </c>
      <c r="AA249" s="36" t="s">
        <v>71</v>
      </c>
      <c r="AB249" s="36" t="s">
        <v>71</v>
      </c>
      <c r="AC249" s="36" t="s">
        <v>71</v>
      </c>
      <c r="AD249" s="36" t="s">
        <v>72</v>
      </c>
      <c r="AE249" s="36" t="s">
        <v>94</v>
      </c>
      <c r="AF249" s="36" t="s">
        <v>154</v>
      </c>
      <c r="AG249" s="36" t="s">
        <v>120</v>
      </c>
      <c r="AH249" t="str">
        <f>VLOOKUP($R249,武学奇术!$A:$ZZ,25,FALSE)</f>
        <v>剑</v>
      </c>
      <c r="AI249" s="20">
        <f>VLOOKUP($R249,武学奇术!$A:$ZZ,26,FALSE)</f>
        <v>0.27456</v>
      </c>
      <c r="AJ249" s="21">
        <f>VLOOKUP($R249,武学奇术!$A:$ZZ,27,FALSE)*(1+IF(OR($AH249=$F$4,$AH249=$F$5),$B$22,0))</f>
        <v>0</v>
      </c>
      <c r="AK249" s="20">
        <f>VLOOKUP($R249,武学奇术!$A:$ZZ,28,FALSE)</f>
        <v>0.41184</v>
      </c>
      <c r="AL249" s="21">
        <f>VLOOKUP($R249,武学奇术!$A:$ZZ,29,FALSE)*(1+IF(OR($AH249=$F$4,$AH249=$F$5),$B$22,0))</f>
        <v>0</v>
      </c>
      <c r="AM249" s="20" cm="1">
        <f t="array" ref="AM249">$G$3+IFERROR(VLOOKUP($AH249,$F$4:$G$7,2,FALSE),0)+VLOOKUP($R249,武学奇术!$A:$ZZ,2,FALSE)+SUM(_xlfn.XLOOKUP($S249:$AG249,增益!$A:$A,增益!$B:$B,0))</f>
        <v>1.2391</v>
      </c>
      <c r="AN249" s="20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1548.52</v>
      </c>
      <c r="AP249" cm="1">
        <f t="array" ref="AP249">$E$10*(1+$AN249)+VLOOKUP($R249,武学奇术!$A:$ZZ,4,FALSE)+SUM(_xlfn.XLOOKUP($S249:$AG249,增益!$A:$A,增益!$D:$D,0))-$I$2</f>
        <v>6659.56</v>
      </c>
      <c r="AQ249" s="29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0.3175</v>
      </c>
      <c r="AR249" s="29" cm="1">
        <f t="array" ref="AR249">$G$10+VLOOKUP($R249,武学奇术!$A:$ZZ,7,FALSE)+SUM(_xlfn.XLOOKUP(S249:AG249,增益!$A:$A,增益!$G:$G,0))</f>
        <v>0</v>
      </c>
      <c r="AS249" s="20" cm="1">
        <f t="array" ref="AS249">VLOOKUP($R249,武学奇术!$A:$ZZ,8,FALSE)+SUM(_xlfn.XLOOKUP(S249:AG249,增益!$A:$A,增益!$H:$H,0))</f>
        <v>0</v>
      </c>
      <c r="AT249">
        <f t="shared" si="34"/>
        <v>538</v>
      </c>
      <c r="AU249">
        <f t="shared" si="35"/>
        <v>1011</v>
      </c>
      <c r="AV249" s="29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0.075</v>
      </c>
      <c r="AW249" s="29" cm="1">
        <f t="array" ref="AW249">$G$11+VLOOKUP($R249,武学奇术!$A:$ZZ,10,FALSE)+SUM(_xlfn.XLOOKUP(S249:AG249,增益!$A:$A,增益!$J:$J,0))</f>
        <v>0.15</v>
      </c>
      <c r="AX249">
        <f t="shared" si="36"/>
        <v>0</v>
      </c>
      <c r="AY249">
        <f t="shared" si="37"/>
        <v>0</v>
      </c>
      <c r="AZ249" s="29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-0.3</v>
      </c>
      <c r="BA249" s="29" cm="1">
        <f t="array" ref="BA249">$G$12+VLOOKUP($R249,武学奇术!$A:$ZZ,12,FALSE)+SUM(_xlfn.XLOOKUP(S249:AG249,增益!$A:$A,增益!$L:$L,0))</f>
        <v>0</v>
      </c>
      <c r="BB249">
        <f t="shared" si="38"/>
        <v>0</v>
      </c>
      <c r="BC249">
        <f t="shared" si="39"/>
        <v>0</v>
      </c>
      <c r="BD249" s="29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-0.3</v>
      </c>
      <c r="BE249" s="29" cm="1">
        <f t="array" ref="BE249">$G$13+VLOOKUP($R249,武学奇术!$A:$ZZ,14,FALSE)+SUM(_xlfn.XLOOKUP(S249:AG249,增益!$A:$A,增益!$N:$N,0))</f>
        <v>0</v>
      </c>
      <c r="BF249">
        <f t="shared" si="40"/>
        <v>0</v>
      </c>
      <c r="BG249">
        <f t="shared" si="41"/>
        <v>0</v>
      </c>
      <c r="BH249" s="29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-0.3</v>
      </c>
      <c r="BI249" s="29" cm="1">
        <f t="array" ref="BI249">$G$14+VLOOKUP($R249,武学奇术!$A:$ZZ,16,FALSE)+SUM(_xlfn.XLOOKUP(S249:AG249,增益!$A:$A,增益!$P:$P,0))</f>
        <v>0</v>
      </c>
      <c r="BJ249" s="20">
        <f>MIN(IF(VLOOKUP($R249,武学奇术!$A:$ZZ,23,FALSE)=1,100%,$B$8),100%)</f>
        <v>0.8271</v>
      </c>
      <c r="BK249" s="20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0.2249</v>
      </c>
      <c r="BL249" s="20" cm="1">
        <f t="array" ref="BL249">1+$B$13+VLOOKUP($R249,武学奇术!$A:$ZZ,18,FALSE)+SUM(_xlfn.XLOOKUP(S249:AG249,增益!$A:$A,增益!$R:$R,0))</f>
        <v>1.5</v>
      </c>
      <c r="BM249" s="20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0.4459</v>
      </c>
      <c r="BN249" s="20" cm="1">
        <f t="array" ref="BN249">1+$B$14+VLOOKUP($R249,武学奇术!$A:$ZZ,20,FALSE)+SUM(_xlfn.XLOOKUP(S249:AG249,增益!$A:$A,增益!$T:$T,0))</f>
        <v>1.782</v>
      </c>
      <c r="BO249" s="20">
        <f t="shared" si="42"/>
        <v>0.18601479</v>
      </c>
      <c r="BP249" s="20">
        <f t="shared" si="43"/>
        <v>0.27228132</v>
      </c>
      <c r="BQ249" s="20">
        <f>IF(VLOOKUP($R249,武学奇术!$A:$ZZ,22,FALSE)=1,0,(1-$BJ249))*(1-$BM249)</f>
        <v>0.09580389</v>
      </c>
      <c r="BR249" s="20" cm="1">
        <f t="array" ref="BR249">SUM(_xlfn.XLOOKUP(S249:AG249,增益!$A:$A,增益!$W:$W,0))+$I$5</f>
        <v>0.11</v>
      </c>
    </row>
    <row r="250" spans="11:70">
      <c r="K250" s="27">
        <f>$L250*VLOOKUP($R250,武学奇术!$A:$ZZ,31,FALSE)</f>
        <v>7445.04899418637</v>
      </c>
      <c r="L250" s="27">
        <f t="shared" si="33"/>
        <v>12408.4149903106</v>
      </c>
      <c r="M250" s="27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10169.2279348813</v>
      </c>
      <c r="N250" s="27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18799.1444981962</v>
      </c>
      <c r="O250" s="27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6779.48528992088</v>
      </c>
      <c r="P250" s="27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3009.50677614016</v>
      </c>
      <c r="Q250" s="35">
        <v>1</v>
      </c>
      <c r="R250" s="36" t="s">
        <v>163</v>
      </c>
      <c r="S250" s="36" t="s">
        <v>152</v>
      </c>
      <c r="T250" s="36" t="s">
        <v>99</v>
      </c>
      <c r="U250" s="36" t="s">
        <v>100</v>
      </c>
      <c r="V250" s="36" t="s">
        <v>71</v>
      </c>
      <c r="W250" s="36" t="s">
        <v>111</v>
      </c>
      <c r="X250" s="36" t="s">
        <v>158</v>
      </c>
      <c r="Y250" s="36" t="s">
        <v>71</v>
      </c>
      <c r="Z250" s="36" t="s">
        <v>71</v>
      </c>
      <c r="AA250" s="36" t="s">
        <v>71</v>
      </c>
      <c r="AB250" s="36" t="s">
        <v>71</v>
      </c>
      <c r="AC250" s="36" t="s">
        <v>71</v>
      </c>
      <c r="AD250" s="36" t="s">
        <v>72</v>
      </c>
      <c r="AE250" s="36" t="s">
        <v>94</v>
      </c>
      <c r="AF250" s="36" t="s">
        <v>154</v>
      </c>
      <c r="AG250" s="36" t="s">
        <v>120</v>
      </c>
      <c r="AH250" t="str">
        <f>VLOOKUP($R250,武学奇术!$A:$ZZ,25,FALSE)</f>
        <v>剑</v>
      </c>
      <c r="AI250" s="20">
        <f>VLOOKUP($R250,武学奇术!$A:$ZZ,26,FALSE)</f>
        <v>0.27456</v>
      </c>
      <c r="AJ250" s="21">
        <f>VLOOKUP($R250,武学奇术!$A:$ZZ,27,FALSE)*(1+IF(OR($AH250=$F$4,$AH250=$F$5),$B$22,0))</f>
        <v>0</v>
      </c>
      <c r="AK250" s="20">
        <f>VLOOKUP($R250,武学奇术!$A:$ZZ,28,FALSE)</f>
        <v>0.41184</v>
      </c>
      <c r="AL250" s="21">
        <f>VLOOKUP($R250,武学奇术!$A:$ZZ,29,FALSE)*(1+IF(OR($AH250=$F$4,$AH250=$F$5),$B$22,0))</f>
        <v>0</v>
      </c>
      <c r="AM250" s="20" cm="1">
        <f t="array" ref="AM250">$G$3+IFERROR(VLOOKUP($AH250,$F$4:$G$7,2,FALSE),0)+VLOOKUP($R250,武学奇术!$A:$ZZ,2,FALSE)+SUM(_xlfn.XLOOKUP($S250:$AG250,增益!$A:$A,增益!$B:$B,0))</f>
        <v>1.2591</v>
      </c>
      <c r="AN250" s="20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1548.52</v>
      </c>
      <c r="AP250" cm="1">
        <f t="array" ref="AP250">$E$10*(1+$AN250)+VLOOKUP($R250,武学奇术!$A:$ZZ,4,FALSE)+SUM(_xlfn.XLOOKUP($S250:$AG250,增益!$A:$A,增益!$D:$D,0))-$I$2</f>
        <v>6659.56</v>
      </c>
      <c r="AQ250" s="29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0.3175</v>
      </c>
      <c r="AR250" s="29" cm="1">
        <f t="array" ref="AR250">$G$10+VLOOKUP($R250,武学奇术!$A:$ZZ,7,FALSE)+SUM(_xlfn.XLOOKUP(S250:AG250,增益!$A:$A,增益!$G:$G,0))</f>
        <v>0</v>
      </c>
      <c r="AS250" s="20" cm="1">
        <f t="array" ref="AS250">VLOOKUP($R250,武学奇术!$A:$ZZ,8,FALSE)+SUM(_xlfn.XLOOKUP(S250:AG250,增益!$A:$A,增益!$H:$H,0))</f>
        <v>0</v>
      </c>
      <c r="AT250">
        <f t="shared" si="34"/>
        <v>538</v>
      </c>
      <c r="AU250">
        <f t="shared" si="35"/>
        <v>1011</v>
      </c>
      <c r="AV250" s="29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0.075</v>
      </c>
      <c r="AW250" s="29" cm="1">
        <f t="array" ref="AW250">$G$11+VLOOKUP($R250,武学奇术!$A:$ZZ,10,FALSE)+SUM(_xlfn.XLOOKUP(S250:AG250,增益!$A:$A,增益!$J:$J,0))</f>
        <v>0.15</v>
      </c>
      <c r="AX250">
        <f t="shared" si="36"/>
        <v>0</v>
      </c>
      <c r="AY250">
        <f t="shared" si="37"/>
        <v>0</v>
      </c>
      <c r="AZ250" s="29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29" cm="1">
        <f t="array" ref="BA250">$G$12+VLOOKUP($R250,武学奇术!$A:$ZZ,12,FALSE)+SUM(_xlfn.XLOOKUP(S250:AG250,增益!$A:$A,增益!$L:$L,0))</f>
        <v>0</v>
      </c>
      <c r="BB250">
        <f t="shared" si="38"/>
        <v>0</v>
      </c>
      <c r="BC250">
        <f t="shared" si="39"/>
        <v>0</v>
      </c>
      <c r="BD250" s="29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29" cm="1">
        <f t="array" ref="BE250">$G$13+VLOOKUP($R250,武学奇术!$A:$ZZ,14,FALSE)+SUM(_xlfn.XLOOKUP(S250:AG250,增益!$A:$A,增益!$N:$N,0))</f>
        <v>0</v>
      </c>
      <c r="BF250">
        <f t="shared" si="40"/>
        <v>0</v>
      </c>
      <c r="BG250">
        <f t="shared" si="41"/>
        <v>0</v>
      </c>
      <c r="BH250" s="29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29" cm="1">
        <f t="array" ref="BI250">$G$14+VLOOKUP($R250,武学奇术!$A:$ZZ,16,FALSE)+SUM(_xlfn.XLOOKUP(S250:AG250,增益!$A:$A,增益!$P:$P,0))</f>
        <v>0</v>
      </c>
      <c r="BJ250" s="20">
        <f>MIN(IF(VLOOKUP($R250,武学奇术!$A:$ZZ,23,FALSE)=1,100%,$B$8),100%)</f>
        <v>0.8271</v>
      </c>
      <c r="BK250" s="20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0.2249</v>
      </c>
      <c r="BL250" s="20" cm="1">
        <f t="array" ref="BL250">1+$B$13+VLOOKUP($R250,武学奇术!$A:$ZZ,18,FALSE)+SUM(_xlfn.XLOOKUP(S250:AG250,增益!$A:$A,增益!$R:$R,0))</f>
        <v>1.5</v>
      </c>
      <c r="BM250" s="20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0.4459</v>
      </c>
      <c r="BN250" s="20" cm="1">
        <f t="array" ref="BN250">1+$B$14+VLOOKUP($R250,武学奇术!$A:$ZZ,20,FALSE)+SUM(_xlfn.XLOOKUP(S250:AG250,增益!$A:$A,增益!$T:$T,0))</f>
        <v>1.782</v>
      </c>
      <c r="BO250" s="20">
        <f t="shared" si="42"/>
        <v>0.18601479</v>
      </c>
      <c r="BP250" s="20">
        <f t="shared" si="43"/>
        <v>0.27228132</v>
      </c>
      <c r="BQ250" s="20">
        <f>IF(VLOOKUP($R250,武学奇术!$A:$ZZ,22,FALSE)=1,0,(1-$BJ250))*(1-$BM250)</f>
        <v>0.09580389</v>
      </c>
      <c r="BR250" s="20" cm="1">
        <f t="array" ref="BR250">SUM(_xlfn.XLOOKUP(S250:AG250,增益!$A:$A,增益!$W:$W,0))+$I$5</f>
        <v>0.21</v>
      </c>
    </row>
    <row r="251" spans="11:70">
      <c r="K251" s="27">
        <f>$L251*VLOOKUP($R251,武学奇术!$A:$ZZ,31,FALSE)</f>
        <v>7445.04899418637</v>
      </c>
      <c r="L251" s="27">
        <f t="shared" si="33"/>
        <v>12408.4149903106</v>
      </c>
      <c r="M251" s="27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10169.2279348813</v>
      </c>
      <c r="N251" s="27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18799.1444981962</v>
      </c>
      <c r="O251" s="27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6779.48528992088</v>
      </c>
      <c r="P251" s="27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3009.50677614016</v>
      </c>
      <c r="Q251" s="35">
        <v>1</v>
      </c>
      <c r="R251" s="36" t="s">
        <v>163</v>
      </c>
      <c r="S251" s="36" t="s">
        <v>152</v>
      </c>
      <c r="T251" s="36" t="s">
        <v>99</v>
      </c>
      <c r="U251" s="36" t="s">
        <v>100</v>
      </c>
      <c r="V251" s="36" t="s">
        <v>71</v>
      </c>
      <c r="W251" s="36" t="s">
        <v>111</v>
      </c>
      <c r="X251" s="36" t="s">
        <v>158</v>
      </c>
      <c r="Y251" s="36" t="s">
        <v>71</v>
      </c>
      <c r="Z251" s="36" t="s">
        <v>71</v>
      </c>
      <c r="AA251" s="36" t="s">
        <v>71</v>
      </c>
      <c r="AB251" s="36" t="s">
        <v>71</v>
      </c>
      <c r="AC251" s="36" t="s">
        <v>71</v>
      </c>
      <c r="AD251" s="36" t="s">
        <v>72</v>
      </c>
      <c r="AE251" s="36" t="s">
        <v>94</v>
      </c>
      <c r="AF251" s="36" t="s">
        <v>154</v>
      </c>
      <c r="AG251" s="36" t="s">
        <v>120</v>
      </c>
      <c r="AH251" t="str">
        <f>VLOOKUP($R251,武学奇术!$A:$ZZ,25,FALSE)</f>
        <v>剑</v>
      </c>
      <c r="AI251" s="20">
        <f>VLOOKUP($R251,武学奇术!$A:$ZZ,26,FALSE)</f>
        <v>0.27456</v>
      </c>
      <c r="AJ251" s="21">
        <f>VLOOKUP($R251,武学奇术!$A:$ZZ,27,FALSE)*(1+IF(OR($AH251=$F$4,$AH251=$F$5),$B$22,0))</f>
        <v>0</v>
      </c>
      <c r="AK251" s="20">
        <f>VLOOKUP($R251,武学奇术!$A:$ZZ,28,FALSE)</f>
        <v>0.41184</v>
      </c>
      <c r="AL251" s="21">
        <f>VLOOKUP($R251,武学奇术!$A:$ZZ,29,FALSE)*(1+IF(OR($AH251=$F$4,$AH251=$F$5),$B$22,0))</f>
        <v>0</v>
      </c>
      <c r="AM251" s="20" cm="1">
        <f t="array" ref="AM251">$G$3+IFERROR(VLOOKUP($AH251,$F$4:$G$7,2,FALSE),0)+VLOOKUP($R251,武学奇术!$A:$ZZ,2,FALSE)+SUM(_xlfn.XLOOKUP($S251:$AG251,增益!$A:$A,增益!$B:$B,0))</f>
        <v>1.2591</v>
      </c>
      <c r="AN251" s="20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1548.52</v>
      </c>
      <c r="AP251" cm="1">
        <f t="array" ref="AP251">$E$10*(1+$AN251)+VLOOKUP($R251,武学奇术!$A:$ZZ,4,FALSE)+SUM(_xlfn.XLOOKUP($S251:$AG251,增益!$A:$A,增益!$D:$D,0))-$I$2</f>
        <v>6659.56</v>
      </c>
      <c r="AQ251" s="29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0.3175</v>
      </c>
      <c r="AR251" s="29" cm="1">
        <f t="array" ref="AR251">$G$10+VLOOKUP($R251,武学奇术!$A:$ZZ,7,FALSE)+SUM(_xlfn.XLOOKUP(S251:AG251,增益!$A:$A,增益!$G:$G,0))</f>
        <v>0</v>
      </c>
      <c r="AS251" s="20" cm="1">
        <f t="array" ref="AS251">VLOOKUP($R251,武学奇术!$A:$ZZ,8,FALSE)+SUM(_xlfn.XLOOKUP(S251:AG251,增益!$A:$A,增益!$H:$H,0))</f>
        <v>0</v>
      </c>
      <c r="AT251">
        <f t="shared" si="34"/>
        <v>538</v>
      </c>
      <c r="AU251">
        <f t="shared" si="35"/>
        <v>1011</v>
      </c>
      <c r="AV251" s="29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0.075</v>
      </c>
      <c r="AW251" s="29" cm="1">
        <f t="array" ref="AW251">$G$11+VLOOKUP($R251,武学奇术!$A:$ZZ,10,FALSE)+SUM(_xlfn.XLOOKUP(S251:AG251,增益!$A:$A,增益!$J:$J,0))</f>
        <v>0.15</v>
      </c>
      <c r="AX251">
        <f t="shared" si="36"/>
        <v>0</v>
      </c>
      <c r="AY251">
        <f t="shared" si="37"/>
        <v>0</v>
      </c>
      <c r="AZ251" s="29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29" cm="1">
        <f t="array" ref="BA251">$G$12+VLOOKUP($R251,武学奇术!$A:$ZZ,12,FALSE)+SUM(_xlfn.XLOOKUP(S251:AG251,增益!$A:$A,增益!$L:$L,0))</f>
        <v>0</v>
      </c>
      <c r="BB251">
        <f t="shared" si="38"/>
        <v>0</v>
      </c>
      <c r="BC251">
        <f t="shared" si="39"/>
        <v>0</v>
      </c>
      <c r="BD251" s="29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29" cm="1">
        <f t="array" ref="BE251">$G$13+VLOOKUP($R251,武学奇术!$A:$ZZ,14,FALSE)+SUM(_xlfn.XLOOKUP(S251:AG251,增益!$A:$A,增益!$N:$N,0))</f>
        <v>0</v>
      </c>
      <c r="BF251">
        <f t="shared" si="40"/>
        <v>0</v>
      </c>
      <c r="BG251">
        <f t="shared" si="41"/>
        <v>0</v>
      </c>
      <c r="BH251" s="29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29" cm="1">
        <f t="array" ref="BI251">$G$14+VLOOKUP($R251,武学奇术!$A:$ZZ,16,FALSE)+SUM(_xlfn.XLOOKUP(S251:AG251,增益!$A:$A,增益!$P:$P,0))</f>
        <v>0</v>
      </c>
      <c r="BJ251" s="20">
        <f>MIN(IF(VLOOKUP($R251,武学奇术!$A:$ZZ,23,FALSE)=1,100%,$B$8),100%)</f>
        <v>0.8271</v>
      </c>
      <c r="BK251" s="20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0.2249</v>
      </c>
      <c r="BL251" s="20" cm="1">
        <f t="array" ref="BL251">1+$B$13+VLOOKUP($R251,武学奇术!$A:$ZZ,18,FALSE)+SUM(_xlfn.XLOOKUP(S251:AG251,增益!$A:$A,增益!$R:$R,0))</f>
        <v>1.5</v>
      </c>
      <c r="BM251" s="20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0.4459</v>
      </c>
      <c r="BN251" s="20" cm="1">
        <f t="array" ref="BN251">1+$B$14+VLOOKUP($R251,武学奇术!$A:$ZZ,20,FALSE)+SUM(_xlfn.XLOOKUP(S251:AG251,增益!$A:$A,增益!$T:$T,0))</f>
        <v>1.782</v>
      </c>
      <c r="BO251" s="20">
        <f t="shared" si="42"/>
        <v>0.18601479</v>
      </c>
      <c r="BP251" s="20">
        <f t="shared" si="43"/>
        <v>0.27228132</v>
      </c>
      <c r="BQ251" s="20">
        <f>IF(VLOOKUP($R251,武学奇术!$A:$ZZ,22,FALSE)=1,0,(1-$BJ251))*(1-$BM251)</f>
        <v>0.09580389</v>
      </c>
      <c r="BR251" s="20" cm="1">
        <f t="array" ref="BR251">SUM(_xlfn.XLOOKUP(S251:AG251,增益!$A:$A,增益!$W:$W,0))+$I$5</f>
        <v>0.21</v>
      </c>
    </row>
    <row r="252" spans="11:70">
      <c r="K252" s="27">
        <f>$L252*VLOOKUP($R252,武学奇术!$A:$ZZ,31,FALSE)</f>
        <v>4631.28048005819</v>
      </c>
      <c r="L252" s="27">
        <f t="shared" si="33"/>
        <v>7718.80080009699</v>
      </c>
      <c r="M252" s="27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6317.83459674901</v>
      </c>
      <c r="N252" s="27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11704.4010706611</v>
      </c>
      <c r="O252" s="27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4211.88973116601</v>
      </c>
      <c r="P252" s="27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1855.65316005306</v>
      </c>
      <c r="Q252" s="35">
        <v>1</v>
      </c>
      <c r="R252" s="36" t="s">
        <v>164</v>
      </c>
      <c r="S252" s="36" t="s">
        <v>152</v>
      </c>
      <c r="T252" s="36" t="s">
        <v>99</v>
      </c>
      <c r="U252" s="36" t="s">
        <v>100</v>
      </c>
      <c r="V252" s="36" t="s">
        <v>71</v>
      </c>
      <c r="W252" s="36" t="s">
        <v>71</v>
      </c>
      <c r="X252" s="36" t="s">
        <v>158</v>
      </c>
      <c r="Y252" s="36" t="s">
        <v>71</v>
      </c>
      <c r="Z252" s="36" t="s">
        <v>71</v>
      </c>
      <c r="AA252" s="36" t="s">
        <v>71</v>
      </c>
      <c r="AB252" s="36" t="s">
        <v>71</v>
      </c>
      <c r="AC252" s="36" t="s">
        <v>71</v>
      </c>
      <c r="AD252" s="36" t="s">
        <v>72</v>
      </c>
      <c r="AE252" s="36" t="s">
        <v>94</v>
      </c>
      <c r="AF252" s="36" t="s">
        <v>154</v>
      </c>
      <c r="AG252" s="36" t="s">
        <v>120</v>
      </c>
      <c r="AH252" t="str">
        <f>VLOOKUP($R252,武学奇术!$A:$ZZ,25,FALSE)</f>
        <v>剑</v>
      </c>
      <c r="AI252" s="20">
        <f>VLOOKUP($R252,武学奇术!$A:$ZZ,26,FALSE)</f>
        <v>0.1716</v>
      </c>
      <c r="AJ252" s="21">
        <f>VLOOKUP($R252,武学奇术!$A:$ZZ,27,FALSE)*(1+IF(OR($AH252=$F$4,$AH252=$F$5),$B$22,0))</f>
        <v>0</v>
      </c>
      <c r="AK252" s="20">
        <f>VLOOKUP($R252,武学奇术!$A:$ZZ,28,FALSE)</f>
        <v>0.2574</v>
      </c>
      <c r="AL252" s="21">
        <f>VLOOKUP($R252,武学奇术!$A:$ZZ,29,FALSE)*(1+IF(OR($AH252=$F$4,$AH252=$F$5),$B$22,0))</f>
        <v>0</v>
      </c>
      <c r="AM252" s="20" cm="1">
        <f t="array" ref="AM252">$G$3+IFERROR(VLOOKUP($AH252,$F$4:$G$7,2,FALSE),0)+VLOOKUP($R252,武学奇术!$A:$ZZ,2,FALSE)+SUM(_xlfn.XLOOKUP($S252:$AG252,增益!$A:$A,增益!$B:$B,0))</f>
        <v>1.2591</v>
      </c>
      <c r="AN252" s="20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1517.52</v>
      </c>
      <c r="AP252" cm="1">
        <f t="array" ref="AP252">$E$10*(1+$AN252)+VLOOKUP($R252,武学奇术!$A:$ZZ,4,FALSE)+SUM(_xlfn.XLOOKUP($S252:$AG252,增益!$A:$A,增益!$D:$D,0))-$I$2</f>
        <v>6628.56</v>
      </c>
      <c r="AQ252" s="29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0.3175</v>
      </c>
      <c r="AR252" s="29" cm="1">
        <f t="array" ref="AR252">$G$10+VLOOKUP($R252,武学奇术!$A:$ZZ,7,FALSE)+SUM(_xlfn.XLOOKUP(S252:AG252,增益!$A:$A,增益!$G:$G,0))</f>
        <v>0</v>
      </c>
      <c r="AS252" s="20" cm="1">
        <f t="array" ref="AS252">VLOOKUP($R252,武学奇术!$A:$ZZ,8,FALSE)+SUM(_xlfn.XLOOKUP(S252:AG252,增益!$A:$A,增益!$H:$H,0))</f>
        <v>0</v>
      </c>
      <c r="AT252">
        <f t="shared" si="34"/>
        <v>538</v>
      </c>
      <c r="AU252">
        <f t="shared" si="35"/>
        <v>1011</v>
      </c>
      <c r="AV252" s="29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0.075</v>
      </c>
      <c r="AW252" s="29" cm="1">
        <f t="array" ref="AW252">$G$11+VLOOKUP($R252,武学奇术!$A:$ZZ,10,FALSE)+SUM(_xlfn.XLOOKUP(S252:AG252,增益!$A:$A,增益!$J:$J,0))</f>
        <v>0.15</v>
      </c>
      <c r="AX252">
        <f t="shared" si="36"/>
        <v>0</v>
      </c>
      <c r="AY252">
        <f t="shared" si="37"/>
        <v>0</v>
      </c>
      <c r="AZ252" s="29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29" cm="1">
        <f t="array" ref="BA252">$G$12+VLOOKUP($R252,武学奇术!$A:$ZZ,12,FALSE)+SUM(_xlfn.XLOOKUP(S252:AG252,增益!$A:$A,增益!$L:$L,0))</f>
        <v>0</v>
      </c>
      <c r="BB252">
        <f t="shared" si="38"/>
        <v>0</v>
      </c>
      <c r="BC252">
        <f t="shared" si="39"/>
        <v>0</v>
      </c>
      <c r="BD252" s="29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29" cm="1">
        <f t="array" ref="BE252">$G$13+VLOOKUP($R252,武学奇术!$A:$ZZ,14,FALSE)+SUM(_xlfn.XLOOKUP(S252:AG252,增益!$A:$A,增益!$N:$N,0))</f>
        <v>0</v>
      </c>
      <c r="BF252">
        <f t="shared" si="40"/>
        <v>0</v>
      </c>
      <c r="BG252">
        <f t="shared" si="41"/>
        <v>0</v>
      </c>
      <c r="BH252" s="29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29" cm="1">
        <f t="array" ref="BI252">$G$14+VLOOKUP($R252,武学奇术!$A:$ZZ,16,FALSE)+SUM(_xlfn.XLOOKUP(S252:AG252,增益!$A:$A,增益!$P:$P,0))</f>
        <v>0</v>
      </c>
      <c r="BJ252" s="20">
        <f>MIN(IF(VLOOKUP($R252,武学奇术!$A:$ZZ,23,FALSE)=1,100%,$B$8),100%)</f>
        <v>0.8271</v>
      </c>
      <c r="BK252" s="20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0.2249</v>
      </c>
      <c r="BL252" s="20" cm="1">
        <f t="array" ref="BL252">1+$B$13+VLOOKUP($R252,武学奇术!$A:$ZZ,18,FALSE)+SUM(_xlfn.XLOOKUP(S252:AG252,增益!$A:$A,增益!$R:$R,0))</f>
        <v>1.5</v>
      </c>
      <c r="BM252" s="20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0.4459</v>
      </c>
      <c r="BN252" s="20" cm="1">
        <f t="array" ref="BN252">1+$B$14+VLOOKUP($R252,武学奇术!$A:$ZZ,20,FALSE)+SUM(_xlfn.XLOOKUP(S252:AG252,增益!$A:$A,增益!$T:$T,0))</f>
        <v>1.782</v>
      </c>
      <c r="BO252" s="20">
        <f t="shared" si="42"/>
        <v>0.18601479</v>
      </c>
      <c r="BP252" s="20">
        <f t="shared" si="43"/>
        <v>0.27228132</v>
      </c>
      <c r="BQ252" s="20">
        <f>IF(VLOOKUP($R252,武学奇术!$A:$ZZ,22,FALSE)=1,0,(1-$BJ252))*(1-$BM252)</f>
        <v>0.09580389</v>
      </c>
      <c r="BR252" s="20" cm="1">
        <f t="array" ref="BR252">SUM(_xlfn.XLOOKUP(S252:AG252,增益!$A:$A,增益!$W:$W,0))+$I$5</f>
        <v>0.21</v>
      </c>
    </row>
    <row r="253" spans="11:70">
      <c r="K253" s="27">
        <f>$L253*VLOOKUP($R253,武学奇术!$A:$ZZ,31,FALSE)</f>
        <v>9306.31124273296</v>
      </c>
      <c r="L253" s="27">
        <f t="shared" si="33"/>
        <v>15510.5187378883</v>
      </c>
      <c r="M253" s="27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12711.5349186016</v>
      </c>
      <c r="N253" s="27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23498.9306227453</v>
      </c>
      <c r="O253" s="27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8474.3566124011</v>
      </c>
      <c r="P253" s="27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3761.8834701752</v>
      </c>
      <c r="Q253" s="35">
        <v>1</v>
      </c>
      <c r="R253" s="36" t="s">
        <v>162</v>
      </c>
      <c r="S253" s="36" t="s">
        <v>152</v>
      </c>
      <c r="T253" s="36" t="s">
        <v>99</v>
      </c>
      <c r="U253" s="36" t="s">
        <v>100</v>
      </c>
      <c r="V253" s="36" t="s">
        <v>71</v>
      </c>
      <c r="W253" s="36" t="s">
        <v>111</v>
      </c>
      <c r="X253" s="36" t="s">
        <v>158</v>
      </c>
      <c r="Y253" s="36" t="s">
        <v>71</v>
      </c>
      <c r="Z253" s="36" t="s">
        <v>71</v>
      </c>
      <c r="AA253" s="36" t="s">
        <v>71</v>
      </c>
      <c r="AB253" s="36" t="s">
        <v>71</v>
      </c>
      <c r="AC253" s="36" t="s">
        <v>71</v>
      </c>
      <c r="AD253" s="36" t="s">
        <v>72</v>
      </c>
      <c r="AE253" s="36" t="s">
        <v>94</v>
      </c>
      <c r="AF253" s="36" t="s">
        <v>154</v>
      </c>
      <c r="AG253" s="36" t="s">
        <v>120</v>
      </c>
      <c r="AH253" t="str">
        <f>VLOOKUP($R253,武学奇术!$A:$ZZ,25,FALSE)</f>
        <v>剑</v>
      </c>
      <c r="AI253" s="20">
        <f>VLOOKUP($R253,武学奇术!$A:$ZZ,26,FALSE)</f>
        <v>0.3432</v>
      </c>
      <c r="AJ253" s="21">
        <f>VLOOKUP($R253,武学奇术!$A:$ZZ,27,FALSE)*(1+IF(OR($AH253=$F$4,$AH253=$F$5),$B$22,0))</f>
        <v>0</v>
      </c>
      <c r="AK253" s="20">
        <f>VLOOKUP($R253,武学奇术!$A:$ZZ,28,FALSE)</f>
        <v>0.5148</v>
      </c>
      <c r="AL253" s="21">
        <f>VLOOKUP($R253,武学奇术!$A:$ZZ,29,FALSE)*(1+IF(OR($AH253=$F$4,$AH253=$F$5),$B$22,0))</f>
        <v>0</v>
      </c>
      <c r="AM253" s="20" cm="1">
        <f t="array" ref="AM253">$G$3+IFERROR(VLOOKUP($AH253,$F$4:$G$7,2,FALSE),0)+VLOOKUP($R253,武学奇术!$A:$ZZ,2,FALSE)+SUM(_xlfn.XLOOKUP($S253:$AG253,增益!$A:$A,增益!$B:$B,0))</f>
        <v>1.2591</v>
      </c>
      <c r="AN253" s="20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1548.52</v>
      </c>
      <c r="AP253" cm="1">
        <f t="array" ref="AP253">$E$10*(1+$AN253)+VLOOKUP($R253,武学奇术!$A:$ZZ,4,FALSE)+SUM(_xlfn.XLOOKUP($S253:$AG253,增益!$A:$A,增益!$D:$D,0))-$I$2</f>
        <v>6659.56</v>
      </c>
      <c r="AQ253" s="29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0.3175</v>
      </c>
      <c r="AR253" s="29" cm="1">
        <f t="array" ref="AR253">$G$10+VLOOKUP($R253,武学奇术!$A:$ZZ,7,FALSE)+SUM(_xlfn.XLOOKUP(S253:AG253,增益!$A:$A,增益!$G:$G,0))</f>
        <v>0</v>
      </c>
      <c r="AS253" s="20" cm="1">
        <f t="array" ref="AS253">VLOOKUP($R253,武学奇术!$A:$ZZ,8,FALSE)+SUM(_xlfn.XLOOKUP(S253:AG253,增益!$A:$A,增益!$H:$H,0))</f>
        <v>0</v>
      </c>
      <c r="AT253">
        <f t="shared" si="34"/>
        <v>538</v>
      </c>
      <c r="AU253">
        <f t="shared" si="35"/>
        <v>1011</v>
      </c>
      <c r="AV253" s="29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0.075</v>
      </c>
      <c r="AW253" s="29" cm="1">
        <f t="array" ref="AW253">$G$11+VLOOKUP($R253,武学奇术!$A:$ZZ,10,FALSE)+SUM(_xlfn.XLOOKUP(S253:AG253,增益!$A:$A,增益!$J:$J,0))</f>
        <v>0.15</v>
      </c>
      <c r="AX253">
        <f t="shared" si="36"/>
        <v>0</v>
      </c>
      <c r="AY253">
        <f t="shared" si="37"/>
        <v>0</v>
      </c>
      <c r="AZ253" s="29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29" cm="1">
        <f t="array" ref="BA253">$G$12+VLOOKUP($R253,武学奇术!$A:$ZZ,12,FALSE)+SUM(_xlfn.XLOOKUP(S253:AG253,增益!$A:$A,增益!$L:$L,0))</f>
        <v>0</v>
      </c>
      <c r="BB253">
        <f t="shared" si="38"/>
        <v>0</v>
      </c>
      <c r="BC253">
        <f t="shared" si="39"/>
        <v>0</v>
      </c>
      <c r="BD253" s="29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29" cm="1">
        <f t="array" ref="BE253">$G$13+VLOOKUP($R253,武学奇术!$A:$ZZ,14,FALSE)+SUM(_xlfn.XLOOKUP(S253:AG253,增益!$A:$A,增益!$N:$N,0))</f>
        <v>0</v>
      </c>
      <c r="BF253">
        <f t="shared" si="40"/>
        <v>0</v>
      </c>
      <c r="BG253">
        <f t="shared" si="41"/>
        <v>0</v>
      </c>
      <c r="BH253" s="29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29" cm="1">
        <f t="array" ref="BI253">$G$14+VLOOKUP($R253,武学奇术!$A:$ZZ,16,FALSE)+SUM(_xlfn.XLOOKUP(S253:AG253,增益!$A:$A,增益!$P:$P,0))</f>
        <v>0</v>
      </c>
      <c r="BJ253" s="20">
        <f>MIN(IF(VLOOKUP($R253,武学奇术!$A:$ZZ,23,FALSE)=1,100%,$B$8),100%)</f>
        <v>0.8271</v>
      </c>
      <c r="BK253" s="20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0.2249</v>
      </c>
      <c r="BL253" s="20" cm="1">
        <f t="array" ref="BL253">1+$B$13+VLOOKUP($R253,武学奇术!$A:$ZZ,18,FALSE)+SUM(_xlfn.XLOOKUP(S253:AG253,增益!$A:$A,增益!$R:$R,0))</f>
        <v>1.5</v>
      </c>
      <c r="BM253" s="20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0.4459</v>
      </c>
      <c r="BN253" s="20" cm="1">
        <f t="array" ref="BN253">1+$B$14+VLOOKUP($R253,武学奇术!$A:$ZZ,20,FALSE)+SUM(_xlfn.XLOOKUP(S253:AG253,增益!$A:$A,增益!$T:$T,0))</f>
        <v>1.782</v>
      </c>
      <c r="BO253" s="20">
        <f t="shared" si="42"/>
        <v>0.18601479</v>
      </c>
      <c r="BP253" s="20">
        <f t="shared" si="43"/>
        <v>0.27228132</v>
      </c>
      <c r="BQ253" s="20">
        <f>IF(VLOOKUP($R253,武学奇术!$A:$ZZ,22,FALSE)=1,0,(1-$BJ253))*(1-$BM253)</f>
        <v>0.09580389</v>
      </c>
      <c r="BR253" s="20" cm="1">
        <f t="array" ref="BR253">SUM(_xlfn.XLOOKUP(S253:AG253,增益!$A:$A,增益!$W:$W,0))+$I$5</f>
        <v>0.21</v>
      </c>
    </row>
    <row r="254" spans="11:70">
      <c r="K254" s="27">
        <f>$L254*VLOOKUP($R254,武学奇术!$A:$ZZ,31,FALSE)</f>
        <v>7445.04899418637</v>
      </c>
      <c r="L254" s="27">
        <f t="shared" si="33"/>
        <v>12408.4149903106</v>
      </c>
      <c r="M254" s="27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10169.2279348813</v>
      </c>
      <c r="N254" s="27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18799.1444981962</v>
      </c>
      <c r="O254" s="27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6779.48528992088</v>
      </c>
      <c r="P254" s="27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3009.50677614016</v>
      </c>
      <c r="Q254" s="35">
        <v>1</v>
      </c>
      <c r="R254" s="36" t="s">
        <v>163</v>
      </c>
      <c r="S254" s="36" t="s">
        <v>152</v>
      </c>
      <c r="T254" s="36" t="s">
        <v>99</v>
      </c>
      <c r="U254" s="36" t="s">
        <v>100</v>
      </c>
      <c r="V254" s="36" t="s">
        <v>71</v>
      </c>
      <c r="W254" s="36" t="s">
        <v>111</v>
      </c>
      <c r="X254" s="36" t="s">
        <v>158</v>
      </c>
      <c r="Y254" s="36" t="s">
        <v>71</v>
      </c>
      <c r="Z254" s="36" t="s">
        <v>71</v>
      </c>
      <c r="AA254" s="36" t="s">
        <v>71</v>
      </c>
      <c r="AB254" s="36" t="s">
        <v>71</v>
      </c>
      <c r="AC254" s="36" t="s">
        <v>71</v>
      </c>
      <c r="AD254" s="36" t="s">
        <v>72</v>
      </c>
      <c r="AE254" s="36" t="s">
        <v>94</v>
      </c>
      <c r="AF254" s="36" t="s">
        <v>154</v>
      </c>
      <c r="AG254" s="36" t="s">
        <v>120</v>
      </c>
      <c r="AH254" t="str">
        <f>VLOOKUP($R254,武学奇术!$A:$ZZ,25,FALSE)</f>
        <v>剑</v>
      </c>
      <c r="AI254" s="20">
        <f>VLOOKUP($R254,武学奇术!$A:$ZZ,26,FALSE)</f>
        <v>0.27456</v>
      </c>
      <c r="AJ254" s="21">
        <f>VLOOKUP($R254,武学奇术!$A:$ZZ,27,FALSE)*(1+IF(OR($AH254=$F$4,$AH254=$F$5),$B$22,0))</f>
        <v>0</v>
      </c>
      <c r="AK254" s="20">
        <f>VLOOKUP($R254,武学奇术!$A:$ZZ,28,FALSE)</f>
        <v>0.41184</v>
      </c>
      <c r="AL254" s="21">
        <f>VLOOKUP($R254,武学奇术!$A:$ZZ,29,FALSE)*(1+IF(OR($AH254=$F$4,$AH254=$F$5),$B$22,0))</f>
        <v>0</v>
      </c>
      <c r="AM254" s="20" cm="1">
        <f t="array" ref="AM254">$G$3+IFERROR(VLOOKUP($AH254,$F$4:$G$7,2,FALSE),0)+VLOOKUP($R254,武学奇术!$A:$ZZ,2,FALSE)+SUM(_xlfn.XLOOKUP($S254:$AG254,增益!$A:$A,增益!$B:$B,0))</f>
        <v>1.2591</v>
      </c>
      <c r="AN254" s="20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1548.52</v>
      </c>
      <c r="AP254" cm="1">
        <f t="array" ref="AP254">$E$10*(1+$AN254)+VLOOKUP($R254,武学奇术!$A:$ZZ,4,FALSE)+SUM(_xlfn.XLOOKUP($S254:$AG254,增益!$A:$A,增益!$D:$D,0))-$I$2</f>
        <v>6659.56</v>
      </c>
      <c r="AQ254" s="29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0.3175</v>
      </c>
      <c r="AR254" s="29" cm="1">
        <f t="array" ref="AR254">$G$10+VLOOKUP($R254,武学奇术!$A:$ZZ,7,FALSE)+SUM(_xlfn.XLOOKUP(S254:AG254,增益!$A:$A,增益!$G:$G,0))</f>
        <v>0</v>
      </c>
      <c r="AS254" s="20" cm="1">
        <f t="array" ref="AS254">VLOOKUP($R254,武学奇术!$A:$ZZ,8,FALSE)+SUM(_xlfn.XLOOKUP(S254:AG254,增益!$A:$A,增益!$H:$H,0))</f>
        <v>0</v>
      </c>
      <c r="AT254">
        <f t="shared" si="34"/>
        <v>538</v>
      </c>
      <c r="AU254">
        <f t="shared" si="35"/>
        <v>1011</v>
      </c>
      <c r="AV254" s="29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0.075</v>
      </c>
      <c r="AW254" s="29" cm="1">
        <f t="array" ref="AW254">$G$11+VLOOKUP($R254,武学奇术!$A:$ZZ,10,FALSE)+SUM(_xlfn.XLOOKUP(S254:AG254,增益!$A:$A,增益!$J:$J,0))</f>
        <v>0.15</v>
      </c>
      <c r="AX254">
        <f t="shared" si="36"/>
        <v>0</v>
      </c>
      <c r="AY254">
        <f t="shared" si="37"/>
        <v>0</v>
      </c>
      <c r="AZ254" s="29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29" cm="1">
        <f t="array" ref="BA254">$G$12+VLOOKUP($R254,武学奇术!$A:$ZZ,12,FALSE)+SUM(_xlfn.XLOOKUP(S254:AG254,增益!$A:$A,增益!$L:$L,0))</f>
        <v>0</v>
      </c>
      <c r="BB254">
        <f t="shared" si="38"/>
        <v>0</v>
      </c>
      <c r="BC254">
        <f t="shared" si="39"/>
        <v>0</v>
      </c>
      <c r="BD254" s="29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29" cm="1">
        <f t="array" ref="BE254">$G$13+VLOOKUP($R254,武学奇术!$A:$ZZ,14,FALSE)+SUM(_xlfn.XLOOKUP(S254:AG254,增益!$A:$A,增益!$N:$N,0))</f>
        <v>0</v>
      </c>
      <c r="BF254">
        <f t="shared" si="40"/>
        <v>0</v>
      </c>
      <c r="BG254">
        <f t="shared" si="41"/>
        <v>0</v>
      </c>
      <c r="BH254" s="29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29" cm="1">
        <f t="array" ref="BI254">$G$14+VLOOKUP($R254,武学奇术!$A:$ZZ,16,FALSE)+SUM(_xlfn.XLOOKUP(S254:AG254,增益!$A:$A,增益!$P:$P,0))</f>
        <v>0</v>
      </c>
      <c r="BJ254" s="20">
        <f>MIN(IF(VLOOKUP($R254,武学奇术!$A:$ZZ,23,FALSE)=1,100%,$B$8),100%)</f>
        <v>0.8271</v>
      </c>
      <c r="BK254" s="20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0.2249</v>
      </c>
      <c r="BL254" s="20" cm="1">
        <f t="array" ref="BL254">1+$B$13+VLOOKUP($R254,武学奇术!$A:$ZZ,18,FALSE)+SUM(_xlfn.XLOOKUP(S254:AG254,增益!$A:$A,增益!$R:$R,0))</f>
        <v>1.5</v>
      </c>
      <c r="BM254" s="20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0.4459</v>
      </c>
      <c r="BN254" s="20" cm="1">
        <f t="array" ref="BN254">1+$B$14+VLOOKUP($R254,武学奇术!$A:$ZZ,20,FALSE)+SUM(_xlfn.XLOOKUP(S254:AG254,增益!$A:$A,增益!$T:$T,0))</f>
        <v>1.782</v>
      </c>
      <c r="BO254" s="20">
        <f t="shared" si="42"/>
        <v>0.18601479</v>
      </c>
      <c r="BP254" s="20">
        <f t="shared" si="43"/>
        <v>0.27228132</v>
      </c>
      <c r="BQ254" s="20">
        <f>IF(VLOOKUP($R254,武学奇术!$A:$ZZ,22,FALSE)=1,0,(1-$BJ254))*(1-$BM254)</f>
        <v>0.09580389</v>
      </c>
      <c r="BR254" s="20" cm="1">
        <f t="array" ref="BR254">SUM(_xlfn.XLOOKUP(S254:AG254,增益!$A:$A,增益!$W:$W,0))+$I$5</f>
        <v>0.21</v>
      </c>
    </row>
    <row r="255" spans="11:70">
      <c r="K255" s="27">
        <f>$L255*VLOOKUP($R255,武学奇术!$A:$ZZ,31,FALSE)</f>
        <v>4653.15562136648</v>
      </c>
      <c r="L255" s="27">
        <f t="shared" si="33"/>
        <v>7755.25936894413</v>
      </c>
      <c r="M255" s="27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6355.76745930082</v>
      </c>
      <c r="N255" s="27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11749.4653113727</v>
      </c>
      <c r="O255" s="27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4237.17830620055</v>
      </c>
      <c r="P255" s="27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1880.9417350876</v>
      </c>
      <c r="Q255" s="35">
        <v>1</v>
      </c>
      <c r="R255" s="36" t="s">
        <v>164</v>
      </c>
      <c r="S255" s="36" t="s">
        <v>152</v>
      </c>
      <c r="T255" s="36" t="s">
        <v>99</v>
      </c>
      <c r="U255" s="36" t="s">
        <v>100</v>
      </c>
      <c r="V255" s="36" t="s">
        <v>71</v>
      </c>
      <c r="W255" s="36" t="s">
        <v>111</v>
      </c>
      <c r="X255" s="36" t="s">
        <v>158</v>
      </c>
      <c r="Y255" s="36" t="s">
        <v>71</v>
      </c>
      <c r="Z255" s="36" t="s">
        <v>71</v>
      </c>
      <c r="AA255" s="36" t="s">
        <v>71</v>
      </c>
      <c r="AB255" s="36" t="s">
        <v>71</v>
      </c>
      <c r="AC255" s="36" t="s">
        <v>71</v>
      </c>
      <c r="AD255" s="36" t="s">
        <v>72</v>
      </c>
      <c r="AE255" s="36" t="s">
        <v>94</v>
      </c>
      <c r="AF255" s="36" t="s">
        <v>154</v>
      </c>
      <c r="AG255" s="36" t="s">
        <v>120</v>
      </c>
      <c r="AH255" t="str">
        <f>VLOOKUP($R255,武学奇术!$A:$ZZ,25,FALSE)</f>
        <v>剑</v>
      </c>
      <c r="AI255" s="20">
        <f>VLOOKUP($R255,武学奇术!$A:$ZZ,26,FALSE)</f>
        <v>0.1716</v>
      </c>
      <c r="AJ255" s="21">
        <f>VLOOKUP($R255,武学奇术!$A:$ZZ,27,FALSE)*(1+IF(OR($AH255=$F$4,$AH255=$F$5),$B$22,0))</f>
        <v>0</v>
      </c>
      <c r="AK255" s="20">
        <f>VLOOKUP($R255,武学奇术!$A:$ZZ,28,FALSE)</f>
        <v>0.2574</v>
      </c>
      <c r="AL255" s="21">
        <f>VLOOKUP($R255,武学奇术!$A:$ZZ,29,FALSE)*(1+IF(OR($AH255=$F$4,$AH255=$F$5),$B$22,0))</f>
        <v>0</v>
      </c>
      <c r="AM255" s="20" cm="1">
        <f t="array" ref="AM255">$G$3+IFERROR(VLOOKUP($AH255,$F$4:$G$7,2,FALSE),0)+VLOOKUP($R255,武学奇术!$A:$ZZ,2,FALSE)+SUM(_xlfn.XLOOKUP($S255:$AG255,增益!$A:$A,增益!$B:$B,0))</f>
        <v>1.2591</v>
      </c>
      <c r="AN255" s="20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1548.52</v>
      </c>
      <c r="AP255" cm="1">
        <f t="array" ref="AP255">$E$10*(1+$AN255)+VLOOKUP($R255,武学奇术!$A:$ZZ,4,FALSE)+SUM(_xlfn.XLOOKUP($S255:$AG255,增益!$A:$A,增益!$D:$D,0))-$I$2</f>
        <v>6659.56</v>
      </c>
      <c r="AQ255" s="29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0.3175</v>
      </c>
      <c r="AR255" s="29" cm="1">
        <f t="array" ref="AR255">$G$10+VLOOKUP($R255,武学奇术!$A:$ZZ,7,FALSE)+SUM(_xlfn.XLOOKUP(S255:AG255,增益!$A:$A,增益!$G:$G,0))</f>
        <v>0</v>
      </c>
      <c r="AS255" s="20" cm="1">
        <f t="array" ref="AS255">VLOOKUP($R255,武学奇术!$A:$ZZ,8,FALSE)+SUM(_xlfn.XLOOKUP(S255:AG255,增益!$A:$A,增益!$H:$H,0))</f>
        <v>0</v>
      </c>
      <c r="AT255">
        <f t="shared" si="34"/>
        <v>538</v>
      </c>
      <c r="AU255">
        <f t="shared" si="35"/>
        <v>1011</v>
      </c>
      <c r="AV255" s="29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0.075</v>
      </c>
      <c r="AW255" s="29" cm="1">
        <f t="array" ref="AW255">$G$11+VLOOKUP($R255,武学奇术!$A:$ZZ,10,FALSE)+SUM(_xlfn.XLOOKUP(S255:AG255,增益!$A:$A,增益!$J:$J,0))</f>
        <v>0.15</v>
      </c>
      <c r="AX255">
        <f t="shared" si="36"/>
        <v>0</v>
      </c>
      <c r="AY255">
        <f t="shared" si="37"/>
        <v>0</v>
      </c>
      <c r="AZ255" s="29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29" cm="1">
        <f t="array" ref="BA255">$G$12+VLOOKUP($R255,武学奇术!$A:$ZZ,12,FALSE)+SUM(_xlfn.XLOOKUP(S255:AG255,增益!$A:$A,增益!$L:$L,0))</f>
        <v>0</v>
      </c>
      <c r="BB255">
        <f t="shared" si="38"/>
        <v>0</v>
      </c>
      <c r="BC255">
        <f t="shared" si="39"/>
        <v>0</v>
      </c>
      <c r="BD255" s="29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29" cm="1">
        <f t="array" ref="BE255">$G$13+VLOOKUP($R255,武学奇术!$A:$ZZ,14,FALSE)+SUM(_xlfn.XLOOKUP(S255:AG255,增益!$A:$A,增益!$N:$N,0))</f>
        <v>0</v>
      </c>
      <c r="BF255">
        <f t="shared" si="40"/>
        <v>0</v>
      </c>
      <c r="BG255">
        <f t="shared" si="41"/>
        <v>0</v>
      </c>
      <c r="BH255" s="29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29" cm="1">
        <f t="array" ref="BI255">$G$14+VLOOKUP($R255,武学奇术!$A:$ZZ,16,FALSE)+SUM(_xlfn.XLOOKUP(S255:AG255,增益!$A:$A,增益!$P:$P,0))</f>
        <v>0</v>
      </c>
      <c r="BJ255" s="20">
        <f>MIN(IF(VLOOKUP($R255,武学奇术!$A:$ZZ,23,FALSE)=1,100%,$B$8),100%)</f>
        <v>0.8271</v>
      </c>
      <c r="BK255" s="20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0.2249</v>
      </c>
      <c r="BL255" s="20" cm="1">
        <f t="array" ref="BL255">1+$B$13+VLOOKUP($R255,武学奇术!$A:$ZZ,18,FALSE)+SUM(_xlfn.XLOOKUP(S255:AG255,增益!$A:$A,增益!$R:$R,0))</f>
        <v>1.5</v>
      </c>
      <c r="BM255" s="20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0.4459</v>
      </c>
      <c r="BN255" s="20" cm="1">
        <f t="array" ref="BN255">1+$B$14+VLOOKUP($R255,武学奇术!$A:$ZZ,20,FALSE)+SUM(_xlfn.XLOOKUP(S255:AG255,增益!$A:$A,增益!$T:$T,0))</f>
        <v>1.782</v>
      </c>
      <c r="BO255" s="20">
        <f t="shared" si="42"/>
        <v>0.18601479</v>
      </c>
      <c r="BP255" s="20">
        <f t="shared" si="43"/>
        <v>0.27228132</v>
      </c>
      <c r="BQ255" s="20">
        <f>IF(VLOOKUP($R255,武学奇术!$A:$ZZ,22,FALSE)=1,0,(1-$BJ255))*(1-$BM255)</f>
        <v>0.09580389</v>
      </c>
      <c r="BR255" s="20" cm="1">
        <f t="array" ref="BR255">SUM(_xlfn.XLOOKUP(S255:AG255,增益!$A:$A,增益!$W:$W,0))+$I$5</f>
        <v>0.21</v>
      </c>
    </row>
    <row r="256" spans="11:70">
      <c r="K256" s="27">
        <f>$L256*VLOOKUP($R256,武学奇术!$A:$ZZ,31,FALSE)</f>
        <v>5583.78674563978</v>
      </c>
      <c r="L256" s="27">
        <f t="shared" si="33"/>
        <v>9306.31124273296</v>
      </c>
      <c r="M256" s="27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7626.92095116099</v>
      </c>
      <c r="N256" s="27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14099.3583736472</v>
      </c>
      <c r="O256" s="27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5084.61396744066</v>
      </c>
      <c r="P256" s="27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2257.13008210512</v>
      </c>
      <c r="Q256" s="35">
        <v>1</v>
      </c>
      <c r="R256" s="36" t="s">
        <v>165</v>
      </c>
      <c r="S256" s="36" t="s">
        <v>152</v>
      </c>
      <c r="T256" s="36" t="s">
        <v>99</v>
      </c>
      <c r="U256" s="36" t="s">
        <v>100</v>
      </c>
      <c r="V256" s="36" t="s">
        <v>71</v>
      </c>
      <c r="W256" s="36" t="s">
        <v>111</v>
      </c>
      <c r="X256" s="36" t="s">
        <v>158</v>
      </c>
      <c r="Y256" s="36" t="s">
        <v>71</v>
      </c>
      <c r="Z256" s="36" t="s">
        <v>71</v>
      </c>
      <c r="AA256" s="36" t="s">
        <v>71</v>
      </c>
      <c r="AB256" s="36" t="s">
        <v>71</v>
      </c>
      <c r="AC256" s="36" t="s">
        <v>71</v>
      </c>
      <c r="AD256" s="36" t="s">
        <v>72</v>
      </c>
      <c r="AE256" s="36" t="s">
        <v>94</v>
      </c>
      <c r="AF256" s="36" t="s">
        <v>154</v>
      </c>
      <c r="AG256" s="36" t="s">
        <v>120</v>
      </c>
      <c r="AH256" t="str">
        <f>VLOOKUP($R256,武学奇术!$A:$ZZ,25,FALSE)</f>
        <v>剑</v>
      </c>
      <c r="AI256" s="20">
        <f>VLOOKUP($R256,武学奇术!$A:$ZZ,26,FALSE)</f>
        <v>0.20592</v>
      </c>
      <c r="AJ256" s="21">
        <f>VLOOKUP($R256,武学奇术!$A:$ZZ,27,FALSE)*(1+IF(OR($AH256=$F$4,$AH256=$F$5),$B$22,0))</f>
        <v>0</v>
      </c>
      <c r="AK256" s="20">
        <f>VLOOKUP($R256,武学奇术!$A:$ZZ,28,FALSE)</f>
        <v>0.30888</v>
      </c>
      <c r="AL256" s="21">
        <f>VLOOKUP($R256,武学奇术!$A:$ZZ,29,FALSE)*(1+IF(OR($AH256=$F$4,$AH256=$F$5),$B$22,0))</f>
        <v>0</v>
      </c>
      <c r="AM256" s="20" cm="1">
        <f t="array" ref="AM256">$G$3+IFERROR(VLOOKUP($AH256,$F$4:$G$7,2,FALSE),0)+VLOOKUP($R256,武学奇术!$A:$ZZ,2,FALSE)+SUM(_xlfn.XLOOKUP($S256:$AG256,增益!$A:$A,增益!$B:$B,0))</f>
        <v>1.2591</v>
      </c>
      <c r="AN256" s="20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1548.52</v>
      </c>
      <c r="AP256" cm="1">
        <f t="array" ref="AP256">$E$10*(1+$AN256)+VLOOKUP($R256,武学奇术!$A:$ZZ,4,FALSE)+SUM(_xlfn.XLOOKUP($S256:$AG256,增益!$A:$A,增益!$D:$D,0))-$I$2</f>
        <v>6659.56</v>
      </c>
      <c r="AQ256" s="29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0.3175</v>
      </c>
      <c r="AR256" s="29" cm="1">
        <f t="array" ref="AR256">$G$10+VLOOKUP($R256,武学奇术!$A:$ZZ,7,FALSE)+SUM(_xlfn.XLOOKUP(S256:AG256,增益!$A:$A,增益!$G:$G,0))</f>
        <v>0</v>
      </c>
      <c r="AS256" s="20" cm="1">
        <f t="array" ref="AS256">VLOOKUP($R256,武学奇术!$A:$ZZ,8,FALSE)+SUM(_xlfn.XLOOKUP(S256:AG256,增益!$A:$A,增益!$H:$H,0))</f>
        <v>0</v>
      </c>
      <c r="AT256">
        <f t="shared" si="34"/>
        <v>538</v>
      </c>
      <c r="AU256">
        <f t="shared" si="35"/>
        <v>1011</v>
      </c>
      <c r="AV256" s="29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0.075</v>
      </c>
      <c r="AW256" s="29" cm="1">
        <f t="array" ref="AW256">$G$11+VLOOKUP($R256,武学奇术!$A:$ZZ,10,FALSE)+SUM(_xlfn.XLOOKUP(S256:AG256,增益!$A:$A,增益!$J:$J,0))</f>
        <v>0.15</v>
      </c>
      <c r="AX256">
        <f t="shared" si="36"/>
        <v>0</v>
      </c>
      <c r="AY256">
        <f t="shared" si="37"/>
        <v>0</v>
      </c>
      <c r="AZ256" s="29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29" cm="1">
        <f t="array" ref="BA256">$G$12+VLOOKUP($R256,武学奇术!$A:$ZZ,12,FALSE)+SUM(_xlfn.XLOOKUP(S256:AG256,增益!$A:$A,增益!$L:$L,0))</f>
        <v>0</v>
      </c>
      <c r="BB256">
        <f t="shared" si="38"/>
        <v>0</v>
      </c>
      <c r="BC256">
        <f t="shared" si="39"/>
        <v>0</v>
      </c>
      <c r="BD256" s="29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29" cm="1">
        <f t="array" ref="BE256">$G$13+VLOOKUP($R256,武学奇术!$A:$ZZ,14,FALSE)+SUM(_xlfn.XLOOKUP(S256:AG256,增益!$A:$A,增益!$N:$N,0))</f>
        <v>0</v>
      </c>
      <c r="BF256">
        <f t="shared" si="40"/>
        <v>0</v>
      </c>
      <c r="BG256">
        <f t="shared" si="41"/>
        <v>0</v>
      </c>
      <c r="BH256" s="29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29" cm="1">
        <f t="array" ref="BI256">$G$14+VLOOKUP($R256,武学奇术!$A:$ZZ,16,FALSE)+SUM(_xlfn.XLOOKUP(S256:AG256,增益!$A:$A,增益!$P:$P,0))</f>
        <v>0</v>
      </c>
      <c r="BJ256" s="20">
        <f>MIN(IF(VLOOKUP($R256,武学奇术!$A:$ZZ,23,FALSE)=1,100%,$B$8),100%)</f>
        <v>0.8271</v>
      </c>
      <c r="BK256" s="20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0.2249</v>
      </c>
      <c r="BL256" s="20" cm="1">
        <f t="array" ref="BL256">1+$B$13+VLOOKUP($R256,武学奇术!$A:$ZZ,18,FALSE)+SUM(_xlfn.XLOOKUP(S256:AG256,增益!$A:$A,增益!$R:$R,0))</f>
        <v>1.5</v>
      </c>
      <c r="BM256" s="20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0.4459</v>
      </c>
      <c r="BN256" s="20" cm="1">
        <f t="array" ref="BN256">1+$B$14+VLOOKUP($R256,武学奇术!$A:$ZZ,20,FALSE)+SUM(_xlfn.XLOOKUP(S256:AG256,增益!$A:$A,增益!$T:$T,0))</f>
        <v>1.782</v>
      </c>
      <c r="BO256" s="20">
        <f t="shared" si="42"/>
        <v>0.18601479</v>
      </c>
      <c r="BP256" s="20">
        <f t="shared" si="43"/>
        <v>0.27228132</v>
      </c>
      <c r="BQ256" s="20">
        <f>IF(VLOOKUP($R256,武学奇术!$A:$ZZ,22,FALSE)=1,0,(1-$BJ256))*(1-$BM256)</f>
        <v>0.09580389</v>
      </c>
      <c r="BR256" s="20" cm="1">
        <f t="array" ref="BR256">SUM(_xlfn.XLOOKUP(S256:AG256,增益!$A:$A,增益!$W:$W,0))+$I$5</f>
        <v>0.21</v>
      </c>
    </row>
    <row r="257" spans="11:70">
      <c r="K257" s="27">
        <f>$L257*VLOOKUP($R257,武学奇术!$A:$ZZ,31,FALSE)</f>
        <v>7445.04899418637</v>
      </c>
      <c r="L257" s="27">
        <f t="shared" si="33"/>
        <v>12408.4149903106</v>
      </c>
      <c r="M257" s="27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10169.2279348813</v>
      </c>
      <c r="N257" s="27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18799.1444981962</v>
      </c>
      <c r="O257" s="27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6779.48528992088</v>
      </c>
      <c r="P257" s="27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3009.50677614016</v>
      </c>
      <c r="Q257" s="35">
        <v>1</v>
      </c>
      <c r="R257" s="36" t="s">
        <v>163</v>
      </c>
      <c r="S257" s="36" t="s">
        <v>152</v>
      </c>
      <c r="T257" s="36" t="s">
        <v>99</v>
      </c>
      <c r="U257" s="36" t="s">
        <v>100</v>
      </c>
      <c r="V257" s="36" t="s">
        <v>71</v>
      </c>
      <c r="W257" s="36" t="s">
        <v>111</v>
      </c>
      <c r="X257" s="36" t="s">
        <v>158</v>
      </c>
      <c r="Y257" s="36" t="s">
        <v>71</v>
      </c>
      <c r="Z257" s="36" t="s">
        <v>71</v>
      </c>
      <c r="AA257" s="36" t="s">
        <v>71</v>
      </c>
      <c r="AB257" s="36" t="s">
        <v>71</v>
      </c>
      <c r="AC257" s="36" t="s">
        <v>71</v>
      </c>
      <c r="AD257" s="36" t="s">
        <v>72</v>
      </c>
      <c r="AE257" s="36" t="s">
        <v>94</v>
      </c>
      <c r="AF257" s="36" t="s">
        <v>154</v>
      </c>
      <c r="AG257" s="36" t="s">
        <v>120</v>
      </c>
      <c r="AH257" t="str">
        <f>VLOOKUP($R257,武学奇术!$A:$ZZ,25,FALSE)</f>
        <v>剑</v>
      </c>
      <c r="AI257" s="20">
        <f>VLOOKUP($R257,武学奇术!$A:$ZZ,26,FALSE)</f>
        <v>0.27456</v>
      </c>
      <c r="AJ257" s="21">
        <f>VLOOKUP($R257,武学奇术!$A:$ZZ,27,FALSE)*(1+IF(OR($AH257=$F$4,$AH257=$F$5),$B$22,0))</f>
        <v>0</v>
      </c>
      <c r="AK257" s="20">
        <f>VLOOKUP($R257,武学奇术!$A:$ZZ,28,FALSE)</f>
        <v>0.41184</v>
      </c>
      <c r="AL257" s="21">
        <f>VLOOKUP($R257,武学奇术!$A:$ZZ,29,FALSE)*(1+IF(OR($AH257=$F$4,$AH257=$F$5),$B$22,0))</f>
        <v>0</v>
      </c>
      <c r="AM257" s="20" cm="1">
        <f t="array" ref="AM257">$G$3+IFERROR(VLOOKUP($AH257,$F$4:$G$7,2,FALSE),0)+VLOOKUP($R257,武学奇术!$A:$ZZ,2,FALSE)+SUM(_xlfn.XLOOKUP($S257:$AG257,增益!$A:$A,增益!$B:$B,0))</f>
        <v>1.2591</v>
      </c>
      <c r="AN257" s="20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1548.52</v>
      </c>
      <c r="AP257" cm="1">
        <f t="array" ref="AP257">$E$10*(1+$AN257)+VLOOKUP($R257,武学奇术!$A:$ZZ,4,FALSE)+SUM(_xlfn.XLOOKUP($S257:$AG257,增益!$A:$A,增益!$D:$D,0))-$I$2</f>
        <v>6659.56</v>
      </c>
      <c r="AQ257" s="29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0.3175</v>
      </c>
      <c r="AR257" s="29" cm="1">
        <f t="array" ref="AR257">$G$10+VLOOKUP($R257,武学奇术!$A:$ZZ,7,FALSE)+SUM(_xlfn.XLOOKUP(S257:AG257,增益!$A:$A,增益!$G:$G,0))</f>
        <v>0</v>
      </c>
      <c r="AS257" s="20" cm="1">
        <f t="array" ref="AS257">VLOOKUP($R257,武学奇术!$A:$ZZ,8,FALSE)+SUM(_xlfn.XLOOKUP(S257:AG257,增益!$A:$A,增益!$H:$H,0))</f>
        <v>0</v>
      </c>
      <c r="AT257">
        <f t="shared" si="34"/>
        <v>538</v>
      </c>
      <c r="AU257">
        <f t="shared" si="35"/>
        <v>1011</v>
      </c>
      <c r="AV257" s="29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0.075</v>
      </c>
      <c r="AW257" s="29" cm="1">
        <f t="array" ref="AW257">$G$11+VLOOKUP($R257,武学奇术!$A:$ZZ,10,FALSE)+SUM(_xlfn.XLOOKUP(S257:AG257,增益!$A:$A,增益!$J:$J,0))</f>
        <v>0.15</v>
      </c>
      <c r="AX257">
        <f t="shared" si="36"/>
        <v>0</v>
      </c>
      <c r="AY257">
        <f t="shared" si="37"/>
        <v>0</v>
      </c>
      <c r="AZ257" s="29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29" cm="1">
        <f t="array" ref="BA257">$G$12+VLOOKUP($R257,武学奇术!$A:$ZZ,12,FALSE)+SUM(_xlfn.XLOOKUP(S257:AG257,增益!$A:$A,增益!$L:$L,0))</f>
        <v>0</v>
      </c>
      <c r="BB257">
        <f t="shared" si="38"/>
        <v>0</v>
      </c>
      <c r="BC257">
        <f t="shared" si="39"/>
        <v>0</v>
      </c>
      <c r="BD257" s="29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29" cm="1">
        <f t="array" ref="BE257">$G$13+VLOOKUP($R257,武学奇术!$A:$ZZ,14,FALSE)+SUM(_xlfn.XLOOKUP(S257:AG257,增益!$A:$A,增益!$N:$N,0))</f>
        <v>0</v>
      </c>
      <c r="BF257">
        <f t="shared" si="40"/>
        <v>0</v>
      </c>
      <c r="BG257">
        <f t="shared" si="41"/>
        <v>0</v>
      </c>
      <c r="BH257" s="29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29" cm="1">
        <f t="array" ref="BI257">$G$14+VLOOKUP($R257,武学奇术!$A:$ZZ,16,FALSE)+SUM(_xlfn.XLOOKUP(S257:AG257,增益!$A:$A,增益!$P:$P,0))</f>
        <v>0</v>
      </c>
      <c r="BJ257" s="20">
        <f>MIN(IF(VLOOKUP($R257,武学奇术!$A:$ZZ,23,FALSE)=1,100%,$B$8),100%)</f>
        <v>0.8271</v>
      </c>
      <c r="BK257" s="20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0.2249</v>
      </c>
      <c r="BL257" s="20" cm="1">
        <f t="array" ref="BL257">1+$B$13+VLOOKUP($R257,武学奇术!$A:$ZZ,18,FALSE)+SUM(_xlfn.XLOOKUP(S257:AG257,增益!$A:$A,增益!$R:$R,0))</f>
        <v>1.5</v>
      </c>
      <c r="BM257" s="20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0.4459</v>
      </c>
      <c r="BN257" s="20" cm="1">
        <f t="array" ref="BN257">1+$B$14+VLOOKUP($R257,武学奇术!$A:$ZZ,20,FALSE)+SUM(_xlfn.XLOOKUP(S257:AG257,增益!$A:$A,增益!$T:$T,0))</f>
        <v>1.782</v>
      </c>
      <c r="BO257" s="20">
        <f t="shared" si="42"/>
        <v>0.18601479</v>
      </c>
      <c r="BP257" s="20">
        <f t="shared" si="43"/>
        <v>0.27228132</v>
      </c>
      <c r="BQ257" s="20">
        <f>IF(VLOOKUP($R257,武学奇术!$A:$ZZ,22,FALSE)=1,0,(1-$BJ257))*(1-$BM257)</f>
        <v>0.09580389</v>
      </c>
      <c r="BR257" s="20" cm="1">
        <f t="array" ref="BR257">SUM(_xlfn.XLOOKUP(S257:AG257,增益!$A:$A,增益!$W:$W,0))+$I$5</f>
        <v>0.21</v>
      </c>
    </row>
    <row r="258" spans="11:70">
      <c r="K258" s="27">
        <f>$L258*VLOOKUP($R258,武学奇术!$A:$ZZ,31,FALSE)</f>
        <v>4653.15562136648</v>
      </c>
      <c r="L258" s="27">
        <f t="shared" ref="L258:L267" si="44">($M258*$BO258+$N258*$BM258+$O258*$BP258+$P258*$BQ258)</f>
        <v>7755.25936894413</v>
      </c>
      <c r="M258" s="27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6355.76745930082</v>
      </c>
      <c r="N258" s="27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11749.4653113727</v>
      </c>
      <c r="O258" s="27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4237.17830620055</v>
      </c>
      <c r="P258" s="27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1880.9417350876</v>
      </c>
      <c r="Q258" s="35">
        <v>1</v>
      </c>
      <c r="R258" s="36" t="s">
        <v>164</v>
      </c>
      <c r="S258" s="36" t="s">
        <v>152</v>
      </c>
      <c r="T258" s="36" t="s">
        <v>99</v>
      </c>
      <c r="U258" s="36" t="s">
        <v>100</v>
      </c>
      <c r="V258" s="36" t="s">
        <v>71</v>
      </c>
      <c r="W258" s="36" t="s">
        <v>111</v>
      </c>
      <c r="X258" s="36" t="s">
        <v>158</v>
      </c>
      <c r="Y258" s="36" t="s">
        <v>71</v>
      </c>
      <c r="Z258" s="36" t="s">
        <v>71</v>
      </c>
      <c r="AA258" s="36" t="s">
        <v>71</v>
      </c>
      <c r="AB258" s="36" t="s">
        <v>71</v>
      </c>
      <c r="AC258" s="36" t="s">
        <v>71</v>
      </c>
      <c r="AD258" s="36" t="s">
        <v>72</v>
      </c>
      <c r="AE258" s="36" t="s">
        <v>94</v>
      </c>
      <c r="AF258" s="36" t="s">
        <v>154</v>
      </c>
      <c r="AG258" s="36" t="s">
        <v>120</v>
      </c>
      <c r="AH258" t="str">
        <f>VLOOKUP($R258,武学奇术!$A:$ZZ,25,FALSE)</f>
        <v>剑</v>
      </c>
      <c r="AI258" s="20">
        <f>VLOOKUP($R258,武学奇术!$A:$ZZ,26,FALSE)</f>
        <v>0.1716</v>
      </c>
      <c r="AJ258" s="21">
        <f>VLOOKUP($R258,武学奇术!$A:$ZZ,27,FALSE)*(1+IF(OR($AH258=$F$4,$AH258=$F$5),$B$22,0))</f>
        <v>0</v>
      </c>
      <c r="AK258" s="20">
        <f>VLOOKUP($R258,武学奇术!$A:$ZZ,28,FALSE)</f>
        <v>0.2574</v>
      </c>
      <c r="AL258" s="21">
        <f>VLOOKUP($R258,武学奇术!$A:$ZZ,29,FALSE)*(1+IF(OR($AH258=$F$4,$AH258=$F$5),$B$22,0))</f>
        <v>0</v>
      </c>
      <c r="AM258" s="20" cm="1">
        <f t="array" ref="AM258">$G$3+IFERROR(VLOOKUP($AH258,$F$4:$G$7,2,FALSE),0)+VLOOKUP($R258,武学奇术!$A:$ZZ,2,FALSE)+SUM(_xlfn.XLOOKUP($S258:$AG258,增益!$A:$A,增益!$B:$B,0))</f>
        <v>1.2591</v>
      </c>
      <c r="AN258" s="20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1548.52</v>
      </c>
      <c r="AP258" cm="1">
        <f t="array" ref="AP258">$E$10*(1+$AN258)+VLOOKUP($R258,武学奇术!$A:$ZZ,4,FALSE)+SUM(_xlfn.XLOOKUP($S258:$AG258,增益!$A:$A,增益!$D:$D,0))-$I$2</f>
        <v>6659.56</v>
      </c>
      <c r="AQ258" s="29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0.3175</v>
      </c>
      <c r="AR258" s="29" cm="1">
        <f t="array" ref="AR258">$G$10+VLOOKUP($R258,武学奇术!$A:$ZZ,7,FALSE)+SUM(_xlfn.XLOOKUP(S258:AG258,增益!$A:$A,增益!$G:$G,0))</f>
        <v>0</v>
      </c>
      <c r="AS258" s="20" cm="1">
        <f t="array" ref="AS258">VLOOKUP($R258,武学奇术!$A:$ZZ,8,FALSE)+SUM(_xlfn.XLOOKUP(S258:AG258,增益!$A:$A,增益!$H:$H,0))</f>
        <v>0</v>
      </c>
      <c r="AT258">
        <f t="shared" ref="AT258:AT267" si="45">$D$11*(1+$AS258)</f>
        <v>538</v>
      </c>
      <c r="AU258">
        <f t="shared" ref="AU258:AU267" si="46">$E$11*(1+$AS258)</f>
        <v>1011</v>
      </c>
      <c r="AV258" s="29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0.075</v>
      </c>
      <c r="AW258" s="29" cm="1">
        <f t="array" ref="AW258">$G$11+VLOOKUP($R258,武学奇术!$A:$ZZ,10,FALSE)+SUM(_xlfn.XLOOKUP(S258:AG258,增益!$A:$A,增益!$J:$J,0))</f>
        <v>0.15</v>
      </c>
      <c r="AX258">
        <f t="shared" ref="AX258:AX267" si="47">$D$12*(1+$AS258)</f>
        <v>0</v>
      </c>
      <c r="AY258">
        <f t="shared" ref="AY258:AY267" si="48">$E$12*(1+$AS258)</f>
        <v>0</v>
      </c>
      <c r="AZ258" s="29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29" cm="1">
        <f t="array" ref="BA258">$G$12+VLOOKUP($R258,武学奇术!$A:$ZZ,12,FALSE)+SUM(_xlfn.XLOOKUP(S258:AG258,增益!$A:$A,增益!$L:$L,0))</f>
        <v>0</v>
      </c>
      <c r="BB258">
        <f t="shared" ref="BB258:BB267" si="49">$D$13*(1+$AS258)</f>
        <v>0</v>
      </c>
      <c r="BC258">
        <f t="shared" ref="BC258:BC267" si="50">$E$13*(1+$AS258)</f>
        <v>0</v>
      </c>
      <c r="BD258" s="29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29" cm="1">
        <f t="array" ref="BE258">$G$13+VLOOKUP($R258,武学奇术!$A:$ZZ,14,FALSE)+SUM(_xlfn.XLOOKUP(S258:AG258,增益!$A:$A,增益!$N:$N,0))</f>
        <v>0</v>
      </c>
      <c r="BF258">
        <f t="shared" ref="BF258:BF267" si="51">$D$14*(1+$AS258)</f>
        <v>0</v>
      </c>
      <c r="BG258">
        <f t="shared" ref="BG258:BG267" si="52">$E$14*(1+$AS258)</f>
        <v>0</v>
      </c>
      <c r="BH258" s="29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29" cm="1">
        <f t="array" ref="BI258">$G$14+VLOOKUP($R258,武学奇术!$A:$ZZ,16,FALSE)+SUM(_xlfn.XLOOKUP(S258:AG258,增益!$A:$A,增益!$P:$P,0))</f>
        <v>0</v>
      </c>
      <c r="BJ258" s="20">
        <f>MIN(IF(VLOOKUP($R258,武学奇术!$A:$ZZ,23,FALSE)=1,100%,$B$8),100%)</f>
        <v>0.8271</v>
      </c>
      <c r="BK258" s="20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0.2249</v>
      </c>
      <c r="BL258" s="20" cm="1">
        <f t="array" ref="BL258">1+$B$13+VLOOKUP($R258,武学奇术!$A:$ZZ,18,FALSE)+SUM(_xlfn.XLOOKUP(S258:AG258,增益!$A:$A,增益!$R:$R,0))</f>
        <v>1.5</v>
      </c>
      <c r="BM258" s="20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0.4459</v>
      </c>
      <c r="BN258" s="20" cm="1">
        <f t="array" ref="BN258">1+$B$14+VLOOKUP($R258,武学奇术!$A:$ZZ,20,FALSE)+SUM(_xlfn.XLOOKUP(S258:AG258,增益!$A:$A,增益!$T:$T,0))</f>
        <v>1.782</v>
      </c>
      <c r="BO258" s="20">
        <f t="shared" ref="BO258:BO267" si="53">MIN((1-BM258)*BJ258,BJ258*BK258)</f>
        <v>0.18601479</v>
      </c>
      <c r="BP258" s="20">
        <f t="shared" ref="BP258:BP267" si="54">1-BM258-BO258-BQ258</f>
        <v>0.27228132</v>
      </c>
      <c r="BQ258" s="20">
        <f>IF(VLOOKUP($R258,武学奇术!$A:$ZZ,22,FALSE)=1,0,(1-$BJ258))*(1-$BM258)</f>
        <v>0.09580389</v>
      </c>
      <c r="BR258" s="20" cm="1">
        <f t="array" ref="BR258">SUM(_xlfn.XLOOKUP(S258:AG258,增益!$A:$A,增益!$W:$W,0))+$I$5</f>
        <v>0.21</v>
      </c>
    </row>
    <row r="259" spans="11:70">
      <c r="K259" s="27">
        <f>$L259*VLOOKUP($R259,武学奇术!$A:$ZZ,31,FALSE)</f>
        <v>16359.0724607449</v>
      </c>
      <c r="L259" s="27">
        <f t="shared" si="44"/>
        <v>16359.0724607449</v>
      </c>
      <c r="M259" s="27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14647.7239151819</v>
      </c>
      <c r="N259" s="27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23723.6472206479</v>
      </c>
      <c r="O259" s="27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9765.1492767879</v>
      </c>
      <c r="P259" s="27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4145.3133261777</v>
      </c>
      <c r="Q259" s="35">
        <v>1</v>
      </c>
      <c r="R259" s="36" t="s">
        <v>166</v>
      </c>
      <c r="S259" s="36" t="s">
        <v>71</v>
      </c>
      <c r="T259" s="36" t="s">
        <v>93</v>
      </c>
      <c r="U259" s="36" t="s">
        <v>71</v>
      </c>
      <c r="V259" s="36" t="s">
        <v>71</v>
      </c>
      <c r="W259" s="36" t="s">
        <v>111</v>
      </c>
      <c r="X259" s="36" t="s">
        <v>71</v>
      </c>
      <c r="Y259" s="36" t="s">
        <v>71</v>
      </c>
      <c r="Z259" s="36" t="s">
        <v>71</v>
      </c>
      <c r="AA259" s="36" t="s">
        <v>71</v>
      </c>
      <c r="AB259" s="36" t="s">
        <v>71</v>
      </c>
      <c r="AC259" s="36" t="s">
        <v>71</v>
      </c>
      <c r="AD259" s="36" t="s">
        <v>72</v>
      </c>
      <c r="AE259" s="36" t="s">
        <v>94</v>
      </c>
      <c r="AF259" s="36" t="s">
        <v>116</v>
      </c>
      <c r="AG259" s="36" t="s">
        <v>120</v>
      </c>
      <c r="AH259" t="str">
        <f>VLOOKUP($R259,武学奇术!$A:$ZZ,25,FALSE)</f>
        <v>心法</v>
      </c>
      <c r="AI259" s="20">
        <f>VLOOKUP($R259,武学奇术!$A:$ZZ,26,FALSE)</f>
        <v>1</v>
      </c>
      <c r="AJ259" s="21">
        <f>VLOOKUP($R259,武学奇术!$A:$ZZ,27,FALSE)*(1+IF(OR($AH259=$F$4,$AH259=$F$5),$B$22,0))</f>
        <v>0</v>
      </c>
      <c r="AK259" s="20">
        <f>VLOOKUP($R259,武学奇术!$A:$ZZ,28,FALSE)</f>
        <v>1</v>
      </c>
      <c r="AL259" s="21">
        <f>VLOOKUP($R259,武学奇术!$A:$ZZ,29,FALSE)*(1+IF(OR($AH259=$F$4,$AH259=$F$5),$B$22,0))</f>
        <v>0</v>
      </c>
      <c r="AM259" s="20" cm="1">
        <f t="array" ref="AM259">$G$3+IFERROR(VLOOKUP($AH259,$F$4:$G$7,2,FALSE),0)+VLOOKUP($R259,武学奇术!$A:$ZZ,2,FALSE)+SUM(_xlfn.XLOOKUP($S259:$AG259,增益!$A:$A,增益!$B:$B,0))</f>
        <v>0.4687</v>
      </c>
      <c r="AN259" s="20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1548.52</v>
      </c>
      <c r="AP259" cm="1">
        <f t="array" ref="AP259">$E$10*(1+$AN259)+VLOOKUP($R259,武学奇术!$A:$ZZ,4,FALSE)+SUM(_xlfn.XLOOKUP($S259:$AG259,增益!$A:$A,增益!$D:$D,0))-$I$2</f>
        <v>6659.56</v>
      </c>
      <c r="AQ259" s="29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0.2425</v>
      </c>
      <c r="AR259" s="29" cm="1">
        <f t="array" ref="AR259">$G$10+VLOOKUP($R259,武学奇术!$A:$ZZ,7,FALSE)+SUM(_xlfn.XLOOKUP(S259:AG259,增益!$A:$A,增益!$G:$G,0))</f>
        <v>0</v>
      </c>
      <c r="AS259" s="20" cm="1">
        <f t="array" ref="AS259">VLOOKUP($R259,武学奇术!$A:$ZZ,8,FALSE)+SUM(_xlfn.XLOOKUP(S259:AG259,增益!$A:$A,增益!$H:$H,0))</f>
        <v>0</v>
      </c>
      <c r="AT259">
        <f t="shared" si="45"/>
        <v>538</v>
      </c>
      <c r="AU259">
        <f t="shared" si="46"/>
        <v>1011</v>
      </c>
      <c r="AV259" s="29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0</v>
      </c>
      <c r="AW259" s="29" cm="1">
        <f t="array" ref="AW259">$G$11+VLOOKUP($R259,武学奇术!$A:$ZZ,10,FALSE)+SUM(_xlfn.XLOOKUP(S259:AG259,增益!$A:$A,增益!$J:$J,0))</f>
        <v>0.15</v>
      </c>
      <c r="AX259">
        <f t="shared" si="47"/>
        <v>0</v>
      </c>
      <c r="AY259">
        <f t="shared" si="48"/>
        <v>0</v>
      </c>
      <c r="AZ259" s="29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29" cm="1">
        <f t="array" ref="BA259">$G$12+VLOOKUP($R259,武学奇术!$A:$ZZ,12,FALSE)+SUM(_xlfn.XLOOKUP(S259:AG259,增益!$A:$A,增益!$L:$L,0))</f>
        <v>0</v>
      </c>
      <c r="BB259">
        <f t="shared" si="49"/>
        <v>0</v>
      </c>
      <c r="BC259">
        <f t="shared" si="50"/>
        <v>0</v>
      </c>
      <c r="BD259" s="29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29" cm="1">
        <f t="array" ref="BE259">$G$13+VLOOKUP($R259,武学奇术!$A:$ZZ,14,FALSE)+SUM(_xlfn.XLOOKUP(S259:AG259,增益!$A:$A,增益!$N:$N,0))</f>
        <v>0</v>
      </c>
      <c r="BF259">
        <f t="shared" si="51"/>
        <v>0</v>
      </c>
      <c r="BG259">
        <f t="shared" si="52"/>
        <v>0</v>
      </c>
      <c r="BH259" s="29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29" cm="1">
        <f t="array" ref="BI259">$G$14+VLOOKUP($R259,武学奇术!$A:$ZZ,16,FALSE)+SUM(_xlfn.XLOOKUP(S259:AG259,增益!$A:$A,增益!$P:$P,0))</f>
        <v>0</v>
      </c>
      <c r="BJ259" s="20">
        <f>MIN(IF(VLOOKUP($R259,武学奇术!$A:$ZZ,23,FALSE)=1,100%,$B$8),100%)</f>
        <v>0.8271</v>
      </c>
      <c r="BK259" s="20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0.2249</v>
      </c>
      <c r="BL259" s="20" cm="1">
        <f t="array" ref="BL259">1+$B$13+VLOOKUP($R259,武学奇术!$A:$ZZ,18,FALSE)+SUM(_xlfn.XLOOKUP(S259:AG259,增益!$A:$A,增益!$R:$R,0))</f>
        <v>1.5</v>
      </c>
      <c r="BM259" s="20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0.4459</v>
      </c>
      <c r="BN259" s="20" cm="1">
        <f t="array" ref="BN259">1+$B$14+VLOOKUP($R259,武学奇术!$A:$ZZ,20,FALSE)+SUM(_xlfn.XLOOKUP(S259:AG259,增益!$A:$A,增益!$T:$T,0))</f>
        <v>1.542</v>
      </c>
      <c r="BO259" s="20">
        <f t="shared" si="53"/>
        <v>0.18601479</v>
      </c>
      <c r="BP259" s="20">
        <f t="shared" si="54"/>
        <v>0.27228132</v>
      </c>
      <c r="BQ259" s="20">
        <f>IF(VLOOKUP($R259,武学奇术!$A:$ZZ,22,FALSE)=1,0,(1-$BJ259))*(1-$BM259)</f>
        <v>0.09580389</v>
      </c>
      <c r="BR259" s="20" cm="1">
        <f t="array" ref="BR259">SUM(_xlfn.XLOOKUP(S259:AG259,增益!$A:$A,增益!$W:$W,0))+$I$5</f>
        <v>0.11</v>
      </c>
    </row>
    <row r="260" spans="11:70">
      <c r="K260" s="27">
        <f>$L260*VLOOKUP($R260,武学奇术!$A:$ZZ,31,FALSE)</f>
        <v>16480.2279671462</v>
      </c>
      <c r="L260" s="27">
        <f t="shared" si="44"/>
        <v>16480.2279671462</v>
      </c>
      <c r="M260" s="27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14553.5337791856</v>
      </c>
      <c r="N260" s="27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24086.4855149457</v>
      </c>
      <c r="O260" s="27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9702.3558527904</v>
      </c>
      <c r="P260" s="27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4082.5199021802</v>
      </c>
      <c r="Q260" s="35">
        <v>1</v>
      </c>
      <c r="R260" s="36" t="s">
        <v>166</v>
      </c>
      <c r="S260" s="36" t="s">
        <v>71</v>
      </c>
      <c r="T260" s="36" t="s">
        <v>93</v>
      </c>
      <c r="U260" s="36" t="s">
        <v>71</v>
      </c>
      <c r="V260" s="36" t="s">
        <v>71</v>
      </c>
      <c r="W260" s="36" t="s">
        <v>71</v>
      </c>
      <c r="X260" s="36" t="s">
        <v>71</v>
      </c>
      <c r="Y260" s="36" t="s">
        <v>71</v>
      </c>
      <c r="Z260" s="36" t="s">
        <v>71</v>
      </c>
      <c r="AA260" s="36" t="s">
        <v>71</v>
      </c>
      <c r="AB260" s="36" t="s">
        <v>71</v>
      </c>
      <c r="AC260" s="36" t="s">
        <v>71</v>
      </c>
      <c r="AD260" s="36" t="s">
        <v>72</v>
      </c>
      <c r="AE260" s="36" t="s">
        <v>94</v>
      </c>
      <c r="AF260" s="36" t="s">
        <v>147</v>
      </c>
      <c r="AG260" s="36" t="s">
        <v>120</v>
      </c>
      <c r="AH260" t="str">
        <f>VLOOKUP($R260,武学奇术!$A:$ZZ,25,FALSE)</f>
        <v>心法</v>
      </c>
      <c r="AI260" s="20">
        <f>VLOOKUP($R260,武学奇术!$A:$ZZ,26,FALSE)</f>
        <v>1</v>
      </c>
      <c r="AJ260" s="21">
        <f>VLOOKUP($R260,武学奇术!$A:$ZZ,27,FALSE)*(1+IF(OR($AH260=$F$4,$AH260=$F$5),$B$22,0))</f>
        <v>0</v>
      </c>
      <c r="AK260" s="20">
        <f>VLOOKUP($R260,武学奇术!$A:$ZZ,28,FALSE)</f>
        <v>1</v>
      </c>
      <c r="AL260" s="21">
        <f>VLOOKUP($R260,武学奇术!$A:$ZZ,29,FALSE)*(1+IF(OR($AH260=$F$4,$AH260=$F$5),$B$22,0))</f>
        <v>0</v>
      </c>
      <c r="AM260" s="20" cm="1">
        <f t="array" ref="AM260">$G$3+IFERROR(VLOOKUP($AH260,$F$4:$G$7,2,FALSE),0)+VLOOKUP($R260,武学奇术!$A:$ZZ,2,FALSE)+SUM(_xlfn.XLOOKUP($S260:$AG260,增益!$A:$A,增益!$B:$B,0))</f>
        <v>0.4687</v>
      </c>
      <c r="AN260" s="20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1517.52</v>
      </c>
      <c r="AP260" cm="1">
        <f t="array" ref="AP260">$E$10*(1+$AN260)+VLOOKUP($R260,武学奇术!$A:$ZZ,4,FALSE)+SUM(_xlfn.XLOOKUP($S260:$AG260,增益!$A:$A,增益!$D:$D,0))-$I$2</f>
        <v>6628.56</v>
      </c>
      <c r="AQ260" s="29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0.2425</v>
      </c>
      <c r="AR260" s="29" cm="1">
        <f t="array" ref="AR260">$G$10+VLOOKUP($R260,武学奇术!$A:$ZZ,7,FALSE)+SUM(_xlfn.XLOOKUP(S260:AG260,增益!$A:$A,增益!$G:$G,0))</f>
        <v>0</v>
      </c>
      <c r="AS260" s="20" cm="1">
        <f t="array" ref="AS260">VLOOKUP($R260,武学奇术!$A:$ZZ,8,FALSE)+SUM(_xlfn.XLOOKUP(S260:AG260,增益!$A:$A,增益!$H:$H,0))</f>
        <v>0</v>
      </c>
      <c r="AT260">
        <f t="shared" si="45"/>
        <v>538</v>
      </c>
      <c r="AU260">
        <f t="shared" si="46"/>
        <v>1011</v>
      </c>
      <c r="AV260" s="29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0</v>
      </c>
      <c r="AW260" s="29" cm="1">
        <f t="array" ref="AW260">$G$11+VLOOKUP($R260,武学奇术!$A:$ZZ,10,FALSE)+SUM(_xlfn.XLOOKUP(S260:AG260,增益!$A:$A,增益!$J:$J,0))</f>
        <v>0.15</v>
      </c>
      <c r="AX260">
        <f t="shared" si="47"/>
        <v>0</v>
      </c>
      <c r="AY260">
        <f t="shared" si="48"/>
        <v>0</v>
      </c>
      <c r="AZ260" s="29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29" cm="1">
        <f t="array" ref="BA260">$G$12+VLOOKUP($R260,武学奇术!$A:$ZZ,12,FALSE)+SUM(_xlfn.XLOOKUP(S260:AG260,增益!$A:$A,增益!$L:$L,0))</f>
        <v>0</v>
      </c>
      <c r="BB260">
        <f t="shared" si="49"/>
        <v>0</v>
      </c>
      <c r="BC260">
        <f t="shared" si="50"/>
        <v>0</v>
      </c>
      <c r="BD260" s="29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29" cm="1">
        <f t="array" ref="BE260">$G$13+VLOOKUP($R260,武学奇术!$A:$ZZ,14,FALSE)+SUM(_xlfn.XLOOKUP(S260:AG260,增益!$A:$A,增益!$N:$N,0))</f>
        <v>0</v>
      </c>
      <c r="BF260">
        <f t="shared" si="51"/>
        <v>0</v>
      </c>
      <c r="BG260">
        <f t="shared" si="52"/>
        <v>0</v>
      </c>
      <c r="BH260" s="29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29" cm="1">
        <f t="array" ref="BI260">$G$14+VLOOKUP($R260,武学奇术!$A:$ZZ,16,FALSE)+SUM(_xlfn.XLOOKUP(S260:AG260,增益!$A:$A,增益!$P:$P,0))</f>
        <v>0</v>
      </c>
      <c r="BJ260" s="20">
        <f>MIN(IF(VLOOKUP($R260,武学奇术!$A:$ZZ,23,FALSE)=1,100%,$B$8),100%)</f>
        <v>0.8271</v>
      </c>
      <c r="BK260" s="20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0.2249</v>
      </c>
      <c r="BL260" s="20" cm="1">
        <f t="array" ref="BL260">1+$B$13+VLOOKUP($R260,武学奇术!$A:$ZZ,18,FALSE)+SUM(_xlfn.XLOOKUP(S260:AG260,增益!$A:$A,增益!$R:$R,0))</f>
        <v>1.5</v>
      </c>
      <c r="BM260" s="20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0.4459</v>
      </c>
      <c r="BN260" s="20" cm="1">
        <f t="array" ref="BN260">1+$B$14+VLOOKUP($R260,武学奇术!$A:$ZZ,20,FALSE)+SUM(_xlfn.XLOOKUP(S260:AG260,增益!$A:$A,增益!$T:$T,0))</f>
        <v>1.572</v>
      </c>
      <c r="BO260" s="20">
        <f t="shared" si="53"/>
        <v>0.18601479</v>
      </c>
      <c r="BP260" s="20">
        <f t="shared" si="54"/>
        <v>0.27228132</v>
      </c>
      <c r="BQ260" s="20">
        <f>IF(VLOOKUP($R260,武学奇术!$A:$ZZ,22,FALSE)=1,0,(1-$BJ260))*(1-$BM260)</f>
        <v>0.09580389</v>
      </c>
      <c r="BR260" s="20" cm="1">
        <f t="array" ref="BR260">SUM(_xlfn.XLOOKUP(S260:AG260,增益!$A:$A,增益!$W:$W,0))+$I$5</f>
        <v>0.11</v>
      </c>
    </row>
    <row r="261" spans="11:70">
      <c r="K261" s="27">
        <f>$L261*VLOOKUP($R261,武学奇术!$A:$ZZ,31,FALSE)</f>
        <v>18281.5546397997</v>
      </c>
      <c r="L261" s="27">
        <f t="shared" si="44"/>
        <v>18281.5546397997</v>
      </c>
      <c r="M261" s="27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15967.3386823154</v>
      </c>
      <c r="N261" s="27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26867.1739319757</v>
      </c>
      <c r="O261" s="27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10644.8924548769</v>
      </c>
      <c r="P261" s="27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4518.7649771847</v>
      </c>
      <c r="Q261" s="35">
        <v>1</v>
      </c>
      <c r="R261" s="36" t="s">
        <v>166</v>
      </c>
      <c r="S261" s="36" t="s">
        <v>152</v>
      </c>
      <c r="T261" s="36" t="s">
        <v>93</v>
      </c>
      <c r="U261" s="36" t="s">
        <v>71</v>
      </c>
      <c r="V261" s="36" t="s">
        <v>71</v>
      </c>
      <c r="W261" s="36" t="s">
        <v>111</v>
      </c>
      <c r="X261" s="36" t="s">
        <v>71</v>
      </c>
      <c r="Y261" s="36" t="s">
        <v>71</v>
      </c>
      <c r="Z261" s="36" t="s">
        <v>71</v>
      </c>
      <c r="AA261" s="36" t="s">
        <v>71</v>
      </c>
      <c r="AB261" s="36" t="s">
        <v>71</v>
      </c>
      <c r="AC261" s="36" t="s">
        <v>71</v>
      </c>
      <c r="AD261" s="36" t="s">
        <v>72</v>
      </c>
      <c r="AE261" s="36" t="s">
        <v>94</v>
      </c>
      <c r="AF261" s="36" t="s">
        <v>154</v>
      </c>
      <c r="AG261" s="36" t="s">
        <v>120</v>
      </c>
      <c r="AH261" t="str">
        <f>VLOOKUP($R261,武学奇术!$A:$ZZ,25,FALSE)</f>
        <v>心法</v>
      </c>
      <c r="AI261" s="20">
        <f>VLOOKUP($R261,武学奇术!$A:$ZZ,26,FALSE)</f>
        <v>1</v>
      </c>
      <c r="AJ261" s="21">
        <f>VLOOKUP($R261,武学奇术!$A:$ZZ,27,FALSE)*(1+IF(OR($AH261=$F$4,$AH261=$F$5),$B$22,0))</f>
        <v>0</v>
      </c>
      <c r="AK261" s="20">
        <f>VLOOKUP($R261,武学奇术!$A:$ZZ,28,FALSE)</f>
        <v>1</v>
      </c>
      <c r="AL261" s="21">
        <f>VLOOKUP($R261,武学奇术!$A:$ZZ,29,FALSE)*(1+IF(OR($AH261=$F$4,$AH261=$F$5),$B$22,0))</f>
        <v>0</v>
      </c>
      <c r="AM261" s="20" cm="1">
        <f t="array" ref="AM261">$G$3+IFERROR(VLOOKUP($AH261,$F$4:$G$7,2,FALSE),0)+VLOOKUP($R261,武学奇术!$A:$ZZ,2,FALSE)+SUM(_xlfn.XLOOKUP($S261:$AG261,增益!$A:$A,增益!$B:$B,0))</f>
        <v>0.4687</v>
      </c>
      <c r="AN261" s="20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1548.52</v>
      </c>
      <c r="AP261" cm="1">
        <f t="array" ref="AP261">$E$10*(1+$AN261)+VLOOKUP($R261,武学奇术!$A:$ZZ,4,FALSE)+SUM(_xlfn.XLOOKUP($S261:$AG261,增益!$A:$A,增益!$D:$D,0))-$I$2</f>
        <v>6659.56</v>
      </c>
      <c r="AQ261" s="29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0.2425</v>
      </c>
      <c r="AR261" s="29" cm="1">
        <f t="array" ref="AR261">$G$10+VLOOKUP($R261,武学奇术!$A:$ZZ,7,FALSE)+SUM(_xlfn.XLOOKUP(S261:AG261,增益!$A:$A,增益!$G:$G,0))</f>
        <v>0</v>
      </c>
      <c r="AS261" s="20" cm="1">
        <f t="array" ref="AS261">VLOOKUP($R261,武学奇术!$A:$ZZ,8,FALSE)+SUM(_xlfn.XLOOKUP(S261:AG261,增益!$A:$A,增益!$H:$H,0))</f>
        <v>0</v>
      </c>
      <c r="AT261">
        <f t="shared" si="45"/>
        <v>538</v>
      </c>
      <c r="AU261">
        <f t="shared" si="46"/>
        <v>1011</v>
      </c>
      <c r="AV261" s="29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0</v>
      </c>
      <c r="AW261" s="29" cm="1">
        <f t="array" ref="AW261">$G$11+VLOOKUP($R261,武学奇术!$A:$ZZ,10,FALSE)+SUM(_xlfn.XLOOKUP(S261:AG261,增益!$A:$A,增益!$J:$J,0))</f>
        <v>0.15</v>
      </c>
      <c r="AX261">
        <f t="shared" si="47"/>
        <v>0</v>
      </c>
      <c r="AY261">
        <f t="shared" si="48"/>
        <v>0</v>
      </c>
      <c r="AZ261" s="29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29" cm="1">
        <f t="array" ref="BA261">$G$12+VLOOKUP($R261,武学奇术!$A:$ZZ,12,FALSE)+SUM(_xlfn.XLOOKUP(S261:AG261,增益!$A:$A,增益!$L:$L,0))</f>
        <v>0</v>
      </c>
      <c r="BB261">
        <f t="shared" si="49"/>
        <v>0</v>
      </c>
      <c r="BC261">
        <f t="shared" si="50"/>
        <v>0</v>
      </c>
      <c r="BD261" s="29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29" cm="1">
        <f t="array" ref="BE261">$G$13+VLOOKUP($R261,武学奇术!$A:$ZZ,14,FALSE)+SUM(_xlfn.XLOOKUP(S261:AG261,增益!$A:$A,增益!$N:$N,0))</f>
        <v>0</v>
      </c>
      <c r="BF261">
        <f t="shared" si="51"/>
        <v>0</v>
      </c>
      <c r="BG261">
        <f t="shared" si="52"/>
        <v>0</v>
      </c>
      <c r="BH261" s="29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29" cm="1">
        <f t="array" ref="BI261">$G$14+VLOOKUP($R261,武学奇术!$A:$ZZ,16,FALSE)+SUM(_xlfn.XLOOKUP(S261:AG261,增益!$A:$A,增益!$P:$P,0))</f>
        <v>0</v>
      </c>
      <c r="BJ261" s="20">
        <f>MIN(IF(VLOOKUP($R261,武学奇术!$A:$ZZ,23,FALSE)=1,100%,$B$8),100%)</f>
        <v>0.8271</v>
      </c>
      <c r="BK261" s="20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0.2249</v>
      </c>
      <c r="BL261" s="20" cm="1">
        <f t="array" ref="BL261">1+$B$13+VLOOKUP($R261,武学奇术!$A:$ZZ,18,FALSE)+SUM(_xlfn.XLOOKUP(S261:AG261,增益!$A:$A,增益!$R:$R,0))</f>
        <v>1.5</v>
      </c>
      <c r="BM261" s="20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0.4459</v>
      </c>
      <c r="BN261" s="20" cm="1">
        <f t="array" ref="BN261">1+$B$14+VLOOKUP($R261,武学奇术!$A:$ZZ,20,FALSE)+SUM(_xlfn.XLOOKUP(S261:AG261,增益!$A:$A,增益!$T:$T,0))</f>
        <v>1.602</v>
      </c>
      <c r="BO261" s="20">
        <f t="shared" si="53"/>
        <v>0.18601479</v>
      </c>
      <c r="BP261" s="20">
        <f t="shared" si="54"/>
        <v>0.27228132</v>
      </c>
      <c r="BQ261" s="20">
        <f>IF(VLOOKUP($R261,武学奇术!$A:$ZZ,22,FALSE)=1,0,(1-$BJ261))*(1-$BM261)</f>
        <v>0.09580389</v>
      </c>
      <c r="BR261" s="20" cm="1">
        <f t="array" ref="BR261">SUM(_xlfn.XLOOKUP(S261:AG261,增益!$A:$A,增益!$W:$W,0))+$I$5</f>
        <v>0.21</v>
      </c>
    </row>
    <row r="262" spans="11:70">
      <c r="K262" s="27">
        <f>$L262*VLOOKUP($R262,武学奇术!$A:$ZZ,31,FALSE)</f>
        <v>16770.6823555187</v>
      </c>
      <c r="L262" s="27">
        <f t="shared" si="44"/>
        <v>16770.6823555187</v>
      </c>
      <c r="M262" s="27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14647.7239151819</v>
      </c>
      <c r="N262" s="27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24646.7463342918</v>
      </c>
      <c r="O262" s="27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9765.1492767879</v>
      </c>
      <c r="P262" s="27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4145.3133261777</v>
      </c>
      <c r="Q262" s="35">
        <v>1</v>
      </c>
      <c r="R262" s="36" t="s">
        <v>166</v>
      </c>
      <c r="S262" s="36" t="s">
        <v>71</v>
      </c>
      <c r="T262" s="36" t="s">
        <v>93</v>
      </c>
      <c r="U262" s="36" t="s">
        <v>71</v>
      </c>
      <c r="V262" s="36" t="s">
        <v>71</v>
      </c>
      <c r="W262" s="36" t="s">
        <v>111</v>
      </c>
      <c r="X262" s="36" t="s">
        <v>71</v>
      </c>
      <c r="Y262" s="36" t="s">
        <v>71</v>
      </c>
      <c r="Z262" s="36" t="s">
        <v>71</v>
      </c>
      <c r="AA262" s="36" t="s">
        <v>71</v>
      </c>
      <c r="AB262" s="36" t="s">
        <v>71</v>
      </c>
      <c r="AC262" s="36" t="s">
        <v>71</v>
      </c>
      <c r="AD262" s="36" t="s">
        <v>72</v>
      </c>
      <c r="AE262" s="36" t="s">
        <v>94</v>
      </c>
      <c r="AF262" s="36" t="s">
        <v>154</v>
      </c>
      <c r="AG262" s="36" t="s">
        <v>120</v>
      </c>
      <c r="AH262" t="str">
        <f>VLOOKUP($R262,武学奇术!$A:$ZZ,25,FALSE)</f>
        <v>心法</v>
      </c>
      <c r="AI262" s="20">
        <f>VLOOKUP($R262,武学奇术!$A:$ZZ,26,FALSE)</f>
        <v>1</v>
      </c>
      <c r="AJ262" s="21">
        <f>VLOOKUP($R262,武学奇术!$A:$ZZ,27,FALSE)*(1+IF(OR($AH262=$F$4,$AH262=$F$5),$B$22,0))</f>
        <v>0</v>
      </c>
      <c r="AK262" s="20">
        <f>VLOOKUP($R262,武学奇术!$A:$ZZ,28,FALSE)</f>
        <v>1</v>
      </c>
      <c r="AL262" s="21">
        <f>VLOOKUP($R262,武学奇术!$A:$ZZ,29,FALSE)*(1+IF(OR($AH262=$F$4,$AH262=$F$5),$B$22,0))</f>
        <v>0</v>
      </c>
      <c r="AM262" s="20" cm="1">
        <f t="array" ref="AM262">$G$3+IFERROR(VLOOKUP($AH262,$F$4:$G$7,2,FALSE),0)+VLOOKUP($R262,武学奇术!$A:$ZZ,2,FALSE)+SUM(_xlfn.XLOOKUP($S262:$AG262,增益!$A:$A,增益!$B:$B,0))</f>
        <v>0.4687</v>
      </c>
      <c r="AN262" s="20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1548.52</v>
      </c>
      <c r="AP262" cm="1">
        <f t="array" ref="AP262">$E$10*(1+$AN262)+VLOOKUP($R262,武学奇术!$A:$ZZ,4,FALSE)+SUM(_xlfn.XLOOKUP($S262:$AG262,增益!$A:$A,增益!$D:$D,0))-$I$2</f>
        <v>6659.56</v>
      </c>
      <c r="AQ262" s="29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0.2425</v>
      </c>
      <c r="AR262" s="29" cm="1">
        <f t="array" ref="AR262">$G$10+VLOOKUP($R262,武学奇术!$A:$ZZ,7,FALSE)+SUM(_xlfn.XLOOKUP(S262:AG262,增益!$A:$A,增益!$G:$G,0))</f>
        <v>0</v>
      </c>
      <c r="AS262" s="20" cm="1">
        <f t="array" ref="AS262">VLOOKUP($R262,武学奇术!$A:$ZZ,8,FALSE)+SUM(_xlfn.XLOOKUP(S262:AG262,增益!$A:$A,增益!$H:$H,0))</f>
        <v>0</v>
      </c>
      <c r="AT262">
        <f t="shared" si="45"/>
        <v>538</v>
      </c>
      <c r="AU262">
        <f t="shared" si="46"/>
        <v>1011</v>
      </c>
      <c r="AV262" s="29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0</v>
      </c>
      <c r="AW262" s="29" cm="1">
        <f t="array" ref="AW262">$G$11+VLOOKUP($R262,武学奇术!$A:$ZZ,10,FALSE)+SUM(_xlfn.XLOOKUP(S262:AG262,增益!$A:$A,增益!$J:$J,0))</f>
        <v>0.15</v>
      </c>
      <c r="AX262">
        <f t="shared" si="47"/>
        <v>0</v>
      </c>
      <c r="AY262">
        <f t="shared" si="48"/>
        <v>0</v>
      </c>
      <c r="AZ262" s="29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29" cm="1">
        <f t="array" ref="BA262">$G$12+VLOOKUP($R262,武学奇术!$A:$ZZ,12,FALSE)+SUM(_xlfn.XLOOKUP(S262:AG262,增益!$A:$A,增益!$L:$L,0))</f>
        <v>0</v>
      </c>
      <c r="BB262">
        <f t="shared" si="49"/>
        <v>0</v>
      </c>
      <c r="BC262">
        <f t="shared" si="50"/>
        <v>0</v>
      </c>
      <c r="BD262" s="29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29" cm="1">
        <f t="array" ref="BE262">$G$13+VLOOKUP($R262,武学奇术!$A:$ZZ,14,FALSE)+SUM(_xlfn.XLOOKUP(S262:AG262,增益!$A:$A,增益!$N:$N,0))</f>
        <v>0</v>
      </c>
      <c r="BF262">
        <f t="shared" si="51"/>
        <v>0</v>
      </c>
      <c r="BG262">
        <f t="shared" si="52"/>
        <v>0</v>
      </c>
      <c r="BH262" s="29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29" cm="1">
        <f t="array" ref="BI262">$G$14+VLOOKUP($R262,武学奇术!$A:$ZZ,16,FALSE)+SUM(_xlfn.XLOOKUP(S262:AG262,增益!$A:$A,增益!$P:$P,0))</f>
        <v>0</v>
      </c>
      <c r="BJ262" s="20">
        <f>MIN(IF(VLOOKUP($R262,武学奇术!$A:$ZZ,23,FALSE)=1,100%,$B$8),100%)</f>
        <v>0.8271</v>
      </c>
      <c r="BK262" s="20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0.2249</v>
      </c>
      <c r="BL262" s="20" cm="1">
        <f t="array" ref="BL262">1+$B$13+VLOOKUP($R262,武学奇术!$A:$ZZ,18,FALSE)+SUM(_xlfn.XLOOKUP(S262:AG262,增益!$A:$A,增益!$R:$R,0))</f>
        <v>1.5</v>
      </c>
      <c r="BM262" s="20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0.4459</v>
      </c>
      <c r="BN262" s="20" cm="1">
        <f t="array" ref="BN262">1+$B$14+VLOOKUP($R262,武学奇术!$A:$ZZ,20,FALSE)+SUM(_xlfn.XLOOKUP(S262:AG262,增益!$A:$A,增益!$T:$T,0))</f>
        <v>1.602</v>
      </c>
      <c r="BO262" s="20">
        <f t="shared" si="53"/>
        <v>0.18601479</v>
      </c>
      <c r="BP262" s="20">
        <f t="shared" si="54"/>
        <v>0.27228132</v>
      </c>
      <c r="BQ262" s="20">
        <f>IF(VLOOKUP($R262,武学奇术!$A:$ZZ,22,FALSE)=1,0,(1-$BJ262))*(1-$BM262)</f>
        <v>0.09580389</v>
      </c>
      <c r="BR262" s="20" cm="1">
        <f t="array" ref="BR262">SUM(_xlfn.XLOOKUP(S262:AG262,增益!$A:$A,增益!$W:$W,0))+$I$5</f>
        <v>0.11</v>
      </c>
    </row>
    <row r="263" spans="11:70">
      <c r="K263" s="27">
        <f>$L263*VLOOKUP($R263,武学奇术!$A:$ZZ,31,FALSE)</f>
        <v>16770.6823555187</v>
      </c>
      <c r="L263" s="27">
        <f t="shared" si="44"/>
        <v>16770.6823555187</v>
      </c>
      <c r="M263" s="27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14647.7239151819</v>
      </c>
      <c r="N263" s="27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24646.7463342918</v>
      </c>
      <c r="O263" s="27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9765.1492767879</v>
      </c>
      <c r="P263" s="27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4145.3133261777</v>
      </c>
      <c r="Q263" s="35">
        <v>1</v>
      </c>
      <c r="R263" s="36" t="s">
        <v>166</v>
      </c>
      <c r="S263" s="36" t="s">
        <v>71</v>
      </c>
      <c r="T263" s="36" t="s">
        <v>93</v>
      </c>
      <c r="U263" s="36" t="s">
        <v>71</v>
      </c>
      <c r="V263" s="36" t="s">
        <v>71</v>
      </c>
      <c r="W263" s="36" t="s">
        <v>111</v>
      </c>
      <c r="X263" s="36" t="s">
        <v>71</v>
      </c>
      <c r="Y263" s="36" t="s">
        <v>71</v>
      </c>
      <c r="Z263" s="36" t="s">
        <v>71</v>
      </c>
      <c r="AA263" s="36" t="s">
        <v>71</v>
      </c>
      <c r="AB263" s="36" t="s">
        <v>71</v>
      </c>
      <c r="AC263" s="36" t="s">
        <v>71</v>
      </c>
      <c r="AD263" s="36" t="s">
        <v>72</v>
      </c>
      <c r="AE263" s="36" t="s">
        <v>94</v>
      </c>
      <c r="AF263" s="36" t="s">
        <v>154</v>
      </c>
      <c r="AG263" s="36" t="s">
        <v>120</v>
      </c>
      <c r="AH263" t="str">
        <f>VLOOKUP($R263,武学奇术!$A:$ZZ,25,FALSE)</f>
        <v>心法</v>
      </c>
      <c r="AI263" s="20">
        <f>VLOOKUP($R263,武学奇术!$A:$ZZ,26,FALSE)</f>
        <v>1</v>
      </c>
      <c r="AJ263" s="21">
        <f>VLOOKUP($R263,武学奇术!$A:$ZZ,27,FALSE)*(1+IF(OR($AH263=$F$4,$AH263=$F$5),$B$22,0))</f>
        <v>0</v>
      </c>
      <c r="AK263" s="20">
        <f>VLOOKUP($R263,武学奇术!$A:$ZZ,28,FALSE)</f>
        <v>1</v>
      </c>
      <c r="AL263" s="21">
        <f>VLOOKUP($R263,武学奇术!$A:$ZZ,29,FALSE)*(1+IF(OR($AH263=$F$4,$AH263=$F$5),$B$22,0))</f>
        <v>0</v>
      </c>
      <c r="AM263" s="20" cm="1">
        <f t="array" ref="AM263">$G$3+IFERROR(VLOOKUP($AH263,$F$4:$G$7,2,FALSE),0)+VLOOKUP($R263,武学奇术!$A:$ZZ,2,FALSE)+SUM(_xlfn.XLOOKUP($S263:$AG263,增益!$A:$A,增益!$B:$B,0))</f>
        <v>0.4687</v>
      </c>
      <c r="AN263" s="20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1548.52</v>
      </c>
      <c r="AP263" cm="1">
        <f t="array" ref="AP263">$E$10*(1+$AN263)+VLOOKUP($R263,武学奇术!$A:$ZZ,4,FALSE)+SUM(_xlfn.XLOOKUP($S263:$AG263,增益!$A:$A,增益!$D:$D,0))-$I$2</f>
        <v>6659.56</v>
      </c>
      <c r="AQ263" s="29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0.2425</v>
      </c>
      <c r="AR263" s="29" cm="1">
        <f t="array" ref="AR263">$G$10+VLOOKUP($R263,武学奇术!$A:$ZZ,7,FALSE)+SUM(_xlfn.XLOOKUP(S263:AG263,增益!$A:$A,增益!$G:$G,0))</f>
        <v>0</v>
      </c>
      <c r="AS263" s="20" cm="1">
        <f t="array" ref="AS263">VLOOKUP($R263,武学奇术!$A:$ZZ,8,FALSE)+SUM(_xlfn.XLOOKUP(S263:AG263,增益!$A:$A,增益!$H:$H,0))</f>
        <v>0</v>
      </c>
      <c r="AT263">
        <f t="shared" si="45"/>
        <v>538</v>
      </c>
      <c r="AU263">
        <f t="shared" si="46"/>
        <v>1011</v>
      </c>
      <c r="AV263" s="29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0</v>
      </c>
      <c r="AW263" s="29" cm="1">
        <f t="array" ref="AW263">$G$11+VLOOKUP($R263,武学奇术!$A:$ZZ,10,FALSE)+SUM(_xlfn.XLOOKUP(S263:AG263,增益!$A:$A,增益!$J:$J,0))</f>
        <v>0.15</v>
      </c>
      <c r="AX263">
        <f t="shared" si="47"/>
        <v>0</v>
      </c>
      <c r="AY263">
        <f t="shared" si="48"/>
        <v>0</v>
      </c>
      <c r="AZ263" s="29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29" cm="1">
        <f t="array" ref="BA263">$G$12+VLOOKUP($R263,武学奇术!$A:$ZZ,12,FALSE)+SUM(_xlfn.XLOOKUP(S263:AG263,增益!$A:$A,增益!$L:$L,0))</f>
        <v>0</v>
      </c>
      <c r="BB263">
        <f t="shared" si="49"/>
        <v>0</v>
      </c>
      <c r="BC263">
        <f t="shared" si="50"/>
        <v>0</v>
      </c>
      <c r="BD263" s="29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29" cm="1">
        <f t="array" ref="BE263">$G$13+VLOOKUP($R263,武学奇术!$A:$ZZ,14,FALSE)+SUM(_xlfn.XLOOKUP(S263:AG263,增益!$A:$A,增益!$N:$N,0))</f>
        <v>0</v>
      </c>
      <c r="BF263">
        <f t="shared" si="51"/>
        <v>0</v>
      </c>
      <c r="BG263">
        <f t="shared" si="52"/>
        <v>0</v>
      </c>
      <c r="BH263" s="29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29" cm="1">
        <f t="array" ref="BI263">$G$14+VLOOKUP($R263,武学奇术!$A:$ZZ,16,FALSE)+SUM(_xlfn.XLOOKUP(S263:AG263,增益!$A:$A,增益!$P:$P,0))</f>
        <v>0</v>
      </c>
      <c r="BJ263" s="20">
        <f>MIN(IF(VLOOKUP($R263,武学奇术!$A:$ZZ,23,FALSE)=1,100%,$B$8),100%)</f>
        <v>0.8271</v>
      </c>
      <c r="BK263" s="20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0.2249</v>
      </c>
      <c r="BL263" s="20" cm="1">
        <f t="array" ref="BL263">1+$B$13+VLOOKUP($R263,武学奇术!$A:$ZZ,18,FALSE)+SUM(_xlfn.XLOOKUP(S263:AG263,增益!$A:$A,增益!$R:$R,0))</f>
        <v>1.5</v>
      </c>
      <c r="BM263" s="20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0.4459</v>
      </c>
      <c r="BN263" s="20" cm="1">
        <f t="array" ref="BN263">1+$B$14+VLOOKUP($R263,武学奇术!$A:$ZZ,20,FALSE)+SUM(_xlfn.XLOOKUP(S263:AG263,增益!$A:$A,增益!$T:$T,0))</f>
        <v>1.602</v>
      </c>
      <c r="BO263" s="20">
        <f t="shared" si="53"/>
        <v>0.18601479</v>
      </c>
      <c r="BP263" s="20">
        <f t="shared" si="54"/>
        <v>0.27228132</v>
      </c>
      <c r="BQ263" s="20">
        <f>IF(VLOOKUP($R263,武学奇术!$A:$ZZ,22,FALSE)=1,0,(1-$BJ263))*(1-$BM263)</f>
        <v>0.09580389</v>
      </c>
      <c r="BR263" s="20" cm="1">
        <f t="array" ref="BR263">SUM(_xlfn.XLOOKUP(S263:AG263,增益!$A:$A,增益!$W:$W,0))+$I$5</f>
        <v>0.11</v>
      </c>
    </row>
    <row r="264" spans="11:70">
      <c r="K264" s="27">
        <f>$L264*VLOOKUP($R264,武学奇术!$A:$ZZ,31,FALSE)</f>
        <v>16685.1929269003</v>
      </c>
      <c r="L264" s="27">
        <f t="shared" si="44"/>
        <v>16685.1929269003</v>
      </c>
      <c r="M264" s="27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14553.5337791856</v>
      </c>
      <c r="N264" s="27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24546.1512690478</v>
      </c>
      <c r="O264" s="27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9702.3558527904</v>
      </c>
      <c r="P264" s="27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4082.5199021802</v>
      </c>
      <c r="Q264" s="35">
        <v>1</v>
      </c>
      <c r="R264" s="36" t="s">
        <v>166</v>
      </c>
      <c r="S264" s="36" t="s">
        <v>71</v>
      </c>
      <c r="T264" s="36" t="s">
        <v>93</v>
      </c>
      <c r="U264" s="36" t="s">
        <v>71</v>
      </c>
      <c r="V264" s="36" t="s">
        <v>71</v>
      </c>
      <c r="W264" s="36" t="s">
        <v>71</v>
      </c>
      <c r="X264" s="36" t="s">
        <v>71</v>
      </c>
      <c r="Y264" s="36" t="s">
        <v>71</v>
      </c>
      <c r="Z264" s="36" t="s">
        <v>71</v>
      </c>
      <c r="AA264" s="36" t="s">
        <v>71</v>
      </c>
      <c r="AB264" s="36" t="s">
        <v>71</v>
      </c>
      <c r="AC264" s="36" t="s">
        <v>71</v>
      </c>
      <c r="AD264" s="36" t="s">
        <v>72</v>
      </c>
      <c r="AE264" s="36" t="s">
        <v>94</v>
      </c>
      <c r="AF264" s="36" t="s">
        <v>154</v>
      </c>
      <c r="AG264" s="36" t="s">
        <v>120</v>
      </c>
      <c r="AH264" t="str">
        <f>VLOOKUP($R264,武学奇术!$A:$ZZ,25,FALSE)</f>
        <v>心法</v>
      </c>
      <c r="AI264" s="20">
        <f>VLOOKUP($R264,武学奇术!$A:$ZZ,26,FALSE)</f>
        <v>1</v>
      </c>
      <c r="AJ264" s="21">
        <f>VLOOKUP($R264,武学奇术!$A:$ZZ,27,FALSE)*(1+IF(OR($AH264=$F$4,$AH264=$F$5),$B$22,0))</f>
        <v>0</v>
      </c>
      <c r="AK264" s="20">
        <f>VLOOKUP($R264,武学奇术!$A:$ZZ,28,FALSE)</f>
        <v>1</v>
      </c>
      <c r="AL264" s="21">
        <f>VLOOKUP($R264,武学奇术!$A:$ZZ,29,FALSE)*(1+IF(OR($AH264=$F$4,$AH264=$F$5),$B$22,0))</f>
        <v>0</v>
      </c>
      <c r="AM264" s="20" cm="1">
        <f t="array" ref="AM264">$G$3+IFERROR(VLOOKUP($AH264,$F$4:$G$7,2,FALSE),0)+VLOOKUP($R264,武学奇术!$A:$ZZ,2,FALSE)+SUM(_xlfn.XLOOKUP($S264:$AG264,增益!$A:$A,增益!$B:$B,0))</f>
        <v>0.4687</v>
      </c>
      <c r="AN264" s="20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1517.52</v>
      </c>
      <c r="AP264" cm="1">
        <f t="array" ref="AP264">$E$10*(1+$AN264)+VLOOKUP($R264,武学奇术!$A:$ZZ,4,FALSE)+SUM(_xlfn.XLOOKUP($S264:$AG264,增益!$A:$A,增益!$D:$D,0))-$I$2</f>
        <v>6628.56</v>
      </c>
      <c r="AQ264" s="29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0.2425</v>
      </c>
      <c r="AR264" s="29" cm="1">
        <f t="array" ref="AR264">$G$10+VLOOKUP($R264,武学奇术!$A:$ZZ,7,FALSE)+SUM(_xlfn.XLOOKUP(S264:AG264,增益!$A:$A,增益!$G:$G,0))</f>
        <v>0</v>
      </c>
      <c r="AS264" s="20" cm="1">
        <f t="array" ref="AS264">VLOOKUP($R264,武学奇术!$A:$ZZ,8,FALSE)+SUM(_xlfn.XLOOKUP(S264:AG264,增益!$A:$A,增益!$H:$H,0))</f>
        <v>0</v>
      </c>
      <c r="AT264">
        <f t="shared" si="45"/>
        <v>538</v>
      </c>
      <c r="AU264">
        <f t="shared" si="46"/>
        <v>1011</v>
      </c>
      <c r="AV264" s="29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0</v>
      </c>
      <c r="AW264" s="29" cm="1">
        <f t="array" ref="AW264">$G$11+VLOOKUP($R264,武学奇术!$A:$ZZ,10,FALSE)+SUM(_xlfn.XLOOKUP(S264:AG264,增益!$A:$A,增益!$J:$J,0))</f>
        <v>0.15</v>
      </c>
      <c r="AX264">
        <f t="shared" si="47"/>
        <v>0</v>
      </c>
      <c r="AY264">
        <f t="shared" si="48"/>
        <v>0</v>
      </c>
      <c r="AZ264" s="29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29" cm="1">
        <f t="array" ref="BA264">$G$12+VLOOKUP($R264,武学奇术!$A:$ZZ,12,FALSE)+SUM(_xlfn.XLOOKUP(S264:AG264,增益!$A:$A,增益!$L:$L,0))</f>
        <v>0</v>
      </c>
      <c r="BB264">
        <f t="shared" si="49"/>
        <v>0</v>
      </c>
      <c r="BC264">
        <f t="shared" si="50"/>
        <v>0</v>
      </c>
      <c r="BD264" s="29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29" cm="1">
        <f t="array" ref="BE264">$G$13+VLOOKUP($R264,武学奇术!$A:$ZZ,14,FALSE)+SUM(_xlfn.XLOOKUP(S264:AG264,增益!$A:$A,增益!$N:$N,0))</f>
        <v>0</v>
      </c>
      <c r="BF264">
        <f t="shared" si="51"/>
        <v>0</v>
      </c>
      <c r="BG264">
        <f t="shared" si="52"/>
        <v>0</v>
      </c>
      <c r="BH264" s="29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29" cm="1">
        <f t="array" ref="BI264">$G$14+VLOOKUP($R264,武学奇术!$A:$ZZ,16,FALSE)+SUM(_xlfn.XLOOKUP(S264:AG264,增益!$A:$A,增益!$P:$P,0))</f>
        <v>0</v>
      </c>
      <c r="BJ264" s="20">
        <f>MIN(IF(VLOOKUP($R264,武学奇术!$A:$ZZ,23,FALSE)=1,100%,$B$8),100%)</f>
        <v>0.8271</v>
      </c>
      <c r="BK264" s="20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0.2249</v>
      </c>
      <c r="BL264" s="20" cm="1">
        <f t="array" ref="BL264">1+$B$13+VLOOKUP($R264,武学奇术!$A:$ZZ,18,FALSE)+SUM(_xlfn.XLOOKUP(S264:AG264,增益!$A:$A,增益!$R:$R,0))</f>
        <v>1.5</v>
      </c>
      <c r="BM264" s="20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0.4459</v>
      </c>
      <c r="BN264" s="20" cm="1">
        <f t="array" ref="BN264">1+$B$14+VLOOKUP($R264,武学奇术!$A:$ZZ,20,FALSE)+SUM(_xlfn.XLOOKUP(S264:AG264,增益!$A:$A,增益!$T:$T,0))</f>
        <v>1.602</v>
      </c>
      <c r="BO264" s="20">
        <f t="shared" si="53"/>
        <v>0.18601479</v>
      </c>
      <c r="BP264" s="20">
        <f t="shared" si="54"/>
        <v>0.27228132</v>
      </c>
      <c r="BQ264" s="20">
        <f>IF(VLOOKUP($R264,武学奇术!$A:$ZZ,22,FALSE)=1,0,(1-$BJ264))*(1-$BM264)</f>
        <v>0.09580389</v>
      </c>
      <c r="BR264" s="20" cm="1">
        <f t="array" ref="BR264">SUM(_xlfn.XLOOKUP(S264:AG264,增益!$A:$A,增益!$W:$W,0))+$I$5</f>
        <v>0.11</v>
      </c>
    </row>
    <row r="265" spans="11:70">
      <c r="K265" s="27">
        <f>$L265*VLOOKUP($R265,武学奇术!$A:$ZZ,31,FALSE)</f>
        <v>16770.6823555187</v>
      </c>
      <c r="L265" s="27">
        <f t="shared" si="44"/>
        <v>16770.6823555187</v>
      </c>
      <c r="M265" s="27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14647.7239151819</v>
      </c>
      <c r="N265" s="27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24646.7463342918</v>
      </c>
      <c r="O265" s="27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9765.1492767879</v>
      </c>
      <c r="P265" s="27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4145.3133261777</v>
      </c>
      <c r="Q265" s="35">
        <v>1</v>
      </c>
      <c r="R265" s="36" t="s">
        <v>166</v>
      </c>
      <c r="S265" s="36" t="s">
        <v>71</v>
      </c>
      <c r="T265" s="36" t="s">
        <v>93</v>
      </c>
      <c r="U265" s="36" t="s">
        <v>71</v>
      </c>
      <c r="V265" s="36" t="s">
        <v>71</v>
      </c>
      <c r="W265" s="36" t="s">
        <v>111</v>
      </c>
      <c r="X265" s="36" t="s">
        <v>71</v>
      </c>
      <c r="Y265" s="36" t="s">
        <v>71</v>
      </c>
      <c r="Z265" s="36" t="s">
        <v>71</v>
      </c>
      <c r="AA265" s="36" t="s">
        <v>71</v>
      </c>
      <c r="AB265" s="36" t="s">
        <v>71</v>
      </c>
      <c r="AC265" s="36" t="s">
        <v>71</v>
      </c>
      <c r="AD265" s="36" t="s">
        <v>72</v>
      </c>
      <c r="AE265" s="36" t="s">
        <v>94</v>
      </c>
      <c r="AF265" s="36" t="s">
        <v>154</v>
      </c>
      <c r="AG265" s="36" t="s">
        <v>120</v>
      </c>
      <c r="AH265" t="str">
        <f>VLOOKUP($R265,武学奇术!$A:$ZZ,25,FALSE)</f>
        <v>心法</v>
      </c>
      <c r="AI265" s="20">
        <f>VLOOKUP($R265,武学奇术!$A:$ZZ,26,FALSE)</f>
        <v>1</v>
      </c>
      <c r="AJ265" s="21">
        <f>VLOOKUP($R265,武学奇术!$A:$ZZ,27,FALSE)*(1+IF(OR($AH265=$F$4,$AH265=$F$5),$B$22,0))</f>
        <v>0</v>
      </c>
      <c r="AK265" s="20">
        <f>VLOOKUP($R265,武学奇术!$A:$ZZ,28,FALSE)</f>
        <v>1</v>
      </c>
      <c r="AL265" s="21">
        <f>VLOOKUP($R265,武学奇术!$A:$ZZ,29,FALSE)*(1+IF(OR($AH265=$F$4,$AH265=$F$5),$B$22,0))</f>
        <v>0</v>
      </c>
      <c r="AM265" s="20" cm="1">
        <f t="array" ref="AM265">$G$3+IFERROR(VLOOKUP($AH265,$F$4:$G$7,2,FALSE),0)+VLOOKUP($R265,武学奇术!$A:$ZZ,2,FALSE)+SUM(_xlfn.XLOOKUP($S265:$AG265,增益!$A:$A,增益!$B:$B,0))</f>
        <v>0.4687</v>
      </c>
      <c r="AN265" s="20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1548.52</v>
      </c>
      <c r="AP265" cm="1">
        <f t="array" ref="AP265">$E$10*(1+$AN265)+VLOOKUP($R265,武学奇术!$A:$ZZ,4,FALSE)+SUM(_xlfn.XLOOKUP($S265:$AG265,增益!$A:$A,增益!$D:$D,0))-$I$2</f>
        <v>6659.56</v>
      </c>
      <c r="AQ265" s="29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0.2425</v>
      </c>
      <c r="AR265" s="29" cm="1">
        <f t="array" ref="AR265">$G$10+VLOOKUP($R265,武学奇术!$A:$ZZ,7,FALSE)+SUM(_xlfn.XLOOKUP(S265:AG265,增益!$A:$A,增益!$G:$G,0))</f>
        <v>0</v>
      </c>
      <c r="AS265" s="20" cm="1">
        <f t="array" ref="AS265">VLOOKUP($R265,武学奇术!$A:$ZZ,8,FALSE)+SUM(_xlfn.XLOOKUP(S265:AG265,增益!$A:$A,增益!$H:$H,0))</f>
        <v>0</v>
      </c>
      <c r="AT265">
        <f t="shared" si="45"/>
        <v>538</v>
      </c>
      <c r="AU265">
        <f t="shared" si="46"/>
        <v>1011</v>
      </c>
      <c r="AV265" s="29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0</v>
      </c>
      <c r="AW265" s="29" cm="1">
        <f t="array" ref="AW265">$G$11+VLOOKUP($R265,武学奇术!$A:$ZZ,10,FALSE)+SUM(_xlfn.XLOOKUP(S265:AG265,增益!$A:$A,增益!$J:$J,0))</f>
        <v>0.15</v>
      </c>
      <c r="AX265">
        <f t="shared" si="47"/>
        <v>0</v>
      </c>
      <c r="AY265">
        <f t="shared" si="48"/>
        <v>0</v>
      </c>
      <c r="AZ265" s="29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29" cm="1">
        <f t="array" ref="BA265">$G$12+VLOOKUP($R265,武学奇术!$A:$ZZ,12,FALSE)+SUM(_xlfn.XLOOKUP(S265:AG265,增益!$A:$A,增益!$L:$L,0))</f>
        <v>0</v>
      </c>
      <c r="BB265">
        <f t="shared" si="49"/>
        <v>0</v>
      </c>
      <c r="BC265">
        <f t="shared" si="50"/>
        <v>0</v>
      </c>
      <c r="BD265" s="29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29" cm="1">
        <f t="array" ref="BE265">$G$13+VLOOKUP($R265,武学奇术!$A:$ZZ,14,FALSE)+SUM(_xlfn.XLOOKUP(S265:AG265,增益!$A:$A,增益!$N:$N,0))</f>
        <v>0</v>
      </c>
      <c r="BF265">
        <f t="shared" si="51"/>
        <v>0</v>
      </c>
      <c r="BG265">
        <f t="shared" si="52"/>
        <v>0</v>
      </c>
      <c r="BH265" s="29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29" cm="1">
        <f t="array" ref="BI265">$G$14+VLOOKUP($R265,武学奇术!$A:$ZZ,16,FALSE)+SUM(_xlfn.XLOOKUP(S265:AG265,增益!$A:$A,增益!$P:$P,0))</f>
        <v>0</v>
      </c>
      <c r="BJ265" s="20">
        <f>MIN(IF(VLOOKUP($R265,武学奇术!$A:$ZZ,23,FALSE)=1,100%,$B$8),100%)</f>
        <v>0.8271</v>
      </c>
      <c r="BK265" s="20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0.2249</v>
      </c>
      <c r="BL265" s="20" cm="1">
        <f t="array" ref="BL265">1+$B$13+VLOOKUP($R265,武学奇术!$A:$ZZ,18,FALSE)+SUM(_xlfn.XLOOKUP(S265:AG265,增益!$A:$A,增益!$R:$R,0))</f>
        <v>1.5</v>
      </c>
      <c r="BM265" s="20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0.4459</v>
      </c>
      <c r="BN265" s="20" cm="1">
        <f t="array" ref="BN265">1+$B$14+VLOOKUP($R265,武学奇术!$A:$ZZ,20,FALSE)+SUM(_xlfn.XLOOKUP(S265:AG265,增益!$A:$A,增益!$T:$T,0))</f>
        <v>1.602</v>
      </c>
      <c r="BO265" s="20">
        <f t="shared" si="53"/>
        <v>0.18601479</v>
      </c>
      <c r="BP265" s="20">
        <f t="shared" si="54"/>
        <v>0.27228132</v>
      </c>
      <c r="BQ265" s="20">
        <f>IF(VLOOKUP($R265,武学奇术!$A:$ZZ,22,FALSE)=1,0,(1-$BJ265))*(1-$BM265)</f>
        <v>0.09580389</v>
      </c>
      <c r="BR265" s="20" cm="1">
        <f t="array" ref="BR265">SUM(_xlfn.XLOOKUP(S265:AG265,增益!$A:$A,增益!$W:$W,0))+$I$5</f>
        <v>0.11</v>
      </c>
    </row>
    <row r="266" spans="11:70">
      <c r="K266" s="27">
        <f>$L266*VLOOKUP($R266,武学奇术!$A:$ZZ,31,FALSE)</f>
        <v>16770.6823555187</v>
      </c>
      <c r="L266" s="27">
        <f t="shared" si="44"/>
        <v>16770.6823555187</v>
      </c>
      <c r="M266" s="27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14647.7239151819</v>
      </c>
      <c r="N266" s="27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24646.7463342918</v>
      </c>
      <c r="O266" s="27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9765.1492767879</v>
      </c>
      <c r="P266" s="27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4145.3133261777</v>
      </c>
      <c r="Q266" s="35">
        <v>1</v>
      </c>
      <c r="R266" s="36" t="s">
        <v>166</v>
      </c>
      <c r="S266" s="36" t="s">
        <v>71</v>
      </c>
      <c r="T266" s="36" t="s">
        <v>93</v>
      </c>
      <c r="U266" s="36" t="s">
        <v>71</v>
      </c>
      <c r="V266" s="36" t="s">
        <v>71</v>
      </c>
      <c r="W266" s="36" t="s">
        <v>111</v>
      </c>
      <c r="X266" s="36" t="s">
        <v>71</v>
      </c>
      <c r="Y266" s="36" t="s">
        <v>71</v>
      </c>
      <c r="Z266" s="36" t="s">
        <v>71</v>
      </c>
      <c r="AA266" s="36" t="s">
        <v>71</v>
      </c>
      <c r="AB266" s="36" t="s">
        <v>71</v>
      </c>
      <c r="AC266" s="36" t="s">
        <v>71</v>
      </c>
      <c r="AD266" s="36" t="s">
        <v>72</v>
      </c>
      <c r="AE266" s="36" t="s">
        <v>94</v>
      </c>
      <c r="AF266" s="36" t="s">
        <v>154</v>
      </c>
      <c r="AG266" s="36" t="s">
        <v>120</v>
      </c>
      <c r="AH266" t="str">
        <f>VLOOKUP($R266,武学奇术!$A:$ZZ,25,FALSE)</f>
        <v>心法</v>
      </c>
      <c r="AI266" s="20">
        <f>VLOOKUP($R266,武学奇术!$A:$ZZ,26,FALSE)</f>
        <v>1</v>
      </c>
      <c r="AJ266" s="21">
        <f>VLOOKUP($R266,武学奇术!$A:$ZZ,27,FALSE)*(1+IF(OR($AH266=$F$4,$AH266=$F$5),$B$22,0))</f>
        <v>0</v>
      </c>
      <c r="AK266" s="20">
        <f>VLOOKUP($R266,武学奇术!$A:$ZZ,28,FALSE)</f>
        <v>1</v>
      </c>
      <c r="AL266" s="21">
        <f>VLOOKUP($R266,武学奇术!$A:$ZZ,29,FALSE)*(1+IF(OR($AH266=$F$4,$AH266=$F$5),$B$22,0))</f>
        <v>0</v>
      </c>
      <c r="AM266" s="20" cm="1">
        <f t="array" ref="AM266">$G$3+IFERROR(VLOOKUP($AH266,$F$4:$G$7,2,FALSE),0)+VLOOKUP($R266,武学奇术!$A:$ZZ,2,FALSE)+SUM(_xlfn.XLOOKUP($S266:$AG266,增益!$A:$A,增益!$B:$B,0))</f>
        <v>0.4687</v>
      </c>
      <c r="AN266" s="20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1548.52</v>
      </c>
      <c r="AP266" cm="1">
        <f t="array" ref="AP266">$E$10*(1+$AN266)+VLOOKUP($R266,武学奇术!$A:$ZZ,4,FALSE)+SUM(_xlfn.XLOOKUP($S266:$AG266,增益!$A:$A,增益!$D:$D,0))-$I$2</f>
        <v>6659.56</v>
      </c>
      <c r="AQ266" s="29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0.2425</v>
      </c>
      <c r="AR266" s="29" cm="1">
        <f t="array" ref="AR266">$G$10+VLOOKUP($R266,武学奇术!$A:$ZZ,7,FALSE)+SUM(_xlfn.XLOOKUP(S266:AG266,增益!$A:$A,增益!$G:$G,0))</f>
        <v>0</v>
      </c>
      <c r="AS266" s="20" cm="1">
        <f t="array" ref="AS266">VLOOKUP($R266,武学奇术!$A:$ZZ,8,FALSE)+SUM(_xlfn.XLOOKUP(S266:AG266,增益!$A:$A,增益!$H:$H,0))</f>
        <v>0</v>
      </c>
      <c r="AT266">
        <f t="shared" si="45"/>
        <v>538</v>
      </c>
      <c r="AU266">
        <f t="shared" si="46"/>
        <v>1011</v>
      </c>
      <c r="AV266" s="29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0</v>
      </c>
      <c r="AW266" s="29" cm="1">
        <f t="array" ref="AW266">$G$11+VLOOKUP($R266,武学奇术!$A:$ZZ,10,FALSE)+SUM(_xlfn.XLOOKUP(S266:AG266,增益!$A:$A,增益!$J:$J,0))</f>
        <v>0.15</v>
      </c>
      <c r="AX266">
        <f t="shared" si="47"/>
        <v>0</v>
      </c>
      <c r="AY266">
        <f t="shared" si="48"/>
        <v>0</v>
      </c>
      <c r="AZ266" s="29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29" cm="1">
        <f t="array" ref="BA266">$G$12+VLOOKUP($R266,武学奇术!$A:$ZZ,12,FALSE)+SUM(_xlfn.XLOOKUP(S266:AG266,增益!$A:$A,增益!$L:$L,0))</f>
        <v>0</v>
      </c>
      <c r="BB266">
        <f t="shared" si="49"/>
        <v>0</v>
      </c>
      <c r="BC266">
        <f t="shared" si="50"/>
        <v>0</v>
      </c>
      <c r="BD266" s="29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29" cm="1">
        <f t="array" ref="BE266">$G$13+VLOOKUP($R266,武学奇术!$A:$ZZ,14,FALSE)+SUM(_xlfn.XLOOKUP(S266:AG266,增益!$A:$A,增益!$N:$N,0))</f>
        <v>0</v>
      </c>
      <c r="BF266">
        <f t="shared" si="51"/>
        <v>0</v>
      </c>
      <c r="BG266">
        <f t="shared" si="52"/>
        <v>0</v>
      </c>
      <c r="BH266" s="29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29" cm="1">
        <f t="array" ref="BI266">$G$14+VLOOKUP($R266,武学奇术!$A:$ZZ,16,FALSE)+SUM(_xlfn.XLOOKUP(S266:AG266,增益!$A:$A,增益!$P:$P,0))</f>
        <v>0</v>
      </c>
      <c r="BJ266" s="20">
        <f>MIN(IF(VLOOKUP($R266,武学奇术!$A:$ZZ,23,FALSE)=1,100%,$B$8),100%)</f>
        <v>0.8271</v>
      </c>
      <c r="BK266" s="20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0.2249</v>
      </c>
      <c r="BL266" s="20" cm="1">
        <f t="array" ref="BL266">1+$B$13+VLOOKUP($R266,武学奇术!$A:$ZZ,18,FALSE)+SUM(_xlfn.XLOOKUP(S266:AG266,增益!$A:$A,增益!$R:$R,0))</f>
        <v>1.5</v>
      </c>
      <c r="BM266" s="20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0.4459</v>
      </c>
      <c r="BN266" s="20" cm="1">
        <f t="array" ref="BN266">1+$B$14+VLOOKUP($R266,武学奇术!$A:$ZZ,20,FALSE)+SUM(_xlfn.XLOOKUP(S266:AG266,增益!$A:$A,增益!$T:$T,0))</f>
        <v>1.602</v>
      </c>
      <c r="BO266" s="20">
        <f t="shared" si="53"/>
        <v>0.18601479</v>
      </c>
      <c r="BP266" s="20">
        <f t="shared" si="54"/>
        <v>0.27228132</v>
      </c>
      <c r="BQ266" s="20">
        <f>IF(VLOOKUP($R266,武学奇术!$A:$ZZ,22,FALSE)=1,0,(1-$BJ266))*(1-$BM266)</f>
        <v>0.09580389</v>
      </c>
      <c r="BR266" s="20" cm="1">
        <f t="array" ref="BR266">SUM(_xlfn.XLOOKUP(S266:AG266,增益!$A:$A,增益!$W:$W,0))+$I$5</f>
        <v>0.11</v>
      </c>
    </row>
    <row r="267" spans="11:70">
      <c r="K267" s="27">
        <f>$L267*VLOOKUP($R267,武学奇术!$A:$ZZ,31,FALSE)</f>
        <v>18530.5034331516</v>
      </c>
      <c r="L267" s="27">
        <f t="shared" si="44"/>
        <v>18530.5034331516</v>
      </c>
      <c r="M267" s="27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16184.7736749253</v>
      </c>
      <c r="N267" s="27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27233.0372659714</v>
      </c>
      <c r="O267" s="27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10789.8491166169</v>
      </c>
      <c r="P267" s="27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4580.2991908047</v>
      </c>
      <c r="Q267" s="35">
        <v>1</v>
      </c>
      <c r="R267" s="36" t="s">
        <v>166</v>
      </c>
      <c r="S267" s="36" t="s">
        <v>152</v>
      </c>
      <c r="T267" s="36" t="s">
        <v>93</v>
      </c>
      <c r="U267" s="36" t="s">
        <v>71</v>
      </c>
      <c r="V267" s="36" t="s">
        <v>71</v>
      </c>
      <c r="W267" s="36" t="s">
        <v>111</v>
      </c>
      <c r="X267" s="36" t="s">
        <v>158</v>
      </c>
      <c r="Y267" s="36" t="s">
        <v>71</v>
      </c>
      <c r="Z267" s="36" t="s">
        <v>71</v>
      </c>
      <c r="AA267" s="36" t="s">
        <v>71</v>
      </c>
      <c r="AB267" s="36" t="s">
        <v>71</v>
      </c>
      <c r="AC267" s="36" t="s">
        <v>71</v>
      </c>
      <c r="AD267" s="36" t="s">
        <v>72</v>
      </c>
      <c r="AE267" s="36" t="s">
        <v>94</v>
      </c>
      <c r="AF267" s="36" t="s">
        <v>154</v>
      </c>
      <c r="AG267" s="36" t="s">
        <v>120</v>
      </c>
      <c r="AH267" t="str">
        <f>VLOOKUP($R267,武学奇术!$A:$ZZ,25,FALSE)</f>
        <v>心法</v>
      </c>
      <c r="AI267" s="20">
        <f>VLOOKUP($R267,武学奇术!$A:$ZZ,26,FALSE)</f>
        <v>1</v>
      </c>
      <c r="AJ267" s="21">
        <f>VLOOKUP($R267,武学奇术!$A:$ZZ,27,FALSE)*(1+IF(OR($AH267=$F$4,$AH267=$F$5),$B$22,0))</f>
        <v>0</v>
      </c>
      <c r="AK267" s="20">
        <f>VLOOKUP($R267,武学奇术!$A:$ZZ,28,FALSE)</f>
        <v>1</v>
      </c>
      <c r="AL267" s="21">
        <f>VLOOKUP($R267,武学奇术!$A:$ZZ,29,FALSE)*(1+IF(OR($AH267=$F$4,$AH267=$F$5),$B$22,0))</f>
        <v>0</v>
      </c>
      <c r="AM267" s="20" cm="1">
        <f t="array" ref="AM267">$G$3+IFERROR(VLOOKUP($AH267,$F$4:$G$7,2,FALSE),0)+VLOOKUP($R267,武学奇术!$A:$ZZ,2,FALSE)+SUM(_xlfn.XLOOKUP($S267:$AG267,增益!$A:$A,增益!$B:$B,0))</f>
        <v>0.4887</v>
      </c>
      <c r="AN267" s="20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1548.52</v>
      </c>
      <c r="AP267" cm="1">
        <f t="array" ref="AP267">$E$10*(1+$AN267)+VLOOKUP($R267,武学奇术!$A:$ZZ,4,FALSE)+SUM(_xlfn.XLOOKUP($S267:$AG267,增益!$A:$A,增益!$D:$D,0))-$I$2</f>
        <v>6659.56</v>
      </c>
      <c r="AQ267" s="29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0.2425</v>
      </c>
      <c r="AR267" s="29" cm="1">
        <f t="array" ref="AR267">$G$10+VLOOKUP($R267,武学奇术!$A:$ZZ,7,FALSE)+SUM(_xlfn.XLOOKUP(S267:AG267,增益!$A:$A,增益!$G:$G,0))</f>
        <v>0</v>
      </c>
      <c r="AS267" s="20" cm="1">
        <f t="array" ref="AS267">VLOOKUP($R267,武学奇术!$A:$ZZ,8,FALSE)+SUM(_xlfn.XLOOKUP(S267:AG267,增益!$A:$A,增益!$H:$H,0))</f>
        <v>0</v>
      </c>
      <c r="AT267">
        <f t="shared" si="45"/>
        <v>538</v>
      </c>
      <c r="AU267">
        <f t="shared" si="46"/>
        <v>1011</v>
      </c>
      <c r="AV267" s="29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0</v>
      </c>
      <c r="AW267" s="29" cm="1">
        <f t="array" ref="AW267">$G$11+VLOOKUP($R267,武学奇术!$A:$ZZ,10,FALSE)+SUM(_xlfn.XLOOKUP(S267:AG267,增益!$A:$A,增益!$J:$J,0))</f>
        <v>0.15</v>
      </c>
      <c r="AX267">
        <f t="shared" si="47"/>
        <v>0</v>
      </c>
      <c r="AY267">
        <f t="shared" si="48"/>
        <v>0</v>
      </c>
      <c r="AZ267" s="29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29" cm="1">
        <f t="array" ref="BA267">$G$12+VLOOKUP($R267,武学奇术!$A:$ZZ,12,FALSE)+SUM(_xlfn.XLOOKUP(S267:AG267,增益!$A:$A,增益!$L:$L,0))</f>
        <v>0</v>
      </c>
      <c r="BB267">
        <f t="shared" si="49"/>
        <v>0</v>
      </c>
      <c r="BC267">
        <f t="shared" si="50"/>
        <v>0</v>
      </c>
      <c r="BD267" s="29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29" cm="1">
        <f t="array" ref="BE267">$G$13+VLOOKUP($R267,武学奇术!$A:$ZZ,14,FALSE)+SUM(_xlfn.XLOOKUP(S267:AG267,增益!$A:$A,增益!$N:$N,0))</f>
        <v>0</v>
      </c>
      <c r="BF267">
        <f t="shared" si="51"/>
        <v>0</v>
      </c>
      <c r="BG267">
        <f t="shared" si="52"/>
        <v>0</v>
      </c>
      <c r="BH267" s="29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29" cm="1">
        <f t="array" ref="BI267">$G$14+VLOOKUP($R267,武学奇术!$A:$ZZ,16,FALSE)+SUM(_xlfn.XLOOKUP(S267:AG267,增益!$A:$A,增益!$P:$P,0))</f>
        <v>0</v>
      </c>
      <c r="BJ267" s="20">
        <f>MIN(IF(VLOOKUP($R267,武学奇术!$A:$ZZ,23,FALSE)=1,100%,$B$8),100%)</f>
        <v>0.8271</v>
      </c>
      <c r="BK267" s="20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0.2249</v>
      </c>
      <c r="BL267" s="20" cm="1">
        <f t="array" ref="BL267">1+$B$13+VLOOKUP($R267,武学奇术!$A:$ZZ,18,FALSE)+SUM(_xlfn.XLOOKUP(S267:AG267,增益!$A:$A,增益!$R:$R,0))</f>
        <v>1.5</v>
      </c>
      <c r="BM267" s="20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0.4459</v>
      </c>
      <c r="BN267" s="20" cm="1">
        <f t="array" ref="BN267">1+$B$14+VLOOKUP($R267,武学奇术!$A:$ZZ,20,FALSE)+SUM(_xlfn.XLOOKUP(S267:AG267,增益!$A:$A,增益!$T:$T,0))</f>
        <v>1.602</v>
      </c>
      <c r="BO267" s="20">
        <f t="shared" si="53"/>
        <v>0.18601479</v>
      </c>
      <c r="BP267" s="20">
        <f t="shared" si="54"/>
        <v>0.27228132</v>
      </c>
      <c r="BQ267" s="20">
        <f>IF(VLOOKUP($R267,武学奇术!$A:$ZZ,22,FALSE)=1,0,(1-$BJ267))*(1-$BM267)</f>
        <v>0.09580389</v>
      </c>
      <c r="BR267" s="20" cm="1">
        <f t="array" ref="BR267">SUM(_xlfn.XLOOKUP(S267:AG267,增益!$A:$A,增益!$W:$W,0))+$I$5</f>
        <v>0.21</v>
      </c>
    </row>
  </sheetData>
  <mergeCells count="18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0"/>
  <sheetViews>
    <sheetView workbookViewId="0">
      <pane xSplit="1" topLeftCell="B1" activePane="topRight" state="frozen"/>
      <selection/>
      <selection pane="topRight" activeCell="D10" sqref="D10"/>
    </sheetView>
  </sheetViews>
  <sheetFormatPr defaultColWidth="9" defaultRowHeight="13.5"/>
  <cols>
    <col min="1" max="1" width="21.5" customWidth="1"/>
    <col min="2" max="2" width="9.00833333333333" customWidth="1"/>
    <col min="17" max="17" width="9" style="20"/>
    <col min="26" max="26" width="9.375" style="20"/>
    <col min="27" max="27" width="9" style="21"/>
    <col min="28" max="28" width="9.375" style="20"/>
    <col min="29" max="29" width="9" style="21"/>
  </cols>
  <sheetData>
    <row r="1" spans="1:31">
      <c r="B1" t="s">
        <v>35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0" t="s">
        <v>106</v>
      </c>
      <c r="R1" t="s">
        <v>175</v>
      </c>
      <c r="S1" t="s">
        <v>108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30</v>
      </c>
      <c r="Z1" s="20" t="s">
        <v>31</v>
      </c>
      <c r="AA1" s="21" t="s">
        <v>32</v>
      </c>
      <c r="AB1" s="20" t="s">
        <v>33</v>
      </c>
      <c r="AC1" s="21" t="s">
        <v>34</v>
      </c>
      <c r="AD1" t="s">
        <v>181</v>
      </c>
      <c r="AE1" t="s">
        <v>133</v>
      </c>
    </row>
    <row r="2" customFormat="1" spans="1:31">
      <c r="A2" t="s">
        <v>182</v>
      </c>
      <c r="B2" s="22"/>
      <c r="F2">
        <v>15</v>
      </c>
      <c r="I2">
        <v>15</v>
      </c>
      <c r="Q2" s="20"/>
      <c r="R2" s="22"/>
      <c r="T2" s="22">
        <v>0.18</v>
      </c>
      <c r="Y2" s="23" t="s">
        <v>79</v>
      </c>
      <c r="Z2" s="24">
        <f>13.2%*(1+期望!$B$22/10)</f>
        <v>0.13728</v>
      </c>
      <c r="AA2" s="25"/>
      <c r="AB2" s="24">
        <f>19.8%*(1+期望!$B$22/10)</f>
        <v>0.20592</v>
      </c>
      <c r="AC2" s="21"/>
      <c r="AD2" t="s">
        <v>183</v>
      </c>
      <c r="AE2">
        <v>0.6</v>
      </c>
    </row>
    <row r="3" spans="1:31">
      <c r="A3" t="s">
        <v>164</v>
      </c>
      <c r="B3" s="22"/>
      <c r="F3">
        <v>15</v>
      </c>
      <c r="I3">
        <v>15</v>
      </c>
      <c r="R3" s="22"/>
      <c r="T3" s="22">
        <v>0.18</v>
      </c>
      <c r="Y3" s="23" t="s">
        <v>79</v>
      </c>
      <c r="Z3" s="24">
        <f>16.5%*(1+期望!$B$22/10)</f>
        <v>0.1716</v>
      </c>
      <c r="AA3" s="25"/>
      <c r="AB3" s="24">
        <f>24.75%*(1+期望!$B$22/10)</f>
        <v>0.2574</v>
      </c>
      <c r="AD3" t="s">
        <v>183</v>
      </c>
      <c r="AE3">
        <v>0.6</v>
      </c>
    </row>
    <row r="4" customFormat="1" spans="1:31">
      <c r="A4" t="s">
        <v>165</v>
      </c>
      <c r="B4" s="22"/>
      <c r="F4">
        <v>15</v>
      </c>
      <c r="I4">
        <v>15</v>
      </c>
      <c r="Q4" s="20"/>
      <c r="R4" s="22"/>
      <c r="T4" s="22">
        <v>0.18</v>
      </c>
      <c r="Y4" s="23" t="s">
        <v>79</v>
      </c>
      <c r="Z4" s="24">
        <f>19.8%*(1+期望!$B$22/10)</f>
        <v>0.20592</v>
      </c>
      <c r="AA4" s="25"/>
      <c r="AB4" s="24">
        <f>29.7%*(1+期望!$B$22/10)</f>
        <v>0.30888</v>
      </c>
      <c r="AC4" s="21"/>
      <c r="AD4" t="s">
        <v>183</v>
      </c>
      <c r="AE4">
        <v>0.6</v>
      </c>
    </row>
    <row r="5" spans="1:31">
      <c r="A5" t="s">
        <v>163</v>
      </c>
      <c r="B5" s="22"/>
      <c r="F5">
        <v>15</v>
      </c>
      <c r="I5">
        <v>15</v>
      </c>
      <c r="R5" s="22"/>
      <c r="T5" s="22">
        <v>0.18</v>
      </c>
      <c r="Y5" s="23" t="s">
        <v>79</v>
      </c>
      <c r="Z5" s="24">
        <f>26.4%*(1+期望!$B$22/10)</f>
        <v>0.27456</v>
      </c>
      <c r="AA5" s="25"/>
      <c r="AB5" s="24">
        <f>39.6%*(1+期望!$B$22/10)</f>
        <v>0.41184</v>
      </c>
      <c r="AD5" t="s">
        <v>183</v>
      </c>
      <c r="AE5">
        <v>0.6</v>
      </c>
    </row>
    <row r="6" spans="1:31">
      <c r="A6" t="s">
        <v>162</v>
      </c>
      <c r="B6" s="22"/>
      <c r="F6">
        <v>15</v>
      </c>
      <c r="I6">
        <v>15</v>
      </c>
      <c r="R6" s="22"/>
      <c r="T6" s="22">
        <v>0.18</v>
      </c>
      <c r="Y6" s="23" t="s">
        <v>79</v>
      </c>
      <c r="Z6" s="24">
        <f>33%*(1+期望!$B$22/10)</f>
        <v>0.3432</v>
      </c>
      <c r="AA6" s="25"/>
      <c r="AB6" s="24">
        <f>49.5%*(1+期望!$B$22/10)</f>
        <v>0.5148</v>
      </c>
      <c r="AD6" t="s">
        <v>183</v>
      </c>
      <c r="AE6">
        <v>0.6</v>
      </c>
    </row>
    <row r="7" spans="1:31">
      <c r="A7" t="s">
        <v>105</v>
      </c>
      <c r="F7">
        <v>15</v>
      </c>
      <c r="I7">
        <v>15</v>
      </c>
      <c r="R7" s="22"/>
      <c r="T7" s="22">
        <v>0.18</v>
      </c>
      <c r="Y7" s="23" t="s">
        <v>79</v>
      </c>
      <c r="Z7" s="24">
        <f>240%*(1+期望!$B$22/10)</f>
        <v>2.496</v>
      </c>
      <c r="AA7" s="25"/>
      <c r="AB7" s="24">
        <f>360%*(1+期望!$B$22/10)</f>
        <v>3.744</v>
      </c>
      <c r="AD7" t="s">
        <v>183</v>
      </c>
      <c r="AE7">
        <v>0.6</v>
      </c>
    </row>
    <row r="8" customFormat="1" spans="1:31">
      <c r="A8" t="s">
        <v>98</v>
      </c>
      <c r="F8">
        <v>15</v>
      </c>
      <c r="I8">
        <v>15</v>
      </c>
      <c r="Q8" s="20"/>
      <c r="R8" s="22"/>
      <c r="T8" s="22">
        <v>0.18</v>
      </c>
      <c r="X8">
        <v>1</v>
      </c>
      <c r="Y8" s="23" t="s">
        <v>79</v>
      </c>
      <c r="Z8" s="24">
        <f>240%*(1+期望!$B$22/10)</f>
        <v>2.496</v>
      </c>
      <c r="AA8" s="25"/>
      <c r="AB8" s="24">
        <f>360%*(1+期望!$B$22/10)</f>
        <v>3.744</v>
      </c>
      <c r="AC8" s="21"/>
      <c r="AD8" t="s">
        <v>183</v>
      </c>
      <c r="AE8">
        <v>0.6</v>
      </c>
    </row>
    <row r="9" spans="1:31">
      <c r="A9" t="s">
        <v>155</v>
      </c>
      <c r="R9" s="22"/>
      <c r="Y9" s="23" t="s">
        <v>79</v>
      </c>
      <c r="Z9" s="20">
        <f>31.66%+47.5%</f>
        <v>0.7916</v>
      </c>
      <c r="AB9" s="20">
        <f>Z9*1.5</f>
        <v>1.1874</v>
      </c>
      <c r="AE9">
        <v>1</v>
      </c>
    </row>
    <row r="10" spans="1:31">
      <c r="A10" t="s">
        <v>107</v>
      </c>
      <c r="R10" s="22"/>
      <c r="Y10" s="23" t="s">
        <v>79</v>
      </c>
      <c r="Z10" s="20">
        <v>0.625</v>
      </c>
      <c r="AB10" s="20">
        <f>Z10*1.5</f>
        <v>0.9375</v>
      </c>
      <c r="AE10">
        <v>1</v>
      </c>
    </row>
    <row r="11" spans="1:31">
      <c r="A11" t="s">
        <v>184</v>
      </c>
      <c r="R11" s="22"/>
      <c r="Y11" s="23" t="s">
        <v>79</v>
      </c>
      <c r="Z11" s="23">
        <f>32.53%+48.8%</f>
        <v>0.8133</v>
      </c>
      <c r="AA11" s="26"/>
      <c r="AB11" s="20">
        <f>Z11*1.5</f>
        <v>1.21995</v>
      </c>
      <c r="AE11">
        <v>1</v>
      </c>
    </row>
    <row r="12" customFormat="1" spans="1:31">
      <c r="A12" t="s">
        <v>81</v>
      </c>
      <c r="Q12" s="20"/>
      <c r="R12" s="22"/>
      <c r="Y12" s="23" t="s">
        <v>79</v>
      </c>
      <c r="Z12" s="23">
        <f>54.41%*2+40.81%*2+81.61%</f>
        <v>2.7205</v>
      </c>
      <c r="AA12" s="26">
        <f>150*2+112*2+225</f>
        <v>749</v>
      </c>
      <c r="AB12" s="23">
        <f>81.61%*2+61.21%*2+122.42%</f>
        <v>4.0806</v>
      </c>
      <c r="AC12" s="21">
        <f>82*2+61*2+123</f>
        <v>409</v>
      </c>
      <c r="AE12">
        <v>1</v>
      </c>
    </row>
    <row r="13" customFormat="1" spans="1:31">
      <c r="A13" t="s">
        <v>149</v>
      </c>
      <c r="Q13" s="20"/>
      <c r="R13" s="22"/>
      <c r="Y13" s="23" t="s">
        <v>79</v>
      </c>
      <c r="Z13" s="23">
        <v>0.5441</v>
      </c>
      <c r="AA13" s="26">
        <v>195</v>
      </c>
      <c r="AB13" s="23">
        <v>0.8161</v>
      </c>
      <c r="AC13" s="21">
        <v>106.6</v>
      </c>
      <c r="AE13">
        <v>1</v>
      </c>
    </row>
    <row r="14" customFormat="1" spans="1:31">
      <c r="A14" t="s">
        <v>92</v>
      </c>
      <c r="Q14" s="20"/>
      <c r="R14" s="22"/>
      <c r="Y14" s="23" t="s">
        <v>79</v>
      </c>
      <c r="Z14" s="23">
        <v>1.1781</v>
      </c>
      <c r="AA14" s="26">
        <v>326</v>
      </c>
      <c r="AB14" s="23">
        <v>1.7672</v>
      </c>
      <c r="AC14" s="21">
        <v>177</v>
      </c>
      <c r="AE14">
        <v>1</v>
      </c>
    </row>
    <row r="15" customFormat="1" spans="1:31">
      <c r="A15" t="s">
        <v>185</v>
      </c>
      <c r="Q15" s="20"/>
      <c r="R15" s="22"/>
      <c r="Y15" s="23" t="s">
        <v>79</v>
      </c>
      <c r="Z15" s="23">
        <f t="shared" ref="Z15:AC15" si="0">Z16*0.5</f>
        <v>0.94015</v>
      </c>
      <c r="AA15" s="26">
        <f t="shared" si="0"/>
        <v>260</v>
      </c>
      <c r="AB15" s="23">
        <f t="shared" si="0"/>
        <v>1.41025</v>
      </c>
      <c r="AC15" s="26">
        <f t="shared" si="0"/>
        <v>141.5</v>
      </c>
      <c r="AE15">
        <v>1</v>
      </c>
    </row>
    <row r="16" customFormat="1" spans="1:31">
      <c r="A16" t="s">
        <v>186</v>
      </c>
      <c r="Q16" s="20"/>
      <c r="R16" s="22"/>
      <c r="Y16" t="s">
        <v>79</v>
      </c>
      <c r="Z16" s="20">
        <v>1.8803</v>
      </c>
      <c r="AA16" s="21">
        <v>520</v>
      </c>
      <c r="AB16" s="20">
        <v>2.8205</v>
      </c>
      <c r="AC16" s="21">
        <v>283</v>
      </c>
      <c r="AE16">
        <v>1</v>
      </c>
    </row>
    <row r="17" spans="1:31">
      <c r="A17" t="s">
        <v>88</v>
      </c>
      <c r="R17" s="22"/>
      <c r="Y17" t="s">
        <v>86</v>
      </c>
      <c r="Z17" s="20">
        <f>32.1%*5+53.51%</f>
        <v>2.1401</v>
      </c>
      <c r="AA17" s="21">
        <f>88*5+148</f>
        <v>588</v>
      </c>
      <c r="AB17" s="20">
        <f>48.15%*5+80.26%</f>
        <v>3.2101</v>
      </c>
      <c r="AC17" s="21">
        <f>48*5+80</f>
        <v>320</v>
      </c>
      <c r="AE17">
        <v>1</v>
      </c>
    </row>
    <row r="18" spans="1:31">
      <c r="A18" t="s">
        <v>187</v>
      </c>
      <c r="R18" s="22"/>
      <c r="Y18" t="s">
        <v>86</v>
      </c>
      <c r="Z18" s="20">
        <v>1.7122</v>
      </c>
      <c r="AA18" s="21">
        <v>474</v>
      </c>
      <c r="AB18" s="20">
        <v>2.5683</v>
      </c>
      <c r="AC18" s="21">
        <v>258</v>
      </c>
      <c r="AE18">
        <v>1</v>
      </c>
    </row>
    <row r="19" spans="1:31">
      <c r="A19" t="s">
        <v>188</v>
      </c>
      <c r="R19" s="22"/>
      <c r="Y19" t="s">
        <v>86</v>
      </c>
      <c r="Z19" s="20">
        <v>2.1402</v>
      </c>
      <c r="AA19" s="21">
        <v>593</v>
      </c>
      <c r="AB19" s="20">
        <v>3.2103</v>
      </c>
      <c r="AC19" s="21">
        <v>323</v>
      </c>
      <c r="AE19">
        <v>1</v>
      </c>
    </row>
    <row r="20" spans="1:31">
      <c r="A20" t="s">
        <v>110</v>
      </c>
      <c r="R20" s="22"/>
      <c r="Y20" t="s">
        <v>86</v>
      </c>
      <c r="Z20" s="20">
        <v>2.5683</v>
      </c>
      <c r="AA20" s="21">
        <v>711</v>
      </c>
      <c r="AB20" s="20">
        <v>3.8524</v>
      </c>
      <c r="AC20" s="21">
        <v>387</v>
      </c>
      <c r="AE20">
        <v>1</v>
      </c>
    </row>
    <row r="21" spans="1:31">
      <c r="A21" t="s">
        <v>189</v>
      </c>
      <c r="R21" s="22"/>
      <c r="Y21" t="s">
        <v>86</v>
      </c>
      <c r="Z21" s="20">
        <f>375.26%/3</f>
        <v>1.25086666666667</v>
      </c>
      <c r="AA21" s="21">
        <f>1038/3</f>
        <v>346</v>
      </c>
      <c r="AB21" s="20">
        <f>562.9%/3</f>
        <v>1.87633333333333</v>
      </c>
      <c r="AC21" s="21">
        <f>565/3</f>
        <v>188.333333333333</v>
      </c>
      <c r="AE21">
        <v>1</v>
      </c>
    </row>
    <row r="22" customFormat="1" spans="1:31">
      <c r="A22" t="s">
        <v>190</v>
      </c>
      <c r="Q22" s="20"/>
      <c r="R22" s="22"/>
      <c r="Y22" t="s">
        <v>86</v>
      </c>
      <c r="Z22" s="20">
        <f>375.26%/10</f>
        <v>0.37526</v>
      </c>
      <c r="AA22" s="21">
        <f>1038/10</f>
        <v>103.8</v>
      </c>
      <c r="AB22" s="20">
        <f>562.9%/10</f>
        <v>0.5629</v>
      </c>
      <c r="AC22" s="21">
        <f>565/10</f>
        <v>56.5</v>
      </c>
      <c r="AE22">
        <v>1</v>
      </c>
    </row>
    <row r="23" spans="1:31">
      <c r="A23" t="s">
        <v>191</v>
      </c>
      <c r="R23" s="22"/>
      <c r="Y23" t="s">
        <v>97</v>
      </c>
      <c r="Z23" s="20">
        <f>198.72%*2</f>
        <v>3.9744</v>
      </c>
      <c r="AA23" s="21">
        <f>491*2</f>
        <v>982</v>
      </c>
      <c r="AB23" s="20">
        <v>5.9613</v>
      </c>
      <c r="AE23">
        <v>1</v>
      </c>
    </row>
    <row r="24" spans="1:31">
      <c r="A24" t="s">
        <v>157</v>
      </c>
      <c r="R24" s="22"/>
      <c r="Y24" t="s">
        <v>97</v>
      </c>
      <c r="Z24" s="20">
        <f>74.52%*2</f>
        <v>1.4904</v>
      </c>
      <c r="AA24" s="21">
        <f>184*2</f>
        <v>368</v>
      </c>
      <c r="AB24" s="20">
        <v>2.2353</v>
      </c>
      <c r="AE24">
        <v>1</v>
      </c>
    </row>
    <row r="25" customFormat="1" spans="1:31">
      <c r="A25" t="s">
        <v>192</v>
      </c>
      <c r="B25" s="22"/>
      <c r="R25" s="22"/>
      <c r="Y25" t="s">
        <v>97</v>
      </c>
      <c r="Z25" s="20">
        <f>254.69%*2.5*1.3</f>
        <v>8.277425</v>
      </c>
      <c r="AA25" s="21">
        <f>473*1.5*2.3</f>
        <v>1631.85</v>
      </c>
      <c r="AB25" s="20">
        <v>12.4161375</v>
      </c>
      <c r="AC25" s="21"/>
      <c r="AE25">
        <v>1</v>
      </c>
    </row>
    <row r="26" spans="1:31">
      <c r="A26" t="s">
        <v>156</v>
      </c>
      <c r="B26" s="22"/>
      <c r="R26" s="22"/>
      <c r="Y26" t="s">
        <v>91</v>
      </c>
      <c r="Z26" s="20">
        <f>319.83%+390.91%</f>
        <v>7.1074</v>
      </c>
      <c r="AA26" s="21">
        <f>594+726</f>
        <v>1320</v>
      </c>
      <c r="AB26" s="20">
        <v>10.6596</v>
      </c>
      <c r="AE26">
        <v>1</v>
      </c>
    </row>
    <row r="27" spans="1:31">
      <c r="A27" t="s">
        <v>151</v>
      </c>
      <c r="B27" s="22">
        <v>0.57</v>
      </c>
      <c r="R27" s="22"/>
      <c r="V27">
        <v>1</v>
      </c>
      <c r="Y27" t="s">
        <v>91</v>
      </c>
      <c r="Z27" s="20">
        <f>1636.39%*2.2*0.7</f>
        <v>25.200406</v>
      </c>
      <c r="AA27" s="21">
        <f>3049*2.2*0.7</f>
        <v>4695.46</v>
      </c>
      <c r="AB27" s="20">
        <f t="shared" ref="AB27:AB38" si="1">Z27*1.5</f>
        <v>37.800609</v>
      </c>
      <c r="AE27">
        <v>1</v>
      </c>
    </row>
    <row r="28" spans="1:31">
      <c r="A28" t="s">
        <v>193</v>
      </c>
      <c r="R28" s="22"/>
      <c r="Y28" t="s">
        <v>97</v>
      </c>
      <c r="Z28" s="20">
        <f>(416%+772.56%)*2</f>
        <v>23.7712</v>
      </c>
      <c r="AA28" s="21">
        <f>(773+1436)*2</f>
        <v>4418</v>
      </c>
      <c r="AB28" s="20">
        <f t="shared" si="1"/>
        <v>35.6568</v>
      </c>
      <c r="AE28">
        <v>1</v>
      </c>
    </row>
    <row r="29" customFormat="1" spans="1:31">
      <c r="A29" t="s">
        <v>194</v>
      </c>
      <c r="B29" s="22"/>
      <c r="Q29" s="20"/>
      <c r="R29" s="22"/>
      <c r="Y29" t="s">
        <v>91</v>
      </c>
      <c r="Z29" s="20">
        <f>256.96%/2</f>
        <v>1.2848</v>
      </c>
      <c r="AA29" s="21">
        <f>483/2</f>
        <v>241.5</v>
      </c>
      <c r="AB29" s="20">
        <f t="shared" si="1"/>
        <v>1.9272</v>
      </c>
      <c r="AC29" s="21"/>
      <c r="AE29">
        <v>1</v>
      </c>
    </row>
    <row r="30" customFormat="1" spans="1:31">
      <c r="A30" t="s">
        <v>77</v>
      </c>
      <c r="Q30" s="20"/>
      <c r="R30" s="22"/>
      <c r="Y30" t="s">
        <v>91</v>
      </c>
      <c r="Z30" s="20">
        <f>256.96%+141.59%</f>
        <v>3.9855</v>
      </c>
      <c r="AA30" s="21">
        <f>483+266</f>
        <v>749</v>
      </c>
      <c r="AB30" s="20">
        <f t="shared" si="1"/>
        <v>5.97825</v>
      </c>
      <c r="AC30" s="21"/>
      <c r="AE30">
        <v>1</v>
      </c>
    </row>
    <row r="31" customFormat="1" spans="1:31">
      <c r="A31" t="s">
        <v>159</v>
      </c>
      <c r="Q31" s="20"/>
      <c r="R31" s="22"/>
      <c r="T31" s="22">
        <v>0.18</v>
      </c>
      <c r="Y31" t="s">
        <v>91</v>
      </c>
      <c r="Z31" s="20">
        <v>0.236</v>
      </c>
      <c r="AA31" s="21">
        <v>44</v>
      </c>
      <c r="AB31" s="20">
        <f t="shared" si="1"/>
        <v>0.354</v>
      </c>
      <c r="AC31" s="21"/>
      <c r="AE31">
        <v>0.6</v>
      </c>
    </row>
    <row r="32" customFormat="1" spans="1:31">
      <c r="A32" t="s">
        <v>195</v>
      </c>
      <c r="B32" s="22"/>
      <c r="Q32" s="20"/>
      <c r="R32" s="22"/>
      <c r="Y32" t="s">
        <v>91</v>
      </c>
      <c r="Z32" s="20">
        <f>272.37%/2</f>
        <v>1.36185</v>
      </c>
      <c r="AA32" s="21">
        <f>508/2</f>
        <v>254</v>
      </c>
      <c r="AB32" s="20">
        <f t="shared" si="1"/>
        <v>2.042775</v>
      </c>
      <c r="AC32" s="21"/>
      <c r="AE32">
        <v>1</v>
      </c>
    </row>
    <row r="33" customFormat="1" spans="1:31">
      <c r="A33" t="s">
        <v>196</v>
      </c>
      <c r="Q33" s="20"/>
      <c r="R33" s="22"/>
      <c r="Y33" t="s">
        <v>91</v>
      </c>
      <c r="Z33" s="20">
        <f>272.37%+150.08%</f>
        <v>4.2245</v>
      </c>
      <c r="AA33" s="21">
        <f>508+280</f>
        <v>788</v>
      </c>
      <c r="AB33" s="20">
        <f t="shared" si="1"/>
        <v>6.33675</v>
      </c>
      <c r="AC33" s="21"/>
      <c r="AE33">
        <v>1</v>
      </c>
    </row>
    <row r="34" customFormat="1" spans="1:31">
      <c r="A34" t="s">
        <v>197</v>
      </c>
      <c r="Q34" s="20"/>
      <c r="R34" s="22"/>
      <c r="T34" s="22">
        <v>0.18</v>
      </c>
      <c r="Y34" t="s">
        <v>91</v>
      </c>
      <c r="Z34" s="20">
        <v>0.2957</v>
      </c>
      <c r="AA34" s="21">
        <v>55</v>
      </c>
      <c r="AB34" s="20">
        <f t="shared" si="1"/>
        <v>0.44355</v>
      </c>
      <c r="AC34" s="21"/>
      <c r="AE34">
        <v>0.6</v>
      </c>
    </row>
    <row r="35" customFormat="1" spans="1:31">
      <c r="A35" t="s">
        <v>142</v>
      </c>
      <c r="Q35" s="20"/>
      <c r="R35" s="22"/>
      <c r="Y35" t="s">
        <v>91</v>
      </c>
      <c r="Z35" s="20">
        <v>1.0238</v>
      </c>
      <c r="AA35" s="21">
        <v>189</v>
      </c>
      <c r="AB35" s="20">
        <f t="shared" si="1"/>
        <v>1.5357</v>
      </c>
      <c r="AC35" s="21"/>
      <c r="AE35">
        <v>1</v>
      </c>
    </row>
    <row r="36" customFormat="1" spans="1:31">
      <c r="A36" t="s">
        <v>146</v>
      </c>
      <c r="B36" s="22">
        <v>0.8</v>
      </c>
      <c r="Q36" s="20"/>
      <c r="R36" s="22"/>
      <c r="Y36" t="s">
        <v>91</v>
      </c>
      <c r="Z36" s="20">
        <v>1.7063</v>
      </c>
      <c r="AA36" s="21">
        <v>315</v>
      </c>
      <c r="AB36" s="20">
        <f t="shared" si="1"/>
        <v>2.55945</v>
      </c>
      <c r="AC36" s="21"/>
      <c r="AE36">
        <v>1</v>
      </c>
    </row>
    <row r="37" customFormat="1" spans="1:31">
      <c r="A37" t="s">
        <v>198</v>
      </c>
      <c r="Q37" s="20"/>
      <c r="R37" s="22"/>
      <c r="Y37" t="s">
        <v>91</v>
      </c>
      <c r="Z37" s="20">
        <v>0.702</v>
      </c>
      <c r="AA37" s="21">
        <v>129</v>
      </c>
      <c r="AB37" s="20">
        <f t="shared" si="1"/>
        <v>1.053</v>
      </c>
      <c r="AC37" s="21"/>
      <c r="AE37">
        <v>1</v>
      </c>
    </row>
    <row r="38" customFormat="1" spans="1:31">
      <c r="A38" t="s">
        <v>144</v>
      </c>
      <c r="Q38" s="20"/>
      <c r="R38" s="22"/>
      <c r="Y38" t="s">
        <v>91</v>
      </c>
      <c r="Z38" s="20">
        <v>1.6088</v>
      </c>
      <c r="AA38" s="21">
        <v>297</v>
      </c>
      <c r="AB38" s="20">
        <f t="shared" si="1"/>
        <v>2.4132</v>
      </c>
      <c r="AC38" s="21"/>
      <c r="AE38">
        <v>1</v>
      </c>
    </row>
    <row r="39" spans="1:31">
      <c r="A39" t="s">
        <v>166</v>
      </c>
      <c r="R39" s="22"/>
      <c r="Y39" t="s">
        <v>199</v>
      </c>
      <c r="Z39" s="20">
        <v>1</v>
      </c>
      <c r="AB39" s="20">
        <v>1</v>
      </c>
      <c r="AE39">
        <v>1</v>
      </c>
    </row>
    <row r="40" spans="1:31">
      <c r="A40" t="s">
        <v>71</v>
      </c>
      <c r="Y40" t="s">
        <v>199</v>
      </c>
      <c r="Z40" s="20">
        <v>0</v>
      </c>
      <c r="AB40" s="20">
        <v>0</v>
      </c>
      <c r="AE4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"/>
  <sheetViews>
    <sheetView workbookViewId="0">
      <selection activeCell="P34" sqref="P3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0"/>
    <col min="24" max="24" width="9.375" style="20"/>
    <col min="25" max="25" width="9" style="21"/>
  </cols>
  <sheetData>
    <row r="1" spans="1:25">
      <c r="B1" t="s">
        <v>35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106</v>
      </c>
      <c r="R1" t="s">
        <v>175</v>
      </c>
      <c r="S1" t="s">
        <v>108</v>
      </c>
      <c r="T1" t="s">
        <v>176</v>
      </c>
      <c r="U1" s="20" t="s">
        <v>113</v>
      </c>
      <c r="V1" s="21" t="s">
        <v>114</v>
      </c>
      <c r="W1" s="20" t="s">
        <v>66</v>
      </c>
    </row>
    <row r="2" customFormat="1" spans="1:25">
      <c r="A2" t="s">
        <v>82</v>
      </c>
      <c r="B2" s="22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3"/>
      <c r="X2" s="23"/>
      <c r="Y2" s="21"/>
    </row>
    <row r="3" spans="1:25">
      <c r="A3" t="s">
        <v>158</v>
      </c>
      <c r="B3" s="22">
        <v>0.02</v>
      </c>
      <c r="R3" s="22"/>
      <c r="W3" s="23"/>
    </row>
    <row r="4" spans="1:25">
      <c r="A4" t="s">
        <v>72</v>
      </c>
      <c r="B4" s="22"/>
      <c r="R4" s="22"/>
      <c r="W4" s="23">
        <v>0.05</v>
      </c>
    </row>
    <row r="5" spans="1:25">
      <c r="A5" t="s">
        <v>152</v>
      </c>
      <c r="B5" s="22"/>
      <c r="W5" s="20">
        <v>0.1</v>
      </c>
    </row>
    <row r="6" spans="1:25">
      <c r="A6" t="s">
        <v>153</v>
      </c>
      <c r="B6" s="22"/>
      <c r="J6" s="22">
        <f>IF(期望!$D$18="√",10%,0)</f>
        <v>0.1</v>
      </c>
      <c r="W6" s="20">
        <f>IF(期望!$D$18="√",10%,0)</f>
        <v>0.1</v>
      </c>
      <c r="X6" s="23"/>
    </row>
    <row r="7" customFormat="1" spans="1:25">
      <c r="A7" t="s">
        <v>160</v>
      </c>
      <c r="B7" s="22">
        <v>0.1</v>
      </c>
      <c r="W7" s="20"/>
      <c r="X7" s="23"/>
      <c r="Y7" s="21"/>
    </row>
    <row r="8" customFormat="1" spans="1:25">
      <c r="A8" t="s">
        <v>161</v>
      </c>
      <c r="B8" s="22">
        <v>0.3</v>
      </c>
      <c r="W8" s="20"/>
      <c r="X8" s="23"/>
      <c r="Y8" s="21"/>
    </row>
    <row r="9" spans="1:25">
      <c r="A9" t="s">
        <v>100</v>
      </c>
      <c r="B9" s="22">
        <v>0.5</v>
      </c>
      <c r="X9" s="23"/>
    </row>
    <row r="10" spans="1:25">
      <c r="A10" t="s">
        <v>111</v>
      </c>
      <c r="C10">
        <v>31</v>
      </c>
      <c r="D10">
        <v>31</v>
      </c>
      <c r="R10" s="22"/>
      <c r="X10" s="23"/>
    </row>
    <row r="11" spans="1:25">
      <c r="A11" t="s">
        <v>73</v>
      </c>
      <c r="B11" s="22">
        <v>0.1</v>
      </c>
      <c r="R11" s="22"/>
      <c r="X11" s="23"/>
    </row>
    <row r="12" spans="1:25">
      <c r="A12" t="s">
        <v>94</v>
      </c>
      <c r="B12" s="22">
        <v>0.3</v>
      </c>
      <c r="R12" s="22"/>
      <c r="X12" s="23"/>
    </row>
    <row r="13" spans="1:25">
      <c r="A13" t="s">
        <v>93</v>
      </c>
      <c r="B13" s="20">
        <v>0.015</v>
      </c>
      <c r="R13" s="22"/>
      <c r="S13" s="22"/>
      <c r="T13" s="22">
        <v>0.1</v>
      </c>
      <c r="V13" s="22">
        <v>0.03</v>
      </c>
      <c r="X13" s="23"/>
    </row>
    <row r="14" customFormat="1" spans="1:25">
      <c r="A14" t="s">
        <v>99</v>
      </c>
      <c r="B14" s="20">
        <v>0.115</v>
      </c>
      <c r="R14" s="22"/>
      <c r="S14" s="22"/>
      <c r="T14" s="22">
        <v>0.1</v>
      </c>
      <c r="V14" s="22">
        <v>0.03</v>
      </c>
      <c r="W14" s="20"/>
      <c r="X14" s="23"/>
      <c r="Y14" s="21"/>
    </row>
    <row r="15" customFormat="1" spans="1:25">
      <c r="A15" t="s">
        <v>101</v>
      </c>
      <c r="B15" s="22">
        <v>0.15</v>
      </c>
      <c r="R15" s="22"/>
      <c r="S15" s="22"/>
      <c r="W15" s="20"/>
      <c r="X15" s="23"/>
      <c r="Y15" s="21"/>
    </row>
    <row r="16" spans="1:25">
      <c r="A16" t="s">
        <v>74</v>
      </c>
      <c r="R16" s="22"/>
      <c r="S16" s="22"/>
      <c r="T16" s="22">
        <f>IF(期望!$F$16="√",1%,0)</f>
        <v>0.01</v>
      </c>
      <c r="X16" s="23"/>
    </row>
    <row r="17" spans="1:24">
      <c r="A17" t="s">
        <v>83</v>
      </c>
      <c r="R17" s="22"/>
      <c r="S17" s="22"/>
      <c r="T17" s="22">
        <f>IF(期望!$F$16="√",2%,0)</f>
        <v>0.02</v>
      </c>
      <c r="X17" s="23"/>
    </row>
    <row r="18" spans="1:24">
      <c r="A18" t="s">
        <v>95</v>
      </c>
      <c r="R18" s="22"/>
      <c r="S18" s="22"/>
      <c r="T18" s="22">
        <f>IF(期望!$F$16="√",3%,0)</f>
        <v>0.03</v>
      </c>
      <c r="X18" s="23"/>
    </row>
    <row r="19" spans="1:24">
      <c r="A19" t="s">
        <v>116</v>
      </c>
      <c r="R19" s="22"/>
      <c r="S19" s="22"/>
      <c r="T19" s="22">
        <f>IF(期望!$F$16="√",4%,0)</f>
        <v>0.04</v>
      </c>
      <c r="X19" s="23"/>
    </row>
    <row r="20" spans="1:24">
      <c r="A20" t="s">
        <v>134</v>
      </c>
      <c r="R20" s="22"/>
      <c r="S20" s="22"/>
      <c r="T20" s="22">
        <f>IF(期望!$F$16="√",5%,0)</f>
        <v>0.05</v>
      </c>
      <c r="X20" s="23"/>
    </row>
    <row r="21" spans="1:24">
      <c r="A21" t="s">
        <v>145</v>
      </c>
      <c r="R21" s="22"/>
      <c r="S21" s="22"/>
      <c r="T21" s="22">
        <f>IF(期望!$F$16="√",6%,0)</f>
        <v>0.06</v>
      </c>
      <c r="X21" s="23"/>
    </row>
    <row r="22" spans="1:24">
      <c r="A22" t="s">
        <v>147</v>
      </c>
      <c r="R22" s="22"/>
      <c r="S22" s="22"/>
      <c r="T22" s="22">
        <f>IF(期望!$F$16="√",7%,0)</f>
        <v>0.07</v>
      </c>
      <c r="X22" s="23"/>
    </row>
    <row r="23" spans="1:24">
      <c r="A23" t="s">
        <v>148</v>
      </c>
      <c r="R23" s="22"/>
      <c r="S23" s="22"/>
      <c r="T23" s="22">
        <f>IF(期望!$F$16="√",8%,0)</f>
        <v>0.08</v>
      </c>
      <c r="X23" s="23"/>
    </row>
    <row r="24" spans="1:24">
      <c r="A24" t="s">
        <v>150</v>
      </c>
      <c r="R24" s="22"/>
      <c r="S24" s="22"/>
      <c r="T24" s="22">
        <f>IF(期望!$F$16="√",9%,0)</f>
        <v>0.09</v>
      </c>
      <c r="X24" s="23"/>
    </row>
    <row r="25" spans="1:24">
      <c r="A25" t="s">
        <v>154</v>
      </c>
      <c r="R25" s="22"/>
      <c r="S25" s="22"/>
      <c r="T25" s="22">
        <f>IF(期望!$F$16="√",10%,0)</f>
        <v>0.1</v>
      </c>
      <c r="X25" s="23"/>
    </row>
    <row r="26" spans="1:24">
      <c r="A26" t="s">
        <v>75</v>
      </c>
      <c r="B26" s="22">
        <f>1%*IF(期望!$C$22="易水歌",1,0)</f>
        <v>0.01</v>
      </c>
      <c r="F26">
        <f>2*IF(期望!$C$22="易水歌",1,0)</f>
        <v>2</v>
      </c>
      <c r="X26" s="23"/>
    </row>
    <row r="27" spans="1:24">
      <c r="A27" t="s">
        <v>84</v>
      </c>
      <c r="B27" s="22">
        <f>2%*IF(期望!$C$22="易水歌",1,0)</f>
        <v>0.02</v>
      </c>
      <c r="F27">
        <f>4*IF(期望!$C$22="易水歌",1,0)</f>
        <v>4</v>
      </c>
      <c r="X27" s="23"/>
    </row>
    <row r="28" spans="1:24">
      <c r="A28" t="s">
        <v>89</v>
      </c>
      <c r="B28" s="22">
        <f>3%*IF(期望!$C$22="易水歌",1,0)</f>
        <v>0.03</v>
      </c>
      <c r="F28">
        <f>6*IF(期望!$C$22="易水歌",1,0)</f>
        <v>6</v>
      </c>
      <c r="X28" s="23"/>
    </row>
    <row r="29" spans="1:24">
      <c r="A29" t="s">
        <v>112</v>
      </c>
      <c r="B29" s="22">
        <f>4%*IF(期望!$C$22="易水歌",1,0)</f>
        <v>0.04</v>
      </c>
      <c r="F29">
        <f>8*IF(期望!$C$22="易水歌",1,0)</f>
        <v>8</v>
      </c>
      <c r="X29" s="23"/>
    </row>
    <row r="30" spans="1:24">
      <c r="A30" t="s">
        <v>120</v>
      </c>
      <c r="B30" s="22">
        <f>5%*IF(期望!$C$22="易水歌",1,0)</f>
        <v>0.05</v>
      </c>
      <c r="F30">
        <f>10*IF(期望!$C$22="易水歌",1,0)</f>
        <v>10</v>
      </c>
      <c r="X30" s="23"/>
    </row>
    <row r="31" spans="1:24">
      <c r="A31" t="s">
        <v>71</v>
      </c>
      <c r="X31" s="23"/>
    </row>
    <row r="32" spans="1:24">
      <c r="X32" s="2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3" sqref="C3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200</v>
      </c>
      <c r="B1" s="3" t="s">
        <v>201</v>
      </c>
      <c r="C1" s="4" t="s">
        <v>202</v>
      </c>
      <c r="D1" s="5" t="s">
        <v>203</v>
      </c>
    </row>
    <row r="2" spans="1:4">
      <c r="A2" s="6">
        <v>0.1</v>
      </c>
      <c r="B2" s="7">
        <v>1</v>
      </c>
      <c r="C2" s="8" t="s">
        <v>204</v>
      </c>
      <c r="D2" s="4" t="s">
        <v>205</v>
      </c>
    </row>
    <row r="3" spans="1:4">
      <c r="A3" s="9"/>
      <c r="B3" s="10">
        <v>2</v>
      </c>
      <c r="C3" s="11" t="s">
        <v>206</v>
      </c>
    </row>
    <row r="4" spans="1:4">
      <c r="A4" s="9"/>
      <c r="B4" s="12">
        <v>3</v>
      </c>
      <c r="C4" s="11" t="s">
        <v>207</v>
      </c>
    </row>
    <row r="5" spans="1:4">
      <c r="A5" s="9"/>
      <c r="B5" s="12">
        <v>4</v>
      </c>
      <c r="C5" s="11" t="s">
        <v>208</v>
      </c>
    </row>
    <row r="6" ht="14.25" spans="1:4">
      <c r="A6" s="13"/>
      <c r="B6" s="14">
        <v>5</v>
      </c>
      <c r="C6" s="15" t="s">
        <v>209</v>
      </c>
    </row>
    <row r="7" ht="14.25" spans="1:4">
      <c r="A7" s="16">
        <v>0.2</v>
      </c>
      <c r="B7" s="17">
        <v>1</v>
      </c>
      <c r="C7" s="18" t="s">
        <v>210</v>
      </c>
    </row>
    <row r="8" ht="14.25" spans="1:4">
      <c r="A8" s="16">
        <v>0.3</v>
      </c>
      <c r="B8" s="17">
        <v>1</v>
      </c>
      <c r="C8" s="18" t="s">
        <v>210</v>
      </c>
    </row>
    <row r="9" ht="14.25" spans="1:4">
      <c r="A9" s="16">
        <v>0.4</v>
      </c>
      <c r="B9" s="17">
        <v>1</v>
      </c>
      <c r="C9" s="18" t="s">
        <v>211</v>
      </c>
    </row>
    <row r="10" ht="14.25" spans="1:4">
      <c r="A10" s="16">
        <v>0.5</v>
      </c>
      <c r="B10" s="17">
        <v>1</v>
      </c>
      <c r="C10" s="18" t="s">
        <v>212</v>
      </c>
    </row>
    <row r="11" ht="14.25" spans="1:4">
      <c r="A11" s="16">
        <v>0.6</v>
      </c>
      <c r="B11" s="17">
        <v>1</v>
      </c>
      <c r="C11" s="18" t="s">
        <v>213</v>
      </c>
    </row>
    <row r="12" ht="14.25" spans="1:4">
      <c r="A12" s="16">
        <v>0.7</v>
      </c>
      <c r="B12" s="17">
        <v>1</v>
      </c>
      <c r="C12" s="18" t="s">
        <v>214</v>
      </c>
    </row>
    <row r="13" ht="14.25" spans="1:4">
      <c r="A13" s="16">
        <v>1</v>
      </c>
      <c r="B13" s="17">
        <v>1</v>
      </c>
      <c r="C13" s="18" t="s">
        <v>215</v>
      </c>
    </row>
    <row r="14" ht="14.25" spans="1:4">
      <c r="A14" s="16">
        <v>1.1</v>
      </c>
      <c r="B14" s="17">
        <v>1</v>
      </c>
      <c r="C14" s="18" t="s">
        <v>216</v>
      </c>
    </row>
    <row r="15" ht="14.25" spans="1:4">
      <c r="A15" s="16">
        <v>1.2</v>
      </c>
      <c r="B15" s="17">
        <v>1</v>
      </c>
      <c r="C15" s="18" t="s">
        <v>217</v>
      </c>
    </row>
    <row r="16" spans="1:4">
      <c r="A16" s="19"/>
      <c r="B16" s="12"/>
      <c r="C16" s="12"/>
    </row>
    <row r="17" spans="1:3">
      <c r="A17" s="19"/>
      <c r="B17" s="12"/>
      <c r="C17" s="12"/>
    </row>
    <row r="18" spans="1:3">
      <c r="A18" s="19"/>
      <c r="B18" s="12"/>
      <c r="C18" s="12"/>
    </row>
    <row r="19" spans="1:3">
      <c r="A19" s="19"/>
      <c r="B19" s="12"/>
      <c r="C19" s="12"/>
    </row>
    <row r="20" spans="1:3">
      <c r="A20" s="19"/>
      <c r="B20" s="12"/>
      <c r="C20" s="12"/>
    </row>
    <row r="21" spans="1:3">
      <c r="A21" s="19"/>
      <c r="B21" s="12"/>
      <c r="C21" s="12"/>
    </row>
    <row r="22" spans="1:3">
      <c r="A22" s="19"/>
      <c r="B22" s="12"/>
      <c r="C22" s="12"/>
    </row>
    <row r="23" spans="1:3">
      <c r="A23" s="19"/>
      <c r="B23" s="12"/>
      <c r="C23" s="12"/>
    </row>
  </sheetData>
  <mergeCells count="1">
    <mergeCell ref="A2:A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2026-06-29T18:35:01Z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