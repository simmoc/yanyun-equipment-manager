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4"/>
  </bookViews>
  <sheets>
    <sheet name="期望" sheetId="1" r:id="rId1"/>
    <sheet name="RD" sheetId="8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<sst xmlns="http://schemas.openxmlformats.org/spreadsheetml/2006/main" count="4868" uniqueCount="248">
  <si>
    <t>最小攻击</t>
  </si>
  <si>
    <t>最大攻击</t>
  </si>
  <si>
    <t>穿透</t>
  </si>
  <si>
    <t>伤害加成</t>
  </si>
  <si>
    <t>武学属性</t>
  </si>
  <si>
    <t>牵丝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</si>
  <si>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</si>
  <si>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</si>
  <si>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</si>
  <si>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</si>
  <si>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</si>
  <si>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</si>
  <si>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</si>
  <si>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</si>
  <si>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</si>
  <si>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</si>
  <si>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</si>
  <si>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</si>
  <si>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</si>
  <si>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</si>
  <si>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</si>
  <si>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</si>
  <si>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</si>
  <si>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</si>
  <si>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</si>
  <si>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</si>
  <si>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</si>
  <si>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</si>
  <si>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</si>
  <si>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</si>
  <si>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</si>
  <si>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</si>
  <si>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</si>
  <si>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</si>
  <si>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</si>
  <si>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</si>
  <si>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</si>
  <si>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</si>
  <si>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</si>
  <si>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</si>
  <si>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</si>
  <si>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</si>
  <si>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</si>
  <si>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</si>
  <si>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</si>
  <si>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</si>
  <si>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</si>
  <si>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</si>
  <si>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</si>
  <si>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</si>
  <si>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</si>
  <si>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</si>
  <si>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</si>
  <si>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</si>
  <si>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</si>
  <si>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</si>
  <si>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</si>
  <si>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</si>
  <si>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</si>
  <si>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</si>
  <si>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</si>
  <si>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</si>
  <si>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</si>
  <si>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</si>
  <si>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</si>
  <si>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</si>
  <si>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</si>
  <si>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</si>
  <si>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烟柳</t>
  </si>
  <si>
    <t>防御</t>
  </si>
  <si>
    <t>萧呤千浪流星</t>
  </si>
  <si>
    <t>易水歌1层</t>
  </si>
  <si>
    <t>沧海帖1层</t>
  </si>
  <si>
    <t>N/a</t>
  </si>
  <si>
    <t>近战笛</t>
  </si>
  <si>
    <t>无惧</t>
  </si>
  <si>
    <t>鸣金</t>
  </si>
  <si>
    <t>外抗</t>
  </si>
  <si>
    <t>易水歌2层</t>
  </si>
  <si>
    <t>沧海帖2层</t>
  </si>
  <si>
    <t>惧刃(拐)</t>
  </si>
  <si>
    <t>裂石</t>
  </si>
  <si>
    <t>伞</t>
  </si>
  <si>
    <t>属抗</t>
  </si>
  <si>
    <t>易水歌3层</t>
  </si>
  <si>
    <t>沧海帖3层</t>
  </si>
  <si>
    <t>小纵地</t>
  </si>
  <si>
    <t>扇</t>
  </si>
  <si>
    <t>副本天赋</t>
  </si>
  <si>
    <t>易水歌4层</t>
  </si>
  <si>
    <t>沧海帖4层</t>
  </si>
  <si>
    <t>破竹</t>
  </si>
  <si>
    <t>单体奇术</t>
  </si>
  <si>
    <t>易水歌5层</t>
  </si>
  <si>
    <t>沧海帖5层</t>
  </si>
  <si>
    <t>无相</t>
  </si>
  <si>
    <t>群体奇术</t>
  </si>
  <si>
    <t>伞Q</t>
  </si>
  <si>
    <t>风墙(弹道)</t>
  </si>
  <si>
    <t>精准率</t>
  </si>
  <si>
    <t>实际属性</t>
  </si>
  <si>
    <t>战斗时间</t>
  </si>
  <si>
    <t>连中</t>
  </si>
  <si>
    <t>会心率</t>
  </si>
  <si>
    <t>伞重击派生</t>
  </si>
  <si>
    <t>会意率</t>
  </si>
  <si>
    <t>总伤</t>
  </si>
  <si>
    <t>丢伞</t>
  </si>
  <si>
    <t>直接会心率</t>
  </si>
  <si>
    <t>伞～每秒</t>
  </si>
  <si>
    <t>直接会意率</t>
  </si>
  <si>
    <t>DPS</t>
  </si>
  <si>
    <t>断石5额外</t>
  </si>
  <si>
    <t>阴阳</t>
  </si>
  <si>
    <t>会心伤害加成</t>
  </si>
  <si>
    <t>会意伤害加成</t>
  </si>
  <si>
    <t>RDPS</t>
  </si>
  <si>
    <t>全武增</t>
  </si>
  <si>
    <t>团队增益</t>
  </si>
  <si>
    <t>首领增</t>
  </si>
  <si>
    <t>威</t>
  </si>
  <si>
    <t>√</t>
  </si>
  <si>
    <t>沧海帖</t>
  </si>
  <si>
    <t>毕业率</t>
  </si>
  <si>
    <t>伞增</t>
  </si>
  <si>
    <t>尘</t>
  </si>
  <si>
    <t>所恨年年</t>
  </si>
  <si>
    <t>扇～</t>
  </si>
  <si>
    <t>扇增</t>
  </si>
  <si>
    <t>虹</t>
  </si>
  <si>
    <t>扇Q</t>
  </si>
  <si>
    <t>单体奇术增</t>
  </si>
  <si>
    <t>钧</t>
  </si>
  <si>
    <t>扇强化重击派生</t>
  </si>
  <si>
    <t>风墙(追击)</t>
  </si>
  <si>
    <t>群体奇术增</t>
  </si>
  <si>
    <t>影</t>
  </si>
  <si>
    <t>弹道定音</t>
  </si>
  <si>
    <t>第四心法</t>
  </si>
  <si>
    <t>断石覆盖</t>
  </si>
  <si>
    <t>全蹭</t>
  </si>
  <si>
    <t>固伤加成</t>
  </si>
  <si>
    <t>易水歌</t>
  </si>
  <si>
    <t>食物加成</t>
  </si>
  <si>
    <t>沧海帖6层</t>
  </si>
  <si>
    <t>扇左蓄</t>
  </si>
  <si>
    <t>5惊春</t>
  </si>
  <si>
    <t>风墙</t>
  </si>
  <si>
    <t>笛</t>
  </si>
  <si>
    <t>沧海帖7层</t>
  </si>
  <si>
    <t>抬手</t>
  </si>
  <si>
    <t>沧海帖8层</t>
  </si>
  <si>
    <t>伞派生</t>
  </si>
  <si>
    <t>惧</t>
  </si>
  <si>
    <t>沧海帖9层</t>
  </si>
  <si>
    <t>切武器</t>
  </si>
  <si>
    <t>闪避</t>
  </si>
  <si>
    <t>断</t>
  </si>
  <si>
    <t>沧海帖10层</t>
  </si>
  <si>
    <t>大纵地</t>
  </si>
  <si>
    <t>强化派生</t>
  </si>
  <si>
    <t>骑龙回马</t>
  </si>
  <si>
    <t>龙卷风+后摇打断</t>
  </si>
  <si>
    <t>连中(气竭)</t>
  </si>
  <si>
    <t>断石5</t>
  </si>
  <si>
    <t>气竭</t>
  </si>
  <si>
    <t>真气失衡</t>
  </si>
  <si>
    <t>神龙吐火暗灼2hit</t>
  </si>
  <si>
    <t>神龙吐火暗灼dot</t>
  </si>
  <si>
    <t>惊神(拐)</t>
  </si>
  <si>
    <t>移动闪避</t>
  </si>
  <si>
    <t>太白醉月1-4</t>
  </si>
  <si>
    <t>太白醉月5</t>
  </si>
  <si>
    <t>太白醉月暗灼</t>
  </si>
  <si>
    <t>骑龙</t>
  </si>
  <si>
    <t>酒</t>
  </si>
  <si>
    <t>喷火</t>
  </si>
  <si>
    <t>气</t>
  </si>
  <si>
    <t>拳5</t>
  </si>
  <si>
    <t>大纵</t>
  </si>
  <si>
    <t>伞左蓄每秒</t>
  </si>
  <si>
    <t>移动</t>
  </si>
  <si>
    <t>空中左蓄</t>
  </si>
  <si>
    <t>龙卷风</t>
  </si>
  <si>
    <t>低真气追击</t>
  </si>
  <si>
    <t>拳4</t>
  </si>
  <si>
    <t>拳1</t>
  </si>
  <si>
    <t>易水歌6重</t>
  </si>
  <si>
    <t>×</t>
  </si>
  <si>
    <t>特殊技定音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</si>
  <si>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</si>
  <si>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</si>
  <si>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</si>
  <si>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</si>
  <si>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</si>
  <si>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</si>
  <si>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</si>
  <si>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</si>
  <si>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</si>
  <si>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</si>
  <si>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</si>
  <si>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</si>
  <si>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</si>
  <si>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弹道</t>
  </si>
  <si>
    <t>扇普通重击派生</t>
  </si>
  <si>
    <t>萧呤千浪AOE</t>
  </si>
  <si>
    <t>衍九矢9hit</t>
  </si>
  <si>
    <t>叶龙骧首(32层+60%HP)</t>
  </si>
  <si>
    <t>墨洗翰华(打盾)</t>
  </si>
  <si>
    <t>神龙吐火暗灼1hit</t>
  </si>
  <si>
    <t>神龙吐火1hit</t>
  </si>
  <si>
    <t>神龙吐火2hit</t>
  </si>
  <si>
    <t>神龙吐火dot</t>
  </si>
  <si>
    <t>太白醉月爆燃</t>
  </si>
  <si>
    <t>心法</t>
  </si>
  <si>
    <t>远程笛</t>
  </si>
  <si>
    <t>断石1</t>
  </si>
  <si>
    <t>断石2</t>
  </si>
  <si>
    <t>断石3</t>
  </si>
  <si>
    <t>断石4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</si>
  <si>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</si>
  <si>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</si>
  <si>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</si>
  <si>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</si>
  <si>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</si>
  <si>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</si>
  <si>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</si>
  <si>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</si>
  <si>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轴为苍假象轴,默认风墙全自动蹭断不蹭-4.4%,实际dps应低于计算面板2-3%</t>
  </si>
  <si>
    <t>四下蹭点每下蹭不到-1.1%</t>
  </si>
  <si>
    <t>短时战斗断石大于春雷,易水必带</t>
  </si>
  <si>
    <t>将所恨年年从尘增益区划入公共增益区以观测实际RD</t>
  </si>
  <si>
    <t>修正bug</t>
  </si>
  <si>
    <t>修正尘加成</t>
  </si>
  <si>
    <t>微调了轴,用扇～+强化派生替换龙卷+普通派生,+0.5%</t>
  </si>
  <si>
    <t>更新蕤宾叠奏上半数值,将铁花替换成了无惧</t>
  </si>
  <si>
    <t>轴变更为拏云蛇慢气轴</t>
  </si>
  <si>
    <t>增加了鸣金影提供的rd,约0.4%</t>
  </si>
  <si>
    <t>单体增&gt;全武,阴阳不如用2个骑龙替换2个龙卷</t>
  </si>
  <si>
    <t>气竭保证不谢花覆盖的情况下全力奇术</t>
  </si>
  <si>
    <t>气竭放风墙以外的非奇术技能不如换个武学</t>
  </si>
  <si>
    <t>满血叶龙=2套拳,在不满血且精元溢出的的情况下使用叶龙替换2套拳能多10万</t>
  </si>
  <si>
    <t>2个单增情况下</t>
  </si>
  <si>
    <t>dps:五拳=拉矢=1.2骑龙</t>
  </si>
  <si>
    <t>精元利用率:五拳=1.2骑龙=2拉矢</t>
  </si>
  <si>
    <t>由于奇术占比大幅提升,当前版本小外玉满值约领先0.1%,下半会被大外反超</t>
  </si>
  <si>
    <t>且不存在满值可能,所以默认依然为大外</t>
  </si>
  <si>
    <t>修正九剑rd,约0.75%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</si>
</sst>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5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 applyFill="1">
      <alignment vertical="center"/>
    </xf>
    <xf numFmtId="2" fontId="0" fillId="0" borderId="0" xfId="0" applyNumberFormat="1" applyFill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36"/>
  <sheetViews>
    <sheetView workbookViewId="0">
      <selection activeCell="I39" sqref="I39"/>
    </sheetView>
  </sheetViews>
  <sheetFormatPr defaultColWidth="9" defaultRowHeight="13.5"/>
  <cols>
    <col min="1" max="1" width="12.875" customWidth="1"/>
    <col min="4" max="4" width="9.375"/>
    <col min="11" max="15" width="12.625" style="28" customWidth="1"/>
    <col min="17" max="17" width="24.625" style="34" customWidth="1"/>
    <col min="18" max="32" width="9" style="34"/>
    <col min="34" max="34" width="9" style="27"/>
    <col min="35" max="35" width="9" style="28"/>
    <col min="36" max="36" width="9" style="27"/>
    <col min="37" max="37" width="9" style="28"/>
    <col min="38" max="39" width="9" style="27"/>
    <col min="42" max="44" width="9" style="35"/>
    <col min="47" max="48" width="9" style="35"/>
    <col min="61" max="65" width="9" style="27"/>
    <col min="66" max="67" width="9.00833333333333" style="27" customWidth="1"/>
    <col min="68" max="69" width="9" style="27"/>
  </cols>
  <sheetData>
    <row r="1" spans="1:69">
      <c r="A1" s="36"/>
      <c r="B1" s="37" t="s">
        <v>0</v>
      </c>
      <c r="C1" s="37" t="s">
        <v>1</v>
      </c>
      <c r="D1" s="37" t="s">
        <v>2</v>
      </c>
      <c r="E1" s="38" t="s">
        <v>3</v>
      </c>
      <c r="F1" s="39" t="s">
        <v>4</v>
      </c>
      <c r="G1" s="40" t="s">
        <v>5</v>
      </c>
      <c r="H1" s="39" t="s">
        <v>6</v>
      </c>
      <c r="I1" s="40"/>
      <c r="K1" s="41" t="s">
        <v>7</v>
      </c>
      <c r="L1" s="41" t="s">
        <v>8</v>
      </c>
      <c r="M1" s="41" t="s">
        <v>9</v>
      </c>
      <c r="N1" s="41" t="s">
        <v>10</v>
      </c>
      <c r="O1" s="41" t="s">
        <v>11</v>
      </c>
      <c r="P1" s="42" t="s">
        <v>12</v>
      </c>
      <c r="Q1" s="43" t="s">
        <v>13</v>
      </c>
      <c r="R1" s="43" t="s">
        <v>14</v>
      </c>
      <c r="S1" s="43" t="s">
        <v>15</v>
      </c>
      <c r="T1" s="43" t="s">
        <v>16</v>
      </c>
      <c r="U1" s="43" t="s">
        <v>17</v>
      </c>
      <c r="V1" s="43" t="s">
        <v>18</v>
      </c>
      <c r="W1" s="43" t="s">
        <v>19</v>
      </c>
      <c r="X1" s="43" t="s">
        <v>20</v>
      </c>
      <c r="Y1" s="43" t="s">
        <v>21</v>
      </c>
      <c r="Z1" s="43" t="s">
        <v>22</v>
      </c>
      <c r="AA1" s="43" t="s">
        <v>23</v>
      </c>
      <c r="AB1" s="43" t="s">
        <v>24</v>
      </c>
      <c r="AC1" s="43" t="s">
        <v>25</v>
      </c>
      <c r="AD1" s="43" t="s">
        <v>26</v>
      </c>
      <c r="AE1" s="43" t="s">
        <v>27</v>
      </c>
      <c r="AF1" s="43" t="s">
        <v>28</v>
      </c>
      <c r="AG1" t="s">
        <v>29</v>
      </c>
      <c r="AH1" s="27" t="s">
        <v>30</v>
      </c>
      <c r="AI1" s="28" t="s">
        <v>31</v>
      </c>
      <c r="AJ1" s="27" t="s">
        <v>32</v>
      </c>
      <c r="AK1" s="28" t="s">
        <v>33</v>
      </c>
      <c r="AL1" s="27" t="s">
        <v>34</v>
      </c>
      <c r="AM1" s="27" t="s">
        <v>35</v>
      </c>
      <c r="AN1" t="s">
        <v>36</v>
      </c>
      <c r="AO1" t="s">
        <v>37</v>
      </c>
      <c r="AP1" s="35" t="s">
        <v>38</v>
      </c>
      <c r="AQ1" s="35" t="s">
        <v>39</v>
      </c>
      <c r="AR1" s="35" t="s">
        <v>40</v>
      </c>
      <c r="AS1" t="s">
        <v>41</v>
      </c>
      <c r="AT1" t="s">
        <v>42</v>
      </c>
      <c r="AU1" s="35" t="s">
        <v>43</v>
      </c>
      <c r="AV1" s="35" t="s">
        <v>44</v>
      </c>
      <c r="AW1" t="s">
        <v>45</v>
      </c>
      <c r="AX1" t="s">
        <v>46</v>
      </c>
      <c r="AY1" s="35" t="s">
        <v>47</v>
      </c>
      <c r="AZ1" s="35" t="s">
        <v>48</v>
      </c>
      <c r="BA1" t="s">
        <v>49</v>
      </c>
      <c r="BB1" t="s">
        <v>50</v>
      </c>
      <c r="BC1" s="35" t="s">
        <v>51</v>
      </c>
      <c r="BD1" s="35" t="s">
        <v>52</v>
      </c>
      <c r="BE1" t="s">
        <v>53</v>
      </c>
      <c r="BF1" t="s">
        <v>54</v>
      </c>
      <c r="BG1" s="35" t="s">
        <v>55</v>
      </c>
      <c r="BH1" s="35" t="s">
        <v>56</v>
      </c>
      <c r="BI1" s="27" t="s">
        <v>57</v>
      </c>
      <c r="BJ1" s="27" t="s">
        <v>58</v>
      </c>
      <c r="BK1" s="27" t="s">
        <v>59</v>
      </c>
      <c r="BL1" s="27" t="s">
        <v>60</v>
      </c>
      <c r="BM1" s="27" t="s">
        <v>61</v>
      </c>
      <c r="BN1" s="27" t="s">
        <v>62</v>
      </c>
      <c r="BO1" s="27" t="s">
        <v>63</v>
      </c>
      <c r="BP1" s="27" t="s">
        <v>64</v>
      </c>
      <c r="BQ1" s="27" t="s">
        <v>65</v>
      </c>
    </row>
    <row r="2" spans="1:69">
      <c r="A2" s="44" t="s">
        <v>66</v>
      </c>
      <c r="B2" s="34">
        <v>2133.7</v>
      </c>
      <c r="C2" s="34">
        <v>5409.5</v>
      </c>
      <c r="D2" s="34">
        <v>63.5</v>
      </c>
      <c r="E2" s="45"/>
      <c r="F2" s="46" t="s">
        <v>67</v>
      </c>
      <c r="G2" s="47" t="s">
        <v>68</v>
      </c>
      <c r="H2" s="48" t="s">
        <v>69</v>
      </c>
      <c r="I2" s="11">
        <f>620*(1-IF(F17="√",0.06,0)-IF(D20="√",0.04,0))</f>
        <v>558</v>
      </c>
      <c r="K2" s="41">
        <f>($L2*$BN2+$M2*$BL2+$N2*$BO2+$O2*$BP2)</f>
        <v>19336.2506044607</v>
      </c>
      <c r="L2" s="41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弹道",$B$21,0))*(1+$BQ2)</f>
        <v>18900.5351705518</v>
      </c>
      <c r="M2" s="41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弹道",$B$21,0))*(1+$BQ2)</f>
        <v>24139.3501844845</v>
      </c>
      <c r="N2" s="41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弹道",$B$21,0))*(1+$BQ2)</f>
        <v>12516.9107089747</v>
      </c>
      <c r="O2" s="41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弹道",$B$21,0))*(1+$BQ2)</f>
        <v>7152.82128129427</v>
      </c>
      <c r="P2" s="42">
        <v>1</v>
      </c>
      <c r="Q2" s="43" t="s">
        <v>70</v>
      </c>
      <c r="R2" s="43" t="s">
        <v>71</v>
      </c>
      <c r="S2" s="43" t="s">
        <v>72</v>
      </c>
      <c r="T2" s="43" t="s">
        <v>73</v>
      </c>
      <c r="U2" s="43" t="s">
        <v>73</v>
      </c>
      <c r="V2" s="43" t="s">
        <v>73</v>
      </c>
      <c r="W2" s="43" t="s">
        <v>73</v>
      </c>
      <c r="X2" s="43" t="s">
        <v>73</v>
      </c>
      <c r="Y2" s="43" t="s">
        <v>73</v>
      </c>
      <c r="Z2" s="43" t="s">
        <v>73</v>
      </c>
      <c r="AA2" s="43" t="s">
        <v>74</v>
      </c>
      <c r="AB2" s="43" t="s">
        <v>73</v>
      </c>
      <c r="AC2" s="43" t="s">
        <v>73</v>
      </c>
      <c r="AD2" s="43" t="s">
        <v>73</v>
      </c>
      <c r="AE2" s="43" t="s">
        <v>73</v>
      </c>
      <c r="AF2" s="43" t="s">
        <v>75</v>
      </c>
      <c r="AG2" t="str">
        <f>VLOOKUP($Q2,武学奇术!$A:$ZZ,25,FALSE)</f>
        <v>群体奇术</v>
      </c>
      <c r="AH2" s="27">
        <f>VLOOKUP($Q2,武学奇术!$A:$ZZ,26,FALSE)</f>
        <v>1.4904</v>
      </c>
      <c r="AI2" s="28">
        <f>VLOOKUP($Q2,武学奇术!$A:$ZZ,27,FALSE)*(1+IF(OR($AG2=$F$4,$AG2=$F$5),$B$22,0))</f>
        <v>368</v>
      </c>
      <c r="AJ2" s="27">
        <f>VLOOKUP($Q2,武学奇术!$A:$ZZ,28,FALSE)</f>
        <v>2.2353</v>
      </c>
      <c r="AK2" s="28">
        <f>VLOOKUP($Q2,武学奇术!$A:$ZZ,29,FALSE)*(1+IF(OR($AG2=$F$4,$AG2=$F$5),$B$22,0))</f>
        <v>0</v>
      </c>
      <c r="AL2" s="27" cm="1">
        <f t="array" ref="AL2">$G$3+IFERROR(VLOOKUP($AG2,$F$4:$G$7,2,FALSE),0)+VLOOKUP($Q2,武学奇术!$A:$ZZ,2,FALSE)+SUM(_xlfn.XLOOKUP($R2:$AF2,增益!$A:$A,增益!$B:$B,0))</f>
        <v>0.2137</v>
      </c>
      <c r="AM2" s="27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1775.7</v>
      </c>
      <c r="AO2" cm="1">
        <f t="array" ref="AO2">$E$10*(1+$AM2)+VLOOKUP($Q2,武学奇术!$A:$ZZ,4,FALSE)+SUM(_xlfn.XLOOKUP($R2:$AF2,增益!$A:$A,增益!$D:$D,0))-$I$2</f>
        <v>5251.5</v>
      </c>
      <c r="AP2" s="35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0.3025</v>
      </c>
      <c r="AQ2" s="35" cm="1">
        <f t="array" ref="AQ2">$G$10+VLOOKUP($Q2,武学奇术!$A:$ZZ,7,FALSE)+SUM(_xlfn.XLOOKUP(R2:AF2,增益!$A:$A,增益!$G:$G,0))</f>
        <v>0</v>
      </c>
      <c r="AR2" s="27" cm="1">
        <f t="array" ref="AR2">VLOOKUP($Q2,武学奇术!$A:$ZZ,8,FALSE)+SUM(_xlfn.XLOOKUP(R2:AF2,增益!$A:$A,增益!$H:$H,0))</f>
        <v>0</v>
      </c>
      <c r="AS2">
        <f>$D$11*(1+$AR2)</f>
        <v>0</v>
      </c>
      <c r="AT2">
        <f>$E$11*(1+$AR2)</f>
        <v>0</v>
      </c>
      <c r="AU2" s="35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-0.3</v>
      </c>
      <c r="AV2" s="35" cm="1">
        <f t="array" ref="AV2">$G$11+VLOOKUP($Q2,武学奇术!$A:$ZZ,10,FALSE)+SUM(_xlfn.XLOOKUP(R2:AF2,增益!$A:$A,增益!$J:$J,0))</f>
        <v>0</v>
      </c>
      <c r="AW2">
        <f>$D$12*(1+$AR2)</f>
        <v>0</v>
      </c>
      <c r="AX2">
        <f>$E$12*(1+$AR2)</f>
        <v>0</v>
      </c>
      <c r="AY2" s="35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-0.3</v>
      </c>
      <c r="AZ2" s="35" cm="1">
        <f t="array" ref="AZ2">$G$12+VLOOKUP($Q2,武学奇术!$A:$ZZ,12,FALSE)+SUM(_xlfn.XLOOKUP(R2:AF2,增益!$A:$A,增益!$L:$L,0))</f>
        <v>0</v>
      </c>
      <c r="BA2">
        <f>$D$13*(1+$AR2)</f>
        <v>538</v>
      </c>
      <c r="BB2">
        <f>$E$13*(1+$AR2)</f>
        <v>1011</v>
      </c>
      <c r="BC2" s="35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0</v>
      </c>
      <c r="BD2" s="35" cm="1">
        <f t="array" ref="BD2">$G$13+VLOOKUP($Q2,武学奇术!$A:$ZZ,14,FALSE)+SUM(_xlfn.XLOOKUP(R2:AF2,增益!$A:$A,增益!$N:$N,0))</f>
        <v>0.15</v>
      </c>
      <c r="BE2">
        <f>$D$14*(1+$AR2)</f>
        <v>0</v>
      </c>
      <c r="BF2">
        <f>$E$14*(1+$AR2)</f>
        <v>0</v>
      </c>
      <c r="BG2" s="35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-0.3</v>
      </c>
      <c r="BH2" s="35" cm="1">
        <f t="array" ref="BH2">$G$14+VLOOKUP($Q2,武学奇术!$A:$ZZ,16,FALSE)+SUM(_xlfn.XLOOKUP(R2:AF2,增益!$A:$A,增益!$P:$P,0))</f>
        <v>0</v>
      </c>
      <c r="BI2" s="27">
        <f>MIN(IF(VLOOKUP($Q2,武学奇术!$A:$ZZ,23,FALSE)=1,100%,$B$8),100%)</f>
        <v>0.9969</v>
      </c>
      <c r="BJ2" s="27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0.9137</v>
      </c>
      <c r="BK2" s="27" cm="1">
        <f t="array" ref="BK2">1+$B$13+VLOOKUP($Q2,武学奇术!$A:$ZZ,18,FALSE)+SUM(_xlfn.XLOOKUP(R2:AF2,增益!$A:$A,增益!$R:$R,0))</f>
        <v>1.51</v>
      </c>
      <c r="BL2" s="27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0.0895</v>
      </c>
      <c r="BM2" s="27" cm="1">
        <f t="array" ref="BM2">1+$B$14+VLOOKUP($Q2,武学奇术!$A:$ZZ,20,FALSE)+SUM(_xlfn.XLOOKUP(R2:AF2,增益!$A:$A,增益!$T:$T,0))</f>
        <v>1.35</v>
      </c>
      <c r="BN2" s="27">
        <f>MIN((1-BL2)*BI2,BI2*BJ2)</f>
        <v>0.90767745</v>
      </c>
      <c r="BO2" s="27">
        <f>1-BL2-BN2-BP2</f>
        <v>-1.30104260698261e-17</v>
      </c>
      <c r="BP2" s="27">
        <f>IF(VLOOKUP($Q2,武学奇术!$A:$ZZ,22,FALSE)=1,0,(1-$BI2))*(1-$BL2)</f>
        <v>0.00282254999999999</v>
      </c>
      <c r="BQ2" s="27" cm="1">
        <f t="array" ref="BQ2">SUM(_xlfn.XLOOKUP(R2:AF2,增益!$A:$A,增益!$W:$W,0))+$I$5</f>
        <v>0.11</v>
      </c>
    </row>
    <row r="3" spans="1:69">
      <c r="A3" s="49" t="s">
        <v>76</v>
      </c>
      <c r="B3" s="50"/>
      <c r="C3" s="50"/>
      <c r="D3" s="50"/>
      <c r="E3" s="51"/>
      <c r="F3" s="48" t="s">
        <v>34</v>
      </c>
      <c r="G3" s="52">
        <f>B16+1.5%+IF($D$16="√",8%,0)+IF($C$22="征人归",8%,0)</f>
        <v>0.1837</v>
      </c>
      <c r="H3" s="48" t="s">
        <v>77</v>
      </c>
      <c r="I3" s="11">
        <f>25-IF(D17="√",10,0)-IF(F17="√",10,0)</f>
        <v>5</v>
      </c>
      <c r="K3" s="41">
        <f t="shared" ref="K3:K34" si="0">($L3*$BN3+$M3*$BL3+$N3*$BO3+$O3*$BP3)</f>
        <v>20061.7412872086</v>
      </c>
      <c r="L3" s="41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弹道",$B$21,0))*(1+$BQ3)</f>
        <v>19627.0191392692</v>
      </c>
      <c r="M3" s="41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弹道",$B$21,0))*(1+$BQ3)</f>
        <v>24869.7577175326</v>
      </c>
      <c r="N3" s="41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弹道",$B$21,0))*(1+$BQ3)</f>
        <v>12912.5125916244</v>
      </c>
      <c r="O3" s="41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弹道",$B$21,0))*(1+$BQ3)</f>
        <v>7402.98242952106</v>
      </c>
      <c r="P3" s="42">
        <v>1</v>
      </c>
      <c r="Q3" s="43" t="s">
        <v>70</v>
      </c>
      <c r="R3" s="43" t="s">
        <v>78</v>
      </c>
      <c r="S3" s="43" t="s">
        <v>79</v>
      </c>
      <c r="T3" s="43" t="s">
        <v>73</v>
      </c>
      <c r="U3" s="43" t="s">
        <v>73</v>
      </c>
      <c r="V3" s="43" t="s">
        <v>73</v>
      </c>
      <c r="W3" s="43" t="s">
        <v>73</v>
      </c>
      <c r="X3" s="43" t="s">
        <v>73</v>
      </c>
      <c r="Y3" s="43" t="s">
        <v>73</v>
      </c>
      <c r="Z3" s="43" t="s">
        <v>73</v>
      </c>
      <c r="AA3" s="43" t="s">
        <v>74</v>
      </c>
      <c r="AB3" s="43" t="s">
        <v>80</v>
      </c>
      <c r="AC3" s="43" t="s">
        <v>73</v>
      </c>
      <c r="AD3" s="43" t="s">
        <v>73</v>
      </c>
      <c r="AE3" s="43" t="s">
        <v>73</v>
      </c>
      <c r="AF3" s="43" t="s">
        <v>75</v>
      </c>
      <c r="AG3" t="str">
        <f>VLOOKUP($Q3,武学奇术!$A:$ZZ,25,FALSE)</f>
        <v>群体奇术</v>
      </c>
      <c r="AH3" s="27">
        <f>VLOOKUP($Q3,武学奇术!$A:$ZZ,26,FALSE)</f>
        <v>1.4904</v>
      </c>
      <c r="AI3" s="28">
        <f>VLOOKUP($Q3,武学奇术!$A:$ZZ,27,FALSE)*(1+IF(OR($AG3=$F$4,$AG3=$F$5),$B$22,0))</f>
        <v>368</v>
      </c>
      <c r="AJ3" s="27">
        <f>VLOOKUP($Q3,武学奇术!$A:$ZZ,28,FALSE)</f>
        <v>2.2353</v>
      </c>
      <c r="AK3" s="28">
        <f>VLOOKUP($Q3,武学奇术!$A:$ZZ,29,FALSE)*(1+IF(OR($AG3=$F$4,$AG3=$F$5),$B$22,0))</f>
        <v>0</v>
      </c>
      <c r="AL3" s="27" cm="1">
        <f t="array" ref="AL3">$G$3+IFERROR(VLOOKUP($AG3,$F$4:$G$7,2,FALSE),0)+VLOOKUP($Q3,武学奇术!$A:$ZZ,2,FALSE)+SUM(_xlfn.XLOOKUP($R3:$AF3,增益!$A:$A,增益!$B:$B,0))</f>
        <v>0.2237</v>
      </c>
      <c r="AM3" s="27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1775.7</v>
      </c>
      <c r="AO3" cm="1">
        <f t="array" ref="AO3">$E$10*(1+$AM3)+VLOOKUP($Q3,武学奇术!$A:$ZZ,4,FALSE)+SUM(_xlfn.XLOOKUP($R3:$AF3,增益!$A:$A,增益!$D:$D,0))-$I$2</f>
        <v>5251.5</v>
      </c>
      <c r="AP3" s="35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0.3125</v>
      </c>
      <c r="AQ3" s="35" cm="1">
        <f t="array" ref="AQ3">$G$10+VLOOKUP($Q3,武学奇术!$A:$ZZ,7,FALSE)+SUM(_xlfn.XLOOKUP(R3:AF3,增益!$A:$A,增益!$G:$G,0))</f>
        <v>0</v>
      </c>
      <c r="AR3" s="27" cm="1">
        <f t="array" ref="AR3">VLOOKUP($Q3,武学奇术!$A:$ZZ,8,FALSE)+SUM(_xlfn.XLOOKUP(R3:AF3,增益!$A:$A,增益!$H:$H,0))</f>
        <v>0</v>
      </c>
      <c r="AS3">
        <f t="shared" ref="AS3:AS43" si="1">$D$11*(1+$AR3)</f>
        <v>0</v>
      </c>
      <c r="AT3">
        <f t="shared" ref="AT3:AT43" si="2">$E$11*(1+$AR3)</f>
        <v>0</v>
      </c>
      <c r="AU3" s="35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-0.14</v>
      </c>
      <c r="AV3" s="35" cm="1">
        <f t="array" ref="AV3">$G$11+VLOOKUP($Q3,武学奇术!$A:$ZZ,10,FALSE)+SUM(_xlfn.XLOOKUP(R3:AF3,增益!$A:$A,增益!$J:$J,0))</f>
        <v>0</v>
      </c>
      <c r="AW3">
        <f t="shared" ref="AW3:AW43" si="3">$D$12*(1+$AR3)</f>
        <v>0</v>
      </c>
      <c r="AX3">
        <f t="shared" ref="AX3:AX43" si="4">$E$12*(1+$AR3)</f>
        <v>0</v>
      </c>
      <c r="AY3" s="35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-0.14</v>
      </c>
      <c r="AZ3" s="35" cm="1">
        <f t="array" ref="AZ3">$G$12+VLOOKUP($Q3,武学奇术!$A:$ZZ,12,FALSE)+SUM(_xlfn.XLOOKUP(R3:AF3,增益!$A:$A,增益!$L:$L,0))</f>
        <v>0</v>
      </c>
      <c r="BA3">
        <f t="shared" ref="BA3:BA34" si="5">$D$13*(1+$AR3)</f>
        <v>538</v>
      </c>
      <c r="BB3">
        <f t="shared" ref="BB3:BB34" si="6">$E$13*(1+$AR3)</f>
        <v>1011</v>
      </c>
      <c r="BC3" s="35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0.08</v>
      </c>
      <c r="BD3" s="35" cm="1">
        <f t="array" ref="BD3">$G$13+VLOOKUP($Q3,武学奇术!$A:$ZZ,14,FALSE)+SUM(_xlfn.XLOOKUP(R3:AF3,增益!$A:$A,增益!$N:$N,0))</f>
        <v>0.15</v>
      </c>
      <c r="BE3">
        <f t="shared" ref="BE3:BE34" si="7">$D$14*(1+$AR3)</f>
        <v>0</v>
      </c>
      <c r="BF3">
        <f t="shared" ref="BF3:BF34" si="8">$E$14*(1+$AR3)</f>
        <v>0</v>
      </c>
      <c r="BG3" s="35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-0.14</v>
      </c>
      <c r="BH3" s="35" cm="1">
        <f t="array" ref="BH3">$G$14+VLOOKUP($Q3,武学奇术!$A:$ZZ,16,FALSE)+SUM(_xlfn.XLOOKUP(R3:AF3,增益!$A:$A,增益!$P:$P,0))</f>
        <v>0</v>
      </c>
      <c r="BI3" s="27">
        <f>MIN(IF(VLOOKUP($Q3,武学奇术!$A:$ZZ,23,FALSE)=1,100%,$B$8),100%)</f>
        <v>0.9969</v>
      </c>
      <c r="BJ3" s="27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0.9137</v>
      </c>
      <c r="BK3" s="27" cm="1">
        <f t="array" ref="BK3">1+$B$13+VLOOKUP($Q3,武学奇术!$A:$ZZ,18,FALSE)+SUM(_xlfn.XLOOKUP(R3:AF3,增益!$A:$A,增益!$R:$R,0))</f>
        <v>1.52</v>
      </c>
      <c r="BL3" s="27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0.0895</v>
      </c>
      <c r="BM3" s="27" cm="1">
        <f t="array" ref="BM3">1+$B$14+VLOOKUP($Q3,武学奇术!$A:$ZZ,20,FALSE)+SUM(_xlfn.XLOOKUP(R3:AF3,增益!$A:$A,增益!$T:$T,0))</f>
        <v>1.35</v>
      </c>
      <c r="BN3" s="27">
        <f t="shared" ref="BN3:BN27" si="9">MIN((1-BL3)*BI3,BI3*BJ3)</f>
        <v>0.90767745</v>
      </c>
      <c r="BO3" s="27">
        <f t="shared" ref="BO3:BO34" si="10">1-BL3-BN3-BP3</f>
        <v>-1.30104260698261e-17</v>
      </c>
      <c r="BP3" s="27">
        <f>IF(VLOOKUP($Q3,武学奇术!$A:$ZZ,22,FALSE)=1,0,(1-$BI3))*(1-$BL3)</f>
        <v>0.00282254999999999</v>
      </c>
      <c r="BQ3" s="27" cm="1">
        <f t="array" ref="BQ3">SUM(_xlfn.XLOOKUP(R3:AF3,增益!$A:$A,增益!$W:$W,0))+$I$5</f>
        <v>0.11</v>
      </c>
    </row>
    <row r="4" ht="14.25" spans="1:69">
      <c r="A4" s="53" t="s">
        <v>81</v>
      </c>
      <c r="B4" s="54"/>
      <c r="C4" s="54"/>
      <c r="D4" s="54"/>
      <c r="E4" s="55"/>
      <c r="F4" s="48" t="s">
        <v>82</v>
      </c>
      <c r="G4" s="52">
        <f>B15+B17</f>
        <v>0.1704</v>
      </c>
      <c r="H4" s="56" t="s">
        <v>83</v>
      </c>
      <c r="I4" s="15">
        <f>30</f>
        <v>30</v>
      </c>
      <c r="K4" s="41">
        <f t="shared" si="0"/>
        <v>21752.2109514379</v>
      </c>
      <c r="L4" s="41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弹道",$B$21,0))*(1+$BQ4)</f>
        <v>21296.1169526533</v>
      </c>
      <c r="M4" s="41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弹道",$B$21,0))*(1+$BQ4)</f>
        <v>26812.1765785382</v>
      </c>
      <c r="N4" s="41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弹道",$B$21,0))*(1+$BQ4)</f>
        <v>13919.0306880087</v>
      </c>
      <c r="O4" s="41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弹道",$B$21,0))*(1+$BQ4)</f>
        <v>7977.18983635942</v>
      </c>
      <c r="P4" s="42">
        <v>1</v>
      </c>
      <c r="Q4" s="43" t="s">
        <v>70</v>
      </c>
      <c r="R4" s="43" t="s">
        <v>84</v>
      </c>
      <c r="S4" s="43" t="s">
        <v>85</v>
      </c>
      <c r="T4" s="43" t="s">
        <v>73</v>
      </c>
      <c r="U4" s="43" t="s">
        <v>86</v>
      </c>
      <c r="V4" s="43" t="s">
        <v>73</v>
      </c>
      <c r="W4" s="43" t="s">
        <v>73</v>
      </c>
      <c r="X4" s="43" t="s">
        <v>73</v>
      </c>
      <c r="Y4" s="43" t="s">
        <v>73</v>
      </c>
      <c r="Z4" s="43" t="s">
        <v>73</v>
      </c>
      <c r="AA4" s="43" t="s">
        <v>74</v>
      </c>
      <c r="AB4" s="43" t="s">
        <v>80</v>
      </c>
      <c r="AC4" s="43" t="s">
        <v>73</v>
      </c>
      <c r="AD4" s="43" t="s">
        <v>73</v>
      </c>
      <c r="AE4" s="43" t="s">
        <v>73</v>
      </c>
      <c r="AF4" s="43" t="s">
        <v>75</v>
      </c>
      <c r="AG4" t="str">
        <f>VLOOKUP($Q4,武学奇术!$A:$ZZ,25,FALSE)</f>
        <v>群体奇术</v>
      </c>
      <c r="AH4" s="27">
        <f>VLOOKUP($Q4,武学奇术!$A:$ZZ,26,FALSE)</f>
        <v>1.4904</v>
      </c>
      <c r="AI4" s="28">
        <f>VLOOKUP($Q4,武学奇术!$A:$ZZ,27,FALSE)*(1+IF(OR($AG4=$F$4,$AG4=$F$5),$B$22,0))</f>
        <v>368</v>
      </c>
      <c r="AJ4" s="27">
        <f>VLOOKUP($Q4,武学奇术!$A:$ZZ,28,FALSE)</f>
        <v>2.2353</v>
      </c>
      <c r="AK4" s="28">
        <f>VLOOKUP($Q4,武学奇术!$A:$ZZ,29,FALSE)*(1+IF(OR($AG4=$F$4,$AG4=$F$5),$B$22,0))</f>
        <v>0</v>
      </c>
      <c r="AL4" s="27" cm="1">
        <f t="array" ref="AL4">$G$3+IFERROR(VLOOKUP($AG4,$F$4:$G$7,2,FALSE),0)+VLOOKUP($Q4,武学奇术!$A:$ZZ,2,FALSE)+SUM(_xlfn.XLOOKUP($R4:$AF4,增益!$A:$A,增益!$B:$B,0))</f>
        <v>0.2337</v>
      </c>
      <c r="AM4" s="27" cm="1">
        <f t="array" ref="AM4">VLOOKUP($Q4,武学奇术!$A:$ZZ,5,FALSE)+SUM(_xlfn.XLOOKUP($R4:$AF4,增益!$A:$A,增益!$E:$E,0))</f>
        <v>0.075</v>
      </c>
      <c r="AN4" cm="1">
        <f t="array" ref="AN4">$D$10*(1+$AM4)+VLOOKUP($Q4,武学奇术!$A:$ZZ,3,FALSE)+SUM(_xlfn.XLOOKUP($R4:$AF4,增益!$A:$A,增益!$C:$C,0))-$I$2</f>
        <v>1950.7275</v>
      </c>
      <c r="AO4" cm="1">
        <f t="array" ref="AO4">$E$10*(1+$AM4)+VLOOKUP($Q4,武学奇术!$A:$ZZ,4,FALSE)+SUM(_xlfn.XLOOKUP($R4:$AF4,增益!$A:$A,增益!$D:$D,0))-$I$2</f>
        <v>5687.2125</v>
      </c>
      <c r="AP4" s="35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0.3225</v>
      </c>
      <c r="AQ4" s="35" cm="1">
        <f t="array" ref="AQ4">$G$10+VLOOKUP($Q4,武学奇术!$A:$ZZ,7,FALSE)+SUM(_xlfn.XLOOKUP(R4:AF4,增益!$A:$A,增益!$G:$G,0))</f>
        <v>0</v>
      </c>
      <c r="AR4" s="27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5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-0.14</v>
      </c>
      <c r="AV4" s="35" cm="1">
        <f t="array" ref="AV4">$G$11+VLOOKUP($Q4,武学奇术!$A:$ZZ,10,FALSE)+SUM(_xlfn.XLOOKUP(R4:AF4,增益!$A:$A,增益!$J:$J,0))</f>
        <v>0</v>
      </c>
      <c r="AW4">
        <f t="shared" si="3"/>
        <v>0</v>
      </c>
      <c r="AX4">
        <f t="shared" si="4"/>
        <v>0</v>
      </c>
      <c r="AY4" s="35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-0.14</v>
      </c>
      <c r="AZ4" s="35" cm="1">
        <f t="array" ref="AZ4">$G$12+VLOOKUP($Q4,武学奇术!$A:$ZZ,12,FALSE)+SUM(_xlfn.XLOOKUP(R4:AF4,增益!$A:$A,增益!$L:$L,0))</f>
        <v>0</v>
      </c>
      <c r="BA4">
        <f t="shared" si="5"/>
        <v>538</v>
      </c>
      <c r="BB4">
        <f t="shared" si="6"/>
        <v>1011</v>
      </c>
      <c r="BC4" s="35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0.08</v>
      </c>
      <c r="BD4" s="35" cm="1">
        <f t="array" ref="BD4">$G$13+VLOOKUP($Q4,武学奇术!$A:$ZZ,14,FALSE)+SUM(_xlfn.XLOOKUP(R4:AF4,增益!$A:$A,增益!$N:$N,0))</f>
        <v>0.15</v>
      </c>
      <c r="BE4">
        <f t="shared" si="7"/>
        <v>0</v>
      </c>
      <c r="BF4">
        <f t="shared" si="8"/>
        <v>0</v>
      </c>
      <c r="BG4" s="35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-0.14</v>
      </c>
      <c r="BH4" s="35" cm="1">
        <f t="array" ref="BH4">$G$14+VLOOKUP($Q4,武学奇术!$A:$ZZ,16,FALSE)+SUM(_xlfn.XLOOKUP(R4:AF4,增益!$A:$A,增益!$P:$P,0))</f>
        <v>0</v>
      </c>
      <c r="BI4" s="27">
        <f>MIN(IF(VLOOKUP($Q4,武学奇术!$A:$ZZ,23,FALSE)=1,100%,$B$8),100%)</f>
        <v>0.9969</v>
      </c>
      <c r="BJ4" s="27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0.9137</v>
      </c>
      <c r="BK4" s="27" cm="1">
        <f t="array" ref="BK4">1+$B$13+VLOOKUP($Q4,武学奇术!$A:$ZZ,18,FALSE)+SUM(_xlfn.XLOOKUP(R4:AF4,增益!$A:$A,增益!$R:$R,0))</f>
        <v>1.53</v>
      </c>
      <c r="BL4" s="27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0.0895</v>
      </c>
      <c r="BM4" s="27" cm="1">
        <f t="array" ref="BM4">1+$B$14+VLOOKUP($Q4,武学奇术!$A:$ZZ,20,FALSE)+SUM(_xlfn.XLOOKUP(R4:AF4,增益!$A:$A,增益!$T:$T,0))</f>
        <v>1.35</v>
      </c>
      <c r="BN4" s="27">
        <f t="shared" si="9"/>
        <v>0.90767745</v>
      </c>
      <c r="BO4" s="27">
        <f t="shared" si="10"/>
        <v>-1.30104260698261e-17</v>
      </c>
      <c r="BP4" s="27">
        <f>IF(VLOOKUP($Q4,武学奇术!$A:$ZZ,22,FALSE)=1,0,(1-$BI4))*(1-$BL4)</f>
        <v>0.00282254999999999</v>
      </c>
      <c r="BQ4" s="27" cm="1">
        <f t="array" ref="BQ4">SUM(_xlfn.XLOOKUP(R4:AF4,增益!$A:$A,增益!$W:$W,0))+$I$5</f>
        <v>0.11</v>
      </c>
    </row>
    <row r="5" spans="1:69">
      <c r="A5" s="57" t="s">
        <v>5</v>
      </c>
      <c r="B5" s="58">
        <v>472</v>
      </c>
      <c r="C5" s="58">
        <v>945</v>
      </c>
      <c r="D5" s="58">
        <v>30</v>
      </c>
      <c r="E5" s="59">
        <v>0.15</v>
      </c>
      <c r="F5" s="48" t="s">
        <v>87</v>
      </c>
      <c r="G5" s="52">
        <f>B15+B18</f>
        <v>0.0852</v>
      </c>
      <c r="H5" t="s">
        <v>88</v>
      </c>
      <c r="I5" s="30">
        <v>0.06</v>
      </c>
      <c r="K5" s="41">
        <f t="shared" si="0"/>
        <v>22187.7076681799</v>
      </c>
      <c r="L5" s="41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弹道",$B$21,0))*(1+$BQ5)</f>
        <v>21737.8854253803</v>
      </c>
      <c r="M5" s="41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弹道",$B$21,0))*(1+$BQ5)</f>
        <v>27194.336373814</v>
      </c>
      <c r="N5" s="41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弹道",$B$21,0))*(1+$BQ5)</f>
        <v>14115.5100164807</v>
      </c>
      <c r="O5" s="41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弹道",$B$21,0))*(1+$BQ5)</f>
        <v>8087.06716346954</v>
      </c>
      <c r="P5" s="42">
        <v>1</v>
      </c>
      <c r="Q5" s="43" t="s">
        <v>70</v>
      </c>
      <c r="R5" s="43" t="s">
        <v>89</v>
      </c>
      <c r="S5" s="43" t="s">
        <v>90</v>
      </c>
      <c r="T5" s="43" t="s">
        <v>73</v>
      </c>
      <c r="U5" s="43" t="s">
        <v>86</v>
      </c>
      <c r="V5" s="43" t="s">
        <v>73</v>
      </c>
      <c r="W5" s="43" t="s">
        <v>73</v>
      </c>
      <c r="X5" s="43" t="s">
        <v>73</v>
      </c>
      <c r="Y5" s="43" t="s">
        <v>73</v>
      </c>
      <c r="Z5" s="43" t="s">
        <v>73</v>
      </c>
      <c r="AA5" s="43" t="s">
        <v>74</v>
      </c>
      <c r="AB5" s="43" t="s">
        <v>80</v>
      </c>
      <c r="AC5" s="43" t="s">
        <v>73</v>
      </c>
      <c r="AD5" s="43" t="s">
        <v>73</v>
      </c>
      <c r="AE5" s="43" t="s">
        <v>73</v>
      </c>
      <c r="AF5" s="43" t="s">
        <v>75</v>
      </c>
      <c r="AG5" t="str">
        <f>VLOOKUP($Q5,武学奇术!$A:$ZZ,25,FALSE)</f>
        <v>群体奇术</v>
      </c>
      <c r="AH5" s="27">
        <f>VLOOKUP($Q5,武学奇术!$A:$ZZ,26,FALSE)</f>
        <v>1.4904</v>
      </c>
      <c r="AI5" s="28">
        <f>VLOOKUP($Q5,武学奇术!$A:$ZZ,27,FALSE)*(1+IF(OR($AG5=$F$4,$AG5=$F$5),$B$22,0))</f>
        <v>368</v>
      </c>
      <c r="AJ5" s="27">
        <f>VLOOKUP($Q5,武学奇术!$A:$ZZ,28,FALSE)</f>
        <v>2.2353</v>
      </c>
      <c r="AK5" s="28">
        <f>VLOOKUP($Q5,武学奇术!$A:$ZZ,29,FALSE)*(1+IF(OR($AG5=$F$4,$AG5=$F$5),$B$22,0))</f>
        <v>0</v>
      </c>
      <c r="AL5" s="27" cm="1">
        <f t="array" ref="AL5">$G$3+IFERROR(VLOOKUP($AG5,$F$4:$G$7,2,FALSE),0)+VLOOKUP($Q5,武学奇术!$A:$ZZ,2,FALSE)+SUM(_xlfn.XLOOKUP($R5:$AF5,增益!$A:$A,增益!$B:$B,0))</f>
        <v>0.2437</v>
      </c>
      <c r="AM5" s="27" cm="1">
        <f t="array" ref="AM5">VLOOKUP($Q5,武学奇术!$A:$ZZ,5,FALSE)+SUM(_xlfn.XLOOKUP($R5:$AF5,增益!$A:$A,增益!$E:$E,0))</f>
        <v>0.075</v>
      </c>
      <c r="AN5" cm="1">
        <f t="array" ref="AN5">$D$10*(1+$AM5)+VLOOKUP($Q5,武学奇术!$A:$ZZ,3,FALSE)+SUM(_xlfn.XLOOKUP($R5:$AF5,增益!$A:$A,增益!$C:$C,0))-$I$2</f>
        <v>1950.7275</v>
      </c>
      <c r="AO5" cm="1">
        <f t="array" ref="AO5">$E$10*(1+$AM5)+VLOOKUP($Q5,武学奇术!$A:$ZZ,4,FALSE)+SUM(_xlfn.XLOOKUP($R5:$AF5,增益!$A:$A,增益!$D:$D,0))-$I$2</f>
        <v>5687.2125</v>
      </c>
      <c r="AP5" s="35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0.3325</v>
      </c>
      <c r="AQ5" s="35" cm="1">
        <f t="array" ref="AQ5">$G$10+VLOOKUP($Q5,武学奇术!$A:$ZZ,7,FALSE)+SUM(_xlfn.XLOOKUP(R5:AF5,增益!$A:$A,增益!$G:$G,0))</f>
        <v>0</v>
      </c>
      <c r="AR5" s="27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5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-0.14</v>
      </c>
      <c r="AV5" s="35" cm="1">
        <f t="array" ref="AV5">$G$11+VLOOKUP($Q5,武学奇术!$A:$ZZ,10,FALSE)+SUM(_xlfn.XLOOKUP(R5:AF5,增益!$A:$A,增益!$J:$J,0))</f>
        <v>0</v>
      </c>
      <c r="AW5">
        <f t="shared" si="3"/>
        <v>0</v>
      </c>
      <c r="AX5">
        <f t="shared" si="4"/>
        <v>0</v>
      </c>
      <c r="AY5" s="35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-0.14</v>
      </c>
      <c r="AZ5" s="35" cm="1">
        <f t="array" ref="AZ5">$G$12+VLOOKUP($Q5,武学奇术!$A:$ZZ,12,FALSE)+SUM(_xlfn.XLOOKUP(R5:AF5,增益!$A:$A,增益!$L:$L,0))</f>
        <v>0</v>
      </c>
      <c r="BA5">
        <f t="shared" si="5"/>
        <v>538</v>
      </c>
      <c r="BB5">
        <f t="shared" si="6"/>
        <v>1011</v>
      </c>
      <c r="BC5" s="35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0.08</v>
      </c>
      <c r="BD5" s="35" cm="1">
        <f t="array" ref="BD5">$G$13+VLOOKUP($Q5,武学奇术!$A:$ZZ,14,FALSE)+SUM(_xlfn.XLOOKUP(R5:AF5,增益!$A:$A,增益!$N:$N,0))</f>
        <v>0.15</v>
      </c>
      <c r="BE5">
        <f t="shared" si="7"/>
        <v>0</v>
      </c>
      <c r="BF5">
        <f t="shared" si="8"/>
        <v>0</v>
      </c>
      <c r="BG5" s="35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-0.14</v>
      </c>
      <c r="BH5" s="35" cm="1">
        <f t="array" ref="BH5">$G$14+VLOOKUP($Q5,武学奇术!$A:$ZZ,16,FALSE)+SUM(_xlfn.XLOOKUP(R5:AF5,增益!$A:$A,增益!$P:$P,0))</f>
        <v>0</v>
      </c>
      <c r="BI5" s="27">
        <f>MIN(IF(VLOOKUP($Q5,武学奇术!$A:$ZZ,23,FALSE)=1,100%,$B$8),100%)</f>
        <v>0.9969</v>
      </c>
      <c r="BJ5" s="27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0.9137</v>
      </c>
      <c r="BK5" s="27" cm="1">
        <f t="array" ref="BK5">1+$B$13+VLOOKUP($Q5,武学奇术!$A:$ZZ,18,FALSE)+SUM(_xlfn.XLOOKUP(R5:AF5,增益!$A:$A,增益!$R:$R,0))</f>
        <v>1.54</v>
      </c>
      <c r="BL5" s="27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0.0895</v>
      </c>
      <c r="BM5" s="27" cm="1">
        <f t="array" ref="BM5">1+$B$14+VLOOKUP($Q5,武学奇术!$A:$ZZ,20,FALSE)+SUM(_xlfn.XLOOKUP(R5:AF5,增益!$A:$A,增益!$T:$T,0))</f>
        <v>1.35</v>
      </c>
      <c r="BN5" s="27">
        <f t="shared" si="9"/>
        <v>0.90767745</v>
      </c>
      <c r="BO5" s="27">
        <f t="shared" si="10"/>
        <v>-1.30104260698261e-17</v>
      </c>
      <c r="BP5" s="27">
        <f>IF(VLOOKUP($Q5,武学奇术!$A:$ZZ,22,FALSE)=1,0,(1-$BI5))*(1-$BL5)</f>
        <v>0.00282254999999999</v>
      </c>
      <c r="BQ5" s="27" cm="1">
        <f t="array" ref="BQ5">SUM(_xlfn.XLOOKUP(R5:AF5,增益!$A:$A,增益!$W:$W,0))+$I$5</f>
        <v>0.11</v>
      </c>
    </row>
    <row r="6" spans="1:69">
      <c r="A6" s="60" t="s">
        <v>91</v>
      </c>
      <c r="B6" s="61"/>
      <c r="C6" s="61"/>
      <c r="D6" s="61"/>
      <c r="E6" s="62"/>
      <c r="F6" s="48" t="s">
        <v>92</v>
      </c>
      <c r="G6" s="52">
        <f>B19</f>
        <v>0.2678</v>
      </c>
      <c r="K6" s="41">
        <f t="shared" si="0"/>
        <v>22628.9031303666</v>
      </c>
      <c r="L6" s="41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弹道",$B$21,0))*(1+$BQ6)</f>
        <v>22185.6686594095</v>
      </c>
      <c r="M6" s="41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弹道",$B$21,0))*(1+$BQ6)</f>
        <v>27579.1467822764</v>
      </c>
      <c r="N6" s="41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弹道",$B$21,0))*(1+$BQ6)</f>
        <v>14313.3346189739</v>
      </c>
      <c r="O6" s="41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弹道",$B$21,0))*(1+$BQ6)</f>
        <v>8197.67162144672</v>
      </c>
      <c r="P6" s="42">
        <v>1</v>
      </c>
      <c r="Q6" s="43" t="s">
        <v>70</v>
      </c>
      <c r="R6" s="43" t="s">
        <v>93</v>
      </c>
      <c r="S6" s="43" t="s">
        <v>94</v>
      </c>
      <c r="T6" s="43" t="s">
        <v>73</v>
      </c>
      <c r="U6" s="43" t="s">
        <v>86</v>
      </c>
      <c r="V6" s="43" t="s">
        <v>73</v>
      </c>
      <c r="W6" s="43" t="s">
        <v>73</v>
      </c>
      <c r="X6" s="43" t="s">
        <v>73</v>
      </c>
      <c r="Y6" s="43" t="s">
        <v>73</v>
      </c>
      <c r="Z6" s="43" t="s">
        <v>73</v>
      </c>
      <c r="AA6" s="43" t="s">
        <v>74</v>
      </c>
      <c r="AB6" s="43" t="s">
        <v>80</v>
      </c>
      <c r="AC6" s="43" t="s">
        <v>73</v>
      </c>
      <c r="AD6" s="43" t="s">
        <v>73</v>
      </c>
      <c r="AE6" s="43" t="s">
        <v>73</v>
      </c>
      <c r="AF6" s="43" t="s">
        <v>75</v>
      </c>
      <c r="AG6" t="str">
        <f>VLOOKUP($Q6,武学奇术!$A:$ZZ,25,FALSE)</f>
        <v>群体奇术</v>
      </c>
      <c r="AH6" s="27">
        <f>VLOOKUP($Q6,武学奇术!$A:$ZZ,26,FALSE)</f>
        <v>1.4904</v>
      </c>
      <c r="AI6" s="28">
        <f>VLOOKUP($Q6,武学奇术!$A:$ZZ,27,FALSE)*(1+IF(OR($AG6=$F$4,$AG6=$F$5),$B$22,0))</f>
        <v>368</v>
      </c>
      <c r="AJ6" s="27">
        <f>VLOOKUP($Q6,武学奇术!$A:$ZZ,28,FALSE)</f>
        <v>2.2353</v>
      </c>
      <c r="AK6" s="28">
        <f>VLOOKUP($Q6,武学奇术!$A:$ZZ,29,FALSE)*(1+IF(OR($AG6=$F$4,$AG6=$F$5),$B$22,0))</f>
        <v>0</v>
      </c>
      <c r="AL6" s="27" cm="1">
        <f t="array" ref="AL6">$G$3+IFERROR(VLOOKUP($AG6,$F$4:$G$7,2,FALSE),0)+VLOOKUP($Q6,武学奇术!$A:$ZZ,2,FALSE)+SUM(_xlfn.XLOOKUP($R6:$AF6,增益!$A:$A,增益!$B:$B,0))</f>
        <v>0.2537</v>
      </c>
      <c r="AM6" s="27" cm="1">
        <f t="array" ref="AM6">VLOOKUP($Q6,武学奇术!$A:$ZZ,5,FALSE)+SUM(_xlfn.XLOOKUP($R6:$AF6,增益!$A:$A,增益!$E:$E,0))</f>
        <v>0.075</v>
      </c>
      <c r="AN6" cm="1">
        <f t="array" ref="AN6">$D$10*(1+$AM6)+VLOOKUP($Q6,武学奇术!$A:$ZZ,3,FALSE)+SUM(_xlfn.XLOOKUP($R6:$AF6,增益!$A:$A,增益!$C:$C,0))-$I$2</f>
        <v>1950.7275</v>
      </c>
      <c r="AO6" cm="1">
        <f t="array" ref="AO6">$E$10*(1+$AM6)+VLOOKUP($Q6,武学奇术!$A:$ZZ,4,FALSE)+SUM(_xlfn.XLOOKUP($R6:$AF6,增益!$A:$A,增益!$D:$D,0))-$I$2</f>
        <v>5687.2125</v>
      </c>
      <c r="AP6" s="35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0.3425</v>
      </c>
      <c r="AQ6" s="35" cm="1">
        <f t="array" ref="AQ6">$G$10+VLOOKUP($Q6,武学奇术!$A:$ZZ,7,FALSE)+SUM(_xlfn.XLOOKUP(R6:AF6,增益!$A:$A,增益!$G:$G,0))</f>
        <v>0</v>
      </c>
      <c r="AR6" s="27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5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-0.14</v>
      </c>
      <c r="AV6" s="35" cm="1">
        <f t="array" ref="AV6">$G$11+VLOOKUP($Q6,武学奇术!$A:$ZZ,10,FALSE)+SUM(_xlfn.XLOOKUP(R6:AF6,增益!$A:$A,增益!$J:$J,0))</f>
        <v>0</v>
      </c>
      <c r="AW6">
        <f t="shared" si="3"/>
        <v>0</v>
      </c>
      <c r="AX6">
        <f t="shared" si="4"/>
        <v>0</v>
      </c>
      <c r="AY6" s="35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-0.14</v>
      </c>
      <c r="AZ6" s="35" cm="1">
        <f t="array" ref="AZ6">$G$12+VLOOKUP($Q6,武学奇术!$A:$ZZ,12,FALSE)+SUM(_xlfn.XLOOKUP(R6:AF6,增益!$A:$A,增益!$L:$L,0))</f>
        <v>0</v>
      </c>
      <c r="BA6">
        <f t="shared" si="5"/>
        <v>538</v>
      </c>
      <c r="BB6">
        <f t="shared" si="6"/>
        <v>1011</v>
      </c>
      <c r="BC6" s="35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0.08</v>
      </c>
      <c r="BD6" s="35" cm="1">
        <f t="array" ref="BD6">$G$13+VLOOKUP($Q6,武学奇术!$A:$ZZ,14,FALSE)+SUM(_xlfn.XLOOKUP(R6:AF6,增益!$A:$A,增益!$N:$N,0))</f>
        <v>0.15</v>
      </c>
      <c r="BE6">
        <f t="shared" si="7"/>
        <v>0</v>
      </c>
      <c r="BF6">
        <f t="shared" si="8"/>
        <v>0</v>
      </c>
      <c r="BG6" s="35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-0.14</v>
      </c>
      <c r="BH6" s="35" cm="1">
        <f t="array" ref="BH6">$G$14+VLOOKUP($Q6,武学奇术!$A:$ZZ,16,FALSE)+SUM(_xlfn.XLOOKUP(R6:AF6,增益!$A:$A,增益!$P:$P,0))</f>
        <v>0</v>
      </c>
      <c r="BI6" s="27">
        <f>MIN(IF(VLOOKUP($Q6,武学奇术!$A:$ZZ,23,FALSE)=1,100%,$B$8),100%)</f>
        <v>0.9969</v>
      </c>
      <c r="BJ6" s="27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0.9137</v>
      </c>
      <c r="BK6" s="27" cm="1">
        <f t="array" ref="BK6">1+$B$13+VLOOKUP($Q6,武学奇术!$A:$ZZ,18,FALSE)+SUM(_xlfn.XLOOKUP(R6:AF6,增益!$A:$A,增益!$R:$R,0))</f>
        <v>1.55</v>
      </c>
      <c r="BL6" s="27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0.0895</v>
      </c>
      <c r="BM6" s="27" cm="1">
        <f t="array" ref="BM6">1+$B$14+VLOOKUP($Q6,武学奇术!$A:$ZZ,20,FALSE)+SUM(_xlfn.XLOOKUP(R6:AF6,增益!$A:$A,增益!$T:$T,0))</f>
        <v>1.35</v>
      </c>
      <c r="BN6" s="27">
        <f t="shared" si="9"/>
        <v>0.90767745</v>
      </c>
      <c r="BO6" s="27">
        <f t="shared" si="10"/>
        <v>-1.30104260698261e-17</v>
      </c>
      <c r="BP6" s="27">
        <f>IF(VLOOKUP($Q6,武学奇术!$A:$ZZ,22,FALSE)=1,0,(1-$BI6))*(1-$BL6)</f>
        <v>0.00282254999999999</v>
      </c>
      <c r="BQ6" s="27" cm="1">
        <f t="array" ref="BQ6">SUM(_xlfn.XLOOKUP(R6:AF6,增益!$A:$A,增益!$W:$W,0))+$I$5</f>
        <v>0.11</v>
      </c>
    </row>
    <row r="7" ht="14.25" spans="1:69">
      <c r="A7" s="88" t="s">
        <v>95</v>
      </c>
      <c r="B7" s="64">
        <f>66</f>
        <v>66</v>
      </c>
      <c r="C7" s="64">
        <v>66</v>
      </c>
      <c r="D7" s="65"/>
      <c r="E7" s="66"/>
      <c r="F7" s="56" t="s">
        <v>96</v>
      </c>
      <c r="G7" s="67">
        <f>B20</f>
        <v>0</v>
      </c>
      <c r="K7" s="41">
        <f t="shared" si="0"/>
        <v>63827.910191655</v>
      </c>
      <c r="L7" s="41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弹道",$B$21,0))*(1+$BQ7)</f>
        <v>63910.10731252</v>
      </c>
      <c r="M7" s="41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弹道",$B$21,0))*(1+$BQ7)</f>
        <v>64354.9604483368</v>
      </c>
      <c r="N7" s="41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弹道",$B$21,0))*(1+$BQ7)</f>
        <v>34176.5279746096</v>
      </c>
      <c r="O7" s="41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弹道",$B$21,0))*(1+$BQ7)</f>
        <v>20682.7148763772</v>
      </c>
      <c r="P7" s="42">
        <v>1</v>
      </c>
      <c r="Q7" s="43" t="s">
        <v>97</v>
      </c>
      <c r="R7" s="43" t="s">
        <v>73</v>
      </c>
      <c r="S7" s="43" t="s">
        <v>72</v>
      </c>
      <c r="T7" s="43" t="s">
        <v>73</v>
      </c>
      <c r="U7" s="43" t="s">
        <v>73</v>
      </c>
      <c r="V7" s="43" t="s">
        <v>98</v>
      </c>
      <c r="W7" s="43" t="s">
        <v>73</v>
      </c>
      <c r="X7" s="43" t="s">
        <v>73</v>
      </c>
      <c r="Y7" s="43" t="s">
        <v>73</v>
      </c>
      <c r="Z7" s="43" t="s">
        <v>73</v>
      </c>
      <c r="AA7" s="43" t="s">
        <v>73</v>
      </c>
      <c r="AB7" s="43" t="s">
        <v>73</v>
      </c>
      <c r="AC7" s="43" t="s">
        <v>73</v>
      </c>
      <c r="AD7" s="43" t="s">
        <v>73</v>
      </c>
      <c r="AE7" s="43" t="s">
        <v>73</v>
      </c>
      <c r="AF7" s="43" t="s">
        <v>75</v>
      </c>
      <c r="AG7" t="str">
        <f>VLOOKUP($Q7,武学奇术!$A:$ZZ,25,FALSE)</f>
        <v>伞</v>
      </c>
      <c r="AH7" s="27">
        <f>VLOOKUP($Q7,武学奇术!$A:$ZZ,26,FALSE)</f>
        <v>2.3397</v>
      </c>
      <c r="AI7" s="28">
        <f>VLOOKUP($Q7,武学奇术!$A:$ZZ,27,FALSE)*(1+IF(OR($AG7=$F$4,$AG7=$F$5),$B$22,0))</f>
        <v>907.2</v>
      </c>
      <c r="AJ7" s="27">
        <f>VLOOKUP($Q7,武学奇术!$A:$ZZ,28,FALSE)</f>
        <v>3.5095</v>
      </c>
      <c r="AK7" s="28">
        <f>VLOOKUP($Q7,武学奇术!$A:$ZZ,29,FALSE)*(1+IF(OR($AG7=$F$4,$AG7=$F$5),$B$22,0))</f>
        <v>494.2</v>
      </c>
      <c r="AL7" s="27" cm="1">
        <f t="array" ref="AL7">$G$3+IFERROR(VLOOKUP($AG7,$F$4:$G$7,2,FALSE),0)+VLOOKUP($Q7,武学奇术!$A:$ZZ,2,FALSE)+SUM(_xlfn.XLOOKUP($R7:$AF7,增益!$A:$A,增益!$B:$B,0))</f>
        <v>0.7541</v>
      </c>
      <c r="AM7" s="27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1775.7</v>
      </c>
      <c r="AO7" cm="1">
        <f t="array" ref="AO7">$E$10*(1+$AM7)+VLOOKUP($Q7,武学奇术!$A:$ZZ,4,FALSE)+SUM(_xlfn.XLOOKUP($R7:$AF7,增益!$A:$A,增益!$D:$D,0))-$I$2</f>
        <v>5251.5</v>
      </c>
      <c r="AP7" s="35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0.3175</v>
      </c>
      <c r="AQ7" s="35" cm="1">
        <f t="array" ref="AQ7">$G$10+VLOOKUP($Q7,武学奇术!$A:$ZZ,7,FALSE)+SUM(_xlfn.XLOOKUP(R7:AF7,增益!$A:$A,增益!$G:$G,0))</f>
        <v>0.1</v>
      </c>
      <c r="AR7" s="27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5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-0.3</v>
      </c>
      <c r="AV7" s="35" cm="1">
        <f t="array" ref="AV7">$G$11+VLOOKUP($Q7,武学奇术!$A:$ZZ,10,FALSE)+SUM(_xlfn.XLOOKUP(R7:AF7,增益!$A:$A,增益!$J:$J,0))</f>
        <v>0</v>
      </c>
      <c r="AW7">
        <f t="shared" si="3"/>
        <v>0</v>
      </c>
      <c r="AX7">
        <f t="shared" si="4"/>
        <v>0</v>
      </c>
      <c r="AY7" s="35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-0.3</v>
      </c>
      <c r="AZ7" s="35" cm="1">
        <f t="array" ref="AZ7">$G$12+VLOOKUP($Q7,武学奇术!$A:$ZZ,12,FALSE)+SUM(_xlfn.XLOOKUP(R7:AF7,增益!$A:$A,增益!$L:$L,0))</f>
        <v>0</v>
      </c>
      <c r="BA7">
        <f t="shared" si="5"/>
        <v>538</v>
      </c>
      <c r="BB7">
        <f t="shared" si="6"/>
        <v>1011</v>
      </c>
      <c r="BC7" s="35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0</v>
      </c>
      <c r="BD7" s="35" cm="1">
        <f t="array" ref="BD7">$G$13+VLOOKUP($Q7,武学奇术!$A:$ZZ,14,FALSE)+SUM(_xlfn.XLOOKUP(R7:AF7,增益!$A:$A,增益!$N:$N,0))</f>
        <v>0.25</v>
      </c>
      <c r="BE7">
        <f t="shared" si="7"/>
        <v>0</v>
      </c>
      <c r="BF7">
        <f t="shared" si="8"/>
        <v>0</v>
      </c>
      <c r="BG7" s="35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-0.3</v>
      </c>
      <c r="BH7" s="35" cm="1">
        <f t="array" ref="BH7">$G$14+VLOOKUP($Q7,武学奇术!$A:$ZZ,16,FALSE)+SUM(_xlfn.XLOOKUP(R7:AF7,增益!$A:$A,增益!$P:$P,0))</f>
        <v>0</v>
      </c>
      <c r="BI7" s="27">
        <f>MIN(IF(VLOOKUP($Q7,武学奇术!$A:$ZZ,23,FALSE)=1,100%,$B$8),100%)</f>
        <v>0.9969</v>
      </c>
      <c r="BJ7" s="27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0.9137</v>
      </c>
      <c r="BK7" s="27" cm="1">
        <f t="array" ref="BK7">1+$B$13+VLOOKUP($Q7,武学奇术!$A:$ZZ,18,FALSE)+SUM(_xlfn.XLOOKUP(R7:AF7,增益!$A:$A,增益!$R:$R,0))</f>
        <v>1.87</v>
      </c>
      <c r="BL7" s="27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0.0895</v>
      </c>
      <c r="BM7" s="27" cm="1">
        <f t="array" ref="BM7">1+$B$14+VLOOKUP($Q7,武学奇术!$A:$ZZ,20,FALSE)+SUM(_xlfn.XLOOKUP(R7:AF7,增益!$A:$A,增益!$T:$T,0))</f>
        <v>1.35</v>
      </c>
      <c r="BN7" s="27">
        <f t="shared" si="9"/>
        <v>0.90767745</v>
      </c>
      <c r="BO7" s="27">
        <f t="shared" si="10"/>
        <v>-1.30104260698261e-17</v>
      </c>
      <c r="BP7" s="27">
        <f>IF(VLOOKUP($Q7,武学奇术!$A:$ZZ,22,FALSE)=1,0,(1-$BI7))*(1-$BL7)</f>
        <v>0.00282254999999999</v>
      </c>
      <c r="BQ7" s="27" cm="1">
        <f t="array" ref="BQ7">SUM(_xlfn.XLOOKUP(R7:AF7,增益!$A:$A,增益!$W:$W,0))+$I$5</f>
        <v>0.11</v>
      </c>
    </row>
    <row r="8" spans="1:69">
      <c r="A8" s="68" t="s">
        <v>99</v>
      </c>
      <c r="B8" s="69">
        <v>0.9969</v>
      </c>
      <c r="C8" s="39" t="s">
        <v>100</v>
      </c>
      <c r="D8" s="70"/>
      <c r="E8" s="70"/>
      <c r="F8" s="70"/>
      <c r="G8" s="40"/>
      <c r="H8" s="71" t="s">
        <v>101</v>
      </c>
      <c r="I8" s="20">
        <v>110</v>
      </c>
      <c r="J8" s="72"/>
      <c r="K8" s="41">
        <f t="shared" si="0"/>
        <v>74441.254128159</v>
      </c>
      <c r="L8" s="41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弹道",$B$21,0))*(1+$BQ8)</f>
        <v>74535.7627092709</v>
      </c>
      <c r="M8" s="41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弹道",$B$21,0))*(1+$BQ8)</f>
        <v>75070.0738800871</v>
      </c>
      <c r="N8" s="41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弹道",$B$21,0))*(1+$BQ8)</f>
        <v>39858.6966359737</v>
      </c>
      <c r="O8" s="41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弹道",$B$21,0))*(1+$BQ8)</f>
        <v>24109.9311385496</v>
      </c>
      <c r="P8" s="42">
        <v>1</v>
      </c>
      <c r="Q8" s="43" t="s">
        <v>97</v>
      </c>
      <c r="R8" s="43" t="s">
        <v>71</v>
      </c>
      <c r="S8" s="43" t="s">
        <v>72</v>
      </c>
      <c r="T8" s="43" t="s">
        <v>102</v>
      </c>
      <c r="U8" s="43" t="s">
        <v>73</v>
      </c>
      <c r="V8" s="43" t="s">
        <v>98</v>
      </c>
      <c r="W8" s="43" t="s">
        <v>73</v>
      </c>
      <c r="X8" s="43" t="s">
        <v>73</v>
      </c>
      <c r="Y8" s="43" t="s">
        <v>73</v>
      </c>
      <c r="Z8" s="43" t="s">
        <v>73</v>
      </c>
      <c r="AA8" s="43" t="s">
        <v>74</v>
      </c>
      <c r="AB8" s="43" t="s">
        <v>73</v>
      </c>
      <c r="AC8" s="43" t="s">
        <v>73</v>
      </c>
      <c r="AD8" s="43" t="s">
        <v>73</v>
      </c>
      <c r="AE8" s="43" t="s">
        <v>73</v>
      </c>
      <c r="AF8" s="43" t="s">
        <v>75</v>
      </c>
      <c r="AG8" t="str">
        <f>VLOOKUP($Q8,武学奇术!$A:$ZZ,25,FALSE)</f>
        <v>伞</v>
      </c>
      <c r="AH8" s="27">
        <f>VLOOKUP($Q8,武学奇术!$A:$ZZ,26,FALSE)</f>
        <v>2.3397</v>
      </c>
      <c r="AI8" s="28">
        <f>VLOOKUP($Q8,武学奇术!$A:$ZZ,27,FALSE)*(1+IF(OR($AG8=$F$4,$AG8=$F$5),$B$22,0))</f>
        <v>907.2</v>
      </c>
      <c r="AJ8" s="27">
        <f>VLOOKUP($Q8,武学奇术!$A:$ZZ,28,FALSE)</f>
        <v>3.5095</v>
      </c>
      <c r="AK8" s="28">
        <f>VLOOKUP($Q8,武学奇术!$A:$ZZ,29,FALSE)*(1+IF(OR($AG8=$F$4,$AG8=$F$5),$B$22,0))</f>
        <v>494.2</v>
      </c>
      <c r="AL8" s="27" cm="1">
        <f t="array" ref="AL8">$G$3+IFERROR(VLOOKUP($AG8,$F$4:$G$7,2,FALSE),0)+VLOOKUP($Q8,武学奇术!$A:$ZZ,2,FALSE)+SUM(_xlfn.XLOOKUP($R8:$AF8,增益!$A:$A,增益!$B:$B,0))</f>
        <v>1.0341</v>
      </c>
      <c r="AM8" s="27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1775.7</v>
      </c>
      <c r="AO8" cm="1">
        <f t="array" ref="AO8">$E$10*(1+$AM8)+VLOOKUP($Q8,武学奇术!$A:$ZZ,4,FALSE)+SUM(_xlfn.XLOOKUP($R8:$AF8,增益!$A:$A,增益!$D:$D,0))-$I$2</f>
        <v>5251.5</v>
      </c>
      <c r="AP8" s="35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0.3275</v>
      </c>
      <c r="AQ8" s="35" cm="1">
        <f t="array" ref="AQ8">$G$10+VLOOKUP($Q8,武学奇术!$A:$ZZ,7,FALSE)+SUM(_xlfn.XLOOKUP(R8:AF8,增益!$A:$A,增益!$G:$G,0))</f>
        <v>0.1</v>
      </c>
      <c r="AR8" s="27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5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-0.3</v>
      </c>
      <c r="AV8" s="35" cm="1">
        <f t="array" ref="AV8">$G$11+VLOOKUP($Q8,武学奇术!$A:$ZZ,10,FALSE)+SUM(_xlfn.XLOOKUP(R8:AF8,增益!$A:$A,增益!$J:$J,0))</f>
        <v>0</v>
      </c>
      <c r="AW8">
        <f t="shared" si="3"/>
        <v>0</v>
      </c>
      <c r="AX8">
        <f t="shared" si="4"/>
        <v>0</v>
      </c>
      <c r="AY8" s="35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-0.3</v>
      </c>
      <c r="AZ8" s="35" cm="1">
        <f t="array" ref="AZ8">$G$12+VLOOKUP($Q8,武学奇术!$A:$ZZ,12,FALSE)+SUM(_xlfn.XLOOKUP(R8:AF8,增益!$A:$A,增益!$L:$L,0))</f>
        <v>0</v>
      </c>
      <c r="BA8">
        <f t="shared" si="5"/>
        <v>538</v>
      </c>
      <c r="BB8">
        <f t="shared" si="6"/>
        <v>1011</v>
      </c>
      <c r="BC8" s="35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0</v>
      </c>
      <c r="BD8" s="35" cm="1">
        <f t="array" ref="BD8">$G$13+VLOOKUP($Q8,武学奇术!$A:$ZZ,14,FALSE)+SUM(_xlfn.XLOOKUP(R8:AF8,增益!$A:$A,增益!$N:$N,0))</f>
        <v>0.25</v>
      </c>
      <c r="BE8">
        <f t="shared" si="7"/>
        <v>0</v>
      </c>
      <c r="BF8">
        <f t="shared" si="8"/>
        <v>0</v>
      </c>
      <c r="BG8" s="35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-0.3</v>
      </c>
      <c r="BH8" s="35" cm="1">
        <f t="array" ref="BH8">$G$14+VLOOKUP($Q8,武学奇术!$A:$ZZ,16,FALSE)+SUM(_xlfn.XLOOKUP(R8:AF8,增益!$A:$A,增益!$P:$P,0))</f>
        <v>0</v>
      </c>
      <c r="BI8" s="27">
        <f>MIN(IF(VLOOKUP($Q8,武学奇术!$A:$ZZ,23,FALSE)=1,100%,$B$8),100%)</f>
        <v>0.9969</v>
      </c>
      <c r="BJ8" s="27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0.9137</v>
      </c>
      <c r="BK8" s="27" cm="1">
        <f t="array" ref="BK8">1+$B$13+VLOOKUP($Q8,武学奇术!$A:$ZZ,18,FALSE)+SUM(_xlfn.XLOOKUP(R8:AF8,增益!$A:$A,增益!$R:$R,0))</f>
        <v>1.87</v>
      </c>
      <c r="BL8" s="27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0.0895</v>
      </c>
      <c r="BM8" s="27" cm="1">
        <f t="array" ref="BM8">1+$B$14+VLOOKUP($Q8,武学奇术!$A:$ZZ,20,FALSE)+SUM(_xlfn.XLOOKUP(R8:AF8,增益!$A:$A,增益!$T:$T,0))</f>
        <v>1.35</v>
      </c>
      <c r="BN8" s="27">
        <f t="shared" si="9"/>
        <v>0.90767745</v>
      </c>
      <c r="BO8" s="27">
        <f t="shared" si="10"/>
        <v>-1.30104260698261e-17</v>
      </c>
      <c r="BP8" s="27">
        <f>IF(VLOOKUP($Q8,武学奇术!$A:$ZZ,22,FALSE)=1,0,(1-$BI8))*(1-$BL8)</f>
        <v>0.00282254999999999</v>
      </c>
      <c r="BQ8" s="27" cm="1">
        <f t="array" ref="BQ8">SUM(_xlfn.XLOOKUP(R8:AF8,增益!$A:$A,增益!$W:$W,0))+$I$5</f>
        <v>0.11</v>
      </c>
    </row>
    <row r="9" ht="14.25" spans="1:69">
      <c r="A9" s="44" t="s">
        <v>103</v>
      </c>
      <c r="B9" s="73">
        <v>0.7807</v>
      </c>
      <c r="C9" s="48"/>
      <c r="D9" t="s">
        <v>0</v>
      </c>
      <c r="E9" t="s">
        <v>1</v>
      </c>
      <c r="F9" s="42" t="s">
        <v>2</v>
      </c>
      <c r="G9" s="47" t="s">
        <v>3</v>
      </c>
      <c r="H9" s="74"/>
      <c r="I9" s="23"/>
      <c r="J9" s="75"/>
      <c r="K9" s="41">
        <f t="shared" si="0"/>
        <v>30913.9580636199</v>
      </c>
      <c r="L9" s="41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弹道",$B$21,0))*(1+$BQ9)</f>
        <v>30302.6095151575</v>
      </c>
      <c r="M9" s="41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弹道",$B$21,0))*(1+$BQ9)</f>
        <v>37703.997856008</v>
      </c>
      <c r="N9" s="41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弹道",$B$21,0))*(1+$BQ9)</f>
        <v>20067.9533212963</v>
      </c>
      <c r="O9" s="41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弹道",$B$21,0))*(1+$BQ9)</f>
        <v>12207.019341846</v>
      </c>
      <c r="P9" s="42">
        <v>1</v>
      </c>
      <c r="Q9" s="43" t="s">
        <v>104</v>
      </c>
      <c r="R9" s="43" t="s">
        <v>78</v>
      </c>
      <c r="S9" s="43" t="s">
        <v>72</v>
      </c>
      <c r="T9" s="43" t="s">
        <v>73</v>
      </c>
      <c r="U9" s="43" t="s">
        <v>73</v>
      </c>
      <c r="V9" s="43" t="s">
        <v>73</v>
      </c>
      <c r="W9" s="43" t="s">
        <v>73</v>
      </c>
      <c r="X9" s="43" t="s">
        <v>73</v>
      </c>
      <c r="Y9" s="43" t="s">
        <v>73</v>
      </c>
      <c r="Z9" s="43" t="s">
        <v>73</v>
      </c>
      <c r="AA9" s="43" t="s">
        <v>74</v>
      </c>
      <c r="AB9" s="43" t="s">
        <v>80</v>
      </c>
      <c r="AC9" s="43" t="s">
        <v>73</v>
      </c>
      <c r="AD9" s="43" t="s">
        <v>73</v>
      </c>
      <c r="AE9" s="43" t="s">
        <v>73</v>
      </c>
      <c r="AF9" s="43" t="s">
        <v>75</v>
      </c>
      <c r="AG9" t="str">
        <f>VLOOKUP($Q9,武学奇术!$A:$ZZ,25,FALSE)</f>
        <v>伞</v>
      </c>
      <c r="AH9" s="27">
        <f>VLOOKUP($Q9,武学奇术!$A:$ZZ,26,FALSE)</f>
        <v>1.7001</v>
      </c>
      <c r="AI9" s="28">
        <f>VLOOKUP($Q9,武学奇术!$A:$ZZ,27,FALSE)*(1+IF(OR($AG9=$F$4,$AG9=$F$5),$B$22,0))</f>
        <v>659.4</v>
      </c>
      <c r="AJ9" s="27">
        <f>VLOOKUP($Q9,武学奇术!$A:$ZZ,28,FALSE)</f>
        <v>2.5502</v>
      </c>
      <c r="AK9" s="28">
        <f>VLOOKUP($Q9,武学奇术!$A:$ZZ,29,FALSE)*(1+IF(OR($AG9=$F$4,$AG9=$F$5),$B$22,0))</f>
        <v>358.4</v>
      </c>
      <c r="AL9" s="27" cm="1">
        <f t="array" ref="AL9">$G$3+IFERROR(VLOOKUP($AG9,$F$4:$G$7,2,FALSE),0)+VLOOKUP($Q9,武学奇术!$A:$ZZ,2,FALSE)+SUM(_xlfn.XLOOKUP($R9:$AF9,增益!$A:$A,增益!$B:$B,0))</f>
        <v>0.3941</v>
      </c>
      <c r="AM9" s="27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1775.7</v>
      </c>
      <c r="AO9" cm="1">
        <f t="array" ref="AO9">$E$10*(1+$AM9)+VLOOKUP($Q9,武学奇术!$A:$ZZ,4,FALSE)+SUM(_xlfn.XLOOKUP($R9:$AF9,增益!$A:$A,增益!$D:$D,0))-$I$2</f>
        <v>5251.5</v>
      </c>
      <c r="AP9" s="35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0.3125</v>
      </c>
      <c r="AQ9" s="35" cm="1">
        <f t="array" ref="AQ9">$G$10+VLOOKUP($Q9,武学奇术!$A:$ZZ,7,FALSE)+SUM(_xlfn.XLOOKUP(R9:AF9,增益!$A:$A,增益!$G:$G,0))</f>
        <v>0.1</v>
      </c>
      <c r="AR9" s="27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5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-0.14</v>
      </c>
      <c r="AV9" s="35" cm="1">
        <f t="array" ref="AV9">$G$11+VLOOKUP($Q9,武学奇术!$A:$ZZ,10,FALSE)+SUM(_xlfn.XLOOKUP(R9:AF9,增益!$A:$A,增益!$J:$J,0))</f>
        <v>0</v>
      </c>
      <c r="AW9">
        <f t="shared" si="3"/>
        <v>0</v>
      </c>
      <c r="AX9">
        <f t="shared" si="4"/>
        <v>0</v>
      </c>
      <c r="AY9" s="35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-0.14</v>
      </c>
      <c r="AZ9" s="35" cm="1">
        <f t="array" ref="AZ9">$G$12+VLOOKUP($Q9,武学奇术!$A:$ZZ,12,FALSE)+SUM(_xlfn.XLOOKUP(R9:AF9,增益!$A:$A,增益!$L:$L,0))</f>
        <v>0</v>
      </c>
      <c r="BA9">
        <f t="shared" si="5"/>
        <v>538</v>
      </c>
      <c r="BB9">
        <f t="shared" si="6"/>
        <v>1011</v>
      </c>
      <c r="BC9" s="35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0.08</v>
      </c>
      <c r="BD9" s="35" cm="1">
        <f t="array" ref="BD9">$G$13+VLOOKUP($Q9,武学奇术!$A:$ZZ,14,FALSE)+SUM(_xlfn.XLOOKUP(R9:AF9,增益!$A:$A,增益!$N:$N,0))</f>
        <v>0.25</v>
      </c>
      <c r="BE9">
        <f t="shared" si="7"/>
        <v>0</v>
      </c>
      <c r="BF9">
        <f t="shared" si="8"/>
        <v>0</v>
      </c>
      <c r="BG9" s="35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-0.14</v>
      </c>
      <c r="BH9" s="35" cm="1">
        <f t="array" ref="BH9">$G$14+VLOOKUP($Q9,武学奇术!$A:$ZZ,16,FALSE)+SUM(_xlfn.XLOOKUP(R9:AF9,增益!$A:$A,增益!$P:$P,0))</f>
        <v>0</v>
      </c>
      <c r="BI9" s="27">
        <f>MIN(IF(VLOOKUP($Q9,武学奇术!$A:$ZZ,23,FALSE)=1,100%,$B$8),100%)</f>
        <v>0.9969</v>
      </c>
      <c r="BJ9" s="27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0.9137</v>
      </c>
      <c r="BK9" s="27" cm="1">
        <f t="array" ref="BK9">1+$B$13+VLOOKUP($Q9,武学奇术!$A:$ZZ,18,FALSE)+SUM(_xlfn.XLOOKUP(R9:AF9,增益!$A:$A,增益!$R:$R,0))</f>
        <v>1.51</v>
      </c>
      <c r="BL9" s="27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0.0895</v>
      </c>
      <c r="BM9" s="27" cm="1">
        <f t="array" ref="BM9">1+$B$14+VLOOKUP($Q9,武学奇术!$A:$ZZ,20,FALSE)+SUM(_xlfn.XLOOKUP(R9:AF9,增益!$A:$A,增益!$T:$T,0))</f>
        <v>1.35</v>
      </c>
      <c r="BN9" s="27">
        <f t="shared" si="9"/>
        <v>0.90767745</v>
      </c>
      <c r="BO9" s="27">
        <f t="shared" si="10"/>
        <v>-1.30104260698261e-17</v>
      </c>
      <c r="BP9" s="27">
        <f>IF(VLOOKUP($Q9,武学奇术!$A:$ZZ,22,FALSE)=1,0,(1-$BI9))*(1-$BL9)</f>
        <v>0.00282254999999999</v>
      </c>
      <c r="BQ9" s="27" cm="1">
        <f t="array" ref="BQ9">SUM(_xlfn.XLOOKUP(R9:AF9,增益!$A:$A,增益!$W:$W,0))+$I$5</f>
        <v>0.11</v>
      </c>
    </row>
    <row r="10" spans="1:69">
      <c r="A10" s="44" t="s">
        <v>105</v>
      </c>
      <c r="B10" s="73">
        <v>0.0895</v>
      </c>
      <c r="C10" s="48" t="s">
        <v>66</v>
      </c>
      <c r="D10">
        <f>(B2+B23)*IF($G$2="撼天",1.06,1)</f>
        <v>2333.7</v>
      </c>
      <c r="E10">
        <f>MAX(B2+B23,C2+B24)*IF($G$2="撼天",1.06,1)</f>
        <v>5809.5</v>
      </c>
      <c r="F10">
        <f>D2</f>
        <v>63.5</v>
      </c>
      <c r="G10" s="91">
        <f>E2</f>
        <v>0</v>
      </c>
      <c r="H10" s="71" t="s">
        <v>106</v>
      </c>
      <c r="I10" s="76">
        <f>SUM(K:K)</f>
        <v>15127585.9560326</v>
      </c>
      <c r="J10" s="77"/>
      <c r="K10" s="41">
        <f t="shared" si="0"/>
        <v>13029.2769974173</v>
      </c>
      <c r="L10" s="41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弹道",$B$21,0))*(1+$BQ10)</f>
        <v>12780.6334600377</v>
      </c>
      <c r="M10" s="41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弹道",$B$21,0))*(1+$BQ10)</f>
        <v>15800.6033544124</v>
      </c>
      <c r="N10" s="41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弹道",$B$21,0))*(1+$BQ10)</f>
        <v>8408.31148686692</v>
      </c>
      <c r="O10" s="41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弹道",$B$21,0))*(1+$BQ10)</f>
        <v>5112.47234083573</v>
      </c>
      <c r="P10" s="42">
        <v>1</v>
      </c>
      <c r="Q10" s="43" t="s">
        <v>107</v>
      </c>
      <c r="R10" s="43" t="s">
        <v>78</v>
      </c>
      <c r="S10" s="43" t="s">
        <v>79</v>
      </c>
      <c r="T10" s="43" t="s">
        <v>73</v>
      </c>
      <c r="U10" s="43" t="s">
        <v>73</v>
      </c>
      <c r="V10" s="43" t="s">
        <v>73</v>
      </c>
      <c r="W10" s="43" t="s">
        <v>73</v>
      </c>
      <c r="X10" s="43" t="s">
        <v>73</v>
      </c>
      <c r="Y10" s="43" t="s">
        <v>73</v>
      </c>
      <c r="Z10" s="43" t="s">
        <v>73</v>
      </c>
      <c r="AA10" s="43" t="s">
        <v>74</v>
      </c>
      <c r="AB10" s="43" t="s">
        <v>80</v>
      </c>
      <c r="AC10" s="43" t="s">
        <v>73</v>
      </c>
      <c r="AD10" s="43" t="s">
        <v>73</v>
      </c>
      <c r="AE10" s="43" t="s">
        <v>73</v>
      </c>
      <c r="AF10" s="43" t="s">
        <v>75</v>
      </c>
      <c r="AG10" t="str">
        <f>VLOOKUP($Q10,武学奇术!$A:$ZZ,25,FALSE)</f>
        <v>伞</v>
      </c>
      <c r="AH10" s="27">
        <f>VLOOKUP($Q10,武学奇术!$A:$ZZ,26,FALSE)</f>
        <v>0.54</v>
      </c>
      <c r="AI10" s="28">
        <f>VLOOKUP($Q10,武学奇术!$A:$ZZ,27,FALSE)*(1+IF(OR($AG10=$F$4,$AG10=$F$5),$B$22,0))</f>
        <v>207.2</v>
      </c>
      <c r="AJ10" s="27">
        <f>VLOOKUP($Q10,武学奇术!$A:$ZZ,28,FALSE)</f>
        <v>0.81</v>
      </c>
      <c r="AK10" s="28">
        <f>VLOOKUP($Q10,武学奇术!$A:$ZZ,29,FALSE)*(1+IF(OR($AG10=$F$4,$AG10=$F$5),$B$22,0))</f>
        <v>114.1</v>
      </c>
      <c r="AL10" s="27" cm="1">
        <f t="array" ref="AL10">$G$3+IFERROR(VLOOKUP($AG10,$F$4:$G$7,2,FALSE),0)+VLOOKUP($Q10,武学奇术!$A:$ZZ,2,FALSE)+SUM(_xlfn.XLOOKUP($R10:$AF10,增益!$A:$A,增益!$B:$B,0))</f>
        <v>0.3941</v>
      </c>
      <c r="AM10" s="27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1775.7</v>
      </c>
      <c r="AO10" cm="1">
        <f t="array" ref="AO10">$E$10*(1+$AM10)+VLOOKUP($Q10,武学奇术!$A:$ZZ,4,FALSE)+SUM(_xlfn.XLOOKUP($R10:$AF10,增益!$A:$A,增益!$D:$D,0))-$I$2</f>
        <v>5251.5</v>
      </c>
      <c r="AP10" s="35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0.3125</v>
      </c>
      <c r="AQ10" s="35" cm="1">
        <f t="array" ref="AQ10">$G$10+VLOOKUP($Q10,武学奇术!$A:$ZZ,7,FALSE)+SUM(_xlfn.XLOOKUP(R10:AF10,增益!$A:$A,增益!$G:$G,0))</f>
        <v>0.1</v>
      </c>
      <c r="AR10" s="27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5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-0.14</v>
      </c>
      <c r="AV10" s="35" cm="1">
        <f t="array" ref="AV10">$G$11+VLOOKUP($Q10,武学奇术!$A:$ZZ,10,FALSE)+SUM(_xlfn.XLOOKUP(R10:AF10,增益!$A:$A,增益!$J:$J,0))</f>
        <v>0</v>
      </c>
      <c r="AW10">
        <f t="shared" si="3"/>
        <v>0</v>
      </c>
      <c r="AX10">
        <f t="shared" si="4"/>
        <v>0</v>
      </c>
      <c r="AY10" s="35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-0.14</v>
      </c>
      <c r="AZ10" s="35" cm="1">
        <f t="array" ref="AZ10">$G$12+VLOOKUP($Q10,武学奇术!$A:$ZZ,12,FALSE)+SUM(_xlfn.XLOOKUP(R10:AF10,增益!$A:$A,增益!$L:$L,0))</f>
        <v>0</v>
      </c>
      <c r="BA10">
        <f t="shared" si="5"/>
        <v>538</v>
      </c>
      <c r="BB10">
        <f t="shared" si="6"/>
        <v>1011</v>
      </c>
      <c r="BC10" s="35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0.08</v>
      </c>
      <c r="BD10" s="35" cm="1">
        <f t="array" ref="BD10">$G$13+VLOOKUP($Q10,武学奇术!$A:$ZZ,14,FALSE)+SUM(_xlfn.XLOOKUP(R10:AF10,增益!$A:$A,增益!$N:$N,0))</f>
        <v>0.25</v>
      </c>
      <c r="BE10">
        <f t="shared" si="7"/>
        <v>0</v>
      </c>
      <c r="BF10">
        <f t="shared" si="8"/>
        <v>0</v>
      </c>
      <c r="BG10" s="35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-0.14</v>
      </c>
      <c r="BH10" s="35" cm="1">
        <f t="array" ref="BH10">$G$14+VLOOKUP($Q10,武学奇术!$A:$ZZ,16,FALSE)+SUM(_xlfn.XLOOKUP(R10:AF10,增益!$A:$A,增益!$P:$P,0))</f>
        <v>0</v>
      </c>
      <c r="BI10" s="27">
        <f>MIN(IF(VLOOKUP($Q10,武学奇术!$A:$ZZ,23,FALSE)=1,100%,$B$8),100%)</f>
        <v>0.9969</v>
      </c>
      <c r="BJ10" s="27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0.9137</v>
      </c>
      <c r="BK10" s="27" cm="1">
        <f t="array" ref="BK10">1+$B$13+VLOOKUP($Q10,武学奇术!$A:$ZZ,18,FALSE)+SUM(_xlfn.XLOOKUP(R10:AF10,增益!$A:$A,增益!$R:$R,0))</f>
        <v>1.52</v>
      </c>
      <c r="BL10" s="27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0.0895</v>
      </c>
      <c r="BM10" s="27" cm="1">
        <f t="array" ref="BM10">1+$B$14+VLOOKUP($Q10,武学奇术!$A:$ZZ,20,FALSE)+SUM(_xlfn.XLOOKUP(R10:AF10,增益!$A:$A,增益!$T:$T,0))</f>
        <v>1.35</v>
      </c>
      <c r="BN10" s="27">
        <f t="shared" si="9"/>
        <v>0.90767745</v>
      </c>
      <c r="BO10" s="27">
        <f t="shared" si="10"/>
        <v>-1.30104260698261e-17</v>
      </c>
      <c r="BP10" s="27">
        <f>IF(VLOOKUP($Q10,武学奇术!$A:$ZZ,22,FALSE)=1,0,(1-$BI10))*(1-$BL10)</f>
        <v>0.00282254999999999</v>
      </c>
      <c r="BQ10" s="27" cm="1">
        <f t="array" ref="BQ10">SUM(_xlfn.XLOOKUP(R10:AF10,增益!$A:$A,增益!$W:$W,0))+$I$5</f>
        <v>0.11</v>
      </c>
    </row>
    <row r="11" ht="14.25" spans="1:69">
      <c r="A11" s="44" t="s">
        <v>108</v>
      </c>
      <c r="B11" s="73">
        <v>0.133</v>
      </c>
      <c r="C11" s="48" t="s">
        <v>76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91">
        <f>E3</f>
        <v>0</v>
      </c>
      <c r="H11" s="74"/>
      <c r="I11" s="78"/>
      <c r="J11" s="79"/>
      <c r="K11" s="41">
        <f t="shared" si="0"/>
        <v>25800.2442349781</v>
      </c>
      <c r="L11" s="41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弹道",$B$21,0))*(1+$BQ11)</f>
        <v>25849.2290419416</v>
      </c>
      <c r="M11" s="41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弹道",$B$21,0))*(1+$BQ11)</f>
        <v>25853.8408904145</v>
      </c>
      <c r="N11" s="41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弹道",$B$21,0))*(1+$BQ11)</f>
        <v>13749.5899159264</v>
      </c>
      <c r="O11" s="41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弹道",$B$21,0))*(1+$BQ11)</f>
        <v>8348.18657969385</v>
      </c>
      <c r="P11" s="42">
        <v>0.5</v>
      </c>
      <c r="Q11" s="43" t="s">
        <v>109</v>
      </c>
      <c r="R11" s="43" t="s">
        <v>84</v>
      </c>
      <c r="S11" s="43" t="s">
        <v>79</v>
      </c>
      <c r="T11" s="43" t="s">
        <v>102</v>
      </c>
      <c r="U11" s="43" t="s">
        <v>73</v>
      </c>
      <c r="V11" s="43" t="s">
        <v>98</v>
      </c>
      <c r="W11" s="43" t="s">
        <v>73</v>
      </c>
      <c r="X11" s="43" t="s">
        <v>73</v>
      </c>
      <c r="Y11" s="43" t="s">
        <v>73</v>
      </c>
      <c r="Z11" s="43" t="s">
        <v>73</v>
      </c>
      <c r="AA11" s="43" t="s">
        <v>74</v>
      </c>
      <c r="AB11" s="43" t="s">
        <v>80</v>
      </c>
      <c r="AC11" s="43" t="s">
        <v>73</v>
      </c>
      <c r="AD11" s="43" t="s">
        <v>73</v>
      </c>
      <c r="AE11" s="43" t="s">
        <v>73</v>
      </c>
      <c r="AF11" s="43" t="s">
        <v>75</v>
      </c>
      <c r="AG11" t="str">
        <f>VLOOKUP($Q11,武学奇术!$A:$ZZ,25,FALSE)</f>
        <v>伞</v>
      </c>
      <c r="AH11" s="27">
        <f>VLOOKUP($Q11,武学奇术!$A:$ZZ,26,FALSE)</f>
        <v>1.174955</v>
      </c>
      <c r="AI11" s="28">
        <f>VLOOKUP($Q11,武学奇术!$A:$ZZ,27,FALSE)*(1+IF(OR($AG11=$F$4,$AG11=$F$5),$B$22,0))</f>
        <v>454.02</v>
      </c>
      <c r="AJ11" s="27">
        <f>VLOOKUP($Q11,武学奇术!$A:$ZZ,28,FALSE)</f>
        <v>1.762375</v>
      </c>
      <c r="AK11" s="28">
        <f>VLOOKUP($Q11,武学奇术!$A:$ZZ,29,FALSE)*(1+IF(OR($AG11=$F$4,$AG11=$F$5),$B$22,0))</f>
        <v>247.94</v>
      </c>
      <c r="AL11" s="27" cm="1">
        <f t="array" ref="AL11">$G$3+IFERROR(VLOOKUP($AG11,$F$4:$G$7,2,FALSE),0)+VLOOKUP($Q11,武学奇术!$A:$ZZ,2,FALSE)+SUM(_xlfn.XLOOKUP($R11:$AF11,增益!$A:$A,增益!$B:$B,0))</f>
        <v>1.0541</v>
      </c>
      <c r="AM11" s="27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1775.7</v>
      </c>
      <c r="AO11" cm="1">
        <f t="array" ref="AO11">$E$10*(1+$AM11)+VLOOKUP($Q11,武学奇术!$A:$ZZ,4,FALSE)+SUM(_xlfn.XLOOKUP($R11:$AF11,增益!$A:$A,增益!$D:$D,0))-$I$2</f>
        <v>5251.5</v>
      </c>
      <c r="AP11" s="35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0.3475</v>
      </c>
      <c r="AQ11" s="35" cm="1">
        <f t="array" ref="AQ11">$G$10+VLOOKUP($Q11,武学奇术!$A:$ZZ,7,FALSE)+SUM(_xlfn.XLOOKUP(R11:AF11,增益!$A:$A,增益!$G:$G,0))</f>
        <v>0.1</v>
      </c>
      <c r="AR11" s="27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5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-0.14</v>
      </c>
      <c r="AV11" s="35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35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-0.14</v>
      </c>
      <c r="AZ11" s="35" cm="1">
        <f t="array" ref="AZ11">$G$12+VLOOKUP($Q11,武学奇术!$A:$ZZ,12,FALSE)+SUM(_xlfn.XLOOKUP(R11:AF11,增益!$A:$A,增益!$L:$L,0))</f>
        <v>0</v>
      </c>
      <c r="BA11">
        <f t="shared" si="5"/>
        <v>538</v>
      </c>
      <c r="BB11">
        <f t="shared" si="6"/>
        <v>1011</v>
      </c>
      <c r="BC11" s="35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0.08</v>
      </c>
      <c r="BD11" s="35" cm="1">
        <f t="array" ref="BD11">$G$13+VLOOKUP($Q11,武学奇术!$A:$ZZ,14,FALSE)+SUM(_xlfn.XLOOKUP(R11:AF11,增益!$A:$A,增益!$N:$N,0))</f>
        <v>0.25</v>
      </c>
      <c r="BE11">
        <f t="shared" si="7"/>
        <v>0</v>
      </c>
      <c r="BF11">
        <f t="shared" si="8"/>
        <v>0</v>
      </c>
      <c r="BG11" s="35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-0.14</v>
      </c>
      <c r="BH11" s="35" cm="1">
        <f t="array" ref="BH11">$G$14+VLOOKUP($Q11,武学奇术!$A:$ZZ,16,FALSE)+SUM(_xlfn.XLOOKUP(R11:AF11,增益!$A:$A,增益!$P:$P,0))</f>
        <v>0</v>
      </c>
      <c r="BI11" s="27">
        <f>MIN(IF(VLOOKUP($Q11,武学奇术!$A:$ZZ,23,FALSE)=1,100%,$B$8),100%)</f>
        <v>0.9969</v>
      </c>
      <c r="BJ11" s="27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0.9137</v>
      </c>
      <c r="BK11" s="27" cm="1">
        <f t="array" ref="BK11">1+$B$13+VLOOKUP($Q11,武学奇术!$A:$ZZ,18,FALSE)+SUM(_xlfn.XLOOKUP(R11:AF11,增益!$A:$A,增益!$R:$R,0))</f>
        <v>1.88</v>
      </c>
      <c r="BL11" s="27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0.0895</v>
      </c>
      <c r="BM11" s="27" cm="1">
        <f t="array" ref="BM11">1+$B$14+VLOOKUP($Q11,武学奇术!$A:$ZZ,20,FALSE)+SUM(_xlfn.XLOOKUP(R11:AF11,增益!$A:$A,增益!$T:$T,0))</f>
        <v>1.35</v>
      </c>
      <c r="BN11" s="27">
        <f t="shared" si="9"/>
        <v>0.90767745</v>
      </c>
      <c r="BO11" s="27">
        <f t="shared" si="10"/>
        <v>-1.30104260698261e-17</v>
      </c>
      <c r="BP11" s="27">
        <f>IF(VLOOKUP($Q11,武学奇术!$A:$ZZ,22,FALSE)=1,0,(1-$BI11))*(1-$BL11)</f>
        <v>0.00282254999999999</v>
      </c>
      <c r="BQ11" s="27" cm="1">
        <f t="array" ref="BQ11">SUM(_xlfn.XLOOKUP(R11:AF11,增益!$A:$A,增益!$W:$W,0))+$I$5</f>
        <v>0.11</v>
      </c>
    </row>
    <row r="12" spans="1:69">
      <c r="A12" s="44" t="s">
        <v>110</v>
      </c>
      <c r="B12" s="73">
        <v>0</v>
      </c>
      <c r="C12" s="48" t="s">
        <v>81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91">
        <f>E4</f>
        <v>0</v>
      </c>
      <c r="H12" s="71" t="s">
        <v>111</v>
      </c>
      <c r="I12" s="41">
        <f>I10/I8</f>
        <v>137523.508691205</v>
      </c>
      <c r="J12" s="80"/>
      <c r="K12" s="41">
        <f t="shared" si="0"/>
        <v>32857.008286375</v>
      </c>
      <c r="L12" s="41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弹道",$B$21,0))*(1+$BQ12)</f>
        <v>33267.3330658568</v>
      </c>
      <c r="M12" s="41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弹道",$B$21,0))*(1+$BQ12)</f>
        <v>29434.3362375677</v>
      </c>
      <c r="N12" s="41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弹道",$B$21,0))*(1+$BQ12)</f>
        <v>15618.4662281018</v>
      </c>
      <c r="O12" s="41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弹道",$B$21,0))*(1+$BQ12)</f>
        <v>9433.72042837561</v>
      </c>
      <c r="P12" s="42">
        <v>0.5</v>
      </c>
      <c r="Q12" s="43" t="s">
        <v>109</v>
      </c>
      <c r="R12" s="43" t="s">
        <v>78</v>
      </c>
      <c r="S12" s="43" t="s">
        <v>79</v>
      </c>
      <c r="T12" s="43" t="s">
        <v>102</v>
      </c>
      <c r="U12" s="43" t="s">
        <v>73</v>
      </c>
      <c r="V12" s="43" t="s">
        <v>98</v>
      </c>
      <c r="W12" s="43" t="s">
        <v>73</v>
      </c>
      <c r="X12" s="43" t="s">
        <v>73</v>
      </c>
      <c r="Y12" s="43" t="s">
        <v>112</v>
      </c>
      <c r="Z12" s="43" t="s">
        <v>113</v>
      </c>
      <c r="AA12" s="43" t="s">
        <v>74</v>
      </c>
      <c r="AB12" s="43" t="s">
        <v>80</v>
      </c>
      <c r="AC12" s="43" t="s">
        <v>73</v>
      </c>
      <c r="AD12" s="43" t="s">
        <v>73</v>
      </c>
      <c r="AE12" s="43" t="s">
        <v>73</v>
      </c>
      <c r="AF12" s="43" t="s">
        <v>75</v>
      </c>
      <c r="AG12" t="str">
        <f>VLOOKUP($Q12,武学奇术!$A:$ZZ,25,FALSE)</f>
        <v>伞</v>
      </c>
      <c r="AH12" s="27">
        <f>VLOOKUP($Q12,武学奇术!$A:$ZZ,26,FALSE)</f>
        <v>1.174955</v>
      </c>
      <c r="AI12" s="28">
        <f>VLOOKUP($Q12,武学奇术!$A:$ZZ,27,FALSE)*(1+IF(OR($AG12=$F$4,$AG12=$F$5),$B$22,0))</f>
        <v>454.02</v>
      </c>
      <c r="AJ12" s="27">
        <f>VLOOKUP($Q12,武学奇术!$A:$ZZ,28,FALSE)</f>
        <v>1.762375</v>
      </c>
      <c r="AK12" s="28">
        <f>VLOOKUP($Q12,武学奇术!$A:$ZZ,29,FALSE)*(1+IF(OR($AG12=$F$4,$AG12=$F$5),$B$22,0))</f>
        <v>247.94</v>
      </c>
      <c r="AL12" s="27" cm="1">
        <f t="array" ref="AL12">$G$3+IFERROR(VLOOKUP($AG12,$F$4:$G$7,2,FALSE),0)+VLOOKUP($Q12,武学奇术!$A:$ZZ,2,FALSE)+SUM(_xlfn.XLOOKUP($R12:$AF12,增益!$A:$A,增益!$B:$B,0))</f>
        <v>1.1941</v>
      </c>
      <c r="AM12" s="27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1775.7</v>
      </c>
      <c r="AO12" cm="1">
        <f t="array" ref="AO12">$E$10*(1+$AM12)+VLOOKUP($Q12,武学奇术!$A:$ZZ,4,FALSE)+SUM(_xlfn.XLOOKUP($R12:$AF12,增益!$A:$A,增益!$D:$D,0))-$I$2</f>
        <v>5251.5</v>
      </c>
      <c r="AP12" s="35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0.4625</v>
      </c>
      <c r="AQ12" s="35" cm="1">
        <f t="array" ref="AQ12">$G$10+VLOOKUP($Q12,武学奇术!$A:$ZZ,7,FALSE)+SUM(_xlfn.XLOOKUP(R12:AF12,增益!$A:$A,增益!$G:$G,0))</f>
        <v>0.1</v>
      </c>
      <c r="AR12" s="27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5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-0.14</v>
      </c>
      <c r="AV12" s="35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35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-0.14</v>
      </c>
      <c r="AZ12" s="35" cm="1">
        <f t="array" ref="AZ12">$G$12+VLOOKUP($Q12,武学奇术!$A:$ZZ,12,FALSE)+SUM(_xlfn.XLOOKUP(R12:AF12,增益!$A:$A,增益!$L:$L,0))</f>
        <v>0</v>
      </c>
      <c r="BA12">
        <f t="shared" si="5"/>
        <v>538</v>
      </c>
      <c r="BB12">
        <f t="shared" si="6"/>
        <v>1011</v>
      </c>
      <c r="BC12" s="35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0.08</v>
      </c>
      <c r="BD12" s="35" cm="1">
        <f t="array" ref="BD12">$G$13+VLOOKUP($Q12,武学奇术!$A:$ZZ,14,FALSE)+SUM(_xlfn.XLOOKUP(R12:AF12,增益!$A:$A,增益!$N:$N,0))</f>
        <v>0.25</v>
      </c>
      <c r="BE12">
        <f t="shared" si="7"/>
        <v>0</v>
      </c>
      <c r="BF12">
        <f t="shared" si="8"/>
        <v>0</v>
      </c>
      <c r="BG12" s="35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-0.14</v>
      </c>
      <c r="BH12" s="35" cm="1">
        <f t="array" ref="BH12">$G$14+VLOOKUP($Q12,武学奇术!$A:$ZZ,16,FALSE)+SUM(_xlfn.XLOOKUP(R12:AF12,增益!$A:$A,增益!$P:$P,0))</f>
        <v>0</v>
      </c>
      <c r="BI12" s="27">
        <f>MIN(IF(VLOOKUP($Q12,武学奇术!$A:$ZZ,23,FALSE)=1,100%,$B$8),100%)</f>
        <v>0.9969</v>
      </c>
      <c r="BJ12" s="27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0.9137</v>
      </c>
      <c r="BK12" s="27" cm="1">
        <f t="array" ref="BK12">1+$B$13+VLOOKUP($Q12,武学奇术!$A:$ZZ,18,FALSE)+SUM(_xlfn.XLOOKUP(R12:AF12,增益!$A:$A,增益!$R:$R,0))</f>
        <v>2.13</v>
      </c>
      <c r="BL12" s="27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0.0895</v>
      </c>
      <c r="BM12" s="27" cm="1">
        <f t="array" ref="BM12">1+$B$14+VLOOKUP($Q12,武学奇术!$A:$ZZ,20,FALSE)+SUM(_xlfn.XLOOKUP(R12:AF12,增益!$A:$A,增益!$T:$T,0))</f>
        <v>1.35</v>
      </c>
      <c r="BN12" s="27">
        <f t="shared" si="9"/>
        <v>0.90767745</v>
      </c>
      <c r="BO12" s="27">
        <f t="shared" si="10"/>
        <v>-1.30104260698261e-17</v>
      </c>
      <c r="BP12" s="27">
        <f>IF(VLOOKUP($Q12,武学奇术!$A:$ZZ,22,FALSE)=1,0,(1-$BI12))*(1-$BL12)</f>
        <v>0.00282254999999999</v>
      </c>
      <c r="BQ12" s="27" cm="1">
        <f t="array" ref="BQ12">SUM(_xlfn.XLOOKUP(R12:AF12,增益!$A:$A,增益!$W:$W,0))+$I$5</f>
        <v>0.11</v>
      </c>
    </row>
    <row r="13" ht="14.25" spans="1:69">
      <c r="A13" s="44" t="s">
        <v>114</v>
      </c>
      <c r="B13" s="73">
        <f>50%+IF(G2="时雨",10%,0)</f>
        <v>0.5</v>
      </c>
      <c r="C13" s="48" t="s">
        <v>5</v>
      </c>
      <c r="D13">
        <f>(B5+IF($G$1=$C13,$B$7,0))*IF($G$2="撼天",1.06,1)</f>
        <v>538</v>
      </c>
      <c r="E13">
        <f>(MAX(B5,C5)+IF($G$1=$C13,$C$7,0))*IF($G$2="撼天",1.06,1)</f>
        <v>1011</v>
      </c>
      <c r="F13">
        <f>D5</f>
        <v>30</v>
      </c>
      <c r="G13" s="91">
        <f>E5</f>
        <v>0.15</v>
      </c>
      <c r="H13" s="74"/>
      <c r="I13" s="81"/>
      <c r="J13" s="79"/>
      <c r="K13" s="41">
        <f t="shared" si="0"/>
        <v>70312.0849443301</v>
      </c>
      <c r="L13" s="41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弹道",$B$21,0))*(1+$BQ13)</f>
        <v>71182.2743310955</v>
      </c>
      <c r="M13" s="41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弹道",$B$21,0))*(1+$BQ13)</f>
        <v>63069.8509356721</v>
      </c>
      <c r="N13" s="41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弹道",$B$21,0))*(1+$BQ13)</f>
        <v>33418.9081366646</v>
      </c>
      <c r="O13" s="41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弹道",$B$21,0))*(1+$BQ13)</f>
        <v>20119.4081728313</v>
      </c>
      <c r="P13" s="42">
        <v>1</v>
      </c>
      <c r="Q13" s="43" t="s">
        <v>109</v>
      </c>
      <c r="R13" s="43" t="s">
        <v>84</v>
      </c>
      <c r="S13" s="43" t="s">
        <v>79</v>
      </c>
      <c r="T13" s="43" t="s">
        <v>102</v>
      </c>
      <c r="U13" s="43" t="s">
        <v>86</v>
      </c>
      <c r="V13" s="43" t="s">
        <v>98</v>
      </c>
      <c r="W13" s="43" t="s">
        <v>73</v>
      </c>
      <c r="X13" s="43" t="s">
        <v>73</v>
      </c>
      <c r="Y13" s="43" t="s">
        <v>112</v>
      </c>
      <c r="Z13" s="43" t="s">
        <v>113</v>
      </c>
      <c r="AA13" s="43" t="s">
        <v>74</v>
      </c>
      <c r="AB13" s="43" t="s">
        <v>80</v>
      </c>
      <c r="AC13" s="43" t="s">
        <v>73</v>
      </c>
      <c r="AD13" s="43" t="s">
        <v>73</v>
      </c>
      <c r="AE13" s="43" t="s">
        <v>73</v>
      </c>
      <c r="AF13" s="43" t="s">
        <v>75</v>
      </c>
      <c r="AG13" t="str">
        <f>VLOOKUP($Q13,武学奇术!$A:$ZZ,25,FALSE)</f>
        <v>伞</v>
      </c>
      <c r="AH13" s="27">
        <f>VLOOKUP($Q13,武学奇术!$A:$ZZ,26,FALSE)</f>
        <v>1.174955</v>
      </c>
      <c r="AI13" s="28">
        <f>VLOOKUP($Q13,武学奇术!$A:$ZZ,27,FALSE)*(1+IF(OR($AG13=$F$4,$AG13=$F$5),$B$22,0))</f>
        <v>454.02</v>
      </c>
      <c r="AJ13" s="27">
        <f>VLOOKUP($Q13,武学奇术!$A:$ZZ,28,FALSE)</f>
        <v>1.762375</v>
      </c>
      <c r="AK13" s="28">
        <f>VLOOKUP($Q13,武学奇术!$A:$ZZ,29,FALSE)*(1+IF(OR($AG13=$F$4,$AG13=$F$5),$B$22,0))</f>
        <v>247.94</v>
      </c>
      <c r="AL13" s="27" cm="1">
        <f t="array" ref="AL13">$G$3+IFERROR(VLOOKUP($AG13,$F$4:$G$7,2,FALSE),0)+VLOOKUP($Q13,武学奇术!$A:$ZZ,2,FALSE)+SUM(_xlfn.XLOOKUP($R13:$AF13,增益!$A:$A,增益!$B:$B,0))</f>
        <v>1.2041</v>
      </c>
      <c r="AM13" s="27" cm="1">
        <f t="array" ref="AM13">VLOOKUP($Q13,武学奇术!$A:$ZZ,5,FALSE)+SUM(_xlfn.XLOOKUP($R13:$AF13,增益!$A:$A,增益!$E:$E,0))</f>
        <v>0.075</v>
      </c>
      <c r="AN13" cm="1">
        <f t="array" ref="AN13">$D$10*(1+$AM13)+VLOOKUP($Q13,武学奇术!$A:$ZZ,3,FALSE)+SUM(_xlfn.XLOOKUP($R13:$AF13,增益!$A:$A,增益!$C:$C,0))-$I$2</f>
        <v>1950.7275</v>
      </c>
      <c r="AO13" cm="1">
        <f t="array" ref="AO13">$E$10*(1+$AM13)+VLOOKUP($Q13,武学奇术!$A:$ZZ,4,FALSE)+SUM(_xlfn.XLOOKUP($R13:$AF13,增益!$A:$A,增益!$D:$D,0))-$I$2</f>
        <v>5687.2125</v>
      </c>
      <c r="AP13" s="35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0.4725</v>
      </c>
      <c r="AQ13" s="35" cm="1">
        <f t="array" ref="AQ13">$G$10+VLOOKUP($Q13,武学奇术!$A:$ZZ,7,FALSE)+SUM(_xlfn.XLOOKUP(R13:AF13,增益!$A:$A,增益!$G:$G,0))</f>
        <v>0.1</v>
      </c>
      <c r="AR13" s="27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5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-0.14</v>
      </c>
      <c r="AV13" s="35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35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-0.14</v>
      </c>
      <c r="AZ13" s="35" cm="1">
        <f t="array" ref="AZ13">$G$12+VLOOKUP($Q13,武学奇术!$A:$ZZ,12,FALSE)+SUM(_xlfn.XLOOKUP(R13:AF13,增益!$A:$A,增益!$L:$L,0))</f>
        <v>0</v>
      </c>
      <c r="BA13">
        <f t="shared" si="5"/>
        <v>538</v>
      </c>
      <c r="BB13">
        <f t="shared" si="6"/>
        <v>1011</v>
      </c>
      <c r="BC13" s="35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0.08</v>
      </c>
      <c r="BD13" s="35" cm="1">
        <f t="array" ref="BD13">$G$13+VLOOKUP($Q13,武学奇术!$A:$ZZ,14,FALSE)+SUM(_xlfn.XLOOKUP(R13:AF13,增益!$A:$A,增益!$N:$N,0))</f>
        <v>0.25</v>
      </c>
      <c r="BE13">
        <f t="shared" si="7"/>
        <v>0</v>
      </c>
      <c r="BF13">
        <f t="shared" si="8"/>
        <v>0</v>
      </c>
      <c r="BG13" s="35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-0.14</v>
      </c>
      <c r="BH13" s="35" cm="1">
        <f t="array" ref="BH13">$G$14+VLOOKUP($Q13,武学奇术!$A:$ZZ,16,FALSE)+SUM(_xlfn.XLOOKUP(R13:AF13,增益!$A:$A,增益!$P:$P,0))</f>
        <v>0</v>
      </c>
      <c r="BI13" s="27">
        <f>MIN(IF(VLOOKUP($Q13,武学奇术!$A:$ZZ,23,FALSE)=1,100%,$B$8),100%)</f>
        <v>0.9969</v>
      </c>
      <c r="BJ13" s="27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0.9137</v>
      </c>
      <c r="BK13" s="27" cm="1">
        <f t="array" ref="BK13">1+$B$13+VLOOKUP($Q13,武学奇术!$A:$ZZ,18,FALSE)+SUM(_xlfn.XLOOKUP(R13:AF13,增益!$A:$A,增益!$R:$R,0))</f>
        <v>2.13</v>
      </c>
      <c r="BL13" s="27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0.0895</v>
      </c>
      <c r="BM13" s="27" cm="1">
        <f t="array" ref="BM13">1+$B$14+VLOOKUP($Q13,武学奇术!$A:$ZZ,20,FALSE)+SUM(_xlfn.XLOOKUP(R13:AF13,增益!$A:$A,增益!$T:$T,0))</f>
        <v>1.35</v>
      </c>
      <c r="BN13" s="27">
        <f t="shared" si="9"/>
        <v>0.90767745</v>
      </c>
      <c r="BO13" s="27">
        <f t="shared" si="10"/>
        <v>-1.30104260698261e-17</v>
      </c>
      <c r="BP13" s="27">
        <f>IF(VLOOKUP($Q13,武学奇术!$A:$ZZ,22,FALSE)=1,0,(1-$BI13))*(1-$BL13)</f>
        <v>0.00282254999999999</v>
      </c>
      <c r="BQ13" s="27" cm="1">
        <f t="array" ref="BQ13">SUM(_xlfn.XLOOKUP(R13:AF13,增益!$A:$A,增益!$W:$W,0))+$I$5</f>
        <v>0.11</v>
      </c>
    </row>
    <row r="14" ht="14.25" spans="1:69">
      <c r="A14" s="44" t="s">
        <v>115</v>
      </c>
      <c r="B14" s="73">
        <v>0.35</v>
      </c>
      <c r="C14" s="56" t="s">
        <v>91</v>
      </c>
      <c r="D14" s="14">
        <f>(B6+IF($G$1=$C14,B7,0))*IF($G$2="撼天",1.06,1)</f>
        <v>0</v>
      </c>
      <c r="E14" s="14">
        <f>(MAX(B6,C6)+IF($G$1=$C14,$C$7,0))*IF($G$2="撼天",1.06,1)</f>
        <v>0</v>
      </c>
      <c r="F14" s="14">
        <f>D6</f>
        <v>0</v>
      </c>
      <c r="G14" s="92">
        <f>E6</f>
        <v>0</v>
      </c>
      <c r="H14" s="39" t="s">
        <v>116</v>
      </c>
      <c r="I14" s="76">
        <f>RD!I14</f>
        <v>117772.709602175</v>
      </c>
      <c r="J14" s="77"/>
      <c r="K14" s="41">
        <f t="shared" si="0"/>
        <v>285237.389448288</v>
      </c>
      <c r="L14" s="41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弹道",$B$21,0))*(1+$BQ14)</f>
        <v>288873.075890373</v>
      </c>
      <c r="M14" s="41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弹道",$B$21,0))*(1+$BQ14)</f>
        <v>254799.14484159</v>
      </c>
      <c r="N14" s="41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弹道",$B$21,0))*(1+$BQ14)</f>
        <v>134987.418640361</v>
      </c>
      <c r="O14" s="41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弹道",$B$21,0))*(1+$BQ14)</f>
        <v>81234.7299906558</v>
      </c>
      <c r="P14" s="42">
        <v>4</v>
      </c>
      <c r="Q14" s="43" t="s">
        <v>109</v>
      </c>
      <c r="R14" s="43" t="s">
        <v>89</v>
      </c>
      <c r="S14" s="43" t="s">
        <v>85</v>
      </c>
      <c r="T14" s="43" t="s">
        <v>102</v>
      </c>
      <c r="U14" s="43" t="s">
        <v>86</v>
      </c>
      <c r="V14" s="43" t="s">
        <v>98</v>
      </c>
      <c r="W14" s="43" t="s">
        <v>73</v>
      </c>
      <c r="X14" s="43" t="s">
        <v>73</v>
      </c>
      <c r="Y14" s="43" t="s">
        <v>112</v>
      </c>
      <c r="Z14" s="43" t="s">
        <v>113</v>
      </c>
      <c r="AA14" s="43" t="s">
        <v>74</v>
      </c>
      <c r="AB14" s="43" t="s">
        <v>80</v>
      </c>
      <c r="AC14" s="43" t="s">
        <v>73</v>
      </c>
      <c r="AD14" s="43" t="s">
        <v>73</v>
      </c>
      <c r="AE14" s="43" t="s">
        <v>73</v>
      </c>
      <c r="AF14" s="43" t="s">
        <v>75</v>
      </c>
      <c r="AG14" t="str">
        <f>VLOOKUP($Q14,武学奇术!$A:$ZZ,25,FALSE)</f>
        <v>伞</v>
      </c>
      <c r="AH14" s="27">
        <f>VLOOKUP($Q14,武学奇术!$A:$ZZ,26,FALSE)</f>
        <v>1.174955</v>
      </c>
      <c r="AI14" s="28">
        <f>VLOOKUP($Q14,武学奇术!$A:$ZZ,27,FALSE)*(1+IF(OR($AG14=$F$4,$AG14=$F$5),$B$22,0))</f>
        <v>454.02</v>
      </c>
      <c r="AJ14" s="27">
        <f>VLOOKUP($Q14,武学奇术!$A:$ZZ,28,FALSE)</f>
        <v>1.762375</v>
      </c>
      <c r="AK14" s="28">
        <f>VLOOKUP($Q14,武学奇术!$A:$ZZ,29,FALSE)*(1+IF(OR($AG14=$F$4,$AG14=$F$5),$B$22,0))</f>
        <v>247.94</v>
      </c>
      <c r="AL14" s="27" cm="1">
        <f t="array" ref="AL14">$G$3+IFERROR(VLOOKUP($AG14,$F$4:$G$7,2,FALSE),0)+VLOOKUP($Q14,武学奇术!$A:$ZZ,2,FALSE)+SUM(_xlfn.XLOOKUP($R14:$AF14,增益!$A:$A,增益!$B:$B,0))</f>
        <v>1.2141</v>
      </c>
      <c r="AM14" s="27" cm="1">
        <f t="array" ref="AM14">VLOOKUP($Q14,武学奇术!$A:$ZZ,5,FALSE)+SUM(_xlfn.XLOOKUP($R14:$AF14,增益!$A:$A,增益!$E:$E,0))</f>
        <v>0.075</v>
      </c>
      <c r="AN14" cm="1">
        <f t="array" ref="AN14">$D$10*(1+$AM14)+VLOOKUP($Q14,武学奇术!$A:$ZZ,3,FALSE)+SUM(_xlfn.XLOOKUP($R14:$AF14,增益!$A:$A,增益!$C:$C,0))-$I$2</f>
        <v>1950.7275</v>
      </c>
      <c r="AO14" cm="1">
        <f t="array" ref="AO14">$E$10*(1+$AM14)+VLOOKUP($Q14,武学奇术!$A:$ZZ,4,FALSE)+SUM(_xlfn.XLOOKUP($R14:$AF14,增益!$A:$A,增益!$D:$D,0))-$I$2</f>
        <v>5687.2125</v>
      </c>
      <c r="AP14" s="35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0.4825</v>
      </c>
      <c r="AQ14" s="35" cm="1">
        <f t="array" ref="AQ14">$G$10+VLOOKUP($Q14,武学奇术!$A:$ZZ,7,FALSE)+SUM(_xlfn.XLOOKUP(R14:AF14,增益!$A:$A,增益!$G:$G,0))</f>
        <v>0.1</v>
      </c>
      <c r="AR14" s="27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5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-0.14</v>
      </c>
      <c r="AV14" s="35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35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-0.14</v>
      </c>
      <c r="AZ14" s="35" cm="1">
        <f t="array" ref="AZ14">$G$12+VLOOKUP($Q14,武学奇术!$A:$ZZ,12,FALSE)+SUM(_xlfn.XLOOKUP(R14:AF14,增益!$A:$A,增益!$L:$L,0))</f>
        <v>0</v>
      </c>
      <c r="BA14">
        <f t="shared" si="5"/>
        <v>538</v>
      </c>
      <c r="BB14">
        <f t="shared" si="6"/>
        <v>1011</v>
      </c>
      <c r="BC14" s="35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0.08</v>
      </c>
      <c r="BD14" s="35" cm="1">
        <f t="array" ref="BD14">$G$13+VLOOKUP($Q14,武学奇术!$A:$ZZ,14,FALSE)+SUM(_xlfn.XLOOKUP(R14:AF14,增益!$A:$A,增益!$N:$N,0))</f>
        <v>0.25</v>
      </c>
      <c r="BE14">
        <f t="shared" si="7"/>
        <v>0</v>
      </c>
      <c r="BF14">
        <f t="shared" si="8"/>
        <v>0</v>
      </c>
      <c r="BG14" s="35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-0.14</v>
      </c>
      <c r="BH14" s="35" cm="1">
        <f t="array" ref="BH14">$G$14+VLOOKUP($Q14,武学奇术!$A:$ZZ,16,FALSE)+SUM(_xlfn.XLOOKUP(R14:AF14,增益!$A:$A,增益!$P:$P,0))</f>
        <v>0</v>
      </c>
      <c r="BI14" s="27">
        <f>MIN(IF(VLOOKUP($Q14,武学奇术!$A:$ZZ,23,FALSE)=1,100%,$B$8),100%)</f>
        <v>0.9969</v>
      </c>
      <c r="BJ14" s="27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0.9137</v>
      </c>
      <c r="BK14" s="27" cm="1">
        <f t="array" ref="BK14">1+$B$13+VLOOKUP($Q14,武学奇术!$A:$ZZ,18,FALSE)+SUM(_xlfn.XLOOKUP(R14:AF14,增益!$A:$A,增益!$R:$R,0))</f>
        <v>2.14</v>
      </c>
      <c r="BL14" s="27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0.0895</v>
      </c>
      <c r="BM14" s="27" cm="1">
        <f t="array" ref="BM14">1+$B$14+VLOOKUP($Q14,武学奇术!$A:$ZZ,20,FALSE)+SUM(_xlfn.XLOOKUP(R14:AF14,增益!$A:$A,增益!$T:$T,0))</f>
        <v>1.35</v>
      </c>
      <c r="BN14" s="27">
        <f t="shared" si="9"/>
        <v>0.90767745</v>
      </c>
      <c r="BO14" s="27">
        <f t="shared" si="10"/>
        <v>-1.30104260698261e-17</v>
      </c>
      <c r="BP14" s="27">
        <f>IF(VLOOKUP($Q14,武学奇术!$A:$ZZ,22,FALSE)=1,0,(1-$BI14))*(1-$BL14)</f>
        <v>0.00282254999999999</v>
      </c>
      <c r="BQ14" s="27" cm="1">
        <f t="array" ref="BQ14">SUM(_xlfn.XLOOKUP(R14:AF14,增益!$A:$A,增益!$W:$W,0))+$I$5</f>
        <v>0.11</v>
      </c>
    </row>
    <row r="15" spans="1:69">
      <c r="A15" s="44" t="s">
        <v>117</v>
      </c>
      <c r="B15" s="73">
        <v>0.0852</v>
      </c>
      <c r="C15" s="42" t="s">
        <v>118</v>
      </c>
      <c r="D15" s="42"/>
      <c r="F15" s="82"/>
      <c r="H15" s="83"/>
      <c r="I15" s="78"/>
      <c r="J15" s="79"/>
      <c r="K15" s="41">
        <f t="shared" si="0"/>
        <v>144013.296238346</v>
      </c>
      <c r="L15" s="41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弹道",$B$21,0))*(1+$BQ15)</f>
        <v>145846.966018988</v>
      </c>
      <c r="M15" s="41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弹道",$B$21,0))*(1+$BQ15)</f>
        <v>128665.653844365</v>
      </c>
      <c r="N15" s="41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弹道",$B$21,0))*(1+$BQ15)</f>
        <v>68152.7878593401</v>
      </c>
      <c r="O15" s="41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弹道",$B$21,0))*(1+$BQ15)</f>
        <v>40997.6839821139</v>
      </c>
      <c r="P15" s="42">
        <v>2</v>
      </c>
      <c r="Q15" s="43" t="s">
        <v>109</v>
      </c>
      <c r="R15" s="43" t="s">
        <v>93</v>
      </c>
      <c r="S15" s="43" t="s">
        <v>85</v>
      </c>
      <c r="T15" s="43" t="s">
        <v>102</v>
      </c>
      <c r="U15" s="43" t="s">
        <v>86</v>
      </c>
      <c r="V15" s="43" t="s">
        <v>98</v>
      </c>
      <c r="W15" s="43" t="s">
        <v>73</v>
      </c>
      <c r="X15" s="43" t="s">
        <v>73</v>
      </c>
      <c r="Y15" s="43" t="s">
        <v>112</v>
      </c>
      <c r="Z15" s="43" t="s">
        <v>113</v>
      </c>
      <c r="AA15" s="43" t="s">
        <v>74</v>
      </c>
      <c r="AB15" s="43" t="s">
        <v>80</v>
      </c>
      <c r="AC15" s="43" t="s">
        <v>73</v>
      </c>
      <c r="AD15" s="43" t="s">
        <v>73</v>
      </c>
      <c r="AE15" s="43" t="s">
        <v>73</v>
      </c>
      <c r="AF15" s="43" t="s">
        <v>75</v>
      </c>
      <c r="AG15" t="str">
        <f>VLOOKUP($Q15,武学奇术!$A:$ZZ,25,FALSE)</f>
        <v>伞</v>
      </c>
      <c r="AH15" s="27">
        <f>VLOOKUP($Q15,武学奇术!$A:$ZZ,26,FALSE)</f>
        <v>1.174955</v>
      </c>
      <c r="AI15" s="28">
        <f>VLOOKUP($Q15,武学奇术!$A:$ZZ,27,FALSE)*(1+IF(OR($AG15=$F$4,$AG15=$F$5),$B$22,0))</f>
        <v>454.02</v>
      </c>
      <c r="AJ15" s="27">
        <f>VLOOKUP($Q15,武学奇术!$A:$ZZ,28,FALSE)</f>
        <v>1.762375</v>
      </c>
      <c r="AK15" s="28">
        <f>VLOOKUP($Q15,武学奇术!$A:$ZZ,29,FALSE)*(1+IF(OR($AG15=$F$4,$AG15=$F$5),$B$22,0))</f>
        <v>247.94</v>
      </c>
      <c r="AL15" s="27" cm="1">
        <f t="array" ref="AL15">$G$3+IFERROR(VLOOKUP($AG15,$F$4:$G$7,2,FALSE),0)+VLOOKUP($Q15,武学奇术!$A:$ZZ,2,FALSE)+SUM(_xlfn.XLOOKUP($R15:$AF15,增益!$A:$A,增益!$B:$B,0))</f>
        <v>1.2241</v>
      </c>
      <c r="AM15" s="27" cm="1">
        <f t="array" ref="AM15">VLOOKUP($Q15,武学奇术!$A:$ZZ,5,FALSE)+SUM(_xlfn.XLOOKUP($R15:$AF15,增益!$A:$A,增益!$E:$E,0))</f>
        <v>0.075</v>
      </c>
      <c r="AN15" cm="1">
        <f t="array" ref="AN15">$D$10*(1+$AM15)+VLOOKUP($Q15,武学奇术!$A:$ZZ,3,FALSE)+SUM(_xlfn.XLOOKUP($R15:$AF15,增益!$A:$A,增益!$C:$C,0))-$I$2</f>
        <v>1950.7275</v>
      </c>
      <c r="AO15" cm="1">
        <f t="array" ref="AO15">$E$10*(1+$AM15)+VLOOKUP($Q15,武学奇术!$A:$ZZ,4,FALSE)+SUM(_xlfn.XLOOKUP($R15:$AF15,增益!$A:$A,增益!$D:$D,0))-$I$2</f>
        <v>5687.2125</v>
      </c>
      <c r="AP15" s="35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0.4925</v>
      </c>
      <c r="AQ15" s="35" cm="1">
        <f t="array" ref="AQ15">$G$10+VLOOKUP($Q15,武学奇术!$A:$ZZ,7,FALSE)+SUM(_xlfn.XLOOKUP(R15:AF15,增益!$A:$A,增益!$G:$G,0))</f>
        <v>0.1</v>
      </c>
      <c r="AR15" s="27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5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-0.14</v>
      </c>
      <c r="AV15" s="35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35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-0.14</v>
      </c>
      <c r="AZ15" s="35" cm="1">
        <f t="array" ref="AZ15">$G$12+VLOOKUP($Q15,武学奇术!$A:$ZZ,12,FALSE)+SUM(_xlfn.XLOOKUP(R15:AF15,增益!$A:$A,增益!$L:$L,0))</f>
        <v>0</v>
      </c>
      <c r="BA15">
        <f t="shared" si="5"/>
        <v>538</v>
      </c>
      <c r="BB15">
        <f t="shared" si="6"/>
        <v>1011</v>
      </c>
      <c r="BC15" s="35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0.08</v>
      </c>
      <c r="BD15" s="35" cm="1">
        <f t="array" ref="BD15">$G$13+VLOOKUP($Q15,武学奇术!$A:$ZZ,14,FALSE)+SUM(_xlfn.XLOOKUP(R15:AF15,增益!$A:$A,增益!$N:$N,0))</f>
        <v>0.25</v>
      </c>
      <c r="BE15">
        <f t="shared" si="7"/>
        <v>0</v>
      </c>
      <c r="BF15">
        <f t="shared" si="8"/>
        <v>0</v>
      </c>
      <c r="BG15" s="35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-0.14</v>
      </c>
      <c r="BH15" s="35" cm="1">
        <f t="array" ref="BH15">$G$14+VLOOKUP($Q15,武学奇术!$A:$ZZ,16,FALSE)+SUM(_xlfn.XLOOKUP(R15:AF15,增益!$A:$A,增益!$P:$P,0))</f>
        <v>0</v>
      </c>
      <c r="BI15" s="27">
        <f>MIN(IF(VLOOKUP($Q15,武学奇术!$A:$ZZ,23,FALSE)=1,100%,$B$8),100%)</f>
        <v>0.9969</v>
      </c>
      <c r="BJ15" s="27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0.9137</v>
      </c>
      <c r="BK15" s="27" cm="1">
        <f t="array" ref="BK15">1+$B$13+VLOOKUP($Q15,武学奇术!$A:$ZZ,18,FALSE)+SUM(_xlfn.XLOOKUP(R15:AF15,增益!$A:$A,增益!$R:$R,0))</f>
        <v>2.14</v>
      </c>
      <c r="BL15" s="27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0.0895</v>
      </c>
      <c r="BM15" s="27" cm="1">
        <f t="array" ref="BM15">1+$B$14+VLOOKUP($Q15,武学奇术!$A:$ZZ,20,FALSE)+SUM(_xlfn.XLOOKUP(R15:AF15,增益!$A:$A,增益!$T:$T,0))</f>
        <v>1.35</v>
      </c>
      <c r="BN15" s="27">
        <f t="shared" si="9"/>
        <v>0.90767745</v>
      </c>
      <c r="BO15" s="27">
        <f t="shared" si="10"/>
        <v>-1.30104260698261e-17</v>
      </c>
      <c r="BP15" s="27">
        <f>IF(VLOOKUP($Q15,武学奇术!$A:$ZZ,22,FALSE)=1,0,(1-$BI15))*(1-$BL15)</f>
        <v>0.00282254999999999</v>
      </c>
      <c r="BQ15" s="27" cm="1">
        <f t="array" ref="BQ15">SUM(_xlfn.XLOOKUP(R15:AF15,增益!$A:$A,增益!$W:$W,0))+$I$5</f>
        <v>0.11</v>
      </c>
    </row>
    <row r="16" spans="1:69">
      <c r="A16" s="44" t="s">
        <v>119</v>
      </c>
      <c r="B16" s="73">
        <v>0.0887</v>
      </c>
      <c r="C16" s="42" t="s">
        <v>120</v>
      </c>
      <c r="D16" s="82" t="s">
        <v>121</v>
      </c>
      <c r="E16" s="42" t="s">
        <v>122</v>
      </c>
      <c r="F16" s="82" t="s">
        <v>121</v>
      </c>
      <c r="H16" s="71" t="s">
        <v>123</v>
      </c>
      <c r="I16" s="84">
        <f>I12/137523.51</f>
        <v>0.999999990483118</v>
      </c>
      <c r="J16" s="85"/>
      <c r="K16" s="41">
        <f t="shared" si="0"/>
        <v>144631.903725291</v>
      </c>
      <c r="L16" s="41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弹道",$B$21,0))*(1+$BQ16)</f>
        <v>146528.493897581</v>
      </c>
      <c r="M16" s="41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弹道",$B$21,0))*(1+$BQ16)</f>
        <v>128665.653844365</v>
      </c>
      <c r="N16" s="41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弹道",$B$21,0))*(1+$BQ16)</f>
        <v>68152.7878593401</v>
      </c>
      <c r="O16" s="41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弹道",$B$21,0))*(1+$BQ16)</f>
        <v>40997.6839821139</v>
      </c>
      <c r="P16" s="42">
        <v>2</v>
      </c>
      <c r="Q16" s="43" t="s">
        <v>109</v>
      </c>
      <c r="R16" s="43" t="s">
        <v>93</v>
      </c>
      <c r="S16" s="43" t="s">
        <v>90</v>
      </c>
      <c r="T16" s="43" t="s">
        <v>102</v>
      </c>
      <c r="U16" s="43" t="s">
        <v>86</v>
      </c>
      <c r="V16" s="43" t="s">
        <v>98</v>
      </c>
      <c r="W16" s="43" t="s">
        <v>73</v>
      </c>
      <c r="X16" s="43" t="s">
        <v>73</v>
      </c>
      <c r="Y16" s="43" t="s">
        <v>112</v>
      </c>
      <c r="Z16" s="43" t="s">
        <v>113</v>
      </c>
      <c r="AA16" s="43" t="s">
        <v>74</v>
      </c>
      <c r="AB16" s="43" t="s">
        <v>80</v>
      </c>
      <c r="AC16" s="43" t="s">
        <v>73</v>
      </c>
      <c r="AD16" s="43" t="s">
        <v>73</v>
      </c>
      <c r="AE16" s="43" t="s">
        <v>73</v>
      </c>
      <c r="AF16" s="43" t="s">
        <v>75</v>
      </c>
      <c r="AG16" t="str">
        <f>VLOOKUP($Q16,武学奇术!$A:$ZZ,25,FALSE)</f>
        <v>伞</v>
      </c>
      <c r="AH16" s="27">
        <f>VLOOKUP($Q16,武学奇术!$A:$ZZ,26,FALSE)</f>
        <v>1.174955</v>
      </c>
      <c r="AI16" s="28">
        <f>VLOOKUP($Q16,武学奇术!$A:$ZZ,27,FALSE)*(1+IF(OR($AG16=$F$4,$AG16=$F$5),$B$22,0))</f>
        <v>454.02</v>
      </c>
      <c r="AJ16" s="27">
        <f>VLOOKUP($Q16,武学奇术!$A:$ZZ,28,FALSE)</f>
        <v>1.762375</v>
      </c>
      <c r="AK16" s="28">
        <f>VLOOKUP($Q16,武学奇术!$A:$ZZ,29,FALSE)*(1+IF(OR($AG16=$F$4,$AG16=$F$5),$B$22,0))</f>
        <v>247.94</v>
      </c>
      <c r="AL16" s="27" cm="1">
        <f t="array" ref="AL16">$G$3+IFERROR(VLOOKUP($AG16,$F$4:$G$7,2,FALSE),0)+VLOOKUP($Q16,武学奇术!$A:$ZZ,2,FALSE)+SUM(_xlfn.XLOOKUP($R16:$AF16,增益!$A:$A,增益!$B:$B,0))</f>
        <v>1.2241</v>
      </c>
      <c r="AM16" s="27" cm="1">
        <f t="array" ref="AM16">VLOOKUP($Q16,武学奇术!$A:$ZZ,5,FALSE)+SUM(_xlfn.XLOOKUP($R16:$AF16,增益!$A:$A,增益!$E:$E,0))</f>
        <v>0.075</v>
      </c>
      <c r="AN16" cm="1">
        <f t="array" ref="AN16">$D$10*(1+$AM16)+VLOOKUP($Q16,武学奇术!$A:$ZZ,3,FALSE)+SUM(_xlfn.XLOOKUP($R16:$AF16,增益!$A:$A,增益!$C:$C,0))-$I$2</f>
        <v>1950.7275</v>
      </c>
      <c r="AO16" cm="1">
        <f t="array" ref="AO16">$E$10*(1+$AM16)+VLOOKUP($Q16,武学奇术!$A:$ZZ,4,FALSE)+SUM(_xlfn.XLOOKUP($R16:$AF16,增益!$A:$A,增益!$D:$D,0))-$I$2</f>
        <v>5687.2125</v>
      </c>
      <c r="AP16" s="35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0.4925</v>
      </c>
      <c r="AQ16" s="35" cm="1">
        <f t="array" ref="AQ16">$G$10+VLOOKUP($Q16,武学奇术!$A:$ZZ,7,FALSE)+SUM(_xlfn.XLOOKUP(R16:AF16,增益!$A:$A,增益!$G:$G,0))</f>
        <v>0.1</v>
      </c>
      <c r="AR16" s="27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5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-0.14</v>
      </c>
      <c r="AV16" s="35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35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-0.14</v>
      </c>
      <c r="AZ16" s="35" cm="1">
        <f t="array" ref="AZ16">$G$12+VLOOKUP($Q16,武学奇术!$A:$ZZ,12,FALSE)+SUM(_xlfn.XLOOKUP(R16:AF16,增益!$A:$A,增益!$L:$L,0))</f>
        <v>0</v>
      </c>
      <c r="BA16">
        <f t="shared" si="5"/>
        <v>538</v>
      </c>
      <c r="BB16">
        <f t="shared" si="6"/>
        <v>1011</v>
      </c>
      <c r="BC16" s="35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0.08</v>
      </c>
      <c r="BD16" s="35" cm="1">
        <f t="array" ref="BD16">$G$13+VLOOKUP($Q16,武学奇术!$A:$ZZ,14,FALSE)+SUM(_xlfn.XLOOKUP(R16:AF16,增益!$A:$A,增益!$N:$N,0))</f>
        <v>0.25</v>
      </c>
      <c r="BE16">
        <f t="shared" si="7"/>
        <v>0</v>
      </c>
      <c r="BF16">
        <f t="shared" si="8"/>
        <v>0</v>
      </c>
      <c r="BG16" s="35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-0.14</v>
      </c>
      <c r="BH16" s="35" cm="1">
        <f t="array" ref="BH16">$G$14+VLOOKUP($Q16,武学奇术!$A:$ZZ,16,FALSE)+SUM(_xlfn.XLOOKUP(R16:AF16,增益!$A:$A,增益!$P:$P,0))</f>
        <v>0</v>
      </c>
      <c r="BI16" s="27">
        <f>MIN(IF(VLOOKUP($Q16,武学奇术!$A:$ZZ,23,FALSE)=1,100%,$B$8),100%)</f>
        <v>0.9969</v>
      </c>
      <c r="BJ16" s="27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0.9137</v>
      </c>
      <c r="BK16" s="27" cm="1">
        <f t="array" ref="BK16">1+$B$13+VLOOKUP($Q16,武学奇术!$A:$ZZ,18,FALSE)+SUM(_xlfn.XLOOKUP(R16:AF16,增益!$A:$A,增益!$R:$R,0))</f>
        <v>2.15</v>
      </c>
      <c r="BL16" s="27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0.0895</v>
      </c>
      <c r="BM16" s="27" cm="1">
        <f t="array" ref="BM16">1+$B$14+VLOOKUP($Q16,武学奇术!$A:$ZZ,20,FALSE)+SUM(_xlfn.XLOOKUP(R16:AF16,增益!$A:$A,增益!$T:$T,0))</f>
        <v>1.35</v>
      </c>
      <c r="BN16" s="27">
        <f t="shared" si="9"/>
        <v>0.90767745</v>
      </c>
      <c r="BO16" s="27">
        <f t="shared" si="10"/>
        <v>-1.30104260698261e-17</v>
      </c>
      <c r="BP16" s="27">
        <f>IF(VLOOKUP($Q16,武学奇术!$A:$ZZ,22,FALSE)=1,0,(1-$BI16))*(1-$BL16)</f>
        <v>0.00282254999999999</v>
      </c>
      <c r="BQ16" s="27" cm="1">
        <f t="array" ref="BQ16">SUM(_xlfn.XLOOKUP(R16:AF16,增益!$A:$A,增益!$W:$W,0))+$I$5</f>
        <v>0.11</v>
      </c>
    </row>
    <row r="17" spans="1:69">
      <c r="A17" s="44" t="s">
        <v>124</v>
      </c>
      <c r="B17" s="73">
        <v>0.0852</v>
      </c>
      <c r="C17" s="42" t="s">
        <v>125</v>
      </c>
      <c r="D17" s="82" t="s">
        <v>121</v>
      </c>
      <c r="E17" s="42" t="s">
        <v>126</v>
      </c>
      <c r="F17" s="82" t="s">
        <v>121</v>
      </c>
      <c r="H17" s="74"/>
      <c r="I17" s="86"/>
      <c r="J17" s="87"/>
      <c r="K17" s="41">
        <f t="shared" si="0"/>
        <v>27749.6437921084</v>
      </c>
      <c r="L17" s="41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弹道",$B$21,0))*(1+$BQ17)</f>
        <v>27642.7225631701</v>
      </c>
      <c r="M17" s="41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弹道",$B$21,0))*(1+$BQ17)</f>
        <v>29411.1565737218</v>
      </c>
      <c r="N17" s="41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弹道",$B$21,0))*(1+$BQ17)</f>
        <v>15617.3573803221</v>
      </c>
      <c r="O17" s="41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弹道",$B$21,0))*(1+$BQ17)</f>
        <v>9448.67285418355</v>
      </c>
      <c r="P17" s="42">
        <v>1</v>
      </c>
      <c r="Q17" s="43" t="s">
        <v>127</v>
      </c>
      <c r="R17" s="43" t="s">
        <v>84</v>
      </c>
      <c r="S17" s="43" t="s">
        <v>79</v>
      </c>
      <c r="T17" s="43" t="s">
        <v>73</v>
      </c>
      <c r="U17" s="43" t="s">
        <v>73</v>
      </c>
      <c r="V17" s="43" t="s">
        <v>73</v>
      </c>
      <c r="W17" s="43" t="s">
        <v>73</v>
      </c>
      <c r="X17" s="43" t="s">
        <v>73</v>
      </c>
      <c r="Y17" s="43" t="s">
        <v>112</v>
      </c>
      <c r="Z17" s="43" t="s">
        <v>113</v>
      </c>
      <c r="AA17" s="43" t="s">
        <v>74</v>
      </c>
      <c r="AB17" s="43" t="s">
        <v>80</v>
      </c>
      <c r="AC17" s="43" t="s">
        <v>73</v>
      </c>
      <c r="AD17" s="43" t="s">
        <v>73</v>
      </c>
      <c r="AE17" s="43" t="s">
        <v>73</v>
      </c>
      <c r="AF17" s="43" t="s">
        <v>75</v>
      </c>
      <c r="AG17" t="str">
        <f>VLOOKUP($Q17,武学奇术!$A:$ZZ,25,FALSE)</f>
        <v>扇</v>
      </c>
      <c r="AH17" s="27">
        <f>VLOOKUP($Q17,武学奇术!$A:$ZZ,26,FALSE)</f>
        <v>1.2798</v>
      </c>
      <c r="AI17" s="28">
        <f>VLOOKUP($Q17,武学奇术!$A:$ZZ,27,FALSE)*(1+IF(OR($AG17=$F$4,$AG17=$F$5),$B$22,0))</f>
        <v>497</v>
      </c>
      <c r="AJ17" s="27">
        <f>VLOOKUP($Q17,武学奇术!$A:$ZZ,28,FALSE)</f>
        <v>1.9197</v>
      </c>
      <c r="AK17" s="28">
        <f>VLOOKUP($Q17,武学奇术!$A:$ZZ,29,FALSE)*(1+IF(OR($AG17=$F$4,$AG17=$F$5),$B$22,0))</f>
        <v>270.2</v>
      </c>
      <c r="AL17" s="27" cm="1">
        <f t="array" ref="AL17">$G$3+IFERROR(VLOOKUP($AG17,$F$4:$G$7,2,FALSE),0)+VLOOKUP($Q17,武学奇术!$A:$ZZ,2,FALSE)+SUM(_xlfn.XLOOKUP($R17:$AF17,增益!$A:$A,增益!$B:$B,0))</f>
        <v>0.4689</v>
      </c>
      <c r="AM17" s="27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1775.7</v>
      </c>
      <c r="AO17" cm="1">
        <f t="array" ref="AO17">$E$10*(1+$AM17)+VLOOKUP($Q17,武学奇术!$A:$ZZ,4,FALSE)+SUM(_xlfn.XLOOKUP($R17:$AF17,增益!$A:$A,增益!$D:$D,0))-$I$2</f>
        <v>5251.5</v>
      </c>
      <c r="AP17" s="35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0.4475</v>
      </c>
      <c r="AQ17" s="35" cm="1">
        <f t="array" ref="AQ17">$G$10+VLOOKUP($Q17,武学奇术!$A:$ZZ,7,FALSE)+SUM(_xlfn.XLOOKUP(R17:AF17,增益!$A:$A,增益!$G:$G,0))</f>
        <v>0</v>
      </c>
      <c r="AR17" s="27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5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-0.14</v>
      </c>
      <c r="AV17" s="35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35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-0.14</v>
      </c>
      <c r="AZ17" s="35" cm="1">
        <f t="array" ref="AZ17">$G$12+VLOOKUP($Q17,武学奇术!$A:$ZZ,12,FALSE)+SUM(_xlfn.XLOOKUP(R17:AF17,增益!$A:$A,增益!$L:$L,0))</f>
        <v>0</v>
      </c>
      <c r="BA17">
        <f t="shared" si="5"/>
        <v>538</v>
      </c>
      <c r="BB17">
        <f t="shared" si="6"/>
        <v>1011</v>
      </c>
      <c r="BC17" s="35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0.08</v>
      </c>
      <c r="BD17" s="35" cm="1">
        <f t="array" ref="BD17">$G$13+VLOOKUP($Q17,武学奇术!$A:$ZZ,14,FALSE)+SUM(_xlfn.XLOOKUP(R17:AF17,增益!$A:$A,增益!$N:$N,0))</f>
        <v>0.15</v>
      </c>
      <c r="BE17">
        <f t="shared" si="7"/>
        <v>0</v>
      </c>
      <c r="BF17">
        <f t="shared" si="8"/>
        <v>0</v>
      </c>
      <c r="BG17" s="35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-0.14</v>
      </c>
      <c r="BH17" s="35" cm="1">
        <f t="array" ref="BH17">$G$14+VLOOKUP($Q17,武学奇术!$A:$ZZ,16,FALSE)+SUM(_xlfn.XLOOKUP(R17:AF17,增益!$A:$A,增益!$P:$P,0))</f>
        <v>0</v>
      </c>
      <c r="BI17" s="27">
        <f>MIN(IF(VLOOKUP($Q17,武学奇术!$A:$ZZ,23,FALSE)=1,100%,$B$8),100%)</f>
        <v>0.9969</v>
      </c>
      <c r="BJ17" s="27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0.9137</v>
      </c>
      <c r="BK17" s="27" cm="1">
        <f t="array" ref="BK17">1+$B$13+VLOOKUP($Q17,武学奇术!$A:$ZZ,18,FALSE)+SUM(_xlfn.XLOOKUP(R17:AF17,增益!$A:$A,增益!$R:$R,0))</f>
        <v>1.77</v>
      </c>
      <c r="BL17" s="27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0.0895</v>
      </c>
      <c r="BM17" s="27" cm="1">
        <f t="array" ref="BM17">1+$B$14+VLOOKUP($Q17,武学奇术!$A:$ZZ,20,FALSE)+SUM(_xlfn.XLOOKUP(R17:AF17,增益!$A:$A,增益!$T:$T,0))</f>
        <v>1.35</v>
      </c>
      <c r="BN17" s="27">
        <f t="shared" si="9"/>
        <v>0.90767745</v>
      </c>
      <c r="BO17" s="27">
        <f t="shared" si="10"/>
        <v>-1.30104260698261e-17</v>
      </c>
      <c r="BP17" s="27">
        <f>IF(VLOOKUP($Q17,武学奇术!$A:$ZZ,22,FALSE)=1,0,(1-$BI17))*(1-$BL17)</f>
        <v>0.00282254999999999</v>
      </c>
      <c r="BQ17" s="27" cm="1">
        <f t="array" ref="BQ17">SUM(_xlfn.XLOOKUP(R17:AF17,增益!$A:$A,增益!$W:$W,0))+$I$5</f>
        <v>0.11</v>
      </c>
    </row>
    <row r="18" spans="1:69">
      <c r="A18" s="44" t="s">
        <v>128</v>
      </c>
      <c r="B18" s="73">
        <v>0</v>
      </c>
      <c r="C18" s="42" t="s">
        <v>129</v>
      </c>
      <c r="D18" s="82" t="s">
        <v>121</v>
      </c>
      <c r="K18" s="41">
        <f t="shared" si="0"/>
        <v>21661.6198848618</v>
      </c>
      <c r="L18" s="41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弹道",$B$21,0))*(1+$BQ18)</f>
        <v>21586.9018862618</v>
      </c>
      <c r="M18" s="41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弹道",$B$21,0))*(1+$BQ18)</f>
        <v>22871.9004568535</v>
      </c>
      <c r="N18" s="41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弹道",$B$21,0))*(1+$BQ18)</f>
        <v>12127.47296981</v>
      </c>
      <c r="O18" s="41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弹道",$B$21,0))*(1+$BQ18)</f>
        <v>7312.7974530618</v>
      </c>
      <c r="P18" s="42">
        <v>1</v>
      </c>
      <c r="Q18" s="43" t="s">
        <v>130</v>
      </c>
      <c r="R18" s="43" t="s">
        <v>89</v>
      </c>
      <c r="S18" s="43" t="s">
        <v>85</v>
      </c>
      <c r="T18" s="43" t="s">
        <v>73</v>
      </c>
      <c r="U18" s="43" t="s">
        <v>86</v>
      </c>
      <c r="V18" s="43" t="s">
        <v>73</v>
      </c>
      <c r="W18" s="43" t="s">
        <v>73</v>
      </c>
      <c r="X18" s="43" t="s">
        <v>73</v>
      </c>
      <c r="Y18" s="43" t="s">
        <v>112</v>
      </c>
      <c r="Z18" s="43" t="s">
        <v>113</v>
      </c>
      <c r="AA18" s="43" t="s">
        <v>74</v>
      </c>
      <c r="AB18" s="43" t="s">
        <v>80</v>
      </c>
      <c r="AC18" s="43" t="s">
        <v>73</v>
      </c>
      <c r="AD18" s="43" t="s">
        <v>73</v>
      </c>
      <c r="AE18" s="43" t="s">
        <v>73</v>
      </c>
      <c r="AF18" s="43" t="s">
        <v>75</v>
      </c>
      <c r="AG18" t="str">
        <f>VLOOKUP($Q18,武学奇术!$A:$ZZ,25,FALSE)</f>
        <v>扇</v>
      </c>
      <c r="AH18" s="27">
        <f>VLOOKUP($Q18,武学奇术!$A:$ZZ,26,FALSE)</f>
        <v>0.9271</v>
      </c>
      <c r="AI18" s="28">
        <f>VLOOKUP($Q18,武学奇术!$A:$ZZ,27,FALSE)*(1+IF(OR($AG18=$F$4,$AG18=$F$5),$B$22,0))</f>
        <v>359.8</v>
      </c>
      <c r="AJ18" s="27">
        <f>VLOOKUP($Q18,武学奇术!$A:$ZZ,28,FALSE)</f>
        <v>1.3907</v>
      </c>
      <c r="AK18" s="28">
        <f>VLOOKUP($Q18,武学奇术!$A:$ZZ,29,FALSE)*(1+IF(OR($AG18=$F$4,$AG18=$F$5),$B$22,0))</f>
        <v>196</v>
      </c>
      <c r="AL18" s="27" cm="1">
        <f t="array" ref="AL18">$G$3+IFERROR(VLOOKUP($AG18,$F$4:$G$7,2,FALSE),0)+VLOOKUP($Q18,武学奇术!$A:$ZZ,2,FALSE)+SUM(_xlfn.XLOOKUP($R18:$AF18,增益!$A:$A,增益!$B:$B,0))</f>
        <v>0.4789</v>
      </c>
      <c r="AM18" s="27" cm="1">
        <f t="array" ref="AM18">VLOOKUP($Q18,武学奇术!$A:$ZZ,5,FALSE)+SUM(_xlfn.XLOOKUP($R18:$AF18,增益!$A:$A,增益!$E:$E,0))</f>
        <v>0.075</v>
      </c>
      <c r="AN18" cm="1">
        <f t="array" ref="AN18">$D$10*(1+$AM18)+VLOOKUP($Q18,武学奇术!$A:$ZZ,3,FALSE)+SUM(_xlfn.XLOOKUP($R18:$AF18,增益!$A:$A,增益!$C:$C,0))-$I$2</f>
        <v>1950.7275</v>
      </c>
      <c r="AO18" cm="1">
        <f t="array" ref="AO18">$E$10*(1+$AM18)+VLOOKUP($Q18,武学奇术!$A:$ZZ,4,FALSE)+SUM(_xlfn.XLOOKUP($R18:$AF18,增益!$A:$A,增益!$D:$D,0))-$I$2</f>
        <v>5687.2125</v>
      </c>
      <c r="AP18" s="35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0.4575</v>
      </c>
      <c r="AQ18" s="35" cm="1">
        <f t="array" ref="AQ18">$G$10+VLOOKUP($Q18,武学奇术!$A:$ZZ,7,FALSE)+SUM(_xlfn.XLOOKUP(R18:AF18,增益!$A:$A,增益!$G:$G,0))</f>
        <v>0</v>
      </c>
      <c r="AR18" s="27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5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-0.14</v>
      </c>
      <c r="AV18" s="35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35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-0.14</v>
      </c>
      <c r="AZ18" s="35" cm="1">
        <f t="array" ref="AZ18">$G$12+VLOOKUP($Q18,武学奇术!$A:$ZZ,12,FALSE)+SUM(_xlfn.XLOOKUP(R18:AF18,增益!$A:$A,增益!$L:$L,0))</f>
        <v>0</v>
      </c>
      <c r="BA18">
        <f t="shared" si="5"/>
        <v>538</v>
      </c>
      <c r="BB18">
        <f t="shared" si="6"/>
        <v>1011</v>
      </c>
      <c r="BC18" s="35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0.08</v>
      </c>
      <c r="BD18" s="35" cm="1">
        <f t="array" ref="BD18">$G$13+VLOOKUP($Q18,武学奇术!$A:$ZZ,14,FALSE)+SUM(_xlfn.XLOOKUP(R18:AF18,增益!$A:$A,增益!$N:$N,0))</f>
        <v>0.15</v>
      </c>
      <c r="BE18">
        <f t="shared" si="7"/>
        <v>0</v>
      </c>
      <c r="BF18">
        <f t="shared" si="8"/>
        <v>0</v>
      </c>
      <c r="BG18" s="35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-0.14</v>
      </c>
      <c r="BH18" s="35" cm="1">
        <f t="array" ref="BH18">$G$14+VLOOKUP($Q18,武学奇术!$A:$ZZ,16,FALSE)+SUM(_xlfn.XLOOKUP(R18:AF18,增益!$A:$A,增益!$P:$P,0))</f>
        <v>0</v>
      </c>
      <c r="BI18" s="27">
        <f>MIN(IF(VLOOKUP($Q18,武学奇术!$A:$ZZ,23,FALSE)=1,100%,$B$8),100%)</f>
        <v>0.9969</v>
      </c>
      <c r="BJ18" s="27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0.9137</v>
      </c>
      <c r="BK18" s="27" cm="1">
        <f t="array" ref="BK18">1+$B$13+VLOOKUP($Q18,武学奇术!$A:$ZZ,18,FALSE)+SUM(_xlfn.XLOOKUP(R18:AF18,增益!$A:$A,增益!$R:$R,0))</f>
        <v>1.78</v>
      </c>
      <c r="BL18" s="27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0.0895</v>
      </c>
      <c r="BM18" s="27" cm="1">
        <f t="array" ref="BM18">1+$B$14+VLOOKUP($Q18,武学奇术!$A:$ZZ,20,FALSE)+SUM(_xlfn.XLOOKUP(R18:AF18,增益!$A:$A,增益!$T:$T,0))</f>
        <v>1.35</v>
      </c>
      <c r="BN18" s="27">
        <f t="shared" si="9"/>
        <v>0.90767745</v>
      </c>
      <c r="BO18" s="27">
        <f t="shared" si="10"/>
        <v>-1.30104260698261e-17</v>
      </c>
      <c r="BP18" s="27">
        <f>IF(VLOOKUP($Q18,武学奇术!$A:$ZZ,22,FALSE)=1,0,(1-$BI18))*(1-$BL18)</f>
        <v>0.00282254999999999</v>
      </c>
      <c r="BQ18" s="27" cm="1">
        <f t="array" ref="BQ18">SUM(_xlfn.XLOOKUP(R18:AF18,增益!$A:$A,增益!$W:$W,0))+$I$5</f>
        <v>0.11</v>
      </c>
    </row>
    <row r="19" spans="1:69">
      <c r="A19" s="44" t="s">
        <v>131</v>
      </c>
      <c r="B19" s="73">
        <v>0.2678</v>
      </c>
      <c r="C19" s="42" t="s">
        <v>132</v>
      </c>
      <c r="D19" s="82" t="s">
        <v>121</v>
      </c>
      <c r="K19" s="41">
        <f t="shared" si="0"/>
        <v>141649.350179122</v>
      </c>
      <c r="L19" s="41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弹道",$B$21,0))*(1+$BQ19)</f>
        <v>143460.238903393</v>
      </c>
      <c r="M19" s="41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弹道",$B$21,0))*(1+$BQ19)</f>
        <v>126477.420938662</v>
      </c>
      <c r="N19" s="41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弹道",$B$21,0))*(1+$BQ19)</f>
        <v>67037.4948146695</v>
      </c>
      <c r="O19" s="41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弹道",$B$21,0))*(1+$BQ19)</f>
        <v>40388.0111562561</v>
      </c>
      <c r="P19" s="42">
        <v>1</v>
      </c>
      <c r="Q19" s="43" t="s">
        <v>133</v>
      </c>
      <c r="R19" s="43" t="s">
        <v>89</v>
      </c>
      <c r="S19" s="43" t="s">
        <v>85</v>
      </c>
      <c r="T19" s="43" t="s">
        <v>73</v>
      </c>
      <c r="U19" s="43" t="s">
        <v>86</v>
      </c>
      <c r="V19" s="43" t="s">
        <v>134</v>
      </c>
      <c r="W19" s="43" t="s">
        <v>73</v>
      </c>
      <c r="X19" s="43" t="s">
        <v>73</v>
      </c>
      <c r="Y19" s="43" t="s">
        <v>112</v>
      </c>
      <c r="Z19" s="43" t="s">
        <v>113</v>
      </c>
      <c r="AA19" s="43" t="s">
        <v>74</v>
      </c>
      <c r="AB19" s="43" t="s">
        <v>80</v>
      </c>
      <c r="AC19" s="43" t="s">
        <v>73</v>
      </c>
      <c r="AD19" s="43" t="s">
        <v>73</v>
      </c>
      <c r="AE19" s="43" t="s">
        <v>73</v>
      </c>
      <c r="AF19" s="43" t="s">
        <v>75</v>
      </c>
      <c r="AG19" t="str">
        <f>VLOOKUP($Q19,武学奇术!$A:$ZZ,25,FALSE)</f>
        <v>扇</v>
      </c>
      <c r="AH19" s="27">
        <f>VLOOKUP($Q19,武学奇术!$A:$ZZ,26,FALSE)</f>
        <v>4.376825</v>
      </c>
      <c r="AI19" s="28">
        <f>VLOOKUP($Q19,武学奇术!$A:$ZZ,27,FALSE)*(1+IF(OR($AG19=$F$4,$AG19=$F$5),$B$22,0))</f>
        <v>1695.05</v>
      </c>
      <c r="AJ19" s="27">
        <f>VLOOKUP($Q19,武学奇术!$A:$ZZ,28,FALSE)</f>
        <v>6.56531</v>
      </c>
      <c r="AK19" s="28">
        <f>VLOOKUP($Q19,武学奇术!$A:$ZZ,29,FALSE)*(1+IF(OR($AG19=$F$4,$AG19=$F$5),$B$22,0))</f>
        <v>923.65</v>
      </c>
      <c r="AL19" s="27" cm="1">
        <f t="array" ref="AL19">$G$3+IFERROR(VLOOKUP($AG19,$F$4:$G$7,2,FALSE),0)+VLOOKUP($Q19,武学奇术!$A:$ZZ,2,FALSE)+SUM(_xlfn.XLOOKUP($R19:$AF19,增益!$A:$A,增益!$B:$B,0))</f>
        <v>0.5789</v>
      </c>
      <c r="AM19" s="27" cm="1">
        <f t="array" ref="AM19">VLOOKUP($Q19,武学奇术!$A:$ZZ,5,FALSE)+SUM(_xlfn.XLOOKUP($R19:$AF19,增益!$A:$A,增益!$E:$E,0))</f>
        <v>0.075</v>
      </c>
      <c r="AN19" cm="1">
        <f t="array" ref="AN19">$D$10*(1+$AM19)+VLOOKUP($Q19,武学奇术!$A:$ZZ,3,FALSE)+SUM(_xlfn.XLOOKUP($R19:$AF19,增益!$A:$A,增益!$C:$C,0))-$I$2</f>
        <v>1950.7275</v>
      </c>
      <c r="AO19" cm="1">
        <f t="array" ref="AO19">$E$10*(1+$AM19)+VLOOKUP($Q19,武学奇术!$A:$ZZ,4,FALSE)+SUM(_xlfn.XLOOKUP($R19:$AF19,增益!$A:$A,增益!$D:$D,0))-$I$2</f>
        <v>5687.2125</v>
      </c>
      <c r="AP19" s="35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0.4575</v>
      </c>
      <c r="AQ19" s="35" cm="1">
        <f t="array" ref="AQ19">$G$10+VLOOKUP($Q19,武学奇术!$A:$ZZ,7,FALSE)+SUM(_xlfn.XLOOKUP(R19:AF19,增益!$A:$A,增益!$G:$G,0))</f>
        <v>0.1</v>
      </c>
      <c r="AR19" s="27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5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-0.14</v>
      </c>
      <c r="AV19" s="35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35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-0.14</v>
      </c>
      <c r="AZ19" s="35" cm="1">
        <f t="array" ref="AZ19">$G$12+VLOOKUP($Q19,武学奇术!$A:$ZZ,12,FALSE)+SUM(_xlfn.XLOOKUP(R19:AF19,增益!$A:$A,增益!$L:$L,0))</f>
        <v>0</v>
      </c>
      <c r="BA19">
        <f t="shared" si="5"/>
        <v>538</v>
      </c>
      <c r="BB19">
        <f t="shared" si="6"/>
        <v>1011</v>
      </c>
      <c r="BC19" s="35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0.08</v>
      </c>
      <c r="BD19" s="35" cm="1">
        <f t="array" ref="BD19">$G$13+VLOOKUP($Q19,武学奇术!$A:$ZZ,14,FALSE)+SUM(_xlfn.XLOOKUP(R19:AF19,增益!$A:$A,增益!$N:$N,0))</f>
        <v>0.25</v>
      </c>
      <c r="BE19">
        <f t="shared" si="7"/>
        <v>0</v>
      </c>
      <c r="BF19">
        <f t="shared" si="8"/>
        <v>0</v>
      </c>
      <c r="BG19" s="35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-0.14</v>
      </c>
      <c r="BH19" s="35" cm="1">
        <f t="array" ref="BH19">$G$14+VLOOKUP($Q19,武学奇术!$A:$ZZ,16,FALSE)+SUM(_xlfn.XLOOKUP(R19:AF19,增益!$A:$A,增益!$P:$P,0))</f>
        <v>0</v>
      </c>
      <c r="BI19" s="27">
        <f>MIN(IF(VLOOKUP($Q19,武学奇术!$A:$ZZ,23,FALSE)=1,100%,$B$8),100%)</f>
        <v>0.9969</v>
      </c>
      <c r="BJ19" s="27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0.9137</v>
      </c>
      <c r="BK19" s="27" cm="1">
        <f t="array" ref="BK19">1+$B$13+VLOOKUP($Q19,武学奇术!$A:$ZZ,18,FALSE)+SUM(_xlfn.XLOOKUP(R19:AF19,增益!$A:$A,增益!$R:$R,0))</f>
        <v>2.14</v>
      </c>
      <c r="BL19" s="27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0.0895</v>
      </c>
      <c r="BM19" s="27" cm="1">
        <f t="array" ref="BM19">1+$B$14+VLOOKUP($Q19,武学奇术!$A:$ZZ,20,FALSE)+SUM(_xlfn.XLOOKUP(R19:AF19,增益!$A:$A,增益!$T:$T,0))</f>
        <v>1.35</v>
      </c>
      <c r="BN19" s="27">
        <f t="shared" si="9"/>
        <v>0.90767745</v>
      </c>
      <c r="BO19" s="27">
        <f t="shared" si="10"/>
        <v>-1.30104260698261e-17</v>
      </c>
      <c r="BP19" s="27">
        <f>IF(VLOOKUP($Q19,武学奇术!$A:$ZZ,22,FALSE)=1,0,(1-$BI19))*(1-$BL19)</f>
        <v>0.00282254999999999</v>
      </c>
      <c r="BQ19" s="27" cm="1">
        <f t="array" ref="BQ19">SUM(_xlfn.XLOOKUP(R19:AF19,增益!$A:$A,增益!$W:$W,0))+$I$5</f>
        <v>0.11</v>
      </c>
    </row>
    <row r="20" spans="1:69">
      <c r="A20" s="44" t="s">
        <v>135</v>
      </c>
      <c r="B20" s="73">
        <v>0</v>
      </c>
      <c r="C20" s="42" t="s">
        <v>136</v>
      </c>
      <c r="D20" s="82" t="s">
        <v>121</v>
      </c>
      <c r="K20" s="41">
        <f t="shared" si="0"/>
        <v>91106.2389805038</v>
      </c>
      <c r="L20" s="41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弹道",$B$21,0))*(1+$BQ20)</f>
        <v>91353.2283076004</v>
      </c>
      <c r="M20" s="41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弹道",$B$21,0))*(1+$BQ20)</f>
        <v>90557.4194841614</v>
      </c>
      <c r="N20" s="41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弹道",$B$21,0))*(1+$BQ20)</f>
        <v>48080.6464776844</v>
      </c>
      <c r="O20" s="41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弹道",$B$21,0))*(1+$BQ20)</f>
        <v>29081.7229671011</v>
      </c>
      <c r="P20" s="42">
        <v>1</v>
      </c>
      <c r="Q20" s="43" t="s">
        <v>97</v>
      </c>
      <c r="R20" s="43" t="s">
        <v>93</v>
      </c>
      <c r="S20" s="43" t="s">
        <v>90</v>
      </c>
      <c r="T20" s="43" t="s">
        <v>102</v>
      </c>
      <c r="U20" s="43" t="s">
        <v>86</v>
      </c>
      <c r="V20" s="43" t="s">
        <v>98</v>
      </c>
      <c r="W20" s="43" t="s">
        <v>73</v>
      </c>
      <c r="X20" s="43" t="s">
        <v>73</v>
      </c>
      <c r="Y20" s="43" t="s">
        <v>73</v>
      </c>
      <c r="Z20" s="43" t="s">
        <v>113</v>
      </c>
      <c r="AA20" s="43" t="s">
        <v>74</v>
      </c>
      <c r="AB20" s="43" t="s">
        <v>80</v>
      </c>
      <c r="AC20" s="43" t="s">
        <v>73</v>
      </c>
      <c r="AD20" s="43" t="s">
        <v>73</v>
      </c>
      <c r="AE20" s="43" t="s">
        <v>73</v>
      </c>
      <c r="AF20" s="43" t="s">
        <v>75</v>
      </c>
      <c r="AG20" t="str">
        <f>VLOOKUP($Q20,武学奇术!$A:$ZZ,25,FALSE)</f>
        <v>伞</v>
      </c>
      <c r="AH20" s="27">
        <f>VLOOKUP($Q20,武学奇术!$A:$ZZ,26,FALSE)</f>
        <v>2.3397</v>
      </c>
      <c r="AI20" s="28">
        <f>VLOOKUP($Q20,武学奇术!$A:$ZZ,27,FALSE)*(1+IF(OR($AG20=$F$4,$AG20=$F$5),$B$22,0))</f>
        <v>907.2</v>
      </c>
      <c r="AJ20" s="27">
        <f>VLOOKUP($Q20,武学奇术!$A:$ZZ,28,FALSE)</f>
        <v>3.5095</v>
      </c>
      <c r="AK20" s="28">
        <f>VLOOKUP($Q20,武学奇术!$A:$ZZ,29,FALSE)*(1+IF(OR($AG20=$F$4,$AG20=$F$5),$B$22,0))</f>
        <v>494.2</v>
      </c>
      <c r="AL20" s="27" cm="1">
        <f t="array" ref="AL20">$G$3+IFERROR(VLOOKUP($AG20,$F$4:$G$7,2,FALSE),0)+VLOOKUP($Q20,武学奇术!$A:$ZZ,2,FALSE)+SUM(_xlfn.XLOOKUP($R20:$AF20,增益!$A:$A,增益!$B:$B,0))</f>
        <v>1.2241</v>
      </c>
      <c r="AM20" s="27" cm="1">
        <f t="array" ref="AM20">VLOOKUP($Q20,武学奇术!$A:$ZZ,5,FALSE)+SUM(_xlfn.XLOOKUP($R20:$AF20,增益!$A:$A,增益!$E:$E,0))</f>
        <v>0.075</v>
      </c>
      <c r="AN20" cm="1">
        <f t="array" ref="AN20">$D$10*(1+$AM20)+VLOOKUP($Q20,武学奇术!$A:$ZZ,3,FALSE)+SUM(_xlfn.XLOOKUP($R20:$AF20,增益!$A:$A,增益!$C:$C,0))-$I$2</f>
        <v>1950.7275</v>
      </c>
      <c r="AO20" cm="1">
        <f t="array" ref="AO20">$E$10*(1+$AM20)+VLOOKUP($Q20,武学奇术!$A:$ZZ,4,FALSE)+SUM(_xlfn.XLOOKUP($R20:$AF20,增益!$A:$A,增益!$D:$D,0))-$I$2</f>
        <v>5687.2125</v>
      </c>
      <c r="AP20" s="35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0.3675</v>
      </c>
      <c r="AQ20" s="35" cm="1">
        <f t="array" ref="AQ20">$G$10+VLOOKUP($Q20,武学奇术!$A:$ZZ,7,FALSE)+SUM(_xlfn.XLOOKUP(R20:AF20,增益!$A:$A,增益!$G:$G,0))</f>
        <v>0.1</v>
      </c>
      <c r="AR20" s="27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5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-0.14</v>
      </c>
      <c r="AV20" s="35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35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-0.14</v>
      </c>
      <c r="AZ20" s="35" cm="1">
        <f t="array" ref="AZ20">$G$12+VLOOKUP($Q20,武学奇术!$A:$ZZ,12,FALSE)+SUM(_xlfn.XLOOKUP(R20:AF20,增益!$A:$A,增益!$L:$L,0))</f>
        <v>0</v>
      </c>
      <c r="BA20">
        <f t="shared" si="5"/>
        <v>538</v>
      </c>
      <c r="BB20">
        <f t="shared" si="6"/>
        <v>1011</v>
      </c>
      <c r="BC20" s="35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0.08</v>
      </c>
      <c r="BD20" s="35" cm="1">
        <f t="array" ref="BD20">$G$13+VLOOKUP($Q20,武学奇术!$A:$ZZ,14,FALSE)+SUM(_xlfn.XLOOKUP(R20:AF20,增益!$A:$A,增益!$N:$N,0))</f>
        <v>0.25</v>
      </c>
      <c r="BE20">
        <f t="shared" si="7"/>
        <v>0</v>
      </c>
      <c r="BF20">
        <f t="shared" si="8"/>
        <v>0</v>
      </c>
      <c r="BG20" s="35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-0.14</v>
      </c>
      <c r="BH20" s="35" cm="1">
        <f t="array" ref="BH20">$G$14+VLOOKUP($Q20,武学奇术!$A:$ZZ,16,FALSE)+SUM(_xlfn.XLOOKUP(R20:AF20,增益!$A:$A,增益!$P:$P,0))</f>
        <v>0</v>
      </c>
      <c r="BI20" s="27">
        <f>MIN(IF(VLOOKUP($Q20,武学奇术!$A:$ZZ,23,FALSE)=1,100%,$B$8),100%)</f>
        <v>0.9969</v>
      </c>
      <c r="BJ20" s="27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0.9137</v>
      </c>
      <c r="BK20" s="27" cm="1">
        <f t="array" ref="BK20">1+$B$13+VLOOKUP($Q20,武学奇术!$A:$ZZ,18,FALSE)+SUM(_xlfn.XLOOKUP(R20:AF20,增益!$A:$A,增益!$R:$R,0))</f>
        <v>1.9</v>
      </c>
      <c r="BL20" s="27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0.0895</v>
      </c>
      <c r="BM20" s="27" cm="1">
        <f t="array" ref="BM20">1+$B$14+VLOOKUP($Q20,武学奇术!$A:$ZZ,20,FALSE)+SUM(_xlfn.XLOOKUP(R20:AF20,增益!$A:$A,增益!$T:$T,0))</f>
        <v>1.35</v>
      </c>
      <c r="BN20" s="27">
        <f t="shared" si="9"/>
        <v>0.90767745</v>
      </c>
      <c r="BO20" s="27">
        <f t="shared" si="10"/>
        <v>-1.30104260698261e-17</v>
      </c>
      <c r="BP20" s="27">
        <f>IF(VLOOKUP($Q20,武学奇术!$A:$ZZ,22,FALSE)=1,0,(1-$BI20))*(1-$BL20)</f>
        <v>0.00282254999999999</v>
      </c>
      <c r="BQ20" s="27" cm="1">
        <f t="array" ref="BQ20">SUM(_xlfn.XLOOKUP(R20:AF20,增益!$A:$A,增益!$W:$W,0))+$I$5</f>
        <v>0.11</v>
      </c>
    </row>
    <row r="21" ht="14.25" spans="1:69">
      <c r="A21" s="88" t="s">
        <v>137</v>
      </c>
      <c r="B21" s="93">
        <v>0.32</v>
      </c>
      <c r="C21" s="42" t="s">
        <v>138</v>
      </c>
      <c r="D21" s="42"/>
      <c r="E21" s="42" t="s">
        <v>139</v>
      </c>
      <c r="F21" s="43" t="s">
        <v>140</v>
      </c>
      <c r="K21" s="41">
        <f t="shared" si="0"/>
        <v>34586.9700645785</v>
      </c>
      <c r="L21" s="41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弹道",$B$21,0))*(1+$BQ21)</f>
        <v>33968.8821191409</v>
      </c>
      <c r="M21" s="41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弹道",$B$21,0))*(1+$BQ21)</f>
        <v>41524.9519486177</v>
      </c>
      <c r="N21" s="41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弹道",$B$21,0))*(1+$BQ21)</f>
        <v>22057.7156617798</v>
      </c>
      <c r="O21" s="41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弹道",$B$21,0))*(1+$BQ21)</f>
        <v>13356.2076579169</v>
      </c>
      <c r="P21" s="42">
        <v>1</v>
      </c>
      <c r="Q21" s="43" t="s">
        <v>104</v>
      </c>
      <c r="R21" s="43" t="s">
        <v>93</v>
      </c>
      <c r="S21" s="43" t="s">
        <v>90</v>
      </c>
      <c r="T21" s="43" t="s">
        <v>73</v>
      </c>
      <c r="U21" s="43" t="s">
        <v>86</v>
      </c>
      <c r="V21" s="43" t="s">
        <v>73</v>
      </c>
      <c r="W21" s="43" t="s">
        <v>73</v>
      </c>
      <c r="X21" s="43" t="s">
        <v>73</v>
      </c>
      <c r="Y21" s="43" t="s">
        <v>73</v>
      </c>
      <c r="Z21" s="43" t="s">
        <v>73</v>
      </c>
      <c r="AA21" s="43" t="s">
        <v>74</v>
      </c>
      <c r="AB21" s="43" t="s">
        <v>80</v>
      </c>
      <c r="AC21" s="43" t="s">
        <v>73</v>
      </c>
      <c r="AD21" s="43" t="s">
        <v>73</v>
      </c>
      <c r="AE21" s="43" t="s">
        <v>73</v>
      </c>
      <c r="AF21" s="43" t="s">
        <v>75</v>
      </c>
      <c r="AG21" t="str">
        <f>VLOOKUP($Q21,武学奇术!$A:$ZZ,25,FALSE)</f>
        <v>伞</v>
      </c>
      <c r="AH21" s="27">
        <f>VLOOKUP($Q21,武学奇术!$A:$ZZ,26,FALSE)</f>
        <v>1.7001</v>
      </c>
      <c r="AI21" s="28">
        <f>VLOOKUP($Q21,武学奇术!$A:$ZZ,27,FALSE)*(1+IF(OR($AG21=$F$4,$AG21=$F$5),$B$22,0))</f>
        <v>659.4</v>
      </c>
      <c r="AJ21" s="27">
        <f>VLOOKUP($Q21,武学奇术!$A:$ZZ,28,FALSE)</f>
        <v>2.5502</v>
      </c>
      <c r="AK21" s="28">
        <f>VLOOKUP($Q21,武学奇术!$A:$ZZ,29,FALSE)*(1+IF(OR($AG21=$F$4,$AG21=$F$5),$B$22,0))</f>
        <v>358.4</v>
      </c>
      <c r="AL21" s="27" cm="1">
        <f t="array" ref="AL21">$G$3+IFERROR(VLOOKUP($AG21,$F$4:$G$7,2,FALSE),0)+VLOOKUP($Q21,武学奇术!$A:$ZZ,2,FALSE)+SUM(_xlfn.XLOOKUP($R21:$AF21,增益!$A:$A,增益!$B:$B,0))</f>
        <v>0.4241</v>
      </c>
      <c r="AM21" s="27" cm="1">
        <f t="array" ref="AM21">VLOOKUP($Q21,武学奇术!$A:$ZZ,5,FALSE)+SUM(_xlfn.XLOOKUP($R21:$AF21,增益!$A:$A,增益!$E:$E,0))</f>
        <v>0.075</v>
      </c>
      <c r="AN21" cm="1">
        <f t="array" ref="AN21">$D$10*(1+$AM21)+VLOOKUP($Q21,武学奇术!$A:$ZZ,3,FALSE)+SUM(_xlfn.XLOOKUP($R21:$AF21,增益!$A:$A,增益!$C:$C,0))-$I$2</f>
        <v>1950.7275</v>
      </c>
      <c r="AO21" cm="1">
        <f t="array" ref="AO21">$E$10*(1+$AM21)+VLOOKUP($Q21,武学奇术!$A:$ZZ,4,FALSE)+SUM(_xlfn.XLOOKUP($R21:$AF21,增益!$A:$A,增益!$D:$D,0))-$I$2</f>
        <v>5687.2125</v>
      </c>
      <c r="AP21" s="35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0.3425</v>
      </c>
      <c r="AQ21" s="35" cm="1">
        <f t="array" ref="AQ21">$G$10+VLOOKUP($Q21,武学奇术!$A:$ZZ,7,FALSE)+SUM(_xlfn.XLOOKUP(R21:AF21,增益!$A:$A,增益!$G:$G,0))</f>
        <v>0.1</v>
      </c>
      <c r="AR21" s="27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5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-0.14</v>
      </c>
      <c r="AV21" s="35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35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-0.14</v>
      </c>
      <c r="AZ21" s="35" cm="1">
        <f t="array" ref="AZ21">$G$12+VLOOKUP($Q21,武学奇术!$A:$ZZ,12,FALSE)+SUM(_xlfn.XLOOKUP(R21:AF21,增益!$A:$A,增益!$L:$L,0))</f>
        <v>0</v>
      </c>
      <c r="BA21">
        <f t="shared" si="5"/>
        <v>538</v>
      </c>
      <c r="BB21">
        <f t="shared" si="6"/>
        <v>1011</v>
      </c>
      <c r="BC21" s="35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0.08</v>
      </c>
      <c r="BD21" s="35" cm="1">
        <f t="array" ref="BD21">$G$13+VLOOKUP($Q21,武学奇术!$A:$ZZ,14,FALSE)+SUM(_xlfn.XLOOKUP(R21:AF21,增益!$A:$A,增益!$N:$N,0))</f>
        <v>0.25</v>
      </c>
      <c r="BE21">
        <f t="shared" si="7"/>
        <v>0</v>
      </c>
      <c r="BF21">
        <f t="shared" si="8"/>
        <v>0</v>
      </c>
      <c r="BG21" s="35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-0.14</v>
      </c>
      <c r="BH21" s="35" cm="1">
        <f t="array" ref="BH21">$G$14+VLOOKUP($Q21,武学奇术!$A:$ZZ,16,FALSE)+SUM(_xlfn.XLOOKUP(R21:AF21,增益!$A:$A,增益!$P:$P,0))</f>
        <v>0</v>
      </c>
      <c r="BI21" s="27">
        <f>MIN(IF(VLOOKUP($Q21,武学奇术!$A:$ZZ,23,FALSE)=1,100%,$B$8),100%)</f>
        <v>0.9969</v>
      </c>
      <c r="BJ21" s="27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0.9137</v>
      </c>
      <c r="BK21" s="27" cm="1">
        <f t="array" ref="BK21">1+$B$13+VLOOKUP($Q21,武学奇术!$A:$ZZ,18,FALSE)+SUM(_xlfn.XLOOKUP(R21:AF21,增益!$A:$A,增益!$R:$R,0))</f>
        <v>1.54</v>
      </c>
      <c r="BL21" s="27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0.0895</v>
      </c>
      <c r="BM21" s="27" cm="1">
        <f t="array" ref="BM21">1+$B$14+VLOOKUP($Q21,武学奇术!$A:$ZZ,20,FALSE)+SUM(_xlfn.XLOOKUP(R21:AF21,增益!$A:$A,增益!$T:$T,0))</f>
        <v>1.35</v>
      </c>
      <c r="BN21" s="27">
        <f t="shared" si="9"/>
        <v>0.90767745</v>
      </c>
      <c r="BO21" s="27">
        <f t="shared" si="10"/>
        <v>-1.30104260698261e-17</v>
      </c>
      <c r="BP21" s="27">
        <f>IF(VLOOKUP($Q21,武学奇术!$A:$ZZ,22,FALSE)=1,0,(1-$BI21))*(1-$BL21)</f>
        <v>0.00282254999999999</v>
      </c>
      <c r="BQ21" s="27" cm="1">
        <f t="array" ref="BQ21">SUM(_xlfn.XLOOKUP(R21:AF21,增益!$A:$A,增益!$W:$W,0))+$I$5</f>
        <v>0.11</v>
      </c>
    </row>
    <row r="22" spans="1:69">
      <c r="A22" t="s">
        <v>141</v>
      </c>
      <c r="B22" s="30">
        <v>0.4</v>
      </c>
      <c r="C22" s="43" t="s">
        <v>142</v>
      </c>
      <c r="D22" s="43"/>
      <c r="E22" s="42"/>
      <c r="F22" s="43"/>
      <c r="K22" s="41">
        <f t="shared" si="0"/>
        <v>14576.2594385362</v>
      </c>
      <c r="L22" s="41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弹道",$B$21,0))*(1+$BQ22)</f>
        <v>14325.5397424782</v>
      </c>
      <c r="M22" s="41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弹道",$B$21,0))*(1+$BQ22)</f>
        <v>17402.2420151577</v>
      </c>
      <c r="N22" s="41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弹道",$B$21,0))*(1+$BQ22)</f>
        <v>9242.28370482466</v>
      </c>
      <c r="O22" s="41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弹道",$B$21,0))*(1+$BQ22)</f>
        <v>5594.01776879176</v>
      </c>
      <c r="P22" s="42">
        <v>1</v>
      </c>
      <c r="Q22" s="43" t="s">
        <v>107</v>
      </c>
      <c r="R22" s="43" t="s">
        <v>93</v>
      </c>
      <c r="S22" s="43" t="s">
        <v>94</v>
      </c>
      <c r="T22" s="43" t="s">
        <v>73</v>
      </c>
      <c r="U22" s="43" t="s">
        <v>86</v>
      </c>
      <c r="V22" s="43" t="s">
        <v>73</v>
      </c>
      <c r="W22" s="43" t="s">
        <v>73</v>
      </c>
      <c r="X22" s="43" t="s">
        <v>73</v>
      </c>
      <c r="Y22" s="43" t="s">
        <v>73</v>
      </c>
      <c r="Z22" s="43" t="s">
        <v>73</v>
      </c>
      <c r="AA22" s="43" t="s">
        <v>74</v>
      </c>
      <c r="AB22" s="43" t="s">
        <v>80</v>
      </c>
      <c r="AC22" s="43" t="s">
        <v>73</v>
      </c>
      <c r="AD22" s="43" t="s">
        <v>73</v>
      </c>
      <c r="AE22" s="43" t="s">
        <v>73</v>
      </c>
      <c r="AF22" s="43" t="s">
        <v>75</v>
      </c>
      <c r="AG22" t="str">
        <f>VLOOKUP($Q22,武学奇术!$A:$ZZ,25,FALSE)</f>
        <v>伞</v>
      </c>
      <c r="AH22" s="27">
        <f>VLOOKUP($Q22,武学奇术!$A:$ZZ,26,FALSE)</f>
        <v>0.54</v>
      </c>
      <c r="AI22" s="28">
        <f>VLOOKUP($Q22,武学奇术!$A:$ZZ,27,FALSE)*(1+IF(OR($AG22=$F$4,$AG22=$F$5),$B$22,0))</f>
        <v>207.2</v>
      </c>
      <c r="AJ22" s="27">
        <f>VLOOKUP($Q22,武学奇术!$A:$ZZ,28,FALSE)</f>
        <v>0.81</v>
      </c>
      <c r="AK22" s="28">
        <f>VLOOKUP($Q22,武学奇术!$A:$ZZ,29,FALSE)*(1+IF(OR($AG22=$F$4,$AG22=$F$5),$B$22,0))</f>
        <v>114.1</v>
      </c>
      <c r="AL22" s="27" cm="1">
        <f t="array" ref="AL22">$G$3+IFERROR(VLOOKUP($AG22,$F$4:$G$7,2,FALSE),0)+VLOOKUP($Q22,武学奇术!$A:$ZZ,2,FALSE)+SUM(_xlfn.XLOOKUP($R22:$AF22,增益!$A:$A,增益!$B:$B,0))</f>
        <v>0.4241</v>
      </c>
      <c r="AM22" s="27" cm="1">
        <f t="array" ref="AM22">VLOOKUP($Q22,武学奇术!$A:$ZZ,5,FALSE)+SUM(_xlfn.XLOOKUP($R22:$AF22,增益!$A:$A,增益!$E:$E,0))</f>
        <v>0.075</v>
      </c>
      <c r="AN22" cm="1">
        <f t="array" ref="AN22">$D$10*(1+$AM22)+VLOOKUP($Q22,武学奇术!$A:$ZZ,3,FALSE)+SUM(_xlfn.XLOOKUP($R22:$AF22,增益!$A:$A,增益!$C:$C,0))-$I$2</f>
        <v>1950.7275</v>
      </c>
      <c r="AO22" cm="1">
        <f t="array" ref="AO22">$E$10*(1+$AM22)+VLOOKUP($Q22,武学奇术!$A:$ZZ,4,FALSE)+SUM(_xlfn.XLOOKUP($R22:$AF22,增益!$A:$A,增益!$D:$D,0))-$I$2</f>
        <v>5687.2125</v>
      </c>
      <c r="AP22" s="35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0.3425</v>
      </c>
      <c r="AQ22" s="35" cm="1">
        <f t="array" ref="AQ22">$G$10+VLOOKUP($Q22,武学奇术!$A:$ZZ,7,FALSE)+SUM(_xlfn.XLOOKUP(R22:AF22,增益!$A:$A,增益!$G:$G,0))</f>
        <v>0.1</v>
      </c>
      <c r="AR22" s="27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5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-0.14</v>
      </c>
      <c r="AV22" s="35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35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-0.14</v>
      </c>
      <c r="AZ22" s="35" cm="1">
        <f t="array" ref="AZ22">$G$12+VLOOKUP($Q22,武学奇术!$A:$ZZ,12,FALSE)+SUM(_xlfn.XLOOKUP(R22:AF22,增益!$A:$A,增益!$L:$L,0))</f>
        <v>0</v>
      </c>
      <c r="BA22">
        <f t="shared" si="5"/>
        <v>538</v>
      </c>
      <c r="BB22">
        <f t="shared" si="6"/>
        <v>1011</v>
      </c>
      <c r="BC22" s="35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0.08</v>
      </c>
      <c r="BD22" s="35" cm="1">
        <f t="array" ref="BD22">$G$13+VLOOKUP($Q22,武学奇术!$A:$ZZ,14,FALSE)+SUM(_xlfn.XLOOKUP(R22:AF22,增益!$A:$A,增益!$N:$N,0))</f>
        <v>0.25</v>
      </c>
      <c r="BE22">
        <f t="shared" si="7"/>
        <v>0</v>
      </c>
      <c r="BF22">
        <f t="shared" si="8"/>
        <v>0</v>
      </c>
      <c r="BG22" s="35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-0.14</v>
      </c>
      <c r="BH22" s="35" cm="1">
        <f t="array" ref="BH22">$G$14+VLOOKUP($Q22,武学奇术!$A:$ZZ,16,FALSE)+SUM(_xlfn.XLOOKUP(R22:AF22,增益!$A:$A,增益!$P:$P,0))</f>
        <v>0</v>
      </c>
      <c r="BI22" s="27">
        <f>MIN(IF(VLOOKUP($Q22,武学奇术!$A:$ZZ,23,FALSE)=1,100%,$B$8),100%)</f>
        <v>0.9969</v>
      </c>
      <c r="BJ22" s="27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0.9137</v>
      </c>
      <c r="BK22" s="27" cm="1">
        <f t="array" ref="BK22">1+$B$13+VLOOKUP($Q22,武学奇术!$A:$ZZ,18,FALSE)+SUM(_xlfn.XLOOKUP(R22:AF22,增益!$A:$A,增益!$R:$R,0))</f>
        <v>1.55</v>
      </c>
      <c r="BL22" s="27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0.0895</v>
      </c>
      <c r="BM22" s="27" cm="1">
        <f t="array" ref="BM22">1+$B$14+VLOOKUP($Q22,武学奇术!$A:$ZZ,20,FALSE)+SUM(_xlfn.XLOOKUP(R22:AF22,增益!$A:$A,增益!$T:$T,0))</f>
        <v>1.35</v>
      </c>
      <c r="BN22" s="27">
        <f t="shared" si="9"/>
        <v>0.90767745</v>
      </c>
      <c r="BO22" s="27">
        <f t="shared" si="10"/>
        <v>-1.30104260698261e-17</v>
      </c>
      <c r="BP22" s="27">
        <f>IF(VLOOKUP($Q22,武学奇术!$A:$ZZ,22,FALSE)=1,0,(1-$BI22))*(1-$BL22)</f>
        <v>0.00282254999999999</v>
      </c>
      <c r="BQ22" s="27" cm="1">
        <f t="array" ref="BQ22">SUM(_xlfn.XLOOKUP(R22:AF22,增益!$A:$A,增益!$W:$W,0))+$I$5</f>
        <v>0.11</v>
      </c>
    </row>
    <row r="23" spans="1:69">
      <c r="A23" s="42" t="s">
        <v>143</v>
      </c>
      <c r="B23">
        <v>200</v>
      </c>
      <c r="K23" s="41">
        <f t="shared" si="0"/>
        <v>224110.257753764</v>
      </c>
      <c r="L23" s="41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弹道",$B$21,0))*(1+$BQ23)</f>
        <v>224821.999578797</v>
      </c>
      <c r="M23" s="41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弹道",$B$21,0))*(1+$BQ23)</f>
        <v>221714.887485327</v>
      </c>
      <c r="N23" s="41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弹道",$B$21,0))*(1+$BQ23)</f>
        <v>117707.853182616</v>
      </c>
      <c r="O23" s="41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弹道",$B$21,0))*(1+$BQ23)</f>
        <v>71182.4563761012</v>
      </c>
      <c r="P23" s="42">
        <v>4</v>
      </c>
      <c r="Q23" s="43" t="s">
        <v>109</v>
      </c>
      <c r="R23" s="43" t="s">
        <v>93</v>
      </c>
      <c r="S23" s="43" t="s">
        <v>94</v>
      </c>
      <c r="T23" s="43" t="s">
        <v>102</v>
      </c>
      <c r="U23" s="43" t="s">
        <v>86</v>
      </c>
      <c r="V23" s="43" t="s">
        <v>98</v>
      </c>
      <c r="W23" s="43" t="s">
        <v>73</v>
      </c>
      <c r="X23" s="43" t="s">
        <v>73</v>
      </c>
      <c r="Y23" s="43" t="s">
        <v>73</v>
      </c>
      <c r="Z23" s="43" t="s">
        <v>73</v>
      </c>
      <c r="AA23" s="43" t="s">
        <v>73</v>
      </c>
      <c r="AB23" s="43" t="s">
        <v>80</v>
      </c>
      <c r="AC23" s="43" t="s">
        <v>73</v>
      </c>
      <c r="AD23" s="43" t="s">
        <v>73</v>
      </c>
      <c r="AE23" s="43" t="s">
        <v>73</v>
      </c>
      <c r="AF23" s="43" t="s">
        <v>75</v>
      </c>
      <c r="AG23" t="str">
        <f>VLOOKUP($Q23,武学奇术!$A:$ZZ,25,FALSE)</f>
        <v>伞</v>
      </c>
      <c r="AH23" s="27">
        <f>VLOOKUP($Q23,武学奇术!$A:$ZZ,26,FALSE)</f>
        <v>1.174955</v>
      </c>
      <c r="AI23" s="28">
        <f>VLOOKUP($Q23,武学奇术!$A:$ZZ,27,FALSE)*(1+IF(OR($AG23=$F$4,$AG23=$F$5),$B$22,0))</f>
        <v>454.02</v>
      </c>
      <c r="AJ23" s="27">
        <f>VLOOKUP($Q23,武学奇术!$A:$ZZ,28,FALSE)</f>
        <v>1.762375</v>
      </c>
      <c r="AK23" s="28">
        <f>VLOOKUP($Q23,武学奇术!$A:$ZZ,29,FALSE)*(1+IF(OR($AG23=$F$4,$AG23=$F$5),$B$22,0))</f>
        <v>247.94</v>
      </c>
      <c r="AL23" s="27" cm="1">
        <f t="array" ref="AL23">$G$3+IFERROR(VLOOKUP($AG23,$F$4:$G$7,2,FALSE),0)+VLOOKUP($Q23,武学奇术!$A:$ZZ,2,FALSE)+SUM(_xlfn.XLOOKUP($R23:$AF23,增益!$A:$A,增益!$B:$B,0))</f>
        <v>1.0541</v>
      </c>
      <c r="AM23" s="27" cm="1">
        <f t="array" ref="AM23">VLOOKUP($Q23,武学奇术!$A:$ZZ,5,FALSE)+SUM(_xlfn.XLOOKUP($R23:$AF23,增益!$A:$A,增益!$E:$E,0))</f>
        <v>0.075</v>
      </c>
      <c r="AN23" cm="1">
        <f t="array" ref="AN23">$D$10*(1+$AM23)+VLOOKUP($Q23,武学奇术!$A:$ZZ,3,FALSE)+SUM(_xlfn.XLOOKUP($R23:$AF23,增益!$A:$A,增益!$C:$C,0))-$I$2</f>
        <v>1950.7275</v>
      </c>
      <c r="AO23" cm="1">
        <f t="array" ref="AO23">$E$10*(1+$AM23)+VLOOKUP($Q23,武学奇术!$A:$ZZ,4,FALSE)+SUM(_xlfn.XLOOKUP($R23:$AF23,增益!$A:$A,增益!$D:$D,0))-$I$2</f>
        <v>5687.2125</v>
      </c>
      <c r="AP23" s="35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0.3675</v>
      </c>
      <c r="AQ23" s="35" cm="1">
        <f t="array" ref="AQ23">$G$10+VLOOKUP($Q23,武学奇术!$A:$ZZ,7,FALSE)+SUM(_xlfn.XLOOKUP(R23:AF23,增益!$A:$A,增益!$G:$G,0))</f>
        <v>0.1</v>
      </c>
      <c r="AR23" s="27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5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-0.14</v>
      </c>
      <c r="AV23" s="35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35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-0.14</v>
      </c>
      <c r="AZ23" s="35" cm="1">
        <f t="array" ref="AZ23">$G$12+VLOOKUP($Q23,武学奇术!$A:$ZZ,12,FALSE)+SUM(_xlfn.XLOOKUP(R23:AF23,增益!$A:$A,增益!$L:$L,0))</f>
        <v>0</v>
      </c>
      <c r="BA23">
        <f t="shared" si="5"/>
        <v>538</v>
      </c>
      <c r="BB23">
        <f t="shared" si="6"/>
        <v>1011</v>
      </c>
      <c r="BC23" s="35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0.08</v>
      </c>
      <c r="BD23" s="35" cm="1">
        <f t="array" ref="BD23">$G$13+VLOOKUP($Q23,武学奇术!$A:$ZZ,14,FALSE)+SUM(_xlfn.XLOOKUP(R23:AF23,增益!$A:$A,增益!$N:$N,0))</f>
        <v>0.25</v>
      </c>
      <c r="BE23">
        <f t="shared" si="7"/>
        <v>0</v>
      </c>
      <c r="BF23">
        <f t="shared" si="8"/>
        <v>0</v>
      </c>
      <c r="BG23" s="35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-0.14</v>
      </c>
      <c r="BH23" s="35" cm="1">
        <f t="array" ref="BH23">$G$14+VLOOKUP($Q23,武学奇术!$A:$ZZ,16,FALSE)+SUM(_xlfn.XLOOKUP(R23:AF23,增益!$A:$A,增益!$P:$P,0))</f>
        <v>0</v>
      </c>
      <c r="BI23" s="27">
        <f>MIN(IF(VLOOKUP($Q23,武学奇术!$A:$ZZ,23,FALSE)=1,100%,$B$8),100%)</f>
        <v>0.9969</v>
      </c>
      <c r="BJ23" s="27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0.9137</v>
      </c>
      <c r="BK23" s="27" cm="1">
        <f t="array" ref="BK23">1+$B$13+VLOOKUP($Q23,武学奇术!$A:$ZZ,18,FALSE)+SUM(_xlfn.XLOOKUP(R23:AF23,增益!$A:$A,增益!$R:$R,0))</f>
        <v>1.91</v>
      </c>
      <c r="BL23" s="27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0.0895</v>
      </c>
      <c r="BM23" s="27" cm="1">
        <f t="array" ref="BM23">1+$B$14+VLOOKUP($Q23,武学奇术!$A:$ZZ,20,FALSE)+SUM(_xlfn.XLOOKUP(R23:AF23,增益!$A:$A,增益!$T:$T,0))</f>
        <v>1.35</v>
      </c>
      <c r="BN23" s="27">
        <f t="shared" si="9"/>
        <v>0.90767745</v>
      </c>
      <c r="BO23" s="27">
        <f t="shared" si="10"/>
        <v>-1.30104260698261e-17</v>
      </c>
      <c r="BP23" s="27">
        <f>IF(VLOOKUP($Q23,武学奇术!$A:$ZZ,22,FALSE)=1,0,(1-$BI23))*(1-$BL23)</f>
        <v>0.00282254999999999</v>
      </c>
      <c r="BQ23" s="27" cm="1">
        <f t="array" ref="BQ23">SUM(_xlfn.XLOOKUP(R23:AF23,增益!$A:$A,增益!$W:$W,0))+$I$5</f>
        <v>0.11</v>
      </c>
    </row>
    <row r="24" spans="1:69">
      <c r="A24" s="42"/>
      <c r="B24">
        <v>400</v>
      </c>
      <c r="K24" s="41">
        <f t="shared" si="0"/>
        <v>337767.998090973</v>
      </c>
      <c r="L24" s="41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弹道",$B$21,0))*(1+$BQ24)</f>
        <v>338998.617165934</v>
      </c>
      <c r="M24" s="41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弹道",$B$21,0))*(1+$BQ24)</f>
        <v>332572.33122799</v>
      </c>
      <c r="N24" s="41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弹道",$B$21,0))*(1+$BQ24)</f>
        <v>176561.779773924</v>
      </c>
      <c r="O24" s="41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弹道",$B$21,0))*(1+$BQ24)</f>
        <v>106773.684564152</v>
      </c>
      <c r="P24" s="42">
        <v>6</v>
      </c>
      <c r="Q24" s="43" t="s">
        <v>109</v>
      </c>
      <c r="R24" s="43" t="s">
        <v>93</v>
      </c>
      <c r="S24" s="43" t="s">
        <v>144</v>
      </c>
      <c r="T24" s="43" t="s">
        <v>102</v>
      </c>
      <c r="U24" s="43" t="s">
        <v>86</v>
      </c>
      <c r="V24" s="43" t="s">
        <v>98</v>
      </c>
      <c r="W24" s="43" t="s">
        <v>73</v>
      </c>
      <c r="X24" s="43" t="s">
        <v>73</v>
      </c>
      <c r="Y24" s="43" t="s">
        <v>73</v>
      </c>
      <c r="Z24" s="43" t="s">
        <v>73</v>
      </c>
      <c r="AA24" s="43" t="s">
        <v>73</v>
      </c>
      <c r="AB24" s="43" t="s">
        <v>80</v>
      </c>
      <c r="AC24" s="43" t="s">
        <v>73</v>
      </c>
      <c r="AD24" s="43" t="s">
        <v>73</v>
      </c>
      <c r="AE24" s="43" t="s">
        <v>73</v>
      </c>
      <c r="AF24" s="43" t="s">
        <v>75</v>
      </c>
      <c r="AG24" t="str">
        <f>VLOOKUP($Q24,武学奇术!$A:$ZZ,25,FALSE)</f>
        <v>伞</v>
      </c>
      <c r="AH24" s="27">
        <f>VLOOKUP($Q24,武学奇术!$A:$ZZ,26,FALSE)</f>
        <v>1.174955</v>
      </c>
      <c r="AI24" s="28">
        <f>VLOOKUP($Q24,武学奇术!$A:$ZZ,27,FALSE)*(1+IF(OR($AG24=$F$4,$AG24=$F$5),$B$22,0))</f>
        <v>454.02</v>
      </c>
      <c r="AJ24" s="27">
        <f>VLOOKUP($Q24,武学奇术!$A:$ZZ,28,FALSE)</f>
        <v>1.762375</v>
      </c>
      <c r="AK24" s="28">
        <f>VLOOKUP($Q24,武学奇术!$A:$ZZ,29,FALSE)*(1+IF(OR($AG24=$F$4,$AG24=$F$5),$B$22,0))</f>
        <v>247.94</v>
      </c>
      <c r="AL24" s="27" cm="1">
        <f t="array" ref="AL24">$G$3+IFERROR(VLOOKUP($AG24,$F$4:$G$7,2,FALSE),0)+VLOOKUP($Q24,武学奇术!$A:$ZZ,2,FALSE)+SUM(_xlfn.XLOOKUP($R24:$AF24,增益!$A:$A,增益!$B:$B,0))</f>
        <v>1.0541</v>
      </c>
      <c r="AM24" s="27" cm="1">
        <f t="array" ref="AM24">VLOOKUP($Q24,武学奇术!$A:$ZZ,5,FALSE)+SUM(_xlfn.XLOOKUP($R24:$AF24,增益!$A:$A,增益!$E:$E,0))</f>
        <v>0.075</v>
      </c>
      <c r="AN24" cm="1">
        <f t="array" ref="AN24">$D$10*(1+$AM24)+VLOOKUP($Q24,武学奇术!$A:$ZZ,3,FALSE)+SUM(_xlfn.XLOOKUP($R24:$AF24,增益!$A:$A,增益!$C:$C,0))-$I$2</f>
        <v>1950.7275</v>
      </c>
      <c r="AO24" cm="1">
        <f t="array" ref="AO24">$E$10*(1+$AM24)+VLOOKUP($Q24,武学奇术!$A:$ZZ,4,FALSE)+SUM(_xlfn.XLOOKUP($R24:$AF24,增益!$A:$A,增益!$D:$D,0))-$I$2</f>
        <v>5687.2125</v>
      </c>
      <c r="AP24" s="35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0.3675</v>
      </c>
      <c r="AQ24" s="35" cm="1">
        <f t="array" ref="AQ24">$G$10+VLOOKUP($Q24,武学奇术!$A:$ZZ,7,FALSE)+SUM(_xlfn.XLOOKUP(R24:AF24,增益!$A:$A,增益!$G:$G,0))</f>
        <v>0.1</v>
      </c>
      <c r="AR24" s="27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5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-0.14</v>
      </c>
      <c r="AV24" s="35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35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-0.14</v>
      </c>
      <c r="AZ24" s="35" cm="1">
        <f t="array" ref="AZ24">$G$12+VLOOKUP($Q24,武学奇术!$A:$ZZ,12,FALSE)+SUM(_xlfn.XLOOKUP(R24:AF24,增益!$A:$A,增益!$L:$L,0))</f>
        <v>0</v>
      </c>
      <c r="BA24">
        <f t="shared" si="5"/>
        <v>538</v>
      </c>
      <c r="BB24">
        <f t="shared" si="6"/>
        <v>1011</v>
      </c>
      <c r="BC24" s="35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0.08</v>
      </c>
      <c r="BD24" s="35" cm="1">
        <f t="array" ref="BD24">$G$13+VLOOKUP($Q24,武学奇术!$A:$ZZ,14,FALSE)+SUM(_xlfn.XLOOKUP(R24:AF24,增益!$A:$A,增益!$N:$N,0))</f>
        <v>0.25</v>
      </c>
      <c r="BE24">
        <f t="shared" si="7"/>
        <v>0</v>
      </c>
      <c r="BF24">
        <f t="shared" si="8"/>
        <v>0</v>
      </c>
      <c r="BG24" s="35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-0.14</v>
      </c>
      <c r="BH24" s="35" cm="1">
        <f t="array" ref="BH24">$G$14+VLOOKUP($Q24,武学奇术!$A:$ZZ,16,FALSE)+SUM(_xlfn.XLOOKUP(R24:AF24,增益!$A:$A,增益!$P:$P,0))</f>
        <v>0</v>
      </c>
      <c r="BI24" s="27">
        <f>MIN(IF(VLOOKUP($Q24,武学奇术!$A:$ZZ,23,FALSE)=1,100%,$B$8),100%)</f>
        <v>0.9969</v>
      </c>
      <c r="BJ24" s="27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0.9137</v>
      </c>
      <c r="BK24" s="27" cm="1">
        <f t="array" ref="BK24">1+$B$13+VLOOKUP($Q24,武学奇术!$A:$ZZ,18,FALSE)+SUM(_xlfn.XLOOKUP(R24:AF24,增益!$A:$A,增益!$R:$R,0))</f>
        <v>1.92</v>
      </c>
      <c r="BL24" s="27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0.0895</v>
      </c>
      <c r="BM24" s="27" cm="1">
        <f t="array" ref="BM24">1+$B$14+VLOOKUP($Q24,武学奇术!$A:$ZZ,20,FALSE)+SUM(_xlfn.XLOOKUP(R24:AF24,增益!$A:$A,增益!$T:$T,0))</f>
        <v>1.35</v>
      </c>
      <c r="BN24" s="27">
        <f t="shared" si="9"/>
        <v>0.90767745</v>
      </c>
      <c r="BO24" s="27">
        <f t="shared" si="10"/>
        <v>-1.30104260698261e-17</v>
      </c>
      <c r="BP24" s="27">
        <f>IF(VLOOKUP($Q24,武学奇术!$A:$ZZ,22,FALSE)=1,0,(1-$BI24))*(1-$BL24)</f>
        <v>0.00282254999999999</v>
      </c>
      <c r="BQ24" s="27" cm="1">
        <f t="array" ref="BQ24">SUM(_xlfn.XLOOKUP(R24:AF24,增益!$A:$A,增益!$W:$W,0))+$I$5</f>
        <v>0.11</v>
      </c>
    </row>
    <row r="25" spans="1:69">
      <c r="K25" s="41">
        <f t="shared" si="0"/>
        <v>16020.7376824182</v>
      </c>
      <c r="L25" s="41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弹道",$B$21,0))*(1+$BQ25)</f>
        <v>15746.0830417714</v>
      </c>
      <c r="M25" s="41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弹道",$B$21,0))*(1+$BQ25)</f>
        <v>19117.2727848834</v>
      </c>
      <c r="N25" s="41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弹道",$B$21,0))*(1+$BQ25)</f>
        <v>10158.7632527558</v>
      </c>
      <c r="O25" s="41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弹道",$B$21,0))*(1+$BQ25)</f>
        <v>6156.58370189421</v>
      </c>
      <c r="P25" s="42">
        <v>1</v>
      </c>
      <c r="Q25" s="43" t="s">
        <v>130</v>
      </c>
      <c r="R25" s="43" t="s">
        <v>93</v>
      </c>
      <c r="S25" s="43" t="s">
        <v>94</v>
      </c>
      <c r="T25" s="43" t="s">
        <v>73</v>
      </c>
      <c r="U25" s="43" t="s">
        <v>86</v>
      </c>
      <c r="V25" s="43" t="s">
        <v>73</v>
      </c>
      <c r="W25" s="43" t="s">
        <v>73</v>
      </c>
      <c r="X25" s="43" t="s">
        <v>73</v>
      </c>
      <c r="Y25" s="43" t="s">
        <v>73</v>
      </c>
      <c r="Z25" s="43" t="s">
        <v>73</v>
      </c>
      <c r="AA25" s="43" t="s">
        <v>73</v>
      </c>
      <c r="AB25" s="43" t="s">
        <v>80</v>
      </c>
      <c r="AC25" s="43" t="s">
        <v>73</v>
      </c>
      <c r="AD25" s="43" t="s">
        <v>73</v>
      </c>
      <c r="AE25" s="43" t="s">
        <v>73</v>
      </c>
      <c r="AF25" s="43" t="s">
        <v>75</v>
      </c>
      <c r="AG25" t="str">
        <f>VLOOKUP($Q25,武学奇术!$A:$ZZ,25,FALSE)</f>
        <v>扇</v>
      </c>
      <c r="AH25" s="27">
        <f>VLOOKUP($Q25,武学奇术!$A:$ZZ,26,FALSE)</f>
        <v>0.9271</v>
      </c>
      <c r="AI25" s="28">
        <f>VLOOKUP($Q25,武学奇术!$A:$ZZ,27,FALSE)*(1+IF(OR($AG25=$F$4,$AG25=$F$5),$B$22,0))</f>
        <v>359.8</v>
      </c>
      <c r="AJ25" s="27">
        <f>VLOOKUP($Q25,武学奇术!$A:$ZZ,28,FALSE)</f>
        <v>1.3907</v>
      </c>
      <c r="AK25" s="28">
        <f>VLOOKUP($Q25,武学奇术!$A:$ZZ,29,FALSE)*(1+IF(OR($AG25=$F$4,$AG25=$F$5),$B$22,0))</f>
        <v>196</v>
      </c>
      <c r="AL25" s="27" cm="1">
        <f t="array" ref="AL25">$G$3+IFERROR(VLOOKUP($AG25,$F$4:$G$7,2,FALSE),0)+VLOOKUP($Q25,武学奇术!$A:$ZZ,2,FALSE)+SUM(_xlfn.XLOOKUP($R25:$AF25,增益!$A:$A,增益!$B:$B,0))</f>
        <v>0.3189</v>
      </c>
      <c r="AM25" s="27" cm="1">
        <f t="array" ref="AM25">VLOOKUP($Q25,武学奇术!$A:$ZZ,5,FALSE)+SUM(_xlfn.XLOOKUP($R25:$AF25,增益!$A:$A,增益!$E:$E,0))</f>
        <v>0.075</v>
      </c>
      <c r="AN25" cm="1">
        <f t="array" ref="AN25">$D$10*(1+$AM25)+VLOOKUP($Q25,武学奇术!$A:$ZZ,3,FALSE)+SUM(_xlfn.XLOOKUP($R25:$AF25,增益!$A:$A,增益!$C:$C,0))-$I$2</f>
        <v>1950.7275</v>
      </c>
      <c r="AO25" cm="1">
        <f t="array" ref="AO25">$E$10*(1+$AM25)+VLOOKUP($Q25,武学奇术!$A:$ZZ,4,FALSE)+SUM(_xlfn.XLOOKUP($R25:$AF25,增益!$A:$A,增益!$D:$D,0))-$I$2</f>
        <v>5687.2125</v>
      </c>
      <c r="AP25" s="35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0.3425</v>
      </c>
      <c r="AQ25" s="35" cm="1">
        <f t="array" ref="AQ25">$G$10+VLOOKUP($Q25,武学奇术!$A:$ZZ,7,FALSE)+SUM(_xlfn.XLOOKUP(R25:AF25,增益!$A:$A,增益!$G:$G,0))</f>
        <v>0</v>
      </c>
      <c r="AR25" s="27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5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-0.14</v>
      </c>
      <c r="AV25" s="35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35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-0.14</v>
      </c>
      <c r="AZ25" s="35" cm="1">
        <f t="array" ref="AZ25">$G$12+VLOOKUP($Q25,武学奇术!$A:$ZZ,12,FALSE)+SUM(_xlfn.XLOOKUP(R25:AF25,增益!$A:$A,增益!$L:$L,0))</f>
        <v>0</v>
      </c>
      <c r="BA25">
        <f t="shared" si="5"/>
        <v>538</v>
      </c>
      <c r="BB25">
        <f t="shared" si="6"/>
        <v>1011</v>
      </c>
      <c r="BC25" s="35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0.08</v>
      </c>
      <c r="BD25" s="35" cm="1">
        <f t="array" ref="BD25">$G$13+VLOOKUP($Q25,武学奇术!$A:$ZZ,14,FALSE)+SUM(_xlfn.XLOOKUP(R25:AF25,增益!$A:$A,增益!$N:$N,0))</f>
        <v>0.15</v>
      </c>
      <c r="BE25">
        <f t="shared" si="7"/>
        <v>0</v>
      </c>
      <c r="BF25">
        <f t="shared" si="8"/>
        <v>0</v>
      </c>
      <c r="BG25" s="35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-0.14</v>
      </c>
      <c r="BH25" s="35" cm="1">
        <f t="array" ref="BH25">$G$14+VLOOKUP($Q25,武学奇术!$A:$ZZ,16,FALSE)+SUM(_xlfn.XLOOKUP(R25:AF25,增益!$A:$A,增益!$P:$P,0))</f>
        <v>0</v>
      </c>
      <c r="BI25" s="27">
        <f>MIN(IF(VLOOKUP($Q25,武学奇术!$A:$ZZ,23,FALSE)=1,100%,$B$8),100%)</f>
        <v>0.9969</v>
      </c>
      <c r="BJ25" s="27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0.9137</v>
      </c>
      <c r="BK25" s="27" cm="1">
        <f t="array" ref="BK25">1+$B$13+VLOOKUP($Q25,武学奇术!$A:$ZZ,18,FALSE)+SUM(_xlfn.XLOOKUP(R25:AF25,增益!$A:$A,增益!$R:$R,0))</f>
        <v>1.55</v>
      </c>
      <c r="BL25" s="27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0.0895</v>
      </c>
      <c r="BM25" s="27" cm="1">
        <f t="array" ref="BM25">1+$B$14+VLOOKUP($Q25,武学奇术!$A:$ZZ,20,FALSE)+SUM(_xlfn.XLOOKUP(R25:AF25,增益!$A:$A,增益!$T:$T,0))</f>
        <v>1.35</v>
      </c>
      <c r="BN25" s="27">
        <f t="shared" si="9"/>
        <v>0.90767745</v>
      </c>
      <c r="BO25" s="27">
        <f t="shared" si="10"/>
        <v>-1.30104260698261e-17</v>
      </c>
      <c r="BP25" s="27">
        <f>IF(VLOOKUP($Q25,武学奇术!$A:$ZZ,22,FALSE)=1,0,(1-$BI25))*(1-$BL25)</f>
        <v>0.00282254999999999</v>
      </c>
      <c r="BQ25" s="27" cm="1">
        <f t="array" ref="BQ25">SUM(_xlfn.XLOOKUP(R25:AF25,增益!$A:$A,增益!$W:$W,0))+$I$5</f>
        <v>0.11</v>
      </c>
    </row>
    <row r="26" spans="1:69">
      <c r="F26">
        <v>100</v>
      </c>
      <c r="K26" s="41">
        <f t="shared" si="0"/>
        <v>76569.9240578693</v>
      </c>
      <c r="L26" s="41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弹道",$B$21,0))*(1+$BQ26)</f>
        <v>75306.290406369</v>
      </c>
      <c r="M26" s="41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弹道",$B$21,0))*(1+$BQ26)</f>
        <v>90878.2255863475</v>
      </c>
      <c r="N26" s="41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弹道",$B$21,0))*(1+$BQ26)</f>
        <v>48273.2630810058</v>
      </c>
      <c r="O26" s="41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弹道",$B$21,0))*(1+$BQ26)</f>
        <v>29229.3220239764</v>
      </c>
      <c r="P26" s="42">
        <v>1</v>
      </c>
      <c r="Q26" s="43" t="s">
        <v>145</v>
      </c>
      <c r="R26" s="43" t="s">
        <v>93</v>
      </c>
      <c r="S26" s="43" t="s">
        <v>144</v>
      </c>
      <c r="T26" s="43" t="s">
        <v>73</v>
      </c>
      <c r="U26" s="43" t="s">
        <v>86</v>
      </c>
      <c r="V26" s="43" t="s">
        <v>98</v>
      </c>
      <c r="W26" s="43" t="s">
        <v>146</v>
      </c>
      <c r="X26" s="43" t="s">
        <v>73</v>
      </c>
      <c r="Y26" s="43" t="s">
        <v>73</v>
      </c>
      <c r="Z26" s="43" t="s">
        <v>73</v>
      </c>
      <c r="AA26" s="43" t="s">
        <v>73</v>
      </c>
      <c r="AB26" s="43" t="s">
        <v>80</v>
      </c>
      <c r="AC26" s="43" t="s">
        <v>73</v>
      </c>
      <c r="AD26" s="43" t="s">
        <v>73</v>
      </c>
      <c r="AE26" s="43" t="s">
        <v>73</v>
      </c>
      <c r="AF26" s="43" t="s">
        <v>75</v>
      </c>
      <c r="AG26" t="str">
        <f>VLOOKUP($Q26,武学奇术!$A:$ZZ,25,FALSE)</f>
        <v>扇</v>
      </c>
      <c r="AH26" s="27">
        <f>VLOOKUP($Q26,武学奇术!$A:$ZZ,26,FALSE)</f>
        <v>2.76138</v>
      </c>
      <c r="AI26" s="28">
        <f>VLOOKUP($Q26,武学奇术!$A:$ZZ,27,FALSE)*(1+IF(OR($AG26=$F$4,$AG26=$F$5),$B$22,0))</f>
        <v>1069.81</v>
      </c>
      <c r="AJ26" s="27">
        <f>VLOOKUP($Q26,武学奇术!$A:$ZZ,28,FALSE)</f>
        <v>4.14207</v>
      </c>
      <c r="AK26" s="28">
        <f>VLOOKUP($Q26,武学奇术!$A:$ZZ,29,FALSE)*(1+IF(OR($AG26=$F$4,$AG26=$F$5),$B$22,0))</f>
        <v>582.61</v>
      </c>
      <c r="AL26" s="27" cm="1">
        <f t="array" ref="AL26">$G$3+IFERROR(VLOOKUP($AG26,$F$4:$G$7,2,FALSE),0)+VLOOKUP($Q26,武学奇术!$A:$ZZ,2,FALSE)+SUM(_xlfn.XLOOKUP($R26:$AF26,增益!$A:$A,增益!$B:$B,0))</f>
        <v>0.9189</v>
      </c>
      <c r="AM26" s="27" cm="1">
        <f t="array" ref="AM26">VLOOKUP($Q26,武学奇术!$A:$ZZ,5,FALSE)+SUM(_xlfn.XLOOKUP($R26:$AF26,增益!$A:$A,增益!$E:$E,0))</f>
        <v>0.075</v>
      </c>
      <c r="AN26" cm="1">
        <f t="array" ref="AN26">$D$10*(1+$AM26)+VLOOKUP($Q26,武学奇术!$A:$ZZ,3,FALSE)+SUM(_xlfn.XLOOKUP($R26:$AF26,增益!$A:$A,增益!$C:$C,0))-$I$2</f>
        <v>1950.7275</v>
      </c>
      <c r="AO26" cm="1">
        <f t="array" ref="AO26">$E$10*(1+$AM26)+VLOOKUP($Q26,武学奇术!$A:$ZZ,4,FALSE)+SUM(_xlfn.XLOOKUP($R26:$AF26,增益!$A:$A,增益!$D:$D,0))-$I$2</f>
        <v>5687.2125</v>
      </c>
      <c r="AP26" s="35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0.3425</v>
      </c>
      <c r="AQ26" s="35" cm="1">
        <f t="array" ref="AQ26">$G$10+VLOOKUP($Q26,武学奇术!$A:$ZZ,7,FALSE)+SUM(_xlfn.XLOOKUP(R26:AF26,增益!$A:$A,增益!$G:$G,0))</f>
        <v>0.1</v>
      </c>
      <c r="AR26" s="27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5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-0.14</v>
      </c>
      <c r="AV26" s="35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35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-0.14</v>
      </c>
      <c r="AZ26" s="35" cm="1">
        <f t="array" ref="AZ26">$G$12+VLOOKUP($Q26,武学奇术!$A:$ZZ,12,FALSE)+SUM(_xlfn.XLOOKUP(R26:AF26,增益!$A:$A,增益!$L:$L,0))</f>
        <v>0</v>
      </c>
      <c r="BA26">
        <f t="shared" si="5"/>
        <v>538</v>
      </c>
      <c r="BB26">
        <f t="shared" si="6"/>
        <v>1011</v>
      </c>
      <c r="BC26" s="35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0.08</v>
      </c>
      <c r="BD26" s="35" cm="1">
        <f t="array" ref="BD26">$G$13+VLOOKUP($Q26,武学奇术!$A:$ZZ,14,FALSE)+SUM(_xlfn.XLOOKUP(R26:AF26,增益!$A:$A,增益!$N:$N,0))</f>
        <v>0.25</v>
      </c>
      <c r="BE26">
        <f t="shared" si="7"/>
        <v>0</v>
      </c>
      <c r="BF26">
        <f t="shared" si="8"/>
        <v>0</v>
      </c>
      <c r="BG26" s="35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-0.14</v>
      </c>
      <c r="BH26" s="35" cm="1">
        <f t="array" ref="BH26">$G$14+VLOOKUP($Q26,武学奇术!$A:$ZZ,16,FALSE)+SUM(_xlfn.XLOOKUP(R26:AF26,增益!$A:$A,增益!$P:$P,0))</f>
        <v>0</v>
      </c>
      <c r="BI26" s="27">
        <f>MIN(IF(VLOOKUP($Q26,武学奇术!$A:$ZZ,23,FALSE)=1,100%,$B$8),100%)</f>
        <v>0.9969</v>
      </c>
      <c r="BJ26" s="27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0.9137</v>
      </c>
      <c r="BK26" s="27" cm="1">
        <f t="array" ref="BK26">1+$B$13+VLOOKUP($Q26,武学奇术!$A:$ZZ,18,FALSE)+SUM(_xlfn.XLOOKUP(R26:AF26,增益!$A:$A,增益!$R:$R,0))</f>
        <v>1.56</v>
      </c>
      <c r="BL26" s="27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0.0895</v>
      </c>
      <c r="BM26" s="27" cm="1">
        <f t="array" ref="BM26">1+$B$14+VLOOKUP($Q26,武学奇术!$A:$ZZ,20,FALSE)+SUM(_xlfn.XLOOKUP(R26:AF26,增益!$A:$A,增益!$T:$T,0))</f>
        <v>1.35</v>
      </c>
      <c r="BN26" s="27">
        <f t="shared" si="9"/>
        <v>0.90767745</v>
      </c>
      <c r="BO26" s="27">
        <f t="shared" si="10"/>
        <v>-1.30104260698261e-17</v>
      </c>
      <c r="BP26" s="27">
        <f>IF(VLOOKUP($Q26,武学奇术!$A:$ZZ,22,FALSE)=1,0,(1-$BI26))*(1-$BL26)</f>
        <v>0.00282254999999999</v>
      </c>
      <c r="BQ26" s="27" cm="1">
        <f t="array" ref="BQ26">SUM(_xlfn.XLOOKUP(R26:AF26,增益!$A:$A,增益!$W:$W,0))+$I$5</f>
        <v>0.11</v>
      </c>
    </row>
    <row r="27" spans="1:69">
      <c r="A27" t="s">
        <v>147</v>
      </c>
      <c r="B27">
        <v>-5</v>
      </c>
      <c r="F27">
        <v>-50</v>
      </c>
      <c r="K27" s="41">
        <f t="shared" si="0"/>
        <v>108227.02288114</v>
      </c>
      <c r="L27" s="41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弹道",$B$21,0))*(1+$BQ27)</f>
        <v>108626.384782138</v>
      </c>
      <c r="M27" s="41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弹道",$B$21,0))*(1+$BQ27)</f>
        <v>106509.635465802</v>
      </c>
      <c r="N27" s="41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弹道",$B$21,0))*(1+$BQ27)</f>
        <v>56576.2420740301</v>
      </c>
      <c r="O27" s="41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弹道",$B$21,0))*(1+$BQ27)</f>
        <v>34256.4578770961</v>
      </c>
      <c r="P27" s="42">
        <v>1</v>
      </c>
      <c r="Q27" s="43" t="s">
        <v>133</v>
      </c>
      <c r="R27" s="43" t="s">
        <v>93</v>
      </c>
      <c r="S27" s="43" t="s">
        <v>144</v>
      </c>
      <c r="T27" s="43" t="s">
        <v>73</v>
      </c>
      <c r="U27" s="43" t="s">
        <v>86</v>
      </c>
      <c r="V27" s="43" t="s">
        <v>134</v>
      </c>
      <c r="W27" s="43" t="s">
        <v>73</v>
      </c>
      <c r="X27" s="43" t="s">
        <v>73</v>
      </c>
      <c r="Y27" s="43" t="s">
        <v>73</v>
      </c>
      <c r="Z27" s="43" t="s">
        <v>73</v>
      </c>
      <c r="AA27" s="43" t="s">
        <v>73</v>
      </c>
      <c r="AB27" s="43" t="s">
        <v>80</v>
      </c>
      <c r="AC27" s="43" t="s">
        <v>73</v>
      </c>
      <c r="AD27" s="43" t="s">
        <v>73</v>
      </c>
      <c r="AE27" s="43" t="s">
        <v>73</v>
      </c>
      <c r="AF27" s="43" t="s">
        <v>75</v>
      </c>
      <c r="AG27" t="str">
        <f>VLOOKUP($Q27,武学奇术!$A:$ZZ,25,FALSE)</f>
        <v>扇</v>
      </c>
      <c r="AH27" s="27">
        <f>VLOOKUP($Q27,武学奇术!$A:$ZZ,26,FALSE)</f>
        <v>4.376825</v>
      </c>
      <c r="AI27" s="28">
        <f>VLOOKUP($Q27,武学奇术!$A:$ZZ,27,FALSE)*(1+IF(OR($AG27=$F$4,$AG27=$F$5),$B$22,0))</f>
        <v>1695.05</v>
      </c>
      <c r="AJ27" s="27">
        <f>VLOOKUP($Q27,武学奇术!$A:$ZZ,28,FALSE)</f>
        <v>6.56531</v>
      </c>
      <c r="AK27" s="28">
        <f>VLOOKUP($Q27,武学奇术!$A:$ZZ,29,FALSE)*(1+IF(OR($AG27=$F$4,$AG27=$F$5),$B$22,0))</f>
        <v>923.65</v>
      </c>
      <c r="AL27" s="27" cm="1">
        <f t="array" ref="AL27">$G$3+IFERROR(VLOOKUP($AG27,$F$4:$G$7,2,FALSE),0)+VLOOKUP($Q27,武学奇术!$A:$ZZ,2,FALSE)+SUM(_xlfn.XLOOKUP($R27:$AF27,增益!$A:$A,增益!$B:$B,0))</f>
        <v>0.4189</v>
      </c>
      <c r="AM27" s="27" cm="1">
        <f t="array" ref="AM27">VLOOKUP($Q27,武学奇术!$A:$ZZ,5,FALSE)+SUM(_xlfn.XLOOKUP($R27:$AF27,增益!$A:$A,增益!$E:$E,0))</f>
        <v>0.075</v>
      </c>
      <c r="AN27" cm="1">
        <f t="array" ref="AN27">$D$10*(1+$AM27)+VLOOKUP($Q27,武学奇术!$A:$ZZ,3,FALSE)+SUM(_xlfn.XLOOKUP($R27:$AF27,增益!$A:$A,增益!$C:$C,0))-$I$2</f>
        <v>1950.7275</v>
      </c>
      <c r="AO27" cm="1">
        <f t="array" ref="AO27">$E$10*(1+$AM27)+VLOOKUP($Q27,武学奇术!$A:$ZZ,4,FALSE)+SUM(_xlfn.XLOOKUP($R27:$AF27,增益!$A:$A,增益!$D:$D,0))-$I$2</f>
        <v>5687.2125</v>
      </c>
      <c r="AP27" s="35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0.3425</v>
      </c>
      <c r="AQ27" s="35" cm="1">
        <f t="array" ref="AQ27">$G$10+VLOOKUP($Q27,武学奇术!$A:$ZZ,7,FALSE)+SUM(_xlfn.XLOOKUP(R27:AF27,增益!$A:$A,增益!$G:$G,0))</f>
        <v>0.1</v>
      </c>
      <c r="AR27" s="27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5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-0.14</v>
      </c>
      <c r="AV27" s="35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35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-0.14</v>
      </c>
      <c r="AZ27" s="35" cm="1">
        <f t="array" ref="AZ27">$G$12+VLOOKUP($Q27,武学奇术!$A:$ZZ,12,FALSE)+SUM(_xlfn.XLOOKUP(R27:AF27,增益!$A:$A,增益!$L:$L,0))</f>
        <v>0</v>
      </c>
      <c r="BA27">
        <f t="shared" si="5"/>
        <v>538</v>
      </c>
      <c r="BB27">
        <f t="shared" si="6"/>
        <v>1011</v>
      </c>
      <c r="BC27" s="35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0.08</v>
      </c>
      <c r="BD27" s="35" cm="1">
        <f t="array" ref="BD27">$G$13+VLOOKUP($Q27,武学奇术!$A:$ZZ,14,FALSE)+SUM(_xlfn.XLOOKUP(R27:AF27,增益!$A:$A,增益!$N:$N,0))</f>
        <v>0.25</v>
      </c>
      <c r="BE27">
        <f t="shared" si="7"/>
        <v>0</v>
      </c>
      <c r="BF27">
        <f t="shared" si="8"/>
        <v>0</v>
      </c>
      <c r="BG27" s="35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-0.14</v>
      </c>
      <c r="BH27" s="35" cm="1">
        <f t="array" ref="BH27">$G$14+VLOOKUP($Q27,武学奇术!$A:$ZZ,16,FALSE)+SUM(_xlfn.XLOOKUP(R27:AF27,增益!$A:$A,增益!$P:$P,0))</f>
        <v>0</v>
      </c>
      <c r="BI27" s="27">
        <f>MIN(IF(VLOOKUP($Q27,武学奇术!$A:$ZZ,23,FALSE)=1,100%,$B$8),100%)</f>
        <v>0.9969</v>
      </c>
      <c r="BJ27" s="27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0.9137</v>
      </c>
      <c r="BK27" s="27" cm="1">
        <f t="array" ref="BK27">1+$B$13+VLOOKUP($Q27,武学奇术!$A:$ZZ,18,FALSE)+SUM(_xlfn.XLOOKUP(R27:AF27,增益!$A:$A,增益!$R:$R,0))</f>
        <v>1.92</v>
      </c>
      <c r="BL27" s="27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0.0895</v>
      </c>
      <c r="BM27" s="27" cm="1">
        <f t="array" ref="BM27">1+$B$14+VLOOKUP($Q27,武学奇术!$A:$ZZ,20,FALSE)+SUM(_xlfn.XLOOKUP(R27:AF27,增益!$A:$A,增益!$T:$T,0))</f>
        <v>1.35</v>
      </c>
      <c r="BN27" s="27">
        <f t="shared" si="9"/>
        <v>0.90767745</v>
      </c>
      <c r="BO27" s="27">
        <f t="shared" si="10"/>
        <v>-1.30104260698261e-17</v>
      </c>
      <c r="BP27" s="27">
        <f>IF(VLOOKUP($Q27,武学奇术!$A:$ZZ,22,FALSE)=1,0,(1-$BI27))*(1-$BL27)</f>
        <v>0.00282254999999999</v>
      </c>
      <c r="BQ27" s="27" cm="1">
        <f t="array" ref="BQ27">SUM(_xlfn.XLOOKUP(R27:AF27,增益!$A:$A,增益!$W:$W,0))+$I$5</f>
        <v>0.11</v>
      </c>
    </row>
    <row r="28" spans="1:69">
      <c r="A28" t="s">
        <v>148</v>
      </c>
      <c r="B28">
        <v>2.3</v>
      </c>
      <c r="I28">
        <v>2.5</v>
      </c>
      <c r="K28" s="41">
        <f t="shared" si="0"/>
        <v>34075.8382349344</v>
      </c>
      <c r="L28" s="41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弹道",$B$21,0))*(1+$BQ28)</f>
        <v>33529.4165418852</v>
      </c>
      <c r="M28" s="41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弹道",$B$21,0))*(1+$BQ28)</f>
        <v>40286.1883187469</v>
      </c>
      <c r="N28" s="41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弹道",$B$21,0))*(1+$BQ28)</f>
        <v>21356.3162687167</v>
      </c>
      <c r="O28" s="41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弹道",$B$21,0))*(1+$BQ28)</f>
        <v>12871.0115605838</v>
      </c>
      <c r="P28" s="42">
        <v>1</v>
      </c>
      <c r="Q28" s="43" t="s">
        <v>104</v>
      </c>
      <c r="R28" s="43" t="s">
        <v>93</v>
      </c>
      <c r="S28" s="43" t="s">
        <v>149</v>
      </c>
      <c r="T28" s="43" t="s">
        <v>73</v>
      </c>
      <c r="U28" s="43" t="s">
        <v>86</v>
      </c>
      <c r="V28" s="43" t="s">
        <v>73</v>
      </c>
      <c r="W28" s="43" t="s">
        <v>73</v>
      </c>
      <c r="X28" s="43" t="s">
        <v>73</v>
      </c>
      <c r="Y28" s="43" t="s">
        <v>73</v>
      </c>
      <c r="Z28" s="43" t="s">
        <v>73</v>
      </c>
      <c r="AA28" s="43" t="s">
        <v>73</v>
      </c>
      <c r="AB28" s="43" t="s">
        <v>73</v>
      </c>
      <c r="AC28" s="43" t="s">
        <v>73</v>
      </c>
      <c r="AD28" s="43" t="s">
        <v>73</v>
      </c>
      <c r="AE28" s="43" t="s">
        <v>73</v>
      </c>
      <c r="AF28" s="43" t="s">
        <v>75</v>
      </c>
      <c r="AG28" t="str">
        <f>VLOOKUP($Q28,武学奇术!$A:$ZZ,25,FALSE)</f>
        <v>伞</v>
      </c>
      <c r="AH28" s="27">
        <f>VLOOKUP($Q28,武学奇术!$A:$ZZ,26,FALSE)</f>
        <v>1.7001</v>
      </c>
      <c r="AI28" s="28">
        <f>VLOOKUP($Q28,武学奇术!$A:$ZZ,27,FALSE)*(1+IF(OR($AG28=$F$4,$AG28=$F$5),$B$22,0))</f>
        <v>659.4</v>
      </c>
      <c r="AJ28" s="27">
        <f>VLOOKUP($Q28,武学奇术!$A:$ZZ,28,FALSE)</f>
        <v>2.5502</v>
      </c>
      <c r="AK28" s="28">
        <f>VLOOKUP($Q28,武学奇术!$A:$ZZ,29,FALSE)*(1+IF(OR($AG28=$F$4,$AG28=$F$5),$B$22,0))</f>
        <v>358.4</v>
      </c>
      <c r="AL28" s="27" cm="1">
        <f t="array" ref="AL28">$G$3+IFERROR(VLOOKUP($AG28,$F$4:$G$7,2,FALSE),0)+VLOOKUP($Q28,武学奇术!$A:$ZZ,2,FALSE)+SUM(_xlfn.XLOOKUP($R28:$AF28,增益!$A:$A,增益!$B:$B,0))</f>
        <v>0.4041</v>
      </c>
      <c r="AM28" s="27" cm="1">
        <f t="array" ref="AM28">VLOOKUP($Q28,武学奇术!$A:$ZZ,5,FALSE)+SUM(_xlfn.XLOOKUP($R28:$AF28,增益!$A:$A,增益!$E:$E,0))</f>
        <v>0.075</v>
      </c>
      <c r="AN28" cm="1">
        <f t="array" ref="AN28">$D$10*(1+$AM28)+VLOOKUP($Q28,武学奇术!$A:$ZZ,3,FALSE)+SUM(_xlfn.XLOOKUP($R28:$AF28,增益!$A:$A,增益!$C:$C,0))-$I$2</f>
        <v>1950.7275</v>
      </c>
      <c r="AO28" cm="1">
        <f t="array" ref="AO28">$E$10*(1+$AM28)+VLOOKUP($Q28,武学奇术!$A:$ZZ,4,FALSE)+SUM(_xlfn.XLOOKUP($R28:$AF28,增益!$A:$A,增益!$D:$D,0))-$I$2</f>
        <v>5687.2125</v>
      </c>
      <c r="AP28" s="35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0.3425</v>
      </c>
      <c r="AQ28" s="35" cm="1">
        <f t="array" ref="AQ28">$G$10+VLOOKUP($Q28,武学奇术!$A:$ZZ,7,FALSE)+SUM(_xlfn.XLOOKUP(R28:AF28,增益!$A:$A,增益!$G:$G,0))</f>
        <v>0.1</v>
      </c>
      <c r="AR28" s="27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5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35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35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-0.3</v>
      </c>
      <c r="AZ28" s="35" cm="1">
        <f t="array" ref="AZ28">$G$12+VLOOKUP($Q28,武学奇术!$A:$ZZ,12,FALSE)+SUM(_xlfn.XLOOKUP(R28:AF28,增益!$A:$A,增益!$L:$L,0))</f>
        <v>0</v>
      </c>
      <c r="BA28">
        <f t="shared" si="5"/>
        <v>538</v>
      </c>
      <c r="BB28">
        <f t="shared" si="6"/>
        <v>1011</v>
      </c>
      <c r="BC28" s="35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0</v>
      </c>
      <c r="BD28" s="35" cm="1">
        <f t="array" ref="BD28">$G$13+VLOOKUP($Q28,武学奇术!$A:$ZZ,14,FALSE)+SUM(_xlfn.XLOOKUP(R28:AF28,增益!$A:$A,增益!$N:$N,0))</f>
        <v>0.25</v>
      </c>
      <c r="BE28">
        <f t="shared" si="7"/>
        <v>0</v>
      </c>
      <c r="BF28">
        <f t="shared" si="8"/>
        <v>0</v>
      </c>
      <c r="BG28" s="35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-0.3</v>
      </c>
      <c r="BH28" s="35" cm="1">
        <f t="array" ref="BH28">$G$14+VLOOKUP($Q28,武学奇术!$A:$ZZ,16,FALSE)+SUM(_xlfn.XLOOKUP(R28:AF28,增益!$A:$A,增益!$P:$P,0))</f>
        <v>0</v>
      </c>
      <c r="BI28" s="27">
        <f>MIN(IF(VLOOKUP($Q28,武学奇术!$A:$ZZ,23,FALSE)=1,100%,$B$8),100%)</f>
        <v>0.9969</v>
      </c>
      <c r="BJ28" s="27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0.9137</v>
      </c>
      <c r="BK28" s="27" cm="1">
        <f t="array" ref="BK28">1+$B$13+VLOOKUP($Q28,武学奇术!$A:$ZZ,18,FALSE)+SUM(_xlfn.XLOOKUP(R28:AF28,增益!$A:$A,增益!$R:$R,0))</f>
        <v>1.57</v>
      </c>
      <c r="BL28" s="27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0.0895</v>
      </c>
      <c r="BM28" s="27" cm="1">
        <f t="array" ref="BM28">1+$B$14+VLOOKUP($Q28,武学奇术!$A:$ZZ,20,FALSE)+SUM(_xlfn.XLOOKUP(R28:AF28,增益!$A:$A,增益!$T:$T,0))</f>
        <v>1.35</v>
      </c>
      <c r="BN28" s="27">
        <f t="shared" ref="BN28:BN59" si="11">MIN((1-BL28)*BI28,BI28*BJ28)</f>
        <v>0.90767745</v>
      </c>
      <c r="BO28" s="27">
        <f t="shared" si="10"/>
        <v>-1.30104260698261e-17</v>
      </c>
      <c r="BP28" s="27">
        <f>IF(VLOOKUP($Q28,武学奇术!$A:$ZZ,22,FALSE)=1,0,(1-$BI28))*(1-$BL28)</f>
        <v>0.00282254999999999</v>
      </c>
      <c r="BQ28" s="27" cm="1">
        <f t="array" ref="BQ28">SUM(_xlfn.XLOOKUP(R28:AF28,增益!$A:$A,增益!$W:$W,0))+$I$5</f>
        <v>0.11</v>
      </c>
    </row>
    <row r="29" spans="1:69">
      <c r="A29" s="4" t="s">
        <v>150</v>
      </c>
      <c r="B29" s="4">
        <v>0.3</v>
      </c>
      <c r="I29">
        <v>22.5</v>
      </c>
      <c r="K29" s="41">
        <f t="shared" si="0"/>
        <v>83850.0465501097</v>
      </c>
      <c r="L29" s="41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弹道",$B$21,0))*(1+$BQ29)</f>
        <v>84180.4622936403</v>
      </c>
      <c r="M29" s="41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弹道",$B$21,0))*(1+$BQ29)</f>
        <v>82315.3175716283</v>
      </c>
      <c r="N29" s="41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弹道",$B$21,0))*(1+$BQ29)</f>
        <v>43616.8198412644</v>
      </c>
      <c r="O29" s="41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弹道",$B$21,0))*(1+$BQ29)</f>
        <v>26259.3303702115</v>
      </c>
      <c r="P29" s="42">
        <v>1</v>
      </c>
      <c r="Q29" s="43" t="s">
        <v>97</v>
      </c>
      <c r="R29" s="43" t="s">
        <v>93</v>
      </c>
      <c r="S29" s="43" t="s">
        <v>149</v>
      </c>
      <c r="T29" s="43" t="s">
        <v>102</v>
      </c>
      <c r="U29" s="43" t="s">
        <v>86</v>
      </c>
      <c r="V29" s="43" t="s">
        <v>98</v>
      </c>
      <c r="W29" s="43" t="s">
        <v>73</v>
      </c>
      <c r="X29" s="43" t="s">
        <v>73</v>
      </c>
      <c r="Y29" s="43" t="s">
        <v>73</v>
      </c>
      <c r="Z29" s="43" t="s">
        <v>73</v>
      </c>
      <c r="AA29" s="43" t="s">
        <v>73</v>
      </c>
      <c r="AB29" s="43" t="s">
        <v>73</v>
      </c>
      <c r="AC29" s="43" t="s">
        <v>73</v>
      </c>
      <c r="AD29" s="43" t="s">
        <v>73</v>
      </c>
      <c r="AE29" s="43" t="s">
        <v>73</v>
      </c>
      <c r="AF29" s="43" t="s">
        <v>75</v>
      </c>
      <c r="AG29" t="str">
        <f>VLOOKUP($Q29,武学奇术!$A:$ZZ,25,FALSE)</f>
        <v>伞</v>
      </c>
      <c r="AH29" s="27">
        <f>VLOOKUP($Q29,武学奇术!$A:$ZZ,26,FALSE)</f>
        <v>2.3397</v>
      </c>
      <c r="AI29" s="28">
        <f>VLOOKUP($Q29,武学奇术!$A:$ZZ,27,FALSE)*(1+IF(OR($AG29=$F$4,$AG29=$F$5),$B$22,0))</f>
        <v>907.2</v>
      </c>
      <c r="AJ29" s="27">
        <f>VLOOKUP($Q29,武学奇术!$A:$ZZ,28,FALSE)</f>
        <v>3.5095</v>
      </c>
      <c r="AK29" s="28">
        <f>VLOOKUP($Q29,武学奇术!$A:$ZZ,29,FALSE)*(1+IF(OR($AG29=$F$4,$AG29=$F$5),$B$22,0))</f>
        <v>494.2</v>
      </c>
      <c r="AL29" s="27" cm="1">
        <f t="array" ref="AL29">$G$3+IFERROR(VLOOKUP($AG29,$F$4:$G$7,2,FALSE),0)+VLOOKUP($Q29,武学奇术!$A:$ZZ,2,FALSE)+SUM(_xlfn.XLOOKUP($R29:$AF29,增益!$A:$A,增益!$B:$B,0))</f>
        <v>1.0541</v>
      </c>
      <c r="AM29" s="27" cm="1">
        <f t="array" ref="AM29">VLOOKUP($Q29,武学奇术!$A:$ZZ,5,FALSE)+SUM(_xlfn.XLOOKUP($R29:$AF29,增益!$A:$A,增益!$E:$E,0))</f>
        <v>0.075</v>
      </c>
      <c r="AN29" cm="1">
        <f t="array" ref="AN29">$D$10*(1+$AM29)+VLOOKUP($Q29,武学奇术!$A:$ZZ,3,FALSE)+SUM(_xlfn.XLOOKUP($R29:$AF29,增益!$A:$A,增益!$C:$C,0))-$I$2</f>
        <v>1950.7275</v>
      </c>
      <c r="AO29" cm="1">
        <f t="array" ref="AO29">$E$10*(1+$AM29)+VLOOKUP($Q29,武学奇术!$A:$ZZ,4,FALSE)+SUM(_xlfn.XLOOKUP($R29:$AF29,增益!$A:$A,增益!$D:$D,0))-$I$2</f>
        <v>5687.2125</v>
      </c>
      <c r="AP29" s="35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0.3675</v>
      </c>
      <c r="AQ29" s="35" cm="1">
        <f t="array" ref="AQ29">$G$10+VLOOKUP($Q29,武学奇术!$A:$ZZ,7,FALSE)+SUM(_xlfn.XLOOKUP(R29:AF29,增益!$A:$A,增益!$G:$G,0))</f>
        <v>0.1</v>
      </c>
      <c r="AR29" s="27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5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35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35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-0.3</v>
      </c>
      <c r="AZ29" s="35" cm="1">
        <f t="array" ref="AZ29">$G$12+VLOOKUP($Q29,武学奇术!$A:$ZZ,12,FALSE)+SUM(_xlfn.XLOOKUP(R29:AF29,增益!$A:$A,增益!$L:$L,0))</f>
        <v>0</v>
      </c>
      <c r="BA29">
        <f t="shared" si="5"/>
        <v>538</v>
      </c>
      <c r="BB29">
        <f t="shared" si="6"/>
        <v>1011</v>
      </c>
      <c r="BC29" s="35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0</v>
      </c>
      <c r="BD29" s="35" cm="1">
        <f t="array" ref="BD29">$G$13+VLOOKUP($Q29,武学奇术!$A:$ZZ,14,FALSE)+SUM(_xlfn.XLOOKUP(R29:AF29,增益!$A:$A,增益!$N:$N,0))</f>
        <v>0.25</v>
      </c>
      <c r="BE29">
        <f t="shared" si="7"/>
        <v>0</v>
      </c>
      <c r="BF29">
        <f t="shared" si="8"/>
        <v>0</v>
      </c>
      <c r="BG29" s="35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-0.3</v>
      </c>
      <c r="BH29" s="35" cm="1">
        <f t="array" ref="BH29">$G$14+VLOOKUP($Q29,武学奇术!$A:$ZZ,16,FALSE)+SUM(_xlfn.XLOOKUP(R29:AF29,增益!$A:$A,增益!$P:$P,0))</f>
        <v>0</v>
      </c>
      <c r="BI29" s="27">
        <f>MIN(IF(VLOOKUP($Q29,武学奇术!$A:$ZZ,23,FALSE)=1,100%,$B$8),100%)</f>
        <v>0.9969</v>
      </c>
      <c r="BJ29" s="27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0.9137</v>
      </c>
      <c r="BK29" s="27" cm="1">
        <f t="array" ref="BK29">1+$B$13+VLOOKUP($Q29,武学奇术!$A:$ZZ,18,FALSE)+SUM(_xlfn.XLOOKUP(R29:AF29,增益!$A:$A,增益!$R:$R,0))</f>
        <v>1.93</v>
      </c>
      <c r="BL29" s="27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0.0895</v>
      </c>
      <c r="BM29" s="27" cm="1">
        <f t="array" ref="BM29">1+$B$14+VLOOKUP($Q29,武学奇术!$A:$ZZ,20,FALSE)+SUM(_xlfn.XLOOKUP(R29:AF29,增益!$A:$A,增益!$T:$T,0))</f>
        <v>1.35</v>
      </c>
      <c r="BN29" s="27">
        <f t="shared" si="11"/>
        <v>0.90767745</v>
      </c>
      <c r="BO29" s="27">
        <f t="shared" si="10"/>
        <v>-1.30104260698261e-17</v>
      </c>
      <c r="BP29" s="27">
        <f>IF(VLOOKUP($Q29,武学奇术!$A:$ZZ,22,FALSE)=1,0,(1-$BI29))*(1-$BL29)</f>
        <v>0.00282254999999999</v>
      </c>
      <c r="BQ29" s="27" cm="1">
        <f t="array" ref="BQ29">SUM(_xlfn.XLOOKUP(R29:AF29,增益!$A:$A,增益!$W:$W,0))+$I$5</f>
        <v>0.11</v>
      </c>
    </row>
    <row r="30" spans="1:69">
      <c r="A30" s="4" t="s">
        <v>97</v>
      </c>
      <c r="B30" s="4">
        <v>0.95</v>
      </c>
      <c r="I30">
        <v>43.3</v>
      </c>
      <c r="K30" s="41">
        <f t="shared" si="0"/>
        <v>14359.1350504083</v>
      </c>
      <c r="L30" s="41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弹道",$B$21,0))*(1+$BQ30)</f>
        <v>14138.1751189582</v>
      </c>
      <c r="M30" s="41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弹道",$B$21,0))*(1+$BQ30)</f>
        <v>16882.8725520285</v>
      </c>
      <c r="N30" s="41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弹道",$B$21,0))*(1+$BQ30)</f>
        <v>8948.21210060644</v>
      </c>
      <c r="O30" s="41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弹道",$B$21,0))*(1+$BQ30)</f>
        <v>5390.59268119178</v>
      </c>
      <c r="P30" s="42">
        <v>1</v>
      </c>
      <c r="Q30" s="43" t="s">
        <v>107</v>
      </c>
      <c r="R30" s="43" t="s">
        <v>93</v>
      </c>
      <c r="S30" s="43" t="s">
        <v>151</v>
      </c>
      <c r="T30" s="43" t="s">
        <v>73</v>
      </c>
      <c r="U30" s="43" t="s">
        <v>86</v>
      </c>
      <c r="V30" s="43" t="s">
        <v>73</v>
      </c>
      <c r="W30" s="43" t="s">
        <v>73</v>
      </c>
      <c r="X30" s="43" t="s">
        <v>73</v>
      </c>
      <c r="Y30" s="43" t="s">
        <v>73</v>
      </c>
      <c r="Z30" s="43" t="s">
        <v>73</v>
      </c>
      <c r="AA30" s="43" t="s">
        <v>73</v>
      </c>
      <c r="AB30" s="43" t="s">
        <v>73</v>
      </c>
      <c r="AC30" s="43" t="s">
        <v>73</v>
      </c>
      <c r="AD30" s="43" t="s">
        <v>73</v>
      </c>
      <c r="AE30" s="43" t="s">
        <v>73</v>
      </c>
      <c r="AF30" s="43" t="s">
        <v>75</v>
      </c>
      <c r="AG30" t="str">
        <f>VLOOKUP($Q30,武学奇术!$A:$ZZ,25,FALSE)</f>
        <v>伞</v>
      </c>
      <c r="AH30" s="27">
        <f>VLOOKUP($Q30,武学奇术!$A:$ZZ,26,FALSE)</f>
        <v>0.54</v>
      </c>
      <c r="AI30" s="28">
        <f>VLOOKUP($Q30,武学奇术!$A:$ZZ,27,FALSE)*(1+IF(OR($AG30=$F$4,$AG30=$F$5),$B$22,0))</f>
        <v>207.2</v>
      </c>
      <c r="AJ30" s="27">
        <f>VLOOKUP($Q30,武学奇术!$A:$ZZ,28,FALSE)</f>
        <v>0.81</v>
      </c>
      <c r="AK30" s="28">
        <f>VLOOKUP($Q30,武学奇术!$A:$ZZ,29,FALSE)*(1+IF(OR($AG30=$F$4,$AG30=$F$5),$B$22,0))</f>
        <v>114.1</v>
      </c>
      <c r="AL30" s="27" cm="1">
        <f t="array" ref="AL30">$G$3+IFERROR(VLOOKUP($AG30,$F$4:$G$7,2,FALSE),0)+VLOOKUP($Q30,武学奇术!$A:$ZZ,2,FALSE)+SUM(_xlfn.XLOOKUP($R30:$AF30,增益!$A:$A,增益!$B:$B,0))</f>
        <v>0.4041</v>
      </c>
      <c r="AM30" s="27" cm="1">
        <f t="array" ref="AM30">VLOOKUP($Q30,武学奇术!$A:$ZZ,5,FALSE)+SUM(_xlfn.XLOOKUP($R30:$AF30,增益!$A:$A,增益!$E:$E,0))</f>
        <v>0.075</v>
      </c>
      <c r="AN30" cm="1">
        <f t="array" ref="AN30">$D$10*(1+$AM30)+VLOOKUP($Q30,武学奇术!$A:$ZZ,3,FALSE)+SUM(_xlfn.XLOOKUP($R30:$AF30,增益!$A:$A,增益!$C:$C,0))-$I$2</f>
        <v>1950.7275</v>
      </c>
      <c r="AO30" cm="1">
        <f t="array" ref="AO30">$E$10*(1+$AM30)+VLOOKUP($Q30,武学奇术!$A:$ZZ,4,FALSE)+SUM(_xlfn.XLOOKUP($R30:$AF30,增益!$A:$A,增益!$D:$D,0))-$I$2</f>
        <v>5687.2125</v>
      </c>
      <c r="AP30" s="35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0.3425</v>
      </c>
      <c r="AQ30" s="35" cm="1">
        <f t="array" ref="AQ30">$G$10+VLOOKUP($Q30,武学奇术!$A:$ZZ,7,FALSE)+SUM(_xlfn.XLOOKUP(R30:AF30,增益!$A:$A,增益!$G:$G,0))</f>
        <v>0.1</v>
      </c>
      <c r="AR30" s="27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5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5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35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-0.3</v>
      </c>
      <c r="AZ30" s="35" cm="1">
        <f t="array" ref="AZ30">$G$12+VLOOKUP($Q30,武学奇术!$A:$ZZ,12,FALSE)+SUM(_xlfn.XLOOKUP(R30:AF30,增益!$A:$A,增益!$L:$L,0))</f>
        <v>0</v>
      </c>
      <c r="BA30">
        <f t="shared" si="5"/>
        <v>538</v>
      </c>
      <c r="BB30">
        <f t="shared" si="6"/>
        <v>1011</v>
      </c>
      <c r="BC30" s="35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0</v>
      </c>
      <c r="BD30" s="35" cm="1">
        <f t="array" ref="BD30">$G$13+VLOOKUP($Q30,武学奇术!$A:$ZZ,14,FALSE)+SUM(_xlfn.XLOOKUP(R30:AF30,增益!$A:$A,增益!$N:$N,0))</f>
        <v>0.25</v>
      </c>
      <c r="BE30">
        <f t="shared" si="7"/>
        <v>0</v>
      </c>
      <c r="BF30">
        <f t="shared" si="8"/>
        <v>0</v>
      </c>
      <c r="BG30" s="35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-0.3</v>
      </c>
      <c r="BH30" s="35" cm="1">
        <f t="array" ref="BH30">$G$14+VLOOKUP($Q30,武学奇术!$A:$ZZ,16,FALSE)+SUM(_xlfn.XLOOKUP(R30:AF30,增益!$A:$A,增益!$P:$P,0))</f>
        <v>0</v>
      </c>
      <c r="BI30" s="27">
        <f>MIN(IF(VLOOKUP($Q30,武学奇术!$A:$ZZ,23,FALSE)=1,100%,$B$8),100%)</f>
        <v>0.9969</v>
      </c>
      <c r="BJ30" s="27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0.9137</v>
      </c>
      <c r="BK30" s="27" cm="1">
        <f t="array" ref="BK30">1+$B$13+VLOOKUP($Q30,武学奇术!$A:$ZZ,18,FALSE)+SUM(_xlfn.XLOOKUP(R30:AF30,增益!$A:$A,增益!$R:$R,0))</f>
        <v>1.58</v>
      </c>
      <c r="BL30" s="27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0.0895</v>
      </c>
      <c r="BM30" s="27" cm="1">
        <f t="array" ref="BM30">1+$B$14+VLOOKUP($Q30,武学奇术!$A:$ZZ,20,FALSE)+SUM(_xlfn.XLOOKUP(R30:AF30,增益!$A:$A,增益!$T:$T,0))</f>
        <v>1.35</v>
      </c>
      <c r="BN30" s="27">
        <f t="shared" si="11"/>
        <v>0.90767745</v>
      </c>
      <c r="BO30" s="27">
        <f t="shared" si="10"/>
        <v>-1.30104260698261e-17</v>
      </c>
      <c r="BP30" s="27">
        <f>IF(VLOOKUP($Q30,武学奇术!$A:$ZZ,22,FALSE)=1,0,(1-$BI30))*(1-$BL30)</f>
        <v>0.00282254999999999</v>
      </c>
      <c r="BQ30" s="27" cm="1">
        <f t="array" ref="BQ30">SUM(_xlfn.XLOOKUP(R30:AF30,增益!$A:$A,增益!$W:$W,0))+$I$5</f>
        <v>0.11</v>
      </c>
    </row>
    <row r="31" spans="1:69">
      <c r="A31" s="4" t="s">
        <v>97</v>
      </c>
      <c r="B31" s="4">
        <v>1.25</v>
      </c>
      <c r="E31" s="42" t="s">
        <v>148</v>
      </c>
      <c r="I31">
        <v>75.5</v>
      </c>
      <c r="K31" s="41">
        <f t="shared" si="0"/>
        <v>55828.9423065996</v>
      </c>
      <c r="L31" s="41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弹道",$B$21,0))*(1+$BQ31)</f>
        <v>56074.1933516496</v>
      </c>
      <c r="M31" s="41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弹道",$B$21,0))*(1+$BQ31)</f>
        <v>54553.6743349348</v>
      </c>
      <c r="N31" s="41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弹道",$B$21,0))*(1+$BQ31)</f>
        <v>28904.223377139</v>
      </c>
      <c r="O31" s="41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弹道",$B$21,0))*(1+$BQ31)</f>
        <v>17398.3176172892</v>
      </c>
      <c r="P31" s="42">
        <v>1</v>
      </c>
      <c r="Q31" s="43" t="s">
        <v>109</v>
      </c>
      <c r="R31" s="43" t="s">
        <v>93</v>
      </c>
      <c r="S31" s="43" t="s">
        <v>151</v>
      </c>
      <c r="T31" s="43" t="s">
        <v>102</v>
      </c>
      <c r="U31" s="43" t="s">
        <v>86</v>
      </c>
      <c r="V31" s="43" t="s">
        <v>98</v>
      </c>
      <c r="W31" s="43" t="s">
        <v>73</v>
      </c>
      <c r="X31" s="43" t="s">
        <v>73</v>
      </c>
      <c r="Y31" s="43" t="s">
        <v>73</v>
      </c>
      <c r="Z31" s="43" t="s">
        <v>73</v>
      </c>
      <c r="AA31" s="43" t="s">
        <v>73</v>
      </c>
      <c r="AB31" s="43" t="s">
        <v>73</v>
      </c>
      <c r="AC31" s="43" t="s">
        <v>73</v>
      </c>
      <c r="AD31" s="43" t="s">
        <v>73</v>
      </c>
      <c r="AE31" s="43" t="s">
        <v>73</v>
      </c>
      <c r="AF31" s="43" t="s">
        <v>75</v>
      </c>
      <c r="AG31" t="str">
        <f>VLOOKUP($Q31,武学奇术!$A:$ZZ,25,FALSE)</f>
        <v>伞</v>
      </c>
      <c r="AH31" s="27">
        <f>VLOOKUP($Q31,武学奇术!$A:$ZZ,26,FALSE)</f>
        <v>1.174955</v>
      </c>
      <c r="AI31" s="28">
        <f>VLOOKUP($Q31,武学奇术!$A:$ZZ,27,FALSE)*(1+IF(OR($AG31=$F$4,$AG31=$F$5),$B$22,0))</f>
        <v>454.02</v>
      </c>
      <c r="AJ31" s="27">
        <f>VLOOKUP($Q31,武学奇术!$A:$ZZ,28,FALSE)</f>
        <v>1.762375</v>
      </c>
      <c r="AK31" s="28">
        <f>VLOOKUP($Q31,武学奇术!$A:$ZZ,29,FALSE)*(1+IF(OR($AG31=$F$4,$AG31=$F$5),$B$22,0))</f>
        <v>247.94</v>
      </c>
      <c r="AL31" s="27" cm="1">
        <f t="array" ref="AL31">$G$3+IFERROR(VLOOKUP($AG31,$F$4:$G$7,2,FALSE),0)+VLOOKUP($Q31,武学奇术!$A:$ZZ,2,FALSE)+SUM(_xlfn.XLOOKUP($R31:$AF31,增益!$A:$A,增益!$B:$B,0))</f>
        <v>1.0541</v>
      </c>
      <c r="AM31" s="27" cm="1">
        <f t="array" ref="AM31">VLOOKUP($Q31,武学奇术!$A:$ZZ,5,FALSE)+SUM(_xlfn.XLOOKUP($R31:$AF31,增益!$A:$A,增益!$E:$E,0))</f>
        <v>0.075</v>
      </c>
      <c r="AN31" cm="1">
        <f t="array" ref="AN31">$D$10*(1+$AM31)+VLOOKUP($Q31,武学奇术!$A:$ZZ,3,FALSE)+SUM(_xlfn.XLOOKUP($R31:$AF31,增益!$A:$A,增益!$C:$C,0))-$I$2</f>
        <v>1950.7275</v>
      </c>
      <c r="AO31" cm="1">
        <f t="array" ref="AO31">$E$10*(1+$AM31)+VLOOKUP($Q31,武学奇术!$A:$ZZ,4,FALSE)+SUM(_xlfn.XLOOKUP($R31:$AF31,增益!$A:$A,增益!$D:$D,0))-$I$2</f>
        <v>5687.2125</v>
      </c>
      <c r="AP31" s="35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0.3675</v>
      </c>
      <c r="AQ31" s="35" cm="1">
        <f t="array" ref="AQ31">$G$10+VLOOKUP($Q31,武学奇术!$A:$ZZ,7,FALSE)+SUM(_xlfn.XLOOKUP(R31:AF31,增益!$A:$A,增益!$G:$G,0))</f>
        <v>0.1</v>
      </c>
      <c r="AR31" s="27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5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-0.3</v>
      </c>
      <c r="AV31" s="35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35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-0.3</v>
      </c>
      <c r="AZ31" s="35" cm="1">
        <f t="array" ref="AZ31">$G$12+VLOOKUP($Q31,武学奇术!$A:$ZZ,12,FALSE)+SUM(_xlfn.XLOOKUP(R31:AF31,增益!$A:$A,增益!$L:$L,0))</f>
        <v>0</v>
      </c>
      <c r="BA31">
        <f t="shared" si="5"/>
        <v>538</v>
      </c>
      <c r="BB31">
        <f t="shared" si="6"/>
        <v>1011</v>
      </c>
      <c r="BC31" s="35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0</v>
      </c>
      <c r="BD31" s="35" cm="1">
        <f t="array" ref="BD31">$G$13+VLOOKUP($Q31,武学奇术!$A:$ZZ,14,FALSE)+SUM(_xlfn.XLOOKUP(R31:AF31,增益!$A:$A,增益!$N:$N,0))</f>
        <v>0.25</v>
      </c>
      <c r="BE31">
        <f t="shared" si="7"/>
        <v>0</v>
      </c>
      <c r="BF31">
        <f t="shared" si="8"/>
        <v>0</v>
      </c>
      <c r="BG31" s="35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-0.3</v>
      </c>
      <c r="BH31" s="35" cm="1">
        <f t="array" ref="BH31">$G$14+VLOOKUP($Q31,武学奇术!$A:$ZZ,16,FALSE)+SUM(_xlfn.XLOOKUP(R31:AF31,增益!$A:$A,增益!$P:$P,0))</f>
        <v>0</v>
      </c>
      <c r="BI31" s="27">
        <f>MIN(IF(VLOOKUP($Q31,武学奇术!$A:$ZZ,23,FALSE)=1,100%,$B$8),100%)</f>
        <v>0.9969</v>
      </c>
      <c r="BJ31" s="27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0.9137</v>
      </c>
      <c r="BK31" s="27" cm="1">
        <f t="array" ref="BK31">1+$B$13+VLOOKUP($Q31,武学奇术!$A:$ZZ,18,FALSE)+SUM(_xlfn.XLOOKUP(R31:AF31,增益!$A:$A,增益!$R:$R,0))</f>
        <v>1.94</v>
      </c>
      <c r="BL31" s="27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0.0895</v>
      </c>
      <c r="BM31" s="27" cm="1">
        <f t="array" ref="BM31">1+$B$14+VLOOKUP($Q31,武学奇术!$A:$ZZ,20,FALSE)+SUM(_xlfn.XLOOKUP(R31:AF31,增益!$A:$A,增益!$T:$T,0))</f>
        <v>1.35</v>
      </c>
      <c r="BN31" s="27">
        <f t="shared" si="11"/>
        <v>0.90767745</v>
      </c>
      <c r="BO31" s="27">
        <f t="shared" si="10"/>
        <v>-1.30104260698261e-17</v>
      </c>
      <c r="BP31" s="27">
        <f>IF(VLOOKUP($Q31,武学奇术!$A:$ZZ,22,FALSE)=1,0,(1-$BI31))*(1-$BL31)</f>
        <v>0.00282254999999999</v>
      </c>
      <c r="BQ31" s="27" cm="1">
        <f t="array" ref="BQ31">SUM(_xlfn.XLOOKUP(R31:AF31,增益!$A:$A,增益!$W:$W,0))+$I$5</f>
        <v>0.11</v>
      </c>
    </row>
    <row r="32" spans="1:69">
      <c r="A32" s="4" t="s">
        <v>152</v>
      </c>
      <c r="B32" s="94">
        <v>1.3</v>
      </c>
      <c r="E32" s="42"/>
      <c r="G32" s="42" t="s">
        <v>153</v>
      </c>
      <c r="I32">
        <v>95.5</v>
      </c>
      <c r="K32" s="41">
        <f t="shared" si="0"/>
        <v>291566.988938287</v>
      </c>
      <c r="L32" s="41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弹道",$B$21,0))*(1+$BQ32)</f>
        <v>295824.896172375</v>
      </c>
      <c r="M32" s="41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弹道",$B$21,0))*(1+$BQ32)</f>
        <v>255017.281271853</v>
      </c>
      <c r="N32" s="41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弹道",$B$21,0))*(1+$BQ32)</f>
        <v>135079.861265925</v>
      </c>
      <c r="O32" s="41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弹道",$B$21,0))*(1+$BQ32)</f>
        <v>81258.0327008472</v>
      </c>
      <c r="P32" s="42">
        <v>4</v>
      </c>
      <c r="Q32" s="43" t="s">
        <v>109</v>
      </c>
      <c r="R32" s="43" t="s">
        <v>93</v>
      </c>
      <c r="S32" s="43" t="s">
        <v>151</v>
      </c>
      <c r="T32" s="43" t="s">
        <v>102</v>
      </c>
      <c r="U32" s="43" t="s">
        <v>86</v>
      </c>
      <c r="V32" s="43" t="s">
        <v>98</v>
      </c>
      <c r="W32" s="43" t="s">
        <v>73</v>
      </c>
      <c r="X32" s="43" t="s">
        <v>73</v>
      </c>
      <c r="Y32" s="43" t="s">
        <v>112</v>
      </c>
      <c r="Z32" s="43" t="s">
        <v>113</v>
      </c>
      <c r="AA32" s="43" t="s">
        <v>73</v>
      </c>
      <c r="AB32" s="43" t="s">
        <v>80</v>
      </c>
      <c r="AC32" s="43" t="s">
        <v>73</v>
      </c>
      <c r="AD32" s="43" t="s">
        <v>73</v>
      </c>
      <c r="AE32" s="43" t="s">
        <v>73</v>
      </c>
      <c r="AF32" s="43" t="s">
        <v>75</v>
      </c>
      <c r="AG32" t="str">
        <f>VLOOKUP($Q32,武学奇术!$A:$ZZ,25,FALSE)</f>
        <v>伞</v>
      </c>
      <c r="AH32" s="27">
        <f>VLOOKUP($Q32,武学奇术!$A:$ZZ,26,FALSE)</f>
        <v>1.174955</v>
      </c>
      <c r="AI32" s="28">
        <f>VLOOKUP($Q32,武学奇术!$A:$ZZ,27,FALSE)*(1+IF(OR($AG32=$F$4,$AG32=$F$5),$B$22,0))</f>
        <v>454.02</v>
      </c>
      <c r="AJ32" s="27">
        <f>VLOOKUP($Q32,武学奇术!$A:$ZZ,28,FALSE)</f>
        <v>1.762375</v>
      </c>
      <c r="AK32" s="28">
        <f>VLOOKUP($Q32,武学奇术!$A:$ZZ,29,FALSE)*(1+IF(OR($AG32=$F$4,$AG32=$F$5),$B$22,0))</f>
        <v>247.94</v>
      </c>
      <c r="AL32" s="27" cm="1">
        <f t="array" ref="AL32">$G$3+IFERROR(VLOOKUP($AG32,$F$4:$G$7,2,FALSE),0)+VLOOKUP($Q32,武学奇术!$A:$ZZ,2,FALSE)+SUM(_xlfn.XLOOKUP($R32:$AF32,增益!$A:$A,增益!$B:$B,0))</f>
        <v>1.2041</v>
      </c>
      <c r="AM32" s="27" cm="1">
        <f t="array" ref="AM32">VLOOKUP($Q32,武学奇术!$A:$ZZ,5,FALSE)+SUM(_xlfn.XLOOKUP($R32:$AF32,增益!$A:$A,增益!$E:$E,0))</f>
        <v>0.075</v>
      </c>
      <c r="AN32" cm="1">
        <f t="array" ref="AN32">$D$10*(1+$AM32)+VLOOKUP($Q32,武学奇术!$A:$ZZ,3,FALSE)+SUM(_xlfn.XLOOKUP($R32:$AF32,增益!$A:$A,增益!$C:$C,0))-$I$2</f>
        <v>1950.7275</v>
      </c>
      <c r="AO32" cm="1">
        <f t="array" ref="AO32">$E$10*(1+$AM32)+VLOOKUP($Q32,武学奇术!$A:$ZZ,4,FALSE)+SUM(_xlfn.XLOOKUP($R32:$AF32,增益!$A:$A,增益!$D:$D,0))-$I$2</f>
        <v>5687.2125</v>
      </c>
      <c r="AP32" s="35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0.4925</v>
      </c>
      <c r="AQ32" s="35" cm="1">
        <f t="array" ref="AQ32">$G$10+VLOOKUP($Q32,武学奇术!$A:$ZZ,7,FALSE)+SUM(_xlfn.XLOOKUP(R32:AF32,增益!$A:$A,增益!$G:$G,0))</f>
        <v>0.1</v>
      </c>
      <c r="AR32" s="27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5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-0.14</v>
      </c>
      <c r="AV32" s="35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35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-0.14</v>
      </c>
      <c r="AZ32" s="35" cm="1">
        <f t="array" ref="AZ32">$G$12+VLOOKUP($Q32,武学奇术!$A:$ZZ,12,FALSE)+SUM(_xlfn.XLOOKUP(R32:AF32,增益!$A:$A,增益!$L:$L,0))</f>
        <v>0</v>
      </c>
      <c r="BA32">
        <f t="shared" si="5"/>
        <v>538</v>
      </c>
      <c r="BB32">
        <f t="shared" si="6"/>
        <v>1011</v>
      </c>
      <c r="BC32" s="35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0.08</v>
      </c>
      <c r="BD32" s="35" cm="1">
        <f t="array" ref="BD32">$G$13+VLOOKUP($Q32,武学奇术!$A:$ZZ,14,FALSE)+SUM(_xlfn.XLOOKUP(R32:AF32,增益!$A:$A,增益!$N:$N,0))</f>
        <v>0.25</v>
      </c>
      <c r="BE32">
        <f t="shared" si="7"/>
        <v>0</v>
      </c>
      <c r="BF32">
        <f t="shared" si="8"/>
        <v>0</v>
      </c>
      <c r="BG32" s="35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-0.14</v>
      </c>
      <c r="BH32" s="35" cm="1">
        <f t="array" ref="BH32">$G$14+VLOOKUP($Q32,武学奇术!$A:$ZZ,16,FALSE)+SUM(_xlfn.XLOOKUP(R32:AF32,增益!$A:$A,增益!$P:$P,0))</f>
        <v>0</v>
      </c>
      <c r="BI32" s="27">
        <f>MIN(IF(VLOOKUP($Q32,武学奇术!$A:$ZZ,23,FALSE)=1,100%,$B$8),100%)</f>
        <v>0.9969</v>
      </c>
      <c r="BJ32" s="27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0.9137</v>
      </c>
      <c r="BK32" s="27" cm="1">
        <f t="array" ref="BK32">1+$B$13+VLOOKUP($Q32,武学奇术!$A:$ZZ,18,FALSE)+SUM(_xlfn.XLOOKUP(R32:AF32,增益!$A:$A,增益!$R:$R,0))</f>
        <v>2.19</v>
      </c>
      <c r="BL32" s="27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0.0895</v>
      </c>
      <c r="BM32" s="27" cm="1">
        <f t="array" ref="BM32">1+$B$14+VLOOKUP($Q32,武学奇术!$A:$ZZ,20,FALSE)+SUM(_xlfn.XLOOKUP(R32:AF32,增益!$A:$A,增益!$T:$T,0))</f>
        <v>1.35</v>
      </c>
      <c r="BN32" s="27">
        <f t="shared" si="11"/>
        <v>0.90767745</v>
      </c>
      <c r="BO32" s="27">
        <f t="shared" si="10"/>
        <v>-1.30104260698261e-17</v>
      </c>
      <c r="BP32" s="27">
        <f>IF(VLOOKUP($Q32,武学奇术!$A:$ZZ,22,FALSE)=1,0,(1-$BI32))*(1-$BL32)</f>
        <v>0.00282254999999999</v>
      </c>
      <c r="BQ32" s="27" cm="1">
        <f t="array" ref="BQ32">SUM(_xlfn.XLOOKUP(R32:AF32,增益!$A:$A,增益!$W:$W,0))+$I$5</f>
        <v>0.11</v>
      </c>
    </row>
    <row r="33" spans="1:69">
      <c r="A33" s="4" t="s">
        <v>107</v>
      </c>
      <c r="B33" s="94">
        <v>1.16</v>
      </c>
      <c r="E33" s="42"/>
      <c r="G33" s="42"/>
      <c r="K33" s="41">
        <f t="shared" si="0"/>
        <v>365991.347973111</v>
      </c>
      <c r="L33" s="41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弹道",$B$21,0))*(1+$BQ33)</f>
        <v>371469.618481293</v>
      </c>
      <c r="M33" s="41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弹道",$B$21,0))*(1+$BQ33)</f>
        <v>318771.601589816</v>
      </c>
      <c r="N33" s="41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弹道",$B$21,0))*(1+$BQ33)</f>
        <v>168849.826582406</v>
      </c>
      <c r="O33" s="41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弹道",$B$21,0))*(1+$BQ33)</f>
        <v>101572.540876059</v>
      </c>
      <c r="P33" s="42">
        <v>5</v>
      </c>
      <c r="Q33" s="43" t="s">
        <v>109</v>
      </c>
      <c r="R33" s="43" t="s">
        <v>93</v>
      </c>
      <c r="S33" s="43" t="s">
        <v>154</v>
      </c>
      <c r="T33" s="43" t="s">
        <v>102</v>
      </c>
      <c r="U33" s="43" t="s">
        <v>86</v>
      </c>
      <c r="V33" s="43" t="s">
        <v>98</v>
      </c>
      <c r="W33" s="43" t="s">
        <v>73</v>
      </c>
      <c r="X33" s="43" t="s">
        <v>73</v>
      </c>
      <c r="Y33" s="43" t="s">
        <v>112</v>
      </c>
      <c r="Z33" s="43" t="s">
        <v>113</v>
      </c>
      <c r="AA33" s="43" t="s">
        <v>73</v>
      </c>
      <c r="AB33" s="43" t="s">
        <v>80</v>
      </c>
      <c r="AC33" s="43" t="s">
        <v>73</v>
      </c>
      <c r="AD33" s="43" t="s">
        <v>73</v>
      </c>
      <c r="AE33" s="43" t="s">
        <v>73</v>
      </c>
      <c r="AF33" s="43" t="s">
        <v>75</v>
      </c>
      <c r="AG33" t="str">
        <f>VLOOKUP($Q33,武学奇术!$A:$ZZ,25,FALSE)</f>
        <v>伞</v>
      </c>
      <c r="AH33" s="27">
        <f>VLOOKUP($Q33,武学奇术!$A:$ZZ,26,FALSE)</f>
        <v>1.174955</v>
      </c>
      <c r="AI33" s="28">
        <f>VLOOKUP($Q33,武学奇术!$A:$ZZ,27,FALSE)*(1+IF(OR($AG33=$F$4,$AG33=$F$5),$B$22,0))</f>
        <v>454.02</v>
      </c>
      <c r="AJ33" s="27">
        <f>VLOOKUP($Q33,武学奇术!$A:$ZZ,28,FALSE)</f>
        <v>1.762375</v>
      </c>
      <c r="AK33" s="28">
        <f>VLOOKUP($Q33,武学奇术!$A:$ZZ,29,FALSE)*(1+IF(OR($AG33=$F$4,$AG33=$F$5),$B$22,0))</f>
        <v>247.94</v>
      </c>
      <c r="AL33" s="27" cm="1">
        <f t="array" ref="AL33">$G$3+IFERROR(VLOOKUP($AG33,$F$4:$G$7,2,FALSE),0)+VLOOKUP($Q33,武学奇术!$A:$ZZ,2,FALSE)+SUM(_xlfn.XLOOKUP($R33:$AF33,增益!$A:$A,增益!$B:$B,0))</f>
        <v>1.2041</v>
      </c>
      <c r="AM33" s="27" cm="1">
        <f t="array" ref="AM33">VLOOKUP($Q33,武学奇术!$A:$ZZ,5,FALSE)+SUM(_xlfn.XLOOKUP($R33:$AF33,增益!$A:$A,增益!$E:$E,0))</f>
        <v>0.075</v>
      </c>
      <c r="AN33" cm="1">
        <f t="array" ref="AN33">$D$10*(1+$AM33)+VLOOKUP($Q33,武学奇术!$A:$ZZ,3,FALSE)+SUM(_xlfn.XLOOKUP($R33:$AF33,增益!$A:$A,增益!$C:$C,0))-$I$2</f>
        <v>1950.7275</v>
      </c>
      <c r="AO33" cm="1">
        <f t="array" ref="AO33">$E$10*(1+$AM33)+VLOOKUP($Q33,武学奇术!$A:$ZZ,4,FALSE)+SUM(_xlfn.XLOOKUP($R33:$AF33,增益!$A:$A,增益!$D:$D,0))-$I$2</f>
        <v>5687.2125</v>
      </c>
      <c r="AP33" s="35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0.4925</v>
      </c>
      <c r="AQ33" s="35" cm="1">
        <f t="array" ref="AQ33">$G$10+VLOOKUP($Q33,武学奇术!$A:$ZZ,7,FALSE)+SUM(_xlfn.XLOOKUP(R33:AF33,增益!$A:$A,增益!$G:$G,0))</f>
        <v>0.1</v>
      </c>
      <c r="AR33" s="27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5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-0.14</v>
      </c>
      <c r="AV33" s="35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35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-0.14</v>
      </c>
      <c r="AZ33" s="35" cm="1">
        <f t="array" ref="AZ33">$G$12+VLOOKUP($Q33,武学奇术!$A:$ZZ,12,FALSE)+SUM(_xlfn.XLOOKUP(R33:AF33,增益!$A:$A,增益!$L:$L,0))</f>
        <v>0</v>
      </c>
      <c r="BA33">
        <f t="shared" si="5"/>
        <v>538</v>
      </c>
      <c r="BB33">
        <f t="shared" si="6"/>
        <v>1011</v>
      </c>
      <c r="BC33" s="35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0.08</v>
      </c>
      <c r="BD33" s="35" cm="1">
        <f t="array" ref="BD33">$G$13+VLOOKUP($Q33,武学奇术!$A:$ZZ,14,FALSE)+SUM(_xlfn.XLOOKUP(R33:AF33,增益!$A:$A,增益!$N:$N,0))</f>
        <v>0.25</v>
      </c>
      <c r="BE33">
        <f t="shared" si="7"/>
        <v>0</v>
      </c>
      <c r="BF33">
        <f t="shared" si="8"/>
        <v>0</v>
      </c>
      <c r="BG33" s="35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-0.14</v>
      </c>
      <c r="BH33" s="35" cm="1">
        <f t="array" ref="BH33">$G$14+VLOOKUP($Q33,武学奇术!$A:$ZZ,16,FALSE)+SUM(_xlfn.XLOOKUP(R33:AF33,增益!$A:$A,增益!$P:$P,0))</f>
        <v>0</v>
      </c>
      <c r="BI33" s="27">
        <f>MIN(IF(VLOOKUP($Q33,武学奇术!$A:$ZZ,23,FALSE)=1,100%,$B$8),100%)</f>
        <v>0.9969</v>
      </c>
      <c r="BJ33" s="27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0.9137</v>
      </c>
      <c r="BK33" s="27" cm="1">
        <f t="array" ref="BK33">1+$B$13+VLOOKUP($Q33,武学奇术!$A:$ZZ,18,FALSE)+SUM(_xlfn.XLOOKUP(R33:AF33,增益!$A:$A,增益!$R:$R,0))</f>
        <v>2.2</v>
      </c>
      <c r="BL33" s="27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0.0895</v>
      </c>
      <c r="BM33" s="27" cm="1">
        <f t="array" ref="BM33">1+$B$14+VLOOKUP($Q33,武学奇术!$A:$ZZ,20,FALSE)+SUM(_xlfn.XLOOKUP(R33:AF33,增益!$A:$A,增益!$T:$T,0))</f>
        <v>1.35</v>
      </c>
      <c r="BN33" s="27">
        <f t="shared" si="11"/>
        <v>0.90767745</v>
      </c>
      <c r="BO33" s="27">
        <f t="shared" si="10"/>
        <v>-1.30104260698261e-17</v>
      </c>
      <c r="BP33" s="27">
        <f>IF(VLOOKUP($Q33,武学奇术!$A:$ZZ,22,FALSE)=1,0,(1-$BI33))*(1-$BL33)</f>
        <v>0.00282254999999999</v>
      </c>
      <c r="BQ33" s="27" cm="1">
        <f t="array" ref="BQ33">SUM(_xlfn.XLOOKUP(R33:AF33,增益!$A:$A,增益!$W:$W,0))+$I$5</f>
        <v>0.11</v>
      </c>
    </row>
    <row r="34" spans="1:69">
      <c r="A34" s="4" t="s">
        <v>155</v>
      </c>
      <c r="B34" s="4">
        <v>0.1</v>
      </c>
      <c r="E34" s="42"/>
      <c r="G34" s="42"/>
      <c r="K34" s="41">
        <f t="shared" si="0"/>
        <v>30615.3424694907</v>
      </c>
      <c r="L34" s="41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弹道",$B$21,0))*(1+$BQ34)</f>
        <v>30589.0137488443</v>
      </c>
      <c r="M34" s="41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弹道",$B$21,0))*(1+$BQ34)</f>
        <v>31530.138540663</v>
      </c>
      <c r="N34" s="41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弹道",$B$21,0))*(1+$BQ34)</f>
        <v>16715.3080594777</v>
      </c>
      <c r="O34" s="41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弹道",$B$21,0))*(1+$BQ34)</f>
        <v>10074.9579406866</v>
      </c>
      <c r="P34" s="42">
        <v>1</v>
      </c>
      <c r="Q34" s="43" t="s">
        <v>127</v>
      </c>
      <c r="R34" s="43" t="s">
        <v>93</v>
      </c>
      <c r="S34" s="43" t="s">
        <v>151</v>
      </c>
      <c r="T34" s="43" t="s">
        <v>73</v>
      </c>
      <c r="U34" s="43" t="s">
        <v>86</v>
      </c>
      <c r="V34" s="43" t="s">
        <v>73</v>
      </c>
      <c r="W34" s="43" t="s">
        <v>73</v>
      </c>
      <c r="X34" s="43" t="s">
        <v>73</v>
      </c>
      <c r="Y34" s="43" t="s">
        <v>112</v>
      </c>
      <c r="Z34" s="43" t="s">
        <v>113</v>
      </c>
      <c r="AA34" s="43" t="s">
        <v>73</v>
      </c>
      <c r="AB34" s="43" t="s">
        <v>80</v>
      </c>
      <c r="AC34" s="43" t="s">
        <v>73</v>
      </c>
      <c r="AD34" s="43" t="s">
        <v>73</v>
      </c>
      <c r="AE34" s="43" t="s">
        <v>73</v>
      </c>
      <c r="AF34" s="43" t="s">
        <v>75</v>
      </c>
      <c r="AG34" t="str">
        <f>VLOOKUP($Q34,武学奇术!$A:$ZZ,25,FALSE)</f>
        <v>扇</v>
      </c>
      <c r="AH34" s="27">
        <f>VLOOKUP($Q34,武学奇术!$A:$ZZ,26,FALSE)</f>
        <v>1.2798</v>
      </c>
      <c r="AI34" s="28">
        <f>VLOOKUP($Q34,武学奇术!$A:$ZZ,27,FALSE)*(1+IF(OR($AG34=$F$4,$AG34=$F$5),$B$22,0))</f>
        <v>497</v>
      </c>
      <c r="AJ34" s="27">
        <f>VLOOKUP($Q34,武学奇术!$A:$ZZ,28,FALSE)</f>
        <v>1.9197</v>
      </c>
      <c r="AK34" s="28">
        <f>VLOOKUP($Q34,武学奇术!$A:$ZZ,29,FALSE)*(1+IF(OR($AG34=$F$4,$AG34=$F$5),$B$22,0))</f>
        <v>270.2</v>
      </c>
      <c r="AL34" s="27" cm="1">
        <f t="array" ref="AL34">$G$3+IFERROR(VLOOKUP($AG34,$F$4:$G$7,2,FALSE),0)+VLOOKUP($Q34,武学奇术!$A:$ZZ,2,FALSE)+SUM(_xlfn.XLOOKUP($R34:$AF34,增益!$A:$A,增益!$B:$B,0))</f>
        <v>0.4689</v>
      </c>
      <c r="AM34" s="27" cm="1">
        <f t="array" ref="AM34">VLOOKUP($Q34,武学奇术!$A:$ZZ,5,FALSE)+SUM(_xlfn.XLOOKUP($R34:$AF34,增益!$A:$A,增益!$E:$E,0))</f>
        <v>0.075</v>
      </c>
      <c r="AN34" cm="1">
        <f t="array" ref="AN34">$D$10*(1+$AM34)+VLOOKUP($Q34,武学奇术!$A:$ZZ,3,FALSE)+SUM(_xlfn.XLOOKUP($R34:$AF34,增益!$A:$A,增益!$C:$C,0))-$I$2</f>
        <v>1950.7275</v>
      </c>
      <c r="AO34" cm="1">
        <f t="array" ref="AO34">$E$10*(1+$AM34)+VLOOKUP($Q34,武学奇术!$A:$ZZ,4,FALSE)+SUM(_xlfn.XLOOKUP($R34:$AF34,增益!$A:$A,增益!$D:$D,0))-$I$2</f>
        <v>5687.2125</v>
      </c>
      <c r="AP34" s="35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0.4675</v>
      </c>
      <c r="AQ34" s="35" cm="1">
        <f t="array" ref="AQ34">$G$10+VLOOKUP($Q34,武学奇术!$A:$ZZ,7,FALSE)+SUM(_xlfn.XLOOKUP(R34:AF34,增益!$A:$A,增益!$G:$G,0))</f>
        <v>0</v>
      </c>
      <c r="AR34" s="27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5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-0.14</v>
      </c>
      <c r="AV34" s="35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35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-0.14</v>
      </c>
      <c r="AZ34" s="35" cm="1">
        <f t="array" ref="AZ34">$G$12+VLOOKUP($Q34,武学奇术!$A:$ZZ,12,FALSE)+SUM(_xlfn.XLOOKUP(R34:AF34,增益!$A:$A,增益!$L:$L,0))</f>
        <v>0</v>
      </c>
      <c r="BA34">
        <f t="shared" si="5"/>
        <v>538</v>
      </c>
      <c r="BB34">
        <f t="shared" si="6"/>
        <v>1011</v>
      </c>
      <c r="BC34" s="35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0.08</v>
      </c>
      <c r="BD34" s="35" cm="1">
        <f t="array" ref="BD34">$G$13+VLOOKUP($Q34,武学奇术!$A:$ZZ,14,FALSE)+SUM(_xlfn.XLOOKUP(R34:AF34,增益!$A:$A,增益!$N:$N,0))</f>
        <v>0.15</v>
      </c>
      <c r="BE34">
        <f t="shared" si="7"/>
        <v>0</v>
      </c>
      <c r="BF34">
        <f t="shared" si="8"/>
        <v>0</v>
      </c>
      <c r="BG34" s="35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-0.14</v>
      </c>
      <c r="BH34" s="35" cm="1">
        <f t="array" ref="BH34">$G$14+VLOOKUP($Q34,武学奇术!$A:$ZZ,16,FALSE)+SUM(_xlfn.XLOOKUP(R34:AF34,增益!$A:$A,增益!$P:$P,0))</f>
        <v>0</v>
      </c>
      <c r="BI34" s="27">
        <f>MIN(IF(VLOOKUP($Q34,武学奇术!$A:$ZZ,23,FALSE)=1,100%,$B$8),100%)</f>
        <v>0.9969</v>
      </c>
      <c r="BJ34" s="27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0.9137</v>
      </c>
      <c r="BK34" s="27" cm="1">
        <f t="array" ref="BK34">1+$B$13+VLOOKUP($Q34,武学奇术!$A:$ZZ,18,FALSE)+SUM(_xlfn.XLOOKUP(R34:AF34,增益!$A:$A,增益!$R:$R,0))</f>
        <v>1.83</v>
      </c>
      <c r="BL34" s="27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0.0895</v>
      </c>
      <c r="BM34" s="27" cm="1">
        <f t="array" ref="BM34">1+$B$14+VLOOKUP($Q34,武学奇术!$A:$ZZ,20,FALSE)+SUM(_xlfn.XLOOKUP(R34:AF34,增益!$A:$A,增益!$T:$T,0))</f>
        <v>1.35</v>
      </c>
      <c r="BN34" s="27">
        <f t="shared" si="11"/>
        <v>0.90767745</v>
      </c>
      <c r="BO34" s="27">
        <f t="shared" si="10"/>
        <v>-1.30104260698261e-17</v>
      </c>
      <c r="BP34" s="27">
        <f>IF(VLOOKUP($Q34,武学奇术!$A:$ZZ,22,FALSE)=1,0,(1-$BI34))*(1-$BL34)</f>
        <v>0.00282254999999999</v>
      </c>
      <c r="BQ34" s="27" cm="1">
        <f t="array" ref="BQ34">SUM(_xlfn.XLOOKUP(R34:AF34,增益!$A:$A,增益!$W:$W,0))+$I$5</f>
        <v>0.11</v>
      </c>
    </row>
    <row r="35" spans="1:69">
      <c r="A35" s="4" t="s">
        <v>156</v>
      </c>
      <c r="B35" s="4">
        <v>0.5</v>
      </c>
      <c r="D35" s="42" t="s">
        <v>157</v>
      </c>
      <c r="E35" s="42"/>
      <c r="F35">
        <v>3</v>
      </c>
      <c r="G35" s="42"/>
      <c r="K35" s="41">
        <f t="shared" ref="K35:K60" si="12">($L35*$BN35+$M35*$BL35+$N35*$BO35+$O35*$BP35)</f>
        <v>145146.32100411</v>
      </c>
      <c r="L35" s="41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弹道",$B$21,0))*(1+$BQ35)</f>
        <v>147324.272579186</v>
      </c>
      <c r="M35" s="41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弹道",$B$21,0))*(1+$BQ35)</f>
        <v>126363.938250909</v>
      </c>
      <c r="N35" s="41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弹道",$B$21,0))*(1+$BQ35)</f>
        <v>66965.5784450846</v>
      </c>
      <c r="O35" s="41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弹道",$B$21,0))*(1+$BQ35)</f>
        <v>40328.2396672738</v>
      </c>
      <c r="P35" s="42">
        <v>1</v>
      </c>
      <c r="Q35" s="43" t="s">
        <v>133</v>
      </c>
      <c r="R35" s="43" t="s">
        <v>93</v>
      </c>
      <c r="S35" s="43" t="s">
        <v>154</v>
      </c>
      <c r="T35" s="43" t="s">
        <v>73</v>
      </c>
      <c r="U35" s="43" t="s">
        <v>86</v>
      </c>
      <c r="V35" s="43" t="s">
        <v>134</v>
      </c>
      <c r="W35" s="43" t="s">
        <v>73</v>
      </c>
      <c r="X35" s="43" t="s">
        <v>73</v>
      </c>
      <c r="Y35" s="43" t="s">
        <v>112</v>
      </c>
      <c r="Z35" s="43" t="s">
        <v>113</v>
      </c>
      <c r="AA35" s="43" t="s">
        <v>73</v>
      </c>
      <c r="AB35" s="43" t="s">
        <v>80</v>
      </c>
      <c r="AC35" s="43" t="s">
        <v>73</v>
      </c>
      <c r="AD35" s="43" t="s">
        <v>73</v>
      </c>
      <c r="AE35" s="43" t="s">
        <v>73</v>
      </c>
      <c r="AF35" s="43" t="s">
        <v>75</v>
      </c>
      <c r="AG35" t="str">
        <f>VLOOKUP($Q35,武学奇术!$A:$ZZ,25,FALSE)</f>
        <v>扇</v>
      </c>
      <c r="AH35" s="27">
        <f>VLOOKUP($Q35,武学奇术!$A:$ZZ,26,FALSE)</f>
        <v>4.376825</v>
      </c>
      <c r="AI35" s="28">
        <f>VLOOKUP($Q35,武学奇术!$A:$ZZ,27,FALSE)*(1+IF(OR($AG35=$F$4,$AG35=$F$5),$B$22,0))</f>
        <v>1695.05</v>
      </c>
      <c r="AJ35" s="27">
        <f>VLOOKUP($Q35,武学奇术!$A:$ZZ,28,FALSE)</f>
        <v>6.56531</v>
      </c>
      <c r="AK35" s="28">
        <f>VLOOKUP($Q35,武学奇术!$A:$ZZ,29,FALSE)*(1+IF(OR($AG35=$F$4,$AG35=$F$5),$B$22,0))</f>
        <v>923.65</v>
      </c>
      <c r="AL35" s="27" cm="1">
        <f t="array" ref="AL35">$G$3+IFERROR(VLOOKUP($AG35,$F$4:$G$7,2,FALSE),0)+VLOOKUP($Q35,武学奇术!$A:$ZZ,2,FALSE)+SUM(_xlfn.XLOOKUP($R35:$AF35,增益!$A:$A,增益!$B:$B,0))</f>
        <v>0.5689</v>
      </c>
      <c r="AM35" s="27" cm="1">
        <f t="array" ref="AM35">VLOOKUP($Q35,武学奇术!$A:$ZZ,5,FALSE)+SUM(_xlfn.XLOOKUP($R35:$AF35,增益!$A:$A,增益!$E:$E,0))</f>
        <v>0.075</v>
      </c>
      <c r="AN35" cm="1">
        <f t="array" ref="AN35">$D$10*(1+$AM35)+VLOOKUP($Q35,武学奇术!$A:$ZZ,3,FALSE)+SUM(_xlfn.XLOOKUP($R35:$AF35,增益!$A:$A,增益!$C:$C,0))-$I$2</f>
        <v>1950.7275</v>
      </c>
      <c r="AO35" cm="1">
        <f t="array" ref="AO35">$E$10*(1+$AM35)+VLOOKUP($Q35,武学奇术!$A:$ZZ,4,FALSE)+SUM(_xlfn.XLOOKUP($R35:$AF35,增益!$A:$A,增益!$D:$D,0))-$I$2</f>
        <v>5687.2125</v>
      </c>
      <c r="AP35" s="35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0.4675</v>
      </c>
      <c r="AQ35" s="35" cm="1">
        <f t="array" ref="AQ35">$G$10+VLOOKUP($Q35,武学奇术!$A:$ZZ,7,FALSE)+SUM(_xlfn.XLOOKUP(R35:AF35,增益!$A:$A,增益!$G:$G,0))</f>
        <v>0.1</v>
      </c>
      <c r="AR35" s="27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5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-0.14</v>
      </c>
      <c r="AV35" s="35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35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-0.14</v>
      </c>
      <c r="AZ35" s="35" cm="1">
        <f t="array" ref="AZ35">$G$12+VLOOKUP($Q35,武学奇术!$A:$ZZ,12,FALSE)+SUM(_xlfn.XLOOKUP(R35:AF35,增益!$A:$A,增益!$L:$L,0))</f>
        <v>0</v>
      </c>
      <c r="BA35">
        <f t="shared" ref="BA35:BA60" si="13">$D$13*(1+$AR35)</f>
        <v>538</v>
      </c>
      <c r="BB35">
        <f t="shared" ref="BB35:BB60" si="14">$E$13*(1+$AR35)</f>
        <v>1011</v>
      </c>
      <c r="BC35" s="35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0.08</v>
      </c>
      <c r="BD35" s="35" cm="1">
        <f t="array" ref="BD35">$G$13+VLOOKUP($Q35,武学奇术!$A:$ZZ,14,FALSE)+SUM(_xlfn.XLOOKUP(R35:AF35,增益!$A:$A,增益!$N:$N,0))</f>
        <v>0.25</v>
      </c>
      <c r="BE35">
        <f t="shared" ref="BE35:BE60" si="15">$D$14*(1+$AR35)</f>
        <v>0</v>
      </c>
      <c r="BF35">
        <f t="shared" ref="BF35:BF60" si="16">$E$14*(1+$AR35)</f>
        <v>0</v>
      </c>
      <c r="BG35" s="35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-0.14</v>
      </c>
      <c r="BH35" s="35" cm="1">
        <f t="array" ref="BH35">$G$14+VLOOKUP($Q35,武学奇术!$A:$ZZ,16,FALSE)+SUM(_xlfn.XLOOKUP(R35:AF35,增益!$A:$A,增益!$P:$P,0))</f>
        <v>0</v>
      </c>
      <c r="BI35" s="27">
        <f>MIN(IF(VLOOKUP($Q35,武学奇术!$A:$ZZ,23,FALSE)=1,100%,$B$8),100%)</f>
        <v>0.9969</v>
      </c>
      <c r="BJ35" s="27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0.9137</v>
      </c>
      <c r="BK35" s="27" cm="1">
        <f t="array" ref="BK35">1+$B$13+VLOOKUP($Q35,武学奇术!$A:$ZZ,18,FALSE)+SUM(_xlfn.XLOOKUP(R35:AF35,增益!$A:$A,增益!$R:$R,0))</f>
        <v>2.2</v>
      </c>
      <c r="BL35" s="27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0.0895</v>
      </c>
      <c r="BM35" s="27" cm="1">
        <f t="array" ref="BM35">1+$B$14+VLOOKUP($Q35,武学奇术!$A:$ZZ,20,FALSE)+SUM(_xlfn.XLOOKUP(R35:AF35,增益!$A:$A,增益!$T:$T,0))</f>
        <v>1.35</v>
      </c>
      <c r="BN35" s="27">
        <f t="shared" si="11"/>
        <v>0.90767745</v>
      </c>
      <c r="BO35" s="27">
        <f t="shared" ref="BO35:BO66" si="17">1-BL35-BN35-BP35</f>
        <v>-1.30104260698261e-17</v>
      </c>
      <c r="BP35" s="27">
        <f>IF(VLOOKUP($Q35,武学奇术!$A:$ZZ,22,FALSE)=1,0,(1-$BI35))*(1-$BL35)</f>
        <v>0.00282254999999999</v>
      </c>
      <c r="BQ35" s="27" cm="1">
        <f t="array" ref="BQ35">SUM(_xlfn.XLOOKUP(R35:AF35,增益!$A:$A,增益!$W:$W,0))+$I$5</f>
        <v>0.11</v>
      </c>
    </row>
    <row r="36" spans="1:69">
      <c r="A36" s="4" t="s">
        <v>127</v>
      </c>
      <c r="B36" s="4">
        <v>0.8</v>
      </c>
      <c r="D36" s="42"/>
      <c r="E36" s="42"/>
      <c r="G36" s="42"/>
      <c r="K36" s="41">
        <f t="shared" si="12"/>
        <v>37228.8913800822</v>
      </c>
      <c r="L36" s="41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弹道",$B$21,0))*(1+$BQ36)</f>
        <v>36708.5288569103</v>
      </c>
      <c r="M36" s="41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弹道",$B$21,0))*(1+$BQ36)</f>
        <v>43243.4112240975</v>
      </c>
      <c r="N36" s="41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弹道",$B$21,0))*(1+$BQ36)</f>
        <v>22942.830535569</v>
      </c>
      <c r="O36" s="41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弹道",$B$21,0))*(1+$BQ36)</f>
        <v>13853.5046088435</v>
      </c>
      <c r="P36" s="42">
        <v>1</v>
      </c>
      <c r="Q36" s="43" t="s">
        <v>104</v>
      </c>
      <c r="R36" s="43" t="s">
        <v>93</v>
      </c>
      <c r="S36" s="43" t="s">
        <v>158</v>
      </c>
      <c r="T36" s="43" t="s">
        <v>73</v>
      </c>
      <c r="U36" s="43" t="s">
        <v>159</v>
      </c>
      <c r="V36" s="43" t="s">
        <v>73</v>
      </c>
      <c r="W36" s="43" t="s">
        <v>73</v>
      </c>
      <c r="X36" s="43" t="s">
        <v>73</v>
      </c>
      <c r="Y36" s="43" t="s">
        <v>73</v>
      </c>
      <c r="Z36" s="43" t="s">
        <v>73</v>
      </c>
      <c r="AA36" s="43" t="s">
        <v>73</v>
      </c>
      <c r="AB36" s="43" t="s">
        <v>80</v>
      </c>
      <c r="AC36" s="43" t="s">
        <v>73</v>
      </c>
      <c r="AD36" s="43" t="s">
        <v>73</v>
      </c>
      <c r="AE36" s="43" t="s">
        <v>73</v>
      </c>
      <c r="AF36" s="43" t="s">
        <v>75</v>
      </c>
      <c r="AG36" t="str">
        <f>VLOOKUP($Q36,武学奇术!$A:$ZZ,25,FALSE)</f>
        <v>伞</v>
      </c>
      <c r="AH36" s="27">
        <f>VLOOKUP($Q36,武学奇术!$A:$ZZ,26,FALSE)</f>
        <v>1.7001</v>
      </c>
      <c r="AI36" s="28">
        <f>VLOOKUP($Q36,武学奇术!$A:$ZZ,27,FALSE)*(1+IF(OR($AG36=$F$4,$AG36=$F$5),$B$22,0))</f>
        <v>659.4</v>
      </c>
      <c r="AJ36" s="27">
        <f>VLOOKUP($Q36,武学奇术!$A:$ZZ,28,FALSE)</f>
        <v>2.5502</v>
      </c>
      <c r="AK36" s="28">
        <f>VLOOKUP($Q36,武学奇术!$A:$ZZ,29,FALSE)*(1+IF(OR($AG36=$F$4,$AG36=$F$5),$B$22,0))</f>
        <v>358.4</v>
      </c>
      <c r="AL36" s="27" cm="1">
        <f t="array" ref="AL36">$G$3+IFERROR(VLOOKUP($AG36,$F$4:$G$7,2,FALSE),0)+VLOOKUP($Q36,武学奇术!$A:$ZZ,2,FALSE)+SUM(_xlfn.XLOOKUP($R36:$AF36,增益!$A:$A,增益!$B:$B,0))</f>
        <v>0.4041</v>
      </c>
      <c r="AM36" s="27" cm="1">
        <f t="array" ref="AM36">VLOOKUP($Q36,武学奇术!$A:$ZZ,5,FALSE)+SUM(_xlfn.XLOOKUP($R36:$AF36,增益!$A:$A,增益!$E:$E,0))</f>
        <v>0.15</v>
      </c>
      <c r="AN36" cm="1">
        <f t="array" ref="AN36">$D$10*(1+$AM36)+VLOOKUP($Q36,武学奇术!$A:$ZZ,3,FALSE)+SUM(_xlfn.XLOOKUP($R36:$AF36,增益!$A:$A,增益!$C:$C,0))-$I$2</f>
        <v>2125.755</v>
      </c>
      <c r="AO36" cm="1">
        <f t="array" ref="AO36">$E$10*(1+$AM36)+VLOOKUP($Q36,武学奇术!$A:$ZZ,4,FALSE)+SUM(_xlfn.XLOOKUP($R36:$AF36,增益!$A:$A,增益!$D:$D,0))-$I$2</f>
        <v>6122.925</v>
      </c>
      <c r="AP36" s="35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0.3425</v>
      </c>
      <c r="AQ36" s="35" cm="1">
        <f t="array" ref="AQ36">$G$10+VLOOKUP($Q36,武学奇术!$A:$ZZ,7,FALSE)+SUM(_xlfn.XLOOKUP(R36:AF36,增益!$A:$A,增益!$G:$G,0))</f>
        <v>0.1</v>
      </c>
      <c r="AR36" s="27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5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-0.14</v>
      </c>
      <c r="AV36" s="35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35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-0.14</v>
      </c>
      <c r="AZ36" s="35" cm="1">
        <f t="array" ref="AZ36">$G$12+VLOOKUP($Q36,武学奇术!$A:$ZZ,12,FALSE)+SUM(_xlfn.XLOOKUP(R36:AF36,增益!$A:$A,增益!$L:$L,0))</f>
        <v>0</v>
      </c>
      <c r="BA36">
        <f t="shared" si="13"/>
        <v>538</v>
      </c>
      <c r="BB36">
        <f t="shared" si="14"/>
        <v>1011</v>
      </c>
      <c r="BC36" s="35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0.08</v>
      </c>
      <c r="BD36" s="35" cm="1">
        <f t="array" ref="BD36">$G$13+VLOOKUP($Q36,武学奇术!$A:$ZZ,14,FALSE)+SUM(_xlfn.XLOOKUP(R36:AF36,增益!$A:$A,增益!$N:$N,0))</f>
        <v>0.25</v>
      </c>
      <c r="BE36">
        <f t="shared" si="15"/>
        <v>0</v>
      </c>
      <c r="BF36">
        <f t="shared" si="16"/>
        <v>0</v>
      </c>
      <c r="BG36" s="35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-0.14</v>
      </c>
      <c r="BH36" s="35" cm="1">
        <f t="array" ref="BH36">$G$14+VLOOKUP($Q36,武学奇术!$A:$ZZ,16,FALSE)+SUM(_xlfn.XLOOKUP(R36:AF36,增益!$A:$A,增益!$P:$P,0))</f>
        <v>0</v>
      </c>
      <c r="BI36" s="27">
        <f>MIN(IF(VLOOKUP($Q36,武学奇术!$A:$ZZ,23,FALSE)=1,100%,$B$8),100%)</f>
        <v>0.9969</v>
      </c>
      <c r="BJ36" s="27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0.9137</v>
      </c>
      <c r="BK36" s="27" cm="1">
        <f t="array" ref="BK36">1+$B$13+VLOOKUP($Q36,武学奇术!$A:$ZZ,18,FALSE)+SUM(_xlfn.XLOOKUP(R36:AF36,增益!$A:$A,增益!$R:$R,0))</f>
        <v>1.6</v>
      </c>
      <c r="BL36" s="27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0.0895</v>
      </c>
      <c r="BM36" s="27" cm="1">
        <f t="array" ref="BM36">1+$B$14+VLOOKUP($Q36,武学奇术!$A:$ZZ,20,FALSE)+SUM(_xlfn.XLOOKUP(R36:AF36,增益!$A:$A,增益!$T:$T,0))</f>
        <v>1.35</v>
      </c>
      <c r="BN36" s="27">
        <f t="shared" si="11"/>
        <v>0.90767745</v>
      </c>
      <c r="BO36" s="27">
        <f t="shared" si="17"/>
        <v>-1.30104260698261e-17</v>
      </c>
      <c r="BP36" s="27">
        <f>IF(VLOOKUP($Q36,武学奇术!$A:$ZZ,22,FALSE)=1,0,(1-$BI36))*(1-$BL36)</f>
        <v>0.00282254999999999</v>
      </c>
      <c r="BQ36" s="27" cm="1">
        <f t="array" ref="BQ36">SUM(_xlfn.XLOOKUP(R36:AF36,增益!$A:$A,增益!$W:$W,0))+$I$5</f>
        <v>0.11</v>
      </c>
    </row>
    <row r="37" spans="1:69">
      <c r="A37" t="s">
        <v>147</v>
      </c>
      <c r="B37">
        <v>1</v>
      </c>
      <c r="D37" s="42"/>
      <c r="E37" s="42"/>
      <c r="G37" s="42"/>
      <c r="K37" s="41">
        <f t="shared" si="12"/>
        <v>15599.857355246</v>
      </c>
      <c r="L37" s="41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弹道",$B$21,0))*(1+$BQ37)</f>
        <v>15381.5478242538</v>
      </c>
      <c r="M37" s="41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弹道",$B$21,0))*(1+$BQ37)</f>
        <v>18122.850473177</v>
      </c>
      <c r="N37" s="41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弹道",$B$21,0))*(1+$BQ37)</f>
        <v>9613.46739015864</v>
      </c>
      <c r="O37" s="41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弹道",$B$21,0))*(1+$BQ37)</f>
        <v>5802.60109648248</v>
      </c>
      <c r="P37" s="42">
        <v>1</v>
      </c>
      <c r="Q37" s="43" t="s">
        <v>107</v>
      </c>
      <c r="R37" s="43" t="s">
        <v>93</v>
      </c>
      <c r="S37" s="43" t="s">
        <v>158</v>
      </c>
      <c r="T37" s="43" t="s">
        <v>73</v>
      </c>
      <c r="U37" s="43" t="s">
        <v>159</v>
      </c>
      <c r="V37" s="43" t="s">
        <v>73</v>
      </c>
      <c r="W37" s="43" t="s">
        <v>73</v>
      </c>
      <c r="X37" s="43" t="s">
        <v>73</v>
      </c>
      <c r="Y37" s="43" t="s">
        <v>73</v>
      </c>
      <c r="Z37" s="43" t="s">
        <v>73</v>
      </c>
      <c r="AA37" s="43" t="s">
        <v>73</v>
      </c>
      <c r="AB37" s="43" t="s">
        <v>80</v>
      </c>
      <c r="AC37" s="43" t="s">
        <v>73</v>
      </c>
      <c r="AD37" s="43" t="s">
        <v>73</v>
      </c>
      <c r="AE37" s="43" t="s">
        <v>73</v>
      </c>
      <c r="AF37" s="43" t="s">
        <v>75</v>
      </c>
      <c r="AG37" t="str">
        <f>VLOOKUP($Q37,武学奇术!$A:$ZZ,25,FALSE)</f>
        <v>伞</v>
      </c>
      <c r="AH37" s="27">
        <f>VLOOKUP($Q37,武学奇术!$A:$ZZ,26,FALSE)</f>
        <v>0.54</v>
      </c>
      <c r="AI37" s="28">
        <f>VLOOKUP($Q37,武学奇术!$A:$ZZ,27,FALSE)*(1+IF(OR($AG37=$F$4,$AG37=$F$5),$B$22,0))</f>
        <v>207.2</v>
      </c>
      <c r="AJ37" s="27">
        <f>VLOOKUP($Q37,武学奇术!$A:$ZZ,28,FALSE)</f>
        <v>0.81</v>
      </c>
      <c r="AK37" s="28">
        <f>VLOOKUP($Q37,武学奇术!$A:$ZZ,29,FALSE)*(1+IF(OR($AG37=$F$4,$AG37=$F$5),$B$22,0))</f>
        <v>114.1</v>
      </c>
      <c r="AL37" s="27" cm="1">
        <f t="array" ref="AL37">$G$3+IFERROR(VLOOKUP($AG37,$F$4:$G$7,2,FALSE),0)+VLOOKUP($Q37,武学奇术!$A:$ZZ,2,FALSE)+SUM(_xlfn.XLOOKUP($R37:$AF37,增益!$A:$A,增益!$B:$B,0))</f>
        <v>0.4041</v>
      </c>
      <c r="AM37" s="27" cm="1">
        <f t="array" ref="AM37">VLOOKUP($Q37,武学奇术!$A:$ZZ,5,FALSE)+SUM(_xlfn.XLOOKUP($R37:$AF37,增益!$A:$A,增益!$E:$E,0))</f>
        <v>0.15</v>
      </c>
      <c r="AN37" cm="1">
        <f t="array" ref="AN37">$D$10*(1+$AM37)+VLOOKUP($Q37,武学奇术!$A:$ZZ,3,FALSE)+SUM(_xlfn.XLOOKUP($R37:$AF37,增益!$A:$A,增益!$C:$C,0))-$I$2</f>
        <v>2125.755</v>
      </c>
      <c r="AO37" cm="1">
        <f t="array" ref="AO37">$E$10*(1+$AM37)+VLOOKUP($Q37,武学奇术!$A:$ZZ,4,FALSE)+SUM(_xlfn.XLOOKUP($R37:$AF37,增益!$A:$A,增益!$D:$D,0))-$I$2</f>
        <v>6122.925</v>
      </c>
      <c r="AP37" s="35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0.3425</v>
      </c>
      <c r="AQ37" s="35" cm="1">
        <f t="array" ref="AQ37">$G$10+VLOOKUP($Q37,武学奇术!$A:$ZZ,7,FALSE)+SUM(_xlfn.XLOOKUP(R37:AF37,增益!$A:$A,增益!$G:$G,0))</f>
        <v>0.1</v>
      </c>
      <c r="AR37" s="27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5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-0.14</v>
      </c>
      <c r="AV37" s="35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35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-0.14</v>
      </c>
      <c r="AZ37" s="35" cm="1">
        <f t="array" ref="AZ37">$G$12+VLOOKUP($Q37,武学奇术!$A:$ZZ,12,FALSE)+SUM(_xlfn.XLOOKUP(R37:AF37,增益!$A:$A,增益!$L:$L,0))</f>
        <v>0</v>
      </c>
      <c r="BA37">
        <f t="shared" si="13"/>
        <v>538</v>
      </c>
      <c r="BB37">
        <f t="shared" si="14"/>
        <v>1011</v>
      </c>
      <c r="BC37" s="35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0.08</v>
      </c>
      <c r="BD37" s="35" cm="1">
        <f t="array" ref="BD37">$G$13+VLOOKUP($Q37,武学奇术!$A:$ZZ,14,FALSE)+SUM(_xlfn.XLOOKUP(R37:AF37,增益!$A:$A,增益!$N:$N,0))</f>
        <v>0.25</v>
      </c>
      <c r="BE37">
        <f t="shared" si="15"/>
        <v>0</v>
      </c>
      <c r="BF37">
        <f t="shared" si="16"/>
        <v>0</v>
      </c>
      <c r="BG37" s="35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-0.14</v>
      </c>
      <c r="BH37" s="35" cm="1">
        <f t="array" ref="BH37">$G$14+VLOOKUP($Q37,武学奇术!$A:$ZZ,16,FALSE)+SUM(_xlfn.XLOOKUP(R37:AF37,增益!$A:$A,增益!$P:$P,0))</f>
        <v>0</v>
      </c>
      <c r="BI37" s="27">
        <f>MIN(IF(VLOOKUP($Q37,武学奇术!$A:$ZZ,23,FALSE)=1,100%,$B$8),100%)</f>
        <v>0.9969</v>
      </c>
      <c r="BJ37" s="27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0.9137</v>
      </c>
      <c r="BK37" s="27" cm="1">
        <f t="array" ref="BK37">1+$B$13+VLOOKUP($Q37,武学奇术!$A:$ZZ,18,FALSE)+SUM(_xlfn.XLOOKUP(R37:AF37,增益!$A:$A,增益!$R:$R,0))</f>
        <v>1.6</v>
      </c>
      <c r="BL37" s="27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0.0895</v>
      </c>
      <c r="BM37" s="27" cm="1">
        <f t="array" ref="BM37">1+$B$14+VLOOKUP($Q37,武学奇术!$A:$ZZ,20,FALSE)+SUM(_xlfn.XLOOKUP(R37:AF37,增益!$A:$A,增益!$T:$T,0))</f>
        <v>1.35</v>
      </c>
      <c r="BN37" s="27">
        <f t="shared" si="11"/>
        <v>0.90767745</v>
      </c>
      <c r="BO37" s="27">
        <f t="shared" si="17"/>
        <v>-1.30104260698261e-17</v>
      </c>
      <c r="BP37" s="27">
        <f>IF(VLOOKUP($Q37,武学奇术!$A:$ZZ,22,FALSE)=1,0,(1-$BI37))*(1-$BL37)</f>
        <v>0.00282254999999999</v>
      </c>
      <c r="BQ37" s="27" cm="1">
        <f t="array" ref="BQ37">SUM(_xlfn.XLOOKUP(R37:AF37,增益!$A:$A,增益!$W:$W,0))+$I$5</f>
        <v>0.11</v>
      </c>
    </row>
    <row r="38" spans="1:69">
      <c r="A38" t="s">
        <v>160</v>
      </c>
      <c r="B38">
        <v>2.5</v>
      </c>
      <c r="D38" s="42"/>
      <c r="E38" s="42"/>
      <c r="G38" s="42"/>
      <c r="K38" s="41">
        <f t="shared" si="12"/>
        <v>194989.341399624</v>
      </c>
      <c r="L38" s="41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弹道",$B$21,0))*(1+$BQ38)</f>
        <v>196036.326185565</v>
      </c>
      <c r="M38" s="41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弹道",$B$21,0))*(1+$BQ38)</f>
        <v>188618.245260807</v>
      </c>
      <c r="N38" s="41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弹道",$B$21,0))*(1+$BQ38)</f>
        <v>100018.533768146</v>
      </c>
      <c r="O38" s="41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弹道",$B$21,0))*(1+$BQ38)</f>
        <v>60319.8488245823</v>
      </c>
      <c r="P38" s="42">
        <v>4</v>
      </c>
      <c r="Q38" s="43" t="s">
        <v>109</v>
      </c>
      <c r="R38" s="43" t="s">
        <v>93</v>
      </c>
      <c r="S38" s="43" t="s">
        <v>158</v>
      </c>
      <c r="T38" s="43" t="s">
        <v>102</v>
      </c>
      <c r="U38" s="43" t="s">
        <v>159</v>
      </c>
      <c r="V38" s="43" t="s">
        <v>73</v>
      </c>
      <c r="W38" s="43" t="s">
        <v>73</v>
      </c>
      <c r="X38" s="43" t="s">
        <v>73</v>
      </c>
      <c r="Y38" s="43" t="s">
        <v>73</v>
      </c>
      <c r="Z38" s="43" t="s">
        <v>73</v>
      </c>
      <c r="AA38" s="43" t="s">
        <v>73</v>
      </c>
      <c r="AB38" s="43" t="s">
        <v>80</v>
      </c>
      <c r="AC38" s="43" t="s">
        <v>73</v>
      </c>
      <c r="AD38" s="43" t="s">
        <v>73</v>
      </c>
      <c r="AE38" s="43" t="s">
        <v>73</v>
      </c>
      <c r="AF38" s="43" t="s">
        <v>75</v>
      </c>
      <c r="AG38" t="str">
        <f>VLOOKUP($Q38,武学奇术!$A:$ZZ,25,FALSE)</f>
        <v>伞</v>
      </c>
      <c r="AH38" s="27">
        <f>VLOOKUP($Q38,武学奇术!$A:$ZZ,26,FALSE)</f>
        <v>1.174955</v>
      </c>
      <c r="AI38" s="28">
        <f>VLOOKUP($Q38,武学奇术!$A:$ZZ,27,FALSE)*(1+IF(OR($AG38=$F$4,$AG38=$F$5),$B$22,0))</f>
        <v>454.02</v>
      </c>
      <c r="AJ38" s="27">
        <f>VLOOKUP($Q38,武学奇术!$A:$ZZ,28,FALSE)</f>
        <v>1.762375</v>
      </c>
      <c r="AK38" s="28">
        <f>VLOOKUP($Q38,武学奇术!$A:$ZZ,29,FALSE)*(1+IF(OR($AG38=$F$4,$AG38=$F$5),$B$22,0))</f>
        <v>247.94</v>
      </c>
      <c r="AL38" s="27" cm="1">
        <f t="array" ref="AL38">$G$3+IFERROR(VLOOKUP($AG38,$F$4:$G$7,2,FALSE),0)+VLOOKUP($Q38,武学奇术!$A:$ZZ,2,FALSE)+SUM(_xlfn.XLOOKUP($R38:$AF38,增益!$A:$A,增益!$B:$B,0))</f>
        <v>0.6541</v>
      </c>
      <c r="AM38" s="27" cm="1">
        <f t="array" ref="AM38">VLOOKUP($Q38,武学奇术!$A:$ZZ,5,FALSE)+SUM(_xlfn.XLOOKUP($R38:$AF38,增益!$A:$A,增益!$E:$E,0))</f>
        <v>0.15</v>
      </c>
      <c r="AN38" cm="1">
        <f t="array" ref="AN38">$D$10*(1+$AM38)+VLOOKUP($Q38,武学奇术!$A:$ZZ,3,FALSE)+SUM(_xlfn.XLOOKUP($R38:$AF38,增益!$A:$A,增益!$C:$C,0))-$I$2</f>
        <v>2125.755</v>
      </c>
      <c r="AO38" cm="1">
        <f t="array" ref="AO38">$E$10*(1+$AM38)+VLOOKUP($Q38,武学奇术!$A:$ZZ,4,FALSE)+SUM(_xlfn.XLOOKUP($R38:$AF38,增益!$A:$A,增益!$D:$D,0))-$I$2</f>
        <v>6122.925</v>
      </c>
      <c r="AP38" s="35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0.3675</v>
      </c>
      <c r="AQ38" s="35" cm="1">
        <f t="array" ref="AQ38">$G$10+VLOOKUP($Q38,武学奇术!$A:$ZZ,7,FALSE)+SUM(_xlfn.XLOOKUP(R38:AF38,增益!$A:$A,增益!$G:$G,0))</f>
        <v>0.1</v>
      </c>
      <c r="AR38" s="27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5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-0.14</v>
      </c>
      <c r="AV38" s="35" cm="1">
        <f t="array" ref="AV38">$G$11+VLOOKUP($Q38,武学奇术!$A:$ZZ,10,FALSE)+SUM(_xlfn.XLOOKUP(R38:AF38,增益!$A:$A,增益!$J:$J,0))</f>
        <v>0</v>
      </c>
      <c r="AW38">
        <f t="shared" si="3"/>
        <v>0</v>
      </c>
      <c r="AX38">
        <f t="shared" si="4"/>
        <v>0</v>
      </c>
      <c r="AY38" s="35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-0.14</v>
      </c>
      <c r="AZ38" s="35" cm="1">
        <f t="array" ref="AZ38">$G$12+VLOOKUP($Q38,武学奇术!$A:$ZZ,12,FALSE)+SUM(_xlfn.XLOOKUP(R38:AF38,增益!$A:$A,增益!$L:$L,0))</f>
        <v>0</v>
      </c>
      <c r="BA38">
        <f t="shared" si="13"/>
        <v>538</v>
      </c>
      <c r="BB38">
        <f t="shared" si="14"/>
        <v>1011</v>
      </c>
      <c r="BC38" s="35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0.08</v>
      </c>
      <c r="BD38" s="35" cm="1">
        <f t="array" ref="BD38">$G$13+VLOOKUP($Q38,武学奇术!$A:$ZZ,14,FALSE)+SUM(_xlfn.XLOOKUP(R38:AF38,增益!$A:$A,增益!$N:$N,0))</f>
        <v>0.25</v>
      </c>
      <c r="BE38">
        <f t="shared" si="15"/>
        <v>0</v>
      </c>
      <c r="BF38">
        <f t="shared" si="16"/>
        <v>0</v>
      </c>
      <c r="BG38" s="35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-0.14</v>
      </c>
      <c r="BH38" s="35" cm="1">
        <f t="array" ref="BH38">$G$14+VLOOKUP($Q38,武学奇术!$A:$ZZ,16,FALSE)+SUM(_xlfn.XLOOKUP(R38:AF38,增益!$A:$A,增益!$P:$P,0))</f>
        <v>0</v>
      </c>
      <c r="BI38" s="27">
        <f>MIN(IF(VLOOKUP($Q38,武学奇术!$A:$ZZ,23,FALSE)=1,100%,$B$8),100%)</f>
        <v>0.9969</v>
      </c>
      <c r="BJ38" s="27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0.9137</v>
      </c>
      <c r="BK38" s="27" cm="1">
        <f t="array" ref="BK38">1+$B$13+VLOOKUP($Q38,武学奇术!$A:$ZZ,18,FALSE)+SUM(_xlfn.XLOOKUP(R38:AF38,增益!$A:$A,增益!$R:$R,0))</f>
        <v>1.96</v>
      </c>
      <c r="BL38" s="27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0.0895</v>
      </c>
      <c r="BM38" s="27" cm="1">
        <f t="array" ref="BM38">1+$B$14+VLOOKUP($Q38,武学奇术!$A:$ZZ,20,FALSE)+SUM(_xlfn.XLOOKUP(R38:AF38,增益!$A:$A,增益!$T:$T,0))</f>
        <v>1.35</v>
      </c>
      <c r="BN38" s="27">
        <f t="shared" si="11"/>
        <v>0.90767745</v>
      </c>
      <c r="BO38" s="27">
        <f t="shared" si="17"/>
        <v>-1.30104260698261e-17</v>
      </c>
      <c r="BP38" s="27">
        <f>IF(VLOOKUP($Q38,武学奇术!$A:$ZZ,22,FALSE)=1,0,(1-$BI38))*(1-$BL38)</f>
        <v>0.00282254999999999</v>
      </c>
      <c r="BQ38" s="27" cm="1">
        <f t="array" ref="BQ38">SUM(_xlfn.XLOOKUP(R38:AF38,增益!$A:$A,增益!$W:$W,0))+$I$5</f>
        <v>0.11</v>
      </c>
    </row>
    <row r="39" spans="1:69">
      <c r="A39" s="4" t="s">
        <v>155</v>
      </c>
      <c r="B39" s="4">
        <v>0.1</v>
      </c>
      <c r="E39" s="42"/>
      <c r="F39" s="4"/>
      <c r="G39" s="42"/>
      <c r="K39" s="41">
        <f t="shared" si="12"/>
        <v>121071.158384913</v>
      </c>
      <c r="L39" s="41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弹道",$B$21,0))*(1+$BQ39)</f>
        <v>121721.243461027</v>
      </c>
      <c r="M39" s="41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弹道",$B$21,0))*(1+$BQ39)</f>
        <v>117115.270416004</v>
      </c>
      <c r="N39" s="41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弹道",$B$21,0))*(1+$BQ39)</f>
        <v>62102.6752352179</v>
      </c>
      <c r="O39" s="41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弹道",$B$21,0))*(1+$BQ39)</f>
        <v>37453.298310433</v>
      </c>
      <c r="P39" s="42">
        <v>2</v>
      </c>
      <c r="Q39" s="43" t="s">
        <v>109</v>
      </c>
      <c r="R39" s="43" t="s">
        <v>93</v>
      </c>
      <c r="S39" s="43" t="s">
        <v>158</v>
      </c>
      <c r="T39" s="43" t="s">
        <v>102</v>
      </c>
      <c r="U39" s="43" t="s">
        <v>159</v>
      </c>
      <c r="V39" s="43" t="s">
        <v>98</v>
      </c>
      <c r="W39" s="43" t="s">
        <v>73</v>
      </c>
      <c r="X39" s="43" t="s">
        <v>73</v>
      </c>
      <c r="Y39" s="43" t="s">
        <v>73</v>
      </c>
      <c r="Z39" s="43" t="s">
        <v>73</v>
      </c>
      <c r="AA39" s="43" t="s">
        <v>73</v>
      </c>
      <c r="AB39" s="43" t="s">
        <v>80</v>
      </c>
      <c r="AC39" s="43" t="s">
        <v>73</v>
      </c>
      <c r="AD39" s="43" t="s">
        <v>73</v>
      </c>
      <c r="AE39" s="43" t="s">
        <v>73</v>
      </c>
      <c r="AF39" s="43" t="s">
        <v>75</v>
      </c>
      <c r="AG39" t="str">
        <f>VLOOKUP($Q39,武学奇术!$A:$ZZ,25,FALSE)</f>
        <v>伞</v>
      </c>
      <c r="AH39" s="27">
        <f>VLOOKUP($Q39,武学奇术!$A:$ZZ,26,FALSE)</f>
        <v>1.174955</v>
      </c>
      <c r="AI39" s="28">
        <f>VLOOKUP($Q39,武学奇术!$A:$ZZ,27,FALSE)*(1+IF(OR($AG39=$F$4,$AG39=$F$5),$B$22,0))</f>
        <v>454.02</v>
      </c>
      <c r="AJ39" s="27">
        <f>VLOOKUP($Q39,武学奇术!$A:$ZZ,28,FALSE)</f>
        <v>1.762375</v>
      </c>
      <c r="AK39" s="28">
        <f>VLOOKUP($Q39,武学奇术!$A:$ZZ,29,FALSE)*(1+IF(OR($AG39=$F$4,$AG39=$F$5),$B$22,0))</f>
        <v>247.94</v>
      </c>
      <c r="AL39" s="27" cm="1">
        <f t="array" ref="AL39">$G$3+IFERROR(VLOOKUP($AG39,$F$4:$G$7,2,FALSE),0)+VLOOKUP($Q39,武学奇术!$A:$ZZ,2,FALSE)+SUM(_xlfn.XLOOKUP($R39:$AF39,增益!$A:$A,增益!$B:$B,0))</f>
        <v>1.0541</v>
      </c>
      <c r="AM39" s="27" cm="1">
        <f t="array" ref="AM39">VLOOKUP($Q39,武学奇术!$A:$ZZ,5,FALSE)+SUM(_xlfn.XLOOKUP($R39:$AF39,增益!$A:$A,增益!$E:$E,0))</f>
        <v>0.15</v>
      </c>
      <c r="AN39" cm="1">
        <f t="array" ref="AN39">$D$10*(1+$AM39)+VLOOKUP($Q39,武学奇术!$A:$ZZ,3,FALSE)+SUM(_xlfn.XLOOKUP($R39:$AF39,增益!$A:$A,增益!$C:$C,0))-$I$2</f>
        <v>2125.755</v>
      </c>
      <c r="AO39" cm="1">
        <f t="array" ref="AO39">$E$10*(1+$AM39)+VLOOKUP($Q39,武学奇术!$A:$ZZ,4,FALSE)+SUM(_xlfn.XLOOKUP($R39:$AF39,增益!$A:$A,增益!$D:$D,0))-$I$2</f>
        <v>6122.925</v>
      </c>
      <c r="AP39" s="35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0.3675</v>
      </c>
      <c r="AQ39" s="35" cm="1">
        <f t="array" ref="AQ39">$G$10+VLOOKUP($Q39,武学奇术!$A:$ZZ,7,FALSE)+SUM(_xlfn.XLOOKUP(R39:AF39,增益!$A:$A,增益!$G:$G,0))</f>
        <v>0.1</v>
      </c>
      <c r="AR39" s="27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5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-0.14</v>
      </c>
      <c r="AV39" s="35" cm="1">
        <f t="array" ref="AV39">$G$11+VLOOKUP($Q39,武学奇术!$A:$ZZ,10,FALSE)+SUM(_xlfn.XLOOKUP(R39:AF39,增益!$A:$A,增益!$J:$J,0))</f>
        <v>0</v>
      </c>
      <c r="AW39">
        <f t="shared" si="3"/>
        <v>0</v>
      </c>
      <c r="AX39">
        <f t="shared" si="4"/>
        <v>0</v>
      </c>
      <c r="AY39" s="35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-0.14</v>
      </c>
      <c r="AZ39" s="35" cm="1">
        <f t="array" ref="AZ39">$G$12+VLOOKUP($Q39,武学奇术!$A:$ZZ,12,FALSE)+SUM(_xlfn.XLOOKUP(R39:AF39,增益!$A:$A,增益!$L:$L,0))</f>
        <v>0</v>
      </c>
      <c r="BA39">
        <f t="shared" si="13"/>
        <v>538</v>
      </c>
      <c r="BB39">
        <f t="shared" si="14"/>
        <v>1011</v>
      </c>
      <c r="BC39" s="35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0.08</v>
      </c>
      <c r="BD39" s="35" cm="1">
        <f t="array" ref="BD39">$G$13+VLOOKUP($Q39,武学奇术!$A:$ZZ,14,FALSE)+SUM(_xlfn.XLOOKUP(R39:AF39,增益!$A:$A,增益!$N:$N,0))</f>
        <v>0.25</v>
      </c>
      <c r="BE39">
        <f t="shared" si="15"/>
        <v>0</v>
      </c>
      <c r="BF39">
        <f t="shared" si="16"/>
        <v>0</v>
      </c>
      <c r="BG39" s="35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-0.14</v>
      </c>
      <c r="BH39" s="35" cm="1">
        <f t="array" ref="BH39">$G$14+VLOOKUP($Q39,武学奇术!$A:$ZZ,16,FALSE)+SUM(_xlfn.XLOOKUP(R39:AF39,增益!$A:$A,增益!$P:$P,0))</f>
        <v>0</v>
      </c>
      <c r="BI39" s="27">
        <f>MIN(IF(VLOOKUP($Q39,武学奇术!$A:$ZZ,23,FALSE)=1,100%,$B$8),100%)</f>
        <v>0.9969</v>
      </c>
      <c r="BJ39" s="27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0.9137</v>
      </c>
      <c r="BK39" s="27" cm="1">
        <f t="array" ref="BK39">1+$B$13+VLOOKUP($Q39,武学奇术!$A:$ZZ,18,FALSE)+SUM(_xlfn.XLOOKUP(R39:AF39,增益!$A:$A,增益!$R:$R,0))</f>
        <v>1.96</v>
      </c>
      <c r="BL39" s="27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0.0895</v>
      </c>
      <c r="BM39" s="27" cm="1">
        <f t="array" ref="BM39">1+$B$14+VLOOKUP($Q39,武学奇术!$A:$ZZ,20,FALSE)+SUM(_xlfn.XLOOKUP(R39:AF39,增益!$A:$A,增益!$T:$T,0))</f>
        <v>1.35</v>
      </c>
      <c r="BN39" s="27">
        <f t="shared" si="11"/>
        <v>0.90767745</v>
      </c>
      <c r="BO39" s="27">
        <f t="shared" si="17"/>
        <v>-1.30104260698261e-17</v>
      </c>
      <c r="BP39" s="27">
        <f>IF(VLOOKUP($Q39,武学奇术!$A:$ZZ,22,FALSE)=1,0,(1-$BI39))*(1-$BL39)</f>
        <v>0.00282254999999999</v>
      </c>
      <c r="BQ39" s="27" cm="1">
        <f t="array" ref="BQ39">SUM(_xlfn.XLOOKUP(R39:AF39,增益!$A:$A,增益!$W:$W,0))+$I$5</f>
        <v>0.11</v>
      </c>
    </row>
    <row r="40" spans="1:69">
      <c r="A40" s="4" t="s">
        <v>97</v>
      </c>
      <c r="B40" s="4">
        <v>1.25</v>
      </c>
      <c r="E40" s="42"/>
      <c r="G40" s="42"/>
      <c r="K40" s="41">
        <f t="shared" si="12"/>
        <v>17386.685657105</v>
      </c>
      <c r="L40" s="41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弹道",$B$21,0))*(1+$BQ40)</f>
        <v>17144.2918917679</v>
      </c>
      <c r="M40" s="41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弹道",$B$21,0))*(1+$BQ40)</f>
        <v>20189.0623153481</v>
      </c>
      <c r="N40" s="41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弹道",$B$21,0))*(1+$BQ40)</f>
        <v>10715.182432355</v>
      </c>
      <c r="O40" s="41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弹道",$B$21,0))*(1+$BQ40)</f>
        <v>6475.50389037801</v>
      </c>
      <c r="P40" s="42">
        <v>1</v>
      </c>
      <c r="Q40" s="43" t="s">
        <v>130</v>
      </c>
      <c r="R40" s="43" t="s">
        <v>93</v>
      </c>
      <c r="S40" s="43" t="s">
        <v>158</v>
      </c>
      <c r="T40" s="43" t="s">
        <v>73</v>
      </c>
      <c r="U40" s="43" t="s">
        <v>159</v>
      </c>
      <c r="V40" s="43" t="s">
        <v>73</v>
      </c>
      <c r="W40" s="43" t="s">
        <v>73</v>
      </c>
      <c r="X40" s="43" t="s">
        <v>73</v>
      </c>
      <c r="Y40" s="43" t="s">
        <v>73</v>
      </c>
      <c r="Z40" s="43" t="s">
        <v>73</v>
      </c>
      <c r="AA40" s="43" t="s">
        <v>73</v>
      </c>
      <c r="AB40" s="43" t="s">
        <v>80</v>
      </c>
      <c r="AC40" s="43" t="s">
        <v>73</v>
      </c>
      <c r="AD40" s="43" t="s">
        <v>73</v>
      </c>
      <c r="AE40" s="43" t="s">
        <v>73</v>
      </c>
      <c r="AF40" s="43" t="s">
        <v>75</v>
      </c>
      <c r="AG40" t="str">
        <f>VLOOKUP($Q40,武学奇术!$A:$ZZ,25,FALSE)</f>
        <v>扇</v>
      </c>
      <c r="AH40" s="27">
        <f>VLOOKUP($Q40,武学奇术!$A:$ZZ,26,FALSE)</f>
        <v>0.9271</v>
      </c>
      <c r="AI40" s="28">
        <f>VLOOKUP($Q40,武学奇术!$A:$ZZ,27,FALSE)*(1+IF(OR($AG40=$F$4,$AG40=$F$5),$B$22,0))</f>
        <v>359.8</v>
      </c>
      <c r="AJ40" s="27">
        <f>VLOOKUP($Q40,武学奇术!$A:$ZZ,28,FALSE)</f>
        <v>1.3907</v>
      </c>
      <c r="AK40" s="28">
        <f>VLOOKUP($Q40,武学奇术!$A:$ZZ,29,FALSE)*(1+IF(OR($AG40=$F$4,$AG40=$F$5),$B$22,0))</f>
        <v>196</v>
      </c>
      <c r="AL40" s="27" cm="1">
        <f t="array" ref="AL40">$G$3+IFERROR(VLOOKUP($AG40,$F$4:$G$7,2,FALSE),0)+VLOOKUP($Q40,武学奇术!$A:$ZZ,2,FALSE)+SUM(_xlfn.XLOOKUP($R40:$AF40,增益!$A:$A,增益!$B:$B,0))</f>
        <v>0.3189</v>
      </c>
      <c r="AM40" s="27" cm="1">
        <f t="array" ref="AM40">VLOOKUP($Q40,武学奇术!$A:$ZZ,5,FALSE)+SUM(_xlfn.XLOOKUP($R40:$AF40,增益!$A:$A,增益!$E:$E,0))</f>
        <v>0.15</v>
      </c>
      <c r="AN40" cm="1">
        <f t="array" ref="AN40">$D$10*(1+$AM40)+VLOOKUP($Q40,武学奇术!$A:$ZZ,3,FALSE)+SUM(_xlfn.XLOOKUP($R40:$AF40,增益!$A:$A,增益!$C:$C,0))-$I$2</f>
        <v>2125.755</v>
      </c>
      <c r="AO40" cm="1">
        <f t="array" ref="AO40">$E$10*(1+$AM40)+VLOOKUP($Q40,武学奇术!$A:$ZZ,4,FALSE)+SUM(_xlfn.XLOOKUP($R40:$AF40,增益!$A:$A,增益!$D:$D,0))-$I$2</f>
        <v>6122.925</v>
      </c>
      <c r="AP40" s="35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0.3425</v>
      </c>
      <c r="AQ40" s="35" cm="1">
        <f t="array" ref="AQ40">$G$10+VLOOKUP($Q40,武学奇术!$A:$ZZ,7,FALSE)+SUM(_xlfn.XLOOKUP(R40:AF40,增益!$A:$A,增益!$G:$G,0))</f>
        <v>0</v>
      </c>
      <c r="AR40" s="27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5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-0.14</v>
      </c>
      <c r="AV40" s="35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35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-0.14</v>
      </c>
      <c r="AZ40" s="35" cm="1">
        <f t="array" ref="AZ40">$G$12+VLOOKUP($Q40,武学奇术!$A:$ZZ,12,FALSE)+SUM(_xlfn.XLOOKUP(R40:AF40,增益!$A:$A,增益!$L:$L,0))</f>
        <v>0</v>
      </c>
      <c r="BA40">
        <f t="shared" si="13"/>
        <v>538</v>
      </c>
      <c r="BB40">
        <f t="shared" si="14"/>
        <v>1011</v>
      </c>
      <c r="BC40" s="35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0.08</v>
      </c>
      <c r="BD40" s="35" cm="1">
        <f t="array" ref="BD40">$G$13+VLOOKUP($Q40,武学奇术!$A:$ZZ,14,FALSE)+SUM(_xlfn.XLOOKUP(R40:AF40,增益!$A:$A,增益!$N:$N,0))</f>
        <v>0.15</v>
      </c>
      <c r="BE40">
        <f t="shared" si="15"/>
        <v>0</v>
      </c>
      <c r="BF40">
        <f t="shared" si="16"/>
        <v>0</v>
      </c>
      <c r="BG40" s="35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-0.14</v>
      </c>
      <c r="BH40" s="35" cm="1">
        <f t="array" ref="BH40">$G$14+VLOOKUP($Q40,武学奇术!$A:$ZZ,16,FALSE)+SUM(_xlfn.XLOOKUP(R40:AF40,增益!$A:$A,增益!$P:$P,0))</f>
        <v>0</v>
      </c>
      <c r="BI40" s="27">
        <f>MIN(IF(VLOOKUP($Q40,武学奇术!$A:$ZZ,23,FALSE)=1,100%,$B$8),100%)</f>
        <v>0.9969</v>
      </c>
      <c r="BJ40" s="27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0.9137</v>
      </c>
      <c r="BK40" s="27" cm="1">
        <f t="array" ref="BK40">1+$B$13+VLOOKUP($Q40,武学奇术!$A:$ZZ,18,FALSE)+SUM(_xlfn.XLOOKUP(R40:AF40,增益!$A:$A,增益!$R:$R,0))</f>
        <v>1.6</v>
      </c>
      <c r="BL40" s="27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0.0895</v>
      </c>
      <c r="BM40" s="27" cm="1">
        <f t="array" ref="BM40">1+$B$14+VLOOKUP($Q40,武学奇术!$A:$ZZ,20,FALSE)+SUM(_xlfn.XLOOKUP(R40:AF40,增益!$A:$A,增益!$T:$T,0))</f>
        <v>1.35</v>
      </c>
      <c r="BN40" s="27">
        <f t="shared" si="11"/>
        <v>0.90767745</v>
      </c>
      <c r="BO40" s="27">
        <f t="shared" si="17"/>
        <v>-1.30104260698261e-17</v>
      </c>
      <c r="BP40" s="27">
        <f>IF(VLOOKUP($Q40,武学奇术!$A:$ZZ,22,FALSE)=1,0,(1-$BI40))*(1-$BL40)</f>
        <v>0.00282254999999999</v>
      </c>
      <c r="BQ40" s="27" cm="1">
        <f t="array" ref="BQ40">SUM(_xlfn.XLOOKUP(R40:AF40,增益!$A:$A,增益!$W:$W,0))+$I$5</f>
        <v>0.11</v>
      </c>
    </row>
    <row r="41" spans="1:69">
      <c r="A41" s="4" t="s">
        <v>152</v>
      </c>
      <c r="B41" s="94">
        <v>1.3</v>
      </c>
      <c r="E41" s="42"/>
      <c r="G41" s="42"/>
      <c r="K41" s="41">
        <f t="shared" si="12"/>
        <v>139315.852551936</v>
      </c>
      <c r="L41" s="41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弹道",$B$21,0))*(1+$BQ41)</f>
        <v>137010.608106935</v>
      </c>
      <c r="M41" s="41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弹道",$B$21,0))*(1+$BQ41)</f>
        <v>165554.774195376</v>
      </c>
      <c r="N41" s="41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弹道",$B$21,0))*(1+$BQ41)</f>
        <v>85631.6300668343</v>
      </c>
      <c r="O41" s="41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弹道",$B$21,0))*(1+$BQ41)</f>
        <v>48630.0940630198</v>
      </c>
      <c r="P41" s="42">
        <v>1</v>
      </c>
      <c r="Q41" s="43" t="s">
        <v>161</v>
      </c>
      <c r="R41" s="43" t="s">
        <v>93</v>
      </c>
      <c r="S41" s="43" t="s">
        <v>158</v>
      </c>
      <c r="T41" s="43" t="s">
        <v>73</v>
      </c>
      <c r="U41" s="43" t="s">
        <v>159</v>
      </c>
      <c r="V41" s="43" t="s">
        <v>73</v>
      </c>
      <c r="W41" s="43" t="s">
        <v>73</v>
      </c>
      <c r="X41" s="43" t="s">
        <v>73</v>
      </c>
      <c r="Y41" s="43" t="s">
        <v>73</v>
      </c>
      <c r="Z41" s="43" t="s">
        <v>73</v>
      </c>
      <c r="AA41" s="43" t="s">
        <v>73</v>
      </c>
      <c r="AB41" s="43" t="s">
        <v>80</v>
      </c>
      <c r="AC41" s="43" t="s">
        <v>73</v>
      </c>
      <c r="AD41" s="43" t="s">
        <v>73</v>
      </c>
      <c r="AE41" s="43" t="s">
        <v>73</v>
      </c>
      <c r="AF41" s="43" t="s">
        <v>75</v>
      </c>
      <c r="AG41" t="str">
        <f>VLOOKUP($Q41,武学奇术!$A:$ZZ,25,FALSE)</f>
        <v>单体奇术</v>
      </c>
      <c r="AH41" s="27">
        <f>VLOOKUP($Q41,武学奇术!$A:$ZZ,26,FALSE)</f>
        <v>7.1074</v>
      </c>
      <c r="AI41" s="28">
        <f>VLOOKUP($Q41,武学奇术!$A:$ZZ,27,FALSE)*(1+IF(OR($AG41=$F$4,$AG41=$F$5),$B$22,0))</f>
        <v>1320</v>
      </c>
      <c r="AJ41" s="27">
        <f>VLOOKUP($Q41,武学奇术!$A:$ZZ,28,FALSE)</f>
        <v>10.6596</v>
      </c>
      <c r="AK41" s="28">
        <f>VLOOKUP($Q41,武学奇术!$A:$ZZ,29,FALSE)*(1+IF(OR($AG41=$F$4,$AG41=$F$5),$B$22,0))</f>
        <v>0</v>
      </c>
      <c r="AL41" s="27" cm="1">
        <f t="array" ref="AL41">$G$3+IFERROR(VLOOKUP($AG41,$F$4:$G$7,2,FALSE),0)+VLOOKUP($Q41,武学奇术!$A:$ZZ,2,FALSE)+SUM(_xlfn.XLOOKUP($R41:$AF41,增益!$A:$A,增益!$B:$B,0))</f>
        <v>0.5015</v>
      </c>
      <c r="AM41" s="27" cm="1">
        <f t="array" ref="AM41">VLOOKUP($Q41,武学奇术!$A:$ZZ,5,FALSE)+SUM(_xlfn.XLOOKUP($R41:$AF41,增益!$A:$A,增益!$E:$E,0))</f>
        <v>0.15</v>
      </c>
      <c r="AN41" cm="1">
        <f t="array" ref="AN41">$D$10*(1+$AM41)+VLOOKUP($Q41,武学奇术!$A:$ZZ,3,FALSE)+SUM(_xlfn.XLOOKUP($R41:$AF41,增益!$A:$A,增益!$C:$C,0))-$I$2</f>
        <v>2125.755</v>
      </c>
      <c r="AO41" cm="1">
        <f t="array" ref="AO41">$E$10*(1+$AM41)+VLOOKUP($Q41,武学奇术!$A:$ZZ,4,FALSE)+SUM(_xlfn.XLOOKUP($R41:$AF41,增益!$A:$A,增益!$D:$D,0))-$I$2</f>
        <v>6122.925</v>
      </c>
      <c r="AP41" s="35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0.3425</v>
      </c>
      <c r="AQ41" s="35" cm="1">
        <f t="array" ref="AQ41">$G$10+VLOOKUP($Q41,武学奇术!$A:$ZZ,7,FALSE)+SUM(_xlfn.XLOOKUP(R41:AF41,增益!$A:$A,增益!$G:$G,0))</f>
        <v>0</v>
      </c>
      <c r="AR41" s="27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5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-0.14</v>
      </c>
      <c r="AV41" s="35" cm="1">
        <f t="array" ref="AV41">$G$11+VLOOKUP($Q41,武学奇术!$A:$ZZ,10,FALSE)+SUM(_xlfn.XLOOKUP(R41:AF41,增益!$A:$A,增益!$J:$J,0))</f>
        <v>0</v>
      </c>
      <c r="AW41">
        <f t="shared" si="3"/>
        <v>0</v>
      </c>
      <c r="AX41">
        <f t="shared" si="4"/>
        <v>0</v>
      </c>
      <c r="AY41" s="35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-0.14</v>
      </c>
      <c r="AZ41" s="35" cm="1">
        <f t="array" ref="AZ41">$G$12+VLOOKUP($Q41,武学奇术!$A:$ZZ,12,FALSE)+SUM(_xlfn.XLOOKUP(R41:AF41,增益!$A:$A,增益!$L:$L,0))</f>
        <v>0</v>
      </c>
      <c r="BA41">
        <f t="shared" si="13"/>
        <v>538</v>
      </c>
      <c r="BB41">
        <f t="shared" si="14"/>
        <v>1011</v>
      </c>
      <c r="BC41" s="35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0.08</v>
      </c>
      <c r="BD41" s="35" cm="1">
        <f t="array" ref="BD41">$G$13+VLOOKUP($Q41,武学奇术!$A:$ZZ,14,FALSE)+SUM(_xlfn.XLOOKUP(R41:AF41,增益!$A:$A,增益!$N:$N,0))</f>
        <v>0.15</v>
      </c>
      <c r="BE41">
        <f t="shared" si="15"/>
        <v>0</v>
      </c>
      <c r="BF41">
        <f t="shared" si="16"/>
        <v>0</v>
      </c>
      <c r="BG41" s="35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-0.14</v>
      </c>
      <c r="BH41" s="35" cm="1">
        <f t="array" ref="BH41">$G$14+VLOOKUP($Q41,武学奇术!$A:$ZZ,16,FALSE)+SUM(_xlfn.XLOOKUP(R41:AF41,增益!$A:$A,增益!$P:$P,0))</f>
        <v>0</v>
      </c>
      <c r="BI41" s="27">
        <f>MIN(IF(VLOOKUP($Q41,武学奇术!$A:$ZZ,23,FALSE)=1,100%,$B$8),100%)</f>
        <v>0.9969</v>
      </c>
      <c r="BJ41" s="27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0.9137</v>
      </c>
      <c r="BK41" s="27" cm="1">
        <f t="array" ref="BK41">1+$B$13+VLOOKUP($Q41,武学奇术!$A:$ZZ,18,FALSE)+SUM(_xlfn.XLOOKUP(R41:AF41,增益!$A:$A,增益!$R:$R,0))</f>
        <v>1.6</v>
      </c>
      <c r="BL41" s="27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0.0895</v>
      </c>
      <c r="BM41" s="27" cm="1">
        <f t="array" ref="BM41">1+$B$14+VLOOKUP($Q41,武学奇术!$A:$ZZ,20,FALSE)+SUM(_xlfn.XLOOKUP(R41:AF41,增益!$A:$A,增益!$T:$T,0))</f>
        <v>1.35</v>
      </c>
      <c r="BN41" s="27">
        <f t="shared" si="11"/>
        <v>0.90767745</v>
      </c>
      <c r="BO41" s="27">
        <f t="shared" si="17"/>
        <v>-1.30104260698261e-17</v>
      </c>
      <c r="BP41" s="27">
        <f>IF(VLOOKUP($Q41,武学奇术!$A:$ZZ,22,FALSE)=1,0,(1-$BI41))*(1-$BL41)</f>
        <v>0.00282254999999999</v>
      </c>
      <c r="BQ41" s="27" cm="1">
        <f t="array" ref="BQ41">SUM(_xlfn.XLOOKUP(R41:AF41,增益!$A:$A,增益!$W:$W,0))+$I$5</f>
        <v>0.11</v>
      </c>
    </row>
    <row r="42" spans="1:69">
      <c r="A42" s="4" t="s">
        <v>107</v>
      </c>
      <c r="B42" s="94">
        <v>1.16</v>
      </c>
      <c r="E42" s="42"/>
      <c r="G42" s="42"/>
      <c r="K42" s="41">
        <f t="shared" si="12"/>
        <v>37228.8913800822</v>
      </c>
      <c r="L42" s="41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弹道",$B$21,0))*(1+$BQ42)</f>
        <v>36708.5288569103</v>
      </c>
      <c r="M42" s="41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弹道",$B$21,0))*(1+$BQ42)</f>
        <v>43243.4112240975</v>
      </c>
      <c r="N42" s="41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弹道",$B$21,0))*(1+$BQ42)</f>
        <v>22942.830535569</v>
      </c>
      <c r="O42" s="41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弹道",$B$21,0))*(1+$BQ42)</f>
        <v>13853.5046088435</v>
      </c>
      <c r="P42" s="42">
        <v>1</v>
      </c>
      <c r="Q42" s="43" t="s">
        <v>104</v>
      </c>
      <c r="R42" s="43" t="s">
        <v>93</v>
      </c>
      <c r="S42" s="43" t="s">
        <v>158</v>
      </c>
      <c r="T42" s="43" t="s">
        <v>73</v>
      </c>
      <c r="U42" s="43" t="s">
        <v>159</v>
      </c>
      <c r="V42" s="43" t="s">
        <v>73</v>
      </c>
      <c r="W42" s="43" t="s">
        <v>73</v>
      </c>
      <c r="X42" s="43" t="s">
        <v>73</v>
      </c>
      <c r="Y42" s="43" t="s">
        <v>73</v>
      </c>
      <c r="Z42" s="43" t="s">
        <v>73</v>
      </c>
      <c r="AA42" s="43" t="s">
        <v>73</v>
      </c>
      <c r="AB42" s="43" t="s">
        <v>80</v>
      </c>
      <c r="AC42" s="43" t="s">
        <v>73</v>
      </c>
      <c r="AD42" s="43" t="s">
        <v>73</v>
      </c>
      <c r="AE42" s="43" t="s">
        <v>73</v>
      </c>
      <c r="AF42" s="43" t="s">
        <v>75</v>
      </c>
      <c r="AG42" t="str">
        <f>VLOOKUP($Q42,武学奇术!$A:$ZZ,25,FALSE)</f>
        <v>伞</v>
      </c>
      <c r="AH42" s="27">
        <f>VLOOKUP($Q42,武学奇术!$A:$ZZ,26,FALSE)</f>
        <v>1.7001</v>
      </c>
      <c r="AI42" s="28">
        <f>VLOOKUP($Q42,武学奇术!$A:$ZZ,27,FALSE)*(1+IF(OR($AG42=$F$4,$AG42=$F$5),$B$22,0))</f>
        <v>659.4</v>
      </c>
      <c r="AJ42" s="27">
        <f>VLOOKUP($Q42,武学奇术!$A:$ZZ,28,FALSE)</f>
        <v>2.5502</v>
      </c>
      <c r="AK42" s="28">
        <f>VLOOKUP($Q42,武学奇术!$A:$ZZ,29,FALSE)*(1+IF(OR($AG42=$F$4,$AG42=$F$5),$B$22,0))</f>
        <v>358.4</v>
      </c>
      <c r="AL42" s="27" cm="1">
        <f t="array" ref="AL42">$G$3+IFERROR(VLOOKUP($AG42,$F$4:$G$7,2,FALSE),0)+VLOOKUP($Q42,武学奇术!$A:$ZZ,2,FALSE)+SUM(_xlfn.XLOOKUP($R42:$AF42,增益!$A:$A,增益!$B:$B,0))</f>
        <v>0.4041</v>
      </c>
      <c r="AM42" s="27" cm="1">
        <f t="array" ref="AM42">VLOOKUP($Q42,武学奇术!$A:$ZZ,5,FALSE)+SUM(_xlfn.XLOOKUP($R42:$AF42,增益!$A:$A,增益!$E:$E,0))</f>
        <v>0.15</v>
      </c>
      <c r="AN42" cm="1">
        <f t="array" ref="AN42">$D$10*(1+$AM42)+VLOOKUP($Q42,武学奇术!$A:$ZZ,3,FALSE)+SUM(_xlfn.XLOOKUP($R42:$AF42,增益!$A:$A,增益!$C:$C,0))-$I$2</f>
        <v>2125.755</v>
      </c>
      <c r="AO42" cm="1">
        <f t="array" ref="AO42">$E$10*(1+$AM42)+VLOOKUP($Q42,武学奇术!$A:$ZZ,4,FALSE)+SUM(_xlfn.XLOOKUP($R42:$AF42,增益!$A:$A,增益!$D:$D,0))-$I$2</f>
        <v>6122.925</v>
      </c>
      <c r="AP42" s="35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0.3425</v>
      </c>
      <c r="AQ42" s="35" cm="1">
        <f t="array" ref="AQ42">$G$10+VLOOKUP($Q42,武学奇术!$A:$ZZ,7,FALSE)+SUM(_xlfn.XLOOKUP(R42:AF42,增益!$A:$A,增益!$G:$G,0))</f>
        <v>0.1</v>
      </c>
      <c r="AR42" s="27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5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-0.14</v>
      </c>
      <c r="AV42" s="35" cm="1">
        <f t="array" ref="AV42">$G$11+VLOOKUP($Q42,武学奇术!$A:$ZZ,10,FALSE)+SUM(_xlfn.XLOOKUP(R42:AF42,增益!$A:$A,增益!$J:$J,0))</f>
        <v>0</v>
      </c>
      <c r="AW42">
        <f t="shared" si="3"/>
        <v>0</v>
      </c>
      <c r="AX42">
        <f t="shared" si="4"/>
        <v>0</v>
      </c>
      <c r="AY42" s="35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-0.14</v>
      </c>
      <c r="AZ42" s="35" cm="1">
        <f t="array" ref="AZ42">$G$12+VLOOKUP($Q42,武学奇术!$A:$ZZ,12,FALSE)+SUM(_xlfn.XLOOKUP(R42:AF42,增益!$A:$A,增益!$L:$L,0))</f>
        <v>0</v>
      </c>
      <c r="BA42">
        <f t="shared" si="13"/>
        <v>538</v>
      </c>
      <c r="BB42">
        <f t="shared" si="14"/>
        <v>1011</v>
      </c>
      <c r="BC42" s="35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0.08</v>
      </c>
      <c r="BD42" s="35" cm="1">
        <f t="array" ref="BD42">$G$13+VLOOKUP($Q42,武学奇术!$A:$ZZ,14,FALSE)+SUM(_xlfn.XLOOKUP(R42:AF42,增益!$A:$A,增益!$N:$N,0))</f>
        <v>0.25</v>
      </c>
      <c r="BE42">
        <f t="shared" si="15"/>
        <v>0</v>
      </c>
      <c r="BF42">
        <f t="shared" si="16"/>
        <v>0</v>
      </c>
      <c r="BG42" s="35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-0.14</v>
      </c>
      <c r="BH42" s="35" cm="1">
        <f t="array" ref="BH42">$G$14+VLOOKUP($Q42,武学奇术!$A:$ZZ,16,FALSE)+SUM(_xlfn.XLOOKUP(R42:AF42,增益!$A:$A,增益!$P:$P,0))</f>
        <v>0</v>
      </c>
      <c r="BI42" s="27">
        <f>MIN(IF(VLOOKUP($Q42,武学奇术!$A:$ZZ,23,FALSE)=1,100%,$B$8),100%)</f>
        <v>0.9969</v>
      </c>
      <c r="BJ42" s="27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0.9137</v>
      </c>
      <c r="BK42" s="27" cm="1">
        <f t="array" ref="BK42">1+$B$13+VLOOKUP($Q42,武学奇术!$A:$ZZ,18,FALSE)+SUM(_xlfn.XLOOKUP(R42:AF42,增益!$A:$A,增益!$R:$R,0))</f>
        <v>1.6</v>
      </c>
      <c r="BL42" s="27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0.0895</v>
      </c>
      <c r="BM42" s="27" cm="1">
        <f t="array" ref="BM42">1+$B$14+VLOOKUP($Q42,武学奇术!$A:$ZZ,20,FALSE)+SUM(_xlfn.XLOOKUP(R42:AF42,增益!$A:$A,增益!$T:$T,0))</f>
        <v>1.35</v>
      </c>
      <c r="BN42" s="27">
        <f t="shared" si="11"/>
        <v>0.90767745</v>
      </c>
      <c r="BO42" s="27">
        <f t="shared" si="17"/>
        <v>-1.30104260698261e-17</v>
      </c>
      <c r="BP42" s="27">
        <f>IF(VLOOKUP($Q42,武学奇术!$A:$ZZ,22,FALSE)=1,0,(1-$BI42))*(1-$BL42)</f>
        <v>0.00282254999999999</v>
      </c>
      <c r="BQ42" s="27" cm="1">
        <f t="array" ref="BQ42">SUM(_xlfn.XLOOKUP(R42:AF42,增益!$A:$A,增益!$W:$W,0))+$I$5</f>
        <v>0.11</v>
      </c>
    </row>
    <row r="43" spans="1:69">
      <c r="A43" s="4" t="s">
        <v>155</v>
      </c>
      <c r="B43" s="4">
        <v>0.1</v>
      </c>
      <c r="G43" s="42"/>
      <c r="K43" s="41">
        <f t="shared" si="12"/>
        <v>91346.7939532332</v>
      </c>
      <c r="L43" s="41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弹道",$B$21,0))*(1+$BQ43)</f>
        <v>91837.88199952</v>
      </c>
      <c r="M43" s="41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弹道",$B$21,0))*(1+$BQ43)</f>
        <v>88355.8056368017</v>
      </c>
      <c r="N43" s="41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弹道",$B$21,0))*(1+$BQ43)</f>
        <v>46856.062244653</v>
      </c>
      <c r="O43" s="41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弹道",$B$21,0))*(1+$BQ43)</f>
        <v>28263.3795731567</v>
      </c>
      <c r="P43" s="42">
        <v>1</v>
      </c>
      <c r="Q43" s="43" t="s">
        <v>97</v>
      </c>
      <c r="R43" s="43" t="s">
        <v>93</v>
      </c>
      <c r="S43" s="43" t="s">
        <v>158</v>
      </c>
      <c r="T43" s="43" t="s">
        <v>102</v>
      </c>
      <c r="U43" s="43" t="s">
        <v>159</v>
      </c>
      <c r="V43" s="43" t="s">
        <v>98</v>
      </c>
      <c r="W43" s="43" t="s">
        <v>73</v>
      </c>
      <c r="X43" s="43" t="s">
        <v>73</v>
      </c>
      <c r="Y43" s="43" t="s">
        <v>73</v>
      </c>
      <c r="Z43" s="43" t="s">
        <v>73</v>
      </c>
      <c r="AA43" s="43" t="s">
        <v>73</v>
      </c>
      <c r="AB43" s="43" t="s">
        <v>80</v>
      </c>
      <c r="AC43" s="43" t="s">
        <v>73</v>
      </c>
      <c r="AD43" s="43" t="s">
        <v>73</v>
      </c>
      <c r="AE43" s="43" t="s">
        <v>73</v>
      </c>
      <c r="AF43" s="43" t="s">
        <v>75</v>
      </c>
      <c r="AG43" t="str">
        <f>VLOOKUP($Q43,武学奇术!$A:$ZZ,25,FALSE)</f>
        <v>伞</v>
      </c>
      <c r="AH43" s="27">
        <f>VLOOKUP($Q43,武学奇术!$A:$ZZ,26,FALSE)</f>
        <v>2.3397</v>
      </c>
      <c r="AI43" s="28">
        <f>VLOOKUP($Q43,武学奇术!$A:$ZZ,27,FALSE)*(1+IF(OR($AG43=$F$4,$AG43=$F$5),$B$22,0))</f>
        <v>907.2</v>
      </c>
      <c r="AJ43" s="27">
        <f>VLOOKUP($Q43,武学奇术!$A:$ZZ,28,FALSE)</f>
        <v>3.5095</v>
      </c>
      <c r="AK43" s="28">
        <f>VLOOKUP($Q43,武学奇术!$A:$ZZ,29,FALSE)*(1+IF(OR($AG43=$F$4,$AG43=$F$5),$B$22,0))</f>
        <v>494.2</v>
      </c>
      <c r="AL43" s="27" cm="1">
        <f t="array" ref="AL43">$G$3+IFERROR(VLOOKUP($AG43,$F$4:$G$7,2,FALSE),0)+VLOOKUP($Q43,武学奇术!$A:$ZZ,2,FALSE)+SUM(_xlfn.XLOOKUP($R43:$AF43,增益!$A:$A,增益!$B:$B,0))</f>
        <v>1.0541</v>
      </c>
      <c r="AM43" s="27" cm="1">
        <f t="array" ref="AM43">VLOOKUP($Q43,武学奇术!$A:$ZZ,5,FALSE)+SUM(_xlfn.XLOOKUP($R43:$AF43,增益!$A:$A,增益!$E:$E,0))</f>
        <v>0.15</v>
      </c>
      <c r="AN43" cm="1">
        <f t="array" ref="AN43">$D$10*(1+$AM43)+VLOOKUP($Q43,武学奇术!$A:$ZZ,3,FALSE)+SUM(_xlfn.XLOOKUP($R43:$AF43,增益!$A:$A,增益!$C:$C,0))-$I$2</f>
        <v>2125.755</v>
      </c>
      <c r="AO43" cm="1">
        <f t="array" ref="AO43">$E$10*(1+$AM43)+VLOOKUP($Q43,武学奇术!$A:$ZZ,4,FALSE)+SUM(_xlfn.XLOOKUP($R43:$AF43,增益!$A:$A,增益!$D:$D,0))-$I$2</f>
        <v>6122.925</v>
      </c>
      <c r="AP43" s="35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0.3675</v>
      </c>
      <c r="AQ43" s="35" cm="1">
        <f t="array" ref="AQ43">$G$10+VLOOKUP($Q43,武学奇术!$A:$ZZ,7,FALSE)+SUM(_xlfn.XLOOKUP(R43:AF43,增益!$A:$A,增益!$G:$G,0))</f>
        <v>0.1</v>
      </c>
      <c r="AR43" s="27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5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-0.14</v>
      </c>
      <c r="AV43" s="35" cm="1">
        <f t="array" ref="AV43">$G$11+VLOOKUP($Q43,武学奇术!$A:$ZZ,10,FALSE)+SUM(_xlfn.XLOOKUP(R43:AF43,增益!$A:$A,增益!$J:$J,0))</f>
        <v>0</v>
      </c>
      <c r="AW43">
        <f t="shared" si="3"/>
        <v>0</v>
      </c>
      <c r="AX43">
        <f t="shared" si="4"/>
        <v>0</v>
      </c>
      <c r="AY43" s="35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-0.14</v>
      </c>
      <c r="AZ43" s="35" cm="1">
        <f t="array" ref="AZ43">$G$12+VLOOKUP($Q43,武学奇术!$A:$ZZ,12,FALSE)+SUM(_xlfn.XLOOKUP(R43:AF43,增益!$A:$A,增益!$L:$L,0))</f>
        <v>0</v>
      </c>
      <c r="BA43">
        <f t="shared" si="13"/>
        <v>538</v>
      </c>
      <c r="BB43">
        <f t="shared" si="14"/>
        <v>1011</v>
      </c>
      <c r="BC43" s="35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0.08</v>
      </c>
      <c r="BD43" s="35" cm="1">
        <f t="array" ref="BD43">$G$13+VLOOKUP($Q43,武学奇术!$A:$ZZ,14,FALSE)+SUM(_xlfn.XLOOKUP(R43:AF43,增益!$A:$A,增益!$N:$N,0))</f>
        <v>0.25</v>
      </c>
      <c r="BE43">
        <f t="shared" si="15"/>
        <v>0</v>
      </c>
      <c r="BF43">
        <f t="shared" si="16"/>
        <v>0</v>
      </c>
      <c r="BG43" s="35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-0.14</v>
      </c>
      <c r="BH43" s="35" cm="1">
        <f t="array" ref="BH43">$G$14+VLOOKUP($Q43,武学奇术!$A:$ZZ,16,FALSE)+SUM(_xlfn.XLOOKUP(R43:AF43,增益!$A:$A,增益!$P:$P,0))</f>
        <v>0</v>
      </c>
      <c r="BI43" s="27">
        <f>MIN(IF(VLOOKUP($Q43,武学奇术!$A:$ZZ,23,FALSE)=1,100%,$B$8),100%)</f>
        <v>0.9969</v>
      </c>
      <c r="BJ43" s="27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0.9137</v>
      </c>
      <c r="BK43" s="27" cm="1">
        <f t="array" ref="BK43">1+$B$13+VLOOKUP($Q43,武学奇术!$A:$ZZ,18,FALSE)+SUM(_xlfn.XLOOKUP(R43:AF43,增益!$A:$A,增益!$R:$R,0))</f>
        <v>1.96</v>
      </c>
      <c r="BL43" s="27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0.0895</v>
      </c>
      <c r="BM43" s="27" cm="1">
        <f t="array" ref="BM43">1+$B$14+VLOOKUP($Q43,武学奇术!$A:$ZZ,20,FALSE)+SUM(_xlfn.XLOOKUP(R43:AF43,增益!$A:$A,增益!$T:$T,0))</f>
        <v>1.35</v>
      </c>
      <c r="BN43" s="27">
        <f t="shared" si="11"/>
        <v>0.90767745</v>
      </c>
      <c r="BO43" s="27">
        <f t="shared" si="17"/>
        <v>-1.30104260698261e-17</v>
      </c>
      <c r="BP43" s="27">
        <f>IF(VLOOKUP($Q43,武学奇术!$A:$ZZ,22,FALSE)=1,0,(1-$BI43))*(1-$BL43)</f>
        <v>0.00282254999999999</v>
      </c>
      <c r="BQ43" s="27" cm="1">
        <f t="array" ref="BQ43">SUM(_xlfn.XLOOKUP(R43:AF43,增益!$A:$A,增益!$W:$W,0))+$I$5</f>
        <v>0.11</v>
      </c>
    </row>
    <row r="44" spans="1:69">
      <c r="A44" t="s">
        <v>147</v>
      </c>
      <c r="B44">
        <v>1</v>
      </c>
      <c r="C44" s="4"/>
      <c r="G44" s="42"/>
      <c r="K44" s="41">
        <f t="shared" si="12"/>
        <v>15599.857355246</v>
      </c>
      <c r="L44" s="41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弹道",$B$21,0))*(1+$BQ44)</f>
        <v>15381.5478242538</v>
      </c>
      <c r="M44" s="41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弹道",$B$21,0))*(1+$BQ44)</f>
        <v>18122.850473177</v>
      </c>
      <c r="N44" s="41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弹道",$B$21,0))*(1+$BQ44)</f>
        <v>9613.46739015864</v>
      </c>
      <c r="O44" s="41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弹道",$B$21,0))*(1+$BQ44)</f>
        <v>5802.60109648248</v>
      </c>
      <c r="P44" s="42">
        <v>1</v>
      </c>
      <c r="Q44" s="43" t="s">
        <v>107</v>
      </c>
      <c r="R44" s="43" t="s">
        <v>93</v>
      </c>
      <c r="S44" s="43" t="s">
        <v>158</v>
      </c>
      <c r="T44" s="43" t="s">
        <v>73</v>
      </c>
      <c r="U44" s="43" t="s">
        <v>159</v>
      </c>
      <c r="V44" s="43" t="s">
        <v>73</v>
      </c>
      <c r="W44" s="43" t="s">
        <v>73</v>
      </c>
      <c r="X44" s="43" t="s">
        <v>73</v>
      </c>
      <c r="Y44" s="43" t="s">
        <v>73</v>
      </c>
      <c r="Z44" s="43" t="s">
        <v>73</v>
      </c>
      <c r="AA44" s="43" t="s">
        <v>73</v>
      </c>
      <c r="AB44" s="43" t="s">
        <v>80</v>
      </c>
      <c r="AC44" s="43" t="s">
        <v>73</v>
      </c>
      <c r="AD44" s="43" t="s">
        <v>73</v>
      </c>
      <c r="AE44" s="43" t="s">
        <v>73</v>
      </c>
      <c r="AF44" s="43" t="s">
        <v>75</v>
      </c>
      <c r="AG44" t="str">
        <f>VLOOKUP($Q44,武学奇术!$A:$ZZ,25,FALSE)</f>
        <v>伞</v>
      </c>
      <c r="AH44" s="27">
        <f>VLOOKUP($Q44,武学奇术!$A:$ZZ,26,FALSE)</f>
        <v>0.54</v>
      </c>
      <c r="AI44" s="28">
        <f>VLOOKUP($Q44,武学奇术!$A:$ZZ,27,FALSE)*(1+IF(OR($AG44=$F$4,$AG44=$F$5),$B$22,0))</f>
        <v>207.2</v>
      </c>
      <c r="AJ44" s="27">
        <f>VLOOKUP($Q44,武学奇术!$A:$ZZ,28,FALSE)</f>
        <v>0.81</v>
      </c>
      <c r="AK44" s="28">
        <f>VLOOKUP($Q44,武学奇术!$A:$ZZ,29,FALSE)*(1+IF(OR($AG44=$F$4,$AG44=$F$5),$B$22,0))</f>
        <v>114.1</v>
      </c>
      <c r="AL44" s="27" cm="1">
        <f t="array" ref="AL44">$G$3+IFERROR(VLOOKUP($AG44,$F$4:$G$7,2,FALSE),0)+VLOOKUP($Q44,武学奇术!$A:$ZZ,2,FALSE)+SUM(_xlfn.XLOOKUP($R44:$AF44,增益!$A:$A,增益!$B:$B,0))</f>
        <v>0.4041</v>
      </c>
      <c r="AM44" s="27" cm="1">
        <f t="array" ref="AM44">VLOOKUP($Q44,武学奇术!$A:$ZZ,5,FALSE)+SUM(_xlfn.XLOOKUP($R44:$AF44,增益!$A:$A,增益!$E:$E,0))</f>
        <v>0.15</v>
      </c>
      <c r="AN44" cm="1">
        <f t="array" ref="AN44">$D$10*(1+$AM44)+VLOOKUP($Q44,武学奇术!$A:$ZZ,3,FALSE)+SUM(_xlfn.XLOOKUP($R44:$AF44,增益!$A:$A,增益!$C:$C,0))-$I$2</f>
        <v>2125.755</v>
      </c>
      <c r="AO44" cm="1">
        <f t="array" ref="AO44">$E$10*(1+$AM44)+VLOOKUP($Q44,武学奇术!$A:$ZZ,4,FALSE)+SUM(_xlfn.XLOOKUP($R44:$AF44,增益!$A:$A,增益!$D:$D,0))-$I$2</f>
        <v>6122.925</v>
      </c>
      <c r="AP44" s="35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0.3425</v>
      </c>
      <c r="AQ44" s="35" cm="1">
        <f t="array" ref="AQ44">$G$10+VLOOKUP($Q44,武学奇术!$A:$ZZ,7,FALSE)+SUM(_xlfn.XLOOKUP(R44:AF44,增益!$A:$A,增益!$G:$G,0))</f>
        <v>0.1</v>
      </c>
      <c r="AR44" s="27" cm="1">
        <f t="array" ref="AR44">VLOOKUP($Q44,武学奇术!$A:$ZZ,8,FALSE)+SUM(_xlfn.XLOOKUP(R44:AF44,增益!$A:$A,增益!$H:$H,0))</f>
        <v>0</v>
      </c>
      <c r="AS44">
        <f t="shared" ref="AS44:AS60" si="18">$D$11*(1+$AR44)</f>
        <v>0</v>
      </c>
      <c r="AT44">
        <f t="shared" ref="AT44:AT60" si="19">$E$11*(1+$AR44)</f>
        <v>0</v>
      </c>
      <c r="AU44" s="35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-0.14</v>
      </c>
      <c r="AV44" s="35" cm="1">
        <f t="array" ref="AV44">$G$11+VLOOKUP($Q44,武学奇术!$A:$ZZ,10,FALSE)+SUM(_xlfn.XLOOKUP(R44:AF44,增益!$A:$A,增益!$J:$J,0))</f>
        <v>0</v>
      </c>
      <c r="AW44">
        <f t="shared" ref="AW44:AW60" si="20">$D$12*(1+$AR44)</f>
        <v>0</v>
      </c>
      <c r="AX44">
        <f t="shared" ref="AX44:AX60" si="21">$E$12*(1+$AR44)</f>
        <v>0</v>
      </c>
      <c r="AY44" s="35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-0.14</v>
      </c>
      <c r="AZ44" s="35" cm="1">
        <f t="array" ref="AZ44">$G$12+VLOOKUP($Q44,武学奇术!$A:$ZZ,12,FALSE)+SUM(_xlfn.XLOOKUP(R44:AF44,增益!$A:$A,增益!$L:$L,0))</f>
        <v>0</v>
      </c>
      <c r="BA44">
        <f t="shared" si="13"/>
        <v>538</v>
      </c>
      <c r="BB44">
        <f t="shared" si="14"/>
        <v>1011</v>
      </c>
      <c r="BC44" s="35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0.08</v>
      </c>
      <c r="BD44" s="35" cm="1">
        <f t="array" ref="BD44">$G$13+VLOOKUP($Q44,武学奇术!$A:$ZZ,14,FALSE)+SUM(_xlfn.XLOOKUP(R44:AF44,增益!$A:$A,增益!$N:$N,0))</f>
        <v>0.25</v>
      </c>
      <c r="BE44">
        <f t="shared" si="15"/>
        <v>0</v>
      </c>
      <c r="BF44">
        <f t="shared" si="16"/>
        <v>0</v>
      </c>
      <c r="BG44" s="35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-0.14</v>
      </c>
      <c r="BH44" s="35" cm="1">
        <f t="array" ref="BH44">$G$14+VLOOKUP($Q44,武学奇术!$A:$ZZ,16,FALSE)+SUM(_xlfn.XLOOKUP(R44:AF44,增益!$A:$A,增益!$P:$P,0))</f>
        <v>0</v>
      </c>
      <c r="BI44" s="27">
        <f>MIN(IF(VLOOKUP($Q44,武学奇术!$A:$ZZ,23,FALSE)=1,100%,$B$8),100%)</f>
        <v>0.9969</v>
      </c>
      <c r="BJ44" s="27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0.9137</v>
      </c>
      <c r="BK44" s="27" cm="1">
        <f t="array" ref="BK44">1+$B$13+VLOOKUP($Q44,武学奇术!$A:$ZZ,18,FALSE)+SUM(_xlfn.XLOOKUP(R44:AF44,增益!$A:$A,增益!$R:$R,0))</f>
        <v>1.6</v>
      </c>
      <c r="BL44" s="27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0.0895</v>
      </c>
      <c r="BM44" s="27" cm="1">
        <f t="array" ref="BM44">1+$B$14+VLOOKUP($Q44,武学奇术!$A:$ZZ,20,FALSE)+SUM(_xlfn.XLOOKUP(R44:AF44,增益!$A:$A,增益!$T:$T,0))</f>
        <v>1.35</v>
      </c>
      <c r="BN44" s="27">
        <f t="shared" si="11"/>
        <v>0.90767745</v>
      </c>
      <c r="BO44" s="27">
        <f t="shared" si="17"/>
        <v>-1.30104260698261e-17</v>
      </c>
      <c r="BP44" s="27">
        <f>IF(VLOOKUP($Q44,武学奇术!$A:$ZZ,22,FALSE)=1,0,(1-$BI44))*(1-$BL44)</f>
        <v>0.00282254999999999</v>
      </c>
      <c r="BQ44" s="27" cm="1">
        <f t="array" ref="BQ44">SUM(_xlfn.XLOOKUP(R44:AF44,增益!$A:$A,增益!$W:$W,0))+$I$5</f>
        <v>0.11</v>
      </c>
    </row>
    <row r="45" spans="1:69">
      <c r="A45" s="4" t="s">
        <v>162</v>
      </c>
      <c r="B45" s="4">
        <v>1.4</v>
      </c>
      <c r="G45" s="42"/>
      <c r="K45" s="41">
        <f t="shared" si="12"/>
        <v>181606.737577369</v>
      </c>
      <c r="L45" s="41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弹道",$B$21,0))*(1+$BQ45)</f>
        <v>182581.865191541</v>
      </c>
      <c r="M45" s="41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弹道",$B$21,0))*(1+$BQ45)</f>
        <v>175672.905624005</v>
      </c>
      <c r="N45" s="41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弹道",$B$21,0))*(1+$BQ45)</f>
        <v>93154.0128528268</v>
      </c>
      <c r="O45" s="41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弹道",$B$21,0))*(1+$BQ45)</f>
        <v>56179.9474656495</v>
      </c>
      <c r="P45" s="42">
        <v>3</v>
      </c>
      <c r="Q45" s="43" t="s">
        <v>109</v>
      </c>
      <c r="R45" s="43" t="s">
        <v>93</v>
      </c>
      <c r="S45" s="43" t="s">
        <v>158</v>
      </c>
      <c r="T45" s="43" t="s">
        <v>102</v>
      </c>
      <c r="U45" s="43" t="s">
        <v>159</v>
      </c>
      <c r="V45" s="43" t="s">
        <v>98</v>
      </c>
      <c r="W45" s="43" t="s">
        <v>73</v>
      </c>
      <c r="X45" s="43" t="s">
        <v>73</v>
      </c>
      <c r="Y45" s="43" t="s">
        <v>73</v>
      </c>
      <c r="Z45" s="43" t="s">
        <v>73</v>
      </c>
      <c r="AA45" s="43" t="s">
        <v>73</v>
      </c>
      <c r="AB45" s="43" t="s">
        <v>80</v>
      </c>
      <c r="AC45" s="43" t="s">
        <v>73</v>
      </c>
      <c r="AD45" s="43" t="s">
        <v>73</v>
      </c>
      <c r="AE45" s="43" t="s">
        <v>73</v>
      </c>
      <c r="AF45" s="43" t="s">
        <v>75</v>
      </c>
      <c r="AG45" t="str">
        <f>VLOOKUP($Q45,武学奇术!$A:$ZZ,25,FALSE)</f>
        <v>伞</v>
      </c>
      <c r="AH45" s="27">
        <f>VLOOKUP($Q45,武学奇术!$A:$ZZ,26,FALSE)</f>
        <v>1.174955</v>
      </c>
      <c r="AI45" s="28">
        <f>VLOOKUP($Q45,武学奇术!$A:$ZZ,27,FALSE)*(1+IF(OR($AG45=$F$4,$AG45=$F$5),$B$22,0))</f>
        <v>454.02</v>
      </c>
      <c r="AJ45" s="27">
        <f>VLOOKUP($Q45,武学奇术!$A:$ZZ,28,FALSE)</f>
        <v>1.762375</v>
      </c>
      <c r="AK45" s="28">
        <f>VLOOKUP($Q45,武学奇术!$A:$ZZ,29,FALSE)*(1+IF(OR($AG45=$F$4,$AG45=$F$5),$B$22,0))</f>
        <v>247.94</v>
      </c>
      <c r="AL45" s="27" cm="1">
        <f t="array" ref="AL45">$G$3+IFERROR(VLOOKUP($AG45,$F$4:$G$7,2,FALSE),0)+VLOOKUP($Q45,武学奇术!$A:$ZZ,2,FALSE)+SUM(_xlfn.XLOOKUP($R45:$AF45,增益!$A:$A,增益!$B:$B,0))</f>
        <v>1.0541</v>
      </c>
      <c r="AM45" s="27" cm="1">
        <f t="array" ref="AM45">VLOOKUP($Q45,武学奇术!$A:$ZZ,5,FALSE)+SUM(_xlfn.XLOOKUP($R45:$AF45,增益!$A:$A,增益!$E:$E,0))</f>
        <v>0.15</v>
      </c>
      <c r="AN45" cm="1">
        <f t="array" ref="AN45">$D$10*(1+$AM45)+VLOOKUP($Q45,武学奇术!$A:$ZZ,3,FALSE)+SUM(_xlfn.XLOOKUP($R45:$AF45,增益!$A:$A,增益!$C:$C,0))-$I$2</f>
        <v>2125.755</v>
      </c>
      <c r="AO45" cm="1">
        <f t="array" ref="AO45">$E$10*(1+$AM45)+VLOOKUP($Q45,武学奇术!$A:$ZZ,4,FALSE)+SUM(_xlfn.XLOOKUP($R45:$AF45,增益!$A:$A,增益!$D:$D,0))-$I$2</f>
        <v>6122.925</v>
      </c>
      <c r="AP45" s="35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0.3675</v>
      </c>
      <c r="AQ45" s="35" cm="1">
        <f t="array" ref="AQ45">$G$10+VLOOKUP($Q45,武学奇术!$A:$ZZ,7,FALSE)+SUM(_xlfn.XLOOKUP(R45:AF45,增益!$A:$A,增益!$G:$G,0))</f>
        <v>0.1</v>
      </c>
      <c r="AR45" s="27" cm="1">
        <f t="array" ref="AR45">VLOOKUP($Q45,武学奇术!$A:$ZZ,8,FALSE)+SUM(_xlfn.XLOOKUP(R45:AF45,增益!$A:$A,增益!$H:$H,0))</f>
        <v>0</v>
      </c>
      <c r="AS45">
        <f t="shared" si="18"/>
        <v>0</v>
      </c>
      <c r="AT45">
        <f t="shared" si="19"/>
        <v>0</v>
      </c>
      <c r="AU45" s="35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-0.14</v>
      </c>
      <c r="AV45" s="35" cm="1">
        <f t="array" ref="AV45">$G$11+VLOOKUP($Q45,武学奇术!$A:$ZZ,10,FALSE)+SUM(_xlfn.XLOOKUP(R45:AF45,增益!$A:$A,增益!$J:$J,0))</f>
        <v>0</v>
      </c>
      <c r="AW45">
        <f t="shared" si="20"/>
        <v>0</v>
      </c>
      <c r="AX45">
        <f t="shared" si="21"/>
        <v>0</v>
      </c>
      <c r="AY45" s="35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-0.14</v>
      </c>
      <c r="AZ45" s="35" cm="1">
        <f t="array" ref="AZ45">$G$12+VLOOKUP($Q45,武学奇术!$A:$ZZ,12,FALSE)+SUM(_xlfn.XLOOKUP(R45:AF45,增益!$A:$A,增益!$L:$L,0))</f>
        <v>0</v>
      </c>
      <c r="BA45">
        <f t="shared" si="13"/>
        <v>538</v>
      </c>
      <c r="BB45">
        <f t="shared" si="14"/>
        <v>1011</v>
      </c>
      <c r="BC45" s="35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0.08</v>
      </c>
      <c r="BD45" s="35" cm="1">
        <f t="array" ref="BD45">$G$13+VLOOKUP($Q45,武学奇术!$A:$ZZ,14,FALSE)+SUM(_xlfn.XLOOKUP(R45:AF45,增益!$A:$A,增益!$N:$N,0))</f>
        <v>0.25</v>
      </c>
      <c r="BE45">
        <f t="shared" si="15"/>
        <v>0</v>
      </c>
      <c r="BF45">
        <f t="shared" si="16"/>
        <v>0</v>
      </c>
      <c r="BG45" s="35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-0.14</v>
      </c>
      <c r="BH45" s="35" cm="1">
        <f t="array" ref="BH45">$G$14+VLOOKUP($Q45,武学奇术!$A:$ZZ,16,FALSE)+SUM(_xlfn.XLOOKUP(R45:AF45,增益!$A:$A,增益!$P:$P,0))</f>
        <v>0</v>
      </c>
      <c r="BI45" s="27">
        <f>MIN(IF(VLOOKUP($Q45,武学奇术!$A:$ZZ,23,FALSE)=1,100%,$B$8),100%)</f>
        <v>0.9969</v>
      </c>
      <c r="BJ45" s="27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0.9137</v>
      </c>
      <c r="BK45" s="27" cm="1">
        <f t="array" ref="BK45">1+$B$13+VLOOKUP($Q45,武学奇术!$A:$ZZ,18,FALSE)+SUM(_xlfn.XLOOKUP(R45:AF45,增益!$A:$A,增益!$R:$R,0))</f>
        <v>1.96</v>
      </c>
      <c r="BL45" s="27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0.0895</v>
      </c>
      <c r="BM45" s="27" cm="1">
        <f t="array" ref="BM45">1+$B$14+VLOOKUP($Q45,武学奇术!$A:$ZZ,20,FALSE)+SUM(_xlfn.XLOOKUP(R45:AF45,增益!$A:$A,增益!$T:$T,0))</f>
        <v>1.35</v>
      </c>
      <c r="BN45" s="27">
        <f t="shared" si="11"/>
        <v>0.90767745</v>
      </c>
      <c r="BO45" s="27">
        <f t="shared" si="17"/>
        <v>-1.30104260698261e-17</v>
      </c>
      <c r="BP45" s="27">
        <f>IF(VLOOKUP($Q45,武学奇术!$A:$ZZ,22,FALSE)=1,0,(1-$BI45))*(1-$BL45)</f>
        <v>0.00282254999999999</v>
      </c>
      <c r="BQ45" s="27" cm="1">
        <f t="array" ref="BQ45">SUM(_xlfn.XLOOKUP(R45:AF45,增益!$A:$A,增益!$W:$W,0))+$I$5</f>
        <v>0.11</v>
      </c>
    </row>
    <row r="46" spans="1:69">
      <c r="A46" t="s">
        <v>160</v>
      </c>
      <c r="B46">
        <v>2.5</v>
      </c>
      <c r="G46" s="42"/>
      <c r="K46" s="41">
        <f t="shared" si="12"/>
        <v>1119580.60331512</v>
      </c>
      <c r="L46" s="41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弹道",$B$21,0))*(1+$BQ46)</f>
        <v>1136493.06662595</v>
      </c>
      <c r="M46" s="41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弹道",$B$21,0))*(1+$BQ46)</f>
        <v>973678.501779367</v>
      </c>
      <c r="N46" s="41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弹道",$B$21,0))*(1+$BQ46)</f>
        <v>514250.256391834</v>
      </c>
      <c r="O46" s="41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弹道",$B$21,0))*(1+$BQ46)</f>
        <v>307257.178132287</v>
      </c>
      <c r="P46" s="42">
        <v>13</v>
      </c>
      <c r="Q46" s="43" t="s">
        <v>109</v>
      </c>
      <c r="R46" s="43" t="s">
        <v>93</v>
      </c>
      <c r="S46" s="43" t="s">
        <v>158</v>
      </c>
      <c r="T46" s="43" t="s">
        <v>163</v>
      </c>
      <c r="U46" s="43" t="s">
        <v>159</v>
      </c>
      <c r="V46" s="43" t="s">
        <v>98</v>
      </c>
      <c r="W46" s="43" t="s">
        <v>73</v>
      </c>
      <c r="X46" s="43" t="s">
        <v>73</v>
      </c>
      <c r="Y46" s="43" t="s">
        <v>164</v>
      </c>
      <c r="Z46" s="43" t="s">
        <v>73</v>
      </c>
      <c r="AA46" s="43" t="s">
        <v>73</v>
      </c>
      <c r="AB46" s="43" t="s">
        <v>73</v>
      </c>
      <c r="AC46" s="43" t="s">
        <v>165</v>
      </c>
      <c r="AD46" s="43" t="s">
        <v>166</v>
      </c>
      <c r="AE46" s="43" t="s">
        <v>73</v>
      </c>
      <c r="AF46" s="43" t="s">
        <v>75</v>
      </c>
      <c r="AG46" t="str">
        <f>VLOOKUP($Q46,武学奇术!$A:$ZZ,25,FALSE)</f>
        <v>伞</v>
      </c>
      <c r="AH46" s="27">
        <f>VLOOKUP($Q46,武学奇术!$A:$ZZ,26,FALSE)</f>
        <v>1.174955</v>
      </c>
      <c r="AI46" s="28">
        <f>VLOOKUP($Q46,武学奇术!$A:$ZZ,27,FALSE)*(1+IF(OR($AG46=$F$4,$AG46=$F$5),$B$22,0))</f>
        <v>454.02</v>
      </c>
      <c r="AJ46" s="27">
        <f>VLOOKUP($Q46,武学奇术!$A:$ZZ,28,FALSE)</f>
        <v>1.762375</v>
      </c>
      <c r="AK46" s="28">
        <f>VLOOKUP($Q46,武学奇术!$A:$ZZ,29,FALSE)*(1+IF(OR($AG46=$F$4,$AG46=$F$5),$B$22,0))</f>
        <v>247.94</v>
      </c>
      <c r="AL46" s="27" cm="1">
        <f t="array" ref="AL46">$G$3+IFERROR(VLOOKUP($AG46,$F$4:$G$7,2,FALSE),0)+VLOOKUP($Q46,武学奇术!$A:$ZZ,2,FALSE)+SUM(_xlfn.XLOOKUP($R46:$AF46,增益!$A:$A,增益!$B:$B,0))</f>
        <v>1.1041</v>
      </c>
      <c r="AM46" s="27" cm="1">
        <f t="array" ref="AM46">VLOOKUP($Q46,武学奇术!$A:$ZZ,5,FALSE)+SUM(_xlfn.XLOOKUP($R46:$AF46,增益!$A:$A,增益!$E:$E,0))</f>
        <v>0.15</v>
      </c>
      <c r="AN46" cm="1">
        <f t="array" ref="AN46">$D$10*(1+$AM46)+VLOOKUP($Q46,武学奇术!$A:$ZZ,3,FALSE)+SUM(_xlfn.XLOOKUP($R46:$AF46,增益!$A:$A,增益!$C:$C,0))-$I$2</f>
        <v>2125.755</v>
      </c>
      <c r="AO46" cm="1">
        <f t="array" ref="AO46">$E$10*(1+$AM46)+VLOOKUP($Q46,武学奇术!$A:$ZZ,4,FALSE)+SUM(_xlfn.XLOOKUP($R46:$AF46,增益!$A:$A,增益!$D:$D,0))-$I$2</f>
        <v>6122.925</v>
      </c>
      <c r="AP46" s="35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0.4925</v>
      </c>
      <c r="AQ46" s="35" cm="1">
        <f t="array" ref="AQ46">$G$10+VLOOKUP($Q46,武学奇术!$A:$ZZ,7,FALSE)+SUM(_xlfn.XLOOKUP(R46:AF46,增益!$A:$A,增益!$G:$G,0))</f>
        <v>0.1</v>
      </c>
      <c r="AR46" s="27" cm="1">
        <f t="array" ref="AR46">VLOOKUP($Q46,武学奇术!$A:$ZZ,8,FALSE)+SUM(_xlfn.XLOOKUP(R46:AF46,增益!$A:$A,增益!$H:$H,0))</f>
        <v>0</v>
      </c>
      <c r="AS46">
        <f t="shared" si="18"/>
        <v>0</v>
      </c>
      <c r="AT46">
        <f t="shared" si="19"/>
        <v>0</v>
      </c>
      <c r="AU46" s="35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-0.3</v>
      </c>
      <c r="AV46" s="35" cm="1">
        <f t="array" ref="AV46">$G$11+VLOOKUP($Q46,武学奇术!$A:$ZZ,10,FALSE)+SUM(_xlfn.XLOOKUP(R46:AF46,增益!$A:$A,增益!$J:$J,0))</f>
        <v>0.1</v>
      </c>
      <c r="AW46">
        <f t="shared" si="20"/>
        <v>0</v>
      </c>
      <c r="AX46">
        <f t="shared" si="21"/>
        <v>0</v>
      </c>
      <c r="AY46" s="35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-0.3</v>
      </c>
      <c r="AZ46" s="35" cm="1">
        <f t="array" ref="AZ46">$G$12+VLOOKUP($Q46,武学奇术!$A:$ZZ,12,FALSE)+SUM(_xlfn.XLOOKUP(R46:AF46,增益!$A:$A,增益!$L:$L,0))</f>
        <v>0</v>
      </c>
      <c r="BA46">
        <f t="shared" si="13"/>
        <v>538</v>
      </c>
      <c r="BB46">
        <f t="shared" si="14"/>
        <v>1011</v>
      </c>
      <c r="BC46" s="35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0</v>
      </c>
      <c r="BD46" s="35" cm="1">
        <f t="array" ref="BD46">$G$13+VLOOKUP($Q46,武学奇术!$A:$ZZ,14,FALSE)+SUM(_xlfn.XLOOKUP(R46:AF46,增益!$A:$A,增益!$N:$N,0))</f>
        <v>0.25</v>
      </c>
      <c r="BE46">
        <f t="shared" si="15"/>
        <v>0</v>
      </c>
      <c r="BF46">
        <f t="shared" si="16"/>
        <v>0</v>
      </c>
      <c r="BG46" s="35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-0.3</v>
      </c>
      <c r="BH46" s="35" cm="1">
        <f t="array" ref="BH46">$G$14+VLOOKUP($Q46,武学奇术!$A:$ZZ,16,FALSE)+SUM(_xlfn.XLOOKUP(R46:AF46,增益!$A:$A,增益!$P:$P,0))</f>
        <v>0</v>
      </c>
      <c r="BI46" s="27">
        <f>MIN(IF(VLOOKUP($Q46,武学奇术!$A:$ZZ,23,FALSE)=1,100%,$B$8),100%)</f>
        <v>0.9969</v>
      </c>
      <c r="BJ46" s="27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0.9137</v>
      </c>
      <c r="BK46" s="27" cm="1">
        <f t="array" ref="BK46">1+$B$13+VLOOKUP($Q46,武学奇术!$A:$ZZ,18,FALSE)+SUM(_xlfn.XLOOKUP(R46:AF46,增益!$A:$A,增益!$R:$R,0))</f>
        <v>2.21</v>
      </c>
      <c r="BL46" s="27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0.0895</v>
      </c>
      <c r="BM46" s="27" cm="1">
        <f t="array" ref="BM46">1+$B$14+VLOOKUP($Q46,武学奇术!$A:$ZZ,20,FALSE)+SUM(_xlfn.XLOOKUP(R46:AF46,增益!$A:$A,增益!$T:$T,0))</f>
        <v>1.35</v>
      </c>
      <c r="BN46" s="27">
        <f t="shared" si="11"/>
        <v>0.90767745</v>
      </c>
      <c r="BO46" s="27">
        <f t="shared" si="17"/>
        <v>-1.30104260698261e-17</v>
      </c>
      <c r="BP46" s="27">
        <f>IF(VLOOKUP($Q46,武学奇术!$A:$ZZ,22,FALSE)=1,0,(1-$BI46))*(1-$BL46)</f>
        <v>0.00282254999999999</v>
      </c>
      <c r="BQ46" s="27" cm="1">
        <f t="array" ref="BQ46">SUM(_xlfn.XLOOKUP(R46:AF46,增益!$A:$A,增益!$W:$W,0))+$I$5</f>
        <v>0.31</v>
      </c>
    </row>
    <row r="47" spans="1:69">
      <c r="A47" s="4" t="s">
        <v>155</v>
      </c>
      <c r="B47" s="4">
        <v>0.1</v>
      </c>
      <c r="K47" s="41">
        <f t="shared" si="12"/>
        <v>437426.388453837</v>
      </c>
      <c r="L47" s="41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弹道",$B$21,0))*(1+$BQ47)</f>
        <v>444095.702054426</v>
      </c>
      <c r="M47" s="41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弹道",$B$21,0))*(1+$BQ47)</f>
        <v>379780.989573149</v>
      </c>
      <c r="N47" s="41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弹道",$B$21,0))*(1+$BQ47)</f>
        <v>200948.281472591</v>
      </c>
      <c r="O47" s="41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弹道",$B$21,0))*(1+$BQ47)</f>
        <v>120577.311409516</v>
      </c>
      <c r="P47" s="42">
        <v>5</v>
      </c>
      <c r="Q47" s="43" t="s">
        <v>109</v>
      </c>
      <c r="R47" s="43" t="s">
        <v>93</v>
      </c>
      <c r="S47" s="43" t="s">
        <v>158</v>
      </c>
      <c r="T47" s="43" t="s">
        <v>163</v>
      </c>
      <c r="U47" s="43" t="s">
        <v>159</v>
      </c>
      <c r="V47" s="43" t="s">
        <v>98</v>
      </c>
      <c r="W47" s="43" t="s">
        <v>73</v>
      </c>
      <c r="X47" s="43" t="s">
        <v>73</v>
      </c>
      <c r="Y47" s="43" t="s">
        <v>164</v>
      </c>
      <c r="Z47" s="43" t="s">
        <v>73</v>
      </c>
      <c r="AA47" s="43" t="s">
        <v>73</v>
      </c>
      <c r="AB47" s="43" t="s">
        <v>80</v>
      </c>
      <c r="AC47" s="43" t="s">
        <v>165</v>
      </c>
      <c r="AD47" s="43" t="s">
        <v>166</v>
      </c>
      <c r="AE47" s="43" t="s">
        <v>73</v>
      </c>
      <c r="AF47" s="43" t="s">
        <v>75</v>
      </c>
      <c r="AG47" t="str">
        <f>VLOOKUP($Q47,武学奇术!$A:$ZZ,25,FALSE)</f>
        <v>伞</v>
      </c>
      <c r="AH47" s="27">
        <f>VLOOKUP($Q47,武学奇术!$A:$ZZ,26,FALSE)</f>
        <v>1.174955</v>
      </c>
      <c r="AI47" s="28">
        <f>VLOOKUP($Q47,武学奇术!$A:$ZZ,27,FALSE)*(1+IF(OR($AG47=$F$4,$AG47=$F$5),$B$22,0))</f>
        <v>454.02</v>
      </c>
      <c r="AJ47" s="27">
        <f>VLOOKUP($Q47,武学奇术!$A:$ZZ,28,FALSE)</f>
        <v>1.762375</v>
      </c>
      <c r="AK47" s="28">
        <f>VLOOKUP($Q47,武学奇术!$A:$ZZ,29,FALSE)*(1+IF(OR($AG47=$F$4,$AG47=$F$5),$B$22,0))</f>
        <v>247.94</v>
      </c>
      <c r="AL47" s="27" cm="1">
        <f t="array" ref="AL47">$G$3+IFERROR(VLOOKUP($AG47,$F$4:$G$7,2,FALSE),0)+VLOOKUP($Q47,武学奇术!$A:$ZZ,2,FALSE)+SUM(_xlfn.XLOOKUP($R47:$AF47,增益!$A:$A,增益!$B:$B,0))</f>
        <v>1.1041</v>
      </c>
      <c r="AM47" s="27" cm="1">
        <f t="array" ref="AM47">VLOOKUP($Q47,武学奇术!$A:$ZZ,5,FALSE)+SUM(_xlfn.XLOOKUP($R47:$AF47,增益!$A:$A,增益!$E:$E,0))</f>
        <v>0.15</v>
      </c>
      <c r="AN47" cm="1">
        <f t="array" ref="AN47">$D$10*(1+$AM47)+VLOOKUP($Q47,武学奇术!$A:$ZZ,3,FALSE)+SUM(_xlfn.XLOOKUP($R47:$AF47,增益!$A:$A,增益!$C:$C,0))-$I$2</f>
        <v>2125.755</v>
      </c>
      <c r="AO47" cm="1">
        <f t="array" ref="AO47">$E$10*(1+$AM47)+VLOOKUP($Q47,武学奇术!$A:$ZZ,4,FALSE)+SUM(_xlfn.XLOOKUP($R47:$AF47,增益!$A:$A,增益!$D:$D,0))-$I$2</f>
        <v>6122.925</v>
      </c>
      <c r="AP47" s="35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0.4925</v>
      </c>
      <c r="AQ47" s="35" cm="1">
        <f t="array" ref="AQ47">$G$10+VLOOKUP($Q47,武学奇术!$A:$ZZ,7,FALSE)+SUM(_xlfn.XLOOKUP(R47:AF47,增益!$A:$A,增益!$G:$G,0))</f>
        <v>0.1</v>
      </c>
      <c r="AR47" s="27" cm="1">
        <f t="array" ref="AR47">VLOOKUP($Q47,武学奇术!$A:$ZZ,8,FALSE)+SUM(_xlfn.XLOOKUP(R47:AF47,增益!$A:$A,增益!$H:$H,0))</f>
        <v>0</v>
      </c>
      <c r="AS47">
        <f t="shared" si="18"/>
        <v>0</v>
      </c>
      <c r="AT47">
        <f t="shared" si="19"/>
        <v>0</v>
      </c>
      <c r="AU47" s="35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-0.14</v>
      </c>
      <c r="AV47" s="35" cm="1">
        <f t="array" ref="AV47">$G$11+VLOOKUP($Q47,武学奇术!$A:$ZZ,10,FALSE)+SUM(_xlfn.XLOOKUP(R47:AF47,增益!$A:$A,增益!$J:$J,0))</f>
        <v>0.1</v>
      </c>
      <c r="AW47">
        <f t="shared" si="20"/>
        <v>0</v>
      </c>
      <c r="AX47">
        <f t="shared" si="21"/>
        <v>0</v>
      </c>
      <c r="AY47" s="35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-0.14</v>
      </c>
      <c r="AZ47" s="35" cm="1">
        <f t="array" ref="AZ47">$G$12+VLOOKUP($Q47,武学奇术!$A:$ZZ,12,FALSE)+SUM(_xlfn.XLOOKUP(R47:AF47,增益!$A:$A,增益!$L:$L,0))</f>
        <v>0</v>
      </c>
      <c r="BA47">
        <f t="shared" si="13"/>
        <v>538</v>
      </c>
      <c r="BB47">
        <f t="shared" si="14"/>
        <v>1011</v>
      </c>
      <c r="BC47" s="35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0.08</v>
      </c>
      <c r="BD47" s="35" cm="1">
        <f t="array" ref="BD47">$G$13+VLOOKUP($Q47,武学奇术!$A:$ZZ,14,FALSE)+SUM(_xlfn.XLOOKUP(R47:AF47,增益!$A:$A,增益!$N:$N,0))</f>
        <v>0.25</v>
      </c>
      <c r="BE47">
        <f t="shared" si="15"/>
        <v>0</v>
      </c>
      <c r="BF47">
        <f t="shared" si="16"/>
        <v>0</v>
      </c>
      <c r="BG47" s="35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-0.14</v>
      </c>
      <c r="BH47" s="35" cm="1">
        <f t="array" ref="BH47">$G$14+VLOOKUP($Q47,武学奇术!$A:$ZZ,16,FALSE)+SUM(_xlfn.XLOOKUP(R47:AF47,增益!$A:$A,增益!$P:$P,0))</f>
        <v>0</v>
      </c>
      <c r="BI47" s="27">
        <f>MIN(IF(VLOOKUP($Q47,武学奇术!$A:$ZZ,23,FALSE)=1,100%,$B$8),100%)</f>
        <v>0.9969</v>
      </c>
      <c r="BJ47" s="27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0.9137</v>
      </c>
      <c r="BK47" s="27" cm="1">
        <f t="array" ref="BK47">1+$B$13+VLOOKUP($Q47,武学奇术!$A:$ZZ,18,FALSE)+SUM(_xlfn.XLOOKUP(R47:AF47,增益!$A:$A,增益!$R:$R,0))</f>
        <v>2.21</v>
      </c>
      <c r="BL47" s="27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0.0895</v>
      </c>
      <c r="BM47" s="27" cm="1">
        <f t="array" ref="BM47">1+$B$14+VLOOKUP($Q47,武学奇术!$A:$ZZ,20,FALSE)+SUM(_xlfn.XLOOKUP(R47:AF47,增益!$A:$A,增益!$T:$T,0))</f>
        <v>1.35</v>
      </c>
      <c r="BN47" s="27">
        <f t="shared" si="11"/>
        <v>0.90767745</v>
      </c>
      <c r="BO47" s="27">
        <f t="shared" si="17"/>
        <v>-1.30104260698261e-17</v>
      </c>
      <c r="BP47" s="27">
        <f>IF(VLOOKUP($Q47,武学奇术!$A:$ZZ,22,FALSE)=1,0,(1-$BI47))*(1-$BL47)</f>
        <v>0.00282254999999999</v>
      </c>
      <c r="BQ47" s="27" cm="1">
        <f t="array" ref="BQ47">SUM(_xlfn.XLOOKUP(R47:AF47,增益!$A:$A,增益!$W:$W,0))+$I$5</f>
        <v>0.31</v>
      </c>
    </row>
    <row r="48" spans="1:69">
      <c r="A48" s="4" t="s">
        <v>152</v>
      </c>
      <c r="B48" s="94">
        <v>1.3</v>
      </c>
      <c r="F48">
        <v>20</v>
      </c>
      <c r="K48" s="41">
        <f t="shared" si="12"/>
        <v>111410.877378284</v>
      </c>
      <c r="L48" s="41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弹道",$B$21,0))*(1+$BQ48)</f>
        <v>111153.208062951</v>
      </c>
      <c r="M48" s="41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弹道",$B$21,0))*(1+$BQ48)</f>
        <v>116468.756564285</v>
      </c>
      <c r="N48" s="41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弹道",$B$21,0))*(1+$BQ48)</f>
        <v>60082.8151691627</v>
      </c>
      <c r="O48" s="41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弹道",$B$21,0))*(1+$BQ48)</f>
        <v>33892.4773277438</v>
      </c>
      <c r="P48" s="42">
        <v>1</v>
      </c>
      <c r="Q48" s="43" t="s">
        <v>167</v>
      </c>
      <c r="R48" s="43" t="s">
        <v>93</v>
      </c>
      <c r="S48" s="43" t="s">
        <v>158</v>
      </c>
      <c r="T48" s="43" t="s">
        <v>73</v>
      </c>
      <c r="U48" s="43" t="s">
        <v>159</v>
      </c>
      <c r="V48" s="43" t="s">
        <v>73</v>
      </c>
      <c r="W48" s="43" t="s">
        <v>73</v>
      </c>
      <c r="X48" s="43" t="s">
        <v>73</v>
      </c>
      <c r="Y48" s="43" t="s">
        <v>164</v>
      </c>
      <c r="Z48" s="43" t="s">
        <v>73</v>
      </c>
      <c r="AA48" s="43" t="s">
        <v>73</v>
      </c>
      <c r="AB48" s="43" t="s">
        <v>73</v>
      </c>
      <c r="AC48" s="43" t="s">
        <v>165</v>
      </c>
      <c r="AD48" s="43" t="s">
        <v>166</v>
      </c>
      <c r="AE48" s="43" t="s">
        <v>73</v>
      </c>
      <c r="AF48" s="43" t="s">
        <v>75</v>
      </c>
      <c r="AG48" t="str">
        <f>VLOOKUP($Q48,武学奇术!$A:$ZZ,25,FALSE)</f>
        <v>单体奇术</v>
      </c>
      <c r="AH48" s="27">
        <f>VLOOKUP($Q48,武学奇术!$A:$ZZ,26,FALSE)</f>
        <v>3.9855</v>
      </c>
      <c r="AI48" s="28">
        <f>VLOOKUP($Q48,武学奇术!$A:$ZZ,27,FALSE)*(1+IF(OR($AG48=$F$4,$AG48=$F$5),$B$22,0))</f>
        <v>749</v>
      </c>
      <c r="AJ48" s="27">
        <f>VLOOKUP($Q48,武学奇术!$A:$ZZ,28,FALSE)</f>
        <v>5.97825</v>
      </c>
      <c r="AK48" s="28">
        <f>VLOOKUP($Q48,武学奇术!$A:$ZZ,29,FALSE)*(1+IF(OR($AG48=$F$4,$AG48=$F$5),$B$22,0))</f>
        <v>0</v>
      </c>
      <c r="AL48" s="27" cm="1">
        <f t="array" ref="AL48">$G$3+IFERROR(VLOOKUP($AG48,$F$4:$G$7,2,FALSE),0)+VLOOKUP($Q48,武学奇术!$A:$ZZ,2,FALSE)+SUM(_xlfn.XLOOKUP($R48:$AF48,增益!$A:$A,增益!$B:$B,0))</f>
        <v>0.5015</v>
      </c>
      <c r="AM48" s="27" cm="1">
        <f t="array" ref="AM48">VLOOKUP($Q48,武学奇术!$A:$ZZ,5,FALSE)+SUM(_xlfn.XLOOKUP($R48:$AF48,增益!$A:$A,增益!$E:$E,0))</f>
        <v>0.15</v>
      </c>
      <c r="AN48" cm="1">
        <f t="array" ref="AN48">$D$10*(1+$AM48)+VLOOKUP($Q48,武学奇术!$A:$ZZ,3,FALSE)+SUM(_xlfn.XLOOKUP($R48:$AF48,增益!$A:$A,增益!$C:$C,0))-$I$2</f>
        <v>2125.755</v>
      </c>
      <c r="AO48" cm="1">
        <f t="array" ref="AO48">$E$10*(1+$AM48)+VLOOKUP($Q48,武学奇术!$A:$ZZ,4,FALSE)+SUM(_xlfn.XLOOKUP($R48:$AF48,增益!$A:$A,增益!$D:$D,0))-$I$2</f>
        <v>6122.925</v>
      </c>
      <c r="AP48" s="35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0.4675</v>
      </c>
      <c r="AQ48" s="35" cm="1">
        <f t="array" ref="AQ48">$G$10+VLOOKUP($Q48,武学奇术!$A:$ZZ,7,FALSE)+SUM(_xlfn.XLOOKUP(R48:AF48,增益!$A:$A,增益!$G:$G,0))</f>
        <v>0</v>
      </c>
      <c r="AR48" s="27" cm="1">
        <f t="array" ref="AR48">VLOOKUP($Q48,武学奇术!$A:$ZZ,8,FALSE)+SUM(_xlfn.XLOOKUP(R48:AF48,增益!$A:$A,增益!$H:$H,0))</f>
        <v>0</v>
      </c>
      <c r="AS48">
        <f t="shared" si="18"/>
        <v>0</v>
      </c>
      <c r="AT48">
        <f t="shared" si="19"/>
        <v>0</v>
      </c>
      <c r="AU48" s="35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-0.3</v>
      </c>
      <c r="AV48" s="35" cm="1">
        <f t="array" ref="AV48">$G$11+VLOOKUP($Q48,武学奇术!$A:$ZZ,10,FALSE)+SUM(_xlfn.XLOOKUP(R48:AF48,增益!$A:$A,增益!$J:$J,0))</f>
        <v>0.1</v>
      </c>
      <c r="AW48">
        <f t="shared" si="20"/>
        <v>0</v>
      </c>
      <c r="AX48">
        <f t="shared" si="21"/>
        <v>0</v>
      </c>
      <c r="AY48" s="35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-0.3</v>
      </c>
      <c r="AZ48" s="35" cm="1">
        <f t="array" ref="AZ48">$G$12+VLOOKUP($Q48,武学奇术!$A:$ZZ,12,FALSE)+SUM(_xlfn.XLOOKUP(R48:AF48,增益!$A:$A,增益!$L:$L,0))</f>
        <v>0</v>
      </c>
      <c r="BA48">
        <f t="shared" si="13"/>
        <v>538</v>
      </c>
      <c r="BB48">
        <f t="shared" si="14"/>
        <v>1011</v>
      </c>
      <c r="BC48" s="35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0</v>
      </c>
      <c r="BD48" s="35" cm="1">
        <f t="array" ref="BD48">$G$13+VLOOKUP($Q48,武学奇术!$A:$ZZ,14,FALSE)+SUM(_xlfn.XLOOKUP(R48:AF48,增益!$A:$A,增益!$N:$N,0))</f>
        <v>0.15</v>
      </c>
      <c r="BE48">
        <f t="shared" si="15"/>
        <v>0</v>
      </c>
      <c r="BF48">
        <f t="shared" si="16"/>
        <v>0</v>
      </c>
      <c r="BG48" s="35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-0.3</v>
      </c>
      <c r="BH48" s="35" cm="1">
        <f t="array" ref="BH48">$G$14+VLOOKUP($Q48,武学奇术!$A:$ZZ,16,FALSE)+SUM(_xlfn.XLOOKUP(R48:AF48,增益!$A:$A,增益!$P:$P,0))</f>
        <v>0</v>
      </c>
      <c r="BI48" s="27">
        <f>MIN(IF(VLOOKUP($Q48,武学奇术!$A:$ZZ,23,FALSE)=1,100%,$B$8),100%)</f>
        <v>0.9969</v>
      </c>
      <c r="BJ48" s="27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0.9137</v>
      </c>
      <c r="BK48" s="27" cm="1">
        <f t="array" ref="BK48">1+$B$13+VLOOKUP($Q48,武学奇术!$A:$ZZ,18,FALSE)+SUM(_xlfn.XLOOKUP(R48:AF48,增益!$A:$A,增益!$R:$R,0))</f>
        <v>1.85</v>
      </c>
      <c r="BL48" s="27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0.0895</v>
      </c>
      <c r="BM48" s="27" cm="1">
        <f t="array" ref="BM48">1+$B$14+VLOOKUP($Q48,武学奇术!$A:$ZZ,20,FALSE)+SUM(_xlfn.XLOOKUP(R48:AF48,增益!$A:$A,增益!$T:$T,0))</f>
        <v>1.35</v>
      </c>
      <c r="BN48" s="27">
        <f t="shared" si="11"/>
        <v>0.90767745</v>
      </c>
      <c r="BO48" s="27">
        <f t="shared" si="17"/>
        <v>-1.30104260698261e-17</v>
      </c>
      <c r="BP48" s="27">
        <f>IF(VLOOKUP($Q48,武学奇术!$A:$ZZ,22,FALSE)=1,0,(1-$BI48))*(1-$BL48)</f>
        <v>0.00282254999999999</v>
      </c>
      <c r="BQ48" s="27" cm="1">
        <f t="array" ref="BQ48">SUM(_xlfn.XLOOKUP(R48:AF48,增益!$A:$A,增益!$W:$W,0))+$I$5</f>
        <v>0.31</v>
      </c>
    </row>
    <row r="49" spans="1:69">
      <c r="A49" s="4" t="s">
        <v>97</v>
      </c>
      <c r="B49" s="4">
        <v>1.25</v>
      </c>
      <c r="K49" s="41">
        <f t="shared" si="12"/>
        <v>92321.3841599537</v>
      </c>
      <c r="L49" s="41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弹道",$B$21,0))*(1+$BQ49)</f>
        <v>92107.1352949509</v>
      </c>
      <c r="M49" s="41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弹道",$B$21,0))*(1+$BQ49)</f>
        <v>96520.2302871807</v>
      </c>
      <c r="N49" s="41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弹道",$B$21,0))*(1+$BQ49)</f>
        <v>49787.6406999735</v>
      </c>
      <c r="O49" s="41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弹道",$B$21,0))*(1+$BQ49)</f>
        <v>28078.8145205539</v>
      </c>
      <c r="P49" s="42">
        <v>12</v>
      </c>
      <c r="Q49" s="43" t="s">
        <v>168</v>
      </c>
      <c r="R49" s="43" t="s">
        <v>93</v>
      </c>
      <c r="S49" s="43" t="s">
        <v>158</v>
      </c>
      <c r="T49" s="43" t="s">
        <v>73</v>
      </c>
      <c r="U49" s="43" t="s">
        <v>159</v>
      </c>
      <c r="V49" s="43" t="s">
        <v>73</v>
      </c>
      <c r="W49" s="43" t="s">
        <v>73</v>
      </c>
      <c r="X49" s="43" t="s">
        <v>73</v>
      </c>
      <c r="Y49" s="43" t="s">
        <v>164</v>
      </c>
      <c r="Z49" s="43" t="s">
        <v>73</v>
      </c>
      <c r="AA49" s="43" t="s">
        <v>73</v>
      </c>
      <c r="AB49" s="43" t="s">
        <v>73</v>
      </c>
      <c r="AC49" s="43" t="s">
        <v>165</v>
      </c>
      <c r="AD49" s="43" t="s">
        <v>166</v>
      </c>
      <c r="AE49" s="43" t="s">
        <v>169</v>
      </c>
      <c r="AF49" s="43" t="s">
        <v>75</v>
      </c>
      <c r="AG49" t="str">
        <f>VLOOKUP($Q49,武学奇术!$A:$ZZ,25,FALSE)</f>
        <v>单体奇术</v>
      </c>
      <c r="AH49" s="27">
        <f>VLOOKUP($Q49,武学奇术!$A:$ZZ,26,FALSE)</f>
        <v>0.236</v>
      </c>
      <c r="AI49" s="28">
        <f>VLOOKUP($Q49,武学奇术!$A:$ZZ,27,FALSE)*(1+IF(OR($AG49=$F$4,$AG49=$F$5),$B$22,0))</f>
        <v>44</v>
      </c>
      <c r="AJ49" s="27">
        <f>VLOOKUP($Q49,武学奇术!$A:$ZZ,28,FALSE)</f>
        <v>0.354</v>
      </c>
      <c r="AK49" s="28">
        <f>VLOOKUP($Q49,武学奇术!$A:$ZZ,29,FALSE)*(1+IF(OR($AG49=$F$4,$AG49=$F$5),$B$22,0))</f>
        <v>0</v>
      </c>
      <c r="AL49" s="27" cm="1">
        <f t="array" ref="AL49">$G$3+IFERROR(VLOOKUP($AG49,$F$4:$G$7,2,FALSE),0)+VLOOKUP($Q49,武学奇术!$A:$ZZ,2,FALSE)+SUM(_xlfn.XLOOKUP($R49:$AF49,增益!$A:$A,增益!$B:$B,0))</f>
        <v>0.7515</v>
      </c>
      <c r="AM49" s="27" cm="1">
        <f t="array" ref="AM49">VLOOKUP($Q49,武学奇术!$A:$ZZ,5,FALSE)+SUM(_xlfn.XLOOKUP($R49:$AF49,增益!$A:$A,增益!$E:$E,0))</f>
        <v>0.15</v>
      </c>
      <c r="AN49" cm="1">
        <f t="array" ref="AN49">$D$10*(1+$AM49)+VLOOKUP($Q49,武学奇术!$A:$ZZ,3,FALSE)+SUM(_xlfn.XLOOKUP($R49:$AF49,增益!$A:$A,增益!$C:$C,0))-$I$2</f>
        <v>2125.755</v>
      </c>
      <c r="AO49" cm="1">
        <f t="array" ref="AO49">$E$10*(1+$AM49)+VLOOKUP($Q49,武学奇术!$A:$ZZ,4,FALSE)+SUM(_xlfn.XLOOKUP($R49:$AF49,增益!$A:$A,增益!$D:$D,0))-$I$2</f>
        <v>6122.925</v>
      </c>
      <c r="AP49" s="35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0.4675</v>
      </c>
      <c r="AQ49" s="35" cm="1">
        <f t="array" ref="AQ49">$G$10+VLOOKUP($Q49,武学奇术!$A:$ZZ,7,FALSE)+SUM(_xlfn.XLOOKUP(R49:AF49,增益!$A:$A,增益!$G:$G,0))</f>
        <v>0</v>
      </c>
      <c r="AR49" s="27" cm="1">
        <f t="array" ref="AR49">VLOOKUP($Q49,武学奇术!$A:$ZZ,8,FALSE)+SUM(_xlfn.XLOOKUP(R49:AF49,增益!$A:$A,增益!$H:$H,0))</f>
        <v>0</v>
      </c>
      <c r="AS49">
        <f t="shared" si="18"/>
        <v>0</v>
      </c>
      <c r="AT49">
        <f t="shared" si="19"/>
        <v>0</v>
      </c>
      <c r="AU49" s="35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-0.3</v>
      </c>
      <c r="AV49" s="35" cm="1">
        <f t="array" ref="AV49">$G$11+VLOOKUP($Q49,武学奇术!$A:$ZZ,10,FALSE)+SUM(_xlfn.XLOOKUP(R49:AF49,增益!$A:$A,增益!$J:$J,0))</f>
        <v>0.1</v>
      </c>
      <c r="AW49">
        <f t="shared" si="20"/>
        <v>0</v>
      </c>
      <c r="AX49">
        <f t="shared" si="21"/>
        <v>0</v>
      </c>
      <c r="AY49" s="35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-0.3</v>
      </c>
      <c r="AZ49" s="35" cm="1">
        <f t="array" ref="AZ49">$G$12+VLOOKUP($Q49,武学奇术!$A:$ZZ,12,FALSE)+SUM(_xlfn.XLOOKUP(R49:AF49,增益!$A:$A,增益!$L:$L,0))</f>
        <v>0</v>
      </c>
      <c r="BA49">
        <f t="shared" si="13"/>
        <v>538</v>
      </c>
      <c r="BB49">
        <f t="shared" si="14"/>
        <v>1011</v>
      </c>
      <c r="BC49" s="35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0</v>
      </c>
      <c r="BD49" s="35" cm="1">
        <f t="array" ref="BD49">$G$13+VLOOKUP($Q49,武学奇术!$A:$ZZ,14,FALSE)+SUM(_xlfn.XLOOKUP(R49:AF49,增益!$A:$A,增益!$N:$N,0))</f>
        <v>0.15</v>
      </c>
      <c r="BE49">
        <f t="shared" si="15"/>
        <v>0</v>
      </c>
      <c r="BF49">
        <f t="shared" si="16"/>
        <v>0</v>
      </c>
      <c r="BG49" s="35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-0.3</v>
      </c>
      <c r="BH49" s="35" cm="1">
        <f t="array" ref="BH49">$G$14+VLOOKUP($Q49,武学奇术!$A:$ZZ,16,FALSE)+SUM(_xlfn.XLOOKUP(R49:AF49,增益!$A:$A,增益!$P:$P,0))</f>
        <v>0</v>
      </c>
      <c r="BI49" s="27">
        <f>MIN(IF(VLOOKUP($Q49,武学奇术!$A:$ZZ,23,FALSE)=1,100%,$B$8),100%)</f>
        <v>0.9969</v>
      </c>
      <c r="BJ49" s="27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0.9137</v>
      </c>
      <c r="BK49" s="27" cm="1">
        <f t="array" ref="BK49">1+$B$13+VLOOKUP($Q49,武学奇术!$A:$ZZ,18,FALSE)+SUM(_xlfn.XLOOKUP(R49:AF49,增益!$A:$A,增益!$R:$R,0))</f>
        <v>1.85</v>
      </c>
      <c r="BL49" s="27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0.0895</v>
      </c>
      <c r="BM49" s="27" cm="1">
        <f t="array" ref="BM49">1+$B$14+VLOOKUP($Q49,武学奇术!$A:$ZZ,20,FALSE)+SUM(_xlfn.XLOOKUP(R49:AF49,增益!$A:$A,增益!$T:$T,0))</f>
        <v>1.35</v>
      </c>
      <c r="BN49" s="27">
        <f t="shared" si="11"/>
        <v>0.90767745</v>
      </c>
      <c r="BO49" s="27">
        <f t="shared" si="17"/>
        <v>-1.30104260698261e-17</v>
      </c>
      <c r="BP49" s="27">
        <f>IF(VLOOKUP($Q49,武学奇术!$A:$ZZ,22,FALSE)=1,0,(1-$BI49))*(1-$BL49)</f>
        <v>0.00282254999999999</v>
      </c>
      <c r="BQ49" s="27" cm="1">
        <f t="array" ref="BQ49">SUM(_xlfn.XLOOKUP(R49:AF49,增益!$A:$A,增益!$W:$W,0))+$I$5</f>
        <v>0.31</v>
      </c>
    </row>
    <row r="50" spans="1:69">
      <c r="A50" s="4" t="s">
        <v>107</v>
      </c>
      <c r="B50" s="94">
        <v>1.16</v>
      </c>
      <c r="K50" s="41">
        <f t="shared" si="12"/>
        <v>54599.1236349272</v>
      </c>
      <c r="L50" s="41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弹道",$B$21,0))*(1+$BQ50)</f>
        <v>54478.648587291</v>
      </c>
      <c r="M50" s="41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弹道",$B$21,0))*(1+$BQ50)</f>
        <v>57017.3974357057</v>
      </c>
      <c r="N50" s="41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弹道",$B$21,0))*(1+$BQ50)</f>
        <v>29447.9181552924</v>
      </c>
      <c r="O50" s="41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弹道",$B$21,0))*(1+$BQ50)</f>
        <v>16660.727098951</v>
      </c>
      <c r="P50" s="42">
        <v>7</v>
      </c>
      <c r="Q50" s="43" t="s">
        <v>168</v>
      </c>
      <c r="R50" s="43" t="s">
        <v>93</v>
      </c>
      <c r="S50" s="43" t="s">
        <v>158</v>
      </c>
      <c r="T50" s="43" t="s">
        <v>73</v>
      </c>
      <c r="U50" s="43" t="s">
        <v>159</v>
      </c>
      <c r="V50" s="43" t="s">
        <v>73</v>
      </c>
      <c r="W50" s="43" t="s">
        <v>73</v>
      </c>
      <c r="X50" s="43" t="s">
        <v>73</v>
      </c>
      <c r="Y50" s="43" t="s">
        <v>164</v>
      </c>
      <c r="Z50" s="43" t="s">
        <v>73</v>
      </c>
      <c r="AA50" s="43" t="s">
        <v>73</v>
      </c>
      <c r="AB50" s="43" t="s">
        <v>80</v>
      </c>
      <c r="AC50" s="43" t="s">
        <v>165</v>
      </c>
      <c r="AD50" s="43" t="s">
        <v>166</v>
      </c>
      <c r="AE50" s="43" t="s">
        <v>169</v>
      </c>
      <c r="AF50" s="43" t="s">
        <v>75</v>
      </c>
      <c r="AG50" t="str">
        <f>VLOOKUP($Q50,武学奇术!$A:$ZZ,25,FALSE)</f>
        <v>单体奇术</v>
      </c>
      <c r="AH50" s="27">
        <f>VLOOKUP($Q50,武学奇术!$A:$ZZ,26,FALSE)</f>
        <v>0.236</v>
      </c>
      <c r="AI50" s="28">
        <f>VLOOKUP($Q50,武学奇术!$A:$ZZ,27,FALSE)*(1+IF(OR($AG50=$F$4,$AG50=$F$5),$B$22,0))</f>
        <v>44</v>
      </c>
      <c r="AJ50" s="27">
        <f>VLOOKUP($Q50,武学奇术!$A:$ZZ,28,FALSE)</f>
        <v>0.354</v>
      </c>
      <c r="AK50" s="28">
        <f>VLOOKUP($Q50,武学奇术!$A:$ZZ,29,FALSE)*(1+IF(OR($AG50=$F$4,$AG50=$F$5),$B$22,0))</f>
        <v>0</v>
      </c>
      <c r="AL50" s="27" cm="1">
        <f t="array" ref="AL50">$G$3+IFERROR(VLOOKUP($AG50,$F$4:$G$7,2,FALSE),0)+VLOOKUP($Q50,武学奇术!$A:$ZZ,2,FALSE)+SUM(_xlfn.XLOOKUP($R50:$AF50,增益!$A:$A,增益!$B:$B,0))</f>
        <v>0.7515</v>
      </c>
      <c r="AM50" s="27" cm="1">
        <f t="array" ref="AM50">VLOOKUP($Q50,武学奇术!$A:$ZZ,5,FALSE)+SUM(_xlfn.XLOOKUP($R50:$AF50,增益!$A:$A,增益!$E:$E,0))</f>
        <v>0.15</v>
      </c>
      <c r="AN50" cm="1">
        <f t="array" ref="AN50">$D$10*(1+$AM50)+VLOOKUP($Q50,武学奇术!$A:$ZZ,3,FALSE)+SUM(_xlfn.XLOOKUP($R50:$AF50,增益!$A:$A,增益!$C:$C,0))-$I$2</f>
        <v>2125.755</v>
      </c>
      <c r="AO50" cm="1">
        <f t="array" ref="AO50">$E$10*(1+$AM50)+VLOOKUP($Q50,武学奇术!$A:$ZZ,4,FALSE)+SUM(_xlfn.XLOOKUP($R50:$AF50,增益!$A:$A,增益!$D:$D,0))-$I$2</f>
        <v>6122.925</v>
      </c>
      <c r="AP50" s="35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0.4675</v>
      </c>
      <c r="AQ50" s="35" cm="1">
        <f t="array" ref="AQ50">$G$10+VLOOKUP($Q50,武学奇术!$A:$ZZ,7,FALSE)+SUM(_xlfn.XLOOKUP(R50:AF50,增益!$A:$A,增益!$G:$G,0))</f>
        <v>0</v>
      </c>
      <c r="AR50" s="27" cm="1">
        <f t="array" ref="AR50">VLOOKUP($Q50,武学奇术!$A:$ZZ,8,FALSE)+SUM(_xlfn.XLOOKUP(R50:AF50,增益!$A:$A,增益!$H:$H,0))</f>
        <v>0</v>
      </c>
      <c r="AS50">
        <f t="shared" si="18"/>
        <v>0</v>
      </c>
      <c r="AT50">
        <f t="shared" si="19"/>
        <v>0</v>
      </c>
      <c r="AU50" s="35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-0.14</v>
      </c>
      <c r="AV50" s="35" cm="1">
        <f t="array" ref="AV50">$G$11+VLOOKUP($Q50,武学奇术!$A:$ZZ,10,FALSE)+SUM(_xlfn.XLOOKUP(R50:AF50,增益!$A:$A,增益!$J:$J,0))</f>
        <v>0.1</v>
      </c>
      <c r="AW50">
        <f t="shared" si="20"/>
        <v>0</v>
      </c>
      <c r="AX50">
        <f t="shared" si="21"/>
        <v>0</v>
      </c>
      <c r="AY50" s="35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-0.14</v>
      </c>
      <c r="AZ50" s="35" cm="1">
        <f t="array" ref="AZ50">$G$12+VLOOKUP($Q50,武学奇术!$A:$ZZ,12,FALSE)+SUM(_xlfn.XLOOKUP(R50:AF50,增益!$A:$A,增益!$L:$L,0))</f>
        <v>0</v>
      </c>
      <c r="BA50">
        <f t="shared" si="13"/>
        <v>538</v>
      </c>
      <c r="BB50">
        <f t="shared" si="14"/>
        <v>1011</v>
      </c>
      <c r="BC50" s="35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0.08</v>
      </c>
      <c r="BD50" s="35" cm="1">
        <f t="array" ref="BD50">$G$13+VLOOKUP($Q50,武学奇术!$A:$ZZ,14,FALSE)+SUM(_xlfn.XLOOKUP(R50:AF50,增益!$A:$A,增益!$N:$N,0))</f>
        <v>0.15</v>
      </c>
      <c r="BE50">
        <f t="shared" si="15"/>
        <v>0</v>
      </c>
      <c r="BF50">
        <f t="shared" si="16"/>
        <v>0</v>
      </c>
      <c r="BG50" s="35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-0.14</v>
      </c>
      <c r="BH50" s="35" cm="1">
        <f t="array" ref="BH50">$G$14+VLOOKUP($Q50,武学奇术!$A:$ZZ,16,FALSE)+SUM(_xlfn.XLOOKUP(R50:AF50,增益!$A:$A,增益!$P:$P,0))</f>
        <v>0</v>
      </c>
      <c r="BI50" s="27">
        <f>MIN(IF(VLOOKUP($Q50,武学奇术!$A:$ZZ,23,FALSE)=1,100%,$B$8),100%)</f>
        <v>0.9969</v>
      </c>
      <c r="BJ50" s="27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0.9137</v>
      </c>
      <c r="BK50" s="27" cm="1">
        <f t="array" ref="BK50">1+$B$13+VLOOKUP($Q50,武学奇术!$A:$ZZ,18,FALSE)+SUM(_xlfn.XLOOKUP(R50:AF50,增益!$A:$A,增益!$R:$R,0))</f>
        <v>1.85</v>
      </c>
      <c r="BL50" s="27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0.0895</v>
      </c>
      <c r="BM50" s="27" cm="1">
        <f t="array" ref="BM50">1+$B$14+VLOOKUP($Q50,武学奇术!$A:$ZZ,20,FALSE)+SUM(_xlfn.XLOOKUP(R50:AF50,增益!$A:$A,增益!$T:$T,0))</f>
        <v>1.35</v>
      </c>
      <c r="BN50" s="27">
        <f t="shared" si="11"/>
        <v>0.90767745</v>
      </c>
      <c r="BO50" s="27">
        <f t="shared" si="17"/>
        <v>-1.30104260698261e-17</v>
      </c>
      <c r="BP50" s="27">
        <f>IF(VLOOKUP($Q50,武学奇术!$A:$ZZ,22,FALSE)=1,0,(1-$BI50))*(1-$BL50)</f>
        <v>0.00282254999999999</v>
      </c>
      <c r="BQ50" s="27" cm="1">
        <f t="array" ref="BQ50">SUM(_xlfn.XLOOKUP(R50:AF50,增益!$A:$A,增益!$W:$W,0))+$I$5</f>
        <v>0.31</v>
      </c>
    </row>
    <row r="51" spans="1:69">
      <c r="A51" s="4" t="s">
        <v>155</v>
      </c>
      <c r="B51" s="4">
        <v>0.1</v>
      </c>
      <c r="K51" s="41">
        <f t="shared" si="12"/>
        <v>26436.2168963006</v>
      </c>
      <c r="L51" s="41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弹道",$B$21,0))*(1+$BQ51)</f>
        <v>26377.8843759621</v>
      </c>
      <c r="M51" s="41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弹道",$B$21,0))*(1+$BQ51)</f>
        <v>27607.1150070375</v>
      </c>
      <c r="N51" s="41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弹道",$B$21,0))*(1+$BQ51)</f>
        <v>14258.3158788984</v>
      </c>
      <c r="O51" s="41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弹道",$B$21,0))*(1+$BQ51)</f>
        <v>8066.91693776908</v>
      </c>
      <c r="P51" s="42">
        <v>4</v>
      </c>
      <c r="Q51" s="43" t="s">
        <v>168</v>
      </c>
      <c r="R51" s="43" t="s">
        <v>93</v>
      </c>
      <c r="S51" s="43" t="s">
        <v>158</v>
      </c>
      <c r="T51" s="43" t="s">
        <v>73</v>
      </c>
      <c r="U51" s="43" t="s">
        <v>159</v>
      </c>
      <c r="V51" s="43" t="s">
        <v>73</v>
      </c>
      <c r="W51" s="43" t="s">
        <v>73</v>
      </c>
      <c r="X51" s="43" t="s">
        <v>73</v>
      </c>
      <c r="Y51" s="43" t="s">
        <v>164</v>
      </c>
      <c r="Z51" s="43" t="s">
        <v>73</v>
      </c>
      <c r="AA51" s="43" t="s">
        <v>73</v>
      </c>
      <c r="AB51" s="43" t="s">
        <v>80</v>
      </c>
      <c r="AC51" s="43" t="s">
        <v>73</v>
      </c>
      <c r="AD51" s="43" t="s">
        <v>73</v>
      </c>
      <c r="AE51" s="43" t="s">
        <v>169</v>
      </c>
      <c r="AF51" s="43" t="s">
        <v>75</v>
      </c>
      <c r="AG51" t="str">
        <f>VLOOKUP($Q51,武学奇术!$A:$ZZ,25,FALSE)</f>
        <v>单体奇术</v>
      </c>
      <c r="AH51" s="27">
        <f>VLOOKUP($Q51,武学奇术!$A:$ZZ,26,FALSE)</f>
        <v>0.236</v>
      </c>
      <c r="AI51" s="28">
        <f>VLOOKUP($Q51,武学奇术!$A:$ZZ,27,FALSE)*(1+IF(OR($AG51=$F$4,$AG51=$F$5),$B$22,0))</f>
        <v>44</v>
      </c>
      <c r="AJ51" s="27">
        <f>VLOOKUP($Q51,武学奇术!$A:$ZZ,28,FALSE)</f>
        <v>0.354</v>
      </c>
      <c r="AK51" s="28">
        <f>VLOOKUP($Q51,武学奇术!$A:$ZZ,29,FALSE)*(1+IF(OR($AG51=$F$4,$AG51=$F$5),$B$22,0))</f>
        <v>0</v>
      </c>
      <c r="AL51" s="27" cm="1">
        <f t="array" ref="AL51">$G$3+IFERROR(VLOOKUP($AG51,$F$4:$G$7,2,FALSE),0)+VLOOKUP($Q51,武学奇术!$A:$ZZ,2,FALSE)+SUM(_xlfn.XLOOKUP($R51:$AF51,增益!$A:$A,增益!$B:$B,0))</f>
        <v>0.7515</v>
      </c>
      <c r="AM51" s="27" cm="1">
        <f t="array" ref="AM51">VLOOKUP($Q51,武学奇术!$A:$ZZ,5,FALSE)+SUM(_xlfn.XLOOKUP($R51:$AF51,增益!$A:$A,增益!$E:$E,0))</f>
        <v>0.15</v>
      </c>
      <c r="AN51" cm="1">
        <f t="array" ref="AN51">$D$10*(1+$AM51)+VLOOKUP($Q51,武学奇术!$A:$ZZ,3,FALSE)+SUM(_xlfn.XLOOKUP($R51:$AF51,增益!$A:$A,增益!$C:$C,0))-$I$2</f>
        <v>2125.755</v>
      </c>
      <c r="AO51" cm="1">
        <f t="array" ref="AO51">$E$10*(1+$AM51)+VLOOKUP($Q51,武学奇术!$A:$ZZ,4,FALSE)+SUM(_xlfn.XLOOKUP($R51:$AF51,增益!$A:$A,增益!$D:$D,0))-$I$2</f>
        <v>6122.925</v>
      </c>
      <c r="AP51" s="35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0.4675</v>
      </c>
      <c r="AQ51" s="35" cm="1">
        <f t="array" ref="AQ51">$G$10+VLOOKUP($Q51,武学奇术!$A:$ZZ,7,FALSE)+SUM(_xlfn.XLOOKUP(R51:AF51,增益!$A:$A,增益!$G:$G,0))</f>
        <v>0</v>
      </c>
      <c r="AR51" s="27" cm="1">
        <f t="array" ref="AR51">VLOOKUP($Q51,武学奇术!$A:$ZZ,8,FALSE)+SUM(_xlfn.XLOOKUP(R51:AF51,增益!$A:$A,增益!$H:$H,0))</f>
        <v>0</v>
      </c>
      <c r="AS51">
        <f t="shared" si="18"/>
        <v>0</v>
      </c>
      <c r="AT51">
        <f t="shared" si="19"/>
        <v>0</v>
      </c>
      <c r="AU51" s="35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-0.14</v>
      </c>
      <c r="AV51" s="35" cm="1">
        <f t="array" ref="AV51">$G$11+VLOOKUP($Q51,武学奇术!$A:$ZZ,10,FALSE)+SUM(_xlfn.XLOOKUP(R51:AF51,增益!$A:$A,增益!$J:$J,0))</f>
        <v>0</v>
      </c>
      <c r="AW51">
        <f t="shared" si="20"/>
        <v>0</v>
      </c>
      <c r="AX51">
        <f t="shared" si="21"/>
        <v>0</v>
      </c>
      <c r="AY51" s="35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-0.14</v>
      </c>
      <c r="AZ51" s="35" cm="1">
        <f t="array" ref="AZ51">$G$12+VLOOKUP($Q51,武学奇术!$A:$ZZ,12,FALSE)+SUM(_xlfn.XLOOKUP(R51:AF51,增益!$A:$A,增益!$L:$L,0))</f>
        <v>0</v>
      </c>
      <c r="BA51">
        <f t="shared" si="13"/>
        <v>538</v>
      </c>
      <c r="BB51">
        <f t="shared" si="14"/>
        <v>1011</v>
      </c>
      <c r="BC51" s="35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0.08</v>
      </c>
      <c r="BD51" s="35" cm="1">
        <f t="array" ref="BD51">$G$13+VLOOKUP($Q51,武学奇术!$A:$ZZ,14,FALSE)+SUM(_xlfn.XLOOKUP(R51:AF51,增益!$A:$A,增益!$N:$N,0))</f>
        <v>0.15</v>
      </c>
      <c r="BE51">
        <f t="shared" si="15"/>
        <v>0</v>
      </c>
      <c r="BF51">
        <f t="shared" si="16"/>
        <v>0</v>
      </c>
      <c r="BG51" s="35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-0.14</v>
      </c>
      <c r="BH51" s="35" cm="1">
        <f t="array" ref="BH51">$G$14+VLOOKUP($Q51,武学奇术!$A:$ZZ,16,FALSE)+SUM(_xlfn.XLOOKUP(R51:AF51,增益!$A:$A,增益!$P:$P,0))</f>
        <v>0</v>
      </c>
      <c r="BI51" s="27">
        <f>MIN(IF(VLOOKUP($Q51,武学奇术!$A:$ZZ,23,FALSE)=1,100%,$B$8),100%)</f>
        <v>0.9969</v>
      </c>
      <c r="BJ51" s="27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0.9137</v>
      </c>
      <c r="BK51" s="27" cm="1">
        <f t="array" ref="BK51">1+$B$13+VLOOKUP($Q51,武学奇术!$A:$ZZ,18,FALSE)+SUM(_xlfn.XLOOKUP(R51:AF51,增益!$A:$A,增益!$R:$R,0))</f>
        <v>1.85</v>
      </c>
      <c r="BL51" s="27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0.0895</v>
      </c>
      <c r="BM51" s="27" cm="1">
        <f t="array" ref="BM51">1+$B$14+VLOOKUP($Q51,武学奇术!$A:$ZZ,20,FALSE)+SUM(_xlfn.XLOOKUP(R51:AF51,增益!$A:$A,增益!$T:$T,0))</f>
        <v>1.35</v>
      </c>
      <c r="BN51" s="27">
        <f t="shared" si="11"/>
        <v>0.90767745</v>
      </c>
      <c r="BO51" s="27">
        <f t="shared" si="17"/>
        <v>-1.30104260698261e-17</v>
      </c>
      <c r="BP51" s="27">
        <f>IF(VLOOKUP($Q51,武学奇术!$A:$ZZ,22,FALSE)=1,0,(1-$BI51))*(1-$BL51)</f>
        <v>0.00282254999999999</v>
      </c>
      <c r="BQ51" s="27" cm="1">
        <f t="array" ref="BQ51">SUM(_xlfn.XLOOKUP(R51:AF51,增益!$A:$A,增益!$W:$W,0))+$I$5</f>
        <v>0.11</v>
      </c>
    </row>
    <row r="52" spans="1:69">
      <c r="A52" t="s">
        <v>170</v>
      </c>
      <c r="B52">
        <v>1</v>
      </c>
      <c r="D52" s="42" t="s">
        <v>157</v>
      </c>
      <c r="F52">
        <v>3</v>
      </c>
      <c r="G52" s="42" t="s">
        <v>153</v>
      </c>
      <c r="K52" s="41">
        <f t="shared" si="12"/>
        <v>171609.869176218</v>
      </c>
      <c r="L52" s="41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弹道",$B$21,0))*(1+$BQ52)</f>
        <v>171209.947109017</v>
      </c>
      <c r="M52" s="41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弹道",$B$21,0))*(1+$BQ52)</f>
        <v>179432.211074126</v>
      </c>
      <c r="N52" s="41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弹道",$B$21,0))*(1+$BQ52)</f>
        <v>92545.9173562252</v>
      </c>
      <c r="O52" s="41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弹道",$B$21,0))*(1+$BQ52)</f>
        <v>52179.0857686533</v>
      </c>
      <c r="P52" s="42">
        <v>6</v>
      </c>
      <c r="Q52" s="43" t="s">
        <v>171</v>
      </c>
      <c r="R52" s="43" t="s">
        <v>93</v>
      </c>
      <c r="S52" s="43" t="s">
        <v>158</v>
      </c>
      <c r="T52" s="43" t="s">
        <v>73</v>
      </c>
      <c r="U52" s="43" t="s">
        <v>159</v>
      </c>
      <c r="V52" s="43" t="s">
        <v>73</v>
      </c>
      <c r="W52" s="43" t="s">
        <v>73</v>
      </c>
      <c r="X52" s="43" t="s">
        <v>73</v>
      </c>
      <c r="Y52" s="43" t="s">
        <v>164</v>
      </c>
      <c r="Z52" s="43" t="s">
        <v>73</v>
      </c>
      <c r="AA52" s="43" t="s">
        <v>73</v>
      </c>
      <c r="AB52" s="43" t="s">
        <v>73</v>
      </c>
      <c r="AC52" s="43" t="s">
        <v>165</v>
      </c>
      <c r="AD52" s="43" t="s">
        <v>166</v>
      </c>
      <c r="AE52" s="43" t="s">
        <v>73</v>
      </c>
      <c r="AF52" s="43" t="s">
        <v>75</v>
      </c>
      <c r="AG52" t="str">
        <f>VLOOKUP($Q52,武学奇术!$A:$ZZ,25,FALSE)</f>
        <v>单体奇术</v>
      </c>
      <c r="AH52" s="27">
        <f>VLOOKUP($Q52,武学奇术!$A:$ZZ,26,FALSE)</f>
        <v>1.0238</v>
      </c>
      <c r="AI52" s="28">
        <f>VLOOKUP($Q52,武学奇术!$A:$ZZ,27,FALSE)*(1+IF(OR($AG52=$F$4,$AG52=$F$5),$B$22,0))</f>
        <v>189</v>
      </c>
      <c r="AJ52" s="27">
        <f>VLOOKUP($Q52,武学奇术!$A:$ZZ,28,FALSE)</f>
        <v>1.5357</v>
      </c>
      <c r="AK52" s="28">
        <f>VLOOKUP($Q52,武学奇术!$A:$ZZ,29,FALSE)*(1+IF(OR($AG52=$F$4,$AG52=$F$5),$B$22,0))</f>
        <v>0</v>
      </c>
      <c r="AL52" s="27" cm="1">
        <f t="array" ref="AL52">$G$3+IFERROR(VLOOKUP($AG52,$F$4:$G$7,2,FALSE),0)+VLOOKUP($Q52,武学奇术!$A:$ZZ,2,FALSE)+SUM(_xlfn.XLOOKUP($R52:$AF52,增益!$A:$A,增益!$B:$B,0))</f>
        <v>0.5015</v>
      </c>
      <c r="AM52" s="27" cm="1">
        <f t="array" ref="AM52">VLOOKUP($Q52,武学奇术!$A:$ZZ,5,FALSE)+SUM(_xlfn.XLOOKUP($R52:$AF52,增益!$A:$A,增益!$E:$E,0))</f>
        <v>0.15</v>
      </c>
      <c r="AN52" cm="1">
        <f t="array" ref="AN52">$D$10*(1+$AM52)+VLOOKUP($Q52,武学奇术!$A:$ZZ,3,FALSE)+SUM(_xlfn.XLOOKUP($R52:$AF52,增益!$A:$A,增益!$C:$C,0))-$I$2</f>
        <v>2125.755</v>
      </c>
      <c r="AO52" cm="1">
        <f t="array" ref="AO52">$E$10*(1+$AM52)+VLOOKUP($Q52,武学奇术!$A:$ZZ,4,FALSE)+SUM(_xlfn.XLOOKUP($R52:$AF52,增益!$A:$A,增益!$D:$D,0))-$I$2</f>
        <v>6122.925</v>
      </c>
      <c r="AP52" s="35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0.4675</v>
      </c>
      <c r="AQ52" s="35" cm="1">
        <f t="array" ref="AQ52">$G$10+VLOOKUP($Q52,武学奇术!$A:$ZZ,7,FALSE)+SUM(_xlfn.XLOOKUP(R52:AF52,增益!$A:$A,增益!$G:$G,0))</f>
        <v>0</v>
      </c>
      <c r="AR52" s="27" cm="1">
        <f t="array" ref="AR52">VLOOKUP($Q52,武学奇术!$A:$ZZ,8,FALSE)+SUM(_xlfn.XLOOKUP(R52:AF52,增益!$A:$A,增益!$H:$H,0))</f>
        <v>0</v>
      </c>
      <c r="AS52">
        <f t="shared" si="18"/>
        <v>0</v>
      </c>
      <c r="AT52">
        <f t="shared" si="19"/>
        <v>0</v>
      </c>
      <c r="AU52" s="35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-0.3</v>
      </c>
      <c r="AV52" s="35" cm="1">
        <f t="array" ref="AV52">$G$11+VLOOKUP($Q52,武学奇术!$A:$ZZ,10,FALSE)+SUM(_xlfn.XLOOKUP(R52:AF52,增益!$A:$A,增益!$J:$J,0))</f>
        <v>0.1</v>
      </c>
      <c r="AW52">
        <f t="shared" si="20"/>
        <v>0</v>
      </c>
      <c r="AX52">
        <f t="shared" si="21"/>
        <v>0</v>
      </c>
      <c r="AY52" s="35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-0.3</v>
      </c>
      <c r="AZ52" s="35" cm="1">
        <f t="array" ref="AZ52">$G$12+VLOOKUP($Q52,武学奇术!$A:$ZZ,12,FALSE)+SUM(_xlfn.XLOOKUP(R52:AF52,增益!$A:$A,增益!$L:$L,0))</f>
        <v>0</v>
      </c>
      <c r="BA52">
        <f t="shared" si="13"/>
        <v>538</v>
      </c>
      <c r="BB52">
        <f t="shared" si="14"/>
        <v>1011</v>
      </c>
      <c r="BC52" s="35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0</v>
      </c>
      <c r="BD52" s="35" cm="1">
        <f t="array" ref="BD52">$G$13+VLOOKUP($Q52,武学奇术!$A:$ZZ,14,FALSE)+SUM(_xlfn.XLOOKUP(R52:AF52,增益!$A:$A,增益!$N:$N,0))</f>
        <v>0.15</v>
      </c>
      <c r="BE52">
        <f t="shared" si="15"/>
        <v>0</v>
      </c>
      <c r="BF52">
        <f t="shared" si="16"/>
        <v>0</v>
      </c>
      <c r="BG52" s="35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-0.3</v>
      </c>
      <c r="BH52" s="35" cm="1">
        <f t="array" ref="BH52">$G$14+VLOOKUP($Q52,武学奇术!$A:$ZZ,16,FALSE)+SUM(_xlfn.XLOOKUP(R52:AF52,增益!$A:$A,增益!$P:$P,0))</f>
        <v>0</v>
      </c>
      <c r="BI52" s="27">
        <f>MIN(IF(VLOOKUP($Q52,武学奇术!$A:$ZZ,23,FALSE)=1,100%,$B$8),100%)</f>
        <v>0.9969</v>
      </c>
      <c r="BJ52" s="27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0.9137</v>
      </c>
      <c r="BK52" s="27" cm="1">
        <f t="array" ref="BK52">1+$B$13+VLOOKUP($Q52,武学奇术!$A:$ZZ,18,FALSE)+SUM(_xlfn.XLOOKUP(R52:AF52,增益!$A:$A,增益!$R:$R,0))</f>
        <v>1.85</v>
      </c>
      <c r="BL52" s="27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0.0895</v>
      </c>
      <c r="BM52" s="27" cm="1">
        <f t="array" ref="BM52">1+$B$14+VLOOKUP($Q52,武学奇术!$A:$ZZ,20,FALSE)+SUM(_xlfn.XLOOKUP(R52:AF52,增益!$A:$A,增益!$T:$T,0))</f>
        <v>1.35</v>
      </c>
      <c r="BN52" s="27">
        <f t="shared" si="11"/>
        <v>0.90767745</v>
      </c>
      <c r="BO52" s="27">
        <f t="shared" si="17"/>
        <v>-1.30104260698261e-17</v>
      </c>
      <c r="BP52" s="27">
        <f>IF(VLOOKUP($Q52,武学奇术!$A:$ZZ,22,FALSE)=1,0,(1-$BI52))*(1-$BL52)</f>
        <v>0.00282254999999999</v>
      </c>
      <c r="BQ52" s="27" cm="1">
        <f t="array" ref="BQ52">SUM(_xlfn.XLOOKUP(R52:AF52,增益!$A:$A,增益!$W:$W,0))+$I$5</f>
        <v>0.31</v>
      </c>
    </row>
    <row r="53" spans="1:69">
      <c r="A53" s="4" t="s">
        <v>127</v>
      </c>
      <c r="B53" s="4">
        <v>0.8</v>
      </c>
      <c r="D53" s="42"/>
      <c r="F53">
        <v>16</v>
      </c>
      <c r="G53" s="42"/>
      <c r="K53" s="41">
        <f t="shared" si="12"/>
        <v>73066.3158433237</v>
      </c>
      <c r="L53" s="41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弹道",$B$21,0))*(1+$BQ53)</f>
        <v>72896.0424651587</v>
      </c>
      <c r="M53" s="41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弹道",$B$21,0))*(1+$BQ53)</f>
        <v>76396.8189588601</v>
      </c>
      <c r="N53" s="41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弹道",$B$21,0))*(1+$BQ53)</f>
        <v>39403.2661973831</v>
      </c>
      <c r="O53" s="41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弹道",$B$21,0))*(1+$BQ53)</f>
        <v>22216.2961289439</v>
      </c>
      <c r="P53" s="42">
        <v>1</v>
      </c>
      <c r="Q53" s="43" t="s">
        <v>172</v>
      </c>
      <c r="R53" s="43" t="s">
        <v>93</v>
      </c>
      <c r="S53" s="43" t="s">
        <v>158</v>
      </c>
      <c r="T53" s="43" t="s">
        <v>73</v>
      </c>
      <c r="U53" s="43" t="s">
        <v>159</v>
      </c>
      <c r="V53" s="43" t="s">
        <v>73</v>
      </c>
      <c r="W53" s="43" t="s">
        <v>73</v>
      </c>
      <c r="X53" s="43" t="s">
        <v>73</v>
      </c>
      <c r="Y53" s="43" t="s">
        <v>164</v>
      </c>
      <c r="Z53" s="43" t="s">
        <v>73</v>
      </c>
      <c r="AA53" s="43" t="s">
        <v>73</v>
      </c>
      <c r="AB53" s="43" t="s">
        <v>73</v>
      </c>
      <c r="AC53" s="43" t="s">
        <v>165</v>
      </c>
      <c r="AD53" s="43" t="s">
        <v>166</v>
      </c>
      <c r="AE53" s="43" t="s">
        <v>73</v>
      </c>
      <c r="AF53" s="43" t="s">
        <v>75</v>
      </c>
      <c r="AG53" t="str">
        <f>VLOOKUP($Q53,武学奇术!$A:$ZZ,25,FALSE)</f>
        <v>单体奇术</v>
      </c>
      <c r="AH53" s="27">
        <f>VLOOKUP($Q53,武学奇术!$A:$ZZ,26,FALSE)</f>
        <v>1.7063</v>
      </c>
      <c r="AI53" s="28">
        <f>VLOOKUP($Q53,武学奇术!$A:$ZZ,27,FALSE)*(1+IF(OR($AG53=$F$4,$AG53=$F$5),$B$22,0))</f>
        <v>315</v>
      </c>
      <c r="AJ53" s="27">
        <f>VLOOKUP($Q53,武学奇术!$A:$ZZ,28,FALSE)</f>
        <v>2.55945</v>
      </c>
      <c r="AK53" s="28">
        <f>VLOOKUP($Q53,武学奇术!$A:$ZZ,29,FALSE)*(1+IF(OR($AG53=$F$4,$AG53=$F$5),$B$22,0))</f>
        <v>0</v>
      </c>
      <c r="AL53" s="27" cm="1">
        <f t="array" ref="AL53">$G$3+IFERROR(VLOOKUP($AG53,$F$4:$G$7,2,FALSE),0)+VLOOKUP($Q53,武学奇术!$A:$ZZ,2,FALSE)+SUM(_xlfn.XLOOKUP($R53:$AF53,增益!$A:$A,增益!$B:$B,0))</f>
        <v>1.3015</v>
      </c>
      <c r="AM53" s="27" cm="1">
        <f t="array" ref="AM53">VLOOKUP($Q53,武学奇术!$A:$ZZ,5,FALSE)+SUM(_xlfn.XLOOKUP($R53:$AF53,增益!$A:$A,增益!$E:$E,0))</f>
        <v>0.15</v>
      </c>
      <c r="AN53" cm="1">
        <f t="array" ref="AN53">$D$10*(1+$AM53)+VLOOKUP($Q53,武学奇术!$A:$ZZ,3,FALSE)+SUM(_xlfn.XLOOKUP($R53:$AF53,增益!$A:$A,增益!$C:$C,0))-$I$2</f>
        <v>2125.755</v>
      </c>
      <c r="AO53" cm="1">
        <f t="array" ref="AO53">$E$10*(1+$AM53)+VLOOKUP($Q53,武学奇术!$A:$ZZ,4,FALSE)+SUM(_xlfn.XLOOKUP($R53:$AF53,增益!$A:$A,增益!$D:$D,0))-$I$2</f>
        <v>6122.925</v>
      </c>
      <c r="AP53" s="35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0.4675</v>
      </c>
      <c r="AQ53" s="35" cm="1">
        <f t="array" ref="AQ53">$G$10+VLOOKUP($Q53,武学奇术!$A:$ZZ,7,FALSE)+SUM(_xlfn.XLOOKUP(R53:AF53,增益!$A:$A,增益!$G:$G,0))</f>
        <v>0</v>
      </c>
      <c r="AR53" s="27" cm="1">
        <f t="array" ref="AR53">VLOOKUP($Q53,武学奇术!$A:$ZZ,8,FALSE)+SUM(_xlfn.XLOOKUP(R53:AF53,增益!$A:$A,增益!$H:$H,0))</f>
        <v>0</v>
      </c>
      <c r="AS53">
        <f t="shared" si="18"/>
        <v>0</v>
      </c>
      <c r="AT53">
        <f t="shared" si="19"/>
        <v>0</v>
      </c>
      <c r="AU53" s="35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-0.3</v>
      </c>
      <c r="AV53" s="35" cm="1">
        <f t="array" ref="AV53">$G$11+VLOOKUP($Q53,武学奇术!$A:$ZZ,10,FALSE)+SUM(_xlfn.XLOOKUP(R53:AF53,增益!$A:$A,增益!$J:$J,0))</f>
        <v>0.1</v>
      </c>
      <c r="AW53">
        <f t="shared" si="20"/>
        <v>0</v>
      </c>
      <c r="AX53">
        <f t="shared" si="21"/>
        <v>0</v>
      </c>
      <c r="AY53" s="35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-0.3</v>
      </c>
      <c r="AZ53" s="35" cm="1">
        <f t="array" ref="AZ53">$G$12+VLOOKUP($Q53,武学奇术!$A:$ZZ,12,FALSE)+SUM(_xlfn.XLOOKUP(R53:AF53,增益!$A:$A,增益!$L:$L,0))</f>
        <v>0</v>
      </c>
      <c r="BA53">
        <f t="shared" si="13"/>
        <v>538</v>
      </c>
      <c r="BB53">
        <f t="shared" si="14"/>
        <v>1011</v>
      </c>
      <c r="BC53" s="35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0</v>
      </c>
      <c r="BD53" s="35" cm="1">
        <f t="array" ref="BD53">$G$13+VLOOKUP($Q53,武学奇术!$A:$ZZ,14,FALSE)+SUM(_xlfn.XLOOKUP(R53:AF53,增益!$A:$A,增益!$N:$N,0))</f>
        <v>0.15</v>
      </c>
      <c r="BE53">
        <f t="shared" si="15"/>
        <v>0</v>
      </c>
      <c r="BF53">
        <f t="shared" si="16"/>
        <v>0</v>
      </c>
      <c r="BG53" s="35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-0.3</v>
      </c>
      <c r="BH53" s="35" cm="1">
        <f t="array" ref="BH53">$G$14+VLOOKUP($Q53,武学奇术!$A:$ZZ,16,FALSE)+SUM(_xlfn.XLOOKUP(R53:AF53,增益!$A:$A,增益!$P:$P,0))</f>
        <v>0</v>
      </c>
      <c r="BI53" s="27">
        <f>MIN(IF(VLOOKUP($Q53,武学奇术!$A:$ZZ,23,FALSE)=1,100%,$B$8),100%)</f>
        <v>0.9969</v>
      </c>
      <c r="BJ53" s="27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0.9137</v>
      </c>
      <c r="BK53" s="27" cm="1">
        <f t="array" ref="BK53">1+$B$13+VLOOKUP($Q53,武学奇术!$A:$ZZ,18,FALSE)+SUM(_xlfn.XLOOKUP(R53:AF53,增益!$A:$A,增益!$R:$R,0))</f>
        <v>1.85</v>
      </c>
      <c r="BL53" s="27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0.0895</v>
      </c>
      <c r="BM53" s="27" cm="1">
        <f t="array" ref="BM53">1+$B$14+VLOOKUP($Q53,武学奇术!$A:$ZZ,20,FALSE)+SUM(_xlfn.XLOOKUP(R53:AF53,增益!$A:$A,增益!$T:$T,0))</f>
        <v>1.35</v>
      </c>
      <c r="BN53" s="27">
        <f t="shared" si="11"/>
        <v>0.90767745</v>
      </c>
      <c r="BO53" s="27">
        <f t="shared" si="17"/>
        <v>-1.30104260698261e-17</v>
      </c>
      <c r="BP53" s="27">
        <f>IF(VLOOKUP($Q53,武学奇术!$A:$ZZ,22,FALSE)=1,0,(1-$BI53))*(1-$BL53)</f>
        <v>0.00282254999999999</v>
      </c>
      <c r="BQ53" s="27" cm="1">
        <f t="array" ref="BQ53">SUM(_xlfn.XLOOKUP(R53:AF53,增益!$A:$A,增益!$W:$W,0))+$I$5</f>
        <v>0.31</v>
      </c>
    </row>
    <row r="54" spans="1:69">
      <c r="A54" t="s">
        <v>160</v>
      </c>
      <c r="B54">
        <v>2.5</v>
      </c>
      <c r="D54" s="42"/>
      <c r="G54" s="42"/>
      <c r="K54" s="41">
        <f t="shared" si="12"/>
        <v>314612.698276782</v>
      </c>
      <c r="L54" s="41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弹道",$B$21,0))*(1+$BQ54)</f>
        <v>313879.525865964</v>
      </c>
      <c r="M54" s="41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弹道",$B$21,0))*(1+$BQ54)</f>
        <v>328953.355477538</v>
      </c>
      <c r="N54" s="41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弹道",$B$21,0))*(1+$BQ54)</f>
        <v>169664.608576196</v>
      </c>
      <c r="O54" s="41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弹道",$B$21,0))*(1+$BQ54)</f>
        <v>95660.0649468092</v>
      </c>
      <c r="P54" s="42">
        <v>7</v>
      </c>
      <c r="Q54" s="43" t="s">
        <v>173</v>
      </c>
      <c r="R54" s="43" t="s">
        <v>93</v>
      </c>
      <c r="S54" s="43" t="s">
        <v>158</v>
      </c>
      <c r="T54" s="43" t="s">
        <v>73</v>
      </c>
      <c r="U54" s="43" t="s">
        <v>159</v>
      </c>
      <c r="V54" s="43" t="s">
        <v>73</v>
      </c>
      <c r="W54" s="43" t="s">
        <v>73</v>
      </c>
      <c r="X54" s="43" t="s">
        <v>73</v>
      </c>
      <c r="Y54" s="43" t="s">
        <v>164</v>
      </c>
      <c r="Z54" s="43" t="s">
        <v>73</v>
      </c>
      <c r="AA54" s="43" t="s">
        <v>73</v>
      </c>
      <c r="AB54" s="43" t="s">
        <v>73</v>
      </c>
      <c r="AC54" s="43" t="s">
        <v>165</v>
      </c>
      <c r="AD54" s="43" t="s">
        <v>166</v>
      </c>
      <c r="AE54" s="43" t="s">
        <v>73</v>
      </c>
      <c r="AF54" s="43" t="s">
        <v>75</v>
      </c>
      <c r="AG54" t="str">
        <f>VLOOKUP($Q54,武学奇术!$A:$ZZ,25,FALSE)</f>
        <v>单体奇术</v>
      </c>
      <c r="AH54" s="27">
        <f>VLOOKUP($Q54,武学奇术!$A:$ZZ,26,FALSE)</f>
        <v>1.6088</v>
      </c>
      <c r="AI54" s="28">
        <f>VLOOKUP($Q54,武学奇术!$A:$ZZ,27,FALSE)*(1+IF(OR($AG54=$F$4,$AG54=$F$5),$B$22,0))</f>
        <v>297</v>
      </c>
      <c r="AJ54" s="27">
        <f>VLOOKUP($Q54,武学奇术!$A:$ZZ,28,FALSE)</f>
        <v>2.4132</v>
      </c>
      <c r="AK54" s="28">
        <f>VLOOKUP($Q54,武学奇术!$A:$ZZ,29,FALSE)*(1+IF(OR($AG54=$F$4,$AG54=$F$5),$B$22,0))</f>
        <v>0</v>
      </c>
      <c r="AL54" s="27" cm="1">
        <f t="array" ref="AL54">$G$3+IFERROR(VLOOKUP($AG54,$F$4:$G$7,2,FALSE),0)+VLOOKUP($Q54,武学奇术!$A:$ZZ,2,FALSE)+SUM(_xlfn.XLOOKUP($R54:$AF54,增益!$A:$A,增益!$B:$B,0))</f>
        <v>0.5015</v>
      </c>
      <c r="AM54" s="27" cm="1">
        <f t="array" ref="AM54">VLOOKUP($Q54,武学奇术!$A:$ZZ,5,FALSE)+SUM(_xlfn.XLOOKUP($R54:$AF54,增益!$A:$A,增益!$E:$E,0))</f>
        <v>0.15</v>
      </c>
      <c r="AN54" cm="1">
        <f t="array" ref="AN54">$D$10*(1+$AM54)+VLOOKUP($Q54,武学奇术!$A:$ZZ,3,FALSE)+SUM(_xlfn.XLOOKUP($R54:$AF54,增益!$A:$A,增益!$C:$C,0))-$I$2</f>
        <v>2125.755</v>
      </c>
      <c r="AO54" cm="1">
        <f t="array" ref="AO54">$E$10*(1+$AM54)+VLOOKUP($Q54,武学奇术!$A:$ZZ,4,FALSE)+SUM(_xlfn.XLOOKUP($R54:$AF54,增益!$A:$A,增益!$D:$D,0))-$I$2</f>
        <v>6122.925</v>
      </c>
      <c r="AP54" s="35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0.4675</v>
      </c>
      <c r="AQ54" s="35" cm="1">
        <f t="array" ref="AQ54">$G$10+VLOOKUP($Q54,武学奇术!$A:$ZZ,7,FALSE)+SUM(_xlfn.XLOOKUP(R54:AF54,增益!$A:$A,增益!$G:$G,0))</f>
        <v>0</v>
      </c>
      <c r="AR54" s="27" cm="1">
        <f t="array" ref="AR54">VLOOKUP($Q54,武学奇术!$A:$ZZ,8,FALSE)+SUM(_xlfn.XLOOKUP(R54:AF54,增益!$A:$A,增益!$H:$H,0))</f>
        <v>0</v>
      </c>
      <c r="AS54">
        <f t="shared" si="18"/>
        <v>0</v>
      </c>
      <c r="AT54">
        <f t="shared" si="19"/>
        <v>0</v>
      </c>
      <c r="AU54" s="35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-0.3</v>
      </c>
      <c r="AV54" s="35" cm="1">
        <f t="array" ref="AV54">$G$11+VLOOKUP($Q54,武学奇术!$A:$ZZ,10,FALSE)+SUM(_xlfn.XLOOKUP(R54:AF54,增益!$A:$A,增益!$J:$J,0))</f>
        <v>0.1</v>
      </c>
      <c r="AW54">
        <f t="shared" si="20"/>
        <v>0</v>
      </c>
      <c r="AX54">
        <f t="shared" si="21"/>
        <v>0</v>
      </c>
      <c r="AY54" s="35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-0.3</v>
      </c>
      <c r="AZ54" s="35" cm="1">
        <f t="array" ref="AZ54">$G$12+VLOOKUP($Q54,武学奇术!$A:$ZZ,12,FALSE)+SUM(_xlfn.XLOOKUP(R54:AF54,增益!$A:$A,增益!$L:$L,0))</f>
        <v>0</v>
      </c>
      <c r="BA54">
        <f t="shared" si="13"/>
        <v>538</v>
      </c>
      <c r="BB54">
        <f t="shared" si="14"/>
        <v>1011</v>
      </c>
      <c r="BC54" s="35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0</v>
      </c>
      <c r="BD54" s="35" cm="1">
        <f t="array" ref="BD54">$G$13+VLOOKUP($Q54,武学奇术!$A:$ZZ,14,FALSE)+SUM(_xlfn.XLOOKUP(R54:AF54,增益!$A:$A,增益!$N:$N,0))</f>
        <v>0.15</v>
      </c>
      <c r="BE54">
        <f t="shared" si="15"/>
        <v>0</v>
      </c>
      <c r="BF54">
        <f t="shared" si="16"/>
        <v>0</v>
      </c>
      <c r="BG54" s="35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-0.3</v>
      </c>
      <c r="BH54" s="35" cm="1">
        <f t="array" ref="BH54">$G$14+VLOOKUP($Q54,武学奇术!$A:$ZZ,16,FALSE)+SUM(_xlfn.XLOOKUP(R54:AF54,增益!$A:$A,增益!$P:$P,0))</f>
        <v>0</v>
      </c>
      <c r="BI54" s="27">
        <f>MIN(IF(VLOOKUP($Q54,武学奇术!$A:$ZZ,23,FALSE)=1,100%,$B$8),100%)</f>
        <v>0.9969</v>
      </c>
      <c r="BJ54" s="27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0.9137</v>
      </c>
      <c r="BK54" s="27" cm="1">
        <f t="array" ref="BK54">1+$B$13+VLOOKUP($Q54,武学奇术!$A:$ZZ,18,FALSE)+SUM(_xlfn.XLOOKUP(R54:AF54,增益!$A:$A,增益!$R:$R,0))</f>
        <v>1.85</v>
      </c>
      <c r="BL54" s="27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0.0895</v>
      </c>
      <c r="BM54" s="27" cm="1">
        <f t="array" ref="BM54">1+$B$14+VLOOKUP($Q54,武学奇术!$A:$ZZ,20,FALSE)+SUM(_xlfn.XLOOKUP(R54:AF54,增益!$A:$A,增益!$T:$T,0))</f>
        <v>1.35</v>
      </c>
      <c r="BN54" s="27">
        <f t="shared" si="11"/>
        <v>0.90767745</v>
      </c>
      <c r="BO54" s="27">
        <f t="shared" si="17"/>
        <v>-1.30104260698261e-17</v>
      </c>
      <c r="BP54" s="27">
        <f>IF(VLOOKUP($Q54,武学奇术!$A:$ZZ,22,FALSE)=1,0,(1-$BI54))*(1-$BL54)</f>
        <v>0.00282254999999999</v>
      </c>
      <c r="BQ54" s="27" cm="1">
        <f t="array" ref="BQ54">SUM(_xlfn.XLOOKUP(R54:AF54,增益!$A:$A,增益!$W:$W,0))+$I$5</f>
        <v>0.31</v>
      </c>
    </row>
    <row r="55" spans="1:69">
      <c r="A55" s="4" t="s">
        <v>155</v>
      </c>
      <c r="B55" s="4">
        <v>0.1</v>
      </c>
      <c r="D55" s="42"/>
      <c r="G55" s="42"/>
      <c r="K55" s="41">
        <f t="shared" si="12"/>
        <v>57994.8729144042</v>
      </c>
      <c r="L55" s="41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弹道",$B$21,0))*(1+$BQ55)</f>
        <v>57866.3507167364</v>
      </c>
      <c r="M55" s="41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弹道",$B$21,0))*(1+$BQ55)</f>
        <v>60569.3246669474</v>
      </c>
      <c r="N55" s="41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弹道",$B$21,0))*(1+$BQ55)</f>
        <v>31279.1084955332</v>
      </c>
      <c r="O55" s="41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弹道",$B$21,0))*(1+$BQ55)</f>
        <v>17692.0505711054</v>
      </c>
      <c r="P55" s="42">
        <v>2</v>
      </c>
      <c r="Q55" s="43" t="s">
        <v>171</v>
      </c>
      <c r="R55" s="43" t="s">
        <v>93</v>
      </c>
      <c r="S55" s="43" t="s">
        <v>158</v>
      </c>
      <c r="T55" s="43" t="s">
        <v>73</v>
      </c>
      <c r="U55" s="43" t="s">
        <v>159</v>
      </c>
      <c r="V55" s="43" t="s">
        <v>73</v>
      </c>
      <c r="W55" s="43" t="s">
        <v>73</v>
      </c>
      <c r="X55" s="43" t="s">
        <v>73</v>
      </c>
      <c r="Y55" s="43" t="s">
        <v>164</v>
      </c>
      <c r="Z55" s="43" t="s">
        <v>73</v>
      </c>
      <c r="AA55" s="43" t="s">
        <v>73</v>
      </c>
      <c r="AB55" s="43" t="s">
        <v>80</v>
      </c>
      <c r="AC55" s="43" t="s">
        <v>165</v>
      </c>
      <c r="AD55" s="43" t="s">
        <v>166</v>
      </c>
      <c r="AE55" s="43" t="s">
        <v>73</v>
      </c>
      <c r="AF55" s="43" t="s">
        <v>75</v>
      </c>
      <c r="AG55" t="str">
        <f>VLOOKUP($Q55,武学奇术!$A:$ZZ,25,FALSE)</f>
        <v>单体奇术</v>
      </c>
      <c r="AH55" s="27">
        <f>VLOOKUP($Q55,武学奇术!$A:$ZZ,26,FALSE)</f>
        <v>1.0238</v>
      </c>
      <c r="AI55" s="28">
        <f>VLOOKUP($Q55,武学奇术!$A:$ZZ,27,FALSE)*(1+IF(OR($AG55=$F$4,$AG55=$F$5),$B$22,0))</f>
        <v>189</v>
      </c>
      <c r="AJ55" s="27">
        <f>VLOOKUP($Q55,武学奇术!$A:$ZZ,28,FALSE)</f>
        <v>1.5357</v>
      </c>
      <c r="AK55" s="28">
        <f>VLOOKUP($Q55,武学奇术!$A:$ZZ,29,FALSE)*(1+IF(OR($AG55=$F$4,$AG55=$F$5),$B$22,0))</f>
        <v>0</v>
      </c>
      <c r="AL55" s="27" cm="1">
        <f t="array" ref="AL55">$G$3+IFERROR(VLOOKUP($AG55,$F$4:$G$7,2,FALSE),0)+VLOOKUP($Q55,武学奇术!$A:$ZZ,2,FALSE)+SUM(_xlfn.XLOOKUP($R55:$AF55,增益!$A:$A,增益!$B:$B,0))</f>
        <v>0.5015</v>
      </c>
      <c r="AM55" s="27" cm="1">
        <f t="array" ref="AM55">VLOOKUP($Q55,武学奇术!$A:$ZZ,5,FALSE)+SUM(_xlfn.XLOOKUP($R55:$AF55,增益!$A:$A,增益!$E:$E,0))</f>
        <v>0.15</v>
      </c>
      <c r="AN55" cm="1">
        <f t="array" ref="AN55">$D$10*(1+$AM55)+VLOOKUP($Q55,武学奇术!$A:$ZZ,3,FALSE)+SUM(_xlfn.XLOOKUP($R55:$AF55,增益!$A:$A,增益!$C:$C,0))-$I$2</f>
        <v>2125.755</v>
      </c>
      <c r="AO55" cm="1">
        <f t="array" ref="AO55">$E$10*(1+$AM55)+VLOOKUP($Q55,武学奇术!$A:$ZZ,4,FALSE)+SUM(_xlfn.XLOOKUP($R55:$AF55,增益!$A:$A,增益!$D:$D,0))-$I$2</f>
        <v>6122.925</v>
      </c>
      <c r="AP55" s="35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0.4675</v>
      </c>
      <c r="AQ55" s="35" cm="1">
        <f t="array" ref="AQ55">$G$10+VLOOKUP($Q55,武学奇术!$A:$ZZ,7,FALSE)+SUM(_xlfn.XLOOKUP(R55:AF55,增益!$A:$A,增益!$G:$G,0))</f>
        <v>0</v>
      </c>
      <c r="AR55" s="27" cm="1">
        <f t="array" ref="AR55">VLOOKUP($Q55,武学奇术!$A:$ZZ,8,FALSE)+SUM(_xlfn.XLOOKUP(R55:AF55,增益!$A:$A,增益!$H:$H,0))</f>
        <v>0</v>
      </c>
      <c r="AS55">
        <f t="shared" si="18"/>
        <v>0</v>
      </c>
      <c r="AT55">
        <f t="shared" si="19"/>
        <v>0</v>
      </c>
      <c r="AU55" s="35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-0.14</v>
      </c>
      <c r="AV55" s="35" cm="1">
        <f t="array" ref="AV55">$G$11+VLOOKUP($Q55,武学奇术!$A:$ZZ,10,FALSE)+SUM(_xlfn.XLOOKUP(R55:AF55,增益!$A:$A,增益!$J:$J,0))</f>
        <v>0.1</v>
      </c>
      <c r="AW55">
        <f t="shared" si="20"/>
        <v>0</v>
      </c>
      <c r="AX55">
        <f t="shared" si="21"/>
        <v>0</v>
      </c>
      <c r="AY55" s="35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-0.14</v>
      </c>
      <c r="AZ55" s="35" cm="1">
        <f t="array" ref="AZ55">$G$12+VLOOKUP($Q55,武学奇术!$A:$ZZ,12,FALSE)+SUM(_xlfn.XLOOKUP(R55:AF55,增益!$A:$A,增益!$L:$L,0))</f>
        <v>0</v>
      </c>
      <c r="BA55">
        <f t="shared" si="13"/>
        <v>538</v>
      </c>
      <c r="BB55">
        <f t="shared" si="14"/>
        <v>1011</v>
      </c>
      <c r="BC55" s="35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0.08</v>
      </c>
      <c r="BD55" s="35" cm="1">
        <f t="array" ref="BD55">$G$13+VLOOKUP($Q55,武学奇术!$A:$ZZ,14,FALSE)+SUM(_xlfn.XLOOKUP(R55:AF55,增益!$A:$A,增益!$N:$N,0))</f>
        <v>0.15</v>
      </c>
      <c r="BE55">
        <f t="shared" si="15"/>
        <v>0</v>
      </c>
      <c r="BF55">
        <f t="shared" si="16"/>
        <v>0</v>
      </c>
      <c r="BG55" s="35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-0.14</v>
      </c>
      <c r="BH55" s="35" cm="1">
        <f t="array" ref="BH55">$G$14+VLOOKUP($Q55,武学奇术!$A:$ZZ,16,FALSE)+SUM(_xlfn.XLOOKUP(R55:AF55,增益!$A:$A,增益!$P:$P,0))</f>
        <v>0</v>
      </c>
      <c r="BI55" s="27">
        <f>MIN(IF(VLOOKUP($Q55,武学奇术!$A:$ZZ,23,FALSE)=1,100%,$B$8),100%)</f>
        <v>0.9969</v>
      </c>
      <c r="BJ55" s="27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0.9137</v>
      </c>
      <c r="BK55" s="27" cm="1">
        <f t="array" ref="BK55">1+$B$13+VLOOKUP($Q55,武学奇术!$A:$ZZ,18,FALSE)+SUM(_xlfn.XLOOKUP(R55:AF55,增益!$A:$A,增益!$R:$R,0))</f>
        <v>1.85</v>
      </c>
      <c r="BL55" s="27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0.0895</v>
      </c>
      <c r="BM55" s="27" cm="1">
        <f t="array" ref="BM55">1+$B$14+VLOOKUP($Q55,武学奇术!$A:$ZZ,20,FALSE)+SUM(_xlfn.XLOOKUP(R55:AF55,增益!$A:$A,增益!$T:$T,0))</f>
        <v>1.35</v>
      </c>
      <c r="BN55" s="27">
        <f t="shared" si="11"/>
        <v>0.90767745</v>
      </c>
      <c r="BO55" s="27">
        <f t="shared" si="17"/>
        <v>-1.30104260698261e-17</v>
      </c>
      <c r="BP55" s="27">
        <f>IF(VLOOKUP($Q55,武学奇术!$A:$ZZ,22,FALSE)=1,0,(1-$BI55))*(1-$BL55)</f>
        <v>0.00282254999999999</v>
      </c>
      <c r="BQ55" s="27" cm="1">
        <f t="array" ref="BQ55">SUM(_xlfn.XLOOKUP(R55:AF55,增益!$A:$A,增益!$W:$W,0))+$I$5</f>
        <v>0.31</v>
      </c>
    </row>
    <row r="56" spans="1:69">
      <c r="A56" s="4" t="s">
        <v>152</v>
      </c>
      <c r="B56" s="4">
        <v>1.3</v>
      </c>
      <c r="E56" s="30">
        <v>0.3</v>
      </c>
      <c r="G56" s="42"/>
      <c r="K56" s="41">
        <f t="shared" si="12"/>
        <v>74077.4120359847</v>
      </c>
      <c r="L56" s="41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弹道",$B$21,0))*(1+$BQ56)</f>
        <v>73913.250782444</v>
      </c>
      <c r="M56" s="41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弹道",$B$21,0))*(1+$BQ56)</f>
        <v>77365.7696484746</v>
      </c>
      <c r="N56" s="41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弹道",$B$21,0))*(1+$BQ56)</f>
        <v>39953.1085310508</v>
      </c>
      <c r="O56" s="41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弹道",$B$21,0))*(1+$BQ56)</f>
        <v>22598.2395447131</v>
      </c>
      <c r="P56" s="42">
        <v>1</v>
      </c>
      <c r="Q56" s="43" t="s">
        <v>172</v>
      </c>
      <c r="R56" s="43" t="s">
        <v>93</v>
      </c>
      <c r="S56" s="43" t="s">
        <v>158</v>
      </c>
      <c r="T56" s="43" t="s">
        <v>73</v>
      </c>
      <c r="U56" s="43" t="s">
        <v>159</v>
      </c>
      <c r="V56" s="43" t="s">
        <v>73</v>
      </c>
      <c r="W56" s="43" t="s">
        <v>73</v>
      </c>
      <c r="X56" s="43" t="s">
        <v>73</v>
      </c>
      <c r="Y56" s="43" t="s">
        <v>164</v>
      </c>
      <c r="Z56" s="43" t="s">
        <v>73</v>
      </c>
      <c r="AA56" s="43" t="s">
        <v>73</v>
      </c>
      <c r="AB56" s="43" t="s">
        <v>80</v>
      </c>
      <c r="AC56" s="43" t="s">
        <v>165</v>
      </c>
      <c r="AD56" s="43" t="s">
        <v>166</v>
      </c>
      <c r="AE56" s="43" t="s">
        <v>73</v>
      </c>
      <c r="AF56" s="43" t="s">
        <v>75</v>
      </c>
      <c r="AG56" t="str">
        <f>VLOOKUP($Q56,武学奇术!$A:$ZZ,25,FALSE)</f>
        <v>单体奇术</v>
      </c>
      <c r="AH56" s="27">
        <f>VLOOKUP($Q56,武学奇术!$A:$ZZ,26,FALSE)</f>
        <v>1.7063</v>
      </c>
      <c r="AI56" s="28">
        <f>VLOOKUP($Q56,武学奇术!$A:$ZZ,27,FALSE)*(1+IF(OR($AG56=$F$4,$AG56=$F$5),$B$22,0))</f>
        <v>315</v>
      </c>
      <c r="AJ56" s="27">
        <f>VLOOKUP($Q56,武学奇术!$A:$ZZ,28,FALSE)</f>
        <v>2.55945</v>
      </c>
      <c r="AK56" s="28">
        <f>VLOOKUP($Q56,武学奇术!$A:$ZZ,29,FALSE)*(1+IF(OR($AG56=$F$4,$AG56=$F$5),$B$22,0))</f>
        <v>0</v>
      </c>
      <c r="AL56" s="27" cm="1">
        <f t="array" ref="AL56">$G$3+IFERROR(VLOOKUP($AG56,$F$4:$G$7,2,FALSE),0)+VLOOKUP($Q56,武学奇术!$A:$ZZ,2,FALSE)+SUM(_xlfn.XLOOKUP($R56:$AF56,增益!$A:$A,增益!$B:$B,0))</f>
        <v>1.3015</v>
      </c>
      <c r="AM56" s="27" cm="1">
        <f t="array" ref="AM56">VLOOKUP($Q56,武学奇术!$A:$ZZ,5,FALSE)+SUM(_xlfn.XLOOKUP($R56:$AF56,增益!$A:$A,增益!$E:$E,0))</f>
        <v>0.15</v>
      </c>
      <c r="AN56" cm="1">
        <f t="array" ref="AN56">$D$10*(1+$AM56)+VLOOKUP($Q56,武学奇术!$A:$ZZ,3,FALSE)+SUM(_xlfn.XLOOKUP($R56:$AF56,增益!$A:$A,增益!$C:$C,0))-$I$2</f>
        <v>2125.755</v>
      </c>
      <c r="AO56" cm="1">
        <f t="array" ref="AO56">$E$10*(1+$AM56)+VLOOKUP($Q56,武学奇术!$A:$ZZ,4,FALSE)+SUM(_xlfn.XLOOKUP($R56:$AF56,增益!$A:$A,增益!$D:$D,0))-$I$2</f>
        <v>6122.925</v>
      </c>
      <c r="AP56" s="35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0.4675</v>
      </c>
      <c r="AQ56" s="35" cm="1">
        <f t="array" ref="AQ56">$G$10+VLOOKUP($Q56,武学奇术!$A:$ZZ,7,FALSE)+SUM(_xlfn.XLOOKUP(R56:AF56,增益!$A:$A,增益!$G:$G,0))</f>
        <v>0</v>
      </c>
      <c r="AR56" s="27" cm="1">
        <f t="array" ref="AR56">VLOOKUP($Q56,武学奇术!$A:$ZZ,8,FALSE)+SUM(_xlfn.XLOOKUP(R56:AF56,增益!$A:$A,增益!$H:$H,0))</f>
        <v>0</v>
      </c>
      <c r="AS56">
        <f t="shared" si="18"/>
        <v>0</v>
      </c>
      <c r="AT56">
        <f t="shared" si="19"/>
        <v>0</v>
      </c>
      <c r="AU56" s="35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-0.14</v>
      </c>
      <c r="AV56" s="35" cm="1">
        <f t="array" ref="AV56">$G$11+VLOOKUP($Q56,武学奇术!$A:$ZZ,10,FALSE)+SUM(_xlfn.XLOOKUP(R56:AF56,增益!$A:$A,增益!$J:$J,0))</f>
        <v>0.1</v>
      </c>
      <c r="AW56">
        <f t="shared" si="20"/>
        <v>0</v>
      </c>
      <c r="AX56">
        <f t="shared" si="21"/>
        <v>0</v>
      </c>
      <c r="AY56" s="35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-0.14</v>
      </c>
      <c r="AZ56" s="35" cm="1">
        <f t="array" ref="AZ56">$G$12+VLOOKUP($Q56,武学奇术!$A:$ZZ,12,FALSE)+SUM(_xlfn.XLOOKUP(R56:AF56,增益!$A:$A,增益!$L:$L,0))</f>
        <v>0</v>
      </c>
      <c r="BA56">
        <f t="shared" si="13"/>
        <v>538</v>
      </c>
      <c r="BB56">
        <f t="shared" si="14"/>
        <v>1011</v>
      </c>
      <c r="BC56" s="35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0.08</v>
      </c>
      <c r="BD56" s="35" cm="1">
        <f t="array" ref="BD56">$G$13+VLOOKUP($Q56,武学奇术!$A:$ZZ,14,FALSE)+SUM(_xlfn.XLOOKUP(R56:AF56,增益!$A:$A,增益!$N:$N,0))</f>
        <v>0.15</v>
      </c>
      <c r="BE56">
        <f t="shared" si="15"/>
        <v>0</v>
      </c>
      <c r="BF56">
        <f t="shared" si="16"/>
        <v>0</v>
      </c>
      <c r="BG56" s="35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-0.14</v>
      </c>
      <c r="BH56" s="35" cm="1">
        <f t="array" ref="BH56">$G$14+VLOOKUP($Q56,武学奇术!$A:$ZZ,16,FALSE)+SUM(_xlfn.XLOOKUP(R56:AF56,增益!$A:$A,增益!$P:$P,0))</f>
        <v>0</v>
      </c>
      <c r="BI56" s="27">
        <f>MIN(IF(VLOOKUP($Q56,武学奇术!$A:$ZZ,23,FALSE)=1,100%,$B$8),100%)</f>
        <v>0.9969</v>
      </c>
      <c r="BJ56" s="27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0.9137</v>
      </c>
      <c r="BK56" s="27" cm="1">
        <f t="array" ref="BK56">1+$B$13+VLOOKUP($Q56,武学奇术!$A:$ZZ,18,FALSE)+SUM(_xlfn.XLOOKUP(R56:AF56,增益!$A:$A,增益!$R:$R,0))</f>
        <v>1.85</v>
      </c>
      <c r="BL56" s="27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0.0895</v>
      </c>
      <c r="BM56" s="27" cm="1">
        <f t="array" ref="BM56">1+$B$14+VLOOKUP($Q56,武学奇术!$A:$ZZ,20,FALSE)+SUM(_xlfn.XLOOKUP(R56:AF56,增益!$A:$A,增益!$T:$T,0))</f>
        <v>1.35</v>
      </c>
      <c r="BN56" s="27">
        <f t="shared" si="11"/>
        <v>0.90767745</v>
      </c>
      <c r="BO56" s="27">
        <f t="shared" si="17"/>
        <v>-1.30104260698261e-17</v>
      </c>
      <c r="BP56" s="27">
        <f>IF(VLOOKUP($Q56,武学奇术!$A:$ZZ,22,FALSE)=1,0,(1-$BI56))*(1-$BL56)</f>
        <v>0.00282254999999999</v>
      </c>
      <c r="BQ56" s="27" cm="1">
        <f t="array" ref="BQ56">SUM(_xlfn.XLOOKUP(R56:AF56,增益!$A:$A,增益!$W:$W,0))+$I$5</f>
        <v>0.31</v>
      </c>
    </row>
    <row r="57" spans="1:69">
      <c r="A57" s="4" t="s">
        <v>107</v>
      </c>
      <c r="B57" s="94">
        <v>1.16</v>
      </c>
      <c r="D57" s="4"/>
      <c r="E57" s="4"/>
      <c r="G57" s="42"/>
      <c r="K57" s="41">
        <f t="shared" si="12"/>
        <v>136699.855070625</v>
      </c>
      <c r="L57" s="41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弹道",$B$21,0))*(1+$BQ57)</f>
        <v>136396.917423976</v>
      </c>
      <c r="M57" s="41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弹道",$B$21,0))*(1+$BQ57)</f>
        <v>142768.077177666</v>
      </c>
      <c r="N57" s="41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弹道",$B$21,0))*(1+$BQ57)</f>
        <v>73728.0634724195</v>
      </c>
      <c r="O57" s="41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弹道",$B$21,0))*(1+$BQ57)</f>
        <v>41701.9957021234</v>
      </c>
      <c r="P57" s="42">
        <v>3</v>
      </c>
      <c r="Q57" s="43" t="s">
        <v>173</v>
      </c>
      <c r="R57" s="43" t="s">
        <v>93</v>
      </c>
      <c r="S57" s="43" t="s">
        <v>158</v>
      </c>
      <c r="T57" s="43" t="s">
        <v>73</v>
      </c>
      <c r="U57" s="43" t="s">
        <v>159</v>
      </c>
      <c r="V57" s="43" t="s">
        <v>73</v>
      </c>
      <c r="W57" s="43" t="s">
        <v>73</v>
      </c>
      <c r="X57" s="43" t="s">
        <v>73</v>
      </c>
      <c r="Y57" s="43" t="s">
        <v>164</v>
      </c>
      <c r="Z57" s="43" t="s">
        <v>73</v>
      </c>
      <c r="AA57" s="43" t="s">
        <v>73</v>
      </c>
      <c r="AB57" s="43" t="s">
        <v>80</v>
      </c>
      <c r="AC57" s="43" t="s">
        <v>165</v>
      </c>
      <c r="AD57" s="43" t="s">
        <v>166</v>
      </c>
      <c r="AE57" s="43" t="s">
        <v>73</v>
      </c>
      <c r="AF57" s="43" t="s">
        <v>75</v>
      </c>
      <c r="AG57" t="str">
        <f>VLOOKUP($Q57,武学奇术!$A:$ZZ,25,FALSE)</f>
        <v>单体奇术</v>
      </c>
      <c r="AH57" s="27">
        <f>VLOOKUP($Q57,武学奇术!$A:$ZZ,26,FALSE)</f>
        <v>1.6088</v>
      </c>
      <c r="AI57" s="28">
        <f>VLOOKUP($Q57,武学奇术!$A:$ZZ,27,FALSE)*(1+IF(OR($AG57=$F$4,$AG57=$F$5),$B$22,0))</f>
        <v>297</v>
      </c>
      <c r="AJ57" s="27">
        <f>VLOOKUP($Q57,武学奇术!$A:$ZZ,28,FALSE)</f>
        <v>2.4132</v>
      </c>
      <c r="AK57" s="28">
        <f>VLOOKUP($Q57,武学奇术!$A:$ZZ,29,FALSE)*(1+IF(OR($AG57=$F$4,$AG57=$F$5),$B$22,0))</f>
        <v>0</v>
      </c>
      <c r="AL57" s="27" cm="1">
        <f t="array" ref="AL57">$G$3+IFERROR(VLOOKUP($AG57,$F$4:$G$7,2,FALSE),0)+VLOOKUP($Q57,武学奇术!$A:$ZZ,2,FALSE)+SUM(_xlfn.XLOOKUP($R57:$AF57,增益!$A:$A,增益!$B:$B,0))</f>
        <v>0.5015</v>
      </c>
      <c r="AM57" s="27" cm="1">
        <f t="array" ref="AM57">VLOOKUP($Q57,武学奇术!$A:$ZZ,5,FALSE)+SUM(_xlfn.XLOOKUP($R57:$AF57,增益!$A:$A,增益!$E:$E,0))</f>
        <v>0.15</v>
      </c>
      <c r="AN57" cm="1">
        <f t="array" ref="AN57">$D$10*(1+$AM57)+VLOOKUP($Q57,武学奇术!$A:$ZZ,3,FALSE)+SUM(_xlfn.XLOOKUP($R57:$AF57,增益!$A:$A,增益!$C:$C,0))-$I$2</f>
        <v>2125.755</v>
      </c>
      <c r="AO57" cm="1">
        <f t="array" ref="AO57">$E$10*(1+$AM57)+VLOOKUP($Q57,武学奇术!$A:$ZZ,4,FALSE)+SUM(_xlfn.XLOOKUP($R57:$AF57,增益!$A:$A,增益!$D:$D,0))-$I$2</f>
        <v>6122.925</v>
      </c>
      <c r="AP57" s="35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0.4675</v>
      </c>
      <c r="AQ57" s="35" cm="1">
        <f t="array" ref="AQ57">$G$10+VLOOKUP($Q57,武学奇术!$A:$ZZ,7,FALSE)+SUM(_xlfn.XLOOKUP(R57:AF57,增益!$A:$A,增益!$G:$G,0))</f>
        <v>0</v>
      </c>
      <c r="AR57" s="27" cm="1">
        <f t="array" ref="AR57">VLOOKUP($Q57,武学奇术!$A:$ZZ,8,FALSE)+SUM(_xlfn.XLOOKUP(R57:AF57,增益!$A:$A,增益!$H:$H,0))</f>
        <v>0</v>
      </c>
      <c r="AS57">
        <f t="shared" si="18"/>
        <v>0</v>
      </c>
      <c r="AT57">
        <f t="shared" si="19"/>
        <v>0</v>
      </c>
      <c r="AU57" s="35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-0.14</v>
      </c>
      <c r="AV57" s="35" cm="1">
        <f t="array" ref="AV57">$G$11+VLOOKUP($Q57,武学奇术!$A:$ZZ,10,FALSE)+SUM(_xlfn.XLOOKUP(R57:AF57,增益!$A:$A,增益!$J:$J,0))</f>
        <v>0.1</v>
      </c>
      <c r="AW57">
        <f t="shared" si="20"/>
        <v>0</v>
      </c>
      <c r="AX57">
        <f t="shared" si="21"/>
        <v>0</v>
      </c>
      <c r="AY57" s="35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-0.14</v>
      </c>
      <c r="AZ57" s="35" cm="1">
        <f t="array" ref="AZ57">$G$12+VLOOKUP($Q57,武学奇术!$A:$ZZ,12,FALSE)+SUM(_xlfn.XLOOKUP(R57:AF57,增益!$A:$A,增益!$L:$L,0))</f>
        <v>0</v>
      </c>
      <c r="BA57">
        <f t="shared" si="13"/>
        <v>538</v>
      </c>
      <c r="BB57">
        <f t="shared" si="14"/>
        <v>1011</v>
      </c>
      <c r="BC57" s="35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0.08</v>
      </c>
      <c r="BD57" s="35" cm="1">
        <f t="array" ref="BD57">$G$13+VLOOKUP($Q57,武学奇术!$A:$ZZ,14,FALSE)+SUM(_xlfn.XLOOKUP(R57:AF57,增益!$A:$A,增益!$N:$N,0))</f>
        <v>0.15</v>
      </c>
      <c r="BE57">
        <f t="shared" si="15"/>
        <v>0</v>
      </c>
      <c r="BF57">
        <f t="shared" si="16"/>
        <v>0</v>
      </c>
      <c r="BG57" s="35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-0.14</v>
      </c>
      <c r="BH57" s="35" cm="1">
        <f t="array" ref="BH57">$G$14+VLOOKUP($Q57,武学奇术!$A:$ZZ,16,FALSE)+SUM(_xlfn.XLOOKUP(R57:AF57,增益!$A:$A,增益!$P:$P,0))</f>
        <v>0</v>
      </c>
      <c r="BI57" s="27">
        <f>MIN(IF(VLOOKUP($Q57,武学奇术!$A:$ZZ,23,FALSE)=1,100%,$B$8),100%)</f>
        <v>0.9969</v>
      </c>
      <c r="BJ57" s="27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0.9137</v>
      </c>
      <c r="BK57" s="27" cm="1">
        <f t="array" ref="BK57">1+$B$13+VLOOKUP($Q57,武学奇术!$A:$ZZ,18,FALSE)+SUM(_xlfn.XLOOKUP(R57:AF57,增益!$A:$A,增益!$R:$R,0))</f>
        <v>1.85</v>
      </c>
      <c r="BL57" s="27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0.0895</v>
      </c>
      <c r="BM57" s="27" cm="1">
        <f t="array" ref="BM57">1+$B$14+VLOOKUP($Q57,武学奇术!$A:$ZZ,20,FALSE)+SUM(_xlfn.XLOOKUP(R57:AF57,增益!$A:$A,增益!$T:$T,0))</f>
        <v>1.35</v>
      </c>
      <c r="BN57" s="27">
        <f t="shared" si="11"/>
        <v>0.90767745</v>
      </c>
      <c r="BO57" s="27">
        <f t="shared" si="17"/>
        <v>-1.30104260698261e-17</v>
      </c>
      <c r="BP57" s="27">
        <f>IF(VLOOKUP($Q57,武学奇术!$A:$ZZ,22,FALSE)=1,0,(1-$BI57))*(1-$BL57)</f>
        <v>0.00282254999999999</v>
      </c>
      <c r="BQ57" s="27" cm="1">
        <f t="array" ref="BQ57">SUM(_xlfn.XLOOKUP(R57:AF57,增益!$A:$A,增益!$W:$W,0))+$I$5</f>
        <v>0.31</v>
      </c>
    </row>
    <row r="58" spans="1:69">
      <c r="A58" s="4" t="s">
        <v>155</v>
      </c>
      <c r="B58" s="4">
        <v>0.1</v>
      </c>
      <c r="G58" s="42"/>
      <c r="K58" s="41">
        <f t="shared" si="12"/>
        <v>201341.355119563</v>
      </c>
      <c r="L58" s="41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弹道",$B$21,0))*(1+$BQ58)</f>
        <v>200896.290771717</v>
      </c>
      <c r="M58" s="41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弹道",$B$21,0))*(1+$BQ58)</f>
        <v>210267.357409031</v>
      </c>
      <c r="N58" s="41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弹道",$B$21,0))*(1+$BQ58)</f>
        <v>108592.589606334</v>
      </c>
      <c r="O58" s="41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弹道",$B$21,0))*(1+$BQ58)</f>
        <v>61431.5811319039</v>
      </c>
      <c r="P58" s="42">
        <v>1</v>
      </c>
      <c r="Q58" s="43" t="s">
        <v>161</v>
      </c>
      <c r="R58" s="43" t="s">
        <v>93</v>
      </c>
      <c r="S58" s="43" t="s">
        <v>158</v>
      </c>
      <c r="T58" s="43" t="s">
        <v>73</v>
      </c>
      <c r="U58" s="43" t="s">
        <v>159</v>
      </c>
      <c r="V58" s="43" t="s">
        <v>73</v>
      </c>
      <c r="W58" s="43" t="s">
        <v>73</v>
      </c>
      <c r="X58" s="43" t="s">
        <v>73</v>
      </c>
      <c r="Y58" s="43" t="s">
        <v>164</v>
      </c>
      <c r="Z58" s="43" t="s">
        <v>73</v>
      </c>
      <c r="AA58" s="43" t="s">
        <v>73</v>
      </c>
      <c r="AB58" s="43" t="s">
        <v>80</v>
      </c>
      <c r="AC58" s="43" t="s">
        <v>165</v>
      </c>
      <c r="AD58" s="43" t="s">
        <v>166</v>
      </c>
      <c r="AE58" s="43" t="s">
        <v>73</v>
      </c>
      <c r="AF58" s="43" t="s">
        <v>75</v>
      </c>
      <c r="AG58" t="str">
        <f>VLOOKUP($Q58,武学奇术!$A:$ZZ,25,FALSE)</f>
        <v>单体奇术</v>
      </c>
      <c r="AH58" s="27">
        <f>VLOOKUP($Q58,武学奇术!$A:$ZZ,26,FALSE)</f>
        <v>7.1074</v>
      </c>
      <c r="AI58" s="28">
        <f>VLOOKUP($Q58,武学奇术!$A:$ZZ,27,FALSE)*(1+IF(OR($AG58=$F$4,$AG58=$F$5),$B$22,0))</f>
        <v>1320</v>
      </c>
      <c r="AJ58" s="27">
        <f>VLOOKUP($Q58,武学奇术!$A:$ZZ,28,FALSE)</f>
        <v>10.6596</v>
      </c>
      <c r="AK58" s="28">
        <f>VLOOKUP($Q58,武学奇术!$A:$ZZ,29,FALSE)*(1+IF(OR($AG58=$F$4,$AG58=$F$5),$B$22,0))</f>
        <v>0</v>
      </c>
      <c r="AL58" s="27" cm="1">
        <f t="array" ref="AL58">$G$3+IFERROR(VLOOKUP($AG58,$F$4:$G$7,2,FALSE),0)+VLOOKUP($Q58,武学奇术!$A:$ZZ,2,FALSE)+SUM(_xlfn.XLOOKUP($R58:$AF58,增益!$A:$A,增益!$B:$B,0))</f>
        <v>0.5015</v>
      </c>
      <c r="AM58" s="27" cm="1">
        <f t="array" ref="AM58">VLOOKUP($Q58,武学奇术!$A:$ZZ,5,FALSE)+SUM(_xlfn.XLOOKUP($R58:$AF58,增益!$A:$A,增益!$E:$E,0))</f>
        <v>0.15</v>
      </c>
      <c r="AN58" cm="1">
        <f t="array" ref="AN58">$D$10*(1+$AM58)+VLOOKUP($Q58,武学奇术!$A:$ZZ,3,FALSE)+SUM(_xlfn.XLOOKUP($R58:$AF58,增益!$A:$A,增益!$C:$C,0))-$I$2</f>
        <v>2125.755</v>
      </c>
      <c r="AO58" cm="1">
        <f t="array" ref="AO58">$E$10*(1+$AM58)+VLOOKUP($Q58,武学奇术!$A:$ZZ,4,FALSE)+SUM(_xlfn.XLOOKUP($R58:$AF58,增益!$A:$A,增益!$D:$D,0))-$I$2</f>
        <v>6122.925</v>
      </c>
      <c r="AP58" s="35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0.4675</v>
      </c>
      <c r="AQ58" s="35" cm="1">
        <f t="array" ref="AQ58">$G$10+VLOOKUP($Q58,武学奇术!$A:$ZZ,7,FALSE)+SUM(_xlfn.XLOOKUP(R58:AF58,增益!$A:$A,增益!$G:$G,0))</f>
        <v>0</v>
      </c>
      <c r="AR58" s="27" cm="1">
        <f t="array" ref="AR58">VLOOKUP($Q58,武学奇术!$A:$ZZ,8,FALSE)+SUM(_xlfn.XLOOKUP(R58:AF58,增益!$A:$A,增益!$H:$H,0))</f>
        <v>0</v>
      </c>
      <c r="AS58">
        <f t="shared" si="18"/>
        <v>0</v>
      </c>
      <c r="AT58">
        <f t="shared" si="19"/>
        <v>0</v>
      </c>
      <c r="AU58" s="35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-0.14</v>
      </c>
      <c r="AV58" s="35" cm="1">
        <f t="array" ref="AV58">$G$11+VLOOKUP($Q58,武学奇术!$A:$ZZ,10,FALSE)+SUM(_xlfn.XLOOKUP(R58:AF58,增益!$A:$A,增益!$J:$J,0))</f>
        <v>0.1</v>
      </c>
      <c r="AW58">
        <f t="shared" si="20"/>
        <v>0</v>
      </c>
      <c r="AX58">
        <f t="shared" si="21"/>
        <v>0</v>
      </c>
      <c r="AY58" s="35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-0.14</v>
      </c>
      <c r="AZ58" s="35" cm="1">
        <f t="array" ref="AZ58">$G$12+VLOOKUP($Q58,武学奇术!$A:$ZZ,12,FALSE)+SUM(_xlfn.XLOOKUP(R58:AF58,增益!$A:$A,增益!$L:$L,0))</f>
        <v>0</v>
      </c>
      <c r="BA58">
        <f t="shared" si="13"/>
        <v>538</v>
      </c>
      <c r="BB58">
        <f t="shared" si="14"/>
        <v>1011</v>
      </c>
      <c r="BC58" s="35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0.08</v>
      </c>
      <c r="BD58" s="35" cm="1">
        <f t="array" ref="BD58">$G$13+VLOOKUP($Q58,武学奇术!$A:$ZZ,14,FALSE)+SUM(_xlfn.XLOOKUP(R58:AF58,增益!$A:$A,增益!$N:$N,0))</f>
        <v>0.15</v>
      </c>
      <c r="BE58">
        <f t="shared" si="15"/>
        <v>0</v>
      </c>
      <c r="BF58">
        <f t="shared" si="16"/>
        <v>0</v>
      </c>
      <c r="BG58" s="35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-0.14</v>
      </c>
      <c r="BH58" s="35" cm="1">
        <f t="array" ref="BH58">$G$14+VLOOKUP($Q58,武学奇术!$A:$ZZ,16,FALSE)+SUM(_xlfn.XLOOKUP(R58:AF58,增益!$A:$A,增益!$P:$P,0))</f>
        <v>0</v>
      </c>
      <c r="BI58" s="27">
        <f>MIN(IF(VLOOKUP($Q58,武学奇术!$A:$ZZ,23,FALSE)=1,100%,$B$8),100%)</f>
        <v>0.9969</v>
      </c>
      <c r="BJ58" s="27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0.9137</v>
      </c>
      <c r="BK58" s="27" cm="1">
        <f t="array" ref="BK58">1+$B$13+VLOOKUP($Q58,武学奇术!$A:$ZZ,18,FALSE)+SUM(_xlfn.XLOOKUP(R58:AF58,增益!$A:$A,增益!$R:$R,0))</f>
        <v>1.85</v>
      </c>
      <c r="BL58" s="27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0.0895</v>
      </c>
      <c r="BM58" s="27" cm="1">
        <f t="array" ref="BM58">1+$B$14+VLOOKUP($Q58,武学奇术!$A:$ZZ,20,FALSE)+SUM(_xlfn.XLOOKUP(R58:AF58,增益!$A:$A,增益!$T:$T,0))</f>
        <v>1.35</v>
      </c>
      <c r="BN58" s="27">
        <f t="shared" si="11"/>
        <v>0.90767745</v>
      </c>
      <c r="BO58" s="27">
        <f t="shared" si="17"/>
        <v>-1.30104260698261e-17</v>
      </c>
      <c r="BP58" s="27">
        <f>IF(VLOOKUP($Q58,武学奇术!$A:$ZZ,22,FALSE)=1,0,(1-$BI58))*(1-$BL58)</f>
        <v>0.00282254999999999</v>
      </c>
      <c r="BQ58" s="27" cm="1">
        <f t="array" ref="BQ58">SUM(_xlfn.XLOOKUP(R58:AF58,增益!$A:$A,增益!$W:$W,0))+$I$5</f>
        <v>0.31</v>
      </c>
    </row>
    <row r="59" spans="1:69">
      <c r="A59" s="4" t="s">
        <v>174</v>
      </c>
      <c r="B59" s="94">
        <v>2</v>
      </c>
      <c r="E59" s="4"/>
      <c r="F59" s="4">
        <v>-15</v>
      </c>
      <c r="G59" s="42"/>
      <c r="K59" s="41">
        <f t="shared" si="12"/>
        <v>87935.7353267505</v>
      </c>
      <c r="L59" s="41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弹道",$B$21,0))*(1+$BQ59)</f>
        <v>89277.0004940253</v>
      </c>
      <c r="M59" s="41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弹道",$B$21,0))*(1+$BQ59)</f>
        <v>76341.7273850732</v>
      </c>
      <c r="N59" s="41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弹道",$B$21,0))*(1+$BQ59)</f>
        <v>40396.8328027264</v>
      </c>
      <c r="O59" s="41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弹道",$B$21,0))*(1+$BQ59)</f>
        <v>24244.237912806</v>
      </c>
      <c r="P59" s="42">
        <v>1</v>
      </c>
      <c r="Q59" s="43" t="s">
        <v>97</v>
      </c>
      <c r="R59" s="43" t="s">
        <v>93</v>
      </c>
      <c r="S59" s="43" t="s">
        <v>158</v>
      </c>
      <c r="T59" s="43" t="s">
        <v>102</v>
      </c>
      <c r="U59" s="43" t="s">
        <v>159</v>
      </c>
      <c r="V59" s="43" t="s">
        <v>73</v>
      </c>
      <c r="W59" s="43" t="s">
        <v>73</v>
      </c>
      <c r="X59" s="43" t="s">
        <v>73</v>
      </c>
      <c r="Y59" s="43" t="s">
        <v>164</v>
      </c>
      <c r="Z59" s="43" t="s">
        <v>73</v>
      </c>
      <c r="AA59" s="43" t="s">
        <v>73</v>
      </c>
      <c r="AB59" s="43" t="s">
        <v>80</v>
      </c>
      <c r="AC59" s="43" t="s">
        <v>73</v>
      </c>
      <c r="AD59" s="43" t="s">
        <v>73</v>
      </c>
      <c r="AE59" s="43" t="s">
        <v>73</v>
      </c>
      <c r="AF59" s="43" t="s">
        <v>75</v>
      </c>
      <c r="AG59" t="str">
        <f>VLOOKUP($Q59,武学奇术!$A:$ZZ,25,FALSE)</f>
        <v>伞</v>
      </c>
      <c r="AH59" s="27">
        <f>VLOOKUP($Q59,武学奇术!$A:$ZZ,26,FALSE)</f>
        <v>2.3397</v>
      </c>
      <c r="AI59" s="28">
        <f>VLOOKUP($Q59,武学奇术!$A:$ZZ,27,FALSE)*(1+IF(OR($AG59=$F$4,$AG59=$F$5),$B$22,0))</f>
        <v>907.2</v>
      </c>
      <c r="AJ59" s="27">
        <f>VLOOKUP($Q59,武学奇术!$A:$ZZ,28,FALSE)</f>
        <v>3.5095</v>
      </c>
      <c r="AK59" s="28">
        <f>VLOOKUP($Q59,武学奇术!$A:$ZZ,29,FALSE)*(1+IF(OR($AG59=$F$4,$AG59=$F$5),$B$22,0))</f>
        <v>494.2</v>
      </c>
      <c r="AL59" s="27" cm="1">
        <f t="array" ref="AL59">$G$3+IFERROR(VLOOKUP($AG59,$F$4:$G$7,2,FALSE),0)+VLOOKUP($Q59,武学奇术!$A:$ZZ,2,FALSE)+SUM(_xlfn.XLOOKUP($R59:$AF59,增益!$A:$A,增益!$B:$B,0))</f>
        <v>0.6541</v>
      </c>
      <c r="AM59" s="27" cm="1">
        <f t="array" ref="AM59">VLOOKUP($Q59,武学奇术!$A:$ZZ,5,FALSE)+SUM(_xlfn.XLOOKUP($R59:$AF59,增益!$A:$A,增益!$E:$E,0))</f>
        <v>0.15</v>
      </c>
      <c r="AN59" cm="1">
        <f t="array" ref="AN59">$D$10*(1+$AM59)+VLOOKUP($Q59,武学奇术!$A:$ZZ,3,FALSE)+SUM(_xlfn.XLOOKUP($R59:$AF59,增益!$A:$A,增益!$C:$C,0))-$I$2</f>
        <v>2125.755</v>
      </c>
      <c r="AO59" cm="1">
        <f t="array" ref="AO59">$E$10*(1+$AM59)+VLOOKUP($Q59,武学奇术!$A:$ZZ,4,FALSE)+SUM(_xlfn.XLOOKUP($R59:$AF59,增益!$A:$A,增益!$D:$D,0))-$I$2</f>
        <v>6122.925</v>
      </c>
      <c r="AP59" s="35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0.4925</v>
      </c>
      <c r="AQ59" s="35" cm="1">
        <f t="array" ref="AQ59">$G$10+VLOOKUP($Q59,武学奇术!$A:$ZZ,7,FALSE)+SUM(_xlfn.XLOOKUP(R59:AF59,增益!$A:$A,增益!$G:$G,0))</f>
        <v>0.1</v>
      </c>
      <c r="AR59" s="27" cm="1">
        <f t="array" ref="AR59">VLOOKUP($Q59,武学奇术!$A:$ZZ,8,FALSE)+SUM(_xlfn.XLOOKUP(R59:AF59,增益!$A:$A,增益!$H:$H,0))</f>
        <v>0</v>
      </c>
      <c r="AS59">
        <f t="shared" si="18"/>
        <v>0</v>
      </c>
      <c r="AT59">
        <f t="shared" si="19"/>
        <v>0</v>
      </c>
      <c r="AU59" s="35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-0.14</v>
      </c>
      <c r="AV59" s="35" cm="1">
        <f t="array" ref="AV59">$G$11+VLOOKUP($Q59,武学奇术!$A:$ZZ,10,FALSE)+SUM(_xlfn.XLOOKUP(R59:AF59,增益!$A:$A,增益!$J:$J,0))</f>
        <v>0</v>
      </c>
      <c r="AW59">
        <f t="shared" si="20"/>
        <v>0</v>
      </c>
      <c r="AX59">
        <f t="shared" si="21"/>
        <v>0</v>
      </c>
      <c r="AY59" s="35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-0.14</v>
      </c>
      <c r="AZ59" s="35" cm="1">
        <f t="array" ref="AZ59">$G$12+VLOOKUP($Q59,武学奇术!$A:$ZZ,12,FALSE)+SUM(_xlfn.XLOOKUP(R59:AF59,增益!$A:$A,增益!$L:$L,0))</f>
        <v>0</v>
      </c>
      <c r="BA59">
        <f t="shared" si="13"/>
        <v>538</v>
      </c>
      <c r="BB59">
        <f t="shared" si="14"/>
        <v>1011</v>
      </c>
      <c r="BC59" s="35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0.08</v>
      </c>
      <c r="BD59" s="35" cm="1">
        <f t="array" ref="BD59">$G$13+VLOOKUP($Q59,武学奇术!$A:$ZZ,14,FALSE)+SUM(_xlfn.XLOOKUP(R59:AF59,增益!$A:$A,增益!$N:$N,0))</f>
        <v>0.25</v>
      </c>
      <c r="BE59">
        <f t="shared" si="15"/>
        <v>0</v>
      </c>
      <c r="BF59">
        <f t="shared" si="16"/>
        <v>0</v>
      </c>
      <c r="BG59" s="35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-0.14</v>
      </c>
      <c r="BH59" s="35" cm="1">
        <f t="array" ref="BH59">$G$14+VLOOKUP($Q59,武学奇术!$A:$ZZ,16,FALSE)+SUM(_xlfn.XLOOKUP(R59:AF59,增益!$A:$A,增益!$P:$P,0))</f>
        <v>0</v>
      </c>
      <c r="BI59" s="27">
        <f>MIN(IF(VLOOKUP($Q59,武学奇术!$A:$ZZ,23,FALSE)=1,100%,$B$8),100%)</f>
        <v>0.9969</v>
      </c>
      <c r="BJ59" s="27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0.9137</v>
      </c>
      <c r="BK59" s="27" cm="1">
        <f t="array" ref="BK59">1+$B$13+VLOOKUP($Q59,武学奇术!$A:$ZZ,18,FALSE)+SUM(_xlfn.XLOOKUP(R59:AF59,增益!$A:$A,增益!$R:$R,0))</f>
        <v>2.21</v>
      </c>
      <c r="BL59" s="27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0.0895</v>
      </c>
      <c r="BM59" s="27" cm="1">
        <f t="array" ref="BM59">1+$B$14+VLOOKUP($Q59,武学奇术!$A:$ZZ,20,FALSE)+SUM(_xlfn.XLOOKUP(R59:AF59,增益!$A:$A,增益!$T:$T,0))</f>
        <v>1.35</v>
      </c>
      <c r="BN59" s="27">
        <f t="shared" si="11"/>
        <v>0.90767745</v>
      </c>
      <c r="BO59" s="27">
        <f t="shared" si="17"/>
        <v>-1.30104260698261e-17</v>
      </c>
      <c r="BP59" s="27">
        <f>IF(VLOOKUP($Q59,武学奇术!$A:$ZZ,22,FALSE)=1,0,(1-$BI59))*(1-$BL59)</f>
        <v>0.00282254999999999</v>
      </c>
      <c r="BQ59" s="27" cm="1">
        <f t="array" ref="BQ59">SUM(_xlfn.XLOOKUP(R59:AF59,增益!$A:$A,增益!$W:$W,0))+$I$5</f>
        <v>0.11</v>
      </c>
    </row>
    <row r="60" spans="1:69">
      <c r="A60" s="4" t="s">
        <v>147</v>
      </c>
      <c r="B60" s="4">
        <v>1</v>
      </c>
      <c r="D60" s="4"/>
      <c r="E60" s="94"/>
      <c r="G60" s="42"/>
      <c r="K60" s="41">
        <f t="shared" si="12"/>
        <v>45484.7694637897</v>
      </c>
      <c r="L60" s="41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弹道",$B$21,0))*(1+$BQ60)</f>
        <v>45485.5291154871</v>
      </c>
      <c r="M60" s="41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弹道",$B$21,0))*(1+$BQ60)</f>
        <v>46445.7352636279</v>
      </c>
      <c r="N60" s="41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弹道",$B$21,0))*(1+$BQ60)</f>
        <v>24586.7724948579</v>
      </c>
      <c r="O60" s="41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弹道",$B$21,0))*(1+$BQ60)</f>
        <v>14769.2966462877</v>
      </c>
      <c r="P60" s="42">
        <v>1</v>
      </c>
      <c r="Q60" s="43" t="s">
        <v>104</v>
      </c>
      <c r="R60" s="43" t="s">
        <v>93</v>
      </c>
      <c r="S60" s="43" t="s">
        <v>158</v>
      </c>
      <c r="T60" s="43" t="s">
        <v>73</v>
      </c>
      <c r="U60" s="43" t="s">
        <v>159</v>
      </c>
      <c r="V60" s="43" t="s">
        <v>73</v>
      </c>
      <c r="W60" s="43" t="s">
        <v>73</v>
      </c>
      <c r="X60" s="43" t="s">
        <v>73</v>
      </c>
      <c r="Y60" s="43" t="s">
        <v>164</v>
      </c>
      <c r="Z60" s="43" t="s">
        <v>73</v>
      </c>
      <c r="AA60" s="43" t="s">
        <v>73</v>
      </c>
      <c r="AB60" s="43" t="s">
        <v>80</v>
      </c>
      <c r="AC60" s="43" t="s">
        <v>73</v>
      </c>
      <c r="AD60" s="43" t="s">
        <v>73</v>
      </c>
      <c r="AE60" s="43" t="s">
        <v>73</v>
      </c>
      <c r="AF60" s="43" t="s">
        <v>75</v>
      </c>
      <c r="AG60" t="str">
        <f>VLOOKUP($Q60,武学奇术!$A:$ZZ,25,FALSE)</f>
        <v>伞</v>
      </c>
      <c r="AH60" s="27">
        <f>VLOOKUP($Q60,武学奇术!$A:$ZZ,26,FALSE)</f>
        <v>1.7001</v>
      </c>
      <c r="AI60" s="28">
        <f>VLOOKUP($Q60,武学奇术!$A:$ZZ,27,FALSE)*(1+IF(OR($AG60=$F$4,$AG60=$F$5),$B$22,0))</f>
        <v>659.4</v>
      </c>
      <c r="AJ60" s="27">
        <f>VLOOKUP($Q60,武学奇术!$A:$ZZ,28,FALSE)</f>
        <v>2.5502</v>
      </c>
      <c r="AK60" s="28">
        <f>VLOOKUP($Q60,武学奇术!$A:$ZZ,29,FALSE)*(1+IF(OR($AG60=$F$4,$AG60=$F$5),$B$22,0))</f>
        <v>358.4</v>
      </c>
      <c r="AL60" s="27" cm="1">
        <f t="array" ref="AL60">$G$3+IFERROR(VLOOKUP($AG60,$F$4:$G$7,2,FALSE),0)+VLOOKUP($Q60,武学奇术!$A:$ZZ,2,FALSE)+SUM(_xlfn.XLOOKUP($R60:$AF60,增益!$A:$A,增益!$B:$B,0))</f>
        <v>0.4041</v>
      </c>
      <c r="AM60" s="27" cm="1">
        <f t="array" ref="AM60">VLOOKUP($Q60,武学奇术!$A:$ZZ,5,FALSE)+SUM(_xlfn.XLOOKUP($R60:$AF60,增益!$A:$A,增益!$E:$E,0))</f>
        <v>0.15</v>
      </c>
      <c r="AN60" cm="1">
        <f t="array" ref="AN60">$D$10*(1+$AM60)+VLOOKUP($Q60,武学奇术!$A:$ZZ,3,FALSE)+SUM(_xlfn.XLOOKUP($R60:$AF60,增益!$A:$A,增益!$C:$C,0))-$I$2</f>
        <v>2125.755</v>
      </c>
      <c r="AO60" cm="1">
        <f t="array" ref="AO60">$E$10*(1+$AM60)+VLOOKUP($Q60,武学奇术!$A:$ZZ,4,FALSE)+SUM(_xlfn.XLOOKUP($R60:$AF60,增益!$A:$A,增益!$D:$D,0))-$I$2</f>
        <v>6122.925</v>
      </c>
      <c r="AP60" s="35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0.4675</v>
      </c>
      <c r="AQ60" s="35" cm="1">
        <f t="array" ref="AQ60">$G$10+VLOOKUP($Q60,武学奇术!$A:$ZZ,7,FALSE)+SUM(_xlfn.XLOOKUP(R60:AF60,增益!$A:$A,增益!$G:$G,0))</f>
        <v>0.1</v>
      </c>
      <c r="AR60" s="27" cm="1">
        <f t="array" ref="AR60">VLOOKUP($Q60,武学奇术!$A:$ZZ,8,FALSE)+SUM(_xlfn.XLOOKUP(R60:AF60,增益!$A:$A,增益!$H:$H,0))</f>
        <v>0</v>
      </c>
      <c r="AS60">
        <f t="shared" si="18"/>
        <v>0</v>
      </c>
      <c r="AT60">
        <f t="shared" si="19"/>
        <v>0</v>
      </c>
      <c r="AU60" s="35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-0.14</v>
      </c>
      <c r="AV60" s="35" cm="1">
        <f t="array" ref="AV60">$G$11+VLOOKUP($Q60,武学奇术!$A:$ZZ,10,FALSE)+SUM(_xlfn.XLOOKUP(R60:AF60,增益!$A:$A,增益!$J:$J,0))</f>
        <v>0</v>
      </c>
      <c r="AW60">
        <f t="shared" si="20"/>
        <v>0</v>
      </c>
      <c r="AX60">
        <f t="shared" si="21"/>
        <v>0</v>
      </c>
      <c r="AY60" s="35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-0.14</v>
      </c>
      <c r="AZ60" s="35" cm="1">
        <f t="array" ref="AZ60">$G$12+VLOOKUP($Q60,武学奇术!$A:$ZZ,12,FALSE)+SUM(_xlfn.XLOOKUP(R60:AF60,增益!$A:$A,增益!$L:$L,0))</f>
        <v>0</v>
      </c>
      <c r="BA60">
        <f t="shared" si="13"/>
        <v>538</v>
      </c>
      <c r="BB60">
        <f t="shared" si="14"/>
        <v>1011</v>
      </c>
      <c r="BC60" s="35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0.08</v>
      </c>
      <c r="BD60" s="35" cm="1">
        <f t="array" ref="BD60">$G$13+VLOOKUP($Q60,武学奇术!$A:$ZZ,14,FALSE)+SUM(_xlfn.XLOOKUP(R60:AF60,增益!$A:$A,增益!$N:$N,0))</f>
        <v>0.25</v>
      </c>
      <c r="BE60">
        <f t="shared" si="15"/>
        <v>0</v>
      </c>
      <c r="BF60">
        <f t="shared" si="16"/>
        <v>0</v>
      </c>
      <c r="BG60" s="35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-0.14</v>
      </c>
      <c r="BH60" s="35" cm="1">
        <f t="array" ref="BH60">$G$14+VLOOKUP($Q60,武学奇术!$A:$ZZ,16,FALSE)+SUM(_xlfn.XLOOKUP(R60:AF60,增益!$A:$A,增益!$P:$P,0))</f>
        <v>0</v>
      </c>
      <c r="BI60" s="27">
        <f>MIN(IF(VLOOKUP($Q60,武学奇术!$A:$ZZ,23,FALSE)=1,100%,$B$8),100%)</f>
        <v>0.9969</v>
      </c>
      <c r="BJ60" s="27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0.9137</v>
      </c>
      <c r="BK60" s="27" cm="1">
        <f t="array" ref="BK60">1+$B$13+VLOOKUP($Q60,武学奇术!$A:$ZZ,18,FALSE)+SUM(_xlfn.XLOOKUP(R60:AF60,增益!$A:$A,增益!$R:$R,0))</f>
        <v>1.85</v>
      </c>
      <c r="BL60" s="27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0.0895</v>
      </c>
      <c r="BM60" s="27" cm="1">
        <f t="array" ref="BM60">1+$B$14+VLOOKUP($Q60,武学奇术!$A:$ZZ,20,FALSE)+SUM(_xlfn.XLOOKUP(R60:AF60,增益!$A:$A,增益!$T:$T,0))</f>
        <v>1.35</v>
      </c>
      <c r="BN60" s="27">
        <f t="shared" ref="BN60:BN123" si="22">MIN((1-BL60)*BI60,BI60*BJ60)</f>
        <v>0.90767745</v>
      </c>
      <c r="BO60" s="27">
        <f t="shared" si="17"/>
        <v>-1.30104260698261e-17</v>
      </c>
      <c r="BP60" s="27">
        <f>IF(VLOOKUP($Q60,武学奇术!$A:$ZZ,22,FALSE)=1,0,(1-$BI60))*(1-$BL60)</f>
        <v>0.00282254999999999</v>
      </c>
      <c r="BQ60" s="27" cm="1">
        <f t="array" ref="BQ60">SUM(_xlfn.XLOOKUP(R60:AF60,增益!$A:$A,增益!$W:$W,0))+$I$5</f>
        <v>0.11</v>
      </c>
    </row>
    <row r="61" spans="1:69">
      <c r="A61" s="4" t="s">
        <v>155</v>
      </c>
      <c r="B61" s="4">
        <v>0.1</v>
      </c>
      <c r="G61" s="42"/>
      <c r="K61" s="41">
        <f t="shared" ref="K61:K73" si="23">($L61*$BN61+$M61*$BL61+$N61*$BO61+$O61*$BP61)</f>
        <v>19058.8431696822</v>
      </c>
      <c r="L61" s="41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弹道",$B$21,0))*(1+$BQ61)</f>
        <v>19058.8613579603</v>
      </c>
      <c r="M61" s="41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弹道",$B$21,0))*(1+$BQ61)</f>
        <v>19464.6301221077</v>
      </c>
      <c r="N61" s="41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弹道",$B$21,0))*(1+$BQ61)</f>
        <v>10302.0872205191</v>
      </c>
      <c r="O61" s="41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弹道",$B$21,0))*(1+$BQ61)</f>
        <v>6185.92990614358</v>
      </c>
      <c r="P61" s="42">
        <v>1</v>
      </c>
      <c r="Q61" s="43" t="s">
        <v>107</v>
      </c>
      <c r="R61" s="43" t="s">
        <v>93</v>
      </c>
      <c r="S61" s="43" t="s">
        <v>158</v>
      </c>
      <c r="T61" s="43" t="s">
        <v>73</v>
      </c>
      <c r="U61" s="43" t="s">
        <v>159</v>
      </c>
      <c r="V61" s="43" t="s">
        <v>73</v>
      </c>
      <c r="W61" s="43" t="s">
        <v>73</v>
      </c>
      <c r="X61" s="43" t="s">
        <v>73</v>
      </c>
      <c r="Y61" s="43" t="s">
        <v>164</v>
      </c>
      <c r="Z61" s="43" t="s">
        <v>73</v>
      </c>
      <c r="AA61" s="43" t="s">
        <v>73</v>
      </c>
      <c r="AB61" s="43" t="s">
        <v>80</v>
      </c>
      <c r="AC61" s="43" t="s">
        <v>73</v>
      </c>
      <c r="AD61" s="43" t="s">
        <v>73</v>
      </c>
      <c r="AE61" s="43" t="s">
        <v>73</v>
      </c>
      <c r="AF61" s="43" t="s">
        <v>75</v>
      </c>
      <c r="AG61" t="str">
        <f>VLOOKUP($Q61,武学奇术!$A:$ZZ,25,FALSE)</f>
        <v>伞</v>
      </c>
      <c r="AH61" s="27">
        <f>VLOOKUP($Q61,武学奇术!$A:$ZZ,26,FALSE)</f>
        <v>0.54</v>
      </c>
      <c r="AI61" s="28">
        <f>VLOOKUP($Q61,武学奇术!$A:$ZZ,27,FALSE)*(1+IF(OR($AG61=$F$4,$AG61=$F$5),$B$22,0))</f>
        <v>207.2</v>
      </c>
      <c r="AJ61" s="27">
        <f>VLOOKUP($Q61,武学奇术!$A:$ZZ,28,FALSE)</f>
        <v>0.81</v>
      </c>
      <c r="AK61" s="28">
        <f>VLOOKUP($Q61,武学奇术!$A:$ZZ,29,FALSE)*(1+IF(OR($AG61=$F$4,$AG61=$F$5),$B$22,0))</f>
        <v>114.1</v>
      </c>
      <c r="AL61" s="27" cm="1">
        <f t="array" ref="AL61">$G$3+IFERROR(VLOOKUP($AG61,$F$4:$G$7,2,FALSE),0)+VLOOKUP($Q61,武学奇术!$A:$ZZ,2,FALSE)+SUM(_xlfn.XLOOKUP($R61:$AF61,增益!$A:$A,增益!$B:$B,0))</f>
        <v>0.4041</v>
      </c>
      <c r="AM61" s="27" cm="1">
        <f t="array" ref="AM61">VLOOKUP($Q61,武学奇术!$A:$ZZ,5,FALSE)+SUM(_xlfn.XLOOKUP($R61:$AF61,增益!$A:$A,增益!$E:$E,0))</f>
        <v>0.15</v>
      </c>
      <c r="AN61" cm="1">
        <f t="array" ref="AN61">$D$10*(1+$AM61)+VLOOKUP($Q61,武学奇术!$A:$ZZ,3,FALSE)+SUM(_xlfn.XLOOKUP($R61:$AF61,增益!$A:$A,增益!$C:$C,0))-$I$2</f>
        <v>2125.755</v>
      </c>
      <c r="AO61" cm="1">
        <f t="array" ref="AO61">$E$10*(1+$AM61)+VLOOKUP($Q61,武学奇术!$A:$ZZ,4,FALSE)+SUM(_xlfn.XLOOKUP($R61:$AF61,增益!$A:$A,增益!$D:$D,0))-$I$2</f>
        <v>6122.925</v>
      </c>
      <c r="AP61" s="35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0.4675</v>
      </c>
      <c r="AQ61" s="35" cm="1">
        <f t="array" ref="AQ61">$G$10+VLOOKUP($Q61,武学奇术!$A:$ZZ,7,FALSE)+SUM(_xlfn.XLOOKUP(R61:AF61,增益!$A:$A,增益!$G:$G,0))</f>
        <v>0.1</v>
      </c>
      <c r="AR61" s="27" cm="1">
        <f t="array" ref="AR61">VLOOKUP($Q61,武学奇术!$A:$ZZ,8,FALSE)+SUM(_xlfn.XLOOKUP(R61:AF61,增益!$A:$A,增益!$H:$H,0))</f>
        <v>0</v>
      </c>
      <c r="AS61">
        <f t="shared" ref="AS61:AS73" si="24">$D$11*(1+$AR61)</f>
        <v>0</v>
      </c>
      <c r="AT61">
        <f t="shared" ref="AT61:AT73" si="25">$E$11*(1+$AR61)</f>
        <v>0</v>
      </c>
      <c r="AU61" s="35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-0.14</v>
      </c>
      <c r="AV61" s="35" cm="1">
        <f t="array" ref="AV61">$G$11+VLOOKUP($Q61,武学奇术!$A:$ZZ,10,FALSE)+SUM(_xlfn.XLOOKUP(R61:AF61,增益!$A:$A,增益!$J:$J,0))</f>
        <v>0</v>
      </c>
      <c r="AW61">
        <f t="shared" ref="AW61:AW73" si="26">$D$12*(1+$AR61)</f>
        <v>0</v>
      </c>
      <c r="AX61">
        <f t="shared" ref="AX61:AX73" si="27">$E$12*(1+$AR61)</f>
        <v>0</v>
      </c>
      <c r="AY61" s="35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-0.14</v>
      </c>
      <c r="AZ61" s="35" cm="1">
        <f t="array" ref="AZ61">$G$12+VLOOKUP($Q61,武学奇术!$A:$ZZ,12,FALSE)+SUM(_xlfn.XLOOKUP(R61:AF61,增益!$A:$A,增益!$L:$L,0))</f>
        <v>0</v>
      </c>
      <c r="BA61">
        <f t="shared" ref="BA61:BA73" si="28">$D$13*(1+$AR61)</f>
        <v>538</v>
      </c>
      <c r="BB61">
        <f t="shared" ref="BB61:BB73" si="29">$E$13*(1+$AR61)</f>
        <v>1011</v>
      </c>
      <c r="BC61" s="35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0.08</v>
      </c>
      <c r="BD61" s="35" cm="1">
        <f t="array" ref="BD61">$G$13+VLOOKUP($Q61,武学奇术!$A:$ZZ,14,FALSE)+SUM(_xlfn.XLOOKUP(R61:AF61,增益!$A:$A,增益!$N:$N,0))</f>
        <v>0.25</v>
      </c>
      <c r="BE61">
        <f t="shared" ref="BE61:BE73" si="30">$D$14*(1+$AR61)</f>
        <v>0</v>
      </c>
      <c r="BF61">
        <f t="shared" ref="BF61:BF73" si="31">$E$14*(1+$AR61)</f>
        <v>0</v>
      </c>
      <c r="BG61" s="35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-0.14</v>
      </c>
      <c r="BH61" s="35" cm="1">
        <f t="array" ref="BH61">$G$14+VLOOKUP($Q61,武学奇术!$A:$ZZ,16,FALSE)+SUM(_xlfn.XLOOKUP(R61:AF61,增益!$A:$A,增益!$P:$P,0))</f>
        <v>0</v>
      </c>
      <c r="BI61" s="27">
        <f>MIN(IF(VLOOKUP($Q61,武学奇术!$A:$ZZ,23,FALSE)=1,100%,$B$8),100%)</f>
        <v>0.9969</v>
      </c>
      <c r="BJ61" s="27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0.9137</v>
      </c>
      <c r="BK61" s="27" cm="1">
        <f t="array" ref="BK61">1+$B$13+VLOOKUP($Q61,武学奇术!$A:$ZZ,18,FALSE)+SUM(_xlfn.XLOOKUP(R61:AF61,增益!$A:$A,增益!$R:$R,0))</f>
        <v>1.85</v>
      </c>
      <c r="BL61" s="27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0.0895</v>
      </c>
      <c r="BM61" s="27" cm="1">
        <f t="array" ref="BM61">1+$B$14+VLOOKUP($Q61,武学奇术!$A:$ZZ,20,FALSE)+SUM(_xlfn.XLOOKUP(R61:AF61,增益!$A:$A,增益!$T:$T,0))</f>
        <v>1.35</v>
      </c>
      <c r="BN61" s="27">
        <f t="shared" si="22"/>
        <v>0.90767745</v>
      </c>
      <c r="BO61" s="27">
        <f t="shared" si="17"/>
        <v>-1.30104260698261e-17</v>
      </c>
      <c r="BP61" s="27">
        <f>IF(VLOOKUP($Q61,武学奇术!$A:$ZZ,22,FALSE)=1,0,(1-$BI61))*(1-$BL61)</f>
        <v>0.00282254999999999</v>
      </c>
      <c r="BQ61" s="27" cm="1">
        <f t="array" ref="BQ61">SUM(_xlfn.XLOOKUP(R61:AF61,增益!$A:$A,增益!$W:$W,0))+$I$5</f>
        <v>0.11</v>
      </c>
    </row>
    <row r="62" spans="1:69">
      <c r="A62" s="4" t="s">
        <v>152</v>
      </c>
      <c r="B62" s="94">
        <v>1.3</v>
      </c>
      <c r="G62" s="42"/>
      <c r="K62" s="41">
        <f t="shared" si="23"/>
        <v>21238.3791453824</v>
      </c>
      <c r="L62" s="41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弹道",$B$21,0))*(1+$BQ62)</f>
        <v>21239.3828529729</v>
      </c>
      <c r="M62" s="41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弹道",$B$21,0))*(1+$BQ62)</f>
        <v>21680.3245927449</v>
      </c>
      <c r="N62" s="41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弹道",$B$21,0))*(1+$BQ62)</f>
        <v>11480.7474880935</v>
      </c>
      <c r="O62" s="41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弹道",$B$21,0))*(1+$BQ62)</f>
        <v>6901.99527785742</v>
      </c>
      <c r="P62" s="42">
        <v>1</v>
      </c>
      <c r="Q62" s="43" t="s">
        <v>130</v>
      </c>
      <c r="R62" s="43" t="s">
        <v>93</v>
      </c>
      <c r="S62" s="43" t="s">
        <v>158</v>
      </c>
      <c r="T62" s="43" t="s">
        <v>73</v>
      </c>
      <c r="U62" s="43" t="s">
        <v>159</v>
      </c>
      <c r="V62" s="43" t="s">
        <v>73</v>
      </c>
      <c r="W62" s="43" t="s">
        <v>73</v>
      </c>
      <c r="X62" s="43" t="s">
        <v>73</v>
      </c>
      <c r="Y62" s="43" t="s">
        <v>164</v>
      </c>
      <c r="Z62" s="43" t="s">
        <v>73</v>
      </c>
      <c r="AA62" s="43" t="s">
        <v>73</v>
      </c>
      <c r="AB62" s="43" t="s">
        <v>80</v>
      </c>
      <c r="AC62" s="43" t="s">
        <v>73</v>
      </c>
      <c r="AD62" s="43" t="s">
        <v>73</v>
      </c>
      <c r="AE62" s="43" t="s">
        <v>73</v>
      </c>
      <c r="AF62" s="43" t="s">
        <v>75</v>
      </c>
      <c r="AG62" t="str">
        <f>VLOOKUP($Q62,武学奇术!$A:$ZZ,25,FALSE)</f>
        <v>扇</v>
      </c>
      <c r="AH62" s="27">
        <f>VLOOKUP($Q62,武学奇术!$A:$ZZ,26,FALSE)</f>
        <v>0.9271</v>
      </c>
      <c r="AI62" s="28">
        <f>VLOOKUP($Q62,武学奇术!$A:$ZZ,27,FALSE)*(1+IF(OR($AG62=$F$4,$AG62=$F$5),$B$22,0))</f>
        <v>359.8</v>
      </c>
      <c r="AJ62" s="27">
        <f>VLOOKUP($Q62,武学奇术!$A:$ZZ,28,FALSE)</f>
        <v>1.3907</v>
      </c>
      <c r="AK62" s="28">
        <f>VLOOKUP($Q62,武学奇术!$A:$ZZ,29,FALSE)*(1+IF(OR($AG62=$F$4,$AG62=$F$5),$B$22,0))</f>
        <v>196</v>
      </c>
      <c r="AL62" s="27" cm="1">
        <f t="array" ref="AL62">$G$3+IFERROR(VLOOKUP($AG62,$F$4:$G$7,2,FALSE),0)+VLOOKUP($Q62,武学奇术!$A:$ZZ,2,FALSE)+SUM(_xlfn.XLOOKUP($R62:$AF62,增益!$A:$A,增益!$B:$B,0))</f>
        <v>0.3189</v>
      </c>
      <c r="AM62" s="27" cm="1">
        <f t="array" ref="AM62">VLOOKUP($Q62,武学奇术!$A:$ZZ,5,FALSE)+SUM(_xlfn.XLOOKUP($R62:$AF62,增益!$A:$A,增益!$E:$E,0))</f>
        <v>0.15</v>
      </c>
      <c r="AN62" cm="1">
        <f t="array" ref="AN62">$D$10*(1+$AM62)+VLOOKUP($Q62,武学奇术!$A:$ZZ,3,FALSE)+SUM(_xlfn.XLOOKUP($R62:$AF62,增益!$A:$A,增益!$C:$C,0))-$I$2</f>
        <v>2125.755</v>
      </c>
      <c r="AO62" cm="1">
        <f t="array" ref="AO62">$E$10*(1+$AM62)+VLOOKUP($Q62,武学奇术!$A:$ZZ,4,FALSE)+SUM(_xlfn.XLOOKUP($R62:$AF62,增益!$A:$A,增益!$D:$D,0))-$I$2</f>
        <v>6122.925</v>
      </c>
      <c r="AP62" s="35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0.4675</v>
      </c>
      <c r="AQ62" s="35" cm="1">
        <f t="array" ref="AQ62">$G$10+VLOOKUP($Q62,武学奇术!$A:$ZZ,7,FALSE)+SUM(_xlfn.XLOOKUP(R62:AF62,增益!$A:$A,增益!$G:$G,0))</f>
        <v>0</v>
      </c>
      <c r="AR62" s="27" cm="1">
        <f t="array" ref="AR62">VLOOKUP($Q62,武学奇术!$A:$ZZ,8,FALSE)+SUM(_xlfn.XLOOKUP(R62:AF62,增益!$A:$A,增益!$H:$H,0))</f>
        <v>0</v>
      </c>
      <c r="AS62">
        <f t="shared" si="24"/>
        <v>0</v>
      </c>
      <c r="AT62">
        <f t="shared" si="25"/>
        <v>0</v>
      </c>
      <c r="AU62" s="35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-0.14</v>
      </c>
      <c r="AV62" s="35" cm="1">
        <f t="array" ref="AV62">$G$11+VLOOKUP($Q62,武学奇术!$A:$ZZ,10,FALSE)+SUM(_xlfn.XLOOKUP(R62:AF62,增益!$A:$A,增益!$J:$J,0))</f>
        <v>0</v>
      </c>
      <c r="AW62">
        <f t="shared" si="26"/>
        <v>0</v>
      </c>
      <c r="AX62">
        <f t="shared" si="27"/>
        <v>0</v>
      </c>
      <c r="AY62" s="35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-0.14</v>
      </c>
      <c r="AZ62" s="35" cm="1">
        <f t="array" ref="AZ62">$G$12+VLOOKUP($Q62,武学奇术!$A:$ZZ,12,FALSE)+SUM(_xlfn.XLOOKUP(R62:AF62,增益!$A:$A,增益!$L:$L,0))</f>
        <v>0</v>
      </c>
      <c r="BA62">
        <f t="shared" si="28"/>
        <v>538</v>
      </c>
      <c r="BB62">
        <f t="shared" si="29"/>
        <v>1011</v>
      </c>
      <c r="BC62" s="35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0.08</v>
      </c>
      <c r="BD62" s="35" cm="1">
        <f t="array" ref="BD62">$G$13+VLOOKUP($Q62,武学奇术!$A:$ZZ,14,FALSE)+SUM(_xlfn.XLOOKUP(R62:AF62,增益!$A:$A,增益!$N:$N,0))</f>
        <v>0.15</v>
      </c>
      <c r="BE62">
        <f t="shared" si="30"/>
        <v>0</v>
      </c>
      <c r="BF62">
        <f t="shared" si="31"/>
        <v>0</v>
      </c>
      <c r="BG62" s="35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-0.14</v>
      </c>
      <c r="BH62" s="35" cm="1">
        <f t="array" ref="BH62">$G$14+VLOOKUP($Q62,武学奇术!$A:$ZZ,16,FALSE)+SUM(_xlfn.XLOOKUP(R62:AF62,增益!$A:$A,增益!$P:$P,0))</f>
        <v>0</v>
      </c>
      <c r="BI62" s="27">
        <f>MIN(IF(VLOOKUP($Q62,武学奇术!$A:$ZZ,23,FALSE)=1,100%,$B$8),100%)</f>
        <v>0.9969</v>
      </c>
      <c r="BJ62" s="27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0.9137</v>
      </c>
      <c r="BK62" s="27" cm="1">
        <f t="array" ref="BK62">1+$B$13+VLOOKUP($Q62,武学奇术!$A:$ZZ,18,FALSE)+SUM(_xlfn.XLOOKUP(R62:AF62,增益!$A:$A,增益!$R:$R,0))</f>
        <v>1.85</v>
      </c>
      <c r="BL62" s="27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0.0895</v>
      </c>
      <c r="BM62" s="27" cm="1">
        <f t="array" ref="BM62">1+$B$14+VLOOKUP($Q62,武学奇术!$A:$ZZ,20,FALSE)+SUM(_xlfn.XLOOKUP(R62:AF62,增益!$A:$A,增益!$T:$T,0))</f>
        <v>1.35</v>
      </c>
      <c r="BN62" s="27">
        <f t="shared" si="22"/>
        <v>0.90767745</v>
      </c>
      <c r="BO62" s="27">
        <f t="shared" si="17"/>
        <v>-1.30104260698261e-17</v>
      </c>
      <c r="BP62" s="27">
        <f>IF(VLOOKUP($Q62,武学奇术!$A:$ZZ,22,FALSE)=1,0,(1-$BI62))*(1-$BL62)</f>
        <v>0.00282254999999999</v>
      </c>
      <c r="BQ62" s="27" cm="1">
        <f t="array" ref="BQ62">SUM(_xlfn.XLOOKUP(R62:AF62,增益!$A:$A,增益!$W:$W,0))+$I$5</f>
        <v>0.11</v>
      </c>
    </row>
    <row r="63" spans="1:69">
      <c r="A63" s="4" t="s">
        <v>97</v>
      </c>
      <c r="B63" s="4">
        <v>1.25</v>
      </c>
      <c r="G63" s="42"/>
      <c r="K63" s="41">
        <f t="shared" si="23"/>
        <v>29137.4839579671</v>
      </c>
      <c r="L63" s="41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弹道",$B$21,0))*(1+$BQ63)</f>
        <v>29581.7347466191</v>
      </c>
      <c r="M63" s="41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弹道",$B$21,0))*(1+$BQ63)</f>
        <v>25297.6564361898</v>
      </c>
      <c r="N63" s="41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弹道",$B$21,0))*(1+$BQ63)</f>
        <v>13385.4003378367</v>
      </c>
      <c r="O63" s="41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弹道",$B$21,0))*(1+$BQ63)</f>
        <v>8031.79590812536</v>
      </c>
      <c r="P63" s="42">
        <v>0.5</v>
      </c>
      <c r="Q63" s="43" t="s">
        <v>109</v>
      </c>
      <c r="R63" s="43" t="s">
        <v>93</v>
      </c>
      <c r="S63" s="43" t="s">
        <v>158</v>
      </c>
      <c r="T63" s="43" t="s">
        <v>102</v>
      </c>
      <c r="U63" s="43" t="s">
        <v>159</v>
      </c>
      <c r="V63" s="43" t="s">
        <v>73</v>
      </c>
      <c r="W63" s="43" t="s">
        <v>73</v>
      </c>
      <c r="X63" s="43" t="s">
        <v>73</v>
      </c>
      <c r="Y63" s="43" t="s">
        <v>164</v>
      </c>
      <c r="Z63" s="43" t="s">
        <v>73</v>
      </c>
      <c r="AA63" s="43" t="s">
        <v>73</v>
      </c>
      <c r="AB63" s="43" t="s">
        <v>80</v>
      </c>
      <c r="AC63" s="43" t="s">
        <v>73</v>
      </c>
      <c r="AD63" s="43" t="s">
        <v>73</v>
      </c>
      <c r="AE63" s="43" t="s">
        <v>73</v>
      </c>
      <c r="AF63" s="43" t="s">
        <v>75</v>
      </c>
      <c r="AG63" t="str">
        <f>VLOOKUP($Q63,武学奇术!$A:$ZZ,25,FALSE)</f>
        <v>伞</v>
      </c>
      <c r="AH63" s="27">
        <f>VLOOKUP($Q63,武学奇术!$A:$ZZ,26,FALSE)</f>
        <v>1.174955</v>
      </c>
      <c r="AI63" s="28">
        <f>VLOOKUP($Q63,武学奇术!$A:$ZZ,27,FALSE)*(1+IF(OR($AG63=$F$4,$AG63=$F$5),$B$22,0))</f>
        <v>454.02</v>
      </c>
      <c r="AJ63" s="27">
        <f>VLOOKUP($Q63,武学奇术!$A:$ZZ,28,FALSE)</f>
        <v>1.762375</v>
      </c>
      <c r="AK63" s="28">
        <f>VLOOKUP($Q63,武学奇术!$A:$ZZ,29,FALSE)*(1+IF(OR($AG63=$F$4,$AG63=$F$5),$B$22,0))</f>
        <v>247.94</v>
      </c>
      <c r="AL63" s="27" cm="1">
        <f t="array" ref="AL63">$G$3+IFERROR(VLOOKUP($AG63,$F$4:$G$7,2,FALSE),0)+VLOOKUP($Q63,武学奇术!$A:$ZZ,2,FALSE)+SUM(_xlfn.XLOOKUP($R63:$AF63,增益!$A:$A,增益!$B:$B,0))</f>
        <v>0.6541</v>
      </c>
      <c r="AM63" s="27" cm="1">
        <f t="array" ref="AM63">VLOOKUP($Q63,武学奇术!$A:$ZZ,5,FALSE)+SUM(_xlfn.XLOOKUP($R63:$AF63,增益!$A:$A,增益!$E:$E,0))</f>
        <v>0.15</v>
      </c>
      <c r="AN63" cm="1">
        <f t="array" ref="AN63">$D$10*(1+$AM63)+VLOOKUP($Q63,武学奇术!$A:$ZZ,3,FALSE)+SUM(_xlfn.XLOOKUP($R63:$AF63,增益!$A:$A,增益!$C:$C,0))-$I$2</f>
        <v>2125.755</v>
      </c>
      <c r="AO63" cm="1">
        <f t="array" ref="AO63">$E$10*(1+$AM63)+VLOOKUP($Q63,武学奇术!$A:$ZZ,4,FALSE)+SUM(_xlfn.XLOOKUP($R63:$AF63,增益!$A:$A,增益!$D:$D,0))-$I$2</f>
        <v>6122.925</v>
      </c>
      <c r="AP63" s="35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0.4925</v>
      </c>
      <c r="AQ63" s="35" cm="1">
        <f t="array" ref="AQ63">$G$10+VLOOKUP($Q63,武学奇术!$A:$ZZ,7,FALSE)+SUM(_xlfn.XLOOKUP(R63:AF63,增益!$A:$A,增益!$G:$G,0))</f>
        <v>0.1</v>
      </c>
      <c r="AR63" s="27" cm="1">
        <f t="array" ref="AR63">VLOOKUP($Q63,武学奇术!$A:$ZZ,8,FALSE)+SUM(_xlfn.XLOOKUP(R63:AF63,增益!$A:$A,增益!$H:$H,0))</f>
        <v>0</v>
      </c>
      <c r="AS63">
        <f t="shared" si="24"/>
        <v>0</v>
      </c>
      <c r="AT63">
        <f t="shared" si="25"/>
        <v>0</v>
      </c>
      <c r="AU63" s="35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-0.14</v>
      </c>
      <c r="AV63" s="35" cm="1">
        <f t="array" ref="AV63">$G$11+VLOOKUP($Q63,武学奇术!$A:$ZZ,10,FALSE)+SUM(_xlfn.XLOOKUP(R63:AF63,增益!$A:$A,增益!$J:$J,0))</f>
        <v>0</v>
      </c>
      <c r="AW63">
        <f t="shared" si="26"/>
        <v>0</v>
      </c>
      <c r="AX63">
        <f t="shared" si="27"/>
        <v>0</v>
      </c>
      <c r="AY63" s="35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-0.14</v>
      </c>
      <c r="AZ63" s="35" cm="1">
        <f t="array" ref="AZ63">$G$12+VLOOKUP($Q63,武学奇术!$A:$ZZ,12,FALSE)+SUM(_xlfn.XLOOKUP(R63:AF63,增益!$A:$A,增益!$L:$L,0))</f>
        <v>0</v>
      </c>
      <c r="BA63">
        <f t="shared" si="28"/>
        <v>538</v>
      </c>
      <c r="BB63">
        <f t="shared" si="29"/>
        <v>1011</v>
      </c>
      <c r="BC63" s="35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0.08</v>
      </c>
      <c r="BD63" s="35" cm="1">
        <f t="array" ref="BD63">$G$13+VLOOKUP($Q63,武学奇术!$A:$ZZ,14,FALSE)+SUM(_xlfn.XLOOKUP(R63:AF63,增益!$A:$A,增益!$N:$N,0))</f>
        <v>0.25</v>
      </c>
      <c r="BE63">
        <f t="shared" si="30"/>
        <v>0</v>
      </c>
      <c r="BF63">
        <f t="shared" si="31"/>
        <v>0</v>
      </c>
      <c r="BG63" s="35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-0.14</v>
      </c>
      <c r="BH63" s="35" cm="1">
        <f t="array" ref="BH63">$G$14+VLOOKUP($Q63,武学奇术!$A:$ZZ,16,FALSE)+SUM(_xlfn.XLOOKUP(R63:AF63,增益!$A:$A,增益!$P:$P,0))</f>
        <v>0</v>
      </c>
      <c r="BI63" s="27">
        <f>MIN(IF(VLOOKUP($Q63,武学奇术!$A:$ZZ,23,FALSE)=1,100%,$B$8),100%)</f>
        <v>0.9969</v>
      </c>
      <c r="BJ63" s="27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0.9137</v>
      </c>
      <c r="BK63" s="27" cm="1">
        <f t="array" ref="BK63">1+$B$13+VLOOKUP($Q63,武学奇术!$A:$ZZ,18,FALSE)+SUM(_xlfn.XLOOKUP(R63:AF63,增益!$A:$A,增益!$R:$R,0))</f>
        <v>2.21</v>
      </c>
      <c r="BL63" s="27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0.0895</v>
      </c>
      <c r="BM63" s="27" cm="1">
        <f t="array" ref="BM63">1+$B$14+VLOOKUP($Q63,武学奇术!$A:$ZZ,20,FALSE)+SUM(_xlfn.XLOOKUP(R63:AF63,增益!$A:$A,增益!$T:$T,0))</f>
        <v>1.35</v>
      </c>
      <c r="BN63" s="27">
        <f t="shared" si="22"/>
        <v>0.90767745</v>
      </c>
      <c r="BO63" s="27">
        <f t="shared" si="17"/>
        <v>-1.30104260698261e-17</v>
      </c>
      <c r="BP63" s="27">
        <f>IF(VLOOKUP($Q63,武学奇术!$A:$ZZ,22,FALSE)=1,0,(1-$BI63))*(1-$BL63)</f>
        <v>0.00282254999999999</v>
      </c>
      <c r="BQ63" s="27" cm="1">
        <f t="array" ref="BQ63">SUM(_xlfn.XLOOKUP(R63:AF63,增益!$A:$A,增益!$W:$W,0))+$I$5</f>
        <v>0.11</v>
      </c>
    </row>
    <row r="64" spans="1:69">
      <c r="A64" s="4" t="s">
        <v>107</v>
      </c>
      <c r="B64" s="94">
        <v>1.16</v>
      </c>
      <c r="F64">
        <v>37</v>
      </c>
      <c r="G64" s="42"/>
      <c r="K64" s="41">
        <f t="shared" si="23"/>
        <v>72367.2157645368</v>
      </c>
      <c r="L64" s="41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弹道",$B$21,0))*(1+$BQ64)</f>
        <v>73470.577768007</v>
      </c>
      <c r="M64" s="41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弹道",$B$21,0))*(1+$BQ64)</f>
        <v>62830.440826525</v>
      </c>
      <c r="N64" s="41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弹道",$B$21,0))*(1+$BQ64)</f>
        <v>33244.6053248901</v>
      </c>
      <c r="O64" s="41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弹道",$B$21,0))*(1+$BQ64)</f>
        <v>19948.1433708727</v>
      </c>
      <c r="P64" s="42">
        <v>1</v>
      </c>
      <c r="Q64" s="43" t="s">
        <v>109</v>
      </c>
      <c r="R64" s="43" t="s">
        <v>93</v>
      </c>
      <c r="S64" s="43" t="s">
        <v>158</v>
      </c>
      <c r="T64" s="43" t="s">
        <v>102</v>
      </c>
      <c r="U64" s="43" t="s">
        <v>159</v>
      </c>
      <c r="V64" s="43" t="s">
        <v>98</v>
      </c>
      <c r="W64" s="43" t="s">
        <v>73</v>
      </c>
      <c r="X64" s="43" t="s">
        <v>73</v>
      </c>
      <c r="Y64" s="43" t="s">
        <v>164</v>
      </c>
      <c r="Z64" s="43" t="s">
        <v>73</v>
      </c>
      <c r="AA64" s="43" t="s">
        <v>73</v>
      </c>
      <c r="AB64" s="43" t="s">
        <v>80</v>
      </c>
      <c r="AC64" s="43" t="s">
        <v>73</v>
      </c>
      <c r="AD64" s="43" t="s">
        <v>73</v>
      </c>
      <c r="AE64" s="43" t="s">
        <v>73</v>
      </c>
      <c r="AF64" s="43" t="s">
        <v>75</v>
      </c>
      <c r="AG64" t="str">
        <f>VLOOKUP($Q64,武学奇术!$A:$ZZ,25,FALSE)</f>
        <v>伞</v>
      </c>
      <c r="AH64" s="27">
        <f>VLOOKUP($Q64,武学奇术!$A:$ZZ,26,FALSE)</f>
        <v>1.174955</v>
      </c>
      <c r="AI64" s="28">
        <f>VLOOKUP($Q64,武学奇术!$A:$ZZ,27,FALSE)*(1+IF(OR($AG64=$F$4,$AG64=$F$5),$B$22,0))</f>
        <v>454.02</v>
      </c>
      <c r="AJ64" s="27">
        <f>VLOOKUP($Q64,武学奇术!$A:$ZZ,28,FALSE)</f>
        <v>1.762375</v>
      </c>
      <c r="AK64" s="28">
        <f>VLOOKUP($Q64,武学奇术!$A:$ZZ,29,FALSE)*(1+IF(OR($AG64=$F$4,$AG64=$F$5),$B$22,0))</f>
        <v>247.94</v>
      </c>
      <c r="AL64" s="27" cm="1">
        <f t="array" ref="AL64">$G$3+IFERROR(VLOOKUP($AG64,$F$4:$G$7,2,FALSE),0)+VLOOKUP($Q64,武学奇术!$A:$ZZ,2,FALSE)+SUM(_xlfn.XLOOKUP($R64:$AF64,增益!$A:$A,增益!$B:$B,0))</f>
        <v>1.0541</v>
      </c>
      <c r="AM64" s="27" cm="1">
        <f t="array" ref="AM64">VLOOKUP($Q64,武学奇术!$A:$ZZ,5,FALSE)+SUM(_xlfn.XLOOKUP($R64:$AF64,增益!$A:$A,增益!$E:$E,0))</f>
        <v>0.15</v>
      </c>
      <c r="AN64" cm="1">
        <f t="array" ref="AN64">$D$10*(1+$AM64)+VLOOKUP($Q64,武学奇术!$A:$ZZ,3,FALSE)+SUM(_xlfn.XLOOKUP($R64:$AF64,增益!$A:$A,增益!$C:$C,0))-$I$2</f>
        <v>2125.755</v>
      </c>
      <c r="AO64" cm="1">
        <f t="array" ref="AO64">$E$10*(1+$AM64)+VLOOKUP($Q64,武学奇术!$A:$ZZ,4,FALSE)+SUM(_xlfn.XLOOKUP($R64:$AF64,增益!$A:$A,增益!$D:$D,0))-$I$2</f>
        <v>6122.925</v>
      </c>
      <c r="AP64" s="35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0.4925</v>
      </c>
      <c r="AQ64" s="35" cm="1">
        <f t="array" ref="AQ64">$G$10+VLOOKUP($Q64,武学奇术!$A:$ZZ,7,FALSE)+SUM(_xlfn.XLOOKUP(R64:AF64,增益!$A:$A,增益!$G:$G,0))</f>
        <v>0.1</v>
      </c>
      <c r="AR64" s="27" cm="1">
        <f t="array" ref="AR64">VLOOKUP($Q64,武学奇术!$A:$ZZ,8,FALSE)+SUM(_xlfn.XLOOKUP(R64:AF64,增益!$A:$A,增益!$H:$H,0))</f>
        <v>0</v>
      </c>
      <c r="AS64">
        <f t="shared" si="24"/>
        <v>0</v>
      </c>
      <c r="AT64">
        <f t="shared" si="25"/>
        <v>0</v>
      </c>
      <c r="AU64" s="35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-0.14</v>
      </c>
      <c r="AV64" s="35" cm="1">
        <f t="array" ref="AV64">$G$11+VLOOKUP($Q64,武学奇术!$A:$ZZ,10,FALSE)+SUM(_xlfn.XLOOKUP(R64:AF64,增益!$A:$A,增益!$J:$J,0))</f>
        <v>0</v>
      </c>
      <c r="AW64">
        <f t="shared" si="26"/>
        <v>0</v>
      </c>
      <c r="AX64">
        <f t="shared" si="27"/>
        <v>0</v>
      </c>
      <c r="AY64" s="35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-0.14</v>
      </c>
      <c r="AZ64" s="35" cm="1">
        <f t="array" ref="AZ64">$G$12+VLOOKUP($Q64,武学奇术!$A:$ZZ,12,FALSE)+SUM(_xlfn.XLOOKUP(R64:AF64,增益!$A:$A,增益!$L:$L,0))</f>
        <v>0</v>
      </c>
      <c r="BA64">
        <f t="shared" si="28"/>
        <v>538</v>
      </c>
      <c r="BB64">
        <f t="shared" si="29"/>
        <v>1011</v>
      </c>
      <c r="BC64" s="35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0.08</v>
      </c>
      <c r="BD64" s="35" cm="1">
        <f t="array" ref="BD64">$G$13+VLOOKUP($Q64,武学奇术!$A:$ZZ,14,FALSE)+SUM(_xlfn.XLOOKUP(R64:AF64,增益!$A:$A,增益!$N:$N,0))</f>
        <v>0.25</v>
      </c>
      <c r="BE64">
        <f t="shared" si="30"/>
        <v>0</v>
      </c>
      <c r="BF64">
        <f t="shared" si="31"/>
        <v>0</v>
      </c>
      <c r="BG64" s="35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-0.14</v>
      </c>
      <c r="BH64" s="35" cm="1">
        <f t="array" ref="BH64">$G$14+VLOOKUP($Q64,武学奇术!$A:$ZZ,16,FALSE)+SUM(_xlfn.XLOOKUP(R64:AF64,增益!$A:$A,增益!$P:$P,0))</f>
        <v>0</v>
      </c>
      <c r="BI64" s="27">
        <f>MIN(IF(VLOOKUP($Q64,武学奇术!$A:$ZZ,23,FALSE)=1,100%,$B$8),100%)</f>
        <v>0.9969</v>
      </c>
      <c r="BJ64" s="27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0.9137</v>
      </c>
      <c r="BK64" s="27" cm="1">
        <f t="array" ref="BK64">1+$B$13+VLOOKUP($Q64,武学奇术!$A:$ZZ,18,FALSE)+SUM(_xlfn.XLOOKUP(R64:AF64,增益!$A:$A,增益!$R:$R,0))</f>
        <v>2.21</v>
      </c>
      <c r="BL64" s="27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0.0895</v>
      </c>
      <c r="BM64" s="27" cm="1">
        <f t="array" ref="BM64">1+$B$14+VLOOKUP($Q64,武学奇术!$A:$ZZ,20,FALSE)+SUM(_xlfn.XLOOKUP(R64:AF64,增益!$A:$A,增益!$T:$T,0))</f>
        <v>1.35</v>
      </c>
      <c r="BN64" s="27">
        <f t="shared" si="22"/>
        <v>0.90767745</v>
      </c>
      <c r="BO64" s="27">
        <f t="shared" si="17"/>
        <v>-1.30104260698261e-17</v>
      </c>
      <c r="BP64" s="27">
        <f>IF(VLOOKUP($Q64,武学奇术!$A:$ZZ,22,FALSE)=1,0,(1-$BI64))*(1-$BL64)</f>
        <v>0.00282254999999999</v>
      </c>
      <c r="BQ64" s="27" cm="1">
        <f t="array" ref="BQ64">SUM(_xlfn.XLOOKUP(R64:AF64,增益!$A:$A,增益!$W:$W,0))+$I$5</f>
        <v>0.11</v>
      </c>
    </row>
    <row r="65" spans="1:69">
      <c r="A65" s="4" t="s">
        <v>175</v>
      </c>
      <c r="B65" s="4">
        <v>1</v>
      </c>
      <c r="F65">
        <v>-20</v>
      </c>
      <c r="G65" s="42"/>
      <c r="K65" s="41">
        <f t="shared" si="23"/>
        <v>60535.5791924563</v>
      </c>
      <c r="L65" s="41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弹道",$B$21,0))*(1+$BQ65)</f>
        <v>60860.6217305135</v>
      </c>
      <c r="M65" s="41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弹道",$B$21,0))*(1+$BQ65)</f>
        <v>58557.6352080018</v>
      </c>
      <c r="N65" s="41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弹道",$B$21,0))*(1+$BQ65)</f>
        <v>31051.3376176089</v>
      </c>
      <c r="O65" s="41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弹道",$B$21,0))*(1+$BQ65)</f>
        <v>18726.6491552165</v>
      </c>
      <c r="P65" s="42">
        <v>1</v>
      </c>
      <c r="Q65" s="43" t="s">
        <v>109</v>
      </c>
      <c r="R65" s="43" t="s">
        <v>93</v>
      </c>
      <c r="S65" s="43" t="s">
        <v>158</v>
      </c>
      <c r="T65" s="43" t="s">
        <v>102</v>
      </c>
      <c r="U65" s="43" t="s">
        <v>159</v>
      </c>
      <c r="V65" s="43" t="s">
        <v>98</v>
      </c>
      <c r="W65" s="43" t="s">
        <v>73</v>
      </c>
      <c r="X65" s="43" t="s">
        <v>73</v>
      </c>
      <c r="Y65" s="43" t="s">
        <v>73</v>
      </c>
      <c r="Z65" s="43" t="s">
        <v>73</v>
      </c>
      <c r="AA65" s="43" t="s">
        <v>73</v>
      </c>
      <c r="AB65" s="43" t="s">
        <v>80</v>
      </c>
      <c r="AC65" s="43" t="s">
        <v>73</v>
      </c>
      <c r="AD65" s="43" t="s">
        <v>73</v>
      </c>
      <c r="AE65" s="43" t="s">
        <v>73</v>
      </c>
      <c r="AF65" s="43" t="s">
        <v>75</v>
      </c>
      <c r="AG65" t="str">
        <f>VLOOKUP($Q65,武学奇术!$A:$ZZ,25,FALSE)</f>
        <v>伞</v>
      </c>
      <c r="AH65" s="27">
        <f>VLOOKUP($Q65,武学奇术!$A:$ZZ,26,FALSE)</f>
        <v>1.174955</v>
      </c>
      <c r="AI65" s="28">
        <f>VLOOKUP($Q65,武学奇术!$A:$ZZ,27,FALSE)*(1+IF(OR($AG65=$F$4,$AG65=$F$5),$B$22,0))</f>
        <v>454.02</v>
      </c>
      <c r="AJ65" s="27">
        <f>VLOOKUP($Q65,武学奇术!$A:$ZZ,28,FALSE)</f>
        <v>1.762375</v>
      </c>
      <c r="AK65" s="28">
        <f>VLOOKUP($Q65,武学奇术!$A:$ZZ,29,FALSE)*(1+IF(OR($AG65=$F$4,$AG65=$F$5),$B$22,0))</f>
        <v>247.94</v>
      </c>
      <c r="AL65" s="27" cm="1">
        <f t="array" ref="AL65">$G$3+IFERROR(VLOOKUP($AG65,$F$4:$G$7,2,FALSE),0)+VLOOKUP($Q65,武学奇术!$A:$ZZ,2,FALSE)+SUM(_xlfn.XLOOKUP($R65:$AF65,增益!$A:$A,增益!$B:$B,0))</f>
        <v>1.0541</v>
      </c>
      <c r="AM65" s="27" cm="1">
        <f t="array" ref="AM65">VLOOKUP($Q65,武学奇术!$A:$ZZ,5,FALSE)+SUM(_xlfn.XLOOKUP($R65:$AF65,增益!$A:$A,增益!$E:$E,0))</f>
        <v>0.15</v>
      </c>
      <c r="AN65" cm="1">
        <f t="array" ref="AN65">$D$10*(1+$AM65)+VLOOKUP($Q65,武学奇术!$A:$ZZ,3,FALSE)+SUM(_xlfn.XLOOKUP($R65:$AF65,增益!$A:$A,增益!$C:$C,0))-$I$2</f>
        <v>2125.755</v>
      </c>
      <c r="AO65" cm="1">
        <f t="array" ref="AO65">$E$10*(1+$AM65)+VLOOKUP($Q65,武学奇术!$A:$ZZ,4,FALSE)+SUM(_xlfn.XLOOKUP($R65:$AF65,增益!$A:$A,增益!$D:$D,0))-$I$2</f>
        <v>6122.925</v>
      </c>
      <c r="AP65" s="35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0.3675</v>
      </c>
      <c r="AQ65" s="35" cm="1">
        <f t="array" ref="AQ65">$G$10+VLOOKUP($Q65,武学奇术!$A:$ZZ,7,FALSE)+SUM(_xlfn.XLOOKUP(R65:AF65,增益!$A:$A,增益!$G:$G,0))</f>
        <v>0.1</v>
      </c>
      <c r="AR65" s="27" cm="1">
        <f t="array" ref="AR65">VLOOKUP($Q65,武学奇术!$A:$ZZ,8,FALSE)+SUM(_xlfn.XLOOKUP(R65:AF65,增益!$A:$A,增益!$H:$H,0))</f>
        <v>0</v>
      </c>
      <c r="AS65">
        <f t="shared" si="24"/>
        <v>0</v>
      </c>
      <c r="AT65">
        <f t="shared" si="25"/>
        <v>0</v>
      </c>
      <c r="AU65" s="35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-0.14</v>
      </c>
      <c r="AV65" s="35" cm="1">
        <f t="array" ref="AV65">$G$11+VLOOKUP($Q65,武学奇术!$A:$ZZ,10,FALSE)+SUM(_xlfn.XLOOKUP(R65:AF65,增益!$A:$A,增益!$J:$J,0))</f>
        <v>0</v>
      </c>
      <c r="AW65">
        <f t="shared" si="26"/>
        <v>0</v>
      </c>
      <c r="AX65">
        <f t="shared" si="27"/>
        <v>0</v>
      </c>
      <c r="AY65" s="35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-0.14</v>
      </c>
      <c r="AZ65" s="35" cm="1">
        <f t="array" ref="AZ65">$G$12+VLOOKUP($Q65,武学奇术!$A:$ZZ,12,FALSE)+SUM(_xlfn.XLOOKUP(R65:AF65,增益!$A:$A,增益!$L:$L,0))</f>
        <v>0</v>
      </c>
      <c r="BA65">
        <f t="shared" si="28"/>
        <v>538</v>
      </c>
      <c r="BB65">
        <f t="shared" si="29"/>
        <v>1011</v>
      </c>
      <c r="BC65" s="35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0.08</v>
      </c>
      <c r="BD65" s="35" cm="1">
        <f t="array" ref="BD65">$G$13+VLOOKUP($Q65,武学奇术!$A:$ZZ,14,FALSE)+SUM(_xlfn.XLOOKUP(R65:AF65,增益!$A:$A,增益!$N:$N,0))</f>
        <v>0.25</v>
      </c>
      <c r="BE65">
        <f t="shared" si="30"/>
        <v>0</v>
      </c>
      <c r="BF65">
        <f t="shared" si="31"/>
        <v>0</v>
      </c>
      <c r="BG65" s="35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-0.14</v>
      </c>
      <c r="BH65" s="35" cm="1">
        <f t="array" ref="BH65">$G$14+VLOOKUP($Q65,武学奇术!$A:$ZZ,16,FALSE)+SUM(_xlfn.XLOOKUP(R65:AF65,增益!$A:$A,增益!$P:$P,0))</f>
        <v>0</v>
      </c>
      <c r="BI65" s="27">
        <f>MIN(IF(VLOOKUP($Q65,武学奇术!$A:$ZZ,23,FALSE)=1,100%,$B$8),100%)</f>
        <v>0.9969</v>
      </c>
      <c r="BJ65" s="27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0.9137</v>
      </c>
      <c r="BK65" s="27" cm="1">
        <f t="array" ref="BK65">1+$B$13+VLOOKUP($Q65,武学奇术!$A:$ZZ,18,FALSE)+SUM(_xlfn.XLOOKUP(R65:AF65,增益!$A:$A,增益!$R:$R,0))</f>
        <v>1.96</v>
      </c>
      <c r="BL65" s="27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0.0895</v>
      </c>
      <c r="BM65" s="27" cm="1">
        <f t="array" ref="BM65">1+$B$14+VLOOKUP($Q65,武学奇术!$A:$ZZ,20,FALSE)+SUM(_xlfn.XLOOKUP(R65:AF65,增益!$A:$A,增益!$T:$T,0))</f>
        <v>1.35</v>
      </c>
      <c r="BN65" s="27">
        <f t="shared" si="22"/>
        <v>0.90767745</v>
      </c>
      <c r="BO65" s="27">
        <f t="shared" si="17"/>
        <v>-1.30104260698261e-17</v>
      </c>
      <c r="BP65" s="27">
        <f>IF(VLOOKUP($Q65,武学奇术!$A:$ZZ,22,FALSE)=1,0,(1-$BI65))*(1-$BL65)</f>
        <v>0.00282254999999999</v>
      </c>
      <c r="BQ65" s="27" cm="1">
        <f t="array" ref="BQ65">SUM(_xlfn.XLOOKUP(R65:AF65,增益!$A:$A,增益!$W:$W,0))+$I$5</f>
        <v>0.11</v>
      </c>
    </row>
    <row r="66" spans="1:69">
      <c r="A66" s="4" t="s">
        <v>176</v>
      </c>
      <c r="B66" s="4">
        <v>1.5</v>
      </c>
      <c r="C66" s="42" t="s">
        <v>177</v>
      </c>
      <c r="K66" s="41">
        <f t="shared" si="23"/>
        <v>454016.843943422</v>
      </c>
      <c r="L66" s="41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弹道",$B$21,0))*(1+$BQ66)</f>
        <v>456454.662978851</v>
      </c>
      <c r="M66" s="41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弹道",$B$21,0))*(1+$BQ66)</f>
        <v>439182.264060014</v>
      </c>
      <c r="N66" s="41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弹道",$B$21,0))*(1+$BQ66)</f>
        <v>232885.032132067</v>
      </c>
      <c r="O66" s="41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弹道",$B$21,0))*(1+$BQ66)</f>
        <v>140449.868664124</v>
      </c>
      <c r="P66" s="42">
        <v>7.5</v>
      </c>
      <c r="Q66" s="43" t="s">
        <v>109</v>
      </c>
      <c r="R66" s="43" t="s">
        <v>93</v>
      </c>
      <c r="S66" s="43" t="s">
        <v>158</v>
      </c>
      <c r="T66" s="43" t="s">
        <v>102</v>
      </c>
      <c r="U66" s="43" t="s">
        <v>159</v>
      </c>
      <c r="V66" s="43" t="s">
        <v>98</v>
      </c>
      <c r="W66" s="43" t="s">
        <v>73</v>
      </c>
      <c r="X66" s="43" t="s">
        <v>73</v>
      </c>
      <c r="Y66" s="43" t="s">
        <v>73</v>
      </c>
      <c r="Z66" s="43" t="s">
        <v>73</v>
      </c>
      <c r="AA66" s="43" t="s">
        <v>73</v>
      </c>
      <c r="AB66" s="43" t="s">
        <v>80</v>
      </c>
      <c r="AC66" s="43" t="s">
        <v>73</v>
      </c>
      <c r="AD66" s="43" t="s">
        <v>73</v>
      </c>
      <c r="AE66" s="43" t="s">
        <v>73</v>
      </c>
      <c r="AF66" s="43" t="s">
        <v>75</v>
      </c>
      <c r="AG66" t="str">
        <f>VLOOKUP($Q66,武学奇术!$A:$ZZ,25,FALSE)</f>
        <v>伞</v>
      </c>
      <c r="AH66" s="27">
        <f>VLOOKUP($Q66,武学奇术!$A:$ZZ,26,FALSE)</f>
        <v>1.174955</v>
      </c>
      <c r="AI66" s="28">
        <f>VLOOKUP($Q66,武学奇术!$A:$ZZ,27,FALSE)*(1+IF(OR($AG66=$F$4,$AG66=$F$5),$B$22,0))</f>
        <v>454.02</v>
      </c>
      <c r="AJ66" s="27">
        <f>VLOOKUP($Q66,武学奇术!$A:$ZZ,28,FALSE)</f>
        <v>1.762375</v>
      </c>
      <c r="AK66" s="28">
        <f>VLOOKUP($Q66,武学奇术!$A:$ZZ,29,FALSE)*(1+IF(OR($AG66=$F$4,$AG66=$F$5),$B$22,0))</f>
        <v>247.94</v>
      </c>
      <c r="AL66" s="27" cm="1">
        <f t="array" ref="AL66">$G$3+IFERROR(VLOOKUP($AG66,$F$4:$G$7,2,FALSE),0)+VLOOKUP($Q66,武学奇术!$A:$ZZ,2,FALSE)+SUM(_xlfn.XLOOKUP($R66:$AF66,增益!$A:$A,增益!$B:$B,0))</f>
        <v>1.0541</v>
      </c>
      <c r="AM66" s="27" cm="1">
        <f t="array" ref="AM66">VLOOKUP($Q66,武学奇术!$A:$ZZ,5,FALSE)+SUM(_xlfn.XLOOKUP($R66:$AF66,增益!$A:$A,增益!$E:$E,0))</f>
        <v>0.15</v>
      </c>
      <c r="AN66" cm="1">
        <f t="array" ref="AN66">$D$10*(1+$AM66)+VLOOKUP($Q66,武学奇术!$A:$ZZ,3,FALSE)+SUM(_xlfn.XLOOKUP($R66:$AF66,增益!$A:$A,增益!$C:$C,0))-$I$2</f>
        <v>2125.755</v>
      </c>
      <c r="AO66" cm="1">
        <f t="array" ref="AO66">$E$10*(1+$AM66)+VLOOKUP($Q66,武学奇术!$A:$ZZ,4,FALSE)+SUM(_xlfn.XLOOKUP($R66:$AF66,增益!$A:$A,增益!$D:$D,0))-$I$2</f>
        <v>6122.925</v>
      </c>
      <c r="AP66" s="35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0.3675</v>
      </c>
      <c r="AQ66" s="35" cm="1">
        <f t="array" ref="AQ66">$G$10+VLOOKUP($Q66,武学奇术!$A:$ZZ,7,FALSE)+SUM(_xlfn.XLOOKUP(R66:AF66,增益!$A:$A,增益!$G:$G,0))</f>
        <v>0.1</v>
      </c>
      <c r="AR66" s="27" cm="1">
        <f t="array" ref="AR66">VLOOKUP($Q66,武学奇术!$A:$ZZ,8,FALSE)+SUM(_xlfn.XLOOKUP(R66:AF66,增益!$A:$A,增益!$H:$H,0))</f>
        <v>0</v>
      </c>
      <c r="AS66">
        <f t="shared" si="24"/>
        <v>0</v>
      </c>
      <c r="AT66">
        <f t="shared" si="25"/>
        <v>0</v>
      </c>
      <c r="AU66" s="35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-0.14</v>
      </c>
      <c r="AV66" s="35" cm="1">
        <f t="array" ref="AV66">$G$11+VLOOKUP($Q66,武学奇术!$A:$ZZ,10,FALSE)+SUM(_xlfn.XLOOKUP(R66:AF66,增益!$A:$A,增益!$J:$J,0))</f>
        <v>0</v>
      </c>
      <c r="AW66">
        <f t="shared" si="26"/>
        <v>0</v>
      </c>
      <c r="AX66">
        <f t="shared" si="27"/>
        <v>0</v>
      </c>
      <c r="AY66" s="35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-0.14</v>
      </c>
      <c r="AZ66" s="35" cm="1">
        <f t="array" ref="AZ66">$G$12+VLOOKUP($Q66,武学奇术!$A:$ZZ,12,FALSE)+SUM(_xlfn.XLOOKUP(R66:AF66,增益!$A:$A,增益!$L:$L,0))</f>
        <v>0</v>
      </c>
      <c r="BA66">
        <f t="shared" si="28"/>
        <v>538</v>
      </c>
      <c r="BB66">
        <f t="shared" si="29"/>
        <v>1011</v>
      </c>
      <c r="BC66" s="35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0.08</v>
      </c>
      <c r="BD66" s="35" cm="1">
        <f t="array" ref="BD66">$G$13+VLOOKUP($Q66,武学奇术!$A:$ZZ,14,FALSE)+SUM(_xlfn.XLOOKUP(R66:AF66,增益!$A:$A,增益!$N:$N,0))</f>
        <v>0.25</v>
      </c>
      <c r="BE66">
        <f t="shared" si="30"/>
        <v>0</v>
      </c>
      <c r="BF66">
        <f t="shared" si="31"/>
        <v>0</v>
      </c>
      <c r="BG66" s="35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-0.14</v>
      </c>
      <c r="BH66" s="35" cm="1">
        <f t="array" ref="BH66">$G$14+VLOOKUP($Q66,武学奇术!$A:$ZZ,16,FALSE)+SUM(_xlfn.XLOOKUP(R66:AF66,增益!$A:$A,增益!$P:$P,0))</f>
        <v>0</v>
      </c>
      <c r="BI66" s="27">
        <f>MIN(IF(VLOOKUP($Q66,武学奇术!$A:$ZZ,23,FALSE)=1,100%,$B$8),100%)</f>
        <v>0.9969</v>
      </c>
      <c r="BJ66" s="27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0.9137</v>
      </c>
      <c r="BK66" s="27" cm="1">
        <f t="array" ref="BK66">1+$B$13+VLOOKUP($Q66,武学奇术!$A:$ZZ,18,FALSE)+SUM(_xlfn.XLOOKUP(R66:AF66,增益!$A:$A,增益!$R:$R,0))</f>
        <v>1.96</v>
      </c>
      <c r="BL66" s="27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0.0895</v>
      </c>
      <c r="BM66" s="27" cm="1">
        <f t="array" ref="BM66">1+$B$14+VLOOKUP($Q66,武学奇术!$A:$ZZ,20,FALSE)+SUM(_xlfn.XLOOKUP(R66:AF66,增益!$A:$A,增益!$T:$T,0))</f>
        <v>1.35</v>
      </c>
      <c r="BN66" s="27">
        <f t="shared" si="22"/>
        <v>0.90767745</v>
      </c>
      <c r="BO66" s="27">
        <f t="shared" si="17"/>
        <v>-1.30104260698261e-17</v>
      </c>
      <c r="BP66" s="27">
        <f>IF(VLOOKUP($Q66,武学奇术!$A:$ZZ,22,FALSE)=1,0,(1-$BI66))*(1-$BL66)</f>
        <v>0.00282254999999999</v>
      </c>
      <c r="BQ66" s="27" cm="1">
        <f t="array" ref="BQ66">SUM(_xlfn.XLOOKUP(R66:AF66,增益!$A:$A,增益!$W:$W,0))+$I$5</f>
        <v>0.11</v>
      </c>
    </row>
    <row r="67" spans="1:69">
      <c r="A67" s="4" t="s">
        <v>178</v>
      </c>
      <c r="B67" s="4">
        <v>3.3</v>
      </c>
      <c r="C67" s="42"/>
      <c r="F67">
        <v>-26</v>
      </c>
      <c r="K67" s="41">
        <f t="shared" si="23"/>
        <v>74023.274453815</v>
      </c>
      <c r="L67" s="41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弹道",$B$21,0))*(1+$BQ67)</f>
        <v>72988.5483993367</v>
      </c>
      <c r="M67" s="41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弹道",$B$21,0))*(1+$BQ67)</f>
        <v>85982.8916025642</v>
      </c>
      <c r="N67" s="41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弹道",$B$21,0))*(1+$BQ67)</f>
        <v>45617.8427495855</v>
      </c>
      <c r="O67" s="41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弹道",$B$21,0))*(1+$BQ67)</f>
        <v>27544.6546824567</v>
      </c>
      <c r="P67" s="42">
        <v>1</v>
      </c>
      <c r="Q67" s="43" t="s">
        <v>145</v>
      </c>
      <c r="R67" s="43" t="s">
        <v>93</v>
      </c>
      <c r="S67" s="43" t="s">
        <v>158</v>
      </c>
      <c r="T67" s="43" t="s">
        <v>73</v>
      </c>
      <c r="U67" s="43" t="s">
        <v>159</v>
      </c>
      <c r="V67" s="43" t="s">
        <v>98</v>
      </c>
      <c r="W67" s="43" t="s">
        <v>73</v>
      </c>
      <c r="X67" s="43" t="s">
        <v>73</v>
      </c>
      <c r="Y67" s="43" t="s">
        <v>73</v>
      </c>
      <c r="Z67" s="43" t="s">
        <v>73</v>
      </c>
      <c r="AA67" s="43" t="s">
        <v>73</v>
      </c>
      <c r="AB67" s="43" t="s">
        <v>80</v>
      </c>
      <c r="AC67" s="43" t="s">
        <v>73</v>
      </c>
      <c r="AD67" s="43" t="s">
        <v>73</v>
      </c>
      <c r="AE67" s="43" t="s">
        <v>73</v>
      </c>
      <c r="AF67" s="43" t="s">
        <v>75</v>
      </c>
      <c r="AG67" t="str">
        <f>VLOOKUP($Q67,武学奇术!$A:$ZZ,25,FALSE)</f>
        <v>扇</v>
      </c>
      <c r="AH67" s="27">
        <f>VLOOKUP($Q67,武学奇术!$A:$ZZ,26,FALSE)</f>
        <v>2.76138</v>
      </c>
      <c r="AI67" s="28">
        <f>VLOOKUP($Q67,武学奇术!$A:$ZZ,27,FALSE)*(1+IF(OR($AG67=$F$4,$AG67=$F$5),$B$22,0))</f>
        <v>1069.81</v>
      </c>
      <c r="AJ67" s="27">
        <f>VLOOKUP($Q67,武学奇术!$A:$ZZ,28,FALSE)</f>
        <v>4.14207</v>
      </c>
      <c r="AK67" s="28">
        <f>VLOOKUP($Q67,武学奇术!$A:$ZZ,29,FALSE)*(1+IF(OR($AG67=$F$4,$AG67=$F$5),$B$22,0))</f>
        <v>582.61</v>
      </c>
      <c r="AL67" s="27" cm="1">
        <f t="array" ref="AL67">$G$3+IFERROR(VLOOKUP($AG67,$F$4:$G$7,2,FALSE),0)+VLOOKUP($Q67,武学奇术!$A:$ZZ,2,FALSE)+SUM(_xlfn.XLOOKUP($R67:$AF67,增益!$A:$A,增益!$B:$B,0))</f>
        <v>0.7189</v>
      </c>
      <c r="AM67" s="27" cm="1">
        <f t="array" ref="AM67">VLOOKUP($Q67,武学奇术!$A:$ZZ,5,FALSE)+SUM(_xlfn.XLOOKUP($R67:$AF67,增益!$A:$A,增益!$E:$E,0))</f>
        <v>0.15</v>
      </c>
      <c r="AN67" cm="1">
        <f t="array" ref="AN67">$D$10*(1+$AM67)+VLOOKUP($Q67,武学奇术!$A:$ZZ,3,FALSE)+SUM(_xlfn.XLOOKUP($R67:$AF67,增益!$A:$A,增益!$C:$C,0))-$I$2</f>
        <v>2125.755</v>
      </c>
      <c r="AO67" cm="1">
        <f t="array" ref="AO67">$E$10*(1+$AM67)+VLOOKUP($Q67,武学奇术!$A:$ZZ,4,FALSE)+SUM(_xlfn.XLOOKUP($R67:$AF67,增益!$A:$A,增益!$D:$D,0))-$I$2</f>
        <v>6122.925</v>
      </c>
      <c r="AP67" s="35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0.3425</v>
      </c>
      <c r="AQ67" s="35" cm="1">
        <f t="array" ref="AQ67">$G$10+VLOOKUP($Q67,武学奇术!$A:$ZZ,7,FALSE)+SUM(_xlfn.XLOOKUP(R67:AF67,增益!$A:$A,增益!$G:$G,0))</f>
        <v>0.1</v>
      </c>
      <c r="AR67" s="27" cm="1">
        <f t="array" ref="AR67">VLOOKUP($Q67,武学奇术!$A:$ZZ,8,FALSE)+SUM(_xlfn.XLOOKUP(R67:AF67,增益!$A:$A,增益!$H:$H,0))</f>
        <v>0</v>
      </c>
      <c r="AS67">
        <f t="shared" si="24"/>
        <v>0</v>
      </c>
      <c r="AT67">
        <f t="shared" si="25"/>
        <v>0</v>
      </c>
      <c r="AU67" s="35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-0.14</v>
      </c>
      <c r="AV67" s="35" cm="1">
        <f t="array" ref="AV67">$G$11+VLOOKUP($Q67,武学奇术!$A:$ZZ,10,FALSE)+SUM(_xlfn.XLOOKUP(R67:AF67,增益!$A:$A,增益!$J:$J,0))</f>
        <v>0</v>
      </c>
      <c r="AW67">
        <f t="shared" si="26"/>
        <v>0</v>
      </c>
      <c r="AX67">
        <f t="shared" si="27"/>
        <v>0</v>
      </c>
      <c r="AY67" s="35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-0.14</v>
      </c>
      <c r="AZ67" s="35" cm="1">
        <f t="array" ref="AZ67">$G$12+VLOOKUP($Q67,武学奇术!$A:$ZZ,12,FALSE)+SUM(_xlfn.XLOOKUP(R67:AF67,增益!$A:$A,增益!$L:$L,0))</f>
        <v>0</v>
      </c>
      <c r="BA67">
        <f t="shared" si="28"/>
        <v>538</v>
      </c>
      <c r="BB67">
        <f t="shared" si="29"/>
        <v>1011</v>
      </c>
      <c r="BC67" s="35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0.08</v>
      </c>
      <c r="BD67" s="35" cm="1">
        <f t="array" ref="BD67">$G$13+VLOOKUP($Q67,武学奇术!$A:$ZZ,14,FALSE)+SUM(_xlfn.XLOOKUP(R67:AF67,增益!$A:$A,增益!$N:$N,0))</f>
        <v>0.25</v>
      </c>
      <c r="BE67">
        <f t="shared" si="30"/>
        <v>0</v>
      </c>
      <c r="BF67">
        <f t="shared" si="31"/>
        <v>0</v>
      </c>
      <c r="BG67" s="35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-0.14</v>
      </c>
      <c r="BH67" s="35" cm="1">
        <f t="array" ref="BH67">$G$14+VLOOKUP($Q67,武学奇术!$A:$ZZ,16,FALSE)+SUM(_xlfn.XLOOKUP(R67:AF67,增益!$A:$A,增益!$P:$P,0))</f>
        <v>0</v>
      </c>
      <c r="BI67" s="27">
        <f>MIN(IF(VLOOKUP($Q67,武学奇术!$A:$ZZ,23,FALSE)=1,100%,$B$8),100%)</f>
        <v>0.9969</v>
      </c>
      <c r="BJ67" s="27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0.9137</v>
      </c>
      <c r="BK67" s="27" cm="1">
        <f t="array" ref="BK67">1+$B$13+VLOOKUP($Q67,武学奇术!$A:$ZZ,18,FALSE)+SUM(_xlfn.XLOOKUP(R67:AF67,增益!$A:$A,增益!$R:$R,0))</f>
        <v>1.6</v>
      </c>
      <c r="BL67" s="27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0.0895</v>
      </c>
      <c r="BM67" s="27" cm="1">
        <f t="array" ref="BM67">1+$B$14+VLOOKUP($Q67,武学奇术!$A:$ZZ,20,FALSE)+SUM(_xlfn.XLOOKUP(R67:AF67,增益!$A:$A,增益!$T:$T,0))</f>
        <v>1.35</v>
      </c>
      <c r="BN67" s="27">
        <f t="shared" si="22"/>
        <v>0.90767745</v>
      </c>
      <c r="BO67" s="27">
        <f t="shared" ref="BO67:BO130" si="32">1-BL67-BN67-BP67</f>
        <v>-1.30104260698261e-17</v>
      </c>
      <c r="BP67" s="27">
        <f>IF(VLOOKUP($Q67,武学奇术!$A:$ZZ,22,FALSE)=1,0,(1-$BI67))*(1-$BL67)</f>
        <v>0.00282254999999999</v>
      </c>
      <c r="BQ67" s="27" cm="1">
        <f t="array" ref="BQ67">SUM(_xlfn.XLOOKUP(R67:AF67,增益!$A:$A,增益!$W:$W,0))+$I$5</f>
        <v>0.11</v>
      </c>
    </row>
    <row r="68" spans="1:69">
      <c r="A68" s="4" t="s">
        <v>178</v>
      </c>
      <c r="B68" s="4">
        <v>3.3</v>
      </c>
      <c r="C68" s="42"/>
      <c r="F68">
        <v>-26</v>
      </c>
      <c r="G68" s="42" t="s">
        <v>153</v>
      </c>
      <c r="K68" s="41">
        <f t="shared" si="23"/>
        <v>116352.467671138</v>
      </c>
      <c r="L68" s="41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弹道",$B$21,0))*(1+$BQ68)</f>
        <v>116982.324919267</v>
      </c>
      <c r="M68" s="41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弹道",$B$21,0))*(1+$BQ68)</f>
        <v>112497.537927078</v>
      </c>
      <c r="N68" s="41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弹道",$B$21,0))*(1+$BQ68)</f>
        <v>59684.8596526873</v>
      </c>
      <c r="O68" s="41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弹道",$B$21,0))*(1+$BQ68)</f>
        <v>36038.2097297615</v>
      </c>
      <c r="P68" s="42">
        <v>1</v>
      </c>
      <c r="Q68" s="43" t="s">
        <v>133</v>
      </c>
      <c r="R68" s="43" t="s">
        <v>93</v>
      </c>
      <c r="S68" s="43" t="s">
        <v>158</v>
      </c>
      <c r="T68" s="43" t="s">
        <v>73</v>
      </c>
      <c r="U68" s="43" t="s">
        <v>159</v>
      </c>
      <c r="V68" s="43" t="s">
        <v>134</v>
      </c>
      <c r="W68" s="43" t="s">
        <v>73</v>
      </c>
      <c r="X68" s="43" t="s">
        <v>73</v>
      </c>
      <c r="Y68" s="43" t="s">
        <v>73</v>
      </c>
      <c r="Z68" s="43" t="s">
        <v>73</v>
      </c>
      <c r="AA68" s="43" t="s">
        <v>73</v>
      </c>
      <c r="AB68" s="43" t="s">
        <v>80</v>
      </c>
      <c r="AC68" s="43" t="s">
        <v>73</v>
      </c>
      <c r="AD68" s="43" t="s">
        <v>73</v>
      </c>
      <c r="AE68" s="43" t="s">
        <v>73</v>
      </c>
      <c r="AF68" s="43" t="s">
        <v>75</v>
      </c>
      <c r="AG68" t="str">
        <f>VLOOKUP($Q68,武学奇术!$A:$ZZ,25,FALSE)</f>
        <v>扇</v>
      </c>
      <c r="AH68" s="27">
        <f>VLOOKUP($Q68,武学奇术!$A:$ZZ,26,FALSE)</f>
        <v>4.376825</v>
      </c>
      <c r="AI68" s="28">
        <f>VLOOKUP($Q68,武学奇术!$A:$ZZ,27,FALSE)*(1+IF(OR($AG68=$F$4,$AG68=$F$5),$B$22,0))</f>
        <v>1695.05</v>
      </c>
      <c r="AJ68" s="27">
        <f>VLOOKUP($Q68,武学奇术!$A:$ZZ,28,FALSE)</f>
        <v>6.56531</v>
      </c>
      <c r="AK68" s="28">
        <f>VLOOKUP($Q68,武学奇术!$A:$ZZ,29,FALSE)*(1+IF(OR($AG68=$F$4,$AG68=$F$5),$B$22,0))</f>
        <v>923.65</v>
      </c>
      <c r="AL68" s="27" cm="1">
        <f t="array" ref="AL68">$G$3+IFERROR(VLOOKUP($AG68,$F$4:$G$7,2,FALSE),0)+VLOOKUP($Q68,武学奇术!$A:$ZZ,2,FALSE)+SUM(_xlfn.XLOOKUP($R68:$AF68,增益!$A:$A,增益!$B:$B,0))</f>
        <v>0.4189</v>
      </c>
      <c r="AM68" s="27" cm="1">
        <f t="array" ref="AM68">VLOOKUP($Q68,武学奇术!$A:$ZZ,5,FALSE)+SUM(_xlfn.XLOOKUP($R68:$AF68,增益!$A:$A,增益!$E:$E,0))</f>
        <v>0.15</v>
      </c>
      <c r="AN68" cm="1">
        <f t="array" ref="AN68">$D$10*(1+$AM68)+VLOOKUP($Q68,武学奇术!$A:$ZZ,3,FALSE)+SUM(_xlfn.XLOOKUP($R68:$AF68,增益!$A:$A,增益!$C:$C,0))-$I$2</f>
        <v>2125.755</v>
      </c>
      <c r="AO68" cm="1">
        <f t="array" ref="AO68">$E$10*(1+$AM68)+VLOOKUP($Q68,武学奇术!$A:$ZZ,4,FALSE)+SUM(_xlfn.XLOOKUP($R68:$AF68,增益!$A:$A,增益!$D:$D,0))-$I$2</f>
        <v>6122.925</v>
      </c>
      <c r="AP68" s="35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0.3425</v>
      </c>
      <c r="AQ68" s="35" cm="1">
        <f t="array" ref="AQ68">$G$10+VLOOKUP($Q68,武学奇术!$A:$ZZ,7,FALSE)+SUM(_xlfn.XLOOKUP(R68:AF68,增益!$A:$A,增益!$G:$G,0))</f>
        <v>0.1</v>
      </c>
      <c r="AR68" s="27" cm="1">
        <f t="array" ref="AR68">VLOOKUP($Q68,武学奇术!$A:$ZZ,8,FALSE)+SUM(_xlfn.XLOOKUP(R68:AF68,增益!$A:$A,增益!$H:$H,0))</f>
        <v>0</v>
      </c>
      <c r="AS68">
        <f t="shared" si="24"/>
        <v>0</v>
      </c>
      <c r="AT68">
        <f t="shared" si="25"/>
        <v>0</v>
      </c>
      <c r="AU68" s="35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-0.14</v>
      </c>
      <c r="AV68" s="35" cm="1">
        <f t="array" ref="AV68">$G$11+VLOOKUP($Q68,武学奇术!$A:$ZZ,10,FALSE)+SUM(_xlfn.XLOOKUP(R68:AF68,增益!$A:$A,增益!$J:$J,0))</f>
        <v>0</v>
      </c>
      <c r="AW68">
        <f t="shared" si="26"/>
        <v>0</v>
      </c>
      <c r="AX68">
        <f t="shared" si="27"/>
        <v>0</v>
      </c>
      <c r="AY68" s="35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-0.14</v>
      </c>
      <c r="AZ68" s="35" cm="1">
        <f t="array" ref="AZ68">$G$12+VLOOKUP($Q68,武学奇术!$A:$ZZ,12,FALSE)+SUM(_xlfn.XLOOKUP(R68:AF68,增益!$A:$A,增益!$L:$L,0))</f>
        <v>0</v>
      </c>
      <c r="BA68">
        <f t="shared" si="28"/>
        <v>538</v>
      </c>
      <c r="BB68">
        <f t="shared" si="29"/>
        <v>1011</v>
      </c>
      <c r="BC68" s="35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0.08</v>
      </c>
      <c r="BD68" s="35" cm="1">
        <f t="array" ref="BD68">$G$13+VLOOKUP($Q68,武学奇术!$A:$ZZ,14,FALSE)+SUM(_xlfn.XLOOKUP(R68:AF68,增益!$A:$A,增益!$N:$N,0))</f>
        <v>0.25</v>
      </c>
      <c r="BE68">
        <f t="shared" si="30"/>
        <v>0</v>
      </c>
      <c r="BF68">
        <f t="shared" si="31"/>
        <v>0</v>
      </c>
      <c r="BG68" s="35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-0.14</v>
      </c>
      <c r="BH68" s="35" cm="1">
        <f t="array" ref="BH68">$G$14+VLOOKUP($Q68,武学奇术!$A:$ZZ,16,FALSE)+SUM(_xlfn.XLOOKUP(R68:AF68,增益!$A:$A,增益!$P:$P,0))</f>
        <v>0</v>
      </c>
      <c r="BI68" s="27">
        <f>MIN(IF(VLOOKUP($Q68,武学奇术!$A:$ZZ,23,FALSE)=1,100%,$B$8),100%)</f>
        <v>0.9969</v>
      </c>
      <c r="BJ68" s="27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0.9137</v>
      </c>
      <c r="BK68" s="27" cm="1">
        <f t="array" ref="BK68">1+$B$13+VLOOKUP($Q68,武学奇术!$A:$ZZ,18,FALSE)+SUM(_xlfn.XLOOKUP(R68:AF68,增益!$A:$A,增益!$R:$R,0))</f>
        <v>1.96</v>
      </c>
      <c r="BL68" s="27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0.0895</v>
      </c>
      <c r="BM68" s="27" cm="1">
        <f t="array" ref="BM68">1+$B$14+VLOOKUP($Q68,武学奇术!$A:$ZZ,20,FALSE)+SUM(_xlfn.XLOOKUP(R68:AF68,增益!$A:$A,增益!$T:$T,0))</f>
        <v>1.35</v>
      </c>
      <c r="BN68" s="27">
        <f t="shared" si="22"/>
        <v>0.90767745</v>
      </c>
      <c r="BO68" s="27">
        <f t="shared" si="32"/>
        <v>-1.30104260698261e-17</v>
      </c>
      <c r="BP68" s="27">
        <f>IF(VLOOKUP($Q68,武学奇术!$A:$ZZ,22,FALSE)=1,0,(1-$BI68))*(1-$BL68)</f>
        <v>0.00282254999999999</v>
      </c>
      <c r="BQ68" s="27" cm="1">
        <f t="array" ref="BQ68">SUM(_xlfn.XLOOKUP(R68:AF68,增益!$A:$A,增益!$W:$W,0))+$I$5</f>
        <v>0.11</v>
      </c>
    </row>
    <row r="69" spans="1:69">
      <c r="A69" s="4" t="s">
        <v>174</v>
      </c>
      <c r="B69" s="4">
        <v>2</v>
      </c>
      <c r="C69" s="42"/>
      <c r="F69">
        <v>-15</v>
      </c>
      <c r="G69" s="42"/>
      <c r="K69" s="41">
        <f t="shared" si="23"/>
        <v>91346.7939532332</v>
      </c>
      <c r="L69" s="41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弹道",$B$21,0))*(1+$BQ69)</f>
        <v>91837.88199952</v>
      </c>
      <c r="M69" s="41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弹道",$B$21,0))*(1+$BQ69)</f>
        <v>88355.8056368017</v>
      </c>
      <c r="N69" s="41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弹道",$B$21,0))*(1+$BQ69)</f>
        <v>46856.062244653</v>
      </c>
      <c r="O69" s="41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弹道",$B$21,0))*(1+$BQ69)</f>
        <v>28263.3795731567</v>
      </c>
      <c r="P69" s="42">
        <v>1</v>
      </c>
      <c r="Q69" s="43" t="s">
        <v>97</v>
      </c>
      <c r="R69" s="43" t="s">
        <v>93</v>
      </c>
      <c r="S69" s="43" t="s">
        <v>158</v>
      </c>
      <c r="T69" s="43" t="s">
        <v>102</v>
      </c>
      <c r="U69" s="43" t="s">
        <v>159</v>
      </c>
      <c r="V69" s="43" t="s">
        <v>98</v>
      </c>
      <c r="W69" s="43" t="s">
        <v>73</v>
      </c>
      <c r="X69" s="43" t="s">
        <v>73</v>
      </c>
      <c r="Y69" s="43" t="s">
        <v>73</v>
      </c>
      <c r="Z69" s="43" t="s">
        <v>73</v>
      </c>
      <c r="AA69" s="43" t="s">
        <v>73</v>
      </c>
      <c r="AB69" s="43" t="s">
        <v>80</v>
      </c>
      <c r="AC69" s="43" t="s">
        <v>73</v>
      </c>
      <c r="AD69" s="43" t="s">
        <v>73</v>
      </c>
      <c r="AE69" s="43" t="s">
        <v>73</v>
      </c>
      <c r="AF69" s="43" t="s">
        <v>75</v>
      </c>
      <c r="AG69" t="str">
        <f>VLOOKUP($Q69,武学奇术!$A:$ZZ,25,FALSE)</f>
        <v>伞</v>
      </c>
      <c r="AH69" s="27">
        <f>VLOOKUP($Q69,武学奇术!$A:$ZZ,26,FALSE)</f>
        <v>2.3397</v>
      </c>
      <c r="AI69" s="28">
        <f>VLOOKUP($Q69,武学奇术!$A:$ZZ,27,FALSE)*(1+IF(OR($AG69=$F$4,$AG69=$F$5),$B$22,0))</f>
        <v>907.2</v>
      </c>
      <c r="AJ69" s="27">
        <f>VLOOKUP($Q69,武学奇术!$A:$ZZ,28,FALSE)</f>
        <v>3.5095</v>
      </c>
      <c r="AK69" s="28">
        <f>VLOOKUP($Q69,武学奇术!$A:$ZZ,29,FALSE)*(1+IF(OR($AG69=$F$4,$AG69=$F$5),$B$22,0))</f>
        <v>494.2</v>
      </c>
      <c r="AL69" s="27" cm="1">
        <f t="array" ref="AL69">$G$3+IFERROR(VLOOKUP($AG69,$F$4:$G$7,2,FALSE),0)+VLOOKUP($Q69,武学奇术!$A:$ZZ,2,FALSE)+SUM(_xlfn.XLOOKUP($R69:$AF69,增益!$A:$A,增益!$B:$B,0))</f>
        <v>1.0541</v>
      </c>
      <c r="AM69" s="27" cm="1">
        <f t="array" ref="AM69">VLOOKUP($Q69,武学奇术!$A:$ZZ,5,FALSE)+SUM(_xlfn.XLOOKUP($R69:$AF69,增益!$A:$A,增益!$E:$E,0))</f>
        <v>0.15</v>
      </c>
      <c r="AN69" cm="1">
        <f t="array" ref="AN69">$D$10*(1+$AM69)+VLOOKUP($Q69,武学奇术!$A:$ZZ,3,FALSE)+SUM(_xlfn.XLOOKUP($R69:$AF69,增益!$A:$A,增益!$C:$C,0))-$I$2</f>
        <v>2125.755</v>
      </c>
      <c r="AO69" cm="1">
        <f t="array" ref="AO69">$E$10*(1+$AM69)+VLOOKUP($Q69,武学奇术!$A:$ZZ,4,FALSE)+SUM(_xlfn.XLOOKUP($R69:$AF69,增益!$A:$A,增益!$D:$D,0))-$I$2</f>
        <v>6122.925</v>
      </c>
      <c r="AP69" s="35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0.3675</v>
      </c>
      <c r="AQ69" s="35" cm="1">
        <f t="array" ref="AQ69">$G$10+VLOOKUP($Q69,武学奇术!$A:$ZZ,7,FALSE)+SUM(_xlfn.XLOOKUP(R69:AF69,增益!$A:$A,增益!$G:$G,0))</f>
        <v>0.1</v>
      </c>
      <c r="AR69" s="27" cm="1">
        <f t="array" ref="AR69">VLOOKUP($Q69,武学奇术!$A:$ZZ,8,FALSE)+SUM(_xlfn.XLOOKUP(R69:AF69,增益!$A:$A,增益!$H:$H,0))</f>
        <v>0</v>
      </c>
      <c r="AS69">
        <f t="shared" si="24"/>
        <v>0</v>
      </c>
      <c r="AT69">
        <f t="shared" si="25"/>
        <v>0</v>
      </c>
      <c r="AU69" s="35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-0.14</v>
      </c>
      <c r="AV69" s="35" cm="1">
        <f t="array" ref="AV69">$G$11+VLOOKUP($Q69,武学奇术!$A:$ZZ,10,FALSE)+SUM(_xlfn.XLOOKUP(R69:AF69,增益!$A:$A,增益!$J:$J,0))</f>
        <v>0</v>
      </c>
      <c r="AW69">
        <f t="shared" si="26"/>
        <v>0</v>
      </c>
      <c r="AX69">
        <f t="shared" si="27"/>
        <v>0</v>
      </c>
      <c r="AY69" s="35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-0.14</v>
      </c>
      <c r="AZ69" s="35" cm="1">
        <f t="array" ref="AZ69">$G$12+VLOOKUP($Q69,武学奇术!$A:$ZZ,12,FALSE)+SUM(_xlfn.XLOOKUP(R69:AF69,增益!$A:$A,增益!$L:$L,0))</f>
        <v>0</v>
      </c>
      <c r="BA69">
        <f t="shared" si="28"/>
        <v>538</v>
      </c>
      <c r="BB69">
        <f t="shared" si="29"/>
        <v>1011</v>
      </c>
      <c r="BC69" s="35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0.08</v>
      </c>
      <c r="BD69" s="35" cm="1">
        <f t="array" ref="BD69">$G$13+VLOOKUP($Q69,武学奇术!$A:$ZZ,14,FALSE)+SUM(_xlfn.XLOOKUP(R69:AF69,增益!$A:$A,增益!$N:$N,0))</f>
        <v>0.25</v>
      </c>
      <c r="BE69">
        <f t="shared" si="30"/>
        <v>0</v>
      </c>
      <c r="BF69">
        <f t="shared" si="31"/>
        <v>0</v>
      </c>
      <c r="BG69" s="35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-0.14</v>
      </c>
      <c r="BH69" s="35" cm="1">
        <f t="array" ref="BH69">$G$14+VLOOKUP($Q69,武学奇术!$A:$ZZ,16,FALSE)+SUM(_xlfn.XLOOKUP(R69:AF69,增益!$A:$A,增益!$P:$P,0))</f>
        <v>0</v>
      </c>
      <c r="BI69" s="27">
        <f>MIN(IF(VLOOKUP($Q69,武学奇术!$A:$ZZ,23,FALSE)=1,100%,$B$8),100%)</f>
        <v>0.9969</v>
      </c>
      <c r="BJ69" s="27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0.9137</v>
      </c>
      <c r="BK69" s="27" cm="1">
        <f t="array" ref="BK69">1+$B$13+VLOOKUP($Q69,武学奇术!$A:$ZZ,18,FALSE)+SUM(_xlfn.XLOOKUP(R69:AF69,增益!$A:$A,增益!$R:$R,0))</f>
        <v>1.96</v>
      </c>
      <c r="BL69" s="27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0.0895</v>
      </c>
      <c r="BM69" s="27" cm="1">
        <f t="array" ref="BM69">1+$B$14+VLOOKUP($Q69,武学奇术!$A:$ZZ,20,FALSE)+SUM(_xlfn.XLOOKUP(R69:AF69,增益!$A:$A,增益!$T:$T,0))</f>
        <v>1.35</v>
      </c>
      <c r="BN69" s="27">
        <f t="shared" si="22"/>
        <v>0.90767745</v>
      </c>
      <c r="BO69" s="27">
        <f t="shared" si="32"/>
        <v>-1.30104260698261e-17</v>
      </c>
      <c r="BP69" s="27">
        <f>IF(VLOOKUP($Q69,武学奇术!$A:$ZZ,22,FALSE)=1,0,(1-$BI69))*(1-$BL69)</f>
        <v>0.00282254999999999</v>
      </c>
      <c r="BQ69" s="27" cm="1">
        <f t="array" ref="BQ69">SUM(_xlfn.XLOOKUP(R69:AF69,增益!$A:$A,增益!$W:$W,0))+$I$5</f>
        <v>0.11</v>
      </c>
    </row>
    <row r="70" spans="1:69">
      <c r="A70" s="4" t="s">
        <v>97</v>
      </c>
      <c r="B70" s="4">
        <v>1.25</v>
      </c>
      <c r="D70" s="42" t="s">
        <v>157</v>
      </c>
      <c r="E70" s="42" t="s">
        <v>179</v>
      </c>
      <c r="F70">
        <v>10</v>
      </c>
      <c r="G70" s="42"/>
      <c r="K70" s="41">
        <f t="shared" si="23"/>
        <v>37228.8913800822</v>
      </c>
      <c r="L70" s="41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弹道",$B$21,0))*(1+$BQ70)</f>
        <v>36708.5288569103</v>
      </c>
      <c r="M70" s="41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弹道",$B$21,0))*(1+$BQ70)</f>
        <v>43243.4112240975</v>
      </c>
      <c r="N70" s="41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弹道",$B$21,0))*(1+$BQ70)</f>
        <v>22942.830535569</v>
      </c>
      <c r="O70" s="41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弹道",$B$21,0))*(1+$BQ70)</f>
        <v>13853.5046088435</v>
      </c>
      <c r="P70" s="42">
        <v>1</v>
      </c>
      <c r="Q70" s="43" t="s">
        <v>104</v>
      </c>
      <c r="R70" s="43" t="s">
        <v>93</v>
      </c>
      <c r="S70" s="43" t="s">
        <v>158</v>
      </c>
      <c r="T70" s="43" t="s">
        <v>73</v>
      </c>
      <c r="U70" s="43" t="s">
        <v>159</v>
      </c>
      <c r="V70" s="43" t="s">
        <v>73</v>
      </c>
      <c r="W70" s="43" t="s">
        <v>73</v>
      </c>
      <c r="X70" s="43" t="s">
        <v>73</v>
      </c>
      <c r="Y70" s="43" t="s">
        <v>73</v>
      </c>
      <c r="Z70" s="43" t="s">
        <v>73</v>
      </c>
      <c r="AA70" s="43" t="s">
        <v>73</v>
      </c>
      <c r="AB70" s="43" t="s">
        <v>80</v>
      </c>
      <c r="AC70" s="43" t="s">
        <v>73</v>
      </c>
      <c r="AD70" s="43" t="s">
        <v>73</v>
      </c>
      <c r="AE70" s="43" t="s">
        <v>73</v>
      </c>
      <c r="AF70" s="43" t="s">
        <v>75</v>
      </c>
      <c r="AG70" t="str">
        <f>VLOOKUP($Q70,武学奇术!$A:$ZZ,25,FALSE)</f>
        <v>伞</v>
      </c>
      <c r="AH70" s="27">
        <f>VLOOKUP($Q70,武学奇术!$A:$ZZ,26,FALSE)</f>
        <v>1.7001</v>
      </c>
      <c r="AI70" s="28">
        <f>VLOOKUP($Q70,武学奇术!$A:$ZZ,27,FALSE)*(1+IF(OR($AG70=$F$4,$AG70=$F$5),$B$22,0))</f>
        <v>659.4</v>
      </c>
      <c r="AJ70" s="27">
        <f>VLOOKUP($Q70,武学奇术!$A:$ZZ,28,FALSE)</f>
        <v>2.5502</v>
      </c>
      <c r="AK70" s="28">
        <f>VLOOKUP($Q70,武学奇术!$A:$ZZ,29,FALSE)*(1+IF(OR($AG70=$F$4,$AG70=$F$5),$B$22,0))</f>
        <v>358.4</v>
      </c>
      <c r="AL70" s="27" cm="1">
        <f t="array" ref="AL70">$G$3+IFERROR(VLOOKUP($AG70,$F$4:$G$7,2,FALSE),0)+VLOOKUP($Q70,武学奇术!$A:$ZZ,2,FALSE)+SUM(_xlfn.XLOOKUP($R70:$AF70,增益!$A:$A,增益!$B:$B,0))</f>
        <v>0.4041</v>
      </c>
      <c r="AM70" s="27" cm="1">
        <f t="array" ref="AM70">VLOOKUP($Q70,武学奇术!$A:$ZZ,5,FALSE)+SUM(_xlfn.XLOOKUP($R70:$AF70,增益!$A:$A,增益!$E:$E,0))</f>
        <v>0.15</v>
      </c>
      <c r="AN70" cm="1">
        <f t="array" ref="AN70">$D$10*(1+$AM70)+VLOOKUP($Q70,武学奇术!$A:$ZZ,3,FALSE)+SUM(_xlfn.XLOOKUP($R70:$AF70,增益!$A:$A,增益!$C:$C,0))-$I$2</f>
        <v>2125.755</v>
      </c>
      <c r="AO70" cm="1">
        <f t="array" ref="AO70">$E$10*(1+$AM70)+VLOOKUP($Q70,武学奇术!$A:$ZZ,4,FALSE)+SUM(_xlfn.XLOOKUP($R70:$AF70,增益!$A:$A,增益!$D:$D,0))-$I$2</f>
        <v>6122.925</v>
      </c>
      <c r="AP70" s="35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0.3425</v>
      </c>
      <c r="AQ70" s="35" cm="1">
        <f t="array" ref="AQ70">$G$10+VLOOKUP($Q70,武学奇术!$A:$ZZ,7,FALSE)+SUM(_xlfn.XLOOKUP(R70:AF70,增益!$A:$A,增益!$G:$G,0))</f>
        <v>0.1</v>
      </c>
      <c r="AR70" s="27" cm="1">
        <f t="array" ref="AR70">VLOOKUP($Q70,武学奇术!$A:$ZZ,8,FALSE)+SUM(_xlfn.XLOOKUP(R70:AF70,增益!$A:$A,增益!$H:$H,0))</f>
        <v>0</v>
      </c>
      <c r="AS70">
        <f t="shared" si="24"/>
        <v>0</v>
      </c>
      <c r="AT70">
        <f t="shared" si="25"/>
        <v>0</v>
      </c>
      <c r="AU70" s="35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-0.14</v>
      </c>
      <c r="AV70" s="35" cm="1">
        <f t="array" ref="AV70">$G$11+VLOOKUP($Q70,武学奇术!$A:$ZZ,10,FALSE)+SUM(_xlfn.XLOOKUP(R70:AF70,增益!$A:$A,增益!$J:$J,0))</f>
        <v>0</v>
      </c>
      <c r="AW70">
        <f t="shared" si="26"/>
        <v>0</v>
      </c>
      <c r="AX70">
        <f t="shared" si="27"/>
        <v>0</v>
      </c>
      <c r="AY70" s="35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-0.14</v>
      </c>
      <c r="AZ70" s="35" cm="1">
        <f t="array" ref="AZ70">$G$12+VLOOKUP($Q70,武学奇术!$A:$ZZ,12,FALSE)+SUM(_xlfn.XLOOKUP(R70:AF70,增益!$A:$A,增益!$L:$L,0))</f>
        <v>0</v>
      </c>
      <c r="BA70">
        <f t="shared" si="28"/>
        <v>538</v>
      </c>
      <c r="BB70">
        <f t="shared" si="29"/>
        <v>1011</v>
      </c>
      <c r="BC70" s="35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0.08</v>
      </c>
      <c r="BD70" s="35" cm="1">
        <f t="array" ref="BD70">$G$13+VLOOKUP($Q70,武学奇术!$A:$ZZ,14,FALSE)+SUM(_xlfn.XLOOKUP(R70:AF70,增益!$A:$A,增益!$N:$N,0))</f>
        <v>0.25</v>
      </c>
      <c r="BE70">
        <f t="shared" si="30"/>
        <v>0</v>
      </c>
      <c r="BF70">
        <f t="shared" si="31"/>
        <v>0</v>
      </c>
      <c r="BG70" s="35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-0.14</v>
      </c>
      <c r="BH70" s="35" cm="1">
        <f t="array" ref="BH70">$G$14+VLOOKUP($Q70,武学奇术!$A:$ZZ,16,FALSE)+SUM(_xlfn.XLOOKUP(R70:AF70,增益!$A:$A,增益!$P:$P,0))</f>
        <v>0</v>
      </c>
      <c r="BI70" s="27">
        <f>MIN(IF(VLOOKUP($Q70,武学奇术!$A:$ZZ,23,FALSE)=1,100%,$B$8),100%)</f>
        <v>0.9969</v>
      </c>
      <c r="BJ70" s="27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0.9137</v>
      </c>
      <c r="BK70" s="27" cm="1">
        <f t="array" ref="BK70">1+$B$13+VLOOKUP($Q70,武学奇术!$A:$ZZ,18,FALSE)+SUM(_xlfn.XLOOKUP(R70:AF70,增益!$A:$A,增益!$R:$R,0))</f>
        <v>1.6</v>
      </c>
      <c r="BL70" s="27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0.0895</v>
      </c>
      <c r="BM70" s="27" cm="1">
        <f t="array" ref="BM70">1+$B$14+VLOOKUP($Q70,武学奇术!$A:$ZZ,20,FALSE)+SUM(_xlfn.XLOOKUP(R70:AF70,增益!$A:$A,增益!$T:$T,0))</f>
        <v>1.35</v>
      </c>
      <c r="BN70" s="27">
        <f t="shared" si="22"/>
        <v>0.90767745</v>
      </c>
      <c r="BO70" s="27">
        <f t="shared" si="32"/>
        <v>-1.30104260698261e-17</v>
      </c>
      <c r="BP70" s="27">
        <f>IF(VLOOKUP($Q70,武学奇术!$A:$ZZ,22,FALSE)=1,0,(1-$BI70))*(1-$BL70)</f>
        <v>0.00282254999999999</v>
      </c>
      <c r="BQ70" s="27" cm="1">
        <f t="array" ref="BQ70">SUM(_xlfn.XLOOKUP(R70:AF70,增益!$A:$A,增益!$W:$W,0))+$I$5</f>
        <v>0.11</v>
      </c>
    </row>
    <row r="71" spans="1:69">
      <c r="A71" s="4" t="s">
        <v>152</v>
      </c>
      <c r="B71" s="94">
        <v>1.3</v>
      </c>
      <c r="C71" s="4"/>
      <c r="D71" s="42"/>
      <c r="E71" s="42"/>
      <c r="G71" s="42"/>
      <c r="K71" s="41">
        <f t="shared" si="23"/>
        <v>14521.576857239</v>
      </c>
      <c r="L71" s="41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弹道",$B$21,0))*(1+$BQ71)</f>
        <v>14317.1393609703</v>
      </c>
      <c r="M71" s="41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弹道",$B$21,0))*(1+$BQ71)</f>
        <v>16882.8725520285</v>
      </c>
      <c r="N71" s="41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弹道",$B$21,0))*(1+$BQ71)</f>
        <v>8948.21210060644</v>
      </c>
      <c r="O71" s="41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弹道",$B$21,0))*(1+$BQ71)</f>
        <v>5390.59268119178</v>
      </c>
      <c r="P71" s="42">
        <v>1</v>
      </c>
      <c r="Q71" s="43" t="s">
        <v>107</v>
      </c>
      <c r="R71" s="43" t="s">
        <v>93</v>
      </c>
      <c r="S71" s="43" t="s">
        <v>158</v>
      </c>
      <c r="T71" s="43" t="s">
        <v>73</v>
      </c>
      <c r="U71" s="43" t="s">
        <v>86</v>
      </c>
      <c r="V71" s="43" t="s">
        <v>73</v>
      </c>
      <c r="W71" s="43" t="s">
        <v>73</v>
      </c>
      <c r="X71" s="43" t="s">
        <v>73</v>
      </c>
      <c r="Y71" s="43" t="s">
        <v>73</v>
      </c>
      <c r="Z71" s="43" t="s">
        <v>73</v>
      </c>
      <c r="AA71" s="43" t="s">
        <v>73</v>
      </c>
      <c r="AB71" s="43" t="s">
        <v>73</v>
      </c>
      <c r="AC71" s="43" t="s">
        <v>73</v>
      </c>
      <c r="AD71" s="43" t="s">
        <v>73</v>
      </c>
      <c r="AE71" s="43" t="s">
        <v>73</v>
      </c>
      <c r="AF71" s="43" t="s">
        <v>75</v>
      </c>
      <c r="AG71" t="str">
        <f>VLOOKUP($Q71,武学奇术!$A:$ZZ,25,FALSE)</f>
        <v>伞</v>
      </c>
      <c r="AH71" s="27">
        <f>VLOOKUP($Q71,武学奇术!$A:$ZZ,26,FALSE)</f>
        <v>0.54</v>
      </c>
      <c r="AI71" s="28">
        <f>VLOOKUP($Q71,武学奇术!$A:$ZZ,27,FALSE)*(1+IF(OR($AG71=$F$4,$AG71=$F$5),$B$22,0))</f>
        <v>207.2</v>
      </c>
      <c r="AJ71" s="27">
        <f>VLOOKUP($Q71,武学奇术!$A:$ZZ,28,FALSE)</f>
        <v>0.81</v>
      </c>
      <c r="AK71" s="28">
        <f>VLOOKUP($Q71,武学奇术!$A:$ZZ,29,FALSE)*(1+IF(OR($AG71=$F$4,$AG71=$F$5),$B$22,0))</f>
        <v>114.1</v>
      </c>
      <c r="AL71" s="27" cm="1">
        <f t="array" ref="AL71">$G$3+IFERROR(VLOOKUP($AG71,$F$4:$G$7,2,FALSE),0)+VLOOKUP($Q71,武学奇术!$A:$ZZ,2,FALSE)+SUM(_xlfn.XLOOKUP($R71:$AF71,增益!$A:$A,增益!$B:$B,0))</f>
        <v>0.4041</v>
      </c>
      <c r="AM71" s="27" cm="1">
        <f t="array" ref="AM71">VLOOKUP($Q71,武学奇术!$A:$ZZ,5,FALSE)+SUM(_xlfn.XLOOKUP($R71:$AF71,增益!$A:$A,增益!$E:$E,0))</f>
        <v>0.075</v>
      </c>
      <c r="AN71" cm="1">
        <f t="array" ref="AN71">$D$10*(1+$AM71)+VLOOKUP($Q71,武学奇术!$A:$ZZ,3,FALSE)+SUM(_xlfn.XLOOKUP($R71:$AF71,增益!$A:$A,增益!$C:$C,0))-$I$2</f>
        <v>1950.7275</v>
      </c>
      <c r="AO71" cm="1">
        <f t="array" ref="AO71">$E$10*(1+$AM71)+VLOOKUP($Q71,武学奇术!$A:$ZZ,4,FALSE)+SUM(_xlfn.XLOOKUP($R71:$AF71,增益!$A:$A,增益!$D:$D,0))-$I$2</f>
        <v>5687.2125</v>
      </c>
      <c r="AP71" s="35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0.3425</v>
      </c>
      <c r="AQ71" s="35" cm="1">
        <f t="array" ref="AQ71">$G$10+VLOOKUP($Q71,武学奇术!$A:$ZZ,7,FALSE)+SUM(_xlfn.XLOOKUP(R71:AF71,增益!$A:$A,增益!$G:$G,0))</f>
        <v>0.1</v>
      </c>
      <c r="AR71" s="27" cm="1">
        <f t="array" ref="AR71">VLOOKUP($Q71,武学奇术!$A:$ZZ,8,FALSE)+SUM(_xlfn.XLOOKUP(R71:AF71,增益!$A:$A,增益!$H:$H,0))</f>
        <v>0</v>
      </c>
      <c r="AS71">
        <f t="shared" si="24"/>
        <v>0</v>
      </c>
      <c r="AT71">
        <f t="shared" si="25"/>
        <v>0</v>
      </c>
      <c r="AU71" s="35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-0.3</v>
      </c>
      <c r="AV71" s="35" cm="1">
        <f t="array" ref="AV71">$G$11+VLOOKUP($Q71,武学奇术!$A:$ZZ,10,FALSE)+SUM(_xlfn.XLOOKUP(R71:AF71,增益!$A:$A,增益!$J:$J,0))</f>
        <v>0</v>
      </c>
      <c r="AW71">
        <f t="shared" si="26"/>
        <v>0</v>
      </c>
      <c r="AX71">
        <f t="shared" si="27"/>
        <v>0</v>
      </c>
      <c r="AY71" s="35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-0.3</v>
      </c>
      <c r="AZ71" s="35" cm="1">
        <f t="array" ref="AZ71">$G$12+VLOOKUP($Q71,武学奇术!$A:$ZZ,12,FALSE)+SUM(_xlfn.XLOOKUP(R71:AF71,增益!$A:$A,增益!$L:$L,0))</f>
        <v>0</v>
      </c>
      <c r="BA71">
        <f t="shared" si="28"/>
        <v>538</v>
      </c>
      <c r="BB71">
        <f t="shared" si="29"/>
        <v>1011</v>
      </c>
      <c r="BC71" s="35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0</v>
      </c>
      <c r="BD71" s="35" cm="1">
        <f t="array" ref="BD71">$G$13+VLOOKUP($Q71,武学奇术!$A:$ZZ,14,FALSE)+SUM(_xlfn.XLOOKUP(R71:AF71,增益!$A:$A,增益!$N:$N,0))</f>
        <v>0.25</v>
      </c>
      <c r="BE71">
        <f t="shared" si="30"/>
        <v>0</v>
      </c>
      <c r="BF71">
        <f t="shared" si="31"/>
        <v>0</v>
      </c>
      <c r="BG71" s="35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-0.3</v>
      </c>
      <c r="BH71" s="35" cm="1">
        <f t="array" ref="BH71">$G$14+VLOOKUP($Q71,武学奇术!$A:$ZZ,16,FALSE)+SUM(_xlfn.XLOOKUP(R71:AF71,增益!$A:$A,增益!$P:$P,0))</f>
        <v>0</v>
      </c>
      <c r="BI71" s="27">
        <f>MIN(IF(VLOOKUP($Q71,武学奇术!$A:$ZZ,23,FALSE)=1,100%,$B$8),100%)</f>
        <v>0.9969</v>
      </c>
      <c r="BJ71" s="27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0.9137</v>
      </c>
      <c r="BK71" s="27" cm="1">
        <f t="array" ref="BK71">1+$B$13+VLOOKUP($Q71,武学奇术!$A:$ZZ,18,FALSE)+SUM(_xlfn.XLOOKUP(R71:AF71,增益!$A:$A,增益!$R:$R,0))</f>
        <v>1.6</v>
      </c>
      <c r="BL71" s="27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0.0895</v>
      </c>
      <c r="BM71" s="27" cm="1">
        <f t="array" ref="BM71">1+$B$14+VLOOKUP($Q71,武学奇术!$A:$ZZ,20,FALSE)+SUM(_xlfn.XLOOKUP(R71:AF71,增益!$A:$A,增益!$T:$T,0))</f>
        <v>1.35</v>
      </c>
      <c r="BN71" s="27">
        <f t="shared" si="22"/>
        <v>0.90767745</v>
      </c>
      <c r="BO71" s="27">
        <f t="shared" si="32"/>
        <v>-1.30104260698261e-17</v>
      </c>
      <c r="BP71" s="27">
        <f>IF(VLOOKUP($Q71,武学奇术!$A:$ZZ,22,FALSE)=1,0,(1-$BI71))*(1-$BL71)</f>
        <v>0.00282254999999999</v>
      </c>
      <c r="BQ71" s="27" cm="1">
        <f t="array" ref="BQ71">SUM(_xlfn.XLOOKUP(R71:AF71,增益!$A:$A,增益!$W:$W,0))+$I$5</f>
        <v>0.11</v>
      </c>
    </row>
    <row r="72" spans="1:69">
      <c r="A72" s="4" t="s">
        <v>107</v>
      </c>
      <c r="B72" s="94">
        <v>1.16</v>
      </c>
      <c r="C72" s="4"/>
      <c r="D72" s="42"/>
      <c r="E72" s="42"/>
      <c r="G72" s="42"/>
      <c r="K72" s="41">
        <f t="shared" si="23"/>
        <v>129377.580134761</v>
      </c>
      <c r="L72" s="41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弹道",$B$21,0))*(1+$BQ72)</f>
        <v>127215.195677917</v>
      </c>
      <c r="M72" s="41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弹道",$B$21,0))*(1+$BQ72)</f>
        <v>153969.756453866</v>
      </c>
      <c r="N72" s="41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弹道",$B$21,0))*(1+$BQ72)</f>
        <v>79509.4972986982</v>
      </c>
      <c r="O72" s="41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弹道",$B$21,0))*(1+$BQ72)</f>
        <v>44967.3231500881</v>
      </c>
      <c r="P72" s="42">
        <v>1</v>
      </c>
      <c r="Q72" s="43" t="s">
        <v>161</v>
      </c>
      <c r="R72" s="43" t="s">
        <v>93</v>
      </c>
      <c r="S72" s="43" t="s">
        <v>158</v>
      </c>
      <c r="T72" s="43" t="s">
        <v>73</v>
      </c>
      <c r="U72" s="43" t="s">
        <v>86</v>
      </c>
      <c r="V72" s="43" t="s">
        <v>73</v>
      </c>
      <c r="W72" s="43" t="s">
        <v>73</v>
      </c>
      <c r="X72" s="43" t="s">
        <v>73</v>
      </c>
      <c r="Y72" s="43" t="s">
        <v>73</v>
      </c>
      <c r="Z72" s="43" t="s">
        <v>73</v>
      </c>
      <c r="AA72" s="43" t="s">
        <v>73</v>
      </c>
      <c r="AB72" s="43" t="s">
        <v>73</v>
      </c>
      <c r="AC72" s="43" t="s">
        <v>73</v>
      </c>
      <c r="AD72" s="43" t="s">
        <v>73</v>
      </c>
      <c r="AE72" s="43" t="s">
        <v>73</v>
      </c>
      <c r="AF72" s="43" t="s">
        <v>75</v>
      </c>
      <c r="AG72" t="str">
        <f>VLOOKUP($Q72,武学奇术!$A:$ZZ,25,FALSE)</f>
        <v>单体奇术</v>
      </c>
      <c r="AH72" s="27">
        <f>VLOOKUP($Q72,武学奇术!$A:$ZZ,26,FALSE)</f>
        <v>7.1074</v>
      </c>
      <c r="AI72" s="28">
        <f>VLOOKUP($Q72,武学奇术!$A:$ZZ,27,FALSE)*(1+IF(OR($AG72=$F$4,$AG72=$F$5),$B$22,0))</f>
        <v>1320</v>
      </c>
      <c r="AJ72" s="27">
        <f>VLOOKUP($Q72,武学奇术!$A:$ZZ,28,FALSE)</f>
        <v>10.6596</v>
      </c>
      <c r="AK72" s="28">
        <f>VLOOKUP($Q72,武学奇术!$A:$ZZ,29,FALSE)*(1+IF(OR($AG72=$F$4,$AG72=$F$5),$B$22,0))</f>
        <v>0</v>
      </c>
      <c r="AL72" s="27" cm="1">
        <f t="array" ref="AL72">$G$3+IFERROR(VLOOKUP($AG72,$F$4:$G$7,2,FALSE),0)+VLOOKUP($Q72,武学奇术!$A:$ZZ,2,FALSE)+SUM(_xlfn.XLOOKUP($R72:$AF72,增益!$A:$A,增益!$B:$B,0))</f>
        <v>0.5015</v>
      </c>
      <c r="AM72" s="27" cm="1">
        <f t="array" ref="AM72">VLOOKUP($Q72,武学奇术!$A:$ZZ,5,FALSE)+SUM(_xlfn.XLOOKUP($R72:$AF72,增益!$A:$A,增益!$E:$E,0))</f>
        <v>0.075</v>
      </c>
      <c r="AN72" cm="1">
        <f t="array" ref="AN72">$D$10*(1+$AM72)+VLOOKUP($Q72,武学奇术!$A:$ZZ,3,FALSE)+SUM(_xlfn.XLOOKUP($R72:$AF72,增益!$A:$A,增益!$C:$C,0))-$I$2</f>
        <v>1950.7275</v>
      </c>
      <c r="AO72" cm="1">
        <f t="array" ref="AO72">$E$10*(1+$AM72)+VLOOKUP($Q72,武学奇术!$A:$ZZ,4,FALSE)+SUM(_xlfn.XLOOKUP($R72:$AF72,增益!$A:$A,增益!$D:$D,0))-$I$2</f>
        <v>5687.2125</v>
      </c>
      <c r="AP72" s="35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0.3425</v>
      </c>
      <c r="AQ72" s="35" cm="1">
        <f t="array" ref="AQ72">$G$10+VLOOKUP($Q72,武学奇术!$A:$ZZ,7,FALSE)+SUM(_xlfn.XLOOKUP(R72:AF72,增益!$A:$A,增益!$G:$G,0))</f>
        <v>0</v>
      </c>
      <c r="AR72" s="27" cm="1">
        <f t="array" ref="AR72">VLOOKUP($Q72,武学奇术!$A:$ZZ,8,FALSE)+SUM(_xlfn.XLOOKUP(R72:AF72,增益!$A:$A,增益!$H:$H,0))</f>
        <v>0</v>
      </c>
      <c r="AS72">
        <f t="shared" si="24"/>
        <v>0</v>
      </c>
      <c r="AT72">
        <f t="shared" si="25"/>
        <v>0</v>
      </c>
      <c r="AU72" s="35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35" cm="1">
        <f t="array" ref="AV72">$G$11+VLOOKUP($Q72,武学奇术!$A:$ZZ,10,FALSE)+SUM(_xlfn.XLOOKUP(R72:AF72,增益!$A:$A,增益!$J:$J,0))</f>
        <v>0</v>
      </c>
      <c r="AW72">
        <f t="shared" si="26"/>
        <v>0</v>
      </c>
      <c r="AX72">
        <f t="shared" si="27"/>
        <v>0</v>
      </c>
      <c r="AY72" s="35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-0.3</v>
      </c>
      <c r="AZ72" s="35" cm="1">
        <f t="array" ref="AZ72">$G$12+VLOOKUP($Q72,武学奇术!$A:$ZZ,12,FALSE)+SUM(_xlfn.XLOOKUP(R72:AF72,增益!$A:$A,增益!$L:$L,0))</f>
        <v>0</v>
      </c>
      <c r="BA72">
        <f t="shared" si="28"/>
        <v>538</v>
      </c>
      <c r="BB72">
        <f t="shared" si="29"/>
        <v>1011</v>
      </c>
      <c r="BC72" s="35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0</v>
      </c>
      <c r="BD72" s="35" cm="1">
        <f t="array" ref="BD72">$G$13+VLOOKUP($Q72,武学奇术!$A:$ZZ,14,FALSE)+SUM(_xlfn.XLOOKUP(R72:AF72,增益!$A:$A,增益!$N:$N,0))</f>
        <v>0.15</v>
      </c>
      <c r="BE72">
        <f t="shared" si="30"/>
        <v>0</v>
      </c>
      <c r="BF72">
        <f t="shared" si="31"/>
        <v>0</v>
      </c>
      <c r="BG72" s="35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-0.3</v>
      </c>
      <c r="BH72" s="35" cm="1">
        <f t="array" ref="BH72">$G$14+VLOOKUP($Q72,武学奇术!$A:$ZZ,16,FALSE)+SUM(_xlfn.XLOOKUP(R72:AF72,增益!$A:$A,增益!$P:$P,0))</f>
        <v>0</v>
      </c>
      <c r="BI72" s="27">
        <f>MIN(IF(VLOOKUP($Q72,武学奇术!$A:$ZZ,23,FALSE)=1,100%,$B$8),100%)</f>
        <v>0.9969</v>
      </c>
      <c r="BJ72" s="27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0.9137</v>
      </c>
      <c r="BK72" s="27" cm="1">
        <f t="array" ref="BK72">1+$B$13+VLOOKUP($Q72,武学奇术!$A:$ZZ,18,FALSE)+SUM(_xlfn.XLOOKUP(R72:AF72,增益!$A:$A,增益!$R:$R,0))</f>
        <v>1.6</v>
      </c>
      <c r="BL72" s="27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0.0895</v>
      </c>
      <c r="BM72" s="27" cm="1">
        <f t="array" ref="BM72">1+$B$14+VLOOKUP($Q72,武学奇术!$A:$ZZ,20,FALSE)+SUM(_xlfn.XLOOKUP(R72:AF72,增益!$A:$A,增益!$T:$T,0))</f>
        <v>1.35</v>
      </c>
      <c r="BN72" s="27">
        <f t="shared" si="22"/>
        <v>0.90767745</v>
      </c>
      <c r="BO72" s="27">
        <f t="shared" si="32"/>
        <v>-1.30104260698261e-17</v>
      </c>
      <c r="BP72" s="27">
        <f>IF(VLOOKUP($Q72,武学奇术!$A:$ZZ,22,FALSE)=1,0,(1-$BI72))*(1-$BL72)</f>
        <v>0.00282254999999999</v>
      </c>
      <c r="BQ72" s="27" cm="1">
        <f t="array" ref="BQ72">SUM(_xlfn.XLOOKUP(R72:AF72,增益!$A:$A,增益!$W:$W,0))+$I$5</f>
        <v>0.11</v>
      </c>
    </row>
    <row r="73" spans="1:69">
      <c r="A73" s="4" t="s">
        <v>155</v>
      </c>
      <c r="B73" s="4">
        <v>0.1</v>
      </c>
      <c r="C73" s="4"/>
      <c r="D73" s="42"/>
      <c r="E73" s="42"/>
      <c r="G73" s="42"/>
      <c r="K73" s="41">
        <f t="shared" si="23"/>
        <v>563536.565419835</v>
      </c>
      <c r="L73" s="41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弹道",$B$21,0))*(1+$BQ73)</f>
        <v>566522.778191924</v>
      </c>
      <c r="M73" s="41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弹道",$B$21,0))*(1+$BQ73)</f>
        <v>545536.743349348</v>
      </c>
      <c r="N73" s="41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弹道",$B$21,0))*(1+$BQ73)</f>
        <v>289042.23377139</v>
      </c>
      <c r="O73" s="41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弹道",$B$21,0))*(1+$BQ73)</f>
        <v>173983.176172892</v>
      </c>
      <c r="P73" s="42">
        <v>10</v>
      </c>
      <c r="Q73" s="43" t="s">
        <v>109</v>
      </c>
      <c r="R73" s="43" t="s">
        <v>93</v>
      </c>
      <c r="S73" s="43" t="s">
        <v>158</v>
      </c>
      <c r="T73" s="43" t="s">
        <v>102</v>
      </c>
      <c r="U73" s="43" t="s">
        <v>86</v>
      </c>
      <c r="V73" s="43" t="s">
        <v>98</v>
      </c>
      <c r="W73" s="43" t="s">
        <v>73</v>
      </c>
      <c r="X73" s="43" t="s">
        <v>73</v>
      </c>
      <c r="Y73" s="43" t="s">
        <v>73</v>
      </c>
      <c r="Z73" s="43" t="s">
        <v>73</v>
      </c>
      <c r="AA73" s="43" t="s">
        <v>73</v>
      </c>
      <c r="AB73" s="43" t="s">
        <v>73</v>
      </c>
      <c r="AC73" s="43" t="s">
        <v>73</v>
      </c>
      <c r="AD73" s="43" t="s">
        <v>73</v>
      </c>
      <c r="AE73" s="43" t="s">
        <v>73</v>
      </c>
      <c r="AF73" s="43" t="s">
        <v>75</v>
      </c>
      <c r="AG73" t="str">
        <f>VLOOKUP($Q73,武学奇术!$A:$ZZ,25,FALSE)</f>
        <v>伞</v>
      </c>
      <c r="AH73" s="27">
        <f>VLOOKUP($Q73,武学奇术!$A:$ZZ,26,FALSE)</f>
        <v>1.174955</v>
      </c>
      <c r="AI73" s="28">
        <f>VLOOKUP($Q73,武学奇术!$A:$ZZ,27,FALSE)*(1+IF(OR($AG73=$F$4,$AG73=$F$5),$B$22,0))</f>
        <v>454.02</v>
      </c>
      <c r="AJ73" s="27">
        <f>VLOOKUP($Q73,武学奇术!$A:$ZZ,28,FALSE)</f>
        <v>1.762375</v>
      </c>
      <c r="AK73" s="28">
        <f>VLOOKUP($Q73,武学奇术!$A:$ZZ,29,FALSE)*(1+IF(OR($AG73=$F$4,$AG73=$F$5),$B$22,0))</f>
        <v>247.94</v>
      </c>
      <c r="AL73" s="27" cm="1">
        <f t="array" ref="AL73">$G$3+IFERROR(VLOOKUP($AG73,$F$4:$G$7,2,FALSE),0)+VLOOKUP($Q73,武学奇术!$A:$ZZ,2,FALSE)+SUM(_xlfn.XLOOKUP($R73:$AF73,增益!$A:$A,增益!$B:$B,0))</f>
        <v>1.0541</v>
      </c>
      <c r="AM73" s="27" cm="1">
        <f t="array" ref="AM73">VLOOKUP($Q73,武学奇术!$A:$ZZ,5,FALSE)+SUM(_xlfn.XLOOKUP($R73:$AF73,增益!$A:$A,增益!$E:$E,0))</f>
        <v>0.075</v>
      </c>
      <c r="AN73" cm="1">
        <f t="array" ref="AN73">$D$10*(1+$AM73)+VLOOKUP($Q73,武学奇术!$A:$ZZ,3,FALSE)+SUM(_xlfn.XLOOKUP($R73:$AF73,增益!$A:$A,增益!$C:$C,0))-$I$2</f>
        <v>1950.7275</v>
      </c>
      <c r="AO73" cm="1">
        <f t="array" ref="AO73">$E$10*(1+$AM73)+VLOOKUP($Q73,武学奇术!$A:$ZZ,4,FALSE)+SUM(_xlfn.XLOOKUP($R73:$AF73,增益!$A:$A,增益!$D:$D,0))-$I$2</f>
        <v>5687.2125</v>
      </c>
      <c r="AP73" s="35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0.3675</v>
      </c>
      <c r="AQ73" s="35" cm="1">
        <f t="array" ref="AQ73">$G$10+VLOOKUP($Q73,武学奇术!$A:$ZZ,7,FALSE)+SUM(_xlfn.XLOOKUP(R73:AF73,增益!$A:$A,增益!$G:$G,0))</f>
        <v>0.1</v>
      </c>
      <c r="AR73" s="27" cm="1">
        <f t="array" ref="AR73">VLOOKUP($Q73,武学奇术!$A:$ZZ,8,FALSE)+SUM(_xlfn.XLOOKUP(R73:AF73,增益!$A:$A,增益!$H:$H,0))</f>
        <v>0</v>
      </c>
      <c r="AS73">
        <f t="shared" si="24"/>
        <v>0</v>
      </c>
      <c r="AT73">
        <f t="shared" si="25"/>
        <v>0</v>
      </c>
      <c r="AU73" s="35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-0.3</v>
      </c>
      <c r="AV73" s="35" cm="1">
        <f t="array" ref="AV73">$G$11+VLOOKUP($Q73,武学奇术!$A:$ZZ,10,FALSE)+SUM(_xlfn.XLOOKUP(R73:AF73,增益!$A:$A,增益!$J:$J,0))</f>
        <v>0</v>
      </c>
      <c r="AW73">
        <f t="shared" si="26"/>
        <v>0</v>
      </c>
      <c r="AX73">
        <f t="shared" si="27"/>
        <v>0</v>
      </c>
      <c r="AY73" s="35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-0.3</v>
      </c>
      <c r="AZ73" s="35" cm="1">
        <f t="array" ref="AZ73">$G$12+VLOOKUP($Q73,武学奇术!$A:$ZZ,12,FALSE)+SUM(_xlfn.XLOOKUP(R73:AF73,增益!$A:$A,增益!$L:$L,0))</f>
        <v>0</v>
      </c>
      <c r="BA73">
        <f t="shared" si="28"/>
        <v>538</v>
      </c>
      <c r="BB73">
        <f t="shared" si="29"/>
        <v>1011</v>
      </c>
      <c r="BC73" s="35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0</v>
      </c>
      <c r="BD73" s="35" cm="1">
        <f t="array" ref="BD73">$G$13+VLOOKUP($Q73,武学奇术!$A:$ZZ,14,FALSE)+SUM(_xlfn.XLOOKUP(R73:AF73,增益!$A:$A,增益!$N:$N,0))</f>
        <v>0.25</v>
      </c>
      <c r="BE73">
        <f t="shared" si="30"/>
        <v>0</v>
      </c>
      <c r="BF73">
        <f t="shared" si="31"/>
        <v>0</v>
      </c>
      <c r="BG73" s="35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-0.3</v>
      </c>
      <c r="BH73" s="35" cm="1">
        <f t="array" ref="BH73">$G$14+VLOOKUP($Q73,武学奇术!$A:$ZZ,16,FALSE)+SUM(_xlfn.XLOOKUP(R73:AF73,增益!$A:$A,增益!$P:$P,0))</f>
        <v>0</v>
      </c>
      <c r="BI73" s="27">
        <f>MIN(IF(VLOOKUP($Q73,武学奇术!$A:$ZZ,23,FALSE)=1,100%,$B$8),100%)</f>
        <v>0.9969</v>
      </c>
      <c r="BJ73" s="27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0.9137</v>
      </c>
      <c r="BK73" s="27" cm="1">
        <f t="array" ref="BK73">1+$B$13+VLOOKUP($Q73,武学奇术!$A:$ZZ,18,FALSE)+SUM(_xlfn.XLOOKUP(R73:AF73,增益!$A:$A,增益!$R:$R,0))</f>
        <v>1.96</v>
      </c>
      <c r="BL73" s="27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0.0895</v>
      </c>
      <c r="BM73" s="27" cm="1">
        <f t="array" ref="BM73">1+$B$14+VLOOKUP($Q73,武学奇术!$A:$ZZ,20,FALSE)+SUM(_xlfn.XLOOKUP(R73:AF73,增益!$A:$A,增益!$T:$T,0))</f>
        <v>1.35</v>
      </c>
      <c r="BN73" s="27">
        <f t="shared" si="22"/>
        <v>0.90767745</v>
      </c>
      <c r="BO73" s="27">
        <f t="shared" si="32"/>
        <v>-1.30104260698261e-17</v>
      </c>
      <c r="BP73" s="27">
        <f>IF(VLOOKUP($Q73,武学奇术!$A:$ZZ,22,FALSE)=1,0,(1-$BI73))*(1-$BL73)</f>
        <v>0.00282254999999999</v>
      </c>
      <c r="BQ73" s="27" cm="1">
        <f t="array" ref="BQ73">SUM(_xlfn.XLOOKUP(R73:AF73,增益!$A:$A,增益!$W:$W,0))+$I$5</f>
        <v>0.11</v>
      </c>
    </row>
    <row r="74" spans="1:69">
      <c r="A74" s="4" t="s">
        <v>147</v>
      </c>
      <c r="B74" s="4">
        <v>1</v>
      </c>
      <c r="C74" s="4"/>
      <c r="D74" s="42"/>
      <c r="E74" s="42"/>
      <c r="G74" s="42"/>
      <c r="K74" s="41">
        <f t="shared" ref="K74:K86" si="33">($L74*$BN74+$M74*$BL74+$N74*$BO74+$O74*$BP74)</f>
        <v>85037.7466644286</v>
      </c>
      <c r="L74" s="41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弹道",$B$21,0))*(1+$BQ74)</f>
        <v>85488.9668888782</v>
      </c>
      <c r="M74" s="41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弹道",$B$21,0))*(1+$BQ74)</f>
        <v>82315.3175716283</v>
      </c>
      <c r="N74" s="41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弹道",$B$21,0))*(1+$BQ74)</f>
        <v>43616.8198412644</v>
      </c>
      <c r="O74" s="41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弹道",$B$21,0))*(1+$BQ74)</f>
        <v>26259.3303702115</v>
      </c>
      <c r="P74" s="42">
        <v>1</v>
      </c>
      <c r="Q74" s="43" t="s">
        <v>97</v>
      </c>
      <c r="R74" s="43" t="s">
        <v>93</v>
      </c>
      <c r="S74" s="43" t="s">
        <v>158</v>
      </c>
      <c r="T74" s="43" t="s">
        <v>102</v>
      </c>
      <c r="U74" s="43" t="s">
        <v>86</v>
      </c>
      <c r="V74" s="43" t="s">
        <v>98</v>
      </c>
      <c r="W74" s="43" t="s">
        <v>73</v>
      </c>
      <c r="X74" s="43" t="s">
        <v>73</v>
      </c>
      <c r="Y74" s="43" t="s">
        <v>73</v>
      </c>
      <c r="Z74" s="43" t="s">
        <v>73</v>
      </c>
      <c r="AA74" s="43" t="s">
        <v>73</v>
      </c>
      <c r="AB74" s="43" t="s">
        <v>73</v>
      </c>
      <c r="AC74" s="43" t="s">
        <v>73</v>
      </c>
      <c r="AD74" s="43" t="s">
        <v>73</v>
      </c>
      <c r="AE74" s="43" t="s">
        <v>73</v>
      </c>
      <c r="AF74" s="43" t="s">
        <v>75</v>
      </c>
      <c r="AG74" t="str">
        <f>VLOOKUP($Q74,武学奇术!$A:$ZZ,25,FALSE)</f>
        <v>伞</v>
      </c>
      <c r="AH74" s="27">
        <f>VLOOKUP($Q74,武学奇术!$A:$ZZ,26,FALSE)</f>
        <v>2.3397</v>
      </c>
      <c r="AI74" s="28">
        <f>VLOOKUP($Q74,武学奇术!$A:$ZZ,27,FALSE)*(1+IF(OR($AG74=$F$4,$AG74=$F$5),$B$22,0))</f>
        <v>907.2</v>
      </c>
      <c r="AJ74" s="27">
        <f>VLOOKUP($Q74,武学奇术!$A:$ZZ,28,FALSE)</f>
        <v>3.5095</v>
      </c>
      <c r="AK74" s="28">
        <f>VLOOKUP($Q74,武学奇术!$A:$ZZ,29,FALSE)*(1+IF(OR($AG74=$F$4,$AG74=$F$5),$B$22,0))</f>
        <v>494.2</v>
      </c>
      <c r="AL74" s="27" cm="1">
        <f t="array" ref="AL74">$G$3+IFERROR(VLOOKUP($AG74,$F$4:$G$7,2,FALSE),0)+VLOOKUP($Q74,武学奇术!$A:$ZZ,2,FALSE)+SUM(_xlfn.XLOOKUP($R74:$AF74,增益!$A:$A,增益!$B:$B,0))</f>
        <v>1.0541</v>
      </c>
      <c r="AM74" s="27" cm="1">
        <f t="array" ref="AM74">VLOOKUP($Q74,武学奇术!$A:$ZZ,5,FALSE)+SUM(_xlfn.XLOOKUP($R74:$AF74,增益!$A:$A,增益!$E:$E,0))</f>
        <v>0.075</v>
      </c>
      <c r="AN74" cm="1">
        <f t="array" ref="AN74">$D$10*(1+$AM74)+VLOOKUP($Q74,武学奇术!$A:$ZZ,3,FALSE)+SUM(_xlfn.XLOOKUP($R74:$AF74,增益!$A:$A,增益!$C:$C,0))-$I$2</f>
        <v>1950.7275</v>
      </c>
      <c r="AO74" cm="1">
        <f t="array" ref="AO74">$E$10*(1+$AM74)+VLOOKUP($Q74,武学奇术!$A:$ZZ,4,FALSE)+SUM(_xlfn.XLOOKUP($R74:$AF74,增益!$A:$A,增益!$D:$D,0))-$I$2</f>
        <v>5687.2125</v>
      </c>
      <c r="AP74" s="35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0.3675</v>
      </c>
      <c r="AQ74" s="35" cm="1">
        <f t="array" ref="AQ74">$G$10+VLOOKUP($Q74,武学奇术!$A:$ZZ,7,FALSE)+SUM(_xlfn.XLOOKUP(R74:AF74,增益!$A:$A,增益!$G:$G,0))</f>
        <v>0.1</v>
      </c>
      <c r="AR74" s="27" cm="1">
        <f t="array" ref="AR74">VLOOKUP($Q74,武学奇术!$A:$ZZ,8,FALSE)+SUM(_xlfn.XLOOKUP(R74:AF74,增益!$A:$A,增益!$H:$H,0))</f>
        <v>0</v>
      </c>
      <c r="AS74">
        <f t="shared" ref="AS74:AS86" si="34">$D$11*(1+$AR74)</f>
        <v>0</v>
      </c>
      <c r="AT74">
        <f t="shared" ref="AT74:AT86" si="35">$E$11*(1+$AR74)</f>
        <v>0</v>
      </c>
      <c r="AU74" s="35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35" cm="1">
        <f t="array" ref="AV74">$G$11+VLOOKUP($Q74,武学奇术!$A:$ZZ,10,FALSE)+SUM(_xlfn.XLOOKUP(R74:AF74,增益!$A:$A,增益!$J:$J,0))</f>
        <v>0</v>
      </c>
      <c r="AW74">
        <f t="shared" ref="AW74:AW86" si="36">$D$12*(1+$AR74)</f>
        <v>0</v>
      </c>
      <c r="AX74">
        <f t="shared" ref="AX74:AX86" si="37">$E$12*(1+$AR74)</f>
        <v>0</v>
      </c>
      <c r="AY74" s="35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-0.3</v>
      </c>
      <c r="AZ74" s="35" cm="1">
        <f t="array" ref="AZ74">$G$12+VLOOKUP($Q74,武学奇术!$A:$ZZ,12,FALSE)+SUM(_xlfn.XLOOKUP(R74:AF74,增益!$A:$A,增益!$L:$L,0))</f>
        <v>0</v>
      </c>
      <c r="BA74">
        <f t="shared" ref="BA74:BA86" si="38">$D$13*(1+$AR74)</f>
        <v>538</v>
      </c>
      <c r="BB74">
        <f t="shared" ref="BB74:BB86" si="39">$E$13*(1+$AR74)</f>
        <v>1011</v>
      </c>
      <c r="BC74" s="35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0</v>
      </c>
      <c r="BD74" s="35" cm="1">
        <f t="array" ref="BD74">$G$13+VLOOKUP($Q74,武学奇术!$A:$ZZ,14,FALSE)+SUM(_xlfn.XLOOKUP(R74:AF74,增益!$A:$A,增益!$N:$N,0))</f>
        <v>0.25</v>
      </c>
      <c r="BE74">
        <f t="shared" ref="BE74:BE86" si="40">$D$14*(1+$AR74)</f>
        <v>0</v>
      </c>
      <c r="BF74">
        <f t="shared" ref="BF74:BF86" si="41">$E$14*(1+$AR74)</f>
        <v>0</v>
      </c>
      <c r="BG74" s="35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-0.3</v>
      </c>
      <c r="BH74" s="35" cm="1">
        <f t="array" ref="BH74">$G$14+VLOOKUP($Q74,武学奇术!$A:$ZZ,16,FALSE)+SUM(_xlfn.XLOOKUP(R74:AF74,增益!$A:$A,增益!$P:$P,0))</f>
        <v>0</v>
      </c>
      <c r="BI74" s="27">
        <f>MIN(IF(VLOOKUP($Q74,武学奇术!$A:$ZZ,23,FALSE)=1,100%,$B$8),100%)</f>
        <v>0.9969</v>
      </c>
      <c r="BJ74" s="27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0.9137</v>
      </c>
      <c r="BK74" s="27" cm="1">
        <f t="array" ref="BK74">1+$B$13+VLOOKUP($Q74,武学奇术!$A:$ZZ,18,FALSE)+SUM(_xlfn.XLOOKUP(R74:AF74,增益!$A:$A,增益!$R:$R,0))</f>
        <v>1.96</v>
      </c>
      <c r="BL74" s="27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0.0895</v>
      </c>
      <c r="BM74" s="27" cm="1">
        <f t="array" ref="BM74">1+$B$14+VLOOKUP($Q74,武学奇术!$A:$ZZ,20,FALSE)+SUM(_xlfn.XLOOKUP(R74:AF74,增益!$A:$A,增益!$T:$T,0))</f>
        <v>1.35</v>
      </c>
      <c r="BN74" s="27">
        <f t="shared" si="22"/>
        <v>0.90767745</v>
      </c>
      <c r="BO74" s="27">
        <f t="shared" si="32"/>
        <v>-1.30104260698261e-17</v>
      </c>
      <c r="BP74" s="27">
        <f>IF(VLOOKUP($Q74,武学奇术!$A:$ZZ,22,FALSE)=1,0,(1-$BI74))*(1-$BL74)</f>
        <v>0.00282254999999999</v>
      </c>
      <c r="BQ74" s="27" cm="1">
        <f t="array" ref="BQ74">SUM(_xlfn.XLOOKUP(R74:AF74,增益!$A:$A,增益!$W:$W,0))+$I$5</f>
        <v>0.11</v>
      </c>
    </row>
    <row r="75" spans="1:69">
      <c r="A75" s="4" t="s">
        <v>162</v>
      </c>
      <c r="B75" s="4">
        <v>1.4</v>
      </c>
      <c r="E75" s="42"/>
      <c r="G75" s="42"/>
      <c r="K75" s="41">
        <f t="shared" si="33"/>
        <v>338929.126085248</v>
      </c>
      <c r="L75" s="41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弹道",$B$21,0))*(1+$BQ75)</f>
        <v>340723.729296564</v>
      </c>
      <c r="M75" s="41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弹道",$B$21,0))*(1+$BQ75)</f>
        <v>328118.053241251</v>
      </c>
      <c r="N75" s="41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弹道",$B$21,0))*(1+$BQ75)</f>
        <v>173838.637396206</v>
      </c>
      <c r="O75" s="41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弹道",$B$21,0))*(1+$BQ75)</f>
        <v>104626.864984078</v>
      </c>
      <c r="P75" s="42">
        <v>3</v>
      </c>
      <c r="Q75" s="43" t="s">
        <v>180</v>
      </c>
      <c r="R75" s="43" t="s">
        <v>93</v>
      </c>
      <c r="S75" s="43" t="s">
        <v>158</v>
      </c>
      <c r="T75" s="43" t="s">
        <v>102</v>
      </c>
      <c r="U75" s="43" t="s">
        <v>86</v>
      </c>
      <c r="V75" s="43" t="s">
        <v>98</v>
      </c>
      <c r="W75" s="43" t="s">
        <v>146</v>
      </c>
      <c r="X75" s="43" t="s">
        <v>73</v>
      </c>
      <c r="Y75" s="43" t="s">
        <v>73</v>
      </c>
      <c r="Z75" s="43" t="s">
        <v>73</v>
      </c>
      <c r="AA75" s="43" t="s">
        <v>73</v>
      </c>
      <c r="AB75" s="43" t="s">
        <v>73</v>
      </c>
      <c r="AC75" s="43" t="s">
        <v>73</v>
      </c>
      <c r="AD75" s="43" t="s">
        <v>73</v>
      </c>
      <c r="AE75" s="43" t="s">
        <v>73</v>
      </c>
      <c r="AF75" s="43" t="s">
        <v>75</v>
      </c>
      <c r="AG75" t="str">
        <f>VLOOKUP($Q75,武学奇术!$A:$ZZ,25,FALSE)</f>
        <v>伞</v>
      </c>
      <c r="AH75" s="27">
        <f>VLOOKUP($Q75,武学奇术!$A:$ZZ,26,FALSE)</f>
        <v>2.146875</v>
      </c>
      <c r="AI75" s="28">
        <f>VLOOKUP($Q75,武学奇术!$A:$ZZ,27,FALSE)*(1+IF(OR($AG75=$F$4,$AG75=$F$5),$B$22,0))</f>
        <v>829.5</v>
      </c>
      <c r="AJ75" s="27">
        <f>VLOOKUP($Q75,武学奇术!$A:$ZZ,28,FALSE)</f>
        <v>3.22025</v>
      </c>
      <c r="AK75" s="28">
        <f>VLOOKUP($Q75,武学奇术!$A:$ZZ,29,FALSE)*(1+IF(OR($AG75=$F$4,$AG75=$F$5),$B$22,0))</f>
        <v>451.5</v>
      </c>
      <c r="AL75" s="27" cm="1">
        <f t="array" ref="AL75">$G$3+IFERROR(VLOOKUP($AG75,$F$4:$G$7,2,FALSE),0)+VLOOKUP($Q75,武学奇术!$A:$ZZ,2,FALSE)+SUM(_xlfn.XLOOKUP($R75:$AF75,增益!$A:$A,增益!$B:$B,0))</f>
        <v>1.2541</v>
      </c>
      <c r="AM75" s="27" cm="1">
        <f t="array" ref="AM75">VLOOKUP($Q75,武学奇术!$A:$ZZ,5,FALSE)+SUM(_xlfn.XLOOKUP($R75:$AF75,增益!$A:$A,增益!$E:$E,0))</f>
        <v>0.075</v>
      </c>
      <c r="AN75" cm="1">
        <f t="array" ref="AN75">$D$10*(1+$AM75)+VLOOKUP($Q75,武学奇术!$A:$ZZ,3,FALSE)+SUM(_xlfn.XLOOKUP($R75:$AF75,增益!$A:$A,增益!$C:$C,0))-$I$2</f>
        <v>1950.7275</v>
      </c>
      <c r="AO75" cm="1">
        <f t="array" ref="AO75">$E$10*(1+$AM75)+VLOOKUP($Q75,武学奇术!$A:$ZZ,4,FALSE)+SUM(_xlfn.XLOOKUP($R75:$AF75,增益!$A:$A,增益!$D:$D,0))-$I$2</f>
        <v>5687.2125</v>
      </c>
      <c r="AP75" s="35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0.3675</v>
      </c>
      <c r="AQ75" s="35" cm="1">
        <f t="array" ref="AQ75">$G$10+VLOOKUP($Q75,武学奇术!$A:$ZZ,7,FALSE)+SUM(_xlfn.XLOOKUP(R75:AF75,增益!$A:$A,增益!$G:$G,0))</f>
        <v>0.1</v>
      </c>
      <c r="AR75" s="27" cm="1">
        <f t="array" ref="AR75">VLOOKUP($Q75,武学奇术!$A:$ZZ,8,FALSE)+SUM(_xlfn.XLOOKUP(R75:AF75,增益!$A:$A,增益!$H:$H,0))</f>
        <v>0</v>
      </c>
      <c r="AS75">
        <f t="shared" si="34"/>
        <v>0</v>
      </c>
      <c r="AT75">
        <f t="shared" si="35"/>
        <v>0</v>
      </c>
      <c r="AU75" s="35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-0.3</v>
      </c>
      <c r="AV75" s="35" cm="1">
        <f t="array" ref="AV75">$G$11+VLOOKUP($Q75,武学奇术!$A:$ZZ,10,FALSE)+SUM(_xlfn.XLOOKUP(R75:AF75,增益!$A:$A,增益!$J:$J,0))</f>
        <v>0</v>
      </c>
      <c r="AW75">
        <f t="shared" si="36"/>
        <v>0</v>
      </c>
      <c r="AX75">
        <f t="shared" si="37"/>
        <v>0</v>
      </c>
      <c r="AY75" s="35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-0.3</v>
      </c>
      <c r="AZ75" s="35" cm="1">
        <f t="array" ref="AZ75">$G$12+VLOOKUP($Q75,武学奇术!$A:$ZZ,12,FALSE)+SUM(_xlfn.XLOOKUP(R75:AF75,增益!$A:$A,增益!$L:$L,0))</f>
        <v>0</v>
      </c>
      <c r="BA75">
        <f t="shared" si="38"/>
        <v>538</v>
      </c>
      <c r="BB75">
        <f t="shared" si="39"/>
        <v>1011</v>
      </c>
      <c r="BC75" s="35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0</v>
      </c>
      <c r="BD75" s="35" cm="1">
        <f t="array" ref="BD75">$G$13+VLOOKUP($Q75,武学奇术!$A:$ZZ,14,FALSE)+SUM(_xlfn.XLOOKUP(R75:AF75,增益!$A:$A,增益!$N:$N,0))</f>
        <v>0.25</v>
      </c>
      <c r="BE75">
        <f t="shared" si="40"/>
        <v>0</v>
      </c>
      <c r="BF75">
        <f t="shared" si="41"/>
        <v>0</v>
      </c>
      <c r="BG75" s="35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-0.3</v>
      </c>
      <c r="BH75" s="35" cm="1">
        <f t="array" ref="BH75">$G$14+VLOOKUP($Q75,武学奇术!$A:$ZZ,16,FALSE)+SUM(_xlfn.XLOOKUP(R75:AF75,增益!$A:$A,增益!$P:$P,0))</f>
        <v>0</v>
      </c>
      <c r="BI75" s="27">
        <f>MIN(IF(VLOOKUP($Q75,武学奇术!$A:$ZZ,23,FALSE)=1,100%,$B$8),100%)</f>
        <v>0.9969</v>
      </c>
      <c r="BJ75" s="27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0.9137</v>
      </c>
      <c r="BK75" s="27" cm="1">
        <f t="array" ref="BK75">1+$B$13+VLOOKUP($Q75,武学奇术!$A:$ZZ,18,FALSE)+SUM(_xlfn.XLOOKUP(R75:AF75,增益!$A:$A,增益!$R:$R,0))</f>
        <v>1.96</v>
      </c>
      <c r="BL75" s="27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0.0895</v>
      </c>
      <c r="BM75" s="27" cm="1">
        <f t="array" ref="BM75">1+$B$14+VLOOKUP($Q75,武学奇术!$A:$ZZ,20,FALSE)+SUM(_xlfn.XLOOKUP(R75:AF75,增益!$A:$A,增益!$T:$T,0))</f>
        <v>1.35</v>
      </c>
      <c r="BN75" s="27">
        <f t="shared" si="22"/>
        <v>0.90767745</v>
      </c>
      <c r="BO75" s="27">
        <f t="shared" si="32"/>
        <v>-1.30104260698261e-17</v>
      </c>
      <c r="BP75" s="27">
        <f>IF(VLOOKUP($Q75,武学奇术!$A:$ZZ,22,FALSE)=1,0,(1-$BI75))*(1-$BL75)</f>
        <v>0.00282254999999999</v>
      </c>
      <c r="BQ75" s="27" cm="1">
        <f t="array" ref="BQ75">SUM(_xlfn.XLOOKUP(R75:AF75,增益!$A:$A,增益!$W:$W,0))+$I$5</f>
        <v>0.11</v>
      </c>
    </row>
    <row r="76" spans="1:69">
      <c r="A76" t="s">
        <v>160</v>
      </c>
      <c r="B76">
        <v>2.5</v>
      </c>
      <c r="E76" s="42"/>
      <c r="G76" s="42"/>
      <c r="K76" s="41">
        <f t="shared" si="33"/>
        <v>0</v>
      </c>
      <c r="L76" s="41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弹道",$B$21,0))*(1+$BQ76)</f>
        <v>0</v>
      </c>
      <c r="M76" s="41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弹道",$B$21,0))*(1+$BQ76)</f>
        <v>0</v>
      </c>
      <c r="N76" s="41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弹道",$B$21,0))*(1+$BQ76)</f>
        <v>0</v>
      </c>
      <c r="O76" s="41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弹道",$B$21,0))*(1+$BQ76)</f>
        <v>0</v>
      </c>
      <c r="P76" s="42">
        <v>1</v>
      </c>
      <c r="Q76" s="43" t="s">
        <v>73</v>
      </c>
      <c r="R76" s="43" t="s">
        <v>73</v>
      </c>
      <c r="S76" s="43" t="s">
        <v>73</v>
      </c>
      <c r="T76" s="43" t="s">
        <v>73</v>
      </c>
      <c r="U76" s="43" t="s">
        <v>73</v>
      </c>
      <c r="V76" s="43" t="s">
        <v>73</v>
      </c>
      <c r="W76" s="43" t="s">
        <v>73</v>
      </c>
      <c r="X76" s="43" t="s">
        <v>73</v>
      </c>
      <c r="Y76" s="43" t="s">
        <v>73</v>
      </c>
      <c r="Z76" s="43" t="s">
        <v>73</v>
      </c>
      <c r="AA76" s="43" t="s">
        <v>73</v>
      </c>
      <c r="AB76" s="43" t="s">
        <v>73</v>
      </c>
      <c r="AC76" s="43" t="s">
        <v>73</v>
      </c>
      <c r="AD76" s="43" t="s">
        <v>73</v>
      </c>
      <c r="AE76" s="43" t="s">
        <v>73</v>
      </c>
      <c r="AF76" s="43" t="s">
        <v>75</v>
      </c>
      <c r="AG76" t="str">
        <f>VLOOKUP($Q76,武学奇术!$A:$ZZ,25,FALSE)</f>
        <v>心法</v>
      </c>
      <c r="AH76" s="27">
        <f>VLOOKUP($Q76,武学奇术!$A:$ZZ,26,FALSE)</f>
        <v>0</v>
      </c>
      <c r="AI76" s="28">
        <f>VLOOKUP($Q76,武学奇术!$A:$ZZ,27,FALSE)*(1+IF(OR($AG76=$F$4,$AG76=$F$5),$B$22,0))</f>
        <v>0</v>
      </c>
      <c r="AJ76" s="27">
        <f>VLOOKUP($Q76,武学奇术!$A:$ZZ,28,FALSE)</f>
        <v>0</v>
      </c>
      <c r="AK76" s="28">
        <f>VLOOKUP($Q76,武学奇术!$A:$ZZ,29,FALSE)*(1+IF(OR($AG76=$F$4,$AG76=$F$5),$B$22,0))</f>
        <v>0</v>
      </c>
      <c r="AL76" s="27" cm="1">
        <f t="array" ref="AL76">$G$3+IFERROR(VLOOKUP($AG76,$F$4:$G$7,2,FALSE),0)+VLOOKUP($Q76,武学奇术!$A:$ZZ,2,FALSE)+SUM(_xlfn.XLOOKUP($R76:$AF76,增益!$A:$A,增益!$B:$B,0))</f>
        <v>0.1837</v>
      </c>
      <c r="AM76" s="27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1775.7</v>
      </c>
      <c r="AO76" cm="1">
        <f t="array" ref="AO76">$E$10*(1+$AM76)+VLOOKUP($Q76,武学奇术!$A:$ZZ,4,FALSE)+SUM(_xlfn.XLOOKUP($R76:$AF76,增益!$A:$A,增益!$D:$D,0))-$I$2</f>
        <v>5251.5</v>
      </c>
      <c r="AP76" s="35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0.2925</v>
      </c>
      <c r="AQ76" s="35" cm="1">
        <f t="array" ref="AQ76">$G$10+VLOOKUP($Q76,武学奇术!$A:$ZZ,7,FALSE)+SUM(_xlfn.XLOOKUP(R76:AF76,增益!$A:$A,增益!$G:$G,0))</f>
        <v>0</v>
      </c>
      <c r="AR76" s="27" cm="1">
        <f t="array" ref="AR76">VLOOKUP($Q76,武学奇术!$A:$ZZ,8,FALSE)+SUM(_xlfn.XLOOKUP(R76:AF76,增益!$A:$A,增益!$H:$H,0))</f>
        <v>0</v>
      </c>
      <c r="AS76">
        <f t="shared" si="34"/>
        <v>0</v>
      </c>
      <c r="AT76">
        <f t="shared" si="35"/>
        <v>0</v>
      </c>
      <c r="AU76" s="35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35" cm="1">
        <f t="array" ref="AV76">$G$11+VLOOKUP($Q76,武学奇术!$A:$ZZ,10,FALSE)+SUM(_xlfn.XLOOKUP(R76:AF76,增益!$A:$A,增益!$J:$J,0))</f>
        <v>0</v>
      </c>
      <c r="AW76">
        <f t="shared" si="36"/>
        <v>0</v>
      </c>
      <c r="AX76">
        <f t="shared" si="37"/>
        <v>0</v>
      </c>
      <c r="AY76" s="35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-0.3</v>
      </c>
      <c r="AZ76" s="35" cm="1">
        <f t="array" ref="AZ76">$G$12+VLOOKUP($Q76,武学奇术!$A:$ZZ,12,FALSE)+SUM(_xlfn.XLOOKUP(R76:AF76,增益!$A:$A,增益!$L:$L,0))</f>
        <v>0</v>
      </c>
      <c r="BA76">
        <f t="shared" si="38"/>
        <v>538</v>
      </c>
      <c r="BB76">
        <f t="shared" si="39"/>
        <v>1011</v>
      </c>
      <c r="BC76" s="35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0</v>
      </c>
      <c r="BD76" s="35" cm="1">
        <f t="array" ref="BD76">$G$13+VLOOKUP($Q76,武学奇术!$A:$ZZ,14,FALSE)+SUM(_xlfn.XLOOKUP(R76:AF76,增益!$A:$A,增益!$N:$N,0))</f>
        <v>0.15</v>
      </c>
      <c r="BE76">
        <f t="shared" si="40"/>
        <v>0</v>
      </c>
      <c r="BF76">
        <f t="shared" si="41"/>
        <v>0</v>
      </c>
      <c r="BG76" s="35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-0.3</v>
      </c>
      <c r="BH76" s="35" cm="1">
        <f t="array" ref="BH76">$G$14+VLOOKUP($Q76,武学奇术!$A:$ZZ,16,FALSE)+SUM(_xlfn.XLOOKUP(R76:AF76,增益!$A:$A,增益!$P:$P,0))</f>
        <v>0</v>
      </c>
      <c r="BI76" s="27">
        <f>MIN(IF(VLOOKUP($Q76,武学奇术!$A:$ZZ,23,FALSE)=1,100%,$B$8),100%)</f>
        <v>0.9969</v>
      </c>
      <c r="BJ76" s="27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0.9137</v>
      </c>
      <c r="BK76" s="27" cm="1">
        <f t="array" ref="BK76">1+$B$13+VLOOKUP($Q76,武学奇术!$A:$ZZ,18,FALSE)+SUM(_xlfn.XLOOKUP(R76:AF76,增益!$A:$A,增益!$R:$R,0))</f>
        <v>1.5</v>
      </c>
      <c r="BL76" s="27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0.0895</v>
      </c>
      <c r="BM76" s="27" cm="1">
        <f t="array" ref="BM76">1+$B$14+VLOOKUP($Q76,武学奇术!$A:$ZZ,20,FALSE)+SUM(_xlfn.XLOOKUP(R76:AF76,增益!$A:$A,增益!$T:$T,0))</f>
        <v>1.35</v>
      </c>
      <c r="BN76" s="27">
        <f t="shared" si="22"/>
        <v>0.90767745</v>
      </c>
      <c r="BO76" s="27">
        <f t="shared" si="32"/>
        <v>-1.30104260698261e-17</v>
      </c>
      <c r="BP76" s="27">
        <f>IF(VLOOKUP($Q76,武学奇术!$A:$ZZ,22,FALSE)=1,0,(1-$BI76))*(1-$BL76)</f>
        <v>0.00282254999999999</v>
      </c>
      <c r="BQ76" s="27" cm="1">
        <f t="array" ref="BQ76">SUM(_xlfn.XLOOKUP(R76:AF76,增益!$A:$A,增益!$W:$W,0))+$I$5</f>
        <v>0.11</v>
      </c>
    </row>
    <row r="77" spans="1:69">
      <c r="A77" s="4" t="s">
        <v>155</v>
      </c>
      <c r="B77" s="4">
        <v>0.1</v>
      </c>
      <c r="E77" s="42"/>
      <c r="G77" s="42"/>
      <c r="K77" s="41">
        <f t="shared" si="33"/>
        <v>28176.8282709917</v>
      </c>
      <c r="L77" s="41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弹道",$B$21,0))*(1+$BQ77)</f>
        <v>28326.1389095962</v>
      </c>
      <c r="M77" s="41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弹道",$B$21,0))*(1+$BQ77)</f>
        <v>27276.8371674674</v>
      </c>
      <c r="N77" s="41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弹道",$B$21,0))*(1+$BQ77)</f>
        <v>14452.1116885695</v>
      </c>
      <c r="O77" s="41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弹道",$B$21,0))*(1+$BQ77)</f>
        <v>8699.1588086446</v>
      </c>
      <c r="P77" s="42">
        <v>0.5</v>
      </c>
      <c r="Q77" s="43" t="s">
        <v>109</v>
      </c>
      <c r="R77" s="43" t="s">
        <v>93</v>
      </c>
      <c r="S77" s="43" t="s">
        <v>158</v>
      </c>
      <c r="T77" s="43" t="s">
        <v>102</v>
      </c>
      <c r="U77" s="43" t="s">
        <v>86</v>
      </c>
      <c r="V77" s="43" t="s">
        <v>98</v>
      </c>
      <c r="W77" s="43" t="s">
        <v>73</v>
      </c>
      <c r="X77" s="43" t="s">
        <v>73</v>
      </c>
      <c r="Y77" s="43" t="s">
        <v>73</v>
      </c>
      <c r="Z77" s="43" t="s">
        <v>73</v>
      </c>
      <c r="AA77" s="43" t="s">
        <v>73</v>
      </c>
      <c r="AB77" s="43" t="s">
        <v>73</v>
      </c>
      <c r="AC77" s="43" t="s">
        <v>73</v>
      </c>
      <c r="AD77" s="43" t="s">
        <v>73</v>
      </c>
      <c r="AE77" s="43" t="s">
        <v>73</v>
      </c>
      <c r="AF77" s="43" t="s">
        <v>75</v>
      </c>
      <c r="AG77" t="str">
        <f>VLOOKUP($Q77,武学奇术!$A:$ZZ,25,FALSE)</f>
        <v>伞</v>
      </c>
      <c r="AH77" s="27">
        <f>VLOOKUP($Q77,武学奇术!$A:$ZZ,26,FALSE)</f>
        <v>1.174955</v>
      </c>
      <c r="AI77" s="28">
        <f>VLOOKUP($Q77,武学奇术!$A:$ZZ,27,FALSE)*(1+IF(OR($AG77=$F$4,$AG77=$F$5),$B$22,0))</f>
        <v>454.02</v>
      </c>
      <c r="AJ77" s="27">
        <f>VLOOKUP($Q77,武学奇术!$A:$ZZ,28,FALSE)</f>
        <v>1.762375</v>
      </c>
      <c r="AK77" s="28">
        <f>VLOOKUP($Q77,武学奇术!$A:$ZZ,29,FALSE)*(1+IF(OR($AG77=$F$4,$AG77=$F$5),$B$22,0))</f>
        <v>247.94</v>
      </c>
      <c r="AL77" s="27" cm="1">
        <f t="array" ref="AL77">$G$3+IFERROR(VLOOKUP($AG77,$F$4:$G$7,2,FALSE),0)+VLOOKUP($Q77,武学奇术!$A:$ZZ,2,FALSE)+SUM(_xlfn.XLOOKUP($R77:$AF77,增益!$A:$A,增益!$B:$B,0))</f>
        <v>1.0541</v>
      </c>
      <c r="AM77" s="27" cm="1">
        <f t="array" ref="AM77">VLOOKUP($Q77,武学奇术!$A:$ZZ,5,FALSE)+SUM(_xlfn.XLOOKUP($R77:$AF77,增益!$A:$A,增益!$E:$E,0))</f>
        <v>0.075</v>
      </c>
      <c r="AN77" cm="1">
        <f t="array" ref="AN77">$D$10*(1+$AM77)+VLOOKUP($Q77,武学奇术!$A:$ZZ,3,FALSE)+SUM(_xlfn.XLOOKUP($R77:$AF77,增益!$A:$A,增益!$C:$C,0))-$I$2</f>
        <v>1950.7275</v>
      </c>
      <c r="AO77" cm="1">
        <f t="array" ref="AO77">$E$10*(1+$AM77)+VLOOKUP($Q77,武学奇术!$A:$ZZ,4,FALSE)+SUM(_xlfn.XLOOKUP($R77:$AF77,增益!$A:$A,增益!$D:$D,0))-$I$2</f>
        <v>5687.2125</v>
      </c>
      <c r="AP77" s="35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0.3675</v>
      </c>
      <c r="AQ77" s="35" cm="1">
        <f t="array" ref="AQ77">$G$10+VLOOKUP($Q77,武学奇术!$A:$ZZ,7,FALSE)+SUM(_xlfn.XLOOKUP(R77:AF77,增益!$A:$A,增益!$G:$G,0))</f>
        <v>0.1</v>
      </c>
      <c r="AR77" s="27" cm="1">
        <f t="array" ref="AR77">VLOOKUP($Q77,武学奇术!$A:$ZZ,8,FALSE)+SUM(_xlfn.XLOOKUP(R77:AF77,增益!$A:$A,增益!$H:$H,0))</f>
        <v>0</v>
      </c>
      <c r="AS77">
        <f t="shared" si="34"/>
        <v>0</v>
      </c>
      <c r="AT77">
        <f t="shared" si="35"/>
        <v>0</v>
      </c>
      <c r="AU77" s="35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35" cm="1">
        <f t="array" ref="AV77">$G$11+VLOOKUP($Q77,武学奇术!$A:$ZZ,10,FALSE)+SUM(_xlfn.XLOOKUP(R77:AF77,增益!$A:$A,增益!$J:$J,0))</f>
        <v>0</v>
      </c>
      <c r="AW77">
        <f t="shared" si="36"/>
        <v>0</v>
      </c>
      <c r="AX77">
        <f t="shared" si="37"/>
        <v>0</v>
      </c>
      <c r="AY77" s="35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-0.3</v>
      </c>
      <c r="AZ77" s="35" cm="1">
        <f t="array" ref="AZ77">$G$12+VLOOKUP($Q77,武学奇术!$A:$ZZ,12,FALSE)+SUM(_xlfn.XLOOKUP(R77:AF77,增益!$A:$A,增益!$L:$L,0))</f>
        <v>0</v>
      </c>
      <c r="BA77">
        <f t="shared" si="38"/>
        <v>538</v>
      </c>
      <c r="BB77">
        <f t="shared" si="39"/>
        <v>1011</v>
      </c>
      <c r="BC77" s="35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0</v>
      </c>
      <c r="BD77" s="35" cm="1">
        <f t="array" ref="BD77">$G$13+VLOOKUP($Q77,武学奇术!$A:$ZZ,14,FALSE)+SUM(_xlfn.XLOOKUP(R77:AF77,增益!$A:$A,增益!$N:$N,0))</f>
        <v>0.25</v>
      </c>
      <c r="BE77">
        <f t="shared" si="40"/>
        <v>0</v>
      </c>
      <c r="BF77">
        <f t="shared" si="41"/>
        <v>0</v>
      </c>
      <c r="BG77" s="35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35" cm="1">
        <f t="array" ref="BH77">$G$14+VLOOKUP($Q77,武学奇术!$A:$ZZ,16,FALSE)+SUM(_xlfn.XLOOKUP(R77:AF77,增益!$A:$A,增益!$P:$P,0))</f>
        <v>0</v>
      </c>
      <c r="BI77" s="27">
        <f>MIN(IF(VLOOKUP($Q77,武学奇术!$A:$ZZ,23,FALSE)=1,100%,$B$8),100%)</f>
        <v>0.9969</v>
      </c>
      <c r="BJ77" s="27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0.9137</v>
      </c>
      <c r="BK77" s="27" cm="1">
        <f t="array" ref="BK77">1+$B$13+VLOOKUP($Q77,武学奇术!$A:$ZZ,18,FALSE)+SUM(_xlfn.XLOOKUP(R77:AF77,增益!$A:$A,增益!$R:$R,0))</f>
        <v>1.96</v>
      </c>
      <c r="BL77" s="27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0.0895</v>
      </c>
      <c r="BM77" s="27" cm="1">
        <f t="array" ref="BM77">1+$B$14+VLOOKUP($Q77,武学奇术!$A:$ZZ,20,FALSE)+SUM(_xlfn.XLOOKUP(R77:AF77,增益!$A:$A,增益!$T:$T,0))</f>
        <v>1.35</v>
      </c>
      <c r="BN77" s="27">
        <f t="shared" si="22"/>
        <v>0.90767745</v>
      </c>
      <c r="BO77" s="27">
        <f t="shared" si="32"/>
        <v>-1.30104260698261e-17</v>
      </c>
      <c r="BP77" s="27">
        <f>IF(VLOOKUP($Q77,武学奇术!$A:$ZZ,22,FALSE)=1,0,(1-$BI77))*(1-$BL77)</f>
        <v>0.00282254999999999</v>
      </c>
      <c r="BQ77" s="27" cm="1">
        <f t="array" ref="BQ77">SUM(_xlfn.XLOOKUP(R77:AF77,增益!$A:$A,增益!$W:$W,0))+$I$5</f>
        <v>0.11</v>
      </c>
    </row>
    <row r="78" spans="1:69">
      <c r="A78" s="4" t="s">
        <v>97</v>
      </c>
      <c r="B78" s="4">
        <v>1.25</v>
      </c>
      <c r="E78" s="42"/>
      <c r="G78" s="42"/>
      <c r="K78" s="41">
        <f t="shared" si="33"/>
        <v>134748.773865615</v>
      </c>
      <c r="L78" s="41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弹道",$B$21,0))*(1+$BQ78)</f>
        <v>136794.627731799</v>
      </c>
      <c r="M78" s="41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弹道",$B$21,0))*(1+$BQ78)</f>
        <v>117080.946499846</v>
      </c>
      <c r="N78" s="41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弹道",$B$21,0))*(1+$BQ78)</f>
        <v>61898.0215980989</v>
      </c>
      <c r="O78" s="41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弹道",$B$21,0))*(1+$BQ78)</f>
        <v>37069.4161592746</v>
      </c>
      <c r="P78" s="42">
        <v>2</v>
      </c>
      <c r="Q78" s="43" t="s">
        <v>109</v>
      </c>
      <c r="R78" s="43" t="s">
        <v>93</v>
      </c>
      <c r="S78" s="43" t="s">
        <v>158</v>
      </c>
      <c r="T78" s="43" t="s">
        <v>102</v>
      </c>
      <c r="U78" s="43" t="s">
        <v>86</v>
      </c>
      <c r="V78" s="43" t="s">
        <v>98</v>
      </c>
      <c r="W78" s="43" t="s">
        <v>73</v>
      </c>
      <c r="X78" s="43" t="s">
        <v>73</v>
      </c>
      <c r="Y78" s="43" t="s">
        <v>112</v>
      </c>
      <c r="Z78" s="43" t="s">
        <v>73</v>
      </c>
      <c r="AA78" s="43" t="s">
        <v>73</v>
      </c>
      <c r="AB78" s="43" t="s">
        <v>73</v>
      </c>
      <c r="AC78" s="43" t="s">
        <v>73</v>
      </c>
      <c r="AD78" s="43" t="s">
        <v>73</v>
      </c>
      <c r="AE78" s="43" t="s">
        <v>73</v>
      </c>
      <c r="AF78" s="43" t="s">
        <v>75</v>
      </c>
      <c r="AG78" t="str">
        <f>VLOOKUP($Q78,武学奇术!$A:$ZZ,25,FALSE)</f>
        <v>伞</v>
      </c>
      <c r="AH78" s="27">
        <f>VLOOKUP($Q78,武学奇术!$A:$ZZ,26,FALSE)</f>
        <v>1.174955</v>
      </c>
      <c r="AI78" s="28">
        <f>VLOOKUP($Q78,武学奇术!$A:$ZZ,27,FALSE)*(1+IF(OR($AG78=$F$4,$AG78=$F$5),$B$22,0))</f>
        <v>454.02</v>
      </c>
      <c r="AJ78" s="27">
        <f>VLOOKUP($Q78,武学奇术!$A:$ZZ,28,FALSE)</f>
        <v>1.762375</v>
      </c>
      <c r="AK78" s="28">
        <f>VLOOKUP($Q78,武学奇术!$A:$ZZ,29,FALSE)*(1+IF(OR($AG78=$F$4,$AG78=$F$5),$B$22,0))</f>
        <v>247.94</v>
      </c>
      <c r="AL78" s="27" cm="1">
        <f t="array" ref="AL78">$G$3+IFERROR(VLOOKUP($AG78,$F$4:$G$7,2,FALSE),0)+VLOOKUP($Q78,武学奇术!$A:$ZZ,2,FALSE)+SUM(_xlfn.XLOOKUP($R78:$AF78,增益!$A:$A,增益!$B:$B,0))</f>
        <v>1.0541</v>
      </c>
      <c r="AM78" s="27" cm="1">
        <f t="array" ref="AM78">VLOOKUP($Q78,武学奇术!$A:$ZZ,5,FALSE)+SUM(_xlfn.XLOOKUP($R78:$AF78,增益!$A:$A,增益!$E:$E,0))</f>
        <v>0.075</v>
      </c>
      <c r="AN78" cm="1">
        <f t="array" ref="AN78">$D$10*(1+$AM78)+VLOOKUP($Q78,武学奇术!$A:$ZZ,3,FALSE)+SUM(_xlfn.XLOOKUP($R78:$AF78,增益!$A:$A,增益!$C:$C,0))-$I$2</f>
        <v>1950.7275</v>
      </c>
      <c r="AO78" cm="1">
        <f t="array" ref="AO78">$E$10*(1+$AM78)+VLOOKUP($Q78,武学奇术!$A:$ZZ,4,FALSE)+SUM(_xlfn.XLOOKUP($R78:$AF78,增益!$A:$A,增益!$D:$D,0))-$I$2</f>
        <v>5687.2125</v>
      </c>
      <c r="AP78" s="35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0.4925</v>
      </c>
      <c r="AQ78" s="35" cm="1">
        <f t="array" ref="AQ78">$G$10+VLOOKUP($Q78,武学奇术!$A:$ZZ,7,FALSE)+SUM(_xlfn.XLOOKUP(R78:AF78,增益!$A:$A,增益!$G:$G,0))</f>
        <v>0.1</v>
      </c>
      <c r="AR78" s="27" cm="1">
        <f t="array" ref="AR78">VLOOKUP($Q78,武学奇术!$A:$ZZ,8,FALSE)+SUM(_xlfn.XLOOKUP(R78:AF78,增益!$A:$A,增益!$H:$H,0))</f>
        <v>0</v>
      </c>
      <c r="AS78">
        <f t="shared" si="34"/>
        <v>0</v>
      </c>
      <c r="AT78">
        <f t="shared" si="35"/>
        <v>0</v>
      </c>
      <c r="AU78" s="35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35" cm="1">
        <f t="array" ref="AV78">$G$11+VLOOKUP($Q78,武学奇术!$A:$ZZ,10,FALSE)+SUM(_xlfn.XLOOKUP(R78:AF78,增益!$A:$A,增益!$J:$J,0))</f>
        <v>0</v>
      </c>
      <c r="AW78">
        <f t="shared" si="36"/>
        <v>0</v>
      </c>
      <c r="AX78">
        <f t="shared" si="37"/>
        <v>0</v>
      </c>
      <c r="AY78" s="35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-0.3</v>
      </c>
      <c r="AZ78" s="35" cm="1">
        <f t="array" ref="AZ78">$G$12+VLOOKUP($Q78,武学奇术!$A:$ZZ,12,FALSE)+SUM(_xlfn.XLOOKUP(R78:AF78,增益!$A:$A,增益!$L:$L,0))</f>
        <v>0</v>
      </c>
      <c r="BA78">
        <f t="shared" si="38"/>
        <v>538</v>
      </c>
      <c r="BB78">
        <f t="shared" si="39"/>
        <v>1011</v>
      </c>
      <c r="BC78" s="35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0</v>
      </c>
      <c r="BD78" s="35" cm="1">
        <f t="array" ref="BD78">$G$13+VLOOKUP($Q78,武学奇术!$A:$ZZ,14,FALSE)+SUM(_xlfn.XLOOKUP(R78:AF78,增益!$A:$A,增益!$N:$N,0))</f>
        <v>0.25</v>
      </c>
      <c r="BE78">
        <f t="shared" si="40"/>
        <v>0</v>
      </c>
      <c r="BF78">
        <f t="shared" si="41"/>
        <v>0</v>
      </c>
      <c r="BG78" s="35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35" cm="1">
        <f t="array" ref="BH78">$G$14+VLOOKUP($Q78,武学奇术!$A:$ZZ,16,FALSE)+SUM(_xlfn.XLOOKUP(R78:AF78,增益!$A:$A,增益!$P:$P,0))</f>
        <v>0</v>
      </c>
      <c r="BI78" s="27">
        <f>MIN(IF(VLOOKUP($Q78,武学奇术!$A:$ZZ,23,FALSE)=1,100%,$B$8),100%)</f>
        <v>0.9969</v>
      </c>
      <c r="BJ78" s="27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0.9137</v>
      </c>
      <c r="BK78" s="27" cm="1">
        <f t="array" ref="BK78">1+$B$13+VLOOKUP($Q78,武学奇术!$A:$ZZ,18,FALSE)+SUM(_xlfn.XLOOKUP(R78:AF78,增益!$A:$A,增益!$R:$R,0))</f>
        <v>2.21</v>
      </c>
      <c r="BL78" s="27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0.0895</v>
      </c>
      <c r="BM78" s="27" cm="1">
        <f t="array" ref="BM78">1+$B$14+VLOOKUP($Q78,武学奇术!$A:$ZZ,20,FALSE)+SUM(_xlfn.XLOOKUP(R78:AF78,增益!$A:$A,增益!$T:$T,0))</f>
        <v>1.35</v>
      </c>
      <c r="BN78" s="27">
        <f t="shared" si="22"/>
        <v>0.90767745</v>
      </c>
      <c r="BO78" s="27">
        <f t="shared" si="32"/>
        <v>-1.30104260698261e-17</v>
      </c>
      <c r="BP78" s="27">
        <f>IF(VLOOKUP($Q78,武学奇术!$A:$ZZ,22,FALSE)=1,0,(1-$BI78))*(1-$BL78)</f>
        <v>0.00282254999999999</v>
      </c>
      <c r="BQ78" s="27" cm="1">
        <f t="array" ref="BQ78">SUM(_xlfn.XLOOKUP(R78:AF78,增益!$A:$A,增益!$W:$W,0))+$I$5</f>
        <v>0.11</v>
      </c>
    </row>
    <row r="79" spans="1:69">
      <c r="A79" s="4" t="s">
        <v>152</v>
      </c>
      <c r="B79" s="94">
        <v>1.3</v>
      </c>
      <c r="E79" s="42"/>
      <c r="G79" s="42"/>
      <c r="K79" s="41">
        <f t="shared" si="33"/>
        <v>168435.967332019</v>
      </c>
      <c r="L79" s="41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弹道",$B$21,0))*(1+$BQ79)</f>
        <v>170993.284664748</v>
      </c>
      <c r="M79" s="41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弹道",$B$21,0))*(1+$BQ79)</f>
        <v>146351.183124808</v>
      </c>
      <c r="N79" s="41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弹道",$B$21,0))*(1+$BQ79)</f>
        <v>77372.5269976237</v>
      </c>
      <c r="O79" s="41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弹道",$B$21,0))*(1+$BQ79)</f>
        <v>46336.7701990932</v>
      </c>
      <c r="P79" s="42">
        <v>2.5</v>
      </c>
      <c r="Q79" s="43" t="s">
        <v>109</v>
      </c>
      <c r="R79" s="43" t="s">
        <v>93</v>
      </c>
      <c r="S79" s="43" t="s">
        <v>158</v>
      </c>
      <c r="T79" s="43" t="s">
        <v>102</v>
      </c>
      <c r="U79" s="43" t="s">
        <v>86</v>
      </c>
      <c r="V79" s="43" t="s">
        <v>98</v>
      </c>
      <c r="W79" s="43" t="s">
        <v>73</v>
      </c>
      <c r="X79" s="43" t="s">
        <v>73</v>
      </c>
      <c r="Y79" s="43" t="s">
        <v>112</v>
      </c>
      <c r="Z79" s="43" t="s">
        <v>73</v>
      </c>
      <c r="AA79" s="43" t="s">
        <v>73</v>
      </c>
      <c r="AB79" s="43" t="s">
        <v>73</v>
      </c>
      <c r="AC79" s="43" t="s">
        <v>73</v>
      </c>
      <c r="AD79" s="43" t="s">
        <v>73</v>
      </c>
      <c r="AE79" s="43" t="s">
        <v>73</v>
      </c>
      <c r="AF79" s="43" t="s">
        <v>75</v>
      </c>
      <c r="AG79" t="str">
        <f>VLOOKUP($Q79,武学奇术!$A:$ZZ,25,FALSE)</f>
        <v>伞</v>
      </c>
      <c r="AH79" s="27">
        <f>VLOOKUP($Q79,武学奇术!$A:$ZZ,26,FALSE)</f>
        <v>1.174955</v>
      </c>
      <c r="AI79" s="28">
        <f>VLOOKUP($Q79,武学奇术!$A:$ZZ,27,FALSE)*(1+IF(OR($AG79=$F$4,$AG79=$F$5),$B$22,0))</f>
        <v>454.02</v>
      </c>
      <c r="AJ79" s="27">
        <f>VLOOKUP($Q79,武学奇术!$A:$ZZ,28,FALSE)</f>
        <v>1.762375</v>
      </c>
      <c r="AK79" s="28">
        <f>VLOOKUP($Q79,武学奇术!$A:$ZZ,29,FALSE)*(1+IF(OR($AG79=$F$4,$AG79=$F$5),$B$22,0))</f>
        <v>247.94</v>
      </c>
      <c r="AL79" s="27" cm="1">
        <f t="array" ref="AL79">$G$3+IFERROR(VLOOKUP($AG79,$F$4:$G$7,2,FALSE),0)+VLOOKUP($Q79,武学奇术!$A:$ZZ,2,FALSE)+SUM(_xlfn.XLOOKUP($R79:$AF79,增益!$A:$A,增益!$B:$B,0))</f>
        <v>1.0541</v>
      </c>
      <c r="AM79" s="27" cm="1">
        <f t="array" ref="AM79">VLOOKUP($Q79,武学奇术!$A:$ZZ,5,FALSE)+SUM(_xlfn.XLOOKUP($R79:$AF79,增益!$A:$A,增益!$E:$E,0))</f>
        <v>0.075</v>
      </c>
      <c r="AN79" cm="1">
        <f t="array" ref="AN79">$D$10*(1+$AM79)+VLOOKUP($Q79,武学奇术!$A:$ZZ,3,FALSE)+SUM(_xlfn.XLOOKUP($R79:$AF79,增益!$A:$A,增益!$C:$C,0))-$I$2</f>
        <v>1950.7275</v>
      </c>
      <c r="AO79" cm="1">
        <f t="array" ref="AO79">$E$10*(1+$AM79)+VLOOKUP($Q79,武学奇术!$A:$ZZ,4,FALSE)+SUM(_xlfn.XLOOKUP($R79:$AF79,增益!$A:$A,增益!$D:$D,0))-$I$2</f>
        <v>5687.2125</v>
      </c>
      <c r="AP79" s="35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0.4925</v>
      </c>
      <c r="AQ79" s="35" cm="1">
        <f t="array" ref="AQ79">$G$10+VLOOKUP($Q79,武学奇术!$A:$ZZ,7,FALSE)+SUM(_xlfn.XLOOKUP(R79:AF79,增益!$A:$A,增益!$G:$G,0))</f>
        <v>0.1</v>
      </c>
      <c r="AR79" s="27" cm="1">
        <f t="array" ref="AR79">VLOOKUP($Q79,武学奇术!$A:$ZZ,8,FALSE)+SUM(_xlfn.XLOOKUP(R79:AF79,增益!$A:$A,增益!$H:$H,0))</f>
        <v>0</v>
      </c>
      <c r="AS79">
        <f t="shared" si="34"/>
        <v>0</v>
      </c>
      <c r="AT79">
        <f t="shared" si="35"/>
        <v>0</v>
      </c>
      <c r="AU79" s="35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35" cm="1">
        <f t="array" ref="AV79">$G$11+VLOOKUP($Q79,武学奇术!$A:$ZZ,10,FALSE)+SUM(_xlfn.XLOOKUP(R79:AF79,增益!$A:$A,增益!$J:$J,0))</f>
        <v>0</v>
      </c>
      <c r="AW79">
        <f t="shared" si="36"/>
        <v>0</v>
      </c>
      <c r="AX79">
        <f t="shared" si="37"/>
        <v>0</v>
      </c>
      <c r="AY79" s="35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-0.3</v>
      </c>
      <c r="AZ79" s="35" cm="1">
        <f t="array" ref="AZ79">$G$12+VLOOKUP($Q79,武学奇术!$A:$ZZ,12,FALSE)+SUM(_xlfn.XLOOKUP(R79:AF79,增益!$A:$A,增益!$L:$L,0))</f>
        <v>0</v>
      </c>
      <c r="BA79">
        <f t="shared" si="38"/>
        <v>538</v>
      </c>
      <c r="BB79">
        <f t="shared" si="39"/>
        <v>1011</v>
      </c>
      <c r="BC79" s="35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0</v>
      </c>
      <c r="BD79" s="35" cm="1">
        <f t="array" ref="BD79">$G$13+VLOOKUP($Q79,武学奇术!$A:$ZZ,14,FALSE)+SUM(_xlfn.XLOOKUP(R79:AF79,增益!$A:$A,增益!$N:$N,0))</f>
        <v>0.25</v>
      </c>
      <c r="BE79">
        <f t="shared" si="40"/>
        <v>0</v>
      </c>
      <c r="BF79">
        <f t="shared" si="41"/>
        <v>0</v>
      </c>
      <c r="BG79" s="35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35" cm="1">
        <f t="array" ref="BH79">$G$14+VLOOKUP($Q79,武学奇术!$A:$ZZ,16,FALSE)+SUM(_xlfn.XLOOKUP(R79:AF79,增益!$A:$A,增益!$P:$P,0))</f>
        <v>0</v>
      </c>
      <c r="BI79" s="27">
        <f>MIN(IF(VLOOKUP($Q79,武学奇术!$A:$ZZ,23,FALSE)=1,100%,$B$8),100%)</f>
        <v>0.9969</v>
      </c>
      <c r="BJ79" s="27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0.9137</v>
      </c>
      <c r="BK79" s="27" cm="1">
        <f t="array" ref="BK79">1+$B$13+VLOOKUP($Q79,武学奇术!$A:$ZZ,18,FALSE)+SUM(_xlfn.XLOOKUP(R79:AF79,增益!$A:$A,增益!$R:$R,0))</f>
        <v>2.21</v>
      </c>
      <c r="BL79" s="27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0.0895</v>
      </c>
      <c r="BM79" s="27" cm="1">
        <f t="array" ref="BM79">1+$B$14+VLOOKUP($Q79,武学奇术!$A:$ZZ,20,FALSE)+SUM(_xlfn.XLOOKUP(R79:AF79,增益!$A:$A,增益!$T:$T,0))</f>
        <v>1.35</v>
      </c>
      <c r="BN79" s="27">
        <f t="shared" si="22"/>
        <v>0.90767745</v>
      </c>
      <c r="BO79" s="27">
        <f t="shared" si="32"/>
        <v>-1.30104260698261e-17</v>
      </c>
      <c r="BP79" s="27">
        <f>IF(VLOOKUP($Q79,武学奇术!$A:$ZZ,22,FALSE)=1,0,(1-$BI79))*(1-$BL79)</f>
        <v>0.00282254999999999</v>
      </c>
      <c r="BQ79" s="27" cm="1">
        <f t="array" ref="BQ79">SUM(_xlfn.XLOOKUP(R79:AF79,增益!$A:$A,增益!$W:$W,0))+$I$5</f>
        <v>0.11</v>
      </c>
    </row>
    <row r="80" spans="1:69">
      <c r="A80" s="4" t="s">
        <v>107</v>
      </c>
      <c r="B80" s="94">
        <v>1.16</v>
      </c>
      <c r="K80" s="41">
        <f t="shared" si="33"/>
        <v>342512.120943</v>
      </c>
      <c r="L80" s="41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弹道",$B$21,0))*(1+$BQ80)</f>
        <v>347762.845429088</v>
      </c>
      <c r="M80" s="41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弹道",$B$21,0))*(1+$BQ80)</f>
        <v>297077.603931601</v>
      </c>
      <c r="N80" s="41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弹道",$B$21,0))*(1+$BQ80)</f>
        <v>157358.753587823</v>
      </c>
      <c r="O80" s="41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弹道",$B$21,0))*(1+$BQ80)</f>
        <v>94660.0227818669</v>
      </c>
      <c r="P80" s="42">
        <v>5</v>
      </c>
      <c r="Q80" s="43" t="s">
        <v>109</v>
      </c>
      <c r="R80" s="43" t="s">
        <v>93</v>
      </c>
      <c r="S80" s="43" t="s">
        <v>158</v>
      </c>
      <c r="T80" s="43" t="s">
        <v>102</v>
      </c>
      <c r="U80" s="43" t="s">
        <v>86</v>
      </c>
      <c r="V80" s="43" t="s">
        <v>98</v>
      </c>
      <c r="W80" s="43" t="s">
        <v>73</v>
      </c>
      <c r="X80" s="43" t="s">
        <v>73</v>
      </c>
      <c r="Y80" s="43" t="s">
        <v>112</v>
      </c>
      <c r="Z80" s="43" t="s">
        <v>73</v>
      </c>
      <c r="AA80" s="43" t="s">
        <v>73</v>
      </c>
      <c r="AB80" s="43" t="s">
        <v>80</v>
      </c>
      <c r="AC80" s="43" t="s">
        <v>73</v>
      </c>
      <c r="AD80" s="43" t="s">
        <v>73</v>
      </c>
      <c r="AE80" s="43" t="s">
        <v>73</v>
      </c>
      <c r="AF80" s="43" t="s">
        <v>75</v>
      </c>
      <c r="AG80" t="str">
        <f>VLOOKUP($Q80,武学奇术!$A:$ZZ,25,FALSE)</f>
        <v>伞</v>
      </c>
      <c r="AH80" s="27">
        <f>VLOOKUP($Q80,武学奇术!$A:$ZZ,26,FALSE)</f>
        <v>1.174955</v>
      </c>
      <c r="AI80" s="28">
        <f>VLOOKUP($Q80,武学奇术!$A:$ZZ,27,FALSE)*(1+IF(OR($AG80=$F$4,$AG80=$F$5),$B$22,0))</f>
        <v>454.02</v>
      </c>
      <c r="AJ80" s="27">
        <f>VLOOKUP($Q80,武学奇术!$A:$ZZ,28,FALSE)</f>
        <v>1.762375</v>
      </c>
      <c r="AK80" s="28">
        <f>VLOOKUP($Q80,武学奇术!$A:$ZZ,29,FALSE)*(1+IF(OR($AG80=$F$4,$AG80=$F$5),$B$22,0))</f>
        <v>247.94</v>
      </c>
      <c r="AL80" s="27" cm="1">
        <f t="array" ref="AL80">$G$3+IFERROR(VLOOKUP($AG80,$F$4:$G$7,2,FALSE),0)+VLOOKUP($Q80,武学奇术!$A:$ZZ,2,FALSE)+SUM(_xlfn.XLOOKUP($R80:$AF80,增益!$A:$A,增益!$B:$B,0))</f>
        <v>1.0541</v>
      </c>
      <c r="AM80" s="27" cm="1">
        <f t="array" ref="AM80">VLOOKUP($Q80,武学奇术!$A:$ZZ,5,FALSE)+SUM(_xlfn.XLOOKUP($R80:$AF80,增益!$A:$A,增益!$E:$E,0))</f>
        <v>0.075</v>
      </c>
      <c r="AN80" cm="1">
        <f t="array" ref="AN80">$D$10*(1+$AM80)+VLOOKUP($Q80,武学奇术!$A:$ZZ,3,FALSE)+SUM(_xlfn.XLOOKUP($R80:$AF80,增益!$A:$A,增益!$C:$C,0))-$I$2</f>
        <v>1950.7275</v>
      </c>
      <c r="AO80" cm="1">
        <f t="array" ref="AO80">$E$10*(1+$AM80)+VLOOKUP($Q80,武学奇术!$A:$ZZ,4,FALSE)+SUM(_xlfn.XLOOKUP($R80:$AF80,增益!$A:$A,增益!$D:$D,0))-$I$2</f>
        <v>5687.2125</v>
      </c>
      <c r="AP80" s="35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0.4925</v>
      </c>
      <c r="AQ80" s="35" cm="1">
        <f t="array" ref="AQ80">$G$10+VLOOKUP($Q80,武学奇术!$A:$ZZ,7,FALSE)+SUM(_xlfn.XLOOKUP(R80:AF80,增益!$A:$A,增益!$G:$G,0))</f>
        <v>0.1</v>
      </c>
      <c r="AR80" s="27" cm="1">
        <f t="array" ref="AR80">VLOOKUP($Q80,武学奇术!$A:$ZZ,8,FALSE)+SUM(_xlfn.XLOOKUP(R80:AF80,增益!$A:$A,增益!$H:$H,0))</f>
        <v>0</v>
      </c>
      <c r="AS80">
        <f t="shared" si="34"/>
        <v>0</v>
      </c>
      <c r="AT80">
        <f t="shared" si="35"/>
        <v>0</v>
      </c>
      <c r="AU80" s="35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-0.14</v>
      </c>
      <c r="AV80" s="35" cm="1">
        <f t="array" ref="AV80">$G$11+VLOOKUP($Q80,武学奇术!$A:$ZZ,10,FALSE)+SUM(_xlfn.XLOOKUP(R80:AF80,增益!$A:$A,增益!$J:$J,0))</f>
        <v>0</v>
      </c>
      <c r="AW80">
        <f t="shared" si="36"/>
        <v>0</v>
      </c>
      <c r="AX80">
        <f t="shared" si="37"/>
        <v>0</v>
      </c>
      <c r="AY80" s="35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-0.14</v>
      </c>
      <c r="AZ80" s="35" cm="1">
        <f t="array" ref="AZ80">$G$12+VLOOKUP($Q80,武学奇术!$A:$ZZ,12,FALSE)+SUM(_xlfn.XLOOKUP(R80:AF80,增益!$A:$A,增益!$L:$L,0))</f>
        <v>0</v>
      </c>
      <c r="BA80">
        <f t="shared" si="38"/>
        <v>538</v>
      </c>
      <c r="BB80">
        <f t="shared" si="39"/>
        <v>1011</v>
      </c>
      <c r="BC80" s="35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0.08</v>
      </c>
      <c r="BD80" s="35" cm="1">
        <f t="array" ref="BD80">$G$13+VLOOKUP($Q80,武学奇术!$A:$ZZ,14,FALSE)+SUM(_xlfn.XLOOKUP(R80:AF80,增益!$A:$A,增益!$N:$N,0))</f>
        <v>0.25</v>
      </c>
      <c r="BE80">
        <f t="shared" si="40"/>
        <v>0</v>
      </c>
      <c r="BF80">
        <f t="shared" si="41"/>
        <v>0</v>
      </c>
      <c r="BG80" s="35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-0.14</v>
      </c>
      <c r="BH80" s="35" cm="1">
        <f t="array" ref="BH80">$G$14+VLOOKUP($Q80,武学奇术!$A:$ZZ,16,FALSE)+SUM(_xlfn.XLOOKUP(R80:AF80,增益!$A:$A,增益!$P:$P,0))</f>
        <v>0</v>
      </c>
      <c r="BI80" s="27">
        <f>MIN(IF(VLOOKUP($Q80,武学奇术!$A:$ZZ,23,FALSE)=1,100%,$B$8),100%)</f>
        <v>0.9969</v>
      </c>
      <c r="BJ80" s="27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0.9137</v>
      </c>
      <c r="BK80" s="27" cm="1">
        <f t="array" ref="BK80">1+$B$13+VLOOKUP($Q80,武学奇术!$A:$ZZ,18,FALSE)+SUM(_xlfn.XLOOKUP(R80:AF80,增益!$A:$A,增益!$R:$R,0))</f>
        <v>2.21</v>
      </c>
      <c r="BL80" s="27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0.0895</v>
      </c>
      <c r="BM80" s="27" cm="1">
        <f t="array" ref="BM80">1+$B$14+VLOOKUP($Q80,武学奇术!$A:$ZZ,20,FALSE)+SUM(_xlfn.XLOOKUP(R80:AF80,增益!$A:$A,增益!$T:$T,0))</f>
        <v>1.35</v>
      </c>
      <c r="BN80" s="27">
        <f t="shared" si="22"/>
        <v>0.90767745</v>
      </c>
      <c r="BO80" s="27">
        <f t="shared" si="32"/>
        <v>-1.30104260698261e-17</v>
      </c>
      <c r="BP80" s="27">
        <f>IF(VLOOKUP($Q80,武学奇术!$A:$ZZ,22,FALSE)=1,0,(1-$BI80))*(1-$BL80)</f>
        <v>0.00282254999999999</v>
      </c>
      <c r="BQ80" s="27" cm="1">
        <f t="array" ref="BQ80">SUM(_xlfn.XLOOKUP(R80:AF80,增益!$A:$A,增益!$W:$W,0))+$I$5</f>
        <v>0.11</v>
      </c>
    </row>
    <row r="81" spans="1:69">
      <c r="A81" s="4" t="s">
        <v>155</v>
      </c>
      <c r="B81" s="4">
        <v>0.1</v>
      </c>
      <c r="K81" s="41">
        <f t="shared" si="33"/>
        <v>84199.0629153485</v>
      </c>
      <c r="L81" s="41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弹道",$B$21,0))*(1+$BQ81)</f>
        <v>84194.1751450969</v>
      </c>
      <c r="M81" s="41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弹道",$B$21,0))*(1+$BQ81)</f>
        <v>86043.5313625304</v>
      </c>
      <c r="N81" s="41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弹道",$B$21,0))*(1+$BQ81)</f>
        <v>45510.3649432956</v>
      </c>
      <c r="O81" s="41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弹道",$B$21,0))*(1+$BQ81)</f>
        <v>27284.7807291614</v>
      </c>
      <c r="P81" s="42">
        <v>1</v>
      </c>
      <c r="Q81" s="43" t="s">
        <v>145</v>
      </c>
      <c r="R81" s="43" t="s">
        <v>93</v>
      </c>
      <c r="S81" s="43" t="s">
        <v>158</v>
      </c>
      <c r="T81" s="43" t="s">
        <v>73</v>
      </c>
      <c r="U81" s="43" t="s">
        <v>86</v>
      </c>
      <c r="V81" s="43" t="s">
        <v>98</v>
      </c>
      <c r="W81" s="43" t="s">
        <v>73</v>
      </c>
      <c r="X81" s="43" t="s">
        <v>73</v>
      </c>
      <c r="Y81" s="43" t="s">
        <v>112</v>
      </c>
      <c r="Z81" s="43" t="s">
        <v>73</v>
      </c>
      <c r="AA81" s="43" t="s">
        <v>73</v>
      </c>
      <c r="AB81" s="43" t="s">
        <v>73</v>
      </c>
      <c r="AC81" s="43" t="s">
        <v>73</v>
      </c>
      <c r="AD81" s="43" t="s">
        <v>73</v>
      </c>
      <c r="AE81" s="43" t="s">
        <v>73</v>
      </c>
      <c r="AF81" s="43" t="s">
        <v>75</v>
      </c>
      <c r="AG81" t="str">
        <f>VLOOKUP($Q81,武学奇术!$A:$ZZ,25,FALSE)</f>
        <v>扇</v>
      </c>
      <c r="AH81" s="27">
        <f>VLOOKUP($Q81,武学奇术!$A:$ZZ,26,FALSE)</f>
        <v>2.76138</v>
      </c>
      <c r="AI81" s="28">
        <f>VLOOKUP($Q81,武学奇术!$A:$ZZ,27,FALSE)*(1+IF(OR($AG81=$F$4,$AG81=$F$5),$B$22,0))</f>
        <v>1069.81</v>
      </c>
      <c r="AJ81" s="27">
        <f>VLOOKUP($Q81,武学奇术!$A:$ZZ,28,FALSE)</f>
        <v>4.14207</v>
      </c>
      <c r="AK81" s="28">
        <f>VLOOKUP($Q81,武学奇术!$A:$ZZ,29,FALSE)*(1+IF(OR($AG81=$F$4,$AG81=$F$5),$B$22,0))</f>
        <v>582.61</v>
      </c>
      <c r="AL81" s="27" cm="1">
        <f t="array" ref="AL81">$G$3+IFERROR(VLOOKUP($AG81,$F$4:$G$7,2,FALSE),0)+VLOOKUP($Q81,武学奇术!$A:$ZZ,2,FALSE)+SUM(_xlfn.XLOOKUP($R81:$AF81,增益!$A:$A,增益!$B:$B,0))</f>
        <v>0.7189</v>
      </c>
      <c r="AM81" s="27" cm="1">
        <f t="array" ref="AM81">VLOOKUP($Q81,武学奇术!$A:$ZZ,5,FALSE)+SUM(_xlfn.XLOOKUP($R81:$AF81,增益!$A:$A,增益!$E:$E,0))</f>
        <v>0.075</v>
      </c>
      <c r="AN81" cm="1">
        <f t="array" ref="AN81">$D$10*(1+$AM81)+VLOOKUP($Q81,武学奇术!$A:$ZZ,3,FALSE)+SUM(_xlfn.XLOOKUP($R81:$AF81,增益!$A:$A,增益!$C:$C,0))-$I$2</f>
        <v>1950.7275</v>
      </c>
      <c r="AO81" cm="1">
        <f t="array" ref="AO81">$E$10*(1+$AM81)+VLOOKUP($Q81,武学奇术!$A:$ZZ,4,FALSE)+SUM(_xlfn.XLOOKUP($R81:$AF81,增益!$A:$A,增益!$D:$D,0))-$I$2</f>
        <v>5687.2125</v>
      </c>
      <c r="AP81" s="35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0.4675</v>
      </c>
      <c r="AQ81" s="35" cm="1">
        <f t="array" ref="AQ81">$G$10+VLOOKUP($Q81,武学奇术!$A:$ZZ,7,FALSE)+SUM(_xlfn.XLOOKUP(R81:AF81,增益!$A:$A,增益!$G:$G,0))</f>
        <v>0.1</v>
      </c>
      <c r="AR81" s="27" cm="1">
        <f t="array" ref="AR81">VLOOKUP($Q81,武学奇术!$A:$ZZ,8,FALSE)+SUM(_xlfn.XLOOKUP(R81:AF81,增益!$A:$A,增益!$H:$H,0))</f>
        <v>0</v>
      </c>
      <c r="AS81">
        <f t="shared" si="34"/>
        <v>0</v>
      </c>
      <c r="AT81">
        <f t="shared" si="35"/>
        <v>0</v>
      </c>
      <c r="AU81" s="35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35" cm="1">
        <f t="array" ref="AV81">$G$11+VLOOKUP($Q81,武学奇术!$A:$ZZ,10,FALSE)+SUM(_xlfn.XLOOKUP(R81:AF81,增益!$A:$A,增益!$J:$J,0))</f>
        <v>0</v>
      </c>
      <c r="AW81">
        <f t="shared" si="36"/>
        <v>0</v>
      </c>
      <c r="AX81">
        <f t="shared" si="37"/>
        <v>0</v>
      </c>
      <c r="AY81" s="35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-0.3</v>
      </c>
      <c r="AZ81" s="35" cm="1">
        <f t="array" ref="AZ81">$G$12+VLOOKUP($Q81,武学奇术!$A:$ZZ,12,FALSE)+SUM(_xlfn.XLOOKUP(R81:AF81,增益!$A:$A,增益!$L:$L,0))</f>
        <v>0</v>
      </c>
      <c r="BA81">
        <f t="shared" si="38"/>
        <v>538</v>
      </c>
      <c r="BB81">
        <f t="shared" si="39"/>
        <v>1011</v>
      </c>
      <c r="BC81" s="35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0</v>
      </c>
      <c r="BD81" s="35" cm="1">
        <f t="array" ref="BD81">$G$13+VLOOKUP($Q81,武学奇术!$A:$ZZ,14,FALSE)+SUM(_xlfn.XLOOKUP(R81:AF81,增益!$A:$A,增益!$N:$N,0))</f>
        <v>0.25</v>
      </c>
      <c r="BE81">
        <f t="shared" si="40"/>
        <v>0</v>
      </c>
      <c r="BF81">
        <f t="shared" si="41"/>
        <v>0</v>
      </c>
      <c r="BG81" s="35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35" cm="1">
        <f t="array" ref="BH81">$G$14+VLOOKUP($Q81,武学奇术!$A:$ZZ,16,FALSE)+SUM(_xlfn.XLOOKUP(R81:AF81,增益!$A:$A,增益!$P:$P,0))</f>
        <v>0</v>
      </c>
      <c r="BI81" s="27">
        <f>MIN(IF(VLOOKUP($Q81,武学奇术!$A:$ZZ,23,FALSE)=1,100%,$B$8),100%)</f>
        <v>0.9969</v>
      </c>
      <c r="BJ81" s="27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0.9137</v>
      </c>
      <c r="BK81" s="27" cm="1">
        <f t="array" ref="BK81">1+$B$13+VLOOKUP($Q81,武学奇术!$A:$ZZ,18,FALSE)+SUM(_xlfn.XLOOKUP(R81:AF81,增益!$A:$A,增益!$R:$R,0))</f>
        <v>1.85</v>
      </c>
      <c r="BL81" s="27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0.0895</v>
      </c>
      <c r="BM81" s="27" cm="1">
        <f t="array" ref="BM81">1+$B$14+VLOOKUP($Q81,武学奇术!$A:$ZZ,20,FALSE)+SUM(_xlfn.XLOOKUP(R81:AF81,增益!$A:$A,增益!$T:$T,0))</f>
        <v>1.35</v>
      </c>
      <c r="BN81" s="27">
        <f t="shared" si="22"/>
        <v>0.90767745</v>
      </c>
      <c r="BO81" s="27">
        <f t="shared" si="32"/>
        <v>-1.30104260698261e-17</v>
      </c>
      <c r="BP81" s="27">
        <f>IF(VLOOKUP($Q81,武学奇术!$A:$ZZ,22,FALSE)=1,0,(1-$BI81))*(1-$BL81)</f>
        <v>0.00282254999999999</v>
      </c>
      <c r="BQ81" s="27" cm="1">
        <f t="array" ref="BQ81">SUM(_xlfn.XLOOKUP(R81:AF81,增益!$A:$A,增益!$W:$W,0))+$I$5</f>
        <v>0.11</v>
      </c>
    </row>
    <row r="82" spans="1:69">
      <c r="A82" s="4" t="s">
        <v>174</v>
      </c>
      <c r="B82" s="4">
        <v>2</v>
      </c>
      <c r="F82">
        <v>-15</v>
      </c>
      <c r="K82" s="41">
        <f t="shared" si="33"/>
        <v>27294.7887990413</v>
      </c>
      <c r="L82" s="41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弹道",$B$21,0))*(1+$BQ82)</f>
        <v>27294.0611221792</v>
      </c>
      <c r="M82" s="41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弹道",$B$21,0))*(1+$BQ82)</f>
        <v>27883.7826479851</v>
      </c>
      <c r="N82" s="41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弹道",$B$21,0))*(1+$BQ82)</f>
        <v>14753.5465525293</v>
      </c>
      <c r="O82" s="41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弹道",$B$21,0))*(1+$BQ82)</f>
        <v>8852.43929173625</v>
      </c>
      <c r="P82" s="42">
        <v>1</v>
      </c>
      <c r="Q82" s="43" t="s">
        <v>127</v>
      </c>
      <c r="R82" s="43" t="s">
        <v>93</v>
      </c>
      <c r="S82" s="43" t="s">
        <v>158</v>
      </c>
      <c r="T82" s="43" t="s">
        <v>73</v>
      </c>
      <c r="U82" s="43" t="s">
        <v>86</v>
      </c>
      <c r="V82" s="43" t="s">
        <v>73</v>
      </c>
      <c r="W82" s="43" t="s">
        <v>73</v>
      </c>
      <c r="X82" s="43" t="s">
        <v>73</v>
      </c>
      <c r="Y82" s="43" t="s">
        <v>112</v>
      </c>
      <c r="Z82" s="43" t="s">
        <v>73</v>
      </c>
      <c r="AA82" s="43" t="s">
        <v>73</v>
      </c>
      <c r="AB82" s="43" t="s">
        <v>73</v>
      </c>
      <c r="AC82" s="43" t="s">
        <v>73</v>
      </c>
      <c r="AD82" s="43" t="s">
        <v>73</v>
      </c>
      <c r="AE82" s="43" t="s">
        <v>73</v>
      </c>
      <c r="AF82" s="43" t="s">
        <v>75</v>
      </c>
      <c r="AG82" t="str">
        <f>VLOOKUP($Q82,武学奇术!$A:$ZZ,25,FALSE)</f>
        <v>扇</v>
      </c>
      <c r="AH82" s="27">
        <f>VLOOKUP($Q82,武学奇术!$A:$ZZ,26,FALSE)</f>
        <v>1.2798</v>
      </c>
      <c r="AI82" s="28">
        <f>VLOOKUP($Q82,武学奇术!$A:$ZZ,27,FALSE)*(1+IF(OR($AG82=$F$4,$AG82=$F$5),$B$22,0))</f>
        <v>497</v>
      </c>
      <c r="AJ82" s="27">
        <f>VLOOKUP($Q82,武学奇术!$A:$ZZ,28,FALSE)</f>
        <v>1.9197</v>
      </c>
      <c r="AK82" s="28">
        <f>VLOOKUP($Q82,武学奇术!$A:$ZZ,29,FALSE)*(1+IF(OR($AG82=$F$4,$AG82=$F$5),$B$22,0))</f>
        <v>270.2</v>
      </c>
      <c r="AL82" s="27" cm="1">
        <f t="array" ref="AL82">$G$3+IFERROR(VLOOKUP($AG82,$F$4:$G$7,2,FALSE),0)+VLOOKUP($Q82,武学奇术!$A:$ZZ,2,FALSE)+SUM(_xlfn.XLOOKUP($R82:$AF82,增益!$A:$A,增益!$B:$B,0))</f>
        <v>0.3189</v>
      </c>
      <c r="AM82" s="27" cm="1">
        <f t="array" ref="AM82">VLOOKUP($Q82,武学奇术!$A:$ZZ,5,FALSE)+SUM(_xlfn.XLOOKUP($R82:$AF82,增益!$A:$A,增益!$E:$E,0))</f>
        <v>0.075</v>
      </c>
      <c r="AN82" cm="1">
        <f t="array" ref="AN82">$D$10*(1+$AM82)+VLOOKUP($Q82,武学奇术!$A:$ZZ,3,FALSE)+SUM(_xlfn.XLOOKUP($R82:$AF82,增益!$A:$A,增益!$C:$C,0))-$I$2</f>
        <v>1950.7275</v>
      </c>
      <c r="AO82" cm="1">
        <f t="array" ref="AO82">$E$10*(1+$AM82)+VLOOKUP($Q82,武学奇术!$A:$ZZ,4,FALSE)+SUM(_xlfn.XLOOKUP($R82:$AF82,增益!$A:$A,增益!$D:$D,0))-$I$2</f>
        <v>5687.2125</v>
      </c>
      <c r="AP82" s="35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0.4675</v>
      </c>
      <c r="AQ82" s="35" cm="1">
        <f t="array" ref="AQ82">$G$10+VLOOKUP($Q82,武学奇术!$A:$ZZ,7,FALSE)+SUM(_xlfn.XLOOKUP(R82:AF82,增益!$A:$A,增益!$G:$G,0))</f>
        <v>0</v>
      </c>
      <c r="AR82" s="27" cm="1">
        <f t="array" ref="AR82">VLOOKUP($Q82,武学奇术!$A:$ZZ,8,FALSE)+SUM(_xlfn.XLOOKUP(R82:AF82,增益!$A:$A,增益!$H:$H,0))</f>
        <v>0</v>
      </c>
      <c r="AS82">
        <f t="shared" si="34"/>
        <v>0</v>
      </c>
      <c r="AT82">
        <f t="shared" si="35"/>
        <v>0</v>
      </c>
      <c r="AU82" s="35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35" cm="1">
        <f t="array" ref="AV82">$G$11+VLOOKUP($Q82,武学奇术!$A:$ZZ,10,FALSE)+SUM(_xlfn.XLOOKUP(R82:AF82,增益!$A:$A,增益!$J:$J,0))</f>
        <v>0</v>
      </c>
      <c r="AW82">
        <f t="shared" si="36"/>
        <v>0</v>
      </c>
      <c r="AX82">
        <f t="shared" si="37"/>
        <v>0</v>
      </c>
      <c r="AY82" s="35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-0.3</v>
      </c>
      <c r="AZ82" s="35" cm="1">
        <f t="array" ref="AZ82">$G$12+VLOOKUP($Q82,武学奇术!$A:$ZZ,12,FALSE)+SUM(_xlfn.XLOOKUP(R82:AF82,增益!$A:$A,增益!$L:$L,0))</f>
        <v>0</v>
      </c>
      <c r="BA82">
        <f t="shared" si="38"/>
        <v>538</v>
      </c>
      <c r="BB82">
        <f t="shared" si="39"/>
        <v>1011</v>
      </c>
      <c r="BC82" s="35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0</v>
      </c>
      <c r="BD82" s="35" cm="1">
        <f t="array" ref="BD82">$G$13+VLOOKUP($Q82,武学奇术!$A:$ZZ,14,FALSE)+SUM(_xlfn.XLOOKUP(R82:AF82,增益!$A:$A,增益!$N:$N,0))</f>
        <v>0.15</v>
      </c>
      <c r="BE82">
        <f t="shared" si="40"/>
        <v>0</v>
      </c>
      <c r="BF82">
        <f t="shared" si="41"/>
        <v>0</v>
      </c>
      <c r="BG82" s="35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-0.3</v>
      </c>
      <c r="BH82" s="35" cm="1">
        <f t="array" ref="BH82">$G$14+VLOOKUP($Q82,武学奇术!$A:$ZZ,16,FALSE)+SUM(_xlfn.XLOOKUP(R82:AF82,增益!$A:$A,增益!$P:$P,0))</f>
        <v>0</v>
      </c>
      <c r="BI82" s="27">
        <f>MIN(IF(VLOOKUP($Q82,武学奇术!$A:$ZZ,23,FALSE)=1,100%,$B$8),100%)</f>
        <v>0.9969</v>
      </c>
      <c r="BJ82" s="27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0.9137</v>
      </c>
      <c r="BK82" s="27" cm="1">
        <f t="array" ref="BK82">1+$B$13+VLOOKUP($Q82,武学奇术!$A:$ZZ,18,FALSE)+SUM(_xlfn.XLOOKUP(R82:AF82,增益!$A:$A,增益!$R:$R,0))</f>
        <v>1.85</v>
      </c>
      <c r="BL82" s="27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0.0895</v>
      </c>
      <c r="BM82" s="27" cm="1">
        <f t="array" ref="BM82">1+$B$14+VLOOKUP($Q82,武学奇术!$A:$ZZ,20,FALSE)+SUM(_xlfn.XLOOKUP(R82:AF82,增益!$A:$A,增益!$T:$T,0))</f>
        <v>1.35</v>
      </c>
      <c r="BN82" s="27">
        <f t="shared" si="22"/>
        <v>0.90767745</v>
      </c>
      <c r="BO82" s="27">
        <f t="shared" si="32"/>
        <v>-1.30104260698261e-17</v>
      </c>
      <c r="BP82" s="27">
        <f>IF(VLOOKUP($Q82,武学奇术!$A:$ZZ,22,FALSE)=1,0,(1-$BI82))*(1-$BL82)</f>
        <v>0.00282254999999999</v>
      </c>
      <c r="BQ82" s="27" cm="1">
        <f t="array" ref="BQ82">SUM(_xlfn.XLOOKUP(R82:AF82,增益!$A:$A,增益!$W:$W,0))+$I$5</f>
        <v>0.11</v>
      </c>
    </row>
    <row r="83" spans="1:69">
      <c r="A83" t="s">
        <v>181</v>
      </c>
      <c r="B83">
        <v>1.7</v>
      </c>
      <c r="K83" s="41">
        <f t="shared" si="33"/>
        <v>131818.832891809</v>
      </c>
      <c r="L83" s="41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弹道",$B$21,0))*(1+$BQ83)</f>
        <v>133844.467432701</v>
      </c>
      <c r="M83" s="41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弹道",$B$21,0))*(1+$BQ83)</f>
        <v>114282.485808028</v>
      </c>
      <c r="N83" s="41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弹道",$B$21,0))*(1+$BQ83)</f>
        <v>60563.1074356113</v>
      </c>
      <c r="O83" s="41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弹道",$B$21,0))*(1+$BQ83)</f>
        <v>36472.521680091</v>
      </c>
      <c r="P83" s="42">
        <v>1</v>
      </c>
      <c r="Q83" s="43" t="s">
        <v>133</v>
      </c>
      <c r="R83" s="43" t="s">
        <v>93</v>
      </c>
      <c r="S83" s="43" t="s">
        <v>158</v>
      </c>
      <c r="T83" s="43" t="s">
        <v>73</v>
      </c>
      <c r="U83" s="43" t="s">
        <v>86</v>
      </c>
      <c r="V83" s="43" t="s">
        <v>134</v>
      </c>
      <c r="W83" s="43" t="s">
        <v>73</v>
      </c>
      <c r="X83" s="43" t="s">
        <v>73</v>
      </c>
      <c r="Y83" s="43" t="s">
        <v>112</v>
      </c>
      <c r="Z83" s="43" t="s">
        <v>73</v>
      </c>
      <c r="AA83" s="43" t="s">
        <v>73</v>
      </c>
      <c r="AB83" s="43" t="s">
        <v>80</v>
      </c>
      <c r="AC83" s="43" t="s">
        <v>73</v>
      </c>
      <c r="AD83" s="43" t="s">
        <v>73</v>
      </c>
      <c r="AE83" s="43" t="s">
        <v>73</v>
      </c>
      <c r="AF83" s="43" t="s">
        <v>75</v>
      </c>
      <c r="AG83" t="str">
        <f>VLOOKUP($Q83,武学奇术!$A:$ZZ,25,FALSE)</f>
        <v>扇</v>
      </c>
      <c r="AH83" s="27">
        <f>VLOOKUP($Q83,武学奇术!$A:$ZZ,26,FALSE)</f>
        <v>4.376825</v>
      </c>
      <c r="AI83" s="28">
        <f>VLOOKUP($Q83,武学奇术!$A:$ZZ,27,FALSE)*(1+IF(OR($AG83=$F$4,$AG83=$F$5),$B$22,0))</f>
        <v>1695.05</v>
      </c>
      <c r="AJ83" s="27">
        <f>VLOOKUP($Q83,武学奇术!$A:$ZZ,28,FALSE)</f>
        <v>6.56531</v>
      </c>
      <c r="AK83" s="28">
        <f>VLOOKUP($Q83,武学奇术!$A:$ZZ,29,FALSE)*(1+IF(OR($AG83=$F$4,$AG83=$F$5),$B$22,0))</f>
        <v>923.65</v>
      </c>
      <c r="AL83" s="27" cm="1">
        <f t="array" ref="AL83">$G$3+IFERROR(VLOOKUP($AG83,$F$4:$G$7,2,FALSE),0)+VLOOKUP($Q83,武学奇术!$A:$ZZ,2,FALSE)+SUM(_xlfn.XLOOKUP($R83:$AF83,增益!$A:$A,增益!$B:$B,0))</f>
        <v>0.4189</v>
      </c>
      <c r="AM83" s="27" cm="1">
        <f t="array" ref="AM83">VLOOKUP($Q83,武学奇术!$A:$ZZ,5,FALSE)+SUM(_xlfn.XLOOKUP($R83:$AF83,增益!$A:$A,增益!$E:$E,0))</f>
        <v>0.075</v>
      </c>
      <c r="AN83" cm="1">
        <f t="array" ref="AN83">$D$10*(1+$AM83)+VLOOKUP($Q83,武学奇术!$A:$ZZ,3,FALSE)+SUM(_xlfn.XLOOKUP($R83:$AF83,增益!$A:$A,增益!$C:$C,0))-$I$2</f>
        <v>1950.7275</v>
      </c>
      <c r="AO83" cm="1">
        <f t="array" ref="AO83">$E$10*(1+$AM83)+VLOOKUP($Q83,武学奇术!$A:$ZZ,4,FALSE)+SUM(_xlfn.XLOOKUP($R83:$AF83,增益!$A:$A,增益!$D:$D,0))-$I$2</f>
        <v>5687.2125</v>
      </c>
      <c r="AP83" s="35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0.4675</v>
      </c>
      <c r="AQ83" s="35" cm="1">
        <f t="array" ref="AQ83">$G$10+VLOOKUP($Q83,武学奇术!$A:$ZZ,7,FALSE)+SUM(_xlfn.XLOOKUP(R83:AF83,增益!$A:$A,增益!$G:$G,0))</f>
        <v>0.1</v>
      </c>
      <c r="AR83" s="27" cm="1">
        <f t="array" ref="AR83">VLOOKUP($Q83,武学奇术!$A:$ZZ,8,FALSE)+SUM(_xlfn.XLOOKUP(R83:AF83,增益!$A:$A,增益!$H:$H,0))</f>
        <v>0</v>
      </c>
      <c r="AS83">
        <f t="shared" si="34"/>
        <v>0</v>
      </c>
      <c r="AT83">
        <f t="shared" si="35"/>
        <v>0</v>
      </c>
      <c r="AU83" s="35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-0.14</v>
      </c>
      <c r="AV83" s="35" cm="1">
        <f t="array" ref="AV83">$G$11+VLOOKUP($Q83,武学奇术!$A:$ZZ,10,FALSE)+SUM(_xlfn.XLOOKUP(R83:AF83,增益!$A:$A,增益!$J:$J,0))</f>
        <v>0</v>
      </c>
      <c r="AW83">
        <f t="shared" si="36"/>
        <v>0</v>
      </c>
      <c r="AX83">
        <f t="shared" si="37"/>
        <v>0</v>
      </c>
      <c r="AY83" s="35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-0.14</v>
      </c>
      <c r="AZ83" s="35" cm="1">
        <f t="array" ref="AZ83">$G$12+VLOOKUP($Q83,武学奇术!$A:$ZZ,12,FALSE)+SUM(_xlfn.XLOOKUP(R83:AF83,增益!$A:$A,增益!$L:$L,0))</f>
        <v>0</v>
      </c>
      <c r="BA83">
        <f t="shared" si="38"/>
        <v>538</v>
      </c>
      <c r="BB83">
        <f t="shared" si="39"/>
        <v>1011</v>
      </c>
      <c r="BC83" s="35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0.08</v>
      </c>
      <c r="BD83" s="35" cm="1">
        <f t="array" ref="BD83">$G$13+VLOOKUP($Q83,武学奇术!$A:$ZZ,14,FALSE)+SUM(_xlfn.XLOOKUP(R83:AF83,增益!$A:$A,增益!$N:$N,0))</f>
        <v>0.25</v>
      </c>
      <c r="BE83">
        <f t="shared" si="40"/>
        <v>0</v>
      </c>
      <c r="BF83">
        <f t="shared" si="41"/>
        <v>0</v>
      </c>
      <c r="BG83" s="35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-0.14</v>
      </c>
      <c r="BH83" s="35" cm="1">
        <f t="array" ref="BH83">$G$14+VLOOKUP($Q83,武学奇术!$A:$ZZ,16,FALSE)+SUM(_xlfn.XLOOKUP(R83:AF83,增益!$A:$A,增益!$P:$P,0))</f>
        <v>0</v>
      </c>
      <c r="BI83" s="27">
        <f>MIN(IF(VLOOKUP($Q83,武学奇术!$A:$ZZ,23,FALSE)=1,100%,$B$8),100%)</f>
        <v>0.9969</v>
      </c>
      <c r="BJ83" s="27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0.9137</v>
      </c>
      <c r="BK83" s="27" cm="1">
        <f t="array" ref="BK83">1+$B$13+VLOOKUP($Q83,武学奇术!$A:$ZZ,18,FALSE)+SUM(_xlfn.XLOOKUP(R83:AF83,增益!$A:$A,增益!$R:$R,0))</f>
        <v>2.21</v>
      </c>
      <c r="BL83" s="27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0.0895</v>
      </c>
      <c r="BM83" s="27" cm="1">
        <f t="array" ref="BM83">1+$B$14+VLOOKUP($Q83,武学奇术!$A:$ZZ,20,FALSE)+SUM(_xlfn.XLOOKUP(R83:AF83,增益!$A:$A,增益!$T:$T,0))</f>
        <v>1.35</v>
      </c>
      <c r="BN83" s="27">
        <f t="shared" si="22"/>
        <v>0.90767745</v>
      </c>
      <c r="BO83" s="27">
        <f t="shared" si="32"/>
        <v>-1.30104260698261e-17</v>
      </c>
      <c r="BP83" s="27">
        <f>IF(VLOOKUP($Q83,武学奇术!$A:$ZZ,22,FALSE)=1,0,(1-$BI83))*(1-$BL83)</f>
        <v>0.00282254999999999</v>
      </c>
      <c r="BQ83" s="27" cm="1">
        <f t="array" ref="BQ83">SUM(_xlfn.XLOOKUP(R83:AF83,增益!$A:$A,增益!$W:$W,0))+$I$5</f>
        <v>0.11</v>
      </c>
    </row>
    <row r="84" spans="1:69">
      <c r="A84" s="4" t="s">
        <v>147</v>
      </c>
      <c r="B84" s="4">
        <v>1</v>
      </c>
      <c r="K84" s="41">
        <f t="shared" si="33"/>
        <v>69704.6427322317</v>
      </c>
      <c r="L84" s="41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弹道",$B$21,0))*(1+$BQ84)</f>
        <v>70086.4110354418</v>
      </c>
      <c r="M84" s="41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弹道",$B$21,0))*(1+$BQ84)</f>
        <v>67349.0524566123</v>
      </c>
      <c r="N84" s="41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弹道",$B$21,0))*(1+$BQ84)</f>
        <v>35758.3729772662</v>
      </c>
      <c r="O84" s="41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弹道",$B$21,0))*(1+$BQ84)</f>
        <v>21628.5589496345</v>
      </c>
      <c r="P84" s="42">
        <v>1</v>
      </c>
      <c r="Q84" s="43" t="s">
        <v>97</v>
      </c>
      <c r="R84" s="43" t="s">
        <v>93</v>
      </c>
      <c r="S84" s="43" t="s">
        <v>158</v>
      </c>
      <c r="T84" s="43" t="s">
        <v>102</v>
      </c>
      <c r="U84" s="43" t="s">
        <v>86</v>
      </c>
      <c r="V84" s="43" t="s">
        <v>73</v>
      </c>
      <c r="W84" s="43" t="s">
        <v>73</v>
      </c>
      <c r="X84" s="43" t="s">
        <v>73</v>
      </c>
      <c r="Y84" s="43" t="s">
        <v>73</v>
      </c>
      <c r="Z84" s="43" t="s">
        <v>73</v>
      </c>
      <c r="AA84" s="43" t="s">
        <v>73</v>
      </c>
      <c r="AB84" s="43" t="s">
        <v>80</v>
      </c>
      <c r="AC84" s="43" t="s">
        <v>73</v>
      </c>
      <c r="AD84" s="43" t="s">
        <v>73</v>
      </c>
      <c r="AE84" s="43" t="s">
        <v>73</v>
      </c>
      <c r="AF84" s="43" t="s">
        <v>75</v>
      </c>
      <c r="AG84" t="str">
        <f>VLOOKUP($Q84,武学奇术!$A:$ZZ,25,FALSE)</f>
        <v>伞</v>
      </c>
      <c r="AH84" s="27">
        <f>VLOOKUP($Q84,武学奇术!$A:$ZZ,26,FALSE)</f>
        <v>2.3397</v>
      </c>
      <c r="AI84" s="28">
        <f>VLOOKUP($Q84,武学奇术!$A:$ZZ,27,FALSE)*(1+IF(OR($AG84=$F$4,$AG84=$F$5),$B$22,0))</f>
        <v>907.2</v>
      </c>
      <c r="AJ84" s="27">
        <f>VLOOKUP($Q84,武学奇术!$A:$ZZ,28,FALSE)</f>
        <v>3.5095</v>
      </c>
      <c r="AK84" s="28">
        <f>VLOOKUP($Q84,武学奇术!$A:$ZZ,29,FALSE)*(1+IF(OR($AG84=$F$4,$AG84=$F$5),$B$22,0))</f>
        <v>494.2</v>
      </c>
      <c r="AL84" s="27" cm="1">
        <f t="array" ref="AL84">$G$3+IFERROR(VLOOKUP($AG84,$F$4:$G$7,2,FALSE),0)+VLOOKUP($Q84,武学奇术!$A:$ZZ,2,FALSE)+SUM(_xlfn.XLOOKUP($R84:$AF84,增益!$A:$A,增益!$B:$B,0))</f>
        <v>0.6541</v>
      </c>
      <c r="AM84" s="27" cm="1">
        <f t="array" ref="AM84">VLOOKUP($Q84,武学奇术!$A:$ZZ,5,FALSE)+SUM(_xlfn.XLOOKUP($R84:$AF84,增益!$A:$A,增益!$E:$E,0))</f>
        <v>0.075</v>
      </c>
      <c r="AN84" cm="1">
        <f t="array" ref="AN84">$D$10*(1+$AM84)+VLOOKUP($Q84,武学奇术!$A:$ZZ,3,FALSE)+SUM(_xlfn.XLOOKUP($R84:$AF84,增益!$A:$A,增益!$C:$C,0))-$I$2</f>
        <v>1950.7275</v>
      </c>
      <c r="AO84" cm="1">
        <f t="array" ref="AO84">$E$10*(1+$AM84)+VLOOKUP($Q84,武学奇术!$A:$ZZ,4,FALSE)+SUM(_xlfn.XLOOKUP($R84:$AF84,增益!$A:$A,增益!$D:$D,0))-$I$2</f>
        <v>5687.2125</v>
      </c>
      <c r="AP84" s="35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0.3675</v>
      </c>
      <c r="AQ84" s="35" cm="1">
        <f t="array" ref="AQ84">$G$10+VLOOKUP($Q84,武学奇术!$A:$ZZ,7,FALSE)+SUM(_xlfn.XLOOKUP(R84:AF84,增益!$A:$A,增益!$G:$G,0))</f>
        <v>0.1</v>
      </c>
      <c r="AR84" s="27" cm="1">
        <f t="array" ref="AR84">VLOOKUP($Q84,武学奇术!$A:$ZZ,8,FALSE)+SUM(_xlfn.XLOOKUP(R84:AF84,增益!$A:$A,增益!$H:$H,0))</f>
        <v>0</v>
      </c>
      <c r="AS84">
        <f t="shared" si="34"/>
        <v>0</v>
      </c>
      <c r="AT84">
        <f t="shared" si="35"/>
        <v>0</v>
      </c>
      <c r="AU84" s="35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-0.14</v>
      </c>
      <c r="AV84" s="35" cm="1">
        <f t="array" ref="AV84">$G$11+VLOOKUP($Q84,武学奇术!$A:$ZZ,10,FALSE)+SUM(_xlfn.XLOOKUP(R84:AF84,增益!$A:$A,增益!$J:$J,0))</f>
        <v>0</v>
      </c>
      <c r="AW84">
        <f t="shared" si="36"/>
        <v>0</v>
      </c>
      <c r="AX84">
        <f t="shared" si="37"/>
        <v>0</v>
      </c>
      <c r="AY84" s="35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-0.14</v>
      </c>
      <c r="AZ84" s="35" cm="1">
        <f t="array" ref="AZ84">$G$12+VLOOKUP($Q84,武学奇术!$A:$ZZ,12,FALSE)+SUM(_xlfn.XLOOKUP(R84:AF84,增益!$A:$A,增益!$L:$L,0))</f>
        <v>0</v>
      </c>
      <c r="BA84">
        <f t="shared" si="38"/>
        <v>538</v>
      </c>
      <c r="BB84">
        <f t="shared" si="39"/>
        <v>1011</v>
      </c>
      <c r="BC84" s="35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0.08</v>
      </c>
      <c r="BD84" s="35" cm="1">
        <f t="array" ref="BD84">$G$13+VLOOKUP($Q84,武学奇术!$A:$ZZ,14,FALSE)+SUM(_xlfn.XLOOKUP(R84:AF84,增益!$A:$A,增益!$N:$N,0))</f>
        <v>0.25</v>
      </c>
      <c r="BE84">
        <f t="shared" si="40"/>
        <v>0</v>
      </c>
      <c r="BF84">
        <f t="shared" si="41"/>
        <v>0</v>
      </c>
      <c r="BG84" s="35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-0.14</v>
      </c>
      <c r="BH84" s="35" cm="1">
        <f t="array" ref="BH84">$G$14+VLOOKUP($Q84,武学奇术!$A:$ZZ,16,FALSE)+SUM(_xlfn.XLOOKUP(R84:AF84,增益!$A:$A,增益!$P:$P,0))</f>
        <v>0</v>
      </c>
      <c r="BI84" s="27">
        <f>MIN(IF(VLOOKUP($Q84,武学奇术!$A:$ZZ,23,FALSE)=1,100%,$B$8),100%)</f>
        <v>0.9969</v>
      </c>
      <c r="BJ84" s="27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0.9137</v>
      </c>
      <c r="BK84" s="27" cm="1">
        <f t="array" ref="BK84">1+$B$13+VLOOKUP($Q84,武学奇术!$A:$ZZ,18,FALSE)+SUM(_xlfn.XLOOKUP(R84:AF84,增益!$A:$A,增益!$R:$R,0))</f>
        <v>1.96</v>
      </c>
      <c r="BL84" s="27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0.0895</v>
      </c>
      <c r="BM84" s="27" cm="1">
        <f t="array" ref="BM84">1+$B$14+VLOOKUP($Q84,武学奇术!$A:$ZZ,20,FALSE)+SUM(_xlfn.XLOOKUP(R84:AF84,增益!$A:$A,增益!$T:$T,0))</f>
        <v>1.35</v>
      </c>
      <c r="BN84" s="27">
        <f t="shared" si="22"/>
        <v>0.90767745</v>
      </c>
      <c r="BO84" s="27">
        <f t="shared" si="32"/>
        <v>-1.30104260698261e-17</v>
      </c>
      <c r="BP84" s="27">
        <f>IF(VLOOKUP($Q84,武学奇术!$A:$ZZ,22,FALSE)=1,0,(1-$BI84))*(1-$BL84)</f>
        <v>0.00282254999999999</v>
      </c>
      <c r="BQ84" s="27" cm="1">
        <f t="array" ref="BQ84">SUM(_xlfn.XLOOKUP(R84:AF84,增益!$A:$A,增益!$W:$W,0))+$I$5</f>
        <v>0.11</v>
      </c>
    </row>
    <row r="85" spans="1:69">
      <c r="A85" s="4" t="s">
        <v>97</v>
      </c>
      <c r="B85" s="4">
        <v>1.25</v>
      </c>
      <c r="K85" s="41">
        <f t="shared" si="33"/>
        <v>35285.6389004158</v>
      </c>
      <c r="L85" s="41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弹道",$B$21,0))*(1+$BQ85)</f>
        <v>34796.7008616867</v>
      </c>
      <c r="M85" s="41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弹道",$B$21,0))*(1+$BQ85)</f>
        <v>40941.7772846388</v>
      </c>
      <c r="N85" s="41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弹道",$B$21,0))*(1+$BQ85)</f>
        <v>21747.9380385542</v>
      </c>
      <c r="O85" s="41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弹道",$B$21,0))*(1+$BQ85)</f>
        <v>13168.6336440426</v>
      </c>
      <c r="P85" s="42">
        <v>1</v>
      </c>
      <c r="Q85" s="43" t="s">
        <v>104</v>
      </c>
      <c r="R85" s="43" t="s">
        <v>93</v>
      </c>
      <c r="S85" s="43" t="s">
        <v>158</v>
      </c>
      <c r="T85" s="43" t="s">
        <v>73</v>
      </c>
      <c r="U85" s="43" t="s">
        <v>86</v>
      </c>
      <c r="V85" s="43" t="s">
        <v>73</v>
      </c>
      <c r="W85" s="43" t="s">
        <v>73</v>
      </c>
      <c r="X85" s="43" t="s">
        <v>73</v>
      </c>
      <c r="Y85" s="43" t="s">
        <v>73</v>
      </c>
      <c r="Z85" s="43" t="s">
        <v>73</v>
      </c>
      <c r="AA85" s="43" t="s">
        <v>73</v>
      </c>
      <c r="AB85" s="43" t="s">
        <v>80</v>
      </c>
      <c r="AC85" s="43" t="s">
        <v>73</v>
      </c>
      <c r="AD85" s="43" t="s">
        <v>73</v>
      </c>
      <c r="AE85" s="43" t="s">
        <v>73</v>
      </c>
      <c r="AF85" s="43" t="s">
        <v>75</v>
      </c>
      <c r="AG85" t="str">
        <f>VLOOKUP($Q85,武学奇术!$A:$ZZ,25,FALSE)</f>
        <v>伞</v>
      </c>
      <c r="AH85" s="27">
        <f>VLOOKUP($Q85,武学奇术!$A:$ZZ,26,FALSE)</f>
        <v>1.7001</v>
      </c>
      <c r="AI85" s="28">
        <f>VLOOKUP($Q85,武学奇术!$A:$ZZ,27,FALSE)*(1+IF(OR($AG85=$F$4,$AG85=$F$5),$B$22,0))</f>
        <v>659.4</v>
      </c>
      <c r="AJ85" s="27">
        <f>VLOOKUP($Q85,武学奇术!$A:$ZZ,28,FALSE)</f>
        <v>2.5502</v>
      </c>
      <c r="AK85" s="28">
        <f>VLOOKUP($Q85,武学奇术!$A:$ZZ,29,FALSE)*(1+IF(OR($AG85=$F$4,$AG85=$F$5),$B$22,0))</f>
        <v>358.4</v>
      </c>
      <c r="AL85" s="27" cm="1">
        <f t="array" ref="AL85">$G$3+IFERROR(VLOOKUP($AG85,$F$4:$G$7,2,FALSE),0)+VLOOKUP($Q85,武学奇术!$A:$ZZ,2,FALSE)+SUM(_xlfn.XLOOKUP($R85:$AF85,增益!$A:$A,增益!$B:$B,0))</f>
        <v>0.4041</v>
      </c>
      <c r="AM85" s="27" cm="1">
        <f t="array" ref="AM85">VLOOKUP($Q85,武学奇术!$A:$ZZ,5,FALSE)+SUM(_xlfn.XLOOKUP($R85:$AF85,增益!$A:$A,增益!$E:$E,0))</f>
        <v>0.075</v>
      </c>
      <c r="AN85" cm="1">
        <f t="array" ref="AN85">$D$10*(1+$AM85)+VLOOKUP($Q85,武学奇术!$A:$ZZ,3,FALSE)+SUM(_xlfn.XLOOKUP($R85:$AF85,增益!$A:$A,增益!$C:$C,0))-$I$2</f>
        <v>1950.7275</v>
      </c>
      <c r="AO85" cm="1">
        <f t="array" ref="AO85">$E$10*(1+$AM85)+VLOOKUP($Q85,武学奇术!$A:$ZZ,4,FALSE)+SUM(_xlfn.XLOOKUP($R85:$AF85,增益!$A:$A,增益!$D:$D,0))-$I$2</f>
        <v>5687.2125</v>
      </c>
      <c r="AP85" s="35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0.3425</v>
      </c>
      <c r="AQ85" s="35" cm="1">
        <f t="array" ref="AQ85">$G$10+VLOOKUP($Q85,武学奇术!$A:$ZZ,7,FALSE)+SUM(_xlfn.XLOOKUP(R85:AF85,增益!$A:$A,增益!$G:$G,0))</f>
        <v>0.1</v>
      </c>
      <c r="AR85" s="27" cm="1">
        <f t="array" ref="AR85">VLOOKUP($Q85,武学奇术!$A:$ZZ,8,FALSE)+SUM(_xlfn.XLOOKUP(R85:AF85,增益!$A:$A,增益!$H:$H,0))</f>
        <v>0</v>
      </c>
      <c r="AS85">
        <f t="shared" si="34"/>
        <v>0</v>
      </c>
      <c r="AT85">
        <f t="shared" si="35"/>
        <v>0</v>
      </c>
      <c r="AU85" s="35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-0.14</v>
      </c>
      <c r="AV85" s="35" cm="1">
        <f t="array" ref="AV85">$G$11+VLOOKUP($Q85,武学奇术!$A:$ZZ,10,FALSE)+SUM(_xlfn.XLOOKUP(R85:AF85,增益!$A:$A,增益!$J:$J,0))</f>
        <v>0</v>
      </c>
      <c r="AW85">
        <f t="shared" si="36"/>
        <v>0</v>
      </c>
      <c r="AX85">
        <f t="shared" si="37"/>
        <v>0</v>
      </c>
      <c r="AY85" s="35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-0.14</v>
      </c>
      <c r="AZ85" s="35" cm="1">
        <f t="array" ref="AZ85">$G$12+VLOOKUP($Q85,武学奇术!$A:$ZZ,12,FALSE)+SUM(_xlfn.XLOOKUP(R85:AF85,增益!$A:$A,增益!$L:$L,0))</f>
        <v>0</v>
      </c>
      <c r="BA85">
        <f t="shared" si="38"/>
        <v>538</v>
      </c>
      <c r="BB85">
        <f t="shared" si="39"/>
        <v>1011</v>
      </c>
      <c r="BC85" s="35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0.08</v>
      </c>
      <c r="BD85" s="35" cm="1">
        <f t="array" ref="BD85">$G$13+VLOOKUP($Q85,武学奇术!$A:$ZZ,14,FALSE)+SUM(_xlfn.XLOOKUP(R85:AF85,增益!$A:$A,增益!$N:$N,0))</f>
        <v>0.25</v>
      </c>
      <c r="BE85">
        <f t="shared" si="40"/>
        <v>0</v>
      </c>
      <c r="BF85">
        <f t="shared" si="41"/>
        <v>0</v>
      </c>
      <c r="BG85" s="35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-0.14</v>
      </c>
      <c r="BH85" s="35" cm="1">
        <f t="array" ref="BH85">$G$14+VLOOKUP($Q85,武学奇术!$A:$ZZ,16,FALSE)+SUM(_xlfn.XLOOKUP(R85:AF85,增益!$A:$A,增益!$P:$P,0))</f>
        <v>0</v>
      </c>
      <c r="BI85" s="27">
        <f>MIN(IF(VLOOKUP($Q85,武学奇术!$A:$ZZ,23,FALSE)=1,100%,$B$8),100%)</f>
        <v>0.9969</v>
      </c>
      <c r="BJ85" s="27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0.9137</v>
      </c>
      <c r="BK85" s="27" cm="1">
        <f t="array" ref="BK85">1+$B$13+VLOOKUP($Q85,武学奇术!$A:$ZZ,18,FALSE)+SUM(_xlfn.XLOOKUP(R85:AF85,增益!$A:$A,增益!$R:$R,0))</f>
        <v>1.6</v>
      </c>
      <c r="BL85" s="27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0.0895</v>
      </c>
      <c r="BM85" s="27" cm="1">
        <f t="array" ref="BM85">1+$B$14+VLOOKUP($Q85,武学奇术!$A:$ZZ,20,FALSE)+SUM(_xlfn.XLOOKUP(R85:AF85,增益!$A:$A,增益!$T:$T,0))</f>
        <v>1.35</v>
      </c>
      <c r="BN85" s="27">
        <f t="shared" si="22"/>
        <v>0.90767745</v>
      </c>
      <c r="BO85" s="27">
        <f t="shared" si="32"/>
        <v>-1.30104260698261e-17</v>
      </c>
      <c r="BP85" s="27">
        <f>IF(VLOOKUP($Q85,武学奇术!$A:$ZZ,22,FALSE)=1,0,(1-$BI85))*(1-$BL85)</f>
        <v>0.00282254999999999</v>
      </c>
      <c r="BQ85" s="27" cm="1">
        <f t="array" ref="BQ85">SUM(_xlfn.XLOOKUP(R85:AF85,增益!$A:$A,增益!$W:$W,0))+$I$5</f>
        <v>0.11</v>
      </c>
    </row>
    <row r="86" spans="1:69">
      <c r="A86" s="4" t="s">
        <v>182</v>
      </c>
      <c r="B86" s="94">
        <v>5.75</v>
      </c>
      <c r="F86">
        <v>24</v>
      </c>
      <c r="K86" s="41">
        <f t="shared" si="33"/>
        <v>14785.1109476781</v>
      </c>
      <c r="L86" s="41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弹道",$B$21,0))*(1+$BQ86)</f>
        <v>14579.9767431437</v>
      </c>
      <c r="M86" s="41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弹道",$B$21,0))*(1+$BQ86)</f>
        <v>17157.8456663738</v>
      </c>
      <c r="N86" s="41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弹道",$B$21,0))*(1+$BQ86)</f>
        <v>9112.48546446479</v>
      </c>
      <c r="O86" s="41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弹道",$B$21,0))*(1+$BQ86)</f>
        <v>5515.45562050454</v>
      </c>
      <c r="P86" s="42">
        <v>1</v>
      </c>
      <c r="Q86" s="43" t="s">
        <v>107</v>
      </c>
      <c r="R86" s="43" t="s">
        <v>93</v>
      </c>
      <c r="S86" s="43" t="s">
        <v>158</v>
      </c>
      <c r="T86" s="43" t="s">
        <v>73</v>
      </c>
      <c r="U86" s="43" t="s">
        <v>86</v>
      </c>
      <c r="V86" s="43" t="s">
        <v>73</v>
      </c>
      <c r="W86" s="43" t="s">
        <v>73</v>
      </c>
      <c r="X86" s="43" t="s">
        <v>73</v>
      </c>
      <c r="Y86" s="43" t="s">
        <v>73</v>
      </c>
      <c r="Z86" s="43" t="s">
        <v>73</v>
      </c>
      <c r="AA86" s="43" t="s">
        <v>73</v>
      </c>
      <c r="AB86" s="43" t="s">
        <v>80</v>
      </c>
      <c r="AC86" s="43" t="s">
        <v>73</v>
      </c>
      <c r="AD86" s="43" t="s">
        <v>73</v>
      </c>
      <c r="AE86" s="43" t="s">
        <v>73</v>
      </c>
      <c r="AF86" s="43" t="s">
        <v>75</v>
      </c>
      <c r="AG86" t="str">
        <f>VLOOKUP($Q86,武学奇术!$A:$ZZ,25,FALSE)</f>
        <v>伞</v>
      </c>
      <c r="AH86" s="27">
        <f>VLOOKUP($Q86,武学奇术!$A:$ZZ,26,FALSE)</f>
        <v>0.54</v>
      </c>
      <c r="AI86" s="28">
        <f>VLOOKUP($Q86,武学奇术!$A:$ZZ,27,FALSE)*(1+IF(OR($AG86=$F$4,$AG86=$F$5),$B$22,0))</f>
        <v>207.2</v>
      </c>
      <c r="AJ86" s="27">
        <f>VLOOKUP($Q86,武学奇术!$A:$ZZ,28,FALSE)</f>
        <v>0.81</v>
      </c>
      <c r="AK86" s="28">
        <f>VLOOKUP($Q86,武学奇术!$A:$ZZ,29,FALSE)*(1+IF(OR($AG86=$F$4,$AG86=$F$5),$B$22,0))</f>
        <v>114.1</v>
      </c>
      <c r="AL86" s="27" cm="1">
        <f t="array" ref="AL86">$G$3+IFERROR(VLOOKUP($AG86,$F$4:$G$7,2,FALSE),0)+VLOOKUP($Q86,武学奇术!$A:$ZZ,2,FALSE)+SUM(_xlfn.XLOOKUP($R86:$AF86,增益!$A:$A,增益!$B:$B,0))</f>
        <v>0.4041</v>
      </c>
      <c r="AM86" s="27" cm="1">
        <f t="array" ref="AM86">VLOOKUP($Q86,武学奇术!$A:$ZZ,5,FALSE)+SUM(_xlfn.XLOOKUP($R86:$AF86,增益!$A:$A,增益!$E:$E,0))</f>
        <v>0.075</v>
      </c>
      <c r="AN86" cm="1">
        <f t="array" ref="AN86">$D$10*(1+$AM86)+VLOOKUP($Q86,武学奇术!$A:$ZZ,3,FALSE)+SUM(_xlfn.XLOOKUP($R86:$AF86,增益!$A:$A,增益!$C:$C,0))-$I$2</f>
        <v>1950.7275</v>
      </c>
      <c r="AO86" cm="1">
        <f t="array" ref="AO86">$E$10*(1+$AM86)+VLOOKUP($Q86,武学奇术!$A:$ZZ,4,FALSE)+SUM(_xlfn.XLOOKUP($R86:$AF86,增益!$A:$A,增益!$D:$D,0))-$I$2</f>
        <v>5687.2125</v>
      </c>
      <c r="AP86" s="35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0.3425</v>
      </c>
      <c r="AQ86" s="35" cm="1">
        <f t="array" ref="AQ86">$G$10+VLOOKUP($Q86,武学奇术!$A:$ZZ,7,FALSE)+SUM(_xlfn.XLOOKUP(R86:AF86,增益!$A:$A,增益!$G:$G,0))</f>
        <v>0.1</v>
      </c>
      <c r="AR86" s="27" cm="1">
        <f t="array" ref="AR86">VLOOKUP($Q86,武学奇术!$A:$ZZ,8,FALSE)+SUM(_xlfn.XLOOKUP(R86:AF86,增益!$A:$A,增益!$H:$H,0))</f>
        <v>0</v>
      </c>
      <c r="AS86">
        <f t="shared" si="34"/>
        <v>0</v>
      </c>
      <c r="AT86">
        <f t="shared" si="35"/>
        <v>0</v>
      </c>
      <c r="AU86" s="35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-0.14</v>
      </c>
      <c r="AV86" s="35" cm="1">
        <f t="array" ref="AV86">$G$11+VLOOKUP($Q86,武学奇术!$A:$ZZ,10,FALSE)+SUM(_xlfn.XLOOKUP(R86:AF86,增益!$A:$A,增益!$J:$J,0))</f>
        <v>0</v>
      </c>
      <c r="AW86">
        <f t="shared" si="36"/>
        <v>0</v>
      </c>
      <c r="AX86">
        <f t="shared" si="37"/>
        <v>0</v>
      </c>
      <c r="AY86" s="35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-0.14</v>
      </c>
      <c r="AZ86" s="35" cm="1">
        <f t="array" ref="AZ86">$G$12+VLOOKUP($Q86,武学奇术!$A:$ZZ,12,FALSE)+SUM(_xlfn.XLOOKUP(R86:AF86,增益!$A:$A,增益!$L:$L,0))</f>
        <v>0</v>
      </c>
      <c r="BA86">
        <f t="shared" si="38"/>
        <v>538</v>
      </c>
      <c r="BB86">
        <f t="shared" si="39"/>
        <v>1011</v>
      </c>
      <c r="BC86" s="35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0.08</v>
      </c>
      <c r="BD86" s="35" cm="1">
        <f t="array" ref="BD86">$G$13+VLOOKUP($Q86,武学奇术!$A:$ZZ,14,FALSE)+SUM(_xlfn.XLOOKUP(R86:AF86,增益!$A:$A,增益!$N:$N,0))</f>
        <v>0.25</v>
      </c>
      <c r="BE86">
        <f t="shared" si="40"/>
        <v>0</v>
      </c>
      <c r="BF86">
        <f t="shared" si="41"/>
        <v>0</v>
      </c>
      <c r="BG86" s="35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-0.14</v>
      </c>
      <c r="BH86" s="35" cm="1">
        <f t="array" ref="BH86">$G$14+VLOOKUP($Q86,武学奇术!$A:$ZZ,16,FALSE)+SUM(_xlfn.XLOOKUP(R86:AF86,增益!$A:$A,增益!$P:$P,0))</f>
        <v>0</v>
      </c>
      <c r="BI86" s="27">
        <f>MIN(IF(VLOOKUP($Q86,武学奇术!$A:$ZZ,23,FALSE)=1,100%,$B$8),100%)</f>
        <v>0.9969</v>
      </c>
      <c r="BJ86" s="27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0.9137</v>
      </c>
      <c r="BK86" s="27" cm="1">
        <f t="array" ref="BK86">1+$B$13+VLOOKUP($Q86,武学奇术!$A:$ZZ,18,FALSE)+SUM(_xlfn.XLOOKUP(R86:AF86,增益!$A:$A,增益!$R:$R,0))</f>
        <v>1.6</v>
      </c>
      <c r="BL86" s="27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0.0895</v>
      </c>
      <c r="BM86" s="27" cm="1">
        <f t="array" ref="BM86">1+$B$14+VLOOKUP($Q86,武学奇术!$A:$ZZ,20,FALSE)+SUM(_xlfn.XLOOKUP(R86:AF86,增益!$A:$A,增益!$T:$T,0))</f>
        <v>1.35</v>
      </c>
      <c r="BN86" s="27">
        <f t="shared" si="22"/>
        <v>0.90767745</v>
      </c>
      <c r="BO86" s="27">
        <f t="shared" si="32"/>
        <v>-1.30104260698261e-17</v>
      </c>
      <c r="BP86" s="27">
        <f>IF(VLOOKUP($Q86,武学奇术!$A:$ZZ,22,FALSE)=1,0,(1-$BI86))*(1-$BL86)</f>
        <v>0.00282254999999999</v>
      </c>
      <c r="BQ86" s="27" cm="1">
        <f t="array" ref="BQ86">SUM(_xlfn.XLOOKUP(R86:AF86,增益!$A:$A,增益!$W:$W,0))+$I$5</f>
        <v>0.11</v>
      </c>
    </row>
    <row r="87" spans="1:69">
      <c r="A87" s="4"/>
      <c r="B87" s="94"/>
      <c r="K87" s="41">
        <f t="shared" ref="K87:K136" si="42">($L87*$BN87+$M87*$BL87+$N87*$BO87+$O87*$BP87)</f>
        <v>23096.3099860597</v>
      </c>
      <c r="L87" s="41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弹道",$B$21,0))*(1+$BQ87)</f>
        <v>23222.6460189837</v>
      </c>
      <c r="M87" s="41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弹道",$B$21,0))*(1+$BQ87)</f>
        <v>22317.4745259164</v>
      </c>
      <c r="N87" s="41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弹道",$B$21,0))*(1+$BQ87)</f>
        <v>11848.2887851958</v>
      </c>
      <c r="O87" s="41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弹道",$B$21,0))*(1+$BQ87)</f>
        <v>7165.11495860164</v>
      </c>
      <c r="P87" s="42">
        <v>0.5</v>
      </c>
      <c r="Q87" s="43" t="s">
        <v>109</v>
      </c>
      <c r="R87" s="43" t="s">
        <v>93</v>
      </c>
      <c r="S87" s="43" t="s">
        <v>158</v>
      </c>
      <c r="T87" s="43" t="s">
        <v>102</v>
      </c>
      <c r="U87" s="43" t="s">
        <v>86</v>
      </c>
      <c r="V87" s="43" t="s">
        <v>73</v>
      </c>
      <c r="W87" s="43" t="s">
        <v>73</v>
      </c>
      <c r="X87" s="43" t="s">
        <v>73</v>
      </c>
      <c r="Y87" s="43" t="s">
        <v>73</v>
      </c>
      <c r="Z87" s="43" t="s">
        <v>73</v>
      </c>
      <c r="AA87" s="43" t="s">
        <v>73</v>
      </c>
      <c r="AB87" s="43" t="s">
        <v>80</v>
      </c>
      <c r="AC87" s="43" t="s">
        <v>73</v>
      </c>
      <c r="AD87" s="43" t="s">
        <v>73</v>
      </c>
      <c r="AE87" s="43" t="s">
        <v>73</v>
      </c>
      <c r="AF87" s="43" t="s">
        <v>75</v>
      </c>
      <c r="AG87" t="str">
        <f>VLOOKUP($Q87,武学奇术!$A:$ZZ,25,FALSE)</f>
        <v>伞</v>
      </c>
      <c r="AH87" s="27">
        <f>VLOOKUP($Q87,武学奇术!$A:$ZZ,26,FALSE)</f>
        <v>1.174955</v>
      </c>
      <c r="AI87" s="28">
        <f>VLOOKUP($Q87,武学奇术!$A:$ZZ,27,FALSE)*(1+IF(OR($AG87=$F$4,$AG87=$F$5),$B$22,0))</f>
        <v>454.02</v>
      </c>
      <c r="AJ87" s="27">
        <f>VLOOKUP($Q87,武学奇术!$A:$ZZ,28,FALSE)</f>
        <v>1.762375</v>
      </c>
      <c r="AK87" s="28">
        <f>VLOOKUP($Q87,武学奇术!$A:$ZZ,29,FALSE)*(1+IF(OR($AG87=$F$4,$AG87=$F$5),$B$22,0))</f>
        <v>247.94</v>
      </c>
      <c r="AL87" s="27" cm="1">
        <f t="array" ref="AL87">$G$3+IFERROR(VLOOKUP($AG87,$F$4:$G$7,2,FALSE),0)+VLOOKUP($Q87,武学奇术!$A:$ZZ,2,FALSE)+SUM(_xlfn.XLOOKUP($R87:$AF87,增益!$A:$A,增益!$B:$B,0))</f>
        <v>0.6541</v>
      </c>
      <c r="AM87" s="27" cm="1">
        <f t="array" ref="AM87">VLOOKUP($Q87,武学奇术!$A:$ZZ,5,FALSE)+SUM(_xlfn.XLOOKUP($R87:$AF87,增益!$A:$A,增益!$E:$E,0))</f>
        <v>0.075</v>
      </c>
      <c r="AN87" cm="1">
        <f t="array" ref="AN87">$D$10*(1+$AM87)+VLOOKUP($Q87,武学奇术!$A:$ZZ,3,FALSE)+SUM(_xlfn.XLOOKUP($R87:$AF87,增益!$A:$A,增益!$C:$C,0))-$I$2</f>
        <v>1950.7275</v>
      </c>
      <c r="AO87" cm="1">
        <f t="array" ref="AO87">$E$10*(1+$AM87)+VLOOKUP($Q87,武学奇术!$A:$ZZ,4,FALSE)+SUM(_xlfn.XLOOKUP($R87:$AF87,增益!$A:$A,增益!$D:$D,0))-$I$2</f>
        <v>5687.2125</v>
      </c>
      <c r="AP87" s="35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0.3675</v>
      </c>
      <c r="AQ87" s="35" cm="1">
        <f t="array" ref="AQ87">$G$10+VLOOKUP($Q87,武学奇术!$A:$ZZ,7,FALSE)+SUM(_xlfn.XLOOKUP(R87:AF87,增益!$A:$A,增益!$G:$G,0))</f>
        <v>0.1</v>
      </c>
      <c r="AR87" s="27" cm="1">
        <f t="array" ref="AR87">VLOOKUP($Q87,武学奇术!$A:$ZZ,8,FALSE)+SUM(_xlfn.XLOOKUP(R87:AF87,增益!$A:$A,增益!$H:$H,0))</f>
        <v>0</v>
      </c>
      <c r="AS87">
        <f t="shared" ref="AS87:AS136" si="43">$D$11*(1+$AR87)</f>
        <v>0</v>
      </c>
      <c r="AT87">
        <f t="shared" ref="AT87:AT136" si="44">$E$11*(1+$AR87)</f>
        <v>0</v>
      </c>
      <c r="AU87" s="35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-0.14</v>
      </c>
      <c r="AV87" s="35" cm="1">
        <f t="array" ref="AV87">$G$11+VLOOKUP($Q87,武学奇术!$A:$ZZ,10,FALSE)+SUM(_xlfn.XLOOKUP(R87:AF87,增益!$A:$A,增益!$J:$J,0))</f>
        <v>0</v>
      </c>
      <c r="AW87">
        <f t="shared" ref="AW87:AW136" si="45">$D$12*(1+$AR87)</f>
        <v>0</v>
      </c>
      <c r="AX87">
        <f t="shared" ref="AX87:AX136" si="46">$E$12*(1+$AR87)</f>
        <v>0</v>
      </c>
      <c r="AY87" s="35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-0.14</v>
      </c>
      <c r="AZ87" s="35" cm="1">
        <f t="array" ref="AZ87">$G$12+VLOOKUP($Q87,武学奇术!$A:$ZZ,12,FALSE)+SUM(_xlfn.XLOOKUP(R87:AF87,增益!$A:$A,增益!$L:$L,0))</f>
        <v>0</v>
      </c>
      <c r="BA87">
        <f t="shared" ref="BA87:BA136" si="47">$D$13*(1+$AR87)</f>
        <v>538</v>
      </c>
      <c r="BB87">
        <f t="shared" ref="BB87:BB136" si="48">$E$13*(1+$AR87)</f>
        <v>1011</v>
      </c>
      <c r="BC87" s="35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0.08</v>
      </c>
      <c r="BD87" s="35" cm="1">
        <f t="array" ref="BD87">$G$13+VLOOKUP($Q87,武学奇术!$A:$ZZ,14,FALSE)+SUM(_xlfn.XLOOKUP(R87:AF87,增益!$A:$A,增益!$N:$N,0))</f>
        <v>0.25</v>
      </c>
      <c r="BE87">
        <f t="shared" ref="BE87:BE136" si="49">$D$14*(1+$AR87)</f>
        <v>0</v>
      </c>
      <c r="BF87">
        <f t="shared" ref="BF87:BF136" si="50">$E$14*(1+$AR87)</f>
        <v>0</v>
      </c>
      <c r="BG87" s="35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-0.14</v>
      </c>
      <c r="BH87" s="35" cm="1">
        <f t="array" ref="BH87">$G$14+VLOOKUP($Q87,武学奇术!$A:$ZZ,16,FALSE)+SUM(_xlfn.XLOOKUP(R87:AF87,增益!$A:$A,增益!$P:$P,0))</f>
        <v>0</v>
      </c>
      <c r="BI87" s="27">
        <f>MIN(IF(VLOOKUP($Q87,武学奇术!$A:$ZZ,23,FALSE)=1,100%,$B$8),100%)</f>
        <v>0.9969</v>
      </c>
      <c r="BJ87" s="27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0.9137</v>
      </c>
      <c r="BK87" s="27" cm="1">
        <f t="array" ref="BK87">1+$B$13+VLOOKUP($Q87,武学奇术!$A:$ZZ,18,FALSE)+SUM(_xlfn.XLOOKUP(R87:AF87,增益!$A:$A,增益!$R:$R,0))</f>
        <v>1.96</v>
      </c>
      <c r="BL87" s="27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0.0895</v>
      </c>
      <c r="BM87" s="27" cm="1">
        <f t="array" ref="BM87">1+$B$14+VLOOKUP($Q87,武学奇术!$A:$ZZ,20,FALSE)+SUM(_xlfn.XLOOKUP(R87:AF87,增益!$A:$A,增益!$T:$T,0))</f>
        <v>1.35</v>
      </c>
      <c r="BN87" s="27">
        <f t="shared" si="22"/>
        <v>0.90767745</v>
      </c>
      <c r="BO87" s="27">
        <f t="shared" si="32"/>
        <v>-1.30104260698261e-17</v>
      </c>
      <c r="BP87" s="27">
        <f>IF(VLOOKUP($Q87,武学奇术!$A:$ZZ,22,FALSE)=1,0,(1-$BI87))*(1-$BL87)</f>
        <v>0.00282254999999999</v>
      </c>
      <c r="BQ87" s="27" cm="1">
        <f t="array" ref="BQ87">SUM(_xlfn.XLOOKUP(R87:AF87,增益!$A:$A,增益!$W:$W,0))+$I$5</f>
        <v>0.11</v>
      </c>
    </row>
    <row r="88" spans="1:69">
      <c r="A88" s="4" t="s">
        <v>107</v>
      </c>
      <c r="B88" s="94">
        <v>1.16</v>
      </c>
      <c r="K88" s="41">
        <f t="shared" si="42"/>
        <v>575088.002328335</v>
      </c>
      <c r="L88" s="41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弹道",$B$21,0))*(1+$BQ88)</f>
        <v>578175.906439878</v>
      </c>
      <c r="M88" s="41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弹道",$B$21,0))*(1+$BQ88)</f>
        <v>556297.534476017</v>
      </c>
      <c r="N88" s="41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弹道",$B$21,0))*(1+$BQ88)</f>
        <v>294987.707367285</v>
      </c>
      <c r="O88" s="41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弹道",$B$21,0))*(1+$BQ88)</f>
        <v>177903.166974557</v>
      </c>
      <c r="P88" s="42">
        <v>9.5</v>
      </c>
      <c r="Q88" s="43" t="s">
        <v>109</v>
      </c>
      <c r="R88" s="43" t="s">
        <v>93</v>
      </c>
      <c r="S88" s="43" t="s">
        <v>158</v>
      </c>
      <c r="T88" s="43" t="s">
        <v>102</v>
      </c>
      <c r="U88" s="43" t="s">
        <v>159</v>
      </c>
      <c r="V88" s="43" t="s">
        <v>98</v>
      </c>
      <c r="W88" s="43" t="s">
        <v>73</v>
      </c>
      <c r="X88" s="43" t="s">
        <v>73</v>
      </c>
      <c r="Y88" s="43" t="s">
        <v>73</v>
      </c>
      <c r="Z88" s="43" t="s">
        <v>73</v>
      </c>
      <c r="AA88" s="43" t="s">
        <v>73</v>
      </c>
      <c r="AB88" s="43" t="s">
        <v>80</v>
      </c>
      <c r="AC88" s="43" t="s">
        <v>73</v>
      </c>
      <c r="AD88" s="43" t="s">
        <v>73</v>
      </c>
      <c r="AE88" s="43" t="s">
        <v>73</v>
      </c>
      <c r="AF88" s="43" t="s">
        <v>75</v>
      </c>
      <c r="AG88" t="str">
        <f>VLOOKUP($Q88,武学奇术!$A:$ZZ,25,FALSE)</f>
        <v>伞</v>
      </c>
      <c r="AH88" s="27">
        <f>VLOOKUP($Q88,武学奇术!$A:$ZZ,26,FALSE)</f>
        <v>1.174955</v>
      </c>
      <c r="AI88" s="28">
        <f>VLOOKUP($Q88,武学奇术!$A:$ZZ,27,FALSE)*(1+IF(OR($AG88=$F$4,$AG88=$F$5),$B$22,0))</f>
        <v>454.02</v>
      </c>
      <c r="AJ88" s="27">
        <f>VLOOKUP($Q88,武学奇术!$A:$ZZ,28,FALSE)</f>
        <v>1.762375</v>
      </c>
      <c r="AK88" s="28">
        <f>VLOOKUP($Q88,武学奇术!$A:$ZZ,29,FALSE)*(1+IF(OR($AG88=$F$4,$AG88=$F$5),$B$22,0))</f>
        <v>247.94</v>
      </c>
      <c r="AL88" s="27" cm="1">
        <f t="array" ref="AL88">$G$3+IFERROR(VLOOKUP($AG88,$F$4:$G$7,2,FALSE),0)+VLOOKUP($Q88,武学奇术!$A:$ZZ,2,FALSE)+SUM(_xlfn.XLOOKUP($R88:$AF88,增益!$A:$A,增益!$B:$B,0))</f>
        <v>1.0541</v>
      </c>
      <c r="AM88" s="27" cm="1">
        <f t="array" ref="AM88">VLOOKUP($Q88,武学奇术!$A:$ZZ,5,FALSE)+SUM(_xlfn.XLOOKUP($R88:$AF88,增益!$A:$A,增益!$E:$E,0))</f>
        <v>0.15</v>
      </c>
      <c r="AN88" cm="1">
        <f t="array" ref="AN88">$D$10*(1+$AM88)+VLOOKUP($Q88,武学奇术!$A:$ZZ,3,FALSE)+SUM(_xlfn.XLOOKUP($R88:$AF88,增益!$A:$A,增益!$C:$C,0))-$I$2</f>
        <v>2125.755</v>
      </c>
      <c r="AO88" cm="1">
        <f t="array" ref="AO88">$E$10*(1+$AM88)+VLOOKUP($Q88,武学奇术!$A:$ZZ,4,FALSE)+SUM(_xlfn.XLOOKUP($R88:$AF88,增益!$A:$A,增益!$D:$D,0))-$I$2</f>
        <v>6122.925</v>
      </c>
      <c r="AP88" s="35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0.3675</v>
      </c>
      <c r="AQ88" s="35" cm="1">
        <f t="array" ref="AQ88">$G$10+VLOOKUP($Q88,武学奇术!$A:$ZZ,7,FALSE)+SUM(_xlfn.XLOOKUP(R88:AF88,增益!$A:$A,增益!$G:$G,0))</f>
        <v>0.1</v>
      </c>
      <c r="AR88" s="27" cm="1">
        <f t="array" ref="AR88">VLOOKUP($Q88,武学奇术!$A:$ZZ,8,FALSE)+SUM(_xlfn.XLOOKUP(R88:AF88,增益!$A:$A,增益!$H:$H,0))</f>
        <v>0</v>
      </c>
      <c r="AS88">
        <f t="shared" si="43"/>
        <v>0</v>
      </c>
      <c r="AT88">
        <f t="shared" si="44"/>
        <v>0</v>
      </c>
      <c r="AU88" s="35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-0.14</v>
      </c>
      <c r="AV88" s="35" cm="1">
        <f t="array" ref="AV88">$G$11+VLOOKUP($Q88,武学奇术!$A:$ZZ,10,FALSE)+SUM(_xlfn.XLOOKUP(R88:AF88,增益!$A:$A,增益!$J:$J,0))</f>
        <v>0</v>
      </c>
      <c r="AW88">
        <f t="shared" si="45"/>
        <v>0</v>
      </c>
      <c r="AX88">
        <f t="shared" si="46"/>
        <v>0</v>
      </c>
      <c r="AY88" s="35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-0.14</v>
      </c>
      <c r="AZ88" s="35" cm="1">
        <f t="array" ref="AZ88">$G$12+VLOOKUP($Q88,武学奇术!$A:$ZZ,12,FALSE)+SUM(_xlfn.XLOOKUP(R88:AF88,增益!$A:$A,增益!$L:$L,0))</f>
        <v>0</v>
      </c>
      <c r="BA88">
        <f t="shared" si="47"/>
        <v>538</v>
      </c>
      <c r="BB88">
        <f t="shared" si="48"/>
        <v>1011</v>
      </c>
      <c r="BC88" s="35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0.08</v>
      </c>
      <c r="BD88" s="35" cm="1">
        <f t="array" ref="BD88">$G$13+VLOOKUP($Q88,武学奇术!$A:$ZZ,14,FALSE)+SUM(_xlfn.XLOOKUP(R88:AF88,增益!$A:$A,增益!$N:$N,0))</f>
        <v>0.25</v>
      </c>
      <c r="BE88">
        <f t="shared" si="49"/>
        <v>0</v>
      </c>
      <c r="BF88">
        <f t="shared" si="50"/>
        <v>0</v>
      </c>
      <c r="BG88" s="35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-0.14</v>
      </c>
      <c r="BH88" s="35" cm="1">
        <f t="array" ref="BH88">$G$14+VLOOKUP($Q88,武学奇术!$A:$ZZ,16,FALSE)+SUM(_xlfn.XLOOKUP(R88:AF88,增益!$A:$A,增益!$P:$P,0))</f>
        <v>0</v>
      </c>
      <c r="BI88" s="27">
        <f>MIN(IF(VLOOKUP($Q88,武学奇术!$A:$ZZ,23,FALSE)=1,100%,$B$8),100%)</f>
        <v>0.9969</v>
      </c>
      <c r="BJ88" s="27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0.9137</v>
      </c>
      <c r="BK88" s="27" cm="1">
        <f t="array" ref="BK88">1+$B$13+VLOOKUP($Q88,武学奇术!$A:$ZZ,18,FALSE)+SUM(_xlfn.XLOOKUP(R88:AF88,增益!$A:$A,增益!$R:$R,0))</f>
        <v>1.96</v>
      </c>
      <c r="BL88" s="27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0.0895</v>
      </c>
      <c r="BM88" s="27" cm="1">
        <f t="array" ref="BM88">1+$B$14+VLOOKUP($Q88,武学奇术!$A:$ZZ,20,FALSE)+SUM(_xlfn.XLOOKUP(R88:AF88,增益!$A:$A,增益!$T:$T,0))</f>
        <v>1.35</v>
      </c>
      <c r="BN88" s="27">
        <f t="shared" si="22"/>
        <v>0.90767745</v>
      </c>
      <c r="BO88" s="27">
        <f t="shared" si="32"/>
        <v>-1.30104260698261e-17</v>
      </c>
      <c r="BP88" s="27">
        <f>IF(VLOOKUP($Q88,武学奇术!$A:$ZZ,22,FALSE)=1,0,(1-$BI88))*(1-$BL88)</f>
        <v>0.00282254999999999</v>
      </c>
      <c r="BQ88" s="27" cm="1">
        <f t="array" ref="BQ88">SUM(_xlfn.XLOOKUP(R88:AF88,增益!$A:$A,增益!$W:$W,0))+$I$5</f>
        <v>0.11</v>
      </c>
    </row>
    <row r="89" spans="1:69">
      <c r="A89" t="s">
        <v>156</v>
      </c>
      <c r="B89">
        <v>0.5</v>
      </c>
      <c r="D89" s="42" t="s">
        <v>157</v>
      </c>
      <c r="F89">
        <v>3</v>
      </c>
      <c r="K89" s="41">
        <f t="shared" si="42"/>
        <v>16481.781698639</v>
      </c>
      <c r="L89" s="41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弹道",$B$21,0))*(1+$BQ89)</f>
        <v>16254.0212044092</v>
      </c>
      <c r="M89" s="41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弹道",$B$21,0))*(1+$BQ89)</f>
        <v>19117.2727848834</v>
      </c>
      <c r="N89" s="41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弹道",$B$21,0))*(1+$BQ89)</f>
        <v>10158.7632527558</v>
      </c>
      <c r="O89" s="41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弹道",$B$21,0))*(1+$BQ89)</f>
        <v>6156.58370189421</v>
      </c>
      <c r="P89" s="42">
        <v>1</v>
      </c>
      <c r="Q89" s="43" t="s">
        <v>130</v>
      </c>
      <c r="R89" s="43" t="s">
        <v>93</v>
      </c>
      <c r="S89" s="43" t="s">
        <v>158</v>
      </c>
      <c r="T89" s="43" t="s">
        <v>73</v>
      </c>
      <c r="U89" s="43" t="s">
        <v>86</v>
      </c>
      <c r="V89" s="43" t="s">
        <v>73</v>
      </c>
      <c r="W89" s="43" t="s">
        <v>73</v>
      </c>
      <c r="X89" s="43" t="s">
        <v>73</v>
      </c>
      <c r="Y89" s="43" t="s">
        <v>73</v>
      </c>
      <c r="Z89" s="43" t="s">
        <v>73</v>
      </c>
      <c r="AA89" s="43" t="s">
        <v>73</v>
      </c>
      <c r="AB89" s="43" t="s">
        <v>80</v>
      </c>
      <c r="AC89" s="43" t="s">
        <v>73</v>
      </c>
      <c r="AD89" s="43" t="s">
        <v>73</v>
      </c>
      <c r="AE89" s="43" t="s">
        <v>73</v>
      </c>
      <c r="AF89" s="43" t="s">
        <v>75</v>
      </c>
      <c r="AG89" t="str">
        <f>VLOOKUP($Q89,武学奇术!$A:$ZZ,25,FALSE)</f>
        <v>扇</v>
      </c>
      <c r="AH89" s="27">
        <f>VLOOKUP($Q89,武学奇术!$A:$ZZ,26,FALSE)</f>
        <v>0.9271</v>
      </c>
      <c r="AI89" s="28">
        <f>VLOOKUP($Q89,武学奇术!$A:$ZZ,27,FALSE)*(1+IF(OR($AG89=$F$4,$AG89=$F$5),$B$22,0))</f>
        <v>359.8</v>
      </c>
      <c r="AJ89" s="27">
        <f>VLOOKUP($Q89,武学奇术!$A:$ZZ,28,FALSE)</f>
        <v>1.3907</v>
      </c>
      <c r="AK89" s="28">
        <f>VLOOKUP($Q89,武学奇术!$A:$ZZ,29,FALSE)*(1+IF(OR($AG89=$F$4,$AG89=$F$5),$B$22,0))</f>
        <v>196</v>
      </c>
      <c r="AL89" s="27" cm="1">
        <f t="array" ref="AL89">$G$3+IFERROR(VLOOKUP($AG89,$F$4:$G$7,2,FALSE),0)+VLOOKUP($Q89,武学奇术!$A:$ZZ,2,FALSE)+SUM(_xlfn.XLOOKUP($R89:$AF89,增益!$A:$A,增益!$B:$B,0))</f>
        <v>0.3189</v>
      </c>
      <c r="AM89" s="27" cm="1">
        <f t="array" ref="AM89">VLOOKUP($Q89,武学奇术!$A:$ZZ,5,FALSE)+SUM(_xlfn.XLOOKUP($R89:$AF89,增益!$A:$A,增益!$E:$E,0))</f>
        <v>0.075</v>
      </c>
      <c r="AN89" cm="1">
        <f t="array" ref="AN89">$D$10*(1+$AM89)+VLOOKUP($Q89,武学奇术!$A:$ZZ,3,FALSE)+SUM(_xlfn.XLOOKUP($R89:$AF89,增益!$A:$A,增益!$C:$C,0))-$I$2</f>
        <v>1950.7275</v>
      </c>
      <c r="AO89" cm="1">
        <f t="array" ref="AO89">$E$10*(1+$AM89)+VLOOKUP($Q89,武学奇术!$A:$ZZ,4,FALSE)+SUM(_xlfn.XLOOKUP($R89:$AF89,增益!$A:$A,增益!$D:$D,0))-$I$2</f>
        <v>5687.2125</v>
      </c>
      <c r="AP89" s="35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0.3425</v>
      </c>
      <c r="AQ89" s="35" cm="1">
        <f t="array" ref="AQ89">$G$10+VLOOKUP($Q89,武学奇术!$A:$ZZ,7,FALSE)+SUM(_xlfn.XLOOKUP(R89:AF89,增益!$A:$A,增益!$G:$G,0))</f>
        <v>0</v>
      </c>
      <c r="AR89" s="27" cm="1">
        <f t="array" ref="AR89">VLOOKUP($Q89,武学奇术!$A:$ZZ,8,FALSE)+SUM(_xlfn.XLOOKUP(R89:AF89,增益!$A:$A,增益!$H:$H,0))</f>
        <v>0</v>
      </c>
      <c r="AS89">
        <f t="shared" si="43"/>
        <v>0</v>
      </c>
      <c r="AT89">
        <f t="shared" si="44"/>
        <v>0</v>
      </c>
      <c r="AU89" s="35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-0.14</v>
      </c>
      <c r="AV89" s="35" cm="1">
        <f t="array" ref="AV89">$G$11+VLOOKUP($Q89,武学奇术!$A:$ZZ,10,FALSE)+SUM(_xlfn.XLOOKUP(R89:AF89,增益!$A:$A,增益!$J:$J,0))</f>
        <v>0</v>
      </c>
      <c r="AW89">
        <f t="shared" si="45"/>
        <v>0</v>
      </c>
      <c r="AX89">
        <f t="shared" si="46"/>
        <v>0</v>
      </c>
      <c r="AY89" s="35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-0.14</v>
      </c>
      <c r="AZ89" s="35" cm="1">
        <f t="array" ref="AZ89">$G$12+VLOOKUP($Q89,武学奇术!$A:$ZZ,12,FALSE)+SUM(_xlfn.XLOOKUP(R89:AF89,增益!$A:$A,增益!$L:$L,0))</f>
        <v>0</v>
      </c>
      <c r="BA89">
        <f t="shared" si="47"/>
        <v>538</v>
      </c>
      <c r="BB89">
        <f t="shared" si="48"/>
        <v>1011</v>
      </c>
      <c r="BC89" s="35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0.08</v>
      </c>
      <c r="BD89" s="35" cm="1">
        <f t="array" ref="BD89">$G$13+VLOOKUP($Q89,武学奇术!$A:$ZZ,14,FALSE)+SUM(_xlfn.XLOOKUP(R89:AF89,增益!$A:$A,增益!$N:$N,0))</f>
        <v>0.15</v>
      </c>
      <c r="BE89">
        <f t="shared" si="49"/>
        <v>0</v>
      </c>
      <c r="BF89">
        <f t="shared" si="50"/>
        <v>0</v>
      </c>
      <c r="BG89" s="35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-0.14</v>
      </c>
      <c r="BH89" s="35" cm="1">
        <f t="array" ref="BH89">$G$14+VLOOKUP($Q89,武学奇术!$A:$ZZ,16,FALSE)+SUM(_xlfn.XLOOKUP(R89:AF89,增益!$A:$A,增益!$P:$P,0))</f>
        <v>0</v>
      </c>
      <c r="BI89" s="27">
        <f>MIN(IF(VLOOKUP($Q89,武学奇术!$A:$ZZ,23,FALSE)=1,100%,$B$8),100%)</f>
        <v>0.9969</v>
      </c>
      <c r="BJ89" s="27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0.9137</v>
      </c>
      <c r="BK89" s="27" cm="1">
        <f t="array" ref="BK89">1+$B$13+VLOOKUP($Q89,武学奇术!$A:$ZZ,18,FALSE)+SUM(_xlfn.XLOOKUP(R89:AF89,增益!$A:$A,增益!$R:$R,0))</f>
        <v>1.6</v>
      </c>
      <c r="BL89" s="27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0.0895</v>
      </c>
      <c r="BM89" s="27" cm="1">
        <f t="array" ref="BM89">1+$B$14+VLOOKUP($Q89,武学奇术!$A:$ZZ,20,FALSE)+SUM(_xlfn.XLOOKUP(R89:AF89,增益!$A:$A,增益!$T:$T,0))</f>
        <v>1.35</v>
      </c>
      <c r="BN89" s="27">
        <f t="shared" si="22"/>
        <v>0.90767745</v>
      </c>
      <c r="BO89" s="27">
        <f t="shared" si="32"/>
        <v>-1.30104260698261e-17</v>
      </c>
      <c r="BP89" s="27">
        <f>IF(VLOOKUP($Q89,武学奇术!$A:$ZZ,22,FALSE)=1,0,(1-$BI89))*(1-$BL89)</f>
        <v>0.00282254999999999</v>
      </c>
      <c r="BQ89" s="27" cm="1">
        <f t="array" ref="BQ89">SUM(_xlfn.XLOOKUP(R89:AF89,增益!$A:$A,增益!$W:$W,0))+$I$5</f>
        <v>0.11</v>
      </c>
    </row>
    <row r="90" spans="1:69">
      <c r="A90" s="4" t="s">
        <v>183</v>
      </c>
      <c r="B90" s="4">
        <v>1.7</v>
      </c>
      <c r="C90" s="4"/>
      <c r="D90" s="42"/>
      <c r="E90" s="30"/>
      <c r="F90">
        <v>16</v>
      </c>
      <c r="K90" s="41">
        <f t="shared" si="42"/>
        <v>82636.1401765231</v>
      </c>
      <c r="L90" s="41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弹道",$B$21,0))*(1+$BQ90)</f>
        <v>81481.0201428165</v>
      </c>
      <c r="M90" s="41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弹道",$B$21,0))*(1+$BQ90)</f>
        <v>95987.3004224565</v>
      </c>
      <c r="N90" s="41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弹道",$B$21,0))*(1+$BQ90)</f>
        <v>50925.6375892603</v>
      </c>
      <c r="O90" s="41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弹道",$B$21,0))*(1+$BQ90)</f>
        <v>30749.5711618862</v>
      </c>
      <c r="P90" s="42">
        <v>1</v>
      </c>
      <c r="Q90" s="43" t="s">
        <v>145</v>
      </c>
      <c r="R90" s="43" t="s">
        <v>93</v>
      </c>
      <c r="S90" s="43" t="s">
        <v>158</v>
      </c>
      <c r="T90" s="43" t="s">
        <v>73</v>
      </c>
      <c r="U90" s="43" t="s">
        <v>159</v>
      </c>
      <c r="V90" s="43" t="s">
        <v>98</v>
      </c>
      <c r="W90" s="43" t="s">
        <v>146</v>
      </c>
      <c r="X90" s="43" t="s">
        <v>73</v>
      </c>
      <c r="Y90" s="43" t="s">
        <v>73</v>
      </c>
      <c r="Z90" s="43" t="s">
        <v>73</v>
      </c>
      <c r="AA90" s="43" t="s">
        <v>73</v>
      </c>
      <c r="AB90" s="43" t="s">
        <v>80</v>
      </c>
      <c r="AC90" s="43" t="s">
        <v>73</v>
      </c>
      <c r="AD90" s="43" t="s">
        <v>73</v>
      </c>
      <c r="AE90" s="43" t="s">
        <v>73</v>
      </c>
      <c r="AF90" s="43" t="s">
        <v>75</v>
      </c>
      <c r="AG90" t="str">
        <f>VLOOKUP($Q90,武学奇术!$A:$ZZ,25,FALSE)</f>
        <v>扇</v>
      </c>
      <c r="AH90" s="27">
        <f>VLOOKUP($Q90,武学奇术!$A:$ZZ,26,FALSE)</f>
        <v>2.76138</v>
      </c>
      <c r="AI90" s="28">
        <f>VLOOKUP($Q90,武学奇术!$A:$ZZ,27,FALSE)*(1+IF(OR($AG90=$F$4,$AG90=$F$5),$B$22,0))</f>
        <v>1069.81</v>
      </c>
      <c r="AJ90" s="27">
        <f>VLOOKUP($Q90,武学奇术!$A:$ZZ,28,FALSE)</f>
        <v>4.14207</v>
      </c>
      <c r="AK90" s="28">
        <f>VLOOKUP($Q90,武学奇术!$A:$ZZ,29,FALSE)*(1+IF(OR($AG90=$F$4,$AG90=$F$5),$B$22,0))</f>
        <v>582.61</v>
      </c>
      <c r="AL90" s="27" cm="1">
        <f t="array" ref="AL90">$G$3+IFERROR(VLOOKUP($AG90,$F$4:$G$7,2,FALSE),0)+VLOOKUP($Q90,武学奇术!$A:$ZZ,2,FALSE)+SUM(_xlfn.XLOOKUP($R90:$AF90,增益!$A:$A,增益!$B:$B,0))</f>
        <v>0.9189</v>
      </c>
      <c r="AM90" s="27" cm="1">
        <f t="array" ref="AM90">VLOOKUP($Q90,武学奇术!$A:$ZZ,5,FALSE)+SUM(_xlfn.XLOOKUP($R90:$AF90,增益!$A:$A,增益!$E:$E,0))</f>
        <v>0.15</v>
      </c>
      <c r="AN90" cm="1">
        <f t="array" ref="AN90">$D$10*(1+$AM90)+VLOOKUP($Q90,武学奇术!$A:$ZZ,3,FALSE)+SUM(_xlfn.XLOOKUP($R90:$AF90,增益!$A:$A,增益!$C:$C,0))-$I$2</f>
        <v>2125.755</v>
      </c>
      <c r="AO90" cm="1">
        <f t="array" ref="AO90">$E$10*(1+$AM90)+VLOOKUP($Q90,武学奇术!$A:$ZZ,4,FALSE)+SUM(_xlfn.XLOOKUP($R90:$AF90,增益!$A:$A,增益!$D:$D,0))-$I$2</f>
        <v>6122.925</v>
      </c>
      <c r="AP90" s="35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0.3425</v>
      </c>
      <c r="AQ90" s="35" cm="1">
        <f t="array" ref="AQ90">$G$10+VLOOKUP($Q90,武学奇术!$A:$ZZ,7,FALSE)+SUM(_xlfn.XLOOKUP(R90:AF90,增益!$A:$A,增益!$G:$G,0))</f>
        <v>0.1</v>
      </c>
      <c r="AR90" s="27" cm="1">
        <f t="array" ref="AR90">VLOOKUP($Q90,武学奇术!$A:$ZZ,8,FALSE)+SUM(_xlfn.XLOOKUP(R90:AF90,增益!$A:$A,增益!$H:$H,0))</f>
        <v>0</v>
      </c>
      <c r="AS90">
        <f t="shared" si="43"/>
        <v>0</v>
      </c>
      <c r="AT90">
        <f t="shared" si="44"/>
        <v>0</v>
      </c>
      <c r="AU90" s="35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-0.14</v>
      </c>
      <c r="AV90" s="35" cm="1">
        <f t="array" ref="AV90">$G$11+VLOOKUP($Q90,武学奇术!$A:$ZZ,10,FALSE)+SUM(_xlfn.XLOOKUP(R90:AF90,增益!$A:$A,增益!$J:$J,0))</f>
        <v>0</v>
      </c>
      <c r="AW90">
        <f t="shared" si="45"/>
        <v>0</v>
      </c>
      <c r="AX90">
        <f t="shared" si="46"/>
        <v>0</v>
      </c>
      <c r="AY90" s="35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-0.14</v>
      </c>
      <c r="AZ90" s="35" cm="1">
        <f t="array" ref="AZ90">$G$12+VLOOKUP($Q90,武学奇术!$A:$ZZ,12,FALSE)+SUM(_xlfn.XLOOKUP(R90:AF90,增益!$A:$A,增益!$L:$L,0))</f>
        <v>0</v>
      </c>
      <c r="BA90">
        <f t="shared" si="47"/>
        <v>538</v>
      </c>
      <c r="BB90">
        <f t="shared" si="48"/>
        <v>1011</v>
      </c>
      <c r="BC90" s="35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0.08</v>
      </c>
      <c r="BD90" s="35" cm="1">
        <f t="array" ref="BD90">$G$13+VLOOKUP($Q90,武学奇术!$A:$ZZ,14,FALSE)+SUM(_xlfn.XLOOKUP(R90:AF90,增益!$A:$A,增益!$N:$N,0))</f>
        <v>0.25</v>
      </c>
      <c r="BE90">
        <f t="shared" si="49"/>
        <v>0</v>
      </c>
      <c r="BF90">
        <f t="shared" si="50"/>
        <v>0</v>
      </c>
      <c r="BG90" s="35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-0.14</v>
      </c>
      <c r="BH90" s="35" cm="1">
        <f t="array" ref="BH90">$G$14+VLOOKUP($Q90,武学奇术!$A:$ZZ,16,FALSE)+SUM(_xlfn.XLOOKUP(R90:AF90,增益!$A:$A,增益!$P:$P,0))</f>
        <v>0</v>
      </c>
      <c r="BI90" s="27">
        <f>MIN(IF(VLOOKUP($Q90,武学奇术!$A:$ZZ,23,FALSE)=1,100%,$B$8),100%)</f>
        <v>0.9969</v>
      </c>
      <c r="BJ90" s="27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0.9137</v>
      </c>
      <c r="BK90" s="27" cm="1">
        <f t="array" ref="BK90">1+$B$13+VLOOKUP($Q90,武学奇术!$A:$ZZ,18,FALSE)+SUM(_xlfn.XLOOKUP(R90:AF90,增益!$A:$A,增益!$R:$R,0))</f>
        <v>1.6</v>
      </c>
      <c r="BL90" s="27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0.0895</v>
      </c>
      <c r="BM90" s="27" cm="1">
        <f t="array" ref="BM90">1+$B$14+VLOOKUP($Q90,武学奇术!$A:$ZZ,20,FALSE)+SUM(_xlfn.XLOOKUP(R90:AF90,增益!$A:$A,增益!$T:$T,0))</f>
        <v>1.35</v>
      </c>
      <c r="BN90" s="27">
        <f t="shared" si="22"/>
        <v>0.90767745</v>
      </c>
      <c r="BO90" s="27">
        <f t="shared" si="32"/>
        <v>-1.30104260698261e-17</v>
      </c>
      <c r="BP90" s="27">
        <f>IF(VLOOKUP($Q90,武学奇术!$A:$ZZ,22,FALSE)=1,0,(1-$BI90))*(1-$BL90)</f>
        <v>0.00282254999999999</v>
      </c>
      <c r="BQ90" s="27" cm="1">
        <f t="array" ref="BQ90">SUM(_xlfn.XLOOKUP(R90:AF90,增益!$A:$A,增益!$W:$W,0))+$I$5</f>
        <v>0.11</v>
      </c>
    </row>
    <row r="91" spans="1:69">
      <c r="A91" s="4" t="s">
        <v>127</v>
      </c>
      <c r="B91" s="4">
        <v>0.8</v>
      </c>
      <c r="D91" s="42"/>
      <c r="K91" s="41">
        <f t="shared" si="42"/>
        <v>122912.618078983</v>
      </c>
      <c r="L91" s="41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弹道",$B$21,0))*(1+$BQ91)</f>
        <v>123577.987752125</v>
      </c>
      <c r="M91" s="41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弹道",$B$21,0))*(1+$BQ91)</f>
        <v>118840.340826624</v>
      </c>
      <c r="N91" s="41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弹道",$B$21,0))*(1+$BQ91)</f>
        <v>63049.993751084</v>
      </c>
      <c r="O91" s="41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弹道",$B$21,0))*(1+$BQ91)</f>
        <v>38070.1054083724</v>
      </c>
      <c r="P91" s="42">
        <v>1</v>
      </c>
      <c r="Q91" s="43" t="s">
        <v>133</v>
      </c>
      <c r="R91" s="43" t="s">
        <v>93</v>
      </c>
      <c r="S91" s="43" t="s">
        <v>158</v>
      </c>
      <c r="T91" s="43" t="s">
        <v>73</v>
      </c>
      <c r="U91" s="43" t="s">
        <v>159</v>
      </c>
      <c r="V91" s="43" t="s">
        <v>134</v>
      </c>
      <c r="W91" s="43" t="s">
        <v>73</v>
      </c>
      <c r="X91" s="43" t="s">
        <v>184</v>
      </c>
      <c r="Y91" s="43" t="s">
        <v>73</v>
      </c>
      <c r="Z91" s="43" t="s">
        <v>73</v>
      </c>
      <c r="AA91" s="43" t="s">
        <v>73</v>
      </c>
      <c r="AB91" s="43" t="s">
        <v>80</v>
      </c>
      <c r="AC91" s="43" t="s">
        <v>73</v>
      </c>
      <c r="AD91" s="43" t="s">
        <v>73</v>
      </c>
      <c r="AE91" s="43" t="s">
        <v>73</v>
      </c>
      <c r="AF91" s="43" t="s">
        <v>75</v>
      </c>
      <c r="AG91" t="str">
        <f>VLOOKUP($Q91,武学奇术!$A:$ZZ,25,FALSE)</f>
        <v>扇</v>
      </c>
      <c r="AH91" s="27">
        <f>VLOOKUP($Q91,武学奇术!$A:$ZZ,26,FALSE)</f>
        <v>4.376825</v>
      </c>
      <c r="AI91" s="28">
        <f>VLOOKUP($Q91,武学奇术!$A:$ZZ,27,FALSE)*(1+IF(OR($AG91=$F$4,$AG91=$F$5),$B$22,0))</f>
        <v>1695.05</v>
      </c>
      <c r="AJ91" s="27">
        <f>VLOOKUP($Q91,武学奇术!$A:$ZZ,28,FALSE)</f>
        <v>6.56531</v>
      </c>
      <c r="AK91" s="28">
        <f>VLOOKUP($Q91,武学奇术!$A:$ZZ,29,FALSE)*(1+IF(OR($AG91=$F$4,$AG91=$F$5),$B$22,0))</f>
        <v>923.65</v>
      </c>
      <c r="AL91" s="27" cm="1">
        <f t="array" ref="AL91">$G$3+IFERROR(VLOOKUP($AG91,$F$4:$G$7,2,FALSE),0)+VLOOKUP($Q91,武学奇术!$A:$ZZ,2,FALSE)+SUM(_xlfn.XLOOKUP($R91:$AF91,增益!$A:$A,增益!$B:$B,0))</f>
        <v>0.4989</v>
      </c>
      <c r="AM91" s="27" cm="1">
        <f t="array" ref="AM91">VLOOKUP($Q91,武学奇术!$A:$ZZ,5,FALSE)+SUM(_xlfn.XLOOKUP($R91:$AF91,增益!$A:$A,增益!$E:$E,0))</f>
        <v>0.15</v>
      </c>
      <c r="AN91" cm="1">
        <f t="array" ref="AN91">$D$10*(1+$AM91)+VLOOKUP($Q91,武学奇术!$A:$ZZ,3,FALSE)+SUM(_xlfn.XLOOKUP($R91:$AF91,增益!$A:$A,增益!$C:$C,0))-$I$2</f>
        <v>2125.755</v>
      </c>
      <c r="AO91" cm="1">
        <f t="array" ref="AO91">$E$10*(1+$AM91)+VLOOKUP($Q91,武学奇术!$A:$ZZ,4,FALSE)+SUM(_xlfn.XLOOKUP($R91:$AF91,增益!$A:$A,增益!$D:$D,0))-$I$2</f>
        <v>6122.925</v>
      </c>
      <c r="AP91" s="35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0.3425</v>
      </c>
      <c r="AQ91" s="35" cm="1">
        <f t="array" ref="AQ91">$G$10+VLOOKUP($Q91,武学奇术!$A:$ZZ,7,FALSE)+SUM(_xlfn.XLOOKUP(R91:AF91,增益!$A:$A,增益!$G:$G,0))</f>
        <v>0.1</v>
      </c>
      <c r="AR91" s="27" cm="1">
        <f t="array" ref="AR91">VLOOKUP($Q91,武学奇术!$A:$ZZ,8,FALSE)+SUM(_xlfn.XLOOKUP(R91:AF91,增益!$A:$A,增益!$H:$H,0))</f>
        <v>0</v>
      </c>
      <c r="AS91">
        <f t="shared" si="43"/>
        <v>0</v>
      </c>
      <c r="AT91">
        <f t="shared" si="44"/>
        <v>0</v>
      </c>
      <c r="AU91" s="35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-0.14</v>
      </c>
      <c r="AV91" s="35" cm="1">
        <f t="array" ref="AV91">$G$11+VLOOKUP($Q91,武学奇术!$A:$ZZ,10,FALSE)+SUM(_xlfn.XLOOKUP(R91:AF91,增益!$A:$A,增益!$J:$J,0))</f>
        <v>0</v>
      </c>
      <c r="AW91">
        <f t="shared" si="45"/>
        <v>0</v>
      </c>
      <c r="AX91">
        <f t="shared" si="46"/>
        <v>0</v>
      </c>
      <c r="AY91" s="35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-0.14</v>
      </c>
      <c r="AZ91" s="35" cm="1">
        <f t="array" ref="AZ91">$G$12+VLOOKUP($Q91,武学奇术!$A:$ZZ,12,FALSE)+SUM(_xlfn.XLOOKUP(R91:AF91,增益!$A:$A,增益!$L:$L,0))</f>
        <v>0</v>
      </c>
      <c r="BA91">
        <f t="shared" si="47"/>
        <v>538</v>
      </c>
      <c r="BB91">
        <f t="shared" si="48"/>
        <v>1011</v>
      </c>
      <c r="BC91" s="35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0.08</v>
      </c>
      <c r="BD91" s="35" cm="1">
        <f t="array" ref="BD91">$G$13+VLOOKUP($Q91,武学奇术!$A:$ZZ,14,FALSE)+SUM(_xlfn.XLOOKUP(R91:AF91,增益!$A:$A,增益!$N:$N,0))</f>
        <v>0.25</v>
      </c>
      <c r="BE91">
        <f t="shared" si="49"/>
        <v>0</v>
      </c>
      <c r="BF91">
        <f t="shared" si="50"/>
        <v>0</v>
      </c>
      <c r="BG91" s="35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-0.14</v>
      </c>
      <c r="BH91" s="35" cm="1">
        <f t="array" ref="BH91">$G$14+VLOOKUP($Q91,武学奇术!$A:$ZZ,16,FALSE)+SUM(_xlfn.XLOOKUP(R91:AF91,增益!$A:$A,增益!$P:$P,0))</f>
        <v>0</v>
      </c>
      <c r="BI91" s="27">
        <f>MIN(IF(VLOOKUP($Q91,武学奇术!$A:$ZZ,23,FALSE)=1,100%,$B$8),100%)</f>
        <v>0.9969</v>
      </c>
      <c r="BJ91" s="27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0.933</v>
      </c>
      <c r="BK91" s="27" cm="1">
        <f t="array" ref="BK91">1+$B$13+VLOOKUP($Q91,武学奇术!$A:$ZZ,18,FALSE)+SUM(_xlfn.XLOOKUP(R91:AF91,增益!$A:$A,增益!$R:$R,0))</f>
        <v>1.96</v>
      </c>
      <c r="BL91" s="27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0.0895</v>
      </c>
      <c r="BM91" s="27" cm="1">
        <f t="array" ref="BM91">1+$B$14+VLOOKUP($Q91,武学奇术!$A:$ZZ,20,FALSE)+SUM(_xlfn.XLOOKUP(R91:AF91,增益!$A:$A,增益!$T:$T,0))</f>
        <v>1.35</v>
      </c>
      <c r="BN91" s="27">
        <f t="shared" si="22"/>
        <v>0.90767745</v>
      </c>
      <c r="BO91" s="27">
        <f t="shared" si="32"/>
        <v>-1.30104260698261e-17</v>
      </c>
      <c r="BP91" s="27">
        <f>IF(VLOOKUP($Q91,武学奇术!$A:$ZZ,22,FALSE)=1,0,(1-$BI91))*(1-$BL91)</f>
        <v>0.00282254999999999</v>
      </c>
      <c r="BQ91" s="27" cm="1">
        <f t="array" ref="BQ91">SUM(_xlfn.XLOOKUP(R91:AF91,增益!$A:$A,增益!$W:$W,0))+$I$5</f>
        <v>0.11</v>
      </c>
    </row>
    <row r="92" spans="1:69">
      <c r="A92" t="s">
        <v>160</v>
      </c>
      <c r="B92">
        <v>2.5</v>
      </c>
      <c r="D92" s="42"/>
      <c r="G92" s="42" t="s">
        <v>153</v>
      </c>
      <c r="K92" s="41">
        <f t="shared" si="42"/>
        <v>37228.8913800822</v>
      </c>
      <c r="L92" s="41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弹道",$B$21,0))*(1+$BQ92)</f>
        <v>36708.5288569103</v>
      </c>
      <c r="M92" s="41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弹道",$B$21,0))*(1+$BQ92)</f>
        <v>43243.4112240975</v>
      </c>
      <c r="N92" s="41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弹道",$B$21,0))*(1+$BQ92)</f>
        <v>22942.830535569</v>
      </c>
      <c r="O92" s="41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弹道",$B$21,0))*(1+$BQ92)</f>
        <v>13853.5046088435</v>
      </c>
      <c r="P92" s="42">
        <v>1</v>
      </c>
      <c r="Q92" s="43" t="s">
        <v>104</v>
      </c>
      <c r="R92" s="43" t="s">
        <v>93</v>
      </c>
      <c r="S92" s="43" t="s">
        <v>158</v>
      </c>
      <c r="T92" s="43" t="s">
        <v>73</v>
      </c>
      <c r="U92" s="43" t="s">
        <v>159</v>
      </c>
      <c r="V92" s="43" t="s">
        <v>73</v>
      </c>
      <c r="W92" s="43" t="s">
        <v>73</v>
      </c>
      <c r="X92" s="43" t="s">
        <v>73</v>
      </c>
      <c r="Y92" s="43" t="s">
        <v>73</v>
      </c>
      <c r="Z92" s="43" t="s">
        <v>73</v>
      </c>
      <c r="AA92" s="43" t="s">
        <v>73</v>
      </c>
      <c r="AB92" s="43" t="s">
        <v>80</v>
      </c>
      <c r="AC92" s="43" t="s">
        <v>73</v>
      </c>
      <c r="AD92" s="43" t="s">
        <v>73</v>
      </c>
      <c r="AE92" s="43" t="s">
        <v>73</v>
      </c>
      <c r="AF92" s="43" t="s">
        <v>75</v>
      </c>
      <c r="AG92" t="str">
        <f>VLOOKUP($Q92,武学奇术!$A:$ZZ,25,FALSE)</f>
        <v>伞</v>
      </c>
      <c r="AH92" s="27">
        <f>VLOOKUP($Q92,武学奇术!$A:$ZZ,26,FALSE)</f>
        <v>1.7001</v>
      </c>
      <c r="AI92" s="28">
        <f>VLOOKUP($Q92,武学奇术!$A:$ZZ,27,FALSE)*(1+IF(OR($AG92=$F$4,$AG92=$F$5),$B$22,0))</f>
        <v>659.4</v>
      </c>
      <c r="AJ92" s="27">
        <f>VLOOKUP($Q92,武学奇术!$A:$ZZ,28,FALSE)</f>
        <v>2.5502</v>
      </c>
      <c r="AK92" s="28">
        <f>VLOOKUP($Q92,武学奇术!$A:$ZZ,29,FALSE)*(1+IF(OR($AG92=$F$4,$AG92=$F$5),$B$22,0))</f>
        <v>358.4</v>
      </c>
      <c r="AL92" s="27" cm="1">
        <f t="array" ref="AL92">$G$3+IFERROR(VLOOKUP($AG92,$F$4:$G$7,2,FALSE),0)+VLOOKUP($Q92,武学奇术!$A:$ZZ,2,FALSE)+SUM(_xlfn.XLOOKUP($R92:$AF92,增益!$A:$A,增益!$B:$B,0))</f>
        <v>0.4041</v>
      </c>
      <c r="AM92" s="27" cm="1">
        <f t="array" ref="AM92">VLOOKUP($Q92,武学奇术!$A:$ZZ,5,FALSE)+SUM(_xlfn.XLOOKUP($R92:$AF92,增益!$A:$A,增益!$E:$E,0))</f>
        <v>0.15</v>
      </c>
      <c r="AN92" cm="1">
        <f t="array" ref="AN92">$D$10*(1+$AM92)+VLOOKUP($Q92,武学奇术!$A:$ZZ,3,FALSE)+SUM(_xlfn.XLOOKUP($R92:$AF92,增益!$A:$A,增益!$C:$C,0))-$I$2</f>
        <v>2125.755</v>
      </c>
      <c r="AO92" cm="1">
        <f t="array" ref="AO92">$E$10*(1+$AM92)+VLOOKUP($Q92,武学奇术!$A:$ZZ,4,FALSE)+SUM(_xlfn.XLOOKUP($R92:$AF92,增益!$A:$A,增益!$D:$D,0))-$I$2</f>
        <v>6122.925</v>
      </c>
      <c r="AP92" s="35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0.3425</v>
      </c>
      <c r="AQ92" s="35" cm="1">
        <f t="array" ref="AQ92">$G$10+VLOOKUP($Q92,武学奇术!$A:$ZZ,7,FALSE)+SUM(_xlfn.XLOOKUP(R92:AF92,增益!$A:$A,增益!$G:$G,0))</f>
        <v>0.1</v>
      </c>
      <c r="AR92" s="27" cm="1">
        <f t="array" ref="AR92">VLOOKUP($Q92,武学奇术!$A:$ZZ,8,FALSE)+SUM(_xlfn.XLOOKUP(R92:AF92,增益!$A:$A,增益!$H:$H,0))</f>
        <v>0</v>
      </c>
      <c r="AS92">
        <f t="shared" si="43"/>
        <v>0</v>
      </c>
      <c r="AT92">
        <f t="shared" si="44"/>
        <v>0</v>
      </c>
      <c r="AU92" s="35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-0.14</v>
      </c>
      <c r="AV92" s="35" cm="1">
        <f t="array" ref="AV92">$G$11+VLOOKUP($Q92,武学奇术!$A:$ZZ,10,FALSE)+SUM(_xlfn.XLOOKUP(R92:AF92,增益!$A:$A,增益!$J:$J,0))</f>
        <v>0</v>
      </c>
      <c r="AW92">
        <f t="shared" si="45"/>
        <v>0</v>
      </c>
      <c r="AX92">
        <f t="shared" si="46"/>
        <v>0</v>
      </c>
      <c r="AY92" s="35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-0.14</v>
      </c>
      <c r="AZ92" s="35" cm="1">
        <f t="array" ref="AZ92">$G$12+VLOOKUP($Q92,武学奇术!$A:$ZZ,12,FALSE)+SUM(_xlfn.XLOOKUP(R92:AF92,增益!$A:$A,增益!$L:$L,0))</f>
        <v>0</v>
      </c>
      <c r="BA92">
        <f t="shared" si="47"/>
        <v>538</v>
      </c>
      <c r="BB92">
        <f t="shared" si="48"/>
        <v>1011</v>
      </c>
      <c r="BC92" s="35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0.08</v>
      </c>
      <c r="BD92" s="35" cm="1">
        <f t="array" ref="BD92">$G$13+VLOOKUP($Q92,武学奇术!$A:$ZZ,14,FALSE)+SUM(_xlfn.XLOOKUP(R92:AF92,增益!$A:$A,增益!$N:$N,0))</f>
        <v>0.25</v>
      </c>
      <c r="BE92">
        <f t="shared" si="49"/>
        <v>0</v>
      </c>
      <c r="BF92">
        <f t="shared" si="50"/>
        <v>0</v>
      </c>
      <c r="BG92" s="35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-0.14</v>
      </c>
      <c r="BH92" s="35" cm="1">
        <f t="array" ref="BH92">$G$14+VLOOKUP($Q92,武学奇术!$A:$ZZ,16,FALSE)+SUM(_xlfn.XLOOKUP(R92:AF92,增益!$A:$A,增益!$P:$P,0))</f>
        <v>0</v>
      </c>
      <c r="BI92" s="27">
        <f>MIN(IF(VLOOKUP($Q92,武学奇术!$A:$ZZ,23,FALSE)=1,100%,$B$8),100%)</f>
        <v>0.9969</v>
      </c>
      <c r="BJ92" s="27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0.9137</v>
      </c>
      <c r="BK92" s="27" cm="1">
        <f t="array" ref="BK92">1+$B$13+VLOOKUP($Q92,武学奇术!$A:$ZZ,18,FALSE)+SUM(_xlfn.XLOOKUP(R92:AF92,增益!$A:$A,增益!$R:$R,0))</f>
        <v>1.6</v>
      </c>
      <c r="BL92" s="27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0.0895</v>
      </c>
      <c r="BM92" s="27" cm="1">
        <f t="array" ref="BM92">1+$B$14+VLOOKUP($Q92,武学奇术!$A:$ZZ,20,FALSE)+SUM(_xlfn.XLOOKUP(R92:AF92,增益!$A:$A,增益!$T:$T,0))</f>
        <v>1.35</v>
      </c>
      <c r="BN92" s="27">
        <f t="shared" si="22"/>
        <v>0.90767745</v>
      </c>
      <c r="BO92" s="27">
        <f t="shared" si="32"/>
        <v>-1.30104260698261e-17</v>
      </c>
      <c r="BP92" s="27">
        <f>IF(VLOOKUP($Q92,武学奇术!$A:$ZZ,22,FALSE)=1,0,(1-$BI92))*(1-$BL92)</f>
        <v>0.00282254999999999</v>
      </c>
      <c r="BQ92" s="27" cm="1">
        <f t="array" ref="BQ92">SUM(_xlfn.XLOOKUP(R92:AF92,增益!$A:$A,增益!$W:$W,0))+$I$5</f>
        <v>0.11</v>
      </c>
    </row>
    <row r="93" spans="1:69">
      <c r="A93" s="4" t="s">
        <v>155</v>
      </c>
      <c r="B93" s="4">
        <v>0.1</v>
      </c>
      <c r="G93" s="42"/>
      <c r="K93" s="41">
        <f t="shared" si="42"/>
        <v>15599.857355246</v>
      </c>
      <c r="L93" s="41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弹道",$B$21,0))*(1+$BQ93)</f>
        <v>15381.5478242538</v>
      </c>
      <c r="M93" s="41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弹道",$B$21,0))*(1+$BQ93)</f>
        <v>18122.850473177</v>
      </c>
      <c r="N93" s="41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弹道",$B$21,0))*(1+$BQ93)</f>
        <v>9613.46739015864</v>
      </c>
      <c r="O93" s="41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弹道",$B$21,0))*(1+$BQ93)</f>
        <v>5802.60109648248</v>
      </c>
      <c r="P93" s="42">
        <v>1</v>
      </c>
      <c r="Q93" s="43" t="s">
        <v>107</v>
      </c>
      <c r="R93" s="43" t="s">
        <v>93</v>
      </c>
      <c r="S93" s="43" t="s">
        <v>158</v>
      </c>
      <c r="T93" s="43" t="s">
        <v>73</v>
      </c>
      <c r="U93" s="43" t="s">
        <v>159</v>
      </c>
      <c r="V93" s="43" t="s">
        <v>73</v>
      </c>
      <c r="W93" s="43" t="s">
        <v>73</v>
      </c>
      <c r="X93" s="43" t="s">
        <v>73</v>
      </c>
      <c r="Y93" s="43" t="s">
        <v>73</v>
      </c>
      <c r="Z93" s="43" t="s">
        <v>73</v>
      </c>
      <c r="AA93" s="43" t="s">
        <v>73</v>
      </c>
      <c r="AB93" s="43" t="s">
        <v>80</v>
      </c>
      <c r="AC93" s="43" t="s">
        <v>73</v>
      </c>
      <c r="AD93" s="43" t="s">
        <v>73</v>
      </c>
      <c r="AE93" s="43" t="s">
        <v>73</v>
      </c>
      <c r="AF93" s="43" t="s">
        <v>75</v>
      </c>
      <c r="AG93" t="str">
        <f>VLOOKUP($Q93,武学奇术!$A:$ZZ,25,FALSE)</f>
        <v>伞</v>
      </c>
      <c r="AH93" s="27">
        <f>VLOOKUP($Q93,武学奇术!$A:$ZZ,26,FALSE)</f>
        <v>0.54</v>
      </c>
      <c r="AI93" s="28">
        <f>VLOOKUP($Q93,武学奇术!$A:$ZZ,27,FALSE)*(1+IF(OR($AG93=$F$4,$AG93=$F$5),$B$22,0))</f>
        <v>207.2</v>
      </c>
      <c r="AJ93" s="27">
        <f>VLOOKUP($Q93,武学奇术!$A:$ZZ,28,FALSE)</f>
        <v>0.81</v>
      </c>
      <c r="AK93" s="28">
        <f>VLOOKUP($Q93,武学奇术!$A:$ZZ,29,FALSE)*(1+IF(OR($AG93=$F$4,$AG93=$F$5),$B$22,0))</f>
        <v>114.1</v>
      </c>
      <c r="AL93" s="27" cm="1">
        <f t="array" ref="AL93">$G$3+IFERROR(VLOOKUP($AG93,$F$4:$G$7,2,FALSE),0)+VLOOKUP($Q93,武学奇术!$A:$ZZ,2,FALSE)+SUM(_xlfn.XLOOKUP($R93:$AF93,增益!$A:$A,增益!$B:$B,0))</f>
        <v>0.4041</v>
      </c>
      <c r="AM93" s="27" cm="1">
        <f t="array" ref="AM93">VLOOKUP($Q93,武学奇术!$A:$ZZ,5,FALSE)+SUM(_xlfn.XLOOKUP($R93:$AF93,增益!$A:$A,增益!$E:$E,0))</f>
        <v>0.15</v>
      </c>
      <c r="AN93" cm="1">
        <f t="array" ref="AN93">$D$10*(1+$AM93)+VLOOKUP($Q93,武学奇术!$A:$ZZ,3,FALSE)+SUM(_xlfn.XLOOKUP($R93:$AF93,增益!$A:$A,增益!$C:$C,0))-$I$2</f>
        <v>2125.755</v>
      </c>
      <c r="AO93" cm="1">
        <f t="array" ref="AO93">$E$10*(1+$AM93)+VLOOKUP($Q93,武学奇术!$A:$ZZ,4,FALSE)+SUM(_xlfn.XLOOKUP($R93:$AF93,增益!$A:$A,增益!$D:$D,0))-$I$2</f>
        <v>6122.925</v>
      </c>
      <c r="AP93" s="35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0.3425</v>
      </c>
      <c r="AQ93" s="35" cm="1">
        <f t="array" ref="AQ93">$G$10+VLOOKUP($Q93,武学奇术!$A:$ZZ,7,FALSE)+SUM(_xlfn.XLOOKUP(R93:AF93,增益!$A:$A,增益!$G:$G,0))</f>
        <v>0.1</v>
      </c>
      <c r="AR93" s="27" cm="1">
        <f t="array" ref="AR93">VLOOKUP($Q93,武学奇术!$A:$ZZ,8,FALSE)+SUM(_xlfn.XLOOKUP(R93:AF93,增益!$A:$A,增益!$H:$H,0))</f>
        <v>0</v>
      </c>
      <c r="AS93">
        <f t="shared" si="43"/>
        <v>0</v>
      </c>
      <c r="AT93">
        <f t="shared" si="44"/>
        <v>0</v>
      </c>
      <c r="AU93" s="35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-0.14</v>
      </c>
      <c r="AV93" s="35" cm="1">
        <f t="array" ref="AV93">$G$11+VLOOKUP($Q93,武学奇术!$A:$ZZ,10,FALSE)+SUM(_xlfn.XLOOKUP(R93:AF93,增益!$A:$A,增益!$J:$J,0))</f>
        <v>0</v>
      </c>
      <c r="AW93">
        <f t="shared" si="45"/>
        <v>0</v>
      </c>
      <c r="AX93">
        <f t="shared" si="46"/>
        <v>0</v>
      </c>
      <c r="AY93" s="35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-0.14</v>
      </c>
      <c r="AZ93" s="35" cm="1">
        <f t="array" ref="AZ93">$G$12+VLOOKUP($Q93,武学奇术!$A:$ZZ,12,FALSE)+SUM(_xlfn.XLOOKUP(R93:AF93,增益!$A:$A,增益!$L:$L,0))</f>
        <v>0</v>
      </c>
      <c r="BA93">
        <f t="shared" si="47"/>
        <v>538</v>
      </c>
      <c r="BB93">
        <f t="shared" si="48"/>
        <v>1011</v>
      </c>
      <c r="BC93" s="35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0.08</v>
      </c>
      <c r="BD93" s="35" cm="1">
        <f t="array" ref="BD93">$G$13+VLOOKUP($Q93,武学奇术!$A:$ZZ,14,FALSE)+SUM(_xlfn.XLOOKUP(R93:AF93,增益!$A:$A,增益!$N:$N,0))</f>
        <v>0.25</v>
      </c>
      <c r="BE93">
        <f t="shared" si="49"/>
        <v>0</v>
      </c>
      <c r="BF93">
        <f t="shared" si="50"/>
        <v>0</v>
      </c>
      <c r="BG93" s="35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-0.14</v>
      </c>
      <c r="BH93" s="35" cm="1">
        <f t="array" ref="BH93">$G$14+VLOOKUP($Q93,武学奇术!$A:$ZZ,16,FALSE)+SUM(_xlfn.XLOOKUP(R93:AF93,增益!$A:$A,增益!$P:$P,0))</f>
        <v>0</v>
      </c>
      <c r="BI93" s="27">
        <f>MIN(IF(VLOOKUP($Q93,武学奇术!$A:$ZZ,23,FALSE)=1,100%,$B$8),100%)</f>
        <v>0.9969</v>
      </c>
      <c r="BJ93" s="27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0.9137</v>
      </c>
      <c r="BK93" s="27" cm="1">
        <f t="array" ref="BK93">1+$B$13+VLOOKUP($Q93,武学奇术!$A:$ZZ,18,FALSE)+SUM(_xlfn.XLOOKUP(R93:AF93,增益!$A:$A,增益!$R:$R,0))</f>
        <v>1.6</v>
      </c>
      <c r="BL93" s="27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0.0895</v>
      </c>
      <c r="BM93" s="27" cm="1">
        <f t="array" ref="BM93">1+$B$14+VLOOKUP($Q93,武学奇术!$A:$ZZ,20,FALSE)+SUM(_xlfn.XLOOKUP(R93:AF93,增益!$A:$A,增益!$T:$T,0))</f>
        <v>1.35</v>
      </c>
      <c r="BN93" s="27">
        <f t="shared" si="22"/>
        <v>0.90767745</v>
      </c>
      <c r="BO93" s="27">
        <f t="shared" si="32"/>
        <v>-1.30104260698261e-17</v>
      </c>
      <c r="BP93" s="27">
        <f>IF(VLOOKUP($Q93,武学奇术!$A:$ZZ,22,FALSE)=1,0,(1-$BI93))*(1-$BL93)</f>
        <v>0.00282254999999999</v>
      </c>
      <c r="BQ93" s="27" cm="1">
        <f t="array" ref="BQ93">SUM(_xlfn.XLOOKUP(R93:AF93,增益!$A:$A,增益!$W:$W,0))+$I$5</f>
        <v>0.11</v>
      </c>
    </row>
    <row r="94" spans="1:69">
      <c r="A94" s="4" t="s">
        <v>97</v>
      </c>
      <c r="B94" s="4">
        <v>1.25</v>
      </c>
      <c r="G94" s="42"/>
      <c r="K94" s="41">
        <f t="shared" si="42"/>
        <v>60535.5791924563</v>
      </c>
      <c r="L94" s="41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弹道",$B$21,0))*(1+$BQ94)</f>
        <v>60860.6217305135</v>
      </c>
      <c r="M94" s="41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弹道",$B$21,0))*(1+$BQ94)</f>
        <v>58557.6352080018</v>
      </c>
      <c r="N94" s="41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弹道",$B$21,0))*(1+$BQ94)</f>
        <v>31051.3376176089</v>
      </c>
      <c r="O94" s="41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弹道",$B$21,0))*(1+$BQ94)</f>
        <v>18726.6491552165</v>
      </c>
      <c r="P94" s="42">
        <v>1</v>
      </c>
      <c r="Q94" s="43" t="s">
        <v>109</v>
      </c>
      <c r="R94" s="43" t="s">
        <v>93</v>
      </c>
      <c r="S94" s="43" t="s">
        <v>158</v>
      </c>
      <c r="T94" s="43" t="s">
        <v>102</v>
      </c>
      <c r="U94" s="43" t="s">
        <v>159</v>
      </c>
      <c r="V94" s="43" t="s">
        <v>98</v>
      </c>
      <c r="W94" s="43" t="s">
        <v>73</v>
      </c>
      <c r="X94" s="43" t="s">
        <v>73</v>
      </c>
      <c r="Y94" s="43" t="s">
        <v>73</v>
      </c>
      <c r="Z94" s="43" t="s">
        <v>73</v>
      </c>
      <c r="AA94" s="43" t="s">
        <v>73</v>
      </c>
      <c r="AB94" s="43" t="s">
        <v>80</v>
      </c>
      <c r="AC94" s="43" t="s">
        <v>73</v>
      </c>
      <c r="AD94" s="43" t="s">
        <v>73</v>
      </c>
      <c r="AE94" s="43" t="s">
        <v>73</v>
      </c>
      <c r="AF94" s="43" t="s">
        <v>75</v>
      </c>
      <c r="AG94" t="str">
        <f>VLOOKUP($Q94,武学奇术!$A:$ZZ,25,FALSE)</f>
        <v>伞</v>
      </c>
      <c r="AH94" s="27">
        <f>VLOOKUP($Q94,武学奇术!$A:$ZZ,26,FALSE)</f>
        <v>1.174955</v>
      </c>
      <c r="AI94" s="28">
        <f>VLOOKUP($Q94,武学奇术!$A:$ZZ,27,FALSE)*(1+IF(OR($AG94=$F$4,$AG94=$F$5),$B$22,0))</f>
        <v>454.02</v>
      </c>
      <c r="AJ94" s="27">
        <f>VLOOKUP($Q94,武学奇术!$A:$ZZ,28,FALSE)</f>
        <v>1.762375</v>
      </c>
      <c r="AK94" s="28">
        <f>VLOOKUP($Q94,武学奇术!$A:$ZZ,29,FALSE)*(1+IF(OR($AG94=$F$4,$AG94=$F$5),$B$22,0))</f>
        <v>247.94</v>
      </c>
      <c r="AL94" s="27" cm="1">
        <f t="array" ref="AL94">$G$3+IFERROR(VLOOKUP($AG94,$F$4:$G$7,2,FALSE),0)+VLOOKUP($Q94,武学奇术!$A:$ZZ,2,FALSE)+SUM(_xlfn.XLOOKUP($R94:$AF94,增益!$A:$A,增益!$B:$B,0))</f>
        <v>1.0541</v>
      </c>
      <c r="AM94" s="27" cm="1">
        <f t="array" ref="AM94">VLOOKUP($Q94,武学奇术!$A:$ZZ,5,FALSE)+SUM(_xlfn.XLOOKUP($R94:$AF94,增益!$A:$A,增益!$E:$E,0))</f>
        <v>0.15</v>
      </c>
      <c r="AN94" cm="1">
        <f t="array" ref="AN94">$D$10*(1+$AM94)+VLOOKUP($Q94,武学奇术!$A:$ZZ,3,FALSE)+SUM(_xlfn.XLOOKUP($R94:$AF94,增益!$A:$A,增益!$C:$C,0))-$I$2</f>
        <v>2125.755</v>
      </c>
      <c r="AO94" cm="1">
        <f t="array" ref="AO94">$E$10*(1+$AM94)+VLOOKUP($Q94,武学奇术!$A:$ZZ,4,FALSE)+SUM(_xlfn.XLOOKUP($R94:$AF94,增益!$A:$A,增益!$D:$D,0))-$I$2</f>
        <v>6122.925</v>
      </c>
      <c r="AP94" s="35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0.3675</v>
      </c>
      <c r="AQ94" s="35" cm="1">
        <f t="array" ref="AQ94">$G$10+VLOOKUP($Q94,武学奇术!$A:$ZZ,7,FALSE)+SUM(_xlfn.XLOOKUP(R94:AF94,增益!$A:$A,增益!$G:$G,0))</f>
        <v>0.1</v>
      </c>
      <c r="AR94" s="27" cm="1">
        <f t="array" ref="AR94">VLOOKUP($Q94,武学奇术!$A:$ZZ,8,FALSE)+SUM(_xlfn.XLOOKUP(R94:AF94,增益!$A:$A,增益!$H:$H,0))</f>
        <v>0</v>
      </c>
      <c r="AS94">
        <f t="shared" si="43"/>
        <v>0</v>
      </c>
      <c r="AT94">
        <f t="shared" si="44"/>
        <v>0</v>
      </c>
      <c r="AU94" s="35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-0.14</v>
      </c>
      <c r="AV94" s="35" cm="1">
        <f t="array" ref="AV94">$G$11+VLOOKUP($Q94,武学奇术!$A:$ZZ,10,FALSE)+SUM(_xlfn.XLOOKUP(R94:AF94,增益!$A:$A,增益!$J:$J,0))</f>
        <v>0</v>
      </c>
      <c r="AW94">
        <f t="shared" si="45"/>
        <v>0</v>
      </c>
      <c r="AX94">
        <f t="shared" si="46"/>
        <v>0</v>
      </c>
      <c r="AY94" s="35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-0.14</v>
      </c>
      <c r="AZ94" s="35" cm="1">
        <f t="array" ref="AZ94">$G$12+VLOOKUP($Q94,武学奇术!$A:$ZZ,12,FALSE)+SUM(_xlfn.XLOOKUP(R94:AF94,增益!$A:$A,增益!$L:$L,0))</f>
        <v>0</v>
      </c>
      <c r="BA94">
        <f t="shared" si="47"/>
        <v>538</v>
      </c>
      <c r="BB94">
        <f t="shared" si="48"/>
        <v>1011</v>
      </c>
      <c r="BC94" s="35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0.08</v>
      </c>
      <c r="BD94" s="35" cm="1">
        <f t="array" ref="BD94">$G$13+VLOOKUP($Q94,武学奇术!$A:$ZZ,14,FALSE)+SUM(_xlfn.XLOOKUP(R94:AF94,增益!$A:$A,增益!$N:$N,0))</f>
        <v>0.25</v>
      </c>
      <c r="BE94">
        <f t="shared" si="49"/>
        <v>0</v>
      </c>
      <c r="BF94">
        <f t="shared" si="50"/>
        <v>0</v>
      </c>
      <c r="BG94" s="35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-0.14</v>
      </c>
      <c r="BH94" s="35" cm="1">
        <f t="array" ref="BH94">$G$14+VLOOKUP($Q94,武学奇术!$A:$ZZ,16,FALSE)+SUM(_xlfn.XLOOKUP(R94:AF94,增益!$A:$A,增益!$P:$P,0))</f>
        <v>0</v>
      </c>
      <c r="BI94" s="27">
        <f>MIN(IF(VLOOKUP($Q94,武学奇术!$A:$ZZ,23,FALSE)=1,100%,$B$8),100%)</f>
        <v>0.9969</v>
      </c>
      <c r="BJ94" s="27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0.9137</v>
      </c>
      <c r="BK94" s="27" cm="1">
        <f t="array" ref="BK94">1+$B$13+VLOOKUP($Q94,武学奇术!$A:$ZZ,18,FALSE)+SUM(_xlfn.XLOOKUP(R94:AF94,增益!$A:$A,增益!$R:$R,0))</f>
        <v>1.96</v>
      </c>
      <c r="BL94" s="27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0.0895</v>
      </c>
      <c r="BM94" s="27" cm="1">
        <f t="array" ref="BM94">1+$B$14+VLOOKUP($Q94,武学奇术!$A:$ZZ,20,FALSE)+SUM(_xlfn.XLOOKUP(R94:AF94,增益!$A:$A,增益!$T:$T,0))</f>
        <v>1.35</v>
      </c>
      <c r="BN94" s="27">
        <f t="shared" si="22"/>
        <v>0.90767745</v>
      </c>
      <c r="BO94" s="27">
        <f t="shared" si="32"/>
        <v>-1.30104260698261e-17</v>
      </c>
      <c r="BP94" s="27">
        <f>IF(VLOOKUP($Q94,武学奇术!$A:$ZZ,22,FALSE)=1,0,(1-$BI94))*(1-$BL94)</f>
        <v>0.00282254999999999</v>
      </c>
      <c r="BQ94" s="27" cm="1">
        <f t="array" ref="BQ94">SUM(_xlfn.XLOOKUP(R94:AF94,增益!$A:$A,增益!$W:$W,0))+$I$5</f>
        <v>0.11</v>
      </c>
    </row>
    <row r="95" spans="1:69">
      <c r="A95" s="4" t="s">
        <v>152</v>
      </c>
      <c r="B95" s="94">
        <v>1.3</v>
      </c>
      <c r="G95" s="42"/>
      <c r="K95" s="41">
        <f t="shared" si="42"/>
        <v>297630.808728632</v>
      </c>
      <c r="L95" s="41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弹道",$B$21,0))*(1+$BQ95)</f>
        <v>299180.25745112</v>
      </c>
      <c r="M95" s="41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弹道",$B$21,0))*(1+$BQ95)</f>
        <v>288412.938358024</v>
      </c>
      <c r="N95" s="41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弹道",$B$21,0))*(1+$BQ95)</f>
        <v>152642.988495469</v>
      </c>
      <c r="O95" s="41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弹道",$B$21,0))*(1+$BQ95)</f>
        <v>91646.763392402</v>
      </c>
      <c r="P95" s="42">
        <v>5</v>
      </c>
      <c r="Q95" s="43" t="s">
        <v>109</v>
      </c>
      <c r="R95" s="43" t="s">
        <v>93</v>
      </c>
      <c r="S95" s="43" t="s">
        <v>158</v>
      </c>
      <c r="T95" s="43" t="s">
        <v>102</v>
      </c>
      <c r="U95" s="43" t="s">
        <v>159</v>
      </c>
      <c r="V95" s="43" t="s">
        <v>98</v>
      </c>
      <c r="W95" s="43" t="s">
        <v>73</v>
      </c>
      <c r="X95" s="43" t="s">
        <v>73</v>
      </c>
      <c r="Y95" s="43" t="s">
        <v>73</v>
      </c>
      <c r="Z95" s="43" t="s">
        <v>73</v>
      </c>
      <c r="AA95" s="43" t="s">
        <v>73</v>
      </c>
      <c r="AB95" s="43" t="s">
        <v>73</v>
      </c>
      <c r="AC95" s="43" t="s">
        <v>73</v>
      </c>
      <c r="AD95" s="43" t="s">
        <v>73</v>
      </c>
      <c r="AE95" s="43" t="s">
        <v>73</v>
      </c>
      <c r="AF95" s="43" t="s">
        <v>75</v>
      </c>
      <c r="AG95" t="str">
        <f>VLOOKUP($Q95,武学奇术!$A:$ZZ,25,FALSE)</f>
        <v>伞</v>
      </c>
      <c r="AH95" s="27">
        <f>VLOOKUP($Q95,武学奇术!$A:$ZZ,26,FALSE)</f>
        <v>1.174955</v>
      </c>
      <c r="AI95" s="28">
        <f>VLOOKUP($Q95,武学奇术!$A:$ZZ,27,FALSE)*(1+IF(OR($AG95=$F$4,$AG95=$F$5),$B$22,0))</f>
        <v>454.02</v>
      </c>
      <c r="AJ95" s="27">
        <f>VLOOKUP($Q95,武学奇术!$A:$ZZ,28,FALSE)</f>
        <v>1.762375</v>
      </c>
      <c r="AK95" s="28">
        <f>VLOOKUP($Q95,武学奇术!$A:$ZZ,29,FALSE)*(1+IF(OR($AG95=$F$4,$AG95=$F$5),$B$22,0))</f>
        <v>247.94</v>
      </c>
      <c r="AL95" s="27" cm="1">
        <f t="array" ref="AL95">$G$3+IFERROR(VLOOKUP($AG95,$F$4:$G$7,2,FALSE),0)+VLOOKUP($Q95,武学奇术!$A:$ZZ,2,FALSE)+SUM(_xlfn.XLOOKUP($R95:$AF95,增益!$A:$A,增益!$B:$B,0))</f>
        <v>1.0541</v>
      </c>
      <c r="AM95" s="27" cm="1">
        <f t="array" ref="AM95">VLOOKUP($Q95,武学奇术!$A:$ZZ,5,FALSE)+SUM(_xlfn.XLOOKUP($R95:$AF95,增益!$A:$A,增益!$E:$E,0))</f>
        <v>0.15</v>
      </c>
      <c r="AN95" cm="1">
        <f t="array" ref="AN95">$D$10*(1+$AM95)+VLOOKUP($Q95,武学奇术!$A:$ZZ,3,FALSE)+SUM(_xlfn.XLOOKUP($R95:$AF95,增益!$A:$A,增益!$C:$C,0))-$I$2</f>
        <v>2125.755</v>
      </c>
      <c r="AO95" cm="1">
        <f t="array" ref="AO95">$E$10*(1+$AM95)+VLOOKUP($Q95,武学奇术!$A:$ZZ,4,FALSE)+SUM(_xlfn.XLOOKUP($R95:$AF95,增益!$A:$A,增益!$D:$D,0))-$I$2</f>
        <v>6122.925</v>
      </c>
      <c r="AP95" s="35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0.3675</v>
      </c>
      <c r="AQ95" s="35" cm="1">
        <f t="array" ref="AQ95">$G$10+VLOOKUP($Q95,武学奇术!$A:$ZZ,7,FALSE)+SUM(_xlfn.XLOOKUP(R95:AF95,增益!$A:$A,增益!$G:$G,0))</f>
        <v>0.1</v>
      </c>
      <c r="AR95" s="27" cm="1">
        <f t="array" ref="AR95">VLOOKUP($Q95,武学奇术!$A:$ZZ,8,FALSE)+SUM(_xlfn.XLOOKUP(R95:AF95,增益!$A:$A,增益!$H:$H,0))</f>
        <v>0</v>
      </c>
      <c r="AS95">
        <f t="shared" si="43"/>
        <v>0</v>
      </c>
      <c r="AT95">
        <f t="shared" si="44"/>
        <v>0</v>
      </c>
      <c r="AU95" s="35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35" cm="1">
        <f t="array" ref="AV95">$G$11+VLOOKUP($Q95,武学奇术!$A:$ZZ,10,FALSE)+SUM(_xlfn.XLOOKUP(R95:AF95,增益!$A:$A,增益!$J:$J,0))</f>
        <v>0</v>
      </c>
      <c r="AW95">
        <f t="shared" si="45"/>
        <v>0</v>
      </c>
      <c r="AX95">
        <f t="shared" si="46"/>
        <v>0</v>
      </c>
      <c r="AY95" s="35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-0.3</v>
      </c>
      <c r="AZ95" s="35" cm="1">
        <f t="array" ref="AZ95">$G$12+VLOOKUP($Q95,武学奇术!$A:$ZZ,12,FALSE)+SUM(_xlfn.XLOOKUP(R95:AF95,增益!$A:$A,增益!$L:$L,0))</f>
        <v>0</v>
      </c>
      <c r="BA95">
        <f t="shared" si="47"/>
        <v>538</v>
      </c>
      <c r="BB95">
        <f t="shared" si="48"/>
        <v>1011</v>
      </c>
      <c r="BC95" s="35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0</v>
      </c>
      <c r="BD95" s="35" cm="1">
        <f t="array" ref="BD95">$G$13+VLOOKUP($Q95,武学奇术!$A:$ZZ,14,FALSE)+SUM(_xlfn.XLOOKUP(R95:AF95,增益!$A:$A,增益!$N:$N,0))</f>
        <v>0.25</v>
      </c>
      <c r="BE95">
        <f t="shared" si="49"/>
        <v>0</v>
      </c>
      <c r="BF95">
        <f t="shared" si="50"/>
        <v>0</v>
      </c>
      <c r="BG95" s="35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-0.3</v>
      </c>
      <c r="BH95" s="35" cm="1">
        <f t="array" ref="BH95">$G$14+VLOOKUP($Q95,武学奇术!$A:$ZZ,16,FALSE)+SUM(_xlfn.XLOOKUP(R95:AF95,增益!$A:$A,增益!$P:$P,0))</f>
        <v>0</v>
      </c>
      <c r="BI95" s="27">
        <f>MIN(IF(VLOOKUP($Q95,武学奇术!$A:$ZZ,23,FALSE)=1,100%,$B$8),100%)</f>
        <v>0.9969</v>
      </c>
      <c r="BJ95" s="27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0.9137</v>
      </c>
      <c r="BK95" s="27" cm="1">
        <f t="array" ref="BK95">1+$B$13+VLOOKUP($Q95,武学奇术!$A:$ZZ,18,FALSE)+SUM(_xlfn.XLOOKUP(R95:AF95,增益!$A:$A,增益!$R:$R,0))</f>
        <v>1.96</v>
      </c>
      <c r="BL95" s="27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0.0895</v>
      </c>
      <c r="BM95" s="27" cm="1">
        <f t="array" ref="BM95">1+$B$14+VLOOKUP($Q95,武学奇术!$A:$ZZ,20,FALSE)+SUM(_xlfn.XLOOKUP(R95:AF95,增益!$A:$A,增益!$T:$T,0))</f>
        <v>1.35</v>
      </c>
      <c r="BN95" s="27">
        <f t="shared" si="22"/>
        <v>0.90767745</v>
      </c>
      <c r="BO95" s="27">
        <f t="shared" si="32"/>
        <v>-1.30104260698261e-17</v>
      </c>
      <c r="BP95" s="27">
        <f>IF(VLOOKUP($Q95,武学奇术!$A:$ZZ,22,FALSE)=1,0,(1-$BI95))*(1-$BL95)</f>
        <v>0.00282254999999999</v>
      </c>
      <c r="BQ95" s="27" cm="1">
        <f t="array" ref="BQ95">SUM(_xlfn.XLOOKUP(R95:AF95,增益!$A:$A,增益!$W:$W,0))+$I$5</f>
        <v>0.11</v>
      </c>
    </row>
    <row r="96" spans="1:69">
      <c r="A96" s="4" t="s">
        <v>107</v>
      </c>
      <c r="B96" s="94">
        <v>1.16</v>
      </c>
      <c r="G96" s="42"/>
      <c r="K96" s="41">
        <f t="shared" si="42"/>
        <v>137275.271050526</v>
      </c>
      <c r="L96" s="41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弹道",$B$21,0))*(1+$BQ96)</f>
        <v>134985.172429973</v>
      </c>
      <c r="M96" s="41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弹道",$B$21,0))*(1+$BQ96)</f>
        <v>163323.967316985</v>
      </c>
      <c r="N96" s="41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弹道",$B$21,0))*(1+$BQ96)</f>
        <v>84365.7327687329</v>
      </c>
      <c r="O96" s="41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弹道",$B$21,0))*(1+$BQ96)</f>
        <v>47750.7490063657</v>
      </c>
      <c r="P96" s="42">
        <v>1</v>
      </c>
      <c r="Q96" s="43" t="s">
        <v>161</v>
      </c>
      <c r="R96" s="43" t="s">
        <v>93</v>
      </c>
      <c r="S96" s="43" t="s">
        <v>158</v>
      </c>
      <c r="T96" s="43" t="s">
        <v>73</v>
      </c>
      <c r="U96" s="43" t="s">
        <v>159</v>
      </c>
      <c r="V96" s="43" t="s">
        <v>73</v>
      </c>
      <c r="W96" s="43" t="s">
        <v>73</v>
      </c>
      <c r="X96" s="43" t="s">
        <v>73</v>
      </c>
      <c r="Y96" s="43" t="s">
        <v>73</v>
      </c>
      <c r="Z96" s="43" t="s">
        <v>73</v>
      </c>
      <c r="AA96" s="43" t="s">
        <v>73</v>
      </c>
      <c r="AB96" s="43" t="s">
        <v>73</v>
      </c>
      <c r="AC96" s="43" t="s">
        <v>73</v>
      </c>
      <c r="AD96" s="43" t="s">
        <v>73</v>
      </c>
      <c r="AE96" s="43" t="s">
        <v>73</v>
      </c>
      <c r="AF96" s="43" t="s">
        <v>75</v>
      </c>
      <c r="AG96" t="str">
        <f>VLOOKUP($Q96,武学奇术!$A:$ZZ,25,FALSE)</f>
        <v>单体奇术</v>
      </c>
      <c r="AH96" s="27">
        <f>VLOOKUP($Q96,武学奇术!$A:$ZZ,26,FALSE)</f>
        <v>7.1074</v>
      </c>
      <c r="AI96" s="28">
        <f>VLOOKUP($Q96,武学奇术!$A:$ZZ,27,FALSE)*(1+IF(OR($AG96=$F$4,$AG96=$F$5),$B$22,0))</f>
        <v>1320</v>
      </c>
      <c r="AJ96" s="27">
        <f>VLOOKUP($Q96,武学奇术!$A:$ZZ,28,FALSE)</f>
        <v>10.6596</v>
      </c>
      <c r="AK96" s="28">
        <f>VLOOKUP($Q96,武学奇术!$A:$ZZ,29,FALSE)*(1+IF(OR($AG96=$F$4,$AG96=$F$5),$B$22,0))</f>
        <v>0</v>
      </c>
      <c r="AL96" s="27" cm="1">
        <f t="array" ref="AL96">$G$3+IFERROR(VLOOKUP($AG96,$F$4:$G$7,2,FALSE),0)+VLOOKUP($Q96,武学奇术!$A:$ZZ,2,FALSE)+SUM(_xlfn.XLOOKUP($R96:$AF96,增益!$A:$A,增益!$B:$B,0))</f>
        <v>0.5015</v>
      </c>
      <c r="AM96" s="27" cm="1">
        <f t="array" ref="AM96">VLOOKUP($Q96,武学奇术!$A:$ZZ,5,FALSE)+SUM(_xlfn.XLOOKUP($R96:$AF96,增益!$A:$A,增益!$E:$E,0))</f>
        <v>0.15</v>
      </c>
      <c r="AN96" cm="1">
        <f t="array" ref="AN96">$D$10*(1+$AM96)+VLOOKUP($Q96,武学奇术!$A:$ZZ,3,FALSE)+SUM(_xlfn.XLOOKUP($R96:$AF96,增益!$A:$A,增益!$C:$C,0))-$I$2</f>
        <v>2125.755</v>
      </c>
      <c r="AO96" cm="1">
        <f t="array" ref="AO96">$E$10*(1+$AM96)+VLOOKUP($Q96,武学奇术!$A:$ZZ,4,FALSE)+SUM(_xlfn.XLOOKUP($R96:$AF96,增益!$A:$A,增益!$D:$D,0))-$I$2</f>
        <v>6122.925</v>
      </c>
      <c r="AP96" s="35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0.3425</v>
      </c>
      <c r="AQ96" s="35" cm="1">
        <f t="array" ref="AQ96">$G$10+VLOOKUP($Q96,武学奇术!$A:$ZZ,7,FALSE)+SUM(_xlfn.XLOOKUP(R96:AF96,增益!$A:$A,增益!$G:$G,0))</f>
        <v>0</v>
      </c>
      <c r="AR96" s="27" cm="1">
        <f t="array" ref="AR96">VLOOKUP($Q96,武学奇术!$A:$ZZ,8,FALSE)+SUM(_xlfn.XLOOKUP(R96:AF96,增益!$A:$A,增益!$H:$H,0))</f>
        <v>0</v>
      </c>
      <c r="AS96">
        <f t="shared" si="43"/>
        <v>0</v>
      </c>
      <c r="AT96">
        <f t="shared" si="44"/>
        <v>0</v>
      </c>
      <c r="AU96" s="35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-0.3</v>
      </c>
      <c r="AV96" s="35" cm="1">
        <f t="array" ref="AV96">$G$11+VLOOKUP($Q96,武学奇术!$A:$ZZ,10,FALSE)+SUM(_xlfn.XLOOKUP(R96:AF96,增益!$A:$A,增益!$J:$J,0))</f>
        <v>0</v>
      </c>
      <c r="AW96">
        <f t="shared" si="45"/>
        <v>0</v>
      </c>
      <c r="AX96">
        <f t="shared" si="46"/>
        <v>0</v>
      </c>
      <c r="AY96" s="35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-0.3</v>
      </c>
      <c r="AZ96" s="35" cm="1">
        <f t="array" ref="AZ96">$G$12+VLOOKUP($Q96,武学奇术!$A:$ZZ,12,FALSE)+SUM(_xlfn.XLOOKUP(R96:AF96,增益!$A:$A,增益!$L:$L,0))</f>
        <v>0</v>
      </c>
      <c r="BA96">
        <f t="shared" si="47"/>
        <v>538</v>
      </c>
      <c r="BB96">
        <f t="shared" si="48"/>
        <v>1011</v>
      </c>
      <c r="BC96" s="35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0</v>
      </c>
      <c r="BD96" s="35" cm="1">
        <f t="array" ref="BD96">$G$13+VLOOKUP($Q96,武学奇术!$A:$ZZ,14,FALSE)+SUM(_xlfn.XLOOKUP(R96:AF96,增益!$A:$A,增益!$N:$N,0))</f>
        <v>0.15</v>
      </c>
      <c r="BE96">
        <f t="shared" si="49"/>
        <v>0</v>
      </c>
      <c r="BF96">
        <f t="shared" si="50"/>
        <v>0</v>
      </c>
      <c r="BG96" s="35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-0.3</v>
      </c>
      <c r="BH96" s="35" cm="1">
        <f t="array" ref="BH96">$G$14+VLOOKUP($Q96,武学奇术!$A:$ZZ,16,FALSE)+SUM(_xlfn.XLOOKUP(R96:AF96,增益!$A:$A,增益!$P:$P,0))</f>
        <v>0</v>
      </c>
      <c r="BI96" s="27">
        <f>MIN(IF(VLOOKUP($Q96,武学奇术!$A:$ZZ,23,FALSE)=1,100%,$B$8),100%)</f>
        <v>0.9969</v>
      </c>
      <c r="BJ96" s="27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0.9137</v>
      </c>
      <c r="BK96" s="27" cm="1">
        <f t="array" ref="BK96">1+$B$13+VLOOKUP($Q96,武学奇术!$A:$ZZ,18,FALSE)+SUM(_xlfn.XLOOKUP(R96:AF96,增益!$A:$A,增益!$R:$R,0))</f>
        <v>1.6</v>
      </c>
      <c r="BL96" s="27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0.0895</v>
      </c>
      <c r="BM96" s="27" cm="1">
        <f t="array" ref="BM96">1+$B$14+VLOOKUP($Q96,武学奇术!$A:$ZZ,20,FALSE)+SUM(_xlfn.XLOOKUP(R96:AF96,增益!$A:$A,增益!$T:$T,0))</f>
        <v>1.35</v>
      </c>
      <c r="BN96" s="27">
        <f t="shared" si="22"/>
        <v>0.90767745</v>
      </c>
      <c r="BO96" s="27">
        <f t="shared" si="32"/>
        <v>-1.30104260698261e-17</v>
      </c>
      <c r="BP96" s="27">
        <f>IF(VLOOKUP($Q96,武学奇术!$A:$ZZ,22,FALSE)=1,0,(1-$BI96))*(1-$BL96)</f>
        <v>0.00282254999999999</v>
      </c>
      <c r="BQ96" s="27" cm="1">
        <f t="array" ref="BQ96">SUM(_xlfn.XLOOKUP(R96:AF96,增益!$A:$A,增益!$W:$W,0))+$I$5</f>
        <v>0.11</v>
      </c>
    </row>
    <row r="97" spans="1:69">
      <c r="A97" s="4" t="s">
        <v>155</v>
      </c>
      <c r="B97" s="4">
        <v>0.1</v>
      </c>
      <c r="C97" s="42"/>
      <c r="G97" s="42"/>
      <c r="K97" s="41">
        <f t="shared" si="42"/>
        <v>214997.115200076</v>
      </c>
      <c r="L97" s="41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弹道",$B$21,0))*(1+$BQ97)</f>
        <v>218246.196577568</v>
      </c>
      <c r="M97" s="41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弹道",$B$21,0))*(1+$BQ97)</f>
        <v>186965.262518327</v>
      </c>
      <c r="N97" s="41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弹道",$B$21,0))*(1+$BQ97)</f>
        <v>98753.9351029722</v>
      </c>
      <c r="O97" s="41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弹道",$B$21,0))*(1+$BQ97)</f>
        <v>59015.0831553321</v>
      </c>
      <c r="P97" s="42">
        <v>2</v>
      </c>
      <c r="Q97" s="43" t="s">
        <v>97</v>
      </c>
      <c r="R97" s="43" t="s">
        <v>93</v>
      </c>
      <c r="S97" s="43" t="s">
        <v>158</v>
      </c>
      <c r="T97" s="43" t="s">
        <v>102</v>
      </c>
      <c r="U97" s="43" t="s">
        <v>159</v>
      </c>
      <c r="V97" s="43" t="s">
        <v>98</v>
      </c>
      <c r="W97" s="43" t="s">
        <v>73</v>
      </c>
      <c r="X97" s="43" t="s">
        <v>73</v>
      </c>
      <c r="Y97" s="43" t="s">
        <v>164</v>
      </c>
      <c r="Z97" s="43" t="s">
        <v>73</v>
      </c>
      <c r="AA97" s="43" t="s">
        <v>73</v>
      </c>
      <c r="AB97" s="43" t="s">
        <v>73</v>
      </c>
      <c r="AC97" s="43" t="s">
        <v>73</v>
      </c>
      <c r="AD97" s="43" t="s">
        <v>73</v>
      </c>
      <c r="AE97" s="43" t="s">
        <v>73</v>
      </c>
      <c r="AF97" s="43" t="s">
        <v>75</v>
      </c>
      <c r="AG97" t="str">
        <f>VLOOKUP($Q97,武学奇术!$A:$ZZ,25,FALSE)</f>
        <v>伞</v>
      </c>
      <c r="AH97" s="27">
        <f>VLOOKUP($Q97,武学奇术!$A:$ZZ,26,FALSE)</f>
        <v>2.3397</v>
      </c>
      <c r="AI97" s="28">
        <f>VLOOKUP($Q97,武学奇术!$A:$ZZ,27,FALSE)*(1+IF(OR($AG97=$F$4,$AG97=$F$5),$B$22,0))</f>
        <v>907.2</v>
      </c>
      <c r="AJ97" s="27">
        <f>VLOOKUP($Q97,武学奇术!$A:$ZZ,28,FALSE)</f>
        <v>3.5095</v>
      </c>
      <c r="AK97" s="28">
        <f>VLOOKUP($Q97,武学奇术!$A:$ZZ,29,FALSE)*(1+IF(OR($AG97=$F$4,$AG97=$F$5),$B$22,0))</f>
        <v>494.2</v>
      </c>
      <c r="AL97" s="27" cm="1">
        <f t="array" ref="AL97">$G$3+IFERROR(VLOOKUP($AG97,$F$4:$G$7,2,FALSE),0)+VLOOKUP($Q97,武学奇术!$A:$ZZ,2,FALSE)+SUM(_xlfn.XLOOKUP($R97:$AF97,增益!$A:$A,增益!$B:$B,0))</f>
        <v>1.0541</v>
      </c>
      <c r="AM97" s="27" cm="1">
        <f t="array" ref="AM97">VLOOKUP($Q97,武学奇术!$A:$ZZ,5,FALSE)+SUM(_xlfn.XLOOKUP($R97:$AF97,增益!$A:$A,增益!$E:$E,0))</f>
        <v>0.15</v>
      </c>
      <c r="AN97" cm="1">
        <f t="array" ref="AN97">$D$10*(1+$AM97)+VLOOKUP($Q97,武学奇术!$A:$ZZ,3,FALSE)+SUM(_xlfn.XLOOKUP($R97:$AF97,增益!$A:$A,增益!$C:$C,0))-$I$2</f>
        <v>2125.755</v>
      </c>
      <c r="AO97" cm="1">
        <f t="array" ref="AO97">$E$10*(1+$AM97)+VLOOKUP($Q97,武学奇术!$A:$ZZ,4,FALSE)+SUM(_xlfn.XLOOKUP($R97:$AF97,增益!$A:$A,增益!$D:$D,0))-$I$2</f>
        <v>6122.925</v>
      </c>
      <c r="AP97" s="35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0.4925</v>
      </c>
      <c r="AQ97" s="35" cm="1">
        <f t="array" ref="AQ97">$G$10+VLOOKUP($Q97,武学奇术!$A:$ZZ,7,FALSE)+SUM(_xlfn.XLOOKUP(R97:AF97,增益!$A:$A,增益!$G:$G,0))</f>
        <v>0.1</v>
      </c>
      <c r="AR97" s="27" cm="1">
        <f t="array" ref="AR97">VLOOKUP($Q97,武学奇术!$A:$ZZ,8,FALSE)+SUM(_xlfn.XLOOKUP(R97:AF97,增益!$A:$A,增益!$H:$H,0))</f>
        <v>0</v>
      </c>
      <c r="AS97">
        <f t="shared" si="43"/>
        <v>0</v>
      </c>
      <c r="AT97">
        <f t="shared" si="44"/>
        <v>0</v>
      </c>
      <c r="AU97" s="35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-0.3</v>
      </c>
      <c r="AV97" s="35" cm="1">
        <f t="array" ref="AV97">$G$11+VLOOKUP($Q97,武学奇术!$A:$ZZ,10,FALSE)+SUM(_xlfn.XLOOKUP(R97:AF97,增益!$A:$A,增益!$J:$J,0))</f>
        <v>0</v>
      </c>
      <c r="AW97">
        <f t="shared" si="45"/>
        <v>0</v>
      </c>
      <c r="AX97">
        <f t="shared" si="46"/>
        <v>0</v>
      </c>
      <c r="AY97" s="35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-0.3</v>
      </c>
      <c r="AZ97" s="35" cm="1">
        <f t="array" ref="AZ97">$G$12+VLOOKUP($Q97,武学奇术!$A:$ZZ,12,FALSE)+SUM(_xlfn.XLOOKUP(R97:AF97,增益!$A:$A,增益!$L:$L,0))</f>
        <v>0</v>
      </c>
      <c r="BA97">
        <f t="shared" si="47"/>
        <v>538</v>
      </c>
      <c r="BB97">
        <f t="shared" si="48"/>
        <v>1011</v>
      </c>
      <c r="BC97" s="35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0</v>
      </c>
      <c r="BD97" s="35" cm="1">
        <f t="array" ref="BD97">$G$13+VLOOKUP($Q97,武学奇术!$A:$ZZ,14,FALSE)+SUM(_xlfn.XLOOKUP(R97:AF97,增益!$A:$A,增益!$N:$N,0))</f>
        <v>0.25</v>
      </c>
      <c r="BE97">
        <f t="shared" si="49"/>
        <v>0</v>
      </c>
      <c r="BF97">
        <f t="shared" si="50"/>
        <v>0</v>
      </c>
      <c r="BG97" s="35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-0.3</v>
      </c>
      <c r="BH97" s="35" cm="1">
        <f t="array" ref="BH97">$G$14+VLOOKUP($Q97,武学奇术!$A:$ZZ,16,FALSE)+SUM(_xlfn.XLOOKUP(R97:AF97,增益!$A:$A,增益!$P:$P,0))</f>
        <v>0</v>
      </c>
      <c r="BI97" s="27">
        <f>MIN(IF(VLOOKUP($Q97,武学奇术!$A:$ZZ,23,FALSE)=1,100%,$B$8),100%)</f>
        <v>0.9969</v>
      </c>
      <c r="BJ97" s="27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0.9137</v>
      </c>
      <c r="BK97" s="27" cm="1">
        <f t="array" ref="BK97">1+$B$13+VLOOKUP($Q97,武学奇术!$A:$ZZ,18,FALSE)+SUM(_xlfn.XLOOKUP(R97:AF97,增益!$A:$A,增益!$R:$R,0))</f>
        <v>2.21</v>
      </c>
      <c r="BL97" s="27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0.0895</v>
      </c>
      <c r="BM97" s="27" cm="1">
        <f t="array" ref="BM97">1+$B$14+VLOOKUP($Q97,武学奇术!$A:$ZZ,20,FALSE)+SUM(_xlfn.XLOOKUP(R97:AF97,增益!$A:$A,增益!$T:$T,0))</f>
        <v>1.35</v>
      </c>
      <c r="BN97" s="27">
        <f t="shared" si="22"/>
        <v>0.90767745</v>
      </c>
      <c r="BO97" s="27">
        <f t="shared" si="32"/>
        <v>-1.30104260698261e-17</v>
      </c>
      <c r="BP97" s="27">
        <f>IF(VLOOKUP($Q97,武学奇术!$A:$ZZ,22,FALSE)=1,0,(1-$BI97))*(1-$BL97)</f>
        <v>0.00282254999999999</v>
      </c>
      <c r="BQ97" s="27" cm="1">
        <f t="array" ref="BQ97">SUM(_xlfn.XLOOKUP(R97:AF97,增益!$A:$A,增益!$W:$W,0))+$I$5</f>
        <v>0.11</v>
      </c>
    </row>
    <row r="98" spans="1:69">
      <c r="A98" s="4" t="s">
        <v>147</v>
      </c>
      <c r="B98" s="4">
        <v>1</v>
      </c>
      <c r="G98" s="42"/>
      <c r="K98" s="41">
        <f t="shared" si="42"/>
        <v>19058.8431696822</v>
      </c>
      <c r="L98" s="41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弹道",$B$21,0))*(1+$BQ98)</f>
        <v>19058.8613579603</v>
      </c>
      <c r="M98" s="41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弹道",$B$21,0))*(1+$BQ98)</f>
        <v>19464.6301221077</v>
      </c>
      <c r="N98" s="41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弹道",$B$21,0))*(1+$BQ98)</f>
        <v>10302.0872205191</v>
      </c>
      <c r="O98" s="41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弹道",$B$21,0))*(1+$BQ98)</f>
        <v>6185.92990614358</v>
      </c>
      <c r="P98" s="42">
        <v>1</v>
      </c>
      <c r="Q98" s="43" t="s">
        <v>107</v>
      </c>
      <c r="R98" s="43" t="s">
        <v>93</v>
      </c>
      <c r="S98" s="43" t="s">
        <v>158</v>
      </c>
      <c r="T98" s="43" t="s">
        <v>73</v>
      </c>
      <c r="U98" s="43" t="s">
        <v>159</v>
      </c>
      <c r="V98" s="43" t="s">
        <v>73</v>
      </c>
      <c r="W98" s="43" t="s">
        <v>73</v>
      </c>
      <c r="X98" s="43" t="s">
        <v>73</v>
      </c>
      <c r="Y98" s="43" t="s">
        <v>164</v>
      </c>
      <c r="Z98" s="43" t="s">
        <v>73</v>
      </c>
      <c r="AA98" s="43" t="s">
        <v>73</v>
      </c>
      <c r="AB98" s="43" t="s">
        <v>80</v>
      </c>
      <c r="AC98" s="43" t="s">
        <v>73</v>
      </c>
      <c r="AD98" s="43" t="s">
        <v>73</v>
      </c>
      <c r="AE98" s="43" t="s">
        <v>73</v>
      </c>
      <c r="AF98" s="43" t="s">
        <v>75</v>
      </c>
      <c r="AG98" t="str">
        <f>VLOOKUP($Q98,武学奇术!$A:$ZZ,25,FALSE)</f>
        <v>伞</v>
      </c>
      <c r="AH98" s="27">
        <f>VLOOKUP($Q98,武学奇术!$A:$ZZ,26,FALSE)</f>
        <v>0.54</v>
      </c>
      <c r="AI98" s="28">
        <f>VLOOKUP($Q98,武学奇术!$A:$ZZ,27,FALSE)*(1+IF(OR($AG98=$F$4,$AG98=$F$5),$B$22,0))</f>
        <v>207.2</v>
      </c>
      <c r="AJ98" s="27">
        <f>VLOOKUP($Q98,武学奇术!$A:$ZZ,28,FALSE)</f>
        <v>0.81</v>
      </c>
      <c r="AK98" s="28">
        <f>VLOOKUP($Q98,武学奇术!$A:$ZZ,29,FALSE)*(1+IF(OR($AG98=$F$4,$AG98=$F$5),$B$22,0))</f>
        <v>114.1</v>
      </c>
      <c r="AL98" s="27" cm="1">
        <f t="array" ref="AL98">$G$3+IFERROR(VLOOKUP($AG98,$F$4:$G$7,2,FALSE),0)+VLOOKUP($Q98,武学奇术!$A:$ZZ,2,FALSE)+SUM(_xlfn.XLOOKUP($R98:$AF98,增益!$A:$A,增益!$B:$B,0))</f>
        <v>0.4041</v>
      </c>
      <c r="AM98" s="27" cm="1">
        <f t="array" ref="AM98">VLOOKUP($Q98,武学奇术!$A:$ZZ,5,FALSE)+SUM(_xlfn.XLOOKUP($R98:$AF98,增益!$A:$A,增益!$E:$E,0))</f>
        <v>0.15</v>
      </c>
      <c r="AN98" cm="1">
        <f t="array" ref="AN98">$D$10*(1+$AM98)+VLOOKUP($Q98,武学奇术!$A:$ZZ,3,FALSE)+SUM(_xlfn.XLOOKUP($R98:$AF98,增益!$A:$A,增益!$C:$C,0))-$I$2</f>
        <v>2125.755</v>
      </c>
      <c r="AO98" cm="1">
        <f t="array" ref="AO98">$E$10*(1+$AM98)+VLOOKUP($Q98,武学奇术!$A:$ZZ,4,FALSE)+SUM(_xlfn.XLOOKUP($R98:$AF98,增益!$A:$A,增益!$D:$D,0))-$I$2</f>
        <v>6122.925</v>
      </c>
      <c r="AP98" s="35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0.4675</v>
      </c>
      <c r="AQ98" s="35" cm="1">
        <f t="array" ref="AQ98">$G$10+VLOOKUP($Q98,武学奇术!$A:$ZZ,7,FALSE)+SUM(_xlfn.XLOOKUP(R98:AF98,增益!$A:$A,增益!$G:$G,0))</f>
        <v>0.1</v>
      </c>
      <c r="AR98" s="27" cm="1">
        <f t="array" ref="AR98">VLOOKUP($Q98,武学奇术!$A:$ZZ,8,FALSE)+SUM(_xlfn.XLOOKUP(R98:AF98,增益!$A:$A,增益!$H:$H,0))</f>
        <v>0</v>
      </c>
      <c r="AS98">
        <f t="shared" si="43"/>
        <v>0</v>
      </c>
      <c r="AT98">
        <f t="shared" si="44"/>
        <v>0</v>
      </c>
      <c r="AU98" s="35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-0.14</v>
      </c>
      <c r="AV98" s="35" cm="1">
        <f t="array" ref="AV98">$G$11+VLOOKUP($Q98,武学奇术!$A:$ZZ,10,FALSE)+SUM(_xlfn.XLOOKUP(R98:AF98,增益!$A:$A,增益!$J:$J,0))</f>
        <v>0</v>
      </c>
      <c r="AW98">
        <f t="shared" si="45"/>
        <v>0</v>
      </c>
      <c r="AX98">
        <f t="shared" si="46"/>
        <v>0</v>
      </c>
      <c r="AY98" s="35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-0.14</v>
      </c>
      <c r="AZ98" s="35" cm="1">
        <f t="array" ref="AZ98">$G$12+VLOOKUP($Q98,武学奇术!$A:$ZZ,12,FALSE)+SUM(_xlfn.XLOOKUP(R98:AF98,增益!$A:$A,增益!$L:$L,0))</f>
        <v>0</v>
      </c>
      <c r="BA98">
        <f t="shared" si="47"/>
        <v>538</v>
      </c>
      <c r="BB98">
        <f t="shared" si="48"/>
        <v>1011</v>
      </c>
      <c r="BC98" s="35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0.08</v>
      </c>
      <c r="BD98" s="35" cm="1">
        <f t="array" ref="BD98">$G$13+VLOOKUP($Q98,武学奇术!$A:$ZZ,14,FALSE)+SUM(_xlfn.XLOOKUP(R98:AF98,增益!$A:$A,增益!$N:$N,0))</f>
        <v>0.25</v>
      </c>
      <c r="BE98">
        <f t="shared" si="49"/>
        <v>0</v>
      </c>
      <c r="BF98">
        <f t="shared" si="50"/>
        <v>0</v>
      </c>
      <c r="BG98" s="35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-0.14</v>
      </c>
      <c r="BH98" s="35" cm="1">
        <f t="array" ref="BH98">$G$14+VLOOKUP($Q98,武学奇术!$A:$ZZ,16,FALSE)+SUM(_xlfn.XLOOKUP(R98:AF98,增益!$A:$A,增益!$P:$P,0))</f>
        <v>0</v>
      </c>
      <c r="BI98" s="27">
        <f>MIN(IF(VLOOKUP($Q98,武学奇术!$A:$ZZ,23,FALSE)=1,100%,$B$8),100%)</f>
        <v>0.9969</v>
      </c>
      <c r="BJ98" s="27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0.9137</v>
      </c>
      <c r="BK98" s="27" cm="1">
        <f t="array" ref="BK98">1+$B$13+VLOOKUP($Q98,武学奇术!$A:$ZZ,18,FALSE)+SUM(_xlfn.XLOOKUP(R98:AF98,增益!$A:$A,增益!$R:$R,0))</f>
        <v>1.85</v>
      </c>
      <c r="BL98" s="27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0.0895</v>
      </c>
      <c r="BM98" s="27" cm="1">
        <f t="array" ref="BM98">1+$B$14+VLOOKUP($Q98,武学奇术!$A:$ZZ,20,FALSE)+SUM(_xlfn.XLOOKUP(R98:AF98,增益!$A:$A,增益!$T:$T,0))</f>
        <v>1.35</v>
      </c>
      <c r="BN98" s="27">
        <f t="shared" si="22"/>
        <v>0.90767745</v>
      </c>
      <c r="BO98" s="27">
        <f t="shared" si="32"/>
        <v>-1.30104260698261e-17</v>
      </c>
      <c r="BP98" s="27">
        <f>IF(VLOOKUP($Q98,武学奇术!$A:$ZZ,22,FALSE)=1,0,(1-$BI98))*(1-$BL98)</f>
        <v>0.00282254999999999</v>
      </c>
      <c r="BQ98" s="27" cm="1">
        <f t="array" ref="BQ98">SUM(_xlfn.XLOOKUP(R98:AF98,增益!$A:$A,增益!$W:$W,0))+$I$5</f>
        <v>0.11</v>
      </c>
    </row>
    <row r="99" spans="1:69">
      <c r="A99" s="4" t="s">
        <v>162</v>
      </c>
      <c r="B99" s="4">
        <v>1.4</v>
      </c>
      <c r="E99" s="30">
        <v>0.3</v>
      </c>
      <c r="G99" s="42"/>
      <c r="K99" s="41">
        <f t="shared" si="42"/>
        <v>112951.63475265</v>
      </c>
      <c r="L99" s="41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弹道",$B$21,0))*(1+$BQ99)</f>
        <v>112703.279389003</v>
      </c>
      <c r="M99" s="41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弹道",$B$21,0))*(1+$BQ99)</f>
        <v>117945.29057881</v>
      </c>
      <c r="N99" s="41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弹道",$B$21,0))*(1+$BQ99)</f>
        <v>60920.6915616233</v>
      </c>
      <c r="O99" s="41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弹道",$B$21,0))*(1+$BQ99)</f>
        <v>34474.5012130166</v>
      </c>
      <c r="P99" s="42">
        <v>1</v>
      </c>
      <c r="Q99" s="43" t="s">
        <v>167</v>
      </c>
      <c r="R99" s="43" t="s">
        <v>93</v>
      </c>
      <c r="S99" s="43" t="s">
        <v>158</v>
      </c>
      <c r="T99" s="43" t="s">
        <v>73</v>
      </c>
      <c r="U99" s="43" t="s">
        <v>159</v>
      </c>
      <c r="V99" s="43" t="s">
        <v>73</v>
      </c>
      <c r="W99" s="43" t="s">
        <v>73</v>
      </c>
      <c r="X99" s="43" t="s">
        <v>73</v>
      </c>
      <c r="Y99" s="43" t="s">
        <v>164</v>
      </c>
      <c r="Z99" s="43" t="s">
        <v>73</v>
      </c>
      <c r="AA99" s="43" t="s">
        <v>73</v>
      </c>
      <c r="AB99" s="43" t="s">
        <v>80</v>
      </c>
      <c r="AC99" s="43" t="s">
        <v>165</v>
      </c>
      <c r="AD99" s="43" t="s">
        <v>166</v>
      </c>
      <c r="AE99" s="43" t="s">
        <v>73</v>
      </c>
      <c r="AF99" s="43" t="s">
        <v>75</v>
      </c>
      <c r="AG99" t="str">
        <f>VLOOKUP($Q99,武学奇术!$A:$ZZ,25,FALSE)</f>
        <v>单体奇术</v>
      </c>
      <c r="AH99" s="27">
        <f>VLOOKUP($Q99,武学奇术!$A:$ZZ,26,FALSE)</f>
        <v>3.9855</v>
      </c>
      <c r="AI99" s="28">
        <f>VLOOKUP($Q99,武学奇术!$A:$ZZ,27,FALSE)*(1+IF(OR($AG99=$F$4,$AG99=$F$5),$B$22,0))</f>
        <v>749</v>
      </c>
      <c r="AJ99" s="27">
        <f>VLOOKUP($Q99,武学奇术!$A:$ZZ,28,FALSE)</f>
        <v>5.97825</v>
      </c>
      <c r="AK99" s="28">
        <f>VLOOKUP($Q99,武学奇术!$A:$ZZ,29,FALSE)*(1+IF(OR($AG99=$F$4,$AG99=$F$5),$B$22,0))</f>
        <v>0</v>
      </c>
      <c r="AL99" s="27" cm="1">
        <f t="array" ref="AL99">$G$3+IFERROR(VLOOKUP($AG99,$F$4:$G$7,2,FALSE),0)+VLOOKUP($Q99,武学奇术!$A:$ZZ,2,FALSE)+SUM(_xlfn.XLOOKUP($R99:$AF99,增益!$A:$A,增益!$B:$B,0))</f>
        <v>0.5015</v>
      </c>
      <c r="AM99" s="27" cm="1">
        <f t="array" ref="AM99">VLOOKUP($Q99,武学奇术!$A:$ZZ,5,FALSE)+SUM(_xlfn.XLOOKUP($R99:$AF99,增益!$A:$A,增益!$E:$E,0))</f>
        <v>0.15</v>
      </c>
      <c r="AN99" cm="1">
        <f t="array" ref="AN99">$D$10*(1+$AM99)+VLOOKUP($Q99,武学奇术!$A:$ZZ,3,FALSE)+SUM(_xlfn.XLOOKUP($R99:$AF99,增益!$A:$A,增益!$C:$C,0))-$I$2</f>
        <v>2125.755</v>
      </c>
      <c r="AO99" cm="1">
        <f t="array" ref="AO99">$E$10*(1+$AM99)+VLOOKUP($Q99,武学奇术!$A:$ZZ,4,FALSE)+SUM(_xlfn.XLOOKUP($R99:$AF99,增益!$A:$A,增益!$D:$D,0))-$I$2</f>
        <v>6122.925</v>
      </c>
      <c r="AP99" s="35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0.4675</v>
      </c>
      <c r="AQ99" s="35" cm="1">
        <f t="array" ref="AQ99">$G$10+VLOOKUP($Q99,武学奇术!$A:$ZZ,7,FALSE)+SUM(_xlfn.XLOOKUP(R99:AF99,增益!$A:$A,增益!$G:$G,0))</f>
        <v>0</v>
      </c>
      <c r="AR99" s="27" cm="1">
        <f t="array" ref="AR99">VLOOKUP($Q99,武学奇术!$A:$ZZ,8,FALSE)+SUM(_xlfn.XLOOKUP(R99:AF99,增益!$A:$A,增益!$H:$H,0))</f>
        <v>0</v>
      </c>
      <c r="AS99">
        <f t="shared" si="43"/>
        <v>0</v>
      </c>
      <c r="AT99">
        <f t="shared" si="44"/>
        <v>0</v>
      </c>
      <c r="AU99" s="35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-0.14</v>
      </c>
      <c r="AV99" s="35" cm="1">
        <f t="array" ref="AV99">$G$11+VLOOKUP($Q99,武学奇术!$A:$ZZ,10,FALSE)+SUM(_xlfn.XLOOKUP(R99:AF99,增益!$A:$A,增益!$J:$J,0))</f>
        <v>0.1</v>
      </c>
      <c r="AW99">
        <f t="shared" si="45"/>
        <v>0</v>
      </c>
      <c r="AX99">
        <f t="shared" si="46"/>
        <v>0</v>
      </c>
      <c r="AY99" s="35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-0.14</v>
      </c>
      <c r="AZ99" s="35" cm="1">
        <f t="array" ref="AZ99">$G$12+VLOOKUP($Q99,武学奇术!$A:$ZZ,12,FALSE)+SUM(_xlfn.XLOOKUP(R99:AF99,增益!$A:$A,增益!$L:$L,0))</f>
        <v>0</v>
      </c>
      <c r="BA99">
        <f t="shared" si="47"/>
        <v>538</v>
      </c>
      <c r="BB99">
        <f t="shared" si="48"/>
        <v>1011</v>
      </c>
      <c r="BC99" s="35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0.08</v>
      </c>
      <c r="BD99" s="35" cm="1">
        <f t="array" ref="BD99">$G$13+VLOOKUP($Q99,武学奇术!$A:$ZZ,14,FALSE)+SUM(_xlfn.XLOOKUP(R99:AF99,增益!$A:$A,增益!$N:$N,0))</f>
        <v>0.15</v>
      </c>
      <c r="BE99">
        <f t="shared" si="49"/>
        <v>0</v>
      </c>
      <c r="BF99">
        <f t="shared" si="50"/>
        <v>0</v>
      </c>
      <c r="BG99" s="35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-0.14</v>
      </c>
      <c r="BH99" s="35" cm="1">
        <f t="array" ref="BH99">$G$14+VLOOKUP($Q99,武学奇术!$A:$ZZ,16,FALSE)+SUM(_xlfn.XLOOKUP(R99:AF99,增益!$A:$A,增益!$P:$P,0))</f>
        <v>0</v>
      </c>
      <c r="BI99" s="27">
        <f>MIN(IF(VLOOKUP($Q99,武学奇术!$A:$ZZ,23,FALSE)=1,100%,$B$8),100%)</f>
        <v>0.9969</v>
      </c>
      <c r="BJ99" s="27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0.9137</v>
      </c>
      <c r="BK99" s="27" cm="1">
        <f t="array" ref="BK99">1+$B$13+VLOOKUP($Q99,武学奇术!$A:$ZZ,18,FALSE)+SUM(_xlfn.XLOOKUP(R99:AF99,增益!$A:$A,增益!$R:$R,0))</f>
        <v>1.85</v>
      </c>
      <c r="BL99" s="27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0.0895</v>
      </c>
      <c r="BM99" s="27" cm="1">
        <f t="array" ref="BM99">1+$B$14+VLOOKUP($Q99,武学奇术!$A:$ZZ,20,FALSE)+SUM(_xlfn.XLOOKUP(R99:AF99,增益!$A:$A,增益!$T:$T,0))</f>
        <v>1.35</v>
      </c>
      <c r="BN99" s="27">
        <f t="shared" si="22"/>
        <v>0.90767745</v>
      </c>
      <c r="BO99" s="27">
        <f t="shared" si="32"/>
        <v>-1.30104260698261e-17</v>
      </c>
      <c r="BP99" s="27">
        <f>IF(VLOOKUP($Q99,武学奇术!$A:$ZZ,22,FALSE)=1,0,(1-$BI99))*(1-$BL99)</f>
        <v>0.00282254999999999</v>
      </c>
      <c r="BQ99" s="27" cm="1">
        <f t="array" ref="BQ99">SUM(_xlfn.XLOOKUP(R99:AF99,增益!$A:$A,增益!$W:$W,0))+$I$5</f>
        <v>0.31</v>
      </c>
    </row>
    <row r="100" spans="1:69">
      <c r="A100" t="s">
        <v>160</v>
      </c>
      <c r="B100">
        <v>2.5</v>
      </c>
      <c r="G100" s="42"/>
      <c r="K100" s="41">
        <f t="shared" si="42"/>
        <v>31199.4992199584</v>
      </c>
      <c r="L100" s="41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弹道",$B$21,0))*(1+$BQ100)</f>
        <v>31130.6563355949</v>
      </c>
      <c r="M100" s="41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弹道",$B$21,0))*(1+$BQ100)</f>
        <v>32581.3699632604</v>
      </c>
      <c r="N100" s="41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弹道",$B$21,0))*(1+$BQ100)</f>
        <v>16827.3818030243</v>
      </c>
      <c r="O100" s="41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弹道",$B$21,0))*(1+$BQ100)</f>
        <v>9520.41548511486</v>
      </c>
      <c r="P100" s="42">
        <v>4</v>
      </c>
      <c r="Q100" s="43" t="s">
        <v>168</v>
      </c>
      <c r="R100" s="43" t="s">
        <v>93</v>
      </c>
      <c r="S100" s="43" t="s">
        <v>158</v>
      </c>
      <c r="T100" s="43" t="s">
        <v>73</v>
      </c>
      <c r="U100" s="43" t="s">
        <v>159</v>
      </c>
      <c r="V100" s="43" t="s">
        <v>73</v>
      </c>
      <c r="W100" s="43" t="s">
        <v>73</v>
      </c>
      <c r="X100" s="43" t="s">
        <v>73</v>
      </c>
      <c r="Y100" s="43" t="s">
        <v>164</v>
      </c>
      <c r="Z100" s="43" t="s">
        <v>73</v>
      </c>
      <c r="AA100" s="43" t="s">
        <v>73</v>
      </c>
      <c r="AB100" s="43" t="s">
        <v>80</v>
      </c>
      <c r="AC100" s="43" t="s">
        <v>165</v>
      </c>
      <c r="AD100" s="43" t="s">
        <v>166</v>
      </c>
      <c r="AE100" s="43" t="s">
        <v>169</v>
      </c>
      <c r="AF100" s="43" t="s">
        <v>75</v>
      </c>
      <c r="AG100" t="str">
        <f>VLOOKUP($Q100,武学奇术!$A:$ZZ,25,FALSE)</f>
        <v>单体奇术</v>
      </c>
      <c r="AH100" s="27">
        <f>VLOOKUP($Q100,武学奇术!$A:$ZZ,26,FALSE)</f>
        <v>0.236</v>
      </c>
      <c r="AI100" s="28">
        <f>VLOOKUP($Q100,武学奇术!$A:$ZZ,27,FALSE)*(1+IF(OR($AG100=$F$4,$AG100=$F$5),$B$22,0))</f>
        <v>44</v>
      </c>
      <c r="AJ100" s="27">
        <f>VLOOKUP($Q100,武学奇术!$A:$ZZ,28,FALSE)</f>
        <v>0.354</v>
      </c>
      <c r="AK100" s="28">
        <f>VLOOKUP($Q100,武学奇术!$A:$ZZ,29,FALSE)*(1+IF(OR($AG100=$F$4,$AG100=$F$5),$B$22,0))</f>
        <v>0</v>
      </c>
      <c r="AL100" s="27" cm="1">
        <f t="array" ref="AL100">$G$3+IFERROR(VLOOKUP($AG100,$F$4:$G$7,2,FALSE),0)+VLOOKUP($Q100,武学奇术!$A:$ZZ,2,FALSE)+SUM(_xlfn.XLOOKUP($R100:$AF100,增益!$A:$A,增益!$B:$B,0))</f>
        <v>0.7515</v>
      </c>
      <c r="AM100" s="27" cm="1">
        <f t="array" ref="AM100">VLOOKUP($Q100,武学奇术!$A:$ZZ,5,FALSE)+SUM(_xlfn.XLOOKUP($R100:$AF100,增益!$A:$A,增益!$E:$E,0))</f>
        <v>0.15</v>
      </c>
      <c r="AN100" cm="1">
        <f t="array" ref="AN100">$D$10*(1+$AM100)+VLOOKUP($Q100,武学奇术!$A:$ZZ,3,FALSE)+SUM(_xlfn.XLOOKUP($R100:$AF100,增益!$A:$A,增益!$C:$C,0))-$I$2</f>
        <v>2125.755</v>
      </c>
      <c r="AO100" cm="1">
        <f t="array" ref="AO100">$E$10*(1+$AM100)+VLOOKUP($Q100,武学奇术!$A:$ZZ,4,FALSE)+SUM(_xlfn.XLOOKUP($R100:$AF100,增益!$A:$A,增益!$D:$D,0))-$I$2</f>
        <v>6122.925</v>
      </c>
      <c r="AP100" s="35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0.4675</v>
      </c>
      <c r="AQ100" s="35" cm="1">
        <f t="array" ref="AQ100">$G$10+VLOOKUP($Q100,武学奇术!$A:$ZZ,7,FALSE)+SUM(_xlfn.XLOOKUP(R100:AF100,增益!$A:$A,增益!$G:$G,0))</f>
        <v>0</v>
      </c>
      <c r="AR100" s="27" cm="1">
        <f t="array" ref="AR100">VLOOKUP($Q100,武学奇术!$A:$ZZ,8,FALSE)+SUM(_xlfn.XLOOKUP(R100:AF100,增益!$A:$A,增益!$H:$H,0))</f>
        <v>0</v>
      </c>
      <c r="AS100">
        <f t="shared" si="43"/>
        <v>0</v>
      </c>
      <c r="AT100">
        <f t="shared" si="44"/>
        <v>0</v>
      </c>
      <c r="AU100" s="35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-0.14</v>
      </c>
      <c r="AV100" s="35" cm="1">
        <f t="array" ref="AV100">$G$11+VLOOKUP($Q100,武学奇术!$A:$ZZ,10,FALSE)+SUM(_xlfn.XLOOKUP(R100:AF100,增益!$A:$A,增益!$J:$J,0))</f>
        <v>0.1</v>
      </c>
      <c r="AW100">
        <f t="shared" si="45"/>
        <v>0</v>
      </c>
      <c r="AX100">
        <f t="shared" si="46"/>
        <v>0</v>
      </c>
      <c r="AY100" s="35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-0.14</v>
      </c>
      <c r="AZ100" s="35" cm="1">
        <f t="array" ref="AZ100">$G$12+VLOOKUP($Q100,武学奇术!$A:$ZZ,12,FALSE)+SUM(_xlfn.XLOOKUP(R100:AF100,增益!$A:$A,增益!$L:$L,0))</f>
        <v>0</v>
      </c>
      <c r="BA100">
        <f t="shared" si="47"/>
        <v>538</v>
      </c>
      <c r="BB100">
        <f t="shared" si="48"/>
        <v>1011</v>
      </c>
      <c r="BC100" s="35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0.08</v>
      </c>
      <c r="BD100" s="35" cm="1">
        <f t="array" ref="BD100">$G$13+VLOOKUP($Q100,武学奇术!$A:$ZZ,14,FALSE)+SUM(_xlfn.XLOOKUP(R100:AF100,增益!$A:$A,增益!$N:$N,0))</f>
        <v>0.15</v>
      </c>
      <c r="BE100">
        <f t="shared" si="49"/>
        <v>0</v>
      </c>
      <c r="BF100">
        <f t="shared" si="50"/>
        <v>0</v>
      </c>
      <c r="BG100" s="35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-0.14</v>
      </c>
      <c r="BH100" s="35" cm="1">
        <f t="array" ref="BH100">$G$14+VLOOKUP($Q100,武学奇术!$A:$ZZ,16,FALSE)+SUM(_xlfn.XLOOKUP(R100:AF100,增益!$A:$A,增益!$P:$P,0))</f>
        <v>0</v>
      </c>
      <c r="BI100" s="27">
        <f>MIN(IF(VLOOKUP($Q100,武学奇术!$A:$ZZ,23,FALSE)=1,100%,$B$8),100%)</f>
        <v>0.9969</v>
      </c>
      <c r="BJ100" s="27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0.9137</v>
      </c>
      <c r="BK100" s="27" cm="1">
        <f t="array" ref="BK100">1+$B$13+VLOOKUP($Q100,武学奇术!$A:$ZZ,18,FALSE)+SUM(_xlfn.XLOOKUP(R100:AF100,增益!$A:$A,增益!$R:$R,0))</f>
        <v>1.85</v>
      </c>
      <c r="BL100" s="27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0.0895</v>
      </c>
      <c r="BM100" s="27" cm="1">
        <f t="array" ref="BM100">1+$B$14+VLOOKUP($Q100,武学奇术!$A:$ZZ,20,FALSE)+SUM(_xlfn.XLOOKUP(R100:AF100,增益!$A:$A,增益!$T:$T,0))</f>
        <v>1.35</v>
      </c>
      <c r="BN100" s="27">
        <f t="shared" si="22"/>
        <v>0.90767745</v>
      </c>
      <c r="BO100" s="27">
        <f t="shared" si="32"/>
        <v>-1.30104260698261e-17</v>
      </c>
      <c r="BP100" s="27">
        <f>IF(VLOOKUP($Q100,武学奇术!$A:$ZZ,22,FALSE)=1,0,(1-$BI100))*(1-$BL100)</f>
        <v>0.00282254999999999</v>
      </c>
      <c r="BQ100" s="27" cm="1">
        <f t="array" ref="BQ100">SUM(_xlfn.XLOOKUP(R100:AF100,增益!$A:$A,增益!$W:$W,0))+$I$5</f>
        <v>0.31</v>
      </c>
    </row>
    <row r="101" spans="1:69">
      <c r="A101" s="4" t="s">
        <v>155</v>
      </c>
      <c r="B101" s="4">
        <v>0.1</v>
      </c>
      <c r="G101" s="42"/>
      <c r="K101" s="41">
        <f t="shared" si="42"/>
        <v>70198.8732449064</v>
      </c>
      <c r="L101" s="41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弹道",$B$21,0))*(1+$BQ101)</f>
        <v>70043.9767550885</v>
      </c>
      <c r="M101" s="41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弹道",$B$21,0))*(1+$BQ101)</f>
        <v>73308.0824173359</v>
      </c>
      <c r="N101" s="41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弹道",$B$21,0))*(1+$BQ101)</f>
        <v>37861.6090568046</v>
      </c>
      <c r="O101" s="41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弹道",$B$21,0))*(1+$BQ101)</f>
        <v>21420.9348415084</v>
      </c>
      <c r="P101" s="42">
        <v>9</v>
      </c>
      <c r="Q101" s="43" t="s">
        <v>168</v>
      </c>
      <c r="R101" s="43" t="s">
        <v>93</v>
      </c>
      <c r="S101" s="43" t="s">
        <v>158</v>
      </c>
      <c r="T101" s="43" t="s">
        <v>73</v>
      </c>
      <c r="U101" s="43" t="s">
        <v>159</v>
      </c>
      <c r="V101" s="43" t="s">
        <v>73</v>
      </c>
      <c r="W101" s="43" t="s">
        <v>73</v>
      </c>
      <c r="X101" s="43" t="s">
        <v>73</v>
      </c>
      <c r="Y101" s="43" t="s">
        <v>164</v>
      </c>
      <c r="Z101" s="43" t="s">
        <v>73</v>
      </c>
      <c r="AA101" s="43" t="s">
        <v>73</v>
      </c>
      <c r="AB101" s="43" t="s">
        <v>80</v>
      </c>
      <c r="AC101" s="43" t="s">
        <v>165</v>
      </c>
      <c r="AD101" s="43" t="s">
        <v>166</v>
      </c>
      <c r="AE101" s="43" t="s">
        <v>169</v>
      </c>
      <c r="AF101" s="43" t="s">
        <v>75</v>
      </c>
      <c r="AG101" t="str">
        <f>VLOOKUP($Q101,武学奇术!$A:$ZZ,25,FALSE)</f>
        <v>单体奇术</v>
      </c>
      <c r="AH101" s="27">
        <f>VLOOKUP($Q101,武学奇术!$A:$ZZ,26,FALSE)</f>
        <v>0.236</v>
      </c>
      <c r="AI101" s="28">
        <f>VLOOKUP($Q101,武学奇术!$A:$ZZ,27,FALSE)*(1+IF(OR($AG101=$F$4,$AG101=$F$5),$B$22,0))</f>
        <v>44</v>
      </c>
      <c r="AJ101" s="27">
        <f>VLOOKUP($Q101,武学奇术!$A:$ZZ,28,FALSE)</f>
        <v>0.354</v>
      </c>
      <c r="AK101" s="28">
        <f>VLOOKUP($Q101,武学奇术!$A:$ZZ,29,FALSE)*(1+IF(OR($AG101=$F$4,$AG101=$F$5),$B$22,0))</f>
        <v>0</v>
      </c>
      <c r="AL101" s="27" cm="1">
        <f t="array" ref="AL101">$G$3+IFERROR(VLOOKUP($AG101,$F$4:$G$7,2,FALSE),0)+VLOOKUP($Q101,武学奇术!$A:$ZZ,2,FALSE)+SUM(_xlfn.XLOOKUP($R101:$AF101,增益!$A:$A,增益!$B:$B,0))</f>
        <v>0.7515</v>
      </c>
      <c r="AM101" s="27" cm="1">
        <f t="array" ref="AM101">VLOOKUP($Q101,武学奇术!$A:$ZZ,5,FALSE)+SUM(_xlfn.XLOOKUP($R101:$AF101,增益!$A:$A,增益!$E:$E,0))</f>
        <v>0.15</v>
      </c>
      <c r="AN101" cm="1">
        <f t="array" ref="AN101">$D$10*(1+$AM101)+VLOOKUP($Q101,武学奇术!$A:$ZZ,3,FALSE)+SUM(_xlfn.XLOOKUP($R101:$AF101,增益!$A:$A,增益!$C:$C,0))-$I$2</f>
        <v>2125.755</v>
      </c>
      <c r="AO101" cm="1">
        <f t="array" ref="AO101">$E$10*(1+$AM101)+VLOOKUP($Q101,武学奇术!$A:$ZZ,4,FALSE)+SUM(_xlfn.XLOOKUP($R101:$AF101,增益!$A:$A,增益!$D:$D,0))-$I$2</f>
        <v>6122.925</v>
      </c>
      <c r="AP101" s="35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0.4675</v>
      </c>
      <c r="AQ101" s="35" cm="1">
        <f t="array" ref="AQ101">$G$10+VLOOKUP($Q101,武学奇术!$A:$ZZ,7,FALSE)+SUM(_xlfn.XLOOKUP(R101:AF101,增益!$A:$A,增益!$G:$G,0))</f>
        <v>0</v>
      </c>
      <c r="AR101" s="27" cm="1">
        <f t="array" ref="AR101">VLOOKUP($Q101,武学奇术!$A:$ZZ,8,FALSE)+SUM(_xlfn.XLOOKUP(R101:AF101,增益!$A:$A,增益!$H:$H,0))</f>
        <v>0</v>
      </c>
      <c r="AS101">
        <f t="shared" si="43"/>
        <v>0</v>
      </c>
      <c r="AT101">
        <f t="shared" si="44"/>
        <v>0</v>
      </c>
      <c r="AU101" s="35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-0.14</v>
      </c>
      <c r="AV101" s="35" cm="1">
        <f t="array" ref="AV101">$G$11+VLOOKUP($Q101,武学奇术!$A:$ZZ,10,FALSE)+SUM(_xlfn.XLOOKUP(R101:AF101,增益!$A:$A,增益!$J:$J,0))</f>
        <v>0.1</v>
      </c>
      <c r="AW101">
        <f t="shared" si="45"/>
        <v>0</v>
      </c>
      <c r="AX101">
        <f t="shared" si="46"/>
        <v>0</v>
      </c>
      <c r="AY101" s="35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-0.14</v>
      </c>
      <c r="AZ101" s="35" cm="1">
        <f t="array" ref="AZ101">$G$12+VLOOKUP($Q101,武学奇术!$A:$ZZ,12,FALSE)+SUM(_xlfn.XLOOKUP(R101:AF101,增益!$A:$A,增益!$L:$L,0))</f>
        <v>0</v>
      </c>
      <c r="BA101">
        <f t="shared" si="47"/>
        <v>538</v>
      </c>
      <c r="BB101">
        <f t="shared" si="48"/>
        <v>1011</v>
      </c>
      <c r="BC101" s="35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0.08</v>
      </c>
      <c r="BD101" s="35" cm="1">
        <f t="array" ref="BD101">$G$13+VLOOKUP($Q101,武学奇术!$A:$ZZ,14,FALSE)+SUM(_xlfn.XLOOKUP(R101:AF101,增益!$A:$A,增益!$N:$N,0))</f>
        <v>0.15</v>
      </c>
      <c r="BE101">
        <f t="shared" si="49"/>
        <v>0</v>
      </c>
      <c r="BF101">
        <f t="shared" si="50"/>
        <v>0</v>
      </c>
      <c r="BG101" s="35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-0.14</v>
      </c>
      <c r="BH101" s="35" cm="1">
        <f t="array" ref="BH101">$G$14+VLOOKUP($Q101,武学奇术!$A:$ZZ,16,FALSE)+SUM(_xlfn.XLOOKUP(R101:AF101,增益!$A:$A,增益!$P:$P,0))</f>
        <v>0</v>
      </c>
      <c r="BI101" s="27">
        <f>MIN(IF(VLOOKUP($Q101,武学奇术!$A:$ZZ,23,FALSE)=1,100%,$B$8),100%)</f>
        <v>0.9969</v>
      </c>
      <c r="BJ101" s="27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0.9137</v>
      </c>
      <c r="BK101" s="27" cm="1">
        <f t="array" ref="BK101">1+$B$13+VLOOKUP($Q101,武学奇术!$A:$ZZ,18,FALSE)+SUM(_xlfn.XLOOKUP(R101:AF101,增益!$A:$A,增益!$R:$R,0))</f>
        <v>1.85</v>
      </c>
      <c r="BL101" s="27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0.0895</v>
      </c>
      <c r="BM101" s="27" cm="1">
        <f t="array" ref="BM101">1+$B$14+VLOOKUP($Q101,武学奇术!$A:$ZZ,20,FALSE)+SUM(_xlfn.XLOOKUP(R101:AF101,增益!$A:$A,增益!$T:$T,0))</f>
        <v>1.35</v>
      </c>
      <c r="BN101" s="27">
        <f t="shared" si="22"/>
        <v>0.90767745</v>
      </c>
      <c r="BO101" s="27">
        <f t="shared" si="32"/>
        <v>-1.30104260698261e-17</v>
      </c>
      <c r="BP101" s="27">
        <f>IF(VLOOKUP($Q101,武学奇术!$A:$ZZ,22,FALSE)=1,0,(1-$BI101))*(1-$BL101)</f>
        <v>0.00282254999999999</v>
      </c>
      <c r="BQ101" s="27" cm="1">
        <f t="array" ref="BQ101">SUM(_xlfn.XLOOKUP(R101:AF101,增益!$A:$A,增益!$W:$W,0))+$I$5</f>
        <v>0.31</v>
      </c>
    </row>
    <row r="102" spans="1:69">
      <c r="A102" s="4" t="s">
        <v>152</v>
      </c>
      <c r="B102" s="94">
        <v>1.3</v>
      </c>
      <c r="G102" s="42"/>
      <c r="K102" s="41">
        <f t="shared" si="42"/>
        <v>66090.5422407516</v>
      </c>
      <c r="L102" s="41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BK102*$P102*(1+IF(VLOOKUP($Q102,武学奇术!$A:$ZZ,30,FALSE)="弹道",$B$21,0))*(1+$BQ102)</f>
        <v>65944.7109399052</v>
      </c>
      <c r="M102" s="41">
        <f>(($AO102*$AH102+$AI102)*(1+$AP102)*(1+$AQ102)+($AT102*IF($G$1="鸣金",$AJ102,$AH102)+IF($G$1="鸣金",$AK102*1.5,0))*(1+$AU102)*(1+$AV102)+($AX102*IF($G$1="裂石",$AJ102,$AH102)+IF($G$1="裂石",$AK102*1.5,0))*(1+$AY102)*(1+$AZ102)+($BB102*IF($G$1="牵丝",$AJ102,$AH102)+IF($G$1="牵丝",$AK102*1.5,0))*(1+$BC102)*(1+$BD102)+($BF102*IF($G$1="破竹",$AJ102,$AH102)+IF($G$1="破竹",$AK102*1.5,0))*(1+$BG102)*(1+$BH102))*(1+$AL102)*$BM102*$P102*(1+IF(VLOOKUP($Q102,武学奇术!$A:$ZZ,30,FALSE)="弹道",$B$21,0))*(1+$BQ102)</f>
        <v>69017.7875175936</v>
      </c>
      <c r="N102" s="41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P102*(1+IF(VLOOKUP($Q102,武学奇术!$A:$ZZ,30,FALSE)="弹道",$B$21,0))*(1+$BQ102)</f>
        <v>35645.789697246</v>
      </c>
      <c r="O102" s="41">
        <f>((($AN102*$AH102+$AI102)*(1+$AP102)*(1+$AQ102)+($AS102*IF($G$1="鸣金",$AJ102,$AH102)+IF($G$1="鸣金",$AK102*1.5,0))*(1+$AU102)*(1+$AV102)+($AW102*IF($G$1="裂石",$AJ102,$AH102)+IF($G$1="裂石",$AK102*1.5,0))*(1+$AY102)*(1+$AZ102)+($BA102*IF($G$1="牵丝",$AJ102,$AH102)+IF($G$1="牵丝",$AK102*1.5,0))*(1+$BC102)*(1+$BD102)+($BE102*IF($G$1="破竹",$AJ102,$AH102)+IF($G$1="破竹",$AK102*1.5,0))*(1+$BG102)*(1+$BH102))*(1+$AL102))*$P102*(1+IF(VLOOKUP($Q102,武学奇术!$A:$ZZ,30,FALSE)="弹道",$B$21,0))*(1+$BQ102)</f>
        <v>20167.2923444227</v>
      </c>
      <c r="P102" s="42">
        <v>10</v>
      </c>
      <c r="Q102" s="43" t="s">
        <v>168</v>
      </c>
      <c r="R102" s="43" t="s">
        <v>93</v>
      </c>
      <c r="S102" s="43" t="s">
        <v>158</v>
      </c>
      <c r="T102" s="43" t="s">
        <v>73</v>
      </c>
      <c r="U102" s="43" t="s">
        <v>159</v>
      </c>
      <c r="V102" s="43" t="s">
        <v>73</v>
      </c>
      <c r="W102" s="43" t="s">
        <v>73</v>
      </c>
      <c r="X102" s="43" t="s">
        <v>73</v>
      </c>
      <c r="Y102" s="43" t="s">
        <v>164</v>
      </c>
      <c r="Z102" s="43" t="s">
        <v>73</v>
      </c>
      <c r="AA102" s="43" t="s">
        <v>73</v>
      </c>
      <c r="AB102" s="43" t="s">
        <v>80</v>
      </c>
      <c r="AC102" s="43" t="s">
        <v>73</v>
      </c>
      <c r="AD102" s="43" t="s">
        <v>73</v>
      </c>
      <c r="AE102" s="43" t="s">
        <v>169</v>
      </c>
      <c r="AF102" s="43" t="s">
        <v>75</v>
      </c>
      <c r="AG102" t="str">
        <f>VLOOKUP($Q102,武学奇术!$A:$ZZ,25,FALSE)</f>
        <v>单体奇术</v>
      </c>
      <c r="AH102" s="27">
        <f>VLOOKUP($Q102,武学奇术!$A:$ZZ,26,FALSE)</f>
        <v>0.236</v>
      </c>
      <c r="AI102" s="28">
        <f>VLOOKUP($Q102,武学奇术!$A:$ZZ,27,FALSE)*(1+IF(OR($AG102=$F$4,$AG102=$F$5),$B$22,0))</f>
        <v>44</v>
      </c>
      <c r="AJ102" s="27">
        <f>VLOOKUP($Q102,武学奇术!$A:$ZZ,28,FALSE)</f>
        <v>0.354</v>
      </c>
      <c r="AK102" s="28">
        <f>VLOOKUP($Q102,武学奇术!$A:$ZZ,29,FALSE)*(1+IF(OR($AG102=$F$4,$AG102=$F$5),$B$22,0))</f>
        <v>0</v>
      </c>
      <c r="AL102" s="27" cm="1">
        <f t="array" ref="AL102">$G$3+IFERROR(VLOOKUP($AG102,$F$4:$G$7,2,FALSE),0)+VLOOKUP($Q102,武学奇术!$A:$ZZ,2,FALSE)+SUM(_xlfn.XLOOKUP($R102:$AF102,增益!$A:$A,增益!$B:$B,0))</f>
        <v>0.7515</v>
      </c>
      <c r="AM102" s="27" cm="1">
        <f t="array" ref="AM102">VLOOKUP($Q102,武学奇术!$A:$ZZ,5,FALSE)+SUM(_xlfn.XLOOKUP($R102:$AF102,增益!$A:$A,增益!$E:$E,0))</f>
        <v>0.15</v>
      </c>
      <c r="AN102" cm="1">
        <f t="array" ref="AN102">$D$10*(1+$AM102)+VLOOKUP($Q102,武学奇术!$A:$ZZ,3,FALSE)+SUM(_xlfn.XLOOKUP($R102:$AF102,增益!$A:$A,增益!$C:$C,0))-$I$2</f>
        <v>2125.755</v>
      </c>
      <c r="AO102" cm="1">
        <f t="array" ref="AO102">$E$10*(1+$AM102)+VLOOKUP($Q102,武学奇术!$A:$ZZ,4,FALSE)+SUM(_xlfn.XLOOKUP($R102:$AF102,增益!$A:$A,增益!$D:$D,0))-$I$2</f>
        <v>6122.925</v>
      </c>
      <c r="AP102" s="35" cm="1">
        <f t="array" ref="AP102">IF($F$10-$I$3+VLOOKUP($Q102,武学奇术!$A:$ZZ,6,FALSE)+SUM(_xlfn.XLOOKUP(R102:AF102,增益!$A:$A,增益!$F:$F,0))&gt;0,($F$10-$I$3+VLOOKUP($Q102,武学奇术!$A:$ZZ,6,FALSE)+SUM(_xlfn.XLOOKUP(R102:AF102,增益!$A:$A,增益!$F:$F,0)))/200,($F$10-$I$3+VLOOKUP($Q102,武学奇术!$A:$ZZ,6,FALSE)+SUM(_xlfn.XLOOKUP(R102:AF102,增益!$A:$A,增益!$F:$F,0)))/100)</f>
        <v>0.4675</v>
      </c>
      <c r="AQ102" s="35" cm="1">
        <f t="array" ref="AQ102">$G$10+VLOOKUP($Q102,武学奇术!$A:$ZZ,7,FALSE)+SUM(_xlfn.XLOOKUP(R102:AF102,增益!$A:$A,增益!$G:$G,0))</f>
        <v>0</v>
      </c>
      <c r="AR102" s="27" cm="1">
        <f t="array" ref="AR102">VLOOKUP($Q102,武学奇术!$A:$ZZ,8,FALSE)+SUM(_xlfn.XLOOKUP(R102:AF102,增益!$A:$A,增益!$H:$H,0))</f>
        <v>0</v>
      </c>
      <c r="AS102">
        <f t="shared" si="43"/>
        <v>0</v>
      </c>
      <c r="AT102">
        <f t="shared" si="44"/>
        <v>0</v>
      </c>
      <c r="AU102" s="35" cm="1">
        <f t="array" ref="AU102">IF($F$11-$I$4+VLOOKUP($Q102,武学奇术!$A:$ZZ,9,FALSE)+SUM(_xlfn.XLOOKUP(R102:AF102,增益!$A:$A,增益!$I:$I,0))&gt;0,($F$11-$I$4+VLOOKUP($Q102,武学奇术!$A:$ZZ,9,FALSE)+SUM(_xlfn.XLOOKUP(R102:AF102,增益!$A:$A,增益!$I:$I,0)))/200,($F$11-$I$4+VLOOKUP($Q102,武学奇术!$A:$ZZ,9,FALSE)+SUM(_xlfn.XLOOKUP(R102:AF102,增益!$A:$A,增益!$I:$I,0)))/100)</f>
        <v>-0.14</v>
      </c>
      <c r="AV102" s="35" cm="1">
        <f t="array" ref="AV102">$G$11+VLOOKUP($Q102,武学奇术!$A:$ZZ,10,FALSE)+SUM(_xlfn.XLOOKUP(R102:AF102,增益!$A:$A,增益!$J:$J,0))</f>
        <v>0</v>
      </c>
      <c r="AW102">
        <f t="shared" si="45"/>
        <v>0</v>
      </c>
      <c r="AX102">
        <f t="shared" si="46"/>
        <v>0</v>
      </c>
      <c r="AY102" s="35" cm="1">
        <f t="array" ref="AY102">IF($F$12-$I$4+VLOOKUP($Q102,武学奇术!$A:$ZZ,11,FALSE)+SUM(_xlfn.XLOOKUP(R102:AF102,增益!$A:$A,增益!$K:$K,0))&gt;0,($F$12-$I$4+VLOOKUP($Q102,武学奇术!$A:$ZZ,11,FALSE)+SUM(_xlfn.XLOOKUP(R102:AF102,增益!$A:$A,增益!$K:$K,0)))/200,($F$12-$I$4+VLOOKUP($Q102,武学奇术!$A:$ZZ,11,FALSE)+SUM(_xlfn.XLOOKUP(R102:AF102,增益!$A:$A,增益!$K:$K,0)))/100)</f>
        <v>-0.14</v>
      </c>
      <c r="AZ102" s="35" cm="1">
        <f t="array" ref="AZ102">$G$12+VLOOKUP($Q102,武学奇术!$A:$ZZ,12,FALSE)+SUM(_xlfn.XLOOKUP(R102:AF102,增益!$A:$A,增益!$L:$L,0))</f>
        <v>0</v>
      </c>
      <c r="BA102">
        <f t="shared" si="47"/>
        <v>538</v>
      </c>
      <c r="BB102">
        <f t="shared" si="48"/>
        <v>1011</v>
      </c>
      <c r="BC102" s="35" cm="1">
        <f t="array" ref="BC102">IF($F$13-$I$4+VLOOKUP($Q102,武学奇术!$A:$ZZ,13,FALSE)+SUM(_xlfn.XLOOKUP(R102:AF102,增益!$A:$A,增益!$M:$M,0))&gt;0,($F$13-$I$4+VLOOKUP($Q102,武学奇术!$A:$ZZ,13,FALSE)+SUM(_xlfn.XLOOKUP(R102:AF102,增益!$A:$A,增益!$K:$K,0)))/200,($F$13-$I$4+VLOOKUP($Q102,武学奇术!$A:$ZZ,13,FALSE)+SUM(_xlfn.XLOOKUP(R102:AF102,增益!$A:$A,增益!$M:$M,0)))/100)</f>
        <v>0.08</v>
      </c>
      <c r="BD102" s="35" cm="1">
        <f t="array" ref="BD102">$G$13+VLOOKUP($Q102,武学奇术!$A:$ZZ,14,FALSE)+SUM(_xlfn.XLOOKUP(R102:AF102,增益!$A:$A,增益!$N:$N,0))</f>
        <v>0.15</v>
      </c>
      <c r="BE102">
        <f t="shared" si="49"/>
        <v>0</v>
      </c>
      <c r="BF102">
        <f t="shared" si="50"/>
        <v>0</v>
      </c>
      <c r="BG102" s="35" cm="1">
        <f t="array" ref="BG102">IF($F$14-$I$4+VLOOKUP($Q102,武学奇术!$A:$ZZ,15,FALSE)+SUM(_xlfn.XLOOKUP(R102:AF102,增益!$A:$A,增益!$O:$O,0))&gt;0,($F$14-$I$4+VLOOKUP($Q102,武学奇术!$A:$ZZ,15,FALSE)+SUM(_xlfn.XLOOKUP(R102:AF102,增益!$A:$A,增益!$O:$O,0)))/200,($F$14-$I$4+VLOOKUP($Q102,武学奇术!$A:$ZZ,15,FALSE)+SUM(_xlfn.XLOOKUP(R102:AF102,增益!$A:$A,增益!$O:$O,0)))/100)</f>
        <v>-0.14</v>
      </c>
      <c r="BH102" s="35" cm="1">
        <f t="array" ref="BH102">$G$14+VLOOKUP($Q102,武学奇术!$A:$ZZ,16,FALSE)+SUM(_xlfn.XLOOKUP(R102:AF102,增益!$A:$A,增益!$P:$P,0))</f>
        <v>0</v>
      </c>
      <c r="BI102" s="27">
        <f>MIN(IF(VLOOKUP($Q102,武学奇术!$A:$ZZ,23,FALSE)=1,100%,$B$8),100%)</f>
        <v>0.9969</v>
      </c>
      <c r="BJ102" s="27" cm="1">
        <f t="array" ref="BJ102">IF(VLOOKUP($Q102,武学奇术!$A:$ZZ,23,FALSE)=1,100%,MIN(80%,$B$9+VLOOKUP($Q102,武学奇术!$A:$ZZ,17,FALSE)+SUM(_xlfn.XLOOKUP(R102:AF102,增益!$A:$A,增益!$Q:$Q,0)))+$B$11+SUM(_xlfn.XLOOKUP(R102:AF102,增益!$A:$A,增益!$U:$U,0)))*IF(VLOOKUP($Q102,武学奇术!$A:$ZZ,24,FALSE)=1,0,1)</f>
        <v>0.9137</v>
      </c>
      <c r="BK102" s="27" cm="1">
        <f t="array" ref="BK102">1+$B$13+VLOOKUP($Q102,武学奇术!$A:$ZZ,18,FALSE)+SUM(_xlfn.XLOOKUP(R102:AF102,增益!$A:$A,增益!$R:$R,0))</f>
        <v>1.85</v>
      </c>
      <c r="BL102" s="27" cm="1">
        <f t="array" ref="BL102">IF(VLOOKUP($Q102,武学奇术!$A:$ZZ,24,FALSE)=1,100%,MIN(40%,$B$10+VLOOKUP($Q102,武学奇术!$A:$ZZ,19,FALSE)+SUM(_xlfn.XLOOKUP(R102:AF102,增益!$A:$A,增益!$S:$S,0)))+$B$12+SUM(_xlfn.XLOOKUP(R102:AF102,增益!$A:$A,增益!$V:$V,0)))*IF(VLOOKUP($Q102,武学奇术!$A:$ZZ,23,FALSE)=1,0,1)</f>
        <v>0.0895</v>
      </c>
      <c r="BM102" s="27" cm="1">
        <f t="array" ref="BM102">1+$B$14+VLOOKUP($Q102,武学奇术!$A:$ZZ,20,FALSE)+SUM(_xlfn.XLOOKUP(R102:AF102,增益!$A:$A,增益!$T:$T,0))</f>
        <v>1.35</v>
      </c>
      <c r="BN102" s="27">
        <f t="shared" si="22"/>
        <v>0.90767745</v>
      </c>
      <c r="BO102" s="27">
        <f t="shared" si="32"/>
        <v>-1.30104260698261e-17</v>
      </c>
      <c r="BP102" s="27">
        <f>IF(VLOOKUP($Q102,武学奇术!$A:$ZZ,22,FALSE)=1,0,(1-$BI102))*(1-$BL102)</f>
        <v>0.00282254999999999</v>
      </c>
      <c r="BQ102" s="27" cm="1">
        <f t="array" ref="BQ102">SUM(_xlfn.XLOOKUP(R102:AF102,增益!$A:$A,增益!$W:$W,0))+$I$5</f>
        <v>0.11</v>
      </c>
    </row>
    <row r="103" spans="1:69">
      <c r="A103" s="4" t="s">
        <v>107</v>
      </c>
      <c r="B103" s="94">
        <v>1.16</v>
      </c>
      <c r="G103" s="42"/>
      <c r="K103" s="41">
        <f t="shared" si="42"/>
        <v>1662220.27612458</v>
      </c>
      <c r="L103" s="41">
        <f>((($AN103+$AO103)/2*$AH103+$AI103)*(1+$AP103)*(1+$AQ103)+(($AS103+$AT103)/2*IF($G$1="鸣金",$AJ103,$AH103)+IF($G$1="鸣金",$AK103*1.5,0))*(1+$AU103)*(1+$AV103)+(($AW103+$AX103)/2*IF($G$1="裂石",$AJ103,$AH103)+IF($G$1="裂石",$AK103*1.5,0))*(1+$AY103)*(1+$AZ103)+(($BA103+$BB103)/2*IF($G$1="牵丝",$AJ103,$AH103)+IF($G$1="牵丝",$AK103*1.5,0))*(1+$BC103)*(1+$BD103)+(($BE103+$BF103)/2*IF($G$1="破竹",$AJ103,$AH103)+IF($G$1="破竹",$AK103*1.5,0))*(1+$BG103)*(1+$BH103))*(1+$AL103)*$BK103*$P103*(1+IF(VLOOKUP($Q103,武学奇术!$A:$ZZ,30,FALSE)="弹道",$B$21,0))*(1+$BQ103)</f>
        <v>1687563.66780682</v>
      </c>
      <c r="M103" s="41">
        <f>(($AO103*$AH103+$AI103)*(1+$AP103)*(1+$AQ103)+($AT103*IF($G$1="鸣金",$AJ103,$AH103)+IF($G$1="鸣金",$AK103*1.5,0))*(1+$AU103)*(1+$AV103)+($AX103*IF($G$1="裂石",$AJ103,$AH103)+IF($G$1="裂石",$AK103*1.5,0))*(1+$AY103)*(1+$AZ103)+($BB103*IF($G$1="牵丝",$AJ103,$AH103)+IF($G$1="牵丝",$AK103*1.5,0))*(1+$BC103)*(1+$BD103)+($BF103*IF($G$1="破竹",$AJ103,$AH103)+IF($G$1="破竹",$AK103*1.5,0))*(1+$BG103)*(1+$BH103))*(1+$AL103)*$BM103*$P103*(1+IF(VLOOKUP($Q103,武学奇术!$A:$ZZ,30,FALSE)="弹道",$B$21,0))*(1+$BQ103)</f>
        <v>1443167.76037797</v>
      </c>
      <c r="N103" s="41">
        <f>((($AN103+$AO103)/2*$AH103+$AI103)*(1+$AP103)*(1+$AQ103)+(($AS103+$AT103)/2*IF($G$1="鸣金",$AJ103,$AH103)+IF($G$1="鸣金",$AK103*1.5,0))*(1+$AU103)*(1+$AV103)+(($AW103+$AX103)/2*IF($G$1="裂石",$AJ103,$AH103)+IF($G$1="裂石",$AK103*1.5,0))*(1+$AY103)*(1+$AZ103)+(($BA103+$BB103)/2*IF($G$1="牵丝",$AJ103,$AH103)+IF($G$1="牵丝",$AK103*1.5,0))*(1+$BC103)*(1+$BD103)+(($BE103+$BF103)/2*IF($G$1="破竹",$AJ103,$AH103)+IF($G$1="破竹",$AK103*1.5,0))*(1+$BG103)*(1+$BH103))*(1+$AL103)*$P103*(1+IF(VLOOKUP($Q103,武学奇术!$A:$ZZ,30,FALSE)="弹道",$B$21,0))*(1+$BQ103)</f>
        <v>763603.469595846</v>
      </c>
      <c r="O103" s="41">
        <f>((($AN103*$AH103+$AI103)*(1+$AP103)*(1+$AQ103)+($AS103*IF($G$1="鸣金",$AJ103,$AH103)+IF($G$1="鸣金",$AK103*1.5,0))*(1+$AU103)*(1+$AV103)+($AW103*IF($G$1="裂石",$AJ103,$AH103)+IF($G$1="裂石",$AK103*1.5,0))*(1+$AY103)*(1+$AZ103)+($BA103*IF($G$1="牵丝",$AJ103,$AH103)+IF($G$1="牵丝",$AK103*1.5,0))*(1+$BC103)*(1+$BD103)+($BE103*IF($G$1="破竹",$AJ103,$AH103)+IF($G$1="破竹",$AK103*1.5,0))*(1+$BG103)*(1+$BH103))*(1+$AL103))*$P103*(1+IF(VLOOKUP($Q103,武学奇术!$A:$ZZ,30,FALSE)="弹道",$B$21,0))*(1+$BQ103)</f>
        <v>458193.783356162</v>
      </c>
      <c r="P103" s="42">
        <v>19</v>
      </c>
      <c r="Q103" s="43" t="s">
        <v>109</v>
      </c>
      <c r="R103" s="43" t="s">
        <v>93</v>
      </c>
      <c r="S103" s="43" t="s">
        <v>158</v>
      </c>
      <c r="T103" s="43" t="s">
        <v>163</v>
      </c>
      <c r="U103" s="43" t="s">
        <v>159</v>
      </c>
      <c r="V103" s="43" t="s">
        <v>98</v>
      </c>
      <c r="W103" s="43" t="s">
        <v>73</v>
      </c>
      <c r="X103" s="43" t="s">
        <v>73</v>
      </c>
      <c r="Y103" s="43" t="s">
        <v>164</v>
      </c>
      <c r="Z103" s="43" t="s">
        <v>73</v>
      </c>
      <c r="AA103" s="43" t="s">
        <v>73</v>
      </c>
      <c r="AB103" s="43" t="s">
        <v>80</v>
      </c>
      <c r="AC103" s="43" t="s">
        <v>165</v>
      </c>
      <c r="AD103" s="43" t="s">
        <v>166</v>
      </c>
      <c r="AE103" s="43" t="s">
        <v>73</v>
      </c>
      <c r="AF103" s="43" t="s">
        <v>75</v>
      </c>
      <c r="AG103" t="str">
        <f>VLOOKUP($Q103,武学奇术!$A:$ZZ,25,FALSE)</f>
        <v>伞</v>
      </c>
      <c r="AH103" s="27">
        <f>VLOOKUP($Q103,武学奇术!$A:$ZZ,26,FALSE)</f>
        <v>1.174955</v>
      </c>
      <c r="AI103" s="28">
        <f>VLOOKUP($Q103,武学奇术!$A:$ZZ,27,FALSE)*(1+IF(OR($AG103=$F$4,$AG103=$F$5),$B$22,0))</f>
        <v>454.02</v>
      </c>
      <c r="AJ103" s="27">
        <f>VLOOKUP($Q103,武学奇术!$A:$ZZ,28,FALSE)</f>
        <v>1.762375</v>
      </c>
      <c r="AK103" s="28">
        <f>VLOOKUP($Q103,武学奇术!$A:$ZZ,29,FALSE)*(1+IF(OR($AG103=$F$4,$AG103=$F$5),$B$22,0))</f>
        <v>247.94</v>
      </c>
      <c r="AL103" s="27" cm="1">
        <f t="array" ref="AL103">$G$3+IFERROR(VLOOKUP($AG103,$F$4:$G$7,2,FALSE),0)+VLOOKUP($Q103,武学奇术!$A:$ZZ,2,FALSE)+SUM(_xlfn.XLOOKUP($R103:$AF103,增益!$A:$A,增益!$B:$B,0))</f>
        <v>1.1041</v>
      </c>
      <c r="AM103" s="27" cm="1">
        <f t="array" ref="AM103">VLOOKUP($Q103,武学奇术!$A:$ZZ,5,FALSE)+SUM(_xlfn.XLOOKUP($R103:$AF103,增益!$A:$A,增益!$E:$E,0))</f>
        <v>0.15</v>
      </c>
      <c r="AN103" cm="1">
        <f t="array" ref="AN103">$D$10*(1+$AM103)+VLOOKUP($Q103,武学奇术!$A:$ZZ,3,FALSE)+SUM(_xlfn.XLOOKUP($R103:$AF103,增益!$A:$A,增益!$C:$C,0))-$I$2</f>
        <v>2125.755</v>
      </c>
      <c r="AO103" cm="1">
        <f t="array" ref="AO103">$E$10*(1+$AM103)+VLOOKUP($Q103,武学奇术!$A:$ZZ,4,FALSE)+SUM(_xlfn.XLOOKUP($R103:$AF103,增益!$A:$A,增益!$D:$D,0))-$I$2</f>
        <v>6122.925</v>
      </c>
      <c r="AP103" s="35" cm="1">
        <f t="array" ref="AP103">IF($F$10-$I$3+VLOOKUP($Q103,武学奇术!$A:$ZZ,6,FALSE)+SUM(_xlfn.XLOOKUP(R103:AF103,增益!$A:$A,增益!$F:$F,0))&gt;0,($F$10-$I$3+VLOOKUP($Q103,武学奇术!$A:$ZZ,6,FALSE)+SUM(_xlfn.XLOOKUP(R103:AF103,增益!$A:$A,增益!$F:$F,0)))/200,($F$10-$I$3+VLOOKUP($Q103,武学奇术!$A:$ZZ,6,FALSE)+SUM(_xlfn.XLOOKUP(R103:AF103,增益!$A:$A,增益!$F:$F,0)))/100)</f>
        <v>0.4925</v>
      </c>
      <c r="AQ103" s="35" cm="1">
        <f t="array" ref="AQ103">$G$10+VLOOKUP($Q103,武学奇术!$A:$ZZ,7,FALSE)+SUM(_xlfn.XLOOKUP(R103:AF103,增益!$A:$A,增益!$G:$G,0))</f>
        <v>0.1</v>
      </c>
      <c r="AR103" s="27" cm="1">
        <f t="array" ref="AR103">VLOOKUP($Q103,武学奇术!$A:$ZZ,8,FALSE)+SUM(_xlfn.XLOOKUP(R103:AF103,增益!$A:$A,增益!$H:$H,0))</f>
        <v>0</v>
      </c>
      <c r="AS103">
        <f t="shared" si="43"/>
        <v>0</v>
      </c>
      <c r="AT103">
        <f t="shared" si="44"/>
        <v>0</v>
      </c>
      <c r="AU103" s="35" cm="1">
        <f t="array" ref="AU103">IF($F$11-$I$4+VLOOKUP($Q103,武学奇术!$A:$ZZ,9,FALSE)+SUM(_xlfn.XLOOKUP(R103:AF103,增益!$A:$A,增益!$I:$I,0))&gt;0,($F$11-$I$4+VLOOKUP($Q103,武学奇术!$A:$ZZ,9,FALSE)+SUM(_xlfn.XLOOKUP(R103:AF103,增益!$A:$A,增益!$I:$I,0)))/200,($F$11-$I$4+VLOOKUP($Q103,武学奇术!$A:$ZZ,9,FALSE)+SUM(_xlfn.XLOOKUP(R103:AF103,增益!$A:$A,增益!$I:$I,0)))/100)</f>
        <v>-0.14</v>
      </c>
      <c r="AV103" s="35" cm="1">
        <f t="array" ref="AV103">$G$11+VLOOKUP($Q103,武学奇术!$A:$ZZ,10,FALSE)+SUM(_xlfn.XLOOKUP(R103:AF103,增益!$A:$A,增益!$J:$J,0))</f>
        <v>0.1</v>
      </c>
      <c r="AW103">
        <f t="shared" si="45"/>
        <v>0</v>
      </c>
      <c r="AX103">
        <f t="shared" si="46"/>
        <v>0</v>
      </c>
      <c r="AY103" s="35" cm="1">
        <f t="array" ref="AY103">IF($F$12-$I$4+VLOOKUP($Q103,武学奇术!$A:$ZZ,11,FALSE)+SUM(_xlfn.XLOOKUP(R103:AF103,增益!$A:$A,增益!$K:$K,0))&gt;0,($F$12-$I$4+VLOOKUP($Q103,武学奇术!$A:$ZZ,11,FALSE)+SUM(_xlfn.XLOOKUP(R103:AF103,增益!$A:$A,增益!$K:$K,0)))/200,($F$12-$I$4+VLOOKUP($Q103,武学奇术!$A:$ZZ,11,FALSE)+SUM(_xlfn.XLOOKUP(R103:AF103,增益!$A:$A,增益!$K:$K,0)))/100)</f>
        <v>-0.14</v>
      </c>
      <c r="AZ103" s="35" cm="1">
        <f t="array" ref="AZ103">$G$12+VLOOKUP($Q103,武学奇术!$A:$ZZ,12,FALSE)+SUM(_xlfn.XLOOKUP(R103:AF103,增益!$A:$A,增益!$L:$L,0))</f>
        <v>0</v>
      </c>
      <c r="BA103">
        <f t="shared" si="47"/>
        <v>538</v>
      </c>
      <c r="BB103">
        <f t="shared" si="48"/>
        <v>1011</v>
      </c>
      <c r="BC103" s="35" cm="1">
        <f t="array" ref="BC103">IF($F$13-$I$4+VLOOKUP($Q103,武学奇术!$A:$ZZ,13,FALSE)+SUM(_xlfn.XLOOKUP(R103:AF103,增益!$A:$A,增益!$M:$M,0))&gt;0,($F$13-$I$4+VLOOKUP($Q103,武学奇术!$A:$ZZ,13,FALSE)+SUM(_xlfn.XLOOKUP(R103:AF103,增益!$A:$A,增益!$K:$K,0)))/200,($F$13-$I$4+VLOOKUP($Q103,武学奇术!$A:$ZZ,13,FALSE)+SUM(_xlfn.XLOOKUP(R103:AF103,增益!$A:$A,增益!$M:$M,0)))/100)</f>
        <v>0.08</v>
      </c>
      <c r="BD103" s="35" cm="1">
        <f t="array" ref="BD103">$G$13+VLOOKUP($Q103,武学奇术!$A:$ZZ,14,FALSE)+SUM(_xlfn.XLOOKUP(R103:AF103,增益!$A:$A,增益!$N:$N,0))</f>
        <v>0.25</v>
      </c>
      <c r="BE103">
        <f t="shared" si="49"/>
        <v>0</v>
      </c>
      <c r="BF103">
        <f t="shared" si="50"/>
        <v>0</v>
      </c>
      <c r="BG103" s="35" cm="1">
        <f t="array" ref="BG103">IF($F$14-$I$4+VLOOKUP($Q103,武学奇术!$A:$ZZ,15,FALSE)+SUM(_xlfn.XLOOKUP(R103:AF103,增益!$A:$A,增益!$O:$O,0))&gt;0,($F$14-$I$4+VLOOKUP($Q103,武学奇术!$A:$ZZ,15,FALSE)+SUM(_xlfn.XLOOKUP(R103:AF103,增益!$A:$A,增益!$O:$O,0)))/200,($F$14-$I$4+VLOOKUP($Q103,武学奇术!$A:$ZZ,15,FALSE)+SUM(_xlfn.XLOOKUP(R103:AF103,增益!$A:$A,增益!$O:$O,0)))/100)</f>
        <v>-0.14</v>
      </c>
      <c r="BH103" s="35" cm="1">
        <f t="array" ref="BH103">$G$14+VLOOKUP($Q103,武学奇术!$A:$ZZ,16,FALSE)+SUM(_xlfn.XLOOKUP(R103:AF103,增益!$A:$A,增益!$P:$P,0))</f>
        <v>0</v>
      </c>
      <c r="BI103" s="27">
        <f>MIN(IF(VLOOKUP($Q103,武学奇术!$A:$ZZ,23,FALSE)=1,100%,$B$8),100%)</f>
        <v>0.9969</v>
      </c>
      <c r="BJ103" s="27" cm="1">
        <f t="array" ref="BJ103">IF(VLOOKUP($Q103,武学奇术!$A:$ZZ,23,FALSE)=1,100%,MIN(80%,$B$9+VLOOKUP($Q103,武学奇术!$A:$ZZ,17,FALSE)+SUM(_xlfn.XLOOKUP(R103:AF103,增益!$A:$A,增益!$Q:$Q,0)))+$B$11+SUM(_xlfn.XLOOKUP(R103:AF103,增益!$A:$A,增益!$U:$U,0)))*IF(VLOOKUP($Q103,武学奇术!$A:$ZZ,24,FALSE)=1,0,1)</f>
        <v>0.9137</v>
      </c>
      <c r="BK103" s="27" cm="1">
        <f t="array" ref="BK103">1+$B$13+VLOOKUP($Q103,武学奇术!$A:$ZZ,18,FALSE)+SUM(_xlfn.XLOOKUP(R103:AF103,增益!$A:$A,增益!$R:$R,0))</f>
        <v>2.21</v>
      </c>
      <c r="BL103" s="27" cm="1">
        <f t="array" ref="BL103">IF(VLOOKUP($Q103,武学奇术!$A:$ZZ,24,FALSE)=1,100%,MIN(40%,$B$10+VLOOKUP($Q103,武学奇术!$A:$ZZ,19,FALSE)+SUM(_xlfn.XLOOKUP(R103:AF103,增益!$A:$A,增益!$S:$S,0)))+$B$12+SUM(_xlfn.XLOOKUP(R103:AF103,增益!$A:$A,增益!$V:$V,0)))*IF(VLOOKUP($Q103,武学奇术!$A:$ZZ,23,FALSE)=1,0,1)</f>
        <v>0.0895</v>
      </c>
      <c r="BM103" s="27" cm="1">
        <f t="array" ref="BM103">1+$B$14+VLOOKUP($Q103,武学奇术!$A:$ZZ,20,FALSE)+SUM(_xlfn.XLOOKUP(R103:AF103,增益!$A:$A,增益!$T:$T,0))</f>
        <v>1.35</v>
      </c>
      <c r="BN103" s="27">
        <f t="shared" si="22"/>
        <v>0.90767745</v>
      </c>
      <c r="BO103" s="27">
        <f t="shared" si="32"/>
        <v>-1.30104260698261e-17</v>
      </c>
      <c r="BP103" s="27">
        <f>IF(VLOOKUP($Q103,武学奇术!$A:$ZZ,22,FALSE)=1,0,(1-$BI103))*(1-$BL103)</f>
        <v>0.00282254999999999</v>
      </c>
      <c r="BQ103" s="27" cm="1">
        <f t="array" ref="BQ103">SUM(_xlfn.XLOOKUP(R103:AF103,增益!$A:$A,增益!$W:$W,0))+$I$5</f>
        <v>0.31</v>
      </c>
    </row>
    <row r="104" spans="1:69">
      <c r="A104" s="4" t="s">
        <v>155</v>
      </c>
      <c r="B104" s="4">
        <v>0.1</v>
      </c>
      <c r="G104" s="42"/>
      <c r="K104" s="41">
        <f t="shared" si="42"/>
        <v>144734.431529074</v>
      </c>
      <c r="L104" s="41">
        <f>((($AN104+$AO104)/2*$AH104+$AI104)*(1+$AP104)*(1+$AQ104)+(($AS104+$AT104)/2*IF($G$1="鸣金",$AJ104,$AH104)+IF($G$1="鸣金",$AK104*1.5,0))*(1+$AU104)*(1+$AV104)+(($AW104+$AX104)/2*IF($G$1="裂石",$AJ104,$AH104)+IF($G$1="裂石",$AK104*1.5,0))*(1+$AY104)*(1+$AZ104)+(($BA104+$BB104)/2*IF($G$1="牵丝",$AJ104,$AH104)+IF($G$1="牵丝",$AK104*1.5,0))*(1+$BC104)*(1+$BD104)+(($BE104+$BF104)/2*IF($G$1="破竹",$AJ104,$AH104)+IF($G$1="破竹",$AK104*1.5,0))*(1+$BG104)*(1+$BH104))*(1+$AL104)*$BK104*$P104*(1+IF(VLOOKUP($Q104,武学奇术!$A:$ZZ,30,FALSE)="弹道",$B$21,0))*(1+$BQ104)</f>
        <v>146941.155536014</v>
      </c>
      <c r="M104" s="41">
        <f>(($AO104*$AH104+$AI104)*(1+$AP104)*(1+$AQ104)+($AT104*IF($G$1="鸣金",$AJ104,$AH104)+IF($G$1="鸣金",$AK104*1.5,0))*(1+$AU104)*(1+$AV104)+($AX104*IF($G$1="裂石",$AJ104,$AH104)+IF($G$1="裂石",$AK104*1.5,0))*(1+$AY104)*(1+$AZ104)+($BB104*IF($G$1="牵丝",$AJ104,$AH104)+IF($G$1="牵丝",$AK104*1.5,0))*(1+$BC104)*(1+$BD104)+($BF104*IF($G$1="破竹",$AJ104,$AH104)+IF($G$1="破竹",$AK104*1.5,0))*(1+$BG104)*(1+$BH104))*(1+$AL104)*$BM104*$P104*(1+IF(VLOOKUP($Q104,武学奇术!$A:$ZZ,30,FALSE)="弹道",$B$21,0))*(1+$BQ104)</f>
        <v>125660.88165305</v>
      </c>
      <c r="N104" s="41">
        <f>((($AN104+$AO104)/2*$AH104+$AI104)*(1+$AP104)*(1+$AQ104)+(($AS104+$AT104)/2*IF($G$1="鸣金",$AJ104,$AH104)+IF($G$1="鸣金",$AK104*1.5,0))*(1+$AU104)*(1+$AV104)+(($AW104+$AX104)/2*IF($G$1="裂石",$AJ104,$AH104)+IF($G$1="裂石",$AK104*1.5,0))*(1+$AY104)*(1+$AZ104)+(($BA104+$BB104)/2*IF($G$1="牵丝",$AJ104,$AH104)+IF($G$1="牵丝",$AK104*1.5,0))*(1+$BC104)*(1+$BD104)+(($BE104+$BF104)/2*IF($G$1="破竹",$AJ104,$AH104)+IF($G$1="破竹",$AK104*1.5,0))*(1+$BG104)*(1+$BH104))*(1+$AL104)*$P104*(1+IF(VLOOKUP($Q104,武学奇术!$A:$ZZ,30,FALSE)="弹道",$B$21,0))*(1+$BQ104)</f>
        <v>66489.2106497801</v>
      </c>
      <c r="O104" s="41">
        <f>((($AN104*$AH104+$AI104)*(1+$AP104)*(1+$AQ104)+($AS104*IF($G$1="鸣金",$AJ104,$AH104)+IF($G$1="鸣金",$AK104*1.5,0))*(1+$AU104)*(1+$AV104)+($AW104*IF($G$1="裂石",$AJ104,$AH104)+IF($G$1="裂石",$AK104*1.5,0))*(1+$AY104)*(1+$AZ104)+($BA104*IF($G$1="牵丝",$AJ104,$AH104)+IF($G$1="牵丝",$AK104*1.5,0))*(1+$BC104)*(1+$BD104)+($BE104*IF($G$1="破竹",$AJ104,$AH104)+IF($G$1="破竹",$AK104*1.5,0))*(1+$BG104)*(1+$BH104))*(1+$AL104))*$P104*(1+IF(VLOOKUP($Q104,武学奇术!$A:$ZZ,30,FALSE)="弹道",$B$21,0))*(1+$BQ104)</f>
        <v>39896.2867417455</v>
      </c>
      <c r="P104" s="42">
        <v>2</v>
      </c>
      <c r="Q104" s="43" t="s">
        <v>109</v>
      </c>
      <c r="R104" s="43" t="s">
        <v>93</v>
      </c>
      <c r="S104" s="43" t="s">
        <v>158</v>
      </c>
      <c r="T104" s="43" t="s">
        <v>102</v>
      </c>
      <c r="U104" s="43" t="s">
        <v>159</v>
      </c>
      <c r="V104" s="43" t="s">
        <v>98</v>
      </c>
      <c r="W104" s="43" t="s">
        <v>73</v>
      </c>
      <c r="X104" s="43" t="s">
        <v>73</v>
      </c>
      <c r="Y104" s="43" t="s">
        <v>164</v>
      </c>
      <c r="Z104" s="43" t="s">
        <v>73</v>
      </c>
      <c r="AA104" s="43" t="s">
        <v>73</v>
      </c>
      <c r="AB104" s="43" t="s">
        <v>80</v>
      </c>
      <c r="AC104" s="43" t="s">
        <v>73</v>
      </c>
      <c r="AD104" s="43" t="s">
        <v>73</v>
      </c>
      <c r="AE104" s="43" t="s">
        <v>73</v>
      </c>
      <c r="AF104" s="43" t="s">
        <v>75</v>
      </c>
      <c r="AG104" t="str">
        <f>VLOOKUP($Q104,武学奇术!$A:$ZZ,25,FALSE)</f>
        <v>伞</v>
      </c>
      <c r="AH104" s="27">
        <f>VLOOKUP($Q104,武学奇术!$A:$ZZ,26,FALSE)</f>
        <v>1.174955</v>
      </c>
      <c r="AI104" s="28">
        <f>VLOOKUP($Q104,武学奇术!$A:$ZZ,27,FALSE)*(1+IF(OR($AG104=$F$4,$AG104=$F$5),$B$22,0))</f>
        <v>454.02</v>
      </c>
      <c r="AJ104" s="27">
        <f>VLOOKUP($Q104,武学奇术!$A:$ZZ,28,FALSE)</f>
        <v>1.762375</v>
      </c>
      <c r="AK104" s="28">
        <f>VLOOKUP($Q104,武学奇术!$A:$ZZ,29,FALSE)*(1+IF(OR($AG104=$F$4,$AG104=$F$5),$B$22,0))</f>
        <v>247.94</v>
      </c>
      <c r="AL104" s="27" cm="1">
        <f t="array" ref="AL104">$G$3+IFERROR(VLOOKUP($AG104,$F$4:$G$7,2,FALSE),0)+VLOOKUP($Q104,武学奇术!$A:$ZZ,2,FALSE)+SUM(_xlfn.XLOOKUP($R104:$AF104,增益!$A:$A,增益!$B:$B,0))</f>
        <v>1.0541</v>
      </c>
      <c r="AM104" s="27" cm="1">
        <f t="array" ref="AM104">VLOOKUP($Q104,武学奇术!$A:$ZZ,5,FALSE)+SUM(_xlfn.XLOOKUP($R104:$AF104,增益!$A:$A,增益!$E:$E,0))</f>
        <v>0.15</v>
      </c>
      <c r="AN104" cm="1">
        <f t="array" ref="AN104">$D$10*(1+$AM104)+VLOOKUP($Q104,武学奇术!$A:$ZZ,3,FALSE)+SUM(_xlfn.XLOOKUP($R104:$AF104,增益!$A:$A,增益!$C:$C,0))-$I$2</f>
        <v>2125.755</v>
      </c>
      <c r="AO104" cm="1">
        <f t="array" ref="AO104">$E$10*(1+$AM104)+VLOOKUP($Q104,武学奇术!$A:$ZZ,4,FALSE)+SUM(_xlfn.XLOOKUP($R104:$AF104,增益!$A:$A,增益!$D:$D,0))-$I$2</f>
        <v>6122.925</v>
      </c>
      <c r="AP104" s="35" cm="1">
        <f t="array" ref="AP104">IF($F$10-$I$3+VLOOKUP($Q104,武学奇术!$A:$ZZ,6,FALSE)+SUM(_xlfn.XLOOKUP(R104:AF104,增益!$A:$A,增益!$F:$F,0))&gt;0,($F$10-$I$3+VLOOKUP($Q104,武学奇术!$A:$ZZ,6,FALSE)+SUM(_xlfn.XLOOKUP(R104:AF104,增益!$A:$A,增益!$F:$F,0)))/200,($F$10-$I$3+VLOOKUP($Q104,武学奇术!$A:$ZZ,6,FALSE)+SUM(_xlfn.XLOOKUP(R104:AF104,增益!$A:$A,增益!$F:$F,0)))/100)</f>
        <v>0.4925</v>
      </c>
      <c r="AQ104" s="35" cm="1">
        <f t="array" ref="AQ104">$G$10+VLOOKUP($Q104,武学奇术!$A:$ZZ,7,FALSE)+SUM(_xlfn.XLOOKUP(R104:AF104,增益!$A:$A,增益!$G:$G,0))</f>
        <v>0.1</v>
      </c>
      <c r="AR104" s="27" cm="1">
        <f t="array" ref="AR104">VLOOKUP($Q104,武学奇术!$A:$ZZ,8,FALSE)+SUM(_xlfn.XLOOKUP(R104:AF104,增益!$A:$A,增益!$H:$H,0))</f>
        <v>0</v>
      </c>
      <c r="AS104">
        <f t="shared" si="43"/>
        <v>0</v>
      </c>
      <c r="AT104">
        <f t="shared" si="44"/>
        <v>0</v>
      </c>
      <c r="AU104" s="35" cm="1">
        <f t="array" ref="AU104">IF($F$11-$I$4+VLOOKUP($Q104,武学奇术!$A:$ZZ,9,FALSE)+SUM(_xlfn.XLOOKUP(R104:AF104,增益!$A:$A,增益!$I:$I,0))&gt;0,($F$11-$I$4+VLOOKUP($Q104,武学奇术!$A:$ZZ,9,FALSE)+SUM(_xlfn.XLOOKUP(R104:AF104,增益!$A:$A,增益!$I:$I,0)))/200,($F$11-$I$4+VLOOKUP($Q104,武学奇术!$A:$ZZ,9,FALSE)+SUM(_xlfn.XLOOKUP(R104:AF104,增益!$A:$A,增益!$I:$I,0)))/100)</f>
        <v>-0.14</v>
      </c>
      <c r="AV104" s="35" cm="1">
        <f t="array" ref="AV104">$G$11+VLOOKUP($Q104,武学奇术!$A:$ZZ,10,FALSE)+SUM(_xlfn.XLOOKUP(R104:AF104,增益!$A:$A,增益!$J:$J,0))</f>
        <v>0</v>
      </c>
      <c r="AW104">
        <f t="shared" si="45"/>
        <v>0</v>
      </c>
      <c r="AX104">
        <f t="shared" si="46"/>
        <v>0</v>
      </c>
      <c r="AY104" s="35" cm="1">
        <f t="array" ref="AY104">IF($F$12-$I$4+VLOOKUP($Q104,武学奇术!$A:$ZZ,11,FALSE)+SUM(_xlfn.XLOOKUP(R104:AF104,增益!$A:$A,增益!$K:$K,0))&gt;0,($F$12-$I$4+VLOOKUP($Q104,武学奇术!$A:$ZZ,11,FALSE)+SUM(_xlfn.XLOOKUP(R104:AF104,增益!$A:$A,增益!$K:$K,0)))/200,($F$12-$I$4+VLOOKUP($Q104,武学奇术!$A:$ZZ,11,FALSE)+SUM(_xlfn.XLOOKUP(R104:AF104,增益!$A:$A,增益!$K:$K,0)))/100)</f>
        <v>-0.14</v>
      </c>
      <c r="AZ104" s="35" cm="1">
        <f t="array" ref="AZ104">$G$12+VLOOKUP($Q104,武学奇术!$A:$ZZ,12,FALSE)+SUM(_xlfn.XLOOKUP(R104:AF104,增益!$A:$A,增益!$L:$L,0))</f>
        <v>0</v>
      </c>
      <c r="BA104">
        <f t="shared" si="47"/>
        <v>538</v>
      </c>
      <c r="BB104">
        <f t="shared" si="48"/>
        <v>1011</v>
      </c>
      <c r="BC104" s="35" cm="1">
        <f t="array" ref="BC104">IF($F$13-$I$4+VLOOKUP($Q104,武学奇术!$A:$ZZ,13,FALSE)+SUM(_xlfn.XLOOKUP(R104:AF104,增益!$A:$A,增益!$M:$M,0))&gt;0,($F$13-$I$4+VLOOKUP($Q104,武学奇术!$A:$ZZ,13,FALSE)+SUM(_xlfn.XLOOKUP(R104:AF104,增益!$A:$A,增益!$K:$K,0)))/200,($F$13-$I$4+VLOOKUP($Q104,武学奇术!$A:$ZZ,13,FALSE)+SUM(_xlfn.XLOOKUP(R104:AF104,增益!$A:$A,增益!$M:$M,0)))/100)</f>
        <v>0.08</v>
      </c>
      <c r="BD104" s="35" cm="1">
        <f t="array" ref="BD104">$G$13+VLOOKUP($Q104,武学奇术!$A:$ZZ,14,FALSE)+SUM(_xlfn.XLOOKUP(R104:AF104,增益!$A:$A,增益!$N:$N,0))</f>
        <v>0.25</v>
      </c>
      <c r="BE104">
        <f t="shared" si="49"/>
        <v>0</v>
      </c>
      <c r="BF104">
        <f t="shared" si="50"/>
        <v>0</v>
      </c>
      <c r="BG104" s="35" cm="1">
        <f t="array" ref="BG104">IF($F$14-$I$4+VLOOKUP($Q104,武学奇术!$A:$ZZ,15,FALSE)+SUM(_xlfn.XLOOKUP(R104:AF104,增益!$A:$A,增益!$O:$O,0))&gt;0,($F$14-$I$4+VLOOKUP($Q104,武学奇术!$A:$ZZ,15,FALSE)+SUM(_xlfn.XLOOKUP(R104:AF104,增益!$A:$A,增益!$O:$O,0)))/200,($F$14-$I$4+VLOOKUP($Q104,武学奇术!$A:$ZZ,15,FALSE)+SUM(_xlfn.XLOOKUP(R104:AF104,增益!$A:$A,增益!$O:$O,0)))/100)</f>
        <v>-0.14</v>
      </c>
      <c r="BH104" s="35" cm="1">
        <f t="array" ref="BH104">$G$14+VLOOKUP($Q104,武学奇术!$A:$ZZ,16,FALSE)+SUM(_xlfn.XLOOKUP(R104:AF104,增益!$A:$A,增益!$P:$P,0))</f>
        <v>0</v>
      </c>
      <c r="BI104" s="27">
        <f>MIN(IF(VLOOKUP($Q104,武学奇术!$A:$ZZ,23,FALSE)=1,100%,$B$8),100%)</f>
        <v>0.9969</v>
      </c>
      <c r="BJ104" s="27" cm="1">
        <f t="array" ref="BJ104">IF(VLOOKUP($Q104,武学奇术!$A:$ZZ,23,FALSE)=1,100%,MIN(80%,$B$9+VLOOKUP($Q104,武学奇术!$A:$ZZ,17,FALSE)+SUM(_xlfn.XLOOKUP(R104:AF104,增益!$A:$A,增益!$Q:$Q,0)))+$B$11+SUM(_xlfn.XLOOKUP(R104:AF104,增益!$A:$A,增益!$U:$U,0)))*IF(VLOOKUP($Q104,武学奇术!$A:$ZZ,24,FALSE)=1,0,1)</f>
        <v>0.9137</v>
      </c>
      <c r="BK104" s="27" cm="1">
        <f t="array" ref="BK104">1+$B$13+VLOOKUP($Q104,武学奇术!$A:$ZZ,18,FALSE)+SUM(_xlfn.XLOOKUP(R104:AF104,增益!$A:$A,增益!$R:$R,0))</f>
        <v>2.21</v>
      </c>
      <c r="BL104" s="27" cm="1">
        <f t="array" ref="BL104">IF(VLOOKUP($Q104,武学奇术!$A:$ZZ,24,FALSE)=1,100%,MIN(40%,$B$10+VLOOKUP($Q104,武学奇术!$A:$ZZ,19,FALSE)+SUM(_xlfn.XLOOKUP(R104:AF104,增益!$A:$A,增益!$S:$S,0)))+$B$12+SUM(_xlfn.XLOOKUP(R104:AF104,增益!$A:$A,增益!$V:$V,0)))*IF(VLOOKUP($Q104,武学奇术!$A:$ZZ,23,FALSE)=1,0,1)</f>
        <v>0.0895</v>
      </c>
      <c r="BM104" s="27" cm="1">
        <f t="array" ref="BM104">1+$B$14+VLOOKUP($Q104,武学奇术!$A:$ZZ,20,FALSE)+SUM(_xlfn.XLOOKUP(R104:AF104,增益!$A:$A,增益!$T:$T,0))</f>
        <v>1.35</v>
      </c>
      <c r="BN104" s="27">
        <f t="shared" si="22"/>
        <v>0.90767745</v>
      </c>
      <c r="BO104" s="27">
        <f t="shared" si="32"/>
        <v>-1.30104260698261e-17</v>
      </c>
      <c r="BP104" s="27">
        <f>IF(VLOOKUP($Q104,武学奇术!$A:$ZZ,22,FALSE)=1,0,(1-$BI104))*(1-$BL104)</f>
        <v>0.00282254999999999</v>
      </c>
      <c r="BQ104" s="27" cm="1">
        <f t="array" ref="BQ104">SUM(_xlfn.XLOOKUP(R104:AF104,增益!$A:$A,增益!$W:$W,0))+$I$5</f>
        <v>0.11</v>
      </c>
    </row>
    <row r="105" spans="1:69">
      <c r="A105" s="4" t="s">
        <v>174</v>
      </c>
      <c r="B105" s="4">
        <v>2</v>
      </c>
      <c r="F105">
        <v>-15</v>
      </c>
      <c r="K105" s="41">
        <f t="shared" si="42"/>
        <v>231979.491657617</v>
      </c>
      <c r="L105" s="41">
        <f>((($AN105+$AO105)/2*$AH105+$AI105)*(1+$AP105)*(1+$AQ105)+(($AS105+$AT105)/2*IF($G$1="鸣金",$AJ105,$AH105)+IF($G$1="鸣金",$AK105*1.5,0))*(1+$AU105)*(1+$AV105)+(($AW105+$AX105)/2*IF($G$1="裂石",$AJ105,$AH105)+IF($G$1="裂石",$AK105*1.5,0))*(1+$AY105)*(1+$AZ105)+(($BA105+$BB105)/2*IF($G$1="牵丝",$AJ105,$AH105)+IF($G$1="牵丝",$AK105*1.5,0))*(1+$BC105)*(1+$BD105)+(($BE105+$BF105)/2*IF($G$1="破竹",$AJ105,$AH105)+IF($G$1="破竹",$AK105*1.5,0))*(1+$BG105)*(1+$BH105))*(1+$AL105)*$BK105*$P105*(1+IF(VLOOKUP($Q105,武学奇术!$A:$ZZ,30,FALSE)="弹道",$B$21,0))*(1+$BQ105)</f>
        <v>231465.402866946</v>
      </c>
      <c r="M105" s="41">
        <f>(($AO105*$AH105+$AI105)*(1+$AP105)*(1+$AQ105)+($AT105*IF($G$1="鸣金",$AJ105,$AH105)+IF($G$1="鸣金",$AK105*1.5,0))*(1+$AU105)*(1+$AV105)+($AX105*IF($G$1="裂石",$AJ105,$AH105)+IF($G$1="裂石",$AK105*1.5,0))*(1+$AY105)*(1+$AZ105)+($BB105*IF($G$1="牵丝",$AJ105,$AH105)+IF($G$1="牵丝",$AK105*1.5,0))*(1+$BC105)*(1+$BD105)+($BF105*IF($G$1="破竹",$AJ105,$AH105)+IF($G$1="破竹",$AK105*1.5,0))*(1+$BG105)*(1+$BH105))*(1+$AL105)*$BM105*$P105*(1+IF(VLOOKUP($Q105,武学奇术!$A:$ZZ,30,FALSE)="弹道",$B$21,0))*(1+$BQ105)</f>
        <v>242277.298667789</v>
      </c>
      <c r="N105" s="41">
        <f>((($AN105+$AO105)/2*$AH105+$AI105)*(1+$AP105)*(1+$AQ105)+(($AS105+$AT105)/2*IF($G$1="鸣金",$AJ105,$AH105)+IF($G$1="鸣金",$AK105*1.5,0))*(1+$AU105)*(1+$AV105)+(($AW105+$AX105)/2*IF($G$1="裂石",$AJ105,$AH105)+IF($G$1="裂石",$AK105*1.5,0))*(1+$AY105)*(1+$AZ105)+(($BA105+$BB105)/2*IF($G$1="牵丝",$AJ105,$AH105)+IF($G$1="牵丝",$AK105*1.5,0))*(1+$BC105)*(1+$BD105)+(($BE105+$BF105)/2*IF($G$1="破竹",$AJ105,$AH105)+IF($G$1="破竹",$AK105*1.5,0))*(1+$BG105)*(1+$BH105))*(1+$AL105)*$P105*(1+IF(VLOOKUP($Q105,武学奇术!$A:$ZZ,30,FALSE)="弹道",$B$21,0))*(1+$BQ105)</f>
        <v>125116.433982133</v>
      </c>
      <c r="O105" s="41">
        <f>((($AN105*$AH105+$AI105)*(1+$AP105)*(1+$AQ105)+($AS105*IF($G$1="鸣金",$AJ105,$AH105)+IF($G$1="鸣金",$AK105*1.5,0))*(1+$AU105)*(1+$AV105)+($AW105*IF($G$1="裂石",$AJ105,$AH105)+IF($G$1="裂石",$AK105*1.5,0))*(1+$AY105)*(1+$AZ105)+($BA105*IF($G$1="牵丝",$AJ105,$AH105)+IF($G$1="牵丝",$AK105*1.5,0))*(1+$BC105)*(1+$BD105)+($BE105*IF($G$1="破竹",$AJ105,$AH105)+IF($G$1="破竹",$AK105*1.5,0))*(1+$BG105)*(1+$BH105))*(1+$AL105))*$P105*(1+IF(VLOOKUP($Q105,武学奇术!$A:$ZZ,30,FALSE)="弹道",$B$21,0))*(1+$BQ105)</f>
        <v>70768.2022844215</v>
      </c>
      <c r="P105" s="42">
        <v>8</v>
      </c>
      <c r="Q105" s="43" t="s">
        <v>171</v>
      </c>
      <c r="R105" s="43" t="s">
        <v>93</v>
      </c>
      <c r="S105" s="43" t="s">
        <v>158</v>
      </c>
      <c r="T105" s="43" t="s">
        <v>73</v>
      </c>
      <c r="U105" s="43" t="s">
        <v>159</v>
      </c>
      <c r="V105" s="43" t="s">
        <v>73</v>
      </c>
      <c r="W105" s="43" t="s">
        <v>73</v>
      </c>
      <c r="X105" s="43" t="s">
        <v>73</v>
      </c>
      <c r="Y105" s="43" t="s">
        <v>164</v>
      </c>
      <c r="Z105" s="43" t="s">
        <v>73</v>
      </c>
      <c r="AA105" s="43" t="s">
        <v>73</v>
      </c>
      <c r="AB105" s="43" t="s">
        <v>80</v>
      </c>
      <c r="AC105" s="43" t="s">
        <v>165</v>
      </c>
      <c r="AD105" s="43" t="s">
        <v>166</v>
      </c>
      <c r="AE105" s="43" t="s">
        <v>73</v>
      </c>
      <c r="AF105" s="43" t="s">
        <v>75</v>
      </c>
      <c r="AG105" t="str">
        <f>VLOOKUP($Q105,武学奇术!$A:$ZZ,25,FALSE)</f>
        <v>单体奇术</v>
      </c>
      <c r="AH105" s="27">
        <f>VLOOKUP($Q105,武学奇术!$A:$ZZ,26,FALSE)</f>
        <v>1.0238</v>
      </c>
      <c r="AI105" s="28">
        <f>VLOOKUP($Q105,武学奇术!$A:$ZZ,27,FALSE)*(1+IF(OR($AG105=$F$4,$AG105=$F$5),$B$22,0))</f>
        <v>189</v>
      </c>
      <c r="AJ105" s="27">
        <f>VLOOKUP($Q105,武学奇术!$A:$ZZ,28,FALSE)</f>
        <v>1.5357</v>
      </c>
      <c r="AK105" s="28">
        <f>VLOOKUP($Q105,武学奇术!$A:$ZZ,29,FALSE)*(1+IF(OR($AG105=$F$4,$AG105=$F$5),$B$22,0))</f>
        <v>0</v>
      </c>
      <c r="AL105" s="27" cm="1">
        <f t="array" ref="AL105">$G$3+IFERROR(VLOOKUP($AG105,$F$4:$G$7,2,FALSE),0)+VLOOKUP($Q105,武学奇术!$A:$ZZ,2,FALSE)+SUM(_xlfn.XLOOKUP($R105:$AF105,增益!$A:$A,增益!$B:$B,0))</f>
        <v>0.5015</v>
      </c>
      <c r="AM105" s="27" cm="1">
        <f t="array" ref="AM105">VLOOKUP($Q105,武学奇术!$A:$ZZ,5,FALSE)+SUM(_xlfn.XLOOKUP($R105:$AF105,增益!$A:$A,增益!$E:$E,0))</f>
        <v>0.15</v>
      </c>
      <c r="AN105" cm="1">
        <f t="array" ref="AN105">$D$10*(1+$AM105)+VLOOKUP($Q105,武学奇术!$A:$ZZ,3,FALSE)+SUM(_xlfn.XLOOKUP($R105:$AF105,增益!$A:$A,增益!$C:$C,0))-$I$2</f>
        <v>2125.755</v>
      </c>
      <c r="AO105" cm="1">
        <f t="array" ref="AO105">$E$10*(1+$AM105)+VLOOKUP($Q105,武学奇术!$A:$ZZ,4,FALSE)+SUM(_xlfn.XLOOKUP($R105:$AF105,增益!$A:$A,增益!$D:$D,0))-$I$2</f>
        <v>6122.925</v>
      </c>
      <c r="AP105" s="35" cm="1">
        <f t="array" ref="AP105">IF($F$10-$I$3+VLOOKUP($Q105,武学奇术!$A:$ZZ,6,FALSE)+SUM(_xlfn.XLOOKUP(R105:AF105,增益!$A:$A,增益!$F:$F,0))&gt;0,($F$10-$I$3+VLOOKUP($Q105,武学奇术!$A:$ZZ,6,FALSE)+SUM(_xlfn.XLOOKUP(R105:AF105,增益!$A:$A,增益!$F:$F,0)))/200,($F$10-$I$3+VLOOKUP($Q105,武学奇术!$A:$ZZ,6,FALSE)+SUM(_xlfn.XLOOKUP(R105:AF105,增益!$A:$A,增益!$F:$F,0)))/100)</f>
        <v>0.4675</v>
      </c>
      <c r="AQ105" s="35" cm="1">
        <f t="array" ref="AQ105">$G$10+VLOOKUP($Q105,武学奇术!$A:$ZZ,7,FALSE)+SUM(_xlfn.XLOOKUP(R105:AF105,增益!$A:$A,增益!$G:$G,0))</f>
        <v>0</v>
      </c>
      <c r="AR105" s="27" cm="1">
        <f t="array" ref="AR105">VLOOKUP($Q105,武学奇术!$A:$ZZ,8,FALSE)+SUM(_xlfn.XLOOKUP(R105:AF105,增益!$A:$A,增益!$H:$H,0))</f>
        <v>0</v>
      </c>
      <c r="AS105">
        <f t="shared" si="43"/>
        <v>0</v>
      </c>
      <c r="AT105">
        <f t="shared" si="44"/>
        <v>0</v>
      </c>
      <c r="AU105" s="35" cm="1">
        <f t="array" ref="AU105">IF($F$11-$I$4+VLOOKUP($Q105,武学奇术!$A:$ZZ,9,FALSE)+SUM(_xlfn.XLOOKUP(R105:AF105,增益!$A:$A,增益!$I:$I,0))&gt;0,($F$11-$I$4+VLOOKUP($Q105,武学奇术!$A:$ZZ,9,FALSE)+SUM(_xlfn.XLOOKUP(R105:AF105,增益!$A:$A,增益!$I:$I,0)))/200,($F$11-$I$4+VLOOKUP($Q105,武学奇术!$A:$ZZ,9,FALSE)+SUM(_xlfn.XLOOKUP(R105:AF105,增益!$A:$A,增益!$I:$I,0)))/100)</f>
        <v>-0.14</v>
      </c>
      <c r="AV105" s="35" cm="1">
        <f t="array" ref="AV105">$G$11+VLOOKUP($Q105,武学奇术!$A:$ZZ,10,FALSE)+SUM(_xlfn.XLOOKUP(R105:AF105,增益!$A:$A,增益!$J:$J,0))</f>
        <v>0.1</v>
      </c>
      <c r="AW105">
        <f t="shared" si="45"/>
        <v>0</v>
      </c>
      <c r="AX105">
        <f t="shared" si="46"/>
        <v>0</v>
      </c>
      <c r="AY105" s="35" cm="1">
        <f t="array" ref="AY105">IF($F$12-$I$4+VLOOKUP($Q105,武学奇术!$A:$ZZ,11,FALSE)+SUM(_xlfn.XLOOKUP(R105:AF105,增益!$A:$A,增益!$K:$K,0))&gt;0,($F$12-$I$4+VLOOKUP($Q105,武学奇术!$A:$ZZ,11,FALSE)+SUM(_xlfn.XLOOKUP(R105:AF105,增益!$A:$A,增益!$K:$K,0)))/200,($F$12-$I$4+VLOOKUP($Q105,武学奇术!$A:$ZZ,11,FALSE)+SUM(_xlfn.XLOOKUP(R105:AF105,增益!$A:$A,增益!$K:$K,0)))/100)</f>
        <v>-0.14</v>
      </c>
      <c r="AZ105" s="35" cm="1">
        <f t="array" ref="AZ105">$G$12+VLOOKUP($Q105,武学奇术!$A:$ZZ,12,FALSE)+SUM(_xlfn.XLOOKUP(R105:AF105,增益!$A:$A,增益!$L:$L,0))</f>
        <v>0</v>
      </c>
      <c r="BA105">
        <f t="shared" si="47"/>
        <v>538</v>
      </c>
      <c r="BB105">
        <f t="shared" si="48"/>
        <v>1011</v>
      </c>
      <c r="BC105" s="35" cm="1">
        <f t="array" ref="BC105">IF($F$13-$I$4+VLOOKUP($Q105,武学奇术!$A:$ZZ,13,FALSE)+SUM(_xlfn.XLOOKUP(R105:AF105,增益!$A:$A,增益!$M:$M,0))&gt;0,($F$13-$I$4+VLOOKUP($Q105,武学奇术!$A:$ZZ,13,FALSE)+SUM(_xlfn.XLOOKUP(R105:AF105,增益!$A:$A,增益!$K:$K,0)))/200,($F$13-$I$4+VLOOKUP($Q105,武学奇术!$A:$ZZ,13,FALSE)+SUM(_xlfn.XLOOKUP(R105:AF105,增益!$A:$A,增益!$M:$M,0)))/100)</f>
        <v>0.08</v>
      </c>
      <c r="BD105" s="35" cm="1">
        <f t="array" ref="BD105">$G$13+VLOOKUP($Q105,武学奇术!$A:$ZZ,14,FALSE)+SUM(_xlfn.XLOOKUP(R105:AF105,增益!$A:$A,增益!$N:$N,0))</f>
        <v>0.15</v>
      </c>
      <c r="BE105">
        <f t="shared" si="49"/>
        <v>0</v>
      </c>
      <c r="BF105">
        <f t="shared" si="50"/>
        <v>0</v>
      </c>
      <c r="BG105" s="35" cm="1">
        <f t="array" ref="BG105">IF($F$14-$I$4+VLOOKUP($Q105,武学奇术!$A:$ZZ,15,FALSE)+SUM(_xlfn.XLOOKUP(R105:AF105,增益!$A:$A,增益!$O:$O,0))&gt;0,($F$14-$I$4+VLOOKUP($Q105,武学奇术!$A:$ZZ,15,FALSE)+SUM(_xlfn.XLOOKUP(R105:AF105,增益!$A:$A,增益!$O:$O,0)))/200,($F$14-$I$4+VLOOKUP($Q105,武学奇术!$A:$ZZ,15,FALSE)+SUM(_xlfn.XLOOKUP(R105:AF105,增益!$A:$A,增益!$O:$O,0)))/100)</f>
        <v>-0.14</v>
      </c>
      <c r="BH105" s="35" cm="1">
        <f t="array" ref="BH105">$G$14+VLOOKUP($Q105,武学奇术!$A:$ZZ,16,FALSE)+SUM(_xlfn.XLOOKUP(R105:AF105,增益!$A:$A,增益!$P:$P,0))</f>
        <v>0</v>
      </c>
      <c r="BI105" s="27">
        <f>MIN(IF(VLOOKUP($Q105,武学奇术!$A:$ZZ,23,FALSE)=1,100%,$B$8),100%)</f>
        <v>0.9969</v>
      </c>
      <c r="BJ105" s="27" cm="1">
        <f t="array" ref="BJ105">IF(VLOOKUP($Q105,武学奇术!$A:$ZZ,23,FALSE)=1,100%,MIN(80%,$B$9+VLOOKUP($Q105,武学奇术!$A:$ZZ,17,FALSE)+SUM(_xlfn.XLOOKUP(R105:AF105,增益!$A:$A,增益!$Q:$Q,0)))+$B$11+SUM(_xlfn.XLOOKUP(R105:AF105,增益!$A:$A,增益!$U:$U,0)))*IF(VLOOKUP($Q105,武学奇术!$A:$ZZ,24,FALSE)=1,0,1)</f>
        <v>0.9137</v>
      </c>
      <c r="BK105" s="27" cm="1">
        <f t="array" ref="BK105">1+$B$13+VLOOKUP($Q105,武学奇术!$A:$ZZ,18,FALSE)+SUM(_xlfn.XLOOKUP(R105:AF105,增益!$A:$A,增益!$R:$R,0))</f>
        <v>1.85</v>
      </c>
      <c r="BL105" s="27" cm="1">
        <f t="array" ref="BL105">IF(VLOOKUP($Q105,武学奇术!$A:$ZZ,24,FALSE)=1,100%,MIN(40%,$B$10+VLOOKUP($Q105,武学奇术!$A:$ZZ,19,FALSE)+SUM(_xlfn.XLOOKUP(R105:AF105,增益!$A:$A,增益!$S:$S,0)))+$B$12+SUM(_xlfn.XLOOKUP(R105:AF105,增益!$A:$A,增益!$V:$V,0)))*IF(VLOOKUP($Q105,武学奇术!$A:$ZZ,23,FALSE)=1,0,1)</f>
        <v>0.0895</v>
      </c>
      <c r="BM105" s="27" cm="1">
        <f t="array" ref="BM105">1+$B$14+VLOOKUP($Q105,武学奇术!$A:$ZZ,20,FALSE)+SUM(_xlfn.XLOOKUP(R105:AF105,增益!$A:$A,增益!$T:$T,0))</f>
        <v>1.35</v>
      </c>
      <c r="BN105" s="27">
        <f t="shared" si="22"/>
        <v>0.90767745</v>
      </c>
      <c r="BO105" s="27">
        <f t="shared" si="32"/>
        <v>-1.30104260698261e-17</v>
      </c>
      <c r="BP105" s="27">
        <f>IF(VLOOKUP($Q105,武学奇术!$A:$ZZ,22,FALSE)=1,0,(1-$BI105))*(1-$BL105)</f>
        <v>0.00282254999999999</v>
      </c>
      <c r="BQ105" s="27" cm="1">
        <f t="array" ref="BQ105">SUM(_xlfn.XLOOKUP(R105:AF105,增益!$A:$A,增益!$W:$W,0))+$I$5</f>
        <v>0.31</v>
      </c>
    </row>
    <row r="106" spans="1:69">
      <c r="A106" s="4" t="s">
        <v>181</v>
      </c>
      <c r="B106" s="4">
        <v>0.8</v>
      </c>
      <c r="K106" s="41">
        <f t="shared" si="42"/>
        <v>74077.4120359847</v>
      </c>
      <c r="L106" s="41">
        <f>((($AN106+$AO106)/2*$AH106+$AI106)*(1+$AP106)*(1+$AQ106)+(($AS106+$AT106)/2*IF($G$1="鸣金",$AJ106,$AH106)+IF($G$1="鸣金",$AK106*1.5,0))*(1+$AU106)*(1+$AV106)+(($AW106+$AX106)/2*IF($G$1="裂石",$AJ106,$AH106)+IF($G$1="裂石",$AK106*1.5,0))*(1+$AY106)*(1+$AZ106)+(($BA106+$BB106)/2*IF($G$1="牵丝",$AJ106,$AH106)+IF($G$1="牵丝",$AK106*1.5,0))*(1+$BC106)*(1+$BD106)+(($BE106+$BF106)/2*IF($G$1="破竹",$AJ106,$AH106)+IF($G$1="破竹",$AK106*1.5,0))*(1+$BG106)*(1+$BH106))*(1+$AL106)*$BK106*$P106*(1+IF(VLOOKUP($Q106,武学奇术!$A:$ZZ,30,FALSE)="弹道",$B$21,0))*(1+$BQ106)</f>
        <v>73913.250782444</v>
      </c>
      <c r="M106" s="41">
        <f>(($AO106*$AH106+$AI106)*(1+$AP106)*(1+$AQ106)+($AT106*IF($G$1="鸣金",$AJ106,$AH106)+IF($G$1="鸣金",$AK106*1.5,0))*(1+$AU106)*(1+$AV106)+($AX106*IF($G$1="裂石",$AJ106,$AH106)+IF($G$1="裂石",$AK106*1.5,0))*(1+$AY106)*(1+$AZ106)+($BB106*IF($G$1="牵丝",$AJ106,$AH106)+IF($G$1="牵丝",$AK106*1.5,0))*(1+$BC106)*(1+$BD106)+($BF106*IF($G$1="破竹",$AJ106,$AH106)+IF($G$1="破竹",$AK106*1.5,0))*(1+$BG106)*(1+$BH106))*(1+$AL106)*$BM106*$P106*(1+IF(VLOOKUP($Q106,武学奇术!$A:$ZZ,30,FALSE)="弹道",$B$21,0))*(1+$BQ106)</f>
        <v>77365.7696484746</v>
      </c>
      <c r="N106" s="41">
        <f>((($AN106+$AO106)/2*$AH106+$AI106)*(1+$AP106)*(1+$AQ106)+(($AS106+$AT106)/2*IF($G$1="鸣金",$AJ106,$AH106)+IF($G$1="鸣金",$AK106*1.5,0))*(1+$AU106)*(1+$AV106)+(($AW106+$AX106)/2*IF($G$1="裂石",$AJ106,$AH106)+IF($G$1="裂石",$AK106*1.5,0))*(1+$AY106)*(1+$AZ106)+(($BA106+$BB106)/2*IF($G$1="牵丝",$AJ106,$AH106)+IF($G$1="牵丝",$AK106*1.5,0))*(1+$BC106)*(1+$BD106)+(($BE106+$BF106)/2*IF($G$1="破竹",$AJ106,$AH106)+IF($G$1="破竹",$AK106*1.5,0))*(1+$BG106)*(1+$BH106))*(1+$AL106)*$P106*(1+IF(VLOOKUP($Q106,武学奇术!$A:$ZZ,30,FALSE)="弹道",$B$21,0))*(1+$BQ106)</f>
        <v>39953.1085310508</v>
      </c>
      <c r="O106" s="41">
        <f>((($AN106*$AH106+$AI106)*(1+$AP106)*(1+$AQ106)+($AS106*IF($G$1="鸣金",$AJ106,$AH106)+IF($G$1="鸣金",$AK106*1.5,0))*(1+$AU106)*(1+$AV106)+($AW106*IF($G$1="裂石",$AJ106,$AH106)+IF($G$1="裂石",$AK106*1.5,0))*(1+$AY106)*(1+$AZ106)+($BA106*IF($G$1="牵丝",$AJ106,$AH106)+IF($G$1="牵丝",$AK106*1.5,0))*(1+$BC106)*(1+$BD106)+($BE106*IF($G$1="破竹",$AJ106,$AH106)+IF($G$1="破竹",$AK106*1.5,0))*(1+$BG106)*(1+$BH106))*(1+$AL106))*$P106*(1+IF(VLOOKUP($Q106,武学奇术!$A:$ZZ,30,FALSE)="弹道",$B$21,0))*(1+$BQ106)</f>
        <v>22598.2395447131</v>
      </c>
      <c r="P106" s="42">
        <f>IF($C$22="易水歌",1,0)</f>
        <v>1</v>
      </c>
      <c r="Q106" s="43" t="s">
        <v>172</v>
      </c>
      <c r="R106" s="43" t="s">
        <v>93</v>
      </c>
      <c r="S106" s="43" t="s">
        <v>158</v>
      </c>
      <c r="T106" s="43" t="s">
        <v>73</v>
      </c>
      <c r="U106" s="43" t="s">
        <v>159</v>
      </c>
      <c r="V106" s="43" t="s">
        <v>73</v>
      </c>
      <c r="W106" s="43" t="s">
        <v>73</v>
      </c>
      <c r="X106" s="43" t="s">
        <v>73</v>
      </c>
      <c r="Y106" s="43" t="s">
        <v>164</v>
      </c>
      <c r="Z106" s="43" t="s">
        <v>73</v>
      </c>
      <c r="AA106" s="43" t="s">
        <v>73</v>
      </c>
      <c r="AB106" s="43" t="s">
        <v>80</v>
      </c>
      <c r="AC106" s="43" t="s">
        <v>165</v>
      </c>
      <c r="AD106" s="43" t="s">
        <v>166</v>
      </c>
      <c r="AE106" s="43" t="s">
        <v>73</v>
      </c>
      <c r="AF106" s="43" t="s">
        <v>75</v>
      </c>
      <c r="AG106" t="str">
        <f>VLOOKUP($Q106,武学奇术!$A:$ZZ,25,FALSE)</f>
        <v>单体奇术</v>
      </c>
      <c r="AH106" s="27">
        <f>VLOOKUP($Q106,武学奇术!$A:$ZZ,26,FALSE)</f>
        <v>1.7063</v>
      </c>
      <c r="AI106" s="28">
        <f>VLOOKUP($Q106,武学奇术!$A:$ZZ,27,FALSE)*(1+IF(OR($AG106=$F$4,$AG106=$F$5),$B$22,0))</f>
        <v>315</v>
      </c>
      <c r="AJ106" s="27">
        <f>VLOOKUP($Q106,武学奇术!$A:$ZZ,28,FALSE)</f>
        <v>2.55945</v>
      </c>
      <c r="AK106" s="28">
        <f>VLOOKUP($Q106,武学奇术!$A:$ZZ,29,FALSE)*(1+IF(OR($AG106=$F$4,$AG106=$F$5),$B$22,0))</f>
        <v>0</v>
      </c>
      <c r="AL106" s="27" cm="1">
        <f t="array" ref="AL106">$G$3+IFERROR(VLOOKUP($AG106,$F$4:$G$7,2,FALSE),0)+VLOOKUP($Q106,武学奇术!$A:$ZZ,2,FALSE)+SUM(_xlfn.XLOOKUP($R106:$AF106,增益!$A:$A,增益!$B:$B,0))</f>
        <v>1.3015</v>
      </c>
      <c r="AM106" s="27" cm="1">
        <f t="array" ref="AM106">VLOOKUP($Q106,武学奇术!$A:$ZZ,5,FALSE)+SUM(_xlfn.XLOOKUP($R106:$AF106,增益!$A:$A,增益!$E:$E,0))</f>
        <v>0.15</v>
      </c>
      <c r="AN106" cm="1">
        <f t="array" ref="AN106">$D$10*(1+$AM106)+VLOOKUP($Q106,武学奇术!$A:$ZZ,3,FALSE)+SUM(_xlfn.XLOOKUP($R106:$AF106,增益!$A:$A,增益!$C:$C,0))-$I$2</f>
        <v>2125.755</v>
      </c>
      <c r="AO106" cm="1">
        <f t="array" ref="AO106">$E$10*(1+$AM106)+VLOOKUP($Q106,武学奇术!$A:$ZZ,4,FALSE)+SUM(_xlfn.XLOOKUP($R106:$AF106,增益!$A:$A,增益!$D:$D,0))-$I$2</f>
        <v>6122.925</v>
      </c>
      <c r="AP106" s="35" cm="1">
        <f t="array" ref="AP106">IF($F$10-$I$3+VLOOKUP($Q106,武学奇术!$A:$ZZ,6,FALSE)+SUM(_xlfn.XLOOKUP(R106:AF106,增益!$A:$A,增益!$F:$F,0))&gt;0,($F$10-$I$3+VLOOKUP($Q106,武学奇术!$A:$ZZ,6,FALSE)+SUM(_xlfn.XLOOKUP(R106:AF106,增益!$A:$A,增益!$F:$F,0)))/200,($F$10-$I$3+VLOOKUP($Q106,武学奇术!$A:$ZZ,6,FALSE)+SUM(_xlfn.XLOOKUP(R106:AF106,增益!$A:$A,增益!$F:$F,0)))/100)</f>
        <v>0.4675</v>
      </c>
      <c r="AQ106" s="35" cm="1">
        <f t="array" ref="AQ106">$G$10+VLOOKUP($Q106,武学奇术!$A:$ZZ,7,FALSE)+SUM(_xlfn.XLOOKUP(R106:AF106,增益!$A:$A,增益!$G:$G,0))</f>
        <v>0</v>
      </c>
      <c r="AR106" s="27" cm="1">
        <f t="array" ref="AR106">VLOOKUP($Q106,武学奇术!$A:$ZZ,8,FALSE)+SUM(_xlfn.XLOOKUP(R106:AF106,增益!$A:$A,增益!$H:$H,0))</f>
        <v>0</v>
      </c>
      <c r="AS106">
        <f t="shared" si="43"/>
        <v>0</v>
      </c>
      <c r="AT106">
        <f t="shared" si="44"/>
        <v>0</v>
      </c>
      <c r="AU106" s="35" cm="1">
        <f t="array" ref="AU106">IF($F$11-$I$4+VLOOKUP($Q106,武学奇术!$A:$ZZ,9,FALSE)+SUM(_xlfn.XLOOKUP(R106:AF106,增益!$A:$A,增益!$I:$I,0))&gt;0,($F$11-$I$4+VLOOKUP($Q106,武学奇术!$A:$ZZ,9,FALSE)+SUM(_xlfn.XLOOKUP(R106:AF106,增益!$A:$A,增益!$I:$I,0)))/200,($F$11-$I$4+VLOOKUP($Q106,武学奇术!$A:$ZZ,9,FALSE)+SUM(_xlfn.XLOOKUP(R106:AF106,增益!$A:$A,增益!$I:$I,0)))/100)</f>
        <v>-0.14</v>
      </c>
      <c r="AV106" s="35" cm="1">
        <f t="array" ref="AV106">$G$11+VLOOKUP($Q106,武学奇术!$A:$ZZ,10,FALSE)+SUM(_xlfn.XLOOKUP(R106:AF106,增益!$A:$A,增益!$J:$J,0))</f>
        <v>0.1</v>
      </c>
      <c r="AW106">
        <f t="shared" si="45"/>
        <v>0</v>
      </c>
      <c r="AX106">
        <f t="shared" si="46"/>
        <v>0</v>
      </c>
      <c r="AY106" s="35" cm="1">
        <f t="array" ref="AY106">IF($F$12-$I$4+VLOOKUP($Q106,武学奇术!$A:$ZZ,11,FALSE)+SUM(_xlfn.XLOOKUP(R106:AF106,增益!$A:$A,增益!$K:$K,0))&gt;0,($F$12-$I$4+VLOOKUP($Q106,武学奇术!$A:$ZZ,11,FALSE)+SUM(_xlfn.XLOOKUP(R106:AF106,增益!$A:$A,增益!$K:$K,0)))/200,($F$12-$I$4+VLOOKUP($Q106,武学奇术!$A:$ZZ,11,FALSE)+SUM(_xlfn.XLOOKUP(R106:AF106,增益!$A:$A,增益!$K:$K,0)))/100)</f>
        <v>-0.14</v>
      </c>
      <c r="AZ106" s="35" cm="1">
        <f t="array" ref="AZ106">$G$12+VLOOKUP($Q106,武学奇术!$A:$ZZ,12,FALSE)+SUM(_xlfn.XLOOKUP(R106:AF106,增益!$A:$A,增益!$L:$L,0))</f>
        <v>0</v>
      </c>
      <c r="BA106">
        <f t="shared" si="47"/>
        <v>538</v>
      </c>
      <c r="BB106">
        <f t="shared" si="48"/>
        <v>1011</v>
      </c>
      <c r="BC106" s="35" cm="1">
        <f t="array" ref="BC106">IF($F$13-$I$4+VLOOKUP($Q106,武学奇术!$A:$ZZ,13,FALSE)+SUM(_xlfn.XLOOKUP(R106:AF106,增益!$A:$A,增益!$M:$M,0))&gt;0,($F$13-$I$4+VLOOKUP($Q106,武学奇术!$A:$ZZ,13,FALSE)+SUM(_xlfn.XLOOKUP(R106:AF106,增益!$A:$A,增益!$K:$K,0)))/200,($F$13-$I$4+VLOOKUP($Q106,武学奇术!$A:$ZZ,13,FALSE)+SUM(_xlfn.XLOOKUP(R106:AF106,增益!$A:$A,增益!$M:$M,0)))/100)</f>
        <v>0.08</v>
      </c>
      <c r="BD106" s="35" cm="1">
        <f t="array" ref="BD106">$G$13+VLOOKUP($Q106,武学奇术!$A:$ZZ,14,FALSE)+SUM(_xlfn.XLOOKUP(R106:AF106,增益!$A:$A,增益!$N:$N,0))</f>
        <v>0.15</v>
      </c>
      <c r="BE106">
        <f t="shared" si="49"/>
        <v>0</v>
      </c>
      <c r="BF106">
        <f t="shared" si="50"/>
        <v>0</v>
      </c>
      <c r="BG106" s="35" cm="1">
        <f t="array" ref="BG106">IF($F$14-$I$4+VLOOKUP($Q106,武学奇术!$A:$ZZ,15,FALSE)+SUM(_xlfn.XLOOKUP(R106:AF106,增益!$A:$A,增益!$O:$O,0))&gt;0,($F$14-$I$4+VLOOKUP($Q106,武学奇术!$A:$ZZ,15,FALSE)+SUM(_xlfn.XLOOKUP(R106:AF106,增益!$A:$A,增益!$O:$O,0)))/200,($F$14-$I$4+VLOOKUP($Q106,武学奇术!$A:$ZZ,15,FALSE)+SUM(_xlfn.XLOOKUP(R106:AF106,增益!$A:$A,增益!$O:$O,0)))/100)</f>
        <v>-0.14</v>
      </c>
      <c r="BH106" s="35" cm="1">
        <f t="array" ref="BH106">$G$14+VLOOKUP($Q106,武学奇术!$A:$ZZ,16,FALSE)+SUM(_xlfn.XLOOKUP(R106:AF106,增益!$A:$A,增益!$P:$P,0))</f>
        <v>0</v>
      </c>
      <c r="BI106" s="27">
        <f>MIN(IF(VLOOKUP($Q106,武学奇术!$A:$ZZ,23,FALSE)=1,100%,$B$8),100%)</f>
        <v>0.9969</v>
      </c>
      <c r="BJ106" s="27" cm="1">
        <f t="array" ref="BJ106">IF(VLOOKUP($Q106,武学奇术!$A:$ZZ,23,FALSE)=1,100%,MIN(80%,$B$9+VLOOKUP($Q106,武学奇术!$A:$ZZ,17,FALSE)+SUM(_xlfn.XLOOKUP(R106:AF106,增益!$A:$A,增益!$Q:$Q,0)))+$B$11+SUM(_xlfn.XLOOKUP(R106:AF106,增益!$A:$A,增益!$U:$U,0)))*IF(VLOOKUP($Q106,武学奇术!$A:$ZZ,24,FALSE)=1,0,1)</f>
        <v>0.9137</v>
      </c>
      <c r="BK106" s="27" cm="1">
        <f t="array" ref="BK106">1+$B$13+VLOOKUP($Q106,武学奇术!$A:$ZZ,18,FALSE)+SUM(_xlfn.XLOOKUP(R106:AF106,增益!$A:$A,增益!$R:$R,0))</f>
        <v>1.85</v>
      </c>
      <c r="BL106" s="27" cm="1">
        <f t="array" ref="BL106">IF(VLOOKUP($Q106,武学奇术!$A:$ZZ,24,FALSE)=1,100%,MIN(40%,$B$10+VLOOKUP($Q106,武学奇术!$A:$ZZ,19,FALSE)+SUM(_xlfn.XLOOKUP(R106:AF106,增益!$A:$A,增益!$S:$S,0)))+$B$12+SUM(_xlfn.XLOOKUP(R106:AF106,增益!$A:$A,增益!$V:$V,0)))*IF(VLOOKUP($Q106,武学奇术!$A:$ZZ,23,FALSE)=1,0,1)</f>
        <v>0.0895</v>
      </c>
      <c r="BM106" s="27" cm="1">
        <f t="array" ref="BM106">1+$B$14+VLOOKUP($Q106,武学奇术!$A:$ZZ,20,FALSE)+SUM(_xlfn.XLOOKUP(R106:AF106,增益!$A:$A,增益!$T:$T,0))</f>
        <v>1.35</v>
      </c>
      <c r="BN106" s="27">
        <f t="shared" si="22"/>
        <v>0.90767745</v>
      </c>
      <c r="BO106" s="27">
        <f t="shared" si="32"/>
        <v>-1.30104260698261e-17</v>
      </c>
      <c r="BP106" s="27">
        <f>IF(VLOOKUP($Q106,武学奇术!$A:$ZZ,22,FALSE)=1,0,(1-$BI106))*(1-$BL106)</f>
        <v>0.00282254999999999</v>
      </c>
      <c r="BQ106" s="27" cm="1">
        <f t="array" ref="BQ106">SUM(_xlfn.XLOOKUP(R106:AF106,增益!$A:$A,增益!$W:$W,0))+$I$5</f>
        <v>0.31</v>
      </c>
    </row>
    <row r="107" spans="1:69">
      <c r="A107" s="4" t="s">
        <v>156</v>
      </c>
      <c r="B107" s="4">
        <v>0.5</v>
      </c>
      <c r="D107" s="42" t="s">
        <v>157</v>
      </c>
      <c r="F107">
        <v>3</v>
      </c>
      <c r="K107" s="41">
        <f t="shared" si="42"/>
        <v>410099.565211876</v>
      </c>
      <c r="L107" s="41">
        <f>((($AN107+$AO107)/2*$AH107+$AI107)*(1+$AP107)*(1+$AQ107)+(($AS107+$AT107)/2*IF($G$1="鸣金",$AJ107,$AH107)+IF($G$1="鸣金",$AK107*1.5,0))*(1+$AU107)*(1+$AV107)+(($AW107+$AX107)/2*IF($G$1="裂石",$AJ107,$AH107)+IF($G$1="裂石",$AK107*1.5,0))*(1+$AY107)*(1+$AZ107)+(($BA107+$BB107)/2*IF($G$1="牵丝",$AJ107,$AH107)+IF($G$1="牵丝",$AK107*1.5,0))*(1+$BC107)*(1+$BD107)+(($BE107+$BF107)/2*IF($G$1="破竹",$AJ107,$AH107)+IF($G$1="破竹",$AK107*1.5,0))*(1+$BG107)*(1+$BH107))*(1+$AL107)*$BK107*$P107*(1+IF(VLOOKUP($Q107,武学奇术!$A:$ZZ,30,FALSE)="弹道",$B$21,0))*(1+$BQ107)</f>
        <v>409190.752271928</v>
      </c>
      <c r="M107" s="41">
        <f>(($AO107*$AH107+$AI107)*(1+$AP107)*(1+$AQ107)+($AT107*IF($G$1="鸣金",$AJ107,$AH107)+IF($G$1="鸣金",$AK107*1.5,0))*(1+$AU107)*(1+$AV107)+($AX107*IF($G$1="裂石",$AJ107,$AH107)+IF($G$1="裂石",$AK107*1.5,0))*(1+$AY107)*(1+$AZ107)+($BB107*IF($G$1="牵丝",$AJ107,$AH107)+IF($G$1="牵丝",$AK107*1.5,0))*(1+$BC107)*(1+$BD107)+($BF107*IF($G$1="破竹",$AJ107,$AH107)+IF($G$1="破竹",$AK107*1.5,0))*(1+$BG107)*(1+$BH107))*(1+$AL107)*$BM107*$P107*(1+IF(VLOOKUP($Q107,武学奇术!$A:$ZZ,30,FALSE)="弹道",$B$21,0))*(1+$BQ107)</f>
        <v>428304.231532999</v>
      </c>
      <c r="N107" s="41">
        <f>((($AN107+$AO107)/2*$AH107+$AI107)*(1+$AP107)*(1+$AQ107)+(($AS107+$AT107)/2*IF($G$1="鸣金",$AJ107,$AH107)+IF($G$1="鸣金",$AK107*1.5,0))*(1+$AU107)*(1+$AV107)+(($AW107+$AX107)/2*IF($G$1="裂石",$AJ107,$AH107)+IF($G$1="裂石",$AK107*1.5,0))*(1+$AY107)*(1+$AZ107)+(($BA107+$BB107)/2*IF($G$1="牵丝",$AJ107,$AH107)+IF($G$1="牵丝",$AK107*1.5,0))*(1+$BC107)*(1+$BD107)+(($BE107+$BF107)/2*IF($G$1="破竹",$AJ107,$AH107)+IF($G$1="破竹",$AK107*1.5,0))*(1+$BG107)*(1+$BH107))*(1+$AL107)*$P107*(1+IF(VLOOKUP($Q107,武学奇术!$A:$ZZ,30,FALSE)="弹道",$B$21,0))*(1+$BQ107)</f>
        <v>221184.190417259</v>
      </c>
      <c r="O107" s="41">
        <f>((($AN107*$AH107+$AI107)*(1+$AP107)*(1+$AQ107)+($AS107*IF($G$1="鸣金",$AJ107,$AH107)+IF($G$1="鸣金",$AK107*1.5,0))*(1+$AU107)*(1+$AV107)+($AW107*IF($G$1="裂石",$AJ107,$AH107)+IF($G$1="裂石",$AK107*1.5,0))*(1+$AY107)*(1+$AZ107)+($BA107*IF($G$1="牵丝",$AJ107,$AH107)+IF($G$1="牵丝",$AK107*1.5,0))*(1+$BC107)*(1+$BD107)+($BE107*IF($G$1="破竹",$AJ107,$AH107)+IF($G$1="破竹",$AK107*1.5,0))*(1+$BG107)*(1+$BH107))*(1+$AL107))*$P107*(1+IF(VLOOKUP($Q107,武学奇术!$A:$ZZ,30,FALSE)="弹道",$B$21,0))*(1+$BQ107)</f>
        <v>125105.98710637</v>
      </c>
      <c r="P107" s="42">
        <v>9</v>
      </c>
      <c r="Q107" s="43" t="s">
        <v>173</v>
      </c>
      <c r="R107" s="43" t="s">
        <v>93</v>
      </c>
      <c r="S107" s="43" t="s">
        <v>158</v>
      </c>
      <c r="T107" s="43" t="s">
        <v>73</v>
      </c>
      <c r="U107" s="43" t="s">
        <v>159</v>
      </c>
      <c r="V107" s="43" t="s">
        <v>73</v>
      </c>
      <c r="W107" s="43" t="s">
        <v>73</v>
      </c>
      <c r="X107" s="43" t="s">
        <v>73</v>
      </c>
      <c r="Y107" s="43" t="s">
        <v>164</v>
      </c>
      <c r="Z107" s="43" t="s">
        <v>73</v>
      </c>
      <c r="AA107" s="43" t="s">
        <v>73</v>
      </c>
      <c r="AB107" s="43" t="s">
        <v>80</v>
      </c>
      <c r="AC107" s="43" t="s">
        <v>165</v>
      </c>
      <c r="AD107" s="43" t="s">
        <v>166</v>
      </c>
      <c r="AE107" s="43" t="s">
        <v>73</v>
      </c>
      <c r="AF107" s="43" t="s">
        <v>75</v>
      </c>
      <c r="AG107" t="str">
        <f>VLOOKUP($Q107,武学奇术!$A:$ZZ,25,FALSE)</f>
        <v>单体奇术</v>
      </c>
      <c r="AH107" s="27">
        <f>VLOOKUP($Q107,武学奇术!$A:$ZZ,26,FALSE)</f>
        <v>1.6088</v>
      </c>
      <c r="AI107" s="28">
        <f>VLOOKUP($Q107,武学奇术!$A:$ZZ,27,FALSE)*(1+IF(OR($AG107=$F$4,$AG107=$F$5),$B$22,0))</f>
        <v>297</v>
      </c>
      <c r="AJ107" s="27">
        <f>VLOOKUP($Q107,武学奇术!$A:$ZZ,28,FALSE)</f>
        <v>2.4132</v>
      </c>
      <c r="AK107" s="28">
        <f>VLOOKUP($Q107,武学奇术!$A:$ZZ,29,FALSE)*(1+IF(OR($AG107=$F$4,$AG107=$F$5),$B$22,0))</f>
        <v>0</v>
      </c>
      <c r="AL107" s="27" cm="1">
        <f t="array" ref="AL107">$G$3+IFERROR(VLOOKUP($AG107,$F$4:$G$7,2,FALSE),0)+VLOOKUP($Q107,武学奇术!$A:$ZZ,2,FALSE)+SUM(_xlfn.XLOOKUP($R107:$AF107,增益!$A:$A,增益!$B:$B,0))</f>
        <v>0.5015</v>
      </c>
      <c r="AM107" s="27" cm="1">
        <f t="array" ref="AM107">VLOOKUP($Q107,武学奇术!$A:$ZZ,5,FALSE)+SUM(_xlfn.XLOOKUP($R107:$AF107,增益!$A:$A,增益!$E:$E,0))</f>
        <v>0.15</v>
      </c>
      <c r="AN107" cm="1">
        <f t="array" ref="AN107">$D$10*(1+$AM107)+VLOOKUP($Q107,武学奇术!$A:$ZZ,3,FALSE)+SUM(_xlfn.XLOOKUP($R107:$AF107,增益!$A:$A,增益!$C:$C,0))-$I$2</f>
        <v>2125.755</v>
      </c>
      <c r="AO107" cm="1">
        <f t="array" ref="AO107">$E$10*(1+$AM107)+VLOOKUP($Q107,武学奇术!$A:$ZZ,4,FALSE)+SUM(_xlfn.XLOOKUP($R107:$AF107,增益!$A:$A,增益!$D:$D,0))-$I$2</f>
        <v>6122.925</v>
      </c>
      <c r="AP107" s="35" cm="1">
        <f t="array" ref="AP107">IF($F$10-$I$3+VLOOKUP($Q107,武学奇术!$A:$ZZ,6,FALSE)+SUM(_xlfn.XLOOKUP(R107:AF107,增益!$A:$A,增益!$F:$F,0))&gt;0,($F$10-$I$3+VLOOKUP($Q107,武学奇术!$A:$ZZ,6,FALSE)+SUM(_xlfn.XLOOKUP(R107:AF107,增益!$A:$A,增益!$F:$F,0)))/200,($F$10-$I$3+VLOOKUP($Q107,武学奇术!$A:$ZZ,6,FALSE)+SUM(_xlfn.XLOOKUP(R107:AF107,增益!$A:$A,增益!$F:$F,0)))/100)</f>
        <v>0.4675</v>
      </c>
      <c r="AQ107" s="35" cm="1">
        <f t="array" ref="AQ107">$G$10+VLOOKUP($Q107,武学奇术!$A:$ZZ,7,FALSE)+SUM(_xlfn.XLOOKUP(R107:AF107,增益!$A:$A,增益!$G:$G,0))</f>
        <v>0</v>
      </c>
      <c r="AR107" s="27" cm="1">
        <f t="array" ref="AR107">VLOOKUP($Q107,武学奇术!$A:$ZZ,8,FALSE)+SUM(_xlfn.XLOOKUP(R107:AF107,增益!$A:$A,增益!$H:$H,0))</f>
        <v>0</v>
      </c>
      <c r="AS107">
        <f t="shared" si="43"/>
        <v>0</v>
      </c>
      <c r="AT107">
        <f t="shared" si="44"/>
        <v>0</v>
      </c>
      <c r="AU107" s="35" cm="1">
        <f t="array" ref="AU107">IF($F$11-$I$4+VLOOKUP($Q107,武学奇术!$A:$ZZ,9,FALSE)+SUM(_xlfn.XLOOKUP(R107:AF107,增益!$A:$A,增益!$I:$I,0))&gt;0,($F$11-$I$4+VLOOKUP($Q107,武学奇术!$A:$ZZ,9,FALSE)+SUM(_xlfn.XLOOKUP(R107:AF107,增益!$A:$A,增益!$I:$I,0)))/200,($F$11-$I$4+VLOOKUP($Q107,武学奇术!$A:$ZZ,9,FALSE)+SUM(_xlfn.XLOOKUP(R107:AF107,增益!$A:$A,增益!$I:$I,0)))/100)</f>
        <v>-0.14</v>
      </c>
      <c r="AV107" s="35" cm="1">
        <f t="array" ref="AV107">$G$11+VLOOKUP($Q107,武学奇术!$A:$ZZ,10,FALSE)+SUM(_xlfn.XLOOKUP(R107:AF107,增益!$A:$A,增益!$J:$J,0))</f>
        <v>0.1</v>
      </c>
      <c r="AW107">
        <f t="shared" si="45"/>
        <v>0</v>
      </c>
      <c r="AX107">
        <f t="shared" si="46"/>
        <v>0</v>
      </c>
      <c r="AY107" s="35" cm="1">
        <f t="array" ref="AY107">IF($F$12-$I$4+VLOOKUP($Q107,武学奇术!$A:$ZZ,11,FALSE)+SUM(_xlfn.XLOOKUP(R107:AF107,增益!$A:$A,增益!$K:$K,0))&gt;0,($F$12-$I$4+VLOOKUP($Q107,武学奇术!$A:$ZZ,11,FALSE)+SUM(_xlfn.XLOOKUP(R107:AF107,增益!$A:$A,增益!$K:$K,0)))/200,($F$12-$I$4+VLOOKUP($Q107,武学奇术!$A:$ZZ,11,FALSE)+SUM(_xlfn.XLOOKUP(R107:AF107,增益!$A:$A,增益!$K:$K,0)))/100)</f>
        <v>-0.14</v>
      </c>
      <c r="AZ107" s="35" cm="1">
        <f t="array" ref="AZ107">$G$12+VLOOKUP($Q107,武学奇术!$A:$ZZ,12,FALSE)+SUM(_xlfn.XLOOKUP(R107:AF107,增益!$A:$A,增益!$L:$L,0))</f>
        <v>0</v>
      </c>
      <c r="BA107">
        <f t="shared" si="47"/>
        <v>538</v>
      </c>
      <c r="BB107">
        <f t="shared" si="48"/>
        <v>1011</v>
      </c>
      <c r="BC107" s="35" cm="1">
        <f t="array" ref="BC107">IF($F$13-$I$4+VLOOKUP($Q107,武学奇术!$A:$ZZ,13,FALSE)+SUM(_xlfn.XLOOKUP(R107:AF107,增益!$A:$A,增益!$M:$M,0))&gt;0,($F$13-$I$4+VLOOKUP($Q107,武学奇术!$A:$ZZ,13,FALSE)+SUM(_xlfn.XLOOKUP(R107:AF107,增益!$A:$A,增益!$K:$K,0)))/200,($F$13-$I$4+VLOOKUP($Q107,武学奇术!$A:$ZZ,13,FALSE)+SUM(_xlfn.XLOOKUP(R107:AF107,增益!$A:$A,增益!$M:$M,0)))/100)</f>
        <v>0.08</v>
      </c>
      <c r="BD107" s="35" cm="1">
        <f t="array" ref="BD107">$G$13+VLOOKUP($Q107,武学奇术!$A:$ZZ,14,FALSE)+SUM(_xlfn.XLOOKUP(R107:AF107,增益!$A:$A,增益!$N:$N,0))</f>
        <v>0.15</v>
      </c>
      <c r="BE107">
        <f t="shared" si="49"/>
        <v>0</v>
      </c>
      <c r="BF107">
        <f t="shared" si="50"/>
        <v>0</v>
      </c>
      <c r="BG107" s="35" cm="1">
        <f t="array" ref="BG107">IF($F$14-$I$4+VLOOKUP($Q107,武学奇术!$A:$ZZ,15,FALSE)+SUM(_xlfn.XLOOKUP(R107:AF107,增益!$A:$A,增益!$O:$O,0))&gt;0,($F$14-$I$4+VLOOKUP($Q107,武学奇术!$A:$ZZ,15,FALSE)+SUM(_xlfn.XLOOKUP(R107:AF107,增益!$A:$A,增益!$O:$O,0)))/200,($F$14-$I$4+VLOOKUP($Q107,武学奇术!$A:$ZZ,15,FALSE)+SUM(_xlfn.XLOOKUP(R107:AF107,增益!$A:$A,增益!$O:$O,0)))/100)</f>
        <v>-0.14</v>
      </c>
      <c r="BH107" s="35" cm="1">
        <f t="array" ref="BH107">$G$14+VLOOKUP($Q107,武学奇术!$A:$ZZ,16,FALSE)+SUM(_xlfn.XLOOKUP(R107:AF107,增益!$A:$A,增益!$P:$P,0))</f>
        <v>0</v>
      </c>
      <c r="BI107" s="27">
        <f>MIN(IF(VLOOKUP($Q107,武学奇术!$A:$ZZ,23,FALSE)=1,100%,$B$8),100%)</f>
        <v>0.9969</v>
      </c>
      <c r="BJ107" s="27" cm="1">
        <f t="array" ref="BJ107">IF(VLOOKUP($Q107,武学奇术!$A:$ZZ,23,FALSE)=1,100%,MIN(80%,$B$9+VLOOKUP($Q107,武学奇术!$A:$ZZ,17,FALSE)+SUM(_xlfn.XLOOKUP(R107:AF107,增益!$A:$A,增益!$Q:$Q,0)))+$B$11+SUM(_xlfn.XLOOKUP(R107:AF107,增益!$A:$A,增益!$U:$U,0)))*IF(VLOOKUP($Q107,武学奇术!$A:$ZZ,24,FALSE)=1,0,1)</f>
        <v>0.9137</v>
      </c>
      <c r="BK107" s="27" cm="1">
        <f t="array" ref="BK107">1+$B$13+VLOOKUP($Q107,武学奇术!$A:$ZZ,18,FALSE)+SUM(_xlfn.XLOOKUP(R107:AF107,增益!$A:$A,增益!$R:$R,0))</f>
        <v>1.85</v>
      </c>
      <c r="BL107" s="27" cm="1">
        <f t="array" ref="BL107">IF(VLOOKUP($Q107,武学奇术!$A:$ZZ,24,FALSE)=1,100%,MIN(40%,$B$10+VLOOKUP($Q107,武学奇术!$A:$ZZ,19,FALSE)+SUM(_xlfn.XLOOKUP(R107:AF107,增益!$A:$A,增益!$S:$S,0)))+$B$12+SUM(_xlfn.XLOOKUP(R107:AF107,增益!$A:$A,增益!$V:$V,0)))*IF(VLOOKUP($Q107,武学奇术!$A:$ZZ,23,FALSE)=1,0,1)</f>
        <v>0.0895</v>
      </c>
      <c r="BM107" s="27" cm="1">
        <f t="array" ref="BM107">1+$B$14+VLOOKUP($Q107,武学奇术!$A:$ZZ,20,FALSE)+SUM(_xlfn.XLOOKUP(R107:AF107,增益!$A:$A,增益!$T:$T,0))</f>
        <v>1.35</v>
      </c>
      <c r="BN107" s="27">
        <f t="shared" si="22"/>
        <v>0.90767745</v>
      </c>
      <c r="BO107" s="27">
        <f t="shared" si="32"/>
        <v>-1.30104260698261e-17</v>
      </c>
      <c r="BP107" s="27">
        <f>IF(VLOOKUP($Q107,武学奇术!$A:$ZZ,22,FALSE)=1,0,(1-$BI107))*(1-$BL107)</f>
        <v>0.00282254999999999</v>
      </c>
      <c r="BQ107" s="27" cm="1">
        <f t="array" ref="BQ107">SUM(_xlfn.XLOOKUP(R107:AF107,增益!$A:$A,增益!$W:$W,0))+$I$5</f>
        <v>0.31</v>
      </c>
    </row>
    <row r="108" spans="1:69">
      <c r="A108" s="4" t="s">
        <v>97</v>
      </c>
      <c r="B108" s="4">
        <v>1.25</v>
      </c>
      <c r="D108" s="42"/>
      <c r="F108">
        <v>16</v>
      </c>
      <c r="K108" s="41">
        <f t="shared" si="42"/>
        <v>98281.3876870057</v>
      </c>
      <c r="L108" s="41">
        <f>((($AN108+$AO108)/2*$AH108+$AI108)*(1+$AP108)*(1+$AQ108)+(($AS108+$AT108)/2*IF($G$1="鸣金",$AJ108,$AH108)+IF($G$1="鸣金",$AK108*1.5,0))*(1+$AU108)*(1+$AV108)+(($AW108+$AX108)/2*IF($G$1="裂石",$AJ108,$AH108)+IF($G$1="裂石",$AK108*1.5,0))*(1+$AY108)*(1+$AZ108)+(($BA108+$BB108)/2*IF($G$1="牵丝",$AJ108,$AH108)+IF($G$1="牵丝",$AK108*1.5,0))*(1+$BC108)*(1+$BD108)+(($BE108+$BF108)/2*IF($G$1="破竹",$AJ108,$AH108)+IF($G$1="破竹",$AK108*1.5,0))*(1+$BG108)*(1+$BH108))*(1+$AL108)*$BK108*$P108*(1+IF(VLOOKUP($Q108,武学奇术!$A:$ZZ,30,FALSE)="弹道",$B$21,0))*(1+$BQ108)</f>
        <v>98063.5867108052</v>
      </c>
      <c r="M108" s="41">
        <f>(($AO108*$AH108+$AI108)*(1+$AP108)*(1+$AQ108)+($AT108*IF($G$1="鸣金",$AJ108,$AH108)+IF($G$1="鸣金",$AK108*1.5,0))*(1+$AU108)*(1+$AV108)+($AX108*IF($G$1="裂石",$AJ108,$AH108)+IF($G$1="裂石",$AK108*1.5,0))*(1+$AY108)*(1+$AZ108)+($BB108*IF($G$1="牵丝",$AJ108,$AH108)+IF($G$1="牵丝",$AK108*1.5,0))*(1+$BC108)*(1+$BD108)+($BF108*IF($G$1="破竹",$AJ108,$AH108)+IF($G$1="破竹",$AK108*1.5,0))*(1+$BG108)*(1+$BH108))*(1+$AL108)*$BM108*$P108*(1+IF(VLOOKUP($Q108,武学奇术!$A:$ZZ,30,FALSE)="弹道",$B$21,0))*(1+$BQ108)</f>
        <v>102644.199053911</v>
      </c>
      <c r="N108" s="41">
        <f>((($AN108+$AO108)/2*$AH108+$AI108)*(1+$AP108)*(1+$AQ108)+(($AS108+$AT108)/2*IF($G$1="鸣金",$AJ108,$AH108)+IF($G$1="鸣金",$AK108*1.5,0))*(1+$AU108)*(1+$AV108)+(($AW108+$AX108)/2*IF($G$1="裂石",$AJ108,$AH108)+IF($G$1="裂石",$AK108*1.5,0))*(1+$AY108)*(1+$AZ108)+(($BA108+$BB108)/2*IF($G$1="牵丝",$AJ108,$AH108)+IF($G$1="牵丝",$AK108*1.5,0))*(1+$BC108)*(1+$BD108)+(($BE108+$BF108)/2*IF($G$1="破竹",$AJ108,$AH108)+IF($G$1="破竹",$AK108*1.5,0))*(1+$BG108)*(1+$BH108))*(1+$AL108)*$P108*(1+IF(VLOOKUP($Q108,武学奇术!$A:$ZZ,30,FALSE)="弹道",$B$21,0))*(1+$BQ108)</f>
        <v>53007.3441680028</v>
      </c>
      <c r="O108" s="41">
        <f>((($AN108*$AH108+$AI108)*(1+$AP108)*(1+$AQ108)+($AS108*IF($G$1="鸣金",$AJ108,$AH108)+IF($G$1="鸣金",$AK108*1.5,0))*(1+$AU108)*(1+$AV108)+($AW108*IF($G$1="裂石",$AJ108,$AH108)+IF($G$1="裂石",$AK108*1.5,0))*(1+$AY108)*(1+$AZ108)+($BA108*IF($G$1="牵丝",$AJ108,$AH108)+IF($G$1="牵丝",$AK108*1.5,0))*(1+$BC108)*(1+$BD108)+($BE108*IF($G$1="破竹",$AJ108,$AH108)+IF($G$1="破竹",$AK108*1.5,0))*(1+$BG108)*(1+$BH108))*(1+$AL108))*$P108*(1+IF(VLOOKUP($Q108,武学奇术!$A:$ZZ,30,FALSE)="弹道",$B$21,0))*(1+$BQ108)</f>
        <v>29981.9482960717</v>
      </c>
      <c r="P108" s="42">
        <v>4</v>
      </c>
      <c r="Q108" s="43" t="s">
        <v>171</v>
      </c>
      <c r="R108" s="43" t="s">
        <v>93</v>
      </c>
      <c r="S108" s="43" t="s">
        <v>158</v>
      </c>
      <c r="T108" s="43" t="s">
        <v>73</v>
      </c>
      <c r="U108" s="43" t="s">
        <v>159</v>
      </c>
      <c r="V108" s="43" t="s">
        <v>73</v>
      </c>
      <c r="W108" s="43" t="s">
        <v>73</v>
      </c>
      <c r="X108" s="43" t="s">
        <v>73</v>
      </c>
      <c r="Y108" s="43" t="s">
        <v>164</v>
      </c>
      <c r="Z108" s="43" t="s">
        <v>73</v>
      </c>
      <c r="AA108" s="43" t="s">
        <v>73</v>
      </c>
      <c r="AB108" s="43" t="s">
        <v>80</v>
      </c>
      <c r="AC108" s="43" t="s">
        <v>73</v>
      </c>
      <c r="AD108" s="43" t="s">
        <v>73</v>
      </c>
      <c r="AE108" s="43" t="s">
        <v>73</v>
      </c>
      <c r="AF108" s="43" t="s">
        <v>75</v>
      </c>
      <c r="AG108" t="str">
        <f>VLOOKUP($Q108,武学奇术!$A:$ZZ,25,FALSE)</f>
        <v>单体奇术</v>
      </c>
      <c r="AH108" s="27">
        <f>VLOOKUP($Q108,武学奇术!$A:$ZZ,26,FALSE)</f>
        <v>1.0238</v>
      </c>
      <c r="AI108" s="28">
        <f>VLOOKUP($Q108,武学奇术!$A:$ZZ,27,FALSE)*(1+IF(OR($AG108=$F$4,$AG108=$F$5),$B$22,0))</f>
        <v>189</v>
      </c>
      <c r="AJ108" s="27">
        <f>VLOOKUP($Q108,武学奇术!$A:$ZZ,28,FALSE)</f>
        <v>1.5357</v>
      </c>
      <c r="AK108" s="28">
        <f>VLOOKUP($Q108,武学奇术!$A:$ZZ,29,FALSE)*(1+IF(OR($AG108=$F$4,$AG108=$F$5),$B$22,0))</f>
        <v>0</v>
      </c>
      <c r="AL108" s="27" cm="1">
        <f t="array" ref="AL108">$G$3+IFERROR(VLOOKUP($AG108,$F$4:$G$7,2,FALSE),0)+VLOOKUP($Q108,武学奇术!$A:$ZZ,2,FALSE)+SUM(_xlfn.XLOOKUP($R108:$AF108,增益!$A:$A,增益!$B:$B,0))</f>
        <v>0.5015</v>
      </c>
      <c r="AM108" s="27" cm="1">
        <f t="array" ref="AM108">VLOOKUP($Q108,武学奇术!$A:$ZZ,5,FALSE)+SUM(_xlfn.XLOOKUP($R108:$AF108,增益!$A:$A,增益!$E:$E,0))</f>
        <v>0.15</v>
      </c>
      <c r="AN108" cm="1">
        <f t="array" ref="AN108">$D$10*(1+$AM108)+VLOOKUP($Q108,武学奇术!$A:$ZZ,3,FALSE)+SUM(_xlfn.XLOOKUP($R108:$AF108,增益!$A:$A,增益!$C:$C,0))-$I$2</f>
        <v>2125.755</v>
      </c>
      <c r="AO108" cm="1">
        <f t="array" ref="AO108">$E$10*(1+$AM108)+VLOOKUP($Q108,武学奇术!$A:$ZZ,4,FALSE)+SUM(_xlfn.XLOOKUP($R108:$AF108,增益!$A:$A,增益!$D:$D,0))-$I$2</f>
        <v>6122.925</v>
      </c>
      <c r="AP108" s="35" cm="1">
        <f t="array" ref="AP108">IF($F$10-$I$3+VLOOKUP($Q108,武学奇术!$A:$ZZ,6,FALSE)+SUM(_xlfn.XLOOKUP(R108:AF108,增益!$A:$A,增益!$F:$F,0))&gt;0,($F$10-$I$3+VLOOKUP($Q108,武学奇术!$A:$ZZ,6,FALSE)+SUM(_xlfn.XLOOKUP(R108:AF108,增益!$A:$A,增益!$F:$F,0)))/200,($F$10-$I$3+VLOOKUP($Q108,武学奇术!$A:$ZZ,6,FALSE)+SUM(_xlfn.XLOOKUP(R108:AF108,增益!$A:$A,增益!$F:$F,0)))/100)</f>
        <v>0.4675</v>
      </c>
      <c r="AQ108" s="35" cm="1">
        <f t="array" ref="AQ108">$G$10+VLOOKUP($Q108,武学奇术!$A:$ZZ,7,FALSE)+SUM(_xlfn.XLOOKUP(R108:AF108,增益!$A:$A,增益!$G:$G,0))</f>
        <v>0</v>
      </c>
      <c r="AR108" s="27" cm="1">
        <f t="array" ref="AR108">VLOOKUP($Q108,武学奇术!$A:$ZZ,8,FALSE)+SUM(_xlfn.XLOOKUP(R108:AF108,增益!$A:$A,增益!$H:$H,0))</f>
        <v>0</v>
      </c>
      <c r="AS108">
        <f t="shared" si="43"/>
        <v>0</v>
      </c>
      <c r="AT108">
        <f t="shared" si="44"/>
        <v>0</v>
      </c>
      <c r="AU108" s="35" cm="1">
        <f t="array" ref="AU108">IF($F$11-$I$4+VLOOKUP($Q108,武学奇术!$A:$ZZ,9,FALSE)+SUM(_xlfn.XLOOKUP(R108:AF108,增益!$A:$A,增益!$I:$I,0))&gt;0,($F$11-$I$4+VLOOKUP($Q108,武学奇术!$A:$ZZ,9,FALSE)+SUM(_xlfn.XLOOKUP(R108:AF108,增益!$A:$A,增益!$I:$I,0)))/200,($F$11-$I$4+VLOOKUP($Q108,武学奇术!$A:$ZZ,9,FALSE)+SUM(_xlfn.XLOOKUP(R108:AF108,增益!$A:$A,增益!$I:$I,0)))/100)</f>
        <v>-0.14</v>
      </c>
      <c r="AV108" s="35" cm="1">
        <f t="array" ref="AV108">$G$11+VLOOKUP($Q108,武学奇术!$A:$ZZ,10,FALSE)+SUM(_xlfn.XLOOKUP(R108:AF108,增益!$A:$A,增益!$J:$J,0))</f>
        <v>0</v>
      </c>
      <c r="AW108">
        <f t="shared" si="45"/>
        <v>0</v>
      </c>
      <c r="AX108">
        <f t="shared" si="46"/>
        <v>0</v>
      </c>
      <c r="AY108" s="35" cm="1">
        <f t="array" ref="AY108">IF($F$12-$I$4+VLOOKUP($Q108,武学奇术!$A:$ZZ,11,FALSE)+SUM(_xlfn.XLOOKUP(R108:AF108,增益!$A:$A,增益!$K:$K,0))&gt;0,($F$12-$I$4+VLOOKUP($Q108,武学奇术!$A:$ZZ,11,FALSE)+SUM(_xlfn.XLOOKUP(R108:AF108,增益!$A:$A,增益!$K:$K,0)))/200,($F$12-$I$4+VLOOKUP($Q108,武学奇术!$A:$ZZ,11,FALSE)+SUM(_xlfn.XLOOKUP(R108:AF108,增益!$A:$A,增益!$K:$K,0)))/100)</f>
        <v>-0.14</v>
      </c>
      <c r="AZ108" s="35" cm="1">
        <f t="array" ref="AZ108">$G$12+VLOOKUP($Q108,武学奇术!$A:$ZZ,12,FALSE)+SUM(_xlfn.XLOOKUP(R108:AF108,增益!$A:$A,增益!$L:$L,0))</f>
        <v>0</v>
      </c>
      <c r="BA108">
        <f t="shared" si="47"/>
        <v>538</v>
      </c>
      <c r="BB108">
        <f t="shared" si="48"/>
        <v>1011</v>
      </c>
      <c r="BC108" s="35" cm="1">
        <f t="array" ref="BC108">IF($F$13-$I$4+VLOOKUP($Q108,武学奇术!$A:$ZZ,13,FALSE)+SUM(_xlfn.XLOOKUP(R108:AF108,增益!$A:$A,增益!$M:$M,0))&gt;0,($F$13-$I$4+VLOOKUP($Q108,武学奇术!$A:$ZZ,13,FALSE)+SUM(_xlfn.XLOOKUP(R108:AF108,增益!$A:$A,增益!$K:$K,0)))/200,($F$13-$I$4+VLOOKUP($Q108,武学奇术!$A:$ZZ,13,FALSE)+SUM(_xlfn.XLOOKUP(R108:AF108,增益!$A:$A,增益!$M:$M,0)))/100)</f>
        <v>0.08</v>
      </c>
      <c r="BD108" s="35" cm="1">
        <f t="array" ref="BD108">$G$13+VLOOKUP($Q108,武学奇术!$A:$ZZ,14,FALSE)+SUM(_xlfn.XLOOKUP(R108:AF108,增益!$A:$A,增益!$N:$N,0))</f>
        <v>0.15</v>
      </c>
      <c r="BE108">
        <f t="shared" si="49"/>
        <v>0</v>
      </c>
      <c r="BF108">
        <f t="shared" si="50"/>
        <v>0</v>
      </c>
      <c r="BG108" s="35" cm="1">
        <f t="array" ref="BG108">IF($F$14-$I$4+VLOOKUP($Q108,武学奇术!$A:$ZZ,15,FALSE)+SUM(_xlfn.XLOOKUP(R108:AF108,增益!$A:$A,增益!$O:$O,0))&gt;0,($F$14-$I$4+VLOOKUP($Q108,武学奇术!$A:$ZZ,15,FALSE)+SUM(_xlfn.XLOOKUP(R108:AF108,增益!$A:$A,增益!$O:$O,0)))/200,($F$14-$I$4+VLOOKUP($Q108,武学奇术!$A:$ZZ,15,FALSE)+SUM(_xlfn.XLOOKUP(R108:AF108,增益!$A:$A,增益!$O:$O,0)))/100)</f>
        <v>-0.14</v>
      </c>
      <c r="BH108" s="35" cm="1">
        <f t="array" ref="BH108">$G$14+VLOOKUP($Q108,武学奇术!$A:$ZZ,16,FALSE)+SUM(_xlfn.XLOOKUP(R108:AF108,增益!$A:$A,增益!$P:$P,0))</f>
        <v>0</v>
      </c>
      <c r="BI108" s="27">
        <f>MIN(IF(VLOOKUP($Q108,武学奇术!$A:$ZZ,23,FALSE)=1,100%,$B$8),100%)</f>
        <v>0.9969</v>
      </c>
      <c r="BJ108" s="27" cm="1">
        <f t="array" ref="BJ108">IF(VLOOKUP($Q108,武学奇术!$A:$ZZ,23,FALSE)=1,100%,MIN(80%,$B$9+VLOOKUP($Q108,武学奇术!$A:$ZZ,17,FALSE)+SUM(_xlfn.XLOOKUP(R108:AF108,增益!$A:$A,增益!$Q:$Q,0)))+$B$11+SUM(_xlfn.XLOOKUP(R108:AF108,增益!$A:$A,增益!$U:$U,0)))*IF(VLOOKUP($Q108,武学奇术!$A:$ZZ,24,FALSE)=1,0,1)</f>
        <v>0.9137</v>
      </c>
      <c r="BK108" s="27" cm="1">
        <f t="array" ref="BK108">1+$B$13+VLOOKUP($Q108,武学奇术!$A:$ZZ,18,FALSE)+SUM(_xlfn.XLOOKUP(R108:AF108,增益!$A:$A,增益!$R:$R,0))</f>
        <v>1.85</v>
      </c>
      <c r="BL108" s="27" cm="1">
        <f t="array" ref="BL108">IF(VLOOKUP($Q108,武学奇术!$A:$ZZ,24,FALSE)=1,100%,MIN(40%,$B$10+VLOOKUP($Q108,武学奇术!$A:$ZZ,19,FALSE)+SUM(_xlfn.XLOOKUP(R108:AF108,增益!$A:$A,增益!$S:$S,0)))+$B$12+SUM(_xlfn.XLOOKUP(R108:AF108,增益!$A:$A,增益!$V:$V,0)))*IF(VLOOKUP($Q108,武学奇术!$A:$ZZ,23,FALSE)=1,0,1)</f>
        <v>0.0895</v>
      </c>
      <c r="BM108" s="27" cm="1">
        <f t="array" ref="BM108">1+$B$14+VLOOKUP($Q108,武学奇术!$A:$ZZ,20,FALSE)+SUM(_xlfn.XLOOKUP(R108:AF108,增益!$A:$A,增益!$T:$T,0))</f>
        <v>1.35</v>
      </c>
      <c r="BN108" s="27">
        <f t="shared" si="22"/>
        <v>0.90767745</v>
      </c>
      <c r="BO108" s="27">
        <f t="shared" si="32"/>
        <v>-1.30104260698261e-17</v>
      </c>
      <c r="BP108" s="27">
        <f>IF(VLOOKUP($Q108,武学奇术!$A:$ZZ,22,FALSE)=1,0,(1-$BI108))*(1-$BL108)</f>
        <v>0.00282254999999999</v>
      </c>
      <c r="BQ108" s="27" cm="1">
        <f t="array" ref="BQ108">SUM(_xlfn.XLOOKUP(R108:AF108,增益!$A:$A,增益!$W:$W,0))+$I$5</f>
        <v>0.11</v>
      </c>
    </row>
    <row r="109" spans="1:69">
      <c r="A109" s="4" t="s">
        <v>97</v>
      </c>
      <c r="B109" s="4">
        <v>1.25</v>
      </c>
      <c r="D109" s="42"/>
      <c r="K109" s="41">
        <f t="shared" si="42"/>
        <v>125535.766961745</v>
      </c>
      <c r="L109" s="41">
        <f>((($AN109+$AO109)/2*$AH109+$AI109)*(1+$AP109)*(1+$AQ109)+(($AS109+$AT109)/2*IF($G$1="鸣金",$AJ109,$AH109)+IF($G$1="鸣金",$AK109*1.5,0))*(1+$AU109)*(1+$AV109)+(($AW109+$AX109)/2*IF($G$1="裂石",$AJ109,$AH109)+IF($G$1="裂石",$AK109*1.5,0))*(1+$AY109)*(1+$AZ109)+(($BA109+$BB109)/2*IF($G$1="牵丝",$AJ109,$AH109)+IF($G$1="牵丝",$AK109*1.5,0))*(1+$BC109)*(1+$BD109)+(($BE109+$BF109)/2*IF($G$1="破竹",$AJ109,$AH109)+IF($G$1="破竹",$AK109*1.5,0))*(1+$BG109)*(1+$BH109))*(1+$AL109)*$BK109*$P109*(1+IF(VLOOKUP($Q109,武学奇术!$A:$ZZ,30,FALSE)="弹道",$B$21,0))*(1+$BQ109)</f>
        <v>125257.570028264</v>
      </c>
      <c r="M109" s="41">
        <f>(($AO109*$AH109+$AI109)*(1+$AP109)*(1+$AQ109)+($AT109*IF($G$1="鸣金",$AJ109,$AH109)+IF($G$1="鸣金",$AK109*1.5,0))*(1+$AU109)*(1+$AV109)+($AX109*IF($G$1="裂石",$AJ109,$AH109)+IF($G$1="裂石",$AK109*1.5,0))*(1+$AY109)*(1+$AZ109)+($BB109*IF($G$1="牵丝",$AJ109,$AH109)+IF($G$1="牵丝",$AK109*1.5,0))*(1+$BC109)*(1+$BD109)+($BF109*IF($G$1="破竹",$AJ109,$AH109)+IF($G$1="破竹",$AK109*1.5,0))*(1+$BG109)*(1+$BH109))*(1+$AL109)*$BM109*$P109*(1+IF(VLOOKUP($Q109,武学奇术!$A:$ZZ,30,FALSE)="弹道",$B$21,0))*(1+$BQ109)</f>
        <v>131108.403526423</v>
      </c>
      <c r="N109" s="41">
        <f>((($AN109+$AO109)/2*$AH109+$AI109)*(1+$AP109)*(1+$AQ109)+(($AS109+$AT109)/2*IF($G$1="鸣金",$AJ109,$AH109)+IF($G$1="鸣金",$AK109*1.5,0))*(1+$AU109)*(1+$AV109)+(($AW109+$AX109)/2*IF($G$1="裂石",$AJ109,$AH109)+IF($G$1="裂石",$AK109*1.5,0))*(1+$AY109)*(1+$AZ109)+(($BA109+$BB109)/2*IF($G$1="牵丝",$AJ109,$AH109)+IF($G$1="牵丝",$AK109*1.5,0))*(1+$BC109)*(1+$BD109)+(($BE109+$BF109)/2*IF($G$1="破竹",$AJ109,$AH109)+IF($G$1="破竹",$AK109*1.5,0))*(1+$BG109)*(1+$BH109))*(1+$AL109)*$P109*(1+IF(VLOOKUP($Q109,武学奇术!$A:$ZZ,30,FALSE)="弹道",$B$21,0))*(1+$BQ109)</f>
        <v>67706.7946098724</v>
      </c>
      <c r="O109" s="41">
        <f>((($AN109*$AH109+$AI109)*(1+$AP109)*(1+$AQ109)+($AS109*IF($G$1="鸣金",$AJ109,$AH109)+IF($G$1="鸣金",$AK109*1.5,0))*(1+$AU109)*(1+$AV109)+($AW109*IF($G$1="裂石",$AJ109,$AH109)+IF($G$1="裂石",$AK109*1.5,0))*(1+$AY109)*(1+$AZ109)+($BA109*IF($G$1="牵丝",$AJ109,$AH109)+IF($G$1="牵丝",$AK109*1.5,0))*(1+$BC109)*(1+$BD109)+($BE109*IF($G$1="破竹",$AJ109,$AH109)+IF($G$1="破竹",$AK109*1.5,0))*(1+$BG109)*(1+$BH109))*(1+$AL109))*$P109*(1+IF(VLOOKUP($Q109,武学奇术!$A:$ZZ,30,FALSE)="弹道",$B$21,0))*(1+$BQ109)</f>
        <v>38296.2532742466</v>
      </c>
      <c r="P109" s="42">
        <v>2</v>
      </c>
      <c r="Q109" s="43" t="s">
        <v>172</v>
      </c>
      <c r="R109" s="43" t="s">
        <v>93</v>
      </c>
      <c r="S109" s="43" t="s">
        <v>158</v>
      </c>
      <c r="T109" s="43" t="s">
        <v>73</v>
      </c>
      <c r="U109" s="43" t="s">
        <v>159</v>
      </c>
      <c r="V109" s="43" t="s">
        <v>73</v>
      </c>
      <c r="W109" s="43" t="s">
        <v>73</v>
      </c>
      <c r="X109" s="43" t="s">
        <v>73</v>
      </c>
      <c r="Y109" s="43" t="s">
        <v>164</v>
      </c>
      <c r="Z109" s="43" t="s">
        <v>73</v>
      </c>
      <c r="AA109" s="43" t="s">
        <v>73</v>
      </c>
      <c r="AB109" s="43" t="s">
        <v>80</v>
      </c>
      <c r="AC109" s="43" t="s">
        <v>73</v>
      </c>
      <c r="AD109" s="43" t="s">
        <v>73</v>
      </c>
      <c r="AE109" s="43" t="s">
        <v>73</v>
      </c>
      <c r="AF109" s="43" t="s">
        <v>75</v>
      </c>
      <c r="AG109" t="str">
        <f>VLOOKUP($Q109,武学奇术!$A:$ZZ,25,FALSE)</f>
        <v>单体奇术</v>
      </c>
      <c r="AH109" s="27">
        <f>VLOOKUP($Q109,武学奇术!$A:$ZZ,26,FALSE)</f>
        <v>1.7063</v>
      </c>
      <c r="AI109" s="28">
        <f>VLOOKUP($Q109,武学奇术!$A:$ZZ,27,FALSE)*(1+IF(OR($AG109=$F$4,$AG109=$F$5),$B$22,0))</f>
        <v>315</v>
      </c>
      <c r="AJ109" s="27">
        <f>VLOOKUP($Q109,武学奇术!$A:$ZZ,28,FALSE)</f>
        <v>2.55945</v>
      </c>
      <c r="AK109" s="28">
        <f>VLOOKUP($Q109,武学奇术!$A:$ZZ,29,FALSE)*(1+IF(OR($AG109=$F$4,$AG109=$F$5),$B$22,0))</f>
        <v>0</v>
      </c>
      <c r="AL109" s="27" cm="1">
        <f t="array" ref="AL109">$G$3+IFERROR(VLOOKUP($AG109,$F$4:$G$7,2,FALSE),0)+VLOOKUP($Q109,武学奇术!$A:$ZZ,2,FALSE)+SUM(_xlfn.XLOOKUP($R109:$AF109,增益!$A:$A,增益!$B:$B,0))</f>
        <v>1.3015</v>
      </c>
      <c r="AM109" s="27" cm="1">
        <f t="array" ref="AM109">VLOOKUP($Q109,武学奇术!$A:$ZZ,5,FALSE)+SUM(_xlfn.XLOOKUP($R109:$AF109,增益!$A:$A,增益!$E:$E,0))</f>
        <v>0.15</v>
      </c>
      <c r="AN109" cm="1">
        <f t="array" ref="AN109">$D$10*(1+$AM109)+VLOOKUP($Q109,武学奇术!$A:$ZZ,3,FALSE)+SUM(_xlfn.XLOOKUP($R109:$AF109,增益!$A:$A,增益!$C:$C,0))-$I$2</f>
        <v>2125.755</v>
      </c>
      <c r="AO109" cm="1">
        <f t="array" ref="AO109">$E$10*(1+$AM109)+VLOOKUP($Q109,武学奇术!$A:$ZZ,4,FALSE)+SUM(_xlfn.XLOOKUP($R109:$AF109,增益!$A:$A,增益!$D:$D,0))-$I$2</f>
        <v>6122.925</v>
      </c>
      <c r="AP109" s="35" cm="1">
        <f t="array" ref="AP109">IF($F$10-$I$3+VLOOKUP($Q109,武学奇术!$A:$ZZ,6,FALSE)+SUM(_xlfn.XLOOKUP(R109:AF109,增益!$A:$A,增益!$F:$F,0))&gt;0,($F$10-$I$3+VLOOKUP($Q109,武学奇术!$A:$ZZ,6,FALSE)+SUM(_xlfn.XLOOKUP(R109:AF109,增益!$A:$A,增益!$F:$F,0)))/200,($F$10-$I$3+VLOOKUP($Q109,武学奇术!$A:$ZZ,6,FALSE)+SUM(_xlfn.XLOOKUP(R109:AF109,增益!$A:$A,增益!$F:$F,0)))/100)</f>
        <v>0.4675</v>
      </c>
      <c r="AQ109" s="35" cm="1">
        <f t="array" ref="AQ109">$G$10+VLOOKUP($Q109,武学奇术!$A:$ZZ,7,FALSE)+SUM(_xlfn.XLOOKUP(R109:AF109,增益!$A:$A,增益!$G:$G,0))</f>
        <v>0</v>
      </c>
      <c r="AR109" s="27" cm="1">
        <f t="array" ref="AR109">VLOOKUP($Q109,武学奇术!$A:$ZZ,8,FALSE)+SUM(_xlfn.XLOOKUP(R109:AF109,增益!$A:$A,增益!$H:$H,0))</f>
        <v>0</v>
      </c>
      <c r="AS109">
        <f t="shared" si="43"/>
        <v>0</v>
      </c>
      <c r="AT109">
        <f t="shared" si="44"/>
        <v>0</v>
      </c>
      <c r="AU109" s="35" cm="1">
        <f t="array" ref="AU109">IF($F$11-$I$4+VLOOKUP($Q109,武学奇术!$A:$ZZ,9,FALSE)+SUM(_xlfn.XLOOKUP(R109:AF109,增益!$A:$A,增益!$I:$I,0))&gt;0,($F$11-$I$4+VLOOKUP($Q109,武学奇术!$A:$ZZ,9,FALSE)+SUM(_xlfn.XLOOKUP(R109:AF109,增益!$A:$A,增益!$I:$I,0)))/200,($F$11-$I$4+VLOOKUP($Q109,武学奇术!$A:$ZZ,9,FALSE)+SUM(_xlfn.XLOOKUP(R109:AF109,增益!$A:$A,增益!$I:$I,0)))/100)</f>
        <v>-0.14</v>
      </c>
      <c r="AV109" s="35" cm="1">
        <f t="array" ref="AV109">$G$11+VLOOKUP($Q109,武学奇术!$A:$ZZ,10,FALSE)+SUM(_xlfn.XLOOKUP(R109:AF109,增益!$A:$A,增益!$J:$J,0))</f>
        <v>0</v>
      </c>
      <c r="AW109">
        <f t="shared" si="45"/>
        <v>0</v>
      </c>
      <c r="AX109">
        <f t="shared" si="46"/>
        <v>0</v>
      </c>
      <c r="AY109" s="35" cm="1">
        <f t="array" ref="AY109">IF($F$12-$I$4+VLOOKUP($Q109,武学奇术!$A:$ZZ,11,FALSE)+SUM(_xlfn.XLOOKUP(R109:AF109,增益!$A:$A,增益!$K:$K,0))&gt;0,($F$12-$I$4+VLOOKUP($Q109,武学奇术!$A:$ZZ,11,FALSE)+SUM(_xlfn.XLOOKUP(R109:AF109,增益!$A:$A,增益!$K:$K,0)))/200,($F$12-$I$4+VLOOKUP($Q109,武学奇术!$A:$ZZ,11,FALSE)+SUM(_xlfn.XLOOKUP(R109:AF109,增益!$A:$A,增益!$K:$K,0)))/100)</f>
        <v>-0.14</v>
      </c>
      <c r="AZ109" s="35" cm="1">
        <f t="array" ref="AZ109">$G$12+VLOOKUP($Q109,武学奇术!$A:$ZZ,12,FALSE)+SUM(_xlfn.XLOOKUP(R109:AF109,增益!$A:$A,增益!$L:$L,0))</f>
        <v>0</v>
      </c>
      <c r="BA109">
        <f t="shared" si="47"/>
        <v>538</v>
      </c>
      <c r="BB109">
        <f t="shared" si="48"/>
        <v>1011</v>
      </c>
      <c r="BC109" s="35" cm="1">
        <f t="array" ref="BC109">IF($F$13-$I$4+VLOOKUP($Q109,武学奇术!$A:$ZZ,13,FALSE)+SUM(_xlfn.XLOOKUP(R109:AF109,增益!$A:$A,增益!$M:$M,0))&gt;0,($F$13-$I$4+VLOOKUP($Q109,武学奇术!$A:$ZZ,13,FALSE)+SUM(_xlfn.XLOOKUP(R109:AF109,增益!$A:$A,增益!$K:$K,0)))/200,($F$13-$I$4+VLOOKUP($Q109,武学奇术!$A:$ZZ,13,FALSE)+SUM(_xlfn.XLOOKUP(R109:AF109,增益!$A:$A,增益!$M:$M,0)))/100)</f>
        <v>0.08</v>
      </c>
      <c r="BD109" s="35" cm="1">
        <f t="array" ref="BD109">$G$13+VLOOKUP($Q109,武学奇术!$A:$ZZ,14,FALSE)+SUM(_xlfn.XLOOKUP(R109:AF109,增益!$A:$A,增益!$N:$N,0))</f>
        <v>0.15</v>
      </c>
      <c r="BE109">
        <f t="shared" si="49"/>
        <v>0</v>
      </c>
      <c r="BF109">
        <f t="shared" si="50"/>
        <v>0</v>
      </c>
      <c r="BG109" s="35" cm="1">
        <f t="array" ref="BG109">IF($F$14-$I$4+VLOOKUP($Q109,武学奇术!$A:$ZZ,15,FALSE)+SUM(_xlfn.XLOOKUP(R109:AF109,增益!$A:$A,增益!$O:$O,0))&gt;0,($F$14-$I$4+VLOOKUP($Q109,武学奇术!$A:$ZZ,15,FALSE)+SUM(_xlfn.XLOOKUP(R109:AF109,增益!$A:$A,增益!$O:$O,0)))/200,($F$14-$I$4+VLOOKUP($Q109,武学奇术!$A:$ZZ,15,FALSE)+SUM(_xlfn.XLOOKUP(R109:AF109,增益!$A:$A,增益!$O:$O,0)))/100)</f>
        <v>-0.14</v>
      </c>
      <c r="BH109" s="35" cm="1">
        <f t="array" ref="BH109">$G$14+VLOOKUP($Q109,武学奇术!$A:$ZZ,16,FALSE)+SUM(_xlfn.XLOOKUP(R109:AF109,增益!$A:$A,增益!$P:$P,0))</f>
        <v>0</v>
      </c>
      <c r="BI109" s="27">
        <f>MIN(IF(VLOOKUP($Q109,武学奇术!$A:$ZZ,23,FALSE)=1,100%,$B$8),100%)</f>
        <v>0.9969</v>
      </c>
      <c r="BJ109" s="27" cm="1">
        <f t="array" ref="BJ109">IF(VLOOKUP($Q109,武学奇术!$A:$ZZ,23,FALSE)=1,100%,MIN(80%,$B$9+VLOOKUP($Q109,武学奇术!$A:$ZZ,17,FALSE)+SUM(_xlfn.XLOOKUP(R109:AF109,增益!$A:$A,增益!$Q:$Q,0)))+$B$11+SUM(_xlfn.XLOOKUP(R109:AF109,增益!$A:$A,增益!$U:$U,0)))*IF(VLOOKUP($Q109,武学奇术!$A:$ZZ,24,FALSE)=1,0,1)</f>
        <v>0.9137</v>
      </c>
      <c r="BK109" s="27" cm="1">
        <f t="array" ref="BK109">1+$B$13+VLOOKUP($Q109,武学奇术!$A:$ZZ,18,FALSE)+SUM(_xlfn.XLOOKUP(R109:AF109,增益!$A:$A,增益!$R:$R,0))</f>
        <v>1.85</v>
      </c>
      <c r="BL109" s="27" cm="1">
        <f t="array" ref="BL109">IF(VLOOKUP($Q109,武学奇术!$A:$ZZ,24,FALSE)=1,100%,MIN(40%,$B$10+VLOOKUP($Q109,武学奇术!$A:$ZZ,19,FALSE)+SUM(_xlfn.XLOOKUP(R109:AF109,增益!$A:$A,增益!$S:$S,0)))+$B$12+SUM(_xlfn.XLOOKUP(R109:AF109,增益!$A:$A,增益!$V:$V,0)))*IF(VLOOKUP($Q109,武学奇术!$A:$ZZ,23,FALSE)=1,0,1)</f>
        <v>0.0895</v>
      </c>
      <c r="BM109" s="27" cm="1">
        <f t="array" ref="BM109">1+$B$14+VLOOKUP($Q109,武学奇术!$A:$ZZ,20,FALSE)+SUM(_xlfn.XLOOKUP(R109:AF109,增益!$A:$A,增益!$T:$T,0))</f>
        <v>1.35</v>
      </c>
      <c r="BN109" s="27">
        <f t="shared" si="22"/>
        <v>0.90767745</v>
      </c>
      <c r="BO109" s="27">
        <f t="shared" si="32"/>
        <v>-1.30104260698261e-17</v>
      </c>
      <c r="BP109" s="27">
        <f>IF(VLOOKUP($Q109,武学奇术!$A:$ZZ,22,FALSE)=1,0,(1-$BI109))*(1-$BL109)</f>
        <v>0.00282254999999999</v>
      </c>
      <c r="BQ109" s="27" cm="1">
        <f t="array" ref="BQ109">SUM(_xlfn.XLOOKUP(R109:AF109,增益!$A:$A,增益!$W:$W,0))+$I$5</f>
        <v>0.11</v>
      </c>
    </row>
    <row r="110" spans="1:69">
      <c r="A110" s="4" t="s">
        <v>107</v>
      </c>
      <c r="B110" s="94">
        <v>1.16</v>
      </c>
      <c r="C110" s="42" t="s">
        <v>177</v>
      </c>
      <c r="D110" s="42"/>
      <c r="F110">
        <v>24</v>
      </c>
      <c r="G110" s="42" t="s">
        <v>153</v>
      </c>
      <c r="K110" s="41">
        <f t="shared" si="42"/>
        <v>231659.296379228</v>
      </c>
      <c r="L110" s="41">
        <f>((($AN110+$AO110)/2*$AH110+$AI110)*(1+$AP110)*(1+$AQ110)+(($AS110+$AT110)/2*IF($G$1="鸣金",$AJ110,$AH110)+IF($G$1="鸣金",$AK110*1.5,0))*(1+$AU110)*(1+$AV110)+(($AW110+$AX110)/2*IF($G$1="裂石",$AJ110,$AH110)+IF($G$1="裂石",$AK110*1.5,0))*(1+$AY110)*(1+$AZ110)+(($BA110+$BB110)/2*IF($G$1="牵丝",$AJ110,$AH110)+IF($G$1="牵丝",$AK110*1.5,0))*(1+$BC110)*(1+$BD110)+(($BE110+$BF110)/2*IF($G$1="破竹",$AJ110,$AH110)+IF($G$1="破竹",$AK110*1.5,0))*(1+$BG110)*(1+$BH110))*(1+$AL110)*$BK110*$P110*(1+IF(VLOOKUP($Q110,武学奇术!$A:$ZZ,30,FALSE)="弹道",$B$21,0))*(1+$BQ110)</f>
        <v>231145.921130708</v>
      </c>
      <c r="M110" s="41">
        <f>(($AO110*$AH110+$AI110)*(1+$AP110)*(1+$AQ110)+($AT110*IF($G$1="鸣金",$AJ110,$AH110)+IF($G$1="鸣金",$AK110*1.5,0))*(1+$AU110)*(1+$AV110)+($AX110*IF($G$1="裂石",$AJ110,$AH110)+IF($G$1="裂石",$AK110*1.5,0))*(1+$AY110)*(1+$AZ110)+($BB110*IF($G$1="牵丝",$AJ110,$AH110)+IF($G$1="牵丝",$AK110*1.5,0))*(1+$BC110)*(1+$BD110)+($BF110*IF($G$1="破竹",$AJ110,$AH110)+IF($G$1="破竹",$AK110*1.5,0))*(1+$BG110)*(1+$BH110))*(1+$AL110)*$BM110*$P110*(1+IF(VLOOKUP($Q110,武学奇术!$A:$ZZ,30,FALSE)="弹道",$B$21,0))*(1+$BQ110)</f>
        <v>241942.848346885</v>
      </c>
      <c r="N110" s="41">
        <f>((($AN110+$AO110)/2*$AH110+$AI110)*(1+$AP110)*(1+$AQ110)+(($AS110+$AT110)/2*IF($G$1="鸣金",$AJ110,$AH110)+IF($G$1="鸣金",$AK110*1.5,0))*(1+$AU110)*(1+$AV110)+(($AW110+$AX110)/2*IF($G$1="裂石",$AJ110,$AH110)+IF($G$1="裂石",$AK110*1.5,0))*(1+$AY110)*(1+$AZ110)+(($BA110+$BB110)/2*IF($G$1="牵丝",$AJ110,$AH110)+IF($G$1="牵丝",$AK110*1.5,0))*(1+$BC110)*(1+$BD110)+(($BE110+$BF110)/2*IF($G$1="破竹",$AJ110,$AH110)+IF($G$1="破竹",$AK110*1.5,0))*(1+$BG110)*(1+$BH110))*(1+$AL110)*$P110*(1+IF(VLOOKUP($Q110,武学奇术!$A:$ZZ,30,FALSE)="弹道",$B$21,0))*(1+$BQ110)</f>
        <v>124943.741151734</v>
      </c>
      <c r="O110" s="41">
        <f>((($AN110*$AH110+$AI110)*(1+$AP110)*(1+$AQ110)+($AS110*IF($G$1="鸣金",$AJ110,$AH110)+IF($G$1="鸣金",$AK110*1.5,0))*(1+$AU110)*(1+$AV110)+($AW110*IF($G$1="裂石",$AJ110,$AH110)+IF($G$1="裂石",$AK110*1.5,0))*(1+$AY110)*(1+$AZ110)+($BA110*IF($G$1="牵丝",$AJ110,$AH110)+IF($G$1="牵丝",$AK110*1.5,0))*(1+$BC110)*(1+$BD110)+($BE110*IF($G$1="破竹",$AJ110,$AH110)+IF($G$1="破竹",$AK110*1.5,0))*(1+$BG110)*(1+$BH110))*(1+$AL110))*$P110*(1+IF(VLOOKUP($Q110,武学奇术!$A:$ZZ,30,FALSE)="弹道",$B$21,0))*(1+$BQ110)</f>
        <v>70670.5576020717</v>
      </c>
      <c r="P110" s="42">
        <v>6</v>
      </c>
      <c r="Q110" s="43" t="s">
        <v>173</v>
      </c>
      <c r="R110" s="43" t="s">
        <v>93</v>
      </c>
      <c r="S110" s="43" t="s">
        <v>158</v>
      </c>
      <c r="T110" s="43" t="s">
        <v>73</v>
      </c>
      <c r="U110" s="43" t="s">
        <v>159</v>
      </c>
      <c r="V110" s="43" t="s">
        <v>73</v>
      </c>
      <c r="W110" s="43" t="s">
        <v>73</v>
      </c>
      <c r="X110" s="43" t="s">
        <v>73</v>
      </c>
      <c r="Y110" s="43" t="s">
        <v>164</v>
      </c>
      <c r="Z110" s="43" t="s">
        <v>73</v>
      </c>
      <c r="AA110" s="43" t="s">
        <v>73</v>
      </c>
      <c r="AB110" s="43" t="s">
        <v>80</v>
      </c>
      <c r="AC110" s="43" t="s">
        <v>73</v>
      </c>
      <c r="AD110" s="43" t="s">
        <v>73</v>
      </c>
      <c r="AE110" s="43" t="s">
        <v>73</v>
      </c>
      <c r="AF110" s="43" t="s">
        <v>75</v>
      </c>
      <c r="AG110" t="str">
        <f>VLOOKUP($Q110,武学奇术!$A:$ZZ,25,FALSE)</f>
        <v>单体奇术</v>
      </c>
      <c r="AH110" s="27">
        <f>VLOOKUP($Q110,武学奇术!$A:$ZZ,26,FALSE)</f>
        <v>1.6088</v>
      </c>
      <c r="AI110" s="28">
        <f>VLOOKUP($Q110,武学奇术!$A:$ZZ,27,FALSE)*(1+IF(OR($AG110=$F$4,$AG110=$F$5),$B$22,0))</f>
        <v>297</v>
      </c>
      <c r="AJ110" s="27">
        <f>VLOOKUP($Q110,武学奇术!$A:$ZZ,28,FALSE)</f>
        <v>2.4132</v>
      </c>
      <c r="AK110" s="28">
        <f>VLOOKUP($Q110,武学奇术!$A:$ZZ,29,FALSE)*(1+IF(OR($AG110=$F$4,$AG110=$F$5),$B$22,0))</f>
        <v>0</v>
      </c>
      <c r="AL110" s="27" cm="1">
        <f t="array" ref="AL110">$G$3+IFERROR(VLOOKUP($AG110,$F$4:$G$7,2,FALSE),0)+VLOOKUP($Q110,武学奇术!$A:$ZZ,2,FALSE)+SUM(_xlfn.XLOOKUP($R110:$AF110,增益!$A:$A,增益!$B:$B,0))</f>
        <v>0.5015</v>
      </c>
      <c r="AM110" s="27" cm="1">
        <f t="array" ref="AM110">VLOOKUP($Q110,武学奇术!$A:$ZZ,5,FALSE)+SUM(_xlfn.XLOOKUP($R110:$AF110,增益!$A:$A,增益!$E:$E,0))</f>
        <v>0.15</v>
      </c>
      <c r="AN110" cm="1">
        <f t="array" ref="AN110">$D$10*(1+$AM110)+VLOOKUP($Q110,武学奇术!$A:$ZZ,3,FALSE)+SUM(_xlfn.XLOOKUP($R110:$AF110,增益!$A:$A,增益!$C:$C,0))-$I$2</f>
        <v>2125.755</v>
      </c>
      <c r="AO110" cm="1">
        <f t="array" ref="AO110">$E$10*(1+$AM110)+VLOOKUP($Q110,武学奇术!$A:$ZZ,4,FALSE)+SUM(_xlfn.XLOOKUP($R110:$AF110,增益!$A:$A,增益!$D:$D,0))-$I$2</f>
        <v>6122.925</v>
      </c>
      <c r="AP110" s="35" cm="1">
        <f t="array" ref="AP110">IF($F$10-$I$3+VLOOKUP($Q110,武学奇术!$A:$ZZ,6,FALSE)+SUM(_xlfn.XLOOKUP(R110:AF110,增益!$A:$A,增益!$F:$F,0))&gt;0,($F$10-$I$3+VLOOKUP($Q110,武学奇术!$A:$ZZ,6,FALSE)+SUM(_xlfn.XLOOKUP(R110:AF110,增益!$A:$A,增益!$F:$F,0)))/200,($F$10-$I$3+VLOOKUP($Q110,武学奇术!$A:$ZZ,6,FALSE)+SUM(_xlfn.XLOOKUP(R110:AF110,增益!$A:$A,增益!$F:$F,0)))/100)</f>
        <v>0.4675</v>
      </c>
      <c r="AQ110" s="35" cm="1">
        <f t="array" ref="AQ110">$G$10+VLOOKUP($Q110,武学奇术!$A:$ZZ,7,FALSE)+SUM(_xlfn.XLOOKUP(R110:AF110,增益!$A:$A,增益!$G:$G,0))</f>
        <v>0</v>
      </c>
      <c r="AR110" s="27" cm="1">
        <f t="array" ref="AR110">VLOOKUP($Q110,武学奇术!$A:$ZZ,8,FALSE)+SUM(_xlfn.XLOOKUP(R110:AF110,增益!$A:$A,增益!$H:$H,0))</f>
        <v>0</v>
      </c>
      <c r="AS110">
        <f t="shared" si="43"/>
        <v>0</v>
      </c>
      <c r="AT110">
        <f t="shared" si="44"/>
        <v>0</v>
      </c>
      <c r="AU110" s="35" cm="1">
        <f t="array" ref="AU110">IF($F$11-$I$4+VLOOKUP($Q110,武学奇术!$A:$ZZ,9,FALSE)+SUM(_xlfn.XLOOKUP(R110:AF110,增益!$A:$A,增益!$I:$I,0))&gt;0,($F$11-$I$4+VLOOKUP($Q110,武学奇术!$A:$ZZ,9,FALSE)+SUM(_xlfn.XLOOKUP(R110:AF110,增益!$A:$A,增益!$I:$I,0)))/200,($F$11-$I$4+VLOOKUP($Q110,武学奇术!$A:$ZZ,9,FALSE)+SUM(_xlfn.XLOOKUP(R110:AF110,增益!$A:$A,增益!$I:$I,0)))/100)</f>
        <v>-0.14</v>
      </c>
      <c r="AV110" s="35" cm="1">
        <f t="array" ref="AV110">$G$11+VLOOKUP($Q110,武学奇术!$A:$ZZ,10,FALSE)+SUM(_xlfn.XLOOKUP(R110:AF110,增益!$A:$A,增益!$J:$J,0))</f>
        <v>0</v>
      </c>
      <c r="AW110">
        <f t="shared" si="45"/>
        <v>0</v>
      </c>
      <c r="AX110">
        <f t="shared" si="46"/>
        <v>0</v>
      </c>
      <c r="AY110" s="35" cm="1">
        <f t="array" ref="AY110">IF($F$12-$I$4+VLOOKUP($Q110,武学奇术!$A:$ZZ,11,FALSE)+SUM(_xlfn.XLOOKUP(R110:AF110,增益!$A:$A,增益!$K:$K,0))&gt;0,($F$12-$I$4+VLOOKUP($Q110,武学奇术!$A:$ZZ,11,FALSE)+SUM(_xlfn.XLOOKUP(R110:AF110,增益!$A:$A,增益!$K:$K,0)))/200,($F$12-$I$4+VLOOKUP($Q110,武学奇术!$A:$ZZ,11,FALSE)+SUM(_xlfn.XLOOKUP(R110:AF110,增益!$A:$A,增益!$K:$K,0)))/100)</f>
        <v>-0.14</v>
      </c>
      <c r="AZ110" s="35" cm="1">
        <f t="array" ref="AZ110">$G$12+VLOOKUP($Q110,武学奇术!$A:$ZZ,12,FALSE)+SUM(_xlfn.XLOOKUP(R110:AF110,增益!$A:$A,增益!$L:$L,0))</f>
        <v>0</v>
      </c>
      <c r="BA110">
        <f t="shared" si="47"/>
        <v>538</v>
      </c>
      <c r="BB110">
        <f t="shared" si="48"/>
        <v>1011</v>
      </c>
      <c r="BC110" s="35" cm="1">
        <f t="array" ref="BC110">IF($F$13-$I$4+VLOOKUP($Q110,武学奇术!$A:$ZZ,13,FALSE)+SUM(_xlfn.XLOOKUP(R110:AF110,增益!$A:$A,增益!$M:$M,0))&gt;0,($F$13-$I$4+VLOOKUP($Q110,武学奇术!$A:$ZZ,13,FALSE)+SUM(_xlfn.XLOOKUP(R110:AF110,增益!$A:$A,增益!$K:$K,0)))/200,($F$13-$I$4+VLOOKUP($Q110,武学奇术!$A:$ZZ,13,FALSE)+SUM(_xlfn.XLOOKUP(R110:AF110,增益!$A:$A,增益!$M:$M,0)))/100)</f>
        <v>0.08</v>
      </c>
      <c r="BD110" s="35" cm="1">
        <f t="array" ref="BD110">$G$13+VLOOKUP($Q110,武学奇术!$A:$ZZ,14,FALSE)+SUM(_xlfn.XLOOKUP(R110:AF110,增益!$A:$A,增益!$N:$N,0))</f>
        <v>0.15</v>
      </c>
      <c r="BE110">
        <f t="shared" si="49"/>
        <v>0</v>
      </c>
      <c r="BF110">
        <f t="shared" si="50"/>
        <v>0</v>
      </c>
      <c r="BG110" s="35" cm="1">
        <f t="array" ref="BG110">IF($F$14-$I$4+VLOOKUP($Q110,武学奇术!$A:$ZZ,15,FALSE)+SUM(_xlfn.XLOOKUP(R110:AF110,增益!$A:$A,增益!$O:$O,0))&gt;0,($F$14-$I$4+VLOOKUP($Q110,武学奇术!$A:$ZZ,15,FALSE)+SUM(_xlfn.XLOOKUP(R110:AF110,增益!$A:$A,增益!$O:$O,0)))/200,($F$14-$I$4+VLOOKUP($Q110,武学奇术!$A:$ZZ,15,FALSE)+SUM(_xlfn.XLOOKUP(R110:AF110,增益!$A:$A,增益!$O:$O,0)))/100)</f>
        <v>-0.14</v>
      </c>
      <c r="BH110" s="35" cm="1">
        <f t="array" ref="BH110">$G$14+VLOOKUP($Q110,武学奇术!$A:$ZZ,16,FALSE)+SUM(_xlfn.XLOOKUP(R110:AF110,增益!$A:$A,增益!$P:$P,0))</f>
        <v>0</v>
      </c>
      <c r="BI110" s="27">
        <f>MIN(IF(VLOOKUP($Q110,武学奇术!$A:$ZZ,23,FALSE)=1,100%,$B$8),100%)</f>
        <v>0.9969</v>
      </c>
      <c r="BJ110" s="27" cm="1">
        <f t="array" ref="BJ110">IF(VLOOKUP($Q110,武学奇术!$A:$ZZ,23,FALSE)=1,100%,MIN(80%,$B$9+VLOOKUP($Q110,武学奇术!$A:$ZZ,17,FALSE)+SUM(_xlfn.XLOOKUP(R110:AF110,增益!$A:$A,增益!$Q:$Q,0)))+$B$11+SUM(_xlfn.XLOOKUP(R110:AF110,增益!$A:$A,增益!$U:$U,0)))*IF(VLOOKUP($Q110,武学奇术!$A:$ZZ,24,FALSE)=1,0,1)</f>
        <v>0.9137</v>
      </c>
      <c r="BK110" s="27" cm="1">
        <f t="array" ref="BK110">1+$B$13+VLOOKUP($Q110,武学奇术!$A:$ZZ,18,FALSE)+SUM(_xlfn.XLOOKUP(R110:AF110,增益!$A:$A,增益!$R:$R,0))</f>
        <v>1.85</v>
      </c>
      <c r="BL110" s="27" cm="1">
        <f t="array" ref="BL110">IF(VLOOKUP($Q110,武学奇术!$A:$ZZ,24,FALSE)=1,100%,MIN(40%,$B$10+VLOOKUP($Q110,武学奇术!$A:$ZZ,19,FALSE)+SUM(_xlfn.XLOOKUP(R110:AF110,增益!$A:$A,增益!$S:$S,0)))+$B$12+SUM(_xlfn.XLOOKUP(R110:AF110,增益!$A:$A,增益!$V:$V,0)))*IF(VLOOKUP($Q110,武学奇术!$A:$ZZ,23,FALSE)=1,0,1)</f>
        <v>0.0895</v>
      </c>
      <c r="BM110" s="27" cm="1">
        <f t="array" ref="BM110">1+$B$14+VLOOKUP($Q110,武学奇术!$A:$ZZ,20,FALSE)+SUM(_xlfn.XLOOKUP(R110:AF110,增益!$A:$A,增益!$T:$T,0))</f>
        <v>1.35</v>
      </c>
      <c r="BN110" s="27">
        <f t="shared" si="22"/>
        <v>0.90767745</v>
      </c>
      <c r="BO110" s="27">
        <f t="shared" si="32"/>
        <v>-1.30104260698261e-17</v>
      </c>
      <c r="BP110" s="27">
        <f>IF(VLOOKUP($Q110,武学奇术!$A:$ZZ,22,FALSE)=1,0,(1-$BI110))*(1-$BL110)</f>
        <v>0.00282254999999999</v>
      </c>
      <c r="BQ110" s="27" cm="1">
        <f t="array" ref="BQ110">SUM(_xlfn.XLOOKUP(R110:AF110,增益!$A:$A,增益!$W:$W,0))+$I$5</f>
        <v>0.11</v>
      </c>
    </row>
    <row r="111" spans="1:69">
      <c r="A111" s="4" t="s">
        <v>155</v>
      </c>
      <c r="B111" s="4">
        <v>0.1</v>
      </c>
      <c r="C111" s="42"/>
      <c r="G111" s="42"/>
      <c r="K111" s="41">
        <f t="shared" si="42"/>
        <v>0</v>
      </c>
      <c r="L111" s="41">
        <f>((($AN111+$AO111)/2*$AH111+$AI111)*(1+$AP111)*(1+$AQ111)+(($AS111+$AT111)/2*IF($G$1="鸣金",$AJ111,$AH111)+IF($G$1="鸣金",$AK111*1.5,0))*(1+$AU111)*(1+$AV111)+(($AW111+$AX111)/2*IF($G$1="裂石",$AJ111,$AH111)+IF($G$1="裂石",$AK111*1.5,0))*(1+$AY111)*(1+$AZ111)+(($BA111+$BB111)/2*IF($G$1="牵丝",$AJ111,$AH111)+IF($G$1="牵丝",$AK111*1.5,0))*(1+$BC111)*(1+$BD111)+(($BE111+$BF111)/2*IF($G$1="破竹",$AJ111,$AH111)+IF($G$1="破竹",$AK111*1.5,0))*(1+$BG111)*(1+$BH111))*(1+$AL111)*$BK111*$P111*(1+IF(VLOOKUP($Q111,武学奇术!$A:$ZZ,30,FALSE)="弹道",$B$21,0))*(1+$BQ111)</f>
        <v>0</v>
      </c>
      <c r="M111" s="41">
        <f>(($AO111*$AH111+$AI111)*(1+$AP111)*(1+$AQ111)+($AT111*IF($G$1="鸣金",$AJ111,$AH111)+IF($G$1="鸣金",$AK111*1.5,0))*(1+$AU111)*(1+$AV111)+($AX111*IF($G$1="裂石",$AJ111,$AH111)+IF($G$1="裂石",$AK111*1.5,0))*(1+$AY111)*(1+$AZ111)+($BB111*IF($G$1="牵丝",$AJ111,$AH111)+IF($G$1="牵丝",$AK111*1.5,0))*(1+$BC111)*(1+$BD111)+($BF111*IF($G$1="破竹",$AJ111,$AH111)+IF($G$1="破竹",$AK111*1.5,0))*(1+$BG111)*(1+$BH111))*(1+$AL111)*$BM111*$P111*(1+IF(VLOOKUP($Q111,武学奇术!$A:$ZZ,30,FALSE)="弹道",$B$21,0))*(1+$BQ111)</f>
        <v>0</v>
      </c>
      <c r="N111" s="41">
        <f>((($AN111+$AO111)/2*$AH111+$AI111)*(1+$AP111)*(1+$AQ111)+(($AS111+$AT111)/2*IF($G$1="鸣金",$AJ111,$AH111)+IF($G$1="鸣金",$AK111*1.5,0))*(1+$AU111)*(1+$AV111)+(($AW111+$AX111)/2*IF($G$1="裂石",$AJ111,$AH111)+IF($G$1="裂石",$AK111*1.5,0))*(1+$AY111)*(1+$AZ111)+(($BA111+$BB111)/2*IF($G$1="牵丝",$AJ111,$AH111)+IF($G$1="牵丝",$AK111*1.5,0))*(1+$BC111)*(1+$BD111)+(($BE111+$BF111)/2*IF($G$1="破竹",$AJ111,$AH111)+IF($G$1="破竹",$AK111*1.5,0))*(1+$BG111)*(1+$BH111))*(1+$AL111)*$P111*(1+IF(VLOOKUP($Q111,武学奇术!$A:$ZZ,30,FALSE)="弹道",$B$21,0))*(1+$BQ111)</f>
        <v>0</v>
      </c>
      <c r="O111" s="41">
        <f>((($AN111*$AH111+$AI111)*(1+$AP111)*(1+$AQ111)+($AS111*IF($G$1="鸣金",$AJ111,$AH111)+IF($G$1="鸣金",$AK111*1.5,0))*(1+$AU111)*(1+$AV111)+($AW111*IF($G$1="裂石",$AJ111,$AH111)+IF($G$1="裂石",$AK111*1.5,0))*(1+$AY111)*(1+$AZ111)+($BA111*IF($G$1="牵丝",$AJ111,$AH111)+IF($G$1="牵丝",$AK111*1.5,0))*(1+$BC111)*(1+$BD111)+($BE111*IF($G$1="破竹",$AJ111,$AH111)+IF($G$1="破竹",$AK111*1.5,0))*(1+$BG111)*(1+$BH111))*(1+$AL111))*$P111*(1+IF(VLOOKUP($Q111,武学奇术!$A:$ZZ,30,FALSE)="弹道",$B$21,0))*(1+$BQ111)</f>
        <v>0</v>
      </c>
      <c r="P111" s="42">
        <v>1</v>
      </c>
      <c r="Q111" s="43" t="s">
        <v>73</v>
      </c>
      <c r="R111" s="43" t="s">
        <v>73</v>
      </c>
      <c r="S111" s="43" t="s">
        <v>73</v>
      </c>
      <c r="T111" s="43" t="s">
        <v>73</v>
      </c>
      <c r="U111" s="43" t="s">
        <v>73</v>
      </c>
      <c r="V111" s="43" t="s">
        <v>73</v>
      </c>
      <c r="W111" s="43" t="s">
        <v>73</v>
      </c>
      <c r="X111" s="43" t="s">
        <v>73</v>
      </c>
      <c r="Y111" s="43" t="s">
        <v>73</v>
      </c>
      <c r="Z111" s="43" t="s">
        <v>73</v>
      </c>
      <c r="AA111" s="43" t="s">
        <v>73</v>
      </c>
      <c r="AB111" s="43" t="s">
        <v>73</v>
      </c>
      <c r="AC111" s="43" t="s">
        <v>73</v>
      </c>
      <c r="AD111" s="43" t="s">
        <v>73</v>
      </c>
      <c r="AE111" s="43" t="s">
        <v>73</v>
      </c>
      <c r="AF111" s="43" t="s">
        <v>75</v>
      </c>
      <c r="AG111" t="str">
        <f>VLOOKUP($Q111,武学奇术!$A:$ZZ,25,FALSE)</f>
        <v>心法</v>
      </c>
      <c r="AH111" s="27">
        <f>VLOOKUP($Q111,武学奇术!$A:$ZZ,26,FALSE)</f>
        <v>0</v>
      </c>
      <c r="AI111" s="28">
        <f>VLOOKUP($Q111,武学奇术!$A:$ZZ,27,FALSE)*(1+IF(OR($AG111=$F$4,$AG111=$F$5),$B$22,0))</f>
        <v>0</v>
      </c>
      <c r="AJ111" s="27">
        <f>VLOOKUP($Q111,武学奇术!$A:$ZZ,28,FALSE)</f>
        <v>0</v>
      </c>
      <c r="AK111" s="28">
        <f>VLOOKUP($Q111,武学奇术!$A:$ZZ,29,FALSE)*(1+IF(OR($AG111=$F$4,$AG111=$F$5),$B$22,0))</f>
        <v>0</v>
      </c>
      <c r="AL111" s="27" cm="1">
        <f t="array" ref="AL111">$G$3+IFERROR(VLOOKUP($AG111,$F$4:$G$7,2,FALSE),0)+VLOOKUP($Q111,武学奇术!$A:$ZZ,2,FALSE)+SUM(_xlfn.XLOOKUP($R111:$AF111,增益!$A:$A,增益!$B:$B,0))</f>
        <v>0.1837</v>
      </c>
      <c r="AM111" s="27" cm="1">
        <f t="array" ref="AM111">VLOOKUP($Q111,武学奇术!$A:$ZZ,5,FALSE)+SUM(_xlfn.XLOOKUP($R111:$AF111,增益!$A:$A,增益!$E:$E,0))</f>
        <v>0</v>
      </c>
      <c r="AN111" cm="1">
        <f t="array" ref="AN111">$D$10*(1+$AM111)+VLOOKUP($Q111,武学奇术!$A:$ZZ,3,FALSE)+SUM(_xlfn.XLOOKUP($R111:$AF111,增益!$A:$A,增益!$C:$C,0))-$I$2</f>
        <v>1775.7</v>
      </c>
      <c r="AO111" cm="1">
        <f t="array" ref="AO111">$E$10*(1+$AM111)+VLOOKUP($Q111,武学奇术!$A:$ZZ,4,FALSE)+SUM(_xlfn.XLOOKUP($R111:$AF111,增益!$A:$A,增益!$D:$D,0))-$I$2</f>
        <v>5251.5</v>
      </c>
      <c r="AP111" s="35" cm="1">
        <f t="array" ref="AP111">IF($F$10-$I$3+VLOOKUP($Q111,武学奇术!$A:$ZZ,6,FALSE)+SUM(_xlfn.XLOOKUP(R111:AF111,增益!$A:$A,增益!$F:$F,0))&gt;0,($F$10-$I$3+VLOOKUP($Q111,武学奇术!$A:$ZZ,6,FALSE)+SUM(_xlfn.XLOOKUP(R111:AF111,增益!$A:$A,增益!$F:$F,0)))/200,($F$10-$I$3+VLOOKUP($Q111,武学奇术!$A:$ZZ,6,FALSE)+SUM(_xlfn.XLOOKUP(R111:AF111,增益!$A:$A,增益!$F:$F,0)))/100)</f>
        <v>0.2925</v>
      </c>
      <c r="AQ111" s="35" cm="1">
        <f t="array" ref="AQ111">$G$10+VLOOKUP($Q111,武学奇术!$A:$ZZ,7,FALSE)+SUM(_xlfn.XLOOKUP(R111:AF111,增益!$A:$A,增益!$G:$G,0))</f>
        <v>0</v>
      </c>
      <c r="AR111" s="27" cm="1">
        <f t="array" ref="AR111">VLOOKUP($Q111,武学奇术!$A:$ZZ,8,FALSE)+SUM(_xlfn.XLOOKUP(R111:AF111,增益!$A:$A,增益!$H:$H,0))</f>
        <v>0</v>
      </c>
      <c r="AS111">
        <f t="shared" si="43"/>
        <v>0</v>
      </c>
      <c r="AT111">
        <f t="shared" si="44"/>
        <v>0</v>
      </c>
      <c r="AU111" s="35" cm="1">
        <f t="array" ref="AU111">IF($F$11-$I$4+VLOOKUP($Q111,武学奇术!$A:$ZZ,9,FALSE)+SUM(_xlfn.XLOOKUP(R111:AF111,增益!$A:$A,增益!$I:$I,0))&gt;0,($F$11-$I$4+VLOOKUP($Q111,武学奇术!$A:$ZZ,9,FALSE)+SUM(_xlfn.XLOOKUP(R111:AF111,增益!$A:$A,增益!$I:$I,0)))/200,($F$11-$I$4+VLOOKUP($Q111,武学奇术!$A:$ZZ,9,FALSE)+SUM(_xlfn.XLOOKUP(R111:AF111,增益!$A:$A,增益!$I:$I,0)))/100)</f>
        <v>-0.3</v>
      </c>
      <c r="AV111" s="35" cm="1">
        <f t="array" ref="AV111">$G$11+VLOOKUP($Q111,武学奇术!$A:$ZZ,10,FALSE)+SUM(_xlfn.XLOOKUP(R111:AF111,增益!$A:$A,增益!$J:$J,0))</f>
        <v>0</v>
      </c>
      <c r="AW111">
        <f t="shared" si="45"/>
        <v>0</v>
      </c>
      <c r="AX111">
        <f t="shared" si="46"/>
        <v>0</v>
      </c>
      <c r="AY111" s="35" cm="1">
        <f t="array" ref="AY111">IF($F$12-$I$4+VLOOKUP($Q111,武学奇术!$A:$ZZ,11,FALSE)+SUM(_xlfn.XLOOKUP(R111:AF111,增益!$A:$A,增益!$K:$K,0))&gt;0,($F$12-$I$4+VLOOKUP($Q111,武学奇术!$A:$ZZ,11,FALSE)+SUM(_xlfn.XLOOKUP(R111:AF111,增益!$A:$A,增益!$K:$K,0)))/200,($F$12-$I$4+VLOOKUP($Q111,武学奇术!$A:$ZZ,11,FALSE)+SUM(_xlfn.XLOOKUP(R111:AF111,增益!$A:$A,增益!$K:$K,0)))/100)</f>
        <v>-0.3</v>
      </c>
      <c r="AZ111" s="35" cm="1">
        <f t="array" ref="AZ111">$G$12+VLOOKUP($Q111,武学奇术!$A:$ZZ,12,FALSE)+SUM(_xlfn.XLOOKUP(R111:AF111,增益!$A:$A,增益!$L:$L,0))</f>
        <v>0</v>
      </c>
      <c r="BA111">
        <f t="shared" si="47"/>
        <v>538</v>
      </c>
      <c r="BB111">
        <f t="shared" si="48"/>
        <v>1011</v>
      </c>
      <c r="BC111" s="35" cm="1">
        <f t="array" ref="BC111">IF($F$13-$I$4+VLOOKUP($Q111,武学奇术!$A:$ZZ,13,FALSE)+SUM(_xlfn.XLOOKUP(R111:AF111,增益!$A:$A,增益!$M:$M,0))&gt;0,($F$13-$I$4+VLOOKUP($Q111,武学奇术!$A:$ZZ,13,FALSE)+SUM(_xlfn.XLOOKUP(R111:AF111,增益!$A:$A,增益!$K:$K,0)))/200,($F$13-$I$4+VLOOKUP($Q111,武学奇术!$A:$ZZ,13,FALSE)+SUM(_xlfn.XLOOKUP(R111:AF111,增益!$A:$A,增益!$M:$M,0)))/100)</f>
        <v>0</v>
      </c>
      <c r="BD111" s="35" cm="1">
        <f t="array" ref="BD111">$G$13+VLOOKUP($Q111,武学奇术!$A:$ZZ,14,FALSE)+SUM(_xlfn.XLOOKUP(R111:AF111,增益!$A:$A,增益!$N:$N,0))</f>
        <v>0.15</v>
      </c>
      <c r="BE111">
        <f t="shared" si="49"/>
        <v>0</v>
      </c>
      <c r="BF111">
        <f t="shared" si="50"/>
        <v>0</v>
      </c>
      <c r="BG111" s="35" cm="1">
        <f t="array" ref="BG111">IF($F$14-$I$4+VLOOKUP($Q111,武学奇术!$A:$ZZ,15,FALSE)+SUM(_xlfn.XLOOKUP(R111:AF111,增益!$A:$A,增益!$O:$O,0))&gt;0,($F$14-$I$4+VLOOKUP($Q111,武学奇术!$A:$ZZ,15,FALSE)+SUM(_xlfn.XLOOKUP(R111:AF111,增益!$A:$A,增益!$O:$O,0)))/200,($F$14-$I$4+VLOOKUP($Q111,武学奇术!$A:$ZZ,15,FALSE)+SUM(_xlfn.XLOOKUP(R111:AF111,增益!$A:$A,增益!$O:$O,0)))/100)</f>
        <v>-0.3</v>
      </c>
      <c r="BH111" s="35" cm="1">
        <f t="array" ref="BH111">$G$14+VLOOKUP($Q111,武学奇术!$A:$ZZ,16,FALSE)+SUM(_xlfn.XLOOKUP(R111:AF111,增益!$A:$A,增益!$P:$P,0))</f>
        <v>0</v>
      </c>
      <c r="BI111" s="27">
        <f>MIN(IF(VLOOKUP($Q111,武学奇术!$A:$ZZ,23,FALSE)=1,100%,$B$8),100%)</f>
        <v>0.9969</v>
      </c>
      <c r="BJ111" s="27" cm="1">
        <f t="array" ref="BJ111">IF(VLOOKUP($Q111,武学奇术!$A:$ZZ,23,FALSE)=1,100%,MIN(80%,$B$9+VLOOKUP($Q111,武学奇术!$A:$ZZ,17,FALSE)+SUM(_xlfn.XLOOKUP(R111:AF111,增益!$A:$A,增益!$Q:$Q,0)))+$B$11+SUM(_xlfn.XLOOKUP(R111:AF111,增益!$A:$A,增益!$U:$U,0)))*IF(VLOOKUP($Q111,武学奇术!$A:$ZZ,24,FALSE)=1,0,1)</f>
        <v>0.9137</v>
      </c>
      <c r="BK111" s="27" cm="1">
        <f t="array" ref="BK111">1+$B$13+VLOOKUP($Q111,武学奇术!$A:$ZZ,18,FALSE)+SUM(_xlfn.XLOOKUP(R111:AF111,增益!$A:$A,增益!$R:$R,0))</f>
        <v>1.5</v>
      </c>
      <c r="BL111" s="27" cm="1">
        <f t="array" ref="BL111">IF(VLOOKUP($Q111,武学奇术!$A:$ZZ,24,FALSE)=1,100%,MIN(40%,$B$10+VLOOKUP($Q111,武学奇术!$A:$ZZ,19,FALSE)+SUM(_xlfn.XLOOKUP(R111:AF111,增益!$A:$A,增益!$S:$S,0)))+$B$12+SUM(_xlfn.XLOOKUP(R111:AF111,增益!$A:$A,增益!$V:$V,0)))*IF(VLOOKUP($Q111,武学奇术!$A:$ZZ,23,FALSE)=1,0,1)</f>
        <v>0.0895</v>
      </c>
      <c r="BM111" s="27" cm="1">
        <f t="array" ref="BM111">1+$B$14+VLOOKUP($Q111,武学奇术!$A:$ZZ,20,FALSE)+SUM(_xlfn.XLOOKUP(R111:AF111,增益!$A:$A,增益!$T:$T,0))</f>
        <v>1.35</v>
      </c>
      <c r="BN111" s="27">
        <f t="shared" si="22"/>
        <v>0.90767745</v>
      </c>
      <c r="BO111" s="27">
        <f t="shared" si="32"/>
        <v>-1.30104260698261e-17</v>
      </c>
      <c r="BP111" s="27">
        <f>IF(VLOOKUP($Q111,武学奇术!$A:$ZZ,22,FALSE)=1,0,(1-$BI111))*(1-$BL111)</f>
        <v>0.00282254999999999</v>
      </c>
      <c r="BQ111" s="27" cm="1">
        <f t="array" ref="BQ111">SUM(_xlfn.XLOOKUP(R111:AF111,增益!$A:$A,增益!$W:$W,0))+$I$5</f>
        <v>0.11</v>
      </c>
    </row>
    <row r="112" spans="1:69">
      <c r="A112" s="4" t="s">
        <v>147</v>
      </c>
      <c r="B112" s="4">
        <v>1</v>
      </c>
      <c r="C112" s="42"/>
      <c r="G112" s="42"/>
      <c r="K112" s="41">
        <f t="shared" si="42"/>
        <v>0</v>
      </c>
      <c r="L112" s="41">
        <f>((($AN112+$AO112)/2*$AH112+$AI112)*(1+$AP112)*(1+$AQ112)+(($AS112+$AT112)/2*IF($G$1="鸣金",$AJ112,$AH112)+IF($G$1="鸣金",$AK112*1.5,0))*(1+$AU112)*(1+$AV112)+(($AW112+$AX112)/2*IF($G$1="裂石",$AJ112,$AH112)+IF($G$1="裂石",$AK112*1.5,0))*(1+$AY112)*(1+$AZ112)+(($BA112+$BB112)/2*IF($G$1="牵丝",$AJ112,$AH112)+IF($G$1="牵丝",$AK112*1.5,0))*(1+$BC112)*(1+$BD112)+(($BE112+$BF112)/2*IF($G$1="破竹",$AJ112,$AH112)+IF($G$1="破竹",$AK112*1.5,0))*(1+$BG112)*(1+$BH112))*(1+$AL112)*$BK112*$P112*(1+IF(VLOOKUP($Q112,武学奇术!$A:$ZZ,30,FALSE)="弹道",$B$21,0))*(1+$BQ112)</f>
        <v>0</v>
      </c>
      <c r="M112" s="41">
        <f>(($AO112*$AH112+$AI112)*(1+$AP112)*(1+$AQ112)+($AT112*IF($G$1="鸣金",$AJ112,$AH112)+IF($G$1="鸣金",$AK112*1.5,0))*(1+$AU112)*(1+$AV112)+($AX112*IF($G$1="裂石",$AJ112,$AH112)+IF($G$1="裂石",$AK112*1.5,0))*(1+$AY112)*(1+$AZ112)+($BB112*IF($G$1="牵丝",$AJ112,$AH112)+IF($G$1="牵丝",$AK112*1.5,0))*(1+$BC112)*(1+$BD112)+($BF112*IF($G$1="破竹",$AJ112,$AH112)+IF($G$1="破竹",$AK112*1.5,0))*(1+$BG112)*(1+$BH112))*(1+$AL112)*$BM112*$P112*(1+IF(VLOOKUP($Q112,武学奇术!$A:$ZZ,30,FALSE)="弹道",$B$21,0))*(1+$BQ112)</f>
        <v>0</v>
      </c>
      <c r="N112" s="41">
        <f>((($AN112+$AO112)/2*$AH112+$AI112)*(1+$AP112)*(1+$AQ112)+(($AS112+$AT112)/2*IF($G$1="鸣金",$AJ112,$AH112)+IF($G$1="鸣金",$AK112*1.5,0))*(1+$AU112)*(1+$AV112)+(($AW112+$AX112)/2*IF($G$1="裂石",$AJ112,$AH112)+IF($G$1="裂石",$AK112*1.5,0))*(1+$AY112)*(1+$AZ112)+(($BA112+$BB112)/2*IF($G$1="牵丝",$AJ112,$AH112)+IF($G$1="牵丝",$AK112*1.5,0))*(1+$BC112)*(1+$BD112)+(($BE112+$BF112)/2*IF($G$1="破竹",$AJ112,$AH112)+IF($G$1="破竹",$AK112*1.5,0))*(1+$BG112)*(1+$BH112))*(1+$AL112)*$P112*(1+IF(VLOOKUP($Q112,武学奇术!$A:$ZZ,30,FALSE)="弹道",$B$21,0))*(1+$BQ112)</f>
        <v>0</v>
      </c>
      <c r="O112" s="41">
        <f>((($AN112*$AH112+$AI112)*(1+$AP112)*(1+$AQ112)+($AS112*IF($G$1="鸣金",$AJ112,$AH112)+IF($G$1="鸣金",$AK112*1.5,0))*(1+$AU112)*(1+$AV112)+($AW112*IF($G$1="裂石",$AJ112,$AH112)+IF($G$1="裂石",$AK112*1.5,0))*(1+$AY112)*(1+$AZ112)+($BA112*IF($G$1="牵丝",$AJ112,$AH112)+IF($G$1="牵丝",$AK112*1.5,0))*(1+$BC112)*(1+$BD112)+($BE112*IF($G$1="破竹",$AJ112,$AH112)+IF($G$1="破竹",$AK112*1.5,0))*(1+$BG112)*(1+$BH112))*(1+$AL112))*$P112*(1+IF(VLOOKUP($Q112,武学奇术!$A:$ZZ,30,FALSE)="弹道",$B$21,0))*(1+$BQ112)</f>
        <v>0</v>
      </c>
      <c r="P112" s="42">
        <v>1</v>
      </c>
      <c r="Q112" s="43" t="s">
        <v>73</v>
      </c>
      <c r="R112" s="43" t="s">
        <v>73</v>
      </c>
      <c r="S112" s="43" t="s">
        <v>73</v>
      </c>
      <c r="T112" s="43" t="s">
        <v>73</v>
      </c>
      <c r="U112" s="43" t="s">
        <v>73</v>
      </c>
      <c r="V112" s="43" t="s">
        <v>73</v>
      </c>
      <c r="W112" s="43" t="s">
        <v>73</v>
      </c>
      <c r="X112" s="43" t="s">
        <v>73</v>
      </c>
      <c r="Y112" s="43" t="s">
        <v>73</v>
      </c>
      <c r="Z112" s="43" t="s">
        <v>73</v>
      </c>
      <c r="AA112" s="43" t="s">
        <v>73</v>
      </c>
      <c r="AB112" s="43" t="s">
        <v>73</v>
      </c>
      <c r="AC112" s="43" t="s">
        <v>73</v>
      </c>
      <c r="AD112" s="43" t="s">
        <v>73</v>
      </c>
      <c r="AE112" s="43" t="s">
        <v>73</v>
      </c>
      <c r="AF112" s="43" t="s">
        <v>75</v>
      </c>
      <c r="AG112" t="str">
        <f>VLOOKUP($Q112,武学奇术!$A:$ZZ,25,FALSE)</f>
        <v>心法</v>
      </c>
      <c r="AH112" s="27">
        <f>VLOOKUP($Q112,武学奇术!$A:$ZZ,26,FALSE)</f>
        <v>0</v>
      </c>
      <c r="AI112" s="28">
        <f>VLOOKUP($Q112,武学奇术!$A:$ZZ,27,FALSE)*(1+IF(OR($AG112=$F$4,$AG112=$F$5),$B$22,0))</f>
        <v>0</v>
      </c>
      <c r="AJ112" s="27">
        <f>VLOOKUP($Q112,武学奇术!$A:$ZZ,28,FALSE)</f>
        <v>0</v>
      </c>
      <c r="AK112" s="28">
        <f>VLOOKUP($Q112,武学奇术!$A:$ZZ,29,FALSE)*(1+IF(OR($AG112=$F$4,$AG112=$F$5),$B$22,0))</f>
        <v>0</v>
      </c>
      <c r="AL112" s="27" cm="1">
        <f t="array" ref="AL112">$G$3+IFERROR(VLOOKUP($AG112,$F$4:$G$7,2,FALSE),0)+VLOOKUP($Q112,武学奇术!$A:$ZZ,2,FALSE)+SUM(_xlfn.XLOOKUP($R112:$AF112,增益!$A:$A,增益!$B:$B,0))</f>
        <v>0.1837</v>
      </c>
      <c r="AM112" s="27" cm="1">
        <f t="array" ref="AM112">VLOOKUP($Q112,武学奇术!$A:$ZZ,5,FALSE)+SUM(_xlfn.XLOOKUP($R112:$AF112,增益!$A:$A,增益!$E:$E,0))</f>
        <v>0</v>
      </c>
      <c r="AN112" cm="1">
        <f t="array" ref="AN112">$D$10*(1+$AM112)+VLOOKUP($Q112,武学奇术!$A:$ZZ,3,FALSE)+SUM(_xlfn.XLOOKUP($R112:$AF112,增益!$A:$A,增益!$C:$C,0))-$I$2</f>
        <v>1775.7</v>
      </c>
      <c r="AO112" cm="1">
        <f t="array" ref="AO112">$E$10*(1+$AM112)+VLOOKUP($Q112,武学奇术!$A:$ZZ,4,FALSE)+SUM(_xlfn.XLOOKUP($R112:$AF112,增益!$A:$A,增益!$D:$D,0))-$I$2</f>
        <v>5251.5</v>
      </c>
      <c r="AP112" s="35" cm="1">
        <f t="array" ref="AP112">IF($F$10-$I$3+VLOOKUP($Q112,武学奇术!$A:$ZZ,6,FALSE)+SUM(_xlfn.XLOOKUP(R112:AF112,增益!$A:$A,增益!$F:$F,0))&gt;0,($F$10-$I$3+VLOOKUP($Q112,武学奇术!$A:$ZZ,6,FALSE)+SUM(_xlfn.XLOOKUP(R112:AF112,增益!$A:$A,增益!$F:$F,0)))/200,($F$10-$I$3+VLOOKUP($Q112,武学奇术!$A:$ZZ,6,FALSE)+SUM(_xlfn.XLOOKUP(R112:AF112,增益!$A:$A,增益!$F:$F,0)))/100)</f>
        <v>0.2925</v>
      </c>
      <c r="AQ112" s="35" cm="1">
        <f t="array" ref="AQ112">$G$10+VLOOKUP($Q112,武学奇术!$A:$ZZ,7,FALSE)+SUM(_xlfn.XLOOKUP(R112:AF112,增益!$A:$A,增益!$G:$G,0))</f>
        <v>0</v>
      </c>
      <c r="AR112" s="27" cm="1">
        <f t="array" ref="AR112">VLOOKUP($Q112,武学奇术!$A:$ZZ,8,FALSE)+SUM(_xlfn.XLOOKUP(R112:AF112,增益!$A:$A,增益!$H:$H,0))</f>
        <v>0</v>
      </c>
      <c r="AS112">
        <f t="shared" si="43"/>
        <v>0</v>
      </c>
      <c r="AT112">
        <f t="shared" si="44"/>
        <v>0</v>
      </c>
      <c r="AU112" s="35" cm="1">
        <f t="array" ref="AU112">IF($F$11-$I$4+VLOOKUP($Q112,武学奇术!$A:$ZZ,9,FALSE)+SUM(_xlfn.XLOOKUP(R112:AF112,增益!$A:$A,增益!$I:$I,0))&gt;0,($F$11-$I$4+VLOOKUP($Q112,武学奇术!$A:$ZZ,9,FALSE)+SUM(_xlfn.XLOOKUP(R112:AF112,增益!$A:$A,增益!$I:$I,0)))/200,($F$11-$I$4+VLOOKUP($Q112,武学奇术!$A:$ZZ,9,FALSE)+SUM(_xlfn.XLOOKUP(R112:AF112,增益!$A:$A,增益!$I:$I,0)))/100)</f>
        <v>-0.3</v>
      </c>
      <c r="AV112" s="35" cm="1">
        <f t="array" ref="AV112">$G$11+VLOOKUP($Q112,武学奇术!$A:$ZZ,10,FALSE)+SUM(_xlfn.XLOOKUP(R112:AF112,增益!$A:$A,增益!$J:$J,0))</f>
        <v>0</v>
      </c>
      <c r="AW112">
        <f t="shared" si="45"/>
        <v>0</v>
      </c>
      <c r="AX112">
        <f t="shared" si="46"/>
        <v>0</v>
      </c>
      <c r="AY112" s="35" cm="1">
        <f t="array" ref="AY112">IF($F$12-$I$4+VLOOKUP($Q112,武学奇术!$A:$ZZ,11,FALSE)+SUM(_xlfn.XLOOKUP(R112:AF112,增益!$A:$A,增益!$K:$K,0))&gt;0,($F$12-$I$4+VLOOKUP($Q112,武学奇术!$A:$ZZ,11,FALSE)+SUM(_xlfn.XLOOKUP(R112:AF112,增益!$A:$A,增益!$K:$K,0)))/200,($F$12-$I$4+VLOOKUP($Q112,武学奇术!$A:$ZZ,11,FALSE)+SUM(_xlfn.XLOOKUP(R112:AF112,增益!$A:$A,增益!$K:$K,0)))/100)</f>
        <v>-0.3</v>
      </c>
      <c r="AZ112" s="35" cm="1">
        <f t="array" ref="AZ112">$G$12+VLOOKUP($Q112,武学奇术!$A:$ZZ,12,FALSE)+SUM(_xlfn.XLOOKUP(R112:AF112,增益!$A:$A,增益!$L:$L,0))</f>
        <v>0</v>
      </c>
      <c r="BA112">
        <f t="shared" si="47"/>
        <v>538</v>
      </c>
      <c r="BB112">
        <f t="shared" si="48"/>
        <v>1011</v>
      </c>
      <c r="BC112" s="35" cm="1">
        <f t="array" ref="BC112">IF($F$13-$I$4+VLOOKUP($Q112,武学奇术!$A:$ZZ,13,FALSE)+SUM(_xlfn.XLOOKUP(R112:AF112,增益!$A:$A,增益!$M:$M,0))&gt;0,($F$13-$I$4+VLOOKUP($Q112,武学奇术!$A:$ZZ,13,FALSE)+SUM(_xlfn.XLOOKUP(R112:AF112,增益!$A:$A,增益!$K:$K,0)))/200,($F$13-$I$4+VLOOKUP($Q112,武学奇术!$A:$ZZ,13,FALSE)+SUM(_xlfn.XLOOKUP(R112:AF112,增益!$A:$A,增益!$M:$M,0)))/100)</f>
        <v>0</v>
      </c>
      <c r="BD112" s="35" cm="1">
        <f t="array" ref="BD112">$G$13+VLOOKUP($Q112,武学奇术!$A:$ZZ,14,FALSE)+SUM(_xlfn.XLOOKUP(R112:AF112,增益!$A:$A,增益!$N:$N,0))</f>
        <v>0.15</v>
      </c>
      <c r="BE112">
        <f t="shared" si="49"/>
        <v>0</v>
      </c>
      <c r="BF112">
        <f t="shared" si="50"/>
        <v>0</v>
      </c>
      <c r="BG112" s="35" cm="1">
        <f t="array" ref="BG112">IF($F$14-$I$4+VLOOKUP($Q112,武学奇术!$A:$ZZ,15,FALSE)+SUM(_xlfn.XLOOKUP(R112:AF112,增益!$A:$A,增益!$O:$O,0))&gt;0,($F$14-$I$4+VLOOKUP($Q112,武学奇术!$A:$ZZ,15,FALSE)+SUM(_xlfn.XLOOKUP(R112:AF112,增益!$A:$A,增益!$O:$O,0)))/200,($F$14-$I$4+VLOOKUP($Q112,武学奇术!$A:$ZZ,15,FALSE)+SUM(_xlfn.XLOOKUP(R112:AF112,增益!$A:$A,增益!$O:$O,0)))/100)</f>
        <v>-0.3</v>
      </c>
      <c r="BH112" s="35" cm="1">
        <f t="array" ref="BH112">$G$14+VLOOKUP($Q112,武学奇术!$A:$ZZ,16,FALSE)+SUM(_xlfn.XLOOKUP(R112:AF112,增益!$A:$A,增益!$P:$P,0))</f>
        <v>0</v>
      </c>
      <c r="BI112" s="27">
        <f>MIN(IF(VLOOKUP($Q112,武学奇术!$A:$ZZ,23,FALSE)=1,100%,$B$8),100%)</f>
        <v>0.9969</v>
      </c>
      <c r="BJ112" s="27" cm="1">
        <f t="array" ref="BJ112">IF(VLOOKUP($Q112,武学奇术!$A:$ZZ,23,FALSE)=1,100%,MIN(80%,$B$9+VLOOKUP($Q112,武学奇术!$A:$ZZ,17,FALSE)+SUM(_xlfn.XLOOKUP(R112:AF112,增益!$A:$A,增益!$Q:$Q,0)))+$B$11+SUM(_xlfn.XLOOKUP(R112:AF112,增益!$A:$A,增益!$U:$U,0)))*IF(VLOOKUP($Q112,武学奇术!$A:$ZZ,24,FALSE)=1,0,1)</f>
        <v>0.9137</v>
      </c>
      <c r="BK112" s="27" cm="1">
        <f t="array" ref="BK112">1+$B$13+VLOOKUP($Q112,武学奇术!$A:$ZZ,18,FALSE)+SUM(_xlfn.XLOOKUP(R112:AF112,增益!$A:$A,增益!$R:$R,0))</f>
        <v>1.5</v>
      </c>
      <c r="BL112" s="27" cm="1">
        <f t="array" ref="BL112">IF(VLOOKUP($Q112,武学奇术!$A:$ZZ,24,FALSE)=1,100%,MIN(40%,$B$10+VLOOKUP($Q112,武学奇术!$A:$ZZ,19,FALSE)+SUM(_xlfn.XLOOKUP(R112:AF112,增益!$A:$A,增益!$S:$S,0)))+$B$12+SUM(_xlfn.XLOOKUP(R112:AF112,增益!$A:$A,增益!$V:$V,0)))*IF(VLOOKUP($Q112,武学奇术!$A:$ZZ,23,FALSE)=1,0,1)</f>
        <v>0.0895</v>
      </c>
      <c r="BM112" s="27" cm="1">
        <f t="array" ref="BM112">1+$B$14+VLOOKUP($Q112,武学奇术!$A:$ZZ,20,FALSE)+SUM(_xlfn.XLOOKUP(R112:AF112,增益!$A:$A,增益!$T:$T,0))</f>
        <v>1.35</v>
      </c>
      <c r="BN112" s="27">
        <f t="shared" si="22"/>
        <v>0.90767745</v>
      </c>
      <c r="BO112" s="27">
        <f t="shared" si="32"/>
        <v>-1.30104260698261e-17</v>
      </c>
      <c r="BP112" s="27">
        <f>IF(VLOOKUP($Q112,武学奇术!$A:$ZZ,22,FALSE)=1,0,(1-$BI112))*(1-$BL112)</f>
        <v>0.00282254999999999</v>
      </c>
      <c r="BQ112" s="27" cm="1">
        <f t="array" ref="BQ112">SUM(_xlfn.XLOOKUP(R112:AF112,增益!$A:$A,增益!$W:$W,0))+$I$5</f>
        <v>0.11</v>
      </c>
    </row>
    <row r="113" spans="1:69">
      <c r="A113" s="4" t="s">
        <v>176</v>
      </c>
      <c r="B113" s="4">
        <v>2.5</v>
      </c>
      <c r="C113" s="42"/>
      <c r="F113">
        <v>-20</v>
      </c>
      <c r="G113" s="42"/>
      <c r="K113" s="41">
        <f t="shared" si="42"/>
        <v>0</v>
      </c>
      <c r="L113" s="41">
        <f>((($AN113+$AO113)/2*$AH113+$AI113)*(1+$AP113)*(1+$AQ113)+(($AS113+$AT113)/2*IF($G$1="鸣金",$AJ113,$AH113)+IF($G$1="鸣金",$AK113*1.5,0))*(1+$AU113)*(1+$AV113)+(($AW113+$AX113)/2*IF($G$1="裂石",$AJ113,$AH113)+IF($G$1="裂石",$AK113*1.5,0))*(1+$AY113)*(1+$AZ113)+(($BA113+$BB113)/2*IF($G$1="牵丝",$AJ113,$AH113)+IF($G$1="牵丝",$AK113*1.5,0))*(1+$BC113)*(1+$BD113)+(($BE113+$BF113)/2*IF($G$1="破竹",$AJ113,$AH113)+IF($G$1="破竹",$AK113*1.5,0))*(1+$BG113)*(1+$BH113))*(1+$AL113)*$BK113*$P113*(1+IF(VLOOKUP($Q113,武学奇术!$A:$ZZ,30,FALSE)="弹道",$B$21,0))*(1+$BQ113)</f>
        <v>0</v>
      </c>
      <c r="M113" s="41">
        <f>(($AO113*$AH113+$AI113)*(1+$AP113)*(1+$AQ113)+($AT113*IF($G$1="鸣金",$AJ113,$AH113)+IF($G$1="鸣金",$AK113*1.5,0))*(1+$AU113)*(1+$AV113)+($AX113*IF($G$1="裂石",$AJ113,$AH113)+IF($G$1="裂石",$AK113*1.5,0))*(1+$AY113)*(1+$AZ113)+($BB113*IF($G$1="牵丝",$AJ113,$AH113)+IF($G$1="牵丝",$AK113*1.5,0))*(1+$BC113)*(1+$BD113)+($BF113*IF($G$1="破竹",$AJ113,$AH113)+IF($G$1="破竹",$AK113*1.5,0))*(1+$BG113)*(1+$BH113))*(1+$AL113)*$BM113*$P113*(1+IF(VLOOKUP($Q113,武学奇术!$A:$ZZ,30,FALSE)="弹道",$B$21,0))*(1+$BQ113)</f>
        <v>0</v>
      </c>
      <c r="N113" s="41">
        <f>((($AN113+$AO113)/2*$AH113+$AI113)*(1+$AP113)*(1+$AQ113)+(($AS113+$AT113)/2*IF($G$1="鸣金",$AJ113,$AH113)+IF($G$1="鸣金",$AK113*1.5,0))*(1+$AU113)*(1+$AV113)+(($AW113+$AX113)/2*IF($G$1="裂石",$AJ113,$AH113)+IF($G$1="裂石",$AK113*1.5,0))*(1+$AY113)*(1+$AZ113)+(($BA113+$BB113)/2*IF($G$1="牵丝",$AJ113,$AH113)+IF($G$1="牵丝",$AK113*1.5,0))*(1+$BC113)*(1+$BD113)+(($BE113+$BF113)/2*IF($G$1="破竹",$AJ113,$AH113)+IF($G$1="破竹",$AK113*1.5,0))*(1+$BG113)*(1+$BH113))*(1+$AL113)*$P113*(1+IF(VLOOKUP($Q113,武学奇术!$A:$ZZ,30,FALSE)="弹道",$B$21,0))*(1+$BQ113)</f>
        <v>0</v>
      </c>
      <c r="O113" s="41">
        <f>((($AN113*$AH113+$AI113)*(1+$AP113)*(1+$AQ113)+($AS113*IF($G$1="鸣金",$AJ113,$AH113)+IF($G$1="鸣金",$AK113*1.5,0))*(1+$AU113)*(1+$AV113)+($AW113*IF($G$1="裂石",$AJ113,$AH113)+IF($G$1="裂石",$AK113*1.5,0))*(1+$AY113)*(1+$AZ113)+($BA113*IF($G$1="牵丝",$AJ113,$AH113)+IF($G$1="牵丝",$AK113*1.5,0))*(1+$BC113)*(1+$BD113)+($BE113*IF($G$1="破竹",$AJ113,$AH113)+IF($G$1="破竹",$AK113*1.5,0))*(1+$BG113)*(1+$BH113))*(1+$AL113))*$P113*(1+IF(VLOOKUP($Q113,武学奇术!$A:$ZZ,30,FALSE)="弹道",$B$21,0))*(1+$BQ113)</f>
        <v>0</v>
      </c>
      <c r="P113" s="42">
        <f>IF($C$22="易水歌",1,0)</f>
        <v>1</v>
      </c>
      <c r="Q113" s="43" t="s">
        <v>73</v>
      </c>
      <c r="R113" s="43" t="s">
        <v>73</v>
      </c>
      <c r="S113" s="43" t="s">
        <v>73</v>
      </c>
      <c r="T113" s="43" t="s">
        <v>73</v>
      </c>
      <c r="U113" s="43" t="s">
        <v>73</v>
      </c>
      <c r="V113" s="43" t="s">
        <v>73</v>
      </c>
      <c r="W113" s="43" t="s">
        <v>73</v>
      </c>
      <c r="X113" s="43" t="s">
        <v>73</v>
      </c>
      <c r="Y113" s="43" t="s">
        <v>73</v>
      </c>
      <c r="Z113" s="43" t="s">
        <v>73</v>
      </c>
      <c r="AA113" s="43" t="s">
        <v>73</v>
      </c>
      <c r="AB113" s="43" t="s">
        <v>73</v>
      </c>
      <c r="AC113" s="43" t="s">
        <v>73</v>
      </c>
      <c r="AD113" s="43" t="s">
        <v>73</v>
      </c>
      <c r="AE113" s="43" t="s">
        <v>73</v>
      </c>
      <c r="AF113" s="43" t="s">
        <v>75</v>
      </c>
      <c r="AG113" t="str">
        <f>VLOOKUP($Q113,武学奇术!$A:$ZZ,25,FALSE)</f>
        <v>心法</v>
      </c>
      <c r="AH113" s="27">
        <f>VLOOKUP($Q113,武学奇术!$A:$ZZ,26,FALSE)</f>
        <v>0</v>
      </c>
      <c r="AI113" s="28">
        <f>VLOOKUP($Q113,武学奇术!$A:$ZZ,27,FALSE)*(1+IF(OR($AG113=$F$4,$AG113=$F$5),$B$22,0))</f>
        <v>0</v>
      </c>
      <c r="AJ113" s="27">
        <f>VLOOKUP($Q113,武学奇术!$A:$ZZ,28,FALSE)</f>
        <v>0</v>
      </c>
      <c r="AK113" s="28">
        <f>VLOOKUP($Q113,武学奇术!$A:$ZZ,29,FALSE)*(1+IF(OR($AG113=$F$4,$AG113=$F$5),$B$22,0))</f>
        <v>0</v>
      </c>
      <c r="AL113" s="27" cm="1">
        <f t="array" ref="AL113">$G$3+IFERROR(VLOOKUP($AG113,$F$4:$G$7,2,FALSE),0)+VLOOKUP($Q113,武学奇术!$A:$ZZ,2,FALSE)+SUM(_xlfn.XLOOKUP($R113:$AF113,增益!$A:$A,增益!$B:$B,0))</f>
        <v>0.1837</v>
      </c>
      <c r="AM113" s="27" cm="1">
        <f t="array" ref="AM113">VLOOKUP($Q113,武学奇术!$A:$ZZ,5,FALSE)+SUM(_xlfn.XLOOKUP($R113:$AF113,增益!$A:$A,增益!$E:$E,0))</f>
        <v>0</v>
      </c>
      <c r="AN113" cm="1">
        <f t="array" ref="AN113">$D$10*(1+$AM113)+VLOOKUP($Q113,武学奇术!$A:$ZZ,3,FALSE)+SUM(_xlfn.XLOOKUP($R113:$AF113,增益!$A:$A,增益!$C:$C,0))-$I$2</f>
        <v>1775.7</v>
      </c>
      <c r="AO113" cm="1">
        <f t="array" ref="AO113">$E$10*(1+$AM113)+VLOOKUP($Q113,武学奇术!$A:$ZZ,4,FALSE)+SUM(_xlfn.XLOOKUP($R113:$AF113,增益!$A:$A,增益!$D:$D,0))-$I$2</f>
        <v>5251.5</v>
      </c>
      <c r="AP113" s="35" cm="1">
        <f t="array" ref="AP113">IF($F$10-$I$3+VLOOKUP($Q113,武学奇术!$A:$ZZ,6,FALSE)+SUM(_xlfn.XLOOKUP(R113:AF113,增益!$A:$A,增益!$F:$F,0))&gt;0,($F$10-$I$3+VLOOKUP($Q113,武学奇术!$A:$ZZ,6,FALSE)+SUM(_xlfn.XLOOKUP(R113:AF113,增益!$A:$A,增益!$F:$F,0)))/200,($F$10-$I$3+VLOOKUP($Q113,武学奇术!$A:$ZZ,6,FALSE)+SUM(_xlfn.XLOOKUP(R113:AF113,增益!$A:$A,增益!$F:$F,0)))/100)</f>
        <v>0.2925</v>
      </c>
      <c r="AQ113" s="35" cm="1">
        <f t="array" ref="AQ113">$G$10+VLOOKUP($Q113,武学奇术!$A:$ZZ,7,FALSE)+SUM(_xlfn.XLOOKUP(R113:AF113,增益!$A:$A,增益!$G:$G,0))</f>
        <v>0</v>
      </c>
      <c r="AR113" s="27" cm="1">
        <f t="array" ref="AR113">VLOOKUP($Q113,武学奇术!$A:$ZZ,8,FALSE)+SUM(_xlfn.XLOOKUP(R113:AF113,增益!$A:$A,增益!$H:$H,0))</f>
        <v>0</v>
      </c>
      <c r="AS113">
        <f t="shared" si="43"/>
        <v>0</v>
      </c>
      <c r="AT113">
        <f t="shared" si="44"/>
        <v>0</v>
      </c>
      <c r="AU113" s="35" cm="1">
        <f t="array" ref="AU113">IF($F$11-$I$4+VLOOKUP($Q113,武学奇术!$A:$ZZ,9,FALSE)+SUM(_xlfn.XLOOKUP(R113:AF113,增益!$A:$A,增益!$I:$I,0))&gt;0,($F$11-$I$4+VLOOKUP($Q113,武学奇术!$A:$ZZ,9,FALSE)+SUM(_xlfn.XLOOKUP(R113:AF113,增益!$A:$A,增益!$I:$I,0)))/200,($F$11-$I$4+VLOOKUP($Q113,武学奇术!$A:$ZZ,9,FALSE)+SUM(_xlfn.XLOOKUP(R113:AF113,增益!$A:$A,增益!$I:$I,0)))/100)</f>
        <v>-0.3</v>
      </c>
      <c r="AV113" s="35" cm="1">
        <f t="array" ref="AV113">$G$11+VLOOKUP($Q113,武学奇术!$A:$ZZ,10,FALSE)+SUM(_xlfn.XLOOKUP(R113:AF113,增益!$A:$A,增益!$J:$J,0))</f>
        <v>0</v>
      </c>
      <c r="AW113">
        <f t="shared" si="45"/>
        <v>0</v>
      </c>
      <c r="AX113">
        <f t="shared" si="46"/>
        <v>0</v>
      </c>
      <c r="AY113" s="35" cm="1">
        <f t="array" ref="AY113">IF($F$12-$I$4+VLOOKUP($Q113,武学奇术!$A:$ZZ,11,FALSE)+SUM(_xlfn.XLOOKUP(R113:AF113,增益!$A:$A,增益!$K:$K,0))&gt;0,($F$12-$I$4+VLOOKUP($Q113,武学奇术!$A:$ZZ,11,FALSE)+SUM(_xlfn.XLOOKUP(R113:AF113,增益!$A:$A,增益!$K:$K,0)))/200,($F$12-$I$4+VLOOKUP($Q113,武学奇术!$A:$ZZ,11,FALSE)+SUM(_xlfn.XLOOKUP(R113:AF113,增益!$A:$A,增益!$K:$K,0)))/100)</f>
        <v>-0.3</v>
      </c>
      <c r="AZ113" s="35" cm="1">
        <f t="array" ref="AZ113">$G$12+VLOOKUP($Q113,武学奇术!$A:$ZZ,12,FALSE)+SUM(_xlfn.XLOOKUP(R113:AF113,增益!$A:$A,增益!$L:$L,0))</f>
        <v>0</v>
      </c>
      <c r="BA113">
        <f t="shared" si="47"/>
        <v>538</v>
      </c>
      <c r="BB113">
        <f t="shared" si="48"/>
        <v>1011</v>
      </c>
      <c r="BC113" s="35" cm="1">
        <f t="array" ref="BC113">IF($F$13-$I$4+VLOOKUP($Q113,武学奇术!$A:$ZZ,13,FALSE)+SUM(_xlfn.XLOOKUP(R113:AF113,增益!$A:$A,增益!$M:$M,0))&gt;0,($F$13-$I$4+VLOOKUP($Q113,武学奇术!$A:$ZZ,13,FALSE)+SUM(_xlfn.XLOOKUP(R113:AF113,增益!$A:$A,增益!$K:$K,0)))/200,($F$13-$I$4+VLOOKUP($Q113,武学奇术!$A:$ZZ,13,FALSE)+SUM(_xlfn.XLOOKUP(R113:AF113,增益!$A:$A,增益!$M:$M,0)))/100)</f>
        <v>0</v>
      </c>
      <c r="BD113" s="35" cm="1">
        <f t="array" ref="BD113">$G$13+VLOOKUP($Q113,武学奇术!$A:$ZZ,14,FALSE)+SUM(_xlfn.XLOOKUP(R113:AF113,增益!$A:$A,增益!$N:$N,0))</f>
        <v>0.15</v>
      </c>
      <c r="BE113">
        <f t="shared" si="49"/>
        <v>0</v>
      </c>
      <c r="BF113">
        <f t="shared" si="50"/>
        <v>0</v>
      </c>
      <c r="BG113" s="35" cm="1">
        <f t="array" ref="BG113">IF($F$14-$I$4+VLOOKUP($Q113,武学奇术!$A:$ZZ,15,FALSE)+SUM(_xlfn.XLOOKUP(R113:AF113,增益!$A:$A,增益!$O:$O,0))&gt;0,($F$14-$I$4+VLOOKUP($Q113,武学奇术!$A:$ZZ,15,FALSE)+SUM(_xlfn.XLOOKUP(R113:AF113,增益!$A:$A,增益!$O:$O,0)))/200,($F$14-$I$4+VLOOKUP($Q113,武学奇术!$A:$ZZ,15,FALSE)+SUM(_xlfn.XLOOKUP(R113:AF113,增益!$A:$A,增益!$O:$O,0)))/100)</f>
        <v>-0.3</v>
      </c>
      <c r="BH113" s="35" cm="1">
        <f t="array" ref="BH113">$G$14+VLOOKUP($Q113,武学奇术!$A:$ZZ,16,FALSE)+SUM(_xlfn.XLOOKUP(R113:AF113,增益!$A:$A,增益!$P:$P,0))</f>
        <v>0</v>
      </c>
      <c r="BI113" s="27">
        <f>MIN(IF(VLOOKUP($Q113,武学奇术!$A:$ZZ,23,FALSE)=1,100%,$B$8),100%)</f>
        <v>0.9969</v>
      </c>
      <c r="BJ113" s="27" cm="1">
        <f t="array" ref="BJ113">IF(VLOOKUP($Q113,武学奇术!$A:$ZZ,23,FALSE)=1,100%,MIN(80%,$B$9+VLOOKUP($Q113,武学奇术!$A:$ZZ,17,FALSE)+SUM(_xlfn.XLOOKUP(R113:AF113,增益!$A:$A,增益!$Q:$Q,0)))+$B$11+SUM(_xlfn.XLOOKUP(R113:AF113,增益!$A:$A,增益!$U:$U,0)))*IF(VLOOKUP($Q113,武学奇术!$A:$ZZ,24,FALSE)=1,0,1)</f>
        <v>0.9137</v>
      </c>
      <c r="BK113" s="27" cm="1">
        <f t="array" ref="BK113">1+$B$13+VLOOKUP($Q113,武学奇术!$A:$ZZ,18,FALSE)+SUM(_xlfn.XLOOKUP(R113:AF113,增益!$A:$A,增益!$R:$R,0))</f>
        <v>1.5</v>
      </c>
      <c r="BL113" s="27" cm="1">
        <f t="array" ref="BL113">IF(VLOOKUP($Q113,武学奇术!$A:$ZZ,24,FALSE)=1,100%,MIN(40%,$B$10+VLOOKUP($Q113,武学奇术!$A:$ZZ,19,FALSE)+SUM(_xlfn.XLOOKUP(R113:AF113,增益!$A:$A,增益!$S:$S,0)))+$B$12+SUM(_xlfn.XLOOKUP(R113:AF113,增益!$A:$A,增益!$V:$V,0)))*IF(VLOOKUP($Q113,武学奇术!$A:$ZZ,23,FALSE)=1,0,1)</f>
        <v>0.0895</v>
      </c>
      <c r="BM113" s="27" cm="1">
        <f t="array" ref="BM113">1+$B$14+VLOOKUP($Q113,武学奇术!$A:$ZZ,20,FALSE)+SUM(_xlfn.XLOOKUP(R113:AF113,增益!$A:$A,增益!$T:$T,0))</f>
        <v>1.35</v>
      </c>
      <c r="BN113" s="27">
        <f t="shared" si="22"/>
        <v>0.90767745</v>
      </c>
      <c r="BO113" s="27">
        <f t="shared" si="32"/>
        <v>-1.30104260698261e-17</v>
      </c>
      <c r="BP113" s="27">
        <f>IF(VLOOKUP($Q113,武学奇术!$A:$ZZ,22,FALSE)=1,0,(1-$BI113))*(1-$BL113)</f>
        <v>0.00282254999999999</v>
      </c>
      <c r="BQ113" s="27" cm="1">
        <f t="array" ref="BQ113">SUM(_xlfn.XLOOKUP(R113:AF113,增益!$A:$A,增益!$W:$W,0))+$I$5</f>
        <v>0.11</v>
      </c>
    </row>
    <row r="114" spans="1:69">
      <c r="A114" s="4" t="s">
        <v>178</v>
      </c>
      <c r="B114" s="4">
        <v>3.3</v>
      </c>
      <c r="C114" s="42"/>
      <c r="F114">
        <v>-26</v>
      </c>
      <c r="G114" s="42"/>
      <c r="K114" s="41">
        <f t="shared" si="42"/>
        <v>0</v>
      </c>
      <c r="L114" s="41">
        <f>((($AN114+$AO114)/2*$AH114+$AI114)*(1+$AP114)*(1+$AQ114)+(($AS114+$AT114)/2*IF($G$1="鸣金",$AJ114,$AH114)+IF($G$1="鸣金",$AK114*1.5,0))*(1+$AU114)*(1+$AV114)+(($AW114+$AX114)/2*IF($G$1="裂石",$AJ114,$AH114)+IF($G$1="裂石",$AK114*1.5,0))*(1+$AY114)*(1+$AZ114)+(($BA114+$BB114)/2*IF($G$1="牵丝",$AJ114,$AH114)+IF($G$1="牵丝",$AK114*1.5,0))*(1+$BC114)*(1+$BD114)+(($BE114+$BF114)/2*IF($G$1="破竹",$AJ114,$AH114)+IF($G$1="破竹",$AK114*1.5,0))*(1+$BG114)*(1+$BH114))*(1+$AL114)*$BK114*$P114*(1+IF(VLOOKUP($Q114,武学奇术!$A:$ZZ,30,FALSE)="弹道",$B$21,0))*(1+$BQ114)</f>
        <v>0</v>
      </c>
      <c r="M114" s="41">
        <f>(($AO114*$AH114+$AI114)*(1+$AP114)*(1+$AQ114)+($AT114*IF($G$1="鸣金",$AJ114,$AH114)+IF($G$1="鸣金",$AK114*1.5,0))*(1+$AU114)*(1+$AV114)+($AX114*IF($G$1="裂石",$AJ114,$AH114)+IF($G$1="裂石",$AK114*1.5,0))*(1+$AY114)*(1+$AZ114)+($BB114*IF($G$1="牵丝",$AJ114,$AH114)+IF($G$1="牵丝",$AK114*1.5,0))*(1+$BC114)*(1+$BD114)+($BF114*IF($G$1="破竹",$AJ114,$AH114)+IF($G$1="破竹",$AK114*1.5,0))*(1+$BG114)*(1+$BH114))*(1+$AL114)*$BM114*$P114*(1+IF(VLOOKUP($Q114,武学奇术!$A:$ZZ,30,FALSE)="弹道",$B$21,0))*(1+$BQ114)</f>
        <v>0</v>
      </c>
      <c r="N114" s="41">
        <f>((($AN114+$AO114)/2*$AH114+$AI114)*(1+$AP114)*(1+$AQ114)+(($AS114+$AT114)/2*IF($G$1="鸣金",$AJ114,$AH114)+IF($G$1="鸣金",$AK114*1.5,0))*(1+$AU114)*(1+$AV114)+(($AW114+$AX114)/2*IF($G$1="裂石",$AJ114,$AH114)+IF($G$1="裂石",$AK114*1.5,0))*(1+$AY114)*(1+$AZ114)+(($BA114+$BB114)/2*IF($G$1="牵丝",$AJ114,$AH114)+IF($G$1="牵丝",$AK114*1.5,0))*(1+$BC114)*(1+$BD114)+(($BE114+$BF114)/2*IF($G$1="破竹",$AJ114,$AH114)+IF($G$1="破竹",$AK114*1.5,0))*(1+$BG114)*(1+$BH114))*(1+$AL114)*$P114*(1+IF(VLOOKUP($Q114,武学奇术!$A:$ZZ,30,FALSE)="弹道",$B$21,0))*(1+$BQ114)</f>
        <v>0</v>
      </c>
      <c r="O114" s="41">
        <f>((($AN114*$AH114+$AI114)*(1+$AP114)*(1+$AQ114)+($AS114*IF($G$1="鸣金",$AJ114,$AH114)+IF($G$1="鸣金",$AK114*1.5,0))*(1+$AU114)*(1+$AV114)+($AW114*IF($G$1="裂石",$AJ114,$AH114)+IF($G$1="裂石",$AK114*1.5,0))*(1+$AY114)*(1+$AZ114)+($BA114*IF($G$1="牵丝",$AJ114,$AH114)+IF($G$1="牵丝",$AK114*1.5,0))*(1+$BC114)*(1+$BD114)+($BE114*IF($G$1="破竹",$AJ114,$AH114)+IF($G$1="破竹",$AK114*1.5,0))*(1+$BG114)*(1+$BH114))*(1+$AL114))*$P114*(1+IF(VLOOKUP($Q114,武学奇术!$A:$ZZ,30,FALSE)="弹道",$B$21,0))*(1+$BQ114)</f>
        <v>0</v>
      </c>
      <c r="P114" s="42">
        <v>1</v>
      </c>
      <c r="Q114" s="43" t="s">
        <v>73</v>
      </c>
      <c r="R114" s="43" t="s">
        <v>73</v>
      </c>
      <c r="S114" s="43" t="s">
        <v>73</v>
      </c>
      <c r="T114" s="43" t="s">
        <v>73</v>
      </c>
      <c r="U114" s="43" t="s">
        <v>73</v>
      </c>
      <c r="V114" s="43" t="s">
        <v>73</v>
      </c>
      <c r="W114" s="43" t="s">
        <v>73</v>
      </c>
      <c r="X114" s="43" t="s">
        <v>73</v>
      </c>
      <c r="Y114" s="43" t="s">
        <v>73</v>
      </c>
      <c r="Z114" s="43" t="s">
        <v>73</v>
      </c>
      <c r="AA114" s="43" t="s">
        <v>73</v>
      </c>
      <c r="AB114" s="43" t="s">
        <v>73</v>
      </c>
      <c r="AC114" s="43" t="s">
        <v>73</v>
      </c>
      <c r="AD114" s="43" t="s">
        <v>73</v>
      </c>
      <c r="AE114" s="43" t="s">
        <v>73</v>
      </c>
      <c r="AF114" s="43" t="s">
        <v>75</v>
      </c>
      <c r="AG114" t="str">
        <f>VLOOKUP($Q114,武学奇术!$A:$ZZ,25,FALSE)</f>
        <v>心法</v>
      </c>
      <c r="AH114" s="27">
        <f>VLOOKUP($Q114,武学奇术!$A:$ZZ,26,FALSE)</f>
        <v>0</v>
      </c>
      <c r="AI114" s="28">
        <f>VLOOKUP($Q114,武学奇术!$A:$ZZ,27,FALSE)*(1+IF(OR($AG114=$F$4,$AG114=$F$5),$B$22,0))</f>
        <v>0</v>
      </c>
      <c r="AJ114" s="27">
        <f>VLOOKUP($Q114,武学奇术!$A:$ZZ,28,FALSE)</f>
        <v>0</v>
      </c>
      <c r="AK114" s="28">
        <f>VLOOKUP($Q114,武学奇术!$A:$ZZ,29,FALSE)*(1+IF(OR($AG114=$F$4,$AG114=$F$5),$B$22,0))</f>
        <v>0</v>
      </c>
      <c r="AL114" s="27" cm="1">
        <f t="array" ref="AL114">$G$3+IFERROR(VLOOKUP($AG114,$F$4:$G$7,2,FALSE),0)+VLOOKUP($Q114,武学奇术!$A:$ZZ,2,FALSE)+SUM(_xlfn.XLOOKUP($R114:$AF114,增益!$A:$A,增益!$B:$B,0))</f>
        <v>0.1837</v>
      </c>
      <c r="AM114" s="27" cm="1">
        <f t="array" ref="AM114">VLOOKUP($Q114,武学奇术!$A:$ZZ,5,FALSE)+SUM(_xlfn.XLOOKUP($R114:$AF114,增益!$A:$A,增益!$E:$E,0))</f>
        <v>0</v>
      </c>
      <c r="AN114" cm="1">
        <f t="array" ref="AN114">$D$10*(1+$AM114)+VLOOKUP($Q114,武学奇术!$A:$ZZ,3,FALSE)+SUM(_xlfn.XLOOKUP($R114:$AF114,增益!$A:$A,增益!$C:$C,0))-$I$2</f>
        <v>1775.7</v>
      </c>
      <c r="AO114" cm="1">
        <f t="array" ref="AO114">$E$10*(1+$AM114)+VLOOKUP($Q114,武学奇术!$A:$ZZ,4,FALSE)+SUM(_xlfn.XLOOKUP($R114:$AF114,增益!$A:$A,增益!$D:$D,0))-$I$2</f>
        <v>5251.5</v>
      </c>
      <c r="AP114" s="35" cm="1">
        <f t="array" ref="AP114">IF($F$10-$I$3+VLOOKUP($Q114,武学奇术!$A:$ZZ,6,FALSE)+SUM(_xlfn.XLOOKUP(R114:AF114,增益!$A:$A,增益!$F:$F,0))&gt;0,($F$10-$I$3+VLOOKUP($Q114,武学奇术!$A:$ZZ,6,FALSE)+SUM(_xlfn.XLOOKUP(R114:AF114,增益!$A:$A,增益!$F:$F,0)))/200,($F$10-$I$3+VLOOKUP($Q114,武学奇术!$A:$ZZ,6,FALSE)+SUM(_xlfn.XLOOKUP(R114:AF114,增益!$A:$A,增益!$F:$F,0)))/100)</f>
        <v>0.2925</v>
      </c>
      <c r="AQ114" s="35" cm="1">
        <f t="array" ref="AQ114">$G$10+VLOOKUP($Q114,武学奇术!$A:$ZZ,7,FALSE)+SUM(_xlfn.XLOOKUP(R114:AF114,增益!$A:$A,增益!$G:$G,0))</f>
        <v>0</v>
      </c>
      <c r="AR114" s="27" cm="1">
        <f t="array" ref="AR114">VLOOKUP($Q114,武学奇术!$A:$ZZ,8,FALSE)+SUM(_xlfn.XLOOKUP(R114:AF114,增益!$A:$A,增益!$H:$H,0))</f>
        <v>0</v>
      </c>
      <c r="AS114">
        <f t="shared" si="43"/>
        <v>0</v>
      </c>
      <c r="AT114">
        <f t="shared" si="44"/>
        <v>0</v>
      </c>
      <c r="AU114" s="35" cm="1">
        <f t="array" ref="AU114">IF($F$11-$I$4+VLOOKUP($Q114,武学奇术!$A:$ZZ,9,FALSE)+SUM(_xlfn.XLOOKUP(R114:AF114,增益!$A:$A,增益!$I:$I,0))&gt;0,($F$11-$I$4+VLOOKUP($Q114,武学奇术!$A:$ZZ,9,FALSE)+SUM(_xlfn.XLOOKUP(R114:AF114,增益!$A:$A,增益!$I:$I,0)))/200,($F$11-$I$4+VLOOKUP($Q114,武学奇术!$A:$ZZ,9,FALSE)+SUM(_xlfn.XLOOKUP(R114:AF114,增益!$A:$A,增益!$I:$I,0)))/100)</f>
        <v>-0.3</v>
      </c>
      <c r="AV114" s="35" cm="1">
        <f t="array" ref="AV114">$G$11+VLOOKUP($Q114,武学奇术!$A:$ZZ,10,FALSE)+SUM(_xlfn.XLOOKUP(R114:AF114,增益!$A:$A,增益!$J:$J,0))</f>
        <v>0</v>
      </c>
      <c r="AW114">
        <f t="shared" si="45"/>
        <v>0</v>
      </c>
      <c r="AX114">
        <f t="shared" si="46"/>
        <v>0</v>
      </c>
      <c r="AY114" s="35" cm="1">
        <f t="array" ref="AY114">IF($F$12-$I$4+VLOOKUP($Q114,武学奇术!$A:$ZZ,11,FALSE)+SUM(_xlfn.XLOOKUP(R114:AF114,增益!$A:$A,增益!$K:$K,0))&gt;0,($F$12-$I$4+VLOOKUP($Q114,武学奇术!$A:$ZZ,11,FALSE)+SUM(_xlfn.XLOOKUP(R114:AF114,增益!$A:$A,增益!$K:$K,0)))/200,($F$12-$I$4+VLOOKUP($Q114,武学奇术!$A:$ZZ,11,FALSE)+SUM(_xlfn.XLOOKUP(R114:AF114,增益!$A:$A,增益!$K:$K,0)))/100)</f>
        <v>-0.3</v>
      </c>
      <c r="AZ114" s="35" cm="1">
        <f t="array" ref="AZ114">$G$12+VLOOKUP($Q114,武学奇术!$A:$ZZ,12,FALSE)+SUM(_xlfn.XLOOKUP(R114:AF114,增益!$A:$A,增益!$L:$L,0))</f>
        <v>0</v>
      </c>
      <c r="BA114">
        <f t="shared" si="47"/>
        <v>538</v>
      </c>
      <c r="BB114">
        <f t="shared" si="48"/>
        <v>1011</v>
      </c>
      <c r="BC114" s="35" cm="1">
        <f t="array" ref="BC114">IF($F$13-$I$4+VLOOKUP($Q114,武学奇术!$A:$ZZ,13,FALSE)+SUM(_xlfn.XLOOKUP(R114:AF114,增益!$A:$A,增益!$M:$M,0))&gt;0,($F$13-$I$4+VLOOKUP($Q114,武学奇术!$A:$ZZ,13,FALSE)+SUM(_xlfn.XLOOKUP(R114:AF114,增益!$A:$A,增益!$K:$K,0)))/200,($F$13-$I$4+VLOOKUP($Q114,武学奇术!$A:$ZZ,13,FALSE)+SUM(_xlfn.XLOOKUP(R114:AF114,增益!$A:$A,增益!$M:$M,0)))/100)</f>
        <v>0</v>
      </c>
      <c r="BD114" s="35" cm="1">
        <f t="array" ref="BD114">$G$13+VLOOKUP($Q114,武学奇术!$A:$ZZ,14,FALSE)+SUM(_xlfn.XLOOKUP(R114:AF114,增益!$A:$A,增益!$N:$N,0))</f>
        <v>0.15</v>
      </c>
      <c r="BE114">
        <f t="shared" si="49"/>
        <v>0</v>
      </c>
      <c r="BF114">
        <f t="shared" si="50"/>
        <v>0</v>
      </c>
      <c r="BG114" s="35" cm="1">
        <f t="array" ref="BG114">IF($F$14-$I$4+VLOOKUP($Q114,武学奇术!$A:$ZZ,15,FALSE)+SUM(_xlfn.XLOOKUP(R114:AF114,增益!$A:$A,增益!$O:$O,0))&gt;0,($F$14-$I$4+VLOOKUP($Q114,武学奇术!$A:$ZZ,15,FALSE)+SUM(_xlfn.XLOOKUP(R114:AF114,增益!$A:$A,增益!$O:$O,0)))/200,($F$14-$I$4+VLOOKUP($Q114,武学奇术!$A:$ZZ,15,FALSE)+SUM(_xlfn.XLOOKUP(R114:AF114,增益!$A:$A,增益!$O:$O,0)))/100)</f>
        <v>-0.3</v>
      </c>
      <c r="BH114" s="35" cm="1">
        <f t="array" ref="BH114">$G$14+VLOOKUP($Q114,武学奇术!$A:$ZZ,16,FALSE)+SUM(_xlfn.XLOOKUP(R114:AF114,增益!$A:$A,增益!$P:$P,0))</f>
        <v>0</v>
      </c>
      <c r="BI114" s="27">
        <f>MIN(IF(VLOOKUP($Q114,武学奇术!$A:$ZZ,23,FALSE)=1,100%,$B$8),100%)</f>
        <v>0.9969</v>
      </c>
      <c r="BJ114" s="27" cm="1">
        <f t="array" ref="BJ114">IF(VLOOKUP($Q114,武学奇术!$A:$ZZ,23,FALSE)=1,100%,MIN(80%,$B$9+VLOOKUP($Q114,武学奇术!$A:$ZZ,17,FALSE)+SUM(_xlfn.XLOOKUP(R114:AF114,增益!$A:$A,增益!$Q:$Q,0)))+$B$11+SUM(_xlfn.XLOOKUP(R114:AF114,增益!$A:$A,增益!$U:$U,0)))*IF(VLOOKUP($Q114,武学奇术!$A:$ZZ,24,FALSE)=1,0,1)</f>
        <v>0.9137</v>
      </c>
      <c r="BK114" s="27" cm="1">
        <f t="array" ref="BK114">1+$B$13+VLOOKUP($Q114,武学奇术!$A:$ZZ,18,FALSE)+SUM(_xlfn.XLOOKUP(R114:AF114,增益!$A:$A,增益!$R:$R,0))</f>
        <v>1.5</v>
      </c>
      <c r="BL114" s="27" cm="1">
        <f t="array" ref="BL114">IF(VLOOKUP($Q114,武学奇术!$A:$ZZ,24,FALSE)=1,100%,MIN(40%,$B$10+VLOOKUP($Q114,武学奇术!$A:$ZZ,19,FALSE)+SUM(_xlfn.XLOOKUP(R114:AF114,增益!$A:$A,增益!$S:$S,0)))+$B$12+SUM(_xlfn.XLOOKUP(R114:AF114,增益!$A:$A,增益!$V:$V,0)))*IF(VLOOKUP($Q114,武学奇术!$A:$ZZ,23,FALSE)=1,0,1)</f>
        <v>0.0895</v>
      </c>
      <c r="BM114" s="27" cm="1">
        <f t="array" ref="BM114">1+$B$14+VLOOKUP($Q114,武学奇术!$A:$ZZ,20,FALSE)+SUM(_xlfn.XLOOKUP(R114:AF114,增益!$A:$A,增益!$T:$T,0))</f>
        <v>1.35</v>
      </c>
      <c r="BN114" s="27">
        <f t="shared" si="22"/>
        <v>0.90767745</v>
      </c>
      <c r="BO114" s="27">
        <f t="shared" si="32"/>
        <v>-1.30104260698261e-17</v>
      </c>
      <c r="BP114" s="27">
        <f>IF(VLOOKUP($Q114,武学奇术!$A:$ZZ,22,FALSE)=1,0,(1-$BI114))*(1-$BL114)</f>
        <v>0.00282254999999999</v>
      </c>
      <c r="BQ114" s="27" cm="1">
        <f t="array" ref="BQ114">SUM(_xlfn.XLOOKUP(R114:AF114,增益!$A:$A,增益!$W:$W,0))+$I$5</f>
        <v>0.11</v>
      </c>
    </row>
    <row r="115" spans="1:69">
      <c r="A115" s="4" t="s">
        <v>185</v>
      </c>
      <c r="B115" s="4">
        <v>2.1</v>
      </c>
      <c r="C115" s="42"/>
      <c r="F115">
        <v>-26</v>
      </c>
      <c r="G115" s="42"/>
      <c r="K115" s="41">
        <f t="shared" si="42"/>
        <v>0</v>
      </c>
      <c r="L115" s="41">
        <f>((($AN115+$AO115)/2*$AH115+$AI115)*(1+$AP115)*(1+$AQ115)+(($AS115+$AT115)/2*IF($G$1="鸣金",$AJ115,$AH115)+IF($G$1="鸣金",$AK115*1.5,0))*(1+$AU115)*(1+$AV115)+(($AW115+$AX115)/2*IF($G$1="裂石",$AJ115,$AH115)+IF($G$1="裂石",$AK115*1.5,0))*(1+$AY115)*(1+$AZ115)+(($BA115+$BB115)/2*IF($G$1="牵丝",$AJ115,$AH115)+IF($G$1="牵丝",$AK115*1.5,0))*(1+$BC115)*(1+$BD115)+(($BE115+$BF115)/2*IF($G$1="破竹",$AJ115,$AH115)+IF($G$1="破竹",$AK115*1.5,0))*(1+$BG115)*(1+$BH115))*(1+$AL115)*$BK115*$P115*(1+IF(VLOOKUP($Q115,武学奇术!$A:$ZZ,30,FALSE)="弹道",$B$21,0))*(1+$BQ115)</f>
        <v>0</v>
      </c>
      <c r="M115" s="41">
        <f>(($AO115*$AH115+$AI115)*(1+$AP115)*(1+$AQ115)+($AT115*IF($G$1="鸣金",$AJ115,$AH115)+IF($G$1="鸣金",$AK115*1.5,0))*(1+$AU115)*(1+$AV115)+($AX115*IF($G$1="裂石",$AJ115,$AH115)+IF($G$1="裂石",$AK115*1.5,0))*(1+$AY115)*(1+$AZ115)+($BB115*IF($G$1="牵丝",$AJ115,$AH115)+IF($G$1="牵丝",$AK115*1.5,0))*(1+$BC115)*(1+$BD115)+($BF115*IF($G$1="破竹",$AJ115,$AH115)+IF($G$1="破竹",$AK115*1.5,0))*(1+$BG115)*(1+$BH115))*(1+$AL115)*$BM115*$P115*(1+IF(VLOOKUP($Q115,武学奇术!$A:$ZZ,30,FALSE)="弹道",$B$21,0))*(1+$BQ115)</f>
        <v>0</v>
      </c>
      <c r="N115" s="41">
        <f>((($AN115+$AO115)/2*$AH115+$AI115)*(1+$AP115)*(1+$AQ115)+(($AS115+$AT115)/2*IF($G$1="鸣金",$AJ115,$AH115)+IF($G$1="鸣金",$AK115*1.5,0))*(1+$AU115)*(1+$AV115)+(($AW115+$AX115)/2*IF($G$1="裂石",$AJ115,$AH115)+IF($G$1="裂石",$AK115*1.5,0))*(1+$AY115)*(1+$AZ115)+(($BA115+$BB115)/2*IF($G$1="牵丝",$AJ115,$AH115)+IF($G$1="牵丝",$AK115*1.5,0))*(1+$BC115)*(1+$BD115)+(($BE115+$BF115)/2*IF($G$1="破竹",$AJ115,$AH115)+IF($G$1="破竹",$AK115*1.5,0))*(1+$BG115)*(1+$BH115))*(1+$AL115)*$P115*(1+IF(VLOOKUP($Q115,武学奇术!$A:$ZZ,30,FALSE)="弹道",$B$21,0))*(1+$BQ115)</f>
        <v>0</v>
      </c>
      <c r="O115" s="41">
        <f>((($AN115*$AH115+$AI115)*(1+$AP115)*(1+$AQ115)+($AS115*IF($G$1="鸣金",$AJ115,$AH115)+IF($G$1="鸣金",$AK115*1.5,0))*(1+$AU115)*(1+$AV115)+($AW115*IF($G$1="裂石",$AJ115,$AH115)+IF($G$1="裂石",$AK115*1.5,0))*(1+$AY115)*(1+$AZ115)+($BA115*IF($G$1="牵丝",$AJ115,$AH115)+IF($G$1="牵丝",$AK115*1.5,0))*(1+$BC115)*(1+$BD115)+($BE115*IF($G$1="破竹",$AJ115,$AH115)+IF($G$1="破竹",$AK115*1.5,0))*(1+$BG115)*(1+$BH115))*(1+$AL115))*$P115*(1+IF(VLOOKUP($Q115,武学奇术!$A:$ZZ,30,FALSE)="弹道",$B$21,0))*(1+$BQ115)</f>
        <v>0</v>
      </c>
      <c r="P115" s="42">
        <f>IF($C$22="易水歌",1,0)</f>
        <v>1</v>
      </c>
      <c r="Q115" s="43" t="s">
        <v>73</v>
      </c>
      <c r="R115" s="43" t="s">
        <v>73</v>
      </c>
      <c r="S115" s="43" t="s">
        <v>73</v>
      </c>
      <c r="T115" s="43" t="s">
        <v>73</v>
      </c>
      <c r="U115" s="43" t="s">
        <v>73</v>
      </c>
      <c r="V115" s="43" t="s">
        <v>73</v>
      </c>
      <c r="W115" s="43" t="s">
        <v>73</v>
      </c>
      <c r="X115" s="43" t="s">
        <v>73</v>
      </c>
      <c r="Y115" s="43" t="s">
        <v>73</v>
      </c>
      <c r="Z115" s="43" t="s">
        <v>73</v>
      </c>
      <c r="AA115" s="43" t="s">
        <v>73</v>
      </c>
      <c r="AB115" s="43" t="s">
        <v>73</v>
      </c>
      <c r="AC115" s="43" t="s">
        <v>73</v>
      </c>
      <c r="AD115" s="43" t="s">
        <v>73</v>
      </c>
      <c r="AE115" s="43" t="s">
        <v>73</v>
      </c>
      <c r="AF115" s="43" t="s">
        <v>75</v>
      </c>
      <c r="AG115" t="str">
        <f>VLOOKUP($Q115,武学奇术!$A:$ZZ,25,FALSE)</f>
        <v>心法</v>
      </c>
      <c r="AH115" s="27">
        <f>VLOOKUP($Q115,武学奇术!$A:$ZZ,26,FALSE)</f>
        <v>0</v>
      </c>
      <c r="AI115" s="28">
        <f>VLOOKUP($Q115,武学奇术!$A:$ZZ,27,FALSE)*(1+IF(OR($AG115=$F$4,$AG115=$F$5),$B$22,0))</f>
        <v>0</v>
      </c>
      <c r="AJ115" s="27">
        <f>VLOOKUP($Q115,武学奇术!$A:$ZZ,28,FALSE)</f>
        <v>0</v>
      </c>
      <c r="AK115" s="28">
        <f>VLOOKUP($Q115,武学奇术!$A:$ZZ,29,FALSE)*(1+IF(OR($AG115=$F$4,$AG115=$F$5),$B$22,0))</f>
        <v>0</v>
      </c>
      <c r="AL115" s="27" cm="1">
        <f t="array" ref="AL115">$G$3+IFERROR(VLOOKUP($AG115,$F$4:$G$7,2,FALSE),0)+VLOOKUP($Q115,武学奇术!$A:$ZZ,2,FALSE)+SUM(_xlfn.XLOOKUP($R115:$AF115,增益!$A:$A,增益!$B:$B,0))</f>
        <v>0.1837</v>
      </c>
      <c r="AM115" s="27" cm="1">
        <f t="array" ref="AM115">VLOOKUP($Q115,武学奇术!$A:$ZZ,5,FALSE)+SUM(_xlfn.XLOOKUP($R115:$AF115,增益!$A:$A,增益!$E:$E,0))</f>
        <v>0</v>
      </c>
      <c r="AN115" cm="1">
        <f t="array" ref="AN115">$D$10*(1+$AM115)+VLOOKUP($Q115,武学奇术!$A:$ZZ,3,FALSE)+SUM(_xlfn.XLOOKUP($R115:$AF115,增益!$A:$A,增益!$C:$C,0))-$I$2</f>
        <v>1775.7</v>
      </c>
      <c r="AO115" cm="1">
        <f t="array" ref="AO115">$E$10*(1+$AM115)+VLOOKUP($Q115,武学奇术!$A:$ZZ,4,FALSE)+SUM(_xlfn.XLOOKUP($R115:$AF115,增益!$A:$A,增益!$D:$D,0))-$I$2</f>
        <v>5251.5</v>
      </c>
      <c r="AP115" s="35" cm="1">
        <f t="array" ref="AP115">IF($F$10-$I$3+VLOOKUP($Q115,武学奇术!$A:$ZZ,6,FALSE)+SUM(_xlfn.XLOOKUP(R115:AF115,增益!$A:$A,增益!$F:$F,0))&gt;0,($F$10-$I$3+VLOOKUP($Q115,武学奇术!$A:$ZZ,6,FALSE)+SUM(_xlfn.XLOOKUP(R115:AF115,增益!$A:$A,增益!$F:$F,0)))/200,($F$10-$I$3+VLOOKUP($Q115,武学奇术!$A:$ZZ,6,FALSE)+SUM(_xlfn.XLOOKUP(R115:AF115,增益!$A:$A,增益!$F:$F,0)))/100)</f>
        <v>0.2925</v>
      </c>
      <c r="AQ115" s="35" cm="1">
        <f t="array" ref="AQ115">$G$10+VLOOKUP($Q115,武学奇术!$A:$ZZ,7,FALSE)+SUM(_xlfn.XLOOKUP(R115:AF115,增益!$A:$A,增益!$G:$G,0))</f>
        <v>0</v>
      </c>
      <c r="AR115" s="27" cm="1">
        <f t="array" ref="AR115">VLOOKUP($Q115,武学奇术!$A:$ZZ,8,FALSE)+SUM(_xlfn.XLOOKUP(R115:AF115,增益!$A:$A,增益!$H:$H,0))</f>
        <v>0</v>
      </c>
      <c r="AS115">
        <f t="shared" si="43"/>
        <v>0</v>
      </c>
      <c r="AT115">
        <f t="shared" si="44"/>
        <v>0</v>
      </c>
      <c r="AU115" s="35" cm="1">
        <f t="array" ref="AU115">IF($F$11-$I$4+VLOOKUP($Q115,武学奇术!$A:$ZZ,9,FALSE)+SUM(_xlfn.XLOOKUP(R115:AF115,增益!$A:$A,增益!$I:$I,0))&gt;0,($F$11-$I$4+VLOOKUP($Q115,武学奇术!$A:$ZZ,9,FALSE)+SUM(_xlfn.XLOOKUP(R115:AF115,增益!$A:$A,增益!$I:$I,0)))/200,($F$11-$I$4+VLOOKUP($Q115,武学奇术!$A:$ZZ,9,FALSE)+SUM(_xlfn.XLOOKUP(R115:AF115,增益!$A:$A,增益!$I:$I,0)))/100)</f>
        <v>-0.3</v>
      </c>
      <c r="AV115" s="35" cm="1">
        <f t="array" ref="AV115">$G$11+VLOOKUP($Q115,武学奇术!$A:$ZZ,10,FALSE)+SUM(_xlfn.XLOOKUP(R115:AF115,增益!$A:$A,增益!$J:$J,0))</f>
        <v>0</v>
      </c>
      <c r="AW115">
        <f t="shared" si="45"/>
        <v>0</v>
      </c>
      <c r="AX115">
        <f t="shared" si="46"/>
        <v>0</v>
      </c>
      <c r="AY115" s="35" cm="1">
        <f t="array" ref="AY115">IF($F$12-$I$4+VLOOKUP($Q115,武学奇术!$A:$ZZ,11,FALSE)+SUM(_xlfn.XLOOKUP(R115:AF115,增益!$A:$A,增益!$K:$K,0))&gt;0,($F$12-$I$4+VLOOKUP($Q115,武学奇术!$A:$ZZ,11,FALSE)+SUM(_xlfn.XLOOKUP(R115:AF115,增益!$A:$A,增益!$K:$K,0)))/200,($F$12-$I$4+VLOOKUP($Q115,武学奇术!$A:$ZZ,11,FALSE)+SUM(_xlfn.XLOOKUP(R115:AF115,增益!$A:$A,增益!$K:$K,0)))/100)</f>
        <v>-0.3</v>
      </c>
      <c r="AZ115" s="35" cm="1">
        <f t="array" ref="AZ115">$G$12+VLOOKUP($Q115,武学奇术!$A:$ZZ,12,FALSE)+SUM(_xlfn.XLOOKUP(R115:AF115,增益!$A:$A,增益!$L:$L,0))</f>
        <v>0</v>
      </c>
      <c r="BA115">
        <f t="shared" si="47"/>
        <v>538</v>
      </c>
      <c r="BB115">
        <f t="shared" si="48"/>
        <v>1011</v>
      </c>
      <c r="BC115" s="35" cm="1">
        <f t="array" ref="BC115">IF($F$13-$I$4+VLOOKUP($Q115,武学奇术!$A:$ZZ,13,FALSE)+SUM(_xlfn.XLOOKUP(R115:AF115,增益!$A:$A,增益!$M:$M,0))&gt;0,($F$13-$I$4+VLOOKUP($Q115,武学奇术!$A:$ZZ,13,FALSE)+SUM(_xlfn.XLOOKUP(R115:AF115,增益!$A:$A,增益!$K:$K,0)))/200,($F$13-$I$4+VLOOKUP($Q115,武学奇术!$A:$ZZ,13,FALSE)+SUM(_xlfn.XLOOKUP(R115:AF115,增益!$A:$A,增益!$M:$M,0)))/100)</f>
        <v>0</v>
      </c>
      <c r="BD115" s="35" cm="1">
        <f t="array" ref="BD115">$G$13+VLOOKUP($Q115,武学奇术!$A:$ZZ,14,FALSE)+SUM(_xlfn.XLOOKUP(R115:AF115,增益!$A:$A,增益!$N:$N,0))</f>
        <v>0.15</v>
      </c>
      <c r="BE115">
        <f t="shared" si="49"/>
        <v>0</v>
      </c>
      <c r="BF115">
        <f t="shared" si="50"/>
        <v>0</v>
      </c>
      <c r="BG115" s="35" cm="1">
        <f t="array" ref="BG115">IF($F$14-$I$4+VLOOKUP($Q115,武学奇术!$A:$ZZ,15,FALSE)+SUM(_xlfn.XLOOKUP(R115:AF115,增益!$A:$A,增益!$O:$O,0))&gt;0,($F$14-$I$4+VLOOKUP($Q115,武学奇术!$A:$ZZ,15,FALSE)+SUM(_xlfn.XLOOKUP(R115:AF115,增益!$A:$A,增益!$O:$O,0)))/200,($F$14-$I$4+VLOOKUP($Q115,武学奇术!$A:$ZZ,15,FALSE)+SUM(_xlfn.XLOOKUP(R115:AF115,增益!$A:$A,增益!$O:$O,0)))/100)</f>
        <v>-0.3</v>
      </c>
      <c r="BH115" s="35" cm="1">
        <f t="array" ref="BH115">$G$14+VLOOKUP($Q115,武学奇术!$A:$ZZ,16,FALSE)+SUM(_xlfn.XLOOKUP(R115:AF115,增益!$A:$A,增益!$P:$P,0))</f>
        <v>0</v>
      </c>
      <c r="BI115" s="27">
        <f>MIN(IF(VLOOKUP($Q115,武学奇术!$A:$ZZ,23,FALSE)=1,100%,$B$8),100%)</f>
        <v>0.9969</v>
      </c>
      <c r="BJ115" s="27" cm="1">
        <f t="array" ref="BJ115">IF(VLOOKUP($Q115,武学奇术!$A:$ZZ,23,FALSE)=1,100%,MIN(80%,$B$9+VLOOKUP($Q115,武学奇术!$A:$ZZ,17,FALSE)+SUM(_xlfn.XLOOKUP(R115:AF115,增益!$A:$A,增益!$Q:$Q,0)))+$B$11+SUM(_xlfn.XLOOKUP(R115:AF115,增益!$A:$A,增益!$U:$U,0)))*IF(VLOOKUP($Q115,武学奇术!$A:$ZZ,24,FALSE)=1,0,1)</f>
        <v>0.9137</v>
      </c>
      <c r="BK115" s="27" cm="1">
        <f t="array" ref="BK115">1+$B$13+VLOOKUP($Q115,武学奇术!$A:$ZZ,18,FALSE)+SUM(_xlfn.XLOOKUP(R115:AF115,增益!$A:$A,增益!$R:$R,0))</f>
        <v>1.5</v>
      </c>
      <c r="BL115" s="27" cm="1">
        <f t="array" ref="BL115">IF(VLOOKUP($Q115,武学奇术!$A:$ZZ,24,FALSE)=1,100%,MIN(40%,$B$10+VLOOKUP($Q115,武学奇术!$A:$ZZ,19,FALSE)+SUM(_xlfn.XLOOKUP(R115:AF115,增益!$A:$A,增益!$S:$S,0)))+$B$12+SUM(_xlfn.XLOOKUP(R115:AF115,增益!$A:$A,增益!$V:$V,0)))*IF(VLOOKUP($Q115,武学奇术!$A:$ZZ,23,FALSE)=1,0,1)</f>
        <v>0.0895</v>
      </c>
      <c r="BM115" s="27" cm="1">
        <f t="array" ref="BM115">1+$B$14+VLOOKUP($Q115,武学奇术!$A:$ZZ,20,FALSE)+SUM(_xlfn.XLOOKUP(R115:AF115,增益!$A:$A,增益!$T:$T,0))</f>
        <v>1.35</v>
      </c>
      <c r="BN115" s="27">
        <f t="shared" si="22"/>
        <v>0.90767745</v>
      </c>
      <c r="BO115" s="27">
        <f t="shared" si="32"/>
        <v>-1.30104260698261e-17</v>
      </c>
      <c r="BP115" s="27">
        <f>IF(VLOOKUP($Q115,武学奇术!$A:$ZZ,22,FALSE)=1,0,(1-$BI115))*(1-$BL115)</f>
        <v>0.00282254999999999</v>
      </c>
      <c r="BQ115" s="27" cm="1">
        <f t="array" ref="BQ115">SUM(_xlfn.XLOOKUP(R115:AF115,增益!$A:$A,增益!$W:$W,0))+$I$5</f>
        <v>0.11</v>
      </c>
    </row>
    <row r="116" spans="1:69">
      <c r="A116" s="4" t="s">
        <v>186</v>
      </c>
      <c r="B116" s="4">
        <v>1.2</v>
      </c>
      <c r="D116" s="42" t="s">
        <v>157</v>
      </c>
      <c r="F116">
        <v>6</v>
      </c>
      <c r="G116" s="42"/>
      <c r="K116" s="41">
        <f t="shared" si="42"/>
        <v>0</v>
      </c>
      <c r="L116" s="41">
        <f>((($AN116+$AO116)/2*$AH116+$AI116)*(1+$AP116)*(1+$AQ116)+(($AS116+$AT116)/2*IF($G$1="鸣金",$AJ116,$AH116)+IF($G$1="鸣金",$AK116*1.5,0))*(1+$AU116)*(1+$AV116)+(($AW116+$AX116)/2*IF($G$1="裂石",$AJ116,$AH116)+IF($G$1="裂石",$AK116*1.5,0))*(1+$AY116)*(1+$AZ116)+(($BA116+$BB116)/2*IF($G$1="牵丝",$AJ116,$AH116)+IF($G$1="牵丝",$AK116*1.5,0))*(1+$BC116)*(1+$BD116)+(($BE116+$BF116)/2*IF($G$1="破竹",$AJ116,$AH116)+IF($G$1="破竹",$AK116*1.5,0))*(1+$BG116)*(1+$BH116))*(1+$AL116)*$BK116*$P116*(1+IF(VLOOKUP($Q116,武学奇术!$A:$ZZ,30,FALSE)="弹道",$B$21,0))*(1+$BQ116)</f>
        <v>0</v>
      </c>
      <c r="M116" s="41">
        <f>(($AO116*$AH116+$AI116)*(1+$AP116)*(1+$AQ116)+($AT116*IF($G$1="鸣金",$AJ116,$AH116)+IF($G$1="鸣金",$AK116*1.5,0))*(1+$AU116)*(1+$AV116)+($AX116*IF($G$1="裂石",$AJ116,$AH116)+IF($G$1="裂石",$AK116*1.5,0))*(1+$AY116)*(1+$AZ116)+($BB116*IF($G$1="牵丝",$AJ116,$AH116)+IF($G$1="牵丝",$AK116*1.5,0))*(1+$BC116)*(1+$BD116)+($BF116*IF($G$1="破竹",$AJ116,$AH116)+IF($G$1="破竹",$AK116*1.5,0))*(1+$BG116)*(1+$BH116))*(1+$AL116)*$BM116*$P116*(1+IF(VLOOKUP($Q116,武学奇术!$A:$ZZ,30,FALSE)="弹道",$B$21,0))*(1+$BQ116)</f>
        <v>0</v>
      </c>
      <c r="N116" s="41">
        <f>((($AN116+$AO116)/2*$AH116+$AI116)*(1+$AP116)*(1+$AQ116)+(($AS116+$AT116)/2*IF($G$1="鸣金",$AJ116,$AH116)+IF($G$1="鸣金",$AK116*1.5,0))*(1+$AU116)*(1+$AV116)+(($AW116+$AX116)/2*IF($G$1="裂石",$AJ116,$AH116)+IF($G$1="裂石",$AK116*1.5,0))*(1+$AY116)*(1+$AZ116)+(($BA116+$BB116)/2*IF($G$1="牵丝",$AJ116,$AH116)+IF($G$1="牵丝",$AK116*1.5,0))*(1+$BC116)*(1+$BD116)+(($BE116+$BF116)/2*IF($G$1="破竹",$AJ116,$AH116)+IF($G$1="破竹",$AK116*1.5,0))*(1+$BG116)*(1+$BH116))*(1+$AL116)*$P116*(1+IF(VLOOKUP($Q116,武学奇术!$A:$ZZ,30,FALSE)="弹道",$B$21,0))*(1+$BQ116)</f>
        <v>0</v>
      </c>
      <c r="O116" s="41">
        <f>((($AN116*$AH116+$AI116)*(1+$AP116)*(1+$AQ116)+($AS116*IF($G$1="鸣金",$AJ116,$AH116)+IF($G$1="鸣金",$AK116*1.5,0))*(1+$AU116)*(1+$AV116)+($AW116*IF($G$1="裂石",$AJ116,$AH116)+IF($G$1="裂石",$AK116*1.5,0))*(1+$AY116)*(1+$AZ116)+($BA116*IF($G$1="牵丝",$AJ116,$AH116)+IF($G$1="牵丝",$AK116*1.5,0))*(1+$BC116)*(1+$BD116)+($BE116*IF($G$1="破竹",$AJ116,$AH116)+IF($G$1="破竹",$AK116*1.5,0))*(1+$BG116)*(1+$BH116))*(1+$AL116))*$P116*(1+IF(VLOOKUP($Q116,武学奇术!$A:$ZZ,30,FALSE)="弹道",$B$21,0))*(1+$BQ116)</f>
        <v>0</v>
      </c>
      <c r="P116" s="42">
        <v>1</v>
      </c>
      <c r="Q116" s="43" t="s">
        <v>73</v>
      </c>
      <c r="R116" s="43" t="s">
        <v>73</v>
      </c>
      <c r="S116" s="43" t="s">
        <v>73</v>
      </c>
      <c r="T116" s="43" t="s">
        <v>73</v>
      </c>
      <c r="U116" s="43" t="s">
        <v>73</v>
      </c>
      <c r="V116" s="43" t="s">
        <v>73</v>
      </c>
      <c r="W116" s="43" t="s">
        <v>73</v>
      </c>
      <c r="X116" s="43" t="s">
        <v>73</v>
      </c>
      <c r="Y116" s="43" t="s">
        <v>73</v>
      </c>
      <c r="Z116" s="43" t="s">
        <v>73</v>
      </c>
      <c r="AA116" s="43" t="s">
        <v>73</v>
      </c>
      <c r="AB116" s="43" t="s">
        <v>73</v>
      </c>
      <c r="AC116" s="43" t="s">
        <v>73</v>
      </c>
      <c r="AD116" s="43" t="s">
        <v>73</v>
      </c>
      <c r="AE116" s="43" t="s">
        <v>73</v>
      </c>
      <c r="AF116" s="43" t="s">
        <v>75</v>
      </c>
      <c r="AG116" t="str">
        <f>VLOOKUP($Q116,武学奇术!$A:$ZZ,25,FALSE)</f>
        <v>心法</v>
      </c>
      <c r="AH116" s="27">
        <f>VLOOKUP($Q116,武学奇术!$A:$ZZ,26,FALSE)</f>
        <v>0</v>
      </c>
      <c r="AI116" s="28">
        <f>VLOOKUP($Q116,武学奇术!$A:$ZZ,27,FALSE)*(1+IF(OR($AG116=$F$4,$AG116=$F$5),$B$22,0))</f>
        <v>0</v>
      </c>
      <c r="AJ116" s="27">
        <f>VLOOKUP($Q116,武学奇术!$A:$ZZ,28,FALSE)</f>
        <v>0</v>
      </c>
      <c r="AK116" s="28">
        <f>VLOOKUP($Q116,武学奇术!$A:$ZZ,29,FALSE)*(1+IF(OR($AG116=$F$4,$AG116=$F$5),$B$22,0))</f>
        <v>0</v>
      </c>
      <c r="AL116" s="27" cm="1">
        <f t="array" ref="AL116">$G$3+IFERROR(VLOOKUP($AG116,$F$4:$G$7,2,FALSE),0)+VLOOKUP($Q116,武学奇术!$A:$ZZ,2,FALSE)+SUM(_xlfn.XLOOKUP($R116:$AF116,增益!$A:$A,增益!$B:$B,0))</f>
        <v>0.1837</v>
      </c>
      <c r="AM116" s="27" cm="1">
        <f t="array" ref="AM116">VLOOKUP($Q116,武学奇术!$A:$ZZ,5,FALSE)+SUM(_xlfn.XLOOKUP($R116:$AF116,增益!$A:$A,增益!$E:$E,0))</f>
        <v>0</v>
      </c>
      <c r="AN116" cm="1">
        <f t="array" ref="AN116">$D$10*(1+$AM116)+VLOOKUP($Q116,武学奇术!$A:$ZZ,3,FALSE)+SUM(_xlfn.XLOOKUP($R116:$AF116,增益!$A:$A,增益!$C:$C,0))-$I$2</f>
        <v>1775.7</v>
      </c>
      <c r="AO116" cm="1">
        <f t="array" ref="AO116">$E$10*(1+$AM116)+VLOOKUP($Q116,武学奇术!$A:$ZZ,4,FALSE)+SUM(_xlfn.XLOOKUP($R116:$AF116,增益!$A:$A,增益!$D:$D,0))-$I$2</f>
        <v>5251.5</v>
      </c>
      <c r="AP116" s="35" cm="1">
        <f t="array" ref="AP116">IF($F$10-$I$3+VLOOKUP($Q116,武学奇术!$A:$ZZ,6,FALSE)+SUM(_xlfn.XLOOKUP(R116:AF116,增益!$A:$A,增益!$F:$F,0))&gt;0,($F$10-$I$3+VLOOKUP($Q116,武学奇术!$A:$ZZ,6,FALSE)+SUM(_xlfn.XLOOKUP(R116:AF116,增益!$A:$A,增益!$F:$F,0)))/200,($F$10-$I$3+VLOOKUP($Q116,武学奇术!$A:$ZZ,6,FALSE)+SUM(_xlfn.XLOOKUP(R116:AF116,增益!$A:$A,增益!$F:$F,0)))/100)</f>
        <v>0.2925</v>
      </c>
      <c r="AQ116" s="35" cm="1">
        <f t="array" ref="AQ116">$G$10+VLOOKUP($Q116,武学奇术!$A:$ZZ,7,FALSE)+SUM(_xlfn.XLOOKUP(R116:AF116,增益!$A:$A,增益!$G:$G,0))</f>
        <v>0</v>
      </c>
      <c r="AR116" s="27" cm="1">
        <f t="array" ref="AR116">VLOOKUP($Q116,武学奇术!$A:$ZZ,8,FALSE)+SUM(_xlfn.XLOOKUP(R116:AF116,增益!$A:$A,增益!$H:$H,0))</f>
        <v>0</v>
      </c>
      <c r="AS116">
        <f t="shared" si="43"/>
        <v>0</v>
      </c>
      <c r="AT116">
        <f t="shared" si="44"/>
        <v>0</v>
      </c>
      <c r="AU116" s="35" cm="1">
        <f t="array" ref="AU116">IF($F$11-$I$4+VLOOKUP($Q116,武学奇术!$A:$ZZ,9,FALSE)+SUM(_xlfn.XLOOKUP(R116:AF116,增益!$A:$A,增益!$I:$I,0))&gt;0,($F$11-$I$4+VLOOKUP($Q116,武学奇术!$A:$ZZ,9,FALSE)+SUM(_xlfn.XLOOKUP(R116:AF116,增益!$A:$A,增益!$I:$I,0)))/200,($F$11-$I$4+VLOOKUP($Q116,武学奇术!$A:$ZZ,9,FALSE)+SUM(_xlfn.XLOOKUP(R116:AF116,增益!$A:$A,增益!$I:$I,0)))/100)</f>
        <v>-0.3</v>
      </c>
      <c r="AV116" s="35" cm="1">
        <f t="array" ref="AV116">$G$11+VLOOKUP($Q116,武学奇术!$A:$ZZ,10,FALSE)+SUM(_xlfn.XLOOKUP(R116:AF116,增益!$A:$A,增益!$J:$J,0))</f>
        <v>0</v>
      </c>
      <c r="AW116">
        <f t="shared" si="45"/>
        <v>0</v>
      </c>
      <c r="AX116">
        <f t="shared" si="46"/>
        <v>0</v>
      </c>
      <c r="AY116" s="35" cm="1">
        <f t="array" ref="AY116">IF($F$12-$I$4+VLOOKUP($Q116,武学奇术!$A:$ZZ,11,FALSE)+SUM(_xlfn.XLOOKUP(R116:AF116,增益!$A:$A,增益!$K:$K,0))&gt;0,($F$12-$I$4+VLOOKUP($Q116,武学奇术!$A:$ZZ,11,FALSE)+SUM(_xlfn.XLOOKUP(R116:AF116,增益!$A:$A,增益!$K:$K,0)))/200,($F$12-$I$4+VLOOKUP($Q116,武学奇术!$A:$ZZ,11,FALSE)+SUM(_xlfn.XLOOKUP(R116:AF116,增益!$A:$A,增益!$K:$K,0)))/100)</f>
        <v>-0.3</v>
      </c>
      <c r="AZ116" s="35" cm="1">
        <f t="array" ref="AZ116">$G$12+VLOOKUP($Q116,武学奇术!$A:$ZZ,12,FALSE)+SUM(_xlfn.XLOOKUP(R116:AF116,增益!$A:$A,增益!$L:$L,0))</f>
        <v>0</v>
      </c>
      <c r="BA116">
        <f t="shared" si="47"/>
        <v>538</v>
      </c>
      <c r="BB116">
        <f t="shared" si="48"/>
        <v>1011</v>
      </c>
      <c r="BC116" s="35" cm="1">
        <f t="array" ref="BC116">IF($F$13-$I$4+VLOOKUP($Q116,武学奇术!$A:$ZZ,13,FALSE)+SUM(_xlfn.XLOOKUP(R116:AF116,增益!$A:$A,增益!$M:$M,0))&gt;0,($F$13-$I$4+VLOOKUP($Q116,武学奇术!$A:$ZZ,13,FALSE)+SUM(_xlfn.XLOOKUP(R116:AF116,增益!$A:$A,增益!$K:$K,0)))/200,($F$13-$I$4+VLOOKUP($Q116,武学奇术!$A:$ZZ,13,FALSE)+SUM(_xlfn.XLOOKUP(R116:AF116,增益!$A:$A,增益!$M:$M,0)))/100)</f>
        <v>0</v>
      </c>
      <c r="BD116" s="35" cm="1">
        <f t="array" ref="BD116">$G$13+VLOOKUP($Q116,武学奇术!$A:$ZZ,14,FALSE)+SUM(_xlfn.XLOOKUP(R116:AF116,增益!$A:$A,增益!$N:$N,0))</f>
        <v>0.15</v>
      </c>
      <c r="BE116">
        <f t="shared" si="49"/>
        <v>0</v>
      </c>
      <c r="BF116">
        <f t="shared" si="50"/>
        <v>0</v>
      </c>
      <c r="BG116" s="35" cm="1">
        <f t="array" ref="BG116">IF($F$14-$I$4+VLOOKUP($Q116,武学奇术!$A:$ZZ,15,FALSE)+SUM(_xlfn.XLOOKUP(R116:AF116,增益!$A:$A,增益!$O:$O,0))&gt;0,($F$14-$I$4+VLOOKUP($Q116,武学奇术!$A:$ZZ,15,FALSE)+SUM(_xlfn.XLOOKUP(R116:AF116,增益!$A:$A,增益!$O:$O,0)))/200,($F$14-$I$4+VLOOKUP($Q116,武学奇术!$A:$ZZ,15,FALSE)+SUM(_xlfn.XLOOKUP(R116:AF116,增益!$A:$A,增益!$O:$O,0)))/100)</f>
        <v>-0.3</v>
      </c>
      <c r="BH116" s="35" cm="1">
        <f t="array" ref="BH116">$G$14+VLOOKUP($Q116,武学奇术!$A:$ZZ,16,FALSE)+SUM(_xlfn.XLOOKUP(R116:AF116,增益!$A:$A,增益!$P:$P,0))</f>
        <v>0</v>
      </c>
      <c r="BI116" s="27">
        <f>MIN(IF(VLOOKUP($Q116,武学奇术!$A:$ZZ,23,FALSE)=1,100%,$B$8),100%)</f>
        <v>0.9969</v>
      </c>
      <c r="BJ116" s="27" cm="1">
        <f t="array" ref="BJ116">IF(VLOOKUP($Q116,武学奇术!$A:$ZZ,23,FALSE)=1,100%,MIN(80%,$B$9+VLOOKUP($Q116,武学奇术!$A:$ZZ,17,FALSE)+SUM(_xlfn.XLOOKUP(R116:AF116,增益!$A:$A,增益!$Q:$Q,0)))+$B$11+SUM(_xlfn.XLOOKUP(R116:AF116,增益!$A:$A,增益!$U:$U,0)))*IF(VLOOKUP($Q116,武学奇术!$A:$ZZ,24,FALSE)=1,0,1)</f>
        <v>0.9137</v>
      </c>
      <c r="BK116" s="27" cm="1">
        <f t="array" ref="BK116">1+$B$13+VLOOKUP($Q116,武学奇术!$A:$ZZ,18,FALSE)+SUM(_xlfn.XLOOKUP(R116:AF116,增益!$A:$A,增益!$R:$R,0))</f>
        <v>1.5</v>
      </c>
      <c r="BL116" s="27" cm="1">
        <f t="array" ref="BL116">IF(VLOOKUP($Q116,武学奇术!$A:$ZZ,24,FALSE)=1,100%,MIN(40%,$B$10+VLOOKUP($Q116,武学奇术!$A:$ZZ,19,FALSE)+SUM(_xlfn.XLOOKUP(R116:AF116,增益!$A:$A,增益!$S:$S,0)))+$B$12+SUM(_xlfn.XLOOKUP(R116:AF116,增益!$A:$A,增益!$V:$V,0)))*IF(VLOOKUP($Q116,武学奇术!$A:$ZZ,23,FALSE)=1,0,1)</f>
        <v>0.0895</v>
      </c>
      <c r="BM116" s="27" cm="1">
        <f t="array" ref="BM116">1+$B$14+VLOOKUP($Q116,武学奇术!$A:$ZZ,20,FALSE)+SUM(_xlfn.XLOOKUP(R116:AF116,增益!$A:$A,增益!$T:$T,0))</f>
        <v>1.35</v>
      </c>
      <c r="BN116" s="27">
        <f t="shared" si="22"/>
        <v>0.90767745</v>
      </c>
      <c r="BO116" s="27">
        <f t="shared" si="32"/>
        <v>-1.30104260698261e-17</v>
      </c>
      <c r="BP116" s="27">
        <f>IF(VLOOKUP($Q116,武学奇术!$A:$ZZ,22,FALSE)=1,0,(1-$BI116))*(1-$BL116)</f>
        <v>0.00282254999999999</v>
      </c>
      <c r="BQ116" s="27" cm="1">
        <f t="array" ref="BQ116">SUM(_xlfn.XLOOKUP(R116:AF116,增益!$A:$A,增益!$W:$W,0))+$I$5</f>
        <v>0.11</v>
      </c>
    </row>
    <row r="117" spans="1:69">
      <c r="A117" s="4" t="s">
        <v>178</v>
      </c>
      <c r="B117" s="4">
        <v>3.3</v>
      </c>
      <c r="D117" s="42"/>
      <c r="F117">
        <v>-26</v>
      </c>
      <c r="G117" s="42"/>
      <c r="K117" s="41">
        <f t="shared" si="42"/>
        <v>0</v>
      </c>
      <c r="L117" s="41">
        <f>((($AN117+$AO117)/2*$AH117+$AI117)*(1+$AP117)*(1+$AQ117)+(($AS117+$AT117)/2*IF($G$1="鸣金",$AJ117,$AH117)+IF($G$1="鸣金",$AK117*1.5,0))*(1+$AU117)*(1+$AV117)+(($AW117+$AX117)/2*IF($G$1="裂石",$AJ117,$AH117)+IF($G$1="裂石",$AK117*1.5,0))*(1+$AY117)*(1+$AZ117)+(($BA117+$BB117)/2*IF($G$1="牵丝",$AJ117,$AH117)+IF($G$1="牵丝",$AK117*1.5,0))*(1+$BC117)*(1+$BD117)+(($BE117+$BF117)/2*IF($G$1="破竹",$AJ117,$AH117)+IF($G$1="破竹",$AK117*1.5,0))*(1+$BG117)*(1+$BH117))*(1+$AL117)*$BK117*$P117*(1+IF(VLOOKUP($Q117,武学奇术!$A:$ZZ,30,FALSE)="弹道",$B$21,0))*(1+$BQ117)</f>
        <v>0</v>
      </c>
      <c r="M117" s="41">
        <f>(($AO117*$AH117+$AI117)*(1+$AP117)*(1+$AQ117)+($AT117*IF($G$1="鸣金",$AJ117,$AH117)+IF($G$1="鸣金",$AK117*1.5,0))*(1+$AU117)*(1+$AV117)+($AX117*IF($G$1="裂石",$AJ117,$AH117)+IF($G$1="裂石",$AK117*1.5,0))*(1+$AY117)*(1+$AZ117)+($BB117*IF($G$1="牵丝",$AJ117,$AH117)+IF($G$1="牵丝",$AK117*1.5,0))*(1+$BC117)*(1+$BD117)+($BF117*IF($G$1="破竹",$AJ117,$AH117)+IF($G$1="破竹",$AK117*1.5,0))*(1+$BG117)*(1+$BH117))*(1+$AL117)*$BM117*$P117*(1+IF(VLOOKUP($Q117,武学奇术!$A:$ZZ,30,FALSE)="弹道",$B$21,0))*(1+$BQ117)</f>
        <v>0</v>
      </c>
      <c r="N117" s="41">
        <f>((($AN117+$AO117)/2*$AH117+$AI117)*(1+$AP117)*(1+$AQ117)+(($AS117+$AT117)/2*IF($G$1="鸣金",$AJ117,$AH117)+IF($G$1="鸣金",$AK117*1.5,0))*(1+$AU117)*(1+$AV117)+(($AW117+$AX117)/2*IF($G$1="裂石",$AJ117,$AH117)+IF($G$1="裂石",$AK117*1.5,0))*(1+$AY117)*(1+$AZ117)+(($BA117+$BB117)/2*IF($G$1="牵丝",$AJ117,$AH117)+IF($G$1="牵丝",$AK117*1.5,0))*(1+$BC117)*(1+$BD117)+(($BE117+$BF117)/2*IF($G$1="破竹",$AJ117,$AH117)+IF($G$1="破竹",$AK117*1.5,0))*(1+$BG117)*(1+$BH117))*(1+$AL117)*$P117*(1+IF(VLOOKUP($Q117,武学奇术!$A:$ZZ,30,FALSE)="弹道",$B$21,0))*(1+$BQ117)</f>
        <v>0</v>
      </c>
      <c r="O117" s="41">
        <f>((($AN117*$AH117+$AI117)*(1+$AP117)*(1+$AQ117)+($AS117*IF($G$1="鸣金",$AJ117,$AH117)+IF($G$1="鸣金",$AK117*1.5,0))*(1+$AU117)*(1+$AV117)+($AW117*IF($G$1="裂石",$AJ117,$AH117)+IF($G$1="裂石",$AK117*1.5,0))*(1+$AY117)*(1+$AZ117)+($BA117*IF($G$1="牵丝",$AJ117,$AH117)+IF($G$1="牵丝",$AK117*1.5,0))*(1+$BC117)*(1+$BD117)+($BE117*IF($G$1="破竹",$AJ117,$AH117)+IF($G$1="破竹",$AK117*1.5,0))*(1+$BG117)*(1+$BH117))*(1+$AL117))*$P117*(1+IF(VLOOKUP($Q117,武学奇术!$A:$ZZ,30,FALSE)="弹道",$B$21,0))*(1+$BQ117)</f>
        <v>0</v>
      </c>
      <c r="P117" s="42">
        <f>IF($C$22="易水歌",1,0)</f>
        <v>1</v>
      </c>
      <c r="Q117" s="43" t="s">
        <v>73</v>
      </c>
      <c r="R117" s="43" t="s">
        <v>73</v>
      </c>
      <c r="S117" s="43" t="s">
        <v>73</v>
      </c>
      <c r="T117" s="43" t="s">
        <v>73</v>
      </c>
      <c r="U117" s="43" t="s">
        <v>73</v>
      </c>
      <c r="V117" s="43" t="s">
        <v>73</v>
      </c>
      <c r="W117" s="43" t="s">
        <v>73</v>
      </c>
      <c r="X117" s="43" t="s">
        <v>73</v>
      </c>
      <c r="Y117" s="43" t="s">
        <v>73</v>
      </c>
      <c r="Z117" s="43" t="s">
        <v>73</v>
      </c>
      <c r="AA117" s="43" t="s">
        <v>73</v>
      </c>
      <c r="AB117" s="43" t="s">
        <v>73</v>
      </c>
      <c r="AC117" s="43" t="s">
        <v>73</v>
      </c>
      <c r="AD117" s="43" t="s">
        <v>73</v>
      </c>
      <c r="AE117" s="43" t="s">
        <v>73</v>
      </c>
      <c r="AF117" s="43" t="s">
        <v>75</v>
      </c>
      <c r="AG117" t="str">
        <f>VLOOKUP($Q117,武学奇术!$A:$ZZ,25,FALSE)</f>
        <v>心法</v>
      </c>
      <c r="AH117" s="27">
        <f>VLOOKUP($Q117,武学奇术!$A:$ZZ,26,FALSE)</f>
        <v>0</v>
      </c>
      <c r="AI117" s="28">
        <f>VLOOKUP($Q117,武学奇术!$A:$ZZ,27,FALSE)*(1+IF(OR($AG117=$F$4,$AG117=$F$5),$B$22,0))</f>
        <v>0</v>
      </c>
      <c r="AJ117" s="27">
        <f>VLOOKUP($Q117,武学奇术!$A:$ZZ,28,FALSE)</f>
        <v>0</v>
      </c>
      <c r="AK117" s="28">
        <f>VLOOKUP($Q117,武学奇术!$A:$ZZ,29,FALSE)*(1+IF(OR($AG117=$F$4,$AG117=$F$5),$B$22,0))</f>
        <v>0</v>
      </c>
      <c r="AL117" s="27" cm="1">
        <f t="array" ref="AL117">$G$3+IFERROR(VLOOKUP($AG117,$F$4:$G$7,2,FALSE),0)+VLOOKUP($Q117,武学奇术!$A:$ZZ,2,FALSE)+SUM(_xlfn.XLOOKUP($R117:$AF117,增益!$A:$A,增益!$B:$B,0))</f>
        <v>0.1837</v>
      </c>
      <c r="AM117" s="27" cm="1">
        <f t="array" ref="AM117">VLOOKUP($Q117,武学奇术!$A:$ZZ,5,FALSE)+SUM(_xlfn.XLOOKUP($R117:$AF117,增益!$A:$A,增益!$E:$E,0))</f>
        <v>0</v>
      </c>
      <c r="AN117" cm="1">
        <f t="array" ref="AN117">$D$10*(1+$AM117)+VLOOKUP($Q117,武学奇术!$A:$ZZ,3,FALSE)+SUM(_xlfn.XLOOKUP($R117:$AF117,增益!$A:$A,增益!$C:$C,0))-$I$2</f>
        <v>1775.7</v>
      </c>
      <c r="AO117" cm="1">
        <f t="array" ref="AO117">$E$10*(1+$AM117)+VLOOKUP($Q117,武学奇术!$A:$ZZ,4,FALSE)+SUM(_xlfn.XLOOKUP($R117:$AF117,增益!$A:$A,增益!$D:$D,0))-$I$2</f>
        <v>5251.5</v>
      </c>
      <c r="AP117" s="35" cm="1">
        <f t="array" ref="AP117">IF($F$10-$I$3+VLOOKUP($Q117,武学奇术!$A:$ZZ,6,FALSE)+SUM(_xlfn.XLOOKUP(R117:AF117,增益!$A:$A,增益!$F:$F,0))&gt;0,($F$10-$I$3+VLOOKUP($Q117,武学奇术!$A:$ZZ,6,FALSE)+SUM(_xlfn.XLOOKUP(R117:AF117,增益!$A:$A,增益!$F:$F,0)))/200,($F$10-$I$3+VLOOKUP($Q117,武学奇术!$A:$ZZ,6,FALSE)+SUM(_xlfn.XLOOKUP(R117:AF117,增益!$A:$A,增益!$F:$F,0)))/100)</f>
        <v>0.2925</v>
      </c>
      <c r="AQ117" s="35" cm="1">
        <f t="array" ref="AQ117">$G$10+VLOOKUP($Q117,武学奇术!$A:$ZZ,7,FALSE)+SUM(_xlfn.XLOOKUP(R117:AF117,增益!$A:$A,增益!$G:$G,0))</f>
        <v>0</v>
      </c>
      <c r="AR117" s="27" cm="1">
        <f t="array" ref="AR117">VLOOKUP($Q117,武学奇术!$A:$ZZ,8,FALSE)+SUM(_xlfn.XLOOKUP(R117:AF117,增益!$A:$A,增益!$H:$H,0))</f>
        <v>0</v>
      </c>
      <c r="AS117">
        <f t="shared" si="43"/>
        <v>0</v>
      </c>
      <c r="AT117">
        <f t="shared" si="44"/>
        <v>0</v>
      </c>
      <c r="AU117" s="35" cm="1">
        <f t="array" ref="AU117">IF($F$11-$I$4+VLOOKUP($Q117,武学奇术!$A:$ZZ,9,FALSE)+SUM(_xlfn.XLOOKUP(R117:AF117,增益!$A:$A,增益!$I:$I,0))&gt;0,($F$11-$I$4+VLOOKUP($Q117,武学奇术!$A:$ZZ,9,FALSE)+SUM(_xlfn.XLOOKUP(R117:AF117,增益!$A:$A,增益!$I:$I,0)))/200,($F$11-$I$4+VLOOKUP($Q117,武学奇术!$A:$ZZ,9,FALSE)+SUM(_xlfn.XLOOKUP(R117:AF117,增益!$A:$A,增益!$I:$I,0)))/100)</f>
        <v>-0.3</v>
      </c>
      <c r="AV117" s="35" cm="1">
        <f t="array" ref="AV117">$G$11+VLOOKUP($Q117,武学奇术!$A:$ZZ,10,FALSE)+SUM(_xlfn.XLOOKUP(R117:AF117,增益!$A:$A,增益!$J:$J,0))</f>
        <v>0</v>
      </c>
      <c r="AW117">
        <f t="shared" si="45"/>
        <v>0</v>
      </c>
      <c r="AX117">
        <f t="shared" si="46"/>
        <v>0</v>
      </c>
      <c r="AY117" s="35" cm="1">
        <f t="array" ref="AY117">IF($F$12-$I$4+VLOOKUP($Q117,武学奇术!$A:$ZZ,11,FALSE)+SUM(_xlfn.XLOOKUP(R117:AF117,增益!$A:$A,增益!$K:$K,0))&gt;0,($F$12-$I$4+VLOOKUP($Q117,武学奇术!$A:$ZZ,11,FALSE)+SUM(_xlfn.XLOOKUP(R117:AF117,增益!$A:$A,增益!$K:$K,0)))/200,($F$12-$I$4+VLOOKUP($Q117,武学奇术!$A:$ZZ,11,FALSE)+SUM(_xlfn.XLOOKUP(R117:AF117,增益!$A:$A,增益!$K:$K,0)))/100)</f>
        <v>-0.3</v>
      </c>
      <c r="AZ117" s="35" cm="1">
        <f t="array" ref="AZ117">$G$12+VLOOKUP($Q117,武学奇术!$A:$ZZ,12,FALSE)+SUM(_xlfn.XLOOKUP(R117:AF117,增益!$A:$A,增益!$L:$L,0))</f>
        <v>0</v>
      </c>
      <c r="BA117">
        <f t="shared" si="47"/>
        <v>538</v>
      </c>
      <c r="BB117">
        <f t="shared" si="48"/>
        <v>1011</v>
      </c>
      <c r="BC117" s="35" cm="1">
        <f t="array" ref="BC117">IF($F$13-$I$4+VLOOKUP($Q117,武学奇术!$A:$ZZ,13,FALSE)+SUM(_xlfn.XLOOKUP(R117:AF117,增益!$A:$A,增益!$M:$M,0))&gt;0,($F$13-$I$4+VLOOKUP($Q117,武学奇术!$A:$ZZ,13,FALSE)+SUM(_xlfn.XLOOKUP(R117:AF117,增益!$A:$A,增益!$K:$K,0)))/200,($F$13-$I$4+VLOOKUP($Q117,武学奇术!$A:$ZZ,13,FALSE)+SUM(_xlfn.XLOOKUP(R117:AF117,增益!$A:$A,增益!$M:$M,0)))/100)</f>
        <v>0</v>
      </c>
      <c r="BD117" s="35" cm="1">
        <f t="array" ref="BD117">$G$13+VLOOKUP($Q117,武学奇术!$A:$ZZ,14,FALSE)+SUM(_xlfn.XLOOKUP(R117:AF117,增益!$A:$A,增益!$N:$N,0))</f>
        <v>0.15</v>
      </c>
      <c r="BE117">
        <f t="shared" si="49"/>
        <v>0</v>
      </c>
      <c r="BF117">
        <f t="shared" si="50"/>
        <v>0</v>
      </c>
      <c r="BG117" s="35" cm="1">
        <f t="array" ref="BG117">IF($F$14-$I$4+VLOOKUP($Q117,武学奇术!$A:$ZZ,15,FALSE)+SUM(_xlfn.XLOOKUP(R117:AF117,增益!$A:$A,增益!$O:$O,0))&gt;0,($F$14-$I$4+VLOOKUP($Q117,武学奇术!$A:$ZZ,15,FALSE)+SUM(_xlfn.XLOOKUP(R117:AF117,增益!$A:$A,增益!$O:$O,0)))/200,($F$14-$I$4+VLOOKUP($Q117,武学奇术!$A:$ZZ,15,FALSE)+SUM(_xlfn.XLOOKUP(R117:AF117,增益!$A:$A,增益!$O:$O,0)))/100)</f>
        <v>-0.3</v>
      </c>
      <c r="BH117" s="35" cm="1">
        <f t="array" ref="BH117">$G$14+VLOOKUP($Q117,武学奇术!$A:$ZZ,16,FALSE)+SUM(_xlfn.XLOOKUP(R117:AF117,增益!$A:$A,增益!$P:$P,0))</f>
        <v>0</v>
      </c>
      <c r="BI117" s="27">
        <f>MIN(IF(VLOOKUP($Q117,武学奇术!$A:$ZZ,23,FALSE)=1,100%,$B$8),100%)</f>
        <v>0.9969</v>
      </c>
      <c r="BJ117" s="27" cm="1">
        <f t="array" ref="BJ117">IF(VLOOKUP($Q117,武学奇术!$A:$ZZ,23,FALSE)=1,100%,MIN(80%,$B$9+VLOOKUP($Q117,武学奇术!$A:$ZZ,17,FALSE)+SUM(_xlfn.XLOOKUP(R117:AF117,增益!$A:$A,增益!$Q:$Q,0)))+$B$11+SUM(_xlfn.XLOOKUP(R117:AF117,增益!$A:$A,增益!$U:$U,0)))*IF(VLOOKUP($Q117,武学奇术!$A:$ZZ,24,FALSE)=1,0,1)</f>
        <v>0.9137</v>
      </c>
      <c r="BK117" s="27" cm="1">
        <f t="array" ref="BK117">1+$B$13+VLOOKUP($Q117,武学奇术!$A:$ZZ,18,FALSE)+SUM(_xlfn.XLOOKUP(R117:AF117,增益!$A:$A,增益!$R:$R,0))</f>
        <v>1.5</v>
      </c>
      <c r="BL117" s="27" cm="1">
        <f t="array" ref="BL117">IF(VLOOKUP($Q117,武学奇术!$A:$ZZ,24,FALSE)=1,100%,MIN(40%,$B$10+VLOOKUP($Q117,武学奇术!$A:$ZZ,19,FALSE)+SUM(_xlfn.XLOOKUP(R117:AF117,增益!$A:$A,增益!$S:$S,0)))+$B$12+SUM(_xlfn.XLOOKUP(R117:AF117,增益!$A:$A,增益!$V:$V,0)))*IF(VLOOKUP($Q117,武学奇术!$A:$ZZ,23,FALSE)=1,0,1)</f>
        <v>0.0895</v>
      </c>
      <c r="BM117" s="27" cm="1">
        <f t="array" ref="BM117">1+$B$14+VLOOKUP($Q117,武学奇术!$A:$ZZ,20,FALSE)+SUM(_xlfn.XLOOKUP(R117:AF117,增益!$A:$A,增益!$T:$T,0))</f>
        <v>1.35</v>
      </c>
      <c r="BN117" s="27">
        <f t="shared" si="22"/>
        <v>0.90767745</v>
      </c>
      <c r="BO117" s="27">
        <f t="shared" si="32"/>
        <v>-1.30104260698261e-17</v>
      </c>
      <c r="BP117" s="27">
        <f>IF(VLOOKUP($Q117,武学奇术!$A:$ZZ,22,FALSE)=1,0,(1-$BI117))*(1-$BL117)</f>
        <v>0.00282254999999999</v>
      </c>
      <c r="BQ117" s="27" cm="1">
        <f t="array" ref="BQ117">SUM(_xlfn.XLOOKUP(R117:AF117,增益!$A:$A,增益!$W:$W,0))+$I$5</f>
        <v>0.11</v>
      </c>
    </row>
    <row r="118" spans="1:69">
      <c r="D118" s="42"/>
      <c r="G118" s="42"/>
      <c r="K118" s="41">
        <f t="shared" si="42"/>
        <v>0</v>
      </c>
      <c r="L118" s="41">
        <f>((($AN118+$AO118)/2*$AH118+$AI118)*(1+$AP118)*(1+$AQ118)+(($AS118+$AT118)/2*IF($G$1="鸣金",$AJ118,$AH118)+IF($G$1="鸣金",$AK118*1.5,0))*(1+$AU118)*(1+$AV118)+(($AW118+$AX118)/2*IF($G$1="裂石",$AJ118,$AH118)+IF($G$1="裂石",$AK118*1.5,0))*(1+$AY118)*(1+$AZ118)+(($BA118+$BB118)/2*IF($G$1="牵丝",$AJ118,$AH118)+IF($G$1="牵丝",$AK118*1.5,0))*(1+$BC118)*(1+$BD118)+(($BE118+$BF118)/2*IF($G$1="破竹",$AJ118,$AH118)+IF($G$1="破竹",$AK118*1.5,0))*(1+$BG118)*(1+$BH118))*(1+$AL118)*$BK118*$P118*(1+IF(VLOOKUP($Q118,武学奇术!$A:$ZZ,30,FALSE)="弹道",$B$21,0))*(1+$BQ118)</f>
        <v>0</v>
      </c>
      <c r="M118" s="41">
        <f>(($AO118*$AH118+$AI118)*(1+$AP118)*(1+$AQ118)+($AT118*IF($G$1="鸣金",$AJ118,$AH118)+IF($G$1="鸣金",$AK118*1.5,0))*(1+$AU118)*(1+$AV118)+($AX118*IF($G$1="裂石",$AJ118,$AH118)+IF($G$1="裂石",$AK118*1.5,0))*(1+$AY118)*(1+$AZ118)+($BB118*IF($G$1="牵丝",$AJ118,$AH118)+IF($G$1="牵丝",$AK118*1.5,0))*(1+$BC118)*(1+$BD118)+($BF118*IF($G$1="破竹",$AJ118,$AH118)+IF($G$1="破竹",$AK118*1.5,0))*(1+$BG118)*(1+$BH118))*(1+$AL118)*$BM118*$P118*(1+IF(VLOOKUP($Q118,武学奇术!$A:$ZZ,30,FALSE)="弹道",$B$21,0))*(1+$BQ118)</f>
        <v>0</v>
      </c>
      <c r="N118" s="41">
        <f>((($AN118+$AO118)/2*$AH118+$AI118)*(1+$AP118)*(1+$AQ118)+(($AS118+$AT118)/2*IF($G$1="鸣金",$AJ118,$AH118)+IF($G$1="鸣金",$AK118*1.5,0))*(1+$AU118)*(1+$AV118)+(($AW118+$AX118)/2*IF($G$1="裂石",$AJ118,$AH118)+IF($G$1="裂石",$AK118*1.5,0))*(1+$AY118)*(1+$AZ118)+(($BA118+$BB118)/2*IF($G$1="牵丝",$AJ118,$AH118)+IF($G$1="牵丝",$AK118*1.5,0))*(1+$BC118)*(1+$BD118)+(($BE118+$BF118)/2*IF($G$1="破竹",$AJ118,$AH118)+IF($G$1="破竹",$AK118*1.5,0))*(1+$BG118)*(1+$BH118))*(1+$AL118)*$P118*(1+IF(VLOOKUP($Q118,武学奇术!$A:$ZZ,30,FALSE)="弹道",$B$21,0))*(1+$BQ118)</f>
        <v>0</v>
      </c>
      <c r="O118" s="41">
        <f>((($AN118*$AH118+$AI118)*(1+$AP118)*(1+$AQ118)+($AS118*IF($G$1="鸣金",$AJ118,$AH118)+IF($G$1="鸣金",$AK118*1.5,0))*(1+$AU118)*(1+$AV118)+($AW118*IF($G$1="裂石",$AJ118,$AH118)+IF($G$1="裂石",$AK118*1.5,0))*(1+$AY118)*(1+$AZ118)+($BA118*IF($G$1="牵丝",$AJ118,$AH118)+IF($G$1="牵丝",$AK118*1.5,0))*(1+$BC118)*(1+$BD118)+($BE118*IF($G$1="破竹",$AJ118,$AH118)+IF($G$1="破竹",$AK118*1.5,0))*(1+$BG118)*(1+$BH118))*(1+$AL118))*$P118*(1+IF(VLOOKUP($Q118,武学奇术!$A:$ZZ,30,FALSE)="弹道",$B$21,0))*(1+$BQ118)</f>
        <v>0</v>
      </c>
      <c r="P118" s="42">
        <v>1</v>
      </c>
      <c r="Q118" s="43" t="s">
        <v>73</v>
      </c>
      <c r="R118" s="43" t="s">
        <v>73</v>
      </c>
      <c r="S118" s="43" t="s">
        <v>73</v>
      </c>
      <c r="T118" s="43" t="s">
        <v>73</v>
      </c>
      <c r="U118" s="43" t="s">
        <v>73</v>
      </c>
      <c r="V118" s="43" t="s">
        <v>73</v>
      </c>
      <c r="W118" s="43" t="s">
        <v>73</v>
      </c>
      <c r="X118" s="43" t="s">
        <v>73</v>
      </c>
      <c r="Y118" s="43" t="s">
        <v>73</v>
      </c>
      <c r="Z118" s="43" t="s">
        <v>73</v>
      </c>
      <c r="AA118" s="43" t="s">
        <v>73</v>
      </c>
      <c r="AB118" s="43" t="s">
        <v>73</v>
      </c>
      <c r="AC118" s="43" t="s">
        <v>73</v>
      </c>
      <c r="AD118" s="43" t="s">
        <v>73</v>
      </c>
      <c r="AE118" s="43" t="s">
        <v>73</v>
      </c>
      <c r="AF118" s="43" t="s">
        <v>75</v>
      </c>
      <c r="AG118" t="str">
        <f>VLOOKUP($Q118,武学奇术!$A:$ZZ,25,FALSE)</f>
        <v>心法</v>
      </c>
      <c r="AH118" s="27">
        <f>VLOOKUP($Q118,武学奇术!$A:$ZZ,26,FALSE)</f>
        <v>0</v>
      </c>
      <c r="AI118" s="28">
        <f>VLOOKUP($Q118,武学奇术!$A:$ZZ,27,FALSE)*(1+IF(OR($AG118=$F$4,$AG118=$F$5),$B$22,0))</f>
        <v>0</v>
      </c>
      <c r="AJ118" s="27">
        <f>VLOOKUP($Q118,武学奇术!$A:$ZZ,28,FALSE)</f>
        <v>0</v>
      </c>
      <c r="AK118" s="28">
        <f>VLOOKUP($Q118,武学奇术!$A:$ZZ,29,FALSE)*(1+IF(OR($AG118=$F$4,$AG118=$F$5),$B$22,0))</f>
        <v>0</v>
      </c>
      <c r="AL118" s="27" cm="1">
        <f t="array" ref="AL118">$G$3+IFERROR(VLOOKUP($AG118,$F$4:$G$7,2,FALSE),0)+VLOOKUP($Q118,武学奇术!$A:$ZZ,2,FALSE)+SUM(_xlfn.XLOOKUP($R118:$AF118,增益!$A:$A,增益!$B:$B,0))</f>
        <v>0.1837</v>
      </c>
      <c r="AM118" s="27" cm="1">
        <f t="array" ref="AM118">VLOOKUP($Q118,武学奇术!$A:$ZZ,5,FALSE)+SUM(_xlfn.XLOOKUP($R118:$AF118,增益!$A:$A,增益!$E:$E,0))</f>
        <v>0</v>
      </c>
      <c r="AN118" cm="1">
        <f t="array" ref="AN118">$D$10*(1+$AM118)+VLOOKUP($Q118,武学奇术!$A:$ZZ,3,FALSE)+SUM(_xlfn.XLOOKUP($R118:$AF118,增益!$A:$A,增益!$C:$C,0))-$I$2</f>
        <v>1775.7</v>
      </c>
      <c r="AO118" cm="1">
        <f t="array" ref="AO118">$E$10*(1+$AM118)+VLOOKUP($Q118,武学奇术!$A:$ZZ,4,FALSE)+SUM(_xlfn.XLOOKUP($R118:$AF118,增益!$A:$A,增益!$D:$D,0))-$I$2</f>
        <v>5251.5</v>
      </c>
      <c r="AP118" s="35" cm="1">
        <f t="array" ref="AP118">IF($F$10-$I$3+VLOOKUP($Q118,武学奇术!$A:$ZZ,6,FALSE)+SUM(_xlfn.XLOOKUP(R118:AF118,增益!$A:$A,增益!$F:$F,0))&gt;0,($F$10-$I$3+VLOOKUP($Q118,武学奇术!$A:$ZZ,6,FALSE)+SUM(_xlfn.XLOOKUP(R118:AF118,增益!$A:$A,增益!$F:$F,0)))/200,($F$10-$I$3+VLOOKUP($Q118,武学奇术!$A:$ZZ,6,FALSE)+SUM(_xlfn.XLOOKUP(R118:AF118,增益!$A:$A,增益!$F:$F,0)))/100)</f>
        <v>0.2925</v>
      </c>
      <c r="AQ118" s="35" cm="1">
        <f t="array" ref="AQ118">$G$10+VLOOKUP($Q118,武学奇术!$A:$ZZ,7,FALSE)+SUM(_xlfn.XLOOKUP(R118:AF118,增益!$A:$A,增益!$G:$G,0))</f>
        <v>0</v>
      </c>
      <c r="AR118" s="27" cm="1">
        <f t="array" ref="AR118">VLOOKUP($Q118,武学奇术!$A:$ZZ,8,FALSE)+SUM(_xlfn.XLOOKUP(R118:AF118,增益!$A:$A,增益!$H:$H,0))</f>
        <v>0</v>
      </c>
      <c r="AS118">
        <f t="shared" si="43"/>
        <v>0</v>
      </c>
      <c r="AT118">
        <f t="shared" si="44"/>
        <v>0</v>
      </c>
      <c r="AU118" s="35" cm="1">
        <f t="array" ref="AU118">IF($F$11-$I$4+VLOOKUP($Q118,武学奇术!$A:$ZZ,9,FALSE)+SUM(_xlfn.XLOOKUP(R118:AF118,增益!$A:$A,增益!$I:$I,0))&gt;0,($F$11-$I$4+VLOOKUP($Q118,武学奇术!$A:$ZZ,9,FALSE)+SUM(_xlfn.XLOOKUP(R118:AF118,增益!$A:$A,增益!$I:$I,0)))/200,($F$11-$I$4+VLOOKUP($Q118,武学奇术!$A:$ZZ,9,FALSE)+SUM(_xlfn.XLOOKUP(R118:AF118,增益!$A:$A,增益!$I:$I,0)))/100)</f>
        <v>-0.3</v>
      </c>
      <c r="AV118" s="35" cm="1">
        <f t="array" ref="AV118">$G$11+VLOOKUP($Q118,武学奇术!$A:$ZZ,10,FALSE)+SUM(_xlfn.XLOOKUP(R118:AF118,增益!$A:$A,增益!$J:$J,0))</f>
        <v>0</v>
      </c>
      <c r="AW118">
        <f t="shared" si="45"/>
        <v>0</v>
      </c>
      <c r="AX118">
        <f t="shared" si="46"/>
        <v>0</v>
      </c>
      <c r="AY118" s="35" cm="1">
        <f t="array" ref="AY118">IF($F$12-$I$4+VLOOKUP($Q118,武学奇术!$A:$ZZ,11,FALSE)+SUM(_xlfn.XLOOKUP(R118:AF118,增益!$A:$A,增益!$K:$K,0))&gt;0,($F$12-$I$4+VLOOKUP($Q118,武学奇术!$A:$ZZ,11,FALSE)+SUM(_xlfn.XLOOKUP(R118:AF118,增益!$A:$A,增益!$K:$K,0)))/200,($F$12-$I$4+VLOOKUP($Q118,武学奇术!$A:$ZZ,11,FALSE)+SUM(_xlfn.XLOOKUP(R118:AF118,增益!$A:$A,增益!$K:$K,0)))/100)</f>
        <v>-0.3</v>
      </c>
      <c r="AZ118" s="35" cm="1">
        <f t="array" ref="AZ118">$G$12+VLOOKUP($Q118,武学奇术!$A:$ZZ,12,FALSE)+SUM(_xlfn.XLOOKUP(R118:AF118,增益!$A:$A,增益!$L:$L,0))</f>
        <v>0</v>
      </c>
      <c r="BA118">
        <f t="shared" si="47"/>
        <v>538</v>
      </c>
      <c r="BB118">
        <f t="shared" si="48"/>
        <v>1011</v>
      </c>
      <c r="BC118" s="35" cm="1">
        <f t="array" ref="BC118">IF($F$13-$I$4+VLOOKUP($Q118,武学奇术!$A:$ZZ,13,FALSE)+SUM(_xlfn.XLOOKUP(R118:AF118,增益!$A:$A,增益!$M:$M,0))&gt;0,($F$13-$I$4+VLOOKUP($Q118,武学奇术!$A:$ZZ,13,FALSE)+SUM(_xlfn.XLOOKUP(R118:AF118,增益!$A:$A,增益!$K:$K,0)))/200,($F$13-$I$4+VLOOKUP($Q118,武学奇术!$A:$ZZ,13,FALSE)+SUM(_xlfn.XLOOKUP(R118:AF118,增益!$A:$A,增益!$M:$M,0)))/100)</f>
        <v>0</v>
      </c>
      <c r="BD118" s="35" cm="1">
        <f t="array" ref="BD118">$G$13+VLOOKUP($Q118,武学奇术!$A:$ZZ,14,FALSE)+SUM(_xlfn.XLOOKUP(R118:AF118,增益!$A:$A,增益!$N:$N,0))</f>
        <v>0.15</v>
      </c>
      <c r="BE118">
        <f t="shared" si="49"/>
        <v>0</v>
      </c>
      <c r="BF118">
        <f t="shared" si="50"/>
        <v>0</v>
      </c>
      <c r="BG118" s="35" cm="1">
        <f t="array" ref="BG118">IF($F$14-$I$4+VLOOKUP($Q118,武学奇术!$A:$ZZ,15,FALSE)+SUM(_xlfn.XLOOKUP(R118:AF118,增益!$A:$A,增益!$O:$O,0))&gt;0,($F$14-$I$4+VLOOKUP($Q118,武学奇术!$A:$ZZ,15,FALSE)+SUM(_xlfn.XLOOKUP(R118:AF118,增益!$A:$A,增益!$O:$O,0)))/200,($F$14-$I$4+VLOOKUP($Q118,武学奇术!$A:$ZZ,15,FALSE)+SUM(_xlfn.XLOOKUP(R118:AF118,增益!$A:$A,增益!$O:$O,0)))/100)</f>
        <v>-0.3</v>
      </c>
      <c r="BH118" s="35" cm="1">
        <f t="array" ref="BH118">$G$14+VLOOKUP($Q118,武学奇术!$A:$ZZ,16,FALSE)+SUM(_xlfn.XLOOKUP(R118:AF118,增益!$A:$A,增益!$P:$P,0))</f>
        <v>0</v>
      </c>
      <c r="BI118" s="27">
        <f>MIN(IF(VLOOKUP($Q118,武学奇术!$A:$ZZ,23,FALSE)=1,100%,$B$8),100%)</f>
        <v>0.9969</v>
      </c>
      <c r="BJ118" s="27" cm="1">
        <f t="array" ref="BJ118">IF(VLOOKUP($Q118,武学奇术!$A:$ZZ,23,FALSE)=1,100%,MIN(80%,$B$9+VLOOKUP($Q118,武学奇术!$A:$ZZ,17,FALSE)+SUM(_xlfn.XLOOKUP(R118:AF118,增益!$A:$A,增益!$Q:$Q,0)))+$B$11+SUM(_xlfn.XLOOKUP(R118:AF118,增益!$A:$A,增益!$U:$U,0)))*IF(VLOOKUP($Q118,武学奇术!$A:$ZZ,24,FALSE)=1,0,1)</f>
        <v>0.9137</v>
      </c>
      <c r="BK118" s="27" cm="1">
        <f t="array" ref="BK118">1+$B$13+VLOOKUP($Q118,武学奇术!$A:$ZZ,18,FALSE)+SUM(_xlfn.XLOOKUP(R118:AF118,增益!$A:$A,增益!$R:$R,0))</f>
        <v>1.5</v>
      </c>
      <c r="BL118" s="27" cm="1">
        <f t="array" ref="BL118">IF(VLOOKUP($Q118,武学奇术!$A:$ZZ,24,FALSE)=1,100%,MIN(40%,$B$10+VLOOKUP($Q118,武学奇术!$A:$ZZ,19,FALSE)+SUM(_xlfn.XLOOKUP(R118:AF118,增益!$A:$A,增益!$S:$S,0)))+$B$12+SUM(_xlfn.XLOOKUP(R118:AF118,增益!$A:$A,增益!$V:$V,0)))*IF(VLOOKUP($Q118,武学奇术!$A:$ZZ,23,FALSE)=1,0,1)</f>
        <v>0.0895</v>
      </c>
      <c r="BM118" s="27" cm="1">
        <f t="array" ref="BM118">1+$B$14+VLOOKUP($Q118,武学奇术!$A:$ZZ,20,FALSE)+SUM(_xlfn.XLOOKUP(R118:AF118,增益!$A:$A,增益!$T:$T,0))</f>
        <v>1.35</v>
      </c>
      <c r="BN118" s="27">
        <f t="shared" si="22"/>
        <v>0.90767745</v>
      </c>
      <c r="BO118" s="27">
        <f t="shared" si="32"/>
        <v>-1.30104260698261e-17</v>
      </c>
      <c r="BP118" s="27">
        <f>IF(VLOOKUP($Q118,武学奇术!$A:$ZZ,22,FALSE)=1,0,(1-$BI118))*(1-$BL118)</f>
        <v>0.00282254999999999</v>
      </c>
      <c r="BQ118" s="27" cm="1">
        <f t="array" ref="BQ118">SUM(_xlfn.XLOOKUP(R118:AF118,增益!$A:$A,增益!$W:$W,0))+$I$5</f>
        <v>0.11</v>
      </c>
    </row>
    <row r="119" spans="1:69">
      <c r="K119" s="41">
        <f t="shared" si="42"/>
        <v>0</v>
      </c>
      <c r="L119" s="41">
        <f>((($AN119+$AO119)/2*$AH119+$AI119)*(1+$AP119)*(1+$AQ119)+(($AS119+$AT119)/2*IF($G$1="鸣金",$AJ119,$AH119)+IF($G$1="鸣金",$AK119*1.5,0))*(1+$AU119)*(1+$AV119)+(($AW119+$AX119)/2*IF($G$1="裂石",$AJ119,$AH119)+IF($G$1="裂石",$AK119*1.5,0))*(1+$AY119)*(1+$AZ119)+(($BA119+$BB119)/2*IF($G$1="牵丝",$AJ119,$AH119)+IF($G$1="牵丝",$AK119*1.5,0))*(1+$BC119)*(1+$BD119)+(($BE119+$BF119)/2*IF($G$1="破竹",$AJ119,$AH119)+IF($G$1="破竹",$AK119*1.5,0))*(1+$BG119)*(1+$BH119))*(1+$AL119)*$BK119*$P119*(1+IF(VLOOKUP($Q119,武学奇术!$A:$ZZ,30,FALSE)="弹道",$B$21,0))*(1+$BQ119)</f>
        <v>0</v>
      </c>
      <c r="M119" s="41">
        <f>(($AO119*$AH119+$AI119)*(1+$AP119)*(1+$AQ119)+($AT119*IF($G$1="鸣金",$AJ119,$AH119)+IF($G$1="鸣金",$AK119*1.5,0))*(1+$AU119)*(1+$AV119)+($AX119*IF($G$1="裂石",$AJ119,$AH119)+IF($G$1="裂石",$AK119*1.5,0))*(1+$AY119)*(1+$AZ119)+($BB119*IF($G$1="牵丝",$AJ119,$AH119)+IF($G$1="牵丝",$AK119*1.5,0))*(1+$BC119)*(1+$BD119)+($BF119*IF($G$1="破竹",$AJ119,$AH119)+IF($G$1="破竹",$AK119*1.5,0))*(1+$BG119)*(1+$BH119))*(1+$AL119)*$BM119*$P119*(1+IF(VLOOKUP($Q119,武学奇术!$A:$ZZ,30,FALSE)="弹道",$B$21,0))*(1+$BQ119)</f>
        <v>0</v>
      </c>
      <c r="N119" s="41">
        <f>((($AN119+$AO119)/2*$AH119+$AI119)*(1+$AP119)*(1+$AQ119)+(($AS119+$AT119)/2*IF($G$1="鸣金",$AJ119,$AH119)+IF($G$1="鸣金",$AK119*1.5,0))*(1+$AU119)*(1+$AV119)+(($AW119+$AX119)/2*IF($G$1="裂石",$AJ119,$AH119)+IF($G$1="裂石",$AK119*1.5,0))*(1+$AY119)*(1+$AZ119)+(($BA119+$BB119)/2*IF($G$1="牵丝",$AJ119,$AH119)+IF($G$1="牵丝",$AK119*1.5,0))*(1+$BC119)*(1+$BD119)+(($BE119+$BF119)/2*IF($G$1="破竹",$AJ119,$AH119)+IF($G$1="破竹",$AK119*1.5,0))*(1+$BG119)*(1+$BH119))*(1+$AL119)*$P119*(1+IF(VLOOKUP($Q119,武学奇术!$A:$ZZ,30,FALSE)="弹道",$B$21,0))*(1+$BQ119)</f>
        <v>0</v>
      </c>
      <c r="O119" s="41">
        <f>((($AN119*$AH119+$AI119)*(1+$AP119)*(1+$AQ119)+($AS119*IF($G$1="鸣金",$AJ119,$AH119)+IF($G$1="鸣金",$AK119*1.5,0))*(1+$AU119)*(1+$AV119)+($AW119*IF($G$1="裂石",$AJ119,$AH119)+IF($G$1="裂石",$AK119*1.5,0))*(1+$AY119)*(1+$AZ119)+($BA119*IF($G$1="牵丝",$AJ119,$AH119)+IF($G$1="牵丝",$AK119*1.5,0))*(1+$BC119)*(1+$BD119)+($BE119*IF($G$1="破竹",$AJ119,$AH119)+IF($G$1="破竹",$AK119*1.5,0))*(1+$BG119)*(1+$BH119))*(1+$AL119))*$P119*(1+IF(VLOOKUP($Q119,武学奇术!$A:$ZZ,30,FALSE)="弹道",$B$21,0))*(1+$BQ119)</f>
        <v>0</v>
      </c>
      <c r="P119" s="42">
        <f>IF($C$22="易水歌",1,0)</f>
        <v>1</v>
      </c>
      <c r="Q119" s="43" t="s">
        <v>73</v>
      </c>
      <c r="R119" s="43" t="s">
        <v>73</v>
      </c>
      <c r="S119" s="43" t="s">
        <v>73</v>
      </c>
      <c r="T119" s="43" t="s">
        <v>73</v>
      </c>
      <c r="U119" s="43" t="s">
        <v>73</v>
      </c>
      <c r="V119" s="43" t="s">
        <v>73</v>
      </c>
      <c r="W119" s="43" t="s">
        <v>73</v>
      </c>
      <c r="X119" s="43" t="s">
        <v>73</v>
      </c>
      <c r="Y119" s="43" t="s">
        <v>73</v>
      </c>
      <c r="Z119" s="43" t="s">
        <v>73</v>
      </c>
      <c r="AA119" s="43" t="s">
        <v>73</v>
      </c>
      <c r="AB119" s="43" t="s">
        <v>73</v>
      </c>
      <c r="AC119" s="43" t="s">
        <v>73</v>
      </c>
      <c r="AD119" s="43" t="s">
        <v>73</v>
      </c>
      <c r="AE119" s="43" t="s">
        <v>73</v>
      </c>
      <c r="AF119" s="43" t="s">
        <v>75</v>
      </c>
      <c r="AG119" t="str">
        <f>VLOOKUP($Q119,武学奇术!$A:$ZZ,25,FALSE)</f>
        <v>心法</v>
      </c>
      <c r="AH119" s="27">
        <f>VLOOKUP($Q119,武学奇术!$A:$ZZ,26,FALSE)</f>
        <v>0</v>
      </c>
      <c r="AI119" s="28">
        <f>VLOOKUP($Q119,武学奇术!$A:$ZZ,27,FALSE)*(1+IF(OR($AG119=$F$4,$AG119=$F$5),$B$22,0))</f>
        <v>0</v>
      </c>
      <c r="AJ119" s="27">
        <f>VLOOKUP($Q119,武学奇术!$A:$ZZ,28,FALSE)</f>
        <v>0</v>
      </c>
      <c r="AK119" s="28">
        <f>VLOOKUP($Q119,武学奇术!$A:$ZZ,29,FALSE)*(1+IF(OR($AG119=$F$4,$AG119=$F$5),$B$22,0))</f>
        <v>0</v>
      </c>
      <c r="AL119" s="27" cm="1">
        <f t="array" ref="AL119">$G$3+IFERROR(VLOOKUP($AG119,$F$4:$G$7,2,FALSE),0)+VLOOKUP($Q119,武学奇术!$A:$ZZ,2,FALSE)+SUM(_xlfn.XLOOKUP($R119:$AF119,增益!$A:$A,增益!$B:$B,0))</f>
        <v>0.1837</v>
      </c>
      <c r="AM119" s="27" cm="1">
        <f t="array" ref="AM119">VLOOKUP($Q119,武学奇术!$A:$ZZ,5,FALSE)+SUM(_xlfn.XLOOKUP($R119:$AF119,增益!$A:$A,增益!$E:$E,0))</f>
        <v>0</v>
      </c>
      <c r="AN119" cm="1">
        <f t="array" ref="AN119">$D$10*(1+$AM119)+VLOOKUP($Q119,武学奇术!$A:$ZZ,3,FALSE)+SUM(_xlfn.XLOOKUP($R119:$AF119,增益!$A:$A,增益!$C:$C,0))-$I$2</f>
        <v>1775.7</v>
      </c>
      <c r="AO119" cm="1">
        <f t="array" ref="AO119">$E$10*(1+$AM119)+VLOOKUP($Q119,武学奇术!$A:$ZZ,4,FALSE)+SUM(_xlfn.XLOOKUP($R119:$AF119,增益!$A:$A,增益!$D:$D,0))-$I$2</f>
        <v>5251.5</v>
      </c>
      <c r="AP119" s="35" cm="1">
        <f t="array" ref="AP119">IF($F$10-$I$3+VLOOKUP($Q119,武学奇术!$A:$ZZ,6,FALSE)+SUM(_xlfn.XLOOKUP(R119:AF119,增益!$A:$A,增益!$F:$F,0))&gt;0,($F$10-$I$3+VLOOKUP($Q119,武学奇术!$A:$ZZ,6,FALSE)+SUM(_xlfn.XLOOKUP(R119:AF119,增益!$A:$A,增益!$F:$F,0)))/200,($F$10-$I$3+VLOOKUP($Q119,武学奇术!$A:$ZZ,6,FALSE)+SUM(_xlfn.XLOOKUP(R119:AF119,增益!$A:$A,增益!$F:$F,0)))/100)</f>
        <v>0.2925</v>
      </c>
      <c r="AQ119" s="35" cm="1">
        <f t="array" ref="AQ119">$G$10+VLOOKUP($Q119,武学奇术!$A:$ZZ,7,FALSE)+SUM(_xlfn.XLOOKUP(R119:AF119,增益!$A:$A,增益!$G:$G,0))</f>
        <v>0</v>
      </c>
      <c r="AR119" s="27" cm="1">
        <f t="array" ref="AR119">VLOOKUP($Q119,武学奇术!$A:$ZZ,8,FALSE)+SUM(_xlfn.XLOOKUP(R119:AF119,增益!$A:$A,增益!$H:$H,0))</f>
        <v>0</v>
      </c>
      <c r="AS119">
        <f t="shared" si="43"/>
        <v>0</v>
      </c>
      <c r="AT119">
        <f t="shared" si="44"/>
        <v>0</v>
      </c>
      <c r="AU119" s="35" cm="1">
        <f t="array" ref="AU119">IF($F$11-$I$4+VLOOKUP($Q119,武学奇术!$A:$ZZ,9,FALSE)+SUM(_xlfn.XLOOKUP(R119:AF119,增益!$A:$A,增益!$I:$I,0))&gt;0,($F$11-$I$4+VLOOKUP($Q119,武学奇术!$A:$ZZ,9,FALSE)+SUM(_xlfn.XLOOKUP(R119:AF119,增益!$A:$A,增益!$I:$I,0)))/200,($F$11-$I$4+VLOOKUP($Q119,武学奇术!$A:$ZZ,9,FALSE)+SUM(_xlfn.XLOOKUP(R119:AF119,增益!$A:$A,增益!$I:$I,0)))/100)</f>
        <v>-0.3</v>
      </c>
      <c r="AV119" s="35" cm="1">
        <f t="array" ref="AV119">$G$11+VLOOKUP($Q119,武学奇术!$A:$ZZ,10,FALSE)+SUM(_xlfn.XLOOKUP(R119:AF119,增益!$A:$A,增益!$J:$J,0))</f>
        <v>0</v>
      </c>
      <c r="AW119">
        <f t="shared" si="45"/>
        <v>0</v>
      </c>
      <c r="AX119">
        <f t="shared" si="46"/>
        <v>0</v>
      </c>
      <c r="AY119" s="35" cm="1">
        <f t="array" ref="AY119">IF($F$12-$I$4+VLOOKUP($Q119,武学奇术!$A:$ZZ,11,FALSE)+SUM(_xlfn.XLOOKUP(R119:AF119,增益!$A:$A,增益!$K:$K,0))&gt;0,($F$12-$I$4+VLOOKUP($Q119,武学奇术!$A:$ZZ,11,FALSE)+SUM(_xlfn.XLOOKUP(R119:AF119,增益!$A:$A,增益!$K:$K,0)))/200,($F$12-$I$4+VLOOKUP($Q119,武学奇术!$A:$ZZ,11,FALSE)+SUM(_xlfn.XLOOKUP(R119:AF119,增益!$A:$A,增益!$K:$K,0)))/100)</f>
        <v>-0.3</v>
      </c>
      <c r="AZ119" s="35" cm="1">
        <f t="array" ref="AZ119">$G$12+VLOOKUP($Q119,武学奇术!$A:$ZZ,12,FALSE)+SUM(_xlfn.XLOOKUP(R119:AF119,增益!$A:$A,增益!$L:$L,0))</f>
        <v>0</v>
      </c>
      <c r="BA119">
        <f t="shared" si="47"/>
        <v>538</v>
      </c>
      <c r="BB119">
        <f t="shared" si="48"/>
        <v>1011</v>
      </c>
      <c r="BC119" s="35" cm="1">
        <f t="array" ref="BC119">IF($F$13-$I$4+VLOOKUP($Q119,武学奇术!$A:$ZZ,13,FALSE)+SUM(_xlfn.XLOOKUP(R119:AF119,增益!$A:$A,增益!$M:$M,0))&gt;0,($F$13-$I$4+VLOOKUP($Q119,武学奇术!$A:$ZZ,13,FALSE)+SUM(_xlfn.XLOOKUP(R119:AF119,增益!$A:$A,增益!$K:$K,0)))/200,($F$13-$I$4+VLOOKUP($Q119,武学奇术!$A:$ZZ,13,FALSE)+SUM(_xlfn.XLOOKUP(R119:AF119,增益!$A:$A,增益!$M:$M,0)))/100)</f>
        <v>0</v>
      </c>
      <c r="BD119" s="35" cm="1">
        <f t="array" ref="BD119">$G$13+VLOOKUP($Q119,武学奇术!$A:$ZZ,14,FALSE)+SUM(_xlfn.XLOOKUP(R119:AF119,增益!$A:$A,增益!$N:$N,0))</f>
        <v>0.15</v>
      </c>
      <c r="BE119">
        <f t="shared" si="49"/>
        <v>0</v>
      </c>
      <c r="BF119">
        <f t="shared" si="50"/>
        <v>0</v>
      </c>
      <c r="BG119" s="35" cm="1">
        <f t="array" ref="BG119">IF($F$14-$I$4+VLOOKUP($Q119,武学奇术!$A:$ZZ,15,FALSE)+SUM(_xlfn.XLOOKUP(R119:AF119,增益!$A:$A,增益!$O:$O,0))&gt;0,($F$14-$I$4+VLOOKUP($Q119,武学奇术!$A:$ZZ,15,FALSE)+SUM(_xlfn.XLOOKUP(R119:AF119,增益!$A:$A,增益!$O:$O,0)))/200,($F$14-$I$4+VLOOKUP($Q119,武学奇术!$A:$ZZ,15,FALSE)+SUM(_xlfn.XLOOKUP(R119:AF119,增益!$A:$A,增益!$O:$O,0)))/100)</f>
        <v>-0.3</v>
      </c>
      <c r="BH119" s="35" cm="1">
        <f t="array" ref="BH119">$G$14+VLOOKUP($Q119,武学奇术!$A:$ZZ,16,FALSE)+SUM(_xlfn.XLOOKUP(R119:AF119,增益!$A:$A,增益!$P:$P,0))</f>
        <v>0</v>
      </c>
      <c r="BI119" s="27">
        <f>MIN(IF(VLOOKUP($Q119,武学奇术!$A:$ZZ,23,FALSE)=1,100%,$B$8),100%)</f>
        <v>0.9969</v>
      </c>
      <c r="BJ119" s="27" cm="1">
        <f t="array" ref="BJ119">IF(VLOOKUP($Q119,武学奇术!$A:$ZZ,23,FALSE)=1,100%,MIN(80%,$B$9+VLOOKUP($Q119,武学奇术!$A:$ZZ,17,FALSE)+SUM(_xlfn.XLOOKUP(R119:AF119,增益!$A:$A,增益!$Q:$Q,0)))+$B$11+SUM(_xlfn.XLOOKUP(R119:AF119,增益!$A:$A,增益!$U:$U,0)))*IF(VLOOKUP($Q119,武学奇术!$A:$ZZ,24,FALSE)=1,0,1)</f>
        <v>0.9137</v>
      </c>
      <c r="BK119" s="27" cm="1">
        <f t="array" ref="BK119">1+$B$13+VLOOKUP($Q119,武学奇术!$A:$ZZ,18,FALSE)+SUM(_xlfn.XLOOKUP(R119:AF119,增益!$A:$A,增益!$R:$R,0))</f>
        <v>1.5</v>
      </c>
      <c r="BL119" s="27" cm="1">
        <f t="array" ref="BL119">IF(VLOOKUP($Q119,武学奇术!$A:$ZZ,24,FALSE)=1,100%,MIN(40%,$B$10+VLOOKUP($Q119,武学奇术!$A:$ZZ,19,FALSE)+SUM(_xlfn.XLOOKUP(R119:AF119,增益!$A:$A,增益!$S:$S,0)))+$B$12+SUM(_xlfn.XLOOKUP(R119:AF119,增益!$A:$A,增益!$V:$V,0)))*IF(VLOOKUP($Q119,武学奇术!$A:$ZZ,23,FALSE)=1,0,1)</f>
        <v>0.0895</v>
      </c>
      <c r="BM119" s="27" cm="1">
        <f t="array" ref="BM119">1+$B$14+VLOOKUP($Q119,武学奇术!$A:$ZZ,20,FALSE)+SUM(_xlfn.XLOOKUP(R119:AF119,增益!$A:$A,增益!$T:$T,0))</f>
        <v>1.35</v>
      </c>
      <c r="BN119" s="27">
        <f t="shared" si="22"/>
        <v>0.90767745</v>
      </c>
      <c r="BO119" s="27">
        <f t="shared" si="32"/>
        <v>-1.30104260698261e-17</v>
      </c>
      <c r="BP119" s="27">
        <f>IF(VLOOKUP($Q119,武学奇术!$A:$ZZ,22,FALSE)=1,0,(1-$BI119))*(1-$BL119)</f>
        <v>0.00282254999999999</v>
      </c>
      <c r="BQ119" s="27" cm="1">
        <f t="array" ref="BQ119">SUM(_xlfn.XLOOKUP(R119:AF119,增益!$A:$A,增益!$W:$W,0))+$I$5</f>
        <v>0.11</v>
      </c>
    </row>
    <row r="120" spans="1:69">
      <c r="K120" s="41">
        <f t="shared" si="42"/>
        <v>0</v>
      </c>
      <c r="L120" s="41">
        <f>((($AN120+$AO120)/2*$AH120+$AI120)*(1+$AP120)*(1+$AQ120)+(($AS120+$AT120)/2*IF($G$1="鸣金",$AJ120,$AH120)+IF($G$1="鸣金",$AK120*1.5,0))*(1+$AU120)*(1+$AV120)+(($AW120+$AX120)/2*IF($G$1="裂石",$AJ120,$AH120)+IF($G$1="裂石",$AK120*1.5,0))*(1+$AY120)*(1+$AZ120)+(($BA120+$BB120)/2*IF($G$1="牵丝",$AJ120,$AH120)+IF($G$1="牵丝",$AK120*1.5,0))*(1+$BC120)*(1+$BD120)+(($BE120+$BF120)/2*IF($G$1="破竹",$AJ120,$AH120)+IF($G$1="破竹",$AK120*1.5,0))*(1+$BG120)*(1+$BH120))*(1+$AL120)*$BK120*$P120*(1+IF(VLOOKUP($Q120,武学奇术!$A:$ZZ,30,FALSE)="弹道",$B$21,0))*(1+$BQ120)</f>
        <v>0</v>
      </c>
      <c r="M120" s="41">
        <f>(($AO120*$AH120+$AI120)*(1+$AP120)*(1+$AQ120)+($AT120*IF($G$1="鸣金",$AJ120,$AH120)+IF($G$1="鸣金",$AK120*1.5,0))*(1+$AU120)*(1+$AV120)+($AX120*IF($G$1="裂石",$AJ120,$AH120)+IF($G$1="裂石",$AK120*1.5,0))*(1+$AY120)*(1+$AZ120)+($BB120*IF($G$1="牵丝",$AJ120,$AH120)+IF($G$1="牵丝",$AK120*1.5,0))*(1+$BC120)*(1+$BD120)+($BF120*IF($G$1="破竹",$AJ120,$AH120)+IF($G$1="破竹",$AK120*1.5,0))*(1+$BG120)*(1+$BH120))*(1+$AL120)*$BM120*$P120*(1+IF(VLOOKUP($Q120,武学奇术!$A:$ZZ,30,FALSE)="弹道",$B$21,0))*(1+$BQ120)</f>
        <v>0</v>
      </c>
      <c r="N120" s="41">
        <f>((($AN120+$AO120)/2*$AH120+$AI120)*(1+$AP120)*(1+$AQ120)+(($AS120+$AT120)/2*IF($G$1="鸣金",$AJ120,$AH120)+IF($G$1="鸣金",$AK120*1.5,0))*(1+$AU120)*(1+$AV120)+(($AW120+$AX120)/2*IF($G$1="裂石",$AJ120,$AH120)+IF($G$1="裂石",$AK120*1.5,0))*(1+$AY120)*(1+$AZ120)+(($BA120+$BB120)/2*IF($G$1="牵丝",$AJ120,$AH120)+IF($G$1="牵丝",$AK120*1.5,0))*(1+$BC120)*(1+$BD120)+(($BE120+$BF120)/2*IF($G$1="破竹",$AJ120,$AH120)+IF($G$1="破竹",$AK120*1.5,0))*(1+$BG120)*(1+$BH120))*(1+$AL120)*$P120*(1+IF(VLOOKUP($Q120,武学奇术!$A:$ZZ,30,FALSE)="弹道",$B$21,0))*(1+$BQ120)</f>
        <v>0</v>
      </c>
      <c r="O120" s="41">
        <f>((($AN120*$AH120+$AI120)*(1+$AP120)*(1+$AQ120)+($AS120*IF($G$1="鸣金",$AJ120,$AH120)+IF($G$1="鸣金",$AK120*1.5,0))*(1+$AU120)*(1+$AV120)+($AW120*IF($G$1="裂石",$AJ120,$AH120)+IF($G$1="裂石",$AK120*1.5,0))*(1+$AY120)*(1+$AZ120)+($BA120*IF($G$1="牵丝",$AJ120,$AH120)+IF($G$1="牵丝",$AK120*1.5,0))*(1+$BC120)*(1+$BD120)+($BE120*IF($G$1="破竹",$AJ120,$AH120)+IF($G$1="破竹",$AK120*1.5,0))*(1+$BG120)*(1+$BH120))*(1+$AL120))*$P120*(1+IF(VLOOKUP($Q120,武学奇术!$A:$ZZ,30,FALSE)="弹道",$B$21,0))*(1+$BQ120)</f>
        <v>0</v>
      </c>
      <c r="P120" s="42">
        <v>1</v>
      </c>
      <c r="Q120" s="43" t="s">
        <v>73</v>
      </c>
      <c r="R120" s="43" t="s">
        <v>73</v>
      </c>
      <c r="S120" s="43" t="s">
        <v>73</v>
      </c>
      <c r="T120" s="43" t="s">
        <v>73</v>
      </c>
      <c r="U120" s="43" t="s">
        <v>73</v>
      </c>
      <c r="V120" s="43" t="s">
        <v>73</v>
      </c>
      <c r="W120" s="43" t="s">
        <v>73</v>
      </c>
      <c r="X120" s="43" t="s">
        <v>73</v>
      </c>
      <c r="Y120" s="43" t="s">
        <v>73</v>
      </c>
      <c r="Z120" s="43" t="s">
        <v>73</v>
      </c>
      <c r="AA120" s="43" t="s">
        <v>73</v>
      </c>
      <c r="AB120" s="43" t="s">
        <v>73</v>
      </c>
      <c r="AC120" s="43" t="s">
        <v>73</v>
      </c>
      <c r="AD120" s="43" t="s">
        <v>73</v>
      </c>
      <c r="AE120" s="43" t="s">
        <v>73</v>
      </c>
      <c r="AF120" s="43" t="s">
        <v>75</v>
      </c>
      <c r="AG120" t="str">
        <f>VLOOKUP($Q120,武学奇术!$A:$ZZ,25,FALSE)</f>
        <v>心法</v>
      </c>
      <c r="AH120" s="27">
        <f>VLOOKUP($Q120,武学奇术!$A:$ZZ,26,FALSE)</f>
        <v>0</v>
      </c>
      <c r="AI120" s="28">
        <f>VLOOKUP($Q120,武学奇术!$A:$ZZ,27,FALSE)*(1+IF(OR($AG120=$F$4,$AG120=$F$5),$B$22,0))</f>
        <v>0</v>
      </c>
      <c r="AJ120" s="27">
        <f>VLOOKUP($Q120,武学奇术!$A:$ZZ,28,FALSE)</f>
        <v>0</v>
      </c>
      <c r="AK120" s="28">
        <f>VLOOKUP($Q120,武学奇术!$A:$ZZ,29,FALSE)*(1+IF(OR($AG120=$F$4,$AG120=$F$5),$B$22,0))</f>
        <v>0</v>
      </c>
      <c r="AL120" s="27" cm="1">
        <f t="array" ref="AL120">$G$3+IFERROR(VLOOKUP($AG120,$F$4:$G$7,2,FALSE),0)+VLOOKUP($Q120,武学奇术!$A:$ZZ,2,FALSE)+SUM(_xlfn.XLOOKUP($R120:$AF120,增益!$A:$A,增益!$B:$B,0))</f>
        <v>0.1837</v>
      </c>
      <c r="AM120" s="27" cm="1">
        <f t="array" ref="AM120">VLOOKUP($Q120,武学奇术!$A:$ZZ,5,FALSE)+SUM(_xlfn.XLOOKUP($R120:$AF120,增益!$A:$A,增益!$E:$E,0))</f>
        <v>0</v>
      </c>
      <c r="AN120" cm="1">
        <f t="array" ref="AN120">$D$10*(1+$AM120)+VLOOKUP($Q120,武学奇术!$A:$ZZ,3,FALSE)+SUM(_xlfn.XLOOKUP($R120:$AF120,增益!$A:$A,增益!$C:$C,0))-$I$2</f>
        <v>1775.7</v>
      </c>
      <c r="AO120" cm="1">
        <f t="array" ref="AO120">$E$10*(1+$AM120)+VLOOKUP($Q120,武学奇术!$A:$ZZ,4,FALSE)+SUM(_xlfn.XLOOKUP($R120:$AF120,增益!$A:$A,增益!$D:$D,0))-$I$2</f>
        <v>5251.5</v>
      </c>
      <c r="AP120" s="35" cm="1">
        <f t="array" ref="AP120">IF($F$10-$I$3+VLOOKUP($Q120,武学奇术!$A:$ZZ,6,FALSE)+SUM(_xlfn.XLOOKUP(R120:AF120,增益!$A:$A,增益!$F:$F,0))&gt;0,($F$10-$I$3+VLOOKUP($Q120,武学奇术!$A:$ZZ,6,FALSE)+SUM(_xlfn.XLOOKUP(R120:AF120,增益!$A:$A,增益!$F:$F,0)))/200,($F$10-$I$3+VLOOKUP($Q120,武学奇术!$A:$ZZ,6,FALSE)+SUM(_xlfn.XLOOKUP(R120:AF120,增益!$A:$A,增益!$F:$F,0)))/100)</f>
        <v>0.2925</v>
      </c>
      <c r="AQ120" s="35" cm="1">
        <f t="array" ref="AQ120">$G$10+VLOOKUP($Q120,武学奇术!$A:$ZZ,7,FALSE)+SUM(_xlfn.XLOOKUP(R120:AF120,增益!$A:$A,增益!$G:$G,0))</f>
        <v>0</v>
      </c>
      <c r="AR120" s="27" cm="1">
        <f t="array" ref="AR120">VLOOKUP($Q120,武学奇术!$A:$ZZ,8,FALSE)+SUM(_xlfn.XLOOKUP(R120:AF120,增益!$A:$A,增益!$H:$H,0))</f>
        <v>0</v>
      </c>
      <c r="AS120">
        <f t="shared" si="43"/>
        <v>0</v>
      </c>
      <c r="AT120">
        <f t="shared" si="44"/>
        <v>0</v>
      </c>
      <c r="AU120" s="35" cm="1">
        <f t="array" ref="AU120">IF($F$11-$I$4+VLOOKUP($Q120,武学奇术!$A:$ZZ,9,FALSE)+SUM(_xlfn.XLOOKUP(R120:AF120,增益!$A:$A,增益!$I:$I,0))&gt;0,($F$11-$I$4+VLOOKUP($Q120,武学奇术!$A:$ZZ,9,FALSE)+SUM(_xlfn.XLOOKUP(R120:AF120,增益!$A:$A,增益!$I:$I,0)))/200,($F$11-$I$4+VLOOKUP($Q120,武学奇术!$A:$ZZ,9,FALSE)+SUM(_xlfn.XLOOKUP(R120:AF120,增益!$A:$A,增益!$I:$I,0)))/100)</f>
        <v>-0.3</v>
      </c>
      <c r="AV120" s="35" cm="1">
        <f t="array" ref="AV120">$G$11+VLOOKUP($Q120,武学奇术!$A:$ZZ,10,FALSE)+SUM(_xlfn.XLOOKUP(R120:AF120,增益!$A:$A,增益!$J:$J,0))</f>
        <v>0</v>
      </c>
      <c r="AW120">
        <f t="shared" si="45"/>
        <v>0</v>
      </c>
      <c r="AX120">
        <f t="shared" si="46"/>
        <v>0</v>
      </c>
      <c r="AY120" s="35" cm="1">
        <f t="array" ref="AY120">IF($F$12-$I$4+VLOOKUP($Q120,武学奇术!$A:$ZZ,11,FALSE)+SUM(_xlfn.XLOOKUP(R120:AF120,增益!$A:$A,增益!$K:$K,0))&gt;0,($F$12-$I$4+VLOOKUP($Q120,武学奇术!$A:$ZZ,11,FALSE)+SUM(_xlfn.XLOOKUP(R120:AF120,增益!$A:$A,增益!$K:$K,0)))/200,($F$12-$I$4+VLOOKUP($Q120,武学奇术!$A:$ZZ,11,FALSE)+SUM(_xlfn.XLOOKUP(R120:AF120,增益!$A:$A,增益!$K:$K,0)))/100)</f>
        <v>-0.3</v>
      </c>
      <c r="AZ120" s="35" cm="1">
        <f t="array" ref="AZ120">$G$12+VLOOKUP($Q120,武学奇术!$A:$ZZ,12,FALSE)+SUM(_xlfn.XLOOKUP(R120:AF120,增益!$A:$A,增益!$L:$L,0))</f>
        <v>0</v>
      </c>
      <c r="BA120">
        <f t="shared" si="47"/>
        <v>538</v>
      </c>
      <c r="BB120">
        <f t="shared" si="48"/>
        <v>1011</v>
      </c>
      <c r="BC120" s="35" cm="1">
        <f t="array" ref="BC120">IF($F$13-$I$4+VLOOKUP($Q120,武学奇术!$A:$ZZ,13,FALSE)+SUM(_xlfn.XLOOKUP(R120:AF120,增益!$A:$A,增益!$M:$M,0))&gt;0,($F$13-$I$4+VLOOKUP($Q120,武学奇术!$A:$ZZ,13,FALSE)+SUM(_xlfn.XLOOKUP(R120:AF120,增益!$A:$A,增益!$K:$K,0)))/200,($F$13-$I$4+VLOOKUP($Q120,武学奇术!$A:$ZZ,13,FALSE)+SUM(_xlfn.XLOOKUP(R120:AF120,增益!$A:$A,增益!$M:$M,0)))/100)</f>
        <v>0</v>
      </c>
      <c r="BD120" s="35" cm="1">
        <f t="array" ref="BD120">$G$13+VLOOKUP($Q120,武学奇术!$A:$ZZ,14,FALSE)+SUM(_xlfn.XLOOKUP(R120:AF120,增益!$A:$A,增益!$N:$N,0))</f>
        <v>0.15</v>
      </c>
      <c r="BE120">
        <f t="shared" si="49"/>
        <v>0</v>
      </c>
      <c r="BF120">
        <f t="shared" si="50"/>
        <v>0</v>
      </c>
      <c r="BG120" s="35" cm="1">
        <f t="array" ref="BG120">IF($F$14-$I$4+VLOOKUP($Q120,武学奇术!$A:$ZZ,15,FALSE)+SUM(_xlfn.XLOOKUP(R120:AF120,增益!$A:$A,增益!$O:$O,0))&gt;0,($F$14-$I$4+VLOOKUP($Q120,武学奇术!$A:$ZZ,15,FALSE)+SUM(_xlfn.XLOOKUP(R120:AF120,增益!$A:$A,增益!$O:$O,0)))/200,($F$14-$I$4+VLOOKUP($Q120,武学奇术!$A:$ZZ,15,FALSE)+SUM(_xlfn.XLOOKUP(R120:AF120,增益!$A:$A,增益!$O:$O,0)))/100)</f>
        <v>-0.3</v>
      </c>
      <c r="BH120" s="35" cm="1">
        <f t="array" ref="BH120">$G$14+VLOOKUP($Q120,武学奇术!$A:$ZZ,16,FALSE)+SUM(_xlfn.XLOOKUP(R120:AF120,增益!$A:$A,增益!$P:$P,0))</f>
        <v>0</v>
      </c>
      <c r="BI120" s="27">
        <f>MIN(IF(VLOOKUP($Q120,武学奇术!$A:$ZZ,23,FALSE)=1,100%,$B$8),100%)</f>
        <v>0.9969</v>
      </c>
      <c r="BJ120" s="27" cm="1">
        <f t="array" ref="BJ120">IF(VLOOKUP($Q120,武学奇术!$A:$ZZ,23,FALSE)=1,100%,MIN(80%,$B$9+VLOOKUP($Q120,武学奇术!$A:$ZZ,17,FALSE)+SUM(_xlfn.XLOOKUP(R120:AF120,增益!$A:$A,增益!$Q:$Q,0)))+$B$11+SUM(_xlfn.XLOOKUP(R120:AF120,增益!$A:$A,增益!$U:$U,0)))*IF(VLOOKUP($Q120,武学奇术!$A:$ZZ,24,FALSE)=1,0,1)</f>
        <v>0.9137</v>
      </c>
      <c r="BK120" s="27" cm="1">
        <f t="array" ref="BK120">1+$B$13+VLOOKUP($Q120,武学奇术!$A:$ZZ,18,FALSE)+SUM(_xlfn.XLOOKUP(R120:AF120,增益!$A:$A,增益!$R:$R,0))</f>
        <v>1.5</v>
      </c>
      <c r="BL120" s="27" cm="1">
        <f t="array" ref="BL120">IF(VLOOKUP($Q120,武学奇术!$A:$ZZ,24,FALSE)=1,100%,MIN(40%,$B$10+VLOOKUP($Q120,武学奇术!$A:$ZZ,19,FALSE)+SUM(_xlfn.XLOOKUP(R120:AF120,增益!$A:$A,增益!$S:$S,0)))+$B$12+SUM(_xlfn.XLOOKUP(R120:AF120,增益!$A:$A,增益!$V:$V,0)))*IF(VLOOKUP($Q120,武学奇术!$A:$ZZ,23,FALSE)=1,0,1)</f>
        <v>0.0895</v>
      </c>
      <c r="BM120" s="27" cm="1">
        <f t="array" ref="BM120">1+$B$14+VLOOKUP($Q120,武学奇术!$A:$ZZ,20,FALSE)+SUM(_xlfn.XLOOKUP(R120:AF120,增益!$A:$A,增益!$T:$T,0))</f>
        <v>1.35</v>
      </c>
      <c r="BN120" s="27">
        <f t="shared" si="22"/>
        <v>0.90767745</v>
      </c>
      <c r="BO120" s="27">
        <f t="shared" si="32"/>
        <v>-1.30104260698261e-17</v>
      </c>
      <c r="BP120" s="27">
        <f>IF(VLOOKUP($Q120,武学奇术!$A:$ZZ,22,FALSE)=1,0,(1-$BI120))*(1-$BL120)</f>
        <v>0.00282254999999999</v>
      </c>
      <c r="BQ120" s="27" cm="1">
        <f t="array" ref="BQ120">SUM(_xlfn.XLOOKUP(R120:AF120,增益!$A:$A,增益!$W:$W,0))+$I$5</f>
        <v>0.11</v>
      </c>
    </row>
    <row r="121" spans="1:69">
      <c r="K121" s="41">
        <f t="shared" si="42"/>
        <v>0</v>
      </c>
      <c r="L121" s="41">
        <f>((($AN121+$AO121)/2*$AH121+$AI121)*(1+$AP121)*(1+$AQ121)+(($AS121+$AT121)/2*IF($G$1="鸣金",$AJ121,$AH121)+IF($G$1="鸣金",$AK121*1.5,0))*(1+$AU121)*(1+$AV121)+(($AW121+$AX121)/2*IF($G$1="裂石",$AJ121,$AH121)+IF($G$1="裂石",$AK121*1.5,0))*(1+$AY121)*(1+$AZ121)+(($BA121+$BB121)/2*IF($G$1="牵丝",$AJ121,$AH121)+IF($G$1="牵丝",$AK121*1.5,0))*(1+$BC121)*(1+$BD121)+(($BE121+$BF121)/2*IF($G$1="破竹",$AJ121,$AH121)+IF($G$1="破竹",$AK121*1.5,0))*(1+$BG121)*(1+$BH121))*(1+$AL121)*$BK121*$P121*(1+IF(VLOOKUP($Q121,武学奇术!$A:$ZZ,30,FALSE)="弹道",$B$21,0))*(1+$BQ121)</f>
        <v>0</v>
      </c>
      <c r="M121" s="41">
        <f>(($AO121*$AH121+$AI121)*(1+$AP121)*(1+$AQ121)+($AT121*IF($G$1="鸣金",$AJ121,$AH121)+IF($G$1="鸣金",$AK121*1.5,0))*(1+$AU121)*(1+$AV121)+($AX121*IF($G$1="裂石",$AJ121,$AH121)+IF($G$1="裂石",$AK121*1.5,0))*(1+$AY121)*(1+$AZ121)+($BB121*IF($G$1="牵丝",$AJ121,$AH121)+IF($G$1="牵丝",$AK121*1.5,0))*(1+$BC121)*(1+$BD121)+($BF121*IF($G$1="破竹",$AJ121,$AH121)+IF($G$1="破竹",$AK121*1.5,0))*(1+$BG121)*(1+$BH121))*(1+$AL121)*$BM121*$P121*(1+IF(VLOOKUP($Q121,武学奇术!$A:$ZZ,30,FALSE)="弹道",$B$21,0))*(1+$BQ121)</f>
        <v>0</v>
      </c>
      <c r="N121" s="41">
        <f>((($AN121+$AO121)/2*$AH121+$AI121)*(1+$AP121)*(1+$AQ121)+(($AS121+$AT121)/2*IF($G$1="鸣金",$AJ121,$AH121)+IF($G$1="鸣金",$AK121*1.5,0))*(1+$AU121)*(1+$AV121)+(($AW121+$AX121)/2*IF($G$1="裂石",$AJ121,$AH121)+IF($G$1="裂石",$AK121*1.5,0))*(1+$AY121)*(1+$AZ121)+(($BA121+$BB121)/2*IF($G$1="牵丝",$AJ121,$AH121)+IF($G$1="牵丝",$AK121*1.5,0))*(1+$BC121)*(1+$BD121)+(($BE121+$BF121)/2*IF($G$1="破竹",$AJ121,$AH121)+IF($G$1="破竹",$AK121*1.5,0))*(1+$BG121)*(1+$BH121))*(1+$AL121)*$P121*(1+IF(VLOOKUP($Q121,武学奇术!$A:$ZZ,30,FALSE)="弹道",$B$21,0))*(1+$BQ121)</f>
        <v>0</v>
      </c>
      <c r="O121" s="41">
        <f>((($AN121*$AH121+$AI121)*(1+$AP121)*(1+$AQ121)+($AS121*IF($G$1="鸣金",$AJ121,$AH121)+IF($G$1="鸣金",$AK121*1.5,0))*(1+$AU121)*(1+$AV121)+($AW121*IF($G$1="裂石",$AJ121,$AH121)+IF($G$1="裂石",$AK121*1.5,0))*(1+$AY121)*(1+$AZ121)+($BA121*IF($G$1="牵丝",$AJ121,$AH121)+IF($G$1="牵丝",$AK121*1.5,0))*(1+$BC121)*(1+$BD121)+($BE121*IF($G$1="破竹",$AJ121,$AH121)+IF($G$1="破竹",$AK121*1.5,0))*(1+$BG121)*(1+$BH121))*(1+$AL121))*$P121*(1+IF(VLOOKUP($Q121,武学奇术!$A:$ZZ,30,FALSE)="弹道",$B$21,0))*(1+$BQ121)</f>
        <v>0</v>
      </c>
      <c r="P121" s="42">
        <f>IF($C$22="易水歌",1,0)</f>
        <v>1</v>
      </c>
      <c r="Q121" s="43" t="s">
        <v>73</v>
      </c>
      <c r="R121" s="43" t="s">
        <v>73</v>
      </c>
      <c r="S121" s="43" t="s">
        <v>73</v>
      </c>
      <c r="T121" s="43" t="s">
        <v>73</v>
      </c>
      <c r="U121" s="43" t="s">
        <v>73</v>
      </c>
      <c r="V121" s="43" t="s">
        <v>73</v>
      </c>
      <c r="W121" s="43" t="s">
        <v>73</v>
      </c>
      <c r="X121" s="43" t="s">
        <v>73</v>
      </c>
      <c r="Y121" s="43" t="s">
        <v>73</v>
      </c>
      <c r="Z121" s="43" t="s">
        <v>73</v>
      </c>
      <c r="AA121" s="43" t="s">
        <v>73</v>
      </c>
      <c r="AB121" s="43" t="s">
        <v>73</v>
      </c>
      <c r="AC121" s="43" t="s">
        <v>73</v>
      </c>
      <c r="AD121" s="43" t="s">
        <v>73</v>
      </c>
      <c r="AE121" s="43" t="s">
        <v>73</v>
      </c>
      <c r="AF121" s="43" t="s">
        <v>75</v>
      </c>
      <c r="AG121" t="str">
        <f>VLOOKUP($Q121,武学奇术!$A:$ZZ,25,FALSE)</f>
        <v>心法</v>
      </c>
      <c r="AH121" s="27">
        <f>VLOOKUP($Q121,武学奇术!$A:$ZZ,26,FALSE)</f>
        <v>0</v>
      </c>
      <c r="AI121" s="28">
        <f>VLOOKUP($Q121,武学奇术!$A:$ZZ,27,FALSE)*(1+IF(OR($AG121=$F$4,$AG121=$F$5),$B$22,0))</f>
        <v>0</v>
      </c>
      <c r="AJ121" s="27">
        <f>VLOOKUP($Q121,武学奇术!$A:$ZZ,28,FALSE)</f>
        <v>0</v>
      </c>
      <c r="AK121" s="28">
        <f>VLOOKUP($Q121,武学奇术!$A:$ZZ,29,FALSE)*(1+IF(OR($AG121=$F$4,$AG121=$F$5),$B$22,0))</f>
        <v>0</v>
      </c>
      <c r="AL121" s="27" cm="1">
        <f t="array" ref="AL121">$G$3+IFERROR(VLOOKUP($AG121,$F$4:$G$7,2,FALSE),0)+VLOOKUP($Q121,武学奇术!$A:$ZZ,2,FALSE)+SUM(_xlfn.XLOOKUP($R121:$AF121,增益!$A:$A,增益!$B:$B,0))</f>
        <v>0.1837</v>
      </c>
      <c r="AM121" s="27" cm="1">
        <f t="array" ref="AM121">VLOOKUP($Q121,武学奇术!$A:$ZZ,5,FALSE)+SUM(_xlfn.XLOOKUP($R121:$AF121,增益!$A:$A,增益!$E:$E,0))</f>
        <v>0</v>
      </c>
      <c r="AN121" cm="1">
        <f t="array" ref="AN121">$D$10*(1+$AM121)+VLOOKUP($Q121,武学奇术!$A:$ZZ,3,FALSE)+SUM(_xlfn.XLOOKUP($R121:$AF121,增益!$A:$A,增益!$C:$C,0))-$I$2</f>
        <v>1775.7</v>
      </c>
      <c r="AO121" cm="1">
        <f t="array" ref="AO121">$E$10*(1+$AM121)+VLOOKUP($Q121,武学奇术!$A:$ZZ,4,FALSE)+SUM(_xlfn.XLOOKUP($R121:$AF121,增益!$A:$A,增益!$D:$D,0))-$I$2</f>
        <v>5251.5</v>
      </c>
      <c r="AP121" s="35" cm="1">
        <f t="array" ref="AP121">IF($F$10-$I$3+VLOOKUP($Q121,武学奇术!$A:$ZZ,6,FALSE)+SUM(_xlfn.XLOOKUP(R121:AF121,增益!$A:$A,增益!$F:$F,0))&gt;0,($F$10-$I$3+VLOOKUP($Q121,武学奇术!$A:$ZZ,6,FALSE)+SUM(_xlfn.XLOOKUP(R121:AF121,增益!$A:$A,增益!$F:$F,0)))/200,($F$10-$I$3+VLOOKUP($Q121,武学奇术!$A:$ZZ,6,FALSE)+SUM(_xlfn.XLOOKUP(R121:AF121,增益!$A:$A,增益!$F:$F,0)))/100)</f>
        <v>0.2925</v>
      </c>
      <c r="AQ121" s="35" cm="1">
        <f t="array" ref="AQ121">$G$10+VLOOKUP($Q121,武学奇术!$A:$ZZ,7,FALSE)+SUM(_xlfn.XLOOKUP(R121:AF121,增益!$A:$A,增益!$G:$G,0))</f>
        <v>0</v>
      </c>
      <c r="AR121" s="27" cm="1">
        <f t="array" ref="AR121">VLOOKUP($Q121,武学奇术!$A:$ZZ,8,FALSE)+SUM(_xlfn.XLOOKUP(R121:AF121,增益!$A:$A,增益!$H:$H,0))</f>
        <v>0</v>
      </c>
      <c r="AS121">
        <f t="shared" si="43"/>
        <v>0</v>
      </c>
      <c r="AT121">
        <f t="shared" si="44"/>
        <v>0</v>
      </c>
      <c r="AU121" s="35" cm="1">
        <f t="array" ref="AU121">IF($F$11-$I$4+VLOOKUP($Q121,武学奇术!$A:$ZZ,9,FALSE)+SUM(_xlfn.XLOOKUP(R121:AF121,增益!$A:$A,增益!$I:$I,0))&gt;0,($F$11-$I$4+VLOOKUP($Q121,武学奇术!$A:$ZZ,9,FALSE)+SUM(_xlfn.XLOOKUP(R121:AF121,增益!$A:$A,增益!$I:$I,0)))/200,($F$11-$I$4+VLOOKUP($Q121,武学奇术!$A:$ZZ,9,FALSE)+SUM(_xlfn.XLOOKUP(R121:AF121,增益!$A:$A,增益!$I:$I,0)))/100)</f>
        <v>-0.3</v>
      </c>
      <c r="AV121" s="35" cm="1">
        <f t="array" ref="AV121">$G$11+VLOOKUP($Q121,武学奇术!$A:$ZZ,10,FALSE)+SUM(_xlfn.XLOOKUP(R121:AF121,增益!$A:$A,增益!$J:$J,0))</f>
        <v>0</v>
      </c>
      <c r="AW121">
        <f t="shared" si="45"/>
        <v>0</v>
      </c>
      <c r="AX121">
        <f t="shared" si="46"/>
        <v>0</v>
      </c>
      <c r="AY121" s="35" cm="1">
        <f t="array" ref="AY121">IF($F$12-$I$4+VLOOKUP($Q121,武学奇术!$A:$ZZ,11,FALSE)+SUM(_xlfn.XLOOKUP(R121:AF121,增益!$A:$A,增益!$K:$K,0))&gt;0,($F$12-$I$4+VLOOKUP($Q121,武学奇术!$A:$ZZ,11,FALSE)+SUM(_xlfn.XLOOKUP(R121:AF121,增益!$A:$A,增益!$K:$K,0)))/200,($F$12-$I$4+VLOOKUP($Q121,武学奇术!$A:$ZZ,11,FALSE)+SUM(_xlfn.XLOOKUP(R121:AF121,增益!$A:$A,增益!$K:$K,0)))/100)</f>
        <v>-0.3</v>
      </c>
      <c r="AZ121" s="35" cm="1">
        <f t="array" ref="AZ121">$G$12+VLOOKUP($Q121,武学奇术!$A:$ZZ,12,FALSE)+SUM(_xlfn.XLOOKUP(R121:AF121,增益!$A:$A,增益!$L:$L,0))</f>
        <v>0</v>
      </c>
      <c r="BA121">
        <f t="shared" si="47"/>
        <v>538</v>
      </c>
      <c r="BB121">
        <f t="shared" si="48"/>
        <v>1011</v>
      </c>
      <c r="BC121" s="35" cm="1">
        <f t="array" ref="BC121">IF($F$13-$I$4+VLOOKUP($Q121,武学奇术!$A:$ZZ,13,FALSE)+SUM(_xlfn.XLOOKUP(R121:AF121,增益!$A:$A,增益!$M:$M,0))&gt;0,($F$13-$I$4+VLOOKUP($Q121,武学奇术!$A:$ZZ,13,FALSE)+SUM(_xlfn.XLOOKUP(R121:AF121,增益!$A:$A,增益!$K:$K,0)))/200,($F$13-$I$4+VLOOKUP($Q121,武学奇术!$A:$ZZ,13,FALSE)+SUM(_xlfn.XLOOKUP(R121:AF121,增益!$A:$A,增益!$M:$M,0)))/100)</f>
        <v>0</v>
      </c>
      <c r="BD121" s="35" cm="1">
        <f t="array" ref="BD121">$G$13+VLOOKUP($Q121,武学奇术!$A:$ZZ,14,FALSE)+SUM(_xlfn.XLOOKUP(R121:AF121,增益!$A:$A,增益!$N:$N,0))</f>
        <v>0.15</v>
      </c>
      <c r="BE121">
        <f t="shared" si="49"/>
        <v>0</v>
      </c>
      <c r="BF121">
        <f t="shared" si="50"/>
        <v>0</v>
      </c>
      <c r="BG121" s="35" cm="1">
        <f t="array" ref="BG121">IF($F$14-$I$4+VLOOKUP($Q121,武学奇术!$A:$ZZ,15,FALSE)+SUM(_xlfn.XLOOKUP(R121:AF121,增益!$A:$A,增益!$O:$O,0))&gt;0,($F$14-$I$4+VLOOKUP($Q121,武学奇术!$A:$ZZ,15,FALSE)+SUM(_xlfn.XLOOKUP(R121:AF121,增益!$A:$A,增益!$O:$O,0)))/200,($F$14-$I$4+VLOOKUP($Q121,武学奇术!$A:$ZZ,15,FALSE)+SUM(_xlfn.XLOOKUP(R121:AF121,增益!$A:$A,增益!$O:$O,0)))/100)</f>
        <v>-0.3</v>
      </c>
      <c r="BH121" s="35" cm="1">
        <f t="array" ref="BH121">$G$14+VLOOKUP($Q121,武学奇术!$A:$ZZ,16,FALSE)+SUM(_xlfn.XLOOKUP(R121:AF121,增益!$A:$A,增益!$P:$P,0))</f>
        <v>0</v>
      </c>
      <c r="BI121" s="27">
        <f>MIN(IF(VLOOKUP($Q121,武学奇术!$A:$ZZ,23,FALSE)=1,100%,$B$8),100%)</f>
        <v>0.9969</v>
      </c>
      <c r="BJ121" s="27" cm="1">
        <f t="array" ref="BJ121">IF(VLOOKUP($Q121,武学奇术!$A:$ZZ,23,FALSE)=1,100%,MIN(80%,$B$9+VLOOKUP($Q121,武学奇术!$A:$ZZ,17,FALSE)+SUM(_xlfn.XLOOKUP(R121:AF121,增益!$A:$A,增益!$Q:$Q,0)))+$B$11+SUM(_xlfn.XLOOKUP(R121:AF121,增益!$A:$A,增益!$U:$U,0)))*IF(VLOOKUP($Q121,武学奇术!$A:$ZZ,24,FALSE)=1,0,1)</f>
        <v>0.9137</v>
      </c>
      <c r="BK121" s="27" cm="1">
        <f t="array" ref="BK121">1+$B$13+VLOOKUP($Q121,武学奇术!$A:$ZZ,18,FALSE)+SUM(_xlfn.XLOOKUP(R121:AF121,增益!$A:$A,增益!$R:$R,0))</f>
        <v>1.5</v>
      </c>
      <c r="BL121" s="27" cm="1">
        <f t="array" ref="BL121">IF(VLOOKUP($Q121,武学奇术!$A:$ZZ,24,FALSE)=1,100%,MIN(40%,$B$10+VLOOKUP($Q121,武学奇术!$A:$ZZ,19,FALSE)+SUM(_xlfn.XLOOKUP(R121:AF121,增益!$A:$A,增益!$S:$S,0)))+$B$12+SUM(_xlfn.XLOOKUP(R121:AF121,增益!$A:$A,增益!$V:$V,0)))*IF(VLOOKUP($Q121,武学奇术!$A:$ZZ,23,FALSE)=1,0,1)</f>
        <v>0.0895</v>
      </c>
      <c r="BM121" s="27" cm="1">
        <f t="array" ref="BM121">1+$B$14+VLOOKUP($Q121,武学奇术!$A:$ZZ,20,FALSE)+SUM(_xlfn.XLOOKUP(R121:AF121,增益!$A:$A,增益!$T:$T,0))</f>
        <v>1.35</v>
      </c>
      <c r="BN121" s="27">
        <f t="shared" si="22"/>
        <v>0.90767745</v>
      </c>
      <c r="BO121" s="27">
        <f t="shared" si="32"/>
        <v>-1.30104260698261e-17</v>
      </c>
      <c r="BP121" s="27">
        <f>IF(VLOOKUP($Q121,武学奇术!$A:$ZZ,22,FALSE)=1,0,(1-$BI121))*(1-$BL121)</f>
        <v>0.00282254999999999</v>
      </c>
      <c r="BQ121" s="27" cm="1">
        <f t="array" ref="BQ121">SUM(_xlfn.XLOOKUP(R121:AF121,增益!$A:$A,增益!$W:$W,0))+$I$5</f>
        <v>0.11</v>
      </c>
    </row>
    <row r="122" spans="1:69">
      <c r="K122" s="41">
        <f t="shared" si="42"/>
        <v>0</v>
      </c>
      <c r="L122" s="41">
        <f>((($AN122+$AO122)/2*$AH122+$AI122)*(1+$AP122)*(1+$AQ122)+(($AS122+$AT122)/2*IF($G$1="鸣金",$AJ122,$AH122)+IF($G$1="鸣金",$AK122*1.5,0))*(1+$AU122)*(1+$AV122)+(($AW122+$AX122)/2*IF($G$1="裂石",$AJ122,$AH122)+IF($G$1="裂石",$AK122*1.5,0))*(1+$AY122)*(1+$AZ122)+(($BA122+$BB122)/2*IF($G$1="牵丝",$AJ122,$AH122)+IF($G$1="牵丝",$AK122*1.5,0))*(1+$BC122)*(1+$BD122)+(($BE122+$BF122)/2*IF($G$1="破竹",$AJ122,$AH122)+IF($G$1="破竹",$AK122*1.5,0))*(1+$BG122)*(1+$BH122))*(1+$AL122)*$BK122*$P122*(1+IF(VLOOKUP($Q122,武学奇术!$A:$ZZ,30,FALSE)="弹道",$B$21,0))*(1+$BQ122)</f>
        <v>0</v>
      </c>
      <c r="M122" s="41">
        <f>(($AO122*$AH122+$AI122)*(1+$AP122)*(1+$AQ122)+($AT122*IF($G$1="鸣金",$AJ122,$AH122)+IF($G$1="鸣金",$AK122*1.5,0))*(1+$AU122)*(1+$AV122)+($AX122*IF($G$1="裂石",$AJ122,$AH122)+IF($G$1="裂石",$AK122*1.5,0))*(1+$AY122)*(1+$AZ122)+($BB122*IF($G$1="牵丝",$AJ122,$AH122)+IF($G$1="牵丝",$AK122*1.5,0))*(1+$BC122)*(1+$BD122)+($BF122*IF($G$1="破竹",$AJ122,$AH122)+IF($G$1="破竹",$AK122*1.5,0))*(1+$BG122)*(1+$BH122))*(1+$AL122)*$BM122*$P122*(1+IF(VLOOKUP($Q122,武学奇术!$A:$ZZ,30,FALSE)="弹道",$B$21,0))*(1+$BQ122)</f>
        <v>0</v>
      </c>
      <c r="N122" s="41">
        <f>((($AN122+$AO122)/2*$AH122+$AI122)*(1+$AP122)*(1+$AQ122)+(($AS122+$AT122)/2*IF($G$1="鸣金",$AJ122,$AH122)+IF($G$1="鸣金",$AK122*1.5,0))*(1+$AU122)*(1+$AV122)+(($AW122+$AX122)/2*IF($G$1="裂石",$AJ122,$AH122)+IF($G$1="裂石",$AK122*1.5,0))*(1+$AY122)*(1+$AZ122)+(($BA122+$BB122)/2*IF($G$1="牵丝",$AJ122,$AH122)+IF($G$1="牵丝",$AK122*1.5,0))*(1+$BC122)*(1+$BD122)+(($BE122+$BF122)/2*IF($G$1="破竹",$AJ122,$AH122)+IF($G$1="破竹",$AK122*1.5,0))*(1+$BG122)*(1+$BH122))*(1+$AL122)*$P122*(1+IF(VLOOKUP($Q122,武学奇术!$A:$ZZ,30,FALSE)="弹道",$B$21,0))*(1+$BQ122)</f>
        <v>0</v>
      </c>
      <c r="O122" s="41">
        <f>((($AN122*$AH122+$AI122)*(1+$AP122)*(1+$AQ122)+($AS122*IF($G$1="鸣金",$AJ122,$AH122)+IF($G$1="鸣金",$AK122*1.5,0))*(1+$AU122)*(1+$AV122)+($AW122*IF($G$1="裂石",$AJ122,$AH122)+IF($G$1="裂石",$AK122*1.5,0))*(1+$AY122)*(1+$AZ122)+($BA122*IF($G$1="牵丝",$AJ122,$AH122)+IF($G$1="牵丝",$AK122*1.5,0))*(1+$BC122)*(1+$BD122)+($BE122*IF($G$1="破竹",$AJ122,$AH122)+IF($G$1="破竹",$AK122*1.5,0))*(1+$BG122)*(1+$BH122))*(1+$AL122))*$P122*(1+IF(VLOOKUP($Q122,武学奇术!$A:$ZZ,30,FALSE)="弹道",$B$21,0))*(1+$BQ122)</f>
        <v>0</v>
      </c>
      <c r="P122" s="42">
        <v>1</v>
      </c>
      <c r="Q122" s="43" t="s">
        <v>73</v>
      </c>
      <c r="R122" s="43" t="s">
        <v>73</v>
      </c>
      <c r="S122" s="43" t="s">
        <v>73</v>
      </c>
      <c r="T122" s="43" t="s">
        <v>73</v>
      </c>
      <c r="U122" s="43" t="s">
        <v>73</v>
      </c>
      <c r="V122" s="43" t="s">
        <v>73</v>
      </c>
      <c r="W122" s="43" t="s">
        <v>73</v>
      </c>
      <c r="X122" s="43" t="s">
        <v>73</v>
      </c>
      <c r="Y122" s="43" t="s">
        <v>73</v>
      </c>
      <c r="Z122" s="43" t="s">
        <v>73</v>
      </c>
      <c r="AA122" s="43" t="s">
        <v>73</v>
      </c>
      <c r="AB122" s="43" t="s">
        <v>73</v>
      </c>
      <c r="AC122" s="43" t="s">
        <v>73</v>
      </c>
      <c r="AD122" s="43" t="s">
        <v>73</v>
      </c>
      <c r="AE122" s="43" t="s">
        <v>73</v>
      </c>
      <c r="AF122" s="43" t="s">
        <v>75</v>
      </c>
      <c r="AG122" t="str">
        <f>VLOOKUP($Q122,武学奇术!$A:$ZZ,25,FALSE)</f>
        <v>心法</v>
      </c>
      <c r="AH122" s="27">
        <f>VLOOKUP($Q122,武学奇术!$A:$ZZ,26,FALSE)</f>
        <v>0</v>
      </c>
      <c r="AI122" s="28">
        <f>VLOOKUP($Q122,武学奇术!$A:$ZZ,27,FALSE)*(1+IF(OR($AG122=$F$4,$AG122=$F$5),$B$22,0))</f>
        <v>0</v>
      </c>
      <c r="AJ122" s="27">
        <f>VLOOKUP($Q122,武学奇术!$A:$ZZ,28,FALSE)</f>
        <v>0</v>
      </c>
      <c r="AK122" s="28">
        <f>VLOOKUP($Q122,武学奇术!$A:$ZZ,29,FALSE)*(1+IF(OR($AG122=$F$4,$AG122=$F$5),$B$22,0))</f>
        <v>0</v>
      </c>
      <c r="AL122" s="27" cm="1">
        <f t="array" ref="AL122">$G$3+IFERROR(VLOOKUP($AG122,$F$4:$G$7,2,FALSE),0)+VLOOKUP($Q122,武学奇术!$A:$ZZ,2,FALSE)+SUM(_xlfn.XLOOKUP($R122:$AF122,增益!$A:$A,增益!$B:$B,0))</f>
        <v>0.1837</v>
      </c>
      <c r="AM122" s="27" cm="1">
        <f t="array" ref="AM122">VLOOKUP($Q122,武学奇术!$A:$ZZ,5,FALSE)+SUM(_xlfn.XLOOKUP($R122:$AF122,增益!$A:$A,增益!$E:$E,0))</f>
        <v>0</v>
      </c>
      <c r="AN122" cm="1">
        <f t="array" ref="AN122">$D$10*(1+$AM122)+VLOOKUP($Q122,武学奇术!$A:$ZZ,3,FALSE)+SUM(_xlfn.XLOOKUP($R122:$AF122,增益!$A:$A,增益!$C:$C,0))-$I$2</f>
        <v>1775.7</v>
      </c>
      <c r="AO122" cm="1">
        <f t="array" ref="AO122">$E$10*(1+$AM122)+VLOOKUP($Q122,武学奇术!$A:$ZZ,4,FALSE)+SUM(_xlfn.XLOOKUP($R122:$AF122,增益!$A:$A,增益!$D:$D,0))-$I$2</f>
        <v>5251.5</v>
      </c>
      <c r="AP122" s="35" cm="1">
        <f t="array" ref="AP122">IF($F$10-$I$3+VLOOKUP($Q122,武学奇术!$A:$ZZ,6,FALSE)+SUM(_xlfn.XLOOKUP(R122:AF122,增益!$A:$A,增益!$F:$F,0))&gt;0,($F$10-$I$3+VLOOKUP($Q122,武学奇术!$A:$ZZ,6,FALSE)+SUM(_xlfn.XLOOKUP(R122:AF122,增益!$A:$A,增益!$F:$F,0)))/200,($F$10-$I$3+VLOOKUP($Q122,武学奇术!$A:$ZZ,6,FALSE)+SUM(_xlfn.XLOOKUP(R122:AF122,增益!$A:$A,增益!$F:$F,0)))/100)</f>
        <v>0.2925</v>
      </c>
      <c r="AQ122" s="35" cm="1">
        <f t="array" ref="AQ122">$G$10+VLOOKUP($Q122,武学奇术!$A:$ZZ,7,FALSE)+SUM(_xlfn.XLOOKUP(R122:AF122,增益!$A:$A,增益!$G:$G,0))</f>
        <v>0</v>
      </c>
      <c r="AR122" s="27" cm="1">
        <f t="array" ref="AR122">VLOOKUP($Q122,武学奇术!$A:$ZZ,8,FALSE)+SUM(_xlfn.XLOOKUP(R122:AF122,增益!$A:$A,增益!$H:$H,0))</f>
        <v>0</v>
      </c>
      <c r="AS122">
        <f t="shared" si="43"/>
        <v>0</v>
      </c>
      <c r="AT122">
        <f t="shared" si="44"/>
        <v>0</v>
      </c>
      <c r="AU122" s="35" cm="1">
        <f t="array" ref="AU122">IF($F$11-$I$4+VLOOKUP($Q122,武学奇术!$A:$ZZ,9,FALSE)+SUM(_xlfn.XLOOKUP(R122:AF122,增益!$A:$A,增益!$I:$I,0))&gt;0,($F$11-$I$4+VLOOKUP($Q122,武学奇术!$A:$ZZ,9,FALSE)+SUM(_xlfn.XLOOKUP(R122:AF122,增益!$A:$A,增益!$I:$I,0)))/200,($F$11-$I$4+VLOOKUP($Q122,武学奇术!$A:$ZZ,9,FALSE)+SUM(_xlfn.XLOOKUP(R122:AF122,增益!$A:$A,增益!$I:$I,0)))/100)</f>
        <v>-0.3</v>
      </c>
      <c r="AV122" s="35" cm="1">
        <f t="array" ref="AV122">$G$11+VLOOKUP($Q122,武学奇术!$A:$ZZ,10,FALSE)+SUM(_xlfn.XLOOKUP(R122:AF122,增益!$A:$A,增益!$J:$J,0))</f>
        <v>0</v>
      </c>
      <c r="AW122">
        <f t="shared" si="45"/>
        <v>0</v>
      </c>
      <c r="AX122">
        <f t="shared" si="46"/>
        <v>0</v>
      </c>
      <c r="AY122" s="35" cm="1">
        <f t="array" ref="AY122">IF($F$12-$I$4+VLOOKUP($Q122,武学奇术!$A:$ZZ,11,FALSE)+SUM(_xlfn.XLOOKUP(R122:AF122,增益!$A:$A,增益!$K:$K,0))&gt;0,($F$12-$I$4+VLOOKUP($Q122,武学奇术!$A:$ZZ,11,FALSE)+SUM(_xlfn.XLOOKUP(R122:AF122,增益!$A:$A,增益!$K:$K,0)))/200,($F$12-$I$4+VLOOKUP($Q122,武学奇术!$A:$ZZ,11,FALSE)+SUM(_xlfn.XLOOKUP(R122:AF122,增益!$A:$A,增益!$K:$K,0)))/100)</f>
        <v>-0.3</v>
      </c>
      <c r="AZ122" s="35" cm="1">
        <f t="array" ref="AZ122">$G$12+VLOOKUP($Q122,武学奇术!$A:$ZZ,12,FALSE)+SUM(_xlfn.XLOOKUP(R122:AF122,增益!$A:$A,增益!$L:$L,0))</f>
        <v>0</v>
      </c>
      <c r="BA122">
        <f t="shared" si="47"/>
        <v>538</v>
      </c>
      <c r="BB122">
        <f t="shared" si="48"/>
        <v>1011</v>
      </c>
      <c r="BC122" s="35" cm="1">
        <f t="array" ref="BC122">IF($F$13-$I$4+VLOOKUP($Q122,武学奇术!$A:$ZZ,13,FALSE)+SUM(_xlfn.XLOOKUP(R122:AF122,增益!$A:$A,增益!$M:$M,0))&gt;0,($F$13-$I$4+VLOOKUP($Q122,武学奇术!$A:$ZZ,13,FALSE)+SUM(_xlfn.XLOOKUP(R122:AF122,增益!$A:$A,增益!$K:$K,0)))/200,($F$13-$I$4+VLOOKUP($Q122,武学奇术!$A:$ZZ,13,FALSE)+SUM(_xlfn.XLOOKUP(R122:AF122,增益!$A:$A,增益!$M:$M,0)))/100)</f>
        <v>0</v>
      </c>
      <c r="BD122" s="35" cm="1">
        <f t="array" ref="BD122">$G$13+VLOOKUP($Q122,武学奇术!$A:$ZZ,14,FALSE)+SUM(_xlfn.XLOOKUP(R122:AF122,增益!$A:$A,增益!$N:$N,0))</f>
        <v>0.15</v>
      </c>
      <c r="BE122">
        <f t="shared" si="49"/>
        <v>0</v>
      </c>
      <c r="BF122">
        <f t="shared" si="50"/>
        <v>0</v>
      </c>
      <c r="BG122" s="35" cm="1">
        <f t="array" ref="BG122">IF($F$14-$I$4+VLOOKUP($Q122,武学奇术!$A:$ZZ,15,FALSE)+SUM(_xlfn.XLOOKUP(R122:AF122,增益!$A:$A,增益!$O:$O,0))&gt;0,($F$14-$I$4+VLOOKUP($Q122,武学奇术!$A:$ZZ,15,FALSE)+SUM(_xlfn.XLOOKUP(R122:AF122,增益!$A:$A,增益!$O:$O,0)))/200,($F$14-$I$4+VLOOKUP($Q122,武学奇术!$A:$ZZ,15,FALSE)+SUM(_xlfn.XLOOKUP(R122:AF122,增益!$A:$A,增益!$O:$O,0)))/100)</f>
        <v>-0.3</v>
      </c>
      <c r="BH122" s="35" cm="1">
        <f t="array" ref="BH122">$G$14+VLOOKUP($Q122,武学奇术!$A:$ZZ,16,FALSE)+SUM(_xlfn.XLOOKUP(R122:AF122,增益!$A:$A,增益!$P:$P,0))</f>
        <v>0</v>
      </c>
      <c r="BI122" s="27">
        <f>MIN(IF(VLOOKUP($Q122,武学奇术!$A:$ZZ,23,FALSE)=1,100%,$B$8),100%)</f>
        <v>0.9969</v>
      </c>
      <c r="BJ122" s="27" cm="1">
        <f t="array" ref="BJ122">IF(VLOOKUP($Q122,武学奇术!$A:$ZZ,23,FALSE)=1,100%,MIN(80%,$B$9+VLOOKUP($Q122,武学奇术!$A:$ZZ,17,FALSE)+SUM(_xlfn.XLOOKUP(R122:AF122,增益!$A:$A,增益!$Q:$Q,0)))+$B$11+SUM(_xlfn.XLOOKUP(R122:AF122,增益!$A:$A,增益!$U:$U,0)))*IF(VLOOKUP($Q122,武学奇术!$A:$ZZ,24,FALSE)=1,0,1)</f>
        <v>0.9137</v>
      </c>
      <c r="BK122" s="27" cm="1">
        <f t="array" ref="BK122">1+$B$13+VLOOKUP($Q122,武学奇术!$A:$ZZ,18,FALSE)+SUM(_xlfn.XLOOKUP(R122:AF122,增益!$A:$A,增益!$R:$R,0))</f>
        <v>1.5</v>
      </c>
      <c r="BL122" s="27" cm="1">
        <f t="array" ref="BL122">IF(VLOOKUP($Q122,武学奇术!$A:$ZZ,24,FALSE)=1,100%,MIN(40%,$B$10+VLOOKUP($Q122,武学奇术!$A:$ZZ,19,FALSE)+SUM(_xlfn.XLOOKUP(R122:AF122,增益!$A:$A,增益!$S:$S,0)))+$B$12+SUM(_xlfn.XLOOKUP(R122:AF122,增益!$A:$A,增益!$V:$V,0)))*IF(VLOOKUP($Q122,武学奇术!$A:$ZZ,23,FALSE)=1,0,1)</f>
        <v>0.0895</v>
      </c>
      <c r="BM122" s="27" cm="1">
        <f t="array" ref="BM122">1+$B$14+VLOOKUP($Q122,武学奇术!$A:$ZZ,20,FALSE)+SUM(_xlfn.XLOOKUP(R122:AF122,增益!$A:$A,增益!$T:$T,0))</f>
        <v>1.35</v>
      </c>
      <c r="BN122" s="27">
        <f t="shared" si="22"/>
        <v>0.90767745</v>
      </c>
      <c r="BO122" s="27">
        <f t="shared" si="32"/>
        <v>-1.30104260698261e-17</v>
      </c>
      <c r="BP122" s="27">
        <f>IF(VLOOKUP($Q122,武学奇术!$A:$ZZ,22,FALSE)=1,0,(1-$BI122))*(1-$BL122)</f>
        <v>0.00282254999999999</v>
      </c>
      <c r="BQ122" s="27" cm="1">
        <f t="array" ref="BQ122">SUM(_xlfn.XLOOKUP(R122:AF122,增益!$A:$A,增益!$W:$W,0))+$I$5</f>
        <v>0.11</v>
      </c>
    </row>
    <row r="123" spans="1:69">
      <c r="K123" s="41">
        <f t="shared" si="42"/>
        <v>0</v>
      </c>
      <c r="L123" s="41">
        <f>((($AN123+$AO123)/2*$AH123+$AI123)*(1+$AP123)*(1+$AQ123)+(($AS123+$AT123)/2*IF($G$1="鸣金",$AJ123,$AH123)+IF($G$1="鸣金",$AK123*1.5,0))*(1+$AU123)*(1+$AV123)+(($AW123+$AX123)/2*IF($G$1="裂石",$AJ123,$AH123)+IF($G$1="裂石",$AK123*1.5,0))*(1+$AY123)*(1+$AZ123)+(($BA123+$BB123)/2*IF($G$1="牵丝",$AJ123,$AH123)+IF($G$1="牵丝",$AK123*1.5,0))*(1+$BC123)*(1+$BD123)+(($BE123+$BF123)/2*IF($G$1="破竹",$AJ123,$AH123)+IF($G$1="破竹",$AK123*1.5,0))*(1+$BG123)*(1+$BH123))*(1+$AL123)*$BK123*$P123*(1+IF(VLOOKUP($Q123,武学奇术!$A:$ZZ,30,FALSE)="弹道",$B$21,0))*(1+$BQ123)</f>
        <v>0</v>
      </c>
      <c r="M123" s="41">
        <f>(($AO123*$AH123+$AI123)*(1+$AP123)*(1+$AQ123)+($AT123*IF($G$1="鸣金",$AJ123,$AH123)+IF($G$1="鸣金",$AK123*1.5,0))*(1+$AU123)*(1+$AV123)+($AX123*IF($G$1="裂石",$AJ123,$AH123)+IF($G$1="裂石",$AK123*1.5,0))*(1+$AY123)*(1+$AZ123)+($BB123*IF($G$1="牵丝",$AJ123,$AH123)+IF($G$1="牵丝",$AK123*1.5,0))*(1+$BC123)*(1+$BD123)+($BF123*IF($G$1="破竹",$AJ123,$AH123)+IF($G$1="破竹",$AK123*1.5,0))*(1+$BG123)*(1+$BH123))*(1+$AL123)*$BM123*$P123*(1+IF(VLOOKUP($Q123,武学奇术!$A:$ZZ,30,FALSE)="弹道",$B$21,0))*(1+$BQ123)</f>
        <v>0</v>
      </c>
      <c r="N123" s="41">
        <f>((($AN123+$AO123)/2*$AH123+$AI123)*(1+$AP123)*(1+$AQ123)+(($AS123+$AT123)/2*IF($G$1="鸣金",$AJ123,$AH123)+IF($G$1="鸣金",$AK123*1.5,0))*(1+$AU123)*(1+$AV123)+(($AW123+$AX123)/2*IF($G$1="裂石",$AJ123,$AH123)+IF($G$1="裂石",$AK123*1.5,0))*(1+$AY123)*(1+$AZ123)+(($BA123+$BB123)/2*IF($G$1="牵丝",$AJ123,$AH123)+IF($G$1="牵丝",$AK123*1.5,0))*(1+$BC123)*(1+$BD123)+(($BE123+$BF123)/2*IF($G$1="破竹",$AJ123,$AH123)+IF($G$1="破竹",$AK123*1.5,0))*(1+$BG123)*(1+$BH123))*(1+$AL123)*$P123*(1+IF(VLOOKUP($Q123,武学奇术!$A:$ZZ,30,FALSE)="弹道",$B$21,0))*(1+$BQ123)</f>
        <v>0</v>
      </c>
      <c r="O123" s="41">
        <f>((($AN123*$AH123+$AI123)*(1+$AP123)*(1+$AQ123)+($AS123*IF($G$1="鸣金",$AJ123,$AH123)+IF($G$1="鸣金",$AK123*1.5,0))*(1+$AU123)*(1+$AV123)+($AW123*IF($G$1="裂石",$AJ123,$AH123)+IF($G$1="裂石",$AK123*1.5,0))*(1+$AY123)*(1+$AZ123)+($BA123*IF($G$1="牵丝",$AJ123,$AH123)+IF($G$1="牵丝",$AK123*1.5,0))*(1+$BC123)*(1+$BD123)+($BE123*IF($G$1="破竹",$AJ123,$AH123)+IF($G$1="破竹",$AK123*1.5,0))*(1+$BG123)*(1+$BH123))*(1+$AL123))*$P123*(1+IF(VLOOKUP($Q123,武学奇术!$A:$ZZ,30,FALSE)="弹道",$B$21,0))*(1+$BQ123)</f>
        <v>0</v>
      </c>
      <c r="P123" s="42">
        <f>IF($C$22="易水歌",1,0)</f>
        <v>1</v>
      </c>
      <c r="Q123" s="43" t="s">
        <v>73</v>
      </c>
      <c r="R123" s="43" t="s">
        <v>73</v>
      </c>
      <c r="S123" s="43" t="s">
        <v>73</v>
      </c>
      <c r="T123" s="43" t="s">
        <v>73</v>
      </c>
      <c r="U123" s="43" t="s">
        <v>73</v>
      </c>
      <c r="V123" s="43" t="s">
        <v>73</v>
      </c>
      <c r="W123" s="43" t="s">
        <v>73</v>
      </c>
      <c r="X123" s="43" t="s">
        <v>73</v>
      </c>
      <c r="Y123" s="43" t="s">
        <v>73</v>
      </c>
      <c r="Z123" s="43" t="s">
        <v>73</v>
      </c>
      <c r="AA123" s="43" t="s">
        <v>73</v>
      </c>
      <c r="AB123" s="43" t="s">
        <v>73</v>
      </c>
      <c r="AC123" s="43" t="s">
        <v>73</v>
      </c>
      <c r="AD123" s="43" t="s">
        <v>73</v>
      </c>
      <c r="AE123" s="43" t="s">
        <v>73</v>
      </c>
      <c r="AF123" s="43" t="s">
        <v>75</v>
      </c>
      <c r="AG123" t="str">
        <f>VLOOKUP($Q123,武学奇术!$A:$ZZ,25,FALSE)</f>
        <v>心法</v>
      </c>
      <c r="AH123" s="27">
        <f>VLOOKUP($Q123,武学奇术!$A:$ZZ,26,FALSE)</f>
        <v>0</v>
      </c>
      <c r="AI123" s="28">
        <f>VLOOKUP($Q123,武学奇术!$A:$ZZ,27,FALSE)*(1+IF(OR($AG123=$F$4,$AG123=$F$5),$B$22,0))</f>
        <v>0</v>
      </c>
      <c r="AJ123" s="27">
        <f>VLOOKUP($Q123,武学奇术!$A:$ZZ,28,FALSE)</f>
        <v>0</v>
      </c>
      <c r="AK123" s="28">
        <f>VLOOKUP($Q123,武学奇术!$A:$ZZ,29,FALSE)*(1+IF(OR($AG123=$F$4,$AG123=$F$5),$B$22,0))</f>
        <v>0</v>
      </c>
      <c r="AL123" s="27" cm="1">
        <f t="array" ref="AL123">$G$3+IFERROR(VLOOKUP($AG123,$F$4:$G$7,2,FALSE),0)+VLOOKUP($Q123,武学奇术!$A:$ZZ,2,FALSE)+SUM(_xlfn.XLOOKUP($R123:$AF123,增益!$A:$A,增益!$B:$B,0))</f>
        <v>0.1837</v>
      </c>
      <c r="AM123" s="27" cm="1">
        <f t="array" ref="AM123">VLOOKUP($Q123,武学奇术!$A:$ZZ,5,FALSE)+SUM(_xlfn.XLOOKUP($R123:$AF123,增益!$A:$A,增益!$E:$E,0))</f>
        <v>0</v>
      </c>
      <c r="AN123" cm="1">
        <f t="array" ref="AN123">$D$10*(1+$AM123)+VLOOKUP($Q123,武学奇术!$A:$ZZ,3,FALSE)+SUM(_xlfn.XLOOKUP($R123:$AF123,增益!$A:$A,增益!$C:$C,0))-$I$2</f>
        <v>1775.7</v>
      </c>
      <c r="AO123" cm="1">
        <f t="array" ref="AO123">$E$10*(1+$AM123)+VLOOKUP($Q123,武学奇术!$A:$ZZ,4,FALSE)+SUM(_xlfn.XLOOKUP($R123:$AF123,增益!$A:$A,增益!$D:$D,0))-$I$2</f>
        <v>5251.5</v>
      </c>
      <c r="AP123" s="35" cm="1">
        <f t="array" ref="AP123">IF($F$10-$I$3+VLOOKUP($Q123,武学奇术!$A:$ZZ,6,FALSE)+SUM(_xlfn.XLOOKUP(R123:AF123,增益!$A:$A,增益!$F:$F,0))&gt;0,($F$10-$I$3+VLOOKUP($Q123,武学奇术!$A:$ZZ,6,FALSE)+SUM(_xlfn.XLOOKUP(R123:AF123,增益!$A:$A,增益!$F:$F,0)))/200,($F$10-$I$3+VLOOKUP($Q123,武学奇术!$A:$ZZ,6,FALSE)+SUM(_xlfn.XLOOKUP(R123:AF123,增益!$A:$A,增益!$F:$F,0)))/100)</f>
        <v>0.2925</v>
      </c>
      <c r="AQ123" s="35" cm="1">
        <f t="array" ref="AQ123">$G$10+VLOOKUP($Q123,武学奇术!$A:$ZZ,7,FALSE)+SUM(_xlfn.XLOOKUP(R123:AF123,增益!$A:$A,增益!$G:$G,0))</f>
        <v>0</v>
      </c>
      <c r="AR123" s="27" cm="1">
        <f t="array" ref="AR123">VLOOKUP($Q123,武学奇术!$A:$ZZ,8,FALSE)+SUM(_xlfn.XLOOKUP(R123:AF123,增益!$A:$A,增益!$H:$H,0))</f>
        <v>0</v>
      </c>
      <c r="AS123">
        <f t="shared" si="43"/>
        <v>0</v>
      </c>
      <c r="AT123">
        <f t="shared" si="44"/>
        <v>0</v>
      </c>
      <c r="AU123" s="35" cm="1">
        <f t="array" ref="AU123">IF($F$11-$I$4+VLOOKUP($Q123,武学奇术!$A:$ZZ,9,FALSE)+SUM(_xlfn.XLOOKUP(R123:AF123,增益!$A:$A,增益!$I:$I,0))&gt;0,($F$11-$I$4+VLOOKUP($Q123,武学奇术!$A:$ZZ,9,FALSE)+SUM(_xlfn.XLOOKUP(R123:AF123,增益!$A:$A,增益!$I:$I,0)))/200,($F$11-$I$4+VLOOKUP($Q123,武学奇术!$A:$ZZ,9,FALSE)+SUM(_xlfn.XLOOKUP(R123:AF123,增益!$A:$A,增益!$I:$I,0)))/100)</f>
        <v>-0.3</v>
      </c>
      <c r="AV123" s="35" cm="1">
        <f t="array" ref="AV123">$G$11+VLOOKUP($Q123,武学奇术!$A:$ZZ,10,FALSE)+SUM(_xlfn.XLOOKUP(R123:AF123,增益!$A:$A,增益!$J:$J,0))</f>
        <v>0</v>
      </c>
      <c r="AW123">
        <f t="shared" si="45"/>
        <v>0</v>
      </c>
      <c r="AX123">
        <f t="shared" si="46"/>
        <v>0</v>
      </c>
      <c r="AY123" s="35" cm="1">
        <f t="array" ref="AY123">IF($F$12-$I$4+VLOOKUP($Q123,武学奇术!$A:$ZZ,11,FALSE)+SUM(_xlfn.XLOOKUP(R123:AF123,增益!$A:$A,增益!$K:$K,0))&gt;0,($F$12-$I$4+VLOOKUP($Q123,武学奇术!$A:$ZZ,11,FALSE)+SUM(_xlfn.XLOOKUP(R123:AF123,增益!$A:$A,增益!$K:$K,0)))/200,($F$12-$I$4+VLOOKUP($Q123,武学奇术!$A:$ZZ,11,FALSE)+SUM(_xlfn.XLOOKUP(R123:AF123,增益!$A:$A,增益!$K:$K,0)))/100)</f>
        <v>-0.3</v>
      </c>
      <c r="AZ123" s="35" cm="1">
        <f t="array" ref="AZ123">$G$12+VLOOKUP($Q123,武学奇术!$A:$ZZ,12,FALSE)+SUM(_xlfn.XLOOKUP(R123:AF123,增益!$A:$A,增益!$L:$L,0))</f>
        <v>0</v>
      </c>
      <c r="BA123">
        <f t="shared" si="47"/>
        <v>538</v>
      </c>
      <c r="BB123">
        <f t="shared" si="48"/>
        <v>1011</v>
      </c>
      <c r="BC123" s="35" cm="1">
        <f t="array" ref="BC123">IF($F$13-$I$4+VLOOKUP($Q123,武学奇术!$A:$ZZ,13,FALSE)+SUM(_xlfn.XLOOKUP(R123:AF123,增益!$A:$A,增益!$M:$M,0))&gt;0,($F$13-$I$4+VLOOKUP($Q123,武学奇术!$A:$ZZ,13,FALSE)+SUM(_xlfn.XLOOKUP(R123:AF123,增益!$A:$A,增益!$K:$K,0)))/200,($F$13-$I$4+VLOOKUP($Q123,武学奇术!$A:$ZZ,13,FALSE)+SUM(_xlfn.XLOOKUP(R123:AF123,增益!$A:$A,增益!$M:$M,0)))/100)</f>
        <v>0</v>
      </c>
      <c r="BD123" s="35" cm="1">
        <f t="array" ref="BD123">$G$13+VLOOKUP($Q123,武学奇术!$A:$ZZ,14,FALSE)+SUM(_xlfn.XLOOKUP(R123:AF123,增益!$A:$A,增益!$N:$N,0))</f>
        <v>0.15</v>
      </c>
      <c r="BE123">
        <f t="shared" si="49"/>
        <v>0</v>
      </c>
      <c r="BF123">
        <f t="shared" si="50"/>
        <v>0</v>
      </c>
      <c r="BG123" s="35" cm="1">
        <f t="array" ref="BG123">IF($F$14-$I$4+VLOOKUP($Q123,武学奇术!$A:$ZZ,15,FALSE)+SUM(_xlfn.XLOOKUP(R123:AF123,增益!$A:$A,增益!$O:$O,0))&gt;0,($F$14-$I$4+VLOOKUP($Q123,武学奇术!$A:$ZZ,15,FALSE)+SUM(_xlfn.XLOOKUP(R123:AF123,增益!$A:$A,增益!$O:$O,0)))/200,($F$14-$I$4+VLOOKUP($Q123,武学奇术!$A:$ZZ,15,FALSE)+SUM(_xlfn.XLOOKUP(R123:AF123,增益!$A:$A,增益!$O:$O,0)))/100)</f>
        <v>-0.3</v>
      </c>
      <c r="BH123" s="35" cm="1">
        <f t="array" ref="BH123">$G$14+VLOOKUP($Q123,武学奇术!$A:$ZZ,16,FALSE)+SUM(_xlfn.XLOOKUP(R123:AF123,增益!$A:$A,增益!$P:$P,0))</f>
        <v>0</v>
      </c>
      <c r="BI123" s="27">
        <f>MIN(IF(VLOOKUP($Q123,武学奇术!$A:$ZZ,23,FALSE)=1,100%,$B$8),100%)</f>
        <v>0.9969</v>
      </c>
      <c r="BJ123" s="27" cm="1">
        <f t="array" ref="BJ123">IF(VLOOKUP($Q123,武学奇术!$A:$ZZ,23,FALSE)=1,100%,MIN(80%,$B$9+VLOOKUP($Q123,武学奇术!$A:$ZZ,17,FALSE)+SUM(_xlfn.XLOOKUP(R123:AF123,增益!$A:$A,增益!$Q:$Q,0)))+$B$11+SUM(_xlfn.XLOOKUP(R123:AF123,增益!$A:$A,增益!$U:$U,0)))*IF(VLOOKUP($Q123,武学奇术!$A:$ZZ,24,FALSE)=1,0,1)</f>
        <v>0.9137</v>
      </c>
      <c r="BK123" s="27" cm="1">
        <f t="array" ref="BK123">1+$B$13+VLOOKUP($Q123,武学奇术!$A:$ZZ,18,FALSE)+SUM(_xlfn.XLOOKUP(R123:AF123,增益!$A:$A,增益!$R:$R,0))</f>
        <v>1.5</v>
      </c>
      <c r="BL123" s="27" cm="1">
        <f t="array" ref="BL123">IF(VLOOKUP($Q123,武学奇术!$A:$ZZ,24,FALSE)=1,100%,MIN(40%,$B$10+VLOOKUP($Q123,武学奇术!$A:$ZZ,19,FALSE)+SUM(_xlfn.XLOOKUP(R123:AF123,增益!$A:$A,增益!$S:$S,0)))+$B$12+SUM(_xlfn.XLOOKUP(R123:AF123,增益!$A:$A,增益!$V:$V,0)))*IF(VLOOKUP($Q123,武学奇术!$A:$ZZ,23,FALSE)=1,0,1)</f>
        <v>0.0895</v>
      </c>
      <c r="BM123" s="27" cm="1">
        <f t="array" ref="BM123">1+$B$14+VLOOKUP($Q123,武学奇术!$A:$ZZ,20,FALSE)+SUM(_xlfn.XLOOKUP(R123:AF123,增益!$A:$A,增益!$T:$T,0))</f>
        <v>1.35</v>
      </c>
      <c r="BN123" s="27">
        <f t="shared" si="22"/>
        <v>0.90767745</v>
      </c>
      <c r="BO123" s="27">
        <f t="shared" si="32"/>
        <v>-1.30104260698261e-17</v>
      </c>
      <c r="BP123" s="27">
        <f>IF(VLOOKUP($Q123,武学奇术!$A:$ZZ,22,FALSE)=1,0,(1-$BI123))*(1-$BL123)</f>
        <v>0.00282254999999999</v>
      </c>
      <c r="BQ123" s="27" cm="1">
        <f t="array" ref="BQ123">SUM(_xlfn.XLOOKUP(R123:AF123,增益!$A:$A,增益!$W:$W,0))+$I$5</f>
        <v>0.11</v>
      </c>
    </row>
    <row r="124" spans="1:69">
      <c r="K124" s="41">
        <f t="shared" si="42"/>
        <v>0</v>
      </c>
      <c r="L124" s="41">
        <f>((($AN124+$AO124)/2*$AH124+$AI124)*(1+$AP124)*(1+$AQ124)+(($AS124+$AT124)/2*IF($G$1="鸣金",$AJ124,$AH124)+IF($G$1="鸣金",$AK124*1.5,0))*(1+$AU124)*(1+$AV124)+(($AW124+$AX124)/2*IF($G$1="裂石",$AJ124,$AH124)+IF($G$1="裂石",$AK124*1.5,0))*(1+$AY124)*(1+$AZ124)+(($BA124+$BB124)/2*IF($G$1="牵丝",$AJ124,$AH124)+IF($G$1="牵丝",$AK124*1.5,0))*(1+$BC124)*(1+$BD124)+(($BE124+$BF124)/2*IF($G$1="破竹",$AJ124,$AH124)+IF($G$1="破竹",$AK124*1.5,0))*(1+$BG124)*(1+$BH124))*(1+$AL124)*$BK124*$P124*(1+IF(VLOOKUP($Q124,武学奇术!$A:$ZZ,30,FALSE)="弹道",$B$21,0))*(1+$BQ124)</f>
        <v>0</v>
      </c>
      <c r="M124" s="41">
        <f>(($AO124*$AH124+$AI124)*(1+$AP124)*(1+$AQ124)+($AT124*IF($G$1="鸣金",$AJ124,$AH124)+IF($G$1="鸣金",$AK124*1.5,0))*(1+$AU124)*(1+$AV124)+($AX124*IF($G$1="裂石",$AJ124,$AH124)+IF($G$1="裂石",$AK124*1.5,0))*(1+$AY124)*(1+$AZ124)+($BB124*IF($G$1="牵丝",$AJ124,$AH124)+IF($G$1="牵丝",$AK124*1.5,0))*(1+$BC124)*(1+$BD124)+($BF124*IF($G$1="破竹",$AJ124,$AH124)+IF($G$1="破竹",$AK124*1.5,0))*(1+$BG124)*(1+$BH124))*(1+$AL124)*$BM124*$P124*(1+IF(VLOOKUP($Q124,武学奇术!$A:$ZZ,30,FALSE)="弹道",$B$21,0))*(1+$BQ124)</f>
        <v>0</v>
      </c>
      <c r="N124" s="41">
        <f>((($AN124+$AO124)/2*$AH124+$AI124)*(1+$AP124)*(1+$AQ124)+(($AS124+$AT124)/2*IF($G$1="鸣金",$AJ124,$AH124)+IF($G$1="鸣金",$AK124*1.5,0))*(1+$AU124)*(1+$AV124)+(($AW124+$AX124)/2*IF($G$1="裂石",$AJ124,$AH124)+IF($G$1="裂石",$AK124*1.5,0))*(1+$AY124)*(1+$AZ124)+(($BA124+$BB124)/2*IF($G$1="牵丝",$AJ124,$AH124)+IF($G$1="牵丝",$AK124*1.5,0))*(1+$BC124)*(1+$BD124)+(($BE124+$BF124)/2*IF($G$1="破竹",$AJ124,$AH124)+IF($G$1="破竹",$AK124*1.5,0))*(1+$BG124)*(1+$BH124))*(1+$AL124)*$P124*(1+IF(VLOOKUP($Q124,武学奇术!$A:$ZZ,30,FALSE)="弹道",$B$21,0))*(1+$BQ124)</f>
        <v>0</v>
      </c>
      <c r="O124" s="41">
        <f>((($AN124*$AH124+$AI124)*(1+$AP124)*(1+$AQ124)+($AS124*IF($G$1="鸣金",$AJ124,$AH124)+IF($G$1="鸣金",$AK124*1.5,0))*(1+$AU124)*(1+$AV124)+($AW124*IF($G$1="裂石",$AJ124,$AH124)+IF($G$1="裂石",$AK124*1.5,0))*(1+$AY124)*(1+$AZ124)+($BA124*IF($G$1="牵丝",$AJ124,$AH124)+IF($G$1="牵丝",$AK124*1.5,0))*(1+$BC124)*(1+$BD124)+($BE124*IF($G$1="破竹",$AJ124,$AH124)+IF($G$1="破竹",$AK124*1.5,0))*(1+$BG124)*(1+$BH124))*(1+$AL124))*$P124*(1+IF(VLOOKUP($Q124,武学奇术!$A:$ZZ,30,FALSE)="弹道",$B$21,0))*(1+$BQ124)</f>
        <v>0</v>
      </c>
      <c r="P124" s="42">
        <v>1</v>
      </c>
      <c r="Q124" s="43" t="s">
        <v>73</v>
      </c>
      <c r="R124" s="43" t="s">
        <v>73</v>
      </c>
      <c r="S124" s="43" t="s">
        <v>73</v>
      </c>
      <c r="T124" s="43" t="s">
        <v>73</v>
      </c>
      <c r="U124" s="43" t="s">
        <v>73</v>
      </c>
      <c r="V124" s="43" t="s">
        <v>73</v>
      </c>
      <c r="W124" s="43" t="s">
        <v>73</v>
      </c>
      <c r="X124" s="43" t="s">
        <v>73</v>
      </c>
      <c r="Y124" s="43" t="s">
        <v>73</v>
      </c>
      <c r="Z124" s="43" t="s">
        <v>73</v>
      </c>
      <c r="AA124" s="43" t="s">
        <v>73</v>
      </c>
      <c r="AB124" s="43" t="s">
        <v>73</v>
      </c>
      <c r="AC124" s="43" t="s">
        <v>73</v>
      </c>
      <c r="AD124" s="43" t="s">
        <v>73</v>
      </c>
      <c r="AE124" s="43" t="s">
        <v>73</v>
      </c>
      <c r="AF124" s="43" t="s">
        <v>75</v>
      </c>
      <c r="AG124" t="str">
        <f>VLOOKUP($Q124,武学奇术!$A:$ZZ,25,FALSE)</f>
        <v>心法</v>
      </c>
      <c r="AH124" s="27">
        <f>VLOOKUP($Q124,武学奇术!$A:$ZZ,26,FALSE)</f>
        <v>0</v>
      </c>
      <c r="AI124" s="28">
        <f>VLOOKUP($Q124,武学奇术!$A:$ZZ,27,FALSE)*(1+IF(OR($AG124=$F$4,$AG124=$F$5),$B$22,0))</f>
        <v>0</v>
      </c>
      <c r="AJ124" s="27">
        <f>VLOOKUP($Q124,武学奇术!$A:$ZZ,28,FALSE)</f>
        <v>0</v>
      </c>
      <c r="AK124" s="28">
        <f>VLOOKUP($Q124,武学奇术!$A:$ZZ,29,FALSE)*(1+IF(OR($AG124=$F$4,$AG124=$F$5),$B$22,0))</f>
        <v>0</v>
      </c>
      <c r="AL124" s="27" cm="1">
        <f t="array" ref="AL124">$G$3+IFERROR(VLOOKUP($AG124,$F$4:$G$7,2,FALSE),0)+VLOOKUP($Q124,武学奇术!$A:$ZZ,2,FALSE)+SUM(_xlfn.XLOOKUP($R124:$AF124,增益!$A:$A,增益!$B:$B,0))</f>
        <v>0.1837</v>
      </c>
      <c r="AM124" s="27" cm="1">
        <f t="array" ref="AM124">VLOOKUP($Q124,武学奇术!$A:$ZZ,5,FALSE)+SUM(_xlfn.XLOOKUP($R124:$AF124,增益!$A:$A,增益!$E:$E,0))</f>
        <v>0</v>
      </c>
      <c r="AN124" cm="1">
        <f t="array" ref="AN124">$D$10*(1+$AM124)+VLOOKUP($Q124,武学奇术!$A:$ZZ,3,FALSE)+SUM(_xlfn.XLOOKUP($R124:$AF124,增益!$A:$A,增益!$C:$C,0))-$I$2</f>
        <v>1775.7</v>
      </c>
      <c r="AO124" cm="1">
        <f t="array" ref="AO124">$E$10*(1+$AM124)+VLOOKUP($Q124,武学奇术!$A:$ZZ,4,FALSE)+SUM(_xlfn.XLOOKUP($R124:$AF124,增益!$A:$A,增益!$D:$D,0))-$I$2</f>
        <v>5251.5</v>
      </c>
      <c r="AP124" s="35" cm="1">
        <f t="array" ref="AP124">IF($F$10-$I$3+VLOOKUP($Q124,武学奇术!$A:$ZZ,6,FALSE)+SUM(_xlfn.XLOOKUP(R124:AF124,增益!$A:$A,增益!$F:$F,0))&gt;0,($F$10-$I$3+VLOOKUP($Q124,武学奇术!$A:$ZZ,6,FALSE)+SUM(_xlfn.XLOOKUP(R124:AF124,增益!$A:$A,增益!$F:$F,0)))/200,($F$10-$I$3+VLOOKUP($Q124,武学奇术!$A:$ZZ,6,FALSE)+SUM(_xlfn.XLOOKUP(R124:AF124,增益!$A:$A,增益!$F:$F,0)))/100)</f>
        <v>0.2925</v>
      </c>
      <c r="AQ124" s="35" cm="1">
        <f t="array" ref="AQ124">$G$10+VLOOKUP($Q124,武学奇术!$A:$ZZ,7,FALSE)+SUM(_xlfn.XLOOKUP(R124:AF124,增益!$A:$A,增益!$G:$G,0))</f>
        <v>0</v>
      </c>
      <c r="AR124" s="27" cm="1">
        <f t="array" ref="AR124">VLOOKUP($Q124,武学奇术!$A:$ZZ,8,FALSE)+SUM(_xlfn.XLOOKUP(R124:AF124,增益!$A:$A,增益!$H:$H,0))</f>
        <v>0</v>
      </c>
      <c r="AS124">
        <f t="shared" si="43"/>
        <v>0</v>
      </c>
      <c r="AT124">
        <f t="shared" si="44"/>
        <v>0</v>
      </c>
      <c r="AU124" s="35" cm="1">
        <f t="array" ref="AU124">IF($F$11-$I$4+VLOOKUP($Q124,武学奇术!$A:$ZZ,9,FALSE)+SUM(_xlfn.XLOOKUP(R124:AF124,增益!$A:$A,增益!$I:$I,0))&gt;0,($F$11-$I$4+VLOOKUP($Q124,武学奇术!$A:$ZZ,9,FALSE)+SUM(_xlfn.XLOOKUP(R124:AF124,增益!$A:$A,增益!$I:$I,0)))/200,($F$11-$I$4+VLOOKUP($Q124,武学奇术!$A:$ZZ,9,FALSE)+SUM(_xlfn.XLOOKUP(R124:AF124,增益!$A:$A,增益!$I:$I,0)))/100)</f>
        <v>-0.3</v>
      </c>
      <c r="AV124" s="35" cm="1">
        <f t="array" ref="AV124">$G$11+VLOOKUP($Q124,武学奇术!$A:$ZZ,10,FALSE)+SUM(_xlfn.XLOOKUP(R124:AF124,增益!$A:$A,增益!$J:$J,0))</f>
        <v>0</v>
      </c>
      <c r="AW124">
        <f t="shared" si="45"/>
        <v>0</v>
      </c>
      <c r="AX124">
        <f t="shared" si="46"/>
        <v>0</v>
      </c>
      <c r="AY124" s="35" cm="1">
        <f t="array" ref="AY124">IF($F$12-$I$4+VLOOKUP($Q124,武学奇术!$A:$ZZ,11,FALSE)+SUM(_xlfn.XLOOKUP(R124:AF124,增益!$A:$A,增益!$K:$K,0))&gt;0,($F$12-$I$4+VLOOKUP($Q124,武学奇术!$A:$ZZ,11,FALSE)+SUM(_xlfn.XLOOKUP(R124:AF124,增益!$A:$A,增益!$K:$K,0)))/200,($F$12-$I$4+VLOOKUP($Q124,武学奇术!$A:$ZZ,11,FALSE)+SUM(_xlfn.XLOOKUP(R124:AF124,增益!$A:$A,增益!$K:$K,0)))/100)</f>
        <v>-0.3</v>
      </c>
      <c r="AZ124" s="35" cm="1">
        <f t="array" ref="AZ124">$G$12+VLOOKUP($Q124,武学奇术!$A:$ZZ,12,FALSE)+SUM(_xlfn.XLOOKUP(R124:AF124,增益!$A:$A,增益!$L:$L,0))</f>
        <v>0</v>
      </c>
      <c r="BA124">
        <f t="shared" si="47"/>
        <v>538</v>
      </c>
      <c r="BB124">
        <f t="shared" si="48"/>
        <v>1011</v>
      </c>
      <c r="BC124" s="35" cm="1">
        <f t="array" ref="BC124">IF($F$13-$I$4+VLOOKUP($Q124,武学奇术!$A:$ZZ,13,FALSE)+SUM(_xlfn.XLOOKUP(R124:AF124,增益!$A:$A,增益!$M:$M,0))&gt;0,($F$13-$I$4+VLOOKUP($Q124,武学奇术!$A:$ZZ,13,FALSE)+SUM(_xlfn.XLOOKUP(R124:AF124,增益!$A:$A,增益!$K:$K,0)))/200,($F$13-$I$4+VLOOKUP($Q124,武学奇术!$A:$ZZ,13,FALSE)+SUM(_xlfn.XLOOKUP(R124:AF124,增益!$A:$A,增益!$M:$M,0)))/100)</f>
        <v>0</v>
      </c>
      <c r="BD124" s="35" cm="1">
        <f t="array" ref="BD124">$G$13+VLOOKUP($Q124,武学奇术!$A:$ZZ,14,FALSE)+SUM(_xlfn.XLOOKUP(R124:AF124,增益!$A:$A,增益!$N:$N,0))</f>
        <v>0.15</v>
      </c>
      <c r="BE124">
        <f t="shared" si="49"/>
        <v>0</v>
      </c>
      <c r="BF124">
        <f t="shared" si="50"/>
        <v>0</v>
      </c>
      <c r="BG124" s="35" cm="1">
        <f t="array" ref="BG124">IF($F$14-$I$4+VLOOKUP($Q124,武学奇术!$A:$ZZ,15,FALSE)+SUM(_xlfn.XLOOKUP(R124:AF124,增益!$A:$A,增益!$O:$O,0))&gt;0,($F$14-$I$4+VLOOKUP($Q124,武学奇术!$A:$ZZ,15,FALSE)+SUM(_xlfn.XLOOKUP(R124:AF124,增益!$A:$A,增益!$O:$O,0)))/200,($F$14-$I$4+VLOOKUP($Q124,武学奇术!$A:$ZZ,15,FALSE)+SUM(_xlfn.XLOOKUP(R124:AF124,增益!$A:$A,增益!$O:$O,0)))/100)</f>
        <v>-0.3</v>
      </c>
      <c r="BH124" s="35" cm="1">
        <f t="array" ref="BH124">$G$14+VLOOKUP($Q124,武学奇术!$A:$ZZ,16,FALSE)+SUM(_xlfn.XLOOKUP(R124:AF124,增益!$A:$A,增益!$P:$P,0))</f>
        <v>0</v>
      </c>
      <c r="BI124" s="27">
        <f>MIN(IF(VLOOKUP($Q124,武学奇术!$A:$ZZ,23,FALSE)=1,100%,$B$8),100%)</f>
        <v>0.9969</v>
      </c>
      <c r="BJ124" s="27" cm="1">
        <f t="array" ref="BJ124">IF(VLOOKUP($Q124,武学奇术!$A:$ZZ,23,FALSE)=1,100%,MIN(80%,$B$9+VLOOKUP($Q124,武学奇术!$A:$ZZ,17,FALSE)+SUM(_xlfn.XLOOKUP(R124:AF124,增益!$A:$A,增益!$Q:$Q,0)))+$B$11+SUM(_xlfn.XLOOKUP(R124:AF124,增益!$A:$A,增益!$U:$U,0)))*IF(VLOOKUP($Q124,武学奇术!$A:$ZZ,24,FALSE)=1,0,1)</f>
        <v>0.9137</v>
      </c>
      <c r="BK124" s="27" cm="1">
        <f t="array" ref="BK124">1+$B$13+VLOOKUP($Q124,武学奇术!$A:$ZZ,18,FALSE)+SUM(_xlfn.XLOOKUP(R124:AF124,增益!$A:$A,增益!$R:$R,0))</f>
        <v>1.5</v>
      </c>
      <c r="BL124" s="27" cm="1">
        <f t="array" ref="BL124">IF(VLOOKUP($Q124,武学奇术!$A:$ZZ,24,FALSE)=1,100%,MIN(40%,$B$10+VLOOKUP($Q124,武学奇术!$A:$ZZ,19,FALSE)+SUM(_xlfn.XLOOKUP(R124:AF124,增益!$A:$A,增益!$S:$S,0)))+$B$12+SUM(_xlfn.XLOOKUP(R124:AF124,增益!$A:$A,增益!$V:$V,0)))*IF(VLOOKUP($Q124,武学奇术!$A:$ZZ,23,FALSE)=1,0,1)</f>
        <v>0.0895</v>
      </c>
      <c r="BM124" s="27" cm="1">
        <f t="array" ref="BM124">1+$B$14+VLOOKUP($Q124,武学奇术!$A:$ZZ,20,FALSE)+SUM(_xlfn.XLOOKUP(R124:AF124,增益!$A:$A,增益!$T:$T,0))</f>
        <v>1.35</v>
      </c>
      <c r="BN124" s="27">
        <f t="shared" ref="BN124:BN136" si="51">MIN((1-BL124)*BI124,BI124*BJ124)</f>
        <v>0.90767745</v>
      </c>
      <c r="BO124" s="27">
        <f t="shared" si="32"/>
        <v>-1.30104260698261e-17</v>
      </c>
      <c r="BP124" s="27">
        <f>IF(VLOOKUP($Q124,武学奇术!$A:$ZZ,22,FALSE)=1,0,(1-$BI124))*(1-$BL124)</f>
        <v>0.00282254999999999</v>
      </c>
      <c r="BQ124" s="27" cm="1">
        <f t="array" ref="BQ124">SUM(_xlfn.XLOOKUP(R124:AF124,增益!$A:$A,增益!$W:$W,0))+$I$5</f>
        <v>0.11</v>
      </c>
    </row>
    <row r="125" spans="1:69">
      <c r="K125" s="41">
        <f t="shared" si="42"/>
        <v>0</v>
      </c>
      <c r="L125" s="41">
        <f>((($AN125+$AO125)/2*$AH125+$AI125)*(1+$AP125)*(1+$AQ125)+(($AS125+$AT125)/2*IF($G$1="鸣金",$AJ125,$AH125)+IF($G$1="鸣金",$AK125*1.5,0))*(1+$AU125)*(1+$AV125)+(($AW125+$AX125)/2*IF($G$1="裂石",$AJ125,$AH125)+IF($G$1="裂石",$AK125*1.5,0))*(1+$AY125)*(1+$AZ125)+(($BA125+$BB125)/2*IF($G$1="牵丝",$AJ125,$AH125)+IF($G$1="牵丝",$AK125*1.5,0))*(1+$BC125)*(1+$BD125)+(($BE125+$BF125)/2*IF($G$1="破竹",$AJ125,$AH125)+IF($G$1="破竹",$AK125*1.5,0))*(1+$BG125)*(1+$BH125))*(1+$AL125)*$BK125*$P125*(1+IF(VLOOKUP($Q125,武学奇术!$A:$ZZ,30,FALSE)="弹道",$B$21,0))*(1+$BQ125)</f>
        <v>0</v>
      </c>
      <c r="M125" s="41">
        <f>(($AO125*$AH125+$AI125)*(1+$AP125)*(1+$AQ125)+($AT125*IF($G$1="鸣金",$AJ125,$AH125)+IF($G$1="鸣金",$AK125*1.5,0))*(1+$AU125)*(1+$AV125)+($AX125*IF($G$1="裂石",$AJ125,$AH125)+IF($G$1="裂石",$AK125*1.5,0))*(1+$AY125)*(1+$AZ125)+($BB125*IF($G$1="牵丝",$AJ125,$AH125)+IF($G$1="牵丝",$AK125*1.5,0))*(1+$BC125)*(1+$BD125)+($BF125*IF($G$1="破竹",$AJ125,$AH125)+IF($G$1="破竹",$AK125*1.5,0))*(1+$BG125)*(1+$BH125))*(1+$AL125)*$BM125*$P125*(1+IF(VLOOKUP($Q125,武学奇术!$A:$ZZ,30,FALSE)="弹道",$B$21,0))*(1+$BQ125)</f>
        <v>0</v>
      </c>
      <c r="N125" s="41">
        <f>((($AN125+$AO125)/2*$AH125+$AI125)*(1+$AP125)*(1+$AQ125)+(($AS125+$AT125)/2*IF($G$1="鸣金",$AJ125,$AH125)+IF($G$1="鸣金",$AK125*1.5,0))*(1+$AU125)*(1+$AV125)+(($AW125+$AX125)/2*IF($G$1="裂石",$AJ125,$AH125)+IF($G$1="裂石",$AK125*1.5,0))*(1+$AY125)*(1+$AZ125)+(($BA125+$BB125)/2*IF($G$1="牵丝",$AJ125,$AH125)+IF($G$1="牵丝",$AK125*1.5,0))*(1+$BC125)*(1+$BD125)+(($BE125+$BF125)/2*IF($G$1="破竹",$AJ125,$AH125)+IF($G$1="破竹",$AK125*1.5,0))*(1+$BG125)*(1+$BH125))*(1+$AL125)*$P125*(1+IF(VLOOKUP($Q125,武学奇术!$A:$ZZ,30,FALSE)="弹道",$B$21,0))*(1+$BQ125)</f>
        <v>0</v>
      </c>
      <c r="O125" s="41">
        <f>((($AN125*$AH125+$AI125)*(1+$AP125)*(1+$AQ125)+($AS125*IF($G$1="鸣金",$AJ125,$AH125)+IF($G$1="鸣金",$AK125*1.5,0))*(1+$AU125)*(1+$AV125)+($AW125*IF($G$1="裂石",$AJ125,$AH125)+IF($G$1="裂石",$AK125*1.5,0))*(1+$AY125)*(1+$AZ125)+($BA125*IF($G$1="牵丝",$AJ125,$AH125)+IF($G$1="牵丝",$AK125*1.5,0))*(1+$BC125)*(1+$BD125)+($BE125*IF($G$1="破竹",$AJ125,$AH125)+IF($G$1="破竹",$AK125*1.5,0))*(1+$BG125)*(1+$BH125))*(1+$AL125))*$P125*(1+IF(VLOOKUP($Q125,武学奇术!$A:$ZZ,30,FALSE)="弹道",$B$21,0))*(1+$BQ125)</f>
        <v>0</v>
      </c>
      <c r="P125" s="42">
        <v>1</v>
      </c>
      <c r="Q125" s="43" t="s">
        <v>73</v>
      </c>
      <c r="R125" s="43" t="s">
        <v>73</v>
      </c>
      <c r="S125" s="43" t="s">
        <v>73</v>
      </c>
      <c r="T125" s="43" t="s">
        <v>73</v>
      </c>
      <c r="U125" s="43" t="s">
        <v>73</v>
      </c>
      <c r="V125" s="43" t="s">
        <v>73</v>
      </c>
      <c r="W125" s="43" t="s">
        <v>73</v>
      </c>
      <c r="X125" s="43" t="s">
        <v>73</v>
      </c>
      <c r="Y125" s="43" t="s">
        <v>73</v>
      </c>
      <c r="Z125" s="43" t="s">
        <v>73</v>
      </c>
      <c r="AA125" s="43" t="s">
        <v>73</v>
      </c>
      <c r="AB125" s="43" t="s">
        <v>73</v>
      </c>
      <c r="AC125" s="43" t="s">
        <v>73</v>
      </c>
      <c r="AD125" s="43" t="s">
        <v>73</v>
      </c>
      <c r="AE125" s="43" t="s">
        <v>73</v>
      </c>
      <c r="AF125" s="43" t="s">
        <v>75</v>
      </c>
      <c r="AG125" t="str">
        <f>VLOOKUP($Q125,武学奇术!$A:$ZZ,25,FALSE)</f>
        <v>心法</v>
      </c>
      <c r="AH125" s="27">
        <f>VLOOKUP($Q125,武学奇术!$A:$ZZ,26,FALSE)</f>
        <v>0</v>
      </c>
      <c r="AI125" s="28">
        <f>VLOOKUP($Q125,武学奇术!$A:$ZZ,27,FALSE)*(1+IF(OR($AG125=$F$4,$AG125=$F$5),$B$22,0))</f>
        <v>0</v>
      </c>
      <c r="AJ125" s="27">
        <f>VLOOKUP($Q125,武学奇术!$A:$ZZ,28,FALSE)</f>
        <v>0</v>
      </c>
      <c r="AK125" s="28">
        <f>VLOOKUP($Q125,武学奇术!$A:$ZZ,29,FALSE)*(1+IF(OR($AG125=$F$4,$AG125=$F$5),$B$22,0))</f>
        <v>0</v>
      </c>
      <c r="AL125" s="27" cm="1">
        <f t="array" ref="AL125">$G$3+IFERROR(VLOOKUP($AG125,$F$4:$G$7,2,FALSE),0)+VLOOKUP($Q125,武学奇术!$A:$ZZ,2,FALSE)+SUM(_xlfn.XLOOKUP($R125:$AF125,增益!$A:$A,增益!$B:$B,0))</f>
        <v>0.1837</v>
      </c>
      <c r="AM125" s="27" cm="1">
        <f t="array" ref="AM125">VLOOKUP($Q125,武学奇术!$A:$ZZ,5,FALSE)+SUM(_xlfn.XLOOKUP($R125:$AF125,增益!$A:$A,增益!$E:$E,0))</f>
        <v>0</v>
      </c>
      <c r="AN125" cm="1">
        <f t="array" ref="AN125">$D$10*(1+$AM125)+VLOOKUP($Q125,武学奇术!$A:$ZZ,3,FALSE)+SUM(_xlfn.XLOOKUP($R125:$AF125,增益!$A:$A,增益!$C:$C,0))-$I$2</f>
        <v>1775.7</v>
      </c>
      <c r="AO125" cm="1">
        <f t="array" ref="AO125">$E$10*(1+$AM125)+VLOOKUP($Q125,武学奇术!$A:$ZZ,4,FALSE)+SUM(_xlfn.XLOOKUP($R125:$AF125,增益!$A:$A,增益!$D:$D,0))-$I$2</f>
        <v>5251.5</v>
      </c>
      <c r="AP125" s="35" cm="1">
        <f t="array" ref="AP125">IF($F$10-$I$3+VLOOKUP($Q125,武学奇术!$A:$ZZ,6,FALSE)+SUM(_xlfn.XLOOKUP(R125:AF125,增益!$A:$A,增益!$F:$F,0))&gt;0,($F$10-$I$3+VLOOKUP($Q125,武学奇术!$A:$ZZ,6,FALSE)+SUM(_xlfn.XLOOKUP(R125:AF125,增益!$A:$A,增益!$F:$F,0)))/200,($F$10-$I$3+VLOOKUP($Q125,武学奇术!$A:$ZZ,6,FALSE)+SUM(_xlfn.XLOOKUP(R125:AF125,增益!$A:$A,增益!$F:$F,0)))/100)</f>
        <v>0.2925</v>
      </c>
      <c r="AQ125" s="35" cm="1">
        <f t="array" ref="AQ125">$G$10+VLOOKUP($Q125,武学奇术!$A:$ZZ,7,FALSE)+SUM(_xlfn.XLOOKUP(R125:AF125,增益!$A:$A,增益!$G:$G,0))</f>
        <v>0</v>
      </c>
      <c r="AR125" s="27" cm="1">
        <f t="array" ref="AR125">VLOOKUP($Q125,武学奇术!$A:$ZZ,8,FALSE)+SUM(_xlfn.XLOOKUP(R125:AF125,增益!$A:$A,增益!$H:$H,0))</f>
        <v>0</v>
      </c>
      <c r="AS125">
        <f t="shared" si="43"/>
        <v>0</v>
      </c>
      <c r="AT125">
        <f t="shared" si="44"/>
        <v>0</v>
      </c>
      <c r="AU125" s="35" cm="1">
        <f t="array" ref="AU125">IF($F$11-$I$4+VLOOKUP($Q125,武学奇术!$A:$ZZ,9,FALSE)+SUM(_xlfn.XLOOKUP(R125:AF125,增益!$A:$A,增益!$I:$I,0))&gt;0,($F$11-$I$4+VLOOKUP($Q125,武学奇术!$A:$ZZ,9,FALSE)+SUM(_xlfn.XLOOKUP(R125:AF125,增益!$A:$A,增益!$I:$I,0)))/200,($F$11-$I$4+VLOOKUP($Q125,武学奇术!$A:$ZZ,9,FALSE)+SUM(_xlfn.XLOOKUP(R125:AF125,增益!$A:$A,增益!$I:$I,0)))/100)</f>
        <v>-0.3</v>
      </c>
      <c r="AV125" s="35" cm="1">
        <f t="array" ref="AV125">$G$11+VLOOKUP($Q125,武学奇术!$A:$ZZ,10,FALSE)+SUM(_xlfn.XLOOKUP(R125:AF125,增益!$A:$A,增益!$J:$J,0))</f>
        <v>0</v>
      </c>
      <c r="AW125">
        <f t="shared" si="45"/>
        <v>0</v>
      </c>
      <c r="AX125">
        <f t="shared" si="46"/>
        <v>0</v>
      </c>
      <c r="AY125" s="35" cm="1">
        <f t="array" ref="AY125">IF($F$12-$I$4+VLOOKUP($Q125,武学奇术!$A:$ZZ,11,FALSE)+SUM(_xlfn.XLOOKUP(R125:AF125,增益!$A:$A,增益!$K:$K,0))&gt;0,($F$12-$I$4+VLOOKUP($Q125,武学奇术!$A:$ZZ,11,FALSE)+SUM(_xlfn.XLOOKUP(R125:AF125,增益!$A:$A,增益!$K:$K,0)))/200,($F$12-$I$4+VLOOKUP($Q125,武学奇术!$A:$ZZ,11,FALSE)+SUM(_xlfn.XLOOKUP(R125:AF125,增益!$A:$A,增益!$K:$K,0)))/100)</f>
        <v>-0.3</v>
      </c>
      <c r="AZ125" s="35" cm="1">
        <f t="array" ref="AZ125">$G$12+VLOOKUP($Q125,武学奇术!$A:$ZZ,12,FALSE)+SUM(_xlfn.XLOOKUP(R125:AF125,增益!$A:$A,增益!$L:$L,0))</f>
        <v>0</v>
      </c>
      <c r="BA125">
        <f t="shared" si="47"/>
        <v>538</v>
      </c>
      <c r="BB125">
        <f t="shared" si="48"/>
        <v>1011</v>
      </c>
      <c r="BC125" s="35" cm="1">
        <f t="array" ref="BC125">IF($F$13-$I$4+VLOOKUP($Q125,武学奇术!$A:$ZZ,13,FALSE)+SUM(_xlfn.XLOOKUP(R125:AF125,增益!$A:$A,增益!$M:$M,0))&gt;0,($F$13-$I$4+VLOOKUP($Q125,武学奇术!$A:$ZZ,13,FALSE)+SUM(_xlfn.XLOOKUP(R125:AF125,增益!$A:$A,增益!$K:$K,0)))/200,($F$13-$I$4+VLOOKUP($Q125,武学奇术!$A:$ZZ,13,FALSE)+SUM(_xlfn.XLOOKUP(R125:AF125,增益!$A:$A,增益!$M:$M,0)))/100)</f>
        <v>0</v>
      </c>
      <c r="BD125" s="35" cm="1">
        <f t="array" ref="BD125">$G$13+VLOOKUP($Q125,武学奇术!$A:$ZZ,14,FALSE)+SUM(_xlfn.XLOOKUP(R125:AF125,增益!$A:$A,增益!$N:$N,0))</f>
        <v>0.15</v>
      </c>
      <c r="BE125">
        <f t="shared" si="49"/>
        <v>0</v>
      </c>
      <c r="BF125">
        <f t="shared" si="50"/>
        <v>0</v>
      </c>
      <c r="BG125" s="35" cm="1">
        <f t="array" ref="BG125">IF($F$14-$I$4+VLOOKUP($Q125,武学奇术!$A:$ZZ,15,FALSE)+SUM(_xlfn.XLOOKUP(R125:AF125,增益!$A:$A,增益!$O:$O,0))&gt;0,($F$14-$I$4+VLOOKUP($Q125,武学奇术!$A:$ZZ,15,FALSE)+SUM(_xlfn.XLOOKUP(R125:AF125,增益!$A:$A,增益!$O:$O,0)))/200,($F$14-$I$4+VLOOKUP($Q125,武学奇术!$A:$ZZ,15,FALSE)+SUM(_xlfn.XLOOKUP(R125:AF125,增益!$A:$A,增益!$O:$O,0)))/100)</f>
        <v>-0.3</v>
      </c>
      <c r="BH125" s="35" cm="1">
        <f t="array" ref="BH125">$G$14+VLOOKUP($Q125,武学奇术!$A:$ZZ,16,FALSE)+SUM(_xlfn.XLOOKUP(R125:AF125,增益!$A:$A,增益!$P:$P,0))</f>
        <v>0</v>
      </c>
      <c r="BI125" s="27">
        <f>MIN(IF(VLOOKUP($Q125,武学奇术!$A:$ZZ,23,FALSE)=1,100%,$B$8),100%)</f>
        <v>0.9969</v>
      </c>
      <c r="BJ125" s="27" cm="1">
        <f t="array" ref="BJ125">IF(VLOOKUP($Q125,武学奇术!$A:$ZZ,23,FALSE)=1,100%,MIN(80%,$B$9+VLOOKUP($Q125,武学奇术!$A:$ZZ,17,FALSE)+SUM(_xlfn.XLOOKUP(R125:AF125,增益!$A:$A,增益!$Q:$Q,0)))+$B$11+SUM(_xlfn.XLOOKUP(R125:AF125,增益!$A:$A,增益!$U:$U,0)))*IF(VLOOKUP($Q125,武学奇术!$A:$ZZ,24,FALSE)=1,0,1)</f>
        <v>0.9137</v>
      </c>
      <c r="BK125" s="27" cm="1">
        <f t="array" ref="BK125">1+$B$13+VLOOKUP($Q125,武学奇术!$A:$ZZ,18,FALSE)+SUM(_xlfn.XLOOKUP(R125:AF125,增益!$A:$A,增益!$R:$R,0))</f>
        <v>1.5</v>
      </c>
      <c r="BL125" s="27" cm="1">
        <f t="array" ref="BL125">IF(VLOOKUP($Q125,武学奇术!$A:$ZZ,24,FALSE)=1,100%,MIN(40%,$B$10+VLOOKUP($Q125,武学奇术!$A:$ZZ,19,FALSE)+SUM(_xlfn.XLOOKUP(R125:AF125,增益!$A:$A,增益!$S:$S,0)))+$B$12+SUM(_xlfn.XLOOKUP(R125:AF125,增益!$A:$A,增益!$V:$V,0)))*IF(VLOOKUP($Q125,武学奇术!$A:$ZZ,23,FALSE)=1,0,1)</f>
        <v>0.0895</v>
      </c>
      <c r="BM125" s="27" cm="1">
        <f t="array" ref="BM125">1+$B$14+VLOOKUP($Q125,武学奇术!$A:$ZZ,20,FALSE)+SUM(_xlfn.XLOOKUP(R125:AF125,增益!$A:$A,增益!$T:$T,0))</f>
        <v>1.35</v>
      </c>
      <c r="BN125" s="27">
        <f t="shared" si="51"/>
        <v>0.90767745</v>
      </c>
      <c r="BO125" s="27">
        <f t="shared" si="32"/>
        <v>-1.30104260698261e-17</v>
      </c>
      <c r="BP125" s="27">
        <f>IF(VLOOKUP($Q125,武学奇术!$A:$ZZ,22,FALSE)=1,0,(1-$BI125))*(1-$BL125)</f>
        <v>0.00282254999999999</v>
      </c>
      <c r="BQ125" s="27" cm="1">
        <f t="array" ref="BQ125">SUM(_xlfn.XLOOKUP(R125:AF125,增益!$A:$A,增益!$W:$W,0))+$I$5</f>
        <v>0.11</v>
      </c>
    </row>
    <row r="126" spans="1:69">
      <c r="K126" s="41">
        <f t="shared" si="42"/>
        <v>16391.709939124</v>
      </c>
      <c r="L126" s="41">
        <f>((($AN126+$AO126)/2*$AH126+$AI126)*(1+$AP126)*(1+$AQ126)+(($AS126+$AT126)/2*IF($G$1="鸣金",$AJ126,$AH126)+IF($G$1="鸣金",$AK126*1.5,0))*(1+$AU126)*(1+$AV126)+(($AW126+$AX126)/2*IF($G$1="裂石",$AJ126,$AH126)+IF($G$1="裂石",$AK126*1.5,0))*(1+$AY126)*(1+$AZ126)+(($BA126+$BB126)/2*IF($G$1="牵丝",$AJ126,$AH126)+IF($G$1="牵丝",$AK126*1.5,0))*(1+$BC126)*(1+$BD126)+(($BE126+$BF126)/2*IF($G$1="破竹",$AJ126,$AH126)+IF($G$1="破竹",$AK126*1.5,0))*(1+$BG126)*(1+$BH126))*(1+$AL126)*$BK126*$P126*(1+IF(VLOOKUP($Q126,武学奇术!$A:$ZZ,30,FALSE)="弹道",$B$21,0))*(1+$BQ126)</f>
        <v>16265.0415321065</v>
      </c>
      <c r="M126" s="41">
        <f>(($AO126*$AH126+$AI126)*(1+$AP126)*(1+$AQ126)+($AT126*IF($G$1="鸣金",$AJ126,$AH126)+IF($G$1="鸣金",$AK126*1.5,0))*(1+$AU126)*(1+$AV126)+($AX126*IF($G$1="裂石",$AJ126,$AH126)+IF($G$1="裂石",$AK126*1.5,0))*(1+$AY126)*(1+$AZ126)+($BB126*IF($G$1="牵丝",$AJ126,$AH126)+IF($G$1="牵丝",$AK126*1.5,0))*(1+$BC126)*(1+$BD126)+($BF126*IF($G$1="破竹",$AJ126,$AH126)+IF($G$1="破竹",$AK126*1.5,0))*(1+$BG126)*(1+$BH126))*(1+$AL126)*$BM126*$P126*(1+IF(VLOOKUP($Q126,武学奇术!$A:$ZZ,30,FALSE)="弹道",$B$21,0))*(1+$BQ126)</f>
        <v>18038.3196557073</v>
      </c>
      <c r="N126" s="41">
        <f>((($AN126+$AO126)/2*$AH126+$AI126)*(1+$AP126)*(1+$AQ126)+(($AS126+$AT126)/2*IF($G$1="鸣金",$AJ126,$AH126)+IF($G$1="鸣金",$AK126*1.5,0))*(1+$AU126)*(1+$AV126)+(($AW126+$AX126)/2*IF($G$1="裂石",$AJ126,$AH126)+IF($G$1="裂石",$AK126*1.5,0))*(1+$AY126)*(1+$AZ126)+(($BA126+$BB126)/2*IF($G$1="牵丝",$AJ126,$AH126)+IF($G$1="牵丝",$AK126*1.5,0))*(1+$BC126)*(1+$BD126)+(($BE126+$BF126)/2*IF($G$1="破竹",$AJ126,$AH126)+IF($G$1="破竹",$AK126*1.5,0))*(1+$BG126)*(1+$BH126))*(1+$AL126)*$P126*(1+IF(VLOOKUP($Q126,武学奇术!$A:$ZZ,30,FALSE)="弹道",$B$21,0))*(1+$BQ126)</f>
        <v>9137.66378208233</v>
      </c>
      <c r="O126" s="41">
        <f>((($AN126*$AH126+$AI126)*(1+$AP126)*(1+$AQ126)+($AS126*IF($G$1="鸣金",$AJ126,$AH126)+IF($G$1="鸣金",$AK126*1.5,0))*(1+$AU126)*(1+$AV126)+($AW126*IF($G$1="裂石",$AJ126,$AH126)+IF($G$1="裂石",$AK126*1.5,0))*(1+$AY126)*(1+$AZ126)+($BA126*IF($G$1="牵丝",$AJ126,$AH126)+IF($G$1="牵丝",$AK126*1.5,0))*(1+$BC126)*(1+$BD126)+($BE126*IF($G$1="破竹",$AJ126,$AH126)+IF($G$1="破竹",$AK126*1.5,0))*(1+$BG126)*(1+$BH126))*(1+$AL126))*$P126*(1+IF(VLOOKUP($Q126,武学奇术!$A:$ZZ,30,FALSE)="弹道",$B$21,0))*(1+$BQ126)</f>
        <v>4913.60930067774</v>
      </c>
      <c r="P126" s="42">
        <f t="shared" ref="P123:P136" si="52">IF($C$22="易水歌",1,0)</f>
        <v>1</v>
      </c>
      <c r="Q126" s="43" t="s">
        <v>187</v>
      </c>
      <c r="R126" s="43" t="s">
        <v>93</v>
      </c>
      <c r="S126" s="43" t="s">
        <v>85</v>
      </c>
      <c r="T126" s="43" t="s">
        <v>73</v>
      </c>
      <c r="U126" s="43" t="s">
        <v>86</v>
      </c>
      <c r="V126" s="43" t="s">
        <v>74</v>
      </c>
      <c r="W126" s="43" t="s">
        <v>73</v>
      </c>
      <c r="X126" s="43" t="s">
        <v>73</v>
      </c>
      <c r="Y126" s="43" t="s">
        <v>112</v>
      </c>
      <c r="Z126" s="43" t="s">
        <v>73</v>
      </c>
      <c r="AA126" s="43" t="s">
        <v>73</v>
      </c>
      <c r="AB126" s="43" t="s">
        <v>80</v>
      </c>
      <c r="AC126" s="43" t="s">
        <v>73</v>
      </c>
      <c r="AD126" s="43" t="s">
        <v>73</v>
      </c>
      <c r="AE126" s="43" t="s">
        <v>73</v>
      </c>
      <c r="AF126" s="43" t="s">
        <v>75</v>
      </c>
      <c r="AG126" t="str">
        <f>VLOOKUP($Q126,武学奇术!$A:$ZZ,25,FALSE)</f>
        <v>心法</v>
      </c>
      <c r="AH126" s="27">
        <f>VLOOKUP($Q126,武学奇术!$A:$ZZ,26,FALSE)</f>
        <v>1</v>
      </c>
      <c r="AI126" s="28">
        <f>VLOOKUP($Q126,武学奇术!$A:$ZZ,27,FALSE)*(1+IF(OR($AG126=$F$4,$AG126=$F$5),$B$22,0))</f>
        <v>0</v>
      </c>
      <c r="AJ126" s="27">
        <f>VLOOKUP($Q126,武学奇术!$A:$ZZ,28,FALSE)</f>
        <v>1</v>
      </c>
      <c r="AK126" s="28">
        <f>VLOOKUP($Q126,武学奇术!$A:$ZZ,29,FALSE)*(1+IF(OR($AG126=$F$4,$AG126=$F$5),$B$22,0))</f>
        <v>0</v>
      </c>
      <c r="AL126" s="27" cm="1">
        <f t="array" ref="AL126">$G$3+IFERROR(VLOOKUP($AG126,$F$4:$G$7,2,FALSE),0)+VLOOKUP($Q126,武学奇术!$A:$ZZ,2,FALSE)+SUM(_xlfn.XLOOKUP($R126:$AF126,增益!$A:$A,增益!$B:$B,0))</f>
        <v>0.2537</v>
      </c>
      <c r="AM126" s="27" cm="1">
        <f t="array" ref="AM126">VLOOKUP($Q126,武学奇术!$A:$ZZ,5,FALSE)+SUM(_xlfn.XLOOKUP($R126:$AF126,增益!$A:$A,增益!$E:$E,0))</f>
        <v>0.075</v>
      </c>
      <c r="AN126" cm="1">
        <f t="array" ref="AN126">$D$10*(1+$AM126)+VLOOKUP($Q126,武学奇术!$A:$ZZ,3,FALSE)+SUM(_xlfn.XLOOKUP($R126:$AF126,增益!$A:$A,增益!$C:$C,0))-$I$2</f>
        <v>1950.7275</v>
      </c>
      <c r="AO126" cm="1">
        <f t="array" ref="AO126">$E$10*(1+$AM126)+VLOOKUP($Q126,武学奇术!$A:$ZZ,4,FALSE)+SUM(_xlfn.XLOOKUP($R126:$AF126,增益!$A:$A,增益!$D:$D,0))-$I$2</f>
        <v>5687.2125</v>
      </c>
      <c r="AP126" s="35" cm="1">
        <f t="array" ref="AP126">IF($F$10-$I$3+VLOOKUP($Q126,武学奇术!$A:$ZZ,6,FALSE)+SUM(_xlfn.XLOOKUP(R126:AF126,增益!$A:$A,增益!$F:$F,0))&gt;0,($F$10-$I$3+VLOOKUP($Q126,武学奇术!$A:$ZZ,6,FALSE)+SUM(_xlfn.XLOOKUP(R126:AF126,增益!$A:$A,增益!$F:$F,0)))/200,($F$10-$I$3+VLOOKUP($Q126,武学奇术!$A:$ZZ,6,FALSE)+SUM(_xlfn.XLOOKUP(R126:AF126,增益!$A:$A,增益!$F:$F,0)))/100)</f>
        <v>0.4675</v>
      </c>
      <c r="AQ126" s="35" cm="1">
        <f t="array" ref="AQ126">$G$10+VLOOKUP($Q126,武学奇术!$A:$ZZ,7,FALSE)+SUM(_xlfn.XLOOKUP(R126:AF126,增益!$A:$A,增益!$G:$G,0))</f>
        <v>0</v>
      </c>
      <c r="AR126" s="27" cm="1">
        <f t="array" ref="AR126">VLOOKUP($Q126,武学奇术!$A:$ZZ,8,FALSE)+SUM(_xlfn.XLOOKUP(R126:AF126,增益!$A:$A,增益!$H:$H,0))</f>
        <v>0</v>
      </c>
      <c r="AS126">
        <f t="shared" si="43"/>
        <v>0</v>
      </c>
      <c r="AT126">
        <f t="shared" si="44"/>
        <v>0</v>
      </c>
      <c r="AU126" s="35" cm="1">
        <f t="array" ref="AU126">IF($F$11-$I$4+VLOOKUP($Q126,武学奇术!$A:$ZZ,9,FALSE)+SUM(_xlfn.XLOOKUP(R126:AF126,增益!$A:$A,增益!$I:$I,0))&gt;0,($F$11-$I$4+VLOOKUP($Q126,武学奇术!$A:$ZZ,9,FALSE)+SUM(_xlfn.XLOOKUP(R126:AF126,增益!$A:$A,增益!$I:$I,0)))/200,($F$11-$I$4+VLOOKUP($Q126,武学奇术!$A:$ZZ,9,FALSE)+SUM(_xlfn.XLOOKUP(R126:AF126,增益!$A:$A,增益!$I:$I,0)))/100)</f>
        <v>-0.14</v>
      </c>
      <c r="AV126" s="35" cm="1">
        <f t="array" ref="AV126">$G$11+VLOOKUP($Q126,武学奇术!$A:$ZZ,10,FALSE)+SUM(_xlfn.XLOOKUP(R126:AF126,增益!$A:$A,增益!$J:$J,0))</f>
        <v>0</v>
      </c>
      <c r="AW126">
        <f t="shared" si="45"/>
        <v>0</v>
      </c>
      <c r="AX126">
        <f t="shared" si="46"/>
        <v>0</v>
      </c>
      <c r="AY126" s="35" cm="1">
        <f t="array" ref="AY126">IF($F$12-$I$4+VLOOKUP($Q126,武学奇术!$A:$ZZ,11,FALSE)+SUM(_xlfn.XLOOKUP(R126:AF126,增益!$A:$A,增益!$K:$K,0))&gt;0,($F$12-$I$4+VLOOKUP($Q126,武学奇术!$A:$ZZ,11,FALSE)+SUM(_xlfn.XLOOKUP(R126:AF126,增益!$A:$A,增益!$K:$K,0)))/200,($F$12-$I$4+VLOOKUP($Q126,武学奇术!$A:$ZZ,11,FALSE)+SUM(_xlfn.XLOOKUP(R126:AF126,增益!$A:$A,增益!$K:$K,0)))/100)</f>
        <v>-0.14</v>
      </c>
      <c r="AZ126" s="35" cm="1">
        <f t="array" ref="AZ126">$G$12+VLOOKUP($Q126,武学奇术!$A:$ZZ,12,FALSE)+SUM(_xlfn.XLOOKUP(R126:AF126,增益!$A:$A,增益!$L:$L,0))</f>
        <v>0</v>
      </c>
      <c r="BA126">
        <f t="shared" si="47"/>
        <v>538</v>
      </c>
      <c r="BB126">
        <f t="shared" si="48"/>
        <v>1011</v>
      </c>
      <c r="BC126" s="35" cm="1">
        <f t="array" ref="BC126">IF($F$13-$I$4+VLOOKUP($Q126,武学奇术!$A:$ZZ,13,FALSE)+SUM(_xlfn.XLOOKUP(R126:AF126,增益!$A:$A,增益!$M:$M,0))&gt;0,($F$13-$I$4+VLOOKUP($Q126,武学奇术!$A:$ZZ,13,FALSE)+SUM(_xlfn.XLOOKUP(R126:AF126,增益!$A:$A,增益!$K:$K,0)))/200,($F$13-$I$4+VLOOKUP($Q126,武学奇术!$A:$ZZ,13,FALSE)+SUM(_xlfn.XLOOKUP(R126:AF126,增益!$A:$A,增益!$M:$M,0)))/100)</f>
        <v>0.08</v>
      </c>
      <c r="BD126" s="35" cm="1">
        <f t="array" ref="BD126">$G$13+VLOOKUP($Q126,武学奇术!$A:$ZZ,14,FALSE)+SUM(_xlfn.XLOOKUP(R126:AF126,增益!$A:$A,增益!$N:$N,0))</f>
        <v>0.15</v>
      </c>
      <c r="BE126">
        <f t="shared" si="49"/>
        <v>0</v>
      </c>
      <c r="BF126">
        <f t="shared" si="50"/>
        <v>0</v>
      </c>
      <c r="BG126" s="35" cm="1">
        <f t="array" ref="BG126">IF($F$14-$I$4+VLOOKUP($Q126,武学奇术!$A:$ZZ,15,FALSE)+SUM(_xlfn.XLOOKUP(R126:AF126,增益!$A:$A,增益!$O:$O,0))&gt;0,($F$14-$I$4+VLOOKUP($Q126,武学奇术!$A:$ZZ,15,FALSE)+SUM(_xlfn.XLOOKUP(R126:AF126,增益!$A:$A,增益!$O:$O,0)))/200,($F$14-$I$4+VLOOKUP($Q126,武学奇术!$A:$ZZ,15,FALSE)+SUM(_xlfn.XLOOKUP(R126:AF126,增益!$A:$A,增益!$O:$O,0)))/100)</f>
        <v>-0.14</v>
      </c>
      <c r="BH126" s="35" cm="1">
        <f t="array" ref="BH126">$G$14+VLOOKUP($Q126,武学奇术!$A:$ZZ,16,FALSE)+SUM(_xlfn.XLOOKUP(R126:AF126,增益!$A:$A,增益!$P:$P,0))</f>
        <v>0</v>
      </c>
      <c r="BI126" s="27">
        <f>MIN(IF(VLOOKUP($Q126,武学奇术!$A:$ZZ,23,FALSE)=1,100%,$B$8),100%)</f>
        <v>0.9969</v>
      </c>
      <c r="BJ126" s="27" cm="1">
        <f t="array" ref="BJ126">IF(VLOOKUP($Q126,武学奇术!$A:$ZZ,23,FALSE)=1,100%,MIN(80%,$B$9+VLOOKUP($Q126,武学奇术!$A:$ZZ,17,FALSE)+SUM(_xlfn.XLOOKUP(R126:AF126,增益!$A:$A,增益!$Q:$Q,0)))+$B$11+SUM(_xlfn.XLOOKUP(R126:AF126,增益!$A:$A,增益!$U:$U,0)))*IF(VLOOKUP($Q126,武学奇术!$A:$ZZ,24,FALSE)=1,0,1)</f>
        <v>0.9137</v>
      </c>
      <c r="BK126" s="27" cm="1">
        <f t="array" ref="BK126">1+$B$13+VLOOKUP($Q126,武学奇术!$A:$ZZ,18,FALSE)+SUM(_xlfn.XLOOKUP(R126:AF126,增益!$A:$A,增益!$R:$R,0))</f>
        <v>1.78</v>
      </c>
      <c r="BL126" s="27" cm="1">
        <f t="array" ref="BL126">IF(VLOOKUP($Q126,武学奇术!$A:$ZZ,24,FALSE)=1,100%,MIN(40%,$B$10+VLOOKUP($Q126,武学奇术!$A:$ZZ,19,FALSE)+SUM(_xlfn.XLOOKUP(R126:AF126,增益!$A:$A,增益!$S:$S,0)))+$B$12+SUM(_xlfn.XLOOKUP(R126:AF126,增益!$A:$A,增益!$V:$V,0)))*IF(VLOOKUP($Q126,武学奇术!$A:$ZZ,23,FALSE)=1,0,1)</f>
        <v>0.0895</v>
      </c>
      <c r="BM126" s="27" cm="1">
        <f t="array" ref="BM126">1+$B$14+VLOOKUP($Q126,武学奇术!$A:$ZZ,20,FALSE)+SUM(_xlfn.XLOOKUP(R126:AF126,增益!$A:$A,增益!$T:$T,0))</f>
        <v>1.35</v>
      </c>
      <c r="BN126" s="27">
        <f t="shared" si="51"/>
        <v>0.90767745</v>
      </c>
      <c r="BO126" s="27">
        <f t="shared" si="32"/>
        <v>-1.30104260698261e-17</v>
      </c>
      <c r="BP126" s="27">
        <f>IF(VLOOKUP($Q126,武学奇术!$A:$ZZ,22,FALSE)=1,0,(1-$BI126))*(1-$BL126)</f>
        <v>0.00282254999999999</v>
      </c>
      <c r="BQ126" s="27" cm="1">
        <f t="array" ref="BQ126">SUM(_xlfn.XLOOKUP(R126:AF126,增益!$A:$A,增益!$W:$W,0))+$I$5</f>
        <v>0.11</v>
      </c>
    </row>
    <row r="127" spans="1:69">
      <c r="K127" s="41">
        <f t="shared" si="42"/>
        <v>13211.4730475852</v>
      </c>
      <c r="L127" s="41">
        <f>((($AN127+$AO127)/2*$AH127+$AI127)*(1+$AP127)*(1+$AQ127)+(($AS127+$AT127)/2*IF($G$1="鸣金",$AJ127,$AH127)+IF($G$1="鸣金",$AK127*1.5,0))*(1+$AU127)*(1+$AV127)+(($AW127+$AX127)/2*IF($G$1="裂石",$AJ127,$AH127)+IF($G$1="裂石",$AK127*1.5,0))*(1+$AY127)*(1+$AZ127)+(($BA127+$BB127)/2*IF($G$1="牵丝",$AJ127,$AH127)+IF($G$1="牵丝",$AK127*1.5,0))*(1+$BC127)*(1+$BD127)+(($BE127+$BF127)/2*IF($G$1="破竹",$AJ127,$AH127)+IF($G$1="破竹",$AK127*1.5,0))*(1+$BG127)*(1+$BH127))*(1+$AL127)*$BK127*$P127*(1+IF(VLOOKUP($Q127,武学奇术!$A:$ZZ,30,FALSE)="弹道",$B$21,0))*(1+$BQ127)</f>
        <v>12937.7441766646</v>
      </c>
      <c r="M127" s="41">
        <f>(($AO127*$AH127+$AI127)*(1+$AP127)*(1+$AQ127)+($AT127*IF($G$1="鸣金",$AJ127,$AH127)+IF($G$1="鸣金",$AK127*1.5,0))*(1+$AU127)*(1+$AV127)+($AX127*IF($G$1="裂石",$AJ127,$AH127)+IF($G$1="裂石",$AK127*1.5,0))*(1+$AY127)*(1+$AZ127)+($BB127*IF($G$1="牵丝",$AJ127,$AH127)+IF($G$1="牵丝",$AK127*1.5,0))*(1+$BC127)*(1+$BD127)+($BF127*IF($G$1="破竹",$AJ127,$AH127)+IF($G$1="破竹",$AK127*1.5,0))*(1+$BG127)*(1+$BH127))*(1+$AL127)*$BM127*$P127*(1+IF(VLOOKUP($Q127,武学奇术!$A:$ZZ,30,FALSE)="弹道",$B$21,0))*(1+$BQ127)</f>
        <v>16264.3637539438</v>
      </c>
      <c r="N127" s="41">
        <f>((($AN127+$AO127)/2*$AH127+$AI127)*(1+$AP127)*(1+$AQ127)+(($AS127+$AT127)/2*IF($G$1="鸣金",$AJ127,$AH127)+IF($G$1="鸣金",$AK127*1.5,0))*(1+$AU127)*(1+$AV127)+(($AW127+$AX127)/2*IF($G$1="裂石",$AJ127,$AH127)+IF($G$1="裂石",$AK127*1.5,0))*(1+$AY127)*(1+$AZ127)+(($BA127+$BB127)/2*IF($G$1="牵丝",$AJ127,$AH127)+IF($G$1="牵丝",$AK127*1.5,0))*(1+$BC127)*(1+$BD127)+(($BE127+$BF127)/2*IF($G$1="破竹",$AJ127,$AH127)+IF($G$1="破竹",$AK127*1.5,0))*(1+$BG127)*(1+$BH127))*(1+$AL127)*$P127*(1+IF(VLOOKUP($Q127,武学奇术!$A:$ZZ,30,FALSE)="弹道",$B$21,0))*(1+$BQ127)</f>
        <v>8240.60138641058</v>
      </c>
      <c r="O127" s="41">
        <f>((($AN127*$AH127+$AI127)*(1+$AP127)*(1+$AQ127)+($AS127*IF($G$1="鸣金",$AJ127,$AH127)+IF($G$1="鸣金",$AK127*1.5,0))*(1+$AU127)*(1+$AV127)+($AW127*IF($G$1="裂石",$AJ127,$AH127)+IF($G$1="裂石",$AK127*1.5,0))*(1+$AY127)*(1+$AZ127)+($BA127*IF($G$1="牵丝",$AJ127,$AH127)+IF($G$1="牵丝",$AK127*1.5,0))*(1+$BC127)*(1+$BD127)+($BE127*IF($G$1="破竹",$AJ127,$AH127)+IF($G$1="破竹",$AK127*1.5,0))*(1+$BG127)*(1+$BH127))*(1+$AL127))*$P127*(1+IF(VLOOKUP($Q127,武学奇术!$A:$ZZ,30,FALSE)="弹道",$B$21,0))*(1+$BQ127)</f>
        <v>4433.52591804793</v>
      </c>
      <c r="P127" s="42">
        <f t="shared" si="52"/>
        <v>1</v>
      </c>
      <c r="Q127" s="43" t="s">
        <v>187</v>
      </c>
      <c r="R127" s="43" t="s">
        <v>93</v>
      </c>
      <c r="S127" s="43" t="s">
        <v>149</v>
      </c>
      <c r="T127" s="43" t="s">
        <v>73</v>
      </c>
      <c r="U127" s="43" t="s">
        <v>86</v>
      </c>
      <c r="V127" s="43" t="s">
        <v>73</v>
      </c>
      <c r="W127" s="43" t="s">
        <v>73</v>
      </c>
      <c r="X127" s="43" t="s">
        <v>73</v>
      </c>
      <c r="Y127" s="43" t="s">
        <v>73</v>
      </c>
      <c r="Z127" s="43" t="s">
        <v>73</v>
      </c>
      <c r="AA127" s="43" t="s">
        <v>73</v>
      </c>
      <c r="AB127" s="43" t="s">
        <v>73</v>
      </c>
      <c r="AC127" s="43" t="s">
        <v>73</v>
      </c>
      <c r="AD127" s="43" t="s">
        <v>73</v>
      </c>
      <c r="AE127" s="43" t="s">
        <v>73</v>
      </c>
      <c r="AF127" s="43" t="s">
        <v>75</v>
      </c>
      <c r="AG127" t="str">
        <f>VLOOKUP($Q127,武学奇术!$A:$ZZ,25,FALSE)</f>
        <v>心法</v>
      </c>
      <c r="AH127" s="27">
        <f>VLOOKUP($Q127,武学奇术!$A:$ZZ,26,FALSE)</f>
        <v>1</v>
      </c>
      <c r="AI127" s="28">
        <f>VLOOKUP($Q127,武学奇术!$A:$ZZ,27,FALSE)*(1+IF(OR($AG127=$F$4,$AG127=$F$5),$B$22,0))</f>
        <v>0</v>
      </c>
      <c r="AJ127" s="27">
        <f>VLOOKUP($Q127,武学奇术!$A:$ZZ,28,FALSE)</f>
        <v>1</v>
      </c>
      <c r="AK127" s="28">
        <f>VLOOKUP($Q127,武学奇术!$A:$ZZ,29,FALSE)*(1+IF(OR($AG127=$F$4,$AG127=$F$5),$B$22,0))</f>
        <v>0</v>
      </c>
      <c r="AL127" s="27" cm="1">
        <f t="array" ref="AL127">$G$3+IFERROR(VLOOKUP($AG127,$F$4:$G$7,2,FALSE),0)+VLOOKUP($Q127,武学奇术!$A:$ZZ,2,FALSE)+SUM(_xlfn.XLOOKUP($R127:$AF127,增益!$A:$A,增益!$B:$B,0))</f>
        <v>0.2337</v>
      </c>
      <c r="AM127" s="27" cm="1">
        <f t="array" ref="AM127">VLOOKUP($Q127,武学奇术!$A:$ZZ,5,FALSE)+SUM(_xlfn.XLOOKUP($R127:$AF127,增益!$A:$A,增益!$E:$E,0))</f>
        <v>0.075</v>
      </c>
      <c r="AN127" cm="1">
        <f t="array" ref="AN127">$D$10*(1+$AM127)+VLOOKUP($Q127,武学奇术!$A:$ZZ,3,FALSE)+SUM(_xlfn.XLOOKUP($R127:$AF127,增益!$A:$A,增益!$C:$C,0))-$I$2</f>
        <v>1950.7275</v>
      </c>
      <c r="AO127" cm="1">
        <f t="array" ref="AO127">$E$10*(1+$AM127)+VLOOKUP($Q127,武学奇术!$A:$ZZ,4,FALSE)+SUM(_xlfn.XLOOKUP($R127:$AF127,增益!$A:$A,增益!$D:$D,0))-$I$2</f>
        <v>5687.2125</v>
      </c>
      <c r="AP127" s="35" cm="1">
        <f t="array" ref="AP127">IF($F$10-$I$3+VLOOKUP($Q127,武学奇术!$A:$ZZ,6,FALSE)+SUM(_xlfn.XLOOKUP(R127:AF127,增益!$A:$A,增益!$F:$F,0))&gt;0,($F$10-$I$3+VLOOKUP($Q127,武学奇术!$A:$ZZ,6,FALSE)+SUM(_xlfn.XLOOKUP(R127:AF127,增益!$A:$A,增益!$F:$F,0)))/200,($F$10-$I$3+VLOOKUP($Q127,武学奇术!$A:$ZZ,6,FALSE)+SUM(_xlfn.XLOOKUP(R127:AF127,增益!$A:$A,增益!$F:$F,0)))/100)</f>
        <v>0.3425</v>
      </c>
      <c r="AQ127" s="35" cm="1">
        <f t="array" ref="AQ127">$G$10+VLOOKUP($Q127,武学奇术!$A:$ZZ,7,FALSE)+SUM(_xlfn.XLOOKUP(R127:AF127,增益!$A:$A,增益!$G:$G,0))</f>
        <v>0</v>
      </c>
      <c r="AR127" s="27" cm="1">
        <f t="array" ref="AR127">VLOOKUP($Q127,武学奇术!$A:$ZZ,8,FALSE)+SUM(_xlfn.XLOOKUP(R127:AF127,增益!$A:$A,增益!$H:$H,0))</f>
        <v>0</v>
      </c>
      <c r="AS127">
        <f t="shared" si="43"/>
        <v>0</v>
      </c>
      <c r="AT127">
        <f t="shared" si="44"/>
        <v>0</v>
      </c>
      <c r="AU127" s="35" cm="1">
        <f t="array" ref="AU127">IF($F$11-$I$4+VLOOKUP($Q127,武学奇术!$A:$ZZ,9,FALSE)+SUM(_xlfn.XLOOKUP(R127:AF127,增益!$A:$A,增益!$I:$I,0))&gt;0,($F$11-$I$4+VLOOKUP($Q127,武学奇术!$A:$ZZ,9,FALSE)+SUM(_xlfn.XLOOKUP(R127:AF127,增益!$A:$A,增益!$I:$I,0)))/200,($F$11-$I$4+VLOOKUP($Q127,武学奇术!$A:$ZZ,9,FALSE)+SUM(_xlfn.XLOOKUP(R127:AF127,增益!$A:$A,增益!$I:$I,0)))/100)</f>
        <v>-0.3</v>
      </c>
      <c r="AV127" s="35" cm="1">
        <f t="array" ref="AV127">$G$11+VLOOKUP($Q127,武学奇术!$A:$ZZ,10,FALSE)+SUM(_xlfn.XLOOKUP(R127:AF127,增益!$A:$A,增益!$J:$J,0))</f>
        <v>0</v>
      </c>
      <c r="AW127">
        <f t="shared" si="45"/>
        <v>0</v>
      </c>
      <c r="AX127">
        <f t="shared" si="46"/>
        <v>0</v>
      </c>
      <c r="AY127" s="35" cm="1">
        <f t="array" ref="AY127">IF($F$12-$I$4+VLOOKUP($Q127,武学奇术!$A:$ZZ,11,FALSE)+SUM(_xlfn.XLOOKUP(R127:AF127,增益!$A:$A,增益!$K:$K,0))&gt;0,($F$12-$I$4+VLOOKUP($Q127,武学奇术!$A:$ZZ,11,FALSE)+SUM(_xlfn.XLOOKUP(R127:AF127,增益!$A:$A,增益!$K:$K,0)))/200,($F$12-$I$4+VLOOKUP($Q127,武学奇术!$A:$ZZ,11,FALSE)+SUM(_xlfn.XLOOKUP(R127:AF127,增益!$A:$A,增益!$K:$K,0)))/100)</f>
        <v>-0.3</v>
      </c>
      <c r="AZ127" s="35" cm="1">
        <f t="array" ref="AZ127">$G$12+VLOOKUP($Q127,武学奇术!$A:$ZZ,12,FALSE)+SUM(_xlfn.XLOOKUP(R127:AF127,增益!$A:$A,增益!$L:$L,0))</f>
        <v>0</v>
      </c>
      <c r="BA127">
        <f t="shared" si="47"/>
        <v>538</v>
      </c>
      <c r="BB127">
        <f t="shared" si="48"/>
        <v>1011</v>
      </c>
      <c r="BC127" s="35" cm="1">
        <f t="array" ref="BC127">IF($F$13-$I$4+VLOOKUP($Q127,武学奇术!$A:$ZZ,13,FALSE)+SUM(_xlfn.XLOOKUP(R127:AF127,增益!$A:$A,增益!$M:$M,0))&gt;0,($F$13-$I$4+VLOOKUP($Q127,武学奇术!$A:$ZZ,13,FALSE)+SUM(_xlfn.XLOOKUP(R127:AF127,增益!$A:$A,增益!$K:$K,0)))/200,($F$13-$I$4+VLOOKUP($Q127,武学奇术!$A:$ZZ,13,FALSE)+SUM(_xlfn.XLOOKUP(R127:AF127,增益!$A:$A,增益!$M:$M,0)))/100)</f>
        <v>0</v>
      </c>
      <c r="BD127" s="35" cm="1">
        <f t="array" ref="BD127">$G$13+VLOOKUP($Q127,武学奇术!$A:$ZZ,14,FALSE)+SUM(_xlfn.XLOOKUP(R127:AF127,增益!$A:$A,增益!$N:$N,0))</f>
        <v>0.15</v>
      </c>
      <c r="BE127">
        <f t="shared" si="49"/>
        <v>0</v>
      </c>
      <c r="BF127">
        <f t="shared" si="50"/>
        <v>0</v>
      </c>
      <c r="BG127" s="35" cm="1">
        <f t="array" ref="BG127">IF($F$14-$I$4+VLOOKUP($Q127,武学奇术!$A:$ZZ,15,FALSE)+SUM(_xlfn.XLOOKUP(R127:AF127,增益!$A:$A,增益!$O:$O,0))&gt;0,($F$14-$I$4+VLOOKUP($Q127,武学奇术!$A:$ZZ,15,FALSE)+SUM(_xlfn.XLOOKUP(R127:AF127,增益!$A:$A,增益!$O:$O,0)))/200,($F$14-$I$4+VLOOKUP($Q127,武学奇术!$A:$ZZ,15,FALSE)+SUM(_xlfn.XLOOKUP(R127:AF127,增益!$A:$A,增益!$O:$O,0)))/100)</f>
        <v>-0.3</v>
      </c>
      <c r="BH127" s="35" cm="1">
        <f t="array" ref="BH127">$G$14+VLOOKUP($Q127,武学奇术!$A:$ZZ,16,FALSE)+SUM(_xlfn.XLOOKUP(R127:AF127,增益!$A:$A,增益!$P:$P,0))</f>
        <v>0</v>
      </c>
      <c r="BI127" s="27">
        <f>MIN(IF(VLOOKUP($Q127,武学奇术!$A:$ZZ,23,FALSE)=1,100%,$B$8),100%)</f>
        <v>0.9969</v>
      </c>
      <c r="BJ127" s="27" cm="1">
        <f t="array" ref="BJ127">IF(VLOOKUP($Q127,武学奇术!$A:$ZZ,23,FALSE)=1,100%,MIN(80%,$B$9+VLOOKUP($Q127,武学奇术!$A:$ZZ,17,FALSE)+SUM(_xlfn.XLOOKUP(R127:AF127,增益!$A:$A,增益!$Q:$Q,0)))+$B$11+SUM(_xlfn.XLOOKUP(R127:AF127,增益!$A:$A,增益!$U:$U,0)))*IF(VLOOKUP($Q127,武学奇术!$A:$ZZ,24,FALSE)=1,0,1)</f>
        <v>0.9137</v>
      </c>
      <c r="BK127" s="27" cm="1">
        <f t="array" ref="BK127">1+$B$13+VLOOKUP($Q127,武学奇术!$A:$ZZ,18,FALSE)+SUM(_xlfn.XLOOKUP(R127:AF127,增益!$A:$A,增益!$R:$R,0))</f>
        <v>1.57</v>
      </c>
      <c r="BL127" s="27" cm="1">
        <f t="array" ref="BL127">IF(VLOOKUP($Q127,武学奇术!$A:$ZZ,24,FALSE)=1,100%,MIN(40%,$B$10+VLOOKUP($Q127,武学奇术!$A:$ZZ,19,FALSE)+SUM(_xlfn.XLOOKUP(R127:AF127,增益!$A:$A,增益!$S:$S,0)))+$B$12+SUM(_xlfn.XLOOKUP(R127:AF127,增益!$A:$A,增益!$V:$V,0)))*IF(VLOOKUP($Q127,武学奇术!$A:$ZZ,23,FALSE)=1,0,1)</f>
        <v>0.0895</v>
      </c>
      <c r="BM127" s="27" cm="1">
        <f t="array" ref="BM127">1+$B$14+VLOOKUP($Q127,武学奇术!$A:$ZZ,20,FALSE)+SUM(_xlfn.XLOOKUP(R127:AF127,增益!$A:$A,增益!$T:$T,0))</f>
        <v>1.35</v>
      </c>
      <c r="BN127" s="27">
        <f t="shared" si="51"/>
        <v>0.90767745</v>
      </c>
      <c r="BO127" s="27">
        <f t="shared" si="32"/>
        <v>-1.30104260698261e-17</v>
      </c>
      <c r="BP127" s="27">
        <f>IF(VLOOKUP($Q127,武学奇术!$A:$ZZ,22,FALSE)=1,0,(1-$BI127))*(1-$BL127)</f>
        <v>0.00282254999999999</v>
      </c>
      <c r="BQ127" s="27" cm="1">
        <f t="array" ref="BQ127">SUM(_xlfn.XLOOKUP(R127:AF127,增益!$A:$A,增益!$W:$W,0))+$I$5</f>
        <v>0.11</v>
      </c>
    </row>
    <row r="128" spans="1:69">
      <c r="K128" s="41">
        <f t="shared" si="42"/>
        <v>14506.1618366338</v>
      </c>
      <c r="L128" s="41">
        <f>((($AN128+$AO128)/2*$AH128+$AI128)*(1+$AP128)*(1+$AQ128)+(($AS128+$AT128)/2*IF($G$1="鸣金",$AJ128,$AH128)+IF($G$1="鸣金",$AK128*1.5,0))*(1+$AU128)*(1+$AV128)+(($AW128+$AX128)/2*IF($G$1="裂石",$AJ128,$AH128)+IF($G$1="裂石",$AK128*1.5,0))*(1+$AY128)*(1+$AZ128)+(($BA128+$BB128)/2*IF($G$1="牵丝",$AJ128,$AH128)+IF($G$1="牵丝",$AK128*1.5,0))*(1+$BC128)*(1+$BD128)+(($BE128+$BF128)/2*IF($G$1="破竹",$AJ128,$AH128)+IF($G$1="破竹",$AK128*1.5,0))*(1+$BG128)*(1+$BH128))*(1+$AL128)*$BK128*$P128*(1+IF(VLOOKUP($Q128,武学奇术!$A:$ZZ,30,FALSE)="弹道",$B$21,0))*(1+$BQ128)</f>
        <v>14239.325032349</v>
      </c>
      <c r="M128" s="41">
        <f>(($AO128*$AH128+$AI128)*(1+$AP128)*(1+$AQ128)+($AT128*IF($G$1="鸣金",$AJ128,$AH128)+IF($G$1="鸣金",$AK128*1.5,0))*(1+$AU128)*(1+$AV128)+($AX128*IF($G$1="裂石",$AJ128,$AH128)+IF($G$1="裂石",$AK128*1.5,0))*(1+$AY128)*(1+$AZ128)+($BB128*IF($G$1="牵丝",$AJ128,$AH128)+IF($G$1="牵丝",$AK128*1.5,0))*(1+$BC128)*(1+$BD128)+($BF128*IF($G$1="破竹",$AJ128,$AH128)+IF($G$1="破竹",$AK128*1.5,0))*(1+$BG128)*(1+$BH128))*(1+$AL128)*$BM128*$P128*(1+IF(VLOOKUP($Q128,武学奇术!$A:$ZZ,30,FALSE)="弹道",$B$21,0))*(1+$BQ128)</f>
        <v>17517.7006960399</v>
      </c>
      <c r="N128" s="41">
        <f>((($AN128+$AO128)/2*$AH128+$AI128)*(1+$AP128)*(1+$AQ128)+(($AS128+$AT128)/2*IF($G$1="鸣金",$AJ128,$AH128)+IF($G$1="鸣金",$AK128*1.5,0))*(1+$AU128)*(1+$AV128)+(($AW128+$AX128)/2*IF($G$1="裂石",$AJ128,$AH128)+IF($G$1="裂石",$AK128*1.5,0))*(1+$AY128)*(1+$AZ128)+(($BA128+$BB128)/2*IF($G$1="牵丝",$AJ128,$AH128)+IF($G$1="牵丝",$AK128*1.5,0))*(1+$BC128)*(1+$BD128)+(($BE128+$BF128)/2*IF($G$1="破竹",$AJ128,$AH128)+IF($G$1="破竹",$AK128*1.5,0))*(1+$BG128)*(1+$BH128))*(1+$AL128)*$P128*(1+IF(VLOOKUP($Q128,武学奇术!$A:$ZZ,30,FALSE)="弹道",$B$21,0))*(1+$BQ128)</f>
        <v>8899.57814521815</v>
      </c>
      <c r="O128" s="41">
        <f>((($AN128*$AH128+$AI128)*(1+$AP128)*(1+$AQ128)+($AS128*IF($G$1="鸣金",$AJ128,$AH128)+IF($G$1="鸣金",$AK128*1.5,0))*(1+$AU128)*(1+$AV128)+($AW128*IF($G$1="裂石",$AJ128,$AH128)+IF($G$1="裂石",$AK128*1.5,0))*(1+$AY128)*(1+$AZ128)+($BA128*IF($G$1="牵丝",$AJ128,$AH128)+IF($G$1="牵丝",$AK128*1.5,0))*(1+$BC128)*(1+$BD128)+($BE128*IF($G$1="破竹",$AJ128,$AH128)+IF($G$1="破竹",$AK128*1.5,0))*(1+$BG128)*(1+$BH128))*(1+$AL128))*$P128*(1+IF(VLOOKUP($Q128,武学奇术!$A:$ZZ,30,FALSE)="弹道",$B$21,0))*(1+$BQ128)</f>
        <v>4823.08170077711</v>
      </c>
      <c r="P128" s="42">
        <f t="shared" si="52"/>
        <v>1</v>
      </c>
      <c r="Q128" s="43" t="s">
        <v>187</v>
      </c>
      <c r="R128" s="43" t="s">
        <v>93</v>
      </c>
      <c r="S128" s="43" t="s">
        <v>158</v>
      </c>
      <c r="T128" s="43" t="s">
        <v>73</v>
      </c>
      <c r="U128" s="43" t="s">
        <v>159</v>
      </c>
      <c r="V128" s="43" t="s">
        <v>73</v>
      </c>
      <c r="W128" s="43" t="s">
        <v>73</v>
      </c>
      <c r="X128" s="43" t="s">
        <v>73</v>
      </c>
      <c r="Y128" s="43" t="s">
        <v>73</v>
      </c>
      <c r="Z128" s="43" t="s">
        <v>73</v>
      </c>
      <c r="AA128" s="43" t="s">
        <v>73</v>
      </c>
      <c r="AB128" s="43" t="s">
        <v>80</v>
      </c>
      <c r="AC128" s="43" t="s">
        <v>73</v>
      </c>
      <c r="AD128" s="43" t="s">
        <v>73</v>
      </c>
      <c r="AE128" s="43" t="s">
        <v>73</v>
      </c>
      <c r="AF128" s="43" t="s">
        <v>75</v>
      </c>
      <c r="AG128" t="str">
        <f>VLOOKUP($Q128,武学奇术!$A:$ZZ,25,FALSE)</f>
        <v>心法</v>
      </c>
      <c r="AH128" s="27">
        <f>VLOOKUP($Q128,武学奇术!$A:$ZZ,26,FALSE)</f>
        <v>1</v>
      </c>
      <c r="AI128" s="28">
        <f>VLOOKUP($Q128,武学奇术!$A:$ZZ,27,FALSE)*(1+IF(OR($AG128=$F$4,$AG128=$F$5),$B$22,0))</f>
        <v>0</v>
      </c>
      <c r="AJ128" s="27">
        <f>VLOOKUP($Q128,武学奇术!$A:$ZZ,28,FALSE)</f>
        <v>1</v>
      </c>
      <c r="AK128" s="28">
        <f>VLOOKUP($Q128,武学奇术!$A:$ZZ,29,FALSE)*(1+IF(OR($AG128=$F$4,$AG128=$F$5),$B$22,0))</f>
        <v>0</v>
      </c>
      <c r="AL128" s="27" cm="1">
        <f t="array" ref="AL128">$G$3+IFERROR(VLOOKUP($AG128,$F$4:$G$7,2,FALSE),0)+VLOOKUP($Q128,武学奇术!$A:$ZZ,2,FALSE)+SUM(_xlfn.XLOOKUP($R128:$AF128,增益!$A:$A,增益!$B:$B,0))</f>
        <v>0.2337</v>
      </c>
      <c r="AM128" s="27" cm="1">
        <f t="array" ref="AM128">VLOOKUP($Q128,武学奇术!$A:$ZZ,5,FALSE)+SUM(_xlfn.XLOOKUP($R128:$AF128,增益!$A:$A,增益!$E:$E,0))</f>
        <v>0.15</v>
      </c>
      <c r="AN128" cm="1">
        <f t="array" ref="AN128">$D$10*(1+$AM128)+VLOOKUP($Q128,武学奇术!$A:$ZZ,3,FALSE)+SUM(_xlfn.XLOOKUP($R128:$AF128,增益!$A:$A,增益!$C:$C,0))-$I$2</f>
        <v>2125.755</v>
      </c>
      <c r="AO128" cm="1">
        <f t="array" ref="AO128">$E$10*(1+$AM128)+VLOOKUP($Q128,武学奇术!$A:$ZZ,4,FALSE)+SUM(_xlfn.XLOOKUP($R128:$AF128,增益!$A:$A,增益!$D:$D,0))-$I$2</f>
        <v>6122.925</v>
      </c>
      <c r="AP128" s="35" cm="1">
        <f t="array" ref="AP128">IF($F$10-$I$3+VLOOKUP($Q128,武学奇术!$A:$ZZ,6,FALSE)+SUM(_xlfn.XLOOKUP(R128:AF128,增益!$A:$A,增益!$F:$F,0))&gt;0,($F$10-$I$3+VLOOKUP($Q128,武学奇术!$A:$ZZ,6,FALSE)+SUM(_xlfn.XLOOKUP(R128:AF128,增益!$A:$A,增益!$F:$F,0)))/200,($F$10-$I$3+VLOOKUP($Q128,武学奇术!$A:$ZZ,6,FALSE)+SUM(_xlfn.XLOOKUP(R128:AF128,增益!$A:$A,增益!$F:$F,0)))/100)</f>
        <v>0.3425</v>
      </c>
      <c r="AQ128" s="35" cm="1">
        <f t="array" ref="AQ128">$G$10+VLOOKUP($Q128,武学奇术!$A:$ZZ,7,FALSE)+SUM(_xlfn.XLOOKUP(R128:AF128,增益!$A:$A,增益!$G:$G,0))</f>
        <v>0</v>
      </c>
      <c r="AR128" s="27" cm="1">
        <f t="array" ref="AR128">VLOOKUP($Q128,武学奇术!$A:$ZZ,8,FALSE)+SUM(_xlfn.XLOOKUP(R128:AF128,增益!$A:$A,增益!$H:$H,0))</f>
        <v>0</v>
      </c>
      <c r="AS128">
        <f t="shared" si="43"/>
        <v>0</v>
      </c>
      <c r="AT128">
        <f t="shared" si="44"/>
        <v>0</v>
      </c>
      <c r="AU128" s="35" cm="1">
        <f t="array" ref="AU128">IF($F$11-$I$4+VLOOKUP($Q128,武学奇术!$A:$ZZ,9,FALSE)+SUM(_xlfn.XLOOKUP(R128:AF128,增益!$A:$A,增益!$I:$I,0))&gt;0,($F$11-$I$4+VLOOKUP($Q128,武学奇术!$A:$ZZ,9,FALSE)+SUM(_xlfn.XLOOKUP(R128:AF128,增益!$A:$A,增益!$I:$I,0)))/200,($F$11-$I$4+VLOOKUP($Q128,武学奇术!$A:$ZZ,9,FALSE)+SUM(_xlfn.XLOOKUP(R128:AF128,增益!$A:$A,增益!$I:$I,0)))/100)</f>
        <v>-0.14</v>
      </c>
      <c r="AV128" s="35" cm="1">
        <f t="array" ref="AV128">$G$11+VLOOKUP($Q128,武学奇术!$A:$ZZ,10,FALSE)+SUM(_xlfn.XLOOKUP(R128:AF128,增益!$A:$A,增益!$J:$J,0))</f>
        <v>0</v>
      </c>
      <c r="AW128">
        <f t="shared" si="45"/>
        <v>0</v>
      </c>
      <c r="AX128">
        <f t="shared" si="46"/>
        <v>0</v>
      </c>
      <c r="AY128" s="35" cm="1">
        <f t="array" ref="AY128">IF($F$12-$I$4+VLOOKUP($Q128,武学奇术!$A:$ZZ,11,FALSE)+SUM(_xlfn.XLOOKUP(R128:AF128,增益!$A:$A,增益!$K:$K,0))&gt;0,($F$12-$I$4+VLOOKUP($Q128,武学奇术!$A:$ZZ,11,FALSE)+SUM(_xlfn.XLOOKUP(R128:AF128,增益!$A:$A,增益!$K:$K,0)))/200,($F$12-$I$4+VLOOKUP($Q128,武学奇术!$A:$ZZ,11,FALSE)+SUM(_xlfn.XLOOKUP(R128:AF128,增益!$A:$A,增益!$K:$K,0)))/100)</f>
        <v>-0.14</v>
      </c>
      <c r="AZ128" s="35" cm="1">
        <f t="array" ref="AZ128">$G$12+VLOOKUP($Q128,武学奇术!$A:$ZZ,12,FALSE)+SUM(_xlfn.XLOOKUP(R128:AF128,增益!$A:$A,增益!$L:$L,0))</f>
        <v>0</v>
      </c>
      <c r="BA128">
        <f t="shared" si="47"/>
        <v>538</v>
      </c>
      <c r="BB128">
        <f t="shared" si="48"/>
        <v>1011</v>
      </c>
      <c r="BC128" s="35" cm="1">
        <f t="array" ref="BC128">IF($F$13-$I$4+VLOOKUP($Q128,武学奇术!$A:$ZZ,13,FALSE)+SUM(_xlfn.XLOOKUP(R128:AF128,增益!$A:$A,增益!$M:$M,0))&gt;0,($F$13-$I$4+VLOOKUP($Q128,武学奇术!$A:$ZZ,13,FALSE)+SUM(_xlfn.XLOOKUP(R128:AF128,增益!$A:$A,增益!$K:$K,0)))/200,($F$13-$I$4+VLOOKUP($Q128,武学奇术!$A:$ZZ,13,FALSE)+SUM(_xlfn.XLOOKUP(R128:AF128,增益!$A:$A,增益!$M:$M,0)))/100)</f>
        <v>0.08</v>
      </c>
      <c r="BD128" s="35" cm="1">
        <f t="array" ref="BD128">$G$13+VLOOKUP($Q128,武学奇术!$A:$ZZ,14,FALSE)+SUM(_xlfn.XLOOKUP(R128:AF128,增益!$A:$A,增益!$N:$N,0))</f>
        <v>0.15</v>
      </c>
      <c r="BE128">
        <f t="shared" si="49"/>
        <v>0</v>
      </c>
      <c r="BF128">
        <f t="shared" si="50"/>
        <v>0</v>
      </c>
      <c r="BG128" s="35" cm="1">
        <f t="array" ref="BG128">IF($F$14-$I$4+VLOOKUP($Q128,武学奇术!$A:$ZZ,15,FALSE)+SUM(_xlfn.XLOOKUP(R128:AF128,增益!$A:$A,增益!$O:$O,0))&gt;0,($F$14-$I$4+VLOOKUP($Q128,武学奇术!$A:$ZZ,15,FALSE)+SUM(_xlfn.XLOOKUP(R128:AF128,增益!$A:$A,增益!$O:$O,0)))/200,($F$14-$I$4+VLOOKUP($Q128,武学奇术!$A:$ZZ,15,FALSE)+SUM(_xlfn.XLOOKUP(R128:AF128,增益!$A:$A,增益!$O:$O,0)))/100)</f>
        <v>-0.14</v>
      </c>
      <c r="BH128" s="35" cm="1">
        <f t="array" ref="BH128">$G$14+VLOOKUP($Q128,武学奇术!$A:$ZZ,16,FALSE)+SUM(_xlfn.XLOOKUP(R128:AF128,增益!$A:$A,增益!$P:$P,0))</f>
        <v>0</v>
      </c>
      <c r="BI128" s="27">
        <f>MIN(IF(VLOOKUP($Q128,武学奇术!$A:$ZZ,23,FALSE)=1,100%,$B$8),100%)</f>
        <v>0.9969</v>
      </c>
      <c r="BJ128" s="27" cm="1">
        <f t="array" ref="BJ128">IF(VLOOKUP($Q128,武学奇术!$A:$ZZ,23,FALSE)=1,100%,MIN(80%,$B$9+VLOOKUP($Q128,武学奇术!$A:$ZZ,17,FALSE)+SUM(_xlfn.XLOOKUP(R128:AF128,增益!$A:$A,增益!$Q:$Q,0)))+$B$11+SUM(_xlfn.XLOOKUP(R128:AF128,增益!$A:$A,增益!$U:$U,0)))*IF(VLOOKUP($Q128,武学奇术!$A:$ZZ,24,FALSE)=1,0,1)</f>
        <v>0.9137</v>
      </c>
      <c r="BK128" s="27" cm="1">
        <f t="array" ref="BK128">1+$B$13+VLOOKUP($Q128,武学奇术!$A:$ZZ,18,FALSE)+SUM(_xlfn.XLOOKUP(R128:AF128,增益!$A:$A,增益!$R:$R,0))</f>
        <v>1.6</v>
      </c>
      <c r="BL128" s="27" cm="1">
        <f t="array" ref="BL128">IF(VLOOKUP($Q128,武学奇术!$A:$ZZ,24,FALSE)=1,100%,MIN(40%,$B$10+VLOOKUP($Q128,武学奇术!$A:$ZZ,19,FALSE)+SUM(_xlfn.XLOOKUP(R128:AF128,增益!$A:$A,增益!$S:$S,0)))+$B$12+SUM(_xlfn.XLOOKUP(R128:AF128,增益!$A:$A,增益!$V:$V,0)))*IF(VLOOKUP($Q128,武学奇术!$A:$ZZ,23,FALSE)=1,0,1)</f>
        <v>0.0895</v>
      </c>
      <c r="BM128" s="27" cm="1">
        <f t="array" ref="BM128">1+$B$14+VLOOKUP($Q128,武学奇术!$A:$ZZ,20,FALSE)+SUM(_xlfn.XLOOKUP(R128:AF128,增益!$A:$A,增益!$T:$T,0))</f>
        <v>1.35</v>
      </c>
      <c r="BN128" s="27">
        <f t="shared" si="51"/>
        <v>0.90767745</v>
      </c>
      <c r="BO128" s="27">
        <f t="shared" si="32"/>
        <v>-1.30104260698261e-17</v>
      </c>
      <c r="BP128" s="27">
        <f>IF(VLOOKUP($Q128,武学奇术!$A:$ZZ,22,FALSE)=1,0,(1-$BI128))*(1-$BL128)</f>
        <v>0.00282254999999999</v>
      </c>
      <c r="BQ128" s="27" cm="1">
        <f t="array" ref="BQ128">SUM(_xlfn.XLOOKUP(R128:AF128,增益!$A:$A,增益!$W:$W,0))+$I$5</f>
        <v>0.11</v>
      </c>
    </row>
    <row r="129" spans="11:69">
      <c r="K129" s="41">
        <f t="shared" si="42"/>
        <v>20841.2478367975</v>
      </c>
      <c r="L129" s="41">
        <f>((($AN129+$AO129)/2*$AH129+$AI129)*(1+$AP129)*(1+$AQ129)+(($AS129+$AT129)/2*IF($G$1="鸣金",$AJ129,$AH129)+IF($G$1="鸣金",$AK129*1.5,0))*(1+$AU129)*(1+$AV129)+(($AW129+$AX129)/2*IF($G$1="裂石",$AJ129,$AH129)+IF($G$1="裂石",$AK129*1.5,0))*(1+$AY129)*(1+$AZ129)+(($BA129+$BB129)/2*IF($G$1="牵丝",$AJ129,$AH129)+IF($G$1="牵丝",$AK129*1.5,0))*(1+$BC129)*(1+$BD129)+(($BE129+$BF129)/2*IF($G$1="破竹",$AJ129,$AH129)+IF($G$1="破竹",$AK129*1.5,0))*(1+$BG129)*(1+$BH129))*(1+$AL129)*$BK129*$P129*(1+IF(VLOOKUP($Q129,武学奇术!$A:$ZZ,30,FALSE)="弹道",$B$21,0))*(1+$BQ129)</f>
        <v>20759.1113409172</v>
      </c>
      <c r="M129" s="41">
        <f>(($AO129*$AH129+$AI129)*(1+$AP129)*(1+$AQ129)+($AT129*IF($G$1="鸣金",$AJ129,$AH129)+IF($G$1="鸣金",$AK129*1.5,0))*(1+$AU129)*(1+$AV129)+($AX129*IF($G$1="裂石",$AJ129,$AH129)+IF($G$1="裂石",$AK129*1.5,0))*(1+$AY129)*(1+$AZ129)+($BB129*IF($G$1="牵丝",$AJ129,$AH129)+IF($G$1="牵丝",$AK129*1.5,0))*(1+$BC129)*(1+$BD129)+($BF129*IF($G$1="破竹",$AJ129,$AH129)+IF($G$1="破竹",$AK129*1.5,0))*(1+$BG129)*(1+$BH129))*(1+$AL129)*$BM129*$P129*(1+IF(VLOOKUP($Q129,武学奇术!$A:$ZZ,30,FALSE)="弹道",$B$21,0))*(1+$BQ129)</f>
        <v>22140.9832606717</v>
      </c>
      <c r="N129" s="41">
        <f>((($AN129+$AO129)/2*$AH129+$AI129)*(1+$AP129)*(1+$AQ129)+(($AS129+$AT129)/2*IF($G$1="鸣金",$AJ129,$AH129)+IF($G$1="鸣金",$AK129*1.5,0))*(1+$AU129)*(1+$AV129)+(($AW129+$AX129)/2*IF($G$1="裂石",$AJ129,$AH129)+IF($G$1="裂石",$AK129*1.5,0))*(1+$AY129)*(1+$AZ129)+(($BA129+$BB129)/2*IF($G$1="牵丝",$AJ129,$AH129)+IF($G$1="牵丝",$AK129*1.5,0))*(1+$BC129)*(1+$BD129)+(($BE129+$BF129)/2*IF($G$1="破竹",$AJ129,$AH129)+IF($G$1="破竹",$AK129*1.5,0))*(1+$BG129)*(1+$BH129))*(1+$AL129)*$P129*(1+IF(VLOOKUP($Q129,武学奇术!$A:$ZZ,30,FALSE)="弹道",$B$21,0))*(1+$BQ129)</f>
        <v>11221.1412653606</v>
      </c>
      <c r="O129" s="41">
        <f>((($AN129*$AH129+$AI129)*(1+$AP129)*(1+$AQ129)+($AS129*IF($G$1="鸣金",$AJ129,$AH129)+IF($G$1="鸣金",$AK129*1.5,0))*(1+$AU129)*(1+$AV129)+($AW129*IF($G$1="裂石",$AJ129,$AH129)+IF($G$1="裂石",$AK129*1.5,0))*(1+$AY129)*(1+$AZ129)+($BA129*IF($G$1="牵丝",$AJ129,$AH129)+IF($G$1="牵丝",$AK129*1.5,0))*(1+$BC129)*(1+$BD129)+($BE129*IF($G$1="破竹",$AJ129,$AH129)+IF($G$1="破竹",$AK129*1.5,0))*(1+$BG129)*(1+$BH129))*(1+$AL129))*$P129*(1+IF(VLOOKUP($Q129,武学奇术!$A:$ZZ,30,FALSE)="弹道",$B$21,0))*(1+$BQ129)</f>
        <v>6041.55418948299</v>
      </c>
      <c r="P129" s="42">
        <f t="shared" si="52"/>
        <v>1</v>
      </c>
      <c r="Q129" s="43" t="s">
        <v>187</v>
      </c>
      <c r="R129" s="43" t="s">
        <v>93</v>
      </c>
      <c r="S129" s="43" t="s">
        <v>158</v>
      </c>
      <c r="T129" s="43" t="s">
        <v>73</v>
      </c>
      <c r="U129" s="43" t="s">
        <v>159</v>
      </c>
      <c r="V129" s="43" t="s">
        <v>73</v>
      </c>
      <c r="W129" s="43" t="s">
        <v>73</v>
      </c>
      <c r="X129" s="43" t="s">
        <v>73</v>
      </c>
      <c r="Y129" s="43" t="s">
        <v>164</v>
      </c>
      <c r="Z129" s="43" t="s">
        <v>73</v>
      </c>
      <c r="AA129" s="43" t="s">
        <v>73</v>
      </c>
      <c r="AB129" s="43" t="s">
        <v>73</v>
      </c>
      <c r="AC129" s="43" t="s">
        <v>165</v>
      </c>
      <c r="AD129" s="43" t="s">
        <v>166</v>
      </c>
      <c r="AE129" s="43" t="s">
        <v>73</v>
      </c>
      <c r="AF129" s="43" t="s">
        <v>75</v>
      </c>
      <c r="AG129" t="str">
        <f>VLOOKUP($Q129,武学奇术!$A:$ZZ,25,FALSE)</f>
        <v>心法</v>
      </c>
      <c r="AH129" s="27">
        <f>VLOOKUP($Q129,武学奇术!$A:$ZZ,26,FALSE)</f>
        <v>1</v>
      </c>
      <c r="AI129" s="28">
        <f>VLOOKUP($Q129,武学奇术!$A:$ZZ,27,FALSE)*(1+IF(OR($AG129=$F$4,$AG129=$F$5),$B$22,0))</f>
        <v>0</v>
      </c>
      <c r="AJ129" s="27">
        <f>VLOOKUP($Q129,武学奇术!$A:$ZZ,28,FALSE)</f>
        <v>1</v>
      </c>
      <c r="AK129" s="28">
        <f>VLOOKUP($Q129,武学奇术!$A:$ZZ,29,FALSE)*(1+IF(OR($AG129=$F$4,$AG129=$F$5),$B$22,0))</f>
        <v>0</v>
      </c>
      <c r="AL129" s="27" cm="1">
        <f t="array" ref="AL129">$G$3+IFERROR(VLOOKUP($AG129,$F$4:$G$7,2,FALSE),0)+VLOOKUP($Q129,武学奇术!$A:$ZZ,2,FALSE)+SUM(_xlfn.XLOOKUP($R129:$AF129,增益!$A:$A,增益!$B:$B,0))</f>
        <v>0.2337</v>
      </c>
      <c r="AM129" s="27" cm="1">
        <f t="array" ref="AM129">VLOOKUP($Q129,武学奇术!$A:$ZZ,5,FALSE)+SUM(_xlfn.XLOOKUP($R129:$AF129,增益!$A:$A,增益!$E:$E,0))</f>
        <v>0.15</v>
      </c>
      <c r="AN129" cm="1">
        <f t="array" ref="AN129">$D$10*(1+$AM129)+VLOOKUP($Q129,武学奇术!$A:$ZZ,3,FALSE)+SUM(_xlfn.XLOOKUP($R129:$AF129,增益!$A:$A,增益!$C:$C,0))-$I$2</f>
        <v>2125.755</v>
      </c>
      <c r="AO129" cm="1">
        <f t="array" ref="AO129">$E$10*(1+$AM129)+VLOOKUP($Q129,武学奇术!$A:$ZZ,4,FALSE)+SUM(_xlfn.XLOOKUP($R129:$AF129,增益!$A:$A,增益!$D:$D,0))-$I$2</f>
        <v>6122.925</v>
      </c>
      <c r="AP129" s="35" cm="1">
        <f t="array" ref="AP129">IF($F$10-$I$3+VLOOKUP($Q129,武学奇术!$A:$ZZ,6,FALSE)+SUM(_xlfn.XLOOKUP(R129:AF129,增益!$A:$A,增益!$F:$F,0))&gt;0,($F$10-$I$3+VLOOKUP($Q129,武学奇术!$A:$ZZ,6,FALSE)+SUM(_xlfn.XLOOKUP(R129:AF129,增益!$A:$A,增益!$F:$F,0)))/200,($F$10-$I$3+VLOOKUP($Q129,武学奇术!$A:$ZZ,6,FALSE)+SUM(_xlfn.XLOOKUP(R129:AF129,增益!$A:$A,增益!$F:$F,0)))/100)</f>
        <v>0.4675</v>
      </c>
      <c r="AQ129" s="35" cm="1">
        <f t="array" ref="AQ129">$G$10+VLOOKUP($Q129,武学奇术!$A:$ZZ,7,FALSE)+SUM(_xlfn.XLOOKUP(R129:AF129,增益!$A:$A,增益!$G:$G,0))</f>
        <v>0</v>
      </c>
      <c r="AR129" s="27" cm="1">
        <f t="array" ref="AR129">VLOOKUP($Q129,武学奇术!$A:$ZZ,8,FALSE)+SUM(_xlfn.XLOOKUP(R129:AF129,增益!$A:$A,增益!$H:$H,0))</f>
        <v>0</v>
      </c>
      <c r="AS129">
        <f t="shared" si="43"/>
        <v>0</v>
      </c>
      <c r="AT129">
        <f t="shared" si="44"/>
        <v>0</v>
      </c>
      <c r="AU129" s="35" cm="1">
        <f t="array" ref="AU129">IF($F$11-$I$4+VLOOKUP($Q129,武学奇术!$A:$ZZ,9,FALSE)+SUM(_xlfn.XLOOKUP(R129:AF129,增益!$A:$A,增益!$I:$I,0))&gt;0,($F$11-$I$4+VLOOKUP($Q129,武学奇术!$A:$ZZ,9,FALSE)+SUM(_xlfn.XLOOKUP(R129:AF129,增益!$A:$A,增益!$I:$I,0)))/200,($F$11-$I$4+VLOOKUP($Q129,武学奇术!$A:$ZZ,9,FALSE)+SUM(_xlfn.XLOOKUP(R129:AF129,增益!$A:$A,增益!$I:$I,0)))/100)</f>
        <v>-0.3</v>
      </c>
      <c r="AV129" s="35" cm="1">
        <f t="array" ref="AV129">$G$11+VLOOKUP($Q129,武学奇术!$A:$ZZ,10,FALSE)+SUM(_xlfn.XLOOKUP(R129:AF129,增益!$A:$A,增益!$J:$J,0))</f>
        <v>0.1</v>
      </c>
      <c r="AW129">
        <f t="shared" si="45"/>
        <v>0</v>
      </c>
      <c r="AX129">
        <f t="shared" si="46"/>
        <v>0</v>
      </c>
      <c r="AY129" s="35" cm="1">
        <f t="array" ref="AY129">IF($F$12-$I$4+VLOOKUP($Q129,武学奇术!$A:$ZZ,11,FALSE)+SUM(_xlfn.XLOOKUP(R129:AF129,增益!$A:$A,增益!$K:$K,0))&gt;0,($F$12-$I$4+VLOOKUP($Q129,武学奇术!$A:$ZZ,11,FALSE)+SUM(_xlfn.XLOOKUP(R129:AF129,增益!$A:$A,增益!$K:$K,0)))/200,($F$12-$I$4+VLOOKUP($Q129,武学奇术!$A:$ZZ,11,FALSE)+SUM(_xlfn.XLOOKUP(R129:AF129,增益!$A:$A,增益!$K:$K,0)))/100)</f>
        <v>-0.3</v>
      </c>
      <c r="AZ129" s="35" cm="1">
        <f t="array" ref="AZ129">$G$12+VLOOKUP($Q129,武学奇术!$A:$ZZ,12,FALSE)+SUM(_xlfn.XLOOKUP(R129:AF129,增益!$A:$A,增益!$L:$L,0))</f>
        <v>0</v>
      </c>
      <c r="BA129">
        <f t="shared" si="47"/>
        <v>538</v>
      </c>
      <c r="BB129">
        <f t="shared" si="48"/>
        <v>1011</v>
      </c>
      <c r="BC129" s="35" cm="1">
        <f t="array" ref="BC129">IF($F$13-$I$4+VLOOKUP($Q129,武学奇术!$A:$ZZ,13,FALSE)+SUM(_xlfn.XLOOKUP(R129:AF129,增益!$A:$A,增益!$M:$M,0))&gt;0,($F$13-$I$4+VLOOKUP($Q129,武学奇术!$A:$ZZ,13,FALSE)+SUM(_xlfn.XLOOKUP(R129:AF129,增益!$A:$A,增益!$K:$K,0)))/200,($F$13-$I$4+VLOOKUP($Q129,武学奇术!$A:$ZZ,13,FALSE)+SUM(_xlfn.XLOOKUP(R129:AF129,增益!$A:$A,增益!$M:$M,0)))/100)</f>
        <v>0</v>
      </c>
      <c r="BD129" s="35" cm="1">
        <f t="array" ref="BD129">$G$13+VLOOKUP($Q129,武学奇术!$A:$ZZ,14,FALSE)+SUM(_xlfn.XLOOKUP(R129:AF129,增益!$A:$A,增益!$N:$N,0))</f>
        <v>0.15</v>
      </c>
      <c r="BE129">
        <f t="shared" si="49"/>
        <v>0</v>
      </c>
      <c r="BF129">
        <f t="shared" si="50"/>
        <v>0</v>
      </c>
      <c r="BG129" s="35" cm="1">
        <f t="array" ref="BG129">IF($F$14-$I$4+VLOOKUP($Q129,武学奇术!$A:$ZZ,15,FALSE)+SUM(_xlfn.XLOOKUP(R129:AF129,增益!$A:$A,增益!$O:$O,0))&gt;0,($F$14-$I$4+VLOOKUP($Q129,武学奇术!$A:$ZZ,15,FALSE)+SUM(_xlfn.XLOOKUP(R129:AF129,增益!$A:$A,增益!$O:$O,0)))/200,($F$14-$I$4+VLOOKUP($Q129,武学奇术!$A:$ZZ,15,FALSE)+SUM(_xlfn.XLOOKUP(R129:AF129,增益!$A:$A,增益!$O:$O,0)))/100)</f>
        <v>-0.3</v>
      </c>
      <c r="BH129" s="35" cm="1">
        <f t="array" ref="BH129">$G$14+VLOOKUP($Q129,武学奇术!$A:$ZZ,16,FALSE)+SUM(_xlfn.XLOOKUP(R129:AF129,增益!$A:$A,增益!$P:$P,0))</f>
        <v>0</v>
      </c>
      <c r="BI129" s="27">
        <f>MIN(IF(VLOOKUP($Q129,武学奇术!$A:$ZZ,23,FALSE)=1,100%,$B$8),100%)</f>
        <v>0.9969</v>
      </c>
      <c r="BJ129" s="27" cm="1">
        <f t="array" ref="BJ129">IF(VLOOKUP($Q129,武学奇术!$A:$ZZ,23,FALSE)=1,100%,MIN(80%,$B$9+VLOOKUP($Q129,武学奇术!$A:$ZZ,17,FALSE)+SUM(_xlfn.XLOOKUP(R129:AF129,增益!$A:$A,增益!$Q:$Q,0)))+$B$11+SUM(_xlfn.XLOOKUP(R129:AF129,增益!$A:$A,增益!$U:$U,0)))*IF(VLOOKUP($Q129,武学奇术!$A:$ZZ,24,FALSE)=1,0,1)</f>
        <v>0.9137</v>
      </c>
      <c r="BK129" s="27" cm="1">
        <f t="array" ref="BK129">1+$B$13+VLOOKUP($Q129,武学奇术!$A:$ZZ,18,FALSE)+SUM(_xlfn.XLOOKUP(R129:AF129,增益!$A:$A,增益!$R:$R,0))</f>
        <v>1.85</v>
      </c>
      <c r="BL129" s="27" cm="1">
        <f t="array" ref="BL129">IF(VLOOKUP($Q129,武学奇术!$A:$ZZ,24,FALSE)=1,100%,MIN(40%,$B$10+VLOOKUP($Q129,武学奇术!$A:$ZZ,19,FALSE)+SUM(_xlfn.XLOOKUP(R129:AF129,增益!$A:$A,增益!$S:$S,0)))+$B$12+SUM(_xlfn.XLOOKUP(R129:AF129,增益!$A:$A,增益!$V:$V,0)))*IF(VLOOKUP($Q129,武学奇术!$A:$ZZ,23,FALSE)=1,0,1)</f>
        <v>0.0895</v>
      </c>
      <c r="BM129" s="27" cm="1">
        <f t="array" ref="BM129">1+$B$14+VLOOKUP($Q129,武学奇术!$A:$ZZ,20,FALSE)+SUM(_xlfn.XLOOKUP(R129:AF129,增益!$A:$A,增益!$T:$T,0))</f>
        <v>1.35</v>
      </c>
      <c r="BN129" s="27">
        <f t="shared" si="51"/>
        <v>0.90767745</v>
      </c>
      <c r="BO129" s="27">
        <f t="shared" si="32"/>
        <v>-1.30104260698261e-17</v>
      </c>
      <c r="BP129" s="27">
        <f>IF(VLOOKUP($Q129,武学奇术!$A:$ZZ,22,FALSE)=1,0,(1-$BI129))*(1-$BL129)</f>
        <v>0.00282254999999999</v>
      </c>
      <c r="BQ129" s="27" cm="1">
        <f t="array" ref="BQ129">SUM(_xlfn.XLOOKUP(R129:AF129,增益!$A:$A,增益!$W:$W,0))+$I$5</f>
        <v>0.31</v>
      </c>
    </row>
    <row r="130" spans="11:69">
      <c r="K130" s="41">
        <f t="shared" si="42"/>
        <v>17838.8083663669</v>
      </c>
      <c r="L130" s="41">
        <f>((($AN130+$AO130)/2*$AH130+$AI130)*(1+$AP130)*(1+$AQ130)+(($AS130+$AT130)/2*IF($G$1="鸣金",$AJ130,$AH130)+IF($G$1="鸣金",$AK130*1.5,0))*(1+$AU130)*(1+$AV130)+(($AW130+$AX130)/2*IF($G$1="裂石",$AJ130,$AH130)+IF($G$1="裂石",$AK130*1.5,0))*(1+$AY130)*(1+$AZ130)+(($BA130+$BB130)/2*IF($G$1="牵丝",$AJ130,$AH130)+IF($G$1="牵丝",$AK130*1.5,0))*(1+$BC130)*(1+$BD130)+(($BE130+$BF130)/2*IF($G$1="破竹",$AJ130,$AH130)+IF($G$1="破竹",$AK130*1.5,0))*(1+$BG130)*(1+$BH130))*(1+$AL130)*$BK130*$P130*(1+IF(VLOOKUP($Q130,武学奇术!$A:$ZZ,30,FALSE)="弹道",$B$21,0))*(1+$BQ130)</f>
        <v>17770.296459004</v>
      </c>
      <c r="M130" s="41">
        <f>(($AO130*$AH130+$AI130)*(1+$AP130)*(1+$AQ130)+($AT130*IF($G$1="鸣金",$AJ130,$AH130)+IF($G$1="鸣金",$AK130*1.5,0))*(1+$AU130)*(1+$AV130)+($AX130*IF($G$1="裂石",$AJ130,$AH130)+IF($G$1="裂石",$AK130*1.5,0))*(1+$AY130)*(1+$AZ130)+($BB130*IF($G$1="牵丝",$AJ130,$AH130)+IF($G$1="牵丝",$AK130*1.5,0))*(1+$BC130)*(1+$BD130)+($BF130*IF($G$1="破竹",$AJ130,$AH130)+IF($G$1="破竹",$AK130*1.5,0))*(1+$BG130)*(1+$BH130))*(1+$AL130)*$BM130*$P130*(1+IF(VLOOKUP($Q130,武学奇术!$A:$ZZ,30,FALSE)="弹道",$B$21,0))*(1+$BQ130)</f>
        <v>18932.6317060263</v>
      </c>
      <c r="N130" s="41">
        <f>((($AN130+$AO130)/2*$AH130+$AI130)*(1+$AP130)*(1+$AQ130)+(($AS130+$AT130)/2*IF($G$1="鸣金",$AJ130,$AH130)+IF($G$1="鸣金",$AK130*1.5,0))*(1+$AU130)*(1+$AV130)+(($AW130+$AX130)/2*IF($G$1="裂石",$AJ130,$AH130)+IF($G$1="裂石",$AK130*1.5,0))*(1+$AY130)*(1+$AZ130)+(($BA130+$BB130)/2*IF($G$1="牵丝",$AJ130,$AH130)+IF($G$1="牵丝",$AK130*1.5,0))*(1+$BC130)*(1+$BD130)+(($BE130+$BF130)/2*IF($G$1="破竹",$AJ130,$AH130)+IF($G$1="破竹",$AK130*1.5,0))*(1+$BG130)*(1+$BH130))*(1+$AL130)*$P130*(1+IF(VLOOKUP($Q130,武学奇术!$A:$ZZ,30,FALSE)="弹道",$B$21,0))*(1+$BQ130)</f>
        <v>9605.56565351565</v>
      </c>
      <c r="O130" s="41">
        <f>((($AN130*$AH130+$AI130)*(1+$AP130)*(1+$AQ130)+($AS130*IF($G$1="鸣金",$AJ130,$AH130)+IF($G$1="鸣金",$AK130*1.5,0))*(1+$AU130)*(1+$AV130)+($AW130*IF($G$1="裂石",$AJ130,$AH130)+IF($G$1="裂石",$AK130*1.5,0))*(1+$AY130)*(1+$AZ130)+($BA130*IF($G$1="牵丝",$AJ130,$AH130)+IF($G$1="牵丝",$AK130*1.5,0))*(1+$BC130)*(1+$BD130)+($BE130*IF($G$1="破竹",$AJ130,$AH130)+IF($G$1="破竹",$AK130*1.5,0))*(1+$BG130)*(1+$BH130))*(1+$AL130))*$P130*(1+IF(VLOOKUP($Q130,武学奇术!$A:$ZZ,30,FALSE)="弹道",$B$21,0))*(1+$BQ130)</f>
        <v>5186.95967293774</v>
      </c>
      <c r="P130" s="42">
        <f t="shared" si="52"/>
        <v>1</v>
      </c>
      <c r="Q130" s="43" t="s">
        <v>187</v>
      </c>
      <c r="R130" s="43" t="s">
        <v>93</v>
      </c>
      <c r="S130" s="43" t="s">
        <v>158</v>
      </c>
      <c r="T130" s="43" t="s">
        <v>73</v>
      </c>
      <c r="U130" s="43" t="s">
        <v>159</v>
      </c>
      <c r="V130" s="43" t="s">
        <v>73</v>
      </c>
      <c r="W130" s="43" t="s">
        <v>73</v>
      </c>
      <c r="X130" s="43" t="s">
        <v>73</v>
      </c>
      <c r="Y130" s="43" t="s">
        <v>164</v>
      </c>
      <c r="Z130" s="43" t="s">
        <v>73</v>
      </c>
      <c r="AA130" s="43" t="s">
        <v>73</v>
      </c>
      <c r="AB130" s="43" t="s">
        <v>80</v>
      </c>
      <c r="AC130" s="43" t="s">
        <v>73</v>
      </c>
      <c r="AD130" s="43" t="s">
        <v>73</v>
      </c>
      <c r="AE130" s="43" t="s">
        <v>73</v>
      </c>
      <c r="AF130" s="43" t="s">
        <v>75</v>
      </c>
      <c r="AG130" t="str">
        <f>VLOOKUP($Q130,武学奇术!$A:$ZZ,25,FALSE)</f>
        <v>心法</v>
      </c>
      <c r="AH130" s="27">
        <f>VLOOKUP($Q130,武学奇术!$A:$ZZ,26,FALSE)</f>
        <v>1</v>
      </c>
      <c r="AI130" s="28">
        <f>VLOOKUP($Q130,武学奇术!$A:$ZZ,27,FALSE)*(1+IF(OR($AG130=$F$4,$AG130=$F$5),$B$22,0))</f>
        <v>0</v>
      </c>
      <c r="AJ130" s="27">
        <f>VLOOKUP($Q130,武学奇术!$A:$ZZ,28,FALSE)</f>
        <v>1</v>
      </c>
      <c r="AK130" s="28">
        <f>VLOOKUP($Q130,武学奇术!$A:$ZZ,29,FALSE)*(1+IF(OR($AG130=$F$4,$AG130=$F$5),$B$22,0))</f>
        <v>0</v>
      </c>
      <c r="AL130" s="27" cm="1">
        <f t="array" ref="AL130">$G$3+IFERROR(VLOOKUP($AG130,$F$4:$G$7,2,FALSE),0)+VLOOKUP($Q130,武学奇术!$A:$ZZ,2,FALSE)+SUM(_xlfn.XLOOKUP($R130:$AF130,增益!$A:$A,增益!$B:$B,0))</f>
        <v>0.2337</v>
      </c>
      <c r="AM130" s="27" cm="1">
        <f t="array" ref="AM130">VLOOKUP($Q130,武学奇术!$A:$ZZ,5,FALSE)+SUM(_xlfn.XLOOKUP($R130:$AF130,增益!$A:$A,增益!$E:$E,0))</f>
        <v>0.15</v>
      </c>
      <c r="AN130" cm="1">
        <f t="array" ref="AN130">$D$10*(1+$AM130)+VLOOKUP($Q130,武学奇术!$A:$ZZ,3,FALSE)+SUM(_xlfn.XLOOKUP($R130:$AF130,增益!$A:$A,增益!$C:$C,0))-$I$2</f>
        <v>2125.755</v>
      </c>
      <c r="AO130" cm="1">
        <f t="array" ref="AO130">$E$10*(1+$AM130)+VLOOKUP($Q130,武学奇术!$A:$ZZ,4,FALSE)+SUM(_xlfn.XLOOKUP($R130:$AF130,增益!$A:$A,增益!$D:$D,0))-$I$2</f>
        <v>6122.925</v>
      </c>
      <c r="AP130" s="35" cm="1">
        <f t="array" ref="AP130">IF($F$10-$I$3+VLOOKUP($Q130,武学奇术!$A:$ZZ,6,FALSE)+SUM(_xlfn.XLOOKUP(R130:AF130,增益!$A:$A,增益!$F:$F,0))&gt;0,($F$10-$I$3+VLOOKUP($Q130,武学奇术!$A:$ZZ,6,FALSE)+SUM(_xlfn.XLOOKUP(R130:AF130,增益!$A:$A,增益!$F:$F,0)))/200,($F$10-$I$3+VLOOKUP($Q130,武学奇术!$A:$ZZ,6,FALSE)+SUM(_xlfn.XLOOKUP(R130:AF130,增益!$A:$A,增益!$F:$F,0)))/100)</f>
        <v>0.4675</v>
      </c>
      <c r="AQ130" s="35" cm="1">
        <f t="array" ref="AQ130">$G$10+VLOOKUP($Q130,武学奇术!$A:$ZZ,7,FALSE)+SUM(_xlfn.XLOOKUP(R130:AF130,增益!$A:$A,增益!$G:$G,0))</f>
        <v>0</v>
      </c>
      <c r="AR130" s="27" cm="1">
        <f t="array" ref="AR130">VLOOKUP($Q130,武学奇术!$A:$ZZ,8,FALSE)+SUM(_xlfn.XLOOKUP(R130:AF130,增益!$A:$A,增益!$H:$H,0))</f>
        <v>0</v>
      </c>
      <c r="AS130">
        <f t="shared" si="43"/>
        <v>0</v>
      </c>
      <c r="AT130">
        <f t="shared" si="44"/>
        <v>0</v>
      </c>
      <c r="AU130" s="35" cm="1">
        <f t="array" ref="AU130">IF($F$11-$I$4+VLOOKUP($Q130,武学奇术!$A:$ZZ,9,FALSE)+SUM(_xlfn.XLOOKUP(R130:AF130,增益!$A:$A,增益!$I:$I,0))&gt;0,($F$11-$I$4+VLOOKUP($Q130,武学奇术!$A:$ZZ,9,FALSE)+SUM(_xlfn.XLOOKUP(R130:AF130,增益!$A:$A,增益!$I:$I,0)))/200,($F$11-$I$4+VLOOKUP($Q130,武学奇术!$A:$ZZ,9,FALSE)+SUM(_xlfn.XLOOKUP(R130:AF130,增益!$A:$A,增益!$I:$I,0)))/100)</f>
        <v>-0.14</v>
      </c>
      <c r="AV130" s="35" cm="1">
        <f t="array" ref="AV130">$G$11+VLOOKUP($Q130,武学奇术!$A:$ZZ,10,FALSE)+SUM(_xlfn.XLOOKUP(R130:AF130,增益!$A:$A,增益!$J:$J,0))</f>
        <v>0</v>
      </c>
      <c r="AW130">
        <f t="shared" si="45"/>
        <v>0</v>
      </c>
      <c r="AX130">
        <f t="shared" si="46"/>
        <v>0</v>
      </c>
      <c r="AY130" s="35" cm="1">
        <f t="array" ref="AY130">IF($F$12-$I$4+VLOOKUP($Q130,武学奇术!$A:$ZZ,11,FALSE)+SUM(_xlfn.XLOOKUP(R130:AF130,增益!$A:$A,增益!$K:$K,0))&gt;0,($F$12-$I$4+VLOOKUP($Q130,武学奇术!$A:$ZZ,11,FALSE)+SUM(_xlfn.XLOOKUP(R130:AF130,增益!$A:$A,增益!$K:$K,0)))/200,($F$12-$I$4+VLOOKUP($Q130,武学奇术!$A:$ZZ,11,FALSE)+SUM(_xlfn.XLOOKUP(R130:AF130,增益!$A:$A,增益!$K:$K,0)))/100)</f>
        <v>-0.14</v>
      </c>
      <c r="AZ130" s="35" cm="1">
        <f t="array" ref="AZ130">$G$12+VLOOKUP($Q130,武学奇术!$A:$ZZ,12,FALSE)+SUM(_xlfn.XLOOKUP(R130:AF130,增益!$A:$A,增益!$L:$L,0))</f>
        <v>0</v>
      </c>
      <c r="BA130">
        <f t="shared" si="47"/>
        <v>538</v>
      </c>
      <c r="BB130">
        <f t="shared" si="48"/>
        <v>1011</v>
      </c>
      <c r="BC130" s="35" cm="1">
        <f t="array" ref="BC130">IF($F$13-$I$4+VLOOKUP($Q130,武学奇术!$A:$ZZ,13,FALSE)+SUM(_xlfn.XLOOKUP(R130:AF130,增益!$A:$A,增益!$M:$M,0))&gt;0,($F$13-$I$4+VLOOKUP($Q130,武学奇术!$A:$ZZ,13,FALSE)+SUM(_xlfn.XLOOKUP(R130:AF130,增益!$A:$A,增益!$K:$K,0)))/200,($F$13-$I$4+VLOOKUP($Q130,武学奇术!$A:$ZZ,13,FALSE)+SUM(_xlfn.XLOOKUP(R130:AF130,增益!$A:$A,增益!$M:$M,0)))/100)</f>
        <v>0.08</v>
      </c>
      <c r="BD130" s="35" cm="1">
        <f t="array" ref="BD130">$G$13+VLOOKUP($Q130,武学奇术!$A:$ZZ,14,FALSE)+SUM(_xlfn.XLOOKUP(R130:AF130,增益!$A:$A,增益!$N:$N,0))</f>
        <v>0.15</v>
      </c>
      <c r="BE130">
        <f t="shared" si="49"/>
        <v>0</v>
      </c>
      <c r="BF130">
        <f t="shared" si="50"/>
        <v>0</v>
      </c>
      <c r="BG130" s="35" cm="1">
        <f t="array" ref="BG130">IF($F$14-$I$4+VLOOKUP($Q130,武学奇术!$A:$ZZ,15,FALSE)+SUM(_xlfn.XLOOKUP(R130:AF130,增益!$A:$A,增益!$O:$O,0))&gt;0,($F$14-$I$4+VLOOKUP($Q130,武学奇术!$A:$ZZ,15,FALSE)+SUM(_xlfn.XLOOKUP(R130:AF130,增益!$A:$A,增益!$O:$O,0)))/200,($F$14-$I$4+VLOOKUP($Q130,武学奇术!$A:$ZZ,15,FALSE)+SUM(_xlfn.XLOOKUP(R130:AF130,增益!$A:$A,增益!$O:$O,0)))/100)</f>
        <v>-0.14</v>
      </c>
      <c r="BH130" s="35" cm="1">
        <f t="array" ref="BH130">$G$14+VLOOKUP($Q130,武学奇术!$A:$ZZ,16,FALSE)+SUM(_xlfn.XLOOKUP(R130:AF130,增益!$A:$A,增益!$P:$P,0))</f>
        <v>0</v>
      </c>
      <c r="BI130" s="27">
        <f>MIN(IF(VLOOKUP($Q130,武学奇术!$A:$ZZ,23,FALSE)=1,100%,$B$8),100%)</f>
        <v>0.9969</v>
      </c>
      <c r="BJ130" s="27" cm="1">
        <f t="array" ref="BJ130">IF(VLOOKUP($Q130,武学奇术!$A:$ZZ,23,FALSE)=1,100%,MIN(80%,$B$9+VLOOKUP($Q130,武学奇术!$A:$ZZ,17,FALSE)+SUM(_xlfn.XLOOKUP(R130:AF130,增益!$A:$A,增益!$Q:$Q,0)))+$B$11+SUM(_xlfn.XLOOKUP(R130:AF130,增益!$A:$A,增益!$U:$U,0)))*IF(VLOOKUP($Q130,武学奇术!$A:$ZZ,24,FALSE)=1,0,1)</f>
        <v>0.9137</v>
      </c>
      <c r="BK130" s="27" cm="1">
        <f t="array" ref="BK130">1+$B$13+VLOOKUP($Q130,武学奇术!$A:$ZZ,18,FALSE)+SUM(_xlfn.XLOOKUP(R130:AF130,增益!$A:$A,增益!$R:$R,0))</f>
        <v>1.85</v>
      </c>
      <c r="BL130" s="27" cm="1">
        <f t="array" ref="BL130">IF(VLOOKUP($Q130,武学奇术!$A:$ZZ,24,FALSE)=1,100%,MIN(40%,$B$10+VLOOKUP($Q130,武学奇术!$A:$ZZ,19,FALSE)+SUM(_xlfn.XLOOKUP(R130:AF130,增益!$A:$A,增益!$S:$S,0)))+$B$12+SUM(_xlfn.XLOOKUP(R130:AF130,增益!$A:$A,增益!$V:$V,0)))*IF(VLOOKUP($Q130,武学奇术!$A:$ZZ,23,FALSE)=1,0,1)</f>
        <v>0.0895</v>
      </c>
      <c r="BM130" s="27" cm="1">
        <f t="array" ref="BM130">1+$B$14+VLOOKUP($Q130,武学奇术!$A:$ZZ,20,FALSE)+SUM(_xlfn.XLOOKUP(R130:AF130,增益!$A:$A,增益!$T:$T,0))</f>
        <v>1.35</v>
      </c>
      <c r="BN130" s="27">
        <f t="shared" si="51"/>
        <v>0.90767745</v>
      </c>
      <c r="BO130" s="27">
        <f t="shared" si="32"/>
        <v>-1.30104260698261e-17</v>
      </c>
      <c r="BP130" s="27">
        <f>IF(VLOOKUP($Q130,武学奇术!$A:$ZZ,22,FALSE)=1,0,(1-$BI130))*(1-$BL130)</f>
        <v>0.00282254999999999</v>
      </c>
      <c r="BQ130" s="27" cm="1">
        <f t="array" ref="BQ130">SUM(_xlfn.XLOOKUP(R130:AF130,增益!$A:$A,增益!$W:$W,0))+$I$5</f>
        <v>0.11</v>
      </c>
    </row>
    <row r="131" spans="11:69">
      <c r="K131" s="41">
        <f t="shared" si="42"/>
        <v>14506.1618366338</v>
      </c>
      <c r="L131" s="41">
        <f>((($AN131+$AO131)/2*$AH131+$AI131)*(1+$AP131)*(1+$AQ131)+(($AS131+$AT131)/2*IF($G$1="鸣金",$AJ131,$AH131)+IF($G$1="鸣金",$AK131*1.5,0))*(1+$AU131)*(1+$AV131)+(($AW131+$AX131)/2*IF($G$1="裂石",$AJ131,$AH131)+IF($G$1="裂石",$AK131*1.5,0))*(1+$AY131)*(1+$AZ131)+(($BA131+$BB131)/2*IF($G$1="牵丝",$AJ131,$AH131)+IF($G$1="牵丝",$AK131*1.5,0))*(1+$BC131)*(1+$BD131)+(($BE131+$BF131)/2*IF($G$1="破竹",$AJ131,$AH131)+IF($G$1="破竹",$AK131*1.5,0))*(1+$BG131)*(1+$BH131))*(1+$AL131)*$BK131*$P131*(1+IF(VLOOKUP($Q131,武学奇术!$A:$ZZ,30,FALSE)="弹道",$B$21,0))*(1+$BQ131)</f>
        <v>14239.325032349</v>
      </c>
      <c r="M131" s="41">
        <f>(($AO131*$AH131+$AI131)*(1+$AP131)*(1+$AQ131)+($AT131*IF($G$1="鸣金",$AJ131,$AH131)+IF($G$1="鸣金",$AK131*1.5,0))*(1+$AU131)*(1+$AV131)+($AX131*IF($G$1="裂石",$AJ131,$AH131)+IF($G$1="裂石",$AK131*1.5,0))*(1+$AY131)*(1+$AZ131)+($BB131*IF($G$1="牵丝",$AJ131,$AH131)+IF($G$1="牵丝",$AK131*1.5,0))*(1+$BC131)*(1+$BD131)+($BF131*IF($G$1="破竹",$AJ131,$AH131)+IF($G$1="破竹",$AK131*1.5,0))*(1+$BG131)*(1+$BH131))*(1+$AL131)*$BM131*$P131*(1+IF(VLOOKUP($Q131,武学奇术!$A:$ZZ,30,FALSE)="弹道",$B$21,0))*(1+$BQ131)</f>
        <v>17517.7006960399</v>
      </c>
      <c r="N131" s="41">
        <f>((($AN131+$AO131)/2*$AH131+$AI131)*(1+$AP131)*(1+$AQ131)+(($AS131+$AT131)/2*IF($G$1="鸣金",$AJ131,$AH131)+IF($G$1="鸣金",$AK131*1.5,0))*(1+$AU131)*(1+$AV131)+(($AW131+$AX131)/2*IF($G$1="裂石",$AJ131,$AH131)+IF($G$1="裂石",$AK131*1.5,0))*(1+$AY131)*(1+$AZ131)+(($BA131+$BB131)/2*IF($G$1="牵丝",$AJ131,$AH131)+IF($G$1="牵丝",$AK131*1.5,0))*(1+$BC131)*(1+$BD131)+(($BE131+$BF131)/2*IF($G$1="破竹",$AJ131,$AH131)+IF($G$1="破竹",$AK131*1.5,0))*(1+$BG131)*(1+$BH131))*(1+$AL131)*$P131*(1+IF(VLOOKUP($Q131,武学奇术!$A:$ZZ,30,FALSE)="弹道",$B$21,0))*(1+$BQ131)</f>
        <v>8899.57814521815</v>
      </c>
      <c r="O131" s="41">
        <f>((($AN131*$AH131+$AI131)*(1+$AP131)*(1+$AQ131)+($AS131*IF($G$1="鸣金",$AJ131,$AH131)+IF($G$1="鸣金",$AK131*1.5,0))*(1+$AU131)*(1+$AV131)+($AW131*IF($G$1="裂石",$AJ131,$AH131)+IF($G$1="裂石",$AK131*1.5,0))*(1+$AY131)*(1+$AZ131)+($BA131*IF($G$1="牵丝",$AJ131,$AH131)+IF($G$1="牵丝",$AK131*1.5,0))*(1+$BC131)*(1+$BD131)+($BE131*IF($G$1="破竹",$AJ131,$AH131)+IF($G$1="破竹",$AK131*1.5,0))*(1+$BG131)*(1+$BH131))*(1+$AL131))*$P131*(1+IF(VLOOKUP($Q131,武学奇术!$A:$ZZ,30,FALSE)="弹道",$B$21,0))*(1+$BQ131)</f>
        <v>4823.08170077711</v>
      </c>
      <c r="P131" s="42">
        <f t="shared" si="52"/>
        <v>1</v>
      </c>
      <c r="Q131" s="43" t="s">
        <v>187</v>
      </c>
      <c r="R131" s="43" t="s">
        <v>93</v>
      </c>
      <c r="S131" s="43" t="s">
        <v>158</v>
      </c>
      <c r="T131" s="43" t="s">
        <v>73</v>
      </c>
      <c r="U131" s="43" t="s">
        <v>159</v>
      </c>
      <c r="V131" s="43" t="s">
        <v>73</v>
      </c>
      <c r="W131" s="43" t="s">
        <v>73</v>
      </c>
      <c r="X131" s="43" t="s">
        <v>73</v>
      </c>
      <c r="Y131" s="43" t="s">
        <v>73</v>
      </c>
      <c r="Z131" s="43" t="s">
        <v>73</v>
      </c>
      <c r="AA131" s="43" t="s">
        <v>73</v>
      </c>
      <c r="AB131" s="43" t="s">
        <v>80</v>
      </c>
      <c r="AC131" s="43" t="s">
        <v>73</v>
      </c>
      <c r="AD131" s="43" t="s">
        <v>73</v>
      </c>
      <c r="AE131" s="43" t="s">
        <v>73</v>
      </c>
      <c r="AF131" s="43" t="s">
        <v>75</v>
      </c>
      <c r="AG131" t="str">
        <f>VLOOKUP($Q131,武学奇术!$A:$ZZ,25,FALSE)</f>
        <v>心法</v>
      </c>
      <c r="AH131" s="27">
        <f>VLOOKUP($Q131,武学奇术!$A:$ZZ,26,FALSE)</f>
        <v>1</v>
      </c>
      <c r="AI131" s="28">
        <f>VLOOKUP($Q131,武学奇术!$A:$ZZ,27,FALSE)*(1+IF(OR($AG131=$F$4,$AG131=$F$5),$B$22,0))</f>
        <v>0</v>
      </c>
      <c r="AJ131" s="27">
        <f>VLOOKUP($Q131,武学奇术!$A:$ZZ,28,FALSE)</f>
        <v>1</v>
      </c>
      <c r="AK131" s="28">
        <f>VLOOKUP($Q131,武学奇术!$A:$ZZ,29,FALSE)*(1+IF(OR($AG131=$F$4,$AG131=$F$5),$B$22,0))</f>
        <v>0</v>
      </c>
      <c r="AL131" s="27" cm="1">
        <f t="array" ref="AL131">$G$3+IFERROR(VLOOKUP($AG131,$F$4:$G$7,2,FALSE),0)+VLOOKUP($Q131,武学奇术!$A:$ZZ,2,FALSE)+SUM(_xlfn.XLOOKUP($R131:$AF131,增益!$A:$A,增益!$B:$B,0))</f>
        <v>0.2337</v>
      </c>
      <c r="AM131" s="27" cm="1">
        <f t="array" ref="AM131">VLOOKUP($Q131,武学奇术!$A:$ZZ,5,FALSE)+SUM(_xlfn.XLOOKUP($R131:$AF131,增益!$A:$A,增益!$E:$E,0))</f>
        <v>0.15</v>
      </c>
      <c r="AN131" cm="1">
        <f t="array" ref="AN131">$D$10*(1+$AM131)+VLOOKUP($Q131,武学奇术!$A:$ZZ,3,FALSE)+SUM(_xlfn.XLOOKUP($R131:$AF131,增益!$A:$A,增益!$C:$C,0))-$I$2</f>
        <v>2125.755</v>
      </c>
      <c r="AO131" cm="1">
        <f t="array" ref="AO131">$E$10*(1+$AM131)+VLOOKUP($Q131,武学奇术!$A:$ZZ,4,FALSE)+SUM(_xlfn.XLOOKUP($R131:$AF131,增益!$A:$A,增益!$D:$D,0))-$I$2</f>
        <v>6122.925</v>
      </c>
      <c r="AP131" s="35" cm="1">
        <f t="array" ref="AP131">IF($F$10-$I$3+VLOOKUP($Q131,武学奇术!$A:$ZZ,6,FALSE)+SUM(_xlfn.XLOOKUP(R131:AF131,增益!$A:$A,增益!$F:$F,0))&gt;0,($F$10-$I$3+VLOOKUP($Q131,武学奇术!$A:$ZZ,6,FALSE)+SUM(_xlfn.XLOOKUP(R131:AF131,增益!$A:$A,增益!$F:$F,0)))/200,($F$10-$I$3+VLOOKUP($Q131,武学奇术!$A:$ZZ,6,FALSE)+SUM(_xlfn.XLOOKUP(R131:AF131,增益!$A:$A,增益!$F:$F,0)))/100)</f>
        <v>0.3425</v>
      </c>
      <c r="AQ131" s="35" cm="1">
        <f t="array" ref="AQ131">$G$10+VLOOKUP($Q131,武学奇术!$A:$ZZ,7,FALSE)+SUM(_xlfn.XLOOKUP(R131:AF131,增益!$A:$A,增益!$G:$G,0))</f>
        <v>0</v>
      </c>
      <c r="AR131" s="27" cm="1">
        <f t="array" ref="AR131">VLOOKUP($Q131,武学奇术!$A:$ZZ,8,FALSE)+SUM(_xlfn.XLOOKUP(R131:AF131,增益!$A:$A,增益!$H:$H,0))</f>
        <v>0</v>
      </c>
      <c r="AS131">
        <f t="shared" si="43"/>
        <v>0</v>
      </c>
      <c r="AT131">
        <f t="shared" si="44"/>
        <v>0</v>
      </c>
      <c r="AU131" s="35" cm="1">
        <f t="array" ref="AU131">IF($F$11-$I$4+VLOOKUP($Q131,武学奇术!$A:$ZZ,9,FALSE)+SUM(_xlfn.XLOOKUP(R131:AF131,增益!$A:$A,增益!$I:$I,0))&gt;0,($F$11-$I$4+VLOOKUP($Q131,武学奇术!$A:$ZZ,9,FALSE)+SUM(_xlfn.XLOOKUP(R131:AF131,增益!$A:$A,增益!$I:$I,0)))/200,($F$11-$I$4+VLOOKUP($Q131,武学奇术!$A:$ZZ,9,FALSE)+SUM(_xlfn.XLOOKUP(R131:AF131,增益!$A:$A,增益!$I:$I,0)))/100)</f>
        <v>-0.14</v>
      </c>
      <c r="AV131" s="35" cm="1">
        <f t="array" ref="AV131">$G$11+VLOOKUP($Q131,武学奇术!$A:$ZZ,10,FALSE)+SUM(_xlfn.XLOOKUP(R131:AF131,增益!$A:$A,增益!$J:$J,0))</f>
        <v>0</v>
      </c>
      <c r="AW131">
        <f t="shared" si="45"/>
        <v>0</v>
      </c>
      <c r="AX131">
        <f t="shared" si="46"/>
        <v>0</v>
      </c>
      <c r="AY131" s="35" cm="1">
        <f t="array" ref="AY131">IF($F$12-$I$4+VLOOKUP($Q131,武学奇术!$A:$ZZ,11,FALSE)+SUM(_xlfn.XLOOKUP(R131:AF131,增益!$A:$A,增益!$K:$K,0))&gt;0,($F$12-$I$4+VLOOKUP($Q131,武学奇术!$A:$ZZ,11,FALSE)+SUM(_xlfn.XLOOKUP(R131:AF131,增益!$A:$A,增益!$K:$K,0)))/200,($F$12-$I$4+VLOOKUP($Q131,武学奇术!$A:$ZZ,11,FALSE)+SUM(_xlfn.XLOOKUP(R131:AF131,增益!$A:$A,增益!$K:$K,0)))/100)</f>
        <v>-0.14</v>
      </c>
      <c r="AZ131" s="35" cm="1">
        <f t="array" ref="AZ131">$G$12+VLOOKUP($Q131,武学奇术!$A:$ZZ,12,FALSE)+SUM(_xlfn.XLOOKUP(R131:AF131,增益!$A:$A,增益!$L:$L,0))</f>
        <v>0</v>
      </c>
      <c r="BA131">
        <f t="shared" si="47"/>
        <v>538</v>
      </c>
      <c r="BB131">
        <f t="shared" si="48"/>
        <v>1011</v>
      </c>
      <c r="BC131" s="35" cm="1">
        <f t="array" ref="BC131">IF($F$13-$I$4+VLOOKUP($Q131,武学奇术!$A:$ZZ,13,FALSE)+SUM(_xlfn.XLOOKUP(R131:AF131,增益!$A:$A,增益!$M:$M,0))&gt;0,($F$13-$I$4+VLOOKUP($Q131,武学奇术!$A:$ZZ,13,FALSE)+SUM(_xlfn.XLOOKUP(R131:AF131,增益!$A:$A,增益!$K:$K,0)))/200,($F$13-$I$4+VLOOKUP($Q131,武学奇术!$A:$ZZ,13,FALSE)+SUM(_xlfn.XLOOKUP(R131:AF131,增益!$A:$A,增益!$M:$M,0)))/100)</f>
        <v>0.08</v>
      </c>
      <c r="BD131" s="35" cm="1">
        <f t="array" ref="BD131">$G$13+VLOOKUP($Q131,武学奇术!$A:$ZZ,14,FALSE)+SUM(_xlfn.XLOOKUP(R131:AF131,增益!$A:$A,增益!$N:$N,0))</f>
        <v>0.15</v>
      </c>
      <c r="BE131">
        <f t="shared" si="49"/>
        <v>0</v>
      </c>
      <c r="BF131">
        <f t="shared" si="50"/>
        <v>0</v>
      </c>
      <c r="BG131" s="35" cm="1">
        <f t="array" ref="BG131">IF($F$14-$I$4+VLOOKUP($Q131,武学奇术!$A:$ZZ,15,FALSE)+SUM(_xlfn.XLOOKUP(R131:AF131,增益!$A:$A,增益!$O:$O,0))&gt;0,($F$14-$I$4+VLOOKUP($Q131,武学奇术!$A:$ZZ,15,FALSE)+SUM(_xlfn.XLOOKUP(R131:AF131,增益!$A:$A,增益!$O:$O,0)))/200,($F$14-$I$4+VLOOKUP($Q131,武学奇术!$A:$ZZ,15,FALSE)+SUM(_xlfn.XLOOKUP(R131:AF131,增益!$A:$A,增益!$O:$O,0)))/100)</f>
        <v>-0.14</v>
      </c>
      <c r="BH131" s="35" cm="1">
        <f t="array" ref="BH131">$G$14+VLOOKUP($Q131,武学奇术!$A:$ZZ,16,FALSE)+SUM(_xlfn.XLOOKUP(R131:AF131,增益!$A:$A,增益!$P:$P,0))</f>
        <v>0</v>
      </c>
      <c r="BI131" s="27">
        <f>MIN(IF(VLOOKUP($Q131,武学奇术!$A:$ZZ,23,FALSE)=1,100%,$B$8),100%)</f>
        <v>0.9969</v>
      </c>
      <c r="BJ131" s="27" cm="1">
        <f t="array" ref="BJ131">IF(VLOOKUP($Q131,武学奇术!$A:$ZZ,23,FALSE)=1,100%,MIN(80%,$B$9+VLOOKUP($Q131,武学奇术!$A:$ZZ,17,FALSE)+SUM(_xlfn.XLOOKUP(R131:AF131,增益!$A:$A,增益!$Q:$Q,0)))+$B$11+SUM(_xlfn.XLOOKUP(R131:AF131,增益!$A:$A,增益!$U:$U,0)))*IF(VLOOKUP($Q131,武学奇术!$A:$ZZ,24,FALSE)=1,0,1)</f>
        <v>0.9137</v>
      </c>
      <c r="BK131" s="27" cm="1">
        <f t="array" ref="BK131">1+$B$13+VLOOKUP($Q131,武学奇术!$A:$ZZ,18,FALSE)+SUM(_xlfn.XLOOKUP(R131:AF131,增益!$A:$A,增益!$R:$R,0))</f>
        <v>1.6</v>
      </c>
      <c r="BL131" s="27" cm="1">
        <f t="array" ref="BL131">IF(VLOOKUP($Q131,武学奇术!$A:$ZZ,24,FALSE)=1,100%,MIN(40%,$B$10+VLOOKUP($Q131,武学奇术!$A:$ZZ,19,FALSE)+SUM(_xlfn.XLOOKUP(R131:AF131,增益!$A:$A,增益!$S:$S,0)))+$B$12+SUM(_xlfn.XLOOKUP(R131:AF131,增益!$A:$A,增益!$V:$V,0)))*IF(VLOOKUP($Q131,武学奇术!$A:$ZZ,23,FALSE)=1,0,1)</f>
        <v>0.0895</v>
      </c>
      <c r="BM131" s="27" cm="1">
        <f t="array" ref="BM131">1+$B$14+VLOOKUP($Q131,武学奇术!$A:$ZZ,20,FALSE)+SUM(_xlfn.XLOOKUP(R131:AF131,增益!$A:$A,增益!$T:$T,0))</f>
        <v>1.35</v>
      </c>
      <c r="BN131" s="27">
        <f t="shared" si="51"/>
        <v>0.90767745</v>
      </c>
      <c r="BO131" s="27">
        <f t="shared" ref="BO131:BO136" si="53">1-BL131-BN131-BP131</f>
        <v>-1.30104260698261e-17</v>
      </c>
      <c r="BP131" s="27">
        <f>IF(VLOOKUP($Q131,武学奇术!$A:$ZZ,22,FALSE)=1,0,(1-$BI131))*(1-$BL131)</f>
        <v>0.00282254999999999</v>
      </c>
      <c r="BQ131" s="27" cm="1">
        <f t="array" ref="BQ131">SUM(_xlfn.XLOOKUP(R131:AF131,增益!$A:$A,增益!$W:$W,0))+$I$5</f>
        <v>0.11</v>
      </c>
    </row>
    <row r="132" spans="11:69">
      <c r="K132" s="41">
        <f t="shared" si="42"/>
        <v>13435.8672891717</v>
      </c>
      <c r="L132" s="41">
        <f>((($AN132+$AO132)/2*$AH132+$AI132)*(1+$AP132)*(1+$AQ132)+(($AS132+$AT132)/2*IF($G$1="鸣金",$AJ132,$AH132)+IF($G$1="鸣金",$AK132*1.5,0))*(1+$AU132)*(1+$AV132)+(($AW132+$AX132)/2*IF($G$1="裂石",$AJ132,$AH132)+IF($G$1="裂石",$AK132*1.5,0))*(1+$AY132)*(1+$AZ132)+(($BA132+$BB132)/2*IF($G$1="牵丝",$AJ132,$AH132)+IF($G$1="牵丝",$AK132*1.5,0))*(1+$BC132)*(1+$BD132)+(($BE132+$BF132)/2*IF($G$1="破竹",$AJ132,$AH132)+IF($G$1="破竹",$AK132*1.5,0))*(1+$BG132)*(1+$BH132))*(1+$AL132)*$BK132*$P132*(1+IF(VLOOKUP($Q132,武学奇术!$A:$ZZ,30,FALSE)="弹道",$B$21,0))*(1+$BQ132)</f>
        <v>13184.9622182569</v>
      </c>
      <c r="M132" s="41">
        <f>(($AO132*$AH132+$AI132)*(1+$AP132)*(1+$AQ132)+($AT132*IF($G$1="鸣金",$AJ132,$AH132)+IF($G$1="鸣金",$AK132*1.5,0))*(1+$AU132)*(1+$AV132)+($AX132*IF($G$1="裂石",$AJ132,$AH132)+IF($G$1="裂石",$AK132*1.5,0))*(1+$AY132)*(1+$AZ132)+($BB132*IF($G$1="牵丝",$AJ132,$AH132)+IF($G$1="牵丝",$AK132*1.5,0))*(1+$BC132)*(1+$BD132)+($BF132*IF($G$1="破竹",$AJ132,$AH132)+IF($G$1="破竹",$AK132*1.5,0))*(1+$BG132)*(1+$BH132))*(1+$AL132)*$BM132*$P132*(1+IF(VLOOKUP($Q132,武学奇术!$A:$ZZ,30,FALSE)="弹道",$B$21,0))*(1+$BQ132)</f>
        <v>16264.3637539438</v>
      </c>
      <c r="N132" s="41">
        <f>((($AN132+$AO132)/2*$AH132+$AI132)*(1+$AP132)*(1+$AQ132)+(($AS132+$AT132)/2*IF($G$1="鸣金",$AJ132,$AH132)+IF($G$1="鸣金",$AK132*1.5,0))*(1+$AU132)*(1+$AV132)+(($AW132+$AX132)/2*IF($G$1="裂石",$AJ132,$AH132)+IF($G$1="裂石",$AK132*1.5,0))*(1+$AY132)*(1+$AZ132)+(($BA132+$BB132)/2*IF($G$1="牵丝",$AJ132,$AH132)+IF($G$1="牵丝",$AK132*1.5,0))*(1+$BC132)*(1+$BD132)+(($BE132+$BF132)/2*IF($G$1="破竹",$AJ132,$AH132)+IF($G$1="破竹",$AK132*1.5,0))*(1+$BG132)*(1+$BH132))*(1+$AL132)*$P132*(1+IF(VLOOKUP($Q132,武学奇术!$A:$ZZ,30,FALSE)="弹道",$B$21,0))*(1+$BQ132)</f>
        <v>8240.60138641058</v>
      </c>
      <c r="O132" s="41">
        <f>((($AN132*$AH132+$AI132)*(1+$AP132)*(1+$AQ132)+($AS132*IF($G$1="鸣金",$AJ132,$AH132)+IF($G$1="鸣金",$AK132*1.5,0))*(1+$AU132)*(1+$AV132)+($AW132*IF($G$1="裂石",$AJ132,$AH132)+IF($G$1="裂石",$AK132*1.5,0))*(1+$AY132)*(1+$AZ132)+($BA132*IF($G$1="牵丝",$AJ132,$AH132)+IF($G$1="牵丝",$AK132*1.5,0))*(1+$BC132)*(1+$BD132)+($BE132*IF($G$1="破竹",$AJ132,$AH132)+IF($G$1="破竹",$AK132*1.5,0))*(1+$BG132)*(1+$BH132))*(1+$AL132))*$P132*(1+IF(VLOOKUP($Q132,武学奇术!$A:$ZZ,30,FALSE)="弹道",$B$21,0))*(1+$BQ132)</f>
        <v>4433.52591804793</v>
      </c>
      <c r="P132" s="42">
        <f t="shared" si="52"/>
        <v>1</v>
      </c>
      <c r="Q132" s="43" t="s">
        <v>187</v>
      </c>
      <c r="R132" s="43" t="s">
        <v>93</v>
      </c>
      <c r="S132" s="43" t="s">
        <v>158</v>
      </c>
      <c r="T132" s="43" t="s">
        <v>73</v>
      </c>
      <c r="U132" s="43" t="s">
        <v>86</v>
      </c>
      <c r="V132" s="43" t="s">
        <v>73</v>
      </c>
      <c r="W132" s="43" t="s">
        <v>73</v>
      </c>
      <c r="X132" s="43" t="s">
        <v>73</v>
      </c>
      <c r="Y132" s="43" t="s">
        <v>73</v>
      </c>
      <c r="Z132" s="43" t="s">
        <v>73</v>
      </c>
      <c r="AA132" s="43" t="s">
        <v>73</v>
      </c>
      <c r="AB132" s="43" t="s">
        <v>73</v>
      </c>
      <c r="AC132" s="43" t="s">
        <v>73</v>
      </c>
      <c r="AD132" s="43" t="s">
        <v>73</v>
      </c>
      <c r="AE132" s="43" t="s">
        <v>73</v>
      </c>
      <c r="AF132" s="43" t="s">
        <v>75</v>
      </c>
      <c r="AG132" t="str">
        <f>VLOOKUP($Q132,武学奇术!$A:$ZZ,25,FALSE)</f>
        <v>心法</v>
      </c>
      <c r="AH132" s="27">
        <f>VLOOKUP($Q132,武学奇术!$A:$ZZ,26,FALSE)</f>
        <v>1</v>
      </c>
      <c r="AI132" s="28">
        <f>VLOOKUP($Q132,武学奇术!$A:$ZZ,27,FALSE)*(1+IF(OR($AG132=$F$4,$AG132=$F$5),$B$22,0))</f>
        <v>0</v>
      </c>
      <c r="AJ132" s="27">
        <f>VLOOKUP($Q132,武学奇术!$A:$ZZ,28,FALSE)</f>
        <v>1</v>
      </c>
      <c r="AK132" s="28">
        <f>VLOOKUP($Q132,武学奇术!$A:$ZZ,29,FALSE)*(1+IF(OR($AG132=$F$4,$AG132=$F$5),$B$22,0))</f>
        <v>0</v>
      </c>
      <c r="AL132" s="27" cm="1">
        <f t="array" ref="AL132">$G$3+IFERROR(VLOOKUP($AG132,$F$4:$G$7,2,FALSE),0)+VLOOKUP($Q132,武学奇术!$A:$ZZ,2,FALSE)+SUM(_xlfn.XLOOKUP($R132:$AF132,增益!$A:$A,增益!$B:$B,0))</f>
        <v>0.2337</v>
      </c>
      <c r="AM132" s="27" cm="1">
        <f t="array" ref="AM132">VLOOKUP($Q132,武学奇术!$A:$ZZ,5,FALSE)+SUM(_xlfn.XLOOKUP($R132:$AF132,增益!$A:$A,增益!$E:$E,0))</f>
        <v>0.075</v>
      </c>
      <c r="AN132" cm="1">
        <f t="array" ref="AN132">$D$10*(1+$AM132)+VLOOKUP($Q132,武学奇术!$A:$ZZ,3,FALSE)+SUM(_xlfn.XLOOKUP($R132:$AF132,增益!$A:$A,增益!$C:$C,0))-$I$2</f>
        <v>1950.7275</v>
      </c>
      <c r="AO132" cm="1">
        <f t="array" ref="AO132">$E$10*(1+$AM132)+VLOOKUP($Q132,武学奇术!$A:$ZZ,4,FALSE)+SUM(_xlfn.XLOOKUP($R132:$AF132,增益!$A:$A,增益!$D:$D,0))-$I$2</f>
        <v>5687.2125</v>
      </c>
      <c r="AP132" s="35" cm="1">
        <f t="array" ref="AP132">IF($F$10-$I$3+VLOOKUP($Q132,武学奇术!$A:$ZZ,6,FALSE)+SUM(_xlfn.XLOOKUP(R132:AF132,增益!$A:$A,增益!$F:$F,0))&gt;0,($F$10-$I$3+VLOOKUP($Q132,武学奇术!$A:$ZZ,6,FALSE)+SUM(_xlfn.XLOOKUP(R132:AF132,增益!$A:$A,增益!$F:$F,0)))/200,($F$10-$I$3+VLOOKUP($Q132,武学奇术!$A:$ZZ,6,FALSE)+SUM(_xlfn.XLOOKUP(R132:AF132,增益!$A:$A,增益!$F:$F,0)))/100)</f>
        <v>0.3425</v>
      </c>
      <c r="AQ132" s="35" cm="1">
        <f t="array" ref="AQ132">$G$10+VLOOKUP($Q132,武学奇术!$A:$ZZ,7,FALSE)+SUM(_xlfn.XLOOKUP(R132:AF132,增益!$A:$A,增益!$G:$G,0))</f>
        <v>0</v>
      </c>
      <c r="AR132" s="27" cm="1">
        <f t="array" ref="AR132">VLOOKUP($Q132,武学奇术!$A:$ZZ,8,FALSE)+SUM(_xlfn.XLOOKUP(R132:AF132,增益!$A:$A,增益!$H:$H,0))</f>
        <v>0</v>
      </c>
      <c r="AS132">
        <f t="shared" si="43"/>
        <v>0</v>
      </c>
      <c r="AT132">
        <f t="shared" si="44"/>
        <v>0</v>
      </c>
      <c r="AU132" s="35" cm="1">
        <f t="array" ref="AU132">IF($F$11-$I$4+VLOOKUP($Q132,武学奇术!$A:$ZZ,9,FALSE)+SUM(_xlfn.XLOOKUP(R132:AF132,增益!$A:$A,增益!$I:$I,0))&gt;0,($F$11-$I$4+VLOOKUP($Q132,武学奇术!$A:$ZZ,9,FALSE)+SUM(_xlfn.XLOOKUP(R132:AF132,增益!$A:$A,增益!$I:$I,0)))/200,($F$11-$I$4+VLOOKUP($Q132,武学奇术!$A:$ZZ,9,FALSE)+SUM(_xlfn.XLOOKUP(R132:AF132,增益!$A:$A,增益!$I:$I,0)))/100)</f>
        <v>-0.3</v>
      </c>
      <c r="AV132" s="35" cm="1">
        <f t="array" ref="AV132">$G$11+VLOOKUP($Q132,武学奇术!$A:$ZZ,10,FALSE)+SUM(_xlfn.XLOOKUP(R132:AF132,增益!$A:$A,增益!$J:$J,0))</f>
        <v>0</v>
      </c>
      <c r="AW132">
        <f t="shared" si="45"/>
        <v>0</v>
      </c>
      <c r="AX132">
        <f t="shared" si="46"/>
        <v>0</v>
      </c>
      <c r="AY132" s="35" cm="1">
        <f t="array" ref="AY132">IF($F$12-$I$4+VLOOKUP($Q132,武学奇术!$A:$ZZ,11,FALSE)+SUM(_xlfn.XLOOKUP(R132:AF132,增益!$A:$A,增益!$K:$K,0))&gt;0,($F$12-$I$4+VLOOKUP($Q132,武学奇术!$A:$ZZ,11,FALSE)+SUM(_xlfn.XLOOKUP(R132:AF132,增益!$A:$A,增益!$K:$K,0)))/200,($F$12-$I$4+VLOOKUP($Q132,武学奇术!$A:$ZZ,11,FALSE)+SUM(_xlfn.XLOOKUP(R132:AF132,增益!$A:$A,增益!$K:$K,0)))/100)</f>
        <v>-0.3</v>
      </c>
      <c r="AZ132" s="35" cm="1">
        <f t="array" ref="AZ132">$G$12+VLOOKUP($Q132,武学奇术!$A:$ZZ,12,FALSE)+SUM(_xlfn.XLOOKUP(R132:AF132,增益!$A:$A,增益!$L:$L,0))</f>
        <v>0</v>
      </c>
      <c r="BA132">
        <f t="shared" si="47"/>
        <v>538</v>
      </c>
      <c r="BB132">
        <f t="shared" si="48"/>
        <v>1011</v>
      </c>
      <c r="BC132" s="35" cm="1">
        <f t="array" ref="BC132">IF($F$13-$I$4+VLOOKUP($Q132,武学奇术!$A:$ZZ,13,FALSE)+SUM(_xlfn.XLOOKUP(R132:AF132,增益!$A:$A,增益!$M:$M,0))&gt;0,($F$13-$I$4+VLOOKUP($Q132,武学奇术!$A:$ZZ,13,FALSE)+SUM(_xlfn.XLOOKUP(R132:AF132,增益!$A:$A,增益!$K:$K,0)))/200,($F$13-$I$4+VLOOKUP($Q132,武学奇术!$A:$ZZ,13,FALSE)+SUM(_xlfn.XLOOKUP(R132:AF132,增益!$A:$A,增益!$M:$M,0)))/100)</f>
        <v>0</v>
      </c>
      <c r="BD132" s="35" cm="1">
        <f t="array" ref="BD132">$G$13+VLOOKUP($Q132,武学奇术!$A:$ZZ,14,FALSE)+SUM(_xlfn.XLOOKUP(R132:AF132,增益!$A:$A,增益!$N:$N,0))</f>
        <v>0.15</v>
      </c>
      <c r="BE132">
        <f t="shared" si="49"/>
        <v>0</v>
      </c>
      <c r="BF132">
        <f t="shared" si="50"/>
        <v>0</v>
      </c>
      <c r="BG132" s="35" cm="1">
        <f t="array" ref="BG132">IF($F$14-$I$4+VLOOKUP($Q132,武学奇术!$A:$ZZ,15,FALSE)+SUM(_xlfn.XLOOKUP(R132:AF132,增益!$A:$A,增益!$O:$O,0))&gt;0,($F$14-$I$4+VLOOKUP($Q132,武学奇术!$A:$ZZ,15,FALSE)+SUM(_xlfn.XLOOKUP(R132:AF132,增益!$A:$A,增益!$O:$O,0)))/200,($F$14-$I$4+VLOOKUP($Q132,武学奇术!$A:$ZZ,15,FALSE)+SUM(_xlfn.XLOOKUP(R132:AF132,增益!$A:$A,增益!$O:$O,0)))/100)</f>
        <v>-0.3</v>
      </c>
      <c r="BH132" s="35" cm="1">
        <f t="array" ref="BH132">$G$14+VLOOKUP($Q132,武学奇术!$A:$ZZ,16,FALSE)+SUM(_xlfn.XLOOKUP(R132:AF132,增益!$A:$A,增益!$P:$P,0))</f>
        <v>0</v>
      </c>
      <c r="BI132" s="27">
        <f>MIN(IF(VLOOKUP($Q132,武学奇术!$A:$ZZ,23,FALSE)=1,100%,$B$8),100%)</f>
        <v>0.9969</v>
      </c>
      <c r="BJ132" s="27" cm="1">
        <f t="array" ref="BJ132">IF(VLOOKUP($Q132,武学奇术!$A:$ZZ,23,FALSE)=1,100%,MIN(80%,$B$9+VLOOKUP($Q132,武学奇术!$A:$ZZ,17,FALSE)+SUM(_xlfn.XLOOKUP(R132:AF132,增益!$A:$A,增益!$Q:$Q,0)))+$B$11+SUM(_xlfn.XLOOKUP(R132:AF132,增益!$A:$A,增益!$U:$U,0)))*IF(VLOOKUP($Q132,武学奇术!$A:$ZZ,24,FALSE)=1,0,1)</f>
        <v>0.9137</v>
      </c>
      <c r="BK132" s="27" cm="1">
        <f t="array" ref="BK132">1+$B$13+VLOOKUP($Q132,武学奇术!$A:$ZZ,18,FALSE)+SUM(_xlfn.XLOOKUP(R132:AF132,增益!$A:$A,增益!$R:$R,0))</f>
        <v>1.6</v>
      </c>
      <c r="BL132" s="27" cm="1">
        <f t="array" ref="BL132">IF(VLOOKUP($Q132,武学奇术!$A:$ZZ,24,FALSE)=1,100%,MIN(40%,$B$10+VLOOKUP($Q132,武学奇术!$A:$ZZ,19,FALSE)+SUM(_xlfn.XLOOKUP(R132:AF132,增益!$A:$A,增益!$S:$S,0)))+$B$12+SUM(_xlfn.XLOOKUP(R132:AF132,增益!$A:$A,增益!$V:$V,0)))*IF(VLOOKUP($Q132,武学奇术!$A:$ZZ,23,FALSE)=1,0,1)</f>
        <v>0.0895</v>
      </c>
      <c r="BM132" s="27" cm="1">
        <f t="array" ref="BM132">1+$B$14+VLOOKUP($Q132,武学奇术!$A:$ZZ,20,FALSE)+SUM(_xlfn.XLOOKUP(R132:AF132,增益!$A:$A,增益!$T:$T,0))</f>
        <v>1.35</v>
      </c>
      <c r="BN132" s="27">
        <f t="shared" si="51"/>
        <v>0.90767745</v>
      </c>
      <c r="BO132" s="27">
        <f t="shared" si="53"/>
        <v>-1.30104260698261e-17</v>
      </c>
      <c r="BP132" s="27">
        <f>IF(VLOOKUP($Q132,武学奇术!$A:$ZZ,22,FALSE)=1,0,(1-$BI132))*(1-$BL132)</f>
        <v>0.00282254999999999</v>
      </c>
      <c r="BQ132" s="27" cm="1">
        <f t="array" ref="BQ132">SUM(_xlfn.XLOOKUP(R132:AF132,增益!$A:$A,增益!$W:$W,0))+$I$5</f>
        <v>0.11</v>
      </c>
    </row>
    <row r="133" spans="11:69">
      <c r="K133" s="41">
        <f t="shared" si="42"/>
        <v>13593.1558958638</v>
      </c>
      <c r="L133" s="41">
        <f>((($AN133+$AO133)/2*$AH133+$AI133)*(1+$AP133)*(1+$AQ133)+(($AS133+$AT133)/2*IF($G$1="鸣金",$AJ133,$AH133)+IF($G$1="鸣金",$AK133*1.5,0))*(1+$AU133)*(1+$AV133)+(($AW133+$AX133)/2*IF($G$1="裂石",$AJ133,$AH133)+IF($G$1="裂石",$AK133*1.5,0))*(1+$AY133)*(1+$AZ133)+(($BA133+$BB133)/2*IF($G$1="牵丝",$AJ133,$AH133)+IF($G$1="牵丝",$AK133*1.5,0))*(1+$BC133)*(1+$BD133)+(($BE133+$BF133)/2*IF($G$1="破竹",$AJ133,$AH133)+IF($G$1="破竹",$AK133*1.5,0))*(1+$BG133)*(1+$BH133))*(1+$AL133)*$BK133*$P133*(1+IF(VLOOKUP($Q133,武学奇术!$A:$ZZ,30,FALSE)="弹道",$B$21,0))*(1+$BQ133)</f>
        <v>13341.0833804617</v>
      </c>
      <c r="M133" s="41">
        <f>(($AO133*$AH133+$AI133)*(1+$AP133)*(1+$AQ133)+($AT133*IF($G$1="鸣金",$AJ133,$AH133)+IF($G$1="鸣金",$AK133*1.5,0))*(1+$AU133)*(1+$AV133)+($AX133*IF($G$1="裂石",$AJ133,$AH133)+IF($G$1="裂石",$AK133*1.5,0))*(1+$AY133)*(1+$AZ133)+($BB133*IF($G$1="牵丝",$AJ133,$AH133)+IF($G$1="牵丝",$AK133*1.5,0))*(1+$BC133)*(1+$BD133)+($BF133*IF($G$1="破竹",$AJ133,$AH133)+IF($G$1="破竹",$AK133*1.5,0))*(1+$BG133)*(1+$BH133))*(1+$AL133)*$BM133*$P133*(1+IF(VLOOKUP($Q133,武学奇术!$A:$ZZ,30,FALSE)="弹道",$B$21,0))*(1+$BQ133)</f>
        <v>16436.3149871872</v>
      </c>
      <c r="N133" s="41">
        <f>((($AN133+$AO133)/2*$AH133+$AI133)*(1+$AP133)*(1+$AQ133)+(($AS133+$AT133)/2*IF($G$1="鸣金",$AJ133,$AH133)+IF($G$1="鸣金",$AK133*1.5,0))*(1+$AU133)*(1+$AV133)+(($AW133+$AX133)/2*IF($G$1="裂石",$AJ133,$AH133)+IF($G$1="裂石",$AK133*1.5,0))*(1+$AY133)*(1+$AZ133)+(($BA133+$BB133)/2*IF($G$1="牵丝",$AJ133,$AH133)+IF($G$1="牵丝",$AK133*1.5,0))*(1+$BC133)*(1+$BD133)+(($BE133+$BF133)/2*IF($G$1="破竹",$AJ133,$AH133)+IF($G$1="破竹",$AK133*1.5,0))*(1+$BG133)*(1+$BH133))*(1+$AL133)*$P133*(1+IF(VLOOKUP($Q133,武学奇术!$A:$ZZ,30,FALSE)="弹道",$B$21,0))*(1+$BQ133)</f>
        <v>8338.17711278857</v>
      </c>
      <c r="O133" s="41">
        <f>((($AN133*$AH133+$AI133)*(1+$AP133)*(1+$AQ133)+($AS133*IF($G$1="鸣金",$AJ133,$AH133)+IF($G$1="鸣金",$AK133*1.5,0))*(1+$AU133)*(1+$AV133)+($AW133*IF($G$1="裂石",$AJ133,$AH133)+IF($G$1="裂石",$AK133*1.5,0))*(1+$AY133)*(1+$AZ133)+($BA133*IF($G$1="牵丝",$AJ133,$AH133)+IF($G$1="牵丝",$AK133*1.5,0))*(1+$BC133)*(1+$BD133)+($BE133*IF($G$1="破竹",$AJ133,$AH133)+IF($G$1="破竹",$AK133*1.5,0))*(1+$BG133)*(1+$BH133))*(1+$AL133))*$P133*(1+IF(VLOOKUP($Q133,武学奇术!$A:$ZZ,30,FALSE)="弹道",$B$21,0))*(1+$BQ133)</f>
        <v>4501.30608691993</v>
      </c>
      <c r="P133" s="42">
        <f t="shared" si="52"/>
        <v>1</v>
      </c>
      <c r="Q133" s="43" t="s">
        <v>187</v>
      </c>
      <c r="R133" s="43" t="s">
        <v>93</v>
      </c>
      <c r="S133" s="43" t="s">
        <v>158</v>
      </c>
      <c r="T133" s="43" t="s">
        <v>73</v>
      </c>
      <c r="U133" s="43" t="s">
        <v>86</v>
      </c>
      <c r="V133" s="43" t="s">
        <v>73</v>
      </c>
      <c r="W133" s="43" t="s">
        <v>73</v>
      </c>
      <c r="X133" s="43" t="s">
        <v>73</v>
      </c>
      <c r="Y133" s="43" t="s">
        <v>73</v>
      </c>
      <c r="Z133" s="43" t="s">
        <v>73</v>
      </c>
      <c r="AA133" s="43" t="s">
        <v>73</v>
      </c>
      <c r="AB133" s="43" t="s">
        <v>80</v>
      </c>
      <c r="AC133" s="43" t="s">
        <v>73</v>
      </c>
      <c r="AD133" s="43" t="s">
        <v>73</v>
      </c>
      <c r="AE133" s="43" t="s">
        <v>73</v>
      </c>
      <c r="AF133" s="43" t="s">
        <v>75</v>
      </c>
      <c r="AG133" t="str">
        <f>VLOOKUP($Q133,武学奇术!$A:$ZZ,25,FALSE)</f>
        <v>心法</v>
      </c>
      <c r="AH133" s="27">
        <f>VLOOKUP($Q133,武学奇术!$A:$ZZ,26,FALSE)</f>
        <v>1</v>
      </c>
      <c r="AI133" s="28">
        <f>VLOOKUP($Q133,武学奇术!$A:$ZZ,27,FALSE)*(1+IF(OR($AG133=$F$4,$AG133=$F$5),$B$22,0))</f>
        <v>0</v>
      </c>
      <c r="AJ133" s="27">
        <f>VLOOKUP($Q133,武学奇术!$A:$ZZ,28,FALSE)</f>
        <v>1</v>
      </c>
      <c r="AK133" s="28">
        <f>VLOOKUP($Q133,武学奇术!$A:$ZZ,29,FALSE)*(1+IF(OR($AG133=$F$4,$AG133=$F$5),$B$22,0))</f>
        <v>0</v>
      </c>
      <c r="AL133" s="27" cm="1">
        <f t="array" ref="AL133">$G$3+IFERROR(VLOOKUP($AG133,$F$4:$G$7,2,FALSE),0)+VLOOKUP($Q133,武学奇术!$A:$ZZ,2,FALSE)+SUM(_xlfn.XLOOKUP($R133:$AF133,增益!$A:$A,增益!$B:$B,0))</f>
        <v>0.2337</v>
      </c>
      <c r="AM133" s="27" cm="1">
        <f t="array" ref="AM133">VLOOKUP($Q133,武学奇术!$A:$ZZ,5,FALSE)+SUM(_xlfn.XLOOKUP($R133:$AF133,增益!$A:$A,增益!$E:$E,0))</f>
        <v>0.075</v>
      </c>
      <c r="AN133" cm="1">
        <f t="array" ref="AN133">$D$10*(1+$AM133)+VLOOKUP($Q133,武学奇术!$A:$ZZ,3,FALSE)+SUM(_xlfn.XLOOKUP($R133:$AF133,增益!$A:$A,增益!$C:$C,0))-$I$2</f>
        <v>1950.7275</v>
      </c>
      <c r="AO133" cm="1">
        <f t="array" ref="AO133">$E$10*(1+$AM133)+VLOOKUP($Q133,武学奇术!$A:$ZZ,4,FALSE)+SUM(_xlfn.XLOOKUP($R133:$AF133,增益!$A:$A,增益!$D:$D,0))-$I$2</f>
        <v>5687.2125</v>
      </c>
      <c r="AP133" s="35" cm="1">
        <f t="array" ref="AP133">IF($F$10-$I$3+VLOOKUP($Q133,武学奇术!$A:$ZZ,6,FALSE)+SUM(_xlfn.XLOOKUP(R133:AF133,增益!$A:$A,增益!$F:$F,0))&gt;0,($F$10-$I$3+VLOOKUP($Q133,武学奇术!$A:$ZZ,6,FALSE)+SUM(_xlfn.XLOOKUP(R133:AF133,增益!$A:$A,增益!$F:$F,0)))/200,($F$10-$I$3+VLOOKUP($Q133,武学奇术!$A:$ZZ,6,FALSE)+SUM(_xlfn.XLOOKUP(R133:AF133,增益!$A:$A,增益!$F:$F,0)))/100)</f>
        <v>0.3425</v>
      </c>
      <c r="AQ133" s="35" cm="1">
        <f t="array" ref="AQ133">$G$10+VLOOKUP($Q133,武学奇术!$A:$ZZ,7,FALSE)+SUM(_xlfn.XLOOKUP(R133:AF133,增益!$A:$A,增益!$G:$G,0))</f>
        <v>0</v>
      </c>
      <c r="AR133" s="27" cm="1">
        <f t="array" ref="AR133">VLOOKUP($Q133,武学奇术!$A:$ZZ,8,FALSE)+SUM(_xlfn.XLOOKUP(R133:AF133,增益!$A:$A,增益!$H:$H,0))</f>
        <v>0</v>
      </c>
      <c r="AS133">
        <f t="shared" si="43"/>
        <v>0</v>
      </c>
      <c r="AT133">
        <f t="shared" si="44"/>
        <v>0</v>
      </c>
      <c r="AU133" s="35" cm="1">
        <f t="array" ref="AU133">IF($F$11-$I$4+VLOOKUP($Q133,武学奇术!$A:$ZZ,9,FALSE)+SUM(_xlfn.XLOOKUP(R133:AF133,增益!$A:$A,增益!$I:$I,0))&gt;0,($F$11-$I$4+VLOOKUP($Q133,武学奇术!$A:$ZZ,9,FALSE)+SUM(_xlfn.XLOOKUP(R133:AF133,增益!$A:$A,增益!$I:$I,0)))/200,($F$11-$I$4+VLOOKUP($Q133,武学奇术!$A:$ZZ,9,FALSE)+SUM(_xlfn.XLOOKUP(R133:AF133,增益!$A:$A,增益!$I:$I,0)))/100)</f>
        <v>-0.14</v>
      </c>
      <c r="AV133" s="35" cm="1">
        <f t="array" ref="AV133">$G$11+VLOOKUP($Q133,武学奇术!$A:$ZZ,10,FALSE)+SUM(_xlfn.XLOOKUP(R133:AF133,增益!$A:$A,增益!$J:$J,0))</f>
        <v>0</v>
      </c>
      <c r="AW133">
        <f t="shared" si="45"/>
        <v>0</v>
      </c>
      <c r="AX133">
        <f t="shared" si="46"/>
        <v>0</v>
      </c>
      <c r="AY133" s="35" cm="1">
        <f t="array" ref="AY133">IF($F$12-$I$4+VLOOKUP($Q133,武学奇术!$A:$ZZ,11,FALSE)+SUM(_xlfn.XLOOKUP(R133:AF133,增益!$A:$A,增益!$K:$K,0))&gt;0,($F$12-$I$4+VLOOKUP($Q133,武学奇术!$A:$ZZ,11,FALSE)+SUM(_xlfn.XLOOKUP(R133:AF133,增益!$A:$A,增益!$K:$K,0)))/200,($F$12-$I$4+VLOOKUP($Q133,武学奇术!$A:$ZZ,11,FALSE)+SUM(_xlfn.XLOOKUP(R133:AF133,增益!$A:$A,增益!$K:$K,0)))/100)</f>
        <v>-0.14</v>
      </c>
      <c r="AZ133" s="35" cm="1">
        <f t="array" ref="AZ133">$G$12+VLOOKUP($Q133,武学奇术!$A:$ZZ,12,FALSE)+SUM(_xlfn.XLOOKUP(R133:AF133,增益!$A:$A,增益!$L:$L,0))</f>
        <v>0</v>
      </c>
      <c r="BA133">
        <f t="shared" si="47"/>
        <v>538</v>
      </c>
      <c r="BB133">
        <f t="shared" si="48"/>
        <v>1011</v>
      </c>
      <c r="BC133" s="35" cm="1">
        <f t="array" ref="BC133">IF($F$13-$I$4+VLOOKUP($Q133,武学奇术!$A:$ZZ,13,FALSE)+SUM(_xlfn.XLOOKUP(R133:AF133,增益!$A:$A,增益!$M:$M,0))&gt;0,($F$13-$I$4+VLOOKUP($Q133,武学奇术!$A:$ZZ,13,FALSE)+SUM(_xlfn.XLOOKUP(R133:AF133,增益!$A:$A,增益!$K:$K,0)))/200,($F$13-$I$4+VLOOKUP($Q133,武学奇术!$A:$ZZ,13,FALSE)+SUM(_xlfn.XLOOKUP(R133:AF133,增益!$A:$A,增益!$M:$M,0)))/100)</f>
        <v>0.08</v>
      </c>
      <c r="BD133" s="35" cm="1">
        <f t="array" ref="BD133">$G$13+VLOOKUP($Q133,武学奇术!$A:$ZZ,14,FALSE)+SUM(_xlfn.XLOOKUP(R133:AF133,增益!$A:$A,增益!$N:$N,0))</f>
        <v>0.15</v>
      </c>
      <c r="BE133">
        <f t="shared" si="49"/>
        <v>0</v>
      </c>
      <c r="BF133">
        <f t="shared" si="50"/>
        <v>0</v>
      </c>
      <c r="BG133" s="35" cm="1">
        <f t="array" ref="BG133">IF($F$14-$I$4+VLOOKUP($Q133,武学奇术!$A:$ZZ,15,FALSE)+SUM(_xlfn.XLOOKUP(R133:AF133,增益!$A:$A,增益!$O:$O,0))&gt;0,($F$14-$I$4+VLOOKUP($Q133,武学奇术!$A:$ZZ,15,FALSE)+SUM(_xlfn.XLOOKUP(R133:AF133,增益!$A:$A,增益!$O:$O,0)))/200,($F$14-$I$4+VLOOKUP($Q133,武学奇术!$A:$ZZ,15,FALSE)+SUM(_xlfn.XLOOKUP(R133:AF133,增益!$A:$A,增益!$O:$O,0)))/100)</f>
        <v>-0.14</v>
      </c>
      <c r="BH133" s="35" cm="1">
        <f t="array" ref="BH133">$G$14+VLOOKUP($Q133,武学奇术!$A:$ZZ,16,FALSE)+SUM(_xlfn.XLOOKUP(R133:AF133,增益!$A:$A,增益!$P:$P,0))</f>
        <v>0</v>
      </c>
      <c r="BI133" s="27">
        <f>MIN(IF(VLOOKUP($Q133,武学奇术!$A:$ZZ,23,FALSE)=1,100%,$B$8),100%)</f>
        <v>0.9969</v>
      </c>
      <c r="BJ133" s="27" cm="1">
        <f t="array" ref="BJ133">IF(VLOOKUP($Q133,武学奇术!$A:$ZZ,23,FALSE)=1,100%,MIN(80%,$B$9+VLOOKUP($Q133,武学奇术!$A:$ZZ,17,FALSE)+SUM(_xlfn.XLOOKUP(R133:AF133,增益!$A:$A,增益!$Q:$Q,0)))+$B$11+SUM(_xlfn.XLOOKUP(R133:AF133,增益!$A:$A,增益!$U:$U,0)))*IF(VLOOKUP($Q133,武学奇术!$A:$ZZ,24,FALSE)=1,0,1)</f>
        <v>0.9137</v>
      </c>
      <c r="BK133" s="27" cm="1">
        <f t="array" ref="BK133">1+$B$13+VLOOKUP($Q133,武学奇术!$A:$ZZ,18,FALSE)+SUM(_xlfn.XLOOKUP(R133:AF133,增益!$A:$A,增益!$R:$R,0))</f>
        <v>1.6</v>
      </c>
      <c r="BL133" s="27" cm="1">
        <f t="array" ref="BL133">IF(VLOOKUP($Q133,武学奇术!$A:$ZZ,24,FALSE)=1,100%,MIN(40%,$B$10+VLOOKUP($Q133,武学奇术!$A:$ZZ,19,FALSE)+SUM(_xlfn.XLOOKUP(R133:AF133,增益!$A:$A,增益!$S:$S,0)))+$B$12+SUM(_xlfn.XLOOKUP(R133:AF133,增益!$A:$A,增益!$V:$V,0)))*IF(VLOOKUP($Q133,武学奇术!$A:$ZZ,23,FALSE)=1,0,1)</f>
        <v>0.0895</v>
      </c>
      <c r="BM133" s="27" cm="1">
        <f t="array" ref="BM133">1+$B$14+VLOOKUP($Q133,武学奇术!$A:$ZZ,20,FALSE)+SUM(_xlfn.XLOOKUP(R133:AF133,增益!$A:$A,增益!$T:$T,0))</f>
        <v>1.35</v>
      </c>
      <c r="BN133" s="27">
        <f t="shared" si="51"/>
        <v>0.90767745</v>
      </c>
      <c r="BO133" s="27">
        <f t="shared" si="53"/>
        <v>-1.30104260698261e-17</v>
      </c>
      <c r="BP133" s="27">
        <f>IF(VLOOKUP($Q133,武学奇术!$A:$ZZ,22,FALSE)=1,0,(1-$BI133))*(1-$BL133)</f>
        <v>0.00282254999999999</v>
      </c>
      <c r="BQ133" s="27" cm="1">
        <f t="array" ref="BQ133">SUM(_xlfn.XLOOKUP(R133:AF133,增益!$A:$A,增益!$W:$W,0))+$I$5</f>
        <v>0.11</v>
      </c>
    </row>
    <row r="134" spans="11:69">
      <c r="K134" s="41">
        <f t="shared" si="42"/>
        <v>14506.1618366338</v>
      </c>
      <c r="L134" s="41">
        <f>((($AN134+$AO134)/2*$AH134+$AI134)*(1+$AP134)*(1+$AQ134)+(($AS134+$AT134)/2*IF($G$1="鸣金",$AJ134,$AH134)+IF($G$1="鸣金",$AK134*1.5,0))*(1+$AU134)*(1+$AV134)+(($AW134+$AX134)/2*IF($G$1="裂石",$AJ134,$AH134)+IF($G$1="裂石",$AK134*1.5,0))*(1+$AY134)*(1+$AZ134)+(($BA134+$BB134)/2*IF($G$1="牵丝",$AJ134,$AH134)+IF($G$1="牵丝",$AK134*1.5,0))*(1+$BC134)*(1+$BD134)+(($BE134+$BF134)/2*IF($G$1="破竹",$AJ134,$AH134)+IF($G$1="破竹",$AK134*1.5,0))*(1+$BG134)*(1+$BH134))*(1+$AL134)*$BK134*$P134*(1+IF(VLOOKUP($Q134,武学奇术!$A:$ZZ,30,FALSE)="弹道",$B$21,0))*(1+$BQ134)</f>
        <v>14239.325032349</v>
      </c>
      <c r="M134" s="41">
        <f>(($AO134*$AH134+$AI134)*(1+$AP134)*(1+$AQ134)+($AT134*IF($G$1="鸣金",$AJ134,$AH134)+IF($G$1="鸣金",$AK134*1.5,0))*(1+$AU134)*(1+$AV134)+($AX134*IF($G$1="裂石",$AJ134,$AH134)+IF($G$1="裂石",$AK134*1.5,0))*(1+$AY134)*(1+$AZ134)+($BB134*IF($G$1="牵丝",$AJ134,$AH134)+IF($G$1="牵丝",$AK134*1.5,0))*(1+$BC134)*(1+$BD134)+($BF134*IF($G$1="破竹",$AJ134,$AH134)+IF($G$1="破竹",$AK134*1.5,0))*(1+$BG134)*(1+$BH134))*(1+$AL134)*$BM134*$P134*(1+IF(VLOOKUP($Q134,武学奇术!$A:$ZZ,30,FALSE)="弹道",$B$21,0))*(1+$BQ134)</f>
        <v>17517.7006960399</v>
      </c>
      <c r="N134" s="41">
        <f>((($AN134+$AO134)/2*$AH134+$AI134)*(1+$AP134)*(1+$AQ134)+(($AS134+$AT134)/2*IF($G$1="鸣金",$AJ134,$AH134)+IF($G$1="鸣金",$AK134*1.5,0))*(1+$AU134)*(1+$AV134)+(($AW134+$AX134)/2*IF($G$1="裂石",$AJ134,$AH134)+IF($G$1="裂石",$AK134*1.5,0))*(1+$AY134)*(1+$AZ134)+(($BA134+$BB134)/2*IF($G$1="牵丝",$AJ134,$AH134)+IF($G$1="牵丝",$AK134*1.5,0))*(1+$BC134)*(1+$BD134)+(($BE134+$BF134)/2*IF($G$1="破竹",$AJ134,$AH134)+IF($G$1="破竹",$AK134*1.5,0))*(1+$BG134)*(1+$BH134))*(1+$AL134)*$P134*(1+IF(VLOOKUP($Q134,武学奇术!$A:$ZZ,30,FALSE)="弹道",$B$21,0))*(1+$BQ134)</f>
        <v>8899.57814521815</v>
      </c>
      <c r="O134" s="41">
        <f>((($AN134*$AH134+$AI134)*(1+$AP134)*(1+$AQ134)+($AS134*IF($G$1="鸣金",$AJ134,$AH134)+IF($G$1="鸣金",$AK134*1.5,0))*(1+$AU134)*(1+$AV134)+($AW134*IF($G$1="裂石",$AJ134,$AH134)+IF($G$1="裂石",$AK134*1.5,0))*(1+$AY134)*(1+$AZ134)+($BA134*IF($G$1="牵丝",$AJ134,$AH134)+IF($G$1="牵丝",$AK134*1.5,0))*(1+$BC134)*(1+$BD134)+($BE134*IF($G$1="破竹",$AJ134,$AH134)+IF($G$1="破竹",$AK134*1.5,0))*(1+$BG134)*(1+$BH134))*(1+$AL134))*$P134*(1+IF(VLOOKUP($Q134,武学奇术!$A:$ZZ,30,FALSE)="弹道",$B$21,0))*(1+$BQ134)</f>
        <v>4823.08170077711</v>
      </c>
      <c r="P134" s="42">
        <f t="shared" si="52"/>
        <v>1</v>
      </c>
      <c r="Q134" s="43" t="s">
        <v>187</v>
      </c>
      <c r="R134" s="43" t="s">
        <v>93</v>
      </c>
      <c r="S134" s="43" t="s">
        <v>158</v>
      </c>
      <c r="T134" s="43" t="s">
        <v>73</v>
      </c>
      <c r="U134" s="43" t="s">
        <v>159</v>
      </c>
      <c r="V134" s="43" t="s">
        <v>73</v>
      </c>
      <c r="W134" s="43" t="s">
        <v>73</v>
      </c>
      <c r="X134" s="43" t="s">
        <v>73</v>
      </c>
      <c r="Y134" s="43" t="s">
        <v>73</v>
      </c>
      <c r="Z134" s="43" t="s">
        <v>73</v>
      </c>
      <c r="AA134" s="43" t="s">
        <v>73</v>
      </c>
      <c r="AB134" s="43" t="s">
        <v>80</v>
      </c>
      <c r="AC134" s="43" t="s">
        <v>73</v>
      </c>
      <c r="AD134" s="43" t="s">
        <v>73</v>
      </c>
      <c r="AE134" s="43" t="s">
        <v>73</v>
      </c>
      <c r="AF134" s="43" t="s">
        <v>75</v>
      </c>
      <c r="AG134" t="str">
        <f>VLOOKUP($Q134,武学奇术!$A:$ZZ,25,FALSE)</f>
        <v>心法</v>
      </c>
      <c r="AH134" s="27">
        <f>VLOOKUP($Q134,武学奇术!$A:$ZZ,26,FALSE)</f>
        <v>1</v>
      </c>
      <c r="AI134" s="28">
        <f>VLOOKUP($Q134,武学奇术!$A:$ZZ,27,FALSE)*(1+IF(OR($AG134=$F$4,$AG134=$F$5),$B$22,0))</f>
        <v>0</v>
      </c>
      <c r="AJ134" s="27">
        <f>VLOOKUP($Q134,武学奇术!$A:$ZZ,28,FALSE)</f>
        <v>1</v>
      </c>
      <c r="AK134" s="28">
        <f>VLOOKUP($Q134,武学奇术!$A:$ZZ,29,FALSE)*(1+IF(OR($AG134=$F$4,$AG134=$F$5),$B$22,0))</f>
        <v>0</v>
      </c>
      <c r="AL134" s="27" cm="1">
        <f t="array" ref="AL134">$G$3+IFERROR(VLOOKUP($AG134,$F$4:$G$7,2,FALSE),0)+VLOOKUP($Q134,武学奇术!$A:$ZZ,2,FALSE)+SUM(_xlfn.XLOOKUP($R134:$AF134,增益!$A:$A,增益!$B:$B,0))</f>
        <v>0.2337</v>
      </c>
      <c r="AM134" s="27" cm="1">
        <f t="array" ref="AM134">VLOOKUP($Q134,武学奇术!$A:$ZZ,5,FALSE)+SUM(_xlfn.XLOOKUP($R134:$AF134,增益!$A:$A,增益!$E:$E,0))</f>
        <v>0.15</v>
      </c>
      <c r="AN134" cm="1">
        <f t="array" ref="AN134">$D$10*(1+$AM134)+VLOOKUP($Q134,武学奇术!$A:$ZZ,3,FALSE)+SUM(_xlfn.XLOOKUP($R134:$AF134,增益!$A:$A,增益!$C:$C,0))-$I$2</f>
        <v>2125.755</v>
      </c>
      <c r="AO134" cm="1">
        <f t="array" ref="AO134">$E$10*(1+$AM134)+VLOOKUP($Q134,武学奇术!$A:$ZZ,4,FALSE)+SUM(_xlfn.XLOOKUP($R134:$AF134,增益!$A:$A,增益!$D:$D,0))-$I$2</f>
        <v>6122.925</v>
      </c>
      <c r="AP134" s="35" cm="1">
        <f t="array" ref="AP134">IF($F$10-$I$3+VLOOKUP($Q134,武学奇术!$A:$ZZ,6,FALSE)+SUM(_xlfn.XLOOKUP(R134:AF134,增益!$A:$A,增益!$F:$F,0))&gt;0,($F$10-$I$3+VLOOKUP($Q134,武学奇术!$A:$ZZ,6,FALSE)+SUM(_xlfn.XLOOKUP(R134:AF134,增益!$A:$A,增益!$F:$F,0)))/200,($F$10-$I$3+VLOOKUP($Q134,武学奇术!$A:$ZZ,6,FALSE)+SUM(_xlfn.XLOOKUP(R134:AF134,增益!$A:$A,增益!$F:$F,0)))/100)</f>
        <v>0.3425</v>
      </c>
      <c r="AQ134" s="35" cm="1">
        <f t="array" ref="AQ134">$G$10+VLOOKUP($Q134,武学奇术!$A:$ZZ,7,FALSE)+SUM(_xlfn.XLOOKUP(R134:AF134,增益!$A:$A,增益!$G:$G,0))</f>
        <v>0</v>
      </c>
      <c r="AR134" s="27" cm="1">
        <f t="array" ref="AR134">VLOOKUP($Q134,武学奇术!$A:$ZZ,8,FALSE)+SUM(_xlfn.XLOOKUP(R134:AF134,增益!$A:$A,增益!$H:$H,0))</f>
        <v>0</v>
      </c>
      <c r="AS134">
        <f t="shared" si="43"/>
        <v>0</v>
      </c>
      <c r="AT134">
        <f t="shared" si="44"/>
        <v>0</v>
      </c>
      <c r="AU134" s="35" cm="1">
        <f t="array" ref="AU134">IF($F$11-$I$4+VLOOKUP($Q134,武学奇术!$A:$ZZ,9,FALSE)+SUM(_xlfn.XLOOKUP(R134:AF134,增益!$A:$A,增益!$I:$I,0))&gt;0,($F$11-$I$4+VLOOKUP($Q134,武学奇术!$A:$ZZ,9,FALSE)+SUM(_xlfn.XLOOKUP(R134:AF134,增益!$A:$A,增益!$I:$I,0)))/200,($F$11-$I$4+VLOOKUP($Q134,武学奇术!$A:$ZZ,9,FALSE)+SUM(_xlfn.XLOOKUP(R134:AF134,增益!$A:$A,增益!$I:$I,0)))/100)</f>
        <v>-0.14</v>
      </c>
      <c r="AV134" s="35" cm="1">
        <f t="array" ref="AV134">$G$11+VLOOKUP($Q134,武学奇术!$A:$ZZ,10,FALSE)+SUM(_xlfn.XLOOKUP(R134:AF134,增益!$A:$A,增益!$J:$J,0))</f>
        <v>0</v>
      </c>
      <c r="AW134">
        <f t="shared" si="45"/>
        <v>0</v>
      </c>
      <c r="AX134">
        <f t="shared" si="46"/>
        <v>0</v>
      </c>
      <c r="AY134" s="35" cm="1">
        <f t="array" ref="AY134">IF($F$12-$I$4+VLOOKUP($Q134,武学奇术!$A:$ZZ,11,FALSE)+SUM(_xlfn.XLOOKUP(R134:AF134,增益!$A:$A,增益!$K:$K,0))&gt;0,($F$12-$I$4+VLOOKUP($Q134,武学奇术!$A:$ZZ,11,FALSE)+SUM(_xlfn.XLOOKUP(R134:AF134,增益!$A:$A,增益!$K:$K,0)))/200,($F$12-$I$4+VLOOKUP($Q134,武学奇术!$A:$ZZ,11,FALSE)+SUM(_xlfn.XLOOKUP(R134:AF134,增益!$A:$A,增益!$K:$K,0)))/100)</f>
        <v>-0.14</v>
      </c>
      <c r="AZ134" s="35" cm="1">
        <f t="array" ref="AZ134">$G$12+VLOOKUP($Q134,武学奇术!$A:$ZZ,12,FALSE)+SUM(_xlfn.XLOOKUP(R134:AF134,增益!$A:$A,增益!$L:$L,0))</f>
        <v>0</v>
      </c>
      <c r="BA134">
        <f t="shared" si="47"/>
        <v>538</v>
      </c>
      <c r="BB134">
        <f t="shared" si="48"/>
        <v>1011</v>
      </c>
      <c r="BC134" s="35" cm="1">
        <f t="array" ref="BC134">IF($F$13-$I$4+VLOOKUP($Q134,武学奇术!$A:$ZZ,13,FALSE)+SUM(_xlfn.XLOOKUP(R134:AF134,增益!$A:$A,增益!$M:$M,0))&gt;0,($F$13-$I$4+VLOOKUP($Q134,武学奇术!$A:$ZZ,13,FALSE)+SUM(_xlfn.XLOOKUP(R134:AF134,增益!$A:$A,增益!$K:$K,0)))/200,($F$13-$I$4+VLOOKUP($Q134,武学奇术!$A:$ZZ,13,FALSE)+SUM(_xlfn.XLOOKUP(R134:AF134,增益!$A:$A,增益!$M:$M,0)))/100)</f>
        <v>0.08</v>
      </c>
      <c r="BD134" s="35" cm="1">
        <f t="array" ref="BD134">$G$13+VLOOKUP($Q134,武学奇术!$A:$ZZ,14,FALSE)+SUM(_xlfn.XLOOKUP(R134:AF134,增益!$A:$A,增益!$N:$N,0))</f>
        <v>0.15</v>
      </c>
      <c r="BE134">
        <f t="shared" si="49"/>
        <v>0</v>
      </c>
      <c r="BF134">
        <f t="shared" si="50"/>
        <v>0</v>
      </c>
      <c r="BG134" s="35" cm="1">
        <f t="array" ref="BG134">IF($F$14-$I$4+VLOOKUP($Q134,武学奇术!$A:$ZZ,15,FALSE)+SUM(_xlfn.XLOOKUP(R134:AF134,增益!$A:$A,增益!$O:$O,0))&gt;0,($F$14-$I$4+VLOOKUP($Q134,武学奇术!$A:$ZZ,15,FALSE)+SUM(_xlfn.XLOOKUP(R134:AF134,增益!$A:$A,增益!$O:$O,0)))/200,($F$14-$I$4+VLOOKUP($Q134,武学奇术!$A:$ZZ,15,FALSE)+SUM(_xlfn.XLOOKUP(R134:AF134,增益!$A:$A,增益!$O:$O,0)))/100)</f>
        <v>-0.14</v>
      </c>
      <c r="BH134" s="35" cm="1">
        <f t="array" ref="BH134">$G$14+VLOOKUP($Q134,武学奇术!$A:$ZZ,16,FALSE)+SUM(_xlfn.XLOOKUP(R134:AF134,增益!$A:$A,增益!$P:$P,0))</f>
        <v>0</v>
      </c>
      <c r="BI134" s="27">
        <f>MIN(IF(VLOOKUP($Q134,武学奇术!$A:$ZZ,23,FALSE)=1,100%,$B$8),100%)</f>
        <v>0.9969</v>
      </c>
      <c r="BJ134" s="27" cm="1">
        <f t="array" ref="BJ134">IF(VLOOKUP($Q134,武学奇术!$A:$ZZ,23,FALSE)=1,100%,MIN(80%,$B$9+VLOOKUP($Q134,武学奇术!$A:$ZZ,17,FALSE)+SUM(_xlfn.XLOOKUP(R134:AF134,增益!$A:$A,增益!$Q:$Q,0)))+$B$11+SUM(_xlfn.XLOOKUP(R134:AF134,增益!$A:$A,增益!$U:$U,0)))*IF(VLOOKUP($Q134,武学奇术!$A:$ZZ,24,FALSE)=1,0,1)</f>
        <v>0.9137</v>
      </c>
      <c r="BK134" s="27" cm="1">
        <f t="array" ref="BK134">1+$B$13+VLOOKUP($Q134,武学奇术!$A:$ZZ,18,FALSE)+SUM(_xlfn.XLOOKUP(R134:AF134,增益!$A:$A,增益!$R:$R,0))</f>
        <v>1.6</v>
      </c>
      <c r="BL134" s="27" cm="1">
        <f t="array" ref="BL134">IF(VLOOKUP($Q134,武学奇术!$A:$ZZ,24,FALSE)=1,100%,MIN(40%,$B$10+VLOOKUP($Q134,武学奇术!$A:$ZZ,19,FALSE)+SUM(_xlfn.XLOOKUP(R134:AF134,增益!$A:$A,增益!$S:$S,0)))+$B$12+SUM(_xlfn.XLOOKUP(R134:AF134,增益!$A:$A,增益!$V:$V,0)))*IF(VLOOKUP($Q134,武学奇术!$A:$ZZ,23,FALSE)=1,0,1)</f>
        <v>0.0895</v>
      </c>
      <c r="BM134" s="27" cm="1">
        <f t="array" ref="BM134">1+$B$14+VLOOKUP($Q134,武学奇术!$A:$ZZ,20,FALSE)+SUM(_xlfn.XLOOKUP(R134:AF134,增益!$A:$A,增益!$T:$T,0))</f>
        <v>1.35</v>
      </c>
      <c r="BN134" s="27">
        <f t="shared" si="51"/>
        <v>0.90767745</v>
      </c>
      <c r="BO134" s="27">
        <f t="shared" si="53"/>
        <v>-1.30104260698261e-17</v>
      </c>
      <c r="BP134" s="27">
        <f>IF(VLOOKUP($Q134,武学奇术!$A:$ZZ,22,FALSE)=1,0,(1-$BI134))*(1-$BL134)</f>
        <v>0.00282254999999999</v>
      </c>
      <c r="BQ134" s="27" cm="1">
        <f t="array" ref="BQ134">SUM(_xlfn.XLOOKUP(R134:AF134,增益!$A:$A,增益!$W:$W,0))+$I$5</f>
        <v>0.11</v>
      </c>
    </row>
    <row r="135" spans="11:69">
      <c r="K135" s="41">
        <f t="shared" si="42"/>
        <v>21053.0080720186</v>
      </c>
      <c r="L135" s="41">
        <f>((($AN135+$AO135)/2*$AH135+$AI135)*(1+$AP135)*(1+$AQ135)+(($AS135+$AT135)/2*IF($G$1="鸣金",$AJ135,$AH135)+IF($G$1="鸣金",$AK135*1.5,0))*(1+$AU135)*(1+$AV135)+(($AW135+$AX135)/2*IF($G$1="裂石",$AJ135,$AH135)+IF($G$1="裂石",$AK135*1.5,0))*(1+$AY135)*(1+$AZ135)+(($BA135+$BB135)/2*IF($G$1="牵丝",$AJ135,$AH135)+IF($G$1="牵丝",$AK135*1.5,0))*(1+$BC135)*(1+$BD135)+(($BE135+$BF135)/2*IF($G$1="破竹",$AJ135,$AH135)+IF($G$1="破竹",$AK135*1.5,0))*(1+$BG135)*(1+$BH135))*(1+$AL135)*$BK135*$P135*(1+IF(VLOOKUP($Q135,武学奇术!$A:$ZZ,30,FALSE)="弹道",$B$21,0))*(1+$BQ135)</f>
        <v>20972.1516768425</v>
      </c>
      <c r="M135" s="41">
        <f>(($AO135*$AH135+$AI135)*(1+$AP135)*(1+$AQ135)+($AT135*IF($G$1="鸣金",$AJ135,$AH135)+IF($G$1="鸣金",$AK135*1.5,0))*(1+$AU135)*(1+$AV135)+($AX135*IF($G$1="裂石",$AJ135,$AH135)+IF($G$1="裂石",$AK135*1.5,0))*(1+$AY135)*(1+$AZ135)+($BB135*IF($G$1="牵丝",$AJ135,$AH135)+IF($G$1="牵丝",$AK135*1.5,0))*(1+$BC135)*(1+$BD135)+($BF135*IF($G$1="破竹",$AJ135,$AH135)+IF($G$1="破竹",$AK135*1.5,0))*(1+$BG135)*(1+$BH135))*(1+$AL135)*$BM135*$P135*(1+IF(VLOOKUP($Q135,武学奇术!$A:$ZZ,30,FALSE)="弹道",$B$21,0))*(1+$BQ135)</f>
        <v>22343.9166981031</v>
      </c>
      <c r="N135" s="41">
        <f>((($AN135+$AO135)/2*$AH135+$AI135)*(1+$AP135)*(1+$AQ135)+(($AS135+$AT135)/2*IF($G$1="鸣金",$AJ135,$AH135)+IF($G$1="鸣金",$AK135*1.5,0))*(1+$AU135)*(1+$AV135)+(($AW135+$AX135)/2*IF($G$1="裂石",$AJ135,$AH135)+IF($G$1="裂石",$AK135*1.5,0))*(1+$AY135)*(1+$AZ135)+(($BA135+$BB135)/2*IF($G$1="牵丝",$AJ135,$AH135)+IF($G$1="牵丝",$AK135*1.5,0))*(1+$BC135)*(1+$BD135)+(($BE135+$BF135)/2*IF($G$1="破竹",$AJ135,$AH135)+IF($G$1="破竹",$AK135*1.5,0))*(1+$BG135)*(1+$BH135))*(1+$AL135)*$P135*(1+IF(VLOOKUP($Q135,武学奇术!$A:$ZZ,30,FALSE)="弹道",$B$21,0))*(1+$BQ135)</f>
        <v>11336.2982036986</v>
      </c>
      <c r="O135" s="41">
        <f>((($AN135*$AH135+$AI135)*(1+$AP135)*(1+$AQ135)+($AS135*IF($G$1="鸣金",$AJ135,$AH135)+IF($G$1="鸣金",$AK135*1.5,0))*(1+$AU135)*(1+$AV135)+($AW135*IF($G$1="裂石",$AJ135,$AH135)+IF($G$1="裂石",$AK135*1.5,0))*(1+$AY135)*(1+$AZ135)+($BA135*IF($G$1="牵丝",$AJ135,$AH135)+IF($G$1="牵丝",$AK135*1.5,0))*(1+$BC135)*(1+$BD135)+($BE135*IF($G$1="破竹",$AJ135,$AH135)+IF($G$1="破竹",$AK135*1.5,0))*(1+$BG135)*(1+$BH135))*(1+$AL135))*$P135*(1+IF(VLOOKUP($Q135,武学奇术!$A:$ZZ,30,FALSE)="弹道",$B$21,0))*(1+$BQ135)</f>
        <v>6121.54700139499</v>
      </c>
      <c r="P135" s="42">
        <f t="shared" si="52"/>
        <v>1</v>
      </c>
      <c r="Q135" s="43" t="s">
        <v>187</v>
      </c>
      <c r="R135" s="43" t="s">
        <v>93</v>
      </c>
      <c r="S135" s="43" t="s">
        <v>158</v>
      </c>
      <c r="T135" s="43" t="s">
        <v>73</v>
      </c>
      <c r="U135" s="43" t="s">
        <v>159</v>
      </c>
      <c r="V135" s="43" t="s">
        <v>73</v>
      </c>
      <c r="W135" s="43" t="s">
        <v>73</v>
      </c>
      <c r="X135" s="43" t="s">
        <v>73</v>
      </c>
      <c r="Y135" s="43" t="s">
        <v>164</v>
      </c>
      <c r="Z135" s="43" t="s">
        <v>73</v>
      </c>
      <c r="AA135" s="43" t="s">
        <v>73</v>
      </c>
      <c r="AB135" s="43" t="s">
        <v>80</v>
      </c>
      <c r="AC135" s="43" t="s">
        <v>165</v>
      </c>
      <c r="AD135" s="43" t="s">
        <v>166</v>
      </c>
      <c r="AE135" s="43" t="s">
        <v>73</v>
      </c>
      <c r="AF135" s="43" t="s">
        <v>75</v>
      </c>
      <c r="AG135" t="str">
        <f>VLOOKUP($Q135,武学奇术!$A:$ZZ,25,FALSE)</f>
        <v>心法</v>
      </c>
      <c r="AH135" s="27">
        <f>VLOOKUP($Q135,武学奇术!$A:$ZZ,26,FALSE)</f>
        <v>1</v>
      </c>
      <c r="AI135" s="28">
        <f>VLOOKUP($Q135,武学奇术!$A:$ZZ,27,FALSE)*(1+IF(OR($AG135=$F$4,$AG135=$F$5),$B$22,0))</f>
        <v>0</v>
      </c>
      <c r="AJ135" s="27">
        <f>VLOOKUP($Q135,武学奇术!$A:$ZZ,28,FALSE)</f>
        <v>1</v>
      </c>
      <c r="AK135" s="28">
        <f>VLOOKUP($Q135,武学奇术!$A:$ZZ,29,FALSE)*(1+IF(OR($AG135=$F$4,$AG135=$F$5),$B$22,0))</f>
        <v>0</v>
      </c>
      <c r="AL135" s="27" cm="1">
        <f t="array" ref="AL135">$G$3+IFERROR(VLOOKUP($AG135,$F$4:$G$7,2,FALSE),0)+VLOOKUP($Q135,武学奇术!$A:$ZZ,2,FALSE)+SUM(_xlfn.XLOOKUP($R135:$AF135,增益!$A:$A,增益!$B:$B,0))</f>
        <v>0.2337</v>
      </c>
      <c r="AM135" s="27" cm="1">
        <f t="array" ref="AM135">VLOOKUP($Q135,武学奇术!$A:$ZZ,5,FALSE)+SUM(_xlfn.XLOOKUP($R135:$AF135,增益!$A:$A,增益!$E:$E,0))</f>
        <v>0.15</v>
      </c>
      <c r="AN135" cm="1">
        <f t="array" ref="AN135">$D$10*(1+$AM135)+VLOOKUP($Q135,武学奇术!$A:$ZZ,3,FALSE)+SUM(_xlfn.XLOOKUP($R135:$AF135,增益!$A:$A,增益!$C:$C,0))-$I$2</f>
        <v>2125.755</v>
      </c>
      <c r="AO135" cm="1">
        <f t="array" ref="AO135">$E$10*(1+$AM135)+VLOOKUP($Q135,武学奇术!$A:$ZZ,4,FALSE)+SUM(_xlfn.XLOOKUP($R135:$AF135,增益!$A:$A,增益!$D:$D,0))-$I$2</f>
        <v>6122.925</v>
      </c>
      <c r="AP135" s="35" cm="1">
        <f t="array" ref="AP135">IF($F$10-$I$3+VLOOKUP($Q135,武学奇术!$A:$ZZ,6,FALSE)+SUM(_xlfn.XLOOKUP(R135:AF135,增益!$A:$A,增益!$F:$F,0))&gt;0,($F$10-$I$3+VLOOKUP($Q135,武学奇术!$A:$ZZ,6,FALSE)+SUM(_xlfn.XLOOKUP(R135:AF135,增益!$A:$A,增益!$F:$F,0)))/200,($F$10-$I$3+VLOOKUP($Q135,武学奇术!$A:$ZZ,6,FALSE)+SUM(_xlfn.XLOOKUP(R135:AF135,增益!$A:$A,增益!$F:$F,0)))/100)</f>
        <v>0.4675</v>
      </c>
      <c r="AQ135" s="35" cm="1">
        <f t="array" ref="AQ135">$G$10+VLOOKUP($Q135,武学奇术!$A:$ZZ,7,FALSE)+SUM(_xlfn.XLOOKUP(R135:AF135,增益!$A:$A,增益!$G:$G,0))</f>
        <v>0</v>
      </c>
      <c r="AR135" s="27" cm="1">
        <f t="array" ref="AR135">VLOOKUP($Q135,武学奇术!$A:$ZZ,8,FALSE)+SUM(_xlfn.XLOOKUP(R135:AF135,增益!$A:$A,增益!$H:$H,0))</f>
        <v>0</v>
      </c>
      <c r="AS135">
        <f t="shared" si="43"/>
        <v>0</v>
      </c>
      <c r="AT135">
        <f t="shared" si="44"/>
        <v>0</v>
      </c>
      <c r="AU135" s="35" cm="1">
        <f t="array" ref="AU135">IF($F$11-$I$4+VLOOKUP($Q135,武学奇术!$A:$ZZ,9,FALSE)+SUM(_xlfn.XLOOKUP(R135:AF135,增益!$A:$A,增益!$I:$I,0))&gt;0,($F$11-$I$4+VLOOKUP($Q135,武学奇术!$A:$ZZ,9,FALSE)+SUM(_xlfn.XLOOKUP(R135:AF135,增益!$A:$A,增益!$I:$I,0)))/200,($F$11-$I$4+VLOOKUP($Q135,武学奇术!$A:$ZZ,9,FALSE)+SUM(_xlfn.XLOOKUP(R135:AF135,增益!$A:$A,增益!$I:$I,0)))/100)</f>
        <v>-0.14</v>
      </c>
      <c r="AV135" s="35" cm="1">
        <f t="array" ref="AV135">$G$11+VLOOKUP($Q135,武学奇术!$A:$ZZ,10,FALSE)+SUM(_xlfn.XLOOKUP(R135:AF135,增益!$A:$A,增益!$J:$J,0))</f>
        <v>0.1</v>
      </c>
      <c r="AW135">
        <f t="shared" si="45"/>
        <v>0</v>
      </c>
      <c r="AX135">
        <f t="shared" si="46"/>
        <v>0</v>
      </c>
      <c r="AY135" s="35" cm="1">
        <f t="array" ref="AY135">IF($F$12-$I$4+VLOOKUP($Q135,武学奇术!$A:$ZZ,11,FALSE)+SUM(_xlfn.XLOOKUP(R135:AF135,增益!$A:$A,增益!$K:$K,0))&gt;0,($F$12-$I$4+VLOOKUP($Q135,武学奇术!$A:$ZZ,11,FALSE)+SUM(_xlfn.XLOOKUP(R135:AF135,增益!$A:$A,增益!$K:$K,0)))/200,($F$12-$I$4+VLOOKUP($Q135,武学奇术!$A:$ZZ,11,FALSE)+SUM(_xlfn.XLOOKUP(R135:AF135,增益!$A:$A,增益!$K:$K,0)))/100)</f>
        <v>-0.14</v>
      </c>
      <c r="AZ135" s="35" cm="1">
        <f t="array" ref="AZ135">$G$12+VLOOKUP($Q135,武学奇术!$A:$ZZ,12,FALSE)+SUM(_xlfn.XLOOKUP(R135:AF135,增益!$A:$A,增益!$L:$L,0))</f>
        <v>0</v>
      </c>
      <c r="BA135">
        <f t="shared" si="47"/>
        <v>538</v>
      </c>
      <c r="BB135">
        <f t="shared" si="48"/>
        <v>1011</v>
      </c>
      <c r="BC135" s="35" cm="1">
        <f t="array" ref="BC135">IF($F$13-$I$4+VLOOKUP($Q135,武学奇术!$A:$ZZ,13,FALSE)+SUM(_xlfn.XLOOKUP(R135:AF135,增益!$A:$A,增益!$M:$M,0))&gt;0,($F$13-$I$4+VLOOKUP($Q135,武学奇术!$A:$ZZ,13,FALSE)+SUM(_xlfn.XLOOKUP(R135:AF135,增益!$A:$A,增益!$K:$K,0)))/200,($F$13-$I$4+VLOOKUP($Q135,武学奇术!$A:$ZZ,13,FALSE)+SUM(_xlfn.XLOOKUP(R135:AF135,增益!$A:$A,增益!$M:$M,0)))/100)</f>
        <v>0.08</v>
      </c>
      <c r="BD135" s="35" cm="1">
        <f t="array" ref="BD135">$G$13+VLOOKUP($Q135,武学奇术!$A:$ZZ,14,FALSE)+SUM(_xlfn.XLOOKUP(R135:AF135,增益!$A:$A,增益!$N:$N,0))</f>
        <v>0.15</v>
      </c>
      <c r="BE135">
        <f t="shared" si="49"/>
        <v>0</v>
      </c>
      <c r="BF135">
        <f t="shared" si="50"/>
        <v>0</v>
      </c>
      <c r="BG135" s="35" cm="1">
        <f t="array" ref="BG135">IF($F$14-$I$4+VLOOKUP($Q135,武学奇术!$A:$ZZ,15,FALSE)+SUM(_xlfn.XLOOKUP(R135:AF135,增益!$A:$A,增益!$O:$O,0))&gt;0,($F$14-$I$4+VLOOKUP($Q135,武学奇术!$A:$ZZ,15,FALSE)+SUM(_xlfn.XLOOKUP(R135:AF135,增益!$A:$A,增益!$O:$O,0)))/200,($F$14-$I$4+VLOOKUP($Q135,武学奇术!$A:$ZZ,15,FALSE)+SUM(_xlfn.XLOOKUP(R135:AF135,增益!$A:$A,增益!$O:$O,0)))/100)</f>
        <v>-0.14</v>
      </c>
      <c r="BH135" s="35" cm="1">
        <f t="array" ref="BH135">$G$14+VLOOKUP($Q135,武学奇术!$A:$ZZ,16,FALSE)+SUM(_xlfn.XLOOKUP(R135:AF135,增益!$A:$A,增益!$P:$P,0))</f>
        <v>0</v>
      </c>
      <c r="BI135" s="27">
        <f>MIN(IF(VLOOKUP($Q135,武学奇术!$A:$ZZ,23,FALSE)=1,100%,$B$8),100%)</f>
        <v>0.9969</v>
      </c>
      <c r="BJ135" s="27" cm="1">
        <f t="array" ref="BJ135">IF(VLOOKUP($Q135,武学奇术!$A:$ZZ,23,FALSE)=1,100%,MIN(80%,$B$9+VLOOKUP($Q135,武学奇术!$A:$ZZ,17,FALSE)+SUM(_xlfn.XLOOKUP(R135:AF135,增益!$A:$A,增益!$Q:$Q,0)))+$B$11+SUM(_xlfn.XLOOKUP(R135:AF135,增益!$A:$A,增益!$U:$U,0)))*IF(VLOOKUP($Q135,武学奇术!$A:$ZZ,24,FALSE)=1,0,1)</f>
        <v>0.9137</v>
      </c>
      <c r="BK135" s="27" cm="1">
        <f t="array" ref="BK135">1+$B$13+VLOOKUP($Q135,武学奇术!$A:$ZZ,18,FALSE)+SUM(_xlfn.XLOOKUP(R135:AF135,增益!$A:$A,增益!$R:$R,0))</f>
        <v>1.85</v>
      </c>
      <c r="BL135" s="27" cm="1">
        <f t="array" ref="BL135">IF(VLOOKUP($Q135,武学奇术!$A:$ZZ,24,FALSE)=1,100%,MIN(40%,$B$10+VLOOKUP($Q135,武学奇术!$A:$ZZ,19,FALSE)+SUM(_xlfn.XLOOKUP(R135:AF135,增益!$A:$A,增益!$S:$S,0)))+$B$12+SUM(_xlfn.XLOOKUP(R135:AF135,增益!$A:$A,增益!$V:$V,0)))*IF(VLOOKUP($Q135,武学奇术!$A:$ZZ,23,FALSE)=1,0,1)</f>
        <v>0.0895</v>
      </c>
      <c r="BM135" s="27" cm="1">
        <f t="array" ref="BM135">1+$B$14+VLOOKUP($Q135,武学奇术!$A:$ZZ,20,FALSE)+SUM(_xlfn.XLOOKUP(R135:AF135,增益!$A:$A,增益!$T:$T,0))</f>
        <v>1.35</v>
      </c>
      <c r="BN135" s="27">
        <f t="shared" si="51"/>
        <v>0.90767745</v>
      </c>
      <c r="BO135" s="27">
        <f t="shared" si="53"/>
        <v>-1.30104260698261e-17</v>
      </c>
      <c r="BP135" s="27">
        <f>IF(VLOOKUP($Q135,武学奇术!$A:$ZZ,22,FALSE)=1,0,(1-$BI135))*(1-$BL135)</f>
        <v>0.00282254999999999</v>
      </c>
      <c r="BQ135" s="27" cm="1">
        <f t="array" ref="BQ135">SUM(_xlfn.XLOOKUP(R135:AF135,增益!$A:$A,增益!$W:$W,0))+$I$5</f>
        <v>0.31</v>
      </c>
    </row>
    <row r="136" spans="11:69">
      <c r="K136" s="41">
        <f t="shared" si="42"/>
        <v>0</v>
      </c>
      <c r="L136" s="41">
        <f>((($AN136+$AO136)/2*$AH136+$AI136)*(1+$AP136)*(1+$AQ136)+(($AS136+$AT136)/2*IF($G$1="鸣金",$AJ136,$AH136)+IF($G$1="鸣金",$AK136*1.5,0))*(1+$AU136)*(1+$AV136)+(($AW136+$AX136)/2*IF($G$1="裂石",$AJ136,$AH136)+IF($G$1="裂石",$AK136*1.5,0))*(1+$AY136)*(1+$AZ136)+(($BA136+$BB136)/2*IF($G$1="牵丝",$AJ136,$AH136)+IF($G$1="牵丝",$AK136*1.5,0))*(1+$BC136)*(1+$BD136)+(($BE136+$BF136)/2*IF($G$1="破竹",$AJ136,$AH136)+IF($G$1="破竹",$AK136*1.5,0))*(1+$BG136)*(1+$BH136))*(1+$AL136)*$BK136*$P136*(1+IF(VLOOKUP($Q136,武学奇术!$A:$ZZ,30,FALSE)="弹道",$B$21,0))*(1+$BQ136)</f>
        <v>0</v>
      </c>
      <c r="M136" s="41">
        <f>(($AO136*$AH136+$AI136)*(1+$AP136)*(1+$AQ136)+($AT136*IF($G$1="鸣金",$AJ136,$AH136)+IF($G$1="鸣金",$AK136*1.5,0))*(1+$AU136)*(1+$AV136)+($AX136*IF($G$1="裂石",$AJ136,$AH136)+IF($G$1="裂石",$AK136*1.5,0))*(1+$AY136)*(1+$AZ136)+($BB136*IF($G$1="牵丝",$AJ136,$AH136)+IF($G$1="牵丝",$AK136*1.5,0))*(1+$BC136)*(1+$BD136)+($BF136*IF($G$1="破竹",$AJ136,$AH136)+IF($G$1="破竹",$AK136*1.5,0))*(1+$BG136)*(1+$BH136))*(1+$AL136)*$BM136*$P136*(1+IF(VLOOKUP($Q136,武学奇术!$A:$ZZ,30,FALSE)="弹道",$B$21,0))*(1+$BQ136)</f>
        <v>0</v>
      </c>
      <c r="N136" s="41">
        <f>((($AN136+$AO136)/2*$AH136+$AI136)*(1+$AP136)*(1+$AQ136)+(($AS136+$AT136)/2*IF($G$1="鸣金",$AJ136,$AH136)+IF($G$1="鸣金",$AK136*1.5,0))*(1+$AU136)*(1+$AV136)+(($AW136+$AX136)/2*IF($G$1="裂石",$AJ136,$AH136)+IF($G$1="裂石",$AK136*1.5,0))*(1+$AY136)*(1+$AZ136)+(($BA136+$BB136)/2*IF($G$1="牵丝",$AJ136,$AH136)+IF($G$1="牵丝",$AK136*1.5,0))*(1+$BC136)*(1+$BD136)+(($BE136+$BF136)/2*IF($G$1="破竹",$AJ136,$AH136)+IF($G$1="破竹",$AK136*1.5,0))*(1+$BG136)*(1+$BH136))*(1+$AL136)*$P136*(1+IF(VLOOKUP($Q136,武学奇术!$A:$ZZ,30,FALSE)="弹道",$B$21,0))*(1+$BQ136)</f>
        <v>0</v>
      </c>
      <c r="O136" s="41">
        <f>((($AN136*$AH136+$AI136)*(1+$AP136)*(1+$AQ136)+($AS136*IF($G$1="鸣金",$AJ136,$AH136)+IF($G$1="鸣金",$AK136*1.5,0))*(1+$AU136)*(1+$AV136)+($AW136*IF($G$1="裂石",$AJ136,$AH136)+IF($G$1="裂石",$AK136*1.5,0))*(1+$AY136)*(1+$AZ136)+($BA136*IF($G$1="牵丝",$AJ136,$AH136)+IF($G$1="牵丝",$AK136*1.5,0))*(1+$BC136)*(1+$BD136)+($BE136*IF($G$1="破竹",$AJ136,$AH136)+IF($G$1="破竹",$AK136*1.5,0))*(1+$BG136)*(1+$BH136))*(1+$AL136))*$P136*(1+IF(VLOOKUP($Q136,武学奇术!$A:$ZZ,30,FALSE)="弹道",$B$21,0))*(1+$BQ136)</f>
        <v>0</v>
      </c>
      <c r="P136" s="42">
        <f t="shared" si="52"/>
        <v>1</v>
      </c>
      <c r="Q136" s="43" t="s">
        <v>73</v>
      </c>
      <c r="R136" s="43" t="s">
        <v>73</v>
      </c>
      <c r="S136" s="43" t="s">
        <v>73</v>
      </c>
      <c r="T136" s="43" t="s">
        <v>73</v>
      </c>
      <c r="U136" s="43" t="s">
        <v>73</v>
      </c>
      <c r="V136" s="43" t="s">
        <v>73</v>
      </c>
      <c r="W136" s="43" t="s">
        <v>73</v>
      </c>
      <c r="X136" s="43" t="s">
        <v>73</v>
      </c>
      <c r="Y136" s="43" t="s">
        <v>73</v>
      </c>
      <c r="Z136" s="43" t="s">
        <v>73</v>
      </c>
      <c r="AA136" s="43" t="s">
        <v>73</v>
      </c>
      <c r="AB136" s="43" t="s">
        <v>73</v>
      </c>
      <c r="AC136" s="43" t="s">
        <v>73</v>
      </c>
      <c r="AD136" s="43" t="s">
        <v>73</v>
      </c>
      <c r="AE136" s="43" t="s">
        <v>73</v>
      </c>
      <c r="AF136" s="43" t="s">
        <v>75</v>
      </c>
      <c r="AG136" t="str">
        <f>VLOOKUP($Q136,武学奇术!$A:$ZZ,25,FALSE)</f>
        <v>心法</v>
      </c>
      <c r="AH136" s="27">
        <f>VLOOKUP($Q136,武学奇术!$A:$ZZ,26,FALSE)</f>
        <v>0</v>
      </c>
      <c r="AI136" s="28">
        <f>VLOOKUP($Q136,武学奇术!$A:$ZZ,27,FALSE)*(1+IF(OR($AG136=$F$4,$AG136=$F$5),$B$22,0))</f>
        <v>0</v>
      </c>
      <c r="AJ136" s="27">
        <f>VLOOKUP($Q136,武学奇术!$A:$ZZ,28,FALSE)</f>
        <v>0</v>
      </c>
      <c r="AK136" s="28">
        <f>VLOOKUP($Q136,武学奇术!$A:$ZZ,29,FALSE)*(1+IF(OR($AG136=$F$4,$AG136=$F$5),$B$22,0))</f>
        <v>0</v>
      </c>
      <c r="AL136" s="27" cm="1">
        <f t="array" ref="AL136">$G$3+IFERROR(VLOOKUP($AG136,$F$4:$G$7,2,FALSE),0)+VLOOKUP($Q136,武学奇术!$A:$ZZ,2,FALSE)+SUM(_xlfn.XLOOKUP($R136:$AF136,增益!$A:$A,增益!$B:$B,0))</f>
        <v>0.1837</v>
      </c>
      <c r="AM136" s="27" cm="1">
        <f t="array" ref="AM136">VLOOKUP($Q136,武学奇术!$A:$ZZ,5,FALSE)+SUM(_xlfn.XLOOKUP($R136:$AF136,增益!$A:$A,增益!$E:$E,0))</f>
        <v>0</v>
      </c>
      <c r="AN136" cm="1">
        <f t="array" ref="AN136">$D$10*(1+$AM136)+VLOOKUP($Q136,武学奇术!$A:$ZZ,3,FALSE)+SUM(_xlfn.XLOOKUP($R136:$AF136,增益!$A:$A,增益!$C:$C,0))-$I$2</f>
        <v>1775.7</v>
      </c>
      <c r="AO136" cm="1">
        <f t="array" ref="AO136">$E$10*(1+$AM136)+VLOOKUP($Q136,武学奇术!$A:$ZZ,4,FALSE)+SUM(_xlfn.XLOOKUP($R136:$AF136,增益!$A:$A,增益!$D:$D,0))-$I$2</f>
        <v>5251.5</v>
      </c>
      <c r="AP136" s="35" cm="1">
        <f t="array" ref="AP136">IF($F$10-$I$3+VLOOKUP($Q136,武学奇术!$A:$ZZ,6,FALSE)+SUM(_xlfn.XLOOKUP(R136:AF136,增益!$A:$A,增益!$F:$F,0))&gt;0,($F$10-$I$3+VLOOKUP($Q136,武学奇术!$A:$ZZ,6,FALSE)+SUM(_xlfn.XLOOKUP(R136:AF136,增益!$A:$A,增益!$F:$F,0)))/200,($F$10-$I$3+VLOOKUP($Q136,武学奇术!$A:$ZZ,6,FALSE)+SUM(_xlfn.XLOOKUP(R136:AF136,增益!$A:$A,增益!$F:$F,0)))/100)</f>
        <v>0.2925</v>
      </c>
      <c r="AQ136" s="35" cm="1">
        <f t="array" ref="AQ136">$G$10+VLOOKUP($Q136,武学奇术!$A:$ZZ,7,FALSE)+SUM(_xlfn.XLOOKUP(R136:AF136,增益!$A:$A,增益!$G:$G,0))</f>
        <v>0</v>
      </c>
      <c r="AR136" s="27" cm="1">
        <f t="array" ref="AR136">VLOOKUP($Q136,武学奇术!$A:$ZZ,8,FALSE)+SUM(_xlfn.XLOOKUP(R136:AF136,增益!$A:$A,增益!$H:$H,0))</f>
        <v>0</v>
      </c>
      <c r="AS136">
        <f t="shared" si="43"/>
        <v>0</v>
      </c>
      <c r="AT136">
        <f t="shared" si="44"/>
        <v>0</v>
      </c>
      <c r="AU136" s="35" cm="1">
        <f t="array" ref="AU136">IF($F$11-$I$4+VLOOKUP($Q136,武学奇术!$A:$ZZ,9,FALSE)+SUM(_xlfn.XLOOKUP(R136:AF136,增益!$A:$A,增益!$I:$I,0))&gt;0,($F$11-$I$4+VLOOKUP($Q136,武学奇术!$A:$ZZ,9,FALSE)+SUM(_xlfn.XLOOKUP(R136:AF136,增益!$A:$A,增益!$I:$I,0)))/200,($F$11-$I$4+VLOOKUP($Q136,武学奇术!$A:$ZZ,9,FALSE)+SUM(_xlfn.XLOOKUP(R136:AF136,增益!$A:$A,增益!$I:$I,0)))/100)</f>
        <v>-0.3</v>
      </c>
      <c r="AV136" s="35" cm="1">
        <f t="array" ref="AV136">$G$11+VLOOKUP($Q136,武学奇术!$A:$ZZ,10,FALSE)+SUM(_xlfn.XLOOKUP(R136:AF136,增益!$A:$A,增益!$J:$J,0))</f>
        <v>0</v>
      </c>
      <c r="AW136">
        <f t="shared" si="45"/>
        <v>0</v>
      </c>
      <c r="AX136">
        <f t="shared" si="46"/>
        <v>0</v>
      </c>
      <c r="AY136" s="35" cm="1">
        <f t="array" ref="AY136">IF($F$12-$I$4+VLOOKUP($Q136,武学奇术!$A:$ZZ,11,FALSE)+SUM(_xlfn.XLOOKUP(R136:AF136,增益!$A:$A,增益!$K:$K,0))&gt;0,($F$12-$I$4+VLOOKUP($Q136,武学奇术!$A:$ZZ,11,FALSE)+SUM(_xlfn.XLOOKUP(R136:AF136,增益!$A:$A,增益!$K:$K,0)))/200,($F$12-$I$4+VLOOKUP($Q136,武学奇术!$A:$ZZ,11,FALSE)+SUM(_xlfn.XLOOKUP(R136:AF136,增益!$A:$A,增益!$K:$K,0)))/100)</f>
        <v>-0.3</v>
      </c>
      <c r="AZ136" s="35" cm="1">
        <f t="array" ref="AZ136">$G$12+VLOOKUP($Q136,武学奇术!$A:$ZZ,12,FALSE)+SUM(_xlfn.XLOOKUP(R136:AF136,增益!$A:$A,增益!$L:$L,0))</f>
        <v>0</v>
      </c>
      <c r="BA136">
        <f t="shared" si="47"/>
        <v>538</v>
      </c>
      <c r="BB136">
        <f t="shared" si="48"/>
        <v>1011</v>
      </c>
      <c r="BC136" s="35" cm="1">
        <f t="array" ref="BC136">IF($F$13-$I$4+VLOOKUP($Q136,武学奇术!$A:$ZZ,13,FALSE)+SUM(_xlfn.XLOOKUP(R136:AF136,增益!$A:$A,增益!$M:$M,0))&gt;0,($F$13-$I$4+VLOOKUP($Q136,武学奇术!$A:$ZZ,13,FALSE)+SUM(_xlfn.XLOOKUP(R136:AF136,增益!$A:$A,增益!$K:$K,0)))/200,($F$13-$I$4+VLOOKUP($Q136,武学奇术!$A:$ZZ,13,FALSE)+SUM(_xlfn.XLOOKUP(R136:AF136,增益!$A:$A,增益!$M:$M,0)))/100)</f>
        <v>0</v>
      </c>
      <c r="BD136" s="35" cm="1">
        <f t="array" ref="BD136">$G$13+VLOOKUP($Q136,武学奇术!$A:$ZZ,14,FALSE)+SUM(_xlfn.XLOOKUP(R136:AF136,增益!$A:$A,增益!$N:$N,0))</f>
        <v>0.15</v>
      </c>
      <c r="BE136">
        <f t="shared" si="49"/>
        <v>0</v>
      </c>
      <c r="BF136">
        <f t="shared" si="50"/>
        <v>0</v>
      </c>
      <c r="BG136" s="35" cm="1">
        <f t="array" ref="BG136">IF($F$14-$I$4+VLOOKUP($Q136,武学奇术!$A:$ZZ,15,FALSE)+SUM(_xlfn.XLOOKUP(R136:AF136,增益!$A:$A,增益!$O:$O,0))&gt;0,($F$14-$I$4+VLOOKUP($Q136,武学奇术!$A:$ZZ,15,FALSE)+SUM(_xlfn.XLOOKUP(R136:AF136,增益!$A:$A,增益!$O:$O,0)))/200,($F$14-$I$4+VLOOKUP($Q136,武学奇术!$A:$ZZ,15,FALSE)+SUM(_xlfn.XLOOKUP(R136:AF136,增益!$A:$A,增益!$O:$O,0)))/100)</f>
        <v>-0.3</v>
      </c>
      <c r="BH136" s="35" cm="1">
        <f t="array" ref="BH136">$G$14+VLOOKUP($Q136,武学奇术!$A:$ZZ,16,FALSE)+SUM(_xlfn.XLOOKUP(R136:AF136,增益!$A:$A,增益!$P:$P,0))</f>
        <v>0</v>
      </c>
      <c r="BI136" s="27">
        <f>MIN(IF(VLOOKUP($Q136,武学奇术!$A:$ZZ,23,FALSE)=1,100%,$B$8),100%)</f>
        <v>0.9969</v>
      </c>
      <c r="BJ136" s="27" cm="1">
        <f t="array" ref="BJ136">IF(VLOOKUP($Q136,武学奇术!$A:$ZZ,23,FALSE)=1,100%,MIN(80%,$B$9+VLOOKUP($Q136,武学奇术!$A:$ZZ,17,FALSE)+SUM(_xlfn.XLOOKUP(R136:AF136,增益!$A:$A,增益!$Q:$Q,0)))+$B$11+SUM(_xlfn.XLOOKUP(R136:AF136,增益!$A:$A,增益!$U:$U,0)))*IF(VLOOKUP($Q136,武学奇术!$A:$ZZ,24,FALSE)=1,0,1)</f>
        <v>0.9137</v>
      </c>
      <c r="BK136" s="27" cm="1">
        <f t="array" ref="BK136">1+$B$13+VLOOKUP($Q136,武学奇术!$A:$ZZ,18,FALSE)+SUM(_xlfn.XLOOKUP(R136:AF136,增益!$A:$A,增益!$R:$R,0))</f>
        <v>1.5</v>
      </c>
      <c r="BL136" s="27" cm="1">
        <f t="array" ref="BL136">IF(VLOOKUP($Q136,武学奇术!$A:$ZZ,24,FALSE)=1,100%,MIN(40%,$B$10+VLOOKUP($Q136,武学奇术!$A:$ZZ,19,FALSE)+SUM(_xlfn.XLOOKUP(R136:AF136,增益!$A:$A,增益!$S:$S,0)))+$B$12+SUM(_xlfn.XLOOKUP(R136:AF136,增益!$A:$A,增益!$V:$V,0)))*IF(VLOOKUP($Q136,武学奇术!$A:$ZZ,23,FALSE)=1,0,1)</f>
        <v>0.0895</v>
      </c>
      <c r="BM136" s="27" cm="1">
        <f t="array" ref="BM136">1+$B$14+VLOOKUP($Q136,武学奇术!$A:$ZZ,20,FALSE)+SUM(_xlfn.XLOOKUP(R136:AF136,增益!$A:$A,增益!$T:$T,0))</f>
        <v>1.35</v>
      </c>
      <c r="BN136" s="27">
        <f t="shared" si="51"/>
        <v>0.90767745</v>
      </c>
      <c r="BO136" s="27">
        <f t="shared" si="53"/>
        <v>-1.30104260698261e-17</v>
      </c>
      <c r="BP136" s="27">
        <f>IF(VLOOKUP($Q136,武学奇术!$A:$ZZ,22,FALSE)=1,0,(1-$BI136))*(1-$BL136)</f>
        <v>0.00282254999999999</v>
      </c>
      <c r="BQ136" s="27" cm="1">
        <f t="array" ref="BQ136">SUM(_xlfn.XLOOKUP(R136:AF136,增益!$A:$A,增益!$W:$W,0))+$I$5</f>
        <v>0.11</v>
      </c>
    </row>
  </sheetData>
  <mergeCells count="33">
    <mergeCell ref="H1:I1"/>
    <mergeCell ref="C8:G8"/>
    <mergeCell ref="C15:D15"/>
    <mergeCell ref="C21:D21"/>
    <mergeCell ref="C22:D22"/>
    <mergeCell ref="A23:A24"/>
    <mergeCell ref="C66:C69"/>
    <mergeCell ref="C110:C115"/>
    <mergeCell ref="D35:D38"/>
    <mergeCell ref="D52:D55"/>
    <mergeCell ref="D70:D74"/>
    <mergeCell ref="D89:D92"/>
    <mergeCell ref="D107:D110"/>
    <mergeCell ref="D116:D118"/>
    <mergeCell ref="E21:E22"/>
    <mergeCell ref="E31:E42"/>
    <mergeCell ref="E70:E79"/>
    <mergeCell ref="F21:F22"/>
    <mergeCell ref="G32:G46"/>
    <mergeCell ref="G52:G65"/>
    <mergeCell ref="G68:G79"/>
    <mergeCell ref="G92:G104"/>
    <mergeCell ref="G110:G118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"烟柳,撼天"</formula1>
    </dataValidation>
    <dataValidation type="list" allowBlank="1" showInputMessage="1" showErrorMessage="1" sqref="C22:D22">
      <formula1>"易水歌,征人归"</formula1>
    </dataValidation>
    <dataValidation type="list" allowBlank="1" showInputMessage="1" showErrorMessage="1" sqref="D16:D20 F15:F17">
      <formula1>"√,×"</formula1>
    </dataValidation>
    <dataValidation type="list" allowBlank="1" showInputMessage="1" showErrorMessage="1" sqref="F21:F22">
      <formula1>"全蹭,不蹭,不带"</formula1>
    </dataValidation>
    <dataValidation type="list" allowBlank="1" showInputMessage="1" showErrorMessage="1" sqref="Q2:Q136">
      <formula1>武学奇术!$A:$A</formula1>
    </dataValidation>
    <dataValidation type="list" allowBlank="1" showInputMessage="1" showErrorMessage="1" sqref="R2:AF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36"/>
  <sheetViews>
    <sheetView topLeftCell="A70" workbookViewId="0">
      <selection activeCell="R119" sqref="R119"/>
    </sheetView>
  </sheetViews>
  <sheetFormatPr defaultColWidth="9" defaultRowHeight="13.5"/>
  <cols>
    <col min="1" max="1" width="12.875" customWidth="1"/>
    <col min="4" max="4" width="9.375"/>
    <col min="11" max="15" width="12.625" style="28" customWidth="1"/>
    <col min="17" max="17" width="24.625" style="34" customWidth="1"/>
    <col min="18" max="32" width="9" style="34"/>
    <col min="34" max="34" width="9" style="27"/>
    <col min="35" max="35" width="9" style="28"/>
    <col min="36" max="36" width="9" style="27"/>
    <col min="37" max="37" width="9" style="28"/>
    <col min="38" max="39" width="9" style="27"/>
    <col min="42" max="44" width="9" style="35"/>
    <col min="47" max="48" width="9" style="35"/>
    <col min="61" max="65" width="9" style="27"/>
    <col min="66" max="67" width="9.00833333333333" style="27" customWidth="1"/>
    <col min="68" max="69" width="9" style="27"/>
  </cols>
  <sheetData>
    <row r="1" spans="1:69">
      <c r="A1" s="36"/>
      <c r="B1" s="37" t="s">
        <v>0</v>
      </c>
      <c r="C1" s="37" t="s">
        <v>1</v>
      </c>
      <c r="D1" s="37" t="s">
        <v>2</v>
      </c>
      <c r="E1" s="38" t="s">
        <v>3</v>
      </c>
      <c r="F1" s="39" t="s">
        <v>4</v>
      </c>
      <c r="G1" s="40" t="s">
        <v>5</v>
      </c>
      <c r="H1" s="39" t="s">
        <v>6</v>
      </c>
      <c r="I1" s="40"/>
      <c r="K1" s="41" t="s">
        <v>7</v>
      </c>
      <c r="L1" s="41" t="s">
        <v>8</v>
      </c>
      <c r="M1" s="41" t="s">
        <v>9</v>
      </c>
      <c r="N1" s="41" t="s">
        <v>10</v>
      </c>
      <c r="O1" s="41" t="s">
        <v>11</v>
      </c>
      <c r="P1" s="42" t="s">
        <v>12</v>
      </c>
      <c r="Q1" s="43" t="s">
        <v>13</v>
      </c>
      <c r="R1" s="43" t="s">
        <v>14</v>
      </c>
      <c r="S1" s="43" t="s">
        <v>15</v>
      </c>
      <c r="T1" s="43" t="s">
        <v>16</v>
      </c>
      <c r="U1" s="43" t="s">
        <v>17</v>
      </c>
      <c r="V1" s="43" t="s">
        <v>18</v>
      </c>
      <c r="W1" s="43" t="s">
        <v>19</v>
      </c>
      <c r="X1" s="43" t="s">
        <v>20</v>
      </c>
      <c r="Y1" s="43" t="s">
        <v>21</v>
      </c>
      <c r="Z1" s="43" t="s">
        <v>22</v>
      </c>
      <c r="AA1" s="43" t="s">
        <v>23</v>
      </c>
      <c r="AB1" s="43" t="s">
        <v>24</v>
      </c>
      <c r="AC1" s="43" t="s">
        <v>25</v>
      </c>
      <c r="AD1" s="43" t="s">
        <v>26</v>
      </c>
      <c r="AE1" s="43" t="s">
        <v>27</v>
      </c>
      <c r="AF1" s="43" t="s">
        <v>28</v>
      </c>
      <c r="AG1" t="s">
        <v>29</v>
      </c>
      <c r="AH1" s="27" t="s">
        <v>30</v>
      </c>
      <c r="AI1" s="28" t="s">
        <v>31</v>
      </c>
      <c r="AJ1" s="27" t="s">
        <v>32</v>
      </c>
      <c r="AK1" s="28" t="s">
        <v>33</v>
      </c>
      <c r="AL1" s="27" t="s">
        <v>34</v>
      </c>
      <c r="AM1" s="27" t="s">
        <v>35</v>
      </c>
      <c r="AN1" t="s">
        <v>36</v>
      </c>
      <c r="AO1" t="s">
        <v>37</v>
      </c>
      <c r="AP1" s="35" t="s">
        <v>38</v>
      </c>
      <c r="AQ1" s="35" t="s">
        <v>39</v>
      </c>
      <c r="AR1" s="35" t="s">
        <v>40</v>
      </c>
      <c r="AS1" t="s">
        <v>41</v>
      </c>
      <c r="AT1" t="s">
        <v>42</v>
      </c>
      <c r="AU1" s="35" t="s">
        <v>43</v>
      </c>
      <c r="AV1" s="35" t="s">
        <v>44</v>
      </c>
      <c r="AW1" t="s">
        <v>45</v>
      </c>
      <c r="AX1" t="s">
        <v>46</v>
      </c>
      <c r="AY1" s="35" t="s">
        <v>47</v>
      </c>
      <c r="AZ1" s="35" t="s">
        <v>48</v>
      </c>
      <c r="BA1" t="s">
        <v>49</v>
      </c>
      <c r="BB1" t="s">
        <v>50</v>
      </c>
      <c r="BC1" s="35" t="s">
        <v>51</v>
      </c>
      <c r="BD1" s="35" t="s">
        <v>52</v>
      </c>
      <c r="BE1" t="s">
        <v>53</v>
      </c>
      <c r="BF1" t="s">
        <v>54</v>
      </c>
      <c r="BG1" s="35" t="s">
        <v>55</v>
      </c>
      <c r="BH1" s="35" t="s">
        <v>56</v>
      </c>
      <c r="BI1" s="27" t="s">
        <v>57</v>
      </c>
      <c r="BJ1" s="27" t="s">
        <v>58</v>
      </c>
      <c r="BK1" s="27" t="s">
        <v>59</v>
      </c>
      <c r="BL1" s="27" t="s">
        <v>60</v>
      </c>
      <c r="BM1" s="27" t="s">
        <v>61</v>
      </c>
      <c r="BN1" s="27" t="s">
        <v>62</v>
      </c>
      <c r="BO1" s="27" t="s">
        <v>63</v>
      </c>
      <c r="BP1" s="27" t="s">
        <v>64</v>
      </c>
      <c r="BQ1" s="27" t="s">
        <v>65</v>
      </c>
    </row>
    <row r="2" spans="1:69">
      <c r="A2" s="44" t="s">
        <v>66</v>
      </c>
      <c r="B2" s="34"/>
      <c r="C2" s="34"/>
      <c r="D2" s="34"/>
      <c r="E2" s="45"/>
      <c r="F2" s="46" t="s">
        <v>67</v>
      </c>
      <c r="G2" s="47" t="s">
        <v>68</v>
      </c>
      <c r="H2" s="48" t="s">
        <v>69</v>
      </c>
      <c r="I2" s="11">
        <f>620*(1-IF(F17="√",0.06,0)-IF(D20="√",0.04,0))</f>
        <v>620</v>
      </c>
      <c r="K2" s="41">
        <f t="shared" ref="K2:K65" si="0">($L2*$BN2+$M2*$BL2+$N2*$BO2+$O2*$BP2)</f>
        <v>16760.4344700954</v>
      </c>
      <c r="L2" s="41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弹道",$B$21,0))*(1+$BQ2)</f>
        <v>16378.5827898288</v>
      </c>
      <c r="M2" s="41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弹道",$B$21,0))*(1+$BQ2)</f>
        <v>20967.2756500062</v>
      </c>
      <c r="N2" s="41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弹道",$B$21,0))*(1+$BQ2)</f>
        <v>10846.743569423</v>
      </c>
      <c r="O2" s="41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弹道",$B$21,0))*(1+$BQ2)</f>
        <v>6162.1718425452</v>
      </c>
      <c r="P2" s="42">
        <v>1</v>
      </c>
      <c r="Q2" s="43" t="s">
        <v>70</v>
      </c>
      <c r="R2" s="43" t="s">
        <v>71</v>
      </c>
      <c r="S2" s="43" t="s">
        <v>72</v>
      </c>
      <c r="T2" s="43" t="s">
        <v>73</v>
      </c>
      <c r="U2" s="43" t="s">
        <v>73</v>
      </c>
      <c r="V2" s="43" t="s">
        <v>73</v>
      </c>
      <c r="W2" s="43" t="s">
        <v>73</v>
      </c>
      <c r="X2" s="43" t="s">
        <v>73</v>
      </c>
      <c r="Y2" s="43" t="s">
        <v>73</v>
      </c>
      <c r="Z2" s="43" t="s">
        <v>73</v>
      </c>
      <c r="AA2" s="43" t="s">
        <v>74</v>
      </c>
      <c r="AB2" s="43" t="s">
        <v>73</v>
      </c>
      <c r="AC2" s="43" t="s">
        <v>73</v>
      </c>
      <c r="AD2" s="43" t="s">
        <v>73</v>
      </c>
      <c r="AE2" s="43" t="s">
        <v>73</v>
      </c>
      <c r="AF2" s="43" t="s">
        <v>75</v>
      </c>
      <c r="AG2" t="str">
        <f>VLOOKUP($Q2,武学奇术!$A:$ZZ,25,FALSE)</f>
        <v>群体奇术</v>
      </c>
      <c r="AH2" s="27">
        <f>VLOOKUP($Q2,武学奇术!$A:$ZZ,26,FALSE)</f>
        <v>1.4904</v>
      </c>
      <c r="AI2" s="28">
        <f>VLOOKUP($Q2,武学奇术!$A:$ZZ,27,FALSE)*(1+IF(OR($AG2=$F$4,$AG2=$F$5),$B$22,0))</f>
        <v>368</v>
      </c>
      <c r="AJ2" s="27">
        <f>VLOOKUP($Q2,武学奇术!$A:$ZZ,28,FALSE)</f>
        <v>2.2353</v>
      </c>
      <c r="AK2" s="28">
        <f>VLOOKUP($Q2,武学奇术!$A:$ZZ,29,FALSE)*(1+IF(OR($AG2=$F$4,$AG2=$F$5),$B$22,0))</f>
        <v>0</v>
      </c>
      <c r="AL2" s="27" cm="1">
        <f t="array" ref="AL2">$G$3+IFERROR(VLOOKUP($AG2,$F$4:$G$7,2,FALSE),0)+VLOOKUP($Q2,武学奇术!$A:$ZZ,2,FALSE)+SUM(_xlfn.XLOOKUP($R2:$AF2,增益!$A:$A,增益!$B:$B,0))</f>
        <v>0.1337</v>
      </c>
      <c r="AM2" s="27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1713.7</v>
      </c>
      <c r="AO2" cm="1">
        <f t="array" ref="AO2">$E$10*(1+$AM2)+VLOOKUP($Q2,武学奇术!$A:$ZZ,4,FALSE)+SUM(_xlfn.XLOOKUP($R2:$AF2,增益!$A:$A,增益!$D:$D,0))-$I$2</f>
        <v>5189.5</v>
      </c>
      <c r="AP2" s="35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0.2025</v>
      </c>
      <c r="AQ2" s="35" cm="1">
        <f t="array" ref="AQ2">$G$10+VLOOKUP($Q2,武学奇术!$A:$ZZ,7,FALSE)+SUM(_xlfn.XLOOKUP(R2:AF2,增益!$A:$A,增益!$G:$G,0))</f>
        <v>0</v>
      </c>
      <c r="AR2" s="27" cm="1">
        <f t="array" ref="AR2">VLOOKUP($Q2,武学奇术!$A:$ZZ,8,FALSE)+SUM(_xlfn.XLOOKUP(R2:AF2,增益!$A:$A,增益!$H:$H,0))</f>
        <v>0</v>
      </c>
      <c r="AS2">
        <f t="shared" ref="AS2:AS65" si="1">$D$11*(1+$AR2)</f>
        <v>0</v>
      </c>
      <c r="AT2">
        <f t="shared" ref="AT2:AT65" si="2">$E$11*(1+$AR2)</f>
        <v>0</v>
      </c>
      <c r="AU2" s="35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-0.3</v>
      </c>
      <c r="AV2" s="35" cm="1">
        <f t="array" ref="AV2">$G$11+VLOOKUP($Q2,武学奇术!$A:$ZZ,10,FALSE)+SUM(_xlfn.XLOOKUP(R2:AF2,增益!$A:$A,增益!$J:$J,0))</f>
        <v>0</v>
      </c>
      <c r="AW2">
        <f t="shared" ref="AW2:AW65" si="3">$D$12*(1+$AR2)</f>
        <v>0</v>
      </c>
      <c r="AX2">
        <f t="shared" ref="AX2:AX65" si="4">$E$12*(1+$AR2)</f>
        <v>0</v>
      </c>
      <c r="AY2" s="35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-0.3</v>
      </c>
      <c r="AZ2" s="35" cm="1">
        <f t="array" ref="AZ2">$G$12+VLOOKUP($Q2,武学奇术!$A:$ZZ,12,FALSE)+SUM(_xlfn.XLOOKUP(R2:AF2,增益!$A:$A,增益!$L:$L,0))</f>
        <v>0</v>
      </c>
      <c r="BA2">
        <f t="shared" ref="BA2:BA65" si="5">$D$13*(1+$AR2)</f>
        <v>538</v>
      </c>
      <c r="BB2">
        <f t="shared" ref="BB2:BB65" si="6">$E$13*(1+$AR2)</f>
        <v>1011</v>
      </c>
      <c r="BC2" s="35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0</v>
      </c>
      <c r="BD2" s="35" cm="1">
        <f t="array" ref="BD2">$G$13+VLOOKUP($Q2,武学奇术!$A:$ZZ,14,FALSE)+SUM(_xlfn.XLOOKUP(R2:AF2,增益!$A:$A,增益!$N:$N,0))</f>
        <v>0.15</v>
      </c>
      <c r="BE2">
        <f t="shared" ref="BE2:BE65" si="7">$D$14*(1+$AR2)</f>
        <v>0</v>
      </c>
      <c r="BF2">
        <f t="shared" ref="BF2:BF65" si="8">$E$14*(1+$AR2)</f>
        <v>0</v>
      </c>
      <c r="BG2" s="35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-0.3</v>
      </c>
      <c r="BH2" s="35" cm="1">
        <f t="array" ref="BH2">$G$14+VLOOKUP($Q2,武学奇术!$A:$ZZ,16,FALSE)+SUM(_xlfn.XLOOKUP(R2:AF2,增益!$A:$A,增益!$P:$P,0))</f>
        <v>0</v>
      </c>
      <c r="BI2" s="27">
        <f>MIN(IF(VLOOKUP($Q2,武学奇术!$A:$ZZ,23,FALSE)=1,100%,$B$8),100%)</f>
        <v>0.9969</v>
      </c>
      <c r="BJ2" s="27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0.9137</v>
      </c>
      <c r="BK2" s="27" cm="1">
        <f t="array" ref="BK2">1+$B$13+VLOOKUP($Q2,武学奇术!$A:$ZZ,18,FALSE)+SUM(_xlfn.XLOOKUP(R2:AF2,增益!$A:$A,增益!$R:$R,0))</f>
        <v>1.51</v>
      </c>
      <c r="BL2" s="27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0.0895</v>
      </c>
      <c r="BM2" s="27" cm="1">
        <f t="array" ref="BM2">1+$B$14+VLOOKUP($Q2,武学奇术!$A:$ZZ,20,FALSE)+SUM(_xlfn.XLOOKUP(R2:AF2,增益!$A:$A,增益!$T:$T,0))</f>
        <v>1.35</v>
      </c>
      <c r="BN2" s="27">
        <f t="shared" ref="BN2:BN65" si="9">MIN((1-BL2)*BI2,BI2*BJ2)</f>
        <v>0.90767745</v>
      </c>
      <c r="BO2" s="27">
        <f t="shared" ref="BO2:BO65" si="10">1-BL2-BN2-BP2</f>
        <v>-1.30104260698261e-17</v>
      </c>
      <c r="BP2" s="27">
        <f>IF(VLOOKUP($Q2,武学奇术!$A:$ZZ,22,FALSE)=1,0,(1-$BI2))*(1-$BL2)</f>
        <v>0.00282254999999999</v>
      </c>
      <c r="BQ2" s="27" cm="1">
        <f t="array" ref="BQ2">SUM(_xlfn.XLOOKUP(R2:AF2,增益!$A:$A,增益!$W:$W,0))+$I$5</f>
        <v>0.11</v>
      </c>
    </row>
    <row r="3" spans="1:69">
      <c r="A3" s="49" t="s">
        <v>76</v>
      </c>
      <c r="B3" s="50"/>
      <c r="C3" s="50"/>
      <c r="D3" s="50"/>
      <c r="E3" s="51"/>
      <c r="F3" s="48" t="s">
        <v>34</v>
      </c>
      <c r="G3" s="52">
        <f>B16+1.5%+IF($D$16="√",8%,0)+IF($C$22="征人归",8%,0)</f>
        <v>0.1037</v>
      </c>
      <c r="H3" s="48" t="s">
        <v>77</v>
      </c>
      <c r="I3" s="11">
        <f>25-IF(D17="√",10,0)-IF(F17="√",10,0)</f>
        <v>25</v>
      </c>
      <c r="K3" s="41">
        <f t="shared" si="0"/>
        <v>17116.6749109919</v>
      </c>
      <c r="L3" s="41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弹道",$B$21,0))*(1+$BQ3)</f>
        <v>16738.8445981187</v>
      </c>
      <c r="M3" s="41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弹道",$B$21,0))*(1+$BQ3)</f>
        <v>21291.0834384053</v>
      </c>
      <c r="N3" s="41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弹道",$B$21,0))*(1+$BQ3)</f>
        <v>11012.3977619202</v>
      </c>
      <c r="O3" s="41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弹道",$B$21,0))*(1+$BQ3)</f>
        <v>6253.62260650312</v>
      </c>
      <c r="P3" s="42">
        <v>1</v>
      </c>
      <c r="Q3" s="43" t="s">
        <v>70</v>
      </c>
      <c r="R3" s="43" t="s">
        <v>78</v>
      </c>
      <c r="S3" s="43" t="s">
        <v>79</v>
      </c>
      <c r="T3" s="43" t="s">
        <v>73</v>
      </c>
      <c r="U3" s="43" t="s">
        <v>73</v>
      </c>
      <c r="V3" s="43" t="s">
        <v>73</v>
      </c>
      <c r="W3" s="43" t="s">
        <v>73</v>
      </c>
      <c r="X3" s="43" t="s">
        <v>73</v>
      </c>
      <c r="Y3" s="43" t="s">
        <v>73</v>
      </c>
      <c r="Z3" s="43" t="s">
        <v>73</v>
      </c>
      <c r="AA3" s="43" t="s">
        <v>74</v>
      </c>
      <c r="AB3" s="43" t="s">
        <v>73</v>
      </c>
      <c r="AC3" s="43" t="s">
        <v>73</v>
      </c>
      <c r="AD3" s="43" t="s">
        <v>73</v>
      </c>
      <c r="AE3" s="43" t="s">
        <v>73</v>
      </c>
      <c r="AF3" s="43" t="s">
        <v>75</v>
      </c>
      <c r="AG3" t="str">
        <f>VLOOKUP($Q3,武学奇术!$A:$ZZ,25,FALSE)</f>
        <v>群体奇术</v>
      </c>
      <c r="AH3" s="27">
        <f>VLOOKUP($Q3,武学奇术!$A:$ZZ,26,FALSE)</f>
        <v>1.4904</v>
      </c>
      <c r="AI3" s="28">
        <f>VLOOKUP($Q3,武学奇术!$A:$ZZ,27,FALSE)*(1+IF(OR($AG3=$F$4,$AG3=$F$5),$B$22,0))</f>
        <v>368</v>
      </c>
      <c r="AJ3" s="27">
        <f>VLOOKUP($Q3,武学奇术!$A:$ZZ,28,FALSE)</f>
        <v>2.2353</v>
      </c>
      <c r="AK3" s="28">
        <f>VLOOKUP($Q3,武学奇术!$A:$ZZ,29,FALSE)*(1+IF(OR($AG3=$F$4,$AG3=$F$5),$B$22,0))</f>
        <v>0</v>
      </c>
      <c r="AL3" s="27" cm="1">
        <f t="array" ref="AL3">$G$3+IFERROR(VLOOKUP($AG3,$F$4:$G$7,2,FALSE),0)+VLOOKUP($Q3,武学奇术!$A:$ZZ,2,FALSE)+SUM(_xlfn.XLOOKUP($R3:$AF3,增益!$A:$A,增益!$B:$B,0))</f>
        <v>0.1437</v>
      </c>
      <c r="AM3" s="27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1713.7</v>
      </c>
      <c r="AO3" cm="1">
        <f t="array" ref="AO3">$E$10*(1+$AM3)+VLOOKUP($Q3,武学奇术!$A:$ZZ,4,FALSE)+SUM(_xlfn.XLOOKUP($R3:$AF3,增益!$A:$A,增益!$D:$D,0))-$I$2</f>
        <v>5189.5</v>
      </c>
      <c r="AP3" s="35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0.2125</v>
      </c>
      <c r="AQ3" s="35" cm="1">
        <f t="array" ref="AQ3">$G$10+VLOOKUP($Q3,武学奇术!$A:$ZZ,7,FALSE)+SUM(_xlfn.XLOOKUP(R3:AF3,增益!$A:$A,增益!$G:$G,0))</f>
        <v>0</v>
      </c>
      <c r="AR3" s="27" cm="1">
        <f t="array" ref="AR3">VLOOKUP($Q3,武学奇术!$A:$ZZ,8,FALSE)+SUM(_xlfn.XLOOKUP(R3:AF3,增益!$A:$A,增益!$H:$H,0))</f>
        <v>0</v>
      </c>
      <c r="AS3">
        <f t="shared" si="1"/>
        <v>0</v>
      </c>
      <c r="AT3">
        <f t="shared" si="2"/>
        <v>0</v>
      </c>
      <c r="AU3" s="35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-0.3</v>
      </c>
      <c r="AV3" s="35" cm="1">
        <f t="array" ref="AV3">$G$11+VLOOKUP($Q3,武学奇术!$A:$ZZ,10,FALSE)+SUM(_xlfn.XLOOKUP(R3:AF3,增益!$A:$A,增益!$J:$J,0))</f>
        <v>0</v>
      </c>
      <c r="AW3">
        <f t="shared" si="3"/>
        <v>0</v>
      </c>
      <c r="AX3">
        <f t="shared" si="4"/>
        <v>0</v>
      </c>
      <c r="AY3" s="35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-0.3</v>
      </c>
      <c r="AZ3" s="35" cm="1">
        <f t="array" ref="AZ3">$G$12+VLOOKUP($Q3,武学奇术!$A:$ZZ,12,FALSE)+SUM(_xlfn.XLOOKUP(R3:AF3,增益!$A:$A,增益!$L:$L,0))</f>
        <v>0</v>
      </c>
      <c r="BA3">
        <f t="shared" si="5"/>
        <v>538</v>
      </c>
      <c r="BB3">
        <f t="shared" si="6"/>
        <v>1011</v>
      </c>
      <c r="BC3" s="35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0</v>
      </c>
      <c r="BD3" s="35" cm="1">
        <f t="array" ref="BD3">$G$13+VLOOKUP($Q3,武学奇术!$A:$ZZ,14,FALSE)+SUM(_xlfn.XLOOKUP(R3:AF3,增益!$A:$A,增益!$N:$N,0))</f>
        <v>0.15</v>
      </c>
      <c r="BE3">
        <f t="shared" si="7"/>
        <v>0</v>
      </c>
      <c r="BF3">
        <f t="shared" si="8"/>
        <v>0</v>
      </c>
      <c r="BG3" s="35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-0.3</v>
      </c>
      <c r="BH3" s="35" cm="1">
        <f t="array" ref="BH3">$G$14+VLOOKUP($Q3,武学奇术!$A:$ZZ,16,FALSE)+SUM(_xlfn.XLOOKUP(R3:AF3,增益!$A:$A,增益!$P:$P,0))</f>
        <v>0</v>
      </c>
      <c r="BI3" s="27">
        <f>MIN(IF(VLOOKUP($Q3,武学奇术!$A:$ZZ,23,FALSE)=1,100%,$B$8),100%)</f>
        <v>0.9969</v>
      </c>
      <c r="BJ3" s="27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0.9137</v>
      </c>
      <c r="BK3" s="27" cm="1">
        <f t="array" ref="BK3">1+$B$13+VLOOKUP($Q3,武学奇术!$A:$ZZ,18,FALSE)+SUM(_xlfn.XLOOKUP(R3:AF3,增益!$A:$A,增益!$R:$R,0))</f>
        <v>1.52</v>
      </c>
      <c r="BL3" s="27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0.0895</v>
      </c>
      <c r="BM3" s="27" cm="1">
        <f t="array" ref="BM3">1+$B$14+VLOOKUP($Q3,武学奇术!$A:$ZZ,20,FALSE)+SUM(_xlfn.XLOOKUP(R3:AF3,增益!$A:$A,增益!$T:$T,0))</f>
        <v>1.35</v>
      </c>
      <c r="BN3" s="27">
        <f t="shared" si="9"/>
        <v>0.90767745</v>
      </c>
      <c r="BO3" s="27">
        <f t="shared" si="10"/>
        <v>-1.30104260698261e-17</v>
      </c>
      <c r="BP3" s="27">
        <f>IF(VLOOKUP($Q3,武学奇术!$A:$ZZ,22,FALSE)=1,0,(1-$BI3))*(1-$BL3)</f>
        <v>0.00282254999999999</v>
      </c>
      <c r="BQ3" s="27" cm="1">
        <f t="array" ref="BQ3">SUM(_xlfn.XLOOKUP(R3:AF3,增益!$A:$A,增益!$W:$W,0))+$I$5</f>
        <v>0.11</v>
      </c>
    </row>
    <row r="4" ht="14.25" spans="1:69">
      <c r="A4" s="53" t="s">
        <v>81</v>
      </c>
      <c r="B4" s="54"/>
      <c r="C4" s="54"/>
      <c r="D4" s="54"/>
      <c r="E4" s="55"/>
      <c r="F4" s="48" t="s">
        <v>82</v>
      </c>
      <c r="G4" s="52">
        <f>B15+B17</f>
        <v>0.1704</v>
      </c>
      <c r="H4" s="56" t="s">
        <v>83</v>
      </c>
      <c r="I4" s="15">
        <f>30</f>
        <v>30</v>
      </c>
      <c r="K4" s="41">
        <f t="shared" si="0"/>
        <v>18591.3320803444</v>
      </c>
      <c r="L4" s="41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弹道",$B$21,0))*(1+$BQ4)</f>
        <v>18194.4395818397</v>
      </c>
      <c r="M4" s="41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弹道",$B$21,0))*(1+$BQ4)</f>
        <v>22989.7848127465</v>
      </c>
      <c r="N4" s="41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弹道",$B$21,0))*(1+$BQ4)</f>
        <v>11891.7905763658</v>
      </c>
      <c r="O4" s="41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弹道",$B$21,0))*(1+$BQ4)</f>
        <v>6754.11092106751</v>
      </c>
      <c r="P4" s="42">
        <v>1</v>
      </c>
      <c r="Q4" s="43" t="s">
        <v>70</v>
      </c>
      <c r="R4" s="43" t="s">
        <v>84</v>
      </c>
      <c r="S4" s="43" t="s">
        <v>85</v>
      </c>
      <c r="T4" s="43" t="s">
        <v>73</v>
      </c>
      <c r="U4" s="43" t="s">
        <v>86</v>
      </c>
      <c r="V4" s="43" t="s">
        <v>73</v>
      </c>
      <c r="W4" s="43" t="s">
        <v>73</v>
      </c>
      <c r="X4" s="43" t="s">
        <v>73</v>
      </c>
      <c r="Y4" s="43" t="s">
        <v>73</v>
      </c>
      <c r="Z4" s="43" t="s">
        <v>73</v>
      </c>
      <c r="AA4" s="43" t="s">
        <v>74</v>
      </c>
      <c r="AB4" s="43" t="s">
        <v>73</v>
      </c>
      <c r="AC4" s="43" t="s">
        <v>73</v>
      </c>
      <c r="AD4" s="43" t="s">
        <v>73</v>
      </c>
      <c r="AE4" s="43" t="s">
        <v>73</v>
      </c>
      <c r="AF4" s="43" t="s">
        <v>75</v>
      </c>
      <c r="AG4" t="str">
        <f>VLOOKUP($Q4,武学奇术!$A:$ZZ,25,FALSE)</f>
        <v>群体奇术</v>
      </c>
      <c r="AH4" s="27">
        <f>VLOOKUP($Q4,武学奇术!$A:$ZZ,26,FALSE)</f>
        <v>1.4904</v>
      </c>
      <c r="AI4" s="28">
        <f>VLOOKUP($Q4,武学奇术!$A:$ZZ,27,FALSE)*(1+IF(OR($AG4=$F$4,$AG4=$F$5),$B$22,0))</f>
        <v>368</v>
      </c>
      <c r="AJ4" s="27">
        <f>VLOOKUP($Q4,武学奇术!$A:$ZZ,28,FALSE)</f>
        <v>2.2353</v>
      </c>
      <c r="AK4" s="28">
        <f>VLOOKUP($Q4,武学奇术!$A:$ZZ,29,FALSE)*(1+IF(OR($AG4=$F$4,$AG4=$F$5),$B$22,0))</f>
        <v>0</v>
      </c>
      <c r="AL4" s="27" cm="1">
        <f t="array" ref="AL4">$G$3+IFERROR(VLOOKUP($AG4,$F$4:$G$7,2,FALSE),0)+VLOOKUP($Q4,武学奇术!$A:$ZZ,2,FALSE)+SUM(_xlfn.XLOOKUP($R4:$AF4,增益!$A:$A,增益!$B:$B,0))</f>
        <v>0.1537</v>
      </c>
      <c r="AM4" s="27" cm="1">
        <f t="array" ref="AM4">VLOOKUP($Q4,武学奇术!$A:$ZZ,5,FALSE)+SUM(_xlfn.XLOOKUP($R4:$AF4,增益!$A:$A,增益!$E:$E,0))</f>
        <v>0.075</v>
      </c>
      <c r="AN4" cm="1">
        <f t="array" ref="AN4">$D$10*(1+$AM4)+VLOOKUP($Q4,武学奇术!$A:$ZZ,3,FALSE)+SUM(_xlfn.XLOOKUP($R4:$AF4,增益!$A:$A,增益!$C:$C,0))-$I$2</f>
        <v>1888.7275</v>
      </c>
      <c r="AO4" cm="1">
        <f t="array" ref="AO4">$E$10*(1+$AM4)+VLOOKUP($Q4,武学奇术!$A:$ZZ,4,FALSE)+SUM(_xlfn.XLOOKUP($R4:$AF4,增益!$A:$A,增益!$D:$D,0))-$I$2</f>
        <v>5625.2125</v>
      </c>
      <c r="AP4" s="35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0.2225</v>
      </c>
      <c r="AQ4" s="35" cm="1">
        <f t="array" ref="AQ4">$G$10+VLOOKUP($Q4,武学奇术!$A:$ZZ,7,FALSE)+SUM(_xlfn.XLOOKUP(R4:AF4,增益!$A:$A,增益!$G:$G,0))</f>
        <v>0</v>
      </c>
      <c r="AR4" s="27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5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-0.3</v>
      </c>
      <c r="AV4" s="35" cm="1">
        <f t="array" ref="AV4">$G$11+VLOOKUP($Q4,武学奇术!$A:$ZZ,10,FALSE)+SUM(_xlfn.XLOOKUP(R4:AF4,增益!$A:$A,增益!$J:$J,0))</f>
        <v>0</v>
      </c>
      <c r="AW4">
        <f t="shared" si="3"/>
        <v>0</v>
      </c>
      <c r="AX4">
        <f t="shared" si="4"/>
        <v>0</v>
      </c>
      <c r="AY4" s="35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-0.3</v>
      </c>
      <c r="AZ4" s="35" cm="1">
        <f t="array" ref="AZ4">$G$12+VLOOKUP($Q4,武学奇术!$A:$ZZ,12,FALSE)+SUM(_xlfn.XLOOKUP(R4:AF4,增益!$A:$A,增益!$L:$L,0))</f>
        <v>0</v>
      </c>
      <c r="BA4">
        <f t="shared" si="5"/>
        <v>538</v>
      </c>
      <c r="BB4">
        <f t="shared" si="6"/>
        <v>1011</v>
      </c>
      <c r="BC4" s="35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0</v>
      </c>
      <c r="BD4" s="35" cm="1">
        <f t="array" ref="BD4">$G$13+VLOOKUP($Q4,武学奇术!$A:$ZZ,14,FALSE)+SUM(_xlfn.XLOOKUP(R4:AF4,增益!$A:$A,增益!$N:$N,0))</f>
        <v>0.15</v>
      </c>
      <c r="BE4">
        <f t="shared" si="7"/>
        <v>0</v>
      </c>
      <c r="BF4">
        <f t="shared" si="8"/>
        <v>0</v>
      </c>
      <c r="BG4" s="35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-0.3</v>
      </c>
      <c r="BH4" s="35" cm="1">
        <f t="array" ref="BH4">$G$14+VLOOKUP($Q4,武学奇术!$A:$ZZ,16,FALSE)+SUM(_xlfn.XLOOKUP(R4:AF4,增益!$A:$A,增益!$P:$P,0))</f>
        <v>0</v>
      </c>
      <c r="BI4" s="27">
        <f>MIN(IF(VLOOKUP($Q4,武学奇术!$A:$ZZ,23,FALSE)=1,100%,$B$8),100%)</f>
        <v>0.9969</v>
      </c>
      <c r="BJ4" s="27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0.9137</v>
      </c>
      <c r="BK4" s="27" cm="1">
        <f t="array" ref="BK4">1+$B$13+VLOOKUP($Q4,武学奇术!$A:$ZZ,18,FALSE)+SUM(_xlfn.XLOOKUP(R4:AF4,增益!$A:$A,增益!$R:$R,0))</f>
        <v>1.53</v>
      </c>
      <c r="BL4" s="27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0.0895</v>
      </c>
      <c r="BM4" s="27" cm="1">
        <f t="array" ref="BM4">1+$B$14+VLOOKUP($Q4,武学奇术!$A:$ZZ,20,FALSE)+SUM(_xlfn.XLOOKUP(R4:AF4,增益!$A:$A,增益!$T:$T,0))</f>
        <v>1.35</v>
      </c>
      <c r="BN4" s="27">
        <f t="shared" si="9"/>
        <v>0.90767745</v>
      </c>
      <c r="BO4" s="27">
        <f t="shared" si="10"/>
        <v>-1.30104260698261e-17</v>
      </c>
      <c r="BP4" s="27">
        <f>IF(VLOOKUP($Q4,武学奇术!$A:$ZZ,22,FALSE)=1,0,(1-$BI4))*(1-$BL4)</f>
        <v>0.00282254999999999</v>
      </c>
      <c r="BQ4" s="27" cm="1">
        <f t="array" ref="BQ4">SUM(_xlfn.XLOOKUP(R4:AF4,增益!$A:$A,增益!$W:$W,0))+$I$5</f>
        <v>0.11</v>
      </c>
    </row>
    <row r="5" spans="1:69">
      <c r="A5" s="57" t="s">
        <v>5</v>
      </c>
      <c r="B5" s="58"/>
      <c r="C5" s="58"/>
      <c r="D5" s="58"/>
      <c r="E5" s="59"/>
      <c r="F5" s="48" t="s">
        <v>87</v>
      </c>
      <c r="G5" s="52">
        <f>B15+B18</f>
        <v>0.0852</v>
      </c>
      <c r="H5" t="s">
        <v>88</v>
      </c>
      <c r="I5" s="30">
        <v>0.06</v>
      </c>
      <c r="K5" s="41">
        <f t="shared" si="0"/>
        <v>18982.8729668494</v>
      </c>
      <c r="L5" s="41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弹道",$B$21,0))*(1+$BQ5)</f>
        <v>18590.7983603004</v>
      </c>
      <c r="M5" s="41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弹道",$B$21,0))*(1+$BQ5)</f>
        <v>23341.6694245739</v>
      </c>
      <c r="N5" s="41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弹道",$B$21,0))*(1+$BQ5)</f>
        <v>12071.946987208</v>
      </c>
      <c r="O5" s="41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弹道",$B$21,0))*(1+$BQ5)</f>
        <v>6853.76847473175</v>
      </c>
      <c r="P5" s="42">
        <v>1</v>
      </c>
      <c r="Q5" s="43" t="s">
        <v>70</v>
      </c>
      <c r="R5" s="43" t="s">
        <v>89</v>
      </c>
      <c r="S5" s="43" t="s">
        <v>90</v>
      </c>
      <c r="T5" s="43" t="s">
        <v>73</v>
      </c>
      <c r="U5" s="43" t="s">
        <v>86</v>
      </c>
      <c r="V5" s="43" t="s">
        <v>73</v>
      </c>
      <c r="W5" s="43" t="s">
        <v>73</v>
      </c>
      <c r="X5" s="43" t="s">
        <v>73</v>
      </c>
      <c r="Y5" s="43" t="s">
        <v>73</v>
      </c>
      <c r="Z5" s="43" t="s">
        <v>73</v>
      </c>
      <c r="AA5" s="43" t="s">
        <v>74</v>
      </c>
      <c r="AB5" s="43" t="s">
        <v>73</v>
      </c>
      <c r="AC5" s="43" t="s">
        <v>73</v>
      </c>
      <c r="AD5" s="43" t="s">
        <v>73</v>
      </c>
      <c r="AE5" s="43" t="s">
        <v>73</v>
      </c>
      <c r="AF5" s="43" t="s">
        <v>75</v>
      </c>
      <c r="AG5" t="str">
        <f>VLOOKUP($Q5,武学奇术!$A:$ZZ,25,FALSE)</f>
        <v>群体奇术</v>
      </c>
      <c r="AH5" s="27">
        <f>VLOOKUP($Q5,武学奇术!$A:$ZZ,26,FALSE)</f>
        <v>1.4904</v>
      </c>
      <c r="AI5" s="28">
        <f>VLOOKUP($Q5,武学奇术!$A:$ZZ,27,FALSE)*(1+IF(OR($AG5=$F$4,$AG5=$F$5),$B$22,0))</f>
        <v>368</v>
      </c>
      <c r="AJ5" s="27">
        <f>VLOOKUP($Q5,武学奇术!$A:$ZZ,28,FALSE)</f>
        <v>2.2353</v>
      </c>
      <c r="AK5" s="28">
        <f>VLOOKUP($Q5,武学奇术!$A:$ZZ,29,FALSE)*(1+IF(OR($AG5=$F$4,$AG5=$F$5),$B$22,0))</f>
        <v>0</v>
      </c>
      <c r="AL5" s="27" cm="1">
        <f t="array" ref="AL5">$G$3+IFERROR(VLOOKUP($AG5,$F$4:$G$7,2,FALSE),0)+VLOOKUP($Q5,武学奇术!$A:$ZZ,2,FALSE)+SUM(_xlfn.XLOOKUP($R5:$AF5,增益!$A:$A,增益!$B:$B,0))</f>
        <v>0.1637</v>
      </c>
      <c r="AM5" s="27" cm="1">
        <f t="array" ref="AM5">VLOOKUP($Q5,武学奇术!$A:$ZZ,5,FALSE)+SUM(_xlfn.XLOOKUP($R5:$AF5,增益!$A:$A,增益!$E:$E,0))</f>
        <v>0.075</v>
      </c>
      <c r="AN5" cm="1">
        <f t="array" ref="AN5">$D$10*(1+$AM5)+VLOOKUP($Q5,武学奇术!$A:$ZZ,3,FALSE)+SUM(_xlfn.XLOOKUP($R5:$AF5,增益!$A:$A,增益!$C:$C,0))-$I$2</f>
        <v>1888.7275</v>
      </c>
      <c r="AO5" cm="1">
        <f t="array" ref="AO5">$E$10*(1+$AM5)+VLOOKUP($Q5,武学奇术!$A:$ZZ,4,FALSE)+SUM(_xlfn.XLOOKUP($R5:$AF5,增益!$A:$A,增益!$D:$D,0))-$I$2</f>
        <v>5625.2125</v>
      </c>
      <c r="AP5" s="35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0.2325</v>
      </c>
      <c r="AQ5" s="35" cm="1">
        <f t="array" ref="AQ5">$G$10+VLOOKUP($Q5,武学奇术!$A:$ZZ,7,FALSE)+SUM(_xlfn.XLOOKUP(R5:AF5,增益!$A:$A,增益!$G:$G,0))</f>
        <v>0</v>
      </c>
      <c r="AR5" s="27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5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-0.3</v>
      </c>
      <c r="AV5" s="35" cm="1">
        <f t="array" ref="AV5">$G$11+VLOOKUP($Q5,武学奇术!$A:$ZZ,10,FALSE)+SUM(_xlfn.XLOOKUP(R5:AF5,增益!$A:$A,增益!$J:$J,0))</f>
        <v>0</v>
      </c>
      <c r="AW5">
        <f t="shared" si="3"/>
        <v>0</v>
      </c>
      <c r="AX5">
        <f t="shared" si="4"/>
        <v>0</v>
      </c>
      <c r="AY5" s="35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-0.3</v>
      </c>
      <c r="AZ5" s="35" cm="1">
        <f t="array" ref="AZ5">$G$12+VLOOKUP($Q5,武学奇术!$A:$ZZ,12,FALSE)+SUM(_xlfn.XLOOKUP(R5:AF5,增益!$A:$A,增益!$L:$L,0))</f>
        <v>0</v>
      </c>
      <c r="BA5">
        <f t="shared" si="5"/>
        <v>538</v>
      </c>
      <c r="BB5">
        <f t="shared" si="6"/>
        <v>1011</v>
      </c>
      <c r="BC5" s="35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0</v>
      </c>
      <c r="BD5" s="35" cm="1">
        <f t="array" ref="BD5">$G$13+VLOOKUP($Q5,武学奇术!$A:$ZZ,14,FALSE)+SUM(_xlfn.XLOOKUP(R5:AF5,增益!$A:$A,增益!$N:$N,0))</f>
        <v>0.15</v>
      </c>
      <c r="BE5">
        <f t="shared" si="7"/>
        <v>0</v>
      </c>
      <c r="BF5">
        <f t="shared" si="8"/>
        <v>0</v>
      </c>
      <c r="BG5" s="35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-0.3</v>
      </c>
      <c r="BH5" s="35" cm="1">
        <f t="array" ref="BH5">$G$14+VLOOKUP($Q5,武学奇术!$A:$ZZ,16,FALSE)+SUM(_xlfn.XLOOKUP(R5:AF5,增益!$A:$A,增益!$P:$P,0))</f>
        <v>0</v>
      </c>
      <c r="BI5" s="27">
        <f>MIN(IF(VLOOKUP($Q5,武学奇术!$A:$ZZ,23,FALSE)=1,100%,$B$8),100%)</f>
        <v>0.9969</v>
      </c>
      <c r="BJ5" s="27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0.9137</v>
      </c>
      <c r="BK5" s="27" cm="1">
        <f t="array" ref="BK5">1+$B$13+VLOOKUP($Q5,武学奇术!$A:$ZZ,18,FALSE)+SUM(_xlfn.XLOOKUP(R5:AF5,增益!$A:$A,增益!$R:$R,0))</f>
        <v>1.54</v>
      </c>
      <c r="BL5" s="27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0.0895</v>
      </c>
      <c r="BM5" s="27" cm="1">
        <f t="array" ref="BM5">1+$B$14+VLOOKUP($Q5,武学奇术!$A:$ZZ,20,FALSE)+SUM(_xlfn.XLOOKUP(R5:AF5,增益!$A:$A,增益!$T:$T,0))</f>
        <v>1.35</v>
      </c>
      <c r="BN5" s="27">
        <f t="shared" si="9"/>
        <v>0.90767745</v>
      </c>
      <c r="BO5" s="27">
        <f t="shared" si="10"/>
        <v>-1.30104260698261e-17</v>
      </c>
      <c r="BP5" s="27">
        <f>IF(VLOOKUP($Q5,武学奇术!$A:$ZZ,22,FALSE)=1,0,(1-$BI5))*(1-$BL5)</f>
        <v>0.00282254999999999</v>
      </c>
      <c r="BQ5" s="27" cm="1">
        <f t="array" ref="BQ5">SUM(_xlfn.XLOOKUP(R5:AF5,增益!$A:$A,增益!$W:$W,0))+$I$5</f>
        <v>0.11</v>
      </c>
    </row>
    <row r="6" spans="1:69">
      <c r="A6" s="60" t="s">
        <v>91</v>
      </c>
      <c r="B6" s="61"/>
      <c r="C6" s="61"/>
      <c r="D6" s="61"/>
      <c r="E6" s="62"/>
      <c r="F6" s="48" t="s">
        <v>92</v>
      </c>
      <c r="G6" s="52">
        <f>B19</f>
        <v>0.2678</v>
      </c>
      <c r="K6" s="41">
        <f t="shared" si="0"/>
        <v>19379.7848824662</v>
      </c>
      <c r="L6" s="41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弹道",$B$21,0))*(1+$BQ6)</f>
        <v>18992.813645219</v>
      </c>
      <c r="M6" s="41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弹道",$B$21,0))*(1+$BQ6)</f>
        <v>23696.1769558692</v>
      </c>
      <c r="N6" s="41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弹道",$B$21,0))*(1+$BQ6)</f>
        <v>12253.4281582058</v>
      </c>
      <c r="O6" s="41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弹道",$B$21,0))*(1+$BQ6)</f>
        <v>6954.13264539744</v>
      </c>
      <c r="P6" s="42">
        <v>1</v>
      </c>
      <c r="Q6" s="43" t="s">
        <v>70</v>
      </c>
      <c r="R6" s="43" t="s">
        <v>93</v>
      </c>
      <c r="S6" s="43" t="s">
        <v>94</v>
      </c>
      <c r="T6" s="43" t="s">
        <v>73</v>
      </c>
      <c r="U6" s="43" t="s">
        <v>86</v>
      </c>
      <c r="V6" s="43" t="s">
        <v>73</v>
      </c>
      <c r="W6" s="43" t="s">
        <v>73</v>
      </c>
      <c r="X6" s="43" t="s">
        <v>73</v>
      </c>
      <c r="Y6" s="43" t="s">
        <v>73</v>
      </c>
      <c r="Z6" s="43" t="s">
        <v>73</v>
      </c>
      <c r="AA6" s="43" t="s">
        <v>74</v>
      </c>
      <c r="AB6" s="43" t="s">
        <v>73</v>
      </c>
      <c r="AC6" s="43" t="s">
        <v>73</v>
      </c>
      <c r="AD6" s="43" t="s">
        <v>73</v>
      </c>
      <c r="AE6" s="43" t="s">
        <v>73</v>
      </c>
      <c r="AF6" s="43" t="s">
        <v>75</v>
      </c>
      <c r="AG6" t="str">
        <f>VLOOKUP($Q6,武学奇术!$A:$ZZ,25,FALSE)</f>
        <v>群体奇术</v>
      </c>
      <c r="AH6" s="27">
        <f>VLOOKUP($Q6,武学奇术!$A:$ZZ,26,FALSE)</f>
        <v>1.4904</v>
      </c>
      <c r="AI6" s="28">
        <f>VLOOKUP($Q6,武学奇术!$A:$ZZ,27,FALSE)*(1+IF(OR($AG6=$F$4,$AG6=$F$5),$B$22,0))</f>
        <v>368</v>
      </c>
      <c r="AJ6" s="27">
        <f>VLOOKUP($Q6,武学奇术!$A:$ZZ,28,FALSE)</f>
        <v>2.2353</v>
      </c>
      <c r="AK6" s="28">
        <f>VLOOKUP($Q6,武学奇术!$A:$ZZ,29,FALSE)*(1+IF(OR($AG6=$F$4,$AG6=$F$5),$B$22,0))</f>
        <v>0</v>
      </c>
      <c r="AL6" s="27" cm="1">
        <f t="array" ref="AL6">$G$3+IFERROR(VLOOKUP($AG6,$F$4:$G$7,2,FALSE),0)+VLOOKUP($Q6,武学奇术!$A:$ZZ,2,FALSE)+SUM(_xlfn.XLOOKUP($R6:$AF6,增益!$A:$A,增益!$B:$B,0))</f>
        <v>0.1737</v>
      </c>
      <c r="AM6" s="27" cm="1">
        <f t="array" ref="AM6">VLOOKUP($Q6,武学奇术!$A:$ZZ,5,FALSE)+SUM(_xlfn.XLOOKUP($R6:$AF6,增益!$A:$A,增益!$E:$E,0))</f>
        <v>0.075</v>
      </c>
      <c r="AN6" cm="1">
        <f t="array" ref="AN6">$D$10*(1+$AM6)+VLOOKUP($Q6,武学奇术!$A:$ZZ,3,FALSE)+SUM(_xlfn.XLOOKUP($R6:$AF6,增益!$A:$A,增益!$C:$C,0))-$I$2</f>
        <v>1888.7275</v>
      </c>
      <c r="AO6" cm="1">
        <f t="array" ref="AO6">$E$10*(1+$AM6)+VLOOKUP($Q6,武学奇术!$A:$ZZ,4,FALSE)+SUM(_xlfn.XLOOKUP($R6:$AF6,增益!$A:$A,增益!$D:$D,0))-$I$2</f>
        <v>5625.2125</v>
      </c>
      <c r="AP6" s="35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0.2425</v>
      </c>
      <c r="AQ6" s="35" cm="1">
        <f t="array" ref="AQ6">$G$10+VLOOKUP($Q6,武学奇术!$A:$ZZ,7,FALSE)+SUM(_xlfn.XLOOKUP(R6:AF6,增益!$A:$A,增益!$G:$G,0))</f>
        <v>0</v>
      </c>
      <c r="AR6" s="27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5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-0.3</v>
      </c>
      <c r="AV6" s="35" cm="1">
        <f t="array" ref="AV6">$G$11+VLOOKUP($Q6,武学奇术!$A:$ZZ,10,FALSE)+SUM(_xlfn.XLOOKUP(R6:AF6,增益!$A:$A,增益!$J:$J,0))</f>
        <v>0</v>
      </c>
      <c r="AW6">
        <f t="shared" si="3"/>
        <v>0</v>
      </c>
      <c r="AX6">
        <f t="shared" si="4"/>
        <v>0</v>
      </c>
      <c r="AY6" s="35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-0.3</v>
      </c>
      <c r="AZ6" s="35" cm="1">
        <f t="array" ref="AZ6">$G$12+VLOOKUP($Q6,武学奇术!$A:$ZZ,12,FALSE)+SUM(_xlfn.XLOOKUP(R6:AF6,增益!$A:$A,增益!$L:$L,0))</f>
        <v>0</v>
      </c>
      <c r="BA6">
        <f t="shared" si="5"/>
        <v>538</v>
      </c>
      <c r="BB6">
        <f t="shared" si="6"/>
        <v>1011</v>
      </c>
      <c r="BC6" s="35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0</v>
      </c>
      <c r="BD6" s="35" cm="1">
        <f t="array" ref="BD6">$G$13+VLOOKUP($Q6,武学奇术!$A:$ZZ,14,FALSE)+SUM(_xlfn.XLOOKUP(R6:AF6,增益!$A:$A,增益!$N:$N,0))</f>
        <v>0.15</v>
      </c>
      <c r="BE6">
        <f t="shared" si="7"/>
        <v>0</v>
      </c>
      <c r="BF6">
        <f t="shared" si="8"/>
        <v>0</v>
      </c>
      <c r="BG6" s="35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-0.3</v>
      </c>
      <c r="BH6" s="35" cm="1">
        <f t="array" ref="BH6">$G$14+VLOOKUP($Q6,武学奇术!$A:$ZZ,16,FALSE)+SUM(_xlfn.XLOOKUP(R6:AF6,增益!$A:$A,增益!$P:$P,0))</f>
        <v>0</v>
      </c>
      <c r="BI6" s="27">
        <f>MIN(IF(VLOOKUP($Q6,武学奇术!$A:$ZZ,23,FALSE)=1,100%,$B$8),100%)</f>
        <v>0.9969</v>
      </c>
      <c r="BJ6" s="27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0.9137</v>
      </c>
      <c r="BK6" s="27" cm="1">
        <f t="array" ref="BK6">1+$B$13+VLOOKUP($Q6,武学奇术!$A:$ZZ,18,FALSE)+SUM(_xlfn.XLOOKUP(R6:AF6,增益!$A:$A,增益!$R:$R,0))</f>
        <v>1.55</v>
      </c>
      <c r="BL6" s="27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0.0895</v>
      </c>
      <c r="BM6" s="27" cm="1">
        <f t="array" ref="BM6">1+$B$14+VLOOKUP($Q6,武学奇术!$A:$ZZ,20,FALSE)+SUM(_xlfn.XLOOKUP(R6:AF6,增益!$A:$A,增益!$T:$T,0))</f>
        <v>1.35</v>
      </c>
      <c r="BN6" s="27">
        <f t="shared" si="9"/>
        <v>0.90767745</v>
      </c>
      <c r="BO6" s="27">
        <f t="shared" si="10"/>
        <v>-1.30104260698261e-17</v>
      </c>
      <c r="BP6" s="27">
        <f>IF(VLOOKUP($Q6,武学奇术!$A:$ZZ,22,FALSE)=1,0,(1-$BI6))*(1-$BL6)</f>
        <v>0.00282254999999999</v>
      </c>
      <c r="BQ6" s="27" cm="1">
        <f t="array" ref="BQ6">SUM(_xlfn.XLOOKUP(R6:AF6,增益!$A:$A,增益!$W:$W,0))+$I$5</f>
        <v>0.11</v>
      </c>
    </row>
    <row r="7" ht="14.25" spans="1:69">
      <c r="A7" s="44" t="s">
        <v>95</v>
      </c>
      <c r="B7" s="63"/>
      <c r="C7" s="64"/>
      <c r="D7" s="65"/>
      <c r="E7" s="66"/>
      <c r="F7" s="56" t="s">
        <v>96</v>
      </c>
      <c r="G7" s="67">
        <f>B20</f>
        <v>0</v>
      </c>
      <c r="K7" s="41">
        <f t="shared" si="0"/>
        <v>56763.727636511</v>
      </c>
      <c r="L7" s="41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弹道",$B$21,0))*(1+$BQ7)</f>
        <v>56831.1491053071</v>
      </c>
      <c r="M7" s="41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弹道",$B$21,0))*(1+$BQ7)</f>
        <v>57291.6087993653</v>
      </c>
      <c r="N7" s="41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弹道",$B$21,0))*(1+$BQ7)</f>
        <v>30390.9888263674</v>
      </c>
      <c r="O7" s="41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弹道",$B$21,0))*(1+$BQ7)</f>
        <v>18343.7489124643</v>
      </c>
      <c r="P7" s="42">
        <v>1</v>
      </c>
      <c r="Q7" s="43" t="s">
        <v>97</v>
      </c>
      <c r="R7" s="43" t="s">
        <v>73</v>
      </c>
      <c r="S7" s="43" t="s">
        <v>72</v>
      </c>
      <c r="T7" s="43" t="s">
        <v>73</v>
      </c>
      <c r="U7" s="43" t="s">
        <v>73</v>
      </c>
      <c r="V7" s="43" t="s">
        <v>98</v>
      </c>
      <c r="W7" s="43" t="s">
        <v>73</v>
      </c>
      <c r="X7" s="43" t="s">
        <v>73</v>
      </c>
      <c r="Y7" s="43" t="s">
        <v>73</v>
      </c>
      <c r="Z7" s="43" t="s">
        <v>73</v>
      </c>
      <c r="AA7" s="43" t="s">
        <v>73</v>
      </c>
      <c r="AB7" s="43" t="s">
        <v>73</v>
      </c>
      <c r="AC7" s="43" t="s">
        <v>73</v>
      </c>
      <c r="AD7" s="43" t="s">
        <v>73</v>
      </c>
      <c r="AE7" s="43" t="s">
        <v>73</v>
      </c>
      <c r="AF7" s="43" t="s">
        <v>75</v>
      </c>
      <c r="AG7" t="str">
        <f>VLOOKUP($Q7,武学奇术!$A:$ZZ,25,FALSE)</f>
        <v>伞</v>
      </c>
      <c r="AH7" s="27">
        <f>VLOOKUP($Q7,武学奇术!$A:$ZZ,26,FALSE)</f>
        <v>2.3397</v>
      </c>
      <c r="AI7" s="28">
        <f>VLOOKUP($Q7,武学奇术!$A:$ZZ,27,FALSE)*(1+IF(OR($AG7=$F$4,$AG7=$F$5),$B$22,0))</f>
        <v>907.2</v>
      </c>
      <c r="AJ7" s="27">
        <f>VLOOKUP($Q7,武学奇术!$A:$ZZ,28,FALSE)</f>
        <v>3.5095</v>
      </c>
      <c r="AK7" s="28">
        <f>VLOOKUP($Q7,武学奇术!$A:$ZZ,29,FALSE)*(1+IF(OR($AG7=$F$4,$AG7=$F$5),$B$22,0))</f>
        <v>494.2</v>
      </c>
      <c r="AL7" s="27" cm="1">
        <f t="array" ref="AL7">$G$3+IFERROR(VLOOKUP($AG7,$F$4:$G$7,2,FALSE),0)+VLOOKUP($Q7,武学奇术!$A:$ZZ,2,FALSE)+SUM(_xlfn.XLOOKUP($R7:$AF7,增益!$A:$A,增益!$B:$B,0))</f>
        <v>0.6741</v>
      </c>
      <c r="AM7" s="27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1713.7</v>
      </c>
      <c r="AO7" cm="1">
        <f t="array" ref="AO7">$E$10*(1+$AM7)+VLOOKUP($Q7,武学奇术!$A:$ZZ,4,FALSE)+SUM(_xlfn.XLOOKUP($R7:$AF7,增益!$A:$A,增益!$D:$D,0))-$I$2</f>
        <v>5189.5</v>
      </c>
      <c r="AP7" s="35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0.2175</v>
      </c>
      <c r="AQ7" s="35" cm="1">
        <f t="array" ref="AQ7">$G$10+VLOOKUP($Q7,武学奇术!$A:$ZZ,7,FALSE)+SUM(_xlfn.XLOOKUP(R7:AF7,增益!$A:$A,增益!$G:$G,0))</f>
        <v>0.1</v>
      </c>
      <c r="AR7" s="27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5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-0.3</v>
      </c>
      <c r="AV7" s="35" cm="1">
        <f t="array" ref="AV7">$G$11+VLOOKUP($Q7,武学奇术!$A:$ZZ,10,FALSE)+SUM(_xlfn.XLOOKUP(R7:AF7,增益!$A:$A,增益!$J:$J,0))</f>
        <v>0</v>
      </c>
      <c r="AW7">
        <f t="shared" si="3"/>
        <v>0</v>
      </c>
      <c r="AX7">
        <f t="shared" si="4"/>
        <v>0</v>
      </c>
      <c r="AY7" s="35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-0.3</v>
      </c>
      <c r="AZ7" s="35" cm="1">
        <f t="array" ref="AZ7">$G$12+VLOOKUP($Q7,武学奇术!$A:$ZZ,12,FALSE)+SUM(_xlfn.XLOOKUP(R7:AF7,增益!$A:$A,增益!$L:$L,0))</f>
        <v>0</v>
      </c>
      <c r="BA7">
        <f t="shared" si="5"/>
        <v>538</v>
      </c>
      <c r="BB7">
        <f t="shared" si="6"/>
        <v>1011</v>
      </c>
      <c r="BC7" s="35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0</v>
      </c>
      <c r="BD7" s="35" cm="1">
        <f t="array" ref="BD7">$G$13+VLOOKUP($Q7,武学奇术!$A:$ZZ,14,FALSE)+SUM(_xlfn.XLOOKUP(R7:AF7,增益!$A:$A,增益!$N:$N,0))</f>
        <v>0.25</v>
      </c>
      <c r="BE7">
        <f t="shared" si="7"/>
        <v>0</v>
      </c>
      <c r="BF7">
        <f t="shared" si="8"/>
        <v>0</v>
      </c>
      <c r="BG7" s="35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-0.3</v>
      </c>
      <c r="BH7" s="35" cm="1">
        <f t="array" ref="BH7">$G$14+VLOOKUP($Q7,武学奇术!$A:$ZZ,16,FALSE)+SUM(_xlfn.XLOOKUP(R7:AF7,增益!$A:$A,增益!$P:$P,0))</f>
        <v>0</v>
      </c>
      <c r="BI7" s="27">
        <f>MIN(IF(VLOOKUP($Q7,武学奇术!$A:$ZZ,23,FALSE)=1,100%,$B$8),100%)</f>
        <v>0.9969</v>
      </c>
      <c r="BJ7" s="27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0.9137</v>
      </c>
      <c r="BK7" s="27" cm="1">
        <f t="array" ref="BK7">1+$B$13+VLOOKUP($Q7,武学奇术!$A:$ZZ,18,FALSE)+SUM(_xlfn.XLOOKUP(R7:AF7,增益!$A:$A,增益!$R:$R,0))</f>
        <v>1.87</v>
      </c>
      <c r="BL7" s="27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0.0895</v>
      </c>
      <c r="BM7" s="27" cm="1">
        <f t="array" ref="BM7">1+$B$14+VLOOKUP($Q7,武学奇术!$A:$ZZ,20,FALSE)+SUM(_xlfn.XLOOKUP(R7:AF7,增益!$A:$A,增益!$T:$T,0))</f>
        <v>1.35</v>
      </c>
      <c r="BN7" s="27">
        <f t="shared" si="9"/>
        <v>0.90767745</v>
      </c>
      <c r="BO7" s="27">
        <f t="shared" si="10"/>
        <v>-1.30104260698261e-17</v>
      </c>
      <c r="BP7" s="27">
        <f>IF(VLOOKUP($Q7,武学奇术!$A:$ZZ,22,FALSE)=1,0,(1-$BI7))*(1-$BL7)</f>
        <v>0.00282254999999999</v>
      </c>
      <c r="BQ7" s="27" cm="1">
        <f t="array" ref="BQ7">SUM(_xlfn.XLOOKUP(R7:AF7,增益!$A:$A,增益!$W:$W,0))+$I$5</f>
        <v>0.11</v>
      </c>
    </row>
    <row r="8" spans="1:69">
      <c r="A8" s="68" t="s">
        <v>99</v>
      </c>
      <c r="B8" s="69">
        <f>期望!B8</f>
        <v>0.9969</v>
      </c>
      <c r="C8" s="70" t="s">
        <v>100</v>
      </c>
      <c r="D8" s="70"/>
      <c r="E8" s="70"/>
      <c r="F8" s="70"/>
      <c r="G8" s="40"/>
      <c r="H8" s="71" t="s">
        <v>101</v>
      </c>
      <c r="I8" s="20">
        <f>期望!I8</f>
        <v>110</v>
      </c>
      <c r="J8" s="72"/>
      <c r="K8" s="41">
        <f t="shared" si="0"/>
        <v>66659.431725199</v>
      </c>
      <c r="L8" s="41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弹道",$B$21,0))*(1+$BQ8)</f>
        <v>66737.1826206107</v>
      </c>
      <c r="M8" s="41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弹道",$B$21,0))*(1+$BQ8)</f>
        <v>67294.1781890712</v>
      </c>
      <c r="N8" s="41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弹道",$B$21,0))*(1+$BQ8)</f>
        <v>35688.3329521982</v>
      </c>
      <c r="O8" s="41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弹道",$B$21,0))*(1+$BQ8)</f>
        <v>21529.1265050844</v>
      </c>
      <c r="P8" s="42">
        <v>1</v>
      </c>
      <c r="Q8" s="43" t="s">
        <v>97</v>
      </c>
      <c r="R8" s="43" t="s">
        <v>71</v>
      </c>
      <c r="S8" s="43" t="s">
        <v>72</v>
      </c>
      <c r="T8" s="43" t="s">
        <v>102</v>
      </c>
      <c r="U8" s="43" t="s">
        <v>73</v>
      </c>
      <c r="V8" s="43" t="s">
        <v>98</v>
      </c>
      <c r="W8" s="43" t="s">
        <v>73</v>
      </c>
      <c r="X8" s="43" t="s">
        <v>73</v>
      </c>
      <c r="Y8" s="43" t="s">
        <v>73</v>
      </c>
      <c r="Z8" s="43" t="s">
        <v>73</v>
      </c>
      <c r="AA8" s="43" t="s">
        <v>74</v>
      </c>
      <c r="AB8" s="43" t="s">
        <v>73</v>
      </c>
      <c r="AC8" s="43" t="s">
        <v>73</v>
      </c>
      <c r="AD8" s="43" t="s">
        <v>73</v>
      </c>
      <c r="AE8" s="43" t="s">
        <v>73</v>
      </c>
      <c r="AF8" s="43" t="s">
        <v>75</v>
      </c>
      <c r="AG8" t="str">
        <f>VLOOKUP($Q8,武学奇术!$A:$ZZ,25,FALSE)</f>
        <v>伞</v>
      </c>
      <c r="AH8" s="27">
        <f>VLOOKUP($Q8,武学奇术!$A:$ZZ,26,FALSE)</f>
        <v>2.3397</v>
      </c>
      <c r="AI8" s="28">
        <f>VLOOKUP($Q8,武学奇术!$A:$ZZ,27,FALSE)*(1+IF(OR($AG8=$F$4,$AG8=$F$5),$B$22,0))</f>
        <v>907.2</v>
      </c>
      <c r="AJ8" s="27">
        <f>VLOOKUP($Q8,武学奇术!$A:$ZZ,28,FALSE)</f>
        <v>3.5095</v>
      </c>
      <c r="AK8" s="28">
        <f>VLOOKUP($Q8,武学奇术!$A:$ZZ,29,FALSE)*(1+IF(OR($AG8=$F$4,$AG8=$F$5),$B$22,0))</f>
        <v>494.2</v>
      </c>
      <c r="AL8" s="27" cm="1">
        <f t="array" ref="AL8">$G$3+IFERROR(VLOOKUP($AG8,$F$4:$G$7,2,FALSE),0)+VLOOKUP($Q8,武学奇术!$A:$ZZ,2,FALSE)+SUM(_xlfn.XLOOKUP($R8:$AF8,增益!$A:$A,增益!$B:$B,0))</f>
        <v>0.9541</v>
      </c>
      <c r="AM8" s="27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1713.7</v>
      </c>
      <c r="AO8" cm="1">
        <f t="array" ref="AO8">$E$10*(1+$AM8)+VLOOKUP($Q8,武学奇术!$A:$ZZ,4,FALSE)+SUM(_xlfn.XLOOKUP($R8:$AF8,增益!$A:$A,增益!$D:$D,0))-$I$2</f>
        <v>5189.5</v>
      </c>
      <c r="AP8" s="35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0.2275</v>
      </c>
      <c r="AQ8" s="35" cm="1">
        <f t="array" ref="AQ8">$G$10+VLOOKUP($Q8,武学奇术!$A:$ZZ,7,FALSE)+SUM(_xlfn.XLOOKUP(R8:AF8,增益!$A:$A,增益!$G:$G,0))</f>
        <v>0.1</v>
      </c>
      <c r="AR8" s="27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5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-0.3</v>
      </c>
      <c r="AV8" s="35" cm="1">
        <f t="array" ref="AV8">$G$11+VLOOKUP($Q8,武学奇术!$A:$ZZ,10,FALSE)+SUM(_xlfn.XLOOKUP(R8:AF8,增益!$A:$A,增益!$J:$J,0))</f>
        <v>0</v>
      </c>
      <c r="AW8">
        <f t="shared" si="3"/>
        <v>0</v>
      </c>
      <c r="AX8">
        <f t="shared" si="4"/>
        <v>0</v>
      </c>
      <c r="AY8" s="35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-0.3</v>
      </c>
      <c r="AZ8" s="35" cm="1">
        <f t="array" ref="AZ8">$G$12+VLOOKUP($Q8,武学奇术!$A:$ZZ,12,FALSE)+SUM(_xlfn.XLOOKUP(R8:AF8,增益!$A:$A,增益!$L:$L,0))</f>
        <v>0</v>
      </c>
      <c r="BA8">
        <f t="shared" si="5"/>
        <v>538</v>
      </c>
      <c r="BB8">
        <f t="shared" si="6"/>
        <v>1011</v>
      </c>
      <c r="BC8" s="35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0</v>
      </c>
      <c r="BD8" s="35" cm="1">
        <f t="array" ref="BD8">$G$13+VLOOKUP($Q8,武学奇术!$A:$ZZ,14,FALSE)+SUM(_xlfn.XLOOKUP(R8:AF8,增益!$A:$A,增益!$N:$N,0))</f>
        <v>0.25</v>
      </c>
      <c r="BE8">
        <f t="shared" si="7"/>
        <v>0</v>
      </c>
      <c r="BF8">
        <f t="shared" si="8"/>
        <v>0</v>
      </c>
      <c r="BG8" s="35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-0.3</v>
      </c>
      <c r="BH8" s="35" cm="1">
        <f t="array" ref="BH8">$G$14+VLOOKUP($Q8,武学奇术!$A:$ZZ,16,FALSE)+SUM(_xlfn.XLOOKUP(R8:AF8,增益!$A:$A,增益!$P:$P,0))</f>
        <v>0</v>
      </c>
      <c r="BI8" s="27">
        <f>MIN(IF(VLOOKUP($Q8,武学奇术!$A:$ZZ,23,FALSE)=1,100%,$B$8),100%)</f>
        <v>0.9969</v>
      </c>
      <c r="BJ8" s="27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0.9137</v>
      </c>
      <c r="BK8" s="27" cm="1">
        <f t="array" ref="BK8">1+$B$13+VLOOKUP($Q8,武学奇术!$A:$ZZ,18,FALSE)+SUM(_xlfn.XLOOKUP(R8:AF8,增益!$A:$A,增益!$R:$R,0))</f>
        <v>1.87</v>
      </c>
      <c r="BL8" s="27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0.0895</v>
      </c>
      <c r="BM8" s="27" cm="1">
        <f t="array" ref="BM8">1+$B$14+VLOOKUP($Q8,武学奇术!$A:$ZZ,20,FALSE)+SUM(_xlfn.XLOOKUP(R8:AF8,增益!$A:$A,增益!$T:$T,0))</f>
        <v>1.35</v>
      </c>
      <c r="BN8" s="27">
        <f t="shared" si="9"/>
        <v>0.90767745</v>
      </c>
      <c r="BO8" s="27">
        <f t="shared" si="10"/>
        <v>-1.30104260698261e-17</v>
      </c>
      <c r="BP8" s="27">
        <f>IF(VLOOKUP($Q8,武学奇术!$A:$ZZ,22,FALSE)=1,0,(1-$BI8))*(1-$BL8)</f>
        <v>0.00282254999999999</v>
      </c>
      <c r="BQ8" s="27" cm="1">
        <f t="array" ref="BQ8">SUM(_xlfn.XLOOKUP(R8:AF8,增益!$A:$A,增益!$W:$W,0))+$I$5</f>
        <v>0.11</v>
      </c>
    </row>
    <row r="9" ht="14.25" spans="1:69">
      <c r="A9" s="44" t="s">
        <v>103</v>
      </c>
      <c r="B9" s="73">
        <f>期望!B9</f>
        <v>0.7807</v>
      </c>
      <c r="C9" s="12"/>
      <c r="D9" t="s">
        <v>0</v>
      </c>
      <c r="E9" t="s">
        <v>1</v>
      </c>
      <c r="F9" s="42" t="s">
        <v>2</v>
      </c>
      <c r="G9" s="47" t="s">
        <v>3</v>
      </c>
      <c r="H9" s="74"/>
      <c r="I9" s="23"/>
      <c r="J9" s="75"/>
      <c r="K9" s="41">
        <f t="shared" si="0"/>
        <v>26629.3094213808</v>
      </c>
      <c r="L9" s="41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弹道",$B$21,0))*(1+$BQ9)</f>
        <v>26093.5856426786</v>
      </c>
      <c r="M9" s="41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弹道",$B$21,0))*(1+$BQ9)</f>
        <v>32573.2206097458</v>
      </c>
      <c r="N9" s="41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弹道",$B$21,0))*(1+$BQ9)</f>
        <v>17280.5202931646</v>
      </c>
      <c r="O9" s="41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弹道",$B$21,0))*(1+$BQ9)</f>
        <v>10432.7290235546</v>
      </c>
      <c r="P9" s="42">
        <v>1</v>
      </c>
      <c r="Q9" s="43" t="s">
        <v>104</v>
      </c>
      <c r="R9" s="43" t="s">
        <v>78</v>
      </c>
      <c r="S9" s="43" t="s">
        <v>72</v>
      </c>
      <c r="T9" s="43" t="s">
        <v>73</v>
      </c>
      <c r="U9" s="43" t="s">
        <v>73</v>
      </c>
      <c r="V9" s="43" t="s">
        <v>73</v>
      </c>
      <c r="W9" s="43" t="s">
        <v>73</v>
      </c>
      <c r="X9" s="43" t="s">
        <v>73</v>
      </c>
      <c r="Y9" s="43" t="s">
        <v>73</v>
      </c>
      <c r="Z9" s="43" t="s">
        <v>73</v>
      </c>
      <c r="AA9" s="43" t="s">
        <v>74</v>
      </c>
      <c r="AB9" s="43" t="s">
        <v>73</v>
      </c>
      <c r="AC9" s="43" t="s">
        <v>73</v>
      </c>
      <c r="AD9" s="43" t="s">
        <v>73</v>
      </c>
      <c r="AE9" s="43" t="s">
        <v>73</v>
      </c>
      <c r="AF9" s="43" t="s">
        <v>75</v>
      </c>
      <c r="AG9" t="str">
        <f>VLOOKUP($Q9,武学奇术!$A:$ZZ,25,FALSE)</f>
        <v>伞</v>
      </c>
      <c r="AH9" s="27">
        <f>VLOOKUP($Q9,武学奇术!$A:$ZZ,26,FALSE)</f>
        <v>1.7001</v>
      </c>
      <c r="AI9" s="28">
        <f>VLOOKUP($Q9,武学奇术!$A:$ZZ,27,FALSE)*(1+IF(OR($AG9=$F$4,$AG9=$F$5),$B$22,0))</f>
        <v>659.4</v>
      </c>
      <c r="AJ9" s="27">
        <f>VLOOKUP($Q9,武学奇术!$A:$ZZ,28,FALSE)</f>
        <v>2.5502</v>
      </c>
      <c r="AK9" s="28">
        <f>VLOOKUP($Q9,武学奇术!$A:$ZZ,29,FALSE)*(1+IF(OR($AG9=$F$4,$AG9=$F$5),$B$22,0))</f>
        <v>358.4</v>
      </c>
      <c r="AL9" s="27" cm="1">
        <f t="array" ref="AL9">$G$3+IFERROR(VLOOKUP($AG9,$F$4:$G$7,2,FALSE),0)+VLOOKUP($Q9,武学奇术!$A:$ZZ,2,FALSE)+SUM(_xlfn.XLOOKUP($R9:$AF9,增益!$A:$A,增益!$B:$B,0))</f>
        <v>0.3141</v>
      </c>
      <c r="AM9" s="27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1713.7</v>
      </c>
      <c r="AO9" cm="1">
        <f t="array" ref="AO9">$E$10*(1+$AM9)+VLOOKUP($Q9,武学奇术!$A:$ZZ,4,FALSE)+SUM(_xlfn.XLOOKUP($R9:$AF9,增益!$A:$A,增益!$D:$D,0))-$I$2</f>
        <v>5189.5</v>
      </c>
      <c r="AP9" s="35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0.2125</v>
      </c>
      <c r="AQ9" s="35" cm="1">
        <f t="array" ref="AQ9">$G$10+VLOOKUP($Q9,武学奇术!$A:$ZZ,7,FALSE)+SUM(_xlfn.XLOOKUP(R9:AF9,增益!$A:$A,增益!$G:$G,0))</f>
        <v>0.1</v>
      </c>
      <c r="AR9" s="27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5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-0.3</v>
      </c>
      <c r="AV9" s="35" cm="1">
        <f t="array" ref="AV9">$G$11+VLOOKUP($Q9,武学奇术!$A:$ZZ,10,FALSE)+SUM(_xlfn.XLOOKUP(R9:AF9,增益!$A:$A,增益!$J:$J,0))</f>
        <v>0</v>
      </c>
      <c r="AW9">
        <f t="shared" si="3"/>
        <v>0</v>
      </c>
      <c r="AX9">
        <f t="shared" si="4"/>
        <v>0</v>
      </c>
      <c r="AY9" s="35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-0.3</v>
      </c>
      <c r="AZ9" s="35" cm="1">
        <f t="array" ref="AZ9">$G$12+VLOOKUP($Q9,武学奇术!$A:$ZZ,12,FALSE)+SUM(_xlfn.XLOOKUP(R9:AF9,增益!$A:$A,增益!$L:$L,0))</f>
        <v>0</v>
      </c>
      <c r="BA9">
        <f t="shared" si="5"/>
        <v>538</v>
      </c>
      <c r="BB9">
        <f t="shared" si="6"/>
        <v>1011</v>
      </c>
      <c r="BC9" s="35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0</v>
      </c>
      <c r="BD9" s="35" cm="1">
        <f t="array" ref="BD9">$G$13+VLOOKUP($Q9,武学奇术!$A:$ZZ,14,FALSE)+SUM(_xlfn.XLOOKUP(R9:AF9,增益!$A:$A,增益!$N:$N,0))</f>
        <v>0.25</v>
      </c>
      <c r="BE9">
        <f t="shared" si="7"/>
        <v>0</v>
      </c>
      <c r="BF9">
        <f t="shared" si="8"/>
        <v>0</v>
      </c>
      <c r="BG9" s="35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-0.3</v>
      </c>
      <c r="BH9" s="35" cm="1">
        <f t="array" ref="BH9">$G$14+VLOOKUP($Q9,武学奇术!$A:$ZZ,16,FALSE)+SUM(_xlfn.XLOOKUP(R9:AF9,增益!$A:$A,增益!$P:$P,0))</f>
        <v>0</v>
      </c>
      <c r="BI9" s="27">
        <f>MIN(IF(VLOOKUP($Q9,武学奇术!$A:$ZZ,23,FALSE)=1,100%,$B$8),100%)</f>
        <v>0.9969</v>
      </c>
      <c r="BJ9" s="27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0.9137</v>
      </c>
      <c r="BK9" s="27" cm="1">
        <f t="array" ref="BK9">1+$B$13+VLOOKUP($Q9,武学奇术!$A:$ZZ,18,FALSE)+SUM(_xlfn.XLOOKUP(R9:AF9,增益!$A:$A,增益!$R:$R,0))</f>
        <v>1.51</v>
      </c>
      <c r="BL9" s="27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0.0895</v>
      </c>
      <c r="BM9" s="27" cm="1">
        <f t="array" ref="BM9">1+$B$14+VLOOKUP($Q9,武学奇术!$A:$ZZ,20,FALSE)+SUM(_xlfn.XLOOKUP(R9:AF9,增益!$A:$A,增益!$T:$T,0))</f>
        <v>1.35</v>
      </c>
      <c r="BN9" s="27">
        <f t="shared" si="9"/>
        <v>0.90767745</v>
      </c>
      <c r="BO9" s="27">
        <f t="shared" si="10"/>
        <v>-1.30104260698261e-17</v>
      </c>
      <c r="BP9" s="27">
        <f>IF(VLOOKUP($Q9,武学奇术!$A:$ZZ,22,FALSE)=1,0,(1-$BI9))*(1-$BL9)</f>
        <v>0.00282254999999999</v>
      </c>
      <c r="BQ9" s="27" cm="1">
        <f t="array" ref="BQ9">SUM(_xlfn.XLOOKUP(R9:AF9,增益!$A:$A,增益!$W:$W,0))+$I$5</f>
        <v>0.11</v>
      </c>
    </row>
    <row r="10" spans="1:69">
      <c r="A10" s="44" t="s">
        <v>105</v>
      </c>
      <c r="B10" s="73">
        <f>期望!B10</f>
        <v>0.0895</v>
      </c>
      <c r="C10" s="12" t="s">
        <v>66</v>
      </c>
      <c r="D10">
        <f>期望!D10</f>
        <v>2333.7</v>
      </c>
      <c r="E10">
        <f>期望!E10</f>
        <v>5809.5</v>
      </c>
      <c r="F10">
        <f>期望!F10</f>
        <v>63.5</v>
      </c>
      <c r="G10" s="52">
        <f>期望!G10</f>
        <v>0</v>
      </c>
      <c r="H10" s="71" t="s">
        <v>106</v>
      </c>
      <c r="I10" s="76">
        <f>SUM(K:K)</f>
        <v>12954998.0562393</v>
      </c>
      <c r="J10" s="77"/>
      <c r="K10" s="41">
        <f t="shared" si="0"/>
        <v>11223.3316660431</v>
      </c>
      <c r="L10" s="41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弹道",$B$21,0))*(1+$BQ10)</f>
        <v>11005.3282062</v>
      </c>
      <c r="M10" s="41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弹道",$B$21,0))*(1+$BQ10)</f>
        <v>13650.4010377499</v>
      </c>
      <c r="N10" s="41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弹道",$B$21,0))*(1+$BQ10)</f>
        <v>7240.34750407896</v>
      </c>
      <c r="O10" s="41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弹道",$B$21,0))*(1+$BQ10)</f>
        <v>4369.28683204689</v>
      </c>
      <c r="P10" s="42">
        <v>1</v>
      </c>
      <c r="Q10" s="43" t="s">
        <v>107</v>
      </c>
      <c r="R10" s="43" t="s">
        <v>78</v>
      </c>
      <c r="S10" s="43" t="s">
        <v>79</v>
      </c>
      <c r="T10" s="43" t="s">
        <v>73</v>
      </c>
      <c r="U10" s="43" t="s">
        <v>73</v>
      </c>
      <c r="V10" s="43" t="s">
        <v>73</v>
      </c>
      <c r="W10" s="43" t="s">
        <v>73</v>
      </c>
      <c r="X10" s="43" t="s">
        <v>73</v>
      </c>
      <c r="Y10" s="43" t="s">
        <v>73</v>
      </c>
      <c r="Z10" s="43" t="s">
        <v>73</v>
      </c>
      <c r="AA10" s="43" t="s">
        <v>74</v>
      </c>
      <c r="AB10" s="43" t="s">
        <v>73</v>
      </c>
      <c r="AC10" s="43" t="s">
        <v>73</v>
      </c>
      <c r="AD10" s="43" t="s">
        <v>73</v>
      </c>
      <c r="AE10" s="43" t="s">
        <v>73</v>
      </c>
      <c r="AF10" s="43" t="s">
        <v>75</v>
      </c>
      <c r="AG10" t="str">
        <f>VLOOKUP($Q10,武学奇术!$A:$ZZ,25,FALSE)</f>
        <v>伞</v>
      </c>
      <c r="AH10" s="27">
        <f>VLOOKUP($Q10,武学奇术!$A:$ZZ,26,FALSE)</f>
        <v>0.54</v>
      </c>
      <c r="AI10" s="28">
        <f>VLOOKUP($Q10,武学奇术!$A:$ZZ,27,FALSE)*(1+IF(OR($AG10=$F$4,$AG10=$F$5),$B$22,0))</f>
        <v>207.2</v>
      </c>
      <c r="AJ10" s="27">
        <f>VLOOKUP($Q10,武学奇术!$A:$ZZ,28,FALSE)</f>
        <v>0.81</v>
      </c>
      <c r="AK10" s="28">
        <f>VLOOKUP($Q10,武学奇术!$A:$ZZ,29,FALSE)*(1+IF(OR($AG10=$F$4,$AG10=$F$5),$B$22,0))</f>
        <v>114.1</v>
      </c>
      <c r="AL10" s="27" cm="1">
        <f t="array" ref="AL10">$G$3+IFERROR(VLOOKUP($AG10,$F$4:$G$7,2,FALSE),0)+VLOOKUP($Q10,武学奇术!$A:$ZZ,2,FALSE)+SUM(_xlfn.XLOOKUP($R10:$AF10,增益!$A:$A,增益!$B:$B,0))</f>
        <v>0.3141</v>
      </c>
      <c r="AM10" s="27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1713.7</v>
      </c>
      <c r="AO10" cm="1">
        <f t="array" ref="AO10">$E$10*(1+$AM10)+VLOOKUP($Q10,武学奇术!$A:$ZZ,4,FALSE)+SUM(_xlfn.XLOOKUP($R10:$AF10,增益!$A:$A,增益!$D:$D,0))-$I$2</f>
        <v>5189.5</v>
      </c>
      <c r="AP10" s="35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0.2125</v>
      </c>
      <c r="AQ10" s="35" cm="1">
        <f t="array" ref="AQ10">$G$10+VLOOKUP($Q10,武学奇术!$A:$ZZ,7,FALSE)+SUM(_xlfn.XLOOKUP(R10:AF10,增益!$A:$A,增益!$G:$G,0))</f>
        <v>0.1</v>
      </c>
      <c r="AR10" s="27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5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-0.3</v>
      </c>
      <c r="AV10" s="35" cm="1">
        <f t="array" ref="AV10">$G$11+VLOOKUP($Q10,武学奇术!$A:$ZZ,10,FALSE)+SUM(_xlfn.XLOOKUP(R10:AF10,增益!$A:$A,增益!$J:$J,0))</f>
        <v>0</v>
      </c>
      <c r="AW10">
        <f t="shared" si="3"/>
        <v>0</v>
      </c>
      <c r="AX10">
        <f t="shared" si="4"/>
        <v>0</v>
      </c>
      <c r="AY10" s="35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-0.3</v>
      </c>
      <c r="AZ10" s="35" cm="1">
        <f t="array" ref="AZ10">$G$12+VLOOKUP($Q10,武学奇术!$A:$ZZ,12,FALSE)+SUM(_xlfn.XLOOKUP(R10:AF10,增益!$A:$A,增益!$L:$L,0))</f>
        <v>0</v>
      </c>
      <c r="BA10">
        <f t="shared" si="5"/>
        <v>538</v>
      </c>
      <c r="BB10">
        <f t="shared" si="6"/>
        <v>1011</v>
      </c>
      <c r="BC10" s="35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0</v>
      </c>
      <c r="BD10" s="35" cm="1">
        <f t="array" ref="BD10">$G$13+VLOOKUP($Q10,武学奇术!$A:$ZZ,14,FALSE)+SUM(_xlfn.XLOOKUP(R10:AF10,增益!$A:$A,增益!$N:$N,0))</f>
        <v>0.25</v>
      </c>
      <c r="BE10">
        <f t="shared" si="7"/>
        <v>0</v>
      </c>
      <c r="BF10">
        <f t="shared" si="8"/>
        <v>0</v>
      </c>
      <c r="BG10" s="35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-0.3</v>
      </c>
      <c r="BH10" s="35" cm="1">
        <f t="array" ref="BH10">$G$14+VLOOKUP($Q10,武学奇术!$A:$ZZ,16,FALSE)+SUM(_xlfn.XLOOKUP(R10:AF10,增益!$A:$A,增益!$P:$P,0))</f>
        <v>0</v>
      </c>
      <c r="BI10" s="27">
        <f>MIN(IF(VLOOKUP($Q10,武学奇术!$A:$ZZ,23,FALSE)=1,100%,$B$8),100%)</f>
        <v>0.9969</v>
      </c>
      <c r="BJ10" s="27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0.9137</v>
      </c>
      <c r="BK10" s="27" cm="1">
        <f t="array" ref="BK10">1+$B$13+VLOOKUP($Q10,武学奇术!$A:$ZZ,18,FALSE)+SUM(_xlfn.XLOOKUP(R10:AF10,增益!$A:$A,增益!$R:$R,0))</f>
        <v>1.52</v>
      </c>
      <c r="BL10" s="27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0.0895</v>
      </c>
      <c r="BM10" s="27" cm="1">
        <f t="array" ref="BM10">1+$B$14+VLOOKUP($Q10,武学奇术!$A:$ZZ,20,FALSE)+SUM(_xlfn.XLOOKUP(R10:AF10,增益!$A:$A,增益!$T:$T,0))</f>
        <v>1.35</v>
      </c>
      <c r="BN10" s="27">
        <f t="shared" si="9"/>
        <v>0.90767745</v>
      </c>
      <c r="BO10" s="27">
        <f t="shared" si="10"/>
        <v>-1.30104260698261e-17</v>
      </c>
      <c r="BP10" s="27">
        <f>IF(VLOOKUP($Q10,武学奇术!$A:$ZZ,22,FALSE)=1,0,(1-$BI10))*(1-$BL10)</f>
        <v>0.00282254999999999</v>
      </c>
      <c r="BQ10" s="27" cm="1">
        <f t="array" ref="BQ10">SUM(_xlfn.XLOOKUP(R10:AF10,增益!$A:$A,增益!$W:$W,0))+$I$5</f>
        <v>0.11</v>
      </c>
    </row>
    <row r="11" ht="14.25" spans="1:69">
      <c r="A11" s="44" t="s">
        <v>108</v>
      </c>
      <c r="B11" s="73">
        <f>期望!B11</f>
        <v>0.133</v>
      </c>
      <c r="C11" s="12" t="s">
        <v>76</v>
      </c>
      <c r="D11">
        <f>期望!D11</f>
        <v>0</v>
      </c>
      <c r="E11">
        <f>期望!E11</f>
        <v>0</v>
      </c>
      <c r="F11">
        <f>期望!F11</f>
        <v>0</v>
      </c>
      <c r="G11" s="52">
        <f>期望!G11</f>
        <v>0</v>
      </c>
      <c r="H11" s="74"/>
      <c r="I11" s="78"/>
      <c r="J11" s="79"/>
      <c r="K11" s="41">
        <f t="shared" si="0"/>
        <v>22691.5988516012</v>
      </c>
      <c r="L11" s="41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弹道",$B$21,0))*(1+$BQ11)</f>
        <v>22727.9754479416</v>
      </c>
      <c r="M11" s="41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弹道",$B$21,0))*(1+$BQ11)</f>
        <v>22808.6055526319</v>
      </c>
      <c r="N11" s="41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弹道",$B$21,0))*(1+$BQ11)</f>
        <v>12089.3486425221</v>
      </c>
      <c r="O11" s="41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弹道",$B$21,0))*(1+$BQ11)</f>
        <v>7283.43391272431</v>
      </c>
      <c r="P11" s="42">
        <v>0.5</v>
      </c>
      <c r="Q11" s="43" t="s">
        <v>109</v>
      </c>
      <c r="R11" s="43" t="s">
        <v>84</v>
      </c>
      <c r="S11" s="43" t="s">
        <v>79</v>
      </c>
      <c r="T11" s="43" t="s">
        <v>102</v>
      </c>
      <c r="U11" s="43" t="s">
        <v>73</v>
      </c>
      <c r="V11" s="43" t="s">
        <v>98</v>
      </c>
      <c r="W11" s="43" t="s">
        <v>73</v>
      </c>
      <c r="X11" s="43" t="s">
        <v>73</v>
      </c>
      <c r="Y11" s="43" t="s">
        <v>73</v>
      </c>
      <c r="Z11" s="43" t="s">
        <v>73</v>
      </c>
      <c r="AA11" s="43" t="s">
        <v>74</v>
      </c>
      <c r="AB11" s="43" t="s">
        <v>73</v>
      </c>
      <c r="AC11" s="43" t="s">
        <v>73</v>
      </c>
      <c r="AD11" s="43" t="s">
        <v>73</v>
      </c>
      <c r="AE11" s="43" t="s">
        <v>73</v>
      </c>
      <c r="AF11" s="43" t="s">
        <v>75</v>
      </c>
      <c r="AG11" t="str">
        <f>VLOOKUP($Q11,武学奇术!$A:$ZZ,25,FALSE)</f>
        <v>伞</v>
      </c>
      <c r="AH11" s="27">
        <f>VLOOKUP($Q11,武学奇术!$A:$ZZ,26,FALSE)</f>
        <v>1.174955</v>
      </c>
      <c r="AI11" s="28">
        <f>VLOOKUP($Q11,武学奇术!$A:$ZZ,27,FALSE)*(1+IF(OR($AG11=$F$4,$AG11=$F$5),$B$22,0))</f>
        <v>454.02</v>
      </c>
      <c r="AJ11" s="27">
        <f>VLOOKUP($Q11,武学奇术!$A:$ZZ,28,FALSE)</f>
        <v>1.762375</v>
      </c>
      <c r="AK11" s="28">
        <f>VLOOKUP($Q11,武学奇术!$A:$ZZ,29,FALSE)*(1+IF(OR($AG11=$F$4,$AG11=$F$5),$B$22,0))</f>
        <v>247.94</v>
      </c>
      <c r="AL11" s="27" cm="1">
        <f t="array" ref="AL11">$G$3+IFERROR(VLOOKUP($AG11,$F$4:$G$7,2,FALSE),0)+VLOOKUP($Q11,武学奇术!$A:$ZZ,2,FALSE)+SUM(_xlfn.XLOOKUP($R11:$AF11,增益!$A:$A,增益!$B:$B,0))</f>
        <v>0.9741</v>
      </c>
      <c r="AM11" s="27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1713.7</v>
      </c>
      <c r="AO11" cm="1">
        <f t="array" ref="AO11">$E$10*(1+$AM11)+VLOOKUP($Q11,武学奇术!$A:$ZZ,4,FALSE)+SUM(_xlfn.XLOOKUP($R11:$AF11,增益!$A:$A,增益!$D:$D,0))-$I$2</f>
        <v>5189.5</v>
      </c>
      <c r="AP11" s="35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0.2475</v>
      </c>
      <c r="AQ11" s="35" cm="1">
        <f t="array" ref="AQ11">$G$10+VLOOKUP($Q11,武学奇术!$A:$ZZ,7,FALSE)+SUM(_xlfn.XLOOKUP(R11:AF11,增益!$A:$A,增益!$G:$G,0))</f>
        <v>0.1</v>
      </c>
      <c r="AR11" s="27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5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-0.3</v>
      </c>
      <c r="AV11" s="35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35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-0.3</v>
      </c>
      <c r="AZ11" s="35" cm="1">
        <f t="array" ref="AZ11">$G$12+VLOOKUP($Q11,武学奇术!$A:$ZZ,12,FALSE)+SUM(_xlfn.XLOOKUP(R11:AF11,增益!$A:$A,增益!$L:$L,0))</f>
        <v>0</v>
      </c>
      <c r="BA11">
        <f t="shared" si="5"/>
        <v>538</v>
      </c>
      <c r="BB11">
        <f t="shared" si="6"/>
        <v>1011</v>
      </c>
      <c r="BC11" s="35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0</v>
      </c>
      <c r="BD11" s="35" cm="1">
        <f t="array" ref="BD11">$G$13+VLOOKUP($Q11,武学奇术!$A:$ZZ,14,FALSE)+SUM(_xlfn.XLOOKUP(R11:AF11,增益!$A:$A,增益!$N:$N,0))</f>
        <v>0.25</v>
      </c>
      <c r="BE11">
        <f t="shared" si="7"/>
        <v>0</v>
      </c>
      <c r="BF11">
        <f t="shared" si="8"/>
        <v>0</v>
      </c>
      <c r="BG11" s="35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-0.3</v>
      </c>
      <c r="BH11" s="35" cm="1">
        <f t="array" ref="BH11">$G$14+VLOOKUP($Q11,武学奇术!$A:$ZZ,16,FALSE)+SUM(_xlfn.XLOOKUP(R11:AF11,增益!$A:$A,增益!$P:$P,0))</f>
        <v>0</v>
      </c>
      <c r="BI11" s="27">
        <f>MIN(IF(VLOOKUP($Q11,武学奇术!$A:$ZZ,23,FALSE)=1,100%,$B$8),100%)</f>
        <v>0.9969</v>
      </c>
      <c r="BJ11" s="27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0.9137</v>
      </c>
      <c r="BK11" s="27" cm="1">
        <f t="array" ref="BK11">1+$B$13+VLOOKUP($Q11,武学奇术!$A:$ZZ,18,FALSE)+SUM(_xlfn.XLOOKUP(R11:AF11,增益!$A:$A,增益!$R:$R,0))</f>
        <v>1.88</v>
      </c>
      <c r="BL11" s="27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0.0895</v>
      </c>
      <c r="BM11" s="27" cm="1">
        <f t="array" ref="BM11">1+$B$14+VLOOKUP($Q11,武学奇术!$A:$ZZ,20,FALSE)+SUM(_xlfn.XLOOKUP(R11:AF11,增益!$A:$A,增益!$T:$T,0))</f>
        <v>1.35</v>
      </c>
      <c r="BN11" s="27">
        <f t="shared" si="9"/>
        <v>0.90767745</v>
      </c>
      <c r="BO11" s="27">
        <f t="shared" si="10"/>
        <v>-1.30104260698261e-17</v>
      </c>
      <c r="BP11" s="27">
        <f>IF(VLOOKUP($Q11,武学奇术!$A:$ZZ,22,FALSE)=1,0,(1-$BI11))*(1-$BL11)</f>
        <v>0.00282254999999999</v>
      </c>
      <c r="BQ11" s="27" cm="1">
        <f t="array" ref="BQ11">SUM(_xlfn.XLOOKUP(R11:AF11,增益!$A:$A,增益!$W:$W,0))+$I$5</f>
        <v>0.11</v>
      </c>
    </row>
    <row r="12" spans="1:69">
      <c r="A12" s="44" t="s">
        <v>110</v>
      </c>
      <c r="B12" s="73">
        <f>期望!B12</f>
        <v>0</v>
      </c>
      <c r="C12" s="12" t="s">
        <v>81</v>
      </c>
      <c r="D12">
        <f>期望!D12</f>
        <v>0</v>
      </c>
      <c r="E12">
        <f>期望!E12</f>
        <v>0</v>
      </c>
      <c r="F12">
        <f>期望!F12</f>
        <v>0</v>
      </c>
      <c r="G12" s="52">
        <f>期望!G12</f>
        <v>0</v>
      </c>
      <c r="H12" s="71" t="s">
        <v>111</v>
      </c>
      <c r="I12" s="41">
        <f>I10/I8</f>
        <v>117772.709602175</v>
      </c>
      <c r="J12" s="80"/>
      <c r="K12" s="41">
        <f t="shared" si="0"/>
        <v>29103.2952059745</v>
      </c>
      <c r="L12" s="41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弹道",$B$21,0))*(1+$BQ12)</f>
        <v>29458.3569962249</v>
      </c>
      <c r="M12" s="41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弹道",$B$21,0))*(1+$BQ12)</f>
        <v>26158.9777846279</v>
      </c>
      <c r="N12" s="41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弹道",$B$21,0))*(1+$BQ12)</f>
        <v>13830.2145522183</v>
      </c>
      <c r="O12" s="41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弹道",$B$21,0))*(1+$BQ12)</f>
        <v>8283.40852323069</v>
      </c>
      <c r="P12" s="42">
        <v>0.5</v>
      </c>
      <c r="Q12" s="43" t="s">
        <v>109</v>
      </c>
      <c r="R12" s="43" t="s">
        <v>78</v>
      </c>
      <c r="S12" s="43" t="s">
        <v>79</v>
      </c>
      <c r="T12" s="43" t="s">
        <v>102</v>
      </c>
      <c r="U12" s="43" t="s">
        <v>73</v>
      </c>
      <c r="V12" s="43" t="s">
        <v>98</v>
      </c>
      <c r="W12" s="43" t="s">
        <v>73</v>
      </c>
      <c r="X12" s="43" t="s">
        <v>73</v>
      </c>
      <c r="Y12" s="43" t="s">
        <v>112</v>
      </c>
      <c r="Z12" s="43" t="s">
        <v>113</v>
      </c>
      <c r="AA12" s="43" t="s">
        <v>74</v>
      </c>
      <c r="AB12" s="43" t="s">
        <v>73</v>
      </c>
      <c r="AC12" s="43" t="s">
        <v>73</v>
      </c>
      <c r="AD12" s="43" t="s">
        <v>73</v>
      </c>
      <c r="AE12" s="43" t="s">
        <v>73</v>
      </c>
      <c r="AF12" s="43" t="s">
        <v>75</v>
      </c>
      <c r="AG12" t="str">
        <f>VLOOKUP($Q12,武学奇术!$A:$ZZ,25,FALSE)</f>
        <v>伞</v>
      </c>
      <c r="AH12" s="27">
        <f>VLOOKUP($Q12,武学奇术!$A:$ZZ,26,FALSE)</f>
        <v>1.174955</v>
      </c>
      <c r="AI12" s="28">
        <f>VLOOKUP($Q12,武学奇术!$A:$ZZ,27,FALSE)*(1+IF(OR($AG12=$F$4,$AG12=$F$5),$B$22,0))</f>
        <v>454.02</v>
      </c>
      <c r="AJ12" s="27">
        <f>VLOOKUP($Q12,武学奇术!$A:$ZZ,28,FALSE)</f>
        <v>1.762375</v>
      </c>
      <c r="AK12" s="28">
        <f>VLOOKUP($Q12,武学奇术!$A:$ZZ,29,FALSE)*(1+IF(OR($AG12=$F$4,$AG12=$F$5),$B$22,0))</f>
        <v>247.94</v>
      </c>
      <c r="AL12" s="27" cm="1">
        <f t="array" ref="AL12">$G$3+IFERROR(VLOOKUP($AG12,$F$4:$G$7,2,FALSE),0)+VLOOKUP($Q12,武学奇术!$A:$ZZ,2,FALSE)+SUM(_xlfn.XLOOKUP($R12:$AF12,增益!$A:$A,增益!$B:$B,0))</f>
        <v>1.1141</v>
      </c>
      <c r="AM12" s="27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1713.7</v>
      </c>
      <c r="AO12" cm="1">
        <f t="array" ref="AO12">$E$10*(1+$AM12)+VLOOKUP($Q12,武学奇术!$A:$ZZ,4,FALSE)+SUM(_xlfn.XLOOKUP($R12:$AF12,增益!$A:$A,增益!$D:$D,0))-$I$2</f>
        <v>5189.5</v>
      </c>
      <c r="AP12" s="35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0.3625</v>
      </c>
      <c r="AQ12" s="35" cm="1">
        <f t="array" ref="AQ12">$G$10+VLOOKUP($Q12,武学奇术!$A:$ZZ,7,FALSE)+SUM(_xlfn.XLOOKUP(R12:AF12,增益!$A:$A,增益!$G:$G,0))</f>
        <v>0.1</v>
      </c>
      <c r="AR12" s="27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5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-0.3</v>
      </c>
      <c r="AV12" s="35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35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-0.3</v>
      </c>
      <c r="AZ12" s="35" cm="1">
        <f t="array" ref="AZ12">$G$12+VLOOKUP($Q12,武学奇术!$A:$ZZ,12,FALSE)+SUM(_xlfn.XLOOKUP(R12:AF12,增益!$A:$A,增益!$L:$L,0))</f>
        <v>0</v>
      </c>
      <c r="BA12">
        <f t="shared" si="5"/>
        <v>538</v>
      </c>
      <c r="BB12">
        <f t="shared" si="6"/>
        <v>1011</v>
      </c>
      <c r="BC12" s="35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0</v>
      </c>
      <c r="BD12" s="35" cm="1">
        <f t="array" ref="BD12">$G$13+VLOOKUP($Q12,武学奇术!$A:$ZZ,14,FALSE)+SUM(_xlfn.XLOOKUP(R12:AF12,增益!$A:$A,增益!$N:$N,0))</f>
        <v>0.25</v>
      </c>
      <c r="BE12">
        <f t="shared" si="7"/>
        <v>0</v>
      </c>
      <c r="BF12">
        <f t="shared" si="8"/>
        <v>0</v>
      </c>
      <c r="BG12" s="35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-0.3</v>
      </c>
      <c r="BH12" s="35" cm="1">
        <f t="array" ref="BH12">$G$14+VLOOKUP($Q12,武学奇术!$A:$ZZ,16,FALSE)+SUM(_xlfn.XLOOKUP(R12:AF12,增益!$A:$A,增益!$P:$P,0))</f>
        <v>0</v>
      </c>
      <c r="BI12" s="27">
        <f>MIN(IF(VLOOKUP($Q12,武学奇术!$A:$ZZ,23,FALSE)=1,100%,$B$8),100%)</f>
        <v>0.9969</v>
      </c>
      <c r="BJ12" s="27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0.9137</v>
      </c>
      <c r="BK12" s="27" cm="1">
        <f t="array" ref="BK12">1+$B$13+VLOOKUP($Q12,武学奇术!$A:$ZZ,18,FALSE)+SUM(_xlfn.XLOOKUP(R12:AF12,增益!$A:$A,增益!$R:$R,0))</f>
        <v>2.13</v>
      </c>
      <c r="BL12" s="27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0.0895</v>
      </c>
      <c r="BM12" s="27" cm="1">
        <f t="array" ref="BM12">1+$B$14+VLOOKUP($Q12,武学奇术!$A:$ZZ,20,FALSE)+SUM(_xlfn.XLOOKUP(R12:AF12,增益!$A:$A,增益!$T:$T,0))</f>
        <v>1.35</v>
      </c>
      <c r="BN12" s="27">
        <f t="shared" si="9"/>
        <v>0.90767745</v>
      </c>
      <c r="BO12" s="27">
        <f t="shared" si="10"/>
        <v>-1.30104260698261e-17</v>
      </c>
      <c r="BP12" s="27">
        <f>IF(VLOOKUP($Q12,武学奇术!$A:$ZZ,22,FALSE)=1,0,(1-$BI12))*(1-$BL12)</f>
        <v>0.00282254999999999</v>
      </c>
      <c r="BQ12" s="27" cm="1">
        <f t="array" ref="BQ12">SUM(_xlfn.XLOOKUP(R12:AF12,增益!$A:$A,增益!$W:$W,0))+$I$5</f>
        <v>0.11</v>
      </c>
    </row>
    <row r="13" ht="14.25" spans="1:69">
      <c r="A13" s="44" t="s">
        <v>114</v>
      </c>
      <c r="B13" s="73">
        <f>期望!B13</f>
        <v>0.5</v>
      </c>
      <c r="C13" s="12" t="s">
        <v>5</v>
      </c>
      <c r="D13">
        <f>期望!D13</f>
        <v>538</v>
      </c>
      <c r="E13">
        <f>期望!E13</f>
        <v>1011</v>
      </c>
      <c r="F13">
        <f>期望!F13</f>
        <v>30</v>
      </c>
      <c r="G13" s="52">
        <f>期望!G13</f>
        <v>0.15</v>
      </c>
      <c r="H13" s="74"/>
      <c r="I13" s="81"/>
      <c r="J13" s="79"/>
      <c r="K13" s="41">
        <f t="shared" si="0"/>
        <v>62360.4778825735</v>
      </c>
      <c r="L13" s="41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弹道",$B$21,0))*(1+$BQ13)</f>
        <v>63115.1356976097</v>
      </c>
      <c r="M13" s="41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弹道",$B$21,0))*(1+$BQ13)</f>
        <v>56115.5841792401</v>
      </c>
      <c r="N13" s="41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弹道",$B$21,0))*(1+$BQ13)</f>
        <v>29631.519106859</v>
      </c>
      <c r="O13" s="41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弹道",$B$21,0))*(1+$BQ13)</f>
        <v>17695.9388216883</v>
      </c>
      <c r="P13" s="42">
        <v>1</v>
      </c>
      <c r="Q13" s="43" t="s">
        <v>109</v>
      </c>
      <c r="R13" s="43" t="s">
        <v>84</v>
      </c>
      <c r="S13" s="43" t="s">
        <v>79</v>
      </c>
      <c r="T13" s="43" t="s">
        <v>102</v>
      </c>
      <c r="U13" s="43" t="s">
        <v>86</v>
      </c>
      <c r="V13" s="43" t="s">
        <v>98</v>
      </c>
      <c r="W13" s="43" t="s">
        <v>73</v>
      </c>
      <c r="X13" s="43" t="s">
        <v>73</v>
      </c>
      <c r="Y13" s="43" t="s">
        <v>112</v>
      </c>
      <c r="Z13" s="43" t="s">
        <v>113</v>
      </c>
      <c r="AA13" s="43" t="s">
        <v>74</v>
      </c>
      <c r="AB13" s="43" t="s">
        <v>73</v>
      </c>
      <c r="AC13" s="43" t="s">
        <v>73</v>
      </c>
      <c r="AD13" s="43" t="s">
        <v>73</v>
      </c>
      <c r="AE13" s="43" t="s">
        <v>73</v>
      </c>
      <c r="AF13" s="43" t="s">
        <v>75</v>
      </c>
      <c r="AG13" t="str">
        <f>VLOOKUP($Q13,武学奇术!$A:$ZZ,25,FALSE)</f>
        <v>伞</v>
      </c>
      <c r="AH13" s="27">
        <f>VLOOKUP($Q13,武学奇术!$A:$ZZ,26,FALSE)</f>
        <v>1.174955</v>
      </c>
      <c r="AI13" s="28">
        <f>VLOOKUP($Q13,武学奇术!$A:$ZZ,27,FALSE)*(1+IF(OR($AG13=$F$4,$AG13=$F$5),$B$22,0))</f>
        <v>454.02</v>
      </c>
      <c r="AJ13" s="27">
        <f>VLOOKUP($Q13,武学奇术!$A:$ZZ,28,FALSE)</f>
        <v>1.762375</v>
      </c>
      <c r="AK13" s="28">
        <f>VLOOKUP($Q13,武学奇术!$A:$ZZ,29,FALSE)*(1+IF(OR($AG13=$F$4,$AG13=$F$5),$B$22,0))</f>
        <v>247.94</v>
      </c>
      <c r="AL13" s="27" cm="1">
        <f t="array" ref="AL13">$G$3+IFERROR(VLOOKUP($AG13,$F$4:$G$7,2,FALSE),0)+VLOOKUP($Q13,武学奇术!$A:$ZZ,2,FALSE)+SUM(_xlfn.XLOOKUP($R13:$AF13,增益!$A:$A,增益!$B:$B,0))</f>
        <v>1.1241</v>
      </c>
      <c r="AM13" s="27" cm="1">
        <f t="array" ref="AM13">VLOOKUP($Q13,武学奇术!$A:$ZZ,5,FALSE)+SUM(_xlfn.XLOOKUP($R13:$AF13,增益!$A:$A,增益!$E:$E,0))</f>
        <v>0.075</v>
      </c>
      <c r="AN13" cm="1">
        <f t="array" ref="AN13">$D$10*(1+$AM13)+VLOOKUP($Q13,武学奇术!$A:$ZZ,3,FALSE)+SUM(_xlfn.XLOOKUP($R13:$AF13,增益!$A:$A,增益!$C:$C,0))-$I$2</f>
        <v>1888.7275</v>
      </c>
      <c r="AO13" cm="1">
        <f t="array" ref="AO13">$E$10*(1+$AM13)+VLOOKUP($Q13,武学奇术!$A:$ZZ,4,FALSE)+SUM(_xlfn.XLOOKUP($R13:$AF13,增益!$A:$A,增益!$D:$D,0))-$I$2</f>
        <v>5625.2125</v>
      </c>
      <c r="AP13" s="35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0.3725</v>
      </c>
      <c r="AQ13" s="35" cm="1">
        <f t="array" ref="AQ13">$G$10+VLOOKUP($Q13,武学奇术!$A:$ZZ,7,FALSE)+SUM(_xlfn.XLOOKUP(R13:AF13,增益!$A:$A,增益!$G:$G,0))</f>
        <v>0.1</v>
      </c>
      <c r="AR13" s="27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5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-0.3</v>
      </c>
      <c r="AV13" s="35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35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-0.3</v>
      </c>
      <c r="AZ13" s="35" cm="1">
        <f t="array" ref="AZ13">$G$12+VLOOKUP($Q13,武学奇术!$A:$ZZ,12,FALSE)+SUM(_xlfn.XLOOKUP(R13:AF13,增益!$A:$A,增益!$L:$L,0))</f>
        <v>0</v>
      </c>
      <c r="BA13">
        <f t="shared" si="5"/>
        <v>538</v>
      </c>
      <c r="BB13">
        <f t="shared" si="6"/>
        <v>1011</v>
      </c>
      <c r="BC13" s="35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0</v>
      </c>
      <c r="BD13" s="35" cm="1">
        <f t="array" ref="BD13">$G$13+VLOOKUP($Q13,武学奇术!$A:$ZZ,14,FALSE)+SUM(_xlfn.XLOOKUP(R13:AF13,增益!$A:$A,增益!$N:$N,0))</f>
        <v>0.25</v>
      </c>
      <c r="BE13">
        <f t="shared" si="7"/>
        <v>0</v>
      </c>
      <c r="BF13">
        <f t="shared" si="8"/>
        <v>0</v>
      </c>
      <c r="BG13" s="35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-0.3</v>
      </c>
      <c r="BH13" s="35" cm="1">
        <f t="array" ref="BH13">$G$14+VLOOKUP($Q13,武学奇术!$A:$ZZ,16,FALSE)+SUM(_xlfn.XLOOKUP(R13:AF13,增益!$A:$A,增益!$P:$P,0))</f>
        <v>0</v>
      </c>
      <c r="BI13" s="27">
        <f>MIN(IF(VLOOKUP($Q13,武学奇术!$A:$ZZ,23,FALSE)=1,100%,$B$8),100%)</f>
        <v>0.9969</v>
      </c>
      <c r="BJ13" s="27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0.9137</v>
      </c>
      <c r="BK13" s="27" cm="1">
        <f t="array" ref="BK13">1+$B$13+VLOOKUP($Q13,武学奇术!$A:$ZZ,18,FALSE)+SUM(_xlfn.XLOOKUP(R13:AF13,增益!$A:$A,增益!$R:$R,0))</f>
        <v>2.13</v>
      </c>
      <c r="BL13" s="27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0.0895</v>
      </c>
      <c r="BM13" s="27" cm="1">
        <f t="array" ref="BM13">1+$B$14+VLOOKUP($Q13,武学奇术!$A:$ZZ,20,FALSE)+SUM(_xlfn.XLOOKUP(R13:AF13,增益!$A:$A,增益!$T:$T,0))</f>
        <v>1.35</v>
      </c>
      <c r="BN13" s="27">
        <f t="shared" si="9"/>
        <v>0.90767745</v>
      </c>
      <c r="BO13" s="27">
        <f t="shared" si="10"/>
        <v>-1.30104260698261e-17</v>
      </c>
      <c r="BP13" s="27">
        <f>IF(VLOOKUP($Q13,武学奇术!$A:$ZZ,22,FALSE)=1,0,(1-$BI13))*(1-$BL13)</f>
        <v>0.00282254999999999</v>
      </c>
      <c r="BQ13" s="27" cm="1">
        <f t="array" ref="BQ13">SUM(_xlfn.XLOOKUP(R13:AF13,增益!$A:$A,增益!$W:$W,0))+$I$5</f>
        <v>0.11</v>
      </c>
    </row>
    <row r="14" ht="14.25" spans="1:69">
      <c r="A14" s="44" t="s">
        <v>115</v>
      </c>
      <c r="B14" s="73">
        <f>期望!B14</f>
        <v>0.35</v>
      </c>
      <c r="C14" s="14" t="s">
        <v>91</v>
      </c>
      <c r="D14" s="14">
        <f>期望!D14</f>
        <v>0</v>
      </c>
      <c r="E14" s="14">
        <f>期望!E14</f>
        <v>0</v>
      </c>
      <c r="F14" s="14">
        <f>期望!F14</f>
        <v>0</v>
      </c>
      <c r="G14" s="67">
        <f>期望!G14</f>
        <v>0</v>
      </c>
      <c r="H14" s="39" t="s">
        <v>116</v>
      </c>
      <c r="I14" s="76">
        <f>I12</f>
        <v>117772.709602175</v>
      </c>
      <c r="J14" s="77"/>
      <c r="K14" s="41">
        <f t="shared" si="0"/>
        <v>253116.635172225</v>
      </c>
      <c r="L14" s="41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弹道",$B$21,0))*(1+$BQ14)</f>
        <v>256273.294461084</v>
      </c>
      <c r="M14" s="41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弹道",$B$21,0))*(1+$BQ14)</f>
        <v>226831.009860106</v>
      </c>
      <c r="N14" s="41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弹道",$B$21,0))*(1+$BQ14)</f>
        <v>119753.875916395</v>
      </c>
      <c r="O14" s="41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弹道",$B$21,0))*(1+$BQ14)</f>
        <v>71484.7815660442</v>
      </c>
      <c r="P14" s="42">
        <v>4</v>
      </c>
      <c r="Q14" s="43" t="s">
        <v>109</v>
      </c>
      <c r="R14" s="43" t="s">
        <v>89</v>
      </c>
      <c r="S14" s="43" t="s">
        <v>85</v>
      </c>
      <c r="T14" s="43" t="s">
        <v>102</v>
      </c>
      <c r="U14" s="43" t="s">
        <v>86</v>
      </c>
      <c r="V14" s="43" t="s">
        <v>98</v>
      </c>
      <c r="W14" s="43" t="s">
        <v>73</v>
      </c>
      <c r="X14" s="43" t="s">
        <v>73</v>
      </c>
      <c r="Y14" s="43" t="s">
        <v>112</v>
      </c>
      <c r="Z14" s="43" t="s">
        <v>113</v>
      </c>
      <c r="AA14" s="43" t="s">
        <v>74</v>
      </c>
      <c r="AB14" s="43" t="s">
        <v>73</v>
      </c>
      <c r="AC14" s="43" t="s">
        <v>73</v>
      </c>
      <c r="AD14" s="43" t="s">
        <v>73</v>
      </c>
      <c r="AE14" s="43" t="s">
        <v>73</v>
      </c>
      <c r="AF14" s="43" t="s">
        <v>75</v>
      </c>
      <c r="AG14" t="str">
        <f>VLOOKUP($Q14,武学奇术!$A:$ZZ,25,FALSE)</f>
        <v>伞</v>
      </c>
      <c r="AH14" s="27">
        <f>VLOOKUP($Q14,武学奇术!$A:$ZZ,26,FALSE)</f>
        <v>1.174955</v>
      </c>
      <c r="AI14" s="28">
        <f>VLOOKUP($Q14,武学奇术!$A:$ZZ,27,FALSE)*(1+IF(OR($AG14=$F$4,$AG14=$F$5),$B$22,0))</f>
        <v>454.02</v>
      </c>
      <c r="AJ14" s="27">
        <f>VLOOKUP($Q14,武学奇术!$A:$ZZ,28,FALSE)</f>
        <v>1.762375</v>
      </c>
      <c r="AK14" s="28">
        <f>VLOOKUP($Q14,武学奇术!$A:$ZZ,29,FALSE)*(1+IF(OR($AG14=$F$4,$AG14=$F$5),$B$22,0))</f>
        <v>247.94</v>
      </c>
      <c r="AL14" s="27" cm="1">
        <f t="array" ref="AL14">$G$3+IFERROR(VLOOKUP($AG14,$F$4:$G$7,2,FALSE),0)+VLOOKUP($Q14,武学奇术!$A:$ZZ,2,FALSE)+SUM(_xlfn.XLOOKUP($R14:$AF14,增益!$A:$A,增益!$B:$B,0))</f>
        <v>1.1341</v>
      </c>
      <c r="AM14" s="27" cm="1">
        <f t="array" ref="AM14">VLOOKUP($Q14,武学奇术!$A:$ZZ,5,FALSE)+SUM(_xlfn.XLOOKUP($R14:$AF14,增益!$A:$A,增益!$E:$E,0))</f>
        <v>0.075</v>
      </c>
      <c r="AN14" cm="1">
        <f t="array" ref="AN14">$D$10*(1+$AM14)+VLOOKUP($Q14,武学奇术!$A:$ZZ,3,FALSE)+SUM(_xlfn.XLOOKUP($R14:$AF14,增益!$A:$A,增益!$C:$C,0))-$I$2</f>
        <v>1888.7275</v>
      </c>
      <c r="AO14" cm="1">
        <f t="array" ref="AO14">$E$10*(1+$AM14)+VLOOKUP($Q14,武学奇术!$A:$ZZ,4,FALSE)+SUM(_xlfn.XLOOKUP($R14:$AF14,增益!$A:$A,增益!$D:$D,0))-$I$2</f>
        <v>5625.2125</v>
      </c>
      <c r="AP14" s="35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0.3825</v>
      </c>
      <c r="AQ14" s="35" cm="1">
        <f t="array" ref="AQ14">$G$10+VLOOKUP($Q14,武学奇术!$A:$ZZ,7,FALSE)+SUM(_xlfn.XLOOKUP(R14:AF14,增益!$A:$A,增益!$G:$G,0))</f>
        <v>0.1</v>
      </c>
      <c r="AR14" s="27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5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-0.3</v>
      </c>
      <c r="AV14" s="35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35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-0.3</v>
      </c>
      <c r="AZ14" s="35" cm="1">
        <f t="array" ref="AZ14">$G$12+VLOOKUP($Q14,武学奇术!$A:$ZZ,12,FALSE)+SUM(_xlfn.XLOOKUP(R14:AF14,增益!$A:$A,增益!$L:$L,0))</f>
        <v>0</v>
      </c>
      <c r="BA14">
        <f t="shared" si="5"/>
        <v>538</v>
      </c>
      <c r="BB14">
        <f t="shared" si="6"/>
        <v>1011</v>
      </c>
      <c r="BC14" s="35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0</v>
      </c>
      <c r="BD14" s="35" cm="1">
        <f t="array" ref="BD14">$G$13+VLOOKUP($Q14,武学奇术!$A:$ZZ,14,FALSE)+SUM(_xlfn.XLOOKUP(R14:AF14,增益!$A:$A,增益!$N:$N,0))</f>
        <v>0.25</v>
      </c>
      <c r="BE14">
        <f t="shared" si="7"/>
        <v>0</v>
      </c>
      <c r="BF14">
        <f t="shared" si="8"/>
        <v>0</v>
      </c>
      <c r="BG14" s="35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-0.3</v>
      </c>
      <c r="BH14" s="35" cm="1">
        <f t="array" ref="BH14">$G$14+VLOOKUP($Q14,武学奇术!$A:$ZZ,16,FALSE)+SUM(_xlfn.XLOOKUP(R14:AF14,增益!$A:$A,增益!$P:$P,0))</f>
        <v>0</v>
      </c>
      <c r="BI14" s="27">
        <f>MIN(IF(VLOOKUP($Q14,武学奇术!$A:$ZZ,23,FALSE)=1,100%,$B$8),100%)</f>
        <v>0.9969</v>
      </c>
      <c r="BJ14" s="27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0.9137</v>
      </c>
      <c r="BK14" s="27" cm="1">
        <f t="array" ref="BK14">1+$B$13+VLOOKUP($Q14,武学奇术!$A:$ZZ,18,FALSE)+SUM(_xlfn.XLOOKUP(R14:AF14,增益!$A:$A,增益!$R:$R,0))</f>
        <v>2.14</v>
      </c>
      <c r="BL14" s="27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0.0895</v>
      </c>
      <c r="BM14" s="27" cm="1">
        <f t="array" ref="BM14">1+$B$14+VLOOKUP($Q14,武学奇术!$A:$ZZ,20,FALSE)+SUM(_xlfn.XLOOKUP(R14:AF14,增益!$A:$A,增益!$T:$T,0))</f>
        <v>1.35</v>
      </c>
      <c r="BN14" s="27">
        <f t="shared" si="9"/>
        <v>0.90767745</v>
      </c>
      <c r="BO14" s="27">
        <f t="shared" si="10"/>
        <v>-1.30104260698261e-17</v>
      </c>
      <c r="BP14" s="27">
        <f>IF(VLOOKUP($Q14,武学奇术!$A:$ZZ,22,FALSE)=1,0,(1-$BI14))*(1-$BL14)</f>
        <v>0.00282254999999999</v>
      </c>
      <c r="BQ14" s="27" cm="1">
        <f t="array" ref="BQ14">SUM(_xlfn.XLOOKUP(R14:AF14,增益!$A:$A,增益!$W:$W,0))+$I$5</f>
        <v>0.11</v>
      </c>
    </row>
    <row r="15" ht="14.25" spans="1:69">
      <c r="A15" s="44" t="s">
        <v>117</v>
      </c>
      <c r="B15" s="73">
        <f>期望!B15</f>
        <v>0.0852</v>
      </c>
      <c r="C15" s="42" t="s">
        <v>118</v>
      </c>
      <c r="D15" s="42"/>
      <c r="F15" s="82"/>
      <c r="H15" s="83"/>
      <c r="I15" s="78"/>
      <c r="J15" s="79"/>
      <c r="K15" s="41">
        <f t="shared" si="0"/>
        <v>127864.413607451</v>
      </c>
      <c r="L15" s="41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弹道",$B$21,0))*(1+$BQ15)</f>
        <v>129457.109134902</v>
      </c>
      <c r="M15" s="41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弹道",$B$21,0))*(1+$BQ15)</f>
        <v>114605.98897472</v>
      </c>
      <c r="N15" s="41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弹道",$B$21,0))*(1+$BQ15)</f>
        <v>60493.9762312626</v>
      </c>
      <c r="O15" s="41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弹道",$B$21,0))*(1+$BQ15)</f>
        <v>36094.6272960662</v>
      </c>
      <c r="P15" s="42">
        <v>2</v>
      </c>
      <c r="Q15" s="43" t="s">
        <v>109</v>
      </c>
      <c r="R15" s="43" t="s">
        <v>93</v>
      </c>
      <c r="S15" s="43" t="s">
        <v>85</v>
      </c>
      <c r="T15" s="43" t="s">
        <v>102</v>
      </c>
      <c r="U15" s="43" t="s">
        <v>86</v>
      </c>
      <c r="V15" s="43" t="s">
        <v>98</v>
      </c>
      <c r="W15" s="43" t="s">
        <v>73</v>
      </c>
      <c r="X15" s="43" t="s">
        <v>73</v>
      </c>
      <c r="Y15" s="43" t="s">
        <v>112</v>
      </c>
      <c r="Z15" s="43" t="s">
        <v>113</v>
      </c>
      <c r="AA15" s="43" t="s">
        <v>74</v>
      </c>
      <c r="AB15" s="43" t="s">
        <v>73</v>
      </c>
      <c r="AC15" s="43" t="s">
        <v>73</v>
      </c>
      <c r="AD15" s="43" t="s">
        <v>73</v>
      </c>
      <c r="AE15" s="43" t="s">
        <v>73</v>
      </c>
      <c r="AF15" s="43" t="s">
        <v>75</v>
      </c>
      <c r="AG15" t="str">
        <f>VLOOKUP($Q15,武学奇术!$A:$ZZ,25,FALSE)</f>
        <v>伞</v>
      </c>
      <c r="AH15" s="27">
        <f>VLOOKUP($Q15,武学奇术!$A:$ZZ,26,FALSE)</f>
        <v>1.174955</v>
      </c>
      <c r="AI15" s="28">
        <f>VLOOKUP($Q15,武学奇术!$A:$ZZ,27,FALSE)*(1+IF(OR($AG15=$F$4,$AG15=$F$5),$B$22,0))</f>
        <v>454.02</v>
      </c>
      <c r="AJ15" s="27">
        <f>VLOOKUP($Q15,武学奇术!$A:$ZZ,28,FALSE)</f>
        <v>1.762375</v>
      </c>
      <c r="AK15" s="28">
        <f>VLOOKUP($Q15,武学奇术!$A:$ZZ,29,FALSE)*(1+IF(OR($AG15=$F$4,$AG15=$F$5),$B$22,0))</f>
        <v>247.94</v>
      </c>
      <c r="AL15" s="27" cm="1">
        <f t="array" ref="AL15">$G$3+IFERROR(VLOOKUP($AG15,$F$4:$G$7,2,FALSE),0)+VLOOKUP($Q15,武学奇术!$A:$ZZ,2,FALSE)+SUM(_xlfn.XLOOKUP($R15:$AF15,增益!$A:$A,增益!$B:$B,0))</f>
        <v>1.1441</v>
      </c>
      <c r="AM15" s="27" cm="1">
        <f t="array" ref="AM15">VLOOKUP($Q15,武学奇术!$A:$ZZ,5,FALSE)+SUM(_xlfn.XLOOKUP($R15:$AF15,增益!$A:$A,增益!$E:$E,0))</f>
        <v>0.075</v>
      </c>
      <c r="AN15" cm="1">
        <f t="array" ref="AN15">$D$10*(1+$AM15)+VLOOKUP($Q15,武学奇术!$A:$ZZ,3,FALSE)+SUM(_xlfn.XLOOKUP($R15:$AF15,增益!$A:$A,增益!$C:$C,0))-$I$2</f>
        <v>1888.7275</v>
      </c>
      <c r="AO15" cm="1">
        <f t="array" ref="AO15">$E$10*(1+$AM15)+VLOOKUP($Q15,武学奇术!$A:$ZZ,4,FALSE)+SUM(_xlfn.XLOOKUP($R15:$AF15,增益!$A:$A,增益!$D:$D,0))-$I$2</f>
        <v>5625.2125</v>
      </c>
      <c r="AP15" s="35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0.3925</v>
      </c>
      <c r="AQ15" s="35" cm="1">
        <f t="array" ref="AQ15">$G$10+VLOOKUP($Q15,武学奇术!$A:$ZZ,7,FALSE)+SUM(_xlfn.XLOOKUP(R15:AF15,增益!$A:$A,增益!$G:$G,0))</f>
        <v>0.1</v>
      </c>
      <c r="AR15" s="27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5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-0.3</v>
      </c>
      <c r="AV15" s="35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35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-0.3</v>
      </c>
      <c r="AZ15" s="35" cm="1">
        <f t="array" ref="AZ15">$G$12+VLOOKUP($Q15,武学奇术!$A:$ZZ,12,FALSE)+SUM(_xlfn.XLOOKUP(R15:AF15,增益!$A:$A,增益!$L:$L,0))</f>
        <v>0</v>
      </c>
      <c r="BA15">
        <f t="shared" si="5"/>
        <v>538</v>
      </c>
      <c r="BB15">
        <f t="shared" si="6"/>
        <v>1011</v>
      </c>
      <c r="BC15" s="35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0</v>
      </c>
      <c r="BD15" s="35" cm="1">
        <f t="array" ref="BD15">$G$13+VLOOKUP($Q15,武学奇术!$A:$ZZ,14,FALSE)+SUM(_xlfn.XLOOKUP(R15:AF15,增益!$A:$A,增益!$N:$N,0))</f>
        <v>0.25</v>
      </c>
      <c r="BE15">
        <f t="shared" si="7"/>
        <v>0</v>
      </c>
      <c r="BF15">
        <f t="shared" si="8"/>
        <v>0</v>
      </c>
      <c r="BG15" s="35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-0.3</v>
      </c>
      <c r="BH15" s="35" cm="1">
        <f t="array" ref="BH15">$G$14+VLOOKUP($Q15,武学奇术!$A:$ZZ,16,FALSE)+SUM(_xlfn.XLOOKUP(R15:AF15,增益!$A:$A,增益!$P:$P,0))</f>
        <v>0</v>
      </c>
      <c r="BI15" s="27">
        <f>MIN(IF(VLOOKUP($Q15,武学奇术!$A:$ZZ,23,FALSE)=1,100%,$B$8),100%)</f>
        <v>0.9969</v>
      </c>
      <c r="BJ15" s="27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0.9137</v>
      </c>
      <c r="BK15" s="27" cm="1">
        <f t="array" ref="BK15">1+$B$13+VLOOKUP($Q15,武学奇术!$A:$ZZ,18,FALSE)+SUM(_xlfn.XLOOKUP(R15:AF15,增益!$A:$A,增益!$R:$R,0))</f>
        <v>2.14</v>
      </c>
      <c r="BL15" s="27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0.0895</v>
      </c>
      <c r="BM15" s="27" cm="1">
        <f t="array" ref="BM15">1+$B$14+VLOOKUP($Q15,武学奇术!$A:$ZZ,20,FALSE)+SUM(_xlfn.XLOOKUP(R15:AF15,增益!$A:$A,增益!$T:$T,0))</f>
        <v>1.35</v>
      </c>
      <c r="BN15" s="27">
        <f t="shared" si="9"/>
        <v>0.90767745</v>
      </c>
      <c r="BO15" s="27">
        <f t="shared" si="10"/>
        <v>-1.30104260698261e-17</v>
      </c>
      <c r="BP15" s="27">
        <f>IF(VLOOKUP($Q15,武学奇术!$A:$ZZ,22,FALSE)=1,0,(1-$BI15))*(1-$BL15)</f>
        <v>0.00282254999999999</v>
      </c>
      <c r="BQ15" s="27" cm="1">
        <f t="array" ref="BQ15">SUM(_xlfn.XLOOKUP(R15:AF15,增益!$A:$A,增益!$W:$W,0))+$I$5</f>
        <v>0.11</v>
      </c>
    </row>
    <row r="16" spans="1:69">
      <c r="A16" s="44" t="s">
        <v>119</v>
      </c>
      <c r="B16" s="73">
        <f>期望!B16</f>
        <v>0.0887</v>
      </c>
      <c r="C16" s="42" t="s">
        <v>120</v>
      </c>
      <c r="D16" s="82" t="s">
        <v>188</v>
      </c>
      <c r="E16" s="42" t="s">
        <v>122</v>
      </c>
      <c r="F16" s="82" t="s">
        <v>121</v>
      </c>
      <c r="H16" s="71" t="s">
        <v>123</v>
      </c>
      <c r="I16" s="84"/>
      <c r="J16" s="85"/>
      <c r="K16" s="41">
        <f t="shared" si="0"/>
        <v>128413.503788311</v>
      </c>
      <c r="L16" s="41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弹道",$B$21,0))*(1+$BQ16)</f>
        <v>130062.048897215</v>
      </c>
      <c r="M16" s="41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弹道",$B$21,0))*(1+$BQ16)</f>
        <v>114605.98897472</v>
      </c>
      <c r="N16" s="41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弹道",$B$21,0))*(1+$BQ16)</f>
        <v>60493.9762312626</v>
      </c>
      <c r="O16" s="41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弹道",$B$21,0))*(1+$BQ16)</f>
        <v>36094.6272960662</v>
      </c>
      <c r="P16" s="42">
        <v>2</v>
      </c>
      <c r="Q16" s="43" t="s">
        <v>109</v>
      </c>
      <c r="R16" s="43" t="s">
        <v>93</v>
      </c>
      <c r="S16" s="43" t="s">
        <v>90</v>
      </c>
      <c r="T16" s="43" t="s">
        <v>102</v>
      </c>
      <c r="U16" s="43" t="s">
        <v>86</v>
      </c>
      <c r="V16" s="43" t="s">
        <v>98</v>
      </c>
      <c r="W16" s="43" t="s">
        <v>73</v>
      </c>
      <c r="X16" s="43" t="s">
        <v>73</v>
      </c>
      <c r="Y16" s="43" t="s">
        <v>112</v>
      </c>
      <c r="Z16" s="43" t="s">
        <v>113</v>
      </c>
      <c r="AA16" s="43" t="s">
        <v>74</v>
      </c>
      <c r="AB16" s="43" t="s">
        <v>73</v>
      </c>
      <c r="AC16" s="43" t="s">
        <v>73</v>
      </c>
      <c r="AD16" s="43" t="s">
        <v>73</v>
      </c>
      <c r="AE16" s="43" t="s">
        <v>73</v>
      </c>
      <c r="AF16" s="43" t="s">
        <v>75</v>
      </c>
      <c r="AG16" t="str">
        <f>VLOOKUP($Q16,武学奇术!$A:$ZZ,25,FALSE)</f>
        <v>伞</v>
      </c>
      <c r="AH16" s="27">
        <f>VLOOKUP($Q16,武学奇术!$A:$ZZ,26,FALSE)</f>
        <v>1.174955</v>
      </c>
      <c r="AI16" s="28">
        <f>VLOOKUP($Q16,武学奇术!$A:$ZZ,27,FALSE)*(1+IF(OR($AG16=$F$4,$AG16=$F$5),$B$22,0))</f>
        <v>454.02</v>
      </c>
      <c r="AJ16" s="27">
        <f>VLOOKUP($Q16,武学奇术!$A:$ZZ,28,FALSE)</f>
        <v>1.762375</v>
      </c>
      <c r="AK16" s="28">
        <f>VLOOKUP($Q16,武学奇术!$A:$ZZ,29,FALSE)*(1+IF(OR($AG16=$F$4,$AG16=$F$5),$B$22,0))</f>
        <v>247.94</v>
      </c>
      <c r="AL16" s="27" cm="1">
        <f t="array" ref="AL16">$G$3+IFERROR(VLOOKUP($AG16,$F$4:$G$7,2,FALSE),0)+VLOOKUP($Q16,武学奇术!$A:$ZZ,2,FALSE)+SUM(_xlfn.XLOOKUP($R16:$AF16,增益!$A:$A,增益!$B:$B,0))</f>
        <v>1.1441</v>
      </c>
      <c r="AM16" s="27" cm="1">
        <f t="array" ref="AM16">VLOOKUP($Q16,武学奇术!$A:$ZZ,5,FALSE)+SUM(_xlfn.XLOOKUP($R16:$AF16,增益!$A:$A,增益!$E:$E,0))</f>
        <v>0.075</v>
      </c>
      <c r="AN16" cm="1">
        <f t="array" ref="AN16">$D$10*(1+$AM16)+VLOOKUP($Q16,武学奇术!$A:$ZZ,3,FALSE)+SUM(_xlfn.XLOOKUP($R16:$AF16,增益!$A:$A,增益!$C:$C,0))-$I$2</f>
        <v>1888.7275</v>
      </c>
      <c r="AO16" cm="1">
        <f t="array" ref="AO16">$E$10*(1+$AM16)+VLOOKUP($Q16,武学奇术!$A:$ZZ,4,FALSE)+SUM(_xlfn.XLOOKUP($R16:$AF16,增益!$A:$A,增益!$D:$D,0))-$I$2</f>
        <v>5625.2125</v>
      </c>
      <c r="AP16" s="35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0.3925</v>
      </c>
      <c r="AQ16" s="35" cm="1">
        <f t="array" ref="AQ16">$G$10+VLOOKUP($Q16,武学奇术!$A:$ZZ,7,FALSE)+SUM(_xlfn.XLOOKUP(R16:AF16,增益!$A:$A,增益!$G:$G,0))</f>
        <v>0.1</v>
      </c>
      <c r="AR16" s="27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5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-0.3</v>
      </c>
      <c r="AV16" s="35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35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-0.3</v>
      </c>
      <c r="AZ16" s="35" cm="1">
        <f t="array" ref="AZ16">$G$12+VLOOKUP($Q16,武学奇术!$A:$ZZ,12,FALSE)+SUM(_xlfn.XLOOKUP(R16:AF16,增益!$A:$A,增益!$L:$L,0))</f>
        <v>0</v>
      </c>
      <c r="BA16">
        <f t="shared" si="5"/>
        <v>538</v>
      </c>
      <c r="BB16">
        <f t="shared" si="6"/>
        <v>1011</v>
      </c>
      <c r="BC16" s="35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0</v>
      </c>
      <c r="BD16" s="35" cm="1">
        <f t="array" ref="BD16">$G$13+VLOOKUP($Q16,武学奇术!$A:$ZZ,14,FALSE)+SUM(_xlfn.XLOOKUP(R16:AF16,增益!$A:$A,增益!$N:$N,0))</f>
        <v>0.25</v>
      </c>
      <c r="BE16">
        <f t="shared" si="7"/>
        <v>0</v>
      </c>
      <c r="BF16">
        <f t="shared" si="8"/>
        <v>0</v>
      </c>
      <c r="BG16" s="35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-0.3</v>
      </c>
      <c r="BH16" s="35" cm="1">
        <f t="array" ref="BH16">$G$14+VLOOKUP($Q16,武学奇术!$A:$ZZ,16,FALSE)+SUM(_xlfn.XLOOKUP(R16:AF16,增益!$A:$A,增益!$P:$P,0))</f>
        <v>0</v>
      </c>
      <c r="BI16" s="27">
        <f>MIN(IF(VLOOKUP($Q16,武学奇术!$A:$ZZ,23,FALSE)=1,100%,$B$8),100%)</f>
        <v>0.9969</v>
      </c>
      <c r="BJ16" s="27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0.9137</v>
      </c>
      <c r="BK16" s="27" cm="1">
        <f t="array" ref="BK16">1+$B$13+VLOOKUP($Q16,武学奇术!$A:$ZZ,18,FALSE)+SUM(_xlfn.XLOOKUP(R16:AF16,增益!$A:$A,增益!$R:$R,0))</f>
        <v>2.15</v>
      </c>
      <c r="BL16" s="27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0.0895</v>
      </c>
      <c r="BM16" s="27" cm="1">
        <f t="array" ref="BM16">1+$B$14+VLOOKUP($Q16,武学奇术!$A:$ZZ,20,FALSE)+SUM(_xlfn.XLOOKUP(R16:AF16,增益!$A:$A,增益!$T:$T,0))</f>
        <v>1.35</v>
      </c>
      <c r="BN16" s="27">
        <f t="shared" si="9"/>
        <v>0.90767745</v>
      </c>
      <c r="BO16" s="27">
        <f t="shared" si="10"/>
        <v>-1.30104260698261e-17</v>
      </c>
      <c r="BP16" s="27">
        <f>IF(VLOOKUP($Q16,武学奇术!$A:$ZZ,22,FALSE)=1,0,(1-$BI16))*(1-$BL16)</f>
        <v>0.00282254999999999</v>
      </c>
      <c r="BQ16" s="27" cm="1">
        <f t="array" ref="BQ16">SUM(_xlfn.XLOOKUP(R16:AF16,增益!$A:$A,增益!$W:$W,0))+$I$5</f>
        <v>0.11</v>
      </c>
    </row>
    <row r="17" ht="14.25" spans="1:69">
      <c r="A17" s="44" t="s">
        <v>124</v>
      </c>
      <c r="B17" s="73">
        <f>期望!B17</f>
        <v>0.0852</v>
      </c>
      <c r="C17" s="42" t="s">
        <v>125</v>
      </c>
      <c r="D17" s="82" t="s">
        <v>188</v>
      </c>
      <c r="E17" s="42" t="s">
        <v>126</v>
      </c>
      <c r="F17" s="82" t="s">
        <v>188</v>
      </c>
      <c r="H17" s="74"/>
      <c r="I17" s="86"/>
      <c r="J17" s="87"/>
      <c r="K17" s="41">
        <f t="shared" si="0"/>
        <v>24108.6664049315</v>
      </c>
      <c r="L17" s="41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弹道",$B$21,0))*(1+$BQ17)</f>
        <v>24007.7912404783</v>
      </c>
      <c r="M17" s="41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弹道",$B$21,0))*(1+$BQ17)</f>
        <v>25635.3624604575</v>
      </c>
      <c r="N17" s="41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弹道",$B$21,0))*(1+$BQ17)</f>
        <v>13563.723864677</v>
      </c>
      <c r="O17" s="41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弹道",$B$21,0))*(1+$BQ17)</f>
        <v>8138.29035123738</v>
      </c>
      <c r="P17" s="42">
        <v>1</v>
      </c>
      <c r="Q17" s="43" t="s">
        <v>127</v>
      </c>
      <c r="R17" s="43" t="s">
        <v>84</v>
      </c>
      <c r="S17" s="43" t="s">
        <v>79</v>
      </c>
      <c r="T17" s="43" t="s">
        <v>73</v>
      </c>
      <c r="U17" s="43" t="s">
        <v>73</v>
      </c>
      <c r="V17" s="43" t="s">
        <v>73</v>
      </c>
      <c r="W17" s="43" t="s">
        <v>73</v>
      </c>
      <c r="X17" s="43" t="s">
        <v>73</v>
      </c>
      <c r="Y17" s="43" t="s">
        <v>112</v>
      </c>
      <c r="Z17" s="43" t="s">
        <v>113</v>
      </c>
      <c r="AA17" s="43" t="s">
        <v>74</v>
      </c>
      <c r="AB17" s="43" t="s">
        <v>73</v>
      </c>
      <c r="AC17" s="43" t="s">
        <v>73</v>
      </c>
      <c r="AD17" s="43" t="s">
        <v>73</v>
      </c>
      <c r="AE17" s="43" t="s">
        <v>73</v>
      </c>
      <c r="AF17" s="43" t="s">
        <v>75</v>
      </c>
      <c r="AG17" t="str">
        <f>VLOOKUP($Q17,武学奇术!$A:$ZZ,25,FALSE)</f>
        <v>扇</v>
      </c>
      <c r="AH17" s="27">
        <f>VLOOKUP($Q17,武学奇术!$A:$ZZ,26,FALSE)</f>
        <v>1.2798</v>
      </c>
      <c r="AI17" s="28">
        <f>VLOOKUP($Q17,武学奇术!$A:$ZZ,27,FALSE)*(1+IF(OR($AG17=$F$4,$AG17=$F$5),$B$22,0))</f>
        <v>497</v>
      </c>
      <c r="AJ17" s="27">
        <f>VLOOKUP($Q17,武学奇术!$A:$ZZ,28,FALSE)</f>
        <v>1.9197</v>
      </c>
      <c r="AK17" s="28">
        <f>VLOOKUP($Q17,武学奇术!$A:$ZZ,29,FALSE)*(1+IF(OR($AG17=$F$4,$AG17=$F$5),$B$22,0))</f>
        <v>270.2</v>
      </c>
      <c r="AL17" s="27" cm="1">
        <f t="array" ref="AL17">$G$3+IFERROR(VLOOKUP($AG17,$F$4:$G$7,2,FALSE),0)+VLOOKUP($Q17,武学奇术!$A:$ZZ,2,FALSE)+SUM(_xlfn.XLOOKUP($R17:$AF17,增益!$A:$A,增益!$B:$B,0))</f>
        <v>0.3889</v>
      </c>
      <c r="AM17" s="27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1713.7</v>
      </c>
      <c r="AO17" cm="1">
        <f t="array" ref="AO17">$E$10*(1+$AM17)+VLOOKUP($Q17,武学奇术!$A:$ZZ,4,FALSE)+SUM(_xlfn.XLOOKUP($R17:$AF17,增益!$A:$A,增益!$D:$D,0))-$I$2</f>
        <v>5189.5</v>
      </c>
      <c r="AP17" s="35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0.3475</v>
      </c>
      <c r="AQ17" s="35" cm="1">
        <f t="array" ref="AQ17">$G$10+VLOOKUP($Q17,武学奇术!$A:$ZZ,7,FALSE)+SUM(_xlfn.XLOOKUP(R17:AF17,增益!$A:$A,增益!$G:$G,0))</f>
        <v>0</v>
      </c>
      <c r="AR17" s="27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5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-0.3</v>
      </c>
      <c r="AV17" s="35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35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-0.3</v>
      </c>
      <c r="AZ17" s="35" cm="1">
        <f t="array" ref="AZ17">$G$12+VLOOKUP($Q17,武学奇术!$A:$ZZ,12,FALSE)+SUM(_xlfn.XLOOKUP(R17:AF17,增益!$A:$A,增益!$L:$L,0))</f>
        <v>0</v>
      </c>
      <c r="BA17">
        <f t="shared" si="5"/>
        <v>538</v>
      </c>
      <c r="BB17">
        <f t="shared" si="6"/>
        <v>1011</v>
      </c>
      <c r="BC17" s="35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0</v>
      </c>
      <c r="BD17" s="35" cm="1">
        <f t="array" ref="BD17">$G$13+VLOOKUP($Q17,武学奇术!$A:$ZZ,14,FALSE)+SUM(_xlfn.XLOOKUP(R17:AF17,增益!$A:$A,增益!$N:$N,0))</f>
        <v>0.15</v>
      </c>
      <c r="BE17">
        <f t="shared" si="7"/>
        <v>0</v>
      </c>
      <c r="BF17">
        <f t="shared" si="8"/>
        <v>0</v>
      </c>
      <c r="BG17" s="35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-0.3</v>
      </c>
      <c r="BH17" s="35" cm="1">
        <f t="array" ref="BH17">$G$14+VLOOKUP($Q17,武学奇术!$A:$ZZ,16,FALSE)+SUM(_xlfn.XLOOKUP(R17:AF17,增益!$A:$A,增益!$P:$P,0))</f>
        <v>0</v>
      </c>
      <c r="BI17" s="27">
        <f>MIN(IF(VLOOKUP($Q17,武学奇术!$A:$ZZ,23,FALSE)=1,100%,$B$8),100%)</f>
        <v>0.9969</v>
      </c>
      <c r="BJ17" s="27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0.9137</v>
      </c>
      <c r="BK17" s="27" cm="1">
        <f t="array" ref="BK17">1+$B$13+VLOOKUP($Q17,武学奇术!$A:$ZZ,18,FALSE)+SUM(_xlfn.XLOOKUP(R17:AF17,增益!$A:$A,增益!$R:$R,0))</f>
        <v>1.77</v>
      </c>
      <c r="BL17" s="27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0.0895</v>
      </c>
      <c r="BM17" s="27" cm="1">
        <f t="array" ref="BM17">1+$B$14+VLOOKUP($Q17,武学奇术!$A:$ZZ,20,FALSE)+SUM(_xlfn.XLOOKUP(R17:AF17,增益!$A:$A,增益!$T:$T,0))</f>
        <v>1.35</v>
      </c>
      <c r="BN17" s="27">
        <f t="shared" si="9"/>
        <v>0.90767745</v>
      </c>
      <c r="BO17" s="27">
        <f t="shared" si="10"/>
        <v>-1.30104260698261e-17</v>
      </c>
      <c r="BP17" s="27">
        <f>IF(VLOOKUP($Q17,武学奇术!$A:$ZZ,22,FALSE)=1,0,(1-$BI17))*(1-$BL17)</f>
        <v>0.00282254999999999</v>
      </c>
      <c r="BQ17" s="27" cm="1">
        <f t="array" ref="BQ17">SUM(_xlfn.XLOOKUP(R17:AF17,增益!$A:$A,增益!$W:$W,0))+$I$5</f>
        <v>0.11</v>
      </c>
    </row>
    <row r="18" spans="1:69">
      <c r="A18" s="44" t="s">
        <v>128</v>
      </c>
      <c r="B18" s="73">
        <f>期望!B18</f>
        <v>0</v>
      </c>
      <c r="C18" s="42" t="s">
        <v>129</v>
      </c>
      <c r="D18" s="82" t="s">
        <v>188</v>
      </c>
      <c r="K18" s="41">
        <f t="shared" si="0"/>
        <v>18847.7535188517</v>
      </c>
      <c r="L18" s="41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弹道",$B$21,0))*(1+$BQ18)</f>
        <v>18776.8179403111</v>
      </c>
      <c r="M18" s="41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弹道",$B$21,0))*(1+$BQ18)</f>
        <v>19962.5435681563</v>
      </c>
      <c r="N18" s="41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弹道",$B$21,0))*(1+$BQ18)</f>
        <v>10548.7741237703</v>
      </c>
      <c r="O18" s="41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弹道",$B$21,0))*(1+$BQ18)</f>
        <v>6310.47893779513</v>
      </c>
      <c r="P18" s="42">
        <v>1</v>
      </c>
      <c r="Q18" s="43" t="s">
        <v>130</v>
      </c>
      <c r="R18" s="43" t="s">
        <v>89</v>
      </c>
      <c r="S18" s="43" t="s">
        <v>85</v>
      </c>
      <c r="T18" s="43" t="s">
        <v>73</v>
      </c>
      <c r="U18" s="43" t="s">
        <v>86</v>
      </c>
      <c r="V18" s="43" t="s">
        <v>73</v>
      </c>
      <c r="W18" s="43" t="s">
        <v>73</v>
      </c>
      <c r="X18" s="43" t="s">
        <v>73</v>
      </c>
      <c r="Y18" s="43" t="s">
        <v>112</v>
      </c>
      <c r="Z18" s="43" t="s">
        <v>113</v>
      </c>
      <c r="AA18" s="43" t="s">
        <v>74</v>
      </c>
      <c r="AB18" s="43" t="s">
        <v>73</v>
      </c>
      <c r="AC18" s="43" t="s">
        <v>73</v>
      </c>
      <c r="AD18" s="43" t="s">
        <v>73</v>
      </c>
      <c r="AE18" s="43" t="s">
        <v>73</v>
      </c>
      <c r="AF18" s="43" t="s">
        <v>75</v>
      </c>
      <c r="AG18" t="str">
        <f>VLOOKUP($Q18,武学奇术!$A:$ZZ,25,FALSE)</f>
        <v>扇</v>
      </c>
      <c r="AH18" s="27">
        <f>VLOOKUP($Q18,武学奇术!$A:$ZZ,26,FALSE)</f>
        <v>0.9271</v>
      </c>
      <c r="AI18" s="28">
        <f>VLOOKUP($Q18,武学奇术!$A:$ZZ,27,FALSE)*(1+IF(OR($AG18=$F$4,$AG18=$F$5),$B$22,0))</f>
        <v>359.8</v>
      </c>
      <c r="AJ18" s="27">
        <f>VLOOKUP($Q18,武学奇术!$A:$ZZ,28,FALSE)</f>
        <v>1.3907</v>
      </c>
      <c r="AK18" s="28">
        <f>VLOOKUP($Q18,武学奇术!$A:$ZZ,29,FALSE)*(1+IF(OR($AG18=$F$4,$AG18=$F$5),$B$22,0))</f>
        <v>196</v>
      </c>
      <c r="AL18" s="27" cm="1">
        <f t="array" ref="AL18">$G$3+IFERROR(VLOOKUP($AG18,$F$4:$G$7,2,FALSE),0)+VLOOKUP($Q18,武学奇术!$A:$ZZ,2,FALSE)+SUM(_xlfn.XLOOKUP($R18:$AF18,增益!$A:$A,增益!$B:$B,0))</f>
        <v>0.3989</v>
      </c>
      <c r="AM18" s="27" cm="1">
        <f t="array" ref="AM18">VLOOKUP($Q18,武学奇术!$A:$ZZ,5,FALSE)+SUM(_xlfn.XLOOKUP($R18:$AF18,增益!$A:$A,增益!$E:$E,0))</f>
        <v>0.075</v>
      </c>
      <c r="AN18" cm="1">
        <f t="array" ref="AN18">$D$10*(1+$AM18)+VLOOKUP($Q18,武学奇术!$A:$ZZ,3,FALSE)+SUM(_xlfn.XLOOKUP($R18:$AF18,增益!$A:$A,增益!$C:$C,0))-$I$2</f>
        <v>1888.7275</v>
      </c>
      <c r="AO18" cm="1">
        <f t="array" ref="AO18">$E$10*(1+$AM18)+VLOOKUP($Q18,武学奇术!$A:$ZZ,4,FALSE)+SUM(_xlfn.XLOOKUP($R18:$AF18,增益!$A:$A,增益!$D:$D,0))-$I$2</f>
        <v>5625.2125</v>
      </c>
      <c r="AP18" s="35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0.3575</v>
      </c>
      <c r="AQ18" s="35" cm="1">
        <f t="array" ref="AQ18">$G$10+VLOOKUP($Q18,武学奇术!$A:$ZZ,7,FALSE)+SUM(_xlfn.XLOOKUP(R18:AF18,增益!$A:$A,增益!$G:$G,0))</f>
        <v>0</v>
      </c>
      <c r="AR18" s="27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5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-0.3</v>
      </c>
      <c r="AV18" s="35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35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-0.3</v>
      </c>
      <c r="AZ18" s="35" cm="1">
        <f t="array" ref="AZ18">$G$12+VLOOKUP($Q18,武学奇术!$A:$ZZ,12,FALSE)+SUM(_xlfn.XLOOKUP(R18:AF18,增益!$A:$A,增益!$L:$L,0))</f>
        <v>0</v>
      </c>
      <c r="BA18">
        <f t="shared" si="5"/>
        <v>538</v>
      </c>
      <c r="BB18">
        <f t="shared" si="6"/>
        <v>1011</v>
      </c>
      <c r="BC18" s="35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0</v>
      </c>
      <c r="BD18" s="35" cm="1">
        <f t="array" ref="BD18">$G$13+VLOOKUP($Q18,武学奇术!$A:$ZZ,14,FALSE)+SUM(_xlfn.XLOOKUP(R18:AF18,增益!$A:$A,增益!$N:$N,0))</f>
        <v>0.15</v>
      </c>
      <c r="BE18">
        <f t="shared" si="7"/>
        <v>0</v>
      </c>
      <c r="BF18">
        <f t="shared" si="8"/>
        <v>0</v>
      </c>
      <c r="BG18" s="35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-0.3</v>
      </c>
      <c r="BH18" s="35" cm="1">
        <f t="array" ref="BH18">$G$14+VLOOKUP($Q18,武学奇术!$A:$ZZ,16,FALSE)+SUM(_xlfn.XLOOKUP(R18:AF18,增益!$A:$A,增益!$P:$P,0))</f>
        <v>0</v>
      </c>
      <c r="BI18" s="27">
        <f>MIN(IF(VLOOKUP($Q18,武学奇术!$A:$ZZ,23,FALSE)=1,100%,$B$8),100%)</f>
        <v>0.9969</v>
      </c>
      <c r="BJ18" s="27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0.9137</v>
      </c>
      <c r="BK18" s="27" cm="1">
        <f t="array" ref="BK18">1+$B$13+VLOOKUP($Q18,武学奇术!$A:$ZZ,18,FALSE)+SUM(_xlfn.XLOOKUP(R18:AF18,增益!$A:$A,增益!$R:$R,0))</f>
        <v>1.78</v>
      </c>
      <c r="BL18" s="27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0.0895</v>
      </c>
      <c r="BM18" s="27" cm="1">
        <f t="array" ref="BM18">1+$B$14+VLOOKUP($Q18,武学奇术!$A:$ZZ,20,FALSE)+SUM(_xlfn.XLOOKUP(R18:AF18,增益!$A:$A,增益!$T:$T,0))</f>
        <v>1.35</v>
      </c>
      <c r="BN18" s="27">
        <f t="shared" si="9"/>
        <v>0.90767745</v>
      </c>
      <c r="BO18" s="27">
        <f t="shared" si="10"/>
        <v>-1.30104260698261e-17</v>
      </c>
      <c r="BP18" s="27">
        <f>IF(VLOOKUP($Q18,武学奇术!$A:$ZZ,22,FALSE)=1,0,(1-$BI18))*(1-$BL18)</f>
        <v>0.00282254999999999</v>
      </c>
      <c r="BQ18" s="27" cm="1">
        <f t="array" ref="BQ18">SUM(_xlfn.XLOOKUP(R18:AF18,增益!$A:$A,增益!$W:$W,0))+$I$5</f>
        <v>0.11</v>
      </c>
    </row>
    <row r="19" spans="1:69">
      <c r="A19" s="44" t="s">
        <v>131</v>
      </c>
      <c r="B19" s="73">
        <f>期望!B19</f>
        <v>0.2678</v>
      </c>
      <c r="C19" s="42" t="s">
        <v>132</v>
      </c>
      <c r="D19" s="82" t="s">
        <v>188</v>
      </c>
      <c r="K19" s="41">
        <f t="shared" si="0"/>
        <v>123686.796034398</v>
      </c>
      <c r="L19" s="41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弹道",$B$21,0))*(1+$BQ19)</f>
        <v>125234.520776954</v>
      </c>
      <c r="M19" s="41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弹道",$B$21,0))*(1+$BQ19)</f>
        <v>110787.964086304</v>
      </c>
      <c r="N19" s="41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弹道",$B$21,0))*(1+$BQ19)</f>
        <v>58520.8041013805</v>
      </c>
      <c r="O19" s="41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弹道",$B$21,0))*(1+$BQ19)</f>
        <v>34976.4496203139</v>
      </c>
      <c r="P19" s="42">
        <v>1</v>
      </c>
      <c r="Q19" s="43" t="s">
        <v>133</v>
      </c>
      <c r="R19" s="43" t="s">
        <v>89</v>
      </c>
      <c r="S19" s="43" t="s">
        <v>85</v>
      </c>
      <c r="T19" s="43" t="s">
        <v>73</v>
      </c>
      <c r="U19" s="43" t="s">
        <v>86</v>
      </c>
      <c r="V19" s="43" t="s">
        <v>134</v>
      </c>
      <c r="W19" s="43" t="s">
        <v>73</v>
      </c>
      <c r="X19" s="43" t="s">
        <v>73</v>
      </c>
      <c r="Y19" s="43" t="s">
        <v>112</v>
      </c>
      <c r="Z19" s="43" t="s">
        <v>113</v>
      </c>
      <c r="AA19" s="43" t="s">
        <v>74</v>
      </c>
      <c r="AB19" s="43" t="s">
        <v>73</v>
      </c>
      <c r="AC19" s="43" t="s">
        <v>73</v>
      </c>
      <c r="AD19" s="43" t="s">
        <v>73</v>
      </c>
      <c r="AE19" s="43" t="s">
        <v>73</v>
      </c>
      <c r="AF19" s="43" t="s">
        <v>75</v>
      </c>
      <c r="AG19" t="str">
        <f>VLOOKUP($Q19,武学奇术!$A:$ZZ,25,FALSE)</f>
        <v>扇</v>
      </c>
      <c r="AH19" s="27">
        <f>VLOOKUP($Q19,武学奇术!$A:$ZZ,26,FALSE)</f>
        <v>4.376825</v>
      </c>
      <c r="AI19" s="28">
        <f>VLOOKUP($Q19,武学奇术!$A:$ZZ,27,FALSE)*(1+IF(OR($AG19=$F$4,$AG19=$F$5),$B$22,0))</f>
        <v>1695.05</v>
      </c>
      <c r="AJ19" s="27">
        <f>VLOOKUP($Q19,武学奇术!$A:$ZZ,28,FALSE)</f>
        <v>6.56531</v>
      </c>
      <c r="AK19" s="28">
        <f>VLOOKUP($Q19,武学奇术!$A:$ZZ,29,FALSE)*(1+IF(OR($AG19=$F$4,$AG19=$F$5),$B$22,0))</f>
        <v>923.65</v>
      </c>
      <c r="AL19" s="27" cm="1">
        <f t="array" ref="AL19">$G$3+IFERROR(VLOOKUP($AG19,$F$4:$G$7,2,FALSE),0)+VLOOKUP($Q19,武学奇术!$A:$ZZ,2,FALSE)+SUM(_xlfn.XLOOKUP($R19:$AF19,增益!$A:$A,增益!$B:$B,0))</f>
        <v>0.4989</v>
      </c>
      <c r="AM19" s="27" cm="1">
        <f t="array" ref="AM19">VLOOKUP($Q19,武学奇术!$A:$ZZ,5,FALSE)+SUM(_xlfn.XLOOKUP($R19:$AF19,增益!$A:$A,增益!$E:$E,0))</f>
        <v>0.075</v>
      </c>
      <c r="AN19" cm="1">
        <f t="array" ref="AN19">$D$10*(1+$AM19)+VLOOKUP($Q19,武学奇术!$A:$ZZ,3,FALSE)+SUM(_xlfn.XLOOKUP($R19:$AF19,增益!$A:$A,增益!$C:$C,0))-$I$2</f>
        <v>1888.7275</v>
      </c>
      <c r="AO19" cm="1">
        <f t="array" ref="AO19">$E$10*(1+$AM19)+VLOOKUP($Q19,武学奇术!$A:$ZZ,4,FALSE)+SUM(_xlfn.XLOOKUP($R19:$AF19,增益!$A:$A,增益!$D:$D,0))-$I$2</f>
        <v>5625.2125</v>
      </c>
      <c r="AP19" s="35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0.3575</v>
      </c>
      <c r="AQ19" s="35" cm="1">
        <f t="array" ref="AQ19">$G$10+VLOOKUP($Q19,武学奇术!$A:$ZZ,7,FALSE)+SUM(_xlfn.XLOOKUP(R19:AF19,增益!$A:$A,增益!$G:$G,0))</f>
        <v>0.1</v>
      </c>
      <c r="AR19" s="27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5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-0.3</v>
      </c>
      <c r="AV19" s="35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35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-0.3</v>
      </c>
      <c r="AZ19" s="35" cm="1">
        <f t="array" ref="AZ19">$G$12+VLOOKUP($Q19,武学奇术!$A:$ZZ,12,FALSE)+SUM(_xlfn.XLOOKUP(R19:AF19,增益!$A:$A,增益!$L:$L,0))</f>
        <v>0</v>
      </c>
      <c r="BA19">
        <f t="shared" si="5"/>
        <v>538</v>
      </c>
      <c r="BB19">
        <f t="shared" si="6"/>
        <v>1011</v>
      </c>
      <c r="BC19" s="35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0</v>
      </c>
      <c r="BD19" s="35" cm="1">
        <f t="array" ref="BD19">$G$13+VLOOKUP($Q19,武学奇术!$A:$ZZ,14,FALSE)+SUM(_xlfn.XLOOKUP(R19:AF19,增益!$A:$A,增益!$N:$N,0))</f>
        <v>0.25</v>
      </c>
      <c r="BE19">
        <f t="shared" si="7"/>
        <v>0</v>
      </c>
      <c r="BF19">
        <f t="shared" si="8"/>
        <v>0</v>
      </c>
      <c r="BG19" s="35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-0.3</v>
      </c>
      <c r="BH19" s="35" cm="1">
        <f t="array" ref="BH19">$G$14+VLOOKUP($Q19,武学奇术!$A:$ZZ,16,FALSE)+SUM(_xlfn.XLOOKUP(R19:AF19,增益!$A:$A,增益!$P:$P,0))</f>
        <v>0</v>
      </c>
      <c r="BI19" s="27">
        <f>MIN(IF(VLOOKUP($Q19,武学奇术!$A:$ZZ,23,FALSE)=1,100%,$B$8),100%)</f>
        <v>0.9969</v>
      </c>
      <c r="BJ19" s="27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0.9137</v>
      </c>
      <c r="BK19" s="27" cm="1">
        <f t="array" ref="BK19">1+$B$13+VLOOKUP($Q19,武学奇术!$A:$ZZ,18,FALSE)+SUM(_xlfn.XLOOKUP(R19:AF19,增益!$A:$A,增益!$R:$R,0))</f>
        <v>2.14</v>
      </c>
      <c r="BL19" s="27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0.0895</v>
      </c>
      <c r="BM19" s="27" cm="1">
        <f t="array" ref="BM19">1+$B$14+VLOOKUP($Q19,武学奇术!$A:$ZZ,20,FALSE)+SUM(_xlfn.XLOOKUP(R19:AF19,增益!$A:$A,增益!$T:$T,0))</f>
        <v>1.35</v>
      </c>
      <c r="BN19" s="27">
        <f t="shared" si="9"/>
        <v>0.90767745</v>
      </c>
      <c r="BO19" s="27">
        <f t="shared" si="10"/>
        <v>-1.30104260698261e-17</v>
      </c>
      <c r="BP19" s="27">
        <f>IF(VLOOKUP($Q19,武学奇术!$A:$ZZ,22,FALSE)=1,0,(1-$BI19))*(1-$BL19)</f>
        <v>0.00282254999999999</v>
      </c>
      <c r="BQ19" s="27" cm="1">
        <f t="array" ref="BQ19">SUM(_xlfn.XLOOKUP(R19:AF19,增益!$A:$A,增益!$W:$W,0))+$I$5</f>
        <v>0.11</v>
      </c>
    </row>
    <row r="20" spans="1:69">
      <c r="A20" s="44" t="s">
        <v>135</v>
      </c>
      <c r="B20" s="73">
        <f>期望!B20</f>
        <v>0</v>
      </c>
      <c r="C20" s="42" t="s">
        <v>136</v>
      </c>
      <c r="D20" s="82" t="s">
        <v>188</v>
      </c>
      <c r="K20" s="41">
        <f t="shared" si="0"/>
        <v>80497.1557173777</v>
      </c>
      <c r="L20" s="41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弹道",$B$21,0))*(1+$BQ20)</f>
        <v>80692.6849103164</v>
      </c>
      <c r="M20" s="41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弹道",$B$21,0))*(1+$BQ20)</f>
        <v>80248.7266808056</v>
      </c>
      <c r="N20" s="41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弹道",$B$21,0))*(1+$BQ20)</f>
        <v>42469.8341633244</v>
      </c>
      <c r="O20" s="41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弹道",$B$21,0))*(1+$BQ20)</f>
        <v>25496.1670816076</v>
      </c>
      <c r="P20" s="42">
        <v>1</v>
      </c>
      <c r="Q20" s="43" t="s">
        <v>97</v>
      </c>
      <c r="R20" s="43" t="s">
        <v>93</v>
      </c>
      <c r="S20" s="43" t="s">
        <v>90</v>
      </c>
      <c r="T20" s="43" t="s">
        <v>102</v>
      </c>
      <c r="U20" s="43" t="s">
        <v>86</v>
      </c>
      <c r="V20" s="43" t="s">
        <v>98</v>
      </c>
      <c r="W20" s="43" t="s">
        <v>73</v>
      </c>
      <c r="X20" s="43" t="s">
        <v>73</v>
      </c>
      <c r="Y20" s="43" t="s">
        <v>73</v>
      </c>
      <c r="Z20" s="43" t="s">
        <v>113</v>
      </c>
      <c r="AA20" s="43" t="s">
        <v>74</v>
      </c>
      <c r="AB20" s="43" t="s">
        <v>73</v>
      </c>
      <c r="AC20" s="43" t="s">
        <v>73</v>
      </c>
      <c r="AD20" s="43" t="s">
        <v>73</v>
      </c>
      <c r="AE20" s="43" t="s">
        <v>73</v>
      </c>
      <c r="AF20" s="43" t="s">
        <v>75</v>
      </c>
      <c r="AG20" t="str">
        <f>VLOOKUP($Q20,武学奇术!$A:$ZZ,25,FALSE)</f>
        <v>伞</v>
      </c>
      <c r="AH20" s="27">
        <f>VLOOKUP($Q20,武学奇术!$A:$ZZ,26,FALSE)</f>
        <v>2.3397</v>
      </c>
      <c r="AI20" s="28">
        <f>VLOOKUP($Q20,武学奇术!$A:$ZZ,27,FALSE)*(1+IF(OR($AG20=$F$4,$AG20=$F$5),$B$22,0))</f>
        <v>907.2</v>
      </c>
      <c r="AJ20" s="27">
        <f>VLOOKUP($Q20,武学奇术!$A:$ZZ,28,FALSE)</f>
        <v>3.5095</v>
      </c>
      <c r="AK20" s="28">
        <f>VLOOKUP($Q20,武学奇术!$A:$ZZ,29,FALSE)*(1+IF(OR($AG20=$F$4,$AG20=$F$5),$B$22,0))</f>
        <v>494.2</v>
      </c>
      <c r="AL20" s="27" cm="1">
        <f t="array" ref="AL20">$G$3+IFERROR(VLOOKUP($AG20,$F$4:$G$7,2,FALSE),0)+VLOOKUP($Q20,武学奇术!$A:$ZZ,2,FALSE)+SUM(_xlfn.XLOOKUP($R20:$AF20,增益!$A:$A,增益!$B:$B,0))</f>
        <v>1.1441</v>
      </c>
      <c r="AM20" s="27" cm="1">
        <f t="array" ref="AM20">VLOOKUP($Q20,武学奇术!$A:$ZZ,5,FALSE)+SUM(_xlfn.XLOOKUP($R20:$AF20,增益!$A:$A,增益!$E:$E,0))</f>
        <v>0.075</v>
      </c>
      <c r="AN20" cm="1">
        <f t="array" ref="AN20">$D$10*(1+$AM20)+VLOOKUP($Q20,武学奇术!$A:$ZZ,3,FALSE)+SUM(_xlfn.XLOOKUP($R20:$AF20,增益!$A:$A,增益!$C:$C,0))-$I$2</f>
        <v>1888.7275</v>
      </c>
      <c r="AO20" cm="1">
        <f t="array" ref="AO20">$E$10*(1+$AM20)+VLOOKUP($Q20,武学奇术!$A:$ZZ,4,FALSE)+SUM(_xlfn.XLOOKUP($R20:$AF20,增益!$A:$A,增益!$D:$D,0))-$I$2</f>
        <v>5625.2125</v>
      </c>
      <c r="AP20" s="35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0.2675</v>
      </c>
      <c r="AQ20" s="35" cm="1">
        <f t="array" ref="AQ20">$G$10+VLOOKUP($Q20,武学奇术!$A:$ZZ,7,FALSE)+SUM(_xlfn.XLOOKUP(R20:AF20,增益!$A:$A,增益!$G:$G,0))</f>
        <v>0.1</v>
      </c>
      <c r="AR20" s="27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5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-0.3</v>
      </c>
      <c r="AV20" s="35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35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-0.3</v>
      </c>
      <c r="AZ20" s="35" cm="1">
        <f t="array" ref="AZ20">$G$12+VLOOKUP($Q20,武学奇术!$A:$ZZ,12,FALSE)+SUM(_xlfn.XLOOKUP(R20:AF20,增益!$A:$A,增益!$L:$L,0))</f>
        <v>0</v>
      </c>
      <c r="BA20">
        <f t="shared" si="5"/>
        <v>538</v>
      </c>
      <c r="BB20">
        <f t="shared" si="6"/>
        <v>1011</v>
      </c>
      <c r="BC20" s="35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0</v>
      </c>
      <c r="BD20" s="35" cm="1">
        <f t="array" ref="BD20">$G$13+VLOOKUP($Q20,武学奇术!$A:$ZZ,14,FALSE)+SUM(_xlfn.XLOOKUP(R20:AF20,增益!$A:$A,增益!$N:$N,0))</f>
        <v>0.25</v>
      </c>
      <c r="BE20">
        <f t="shared" si="7"/>
        <v>0</v>
      </c>
      <c r="BF20">
        <f t="shared" si="8"/>
        <v>0</v>
      </c>
      <c r="BG20" s="35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-0.3</v>
      </c>
      <c r="BH20" s="35" cm="1">
        <f t="array" ref="BH20">$G$14+VLOOKUP($Q20,武学奇术!$A:$ZZ,16,FALSE)+SUM(_xlfn.XLOOKUP(R20:AF20,增益!$A:$A,增益!$P:$P,0))</f>
        <v>0</v>
      </c>
      <c r="BI20" s="27">
        <f>MIN(IF(VLOOKUP($Q20,武学奇术!$A:$ZZ,23,FALSE)=1,100%,$B$8),100%)</f>
        <v>0.9969</v>
      </c>
      <c r="BJ20" s="27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0.9137</v>
      </c>
      <c r="BK20" s="27" cm="1">
        <f t="array" ref="BK20">1+$B$13+VLOOKUP($Q20,武学奇术!$A:$ZZ,18,FALSE)+SUM(_xlfn.XLOOKUP(R20:AF20,增益!$A:$A,增益!$R:$R,0))</f>
        <v>1.9</v>
      </c>
      <c r="BL20" s="27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0.0895</v>
      </c>
      <c r="BM20" s="27" cm="1">
        <f t="array" ref="BM20">1+$B$14+VLOOKUP($Q20,武学奇术!$A:$ZZ,20,FALSE)+SUM(_xlfn.XLOOKUP(R20:AF20,增益!$A:$A,增益!$T:$T,0))</f>
        <v>1.35</v>
      </c>
      <c r="BN20" s="27">
        <f t="shared" si="9"/>
        <v>0.90767745</v>
      </c>
      <c r="BO20" s="27">
        <f t="shared" si="10"/>
        <v>-1.30104260698261e-17</v>
      </c>
      <c r="BP20" s="27">
        <f>IF(VLOOKUP($Q20,武学奇术!$A:$ZZ,22,FALSE)=1,0,(1-$BI20))*(1-$BL20)</f>
        <v>0.00282254999999999</v>
      </c>
      <c r="BQ20" s="27" cm="1">
        <f t="array" ref="BQ20">SUM(_xlfn.XLOOKUP(R20:AF20,增益!$A:$A,增益!$W:$W,0))+$I$5</f>
        <v>0.11</v>
      </c>
    </row>
    <row r="21" ht="14.25" spans="1:69">
      <c r="A21" s="88" t="s">
        <v>189</v>
      </c>
      <c r="B21" s="89">
        <f>期望!B21</f>
        <v>0.32</v>
      </c>
      <c r="C21" s="42" t="s">
        <v>138</v>
      </c>
      <c r="D21" s="42"/>
      <c r="E21" s="42" t="s">
        <v>139</v>
      </c>
      <c r="F21" s="42" t="str">
        <f>期望!F21</f>
        <v>全蹭</v>
      </c>
      <c r="K21" s="41">
        <f t="shared" si="0"/>
        <v>29888.6605362888</v>
      </c>
      <c r="L21" s="41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弹道",$B$21,0))*(1+$BQ21)</f>
        <v>29344.7448194714</v>
      </c>
      <c r="M21" s="41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弹道",$B$21,0))*(1+$BQ21)</f>
        <v>35986.2467928256</v>
      </c>
      <c r="N21" s="41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弹道",$B$21,0))*(1+$BQ21)</f>
        <v>19055.0291035528</v>
      </c>
      <c r="O21" s="41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弹道",$B$21,0))*(1+$BQ21)</f>
        <v>11453.5791013089</v>
      </c>
      <c r="P21" s="42">
        <v>1</v>
      </c>
      <c r="Q21" s="43" t="s">
        <v>104</v>
      </c>
      <c r="R21" s="43" t="s">
        <v>93</v>
      </c>
      <c r="S21" s="43" t="s">
        <v>90</v>
      </c>
      <c r="T21" s="43" t="s">
        <v>73</v>
      </c>
      <c r="U21" s="43" t="s">
        <v>86</v>
      </c>
      <c r="V21" s="43" t="s">
        <v>73</v>
      </c>
      <c r="W21" s="43" t="s">
        <v>73</v>
      </c>
      <c r="X21" s="43" t="s">
        <v>73</v>
      </c>
      <c r="Y21" s="43" t="s">
        <v>73</v>
      </c>
      <c r="Z21" s="43" t="s">
        <v>73</v>
      </c>
      <c r="AA21" s="43" t="s">
        <v>74</v>
      </c>
      <c r="AB21" s="43" t="s">
        <v>73</v>
      </c>
      <c r="AC21" s="43" t="s">
        <v>73</v>
      </c>
      <c r="AD21" s="43" t="s">
        <v>73</v>
      </c>
      <c r="AE21" s="43" t="s">
        <v>73</v>
      </c>
      <c r="AF21" s="43" t="s">
        <v>75</v>
      </c>
      <c r="AG21" t="str">
        <f>VLOOKUP($Q21,武学奇术!$A:$ZZ,25,FALSE)</f>
        <v>伞</v>
      </c>
      <c r="AH21" s="27">
        <f>VLOOKUP($Q21,武学奇术!$A:$ZZ,26,FALSE)</f>
        <v>1.7001</v>
      </c>
      <c r="AI21" s="28">
        <f>VLOOKUP($Q21,武学奇术!$A:$ZZ,27,FALSE)*(1+IF(OR($AG21=$F$4,$AG21=$F$5),$B$22,0))</f>
        <v>659.4</v>
      </c>
      <c r="AJ21" s="27">
        <f>VLOOKUP($Q21,武学奇术!$A:$ZZ,28,FALSE)</f>
        <v>2.5502</v>
      </c>
      <c r="AK21" s="28">
        <f>VLOOKUP($Q21,武学奇术!$A:$ZZ,29,FALSE)*(1+IF(OR($AG21=$F$4,$AG21=$F$5),$B$22,0))</f>
        <v>358.4</v>
      </c>
      <c r="AL21" s="27" cm="1">
        <f t="array" ref="AL21">$G$3+IFERROR(VLOOKUP($AG21,$F$4:$G$7,2,FALSE),0)+VLOOKUP($Q21,武学奇术!$A:$ZZ,2,FALSE)+SUM(_xlfn.XLOOKUP($R21:$AF21,增益!$A:$A,增益!$B:$B,0))</f>
        <v>0.3441</v>
      </c>
      <c r="AM21" s="27" cm="1">
        <f t="array" ref="AM21">VLOOKUP($Q21,武学奇术!$A:$ZZ,5,FALSE)+SUM(_xlfn.XLOOKUP($R21:$AF21,增益!$A:$A,增益!$E:$E,0))</f>
        <v>0.075</v>
      </c>
      <c r="AN21" cm="1">
        <f t="array" ref="AN21">$D$10*(1+$AM21)+VLOOKUP($Q21,武学奇术!$A:$ZZ,3,FALSE)+SUM(_xlfn.XLOOKUP($R21:$AF21,增益!$A:$A,增益!$C:$C,0))-$I$2</f>
        <v>1888.7275</v>
      </c>
      <c r="AO21" cm="1">
        <f t="array" ref="AO21">$E$10*(1+$AM21)+VLOOKUP($Q21,武学奇术!$A:$ZZ,4,FALSE)+SUM(_xlfn.XLOOKUP($R21:$AF21,增益!$A:$A,增益!$D:$D,0))-$I$2</f>
        <v>5625.2125</v>
      </c>
      <c r="AP21" s="35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0.2425</v>
      </c>
      <c r="AQ21" s="35" cm="1">
        <f t="array" ref="AQ21">$G$10+VLOOKUP($Q21,武学奇术!$A:$ZZ,7,FALSE)+SUM(_xlfn.XLOOKUP(R21:AF21,增益!$A:$A,增益!$G:$G,0))</f>
        <v>0.1</v>
      </c>
      <c r="AR21" s="27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5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-0.3</v>
      </c>
      <c r="AV21" s="35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35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-0.3</v>
      </c>
      <c r="AZ21" s="35" cm="1">
        <f t="array" ref="AZ21">$G$12+VLOOKUP($Q21,武学奇术!$A:$ZZ,12,FALSE)+SUM(_xlfn.XLOOKUP(R21:AF21,增益!$A:$A,增益!$L:$L,0))</f>
        <v>0</v>
      </c>
      <c r="BA21">
        <f t="shared" si="5"/>
        <v>538</v>
      </c>
      <c r="BB21">
        <f t="shared" si="6"/>
        <v>1011</v>
      </c>
      <c r="BC21" s="35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0</v>
      </c>
      <c r="BD21" s="35" cm="1">
        <f t="array" ref="BD21">$G$13+VLOOKUP($Q21,武学奇术!$A:$ZZ,14,FALSE)+SUM(_xlfn.XLOOKUP(R21:AF21,增益!$A:$A,增益!$N:$N,0))</f>
        <v>0.25</v>
      </c>
      <c r="BE21">
        <f t="shared" si="7"/>
        <v>0</v>
      </c>
      <c r="BF21">
        <f t="shared" si="8"/>
        <v>0</v>
      </c>
      <c r="BG21" s="35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-0.3</v>
      </c>
      <c r="BH21" s="35" cm="1">
        <f t="array" ref="BH21">$G$14+VLOOKUP($Q21,武学奇术!$A:$ZZ,16,FALSE)+SUM(_xlfn.XLOOKUP(R21:AF21,增益!$A:$A,增益!$P:$P,0))</f>
        <v>0</v>
      </c>
      <c r="BI21" s="27">
        <f>MIN(IF(VLOOKUP($Q21,武学奇术!$A:$ZZ,23,FALSE)=1,100%,$B$8),100%)</f>
        <v>0.9969</v>
      </c>
      <c r="BJ21" s="27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0.9137</v>
      </c>
      <c r="BK21" s="27" cm="1">
        <f t="array" ref="BK21">1+$B$13+VLOOKUP($Q21,武学奇术!$A:$ZZ,18,FALSE)+SUM(_xlfn.XLOOKUP(R21:AF21,增益!$A:$A,增益!$R:$R,0))</f>
        <v>1.54</v>
      </c>
      <c r="BL21" s="27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0.0895</v>
      </c>
      <c r="BM21" s="27" cm="1">
        <f t="array" ref="BM21">1+$B$14+VLOOKUP($Q21,武学奇术!$A:$ZZ,20,FALSE)+SUM(_xlfn.XLOOKUP(R21:AF21,增益!$A:$A,增益!$T:$T,0))</f>
        <v>1.35</v>
      </c>
      <c r="BN21" s="27">
        <f t="shared" si="9"/>
        <v>0.90767745</v>
      </c>
      <c r="BO21" s="27">
        <f t="shared" si="10"/>
        <v>-1.30104260698261e-17</v>
      </c>
      <c r="BP21" s="27">
        <f>IF(VLOOKUP($Q21,武学奇术!$A:$ZZ,22,FALSE)=1,0,(1-$BI21))*(1-$BL21)</f>
        <v>0.00282254999999999</v>
      </c>
      <c r="BQ21" s="27" cm="1">
        <f t="array" ref="BQ21">SUM(_xlfn.XLOOKUP(R21:AF21,增益!$A:$A,增益!$W:$W,0))+$I$5</f>
        <v>0.11</v>
      </c>
    </row>
    <row r="22" spans="1:69">
      <c r="A22" t="s">
        <v>141</v>
      </c>
      <c r="B22" s="30">
        <f>期望!B22</f>
        <v>0.4</v>
      </c>
      <c r="C22" s="43" t="str">
        <f>期望!C22</f>
        <v>易水歌</v>
      </c>
      <c r="D22" s="43"/>
      <c r="E22" s="42"/>
      <c r="F22" s="42"/>
      <c r="K22" s="41">
        <f t="shared" si="0"/>
        <v>12596.1065436499</v>
      </c>
      <c r="L22" s="41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弹道",$B$21,0))*(1+$BQ22)</f>
        <v>12375.3369424823</v>
      </c>
      <c r="M22" s="41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弹道",$B$21,0))*(1+$BQ22)</f>
        <v>15081.0321170784</v>
      </c>
      <c r="N22" s="41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弹道",$B$21,0))*(1+$BQ22)</f>
        <v>7984.0883499886</v>
      </c>
      <c r="O22" s="41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弹道",$B$21,0))*(1+$BQ22)</f>
        <v>4797.04179843762</v>
      </c>
      <c r="P22" s="42">
        <v>1</v>
      </c>
      <c r="Q22" s="43" t="s">
        <v>107</v>
      </c>
      <c r="R22" s="43" t="s">
        <v>93</v>
      </c>
      <c r="S22" s="43" t="s">
        <v>94</v>
      </c>
      <c r="T22" s="43" t="s">
        <v>73</v>
      </c>
      <c r="U22" s="43" t="s">
        <v>86</v>
      </c>
      <c r="V22" s="43" t="s">
        <v>73</v>
      </c>
      <c r="W22" s="43" t="s">
        <v>73</v>
      </c>
      <c r="X22" s="43" t="s">
        <v>73</v>
      </c>
      <c r="Y22" s="43" t="s">
        <v>73</v>
      </c>
      <c r="Z22" s="43" t="s">
        <v>73</v>
      </c>
      <c r="AA22" s="43" t="s">
        <v>74</v>
      </c>
      <c r="AB22" s="43" t="s">
        <v>73</v>
      </c>
      <c r="AC22" s="43" t="s">
        <v>73</v>
      </c>
      <c r="AD22" s="43" t="s">
        <v>73</v>
      </c>
      <c r="AE22" s="43" t="s">
        <v>73</v>
      </c>
      <c r="AF22" s="43" t="s">
        <v>75</v>
      </c>
      <c r="AG22" t="str">
        <f>VLOOKUP($Q22,武学奇术!$A:$ZZ,25,FALSE)</f>
        <v>伞</v>
      </c>
      <c r="AH22" s="27">
        <f>VLOOKUP($Q22,武学奇术!$A:$ZZ,26,FALSE)</f>
        <v>0.54</v>
      </c>
      <c r="AI22" s="28">
        <f>VLOOKUP($Q22,武学奇术!$A:$ZZ,27,FALSE)*(1+IF(OR($AG22=$F$4,$AG22=$F$5),$B$22,0))</f>
        <v>207.2</v>
      </c>
      <c r="AJ22" s="27">
        <f>VLOOKUP($Q22,武学奇术!$A:$ZZ,28,FALSE)</f>
        <v>0.81</v>
      </c>
      <c r="AK22" s="28">
        <f>VLOOKUP($Q22,武学奇术!$A:$ZZ,29,FALSE)*(1+IF(OR($AG22=$F$4,$AG22=$F$5),$B$22,0))</f>
        <v>114.1</v>
      </c>
      <c r="AL22" s="27" cm="1">
        <f t="array" ref="AL22">$G$3+IFERROR(VLOOKUP($AG22,$F$4:$G$7,2,FALSE),0)+VLOOKUP($Q22,武学奇术!$A:$ZZ,2,FALSE)+SUM(_xlfn.XLOOKUP($R22:$AF22,增益!$A:$A,增益!$B:$B,0))</f>
        <v>0.3441</v>
      </c>
      <c r="AM22" s="27" cm="1">
        <f t="array" ref="AM22">VLOOKUP($Q22,武学奇术!$A:$ZZ,5,FALSE)+SUM(_xlfn.XLOOKUP($R22:$AF22,增益!$A:$A,增益!$E:$E,0))</f>
        <v>0.075</v>
      </c>
      <c r="AN22" cm="1">
        <f t="array" ref="AN22">$D$10*(1+$AM22)+VLOOKUP($Q22,武学奇术!$A:$ZZ,3,FALSE)+SUM(_xlfn.XLOOKUP($R22:$AF22,增益!$A:$A,增益!$C:$C,0))-$I$2</f>
        <v>1888.7275</v>
      </c>
      <c r="AO22" cm="1">
        <f t="array" ref="AO22">$E$10*(1+$AM22)+VLOOKUP($Q22,武学奇术!$A:$ZZ,4,FALSE)+SUM(_xlfn.XLOOKUP($R22:$AF22,增益!$A:$A,增益!$D:$D,0))-$I$2</f>
        <v>5625.2125</v>
      </c>
      <c r="AP22" s="35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0.2425</v>
      </c>
      <c r="AQ22" s="35" cm="1">
        <f t="array" ref="AQ22">$G$10+VLOOKUP($Q22,武学奇术!$A:$ZZ,7,FALSE)+SUM(_xlfn.XLOOKUP(R22:AF22,增益!$A:$A,增益!$G:$G,0))</f>
        <v>0.1</v>
      </c>
      <c r="AR22" s="27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5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-0.3</v>
      </c>
      <c r="AV22" s="35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35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-0.3</v>
      </c>
      <c r="AZ22" s="35" cm="1">
        <f t="array" ref="AZ22">$G$12+VLOOKUP($Q22,武学奇术!$A:$ZZ,12,FALSE)+SUM(_xlfn.XLOOKUP(R22:AF22,增益!$A:$A,增益!$L:$L,0))</f>
        <v>0</v>
      </c>
      <c r="BA22">
        <f t="shared" si="5"/>
        <v>538</v>
      </c>
      <c r="BB22">
        <f t="shared" si="6"/>
        <v>1011</v>
      </c>
      <c r="BC22" s="35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0</v>
      </c>
      <c r="BD22" s="35" cm="1">
        <f t="array" ref="BD22">$G$13+VLOOKUP($Q22,武学奇术!$A:$ZZ,14,FALSE)+SUM(_xlfn.XLOOKUP(R22:AF22,增益!$A:$A,增益!$N:$N,0))</f>
        <v>0.25</v>
      </c>
      <c r="BE22">
        <f t="shared" si="7"/>
        <v>0</v>
      </c>
      <c r="BF22">
        <f t="shared" si="8"/>
        <v>0</v>
      </c>
      <c r="BG22" s="35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-0.3</v>
      </c>
      <c r="BH22" s="35" cm="1">
        <f t="array" ref="BH22">$G$14+VLOOKUP($Q22,武学奇术!$A:$ZZ,16,FALSE)+SUM(_xlfn.XLOOKUP(R22:AF22,增益!$A:$A,增益!$P:$P,0))</f>
        <v>0</v>
      </c>
      <c r="BI22" s="27">
        <f>MIN(IF(VLOOKUP($Q22,武学奇术!$A:$ZZ,23,FALSE)=1,100%,$B$8),100%)</f>
        <v>0.9969</v>
      </c>
      <c r="BJ22" s="27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0.9137</v>
      </c>
      <c r="BK22" s="27" cm="1">
        <f t="array" ref="BK22">1+$B$13+VLOOKUP($Q22,武学奇术!$A:$ZZ,18,FALSE)+SUM(_xlfn.XLOOKUP(R22:AF22,增益!$A:$A,增益!$R:$R,0))</f>
        <v>1.55</v>
      </c>
      <c r="BL22" s="27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0.0895</v>
      </c>
      <c r="BM22" s="27" cm="1">
        <f t="array" ref="BM22">1+$B$14+VLOOKUP($Q22,武学奇术!$A:$ZZ,20,FALSE)+SUM(_xlfn.XLOOKUP(R22:AF22,增益!$A:$A,增益!$T:$T,0))</f>
        <v>1.35</v>
      </c>
      <c r="BN22" s="27">
        <f t="shared" si="9"/>
        <v>0.90767745</v>
      </c>
      <c r="BO22" s="27">
        <f t="shared" si="10"/>
        <v>-1.30104260698261e-17</v>
      </c>
      <c r="BP22" s="27">
        <f>IF(VLOOKUP($Q22,武学奇术!$A:$ZZ,22,FALSE)=1,0,(1-$BI22))*(1-$BL22)</f>
        <v>0.00282254999999999</v>
      </c>
      <c r="BQ22" s="27" cm="1">
        <f t="array" ref="BQ22">SUM(_xlfn.XLOOKUP(R22:AF22,增益!$A:$A,增益!$W:$W,0))+$I$5</f>
        <v>0.11</v>
      </c>
    </row>
    <row r="23" spans="1:69">
      <c r="A23" s="42" t="s">
        <v>143</v>
      </c>
      <c r="B23" s="90">
        <f>期望!B23</f>
        <v>200</v>
      </c>
      <c r="K23" s="41">
        <f t="shared" si="0"/>
        <v>197400.855426846</v>
      </c>
      <c r="L23" s="41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弹道",$B$21,0))*(1+$BQ23)</f>
        <v>197972.31581912</v>
      </c>
      <c r="M23" s="41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弹道",$B$21,0))*(1+$BQ23)</f>
        <v>195868.710098256</v>
      </c>
      <c r="N23" s="41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弹道",$B$21,0))*(1+$BQ23)</f>
        <v>103650.427130429</v>
      </c>
      <c r="O23" s="41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弹道",$B$21,0))*(1+$BQ23)</f>
        <v>62212.9208547432</v>
      </c>
      <c r="P23" s="42">
        <v>4</v>
      </c>
      <c r="Q23" s="43" t="s">
        <v>109</v>
      </c>
      <c r="R23" s="43" t="s">
        <v>93</v>
      </c>
      <c r="S23" s="43" t="s">
        <v>94</v>
      </c>
      <c r="T23" s="43" t="s">
        <v>102</v>
      </c>
      <c r="U23" s="43" t="s">
        <v>86</v>
      </c>
      <c r="V23" s="43" t="s">
        <v>98</v>
      </c>
      <c r="W23" s="43" t="s">
        <v>73</v>
      </c>
      <c r="X23" s="43" t="s">
        <v>73</v>
      </c>
      <c r="Y23" s="43" t="s">
        <v>73</v>
      </c>
      <c r="Z23" s="43" t="s">
        <v>73</v>
      </c>
      <c r="AA23" s="43" t="s">
        <v>73</v>
      </c>
      <c r="AB23" s="43" t="s">
        <v>73</v>
      </c>
      <c r="AC23" s="43" t="s">
        <v>73</v>
      </c>
      <c r="AD23" s="43" t="s">
        <v>73</v>
      </c>
      <c r="AE23" s="43" t="s">
        <v>73</v>
      </c>
      <c r="AF23" s="43" t="s">
        <v>75</v>
      </c>
      <c r="AG23" t="str">
        <f>VLOOKUP($Q23,武学奇术!$A:$ZZ,25,FALSE)</f>
        <v>伞</v>
      </c>
      <c r="AH23" s="27">
        <f>VLOOKUP($Q23,武学奇术!$A:$ZZ,26,FALSE)</f>
        <v>1.174955</v>
      </c>
      <c r="AI23" s="28">
        <f>VLOOKUP($Q23,武学奇术!$A:$ZZ,27,FALSE)*(1+IF(OR($AG23=$F$4,$AG23=$F$5),$B$22,0))</f>
        <v>454.02</v>
      </c>
      <c r="AJ23" s="27">
        <f>VLOOKUP($Q23,武学奇术!$A:$ZZ,28,FALSE)</f>
        <v>1.762375</v>
      </c>
      <c r="AK23" s="28">
        <f>VLOOKUP($Q23,武学奇术!$A:$ZZ,29,FALSE)*(1+IF(OR($AG23=$F$4,$AG23=$F$5),$B$22,0))</f>
        <v>247.94</v>
      </c>
      <c r="AL23" s="27" cm="1">
        <f t="array" ref="AL23">$G$3+IFERROR(VLOOKUP($AG23,$F$4:$G$7,2,FALSE),0)+VLOOKUP($Q23,武学奇术!$A:$ZZ,2,FALSE)+SUM(_xlfn.XLOOKUP($R23:$AF23,增益!$A:$A,增益!$B:$B,0))</f>
        <v>0.9741</v>
      </c>
      <c r="AM23" s="27" cm="1">
        <f t="array" ref="AM23">VLOOKUP($Q23,武学奇术!$A:$ZZ,5,FALSE)+SUM(_xlfn.XLOOKUP($R23:$AF23,增益!$A:$A,增益!$E:$E,0))</f>
        <v>0.075</v>
      </c>
      <c r="AN23" cm="1">
        <f t="array" ref="AN23">$D$10*(1+$AM23)+VLOOKUP($Q23,武学奇术!$A:$ZZ,3,FALSE)+SUM(_xlfn.XLOOKUP($R23:$AF23,增益!$A:$A,增益!$C:$C,0))-$I$2</f>
        <v>1888.7275</v>
      </c>
      <c r="AO23" cm="1">
        <f t="array" ref="AO23">$E$10*(1+$AM23)+VLOOKUP($Q23,武学奇术!$A:$ZZ,4,FALSE)+SUM(_xlfn.XLOOKUP($R23:$AF23,增益!$A:$A,增益!$D:$D,0))-$I$2</f>
        <v>5625.2125</v>
      </c>
      <c r="AP23" s="35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0.2675</v>
      </c>
      <c r="AQ23" s="35" cm="1">
        <f t="array" ref="AQ23">$G$10+VLOOKUP($Q23,武学奇术!$A:$ZZ,7,FALSE)+SUM(_xlfn.XLOOKUP(R23:AF23,增益!$A:$A,增益!$G:$G,0))</f>
        <v>0.1</v>
      </c>
      <c r="AR23" s="27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5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-0.3</v>
      </c>
      <c r="AV23" s="35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35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-0.3</v>
      </c>
      <c r="AZ23" s="35" cm="1">
        <f t="array" ref="AZ23">$G$12+VLOOKUP($Q23,武学奇术!$A:$ZZ,12,FALSE)+SUM(_xlfn.XLOOKUP(R23:AF23,增益!$A:$A,增益!$L:$L,0))</f>
        <v>0</v>
      </c>
      <c r="BA23">
        <f t="shared" si="5"/>
        <v>538</v>
      </c>
      <c r="BB23">
        <f t="shared" si="6"/>
        <v>1011</v>
      </c>
      <c r="BC23" s="35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0</v>
      </c>
      <c r="BD23" s="35" cm="1">
        <f t="array" ref="BD23">$G$13+VLOOKUP($Q23,武学奇术!$A:$ZZ,14,FALSE)+SUM(_xlfn.XLOOKUP(R23:AF23,增益!$A:$A,增益!$N:$N,0))</f>
        <v>0.25</v>
      </c>
      <c r="BE23">
        <f t="shared" si="7"/>
        <v>0</v>
      </c>
      <c r="BF23">
        <f t="shared" si="8"/>
        <v>0</v>
      </c>
      <c r="BG23" s="35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-0.3</v>
      </c>
      <c r="BH23" s="35" cm="1">
        <f t="array" ref="BH23">$G$14+VLOOKUP($Q23,武学奇术!$A:$ZZ,16,FALSE)+SUM(_xlfn.XLOOKUP(R23:AF23,增益!$A:$A,增益!$P:$P,0))</f>
        <v>0</v>
      </c>
      <c r="BI23" s="27">
        <f>MIN(IF(VLOOKUP($Q23,武学奇术!$A:$ZZ,23,FALSE)=1,100%,$B$8),100%)</f>
        <v>0.9969</v>
      </c>
      <c r="BJ23" s="27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0.9137</v>
      </c>
      <c r="BK23" s="27" cm="1">
        <f t="array" ref="BK23">1+$B$13+VLOOKUP($Q23,武学奇术!$A:$ZZ,18,FALSE)+SUM(_xlfn.XLOOKUP(R23:AF23,增益!$A:$A,增益!$R:$R,0))</f>
        <v>1.91</v>
      </c>
      <c r="BL23" s="27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0.0895</v>
      </c>
      <c r="BM23" s="27" cm="1">
        <f t="array" ref="BM23">1+$B$14+VLOOKUP($Q23,武学奇术!$A:$ZZ,20,FALSE)+SUM(_xlfn.XLOOKUP(R23:AF23,增益!$A:$A,增益!$T:$T,0))</f>
        <v>1.35</v>
      </c>
      <c r="BN23" s="27">
        <f t="shared" si="9"/>
        <v>0.90767745</v>
      </c>
      <c r="BO23" s="27">
        <f t="shared" si="10"/>
        <v>-1.30104260698261e-17</v>
      </c>
      <c r="BP23" s="27">
        <f>IF(VLOOKUP($Q23,武学奇术!$A:$ZZ,22,FALSE)=1,0,(1-$BI23))*(1-$BL23)</f>
        <v>0.00282254999999999</v>
      </c>
      <c r="BQ23" s="27" cm="1">
        <f t="array" ref="BQ23">SUM(_xlfn.XLOOKUP(R23:AF23,增益!$A:$A,增益!$W:$W,0))+$I$5</f>
        <v>0.11</v>
      </c>
    </row>
    <row r="24" spans="1:69">
      <c r="A24" s="42"/>
      <c r="B24" s="90">
        <f>期望!B24</f>
        <v>400</v>
      </c>
      <c r="K24" s="41">
        <f t="shared" si="0"/>
        <v>297512.500471106</v>
      </c>
      <c r="L24" s="41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弹道",$B$21,0))*(1+$BQ24)</f>
        <v>298513.230135637</v>
      </c>
      <c r="M24" s="41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弹道",$B$21,0))*(1+$BQ24)</f>
        <v>293803.065147384</v>
      </c>
      <c r="N24" s="41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弹道",$B$21,0))*(1+$BQ24)</f>
        <v>155475.640695644</v>
      </c>
      <c r="O24" s="41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弹道",$B$21,0))*(1+$BQ24)</f>
        <v>93319.3812821149</v>
      </c>
      <c r="P24" s="42">
        <v>6</v>
      </c>
      <c r="Q24" s="43" t="s">
        <v>109</v>
      </c>
      <c r="R24" s="43" t="s">
        <v>93</v>
      </c>
      <c r="S24" s="43" t="s">
        <v>144</v>
      </c>
      <c r="T24" s="43" t="s">
        <v>102</v>
      </c>
      <c r="U24" s="43" t="s">
        <v>86</v>
      </c>
      <c r="V24" s="43" t="s">
        <v>98</v>
      </c>
      <c r="W24" s="43" t="s">
        <v>73</v>
      </c>
      <c r="X24" s="43" t="s">
        <v>73</v>
      </c>
      <c r="Y24" s="43" t="s">
        <v>73</v>
      </c>
      <c r="Z24" s="43" t="s">
        <v>73</v>
      </c>
      <c r="AA24" s="43" t="s">
        <v>73</v>
      </c>
      <c r="AB24" s="43" t="s">
        <v>73</v>
      </c>
      <c r="AC24" s="43" t="s">
        <v>73</v>
      </c>
      <c r="AD24" s="43" t="s">
        <v>73</v>
      </c>
      <c r="AE24" s="43" t="s">
        <v>73</v>
      </c>
      <c r="AF24" s="43" t="s">
        <v>75</v>
      </c>
      <c r="AG24" t="str">
        <f>VLOOKUP($Q24,武学奇术!$A:$ZZ,25,FALSE)</f>
        <v>伞</v>
      </c>
      <c r="AH24" s="27">
        <f>VLOOKUP($Q24,武学奇术!$A:$ZZ,26,FALSE)</f>
        <v>1.174955</v>
      </c>
      <c r="AI24" s="28">
        <f>VLOOKUP($Q24,武学奇术!$A:$ZZ,27,FALSE)*(1+IF(OR($AG24=$F$4,$AG24=$F$5),$B$22,0))</f>
        <v>454.02</v>
      </c>
      <c r="AJ24" s="27">
        <f>VLOOKUP($Q24,武学奇术!$A:$ZZ,28,FALSE)</f>
        <v>1.762375</v>
      </c>
      <c r="AK24" s="28">
        <f>VLOOKUP($Q24,武学奇术!$A:$ZZ,29,FALSE)*(1+IF(OR($AG24=$F$4,$AG24=$F$5),$B$22,0))</f>
        <v>247.94</v>
      </c>
      <c r="AL24" s="27" cm="1">
        <f t="array" ref="AL24">$G$3+IFERROR(VLOOKUP($AG24,$F$4:$G$7,2,FALSE),0)+VLOOKUP($Q24,武学奇术!$A:$ZZ,2,FALSE)+SUM(_xlfn.XLOOKUP($R24:$AF24,增益!$A:$A,增益!$B:$B,0))</f>
        <v>0.9741</v>
      </c>
      <c r="AM24" s="27" cm="1">
        <f t="array" ref="AM24">VLOOKUP($Q24,武学奇术!$A:$ZZ,5,FALSE)+SUM(_xlfn.XLOOKUP($R24:$AF24,增益!$A:$A,增益!$E:$E,0))</f>
        <v>0.075</v>
      </c>
      <c r="AN24" cm="1">
        <f t="array" ref="AN24">$D$10*(1+$AM24)+VLOOKUP($Q24,武学奇术!$A:$ZZ,3,FALSE)+SUM(_xlfn.XLOOKUP($R24:$AF24,增益!$A:$A,增益!$C:$C,0))-$I$2</f>
        <v>1888.7275</v>
      </c>
      <c r="AO24" cm="1">
        <f t="array" ref="AO24">$E$10*(1+$AM24)+VLOOKUP($Q24,武学奇术!$A:$ZZ,4,FALSE)+SUM(_xlfn.XLOOKUP($R24:$AF24,增益!$A:$A,增益!$D:$D,0))-$I$2</f>
        <v>5625.2125</v>
      </c>
      <c r="AP24" s="35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0.2675</v>
      </c>
      <c r="AQ24" s="35" cm="1">
        <f t="array" ref="AQ24">$G$10+VLOOKUP($Q24,武学奇术!$A:$ZZ,7,FALSE)+SUM(_xlfn.XLOOKUP(R24:AF24,增益!$A:$A,增益!$G:$G,0))</f>
        <v>0.1</v>
      </c>
      <c r="AR24" s="27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5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-0.3</v>
      </c>
      <c r="AV24" s="35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35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-0.3</v>
      </c>
      <c r="AZ24" s="35" cm="1">
        <f t="array" ref="AZ24">$G$12+VLOOKUP($Q24,武学奇术!$A:$ZZ,12,FALSE)+SUM(_xlfn.XLOOKUP(R24:AF24,增益!$A:$A,增益!$L:$L,0))</f>
        <v>0</v>
      </c>
      <c r="BA24">
        <f t="shared" si="5"/>
        <v>538</v>
      </c>
      <c r="BB24">
        <f t="shared" si="6"/>
        <v>1011</v>
      </c>
      <c r="BC24" s="35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0</v>
      </c>
      <c r="BD24" s="35" cm="1">
        <f t="array" ref="BD24">$G$13+VLOOKUP($Q24,武学奇术!$A:$ZZ,14,FALSE)+SUM(_xlfn.XLOOKUP(R24:AF24,增益!$A:$A,增益!$N:$N,0))</f>
        <v>0.25</v>
      </c>
      <c r="BE24">
        <f t="shared" si="7"/>
        <v>0</v>
      </c>
      <c r="BF24">
        <f t="shared" si="8"/>
        <v>0</v>
      </c>
      <c r="BG24" s="35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-0.3</v>
      </c>
      <c r="BH24" s="35" cm="1">
        <f t="array" ref="BH24">$G$14+VLOOKUP($Q24,武学奇术!$A:$ZZ,16,FALSE)+SUM(_xlfn.XLOOKUP(R24:AF24,增益!$A:$A,增益!$P:$P,0))</f>
        <v>0</v>
      </c>
      <c r="BI24" s="27">
        <f>MIN(IF(VLOOKUP($Q24,武学奇术!$A:$ZZ,23,FALSE)=1,100%,$B$8),100%)</f>
        <v>0.9969</v>
      </c>
      <c r="BJ24" s="27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0.9137</v>
      </c>
      <c r="BK24" s="27" cm="1">
        <f t="array" ref="BK24">1+$B$13+VLOOKUP($Q24,武学奇术!$A:$ZZ,18,FALSE)+SUM(_xlfn.XLOOKUP(R24:AF24,增益!$A:$A,增益!$R:$R,0))</f>
        <v>1.92</v>
      </c>
      <c r="BL24" s="27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0.0895</v>
      </c>
      <c r="BM24" s="27" cm="1">
        <f t="array" ref="BM24">1+$B$14+VLOOKUP($Q24,武学奇术!$A:$ZZ,20,FALSE)+SUM(_xlfn.XLOOKUP(R24:AF24,增益!$A:$A,增益!$T:$T,0))</f>
        <v>1.35</v>
      </c>
      <c r="BN24" s="27">
        <f t="shared" si="9"/>
        <v>0.90767745</v>
      </c>
      <c r="BO24" s="27">
        <f t="shared" si="10"/>
        <v>-1.30104260698261e-17</v>
      </c>
      <c r="BP24" s="27">
        <f>IF(VLOOKUP($Q24,武学奇术!$A:$ZZ,22,FALSE)=1,0,(1-$BI24))*(1-$BL24)</f>
        <v>0.00282254999999999</v>
      </c>
      <c r="BQ24" s="27" cm="1">
        <f t="array" ref="BQ24">SUM(_xlfn.XLOOKUP(R24:AF24,增益!$A:$A,增益!$W:$W,0))+$I$5</f>
        <v>0.11</v>
      </c>
    </row>
    <row r="25" spans="1:69">
      <c r="K25" s="41">
        <f t="shared" si="0"/>
        <v>13779.1969570451</v>
      </c>
      <c r="L25" s="41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弹道",$B$21,0))*(1+$BQ25)</f>
        <v>13538.5003605733</v>
      </c>
      <c r="M25" s="41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弹道",$B$21,0))*(1+$BQ25)</f>
        <v>16489.0868260827</v>
      </c>
      <c r="N25" s="41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弹道",$B$21,0))*(1+$BQ25)</f>
        <v>8734.51636166021</v>
      </c>
      <c r="O25" s="41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弹道",$B$21,0))*(1+$BQ25)</f>
        <v>5254.89433362954</v>
      </c>
      <c r="P25" s="42">
        <v>1</v>
      </c>
      <c r="Q25" s="43" t="s">
        <v>130</v>
      </c>
      <c r="R25" s="43" t="s">
        <v>93</v>
      </c>
      <c r="S25" s="43" t="s">
        <v>94</v>
      </c>
      <c r="T25" s="43" t="s">
        <v>73</v>
      </c>
      <c r="U25" s="43" t="s">
        <v>86</v>
      </c>
      <c r="V25" s="43" t="s">
        <v>73</v>
      </c>
      <c r="W25" s="43" t="s">
        <v>73</v>
      </c>
      <c r="X25" s="43" t="s">
        <v>73</v>
      </c>
      <c r="Y25" s="43" t="s">
        <v>73</v>
      </c>
      <c r="Z25" s="43" t="s">
        <v>73</v>
      </c>
      <c r="AA25" s="43" t="s">
        <v>73</v>
      </c>
      <c r="AB25" s="43" t="s">
        <v>73</v>
      </c>
      <c r="AC25" s="43" t="s">
        <v>73</v>
      </c>
      <c r="AD25" s="43" t="s">
        <v>73</v>
      </c>
      <c r="AE25" s="43" t="s">
        <v>73</v>
      </c>
      <c r="AF25" s="43" t="s">
        <v>75</v>
      </c>
      <c r="AG25" t="str">
        <f>VLOOKUP($Q25,武学奇术!$A:$ZZ,25,FALSE)</f>
        <v>扇</v>
      </c>
      <c r="AH25" s="27">
        <f>VLOOKUP($Q25,武学奇术!$A:$ZZ,26,FALSE)</f>
        <v>0.9271</v>
      </c>
      <c r="AI25" s="28">
        <f>VLOOKUP($Q25,武学奇术!$A:$ZZ,27,FALSE)*(1+IF(OR($AG25=$F$4,$AG25=$F$5),$B$22,0))</f>
        <v>359.8</v>
      </c>
      <c r="AJ25" s="27">
        <f>VLOOKUP($Q25,武学奇术!$A:$ZZ,28,FALSE)</f>
        <v>1.3907</v>
      </c>
      <c r="AK25" s="28">
        <f>VLOOKUP($Q25,武学奇术!$A:$ZZ,29,FALSE)*(1+IF(OR($AG25=$F$4,$AG25=$F$5),$B$22,0))</f>
        <v>196</v>
      </c>
      <c r="AL25" s="27" cm="1">
        <f t="array" ref="AL25">$G$3+IFERROR(VLOOKUP($AG25,$F$4:$G$7,2,FALSE),0)+VLOOKUP($Q25,武学奇术!$A:$ZZ,2,FALSE)+SUM(_xlfn.XLOOKUP($R25:$AF25,增益!$A:$A,增益!$B:$B,0))</f>
        <v>0.2389</v>
      </c>
      <c r="AM25" s="27" cm="1">
        <f t="array" ref="AM25">VLOOKUP($Q25,武学奇术!$A:$ZZ,5,FALSE)+SUM(_xlfn.XLOOKUP($R25:$AF25,增益!$A:$A,增益!$E:$E,0))</f>
        <v>0.075</v>
      </c>
      <c r="AN25" cm="1">
        <f t="array" ref="AN25">$D$10*(1+$AM25)+VLOOKUP($Q25,武学奇术!$A:$ZZ,3,FALSE)+SUM(_xlfn.XLOOKUP($R25:$AF25,增益!$A:$A,增益!$C:$C,0))-$I$2</f>
        <v>1888.7275</v>
      </c>
      <c r="AO25" cm="1">
        <f t="array" ref="AO25">$E$10*(1+$AM25)+VLOOKUP($Q25,武学奇术!$A:$ZZ,4,FALSE)+SUM(_xlfn.XLOOKUP($R25:$AF25,增益!$A:$A,增益!$D:$D,0))-$I$2</f>
        <v>5625.2125</v>
      </c>
      <c r="AP25" s="35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0.2425</v>
      </c>
      <c r="AQ25" s="35" cm="1">
        <f t="array" ref="AQ25">$G$10+VLOOKUP($Q25,武学奇术!$A:$ZZ,7,FALSE)+SUM(_xlfn.XLOOKUP(R25:AF25,增益!$A:$A,增益!$G:$G,0))</f>
        <v>0</v>
      </c>
      <c r="AR25" s="27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5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-0.3</v>
      </c>
      <c r="AV25" s="35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35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-0.3</v>
      </c>
      <c r="AZ25" s="35" cm="1">
        <f t="array" ref="AZ25">$G$12+VLOOKUP($Q25,武学奇术!$A:$ZZ,12,FALSE)+SUM(_xlfn.XLOOKUP(R25:AF25,增益!$A:$A,增益!$L:$L,0))</f>
        <v>0</v>
      </c>
      <c r="BA25">
        <f t="shared" si="5"/>
        <v>538</v>
      </c>
      <c r="BB25">
        <f t="shared" si="6"/>
        <v>1011</v>
      </c>
      <c r="BC25" s="35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0</v>
      </c>
      <c r="BD25" s="35" cm="1">
        <f t="array" ref="BD25">$G$13+VLOOKUP($Q25,武学奇术!$A:$ZZ,14,FALSE)+SUM(_xlfn.XLOOKUP(R25:AF25,增益!$A:$A,增益!$N:$N,0))</f>
        <v>0.15</v>
      </c>
      <c r="BE25">
        <f t="shared" si="7"/>
        <v>0</v>
      </c>
      <c r="BF25">
        <f t="shared" si="8"/>
        <v>0</v>
      </c>
      <c r="BG25" s="35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-0.3</v>
      </c>
      <c r="BH25" s="35" cm="1">
        <f t="array" ref="BH25">$G$14+VLOOKUP($Q25,武学奇术!$A:$ZZ,16,FALSE)+SUM(_xlfn.XLOOKUP(R25:AF25,增益!$A:$A,增益!$P:$P,0))</f>
        <v>0</v>
      </c>
      <c r="BI25" s="27">
        <f>MIN(IF(VLOOKUP($Q25,武学奇术!$A:$ZZ,23,FALSE)=1,100%,$B$8),100%)</f>
        <v>0.9969</v>
      </c>
      <c r="BJ25" s="27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0.9137</v>
      </c>
      <c r="BK25" s="27" cm="1">
        <f t="array" ref="BK25">1+$B$13+VLOOKUP($Q25,武学奇术!$A:$ZZ,18,FALSE)+SUM(_xlfn.XLOOKUP(R25:AF25,增益!$A:$A,增益!$R:$R,0))</f>
        <v>1.55</v>
      </c>
      <c r="BL25" s="27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0.0895</v>
      </c>
      <c r="BM25" s="27" cm="1">
        <f t="array" ref="BM25">1+$B$14+VLOOKUP($Q25,武学奇术!$A:$ZZ,20,FALSE)+SUM(_xlfn.XLOOKUP(R25:AF25,增益!$A:$A,增益!$T:$T,0))</f>
        <v>1.35</v>
      </c>
      <c r="BN25" s="27">
        <f t="shared" si="9"/>
        <v>0.90767745</v>
      </c>
      <c r="BO25" s="27">
        <f t="shared" si="10"/>
        <v>-1.30104260698261e-17</v>
      </c>
      <c r="BP25" s="27">
        <f>IF(VLOOKUP($Q25,武学奇术!$A:$ZZ,22,FALSE)=1,0,(1-$BI25))*(1-$BL25)</f>
        <v>0.00282254999999999</v>
      </c>
      <c r="BQ25" s="27" cm="1">
        <f t="array" ref="BQ25">SUM(_xlfn.XLOOKUP(R25:AF25,增益!$A:$A,增益!$W:$W,0))+$I$5</f>
        <v>0.11</v>
      </c>
    </row>
    <row r="26" spans="1:69">
      <c r="K26" s="41">
        <f t="shared" si="0"/>
        <v>67183.8661721292</v>
      </c>
      <c r="L26" s="41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弹道",$B$21,0))*(1+$BQ26)</f>
        <v>66053.3464721877</v>
      </c>
      <c r="M26" s="41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弹道",$B$21,0))*(1+$BQ26)</f>
        <v>79965.3481443223</v>
      </c>
      <c r="N26" s="41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弹道",$B$21,0))*(1+$BQ26)</f>
        <v>42341.8887642229</v>
      </c>
      <c r="O26" s="41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弹道",$B$21,0))*(1+$BQ26)</f>
        <v>25450.1863104293</v>
      </c>
      <c r="P26" s="42">
        <v>1</v>
      </c>
      <c r="Q26" s="43" t="s">
        <v>145</v>
      </c>
      <c r="R26" s="43" t="s">
        <v>93</v>
      </c>
      <c r="S26" s="43" t="s">
        <v>144</v>
      </c>
      <c r="T26" s="43" t="s">
        <v>73</v>
      </c>
      <c r="U26" s="43" t="s">
        <v>86</v>
      </c>
      <c r="V26" s="43" t="s">
        <v>98</v>
      </c>
      <c r="W26" s="43" t="s">
        <v>146</v>
      </c>
      <c r="X26" s="43" t="s">
        <v>73</v>
      </c>
      <c r="Y26" s="43" t="s">
        <v>73</v>
      </c>
      <c r="Z26" s="43" t="s">
        <v>73</v>
      </c>
      <c r="AA26" s="43" t="s">
        <v>73</v>
      </c>
      <c r="AB26" s="43" t="s">
        <v>73</v>
      </c>
      <c r="AC26" s="43" t="s">
        <v>73</v>
      </c>
      <c r="AD26" s="43" t="s">
        <v>73</v>
      </c>
      <c r="AE26" s="43" t="s">
        <v>73</v>
      </c>
      <c r="AF26" s="43" t="s">
        <v>75</v>
      </c>
      <c r="AG26" t="str">
        <f>VLOOKUP($Q26,武学奇术!$A:$ZZ,25,FALSE)</f>
        <v>扇</v>
      </c>
      <c r="AH26" s="27">
        <f>VLOOKUP($Q26,武学奇术!$A:$ZZ,26,FALSE)</f>
        <v>2.76138</v>
      </c>
      <c r="AI26" s="28">
        <f>VLOOKUP($Q26,武学奇术!$A:$ZZ,27,FALSE)*(1+IF(OR($AG26=$F$4,$AG26=$F$5),$B$22,0))</f>
        <v>1069.81</v>
      </c>
      <c r="AJ26" s="27">
        <f>VLOOKUP($Q26,武学奇术!$A:$ZZ,28,FALSE)</f>
        <v>4.14207</v>
      </c>
      <c r="AK26" s="28">
        <f>VLOOKUP($Q26,武学奇术!$A:$ZZ,29,FALSE)*(1+IF(OR($AG26=$F$4,$AG26=$F$5),$B$22,0))</f>
        <v>582.61</v>
      </c>
      <c r="AL26" s="27" cm="1">
        <f t="array" ref="AL26">$G$3+IFERROR(VLOOKUP($AG26,$F$4:$G$7,2,FALSE),0)+VLOOKUP($Q26,武学奇术!$A:$ZZ,2,FALSE)+SUM(_xlfn.XLOOKUP($R26:$AF26,增益!$A:$A,增益!$B:$B,0))</f>
        <v>0.8389</v>
      </c>
      <c r="AM26" s="27" cm="1">
        <f t="array" ref="AM26">VLOOKUP($Q26,武学奇术!$A:$ZZ,5,FALSE)+SUM(_xlfn.XLOOKUP($R26:$AF26,增益!$A:$A,增益!$E:$E,0))</f>
        <v>0.075</v>
      </c>
      <c r="AN26" cm="1">
        <f t="array" ref="AN26">$D$10*(1+$AM26)+VLOOKUP($Q26,武学奇术!$A:$ZZ,3,FALSE)+SUM(_xlfn.XLOOKUP($R26:$AF26,增益!$A:$A,增益!$C:$C,0))-$I$2</f>
        <v>1888.7275</v>
      </c>
      <c r="AO26" cm="1">
        <f t="array" ref="AO26">$E$10*(1+$AM26)+VLOOKUP($Q26,武学奇术!$A:$ZZ,4,FALSE)+SUM(_xlfn.XLOOKUP($R26:$AF26,增益!$A:$A,增益!$D:$D,0))-$I$2</f>
        <v>5625.2125</v>
      </c>
      <c r="AP26" s="35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0.2425</v>
      </c>
      <c r="AQ26" s="35" cm="1">
        <f t="array" ref="AQ26">$G$10+VLOOKUP($Q26,武学奇术!$A:$ZZ,7,FALSE)+SUM(_xlfn.XLOOKUP(R26:AF26,增益!$A:$A,增益!$G:$G,0))</f>
        <v>0.1</v>
      </c>
      <c r="AR26" s="27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5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-0.3</v>
      </c>
      <c r="AV26" s="35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35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-0.3</v>
      </c>
      <c r="AZ26" s="35" cm="1">
        <f t="array" ref="AZ26">$G$12+VLOOKUP($Q26,武学奇术!$A:$ZZ,12,FALSE)+SUM(_xlfn.XLOOKUP(R26:AF26,增益!$A:$A,增益!$L:$L,0))</f>
        <v>0</v>
      </c>
      <c r="BA26">
        <f t="shared" si="5"/>
        <v>538</v>
      </c>
      <c r="BB26">
        <f t="shared" si="6"/>
        <v>1011</v>
      </c>
      <c r="BC26" s="35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0</v>
      </c>
      <c r="BD26" s="35" cm="1">
        <f t="array" ref="BD26">$G$13+VLOOKUP($Q26,武学奇术!$A:$ZZ,14,FALSE)+SUM(_xlfn.XLOOKUP(R26:AF26,增益!$A:$A,增益!$N:$N,0))</f>
        <v>0.25</v>
      </c>
      <c r="BE26">
        <f t="shared" si="7"/>
        <v>0</v>
      </c>
      <c r="BF26">
        <f t="shared" si="8"/>
        <v>0</v>
      </c>
      <c r="BG26" s="35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-0.3</v>
      </c>
      <c r="BH26" s="35" cm="1">
        <f t="array" ref="BH26">$G$14+VLOOKUP($Q26,武学奇术!$A:$ZZ,16,FALSE)+SUM(_xlfn.XLOOKUP(R26:AF26,增益!$A:$A,增益!$P:$P,0))</f>
        <v>0</v>
      </c>
      <c r="BI26" s="27">
        <f>MIN(IF(VLOOKUP($Q26,武学奇术!$A:$ZZ,23,FALSE)=1,100%,$B$8),100%)</f>
        <v>0.9969</v>
      </c>
      <c r="BJ26" s="27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0.9137</v>
      </c>
      <c r="BK26" s="27" cm="1">
        <f t="array" ref="BK26">1+$B$13+VLOOKUP($Q26,武学奇术!$A:$ZZ,18,FALSE)+SUM(_xlfn.XLOOKUP(R26:AF26,增益!$A:$A,增益!$R:$R,0))</f>
        <v>1.56</v>
      </c>
      <c r="BL26" s="27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0.0895</v>
      </c>
      <c r="BM26" s="27" cm="1">
        <f t="array" ref="BM26">1+$B$14+VLOOKUP($Q26,武学奇术!$A:$ZZ,20,FALSE)+SUM(_xlfn.XLOOKUP(R26:AF26,增益!$A:$A,增益!$T:$T,0))</f>
        <v>1.35</v>
      </c>
      <c r="BN26" s="27">
        <f t="shared" si="9"/>
        <v>0.90767745</v>
      </c>
      <c r="BO26" s="27">
        <f t="shared" si="10"/>
        <v>-1.30104260698261e-17</v>
      </c>
      <c r="BP26" s="27">
        <f>IF(VLOOKUP($Q26,武学奇术!$A:$ZZ,22,FALSE)=1,0,(1-$BI26))*(1-$BL26)</f>
        <v>0.00282254999999999</v>
      </c>
      <c r="BQ26" s="27" cm="1">
        <f t="array" ref="BQ26">SUM(_xlfn.XLOOKUP(R26:AF26,增益!$A:$A,增益!$W:$W,0))+$I$5</f>
        <v>0.11</v>
      </c>
    </row>
    <row r="27" spans="1:69">
      <c r="K27" s="41">
        <f t="shared" si="0"/>
        <v>93499.3435266523</v>
      </c>
      <c r="L27" s="41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弹道",$B$21,0))*(1+$BQ27)</f>
        <v>93818.7032797849</v>
      </c>
      <c r="M27" s="41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弹道",$B$21,0))*(1+$BQ27)</f>
        <v>92282.9458890303</v>
      </c>
      <c r="N27" s="41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弹道",$B$21,0))*(1+$BQ27)</f>
        <v>48863.9079582213</v>
      </c>
      <c r="O27" s="41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弹道",$B$21,0))*(1+$BQ27)</f>
        <v>29370.0782208646</v>
      </c>
      <c r="P27" s="42">
        <v>1</v>
      </c>
      <c r="Q27" s="43" t="s">
        <v>133</v>
      </c>
      <c r="R27" s="43" t="s">
        <v>93</v>
      </c>
      <c r="S27" s="43" t="s">
        <v>144</v>
      </c>
      <c r="T27" s="43" t="s">
        <v>73</v>
      </c>
      <c r="U27" s="43" t="s">
        <v>86</v>
      </c>
      <c r="V27" s="43" t="s">
        <v>134</v>
      </c>
      <c r="W27" s="43" t="s">
        <v>73</v>
      </c>
      <c r="X27" s="43" t="s">
        <v>73</v>
      </c>
      <c r="Y27" s="43" t="s">
        <v>73</v>
      </c>
      <c r="Z27" s="43" t="s">
        <v>73</v>
      </c>
      <c r="AA27" s="43" t="s">
        <v>73</v>
      </c>
      <c r="AB27" s="43" t="s">
        <v>73</v>
      </c>
      <c r="AC27" s="43" t="s">
        <v>73</v>
      </c>
      <c r="AD27" s="43" t="s">
        <v>73</v>
      </c>
      <c r="AE27" s="43" t="s">
        <v>73</v>
      </c>
      <c r="AF27" s="43" t="s">
        <v>75</v>
      </c>
      <c r="AG27" t="str">
        <f>VLOOKUP($Q27,武学奇术!$A:$ZZ,25,FALSE)</f>
        <v>扇</v>
      </c>
      <c r="AH27" s="27">
        <f>VLOOKUP($Q27,武学奇术!$A:$ZZ,26,FALSE)</f>
        <v>4.376825</v>
      </c>
      <c r="AI27" s="28">
        <f>VLOOKUP($Q27,武学奇术!$A:$ZZ,27,FALSE)*(1+IF(OR($AG27=$F$4,$AG27=$F$5),$B$22,0))</f>
        <v>1695.05</v>
      </c>
      <c r="AJ27" s="27">
        <f>VLOOKUP($Q27,武学奇术!$A:$ZZ,28,FALSE)</f>
        <v>6.56531</v>
      </c>
      <c r="AK27" s="28">
        <f>VLOOKUP($Q27,武学奇术!$A:$ZZ,29,FALSE)*(1+IF(OR($AG27=$F$4,$AG27=$F$5),$B$22,0))</f>
        <v>923.65</v>
      </c>
      <c r="AL27" s="27" cm="1">
        <f t="array" ref="AL27">$G$3+IFERROR(VLOOKUP($AG27,$F$4:$G$7,2,FALSE),0)+VLOOKUP($Q27,武学奇术!$A:$ZZ,2,FALSE)+SUM(_xlfn.XLOOKUP($R27:$AF27,增益!$A:$A,增益!$B:$B,0))</f>
        <v>0.3389</v>
      </c>
      <c r="AM27" s="27" cm="1">
        <f t="array" ref="AM27">VLOOKUP($Q27,武学奇术!$A:$ZZ,5,FALSE)+SUM(_xlfn.XLOOKUP($R27:$AF27,增益!$A:$A,增益!$E:$E,0))</f>
        <v>0.075</v>
      </c>
      <c r="AN27" cm="1">
        <f t="array" ref="AN27">$D$10*(1+$AM27)+VLOOKUP($Q27,武学奇术!$A:$ZZ,3,FALSE)+SUM(_xlfn.XLOOKUP($R27:$AF27,增益!$A:$A,增益!$C:$C,0))-$I$2</f>
        <v>1888.7275</v>
      </c>
      <c r="AO27" cm="1">
        <f t="array" ref="AO27">$E$10*(1+$AM27)+VLOOKUP($Q27,武学奇术!$A:$ZZ,4,FALSE)+SUM(_xlfn.XLOOKUP($R27:$AF27,增益!$A:$A,增益!$D:$D,0))-$I$2</f>
        <v>5625.2125</v>
      </c>
      <c r="AP27" s="35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0.2425</v>
      </c>
      <c r="AQ27" s="35" cm="1">
        <f t="array" ref="AQ27">$G$10+VLOOKUP($Q27,武学奇术!$A:$ZZ,7,FALSE)+SUM(_xlfn.XLOOKUP(R27:AF27,增益!$A:$A,增益!$G:$G,0))</f>
        <v>0.1</v>
      </c>
      <c r="AR27" s="27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5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-0.3</v>
      </c>
      <c r="AV27" s="35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35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-0.3</v>
      </c>
      <c r="AZ27" s="35" cm="1">
        <f t="array" ref="AZ27">$G$12+VLOOKUP($Q27,武学奇术!$A:$ZZ,12,FALSE)+SUM(_xlfn.XLOOKUP(R27:AF27,增益!$A:$A,增益!$L:$L,0))</f>
        <v>0</v>
      </c>
      <c r="BA27">
        <f t="shared" si="5"/>
        <v>538</v>
      </c>
      <c r="BB27">
        <f t="shared" si="6"/>
        <v>1011</v>
      </c>
      <c r="BC27" s="35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0</v>
      </c>
      <c r="BD27" s="35" cm="1">
        <f t="array" ref="BD27">$G$13+VLOOKUP($Q27,武学奇术!$A:$ZZ,14,FALSE)+SUM(_xlfn.XLOOKUP(R27:AF27,增益!$A:$A,增益!$N:$N,0))</f>
        <v>0.25</v>
      </c>
      <c r="BE27">
        <f t="shared" si="7"/>
        <v>0</v>
      </c>
      <c r="BF27">
        <f t="shared" si="8"/>
        <v>0</v>
      </c>
      <c r="BG27" s="35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-0.3</v>
      </c>
      <c r="BH27" s="35" cm="1">
        <f t="array" ref="BH27">$G$14+VLOOKUP($Q27,武学奇术!$A:$ZZ,16,FALSE)+SUM(_xlfn.XLOOKUP(R27:AF27,增益!$A:$A,增益!$P:$P,0))</f>
        <v>0</v>
      </c>
      <c r="BI27" s="27">
        <f>MIN(IF(VLOOKUP($Q27,武学奇术!$A:$ZZ,23,FALSE)=1,100%,$B$8),100%)</f>
        <v>0.9969</v>
      </c>
      <c r="BJ27" s="27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0.9137</v>
      </c>
      <c r="BK27" s="27" cm="1">
        <f t="array" ref="BK27">1+$B$13+VLOOKUP($Q27,武学奇术!$A:$ZZ,18,FALSE)+SUM(_xlfn.XLOOKUP(R27:AF27,增益!$A:$A,增益!$R:$R,0))</f>
        <v>1.92</v>
      </c>
      <c r="BL27" s="27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0.0895</v>
      </c>
      <c r="BM27" s="27" cm="1">
        <f t="array" ref="BM27">1+$B$14+VLOOKUP($Q27,武学奇术!$A:$ZZ,20,FALSE)+SUM(_xlfn.XLOOKUP(R27:AF27,增益!$A:$A,增益!$T:$T,0))</f>
        <v>1.35</v>
      </c>
      <c r="BN27" s="27">
        <f t="shared" si="9"/>
        <v>0.90767745</v>
      </c>
      <c r="BO27" s="27">
        <f t="shared" si="10"/>
        <v>-1.30104260698261e-17</v>
      </c>
      <c r="BP27" s="27">
        <f>IF(VLOOKUP($Q27,武学奇术!$A:$ZZ,22,FALSE)=1,0,(1-$BI27))*(1-$BL27)</f>
        <v>0.00282254999999999</v>
      </c>
      <c r="BQ27" s="27" cm="1">
        <f t="array" ref="BQ27">SUM(_xlfn.XLOOKUP(R27:AF27,增益!$A:$A,增益!$W:$W,0))+$I$5</f>
        <v>0.11</v>
      </c>
    </row>
    <row r="28" spans="1:69">
      <c r="K28" s="41">
        <f t="shared" si="0"/>
        <v>29955.0757257293</v>
      </c>
      <c r="L28" s="41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弹道",$B$21,0))*(1+$BQ28)</f>
        <v>29471.2443542463</v>
      </c>
      <c r="M28" s="41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弹道",$B$21,0))*(1+$BQ28)</f>
        <v>35450.7770094341</v>
      </c>
      <c r="N28" s="41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弹道",$B$21,0))*(1+$BQ28)</f>
        <v>18771.4932192652</v>
      </c>
      <c r="O28" s="41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弹道",$B$21,0))*(1+$BQ28)</f>
        <v>11283.1516167273</v>
      </c>
      <c r="P28" s="42">
        <v>1</v>
      </c>
      <c r="Q28" s="43" t="s">
        <v>104</v>
      </c>
      <c r="R28" s="43" t="s">
        <v>93</v>
      </c>
      <c r="S28" s="43" t="s">
        <v>149</v>
      </c>
      <c r="T28" s="43" t="s">
        <v>73</v>
      </c>
      <c r="U28" s="43" t="s">
        <v>86</v>
      </c>
      <c r="V28" s="43" t="s">
        <v>73</v>
      </c>
      <c r="W28" s="43" t="s">
        <v>73</v>
      </c>
      <c r="X28" s="43" t="s">
        <v>73</v>
      </c>
      <c r="Y28" s="43" t="s">
        <v>73</v>
      </c>
      <c r="Z28" s="43" t="s">
        <v>73</v>
      </c>
      <c r="AA28" s="43" t="s">
        <v>73</v>
      </c>
      <c r="AB28" s="43" t="s">
        <v>73</v>
      </c>
      <c r="AC28" s="43" t="s">
        <v>73</v>
      </c>
      <c r="AD28" s="43" t="s">
        <v>73</v>
      </c>
      <c r="AE28" s="43" t="s">
        <v>73</v>
      </c>
      <c r="AF28" s="43" t="s">
        <v>75</v>
      </c>
      <c r="AG28" t="str">
        <f>VLOOKUP($Q28,武学奇术!$A:$ZZ,25,FALSE)</f>
        <v>伞</v>
      </c>
      <c r="AH28" s="27">
        <f>VLOOKUP($Q28,武学奇术!$A:$ZZ,26,FALSE)</f>
        <v>1.7001</v>
      </c>
      <c r="AI28" s="28">
        <f>VLOOKUP($Q28,武学奇术!$A:$ZZ,27,FALSE)*(1+IF(OR($AG28=$F$4,$AG28=$F$5),$B$22,0))</f>
        <v>659.4</v>
      </c>
      <c r="AJ28" s="27">
        <f>VLOOKUP($Q28,武学奇术!$A:$ZZ,28,FALSE)</f>
        <v>2.5502</v>
      </c>
      <c r="AK28" s="28">
        <f>VLOOKUP($Q28,武学奇术!$A:$ZZ,29,FALSE)*(1+IF(OR($AG28=$F$4,$AG28=$F$5),$B$22,0))</f>
        <v>358.4</v>
      </c>
      <c r="AL28" s="27" cm="1">
        <f t="array" ref="AL28">$G$3+IFERROR(VLOOKUP($AG28,$F$4:$G$7,2,FALSE),0)+VLOOKUP($Q28,武学奇术!$A:$ZZ,2,FALSE)+SUM(_xlfn.XLOOKUP($R28:$AF28,增益!$A:$A,增益!$B:$B,0))</f>
        <v>0.3241</v>
      </c>
      <c r="AM28" s="27" cm="1">
        <f t="array" ref="AM28">VLOOKUP($Q28,武学奇术!$A:$ZZ,5,FALSE)+SUM(_xlfn.XLOOKUP($R28:$AF28,增益!$A:$A,增益!$E:$E,0))</f>
        <v>0.075</v>
      </c>
      <c r="AN28" cm="1">
        <f t="array" ref="AN28">$D$10*(1+$AM28)+VLOOKUP($Q28,武学奇术!$A:$ZZ,3,FALSE)+SUM(_xlfn.XLOOKUP($R28:$AF28,增益!$A:$A,增益!$C:$C,0))-$I$2</f>
        <v>1888.7275</v>
      </c>
      <c r="AO28" cm="1">
        <f t="array" ref="AO28">$E$10*(1+$AM28)+VLOOKUP($Q28,武学奇术!$A:$ZZ,4,FALSE)+SUM(_xlfn.XLOOKUP($R28:$AF28,增益!$A:$A,增益!$D:$D,0))-$I$2</f>
        <v>5625.2125</v>
      </c>
      <c r="AP28" s="35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0.2425</v>
      </c>
      <c r="AQ28" s="35" cm="1">
        <f t="array" ref="AQ28">$G$10+VLOOKUP($Q28,武学奇术!$A:$ZZ,7,FALSE)+SUM(_xlfn.XLOOKUP(R28:AF28,增益!$A:$A,增益!$G:$G,0))</f>
        <v>0.1</v>
      </c>
      <c r="AR28" s="27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5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35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35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-0.3</v>
      </c>
      <c r="AZ28" s="35" cm="1">
        <f t="array" ref="AZ28">$G$12+VLOOKUP($Q28,武学奇术!$A:$ZZ,12,FALSE)+SUM(_xlfn.XLOOKUP(R28:AF28,增益!$A:$A,增益!$L:$L,0))</f>
        <v>0</v>
      </c>
      <c r="BA28">
        <f t="shared" si="5"/>
        <v>538</v>
      </c>
      <c r="BB28">
        <f t="shared" si="6"/>
        <v>1011</v>
      </c>
      <c r="BC28" s="35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0</v>
      </c>
      <c r="BD28" s="35" cm="1">
        <f t="array" ref="BD28">$G$13+VLOOKUP($Q28,武学奇术!$A:$ZZ,14,FALSE)+SUM(_xlfn.XLOOKUP(R28:AF28,增益!$A:$A,增益!$N:$N,0))</f>
        <v>0.25</v>
      </c>
      <c r="BE28">
        <f t="shared" si="7"/>
        <v>0</v>
      </c>
      <c r="BF28">
        <f t="shared" si="8"/>
        <v>0</v>
      </c>
      <c r="BG28" s="35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-0.3</v>
      </c>
      <c r="BH28" s="35" cm="1">
        <f t="array" ref="BH28">$G$14+VLOOKUP($Q28,武学奇术!$A:$ZZ,16,FALSE)+SUM(_xlfn.XLOOKUP(R28:AF28,增益!$A:$A,增益!$P:$P,0))</f>
        <v>0</v>
      </c>
      <c r="BI28" s="27">
        <f>MIN(IF(VLOOKUP($Q28,武学奇术!$A:$ZZ,23,FALSE)=1,100%,$B$8),100%)</f>
        <v>0.9969</v>
      </c>
      <c r="BJ28" s="27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0.9137</v>
      </c>
      <c r="BK28" s="27" cm="1">
        <f t="array" ref="BK28">1+$B$13+VLOOKUP($Q28,武学奇术!$A:$ZZ,18,FALSE)+SUM(_xlfn.XLOOKUP(R28:AF28,增益!$A:$A,增益!$R:$R,0))</f>
        <v>1.57</v>
      </c>
      <c r="BL28" s="27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0.0895</v>
      </c>
      <c r="BM28" s="27" cm="1">
        <f t="array" ref="BM28">1+$B$14+VLOOKUP($Q28,武学奇术!$A:$ZZ,20,FALSE)+SUM(_xlfn.XLOOKUP(R28:AF28,增益!$A:$A,增益!$T:$T,0))</f>
        <v>1.35</v>
      </c>
      <c r="BN28" s="27">
        <f t="shared" si="9"/>
        <v>0.90767745</v>
      </c>
      <c r="BO28" s="27">
        <f t="shared" si="10"/>
        <v>-1.30104260698261e-17</v>
      </c>
      <c r="BP28" s="27">
        <f>IF(VLOOKUP($Q28,武学奇术!$A:$ZZ,22,FALSE)=1,0,(1-$BI28))*(1-$BL28)</f>
        <v>0.00282254999999999</v>
      </c>
      <c r="BQ28" s="27" cm="1">
        <f t="array" ref="BQ28">SUM(_xlfn.XLOOKUP(R28:AF28,增益!$A:$A,增益!$W:$W,0))+$I$5</f>
        <v>0.11</v>
      </c>
    </row>
    <row r="29" spans="1:69">
      <c r="K29" s="41">
        <f t="shared" si="0"/>
        <v>75179.5239235671</v>
      </c>
      <c r="L29" s="41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弹道",$B$21,0))*(1+$BQ29)</f>
        <v>75467.8514388835</v>
      </c>
      <c r="M29" s="41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弹道",$B$21,0))*(1+$BQ29)</f>
        <v>73886.0180684568</v>
      </c>
      <c r="N29" s="41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弹道",$B$21,0))*(1+$BQ29)</f>
        <v>39102.5136989034</v>
      </c>
      <c r="O29" s="41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弹道",$B$21,0))*(1+$BQ29)</f>
        <v>23474.6436433942</v>
      </c>
      <c r="P29" s="42">
        <v>1</v>
      </c>
      <c r="Q29" s="43" t="s">
        <v>97</v>
      </c>
      <c r="R29" s="43" t="s">
        <v>93</v>
      </c>
      <c r="S29" s="43" t="s">
        <v>149</v>
      </c>
      <c r="T29" s="43" t="s">
        <v>102</v>
      </c>
      <c r="U29" s="43" t="s">
        <v>86</v>
      </c>
      <c r="V29" s="43" t="s">
        <v>98</v>
      </c>
      <c r="W29" s="43" t="s">
        <v>73</v>
      </c>
      <c r="X29" s="43" t="s">
        <v>73</v>
      </c>
      <c r="Y29" s="43" t="s">
        <v>73</v>
      </c>
      <c r="Z29" s="43" t="s">
        <v>73</v>
      </c>
      <c r="AA29" s="43" t="s">
        <v>73</v>
      </c>
      <c r="AB29" s="43" t="s">
        <v>73</v>
      </c>
      <c r="AC29" s="43" t="s">
        <v>73</v>
      </c>
      <c r="AD29" s="43" t="s">
        <v>73</v>
      </c>
      <c r="AE29" s="43" t="s">
        <v>73</v>
      </c>
      <c r="AF29" s="43" t="s">
        <v>75</v>
      </c>
      <c r="AG29" t="str">
        <f>VLOOKUP($Q29,武学奇术!$A:$ZZ,25,FALSE)</f>
        <v>伞</v>
      </c>
      <c r="AH29" s="27">
        <f>VLOOKUP($Q29,武学奇术!$A:$ZZ,26,FALSE)</f>
        <v>2.3397</v>
      </c>
      <c r="AI29" s="28">
        <f>VLOOKUP($Q29,武学奇术!$A:$ZZ,27,FALSE)*(1+IF(OR($AG29=$F$4,$AG29=$F$5),$B$22,0))</f>
        <v>907.2</v>
      </c>
      <c r="AJ29" s="27">
        <f>VLOOKUP($Q29,武学奇术!$A:$ZZ,28,FALSE)</f>
        <v>3.5095</v>
      </c>
      <c r="AK29" s="28">
        <f>VLOOKUP($Q29,武学奇术!$A:$ZZ,29,FALSE)*(1+IF(OR($AG29=$F$4,$AG29=$F$5),$B$22,0))</f>
        <v>494.2</v>
      </c>
      <c r="AL29" s="27" cm="1">
        <f t="array" ref="AL29">$G$3+IFERROR(VLOOKUP($AG29,$F$4:$G$7,2,FALSE),0)+VLOOKUP($Q29,武学奇术!$A:$ZZ,2,FALSE)+SUM(_xlfn.XLOOKUP($R29:$AF29,增益!$A:$A,增益!$B:$B,0))</f>
        <v>0.9741</v>
      </c>
      <c r="AM29" s="27" cm="1">
        <f t="array" ref="AM29">VLOOKUP($Q29,武学奇术!$A:$ZZ,5,FALSE)+SUM(_xlfn.XLOOKUP($R29:$AF29,增益!$A:$A,增益!$E:$E,0))</f>
        <v>0.075</v>
      </c>
      <c r="AN29" cm="1">
        <f t="array" ref="AN29">$D$10*(1+$AM29)+VLOOKUP($Q29,武学奇术!$A:$ZZ,3,FALSE)+SUM(_xlfn.XLOOKUP($R29:$AF29,增益!$A:$A,增益!$C:$C,0))-$I$2</f>
        <v>1888.7275</v>
      </c>
      <c r="AO29" cm="1">
        <f t="array" ref="AO29">$E$10*(1+$AM29)+VLOOKUP($Q29,武学奇术!$A:$ZZ,4,FALSE)+SUM(_xlfn.XLOOKUP($R29:$AF29,增益!$A:$A,增益!$D:$D,0))-$I$2</f>
        <v>5625.2125</v>
      </c>
      <c r="AP29" s="35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0.2675</v>
      </c>
      <c r="AQ29" s="35" cm="1">
        <f t="array" ref="AQ29">$G$10+VLOOKUP($Q29,武学奇术!$A:$ZZ,7,FALSE)+SUM(_xlfn.XLOOKUP(R29:AF29,增益!$A:$A,增益!$G:$G,0))</f>
        <v>0.1</v>
      </c>
      <c r="AR29" s="27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5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35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35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-0.3</v>
      </c>
      <c r="AZ29" s="35" cm="1">
        <f t="array" ref="AZ29">$G$12+VLOOKUP($Q29,武学奇术!$A:$ZZ,12,FALSE)+SUM(_xlfn.XLOOKUP(R29:AF29,增益!$A:$A,增益!$L:$L,0))</f>
        <v>0</v>
      </c>
      <c r="BA29">
        <f t="shared" si="5"/>
        <v>538</v>
      </c>
      <c r="BB29">
        <f t="shared" si="6"/>
        <v>1011</v>
      </c>
      <c r="BC29" s="35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0</v>
      </c>
      <c r="BD29" s="35" cm="1">
        <f t="array" ref="BD29">$G$13+VLOOKUP($Q29,武学奇术!$A:$ZZ,14,FALSE)+SUM(_xlfn.XLOOKUP(R29:AF29,增益!$A:$A,增益!$N:$N,0))</f>
        <v>0.25</v>
      </c>
      <c r="BE29">
        <f t="shared" si="7"/>
        <v>0</v>
      </c>
      <c r="BF29">
        <f t="shared" si="8"/>
        <v>0</v>
      </c>
      <c r="BG29" s="35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-0.3</v>
      </c>
      <c r="BH29" s="35" cm="1">
        <f t="array" ref="BH29">$G$14+VLOOKUP($Q29,武学奇术!$A:$ZZ,16,FALSE)+SUM(_xlfn.XLOOKUP(R29:AF29,增益!$A:$A,增益!$P:$P,0))</f>
        <v>0</v>
      </c>
      <c r="BI29" s="27">
        <f>MIN(IF(VLOOKUP($Q29,武学奇术!$A:$ZZ,23,FALSE)=1,100%,$B$8),100%)</f>
        <v>0.9969</v>
      </c>
      <c r="BJ29" s="27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0.9137</v>
      </c>
      <c r="BK29" s="27" cm="1">
        <f t="array" ref="BK29">1+$B$13+VLOOKUP($Q29,武学奇术!$A:$ZZ,18,FALSE)+SUM(_xlfn.XLOOKUP(R29:AF29,增益!$A:$A,增益!$R:$R,0))</f>
        <v>1.93</v>
      </c>
      <c r="BL29" s="27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0.0895</v>
      </c>
      <c r="BM29" s="27" cm="1">
        <f t="array" ref="BM29">1+$B$14+VLOOKUP($Q29,武学奇术!$A:$ZZ,20,FALSE)+SUM(_xlfn.XLOOKUP(R29:AF29,增益!$A:$A,增益!$T:$T,0))</f>
        <v>1.35</v>
      </c>
      <c r="BN29" s="27">
        <f t="shared" si="9"/>
        <v>0.90767745</v>
      </c>
      <c r="BO29" s="27">
        <f t="shared" si="10"/>
        <v>-1.30104260698261e-17</v>
      </c>
      <c r="BP29" s="27">
        <f>IF(VLOOKUP($Q29,武学奇术!$A:$ZZ,22,FALSE)=1,0,(1-$BI29))*(1-$BL29)</f>
        <v>0.00282254999999999</v>
      </c>
      <c r="BQ29" s="27" cm="1">
        <f t="array" ref="BQ29">SUM(_xlfn.XLOOKUP(R29:AF29,增益!$A:$A,增益!$W:$W,0))+$I$5</f>
        <v>0.11</v>
      </c>
    </row>
    <row r="30" spans="1:69">
      <c r="K30" s="41">
        <f t="shared" si="0"/>
        <v>12622.8527192874</v>
      </c>
      <c r="L30" s="41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弹道",$B$21,0))*(1+$BQ30)</f>
        <v>12427.1524343929</v>
      </c>
      <c r="M30" s="41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弹道",$B$21,0))*(1+$BQ30)</f>
        <v>14856.6286929719</v>
      </c>
      <c r="N30" s="41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弹道",$B$21,0))*(1+$BQ30)</f>
        <v>7865.28635088156</v>
      </c>
      <c r="O30" s="41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弹道",$B$21,0))*(1+$BQ30)</f>
        <v>4725.66255882096</v>
      </c>
      <c r="P30" s="42">
        <v>1</v>
      </c>
      <c r="Q30" s="43" t="s">
        <v>107</v>
      </c>
      <c r="R30" s="43" t="s">
        <v>93</v>
      </c>
      <c r="S30" s="43" t="s">
        <v>151</v>
      </c>
      <c r="T30" s="43" t="s">
        <v>73</v>
      </c>
      <c r="U30" s="43" t="s">
        <v>86</v>
      </c>
      <c r="V30" s="43" t="s">
        <v>73</v>
      </c>
      <c r="W30" s="43" t="s">
        <v>73</v>
      </c>
      <c r="X30" s="43" t="s">
        <v>73</v>
      </c>
      <c r="Y30" s="43" t="s">
        <v>73</v>
      </c>
      <c r="Z30" s="43" t="s">
        <v>73</v>
      </c>
      <c r="AA30" s="43" t="s">
        <v>73</v>
      </c>
      <c r="AB30" s="43" t="s">
        <v>73</v>
      </c>
      <c r="AC30" s="43" t="s">
        <v>73</v>
      </c>
      <c r="AD30" s="43" t="s">
        <v>73</v>
      </c>
      <c r="AE30" s="43" t="s">
        <v>73</v>
      </c>
      <c r="AF30" s="43" t="s">
        <v>75</v>
      </c>
      <c r="AG30" t="str">
        <f>VLOOKUP($Q30,武学奇术!$A:$ZZ,25,FALSE)</f>
        <v>伞</v>
      </c>
      <c r="AH30" s="27">
        <f>VLOOKUP($Q30,武学奇术!$A:$ZZ,26,FALSE)</f>
        <v>0.54</v>
      </c>
      <c r="AI30" s="28">
        <f>VLOOKUP($Q30,武学奇术!$A:$ZZ,27,FALSE)*(1+IF(OR($AG30=$F$4,$AG30=$F$5),$B$22,0))</f>
        <v>207.2</v>
      </c>
      <c r="AJ30" s="27">
        <f>VLOOKUP($Q30,武学奇术!$A:$ZZ,28,FALSE)</f>
        <v>0.81</v>
      </c>
      <c r="AK30" s="28">
        <f>VLOOKUP($Q30,武学奇术!$A:$ZZ,29,FALSE)*(1+IF(OR($AG30=$F$4,$AG30=$F$5),$B$22,0))</f>
        <v>114.1</v>
      </c>
      <c r="AL30" s="27" cm="1">
        <f t="array" ref="AL30">$G$3+IFERROR(VLOOKUP($AG30,$F$4:$G$7,2,FALSE),0)+VLOOKUP($Q30,武学奇术!$A:$ZZ,2,FALSE)+SUM(_xlfn.XLOOKUP($R30:$AF30,增益!$A:$A,增益!$B:$B,0))</f>
        <v>0.3241</v>
      </c>
      <c r="AM30" s="27" cm="1">
        <f t="array" ref="AM30">VLOOKUP($Q30,武学奇术!$A:$ZZ,5,FALSE)+SUM(_xlfn.XLOOKUP($R30:$AF30,增益!$A:$A,增益!$E:$E,0))</f>
        <v>0.075</v>
      </c>
      <c r="AN30" cm="1">
        <f t="array" ref="AN30">$D$10*(1+$AM30)+VLOOKUP($Q30,武学奇术!$A:$ZZ,3,FALSE)+SUM(_xlfn.XLOOKUP($R30:$AF30,增益!$A:$A,增益!$C:$C,0))-$I$2</f>
        <v>1888.7275</v>
      </c>
      <c r="AO30" cm="1">
        <f t="array" ref="AO30">$E$10*(1+$AM30)+VLOOKUP($Q30,武学奇术!$A:$ZZ,4,FALSE)+SUM(_xlfn.XLOOKUP($R30:$AF30,增益!$A:$A,增益!$D:$D,0))-$I$2</f>
        <v>5625.2125</v>
      </c>
      <c r="AP30" s="35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0.2425</v>
      </c>
      <c r="AQ30" s="35" cm="1">
        <f t="array" ref="AQ30">$G$10+VLOOKUP($Q30,武学奇术!$A:$ZZ,7,FALSE)+SUM(_xlfn.XLOOKUP(R30:AF30,增益!$A:$A,增益!$G:$G,0))</f>
        <v>0.1</v>
      </c>
      <c r="AR30" s="27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5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5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35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-0.3</v>
      </c>
      <c r="AZ30" s="35" cm="1">
        <f t="array" ref="AZ30">$G$12+VLOOKUP($Q30,武学奇术!$A:$ZZ,12,FALSE)+SUM(_xlfn.XLOOKUP(R30:AF30,增益!$A:$A,增益!$L:$L,0))</f>
        <v>0</v>
      </c>
      <c r="BA30">
        <f t="shared" si="5"/>
        <v>538</v>
      </c>
      <c r="BB30">
        <f t="shared" si="6"/>
        <v>1011</v>
      </c>
      <c r="BC30" s="35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0</v>
      </c>
      <c r="BD30" s="35" cm="1">
        <f t="array" ref="BD30">$G$13+VLOOKUP($Q30,武学奇术!$A:$ZZ,14,FALSE)+SUM(_xlfn.XLOOKUP(R30:AF30,增益!$A:$A,增益!$N:$N,0))</f>
        <v>0.25</v>
      </c>
      <c r="BE30">
        <f t="shared" si="7"/>
        <v>0</v>
      </c>
      <c r="BF30">
        <f t="shared" si="8"/>
        <v>0</v>
      </c>
      <c r="BG30" s="35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-0.3</v>
      </c>
      <c r="BH30" s="35" cm="1">
        <f t="array" ref="BH30">$G$14+VLOOKUP($Q30,武学奇术!$A:$ZZ,16,FALSE)+SUM(_xlfn.XLOOKUP(R30:AF30,增益!$A:$A,增益!$P:$P,0))</f>
        <v>0</v>
      </c>
      <c r="BI30" s="27">
        <f>MIN(IF(VLOOKUP($Q30,武学奇术!$A:$ZZ,23,FALSE)=1,100%,$B$8),100%)</f>
        <v>0.9969</v>
      </c>
      <c r="BJ30" s="27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0.9137</v>
      </c>
      <c r="BK30" s="27" cm="1">
        <f t="array" ref="BK30">1+$B$13+VLOOKUP($Q30,武学奇术!$A:$ZZ,18,FALSE)+SUM(_xlfn.XLOOKUP(R30:AF30,增益!$A:$A,增益!$R:$R,0))</f>
        <v>1.58</v>
      </c>
      <c r="BL30" s="27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0.0895</v>
      </c>
      <c r="BM30" s="27" cm="1">
        <f t="array" ref="BM30">1+$B$14+VLOOKUP($Q30,武学奇术!$A:$ZZ,20,FALSE)+SUM(_xlfn.XLOOKUP(R30:AF30,增益!$A:$A,增益!$T:$T,0))</f>
        <v>1.35</v>
      </c>
      <c r="BN30" s="27">
        <f t="shared" si="9"/>
        <v>0.90767745</v>
      </c>
      <c r="BO30" s="27">
        <f t="shared" si="10"/>
        <v>-1.30104260698261e-17</v>
      </c>
      <c r="BP30" s="27">
        <f>IF(VLOOKUP($Q30,武学奇术!$A:$ZZ,22,FALSE)=1,0,(1-$BI30))*(1-$BL30)</f>
        <v>0.00282254999999999</v>
      </c>
      <c r="BQ30" s="27" cm="1">
        <f t="array" ref="BQ30">SUM(_xlfn.XLOOKUP(R30:AF30,增益!$A:$A,增益!$W:$W,0))+$I$5</f>
        <v>0.11</v>
      </c>
    </row>
    <row r="31" spans="1:69">
      <c r="K31" s="41">
        <f t="shared" si="0"/>
        <v>50055.8225221302</v>
      </c>
      <c r="L31" s="41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弹道",$B$21,0))*(1+$BQ31)</f>
        <v>50270.4571582583</v>
      </c>
      <c r="M31" s="41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弹道",$B$21,0))*(1+$BQ31)</f>
        <v>48967.177524564</v>
      </c>
      <c r="N31" s="41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弹道",$B$21,0))*(1+$BQ31)</f>
        <v>25912.6067826073</v>
      </c>
      <c r="O31" s="41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弹道",$B$21,0))*(1+$BQ31)</f>
        <v>15553.2302136858</v>
      </c>
      <c r="P31" s="42">
        <v>1</v>
      </c>
      <c r="Q31" s="43" t="s">
        <v>109</v>
      </c>
      <c r="R31" s="43" t="s">
        <v>93</v>
      </c>
      <c r="S31" s="43" t="s">
        <v>151</v>
      </c>
      <c r="T31" s="43" t="s">
        <v>102</v>
      </c>
      <c r="U31" s="43" t="s">
        <v>86</v>
      </c>
      <c r="V31" s="43" t="s">
        <v>98</v>
      </c>
      <c r="W31" s="43" t="s">
        <v>73</v>
      </c>
      <c r="X31" s="43" t="s">
        <v>73</v>
      </c>
      <c r="Y31" s="43" t="s">
        <v>73</v>
      </c>
      <c r="Z31" s="43" t="s">
        <v>73</v>
      </c>
      <c r="AA31" s="43" t="s">
        <v>73</v>
      </c>
      <c r="AB31" s="43" t="s">
        <v>73</v>
      </c>
      <c r="AC31" s="43" t="s">
        <v>73</v>
      </c>
      <c r="AD31" s="43" t="s">
        <v>73</v>
      </c>
      <c r="AE31" s="43" t="s">
        <v>73</v>
      </c>
      <c r="AF31" s="43" t="s">
        <v>75</v>
      </c>
      <c r="AG31" t="str">
        <f>VLOOKUP($Q31,武学奇术!$A:$ZZ,25,FALSE)</f>
        <v>伞</v>
      </c>
      <c r="AH31" s="27">
        <f>VLOOKUP($Q31,武学奇术!$A:$ZZ,26,FALSE)</f>
        <v>1.174955</v>
      </c>
      <c r="AI31" s="28">
        <f>VLOOKUP($Q31,武学奇术!$A:$ZZ,27,FALSE)*(1+IF(OR($AG31=$F$4,$AG31=$F$5),$B$22,0))</f>
        <v>454.02</v>
      </c>
      <c r="AJ31" s="27">
        <f>VLOOKUP($Q31,武学奇术!$A:$ZZ,28,FALSE)</f>
        <v>1.762375</v>
      </c>
      <c r="AK31" s="28">
        <f>VLOOKUP($Q31,武学奇术!$A:$ZZ,29,FALSE)*(1+IF(OR($AG31=$F$4,$AG31=$F$5),$B$22,0))</f>
        <v>247.94</v>
      </c>
      <c r="AL31" s="27" cm="1">
        <f t="array" ref="AL31">$G$3+IFERROR(VLOOKUP($AG31,$F$4:$G$7,2,FALSE),0)+VLOOKUP($Q31,武学奇术!$A:$ZZ,2,FALSE)+SUM(_xlfn.XLOOKUP($R31:$AF31,增益!$A:$A,增益!$B:$B,0))</f>
        <v>0.9741</v>
      </c>
      <c r="AM31" s="27" cm="1">
        <f t="array" ref="AM31">VLOOKUP($Q31,武学奇术!$A:$ZZ,5,FALSE)+SUM(_xlfn.XLOOKUP($R31:$AF31,增益!$A:$A,增益!$E:$E,0))</f>
        <v>0.075</v>
      </c>
      <c r="AN31" cm="1">
        <f t="array" ref="AN31">$D$10*(1+$AM31)+VLOOKUP($Q31,武学奇术!$A:$ZZ,3,FALSE)+SUM(_xlfn.XLOOKUP($R31:$AF31,增益!$A:$A,增益!$C:$C,0))-$I$2</f>
        <v>1888.7275</v>
      </c>
      <c r="AO31" cm="1">
        <f t="array" ref="AO31">$E$10*(1+$AM31)+VLOOKUP($Q31,武学奇术!$A:$ZZ,4,FALSE)+SUM(_xlfn.XLOOKUP($R31:$AF31,增益!$A:$A,增益!$D:$D,0))-$I$2</f>
        <v>5625.2125</v>
      </c>
      <c r="AP31" s="35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0.2675</v>
      </c>
      <c r="AQ31" s="35" cm="1">
        <f t="array" ref="AQ31">$G$10+VLOOKUP($Q31,武学奇术!$A:$ZZ,7,FALSE)+SUM(_xlfn.XLOOKUP(R31:AF31,增益!$A:$A,增益!$G:$G,0))</f>
        <v>0.1</v>
      </c>
      <c r="AR31" s="27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5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-0.3</v>
      </c>
      <c r="AV31" s="35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35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-0.3</v>
      </c>
      <c r="AZ31" s="35" cm="1">
        <f t="array" ref="AZ31">$G$12+VLOOKUP($Q31,武学奇术!$A:$ZZ,12,FALSE)+SUM(_xlfn.XLOOKUP(R31:AF31,增益!$A:$A,增益!$L:$L,0))</f>
        <v>0</v>
      </c>
      <c r="BA31">
        <f t="shared" si="5"/>
        <v>538</v>
      </c>
      <c r="BB31">
        <f t="shared" si="6"/>
        <v>1011</v>
      </c>
      <c r="BC31" s="35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0</v>
      </c>
      <c r="BD31" s="35" cm="1">
        <f t="array" ref="BD31">$G$13+VLOOKUP($Q31,武学奇术!$A:$ZZ,14,FALSE)+SUM(_xlfn.XLOOKUP(R31:AF31,增益!$A:$A,增益!$N:$N,0))</f>
        <v>0.25</v>
      </c>
      <c r="BE31">
        <f t="shared" si="7"/>
        <v>0</v>
      </c>
      <c r="BF31">
        <f t="shared" si="8"/>
        <v>0</v>
      </c>
      <c r="BG31" s="35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-0.3</v>
      </c>
      <c r="BH31" s="35" cm="1">
        <f t="array" ref="BH31">$G$14+VLOOKUP($Q31,武学奇术!$A:$ZZ,16,FALSE)+SUM(_xlfn.XLOOKUP(R31:AF31,增益!$A:$A,增益!$P:$P,0))</f>
        <v>0</v>
      </c>
      <c r="BI31" s="27">
        <f>MIN(IF(VLOOKUP($Q31,武学奇术!$A:$ZZ,23,FALSE)=1,100%,$B$8),100%)</f>
        <v>0.9969</v>
      </c>
      <c r="BJ31" s="27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0.9137</v>
      </c>
      <c r="BK31" s="27" cm="1">
        <f t="array" ref="BK31">1+$B$13+VLOOKUP($Q31,武学奇术!$A:$ZZ,18,FALSE)+SUM(_xlfn.XLOOKUP(R31:AF31,增益!$A:$A,增益!$R:$R,0))</f>
        <v>1.94</v>
      </c>
      <c r="BL31" s="27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0.0895</v>
      </c>
      <c r="BM31" s="27" cm="1">
        <f t="array" ref="BM31">1+$B$14+VLOOKUP($Q31,武学奇术!$A:$ZZ,20,FALSE)+SUM(_xlfn.XLOOKUP(R31:AF31,增益!$A:$A,增益!$T:$T,0))</f>
        <v>1.35</v>
      </c>
      <c r="BN31" s="27">
        <f t="shared" si="9"/>
        <v>0.90767745</v>
      </c>
      <c r="BO31" s="27">
        <f t="shared" si="10"/>
        <v>-1.30104260698261e-17</v>
      </c>
      <c r="BP31" s="27">
        <f>IF(VLOOKUP($Q31,武学奇术!$A:$ZZ,22,FALSE)=1,0,(1-$BI31))*(1-$BL31)</f>
        <v>0.00282254999999999</v>
      </c>
      <c r="BQ31" s="27" cm="1">
        <f t="array" ref="BQ31">SUM(_xlfn.XLOOKUP(R31:AF31,增益!$A:$A,增益!$W:$W,0))+$I$5</f>
        <v>0.11</v>
      </c>
    </row>
    <row r="32" spans="1:69">
      <c r="K32" s="41">
        <f t="shared" si="0"/>
        <v>258783.09146906</v>
      </c>
      <c r="L32" s="41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弹道",$B$21,0))*(1+$BQ32)</f>
        <v>262492.055649537</v>
      </c>
      <c r="M32" s="41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弹道",$B$21,0))*(1+$BQ32)</f>
        <v>227073.906236838</v>
      </c>
      <c r="N32" s="41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弹道",$B$21,0))*(1+$BQ32)</f>
        <v>119859.386141341</v>
      </c>
      <c r="O32" s="41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弹道",$B$21,0))*(1+$BQ32)</f>
        <v>71515.8787739137</v>
      </c>
      <c r="P32" s="42">
        <v>4</v>
      </c>
      <c r="Q32" s="43" t="s">
        <v>109</v>
      </c>
      <c r="R32" s="43" t="s">
        <v>93</v>
      </c>
      <c r="S32" s="43" t="s">
        <v>151</v>
      </c>
      <c r="T32" s="43" t="s">
        <v>102</v>
      </c>
      <c r="U32" s="43" t="s">
        <v>86</v>
      </c>
      <c r="V32" s="43" t="s">
        <v>98</v>
      </c>
      <c r="W32" s="43" t="s">
        <v>73</v>
      </c>
      <c r="X32" s="43" t="s">
        <v>73</v>
      </c>
      <c r="Y32" s="43" t="s">
        <v>112</v>
      </c>
      <c r="Z32" s="43" t="s">
        <v>113</v>
      </c>
      <c r="AA32" s="43" t="s">
        <v>73</v>
      </c>
      <c r="AB32" s="43" t="s">
        <v>73</v>
      </c>
      <c r="AC32" s="43" t="s">
        <v>73</v>
      </c>
      <c r="AD32" s="43" t="s">
        <v>73</v>
      </c>
      <c r="AE32" s="43" t="s">
        <v>73</v>
      </c>
      <c r="AF32" s="43" t="s">
        <v>75</v>
      </c>
      <c r="AG32" t="str">
        <f>VLOOKUP($Q32,武学奇术!$A:$ZZ,25,FALSE)</f>
        <v>伞</v>
      </c>
      <c r="AH32" s="27">
        <f>VLOOKUP($Q32,武学奇术!$A:$ZZ,26,FALSE)</f>
        <v>1.174955</v>
      </c>
      <c r="AI32" s="28">
        <f>VLOOKUP($Q32,武学奇术!$A:$ZZ,27,FALSE)*(1+IF(OR($AG32=$F$4,$AG32=$F$5),$B$22,0))</f>
        <v>454.02</v>
      </c>
      <c r="AJ32" s="27">
        <f>VLOOKUP($Q32,武学奇术!$A:$ZZ,28,FALSE)</f>
        <v>1.762375</v>
      </c>
      <c r="AK32" s="28">
        <f>VLOOKUP($Q32,武学奇术!$A:$ZZ,29,FALSE)*(1+IF(OR($AG32=$F$4,$AG32=$F$5),$B$22,0))</f>
        <v>247.94</v>
      </c>
      <c r="AL32" s="27" cm="1">
        <f t="array" ref="AL32">$G$3+IFERROR(VLOOKUP($AG32,$F$4:$G$7,2,FALSE),0)+VLOOKUP($Q32,武学奇术!$A:$ZZ,2,FALSE)+SUM(_xlfn.XLOOKUP($R32:$AF32,增益!$A:$A,增益!$B:$B,0))</f>
        <v>1.1241</v>
      </c>
      <c r="AM32" s="27" cm="1">
        <f t="array" ref="AM32">VLOOKUP($Q32,武学奇术!$A:$ZZ,5,FALSE)+SUM(_xlfn.XLOOKUP($R32:$AF32,增益!$A:$A,增益!$E:$E,0))</f>
        <v>0.075</v>
      </c>
      <c r="AN32" cm="1">
        <f t="array" ref="AN32">$D$10*(1+$AM32)+VLOOKUP($Q32,武学奇术!$A:$ZZ,3,FALSE)+SUM(_xlfn.XLOOKUP($R32:$AF32,增益!$A:$A,增益!$C:$C,0))-$I$2</f>
        <v>1888.7275</v>
      </c>
      <c r="AO32" cm="1">
        <f t="array" ref="AO32">$E$10*(1+$AM32)+VLOOKUP($Q32,武学奇术!$A:$ZZ,4,FALSE)+SUM(_xlfn.XLOOKUP($R32:$AF32,增益!$A:$A,增益!$D:$D,0))-$I$2</f>
        <v>5625.2125</v>
      </c>
      <c r="AP32" s="35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0.3925</v>
      </c>
      <c r="AQ32" s="35" cm="1">
        <f t="array" ref="AQ32">$G$10+VLOOKUP($Q32,武学奇术!$A:$ZZ,7,FALSE)+SUM(_xlfn.XLOOKUP(R32:AF32,增益!$A:$A,增益!$G:$G,0))</f>
        <v>0.1</v>
      </c>
      <c r="AR32" s="27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5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-0.3</v>
      </c>
      <c r="AV32" s="35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35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-0.3</v>
      </c>
      <c r="AZ32" s="35" cm="1">
        <f t="array" ref="AZ32">$G$12+VLOOKUP($Q32,武学奇术!$A:$ZZ,12,FALSE)+SUM(_xlfn.XLOOKUP(R32:AF32,增益!$A:$A,增益!$L:$L,0))</f>
        <v>0</v>
      </c>
      <c r="BA32">
        <f t="shared" si="5"/>
        <v>538</v>
      </c>
      <c r="BB32">
        <f t="shared" si="6"/>
        <v>1011</v>
      </c>
      <c r="BC32" s="35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0</v>
      </c>
      <c r="BD32" s="35" cm="1">
        <f t="array" ref="BD32">$G$13+VLOOKUP($Q32,武学奇术!$A:$ZZ,14,FALSE)+SUM(_xlfn.XLOOKUP(R32:AF32,增益!$A:$A,增益!$N:$N,0))</f>
        <v>0.25</v>
      </c>
      <c r="BE32">
        <f t="shared" si="7"/>
        <v>0</v>
      </c>
      <c r="BF32">
        <f t="shared" si="8"/>
        <v>0</v>
      </c>
      <c r="BG32" s="35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-0.3</v>
      </c>
      <c r="BH32" s="35" cm="1">
        <f t="array" ref="BH32">$G$14+VLOOKUP($Q32,武学奇术!$A:$ZZ,16,FALSE)+SUM(_xlfn.XLOOKUP(R32:AF32,增益!$A:$A,增益!$P:$P,0))</f>
        <v>0</v>
      </c>
      <c r="BI32" s="27">
        <f>MIN(IF(VLOOKUP($Q32,武学奇术!$A:$ZZ,23,FALSE)=1,100%,$B$8),100%)</f>
        <v>0.9969</v>
      </c>
      <c r="BJ32" s="27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0.9137</v>
      </c>
      <c r="BK32" s="27" cm="1">
        <f t="array" ref="BK32">1+$B$13+VLOOKUP($Q32,武学奇术!$A:$ZZ,18,FALSE)+SUM(_xlfn.XLOOKUP(R32:AF32,增益!$A:$A,增益!$R:$R,0))</f>
        <v>2.19</v>
      </c>
      <c r="BL32" s="27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0.0895</v>
      </c>
      <c r="BM32" s="27" cm="1">
        <f t="array" ref="BM32">1+$B$14+VLOOKUP($Q32,武学奇术!$A:$ZZ,20,FALSE)+SUM(_xlfn.XLOOKUP(R32:AF32,增益!$A:$A,增益!$T:$T,0))</f>
        <v>1.35</v>
      </c>
      <c r="BN32" s="27">
        <f t="shared" si="9"/>
        <v>0.90767745</v>
      </c>
      <c r="BO32" s="27">
        <f t="shared" si="10"/>
        <v>-1.30104260698261e-17</v>
      </c>
      <c r="BP32" s="27">
        <f>IF(VLOOKUP($Q32,武学奇术!$A:$ZZ,22,FALSE)=1,0,(1-$BI32))*(1-$BL32)</f>
        <v>0.00282254999999999</v>
      </c>
      <c r="BQ32" s="27" cm="1">
        <f t="array" ref="BQ32">SUM(_xlfn.XLOOKUP(R32:AF32,增益!$A:$A,增益!$W:$W,0))+$I$5</f>
        <v>0.11</v>
      </c>
    </row>
    <row r="33" spans="3:69">
      <c r="K33" s="41">
        <f t="shared" si="0"/>
        <v>324838.785110967</v>
      </c>
      <c r="L33" s="41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弹道",$B$21,0))*(1+$BQ33)</f>
        <v>329613.311888688</v>
      </c>
      <c r="M33" s="41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弹道",$B$21,0))*(1+$BQ33)</f>
        <v>283842.382796047</v>
      </c>
      <c r="N33" s="41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弹道",$B$21,0))*(1+$BQ33)</f>
        <v>149824.232676677</v>
      </c>
      <c r="O33" s="41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弹道",$B$21,0))*(1+$BQ33)</f>
        <v>89394.8484673921</v>
      </c>
      <c r="P33" s="42">
        <v>5</v>
      </c>
      <c r="Q33" s="43" t="s">
        <v>109</v>
      </c>
      <c r="R33" s="43" t="s">
        <v>93</v>
      </c>
      <c r="S33" s="43" t="s">
        <v>154</v>
      </c>
      <c r="T33" s="43" t="s">
        <v>102</v>
      </c>
      <c r="U33" s="43" t="s">
        <v>86</v>
      </c>
      <c r="V33" s="43" t="s">
        <v>98</v>
      </c>
      <c r="W33" s="43" t="s">
        <v>73</v>
      </c>
      <c r="X33" s="43" t="s">
        <v>73</v>
      </c>
      <c r="Y33" s="43" t="s">
        <v>112</v>
      </c>
      <c r="Z33" s="43" t="s">
        <v>113</v>
      </c>
      <c r="AA33" s="43" t="s">
        <v>73</v>
      </c>
      <c r="AB33" s="43" t="s">
        <v>73</v>
      </c>
      <c r="AC33" s="43" t="s">
        <v>73</v>
      </c>
      <c r="AD33" s="43" t="s">
        <v>73</v>
      </c>
      <c r="AE33" s="43" t="s">
        <v>73</v>
      </c>
      <c r="AF33" s="43" t="s">
        <v>75</v>
      </c>
      <c r="AG33" t="str">
        <f>VLOOKUP($Q33,武学奇术!$A:$ZZ,25,FALSE)</f>
        <v>伞</v>
      </c>
      <c r="AH33" s="27">
        <f>VLOOKUP($Q33,武学奇术!$A:$ZZ,26,FALSE)</f>
        <v>1.174955</v>
      </c>
      <c r="AI33" s="28">
        <f>VLOOKUP($Q33,武学奇术!$A:$ZZ,27,FALSE)*(1+IF(OR($AG33=$F$4,$AG33=$F$5),$B$22,0))</f>
        <v>454.02</v>
      </c>
      <c r="AJ33" s="27">
        <f>VLOOKUP($Q33,武学奇术!$A:$ZZ,28,FALSE)</f>
        <v>1.762375</v>
      </c>
      <c r="AK33" s="28">
        <f>VLOOKUP($Q33,武学奇术!$A:$ZZ,29,FALSE)*(1+IF(OR($AG33=$F$4,$AG33=$F$5),$B$22,0))</f>
        <v>247.94</v>
      </c>
      <c r="AL33" s="27" cm="1">
        <f t="array" ref="AL33">$G$3+IFERROR(VLOOKUP($AG33,$F$4:$G$7,2,FALSE),0)+VLOOKUP($Q33,武学奇术!$A:$ZZ,2,FALSE)+SUM(_xlfn.XLOOKUP($R33:$AF33,增益!$A:$A,增益!$B:$B,0))</f>
        <v>1.1241</v>
      </c>
      <c r="AM33" s="27" cm="1">
        <f t="array" ref="AM33">VLOOKUP($Q33,武学奇术!$A:$ZZ,5,FALSE)+SUM(_xlfn.XLOOKUP($R33:$AF33,增益!$A:$A,增益!$E:$E,0))</f>
        <v>0.075</v>
      </c>
      <c r="AN33" cm="1">
        <f t="array" ref="AN33">$D$10*(1+$AM33)+VLOOKUP($Q33,武学奇术!$A:$ZZ,3,FALSE)+SUM(_xlfn.XLOOKUP($R33:$AF33,增益!$A:$A,增益!$C:$C,0))-$I$2</f>
        <v>1888.7275</v>
      </c>
      <c r="AO33" cm="1">
        <f t="array" ref="AO33">$E$10*(1+$AM33)+VLOOKUP($Q33,武学奇术!$A:$ZZ,4,FALSE)+SUM(_xlfn.XLOOKUP($R33:$AF33,增益!$A:$A,增益!$D:$D,0))-$I$2</f>
        <v>5625.2125</v>
      </c>
      <c r="AP33" s="35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0.3925</v>
      </c>
      <c r="AQ33" s="35" cm="1">
        <f t="array" ref="AQ33">$G$10+VLOOKUP($Q33,武学奇术!$A:$ZZ,7,FALSE)+SUM(_xlfn.XLOOKUP(R33:AF33,增益!$A:$A,增益!$G:$G,0))</f>
        <v>0.1</v>
      </c>
      <c r="AR33" s="27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5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-0.3</v>
      </c>
      <c r="AV33" s="35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35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-0.3</v>
      </c>
      <c r="AZ33" s="35" cm="1">
        <f t="array" ref="AZ33">$G$12+VLOOKUP($Q33,武学奇术!$A:$ZZ,12,FALSE)+SUM(_xlfn.XLOOKUP(R33:AF33,增益!$A:$A,增益!$L:$L,0))</f>
        <v>0</v>
      </c>
      <c r="BA33">
        <f t="shared" si="5"/>
        <v>538</v>
      </c>
      <c r="BB33">
        <f t="shared" si="6"/>
        <v>1011</v>
      </c>
      <c r="BC33" s="35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0</v>
      </c>
      <c r="BD33" s="35" cm="1">
        <f t="array" ref="BD33">$G$13+VLOOKUP($Q33,武学奇术!$A:$ZZ,14,FALSE)+SUM(_xlfn.XLOOKUP(R33:AF33,增益!$A:$A,增益!$N:$N,0))</f>
        <v>0.25</v>
      </c>
      <c r="BE33">
        <f t="shared" si="7"/>
        <v>0</v>
      </c>
      <c r="BF33">
        <f t="shared" si="8"/>
        <v>0</v>
      </c>
      <c r="BG33" s="35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-0.3</v>
      </c>
      <c r="BH33" s="35" cm="1">
        <f t="array" ref="BH33">$G$14+VLOOKUP($Q33,武学奇术!$A:$ZZ,16,FALSE)+SUM(_xlfn.XLOOKUP(R33:AF33,增益!$A:$A,增益!$P:$P,0))</f>
        <v>0</v>
      </c>
      <c r="BI33" s="27">
        <f>MIN(IF(VLOOKUP($Q33,武学奇术!$A:$ZZ,23,FALSE)=1,100%,$B$8),100%)</f>
        <v>0.9969</v>
      </c>
      <c r="BJ33" s="27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0.9137</v>
      </c>
      <c r="BK33" s="27" cm="1">
        <f t="array" ref="BK33">1+$B$13+VLOOKUP($Q33,武学奇术!$A:$ZZ,18,FALSE)+SUM(_xlfn.XLOOKUP(R33:AF33,增益!$A:$A,增益!$R:$R,0))</f>
        <v>2.2</v>
      </c>
      <c r="BL33" s="27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0.0895</v>
      </c>
      <c r="BM33" s="27" cm="1">
        <f t="array" ref="BM33">1+$B$14+VLOOKUP($Q33,武学奇术!$A:$ZZ,20,FALSE)+SUM(_xlfn.XLOOKUP(R33:AF33,增益!$A:$A,增益!$T:$T,0))</f>
        <v>1.35</v>
      </c>
      <c r="BN33" s="27">
        <f t="shared" si="9"/>
        <v>0.90767745</v>
      </c>
      <c r="BO33" s="27">
        <f t="shared" si="10"/>
        <v>-1.30104260698261e-17</v>
      </c>
      <c r="BP33" s="27">
        <f>IF(VLOOKUP($Q33,武学奇术!$A:$ZZ,22,FALSE)=1,0,(1-$BI33))*(1-$BL33)</f>
        <v>0.00282254999999999</v>
      </c>
      <c r="BQ33" s="27" cm="1">
        <f t="array" ref="BQ33">SUM(_xlfn.XLOOKUP(R33:AF33,增益!$A:$A,增益!$W:$W,0))+$I$5</f>
        <v>0.11</v>
      </c>
    </row>
    <row r="34" spans="3:69">
      <c r="K34" s="41">
        <f t="shared" si="0"/>
        <v>26637.841364571</v>
      </c>
      <c r="L34" s="41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弹道",$B$21,0))*(1+$BQ34)</f>
        <v>26606.6995148192</v>
      </c>
      <c r="M34" s="41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弹道",$B$21,0))*(1+$BQ34)</f>
        <v>27519.5798511523</v>
      </c>
      <c r="N34" s="41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弹道",$B$21,0))*(1+$BQ34)</f>
        <v>14539.1800627427</v>
      </c>
      <c r="O34" s="41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弹道",$B$21,0))*(1+$BQ34)</f>
        <v>8693.4861616689</v>
      </c>
      <c r="P34" s="42">
        <v>1</v>
      </c>
      <c r="Q34" s="43" t="s">
        <v>127</v>
      </c>
      <c r="R34" s="43" t="s">
        <v>93</v>
      </c>
      <c r="S34" s="43" t="s">
        <v>151</v>
      </c>
      <c r="T34" s="43" t="s">
        <v>73</v>
      </c>
      <c r="U34" s="43" t="s">
        <v>86</v>
      </c>
      <c r="V34" s="43" t="s">
        <v>73</v>
      </c>
      <c r="W34" s="43" t="s">
        <v>73</v>
      </c>
      <c r="X34" s="43" t="s">
        <v>73</v>
      </c>
      <c r="Y34" s="43" t="s">
        <v>112</v>
      </c>
      <c r="Z34" s="43" t="s">
        <v>113</v>
      </c>
      <c r="AA34" s="43" t="s">
        <v>73</v>
      </c>
      <c r="AB34" s="43" t="s">
        <v>73</v>
      </c>
      <c r="AC34" s="43" t="s">
        <v>73</v>
      </c>
      <c r="AD34" s="43" t="s">
        <v>73</v>
      </c>
      <c r="AE34" s="43" t="s">
        <v>73</v>
      </c>
      <c r="AF34" s="43" t="s">
        <v>75</v>
      </c>
      <c r="AG34" t="str">
        <f>VLOOKUP($Q34,武学奇术!$A:$ZZ,25,FALSE)</f>
        <v>扇</v>
      </c>
      <c r="AH34" s="27">
        <f>VLOOKUP($Q34,武学奇术!$A:$ZZ,26,FALSE)</f>
        <v>1.2798</v>
      </c>
      <c r="AI34" s="28">
        <f>VLOOKUP($Q34,武学奇术!$A:$ZZ,27,FALSE)*(1+IF(OR($AG34=$F$4,$AG34=$F$5),$B$22,0))</f>
        <v>497</v>
      </c>
      <c r="AJ34" s="27">
        <f>VLOOKUP($Q34,武学奇术!$A:$ZZ,28,FALSE)</f>
        <v>1.9197</v>
      </c>
      <c r="AK34" s="28">
        <f>VLOOKUP($Q34,武学奇术!$A:$ZZ,29,FALSE)*(1+IF(OR($AG34=$F$4,$AG34=$F$5),$B$22,0))</f>
        <v>270.2</v>
      </c>
      <c r="AL34" s="27" cm="1">
        <f t="array" ref="AL34">$G$3+IFERROR(VLOOKUP($AG34,$F$4:$G$7,2,FALSE),0)+VLOOKUP($Q34,武学奇术!$A:$ZZ,2,FALSE)+SUM(_xlfn.XLOOKUP($R34:$AF34,增益!$A:$A,增益!$B:$B,0))</f>
        <v>0.3889</v>
      </c>
      <c r="AM34" s="27" cm="1">
        <f t="array" ref="AM34">VLOOKUP($Q34,武学奇术!$A:$ZZ,5,FALSE)+SUM(_xlfn.XLOOKUP($R34:$AF34,增益!$A:$A,增益!$E:$E,0))</f>
        <v>0.075</v>
      </c>
      <c r="AN34" cm="1">
        <f t="array" ref="AN34">$D$10*(1+$AM34)+VLOOKUP($Q34,武学奇术!$A:$ZZ,3,FALSE)+SUM(_xlfn.XLOOKUP($R34:$AF34,增益!$A:$A,增益!$C:$C,0))-$I$2</f>
        <v>1888.7275</v>
      </c>
      <c r="AO34" cm="1">
        <f t="array" ref="AO34">$E$10*(1+$AM34)+VLOOKUP($Q34,武学奇术!$A:$ZZ,4,FALSE)+SUM(_xlfn.XLOOKUP($R34:$AF34,增益!$A:$A,增益!$D:$D,0))-$I$2</f>
        <v>5625.2125</v>
      </c>
      <c r="AP34" s="35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0.3675</v>
      </c>
      <c r="AQ34" s="35" cm="1">
        <f t="array" ref="AQ34">$G$10+VLOOKUP($Q34,武学奇术!$A:$ZZ,7,FALSE)+SUM(_xlfn.XLOOKUP(R34:AF34,增益!$A:$A,增益!$G:$G,0))</f>
        <v>0</v>
      </c>
      <c r="AR34" s="27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5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-0.3</v>
      </c>
      <c r="AV34" s="35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35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-0.3</v>
      </c>
      <c r="AZ34" s="35" cm="1">
        <f t="array" ref="AZ34">$G$12+VLOOKUP($Q34,武学奇术!$A:$ZZ,12,FALSE)+SUM(_xlfn.XLOOKUP(R34:AF34,增益!$A:$A,增益!$L:$L,0))</f>
        <v>0</v>
      </c>
      <c r="BA34">
        <f t="shared" si="5"/>
        <v>538</v>
      </c>
      <c r="BB34">
        <f t="shared" si="6"/>
        <v>1011</v>
      </c>
      <c r="BC34" s="35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0</v>
      </c>
      <c r="BD34" s="35" cm="1">
        <f t="array" ref="BD34">$G$13+VLOOKUP($Q34,武学奇术!$A:$ZZ,14,FALSE)+SUM(_xlfn.XLOOKUP(R34:AF34,增益!$A:$A,增益!$N:$N,0))</f>
        <v>0.15</v>
      </c>
      <c r="BE34">
        <f t="shared" si="7"/>
        <v>0</v>
      </c>
      <c r="BF34">
        <f t="shared" si="8"/>
        <v>0</v>
      </c>
      <c r="BG34" s="35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-0.3</v>
      </c>
      <c r="BH34" s="35" cm="1">
        <f t="array" ref="BH34">$G$14+VLOOKUP($Q34,武学奇术!$A:$ZZ,16,FALSE)+SUM(_xlfn.XLOOKUP(R34:AF34,增益!$A:$A,增益!$P:$P,0))</f>
        <v>0</v>
      </c>
      <c r="BI34" s="27">
        <f>MIN(IF(VLOOKUP($Q34,武学奇术!$A:$ZZ,23,FALSE)=1,100%,$B$8),100%)</f>
        <v>0.9969</v>
      </c>
      <c r="BJ34" s="27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0.9137</v>
      </c>
      <c r="BK34" s="27" cm="1">
        <f t="array" ref="BK34">1+$B$13+VLOOKUP($Q34,武学奇术!$A:$ZZ,18,FALSE)+SUM(_xlfn.XLOOKUP(R34:AF34,增益!$A:$A,增益!$R:$R,0))</f>
        <v>1.83</v>
      </c>
      <c r="BL34" s="27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0.0895</v>
      </c>
      <c r="BM34" s="27" cm="1">
        <f t="array" ref="BM34">1+$B$14+VLOOKUP($Q34,武学奇术!$A:$ZZ,20,FALSE)+SUM(_xlfn.XLOOKUP(R34:AF34,增益!$A:$A,增益!$T:$T,0))</f>
        <v>1.35</v>
      </c>
      <c r="BN34" s="27">
        <f t="shared" si="9"/>
        <v>0.90767745</v>
      </c>
      <c r="BO34" s="27">
        <f t="shared" si="10"/>
        <v>-1.30104260698261e-17</v>
      </c>
      <c r="BP34" s="27">
        <f>IF(VLOOKUP($Q34,武学奇术!$A:$ZZ,22,FALSE)=1,0,(1-$BI34))*(1-$BL34)</f>
        <v>0.00282254999999999</v>
      </c>
      <c r="BQ34" s="27" cm="1">
        <f t="array" ref="BQ34">SUM(_xlfn.XLOOKUP(R34:AF34,增益!$A:$A,增益!$W:$W,0))+$I$5</f>
        <v>0.11</v>
      </c>
    </row>
    <row r="35" spans="3:69">
      <c r="K35" s="41">
        <f t="shared" si="0"/>
        <v>126744.221299863</v>
      </c>
      <c r="L35" s="41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弹道",$B$21,0))*(1+$BQ35)</f>
        <v>128612.286275179</v>
      </c>
      <c r="M35" s="41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弹道",$B$21,0))*(1+$BQ35)</f>
        <v>110694.681046023</v>
      </c>
      <c r="N35" s="41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弹道",$B$21,0))*(1+$BQ35)</f>
        <v>58460.1301250813</v>
      </c>
      <c r="O35" s="41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弹道",$B$21,0))*(1+$BQ35)</f>
        <v>34924.2002160714</v>
      </c>
      <c r="P35" s="42">
        <v>1</v>
      </c>
      <c r="Q35" s="43" t="s">
        <v>133</v>
      </c>
      <c r="R35" s="43" t="s">
        <v>93</v>
      </c>
      <c r="S35" s="43" t="s">
        <v>154</v>
      </c>
      <c r="T35" s="43" t="s">
        <v>73</v>
      </c>
      <c r="U35" s="43" t="s">
        <v>86</v>
      </c>
      <c r="V35" s="43" t="s">
        <v>134</v>
      </c>
      <c r="W35" s="43" t="s">
        <v>73</v>
      </c>
      <c r="X35" s="43" t="s">
        <v>73</v>
      </c>
      <c r="Y35" s="43" t="s">
        <v>112</v>
      </c>
      <c r="Z35" s="43" t="s">
        <v>113</v>
      </c>
      <c r="AA35" s="43" t="s">
        <v>73</v>
      </c>
      <c r="AB35" s="43" t="s">
        <v>73</v>
      </c>
      <c r="AC35" s="43" t="s">
        <v>73</v>
      </c>
      <c r="AD35" s="43" t="s">
        <v>73</v>
      </c>
      <c r="AE35" s="43" t="s">
        <v>73</v>
      </c>
      <c r="AF35" s="43" t="s">
        <v>75</v>
      </c>
      <c r="AG35" t="str">
        <f>VLOOKUP($Q35,武学奇术!$A:$ZZ,25,FALSE)</f>
        <v>扇</v>
      </c>
      <c r="AH35" s="27">
        <f>VLOOKUP($Q35,武学奇术!$A:$ZZ,26,FALSE)</f>
        <v>4.376825</v>
      </c>
      <c r="AI35" s="28">
        <f>VLOOKUP($Q35,武学奇术!$A:$ZZ,27,FALSE)*(1+IF(OR($AG35=$F$4,$AG35=$F$5),$B$22,0))</f>
        <v>1695.05</v>
      </c>
      <c r="AJ35" s="27">
        <f>VLOOKUP($Q35,武学奇术!$A:$ZZ,28,FALSE)</f>
        <v>6.56531</v>
      </c>
      <c r="AK35" s="28">
        <f>VLOOKUP($Q35,武学奇术!$A:$ZZ,29,FALSE)*(1+IF(OR($AG35=$F$4,$AG35=$F$5),$B$22,0))</f>
        <v>923.65</v>
      </c>
      <c r="AL35" s="27" cm="1">
        <f t="array" ref="AL35">$G$3+IFERROR(VLOOKUP($AG35,$F$4:$G$7,2,FALSE),0)+VLOOKUP($Q35,武学奇术!$A:$ZZ,2,FALSE)+SUM(_xlfn.XLOOKUP($R35:$AF35,增益!$A:$A,增益!$B:$B,0))</f>
        <v>0.4889</v>
      </c>
      <c r="AM35" s="27" cm="1">
        <f t="array" ref="AM35">VLOOKUP($Q35,武学奇术!$A:$ZZ,5,FALSE)+SUM(_xlfn.XLOOKUP($R35:$AF35,增益!$A:$A,增益!$E:$E,0))</f>
        <v>0.075</v>
      </c>
      <c r="AN35" cm="1">
        <f t="array" ref="AN35">$D$10*(1+$AM35)+VLOOKUP($Q35,武学奇术!$A:$ZZ,3,FALSE)+SUM(_xlfn.XLOOKUP($R35:$AF35,增益!$A:$A,增益!$C:$C,0))-$I$2</f>
        <v>1888.7275</v>
      </c>
      <c r="AO35" cm="1">
        <f t="array" ref="AO35">$E$10*(1+$AM35)+VLOOKUP($Q35,武学奇术!$A:$ZZ,4,FALSE)+SUM(_xlfn.XLOOKUP($R35:$AF35,增益!$A:$A,增益!$D:$D,0))-$I$2</f>
        <v>5625.2125</v>
      </c>
      <c r="AP35" s="35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0.3675</v>
      </c>
      <c r="AQ35" s="35" cm="1">
        <f t="array" ref="AQ35">$G$10+VLOOKUP($Q35,武学奇术!$A:$ZZ,7,FALSE)+SUM(_xlfn.XLOOKUP(R35:AF35,增益!$A:$A,增益!$G:$G,0))</f>
        <v>0.1</v>
      </c>
      <c r="AR35" s="27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5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-0.3</v>
      </c>
      <c r="AV35" s="35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35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-0.3</v>
      </c>
      <c r="AZ35" s="35" cm="1">
        <f t="array" ref="AZ35">$G$12+VLOOKUP($Q35,武学奇术!$A:$ZZ,12,FALSE)+SUM(_xlfn.XLOOKUP(R35:AF35,增益!$A:$A,增益!$L:$L,0))</f>
        <v>0</v>
      </c>
      <c r="BA35">
        <f t="shared" si="5"/>
        <v>538</v>
      </c>
      <c r="BB35">
        <f t="shared" si="6"/>
        <v>1011</v>
      </c>
      <c r="BC35" s="35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0</v>
      </c>
      <c r="BD35" s="35" cm="1">
        <f t="array" ref="BD35">$G$13+VLOOKUP($Q35,武学奇术!$A:$ZZ,14,FALSE)+SUM(_xlfn.XLOOKUP(R35:AF35,增益!$A:$A,增益!$N:$N,0))</f>
        <v>0.25</v>
      </c>
      <c r="BE35">
        <f t="shared" si="7"/>
        <v>0</v>
      </c>
      <c r="BF35">
        <f t="shared" si="8"/>
        <v>0</v>
      </c>
      <c r="BG35" s="35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-0.3</v>
      </c>
      <c r="BH35" s="35" cm="1">
        <f t="array" ref="BH35">$G$14+VLOOKUP($Q35,武学奇术!$A:$ZZ,16,FALSE)+SUM(_xlfn.XLOOKUP(R35:AF35,增益!$A:$A,增益!$P:$P,0))</f>
        <v>0</v>
      </c>
      <c r="BI35" s="27">
        <f>MIN(IF(VLOOKUP($Q35,武学奇术!$A:$ZZ,23,FALSE)=1,100%,$B$8),100%)</f>
        <v>0.9969</v>
      </c>
      <c r="BJ35" s="27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0.9137</v>
      </c>
      <c r="BK35" s="27" cm="1">
        <f t="array" ref="BK35">1+$B$13+VLOOKUP($Q35,武学奇术!$A:$ZZ,18,FALSE)+SUM(_xlfn.XLOOKUP(R35:AF35,增益!$A:$A,增益!$R:$R,0))</f>
        <v>2.2</v>
      </c>
      <c r="BL35" s="27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0.0895</v>
      </c>
      <c r="BM35" s="27" cm="1">
        <f t="array" ref="BM35">1+$B$14+VLOOKUP($Q35,武学奇术!$A:$ZZ,20,FALSE)+SUM(_xlfn.XLOOKUP(R35:AF35,增益!$A:$A,增益!$T:$T,0))</f>
        <v>1.35</v>
      </c>
      <c r="BN35" s="27">
        <f t="shared" si="9"/>
        <v>0.90767745</v>
      </c>
      <c r="BO35" s="27">
        <f t="shared" si="10"/>
        <v>-1.30104260698261e-17</v>
      </c>
      <c r="BP35" s="27">
        <f>IF(VLOOKUP($Q35,武学奇术!$A:$ZZ,22,FALSE)=1,0,(1-$BI35))*(1-$BL35)</f>
        <v>0.00282254999999999</v>
      </c>
      <c r="BQ35" s="27" cm="1">
        <f t="array" ref="BQ35">SUM(_xlfn.XLOOKUP(R35:AF35,增益!$A:$A,增益!$W:$W,0))+$I$5</f>
        <v>0.11</v>
      </c>
    </row>
    <row r="36" spans="3:69">
      <c r="K36" s="41">
        <f t="shared" si="0"/>
        <v>32162.2617059936</v>
      </c>
      <c r="L36" s="41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弹道",$B$21,0))*(1+$BQ36)</f>
        <v>31702.9946326055</v>
      </c>
      <c r="M36" s="41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弹道",$B$21,0))*(1+$BQ36)</f>
        <v>37459.5973729968</v>
      </c>
      <c r="N36" s="41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弹道",$B$21,0))*(1+$BQ36)</f>
        <v>19814.3716453784</v>
      </c>
      <c r="O36" s="41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弹道",$B$21,0))*(1+$BQ36)</f>
        <v>11880.8933848333</v>
      </c>
      <c r="P36" s="42">
        <v>1</v>
      </c>
      <c r="Q36" s="43" t="s">
        <v>104</v>
      </c>
      <c r="R36" s="43" t="s">
        <v>93</v>
      </c>
      <c r="S36" s="43" t="s">
        <v>158</v>
      </c>
      <c r="T36" s="43" t="s">
        <v>73</v>
      </c>
      <c r="U36" s="43" t="s">
        <v>159</v>
      </c>
      <c r="V36" s="43" t="s">
        <v>73</v>
      </c>
      <c r="W36" s="43" t="s">
        <v>73</v>
      </c>
      <c r="X36" s="43" t="s">
        <v>73</v>
      </c>
      <c r="Y36" s="43" t="s">
        <v>73</v>
      </c>
      <c r="Z36" s="43" t="s">
        <v>73</v>
      </c>
      <c r="AA36" s="43" t="s">
        <v>73</v>
      </c>
      <c r="AB36" s="43" t="s">
        <v>73</v>
      </c>
      <c r="AC36" s="43" t="s">
        <v>73</v>
      </c>
      <c r="AD36" s="43" t="s">
        <v>73</v>
      </c>
      <c r="AE36" s="43" t="s">
        <v>73</v>
      </c>
      <c r="AF36" s="43" t="s">
        <v>75</v>
      </c>
      <c r="AG36" t="str">
        <f>VLOOKUP($Q36,武学奇术!$A:$ZZ,25,FALSE)</f>
        <v>伞</v>
      </c>
      <c r="AH36" s="27">
        <f>VLOOKUP($Q36,武学奇术!$A:$ZZ,26,FALSE)</f>
        <v>1.7001</v>
      </c>
      <c r="AI36" s="28">
        <f>VLOOKUP($Q36,武学奇术!$A:$ZZ,27,FALSE)*(1+IF(OR($AG36=$F$4,$AG36=$F$5),$B$22,0))</f>
        <v>659.4</v>
      </c>
      <c r="AJ36" s="27">
        <f>VLOOKUP($Q36,武学奇术!$A:$ZZ,28,FALSE)</f>
        <v>2.5502</v>
      </c>
      <c r="AK36" s="28">
        <f>VLOOKUP($Q36,武学奇术!$A:$ZZ,29,FALSE)*(1+IF(OR($AG36=$F$4,$AG36=$F$5),$B$22,0))</f>
        <v>358.4</v>
      </c>
      <c r="AL36" s="27" cm="1">
        <f t="array" ref="AL36">$G$3+IFERROR(VLOOKUP($AG36,$F$4:$G$7,2,FALSE),0)+VLOOKUP($Q36,武学奇术!$A:$ZZ,2,FALSE)+SUM(_xlfn.XLOOKUP($R36:$AF36,增益!$A:$A,增益!$B:$B,0))</f>
        <v>0.3241</v>
      </c>
      <c r="AM36" s="27" cm="1">
        <f t="array" ref="AM36">VLOOKUP($Q36,武学奇术!$A:$ZZ,5,FALSE)+SUM(_xlfn.XLOOKUP($R36:$AF36,增益!$A:$A,增益!$E:$E,0))</f>
        <v>0.15</v>
      </c>
      <c r="AN36" cm="1">
        <f t="array" ref="AN36">$D$10*(1+$AM36)+VLOOKUP($Q36,武学奇术!$A:$ZZ,3,FALSE)+SUM(_xlfn.XLOOKUP($R36:$AF36,增益!$A:$A,增益!$C:$C,0))-$I$2</f>
        <v>2063.755</v>
      </c>
      <c r="AO36" cm="1">
        <f t="array" ref="AO36">$E$10*(1+$AM36)+VLOOKUP($Q36,武学奇术!$A:$ZZ,4,FALSE)+SUM(_xlfn.XLOOKUP($R36:$AF36,增益!$A:$A,增益!$D:$D,0))-$I$2</f>
        <v>6060.925</v>
      </c>
      <c r="AP36" s="35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0.2425</v>
      </c>
      <c r="AQ36" s="35" cm="1">
        <f t="array" ref="AQ36">$G$10+VLOOKUP($Q36,武学奇术!$A:$ZZ,7,FALSE)+SUM(_xlfn.XLOOKUP(R36:AF36,增益!$A:$A,增益!$G:$G,0))</f>
        <v>0.1</v>
      </c>
      <c r="AR36" s="27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5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-0.3</v>
      </c>
      <c r="AV36" s="35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35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-0.3</v>
      </c>
      <c r="AZ36" s="35" cm="1">
        <f t="array" ref="AZ36">$G$12+VLOOKUP($Q36,武学奇术!$A:$ZZ,12,FALSE)+SUM(_xlfn.XLOOKUP(R36:AF36,增益!$A:$A,增益!$L:$L,0))</f>
        <v>0</v>
      </c>
      <c r="BA36">
        <f t="shared" si="5"/>
        <v>538</v>
      </c>
      <c r="BB36">
        <f t="shared" si="6"/>
        <v>1011</v>
      </c>
      <c r="BC36" s="35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0</v>
      </c>
      <c r="BD36" s="35" cm="1">
        <f t="array" ref="BD36">$G$13+VLOOKUP($Q36,武学奇术!$A:$ZZ,14,FALSE)+SUM(_xlfn.XLOOKUP(R36:AF36,增益!$A:$A,增益!$N:$N,0))</f>
        <v>0.25</v>
      </c>
      <c r="BE36">
        <f t="shared" si="7"/>
        <v>0</v>
      </c>
      <c r="BF36">
        <f t="shared" si="8"/>
        <v>0</v>
      </c>
      <c r="BG36" s="35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-0.3</v>
      </c>
      <c r="BH36" s="35" cm="1">
        <f t="array" ref="BH36">$G$14+VLOOKUP($Q36,武学奇术!$A:$ZZ,16,FALSE)+SUM(_xlfn.XLOOKUP(R36:AF36,增益!$A:$A,增益!$P:$P,0))</f>
        <v>0</v>
      </c>
      <c r="BI36" s="27">
        <f>MIN(IF(VLOOKUP($Q36,武学奇术!$A:$ZZ,23,FALSE)=1,100%,$B$8),100%)</f>
        <v>0.9969</v>
      </c>
      <c r="BJ36" s="27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0.9137</v>
      </c>
      <c r="BK36" s="27" cm="1">
        <f t="array" ref="BK36">1+$B$13+VLOOKUP($Q36,武学奇术!$A:$ZZ,18,FALSE)+SUM(_xlfn.XLOOKUP(R36:AF36,增益!$A:$A,增益!$R:$R,0))</f>
        <v>1.6</v>
      </c>
      <c r="BL36" s="27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0.0895</v>
      </c>
      <c r="BM36" s="27" cm="1">
        <f t="array" ref="BM36">1+$B$14+VLOOKUP($Q36,武学奇术!$A:$ZZ,20,FALSE)+SUM(_xlfn.XLOOKUP(R36:AF36,增益!$A:$A,增益!$T:$T,0))</f>
        <v>1.35</v>
      </c>
      <c r="BN36" s="27">
        <f t="shared" si="9"/>
        <v>0.90767745</v>
      </c>
      <c r="BO36" s="27">
        <f t="shared" si="10"/>
        <v>-1.30104260698261e-17</v>
      </c>
      <c r="BP36" s="27">
        <f>IF(VLOOKUP($Q36,武学奇术!$A:$ZZ,22,FALSE)=1,0,(1-$BI36))*(1-$BL36)</f>
        <v>0.00282254999999999</v>
      </c>
      <c r="BQ36" s="27" cm="1">
        <f t="array" ref="BQ36">SUM(_xlfn.XLOOKUP(R36:AF36,增益!$A:$A,增益!$W:$W,0))+$I$5</f>
        <v>0.11</v>
      </c>
    </row>
    <row r="37" spans="3:69">
      <c r="K37" s="41">
        <f t="shared" si="0"/>
        <v>13476.7300540844</v>
      </c>
      <c r="L37" s="41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弹道",$B$21,0))*(1+$BQ37)</f>
        <v>13284.0534719297</v>
      </c>
      <c r="M37" s="41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弹道",$B$21,0))*(1+$BQ37)</f>
        <v>15698.8657114694</v>
      </c>
      <c r="N37" s="41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弹道",$B$21,0))*(1+$BQ37)</f>
        <v>8302.53341995605</v>
      </c>
      <c r="O37" s="41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弹道",$B$21,0))*(1+$BQ37)</f>
        <v>4976.27742400888</v>
      </c>
      <c r="P37" s="42">
        <v>1</v>
      </c>
      <c r="Q37" s="43" t="s">
        <v>107</v>
      </c>
      <c r="R37" s="43" t="s">
        <v>93</v>
      </c>
      <c r="S37" s="43" t="s">
        <v>158</v>
      </c>
      <c r="T37" s="43" t="s">
        <v>73</v>
      </c>
      <c r="U37" s="43" t="s">
        <v>159</v>
      </c>
      <c r="V37" s="43" t="s">
        <v>73</v>
      </c>
      <c r="W37" s="43" t="s">
        <v>73</v>
      </c>
      <c r="X37" s="43" t="s">
        <v>73</v>
      </c>
      <c r="Y37" s="43" t="s">
        <v>73</v>
      </c>
      <c r="Z37" s="43" t="s">
        <v>73</v>
      </c>
      <c r="AA37" s="43" t="s">
        <v>73</v>
      </c>
      <c r="AB37" s="43" t="s">
        <v>73</v>
      </c>
      <c r="AC37" s="43" t="s">
        <v>73</v>
      </c>
      <c r="AD37" s="43" t="s">
        <v>73</v>
      </c>
      <c r="AE37" s="43" t="s">
        <v>73</v>
      </c>
      <c r="AF37" s="43" t="s">
        <v>75</v>
      </c>
      <c r="AG37" t="str">
        <f>VLOOKUP($Q37,武学奇术!$A:$ZZ,25,FALSE)</f>
        <v>伞</v>
      </c>
      <c r="AH37" s="27">
        <f>VLOOKUP($Q37,武学奇术!$A:$ZZ,26,FALSE)</f>
        <v>0.54</v>
      </c>
      <c r="AI37" s="28">
        <f>VLOOKUP($Q37,武学奇术!$A:$ZZ,27,FALSE)*(1+IF(OR($AG37=$F$4,$AG37=$F$5),$B$22,0))</f>
        <v>207.2</v>
      </c>
      <c r="AJ37" s="27">
        <f>VLOOKUP($Q37,武学奇术!$A:$ZZ,28,FALSE)</f>
        <v>0.81</v>
      </c>
      <c r="AK37" s="28">
        <f>VLOOKUP($Q37,武学奇术!$A:$ZZ,29,FALSE)*(1+IF(OR($AG37=$F$4,$AG37=$F$5),$B$22,0))</f>
        <v>114.1</v>
      </c>
      <c r="AL37" s="27" cm="1">
        <f t="array" ref="AL37">$G$3+IFERROR(VLOOKUP($AG37,$F$4:$G$7,2,FALSE),0)+VLOOKUP($Q37,武学奇术!$A:$ZZ,2,FALSE)+SUM(_xlfn.XLOOKUP($R37:$AF37,增益!$A:$A,增益!$B:$B,0))</f>
        <v>0.3241</v>
      </c>
      <c r="AM37" s="27" cm="1">
        <f t="array" ref="AM37">VLOOKUP($Q37,武学奇术!$A:$ZZ,5,FALSE)+SUM(_xlfn.XLOOKUP($R37:$AF37,增益!$A:$A,增益!$E:$E,0))</f>
        <v>0.15</v>
      </c>
      <c r="AN37" cm="1">
        <f t="array" ref="AN37">$D$10*(1+$AM37)+VLOOKUP($Q37,武学奇术!$A:$ZZ,3,FALSE)+SUM(_xlfn.XLOOKUP($R37:$AF37,增益!$A:$A,增益!$C:$C,0))-$I$2</f>
        <v>2063.755</v>
      </c>
      <c r="AO37" cm="1">
        <f t="array" ref="AO37">$E$10*(1+$AM37)+VLOOKUP($Q37,武学奇术!$A:$ZZ,4,FALSE)+SUM(_xlfn.XLOOKUP($R37:$AF37,增益!$A:$A,增益!$D:$D,0))-$I$2</f>
        <v>6060.925</v>
      </c>
      <c r="AP37" s="35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0.2425</v>
      </c>
      <c r="AQ37" s="35" cm="1">
        <f t="array" ref="AQ37">$G$10+VLOOKUP($Q37,武学奇术!$A:$ZZ,7,FALSE)+SUM(_xlfn.XLOOKUP(R37:AF37,增益!$A:$A,增益!$G:$G,0))</f>
        <v>0.1</v>
      </c>
      <c r="AR37" s="27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5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-0.3</v>
      </c>
      <c r="AV37" s="35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35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-0.3</v>
      </c>
      <c r="AZ37" s="35" cm="1">
        <f t="array" ref="AZ37">$G$12+VLOOKUP($Q37,武学奇术!$A:$ZZ,12,FALSE)+SUM(_xlfn.XLOOKUP(R37:AF37,增益!$A:$A,增益!$L:$L,0))</f>
        <v>0</v>
      </c>
      <c r="BA37">
        <f t="shared" si="5"/>
        <v>538</v>
      </c>
      <c r="BB37">
        <f t="shared" si="6"/>
        <v>1011</v>
      </c>
      <c r="BC37" s="35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0</v>
      </c>
      <c r="BD37" s="35" cm="1">
        <f t="array" ref="BD37">$G$13+VLOOKUP($Q37,武学奇术!$A:$ZZ,14,FALSE)+SUM(_xlfn.XLOOKUP(R37:AF37,增益!$A:$A,增益!$N:$N,0))</f>
        <v>0.25</v>
      </c>
      <c r="BE37">
        <f t="shared" si="7"/>
        <v>0</v>
      </c>
      <c r="BF37">
        <f t="shared" si="8"/>
        <v>0</v>
      </c>
      <c r="BG37" s="35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-0.3</v>
      </c>
      <c r="BH37" s="35" cm="1">
        <f t="array" ref="BH37">$G$14+VLOOKUP($Q37,武学奇术!$A:$ZZ,16,FALSE)+SUM(_xlfn.XLOOKUP(R37:AF37,增益!$A:$A,增益!$P:$P,0))</f>
        <v>0</v>
      </c>
      <c r="BI37" s="27">
        <f>MIN(IF(VLOOKUP($Q37,武学奇术!$A:$ZZ,23,FALSE)=1,100%,$B$8),100%)</f>
        <v>0.9969</v>
      </c>
      <c r="BJ37" s="27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0.9137</v>
      </c>
      <c r="BK37" s="27" cm="1">
        <f t="array" ref="BK37">1+$B$13+VLOOKUP($Q37,武学奇术!$A:$ZZ,18,FALSE)+SUM(_xlfn.XLOOKUP(R37:AF37,增益!$A:$A,增益!$R:$R,0))</f>
        <v>1.6</v>
      </c>
      <c r="BL37" s="27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0.0895</v>
      </c>
      <c r="BM37" s="27" cm="1">
        <f t="array" ref="BM37">1+$B$14+VLOOKUP($Q37,武学奇术!$A:$ZZ,20,FALSE)+SUM(_xlfn.XLOOKUP(R37:AF37,增益!$A:$A,增益!$T:$T,0))</f>
        <v>1.35</v>
      </c>
      <c r="BN37" s="27">
        <f t="shared" si="9"/>
        <v>0.90767745</v>
      </c>
      <c r="BO37" s="27">
        <f t="shared" si="10"/>
        <v>-1.30104260698261e-17</v>
      </c>
      <c r="BP37" s="27">
        <f>IF(VLOOKUP($Q37,武学奇术!$A:$ZZ,22,FALSE)=1,0,(1-$BI37))*(1-$BL37)</f>
        <v>0.00282254999999999</v>
      </c>
      <c r="BQ37" s="27" cm="1">
        <f t="array" ref="BQ37">SUM(_xlfn.XLOOKUP(R37:AF37,增益!$A:$A,增益!$W:$W,0))+$I$5</f>
        <v>0.11</v>
      </c>
    </row>
    <row r="38" spans="3:69">
      <c r="K38" s="41">
        <f t="shared" si="0"/>
        <v>170167.116192015</v>
      </c>
      <c r="L38" s="41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弹道",$B$21,0))*(1+$BQ38)</f>
        <v>171036.315594631</v>
      </c>
      <c r="M38" s="41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弹道",$B$21,0))*(1+$BQ38)</f>
        <v>165070.667155266</v>
      </c>
      <c r="N38" s="41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弹道",$B$21,0))*(1+$BQ38)</f>
        <v>87263.4263237912</v>
      </c>
      <c r="O38" s="41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弹道",$B$21,0))*(1+$BQ38)</f>
        <v>52252.2843844227</v>
      </c>
      <c r="P38" s="42">
        <v>4</v>
      </c>
      <c r="Q38" s="43" t="s">
        <v>109</v>
      </c>
      <c r="R38" s="43" t="s">
        <v>93</v>
      </c>
      <c r="S38" s="43" t="s">
        <v>158</v>
      </c>
      <c r="T38" s="43" t="s">
        <v>102</v>
      </c>
      <c r="U38" s="43" t="s">
        <v>159</v>
      </c>
      <c r="V38" s="43" t="s">
        <v>73</v>
      </c>
      <c r="W38" s="43" t="s">
        <v>73</v>
      </c>
      <c r="X38" s="43" t="s">
        <v>73</v>
      </c>
      <c r="Y38" s="43" t="s">
        <v>73</v>
      </c>
      <c r="Z38" s="43" t="s">
        <v>73</v>
      </c>
      <c r="AA38" s="43" t="s">
        <v>73</v>
      </c>
      <c r="AB38" s="43" t="s">
        <v>73</v>
      </c>
      <c r="AC38" s="43" t="s">
        <v>73</v>
      </c>
      <c r="AD38" s="43" t="s">
        <v>73</v>
      </c>
      <c r="AE38" s="43" t="s">
        <v>73</v>
      </c>
      <c r="AF38" s="43" t="s">
        <v>75</v>
      </c>
      <c r="AG38" t="str">
        <f>VLOOKUP($Q38,武学奇术!$A:$ZZ,25,FALSE)</f>
        <v>伞</v>
      </c>
      <c r="AH38" s="27">
        <f>VLOOKUP($Q38,武学奇术!$A:$ZZ,26,FALSE)</f>
        <v>1.174955</v>
      </c>
      <c r="AI38" s="28">
        <f>VLOOKUP($Q38,武学奇术!$A:$ZZ,27,FALSE)*(1+IF(OR($AG38=$F$4,$AG38=$F$5),$B$22,0))</f>
        <v>454.02</v>
      </c>
      <c r="AJ38" s="27">
        <f>VLOOKUP($Q38,武学奇术!$A:$ZZ,28,FALSE)</f>
        <v>1.762375</v>
      </c>
      <c r="AK38" s="28">
        <f>VLOOKUP($Q38,武学奇术!$A:$ZZ,29,FALSE)*(1+IF(OR($AG38=$F$4,$AG38=$F$5),$B$22,0))</f>
        <v>247.94</v>
      </c>
      <c r="AL38" s="27" cm="1">
        <f t="array" ref="AL38">$G$3+IFERROR(VLOOKUP($AG38,$F$4:$G$7,2,FALSE),0)+VLOOKUP($Q38,武学奇术!$A:$ZZ,2,FALSE)+SUM(_xlfn.XLOOKUP($R38:$AF38,增益!$A:$A,增益!$B:$B,0))</f>
        <v>0.5741</v>
      </c>
      <c r="AM38" s="27" cm="1">
        <f t="array" ref="AM38">VLOOKUP($Q38,武学奇术!$A:$ZZ,5,FALSE)+SUM(_xlfn.XLOOKUP($R38:$AF38,增益!$A:$A,增益!$E:$E,0))</f>
        <v>0.15</v>
      </c>
      <c r="AN38" cm="1">
        <f t="array" ref="AN38">$D$10*(1+$AM38)+VLOOKUP($Q38,武学奇术!$A:$ZZ,3,FALSE)+SUM(_xlfn.XLOOKUP($R38:$AF38,增益!$A:$A,增益!$C:$C,0))-$I$2</f>
        <v>2063.755</v>
      </c>
      <c r="AO38" cm="1">
        <f t="array" ref="AO38">$E$10*(1+$AM38)+VLOOKUP($Q38,武学奇术!$A:$ZZ,4,FALSE)+SUM(_xlfn.XLOOKUP($R38:$AF38,增益!$A:$A,增益!$D:$D,0))-$I$2</f>
        <v>6060.925</v>
      </c>
      <c r="AP38" s="35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0.2675</v>
      </c>
      <c r="AQ38" s="35" cm="1">
        <f t="array" ref="AQ38">$G$10+VLOOKUP($Q38,武学奇术!$A:$ZZ,7,FALSE)+SUM(_xlfn.XLOOKUP(R38:AF38,增益!$A:$A,增益!$G:$G,0))</f>
        <v>0.1</v>
      </c>
      <c r="AR38" s="27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5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-0.3</v>
      </c>
      <c r="AV38" s="35" cm="1">
        <f t="array" ref="AV38">$G$11+VLOOKUP($Q38,武学奇术!$A:$ZZ,10,FALSE)+SUM(_xlfn.XLOOKUP(R38:AF38,增益!$A:$A,增益!$J:$J,0))</f>
        <v>0</v>
      </c>
      <c r="AW38">
        <f t="shared" si="3"/>
        <v>0</v>
      </c>
      <c r="AX38">
        <f t="shared" si="4"/>
        <v>0</v>
      </c>
      <c r="AY38" s="35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-0.3</v>
      </c>
      <c r="AZ38" s="35" cm="1">
        <f t="array" ref="AZ38">$G$12+VLOOKUP($Q38,武学奇术!$A:$ZZ,12,FALSE)+SUM(_xlfn.XLOOKUP(R38:AF38,增益!$A:$A,增益!$L:$L,0))</f>
        <v>0</v>
      </c>
      <c r="BA38">
        <f t="shared" si="5"/>
        <v>538</v>
      </c>
      <c r="BB38">
        <f t="shared" si="6"/>
        <v>1011</v>
      </c>
      <c r="BC38" s="35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0</v>
      </c>
      <c r="BD38" s="35" cm="1">
        <f t="array" ref="BD38">$G$13+VLOOKUP($Q38,武学奇术!$A:$ZZ,14,FALSE)+SUM(_xlfn.XLOOKUP(R38:AF38,增益!$A:$A,增益!$N:$N,0))</f>
        <v>0.25</v>
      </c>
      <c r="BE38">
        <f t="shared" si="7"/>
        <v>0</v>
      </c>
      <c r="BF38">
        <f t="shared" si="8"/>
        <v>0</v>
      </c>
      <c r="BG38" s="35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-0.3</v>
      </c>
      <c r="BH38" s="35" cm="1">
        <f t="array" ref="BH38">$G$14+VLOOKUP($Q38,武学奇术!$A:$ZZ,16,FALSE)+SUM(_xlfn.XLOOKUP(R38:AF38,增益!$A:$A,增益!$P:$P,0))</f>
        <v>0</v>
      </c>
      <c r="BI38" s="27">
        <f>MIN(IF(VLOOKUP($Q38,武学奇术!$A:$ZZ,23,FALSE)=1,100%,$B$8),100%)</f>
        <v>0.9969</v>
      </c>
      <c r="BJ38" s="27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0.9137</v>
      </c>
      <c r="BK38" s="27" cm="1">
        <f t="array" ref="BK38">1+$B$13+VLOOKUP($Q38,武学奇术!$A:$ZZ,18,FALSE)+SUM(_xlfn.XLOOKUP(R38:AF38,增益!$A:$A,增益!$R:$R,0))</f>
        <v>1.96</v>
      </c>
      <c r="BL38" s="27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0.0895</v>
      </c>
      <c r="BM38" s="27" cm="1">
        <f t="array" ref="BM38">1+$B$14+VLOOKUP($Q38,武学奇术!$A:$ZZ,20,FALSE)+SUM(_xlfn.XLOOKUP(R38:AF38,增益!$A:$A,增益!$T:$T,0))</f>
        <v>1.35</v>
      </c>
      <c r="BN38" s="27">
        <f t="shared" si="9"/>
        <v>0.90767745</v>
      </c>
      <c r="BO38" s="27">
        <f t="shared" si="10"/>
        <v>-1.30104260698261e-17</v>
      </c>
      <c r="BP38" s="27">
        <f>IF(VLOOKUP($Q38,武学奇术!$A:$ZZ,22,FALSE)=1,0,(1-$BI38))*(1-$BL38)</f>
        <v>0.00282254999999999</v>
      </c>
      <c r="BQ38" s="27" cm="1">
        <f t="array" ref="BQ38">SUM(_xlfn.XLOOKUP(R38:AF38,增益!$A:$A,增益!$W:$W,0))+$I$5</f>
        <v>0.11</v>
      </c>
    </row>
    <row r="39" spans="3:69">
      <c r="E39" s="4"/>
      <c r="F39" s="4"/>
      <c r="K39" s="41">
        <f t="shared" si="0"/>
        <v>106704.435574188</v>
      </c>
      <c r="L39" s="41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弹道",$B$21,0))*(1+$BQ39)</f>
        <v>107249.472910031</v>
      </c>
      <c r="M39" s="41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弹道",$B$21,0))*(1+$BQ39)</f>
        <v>103508.67290236</v>
      </c>
      <c r="N39" s="41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弹道",$B$21,0))*(1+$BQ39)</f>
        <v>54719.1188316487</v>
      </c>
      <c r="O39" s="41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弹道",$B$21,0))*(1+$BQ39)</f>
        <v>32765.146624512</v>
      </c>
      <c r="P39" s="42">
        <v>2</v>
      </c>
      <c r="Q39" s="43" t="s">
        <v>109</v>
      </c>
      <c r="R39" s="43" t="s">
        <v>93</v>
      </c>
      <c r="S39" s="43" t="s">
        <v>158</v>
      </c>
      <c r="T39" s="43" t="s">
        <v>102</v>
      </c>
      <c r="U39" s="43" t="s">
        <v>159</v>
      </c>
      <c r="V39" s="43" t="s">
        <v>98</v>
      </c>
      <c r="W39" s="43" t="s">
        <v>73</v>
      </c>
      <c r="X39" s="43" t="s">
        <v>73</v>
      </c>
      <c r="Y39" s="43" t="s">
        <v>73</v>
      </c>
      <c r="Z39" s="43" t="s">
        <v>73</v>
      </c>
      <c r="AA39" s="43" t="s">
        <v>73</v>
      </c>
      <c r="AB39" s="43" t="s">
        <v>73</v>
      </c>
      <c r="AC39" s="43" t="s">
        <v>73</v>
      </c>
      <c r="AD39" s="43" t="s">
        <v>73</v>
      </c>
      <c r="AE39" s="43" t="s">
        <v>73</v>
      </c>
      <c r="AF39" s="43" t="s">
        <v>75</v>
      </c>
      <c r="AG39" t="str">
        <f>VLOOKUP($Q39,武学奇术!$A:$ZZ,25,FALSE)</f>
        <v>伞</v>
      </c>
      <c r="AH39" s="27">
        <f>VLOOKUP($Q39,武学奇术!$A:$ZZ,26,FALSE)</f>
        <v>1.174955</v>
      </c>
      <c r="AI39" s="28">
        <f>VLOOKUP($Q39,武学奇术!$A:$ZZ,27,FALSE)*(1+IF(OR($AG39=$F$4,$AG39=$F$5),$B$22,0))</f>
        <v>454.02</v>
      </c>
      <c r="AJ39" s="27">
        <f>VLOOKUP($Q39,武学奇术!$A:$ZZ,28,FALSE)</f>
        <v>1.762375</v>
      </c>
      <c r="AK39" s="28">
        <f>VLOOKUP($Q39,武学奇术!$A:$ZZ,29,FALSE)*(1+IF(OR($AG39=$F$4,$AG39=$F$5),$B$22,0))</f>
        <v>247.94</v>
      </c>
      <c r="AL39" s="27" cm="1">
        <f t="array" ref="AL39">$G$3+IFERROR(VLOOKUP($AG39,$F$4:$G$7,2,FALSE),0)+VLOOKUP($Q39,武学奇术!$A:$ZZ,2,FALSE)+SUM(_xlfn.XLOOKUP($R39:$AF39,增益!$A:$A,增益!$B:$B,0))</f>
        <v>0.9741</v>
      </c>
      <c r="AM39" s="27" cm="1">
        <f t="array" ref="AM39">VLOOKUP($Q39,武学奇术!$A:$ZZ,5,FALSE)+SUM(_xlfn.XLOOKUP($R39:$AF39,增益!$A:$A,增益!$E:$E,0))</f>
        <v>0.15</v>
      </c>
      <c r="AN39" cm="1">
        <f t="array" ref="AN39">$D$10*(1+$AM39)+VLOOKUP($Q39,武学奇术!$A:$ZZ,3,FALSE)+SUM(_xlfn.XLOOKUP($R39:$AF39,增益!$A:$A,增益!$C:$C,0))-$I$2</f>
        <v>2063.755</v>
      </c>
      <c r="AO39" cm="1">
        <f t="array" ref="AO39">$E$10*(1+$AM39)+VLOOKUP($Q39,武学奇术!$A:$ZZ,4,FALSE)+SUM(_xlfn.XLOOKUP($R39:$AF39,增益!$A:$A,增益!$D:$D,0))-$I$2</f>
        <v>6060.925</v>
      </c>
      <c r="AP39" s="35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0.2675</v>
      </c>
      <c r="AQ39" s="35" cm="1">
        <f t="array" ref="AQ39">$G$10+VLOOKUP($Q39,武学奇术!$A:$ZZ,7,FALSE)+SUM(_xlfn.XLOOKUP(R39:AF39,增益!$A:$A,增益!$G:$G,0))</f>
        <v>0.1</v>
      </c>
      <c r="AR39" s="27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5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-0.3</v>
      </c>
      <c r="AV39" s="35" cm="1">
        <f t="array" ref="AV39">$G$11+VLOOKUP($Q39,武学奇术!$A:$ZZ,10,FALSE)+SUM(_xlfn.XLOOKUP(R39:AF39,增益!$A:$A,增益!$J:$J,0))</f>
        <v>0</v>
      </c>
      <c r="AW39">
        <f t="shared" si="3"/>
        <v>0</v>
      </c>
      <c r="AX39">
        <f t="shared" si="4"/>
        <v>0</v>
      </c>
      <c r="AY39" s="35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-0.3</v>
      </c>
      <c r="AZ39" s="35" cm="1">
        <f t="array" ref="AZ39">$G$12+VLOOKUP($Q39,武学奇术!$A:$ZZ,12,FALSE)+SUM(_xlfn.XLOOKUP(R39:AF39,增益!$A:$A,增益!$L:$L,0))</f>
        <v>0</v>
      </c>
      <c r="BA39">
        <f t="shared" si="5"/>
        <v>538</v>
      </c>
      <c r="BB39">
        <f t="shared" si="6"/>
        <v>1011</v>
      </c>
      <c r="BC39" s="35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0</v>
      </c>
      <c r="BD39" s="35" cm="1">
        <f t="array" ref="BD39">$G$13+VLOOKUP($Q39,武学奇术!$A:$ZZ,14,FALSE)+SUM(_xlfn.XLOOKUP(R39:AF39,增益!$A:$A,增益!$N:$N,0))</f>
        <v>0.25</v>
      </c>
      <c r="BE39">
        <f t="shared" si="7"/>
        <v>0</v>
      </c>
      <c r="BF39">
        <f t="shared" si="8"/>
        <v>0</v>
      </c>
      <c r="BG39" s="35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-0.3</v>
      </c>
      <c r="BH39" s="35" cm="1">
        <f t="array" ref="BH39">$G$14+VLOOKUP($Q39,武学奇术!$A:$ZZ,16,FALSE)+SUM(_xlfn.XLOOKUP(R39:AF39,增益!$A:$A,增益!$P:$P,0))</f>
        <v>0</v>
      </c>
      <c r="BI39" s="27">
        <f>MIN(IF(VLOOKUP($Q39,武学奇术!$A:$ZZ,23,FALSE)=1,100%,$B$8),100%)</f>
        <v>0.9969</v>
      </c>
      <c r="BJ39" s="27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0.9137</v>
      </c>
      <c r="BK39" s="27" cm="1">
        <f t="array" ref="BK39">1+$B$13+VLOOKUP($Q39,武学奇术!$A:$ZZ,18,FALSE)+SUM(_xlfn.XLOOKUP(R39:AF39,增益!$A:$A,增益!$R:$R,0))</f>
        <v>1.96</v>
      </c>
      <c r="BL39" s="27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0.0895</v>
      </c>
      <c r="BM39" s="27" cm="1">
        <f t="array" ref="BM39">1+$B$14+VLOOKUP($Q39,武学奇术!$A:$ZZ,20,FALSE)+SUM(_xlfn.XLOOKUP(R39:AF39,增益!$A:$A,增益!$T:$T,0))</f>
        <v>1.35</v>
      </c>
      <c r="BN39" s="27">
        <f t="shared" si="9"/>
        <v>0.90767745</v>
      </c>
      <c r="BO39" s="27">
        <f t="shared" si="10"/>
        <v>-1.30104260698261e-17</v>
      </c>
      <c r="BP39" s="27">
        <f>IF(VLOOKUP($Q39,武学奇术!$A:$ZZ,22,FALSE)=1,0,(1-$BI39))*(1-$BL39)</f>
        <v>0.00282254999999999</v>
      </c>
      <c r="BQ39" s="27" cm="1">
        <f t="array" ref="BQ39">SUM(_xlfn.XLOOKUP(R39:AF39,增益!$A:$A,增益!$W:$W,0))+$I$5</f>
        <v>0.11</v>
      </c>
    </row>
    <row r="40" spans="3:69">
      <c r="K40" s="41">
        <f t="shared" si="0"/>
        <v>14962.3028179888</v>
      </c>
      <c r="L40" s="41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弹道",$B$21,0))*(1+$BQ40)</f>
        <v>14749.2040819464</v>
      </c>
      <c r="M40" s="41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弹道",$B$21,0))*(1+$BQ40)</f>
        <v>17420.8724339166</v>
      </c>
      <c r="N40" s="41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弹道",$B$21,0))*(1+$BQ40)</f>
        <v>9218.25255121649</v>
      </c>
      <c r="O40" s="41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弹道",$B$21,0))*(1+$BQ40)</f>
        <v>5532.15515138362</v>
      </c>
      <c r="P40" s="42">
        <v>1</v>
      </c>
      <c r="Q40" s="43" t="s">
        <v>130</v>
      </c>
      <c r="R40" s="43" t="s">
        <v>93</v>
      </c>
      <c r="S40" s="43" t="s">
        <v>158</v>
      </c>
      <c r="T40" s="43" t="s">
        <v>73</v>
      </c>
      <c r="U40" s="43" t="s">
        <v>159</v>
      </c>
      <c r="V40" s="43" t="s">
        <v>73</v>
      </c>
      <c r="W40" s="43" t="s">
        <v>73</v>
      </c>
      <c r="X40" s="43" t="s">
        <v>73</v>
      </c>
      <c r="Y40" s="43" t="s">
        <v>73</v>
      </c>
      <c r="Z40" s="43" t="s">
        <v>73</v>
      </c>
      <c r="AA40" s="43" t="s">
        <v>73</v>
      </c>
      <c r="AB40" s="43" t="s">
        <v>73</v>
      </c>
      <c r="AC40" s="43" t="s">
        <v>73</v>
      </c>
      <c r="AD40" s="43" t="s">
        <v>73</v>
      </c>
      <c r="AE40" s="43" t="s">
        <v>73</v>
      </c>
      <c r="AF40" s="43" t="s">
        <v>75</v>
      </c>
      <c r="AG40" t="str">
        <f>VLOOKUP($Q40,武学奇术!$A:$ZZ,25,FALSE)</f>
        <v>扇</v>
      </c>
      <c r="AH40" s="27">
        <f>VLOOKUP($Q40,武学奇术!$A:$ZZ,26,FALSE)</f>
        <v>0.9271</v>
      </c>
      <c r="AI40" s="28">
        <f>VLOOKUP($Q40,武学奇术!$A:$ZZ,27,FALSE)*(1+IF(OR($AG40=$F$4,$AG40=$F$5),$B$22,0))</f>
        <v>359.8</v>
      </c>
      <c r="AJ40" s="27">
        <f>VLOOKUP($Q40,武学奇术!$A:$ZZ,28,FALSE)</f>
        <v>1.3907</v>
      </c>
      <c r="AK40" s="28">
        <f>VLOOKUP($Q40,武学奇术!$A:$ZZ,29,FALSE)*(1+IF(OR($AG40=$F$4,$AG40=$F$5),$B$22,0))</f>
        <v>196</v>
      </c>
      <c r="AL40" s="27" cm="1">
        <f t="array" ref="AL40">$G$3+IFERROR(VLOOKUP($AG40,$F$4:$G$7,2,FALSE),0)+VLOOKUP($Q40,武学奇术!$A:$ZZ,2,FALSE)+SUM(_xlfn.XLOOKUP($R40:$AF40,增益!$A:$A,增益!$B:$B,0))</f>
        <v>0.2389</v>
      </c>
      <c r="AM40" s="27" cm="1">
        <f t="array" ref="AM40">VLOOKUP($Q40,武学奇术!$A:$ZZ,5,FALSE)+SUM(_xlfn.XLOOKUP($R40:$AF40,增益!$A:$A,增益!$E:$E,0))</f>
        <v>0.15</v>
      </c>
      <c r="AN40" cm="1">
        <f t="array" ref="AN40">$D$10*(1+$AM40)+VLOOKUP($Q40,武学奇术!$A:$ZZ,3,FALSE)+SUM(_xlfn.XLOOKUP($R40:$AF40,增益!$A:$A,增益!$C:$C,0))-$I$2</f>
        <v>2063.755</v>
      </c>
      <c r="AO40" cm="1">
        <f t="array" ref="AO40">$E$10*(1+$AM40)+VLOOKUP($Q40,武学奇术!$A:$ZZ,4,FALSE)+SUM(_xlfn.XLOOKUP($R40:$AF40,增益!$A:$A,增益!$D:$D,0))-$I$2</f>
        <v>6060.925</v>
      </c>
      <c r="AP40" s="35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0.2425</v>
      </c>
      <c r="AQ40" s="35" cm="1">
        <f t="array" ref="AQ40">$G$10+VLOOKUP($Q40,武学奇术!$A:$ZZ,7,FALSE)+SUM(_xlfn.XLOOKUP(R40:AF40,增益!$A:$A,增益!$G:$G,0))</f>
        <v>0</v>
      </c>
      <c r="AR40" s="27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5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-0.3</v>
      </c>
      <c r="AV40" s="35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35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-0.3</v>
      </c>
      <c r="AZ40" s="35" cm="1">
        <f t="array" ref="AZ40">$G$12+VLOOKUP($Q40,武学奇术!$A:$ZZ,12,FALSE)+SUM(_xlfn.XLOOKUP(R40:AF40,增益!$A:$A,增益!$L:$L,0))</f>
        <v>0</v>
      </c>
      <c r="BA40">
        <f t="shared" si="5"/>
        <v>538</v>
      </c>
      <c r="BB40">
        <f t="shared" si="6"/>
        <v>1011</v>
      </c>
      <c r="BC40" s="35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0</v>
      </c>
      <c r="BD40" s="35" cm="1">
        <f t="array" ref="BD40">$G$13+VLOOKUP($Q40,武学奇术!$A:$ZZ,14,FALSE)+SUM(_xlfn.XLOOKUP(R40:AF40,增益!$A:$A,增益!$N:$N,0))</f>
        <v>0.15</v>
      </c>
      <c r="BE40">
        <f t="shared" si="7"/>
        <v>0</v>
      </c>
      <c r="BF40">
        <f t="shared" si="8"/>
        <v>0</v>
      </c>
      <c r="BG40" s="35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-0.3</v>
      </c>
      <c r="BH40" s="35" cm="1">
        <f t="array" ref="BH40">$G$14+VLOOKUP($Q40,武学奇术!$A:$ZZ,16,FALSE)+SUM(_xlfn.XLOOKUP(R40:AF40,增益!$A:$A,增益!$P:$P,0))</f>
        <v>0</v>
      </c>
      <c r="BI40" s="27">
        <f>MIN(IF(VLOOKUP($Q40,武学奇术!$A:$ZZ,23,FALSE)=1,100%,$B$8),100%)</f>
        <v>0.9969</v>
      </c>
      <c r="BJ40" s="27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0.9137</v>
      </c>
      <c r="BK40" s="27" cm="1">
        <f t="array" ref="BK40">1+$B$13+VLOOKUP($Q40,武学奇术!$A:$ZZ,18,FALSE)+SUM(_xlfn.XLOOKUP(R40:AF40,增益!$A:$A,增益!$R:$R,0))</f>
        <v>1.6</v>
      </c>
      <c r="BL40" s="27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0.0895</v>
      </c>
      <c r="BM40" s="27" cm="1">
        <f t="array" ref="BM40">1+$B$14+VLOOKUP($Q40,武学奇术!$A:$ZZ,20,FALSE)+SUM(_xlfn.XLOOKUP(R40:AF40,增益!$A:$A,增益!$T:$T,0))</f>
        <v>1.35</v>
      </c>
      <c r="BN40" s="27">
        <f t="shared" si="9"/>
        <v>0.90767745</v>
      </c>
      <c r="BO40" s="27">
        <f t="shared" si="10"/>
        <v>-1.30104260698261e-17</v>
      </c>
      <c r="BP40" s="27">
        <f>IF(VLOOKUP($Q40,武学奇术!$A:$ZZ,22,FALSE)=1,0,(1-$BI40))*(1-$BL40)</f>
        <v>0.00282254999999999</v>
      </c>
      <c r="BQ40" s="27" cm="1">
        <f t="array" ref="BQ40">SUM(_xlfn.XLOOKUP(R40:AF40,增益!$A:$A,增益!$W:$W,0))+$I$5</f>
        <v>0.11</v>
      </c>
    </row>
    <row r="41" spans="3:69">
      <c r="K41" s="41">
        <f t="shared" si="0"/>
        <v>120717.986255431</v>
      </c>
      <c r="L41" s="41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弹道",$B$21,0))*(1+$BQ41)</f>
        <v>118677.256139541</v>
      </c>
      <c r="M41" s="41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弹道",$B$21,0))*(1+$BQ41)</f>
        <v>143904.740235203</v>
      </c>
      <c r="N41" s="41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弹道",$B$21,0))*(1+$BQ41)</f>
        <v>74173.2850872133</v>
      </c>
      <c r="O41" s="41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弹道",$B$21,0))*(1+$BQ41)</f>
        <v>41750.4662964987</v>
      </c>
      <c r="P41" s="42">
        <v>1</v>
      </c>
      <c r="Q41" s="43" t="s">
        <v>161</v>
      </c>
      <c r="R41" s="43" t="s">
        <v>93</v>
      </c>
      <c r="S41" s="43" t="s">
        <v>158</v>
      </c>
      <c r="T41" s="43" t="s">
        <v>73</v>
      </c>
      <c r="U41" s="43" t="s">
        <v>159</v>
      </c>
      <c r="V41" s="43" t="s">
        <v>73</v>
      </c>
      <c r="W41" s="43" t="s">
        <v>73</v>
      </c>
      <c r="X41" s="43" t="s">
        <v>73</v>
      </c>
      <c r="Y41" s="43" t="s">
        <v>73</v>
      </c>
      <c r="Z41" s="43" t="s">
        <v>73</v>
      </c>
      <c r="AA41" s="43" t="s">
        <v>73</v>
      </c>
      <c r="AB41" s="43" t="s">
        <v>73</v>
      </c>
      <c r="AC41" s="43" t="s">
        <v>73</v>
      </c>
      <c r="AD41" s="43" t="s">
        <v>73</v>
      </c>
      <c r="AE41" s="43" t="s">
        <v>73</v>
      </c>
      <c r="AF41" s="43" t="s">
        <v>75</v>
      </c>
      <c r="AG41" t="str">
        <f>VLOOKUP($Q41,武学奇术!$A:$ZZ,25,FALSE)</f>
        <v>单体奇术</v>
      </c>
      <c r="AH41" s="27">
        <f>VLOOKUP($Q41,武学奇术!$A:$ZZ,26,FALSE)</f>
        <v>7.1074</v>
      </c>
      <c r="AI41" s="28">
        <f>VLOOKUP($Q41,武学奇术!$A:$ZZ,27,FALSE)*(1+IF(OR($AG41=$F$4,$AG41=$F$5),$B$22,0))</f>
        <v>1320</v>
      </c>
      <c r="AJ41" s="27">
        <f>VLOOKUP($Q41,武学奇术!$A:$ZZ,28,FALSE)</f>
        <v>10.6596</v>
      </c>
      <c r="AK41" s="28">
        <f>VLOOKUP($Q41,武学奇术!$A:$ZZ,29,FALSE)*(1+IF(OR($AG41=$F$4,$AG41=$F$5),$B$22,0))</f>
        <v>0</v>
      </c>
      <c r="AL41" s="27" cm="1">
        <f t="array" ref="AL41">$G$3+IFERROR(VLOOKUP($AG41,$F$4:$G$7,2,FALSE),0)+VLOOKUP($Q41,武学奇术!$A:$ZZ,2,FALSE)+SUM(_xlfn.XLOOKUP($R41:$AF41,增益!$A:$A,增益!$B:$B,0))</f>
        <v>0.4215</v>
      </c>
      <c r="AM41" s="27" cm="1">
        <f t="array" ref="AM41">VLOOKUP($Q41,武学奇术!$A:$ZZ,5,FALSE)+SUM(_xlfn.XLOOKUP($R41:$AF41,增益!$A:$A,增益!$E:$E,0))</f>
        <v>0.15</v>
      </c>
      <c r="AN41" cm="1">
        <f t="array" ref="AN41">$D$10*(1+$AM41)+VLOOKUP($Q41,武学奇术!$A:$ZZ,3,FALSE)+SUM(_xlfn.XLOOKUP($R41:$AF41,增益!$A:$A,增益!$C:$C,0))-$I$2</f>
        <v>2063.755</v>
      </c>
      <c r="AO41" cm="1">
        <f t="array" ref="AO41">$E$10*(1+$AM41)+VLOOKUP($Q41,武学奇术!$A:$ZZ,4,FALSE)+SUM(_xlfn.XLOOKUP($R41:$AF41,增益!$A:$A,增益!$D:$D,0))-$I$2</f>
        <v>6060.925</v>
      </c>
      <c r="AP41" s="35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0.2425</v>
      </c>
      <c r="AQ41" s="35" cm="1">
        <f t="array" ref="AQ41">$G$10+VLOOKUP($Q41,武学奇术!$A:$ZZ,7,FALSE)+SUM(_xlfn.XLOOKUP(R41:AF41,增益!$A:$A,增益!$G:$G,0))</f>
        <v>0</v>
      </c>
      <c r="AR41" s="27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5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-0.3</v>
      </c>
      <c r="AV41" s="35" cm="1">
        <f t="array" ref="AV41">$G$11+VLOOKUP($Q41,武学奇术!$A:$ZZ,10,FALSE)+SUM(_xlfn.XLOOKUP(R41:AF41,增益!$A:$A,增益!$J:$J,0))</f>
        <v>0</v>
      </c>
      <c r="AW41">
        <f t="shared" si="3"/>
        <v>0</v>
      </c>
      <c r="AX41">
        <f t="shared" si="4"/>
        <v>0</v>
      </c>
      <c r="AY41" s="35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-0.3</v>
      </c>
      <c r="AZ41" s="35" cm="1">
        <f t="array" ref="AZ41">$G$12+VLOOKUP($Q41,武学奇术!$A:$ZZ,12,FALSE)+SUM(_xlfn.XLOOKUP(R41:AF41,增益!$A:$A,增益!$L:$L,0))</f>
        <v>0</v>
      </c>
      <c r="BA41">
        <f t="shared" si="5"/>
        <v>538</v>
      </c>
      <c r="BB41">
        <f t="shared" si="6"/>
        <v>1011</v>
      </c>
      <c r="BC41" s="35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0</v>
      </c>
      <c r="BD41" s="35" cm="1">
        <f t="array" ref="BD41">$G$13+VLOOKUP($Q41,武学奇术!$A:$ZZ,14,FALSE)+SUM(_xlfn.XLOOKUP(R41:AF41,增益!$A:$A,增益!$N:$N,0))</f>
        <v>0.15</v>
      </c>
      <c r="BE41">
        <f t="shared" si="7"/>
        <v>0</v>
      </c>
      <c r="BF41">
        <f t="shared" si="8"/>
        <v>0</v>
      </c>
      <c r="BG41" s="35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-0.3</v>
      </c>
      <c r="BH41" s="35" cm="1">
        <f t="array" ref="BH41">$G$14+VLOOKUP($Q41,武学奇术!$A:$ZZ,16,FALSE)+SUM(_xlfn.XLOOKUP(R41:AF41,增益!$A:$A,增益!$P:$P,0))</f>
        <v>0</v>
      </c>
      <c r="BI41" s="27">
        <f>MIN(IF(VLOOKUP($Q41,武学奇术!$A:$ZZ,23,FALSE)=1,100%,$B$8),100%)</f>
        <v>0.9969</v>
      </c>
      <c r="BJ41" s="27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0.9137</v>
      </c>
      <c r="BK41" s="27" cm="1">
        <f t="array" ref="BK41">1+$B$13+VLOOKUP($Q41,武学奇术!$A:$ZZ,18,FALSE)+SUM(_xlfn.XLOOKUP(R41:AF41,增益!$A:$A,增益!$R:$R,0))</f>
        <v>1.6</v>
      </c>
      <c r="BL41" s="27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0.0895</v>
      </c>
      <c r="BM41" s="27" cm="1">
        <f t="array" ref="BM41">1+$B$14+VLOOKUP($Q41,武学奇术!$A:$ZZ,20,FALSE)+SUM(_xlfn.XLOOKUP(R41:AF41,增益!$A:$A,增益!$T:$T,0))</f>
        <v>1.35</v>
      </c>
      <c r="BN41" s="27">
        <f t="shared" si="9"/>
        <v>0.90767745</v>
      </c>
      <c r="BO41" s="27">
        <f t="shared" si="10"/>
        <v>-1.30104260698261e-17</v>
      </c>
      <c r="BP41" s="27">
        <f>IF(VLOOKUP($Q41,武学奇术!$A:$ZZ,22,FALSE)=1,0,(1-$BI41))*(1-$BL41)</f>
        <v>0.00282254999999999</v>
      </c>
      <c r="BQ41" s="27" cm="1">
        <f t="array" ref="BQ41">SUM(_xlfn.XLOOKUP(R41:AF41,增益!$A:$A,增益!$W:$W,0))+$I$5</f>
        <v>0.11</v>
      </c>
    </row>
    <row r="42" spans="3:69">
      <c r="K42" s="41">
        <f t="shared" si="0"/>
        <v>32162.2617059936</v>
      </c>
      <c r="L42" s="41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弹道",$B$21,0))*(1+$BQ42)</f>
        <v>31702.9946326055</v>
      </c>
      <c r="M42" s="41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弹道",$B$21,0))*(1+$BQ42)</f>
        <v>37459.5973729968</v>
      </c>
      <c r="N42" s="41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弹道",$B$21,0))*(1+$BQ42)</f>
        <v>19814.3716453784</v>
      </c>
      <c r="O42" s="41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弹道",$B$21,0))*(1+$BQ42)</f>
        <v>11880.8933848333</v>
      </c>
      <c r="P42" s="42">
        <v>1</v>
      </c>
      <c r="Q42" s="43" t="s">
        <v>104</v>
      </c>
      <c r="R42" s="43" t="s">
        <v>93</v>
      </c>
      <c r="S42" s="43" t="s">
        <v>158</v>
      </c>
      <c r="T42" s="43" t="s">
        <v>73</v>
      </c>
      <c r="U42" s="43" t="s">
        <v>159</v>
      </c>
      <c r="V42" s="43" t="s">
        <v>73</v>
      </c>
      <c r="W42" s="43" t="s">
        <v>73</v>
      </c>
      <c r="X42" s="43" t="s">
        <v>73</v>
      </c>
      <c r="Y42" s="43" t="s">
        <v>73</v>
      </c>
      <c r="Z42" s="43" t="s">
        <v>73</v>
      </c>
      <c r="AA42" s="43" t="s">
        <v>73</v>
      </c>
      <c r="AB42" s="43" t="s">
        <v>73</v>
      </c>
      <c r="AC42" s="43" t="s">
        <v>73</v>
      </c>
      <c r="AD42" s="43" t="s">
        <v>73</v>
      </c>
      <c r="AE42" s="43" t="s">
        <v>73</v>
      </c>
      <c r="AF42" s="43" t="s">
        <v>75</v>
      </c>
      <c r="AG42" t="str">
        <f>VLOOKUP($Q42,武学奇术!$A:$ZZ,25,FALSE)</f>
        <v>伞</v>
      </c>
      <c r="AH42" s="27">
        <f>VLOOKUP($Q42,武学奇术!$A:$ZZ,26,FALSE)</f>
        <v>1.7001</v>
      </c>
      <c r="AI42" s="28">
        <f>VLOOKUP($Q42,武学奇术!$A:$ZZ,27,FALSE)*(1+IF(OR($AG42=$F$4,$AG42=$F$5),$B$22,0))</f>
        <v>659.4</v>
      </c>
      <c r="AJ42" s="27">
        <f>VLOOKUP($Q42,武学奇术!$A:$ZZ,28,FALSE)</f>
        <v>2.5502</v>
      </c>
      <c r="AK42" s="28">
        <f>VLOOKUP($Q42,武学奇术!$A:$ZZ,29,FALSE)*(1+IF(OR($AG42=$F$4,$AG42=$F$5),$B$22,0))</f>
        <v>358.4</v>
      </c>
      <c r="AL42" s="27" cm="1">
        <f t="array" ref="AL42">$G$3+IFERROR(VLOOKUP($AG42,$F$4:$G$7,2,FALSE),0)+VLOOKUP($Q42,武学奇术!$A:$ZZ,2,FALSE)+SUM(_xlfn.XLOOKUP($R42:$AF42,增益!$A:$A,增益!$B:$B,0))</f>
        <v>0.3241</v>
      </c>
      <c r="AM42" s="27" cm="1">
        <f t="array" ref="AM42">VLOOKUP($Q42,武学奇术!$A:$ZZ,5,FALSE)+SUM(_xlfn.XLOOKUP($R42:$AF42,增益!$A:$A,增益!$E:$E,0))</f>
        <v>0.15</v>
      </c>
      <c r="AN42" cm="1">
        <f t="array" ref="AN42">$D$10*(1+$AM42)+VLOOKUP($Q42,武学奇术!$A:$ZZ,3,FALSE)+SUM(_xlfn.XLOOKUP($R42:$AF42,增益!$A:$A,增益!$C:$C,0))-$I$2</f>
        <v>2063.755</v>
      </c>
      <c r="AO42" cm="1">
        <f t="array" ref="AO42">$E$10*(1+$AM42)+VLOOKUP($Q42,武学奇术!$A:$ZZ,4,FALSE)+SUM(_xlfn.XLOOKUP($R42:$AF42,增益!$A:$A,增益!$D:$D,0))-$I$2</f>
        <v>6060.925</v>
      </c>
      <c r="AP42" s="35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0.2425</v>
      </c>
      <c r="AQ42" s="35" cm="1">
        <f t="array" ref="AQ42">$G$10+VLOOKUP($Q42,武学奇术!$A:$ZZ,7,FALSE)+SUM(_xlfn.XLOOKUP(R42:AF42,增益!$A:$A,增益!$G:$G,0))</f>
        <v>0.1</v>
      </c>
      <c r="AR42" s="27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5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-0.3</v>
      </c>
      <c r="AV42" s="35" cm="1">
        <f t="array" ref="AV42">$G$11+VLOOKUP($Q42,武学奇术!$A:$ZZ,10,FALSE)+SUM(_xlfn.XLOOKUP(R42:AF42,增益!$A:$A,增益!$J:$J,0))</f>
        <v>0</v>
      </c>
      <c r="AW42">
        <f t="shared" si="3"/>
        <v>0</v>
      </c>
      <c r="AX42">
        <f t="shared" si="4"/>
        <v>0</v>
      </c>
      <c r="AY42" s="35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-0.3</v>
      </c>
      <c r="AZ42" s="35" cm="1">
        <f t="array" ref="AZ42">$G$12+VLOOKUP($Q42,武学奇术!$A:$ZZ,12,FALSE)+SUM(_xlfn.XLOOKUP(R42:AF42,增益!$A:$A,增益!$L:$L,0))</f>
        <v>0</v>
      </c>
      <c r="BA42">
        <f t="shared" si="5"/>
        <v>538</v>
      </c>
      <c r="BB42">
        <f t="shared" si="6"/>
        <v>1011</v>
      </c>
      <c r="BC42" s="35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0</v>
      </c>
      <c r="BD42" s="35" cm="1">
        <f t="array" ref="BD42">$G$13+VLOOKUP($Q42,武学奇术!$A:$ZZ,14,FALSE)+SUM(_xlfn.XLOOKUP(R42:AF42,增益!$A:$A,增益!$N:$N,0))</f>
        <v>0.25</v>
      </c>
      <c r="BE42">
        <f t="shared" si="7"/>
        <v>0</v>
      </c>
      <c r="BF42">
        <f t="shared" si="8"/>
        <v>0</v>
      </c>
      <c r="BG42" s="35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-0.3</v>
      </c>
      <c r="BH42" s="35" cm="1">
        <f t="array" ref="BH42">$G$14+VLOOKUP($Q42,武学奇术!$A:$ZZ,16,FALSE)+SUM(_xlfn.XLOOKUP(R42:AF42,增益!$A:$A,增益!$P:$P,0))</f>
        <v>0</v>
      </c>
      <c r="BI42" s="27">
        <f>MIN(IF(VLOOKUP($Q42,武学奇术!$A:$ZZ,23,FALSE)=1,100%,$B$8),100%)</f>
        <v>0.9969</v>
      </c>
      <c r="BJ42" s="27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0.9137</v>
      </c>
      <c r="BK42" s="27" cm="1">
        <f t="array" ref="BK42">1+$B$13+VLOOKUP($Q42,武学奇术!$A:$ZZ,18,FALSE)+SUM(_xlfn.XLOOKUP(R42:AF42,增益!$A:$A,增益!$R:$R,0))</f>
        <v>1.6</v>
      </c>
      <c r="BL42" s="27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0.0895</v>
      </c>
      <c r="BM42" s="27" cm="1">
        <f t="array" ref="BM42">1+$B$14+VLOOKUP($Q42,武学奇术!$A:$ZZ,20,FALSE)+SUM(_xlfn.XLOOKUP(R42:AF42,增益!$A:$A,增益!$T:$T,0))</f>
        <v>1.35</v>
      </c>
      <c r="BN42" s="27">
        <f t="shared" si="9"/>
        <v>0.90767745</v>
      </c>
      <c r="BO42" s="27">
        <f t="shared" si="10"/>
        <v>-1.30104260698261e-17</v>
      </c>
      <c r="BP42" s="27">
        <f>IF(VLOOKUP($Q42,武学奇术!$A:$ZZ,22,FALSE)=1,0,(1-$BI42))*(1-$BL42)</f>
        <v>0.00282254999999999</v>
      </c>
      <c r="BQ42" s="27" cm="1">
        <f t="array" ref="BQ42">SUM(_xlfn.XLOOKUP(R42:AF42,增益!$A:$A,增益!$W:$W,0))+$I$5</f>
        <v>0.11</v>
      </c>
    </row>
    <row r="43" spans="3:69">
      <c r="K43" s="41">
        <f t="shared" si="0"/>
        <v>80507.4964990753</v>
      </c>
      <c r="L43" s="41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弹道",$B$21,0))*(1+$BQ43)</f>
        <v>80919.2678442368</v>
      </c>
      <c r="M43" s="41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弹道",$B$21,0))*(1+$BQ43)</f>
        <v>78090.637987881</v>
      </c>
      <c r="N43" s="41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弹道",$B$21,0))*(1+$BQ43)</f>
        <v>41285.3407368555</v>
      </c>
      <c r="O43" s="41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弹道",$B$21,0))*(1+$BQ43)</f>
        <v>24725.7644456511</v>
      </c>
      <c r="P43" s="42">
        <v>1</v>
      </c>
      <c r="Q43" s="43" t="s">
        <v>97</v>
      </c>
      <c r="R43" s="43" t="s">
        <v>93</v>
      </c>
      <c r="S43" s="43" t="s">
        <v>158</v>
      </c>
      <c r="T43" s="43" t="s">
        <v>102</v>
      </c>
      <c r="U43" s="43" t="s">
        <v>159</v>
      </c>
      <c r="V43" s="43" t="s">
        <v>98</v>
      </c>
      <c r="W43" s="43" t="s">
        <v>73</v>
      </c>
      <c r="X43" s="43" t="s">
        <v>73</v>
      </c>
      <c r="Y43" s="43" t="s">
        <v>73</v>
      </c>
      <c r="Z43" s="43" t="s">
        <v>73</v>
      </c>
      <c r="AA43" s="43" t="s">
        <v>73</v>
      </c>
      <c r="AB43" s="43" t="s">
        <v>73</v>
      </c>
      <c r="AC43" s="43" t="s">
        <v>73</v>
      </c>
      <c r="AD43" s="43" t="s">
        <v>73</v>
      </c>
      <c r="AE43" s="43" t="s">
        <v>73</v>
      </c>
      <c r="AF43" s="43" t="s">
        <v>75</v>
      </c>
      <c r="AG43" t="str">
        <f>VLOOKUP($Q43,武学奇术!$A:$ZZ,25,FALSE)</f>
        <v>伞</v>
      </c>
      <c r="AH43" s="27">
        <f>VLOOKUP($Q43,武学奇术!$A:$ZZ,26,FALSE)</f>
        <v>2.3397</v>
      </c>
      <c r="AI43" s="28">
        <f>VLOOKUP($Q43,武学奇术!$A:$ZZ,27,FALSE)*(1+IF(OR($AG43=$F$4,$AG43=$F$5),$B$22,0))</f>
        <v>907.2</v>
      </c>
      <c r="AJ43" s="27">
        <f>VLOOKUP($Q43,武学奇术!$A:$ZZ,28,FALSE)</f>
        <v>3.5095</v>
      </c>
      <c r="AK43" s="28">
        <f>VLOOKUP($Q43,武学奇术!$A:$ZZ,29,FALSE)*(1+IF(OR($AG43=$F$4,$AG43=$F$5),$B$22,0))</f>
        <v>494.2</v>
      </c>
      <c r="AL43" s="27" cm="1">
        <f t="array" ref="AL43">$G$3+IFERROR(VLOOKUP($AG43,$F$4:$G$7,2,FALSE),0)+VLOOKUP($Q43,武学奇术!$A:$ZZ,2,FALSE)+SUM(_xlfn.XLOOKUP($R43:$AF43,增益!$A:$A,增益!$B:$B,0))</f>
        <v>0.9741</v>
      </c>
      <c r="AM43" s="27" cm="1">
        <f t="array" ref="AM43">VLOOKUP($Q43,武学奇术!$A:$ZZ,5,FALSE)+SUM(_xlfn.XLOOKUP($R43:$AF43,增益!$A:$A,增益!$E:$E,0))</f>
        <v>0.15</v>
      </c>
      <c r="AN43" cm="1">
        <f t="array" ref="AN43">$D$10*(1+$AM43)+VLOOKUP($Q43,武学奇术!$A:$ZZ,3,FALSE)+SUM(_xlfn.XLOOKUP($R43:$AF43,增益!$A:$A,增益!$C:$C,0))-$I$2</f>
        <v>2063.755</v>
      </c>
      <c r="AO43" cm="1">
        <f t="array" ref="AO43">$E$10*(1+$AM43)+VLOOKUP($Q43,武学奇术!$A:$ZZ,4,FALSE)+SUM(_xlfn.XLOOKUP($R43:$AF43,增益!$A:$A,增益!$D:$D,0))-$I$2</f>
        <v>6060.925</v>
      </c>
      <c r="AP43" s="35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0.2675</v>
      </c>
      <c r="AQ43" s="35" cm="1">
        <f t="array" ref="AQ43">$G$10+VLOOKUP($Q43,武学奇术!$A:$ZZ,7,FALSE)+SUM(_xlfn.XLOOKUP(R43:AF43,增益!$A:$A,增益!$G:$G,0))</f>
        <v>0.1</v>
      </c>
      <c r="AR43" s="27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5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-0.3</v>
      </c>
      <c r="AV43" s="35" cm="1">
        <f t="array" ref="AV43">$G$11+VLOOKUP($Q43,武学奇术!$A:$ZZ,10,FALSE)+SUM(_xlfn.XLOOKUP(R43:AF43,增益!$A:$A,增益!$J:$J,0))</f>
        <v>0</v>
      </c>
      <c r="AW43">
        <f t="shared" si="3"/>
        <v>0</v>
      </c>
      <c r="AX43">
        <f t="shared" si="4"/>
        <v>0</v>
      </c>
      <c r="AY43" s="35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-0.3</v>
      </c>
      <c r="AZ43" s="35" cm="1">
        <f t="array" ref="AZ43">$G$12+VLOOKUP($Q43,武学奇术!$A:$ZZ,12,FALSE)+SUM(_xlfn.XLOOKUP(R43:AF43,增益!$A:$A,增益!$L:$L,0))</f>
        <v>0</v>
      </c>
      <c r="BA43">
        <f t="shared" si="5"/>
        <v>538</v>
      </c>
      <c r="BB43">
        <f t="shared" si="6"/>
        <v>1011</v>
      </c>
      <c r="BC43" s="35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0</v>
      </c>
      <c r="BD43" s="35" cm="1">
        <f t="array" ref="BD43">$G$13+VLOOKUP($Q43,武学奇术!$A:$ZZ,14,FALSE)+SUM(_xlfn.XLOOKUP(R43:AF43,增益!$A:$A,增益!$N:$N,0))</f>
        <v>0.25</v>
      </c>
      <c r="BE43">
        <f t="shared" si="7"/>
        <v>0</v>
      </c>
      <c r="BF43">
        <f t="shared" si="8"/>
        <v>0</v>
      </c>
      <c r="BG43" s="35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-0.3</v>
      </c>
      <c r="BH43" s="35" cm="1">
        <f t="array" ref="BH43">$G$14+VLOOKUP($Q43,武学奇术!$A:$ZZ,16,FALSE)+SUM(_xlfn.XLOOKUP(R43:AF43,增益!$A:$A,增益!$P:$P,0))</f>
        <v>0</v>
      </c>
      <c r="BI43" s="27">
        <f>MIN(IF(VLOOKUP($Q43,武学奇术!$A:$ZZ,23,FALSE)=1,100%,$B$8),100%)</f>
        <v>0.9969</v>
      </c>
      <c r="BJ43" s="27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0.9137</v>
      </c>
      <c r="BK43" s="27" cm="1">
        <f t="array" ref="BK43">1+$B$13+VLOOKUP($Q43,武学奇术!$A:$ZZ,18,FALSE)+SUM(_xlfn.XLOOKUP(R43:AF43,增益!$A:$A,增益!$R:$R,0))</f>
        <v>1.96</v>
      </c>
      <c r="BL43" s="27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0.0895</v>
      </c>
      <c r="BM43" s="27" cm="1">
        <f t="array" ref="BM43">1+$B$14+VLOOKUP($Q43,武学奇术!$A:$ZZ,20,FALSE)+SUM(_xlfn.XLOOKUP(R43:AF43,增益!$A:$A,增益!$T:$T,0))</f>
        <v>1.35</v>
      </c>
      <c r="BN43" s="27">
        <f t="shared" si="9"/>
        <v>0.90767745</v>
      </c>
      <c r="BO43" s="27">
        <f t="shared" si="10"/>
        <v>-1.30104260698261e-17</v>
      </c>
      <c r="BP43" s="27">
        <f>IF(VLOOKUP($Q43,武学奇术!$A:$ZZ,22,FALSE)=1,0,(1-$BI43))*(1-$BL43)</f>
        <v>0.00282254999999999</v>
      </c>
      <c r="BQ43" s="27" cm="1">
        <f t="array" ref="BQ43">SUM(_xlfn.XLOOKUP(R43:AF43,增益!$A:$A,增益!$W:$W,0))+$I$5</f>
        <v>0.11</v>
      </c>
    </row>
    <row r="44" spans="3:69">
      <c r="K44" s="41">
        <f t="shared" si="0"/>
        <v>13476.7300540844</v>
      </c>
      <c r="L44" s="41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弹道",$B$21,0))*(1+$BQ44)</f>
        <v>13284.0534719297</v>
      </c>
      <c r="M44" s="41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弹道",$B$21,0))*(1+$BQ44)</f>
        <v>15698.8657114694</v>
      </c>
      <c r="N44" s="41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弹道",$B$21,0))*(1+$BQ44)</f>
        <v>8302.53341995605</v>
      </c>
      <c r="O44" s="41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弹道",$B$21,0))*(1+$BQ44)</f>
        <v>4976.27742400888</v>
      </c>
      <c r="P44" s="42">
        <v>1</v>
      </c>
      <c r="Q44" s="43" t="s">
        <v>107</v>
      </c>
      <c r="R44" s="43" t="s">
        <v>93</v>
      </c>
      <c r="S44" s="43" t="s">
        <v>158</v>
      </c>
      <c r="T44" s="43" t="s">
        <v>73</v>
      </c>
      <c r="U44" s="43" t="s">
        <v>159</v>
      </c>
      <c r="V44" s="43" t="s">
        <v>73</v>
      </c>
      <c r="W44" s="43" t="s">
        <v>73</v>
      </c>
      <c r="X44" s="43" t="s">
        <v>73</v>
      </c>
      <c r="Y44" s="43" t="s">
        <v>73</v>
      </c>
      <c r="Z44" s="43" t="s">
        <v>73</v>
      </c>
      <c r="AA44" s="43" t="s">
        <v>73</v>
      </c>
      <c r="AB44" s="43" t="s">
        <v>73</v>
      </c>
      <c r="AC44" s="43" t="s">
        <v>73</v>
      </c>
      <c r="AD44" s="43" t="s">
        <v>73</v>
      </c>
      <c r="AE44" s="43" t="s">
        <v>73</v>
      </c>
      <c r="AF44" s="43" t="s">
        <v>75</v>
      </c>
      <c r="AG44" t="str">
        <f>VLOOKUP($Q44,武学奇术!$A:$ZZ,25,FALSE)</f>
        <v>伞</v>
      </c>
      <c r="AH44" s="27">
        <f>VLOOKUP($Q44,武学奇术!$A:$ZZ,26,FALSE)</f>
        <v>0.54</v>
      </c>
      <c r="AI44" s="28">
        <f>VLOOKUP($Q44,武学奇术!$A:$ZZ,27,FALSE)*(1+IF(OR($AG44=$F$4,$AG44=$F$5),$B$22,0))</f>
        <v>207.2</v>
      </c>
      <c r="AJ44" s="27">
        <f>VLOOKUP($Q44,武学奇术!$A:$ZZ,28,FALSE)</f>
        <v>0.81</v>
      </c>
      <c r="AK44" s="28">
        <f>VLOOKUP($Q44,武学奇术!$A:$ZZ,29,FALSE)*(1+IF(OR($AG44=$F$4,$AG44=$F$5),$B$22,0))</f>
        <v>114.1</v>
      </c>
      <c r="AL44" s="27" cm="1">
        <f t="array" ref="AL44">$G$3+IFERROR(VLOOKUP($AG44,$F$4:$G$7,2,FALSE),0)+VLOOKUP($Q44,武学奇术!$A:$ZZ,2,FALSE)+SUM(_xlfn.XLOOKUP($R44:$AF44,增益!$A:$A,增益!$B:$B,0))</f>
        <v>0.3241</v>
      </c>
      <c r="AM44" s="27" cm="1">
        <f t="array" ref="AM44">VLOOKUP($Q44,武学奇术!$A:$ZZ,5,FALSE)+SUM(_xlfn.XLOOKUP($R44:$AF44,增益!$A:$A,增益!$E:$E,0))</f>
        <v>0.15</v>
      </c>
      <c r="AN44" cm="1">
        <f t="array" ref="AN44">$D$10*(1+$AM44)+VLOOKUP($Q44,武学奇术!$A:$ZZ,3,FALSE)+SUM(_xlfn.XLOOKUP($R44:$AF44,增益!$A:$A,增益!$C:$C,0))-$I$2</f>
        <v>2063.755</v>
      </c>
      <c r="AO44" cm="1">
        <f t="array" ref="AO44">$E$10*(1+$AM44)+VLOOKUP($Q44,武学奇术!$A:$ZZ,4,FALSE)+SUM(_xlfn.XLOOKUP($R44:$AF44,增益!$A:$A,增益!$D:$D,0))-$I$2</f>
        <v>6060.925</v>
      </c>
      <c r="AP44" s="35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0.2425</v>
      </c>
      <c r="AQ44" s="35" cm="1">
        <f t="array" ref="AQ44">$G$10+VLOOKUP($Q44,武学奇术!$A:$ZZ,7,FALSE)+SUM(_xlfn.XLOOKUP(R44:AF44,增益!$A:$A,增益!$G:$G,0))</f>
        <v>0.1</v>
      </c>
      <c r="AR44" s="27" cm="1">
        <f t="array" ref="AR44">VLOOKUP($Q44,武学奇术!$A:$ZZ,8,FALSE)+SUM(_xlfn.XLOOKUP(R44:AF44,增益!$A:$A,增益!$H:$H,0))</f>
        <v>0</v>
      </c>
      <c r="AS44">
        <f t="shared" si="1"/>
        <v>0</v>
      </c>
      <c r="AT44">
        <f t="shared" si="2"/>
        <v>0</v>
      </c>
      <c r="AU44" s="35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-0.3</v>
      </c>
      <c r="AV44" s="35" cm="1">
        <f t="array" ref="AV44">$G$11+VLOOKUP($Q44,武学奇术!$A:$ZZ,10,FALSE)+SUM(_xlfn.XLOOKUP(R44:AF44,增益!$A:$A,增益!$J:$J,0))</f>
        <v>0</v>
      </c>
      <c r="AW44">
        <f t="shared" si="3"/>
        <v>0</v>
      </c>
      <c r="AX44">
        <f t="shared" si="4"/>
        <v>0</v>
      </c>
      <c r="AY44" s="35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-0.3</v>
      </c>
      <c r="AZ44" s="35" cm="1">
        <f t="array" ref="AZ44">$G$12+VLOOKUP($Q44,武学奇术!$A:$ZZ,12,FALSE)+SUM(_xlfn.XLOOKUP(R44:AF44,增益!$A:$A,增益!$L:$L,0))</f>
        <v>0</v>
      </c>
      <c r="BA44">
        <f t="shared" si="5"/>
        <v>538</v>
      </c>
      <c r="BB44">
        <f t="shared" si="6"/>
        <v>1011</v>
      </c>
      <c r="BC44" s="35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0</v>
      </c>
      <c r="BD44" s="35" cm="1">
        <f t="array" ref="BD44">$G$13+VLOOKUP($Q44,武学奇术!$A:$ZZ,14,FALSE)+SUM(_xlfn.XLOOKUP(R44:AF44,增益!$A:$A,增益!$N:$N,0))</f>
        <v>0.25</v>
      </c>
      <c r="BE44">
        <f t="shared" si="7"/>
        <v>0</v>
      </c>
      <c r="BF44">
        <f t="shared" si="8"/>
        <v>0</v>
      </c>
      <c r="BG44" s="35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-0.3</v>
      </c>
      <c r="BH44" s="35" cm="1">
        <f t="array" ref="BH44">$G$14+VLOOKUP($Q44,武学奇术!$A:$ZZ,16,FALSE)+SUM(_xlfn.XLOOKUP(R44:AF44,增益!$A:$A,增益!$P:$P,0))</f>
        <v>0</v>
      </c>
      <c r="BI44" s="27">
        <f>MIN(IF(VLOOKUP($Q44,武学奇术!$A:$ZZ,23,FALSE)=1,100%,$B$8),100%)</f>
        <v>0.9969</v>
      </c>
      <c r="BJ44" s="27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0.9137</v>
      </c>
      <c r="BK44" s="27" cm="1">
        <f t="array" ref="BK44">1+$B$13+VLOOKUP($Q44,武学奇术!$A:$ZZ,18,FALSE)+SUM(_xlfn.XLOOKUP(R44:AF44,增益!$A:$A,增益!$R:$R,0))</f>
        <v>1.6</v>
      </c>
      <c r="BL44" s="27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0.0895</v>
      </c>
      <c r="BM44" s="27" cm="1">
        <f t="array" ref="BM44">1+$B$14+VLOOKUP($Q44,武学奇术!$A:$ZZ,20,FALSE)+SUM(_xlfn.XLOOKUP(R44:AF44,增益!$A:$A,增益!$T:$T,0))</f>
        <v>1.35</v>
      </c>
      <c r="BN44" s="27">
        <f t="shared" si="9"/>
        <v>0.90767745</v>
      </c>
      <c r="BO44" s="27">
        <f t="shared" si="10"/>
        <v>-1.30104260698261e-17</v>
      </c>
      <c r="BP44" s="27">
        <f>IF(VLOOKUP($Q44,武学奇术!$A:$ZZ,22,FALSE)=1,0,(1-$BI44))*(1-$BL44)</f>
        <v>0.00282254999999999</v>
      </c>
      <c r="BQ44" s="27" cm="1">
        <f t="array" ref="BQ44">SUM(_xlfn.XLOOKUP(R44:AF44,增益!$A:$A,增益!$W:$W,0))+$I$5</f>
        <v>0.11</v>
      </c>
    </row>
    <row r="45" spans="3:69">
      <c r="K45" s="41">
        <f t="shared" si="0"/>
        <v>160056.653361281</v>
      </c>
      <c r="L45" s="41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弹道",$B$21,0))*(1+$BQ45)</f>
        <v>160874.209365047</v>
      </c>
      <c r="M45" s="41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弹道",$B$21,0))*(1+$BQ45)</f>
        <v>155263.00935354</v>
      </c>
      <c r="N45" s="41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弹道",$B$21,0))*(1+$BQ45)</f>
        <v>82078.678247473</v>
      </c>
      <c r="O45" s="41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弹道",$B$21,0))*(1+$BQ45)</f>
        <v>49147.7199367681</v>
      </c>
      <c r="P45" s="42">
        <v>3</v>
      </c>
      <c r="Q45" s="43" t="s">
        <v>109</v>
      </c>
      <c r="R45" s="43" t="s">
        <v>93</v>
      </c>
      <c r="S45" s="43" t="s">
        <v>158</v>
      </c>
      <c r="T45" s="43" t="s">
        <v>102</v>
      </c>
      <c r="U45" s="43" t="s">
        <v>159</v>
      </c>
      <c r="V45" s="43" t="s">
        <v>98</v>
      </c>
      <c r="W45" s="43" t="s">
        <v>73</v>
      </c>
      <c r="X45" s="43" t="s">
        <v>73</v>
      </c>
      <c r="Y45" s="43" t="s">
        <v>73</v>
      </c>
      <c r="Z45" s="43" t="s">
        <v>73</v>
      </c>
      <c r="AA45" s="43" t="s">
        <v>73</v>
      </c>
      <c r="AB45" s="43" t="s">
        <v>73</v>
      </c>
      <c r="AC45" s="43" t="s">
        <v>73</v>
      </c>
      <c r="AD45" s="43" t="s">
        <v>73</v>
      </c>
      <c r="AE45" s="43" t="s">
        <v>73</v>
      </c>
      <c r="AF45" s="43" t="s">
        <v>75</v>
      </c>
      <c r="AG45" t="str">
        <f>VLOOKUP($Q45,武学奇术!$A:$ZZ,25,FALSE)</f>
        <v>伞</v>
      </c>
      <c r="AH45" s="27">
        <f>VLOOKUP($Q45,武学奇术!$A:$ZZ,26,FALSE)</f>
        <v>1.174955</v>
      </c>
      <c r="AI45" s="28">
        <f>VLOOKUP($Q45,武学奇术!$A:$ZZ,27,FALSE)*(1+IF(OR($AG45=$F$4,$AG45=$F$5),$B$22,0))</f>
        <v>454.02</v>
      </c>
      <c r="AJ45" s="27">
        <f>VLOOKUP($Q45,武学奇术!$A:$ZZ,28,FALSE)</f>
        <v>1.762375</v>
      </c>
      <c r="AK45" s="28">
        <f>VLOOKUP($Q45,武学奇术!$A:$ZZ,29,FALSE)*(1+IF(OR($AG45=$F$4,$AG45=$F$5),$B$22,0))</f>
        <v>247.94</v>
      </c>
      <c r="AL45" s="27" cm="1">
        <f t="array" ref="AL45">$G$3+IFERROR(VLOOKUP($AG45,$F$4:$G$7,2,FALSE),0)+VLOOKUP($Q45,武学奇术!$A:$ZZ,2,FALSE)+SUM(_xlfn.XLOOKUP($R45:$AF45,增益!$A:$A,增益!$B:$B,0))</f>
        <v>0.9741</v>
      </c>
      <c r="AM45" s="27" cm="1">
        <f t="array" ref="AM45">VLOOKUP($Q45,武学奇术!$A:$ZZ,5,FALSE)+SUM(_xlfn.XLOOKUP($R45:$AF45,增益!$A:$A,增益!$E:$E,0))</f>
        <v>0.15</v>
      </c>
      <c r="AN45" cm="1">
        <f t="array" ref="AN45">$D$10*(1+$AM45)+VLOOKUP($Q45,武学奇术!$A:$ZZ,3,FALSE)+SUM(_xlfn.XLOOKUP($R45:$AF45,增益!$A:$A,增益!$C:$C,0))-$I$2</f>
        <v>2063.755</v>
      </c>
      <c r="AO45" cm="1">
        <f t="array" ref="AO45">$E$10*(1+$AM45)+VLOOKUP($Q45,武学奇术!$A:$ZZ,4,FALSE)+SUM(_xlfn.XLOOKUP($R45:$AF45,增益!$A:$A,增益!$D:$D,0))-$I$2</f>
        <v>6060.925</v>
      </c>
      <c r="AP45" s="35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0.2675</v>
      </c>
      <c r="AQ45" s="35" cm="1">
        <f t="array" ref="AQ45">$G$10+VLOOKUP($Q45,武学奇术!$A:$ZZ,7,FALSE)+SUM(_xlfn.XLOOKUP(R45:AF45,增益!$A:$A,增益!$G:$G,0))</f>
        <v>0.1</v>
      </c>
      <c r="AR45" s="27" cm="1">
        <f t="array" ref="AR45">VLOOKUP($Q45,武学奇术!$A:$ZZ,8,FALSE)+SUM(_xlfn.XLOOKUP(R45:AF45,增益!$A:$A,增益!$H:$H,0))</f>
        <v>0</v>
      </c>
      <c r="AS45">
        <f t="shared" si="1"/>
        <v>0</v>
      </c>
      <c r="AT45">
        <f t="shared" si="2"/>
        <v>0</v>
      </c>
      <c r="AU45" s="35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-0.3</v>
      </c>
      <c r="AV45" s="35" cm="1">
        <f t="array" ref="AV45">$G$11+VLOOKUP($Q45,武学奇术!$A:$ZZ,10,FALSE)+SUM(_xlfn.XLOOKUP(R45:AF45,增益!$A:$A,增益!$J:$J,0))</f>
        <v>0</v>
      </c>
      <c r="AW45">
        <f t="shared" si="3"/>
        <v>0</v>
      </c>
      <c r="AX45">
        <f t="shared" si="4"/>
        <v>0</v>
      </c>
      <c r="AY45" s="35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-0.3</v>
      </c>
      <c r="AZ45" s="35" cm="1">
        <f t="array" ref="AZ45">$G$12+VLOOKUP($Q45,武学奇术!$A:$ZZ,12,FALSE)+SUM(_xlfn.XLOOKUP(R45:AF45,增益!$A:$A,增益!$L:$L,0))</f>
        <v>0</v>
      </c>
      <c r="BA45">
        <f t="shared" si="5"/>
        <v>538</v>
      </c>
      <c r="BB45">
        <f t="shared" si="6"/>
        <v>1011</v>
      </c>
      <c r="BC45" s="35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0</v>
      </c>
      <c r="BD45" s="35" cm="1">
        <f t="array" ref="BD45">$G$13+VLOOKUP($Q45,武学奇术!$A:$ZZ,14,FALSE)+SUM(_xlfn.XLOOKUP(R45:AF45,增益!$A:$A,增益!$N:$N,0))</f>
        <v>0.25</v>
      </c>
      <c r="BE45">
        <f t="shared" si="7"/>
        <v>0</v>
      </c>
      <c r="BF45">
        <f t="shared" si="8"/>
        <v>0</v>
      </c>
      <c r="BG45" s="35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-0.3</v>
      </c>
      <c r="BH45" s="35" cm="1">
        <f t="array" ref="BH45">$G$14+VLOOKUP($Q45,武学奇术!$A:$ZZ,16,FALSE)+SUM(_xlfn.XLOOKUP(R45:AF45,增益!$A:$A,增益!$P:$P,0))</f>
        <v>0</v>
      </c>
      <c r="BI45" s="27">
        <f>MIN(IF(VLOOKUP($Q45,武学奇术!$A:$ZZ,23,FALSE)=1,100%,$B$8),100%)</f>
        <v>0.9969</v>
      </c>
      <c r="BJ45" s="27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0.9137</v>
      </c>
      <c r="BK45" s="27" cm="1">
        <f t="array" ref="BK45">1+$B$13+VLOOKUP($Q45,武学奇术!$A:$ZZ,18,FALSE)+SUM(_xlfn.XLOOKUP(R45:AF45,增益!$A:$A,增益!$R:$R,0))</f>
        <v>1.96</v>
      </c>
      <c r="BL45" s="27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0.0895</v>
      </c>
      <c r="BM45" s="27" cm="1">
        <f t="array" ref="BM45">1+$B$14+VLOOKUP($Q45,武学奇术!$A:$ZZ,20,FALSE)+SUM(_xlfn.XLOOKUP(R45:AF45,增益!$A:$A,增益!$T:$T,0))</f>
        <v>1.35</v>
      </c>
      <c r="BN45" s="27">
        <f t="shared" si="9"/>
        <v>0.90767745</v>
      </c>
      <c r="BO45" s="27">
        <f t="shared" si="10"/>
        <v>-1.30104260698261e-17</v>
      </c>
      <c r="BP45" s="27">
        <f>IF(VLOOKUP($Q45,武学奇术!$A:$ZZ,22,FALSE)=1,0,(1-$BI45))*(1-$BL45)</f>
        <v>0.00282254999999999</v>
      </c>
      <c r="BQ45" s="27" cm="1">
        <f t="array" ref="BQ45">SUM(_xlfn.XLOOKUP(R45:AF45,增益!$A:$A,增益!$W:$W,0))+$I$5</f>
        <v>0.11</v>
      </c>
    </row>
    <row r="46" spans="3:69">
      <c r="K46" s="41">
        <f t="shared" si="0"/>
        <v>931350.85034541</v>
      </c>
      <c r="L46" s="41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弹道",$B$21,0))*(1+$BQ46)</f>
        <v>945312.824082714</v>
      </c>
      <c r="M46" s="41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弹道",$B$21,0))*(1+$BQ46)</f>
        <v>811093.622499123</v>
      </c>
      <c r="N46" s="41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弹道",$B$21,0))*(1+$BQ46)</f>
        <v>427743.359313445</v>
      </c>
      <c r="O46" s="41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弹道",$B$21,0))*(1+$BQ46)</f>
        <v>254676.6278868</v>
      </c>
      <c r="P46" s="42">
        <v>13</v>
      </c>
      <c r="Q46" s="43" t="s">
        <v>109</v>
      </c>
      <c r="R46" s="43" t="s">
        <v>93</v>
      </c>
      <c r="S46" s="43" t="s">
        <v>158</v>
      </c>
      <c r="T46" s="43" t="s">
        <v>163</v>
      </c>
      <c r="U46" s="43" t="s">
        <v>159</v>
      </c>
      <c r="V46" s="43" t="s">
        <v>98</v>
      </c>
      <c r="W46" s="43" t="s">
        <v>73</v>
      </c>
      <c r="X46" s="43" t="s">
        <v>73</v>
      </c>
      <c r="Y46" s="43" t="s">
        <v>164</v>
      </c>
      <c r="Z46" s="43" t="s">
        <v>73</v>
      </c>
      <c r="AA46" s="43" t="s">
        <v>73</v>
      </c>
      <c r="AB46" s="43" t="s">
        <v>73</v>
      </c>
      <c r="AC46" s="43" t="s">
        <v>165</v>
      </c>
      <c r="AD46" s="43" t="s">
        <v>73</v>
      </c>
      <c r="AE46" s="43" t="s">
        <v>73</v>
      </c>
      <c r="AF46" s="43" t="s">
        <v>75</v>
      </c>
      <c r="AG46" t="str">
        <f>VLOOKUP($Q46,武学奇术!$A:$ZZ,25,FALSE)</f>
        <v>伞</v>
      </c>
      <c r="AH46" s="27">
        <f>VLOOKUP($Q46,武学奇术!$A:$ZZ,26,FALSE)</f>
        <v>1.174955</v>
      </c>
      <c r="AI46" s="28">
        <f>VLOOKUP($Q46,武学奇术!$A:$ZZ,27,FALSE)*(1+IF(OR($AG46=$F$4,$AG46=$F$5),$B$22,0))</f>
        <v>454.02</v>
      </c>
      <c r="AJ46" s="27">
        <f>VLOOKUP($Q46,武学奇术!$A:$ZZ,28,FALSE)</f>
        <v>1.762375</v>
      </c>
      <c r="AK46" s="28">
        <f>VLOOKUP($Q46,武学奇术!$A:$ZZ,29,FALSE)*(1+IF(OR($AG46=$F$4,$AG46=$F$5),$B$22,0))</f>
        <v>247.94</v>
      </c>
      <c r="AL46" s="27" cm="1">
        <f t="array" ref="AL46">$G$3+IFERROR(VLOOKUP($AG46,$F$4:$G$7,2,FALSE),0)+VLOOKUP($Q46,武学奇术!$A:$ZZ,2,FALSE)+SUM(_xlfn.XLOOKUP($R46:$AF46,增益!$A:$A,增益!$B:$B,0))</f>
        <v>1.0241</v>
      </c>
      <c r="AM46" s="27" cm="1">
        <f t="array" ref="AM46">VLOOKUP($Q46,武学奇术!$A:$ZZ,5,FALSE)+SUM(_xlfn.XLOOKUP($R46:$AF46,增益!$A:$A,增益!$E:$E,0))</f>
        <v>0.15</v>
      </c>
      <c r="AN46" cm="1">
        <f t="array" ref="AN46">$D$10*(1+$AM46)+VLOOKUP($Q46,武学奇术!$A:$ZZ,3,FALSE)+SUM(_xlfn.XLOOKUP($R46:$AF46,增益!$A:$A,增益!$C:$C,0))-$I$2</f>
        <v>2063.755</v>
      </c>
      <c r="AO46" cm="1">
        <f t="array" ref="AO46">$E$10*(1+$AM46)+VLOOKUP($Q46,武学奇术!$A:$ZZ,4,FALSE)+SUM(_xlfn.XLOOKUP($R46:$AF46,增益!$A:$A,增益!$D:$D,0))-$I$2</f>
        <v>6060.925</v>
      </c>
      <c r="AP46" s="35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0.3925</v>
      </c>
      <c r="AQ46" s="35" cm="1">
        <f t="array" ref="AQ46">$G$10+VLOOKUP($Q46,武学奇术!$A:$ZZ,7,FALSE)+SUM(_xlfn.XLOOKUP(R46:AF46,增益!$A:$A,增益!$G:$G,0))</f>
        <v>0.1</v>
      </c>
      <c r="AR46" s="27" cm="1">
        <f t="array" ref="AR46">VLOOKUP($Q46,武学奇术!$A:$ZZ,8,FALSE)+SUM(_xlfn.XLOOKUP(R46:AF46,增益!$A:$A,增益!$H:$H,0))</f>
        <v>0</v>
      </c>
      <c r="AS46">
        <f t="shared" si="1"/>
        <v>0</v>
      </c>
      <c r="AT46">
        <f t="shared" si="2"/>
        <v>0</v>
      </c>
      <c r="AU46" s="35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-0.3</v>
      </c>
      <c r="AV46" s="35" cm="1">
        <f t="array" ref="AV46">$G$11+VLOOKUP($Q46,武学奇术!$A:$ZZ,10,FALSE)+SUM(_xlfn.XLOOKUP(R46:AF46,增益!$A:$A,增益!$J:$J,0))</f>
        <v>0</v>
      </c>
      <c r="AW46">
        <f t="shared" si="3"/>
        <v>0</v>
      </c>
      <c r="AX46">
        <f t="shared" si="4"/>
        <v>0</v>
      </c>
      <c r="AY46" s="35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-0.3</v>
      </c>
      <c r="AZ46" s="35" cm="1">
        <f t="array" ref="AZ46">$G$12+VLOOKUP($Q46,武学奇术!$A:$ZZ,12,FALSE)+SUM(_xlfn.XLOOKUP(R46:AF46,增益!$A:$A,增益!$L:$L,0))</f>
        <v>0</v>
      </c>
      <c r="BA46">
        <f t="shared" si="5"/>
        <v>538</v>
      </c>
      <c r="BB46">
        <f t="shared" si="6"/>
        <v>1011</v>
      </c>
      <c r="BC46" s="35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0</v>
      </c>
      <c r="BD46" s="35" cm="1">
        <f t="array" ref="BD46">$G$13+VLOOKUP($Q46,武学奇术!$A:$ZZ,14,FALSE)+SUM(_xlfn.XLOOKUP(R46:AF46,增益!$A:$A,增益!$N:$N,0))</f>
        <v>0.25</v>
      </c>
      <c r="BE46">
        <f t="shared" si="7"/>
        <v>0</v>
      </c>
      <c r="BF46">
        <f t="shared" si="8"/>
        <v>0</v>
      </c>
      <c r="BG46" s="35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-0.3</v>
      </c>
      <c r="BH46" s="35" cm="1">
        <f t="array" ref="BH46">$G$14+VLOOKUP($Q46,武学奇术!$A:$ZZ,16,FALSE)+SUM(_xlfn.XLOOKUP(R46:AF46,增益!$A:$A,增益!$P:$P,0))</f>
        <v>0</v>
      </c>
      <c r="BI46" s="27">
        <f>MIN(IF(VLOOKUP($Q46,武学奇术!$A:$ZZ,23,FALSE)=1,100%,$B$8),100%)</f>
        <v>0.9969</v>
      </c>
      <c r="BJ46" s="27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0.9137</v>
      </c>
      <c r="BK46" s="27" cm="1">
        <f t="array" ref="BK46">1+$B$13+VLOOKUP($Q46,武学奇术!$A:$ZZ,18,FALSE)+SUM(_xlfn.XLOOKUP(R46:AF46,增益!$A:$A,增益!$R:$R,0))</f>
        <v>2.21</v>
      </c>
      <c r="BL46" s="27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0.0895</v>
      </c>
      <c r="BM46" s="27" cm="1">
        <f t="array" ref="BM46">1+$B$14+VLOOKUP($Q46,武学奇术!$A:$ZZ,20,FALSE)+SUM(_xlfn.XLOOKUP(R46:AF46,增益!$A:$A,增益!$T:$T,0))</f>
        <v>1.35</v>
      </c>
      <c r="BN46" s="27">
        <f t="shared" si="9"/>
        <v>0.90767745</v>
      </c>
      <c r="BO46" s="27">
        <f t="shared" si="10"/>
        <v>-1.30104260698261e-17</v>
      </c>
      <c r="BP46" s="27">
        <f>IF(VLOOKUP($Q46,武学奇术!$A:$ZZ,22,FALSE)=1,0,(1-$BI46))*(1-$BL46)</f>
        <v>0.00282254999999999</v>
      </c>
      <c r="BQ46" s="27" cm="1">
        <f t="array" ref="BQ46">SUM(_xlfn.XLOOKUP(R46:AF46,增益!$A:$A,增益!$W:$W,0))+$I$5</f>
        <v>0.21</v>
      </c>
    </row>
    <row r="47" spans="3:69">
      <c r="C47" s="30"/>
      <c r="K47" s="41">
        <f t="shared" si="0"/>
        <v>358211.865517465</v>
      </c>
      <c r="L47" s="41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弹道",$B$21,0))*(1+$BQ47)</f>
        <v>363581.855416429</v>
      </c>
      <c r="M47" s="41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弹道",$B$21,0))*(1+$BQ47)</f>
        <v>311959.085576586</v>
      </c>
      <c r="N47" s="41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弹道",$B$21,0))*(1+$BQ47)</f>
        <v>164516.676659017</v>
      </c>
      <c r="O47" s="41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弹道",$B$21,0))*(1+$BQ47)</f>
        <v>97952.5491872307</v>
      </c>
      <c r="P47" s="42">
        <v>5</v>
      </c>
      <c r="Q47" s="43" t="s">
        <v>109</v>
      </c>
      <c r="R47" s="43" t="s">
        <v>93</v>
      </c>
      <c r="S47" s="43" t="s">
        <v>158</v>
      </c>
      <c r="T47" s="43" t="s">
        <v>163</v>
      </c>
      <c r="U47" s="43" t="s">
        <v>159</v>
      </c>
      <c r="V47" s="43" t="s">
        <v>98</v>
      </c>
      <c r="W47" s="43" t="s">
        <v>73</v>
      </c>
      <c r="X47" s="43" t="s">
        <v>73</v>
      </c>
      <c r="Y47" s="43" t="s">
        <v>164</v>
      </c>
      <c r="Z47" s="43" t="s">
        <v>73</v>
      </c>
      <c r="AA47" s="43" t="s">
        <v>73</v>
      </c>
      <c r="AB47" s="43" t="s">
        <v>73</v>
      </c>
      <c r="AC47" s="43" t="s">
        <v>165</v>
      </c>
      <c r="AD47" s="43" t="s">
        <v>73</v>
      </c>
      <c r="AE47" s="43" t="s">
        <v>73</v>
      </c>
      <c r="AF47" s="43" t="s">
        <v>75</v>
      </c>
      <c r="AG47" t="str">
        <f>VLOOKUP($Q47,武学奇术!$A:$ZZ,25,FALSE)</f>
        <v>伞</v>
      </c>
      <c r="AH47" s="27">
        <f>VLOOKUP($Q47,武学奇术!$A:$ZZ,26,FALSE)</f>
        <v>1.174955</v>
      </c>
      <c r="AI47" s="28">
        <f>VLOOKUP($Q47,武学奇术!$A:$ZZ,27,FALSE)*(1+IF(OR($AG47=$F$4,$AG47=$F$5),$B$22,0))</f>
        <v>454.02</v>
      </c>
      <c r="AJ47" s="27">
        <f>VLOOKUP($Q47,武学奇术!$A:$ZZ,28,FALSE)</f>
        <v>1.762375</v>
      </c>
      <c r="AK47" s="28">
        <f>VLOOKUP($Q47,武学奇术!$A:$ZZ,29,FALSE)*(1+IF(OR($AG47=$F$4,$AG47=$F$5),$B$22,0))</f>
        <v>247.94</v>
      </c>
      <c r="AL47" s="27" cm="1">
        <f t="array" ref="AL47">$G$3+IFERROR(VLOOKUP($AG47,$F$4:$G$7,2,FALSE),0)+VLOOKUP($Q47,武学奇术!$A:$ZZ,2,FALSE)+SUM(_xlfn.XLOOKUP($R47:$AF47,增益!$A:$A,增益!$B:$B,0))</f>
        <v>1.0241</v>
      </c>
      <c r="AM47" s="27" cm="1">
        <f t="array" ref="AM47">VLOOKUP($Q47,武学奇术!$A:$ZZ,5,FALSE)+SUM(_xlfn.XLOOKUP($R47:$AF47,增益!$A:$A,增益!$E:$E,0))</f>
        <v>0.15</v>
      </c>
      <c r="AN47" cm="1">
        <f t="array" ref="AN47">$D$10*(1+$AM47)+VLOOKUP($Q47,武学奇术!$A:$ZZ,3,FALSE)+SUM(_xlfn.XLOOKUP($R47:$AF47,增益!$A:$A,增益!$C:$C,0))-$I$2</f>
        <v>2063.755</v>
      </c>
      <c r="AO47" cm="1">
        <f t="array" ref="AO47">$E$10*(1+$AM47)+VLOOKUP($Q47,武学奇术!$A:$ZZ,4,FALSE)+SUM(_xlfn.XLOOKUP($R47:$AF47,增益!$A:$A,增益!$D:$D,0))-$I$2</f>
        <v>6060.925</v>
      </c>
      <c r="AP47" s="35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0.3925</v>
      </c>
      <c r="AQ47" s="35" cm="1">
        <f t="array" ref="AQ47">$G$10+VLOOKUP($Q47,武学奇术!$A:$ZZ,7,FALSE)+SUM(_xlfn.XLOOKUP(R47:AF47,增益!$A:$A,增益!$G:$G,0))</f>
        <v>0.1</v>
      </c>
      <c r="AR47" s="27" cm="1">
        <f t="array" ref="AR47">VLOOKUP($Q47,武学奇术!$A:$ZZ,8,FALSE)+SUM(_xlfn.XLOOKUP(R47:AF47,增益!$A:$A,增益!$H:$H,0))</f>
        <v>0</v>
      </c>
      <c r="AS47">
        <f t="shared" si="1"/>
        <v>0</v>
      </c>
      <c r="AT47">
        <f t="shared" si="2"/>
        <v>0</v>
      </c>
      <c r="AU47" s="35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-0.3</v>
      </c>
      <c r="AV47" s="35" cm="1">
        <f t="array" ref="AV47">$G$11+VLOOKUP($Q47,武学奇术!$A:$ZZ,10,FALSE)+SUM(_xlfn.XLOOKUP(R47:AF47,增益!$A:$A,增益!$J:$J,0))</f>
        <v>0</v>
      </c>
      <c r="AW47">
        <f t="shared" si="3"/>
        <v>0</v>
      </c>
      <c r="AX47">
        <f t="shared" si="4"/>
        <v>0</v>
      </c>
      <c r="AY47" s="35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-0.3</v>
      </c>
      <c r="AZ47" s="35" cm="1">
        <f t="array" ref="AZ47">$G$12+VLOOKUP($Q47,武学奇术!$A:$ZZ,12,FALSE)+SUM(_xlfn.XLOOKUP(R47:AF47,增益!$A:$A,增益!$L:$L,0))</f>
        <v>0</v>
      </c>
      <c r="BA47">
        <f t="shared" si="5"/>
        <v>538</v>
      </c>
      <c r="BB47">
        <f t="shared" si="6"/>
        <v>1011</v>
      </c>
      <c r="BC47" s="35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0</v>
      </c>
      <c r="BD47" s="35" cm="1">
        <f t="array" ref="BD47">$G$13+VLOOKUP($Q47,武学奇术!$A:$ZZ,14,FALSE)+SUM(_xlfn.XLOOKUP(R47:AF47,增益!$A:$A,增益!$N:$N,0))</f>
        <v>0.25</v>
      </c>
      <c r="BE47">
        <f t="shared" si="7"/>
        <v>0</v>
      </c>
      <c r="BF47">
        <f t="shared" si="8"/>
        <v>0</v>
      </c>
      <c r="BG47" s="35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-0.3</v>
      </c>
      <c r="BH47" s="35" cm="1">
        <f t="array" ref="BH47">$G$14+VLOOKUP($Q47,武学奇术!$A:$ZZ,16,FALSE)+SUM(_xlfn.XLOOKUP(R47:AF47,增益!$A:$A,增益!$P:$P,0))</f>
        <v>0</v>
      </c>
      <c r="BI47" s="27">
        <f>MIN(IF(VLOOKUP($Q47,武学奇术!$A:$ZZ,23,FALSE)=1,100%,$B$8),100%)</f>
        <v>0.9969</v>
      </c>
      <c r="BJ47" s="27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0.9137</v>
      </c>
      <c r="BK47" s="27" cm="1">
        <f t="array" ref="BK47">1+$B$13+VLOOKUP($Q47,武学奇术!$A:$ZZ,18,FALSE)+SUM(_xlfn.XLOOKUP(R47:AF47,增益!$A:$A,增益!$R:$R,0))</f>
        <v>2.21</v>
      </c>
      <c r="BL47" s="27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0.0895</v>
      </c>
      <c r="BM47" s="27" cm="1">
        <f t="array" ref="BM47">1+$B$14+VLOOKUP($Q47,武学奇术!$A:$ZZ,20,FALSE)+SUM(_xlfn.XLOOKUP(R47:AF47,增益!$A:$A,增益!$T:$T,0))</f>
        <v>1.35</v>
      </c>
      <c r="BN47" s="27">
        <f t="shared" si="9"/>
        <v>0.90767745</v>
      </c>
      <c r="BO47" s="27">
        <f t="shared" si="10"/>
        <v>-1.30104260698261e-17</v>
      </c>
      <c r="BP47" s="27">
        <f>IF(VLOOKUP($Q47,武学奇术!$A:$ZZ,22,FALSE)=1,0,(1-$BI47))*(1-$BL47)</f>
        <v>0.00282254999999999</v>
      </c>
      <c r="BQ47" s="27" cm="1">
        <f t="array" ref="BQ47">SUM(_xlfn.XLOOKUP(R47:AF47,增益!$A:$A,增益!$W:$W,0))+$I$5</f>
        <v>0.21</v>
      </c>
    </row>
    <row r="48" spans="3:69">
      <c r="C48" s="30"/>
      <c r="K48" s="41">
        <f t="shared" si="0"/>
        <v>90884.441907221</v>
      </c>
      <c r="L48" s="41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弹道",$B$21,0))*(1+$BQ48)</f>
        <v>90654.0104508253</v>
      </c>
      <c r="M48" s="41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弹道",$B$21,0))*(1+$BQ48)</f>
        <v>95221.2880955625</v>
      </c>
      <c r="N48" s="41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弹道",$B$21,0))*(1+$BQ48)</f>
        <v>49002.1678112569</v>
      </c>
      <c r="O48" s="41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弹道",$B$21,0))*(1+$BQ48)</f>
        <v>27470.0481443194</v>
      </c>
      <c r="P48" s="42">
        <v>1</v>
      </c>
      <c r="Q48" s="43" t="s">
        <v>167</v>
      </c>
      <c r="R48" s="43" t="s">
        <v>93</v>
      </c>
      <c r="S48" s="43" t="s">
        <v>158</v>
      </c>
      <c r="T48" s="43" t="s">
        <v>73</v>
      </c>
      <c r="U48" s="43" t="s">
        <v>159</v>
      </c>
      <c r="V48" s="43" t="s">
        <v>73</v>
      </c>
      <c r="W48" s="43" t="s">
        <v>73</v>
      </c>
      <c r="X48" s="43" t="s">
        <v>73</v>
      </c>
      <c r="Y48" s="43" t="s">
        <v>164</v>
      </c>
      <c r="Z48" s="43" t="s">
        <v>73</v>
      </c>
      <c r="AA48" s="43" t="s">
        <v>73</v>
      </c>
      <c r="AB48" s="43" t="s">
        <v>73</v>
      </c>
      <c r="AC48" s="43" t="s">
        <v>165</v>
      </c>
      <c r="AD48" s="43" t="s">
        <v>73</v>
      </c>
      <c r="AE48" s="43" t="s">
        <v>73</v>
      </c>
      <c r="AF48" s="43" t="s">
        <v>75</v>
      </c>
      <c r="AG48" t="str">
        <f>VLOOKUP($Q48,武学奇术!$A:$ZZ,25,FALSE)</f>
        <v>单体奇术</v>
      </c>
      <c r="AH48" s="27">
        <f>VLOOKUP($Q48,武学奇术!$A:$ZZ,26,FALSE)</f>
        <v>3.9855</v>
      </c>
      <c r="AI48" s="28">
        <f>VLOOKUP($Q48,武学奇术!$A:$ZZ,27,FALSE)*(1+IF(OR($AG48=$F$4,$AG48=$F$5),$B$22,0))</f>
        <v>749</v>
      </c>
      <c r="AJ48" s="27">
        <f>VLOOKUP($Q48,武学奇术!$A:$ZZ,28,FALSE)</f>
        <v>5.97825</v>
      </c>
      <c r="AK48" s="28">
        <f>VLOOKUP($Q48,武学奇术!$A:$ZZ,29,FALSE)*(1+IF(OR($AG48=$F$4,$AG48=$F$5),$B$22,0))</f>
        <v>0</v>
      </c>
      <c r="AL48" s="27" cm="1">
        <f t="array" ref="AL48">$G$3+IFERROR(VLOOKUP($AG48,$F$4:$G$7,2,FALSE),0)+VLOOKUP($Q48,武学奇术!$A:$ZZ,2,FALSE)+SUM(_xlfn.XLOOKUP($R48:$AF48,增益!$A:$A,增益!$B:$B,0))</f>
        <v>0.4215</v>
      </c>
      <c r="AM48" s="27" cm="1">
        <f t="array" ref="AM48">VLOOKUP($Q48,武学奇术!$A:$ZZ,5,FALSE)+SUM(_xlfn.XLOOKUP($R48:$AF48,增益!$A:$A,增益!$E:$E,0))</f>
        <v>0.15</v>
      </c>
      <c r="AN48" cm="1">
        <f t="array" ref="AN48">$D$10*(1+$AM48)+VLOOKUP($Q48,武学奇术!$A:$ZZ,3,FALSE)+SUM(_xlfn.XLOOKUP($R48:$AF48,增益!$A:$A,增益!$C:$C,0))-$I$2</f>
        <v>2063.755</v>
      </c>
      <c r="AO48" cm="1">
        <f t="array" ref="AO48">$E$10*(1+$AM48)+VLOOKUP($Q48,武学奇术!$A:$ZZ,4,FALSE)+SUM(_xlfn.XLOOKUP($R48:$AF48,增益!$A:$A,增益!$D:$D,0))-$I$2</f>
        <v>6060.925</v>
      </c>
      <c r="AP48" s="35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0.3675</v>
      </c>
      <c r="AQ48" s="35" cm="1">
        <f t="array" ref="AQ48">$G$10+VLOOKUP($Q48,武学奇术!$A:$ZZ,7,FALSE)+SUM(_xlfn.XLOOKUP(R48:AF48,增益!$A:$A,增益!$G:$G,0))</f>
        <v>0</v>
      </c>
      <c r="AR48" s="27" cm="1">
        <f t="array" ref="AR48">VLOOKUP($Q48,武学奇术!$A:$ZZ,8,FALSE)+SUM(_xlfn.XLOOKUP(R48:AF48,增益!$A:$A,增益!$H:$H,0))</f>
        <v>0</v>
      </c>
      <c r="AS48">
        <f t="shared" si="1"/>
        <v>0</v>
      </c>
      <c r="AT48">
        <f t="shared" si="2"/>
        <v>0</v>
      </c>
      <c r="AU48" s="35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-0.3</v>
      </c>
      <c r="AV48" s="35" cm="1">
        <f t="array" ref="AV48">$G$11+VLOOKUP($Q48,武学奇术!$A:$ZZ,10,FALSE)+SUM(_xlfn.XLOOKUP(R48:AF48,增益!$A:$A,增益!$J:$J,0))</f>
        <v>0</v>
      </c>
      <c r="AW48">
        <f t="shared" si="3"/>
        <v>0</v>
      </c>
      <c r="AX48">
        <f t="shared" si="4"/>
        <v>0</v>
      </c>
      <c r="AY48" s="35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-0.3</v>
      </c>
      <c r="AZ48" s="35" cm="1">
        <f t="array" ref="AZ48">$G$12+VLOOKUP($Q48,武学奇术!$A:$ZZ,12,FALSE)+SUM(_xlfn.XLOOKUP(R48:AF48,增益!$A:$A,增益!$L:$L,0))</f>
        <v>0</v>
      </c>
      <c r="BA48">
        <f t="shared" si="5"/>
        <v>538</v>
      </c>
      <c r="BB48">
        <f t="shared" si="6"/>
        <v>1011</v>
      </c>
      <c r="BC48" s="35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0</v>
      </c>
      <c r="BD48" s="35" cm="1">
        <f t="array" ref="BD48">$G$13+VLOOKUP($Q48,武学奇术!$A:$ZZ,14,FALSE)+SUM(_xlfn.XLOOKUP(R48:AF48,增益!$A:$A,增益!$N:$N,0))</f>
        <v>0.15</v>
      </c>
      <c r="BE48">
        <f t="shared" si="7"/>
        <v>0</v>
      </c>
      <c r="BF48">
        <f t="shared" si="8"/>
        <v>0</v>
      </c>
      <c r="BG48" s="35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-0.3</v>
      </c>
      <c r="BH48" s="35" cm="1">
        <f t="array" ref="BH48">$G$14+VLOOKUP($Q48,武学奇术!$A:$ZZ,16,FALSE)+SUM(_xlfn.XLOOKUP(R48:AF48,增益!$A:$A,增益!$P:$P,0))</f>
        <v>0</v>
      </c>
      <c r="BI48" s="27">
        <f>MIN(IF(VLOOKUP($Q48,武学奇术!$A:$ZZ,23,FALSE)=1,100%,$B$8),100%)</f>
        <v>0.9969</v>
      </c>
      <c r="BJ48" s="27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0.9137</v>
      </c>
      <c r="BK48" s="27" cm="1">
        <f t="array" ref="BK48">1+$B$13+VLOOKUP($Q48,武学奇术!$A:$ZZ,18,FALSE)+SUM(_xlfn.XLOOKUP(R48:AF48,增益!$A:$A,增益!$R:$R,0))</f>
        <v>1.85</v>
      </c>
      <c r="BL48" s="27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0.0895</v>
      </c>
      <c r="BM48" s="27" cm="1">
        <f t="array" ref="BM48">1+$B$14+VLOOKUP($Q48,武学奇术!$A:$ZZ,20,FALSE)+SUM(_xlfn.XLOOKUP(R48:AF48,增益!$A:$A,增益!$T:$T,0))</f>
        <v>1.35</v>
      </c>
      <c r="BN48" s="27">
        <f t="shared" si="9"/>
        <v>0.90767745</v>
      </c>
      <c r="BO48" s="27">
        <f t="shared" si="10"/>
        <v>-1.30104260698261e-17</v>
      </c>
      <c r="BP48" s="27">
        <f>IF(VLOOKUP($Q48,武学奇术!$A:$ZZ,22,FALSE)=1,0,(1-$BI48))*(1-$BL48)</f>
        <v>0.00282254999999999</v>
      </c>
      <c r="BQ48" s="27" cm="1">
        <f t="array" ref="BQ48">SUM(_xlfn.XLOOKUP(R48:AF48,增益!$A:$A,增益!$W:$W,0))+$I$5</f>
        <v>0.21</v>
      </c>
    </row>
    <row r="49" spans="5:69">
      <c r="K49" s="41">
        <f t="shared" si="0"/>
        <v>64562.3878890947</v>
      </c>
      <c r="L49" s="41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弹道",$B$21,0))*(1+$BQ49)</f>
        <v>64398.1807193722</v>
      </c>
      <c r="M49" s="41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弹道",$B$21,0))*(1+$BQ49)</f>
        <v>67648.5423622393</v>
      </c>
      <c r="N49" s="41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弹道",$B$21,0))*(1+$BQ49)</f>
        <v>34809.8274158769</v>
      </c>
      <c r="O49" s="41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弹道",$B$21,0))*(1+$BQ49)</f>
        <v>19509.6234523172</v>
      </c>
      <c r="P49" s="42">
        <v>12</v>
      </c>
      <c r="Q49" s="43" t="s">
        <v>168</v>
      </c>
      <c r="R49" s="43" t="s">
        <v>93</v>
      </c>
      <c r="S49" s="43" t="s">
        <v>158</v>
      </c>
      <c r="T49" s="43" t="s">
        <v>73</v>
      </c>
      <c r="U49" s="43" t="s">
        <v>159</v>
      </c>
      <c r="V49" s="43" t="s">
        <v>73</v>
      </c>
      <c r="W49" s="43" t="s">
        <v>73</v>
      </c>
      <c r="X49" s="43" t="s">
        <v>73</v>
      </c>
      <c r="Y49" s="43" t="s">
        <v>164</v>
      </c>
      <c r="Z49" s="43" t="s">
        <v>73</v>
      </c>
      <c r="AA49" s="43" t="s">
        <v>73</v>
      </c>
      <c r="AB49" s="43" t="s">
        <v>73</v>
      </c>
      <c r="AC49" s="43" t="s">
        <v>165</v>
      </c>
      <c r="AD49" s="43" t="s">
        <v>73</v>
      </c>
      <c r="AE49" s="43" t="s">
        <v>73</v>
      </c>
      <c r="AF49" s="43" t="s">
        <v>75</v>
      </c>
      <c r="AG49" t="str">
        <f>VLOOKUP($Q49,武学奇术!$A:$ZZ,25,FALSE)</f>
        <v>单体奇术</v>
      </c>
      <c r="AH49" s="27">
        <f>VLOOKUP($Q49,武学奇术!$A:$ZZ,26,FALSE)</f>
        <v>0.236</v>
      </c>
      <c r="AI49" s="28">
        <f>VLOOKUP($Q49,武学奇术!$A:$ZZ,27,FALSE)*(1+IF(OR($AG49=$F$4,$AG49=$F$5),$B$22,0))</f>
        <v>44</v>
      </c>
      <c r="AJ49" s="27">
        <f>VLOOKUP($Q49,武学奇术!$A:$ZZ,28,FALSE)</f>
        <v>0.354</v>
      </c>
      <c r="AK49" s="28">
        <f>VLOOKUP($Q49,武学奇术!$A:$ZZ,29,FALSE)*(1+IF(OR($AG49=$F$4,$AG49=$F$5),$B$22,0))</f>
        <v>0</v>
      </c>
      <c r="AL49" s="27" cm="1">
        <f t="array" ref="AL49">$G$3+IFERROR(VLOOKUP($AG49,$F$4:$G$7,2,FALSE),0)+VLOOKUP($Q49,武学奇术!$A:$ZZ,2,FALSE)+SUM(_xlfn.XLOOKUP($R49:$AF49,增益!$A:$A,增益!$B:$B,0))</f>
        <v>0.4215</v>
      </c>
      <c r="AM49" s="27" cm="1">
        <f t="array" ref="AM49">VLOOKUP($Q49,武学奇术!$A:$ZZ,5,FALSE)+SUM(_xlfn.XLOOKUP($R49:$AF49,增益!$A:$A,增益!$E:$E,0))</f>
        <v>0.15</v>
      </c>
      <c r="AN49" cm="1">
        <f t="array" ref="AN49">$D$10*(1+$AM49)+VLOOKUP($Q49,武学奇术!$A:$ZZ,3,FALSE)+SUM(_xlfn.XLOOKUP($R49:$AF49,增益!$A:$A,增益!$C:$C,0))-$I$2</f>
        <v>2063.755</v>
      </c>
      <c r="AO49" cm="1">
        <f t="array" ref="AO49">$E$10*(1+$AM49)+VLOOKUP($Q49,武学奇术!$A:$ZZ,4,FALSE)+SUM(_xlfn.XLOOKUP($R49:$AF49,增益!$A:$A,增益!$D:$D,0))-$I$2</f>
        <v>6060.925</v>
      </c>
      <c r="AP49" s="35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0.3675</v>
      </c>
      <c r="AQ49" s="35" cm="1">
        <f t="array" ref="AQ49">$G$10+VLOOKUP($Q49,武学奇术!$A:$ZZ,7,FALSE)+SUM(_xlfn.XLOOKUP(R49:AF49,增益!$A:$A,增益!$G:$G,0))</f>
        <v>0</v>
      </c>
      <c r="AR49" s="27" cm="1">
        <f t="array" ref="AR49">VLOOKUP($Q49,武学奇术!$A:$ZZ,8,FALSE)+SUM(_xlfn.XLOOKUP(R49:AF49,增益!$A:$A,增益!$H:$H,0))</f>
        <v>0</v>
      </c>
      <c r="AS49">
        <f t="shared" si="1"/>
        <v>0</v>
      </c>
      <c r="AT49">
        <f t="shared" si="2"/>
        <v>0</v>
      </c>
      <c r="AU49" s="35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-0.3</v>
      </c>
      <c r="AV49" s="35" cm="1">
        <f t="array" ref="AV49">$G$11+VLOOKUP($Q49,武学奇术!$A:$ZZ,10,FALSE)+SUM(_xlfn.XLOOKUP(R49:AF49,增益!$A:$A,增益!$J:$J,0))</f>
        <v>0</v>
      </c>
      <c r="AW49">
        <f t="shared" si="3"/>
        <v>0</v>
      </c>
      <c r="AX49">
        <f t="shared" si="4"/>
        <v>0</v>
      </c>
      <c r="AY49" s="35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-0.3</v>
      </c>
      <c r="AZ49" s="35" cm="1">
        <f t="array" ref="AZ49">$G$12+VLOOKUP($Q49,武学奇术!$A:$ZZ,12,FALSE)+SUM(_xlfn.XLOOKUP(R49:AF49,增益!$A:$A,增益!$L:$L,0))</f>
        <v>0</v>
      </c>
      <c r="BA49">
        <f t="shared" si="5"/>
        <v>538</v>
      </c>
      <c r="BB49">
        <f t="shared" si="6"/>
        <v>1011</v>
      </c>
      <c r="BC49" s="35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0</v>
      </c>
      <c r="BD49" s="35" cm="1">
        <f t="array" ref="BD49">$G$13+VLOOKUP($Q49,武学奇术!$A:$ZZ,14,FALSE)+SUM(_xlfn.XLOOKUP(R49:AF49,增益!$A:$A,增益!$N:$N,0))</f>
        <v>0.15</v>
      </c>
      <c r="BE49">
        <f t="shared" si="7"/>
        <v>0</v>
      </c>
      <c r="BF49">
        <f t="shared" si="8"/>
        <v>0</v>
      </c>
      <c r="BG49" s="35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-0.3</v>
      </c>
      <c r="BH49" s="35" cm="1">
        <f t="array" ref="BH49">$G$14+VLOOKUP($Q49,武学奇术!$A:$ZZ,16,FALSE)+SUM(_xlfn.XLOOKUP(R49:AF49,增益!$A:$A,增益!$P:$P,0))</f>
        <v>0</v>
      </c>
      <c r="BI49" s="27">
        <f>MIN(IF(VLOOKUP($Q49,武学奇术!$A:$ZZ,23,FALSE)=1,100%,$B$8),100%)</f>
        <v>0.9969</v>
      </c>
      <c r="BJ49" s="27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0.9137</v>
      </c>
      <c r="BK49" s="27" cm="1">
        <f t="array" ref="BK49">1+$B$13+VLOOKUP($Q49,武学奇术!$A:$ZZ,18,FALSE)+SUM(_xlfn.XLOOKUP(R49:AF49,增益!$A:$A,增益!$R:$R,0))</f>
        <v>1.85</v>
      </c>
      <c r="BL49" s="27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0.0895</v>
      </c>
      <c r="BM49" s="27" cm="1">
        <f t="array" ref="BM49">1+$B$14+VLOOKUP($Q49,武学奇术!$A:$ZZ,20,FALSE)+SUM(_xlfn.XLOOKUP(R49:AF49,增益!$A:$A,增益!$T:$T,0))</f>
        <v>1.35</v>
      </c>
      <c r="BN49" s="27">
        <f t="shared" si="9"/>
        <v>0.90767745</v>
      </c>
      <c r="BO49" s="27">
        <f t="shared" si="10"/>
        <v>-1.30104260698261e-17</v>
      </c>
      <c r="BP49" s="27">
        <f>IF(VLOOKUP($Q49,武学奇术!$A:$ZZ,22,FALSE)=1,0,(1-$BI49))*(1-$BL49)</f>
        <v>0.00282254999999999</v>
      </c>
      <c r="BQ49" s="27" cm="1">
        <f t="array" ref="BQ49">SUM(_xlfn.XLOOKUP(R49:AF49,增益!$A:$A,增益!$W:$W,0))+$I$5</f>
        <v>0.21</v>
      </c>
    </row>
    <row r="50" spans="5:69">
      <c r="K50" s="41">
        <f t="shared" si="0"/>
        <v>37661.3929353052</v>
      </c>
      <c r="L50" s="41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弹道",$B$21,0))*(1+$BQ50)</f>
        <v>37565.6054196338</v>
      </c>
      <c r="M50" s="41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弹道",$B$21,0))*(1+$BQ50)</f>
        <v>39461.6497113063</v>
      </c>
      <c r="N50" s="41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弹道",$B$21,0))*(1+$BQ50)</f>
        <v>20305.7326592615</v>
      </c>
      <c r="O50" s="41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弹道",$B$21,0))*(1+$BQ50)</f>
        <v>11380.6136805184</v>
      </c>
      <c r="P50" s="42">
        <v>7</v>
      </c>
      <c r="Q50" s="43" t="s">
        <v>168</v>
      </c>
      <c r="R50" s="43" t="s">
        <v>93</v>
      </c>
      <c r="S50" s="43" t="s">
        <v>158</v>
      </c>
      <c r="T50" s="43" t="s">
        <v>73</v>
      </c>
      <c r="U50" s="43" t="s">
        <v>159</v>
      </c>
      <c r="V50" s="43" t="s">
        <v>73</v>
      </c>
      <c r="W50" s="43" t="s">
        <v>73</v>
      </c>
      <c r="X50" s="43" t="s">
        <v>73</v>
      </c>
      <c r="Y50" s="43" t="s">
        <v>164</v>
      </c>
      <c r="Z50" s="43" t="s">
        <v>73</v>
      </c>
      <c r="AA50" s="43" t="s">
        <v>73</v>
      </c>
      <c r="AB50" s="43" t="s">
        <v>73</v>
      </c>
      <c r="AC50" s="43" t="s">
        <v>165</v>
      </c>
      <c r="AD50" s="43" t="s">
        <v>73</v>
      </c>
      <c r="AE50" s="43" t="s">
        <v>73</v>
      </c>
      <c r="AF50" s="43" t="s">
        <v>75</v>
      </c>
      <c r="AG50" t="str">
        <f>VLOOKUP($Q50,武学奇术!$A:$ZZ,25,FALSE)</f>
        <v>单体奇术</v>
      </c>
      <c r="AH50" s="27">
        <f>VLOOKUP($Q50,武学奇术!$A:$ZZ,26,FALSE)</f>
        <v>0.236</v>
      </c>
      <c r="AI50" s="28">
        <f>VLOOKUP($Q50,武学奇术!$A:$ZZ,27,FALSE)*(1+IF(OR($AG50=$F$4,$AG50=$F$5),$B$22,0))</f>
        <v>44</v>
      </c>
      <c r="AJ50" s="27">
        <f>VLOOKUP($Q50,武学奇术!$A:$ZZ,28,FALSE)</f>
        <v>0.354</v>
      </c>
      <c r="AK50" s="28">
        <f>VLOOKUP($Q50,武学奇术!$A:$ZZ,29,FALSE)*(1+IF(OR($AG50=$F$4,$AG50=$F$5),$B$22,0))</f>
        <v>0</v>
      </c>
      <c r="AL50" s="27" cm="1">
        <f t="array" ref="AL50">$G$3+IFERROR(VLOOKUP($AG50,$F$4:$G$7,2,FALSE),0)+VLOOKUP($Q50,武学奇术!$A:$ZZ,2,FALSE)+SUM(_xlfn.XLOOKUP($R50:$AF50,增益!$A:$A,增益!$B:$B,0))</f>
        <v>0.4215</v>
      </c>
      <c r="AM50" s="27" cm="1">
        <f t="array" ref="AM50">VLOOKUP($Q50,武学奇术!$A:$ZZ,5,FALSE)+SUM(_xlfn.XLOOKUP($R50:$AF50,增益!$A:$A,增益!$E:$E,0))</f>
        <v>0.15</v>
      </c>
      <c r="AN50" cm="1">
        <f t="array" ref="AN50">$D$10*(1+$AM50)+VLOOKUP($Q50,武学奇术!$A:$ZZ,3,FALSE)+SUM(_xlfn.XLOOKUP($R50:$AF50,增益!$A:$A,增益!$C:$C,0))-$I$2</f>
        <v>2063.755</v>
      </c>
      <c r="AO50" cm="1">
        <f t="array" ref="AO50">$E$10*(1+$AM50)+VLOOKUP($Q50,武学奇术!$A:$ZZ,4,FALSE)+SUM(_xlfn.XLOOKUP($R50:$AF50,增益!$A:$A,增益!$D:$D,0))-$I$2</f>
        <v>6060.925</v>
      </c>
      <c r="AP50" s="35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0.3675</v>
      </c>
      <c r="AQ50" s="35" cm="1">
        <f t="array" ref="AQ50">$G$10+VLOOKUP($Q50,武学奇术!$A:$ZZ,7,FALSE)+SUM(_xlfn.XLOOKUP(R50:AF50,增益!$A:$A,增益!$G:$G,0))</f>
        <v>0</v>
      </c>
      <c r="AR50" s="27" cm="1">
        <f t="array" ref="AR50">VLOOKUP($Q50,武学奇术!$A:$ZZ,8,FALSE)+SUM(_xlfn.XLOOKUP(R50:AF50,增益!$A:$A,增益!$H:$H,0))</f>
        <v>0</v>
      </c>
      <c r="AS50">
        <f t="shared" si="1"/>
        <v>0</v>
      </c>
      <c r="AT50">
        <f t="shared" si="2"/>
        <v>0</v>
      </c>
      <c r="AU50" s="35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-0.3</v>
      </c>
      <c r="AV50" s="35" cm="1">
        <f t="array" ref="AV50">$G$11+VLOOKUP($Q50,武学奇术!$A:$ZZ,10,FALSE)+SUM(_xlfn.XLOOKUP(R50:AF50,增益!$A:$A,增益!$J:$J,0))</f>
        <v>0</v>
      </c>
      <c r="AW50">
        <f t="shared" si="3"/>
        <v>0</v>
      </c>
      <c r="AX50">
        <f t="shared" si="4"/>
        <v>0</v>
      </c>
      <c r="AY50" s="35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-0.3</v>
      </c>
      <c r="AZ50" s="35" cm="1">
        <f t="array" ref="AZ50">$G$12+VLOOKUP($Q50,武学奇术!$A:$ZZ,12,FALSE)+SUM(_xlfn.XLOOKUP(R50:AF50,增益!$A:$A,增益!$L:$L,0))</f>
        <v>0</v>
      </c>
      <c r="BA50">
        <f t="shared" si="5"/>
        <v>538</v>
      </c>
      <c r="BB50">
        <f t="shared" si="6"/>
        <v>1011</v>
      </c>
      <c r="BC50" s="35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0</v>
      </c>
      <c r="BD50" s="35" cm="1">
        <f t="array" ref="BD50">$G$13+VLOOKUP($Q50,武学奇术!$A:$ZZ,14,FALSE)+SUM(_xlfn.XLOOKUP(R50:AF50,增益!$A:$A,增益!$N:$N,0))</f>
        <v>0.15</v>
      </c>
      <c r="BE50">
        <f t="shared" si="7"/>
        <v>0</v>
      </c>
      <c r="BF50">
        <f t="shared" si="8"/>
        <v>0</v>
      </c>
      <c r="BG50" s="35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-0.3</v>
      </c>
      <c r="BH50" s="35" cm="1">
        <f t="array" ref="BH50">$G$14+VLOOKUP($Q50,武学奇术!$A:$ZZ,16,FALSE)+SUM(_xlfn.XLOOKUP(R50:AF50,增益!$A:$A,增益!$P:$P,0))</f>
        <v>0</v>
      </c>
      <c r="BI50" s="27">
        <f>MIN(IF(VLOOKUP($Q50,武学奇术!$A:$ZZ,23,FALSE)=1,100%,$B$8),100%)</f>
        <v>0.9969</v>
      </c>
      <c r="BJ50" s="27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0.9137</v>
      </c>
      <c r="BK50" s="27" cm="1">
        <f t="array" ref="BK50">1+$B$13+VLOOKUP($Q50,武学奇术!$A:$ZZ,18,FALSE)+SUM(_xlfn.XLOOKUP(R50:AF50,增益!$A:$A,增益!$R:$R,0))</f>
        <v>1.85</v>
      </c>
      <c r="BL50" s="27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0.0895</v>
      </c>
      <c r="BM50" s="27" cm="1">
        <f t="array" ref="BM50">1+$B$14+VLOOKUP($Q50,武学奇术!$A:$ZZ,20,FALSE)+SUM(_xlfn.XLOOKUP(R50:AF50,增益!$A:$A,增益!$T:$T,0))</f>
        <v>1.35</v>
      </c>
      <c r="BN50" s="27">
        <f t="shared" si="9"/>
        <v>0.90767745</v>
      </c>
      <c r="BO50" s="27">
        <f t="shared" si="10"/>
        <v>-1.30104260698261e-17</v>
      </c>
      <c r="BP50" s="27">
        <f>IF(VLOOKUP($Q50,武学奇术!$A:$ZZ,22,FALSE)=1,0,(1-$BI50))*(1-$BL50)</f>
        <v>0.00282254999999999</v>
      </c>
      <c r="BQ50" s="27" cm="1">
        <f t="array" ref="BQ50">SUM(_xlfn.XLOOKUP(R50:AF50,增益!$A:$A,增益!$W:$W,0))+$I$5</f>
        <v>0.21</v>
      </c>
    </row>
    <row r="51" spans="5:69">
      <c r="K51" s="41">
        <f t="shared" si="0"/>
        <v>19742.2177842686</v>
      </c>
      <c r="L51" s="41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弹道",$B$21,0))*(1+$BQ51)</f>
        <v>19692.0056745188</v>
      </c>
      <c r="M51" s="41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弹道",$B$21,0))*(1+$BQ51)</f>
        <v>20685.9179124203</v>
      </c>
      <c r="N51" s="41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弹道",$B$21,0))*(1+$BQ51)</f>
        <v>10644.3273916318</v>
      </c>
      <c r="O51" s="41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弹道",$B$21,0))*(1+$BQ51)</f>
        <v>5965.75262591518</v>
      </c>
      <c r="P51" s="42">
        <v>4</v>
      </c>
      <c r="Q51" s="43" t="s">
        <v>168</v>
      </c>
      <c r="R51" s="43" t="s">
        <v>93</v>
      </c>
      <c r="S51" s="43" t="s">
        <v>158</v>
      </c>
      <c r="T51" s="43" t="s">
        <v>73</v>
      </c>
      <c r="U51" s="43" t="s">
        <v>159</v>
      </c>
      <c r="V51" s="43" t="s">
        <v>73</v>
      </c>
      <c r="W51" s="43" t="s">
        <v>73</v>
      </c>
      <c r="X51" s="43" t="s">
        <v>73</v>
      </c>
      <c r="Y51" s="43" t="s">
        <v>164</v>
      </c>
      <c r="Z51" s="43" t="s">
        <v>73</v>
      </c>
      <c r="AA51" s="43" t="s">
        <v>73</v>
      </c>
      <c r="AB51" s="43" t="s">
        <v>73</v>
      </c>
      <c r="AC51" s="43" t="s">
        <v>73</v>
      </c>
      <c r="AD51" s="43" t="s">
        <v>73</v>
      </c>
      <c r="AE51" s="43" t="s">
        <v>73</v>
      </c>
      <c r="AF51" s="43" t="s">
        <v>75</v>
      </c>
      <c r="AG51" t="str">
        <f>VLOOKUP($Q51,武学奇术!$A:$ZZ,25,FALSE)</f>
        <v>单体奇术</v>
      </c>
      <c r="AH51" s="27">
        <f>VLOOKUP($Q51,武学奇术!$A:$ZZ,26,FALSE)</f>
        <v>0.236</v>
      </c>
      <c r="AI51" s="28">
        <f>VLOOKUP($Q51,武学奇术!$A:$ZZ,27,FALSE)*(1+IF(OR($AG51=$F$4,$AG51=$F$5),$B$22,0))</f>
        <v>44</v>
      </c>
      <c r="AJ51" s="27">
        <f>VLOOKUP($Q51,武学奇术!$A:$ZZ,28,FALSE)</f>
        <v>0.354</v>
      </c>
      <c r="AK51" s="28">
        <f>VLOOKUP($Q51,武学奇术!$A:$ZZ,29,FALSE)*(1+IF(OR($AG51=$F$4,$AG51=$F$5),$B$22,0))</f>
        <v>0</v>
      </c>
      <c r="AL51" s="27" cm="1">
        <f t="array" ref="AL51">$G$3+IFERROR(VLOOKUP($AG51,$F$4:$G$7,2,FALSE),0)+VLOOKUP($Q51,武学奇术!$A:$ZZ,2,FALSE)+SUM(_xlfn.XLOOKUP($R51:$AF51,增益!$A:$A,增益!$B:$B,0))</f>
        <v>0.4215</v>
      </c>
      <c r="AM51" s="27" cm="1">
        <f t="array" ref="AM51">VLOOKUP($Q51,武学奇术!$A:$ZZ,5,FALSE)+SUM(_xlfn.XLOOKUP($R51:$AF51,增益!$A:$A,增益!$E:$E,0))</f>
        <v>0.15</v>
      </c>
      <c r="AN51" cm="1">
        <f t="array" ref="AN51">$D$10*(1+$AM51)+VLOOKUP($Q51,武学奇术!$A:$ZZ,3,FALSE)+SUM(_xlfn.XLOOKUP($R51:$AF51,增益!$A:$A,增益!$C:$C,0))-$I$2</f>
        <v>2063.755</v>
      </c>
      <c r="AO51" cm="1">
        <f t="array" ref="AO51">$E$10*(1+$AM51)+VLOOKUP($Q51,武学奇术!$A:$ZZ,4,FALSE)+SUM(_xlfn.XLOOKUP($R51:$AF51,增益!$A:$A,增益!$D:$D,0))-$I$2</f>
        <v>6060.925</v>
      </c>
      <c r="AP51" s="35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0.3675</v>
      </c>
      <c r="AQ51" s="35" cm="1">
        <f t="array" ref="AQ51">$G$10+VLOOKUP($Q51,武学奇术!$A:$ZZ,7,FALSE)+SUM(_xlfn.XLOOKUP(R51:AF51,增益!$A:$A,增益!$G:$G,0))</f>
        <v>0</v>
      </c>
      <c r="AR51" s="27" cm="1">
        <f t="array" ref="AR51">VLOOKUP($Q51,武学奇术!$A:$ZZ,8,FALSE)+SUM(_xlfn.XLOOKUP(R51:AF51,增益!$A:$A,增益!$H:$H,0))</f>
        <v>0</v>
      </c>
      <c r="AS51">
        <f t="shared" si="1"/>
        <v>0</v>
      </c>
      <c r="AT51">
        <f t="shared" si="2"/>
        <v>0</v>
      </c>
      <c r="AU51" s="35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-0.3</v>
      </c>
      <c r="AV51" s="35" cm="1">
        <f t="array" ref="AV51">$G$11+VLOOKUP($Q51,武学奇术!$A:$ZZ,10,FALSE)+SUM(_xlfn.XLOOKUP(R51:AF51,增益!$A:$A,增益!$J:$J,0))</f>
        <v>0</v>
      </c>
      <c r="AW51">
        <f t="shared" si="3"/>
        <v>0</v>
      </c>
      <c r="AX51">
        <f t="shared" si="4"/>
        <v>0</v>
      </c>
      <c r="AY51" s="35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-0.3</v>
      </c>
      <c r="AZ51" s="35" cm="1">
        <f t="array" ref="AZ51">$G$12+VLOOKUP($Q51,武学奇术!$A:$ZZ,12,FALSE)+SUM(_xlfn.XLOOKUP(R51:AF51,增益!$A:$A,增益!$L:$L,0))</f>
        <v>0</v>
      </c>
      <c r="BA51">
        <f t="shared" si="5"/>
        <v>538</v>
      </c>
      <c r="BB51">
        <f t="shared" si="6"/>
        <v>1011</v>
      </c>
      <c r="BC51" s="35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0</v>
      </c>
      <c r="BD51" s="35" cm="1">
        <f t="array" ref="BD51">$G$13+VLOOKUP($Q51,武学奇术!$A:$ZZ,14,FALSE)+SUM(_xlfn.XLOOKUP(R51:AF51,增益!$A:$A,增益!$N:$N,0))</f>
        <v>0.15</v>
      </c>
      <c r="BE51">
        <f t="shared" si="7"/>
        <v>0</v>
      </c>
      <c r="BF51">
        <f t="shared" si="8"/>
        <v>0</v>
      </c>
      <c r="BG51" s="35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-0.3</v>
      </c>
      <c r="BH51" s="35" cm="1">
        <f t="array" ref="BH51">$G$14+VLOOKUP($Q51,武学奇术!$A:$ZZ,16,FALSE)+SUM(_xlfn.XLOOKUP(R51:AF51,增益!$A:$A,增益!$P:$P,0))</f>
        <v>0</v>
      </c>
      <c r="BI51" s="27">
        <f>MIN(IF(VLOOKUP($Q51,武学奇术!$A:$ZZ,23,FALSE)=1,100%,$B$8),100%)</f>
        <v>0.9969</v>
      </c>
      <c r="BJ51" s="27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0.9137</v>
      </c>
      <c r="BK51" s="27" cm="1">
        <f t="array" ref="BK51">1+$B$13+VLOOKUP($Q51,武学奇术!$A:$ZZ,18,FALSE)+SUM(_xlfn.XLOOKUP(R51:AF51,增益!$A:$A,增益!$R:$R,0))</f>
        <v>1.85</v>
      </c>
      <c r="BL51" s="27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0.0895</v>
      </c>
      <c r="BM51" s="27" cm="1">
        <f t="array" ref="BM51">1+$B$14+VLOOKUP($Q51,武学奇术!$A:$ZZ,20,FALSE)+SUM(_xlfn.XLOOKUP(R51:AF51,增益!$A:$A,增益!$T:$T,0))</f>
        <v>1.35</v>
      </c>
      <c r="BN51" s="27">
        <f t="shared" si="9"/>
        <v>0.90767745</v>
      </c>
      <c r="BO51" s="27">
        <f t="shared" si="10"/>
        <v>-1.30104260698261e-17</v>
      </c>
      <c r="BP51" s="27">
        <f>IF(VLOOKUP($Q51,武学奇术!$A:$ZZ,22,FALSE)=1,0,(1-$BI51))*(1-$BL51)</f>
        <v>0.00282254999999999</v>
      </c>
      <c r="BQ51" s="27" cm="1">
        <f t="array" ref="BQ51">SUM(_xlfn.XLOOKUP(R51:AF51,增益!$A:$A,增益!$W:$W,0))+$I$5</f>
        <v>0.11</v>
      </c>
    </row>
    <row r="52" spans="5:69">
      <c r="K52" s="41">
        <f t="shared" si="0"/>
        <v>139992.415098294</v>
      </c>
      <c r="L52" s="41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弹道",$B$21,0))*(1+$BQ52)</f>
        <v>139634.989009928</v>
      </c>
      <c r="M52" s="41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弹道",$B$21,0))*(1+$BQ52)</f>
        <v>146698.495384577</v>
      </c>
      <c r="N52" s="41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弹道",$B$21,0))*(1+$BQ52)</f>
        <v>75478.3724377989</v>
      </c>
      <c r="O52" s="41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弹道",$B$21,0))*(1+$BQ52)</f>
        <v>42291.1927388743</v>
      </c>
      <c r="P52" s="42">
        <v>6</v>
      </c>
      <c r="Q52" s="43" t="s">
        <v>171</v>
      </c>
      <c r="R52" s="43" t="s">
        <v>93</v>
      </c>
      <c r="S52" s="43" t="s">
        <v>158</v>
      </c>
      <c r="T52" s="43" t="s">
        <v>73</v>
      </c>
      <c r="U52" s="43" t="s">
        <v>159</v>
      </c>
      <c r="V52" s="43" t="s">
        <v>73</v>
      </c>
      <c r="W52" s="43" t="s">
        <v>73</v>
      </c>
      <c r="X52" s="43" t="s">
        <v>73</v>
      </c>
      <c r="Y52" s="43" t="s">
        <v>164</v>
      </c>
      <c r="Z52" s="43" t="s">
        <v>73</v>
      </c>
      <c r="AA52" s="43" t="s">
        <v>73</v>
      </c>
      <c r="AB52" s="43" t="s">
        <v>73</v>
      </c>
      <c r="AC52" s="43" t="s">
        <v>165</v>
      </c>
      <c r="AD52" s="43" t="s">
        <v>73</v>
      </c>
      <c r="AE52" s="43" t="s">
        <v>73</v>
      </c>
      <c r="AF52" s="43" t="s">
        <v>75</v>
      </c>
      <c r="AG52" t="str">
        <f>VLOOKUP($Q52,武学奇术!$A:$ZZ,25,FALSE)</f>
        <v>单体奇术</v>
      </c>
      <c r="AH52" s="27">
        <f>VLOOKUP($Q52,武学奇术!$A:$ZZ,26,FALSE)</f>
        <v>1.0238</v>
      </c>
      <c r="AI52" s="28">
        <f>VLOOKUP($Q52,武学奇术!$A:$ZZ,27,FALSE)*(1+IF(OR($AG52=$F$4,$AG52=$F$5),$B$22,0))</f>
        <v>189</v>
      </c>
      <c r="AJ52" s="27">
        <f>VLOOKUP($Q52,武学奇术!$A:$ZZ,28,FALSE)</f>
        <v>1.5357</v>
      </c>
      <c r="AK52" s="28">
        <f>VLOOKUP($Q52,武学奇术!$A:$ZZ,29,FALSE)*(1+IF(OR($AG52=$F$4,$AG52=$F$5),$B$22,0))</f>
        <v>0</v>
      </c>
      <c r="AL52" s="27" cm="1">
        <f t="array" ref="AL52">$G$3+IFERROR(VLOOKUP($AG52,$F$4:$G$7,2,FALSE),0)+VLOOKUP($Q52,武学奇术!$A:$ZZ,2,FALSE)+SUM(_xlfn.XLOOKUP($R52:$AF52,增益!$A:$A,增益!$B:$B,0))</f>
        <v>0.4215</v>
      </c>
      <c r="AM52" s="27" cm="1">
        <f t="array" ref="AM52">VLOOKUP($Q52,武学奇术!$A:$ZZ,5,FALSE)+SUM(_xlfn.XLOOKUP($R52:$AF52,增益!$A:$A,增益!$E:$E,0))</f>
        <v>0.15</v>
      </c>
      <c r="AN52" cm="1">
        <f t="array" ref="AN52">$D$10*(1+$AM52)+VLOOKUP($Q52,武学奇术!$A:$ZZ,3,FALSE)+SUM(_xlfn.XLOOKUP($R52:$AF52,增益!$A:$A,增益!$C:$C,0))-$I$2</f>
        <v>2063.755</v>
      </c>
      <c r="AO52" cm="1">
        <f t="array" ref="AO52">$E$10*(1+$AM52)+VLOOKUP($Q52,武学奇术!$A:$ZZ,4,FALSE)+SUM(_xlfn.XLOOKUP($R52:$AF52,增益!$A:$A,增益!$D:$D,0))-$I$2</f>
        <v>6060.925</v>
      </c>
      <c r="AP52" s="35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0.3675</v>
      </c>
      <c r="AQ52" s="35" cm="1">
        <f t="array" ref="AQ52">$G$10+VLOOKUP($Q52,武学奇术!$A:$ZZ,7,FALSE)+SUM(_xlfn.XLOOKUP(R52:AF52,增益!$A:$A,增益!$G:$G,0))</f>
        <v>0</v>
      </c>
      <c r="AR52" s="27" cm="1">
        <f t="array" ref="AR52">VLOOKUP($Q52,武学奇术!$A:$ZZ,8,FALSE)+SUM(_xlfn.XLOOKUP(R52:AF52,增益!$A:$A,增益!$H:$H,0))</f>
        <v>0</v>
      </c>
      <c r="AS52">
        <f t="shared" si="1"/>
        <v>0</v>
      </c>
      <c r="AT52">
        <f t="shared" si="2"/>
        <v>0</v>
      </c>
      <c r="AU52" s="35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-0.3</v>
      </c>
      <c r="AV52" s="35" cm="1">
        <f t="array" ref="AV52">$G$11+VLOOKUP($Q52,武学奇术!$A:$ZZ,10,FALSE)+SUM(_xlfn.XLOOKUP(R52:AF52,增益!$A:$A,增益!$J:$J,0))</f>
        <v>0</v>
      </c>
      <c r="AW52">
        <f t="shared" si="3"/>
        <v>0</v>
      </c>
      <c r="AX52">
        <f t="shared" si="4"/>
        <v>0</v>
      </c>
      <c r="AY52" s="35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-0.3</v>
      </c>
      <c r="AZ52" s="35" cm="1">
        <f t="array" ref="AZ52">$G$12+VLOOKUP($Q52,武学奇术!$A:$ZZ,12,FALSE)+SUM(_xlfn.XLOOKUP(R52:AF52,增益!$A:$A,增益!$L:$L,0))</f>
        <v>0</v>
      </c>
      <c r="BA52">
        <f t="shared" si="5"/>
        <v>538</v>
      </c>
      <c r="BB52">
        <f t="shared" si="6"/>
        <v>1011</v>
      </c>
      <c r="BC52" s="35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0</v>
      </c>
      <c r="BD52" s="35" cm="1">
        <f t="array" ref="BD52">$G$13+VLOOKUP($Q52,武学奇术!$A:$ZZ,14,FALSE)+SUM(_xlfn.XLOOKUP(R52:AF52,增益!$A:$A,增益!$N:$N,0))</f>
        <v>0.15</v>
      </c>
      <c r="BE52">
        <f t="shared" si="7"/>
        <v>0</v>
      </c>
      <c r="BF52">
        <f t="shared" si="8"/>
        <v>0</v>
      </c>
      <c r="BG52" s="35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-0.3</v>
      </c>
      <c r="BH52" s="35" cm="1">
        <f t="array" ref="BH52">$G$14+VLOOKUP($Q52,武学奇术!$A:$ZZ,16,FALSE)+SUM(_xlfn.XLOOKUP(R52:AF52,增益!$A:$A,增益!$P:$P,0))</f>
        <v>0</v>
      </c>
      <c r="BI52" s="27">
        <f>MIN(IF(VLOOKUP($Q52,武学奇术!$A:$ZZ,23,FALSE)=1,100%,$B$8),100%)</f>
        <v>0.9969</v>
      </c>
      <c r="BJ52" s="27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0.9137</v>
      </c>
      <c r="BK52" s="27" cm="1">
        <f t="array" ref="BK52">1+$B$13+VLOOKUP($Q52,武学奇术!$A:$ZZ,18,FALSE)+SUM(_xlfn.XLOOKUP(R52:AF52,增益!$A:$A,增益!$R:$R,0))</f>
        <v>1.85</v>
      </c>
      <c r="BL52" s="27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0.0895</v>
      </c>
      <c r="BM52" s="27" cm="1">
        <f t="array" ref="BM52">1+$B$14+VLOOKUP($Q52,武学奇术!$A:$ZZ,20,FALSE)+SUM(_xlfn.XLOOKUP(R52:AF52,增益!$A:$A,增益!$T:$T,0))</f>
        <v>1.35</v>
      </c>
      <c r="BN52" s="27">
        <f t="shared" si="9"/>
        <v>0.90767745</v>
      </c>
      <c r="BO52" s="27">
        <f t="shared" si="10"/>
        <v>-1.30104260698261e-17</v>
      </c>
      <c r="BP52" s="27">
        <f>IF(VLOOKUP($Q52,武学奇术!$A:$ZZ,22,FALSE)=1,0,(1-$BI52))*(1-$BL52)</f>
        <v>0.00282254999999999</v>
      </c>
      <c r="BQ52" s="27" cm="1">
        <f t="array" ref="BQ52">SUM(_xlfn.XLOOKUP(R52:AF52,增益!$A:$A,增益!$W:$W,0))+$I$5</f>
        <v>0.21</v>
      </c>
    </row>
    <row r="53" spans="5:69">
      <c r="K53" s="41">
        <f t="shared" si="0"/>
        <v>60770.5638713918</v>
      </c>
      <c r="L53" s="41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弹道",$B$21,0))*(1+$BQ53)</f>
        <v>60615.406743484</v>
      </c>
      <c r="M53" s="41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弹道",$B$21,0))*(1+$BQ53)</f>
        <v>63681.6542516999</v>
      </c>
      <c r="N53" s="41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弹道",$B$21,0))*(1+$BQ53)</f>
        <v>32765.0847262075</v>
      </c>
      <c r="O53" s="41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弹道",$B$21,0))*(1+$BQ53)</f>
        <v>18358.5737104152</v>
      </c>
      <c r="P53" s="42">
        <v>1</v>
      </c>
      <c r="Q53" s="43" t="s">
        <v>172</v>
      </c>
      <c r="R53" s="43" t="s">
        <v>93</v>
      </c>
      <c r="S53" s="43" t="s">
        <v>158</v>
      </c>
      <c r="T53" s="43" t="s">
        <v>73</v>
      </c>
      <c r="U53" s="43" t="s">
        <v>159</v>
      </c>
      <c r="V53" s="43" t="s">
        <v>73</v>
      </c>
      <c r="W53" s="43" t="s">
        <v>73</v>
      </c>
      <c r="X53" s="43" t="s">
        <v>73</v>
      </c>
      <c r="Y53" s="43" t="s">
        <v>164</v>
      </c>
      <c r="Z53" s="43" t="s">
        <v>73</v>
      </c>
      <c r="AA53" s="43" t="s">
        <v>73</v>
      </c>
      <c r="AB53" s="43" t="s">
        <v>73</v>
      </c>
      <c r="AC53" s="43" t="s">
        <v>165</v>
      </c>
      <c r="AD53" s="43" t="s">
        <v>73</v>
      </c>
      <c r="AE53" s="43" t="s">
        <v>73</v>
      </c>
      <c r="AF53" s="43" t="s">
        <v>75</v>
      </c>
      <c r="AG53" t="str">
        <f>VLOOKUP($Q53,武学奇术!$A:$ZZ,25,FALSE)</f>
        <v>单体奇术</v>
      </c>
      <c r="AH53" s="27">
        <f>VLOOKUP($Q53,武学奇术!$A:$ZZ,26,FALSE)</f>
        <v>1.7063</v>
      </c>
      <c r="AI53" s="28">
        <f>VLOOKUP($Q53,武学奇术!$A:$ZZ,27,FALSE)*(1+IF(OR($AG53=$F$4,$AG53=$F$5),$B$22,0))</f>
        <v>315</v>
      </c>
      <c r="AJ53" s="27">
        <f>VLOOKUP($Q53,武学奇术!$A:$ZZ,28,FALSE)</f>
        <v>2.55945</v>
      </c>
      <c r="AK53" s="28">
        <f>VLOOKUP($Q53,武学奇术!$A:$ZZ,29,FALSE)*(1+IF(OR($AG53=$F$4,$AG53=$F$5),$B$22,0))</f>
        <v>0</v>
      </c>
      <c r="AL53" s="27" cm="1">
        <f t="array" ref="AL53">$G$3+IFERROR(VLOOKUP($AG53,$F$4:$G$7,2,FALSE),0)+VLOOKUP($Q53,武学奇术!$A:$ZZ,2,FALSE)+SUM(_xlfn.XLOOKUP($R53:$AF53,增益!$A:$A,增益!$B:$B,0))</f>
        <v>1.2215</v>
      </c>
      <c r="AM53" s="27" cm="1">
        <f t="array" ref="AM53">VLOOKUP($Q53,武学奇术!$A:$ZZ,5,FALSE)+SUM(_xlfn.XLOOKUP($R53:$AF53,增益!$A:$A,增益!$E:$E,0))</f>
        <v>0.15</v>
      </c>
      <c r="AN53" cm="1">
        <f t="array" ref="AN53">$D$10*(1+$AM53)+VLOOKUP($Q53,武学奇术!$A:$ZZ,3,FALSE)+SUM(_xlfn.XLOOKUP($R53:$AF53,增益!$A:$A,增益!$C:$C,0))-$I$2</f>
        <v>2063.755</v>
      </c>
      <c r="AO53" cm="1">
        <f t="array" ref="AO53">$E$10*(1+$AM53)+VLOOKUP($Q53,武学奇术!$A:$ZZ,4,FALSE)+SUM(_xlfn.XLOOKUP($R53:$AF53,增益!$A:$A,增益!$D:$D,0))-$I$2</f>
        <v>6060.925</v>
      </c>
      <c r="AP53" s="35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0.3675</v>
      </c>
      <c r="AQ53" s="35" cm="1">
        <f t="array" ref="AQ53">$G$10+VLOOKUP($Q53,武学奇术!$A:$ZZ,7,FALSE)+SUM(_xlfn.XLOOKUP(R53:AF53,增益!$A:$A,增益!$G:$G,0))</f>
        <v>0</v>
      </c>
      <c r="AR53" s="27" cm="1">
        <f t="array" ref="AR53">VLOOKUP($Q53,武学奇术!$A:$ZZ,8,FALSE)+SUM(_xlfn.XLOOKUP(R53:AF53,增益!$A:$A,增益!$H:$H,0))</f>
        <v>0</v>
      </c>
      <c r="AS53">
        <f t="shared" si="1"/>
        <v>0</v>
      </c>
      <c r="AT53">
        <f t="shared" si="2"/>
        <v>0</v>
      </c>
      <c r="AU53" s="35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-0.3</v>
      </c>
      <c r="AV53" s="35" cm="1">
        <f t="array" ref="AV53">$G$11+VLOOKUP($Q53,武学奇术!$A:$ZZ,10,FALSE)+SUM(_xlfn.XLOOKUP(R53:AF53,增益!$A:$A,增益!$J:$J,0))</f>
        <v>0</v>
      </c>
      <c r="AW53">
        <f t="shared" si="3"/>
        <v>0</v>
      </c>
      <c r="AX53">
        <f t="shared" si="4"/>
        <v>0</v>
      </c>
      <c r="AY53" s="35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-0.3</v>
      </c>
      <c r="AZ53" s="35" cm="1">
        <f t="array" ref="AZ53">$G$12+VLOOKUP($Q53,武学奇术!$A:$ZZ,12,FALSE)+SUM(_xlfn.XLOOKUP(R53:AF53,增益!$A:$A,增益!$L:$L,0))</f>
        <v>0</v>
      </c>
      <c r="BA53">
        <f t="shared" si="5"/>
        <v>538</v>
      </c>
      <c r="BB53">
        <f t="shared" si="6"/>
        <v>1011</v>
      </c>
      <c r="BC53" s="35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0</v>
      </c>
      <c r="BD53" s="35" cm="1">
        <f t="array" ref="BD53">$G$13+VLOOKUP($Q53,武学奇术!$A:$ZZ,14,FALSE)+SUM(_xlfn.XLOOKUP(R53:AF53,增益!$A:$A,增益!$N:$N,0))</f>
        <v>0.15</v>
      </c>
      <c r="BE53">
        <f t="shared" si="7"/>
        <v>0</v>
      </c>
      <c r="BF53">
        <f t="shared" si="8"/>
        <v>0</v>
      </c>
      <c r="BG53" s="35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-0.3</v>
      </c>
      <c r="BH53" s="35" cm="1">
        <f t="array" ref="BH53">$G$14+VLOOKUP($Q53,武学奇术!$A:$ZZ,16,FALSE)+SUM(_xlfn.XLOOKUP(R53:AF53,增益!$A:$A,增益!$P:$P,0))</f>
        <v>0</v>
      </c>
      <c r="BI53" s="27">
        <f>MIN(IF(VLOOKUP($Q53,武学奇术!$A:$ZZ,23,FALSE)=1,100%,$B$8),100%)</f>
        <v>0.9969</v>
      </c>
      <c r="BJ53" s="27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0.9137</v>
      </c>
      <c r="BK53" s="27" cm="1">
        <f t="array" ref="BK53">1+$B$13+VLOOKUP($Q53,武学奇术!$A:$ZZ,18,FALSE)+SUM(_xlfn.XLOOKUP(R53:AF53,增益!$A:$A,增益!$R:$R,0))</f>
        <v>1.85</v>
      </c>
      <c r="BL53" s="27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0.0895</v>
      </c>
      <c r="BM53" s="27" cm="1">
        <f t="array" ref="BM53">1+$B$14+VLOOKUP($Q53,武学奇术!$A:$ZZ,20,FALSE)+SUM(_xlfn.XLOOKUP(R53:AF53,增益!$A:$A,增益!$T:$T,0))</f>
        <v>1.35</v>
      </c>
      <c r="BN53" s="27">
        <f t="shared" si="9"/>
        <v>0.90767745</v>
      </c>
      <c r="BO53" s="27">
        <f t="shared" si="10"/>
        <v>-1.30104260698261e-17</v>
      </c>
      <c r="BP53" s="27">
        <f>IF(VLOOKUP($Q53,武学奇术!$A:$ZZ,22,FALSE)=1,0,(1-$BI53))*(1-$BL53)</f>
        <v>0.00282254999999999</v>
      </c>
      <c r="BQ53" s="27" cm="1">
        <f t="array" ref="BQ53">SUM(_xlfn.XLOOKUP(R53:AF53,增益!$A:$A,增益!$W:$W,0))+$I$5</f>
        <v>0.21</v>
      </c>
    </row>
    <row r="54" spans="5:69">
      <c r="K54" s="41">
        <f t="shared" si="0"/>
        <v>256648.359644044</v>
      </c>
      <c r="L54" s="41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弹道",$B$21,0))*(1+$BQ54)</f>
        <v>255993.094213865</v>
      </c>
      <c r="M54" s="41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弹道",$B$21,0))*(1+$BQ54)</f>
        <v>268942.582502313</v>
      </c>
      <c r="N54" s="41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弹道",$B$21,0))*(1+$BQ54)</f>
        <v>138374.645521008</v>
      </c>
      <c r="O54" s="41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弹道",$B$21,0))*(1+$BQ54)</f>
        <v>77532.5632625251</v>
      </c>
      <c r="P54" s="42">
        <v>7</v>
      </c>
      <c r="Q54" s="43" t="s">
        <v>173</v>
      </c>
      <c r="R54" s="43" t="s">
        <v>93</v>
      </c>
      <c r="S54" s="43" t="s">
        <v>158</v>
      </c>
      <c r="T54" s="43" t="s">
        <v>73</v>
      </c>
      <c r="U54" s="43" t="s">
        <v>159</v>
      </c>
      <c r="V54" s="43" t="s">
        <v>73</v>
      </c>
      <c r="W54" s="43" t="s">
        <v>73</v>
      </c>
      <c r="X54" s="43" t="s">
        <v>73</v>
      </c>
      <c r="Y54" s="43" t="s">
        <v>164</v>
      </c>
      <c r="Z54" s="43" t="s">
        <v>73</v>
      </c>
      <c r="AA54" s="43" t="s">
        <v>73</v>
      </c>
      <c r="AB54" s="43" t="s">
        <v>73</v>
      </c>
      <c r="AC54" s="43" t="s">
        <v>165</v>
      </c>
      <c r="AD54" s="43" t="s">
        <v>73</v>
      </c>
      <c r="AE54" s="43" t="s">
        <v>73</v>
      </c>
      <c r="AF54" s="43" t="s">
        <v>75</v>
      </c>
      <c r="AG54" t="str">
        <f>VLOOKUP($Q54,武学奇术!$A:$ZZ,25,FALSE)</f>
        <v>单体奇术</v>
      </c>
      <c r="AH54" s="27">
        <f>VLOOKUP($Q54,武学奇术!$A:$ZZ,26,FALSE)</f>
        <v>1.6088</v>
      </c>
      <c r="AI54" s="28">
        <f>VLOOKUP($Q54,武学奇术!$A:$ZZ,27,FALSE)*(1+IF(OR($AG54=$F$4,$AG54=$F$5),$B$22,0))</f>
        <v>297</v>
      </c>
      <c r="AJ54" s="27">
        <f>VLOOKUP($Q54,武学奇术!$A:$ZZ,28,FALSE)</f>
        <v>2.4132</v>
      </c>
      <c r="AK54" s="28">
        <f>VLOOKUP($Q54,武学奇术!$A:$ZZ,29,FALSE)*(1+IF(OR($AG54=$F$4,$AG54=$F$5),$B$22,0))</f>
        <v>0</v>
      </c>
      <c r="AL54" s="27" cm="1">
        <f t="array" ref="AL54">$G$3+IFERROR(VLOOKUP($AG54,$F$4:$G$7,2,FALSE),0)+VLOOKUP($Q54,武学奇术!$A:$ZZ,2,FALSE)+SUM(_xlfn.XLOOKUP($R54:$AF54,增益!$A:$A,增益!$B:$B,0))</f>
        <v>0.4215</v>
      </c>
      <c r="AM54" s="27" cm="1">
        <f t="array" ref="AM54">VLOOKUP($Q54,武学奇术!$A:$ZZ,5,FALSE)+SUM(_xlfn.XLOOKUP($R54:$AF54,增益!$A:$A,增益!$E:$E,0))</f>
        <v>0.15</v>
      </c>
      <c r="AN54" cm="1">
        <f t="array" ref="AN54">$D$10*(1+$AM54)+VLOOKUP($Q54,武学奇术!$A:$ZZ,3,FALSE)+SUM(_xlfn.XLOOKUP($R54:$AF54,增益!$A:$A,增益!$C:$C,0))-$I$2</f>
        <v>2063.755</v>
      </c>
      <c r="AO54" cm="1">
        <f t="array" ref="AO54">$E$10*(1+$AM54)+VLOOKUP($Q54,武学奇术!$A:$ZZ,4,FALSE)+SUM(_xlfn.XLOOKUP($R54:$AF54,增益!$A:$A,增益!$D:$D,0))-$I$2</f>
        <v>6060.925</v>
      </c>
      <c r="AP54" s="35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0.3675</v>
      </c>
      <c r="AQ54" s="35" cm="1">
        <f t="array" ref="AQ54">$G$10+VLOOKUP($Q54,武学奇术!$A:$ZZ,7,FALSE)+SUM(_xlfn.XLOOKUP(R54:AF54,增益!$A:$A,增益!$G:$G,0))</f>
        <v>0</v>
      </c>
      <c r="AR54" s="27" cm="1">
        <f t="array" ref="AR54">VLOOKUP($Q54,武学奇术!$A:$ZZ,8,FALSE)+SUM(_xlfn.XLOOKUP(R54:AF54,增益!$A:$A,增益!$H:$H,0))</f>
        <v>0</v>
      </c>
      <c r="AS54">
        <f t="shared" si="1"/>
        <v>0</v>
      </c>
      <c r="AT54">
        <f t="shared" si="2"/>
        <v>0</v>
      </c>
      <c r="AU54" s="35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-0.3</v>
      </c>
      <c r="AV54" s="35" cm="1">
        <f t="array" ref="AV54">$G$11+VLOOKUP($Q54,武学奇术!$A:$ZZ,10,FALSE)+SUM(_xlfn.XLOOKUP(R54:AF54,增益!$A:$A,增益!$J:$J,0))</f>
        <v>0</v>
      </c>
      <c r="AW54">
        <f t="shared" si="3"/>
        <v>0</v>
      </c>
      <c r="AX54">
        <f t="shared" si="4"/>
        <v>0</v>
      </c>
      <c r="AY54" s="35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-0.3</v>
      </c>
      <c r="AZ54" s="35" cm="1">
        <f t="array" ref="AZ54">$G$12+VLOOKUP($Q54,武学奇术!$A:$ZZ,12,FALSE)+SUM(_xlfn.XLOOKUP(R54:AF54,增益!$A:$A,增益!$L:$L,0))</f>
        <v>0</v>
      </c>
      <c r="BA54">
        <f t="shared" si="5"/>
        <v>538</v>
      </c>
      <c r="BB54">
        <f t="shared" si="6"/>
        <v>1011</v>
      </c>
      <c r="BC54" s="35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0</v>
      </c>
      <c r="BD54" s="35" cm="1">
        <f t="array" ref="BD54">$G$13+VLOOKUP($Q54,武学奇术!$A:$ZZ,14,FALSE)+SUM(_xlfn.XLOOKUP(R54:AF54,增益!$A:$A,增益!$N:$N,0))</f>
        <v>0.15</v>
      </c>
      <c r="BE54">
        <f t="shared" si="7"/>
        <v>0</v>
      </c>
      <c r="BF54">
        <f t="shared" si="8"/>
        <v>0</v>
      </c>
      <c r="BG54" s="35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-0.3</v>
      </c>
      <c r="BH54" s="35" cm="1">
        <f t="array" ref="BH54">$G$14+VLOOKUP($Q54,武学奇术!$A:$ZZ,16,FALSE)+SUM(_xlfn.XLOOKUP(R54:AF54,增益!$A:$A,增益!$P:$P,0))</f>
        <v>0</v>
      </c>
      <c r="BI54" s="27">
        <f>MIN(IF(VLOOKUP($Q54,武学奇术!$A:$ZZ,23,FALSE)=1,100%,$B$8),100%)</f>
        <v>0.9969</v>
      </c>
      <c r="BJ54" s="27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0.9137</v>
      </c>
      <c r="BK54" s="27" cm="1">
        <f t="array" ref="BK54">1+$B$13+VLOOKUP($Q54,武学奇术!$A:$ZZ,18,FALSE)+SUM(_xlfn.XLOOKUP(R54:AF54,增益!$A:$A,增益!$R:$R,0))</f>
        <v>1.85</v>
      </c>
      <c r="BL54" s="27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0.0895</v>
      </c>
      <c r="BM54" s="27" cm="1">
        <f t="array" ref="BM54">1+$B$14+VLOOKUP($Q54,武学奇术!$A:$ZZ,20,FALSE)+SUM(_xlfn.XLOOKUP(R54:AF54,增益!$A:$A,增益!$T:$T,0))</f>
        <v>1.35</v>
      </c>
      <c r="BN54" s="27">
        <f t="shared" si="9"/>
        <v>0.90767745</v>
      </c>
      <c r="BO54" s="27">
        <f t="shared" si="10"/>
        <v>-1.30104260698261e-17</v>
      </c>
      <c r="BP54" s="27">
        <f>IF(VLOOKUP($Q54,武学奇术!$A:$ZZ,22,FALSE)=1,0,(1-$BI54))*(1-$BL54)</f>
        <v>0.00282254999999999</v>
      </c>
      <c r="BQ54" s="27" cm="1">
        <f t="array" ref="BQ54">SUM(_xlfn.XLOOKUP(R54:AF54,增益!$A:$A,增益!$W:$W,0))+$I$5</f>
        <v>0.21</v>
      </c>
    </row>
    <row r="55" spans="5:69">
      <c r="K55" s="41">
        <f t="shared" si="0"/>
        <v>46664.138366098</v>
      </c>
      <c r="L55" s="41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弹道",$B$21,0))*(1+$BQ55)</f>
        <v>46544.9963366426</v>
      </c>
      <c r="M55" s="41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弹道",$B$21,0))*(1+$BQ55)</f>
        <v>48899.4984615255</v>
      </c>
      <c r="N55" s="41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弹道",$B$21,0))*(1+$BQ55)</f>
        <v>25159.4574792663</v>
      </c>
      <c r="O55" s="41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弹道",$B$21,0))*(1+$BQ55)</f>
        <v>14097.0642462914</v>
      </c>
      <c r="P55" s="42">
        <v>2</v>
      </c>
      <c r="Q55" s="43" t="s">
        <v>171</v>
      </c>
      <c r="R55" s="43" t="s">
        <v>93</v>
      </c>
      <c r="S55" s="43" t="s">
        <v>158</v>
      </c>
      <c r="T55" s="43" t="s">
        <v>73</v>
      </c>
      <c r="U55" s="43" t="s">
        <v>159</v>
      </c>
      <c r="V55" s="43" t="s">
        <v>73</v>
      </c>
      <c r="W55" s="43" t="s">
        <v>73</v>
      </c>
      <c r="X55" s="43" t="s">
        <v>73</v>
      </c>
      <c r="Y55" s="43" t="s">
        <v>164</v>
      </c>
      <c r="Z55" s="43" t="s">
        <v>73</v>
      </c>
      <c r="AA55" s="43" t="s">
        <v>73</v>
      </c>
      <c r="AB55" s="43" t="s">
        <v>73</v>
      </c>
      <c r="AC55" s="43" t="s">
        <v>165</v>
      </c>
      <c r="AD55" s="43" t="s">
        <v>73</v>
      </c>
      <c r="AE55" s="43" t="s">
        <v>73</v>
      </c>
      <c r="AF55" s="43" t="s">
        <v>75</v>
      </c>
      <c r="AG55" t="str">
        <f>VLOOKUP($Q55,武学奇术!$A:$ZZ,25,FALSE)</f>
        <v>单体奇术</v>
      </c>
      <c r="AH55" s="27">
        <f>VLOOKUP($Q55,武学奇术!$A:$ZZ,26,FALSE)</f>
        <v>1.0238</v>
      </c>
      <c r="AI55" s="28">
        <f>VLOOKUP($Q55,武学奇术!$A:$ZZ,27,FALSE)*(1+IF(OR($AG55=$F$4,$AG55=$F$5),$B$22,0))</f>
        <v>189</v>
      </c>
      <c r="AJ55" s="27">
        <f>VLOOKUP($Q55,武学奇术!$A:$ZZ,28,FALSE)</f>
        <v>1.5357</v>
      </c>
      <c r="AK55" s="28">
        <f>VLOOKUP($Q55,武学奇术!$A:$ZZ,29,FALSE)*(1+IF(OR($AG55=$F$4,$AG55=$F$5),$B$22,0))</f>
        <v>0</v>
      </c>
      <c r="AL55" s="27" cm="1">
        <f t="array" ref="AL55">$G$3+IFERROR(VLOOKUP($AG55,$F$4:$G$7,2,FALSE),0)+VLOOKUP($Q55,武学奇术!$A:$ZZ,2,FALSE)+SUM(_xlfn.XLOOKUP($R55:$AF55,增益!$A:$A,增益!$B:$B,0))</f>
        <v>0.4215</v>
      </c>
      <c r="AM55" s="27" cm="1">
        <f t="array" ref="AM55">VLOOKUP($Q55,武学奇术!$A:$ZZ,5,FALSE)+SUM(_xlfn.XLOOKUP($R55:$AF55,增益!$A:$A,增益!$E:$E,0))</f>
        <v>0.15</v>
      </c>
      <c r="AN55" cm="1">
        <f t="array" ref="AN55">$D$10*(1+$AM55)+VLOOKUP($Q55,武学奇术!$A:$ZZ,3,FALSE)+SUM(_xlfn.XLOOKUP($R55:$AF55,增益!$A:$A,增益!$C:$C,0))-$I$2</f>
        <v>2063.755</v>
      </c>
      <c r="AO55" cm="1">
        <f t="array" ref="AO55">$E$10*(1+$AM55)+VLOOKUP($Q55,武学奇术!$A:$ZZ,4,FALSE)+SUM(_xlfn.XLOOKUP($R55:$AF55,增益!$A:$A,增益!$D:$D,0))-$I$2</f>
        <v>6060.925</v>
      </c>
      <c r="AP55" s="35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0.3675</v>
      </c>
      <c r="AQ55" s="35" cm="1">
        <f t="array" ref="AQ55">$G$10+VLOOKUP($Q55,武学奇术!$A:$ZZ,7,FALSE)+SUM(_xlfn.XLOOKUP(R55:AF55,增益!$A:$A,增益!$G:$G,0))</f>
        <v>0</v>
      </c>
      <c r="AR55" s="27" cm="1">
        <f t="array" ref="AR55">VLOOKUP($Q55,武学奇术!$A:$ZZ,8,FALSE)+SUM(_xlfn.XLOOKUP(R55:AF55,增益!$A:$A,增益!$H:$H,0))</f>
        <v>0</v>
      </c>
      <c r="AS55">
        <f t="shared" si="1"/>
        <v>0</v>
      </c>
      <c r="AT55">
        <f t="shared" si="2"/>
        <v>0</v>
      </c>
      <c r="AU55" s="35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35" cm="1">
        <f t="array" ref="AV55">$G$11+VLOOKUP($Q55,武学奇术!$A:$ZZ,10,FALSE)+SUM(_xlfn.XLOOKUP(R55:AF55,增益!$A:$A,增益!$J:$J,0))</f>
        <v>0</v>
      </c>
      <c r="AW55">
        <f t="shared" si="3"/>
        <v>0</v>
      </c>
      <c r="AX55">
        <f t="shared" si="4"/>
        <v>0</v>
      </c>
      <c r="AY55" s="35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-0.3</v>
      </c>
      <c r="AZ55" s="35" cm="1">
        <f t="array" ref="AZ55">$G$12+VLOOKUP($Q55,武学奇术!$A:$ZZ,12,FALSE)+SUM(_xlfn.XLOOKUP(R55:AF55,增益!$A:$A,增益!$L:$L,0))</f>
        <v>0</v>
      </c>
      <c r="BA55">
        <f t="shared" si="5"/>
        <v>538</v>
      </c>
      <c r="BB55">
        <f t="shared" si="6"/>
        <v>1011</v>
      </c>
      <c r="BC55" s="35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0</v>
      </c>
      <c r="BD55" s="35" cm="1">
        <f t="array" ref="BD55">$G$13+VLOOKUP($Q55,武学奇术!$A:$ZZ,14,FALSE)+SUM(_xlfn.XLOOKUP(R55:AF55,增益!$A:$A,增益!$N:$N,0))</f>
        <v>0.15</v>
      </c>
      <c r="BE55">
        <f t="shared" si="7"/>
        <v>0</v>
      </c>
      <c r="BF55">
        <f t="shared" si="8"/>
        <v>0</v>
      </c>
      <c r="BG55" s="35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-0.3</v>
      </c>
      <c r="BH55" s="35" cm="1">
        <f t="array" ref="BH55">$G$14+VLOOKUP($Q55,武学奇术!$A:$ZZ,16,FALSE)+SUM(_xlfn.XLOOKUP(R55:AF55,增益!$A:$A,增益!$P:$P,0))</f>
        <v>0</v>
      </c>
      <c r="BI55" s="27">
        <f>MIN(IF(VLOOKUP($Q55,武学奇术!$A:$ZZ,23,FALSE)=1,100%,$B$8),100%)</f>
        <v>0.9969</v>
      </c>
      <c r="BJ55" s="27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0.9137</v>
      </c>
      <c r="BK55" s="27" cm="1">
        <f t="array" ref="BK55">1+$B$13+VLOOKUP($Q55,武学奇术!$A:$ZZ,18,FALSE)+SUM(_xlfn.XLOOKUP(R55:AF55,增益!$A:$A,增益!$R:$R,0))</f>
        <v>1.85</v>
      </c>
      <c r="BL55" s="27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0.0895</v>
      </c>
      <c r="BM55" s="27" cm="1">
        <f t="array" ref="BM55">1+$B$14+VLOOKUP($Q55,武学奇术!$A:$ZZ,20,FALSE)+SUM(_xlfn.XLOOKUP(R55:AF55,增益!$A:$A,增益!$T:$T,0))</f>
        <v>1.35</v>
      </c>
      <c r="BN55" s="27">
        <f t="shared" si="9"/>
        <v>0.90767745</v>
      </c>
      <c r="BO55" s="27">
        <f t="shared" si="10"/>
        <v>-1.30104260698261e-17</v>
      </c>
      <c r="BP55" s="27">
        <f>IF(VLOOKUP($Q55,武学奇术!$A:$ZZ,22,FALSE)=1,0,(1-$BI55))*(1-$BL55)</f>
        <v>0.00282254999999999</v>
      </c>
      <c r="BQ55" s="27" cm="1">
        <f t="array" ref="BQ55">SUM(_xlfn.XLOOKUP(R55:AF55,增益!$A:$A,增益!$W:$W,0))+$I$5</f>
        <v>0.21</v>
      </c>
    </row>
    <row r="56" spans="5:69">
      <c r="K56" s="41">
        <f t="shared" si="0"/>
        <v>60770.5638713918</v>
      </c>
      <c r="L56" s="41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弹道",$B$21,0))*(1+$BQ56)</f>
        <v>60615.406743484</v>
      </c>
      <c r="M56" s="41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弹道",$B$21,0))*(1+$BQ56)</f>
        <v>63681.6542516999</v>
      </c>
      <c r="N56" s="41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弹道",$B$21,0))*(1+$BQ56)</f>
        <v>32765.0847262075</v>
      </c>
      <c r="O56" s="41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弹道",$B$21,0))*(1+$BQ56)</f>
        <v>18358.5737104152</v>
      </c>
      <c r="P56" s="42">
        <v>1</v>
      </c>
      <c r="Q56" s="43" t="s">
        <v>172</v>
      </c>
      <c r="R56" s="43" t="s">
        <v>93</v>
      </c>
      <c r="S56" s="43" t="s">
        <v>158</v>
      </c>
      <c r="T56" s="43" t="s">
        <v>73</v>
      </c>
      <c r="U56" s="43" t="s">
        <v>159</v>
      </c>
      <c r="V56" s="43" t="s">
        <v>73</v>
      </c>
      <c r="W56" s="43" t="s">
        <v>73</v>
      </c>
      <c r="X56" s="43" t="s">
        <v>73</v>
      </c>
      <c r="Y56" s="43" t="s">
        <v>164</v>
      </c>
      <c r="Z56" s="43" t="s">
        <v>73</v>
      </c>
      <c r="AA56" s="43" t="s">
        <v>73</v>
      </c>
      <c r="AB56" s="43" t="s">
        <v>73</v>
      </c>
      <c r="AC56" s="43" t="s">
        <v>165</v>
      </c>
      <c r="AD56" s="43" t="s">
        <v>73</v>
      </c>
      <c r="AE56" s="43" t="s">
        <v>73</v>
      </c>
      <c r="AF56" s="43" t="s">
        <v>75</v>
      </c>
      <c r="AG56" t="str">
        <f>VLOOKUP($Q56,武学奇术!$A:$ZZ,25,FALSE)</f>
        <v>单体奇术</v>
      </c>
      <c r="AH56" s="27">
        <f>VLOOKUP($Q56,武学奇术!$A:$ZZ,26,FALSE)</f>
        <v>1.7063</v>
      </c>
      <c r="AI56" s="28">
        <f>VLOOKUP($Q56,武学奇术!$A:$ZZ,27,FALSE)*(1+IF(OR($AG56=$F$4,$AG56=$F$5),$B$22,0))</f>
        <v>315</v>
      </c>
      <c r="AJ56" s="27">
        <f>VLOOKUP($Q56,武学奇术!$A:$ZZ,28,FALSE)</f>
        <v>2.55945</v>
      </c>
      <c r="AK56" s="28">
        <f>VLOOKUP($Q56,武学奇术!$A:$ZZ,29,FALSE)*(1+IF(OR($AG56=$F$4,$AG56=$F$5),$B$22,0))</f>
        <v>0</v>
      </c>
      <c r="AL56" s="27" cm="1">
        <f t="array" ref="AL56">$G$3+IFERROR(VLOOKUP($AG56,$F$4:$G$7,2,FALSE),0)+VLOOKUP($Q56,武学奇术!$A:$ZZ,2,FALSE)+SUM(_xlfn.XLOOKUP($R56:$AF56,增益!$A:$A,增益!$B:$B,0))</f>
        <v>1.2215</v>
      </c>
      <c r="AM56" s="27" cm="1">
        <f t="array" ref="AM56">VLOOKUP($Q56,武学奇术!$A:$ZZ,5,FALSE)+SUM(_xlfn.XLOOKUP($R56:$AF56,增益!$A:$A,增益!$E:$E,0))</f>
        <v>0.15</v>
      </c>
      <c r="AN56" cm="1">
        <f t="array" ref="AN56">$D$10*(1+$AM56)+VLOOKUP($Q56,武学奇术!$A:$ZZ,3,FALSE)+SUM(_xlfn.XLOOKUP($R56:$AF56,增益!$A:$A,增益!$C:$C,0))-$I$2</f>
        <v>2063.755</v>
      </c>
      <c r="AO56" cm="1">
        <f t="array" ref="AO56">$E$10*(1+$AM56)+VLOOKUP($Q56,武学奇术!$A:$ZZ,4,FALSE)+SUM(_xlfn.XLOOKUP($R56:$AF56,增益!$A:$A,增益!$D:$D,0))-$I$2</f>
        <v>6060.925</v>
      </c>
      <c r="AP56" s="35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0.3675</v>
      </c>
      <c r="AQ56" s="35" cm="1">
        <f t="array" ref="AQ56">$G$10+VLOOKUP($Q56,武学奇术!$A:$ZZ,7,FALSE)+SUM(_xlfn.XLOOKUP(R56:AF56,增益!$A:$A,增益!$G:$G,0))</f>
        <v>0</v>
      </c>
      <c r="AR56" s="27" cm="1">
        <f t="array" ref="AR56">VLOOKUP($Q56,武学奇术!$A:$ZZ,8,FALSE)+SUM(_xlfn.XLOOKUP(R56:AF56,增益!$A:$A,增益!$H:$H,0))</f>
        <v>0</v>
      </c>
      <c r="AS56">
        <f t="shared" si="1"/>
        <v>0</v>
      </c>
      <c r="AT56">
        <f t="shared" si="2"/>
        <v>0</v>
      </c>
      <c r="AU56" s="35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35" cm="1">
        <f t="array" ref="AV56">$G$11+VLOOKUP($Q56,武学奇术!$A:$ZZ,10,FALSE)+SUM(_xlfn.XLOOKUP(R56:AF56,增益!$A:$A,增益!$J:$J,0))</f>
        <v>0</v>
      </c>
      <c r="AW56">
        <f t="shared" si="3"/>
        <v>0</v>
      </c>
      <c r="AX56">
        <f t="shared" si="4"/>
        <v>0</v>
      </c>
      <c r="AY56" s="35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-0.3</v>
      </c>
      <c r="AZ56" s="35" cm="1">
        <f t="array" ref="AZ56">$G$12+VLOOKUP($Q56,武学奇术!$A:$ZZ,12,FALSE)+SUM(_xlfn.XLOOKUP(R56:AF56,增益!$A:$A,增益!$L:$L,0))</f>
        <v>0</v>
      </c>
      <c r="BA56">
        <f t="shared" si="5"/>
        <v>538</v>
      </c>
      <c r="BB56">
        <f t="shared" si="6"/>
        <v>1011</v>
      </c>
      <c r="BC56" s="35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0</v>
      </c>
      <c r="BD56" s="35" cm="1">
        <f t="array" ref="BD56">$G$13+VLOOKUP($Q56,武学奇术!$A:$ZZ,14,FALSE)+SUM(_xlfn.XLOOKUP(R56:AF56,增益!$A:$A,增益!$N:$N,0))</f>
        <v>0.15</v>
      </c>
      <c r="BE56">
        <f t="shared" si="7"/>
        <v>0</v>
      </c>
      <c r="BF56">
        <f t="shared" si="8"/>
        <v>0</v>
      </c>
      <c r="BG56" s="35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-0.3</v>
      </c>
      <c r="BH56" s="35" cm="1">
        <f t="array" ref="BH56">$G$14+VLOOKUP($Q56,武学奇术!$A:$ZZ,16,FALSE)+SUM(_xlfn.XLOOKUP(R56:AF56,增益!$A:$A,增益!$P:$P,0))</f>
        <v>0</v>
      </c>
      <c r="BI56" s="27">
        <f>MIN(IF(VLOOKUP($Q56,武学奇术!$A:$ZZ,23,FALSE)=1,100%,$B$8),100%)</f>
        <v>0.9969</v>
      </c>
      <c r="BJ56" s="27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0.9137</v>
      </c>
      <c r="BK56" s="27" cm="1">
        <f t="array" ref="BK56">1+$B$13+VLOOKUP($Q56,武学奇术!$A:$ZZ,18,FALSE)+SUM(_xlfn.XLOOKUP(R56:AF56,增益!$A:$A,增益!$R:$R,0))</f>
        <v>1.85</v>
      </c>
      <c r="BL56" s="27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0.0895</v>
      </c>
      <c r="BM56" s="27" cm="1">
        <f t="array" ref="BM56">1+$B$14+VLOOKUP($Q56,武学奇术!$A:$ZZ,20,FALSE)+SUM(_xlfn.XLOOKUP(R56:AF56,增益!$A:$A,增益!$T:$T,0))</f>
        <v>1.35</v>
      </c>
      <c r="BN56" s="27">
        <f t="shared" si="9"/>
        <v>0.90767745</v>
      </c>
      <c r="BO56" s="27">
        <f t="shared" si="10"/>
        <v>-1.30104260698261e-17</v>
      </c>
      <c r="BP56" s="27">
        <f>IF(VLOOKUP($Q56,武学奇术!$A:$ZZ,22,FALSE)=1,0,(1-$BI56))*(1-$BL56)</f>
        <v>0.00282254999999999</v>
      </c>
      <c r="BQ56" s="27" cm="1">
        <f t="array" ref="BQ56">SUM(_xlfn.XLOOKUP(R56:AF56,增益!$A:$A,增益!$W:$W,0))+$I$5</f>
        <v>0.21</v>
      </c>
    </row>
    <row r="57" spans="5:69">
      <c r="E57" s="4"/>
      <c r="K57" s="41">
        <f t="shared" si="0"/>
        <v>109992.154133162</v>
      </c>
      <c r="L57" s="41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弹道",$B$21,0))*(1+$BQ57)</f>
        <v>109711.326091656</v>
      </c>
      <c r="M57" s="41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弹道",$B$21,0))*(1+$BQ57)</f>
        <v>115261.106786705</v>
      </c>
      <c r="N57" s="41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弹道",$B$21,0))*(1+$BQ57)</f>
        <v>59303.4195090034</v>
      </c>
      <c r="O57" s="41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弹道",$B$21,0))*(1+$BQ57)</f>
        <v>33228.241398225</v>
      </c>
      <c r="P57" s="42">
        <v>3</v>
      </c>
      <c r="Q57" s="43" t="s">
        <v>173</v>
      </c>
      <c r="R57" s="43" t="s">
        <v>93</v>
      </c>
      <c r="S57" s="43" t="s">
        <v>158</v>
      </c>
      <c r="T57" s="43" t="s">
        <v>73</v>
      </c>
      <c r="U57" s="43" t="s">
        <v>159</v>
      </c>
      <c r="V57" s="43" t="s">
        <v>73</v>
      </c>
      <c r="W57" s="43" t="s">
        <v>73</v>
      </c>
      <c r="X57" s="43" t="s">
        <v>73</v>
      </c>
      <c r="Y57" s="43" t="s">
        <v>164</v>
      </c>
      <c r="Z57" s="43" t="s">
        <v>73</v>
      </c>
      <c r="AA57" s="43" t="s">
        <v>73</v>
      </c>
      <c r="AB57" s="43" t="s">
        <v>73</v>
      </c>
      <c r="AC57" s="43" t="s">
        <v>165</v>
      </c>
      <c r="AD57" s="43" t="s">
        <v>73</v>
      </c>
      <c r="AE57" s="43" t="s">
        <v>73</v>
      </c>
      <c r="AF57" s="43" t="s">
        <v>75</v>
      </c>
      <c r="AG57" t="str">
        <f>VLOOKUP($Q57,武学奇术!$A:$ZZ,25,FALSE)</f>
        <v>单体奇术</v>
      </c>
      <c r="AH57" s="27">
        <f>VLOOKUP($Q57,武学奇术!$A:$ZZ,26,FALSE)</f>
        <v>1.6088</v>
      </c>
      <c r="AI57" s="28">
        <f>VLOOKUP($Q57,武学奇术!$A:$ZZ,27,FALSE)*(1+IF(OR($AG57=$F$4,$AG57=$F$5),$B$22,0))</f>
        <v>297</v>
      </c>
      <c r="AJ57" s="27">
        <f>VLOOKUP($Q57,武学奇术!$A:$ZZ,28,FALSE)</f>
        <v>2.4132</v>
      </c>
      <c r="AK57" s="28">
        <f>VLOOKUP($Q57,武学奇术!$A:$ZZ,29,FALSE)*(1+IF(OR($AG57=$F$4,$AG57=$F$5),$B$22,0))</f>
        <v>0</v>
      </c>
      <c r="AL57" s="27" cm="1">
        <f t="array" ref="AL57">$G$3+IFERROR(VLOOKUP($AG57,$F$4:$G$7,2,FALSE),0)+VLOOKUP($Q57,武学奇术!$A:$ZZ,2,FALSE)+SUM(_xlfn.XLOOKUP($R57:$AF57,增益!$A:$A,增益!$B:$B,0))</f>
        <v>0.4215</v>
      </c>
      <c r="AM57" s="27" cm="1">
        <f t="array" ref="AM57">VLOOKUP($Q57,武学奇术!$A:$ZZ,5,FALSE)+SUM(_xlfn.XLOOKUP($R57:$AF57,增益!$A:$A,增益!$E:$E,0))</f>
        <v>0.15</v>
      </c>
      <c r="AN57" cm="1">
        <f t="array" ref="AN57">$D$10*(1+$AM57)+VLOOKUP($Q57,武学奇术!$A:$ZZ,3,FALSE)+SUM(_xlfn.XLOOKUP($R57:$AF57,增益!$A:$A,增益!$C:$C,0))-$I$2</f>
        <v>2063.755</v>
      </c>
      <c r="AO57" cm="1">
        <f t="array" ref="AO57">$E$10*(1+$AM57)+VLOOKUP($Q57,武学奇术!$A:$ZZ,4,FALSE)+SUM(_xlfn.XLOOKUP($R57:$AF57,增益!$A:$A,增益!$D:$D,0))-$I$2</f>
        <v>6060.925</v>
      </c>
      <c r="AP57" s="35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0.3675</v>
      </c>
      <c r="AQ57" s="35" cm="1">
        <f t="array" ref="AQ57">$G$10+VLOOKUP($Q57,武学奇术!$A:$ZZ,7,FALSE)+SUM(_xlfn.XLOOKUP(R57:AF57,增益!$A:$A,增益!$G:$G,0))</f>
        <v>0</v>
      </c>
      <c r="AR57" s="27" cm="1">
        <f t="array" ref="AR57">VLOOKUP($Q57,武学奇术!$A:$ZZ,8,FALSE)+SUM(_xlfn.XLOOKUP(R57:AF57,增益!$A:$A,增益!$H:$H,0))</f>
        <v>0</v>
      </c>
      <c r="AS57">
        <f t="shared" si="1"/>
        <v>0</v>
      </c>
      <c r="AT57">
        <f t="shared" si="2"/>
        <v>0</v>
      </c>
      <c r="AU57" s="35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5" cm="1">
        <f t="array" ref="AV57">$G$11+VLOOKUP($Q57,武学奇术!$A:$ZZ,10,FALSE)+SUM(_xlfn.XLOOKUP(R57:AF57,增益!$A:$A,增益!$J:$J,0))</f>
        <v>0</v>
      </c>
      <c r="AW57">
        <f t="shared" si="3"/>
        <v>0</v>
      </c>
      <c r="AX57">
        <f t="shared" si="4"/>
        <v>0</v>
      </c>
      <c r="AY57" s="35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-0.3</v>
      </c>
      <c r="AZ57" s="35" cm="1">
        <f t="array" ref="AZ57">$G$12+VLOOKUP($Q57,武学奇术!$A:$ZZ,12,FALSE)+SUM(_xlfn.XLOOKUP(R57:AF57,增益!$A:$A,增益!$L:$L,0))</f>
        <v>0</v>
      </c>
      <c r="BA57">
        <f t="shared" si="5"/>
        <v>538</v>
      </c>
      <c r="BB57">
        <f t="shared" si="6"/>
        <v>1011</v>
      </c>
      <c r="BC57" s="35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0</v>
      </c>
      <c r="BD57" s="35" cm="1">
        <f t="array" ref="BD57">$G$13+VLOOKUP($Q57,武学奇术!$A:$ZZ,14,FALSE)+SUM(_xlfn.XLOOKUP(R57:AF57,增益!$A:$A,增益!$N:$N,0))</f>
        <v>0.15</v>
      </c>
      <c r="BE57">
        <f t="shared" si="7"/>
        <v>0</v>
      </c>
      <c r="BF57">
        <f t="shared" si="8"/>
        <v>0</v>
      </c>
      <c r="BG57" s="35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-0.3</v>
      </c>
      <c r="BH57" s="35" cm="1">
        <f t="array" ref="BH57">$G$14+VLOOKUP($Q57,武学奇术!$A:$ZZ,16,FALSE)+SUM(_xlfn.XLOOKUP(R57:AF57,增益!$A:$A,增益!$P:$P,0))</f>
        <v>0</v>
      </c>
      <c r="BI57" s="27">
        <f>MIN(IF(VLOOKUP($Q57,武学奇术!$A:$ZZ,23,FALSE)=1,100%,$B$8),100%)</f>
        <v>0.9969</v>
      </c>
      <c r="BJ57" s="27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0.9137</v>
      </c>
      <c r="BK57" s="27" cm="1">
        <f t="array" ref="BK57">1+$B$13+VLOOKUP($Q57,武学奇术!$A:$ZZ,18,FALSE)+SUM(_xlfn.XLOOKUP(R57:AF57,增益!$A:$A,增益!$R:$R,0))</f>
        <v>1.85</v>
      </c>
      <c r="BL57" s="27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0.0895</v>
      </c>
      <c r="BM57" s="27" cm="1">
        <f t="array" ref="BM57">1+$B$14+VLOOKUP($Q57,武学奇术!$A:$ZZ,20,FALSE)+SUM(_xlfn.XLOOKUP(R57:AF57,增益!$A:$A,增益!$T:$T,0))</f>
        <v>1.35</v>
      </c>
      <c r="BN57" s="27">
        <f t="shared" si="9"/>
        <v>0.90767745</v>
      </c>
      <c r="BO57" s="27">
        <f t="shared" si="10"/>
        <v>-1.30104260698261e-17</v>
      </c>
      <c r="BP57" s="27">
        <f>IF(VLOOKUP($Q57,武学奇术!$A:$ZZ,22,FALSE)=1,0,(1-$BI57))*(1-$BL57)</f>
        <v>0.00282254999999999</v>
      </c>
      <c r="BQ57" s="27" cm="1">
        <f t="array" ref="BQ57">SUM(_xlfn.XLOOKUP(R57:AF57,增益!$A:$A,增益!$W:$W,0))+$I$5</f>
        <v>0.21</v>
      </c>
    </row>
    <row r="58" spans="5:69">
      <c r="K58" s="41">
        <f t="shared" si="0"/>
        <v>162004.731659165</v>
      </c>
      <c r="L58" s="41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弹道",$B$21,0))*(1+$BQ58)</f>
        <v>161592.032930328</v>
      </c>
      <c r="M58" s="41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弹道",$B$21,0))*(1+$BQ58)</f>
        <v>169755.594302984</v>
      </c>
      <c r="N58" s="41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弹道",$B$21,0))*(1+$BQ58)</f>
        <v>87347.0448272044</v>
      </c>
      <c r="O58" s="41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弹道",$B$21,0))*(1+$BQ58)</f>
        <v>48949.2049855315</v>
      </c>
      <c r="P58" s="42">
        <v>1</v>
      </c>
      <c r="Q58" s="43" t="s">
        <v>161</v>
      </c>
      <c r="R58" s="43" t="s">
        <v>93</v>
      </c>
      <c r="S58" s="43" t="s">
        <v>158</v>
      </c>
      <c r="T58" s="43" t="s">
        <v>73</v>
      </c>
      <c r="U58" s="43" t="s">
        <v>159</v>
      </c>
      <c r="V58" s="43" t="s">
        <v>73</v>
      </c>
      <c r="W58" s="43" t="s">
        <v>73</v>
      </c>
      <c r="X58" s="43" t="s">
        <v>73</v>
      </c>
      <c r="Y58" s="43" t="s">
        <v>164</v>
      </c>
      <c r="Z58" s="43" t="s">
        <v>73</v>
      </c>
      <c r="AA58" s="43" t="s">
        <v>73</v>
      </c>
      <c r="AB58" s="43" t="s">
        <v>73</v>
      </c>
      <c r="AC58" s="43" t="s">
        <v>165</v>
      </c>
      <c r="AD58" s="43" t="s">
        <v>73</v>
      </c>
      <c r="AE58" s="43" t="s">
        <v>73</v>
      </c>
      <c r="AF58" s="43" t="s">
        <v>75</v>
      </c>
      <c r="AG58" t="str">
        <f>VLOOKUP($Q58,武学奇术!$A:$ZZ,25,FALSE)</f>
        <v>单体奇术</v>
      </c>
      <c r="AH58" s="27">
        <f>VLOOKUP($Q58,武学奇术!$A:$ZZ,26,FALSE)</f>
        <v>7.1074</v>
      </c>
      <c r="AI58" s="28">
        <f>VLOOKUP($Q58,武学奇术!$A:$ZZ,27,FALSE)*(1+IF(OR($AG58=$F$4,$AG58=$F$5),$B$22,0))</f>
        <v>1320</v>
      </c>
      <c r="AJ58" s="27">
        <f>VLOOKUP($Q58,武学奇术!$A:$ZZ,28,FALSE)</f>
        <v>10.6596</v>
      </c>
      <c r="AK58" s="28">
        <f>VLOOKUP($Q58,武学奇术!$A:$ZZ,29,FALSE)*(1+IF(OR($AG58=$F$4,$AG58=$F$5),$B$22,0))</f>
        <v>0</v>
      </c>
      <c r="AL58" s="27" cm="1">
        <f t="array" ref="AL58">$G$3+IFERROR(VLOOKUP($AG58,$F$4:$G$7,2,FALSE),0)+VLOOKUP($Q58,武学奇术!$A:$ZZ,2,FALSE)+SUM(_xlfn.XLOOKUP($R58:$AF58,增益!$A:$A,增益!$B:$B,0))</f>
        <v>0.4215</v>
      </c>
      <c r="AM58" s="27" cm="1">
        <f t="array" ref="AM58">VLOOKUP($Q58,武学奇术!$A:$ZZ,5,FALSE)+SUM(_xlfn.XLOOKUP($R58:$AF58,增益!$A:$A,增益!$E:$E,0))</f>
        <v>0.15</v>
      </c>
      <c r="AN58" cm="1">
        <f t="array" ref="AN58">$D$10*(1+$AM58)+VLOOKUP($Q58,武学奇术!$A:$ZZ,3,FALSE)+SUM(_xlfn.XLOOKUP($R58:$AF58,增益!$A:$A,增益!$C:$C,0))-$I$2</f>
        <v>2063.755</v>
      </c>
      <c r="AO58" cm="1">
        <f t="array" ref="AO58">$E$10*(1+$AM58)+VLOOKUP($Q58,武学奇术!$A:$ZZ,4,FALSE)+SUM(_xlfn.XLOOKUP($R58:$AF58,增益!$A:$A,增益!$D:$D,0))-$I$2</f>
        <v>6060.925</v>
      </c>
      <c r="AP58" s="35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0.3675</v>
      </c>
      <c r="AQ58" s="35" cm="1">
        <f t="array" ref="AQ58">$G$10+VLOOKUP($Q58,武学奇术!$A:$ZZ,7,FALSE)+SUM(_xlfn.XLOOKUP(R58:AF58,增益!$A:$A,增益!$G:$G,0))</f>
        <v>0</v>
      </c>
      <c r="AR58" s="27" cm="1">
        <f t="array" ref="AR58">VLOOKUP($Q58,武学奇术!$A:$ZZ,8,FALSE)+SUM(_xlfn.XLOOKUP(R58:AF58,增益!$A:$A,增益!$H:$H,0))</f>
        <v>0</v>
      </c>
      <c r="AS58">
        <f t="shared" si="1"/>
        <v>0</v>
      </c>
      <c r="AT58">
        <f t="shared" si="2"/>
        <v>0</v>
      </c>
      <c r="AU58" s="35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35" cm="1">
        <f t="array" ref="AV58">$G$11+VLOOKUP($Q58,武学奇术!$A:$ZZ,10,FALSE)+SUM(_xlfn.XLOOKUP(R58:AF58,增益!$A:$A,增益!$J:$J,0))</f>
        <v>0</v>
      </c>
      <c r="AW58">
        <f t="shared" si="3"/>
        <v>0</v>
      </c>
      <c r="AX58">
        <f t="shared" si="4"/>
        <v>0</v>
      </c>
      <c r="AY58" s="35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-0.3</v>
      </c>
      <c r="AZ58" s="35" cm="1">
        <f t="array" ref="AZ58">$G$12+VLOOKUP($Q58,武学奇术!$A:$ZZ,12,FALSE)+SUM(_xlfn.XLOOKUP(R58:AF58,增益!$A:$A,增益!$L:$L,0))</f>
        <v>0</v>
      </c>
      <c r="BA58">
        <f t="shared" si="5"/>
        <v>538</v>
      </c>
      <c r="BB58">
        <f t="shared" si="6"/>
        <v>1011</v>
      </c>
      <c r="BC58" s="35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0</v>
      </c>
      <c r="BD58" s="35" cm="1">
        <f t="array" ref="BD58">$G$13+VLOOKUP($Q58,武学奇术!$A:$ZZ,14,FALSE)+SUM(_xlfn.XLOOKUP(R58:AF58,增益!$A:$A,增益!$N:$N,0))</f>
        <v>0.15</v>
      </c>
      <c r="BE58">
        <f t="shared" si="7"/>
        <v>0</v>
      </c>
      <c r="BF58">
        <f t="shared" si="8"/>
        <v>0</v>
      </c>
      <c r="BG58" s="35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-0.3</v>
      </c>
      <c r="BH58" s="35" cm="1">
        <f t="array" ref="BH58">$G$14+VLOOKUP($Q58,武学奇术!$A:$ZZ,16,FALSE)+SUM(_xlfn.XLOOKUP(R58:AF58,增益!$A:$A,增益!$P:$P,0))</f>
        <v>0</v>
      </c>
      <c r="BI58" s="27">
        <f>MIN(IF(VLOOKUP($Q58,武学奇术!$A:$ZZ,23,FALSE)=1,100%,$B$8),100%)</f>
        <v>0.9969</v>
      </c>
      <c r="BJ58" s="27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0.9137</v>
      </c>
      <c r="BK58" s="27" cm="1">
        <f t="array" ref="BK58">1+$B$13+VLOOKUP($Q58,武学奇术!$A:$ZZ,18,FALSE)+SUM(_xlfn.XLOOKUP(R58:AF58,增益!$A:$A,增益!$R:$R,0))</f>
        <v>1.85</v>
      </c>
      <c r="BL58" s="27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0.0895</v>
      </c>
      <c r="BM58" s="27" cm="1">
        <f t="array" ref="BM58">1+$B$14+VLOOKUP($Q58,武学奇术!$A:$ZZ,20,FALSE)+SUM(_xlfn.XLOOKUP(R58:AF58,增益!$A:$A,增益!$T:$T,0))</f>
        <v>1.35</v>
      </c>
      <c r="BN58" s="27">
        <f t="shared" si="9"/>
        <v>0.90767745</v>
      </c>
      <c r="BO58" s="27">
        <f t="shared" si="10"/>
        <v>-1.30104260698261e-17</v>
      </c>
      <c r="BP58" s="27">
        <f>IF(VLOOKUP($Q58,武学奇术!$A:$ZZ,22,FALSE)=1,0,(1-$BI58))*(1-$BL58)</f>
        <v>0.00282254999999999</v>
      </c>
      <c r="BQ58" s="27" cm="1">
        <f t="array" ref="BQ58">SUM(_xlfn.XLOOKUP(R58:AF58,增益!$A:$A,增益!$W:$W,0))+$I$5</f>
        <v>0.21</v>
      </c>
    </row>
    <row r="59" spans="5:69">
      <c r="K59" s="41">
        <f t="shared" si="0"/>
        <v>77124.5404860734</v>
      </c>
      <c r="L59" s="41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弹道",$B$21,0))*(1+$BQ59)</f>
        <v>78281.2015618689</v>
      </c>
      <c r="M59" s="41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弹道",$B$21,0))*(1+$BQ59)</f>
        <v>67161.127981603</v>
      </c>
      <c r="N59" s="41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弹道",$B$21,0))*(1+$BQ59)</f>
        <v>35421.3581727913</v>
      </c>
      <c r="O59" s="41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弹道",$B$21,0))*(1+$BQ59)</f>
        <v>21093.7326555064</v>
      </c>
      <c r="P59" s="42">
        <v>1</v>
      </c>
      <c r="Q59" s="43" t="s">
        <v>97</v>
      </c>
      <c r="R59" s="43" t="s">
        <v>93</v>
      </c>
      <c r="S59" s="43" t="s">
        <v>158</v>
      </c>
      <c r="T59" s="43" t="s">
        <v>102</v>
      </c>
      <c r="U59" s="43" t="s">
        <v>159</v>
      </c>
      <c r="V59" s="43" t="s">
        <v>73</v>
      </c>
      <c r="W59" s="43" t="s">
        <v>73</v>
      </c>
      <c r="X59" s="43" t="s">
        <v>73</v>
      </c>
      <c r="Y59" s="43" t="s">
        <v>164</v>
      </c>
      <c r="Z59" s="43" t="s">
        <v>73</v>
      </c>
      <c r="AA59" s="43" t="s">
        <v>73</v>
      </c>
      <c r="AB59" s="43" t="s">
        <v>73</v>
      </c>
      <c r="AC59" s="43" t="s">
        <v>73</v>
      </c>
      <c r="AD59" s="43" t="s">
        <v>73</v>
      </c>
      <c r="AE59" s="43" t="s">
        <v>73</v>
      </c>
      <c r="AF59" s="43" t="s">
        <v>75</v>
      </c>
      <c r="AG59" t="str">
        <f>VLOOKUP($Q59,武学奇术!$A:$ZZ,25,FALSE)</f>
        <v>伞</v>
      </c>
      <c r="AH59" s="27">
        <f>VLOOKUP($Q59,武学奇术!$A:$ZZ,26,FALSE)</f>
        <v>2.3397</v>
      </c>
      <c r="AI59" s="28">
        <f>VLOOKUP($Q59,武学奇术!$A:$ZZ,27,FALSE)*(1+IF(OR($AG59=$F$4,$AG59=$F$5),$B$22,0))</f>
        <v>907.2</v>
      </c>
      <c r="AJ59" s="27">
        <f>VLOOKUP($Q59,武学奇术!$A:$ZZ,28,FALSE)</f>
        <v>3.5095</v>
      </c>
      <c r="AK59" s="28">
        <f>VLOOKUP($Q59,武学奇术!$A:$ZZ,29,FALSE)*(1+IF(OR($AG59=$F$4,$AG59=$F$5),$B$22,0))</f>
        <v>494.2</v>
      </c>
      <c r="AL59" s="27" cm="1">
        <f t="array" ref="AL59">$G$3+IFERROR(VLOOKUP($AG59,$F$4:$G$7,2,FALSE),0)+VLOOKUP($Q59,武学奇术!$A:$ZZ,2,FALSE)+SUM(_xlfn.XLOOKUP($R59:$AF59,增益!$A:$A,增益!$B:$B,0))</f>
        <v>0.5741</v>
      </c>
      <c r="AM59" s="27" cm="1">
        <f t="array" ref="AM59">VLOOKUP($Q59,武学奇术!$A:$ZZ,5,FALSE)+SUM(_xlfn.XLOOKUP($R59:$AF59,增益!$A:$A,增益!$E:$E,0))</f>
        <v>0.15</v>
      </c>
      <c r="AN59" cm="1">
        <f t="array" ref="AN59">$D$10*(1+$AM59)+VLOOKUP($Q59,武学奇术!$A:$ZZ,3,FALSE)+SUM(_xlfn.XLOOKUP($R59:$AF59,增益!$A:$A,增益!$C:$C,0))-$I$2</f>
        <v>2063.755</v>
      </c>
      <c r="AO59" cm="1">
        <f t="array" ref="AO59">$E$10*(1+$AM59)+VLOOKUP($Q59,武学奇术!$A:$ZZ,4,FALSE)+SUM(_xlfn.XLOOKUP($R59:$AF59,增益!$A:$A,增益!$D:$D,0))-$I$2</f>
        <v>6060.925</v>
      </c>
      <c r="AP59" s="35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0.3925</v>
      </c>
      <c r="AQ59" s="35" cm="1">
        <f t="array" ref="AQ59">$G$10+VLOOKUP($Q59,武学奇术!$A:$ZZ,7,FALSE)+SUM(_xlfn.XLOOKUP(R59:AF59,增益!$A:$A,增益!$G:$G,0))</f>
        <v>0.1</v>
      </c>
      <c r="AR59" s="27" cm="1">
        <f t="array" ref="AR59">VLOOKUP($Q59,武学奇术!$A:$ZZ,8,FALSE)+SUM(_xlfn.XLOOKUP(R59:AF59,增益!$A:$A,增益!$H:$H,0))</f>
        <v>0</v>
      </c>
      <c r="AS59">
        <f t="shared" si="1"/>
        <v>0</v>
      </c>
      <c r="AT59">
        <f t="shared" si="2"/>
        <v>0</v>
      </c>
      <c r="AU59" s="35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35" cm="1">
        <f t="array" ref="AV59">$G$11+VLOOKUP($Q59,武学奇术!$A:$ZZ,10,FALSE)+SUM(_xlfn.XLOOKUP(R59:AF59,增益!$A:$A,增益!$J:$J,0))</f>
        <v>0</v>
      </c>
      <c r="AW59">
        <f t="shared" si="3"/>
        <v>0</v>
      </c>
      <c r="AX59">
        <f t="shared" si="4"/>
        <v>0</v>
      </c>
      <c r="AY59" s="35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-0.3</v>
      </c>
      <c r="AZ59" s="35" cm="1">
        <f t="array" ref="AZ59">$G$12+VLOOKUP($Q59,武学奇术!$A:$ZZ,12,FALSE)+SUM(_xlfn.XLOOKUP(R59:AF59,增益!$A:$A,增益!$L:$L,0))</f>
        <v>0</v>
      </c>
      <c r="BA59">
        <f t="shared" si="5"/>
        <v>538</v>
      </c>
      <c r="BB59">
        <f t="shared" si="6"/>
        <v>1011</v>
      </c>
      <c r="BC59" s="35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0</v>
      </c>
      <c r="BD59" s="35" cm="1">
        <f t="array" ref="BD59">$G$13+VLOOKUP($Q59,武学奇术!$A:$ZZ,14,FALSE)+SUM(_xlfn.XLOOKUP(R59:AF59,增益!$A:$A,增益!$N:$N,0))</f>
        <v>0.25</v>
      </c>
      <c r="BE59">
        <f t="shared" si="7"/>
        <v>0</v>
      </c>
      <c r="BF59">
        <f t="shared" si="8"/>
        <v>0</v>
      </c>
      <c r="BG59" s="35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-0.3</v>
      </c>
      <c r="BH59" s="35" cm="1">
        <f t="array" ref="BH59">$G$14+VLOOKUP($Q59,武学奇术!$A:$ZZ,16,FALSE)+SUM(_xlfn.XLOOKUP(R59:AF59,增益!$A:$A,增益!$P:$P,0))</f>
        <v>0</v>
      </c>
      <c r="BI59" s="27">
        <f>MIN(IF(VLOOKUP($Q59,武学奇术!$A:$ZZ,23,FALSE)=1,100%,$B$8),100%)</f>
        <v>0.9969</v>
      </c>
      <c r="BJ59" s="27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0.9137</v>
      </c>
      <c r="BK59" s="27" cm="1">
        <f t="array" ref="BK59">1+$B$13+VLOOKUP($Q59,武学奇术!$A:$ZZ,18,FALSE)+SUM(_xlfn.XLOOKUP(R59:AF59,增益!$A:$A,增益!$R:$R,0))</f>
        <v>2.21</v>
      </c>
      <c r="BL59" s="27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0.0895</v>
      </c>
      <c r="BM59" s="27" cm="1">
        <f t="array" ref="BM59">1+$B$14+VLOOKUP($Q59,武学奇术!$A:$ZZ,20,FALSE)+SUM(_xlfn.XLOOKUP(R59:AF59,增益!$A:$A,增益!$T:$T,0))</f>
        <v>1.35</v>
      </c>
      <c r="BN59" s="27">
        <f t="shared" si="9"/>
        <v>0.90767745</v>
      </c>
      <c r="BO59" s="27">
        <f t="shared" si="10"/>
        <v>-1.30104260698261e-17</v>
      </c>
      <c r="BP59" s="27">
        <f>IF(VLOOKUP($Q59,武学奇术!$A:$ZZ,22,FALSE)=1,0,(1-$BI59))*(1-$BL59)</f>
        <v>0.00282254999999999</v>
      </c>
      <c r="BQ59" s="27" cm="1">
        <f t="array" ref="BQ59">SUM(_xlfn.XLOOKUP(R59:AF59,增益!$A:$A,增益!$W:$W,0))+$I$5</f>
        <v>0.11</v>
      </c>
    </row>
    <row r="60" spans="5:69">
      <c r="K60" s="41">
        <f t="shared" si="0"/>
        <v>39496.0682275343</v>
      </c>
      <c r="L60" s="41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弹道",$B$21,0))*(1+$BQ60)</f>
        <v>39485.1914877553</v>
      </c>
      <c r="M60" s="41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弹道",$B$21,0))*(1+$BQ60)</f>
        <v>40450.7086156042</v>
      </c>
      <c r="N60" s="41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弹道",$B$21,0))*(1+$BQ60)</f>
        <v>21343.346750138</v>
      </c>
      <c r="O60" s="41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弹道",$B$21,0))*(1+$BQ60)</f>
        <v>12723.2056368654</v>
      </c>
      <c r="P60" s="42">
        <v>1</v>
      </c>
      <c r="Q60" s="43" t="s">
        <v>104</v>
      </c>
      <c r="R60" s="43" t="s">
        <v>93</v>
      </c>
      <c r="S60" s="43" t="s">
        <v>158</v>
      </c>
      <c r="T60" s="43" t="s">
        <v>73</v>
      </c>
      <c r="U60" s="43" t="s">
        <v>159</v>
      </c>
      <c r="V60" s="43" t="s">
        <v>73</v>
      </c>
      <c r="W60" s="43" t="s">
        <v>73</v>
      </c>
      <c r="X60" s="43" t="s">
        <v>73</v>
      </c>
      <c r="Y60" s="43" t="s">
        <v>164</v>
      </c>
      <c r="Z60" s="43" t="s">
        <v>73</v>
      </c>
      <c r="AA60" s="43" t="s">
        <v>73</v>
      </c>
      <c r="AB60" s="43" t="s">
        <v>73</v>
      </c>
      <c r="AC60" s="43" t="s">
        <v>73</v>
      </c>
      <c r="AD60" s="43" t="s">
        <v>73</v>
      </c>
      <c r="AE60" s="43" t="s">
        <v>73</v>
      </c>
      <c r="AF60" s="43" t="s">
        <v>75</v>
      </c>
      <c r="AG60" t="str">
        <f>VLOOKUP($Q60,武学奇术!$A:$ZZ,25,FALSE)</f>
        <v>伞</v>
      </c>
      <c r="AH60" s="27">
        <f>VLOOKUP($Q60,武学奇术!$A:$ZZ,26,FALSE)</f>
        <v>1.7001</v>
      </c>
      <c r="AI60" s="28">
        <f>VLOOKUP($Q60,武学奇术!$A:$ZZ,27,FALSE)*(1+IF(OR($AG60=$F$4,$AG60=$F$5),$B$22,0))</f>
        <v>659.4</v>
      </c>
      <c r="AJ60" s="27">
        <f>VLOOKUP($Q60,武学奇术!$A:$ZZ,28,FALSE)</f>
        <v>2.5502</v>
      </c>
      <c r="AK60" s="28">
        <f>VLOOKUP($Q60,武学奇术!$A:$ZZ,29,FALSE)*(1+IF(OR($AG60=$F$4,$AG60=$F$5),$B$22,0))</f>
        <v>358.4</v>
      </c>
      <c r="AL60" s="27" cm="1">
        <f t="array" ref="AL60">$G$3+IFERROR(VLOOKUP($AG60,$F$4:$G$7,2,FALSE),0)+VLOOKUP($Q60,武学奇术!$A:$ZZ,2,FALSE)+SUM(_xlfn.XLOOKUP($R60:$AF60,增益!$A:$A,增益!$B:$B,0))</f>
        <v>0.3241</v>
      </c>
      <c r="AM60" s="27" cm="1">
        <f t="array" ref="AM60">VLOOKUP($Q60,武学奇术!$A:$ZZ,5,FALSE)+SUM(_xlfn.XLOOKUP($R60:$AF60,增益!$A:$A,增益!$E:$E,0))</f>
        <v>0.15</v>
      </c>
      <c r="AN60" cm="1">
        <f t="array" ref="AN60">$D$10*(1+$AM60)+VLOOKUP($Q60,武学奇术!$A:$ZZ,3,FALSE)+SUM(_xlfn.XLOOKUP($R60:$AF60,增益!$A:$A,增益!$C:$C,0))-$I$2</f>
        <v>2063.755</v>
      </c>
      <c r="AO60" cm="1">
        <f t="array" ref="AO60">$E$10*(1+$AM60)+VLOOKUP($Q60,武学奇术!$A:$ZZ,4,FALSE)+SUM(_xlfn.XLOOKUP($R60:$AF60,增益!$A:$A,增益!$D:$D,0))-$I$2</f>
        <v>6060.925</v>
      </c>
      <c r="AP60" s="35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0.3675</v>
      </c>
      <c r="AQ60" s="35" cm="1">
        <f t="array" ref="AQ60">$G$10+VLOOKUP($Q60,武学奇术!$A:$ZZ,7,FALSE)+SUM(_xlfn.XLOOKUP(R60:AF60,增益!$A:$A,增益!$G:$G,0))</f>
        <v>0.1</v>
      </c>
      <c r="AR60" s="27" cm="1">
        <f t="array" ref="AR60">VLOOKUP($Q60,武学奇术!$A:$ZZ,8,FALSE)+SUM(_xlfn.XLOOKUP(R60:AF60,增益!$A:$A,增益!$H:$H,0))</f>
        <v>0</v>
      </c>
      <c r="AS60">
        <f t="shared" si="1"/>
        <v>0</v>
      </c>
      <c r="AT60">
        <f t="shared" si="2"/>
        <v>0</v>
      </c>
      <c r="AU60" s="35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35" cm="1">
        <f t="array" ref="AV60">$G$11+VLOOKUP($Q60,武学奇术!$A:$ZZ,10,FALSE)+SUM(_xlfn.XLOOKUP(R60:AF60,增益!$A:$A,增益!$J:$J,0))</f>
        <v>0</v>
      </c>
      <c r="AW60">
        <f t="shared" si="3"/>
        <v>0</v>
      </c>
      <c r="AX60">
        <f t="shared" si="4"/>
        <v>0</v>
      </c>
      <c r="AY60" s="35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-0.3</v>
      </c>
      <c r="AZ60" s="35" cm="1">
        <f t="array" ref="AZ60">$G$12+VLOOKUP($Q60,武学奇术!$A:$ZZ,12,FALSE)+SUM(_xlfn.XLOOKUP(R60:AF60,增益!$A:$A,增益!$L:$L,0))</f>
        <v>0</v>
      </c>
      <c r="BA60">
        <f t="shared" si="5"/>
        <v>538</v>
      </c>
      <c r="BB60">
        <f t="shared" si="6"/>
        <v>1011</v>
      </c>
      <c r="BC60" s="35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0</v>
      </c>
      <c r="BD60" s="35" cm="1">
        <f t="array" ref="BD60">$G$13+VLOOKUP($Q60,武学奇术!$A:$ZZ,14,FALSE)+SUM(_xlfn.XLOOKUP(R60:AF60,增益!$A:$A,增益!$N:$N,0))</f>
        <v>0.25</v>
      </c>
      <c r="BE60">
        <f t="shared" si="7"/>
        <v>0</v>
      </c>
      <c r="BF60">
        <f t="shared" si="8"/>
        <v>0</v>
      </c>
      <c r="BG60" s="35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-0.3</v>
      </c>
      <c r="BH60" s="35" cm="1">
        <f t="array" ref="BH60">$G$14+VLOOKUP($Q60,武学奇术!$A:$ZZ,16,FALSE)+SUM(_xlfn.XLOOKUP(R60:AF60,增益!$A:$A,增益!$P:$P,0))</f>
        <v>0</v>
      </c>
      <c r="BI60" s="27">
        <f>MIN(IF(VLOOKUP($Q60,武学奇术!$A:$ZZ,23,FALSE)=1,100%,$B$8),100%)</f>
        <v>0.9969</v>
      </c>
      <c r="BJ60" s="27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0.9137</v>
      </c>
      <c r="BK60" s="27" cm="1">
        <f t="array" ref="BK60">1+$B$13+VLOOKUP($Q60,武学奇术!$A:$ZZ,18,FALSE)+SUM(_xlfn.XLOOKUP(R60:AF60,增益!$A:$A,增益!$R:$R,0))</f>
        <v>1.85</v>
      </c>
      <c r="BL60" s="27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0.0895</v>
      </c>
      <c r="BM60" s="27" cm="1">
        <f t="array" ref="BM60">1+$B$14+VLOOKUP($Q60,武学奇术!$A:$ZZ,20,FALSE)+SUM(_xlfn.XLOOKUP(R60:AF60,增益!$A:$A,增益!$T:$T,0))</f>
        <v>1.35</v>
      </c>
      <c r="BN60" s="27">
        <f t="shared" si="9"/>
        <v>0.90767745</v>
      </c>
      <c r="BO60" s="27">
        <f t="shared" si="10"/>
        <v>-1.30104260698261e-17</v>
      </c>
      <c r="BP60" s="27">
        <f>IF(VLOOKUP($Q60,武学奇术!$A:$ZZ,22,FALSE)=1,0,(1-$BI60))*(1-$BL60)</f>
        <v>0.00282254999999999</v>
      </c>
      <c r="BQ60" s="27" cm="1">
        <f t="array" ref="BQ60">SUM(_xlfn.XLOOKUP(R60:AF60,增益!$A:$A,增益!$W:$W,0))+$I$5</f>
        <v>0.11</v>
      </c>
    </row>
    <row r="61" spans="5:69">
      <c r="K61" s="41">
        <f t="shared" si="0"/>
        <v>16549.351031569</v>
      </c>
      <c r="L61" s="41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弹道",$B$21,0))*(1+$BQ61)</f>
        <v>16544.5265592511</v>
      </c>
      <c r="M61" s="41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弹道",$B$21,0))*(1+$BQ61)</f>
        <v>16952.1391149174</v>
      </c>
      <c r="N61" s="41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弹道",$B$21,0))*(1+$BQ61)</f>
        <v>8942.98732932495</v>
      </c>
      <c r="O61" s="41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弹道",$B$21,0))*(1+$BQ61)</f>
        <v>5328.83457352592</v>
      </c>
      <c r="P61" s="42">
        <v>1</v>
      </c>
      <c r="Q61" s="43" t="s">
        <v>107</v>
      </c>
      <c r="R61" s="43" t="s">
        <v>93</v>
      </c>
      <c r="S61" s="43" t="s">
        <v>158</v>
      </c>
      <c r="T61" s="43" t="s">
        <v>73</v>
      </c>
      <c r="U61" s="43" t="s">
        <v>159</v>
      </c>
      <c r="V61" s="43" t="s">
        <v>73</v>
      </c>
      <c r="W61" s="43" t="s">
        <v>73</v>
      </c>
      <c r="X61" s="43" t="s">
        <v>73</v>
      </c>
      <c r="Y61" s="43" t="s">
        <v>164</v>
      </c>
      <c r="Z61" s="43" t="s">
        <v>73</v>
      </c>
      <c r="AA61" s="43" t="s">
        <v>73</v>
      </c>
      <c r="AB61" s="43" t="s">
        <v>73</v>
      </c>
      <c r="AC61" s="43" t="s">
        <v>73</v>
      </c>
      <c r="AD61" s="43" t="s">
        <v>73</v>
      </c>
      <c r="AE61" s="43" t="s">
        <v>73</v>
      </c>
      <c r="AF61" s="43" t="s">
        <v>75</v>
      </c>
      <c r="AG61" t="str">
        <f>VLOOKUP($Q61,武学奇术!$A:$ZZ,25,FALSE)</f>
        <v>伞</v>
      </c>
      <c r="AH61" s="27">
        <f>VLOOKUP($Q61,武学奇术!$A:$ZZ,26,FALSE)</f>
        <v>0.54</v>
      </c>
      <c r="AI61" s="28">
        <f>VLOOKUP($Q61,武学奇术!$A:$ZZ,27,FALSE)*(1+IF(OR($AG61=$F$4,$AG61=$F$5),$B$22,0))</f>
        <v>207.2</v>
      </c>
      <c r="AJ61" s="27">
        <f>VLOOKUP($Q61,武学奇术!$A:$ZZ,28,FALSE)</f>
        <v>0.81</v>
      </c>
      <c r="AK61" s="28">
        <f>VLOOKUP($Q61,武学奇术!$A:$ZZ,29,FALSE)*(1+IF(OR($AG61=$F$4,$AG61=$F$5),$B$22,0))</f>
        <v>114.1</v>
      </c>
      <c r="AL61" s="27" cm="1">
        <f t="array" ref="AL61">$G$3+IFERROR(VLOOKUP($AG61,$F$4:$G$7,2,FALSE),0)+VLOOKUP($Q61,武学奇术!$A:$ZZ,2,FALSE)+SUM(_xlfn.XLOOKUP($R61:$AF61,增益!$A:$A,增益!$B:$B,0))</f>
        <v>0.3241</v>
      </c>
      <c r="AM61" s="27" cm="1">
        <f t="array" ref="AM61">VLOOKUP($Q61,武学奇术!$A:$ZZ,5,FALSE)+SUM(_xlfn.XLOOKUP($R61:$AF61,增益!$A:$A,增益!$E:$E,0))</f>
        <v>0.15</v>
      </c>
      <c r="AN61" cm="1">
        <f t="array" ref="AN61">$D$10*(1+$AM61)+VLOOKUP($Q61,武学奇术!$A:$ZZ,3,FALSE)+SUM(_xlfn.XLOOKUP($R61:$AF61,增益!$A:$A,增益!$C:$C,0))-$I$2</f>
        <v>2063.755</v>
      </c>
      <c r="AO61" cm="1">
        <f t="array" ref="AO61">$E$10*(1+$AM61)+VLOOKUP($Q61,武学奇术!$A:$ZZ,4,FALSE)+SUM(_xlfn.XLOOKUP($R61:$AF61,增益!$A:$A,增益!$D:$D,0))-$I$2</f>
        <v>6060.925</v>
      </c>
      <c r="AP61" s="35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0.3675</v>
      </c>
      <c r="AQ61" s="35" cm="1">
        <f t="array" ref="AQ61">$G$10+VLOOKUP($Q61,武学奇术!$A:$ZZ,7,FALSE)+SUM(_xlfn.XLOOKUP(R61:AF61,增益!$A:$A,增益!$G:$G,0))</f>
        <v>0.1</v>
      </c>
      <c r="AR61" s="27" cm="1">
        <f t="array" ref="AR61">VLOOKUP($Q61,武学奇术!$A:$ZZ,8,FALSE)+SUM(_xlfn.XLOOKUP(R61:AF61,增益!$A:$A,增益!$H:$H,0))</f>
        <v>0</v>
      </c>
      <c r="AS61">
        <f t="shared" si="1"/>
        <v>0</v>
      </c>
      <c r="AT61">
        <f t="shared" si="2"/>
        <v>0</v>
      </c>
      <c r="AU61" s="35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-0.3</v>
      </c>
      <c r="AV61" s="35" cm="1">
        <f t="array" ref="AV61">$G$11+VLOOKUP($Q61,武学奇术!$A:$ZZ,10,FALSE)+SUM(_xlfn.XLOOKUP(R61:AF61,增益!$A:$A,增益!$J:$J,0))</f>
        <v>0</v>
      </c>
      <c r="AW61">
        <f t="shared" si="3"/>
        <v>0</v>
      </c>
      <c r="AX61">
        <f t="shared" si="4"/>
        <v>0</v>
      </c>
      <c r="AY61" s="35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-0.3</v>
      </c>
      <c r="AZ61" s="35" cm="1">
        <f t="array" ref="AZ61">$G$12+VLOOKUP($Q61,武学奇术!$A:$ZZ,12,FALSE)+SUM(_xlfn.XLOOKUP(R61:AF61,增益!$A:$A,增益!$L:$L,0))</f>
        <v>0</v>
      </c>
      <c r="BA61">
        <f t="shared" si="5"/>
        <v>538</v>
      </c>
      <c r="BB61">
        <f t="shared" si="6"/>
        <v>1011</v>
      </c>
      <c r="BC61" s="35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0</v>
      </c>
      <c r="BD61" s="35" cm="1">
        <f t="array" ref="BD61">$G$13+VLOOKUP($Q61,武学奇术!$A:$ZZ,14,FALSE)+SUM(_xlfn.XLOOKUP(R61:AF61,增益!$A:$A,增益!$N:$N,0))</f>
        <v>0.25</v>
      </c>
      <c r="BE61">
        <f t="shared" si="7"/>
        <v>0</v>
      </c>
      <c r="BF61">
        <f t="shared" si="8"/>
        <v>0</v>
      </c>
      <c r="BG61" s="35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-0.3</v>
      </c>
      <c r="BH61" s="35" cm="1">
        <f t="array" ref="BH61">$G$14+VLOOKUP($Q61,武学奇术!$A:$ZZ,16,FALSE)+SUM(_xlfn.XLOOKUP(R61:AF61,增益!$A:$A,增益!$P:$P,0))</f>
        <v>0</v>
      </c>
      <c r="BI61" s="27">
        <f>MIN(IF(VLOOKUP($Q61,武学奇术!$A:$ZZ,23,FALSE)=1,100%,$B$8),100%)</f>
        <v>0.9969</v>
      </c>
      <c r="BJ61" s="27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0.9137</v>
      </c>
      <c r="BK61" s="27" cm="1">
        <f t="array" ref="BK61">1+$B$13+VLOOKUP($Q61,武学奇术!$A:$ZZ,18,FALSE)+SUM(_xlfn.XLOOKUP(R61:AF61,增益!$A:$A,增益!$R:$R,0))</f>
        <v>1.85</v>
      </c>
      <c r="BL61" s="27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0.0895</v>
      </c>
      <c r="BM61" s="27" cm="1">
        <f t="array" ref="BM61">1+$B$14+VLOOKUP($Q61,武学奇术!$A:$ZZ,20,FALSE)+SUM(_xlfn.XLOOKUP(R61:AF61,增益!$A:$A,增益!$T:$T,0))</f>
        <v>1.35</v>
      </c>
      <c r="BN61" s="27">
        <f t="shared" si="9"/>
        <v>0.90767745</v>
      </c>
      <c r="BO61" s="27">
        <f t="shared" si="10"/>
        <v>-1.30104260698261e-17</v>
      </c>
      <c r="BP61" s="27">
        <f>IF(VLOOKUP($Q61,武学奇术!$A:$ZZ,22,FALSE)=1,0,(1-$BI61))*(1-$BL61)</f>
        <v>0.00282254999999999</v>
      </c>
      <c r="BQ61" s="27" cm="1">
        <f t="array" ref="BQ61">SUM(_xlfn.XLOOKUP(R61:AF61,增益!$A:$A,增益!$W:$W,0))+$I$5</f>
        <v>0.11</v>
      </c>
    </row>
    <row r="62" spans="5:69">
      <c r="K62" s="41">
        <f t="shared" si="0"/>
        <v>18370.3553228631</v>
      </c>
      <c r="L62" s="41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弹道",$B$21,0))*(1+$BQ62)</f>
        <v>18365.8756144685</v>
      </c>
      <c r="M62" s="41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弹道",$B$21,0))*(1+$BQ62)</f>
        <v>18808.3408613399</v>
      </c>
      <c r="N62" s="41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弹道",$B$21,0))*(1+$BQ62)</f>
        <v>9927.50033214513</v>
      </c>
      <c r="O62" s="41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弹道",$B$21,0))*(1+$BQ62)</f>
        <v>5922.89632255701</v>
      </c>
      <c r="P62" s="42">
        <v>1</v>
      </c>
      <c r="Q62" s="43" t="s">
        <v>130</v>
      </c>
      <c r="R62" s="43" t="s">
        <v>93</v>
      </c>
      <c r="S62" s="43" t="s">
        <v>158</v>
      </c>
      <c r="T62" s="43" t="s">
        <v>73</v>
      </c>
      <c r="U62" s="43" t="s">
        <v>159</v>
      </c>
      <c r="V62" s="43" t="s">
        <v>73</v>
      </c>
      <c r="W62" s="43" t="s">
        <v>73</v>
      </c>
      <c r="X62" s="43" t="s">
        <v>73</v>
      </c>
      <c r="Y62" s="43" t="s">
        <v>164</v>
      </c>
      <c r="Z62" s="43" t="s">
        <v>73</v>
      </c>
      <c r="AA62" s="43" t="s">
        <v>73</v>
      </c>
      <c r="AB62" s="43" t="s">
        <v>73</v>
      </c>
      <c r="AC62" s="43" t="s">
        <v>73</v>
      </c>
      <c r="AD62" s="43" t="s">
        <v>73</v>
      </c>
      <c r="AE62" s="43" t="s">
        <v>73</v>
      </c>
      <c r="AF62" s="43" t="s">
        <v>75</v>
      </c>
      <c r="AG62" t="str">
        <f>VLOOKUP($Q62,武学奇术!$A:$ZZ,25,FALSE)</f>
        <v>扇</v>
      </c>
      <c r="AH62" s="27">
        <f>VLOOKUP($Q62,武学奇术!$A:$ZZ,26,FALSE)</f>
        <v>0.9271</v>
      </c>
      <c r="AI62" s="28">
        <f>VLOOKUP($Q62,武学奇术!$A:$ZZ,27,FALSE)*(1+IF(OR($AG62=$F$4,$AG62=$F$5),$B$22,0))</f>
        <v>359.8</v>
      </c>
      <c r="AJ62" s="27">
        <f>VLOOKUP($Q62,武学奇术!$A:$ZZ,28,FALSE)</f>
        <v>1.3907</v>
      </c>
      <c r="AK62" s="28">
        <f>VLOOKUP($Q62,武学奇术!$A:$ZZ,29,FALSE)*(1+IF(OR($AG62=$F$4,$AG62=$F$5),$B$22,0))</f>
        <v>196</v>
      </c>
      <c r="AL62" s="27" cm="1">
        <f t="array" ref="AL62">$G$3+IFERROR(VLOOKUP($AG62,$F$4:$G$7,2,FALSE),0)+VLOOKUP($Q62,武学奇术!$A:$ZZ,2,FALSE)+SUM(_xlfn.XLOOKUP($R62:$AF62,增益!$A:$A,增益!$B:$B,0))</f>
        <v>0.2389</v>
      </c>
      <c r="AM62" s="27" cm="1">
        <f t="array" ref="AM62">VLOOKUP($Q62,武学奇术!$A:$ZZ,5,FALSE)+SUM(_xlfn.XLOOKUP($R62:$AF62,增益!$A:$A,增益!$E:$E,0))</f>
        <v>0.15</v>
      </c>
      <c r="AN62" cm="1">
        <f t="array" ref="AN62">$D$10*(1+$AM62)+VLOOKUP($Q62,武学奇术!$A:$ZZ,3,FALSE)+SUM(_xlfn.XLOOKUP($R62:$AF62,增益!$A:$A,增益!$C:$C,0))-$I$2</f>
        <v>2063.755</v>
      </c>
      <c r="AO62" cm="1">
        <f t="array" ref="AO62">$E$10*(1+$AM62)+VLOOKUP($Q62,武学奇术!$A:$ZZ,4,FALSE)+SUM(_xlfn.XLOOKUP($R62:$AF62,增益!$A:$A,增益!$D:$D,0))-$I$2</f>
        <v>6060.925</v>
      </c>
      <c r="AP62" s="35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0.3675</v>
      </c>
      <c r="AQ62" s="35" cm="1">
        <f t="array" ref="AQ62">$G$10+VLOOKUP($Q62,武学奇术!$A:$ZZ,7,FALSE)+SUM(_xlfn.XLOOKUP(R62:AF62,增益!$A:$A,增益!$G:$G,0))</f>
        <v>0</v>
      </c>
      <c r="AR62" s="27" cm="1">
        <f t="array" ref="AR62">VLOOKUP($Q62,武学奇术!$A:$ZZ,8,FALSE)+SUM(_xlfn.XLOOKUP(R62:AF62,增益!$A:$A,增益!$H:$H,0))</f>
        <v>0</v>
      </c>
      <c r="AS62">
        <f t="shared" si="1"/>
        <v>0</v>
      </c>
      <c r="AT62">
        <f t="shared" si="2"/>
        <v>0</v>
      </c>
      <c r="AU62" s="35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-0.3</v>
      </c>
      <c r="AV62" s="35" cm="1">
        <f t="array" ref="AV62">$G$11+VLOOKUP($Q62,武学奇术!$A:$ZZ,10,FALSE)+SUM(_xlfn.XLOOKUP(R62:AF62,增益!$A:$A,增益!$J:$J,0))</f>
        <v>0</v>
      </c>
      <c r="AW62">
        <f t="shared" si="3"/>
        <v>0</v>
      </c>
      <c r="AX62">
        <f t="shared" si="4"/>
        <v>0</v>
      </c>
      <c r="AY62" s="35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-0.3</v>
      </c>
      <c r="AZ62" s="35" cm="1">
        <f t="array" ref="AZ62">$G$12+VLOOKUP($Q62,武学奇术!$A:$ZZ,12,FALSE)+SUM(_xlfn.XLOOKUP(R62:AF62,增益!$A:$A,增益!$L:$L,0))</f>
        <v>0</v>
      </c>
      <c r="BA62">
        <f t="shared" si="5"/>
        <v>538</v>
      </c>
      <c r="BB62">
        <f t="shared" si="6"/>
        <v>1011</v>
      </c>
      <c r="BC62" s="35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0</v>
      </c>
      <c r="BD62" s="35" cm="1">
        <f t="array" ref="BD62">$G$13+VLOOKUP($Q62,武学奇术!$A:$ZZ,14,FALSE)+SUM(_xlfn.XLOOKUP(R62:AF62,增益!$A:$A,增益!$N:$N,0))</f>
        <v>0.15</v>
      </c>
      <c r="BE62">
        <f t="shared" si="7"/>
        <v>0</v>
      </c>
      <c r="BF62">
        <f t="shared" si="8"/>
        <v>0</v>
      </c>
      <c r="BG62" s="35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-0.3</v>
      </c>
      <c r="BH62" s="35" cm="1">
        <f t="array" ref="BH62">$G$14+VLOOKUP($Q62,武学奇术!$A:$ZZ,16,FALSE)+SUM(_xlfn.XLOOKUP(R62:AF62,增益!$A:$A,增益!$P:$P,0))</f>
        <v>0</v>
      </c>
      <c r="BI62" s="27">
        <f>MIN(IF(VLOOKUP($Q62,武学奇术!$A:$ZZ,23,FALSE)=1,100%,$B$8),100%)</f>
        <v>0.9969</v>
      </c>
      <c r="BJ62" s="27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0.9137</v>
      </c>
      <c r="BK62" s="27" cm="1">
        <f t="array" ref="BK62">1+$B$13+VLOOKUP($Q62,武学奇术!$A:$ZZ,18,FALSE)+SUM(_xlfn.XLOOKUP(R62:AF62,增益!$A:$A,增益!$R:$R,0))</f>
        <v>1.85</v>
      </c>
      <c r="BL62" s="27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0.0895</v>
      </c>
      <c r="BM62" s="27" cm="1">
        <f t="array" ref="BM62">1+$B$14+VLOOKUP($Q62,武学奇术!$A:$ZZ,20,FALSE)+SUM(_xlfn.XLOOKUP(R62:AF62,增益!$A:$A,增益!$T:$T,0))</f>
        <v>1.35</v>
      </c>
      <c r="BN62" s="27">
        <f t="shared" si="9"/>
        <v>0.90767745</v>
      </c>
      <c r="BO62" s="27">
        <f t="shared" si="10"/>
        <v>-1.30104260698261e-17</v>
      </c>
      <c r="BP62" s="27">
        <f>IF(VLOOKUP($Q62,武学奇术!$A:$ZZ,22,FALSE)=1,0,(1-$BI62))*(1-$BL62)</f>
        <v>0.00282254999999999</v>
      </c>
      <c r="BQ62" s="27" cm="1">
        <f t="array" ref="BQ62">SUM(_xlfn.XLOOKUP(R62:AF62,增益!$A:$A,增益!$W:$W,0))+$I$5</f>
        <v>0.11</v>
      </c>
    </row>
    <row r="63" spans="5:69">
      <c r="K63" s="41">
        <f t="shared" si="0"/>
        <v>25555.1203141507</v>
      </c>
      <c r="L63" s="41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弹道",$B$21,0))*(1+$BQ63)</f>
        <v>25938.2196784209</v>
      </c>
      <c r="M63" s="41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弹道",$B$21,0))*(1+$BQ63)</f>
        <v>22255.4100866695</v>
      </c>
      <c r="N63" s="41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弹道",$B$21,0))*(1+$BQ63)</f>
        <v>11736.7509857108</v>
      </c>
      <c r="O63" s="41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弹道",$B$21,0))*(1+$BQ63)</f>
        <v>6988.01301833314</v>
      </c>
      <c r="P63" s="42">
        <v>0.5</v>
      </c>
      <c r="Q63" s="43" t="s">
        <v>109</v>
      </c>
      <c r="R63" s="43" t="s">
        <v>93</v>
      </c>
      <c r="S63" s="43" t="s">
        <v>158</v>
      </c>
      <c r="T63" s="43" t="s">
        <v>102</v>
      </c>
      <c r="U63" s="43" t="s">
        <v>159</v>
      </c>
      <c r="V63" s="43" t="s">
        <v>73</v>
      </c>
      <c r="W63" s="43" t="s">
        <v>73</v>
      </c>
      <c r="X63" s="43" t="s">
        <v>73</v>
      </c>
      <c r="Y63" s="43" t="s">
        <v>164</v>
      </c>
      <c r="Z63" s="43" t="s">
        <v>73</v>
      </c>
      <c r="AA63" s="43" t="s">
        <v>73</v>
      </c>
      <c r="AB63" s="43" t="s">
        <v>73</v>
      </c>
      <c r="AC63" s="43" t="s">
        <v>73</v>
      </c>
      <c r="AD63" s="43" t="s">
        <v>73</v>
      </c>
      <c r="AE63" s="43" t="s">
        <v>73</v>
      </c>
      <c r="AF63" s="43" t="s">
        <v>75</v>
      </c>
      <c r="AG63" t="str">
        <f>VLOOKUP($Q63,武学奇术!$A:$ZZ,25,FALSE)</f>
        <v>伞</v>
      </c>
      <c r="AH63" s="27">
        <f>VLOOKUP($Q63,武学奇术!$A:$ZZ,26,FALSE)</f>
        <v>1.174955</v>
      </c>
      <c r="AI63" s="28">
        <f>VLOOKUP($Q63,武学奇术!$A:$ZZ,27,FALSE)*(1+IF(OR($AG63=$F$4,$AG63=$F$5),$B$22,0))</f>
        <v>454.02</v>
      </c>
      <c r="AJ63" s="27">
        <f>VLOOKUP($Q63,武学奇术!$A:$ZZ,28,FALSE)</f>
        <v>1.762375</v>
      </c>
      <c r="AK63" s="28">
        <f>VLOOKUP($Q63,武学奇术!$A:$ZZ,29,FALSE)*(1+IF(OR($AG63=$F$4,$AG63=$F$5),$B$22,0))</f>
        <v>247.94</v>
      </c>
      <c r="AL63" s="27" cm="1">
        <f t="array" ref="AL63">$G$3+IFERROR(VLOOKUP($AG63,$F$4:$G$7,2,FALSE),0)+VLOOKUP($Q63,武学奇术!$A:$ZZ,2,FALSE)+SUM(_xlfn.XLOOKUP($R63:$AF63,增益!$A:$A,增益!$B:$B,0))</f>
        <v>0.5741</v>
      </c>
      <c r="AM63" s="27" cm="1">
        <f t="array" ref="AM63">VLOOKUP($Q63,武学奇术!$A:$ZZ,5,FALSE)+SUM(_xlfn.XLOOKUP($R63:$AF63,增益!$A:$A,增益!$E:$E,0))</f>
        <v>0.15</v>
      </c>
      <c r="AN63" cm="1">
        <f t="array" ref="AN63">$D$10*(1+$AM63)+VLOOKUP($Q63,武学奇术!$A:$ZZ,3,FALSE)+SUM(_xlfn.XLOOKUP($R63:$AF63,增益!$A:$A,增益!$C:$C,0))-$I$2</f>
        <v>2063.755</v>
      </c>
      <c r="AO63" cm="1">
        <f t="array" ref="AO63">$E$10*(1+$AM63)+VLOOKUP($Q63,武学奇术!$A:$ZZ,4,FALSE)+SUM(_xlfn.XLOOKUP($R63:$AF63,增益!$A:$A,增益!$D:$D,0))-$I$2</f>
        <v>6060.925</v>
      </c>
      <c r="AP63" s="35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0.3925</v>
      </c>
      <c r="AQ63" s="35" cm="1">
        <f t="array" ref="AQ63">$G$10+VLOOKUP($Q63,武学奇术!$A:$ZZ,7,FALSE)+SUM(_xlfn.XLOOKUP(R63:AF63,增益!$A:$A,增益!$G:$G,0))</f>
        <v>0.1</v>
      </c>
      <c r="AR63" s="27" cm="1">
        <f t="array" ref="AR63">VLOOKUP($Q63,武学奇术!$A:$ZZ,8,FALSE)+SUM(_xlfn.XLOOKUP(R63:AF63,增益!$A:$A,增益!$H:$H,0))</f>
        <v>0</v>
      </c>
      <c r="AS63">
        <f t="shared" si="1"/>
        <v>0</v>
      </c>
      <c r="AT63">
        <f t="shared" si="2"/>
        <v>0</v>
      </c>
      <c r="AU63" s="35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-0.3</v>
      </c>
      <c r="AV63" s="35" cm="1">
        <f t="array" ref="AV63">$G$11+VLOOKUP($Q63,武学奇术!$A:$ZZ,10,FALSE)+SUM(_xlfn.XLOOKUP(R63:AF63,增益!$A:$A,增益!$J:$J,0))</f>
        <v>0</v>
      </c>
      <c r="AW63">
        <f t="shared" si="3"/>
        <v>0</v>
      </c>
      <c r="AX63">
        <f t="shared" si="4"/>
        <v>0</v>
      </c>
      <c r="AY63" s="35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-0.3</v>
      </c>
      <c r="AZ63" s="35" cm="1">
        <f t="array" ref="AZ63">$G$12+VLOOKUP($Q63,武学奇术!$A:$ZZ,12,FALSE)+SUM(_xlfn.XLOOKUP(R63:AF63,增益!$A:$A,增益!$L:$L,0))</f>
        <v>0</v>
      </c>
      <c r="BA63">
        <f t="shared" si="5"/>
        <v>538</v>
      </c>
      <c r="BB63">
        <f t="shared" si="6"/>
        <v>1011</v>
      </c>
      <c r="BC63" s="35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0</v>
      </c>
      <c r="BD63" s="35" cm="1">
        <f t="array" ref="BD63">$G$13+VLOOKUP($Q63,武学奇术!$A:$ZZ,14,FALSE)+SUM(_xlfn.XLOOKUP(R63:AF63,增益!$A:$A,增益!$N:$N,0))</f>
        <v>0.25</v>
      </c>
      <c r="BE63">
        <f t="shared" si="7"/>
        <v>0</v>
      </c>
      <c r="BF63">
        <f t="shared" si="8"/>
        <v>0</v>
      </c>
      <c r="BG63" s="35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-0.3</v>
      </c>
      <c r="BH63" s="35" cm="1">
        <f t="array" ref="BH63">$G$14+VLOOKUP($Q63,武学奇术!$A:$ZZ,16,FALSE)+SUM(_xlfn.XLOOKUP(R63:AF63,增益!$A:$A,增益!$P:$P,0))</f>
        <v>0</v>
      </c>
      <c r="BI63" s="27">
        <f>MIN(IF(VLOOKUP($Q63,武学奇术!$A:$ZZ,23,FALSE)=1,100%,$B$8),100%)</f>
        <v>0.9969</v>
      </c>
      <c r="BJ63" s="27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0.9137</v>
      </c>
      <c r="BK63" s="27" cm="1">
        <f t="array" ref="BK63">1+$B$13+VLOOKUP($Q63,武学奇术!$A:$ZZ,18,FALSE)+SUM(_xlfn.XLOOKUP(R63:AF63,增益!$A:$A,增益!$R:$R,0))</f>
        <v>2.21</v>
      </c>
      <c r="BL63" s="27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0.0895</v>
      </c>
      <c r="BM63" s="27" cm="1">
        <f t="array" ref="BM63">1+$B$14+VLOOKUP($Q63,武学奇术!$A:$ZZ,20,FALSE)+SUM(_xlfn.XLOOKUP(R63:AF63,增益!$A:$A,增益!$T:$T,0))</f>
        <v>1.35</v>
      </c>
      <c r="BN63" s="27">
        <f t="shared" si="9"/>
        <v>0.90767745</v>
      </c>
      <c r="BO63" s="27">
        <f t="shared" si="10"/>
        <v>-1.30104260698261e-17</v>
      </c>
      <c r="BP63" s="27">
        <f>IF(VLOOKUP($Q63,武学奇术!$A:$ZZ,22,FALSE)=1,0,(1-$BI63))*(1-$BL63)</f>
        <v>0.00282254999999999</v>
      </c>
      <c r="BQ63" s="27" cm="1">
        <f t="array" ref="BQ63">SUM(_xlfn.XLOOKUP(R63:AF63,增益!$A:$A,增益!$W:$W,0))+$I$5</f>
        <v>0.11</v>
      </c>
    </row>
    <row r="64" spans="5:69">
      <c r="K64" s="41">
        <f t="shared" si="0"/>
        <v>64098.040800667</v>
      </c>
      <c r="L64" s="41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弹道",$B$21,0))*(1+$BQ64)</f>
        <v>65058.9409404367</v>
      </c>
      <c r="M64" s="41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弹道",$B$21,0))*(1+$BQ64)</f>
        <v>55821.61876894</v>
      </c>
      <c r="N64" s="41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弹道",$B$21,0))*(1+$BQ64)</f>
        <v>29438.4348146772</v>
      </c>
      <c r="O64" s="41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弹道",$B$21,0))*(1+$BQ64)</f>
        <v>17527.5223931027</v>
      </c>
      <c r="P64" s="42">
        <v>1</v>
      </c>
      <c r="Q64" s="43" t="s">
        <v>109</v>
      </c>
      <c r="R64" s="43" t="s">
        <v>93</v>
      </c>
      <c r="S64" s="43" t="s">
        <v>158</v>
      </c>
      <c r="T64" s="43" t="s">
        <v>102</v>
      </c>
      <c r="U64" s="43" t="s">
        <v>159</v>
      </c>
      <c r="V64" s="43" t="s">
        <v>98</v>
      </c>
      <c r="W64" s="43" t="s">
        <v>73</v>
      </c>
      <c r="X64" s="43" t="s">
        <v>73</v>
      </c>
      <c r="Y64" s="43" t="s">
        <v>164</v>
      </c>
      <c r="Z64" s="43" t="s">
        <v>73</v>
      </c>
      <c r="AA64" s="43" t="s">
        <v>73</v>
      </c>
      <c r="AB64" s="43" t="s">
        <v>73</v>
      </c>
      <c r="AC64" s="43" t="s">
        <v>73</v>
      </c>
      <c r="AD64" s="43" t="s">
        <v>73</v>
      </c>
      <c r="AE64" s="43" t="s">
        <v>73</v>
      </c>
      <c r="AF64" s="43" t="s">
        <v>75</v>
      </c>
      <c r="AG64" t="str">
        <f>VLOOKUP($Q64,武学奇术!$A:$ZZ,25,FALSE)</f>
        <v>伞</v>
      </c>
      <c r="AH64" s="27">
        <f>VLOOKUP($Q64,武学奇术!$A:$ZZ,26,FALSE)</f>
        <v>1.174955</v>
      </c>
      <c r="AI64" s="28">
        <f>VLOOKUP($Q64,武学奇术!$A:$ZZ,27,FALSE)*(1+IF(OR($AG64=$F$4,$AG64=$F$5),$B$22,0))</f>
        <v>454.02</v>
      </c>
      <c r="AJ64" s="27">
        <f>VLOOKUP($Q64,武学奇术!$A:$ZZ,28,FALSE)</f>
        <v>1.762375</v>
      </c>
      <c r="AK64" s="28">
        <f>VLOOKUP($Q64,武学奇术!$A:$ZZ,29,FALSE)*(1+IF(OR($AG64=$F$4,$AG64=$F$5),$B$22,0))</f>
        <v>247.94</v>
      </c>
      <c r="AL64" s="27" cm="1">
        <f t="array" ref="AL64">$G$3+IFERROR(VLOOKUP($AG64,$F$4:$G$7,2,FALSE),0)+VLOOKUP($Q64,武学奇术!$A:$ZZ,2,FALSE)+SUM(_xlfn.XLOOKUP($R64:$AF64,增益!$A:$A,增益!$B:$B,0))</f>
        <v>0.9741</v>
      </c>
      <c r="AM64" s="27" cm="1">
        <f t="array" ref="AM64">VLOOKUP($Q64,武学奇术!$A:$ZZ,5,FALSE)+SUM(_xlfn.XLOOKUP($R64:$AF64,增益!$A:$A,增益!$E:$E,0))</f>
        <v>0.15</v>
      </c>
      <c r="AN64" cm="1">
        <f t="array" ref="AN64">$D$10*(1+$AM64)+VLOOKUP($Q64,武学奇术!$A:$ZZ,3,FALSE)+SUM(_xlfn.XLOOKUP($R64:$AF64,增益!$A:$A,增益!$C:$C,0))-$I$2</f>
        <v>2063.755</v>
      </c>
      <c r="AO64" cm="1">
        <f t="array" ref="AO64">$E$10*(1+$AM64)+VLOOKUP($Q64,武学奇术!$A:$ZZ,4,FALSE)+SUM(_xlfn.XLOOKUP($R64:$AF64,增益!$A:$A,增益!$D:$D,0))-$I$2</f>
        <v>6060.925</v>
      </c>
      <c r="AP64" s="35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0.3925</v>
      </c>
      <c r="AQ64" s="35" cm="1">
        <f t="array" ref="AQ64">$G$10+VLOOKUP($Q64,武学奇术!$A:$ZZ,7,FALSE)+SUM(_xlfn.XLOOKUP(R64:AF64,增益!$A:$A,增益!$G:$G,0))</f>
        <v>0.1</v>
      </c>
      <c r="AR64" s="27" cm="1">
        <f t="array" ref="AR64">VLOOKUP($Q64,武学奇术!$A:$ZZ,8,FALSE)+SUM(_xlfn.XLOOKUP(R64:AF64,增益!$A:$A,增益!$H:$H,0))</f>
        <v>0</v>
      </c>
      <c r="AS64">
        <f t="shared" si="1"/>
        <v>0</v>
      </c>
      <c r="AT64">
        <f t="shared" si="2"/>
        <v>0</v>
      </c>
      <c r="AU64" s="35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-0.3</v>
      </c>
      <c r="AV64" s="35" cm="1">
        <f t="array" ref="AV64">$G$11+VLOOKUP($Q64,武学奇术!$A:$ZZ,10,FALSE)+SUM(_xlfn.XLOOKUP(R64:AF64,增益!$A:$A,增益!$J:$J,0))</f>
        <v>0</v>
      </c>
      <c r="AW64">
        <f t="shared" si="3"/>
        <v>0</v>
      </c>
      <c r="AX64">
        <f t="shared" si="4"/>
        <v>0</v>
      </c>
      <c r="AY64" s="35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-0.3</v>
      </c>
      <c r="AZ64" s="35" cm="1">
        <f t="array" ref="AZ64">$G$12+VLOOKUP($Q64,武学奇术!$A:$ZZ,12,FALSE)+SUM(_xlfn.XLOOKUP(R64:AF64,增益!$A:$A,增益!$L:$L,0))</f>
        <v>0</v>
      </c>
      <c r="BA64">
        <f t="shared" si="5"/>
        <v>538</v>
      </c>
      <c r="BB64">
        <f t="shared" si="6"/>
        <v>1011</v>
      </c>
      <c r="BC64" s="35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0</v>
      </c>
      <c r="BD64" s="35" cm="1">
        <f t="array" ref="BD64">$G$13+VLOOKUP($Q64,武学奇术!$A:$ZZ,14,FALSE)+SUM(_xlfn.XLOOKUP(R64:AF64,增益!$A:$A,增益!$N:$N,0))</f>
        <v>0.25</v>
      </c>
      <c r="BE64">
        <f t="shared" si="7"/>
        <v>0</v>
      </c>
      <c r="BF64">
        <f t="shared" si="8"/>
        <v>0</v>
      </c>
      <c r="BG64" s="35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-0.3</v>
      </c>
      <c r="BH64" s="35" cm="1">
        <f t="array" ref="BH64">$G$14+VLOOKUP($Q64,武学奇术!$A:$ZZ,16,FALSE)+SUM(_xlfn.XLOOKUP(R64:AF64,增益!$A:$A,增益!$P:$P,0))</f>
        <v>0</v>
      </c>
      <c r="BI64" s="27">
        <f>MIN(IF(VLOOKUP($Q64,武学奇术!$A:$ZZ,23,FALSE)=1,100%,$B$8),100%)</f>
        <v>0.9969</v>
      </c>
      <c r="BJ64" s="27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0.9137</v>
      </c>
      <c r="BK64" s="27" cm="1">
        <f t="array" ref="BK64">1+$B$13+VLOOKUP($Q64,武学奇术!$A:$ZZ,18,FALSE)+SUM(_xlfn.XLOOKUP(R64:AF64,增益!$A:$A,增益!$R:$R,0))</f>
        <v>2.21</v>
      </c>
      <c r="BL64" s="27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0.0895</v>
      </c>
      <c r="BM64" s="27" cm="1">
        <f t="array" ref="BM64">1+$B$14+VLOOKUP($Q64,武学奇术!$A:$ZZ,20,FALSE)+SUM(_xlfn.XLOOKUP(R64:AF64,增益!$A:$A,增益!$T:$T,0))</f>
        <v>1.35</v>
      </c>
      <c r="BN64" s="27">
        <f t="shared" si="9"/>
        <v>0.90767745</v>
      </c>
      <c r="BO64" s="27">
        <f t="shared" si="10"/>
        <v>-1.30104260698261e-17</v>
      </c>
      <c r="BP64" s="27">
        <f>IF(VLOOKUP($Q64,武学奇术!$A:$ZZ,22,FALSE)=1,0,(1-$BI64))*(1-$BL64)</f>
        <v>0.00282254999999999</v>
      </c>
      <c r="BQ64" s="27" cm="1">
        <f t="array" ref="BQ64">SUM(_xlfn.XLOOKUP(R64:AF64,增益!$A:$A,增益!$W:$W,0))+$I$5</f>
        <v>0.11</v>
      </c>
    </row>
    <row r="65" spans="11:69">
      <c r="K65" s="41">
        <f t="shared" si="0"/>
        <v>53352.2177870938</v>
      </c>
      <c r="L65" s="41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弹道",$B$21,0))*(1+$BQ65)</f>
        <v>53624.7364550157</v>
      </c>
      <c r="M65" s="41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弹道",$B$21,0))*(1+$BQ65)</f>
        <v>51754.3364511801</v>
      </c>
      <c r="N65" s="41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弹道",$B$21,0))*(1+$BQ65)</f>
        <v>27359.5594158243</v>
      </c>
      <c r="O65" s="41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弹道",$B$21,0))*(1+$BQ65)</f>
        <v>16382.573312256</v>
      </c>
      <c r="P65" s="42">
        <v>1</v>
      </c>
      <c r="Q65" s="43" t="s">
        <v>109</v>
      </c>
      <c r="R65" s="43" t="s">
        <v>93</v>
      </c>
      <c r="S65" s="43" t="s">
        <v>158</v>
      </c>
      <c r="T65" s="43" t="s">
        <v>102</v>
      </c>
      <c r="U65" s="43" t="s">
        <v>159</v>
      </c>
      <c r="V65" s="43" t="s">
        <v>98</v>
      </c>
      <c r="W65" s="43" t="s">
        <v>73</v>
      </c>
      <c r="X65" s="43" t="s">
        <v>73</v>
      </c>
      <c r="Y65" s="43" t="s">
        <v>73</v>
      </c>
      <c r="Z65" s="43" t="s">
        <v>73</v>
      </c>
      <c r="AA65" s="43" t="s">
        <v>73</v>
      </c>
      <c r="AB65" s="43" t="s">
        <v>73</v>
      </c>
      <c r="AC65" s="43" t="s">
        <v>73</v>
      </c>
      <c r="AD65" s="43" t="s">
        <v>73</v>
      </c>
      <c r="AE65" s="43" t="s">
        <v>73</v>
      </c>
      <c r="AF65" s="43" t="s">
        <v>75</v>
      </c>
      <c r="AG65" t="str">
        <f>VLOOKUP($Q65,武学奇术!$A:$ZZ,25,FALSE)</f>
        <v>伞</v>
      </c>
      <c r="AH65" s="27">
        <f>VLOOKUP($Q65,武学奇术!$A:$ZZ,26,FALSE)</f>
        <v>1.174955</v>
      </c>
      <c r="AI65" s="28">
        <f>VLOOKUP($Q65,武学奇术!$A:$ZZ,27,FALSE)*(1+IF(OR($AG65=$F$4,$AG65=$F$5),$B$22,0))</f>
        <v>454.02</v>
      </c>
      <c r="AJ65" s="27">
        <f>VLOOKUP($Q65,武学奇术!$A:$ZZ,28,FALSE)</f>
        <v>1.762375</v>
      </c>
      <c r="AK65" s="28">
        <f>VLOOKUP($Q65,武学奇术!$A:$ZZ,29,FALSE)*(1+IF(OR($AG65=$F$4,$AG65=$F$5),$B$22,0))</f>
        <v>247.94</v>
      </c>
      <c r="AL65" s="27" cm="1">
        <f t="array" ref="AL65">$G$3+IFERROR(VLOOKUP($AG65,$F$4:$G$7,2,FALSE),0)+VLOOKUP($Q65,武学奇术!$A:$ZZ,2,FALSE)+SUM(_xlfn.XLOOKUP($R65:$AF65,增益!$A:$A,增益!$B:$B,0))</f>
        <v>0.9741</v>
      </c>
      <c r="AM65" s="27" cm="1">
        <f t="array" ref="AM65">VLOOKUP($Q65,武学奇术!$A:$ZZ,5,FALSE)+SUM(_xlfn.XLOOKUP($R65:$AF65,增益!$A:$A,增益!$E:$E,0))</f>
        <v>0.15</v>
      </c>
      <c r="AN65" cm="1">
        <f t="array" ref="AN65">$D$10*(1+$AM65)+VLOOKUP($Q65,武学奇术!$A:$ZZ,3,FALSE)+SUM(_xlfn.XLOOKUP($R65:$AF65,增益!$A:$A,增益!$C:$C,0))-$I$2</f>
        <v>2063.755</v>
      </c>
      <c r="AO65" cm="1">
        <f t="array" ref="AO65">$E$10*(1+$AM65)+VLOOKUP($Q65,武学奇术!$A:$ZZ,4,FALSE)+SUM(_xlfn.XLOOKUP($R65:$AF65,增益!$A:$A,增益!$D:$D,0))-$I$2</f>
        <v>6060.925</v>
      </c>
      <c r="AP65" s="35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0.2675</v>
      </c>
      <c r="AQ65" s="35" cm="1">
        <f t="array" ref="AQ65">$G$10+VLOOKUP($Q65,武学奇术!$A:$ZZ,7,FALSE)+SUM(_xlfn.XLOOKUP(R65:AF65,增益!$A:$A,增益!$G:$G,0))</f>
        <v>0.1</v>
      </c>
      <c r="AR65" s="27" cm="1">
        <f t="array" ref="AR65">VLOOKUP($Q65,武学奇术!$A:$ZZ,8,FALSE)+SUM(_xlfn.XLOOKUP(R65:AF65,增益!$A:$A,增益!$H:$H,0))</f>
        <v>0</v>
      </c>
      <c r="AS65">
        <f t="shared" si="1"/>
        <v>0</v>
      </c>
      <c r="AT65">
        <f t="shared" si="2"/>
        <v>0</v>
      </c>
      <c r="AU65" s="35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-0.3</v>
      </c>
      <c r="AV65" s="35" cm="1">
        <f t="array" ref="AV65">$G$11+VLOOKUP($Q65,武学奇术!$A:$ZZ,10,FALSE)+SUM(_xlfn.XLOOKUP(R65:AF65,增益!$A:$A,增益!$J:$J,0))</f>
        <v>0</v>
      </c>
      <c r="AW65">
        <f t="shared" si="3"/>
        <v>0</v>
      </c>
      <c r="AX65">
        <f t="shared" si="4"/>
        <v>0</v>
      </c>
      <c r="AY65" s="35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-0.3</v>
      </c>
      <c r="AZ65" s="35" cm="1">
        <f t="array" ref="AZ65">$G$12+VLOOKUP($Q65,武学奇术!$A:$ZZ,12,FALSE)+SUM(_xlfn.XLOOKUP(R65:AF65,增益!$A:$A,增益!$L:$L,0))</f>
        <v>0</v>
      </c>
      <c r="BA65">
        <f t="shared" si="5"/>
        <v>538</v>
      </c>
      <c r="BB65">
        <f t="shared" si="6"/>
        <v>1011</v>
      </c>
      <c r="BC65" s="35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0</v>
      </c>
      <c r="BD65" s="35" cm="1">
        <f t="array" ref="BD65">$G$13+VLOOKUP($Q65,武学奇术!$A:$ZZ,14,FALSE)+SUM(_xlfn.XLOOKUP(R65:AF65,增益!$A:$A,增益!$N:$N,0))</f>
        <v>0.25</v>
      </c>
      <c r="BE65">
        <f t="shared" si="7"/>
        <v>0</v>
      </c>
      <c r="BF65">
        <f t="shared" si="8"/>
        <v>0</v>
      </c>
      <c r="BG65" s="35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-0.3</v>
      </c>
      <c r="BH65" s="35" cm="1">
        <f t="array" ref="BH65">$G$14+VLOOKUP($Q65,武学奇术!$A:$ZZ,16,FALSE)+SUM(_xlfn.XLOOKUP(R65:AF65,增益!$A:$A,增益!$P:$P,0))</f>
        <v>0</v>
      </c>
      <c r="BI65" s="27">
        <f>MIN(IF(VLOOKUP($Q65,武学奇术!$A:$ZZ,23,FALSE)=1,100%,$B$8),100%)</f>
        <v>0.9969</v>
      </c>
      <c r="BJ65" s="27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0.9137</v>
      </c>
      <c r="BK65" s="27" cm="1">
        <f t="array" ref="BK65">1+$B$13+VLOOKUP($Q65,武学奇术!$A:$ZZ,18,FALSE)+SUM(_xlfn.XLOOKUP(R65:AF65,增益!$A:$A,增益!$R:$R,0))</f>
        <v>1.96</v>
      </c>
      <c r="BL65" s="27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0.0895</v>
      </c>
      <c r="BM65" s="27" cm="1">
        <f t="array" ref="BM65">1+$B$14+VLOOKUP($Q65,武学奇术!$A:$ZZ,20,FALSE)+SUM(_xlfn.XLOOKUP(R65:AF65,增益!$A:$A,增益!$T:$T,0))</f>
        <v>1.35</v>
      </c>
      <c r="BN65" s="27">
        <f t="shared" si="9"/>
        <v>0.90767745</v>
      </c>
      <c r="BO65" s="27">
        <f t="shared" si="10"/>
        <v>-1.30104260698261e-17</v>
      </c>
      <c r="BP65" s="27">
        <f>IF(VLOOKUP($Q65,武学奇术!$A:$ZZ,22,FALSE)=1,0,(1-$BI65))*(1-$BL65)</f>
        <v>0.00282254999999999</v>
      </c>
      <c r="BQ65" s="27" cm="1">
        <f t="array" ref="BQ65">SUM(_xlfn.XLOOKUP(R65:AF65,增益!$A:$A,增益!$W:$W,0))+$I$5</f>
        <v>0.11</v>
      </c>
    </row>
    <row r="66" spans="11:69">
      <c r="K66" s="41">
        <f t="shared" ref="K66:K129" si="11">($L66*$BN66+$M66*$BL66+$N66*$BO66+$O66*$BP66)</f>
        <v>400141.633403203</v>
      </c>
      <c r="L66" s="41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弹道",$B$21,0))*(1+$BQ66)</f>
        <v>402185.523412618</v>
      </c>
      <c r="M66" s="41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弹道",$B$21,0))*(1+$BQ66)</f>
        <v>388157.52338385</v>
      </c>
      <c r="N66" s="41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弹道",$B$21,0))*(1+$BQ66)</f>
        <v>205196.695618682</v>
      </c>
      <c r="O66" s="41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弹道",$B$21,0))*(1+$BQ66)</f>
        <v>122869.29984192</v>
      </c>
      <c r="P66" s="42">
        <v>7.5</v>
      </c>
      <c r="Q66" s="43" t="s">
        <v>109</v>
      </c>
      <c r="R66" s="43" t="s">
        <v>93</v>
      </c>
      <c r="S66" s="43" t="s">
        <v>158</v>
      </c>
      <c r="T66" s="43" t="s">
        <v>102</v>
      </c>
      <c r="U66" s="43" t="s">
        <v>159</v>
      </c>
      <c r="V66" s="43" t="s">
        <v>98</v>
      </c>
      <c r="W66" s="43" t="s">
        <v>73</v>
      </c>
      <c r="X66" s="43" t="s">
        <v>73</v>
      </c>
      <c r="Y66" s="43" t="s">
        <v>73</v>
      </c>
      <c r="Z66" s="43" t="s">
        <v>73</v>
      </c>
      <c r="AA66" s="43" t="s">
        <v>73</v>
      </c>
      <c r="AB66" s="43" t="s">
        <v>73</v>
      </c>
      <c r="AC66" s="43" t="s">
        <v>73</v>
      </c>
      <c r="AD66" s="43" t="s">
        <v>73</v>
      </c>
      <c r="AE66" s="43" t="s">
        <v>73</v>
      </c>
      <c r="AF66" s="43" t="s">
        <v>75</v>
      </c>
      <c r="AG66" t="str">
        <f>VLOOKUP($Q66,武学奇术!$A:$ZZ,25,FALSE)</f>
        <v>伞</v>
      </c>
      <c r="AH66" s="27">
        <f>VLOOKUP($Q66,武学奇术!$A:$ZZ,26,FALSE)</f>
        <v>1.174955</v>
      </c>
      <c r="AI66" s="28">
        <f>VLOOKUP($Q66,武学奇术!$A:$ZZ,27,FALSE)*(1+IF(OR($AG66=$F$4,$AG66=$F$5),$B$22,0))</f>
        <v>454.02</v>
      </c>
      <c r="AJ66" s="27">
        <f>VLOOKUP($Q66,武学奇术!$A:$ZZ,28,FALSE)</f>
        <v>1.762375</v>
      </c>
      <c r="AK66" s="28">
        <f>VLOOKUP($Q66,武学奇术!$A:$ZZ,29,FALSE)*(1+IF(OR($AG66=$F$4,$AG66=$F$5),$B$22,0))</f>
        <v>247.94</v>
      </c>
      <c r="AL66" s="27" cm="1">
        <f t="array" ref="AL66">$G$3+IFERROR(VLOOKUP($AG66,$F$4:$G$7,2,FALSE),0)+VLOOKUP($Q66,武学奇术!$A:$ZZ,2,FALSE)+SUM(_xlfn.XLOOKUP($R66:$AF66,增益!$A:$A,增益!$B:$B,0))</f>
        <v>0.9741</v>
      </c>
      <c r="AM66" s="27" cm="1">
        <f t="array" ref="AM66">VLOOKUP($Q66,武学奇术!$A:$ZZ,5,FALSE)+SUM(_xlfn.XLOOKUP($R66:$AF66,增益!$A:$A,增益!$E:$E,0))</f>
        <v>0.15</v>
      </c>
      <c r="AN66" cm="1">
        <f t="array" ref="AN66">$D$10*(1+$AM66)+VLOOKUP($Q66,武学奇术!$A:$ZZ,3,FALSE)+SUM(_xlfn.XLOOKUP($R66:$AF66,增益!$A:$A,增益!$C:$C,0))-$I$2</f>
        <v>2063.755</v>
      </c>
      <c r="AO66" cm="1">
        <f t="array" ref="AO66">$E$10*(1+$AM66)+VLOOKUP($Q66,武学奇术!$A:$ZZ,4,FALSE)+SUM(_xlfn.XLOOKUP($R66:$AF66,增益!$A:$A,增益!$D:$D,0))-$I$2</f>
        <v>6060.925</v>
      </c>
      <c r="AP66" s="35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0.2675</v>
      </c>
      <c r="AQ66" s="35" cm="1">
        <f t="array" ref="AQ66">$G$10+VLOOKUP($Q66,武学奇术!$A:$ZZ,7,FALSE)+SUM(_xlfn.XLOOKUP(R66:AF66,增益!$A:$A,增益!$G:$G,0))</f>
        <v>0.1</v>
      </c>
      <c r="AR66" s="27" cm="1">
        <f t="array" ref="AR66">VLOOKUP($Q66,武学奇术!$A:$ZZ,8,FALSE)+SUM(_xlfn.XLOOKUP(R66:AF66,增益!$A:$A,增益!$H:$H,0))</f>
        <v>0</v>
      </c>
      <c r="AS66">
        <f t="shared" ref="AS66:AS129" si="12">$D$11*(1+$AR66)</f>
        <v>0</v>
      </c>
      <c r="AT66">
        <f t="shared" ref="AT66:AT129" si="13">$E$11*(1+$AR66)</f>
        <v>0</v>
      </c>
      <c r="AU66" s="35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-0.3</v>
      </c>
      <c r="AV66" s="35" cm="1">
        <f t="array" ref="AV66">$G$11+VLOOKUP($Q66,武学奇术!$A:$ZZ,10,FALSE)+SUM(_xlfn.XLOOKUP(R66:AF66,增益!$A:$A,增益!$J:$J,0))</f>
        <v>0</v>
      </c>
      <c r="AW66">
        <f t="shared" ref="AW66:AW129" si="14">$D$12*(1+$AR66)</f>
        <v>0</v>
      </c>
      <c r="AX66">
        <f t="shared" ref="AX66:AX129" si="15">$E$12*(1+$AR66)</f>
        <v>0</v>
      </c>
      <c r="AY66" s="35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-0.3</v>
      </c>
      <c r="AZ66" s="35" cm="1">
        <f t="array" ref="AZ66">$G$12+VLOOKUP($Q66,武学奇术!$A:$ZZ,12,FALSE)+SUM(_xlfn.XLOOKUP(R66:AF66,增益!$A:$A,增益!$L:$L,0))</f>
        <v>0</v>
      </c>
      <c r="BA66">
        <f t="shared" ref="BA66:BA129" si="16">$D$13*(1+$AR66)</f>
        <v>538</v>
      </c>
      <c r="BB66">
        <f t="shared" ref="BB66:BB129" si="17">$E$13*(1+$AR66)</f>
        <v>1011</v>
      </c>
      <c r="BC66" s="35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0</v>
      </c>
      <c r="BD66" s="35" cm="1">
        <f t="array" ref="BD66">$G$13+VLOOKUP($Q66,武学奇术!$A:$ZZ,14,FALSE)+SUM(_xlfn.XLOOKUP(R66:AF66,增益!$A:$A,增益!$N:$N,0))</f>
        <v>0.25</v>
      </c>
      <c r="BE66">
        <f t="shared" ref="BE66:BE129" si="18">$D$14*(1+$AR66)</f>
        <v>0</v>
      </c>
      <c r="BF66">
        <f t="shared" ref="BF66:BF129" si="19">$E$14*(1+$AR66)</f>
        <v>0</v>
      </c>
      <c r="BG66" s="35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-0.3</v>
      </c>
      <c r="BH66" s="35" cm="1">
        <f t="array" ref="BH66">$G$14+VLOOKUP($Q66,武学奇术!$A:$ZZ,16,FALSE)+SUM(_xlfn.XLOOKUP(R66:AF66,增益!$A:$A,增益!$P:$P,0))</f>
        <v>0</v>
      </c>
      <c r="BI66" s="27">
        <f>MIN(IF(VLOOKUP($Q66,武学奇术!$A:$ZZ,23,FALSE)=1,100%,$B$8),100%)</f>
        <v>0.9969</v>
      </c>
      <c r="BJ66" s="27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0.9137</v>
      </c>
      <c r="BK66" s="27" cm="1">
        <f t="array" ref="BK66">1+$B$13+VLOOKUP($Q66,武学奇术!$A:$ZZ,18,FALSE)+SUM(_xlfn.XLOOKUP(R66:AF66,增益!$A:$A,增益!$R:$R,0))</f>
        <v>1.96</v>
      </c>
      <c r="BL66" s="27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0.0895</v>
      </c>
      <c r="BM66" s="27" cm="1">
        <f t="array" ref="BM66">1+$B$14+VLOOKUP($Q66,武学奇术!$A:$ZZ,20,FALSE)+SUM(_xlfn.XLOOKUP(R66:AF66,增益!$A:$A,增益!$T:$T,0))</f>
        <v>1.35</v>
      </c>
      <c r="BN66" s="27">
        <f t="shared" ref="BN66:BN129" si="20">MIN((1-BL66)*BI66,BI66*BJ66)</f>
        <v>0.90767745</v>
      </c>
      <c r="BO66" s="27">
        <f t="shared" ref="BO66:BO129" si="21">1-BL66-BN66-BP66</f>
        <v>-1.30104260698261e-17</v>
      </c>
      <c r="BP66" s="27">
        <f>IF(VLOOKUP($Q66,武学奇术!$A:$ZZ,22,FALSE)=1,0,(1-$BI66))*(1-$BL66)</f>
        <v>0.00282254999999999</v>
      </c>
      <c r="BQ66" s="27" cm="1">
        <f t="array" ref="BQ66">SUM(_xlfn.XLOOKUP(R66:AF66,增益!$A:$A,增益!$W:$W,0))+$I$5</f>
        <v>0.11</v>
      </c>
    </row>
    <row r="67" spans="11:69">
      <c r="K67" s="41">
        <f t="shared" si="11"/>
        <v>64656.7259548836</v>
      </c>
      <c r="L67" s="41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弹道",$B$21,0))*(1+$BQ67)</f>
        <v>63733.3817979645</v>
      </c>
      <c r="M67" s="41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弹道",$B$21,0))*(1+$BQ67)</f>
        <v>75306.8039766278</v>
      </c>
      <c r="N67" s="41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弹道",$B$21,0))*(1+$BQ67)</f>
        <v>39833.3636237278</v>
      </c>
      <c r="O67" s="41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弹道",$B$21,0))*(1+$BQ67)</f>
        <v>23883.9094869906</v>
      </c>
      <c r="P67" s="42">
        <v>1</v>
      </c>
      <c r="Q67" s="43" t="s">
        <v>145</v>
      </c>
      <c r="R67" s="43" t="s">
        <v>93</v>
      </c>
      <c r="S67" s="43" t="s">
        <v>158</v>
      </c>
      <c r="T67" s="43" t="s">
        <v>73</v>
      </c>
      <c r="U67" s="43" t="s">
        <v>159</v>
      </c>
      <c r="V67" s="43" t="s">
        <v>98</v>
      </c>
      <c r="W67" s="43" t="s">
        <v>73</v>
      </c>
      <c r="X67" s="43" t="s">
        <v>73</v>
      </c>
      <c r="Y67" s="43" t="s">
        <v>73</v>
      </c>
      <c r="Z67" s="43" t="s">
        <v>73</v>
      </c>
      <c r="AA67" s="43" t="s">
        <v>73</v>
      </c>
      <c r="AB67" s="43" t="s">
        <v>73</v>
      </c>
      <c r="AC67" s="43" t="s">
        <v>73</v>
      </c>
      <c r="AD67" s="43" t="s">
        <v>73</v>
      </c>
      <c r="AE67" s="43" t="s">
        <v>73</v>
      </c>
      <c r="AF67" s="43" t="s">
        <v>75</v>
      </c>
      <c r="AG67" t="str">
        <f>VLOOKUP($Q67,武学奇术!$A:$ZZ,25,FALSE)</f>
        <v>扇</v>
      </c>
      <c r="AH67" s="27">
        <f>VLOOKUP($Q67,武学奇术!$A:$ZZ,26,FALSE)</f>
        <v>2.76138</v>
      </c>
      <c r="AI67" s="28">
        <f>VLOOKUP($Q67,武学奇术!$A:$ZZ,27,FALSE)*(1+IF(OR($AG67=$F$4,$AG67=$F$5),$B$22,0))</f>
        <v>1069.81</v>
      </c>
      <c r="AJ67" s="27">
        <f>VLOOKUP($Q67,武学奇术!$A:$ZZ,28,FALSE)</f>
        <v>4.14207</v>
      </c>
      <c r="AK67" s="28">
        <f>VLOOKUP($Q67,武学奇术!$A:$ZZ,29,FALSE)*(1+IF(OR($AG67=$F$4,$AG67=$F$5),$B$22,0))</f>
        <v>582.61</v>
      </c>
      <c r="AL67" s="27" cm="1">
        <f t="array" ref="AL67">$G$3+IFERROR(VLOOKUP($AG67,$F$4:$G$7,2,FALSE),0)+VLOOKUP($Q67,武学奇术!$A:$ZZ,2,FALSE)+SUM(_xlfn.XLOOKUP($R67:$AF67,增益!$A:$A,增益!$B:$B,0))</f>
        <v>0.6389</v>
      </c>
      <c r="AM67" s="27" cm="1">
        <f t="array" ref="AM67">VLOOKUP($Q67,武学奇术!$A:$ZZ,5,FALSE)+SUM(_xlfn.XLOOKUP($R67:$AF67,增益!$A:$A,增益!$E:$E,0))</f>
        <v>0.15</v>
      </c>
      <c r="AN67" cm="1">
        <f t="array" ref="AN67">$D$10*(1+$AM67)+VLOOKUP($Q67,武学奇术!$A:$ZZ,3,FALSE)+SUM(_xlfn.XLOOKUP($R67:$AF67,增益!$A:$A,增益!$C:$C,0))-$I$2</f>
        <v>2063.755</v>
      </c>
      <c r="AO67" cm="1">
        <f t="array" ref="AO67">$E$10*(1+$AM67)+VLOOKUP($Q67,武学奇术!$A:$ZZ,4,FALSE)+SUM(_xlfn.XLOOKUP($R67:$AF67,增益!$A:$A,增益!$D:$D,0))-$I$2</f>
        <v>6060.925</v>
      </c>
      <c r="AP67" s="35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0.2425</v>
      </c>
      <c r="AQ67" s="35" cm="1">
        <f t="array" ref="AQ67">$G$10+VLOOKUP($Q67,武学奇术!$A:$ZZ,7,FALSE)+SUM(_xlfn.XLOOKUP(R67:AF67,增益!$A:$A,增益!$G:$G,0))</f>
        <v>0.1</v>
      </c>
      <c r="AR67" s="27" cm="1">
        <f t="array" ref="AR67">VLOOKUP($Q67,武学奇术!$A:$ZZ,8,FALSE)+SUM(_xlfn.XLOOKUP(R67:AF67,增益!$A:$A,增益!$H:$H,0))</f>
        <v>0</v>
      </c>
      <c r="AS67">
        <f t="shared" si="12"/>
        <v>0</v>
      </c>
      <c r="AT67">
        <f t="shared" si="13"/>
        <v>0</v>
      </c>
      <c r="AU67" s="35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-0.3</v>
      </c>
      <c r="AV67" s="35" cm="1">
        <f t="array" ref="AV67">$G$11+VLOOKUP($Q67,武学奇术!$A:$ZZ,10,FALSE)+SUM(_xlfn.XLOOKUP(R67:AF67,增益!$A:$A,增益!$J:$J,0))</f>
        <v>0</v>
      </c>
      <c r="AW67">
        <f t="shared" si="14"/>
        <v>0</v>
      </c>
      <c r="AX67">
        <f t="shared" si="15"/>
        <v>0</v>
      </c>
      <c r="AY67" s="35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-0.3</v>
      </c>
      <c r="AZ67" s="35" cm="1">
        <f t="array" ref="AZ67">$G$12+VLOOKUP($Q67,武学奇术!$A:$ZZ,12,FALSE)+SUM(_xlfn.XLOOKUP(R67:AF67,增益!$A:$A,增益!$L:$L,0))</f>
        <v>0</v>
      </c>
      <c r="BA67">
        <f t="shared" si="16"/>
        <v>538</v>
      </c>
      <c r="BB67">
        <f t="shared" si="17"/>
        <v>1011</v>
      </c>
      <c r="BC67" s="35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0</v>
      </c>
      <c r="BD67" s="35" cm="1">
        <f t="array" ref="BD67">$G$13+VLOOKUP($Q67,武学奇术!$A:$ZZ,14,FALSE)+SUM(_xlfn.XLOOKUP(R67:AF67,增益!$A:$A,增益!$N:$N,0))</f>
        <v>0.25</v>
      </c>
      <c r="BE67">
        <f t="shared" si="18"/>
        <v>0</v>
      </c>
      <c r="BF67">
        <f t="shared" si="19"/>
        <v>0</v>
      </c>
      <c r="BG67" s="35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-0.3</v>
      </c>
      <c r="BH67" s="35" cm="1">
        <f t="array" ref="BH67">$G$14+VLOOKUP($Q67,武学奇术!$A:$ZZ,16,FALSE)+SUM(_xlfn.XLOOKUP(R67:AF67,增益!$A:$A,增益!$P:$P,0))</f>
        <v>0</v>
      </c>
      <c r="BI67" s="27">
        <f>MIN(IF(VLOOKUP($Q67,武学奇术!$A:$ZZ,23,FALSE)=1,100%,$B$8),100%)</f>
        <v>0.9969</v>
      </c>
      <c r="BJ67" s="27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0.9137</v>
      </c>
      <c r="BK67" s="27" cm="1">
        <f t="array" ref="BK67">1+$B$13+VLOOKUP($Q67,武学奇术!$A:$ZZ,18,FALSE)+SUM(_xlfn.XLOOKUP(R67:AF67,增益!$A:$A,增益!$R:$R,0))</f>
        <v>1.6</v>
      </c>
      <c r="BL67" s="27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0.0895</v>
      </c>
      <c r="BM67" s="27" cm="1">
        <f t="array" ref="BM67">1+$B$14+VLOOKUP($Q67,武学奇术!$A:$ZZ,20,FALSE)+SUM(_xlfn.XLOOKUP(R67:AF67,增益!$A:$A,增益!$T:$T,0))</f>
        <v>1.35</v>
      </c>
      <c r="BN67" s="27">
        <f t="shared" si="20"/>
        <v>0.90767745</v>
      </c>
      <c r="BO67" s="27">
        <f t="shared" si="21"/>
        <v>-1.30104260698261e-17</v>
      </c>
      <c r="BP67" s="27">
        <f>IF(VLOOKUP($Q67,武学奇术!$A:$ZZ,22,FALSE)=1,0,(1-$BI67))*(1-$BL67)</f>
        <v>0.00282254999999999</v>
      </c>
      <c r="BQ67" s="27" cm="1">
        <f t="array" ref="BQ67">SUM(_xlfn.XLOOKUP(R67:AF67,增益!$A:$A,增益!$W:$W,0))+$I$5</f>
        <v>0.11</v>
      </c>
    </row>
    <row r="68" spans="11:69">
      <c r="K68" s="41">
        <f t="shared" si="11"/>
        <v>100575.721968133</v>
      </c>
      <c r="L68" s="41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弹道",$B$21,0))*(1+$BQ68)</f>
        <v>101094.364560682</v>
      </c>
      <c r="M68" s="41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弹道",$B$21,0))*(1+$BQ68)</f>
        <v>97512.3616715308</v>
      </c>
      <c r="N68" s="41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弹道",$B$21,0))*(1+$BQ68)</f>
        <v>51578.7574289195</v>
      </c>
      <c r="O68" s="41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弹道",$B$21,0))*(1+$BQ68)</f>
        <v>30926.1358418903</v>
      </c>
      <c r="P68" s="42">
        <v>1</v>
      </c>
      <c r="Q68" s="43" t="s">
        <v>133</v>
      </c>
      <c r="R68" s="43" t="s">
        <v>93</v>
      </c>
      <c r="S68" s="43" t="s">
        <v>158</v>
      </c>
      <c r="T68" s="43" t="s">
        <v>73</v>
      </c>
      <c r="U68" s="43" t="s">
        <v>159</v>
      </c>
      <c r="V68" s="43" t="s">
        <v>134</v>
      </c>
      <c r="W68" s="43" t="s">
        <v>73</v>
      </c>
      <c r="X68" s="43" t="s">
        <v>73</v>
      </c>
      <c r="Y68" s="43" t="s">
        <v>73</v>
      </c>
      <c r="Z68" s="43" t="s">
        <v>73</v>
      </c>
      <c r="AA68" s="43" t="s">
        <v>73</v>
      </c>
      <c r="AB68" s="43" t="s">
        <v>73</v>
      </c>
      <c r="AC68" s="43" t="s">
        <v>73</v>
      </c>
      <c r="AD68" s="43" t="s">
        <v>73</v>
      </c>
      <c r="AE68" s="43" t="s">
        <v>73</v>
      </c>
      <c r="AF68" s="43" t="s">
        <v>75</v>
      </c>
      <c r="AG68" t="str">
        <f>VLOOKUP($Q68,武学奇术!$A:$ZZ,25,FALSE)</f>
        <v>扇</v>
      </c>
      <c r="AH68" s="27">
        <f>VLOOKUP($Q68,武学奇术!$A:$ZZ,26,FALSE)</f>
        <v>4.376825</v>
      </c>
      <c r="AI68" s="28">
        <f>VLOOKUP($Q68,武学奇术!$A:$ZZ,27,FALSE)*(1+IF(OR($AG68=$F$4,$AG68=$F$5),$B$22,0))</f>
        <v>1695.05</v>
      </c>
      <c r="AJ68" s="27">
        <f>VLOOKUP($Q68,武学奇术!$A:$ZZ,28,FALSE)</f>
        <v>6.56531</v>
      </c>
      <c r="AK68" s="28">
        <f>VLOOKUP($Q68,武学奇术!$A:$ZZ,29,FALSE)*(1+IF(OR($AG68=$F$4,$AG68=$F$5),$B$22,0))</f>
        <v>923.65</v>
      </c>
      <c r="AL68" s="27" cm="1">
        <f t="array" ref="AL68">$G$3+IFERROR(VLOOKUP($AG68,$F$4:$G$7,2,FALSE),0)+VLOOKUP($Q68,武学奇术!$A:$ZZ,2,FALSE)+SUM(_xlfn.XLOOKUP($R68:$AF68,增益!$A:$A,增益!$B:$B,0))</f>
        <v>0.3389</v>
      </c>
      <c r="AM68" s="27" cm="1">
        <f t="array" ref="AM68">VLOOKUP($Q68,武学奇术!$A:$ZZ,5,FALSE)+SUM(_xlfn.XLOOKUP($R68:$AF68,增益!$A:$A,增益!$E:$E,0))</f>
        <v>0.15</v>
      </c>
      <c r="AN68" cm="1">
        <f t="array" ref="AN68">$D$10*(1+$AM68)+VLOOKUP($Q68,武学奇术!$A:$ZZ,3,FALSE)+SUM(_xlfn.XLOOKUP($R68:$AF68,增益!$A:$A,增益!$C:$C,0))-$I$2</f>
        <v>2063.755</v>
      </c>
      <c r="AO68" cm="1">
        <f t="array" ref="AO68">$E$10*(1+$AM68)+VLOOKUP($Q68,武学奇术!$A:$ZZ,4,FALSE)+SUM(_xlfn.XLOOKUP($R68:$AF68,增益!$A:$A,增益!$D:$D,0))-$I$2</f>
        <v>6060.925</v>
      </c>
      <c r="AP68" s="35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0.2425</v>
      </c>
      <c r="AQ68" s="35" cm="1">
        <f t="array" ref="AQ68">$G$10+VLOOKUP($Q68,武学奇术!$A:$ZZ,7,FALSE)+SUM(_xlfn.XLOOKUP(R68:AF68,增益!$A:$A,增益!$G:$G,0))</f>
        <v>0.1</v>
      </c>
      <c r="AR68" s="27" cm="1">
        <f t="array" ref="AR68">VLOOKUP($Q68,武学奇术!$A:$ZZ,8,FALSE)+SUM(_xlfn.XLOOKUP(R68:AF68,增益!$A:$A,增益!$H:$H,0))</f>
        <v>0</v>
      </c>
      <c r="AS68">
        <f t="shared" si="12"/>
        <v>0</v>
      </c>
      <c r="AT68">
        <f t="shared" si="13"/>
        <v>0</v>
      </c>
      <c r="AU68" s="35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-0.3</v>
      </c>
      <c r="AV68" s="35" cm="1">
        <f t="array" ref="AV68">$G$11+VLOOKUP($Q68,武学奇术!$A:$ZZ,10,FALSE)+SUM(_xlfn.XLOOKUP(R68:AF68,增益!$A:$A,增益!$J:$J,0))</f>
        <v>0</v>
      </c>
      <c r="AW68">
        <f t="shared" si="14"/>
        <v>0</v>
      </c>
      <c r="AX68">
        <f t="shared" si="15"/>
        <v>0</v>
      </c>
      <c r="AY68" s="35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-0.3</v>
      </c>
      <c r="AZ68" s="35" cm="1">
        <f t="array" ref="AZ68">$G$12+VLOOKUP($Q68,武学奇术!$A:$ZZ,12,FALSE)+SUM(_xlfn.XLOOKUP(R68:AF68,增益!$A:$A,增益!$L:$L,0))</f>
        <v>0</v>
      </c>
      <c r="BA68">
        <f t="shared" si="16"/>
        <v>538</v>
      </c>
      <c r="BB68">
        <f t="shared" si="17"/>
        <v>1011</v>
      </c>
      <c r="BC68" s="35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0</v>
      </c>
      <c r="BD68" s="35" cm="1">
        <f t="array" ref="BD68">$G$13+VLOOKUP($Q68,武学奇术!$A:$ZZ,14,FALSE)+SUM(_xlfn.XLOOKUP(R68:AF68,增益!$A:$A,增益!$N:$N,0))</f>
        <v>0.25</v>
      </c>
      <c r="BE68">
        <f t="shared" si="18"/>
        <v>0</v>
      </c>
      <c r="BF68">
        <f t="shared" si="19"/>
        <v>0</v>
      </c>
      <c r="BG68" s="35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-0.3</v>
      </c>
      <c r="BH68" s="35" cm="1">
        <f t="array" ref="BH68">$G$14+VLOOKUP($Q68,武学奇术!$A:$ZZ,16,FALSE)+SUM(_xlfn.XLOOKUP(R68:AF68,增益!$A:$A,增益!$P:$P,0))</f>
        <v>0</v>
      </c>
      <c r="BI68" s="27">
        <f>MIN(IF(VLOOKUP($Q68,武学奇术!$A:$ZZ,23,FALSE)=1,100%,$B$8),100%)</f>
        <v>0.9969</v>
      </c>
      <c r="BJ68" s="27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0.9137</v>
      </c>
      <c r="BK68" s="27" cm="1">
        <f t="array" ref="BK68">1+$B$13+VLOOKUP($Q68,武学奇术!$A:$ZZ,18,FALSE)+SUM(_xlfn.XLOOKUP(R68:AF68,增益!$A:$A,增益!$R:$R,0))</f>
        <v>1.96</v>
      </c>
      <c r="BL68" s="27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0.0895</v>
      </c>
      <c r="BM68" s="27" cm="1">
        <f t="array" ref="BM68">1+$B$14+VLOOKUP($Q68,武学奇术!$A:$ZZ,20,FALSE)+SUM(_xlfn.XLOOKUP(R68:AF68,增益!$A:$A,增益!$T:$T,0))</f>
        <v>1.35</v>
      </c>
      <c r="BN68" s="27">
        <f t="shared" si="20"/>
        <v>0.90767745</v>
      </c>
      <c r="BO68" s="27">
        <f t="shared" si="21"/>
        <v>-1.30104260698261e-17</v>
      </c>
      <c r="BP68" s="27">
        <f>IF(VLOOKUP($Q68,武学奇术!$A:$ZZ,22,FALSE)=1,0,(1-$BI68))*(1-$BL68)</f>
        <v>0.00282254999999999</v>
      </c>
      <c r="BQ68" s="27" cm="1">
        <f t="array" ref="BQ68">SUM(_xlfn.XLOOKUP(R68:AF68,增益!$A:$A,增益!$W:$W,0))+$I$5</f>
        <v>0.11</v>
      </c>
    </row>
    <row r="69" spans="11:69">
      <c r="K69" s="41">
        <f t="shared" si="11"/>
        <v>80507.4964990753</v>
      </c>
      <c r="L69" s="41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弹道",$B$21,0))*(1+$BQ69)</f>
        <v>80919.2678442368</v>
      </c>
      <c r="M69" s="41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弹道",$B$21,0))*(1+$BQ69)</f>
        <v>78090.637987881</v>
      </c>
      <c r="N69" s="41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弹道",$B$21,0))*(1+$BQ69)</f>
        <v>41285.3407368555</v>
      </c>
      <c r="O69" s="41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弹道",$B$21,0))*(1+$BQ69)</f>
        <v>24725.7644456511</v>
      </c>
      <c r="P69" s="42">
        <v>1</v>
      </c>
      <c r="Q69" s="43" t="s">
        <v>97</v>
      </c>
      <c r="R69" s="43" t="s">
        <v>93</v>
      </c>
      <c r="S69" s="43" t="s">
        <v>158</v>
      </c>
      <c r="T69" s="43" t="s">
        <v>102</v>
      </c>
      <c r="U69" s="43" t="s">
        <v>159</v>
      </c>
      <c r="V69" s="43" t="s">
        <v>98</v>
      </c>
      <c r="W69" s="43" t="s">
        <v>73</v>
      </c>
      <c r="X69" s="43" t="s">
        <v>73</v>
      </c>
      <c r="Y69" s="43" t="s">
        <v>73</v>
      </c>
      <c r="Z69" s="43" t="s">
        <v>73</v>
      </c>
      <c r="AA69" s="43" t="s">
        <v>73</v>
      </c>
      <c r="AB69" s="43" t="s">
        <v>73</v>
      </c>
      <c r="AC69" s="43" t="s">
        <v>73</v>
      </c>
      <c r="AD69" s="43" t="s">
        <v>73</v>
      </c>
      <c r="AE69" s="43" t="s">
        <v>73</v>
      </c>
      <c r="AF69" s="43" t="s">
        <v>75</v>
      </c>
      <c r="AG69" t="str">
        <f>VLOOKUP($Q69,武学奇术!$A:$ZZ,25,FALSE)</f>
        <v>伞</v>
      </c>
      <c r="AH69" s="27">
        <f>VLOOKUP($Q69,武学奇术!$A:$ZZ,26,FALSE)</f>
        <v>2.3397</v>
      </c>
      <c r="AI69" s="28">
        <f>VLOOKUP($Q69,武学奇术!$A:$ZZ,27,FALSE)*(1+IF(OR($AG69=$F$4,$AG69=$F$5),$B$22,0))</f>
        <v>907.2</v>
      </c>
      <c r="AJ69" s="27">
        <f>VLOOKUP($Q69,武学奇术!$A:$ZZ,28,FALSE)</f>
        <v>3.5095</v>
      </c>
      <c r="AK69" s="28">
        <f>VLOOKUP($Q69,武学奇术!$A:$ZZ,29,FALSE)*(1+IF(OR($AG69=$F$4,$AG69=$F$5),$B$22,0))</f>
        <v>494.2</v>
      </c>
      <c r="AL69" s="27" cm="1">
        <f t="array" ref="AL69">$G$3+IFERROR(VLOOKUP($AG69,$F$4:$G$7,2,FALSE),0)+VLOOKUP($Q69,武学奇术!$A:$ZZ,2,FALSE)+SUM(_xlfn.XLOOKUP($R69:$AF69,增益!$A:$A,增益!$B:$B,0))</f>
        <v>0.9741</v>
      </c>
      <c r="AM69" s="27" cm="1">
        <f t="array" ref="AM69">VLOOKUP($Q69,武学奇术!$A:$ZZ,5,FALSE)+SUM(_xlfn.XLOOKUP($R69:$AF69,增益!$A:$A,增益!$E:$E,0))</f>
        <v>0.15</v>
      </c>
      <c r="AN69" cm="1">
        <f t="array" ref="AN69">$D$10*(1+$AM69)+VLOOKUP($Q69,武学奇术!$A:$ZZ,3,FALSE)+SUM(_xlfn.XLOOKUP($R69:$AF69,增益!$A:$A,增益!$C:$C,0))-$I$2</f>
        <v>2063.755</v>
      </c>
      <c r="AO69" cm="1">
        <f t="array" ref="AO69">$E$10*(1+$AM69)+VLOOKUP($Q69,武学奇术!$A:$ZZ,4,FALSE)+SUM(_xlfn.XLOOKUP($R69:$AF69,增益!$A:$A,增益!$D:$D,0))-$I$2</f>
        <v>6060.925</v>
      </c>
      <c r="AP69" s="35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0.2675</v>
      </c>
      <c r="AQ69" s="35" cm="1">
        <f t="array" ref="AQ69">$G$10+VLOOKUP($Q69,武学奇术!$A:$ZZ,7,FALSE)+SUM(_xlfn.XLOOKUP(R69:AF69,增益!$A:$A,增益!$G:$G,0))</f>
        <v>0.1</v>
      </c>
      <c r="AR69" s="27" cm="1">
        <f t="array" ref="AR69">VLOOKUP($Q69,武学奇术!$A:$ZZ,8,FALSE)+SUM(_xlfn.XLOOKUP(R69:AF69,增益!$A:$A,增益!$H:$H,0))</f>
        <v>0</v>
      </c>
      <c r="AS69">
        <f t="shared" si="12"/>
        <v>0</v>
      </c>
      <c r="AT69">
        <f t="shared" si="13"/>
        <v>0</v>
      </c>
      <c r="AU69" s="35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-0.3</v>
      </c>
      <c r="AV69" s="35" cm="1">
        <f t="array" ref="AV69">$G$11+VLOOKUP($Q69,武学奇术!$A:$ZZ,10,FALSE)+SUM(_xlfn.XLOOKUP(R69:AF69,增益!$A:$A,增益!$J:$J,0))</f>
        <v>0</v>
      </c>
      <c r="AW69">
        <f t="shared" si="14"/>
        <v>0</v>
      </c>
      <c r="AX69">
        <f t="shared" si="15"/>
        <v>0</v>
      </c>
      <c r="AY69" s="35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-0.3</v>
      </c>
      <c r="AZ69" s="35" cm="1">
        <f t="array" ref="AZ69">$G$12+VLOOKUP($Q69,武学奇术!$A:$ZZ,12,FALSE)+SUM(_xlfn.XLOOKUP(R69:AF69,增益!$A:$A,增益!$L:$L,0))</f>
        <v>0</v>
      </c>
      <c r="BA69">
        <f t="shared" si="16"/>
        <v>538</v>
      </c>
      <c r="BB69">
        <f t="shared" si="17"/>
        <v>1011</v>
      </c>
      <c r="BC69" s="35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0</v>
      </c>
      <c r="BD69" s="35" cm="1">
        <f t="array" ref="BD69">$G$13+VLOOKUP($Q69,武学奇术!$A:$ZZ,14,FALSE)+SUM(_xlfn.XLOOKUP(R69:AF69,增益!$A:$A,增益!$N:$N,0))</f>
        <v>0.25</v>
      </c>
      <c r="BE69">
        <f t="shared" si="18"/>
        <v>0</v>
      </c>
      <c r="BF69">
        <f t="shared" si="19"/>
        <v>0</v>
      </c>
      <c r="BG69" s="35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-0.3</v>
      </c>
      <c r="BH69" s="35" cm="1">
        <f t="array" ref="BH69">$G$14+VLOOKUP($Q69,武学奇术!$A:$ZZ,16,FALSE)+SUM(_xlfn.XLOOKUP(R69:AF69,增益!$A:$A,增益!$P:$P,0))</f>
        <v>0</v>
      </c>
      <c r="BI69" s="27">
        <f>MIN(IF(VLOOKUP($Q69,武学奇术!$A:$ZZ,23,FALSE)=1,100%,$B$8),100%)</f>
        <v>0.9969</v>
      </c>
      <c r="BJ69" s="27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0.9137</v>
      </c>
      <c r="BK69" s="27" cm="1">
        <f t="array" ref="BK69">1+$B$13+VLOOKUP($Q69,武学奇术!$A:$ZZ,18,FALSE)+SUM(_xlfn.XLOOKUP(R69:AF69,增益!$A:$A,增益!$R:$R,0))</f>
        <v>1.96</v>
      </c>
      <c r="BL69" s="27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0.0895</v>
      </c>
      <c r="BM69" s="27" cm="1">
        <f t="array" ref="BM69">1+$B$14+VLOOKUP($Q69,武学奇术!$A:$ZZ,20,FALSE)+SUM(_xlfn.XLOOKUP(R69:AF69,增益!$A:$A,增益!$T:$T,0))</f>
        <v>1.35</v>
      </c>
      <c r="BN69" s="27">
        <f t="shared" si="20"/>
        <v>0.90767745</v>
      </c>
      <c r="BO69" s="27">
        <f t="shared" si="21"/>
        <v>-1.30104260698261e-17</v>
      </c>
      <c r="BP69" s="27">
        <f>IF(VLOOKUP($Q69,武学奇术!$A:$ZZ,22,FALSE)=1,0,(1-$BI69))*(1-$BL69)</f>
        <v>0.00282254999999999</v>
      </c>
      <c r="BQ69" s="27" cm="1">
        <f t="array" ref="BQ69">SUM(_xlfn.XLOOKUP(R69:AF69,增益!$A:$A,增益!$W:$W,0))+$I$5</f>
        <v>0.11</v>
      </c>
    </row>
    <row r="70" spans="11:69">
      <c r="K70" s="41">
        <f t="shared" si="11"/>
        <v>32162.2617059936</v>
      </c>
      <c r="L70" s="41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弹道",$B$21,0))*(1+$BQ70)</f>
        <v>31702.9946326055</v>
      </c>
      <c r="M70" s="41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弹道",$B$21,0))*(1+$BQ70)</f>
        <v>37459.5973729968</v>
      </c>
      <c r="N70" s="41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弹道",$B$21,0))*(1+$BQ70)</f>
        <v>19814.3716453784</v>
      </c>
      <c r="O70" s="41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弹道",$B$21,0))*(1+$BQ70)</f>
        <v>11880.8933848333</v>
      </c>
      <c r="P70" s="42">
        <v>1</v>
      </c>
      <c r="Q70" s="43" t="s">
        <v>104</v>
      </c>
      <c r="R70" s="43" t="s">
        <v>93</v>
      </c>
      <c r="S70" s="43" t="s">
        <v>158</v>
      </c>
      <c r="T70" s="43" t="s">
        <v>73</v>
      </c>
      <c r="U70" s="43" t="s">
        <v>159</v>
      </c>
      <c r="V70" s="43" t="s">
        <v>73</v>
      </c>
      <c r="W70" s="43" t="s">
        <v>73</v>
      </c>
      <c r="X70" s="43" t="s">
        <v>73</v>
      </c>
      <c r="Y70" s="43" t="s">
        <v>73</v>
      </c>
      <c r="Z70" s="43" t="s">
        <v>73</v>
      </c>
      <c r="AA70" s="43" t="s">
        <v>73</v>
      </c>
      <c r="AB70" s="43" t="s">
        <v>73</v>
      </c>
      <c r="AC70" s="43" t="s">
        <v>73</v>
      </c>
      <c r="AD70" s="43" t="s">
        <v>73</v>
      </c>
      <c r="AE70" s="43" t="s">
        <v>73</v>
      </c>
      <c r="AF70" s="43" t="s">
        <v>75</v>
      </c>
      <c r="AG70" t="str">
        <f>VLOOKUP($Q70,武学奇术!$A:$ZZ,25,FALSE)</f>
        <v>伞</v>
      </c>
      <c r="AH70" s="27">
        <f>VLOOKUP($Q70,武学奇术!$A:$ZZ,26,FALSE)</f>
        <v>1.7001</v>
      </c>
      <c r="AI70" s="28">
        <f>VLOOKUP($Q70,武学奇术!$A:$ZZ,27,FALSE)*(1+IF(OR($AG70=$F$4,$AG70=$F$5),$B$22,0))</f>
        <v>659.4</v>
      </c>
      <c r="AJ70" s="27">
        <f>VLOOKUP($Q70,武学奇术!$A:$ZZ,28,FALSE)</f>
        <v>2.5502</v>
      </c>
      <c r="AK70" s="28">
        <f>VLOOKUP($Q70,武学奇术!$A:$ZZ,29,FALSE)*(1+IF(OR($AG70=$F$4,$AG70=$F$5),$B$22,0))</f>
        <v>358.4</v>
      </c>
      <c r="AL70" s="27" cm="1">
        <f t="array" ref="AL70">$G$3+IFERROR(VLOOKUP($AG70,$F$4:$G$7,2,FALSE),0)+VLOOKUP($Q70,武学奇术!$A:$ZZ,2,FALSE)+SUM(_xlfn.XLOOKUP($R70:$AF70,增益!$A:$A,增益!$B:$B,0))</f>
        <v>0.3241</v>
      </c>
      <c r="AM70" s="27" cm="1">
        <f t="array" ref="AM70">VLOOKUP($Q70,武学奇术!$A:$ZZ,5,FALSE)+SUM(_xlfn.XLOOKUP($R70:$AF70,增益!$A:$A,增益!$E:$E,0))</f>
        <v>0.15</v>
      </c>
      <c r="AN70" cm="1">
        <f t="array" ref="AN70">$D$10*(1+$AM70)+VLOOKUP($Q70,武学奇术!$A:$ZZ,3,FALSE)+SUM(_xlfn.XLOOKUP($R70:$AF70,增益!$A:$A,增益!$C:$C,0))-$I$2</f>
        <v>2063.755</v>
      </c>
      <c r="AO70" cm="1">
        <f t="array" ref="AO70">$E$10*(1+$AM70)+VLOOKUP($Q70,武学奇术!$A:$ZZ,4,FALSE)+SUM(_xlfn.XLOOKUP($R70:$AF70,增益!$A:$A,增益!$D:$D,0))-$I$2</f>
        <v>6060.925</v>
      </c>
      <c r="AP70" s="35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0.2425</v>
      </c>
      <c r="AQ70" s="35" cm="1">
        <f t="array" ref="AQ70">$G$10+VLOOKUP($Q70,武学奇术!$A:$ZZ,7,FALSE)+SUM(_xlfn.XLOOKUP(R70:AF70,增益!$A:$A,增益!$G:$G,0))</f>
        <v>0.1</v>
      </c>
      <c r="AR70" s="27" cm="1">
        <f t="array" ref="AR70">VLOOKUP($Q70,武学奇术!$A:$ZZ,8,FALSE)+SUM(_xlfn.XLOOKUP(R70:AF70,增益!$A:$A,增益!$H:$H,0))</f>
        <v>0</v>
      </c>
      <c r="AS70">
        <f t="shared" si="12"/>
        <v>0</v>
      </c>
      <c r="AT70">
        <f t="shared" si="13"/>
        <v>0</v>
      </c>
      <c r="AU70" s="35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-0.3</v>
      </c>
      <c r="AV70" s="35" cm="1">
        <f t="array" ref="AV70">$G$11+VLOOKUP($Q70,武学奇术!$A:$ZZ,10,FALSE)+SUM(_xlfn.XLOOKUP(R70:AF70,增益!$A:$A,增益!$J:$J,0))</f>
        <v>0</v>
      </c>
      <c r="AW70">
        <f t="shared" si="14"/>
        <v>0</v>
      </c>
      <c r="AX70">
        <f t="shared" si="15"/>
        <v>0</v>
      </c>
      <c r="AY70" s="35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-0.3</v>
      </c>
      <c r="AZ70" s="35" cm="1">
        <f t="array" ref="AZ70">$G$12+VLOOKUP($Q70,武学奇术!$A:$ZZ,12,FALSE)+SUM(_xlfn.XLOOKUP(R70:AF70,增益!$A:$A,增益!$L:$L,0))</f>
        <v>0</v>
      </c>
      <c r="BA70">
        <f t="shared" si="16"/>
        <v>538</v>
      </c>
      <c r="BB70">
        <f t="shared" si="17"/>
        <v>1011</v>
      </c>
      <c r="BC70" s="35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0</v>
      </c>
      <c r="BD70" s="35" cm="1">
        <f t="array" ref="BD70">$G$13+VLOOKUP($Q70,武学奇术!$A:$ZZ,14,FALSE)+SUM(_xlfn.XLOOKUP(R70:AF70,增益!$A:$A,增益!$N:$N,0))</f>
        <v>0.25</v>
      </c>
      <c r="BE70">
        <f t="shared" si="18"/>
        <v>0</v>
      </c>
      <c r="BF70">
        <f t="shared" si="19"/>
        <v>0</v>
      </c>
      <c r="BG70" s="35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-0.3</v>
      </c>
      <c r="BH70" s="35" cm="1">
        <f t="array" ref="BH70">$G$14+VLOOKUP($Q70,武学奇术!$A:$ZZ,16,FALSE)+SUM(_xlfn.XLOOKUP(R70:AF70,增益!$A:$A,增益!$P:$P,0))</f>
        <v>0</v>
      </c>
      <c r="BI70" s="27">
        <f>MIN(IF(VLOOKUP($Q70,武学奇术!$A:$ZZ,23,FALSE)=1,100%,$B$8),100%)</f>
        <v>0.9969</v>
      </c>
      <c r="BJ70" s="27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0.9137</v>
      </c>
      <c r="BK70" s="27" cm="1">
        <f t="array" ref="BK70">1+$B$13+VLOOKUP($Q70,武学奇术!$A:$ZZ,18,FALSE)+SUM(_xlfn.XLOOKUP(R70:AF70,增益!$A:$A,增益!$R:$R,0))</f>
        <v>1.6</v>
      </c>
      <c r="BL70" s="27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0.0895</v>
      </c>
      <c r="BM70" s="27" cm="1">
        <f t="array" ref="BM70">1+$B$14+VLOOKUP($Q70,武学奇术!$A:$ZZ,20,FALSE)+SUM(_xlfn.XLOOKUP(R70:AF70,增益!$A:$A,增益!$T:$T,0))</f>
        <v>1.35</v>
      </c>
      <c r="BN70" s="27">
        <f t="shared" si="20"/>
        <v>0.90767745</v>
      </c>
      <c r="BO70" s="27">
        <f t="shared" si="21"/>
        <v>-1.30104260698261e-17</v>
      </c>
      <c r="BP70" s="27">
        <f>IF(VLOOKUP($Q70,武学奇术!$A:$ZZ,22,FALSE)=1,0,(1-$BI70))*(1-$BL70)</f>
        <v>0.00282254999999999</v>
      </c>
      <c r="BQ70" s="27" cm="1">
        <f t="array" ref="BQ70">SUM(_xlfn.XLOOKUP(R70:AF70,增益!$A:$A,增益!$W:$W,0))+$I$5</f>
        <v>0.11</v>
      </c>
    </row>
    <row r="71" spans="11:69">
      <c r="K71" s="41">
        <f t="shared" si="11"/>
        <v>12765.6355804572</v>
      </c>
      <c r="L71" s="41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弹道",$B$21,0))*(1+$BQ71)</f>
        <v>12584.4581614105</v>
      </c>
      <c r="M71" s="41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弹道",$B$21,0))*(1+$BQ71)</f>
        <v>14856.6286929719</v>
      </c>
      <c r="N71" s="41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弹道",$B$21,0))*(1+$BQ71)</f>
        <v>7865.28635088156</v>
      </c>
      <c r="O71" s="41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弹道",$B$21,0))*(1+$BQ71)</f>
        <v>4725.66255882096</v>
      </c>
      <c r="P71" s="42">
        <v>1</v>
      </c>
      <c r="Q71" s="43" t="s">
        <v>107</v>
      </c>
      <c r="R71" s="43" t="s">
        <v>93</v>
      </c>
      <c r="S71" s="43" t="s">
        <v>158</v>
      </c>
      <c r="T71" s="43" t="s">
        <v>73</v>
      </c>
      <c r="U71" s="43" t="s">
        <v>86</v>
      </c>
      <c r="V71" s="43" t="s">
        <v>73</v>
      </c>
      <c r="W71" s="43" t="s">
        <v>73</v>
      </c>
      <c r="X71" s="43" t="s">
        <v>73</v>
      </c>
      <c r="Y71" s="43" t="s">
        <v>73</v>
      </c>
      <c r="Z71" s="43" t="s">
        <v>73</v>
      </c>
      <c r="AA71" s="43" t="s">
        <v>73</v>
      </c>
      <c r="AB71" s="43" t="s">
        <v>73</v>
      </c>
      <c r="AC71" s="43" t="s">
        <v>73</v>
      </c>
      <c r="AD71" s="43" t="s">
        <v>73</v>
      </c>
      <c r="AE71" s="43" t="s">
        <v>73</v>
      </c>
      <c r="AF71" s="43" t="s">
        <v>75</v>
      </c>
      <c r="AG71" t="str">
        <f>VLOOKUP($Q71,武学奇术!$A:$ZZ,25,FALSE)</f>
        <v>伞</v>
      </c>
      <c r="AH71" s="27">
        <f>VLOOKUP($Q71,武学奇术!$A:$ZZ,26,FALSE)</f>
        <v>0.54</v>
      </c>
      <c r="AI71" s="28">
        <f>VLOOKUP($Q71,武学奇术!$A:$ZZ,27,FALSE)*(1+IF(OR($AG71=$F$4,$AG71=$F$5),$B$22,0))</f>
        <v>207.2</v>
      </c>
      <c r="AJ71" s="27">
        <f>VLOOKUP($Q71,武学奇术!$A:$ZZ,28,FALSE)</f>
        <v>0.81</v>
      </c>
      <c r="AK71" s="28">
        <f>VLOOKUP($Q71,武学奇术!$A:$ZZ,29,FALSE)*(1+IF(OR($AG71=$F$4,$AG71=$F$5),$B$22,0))</f>
        <v>114.1</v>
      </c>
      <c r="AL71" s="27" cm="1">
        <f t="array" ref="AL71">$G$3+IFERROR(VLOOKUP($AG71,$F$4:$G$7,2,FALSE),0)+VLOOKUP($Q71,武学奇术!$A:$ZZ,2,FALSE)+SUM(_xlfn.XLOOKUP($R71:$AF71,增益!$A:$A,增益!$B:$B,0))</f>
        <v>0.3241</v>
      </c>
      <c r="AM71" s="27" cm="1">
        <f t="array" ref="AM71">VLOOKUP($Q71,武学奇术!$A:$ZZ,5,FALSE)+SUM(_xlfn.XLOOKUP($R71:$AF71,增益!$A:$A,增益!$E:$E,0))</f>
        <v>0.075</v>
      </c>
      <c r="AN71" cm="1">
        <f t="array" ref="AN71">$D$10*(1+$AM71)+VLOOKUP($Q71,武学奇术!$A:$ZZ,3,FALSE)+SUM(_xlfn.XLOOKUP($R71:$AF71,增益!$A:$A,增益!$C:$C,0))-$I$2</f>
        <v>1888.7275</v>
      </c>
      <c r="AO71" cm="1">
        <f t="array" ref="AO71">$E$10*(1+$AM71)+VLOOKUP($Q71,武学奇术!$A:$ZZ,4,FALSE)+SUM(_xlfn.XLOOKUP($R71:$AF71,增益!$A:$A,增益!$D:$D,0))-$I$2</f>
        <v>5625.2125</v>
      </c>
      <c r="AP71" s="35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0.2425</v>
      </c>
      <c r="AQ71" s="35" cm="1">
        <f t="array" ref="AQ71">$G$10+VLOOKUP($Q71,武学奇术!$A:$ZZ,7,FALSE)+SUM(_xlfn.XLOOKUP(R71:AF71,增益!$A:$A,增益!$G:$G,0))</f>
        <v>0.1</v>
      </c>
      <c r="AR71" s="27" cm="1">
        <f t="array" ref="AR71">VLOOKUP($Q71,武学奇术!$A:$ZZ,8,FALSE)+SUM(_xlfn.XLOOKUP(R71:AF71,增益!$A:$A,增益!$H:$H,0))</f>
        <v>0</v>
      </c>
      <c r="AS71">
        <f t="shared" si="12"/>
        <v>0</v>
      </c>
      <c r="AT71">
        <f t="shared" si="13"/>
        <v>0</v>
      </c>
      <c r="AU71" s="35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-0.3</v>
      </c>
      <c r="AV71" s="35" cm="1">
        <f t="array" ref="AV71">$G$11+VLOOKUP($Q71,武学奇术!$A:$ZZ,10,FALSE)+SUM(_xlfn.XLOOKUP(R71:AF71,增益!$A:$A,增益!$J:$J,0))</f>
        <v>0</v>
      </c>
      <c r="AW71">
        <f t="shared" si="14"/>
        <v>0</v>
      </c>
      <c r="AX71">
        <f t="shared" si="15"/>
        <v>0</v>
      </c>
      <c r="AY71" s="35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-0.3</v>
      </c>
      <c r="AZ71" s="35" cm="1">
        <f t="array" ref="AZ71">$G$12+VLOOKUP($Q71,武学奇术!$A:$ZZ,12,FALSE)+SUM(_xlfn.XLOOKUP(R71:AF71,增益!$A:$A,增益!$L:$L,0))</f>
        <v>0</v>
      </c>
      <c r="BA71">
        <f t="shared" si="16"/>
        <v>538</v>
      </c>
      <c r="BB71">
        <f t="shared" si="17"/>
        <v>1011</v>
      </c>
      <c r="BC71" s="35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0</v>
      </c>
      <c r="BD71" s="35" cm="1">
        <f t="array" ref="BD71">$G$13+VLOOKUP($Q71,武学奇术!$A:$ZZ,14,FALSE)+SUM(_xlfn.XLOOKUP(R71:AF71,增益!$A:$A,增益!$N:$N,0))</f>
        <v>0.25</v>
      </c>
      <c r="BE71">
        <f t="shared" si="18"/>
        <v>0</v>
      </c>
      <c r="BF71">
        <f t="shared" si="19"/>
        <v>0</v>
      </c>
      <c r="BG71" s="35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-0.3</v>
      </c>
      <c r="BH71" s="35" cm="1">
        <f t="array" ref="BH71">$G$14+VLOOKUP($Q71,武学奇术!$A:$ZZ,16,FALSE)+SUM(_xlfn.XLOOKUP(R71:AF71,增益!$A:$A,增益!$P:$P,0))</f>
        <v>0</v>
      </c>
      <c r="BI71" s="27">
        <f>MIN(IF(VLOOKUP($Q71,武学奇术!$A:$ZZ,23,FALSE)=1,100%,$B$8),100%)</f>
        <v>0.9969</v>
      </c>
      <c r="BJ71" s="27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0.9137</v>
      </c>
      <c r="BK71" s="27" cm="1">
        <f t="array" ref="BK71">1+$B$13+VLOOKUP($Q71,武学奇术!$A:$ZZ,18,FALSE)+SUM(_xlfn.XLOOKUP(R71:AF71,增益!$A:$A,增益!$R:$R,0))</f>
        <v>1.6</v>
      </c>
      <c r="BL71" s="27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0.0895</v>
      </c>
      <c r="BM71" s="27" cm="1">
        <f t="array" ref="BM71">1+$B$14+VLOOKUP($Q71,武学奇术!$A:$ZZ,20,FALSE)+SUM(_xlfn.XLOOKUP(R71:AF71,增益!$A:$A,增益!$T:$T,0))</f>
        <v>1.35</v>
      </c>
      <c r="BN71" s="27">
        <f t="shared" si="20"/>
        <v>0.90767745</v>
      </c>
      <c r="BO71" s="27">
        <f t="shared" si="21"/>
        <v>-1.30104260698261e-17</v>
      </c>
      <c r="BP71" s="27">
        <f>IF(VLOOKUP($Q71,武学奇术!$A:$ZZ,22,FALSE)=1,0,(1-$BI71))*(1-$BL71)</f>
        <v>0.00282254999999999</v>
      </c>
      <c r="BQ71" s="27" cm="1">
        <f t="array" ref="BQ71">SUM(_xlfn.XLOOKUP(R71:AF71,增益!$A:$A,增益!$W:$W,0))+$I$5</f>
        <v>0.11</v>
      </c>
    </row>
    <row r="72" spans="11:69">
      <c r="K72" s="41">
        <f t="shared" si="11"/>
        <v>113798.023393378</v>
      </c>
      <c r="L72" s="41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弹道",$B$21,0))*(1+$BQ72)</f>
        <v>111869.196526077</v>
      </c>
      <c r="M72" s="41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弹道",$B$21,0))*(1+$BQ72)</f>
        <v>135708.573473676</v>
      </c>
      <c r="N72" s="41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弹道",$B$21,0))*(1+$BQ72)</f>
        <v>69918.247828798</v>
      </c>
      <c r="O72" s="41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弹道",$B$21,0))*(1+$BQ72)</f>
        <v>39311.6264178358</v>
      </c>
      <c r="P72" s="42">
        <v>1</v>
      </c>
      <c r="Q72" s="43" t="s">
        <v>161</v>
      </c>
      <c r="R72" s="43" t="s">
        <v>93</v>
      </c>
      <c r="S72" s="43" t="s">
        <v>158</v>
      </c>
      <c r="T72" s="43" t="s">
        <v>73</v>
      </c>
      <c r="U72" s="43" t="s">
        <v>86</v>
      </c>
      <c r="V72" s="43" t="s">
        <v>73</v>
      </c>
      <c r="W72" s="43" t="s">
        <v>73</v>
      </c>
      <c r="X72" s="43" t="s">
        <v>73</v>
      </c>
      <c r="Y72" s="43" t="s">
        <v>73</v>
      </c>
      <c r="Z72" s="43" t="s">
        <v>73</v>
      </c>
      <c r="AA72" s="43" t="s">
        <v>73</v>
      </c>
      <c r="AB72" s="43" t="s">
        <v>73</v>
      </c>
      <c r="AC72" s="43" t="s">
        <v>73</v>
      </c>
      <c r="AD72" s="43" t="s">
        <v>73</v>
      </c>
      <c r="AE72" s="43" t="s">
        <v>73</v>
      </c>
      <c r="AF72" s="43" t="s">
        <v>75</v>
      </c>
      <c r="AG72" t="str">
        <f>VLOOKUP($Q72,武学奇术!$A:$ZZ,25,FALSE)</f>
        <v>单体奇术</v>
      </c>
      <c r="AH72" s="27">
        <f>VLOOKUP($Q72,武学奇术!$A:$ZZ,26,FALSE)</f>
        <v>7.1074</v>
      </c>
      <c r="AI72" s="28">
        <f>VLOOKUP($Q72,武学奇术!$A:$ZZ,27,FALSE)*(1+IF(OR($AG72=$F$4,$AG72=$F$5),$B$22,0))</f>
        <v>1320</v>
      </c>
      <c r="AJ72" s="27">
        <f>VLOOKUP($Q72,武学奇术!$A:$ZZ,28,FALSE)</f>
        <v>10.6596</v>
      </c>
      <c r="AK72" s="28">
        <f>VLOOKUP($Q72,武学奇术!$A:$ZZ,29,FALSE)*(1+IF(OR($AG72=$F$4,$AG72=$F$5),$B$22,0))</f>
        <v>0</v>
      </c>
      <c r="AL72" s="27" cm="1">
        <f t="array" ref="AL72">$G$3+IFERROR(VLOOKUP($AG72,$F$4:$G$7,2,FALSE),0)+VLOOKUP($Q72,武学奇术!$A:$ZZ,2,FALSE)+SUM(_xlfn.XLOOKUP($R72:$AF72,增益!$A:$A,增益!$B:$B,0))</f>
        <v>0.4215</v>
      </c>
      <c r="AM72" s="27" cm="1">
        <f t="array" ref="AM72">VLOOKUP($Q72,武学奇术!$A:$ZZ,5,FALSE)+SUM(_xlfn.XLOOKUP($R72:$AF72,增益!$A:$A,增益!$E:$E,0))</f>
        <v>0.075</v>
      </c>
      <c r="AN72" cm="1">
        <f t="array" ref="AN72">$D$10*(1+$AM72)+VLOOKUP($Q72,武学奇术!$A:$ZZ,3,FALSE)+SUM(_xlfn.XLOOKUP($R72:$AF72,增益!$A:$A,增益!$C:$C,0))-$I$2</f>
        <v>1888.7275</v>
      </c>
      <c r="AO72" cm="1">
        <f t="array" ref="AO72">$E$10*(1+$AM72)+VLOOKUP($Q72,武学奇术!$A:$ZZ,4,FALSE)+SUM(_xlfn.XLOOKUP($R72:$AF72,增益!$A:$A,增益!$D:$D,0))-$I$2</f>
        <v>5625.2125</v>
      </c>
      <c r="AP72" s="35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0.2425</v>
      </c>
      <c r="AQ72" s="35" cm="1">
        <f t="array" ref="AQ72">$G$10+VLOOKUP($Q72,武学奇术!$A:$ZZ,7,FALSE)+SUM(_xlfn.XLOOKUP(R72:AF72,增益!$A:$A,增益!$G:$G,0))</f>
        <v>0</v>
      </c>
      <c r="AR72" s="27" cm="1">
        <f t="array" ref="AR72">VLOOKUP($Q72,武学奇术!$A:$ZZ,8,FALSE)+SUM(_xlfn.XLOOKUP(R72:AF72,增益!$A:$A,增益!$H:$H,0))</f>
        <v>0</v>
      </c>
      <c r="AS72">
        <f t="shared" si="12"/>
        <v>0</v>
      </c>
      <c r="AT72">
        <f t="shared" si="13"/>
        <v>0</v>
      </c>
      <c r="AU72" s="35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35" cm="1">
        <f t="array" ref="AV72">$G$11+VLOOKUP($Q72,武学奇术!$A:$ZZ,10,FALSE)+SUM(_xlfn.XLOOKUP(R72:AF72,增益!$A:$A,增益!$J:$J,0))</f>
        <v>0</v>
      </c>
      <c r="AW72">
        <f t="shared" si="14"/>
        <v>0</v>
      </c>
      <c r="AX72">
        <f t="shared" si="15"/>
        <v>0</v>
      </c>
      <c r="AY72" s="35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-0.3</v>
      </c>
      <c r="AZ72" s="35" cm="1">
        <f t="array" ref="AZ72">$G$12+VLOOKUP($Q72,武学奇术!$A:$ZZ,12,FALSE)+SUM(_xlfn.XLOOKUP(R72:AF72,增益!$A:$A,增益!$L:$L,0))</f>
        <v>0</v>
      </c>
      <c r="BA72">
        <f t="shared" si="16"/>
        <v>538</v>
      </c>
      <c r="BB72">
        <f t="shared" si="17"/>
        <v>1011</v>
      </c>
      <c r="BC72" s="35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0</v>
      </c>
      <c r="BD72" s="35" cm="1">
        <f t="array" ref="BD72">$G$13+VLOOKUP($Q72,武学奇术!$A:$ZZ,14,FALSE)+SUM(_xlfn.XLOOKUP(R72:AF72,增益!$A:$A,增益!$N:$N,0))</f>
        <v>0.15</v>
      </c>
      <c r="BE72">
        <f t="shared" si="18"/>
        <v>0</v>
      </c>
      <c r="BF72">
        <f t="shared" si="19"/>
        <v>0</v>
      </c>
      <c r="BG72" s="35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-0.3</v>
      </c>
      <c r="BH72" s="35" cm="1">
        <f t="array" ref="BH72">$G$14+VLOOKUP($Q72,武学奇术!$A:$ZZ,16,FALSE)+SUM(_xlfn.XLOOKUP(R72:AF72,增益!$A:$A,增益!$P:$P,0))</f>
        <v>0</v>
      </c>
      <c r="BI72" s="27">
        <f>MIN(IF(VLOOKUP($Q72,武学奇术!$A:$ZZ,23,FALSE)=1,100%,$B$8),100%)</f>
        <v>0.9969</v>
      </c>
      <c r="BJ72" s="27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0.9137</v>
      </c>
      <c r="BK72" s="27" cm="1">
        <f t="array" ref="BK72">1+$B$13+VLOOKUP($Q72,武学奇术!$A:$ZZ,18,FALSE)+SUM(_xlfn.XLOOKUP(R72:AF72,增益!$A:$A,增益!$R:$R,0))</f>
        <v>1.6</v>
      </c>
      <c r="BL72" s="27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0.0895</v>
      </c>
      <c r="BM72" s="27" cm="1">
        <f t="array" ref="BM72">1+$B$14+VLOOKUP($Q72,武学奇术!$A:$ZZ,20,FALSE)+SUM(_xlfn.XLOOKUP(R72:AF72,增益!$A:$A,增益!$T:$T,0))</f>
        <v>1.35</v>
      </c>
      <c r="BN72" s="27">
        <f t="shared" si="20"/>
        <v>0.90767745</v>
      </c>
      <c r="BO72" s="27">
        <f t="shared" si="21"/>
        <v>-1.30104260698261e-17</v>
      </c>
      <c r="BP72" s="27">
        <f>IF(VLOOKUP($Q72,武学奇术!$A:$ZZ,22,FALSE)=1,0,(1-$BI72))*(1-$BL72)</f>
        <v>0.00282254999999999</v>
      </c>
      <c r="BQ72" s="27" cm="1">
        <f t="array" ref="BQ72">SUM(_xlfn.XLOOKUP(R72:AF72,增益!$A:$A,增益!$W:$W,0))+$I$5</f>
        <v>0.11</v>
      </c>
    </row>
    <row r="73" spans="11:69">
      <c r="K73" s="41">
        <f t="shared" si="11"/>
        <v>505262.28299076</v>
      </c>
      <c r="L73" s="41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弹道",$B$21,0))*(1+$BQ73)</f>
        <v>507887.092939104</v>
      </c>
      <c r="M73" s="41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弹道",$B$21,0))*(1+$BQ73)</f>
        <v>489671.77524564</v>
      </c>
      <c r="N73" s="41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弹道",$B$21,0))*(1+$BQ73)</f>
        <v>259126.067826073</v>
      </c>
      <c r="O73" s="41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弹道",$B$21,0))*(1+$BQ73)</f>
        <v>155532.302136858</v>
      </c>
      <c r="P73" s="42">
        <v>10</v>
      </c>
      <c r="Q73" s="43" t="s">
        <v>109</v>
      </c>
      <c r="R73" s="43" t="s">
        <v>93</v>
      </c>
      <c r="S73" s="43" t="s">
        <v>158</v>
      </c>
      <c r="T73" s="43" t="s">
        <v>102</v>
      </c>
      <c r="U73" s="43" t="s">
        <v>86</v>
      </c>
      <c r="V73" s="43" t="s">
        <v>98</v>
      </c>
      <c r="W73" s="43" t="s">
        <v>73</v>
      </c>
      <c r="X73" s="43" t="s">
        <v>73</v>
      </c>
      <c r="Y73" s="43" t="s">
        <v>73</v>
      </c>
      <c r="Z73" s="43" t="s">
        <v>73</v>
      </c>
      <c r="AA73" s="43" t="s">
        <v>73</v>
      </c>
      <c r="AB73" s="43" t="s">
        <v>73</v>
      </c>
      <c r="AC73" s="43" t="s">
        <v>73</v>
      </c>
      <c r="AD73" s="43" t="s">
        <v>73</v>
      </c>
      <c r="AE73" s="43" t="s">
        <v>73</v>
      </c>
      <c r="AF73" s="43" t="s">
        <v>75</v>
      </c>
      <c r="AG73" t="str">
        <f>VLOOKUP($Q73,武学奇术!$A:$ZZ,25,FALSE)</f>
        <v>伞</v>
      </c>
      <c r="AH73" s="27">
        <f>VLOOKUP($Q73,武学奇术!$A:$ZZ,26,FALSE)</f>
        <v>1.174955</v>
      </c>
      <c r="AI73" s="28">
        <f>VLOOKUP($Q73,武学奇术!$A:$ZZ,27,FALSE)*(1+IF(OR($AG73=$F$4,$AG73=$F$5),$B$22,0))</f>
        <v>454.02</v>
      </c>
      <c r="AJ73" s="27">
        <f>VLOOKUP($Q73,武学奇术!$A:$ZZ,28,FALSE)</f>
        <v>1.762375</v>
      </c>
      <c r="AK73" s="28">
        <f>VLOOKUP($Q73,武学奇术!$A:$ZZ,29,FALSE)*(1+IF(OR($AG73=$F$4,$AG73=$F$5),$B$22,0))</f>
        <v>247.94</v>
      </c>
      <c r="AL73" s="27" cm="1">
        <f t="array" ref="AL73">$G$3+IFERROR(VLOOKUP($AG73,$F$4:$G$7,2,FALSE),0)+VLOOKUP($Q73,武学奇术!$A:$ZZ,2,FALSE)+SUM(_xlfn.XLOOKUP($R73:$AF73,增益!$A:$A,增益!$B:$B,0))</f>
        <v>0.9741</v>
      </c>
      <c r="AM73" s="27" cm="1">
        <f t="array" ref="AM73">VLOOKUP($Q73,武学奇术!$A:$ZZ,5,FALSE)+SUM(_xlfn.XLOOKUP($R73:$AF73,增益!$A:$A,增益!$E:$E,0))</f>
        <v>0.075</v>
      </c>
      <c r="AN73" cm="1">
        <f t="array" ref="AN73">$D$10*(1+$AM73)+VLOOKUP($Q73,武学奇术!$A:$ZZ,3,FALSE)+SUM(_xlfn.XLOOKUP($R73:$AF73,增益!$A:$A,增益!$C:$C,0))-$I$2</f>
        <v>1888.7275</v>
      </c>
      <c r="AO73" cm="1">
        <f t="array" ref="AO73">$E$10*(1+$AM73)+VLOOKUP($Q73,武学奇术!$A:$ZZ,4,FALSE)+SUM(_xlfn.XLOOKUP($R73:$AF73,增益!$A:$A,增益!$D:$D,0))-$I$2</f>
        <v>5625.2125</v>
      </c>
      <c r="AP73" s="35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0.2675</v>
      </c>
      <c r="AQ73" s="35" cm="1">
        <f t="array" ref="AQ73">$G$10+VLOOKUP($Q73,武学奇术!$A:$ZZ,7,FALSE)+SUM(_xlfn.XLOOKUP(R73:AF73,增益!$A:$A,增益!$G:$G,0))</f>
        <v>0.1</v>
      </c>
      <c r="AR73" s="27" cm="1">
        <f t="array" ref="AR73">VLOOKUP($Q73,武学奇术!$A:$ZZ,8,FALSE)+SUM(_xlfn.XLOOKUP(R73:AF73,增益!$A:$A,增益!$H:$H,0))</f>
        <v>0</v>
      </c>
      <c r="AS73">
        <f t="shared" si="12"/>
        <v>0</v>
      </c>
      <c r="AT73">
        <f t="shared" si="13"/>
        <v>0</v>
      </c>
      <c r="AU73" s="35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-0.3</v>
      </c>
      <c r="AV73" s="35" cm="1">
        <f t="array" ref="AV73">$G$11+VLOOKUP($Q73,武学奇术!$A:$ZZ,10,FALSE)+SUM(_xlfn.XLOOKUP(R73:AF73,增益!$A:$A,增益!$J:$J,0))</f>
        <v>0</v>
      </c>
      <c r="AW73">
        <f t="shared" si="14"/>
        <v>0</v>
      </c>
      <c r="AX73">
        <f t="shared" si="15"/>
        <v>0</v>
      </c>
      <c r="AY73" s="35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-0.3</v>
      </c>
      <c r="AZ73" s="35" cm="1">
        <f t="array" ref="AZ73">$G$12+VLOOKUP($Q73,武学奇术!$A:$ZZ,12,FALSE)+SUM(_xlfn.XLOOKUP(R73:AF73,增益!$A:$A,增益!$L:$L,0))</f>
        <v>0</v>
      </c>
      <c r="BA73">
        <f t="shared" si="16"/>
        <v>538</v>
      </c>
      <c r="BB73">
        <f t="shared" si="17"/>
        <v>1011</v>
      </c>
      <c r="BC73" s="35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0</v>
      </c>
      <c r="BD73" s="35" cm="1">
        <f t="array" ref="BD73">$G$13+VLOOKUP($Q73,武学奇术!$A:$ZZ,14,FALSE)+SUM(_xlfn.XLOOKUP(R73:AF73,增益!$A:$A,增益!$N:$N,0))</f>
        <v>0.25</v>
      </c>
      <c r="BE73">
        <f t="shared" si="18"/>
        <v>0</v>
      </c>
      <c r="BF73">
        <f t="shared" si="19"/>
        <v>0</v>
      </c>
      <c r="BG73" s="35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-0.3</v>
      </c>
      <c r="BH73" s="35" cm="1">
        <f t="array" ref="BH73">$G$14+VLOOKUP($Q73,武学奇术!$A:$ZZ,16,FALSE)+SUM(_xlfn.XLOOKUP(R73:AF73,增益!$A:$A,增益!$P:$P,0))</f>
        <v>0</v>
      </c>
      <c r="BI73" s="27">
        <f>MIN(IF(VLOOKUP($Q73,武学奇术!$A:$ZZ,23,FALSE)=1,100%,$B$8),100%)</f>
        <v>0.9969</v>
      </c>
      <c r="BJ73" s="27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0.9137</v>
      </c>
      <c r="BK73" s="27" cm="1">
        <f t="array" ref="BK73">1+$B$13+VLOOKUP($Q73,武学奇术!$A:$ZZ,18,FALSE)+SUM(_xlfn.XLOOKUP(R73:AF73,增益!$A:$A,增益!$R:$R,0))</f>
        <v>1.96</v>
      </c>
      <c r="BL73" s="27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0.0895</v>
      </c>
      <c r="BM73" s="27" cm="1">
        <f t="array" ref="BM73">1+$B$14+VLOOKUP($Q73,武学奇术!$A:$ZZ,20,FALSE)+SUM(_xlfn.XLOOKUP(R73:AF73,增益!$A:$A,增益!$T:$T,0))</f>
        <v>1.35</v>
      </c>
      <c r="BN73" s="27">
        <f t="shared" si="20"/>
        <v>0.90767745</v>
      </c>
      <c r="BO73" s="27">
        <f t="shared" si="21"/>
        <v>-1.30104260698261e-17</v>
      </c>
      <c r="BP73" s="27">
        <f>IF(VLOOKUP($Q73,武学奇术!$A:$ZZ,22,FALSE)=1,0,(1-$BI73))*(1-$BL73)</f>
        <v>0.00282254999999999</v>
      </c>
      <c r="BQ73" s="27" cm="1">
        <f t="array" ref="BQ73">SUM(_xlfn.XLOOKUP(R73:AF73,增益!$A:$A,增益!$W:$W,0))+$I$5</f>
        <v>0.11</v>
      </c>
    </row>
    <row r="74" spans="11:69">
      <c r="K74" s="41">
        <f t="shared" si="11"/>
        <v>76244.2980212515</v>
      </c>
      <c r="L74" s="41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弹道",$B$21,0))*(1+$BQ74)</f>
        <v>76640.9268498506</v>
      </c>
      <c r="M74" s="41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弹道",$B$21,0))*(1+$BQ74)</f>
        <v>73886.0180684568</v>
      </c>
      <c r="N74" s="41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弹道",$B$21,0))*(1+$BQ74)</f>
        <v>39102.5136989034</v>
      </c>
      <c r="O74" s="41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弹道",$B$21,0))*(1+$BQ74)</f>
        <v>23474.6436433942</v>
      </c>
      <c r="P74" s="42">
        <v>1</v>
      </c>
      <c r="Q74" s="43" t="s">
        <v>97</v>
      </c>
      <c r="R74" s="43" t="s">
        <v>93</v>
      </c>
      <c r="S74" s="43" t="s">
        <v>158</v>
      </c>
      <c r="T74" s="43" t="s">
        <v>102</v>
      </c>
      <c r="U74" s="43" t="s">
        <v>86</v>
      </c>
      <c r="V74" s="43" t="s">
        <v>98</v>
      </c>
      <c r="W74" s="43" t="s">
        <v>73</v>
      </c>
      <c r="X74" s="43" t="s">
        <v>73</v>
      </c>
      <c r="Y74" s="43" t="s">
        <v>73</v>
      </c>
      <c r="Z74" s="43" t="s">
        <v>73</v>
      </c>
      <c r="AA74" s="43" t="s">
        <v>73</v>
      </c>
      <c r="AB74" s="43" t="s">
        <v>73</v>
      </c>
      <c r="AC74" s="43" t="s">
        <v>73</v>
      </c>
      <c r="AD74" s="43" t="s">
        <v>73</v>
      </c>
      <c r="AE74" s="43" t="s">
        <v>73</v>
      </c>
      <c r="AF74" s="43" t="s">
        <v>75</v>
      </c>
      <c r="AG74" t="str">
        <f>VLOOKUP($Q74,武学奇术!$A:$ZZ,25,FALSE)</f>
        <v>伞</v>
      </c>
      <c r="AH74" s="27">
        <f>VLOOKUP($Q74,武学奇术!$A:$ZZ,26,FALSE)</f>
        <v>2.3397</v>
      </c>
      <c r="AI74" s="28">
        <f>VLOOKUP($Q74,武学奇术!$A:$ZZ,27,FALSE)*(1+IF(OR($AG74=$F$4,$AG74=$F$5),$B$22,0))</f>
        <v>907.2</v>
      </c>
      <c r="AJ74" s="27">
        <f>VLOOKUP($Q74,武学奇术!$A:$ZZ,28,FALSE)</f>
        <v>3.5095</v>
      </c>
      <c r="AK74" s="28">
        <f>VLOOKUP($Q74,武学奇术!$A:$ZZ,29,FALSE)*(1+IF(OR($AG74=$F$4,$AG74=$F$5),$B$22,0))</f>
        <v>494.2</v>
      </c>
      <c r="AL74" s="27" cm="1">
        <f t="array" ref="AL74">$G$3+IFERROR(VLOOKUP($AG74,$F$4:$G$7,2,FALSE),0)+VLOOKUP($Q74,武学奇术!$A:$ZZ,2,FALSE)+SUM(_xlfn.XLOOKUP($R74:$AF74,增益!$A:$A,增益!$B:$B,0))</f>
        <v>0.9741</v>
      </c>
      <c r="AM74" s="27" cm="1">
        <f t="array" ref="AM74">VLOOKUP($Q74,武学奇术!$A:$ZZ,5,FALSE)+SUM(_xlfn.XLOOKUP($R74:$AF74,增益!$A:$A,增益!$E:$E,0))</f>
        <v>0.075</v>
      </c>
      <c r="AN74" cm="1">
        <f t="array" ref="AN74">$D$10*(1+$AM74)+VLOOKUP($Q74,武学奇术!$A:$ZZ,3,FALSE)+SUM(_xlfn.XLOOKUP($R74:$AF74,增益!$A:$A,增益!$C:$C,0))-$I$2</f>
        <v>1888.7275</v>
      </c>
      <c r="AO74" cm="1">
        <f t="array" ref="AO74">$E$10*(1+$AM74)+VLOOKUP($Q74,武学奇术!$A:$ZZ,4,FALSE)+SUM(_xlfn.XLOOKUP($R74:$AF74,增益!$A:$A,增益!$D:$D,0))-$I$2</f>
        <v>5625.2125</v>
      </c>
      <c r="AP74" s="35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0.2675</v>
      </c>
      <c r="AQ74" s="35" cm="1">
        <f t="array" ref="AQ74">$G$10+VLOOKUP($Q74,武学奇术!$A:$ZZ,7,FALSE)+SUM(_xlfn.XLOOKUP(R74:AF74,增益!$A:$A,增益!$G:$G,0))</f>
        <v>0.1</v>
      </c>
      <c r="AR74" s="27" cm="1">
        <f t="array" ref="AR74">VLOOKUP($Q74,武学奇术!$A:$ZZ,8,FALSE)+SUM(_xlfn.XLOOKUP(R74:AF74,增益!$A:$A,增益!$H:$H,0))</f>
        <v>0</v>
      </c>
      <c r="AS74">
        <f t="shared" si="12"/>
        <v>0</v>
      </c>
      <c r="AT74">
        <f t="shared" si="13"/>
        <v>0</v>
      </c>
      <c r="AU74" s="35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35" cm="1">
        <f t="array" ref="AV74">$G$11+VLOOKUP($Q74,武学奇术!$A:$ZZ,10,FALSE)+SUM(_xlfn.XLOOKUP(R74:AF74,增益!$A:$A,增益!$J:$J,0))</f>
        <v>0</v>
      </c>
      <c r="AW74">
        <f t="shared" si="14"/>
        <v>0</v>
      </c>
      <c r="AX74">
        <f t="shared" si="15"/>
        <v>0</v>
      </c>
      <c r="AY74" s="35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-0.3</v>
      </c>
      <c r="AZ74" s="35" cm="1">
        <f t="array" ref="AZ74">$G$12+VLOOKUP($Q74,武学奇术!$A:$ZZ,12,FALSE)+SUM(_xlfn.XLOOKUP(R74:AF74,增益!$A:$A,增益!$L:$L,0))</f>
        <v>0</v>
      </c>
      <c r="BA74">
        <f t="shared" si="16"/>
        <v>538</v>
      </c>
      <c r="BB74">
        <f t="shared" si="17"/>
        <v>1011</v>
      </c>
      <c r="BC74" s="35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0</v>
      </c>
      <c r="BD74" s="35" cm="1">
        <f t="array" ref="BD74">$G$13+VLOOKUP($Q74,武学奇术!$A:$ZZ,14,FALSE)+SUM(_xlfn.XLOOKUP(R74:AF74,增益!$A:$A,增益!$N:$N,0))</f>
        <v>0.25</v>
      </c>
      <c r="BE74">
        <f t="shared" si="18"/>
        <v>0</v>
      </c>
      <c r="BF74">
        <f t="shared" si="19"/>
        <v>0</v>
      </c>
      <c r="BG74" s="35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-0.3</v>
      </c>
      <c r="BH74" s="35" cm="1">
        <f t="array" ref="BH74">$G$14+VLOOKUP($Q74,武学奇术!$A:$ZZ,16,FALSE)+SUM(_xlfn.XLOOKUP(R74:AF74,增益!$A:$A,增益!$P:$P,0))</f>
        <v>0</v>
      </c>
      <c r="BI74" s="27">
        <f>MIN(IF(VLOOKUP($Q74,武学奇术!$A:$ZZ,23,FALSE)=1,100%,$B$8),100%)</f>
        <v>0.9969</v>
      </c>
      <c r="BJ74" s="27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0.9137</v>
      </c>
      <c r="BK74" s="27" cm="1">
        <f t="array" ref="BK74">1+$B$13+VLOOKUP($Q74,武学奇术!$A:$ZZ,18,FALSE)+SUM(_xlfn.XLOOKUP(R74:AF74,增益!$A:$A,增益!$R:$R,0))</f>
        <v>1.96</v>
      </c>
      <c r="BL74" s="27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0.0895</v>
      </c>
      <c r="BM74" s="27" cm="1">
        <f t="array" ref="BM74">1+$B$14+VLOOKUP($Q74,武学奇术!$A:$ZZ,20,FALSE)+SUM(_xlfn.XLOOKUP(R74:AF74,增益!$A:$A,增益!$T:$T,0))</f>
        <v>1.35</v>
      </c>
      <c r="BN74" s="27">
        <f t="shared" si="20"/>
        <v>0.90767745</v>
      </c>
      <c r="BO74" s="27">
        <f t="shared" si="21"/>
        <v>-1.30104260698261e-17</v>
      </c>
      <c r="BP74" s="27">
        <f>IF(VLOOKUP($Q74,武学奇术!$A:$ZZ,22,FALSE)=1,0,(1-$BI74))*(1-$BL74)</f>
        <v>0.00282254999999999</v>
      </c>
      <c r="BQ74" s="27" cm="1">
        <f t="array" ref="BQ74">SUM(_xlfn.XLOOKUP(R74:AF74,增益!$A:$A,增益!$W:$W,0))+$I$5</f>
        <v>0.11</v>
      </c>
    </row>
    <row r="75" spans="11:69">
      <c r="K75" s="41">
        <f t="shared" si="11"/>
        <v>304970.291657641</v>
      </c>
      <c r="L75" s="41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弹道",$B$21,0))*(1+$BQ75)</f>
        <v>306553.242216029</v>
      </c>
      <c r="M75" s="41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弹道",$B$21,0))*(1+$BQ75)</f>
        <v>295574.146044713</v>
      </c>
      <c r="N75" s="41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弹道",$B$21,0))*(1+$BQ75)</f>
        <v>156404.715416342</v>
      </c>
      <c r="O75" s="41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弹道",$B$21,0))*(1+$BQ75)</f>
        <v>93865.6189477106</v>
      </c>
      <c r="P75" s="42">
        <v>3</v>
      </c>
      <c r="Q75" s="43" t="s">
        <v>180</v>
      </c>
      <c r="R75" s="43" t="s">
        <v>93</v>
      </c>
      <c r="S75" s="43" t="s">
        <v>158</v>
      </c>
      <c r="T75" s="43" t="s">
        <v>102</v>
      </c>
      <c r="U75" s="43" t="s">
        <v>86</v>
      </c>
      <c r="V75" s="43" t="s">
        <v>98</v>
      </c>
      <c r="W75" s="43" t="s">
        <v>146</v>
      </c>
      <c r="X75" s="43" t="s">
        <v>73</v>
      </c>
      <c r="Y75" s="43" t="s">
        <v>73</v>
      </c>
      <c r="Z75" s="43" t="s">
        <v>73</v>
      </c>
      <c r="AA75" s="43" t="s">
        <v>73</v>
      </c>
      <c r="AB75" s="43" t="s">
        <v>73</v>
      </c>
      <c r="AC75" s="43" t="s">
        <v>73</v>
      </c>
      <c r="AD75" s="43" t="s">
        <v>73</v>
      </c>
      <c r="AE75" s="43" t="s">
        <v>73</v>
      </c>
      <c r="AF75" s="43" t="s">
        <v>75</v>
      </c>
      <c r="AG75" t="str">
        <f>VLOOKUP($Q75,武学奇术!$A:$ZZ,25,FALSE)</f>
        <v>伞</v>
      </c>
      <c r="AH75" s="27">
        <f>VLOOKUP($Q75,武学奇术!$A:$ZZ,26,FALSE)</f>
        <v>2.146875</v>
      </c>
      <c r="AI75" s="28">
        <f>VLOOKUP($Q75,武学奇术!$A:$ZZ,27,FALSE)*(1+IF(OR($AG75=$F$4,$AG75=$F$5),$B$22,0))</f>
        <v>829.5</v>
      </c>
      <c r="AJ75" s="27">
        <f>VLOOKUP($Q75,武学奇术!$A:$ZZ,28,FALSE)</f>
        <v>3.22025</v>
      </c>
      <c r="AK75" s="28">
        <f>VLOOKUP($Q75,武学奇术!$A:$ZZ,29,FALSE)*(1+IF(OR($AG75=$F$4,$AG75=$F$5),$B$22,0))</f>
        <v>451.5</v>
      </c>
      <c r="AL75" s="27" cm="1">
        <f t="array" ref="AL75">$G$3+IFERROR(VLOOKUP($AG75,$F$4:$G$7,2,FALSE),0)+VLOOKUP($Q75,武学奇术!$A:$ZZ,2,FALSE)+SUM(_xlfn.XLOOKUP($R75:$AF75,增益!$A:$A,增益!$B:$B,0))</f>
        <v>1.1741</v>
      </c>
      <c r="AM75" s="27" cm="1">
        <f t="array" ref="AM75">VLOOKUP($Q75,武学奇术!$A:$ZZ,5,FALSE)+SUM(_xlfn.XLOOKUP($R75:$AF75,增益!$A:$A,增益!$E:$E,0))</f>
        <v>0.075</v>
      </c>
      <c r="AN75" cm="1">
        <f t="array" ref="AN75">$D$10*(1+$AM75)+VLOOKUP($Q75,武学奇术!$A:$ZZ,3,FALSE)+SUM(_xlfn.XLOOKUP($R75:$AF75,增益!$A:$A,增益!$C:$C,0))-$I$2</f>
        <v>1888.7275</v>
      </c>
      <c r="AO75" cm="1">
        <f t="array" ref="AO75">$E$10*(1+$AM75)+VLOOKUP($Q75,武学奇术!$A:$ZZ,4,FALSE)+SUM(_xlfn.XLOOKUP($R75:$AF75,增益!$A:$A,增益!$D:$D,0))-$I$2</f>
        <v>5625.2125</v>
      </c>
      <c r="AP75" s="35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0.2675</v>
      </c>
      <c r="AQ75" s="35" cm="1">
        <f t="array" ref="AQ75">$G$10+VLOOKUP($Q75,武学奇术!$A:$ZZ,7,FALSE)+SUM(_xlfn.XLOOKUP(R75:AF75,增益!$A:$A,增益!$G:$G,0))</f>
        <v>0.1</v>
      </c>
      <c r="AR75" s="27" cm="1">
        <f t="array" ref="AR75">VLOOKUP($Q75,武学奇术!$A:$ZZ,8,FALSE)+SUM(_xlfn.XLOOKUP(R75:AF75,增益!$A:$A,增益!$H:$H,0))</f>
        <v>0</v>
      </c>
      <c r="AS75">
        <f t="shared" si="12"/>
        <v>0</v>
      </c>
      <c r="AT75">
        <f t="shared" si="13"/>
        <v>0</v>
      </c>
      <c r="AU75" s="35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-0.3</v>
      </c>
      <c r="AV75" s="35" cm="1">
        <f t="array" ref="AV75">$G$11+VLOOKUP($Q75,武学奇术!$A:$ZZ,10,FALSE)+SUM(_xlfn.XLOOKUP(R75:AF75,增益!$A:$A,增益!$J:$J,0))</f>
        <v>0</v>
      </c>
      <c r="AW75">
        <f t="shared" si="14"/>
        <v>0</v>
      </c>
      <c r="AX75">
        <f t="shared" si="15"/>
        <v>0</v>
      </c>
      <c r="AY75" s="35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-0.3</v>
      </c>
      <c r="AZ75" s="35" cm="1">
        <f t="array" ref="AZ75">$G$12+VLOOKUP($Q75,武学奇术!$A:$ZZ,12,FALSE)+SUM(_xlfn.XLOOKUP(R75:AF75,增益!$A:$A,增益!$L:$L,0))</f>
        <v>0</v>
      </c>
      <c r="BA75">
        <f t="shared" si="16"/>
        <v>538</v>
      </c>
      <c r="BB75">
        <f t="shared" si="17"/>
        <v>1011</v>
      </c>
      <c r="BC75" s="35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0</v>
      </c>
      <c r="BD75" s="35" cm="1">
        <f t="array" ref="BD75">$G$13+VLOOKUP($Q75,武学奇术!$A:$ZZ,14,FALSE)+SUM(_xlfn.XLOOKUP(R75:AF75,增益!$A:$A,增益!$N:$N,0))</f>
        <v>0.25</v>
      </c>
      <c r="BE75">
        <f t="shared" si="18"/>
        <v>0</v>
      </c>
      <c r="BF75">
        <f t="shared" si="19"/>
        <v>0</v>
      </c>
      <c r="BG75" s="35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-0.3</v>
      </c>
      <c r="BH75" s="35" cm="1">
        <f t="array" ref="BH75">$G$14+VLOOKUP($Q75,武学奇术!$A:$ZZ,16,FALSE)+SUM(_xlfn.XLOOKUP(R75:AF75,增益!$A:$A,增益!$P:$P,0))</f>
        <v>0</v>
      </c>
      <c r="BI75" s="27">
        <f>MIN(IF(VLOOKUP($Q75,武学奇术!$A:$ZZ,23,FALSE)=1,100%,$B$8),100%)</f>
        <v>0.9969</v>
      </c>
      <c r="BJ75" s="27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0.9137</v>
      </c>
      <c r="BK75" s="27" cm="1">
        <f t="array" ref="BK75">1+$B$13+VLOOKUP($Q75,武学奇术!$A:$ZZ,18,FALSE)+SUM(_xlfn.XLOOKUP(R75:AF75,增益!$A:$A,增益!$R:$R,0))</f>
        <v>1.96</v>
      </c>
      <c r="BL75" s="27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0.0895</v>
      </c>
      <c r="BM75" s="27" cm="1">
        <f t="array" ref="BM75">1+$B$14+VLOOKUP($Q75,武学奇术!$A:$ZZ,20,FALSE)+SUM(_xlfn.XLOOKUP(R75:AF75,增益!$A:$A,增益!$T:$T,0))</f>
        <v>1.35</v>
      </c>
      <c r="BN75" s="27">
        <f t="shared" si="20"/>
        <v>0.90767745</v>
      </c>
      <c r="BO75" s="27">
        <f t="shared" si="21"/>
        <v>-1.30104260698261e-17</v>
      </c>
      <c r="BP75" s="27">
        <f>IF(VLOOKUP($Q75,武学奇术!$A:$ZZ,22,FALSE)=1,0,(1-$BI75))*(1-$BL75)</f>
        <v>0.00282254999999999</v>
      </c>
      <c r="BQ75" s="27" cm="1">
        <f t="array" ref="BQ75">SUM(_xlfn.XLOOKUP(R75:AF75,增益!$A:$A,增益!$W:$W,0))+$I$5</f>
        <v>0.11</v>
      </c>
    </row>
    <row r="76" spans="11:69">
      <c r="K76" s="41">
        <f t="shared" si="11"/>
        <v>0</v>
      </c>
      <c r="L76" s="41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弹道",$B$21,0))*(1+$BQ76)</f>
        <v>0</v>
      </c>
      <c r="M76" s="41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弹道",$B$21,0))*(1+$BQ76)</f>
        <v>0</v>
      </c>
      <c r="N76" s="41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弹道",$B$21,0))*(1+$BQ76)</f>
        <v>0</v>
      </c>
      <c r="O76" s="41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弹道",$B$21,0))*(1+$BQ76)</f>
        <v>0</v>
      </c>
      <c r="P76" s="42">
        <v>1</v>
      </c>
      <c r="Q76" s="43" t="s">
        <v>73</v>
      </c>
      <c r="R76" s="43" t="s">
        <v>73</v>
      </c>
      <c r="S76" s="43" t="s">
        <v>73</v>
      </c>
      <c r="T76" s="43" t="s">
        <v>73</v>
      </c>
      <c r="U76" s="43" t="s">
        <v>73</v>
      </c>
      <c r="V76" s="43" t="s">
        <v>73</v>
      </c>
      <c r="W76" s="43" t="s">
        <v>73</v>
      </c>
      <c r="X76" s="43" t="s">
        <v>73</v>
      </c>
      <c r="Y76" s="43" t="s">
        <v>73</v>
      </c>
      <c r="Z76" s="43" t="s">
        <v>73</v>
      </c>
      <c r="AA76" s="43" t="s">
        <v>73</v>
      </c>
      <c r="AB76" s="43" t="s">
        <v>73</v>
      </c>
      <c r="AC76" s="43" t="s">
        <v>73</v>
      </c>
      <c r="AD76" s="43" t="s">
        <v>73</v>
      </c>
      <c r="AE76" s="43" t="s">
        <v>73</v>
      </c>
      <c r="AF76" s="43" t="s">
        <v>75</v>
      </c>
      <c r="AG76" t="str">
        <f>VLOOKUP($Q76,武学奇术!$A:$ZZ,25,FALSE)</f>
        <v>心法</v>
      </c>
      <c r="AH76" s="27">
        <f>VLOOKUP($Q76,武学奇术!$A:$ZZ,26,FALSE)</f>
        <v>0</v>
      </c>
      <c r="AI76" s="28">
        <f>VLOOKUP($Q76,武学奇术!$A:$ZZ,27,FALSE)*(1+IF(OR($AG76=$F$4,$AG76=$F$5),$B$22,0))</f>
        <v>0</v>
      </c>
      <c r="AJ76" s="27">
        <f>VLOOKUP($Q76,武学奇术!$A:$ZZ,28,FALSE)</f>
        <v>0</v>
      </c>
      <c r="AK76" s="28">
        <f>VLOOKUP($Q76,武学奇术!$A:$ZZ,29,FALSE)*(1+IF(OR($AG76=$F$4,$AG76=$F$5),$B$22,0))</f>
        <v>0</v>
      </c>
      <c r="AL76" s="27" cm="1">
        <f t="array" ref="AL76">$G$3+IFERROR(VLOOKUP($AG76,$F$4:$G$7,2,FALSE),0)+VLOOKUP($Q76,武学奇术!$A:$ZZ,2,FALSE)+SUM(_xlfn.XLOOKUP($R76:$AF76,增益!$A:$A,增益!$B:$B,0))</f>
        <v>0.1037</v>
      </c>
      <c r="AM76" s="27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1713.7</v>
      </c>
      <c r="AO76" cm="1">
        <f t="array" ref="AO76">$E$10*(1+$AM76)+VLOOKUP($Q76,武学奇术!$A:$ZZ,4,FALSE)+SUM(_xlfn.XLOOKUP($R76:$AF76,增益!$A:$A,增益!$D:$D,0))-$I$2</f>
        <v>5189.5</v>
      </c>
      <c r="AP76" s="35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0.1925</v>
      </c>
      <c r="AQ76" s="35" cm="1">
        <f t="array" ref="AQ76">$G$10+VLOOKUP($Q76,武学奇术!$A:$ZZ,7,FALSE)+SUM(_xlfn.XLOOKUP(R76:AF76,增益!$A:$A,增益!$G:$G,0))</f>
        <v>0</v>
      </c>
      <c r="AR76" s="27" cm="1">
        <f t="array" ref="AR76">VLOOKUP($Q76,武学奇术!$A:$ZZ,8,FALSE)+SUM(_xlfn.XLOOKUP(R76:AF76,增益!$A:$A,增益!$H:$H,0))</f>
        <v>0</v>
      </c>
      <c r="AS76">
        <f t="shared" si="12"/>
        <v>0</v>
      </c>
      <c r="AT76">
        <f t="shared" si="13"/>
        <v>0</v>
      </c>
      <c r="AU76" s="35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35" cm="1">
        <f t="array" ref="AV76">$G$11+VLOOKUP($Q76,武学奇术!$A:$ZZ,10,FALSE)+SUM(_xlfn.XLOOKUP(R76:AF76,增益!$A:$A,增益!$J:$J,0))</f>
        <v>0</v>
      </c>
      <c r="AW76">
        <f t="shared" si="14"/>
        <v>0</v>
      </c>
      <c r="AX76">
        <f t="shared" si="15"/>
        <v>0</v>
      </c>
      <c r="AY76" s="35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-0.3</v>
      </c>
      <c r="AZ76" s="35" cm="1">
        <f t="array" ref="AZ76">$G$12+VLOOKUP($Q76,武学奇术!$A:$ZZ,12,FALSE)+SUM(_xlfn.XLOOKUP(R76:AF76,增益!$A:$A,增益!$L:$L,0))</f>
        <v>0</v>
      </c>
      <c r="BA76">
        <f t="shared" si="16"/>
        <v>538</v>
      </c>
      <c r="BB76">
        <f t="shared" si="17"/>
        <v>1011</v>
      </c>
      <c r="BC76" s="35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0</v>
      </c>
      <c r="BD76" s="35" cm="1">
        <f t="array" ref="BD76">$G$13+VLOOKUP($Q76,武学奇术!$A:$ZZ,14,FALSE)+SUM(_xlfn.XLOOKUP(R76:AF76,增益!$A:$A,增益!$N:$N,0))</f>
        <v>0.15</v>
      </c>
      <c r="BE76">
        <f t="shared" si="18"/>
        <v>0</v>
      </c>
      <c r="BF76">
        <f t="shared" si="19"/>
        <v>0</v>
      </c>
      <c r="BG76" s="35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-0.3</v>
      </c>
      <c r="BH76" s="35" cm="1">
        <f t="array" ref="BH76">$G$14+VLOOKUP($Q76,武学奇术!$A:$ZZ,16,FALSE)+SUM(_xlfn.XLOOKUP(R76:AF76,增益!$A:$A,增益!$P:$P,0))</f>
        <v>0</v>
      </c>
      <c r="BI76" s="27">
        <f>MIN(IF(VLOOKUP($Q76,武学奇术!$A:$ZZ,23,FALSE)=1,100%,$B$8),100%)</f>
        <v>0.9969</v>
      </c>
      <c r="BJ76" s="27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0.9137</v>
      </c>
      <c r="BK76" s="27" cm="1">
        <f t="array" ref="BK76">1+$B$13+VLOOKUP($Q76,武学奇术!$A:$ZZ,18,FALSE)+SUM(_xlfn.XLOOKUP(R76:AF76,增益!$A:$A,增益!$R:$R,0))</f>
        <v>1.5</v>
      </c>
      <c r="BL76" s="27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0.0895</v>
      </c>
      <c r="BM76" s="27" cm="1">
        <f t="array" ref="BM76">1+$B$14+VLOOKUP($Q76,武学奇术!$A:$ZZ,20,FALSE)+SUM(_xlfn.XLOOKUP(R76:AF76,增益!$A:$A,增益!$T:$T,0))</f>
        <v>1.35</v>
      </c>
      <c r="BN76" s="27">
        <f t="shared" si="20"/>
        <v>0.90767745</v>
      </c>
      <c r="BO76" s="27">
        <f t="shared" si="21"/>
        <v>-1.30104260698261e-17</v>
      </c>
      <c r="BP76" s="27">
        <f>IF(VLOOKUP($Q76,武学奇术!$A:$ZZ,22,FALSE)=1,0,(1-$BI76))*(1-$BL76)</f>
        <v>0.00282254999999999</v>
      </c>
      <c r="BQ76" s="27" cm="1">
        <f t="array" ref="BQ76">SUM(_xlfn.XLOOKUP(R76:AF76,增益!$A:$A,增益!$W:$W,0))+$I$5</f>
        <v>0.11</v>
      </c>
    </row>
    <row r="77" spans="11:69">
      <c r="K77" s="41">
        <f t="shared" si="11"/>
        <v>25263.114149538</v>
      </c>
      <c r="L77" s="41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弹道",$B$21,0))*(1+$BQ77)</f>
        <v>25394.3546469552</v>
      </c>
      <c r="M77" s="41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弹道",$B$21,0))*(1+$BQ77)</f>
        <v>24483.588762282</v>
      </c>
      <c r="N77" s="41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弹道",$B$21,0))*(1+$BQ77)</f>
        <v>12956.3033913037</v>
      </c>
      <c r="O77" s="41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弹道",$B$21,0))*(1+$BQ77)</f>
        <v>7776.61510684291</v>
      </c>
      <c r="P77" s="42">
        <v>0.5</v>
      </c>
      <c r="Q77" s="43" t="s">
        <v>109</v>
      </c>
      <c r="R77" s="43" t="s">
        <v>93</v>
      </c>
      <c r="S77" s="43" t="s">
        <v>158</v>
      </c>
      <c r="T77" s="43" t="s">
        <v>102</v>
      </c>
      <c r="U77" s="43" t="s">
        <v>86</v>
      </c>
      <c r="V77" s="43" t="s">
        <v>98</v>
      </c>
      <c r="W77" s="43" t="s">
        <v>73</v>
      </c>
      <c r="X77" s="43" t="s">
        <v>73</v>
      </c>
      <c r="Y77" s="43" t="s">
        <v>73</v>
      </c>
      <c r="Z77" s="43" t="s">
        <v>73</v>
      </c>
      <c r="AA77" s="43" t="s">
        <v>73</v>
      </c>
      <c r="AB77" s="43" t="s">
        <v>73</v>
      </c>
      <c r="AC77" s="43" t="s">
        <v>73</v>
      </c>
      <c r="AD77" s="43" t="s">
        <v>73</v>
      </c>
      <c r="AE77" s="43" t="s">
        <v>73</v>
      </c>
      <c r="AF77" s="43" t="s">
        <v>75</v>
      </c>
      <c r="AG77" t="str">
        <f>VLOOKUP($Q77,武学奇术!$A:$ZZ,25,FALSE)</f>
        <v>伞</v>
      </c>
      <c r="AH77" s="27">
        <f>VLOOKUP($Q77,武学奇术!$A:$ZZ,26,FALSE)</f>
        <v>1.174955</v>
      </c>
      <c r="AI77" s="28">
        <f>VLOOKUP($Q77,武学奇术!$A:$ZZ,27,FALSE)*(1+IF(OR($AG77=$F$4,$AG77=$F$5),$B$22,0))</f>
        <v>454.02</v>
      </c>
      <c r="AJ77" s="27">
        <f>VLOOKUP($Q77,武学奇术!$A:$ZZ,28,FALSE)</f>
        <v>1.762375</v>
      </c>
      <c r="AK77" s="28">
        <f>VLOOKUP($Q77,武学奇术!$A:$ZZ,29,FALSE)*(1+IF(OR($AG77=$F$4,$AG77=$F$5),$B$22,0))</f>
        <v>247.94</v>
      </c>
      <c r="AL77" s="27" cm="1">
        <f t="array" ref="AL77">$G$3+IFERROR(VLOOKUP($AG77,$F$4:$G$7,2,FALSE),0)+VLOOKUP($Q77,武学奇术!$A:$ZZ,2,FALSE)+SUM(_xlfn.XLOOKUP($R77:$AF77,增益!$A:$A,增益!$B:$B,0))</f>
        <v>0.9741</v>
      </c>
      <c r="AM77" s="27" cm="1">
        <f t="array" ref="AM77">VLOOKUP($Q77,武学奇术!$A:$ZZ,5,FALSE)+SUM(_xlfn.XLOOKUP($R77:$AF77,增益!$A:$A,增益!$E:$E,0))</f>
        <v>0.075</v>
      </c>
      <c r="AN77" cm="1">
        <f t="array" ref="AN77">$D$10*(1+$AM77)+VLOOKUP($Q77,武学奇术!$A:$ZZ,3,FALSE)+SUM(_xlfn.XLOOKUP($R77:$AF77,增益!$A:$A,增益!$C:$C,0))-$I$2</f>
        <v>1888.7275</v>
      </c>
      <c r="AO77" cm="1">
        <f t="array" ref="AO77">$E$10*(1+$AM77)+VLOOKUP($Q77,武学奇术!$A:$ZZ,4,FALSE)+SUM(_xlfn.XLOOKUP($R77:$AF77,增益!$A:$A,增益!$D:$D,0))-$I$2</f>
        <v>5625.2125</v>
      </c>
      <c r="AP77" s="35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0.2675</v>
      </c>
      <c r="AQ77" s="35" cm="1">
        <f t="array" ref="AQ77">$G$10+VLOOKUP($Q77,武学奇术!$A:$ZZ,7,FALSE)+SUM(_xlfn.XLOOKUP(R77:AF77,增益!$A:$A,增益!$G:$G,0))</f>
        <v>0.1</v>
      </c>
      <c r="AR77" s="27" cm="1">
        <f t="array" ref="AR77">VLOOKUP($Q77,武学奇术!$A:$ZZ,8,FALSE)+SUM(_xlfn.XLOOKUP(R77:AF77,增益!$A:$A,增益!$H:$H,0))</f>
        <v>0</v>
      </c>
      <c r="AS77">
        <f t="shared" si="12"/>
        <v>0</v>
      </c>
      <c r="AT77">
        <f t="shared" si="13"/>
        <v>0</v>
      </c>
      <c r="AU77" s="35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35" cm="1">
        <f t="array" ref="AV77">$G$11+VLOOKUP($Q77,武学奇术!$A:$ZZ,10,FALSE)+SUM(_xlfn.XLOOKUP(R77:AF77,增益!$A:$A,增益!$J:$J,0))</f>
        <v>0</v>
      </c>
      <c r="AW77">
        <f t="shared" si="14"/>
        <v>0</v>
      </c>
      <c r="AX77">
        <f t="shared" si="15"/>
        <v>0</v>
      </c>
      <c r="AY77" s="35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-0.3</v>
      </c>
      <c r="AZ77" s="35" cm="1">
        <f t="array" ref="AZ77">$G$12+VLOOKUP($Q77,武学奇术!$A:$ZZ,12,FALSE)+SUM(_xlfn.XLOOKUP(R77:AF77,增益!$A:$A,增益!$L:$L,0))</f>
        <v>0</v>
      </c>
      <c r="BA77">
        <f t="shared" si="16"/>
        <v>538</v>
      </c>
      <c r="BB77">
        <f t="shared" si="17"/>
        <v>1011</v>
      </c>
      <c r="BC77" s="35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0</v>
      </c>
      <c r="BD77" s="35" cm="1">
        <f t="array" ref="BD77">$G$13+VLOOKUP($Q77,武学奇术!$A:$ZZ,14,FALSE)+SUM(_xlfn.XLOOKUP(R77:AF77,增益!$A:$A,增益!$N:$N,0))</f>
        <v>0.25</v>
      </c>
      <c r="BE77">
        <f t="shared" si="18"/>
        <v>0</v>
      </c>
      <c r="BF77">
        <f t="shared" si="19"/>
        <v>0</v>
      </c>
      <c r="BG77" s="35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35" cm="1">
        <f t="array" ref="BH77">$G$14+VLOOKUP($Q77,武学奇术!$A:$ZZ,16,FALSE)+SUM(_xlfn.XLOOKUP(R77:AF77,增益!$A:$A,增益!$P:$P,0))</f>
        <v>0</v>
      </c>
      <c r="BI77" s="27">
        <f>MIN(IF(VLOOKUP($Q77,武学奇术!$A:$ZZ,23,FALSE)=1,100%,$B$8),100%)</f>
        <v>0.9969</v>
      </c>
      <c r="BJ77" s="27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0.9137</v>
      </c>
      <c r="BK77" s="27" cm="1">
        <f t="array" ref="BK77">1+$B$13+VLOOKUP($Q77,武学奇术!$A:$ZZ,18,FALSE)+SUM(_xlfn.XLOOKUP(R77:AF77,增益!$A:$A,增益!$R:$R,0))</f>
        <v>1.96</v>
      </c>
      <c r="BL77" s="27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0.0895</v>
      </c>
      <c r="BM77" s="27" cm="1">
        <f t="array" ref="BM77">1+$B$14+VLOOKUP($Q77,武学奇术!$A:$ZZ,20,FALSE)+SUM(_xlfn.XLOOKUP(R77:AF77,增益!$A:$A,增益!$T:$T,0))</f>
        <v>1.35</v>
      </c>
      <c r="BN77" s="27">
        <f t="shared" si="20"/>
        <v>0.90767745</v>
      </c>
      <c r="BO77" s="27">
        <f t="shared" si="21"/>
        <v>-1.30104260698261e-17</v>
      </c>
      <c r="BP77" s="27">
        <f>IF(VLOOKUP($Q77,武学奇术!$A:$ZZ,22,FALSE)=1,0,(1-$BI77))*(1-$BL77)</f>
        <v>0.00282254999999999</v>
      </c>
      <c r="BQ77" s="27" cm="1">
        <f t="array" ref="BQ77">SUM(_xlfn.XLOOKUP(R77:AF77,增益!$A:$A,增益!$W:$W,0))+$I$5</f>
        <v>0.11</v>
      </c>
    </row>
    <row r="78" spans="11:69">
      <c r="K78" s="41">
        <f t="shared" si="11"/>
        <v>121265.263460059</v>
      </c>
      <c r="L78" s="41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弹道",$B$21,0))*(1+$BQ78)</f>
        <v>123091.62829937</v>
      </c>
      <c r="M78" s="41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弹道",$B$21,0))*(1+$BQ78)</f>
        <v>105519.184196163</v>
      </c>
      <c r="N78" s="41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弹道",$B$21,0))*(1+$BQ78)</f>
        <v>55697.5693662308</v>
      </c>
      <c r="O78" s="41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弹道",$B$21,0))*(1+$BQ78)</f>
        <v>33232.7800686368</v>
      </c>
      <c r="P78" s="42">
        <v>2</v>
      </c>
      <c r="Q78" s="43" t="s">
        <v>109</v>
      </c>
      <c r="R78" s="43" t="s">
        <v>93</v>
      </c>
      <c r="S78" s="43" t="s">
        <v>158</v>
      </c>
      <c r="T78" s="43" t="s">
        <v>102</v>
      </c>
      <c r="U78" s="43" t="s">
        <v>86</v>
      </c>
      <c r="V78" s="43" t="s">
        <v>98</v>
      </c>
      <c r="W78" s="43" t="s">
        <v>73</v>
      </c>
      <c r="X78" s="43" t="s">
        <v>73</v>
      </c>
      <c r="Y78" s="43" t="s">
        <v>112</v>
      </c>
      <c r="Z78" s="43" t="s">
        <v>73</v>
      </c>
      <c r="AA78" s="43" t="s">
        <v>73</v>
      </c>
      <c r="AB78" s="43" t="s">
        <v>73</v>
      </c>
      <c r="AC78" s="43" t="s">
        <v>73</v>
      </c>
      <c r="AD78" s="43" t="s">
        <v>73</v>
      </c>
      <c r="AE78" s="43" t="s">
        <v>73</v>
      </c>
      <c r="AF78" s="43" t="s">
        <v>75</v>
      </c>
      <c r="AG78" t="str">
        <f>VLOOKUP($Q78,武学奇术!$A:$ZZ,25,FALSE)</f>
        <v>伞</v>
      </c>
      <c r="AH78" s="27">
        <f>VLOOKUP($Q78,武学奇术!$A:$ZZ,26,FALSE)</f>
        <v>1.174955</v>
      </c>
      <c r="AI78" s="28">
        <f>VLOOKUP($Q78,武学奇术!$A:$ZZ,27,FALSE)*(1+IF(OR($AG78=$F$4,$AG78=$F$5),$B$22,0))</f>
        <v>454.02</v>
      </c>
      <c r="AJ78" s="27">
        <f>VLOOKUP($Q78,武学奇术!$A:$ZZ,28,FALSE)</f>
        <v>1.762375</v>
      </c>
      <c r="AK78" s="28">
        <f>VLOOKUP($Q78,武学奇术!$A:$ZZ,29,FALSE)*(1+IF(OR($AG78=$F$4,$AG78=$F$5),$B$22,0))</f>
        <v>247.94</v>
      </c>
      <c r="AL78" s="27" cm="1">
        <f t="array" ref="AL78">$G$3+IFERROR(VLOOKUP($AG78,$F$4:$G$7,2,FALSE),0)+VLOOKUP($Q78,武学奇术!$A:$ZZ,2,FALSE)+SUM(_xlfn.XLOOKUP($R78:$AF78,增益!$A:$A,增益!$B:$B,0))</f>
        <v>0.9741</v>
      </c>
      <c r="AM78" s="27" cm="1">
        <f t="array" ref="AM78">VLOOKUP($Q78,武学奇术!$A:$ZZ,5,FALSE)+SUM(_xlfn.XLOOKUP($R78:$AF78,增益!$A:$A,增益!$E:$E,0))</f>
        <v>0.075</v>
      </c>
      <c r="AN78" cm="1">
        <f t="array" ref="AN78">$D$10*(1+$AM78)+VLOOKUP($Q78,武学奇术!$A:$ZZ,3,FALSE)+SUM(_xlfn.XLOOKUP($R78:$AF78,增益!$A:$A,增益!$C:$C,0))-$I$2</f>
        <v>1888.7275</v>
      </c>
      <c r="AO78" cm="1">
        <f t="array" ref="AO78">$E$10*(1+$AM78)+VLOOKUP($Q78,武学奇术!$A:$ZZ,4,FALSE)+SUM(_xlfn.XLOOKUP($R78:$AF78,增益!$A:$A,增益!$D:$D,0))-$I$2</f>
        <v>5625.2125</v>
      </c>
      <c r="AP78" s="35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0.3925</v>
      </c>
      <c r="AQ78" s="35" cm="1">
        <f t="array" ref="AQ78">$G$10+VLOOKUP($Q78,武学奇术!$A:$ZZ,7,FALSE)+SUM(_xlfn.XLOOKUP(R78:AF78,增益!$A:$A,增益!$G:$G,0))</f>
        <v>0.1</v>
      </c>
      <c r="AR78" s="27" cm="1">
        <f t="array" ref="AR78">VLOOKUP($Q78,武学奇术!$A:$ZZ,8,FALSE)+SUM(_xlfn.XLOOKUP(R78:AF78,增益!$A:$A,增益!$H:$H,0))</f>
        <v>0</v>
      </c>
      <c r="AS78">
        <f t="shared" si="12"/>
        <v>0</v>
      </c>
      <c r="AT78">
        <f t="shared" si="13"/>
        <v>0</v>
      </c>
      <c r="AU78" s="35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35" cm="1">
        <f t="array" ref="AV78">$G$11+VLOOKUP($Q78,武学奇术!$A:$ZZ,10,FALSE)+SUM(_xlfn.XLOOKUP(R78:AF78,增益!$A:$A,增益!$J:$J,0))</f>
        <v>0</v>
      </c>
      <c r="AW78">
        <f t="shared" si="14"/>
        <v>0</v>
      </c>
      <c r="AX78">
        <f t="shared" si="15"/>
        <v>0</v>
      </c>
      <c r="AY78" s="35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-0.3</v>
      </c>
      <c r="AZ78" s="35" cm="1">
        <f t="array" ref="AZ78">$G$12+VLOOKUP($Q78,武学奇术!$A:$ZZ,12,FALSE)+SUM(_xlfn.XLOOKUP(R78:AF78,增益!$A:$A,增益!$L:$L,0))</f>
        <v>0</v>
      </c>
      <c r="BA78">
        <f t="shared" si="16"/>
        <v>538</v>
      </c>
      <c r="BB78">
        <f t="shared" si="17"/>
        <v>1011</v>
      </c>
      <c r="BC78" s="35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0</v>
      </c>
      <c r="BD78" s="35" cm="1">
        <f t="array" ref="BD78">$G$13+VLOOKUP($Q78,武学奇术!$A:$ZZ,14,FALSE)+SUM(_xlfn.XLOOKUP(R78:AF78,增益!$A:$A,增益!$N:$N,0))</f>
        <v>0.25</v>
      </c>
      <c r="BE78">
        <f t="shared" si="18"/>
        <v>0</v>
      </c>
      <c r="BF78">
        <f t="shared" si="19"/>
        <v>0</v>
      </c>
      <c r="BG78" s="35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35" cm="1">
        <f t="array" ref="BH78">$G$14+VLOOKUP($Q78,武学奇术!$A:$ZZ,16,FALSE)+SUM(_xlfn.XLOOKUP(R78:AF78,增益!$A:$A,增益!$P:$P,0))</f>
        <v>0</v>
      </c>
      <c r="BI78" s="27">
        <f>MIN(IF(VLOOKUP($Q78,武学奇术!$A:$ZZ,23,FALSE)=1,100%,$B$8),100%)</f>
        <v>0.9969</v>
      </c>
      <c r="BJ78" s="27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0.9137</v>
      </c>
      <c r="BK78" s="27" cm="1">
        <f t="array" ref="BK78">1+$B$13+VLOOKUP($Q78,武学奇术!$A:$ZZ,18,FALSE)+SUM(_xlfn.XLOOKUP(R78:AF78,增益!$A:$A,增益!$R:$R,0))</f>
        <v>2.21</v>
      </c>
      <c r="BL78" s="27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0.0895</v>
      </c>
      <c r="BM78" s="27" cm="1">
        <f t="array" ref="BM78">1+$B$14+VLOOKUP($Q78,武学奇术!$A:$ZZ,20,FALSE)+SUM(_xlfn.XLOOKUP(R78:AF78,增益!$A:$A,增益!$T:$T,0))</f>
        <v>1.35</v>
      </c>
      <c r="BN78" s="27">
        <f t="shared" si="20"/>
        <v>0.90767745</v>
      </c>
      <c r="BO78" s="27">
        <f t="shared" si="21"/>
        <v>-1.30104260698261e-17</v>
      </c>
      <c r="BP78" s="27">
        <f>IF(VLOOKUP($Q78,武学奇术!$A:$ZZ,22,FALSE)=1,0,(1-$BI78))*(1-$BL78)</f>
        <v>0.00282254999999999</v>
      </c>
      <c r="BQ78" s="27" cm="1">
        <f t="array" ref="BQ78">SUM(_xlfn.XLOOKUP(R78:AF78,增益!$A:$A,增益!$W:$W,0))+$I$5</f>
        <v>0.11</v>
      </c>
    </row>
    <row r="79" spans="11:69">
      <c r="K79" s="41">
        <f t="shared" si="11"/>
        <v>151581.579325074</v>
      </c>
      <c r="L79" s="41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弹道",$B$21,0))*(1+$BQ79)</f>
        <v>153864.535374213</v>
      </c>
      <c r="M79" s="41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弹道",$B$21,0))*(1+$BQ79)</f>
        <v>131898.980245204</v>
      </c>
      <c r="N79" s="41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弹道",$B$21,0))*(1+$BQ79)</f>
        <v>69621.9617077885</v>
      </c>
      <c r="O79" s="41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弹道",$B$21,0))*(1+$BQ79)</f>
        <v>41540.975085796</v>
      </c>
      <c r="P79" s="42">
        <v>2.5</v>
      </c>
      <c r="Q79" s="43" t="s">
        <v>109</v>
      </c>
      <c r="R79" s="43" t="s">
        <v>93</v>
      </c>
      <c r="S79" s="43" t="s">
        <v>158</v>
      </c>
      <c r="T79" s="43" t="s">
        <v>102</v>
      </c>
      <c r="U79" s="43" t="s">
        <v>86</v>
      </c>
      <c r="V79" s="43" t="s">
        <v>98</v>
      </c>
      <c r="W79" s="43" t="s">
        <v>73</v>
      </c>
      <c r="X79" s="43" t="s">
        <v>73</v>
      </c>
      <c r="Y79" s="43" t="s">
        <v>112</v>
      </c>
      <c r="Z79" s="43" t="s">
        <v>73</v>
      </c>
      <c r="AA79" s="43" t="s">
        <v>73</v>
      </c>
      <c r="AB79" s="43" t="s">
        <v>73</v>
      </c>
      <c r="AC79" s="43" t="s">
        <v>73</v>
      </c>
      <c r="AD79" s="43" t="s">
        <v>73</v>
      </c>
      <c r="AE79" s="43" t="s">
        <v>73</v>
      </c>
      <c r="AF79" s="43" t="s">
        <v>75</v>
      </c>
      <c r="AG79" t="str">
        <f>VLOOKUP($Q79,武学奇术!$A:$ZZ,25,FALSE)</f>
        <v>伞</v>
      </c>
      <c r="AH79" s="27">
        <f>VLOOKUP($Q79,武学奇术!$A:$ZZ,26,FALSE)</f>
        <v>1.174955</v>
      </c>
      <c r="AI79" s="28">
        <f>VLOOKUP($Q79,武学奇术!$A:$ZZ,27,FALSE)*(1+IF(OR($AG79=$F$4,$AG79=$F$5),$B$22,0))</f>
        <v>454.02</v>
      </c>
      <c r="AJ79" s="27">
        <f>VLOOKUP($Q79,武学奇术!$A:$ZZ,28,FALSE)</f>
        <v>1.762375</v>
      </c>
      <c r="AK79" s="28">
        <f>VLOOKUP($Q79,武学奇术!$A:$ZZ,29,FALSE)*(1+IF(OR($AG79=$F$4,$AG79=$F$5),$B$22,0))</f>
        <v>247.94</v>
      </c>
      <c r="AL79" s="27" cm="1">
        <f t="array" ref="AL79">$G$3+IFERROR(VLOOKUP($AG79,$F$4:$G$7,2,FALSE),0)+VLOOKUP($Q79,武学奇术!$A:$ZZ,2,FALSE)+SUM(_xlfn.XLOOKUP($R79:$AF79,增益!$A:$A,增益!$B:$B,0))</f>
        <v>0.9741</v>
      </c>
      <c r="AM79" s="27" cm="1">
        <f t="array" ref="AM79">VLOOKUP($Q79,武学奇术!$A:$ZZ,5,FALSE)+SUM(_xlfn.XLOOKUP($R79:$AF79,增益!$A:$A,增益!$E:$E,0))</f>
        <v>0.075</v>
      </c>
      <c r="AN79" cm="1">
        <f t="array" ref="AN79">$D$10*(1+$AM79)+VLOOKUP($Q79,武学奇术!$A:$ZZ,3,FALSE)+SUM(_xlfn.XLOOKUP($R79:$AF79,增益!$A:$A,增益!$C:$C,0))-$I$2</f>
        <v>1888.7275</v>
      </c>
      <c r="AO79" cm="1">
        <f t="array" ref="AO79">$E$10*(1+$AM79)+VLOOKUP($Q79,武学奇术!$A:$ZZ,4,FALSE)+SUM(_xlfn.XLOOKUP($R79:$AF79,增益!$A:$A,增益!$D:$D,0))-$I$2</f>
        <v>5625.2125</v>
      </c>
      <c r="AP79" s="35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0.3925</v>
      </c>
      <c r="AQ79" s="35" cm="1">
        <f t="array" ref="AQ79">$G$10+VLOOKUP($Q79,武学奇术!$A:$ZZ,7,FALSE)+SUM(_xlfn.XLOOKUP(R79:AF79,增益!$A:$A,增益!$G:$G,0))</f>
        <v>0.1</v>
      </c>
      <c r="AR79" s="27" cm="1">
        <f t="array" ref="AR79">VLOOKUP($Q79,武学奇术!$A:$ZZ,8,FALSE)+SUM(_xlfn.XLOOKUP(R79:AF79,增益!$A:$A,增益!$H:$H,0))</f>
        <v>0</v>
      </c>
      <c r="AS79">
        <f t="shared" si="12"/>
        <v>0</v>
      </c>
      <c r="AT79">
        <f t="shared" si="13"/>
        <v>0</v>
      </c>
      <c r="AU79" s="35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35" cm="1">
        <f t="array" ref="AV79">$G$11+VLOOKUP($Q79,武学奇术!$A:$ZZ,10,FALSE)+SUM(_xlfn.XLOOKUP(R79:AF79,增益!$A:$A,增益!$J:$J,0))</f>
        <v>0</v>
      </c>
      <c r="AW79">
        <f t="shared" si="14"/>
        <v>0</v>
      </c>
      <c r="AX79">
        <f t="shared" si="15"/>
        <v>0</v>
      </c>
      <c r="AY79" s="35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-0.3</v>
      </c>
      <c r="AZ79" s="35" cm="1">
        <f t="array" ref="AZ79">$G$12+VLOOKUP($Q79,武学奇术!$A:$ZZ,12,FALSE)+SUM(_xlfn.XLOOKUP(R79:AF79,增益!$A:$A,增益!$L:$L,0))</f>
        <v>0</v>
      </c>
      <c r="BA79">
        <f t="shared" si="16"/>
        <v>538</v>
      </c>
      <c r="BB79">
        <f t="shared" si="17"/>
        <v>1011</v>
      </c>
      <c r="BC79" s="35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0</v>
      </c>
      <c r="BD79" s="35" cm="1">
        <f t="array" ref="BD79">$G$13+VLOOKUP($Q79,武学奇术!$A:$ZZ,14,FALSE)+SUM(_xlfn.XLOOKUP(R79:AF79,增益!$A:$A,增益!$N:$N,0))</f>
        <v>0.25</v>
      </c>
      <c r="BE79">
        <f t="shared" si="18"/>
        <v>0</v>
      </c>
      <c r="BF79">
        <f t="shared" si="19"/>
        <v>0</v>
      </c>
      <c r="BG79" s="35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35" cm="1">
        <f t="array" ref="BH79">$G$14+VLOOKUP($Q79,武学奇术!$A:$ZZ,16,FALSE)+SUM(_xlfn.XLOOKUP(R79:AF79,增益!$A:$A,增益!$P:$P,0))</f>
        <v>0</v>
      </c>
      <c r="BI79" s="27">
        <f>MIN(IF(VLOOKUP($Q79,武学奇术!$A:$ZZ,23,FALSE)=1,100%,$B$8),100%)</f>
        <v>0.9969</v>
      </c>
      <c r="BJ79" s="27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0.9137</v>
      </c>
      <c r="BK79" s="27" cm="1">
        <f t="array" ref="BK79">1+$B$13+VLOOKUP($Q79,武学奇术!$A:$ZZ,18,FALSE)+SUM(_xlfn.XLOOKUP(R79:AF79,增益!$A:$A,增益!$R:$R,0))</f>
        <v>2.21</v>
      </c>
      <c r="BL79" s="27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0.0895</v>
      </c>
      <c r="BM79" s="27" cm="1">
        <f t="array" ref="BM79">1+$B$14+VLOOKUP($Q79,武学奇术!$A:$ZZ,20,FALSE)+SUM(_xlfn.XLOOKUP(R79:AF79,增益!$A:$A,增益!$T:$T,0))</f>
        <v>1.35</v>
      </c>
      <c r="BN79" s="27">
        <f t="shared" si="20"/>
        <v>0.90767745</v>
      </c>
      <c r="BO79" s="27">
        <f t="shared" si="21"/>
        <v>-1.30104260698261e-17</v>
      </c>
      <c r="BP79" s="27">
        <f>IF(VLOOKUP($Q79,武学奇术!$A:$ZZ,22,FALSE)=1,0,(1-$BI79))*(1-$BL79)</f>
        <v>0.00282254999999999</v>
      </c>
      <c r="BQ79" s="27" cm="1">
        <f t="array" ref="BQ79">SUM(_xlfn.XLOOKUP(R79:AF79,增益!$A:$A,增益!$W:$W,0))+$I$5</f>
        <v>0.11</v>
      </c>
    </row>
    <row r="80" spans="11:69">
      <c r="K80" s="41">
        <f t="shared" si="11"/>
        <v>303163.158650149</v>
      </c>
      <c r="L80" s="41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弹道",$B$21,0))*(1+$BQ80)</f>
        <v>307729.070748425</v>
      </c>
      <c r="M80" s="41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弹道",$B$21,0))*(1+$BQ80)</f>
        <v>263797.960490409</v>
      </c>
      <c r="N80" s="41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弹道",$B$21,0))*(1+$BQ80)</f>
        <v>139243.923415577</v>
      </c>
      <c r="O80" s="41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弹道",$B$21,0))*(1+$BQ80)</f>
        <v>83081.9501715921</v>
      </c>
      <c r="P80" s="42">
        <v>5</v>
      </c>
      <c r="Q80" s="43" t="s">
        <v>109</v>
      </c>
      <c r="R80" s="43" t="s">
        <v>93</v>
      </c>
      <c r="S80" s="43" t="s">
        <v>158</v>
      </c>
      <c r="T80" s="43" t="s">
        <v>102</v>
      </c>
      <c r="U80" s="43" t="s">
        <v>86</v>
      </c>
      <c r="V80" s="43" t="s">
        <v>98</v>
      </c>
      <c r="W80" s="43" t="s">
        <v>73</v>
      </c>
      <c r="X80" s="43" t="s">
        <v>73</v>
      </c>
      <c r="Y80" s="43" t="s">
        <v>112</v>
      </c>
      <c r="Z80" s="43" t="s">
        <v>73</v>
      </c>
      <c r="AA80" s="43" t="s">
        <v>73</v>
      </c>
      <c r="AB80" s="43" t="s">
        <v>73</v>
      </c>
      <c r="AC80" s="43" t="s">
        <v>73</v>
      </c>
      <c r="AD80" s="43" t="s">
        <v>73</v>
      </c>
      <c r="AE80" s="43" t="s">
        <v>73</v>
      </c>
      <c r="AF80" s="43" t="s">
        <v>75</v>
      </c>
      <c r="AG80" t="str">
        <f>VLOOKUP($Q80,武学奇术!$A:$ZZ,25,FALSE)</f>
        <v>伞</v>
      </c>
      <c r="AH80" s="27">
        <f>VLOOKUP($Q80,武学奇术!$A:$ZZ,26,FALSE)</f>
        <v>1.174955</v>
      </c>
      <c r="AI80" s="28">
        <f>VLOOKUP($Q80,武学奇术!$A:$ZZ,27,FALSE)*(1+IF(OR($AG80=$F$4,$AG80=$F$5),$B$22,0))</f>
        <v>454.02</v>
      </c>
      <c r="AJ80" s="27">
        <f>VLOOKUP($Q80,武学奇术!$A:$ZZ,28,FALSE)</f>
        <v>1.762375</v>
      </c>
      <c r="AK80" s="28">
        <f>VLOOKUP($Q80,武学奇术!$A:$ZZ,29,FALSE)*(1+IF(OR($AG80=$F$4,$AG80=$F$5),$B$22,0))</f>
        <v>247.94</v>
      </c>
      <c r="AL80" s="27" cm="1">
        <f t="array" ref="AL80">$G$3+IFERROR(VLOOKUP($AG80,$F$4:$G$7,2,FALSE),0)+VLOOKUP($Q80,武学奇术!$A:$ZZ,2,FALSE)+SUM(_xlfn.XLOOKUP($R80:$AF80,增益!$A:$A,增益!$B:$B,0))</f>
        <v>0.9741</v>
      </c>
      <c r="AM80" s="27" cm="1">
        <f t="array" ref="AM80">VLOOKUP($Q80,武学奇术!$A:$ZZ,5,FALSE)+SUM(_xlfn.XLOOKUP($R80:$AF80,增益!$A:$A,增益!$E:$E,0))</f>
        <v>0.075</v>
      </c>
      <c r="AN80" cm="1">
        <f t="array" ref="AN80">$D$10*(1+$AM80)+VLOOKUP($Q80,武学奇术!$A:$ZZ,3,FALSE)+SUM(_xlfn.XLOOKUP($R80:$AF80,增益!$A:$A,增益!$C:$C,0))-$I$2</f>
        <v>1888.7275</v>
      </c>
      <c r="AO80" cm="1">
        <f t="array" ref="AO80">$E$10*(1+$AM80)+VLOOKUP($Q80,武学奇术!$A:$ZZ,4,FALSE)+SUM(_xlfn.XLOOKUP($R80:$AF80,增益!$A:$A,增益!$D:$D,0))-$I$2</f>
        <v>5625.2125</v>
      </c>
      <c r="AP80" s="35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0.3925</v>
      </c>
      <c r="AQ80" s="35" cm="1">
        <f t="array" ref="AQ80">$G$10+VLOOKUP($Q80,武学奇术!$A:$ZZ,7,FALSE)+SUM(_xlfn.XLOOKUP(R80:AF80,增益!$A:$A,增益!$G:$G,0))</f>
        <v>0.1</v>
      </c>
      <c r="AR80" s="27" cm="1">
        <f t="array" ref="AR80">VLOOKUP($Q80,武学奇术!$A:$ZZ,8,FALSE)+SUM(_xlfn.XLOOKUP(R80:AF80,增益!$A:$A,增益!$H:$H,0))</f>
        <v>0</v>
      </c>
      <c r="AS80">
        <f t="shared" si="12"/>
        <v>0</v>
      </c>
      <c r="AT80">
        <f t="shared" si="13"/>
        <v>0</v>
      </c>
      <c r="AU80" s="35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35" cm="1">
        <f t="array" ref="AV80">$G$11+VLOOKUP($Q80,武学奇术!$A:$ZZ,10,FALSE)+SUM(_xlfn.XLOOKUP(R80:AF80,增益!$A:$A,增益!$J:$J,0))</f>
        <v>0</v>
      </c>
      <c r="AW80">
        <f t="shared" si="14"/>
        <v>0</v>
      </c>
      <c r="AX80">
        <f t="shared" si="15"/>
        <v>0</v>
      </c>
      <c r="AY80" s="35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-0.3</v>
      </c>
      <c r="AZ80" s="35" cm="1">
        <f t="array" ref="AZ80">$G$12+VLOOKUP($Q80,武学奇术!$A:$ZZ,12,FALSE)+SUM(_xlfn.XLOOKUP(R80:AF80,增益!$A:$A,增益!$L:$L,0))</f>
        <v>0</v>
      </c>
      <c r="BA80">
        <f t="shared" si="16"/>
        <v>538</v>
      </c>
      <c r="BB80">
        <f t="shared" si="17"/>
        <v>1011</v>
      </c>
      <c r="BC80" s="35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0</v>
      </c>
      <c r="BD80" s="35" cm="1">
        <f t="array" ref="BD80">$G$13+VLOOKUP($Q80,武学奇术!$A:$ZZ,14,FALSE)+SUM(_xlfn.XLOOKUP(R80:AF80,增益!$A:$A,增益!$N:$N,0))</f>
        <v>0.25</v>
      </c>
      <c r="BE80">
        <f t="shared" si="18"/>
        <v>0</v>
      </c>
      <c r="BF80">
        <f t="shared" si="19"/>
        <v>0</v>
      </c>
      <c r="BG80" s="35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-0.3</v>
      </c>
      <c r="BH80" s="35" cm="1">
        <f t="array" ref="BH80">$G$14+VLOOKUP($Q80,武学奇术!$A:$ZZ,16,FALSE)+SUM(_xlfn.XLOOKUP(R80:AF80,增益!$A:$A,增益!$P:$P,0))</f>
        <v>0</v>
      </c>
      <c r="BI80" s="27">
        <f>MIN(IF(VLOOKUP($Q80,武学奇术!$A:$ZZ,23,FALSE)=1,100%,$B$8),100%)</f>
        <v>0.9969</v>
      </c>
      <c r="BJ80" s="27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0.9137</v>
      </c>
      <c r="BK80" s="27" cm="1">
        <f t="array" ref="BK80">1+$B$13+VLOOKUP($Q80,武学奇术!$A:$ZZ,18,FALSE)+SUM(_xlfn.XLOOKUP(R80:AF80,增益!$A:$A,增益!$R:$R,0))</f>
        <v>2.21</v>
      </c>
      <c r="BL80" s="27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0.0895</v>
      </c>
      <c r="BM80" s="27" cm="1">
        <f t="array" ref="BM80">1+$B$14+VLOOKUP($Q80,武学奇术!$A:$ZZ,20,FALSE)+SUM(_xlfn.XLOOKUP(R80:AF80,增益!$A:$A,增益!$T:$T,0))</f>
        <v>1.35</v>
      </c>
      <c r="BN80" s="27">
        <f t="shared" si="20"/>
        <v>0.90767745</v>
      </c>
      <c r="BO80" s="27">
        <f t="shared" si="21"/>
        <v>-1.30104260698261e-17</v>
      </c>
      <c r="BP80" s="27">
        <f>IF(VLOOKUP($Q80,武学奇术!$A:$ZZ,22,FALSE)=1,0,(1-$BI80))*(1-$BL80)</f>
        <v>0.00282254999999999</v>
      </c>
      <c r="BQ80" s="27" cm="1">
        <f t="array" ref="BQ80">SUM(_xlfn.XLOOKUP(R80:AF80,增益!$A:$A,增益!$W:$W,0))+$I$5</f>
        <v>0.11</v>
      </c>
    </row>
    <row r="81" spans="5:69">
      <c r="K81" s="41">
        <f t="shared" si="11"/>
        <v>75123.3812134171</v>
      </c>
      <c r="L81" s="41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弹道",$B$21,0))*(1+$BQ81)</f>
        <v>75108.8596311284</v>
      </c>
      <c r="M81" s="41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弹道",$B$21,0))*(1+$BQ81)</f>
        <v>76874.9026695484</v>
      </c>
      <c r="N81" s="41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弹道",$B$21,0))*(1+$BQ81)</f>
        <v>40599.3835843937</v>
      </c>
      <c r="O81" s="41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弹道",$B$21,0))*(1+$BQ81)</f>
        <v>24254.3948209739</v>
      </c>
      <c r="P81" s="42">
        <v>1</v>
      </c>
      <c r="Q81" s="43" t="s">
        <v>145</v>
      </c>
      <c r="R81" s="43" t="s">
        <v>93</v>
      </c>
      <c r="S81" s="43" t="s">
        <v>158</v>
      </c>
      <c r="T81" s="43" t="s">
        <v>73</v>
      </c>
      <c r="U81" s="43" t="s">
        <v>86</v>
      </c>
      <c r="V81" s="43" t="s">
        <v>98</v>
      </c>
      <c r="W81" s="43" t="s">
        <v>73</v>
      </c>
      <c r="X81" s="43" t="s">
        <v>73</v>
      </c>
      <c r="Y81" s="43" t="s">
        <v>112</v>
      </c>
      <c r="Z81" s="43" t="s">
        <v>73</v>
      </c>
      <c r="AA81" s="43" t="s">
        <v>73</v>
      </c>
      <c r="AB81" s="43" t="s">
        <v>73</v>
      </c>
      <c r="AC81" s="43" t="s">
        <v>73</v>
      </c>
      <c r="AD81" s="43" t="s">
        <v>73</v>
      </c>
      <c r="AE81" s="43" t="s">
        <v>73</v>
      </c>
      <c r="AF81" s="43" t="s">
        <v>75</v>
      </c>
      <c r="AG81" t="str">
        <f>VLOOKUP($Q81,武学奇术!$A:$ZZ,25,FALSE)</f>
        <v>扇</v>
      </c>
      <c r="AH81" s="27">
        <f>VLOOKUP($Q81,武学奇术!$A:$ZZ,26,FALSE)</f>
        <v>2.76138</v>
      </c>
      <c r="AI81" s="28">
        <f>VLOOKUP($Q81,武学奇术!$A:$ZZ,27,FALSE)*(1+IF(OR($AG81=$F$4,$AG81=$F$5),$B$22,0))</f>
        <v>1069.81</v>
      </c>
      <c r="AJ81" s="27">
        <f>VLOOKUP($Q81,武学奇术!$A:$ZZ,28,FALSE)</f>
        <v>4.14207</v>
      </c>
      <c r="AK81" s="28">
        <f>VLOOKUP($Q81,武学奇术!$A:$ZZ,29,FALSE)*(1+IF(OR($AG81=$F$4,$AG81=$F$5),$B$22,0))</f>
        <v>582.61</v>
      </c>
      <c r="AL81" s="27" cm="1">
        <f t="array" ref="AL81">$G$3+IFERROR(VLOOKUP($AG81,$F$4:$G$7,2,FALSE),0)+VLOOKUP($Q81,武学奇术!$A:$ZZ,2,FALSE)+SUM(_xlfn.XLOOKUP($R81:$AF81,增益!$A:$A,增益!$B:$B,0))</f>
        <v>0.6389</v>
      </c>
      <c r="AM81" s="27" cm="1">
        <f t="array" ref="AM81">VLOOKUP($Q81,武学奇术!$A:$ZZ,5,FALSE)+SUM(_xlfn.XLOOKUP($R81:$AF81,增益!$A:$A,增益!$E:$E,0))</f>
        <v>0.075</v>
      </c>
      <c r="AN81" cm="1">
        <f t="array" ref="AN81">$D$10*(1+$AM81)+VLOOKUP($Q81,武学奇术!$A:$ZZ,3,FALSE)+SUM(_xlfn.XLOOKUP($R81:$AF81,增益!$A:$A,增益!$C:$C,0))-$I$2</f>
        <v>1888.7275</v>
      </c>
      <c r="AO81" cm="1">
        <f t="array" ref="AO81">$E$10*(1+$AM81)+VLOOKUP($Q81,武学奇术!$A:$ZZ,4,FALSE)+SUM(_xlfn.XLOOKUP($R81:$AF81,增益!$A:$A,增益!$D:$D,0))-$I$2</f>
        <v>5625.2125</v>
      </c>
      <c r="AP81" s="35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0.3675</v>
      </c>
      <c r="AQ81" s="35" cm="1">
        <f t="array" ref="AQ81">$G$10+VLOOKUP($Q81,武学奇术!$A:$ZZ,7,FALSE)+SUM(_xlfn.XLOOKUP(R81:AF81,增益!$A:$A,增益!$G:$G,0))</f>
        <v>0.1</v>
      </c>
      <c r="AR81" s="27" cm="1">
        <f t="array" ref="AR81">VLOOKUP($Q81,武学奇术!$A:$ZZ,8,FALSE)+SUM(_xlfn.XLOOKUP(R81:AF81,增益!$A:$A,增益!$H:$H,0))</f>
        <v>0</v>
      </c>
      <c r="AS81">
        <f t="shared" si="12"/>
        <v>0</v>
      </c>
      <c r="AT81">
        <f t="shared" si="13"/>
        <v>0</v>
      </c>
      <c r="AU81" s="35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35" cm="1">
        <f t="array" ref="AV81">$G$11+VLOOKUP($Q81,武学奇术!$A:$ZZ,10,FALSE)+SUM(_xlfn.XLOOKUP(R81:AF81,增益!$A:$A,增益!$J:$J,0))</f>
        <v>0</v>
      </c>
      <c r="AW81">
        <f t="shared" si="14"/>
        <v>0</v>
      </c>
      <c r="AX81">
        <f t="shared" si="15"/>
        <v>0</v>
      </c>
      <c r="AY81" s="35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-0.3</v>
      </c>
      <c r="AZ81" s="35" cm="1">
        <f t="array" ref="AZ81">$G$12+VLOOKUP($Q81,武学奇术!$A:$ZZ,12,FALSE)+SUM(_xlfn.XLOOKUP(R81:AF81,增益!$A:$A,增益!$L:$L,0))</f>
        <v>0</v>
      </c>
      <c r="BA81">
        <f t="shared" si="16"/>
        <v>538</v>
      </c>
      <c r="BB81">
        <f t="shared" si="17"/>
        <v>1011</v>
      </c>
      <c r="BC81" s="35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0</v>
      </c>
      <c r="BD81" s="35" cm="1">
        <f t="array" ref="BD81">$G$13+VLOOKUP($Q81,武学奇术!$A:$ZZ,14,FALSE)+SUM(_xlfn.XLOOKUP(R81:AF81,增益!$A:$A,增益!$N:$N,0))</f>
        <v>0.25</v>
      </c>
      <c r="BE81">
        <f t="shared" si="18"/>
        <v>0</v>
      </c>
      <c r="BF81">
        <f t="shared" si="19"/>
        <v>0</v>
      </c>
      <c r="BG81" s="35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35" cm="1">
        <f t="array" ref="BH81">$G$14+VLOOKUP($Q81,武学奇术!$A:$ZZ,16,FALSE)+SUM(_xlfn.XLOOKUP(R81:AF81,增益!$A:$A,增益!$P:$P,0))</f>
        <v>0</v>
      </c>
      <c r="BI81" s="27">
        <f>MIN(IF(VLOOKUP($Q81,武学奇术!$A:$ZZ,23,FALSE)=1,100%,$B$8),100%)</f>
        <v>0.9969</v>
      </c>
      <c r="BJ81" s="27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0.9137</v>
      </c>
      <c r="BK81" s="27" cm="1">
        <f t="array" ref="BK81">1+$B$13+VLOOKUP($Q81,武学奇术!$A:$ZZ,18,FALSE)+SUM(_xlfn.XLOOKUP(R81:AF81,增益!$A:$A,增益!$R:$R,0))</f>
        <v>1.85</v>
      </c>
      <c r="BL81" s="27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0.0895</v>
      </c>
      <c r="BM81" s="27" cm="1">
        <f t="array" ref="BM81">1+$B$14+VLOOKUP($Q81,武学奇术!$A:$ZZ,20,FALSE)+SUM(_xlfn.XLOOKUP(R81:AF81,增益!$A:$A,增益!$T:$T,0))</f>
        <v>1.35</v>
      </c>
      <c r="BN81" s="27">
        <f t="shared" si="20"/>
        <v>0.90767745</v>
      </c>
      <c r="BO81" s="27">
        <f t="shared" si="21"/>
        <v>-1.30104260698261e-17</v>
      </c>
      <c r="BP81" s="27">
        <f>IF(VLOOKUP($Q81,武学奇术!$A:$ZZ,22,FALSE)=1,0,(1-$BI81))*(1-$BL81)</f>
        <v>0.00282254999999999</v>
      </c>
      <c r="BQ81" s="27" cm="1">
        <f t="array" ref="BQ81">SUM(_xlfn.XLOOKUP(R81:AF81,增益!$A:$A,增益!$W:$W,0))+$I$5</f>
        <v>0.11</v>
      </c>
    </row>
    <row r="82" spans="5:69">
      <c r="K82" s="41">
        <f t="shared" si="11"/>
        <v>23996.410184327</v>
      </c>
      <c r="L82" s="41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弹道",$B$21,0))*(1+$BQ82)</f>
        <v>23992.5781787775</v>
      </c>
      <c r="M82" s="41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弹道",$B$21,0))*(1+$BQ82)</f>
        <v>24547.4890039546</v>
      </c>
      <c r="N82" s="41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弹道",$B$21,0))*(1+$BQ82)</f>
        <v>12968.9611777176</v>
      </c>
      <c r="O82" s="41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弹道",$B$21,0))*(1+$BQ82)</f>
        <v>7754.59716732062</v>
      </c>
      <c r="P82" s="42">
        <v>1</v>
      </c>
      <c r="Q82" s="43" t="s">
        <v>127</v>
      </c>
      <c r="R82" s="43" t="s">
        <v>93</v>
      </c>
      <c r="S82" s="43" t="s">
        <v>158</v>
      </c>
      <c r="T82" s="43" t="s">
        <v>73</v>
      </c>
      <c r="U82" s="43" t="s">
        <v>86</v>
      </c>
      <c r="V82" s="43" t="s">
        <v>73</v>
      </c>
      <c r="W82" s="43" t="s">
        <v>73</v>
      </c>
      <c r="X82" s="43" t="s">
        <v>73</v>
      </c>
      <c r="Y82" s="43" t="s">
        <v>112</v>
      </c>
      <c r="Z82" s="43" t="s">
        <v>73</v>
      </c>
      <c r="AA82" s="43" t="s">
        <v>73</v>
      </c>
      <c r="AB82" s="43" t="s">
        <v>73</v>
      </c>
      <c r="AC82" s="43" t="s">
        <v>73</v>
      </c>
      <c r="AD82" s="43" t="s">
        <v>73</v>
      </c>
      <c r="AE82" s="43" t="s">
        <v>73</v>
      </c>
      <c r="AF82" s="43" t="s">
        <v>75</v>
      </c>
      <c r="AG82" t="str">
        <f>VLOOKUP($Q82,武学奇术!$A:$ZZ,25,FALSE)</f>
        <v>扇</v>
      </c>
      <c r="AH82" s="27">
        <f>VLOOKUP($Q82,武学奇术!$A:$ZZ,26,FALSE)</f>
        <v>1.2798</v>
      </c>
      <c r="AI82" s="28">
        <f>VLOOKUP($Q82,武学奇术!$A:$ZZ,27,FALSE)*(1+IF(OR($AG82=$F$4,$AG82=$F$5),$B$22,0))</f>
        <v>497</v>
      </c>
      <c r="AJ82" s="27">
        <f>VLOOKUP($Q82,武学奇术!$A:$ZZ,28,FALSE)</f>
        <v>1.9197</v>
      </c>
      <c r="AK82" s="28">
        <f>VLOOKUP($Q82,武学奇术!$A:$ZZ,29,FALSE)*(1+IF(OR($AG82=$F$4,$AG82=$F$5),$B$22,0))</f>
        <v>270.2</v>
      </c>
      <c r="AL82" s="27" cm="1">
        <f t="array" ref="AL82">$G$3+IFERROR(VLOOKUP($AG82,$F$4:$G$7,2,FALSE),0)+VLOOKUP($Q82,武学奇术!$A:$ZZ,2,FALSE)+SUM(_xlfn.XLOOKUP($R82:$AF82,增益!$A:$A,增益!$B:$B,0))</f>
        <v>0.2389</v>
      </c>
      <c r="AM82" s="27" cm="1">
        <f t="array" ref="AM82">VLOOKUP($Q82,武学奇术!$A:$ZZ,5,FALSE)+SUM(_xlfn.XLOOKUP($R82:$AF82,增益!$A:$A,增益!$E:$E,0))</f>
        <v>0.075</v>
      </c>
      <c r="AN82" cm="1">
        <f t="array" ref="AN82">$D$10*(1+$AM82)+VLOOKUP($Q82,武学奇术!$A:$ZZ,3,FALSE)+SUM(_xlfn.XLOOKUP($R82:$AF82,增益!$A:$A,增益!$C:$C,0))-$I$2</f>
        <v>1888.7275</v>
      </c>
      <c r="AO82" cm="1">
        <f t="array" ref="AO82">$E$10*(1+$AM82)+VLOOKUP($Q82,武学奇术!$A:$ZZ,4,FALSE)+SUM(_xlfn.XLOOKUP($R82:$AF82,增益!$A:$A,增益!$D:$D,0))-$I$2</f>
        <v>5625.2125</v>
      </c>
      <c r="AP82" s="35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0.3675</v>
      </c>
      <c r="AQ82" s="35" cm="1">
        <f t="array" ref="AQ82">$G$10+VLOOKUP($Q82,武学奇术!$A:$ZZ,7,FALSE)+SUM(_xlfn.XLOOKUP(R82:AF82,增益!$A:$A,增益!$G:$G,0))</f>
        <v>0</v>
      </c>
      <c r="AR82" s="27" cm="1">
        <f t="array" ref="AR82">VLOOKUP($Q82,武学奇术!$A:$ZZ,8,FALSE)+SUM(_xlfn.XLOOKUP(R82:AF82,增益!$A:$A,增益!$H:$H,0))</f>
        <v>0</v>
      </c>
      <c r="AS82">
        <f t="shared" si="12"/>
        <v>0</v>
      </c>
      <c r="AT82">
        <f t="shared" si="13"/>
        <v>0</v>
      </c>
      <c r="AU82" s="35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35" cm="1">
        <f t="array" ref="AV82">$G$11+VLOOKUP($Q82,武学奇术!$A:$ZZ,10,FALSE)+SUM(_xlfn.XLOOKUP(R82:AF82,增益!$A:$A,增益!$J:$J,0))</f>
        <v>0</v>
      </c>
      <c r="AW82">
        <f t="shared" si="14"/>
        <v>0</v>
      </c>
      <c r="AX82">
        <f t="shared" si="15"/>
        <v>0</v>
      </c>
      <c r="AY82" s="35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-0.3</v>
      </c>
      <c r="AZ82" s="35" cm="1">
        <f t="array" ref="AZ82">$G$12+VLOOKUP($Q82,武学奇术!$A:$ZZ,12,FALSE)+SUM(_xlfn.XLOOKUP(R82:AF82,增益!$A:$A,增益!$L:$L,0))</f>
        <v>0</v>
      </c>
      <c r="BA82">
        <f t="shared" si="16"/>
        <v>538</v>
      </c>
      <c r="BB82">
        <f t="shared" si="17"/>
        <v>1011</v>
      </c>
      <c r="BC82" s="35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0</v>
      </c>
      <c r="BD82" s="35" cm="1">
        <f t="array" ref="BD82">$G$13+VLOOKUP($Q82,武学奇术!$A:$ZZ,14,FALSE)+SUM(_xlfn.XLOOKUP(R82:AF82,增益!$A:$A,增益!$N:$N,0))</f>
        <v>0.15</v>
      </c>
      <c r="BE82">
        <f t="shared" si="18"/>
        <v>0</v>
      </c>
      <c r="BF82">
        <f t="shared" si="19"/>
        <v>0</v>
      </c>
      <c r="BG82" s="35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-0.3</v>
      </c>
      <c r="BH82" s="35" cm="1">
        <f t="array" ref="BH82">$G$14+VLOOKUP($Q82,武学奇术!$A:$ZZ,16,FALSE)+SUM(_xlfn.XLOOKUP(R82:AF82,增益!$A:$A,增益!$P:$P,0))</f>
        <v>0</v>
      </c>
      <c r="BI82" s="27">
        <f>MIN(IF(VLOOKUP($Q82,武学奇术!$A:$ZZ,23,FALSE)=1,100%,$B$8),100%)</f>
        <v>0.9969</v>
      </c>
      <c r="BJ82" s="27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0.9137</v>
      </c>
      <c r="BK82" s="27" cm="1">
        <f t="array" ref="BK82">1+$B$13+VLOOKUP($Q82,武学奇术!$A:$ZZ,18,FALSE)+SUM(_xlfn.XLOOKUP(R82:AF82,增益!$A:$A,增益!$R:$R,0))</f>
        <v>1.85</v>
      </c>
      <c r="BL82" s="27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0.0895</v>
      </c>
      <c r="BM82" s="27" cm="1">
        <f t="array" ref="BM82">1+$B$14+VLOOKUP($Q82,武学奇术!$A:$ZZ,20,FALSE)+SUM(_xlfn.XLOOKUP(R82:AF82,增益!$A:$A,增益!$T:$T,0))</f>
        <v>1.35</v>
      </c>
      <c r="BN82" s="27">
        <f t="shared" si="20"/>
        <v>0.90767745</v>
      </c>
      <c r="BO82" s="27">
        <f t="shared" si="21"/>
        <v>-1.30104260698261e-17</v>
      </c>
      <c r="BP82" s="27">
        <f>IF(VLOOKUP($Q82,武学奇术!$A:$ZZ,22,FALSE)=1,0,(1-$BI82))*(1-$BL82)</f>
        <v>0.00282254999999999</v>
      </c>
      <c r="BQ82" s="27" cm="1">
        <f t="array" ref="BQ82">SUM(_xlfn.XLOOKUP(R82:AF82,增益!$A:$A,增益!$W:$W,0))+$I$5</f>
        <v>0.11</v>
      </c>
    </row>
    <row r="83" spans="5:69">
      <c r="K83" s="41">
        <f t="shared" si="11"/>
        <v>114452.480103878</v>
      </c>
      <c r="L83" s="41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弹道",$B$21,0))*(1+$BQ83)</f>
        <v>116180.880365425</v>
      </c>
      <c r="M83" s="41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弹道",$B$21,0))*(1+$BQ83)</f>
        <v>99542.6881943182</v>
      </c>
      <c r="N83" s="41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弹道",$B$21,0))*(1+$BQ83)</f>
        <v>52570.5341020024</v>
      </c>
      <c r="O83" s="41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弹道",$B$21,0))*(1+$BQ83)</f>
        <v>31405.743615621</v>
      </c>
      <c r="P83" s="42">
        <v>1</v>
      </c>
      <c r="Q83" s="43" t="s">
        <v>133</v>
      </c>
      <c r="R83" s="43" t="s">
        <v>93</v>
      </c>
      <c r="S83" s="43" t="s">
        <v>158</v>
      </c>
      <c r="T83" s="43" t="s">
        <v>73</v>
      </c>
      <c r="U83" s="43" t="s">
        <v>86</v>
      </c>
      <c r="V83" s="43" t="s">
        <v>134</v>
      </c>
      <c r="W83" s="43" t="s">
        <v>73</v>
      </c>
      <c r="X83" s="43" t="s">
        <v>73</v>
      </c>
      <c r="Y83" s="43" t="s">
        <v>112</v>
      </c>
      <c r="Z83" s="43" t="s">
        <v>73</v>
      </c>
      <c r="AA83" s="43" t="s">
        <v>73</v>
      </c>
      <c r="AB83" s="43" t="s">
        <v>73</v>
      </c>
      <c r="AC83" s="43" t="s">
        <v>73</v>
      </c>
      <c r="AD83" s="43" t="s">
        <v>73</v>
      </c>
      <c r="AE83" s="43" t="s">
        <v>73</v>
      </c>
      <c r="AF83" s="43" t="s">
        <v>75</v>
      </c>
      <c r="AG83" t="str">
        <f>VLOOKUP($Q83,武学奇术!$A:$ZZ,25,FALSE)</f>
        <v>扇</v>
      </c>
      <c r="AH83" s="27">
        <f>VLOOKUP($Q83,武学奇术!$A:$ZZ,26,FALSE)</f>
        <v>4.376825</v>
      </c>
      <c r="AI83" s="28">
        <f>VLOOKUP($Q83,武学奇术!$A:$ZZ,27,FALSE)*(1+IF(OR($AG83=$F$4,$AG83=$F$5),$B$22,0))</f>
        <v>1695.05</v>
      </c>
      <c r="AJ83" s="27">
        <f>VLOOKUP($Q83,武学奇术!$A:$ZZ,28,FALSE)</f>
        <v>6.56531</v>
      </c>
      <c r="AK83" s="28">
        <f>VLOOKUP($Q83,武学奇术!$A:$ZZ,29,FALSE)*(1+IF(OR($AG83=$F$4,$AG83=$F$5),$B$22,0))</f>
        <v>923.65</v>
      </c>
      <c r="AL83" s="27" cm="1">
        <f t="array" ref="AL83">$G$3+IFERROR(VLOOKUP($AG83,$F$4:$G$7,2,FALSE),0)+VLOOKUP($Q83,武学奇术!$A:$ZZ,2,FALSE)+SUM(_xlfn.XLOOKUP($R83:$AF83,增益!$A:$A,增益!$B:$B,0))</f>
        <v>0.3389</v>
      </c>
      <c r="AM83" s="27" cm="1">
        <f t="array" ref="AM83">VLOOKUP($Q83,武学奇术!$A:$ZZ,5,FALSE)+SUM(_xlfn.XLOOKUP($R83:$AF83,增益!$A:$A,增益!$E:$E,0))</f>
        <v>0.075</v>
      </c>
      <c r="AN83" cm="1">
        <f t="array" ref="AN83">$D$10*(1+$AM83)+VLOOKUP($Q83,武学奇术!$A:$ZZ,3,FALSE)+SUM(_xlfn.XLOOKUP($R83:$AF83,增益!$A:$A,增益!$C:$C,0))-$I$2</f>
        <v>1888.7275</v>
      </c>
      <c r="AO83" cm="1">
        <f t="array" ref="AO83">$E$10*(1+$AM83)+VLOOKUP($Q83,武学奇术!$A:$ZZ,4,FALSE)+SUM(_xlfn.XLOOKUP($R83:$AF83,增益!$A:$A,增益!$D:$D,0))-$I$2</f>
        <v>5625.2125</v>
      </c>
      <c r="AP83" s="35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0.3675</v>
      </c>
      <c r="AQ83" s="35" cm="1">
        <f t="array" ref="AQ83">$G$10+VLOOKUP($Q83,武学奇术!$A:$ZZ,7,FALSE)+SUM(_xlfn.XLOOKUP(R83:AF83,增益!$A:$A,增益!$G:$G,0))</f>
        <v>0.1</v>
      </c>
      <c r="AR83" s="27" cm="1">
        <f t="array" ref="AR83">VLOOKUP($Q83,武学奇术!$A:$ZZ,8,FALSE)+SUM(_xlfn.XLOOKUP(R83:AF83,增益!$A:$A,增益!$H:$H,0))</f>
        <v>0</v>
      </c>
      <c r="AS83">
        <f t="shared" si="12"/>
        <v>0</v>
      </c>
      <c r="AT83">
        <f t="shared" si="13"/>
        <v>0</v>
      </c>
      <c r="AU83" s="35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35" cm="1">
        <f t="array" ref="AV83">$G$11+VLOOKUP($Q83,武学奇术!$A:$ZZ,10,FALSE)+SUM(_xlfn.XLOOKUP(R83:AF83,增益!$A:$A,增益!$J:$J,0))</f>
        <v>0</v>
      </c>
      <c r="AW83">
        <f t="shared" si="14"/>
        <v>0</v>
      </c>
      <c r="AX83">
        <f t="shared" si="15"/>
        <v>0</v>
      </c>
      <c r="AY83" s="35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-0.3</v>
      </c>
      <c r="AZ83" s="35" cm="1">
        <f t="array" ref="AZ83">$G$12+VLOOKUP($Q83,武学奇术!$A:$ZZ,12,FALSE)+SUM(_xlfn.XLOOKUP(R83:AF83,增益!$A:$A,增益!$L:$L,0))</f>
        <v>0</v>
      </c>
      <c r="BA83">
        <f t="shared" si="16"/>
        <v>538</v>
      </c>
      <c r="BB83">
        <f t="shared" si="17"/>
        <v>1011</v>
      </c>
      <c r="BC83" s="35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0</v>
      </c>
      <c r="BD83" s="35" cm="1">
        <f t="array" ref="BD83">$G$13+VLOOKUP($Q83,武学奇术!$A:$ZZ,14,FALSE)+SUM(_xlfn.XLOOKUP(R83:AF83,增益!$A:$A,增益!$N:$N,0))</f>
        <v>0.25</v>
      </c>
      <c r="BE83">
        <f t="shared" si="18"/>
        <v>0</v>
      </c>
      <c r="BF83">
        <f t="shared" si="19"/>
        <v>0</v>
      </c>
      <c r="BG83" s="35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-0.3</v>
      </c>
      <c r="BH83" s="35" cm="1">
        <f t="array" ref="BH83">$G$14+VLOOKUP($Q83,武学奇术!$A:$ZZ,16,FALSE)+SUM(_xlfn.XLOOKUP(R83:AF83,增益!$A:$A,增益!$P:$P,0))</f>
        <v>0</v>
      </c>
      <c r="BI83" s="27">
        <f>MIN(IF(VLOOKUP($Q83,武学奇术!$A:$ZZ,23,FALSE)=1,100%,$B$8),100%)</f>
        <v>0.9969</v>
      </c>
      <c r="BJ83" s="27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0.9137</v>
      </c>
      <c r="BK83" s="27" cm="1">
        <f t="array" ref="BK83">1+$B$13+VLOOKUP($Q83,武学奇术!$A:$ZZ,18,FALSE)+SUM(_xlfn.XLOOKUP(R83:AF83,增益!$A:$A,增益!$R:$R,0))</f>
        <v>2.21</v>
      </c>
      <c r="BL83" s="27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0.0895</v>
      </c>
      <c r="BM83" s="27" cm="1">
        <f t="array" ref="BM83">1+$B$14+VLOOKUP($Q83,武学奇术!$A:$ZZ,20,FALSE)+SUM(_xlfn.XLOOKUP(R83:AF83,增益!$A:$A,增益!$T:$T,0))</f>
        <v>1.35</v>
      </c>
      <c r="BN83" s="27">
        <f t="shared" si="20"/>
        <v>0.90767745</v>
      </c>
      <c r="BO83" s="27">
        <f t="shared" si="21"/>
        <v>-1.30104260698261e-17</v>
      </c>
      <c r="BP83" s="27">
        <f>IF(VLOOKUP($Q83,武学奇术!$A:$ZZ,22,FALSE)=1,0,(1-$BI83))*(1-$BL83)</f>
        <v>0.00282254999999999</v>
      </c>
      <c r="BQ83" s="27" cm="1">
        <f t="array" ref="BQ83">SUM(_xlfn.XLOOKUP(R83:AF83,增益!$A:$A,增益!$W:$W,0))+$I$5</f>
        <v>0.11</v>
      </c>
    </row>
    <row r="84" spans="5:69">
      <c r="K84" s="41">
        <f t="shared" si="11"/>
        <v>60795.37486209</v>
      </c>
      <c r="L84" s="41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弹道",$B$21,0))*(1+$BQ84)</f>
        <v>61111.6371786383</v>
      </c>
      <c r="M84" s="41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弹道",$B$21,0))*(1+$BQ84)</f>
        <v>58914.9389805774</v>
      </c>
      <c r="N84" s="41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弹道",$B$21,0))*(1+$BQ84)</f>
        <v>31179.406723795</v>
      </c>
      <c r="O84" s="41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弹道",$B$21,0))*(1+$BQ84)</f>
        <v>18718.1179064216</v>
      </c>
      <c r="P84" s="42">
        <v>1</v>
      </c>
      <c r="Q84" s="43" t="s">
        <v>97</v>
      </c>
      <c r="R84" s="43" t="s">
        <v>93</v>
      </c>
      <c r="S84" s="43" t="s">
        <v>158</v>
      </c>
      <c r="T84" s="43" t="s">
        <v>102</v>
      </c>
      <c r="U84" s="43" t="s">
        <v>86</v>
      </c>
      <c r="V84" s="43" t="s">
        <v>73</v>
      </c>
      <c r="W84" s="43" t="s">
        <v>73</v>
      </c>
      <c r="X84" s="43" t="s">
        <v>73</v>
      </c>
      <c r="Y84" s="43" t="s">
        <v>73</v>
      </c>
      <c r="Z84" s="43" t="s">
        <v>73</v>
      </c>
      <c r="AA84" s="43" t="s">
        <v>73</v>
      </c>
      <c r="AB84" s="43" t="s">
        <v>73</v>
      </c>
      <c r="AC84" s="43" t="s">
        <v>73</v>
      </c>
      <c r="AD84" s="43" t="s">
        <v>73</v>
      </c>
      <c r="AE84" s="43" t="s">
        <v>73</v>
      </c>
      <c r="AF84" s="43" t="s">
        <v>75</v>
      </c>
      <c r="AG84" t="str">
        <f>VLOOKUP($Q84,武学奇术!$A:$ZZ,25,FALSE)</f>
        <v>伞</v>
      </c>
      <c r="AH84" s="27">
        <f>VLOOKUP($Q84,武学奇术!$A:$ZZ,26,FALSE)</f>
        <v>2.3397</v>
      </c>
      <c r="AI84" s="28">
        <f>VLOOKUP($Q84,武学奇术!$A:$ZZ,27,FALSE)*(1+IF(OR($AG84=$F$4,$AG84=$F$5),$B$22,0))</f>
        <v>907.2</v>
      </c>
      <c r="AJ84" s="27">
        <f>VLOOKUP($Q84,武学奇术!$A:$ZZ,28,FALSE)</f>
        <v>3.5095</v>
      </c>
      <c r="AK84" s="28">
        <f>VLOOKUP($Q84,武学奇术!$A:$ZZ,29,FALSE)*(1+IF(OR($AG84=$F$4,$AG84=$F$5),$B$22,0))</f>
        <v>494.2</v>
      </c>
      <c r="AL84" s="27" cm="1">
        <f t="array" ref="AL84">$G$3+IFERROR(VLOOKUP($AG84,$F$4:$G$7,2,FALSE),0)+VLOOKUP($Q84,武学奇术!$A:$ZZ,2,FALSE)+SUM(_xlfn.XLOOKUP($R84:$AF84,增益!$A:$A,增益!$B:$B,0))</f>
        <v>0.5741</v>
      </c>
      <c r="AM84" s="27" cm="1">
        <f t="array" ref="AM84">VLOOKUP($Q84,武学奇术!$A:$ZZ,5,FALSE)+SUM(_xlfn.XLOOKUP($R84:$AF84,增益!$A:$A,增益!$E:$E,0))</f>
        <v>0.075</v>
      </c>
      <c r="AN84" cm="1">
        <f t="array" ref="AN84">$D$10*(1+$AM84)+VLOOKUP($Q84,武学奇术!$A:$ZZ,3,FALSE)+SUM(_xlfn.XLOOKUP($R84:$AF84,增益!$A:$A,增益!$C:$C,0))-$I$2</f>
        <v>1888.7275</v>
      </c>
      <c r="AO84" cm="1">
        <f t="array" ref="AO84">$E$10*(1+$AM84)+VLOOKUP($Q84,武学奇术!$A:$ZZ,4,FALSE)+SUM(_xlfn.XLOOKUP($R84:$AF84,增益!$A:$A,增益!$D:$D,0))-$I$2</f>
        <v>5625.2125</v>
      </c>
      <c r="AP84" s="35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0.2675</v>
      </c>
      <c r="AQ84" s="35" cm="1">
        <f t="array" ref="AQ84">$G$10+VLOOKUP($Q84,武学奇术!$A:$ZZ,7,FALSE)+SUM(_xlfn.XLOOKUP(R84:AF84,增益!$A:$A,增益!$G:$G,0))</f>
        <v>0.1</v>
      </c>
      <c r="AR84" s="27" cm="1">
        <f t="array" ref="AR84">VLOOKUP($Q84,武学奇术!$A:$ZZ,8,FALSE)+SUM(_xlfn.XLOOKUP(R84:AF84,增益!$A:$A,增益!$H:$H,0))</f>
        <v>0</v>
      </c>
      <c r="AS84">
        <f t="shared" si="12"/>
        <v>0</v>
      </c>
      <c r="AT84">
        <f t="shared" si="13"/>
        <v>0</v>
      </c>
      <c r="AU84" s="35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-0.3</v>
      </c>
      <c r="AV84" s="35" cm="1">
        <f t="array" ref="AV84">$G$11+VLOOKUP($Q84,武学奇术!$A:$ZZ,10,FALSE)+SUM(_xlfn.XLOOKUP(R84:AF84,增益!$A:$A,增益!$J:$J,0))</f>
        <v>0</v>
      </c>
      <c r="AW84">
        <f t="shared" si="14"/>
        <v>0</v>
      </c>
      <c r="AX84">
        <f t="shared" si="15"/>
        <v>0</v>
      </c>
      <c r="AY84" s="35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-0.3</v>
      </c>
      <c r="AZ84" s="35" cm="1">
        <f t="array" ref="AZ84">$G$12+VLOOKUP($Q84,武学奇术!$A:$ZZ,12,FALSE)+SUM(_xlfn.XLOOKUP(R84:AF84,增益!$A:$A,增益!$L:$L,0))</f>
        <v>0</v>
      </c>
      <c r="BA84">
        <f t="shared" si="16"/>
        <v>538</v>
      </c>
      <c r="BB84">
        <f t="shared" si="17"/>
        <v>1011</v>
      </c>
      <c r="BC84" s="35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0</v>
      </c>
      <c r="BD84" s="35" cm="1">
        <f t="array" ref="BD84">$G$13+VLOOKUP($Q84,武学奇术!$A:$ZZ,14,FALSE)+SUM(_xlfn.XLOOKUP(R84:AF84,增益!$A:$A,增益!$N:$N,0))</f>
        <v>0.25</v>
      </c>
      <c r="BE84">
        <f t="shared" si="18"/>
        <v>0</v>
      </c>
      <c r="BF84">
        <f t="shared" si="19"/>
        <v>0</v>
      </c>
      <c r="BG84" s="35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-0.3</v>
      </c>
      <c r="BH84" s="35" cm="1">
        <f t="array" ref="BH84">$G$14+VLOOKUP($Q84,武学奇术!$A:$ZZ,16,FALSE)+SUM(_xlfn.XLOOKUP(R84:AF84,增益!$A:$A,增益!$P:$P,0))</f>
        <v>0</v>
      </c>
      <c r="BI84" s="27">
        <f>MIN(IF(VLOOKUP($Q84,武学奇术!$A:$ZZ,23,FALSE)=1,100%,$B$8),100%)</f>
        <v>0.9969</v>
      </c>
      <c r="BJ84" s="27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0.9137</v>
      </c>
      <c r="BK84" s="27" cm="1">
        <f t="array" ref="BK84">1+$B$13+VLOOKUP($Q84,武学奇术!$A:$ZZ,18,FALSE)+SUM(_xlfn.XLOOKUP(R84:AF84,增益!$A:$A,增益!$R:$R,0))</f>
        <v>1.96</v>
      </c>
      <c r="BL84" s="27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0.0895</v>
      </c>
      <c r="BM84" s="27" cm="1">
        <f t="array" ref="BM84">1+$B$14+VLOOKUP($Q84,武学奇术!$A:$ZZ,20,FALSE)+SUM(_xlfn.XLOOKUP(R84:AF84,增益!$A:$A,增益!$T:$T,0))</f>
        <v>1.35</v>
      </c>
      <c r="BN84" s="27">
        <f t="shared" si="20"/>
        <v>0.90767745</v>
      </c>
      <c r="BO84" s="27">
        <f t="shared" si="21"/>
        <v>-1.30104260698261e-17</v>
      </c>
      <c r="BP84" s="27">
        <f>IF(VLOOKUP($Q84,武学奇术!$A:$ZZ,22,FALSE)=1,0,(1-$BI84))*(1-$BL84)</f>
        <v>0.00282254999999999</v>
      </c>
      <c r="BQ84" s="27" cm="1">
        <f t="array" ref="BQ84">SUM(_xlfn.XLOOKUP(R84:AF84,增益!$A:$A,增益!$W:$W,0))+$I$5</f>
        <v>0.11</v>
      </c>
    </row>
    <row r="85" spans="5:69">
      <c r="K85" s="41">
        <f t="shared" si="11"/>
        <v>30466.229558668</v>
      </c>
      <c r="L85" s="41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弹道",$B$21,0))*(1+$BQ85)</f>
        <v>30034.3891508242</v>
      </c>
      <c r="M85" s="41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弹道",$B$21,0))*(1+$BQ85)</f>
        <v>35450.7770094341</v>
      </c>
      <c r="N85" s="41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弹道",$B$21,0))*(1+$BQ85)</f>
        <v>18771.4932192652</v>
      </c>
      <c r="O85" s="41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弹道",$B$21,0))*(1+$BQ85)</f>
        <v>11283.1516167273</v>
      </c>
      <c r="P85" s="42">
        <v>1</v>
      </c>
      <c r="Q85" s="43" t="s">
        <v>104</v>
      </c>
      <c r="R85" s="43" t="s">
        <v>93</v>
      </c>
      <c r="S85" s="43" t="s">
        <v>158</v>
      </c>
      <c r="T85" s="43" t="s">
        <v>73</v>
      </c>
      <c r="U85" s="43" t="s">
        <v>86</v>
      </c>
      <c r="V85" s="43" t="s">
        <v>73</v>
      </c>
      <c r="W85" s="43" t="s">
        <v>73</v>
      </c>
      <c r="X85" s="43" t="s">
        <v>73</v>
      </c>
      <c r="Y85" s="43" t="s">
        <v>73</v>
      </c>
      <c r="Z85" s="43" t="s">
        <v>73</v>
      </c>
      <c r="AA85" s="43" t="s">
        <v>73</v>
      </c>
      <c r="AB85" s="43" t="s">
        <v>73</v>
      </c>
      <c r="AC85" s="43" t="s">
        <v>73</v>
      </c>
      <c r="AD85" s="43" t="s">
        <v>73</v>
      </c>
      <c r="AE85" s="43" t="s">
        <v>73</v>
      </c>
      <c r="AF85" s="43" t="s">
        <v>75</v>
      </c>
      <c r="AG85" t="str">
        <f>VLOOKUP($Q85,武学奇术!$A:$ZZ,25,FALSE)</f>
        <v>伞</v>
      </c>
      <c r="AH85" s="27">
        <f>VLOOKUP($Q85,武学奇术!$A:$ZZ,26,FALSE)</f>
        <v>1.7001</v>
      </c>
      <c r="AI85" s="28">
        <f>VLOOKUP($Q85,武学奇术!$A:$ZZ,27,FALSE)*(1+IF(OR($AG85=$F$4,$AG85=$F$5),$B$22,0))</f>
        <v>659.4</v>
      </c>
      <c r="AJ85" s="27">
        <f>VLOOKUP($Q85,武学奇术!$A:$ZZ,28,FALSE)</f>
        <v>2.5502</v>
      </c>
      <c r="AK85" s="28">
        <f>VLOOKUP($Q85,武学奇术!$A:$ZZ,29,FALSE)*(1+IF(OR($AG85=$F$4,$AG85=$F$5),$B$22,0))</f>
        <v>358.4</v>
      </c>
      <c r="AL85" s="27" cm="1">
        <f t="array" ref="AL85">$G$3+IFERROR(VLOOKUP($AG85,$F$4:$G$7,2,FALSE),0)+VLOOKUP($Q85,武学奇术!$A:$ZZ,2,FALSE)+SUM(_xlfn.XLOOKUP($R85:$AF85,增益!$A:$A,增益!$B:$B,0))</f>
        <v>0.3241</v>
      </c>
      <c r="AM85" s="27" cm="1">
        <f t="array" ref="AM85">VLOOKUP($Q85,武学奇术!$A:$ZZ,5,FALSE)+SUM(_xlfn.XLOOKUP($R85:$AF85,增益!$A:$A,增益!$E:$E,0))</f>
        <v>0.075</v>
      </c>
      <c r="AN85" cm="1">
        <f t="array" ref="AN85">$D$10*(1+$AM85)+VLOOKUP($Q85,武学奇术!$A:$ZZ,3,FALSE)+SUM(_xlfn.XLOOKUP($R85:$AF85,增益!$A:$A,增益!$C:$C,0))-$I$2</f>
        <v>1888.7275</v>
      </c>
      <c r="AO85" cm="1">
        <f t="array" ref="AO85">$E$10*(1+$AM85)+VLOOKUP($Q85,武学奇术!$A:$ZZ,4,FALSE)+SUM(_xlfn.XLOOKUP($R85:$AF85,增益!$A:$A,增益!$D:$D,0))-$I$2</f>
        <v>5625.2125</v>
      </c>
      <c r="AP85" s="35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0.2425</v>
      </c>
      <c r="AQ85" s="35" cm="1">
        <f t="array" ref="AQ85">$G$10+VLOOKUP($Q85,武学奇术!$A:$ZZ,7,FALSE)+SUM(_xlfn.XLOOKUP(R85:AF85,增益!$A:$A,增益!$G:$G,0))</f>
        <v>0.1</v>
      </c>
      <c r="AR85" s="27" cm="1">
        <f t="array" ref="AR85">VLOOKUP($Q85,武学奇术!$A:$ZZ,8,FALSE)+SUM(_xlfn.XLOOKUP(R85:AF85,增益!$A:$A,增益!$H:$H,0))</f>
        <v>0</v>
      </c>
      <c r="AS85">
        <f t="shared" si="12"/>
        <v>0</v>
      </c>
      <c r="AT85">
        <f t="shared" si="13"/>
        <v>0</v>
      </c>
      <c r="AU85" s="35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-0.3</v>
      </c>
      <c r="AV85" s="35" cm="1">
        <f t="array" ref="AV85">$G$11+VLOOKUP($Q85,武学奇术!$A:$ZZ,10,FALSE)+SUM(_xlfn.XLOOKUP(R85:AF85,增益!$A:$A,增益!$J:$J,0))</f>
        <v>0</v>
      </c>
      <c r="AW85">
        <f t="shared" si="14"/>
        <v>0</v>
      </c>
      <c r="AX85">
        <f t="shared" si="15"/>
        <v>0</v>
      </c>
      <c r="AY85" s="35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-0.3</v>
      </c>
      <c r="AZ85" s="35" cm="1">
        <f t="array" ref="AZ85">$G$12+VLOOKUP($Q85,武学奇术!$A:$ZZ,12,FALSE)+SUM(_xlfn.XLOOKUP(R85:AF85,增益!$A:$A,增益!$L:$L,0))</f>
        <v>0</v>
      </c>
      <c r="BA85">
        <f t="shared" si="16"/>
        <v>538</v>
      </c>
      <c r="BB85">
        <f t="shared" si="17"/>
        <v>1011</v>
      </c>
      <c r="BC85" s="35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0</v>
      </c>
      <c r="BD85" s="35" cm="1">
        <f t="array" ref="BD85">$G$13+VLOOKUP($Q85,武学奇术!$A:$ZZ,14,FALSE)+SUM(_xlfn.XLOOKUP(R85:AF85,增益!$A:$A,增益!$N:$N,0))</f>
        <v>0.25</v>
      </c>
      <c r="BE85">
        <f t="shared" si="18"/>
        <v>0</v>
      </c>
      <c r="BF85">
        <f t="shared" si="19"/>
        <v>0</v>
      </c>
      <c r="BG85" s="35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-0.3</v>
      </c>
      <c r="BH85" s="35" cm="1">
        <f t="array" ref="BH85">$G$14+VLOOKUP($Q85,武学奇术!$A:$ZZ,16,FALSE)+SUM(_xlfn.XLOOKUP(R85:AF85,增益!$A:$A,增益!$P:$P,0))</f>
        <v>0</v>
      </c>
      <c r="BI85" s="27">
        <f>MIN(IF(VLOOKUP($Q85,武学奇术!$A:$ZZ,23,FALSE)=1,100%,$B$8),100%)</f>
        <v>0.9969</v>
      </c>
      <c r="BJ85" s="27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0.9137</v>
      </c>
      <c r="BK85" s="27" cm="1">
        <f t="array" ref="BK85">1+$B$13+VLOOKUP($Q85,武学奇术!$A:$ZZ,18,FALSE)+SUM(_xlfn.XLOOKUP(R85:AF85,增益!$A:$A,增益!$R:$R,0))</f>
        <v>1.6</v>
      </c>
      <c r="BL85" s="27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0.0895</v>
      </c>
      <c r="BM85" s="27" cm="1">
        <f t="array" ref="BM85">1+$B$14+VLOOKUP($Q85,武学奇术!$A:$ZZ,20,FALSE)+SUM(_xlfn.XLOOKUP(R85:AF85,增益!$A:$A,增益!$T:$T,0))</f>
        <v>1.35</v>
      </c>
      <c r="BN85" s="27">
        <f t="shared" si="20"/>
        <v>0.90767745</v>
      </c>
      <c r="BO85" s="27">
        <f t="shared" si="21"/>
        <v>-1.30104260698261e-17</v>
      </c>
      <c r="BP85" s="27">
        <f>IF(VLOOKUP($Q85,武学奇术!$A:$ZZ,22,FALSE)=1,0,(1-$BI85))*(1-$BL85)</f>
        <v>0.00282254999999999</v>
      </c>
      <c r="BQ85" s="27" cm="1">
        <f t="array" ref="BQ85">SUM(_xlfn.XLOOKUP(R85:AF85,增益!$A:$A,增益!$W:$W,0))+$I$5</f>
        <v>0.11</v>
      </c>
    </row>
    <row r="86" spans="5:69">
      <c r="K86" s="41">
        <f t="shared" si="11"/>
        <v>12765.6355804572</v>
      </c>
      <c r="L86" s="41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弹道",$B$21,0))*(1+$BQ86)</f>
        <v>12584.4581614105</v>
      </c>
      <c r="M86" s="41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弹道",$B$21,0))*(1+$BQ86)</f>
        <v>14856.6286929719</v>
      </c>
      <c r="N86" s="41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弹道",$B$21,0))*(1+$BQ86)</f>
        <v>7865.28635088156</v>
      </c>
      <c r="O86" s="41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弹道",$B$21,0))*(1+$BQ86)</f>
        <v>4725.66255882096</v>
      </c>
      <c r="P86" s="42">
        <v>1</v>
      </c>
      <c r="Q86" s="43" t="s">
        <v>107</v>
      </c>
      <c r="R86" s="43" t="s">
        <v>93</v>
      </c>
      <c r="S86" s="43" t="s">
        <v>158</v>
      </c>
      <c r="T86" s="43" t="s">
        <v>73</v>
      </c>
      <c r="U86" s="43" t="s">
        <v>86</v>
      </c>
      <c r="V86" s="43" t="s">
        <v>73</v>
      </c>
      <c r="W86" s="43" t="s">
        <v>73</v>
      </c>
      <c r="X86" s="43" t="s">
        <v>73</v>
      </c>
      <c r="Y86" s="43" t="s">
        <v>73</v>
      </c>
      <c r="Z86" s="43" t="s">
        <v>73</v>
      </c>
      <c r="AA86" s="43" t="s">
        <v>73</v>
      </c>
      <c r="AB86" s="43" t="s">
        <v>73</v>
      </c>
      <c r="AC86" s="43" t="s">
        <v>73</v>
      </c>
      <c r="AD86" s="43" t="s">
        <v>73</v>
      </c>
      <c r="AE86" s="43" t="s">
        <v>73</v>
      </c>
      <c r="AF86" s="43" t="s">
        <v>75</v>
      </c>
      <c r="AG86" t="str">
        <f>VLOOKUP($Q86,武学奇术!$A:$ZZ,25,FALSE)</f>
        <v>伞</v>
      </c>
      <c r="AH86" s="27">
        <f>VLOOKUP($Q86,武学奇术!$A:$ZZ,26,FALSE)</f>
        <v>0.54</v>
      </c>
      <c r="AI86" s="28">
        <f>VLOOKUP($Q86,武学奇术!$A:$ZZ,27,FALSE)*(1+IF(OR($AG86=$F$4,$AG86=$F$5),$B$22,0))</f>
        <v>207.2</v>
      </c>
      <c r="AJ86" s="27">
        <f>VLOOKUP($Q86,武学奇术!$A:$ZZ,28,FALSE)</f>
        <v>0.81</v>
      </c>
      <c r="AK86" s="28">
        <f>VLOOKUP($Q86,武学奇术!$A:$ZZ,29,FALSE)*(1+IF(OR($AG86=$F$4,$AG86=$F$5),$B$22,0))</f>
        <v>114.1</v>
      </c>
      <c r="AL86" s="27" cm="1">
        <f t="array" ref="AL86">$G$3+IFERROR(VLOOKUP($AG86,$F$4:$G$7,2,FALSE),0)+VLOOKUP($Q86,武学奇术!$A:$ZZ,2,FALSE)+SUM(_xlfn.XLOOKUP($R86:$AF86,增益!$A:$A,增益!$B:$B,0))</f>
        <v>0.3241</v>
      </c>
      <c r="AM86" s="27" cm="1">
        <f t="array" ref="AM86">VLOOKUP($Q86,武学奇术!$A:$ZZ,5,FALSE)+SUM(_xlfn.XLOOKUP($R86:$AF86,增益!$A:$A,增益!$E:$E,0))</f>
        <v>0.075</v>
      </c>
      <c r="AN86" cm="1">
        <f t="array" ref="AN86">$D$10*(1+$AM86)+VLOOKUP($Q86,武学奇术!$A:$ZZ,3,FALSE)+SUM(_xlfn.XLOOKUP($R86:$AF86,增益!$A:$A,增益!$C:$C,0))-$I$2</f>
        <v>1888.7275</v>
      </c>
      <c r="AO86" cm="1">
        <f t="array" ref="AO86">$E$10*(1+$AM86)+VLOOKUP($Q86,武学奇术!$A:$ZZ,4,FALSE)+SUM(_xlfn.XLOOKUP($R86:$AF86,增益!$A:$A,增益!$D:$D,0))-$I$2</f>
        <v>5625.2125</v>
      </c>
      <c r="AP86" s="35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0.2425</v>
      </c>
      <c r="AQ86" s="35" cm="1">
        <f t="array" ref="AQ86">$G$10+VLOOKUP($Q86,武学奇术!$A:$ZZ,7,FALSE)+SUM(_xlfn.XLOOKUP(R86:AF86,增益!$A:$A,增益!$G:$G,0))</f>
        <v>0.1</v>
      </c>
      <c r="AR86" s="27" cm="1">
        <f t="array" ref="AR86">VLOOKUP($Q86,武学奇术!$A:$ZZ,8,FALSE)+SUM(_xlfn.XLOOKUP(R86:AF86,增益!$A:$A,增益!$H:$H,0))</f>
        <v>0</v>
      </c>
      <c r="AS86">
        <f t="shared" si="12"/>
        <v>0</v>
      </c>
      <c r="AT86">
        <f t="shared" si="13"/>
        <v>0</v>
      </c>
      <c r="AU86" s="35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-0.3</v>
      </c>
      <c r="AV86" s="35" cm="1">
        <f t="array" ref="AV86">$G$11+VLOOKUP($Q86,武学奇术!$A:$ZZ,10,FALSE)+SUM(_xlfn.XLOOKUP(R86:AF86,增益!$A:$A,增益!$J:$J,0))</f>
        <v>0</v>
      </c>
      <c r="AW86">
        <f t="shared" si="14"/>
        <v>0</v>
      </c>
      <c r="AX86">
        <f t="shared" si="15"/>
        <v>0</v>
      </c>
      <c r="AY86" s="35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-0.3</v>
      </c>
      <c r="AZ86" s="35" cm="1">
        <f t="array" ref="AZ86">$G$12+VLOOKUP($Q86,武学奇术!$A:$ZZ,12,FALSE)+SUM(_xlfn.XLOOKUP(R86:AF86,增益!$A:$A,增益!$L:$L,0))</f>
        <v>0</v>
      </c>
      <c r="BA86">
        <f t="shared" si="16"/>
        <v>538</v>
      </c>
      <c r="BB86">
        <f t="shared" si="17"/>
        <v>1011</v>
      </c>
      <c r="BC86" s="35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0</v>
      </c>
      <c r="BD86" s="35" cm="1">
        <f t="array" ref="BD86">$G$13+VLOOKUP($Q86,武学奇术!$A:$ZZ,14,FALSE)+SUM(_xlfn.XLOOKUP(R86:AF86,增益!$A:$A,增益!$N:$N,0))</f>
        <v>0.25</v>
      </c>
      <c r="BE86">
        <f t="shared" si="18"/>
        <v>0</v>
      </c>
      <c r="BF86">
        <f t="shared" si="19"/>
        <v>0</v>
      </c>
      <c r="BG86" s="35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-0.3</v>
      </c>
      <c r="BH86" s="35" cm="1">
        <f t="array" ref="BH86">$G$14+VLOOKUP($Q86,武学奇术!$A:$ZZ,16,FALSE)+SUM(_xlfn.XLOOKUP(R86:AF86,增益!$A:$A,增益!$P:$P,0))</f>
        <v>0</v>
      </c>
      <c r="BI86" s="27">
        <f>MIN(IF(VLOOKUP($Q86,武学奇术!$A:$ZZ,23,FALSE)=1,100%,$B$8),100%)</f>
        <v>0.9969</v>
      </c>
      <c r="BJ86" s="27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0.9137</v>
      </c>
      <c r="BK86" s="27" cm="1">
        <f t="array" ref="BK86">1+$B$13+VLOOKUP($Q86,武学奇术!$A:$ZZ,18,FALSE)+SUM(_xlfn.XLOOKUP(R86:AF86,增益!$A:$A,增益!$R:$R,0))</f>
        <v>1.6</v>
      </c>
      <c r="BL86" s="27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0.0895</v>
      </c>
      <c r="BM86" s="27" cm="1">
        <f t="array" ref="BM86">1+$B$14+VLOOKUP($Q86,武学奇术!$A:$ZZ,20,FALSE)+SUM(_xlfn.XLOOKUP(R86:AF86,增益!$A:$A,增益!$T:$T,0))</f>
        <v>1.35</v>
      </c>
      <c r="BN86" s="27">
        <f t="shared" si="20"/>
        <v>0.90767745</v>
      </c>
      <c r="BO86" s="27">
        <f t="shared" si="21"/>
        <v>-1.30104260698261e-17</v>
      </c>
      <c r="BP86" s="27">
        <f>IF(VLOOKUP($Q86,武学奇术!$A:$ZZ,22,FALSE)=1,0,(1-$BI86))*(1-$BL86)</f>
        <v>0.00282254999999999</v>
      </c>
      <c r="BQ86" s="27" cm="1">
        <f t="array" ref="BQ86">SUM(_xlfn.XLOOKUP(R86:AF86,增益!$A:$A,增益!$W:$W,0))+$I$5</f>
        <v>0.11</v>
      </c>
    </row>
    <row r="87" spans="5:69">
      <c r="K87" s="41">
        <f t="shared" si="11"/>
        <v>20144.2013995176</v>
      </c>
      <c r="L87" s="41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弹道",$B$21,0))*(1+$BQ87)</f>
        <v>20248.8494249391</v>
      </c>
      <c r="M87" s="41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弹道",$B$21,0))*(1+$BQ87)</f>
        <v>19522.6265491657</v>
      </c>
      <c r="N87" s="41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弹道",$B$21,0))*(1+$BQ87)</f>
        <v>10331.0456249689</v>
      </c>
      <c r="O87" s="41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弹道",$B$21,0))*(1+$BQ87)</f>
        <v>6200.88639870393</v>
      </c>
      <c r="P87" s="42">
        <v>0.5</v>
      </c>
      <c r="Q87" s="43" t="s">
        <v>109</v>
      </c>
      <c r="R87" s="43" t="s">
        <v>93</v>
      </c>
      <c r="S87" s="43" t="s">
        <v>158</v>
      </c>
      <c r="T87" s="43" t="s">
        <v>102</v>
      </c>
      <c r="U87" s="43" t="s">
        <v>86</v>
      </c>
      <c r="V87" s="43" t="s">
        <v>73</v>
      </c>
      <c r="W87" s="43" t="s">
        <v>73</v>
      </c>
      <c r="X87" s="43" t="s">
        <v>73</v>
      </c>
      <c r="Y87" s="43" t="s">
        <v>73</v>
      </c>
      <c r="Z87" s="43" t="s">
        <v>73</v>
      </c>
      <c r="AA87" s="43" t="s">
        <v>73</v>
      </c>
      <c r="AB87" s="43" t="s">
        <v>73</v>
      </c>
      <c r="AC87" s="43" t="s">
        <v>73</v>
      </c>
      <c r="AD87" s="43" t="s">
        <v>73</v>
      </c>
      <c r="AE87" s="43" t="s">
        <v>73</v>
      </c>
      <c r="AF87" s="43" t="s">
        <v>75</v>
      </c>
      <c r="AG87" t="str">
        <f>VLOOKUP($Q87,武学奇术!$A:$ZZ,25,FALSE)</f>
        <v>伞</v>
      </c>
      <c r="AH87" s="27">
        <f>VLOOKUP($Q87,武学奇术!$A:$ZZ,26,FALSE)</f>
        <v>1.174955</v>
      </c>
      <c r="AI87" s="28">
        <f>VLOOKUP($Q87,武学奇术!$A:$ZZ,27,FALSE)*(1+IF(OR($AG87=$F$4,$AG87=$F$5),$B$22,0))</f>
        <v>454.02</v>
      </c>
      <c r="AJ87" s="27">
        <f>VLOOKUP($Q87,武学奇术!$A:$ZZ,28,FALSE)</f>
        <v>1.762375</v>
      </c>
      <c r="AK87" s="28">
        <f>VLOOKUP($Q87,武学奇术!$A:$ZZ,29,FALSE)*(1+IF(OR($AG87=$F$4,$AG87=$F$5),$B$22,0))</f>
        <v>247.94</v>
      </c>
      <c r="AL87" s="27" cm="1">
        <f t="array" ref="AL87">$G$3+IFERROR(VLOOKUP($AG87,$F$4:$G$7,2,FALSE),0)+VLOOKUP($Q87,武学奇术!$A:$ZZ,2,FALSE)+SUM(_xlfn.XLOOKUP($R87:$AF87,增益!$A:$A,增益!$B:$B,0))</f>
        <v>0.5741</v>
      </c>
      <c r="AM87" s="27" cm="1">
        <f t="array" ref="AM87">VLOOKUP($Q87,武学奇术!$A:$ZZ,5,FALSE)+SUM(_xlfn.XLOOKUP($R87:$AF87,增益!$A:$A,增益!$E:$E,0))</f>
        <v>0.075</v>
      </c>
      <c r="AN87" cm="1">
        <f t="array" ref="AN87">$D$10*(1+$AM87)+VLOOKUP($Q87,武学奇术!$A:$ZZ,3,FALSE)+SUM(_xlfn.XLOOKUP($R87:$AF87,增益!$A:$A,增益!$C:$C,0))-$I$2</f>
        <v>1888.7275</v>
      </c>
      <c r="AO87" cm="1">
        <f t="array" ref="AO87">$E$10*(1+$AM87)+VLOOKUP($Q87,武学奇术!$A:$ZZ,4,FALSE)+SUM(_xlfn.XLOOKUP($R87:$AF87,增益!$A:$A,增益!$D:$D,0))-$I$2</f>
        <v>5625.2125</v>
      </c>
      <c r="AP87" s="35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0.2675</v>
      </c>
      <c r="AQ87" s="35" cm="1">
        <f t="array" ref="AQ87">$G$10+VLOOKUP($Q87,武学奇术!$A:$ZZ,7,FALSE)+SUM(_xlfn.XLOOKUP(R87:AF87,增益!$A:$A,增益!$G:$G,0))</f>
        <v>0.1</v>
      </c>
      <c r="AR87" s="27" cm="1">
        <f t="array" ref="AR87">VLOOKUP($Q87,武学奇术!$A:$ZZ,8,FALSE)+SUM(_xlfn.XLOOKUP(R87:AF87,增益!$A:$A,增益!$H:$H,0))</f>
        <v>0</v>
      </c>
      <c r="AS87">
        <f t="shared" si="12"/>
        <v>0</v>
      </c>
      <c r="AT87">
        <f t="shared" si="13"/>
        <v>0</v>
      </c>
      <c r="AU87" s="35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-0.3</v>
      </c>
      <c r="AV87" s="35" cm="1">
        <f t="array" ref="AV87">$G$11+VLOOKUP($Q87,武学奇术!$A:$ZZ,10,FALSE)+SUM(_xlfn.XLOOKUP(R87:AF87,增益!$A:$A,增益!$J:$J,0))</f>
        <v>0</v>
      </c>
      <c r="AW87">
        <f t="shared" si="14"/>
        <v>0</v>
      </c>
      <c r="AX87">
        <f t="shared" si="15"/>
        <v>0</v>
      </c>
      <c r="AY87" s="35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-0.3</v>
      </c>
      <c r="AZ87" s="35" cm="1">
        <f t="array" ref="AZ87">$G$12+VLOOKUP($Q87,武学奇术!$A:$ZZ,12,FALSE)+SUM(_xlfn.XLOOKUP(R87:AF87,增益!$A:$A,增益!$L:$L,0))</f>
        <v>0</v>
      </c>
      <c r="BA87">
        <f t="shared" si="16"/>
        <v>538</v>
      </c>
      <c r="BB87">
        <f t="shared" si="17"/>
        <v>1011</v>
      </c>
      <c r="BC87" s="35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0</v>
      </c>
      <c r="BD87" s="35" cm="1">
        <f t="array" ref="BD87">$G$13+VLOOKUP($Q87,武学奇术!$A:$ZZ,14,FALSE)+SUM(_xlfn.XLOOKUP(R87:AF87,增益!$A:$A,增益!$N:$N,0))</f>
        <v>0.25</v>
      </c>
      <c r="BE87">
        <f t="shared" si="18"/>
        <v>0</v>
      </c>
      <c r="BF87">
        <f t="shared" si="19"/>
        <v>0</v>
      </c>
      <c r="BG87" s="35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-0.3</v>
      </c>
      <c r="BH87" s="35" cm="1">
        <f t="array" ref="BH87">$G$14+VLOOKUP($Q87,武学奇术!$A:$ZZ,16,FALSE)+SUM(_xlfn.XLOOKUP(R87:AF87,增益!$A:$A,增益!$P:$P,0))</f>
        <v>0</v>
      </c>
      <c r="BI87" s="27">
        <f>MIN(IF(VLOOKUP($Q87,武学奇术!$A:$ZZ,23,FALSE)=1,100%,$B$8),100%)</f>
        <v>0.9969</v>
      </c>
      <c r="BJ87" s="27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0.9137</v>
      </c>
      <c r="BK87" s="27" cm="1">
        <f t="array" ref="BK87">1+$B$13+VLOOKUP($Q87,武学奇术!$A:$ZZ,18,FALSE)+SUM(_xlfn.XLOOKUP(R87:AF87,增益!$A:$A,增益!$R:$R,0))</f>
        <v>1.96</v>
      </c>
      <c r="BL87" s="27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0.0895</v>
      </c>
      <c r="BM87" s="27" cm="1">
        <f t="array" ref="BM87">1+$B$14+VLOOKUP($Q87,武学奇术!$A:$ZZ,20,FALSE)+SUM(_xlfn.XLOOKUP(R87:AF87,增益!$A:$A,增益!$T:$T,0))</f>
        <v>1.35</v>
      </c>
      <c r="BN87" s="27">
        <f t="shared" si="20"/>
        <v>0.90767745</v>
      </c>
      <c r="BO87" s="27">
        <f t="shared" si="21"/>
        <v>-1.30104260698261e-17</v>
      </c>
      <c r="BP87" s="27">
        <f>IF(VLOOKUP($Q87,武学奇术!$A:$ZZ,22,FALSE)=1,0,(1-$BI87))*(1-$BL87)</f>
        <v>0.00282254999999999</v>
      </c>
      <c r="BQ87" s="27" cm="1">
        <f t="array" ref="BQ87">SUM(_xlfn.XLOOKUP(R87:AF87,增益!$A:$A,增益!$W:$W,0))+$I$5</f>
        <v>0.11</v>
      </c>
    </row>
    <row r="88" spans="5:69">
      <c r="K88" s="41">
        <f t="shared" si="11"/>
        <v>506846.068977391</v>
      </c>
      <c r="L88" s="41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弹道",$B$21,0))*(1+$BQ88)</f>
        <v>509434.996322649</v>
      </c>
      <c r="M88" s="41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弹道",$B$21,0))*(1+$BQ88)</f>
        <v>491666.19628621</v>
      </c>
      <c r="N88" s="41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弹道",$B$21,0))*(1+$BQ88)</f>
        <v>259915.814450331</v>
      </c>
      <c r="O88" s="41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弹道",$B$21,0))*(1+$BQ88)</f>
        <v>155634.446466432</v>
      </c>
      <c r="P88" s="42">
        <v>9.5</v>
      </c>
      <c r="Q88" s="43" t="s">
        <v>109</v>
      </c>
      <c r="R88" s="43" t="s">
        <v>93</v>
      </c>
      <c r="S88" s="43" t="s">
        <v>158</v>
      </c>
      <c r="T88" s="43" t="s">
        <v>102</v>
      </c>
      <c r="U88" s="43" t="s">
        <v>159</v>
      </c>
      <c r="V88" s="43" t="s">
        <v>98</v>
      </c>
      <c r="W88" s="43" t="s">
        <v>73</v>
      </c>
      <c r="X88" s="43" t="s">
        <v>73</v>
      </c>
      <c r="Y88" s="43" t="s">
        <v>73</v>
      </c>
      <c r="Z88" s="43" t="s">
        <v>73</v>
      </c>
      <c r="AA88" s="43" t="s">
        <v>73</v>
      </c>
      <c r="AB88" s="43" t="s">
        <v>73</v>
      </c>
      <c r="AC88" s="43" t="s">
        <v>73</v>
      </c>
      <c r="AD88" s="43" t="s">
        <v>73</v>
      </c>
      <c r="AE88" s="43" t="s">
        <v>73</v>
      </c>
      <c r="AF88" s="43" t="s">
        <v>75</v>
      </c>
      <c r="AG88" t="str">
        <f>VLOOKUP($Q88,武学奇术!$A:$ZZ,25,FALSE)</f>
        <v>伞</v>
      </c>
      <c r="AH88" s="27">
        <f>VLOOKUP($Q88,武学奇术!$A:$ZZ,26,FALSE)</f>
        <v>1.174955</v>
      </c>
      <c r="AI88" s="28">
        <f>VLOOKUP($Q88,武学奇术!$A:$ZZ,27,FALSE)*(1+IF(OR($AG88=$F$4,$AG88=$F$5),$B$22,0))</f>
        <v>454.02</v>
      </c>
      <c r="AJ88" s="27">
        <f>VLOOKUP($Q88,武学奇术!$A:$ZZ,28,FALSE)</f>
        <v>1.762375</v>
      </c>
      <c r="AK88" s="28">
        <f>VLOOKUP($Q88,武学奇术!$A:$ZZ,29,FALSE)*(1+IF(OR($AG88=$F$4,$AG88=$F$5),$B$22,0))</f>
        <v>247.94</v>
      </c>
      <c r="AL88" s="27" cm="1">
        <f t="array" ref="AL88">$G$3+IFERROR(VLOOKUP($AG88,$F$4:$G$7,2,FALSE),0)+VLOOKUP($Q88,武学奇术!$A:$ZZ,2,FALSE)+SUM(_xlfn.XLOOKUP($R88:$AF88,增益!$A:$A,增益!$B:$B,0))</f>
        <v>0.9741</v>
      </c>
      <c r="AM88" s="27" cm="1">
        <f t="array" ref="AM88">VLOOKUP($Q88,武学奇术!$A:$ZZ,5,FALSE)+SUM(_xlfn.XLOOKUP($R88:$AF88,增益!$A:$A,增益!$E:$E,0))</f>
        <v>0.15</v>
      </c>
      <c r="AN88" cm="1">
        <f t="array" ref="AN88">$D$10*(1+$AM88)+VLOOKUP($Q88,武学奇术!$A:$ZZ,3,FALSE)+SUM(_xlfn.XLOOKUP($R88:$AF88,增益!$A:$A,增益!$C:$C,0))-$I$2</f>
        <v>2063.755</v>
      </c>
      <c r="AO88" cm="1">
        <f t="array" ref="AO88">$E$10*(1+$AM88)+VLOOKUP($Q88,武学奇术!$A:$ZZ,4,FALSE)+SUM(_xlfn.XLOOKUP($R88:$AF88,增益!$A:$A,增益!$D:$D,0))-$I$2</f>
        <v>6060.925</v>
      </c>
      <c r="AP88" s="35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0.2675</v>
      </c>
      <c r="AQ88" s="35" cm="1">
        <f t="array" ref="AQ88">$G$10+VLOOKUP($Q88,武学奇术!$A:$ZZ,7,FALSE)+SUM(_xlfn.XLOOKUP(R88:AF88,增益!$A:$A,增益!$G:$G,0))</f>
        <v>0.1</v>
      </c>
      <c r="AR88" s="27" cm="1">
        <f t="array" ref="AR88">VLOOKUP($Q88,武学奇术!$A:$ZZ,8,FALSE)+SUM(_xlfn.XLOOKUP(R88:AF88,增益!$A:$A,增益!$H:$H,0))</f>
        <v>0</v>
      </c>
      <c r="AS88">
        <f t="shared" si="12"/>
        <v>0</v>
      </c>
      <c r="AT88">
        <f t="shared" si="13"/>
        <v>0</v>
      </c>
      <c r="AU88" s="35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35" cm="1">
        <f t="array" ref="AV88">$G$11+VLOOKUP($Q88,武学奇术!$A:$ZZ,10,FALSE)+SUM(_xlfn.XLOOKUP(R88:AF88,增益!$A:$A,增益!$J:$J,0))</f>
        <v>0</v>
      </c>
      <c r="AW88">
        <f t="shared" si="14"/>
        <v>0</v>
      </c>
      <c r="AX88">
        <f t="shared" si="15"/>
        <v>0</v>
      </c>
      <c r="AY88" s="35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-0.3</v>
      </c>
      <c r="AZ88" s="35" cm="1">
        <f t="array" ref="AZ88">$G$12+VLOOKUP($Q88,武学奇术!$A:$ZZ,12,FALSE)+SUM(_xlfn.XLOOKUP(R88:AF88,增益!$A:$A,增益!$L:$L,0))</f>
        <v>0</v>
      </c>
      <c r="BA88">
        <f t="shared" si="16"/>
        <v>538</v>
      </c>
      <c r="BB88">
        <f t="shared" si="17"/>
        <v>1011</v>
      </c>
      <c r="BC88" s="35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0</v>
      </c>
      <c r="BD88" s="35" cm="1">
        <f t="array" ref="BD88">$G$13+VLOOKUP($Q88,武学奇术!$A:$ZZ,14,FALSE)+SUM(_xlfn.XLOOKUP(R88:AF88,增益!$A:$A,增益!$N:$N,0))</f>
        <v>0.25</v>
      </c>
      <c r="BE88">
        <f t="shared" si="18"/>
        <v>0</v>
      </c>
      <c r="BF88">
        <f t="shared" si="19"/>
        <v>0</v>
      </c>
      <c r="BG88" s="35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-0.3</v>
      </c>
      <c r="BH88" s="35" cm="1">
        <f t="array" ref="BH88">$G$14+VLOOKUP($Q88,武学奇术!$A:$ZZ,16,FALSE)+SUM(_xlfn.XLOOKUP(R88:AF88,增益!$A:$A,增益!$P:$P,0))</f>
        <v>0</v>
      </c>
      <c r="BI88" s="27">
        <f>MIN(IF(VLOOKUP($Q88,武学奇术!$A:$ZZ,23,FALSE)=1,100%,$B$8),100%)</f>
        <v>0.9969</v>
      </c>
      <c r="BJ88" s="27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0.9137</v>
      </c>
      <c r="BK88" s="27" cm="1">
        <f t="array" ref="BK88">1+$B$13+VLOOKUP($Q88,武学奇术!$A:$ZZ,18,FALSE)+SUM(_xlfn.XLOOKUP(R88:AF88,增益!$A:$A,增益!$R:$R,0))</f>
        <v>1.96</v>
      </c>
      <c r="BL88" s="27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0.0895</v>
      </c>
      <c r="BM88" s="27" cm="1">
        <f t="array" ref="BM88">1+$B$14+VLOOKUP($Q88,武学奇术!$A:$ZZ,20,FALSE)+SUM(_xlfn.XLOOKUP(R88:AF88,增益!$A:$A,增益!$T:$T,0))</f>
        <v>1.35</v>
      </c>
      <c r="BN88" s="27">
        <f t="shared" si="20"/>
        <v>0.90767745</v>
      </c>
      <c r="BO88" s="27">
        <f t="shared" si="21"/>
        <v>-1.30104260698261e-17</v>
      </c>
      <c r="BP88" s="27">
        <f>IF(VLOOKUP($Q88,武学奇术!$A:$ZZ,22,FALSE)=1,0,(1-$BI88))*(1-$BL88)</f>
        <v>0.00282254999999999</v>
      </c>
      <c r="BQ88" s="27" cm="1">
        <f t="array" ref="BQ88">SUM(_xlfn.XLOOKUP(R88:AF88,增益!$A:$A,增益!$W:$W,0))+$I$5</f>
        <v>0.11</v>
      </c>
    </row>
    <row r="89" spans="5:69">
      <c r="K89" s="41">
        <f t="shared" si="11"/>
        <v>14175.6031339518</v>
      </c>
      <c r="L89" s="41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弹道",$B$21,0))*(1+$BQ89)</f>
        <v>13975.2261786563</v>
      </c>
      <c r="M89" s="41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弹道",$B$21,0))*(1+$BQ89)</f>
        <v>16489.0868260827</v>
      </c>
      <c r="N89" s="41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弹道",$B$21,0))*(1+$BQ89)</f>
        <v>8734.51636166021</v>
      </c>
      <c r="O89" s="41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弹道",$B$21,0))*(1+$BQ89)</f>
        <v>5254.89433362954</v>
      </c>
      <c r="P89" s="42">
        <v>1</v>
      </c>
      <c r="Q89" s="43" t="s">
        <v>130</v>
      </c>
      <c r="R89" s="43" t="s">
        <v>93</v>
      </c>
      <c r="S89" s="43" t="s">
        <v>158</v>
      </c>
      <c r="T89" s="43" t="s">
        <v>73</v>
      </c>
      <c r="U89" s="43" t="s">
        <v>86</v>
      </c>
      <c r="V89" s="43" t="s">
        <v>73</v>
      </c>
      <c r="W89" s="43" t="s">
        <v>73</v>
      </c>
      <c r="X89" s="43" t="s">
        <v>73</v>
      </c>
      <c r="Y89" s="43" t="s">
        <v>73</v>
      </c>
      <c r="Z89" s="43" t="s">
        <v>73</v>
      </c>
      <c r="AA89" s="43" t="s">
        <v>73</v>
      </c>
      <c r="AB89" s="43" t="s">
        <v>73</v>
      </c>
      <c r="AC89" s="43" t="s">
        <v>73</v>
      </c>
      <c r="AD89" s="43" t="s">
        <v>73</v>
      </c>
      <c r="AE89" s="43" t="s">
        <v>73</v>
      </c>
      <c r="AF89" s="43" t="s">
        <v>75</v>
      </c>
      <c r="AG89" t="str">
        <f>VLOOKUP($Q89,武学奇术!$A:$ZZ,25,FALSE)</f>
        <v>扇</v>
      </c>
      <c r="AH89" s="27">
        <f>VLOOKUP($Q89,武学奇术!$A:$ZZ,26,FALSE)</f>
        <v>0.9271</v>
      </c>
      <c r="AI89" s="28">
        <f>VLOOKUP($Q89,武学奇术!$A:$ZZ,27,FALSE)*(1+IF(OR($AG89=$F$4,$AG89=$F$5),$B$22,0))</f>
        <v>359.8</v>
      </c>
      <c r="AJ89" s="27">
        <f>VLOOKUP($Q89,武学奇术!$A:$ZZ,28,FALSE)</f>
        <v>1.3907</v>
      </c>
      <c r="AK89" s="28">
        <f>VLOOKUP($Q89,武学奇术!$A:$ZZ,29,FALSE)*(1+IF(OR($AG89=$F$4,$AG89=$F$5),$B$22,0))</f>
        <v>196</v>
      </c>
      <c r="AL89" s="27" cm="1">
        <f t="array" ref="AL89">$G$3+IFERROR(VLOOKUP($AG89,$F$4:$G$7,2,FALSE),0)+VLOOKUP($Q89,武学奇术!$A:$ZZ,2,FALSE)+SUM(_xlfn.XLOOKUP($R89:$AF89,增益!$A:$A,增益!$B:$B,0))</f>
        <v>0.2389</v>
      </c>
      <c r="AM89" s="27" cm="1">
        <f t="array" ref="AM89">VLOOKUP($Q89,武学奇术!$A:$ZZ,5,FALSE)+SUM(_xlfn.XLOOKUP($R89:$AF89,增益!$A:$A,增益!$E:$E,0))</f>
        <v>0.075</v>
      </c>
      <c r="AN89" cm="1">
        <f t="array" ref="AN89">$D$10*(1+$AM89)+VLOOKUP($Q89,武学奇术!$A:$ZZ,3,FALSE)+SUM(_xlfn.XLOOKUP($R89:$AF89,增益!$A:$A,增益!$C:$C,0))-$I$2</f>
        <v>1888.7275</v>
      </c>
      <c r="AO89" cm="1">
        <f t="array" ref="AO89">$E$10*(1+$AM89)+VLOOKUP($Q89,武学奇术!$A:$ZZ,4,FALSE)+SUM(_xlfn.XLOOKUP($R89:$AF89,增益!$A:$A,增益!$D:$D,0))-$I$2</f>
        <v>5625.2125</v>
      </c>
      <c r="AP89" s="35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0.2425</v>
      </c>
      <c r="AQ89" s="35" cm="1">
        <f t="array" ref="AQ89">$G$10+VLOOKUP($Q89,武学奇术!$A:$ZZ,7,FALSE)+SUM(_xlfn.XLOOKUP(R89:AF89,增益!$A:$A,增益!$G:$G,0))</f>
        <v>0</v>
      </c>
      <c r="AR89" s="27" cm="1">
        <f t="array" ref="AR89">VLOOKUP($Q89,武学奇术!$A:$ZZ,8,FALSE)+SUM(_xlfn.XLOOKUP(R89:AF89,增益!$A:$A,增益!$H:$H,0))</f>
        <v>0</v>
      </c>
      <c r="AS89">
        <f t="shared" si="12"/>
        <v>0</v>
      </c>
      <c r="AT89">
        <f t="shared" si="13"/>
        <v>0</v>
      </c>
      <c r="AU89" s="35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-0.3</v>
      </c>
      <c r="AV89" s="35" cm="1">
        <f t="array" ref="AV89">$G$11+VLOOKUP($Q89,武学奇术!$A:$ZZ,10,FALSE)+SUM(_xlfn.XLOOKUP(R89:AF89,增益!$A:$A,增益!$J:$J,0))</f>
        <v>0</v>
      </c>
      <c r="AW89">
        <f t="shared" si="14"/>
        <v>0</v>
      </c>
      <c r="AX89">
        <f t="shared" si="15"/>
        <v>0</v>
      </c>
      <c r="AY89" s="35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-0.3</v>
      </c>
      <c r="AZ89" s="35" cm="1">
        <f t="array" ref="AZ89">$G$12+VLOOKUP($Q89,武学奇术!$A:$ZZ,12,FALSE)+SUM(_xlfn.XLOOKUP(R89:AF89,增益!$A:$A,增益!$L:$L,0))</f>
        <v>0</v>
      </c>
      <c r="BA89">
        <f t="shared" si="16"/>
        <v>538</v>
      </c>
      <c r="BB89">
        <f t="shared" si="17"/>
        <v>1011</v>
      </c>
      <c r="BC89" s="35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0</v>
      </c>
      <c r="BD89" s="35" cm="1">
        <f t="array" ref="BD89">$G$13+VLOOKUP($Q89,武学奇术!$A:$ZZ,14,FALSE)+SUM(_xlfn.XLOOKUP(R89:AF89,增益!$A:$A,增益!$N:$N,0))</f>
        <v>0.15</v>
      </c>
      <c r="BE89">
        <f t="shared" si="18"/>
        <v>0</v>
      </c>
      <c r="BF89">
        <f t="shared" si="19"/>
        <v>0</v>
      </c>
      <c r="BG89" s="35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-0.3</v>
      </c>
      <c r="BH89" s="35" cm="1">
        <f t="array" ref="BH89">$G$14+VLOOKUP($Q89,武学奇术!$A:$ZZ,16,FALSE)+SUM(_xlfn.XLOOKUP(R89:AF89,增益!$A:$A,增益!$P:$P,0))</f>
        <v>0</v>
      </c>
      <c r="BI89" s="27">
        <f>MIN(IF(VLOOKUP($Q89,武学奇术!$A:$ZZ,23,FALSE)=1,100%,$B$8),100%)</f>
        <v>0.9969</v>
      </c>
      <c r="BJ89" s="27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0.9137</v>
      </c>
      <c r="BK89" s="27" cm="1">
        <f t="array" ref="BK89">1+$B$13+VLOOKUP($Q89,武学奇术!$A:$ZZ,18,FALSE)+SUM(_xlfn.XLOOKUP(R89:AF89,增益!$A:$A,增益!$R:$R,0))</f>
        <v>1.6</v>
      </c>
      <c r="BL89" s="27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0.0895</v>
      </c>
      <c r="BM89" s="27" cm="1">
        <f t="array" ref="BM89">1+$B$14+VLOOKUP($Q89,武学奇术!$A:$ZZ,20,FALSE)+SUM(_xlfn.XLOOKUP(R89:AF89,增益!$A:$A,增益!$T:$T,0))</f>
        <v>1.35</v>
      </c>
      <c r="BN89" s="27">
        <f t="shared" si="20"/>
        <v>0.90767745</v>
      </c>
      <c r="BO89" s="27">
        <f t="shared" si="21"/>
        <v>-1.30104260698261e-17</v>
      </c>
      <c r="BP89" s="27">
        <f>IF(VLOOKUP($Q89,武学奇术!$A:$ZZ,22,FALSE)=1,0,(1-$BI89))*(1-$BL89)</f>
        <v>0.00282254999999999</v>
      </c>
      <c r="BQ89" s="27" cm="1">
        <f t="array" ref="BQ89">SUM(_xlfn.XLOOKUP(R89:AF89,增益!$A:$A,增益!$W:$W,0))+$I$5</f>
        <v>0.11</v>
      </c>
    </row>
    <row r="90" spans="5:69">
      <c r="E90" s="30">
        <v>0.3</v>
      </c>
      <c r="K90" s="41">
        <f t="shared" si="11"/>
        <v>72546.9847815214</v>
      </c>
      <c r="L90" s="41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弹道",$B$21,0))*(1+$BQ90)</f>
        <v>71510.9621015785</v>
      </c>
      <c r="M90" s="41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弹道",$B$21,0))*(1+$BQ90)</f>
        <v>84496.7245302464</v>
      </c>
      <c r="N90" s="41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弹道",$B$21,0))*(1+$BQ90)</f>
        <v>44694.3513134866</v>
      </c>
      <c r="O90" s="41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弹道",$B$21,0))*(1+$BQ90)</f>
        <v>26798.5363082721</v>
      </c>
      <c r="P90" s="42">
        <v>1</v>
      </c>
      <c r="Q90" s="43" t="s">
        <v>145</v>
      </c>
      <c r="R90" s="43" t="s">
        <v>93</v>
      </c>
      <c r="S90" s="43" t="s">
        <v>158</v>
      </c>
      <c r="T90" s="43" t="s">
        <v>73</v>
      </c>
      <c r="U90" s="43" t="s">
        <v>159</v>
      </c>
      <c r="V90" s="43" t="s">
        <v>98</v>
      </c>
      <c r="W90" s="43" t="s">
        <v>146</v>
      </c>
      <c r="X90" s="43" t="s">
        <v>73</v>
      </c>
      <c r="Y90" s="43" t="s">
        <v>73</v>
      </c>
      <c r="Z90" s="43" t="s">
        <v>73</v>
      </c>
      <c r="AA90" s="43" t="s">
        <v>73</v>
      </c>
      <c r="AB90" s="43" t="s">
        <v>73</v>
      </c>
      <c r="AC90" s="43" t="s">
        <v>73</v>
      </c>
      <c r="AD90" s="43" t="s">
        <v>73</v>
      </c>
      <c r="AE90" s="43" t="s">
        <v>73</v>
      </c>
      <c r="AF90" s="43" t="s">
        <v>75</v>
      </c>
      <c r="AG90" t="str">
        <f>VLOOKUP($Q90,武学奇术!$A:$ZZ,25,FALSE)</f>
        <v>扇</v>
      </c>
      <c r="AH90" s="27">
        <f>VLOOKUP($Q90,武学奇术!$A:$ZZ,26,FALSE)</f>
        <v>2.76138</v>
      </c>
      <c r="AI90" s="28">
        <f>VLOOKUP($Q90,武学奇术!$A:$ZZ,27,FALSE)*(1+IF(OR($AG90=$F$4,$AG90=$F$5),$B$22,0))</f>
        <v>1069.81</v>
      </c>
      <c r="AJ90" s="27">
        <f>VLOOKUP($Q90,武学奇术!$A:$ZZ,28,FALSE)</f>
        <v>4.14207</v>
      </c>
      <c r="AK90" s="28">
        <f>VLOOKUP($Q90,武学奇术!$A:$ZZ,29,FALSE)*(1+IF(OR($AG90=$F$4,$AG90=$F$5),$B$22,0))</f>
        <v>582.61</v>
      </c>
      <c r="AL90" s="27" cm="1">
        <f t="array" ref="AL90">$G$3+IFERROR(VLOOKUP($AG90,$F$4:$G$7,2,FALSE),0)+VLOOKUP($Q90,武学奇术!$A:$ZZ,2,FALSE)+SUM(_xlfn.XLOOKUP($R90:$AF90,增益!$A:$A,增益!$B:$B,0))</f>
        <v>0.8389</v>
      </c>
      <c r="AM90" s="27" cm="1">
        <f t="array" ref="AM90">VLOOKUP($Q90,武学奇术!$A:$ZZ,5,FALSE)+SUM(_xlfn.XLOOKUP($R90:$AF90,增益!$A:$A,增益!$E:$E,0))</f>
        <v>0.15</v>
      </c>
      <c r="AN90" cm="1">
        <f t="array" ref="AN90">$D$10*(1+$AM90)+VLOOKUP($Q90,武学奇术!$A:$ZZ,3,FALSE)+SUM(_xlfn.XLOOKUP($R90:$AF90,增益!$A:$A,增益!$C:$C,0))-$I$2</f>
        <v>2063.755</v>
      </c>
      <c r="AO90" cm="1">
        <f t="array" ref="AO90">$E$10*(1+$AM90)+VLOOKUP($Q90,武学奇术!$A:$ZZ,4,FALSE)+SUM(_xlfn.XLOOKUP($R90:$AF90,增益!$A:$A,增益!$D:$D,0))-$I$2</f>
        <v>6060.925</v>
      </c>
      <c r="AP90" s="35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0.2425</v>
      </c>
      <c r="AQ90" s="35" cm="1">
        <f t="array" ref="AQ90">$G$10+VLOOKUP($Q90,武学奇术!$A:$ZZ,7,FALSE)+SUM(_xlfn.XLOOKUP(R90:AF90,增益!$A:$A,增益!$G:$G,0))</f>
        <v>0.1</v>
      </c>
      <c r="AR90" s="27" cm="1">
        <f t="array" ref="AR90">VLOOKUP($Q90,武学奇术!$A:$ZZ,8,FALSE)+SUM(_xlfn.XLOOKUP(R90:AF90,增益!$A:$A,增益!$H:$H,0))</f>
        <v>0</v>
      </c>
      <c r="AS90">
        <f t="shared" si="12"/>
        <v>0</v>
      </c>
      <c r="AT90">
        <f t="shared" si="13"/>
        <v>0</v>
      </c>
      <c r="AU90" s="35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35" cm="1">
        <f t="array" ref="AV90">$G$11+VLOOKUP($Q90,武学奇术!$A:$ZZ,10,FALSE)+SUM(_xlfn.XLOOKUP(R90:AF90,增益!$A:$A,增益!$J:$J,0))</f>
        <v>0</v>
      </c>
      <c r="AW90">
        <f t="shared" si="14"/>
        <v>0</v>
      </c>
      <c r="AX90">
        <f t="shared" si="15"/>
        <v>0</v>
      </c>
      <c r="AY90" s="35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-0.3</v>
      </c>
      <c r="AZ90" s="35" cm="1">
        <f t="array" ref="AZ90">$G$12+VLOOKUP($Q90,武学奇术!$A:$ZZ,12,FALSE)+SUM(_xlfn.XLOOKUP(R90:AF90,增益!$A:$A,增益!$L:$L,0))</f>
        <v>0</v>
      </c>
      <c r="BA90">
        <f t="shared" si="16"/>
        <v>538</v>
      </c>
      <c r="BB90">
        <f t="shared" si="17"/>
        <v>1011</v>
      </c>
      <c r="BC90" s="35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0</v>
      </c>
      <c r="BD90" s="35" cm="1">
        <f t="array" ref="BD90">$G$13+VLOOKUP($Q90,武学奇术!$A:$ZZ,14,FALSE)+SUM(_xlfn.XLOOKUP(R90:AF90,增益!$A:$A,增益!$N:$N,0))</f>
        <v>0.25</v>
      </c>
      <c r="BE90">
        <f t="shared" si="18"/>
        <v>0</v>
      </c>
      <c r="BF90">
        <f t="shared" si="19"/>
        <v>0</v>
      </c>
      <c r="BG90" s="35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-0.3</v>
      </c>
      <c r="BH90" s="35" cm="1">
        <f t="array" ref="BH90">$G$14+VLOOKUP($Q90,武学奇术!$A:$ZZ,16,FALSE)+SUM(_xlfn.XLOOKUP(R90:AF90,增益!$A:$A,增益!$P:$P,0))</f>
        <v>0</v>
      </c>
      <c r="BI90" s="27">
        <f>MIN(IF(VLOOKUP($Q90,武学奇术!$A:$ZZ,23,FALSE)=1,100%,$B$8),100%)</f>
        <v>0.9969</v>
      </c>
      <c r="BJ90" s="27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0.9137</v>
      </c>
      <c r="BK90" s="27" cm="1">
        <f t="array" ref="BK90">1+$B$13+VLOOKUP($Q90,武学奇术!$A:$ZZ,18,FALSE)+SUM(_xlfn.XLOOKUP(R90:AF90,增益!$A:$A,增益!$R:$R,0))</f>
        <v>1.6</v>
      </c>
      <c r="BL90" s="27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0.0895</v>
      </c>
      <c r="BM90" s="27" cm="1">
        <f t="array" ref="BM90">1+$B$14+VLOOKUP($Q90,武学奇术!$A:$ZZ,20,FALSE)+SUM(_xlfn.XLOOKUP(R90:AF90,增益!$A:$A,增益!$T:$T,0))</f>
        <v>1.35</v>
      </c>
      <c r="BN90" s="27">
        <f t="shared" si="20"/>
        <v>0.90767745</v>
      </c>
      <c r="BO90" s="27">
        <f t="shared" si="21"/>
        <v>-1.30104260698261e-17</v>
      </c>
      <c r="BP90" s="27">
        <f>IF(VLOOKUP($Q90,武学奇术!$A:$ZZ,22,FALSE)=1,0,(1-$BI90))*(1-$BL90)</f>
        <v>0.00282254999999999</v>
      </c>
      <c r="BQ90" s="27" cm="1">
        <f t="array" ref="BQ90">SUM(_xlfn.XLOOKUP(R90:AF90,增益!$A:$A,增益!$W:$W,0))+$I$5</f>
        <v>0.11</v>
      </c>
    </row>
    <row r="91" spans="5:69">
      <c r="K91" s="41">
        <f t="shared" si="11"/>
        <v>106585.175816404</v>
      </c>
      <c r="L91" s="41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弹道",$B$21,0))*(1+$BQ91)</f>
        <v>107134.807584698</v>
      </c>
      <c r="M91" s="41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弹道",$B$21,0))*(1+$BQ91)</f>
        <v>103338.778083304</v>
      </c>
      <c r="N91" s="41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弹道",$B$21,0))*(1+$BQ91)</f>
        <v>54660.6161146418</v>
      </c>
      <c r="O91" s="41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弹道",$B$21,0))*(1+$BQ91)</f>
        <v>32773.9892046144</v>
      </c>
      <c r="P91" s="42">
        <v>1</v>
      </c>
      <c r="Q91" s="43" t="s">
        <v>133</v>
      </c>
      <c r="R91" s="43" t="s">
        <v>93</v>
      </c>
      <c r="S91" s="43" t="s">
        <v>158</v>
      </c>
      <c r="T91" s="43" t="s">
        <v>73</v>
      </c>
      <c r="U91" s="43" t="s">
        <v>159</v>
      </c>
      <c r="V91" s="43" t="s">
        <v>134</v>
      </c>
      <c r="W91" s="43" t="s">
        <v>73</v>
      </c>
      <c r="X91" s="43" t="s">
        <v>184</v>
      </c>
      <c r="Y91" s="43" t="s">
        <v>73</v>
      </c>
      <c r="Z91" s="43" t="s">
        <v>73</v>
      </c>
      <c r="AA91" s="43" t="s">
        <v>73</v>
      </c>
      <c r="AB91" s="43" t="s">
        <v>73</v>
      </c>
      <c r="AC91" s="43" t="s">
        <v>73</v>
      </c>
      <c r="AD91" s="43" t="s">
        <v>73</v>
      </c>
      <c r="AE91" s="43" t="s">
        <v>73</v>
      </c>
      <c r="AF91" s="43" t="s">
        <v>75</v>
      </c>
      <c r="AG91" t="str">
        <f>VLOOKUP($Q91,武学奇术!$A:$ZZ,25,FALSE)</f>
        <v>扇</v>
      </c>
      <c r="AH91" s="27">
        <f>VLOOKUP($Q91,武学奇术!$A:$ZZ,26,FALSE)</f>
        <v>4.376825</v>
      </c>
      <c r="AI91" s="28">
        <f>VLOOKUP($Q91,武学奇术!$A:$ZZ,27,FALSE)*(1+IF(OR($AG91=$F$4,$AG91=$F$5),$B$22,0))</f>
        <v>1695.05</v>
      </c>
      <c r="AJ91" s="27">
        <f>VLOOKUP($Q91,武学奇术!$A:$ZZ,28,FALSE)</f>
        <v>6.56531</v>
      </c>
      <c r="AK91" s="28">
        <f>VLOOKUP($Q91,武学奇术!$A:$ZZ,29,FALSE)*(1+IF(OR($AG91=$F$4,$AG91=$F$5),$B$22,0))</f>
        <v>923.65</v>
      </c>
      <c r="AL91" s="27" cm="1">
        <f t="array" ref="AL91">$G$3+IFERROR(VLOOKUP($AG91,$F$4:$G$7,2,FALSE),0)+VLOOKUP($Q91,武学奇术!$A:$ZZ,2,FALSE)+SUM(_xlfn.XLOOKUP($R91:$AF91,增益!$A:$A,增益!$B:$B,0))</f>
        <v>0.4189</v>
      </c>
      <c r="AM91" s="27" cm="1">
        <f t="array" ref="AM91">VLOOKUP($Q91,武学奇术!$A:$ZZ,5,FALSE)+SUM(_xlfn.XLOOKUP($R91:$AF91,增益!$A:$A,增益!$E:$E,0))</f>
        <v>0.15</v>
      </c>
      <c r="AN91" cm="1">
        <f t="array" ref="AN91">$D$10*(1+$AM91)+VLOOKUP($Q91,武学奇术!$A:$ZZ,3,FALSE)+SUM(_xlfn.XLOOKUP($R91:$AF91,增益!$A:$A,增益!$C:$C,0))-$I$2</f>
        <v>2063.755</v>
      </c>
      <c r="AO91" cm="1">
        <f t="array" ref="AO91">$E$10*(1+$AM91)+VLOOKUP($Q91,武学奇术!$A:$ZZ,4,FALSE)+SUM(_xlfn.XLOOKUP($R91:$AF91,增益!$A:$A,增益!$D:$D,0))-$I$2</f>
        <v>6060.925</v>
      </c>
      <c r="AP91" s="35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0.2425</v>
      </c>
      <c r="AQ91" s="35" cm="1">
        <f t="array" ref="AQ91">$G$10+VLOOKUP($Q91,武学奇术!$A:$ZZ,7,FALSE)+SUM(_xlfn.XLOOKUP(R91:AF91,增益!$A:$A,增益!$G:$G,0))</f>
        <v>0.1</v>
      </c>
      <c r="AR91" s="27" cm="1">
        <f t="array" ref="AR91">VLOOKUP($Q91,武学奇术!$A:$ZZ,8,FALSE)+SUM(_xlfn.XLOOKUP(R91:AF91,增益!$A:$A,增益!$H:$H,0))</f>
        <v>0</v>
      </c>
      <c r="AS91">
        <f t="shared" si="12"/>
        <v>0</v>
      </c>
      <c r="AT91">
        <f t="shared" si="13"/>
        <v>0</v>
      </c>
      <c r="AU91" s="35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35" cm="1">
        <f t="array" ref="AV91">$G$11+VLOOKUP($Q91,武学奇术!$A:$ZZ,10,FALSE)+SUM(_xlfn.XLOOKUP(R91:AF91,增益!$A:$A,增益!$J:$J,0))</f>
        <v>0</v>
      </c>
      <c r="AW91">
        <f t="shared" si="14"/>
        <v>0</v>
      </c>
      <c r="AX91">
        <f t="shared" si="15"/>
        <v>0</v>
      </c>
      <c r="AY91" s="35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-0.3</v>
      </c>
      <c r="AZ91" s="35" cm="1">
        <f t="array" ref="AZ91">$G$12+VLOOKUP($Q91,武学奇术!$A:$ZZ,12,FALSE)+SUM(_xlfn.XLOOKUP(R91:AF91,增益!$A:$A,增益!$L:$L,0))</f>
        <v>0</v>
      </c>
      <c r="BA91">
        <f t="shared" si="16"/>
        <v>538</v>
      </c>
      <c r="BB91">
        <f t="shared" si="17"/>
        <v>1011</v>
      </c>
      <c r="BC91" s="35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0</v>
      </c>
      <c r="BD91" s="35" cm="1">
        <f t="array" ref="BD91">$G$13+VLOOKUP($Q91,武学奇术!$A:$ZZ,14,FALSE)+SUM(_xlfn.XLOOKUP(R91:AF91,增益!$A:$A,增益!$N:$N,0))</f>
        <v>0.25</v>
      </c>
      <c r="BE91">
        <f t="shared" si="18"/>
        <v>0</v>
      </c>
      <c r="BF91">
        <f t="shared" si="19"/>
        <v>0</v>
      </c>
      <c r="BG91" s="35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-0.3</v>
      </c>
      <c r="BH91" s="35" cm="1">
        <f t="array" ref="BH91">$G$14+VLOOKUP($Q91,武学奇术!$A:$ZZ,16,FALSE)+SUM(_xlfn.XLOOKUP(R91:AF91,增益!$A:$A,增益!$P:$P,0))</f>
        <v>0</v>
      </c>
      <c r="BI91" s="27">
        <f>MIN(IF(VLOOKUP($Q91,武学奇术!$A:$ZZ,23,FALSE)=1,100%,$B$8),100%)</f>
        <v>0.9969</v>
      </c>
      <c r="BJ91" s="27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0.933</v>
      </c>
      <c r="BK91" s="27" cm="1">
        <f t="array" ref="BK91">1+$B$13+VLOOKUP($Q91,武学奇术!$A:$ZZ,18,FALSE)+SUM(_xlfn.XLOOKUP(R91:AF91,增益!$A:$A,增益!$R:$R,0))</f>
        <v>1.96</v>
      </c>
      <c r="BL91" s="27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0.0895</v>
      </c>
      <c r="BM91" s="27" cm="1">
        <f t="array" ref="BM91">1+$B$14+VLOOKUP($Q91,武学奇术!$A:$ZZ,20,FALSE)+SUM(_xlfn.XLOOKUP(R91:AF91,增益!$A:$A,增益!$T:$T,0))</f>
        <v>1.35</v>
      </c>
      <c r="BN91" s="27">
        <f t="shared" si="20"/>
        <v>0.90767745</v>
      </c>
      <c r="BO91" s="27">
        <f t="shared" si="21"/>
        <v>-1.30104260698261e-17</v>
      </c>
      <c r="BP91" s="27">
        <f>IF(VLOOKUP($Q91,武学奇术!$A:$ZZ,22,FALSE)=1,0,(1-$BI91))*(1-$BL91)</f>
        <v>0.00282254999999999</v>
      </c>
      <c r="BQ91" s="27" cm="1">
        <f t="array" ref="BQ91">SUM(_xlfn.XLOOKUP(R91:AF91,增益!$A:$A,增益!$W:$W,0))+$I$5</f>
        <v>0.11</v>
      </c>
    </row>
    <row r="92" spans="5:69">
      <c r="K92" s="41">
        <f t="shared" si="11"/>
        <v>32162.2617059936</v>
      </c>
      <c r="L92" s="41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弹道",$B$21,0))*(1+$BQ92)</f>
        <v>31702.9946326055</v>
      </c>
      <c r="M92" s="41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弹道",$B$21,0))*(1+$BQ92)</f>
        <v>37459.5973729968</v>
      </c>
      <c r="N92" s="41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弹道",$B$21,0))*(1+$BQ92)</f>
        <v>19814.3716453784</v>
      </c>
      <c r="O92" s="41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弹道",$B$21,0))*(1+$BQ92)</f>
        <v>11880.8933848333</v>
      </c>
      <c r="P92" s="42">
        <v>1</v>
      </c>
      <c r="Q92" s="43" t="s">
        <v>104</v>
      </c>
      <c r="R92" s="43" t="s">
        <v>93</v>
      </c>
      <c r="S92" s="43" t="s">
        <v>158</v>
      </c>
      <c r="T92" s="43" t="s">
        <v>73</v>
      </c>
      <c r="U92" s="43" t="s">
        <v>159</v>
      </c>
      <c r="V92" s="43" t="s">
        <v>73</v>
      </c>
      <c r="W92" s="43" t="s">
        <v>73</v>
      </c>
      <c r="X92" s="43" t="s">
        <v>73</v>
      </c>
      <c r="Y92" s="43" t="s">
        <v>73</v>
      </c>
      <c r="Z92" s="43" t="s">
        <v>73</v>
      </c>
      <c r="AA92" s="43" t="s">
        <v>73</v>
      </c>
      <c r="AB92" s="43" t="s">
        <v>73</v>
      </c>
      <c r="AC92" s="43" t="s">
        <v>73</v>
      </c>
      <c r="AD92" s="43" t="s">
        <v>73</v>
      </c>
      <c r="AE92" s="43" t="s">
        <v>73</v>
      </c>
      <c r="AF92" s="43" t="s">
        <v>75</v>
      </c>
      <c r="AG92" t="str">
        <f>VLOOKUP($Q92,武学奇术!$A:$ZZ,25,FALSE)</f>
        <v>伞</v>
      </c>
      <c r="AH92" s="27">
        <f>VLOOKUP($Q92,武学奇术!$A:$ZZ,26,FALSE)</f>
        <v>1.7001</v>
      </c>
      <c r="AI92" s="28">
        <f>VLOOKUP($Q92,武学奇术!$A:$ZZ,27,FALSE)*(1+IF(OR($AG92=$F$4,$AG92=$F$5),$B$22,0))</f>
        <v>659.4</v>
      </c>
      <c r="AJ92" s="27">
        <f>VLOOKUP($Q92,武学奇术!$A:$ZZ,28,FALSE)</f>
        <v>2.5502</v>
      </c>
      <c r="AK92" s="28">
        <f>VLOOKUP($Q92,武学奇术!$A:$ZZ,29,FALSE)*(1+IF(OR($AG92=$F$4,$AG92=$F$5),$B$22,0))</f>
        <v>358.4</v>
      </c>
      <c r="AL92" s="27" cm="1">
        <f t="array" ref="AL92">$G$3+IFERROR(VLOOKUP($AG92,$F$4:$G$7,2,FALSE),0)+VLOOKUP($Q92,武学奇术!$A:$ZZ,2,FALSE)+SUM(_xlfn.XLOOKUP($R92:$AF92,增益!$A:$A,增益!$B:$B,0))</f>
        <v>0.3241</v>
      </c>
      <c r="AM92" s="27" cm="1">
        <f t="array" ref="AM92">VLOOKUP($Q92,武学奇术!$A:$ZZ,5,FALSE)+SUM(_xlfn.XLOOKUP($R92:$AF92,增益!$A:$A,增益!$E:$E,0))</f>
        <v>0.15</v>
      </c>
      <c r="AN92" cm="1">
        <f t="array" ref="AN92">$D$10*(1+$AM92)+VLOOKUP($Q92,武学奇术!$A:$ZZ,3,FALSE)+SUM(_xlfn.XLOOKUP($R92:$AF92,增益!$A:$A,增益!$C:$C,0))-$I$2</f>
        <v>2063.755</v>
      </c>
      <c r="AO92" cm="1">
        <f t="array" ref="AO92">$E$10*(1+$AM92)+VLOOKUP($Q92,武学奇术!$A:$ZZ,4,FALSE)+SUM(_xlfn.XLOOKUP($R92:$AF92,增益!$A:$A,增益!$D:$D,0))-$I$2</f>
        <v>6060.925</v>
      </c>
      <c r="AP92" s="35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0.2425</v>
      </c>
      <c r="AQ92" s="35" cm="1">
        <f t="array" ref="AQ92">$G$10+VLOOKUP($Q92,武学奇术!$A:$ZZ,7,FALSE)+SUM(_xlfn.XLOOKUP(R92:AF92,增益!$A:$A,增益!$G:$G,0))</f>
        <v>0.1</v>
      </c>
      <c r="AR92" s="27" cm="1">
        <f t="array" ref="AR92">VLOOKUP($Q92,武学奇术!$A:$ZZ,8,FALSE)+SUM(_xlfn.XLOOKUP(R92:AF92,增益!$A:$A,增益!$H:$H,0))</f>
        <v>0</v>
      </c>
      <c r="AS92">
        <f t="shared" si="12"/>
        <v>0</v>
      </c>
      <c r="AT92">
        <f t="shared" si="13"/>
        <v>0</v>
      </c>
      <c r="AU92" s="35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35" cm="1">
        <f t="array" ref="AV92">$G$11+VLOOKUP($Q92,武学奇术!$A:$ZZ,10,FALSE)+SUM(_xlfn.XLOOKUP(R92:AF92,增益!$A:$A,增益!$J:$J,0))</f>
        <v>0</v>
      </c>
      <c r="AW92">
        <f t="shared" si="14"/>
        <v>0</v>
      </c>
      <c r="AX92">
        <f t="shared" si="15"/>
        <v>0</v>
      </c>
      <c r="AY92" s="35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-0.3</v>
      </c>
      <c r="AZ92" s="35" cm="1">
        <f t="array" ref="AZ92">$G$12+VLOOKUP($Q92,武学奇术!$A:$ZZ,12,FALSE)+SUM(_xlfn.XLOOKUP(R92:AF92,增益!$A:$A,增益!$L:$L,0))</f>
        <v>0</v>
      </c>
      <c r="BA92">
        <f t="shared" si="16"/>
        <v>538</v>
      </c>
      <c r="BB92">
        <f t="shared" si="17"/>
        <v>1011</v>
      </c>
      <c r="BC92" s="35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0</v>
      </c>
      <c r="BD92" s="35" cm="1">
        <f t="array" ref="BD92">$G$13+VLOOKUP($Q92,武学奇术!$A:$ZZ,14,FALSE)+SUM(_xlfn.XLOOKUP(R92:AF92,增益!$A:$A,增益!$N:$N,0))</f>
        <v>0.25</v>
      </c>
      <c r="BE92">
        <f t="shared" si="18"/>
        <v>0</v>
      </c>
      <c r="BF92">
        <f t="shared" si="19"/>
        <v>0</v>
      </c>
      <c r="BG92" s="35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-0.3</v>
      </c>
      <c r="BH92" s="35" cm="1">
        <f t="array" ref="BH92">$G$14+VLOOKUP($Q92,武学奇术!$A:$ZZ,16,FALSE)+SUM(_xlfn.XLOOKUP(R92:AF92,增益!$A:$A,增益!$P:$P,0))</f>
        <v>0</v>
      </c>
      <c r="BI92" s="27">
        <f>MIN(IF(VLOOKUP($Q92,武学奇术!$A:$ZZ,23,FALSE)=1,100%,$B$8),100%)</f>
        <v>0.9969</v>
      </c>
      <c r="BJ92" s="27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0.9137</v>
      </c>
      <c r="BK92" s="27" cm="1">
        <f t="array" ref="BK92">1+$B$13+VLOOKUP($Q92,武学奇术!$A:$ZZ,18,FALSE)+SUM(_xlfn.XLOOKUP(R92:AF92,增益!$A:$A,增益!$R:$R,0))</f>
        <v>1.6</v>
      </c>
      <c r="BL92" s="27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0.0895</v>
      </c>
      <c r="BM92" s="27" cm="1">
        <f t="array" ref="BM92">1+$B$14+VLOOKUP($Q92,武学奇术!$A:$ZZ,20,FALSE)+SUM(_xlfn.XLOOKUP(R92:AF92,增益!$A:$A,增益!$T:$T,0))</f>
        <v>1.35</v>
      </c>
      <c r="BN92" s="27">
        <f t="shared" si="20"/>
        <v>0.90767745</v>
      </c>
      <c r="BO92" s="27">
        <f t="shared" si="21"/>
        <v>-1.30104260698261e-17</v>
      </c>
      <c r="BP92" s="27">
        <f>IF(VLOOKUP($Q92,武学奇术!$A:$ZZ,22,FALSE)=1,0,(1-$BI92))*(1-$BL92)</f>
        <v>0.00282254999999999</v>
      </c>
      <c r="BQ92" s="27" cm="1">
        <f t="array" ref="BQ92">SUM(_xlfn.XLOOKUP(R92:AF92,增益!$A:$A,增益!$W:$W,0))+$I$5</f>
        <v>0.11</v>
      </c>
    </row>
    <row r="93" spans="5:69">
      <c r="K93" s="41">
        <f t="shared" si="11"/>
        <v>13476.7300540844</v>
      </c>
      <c r="L93" s="41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弹道",$B$21,0))*(1+$BQ93)</f>
        <v>13284.0534719297</v>
      </c>
      <c r="M93" s="41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弹道",$B$21,0))*(1+$BQ93)</f>
        <v>15698.8657114694</v>
      </c>
      <c r="N93" s="41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弹道",$B$21,0))*(1+$BQ93)</f>
        <v>8302.53341995605</v>
      </c>
      <c r="O93" s="41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弹道",$B$21,0))*(1+$BQ93)</f>
        <v>4976.27742400888</v>
      </c>
      <c r="P93" s="42">
        <v>1</v>
      </c>
      <c r="Q93" s="43" t="s">
        <v>107</v>
      </c>
      <c r="R93" s="43" t="s">
        <v>93</v>
      </c>
      <c r="S93" s="43" t="s">
        <v>158</v>
      </c>
      <c r="T93" s="43" t="s">
        <v>73</v>
      </c>
      <c r="U93" s="43" t="s">
        <v>159</v>
      </c>
      <c r="V93" s="43" t="s">
        <v>73</v>
      </c>
      <c r="W93" s="43" t="s">
        <v>73</v>
      </c>
      <c r="X93" s="43" t="s">
        <v>73</v>
      </c>
      <c r="Y93" s="43" t="s">
        <v>73</v>
      </c>
      <c r="Z93" s="43" t="s">
        <v>73</v>
      </c>
      <c r="AA93" s="43" t="s">
        <v>73</v>
      </c>
      <c r="AB93" s="43" t="s">
        <v>73</v>
      </c>
      <c r="AC93" s="43" t="s">
        <v>73</v>
      </c>
      <c r="AD93" s="43" t="s">
        <v>73</v>
      </c>
      <c r="AE93" s="43" t="s">
        <v>73</v>
      </c>
      <c r="AF93" s="43" t="s">
        <v>75</v>
      </c>
      <c r="AG93" t="str">
        <f>VLOOKUP($Q93,武学奇术!$A:$ZZ,25,FALSE)</f>
        <v>伞</v>
      </c>
      <c r="AH93" s="27">
        <f>VLOOKUP($Q93,武学奇术!$A:$ZZ,26,FALSE)</f>
        <v>0.54</v>
      </c>
      <c r="AI93" s="28">
        <f>VLOOKUP($Q93,武学奇术!$A:$ZZ,27,FALSE)*(1+IF(OR($AG93=$F$4,$AG93=$F$5),$B$22,0))</f>
        <v>207.2</v>
      </c>
      <c r="AJ93" s="27">
        <f>VLOOKUP($Q93,武学奇术!$A:$ZZ,28,FALSE)</f>
        <v>0.81</v>
      </c>
      <c r="AK93" s="28">
        <f>VLOOKUP($Q93,武学奇术!$A:$ZZ,29,FALSE)*(1+IF(OR($AG93=$F$4,$AG93=$F$5),$B$22,0))</f>
        <v>114.1</v>
      </c>
      <c r="AL93" s="27" cm="1">
        <f t="array" ref="AL93">$G$3+IFERROR(VLOOKUP($AG93,$F$4:$G$7,2,FALSE),0)+VLOOKUP($Q93,武学奇术!$A:$ZZ,2,FALSE)+SUM(_xlfn.XLOOKUP($R93:$AF93,增益!$A:$A,增益!$B:$B,0))</f>
        <v>0.3241</v>
      </c>
      <c r="AM93" s="27" cm="1">
        <f t="array" ref="AM93">VLOOKUP($Q93,武学奇术!$A:$ZZ,5,FALSE)+SUM(_xlfn.XLOOKUP($R93:$AF93,增益!$A:$A,增益!$E:$E,0))</f>
        <v>0.15</v>
      </c>
      <c r="AN93" cm="1">
        <f t="array" ref="AN93">$D$10*(1+$AM93)+VLOOKUP($Q93,武学奇术!$A:$ZZ,3,FALSE)+SUM(_xlfn.XLOOKUP($R93:$AF93,增益!$A:$A,增益!$C:$C,0))-$I$2</f>
        <v>2063.755</v>
      </c>
      <c r="AO93" cm="1">
        <f t="array" ref="AO93">$E$10*(1+$AM93)+VLOOKUP($Q93,武学奇术!$A:$ZZ,4,FALSE)+SUM(_xlfn.XLOOKUP($R93:$AF93,增益!$A:$A,增益!$D:$D,0))-$I$2</f>
        <v>6060.925</v>
      </c>
      <c r="AP93" s="35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0.2425</v>
      </c>
      <c r="AQ93" s="35" cm="1">
        <f t="array" ref="AQ93">$G$10+VLOOKUP($Q93,武学奇术!$A:$ZZ,7,FALSE)+SUM(_xlfn.XLOOKUP(R93:AF93,增益!$A:$A,增益!$G:$G,0))</f>
        <v>0.1</v>
      </c>
      <c r="AR93" s="27" cm="1">
        <f t="array" ref="AR93">VLOOKUP($Q93,武学奇术!$A:$ZZ,8,FALSE)+SUM(_xlfn.XLOOKUP(R93:AF93,增益!$A:$A,增益!$H:$H,0))</f>
        <v>0</v>
      </c>
      <c r="AS93">
        <f t="shared" si="12"/>
        <v>0</v>
      </c>
      <c r="AT93">
        <f t="shared" si="13"/>
        <v>0</v>
      </c>
      <c r="AU93" s="35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-0.3</v>
      </c>
      <c r="AV93" s="35" cm="1">
        <f t="array" ref="AV93">$G$11+VLOOKUP($Q93,武学奇术!$A:$ZZ,10,FALSE)+SUM(_xlfn.XLOOKUP(R93:AF93,增益!$A:$A,增益!$J:$J,0))</f>
        <v>0</v>
      </c>
      <c r="AW93">
        <f t="shared" si="14"/>
        <v>0</v>
      </c>
      <c r="AX93">
        <f t="shared" si="15"/>
        <v>0</v>
      </c>
      <c r="AY93" s="35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-0.3</v>
      </c>
      <c r="AZ93" s="35" cm="1">
        <f t="array" ref="AZ93">$G$12+VLOOKUP($Q93,武学奇术!$A:$ZZ,12,FALSE)+SUM(_xlfn.XLOOKUP(R93:AF93,增益!$A:$A,增益!$L:$L,0))</f>
        <v>0</v>
      </c>
      <c r="BA93">
        <f t="shared" si="16"/>
        <v>538</v>
      </c>
      <c r="BB93">
        <f t="shared" si="17"/>
        <v>1011</v>
      </c>
      <c r="BC93" s="35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0</v>
      </c>
      <c r="BD93" s="35" cm="1">
        <f t="array" ref="BD93">$G$13+VLOOKUP($Q93,武学奇术!$A:$ZZ,14,FALSE)+SUM(_xlfn.XLOOKUP(R93:AF93,增益!$A:$A,增益!$N:$N,0))</f>
        <v>0.25</v>
      </c>
      <c r="BE93">
        <f t="shared" si="18"/>
        <v>0</v>
      </c>
      <c r="BF93">
        <f t="shared" si="19"/>
        <v>0</v>
      </c>
      <c r="BG93" s="35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-0.3</v>
      </c>
      <c r="BH93" s="35" cm="1">
        <f t="array" ref="BH93">$G$14+VLOOKUP($Q93,武学奇术!$A:$ZZ,16,FALSE)+SUM(_xlfn.XLOOKUP(R93:AF93,增益!$A:$A,增益!$P:$P,0))</f>
        <v>0</v>
      </c>
      <c r="BI93" s="27">
        <f>MIN(IF(VLOOKUP($Q93,武学奇术!$A:$ZZ,23,FALSE)=1,100%,$B$8),100%)</f>
        <v>0.9969</v>
      </c>
      <c r="BJ93" s="27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0.9137</v>
      </c>
      <c r="BK93" s="27" cm="1">
        <f t="array" ref="BK93">1+$B$13+VLOOKUP($Q93,武学奇术!$A:$ZZ,18,FALSE)+SUM(_xlfn.XLOOKUP(R93:AF93,增益!$A:$A,增益!$R:$R,0))</f>
        <v>1.6</v>
      </c>
      <c r="BL93" s="27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0.0895</v>
      </c>
      <c r="BM93" s="27" cm="1">
        <f t="array" ref="BM93">1+$B$14+VLOOKUP($Q93,武学奇术!$A:$ZZ,20,FALSE)+SUM(_xlfn.XLOOKUP(R93:AF93,增益!$A:$A,增益!$T:$T,0))</f>
        <v>1.35</v>
      </c>
      <c r="BN93" s="27">
        <f t="shared" si="20"/>
        <v>0.90767745</v>
      </c>
      <c r="BO93" s="27">
        <f t="shared" si="21"/>
        <v>-1.30104260698261e-17</v>
      </c>
      <c r="BP93" s="27">
        <f>IF(VLOOKUP($Q93,武学奇术!$A:$ZZ,22,FALSE)=1,0,(1-$BI93))*(1-$BL93)</f>
        <v>0.00282254999999999</v>
      </c>
      <c r="BQ93" s="27" cm="1">
        <f t="array" ref="BQ93">SUM(_xlfn.XLOOKUP(R93:AF93,增益!$A:$A,增益!$W:$W,0))+$I$5</f>
        <v>0.11</v>
      </c>
    </row>
    <row r="94" spans="5:69">
      <c r="K94" s="41">
        <f t="shared" si="11"/>
        <v>53352.2177870938</v>
      </c>
      <c r="L94" s="41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弹道",$B$21,0))*(1+$BQ94)</f>
        <v>53624.7364550157</v>
      </c>
      <c r="M94" s="41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弹道",$B$21,0))*(1+$BQ94)</f>
        <v>51754.3364511801</v>
      </c>
      <c r="N94" s="41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弹道",$B$21,0))*(1+$BQ94)</f>
        <v>27359.5594158243</v>
      </c>
      <c r="O94" s="41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弹道",$B$21,0))*(1+$BQ94)</f>
        <v>16382.573312256</v>
      </c>
      <c r="P94" s="42">
        <v>1</v>
      </c>
      <c r="Q94" s="43" t="s">
        <v>109</v>
      </c>
      <c r="R94" s="43" t="s">
        <v>93</v>
      </c>
      <c r="S94" s="43" t="s">
        <v>158</v>
      </c>
      <c r="T94" s="43" t="s">
        <v>102</v>
      </c>
      <c r="U94" s="43" t="s">
        <v>159</v>
      </c>
      <c r="V94" s="43" t="s">
        <v>98</v>
      </c>
      <c r="W94" s="43" t="s">
        <v>73</v>
      </c>
      <c r="X94" s="43" t="s">
        <v>73</v>
      </c>
      <c r="Y94" s="43" t="s">
        <v>73</v>
      </c>
      <c r="Z94" s="43" t="s">
        <v>73</v>
      </c>
      <c r="AA94" s="43" t="s">
        <v>73</v>
      </c>
      <c r="AB94" s="43" t="s">
        <v>73</v>
      </c>
      <c r="AC94" s="43" t="s">
        <v>73</v>
      </c>
      <c r="AD94" s="43" t="s">
        <v>73</v>
      </c>
      <c r="AE94" s="43" t="s">
        <v>73</v>
      </c>
      <c r="AF94" s="43" t="s">
        <v>75</v>
      </c>
      <c r="AG94" t="str">
        <f>VLOOKUP($Q94,武学奇术!$A:$ZZ,25,FALSE)</f>
        <v>伞</v>
      </c>
      <c r="AH94" s="27">
        <f>VLOOKUP($Q94,武学奇术!$A:$ZZ,26,FALSE)</f>
        <v>1.174955</v>
      </c>
      <c r="AI94" s="28">
        <f>VLOOKUP($Q94,武学奇术!$A:$ZZ,27,FALSE)*(1+IF(OR($AG94=$F$4,$AG94=$F$5),$B$22,0))</f>
        <v>454.02</v>
      </c>
      <c r="AJ94" s="27">
        <f>VLOOKUP($Q94,武学奇术!$A:$ZZ,28,FALSE)</f>
        <v>1.762375</v>
      </c>
      <c r="AK94" s="28">
        <f>VLOOKUP($Q94,武学奇术!$A:$ZZ,29,FALSE)*(1+IF(OR($AG94=$F$4,$AG94=$F$5),$B$22,0))</f>
        <v>247.94</v>
      </c>
      <c r="AL94" s="27" cm="1">
        <f t="array" ref="AL94">$G$3+IFERROR(VLOOKUP($AG94,$F$4:$G$7,2,FALSE),0)+VLOOKUP($Q94,武学奇术!$A:$ZZ,2,FALSE)+SUM(_xlfn.XLOOKUP($R94:$AF94,增益!$A:$A,增益!$B:$B,0))</f>
        <v>0.9741</v>
      </c>
      <c r="AM94" s="27" cm="1">
        <f t="array" ref="AM94">VLOOKUP($Q94,武学奇术!$A:$ZZ,5,FALSE)+SUM(_xlfn.XLOOKUP($R94:$AF94,增益!$A:$A,增益!$E:$E,0))</f>
        <v>0.15</v>
      </c>
      <c r="AN94" cm="1">
        <f t="array" ref="AN94">$D$10*(1+$AM94)+VLOOKUP($Q94,武学奇术!$A:$ZZ,3,FALSE)+SUM(_xlfn.XLOOKUP($R94:$AF94,增益!$A:$A,增益!$C:$C,0))-$I$2</f>
        <v>2063.755</v>
      </c>
      <c r="AO94" cm="1">
        <f t="array" ref="AO94">$E$10*(1+$AM94)+VLOOKUP($Q94,武学奇术!$A:$ZZ,4,FALSE)+SUM(_xlfn.XLOOKUP($R94:$AF94,增益!$A:$A,增益!$D:$D,0))-$I$2</f>
        <v>6060.925</v>
      </c>
      <c r="AP94" s="35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0.2675</v>
      </c>
      <c r="AQ94" s="35" cm="1">
        <f t="array" ref="AQ94">$G$10+VLOOKUP($Q94,武学奇术!$A:$ZZ,7,FALSE)+SUM(_xlfn.XLOOKUP(R94:AF94,增益!$A:$A,增益!$G:$G,0))</f>
        <v>0.1</v>
      </c>
      <c r="AR94" s="27" cm="1">
        <f t="array" ref="AR94">VLOOKUP($Q94,武学奇术!$A:$ZZ,8,FALSE)+SUM(_xlfn.XLOOKUP(R94:AF94,增益!$A:$A,增益!$H:$H,0))</f>
        <v>0</v>
      </c>
      <c r="AS94">
        <f t="shared" si="12"/>
        <v>0</v>
      </c>
      <c r="AT94">
        <f t="shared" si="13"/>
        <v>0</v>
      </c>
      <c r="AU94" s="35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35" cm="1">
        <f t="array" ref="AV94">$G$11+VLOOKUP($Q94,武学奇术!$A:$ZZ,10,FALSE)+SUM(_xlfn.XLOOKUP(R94:AF94,增益!$A:$A,增益!$J:$J,0))</f>
        <v>0</v>
      </c>
      <c r="AW94">
        <f t="shared" si="14"/>
        <v>0</v>
      </c>
      <c r="AX94">
        <f t="shared" si="15"/>
        <v>0</v>
      </c>
      <c r="AY94" s="35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-0.3</v>
      </c>
      <c r="AZ94" s="35" cm="1">
        <f t="array" ref="AZ94">$G$12+VLOOKUP($Q94,武学奇术!$A:$ZZ,12,FALSE)+SUM(_xlfn.XLOOKUP(R94:AF94,增益!$A:$A,增益!$L:$L,0))</f>
        <v>0</v>
      </c>
      <c r="BA94">
        <f t="shared" si="16"/>
        <v>538</v>
      </c>
      <c r="BB94">
        <f t="shared" si="17"/>
        <v>1011</v>
      </c>
      <c r="BC94" s="35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0</v>
      </c>
      <c r="BD94" s="35" cm="1">
        <f t="array" ref="BD94">$G$13+VLOOKUP($Q94,武学奇术!$A:$ZZ,14,FALSE)+SUM(_xlfn.XLOOKUP(R94:AF94,增益!$A:$A,增益!$N:$N,0))</f>
        <v>0.25</v>
      </c>
      <c r="BE94">
        <f t="shared" si="18"/>
        <v>0</v>
      </c>
      <c r="BF94">
        <f t="shared" si="19"/>
        <v>0</v>
      </c>
      <c r="BG94" s="35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-0.3</v>
      </c>
      <c r="BH94" s="35" cm="1">
        <f t="array" ref="BH94">$G$14+VLOOKUP($Q94,武学奇术!$A:$ZZ,16,FALSE)+SUM(_xlfn.XLOOKUP(R94:AF94,增益!$A:$A,增益!$P:$P,0))</f>
        <v>0</v>
      </c>
      <c r="BI94" s="27">
        <f>MIN(IF(VLOOKUP($Q94,武学奇术!$A:$ZZ,23,FALSE)=1,100%,$B$8),100%)</f>
        <v>0.9969</v>
      </c>
      <c r="BJ94" s="27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0.9137</v>
      </c>
      <c r="BK94" s="27" cm="1">
        <f t="array" ref="BK94">1+$B$13+VLOOKUP($Q94,武学奇术!$A:$ZZ,18,FALSE)+SUM(_xlfn.XLOOKUP(R94:AF94,增益!$A:$A,增益!$R:$R,0))</f>
        <v>1.96</v>
      </c>
      <c r="BL94" s="27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0.0895</v>
      </c>
      <c r="BM94" s="27" cm="1">
        <f t="array" ref="BM94">1+$B$14+VLOOKUP($Q94,武学奇术!$A:$ZZ,20,FALSE)+SUM(_xlfn.XLOOKUP(R94:AF94,增益!$A:$A,增益!$T:$T,0))</f>
        <v>1.35</v>
      </c>
      <c r="BN94" s="27">
        <f t="shared" si="20"/>
        <v>0.90767745</v>
      </c>
      <c r="BO94" s="27">
        <f t="shared" si="21"/>
        <v>-1.30104260698261e-17</v>
      </c>
      <c r="BP94" s="27">
        <f>IF(VLOOKUP($Q94,武学奇术!$A:$ZZ,22,FALSE)=1,0,(1-$BI94))*(1-$BL94)</f>
        <v>0.00282254999999999</v>
      </c>
      <c r="BQ94" s="27" cm="1">
        <f t="array" ref="BQ94">SUM(_xlfn.XLOOKUP(R94:AF94,增益!$A:$A,增益!$W:$W,0))+$I$5</f>
        <v>0.11</v>
      </c>
    </row>
    <row r="95" spans="5:69">
      <c r="K95" s="41">
        <f t="shared" si="11"/>
        <v>266761.088935469</v>
      </c>
      <c r="L95" s="41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弹道",$B$21,0))*(1+$BQ95)</f>
        <v>268123.682275078</v>
      </c>
      <c r="M95" s="41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弹道",$B$21,0))*(1+$BQ95)</f>
        <v>258771.6822559</v>
      </c>
      <c r="N95" s="41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弹道",$B$21,0))*(1+$BQ95)</f>
        <v>136797.797079122</v>
      </c>
      <c r="O95" s="41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弹道",$B$21,0))*(1+$BQ95)</f>
        <v>81912.8665612801</v>
      </c>
      <c r="P95" s="42">
        <v>5</v>
      </c>
      <c r="Q95" s="43" t="s">
        <v>109</v>
      </c>
      <c r="R95" s="43" t="s">
        <v>93</v>
      </c>
      <c r="S95" s="43" t="s">
        <v>158</v>
      </c>
      <c r="T95" s="43" t="s">
        <v>102</v>
      </c>
      <c r="U95" s="43" t="s">
        <v>159</v>
      </c>
      <c r="V95" s="43" t="s">
        <v>98</v>
      </c>
      <c r="W95" s="43" t="s">
        <v>73</v>
      </c>
      <c r="X95" s="43" t="s">
        <v>73</v>
      </c>
      <c r="Y95" s="43" t="s">
        <v>73</v>
      </c>
      <c r="Z95" s="43" t="s">
        <v>73</v>
      </c>
      <c r="AA95" s="43" t="s">
        <v>73</v>
      </c>
      <c r="AB95" s="43" t="s">
        <v>73</v>
      </c>
      <c r="AC95" s="43" t="s">
        <v>73</v>
      </c>
      <c r="AD95" s="43" t="s">
        <v>73</v>
      </c>
      <c r="AE95" s="43" t="s">
        <v>73</v>
      </c>
      <c r="AF95" s="43" t="s">
        <v>75</v>
      </c>
      <c r="AG95" t="str">
        <f>VLOOKUP($Q95,武学奇术!$A:$ZZ,25,FALSE)</f>
        <v>伞</v>
      </c>
      <c r="AH95" s="27">
        <f>VLOOKUP($Q95,武学奇术!$A:$ZZ,26,FALSE)</f>
        <v>1.174955</v>
      </c>
      <c r="AI95" s="28">
        <f>VLOOKUP($Q95,武学奇术!$A:$ZZ,27,FALSE)*(1+IF(OR($AG95=$F$4,$AG95=$F$5),$B$22,0))</f>
        <v>454.02</v>
      </c>
      <c r="AJ95" s="27">
        <f>VLOOKUP($Q95,武学奇术!$A:$ZZ,28,FALSE)</f>
        <v>1.762375</v>
      </c>
      <c r="AK95" s="28">
        <f>VLOOKUP($Q95,武学奇术!$A:$ZZ,29,FALSE)*(1+IF(OR($AG95=$F$4,$AG95=$F$5),$B$22,0))</f>
        <v>247.94</v>
      </c>
      <c r="AL95" s="27" cm="1">
        <f t="array" ref="AL95">$G$3+IFERROR(VLOOKUP($AG95,$F$4:$G$7,2,FALSE),0)+VLOOKUP($Q95,武学奇术!$A:$ZZ,2,FALSE)+SUM(_xlfn.XLOOKUP($R95:$AF95,增益!$A:$A,增益!$B:$B,0))</f>
        <v>0.9741</v>
      </c>
      <c r="AM95" s="27" cm="1">
        <f t="array" ref="AM95">VLOOKUP($Q95,武学奇术!$A:$ZZ,5,FALSE)+SUM(_xlfn.XLOOKUP($R95:$AF95,增益!$A:$A,增益!$E:$E,0))</f>
        <v>0.15</v>
      </c>
      <c r="AN95" cm="1">
        <f t="array" ref="AN95">$D$10*(1+$AM95)+VLOOKUP($Q95,武学奇术!$A:$ZZ,3,FALSE)+SUM(_xlfn.XLOOKUP($R95:$AF95,增益!$A:$A,增益!$C:$C,0))-$I$2</f>
        <v>2063.755</v>
      </c>
      <c r="AO95" cm="1">
        <f t="array" ref="AO95">$E$10*(1+$AM95)+VLOOKUP($Q95,武学奇术!$A:$ZZ,4,FALSE)+SUM(_xlfn.XLOOKUP($R95:$AF95,增益!$A:$A,增益!$D:$D,0))-$I$2</f>
        <v>6060.925</v>
      </c>
      <c r="AP95" s="35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0.2675</v>
      </c>
      <c r="AQ95" s="35" cm="1">
        <f t="array" ref="AQ95">$G$10+VLOOKUP($Q95,武学奇术!$A:$ZZ,7,FALSE)+SUM(_xlfn.XLOOKUP(R95:AF95,增益!$A:$A,增益!$G:$G,0))</f>
        <v>0.1</v>
      </c>
      <c r="AR95" s="27" cm="1">
        <f t="array" ref="AR95">VLOOKUP($Q95,武学奇术!$A:$ZZ,8,FALSE)+SUM(_xlfn.XLOOKUP(R95:AF95,增益!$A:$A,增益!$H:$H,0))</f>
        <v>0</v>
      </c>
      <c r="AS95">
        <f t="shared" si="12"/>
        <v>0</v>
      </c>
      <c r="AT95">
        <f t="shared" si="13"/>
        <v>0</v>
      </c>
      <c r="AU95" s="35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35" cm="1">
        <f t="array" ref="AV95">$G$11+VLOOKUP($Q95,武学奇术!$A:$ZZ,10,FALSE)+SUM(_xlfn.XLOOKUP(R95:AF95,增益!$A:$A,增益!$J:$J,0))</f>
        <v>0</v>
      </c>
      <c r="AW95">
        <f t="shared" si="14"/>
        <v>0</v>
      </c>
      <c r="AX95">
        <f t="shared" si="15"/>
        <v>0</v>
      </c>
      <c r="AY95" s="35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-0.3</v>
      </c>
      <c r="AZ95" s="35" cm="1">
        <f t="array" ref="AZ95">$G$12+VLOOKUP($Q95,武学奇术!$A:$ZZ,12,FALSE)+SUM(_xlfn.XLOOKUP(R95:AF95,增益!$A:$A,增益!$L:$L,0))</f>
        <v>0</v>
      </c>
      <c r="BA95">
        <f t="shared" si="16"/>
        <v>538</v>
      </c>
      <c r="BB95">
        <f t="shared" si="17"/>
        <v>1011</v>
      </c>
      <c r="BC95" s="35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0</v>
      </c>
      <c r="BD95" s="35" cm="1">
        <f t="array" ref="BD95">$G$13+VLOOKUP($Q95,武学奇术!$A:$ZZ,14,FALSE)+SUM(_xlfn.XLOOKUP(R95:AF95,增益!$A:$A,增益!$N:$N,0))</f>
        <v>0.25</v>
      </c>
      <c r="BE95">
        <f t="shared" si="18"/>
        <v>0</v>
      </c>
      <c r="BF95">
        <f t="shared" si="19"/>
        <v>0</v>
      </c>
      <c r="BG95" s="35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-0.3</v>
      </c>
      <c r="BH95" s="35" cm="1">
        <f t="array" ref="BH95">$G$14+VLOOKUP($Q95,武学奇术!$A:$ZZ,16,FALSE)+SUM(_xlfn.XLOOKUP(R95:AF95,增益!$A:$A,增益!$P:$P,0))</f>
        <v>0</v>
      </c>
      <c r="BI95" s="27">
        <f>MIN(IF(VLOOKUP($Q95,武学奇术!$A:$ZZ,23,FALSE)=1,100%,$B$8),100%)</f>
        <v>0.9969</v>
      </c>
      <c r="BJ95" s="27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0.9137</v>
      </c>
      <c r="BK95" s="27" cm="1">
        <f t="array" ref="BK95">1+$B$13+VLOOKUP($Q95,武学奇术!$A:$ZZ,18,FALSE)+SUM(_xlfn.XLOOKUP(R95:AF95,增益!$A:$A,增益!$R:$R,0))</f>
        <v>1.96</v>
      </c>
      <c r="BL95" s="27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0.0895</v>
      </c>
      <c r="BM95" s="27" cm="1">
        <f t="array" ref="BM95">1+$B$14+VLOOKUP($Q95,武学奇术!$A:$ZZ,20,FALSE)+SUM(_xlfn.XLOOKUP(R95:AF95,增益!$A:$A,增益!$T:$T,0))</f>
        <v>1.35</v>
      </c>
      <c r="BN95" s="27">
        <f t="shared" si="20"/>
        <v>0.90767745</v>
      </c>
      <c r="BO95" s="27">
        <f t="shared" si="21"/>
        <v>-1.30104260698261e-17</v>
      </c>
      <c r="BP95" s="27">
        <f>IF(VLOOKUP($Q95,武学奇术!$A:$ZZ,22,FALSE)=1,0,(1-$BI95))*(1-$BL95)</f>
        <v>0.00282254999999999</v>
      </c>
      <c r="BQ95" s="27" cm="1">
        <f t="array" ref="BQ95">SUM(_xlfn.XLOOKUP(R95:AF95,增益!$A:$A,增益!$W:$W,0))+$I$5</f>
        <v>0.11</v>
      </c>
    </row>
    <row r="96" spans="5:69">
      <c r="K96" s="41">
        <f t="shared" si="11"/>
        <v>120717.986255431</v>
      </c>
      <c r="L96" s="41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弹道",$B$21,0))*(1+$BQ96)</f>
        <v>118677.256139541</v>
      </c>
      <c r="M96" s="41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弹道",$B$21,0))*(1+$BQ96)</f>
        <v>143904.740235203</v>
      </c>
      <c r="N96" s="41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弹道",$B$21,0))*(1+$BQ96)</f>
        <v>74173.2850872133</v>
      </c>
      <c r="O96" s="41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弹道",$B$21,0))*(1+$BQ96)</f>
        <v>41750.4662964987</v>
      </c>
      <c r="P96" s="42">
        <v>1</v>
      </c>
      <c r="Q96" s="43" t="s">
        <v>161</v>
      </c>
      <c r="R96" s="43" t="s">
        <v>93</v>
      </c>
      <c r="S96" s="43" t="s">
        <v>158</v>
      </c>
      <c r="T96" s="43" t="s">
        <v>73</v>
      </c>
      <c r="U96" s="43" t="s">
        <v>159</v>
      </c>
      <c r="V96" s="43" t="s">
        <v>73</v>
      </c>
      <c r="W96" s="43" t="s">
        <v>73</v>
      </c>
      <c r="X96" s="43" t="s">
        <v>73</v>
      </c>
      <c r="Y96" s="43" t="s">
        <v>73</v>
      </c>
      <c r="Z96" s="43" t="s">
        <v>73</v>
      </c>
      <c r="AA96" s="43" t="s">
        <v>73</v>
      </c>
      <c r="AB96" s="43" t="s">
        <v>73</v>
      </c>
      <c r="AC96" s="43" t="s">
        <v>73</v>
      </c>
      <c r="AD96" s="43" t="s">
        <v>73</v>
      </c>
      <c r="AE96" s="43" t="s">
        <v>73</v>
      </c>
      <c r="AF96" s="43" t="s">
        <v>75</v>
      </c>
      <c r="AG96" t="str">
        <f>VLOOKUP($Q96,武学奇术!$A:$ZZ,25,FALSE)</f>
        <v>单体奇术</v>
      </c>
      <c r="AH96" s="27">
        <f>VLOOKUP($Q96,武学奇术!$A:$ZZ,26,FALSE)</f>
        <v>7.1074</v>
      </c>
      <c r="AI96" s="28">
        <f>VLOOKUP($Q96,武学奇术!$A:$ZZ,27,FALSE)*(1+IF(OR($AG96=$F$4,$AG96=$F$5),$B$22,0))</f>
        <v>1320</v>
      </c>
      <c r="AJ96" s="27">
        <f>VLOOKUP($Q96,武学奇术!$A:$ZZ,28,FALSE)</f>
        <v>10.6596</v>
      </c>
      <c r="AK96" s="28">
        <f>VLOOKUP($Q96,武学奇术!$A:$ZZ,29,FALSE)*(1+IF(OR($AG96=$F$4,$AG96=$F$5),$B$22,0))</f>
        <v>0</v>
      </c>
      <c r="AL96" s="27" cm="1">
        <f t="array" ref="AL96">$G$3+IFERROR(VLOOKUP($AG96,$F$4:$G$7,2,FALSE),0)+VLOOKUP($Q96,武学奇术!$A:$ZZ,2,FALSE)+SUM(_xlfn.XLOOKUP($R96:$AF96,增益!$A:$A,增益!$B:$B,0))</f>
        <v>0.4215</v>
      </c>
      <c r="AM96" s="27" cm="1">
        <f t="array" ref="AM96">VLOOKUP($Q96,武学奇术!$A:$ZZ,5,FALSE)+SUM(_xlfn.XLOOKUP($R96:$AF96,增益!$A:$A,增益!$E:$E,0))</f>
        <v>0.15</v>
      </c>
      <c r="AN96" cm="1">
        <f t="array" ref="AN96">$D$10*(1+$AM96)+VLOOKUP($Q96,武学奇术!$A:$ZZ,3,FALSE)+SUM(_xlfn.XLOOKUP($R96:$AF96,增益!$A:$A,增益!$C:$C,0))-$I$2</f>
        <v>2063.755</v>
      </c>
      <c r="AO96" cm="1">
        <f t="array" ref="AO96">$E$10*(1+$AM96)+VLOOKUP($Q96,武学奇术!$A:$ZZ,4,FALSE)+SUM(_xlfn.XLOOKUP($R96:$AF96,增益!$A:$A,增益!$D:$D,0))-$I$2</f>
        <v>6060.925</v>
      </c>
      <c r="AP96" s="35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0.2425</v>
      </c>
      <c r="AQ96" s="35" cm="1">
        <f t="array" ref="AQ96">$G$10+VLOOKUP($Q96,武学奇术!$A:$ZZ,7,FALSE)+SUM(_xlfn.XLOOKUP(R96:AF96,增益!$A:$A,增益!$G:$G,0))</f>
        <v>0</v>
      </c>
      <c r="AR96" s="27" cm="1">
        <f t="array" ref="AR96">VLOOKUP($Q96,武学奇术!$A:$ZZ,8,FALSE)+SUM(_xlfn.XLOOKUP(R96:AF96,增益!$A:$A,增益!$H:$H,0))</f>
        <v>0</v>
      </c>
      <c r="AS96">
        <f t="shared" si="12"/>
        <v>0</v>
      </c>
      <c r="AT96">
        <f t="shared" si="13"/>
        <v>0</v>
      </c>
      <c r="AU96" s="35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-0.3</v>
      </c>
      <c r="AV96" s="35" cm="1">
        <f t="array" ref="AV96">$G$11+VLOOKUP($Q96,武学奇术!$A:$ZZ,10,FALSE)+SUM(_xlfn.XLOOKUP(R96:AF96,增益!$A:$A,增益!$J:$J,0))</f>
        <v>0</v>
      </c>
      <c r="AW96">
        <f t="shared" si="14"/>
        <v>0</v>
      </c>
      <c r="AX96">
        <f t="shared" si="15"/>
        <v>0</v>
      </c>
      <c r="AY96" s="35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-0.3</v>
      </c>
      <c r="AZ96" s="35" cm="1">
        <f t="array" ref="AZ96">$G$12+VLOOKUP($Q96,武学奇术!$A:$ZZ,12,FALSE)+SUM(_xlfn.XLOOKUP(R96:AF96,增益!$A:$A,增益!$L:$L,0))</f>
        <v>0</v>
      </c>
      <c r="BA96">
        <f t="shared" si="16"/>
        <v>538</v>
      </c>
      <c r="BB96">
        <f t="shared" si="17"/>
        <v>1011</v>
      </c>
      <c r="BC96" s="35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0</v>
      </c>
      <c r="BD96" s="35" cm="1">
        <f t="array" ref="BD96">$G$13+VLOOKUP($Q96,武学奇术!$A:$ZZ,14,FALSE)+SUM(_xlfn.XLOOKUP(R96:AF96,增益!$A:$A,增益!$N:$N,0))</f>
        <v>0.15</v>
      </c>
      <c r="BE96">
        <f t="shared" si="18"/>
        <v>0</v>
      </c>
      <c r="BF96">
        <f t="shared" si="19"/>
        <v>0</v>
      </c>
      <c r="BG96" s="35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-0.3</v>
      </c>
      <c r="BH96" s="35" cm="1">
        <f t="array" ref="BH96">$G$14+VLOOKUP($Q96,武学奇术!$A:$ZZ,16,FALSE)+SUM(_xlfn.XLOOKUP(R96:AF96,增益!$A:$A,增益!$P:$P,0))</f>
        <v>0</v>
      </c>
      <c r="BI96" s="27">
        <f>MIN(IF(VLOOKUP($Q96,武学奇术!$A:$ZZ,23,FALSE)=1,100%,$B$8),100%)</f>
        <v>0.9969</v>
      </c>
      <c r="BJ96" s="27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0.9137</v>
      </c>
      <c r="BK96" s="27" cm="1">
        <f t="array" ref="BK96">1+$B$13+VLOOKUP($Q96,武学奇术!$A:$ZZ,18,FALSE)+SUM(_xlfn.XLOOKUP(R96:AF96,增益!$A:$A,增益!$R:$R,0))</f>
        <v>1.6</v>
      </c>
      <c r="BL96" s="27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0.0895</v>
      </c>
      <c r="BM96" s="27" cm="1">
        <f t="array" ref="BM96">1+$B$14+VLOOKUP($Q96,武学奇术!$A:$ZZ,20,FALSE)+SUM(_xlfn.XLOOKUP(R96:AF96,增益!$A:$A,增益!$T:$T,0))</f>
        <v>1.35</v>
      </c>
      <c r="BN96" s="27">
        <f t="shared" si="20"/>
        <v>0.90767745</v>
      </c>
      <c r="BO96" s="27">
        <f t="shared" si="21"/>
        <v>-1.30104260698261e-17</v>
      </c>
      <c r="BP96" s="27">
        <f>IF(VLOOKUP($Q96,武学奇术!$A:$ZZ,22,FALSE)=1,0,(1-$BI96))*(1-$BL96)</f>
        <v>0.00282254999999999</v>
      </c>
      <c r="BQ96" s="27" cm="1">
        <f t="array" ref="BQ96">SUM(_xlfn.XLOOKUP(R96:AF96,增益!$A:$A,增益!$W:$W,0))+$I$5</f>
        <v>0.11</v>
      </c>
    </row>
    <row r="97" spans="1:69">
      <c r="K97" s="41">
        <f t="shared" si="11"/>
        <v>193445.84889595</v>
      </c>
      <c r="L97" s="41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弹道",$B$21,0))*(1+$BQ97)</f>
        <v>196347.017347418</v>
      </c>
      <c r="M97" s="41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弹道",$B$21,0))*(1+$BQ97)</f>
        <v>168455.349404082</v>
      </c>
      <c r="N97" s="41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弹道",$B$21,0))*(1+$BQ97)</f>
        <v>88844.8042296009</v>
      </c>
      <c r="O97" s="41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弹道",$B$21,0))*(1+$BQ97)</f>
        <v>52907.868159882</v>
      </c>
      <c r="P97" s="42">
        <v>2</v>
      </c>
      <c r="Q97" s="43" t="s">
        <v>97</v>
      </c>
      <c r="R97" s="43" t="s">
        <v>93</v>
      </c>
      <c r="S97" s="43" t="s">
        <v>158</v>
      </c>
      <c r="T97" s="43" t="s">
        <v>102</v>
      </c>
      <c r="U97" s="43" t="s">
        <v>159</v>
      </c>
      <c r="V97" s="43" t="s">
        <v>98</v>
      </c>
      <c r="W97" s="43" t="s">
        <v>73</v>
      </c>
      <c r="X97" s="43" t="s">
        <v>73</v>
      </c>
      <c r="Y97" s="43" t="s">
        <v>164</v>
      </c>
      <c r="Z97" s="43" t="s">
        <v>73</v>
      </c>
      <c r="AA97" s="43" t="s">
        <v>73</v>
      </c>
      <c r="AB97" s="43" t="s">
        <v>73</v>
      </c>
      <c r="AC97" s="43" t="s">
        <v>73</v>
      </c>
      <c r="AD97" s="43" t="s">
        <v>73</v>
      </c>
      <c r="AE97" s="43" t="s">
        <v>73</v>
      </c>
      <c r="AF97" s="43" t="s">
        <v>75</v>
      </c>
      <c r="AG97" t="str">
        <f>VLOOKUP($Q97,武学奇术!$A:$ZZ,25,FALSE)</f>
        <v>伞</v>
      </c>
      <c r="AH97" s="27">
        <f>VLOOKUP($Q97,武学奇术!$A:$ZZ,26,FALSE)</f>
        <v>2.3397</v>
      </c>
      <c r="AI97" s="28">
        <f>VLOOKUP($Q97,武学奇术!$A:$ZZ,27,FALSE)*(1+IF(OR($AG97=$F$4,$AG97=$F$5),$B$22,0))</f>
        <v>907.2</v>
      </c>
      <c r="AJ97" s="27">
        <f>VLOOKUP($Q97,武学奇术!$A:$ZZ,28,FALSE)</f>
        <v>3.5095</v>
      </c>
      <c r="AK97" s="28">
        <f>VLOOKUP($Q97,武学奇术!$A:$ZZ,29,FALSE)*(1+IF(OR($AG97=$F$4,$AG97=$F$5),$B$22,0))</f>
        <v>494.2</v>
      </c>
      <c r="AL97" s="27" cm="1">
        <f t="array" ref="AL97">$G$3+IFERROR(VLOOKUP($AG97,$F$4:$G$7,2,FALSE),0)+VLOOKUP($Q97,武学奇术!$A:$ZZ,2,FALSE)+SUM(_xlfn.XLOOKUP($R97:$AF97,增益!$A:$A,增益!$B:$B,0))</f>
        <v>0.9741</v>
      </c>
      <c r="AM97" s="27" cm="1">
        <f t="array" ref="AM97">VLOOKUP($Q97,武学奇术!$A:$ZZ,5,FALSE)+SUM(_xlfn.XLOOKUP($R97:$AF97,增益!$A:$A,增益!$E:$E,0))</f>
        <v>0.15</v>
      </c>
      <c r="AN97" cm="1">
        <f t="array" ref="AN97">$D$10*(1+$AM97)+VLOOKUP($Q97,武学奇术!$A:$ZZ,3,FALSE)+SUM(_xlfn.XLOOKUP($R97:$AF97,增益!$A:$A,增益!$C:$C,0))-$I$2</f>
        <v>2063.755</v>
      </c>
      <c r="AO97" cm="1">
        <f t="array" ref="AO97">$E$10*(1+$AM97)+VLOOKUP($Q97,武学奇术!$A:$ZZ,4,FALSE)+SUM(_xlfn.XLOOKUP($R97:$AF97,增益!$A:$A,增益!$D:$D,0))-$I$2</f>
        <v>6060.925</v>
      </c>
      <c r="AP97" s="35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0.3925</v>
      </c>
      <c r="AQ97" s="35" cm="1">
        <f t="array" ref="AQ97">$G$10+VLOOKUP($Q97,武学奇术!$A:$ZZ,7,FALSE)+SUM(_xlfn.XLOOKUP(R97:AF97,增益!$A:$A,增益!$G:$G,0))</f>
        <v>0.1</v>
      </c>
      <c r="AR97" s="27" cm="1">
        <f t="array" ref="AR97">VLOOKUP($Q97,武学奇术!$A:$ZZ,8,FALSE)+SUM(_xlfn.XLOOKUP(R97:AF97,增益!$A:$A,增益!$H:$H,0))</f>
        <v>0</v>
      </c>
      <c r="AS97">
        <f t="shared" si="12"/>
        <v>0</v>
      </c>
      <c r="AT97">
        <f t="shared" si="13"/>
        <v>0</v>
      </c>
      <c r="AU97" s="35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-0.3</v>
      </c>
      <c r="AV97" s="35" cm="1">
        <f t="array" ref="AV97">$G$11+VLOOKUP($Q97,武学奇术!$A:$ZZ,10,FALSE)+SUM(_xlfn.XLOOKUP(R97:AF97,增益!$A:$A,增益!$J:$J,0))</f>
        <v>0</v>
      </c>
      <c r="AW97">
        <f t="shared" si="14"/>
        <v>0</v>
      </c>
      <c r="AX97">
        <f t="shared" si="15"/>
        <v>0</v>
      </c>
      <c r="AY97" s="35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-0.3</v>
      </c>
      <c r="AZ97" s="35" cm="1">
        <f t="array" ref="AZ97">$G$12+VLOOKUP($Q97,武学奇术!$A:$ZZ,12,FALSE)+SUM(_xlfn.XLOOKUP(R97:AF97,增益!$A:$A,增益!$L:$L,0))</f>
        <v>0</v>
      </c>
      <c r="BA97">
        <f t="shared" si="16"/>
        <v>538</v>
      </c>
      <c r="BB97">
        <f t="shared" si="17"/>
        <v>1011</v>
      </c>
      <c r="BC97" s="35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0</v>
      </c>
      <c r="BD97" s="35" cm="1">
        <f t="array" ref="BD97">$G$13+VLOOKUP($Q97,武学奇术!$A:$ZZ,14,FALSE)+SUM(_xlfn.XLOOKUP(R97:AF97,增益!$A:$A,增益!$N:$N,0))</f>
        <v>0.25</v>
      </c>
      <c r="BE97">
        <f t="shared" si="18"/>
        <v>0</v>
      </c>
      <c r="BF97">
        <f t="shared" si="19"/>
        <v>0</v>
      </c>
      <c r="BG97" s="35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-0.3</v>
      </c>
      <c r="BH97" s="35" cm="1">
        <f t="array" ref="BH97">$G$14+VLOOKUP($Q97,武学奇术!$A:$ZZ,16,FALSE)+SUM(_xlfn.XLOOKUP(R97:AF97,增益!$A:$A,增益!$P:$P,0))</f>
        <v>0</v>
      </c>
      <c r="BI97" s="27">
        <f>MIN(IF(VLOOKUP($Q97,武学奇术!$A:$ZZ,23,FALSE)=1,100%,$B$8),100%)</f>
        <v>0.9969</v>
      </c>
      <c r="BJ97" s="27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0.9137</v>
      </c>
      <c r="BK97" s="27" cm="1">
        <f t="array" ref="BK97">1+$B$13+VLOOKUP($Q97,武学奇术!$A:$ZZ,18,FALSE)+SUM(_xlfn.XLOOKUP(R97:AF97,增益!$A:$A,增益!$R:$R,0))</f>
        <v>2.21</v>
      </c>
      <c r="BL97" s="27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0.0895</v>
      </c>
      <c r="BM97" s="27" cm="1">
        <f t="array" ref="BM97">1+$B$14+VLOOKUP($Q97,武学奇术!$A:$ZZ,20,FALSE)+SUM(_xlfn.XLOOKUP(R97:AF97,增益!$A:$A,增益!$T:$T,0))</f>
        <v>1.35</v>
      </c>
      <c r="BN97" s="27">
        <f t="shared" si="20"/>
        <v>0.90767745</v>
      </c>
      <c r="BO97" s="27">
        <f t="shared" si="21"/>
        <v>-1.30104260698261e-17</v>
      </c>
      <c r="BP97" s="27">
        <f>IF(VLOOKUP($Q97,武学奇术!$A:$ZZ,22,FALSE)=1,0,(1-$BI97))*(1-$BL97)</f>
        <v>0.00282254999999999</v>
      </c>
      <c r="BQ97" s="27" cm="1">
        <f t="array" ref="BQ97">SUM(_xlfn.XLOOKUP(R97:AF97,增益!$A:$A,增益!$W:$W,0))+$I$5</f>
        <v>0.11</v>
      </c>
    </row>
    <row r="98" spans="1:69">
      <c r="K98" s="41">
        <f t="shared" si="11"/>
        <v>16549.351031569</v>
      </c>
      <c r="L98" s="41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弹道",$B$21,0))*(1+$BQ98)</f>
        <v>16544.5265592511</v>
      </c>
      <c r="M98" s="41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弹道",$B$21,0))*(1+$BQ98)</f>
        <v>16952.1391149174</v>
      </c>
      <c r="N98" s="41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弹道",$B$21,0))*(1+$BQ98)</f>
        <v>8942.98732932495</v>
      </c>
      <c r="O98" s="41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弹道",$B$21,0))*(1+$BQ98)</f>
        <v>5328.83457352592</v>
      </c>
      <c r="P98" s="42">
        <v>1</v>
      </c>
      <c r="Q98" s="43" t="s">
        <v>107</v>
      </c>
      <c r="R98" s="43" t="s">
        <v>93</v>
      </c>
      <c r="S98" s="43" t="s">
        <v>158</v>
      </c>
      <c r="T98" s="43" t="s">
        <v>73</v>
      </c>
      <c r="U98" s="43" t="s">
        <v>159</v>
      </c>
      <c r="V98" s="43" t="s">
        <v>73</v>
      </c>
      <c r="W98" s="43" t="s">
        <v>73</v>
      </c>
      <c r="X98" s="43" t="s">
        <v>73</v>
      </c>
      <c r="Y98" s="43" t="s">
        <v>164</v>
      </c>
      <c r="Z98" s="43" t="s">
        <v>73</v>
      </c>
      <c r="AA98" s="43" t="s">
        <v>73</v>
      </c>
      <c r="AB98" s="43" t="s">
        <v>73</v>
      </c>
      <c r="AC98" s="43" t="s">
        <v>73</v>
      </c>
      <c r="AD98" s="43" t="s">
        <v>73</v>
      </c>
      <c r="AE98" s="43" t="s">
        <v>73</v>
      </c>
      <c r="AF98" s="43" t="s">
        <v>75</v>
      </c>
      <c r="AG98" t="str">
        <f>VLOOKUP($Q98,武学奇术!$A:$ZZ,25,FALSE)</f>
        <v>伞</v>
      </c>
      <c r="AH98" s="27">
        <f>VLOOKUP($Q98,武学奇术!$A:$ZZ,26,FALSE)</f>
        <v>0.54</v>
      </c>
      <c r="AI98" s="28">
        <f>VLOOKUP($Q98,武学奇术!$A:$ZZ,27,FALSE)*(1+IF(OR($AG98=$F$4,$AG98=$F$5),$B$22,0))</f>
        <v>207.2</v>
      </c>
      <c r="AJ98" s="27">
        <f>VLOOKUP($Q98,武学奇术!$A:$ZZ,28,FALSE)</f>
        <v>0.81</v>
      </c>
      <c r="AK98" s="28">
        <f>VLOOKUP($Q98,武学奇术!$A:$ZZ,29,FALSE)*(1+IF(OR($AG98=$F$4,$AG98=$F$5),$B$22,0))</f>
        <v>114.1</v>
      </c>
      <c r="AL98" s="27" cm="1">
        <f t="array" ref="AL98">$G$3+IFERROR(VLOOKUP($AG98,$F$4:$G$7,2,FALSE),0)+VLOOKUP($Q98,武学奇术!$A:$ZZ,2,FALSE)+SUM(_xlfn.XLOOKUP($R98:$AF98,增益!$A:$A,增益!$B:$B,0))</f>
        <v>0.3241</v>
      </c>
      <c r="AM98" s="27" cm="1">
        <f t="array" ref="AM98">VLOOKUP($Q98,武学奇术!$A:$ZZ,5,FALSE)+SUM(_xlfn.XLOOKUP($R98:$AF98,增益!$A:$A,增益!$E:$E,0))</f>
        <v>0.15</v>
      </c>
      <c r="AN98" cm="1">
        <f t="array" ref="AN98">$D$10*(1+$AM98)+VLOOKUP($Q98,武学奇术!$A:$ZZ,3,FALSE)+SUM(_xlfn.XLOOKUP($R98:$AF98,增益!$A:$A,增益!$C:$C,0))-$I$2</f>
        <v>2063.755</v>
      </c>
      <c r="AO98" cm="1">
        <f t="array" ref="AO98">$E$10*(1+$AM98)+VLOOKUP($Q98,武学奇术!$A:$ZZ,4,FALSE)+SUM(_xlfn.XLOOKUP($R98:$AF98,增益!$A:$A,增益!$D:$D,0))-$I$2</f>
        <v>6060.925</v>
      </c>
      <c r="AP98" s="35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0.3675</v>
      </c>
      <c r="AQ98" s="35" cm="1">
        <f t="array" ref="AQ98">$G$10+VLOOKUP($Q98,武学奇术!$A:$ZZ,7,FALSE)+SUM(_xlfn.XLOOKUP(R98:AF98,增益!$A:$A,增益!$G:$G,0))</f>
        <v>0.1</v>
      </c>
      <c r="AR98" s="27" cm="1">
        <f t="array" ref="AR98">VLOOKUP($Q98,武学奇术!$A:$ZZ,8,FALSE)+SUM(_xlfn.XLOOKUP(R98:AF98,增益!$A:$A,增益!$H:$H,0))</f>
        <v>0</v>
      </c>
      <c r="AS98">
        <f t="shared" si="12"/>
        <v>0</v>
      </c>
      <c r="AT98">
        <f t="shared" si="13"/>
        <v>0</v>
      </c>
      <c r="AU98" s="35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35" cm="1">
        <f t="array" ref="AV98">$G$11+VLOOKUP($Q98,武学奇术!$A:$ZZ,10,FALSE)+SUM(_xlfn.XLOOKUP(R98:AF98,增益!$A:$A,增益!$J:$J,0))</f>
        <v>0</v>
      </c>
      <c r="AW98">
        <f t="shared" si="14"/>
        <v>0</v>
      </c>
      <c r="AX98">
        <f t="shared" si="15"/>
        <v>0</v>
      </c>
      <c r="AY98" s="35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-0.3</v>
      </c>
      <c r="AZ98" s="35" cm="1">
        <f t="array" ref="AZ98">$G$12+VLOOKUP($Q98,武学奇术!$A:$ZZ,12,FALSE)+SUM(_xlfn.XLOOKUP(R98:AF98,增益!$A:$A,增益!$L:$L,0))</f>
        <v>0</v>
      </c>
      <c r="BA98">
        <f t="shared" si="16"/>
        <v>538</v>
      </c>
      <c r="BB98">
        <f t="shared" si="17"/>
        <v>1011</v>
      </c>
      <c r="BC98" s="35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0</v>
      </c>
      <c r="BD98" s="35" cm="1">
        <f t="array" ref="BD98">$G$13+VLOOKUP($Q98,武学奇术!$A:$ZZ,14,FALSE)+SUM(_xlfn.XLOOKUP(R98:AF98,增益!$A:$A,增益!$N:$N,0))</f>
        <v>0.25</v>
      </c>
      <c r="BE98">
        <f t="shared" si="18"/>
        <v>0</v>
      </c>
      <c r="BF98">
        <f t="shared" si="19"/>
        <v>0</v>
      </c>
      <c r="BG98" s="35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-0.3</v>
      </c>
      <c r="BH98" s="35" cm="1">
        <f t="array" ref="BH98">$G$14+VLOOKUP($Q98,武学奇术!$A:$ZZ,16,FALSE)+SUM(_xlfn.XLOOKUP(R98:AF98,增益!$A:$A,增益!$P:$P,0))</f>
        <v>0</v>
      </c>
      <c r="BI98" s="27">
        <f>MIN(IF(VLOOKUP($Q98,武学奇术!$A:$ZZ,23,FALSE)=1,100%,$B$8),100%)</f>
        <v>0.9969</v>
      </c>
      <c r="BJ98" s="27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0.9137</v>
      </c>
      <c r="BK98" s="27" cm="1">
        <f t="array" ref="BK98">1+$B$13+VLOOKUP($Q98,武学奇术!$A:$ZZ,18,FALSE)+SUM(_xlfn.XLOOKUP(R98:AF98,增益!$A:$A,增益!$R:$R,0))</f>
        <v>1.85</v>
      </c>
      <c r="BL98" s="27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0.0895</v>
      </c>
      <c r="BM98" s="27" cm="1">
        <f t="array" ref="BM98">1+$B$14+VLOOKUP($Q98,武学奇术!$A:$ZZ,20,FALSE)+SUM(_xlfn.XLOOKUP(R98:AF98,增益!$A:$A,增益!$T:$T,0))</f>
        <v>1.35</v>
      </c>
      <c r="BN98" s="27">
        <f t="shared" si="20"/>
        <v>0.90767745</v>
      </c>
      <c r="BO98" s="27">
        <f t="shared" si="21"/>
        <v>-1.30104260698261e-17</v>
      </c>
      <c r="BP98" s="27">
        <f>IF(VLOOKUP($Q98,武学奇术!$A:$ZZ,22,FALSE)=1,0,(1-$BI98))*(1-$BL98)</f>
        <v>0.00282254999999999</v>
      </c>
      <c r="BQ98" s="27" cm="1">
        <f t="array" ref="BQ98">SUM(_xlfn.XLOOKUP(R98:AF98,增益!$A:$A,增益!$W:$W,0))+$I$5</f>
        <v>0.11</v>
      </c>
    </row>
    <row r="99" spans="1:69">
      <c r="K99" s="41">
        <f t="shared" si="11"/>
        <v>90884.441907221</v>
      </c>
      <c r="L99" s="41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弹道",$B$21,0))*(1+$BQ99)</f>
        <v>90654.0104508253</v>
      </c>
      <c r="M99" s="41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弹道",$B$21,0))*(1+$BQ99)</f>
        <v>95221.2880955625</v>
      </c>
      <c r="N99" s="41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弹道",$B$21,0))*(1+$BQ99)</f>
        <v>49002.1678112569</v>
      </c>
      <c r="O99" s="41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弹道",$B$21,0))*(1+$BQ99)</f>
        <v>27470.0481443194</v>
      </c>
      <c r="P99" s="42">
        <v>1</v>
      </c>
      <c r="Q99" s="43" t="s">
        <v>167</v>
      </c>
      <c r="R99" s="43" t="s">
        <v>93</v>
      </c>
      <c r="S99" s="43" t="s">
        <v>158</v>
      </c>
      <c r="T99" s="43" t="s">
        <v>73</v>
      </c>
      <c r="U99" s="43" t="s">
        <v>159</v>
      </c>
      <c r="V99" s="43" t="s">
        <v>73</v>
      </c>
      <c r="W99" s="43" t="s">
        <v>73</v>
      </c>
      <c r="X99" s="43" t="s">
        <v>73</v>
      </c>
      <c r="Y99" s="43" t="s">
        <v>164</v>
      </c>
      <c r="Z99" s="43" t="s">
        <v>73</v>
      </c>
      <c r="AA99" s="43" t="s">
        <v>73</v>
      </c>
      <c r="AB99" s="43" t="s">
        <v>73</v>
      </c>
      <c r="AC99" s="43" t="s">
        <v>165</v>
      </c>
      <c r="AD99" s="43" t="s">
        <v>73</v>
      </c>
      <c r="AE99" s="43" t="s">
        <v>73</v>
      </c>
      <c r="AF99" s="43" t="s">
        <v>75</v>
      </c>
      <c r="AG99" t="str">
        <f>VLOOKUP($Q99,武学奇术!$A:$ZZ,25,FALSE)</f>
        <v>单体奇术</v>
      </c>
      <c r="AH99" s="27">
        <f>VLOOKUP($Q99,武学奇术!$A:$ZZ,26,FALSE)</f>
        <v>3.9855</v>
      </c>
      <c r="AI99" s="28">
        <f>VLOOKUP($Q99,武学奇术!$A:$ZZ,27,FALSE)*(1+IF(OR($AG99=$F$4,$AG99=$F$5),$B$22,0))</f>
        <v>749</v>
      </c>
      <c r="AJ99" s="27">
        <f>VLOOKUP($Q99,武学奇术!$A:$ZZ,28,FALSE)</f>
        <v>5.97825</v>
      </c>
      <c r="AK99" s="28">
        <f>VLOOKUP($Q99,武学奇术!$A:$ZZ,29,FALSE)*(1+IF(OR($AG99=$F$4,$AG99=$F$5),$B$22,0))</f>
        <v>0</v>
      </c>
      <c r="AL99" s="27" cm="1">
        <f t="array" ref="AL99">$G$3+IFERROR(VLOOKUP($AG99,$F$4:$G$7,2,FALSE),0)+VLOOKUP($Q99,武学奇术!$A:$ZZ,2,FALSE)+SUM(_xlfn.XLOOKUP($R99:$AF99,增益!$A:$A,增益!$B:$B,0))</f>
        <v>0.4215</v>
      </c>
      <c r="AM99" s="27" cm="1">
        <f t="array" ref="AM99">VLOOKUP($Q99,武学奇术!$A:$ZZ,5,FALSE)+SUM(_xlfn.XLOOKUP($R99:$AF99,增益!$A:$A,增益!$E:$E,0))</f>
        <v>0.15</v>
      </c>
      <c r="AN99" cm="1">
        <f t="array" ref="AN99">$D$10*(1+$AM99)+VLOOKUP($Q99,武学奇术!$A:$ZZ,3,FALSE)+SUM(_xlfn.XLOOKUP($R99:$AF99,增益!$A:$A,增益!$C:$C,0))-$I$2</f>
        <v>2063.755</v>
      </c>
      <c r="AO99" cm="1">
        <f t="array" ref="AO99">$E$10*(1+$AM99)+VLOOKUP($Q99,武学奇术!$A:$ZZ,4,FALSE)+SUM(_xlfn.XLOOKUP($R99:$AF99,增益!$A:$A,增益!$D:$D,0))-$I$2</f>
        <v>6060.925</v>
      </c>
      <c r="AP99" s="35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0.3675</v>
      </c>
      <c r="AQ99" s="35" cm="1">
        <f t="array" ref="AQ99">$G$10+VLOOKUP($Q99,武学奇术!$A:$ZZ,7,FALSE)+SUM(_xlfn.XLOOKUP(R99:AF99,增益!$A:$A,增益!$G:$G,0))</f>
        <v>0</v>
      </c>
      <c r="AR99" s="27" cm="1">
        <f t="array" ref="AR99">VLOOKUP($Q99,武学奇术!$A:$ZZ,8,FALSE)+SUM(_xlfn.XLOOKUP(R99:AF99,增益!$A:$A,增益!$H:$H,0))</f>
        <v>0</v>
      </c>
      <c r="AS99">
        <f t="shared" si="12"/>
        <v>0</v>
      </c>
      <c r="AT99">
        <f t="shared" si="13"/>
        <v>0</v>
      </c>
      <c r="AU99" s="35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35" cm="1">
        <f t="array" ref="AV99">$G$11+VLOOKUP($Q99,武学奇术!$A:$ZZ,10,FALSE)+SUM(_xlfn.XLOOKUP(R99:AF99,增益!$A:$A,增益!$J:$J,0))</f>
        <v>0</v>
      </c>
      <c r="AW99">
        <f t="shared" si="14"/>
        <v>0</v>
      </c>
      <c r="AX99">
        <f t="shared" si="15"/>
        <v>0</v>
      </c>
      <c r="AY99" s="35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-0.3</v>
      </c>
      <c r="AZ99" s="35" cm="1">
        <f t="array" ref="AZ99">$G$12+VLOOKUP($Q99,武学奇术!$A:$ZZ,12,FALSE)+SUM(_xlfn.XLOOKUP(R99:AF99,增益!$A:$A,增益!$L:$L,0))</f>
        <v>0</v>
      </c>
      <c r="BA99">
        <f t="shared" si="16"/>
        <v>538</v>
      </c>
      <c r="BB99">
        <f t="shared" si="17"/>
        <v>1011</v>
      </c>
      <c r="BC99" s="35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0</v>
      </c>
      <c r="BD99" s="35" cm="1">
        <f t="array" ref="BD99">$G$13+VLOOKUP($Q99,武学奇术!$A:$ZZ,14,FALSE)+SUM(_xlfn.XLOOKUP(R99:AF99,增益!$A:$A,增益!$N:$N,0))</f>
        <v>0.15</v>
      </c>
      <c r="BE99">
        <f t="shared" si="18"/>
        <v>0</v>
      </c>
      <c r="BF99">
        <f t="shared" si="19"/>
        <v>0</v>
      </c>
      <c r="BG99" s="35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-0.3</v>
      </c>
      <c r="BH99" s="35" cm="1">
        <f t="array" ref="BH99">$G$14+VLOOKUP($Q99,武学奇术!$A:$ZZ,16,FALSE)+SUM(_xlfn.XLOOKUP(R99:AF99,增益!$A:$A,增益!$P:$P,0))</f>
        <v>0</v>
      </c>
      <c r="BI99" s="27">
        <f>MIN(IF(VLOOKUP($Q99,武学奇术!$A:$ZZ,23,FALSE)=1,100%,$B$8),100%)</f>
        <v>0.9969</v>
      </c>
      <c r="BJ99" s="27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0.9137</v>
      </c>
      <c r="BK99" s="27" cm="1">
        <f t="array" ref="BK99">1+$B$13+VLOOKUP($Q99,武学奇术!$A:$ZZ,18,FALSE)+SUM(_xlfn.XLOOKUP(R99:AF99,增益!$A:$A,增益!$R:$R,0))</f>
        <v>1.85</v>
      </c>
      <c r="BL99" s="27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0.0895</v>
      </c>
      <c r="BM99" s="27" cm="1">
        <f t="array" ref="BM99">1+$B$14+VLOOKUP($Q99,武学奇术!$A:$ZZ,20,FALSE)+SUM(_xlfn.XLOOKUP(R99:AF99,增益!$A:$A,增益!$T:$T,0))</f>
        <v>1.35</v>
      </c>
      <c r="BN99" s="27">
        <f t="shared" si="20"/>
        <v>0.90767745</v>
      </c>
      <c r="BO99" s="27">
        <f t="shared" si="21"/>
        <v>-1.30104260698261e-17</v>
      </c>
      <c r="BP99" s="27">
        <f>IF(VLOOKUP($Q99,武学奇术!$A:$ZZ,22,FALSE)=1,0,(1-$BI99))*(1-$BL99)</f>
        <v>0.00282254999999999</v>
      </c>
      <c r="BQ99" s="27" cm="1">
        <f t="array" ref="BQ99">SUM(_xlfn.XLOOKUP(R99:AF99,增益!$A:$A,增益!$W:$W,0))+$I$5</f>
        <v>0.21</v>
      </c>
    </row>
    <row r="100" spans="1:69">
      <c r="K100" s="41">
        <f t="shared" si="11"/>
        <v>21520.7959630316</v>
      </c>
      <c r="L100" s="41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弹道",$B$21,0))*(1+$BQ100)</f>
        <v>21466.0602397907</v>
      </c>
      <c r="M100" s="41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弹道",$B$21,0))*(1+$BQ100)</f>
        <v>22549.5141207464</v>
      </c>
      <c r="N100" s="41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弹道",$B$21,0))*(1+$BQ100)</f>
        <v>11603.2758052923</v>
      </c>
      <c r="O100" s="41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弹道",$B$21,0))*(1+$BQ100)</f>
        <v>6503.20781743907</v>
      </c>
      <c r="P100" s="42">
        <v>4</v>
      </c>
      <c r="Q100" s="43" t="s">
        <v>168</v>
      </c>
      <c r="R100" s="43" t="s">
        <v>93</v>
      </c>
      <c r="S100" s="43" t="s">
        <v>158</v>
      </c>
      <c r="T100" s="43" t="s">
        <v>73</v>
      </c>
      <c r="U100" s="43" t="s">
        <v>159</v>
      </c>
      <c r="V100" s="43" t="s">
        <v>73</v>
      </c>
      <c r="W100" s="43" t="s">
        <v>73</v>
      </c>
      <c r="X100" s="43" t="s">
        <v>73</v>
      </c>
      <c r="Y100" s="43" t="s">
        <v>164</v>
      </c>
      <c r="Z100" s="43" t="s">
        <v>73</v>
      </c>
      <c r="AA100" s="43" t="s">
        <v>73</v>
      </c>
      <c r="AB100" s="43" t="s">
        <v>73</v>
      </c>
      <c r="AC100" s="43" t="s">
        <v>165</v>
      </c>
      <c r="AD100" s="43" t="s">
        <v>73</v>
      </c>
      <c r="AE100" s="43" t="s">
        <v>73</v>
      </c>
      <c r="AF100" s="43" t="s">
        <v>75</v>
      </c>
      <c r="AG100" t="str">
        <f>VLOOKUP($Q100,武学奇术!$A:$ZZ,25,FALSE)</f>
        <v>单体奇术</v>
      </c>
      <c r="AH100" s="27">
        <f>VLOOKUP($Q100,武学奇术!$A:$ZZ,26,FALSE)</f>
        <v>0.236</v>
      </c>
      <c r="AI100" s="28">
        <f>VLOOKUP($Q100,武学奇术!$A:$ZZ,27,FALSE)*(1+IF(OR($AG100=$F$4,$AG100=$F$5),$B$22,0))</f>
        <v>44</v>
      </c>
      <c r="AJ100" s="27">
        <f>VLOOKUP($Q100,武学奇术!$A:$ZZ,28,FALSE)</f>
        <v>0.354</v>
      </c>
      <c r="AK100" s="28">
        <f>VLOOKUP($Q100,武学奇术!$A:$ZZ,29,FALSE)*(1+IF(OR($AG100=$F$4,$AG100=$F$5),$B$22,0))</f>
        <v>0</v>
      </c>
      <c r="AL100" s="27" cm="1">
        <f t="array" ref="AL100">$G$3+IFERROR(VLOOKUP($AG100,$F$4:$G$7,2,FALSE),0)+VLOOKUP($Q100,武学奇术!$A:$ZZ,2,FALSE)+SUM(_xlfn.XLOOKUP($R100:$AF100,增益!$A:$A,增益!$B:$B,0))</f>
        <v>0.4215</v>
      </c>
      <c r="AM100" s="27" cm="1">
        <f t="array" ref="AM100">VLOOKUP($Q100,武学奇术!$A:$ZZ,5,FALSE)+SUM(_xlfn.XLOOKUP($R100:$AF100,增益!$A:$A,增益!$E:$E,0))</f>
        <v>0.15</v>
      </c>
      <c r="AN100" cm="1">
        <f t="array" ref="AN100">$D$10*(1+$AM100)+VLOOKUP($Q100,武学奇术!$A:$ZZ,3,FALSE)+SUM(_xlfn.XLOOKUP($R100:$AF100,增益!$A:$A,增益!$C:$C,0))-$I$2</f>
        <v>2063.755</v>
      </c>
      <c r="AO100" cm="1">
        <f t="array" ref="AO100">$E$10*(1+$AM100)+VLOOKUP($Q100,武学奇术!$A:$ZZ,4,FALSE)+SUM(_xlfn.XLOOKUP($R100:$AF100,增益!$A:$A,增益!$D:$D,0))-$I$2</f>
        <v>6060.925</v>
      </c>
      <c r="AP100" s="35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0.3675</v>
      </c>
      <c r="AQ100" s="35" cm="1">
        <f t="array" ref="AQ100">$G$10+VLOOKUP($Q100,武学奇术!$A:$ZZ,7,FALSE)+SUM(_xlfn.XLOOKUP(R100:AF100,增益!$A:$A,增益!$G:$G,0))</f>
        <v>0</v>
      </c>
      <c r="AR100" s="27" cm="1">
        <f t="array" ref="AR100">VLOOKUP($Q100,武学奇术!$A:$ZZ,8,FALSE)+SUM(_xlfn.XLOOKUP(R100:AF100,增益!$A:$A,增益!$H:$H,0))</f>
        <v>0</v>
      </c>
      <c r="AS100">
        <f t="shared" si="12"/>
        <v>0</v>
      </c>
      <c r="AT100">
        <f t="shared" si="13"/>
        <v>0</v>
      </c>
      <c r="AU100" s="35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-0.3</v>
      </c>
      <c r="AV100" s="35" cm="1">
        <f t="array" ref="AV100">$G$11+VLOOKUP($Q100,武学奇术!$A:$ZZ,10,FALSE)+SUM(_xlfn.XLOOKUP(R100:AF100,增益!$A:$A,增益!$J:$J,0))</f>
        <v>0</v>
      </c>
      <c r="AW100">
        <f t="shared" si="14"/>
        <v>0</v>
      </c>
      <c r="AX100">
        <f t="shared" si="15"/>
        <v>0</v>
      </c>
      <c r="AY100" s="35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-0.3</v>
      </c>
      <c r="AZ100" s="35" cm="1">
        <f t="array" ref="AZ100">$G$12+VLOOKUP($Q100,武学奇术!$A:$ZZ,12,FALSE)+SUM(_xlfn.XLOOKUP(R100:AF100,增益!$A:$A,增益!$L:$L,0))</f>
        <v>0</v>
      </c>
      <c r="BA100">
        <f t="shared" si="16"/>
        <v>538</v>
      </c>
      <c r="BB100">
        <f t="shared" si="17"/>
        <v>1011</v>
      </c>
      <c r="BC100" s="35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0</v>
      </c>
      <c r="BD100" s="35" cm="1">
        <f t="array" ref="BD100">$G$13+VLOOKUP($Q100,武学奇术!$A:$ZZ,14,FALSE)+SUM(_xlfn.XLOOKUP(R100:AF100,增益!$A:$A,增益!$N:$N,0))</f>
        <v>0.15</v>
      </c>
      <c r="BE100">
        <f t="shared" si="18"/>
        <v>0</v>
      </c>
      <c r="BF100">
        <f t="shared" si="19"/>
        <v>0</v>
      </c>
      <c r="BG100" s="35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-0.3</v>
      </c>
      <c r="BH100" s="35" cm="1">
        <f t="array" ref="BH100">$G$14+VLOOKUP($Q100,武学奇术!$A:$ZZ,16,FALSE)+SUM(_xlfn.XLOOKUP(R100:AF100,增益!$A:$A,增益!$P:$P,0))</f>
        <v>0</v>
      </c>
      <c r="BI100" s="27">
        <f>MIN(IF(VLOOKUP($Q100,武学奇术!$A:$ZZ,23,FALSE)=1,100%,$B$8),100%)</f>
        <v>0.9969</v>
      </c>
      <c r="BJ100" s="27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0.9137</v>
      </c>
      <c r="BK100" s="27" cm="1">
        <f t="array" ref="BK100">1+$B$13+VLOOKUP($Q100,武学奇术!$A:$ZZ,18,FALSE)+SUM(_xlfn.XLOOKUP(R100:AF100,增益!$A:$A,增益!$R:$R,0))</f>
        <v>1.85</v>
      </c>
      <c r="BL100" s="27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0.0895</v>
      </c>
      <c r="BM100" s="27" cm="1">
        <f t="array" ref="BM100">1+$B$14+VLOOKUP($Q100,武学奇术!$A:$ZZ,20,FALSE)+SUM(_xlfn.XLOOKUP(R100:AF100,增益!$A:$A,增益!$T:$T,0))</f>
        <v>1.35</v>
      </c>
      <c r="BN100" s="27">
        <f t="shared" si="20"/>
        <v>0.90767745</v>
      </c>
      <c r="BO100" s="27">
        <f t="shared" si="21"/>
        <v>-1.30104260698261e-17</v>
      </c>
      <c r="BP100" s="27">
        <f>IF(VLOOKUP($Q100,武学奇术!$A:$ZZ,22,FALSE)=1,0,(1-$BI100))*(1-$BL100)</f>
        <v>0.00282254999999999</v>
      </c>
      <c r="BQ100" s="27" cm="1">
        <f t="array" ref="BQ100">SUM(_xlfn.XLOOKUP(R100:AF100,增益!$A:$A,增益!$W:$W,0))+$I$5</f>
        <v>0.21</v>
      </c>
    </row>
    <row r="101" spans="1:69">
      <c r="K101" s="41">
        <f t="shared" si="11"/>
        <v>48421.790916821</v>
      </c>
      <c r="L101" s="41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弹道",$B$21,0))*(1+$BQ101)</f>
        <v>48298.6355395292</v>
      </c>
      <c r="M101" s="41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弹道",$B$21,0))*(1+$BQ101)</f>
        <v>50736.4067716795</v>
      </c>
      <c r="N101" s="41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弹道",$B$21,0))*(1+$BQ101)</f>
        <v>26107.3705619076</v>
      </c>
      <c r="O101" s="41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弹道",$B$21,0))*(1+$BQ101)</f>
        <v>14632.2175892379</v>
      </c>
      <c r="P101" s="42">
        <v>9</v>
      </c>
      <c r="Q101" s="43" t="s">
        <v>168</v>
      </c>
      <c r="R101" s="43" t="s">
        <v>93</v>
      </c>
      <c r="S101" s="43" t="s">
        <v>158</v>
      </c>
      <c r="T101" s="43" t="s">
        <v>73</v>
      </c>
      <c r="U101" s="43" t="s">
        <v>159</v>
      </c>
      <c r="V101" s="43" t="s">
        <v>73</v>
      </c>
      <c r="W101" s="43" t="s">
        <v>73</v>
      </c>
      <c r="X101" s="43" t="s">
        <v>73</v>
      </c>
      <c r="Y101" s="43" t="s">
        <v>164</v>
      </c>
      <c r="Z101" s="43" t="s">
        <v>73</v>
      </c>
      <c r="AA101" s="43" t="s">
        <v>73</v>
      </c>
      <c r="AB101" s="43" t="s">
        <v>73</v>
      </c>
      <c r="AC101" s="43" t="s">
        <v>165</v>
      </c>
      <c r="AD101" s="43" t="s">
        <v>73</v>
      </c>
      <c r="AE101" s="43" t="s">
        <v>73</v>
      </c>
      <c r="AF101" s="43" t="s">
        <v>75</v>
      </c>
      <c r="AG101" t="str">
        <f>VLOOKUP($Q101,武学奇术!$A:$ZZ,25,FALSE)</f>
        <v>单体奇术</v>
      </c>
      <c r="AH101" s="27">
        <f>VLOOKUP($Q101,武学奇术!$A:$ZZ,26,FALSE)</f>
        <v>0.236</v>
      </c>
      <c r="AI101" s="28">
        <f>VLOOKUP($Q101,武学奇术!$A:$ZZ,27,FALSE)*(1+IF(OR($AG101=$F$4,$AG101=$F$5),$B$22,0))</f>
        <v>44</v>
      </c>
      <c r="AJ101" s="27">
        <f>VLOOKUP($Q101,武学奇术!$A:$ZZ,28,FALSE)</f>
        <v>0.354</v>
      </c>
      <c r="AK101" s="28">
        <f>VLOOKUP($Q101,武学奇术!$A:$ZZ,29,FALSE)*(1+IF(OR($AG101=$F$4,$AG101=$F$5),$B$22,0))</f>
        <v>0</v>
      </c>
      <c r="AL101" s="27" cm="1">
        <f t="array" ref="AL101">$G$3+IFERROR(VLOOKUP($AG101,$F$4:$G$7,2,FALSE),0)+VLOOKUP($Q101,武学奇术!$A:$ZZ,2,FALSE)+SUM(_xlfn.XLOOKUP($R101:$AF101,增益!$A:$A,增益!$B:$B,0))</f>
        <v>0.4215</v>
      </c>
      <c r="AM101" s="27" cm="1">
        <f t="array" ref="AM101">VLOOKUP($Q101,武学奇术!$A:$ZZ,5,FALSE)+SUM(_xlfn.XLOOKUP($R101:$AF101,增益!$A:$A,增益!$E:$E,0))</f>
        <v>0.15</v>
      </c>
      <c r="AN101" cm="1">
        <f t="array" ref="AN101">$D$10*(1+$AM101)+VLOOKUP($Q101,武学奇术!$A:$ZZ,3,FALSE)+SUM(_xlfn.XLOOKUP($R101:$AF101,增益!$A:$A,增益!$C:$C,0))-$I$2</f>
        <v>2063.755</v>
      </c>
      <c r="AO101" cm="1">
        <f t="array" ref="AO101">$E$10*(1+$AM101)+VLOOKUP($Q101,武学奇术!$A:$ZZ,4,FALSE)+SUM(_xlfn.XLOOKUP($R101:$AF101,增益!$A:$A,增益!$D:$D,0))-$I$2</f>
        <v>6060.925</v>
      </c>
      <c r="AP101" s="35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0.3675</v>
      </c>
      <c r="AQ101" s="35" cm="1">
        <f t="array" ref="AQ101">$G$10+VLOOKUP($Q101,武学奇术!$A:$ZZ,7,FALSE)+SUM(_xlfn.XLOOKUP(R101:AF101,增益!$A:$A,增益!$G:$G,0))</f>
        <v>0</v>
      </c>
      <c r="AR101" s="27" cm="1">
        <f t="array" ref="AR101">VLOOKUP($Q101,武学奇术!$A:$ZZ,8,FALSE)+SUM(_xlfn.XLOOKUP(R101:AF101,增益!$A:$A,增益!$H:$H,0))</f>
        <v>0</v>
      </c>
      <c r="AS101">
        <f t="shared" si="12"/>
        <v>0</v>
      </c>
      <c r="AT101">
        <f t="shared" si="13"/>
        <v>0</v>
      </c>
      <c r="AU101" s="35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35" cm="1">
        <f t="array" ref="AV101">$G$11+VLOOKUP($Q101,武学奇术!$A:$ZZ,10,FALSE)+SUM(_xlfn.XLOOKUP(R101:AF101,增益!$A:$A,增益!$J:$J,0))</f>
        <v>0</v>
      </c>
      <c r="AW101">
        <f t="shared" si="14"/>
        <v>0</v>
      </c>
      <c r="AX101">
        <f t="shared" si="15"/>
        <v>0</v>
      </c>
      <c r="AY101" s="35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-0.3</v>
      </c>
      <c r="AZ101" s="35" cm="1">
        <f t="array" ref="AZ101">$G$12+VLOOKUP($Q101,武学奇术!$A:$ZZ,12,FALSE)+SUM(_xlfn.XLOOKUP(R101:AF101,增益!$A:$A,增益!$L:$L,0))</f>
        <v>0</v>
      </c>
      <c r="BA101">
        <f t="shared" si="16"/>
        <v>538</v>
      </c>
      <c r="BB101">
        <f t="shared" si="17"/>
        <v>1011</v>
      </c>
      <c r="BC101" s="35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0</v>
      </c>
      <c r="BD101" s="35" cm="1">
        <f t="array" ref="BD101">$G$13+VLOOKUP($Q101,武学奇术!$A:$ZZ,14,FALSE)+SUM(_xlfn.XLOOKUP(R101:AF101,增益!$A:$A,增益!$N:$N,0))</f>
        <v>0.15</v>
      </c>
      <c r="BE101">
        <f t="shared" si="18"/>
        <v>0</v>
      </c>
      <c r="BF101">
        <f t="shared" si="19"/>
        <v>0</v>
      </c>
      <c r="BG101" s="35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-0.3</v>
      </c>
      <c r="BH101" s="35" cm="1">
        <f t="array" ref="BH101">$G$14+VLOOKUP($Q101,武学奇术!$A:$ZZ,16,FALSE)+SUM(_xlfn.XLOOKUP(R101:AF101,增益!$A:$A,增益!$P:$P,0))</f>
        <v>0</v>
      </c>
      <c r="BI101" s="27">
        <f>MIN(IF(VLOOKUP($Q101,武学奇术!$A:$ZZ,23,FALSE)=1,100%,$B$8),100%)</f>
        <v>0.9969</v>
      </c>
      <c r="BJ101" s="27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0.9137</v>
      </c>
      <c r="BK101" s="27" cm="1">
        <f t="array" ref="BK101">1+$B$13+VLOOKUP($Q101,武学奇术!$A:$ZZ,18,FALSE)+SUM(_xlfn.XLOOKUP(R101:AF101,增益!$A:$A,增益!$R:$R,0))</f>
        <v>1.85</v>
      </c>
      <c r="BL101" s="27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0.0895</v>
      </c>
      <c r="BM101" s="27" cm="1">
        <f t="array" ref="BM101">1+$B$14+VLOOKUP($Q101,武学奇术!$A:$ZZ,20,FALSE)+SUM(_xlfn.XLOOKUP(R101:AF101,增益!$A:$A,增益!$T:$T,0))</f>
        <v>1.35</v>
      </c>
      <c r="BN101" s="27">
        <f t="shared" si="20"/>
        <v>0.90767745</v>
      </c>
      <c r="BO101" s="27">
        <f t="shared" si="21"/>
        <v>-1.30104260698261e-17</v>
      </c>
      <c r="BP101" s="27">
        <f>IF(VLOOKUP($Q101,武学奇术!$A:$ZZ,22,FALSE)=1,0,(1-$BI101))*(1-$BL101)</f>
        <v>0.00282254999999999</v>
      </c>
      <c r="BQ101" s="27" cm="1">
        <f t="array" ref="BQ101">SUM(_xlfn.XLOOKUP(R101:AF101,增益!$A:$A,增益!$W:$W,0))+$I$5</f>
        <v>0.21</v>
      </c>
    </row>
    <row r="102" spans="1:69">
      <c r="K102" s="41">
        <f t="shared" si="11"/>
        <v>49355.5444606716</v>
      </c>
      <c r="L102" s="41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BK102*$P102*(1+IF(VLOOKUP($Q102,武学奇术!$A:$ZZ,30,FALSE)="弹道",$B$21,0))*(1+$BQ102)</f>
        <v>49230.0141862969</v>
      </c>
      <c r="M102" s="41">
        <f>(($AO102*$AH102+$AI102)*(1+$AP102)*(1+$AQ102)+($AT102*IF($G$1="鸣金",$AJ102,$AH102)+IF($G$1="鸣金",$AK102*1.5,0))*(1+$AU102)*(1+$AV102)+($AX102*IF($G$1="裂石",$AJ102,$AH102)+IF($G$1="裂石",$AK102*1.5,0))*(1+$AY102)*(1+$AZ102)+($BB102*IF($G$1="牵丝",$AJ102,$AH102)+IF($G$1="牵丝",$AK102*1.5,0))*(1+$BC102)*(1+$BD102)+($BF102*IF($G$1="破竹",$AJ102,$AH102)+IF($G$1="破竹",$AK102*1.5,0))*(1+$BG102)*(1+$BH102))*(1+$AL102)*$BM102*$P102*(1+IF(VLOOKUP($Q102,武学奇术!$A:$ZZ,30,FALSE)="弹道",$B$21,0))*(1+$BQ102)</f>
        <v>51714.7947810507</v>
      </c>
      <c r="N102" s="41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P102*(1+IF(VLOOKUP($Q102,武学奇术!$A:$ZZ,30,FALSE)="弹道",$B$21,0))*(1+$BQ102)</f>
        <v>26610.8184790794</v>
      </c>
      <c r="O102" s="41">
        <f>((($AN102*$AH102+$AI102)*(1+$AP102)*(1+$AQ102)+($AS102*IF($G$1="鸣金",$AJ102,$AH102)+IF($G$1="鸣金",$AK102*1.5,0))*(1+$AU102)*(1+$AV102)+($AW102*IF($G$1="裂石",$AJ102,$AH102)+IF($G$1="裂石",$AK102*1.5,0))*(1+$AY102)*(1+$AZ102)+($BA102*IF($G$1="牵丝",$AJ102,$AH102)+IF($G$1="牵丝",$AK102*1.5,0))*(1+$BC102)*(1+$BD102)+($BE102*IF($G$1="破竹",$AJ102,$AH102)+IF($G$1="破竹",$AK102*1.5,0))*(1+$BG102)*(1+$BH102))*(1+$AL102))*$P102*(1+IF(VLOOKUP($Q102,武学奇术!$A:$ZZ,30,FALSE)="弹道",$B$21,0))*(1+$BQ102)</f>
        <v>14914.3815647879</v>
      </c>
      <c r="P102" s="42">
        <v>10</v>
      </c>
      <c r="Q102" s="43" t="s">
        <v>168</v>
      </c>
      <c r="R102" s="43" t="s">
        <v>93</v>
      </c>
      <c r="S102" s="43" t="s">
        <v>158</v>
      </c>
      <c r="T102" s="43" t="s">
        <v>73</v>
      </c>
      <c r="U102" s="43" t="s">
        <v>159</v>
      </c>
      <c r="V102" s="43" t="s">
        <v>73</v>
      </c>
      <c r="W102" s="43" t="s">
        <v>73</v>
      </c>
      <c r="X102" s="43" t="s">
        <v>73</v>
      </c>
      <c r="Y102" s="43" t="s">
        <v>164</v>
      </c>
      <c r="Z102" s="43" t="s">
        <v>73</v>
      </c>
      <c r="AA102" s="43" t="s">
        <v>73</v>
      </c>
      <c r="AB102" s="43" t="s">
        <v>73</v>
      </c>
      <c r="AC102" s="43" t="s">
        <v>73</v>
      </c>
      <c r="AD102" s="43" t="s">
        <v>73</v>
      </c>
      <c r="AE102" s="43" t="s">
        <v>73</v>
      </c>
      <c r="AF102" s="43" t="s">
        <v>75</v>
      </c>
      <c r="AG102" t="str">
        <f>VLOOKUP($Q102,武学奇术!$A:$ZZ,25,FALSE)</f>
        <v>单体奇术</v>
      </c>
      <c r="AH102" s="27">
        <f>VLOOKUP($Q102,武学奇术!$A:$ZZ,26,FALSE)</f>
        <v>0.236</v>
      </c>
      <c r="AI102" s="28">
        <f>VLOOKUP($Q102,武学奇术!$A:$ZZ,27,FALSE)*(1+IF(OR($AG102=$F$4,$AG102=$F$5),$B$22,0))</f>
        <v>44</v>
      </c>
      <c r="AJ102" s="27">
        <f>VLOOKUP($Q102,武学奇术!$A:$ZZ,28,FALSE)</f>
        <v>0.354</v>
      </c>
      <c r="AK102" s="28">
        <f>VLOOKUP($Q102,武学奇术!$A:$ZZ,29,FALSE)*(1+IF(OR($AG102=$F$4,$AG102=$F$5),$B$22,0))</f>
        <v>0</v>
      </c>
      <c r="AL102" s="27" cm="1">
        <f t="array" ref="AL102">$G$3+IFERROR(VLOOKUP($AG102,$F$4:$G$7,2,FALSE),0)+VLOOKUP($Q102,武学奇术!$A:$ZZ,2,FALSE)+SUM(_xlfn.XLOOKUP($R102:$AF102,增益!$A:$A,增益!$B:$B,0))</f>
        <v>0.4215</v>
      </c>
      <c r="AM102" s="27" cm="1">
        <f t="array" ref="AM102">VLOOKUP($Q102,武学奇术!$A:$ZZ,5,FALSE)+SUM(_xlfn.XLOOKUP($R102:$AF102,增益!$A:$A,增益!$E:$E,0))</f>
        <v>0.15</v>
      </c>
      <c r="AN102" cm="1">
        <f t="array" ref="AN102">$D$10*(1+$AM102)+VLOOKUP($Q102,武学奇术!$A:$ZZ,3,FALSE)+SUM(_xlfn.XLOOKUP($R102:$AF102,增益!$A:$A,增益!$C:$C,0))-$I$2</f>
        <v>2063.755</v>
      </c>
      <c r="AO102" cm="1">
        <f t="array" ref="AO102">$E$10*(1+$AM102)+VLOOKUP($Q102,武学奇术!$A:$ZZ,4,FALSE)+SUM(_xlfn.XLOOKUP($R102:$AF102,增益!$A:$A,增益!$D:$D,0))-$I$2</f>
        <v>6060.925</v>
      </c>
      <c r="AP102" s="35" cm="1">
        <f t="array" ref="AP102">IF($F$10-$I$3+VLOOKUP($Q102,武学奇术!$A:$ZZ,6,FALSE)+SUM(_xlfn.XLOOKUP(R102:AF102,增益!$A:$A,增益!$F:$F,0))&gt;0,($F$10-$I$3+VLOOKUP($Q102,武学奇术!$A:$ZZ,6,FALSE)+SUM(_xlfn.XLOOKUP(R102:AF102,增益!$A:$A,增益!$F:$F,0)))/200,($F$10-$I$3+VLOOKUP($Q102,武学奇术!$A:$ZZ,6,FALSE)+SUM(_xlfn.XLOOKUP(R102:AF102,增益!$A:$A,增益!$F:$F,0)))/100)</f>
        <v>0.3675</v>
      </c>
      <c r="AQ102" s="35" cm="1">
        <f t="array" ref="AQ102">$G$10+VLOOKUP($Q102,武学奇术!$A:$ZZ,7,FALSE)+SUM(_xlfn.XLOOKUP(R102:AF102,增益!$A:$A,增益!$G:$G,0))</f>
        <v>0</v>
      </c>
      <c r="AR102" s="27" cm="1">
        <f t="array" ref="AR102">VLOOKUP($Q102,武学奇术!$A:$ZZ,8,FALSE)+SUM(_xlfn.XLOOKUP(R102:AF102,增益!$A:$A,增益!$H:$H,0))</f>
        <v>0</v>
      </c>
      <c r="AS102">
        <f t="shared" si="12"/>
        <v>0</v>
      </c>
      <c r="AT102">
        <f t="shared" si="13"/>
        <v>0</v>
      </c>
      <c r="AU102" s="35" cm="1">
        <f t="array" ref="AU102">IF($F$11-$I$4+VLOOKUP($Q102,武学奇术!$A:$ZZ,9,FALSE)+SUM(_xlfn.XLOOKUP(R102:AF102,增益!$A:$A,增益!$I:$I,0))&gt;0,($F$11-$I$4+VLOOKUP($Q102,武学奇术!$A:$ZZ,9,FALSE)+SUM(_xlfn.XLOOKUP(R102:AF102,增益!$A:$A,增益!$I:$I,0)))/200,($F$11-$I$4+VLOOKUP($Q102,武学奇术!$A:$ZZ,9,FALSE)+SUM(_xlfn.XLOOKUP(R102:AF102,增益!$A:$A,增益!$I:$I,0)))/100)</f>
        <v>-0.3</v>
      </c>
      <c r="AV102" s="35" cm="1">
        <f t="array" ref="AV102">$G$11+VLOOKUP($Q102,武学奇术!$A:$ZZ,10,FALSE)+SUM(_xlfn.XLOOKUP(R102:AF102,增益!$A:$A,增益!$J:$J,0))</f>
        <v>0</v>
      </c>
      <c r="AW102">
        <f t="shared" si="14"/>
        <v>0</v>
      </c>
      <c r="AX102">
        <f t="shared" si="15"/>
        <v>0</v>
      </c>
      <c r="AY102" s="35" cm="1">
        <f t="array" ref="AY102">IF($F$12-$I$4+VLOOKUP($Q102,武学奇术!$A:$ZZ,11,FALSE)+SUM(_xlfn.XLOOKUP(R102:AF102,增益!$A:$A,增益!$K:$K,0))&gt;0,($F$12-$I$4+VLOOKUP($Q102,武学奇术!$A:$ZZ,11,FALSE)+SUM(_xlfn.XLOOKUP(R102:AF102,增益!$A:$A,增益!$K:$K,0)))/200,($F$12-$I$4+VLOOKUP($Q102,武学奇术!$A:$ZZ,11,FALSE)+SUM(_xlfn.XLOOKUP(R102:AF102,增益!$A:$A,增益!$K:$K,0)))/100)</f>
        <v>-0.3</v>
      </c>
      <c r="AZ102" s="35" cm="1">
        <f t="array" ref="AZ102">$G$12+VLOOKUP($Q102,武学奇术!$A:$ZZ,12,FALSE)+SUM(_xlfn.XLOOKUP(R102:AF102,增益!$A:$A,增益!$L:$L,0))</f>
        <v>0</v>
      </c>
      <c r="BA102">
        <f t="shared" si="16"/>
        <v>538</v>
      </c>
      <c r="BB102">
        <f t="shared" si="17"/>
        <v>1011</v>
      </c>
      <c r="BC102" s="35" cm="1">
        <f t="array" ref="BC102">IF($F$13-$I$4+VLOOKUP($Q102,武学奇术!$A:$ZZ,13,FALSE)+SUM(_xlfn.XLOOKUP(R102:AF102,增益!$A:$A,增益!$M:$M,0))&gt;0,($F$13-$I$4+VLOOKUP($Q102,武学奇术!$A:$ZZ,13,FALSE)+SUM(_xlfn.XLOOKUP(R102:AF102,增益!$A:$A,增益!$K:$K,0)))/200,($F$13-$I$4+VLOOKUP($Q102,武学奇术!$A:$ZZ,13,FALSE)+SUM(_xlfn.XLOOKUP(R102:AF102,增益!$A:$A,增益!$M:$M,0)))/100)</f>
        <v>0</v>
      </c>
      <c r="BD102" s="35" cm="1">
        <f t="array" ref="BD102">$G$13+VLOOKUP($Q102,武学奇术!$A:$ZZ,14,FALSE)+SUM(_xlfn.XLOOKUP(R102:AF102,增益!$A:$A,增益!$N:$N,0))</f>
        <v>0.15</v>
      </c>
      <c r="BE102">
        <f t="shared" si="18"/>
        <v>0</v>
      </c>
      <c r="BF102">
        <f t="shared" si="19"/>
        <v>0</v>
      </c>
      <c r="BG102" s="35" cm="1">
        <f t="array" ref="BG102">IF($F$14-$I$4+VLOOKUP($Q102,武学奇术!$A:$ZZ,15,FALSE)+SUM(_xlfn.XLOOKUP(R102:AF102,增益!$A:$A,增益!$O:$O,0))&gt;0,($F$14-$I$4+VLOOKUP($Q102,武学奇术!$A:$ZZ,15,FALSE)+SUM(_xlfn.XLOOKUP(R102:AF102,增益!$A:$A,增益!$O:$O,0)))/200,($F$14-$I$4+VLOOKUP($Q102,武学奇术!$A:$ZZ,15,FALSE)+SUM(_xlfn.XLOOKUP(R102:AF102,增益!$A:$A,增益!$O:$O,0)))/100)</f>
        <v>-0.3</v>
      </c>
      <c r="BH102" s="35" cm="1">
        <f t="array" ref="BH102">$G$14+VLOOKUP($Q102,武学奇术!$A:$ZZ,16,FALSE)+SUM(_xlfn.XLOOKUP(R102:AF102,增益!$A:$A,增益!$P:$P,0))</f>
        <v>0</v>
      </c>
      <c r="BI102" s="27">
        <f>MIN(IF(VLOOKUP($Q102,武学奇术!$A:$ZZ,23,FALSE)=1,100%,$B$8),100%)</f>
        <v>0.9969</v>
      </c>
      <c r="BJ102" s="27" cm="1">
        <f t="array" ref="BJ102">IF(VLOOKUP($Q102,武学奇术!$A:$ZZ,23,FALSE)=1,100%,MIN(80%,$B$9+VLOOKUP($Q102,武学奇术!$A:$ZZ,17,FALSE)+SUM(_xlfn.XLOOKUP(R102:AF102,增益!$A:$A,增益!$Q:$Q,0)))+$B$11+SUM(_xlfn.XLOOKUP(R102:AF102,增益!$A:$A,增益!$U:$U,0)))*IF(VLOOKUP($Q102,武学奇术!$A:$ZZ,24,FALSE)=1,0,1)</f>
        <v>0.9137</v>
      </c>
      <c r="BK102" s="27" cm="1">
        <f t="array" ref="BK102">1+$B$13+VLOOKUP($Q102,武学奇术!$A:$ZZ,18,FALSE)+SUM(_xlfn.XLOOKUP(R102:AF102,增益!$A:$A,增益!$R:$R,0))</f>
        <v>1.85</v>
      </c>
      <c r="BL102" s="27" cm="1">
        <f t="array" ref="BL102">IF(VLOOKUP($Q102,武学奇术!$A:$ZZ,24,FALSE)=1,100%,MIN(40%,$B$10+VLOOKUP($Q102,武学奇术!$A:$ZZ,19,FALSE)+SUM(_xlfn.XLOOKUP(R102:AF102,增益!$A:$A,增益!$S:$S,0)))+$B$12+SUM(_xlfn.XLOOKUP(R102:AF102,增益!$A:$A,增益!$V:$V,0)))*IF(VLOOKUP($Q102,武学奇术!$A:$ZZ,23,FALSE)=1,0,1)</f>
        <v>0.0895</v>
      </c>
      <c r="BM102" s="27" cm="1">
        <f t="array" ref="BM102">1+$B$14+VLOOKUP($Q102,武学奇术!$A:$ZZ,20,FALSE)+SUM(_xlfn.XLOOKUP(R102:AF102,增益!$A:$A,增益!$T:$T,0))</f>
        <v>1.35</v>
      </c>
      <c r="BN102" s="27">
        <f t="shared" si="20"/>
        <v>0.90767745</v>
      </c>
      <c r="BO102" s="27">
        <f t="shared" si="21"/>
        <v>-1.30104260698261e-17</v>
      </c>
      <c r="BP102" s="27">
        <f>IF(VLOOKUP($Q102,武学奇术!$A:$ZZ,22,FALSE)=1,0,(1-$BI102))*(1-$BL102)</f>
        <v>0.00282254999999999</v>
      </c>
      <c r="BQ102" s="27" cm="1">
        <f t="array" ref="BQ102">SUM(_xlfn.XLOOKUP(R102:AF102,增益!$A:$A,增益!$W:$W,0))+$I$5</f>
        <v>0.11</v>
      </c>
    </row>
    <row r="103" spans="1:69">
      <c r="K103" s="41">
        <f t="shared" si="11"/>
        <v>1361205.08896637</v>
      </c>
      <c r="L103" s="41">
        <f>((($AN103+$AO103)/2*$AH103+$AI103)*(1+$AP103)*(1+$AQ103)+(($AS103+$AT103)/2*IF($G$1="鸣金",$AJ103,$AH103)+IF($G$1="鸣金",$AK103*1.5,0))*(1+$AU103)*(1+$AV103)+(($AW103+$AX103)/2*IF($G$1="裂石",$AJ103,$AH103)+IF($G$1="裂石",$AK103*1.5,0))*(1+$AY103)*(1+$AZ103)+(($BA103+$BB103)/2*IF($G$1="牵丝",$AJ103,$AH103)+IF($G$1="牵丝",$AK103*1.5,0))*(1+$BC103)*(1+$BD103)+(($BE103+$BF103)/2*IF($G$1="破竹",$AJ103,$AH103)+IF($G$1="破竹",$AK103*1.5,0))*(1+$BG103)*(1+$BH103))*(1+$AL103)*$BK103*$P103*(1+IF(VLOOKUP($Q103,武学奇术!$A:$ZZ,30,FALSE)="弹道",$B$21,0))*(1+$BQ103)</f>
        <v>1381611.05058243</v>
      </c>
      <c r="M103" s="41">
        <f>(($AO103*$AH103+$AI103)*(1+$AP103)*(1+$AQ103)+($AT103*IF($G$1="鸣金",$AJ103,$AH103)+IF($G$1="鸣金",$AK103*1.5,0))*(1+$AU103)*(1+$AV103)+($AX103*IF($G$1="裂石",$AJ103,$AH103)+IF($G$1="裂石",$AK103*1.5,0))*(1+$AY103)*(1+$AZ103)+($BB103*IF($G$1="牵丝",$AJ103,$AH103)+IF($G$1="牵丝",$AK103*1.5,0))*(1+$BC103)*(1+$BD103)+($BF103*IF($G$1="破竹",$AJ103,$AH103)+IF($G$1="破竹",$AK103*1.5,0))*(1+$BG103)*(1+$BH103))*(1+$AL103)*$BM103*$P103*(1+IF(VLOOKUP($Q103,武学奇术!$A:$ZZ,30,FALSE)="弹道",$B$21,0))*(1+$BQ103)</f>
        <v>1185444.52519103</v>
      </c>
      <c r="N103" s="41">
        <f>((($AN103+$AO103)/2*$AH103+$AI103)*(1+$AP103)*(1+$AQ103)+(($AS103+$AT103)/2*IF($G$1="鸣金",$AJ103,$AH103)+IF($G$1="鸣金",$AK103*1.5,0))*(1+$AU103)*(1+$AV103)+(($AW103+$AX103)/2*IF($G$1="裂石",$AJ103,$AH103)+IF($G$1="裂石",$AK103*1.5,0))*(1+$AY103)*(1+$AZ103)+(($BA103+$BB103)/2*IF($G$1="牵丝",$AJ103,$AH103)+IF($G$1="牵丝",$AK103*1.5,0))*(1+$BC103)*(1+$BD103)+(($BE103+$BF103)/2*IF($G$1="破竹",$AJ103,$AH103)+IF($G$1="破竹",$AK103*1.5,0))*(1+$BG103)*(1+$BH103))*(1+$AL103)*$P103*(1+IF(VLOOKUP($Q103,武学奇术!$A:$ZZ,30,FALSE)="弹道",$B$21,0))*(1+$BQ103)</f>
        <v>625163.371304266</v>
      </c>
      <c r="O103" s="41">
        <f>((($AN103*$AH103+$AI103)*(1+$AP103)*(1+$AQ103)+($AS103*IF($G$1="鸣金",$AJ103,$AH103)+IF($G$1="鸣金",$AK103*1.5,0))*(1+$AU103)*(1+$AV103)+($AW103*IF($G$1="裂石",$AJ103,$AH103)+IF($G$1="裂石",$AK103*1.5,0))*(1+$AY103)*(1+$AZ103)+($BA103*IF($G$1="牵丝",$AJ103,$AH103)+IF($G$1="牵丝",$AK103*1.5,0))*(1+$BC103)*(1+$BD103)+($BE103*IF($G$1="破竹",$AJ103,$AH103)+IF($G$1="破竹",$AK103*1.5,0))*(1+$BG103)*(1+$BH103))*(1+$AL103))*$P103*(1+IF(VLOOKUP($Q103,武学奇术!$A:$ZZ,30,FALSE)="弹道",$B$21,0))*(1+$BQ103)</f>
        <v>372219.686911477</v>
      </c>
      <c r="P103" s="42">
        <v>19</v>
      </c>
      <c r="Q103" s="43" t="s">
        <v>109</v>
      </c>
      <c r="R103" s="43" t="s">
        <v>93</v>
      </c>
      <c r="S103" s="43" t="s">
        <v>158</v>
      </c>
      <c r="T103" s="43" t="s">
        <v>163</v>
      </c>
      <c r="U103" s="43" t="s">
        <v>159</v>
      </c>
      <c r="V103" s="43" t="s">
        <v>98</v>
      </c>
      <c r="W103" s="43" t="s">
        <v>73</v>
      </c>
      <c r="X103" s="43" t="s">
        <v>73</v>
      </c>
      <c r="Y103" s="43" t="s">
        <v>164</v>
      </c>
      <c r="Z103" s="43" t="s">
        <v>73</v>
      </c>
      <c r="AA103" s="43" t="s">
        <v>73</v>
      </c>
      <c r="AB103" s="43" t="s">
        <v>73</v>
      </c>
      <c r="AC103" s="43" t="s">
        <v>165</v>
      </c>
      <c r="AD103" s="43" t="s">
        <v>73</v>
      </c>
      <c r="AE103" s="43" t="s">
        <v>73</v>
      </c>
      <c r="AF103" s="43" t="s">
        <v>75</v>
      </c>
      <c r="AG103" t="str">
        <f>VLOOKUP($Q103,武学奇术!$A:$ZZ,25,FALSE)</f>
        <v>伞</v>
      </c>
      <c r="AH103" s="27">
        <f>VLOOKUP($Q103,武学奇术!$A:$ZZ,26,FALSE)</f>
        <v>1.174955</v>
      </c>
      <c r="AI103" s="28">
        <f>VLOOKUP($Q103,武学奇术!$A:$ZZ,27,FALSE)*(1+IF(OR($AG103=$F$4,$AG103=$F$5),$B$22,0))</f>
        <v>454.02</v>
      </c>
      <c r="AJ103" s="27">
        <f>VLOOKUP($Q103,武学奇术!$A:$ZZ,28,FALSE)</f>
        <v>1.762375</v>
      </c>
      <c r="AK103" s="28">
        <f>VLOOKUP($Q103,武学奇术!$A:$ZZ,29,FALSE)*(1+IF(OR($AG103=$F$4,$AG103=$F$5),$B$22,0))</f>
        <v>247.94</v>
      </c>
      <c r="AL103" s="27" cm="1">
        <f t="array" ref="AL103">$G$3+IFERROR(VLOOKUP($AG103,$F$4:$G$7,2,FALSE),0)+VLOOKUP($Q103,武学奇术!$A:$ZZ,2,FALSE)+SUM(_xlfn.XLOOKUP($R103:$AF103,增益!$A:$A,增益!$B:$B,0))</f>
        <v>1.0241</v>
      </c>
      <c r="AM103" s="27" cm="1">
        <f t="array" ref="AM103">VLOOKUP($Q103,武学奇术!$A:$ZZ,5,FALSE)+SUM(_xlfn.XLOOKUP($R103:$AF103,增益!$A:$A,增益!$E:$E,0))</f>
        <v>0.15</v>
      </c>
      <c r="AN103" cm="1">
        <f t="array" ref="AN103">$D$10*(1+$AM103)+VLOOKUP($Q103,武学奇术!$A:$ZZ,3,FALSE)+SUM(_xlfn.XLOOKUP($R103:$AF103,增益!$A:$A,增益!$C:$C,0))-$I$2</f>
        <v>2063.755</v>
      </c>
      <c r="AO103" cm="1">
        <f t="array" ref="AO103">$E$10*(1+$AM103)+VLOOKUP($Q103,武学奇术!$A:$ZZ,4,FALSE)+SUM(_xlfn.XLOOKUP($R103:$AF103,增益!$A:$A,增益!$D:$D,0))-$I$2</f>
        <v>6060.925</v>
      </c>
      <c r="AP103" s="35" cm="1">
        <f t="array" ref="AP103">IF($F$10-$I$3+VLOOKUP($Q103,武学奇术!$A:$ZZ,6,FALSE)+SUM(_xlfn.XLOOKUP(R103:AF103,增益!$A:$A,增益!$F:$F,0))&gt;0,($F$10-$I$3+VLOOKUP($Q103,武学奇术!$A:$ZZ,6,FALSE)+SUM(_xlfn.XLOOKUP(R103:AF103,增益!$A:$A,增益!$F:$F,0)))/200,($F$10-$I$3+VLOOKUP($Q103,武学奇术!$A:$ZZ,6,FALSE)+SUM(_xlfn.XLOOKUP(R103:AF103,增益!$A:$A,增益!$F:$F,0)))/100)</f>
        <v>0.3925</v>
      </c>
      <c r="AQ103" s="35" cm="1">
        <f t="array" ref="AQ103">$G$10+VLOOKUP($Q103,武学奇术!$A:$ZZ,7,FALSE)+SUM(_xlfn.XLOOKUP(R103:AF103,增益!$A:$A,增益!$G:$G,0))</f>
        <v>0.1</v>
      </c>
      <c r="AR103" s="27" cm="1">
        <f t="array" ref="AR103">VLOOKUP($Q103,武学奇术!$A:$ZZ,8,FALSE)+SUM(_xlfn.XLOOKUP(R103:AF103,增益!$A:$A,增益!$H:$H,0))</f>
        <v>0</v>
      </c>
      <c r="AS103">
        <f t="shared" si="12"/>
        <v>0</v>
      </c>
      <c r="AT103">
        <f t="shared" si="13"/>
        <v>0</v>
      </c>
      <c r="AU103" s="35" cm="1">
        <f t="array" ref="AU103">IF($F$11-$I$4+VLOOKUP($Q103,武学奇术!$A:$ZZ,9,FALSE)+SUM(_xlfn.XLOOKUP(R103:AF103,增益!$A:$A,增益!$I:$I,0))&gt;0,($F$11-$I$4+VLOOKUP($Q103,武学奇术!$A:$ZZ,9,FALSE)+SUM(_xlfn.XLOOKUP(R103:AF103,增益!$A:$A,增益!$I:$I,0)))/200,($F$11-$I$4+VLOOKUP($Q103,武学奇术!$A:$ZZ,9,FALSE)+SUM(_xlfn.XLOOKUP(R103:AF103,增益!$A:$A,增益!$I:$I,0)))/100)</f>
        <v>-0.3</v>
      </c>
      <c r="AV103" s="35" cm="1">
        <f t="array" ref="AV103">$G$11+VLOOKUP($Q103,武学奇术!$A:$ZZ,10,FALSE)+SUM(_xlfn.XLOOKUP(R103:AF103,增益!$A:$A,增益!$J:$J,0))</f>
        <v>0</v>
      </c>
      <c r="AW103">
        <f t="shared" si="14"/>
        <v>0</v>
      </c>
      <c r="AX103">
        <f t="shared" si="15"/>
        <v>0</v>
      </c>
      <c r="AY103" s="35" cm="1">
        <f t="array" ref="AY103">IF($F$12-$I$4+VLOOKUP($Q103,武学奇术!$A:$ZZ,11,FALSE)+SUM(_xlfn.XLOOKUP(R103:AF103,增益!$A:$A,增益!$K:$K,0))&gt;0,($F$12-$I$4+VLOOKUP($Q103,武学奇术!$A:$ZZ,11,FALSE)+SUM(_xlfn.XLOOKUP(R103:AF103,增益!$A:$A,增益!$K:$K,0)))/200,($F$12-$I$4+VLOOKUP($Q103,武学奇术!$A:$ZZ,11,FALSE)+SUM(_xlfn.XLOOKUP(R103:AF103,增益!$A:$A,增益!$K:$K,0)))/100)</f>
        <v>-0.3</v>
      </c>
      <c r="AZ103" s="35" cm="1">
        <f t="array" ref="AZ103">$G$12+VLOOKUP($Q103,武学奇术!$A:$ZZ,12,FALSE)+SUM(_xlfn.XLOOKUP(R103:AF103,增益!$A:$A,增益!$L:$L,0))</f>
        <v>0</v>
      </c>
      <c r="BA103">
        <f t="shared" si="16"/>
        <v>538</v>
      </c>
      <c r="BB103">
        <f t="shared" si="17"/>
        <v>1011</v>
      </c>
      <c r="BC103" s="35" cm="1">
        <f t="array" ref="BC103">IF($F$13-$I$4+VLOOKUP($Q103,武学奇术!$A:$ZZ,13,FALSE)+SUM(_xlfn.XLOOKUP(R103:AF103,增益!$A:$A,增益!$M:$M,0))&gt;0,($F$13-$I$4+VLOOKUP($Q103,武学奇术!$A:$ZZ,13,FALSE)+SUM(_xlfn.XLOOKUP(R103:AF103,增益!$A:$A,增益!$K:$K,0)))/200,($F$13-$I$4+VLOOKUP($Q103,武学奇术!$A:$ZZ,13,FALSE)+SUM(_xlfn.XLOOKUP(R103:AF103,增益!$A:$A,增益!$M:$M,0)))/100)</f>
        <v>0</v>
      </c>
      <c r="BD103" s="35" cm="1">
        <f t="array" ref="BD103">$G$13+VLOOKUP($Q103,武学奇术!$A:$ZZ,14,FALSE)+SUM(_xlfn.XLOOKUP(R103:AF103,增益!$A:$A,增益!$N:$N,0))</f>
        <v>0.25</v>
      </c>
      <c r="BE103">
        <f t="shared" si="18"/>
        <v>0</v>
      </c>
      <c r="BF103">
        <f t="shared" si="19"/>
        <v>0</v>
      </c>
      <c r="BG103" s="35" cm="1">
        <f t="array" ref="BG103">IF($F$14-$I$4+VLOOKUP($Q103,武学奇术!$A:$ZZ,15,FALSE)+SUM(_xlfn.XLOOKUP(R103:AF103,增益!$A:$A,增益!$O:$O,0))&gt;0,($F$14-$I$4+VLOOKUP($Q103,武学奇术!$A:$ZZ,15,FALSE)+SUM(_xlfn.XLOOKUP(R103:AF103,增益!$A:$A,增益!$O:$O,0)))/200,($F$14-$I$4+VLOOKUP($Q103,武学奇术!$A:$ZZ,15,FALSE)+SUM(_xlfn.XLOOKUP(R103:AF103,增益!$A:$A,增益!$O:$O,0)))/100)</f>
        <v>-0.3</v>
      </c>
      <c r="BH103" s="35" cm="1">
        <f t="array" ref="BH103">$G$14+VLOOKUP($Q103,武学奇术!$A:$ZZ,16,FALSE)+SUM(_xlfn.XLOOKUP(R103:AF103,增益!$A:$A,增益!$P:$P,0))</f>
        <v>0</v>
      </c>
      <c r="BI103" s="27">
        <f>MIN(IF(VLOOKUP($Q103,武学奇术!$A:$ZZ,23,FALSE)=1,100%,$B$8),100%)</f>
        <v>0.9969</v>
      </c>
      <c r="BJ103" s="27" cm="1">
        <f t="array" ref="BJ103">IF(VLOOKUP($Q103,武学奇术!$A:$ZZ,23,FALSE)=1,100%,MIN(80%,$B$9+VLOOKUP($Q103,武学奇术!$A:$ZZ,17,FALSE)+SUM(_xlfn.XLOOKUP(R103:AF103,增益!$A:$A,增益!$Q:$Q,0)))+$B$11+SUM(_xlfn.XLOOKUP(R103:AF103,增益!$A:$A,增益!$U:$U,0)))*IF(VLOOKUP($Q103,武学奇术!$A:$ZZ,24,FALSE)=1,0,1)</f>
        <v>0.9137</v>
      </c>
      <c r="BK103" s="27" cm="1">
        <f t="array" ref="BK103">1+$B$13+VLOOKUP($Q103,武学奇术!$A:$ZZ,18,FALSE)+SUM(_xlfn.XLOOKUP(R103:AF103,增益!$A:$A,增益!$R:$R,0))</f>
        <v>2.21</v>
      </c>
      <c r="BL103" s="27" cm="1">
        <f t="array" ref="BL103">IF(VLOOKUP($Q103,武学奇术!$A:$ZZ,24,FALSE)=1,100%,MIN(40%,$B$10+VLOOKUP($Q103,武学奇术!$A:$ZZ,19,FALSE)+SUM(_xlfn.XLOOKUP(R103:AF103,增益!$A:$A,增益!$S:$S,0)))+$B$12+SUM(_xlfn.XLOOKUP(R103:AF103,增益!$A:$A,增益!$V:$V,0)))*IF(VLOOKUP($Q103,武学奇术!$A:$ZZ,23,FALSE)=1,0,1)</f>
        <v>0.0895</v>
      </c>
      <c r="BM103" s="27" cm="1">
        <f t="array" ref="BM103">1+$B$14+VLOOKUP($Q103,武学奇术!$A:$ZZ,20,FALSE)+SUM(_xlfn.XLOOKUP(R103:AF103,增益!$A:$A,增益!$T:$T,0))</f>
        <v>1.35</v>
      </c>
      <c r="BN103" s="27">
        <f t="shared" si="20"/>
        <v>0.90767745</v>
      </c>
      <c r="BO103" s="27">
        <f t="shared" si="21"/>
        <v>-1.30104260698261e-17</v>
      </c>
      <c r="BP103" s="27">
        <f>IF(VLOOKUP($Q103,武学奇术!$A:$ZZ,22,FALSE)=1,0,(1-$BI103))*(1-$BL103)</f>
        <v>0.00282254999999999</v>
      </c>
      <c r="BQ103" s="27" cm="1">
        <f t="array" ref="BQ103">SUM(_xlfn.XLOOKUP(R103:AF103,增益!$A:$A,增益!$W:$W,0))+$I$5</f>
        <v>0.21</v>
      </c>
    </row>
    <row r="104" spans="1:69">
      <c r="K104" s="41">
        <f t="shared" si="11"/>
        <v>128196.081601334</v>
      </c>
      <c r="L104" s="41">
        <f>((($AN104+$AO104)/2*$AH104+$AI104)*(1+$AP104)*(1+$AQ104)+(($AS104+$AT104)/2*IF($G$1="鸣金",$AJ104,$AH104)+IF($G$1="鸣金",$AK104*1.5,0))*(1+$AU104)*(1+$AV104)+(($AW104+$AX104)/2*IF($G$1="裂石",$AJ104,$AH104)+IF($G$1="裂石",$AK104*1.5,0))*(1+$AY104)*(1+$AZ104)+(($BA104+$BB104)/2*IF($G$1="牵丝",$AJ104,$AH104)+IF($G$1="牵丝",$AK104*1.5,0))*(1+$BC104)*(1+$BD104)+(($BE104+$BF104)/2*IF($G$1="破竹",$AJ104,$AH104)+IF($G$1="破竹",$AK104*1.5,0))*(1+$BG104)*(1+$BH104))*(1+$AL104)*$BK104*$P104*(1+IF(VLOOKUP($Q104,武学奇术!$A:$ZZ,30,FALSE)="弹道",$B$21,0))*(1+$BQ104)</f>
        <v>130117.881880873</v>
      </c>
      <c r="M104" s="41">
        <f>(($AO104*$AH104+$AI104)*(1+$AP104)*(1+$AQ104)+($AT104*IF($G$1="鸣金",$AJ104,$AH104)+IF($G$1="鸣金",$AK104*1.5,0))*(1+$AU104)*(1+$AV104)+($AX104*IF($G$1="裂石",$AJ104,$AH104)+IF($G$1="裂石",$AK104*1.5,0))*(1+$AY104)*(1+$AZ104)+($BB104*IF($G$1="牵丝",$AJ104,$AH104)+IF($G$1="牵丝",$AK104*1.5,0))*(1+$BC104)*(1+$BD104)+($BF104*IF($G$1="破竹",$AJ104,$AH104)+IF($G$1="破竹",$AK104*1.5,0))*(1+$BG104)*(1+$BH104))*(1+$AL104)*$BM104*$P104*(1+IF(VLOOKUP($Q104,武学奇术!$A:$ZZ,30,FALSE)="弹道",$B$21,0))*(1+$BQ104)</f>
        <v>111643.23753788</v>
      </c>
      <c r="N104" s="41">
        <f>((($AN104+$AO104)/2*$AH104+$AI104)*(1+$AP104)*(1+$AQ104)+(($AS104+$AT104)/2*IF($G$1="鸣金",$AJ104,$AH104)+IF($G$1="鸣金",$AK104*1.5,0))*(1+$AU104)*(1+$AV104)+(($AW104+$AX104)/2*IF($G$1="裂石",$AJ104,$AH104)+IF($G$1="裂石",$AK104*1.5,0))*(1+$AY104)*(1+$AZ104)+(($BA104+$BB104)/2*IF($G$1="牵丝",$AJ104,$AH104)+IF($G$1="牵丝",$AK104*1.5,0))*(1+$BC104)*(1+$BD104)+(($BE104+$BF104)/2*IF($G$1="破竹",$AJ104,$AH104)+IF($G$1="破竹",$AK104*1.5,0))*(1+$BG104)*(1+$BH104))*(1+$AL104)*$P104*(1+IF(VLOOKUP($Q104,武学奇术!$A:$ZZ,30,FALSE)="弹道",$B$21,0))*(1+$BQ104)</f>
        <v>58876.8696293545</v>
      </c>
      <c r="O104" s="41">
        <f>((($AN104*$AH104+$AI104)*(1+$AP104)*(1+$AQ104)+($AS104*IF($G$1="鸣金",$AJ104,$AH104)+IF($G$1="鸣金",$AK104*1.5,0))*(1+$AU104)*(1+$AV104)+($AW104*IF($G$1="裂石",$AJ104,$AH104)+IF($G$1="裂石",$AK104*1.5,0))*(1+$AY104)*(1+$AZ104)+($BA104*IF($G$1="牵丝",$AJ104,$AH104)+IF($G$1="牵丝",$AK104*1.5,0))*(1+$BC104)*(1+$BD104)+($BE104*IF($G$1="破竹",$AJ104,$AH104)+IF($G$1="破竹",$AK104*1.5,0))*(1+$BG104)*(1+$BH104))*(1+$AL104))*$P104*(1+IF(VLOOKUP($Q104,武学奇术!$A:$ZZ,30,FALSE)="弹道",$B$21,0))*(1+$BQ104)</f>
        <v>35055.0447862053</v>
      </c>
      <c r="P104" s="42">
        <v>2</v>
      </c>
      <c r="Q104" s="43" t="s">
        <v>109</v>
      </c>
      <c r="R104" s="43" t="s">
        <v>93</v>
      </c>
      <c r="S104" s="43" t="s">
        <v>158</v>
      </c>
      <c r="T104" s="43" t="s">
        <v>102</v>
      </c>
      <c r="U104" s="43" t="s">
        <v>159</v>
      </c>
      <c r="V104" s="43" t="s">
        <v>98</v>
      </c>
      <c r="W104" s="43" t="s">
        <v>73</v>
      </c>
      <c r="X104" s="43" t="s">
        <v>73</v>
      </c>
      <c r="Y104" s="43" t="s">
        <v>164</v>
      </c>
      <c r="Z104" s="43" t="s">
        <v>73</v>
      </c>
      <c r="AA104" s="43" t="s">
        <v>73</v>
      </c>
      <c r="AB104" s="43" t="s">
        <v>73</v>
      </c>
      <c r="AC104" s="43" t="s">
        <v>73</v>
      </c>
      <c r="AD104" s="43" t="s">
        <v>73</v>
      </c>
      <c r="AE104" s="43" t="s">
        <v>73</v>
      </c>
      <c r="AF104" s="43" t="s">
        <v>75</v>
      </c>
      <c r="AG104" t="str">
        <f>VLOOKUP($Q104,武学奇术!$A:$ZZ,25,FALSE)</f>
        <v>伞</v>
      </c>
      <c r="AH104" s="27">
        <f>VLOOKUP($Q104,武学奇术!$A:$ZZ,26,FALSE)</f>
        <v>1.174955</v>
      </c>
      <c r="AI104" s="28">
        <f>VLOOKUP($Q104,武学奇术!$A:$ZZ,27,FALSE)*(1+IF(OR($AG104=$F$4,$AG104=$F$5),$B$22,0))</f>
        <v>454.02</v>
      </c>
      <c r="AJ104" s="27">
        <f>VLOOKUP($Q104,武学奇术!$A:$ZZ,28,FALSE)</f>
        <v>1.762375</v>
      </c>
      <c r="AK104" s="28">
        <f>VLOOKUP($Q104,武学奇术!$A:$ZZ,29,FALSE)*(1+IF(OR($AG104=$F$4,$AG104=$F$5),$B$22,0))</f>
        <v>247.94</v>
      </c>
      <c r="AL104" s="27" cm="1">
        <f t="array" ref="AL104">$G$3+IFERROR(VLOOKUP($AG104,$F$4:$G$7,2,FALSE),0)+VLOOKUP($Q104,武学奇术!$A:$ZZ,2,FALSE)+SUM(_xlfn.XLOOKUP($R104:$AF104,增益!$A:$A,增益!$B:$B,0))</f>
        <v>0.9741</v>
      </c>
      <c r="AM104" s="27" cm="1">
        <f t="array" ref="AM104">VLOOKUP($Q104,武学奇术!$A:$ZZ,5,FALSE)+SUM(_xlfn.XLOOKUP($R104:$AF104,增益!$A:$A,增益!$E:$E,0))</f>
        <v>0.15</v>
      </c>
      <c r="AN104" cm="1">
        <f t="array" ref="AN104">$D$10*(1+$AM104)+VLOOKUP($Q104,武学奇术!$A:$ZZ,3,FALSE)+SUM(_xlfn.XLOOKUP($R104:$AF104,增益!$A:$A,增益!$C:$C,0))-$I$2</f>
        <v>2063.755</v>
      </c>
      <c r="AO104" cm="1">
        <f t="array" ref="AO104">$E$10*(1+$AM104)+VLOOKUP($Q104,武学奇术!$A:$ZZ,4,FALSE)+SUM(_xlfn.XLOOKUP($R104:$AF104,增益!$A:$A,增益!$D:$D,0))-$I$2</f>
        <v>6060.925</v>
      </c>
      <c r="AP104" s="35" cm="1">
        <f t="array" ref="AP104">IF($F$10-$I$3+VLOOKUP($Q104,武学奇术!$A:$ZZ,6,FALSE)+SUM(_xlfn.XLOOKUP(R104:AF104,增益!$A:$A,增益!$F:$F,0))&gt;0,($F$10-$I$3+VLOOKUP($Q104,武学奇术!$A:$ZZ,6,FALSE)+SUM(_xlfn.XLOOKUP(R104:AF104,增益!$A:$A,增益!$F:$F,0)))/200,($F$10-$I$3+VLOOKUP($Q104,武学奇术!$A:$ZZ,6,FALSE)+SUM(_xlfn.XLOOKUP(R104:AF104,增益!$A:$A,增益!$F:$F,0)))/100)</f>
        <v>0.3925</v>
      </c>
      <c r="AQ104" s="35" cm="1">
        <f t="array" ref="AQ104">$G$10+VLOOKUP($Q104,武学奇术!$A:$ZZ,7,FALSE)+SUM(_xlfn.XLOOKUP(R104:AF104,增益!$A:$A,增益!$G:$G,0))</f>
        <v>0.1</v>
      </c>
      <c r="AR104" s="27" cm="1">
        <f t="array" ref="AR104">VLOOKUP($Q104,武学奇术!$A:$ZZ,8,FALSE)+SUM(_xlfn.XLOOKUP(R104:AF104,增益!$A:$A,增益!$H:$H,0))</f>
        <v>0</v>
      </c>
      <c r="AS104">
        <f t="shared" si="12"/>
        <v>0</v>
      </c>
      <c r="AT104">
        <f t="shared" si="13"/>
        <v>0</v>
      </c>
      <c r="AU104" s="35" cm="1">
        <f t="array" ref="AU104">IF($F$11-$I$4+VLOOKUP($Q104,武学奇术!$A:$ZZ,9,FALSE)+SUM(_xlfn.XLOOKUP(R104:AF104,增益!$A:$A,增益!$I:$I,0))&gt;0,($F$11-$I$4+VLOOKUP($Q104,武学奇术!$A:$ZZ,9,FALSE)+SUM(_xlfn.XLOOKUP(R104:AF104,增益!$A:$A,增益!$I:$I,0)))/200,($F$11-$I$4+VLOOKUP($Q104,武学奇术!$A:$ZZ,9,FALSE)+SUM(_xlfn.XLOOKUP(R104:AF104,增益!$A:$A,增益!$I:$I,0)))/100)</f>
        <v>-0.3</v>
      </c>
      <c r="AV104" s="35" cm="1">
        <f t="array" ref="AV104">$G$11+VLOOKUP($Q104,武学奇术!$A:$ZZ,10,FALSE)+SUM(_xlfn.XLOOKUP(R104:AF104,增益!$A:$A,增益!$J:$J,0))</f>
        <v>0</v>
      </c>
      <c r="AW104">
        <f t="shared" si="14"/>
        <v>0</v>
      </c>
      <c r="AX104">
        <f t="shared" si="15"/>
        <v>0</v>
      </c>
      <c r="AY104" s="35" cm="1">
        <f t="array" ref="AY104">IF($F$12-$I$4+VLOOKUP($Q104,武学奇术!$A:$ZZ,11,FALSE)+SUM(_xlfn.XLOOKUP(R104:AF104,增益!$A:$A,增益!$K:$K,0))&gt;0,($F$12-$I$4+VLOOKUP($Q104,武学奇术!$A:$ZZ,11,FALSE)+SUM(_xlfn.XLOOKUP(R104:AF104,增益!$A:$A,增益!$K:$K,0)))/200,($F$12-$I$4+VLOOKUP($Q104,武学奇术!$A:$ZZ,11,FALSE)+SUM(_xlfn.XLOOKUP(R104:AF104,增益!$A:$A,增益!$K:$K,0)))/100)</f>
        <v>-0.3</v>
      </c>
      <c r="AZ104" s="35" cm="1">
        <f t="array" ref="AZ104">$G$12+VLOOKUP($Q104,武学奇术!$A:$ZZ,12,FALSE)+SUM(_xlfn.XLOOKUP(R104:AF104,增益!$A:$A,增益!$L:$L,0))</f>
        <v>0</v>
      </c>
      <c r="BA104">
        <f t="shared" si="16"/>
        <v>538</v>
      </c>
      <c r="BB104">
        <f t="shared" si="17"/>
        <v>1011</v>
      </c>
      <c r="BC104" s="35" cm="1">
        <f t="array" ref="BC104">IF($F$13-$I$4+VLOOKUP($Q104,武学奇术!$A:$ZZ,13,FALSE)+SUM(_xlfn.XLOOKUP(R104:AF104,增益!$A:$A,增益!$M:$M,0))&gt;0,($F$13-$I$4+VLOOKUP($Q104,武学奇术!$A:$ZZ,13,FALSE)+SUM(_xlfn.XLOOKUP(R104:AF104,增益!$A:$A,增益!$K:$K,0)))/200,($F$13-$I$4+VLOOKUP($Q104,武学奇术!$A:$ZZ,13,FALSE)+SUM(_xlfn.XLOOKUP(R104:AF104,增益!$A:$A,增益!$M:$M,0)))/100)</f>
        <v>0</v>
      </c>
      <c r="BD104" s="35" cm="1">
        <f t="array" ref="BD104">$G$13+VLOOKUP($Q104,武学奇术!$A:$ZZ,14,FALSE)+SUM(_xlfn.XLOOKUP(R104:AF104,增益!$A:$A,增益!$N:$N,0))</f>
        <v>0.25</v>
      </c>
      <c r="BE104">
        <f t="shared" si="18"/>
        <v>0</v>
      </c>
      <c r="BF104">
        <f t="shared" si="19"/>
        <v>0</v>
      </c>
      <c r="BG104" s="35" cm="1">
        <f t="array" ref="BG104">IF($F$14-$I$4+VLOOKUP($Q104,武学奇术!$A:$ZZ,15,FALSE)+SUM(_xlfn.XLOOKUP(R104:AF104,增益!$A:$A,增益!$O:$O,0))&gt;0,($F$14-$I$4+VLOOKUP($Q104,武学奇术!$A:$ZZ,15,FALSE)+SUM(_xlfn.XLOOKUP(R104:AF104,增益!$A:$A,增益!$O:$O,0)))/200,($F$14-$I$4+VLOOKUP($Q104,武学奇术!$A:$ZZ,15,FALSE)+SUM(_xlfn.XLOOKUP(R104:AF104,增益!$A:$A,增益!$O:$O,0)))/100)</f>
        <v>-0.3</v>
      </c>
      <c r="BH104" s="35" cm="1">
        <f t="array" ref="BH104">$G$14+VLOOKUP($Q104,武学奇术!$A:$ZZ,16,FALSE)+SUM(_xlfn.XLOOKUP(R104:AF104,增益!$A:$A,增益!$P:$P,0))</f>
        <v>0</v>
      </c>
      <c r="BI104" s="27">
        <f>MIN(IF(VLOOKUP($Q104,武学奇术!$A:$ZZ,23,FALSE)=1,100%,$B$8),100%)</f>
        <v>0.9969</v>
      </c>
      <c r="BJ104" s="27" cm="1">
        <f t="array" ref="BJ104">IF(VLOOKUP($Q104,武学奇术!$A:$ZZ,23,FALSE)=1,100%,MIN(80%,$B$9+VLOOKUP($Q104,武学奇术!$A:$ZZ,17,FALSE)+SUM(_xlfn.XLOOKUP(R104:AF104,增益!$A:$A,增益!$Q:$Q,0)))+$B$11+SUM(_xlfn.XLOOKUP(R104:AF104,增益!$A:$A,增益!$U:$U,0)))*IF(VLOOKUP($Q104,武学奇术!$A:$ZZ,24,FALSE)=1,0,1)</f>
        <v>0.9137</v>
      </c>
      <c r="BK104" s="27" cm="1">
        <f t="array" ref="BK104">1+$B$13+VLOOKUP($Q104,武学奇术!$A:$ZZ,18,FALSE)+SUM(_xlfn.XLOOKUP(R104:AF104,增益!$A:$A,增益!$R:$R,0))</f>
        <v>2.21</v>
      </c>
      <c r="BL104" s="27" cm="1">
        <f t="array" ref="BL104">IF(VLOOKUP($Q104,武学奇术!$A:$ZZ,24,FALSE)=1,100%,MIN(40%,$B$10+VLOOKUP($Q104,武学奇术!$A:$ZZ,19,FALSE)+SUM(_xlfn.XLOOKUP(R104:AF104,增益!$A:$A,增益!$S:$S,0)))+$B$12+SUM(_xlfn.XLOOKUP(R104:AF104,增益!$A:$A,增益!$V:$V,0)))*IF(VLOOKUP($Q104,武学奇术!$A:$ZZ,23,FALSE)=1,0,1)</f>
        <v>0.0895</v>
      </c>
      <c r="BM104" s="27" cm="1">
        <f t="array" ref="BM104">1+$B$14+VLOOKUP($Q104,武学奇术!$A:$ZZ,20,FALSE)+SUM(_xlfn.XLOOKUP(R104:AF104,增益!$A:$A,增益!$T:$T,0))</f>
        <v>1.35</v>
      </c>
      <c r="BN104" s="27">
        <f t="shared" si="20"/>
        <v>0.90767745</v>
      </c>
      <c r="BO104" s="27">
        <f t="shared" si="21"/>
        <v>-1.30104260698261e-17</v>
      </c>
      <c r="BP104" s="27">
        <f>IF(VLOOKUP($Q104,武学奇术!$A:$ZZ,22,FALSE)=1,0,(1-$BI104))*(1-$BL104)</f>
        <v>0.00282254999999999</v>
      </c>
      <c r="BQ104" s="27" cm="1">
        <f t="array" ref="BQ104">SUM(_xlfn.XLOOKUP(R104:AF104,增益!$A:$A,增益!$W:$W,0))+$I$5</f>
        <v>0.11</v>
      </c>
    </row>
    <row r="105" spans="1:69">
      <c r="A105" s="4"/>
      <c r="B105" s="4"/>
      <c r="K105" s="41">
        <f t="shared" si="11"/>
        <v>186656.553464392</v>
      </c>
      <c r="L105" s="41">
        <f>((($AN105+$AO105)/2*$AH105+$AI105)*(1+$AP105)*(1+$AQ105)+(($AS105+$AT105)/2*IF($G$1="鸣金",$AJ105,$AH105)+IF($G$1="鸣金",$AK105*1.5,0))*(1+$AU105)*(1+$AV105)+(($AW105+$AX105)/2*IF($G$1="裂石",$AJ105,$AH105)+IF($G$1="裂石",$AK105*1.5,0))*(1+$AY105)*(1+$AZ105)+(($BA105+$BB105)/2*IF($G$1="牵丝",$AJ105,$AH105)+IF($G$1="牵丝",$AK105*1.5,0))*(1+$BC105)*(1+$BD105)+(($BE105+$BF105)/2*IF($G$1="破竹",$AJ105,$AH105)+IF($G$1="破竹",$AK105*1.5,0))*(1+$BG105)*(1+$BH105))*(1+$AL105)*$BK105*$P105*(1+IF(VLOOKUP($Q105,武学奇术!$A:$ZZ,30,FALSE)="弹道",$B$21,0))*(1+$BQ105)</f>
        <v>186179.985346571</v>
      </c>
      <c r="M105" s="41">
        <f>(($AO105*$AH105+$AI105)*(1+$AP105)*(1+$AQ105)+($AT105*IF($G$1="鸣金",$AJ105,$AH105)+IF($G$1="鸣金",$AK105*1.5,0))*(1+$AU105)*(1+$AV105)+($AX105*IF($G$1="裂石",$AJ105,$AH105)+IF($G$1="裂石",$AK105*1.5,0))*(1+$AY105)*(1+$AZ105)+($BB105*IF($G$1="牵丝",$AJ105,$AH105)+IF($G$1="牵丝",$AK105*1.5,0))*(1+$BC105)*(1+$BD105)+($BF105*IF($G$1="破竹",$AJ105,$AH105)+IF($G$1="破竹",$AK105*1.5,0))*(1+$BG105)*(1+$BH105))*(1+$AL105)*$BM105*$P105*(1+IF(VLOOKUP($Q105,武学奇术!$A:$ZZ,30,FALSE)="弹道",$B$21,0))*(1+$BQ105)</f>
        <v>195597.993846102</v>
      </c>
      <c r="N105" s="41">
        <f>((($AN105+$AO105)/2*$AH105+$AI105)*(1+$AP105)*(1+$AQ105)+(($AS105+$AT105)/2*IF($G$1="鸣金",$AJ105,$AH105)+IF($G$1="鸣金",$AK105*1.5,0))*(1+$AU105)*(1+$AV105)+(($AW105+$AX105)/2*IF($G$1="裂石",$AJ105,$AH105)+IF($G$1="裂石",$AK105*1.5,0))*(1+$AY105)*(1+$AZ105)+(($BA105+$BB105)/2*IF($G$1="牵丝",$AJ105,$AH105)+IF($G$1="牵丝",$AK105*1.5,0))*(1+$BC105)*(1+$BD105)+(($BE105+$BF105)/2*IF($G$1="破竹",$AJ105,$AH105)+IF($G$1="破竹",$AK105*1.5,0))*(1+$BG105)*(1+$BH105))*(1+$AL105)*$P105*(1+IF(VLOOKUP($Q105,武学奇术!$A:$ZZ,30,FALSE)="弹道",$B$21,0))*(1+$BQ105)</f>
        <v>100637.829917065</v>
      </c>
      <c r="O105" s="41">
        <f>((($AN105*$AH105+$AI105)*(1+$AP105)*(1+$AQ105)+($AS105*IF($G$1="鸣金",$AJ105,$AH105)+IF($G$1="鸣金",$AK105*1.5,0))*(1+$AU105)*(1+$AV105)+($AW105*IF($G$1="裂石",$AJ105,$AH105)+IF($G$1="裂石",$AK105*1.5,0))*(1+$AY105)*(1+$AZ105)+($BA105*IF($G$1="牵丝",$AJ105,$AH105)+IF($G$1="牵丝",$AK105*1.5,0))*(1+$BC105)*(1+$BD105)+($BE105*IF($G$1="破竹",$AJ105,$AH105)+IF($G$1="破竹",$AK105*1.5,0))*(1+$BG105)*(1+$BH105))*(1+$AL105))*$P105*(1+IF(VLOOKUP($Q105,武学奇术!$A:$ZZ,30,FALSE)="弹道",$B$21,0))*(1+$BQ105)</f>
        <v>56388.2569851657</v>
      </c>
      <c r="P105" s="42">
        <v>8</v>
      </c>
      <c r="Q105" s="43" t="s">
        <v>171</v>
      </c>
      <c r="R105" s="43" t="s">
        <v>93</v>
      </c>
      <c r="S105" s="43" t="s">
        <v>158</v>
      </c>
      <c r="T105" s="43" t="s">
        <v>73</v>
      </c>
      <c r="U105" s="43" t="s">
        <v>159</v>
      </c>
      <c r="V105" s="43" t="s">
        <v>73</v>
      </c>
      <c r="W105" s="43" t="s">
        <v>73</v>
      </c>
      <c r="X105" s="43" t="s">
        <v>73</v>
      </c>
      <c r="Y105" s="43" t="s">
        <v>164</v>
      </c>
      <c r="Z105" s="43" t="s">
        <v>73</v>
      </c>
      <c r="AA105" s="43" t="s">
        <v>73</v>
      </c>
      <c r="AB105" s="43" t="s">
        <v>73</v>
      </c>
      <c r="AC105" s="43" t="s">
        <v>165</v>
      </c>
      <c r="AD105" s="43" t="s">
        <v>73</v>
      </c>
      <c r="AE105" s="43" t="s">
        <v>73</v>
      </c>
      <c r="AF105" s="43" t="s">
        <v>75</v>
      </c>
      <c r="AG105" t="str">
        <f>VLOOKUP($Q105,武学奇术!$A:$ZZ,25,FALSE)</f>
        <v>单体奇术</v>
      </c>
      <c r="AH105" s="27">
        <f>VLOOKUP($Q105,武学奇术!$A:$ZZ,26,FALSE)</f>
        <v>1.0238</v>
      </c>
      <c r="AI105" s="28">
        <f>VLOOKUP($Q105,武学奇术!$A:$ZZ,27,FALSE)*(1+IF(OR($AG105=$F$4,$AG105=$F$5),$B$22,0))</f>
        <v>189</v>
      </c>
      <c r="AJ105" s="27">
        <f>VLOOKUP($Q105,武学奇术!$A:$ZZ,28,FALSE)</f>
        <v>1.5357</v>
      </c>
      <c r="AK105" s="28">
        <f>VLOOKUP($Q105,武学奇术!$A:$ZZ,29,FALSE)*(1+IF(OR($AG105=$F$4,$AG105=$F$5),$B$22,0))</f>
        <v>0</v>
      </c>
      <c r="AL105" s="27" cm="1">
        <f t="array" ref="AL105">$G$3+IFERROR(VLOOKUP($AG105,$F$4:$G$7,2,FALSE),0)+VLOOKUP($Q105,武学奇术!$A:$ZZ,2,FALSE)+SUM(_xlfn.XLOOKUP($R105:$AF105,增益!$A:$A,增益!$B:$B,0))</f>
        <v>0.4215</v>
      </c>
      <c r="AM105" s="27" cm="1">
        <f t="array" ref="AM105">VLOOKUP($Q105,武学奇术!$A:$ZZ,5,FALSE)+SUM(_xlfn.XLOOKUP($R105:$AF105,增益!$A:$A,增益!$E:$E,0))</f>
        <v>0.15</v>
      </c>
      <c r="AN105" cm="1">
        <f t="array" ref="AN105">$D$10*(1+$AM105)+VLOOKUP($Q105,武学奇术!$A:$ZZ,3,FALSE)+SUM(_xlfn.XLOOKUP($R105:$AF105,增益!$A:$A,增益!$C:$C,0))-$I$2</f>
        <v>2063.755</v>
      </c>
      <c r="AO105" cm="1">
        <f t="array" ref="AO105">$E$10*(1+$AM105)+VLOOKUP($Q105,武学奇术!$A:$ZZ,4,FALSE)+SUM(_xlfn.XLOOKUP($R105:$AF105,增益!$A:$A,增益!$D:$D,0))-$I$2</f>
        <v>6060.925</v>
      </c>
      <c r="AP105" s="35" cm="1">
        <f t="array" ref="AP105">IF($F$10-$I$3+VLOOKUP($Q105,武学奇术!$A:$ZZ,6,FALSE)+SUM(_xlfn.XLOOKUP(R105:AF105,增益!$A:$A,增益!$F:$F,0))&gt;0,($F$10-$I$3+VLOOKUP($Q105,武学奇术!$A:$ZZ,6,FALSE)+SUM(_xlfn.XLOOKUP(R105:AF105,增益!$A:$A,增益!$F:$F,0)))/200,($F$10-$I$3+VLOOKUP($Q105,武学奇术!$A:$ZZ,6,FALSE)+SUM(_xlfn.XLOOKUP(R105:AF105,增益!$A:$A,增益!$F:$F,0)))/100)</f>
        <v>0.3675</v>
      </c>
      <c r="AQ105" s="35" cm="1">
        <f t="array" ref="AQ105">$G$10+VLOOKUP($Q105,武学奇术!$A:$ZZ,7,FALSE)+SUM(_xlfn.XLOOKUP(R105:AF105,增益!$A:$A,增益!$G:$G,0))</f>
        <v>0</v>
      </c>
      <c r="AR105" s="27" cm="1">
        <f t="array" ref="AR105">VLOOKUP($Q105,武学奇术!$A:$ZZ,8,FALSE)+SUM(_xlfn.XLOOKUP(R105:AF105,增益!$A:$A,增益!$H:$H,0))</f>
        <v>0</v>
      </c>
      <c r="AS105">
        <f t="shared" si="12"/>
        <v>0</v>
      </c>
      <c r="AT105">
        <f t="shared" si="13"/>
        <v>0</v>
      </c>
      <c r="AU105" s="35" cm="1">
        <f t="array" ref="AU105">IF($F$11-$I$4+VLOOKUP($Q105,武学奇术!$A:$ZZ,9,FALSE)+SUM(_xlfn.XLOOKUP(R105:AF105,增益!$A:$A,增益!$I:$I,0))&gt;0,($F$11-$I$4+VLOOKUP($Q105,武学奇术!$A:$ZZ,9,FALSE)+SUM(_xlfn.XLOOKUP(R105:AF105,增益!$A:$A,增益!$I:$I,0)))/200,($F$11-$I$4+VLOOKUP($Q105,武学奇术!$A:$ZZ,9,FALSE)+SUM(_xlfn.XLOOKUP(R105:AF105,增益!$A:$A,增益!$I:$I,0)))/100)</f>
        <v>-0.3</v>
      </c>
      <c r="AV105" s="35" cm="1">
        <f t="array" ref="AV105">$G$11+VLOOKUP($Q105,武学奇术!$A:$ZZ,10,FALSE)+SUM(_xlfn.XLOOKUP(R105:AF105,增益!$A:$A,增益!$J:$J,0))</f>
        <v>0</v>
      </c>
      <c r="AW105">
        <f t="shared" si="14"/>
        <v>0</v>
      </c>
      <c r="AX105">
        <f t="shared" si="15"/>
        <v>0</v>
      </c>
      <c r="AY105" s="35" cm="1">
        <f t="array" ref="AY105">IF($F$12-$I$4+VLOOKUP($Q105,武学奇术!$A:$ZZ,11,FALSE)+SUM(_xlfn.XLOOKUP(R105:AF105,增益!$A:$A,增益!$K:$K,0))&gt;0,($F$12-$I$4+VLOOKUP($Q105,武学奇术!$A:$ZZ,11,FALSE)+SUM(_xlfn.XLOOKUP(R105:AF105,增益!$A:$A,增益!$K:$K,0)))/200,($F$12-$I$4+VLOOKUP($Q105,武学奇术!$A:$ZZ,11,FALSE)+SUM(_xlfn.XLOOKUP(R105:AF105,增益!$A:$A,增益!$K:$K,0)))/100)</f>
        <v>-0.3</v>
      </c>
      <c r="AZ105" s="35" cm="1">
        <f t="array" ref="AZ105">$G$12+VLOOKUP($Q105,武学奇术!$A:$ZZ,12,FALSE)+SUM(_xlfn.XLOOKUP(R105:AF105,增益!$A:$A,增益!$L:$L,0))</f>
        <v>0</v>
      </c>
      <c r="BA105">
        <f t="shared" si="16"/>
        <v>538</v>
      </c>
      <c r="BB105">
        <f t="shared" si="17"/>
        <v>1011</v>
      </c>
      <c r="BC105" s="35" cm="1">
        <f t="array" ref="BC105">IF($F$13-$I$4+VLOOKUP($Q105,武学奇术!$A:$ZZ,13,FALSE)+SUM(_xlfn.XLOOKUP(R105:AF105,增益!$A:$A,增益!$M:$M,0))&gt;0,($F$13-$I$4+VLOOKUP($Q105,武学奇术!$A:$ZZ,13,FALSE)+SUM(_xlfn.XLOOKUP(R105:AF105,增益!$A:$A,增益!$K:$K,0)))/200,($F$13-$I$4+VLOOKUP($Q105,武学奇术!$A:$ZZ,13,FALSE)+SUM(_xlfn.XLOOKUP(R105:AF105,增益!$A:$A,增益!$M:$M,0)))/100)</f>
        <v>0</v>
      </c>
      <c r="BD105" s="35" cm="1">
        <f t="array" ref="BD105">$G$13+VLOOKUP($Q105,武学奇术!$A:$ZZ,14,FALSE)+SUM(_xlfn.XLOOKUP(R105:AF105,增益!$A:$A,增益!$N:$N,0))</f>
        <v>0.15</v>
      </c>
      <c r="BE105">
        <f t="shared" si="18"/>
        <v>0</v>
      </c>
      <c r="BF105">
        <f t="shared" si="19"/>
        <v>0</v>
      </c>
      <c r="BG105" s="35" cm="1">
        <f t="array" ref="BG105">IF($F$14-$I$4+VLOOKUP($Q105,武学奇术!$A:$ZZ,15,FALSE)+SUM(_xlfn.XLOOKUP(R105:AF105,增益!$A:$A,增益!$O:$O,0))&gt;0,($F$14-$I$4+VLOOKUP($Q105,武学奇术!$A:$ZZ,15,FALSE)+SUM(_xlfn.XLOOKUP(R105:AF105,增益!$A:$A,增益!$O:$O,0)))/200,($F$14-$I$4+VLOOKUP($Q105,武学奇术!$A:$ZZ,15,FALSE)+SUM(_xlfn.XLOOKUP(R105:AF105,增益!$A:$A,增益!$O:$O,0)))/100)</f>
        <v>-0.3</v>
      </c>
      <c r="BH105" s="35" cm="1">
        <f t="array" ref="BH105">$G$14+VLOOKUP($Q105,武学奇术!$A:$ZZ,16,FALSE)+SUM(_xlfn.XLOOKUP(R105:AF105,增益!$A:$A,增益!$P:$P,0))</f>
        <v>0</v>
      </c>
      <c r="BI105" s="27">
        <f>MIN(IF(VLOOKUP($Q105,武学奇术!$A:$ZZ,23,FALSE)=1,100%,$B$8),100%)</f>
        <v>0.9969</v>
      </c>
      <c r="BJ105" s="27" cm="1">
        <f t="array" ref="BJ105">IF(VLOOKUP($Q105,武学奇术!$A:$ZZ,23,FALSE)=1,100%,MIN(80%,$B$9+VLOOKUP($Q105,武学奇术!$A:$ZZ,17,FALSE)+SUM(_xlfn.XLOOKUP(R105:AF105,增益!$A:$A,增益!$Q:$Q,0)))+$B$11+SUM(_xlfn.XLOOKUP(R105:AF105,增益!$A:$A,增益!$U:$U,0)))*IF(VLOOKUP($Q105,武学奇术!$A:$ZZ,24,FALSE)=1,0,1)</f>
        <v>0.9137</v>
      </c>
      <c r="BK105" s="27" cm="1">
        <f t="array" ref="BK105">1+$B$13+VLOOKUP($Q105,武学奇术!$A:$ZZ,18,FALSE)+SUM(_xlfn.XLOOKUP(R105:AF105,增益!$A:$A,增益!$R:$R,0))</f>
        <v>1.85</v>
      </c>
      <c r="BL105" s="27" cm="1">
        <f t="array" ref="BL105">IF(VLOOKUP($Q105,武学奇术!$A:$ZZ,24,FALSE)=1,100%,MIN(40%,$B$10+VLOOKUP($Q105,武学奇术!$A:$ZZ,19,FALSE)+SUM(_xlfn.XLOOKUP(R105:AF105,增益!$A:$A,增益!$S:$S,0)))+$B$12+SUM(_xlfn.XLOOKUP(R105:AF105,增益!$A:$A,增益!$V:$V,0)))*IF(VLOOKUP($Q105,武学奇术!$A:$ZZ,23,FALSE)=1,0,1)</f>
        <v>0.0895</v>
      </c>
      <c r="BM105" s="27" cm="1">
        <f t="array" ref="BM105">1+$B$14+VLOOKUP($Q105,武学奇术!$A:$ZZ,20,FALSE)+SUM(_xlfn.XLOOKUP(R105:AF105,增益!$A:$A,增益!$T:$T,0))</f>
        <v>1.35</v>
      </c>
      <c r="BN105" s="27">
        <f t="shared" si="20"/>
        <v>0.90767745</v>
      </c>
      <c r="BO105" s="27">
        <f t="shared" si="21"/>
        <v>-1.30104260698261e-17</v>
      </c>
      <c r="BP105" s="27">
        <f>IF(VLOOKUP($Q105,武学奇术!$A:$ZZ,22,FALSE)=1,0,(1-$BI105))*(1-$BL105)</f>
        <v>0.00282254999999999</v>
      </c>
      <c r="BQ105" s="27" cm="1">
        <f t="array" ref="BQ105">SUM(_xlfn.XLOOKUP(R105:AF105,增益!$A:$A,增益!$W:$W,0))+$I$5</f>
        <v>0.21</v>
      </c>
    </row>
    <row r="106" spans="1:69">
      <c r="K106" s="41">
        <f t="shared" si="11"/>
        <v>60770.5638713918</v>
      </c>
      <c r="L106" s="41">
        <f>((($AN106+$AO106)/2*$AH106+$AI106)*(1+$AP106)*(1+$AQ106)+(($AS106+$AT106)/2*IF($G$1="鸣金",$AJ106,$AH106)+IF($G$1="鸣金",$AK106*1.5,0))*(1+$AU106)*(1+$AV106)+(($AW106+$AX106)/2*IF($G$1="裂石",$AJ106,$AH106)+IF($G$1="裂石",$AK106*1.5,0))*(1+$AY106)*(1+$AZ106)+(($BA106+$BB106)/2*IF($G$1="牵丝",$AJ106,$AH106)+IF($G$1="牵丝",$AK106*1.5,0))*(1+$BC106)*(1+$BD106)+(($BE106+$BF106)/2*IF($G$1="破竹",$AJ106,$AH106)+IF($G$1="破竹",$AK106*1.5,0))*(1+$BG106)*(1+$BH106))*(1+$AL106)*$BK106*$P106*(1+IF(VLOOKUP($Q106,武学奇术!$A:$ZZ,30,FALSE)="弹道",$B$21,0))*(1+$BQ106)</f>
        <v>60615.406743484</v>
      </c>
      <c r="M106" s="41">
        <f>(($AO106*$AH106+$AI106)*(1+$AP106)*(1+$AQ106)+($AT106*IF($G$1="鸣金",$AJ106,$AH106)+IF($G$1="鸣金",$AK106*1.5,0))*(1+$AU106)*(1+$AV106)+($AX106*IF($G$1="裂石",$AJ106,$AH106)+IF($G$1="裂石",$AK106*1.5,0))*(1+$AY106)*(1+$AZ106)+($BB106*IF($G$1="牵丝",$AJ106,$AH106)+IF($G$1="牵丝",$AK106*1.5,0))*(1+$BC106)*(1+$BD106)+($BF106*IF($G$1="破竹",$AJ106,$AH106)+IF($G$1="破竹",$AK106*1.5,0))*(1+$BG106)*(1+$BH106))*(1+$AL106)*$BM106*$P106*(1+IF(VLOOKUP($Q106,武学奇术!$A:$ZZ,30,FALSE)="弹道",$B$21,0))*(1+$BQ106)</f>
        <v>63681.6542516999</v>
      </c>
      <c r="N106" s="41">
        <f>((($AN106+$AO106)/2*$AH106+$AI106)*(1+$AP106)*(1+$AQ106)+(($AS106+$AT106)/2*IF($G$1="鸣金",$AJ106,$AH106)+IF($G$1="鸣金",$AK106*1.5,0))*(1+$AU106)*(1+$AV106)+(($AW106+$AX106)/2*IF($G$1="裂石",$AJ106,$AH106)+IF($G$1="裂石",$AK106*1.5,0))*(1+$AY106)*(1+$AZ106)+(($BA106+$BB106)/2*IF($G$1="牵丝",$AJ106,$AH106)+IF($G$1="牵丝",$AK106*1.5,0))*(1+$BC106)*(1+$BD106)+(($BE106+$BF106)/2*IF($G$1="破竹",$AJ106,$AH106)+IF($G$1="破竹",$AK106*1.5,0))*(1+$BG106)*(1+$BH106))*(1+$AL106)*$P106*(1+IF(VLOOKUP($Q106,武学奇术!$A:$ZZ,30,FALSE)="弹道",$B$21,0))*(1+$BQ106)</f>
        <v>32765.0847262075</v>
      </c>
      <c r="O106" s="41">
        <f>((($AN106*$AH106+$AI106)*(1+$AP106)*(1+$AQ106)+($AS106*IF($G$1="鸣金",$AJ106,$AH106)+IF($G$1="鸣金",$AK106*1.5,0))*(1+$AU106)*(1+$AV106)+($AW106*IF($G$1="裂石",$AJ106,$AH106)+IF($G$1="裂石",$AK106*1.5,0))*(1+$AY106)*(1+$AZ106)+($BA106*IF($G$1="牵丝",$AJ106,$AH106)+IF($G$1="牵丝",$AK106*1.5,0))*(1+$BC106)*(1+$BD106)+($BE106*IF($G$1="破竹",$AJ106,$AH106)+IF($G$1="破竹",$AK106*1.5,0))*(1+$BG106)*(1+$BH106))*(1+$AL106))*$P106*(1+IF(VLOOKUP($Q106,武学奇术!$A:$ZZ,30,FALSE)="弹道",$B$21,0))*(1+$BQ106)</f>
        <v>18358.5737104152</v>
      </c>
      <c r="P106" s="42">
        <f>IF($C$22="易水歌",1,0)</f>
        <v>1</v>
      </c>
      <c r="Q106" s="43" t="s">
        <v>172</v>
      </c>
      <c r="R106" s="43" t="s">
        <v>93</v>
      </c>
      <c r="S106" s="43" t="s">
        <v>158</v>
      </c>
      <c r="T106" s="43" t="s">
        <v>73</v>
      </c>
      <c r="U106" s="43" t="s">
        <v>159</v>
      </c>
      <c r="V106" s="43" t="s">
        <v>73</v>
      </c>
      <c r="W106" s="43" t="s">
        <v>73</v>
      </c>
      <c r="X106" s="43" t="s">
        <v>73</v>
      </c>
      <c r="Y106" s="43" t="s">
        <v>164</v>
      </c>
      <c r="Z106" s="43" t="s">
        <v>73</v>
      </c>
      <c r="AA106" s="43" t="s">
        <v>73</v>
      </c>
      <c r="AB106" s="43" t="s">
        <v>73</v>
      </c>
      <c r="AC106" s="43" t="s">
        <v>165</v>
      </c>
      <c r="AD106" s="43" t="s">
        <v>73</v>
      </c>
      <c r="AE106" s="43" t="s">
        <v>73</v>
      </c>
      <c r="AF106" s="43" t="s">
        <v>75</v>
      </c>
      <c r="AG106" t="str">
        <f>VLOOKUP($Q106,武学奇术!$A:$ZZ,25,FALSE)</f>
        <v>单体奇术</v>
      </c>
      <c r="AH106" s="27">
        <f>VLOOKUP($Q106,武学奇术!$A:$ZZ,26,FALSE)</f>
        <v>1.7063</v>
      </c>
      <c r="AI106" s="28">
        <f>VLOOKUP($Q106,武学奇术!$A:$ZZ,27,FALSE)*(1+IF(OR($AG106=$F$4,$AG106=$F$5),$B$22,0))</f>
        <v>315</v>
      </c>
      <c r="AJ106" s="27">
        <f>VLOOKUP($Q106,武学奇术!$A:$ZZ,28,FALSE)</f>
        <v>2.55945</v>
      </c>
      <c r="AK106" s="28">
        <f>VLOOKUP($Q106,武学奇术!$A:$ZZ,29,FALSE)*(1+IF(OR($AG106=$F$4,$AG106=$F$5),$B$22,0))</f>
        <v>0</v>
      </c>
      <c r="AL106" s="27" cm="1">
        <f t="array" ref="AL106">$G$3+IFERROR(VLOOKUP($AG106,$F$4:$G$7,2,FALSE),0)+VLOOKUP($Q106,武学奇术!$A:$ZZ,2,FALSE)+SUM(_xlfn.XLOOKUP($R106:$AF106,增益!$A:$A,增益!$B:$B,0))</f>
        <v>1.2215</v>
      </c>
      <c r="AM106" s="27" cm="1">
        <f t="array" ref="AM106">VLOOKUP($Q106,武学奇术!$A:$ZZ,5,FALSE)+SUM(_xlfn.XLOOKUP($R106:$AF106,增益!$A:$A,增益!$E:$E,0))</f>
        <v>0.15</v>
      </c>
      <c r="AN106" cm="1">
        <f t="array" ref="AN106">$D$10*(1+$AM106)+VLOOKUP($Q106,武学奇术!$A:$ZZ,3,FALSE)+SUM(_xlfn.XLOOKUP($R106:$AF106,增益!$A:$A,增益!$C:$C,0))-$I$2</f>
        <v>2063.755</v>
      </c>
      <c r="AO106" cm="1">
        <f t="array" ref="AO106">$E$10*(1+$AM106)+VLOOKUP($Q106,武学奇术!$A:$ZZ,4,FALSE)+SUM(_xlfn.XLOOKUP($R106:$AF106,增益!$A:$A,增益!$D:$D,0))-$I$2</f>
        <v>6060.925</v>
      </c>
      <c r="AP106" s="35" cm="1">
        <f t="array" ref="AP106">IF($F$10-$I$3+VLOOKUP($Q106,武学奇术!$A:$ZZ,6,FALSE)+SUM(_xlfn.XLOOKUP(R106:AF106,增益!$A:$A,增益!$F:$F,0))&gt;0,($F$10-$I$3+VLOOKUP($Q106,武学奇术!$A:$ZZ,6,FALSE)+SUM(_xlfn.XLOOKUP(R106:AF106,增益!$A:$A,增益!$F:$F,0)))/200,($F$10-$I$3+VLOOKUP($Q106,武学奇术!$A:$ZZ,6,FALSE)+SUM(_xlfn.XLOOKUP(R106:AF106,增益!$A:$A,增益!$F:$F,0)))/100)</f>
        <v>0.3675</v>
      </c>
      <c r="AQ106" s="35" cm="1">
        <f t="array" ref="AQ106">$G$10+VLOOKUP($Q106,武学奇术!$A:$ZZ,7,FALSE)+SUM(_xlfn.XLOOKUP(R106:AF106,增益!$A:$A,增益!$G:$G,0))</f>
        <v>0</v>
      </c>
      <c r="AR106" s="27" cm="1">
        <f t="array" ref="AR106">VLOOKUP($Q106,武学奇术!$A:$ZZ,8,FALSE)+SUM(_xlfn.XLOOKUP(R106:AF106,增益!$A:$A,增益!$H:$H,0))</f>
        <v>0</v>
      </c>
      <c r="AS106">
        <f t="shared" si="12"/>
        <v>0</v>
      </c>
      <c r="AT106">
        <f t="shared" si="13"/>
        <v>0</v>
      </c>
      <c r="AU106" s="35" cm="1">
        <f t="array" ref="AU106">IF($F$11-$I$4+VLOOKUP($Q106,武学奇术!$A:$ZZ,9,FALSE)+SUM(_xlfn.XLOOKUP(R106:AF106,增益!$A:$A,增益!$I:$I,0))&gt;0,($F$11-$I$4+VLOOKUP($Q106,武学奇术!$A:$ZZ,9,FALSE)+SUM(_xlfn.XLOOKUP(R106:AF106,增益!$A:$A,增益!$I:$I,0)))/200,($F$11-$I$4+VLOOKUP($Q106,武学奇术!$A:$ZZ,9,FALSE)+SUM(_xlfn.XLOOKUP(R106:AF106,增益!$A:$A,增益!$I:$I,0)))/100)</f>
        <v>-0.3</v>
      </c>
      <c r="AV106" s="35" cm="1">
        <f t="array" ref="AV106">$G$11+VLOOKUP($Q106,武学奇术!$A:$ZZ,10,FALSE)+SUM(_xlfn.XLOOKUP(R106:AF106,增益!$A:$A,增益!$J:$J,0))</f>
        <v>0</v>
      </c>
      <c r="AW106">
        <f t="shared" si="14"/>
        <v>0</v>
      </c>
      <c r="AX106">
        <f t="shared" si="15"/>
        <v>0</v>
      </c>
      <c r="AY106" s="35" cm="1">
        <f t="array" ref="AY106">IF($F$12-$I$4+VLOOKUP($Q106,武学奇术!$A:$ZZ,11,FALSE)+SUM(_xlfn.XLOOKUP(R106:AF106,增益!$A:$A,增益!$K:$K,0))&gt;0,($F$12-$I$4+VLOOKUP($Q106,武学奇术!$A:$ZZ,11,FALSE)+SUM(_xlfn.XLOOKUP(R106:AF106,增益!$A:$A,增益!$K:$K,0)))/200,($F$12-$I$4+VLOOKUP($Q106,武学奇术!$A:$ZZ,11,FALSE)+SUM(_xlfn.XLOOKUP(R106:AF106,增益!$A:$A,增益!$K:$K,0)))/100)</f>
        <v>-0.3</v>
      </c>
      <c r="AZ106" s="35" cm="1">
        <f t="array" ref="AZ106">$G$12+VLOOKUP($Q106,武学奇术!$A:$ZZ,12,FALSE)+SUM(_xlfn.XLOOKUP(R106:AF106,增益!$A:$A,增益!$L:$L,0))</f>
        <v>0</v>
      </c>
      <c r="BA106">
        <f t="shared" si="16"/>
        <v>538</v>
      </c>
      <c r="BB106">
        <f t="shared" si="17"/>
        <v>1011</v>
      </c>
      <c r="BC106" s="35" cm="1">
        <f t="array" ref="BC106">IF($F$13-$I$4+VLOOKUP($Q106,武学奇术!$A:$ZZ,13,FALSE)+SUM(_xlfn.XLOOKUP(R106:AF106,增益!$A:$A,增益!$M:$M,0))&gt;0,($F$13-$I$4+VLOOKUP($Q106,武学奇术!$A:$ZZ,13,FALSE)+SUM(_xlfn.XLOOKUP(R106:AF106,增益!$A:$A,增益!$K:$K,0)))/200,($F$13-$I$4+VLOOKUP($Q106,武学奇术!$A:$ZZ,13,FALSE)+SUM(_xlfn.XLOOKUP(R106:AF106,增益!$A:$A,增益!$M:$M,0)))/100)</f>
        <v>0</v>
      </c>
      <c r="BD106" s="35" cm="1">
        <f t="array" ref="BD106">$G$13+VLOOKUP($Q106,武学奇术!$A:$ZZ,14,FALSE)+SUM(_xlfn.XLOOKUP(R106:AF106,增益!$A:$A,增益!$N:$N,0))</f>
        <v>0.15</v>
      </c>
      <c r="BE106">
        <f t="shared" si="18"/>
        <v>0</v>
      </c>
      <c r="BF106">
        <f t="shared" si="19"/>
        <v>0</v>
      </c>
      <c r="BG106" s="35" cm="1">
        <f t="array" ref="BG106">IF($F$14-$I$4+VLOOKUP($Q106,武学奇术!$A:$ZZ,15,FALSE)+SUM(_xlfn.XLOOKUP(R106:AF106,增益!$A:$A,增益!$O:$O,0))&gt;0,($F$14-$I$4+VLOOKUP($Q106,武学奇术!$A:$ZZ,15,FALSE)+SUM(_xlfn.XLOOKUP(R106:AF106,增益!$A:$A,增益!$O:$O,0)))/200,($F$14-$I$4+VLOOKUP($Q106,武学奇术!$A:$ZZ,15,FALSE)+SUM(_xlfn.XLOOKUP(R106:AF106,增益!$A:$A,增益!$O:$O,0)))/100)</f>
        <v>-0.3</v>
      </c>
      <c r="BH106" s="35" cm="1">
        <f t="array" ref="BH106">$G$14+VLOOKUP($Q106,武学奇术!$A:$ZZ,16,FALSE)+SUM(_xlfn.XLOOKUP(R106:AF106,增益!$A:$A,增益!$P:$P,0))</f>
        <v>0</v>
      </c>
      <c r="BI106" s="27">
        <f>MIN(IF(VLOOKUP($Q106,武学奇术!$A:$ZZ,23,FALSE)=1,100%,$B$8),100%)</f>
        <v>0.9969</v>
      </c>
      <c r="BJ106" s="27" cm="1">
        <f t="array" ref="BJ106">IF(VLOOKUP($Q106,武学奇术!$A:$ZZ,23,FALSE)=1,100%,MIN(80%,$B$9+VLOOKUP($Q106,武学奇术!$A:$ZZ,17,FALSE)+SUM(_xlfn.XLOOKUP(R106:AF106,增益!$A:$A,增益!$Q:$Q,0)))+$B$11+SUM(_xlfn.XLOOKUP(R106:AF106,增益!$A:$A,增益!$U:$U,0)))*IF(VLOOKUP($Q106,武学奇术!$A:$ZZ,24,FALSE)=1,0,1)</f>
        <v>0.9137</v>
      </c>
      <c r="BK106" s="27" cm="1">
        <f t="array" ref="BK106">1+$B$13+VLOOKUP($Q106,武学奇术!$A:$ZZ,18,FALSE)+SUM(_xlfn.XLOOKUP(R106:AF106,增益!$A:$A,增益!$R:$R,0))</f>
        <v>1.85</v>
      </c>
      <c r="BL106" s="27" cm="1">
        <f t="array" ref="BL106">IF(VLOOKUP($Q106,武学奇术!$A:$ZZ,24,FALSE)=1,100%,MIN(40%,$B$10+VLOOKUP($Q106,武学奇术!$A:$ZZ,19,FALSE)+SUM(_xlfn.XLOOKUP(R106:AF106,增益!$A:$A,增益!$S:$S,0)))+$B$12+SUM(_xlfn.XLOOKUP(R106:AF106,增益!$A:$A,增益!$V:$V,0)))*IF(VLOOKUP($Q106,武学奇术!$A:$ZZ,23,FALSE)=1,0,1)</f>
        <v>0.0895</v>
      </c>
      <c r="BM106" s="27" cm="1">
        <f t="array" ref="BM106">1+$B$14+VLOOKUP($Q106,武学奇术!$A:$ZZ,20,FALSE)+SUM(_xlfn.XLOOKUP(R106:AF106,增益!$A:$A,增益!$T:$T,0))</f>
        <v>1.35</v>
      </c>
      <c r="BN106" s="27">
        <f t="shared" si="20"/>
        <v>0.90767745</v>
      </c>
      <c r="BO106" s="27">
        <f t="shared" si="21"/>
        <v>-1.30104260698261e-17</v>
      </c>
      <c r="BP106" s="27">
        <f>IF(VLOOKUP($Q106,武学奇术!$A:$ZZ,22,FALSE)=1,0,(1-$BI106))*(1-$BL106)</f>
        <v>0.00282254999999999</v>
      </c>
      <c r="BQ106" s="27" cm="1">
        <f t="array" ref="BQ106">SUM(_xlfn.XLOOKUP(R106:AF106,增益!$A:$A,增益!$W:$W,0))+$I$5</f>
        <v>0.21</v>
      </c>
    </row>
    <row r="107" spans="1:69">
      <c r="A107" s="4"/>
      <c r="B107" s="4"/>
      <c r="K107" s="41">
        <f t="shared" si="11"/>
        <v>329976.462399485</v>
      </c>
      <c r="L107" s="41">
        <f>((($AN107+$AO107)/2*$AH107+$AI107)*(1+$AP107)*(1+$AQ107)+(($AS107+$AT107)/2*IF($G$1="鸣金",$AJ107,$AH107)+IF($G$1="鸣金",$AK107*1.5,0))*(1+$AU107)*(1+$AV107)+(($AW107+$AX107)/2*IF($G$1="裂石",$AJ107,$AH107)+IF($G$1="裂石",$AK107*1.5,0))*(1+$AY107)*(1+$AZ107)+(($BA107+$BB107)/2*IF($G$1="牵丝",$AJ107,$AH107)+IF($G$1="牵丝",$AK107*1.5,0))*(1+$BC107)*(1+$BD107)+(($BE107+$BF107)/2*IF($G$1="破竹",$AJ107,$AH107)+IF($G$1="破竹",$AK107*1.5,0))*(1+$BG107)*(1+$BH107))*(1+$AL107)*$BK107*$P107*(1+IF(VLOOKUP($Q107,武学奇术!$A:$ZZ,30,FALSE)="弹道",$B$21,0))*(1+$BQ107)</f>
        <v>329133.978274969</v>
      </c>
      <c r="M107" s="41">
        <f>(($AO107*$AH107+$AI107)*(1+$AP107)*(1+$AQ107)+($AT107*IF($G$1="鸣金",$AJ107,$AH107)+IF($G$1="鸣金",$AK107*1.5,0))*(1+$AU107)*(1+$AV107)+($AX107*IF($G$1="裂石",$AJ107,$AH107)+IF($G$1="裂石",$AK107*1.5,0))*(1+$AY107)*(1+$AZ107)+($BB107*IF($G$1="牵丝",$AJ107,$AH107)+IF($G$1="牵丝",$AK107*1.5,0))*(1+$BC107)*(1+$BD107)+($BF107*IF($G$1="破竹",$AJ107,$AH107)+IF($G$1="破竹",$AK107*1.5,0))*(1+$BG107)*(1+$BH107))*(1+$AL107)*$BM107*$P107*(1+IF(VLOOKUP($Q107,武学奇术!$A:$ZZ,30,FALSE)="弹道",$B$21,0))*(1+$BQ107)</f>
        <v>345783.320360116</v>
      </c>
      <c r="N107" s="41">
        <f>((($AN107+$AO107)/2*$AH107+$AI107)*(1+$AP107)*(1+$AQ107)+(($AS107+$AT107)/2*IF($G$1="鸣金",$AJ107,$AH107)+IF($G$1="鸣金",$AK107*1.5,0))*(1+$AU107)*(1+$AV107)+(($AW107+$AX107)/2*IF($G$1="裂石",$AJ107,$AH107)+IF($G$1="裂石",$AK107*1.5,0))*(1+$AY107)*(1+$AZ107)+(($BA107+$BB107)/2*IF($G$1="牵丝",$AJ107,$AH107)+IF($G$1="牵丝",$AK107*1.5,0))*(1+$BC107)*(1+$BD107)+(($BE107+$BF107)/2*IF($G$1="破竹",$AJ107,$AH107)+IF($G$1="破竹",$AK107*1.5,0))*(1+$BG107)*(1+$BH107))*(1+$AL107)*$P107*(1+IF(VLOOKUP($Q107,武学奇术!$A:$ZZ,30,FALSE)="弹道",$B$21,0))*(1+$BQ107)</f>
        <v>177910.25852701</v>
      </c>
      <c r="O107" s="41">
        <f>((($AN107*$AH107+$AI107)*(1+$AP107)*(1+$AQ107)+($AS107*IF($G$1="鸣金",$AJ107,$AH107)+IF($G$1="鸣金",$AK107*1.5,0))*(1+$AU107)*(1+$AV107)+($AW107*IF($G$1="裂石",$AJ107,$AH107)+IF($G$1="裂石",$AK107*1.5,0))*(1+$AY107)*(1+$AZ107)+($BA107*IF($G$1="牵丝",$AJ107,$AH107)+IF($G$1="牵丝",$AK107*1.5,0))*(1+$BC107)*(1+$BD107)+($BE107*IF($G$1="破竹",$AJ107,$AH107)+IF($G$1="破竹",$AK107*1.5,0))*(1+$BG107)*(1+$BH107))*(1+$AL107))*$P107*(1+IF(VLOOKUP($Q107,武学奇术!$A:$ZZ,30,FALSE)="弹道",$B$21,0))*(1+$BQ107)</f>
        <v>99684.7241946751</v>
      </c>
      <c r="P107" s="42">
        <v>9</v>
      </c>
      <c r="Q107" s="43" t="s">
        <v>173</v>
      </c>
      <c r="R107" s="43" t="s">
        <v>93</v>
      </c>
      <c r="S107" s="43" t="s">
        <v>158</v>
      </c>
      <c r="T107" s="43" t="s">
        <v>73</v>
      </c>
      <c r="U107" s="43" t="s">
        <v>159</v>
      </c>
      <c r="V107" s="43" t="s">
        <v>73</v>
      </c>
      <c r="W107" s="43" t="s">
        <v>73</v>
      </c>
      <c r="X107" s="43" t="s">
        <v>73</v>
      </c>
      <c r="Y107" s="43" t="s">
        <v>164</v>
      </c>
      <c r="Z107" s="43" t="s">
        <v>73</v>
      </c>
      <c r="AA107" s="43" t="s">
        <v>73</v>
      </c>
      <c r="AB107" s="43" t="s">
        <v>73</v>
      </c>
      <c r="AC107" s="43" t="s">
        <v>165</v>
      </c>
      <c r="AD107" s="43" t="s">
        <v>73</v>
      </c>
      <c r="AE107" s="43" t="s">
        <v>73</v>
      </c>
      <c r="AF107" s="43" t="s">
        <v>75</v>
      </c>
      <c r="AG107" t="str">
        <f>VLOOKUP($Q107,武学奇术!$A:$ZZ,25,FALSE)</f>
        <v>单体奇术</v>
      </c>
      <c r="AH107" s="27">
        <f>VLOOKUP($Q107,武学奇术!$A:$ZZ,26,FALSE)</f>
        <v>1.6088</v>
      </c>
      <c r="AI107" s="28">
        <f>VLOOKUP($Q107,武学奇术!$A:$ZZ,27,FALSE)*(1+IF(OR($AG107=$F$4,$AG107=$F$5),$B$22,0))</f>
        <v>297</v>
      </c>
      <c r="AJ107" s="27">
        <f>VLOOKUP($Q107,武学奇术!$A:$ZZ,28,FALSE)</f>
        <v>2.4132</v>
      </c>
      <c r="AK107" s="28">
        <f>VLOOKUP($Q107,武学奇术!$A:$ZZ,29,FALSE)*(1+IF(OR($AG107=$F$4,$AG107=$F$5),$B$22,0))</f>
        <v>0</v>
      </c>
      <c r="AL107" s="27" cm="1">
        <f t="array" ref="AL107">$G$3+IFERROR(VLOOKUP($AG107,$F$4:$G$7,2,FALSE),0)+VLOOKUP($Q107,武学奇术!$A:$ZZ,2,FALSE)+SUM(_xlfn.XLOOKUP($R107:$AF107,增益!$A:$A,增益!$B:$B,0))</f>
        <v>0.4215</v>
      </c>
      <c r="AM107" s="27" cm="1">
        <f t="array" ref="AM107">VLOOKUP($Q107,武学奇术!$A:$ZZ,5,FALSE)+SUM(_xlfn.XLOOKUP($R107:$AF107,增益!$A:$A,增益!$E:$E,0))</f>
        <v>0.15</v>
      </c>
      <c r="AN107" cm="1">
        <f t="array" ref="AN107">$D$10*(1+$AM107)+VLOOKUP($Q107,武学奇术!$A:$ZZ,3,FALSE)+SUM(_xlfn.XLOOKUP($R107:$AF107,增益!$A:$A,增益!$C:$C,0))-$I$2</f>
        <v>2063.755</v>
      </c>
      <c r="AO107" cm="1">
        <f t="array" ref="AO107">$E$10*(1+$AM107)+VLOOKUP($Q107,武学奇术!$A:$ZZ,4,FALSE)+SUM(_xlfn.XLOOKUP($R107:$AF107,增益!$A:$A,增益!$D:$D,0))-$I$2</f>
        <v>6060.925</v>
      </c>
      <c r="AP107" s="35" cm="1">
        <f t="array" ref="AP107">IF($F$10-$I$3+VLOOKUP($Q107,武学奇术!$A:$ZZ,6,FALSE)+SUM(_xlfn.XLOOKUP(R107:AF107,增益!$A:$A,增益!$F:$F,0))&gt;0,($F$10-$I$3+VLOOKUP($Q107,武学奇术!$A:$ZZ,6,FALSE)+SUM(_xlfn.XLOOKUP(R107:AF107,增益!$A:$A,增益!$F:$F,0)))/200,($F$10-$I$3+VLOOKUP($Q107,武学奇术!$A:$ZZ,6,FALSE)+SUM(_xlfn.XLOOKUP(R107:AF107,增益!$A:$A,增益!$F:$F,0)))/100)</f>
        <v>0.3675</v>
      </c>
      <c r="AQ107" s="35" cm="1">
        <f t="array" ref="AQ107">$G$10+VLOOKUP($Q107,武学奇术!$A:$ZZ,7,FALSE)+SUM(_xlfn.XLOOKUP(R107:AF107,增益!$A:$A,增益!$G:$G,0))</f>
        <v>0</v>
      </c>
      <c r="AR107" s="27" cm="1">
        <f t="array" ref="AR107">VLOOKUP($Q107,武学奇术!$A:$ZZ,8,FALSE)+SUM(_xlfn.XLOOKUP(R107:AF107,增益!$A:$A,增益!$H:$H,0))</f>
        <v>0</v>
      </c>
      <c r="AS107">
        <f t="shared" si="12"/>
        <v>0</v>
      </c>
      <c r="AT107">
        <f t="shared" si="13"/>
        <v>0</v>
      </c>
      <c r="AU107" s="35" cm="1">
        <f t="array" ref="AU107">IF($F$11-$I$4+VLOOKUP($Q107,武学奇术!$A:$ZZ,9,FALSE)+SUM(_xlfn.XLOOKUP(R107:AF107,增益!$A:$A,增益!$I:$I,0))&gt;0,($F$11-$I$4+VLOOKUP($Q107,武学奇术!$A:$ZZ,9,FALSE)+SUM(_xlfn.XLOOKUP(R107:AF107,增益!$A:$A,增益!$I:$I,0)))/200,($F$11-$I$4+VLOOKUP($Q107,武学奇术!$A:$ZZ,9,FALSE)+SUM(_xlfn.XLOOKUP(R107:AF107,增益!$A:$A,增益!$I:$I,0)))/100)</f>
        <v>-0.3</v>
      </c>
      <c r="AV107" s="35" cm="1">
        <f t="array" ref="AV107">$G$11+VLOOKUP($Q107,武学奇术!$A:$ZZ,10,FALSE)+SUM(_xlfn.XLOOKUP(R107:AF107,增益!$A:$A,增益!$J:$J,0))</f>
        <v>0</v>
      </c>
      <c r="AW107">
        <f t="shared" si="14"/>
        <v>0</v>
      </c>
      <c r="AX107">
        <f t="shared" si="15"/>
        <v>0</v>
      </c>
      <c r="AY107" s="35" cm="1">
        <f t="array" ref="AY107">IF($F$12-$I$4+VLOOKUP($Q107,武学奇术!$A:$ZZ,11,FALSE)+SUM(_xlfn.XLOOKUP(R107:AF107,增益!$A:$A,增益!$K:$K,0))&gt;0,($F$12-$I$4+VLOOKUP($Q107,武学奇术!$A:$ZZ,11,FALSE)+SUM(_xlfn.XLOOKUP(R107:AF107,增益!$A:$A,增益!$K:$K,0)))/200,($F$12-$I$4+VLOOKUP($Q107,武学奇术!$A:$ZZ,11,FALSE)+SUM(_xlfn.XLOOKUP(R107:AF107,增益!$A:$A,增益!$K:$K,0)))/100)</f>
        <v>-0.3</v>
      </c>
      <c r="AZ107" s="35" cm="1">
        <f t="array" ref="AZ107">$G$12+VLOOKUP($Q107,武学奇术!$A:$ZZ,12,FALSE)+SUM(_xlfn.XLOOKUP(R107:AF107,增益!$A:$A,增益!$L:$L,0))</f>
        <v>0</v>
      </c>
      <c r="BA107">
        <f t="shared" si="16"/>
        <v>538</v>
      </c>
      <c r="BB107">
        <f t="shared" si="17"/>
        <v>1011</v>
      </c>
      <c r="BC107" s="35" cm="1">
        <f t="array" ref="BC107">IF($F$13-$I$4+VLOOKUP($Q107,武学奇术!$A:$ZZ,13,FALSE)+SUM(_xlfn.XLOOKUP(R107:AF107,增益!$A:$A,增益!$M:$M,0))&gt;0,($F$13-$I$4+VLOOKUP($Q107,武学奇术!$A:$ZZ,13,FALSE)+SUM(_xlfn.XLOOKUP(R107:AF107,增益!$A:$A,增益!$K:$K,0)))/200,($F$13-$I$4+VLOOKUP($Q107,武学奇术!$A:$ZZ,13,FALSE)+SUM(_xlfn.XLOOKUP(R107:AF107,增益!$A:$A,增益!$M:$M,0)))/100)</f>
        <v>0</v>
      </c>
      <c r="BD107" s="35" cm="1">
        <f t="array" ref="BD107">$G$13+VLOOKUP($Q107,武学奇术!$A:$ZZ,14,FALSE)+SUM(_xlfn.XLOOKUP(R107:AF107,增益!$A:$A,增益!$N:$N,0))</f>
        <v>0.15</v>
      </c>
      <c r="BE107">
        <f t="shared" si="18"/>
        <v>0</v>
      </c>
      <c r="BF107">
        <f t="shared" si="19"/>
        <v>0</v>
      </c>
      <c r="BG107" s="35" cm="1">
        <f t="array" ref="BG107">IF($F$14-$I$4+VLOOKUP($Q107,武学奇术!$A:$ZZ,15,FALSE)+SUM(_xlfn.XLOOKUP(R107:AF107,增益!$A:$A,增益!$O:$O,0))&gt;0,($F$14-$I$4+VLOOKUP($Q107,武学奇术!$A:$ZZ,15,FALSE)+SUM(_xlfn.XLOOKUP(R107:AF107,增益!$A:$A,增益!$O:$O,0)))/200,($F$14-$I$4+VLOOKUP($Q107,武学奇术!$A:$ZZ,15,FALSE)+SUM(_xlfn.XLOOKUP(R107:AF107,增益!$A:$A,增益!$O:$O,0)))/100)</f>
        <v>-0.3</v>
      </c>
      <c r="BH107" s="35" cm="1">
        <f t="array" ref="BH107">$G$14+VLOOKUP($Q107,武学奇术!$A:$ZZ,16,FALSE)+SUM(_xlfn.XLOOKUP(R107:AF107,增益!$A:$A,增益!$P:$P,0))</f>
        <v>0</v>
      </c>
      <c r="BI107" s="27">
        <f>MIN(IF(VLOOKUP($Q107,武学奇术!$A:$ZZ,23,FALSE)=1,100%,$B$8),100%)</f>
        <v>0.9969</v>
      </c>
      <c r="BJ107" s="27" cm="1">
        <f t="array" ref="BJ107">IF(VLOOKUP($Q107,武学奇术!$A:$ZZ,23,FALSE)=1,100%,MIN(80%,$B$9+VLOOKUP($Q107,武学奇术!$A:$ZZ,17,FALSE)+SUM(_xlfn.XLOOKUP(R107:AF107,增益!$A:$A,增益!$Q:$Q,0)))+$B$11+SUM(_xlfn.XLOOKUP(R107:AF107,增益!$A:$A,增益!$U:$U,0)))*IF(VLOOKUP($Q107,武学奇术!$A:$ZZ,24,FALSE)=1,0,1)</f>
        <v>0.9137</v>
      </c>
      <c r="BK107" s="27" cm="1">
        <f t="array" ref="BK107">1+$B$13+VLOOKUP($Q107,武学奇术!$A:$ZZ,18,FALSE)+SUM(_xlfn.XLOOKUP(R107:AF107,增益!$A:$A,增益!$R:$R,0))</f>
        <v>1.85</v>
      </c>
      <c r="BL107" s="27" cm="1">
        <f t="array" ref="BL107">IF(VLOOKUP($Q107,武学奇术!$A:$ZZ,24,FALSE)=1,100%,MIN(40%,$B$10+VLOOKUP($Q107,武学奇术!$A:$ZZ,19,FALSE)+SUM(_xlfn.XLOOKUP(R107:AF107,增益!$A:$A,增益!$S:$S,0)))+$B$12+SUM(_xlfn.XLOOKUP(R107:AF107,增益!$A:$A,增益!$V:$V,0)))*IF(VLOOKUP($Q107,武学奇术!$A:$ZZ,23,FALSE)=1,0,1)</f>
        <v>0.0895</v>
      </c>
      <c r="BM107" s="27" cm="1">
        <f t="array" ref="BM107">1+$B$14+VLOOKUP($Q107,武学奇术!$A:$ZZ,20,FALSE)+SUM(_xlfn.XLOOKUP(R107:AF107,增益!$A:$A,增益!$T:$T,0))</f>
        <v>1.35</v>
      </c>
      <c r="BN107" s="27">
        <f t="shared" si="20"/>
        <v>0.90767745</v>
      </c>
      <c r="BO107" s="27">
        <f t="shared" si="21"/>
        <v>-1.30104260698261e-17</v>
      </c>
      <c r="BP107" s="27">
        <f>IF(VLOOKUP($Q107,武学奇术!$A:$ZZ,22,FALSE)=1,0,(1-$BI107))*(1-$BL107)</f>
        <v>0.00282254999999999</v>
      </c>
      <c r="BQ107" s="27" cm="1">
        <f t="array" ref="BQ107">SUM(_xlfn.XLOOKUP(R107:AF107,增益!$A:$A,增益!$W:$W,0))+$I$5</f>
        <v>0.21</v>
      </c>
    </row>
    <row r="108" spans="1:69">
      <c r="K108" s="41">
        <f t="shared" si="11"/>
        <v>85615.196010527</v>
      </c>
      <c r="L108" s="41">
        <f>((($AN108+$AO108)/2*$AH108+$AI108)*(1+$AP108)*(1+$AQ108)+(($AS108+$AT108)/2*IF($G$1="鸣金",$AJ108,$AH108)+IF($G$1="鸣金",$AK108*1.5,0))*(1+$AU108)*(1+$AV108)+(($AW108+$AX108)/2*IF($G$1="裂石",$AJ108,$AH108)+IF($G$1="裂石",$AK108*1.5,0))*(1+$AY108)*(1+$AZ108)+(($BA108+$BB108)/2*IF($G$1="牵丝",$AJ108,$AH108)+IF($G$1="牵丝",$AK108*1.5,0))*(1+$BC108)*(1+$BD108)+(($BE108+$BF108)/2*IF($G$1="破竹",$AJ108,$AH108)+IF($G$1="破竹",$AK108*1.5,0))*(1+$BG108)*(1+$BH108))*(1+$AL108)*$BK108*$P108*(1+IF(VLOOKUP($Q108,武学奇术!$A:$ZZ,30,FALSE)="弹道",$B$21,0))*(1+$BQ108)</f>
        <v>85396.6048490468</v>
      </c>
      <c r="M108" s="41">
        <f>(($AO108*$AH108+$AI108)*(1+$AP108)*(1+$AQ108)+($AT108*IF($G$1="鸣金",$AJ108,$AH108)+IF($G$1="鸣金",$AK108*1.5,0))*(1+$AU108)*(1+$AV108)+($AX108*IF($G$1="裂石",$AJ108,$AH108)+IF($G$1="裂石",$AK108*1.5,0))*(1+$AY108)*(1+$AZ108)+($BB108*IF($G$1="牵丝",$AJ108,$AH108)+IF($G$1="牵丝",$AK108*1.5,0))*(1+$BC108)*(1+$BD108)+($BF108*IF($G$1="破竹",$AJ108,$AH108)+IF($G$1="破竹",$AK108*1.5,0))*(1+$BG108)*(1+$BH108))*(1+$AL108)*$BM108*$P108*(1+IF(VLOOKUP($Q108,武学奇术!$A:$ZZ,30,FALSE)="弹道",$B$21,0))*(1+$BQ108)</f>
        <v>89716.4351938733</v>
      </c>
      <c r="N108" s="41">
        <f>((($AN108+$AO108)/2*$AH108+$AI108)*(1+$AP108)*(1+$AQ108)+(($AS108+$AT108)/2*IF($G$1="鸣金",$AJ108,$AH108)+IF($G$1="鸣金",$AK108*1.5,0))*(1+$AU108)*(1+$AV108)+(($AW108+$AX108)/2*IF($G$1="裂石",$AJ108,$AH108)+IF($G$1="裂石",$AK108*1.5,0))*(1+$AY108)*(1+$AZ108)+(($BA108+$BB108)/2*IF($G$1="牵丝",$AJ108,$AH108)+IF($G$1="牵丝",$AK108*1.5,0))*(1+$BC108)*(1+$BD108)+(($BE108+$BF108)/2*IF($G$1="破竹",$AJ108,$AH108)+IF($G$1="破竹",$AK108*1.5,0))*(1+$BG108)*(1+$BH108))*(1+$AL108)*$P108*(1+IF(VLOOKUP($Q108,武学奇术!$A:$ZZ,30,FALSE)="弹道",$B$21,0))*(1+$BQ108)</f>
        <v>46160.3269454307</v>
      </c>
      <c r="O108" s="41">
        <f>((($AN108*$AH108+$AI108)*(1+$AP108)*(1+$AQ108)+($AS108*IF($G$1="鸣金",$AJ108,$AH108)+IF($G$1="鸣金",$AK108*1.5,0))*(1+$AU108)*(1+$AV108)+($AW108*IF($G$1="裂石",$AJ108,$AH108)+IF($G$1="裂石",$AK108*1.5,0))*(1+$AY108)*(1+$AZ108)+($BA108*IF($G$1="牵丝",$AJ108,$AH108)+IF($G$1="牵丝",$AK108*1.5,0))*(1+$BC108)*(1+$BD108)+($BE108*IF($G$1="破竹",$AJ108,$AH108)+IF($G$1="破竹",$AK108*1.5,0))*(1+$BG108)*(1+$BH108))*(1+$AL108))*$P108*(1+IF(VLOOKUP($Q108,武学奇术!$A:$ZZ,30,FALSE)="弹道",$B$21,0))*(1+$BQ108)</f>
        <v>25864.035228733</v>
      </c>
      <c r="P108" s="42">
        <v>4</v>
      </c>
      <c r="Q108" s="43" t="s">
        <v>171</v>
      </c>
      <c r="R108" s="43" t="s">
        <v>93</v>
      </c>
      <c r="S108" s="43" t="s">
        <v>158</v>
      </c>
      <c r="T108" s="43" t="s">
        <v>73</v>
      </c>
      <c r="U108" s="43" t="s">
        <v>159</v>
      </c>
      <c r="V108" s="43" t="s">
        <v>73</v>
      </c>
      <c r="W108" s="43" t="s">
        <v>73</v>
      </c>
      <c r="X108" s="43" t="s">
        <v>73</v>
      </c>
      <c r="Y108" s="43" t="s">
        <v>164</v>
      </c>
      <c r="Z108" s="43" t="s">
        <v>73</v>
      </c>
      <c r="AA108" s="43" t="s">
        <v>73</v>
      </c>
      <c r="AB108" s="43" t="s">
        <v>73</v>
      </c>
      <c r="AC108" s="43" t="s">
        <v>73</v>
      </c>
      <c r="AD108" s="43" t="s">
        <v>73</v>
      </c>
      <c r="AE108" s="43" t="s">
        <v>73</v>
      </c>
      <c r="AF108" s="43" t="s">
        <v>75</v>
      </c>
      <c r="AG108" t="str">
        <f>VLOOKUP($Q108,武学奇术!$A:$ZZ,25,FALSE)</f>
        <v>单体奇术</v>
      </c>
      <c r="AH108" s="27">
        <f>VLOOKUP($Q108,武学奇术!$A:$ZZ,26,FALSE)</f>
        <v>1.0238</v>
      </c>
      <c r="AI108" s="28">
        <f>VLOOKUP($Q108,武学奇术!$A:$ZZ,27,FALSE)*(1+IF(OR($AG108=$F$4,$AG108=$F$5),$B$22,0))</f>
        <v>189</v>
      </c>
      <c r="AJ108" s="27">
        <f>VLOOKUP($Q108,武学奇术!$A:$ZZ,28,FALSE)</f>
        <v>1.5357</v>
      </c>
      <c r="AK108" s="28">
        <f>VLOOKUP($Q108,武学奇术!$A:$ZZ,29,FALSE)*(1+IF(OR($AG108=$F$4,$AG108=$F$5),$B$22,0))</f>
        <v>0</v>
      </c>
      <c r="AL108" s="27" cm="1">
        <f t="array" ref="AL108">$G$3+IFERROR(VLOOKUP($AG108,$F$4:$G$7,2,FALSE),0)+VLOOKUP($Q108,武学奇术!$A:$ZZ,2,FALSE)+SUM(_xlfn.XLOOKUP($R108:$AF108,增益!$A:$A,增益!$B:$B,0))</f>
        <v>0.4215</v>
      </c>
      <c r="AM108" s="27" cm="1">
        <f t="array" ref="AM108">VLOOKUP($Q108,武学奇术!$A:$ZZ,5,FALSE)+SUM(_xlfn.XLOOKUP($R108:$AF108,增益!$A:$A,增益!$E:$E,0))</f>
        <v>0.15</v>
      </c>
      <c r="AN108" cm="1">
        <f t="array" ref="AN108">$D$10*(1+$AM108)+VLOOKUP($Q108,武学奇术!$A:$ZZ,3,FALSE)+SUM(_xlfn.XLOOKUP($R108:$AF108,增益!$A:$A,增益!$C:$C,0))-$I$2</f>
        <v>2063.755</v>
      </c>
      <c r="AO108" cm="1">
        <f t="array" ref="AO108">$E$10*(1+$AM108)+VLOOKUP($Q108,武学奇术!$A:$ZZ,4,FALSE)+SUM(_xlfn.XLOOKUP($R108:$AF108,增益!$A:$A,增益!$D:$D,0))-$I$2</f>
        <v>6060.925</v>
      </c>
      <c r="AP108" s="35" cm="1">
        <f t="array" ref="AP108">IF($F$10-$I$3+VLOOKUP($Q108,武学奇术!$A:$ZZ,6,FALSE)+SUM(_xlfn.XLOOKUP(R108:AF108,增益!$A:$A,增益!$F:$F,0))&gt;0,($F$10-$I$3+VLOOKUP($Q108,武学奇术!$A:$ZZ,6,FALSE)+SUM(_xlfn.XLOOKUP(R108:AF108,增益!$A:$A,增益!$F:$F,0)))/200,($F$10-$I$3+VLOOKUP($Q108,武学奇术!$A:$ZZ,6,FALSE)+SUM(_xlfn.XLOOKUP(R108:AF108,增益!$A:$A,增益!$F:$F,0)))/100)</f>
        <v>0.3675</v>
      </c>
      <c r="AQ108" s="35" cm="1">
        <f t="array" ref="AQ108">$G$10+VLOOKUP($Q108,武学奇术!$A:$ZZ,7,FALSE)+SUM(_xlfn.XLOOKUP(R108:AF108,增益!$A:$A,增益!$G:$G,0))</f>
        <v>0</v>
      </c>
      <c r="AR108" s="27" cm="1">
        <f t="array" ref="AR108">VLOOKUP($Q108,武学奇术!$A:$ZZ,8,FALSE)+SUM(_xlfn.XLOOKUP(R108:AF108,增益!$A:$A,增益!$H:$H,0))</f>
        <v>0</v>
      </c>
      <c r="AS108">
        <f t="shared" si="12"/>
        <v>0</v>
      </c>
      <c r="AT108">
        <f t="shared" si="13"/>
        <v>0</v>
      </c>
      <c r="AU108" s="35" cm="1">
        <f t="array" ref="AU108">IF($F$11-$I$4+VLOOKUP($Q108,武学奇术!$A:$ZZ,9,FALSE)+SUM(_xlfn.XLOOKUP(R108:AF108,增益!$A:$A,增益!$I:$I,0))&gt;0,($F$11-$I$4+VLOOKUP($Q108,武学奇术!$A:$ZZ,9,FALSE)+SUM(_xlfn.XLOOKUP(R108:AF108,增益!$A:$A,增益!$I:$I,0)))/200,($F$11-$I$4+VLOOKUP($Q108,武学奇术!$A:$ZZ,9,FALSE)+SUM(_xlfn.XLOOKUP(R108:AF108,增益!$A:$A,增益!$I:$I,0)))/100)</f>
        <v>-0.3</v>
      </c>
      <c r="AV108" s="35" cm="1">
        <f t="array" ref="AV108">$G$11+VLOOKUP($Q108,武学奇术!$A:$ZZ,10,FALSE)+SUM(_xlfn.XLOOKUP(R108:AF108,增益!$A:$A,增益!$J:$J,0))</f>
        <v>0</v>
      </c>
      <c r="AW108">
        <f t="shared" si="14"/>
        <v>0</v>
      </c>
      <c r="AX108">
        <f t="shared" si="15"/>
        <v>0</v>
      </c>
      <c r="AY108" s="35" cm="1">
        <f t="array" ref="AY108">IF($F$12-$I$4+VLOOKUP($Q108,武学奇术!$A:$ZZ,11,FALSE)+SUM(_xlfn.XLOOKUP(R108:AF108,增益!$A:$A,增益!$K:$K,0))&gt;0,($F$12-$I$4+VLOOKUP($Q108,武学奇术!$A:$ZZ,11,FALSE)+SUM(_xlfn.XLOOKUP(R108:AF108,增益!$A:$A,增益!$K:$K,0)))/200,($F$12-$I$4+VLOOKUP($Q108,武学奇术!$A:$ZZ,11,FALSE)+SUM(_xlfn.XLOOKUP(R108:AF108,增益!$A:$A,增益!$K:$K,0)))/100)</f>
        <v>-0.3</v>
      </c>
      <c r="AZ108" s="35" cm="1">
        <f t="array" ref="AZ108">$G$12+VLOOKUP($Q108,武学奇术!$A:$ZZ,12,FALSE)+SUM(_xlfn.XLOOKUP(R108:AF108,增益!$A:$A,增益!$L:$L,0))</f>
        <v>0</v>
      </c>
      <c r="BA108">
        <f t="shared" si="16"/>
        <v>538</v>
      </c>
      <c r="BB108">
        <f t="shared" si="17"/>
        <v>1011</v>
      </c>
      <c r="BC108" s="35" cm="1">
        <f t="array" ref="BC108">IF($F$13-$I$4+VLOOKUP($Q108,武学奇术!$A:$ZZ,13,FALSE)+SUM(_xlfn.XLOOKUP(R108:AF108,增益!$A:$A,增益!$M:$M,0))&gt;0,($F$13-$I$4+VLOOKUP($Q108,武学奇术!$A:$ZZ,13,FALSE)+SUM(_xlfn.XLOOKUP(R108:AF108,增益!$A:$A,增益!$K:$K,0)))/200,($F$13-$I$4+VLOOKUP($Q108,武学奇术!$A:$ZZ,13,FALSE)+SUM(_xlfn.XLOOKUP(R108:AF108,增益!$A:$A,增益!$M:$M,0)))/100)</f>
        <v>0</v>
      </c>
      <c r="BD108" s="35" cm="1">
        <f t="array" ref="BD108">$G$13+VLOOKUP($Q108,武学奇术!$A:$ZZ,14,FALSE)+SUM(_xlfn.XLOOKUP(R108:AF108,增益!$A:$A,增益!$N:$N,0))</f>
        <v>0.15</v>
      </c>
      <c r="BE108">
        <f t="shared" si="18"/>
        <v>0</v>
      </c>
      <c r="BF108">
        <f t="shared" si="19"/>
        <v>0</v>
      </c>
      <c r="BG108" s="35" cm="1">
        <f t="array" ref="BG108">IF($F$14-$I$4+VLOOKUP($Q108,武学奇术!$A:$ZZ,15,FALSE)+SUM(_xlfn.XLOOKUP(R108:AF108,增益!$A:$A,增益!$O:$O,0))&gt;0,($F$14-$I$4+VLOOKUP($Q108,武学奇术!$A:$ZZ,15,FALSE)+SUM(_xlfn.XLOOKUP(R108:AF108,增益!$A:$A,增益!$O:$O,0)))/200,($F$14-$I$4+VLOOKUP($Q108,武学奇术!$A:$ZZ,15,FALSE)+SUM(_xlfn.XLOOKUP(R108:AF108,增益!$A:$A,增益!$O:$O,0)))/100)</f>
        <v>-0.3</v>
      </c>
      <c r="BH108" s="35" cm="1">
        <f t="array" ref="BH108">$G$14+VLOOKUP($Q108,武学奇术!$A:$ZZ,16,FALSE)+SUM(_xlfn.XLOOKUP(R108:AF108,增益!$A:$A,增益!$P:$P,0))</f>
        <v>0</v>
      </c>
      <c r="BI108" s="27">
        <f>MIN(IF(VLOOKUP($Q108,武学奇术!$A:$ZZ,23,FALSE)=1,100%,$B$8),100%)</f>
        <v>0.9969</v>
      </c>
      <c r="BJ108" s="27" cm="1">
        <f t="array" ref="BJ108">IF(VLOOKUP($Q108,武学奇术!$A:$ZZ,23,FALSE)=1,100%,MIN(80%,$B$9+VLOOKUP($Q108,武学奇术!$A:$ZZ,17,FALSE)+SUM(_xlfn.XLOOKUP(R108:AF108,增益!$A:$A,增益!$Q:$Q,0)))+$B$11+SUM(_xlfn.XLOOKUP(R108:AF108,增益!$A:$A,增益!$U:$U,0)))*IF(VLOOKUP($Q108,武学奇术!$A:$ZZ,24,FALSE)=1,0,1)</f>
        <v>0.9137</v>
      </c>
      <c r="BK108" s="27" cm="1">
        <f t="array" ref="BK108">1+$B$13+VLOOKUP($Q108,武学奇术!$A:$ZZ,18,FALSE)+SUM(_xlfn.XLOOKUP(R108:AF108,增益!$A:$A,增益!$R:$R,0))</f>
        <v>1.85</v>
      </c>
      <c r="BL108" s="27" cm="1">
        <f t="array" ref="BL108">IF(VLOOKUP($Q108,武学奇术!$A:$ZZ,24,FALSE)=1,100%,MIN(40%,$B$10+VLOOKUP($Q108,武学奇术!$A:$ZZ,19,FALSE)+SUM(_xlfn.XLOOKUP(R108:AF108,增益!$A:$A,增益!$S:$S,0)))+$B$12+SUM(_xlfn.XLOOKUP(R108:AF108,增益!$A:$A,增益!$V:$V,0)))*IF(VLOOKUP($Q108,武学奇术!$A:$ZZ,23,FALSE)=1,0,1)</f>
        <v>0.0895</v>
      </c>
      <c r="BM108" s="27" cm="1">
        <f t="array" ref="BM108">1+$B$14+VLOOKUP($Q108,武学奇术!$A:$ZZ,20,FALSE)+SUM(_xlfn.XLOOKUP(R108:AF108,增益!$A:$A,增益!$T:$T,0))</f>
        <v>1.35</v>
      </c>
      <c r="BN108" s="27">
        <f t="shared" si="20"/>
        <v>0.90767745</v>
      </c>
      <c r="BO108" s="27">
        <f t="shared" si="21"/>
        <v>-1.30104260698261e-17</v>
      </c>
      <c r="BP108" s="27">
        <f>IF(VLOOKUP($Q108,武学奇术!$A:$ZZ,22,FALSE)=1,0,(1-$BI108))*(1-$BL108)</f>
        <v>0.00282254999999999</v>
      </c>
      <c r="BQ108" s="27" cm="1">
        <f t="array" ref="BQ108">SUM(_xlfn.XLOOKUP(R108:AF108,增益!$A:$A,增益!$W:$W,0))+$I$5</f>
        <v>0.11</v>
      </c>
    </row>
    <row r="109" spans="1:69">
      <c r="K109" s="41">
        <f t="shared" si="11"/>
        <v>111496.406441727</v>
      </c>
      <c r="L109" s="41">
        <f>((($AN109+$AO109)/2*$AH109+$AI109)*(1+$AP109)*(1+$AQ109)+(($AS109+$AT109)/2*IF($G$1="鸣金",$AJ109,$AH109)+IF($G$1="鸣金",$AK109*1.5,0))*(1+$AU109)*(1+$AV109)+(($AW109+$AX109)/2*IF($G$1="裂石",$AJ109,$AH109)+IF($G$1="裂石",$AK109*1.5,0))*(1+$AY109)*(1+$AZ109)+(($BA109+$BB109)/2*IF($G$1="牵丝",$AJ109,$AH109)+IF($G$1="牵丝",$AK109*1.5,0))*(1+$BC109)*(1+$BD109)+(($BE109+$BF109)/2*IF($G$1="破竹",$AJ109,$AH109)+IF($G$1="破竹",$AK109*1.5,0))*(1+$BG109)*(1+$BH109))*(1+$AL109)*$BK109*$P109*(1+IF(VLOOKUP($Q109,武学奇术!$A:$ZZ,30,FALSE)="弹道",$B$21,0))*(1+$BQ109)</f>
        <v>111211.737992177</v>
      </c>
      <c r="M109" s="41">
        <f>(($AO109*$AH109+$AI109)*(1+$AP109)*(1+$AQ109)+($AT109*IF($G$1="鸣金",$AJ109,$AH109)+IF($G$1="鸣金",$AK109*1.5,0))*(1+$AU109)*(1+$AV109)+($AX109*IF($G$1="裂石",$AJ109,$AH109)+IF($G$1="裂石",$AK109*1.5,0))*(1+$AY109)*(1+$AZ109)+($BB109*IF($G$1="牵丝",$AJ109,$AH109)+IF($G$1="牵丝",$AK109*1.5,0))*(1+$BC109)*(1+$BD109)+($BF109*IF($G$1="破竹",$AJ109,$AH109)+IF($G$1="破竹",$AK109*1.5,0))*(1+$BG109)*(1+$BH109))*(1+$AL109)*$BM109*$P109*(1+IF(VLOOKUP($Q109,武学奇术!$A:$ZZ,30,FALSE)="弹道",$B$21,0))*(1+$BQ109)</f>
        <v>116837.415238656</v>
      </c>
      <c r="N109" s="41">
        <f>((($AN109+$AO109)/2*$AH109+$AI109)*(1+$AP109)*(1+$AQ109)+(($AS109+$AT109)/2*IF($G$1="鸣金",$AJ109,$AH109)+IF($G$1="鸣金",$AK109*1.5,0))*(1+$AU109)*(1+$AV109)+(($AW109+$AX109)/2*IF($G$1="裂石",$AJ109,$AH109)+IF($G$1="裂石",$AK109*1.5,0))*(1+$AY109)*(1+$AZ109)+(($BA109+$BB109)/2*IF($G$1="牵丝",$AJ109,$AH109)+IF($G$1="牵丝",$AK109*1.5,0))*(1+$BC109)*(1+$BD109)+(($BE109+$BF109)/2*IF($G$1="破竹",$AJ109,$AH109)+IF($G$1="破竹",$AK109*1.5,0))*(1+$BG109)*(1+$BH109))*(1+$AL109)*$P109*(1+IF(VLOOKUP($Q109,武学奇术!$A:$ZZ,30,FALSE)="弹道",$B$21,0))*(1+$BQ109)</f>
        <v>60114.4529687444</v>
      </c>
      <c r="O109" s="41">
        <f>((($AN109*$AH109+$AI109)*(1+$AP109)*(1+$AQ109)+($AS109*IF($G$1="鸣金",$AJ109,$AH109)+IF($G$1="鸣金",$AK109*1.5,0))*(1+$AU109)*(1+$AV109)+($AW109*IF($G$1="裂石",$AJ109,$AH109)+IF($G$1="裂石",$AK109*1.5,0))*(1+$AY109)*(1+$AZ109)+($BA109*IF($G$1="牵丝",$AJ109,$AH109)+IF($G$1="牵丝",$AK109*1.5,0))*(1+$BC109)*(1+$BD109)+($BE109*IF($G$1="破竹",$AJ109,$AH109)+IF($G$1="破竹",$AK109*1.5,0))*(1+$BG109)*(1+$BH109))*(1+$AL109))*$P109*(1+IF(VLOOKUP($Q109,武学奇术!$A:$ZZ,30,FALSE)="弹道",$B$21,0))*(1+$BQ109)</f>
        <v>33682.6724273733</v>
      </c>
      <c r="P109" s="42">
        <v>2</v>
      </c>
      <c r="Q109" s="43" t="s">
        <v>172</v>
      </c>
      <c r="R109" s="43" t="s">
        <v>93</v>
      </c>
      <c r="S109" s="43" t="s">
        <v>158</v>
      </c>
      <c r="T109" s="43" t="s">
        <v>73</v>
      </c>
      <c r="U109" s="43" t="s">
        <v>159</v>
      </c>
      <c r="V109" s="43" t="s">
        <v>73</v>
      </c>
      <c r="W109" s="43" t="s">
        <v>73</v>
      </c>
      <c r="X109" s="43" t="s">
        <v>73</v>
      </c>
      <c r="Y109" s="43" t="s">
        <v>164</v>
      </c>
      <c r="Z109" s="43" t="s">
        <v>73</v>
      </c>
      <c r="AA109" s="43" t="s">
        <v>73</v>
      </c>
      <c r="AB109" s="43" t="s">
        <v>73</v>
      </c>
      <c r="AC109" s="43" t="s">
        <v>73</v>
      </c>
      <c r="AD109" s="43" t="s">
        <v>73</v>
      </c>
      <c r="AE109" s="43" t="s">
        <v>73</v>
      </c>
      <c r="AF109" s="43" t="s">
        <v>75</v>
      </c>
      <c r="AG109" t="str">
        <f>VLOOKUP($Q109,武学奇术!$A:$ZZ,25,FALSE)</f>
        <v>单体奇术</v>
      </c>
      <c r="AH109" s="27">
        <f>VLOOKUP($Q109,武学奇术!$A:$ZZ,26,FALSE)</f>
        <v>1.7063</v>
      </c>
      <c r="AI109" s="28">
        <f>VLOOKUP($Q109,武学奇术!$A:$ZZ,27,FALSE)*(1+IF(OR($AG109=$F$4,$AG109=$F$5),$B$22,0))</f>
        <v>315</v>
      </c>
      <c r="AJ109" s="27">
        <f>VLOOKUP($Q109,武学奇术!$A:$ZZ,28,FALSE)</f>
        <v>2.55945</v>
      </c>
      <c r="AK109" s="28">
        <f>VLOOKUP($Q109,武学奇术!$A:$ZZ,29,FALSE)*(1+IF(OR($AG109=$F$4,$AG109=$F$5),$B$22,0))</f>
        <v>0</v>
      </c>
      <c r="AL109" s="27" cm="1">
        <f t="array" ref="AL109">$G$3+IFERROR(VLOOKUP($AG109,$F$4:$G$7,2,FALSE),0)+VLOOKUP($Q109,武学奇术!$A:$ZZ,2,FALSE)+SUM(_xlfn.XLOOKUP($R109:$AF109,增益!$A:$A,增益!$B:$B,0))</f>
        <v>1.2215</v>
      </c>
      <c r="AM109" s="27" cm="1">
        <f t="array" ref="AM109">VLOOKUP($Q109,武学奇术!$A:$ZZ,5,FALSE)+SUM(_xlfn.XLOOKUP($R109:$AF109,增益!$A:$A,增益!$E:$E,0))</f>
        <v>0.15</v>
      </c>
      <c r="AN109" cm="1">
        <f t="array" ref="AN109">$D$10*(1+$AM109)+VLOOKUP($Q109,武学奇术!$A:$ZZ,3,FALSE)+SUM(_xlfn.XLOOKUP($R109:$AF109,增益!$A:$A,增益!$C:$C,0))-$I$2</f>
        <v>2063.755</v>
      </c>
      <c r="AO109" cm="1">
        <f t="array" ref="AO109">$E$10*(1+$AM109)+VLOOKUP($Q109,武学奇术!$A:$ZZ,4,FALSE)+SUM(_xlfn.XLOOKUP($R109:$AF109,增益!$A:$A,增益!$D:$D,0))-$I$2</f>
        <v>6060.925</v>
      </c>
      <c r="AP109" s="35" cm="1">
        <f t="array" ref="AP109">IF($F$10-$I$3+VLOOKUP($Q109,武学奇术!$A:$ZZ,6,FALSE)+SUM(_xlfn.XLOOKUP(R109:AF109,增益!$A:$A,增益!$F:$F,0))&gt;0,($F$10-$I$3+VLOOKUP($Q109,武学奇术!$A:$ZZ,6,FALSE)+SUM(_xlfn.XLOOKUP(R109:AF109,增益!$A:$A,增益!$F:$F,0)))/200,($F$10-$I$3+VLOOKUP($Q109,武学奇术!$A:$ZZ,6,FALSE)+SUM(_xlfn.XLOOKUP(R109:AF109,增益!$A:$A,增益!$F:$F,0)))/100)</f>
        <v>0.3675</v>
      </c>
      <c r="AQ109" s="35" cm="1">
        <f t="array" ref="AQ109">$G$10+VLOOKUP($Q109,武学奇术!$A:$ZZ,7,FALSE)+SUM(_xlfn.XLOOKUP(R109:AF109,增益!$A:$A,增益!$G:$G,0))</f>
        <v>0</v>
      </c>
      <c r="AR109" s="27" cm="1">
        <f t="array" ref="AR109">VLOOKUP($Q109,武学奇术!$A:$ZZ,8,FALSE)+SUM(_xlfn.XLOOKUP(R109:AF109,增益!$A:$A,增益!$H:$H,0))</f>
        <v>0</v>
      </c>
      <c r="AS109">
        <f t="shared" si="12"/>
        <v>0</v>
      </c>
      <c r="AT109">
        <f t="shared" si="13"/>
        <v>0</v>
      </c>
      <c r="AU109" s="35" cm="1">
        <f t="array" ref="AU109">IF($F$11-$I$4+VLOOKUP($Q109,武学奇术!$A:$ZZ,9,FALSE)+SUM(_xlfn.XLOOKUP(R109:AF109,增益!$A:$A,增益!$I:$I,0))&gt;0,($F$11-$I$4+VLOOKUP($Q109,武学奇术!$A:$ZZ,9,FALSE)+SUM(_xlfn.XLOOKUP(R109:AF109,增益!$A:$A,增益!$I:$I,0)))/200,($F$11-$I$4+VLOOKUP($Q109,武学奇术!$A:$ZZ,9,FALSE)+SUM(_xlfn.XLOOKUP(R109:AF109,增益!$A:$A,增益!$I:$I,0)))/100)</f>
        <v>-0.3</v>
      </c>
      <c r="AV109" s="35" cm="1">
        <f t="array" ref="AV109">$G$11+VLOOKUP($Q109,武学奇术!$A:$ZZ,10,FALSE)+SUM(_xlfn.XLOOKUP(R109:AF109,增益!$A:$A,增益!$J:$J,0))</f>
        <v>0</v>
      </c>
      <c r="AW109">
        <f t="shared" si="14"/>
        <v>0</v>
      </c>
      <c r="AX109">
        <f t="shared" si="15"/>
        <v>0</v>
      </c>
      <c r="AY109" s="35" cm="1">
        <f t="array" ref="AY109">IF($F$12-$I$4+VLOOKUP($Q109,武学奇术!$A:$ZZ,11,FALSE)+SUM(_xlfn.XLOOKUP(R109:AF109,增益!$A:$A,增益!$K:$K,0))&gt;0,($F$12-$I$4+VLOOKUP($Q109,武学奇术!$A:$ZZ,11,FALSE)+SUM(_xlfn.XLOOKUP(R109:AF109,增益!$A:$A,增益!$K:$K,0)))/200,($F$12-$I$4+VLOOKUP($Q109,武学奇术!$A:$ZZ,11,FALSE)+SUM(_xlfn.XLOOKUP(R109:AF109,增益!$A:$A,增益!$K:$K,0)))/100)</f>
        <v>-0.3</v>
      </c>
      <c r="AZ109" s="35" cm="1">
        <f t="array" ref="AZ109">$G$12+VLOOKUP($Q109,武学奇术!$A:$ZZ,12,FALSE)+SUM(_xlfn.XLOOKUP(R109:AF109,增益!$A:$A,增益!$L:$L,0))</f>
        <v>0</v>
      </c>
      <c r="BA109">
        <f t="shared" si="16"/>
        <v>538</v>
      </c>
      <c r="BB109">
        <f t="shared" si="17"/>
        <v>1011</v>
      </c>
      <c r="BC109" s="35" cm="1">
        <f t="array" ref="BC109">IF($F$13-$I$4+VLOOKUP($Q109,武学奇术!$A:$ZZ,13,FALSE)+SUM(_xlfn.XLOOKUP(R109:AF109,增益!$A:$A,增益!$M:$M,0))&gt;0,($F$13-$I$4+VLOOKUP($Q109,武学奇术!$A:$ZZ,13,FALSE)+SUM(_xlfn.XLOOKUP(R109:AF109,增益!$A:$A,增益!$K:$K,0)))/200,($F$13-$I$4+VLOOKUP($Q109,武学奇术!$A:$ZZ,13,FALSE)+SUM(_xlfn.XLOOKUP(R109:AF109,增益!$A:$A,增益!$M:$M,0)))/100)</f>
        <v>0</v>
      </c>
      <c r="BD109" s="35" cm="1">
        <f t="array" ref="BD109">$G$13+VLOOKUP($Q109,武学奇术!$A:$ZZ,14,FALSE)+SUM(_xlfn.XLOOKUP(R109:AF109,增益!$A:$A,增益!$N:$N,0))</f>
        <v>0.15</v>
      </c>
      <c r="BE109">
        <f t="shared" si="18"/>
        <v>0</v>
      </c>
      <c r="BF109">
        <f t="shared" si="19"/>
        <v>0</v>
      </c>
      <c r="BG109" s="35" cm="1">
        <f t="array" ref="BG109">IF($F$14-$I$4+VLOOKUP($Q109,武学奇术!$A:$ZZ,15,FALSE)+SUM(_xlfn.XLOOKUP(R109:AF109,增益!$A:$A,增益!$O:$O,0))&gt;0,($F$14-$I$4+VLOOKUP($Q109,武学奇术!$A:$ZZ,15,FALSE)+SUM(_xlfn.XLOOKUP(R109:AF109,增益!$A:$A,增益!$O:$O,0)))/200,($F$14-$I$4+VLOOKUP($Q109,武学奇术!$A:$ZZ,15,FALSE)+SUM(_xlfn.XLOOKUP(R109:AF109,增益!$A:$A,增益!$O:$O,0)))/100)</f>
        <v>-0.3</v>
      </c>
      <c r="BH109" s="35" cm="1">
        <f t="array" ref="BH109">$G$14+VLOOKUP($Q109,武学奇术!$A:$ZZ,16,FALSE)+SUM(_xlfn.XLOOKUP(R109:AF109,增益!$A:$A,增益!$P:$P,0))</f>
        <v>0</v>
      </c>
      <c r="BI109" s="27">
        <f>MIN(IF(VLOOKUP($Q109,武学奇术!$A:$ZZ,23,FALSE)=1,100%,$B$8),100%)</f>
        <v>0.9969</v>
      </c>
      <c r="BJ109" s="27" cm="1">
        <f t="array" ref="BJ109">IF(VLOOKUP($Q109,武学奇术!$A:$ZZ,23,FALSE)=1,100%,MIN(80%,$B$9+VLOOKUP($Q109,武学奇术!$A:$ZZ,17,FALSE)+SUM(_xlfn.XLOOKUP(R109:AF109,增益!$A:$A,增益!$Q:$Q,0)))+$B$11+SUM(_xlfn.XLOOKUP(R109:AF109,增益!$A:$A,增益!$U:$U,0)))*IF(VLOOKUP($Q109,武学奇术!$A:$ZZ,24,FALSE)=1,0,1)</f>
        <v>0.9137</v>
      </c>
      <c r="BK109" s="27" cm="1">
        <f t="array" ref="BK109">1+$B$13+VLOOKUP($Q109,武学奇术!$A:$ZZ,18,FALSE)+SUM(_xlfn.XLOOKUP(R109:AF109,增益!$A:$A,增益!$R:$R,0))</f>
        <v>1.85</v>
      </c>
      <c r="BL109" s="27" cm="1">
        <f t="array" ref="BL109">IF(VLOOKUP($Q109,武学奇术!$A:$ZZ,24,FALSE)=1,100%,MIN(40%,$B$10+VLOOKUP($Q109,武学奇术!$A:$ZZ,19,FALSE)+SUM(_xlfn.XLOOKUP(R109:AF109,增益!$A:$A,增益!$S:$S,0)))+$B$12+SUM(_xlfn.XLOOKUP(R109:AF109,增益!$A:$A,增益!$V:$V,0)))*IF(VLOOKUP($Q109,武学奇术!$A:$ZZ,23,FALSE)=1,0,1)</f>
        <v>0.0895</v>
      </c>
      <c r="BM109" s="27" cm="1">
        <f t="array" ref="BM109">1+$B$14+VLOOKUP($Q109,武学奇术!$A:$ZZ,20,FALSE)+SUM(_xlfn.XLOOKUP(R109:AF109,增益!$A:$A,增益!$T:$T,0))</f>
        <v>1.35</v>
      </c>
      <c r="BN109" s="27">
        <f t="shared" si="20"/>
        <v>0.90767745</v>
      </c>
      <c r="BO109" s="27">
        <f t="shared" si="21"/>
        <v>-1.30104260698261e-17</v>
      </c>
      <c r="BP109" s="27">
        <f>IF(VLOOKUP($Q109,武学奇术!$A:$ZZ,22,FALSE)=1,0,(1-$BI109))*(1-$BL109)</f>
        <v>0.00282254999999999</v>
      </c>
      <c r="BQ109" s="27" cm="1">
        <f t="array" ref="BQ109">SUM(_xlfn.XLOOKUP(R109:AF109,增益!$A:$A,增益!$W:$W,0))+$I$5</f>
        <v>0.11</v>
      </c>
    </row>
    <row r="110" spans="1:69">
      <c r="K110" s="41">
        <f t="shared" si="11"/>
        <v>201803.786921999</v>
      </c>
      <c r="L110" s="41">
        <f>((($AN110+$AO110)/2*$AH110+$AI110)*(1+$AP110)*(1+$AQ110)+(($AS110+$AT110)/2*IF($G$1="鸣金",$AJ110,$AH110)+IF($G$1="鸣金",$AK110*1.5,0))*(1+$AU110)*(1+$AV110)+(($AW110+$AX110)/2*IF($G$1="裂石",$AJ110,$AH110)+IF($G$1="裂石",$AK110*1.5,0))*(1+$AY110)*(1+$AZ110)+(($BA110+$BB110)/2*IF($G$1="牵丝",$AJ110,$AH110)+IF($G$1="牵丝",$AK110*1.5,0))*(1+$BC110)*(1+$BD110)+(($BE110+$BF110)/2*IF($G$1="破竹",$AJ110,$AH110)+IF($G$1="破竹",$AK110*1.5,0))*(1+$BG110)*(1+$BH110))*(1+$AL110)*$BK110*$P110*(1+IF(VLOOKUP($Q110,武学奇术!$A:$ZZ,30,FALSE)="弹道",$B$21,0))*(1+$BQ110)</f>
        <v>201288.548697088</v>
      </c>
      <c r="M110" s="41">
        <f>(($AO110*$AH110+$AI110)*(1+$AP110)*(1+$AQ110)+($AT110*IF($G$1="鸣金",$AJ110,$AH110)+IF($G$1="鸣金",$AK110*1.5,0))*(1+$AU110)*(1+$AV110)+($AX110*IF($G$1="裂石",$AJ110,$AH110)+IF($G$1="裂石",$AK110*1.5,0))*(1+$AY110)*(1+$AZ110)+($BB110*IF($G$1="牵丝",$AJ110,$AH110)+IF($G$1="牵丝",$AK110*1.5,0))*(1+$BC110)*(1+$BD110)+($BF110*IF($G$1="破竹",$AJ110,$AH110)+IF($G$1="破竹",$AK110*1.5,0))*(1+$BG110)*(1+$BH110))*(1+$AL110)*$BM110*$P110*(1+IF(VLOOKUP($Q110,武学奇术!$A:$ZZ,30,FALSE)="弹道",$B$21,0))*(1+$BQ110)</f>
        <v>211470.790964038</v>
      </c>
      <c r="N110" s="41">
        <f>((($AN110+$AO110)/2*$AH110+$AI110)*(1+$AP110)*(1+$AQ110)+(($AS110+$AT110)/2*IF($G$1="鸣金",$AJ110,$AH110)+IF($G$1="鸣金",$AK110*1.5,0))*(1+$AU110)*(1+$AV110)+(($AW110+$AX110)/2*IF($G$1="裂石",$AJ110,$AH110)+IF($G$1="裂石",$AK110*1.5,0))*(1+$AY110)*(1+$AZ110)+(($BA110+$BB110)/2*IF($G$1="牵丝",$AJ110,$AH110)+IF($G$1="牵丝",$AK110*1.5,0))*(1+$BC110)*(1+$BD110)+(($BE110+$BF110)/2*IF($G$1="破竹",$AJ110,$AH110)+IF($G$1="破竹",$AK110*1.5,0))*(1+$BG110)*(1+$BH110))*(1+$AL110)*$P110*(1+IF(VLOOKUP($Q110,武学奇术!$A:$ZZ,30,FALSE)="弹道",$B$21,0))*(1+$BQ110)</f>
        <v>108804.620917345</v>
      </c>
      <c r="O110" s="41">
        <f>((($AN110*$AH110+$AI110)*(1+$AP110)*(1+$AQ110)+($AS110*IF($G$1="鸣金",$AJ110,$AH110)+IF($G$1="鸣金",$AK110*1.5,0))*(1+$AU110)*(1+$AV110)+($AW110*IF($G$1="裂石",$AJ110,$AH110)+IF($G$1="裂石",$AK110*1.5,0))*(1+$AY110)*(1+$AZ110)+($BA110*IF($G$1="牵丝",$AJ110,$AH110)+IF($G$1="牵丝",$AK110*1.5,0))*(1+$BC110)*(1+$BD110)+($BE110*IF($G$1="破竹",$AJ110,$AH110)+IF($G$1="破竹",$AK110*1.5,0))*(1+$BG110)*(1+$BH110))*(1+$AL110))*$P110*(1+IF(VLOOKUP($Q110,武学奇术!$A:$ZZ,30,FALSE)="弹道",$B$21,0))*(1+$BQ110)</f>
        <v>60964.2114909583</v>
      </c>
      <c r="P110" s="42">
        <v>6</v>
      </c>
      <c r="Q110" s="43" t="s">
        <v>173</v>
      </c>
      <c r="R110" s="43" t="s">
        <v>93</v>
      </c>
      <c r="S110" s="43" t="s">
        <v>158</v>
      </c>
      <c r="T110" s="43" t="s">
        <v>73</v>
      </c>
      <c r="U110" s="43" t="s">
        <v>159</v>
      </c>
      <c r="V110" s="43" t="s">
        <v>73</v>
      </c>
      <c r="W110" s="43" t="s">
        <v>73</v>
      </c>
      <c r="X110" s="43" t="s">
        <v>73</v>
      </c>
      <c r="Y110" s="43" t="s">
        <v>164</v>
      </c>
      <c r="Z110" s="43" t="s">
        <v>73</v>
      </c>
      <c r="AA110" s="43" t="s">
        <v>73</v>
      </c>
      <c r="AB110" s="43" t="s">
        <v>73</v>
      </c>
      <c r="AC110" s="43" t="s">
        <v>73</v>
      </c>
      <c r="AD110" s="43" t="s">
        <v>73</v>
      </c>
      <c r="AE110" s="43" t="s">
        <v>73</v>
      </c>
      <c r="AF110" s="43" t="s">
        <v>75</v>
      </c>
      <c r="AG110" t="str">
        <f>VLOOKUP($Q110,武学奇术!$A:$ZZ,25,FALSE)</f>
        <v>单体奇术</v>
      </c>
      <c r="AH110" s="27">
        <f>VLOOKUP($Q110,武学奇术!$A:$ZZ,26,FALSE)</f>
        <v>1.6088</v>
      </c>
      <c r="AI110" s="28">
        <f>VLOOKUP($Q110,武学奇术!$A:$ZZ,27,FALSE)*(1+IF(OR($AG110=$F$4,$AG110=$F$5),$B$22,0))</f>
        <v>297</v>
      </c>
      <c r="AJ110" s="27">
        <f>VLOOKUP($Q110,武学奇术!$A:$ZZ,28,FALSE)</f>
        <v>2.4132</v>
      </c>
      <c r="AK110" s="28">
        <f>VLOOKUP($Q110,武学奇术!$A:$ZZ,29,FALSE)*(1+IF(OR($AG110=$F$4,$AG110=$F$5),$B$22,0))</f>
        <v>0</v>
      </c>
      <c r="AL110" s="27" cm="1">
        <f t="array" ref="AL110">$G$3+IFERROR(VLOOKUP($AG110,$F$4:$G$7,2,FALSE),0)+VLOOKUP($Q110,武学奇术!$A:$ZZ,2,FALSE)+SUM(_xlfn.XLOOKUP($R110:$AF110,增益!$A:$A,增益!$B:$B,0))</f>
        <v>0.4215</v>
      </c>
      <c r="AM110" s="27" cm="1">
        <f t="array" ref="AM110">VLOOKUP($Q110,武学奇术!$A:$ZZ,5,FALSE)+SUM(_xlfn.XLOOKUP($R110:$AF110,增益!$A:$A,增益!$E:$E,0))</f>
        <v>0.15</v>
      </c>
      <c r="AN110" cm="1">
        <f t="array" ref="AN110">$D$10*(1+$AM110)+VLOOKUP($Q110,武学奇术!$A:$ZZ,3,FALSE)+SUM(_xlfn.XLOOKUP($R110:$AF110,增益!$A:$A,增益!$C:$C,0))-$I$2</f>
        <v>2063.755</v>
      </c>
      <c r="AO110" cm="1">
        <f t="array" ref="AO110">$E$10*(1+$AM110)+VLOOKUP($Q110,武学奇术!$A:$ZZ,4,FALSE)+SUM(_xlfn.XLOOKUP($R110:$AF110,增益!$A:$A,增益!$D:$D,0))-$I$2</f>
        <v>6060.925</v>
      </c>
      <c r="AP110" s="35" cm="1">
        <f t="array" ref="AP110">IF($F$10-$I$3+VLOOKUP($Q110,武学奇术!$A:$ZZ,6,FALSE)+SUM(_xlfn.XLOOKUP(R110:AF110,增益!$A:$A,增益!$F:$F,0))&gt;0,($F$10-$I$3+VLOOKUP($Q110,武学奇术!$A:$ZZ,6,FALSE)+SUM(_xlfn.XLOOKUP(R110:AF110,增益!$A:$A,增益!$F:$F,0)))/200,($F$10-$I$3+VLOOKUP($Q110,武学奇术!$A:$ZZ,6,FALSE)+SUM(_xlfn.XLOOKUP(R110:AF110,增益!$A:$A,增益!$F:$F,0)))/100)</f>
        <v>0.3675</v>
      </c>
      <c r="AQ110" s="35" cm="1">
        <f t="array" ref="AQ110">$G$10+VLOOKUP($Q110,武学奇术!$A:$ZZ,7,FALSE)+SUM(_xlfn.XLOOKUP(R110:AF110,增益!$A:$A,增益!$G:$G,0))</f>
        <v>0</v>
      </c>
      <c r="AR110" s="27" cm="1">
        <f t="array" ref="AR110">VLOOKUP($Q110,武学奇术!$A:$ZZ,8,FALSE)+SUM(_xlfn.XLOOKUP(R110:AF110,增益!$A:$A,增益!$H:$H,0))</f>
        <v>0</v>
      </c>
      <c r="AS110">
        <f t="shared" si="12"/>
        <v>0</v>
      </c>
      <c r="AT110">
        <f t="shared" si="13"/>
        <v>0</v>
      </c>
      <c r="AU110" s="35" cm="1">
        <f t="array" ref="AU110">IF($F$11-$I$4+VLOOKUP($Q110,武学奇术!$A:$ZZ,9,FALSE)+SUM(_xlfn.XLOOKUP(R110:AF110,增益!$A:$A,增益!$I:$I,0))&gt;0,($F$11-$I$4+VLOOKUP($Q110,武学奇术!$A:$ZZ,9,FALSE)+SUM(_xlfn.XLOOKUP(R110:AF110,增益!$A:$A,增益!$I:$I,0)))/200,($F$11-$I$4+VLOOKUP($Q110,武学奇术!$A:$ZZ,9,FALSE)+SUM(_xlfn.XLOOKUP(R110:AF110,增益!$A:$A,增益!$I:$I,0)))/100)</f>
        <v>-0.3</v>
      </c>
      <c r="AV110" s="35" cm="1">
        <f t="array" ref="AV110">$G$11+VLOOKUP($Q110,武学奇术!$A:$ZZ,10,FALSE)+SUM(_xlfn.XLOOKUP(R110:AF110,增益!$A:$A,增益!$J:$J,0))</f>
        <v>0</v>
      </c>
      <c r="AW110">
        <f t="shared" si="14"/>
        <v>0</v>
      </c>
      <c r="AX110">
        <f t="shared" si="15"/>
        <v>0</v>
      </c>
      <c r="AY110" s="35" cm="1">
        <f t="array" ref="AY110">IF($F$12-$I$4+VLOOKUP($Q110,武学奇术!$A:$ZZ,11,FALSE)+SUM(_xlfn.XLOOKUP(R110:AF110,增益!$A:$A,增益!$K:$K,0))&gt;0,($F$12-$I$4+VLOOKUP($Q110,武学奇术!$A:$ZZ,11,FALSE)+SUM(_xlfn.XLOOKUP(R110:AF110,增益!$A:$A,增益!$K:$K,0)))/200,($F$12-$I$4+VLOOKUP($Q110,武学奇术!$A:$ZZ,11,FALSE)+SUM(_xlfn.XLOOKUP(R110:AF110,增益!$A:$A,增益!$K:$K,0)))/100)</f>
        <v>-0.3</v>
      </c>
      <c r="AZ110" s="35" cm="1">
        <f t="array" ref="AZ110">$G$12+VLOOKUP($Q110,武学奇术!$A:$ZZ,12,FALSE)+SUM(_xlfn.XLOOKUP(R110:AF110,增益!$A:$A,增益!$L:$L,0))</f>
        <v>0</v>
      </c>
      <c r="BA110">
        <f t="shared" si="16"/>
        <v>538</v>
      </c>
      <c r="BB110">
        <f t="shared" si="17"/>
        <v>1011</v>
      </c>
      <c r="BC110" s="35" cm="1">
        <f t="array" ref="BC110">IF($F$13-$I$4+VLOOKUP($Q110,武学奇术!$A:$ZZ,13,FALSE)+SUM(_xlfn.XLOOKUP(R110:AF110,增益!$A:$A,增益!$M:$M,0))&gt;0,($F$13-$I$4+VLOOKUP($Q110,武学奇术!$A:$ZZ,13,FALSE)+SUM(_xlfn.XLOOKUP(R110:AF110,增益!$A:$A,增益!$K:$K,0)))/200,($F$13-$I$4+VLOOKUP($Q110,武学奇术!$A:$ZZ,13,FALSE)+SUM(_xlfn.XLOOKUP(R110:AF110,增益!$A:$A,增益!$M:$M,0)))/100)</f>
        <v>0</v>
      </c>
      <c r="BD110" s="35" cm="1">
        <f t="array" ref="BD110">$G$13+VLOOKUP($Q110,武学奇术!$A:$ZZ,14,FALSE)+SUM(_xlfn.XLOOKUP(R110:AF110,增益!$A:$A,增益!$N:$N,0))</f>
        <v>0.15</v>
      </c>
      <c r="BE110">
        <f t="shared" si="18"/>
        <v>0</v>
      </c>
      <c r="BF110">
        <f t="shared" si="19"/>
        <v>0</v>
      </c>
      <c r="BG110" s="35" cm="1">
        <f t="array" ref="BG110">IF($F$14-$I$4+VLOOKUP($Q110,武学奇术!$A:$ZZ,15,FALSE)+SUM(_xlfn.XLOOKUP(R110:AF110,增益!$A:$A,增益!$O:$O,0))&gt;0,($F$14-$I$4+VLOOKUP($Q110,武学奇术!$A:$ZZ,15,FALSE)+SUM(_xlfn.XLOOKUP(R110:AF110,增益!$A:$A,增益!$O:$O,0)))/200,($F$14-$I$4+VLOOKUP($Q110,武学奇术!$A:$ZZ,15,FALSE)+SUM(_xlfn.XLOOKUP(R110:AF110,增益!$A:$A,增益!$O:$O,0)))/100)</f>
        <v>-0.3</v>
      </c>
      <c r="BH110" s="35" cm="1">
        <f t="array" ref="BH110">$G$14+VLOOKUP($Q110,武学奇术!$A:$ZZ,16,FALSE)+SUM(_xlfn.XLOOKUP(R110:AF110,增益!$A:$A,增益!$P:$P,0))</f>
        <v>0</v>
      </c>
      <c r="BI110" s="27">
        <f>MIN(IF(VLOOKUP($Q110,武学奇术!$A:$ZZ,23,FALSE)=1,100%,$B$8),100%)</f>
        <v>0.9969</v>
      </c>
      <c r="BJ110" s="27" cm="1">
        <f t="array" ref="BJ110">IF(VLOOKUP($Q110,武学奇术!$A:$ZZ,23,FALSE)=1,100%,MIN(80%,$B$9+VLOOKUP($Q110,武学奇术!$A:$ZZ,17,FALSE)+SUM(_xlfn.XLOOKUP(R110:AF110,增益!$A:$A,增益!$Q:$Q,0)))+$B$11+SUM(_xlfn.XLOOKUP(R110:AF110,增益!$A:$A,增益!$U:$U,0)))*IF(VLOOKUP($Q110,武学奇术!$A:$ZZ,24,FALSE)=1,0,1)</f>
        <v>0.9137</v>
      </c>
      <c r="BK110" s="27" cm="1">
        <f t="array" ref="BK110">1+$B$13+VLOOKUP($Q110,武学奇术!$A:$ZZ,18,FALSE)+SUM(_xlfn.XLOOKUP(R110:AF110,增益!$A:$A,增益!$R:$R,0))</f>
        <v>1.85</v>
      </c>
      <c r="BL110" s="27" cm="1">
        <f t="array" ref="BL110">IF(VLOOKUP($Q110,武学奇术!$A:$ZZ,24,FALSE)=1,100%,MIN(40%,$B$10+VLOOKUP($Q110,武学奇术!$A:$ZZ,19,FALSE)+SUM(_xlfn.XLOOKUP(R110:AF110,增益!$A:$A,增益!$S:$S,0)))+$B$12+SUM(_xlfn.XLOOKUP(R110:AF110,增益!$A:$A,增益!$V:$V,0)))*IF(VLOOKUP($Q110,武学奇术!$A:$ZZ,23,FALSE)=1,0,1)</f>
        <v>0.0895</v>
      </c>
      <c r="BM110" s="27" cm="1">
        <f t="array" ref="BM110">1+$B$14+VLOOKUP($Q110,武学奇术!$A:$ZZ,20,FALSE)+SUM(_xlfn.XLOOKUP(R110:AF110,增益!$A:$A,增益!$T:$T,0))</f>
        <v>1.35</v>
      </c>
      <c r="BN110" s="27">
        <f t="shared" si="20"/>
        <v>0.90767745</v>
      </c>
      <c r="BO110" s="27">
        <f t="shared" si="21"/>
        <v>-1.30104260698261e-17</v>
      </c>
      <c r="BP110" s="27">
        <f>IF(VLOOKUP($Q110,武学奇术!$A:$ZZ,22,FALSE)=1,0,(1-$BI110))*(1-$BL110)</f>
        <v>0.00282254999999999</v>
      </c>
      <c r="BQ110" s="27" cm="1">
        <f t="array" ref="BQ110">SUM(_xlfn.XLOOKUP(R110:AF110,增益!$A:$A,增益!$W:$W,0))+$I$5</f>
        <v>0.11</v>
      </c>
    </row>
    <row r="111" spans="1:69">
      <c r="K111" s="41">
        <f t="shared" si="11"/>
        <v>0</v>
      </c>
      <c r="L111" s="41">
        <f>((($AN111+$AO111)/2*$AH111+$AI111)*(1+$AP111)*(1+$AQ111)+(($AS111+$AT111)/2*IF($G$1="鸣金",$AJ111,$AH111)+IF($G$1="鸣金",$AK111*1.5,0))*(1+$AU111)*(1+$AV111)+(($AW111+$AX111)/2*IF($G$1="裂石",$AJ111,$AH111)+IF($G$1="裂石",$AK111*1.5,0))*(1+$AY111)*(1+$AZ111)+(($BA111+$BB111)/2*IF($G$1="牵丝",$AJ111,$AH111)+IF($G$1="牵丝",$AK111*1.5,0))*(1+$BC111)*(1+$BD111)+(($BE111+$BF111)/2*IF($G$1="破竹",$AJ111,$AH111)+IF($G$1="破竹",$AK111*1.5,0))*(1+$BG111)*(1+$BH111))*(1+$AL111)*$BK111*$P111*(1+IF(VLOOKUP($Q111,武学奇术!$A:$ZZ,30,FALSE)="弹道",$B$21,0))*(1+$BQ111)</f>
        <v>0</v>
      </c>
      <c r="M111" s="41">
        <f>(($AO111*$AH111+$AI111)*(1+$AP111)*(1+$AQ111)+($AT111*IF($G$1="鸣金",$AJ111,$AH111)+IF($G$1="鸣金",$AK111*1.5,0))*(1+$AU111)*(1+$AV111)+($AX111*IF($G$1="裂石",$AJ111,$AH111)+IF($G$1="裂石",$AK111*1.5,0))*(1+$AY111)*(1+$AZ111)+($BB111*IF($G$1="牵丝",$AJ111,$AH111)+IF($G$1="牵丝",$AK111*1.5,0))*(1+$BC111)*(1+$BD111)+($BF111*IF($G$1="破竹",$AJ111,$AH111)+IF($G$1="破竹",$AK111*1.5,0))*(1+$BG111)*(1+$BH111))*(1+$AL111)*$BM111*$P111*(1+IF(VLOOKUP($Q111,武学奇术!$A:$ZZ,30,FALSE)="弹道",$B$21,0))*(1+$BQ111)</f>
        <v>0</v>
      </c>
      <c r="N111" s="41">
        <f>((($AN111+$AO111)/2*$AH111+$AI111)*(1+$AP111)*(1+$AQ111)+(($AS111+$AT111)/2*IF($G$1="鸣金",$AJ111,$AH111)+IF($G$1="鸣金",$AK111*1.5,0))*(1+$AU111)*(1+$AV111)+(($AW111+$AX111)/2*IF($G$1="裂石",$AJ111,$AH111)+IF($G$1="裂石",$AK111*1.5,0))*(1+$AY111)*(1+$AZ111)+(($BA111+$BB111)/2*IF($G$1="牵丝",$AJ111,$AH111)+IF($G$1="牵丝",$AK111*1.5,0))*(1+$BC111)*(1+$BD111)+(($BE111+$BF111)/2*IF($G$1="破竹",$AJ111,$AH111)+IF($G$1="破竹",$AK111*1.5,0))*(1+$BG111)*(1+$BH111))*(1+$AL111)*$P111*(1+IF(VLOOKUP($Q111,武学奇术!$A:$ZZ,30,FALSE)="弹道",$B$21,0))*(1+$BQ111)</f>
        <v>0</v>
      </c>
      <c r="O111" s="41">
        <f>((($AN111*$AH111+$AI111)*(1+$AP111)*(1+$AQ111)+($AS111*IF($G$1="鸣金",$AJ111,$AH111)+IF($G$1="鸣金",$AK111*1.5,0))*(1+$AU111)*(1+$AV111)+($AW111*IF($G$1="裂石",$AJ111,$AH111)+IF($G$1="裂石",$AK111*1.5,0))*(1+$AY111)*(1+$AZ111)+($BA111*IF($G$1="牵丝",$AJ111,$AH111)+IF($G$1="牵丝",$AK111*1.5,0))*(1+$BC111)*(1+$BD111)+($BE111*IF($G$1="破竹",$AJ111,$AH111)+IF($G$1="破竹",$AK111*1.5,0))*(1+$BG111)*(1+$BH111))*(1+$AL111))*$P111*(1+IF(VLOOKUP($Q111,武学奇术!$A:$ZZ,30,FALSE)="弹道",$B$21,0))*(1+$BQ111)</f>
        <v>0</v>
      </c>
      <c r="P111" s="42">
        <v>1</v>
      </c>
      <c r="Q111" s="43" t="s">
        <v>73</v>
      </c>
      <c r="R111" s="43" t="s">
        <v>73</v>
      </c>
      <c r="S111" s="43" t="s">
        <v>73</v>
      </c>
      <c r="T111" s="43" t="s">
        <v>73</v>
      </c>
      <c r="U111" s="43" t="s">
        <v>73</v>
      </c>
      <c r="V111" s="43" t="s">
        <v>73</v>
      </c>
      <c r="W111" s="43" t="s">
        <v>73</v>
      </c>
      <c r="X111" s="43" t="s">
        <v>73</v>
      </c>
      <c r="Y111" s="43" t="s">
        <v>73</v>
      </c>
      <c r="Z111" s="43" t="s">
        <v>73</v>
      </c>
      <c r="AA111" s="43" t="s">
        <v>73</v>
      </c>
      <c r="AB111" s="43" t="s">
        <v>73</v>
      </c>
      <c r="AC111" s="43" t="s">
        <v>73</v>
      </c>
      <c r="AD111" s="43" t="s">
        <v>73</v>
      </c>
      <c r="AE111" s="43" t="s">
        <v>73</v>
      </c>
      <c r="AF111" s="43" t="s">
        <v>75</v>
      </c>
      <c r="AG111" t="str">
        <f>VLOOKUP($Q111,武学奇术!$A:$ZZ,25,FALSE)</f>
        <v>心法</v>
      </c>
      <c r="AH111" s="27">
        <f>VLOOKUP($Q111,武学奇术!$A:$ZZ,26,FALSE)</f>
        <v>0</v>
      </c>
      <c r="AI111" s="28">
        <f>VLOOKUP($Q111,武学奇术!$A:$ZZ,27,FALSE)*(1+IF(OR($AG111=$F$4,$AG111=$F$5),$B$22,0))</f>
        <v>0</v>
      </c>
      <c r="AJ111" s="27">
        <f>VLOOKUP($Q111,武学奇术!$A:$ZZ,28,FALSE)</f>
        <v>0</v>
      </c>
      <c r="AK111" s="28">
        <f>VLOOKUP($Q111,武学奇术!$A:$ZZ,29,FALSE)*(1+IF(OR($AG111=$F$4,$AG111=$F$5),$B$22,0))</f>
        <v>0</v>
      </c>
      <c r="AL111" s="27" cm="1">
        <f t="array" ref="AL111">$G$3+IFERROR(VLOOKUP($AG111,$F$4:$G$7,2,FALSE),0)+VLOOKUP($Q111,武学奇术!$A:$ZZ,2,FALSE)+SUM(_xlfn.XLOOKUP($R111:$AF111,增益!$A:$A,增益!$B:$B,0))</f>
        <v>0.1037</v>
      </c>
      <c r="AM111" s="27" cm="1">
        <f t="array" ref="AM111">VLOOKUP($Q111,武学奇术!$A:$ZZ,5,FALSE)+SUM(_xlfn.XLOOKUP($R111:$AF111,增益!$A:$A,增益!$E:$E,0))</f>
        <v>0</v>
      </c>
      <c r="AN111" cm="1">
        <f t="array" ref="AN111">$D$10*(1+$AM111)+VLOOKUP($Q111,武学奇术!$A:$ZZ,3,FALSE)+SUM(_xlfn.XLOOKUP($R111:$AF111,增益!$A:$A,增益!$C:$C,0))-$I$2</f>
        <v>1713.7</v>
      </c>
      <c r="AO111" cm="1">
        <f t="array" ref="AO111">$E$10*(1+$AM111)+VLOOKUP($Q111,武学奇术!$A:$ZZ,4,FALSE)+SUM(_xlfn.XLOOKUP($R111:$AF111,增益!$A:$A,增益!$D:$D,0))-$I$2</f>
        <v>5189.5</v>
      </c>
      <c r="AP111" s="35" cm="1">
        <f t="array" ref="AP111">IF($F$10-$I$3+VLOOKUP($Q111,武学奇术!$A:$ZZ,6,FALSE)+SUM(_xlfn.XLOOKUP(R111:AF111,增益!$A:$A,增益!$F:$F,0))&gt;0,($F$10-$I$3+VLOOKUP($Q111,武学奇术!$A:$ZZ,6,FALSE)+SUM(_xlfn.XLOOKUP(R111:AF111,增益!$A:$A,增益!$F:$F,0)))/200,($F$10-$I$3+VLOOKUP($Q111,武学奇术!$A:$ZZ,6,FALSE)+SUM(_xlfn.XLOOKUP(R111:AF111,增益!$A:$A,增益!$F:$F,0)))/100)</f>
        <v>0.1925</v>
      </c>
      <c r="AQ111" s="35" cm="1">
        <f t="array" ref="AQ111">$G$10+VLOOKUP($Q111,武学奇术!$A:$ZZ,7,FALSE)+SUM(_xlfn.XLOOKUP(R111:AF111,增益!$A:$A,增益!$G:$G,0))</f>
        <v>0</v>
      </c>
      <c r="AR111" s="27" cm="1">
        <f t="array" ref="AR111">VLOOKUP($Q111,武学奇术!$A:$ZZ,8,FALSE)+SUM(_xlfn.XLOOKUP(R111:AF111,增益!$A:$A,增益!$H:$H,0))</f>
        <v>0</v>
      </c>
      <c r="AS111">
        <f t="shared" si="12"/>
        <v>0</v>
      </c>
      <c r="AT111">
        <f t="shared" si="13"/>
        <v>0</v>
      </c>
      <c r="AU111" s="35" cm="1">
        <f t="array" ref="AU111">IF($F$11-$I$4+VLOOKUP($Q111,武学奇术!$A:$ZZ,9,FALSE)+SUM(_xlfn.XLOOKUP(R111:AF111,增益!$A:$A,增益!$I:$I,0))&gt;0,($F$11-$I$4+VLOOKUP($Q111,武学奇术!$A:$ZZ,9,FALSE)+SUM(_xlfn.XLOOKUP(R111:AF111,增益!$A:$A,增益!$I:$I,0)))/200,($F$11-$I$4+VLOOKUP($Q111,武学奇术!$A:$ZZ,9,FALSE)+SUM(_xlfn.XLOOKUP(R111:AF111,增益!$A:$A,增益!$I:$I,0)))/100)</f>
        <v>-0.3</v>
      </c>
      <c r="AV111" s="35" cm="1">
        <f t="array" ref="AV111">$G$11+VLOOKUP($Q111,武学奇术!$A:$ZZ,10,FALSE)+SUM(_xlfn.XLOOKUP(R111:AF111,增益!$A:$A,增益!$J:$J,0))</f>
        <v>0</v>
      </c>
      <c r="AW111">
        <f t="shared" si="14"/>
        <v>0</v>
      </c>
      <c r="AX111">
        <f t="shared" si="15"/>
        <v>0</v>
      </c>
      <c r="AY111" s="35" cm="1">
        <f t="array" ref="AY111">IF($F$12-$I$4+VLOOKUP($Q111,武学奇术!$A:$ZZ,11,FALSE)+SUM(_xlfn.XLOOKUP(R111:AF111,增益!$A:$A,增益!$K:$K,0))&gt;0,($F$12-$I$4+VLOOKUP($Q111,武学奇术!$A:$ZZ,11,FALSE)+SUM(_xlfn.XLOOKUP(R111:AF111,增益!$A:$A,增益!$K:$K,0)))/200,($F$12-$I$4+VLOOKUP($Q111,武学奇术!$A:$ZZ,11,FALSE)+SUM(_xlfn.XLOOKUP(R111:AF111,增益!$A:$A,增益!$K:$K,0)))/100)</f>
        <v>-0.3</v>
      </c>
      <c r="AZ111" s="35" cm="1">
        <f t="array" ref="AZ111">$G$12+VLOOKUP($Q111,武学奇术!$A:$ZZ,12,FALSE)+SUM(_xlfn.XLOOKUP(R111:AF111,增益!$A:$A,增益!$L:$L,0))</f>
        <v>0</v>
      </c>
      <c r="BA111">
        <f t="shared" si="16"/>
        <v>538</v>
      </c>
      <c r="BB111">
        <f t="shared" si="17"/>
        <v>1011</v>
      </c>
      <c r="BC111" s="35" cm="1">
        <f t="array" ref="BC111">IF($F$13-$I$4+VLOOKUP($Q111,武学奇术!$A:$ZZ,13,FALSE)+SUM(_xlfn.XLOOKUP(R111:AF111,增益!$A:$A,增益!$M:$M,0))&gt;0,($F$13-$I$4+VLOOKUP($Q111,武学奇术!$A:$ZZ,13,FALSE)+SUM(_xlfn.XLOOKUP(R111:AF111,增益!$A:$A,增益!$K:$K,0)))/200,($F$13-$I$4+VLOOKUP($Q111,武学奇术!$A:$ZZ,13,FALSE)+SUM(_xlfn.XLOOKUP(R111:AF111,增益!$A:$A,增益!$M:$M,0)))/100)</f>
        <v>0</v>
      </c>
      <c r="BD111" s="35" cm="1">
        <f t="array" ref="BD111">$G$13+VLOOKUP($Q111,武学奇术!$A:$ZZ,14,FALSE)+SUM(_xlfn.XLOOKUP(R111:AF111,增益!$A:$A,增益!$N:$N,0))</f>
        <v>0.15</v>
      </c>
      <c r="BE111">
        <f t="shared" si="18"/>
        <v>0</v>
      </c>
      <c r="BF111">
        <f t="shared" si="19"/>
        <v>0</v>
      </c>
      <c r="BG111" s="35" cm="1">
        <f t="array" ref="BG111">IF($F$14-$I$4+VLOOKUP($Q111,武学奇术!$A:$ZZ,15,FALSE)+SUM(_xlfn.XLOOKUP(R111:AF111,增益!$A:$A,增益!$O:$O,0))&gt;0,($F$14-$I$4+VLOOKUP($Q111,武学奇术!$A:$ZZ,15,FALSE)+SUM(_xlfn.XLOOKUP(R111:AF111,增益!$A:$A,增益!$O:$O,0)))/200,($F$14-$I$4+VLOOKUP($Q111,武学奇术!$A:$ZZ,15,FALSE)+SUM(_xlfn.XLOOKUP(R111:AF111,增益!$A:$A,增益!$O:$O,0)))/100)</f>
        <v>-0.3</v>
      </c>
      <c r="BH111" s="35" cm="1">
        <f t="array" ref="BH111">$G$14+VLOOKUP($Q111,武学奇术!$A:$ZZ,16,FALSE)+SUM(_xlfn.XLOOKUP(R111:AF111,增益!$A:$A,增益!$P:$P,0))</f>
        <v>0</v>
      </c>
      <c r="BI111" s="27">
        <f>MIN(IF(VLOOKUP($Q111,武学奇术!$A:$ZZ,23,FALSE)=1,100%,$B$8),100%)</f>
        <v>0.9969</v>
      </c>
      <c r="BJ111" s="27" cm="1">
        <f t="array" ref="BJ111">IF(VLOOKUP($Q111,武学奇术!$A:$ZZ,23,FALSE)=1,100%,MIN(80%,$B$9+VLOOKUP($Q111,武学奇术!$A:$ZZ,17,FALSE)+SUM(_xlfn.XLOOKUP(R111:AF111,增益!$A:$A,增益!$Q:$Q,0)))+$B$11+SUM(_xlfn.XLOOKUP(R111:AF111,增益!$A:$A,增益!$U:$U,0)))*IF(VLOOKUP($Q111,武学奇术!$A:$ZZ,24,FALSE)=1,0,1)</f>
        <v>0.9137</v>
      </c>
      <c r="BK111" s="27" cm="1">
        <f t="array" ref="BK111">1+$B$13+VLOOKUP($Q111,武学奇术!$A:$ZZ,18,FALSE)+SUM(_xlfn.XLOOKUP(R111:AF111,增益!$A:$A,增益!$R:$R,0))</f>
        <v>1.5</v>
      </c>
      <c r="BL111" s="27" cm="1">
        <f t="array" ref="BL111">IF(VLOOKUP($Q111,武学奇术!$A:$ZZ,24,FALSE)=1,100%,MIN(40%,$B$10+VLOOKUP($Q111,武学奇术!$A:$ZZ,19,FALSE)+SUM(_xlfn.XLOOKUP(R111:AF111,增益!$A:$A,增益!$S:$S,0)))+$B$12+SUM(_xlfn.XLOOKUP(R111:AF111,增益!$A:$A,增益!$V:$V,0)))*IF(VLOOKUP($Q111,武学奇术!$A:$ZZ,23,FALSE)=1,0,1)</f>
        <v>0.0895</v>
      </c>
      <c r="BM111" s="27" cm="1">
        <f t="array" ref="BM111">1+$B$14+VLOOKUP($Q111,武学奇术!$A:$ZZ,20,FALSE)+SUM(_xlfn.XLOOKUP(R111:AF111,增益!$A:$A,增益!$T:$T,0))</f>
        <v>1.35</v>
      </c>
      <c r="BN111" s="27">
        <f t="shared" si="20"/>
        <v>0.90767745</v>
      </c>
      <c r="BO111" s="27">
        <f t="shared" si="21"/>
        <v>-1.30104260698261e-17</v>
      </c>
      <c r="BP111" s="27">
        <f>IF(VLOOKUP($Q111,武学奇术!$A:$ZZ,22,FALSE)=1,0,(1-$BI111))*(1-$BL111)</f>
        <v>0.00282254999999999</v>
      </c>
      <c r="BQ111" s="27" cm="1">
        <f t="array" ref="BQ111">SUM(_xlfn.XLOOKUP(R111:AF111,增益!$A:$A,增益!$W:$W,0))+$I$5</f>
        <v>0.11</v>
      </c>
    </row>
    <row r="112" spans="1:69">
      <c r="K112" s="41">
        <f t="shared" si="11"/>
        <v>0</v>
      </c>
      <c r="L112" s="41">
        <f>((($AN112+$AO112)/2*$AH112+$AI112)*(1+$AP112)*(1+$AQ112)+(($AS112+$AT112)/2*IF($G$1="鸣金",$AJ112,$AH112)+IF($G$1="鸣金",$AK112*1.5,0))*(1+$AU112)*(1+$AV112)+(($AW112+$AX112)/2*IF($G$1="裂石",$AJ112,$AH112)+IF($G$1="裂石",$AK112*1.5,0))*(1+$AY112)*(1+$AZ112)+(($BA112+$BB112)/2*IF($G$1="牵丝",$AJ112,$AH112)+IF($G$1="牵丝",$AK112*1.5,0))*(1+$BC112)*(1+$BD112)+(($BE112+$BF112)/2*IF($G$1="破竹",$AJ112,$AH112)+IF($G$1="破竹",$AK112*1.5,0))*(1+$BG112)*(1+$BH112))*(1+$AL112)*$BK112*$P112*(1+IF(VLOOKUP($Q112,武学奇术!$A:$ZZ,30,FALSE)="弹道",$B$21,0))*(1+$BQ112)</f>
        <v>0</v>
      </c>
      <c r="M112" s="41">
        <f>(($AO112*$AH112+$AI112)*(1+$AP112)*(1+$AQ112)+($AT112*IF($G$1="鸣金",$AJ112,$AH112)+IF($G$1="鸣金",$AK112*1.5,0))*(1+$AU112)*(1+$AV112)+($AX112*IF($G$1="裂石",$AJ112,$AH112)+IF($G$1="裂石",$AK112*1.5,0))*(1+$AY112)*(1+$AZ112)+($BB112*IF($G$1="牵丝",$AJ112,$AH112)+IF($G$1="牵丝",$AK112*1.5,0))*(1+$BC112)*(1+$BD112)+($BF112*IF($G$1="破竹",$AJ112,$AH112)+IF($G$1="破竹",$AK112*1.5,0))*(1+$BG112)*(1+$BH112))*(1+$AL112)*$BM112*$P112*(1+IF(VLOOKUP($Q112,武学奇术!$A:$ZZ,30,FALSE)="弹道",$B$21,0))*(1+$BQ112)</f>
        <v>0</v>
      </c>
      <c r="N112" s="41">
        <f>((($AN112+$AO112)/2*$AH112+$AI112)*(1+$AP112)*(1+$AQ112)+(($AS112+$AT112)/2*IF($G$1="鸣金",$AJ112,$AH112)+IF($G$1="鸣金",$AK112*1.5,0))*(1+$AU112)*(1+$AV112)+(($AW112+$AX112)/2*IF($G$1="裂石",$AJ112,$AH112)+IF($G$1="裂石",$AK112*1.5,0))*(1+$AY112)*(1+$AZ112)+(($BA112+$BB112)/2*IF($G$1="牵丝",$AJ112,$AH112)+IF($G$1="牵丝",$AK112*1.5,0))*(1+$BC112)*(1+$BD112)+(($BE112+$BF112)/2*IF($G$1="破竹",$AJ112,$AH112)+IF($G$1="破竹",$AK112*1.5,0))*(1+$BG112)*(1+$BH112))*(1+$AL112)*$P112*(1+IF(VLOOKUP($Q112,武学奇术!$A:$ZZ,30,FALSE)="弹道",$B$21,0))*(1+$BQ112)</f>
        <v>0</v>
      </c>
      <c r="O112" s="41">
        <f>((($AN112*$AH112+$AI112)*(1+$AP112)*(1+$AQ112)+($AS112*IF($G$1="鸣金",$AJ112,$AH112)+IF($G$1="鸣金",$AK112*1.5,0))*(1+$AU112)*(1+$AV112)+($AW112*IF($G$1="裂石",$AJ112,$AH112)+IF($G$1="裂石",$AK112*1.5,0))*(1+$AY112)*(1+$AZ112)+($BA112*IF($G$1="牵丝",$AJ112,$AH112)+IF($G$1="牵丝",$AK112*1.5,0))*(1+$BC112)*(1+$BD112)+($BE112*IF($G$1="破竹",$AJ112,$AH112)+IF($G$1="破竹",$AK112*1.5,0))*(1+$BG112)*(1+$BH112))*(1+$AL112))*$P112*(1+IF(VLOOKUP($Q112,武学奇术!$A:$ZZ,30,FALSE)="弹道",$B$21,0))*(1+$BQ112)</f>
        <v>0</v>
      </c>
      <c r="P112" s="42">
        <v>1</v>
      </c>
      <c r="Q112" s="43" t="s">
        <v>73</v>
      </c>
      <c r="R112" s="43" t="s">
        <v>73</v>
      </c>
      <c r="S112" s="43" t="s">
        <v>73</v>
      </c>
      <c r="T112" s="43" t="s">
        <v>73</v>
      </c>
      <c r="U112" s="43" t="s">
        <v>73</v>
      </c>
      <c r="V112" s="43" t="s">
        <v>73</v>
      </c>
      <c r="W112" s="43" t="s">
        <v>73</v>
      </c>
      <c r="X112" s="43" t="s">
        <v>73</v>
      </c>
      <c r="Y112" s="43" t="s">
        <v>73</v>
      </c>
      <c r="Z112" s="43" t="s">
        <v>73</v>
      </c>
      <c r="AA112" s="43" t="s">
        <v>73</v>
      </c>
      <c r="AB112" s="43" t="s">
        <v>73</v>
      </c>
      <c r="AC112" s="43" t="s">
        <v>73</v>
      </c>
      <c r="AD112" s="43" t="s">
        <v>73</v>
      </c>
      <c r="AE112" s="43" t="s">
        <v>73</v>
      </c>
      <c r="AF112" s="43" t="s">
        <v>75</v>
      </c>
      <c r="AG112" t="str">
        <f>VLOOKUP($Q112,武学奇术!$A:$ZZ,25,FALSE)</f>
        <v>心法</v>
      </c>
      <c r="AH112" s="27">
        <f>VLOOKUP($Q112,武学奇术!$A:$ZZ,26,FALSE)</f>
        <v>0</v>
      </c>
      <c r="AI112" s="28">
        <f>VLOOKUP($Q112,武学奇术!$A:$ZZ,27,FALSE)*(1+IF(OR($AG112=$F$4,$AG112=$F$5),$B$22,0))</f>
        <v>0</v>
      </c>
      <c r="AJ112" s="27">
        <f>VLOOKUP($Q112,武学奇术!$A:$ZZ,28,FALSE)</f>
        <v>0</v>
      </c>
      <c r="AK112" s="28">
        <f>VLOOKUP($Q112,武学奇术!$A:$ZZ,29,FALSE)*(1+IF(OR($AG112=$F$4,$AG112=$F$5),$B$22,0))</f>
        <v>0</v>
      </c>
      <c r="AL112" s="27" cm="1">
        <f t="array" ref="AL112">$G$3+IFERROR(VLOOKUP($AG112,$F$4:$G$7,2,FALSE),0)+VLOOKUP($Q112,武学奇术!$A:$ZZ,2,FALSE)+SUM(_xlfn.XLOOKUP($R112:$AF112,增益!$A:$A,增益!$B:$B,0))</f>
        <v>0.1037</v>
      </c>
      <c r="AM112" s="27" cm="1">
        <f t="array" ref="AM112">VLOOKUP($Q112,武学奇术!$A:$ZZ,5,FALSE)+SUM(_xlfn.XLOOKUP($R112:$AF112,增益!$A:$A,增益!$E:$E,0))</f>
        <v>0</v>
      </c>
      <c r="AN112" cm="1">
        <f t="array" ref="AN112">$D$10*(1+$AM112)+VLOOKUP($Q112,武学奇术!$A:$ZZ,3,FALSE)+SUM(_xlfn.XLOOKUP($R112:$AF112,增益!$A:$A,增益!$C:$C,0))-$I$2</f>
        <v>1713.7</v>
      </c>
      <c r="AO112" cm="1">
        <f t="array" ref="AO112">$E$10*(1+$AM112)+VLOOKUP($Q112,武学奇术!$A:$ZZ,4,FALSE)+SUM(_xlfn.XLOOKUP($R112:$AF112,增益!$A:$A,增益!$D:$D,0))-$I$2</f>
        <v>5189.5</v>
      </c>
      <c r="AP112" s="35" cm="1">
        <f t="array" ref="AP112">IF($F$10-$I$3+VLOOKUP($Q112,武学奇术!$A:$ZZ,6,FALSE)+SUM(_xlfn.XLOOKUP(R112:AF112,增益!$A:$A,增益!$F:$F,0))&gt;0,($F$10-$I$3+VLOOKUP($Q112,武学奇术!$A:$ZZ,6,FALSE)+SUM(_xlfn.XLOOKUP(R112:AF112,增益!$A:$A,增益!$F:$F,0)))/200,($F$10-$I$3+VLOOKUP($Q112,武学奇术!$A:$ZZ,6,FALSE)+SUM(_xlfn.XLOOKUP(R112:AF112,增益!$A:$A,增益!$F:$F,0)))/100)</f>
        <v>0.1925</v>
      </c>
      <c r="AQ112" s="35" cm="1">
        <f t="array" ref="AQ112">$G$10+VLOOKUP($Q112,武学奇术!$A:$ZZ,7,FALSE)+SUM(_xlfn.XLOOKUP(R112:AF112,增益!$A:$A,增益!$G:$G,0))</f>
        <v>0</v>
      </c>
      <c r="AR112" s="27" cm="1">
        <f t="array" ref="AR112">VLOOKUP($Q112,武学奇术!$A:$ZZ,8,FALSE)+SUM(_xlfn.XLOOKUP(R112:AF112,增益!$A:$A,增益!$H:$H,0))</f>
        <v>0</v>
      </c>
      <c r="AS112">
        <f t="shared" si="12"/>
        <v>0</v>
      </c>
      <c r="AT112">
        <f t="shared" si="13"/>
        <v>0</v>
      </c>
      <c r="AU112" s="35" cm="1">
        <f t="array" ref="AU112">IF($F$11-$I$4+VLOOKUP($Q112,武学奇术!$A:$ZZ,9,FALSE)+SUM(_xlfn.XLOOKUP(R112:AF112,增益!$A:$A,增益!$I:$I,0))&gt;0,($F$11-$I$4+VLOOKUP($Q112,武学奇术!$A:$ZZ,9,FALSE)+SUM(_xlfn.XLOOKUP(R112:AF112,增益!$A:$A,增益!$I:$I,0)))/200,($F$11-$I$4+VLOOKUP($Q112,武学奇术!$A:$ZZ,9,FALSE)+SUM(_xlfn.XLOOKUP(R112:AF112,增益!$A:$A,增益!$I:$I,0)))/100)</f>
        <v>-0.3</v>
      </c>
      <c r="AV112" s="35" cm="1">
        <f t="array" ref="AV112">$G$11+VLOOKUP($Q112,武学奇术!$A:$ZZ,10,FALSE)+SUM(_xlfn.XLOOKUP(R112:AF112,增益!$A:$A,增益!$J:$J,0))</f>
        <v>0</v>
      </c>
      <c r="AW112">
        <f t="shared" si="14"/>
        <v>0</v>
      </c>
      <c r="AX112">
        <f t="shared" si="15"/>
        <v>0</v>
      </c>
      <c r="AY112" s="35" cm="1">
        <f t="array" ref="AY112">IF($F$12-$I$4+VLOOKUP($Q112,武学奇术!$A:$ZZ,11,FALSE)+SUM(_xlfn.XLOOKUP(R112:AF112,增益!$A:$A,增益!$K:$K,0))&gt;0,($F$12-$I$4+VLOOKUP($Q112,武学奇术!$A:$ZZ,11,FALSE)+SUM(_xlfn.XLOOKUP(R112:AF112,增益!$A:$A,增益!$K:$K,0)))/200,($F$12-$I$4+VLOOKUP($Q112,武学奇术!$A:$ZZ,11,FALSE)+SUM(_xlfn.XLOOKUP(R112:AF112,增益!$A:$A,增益!$K:$K,0)))/100)</f>
        <v>-0.3</v>
      </c>
      <c r="AZ112" s="35" cm="1">
        <f t="array" ref="AZ112">$G$12+VLOOKUP($Q112,武学奇术!$A:$ZZ,12,FALSE)+SUM(_xlfn.XLOOKUP(R112:AF112,增益!$A:$A,增益!$L:$L,0))</f>
        <v>0</v>
      </c>
      <c r="BA112">
        <f t="shared" si="16"/>
        <v>538</v>
      </c>
      <c r="BB112">
        <f t="shared" si="17"/>
        <v>1011</v>
      </c>
      <c r="BC112" s="35" cm="1">
        <f t="array" ref="BC112">IF($F$13-$I$4+VLOOKUP($Q112,武学奇术!$A:$ZZ,13,FALSE)+SUM(_xlfn.XLOOKUP(R112:AF112,增益!$A:$A,增益!$M:$M,0))&gt;0,($F$13-$I$4+VLOOKUP($Q112,武学奇术!$A:$ZZ,13,FALSE)+SUM(_xlfn.XLOOKUP(R112:AF112,增益!$A:$A,增益!$K:$K,0)))/200,($F$13-$I$4+VLOOKUP($Q112,武学奇术!$A:$ZZ,13,FALSE)+SUM(_xlfn.XLOOKUP(R112:AF112,增益!$A:$A,增益!$M:$M,0)))/100)</f>
        <v>0</v>
      </c>
      <c r="BD112" s="35" cm="1">
        <f t="array" ref="BD112">$G$13+VLOOKUP($Q112,武学奇术!$A:$ZZ,14,FALSE)+SUM(_xlfn.XLOOKUP(R112:AF112,增益!$A:$A,增益!$N:$N,0))</f>
        <v>0.15</v>
      </c>
      <c r="BE112">
        <f t="shared" si="18"/>
        <v>0</v>
      </c>
      <c r="BF112">
        <f t="shared" si="19"/>
        <v>0</v>
      </c>
      <c r="BG112" s="35" cm="1">
        <f t="array" ref="BG112">IF($F$14-$I$4+VLOOKUP($Q112,武学奇术!$A:$ZZ,15,FALSE)+SUM(_xlfn.XLOOKUP(R112:AF112,增益!$A:$A,增益!$O:$O,0))&gt;0,($F$14-$I$4+VLOOKUP($Q112,武学奇术!$A:$ZZ,15,FALSE)+SUM(_xlfn.XLOOKUP(R112:AF112,增益!$A:$A,增益!$O:$O,0)))/200,($F$14-$I$4+VLOOKUP($Q112,武学奇术!$A:$ZZ,15,FALSE)+SUM(_xlfn.XLOOKUP(R112:AF112,增益!$A:$A,增益!$O:$O,0)))/100)</f>
        <v>-0.3</v>
      </c>
      <c r="BH112" s="35" cm="1">
        <f t="array" ref="BH112">$G$14+VLOOKUP($Q112,武学奇术!$A:$ZZ,16,FALSE)+SUM(_xlfn.XLOOKUP(R112:AF112,增益!$A:$A,增益!$P:$P,0))</f>
        <v>0</v>
      </c>
      <c r="BI112" s="27">
        <f>MIN(IF(VLOOKUP($Q112,武学奇术!$A:$ZZ,23,FALSE)=1,100%,$B$8),100%)</f>
        <v>0.9969</v>
      </c>
      <c r="BJ112" s="27" cm="1">
        <f t="array" ref="BJ112">IF(VLOOKUP($Q112,武学奇术!$A:$ZZ,23,FALSE)=1,100%,MIN(80%,$B$9+VLOOKUP($Q112,武学奇术!$A:$ZZ,17,FALSE)+SUM(_xlfn.XLOOKUP(R112:AF112,增益!$A:$A,增益!$Q:$Q,0)))+$B$11+SUM(_xlfn.XLOOKUP(R112:AF112,增益!$A:$A,增益!$U:$U,0)))*IF(VLOOKUP($Q112,武学奇术!$A:$ZZ,24,FALSE)=1,0,1)</f>
        <v>0.9137</v>
      </c>
      <c r="BK112" s="27" cm="1">
        <f t="array" ref="BK112">1+$B$13+VLOOKUP($Q112,武学奇术!$A:$ZZ,18,FALSE)+SUM(_xlfn.XLOOKUP(R112:AF112,增益!$A:$A,增益!$R:$R,0))</f>
        <v>1.5</v>
      </c>
      <c r="BL112" s="27" cm="1">
        <f t="array" ref="BL112">IF(VLOOKUP($Q112,武学奇术!$A:$ZZ,24,FALSE)=1,100%,MIN(40%,$B$10+VLOOKUP($Q112,武学奇术!$A:$ZZ,19,FALSE)+SUM(_xlfn.XLOOKUP(R112:AF112,增益!$A:$A,增益!$S:$S,0)))+$B$12+SUM(_xlfn.XLOOKUP(R112:AF112,增益!$A:$A,增益!$V:$V,0)))*IF(VLOOKUP($Q112,武学奇术!$A:$ZZ,23,FALSE)=1,0,1)</f>
        <v>0.0895</v>
      </c>
      <c r="BM112" s="27" cm="1">
        <f t="array" ref="BM112">1+$B$14+VLOOKUP($Q112,武学奇术!$A:$ZZ,20,FALSE)+SUM(_xlfn.XLOOKUP(R112:AF112,增益!$A:$A,增益!$T:$T,0))</f>
        <v>1.35</v>
      </c>
      <c r="BN112" s="27">
        <f t="shared" si="20"/>
        <v>0.90767745</v>
      </c>
      <c r="BO112" s="27">
        <f t="shared" si="21"/>
        <v>-1.30104260698261e-17</v>
      </c>
      <c r="BP112" s="27">
        <f>IF(VLOOKUP($Q112,武学奇术!$A:$ZZ,22,FALSE)=1,0,(1-$BI112))*(1-$BL112)</f>
        <v>0.00282254999999999</v>
      </c>
      <c r="BQ112" s="27" cm="1">
        <f t="array" ref="BQ112">SUM(_xlfn.XLOOKUP(R112:AF112,增益!$A:$A,增益!$W:$W,0))+$I$5</f>
        <v>0.11</v>
      </c>
    </row>
    <row r="113" spans="11:69">
      <c r="K113" s="41">
        <f t="shared" si="11"/>
        <v>0</v>
      </c>
      <c r="L113" s="41">
        <f>((($AN113+$AO113)/2*$AH113+$AI113)*(1+$AP113)*(1+$AQ113)+(($AS113+$AT113)/2*IF($G$1="鸣金",$AJ113,$AH113)+IF($G$1="鸣金",$AK113*1.5,0))*(1+$AU113)*(1+$AV113)+(($AW113+$AX113)/2*IF($G$1="裂石",$AJ113,$AH113)+IF($G$1="裂石",$AK113*1.5,0))*(1+$AY113)*(1+$AZ113)+(($BA113+$BB113)/2*IF($G$1="牵丝",$AJ113,$AH113)+IF($G$1="牵丝",$AK113*1.5,0))*(1+$BC113)*(1+$BD113)+(($BE113+$BF113)/2*IF($G$1="破竹",$AJ113,$AH113)+IF($G$1="破竹",$AK113*1.5,0))*(1+$BG113)*(1+$BH113))*(1+$AL113)*$BK113*$P113*(1+IF(VLOOKUP($Q113,武学奇术!$A:$ZZ,30,FALSE)="弹道",$B$21,0))*(1+$BQ113)</f>
        <v>0</v>
      </c>
      <c r="M113" s="41">
        <f>(($AO113*$AH113+$AI113)*(1+$AP113)*(1+$AQ113)+($AT113*IF($G$1="鸣金",$AJ113,$AH113)+IF($G$1="鸣金",$AK113*1.5,0))*(1+$AU113)*(1+$AV113)+($AX113*IF($G$1="裂石",$AJ113,$AH113)+IF($G$1="裂石",$AK113*1.5,0))*(1+$AY113)*(1+$AZ113)+($BB113*IF($G$1="牵丝",$AJ113,$AH113)+IF($G$1="牵丝",$AK113*1.5,0))*(1+$BC113)*(1+$BD113)+($BF113*IF($G$1="破竹",$AJ113,$AH113)+IF($G$1="破竹",$AK113*1.5,0))*(1+$BG113)*(1+$BH113))*(1+$AL113)*$BM113*$P113*(1+IF(VLOOKUP($Q113,武学奇术!$A:$ZZ,30,FALSE)="弹道",$B$21,0))*(1+$BQ113)</f>
        <v>0</v>
      </c>
      <c r="N113" s="41">
        <f>((($AN113+$AO113)/2*$AH113+$AI113)*(1+$AP113)*(1+$AQ113)+(($AS113+$AT113)/2*IF($G$1="鸣金",$AJ113,$AH113)+IF($G$1="鸣金",$AK113*1.5,0))*(1+$AU113)*(1+$AV113)+(($AW113+$AX113)/2*IF($G$1="裂石",$AJ113,$AH113)+IF($G$1="裂石",$AK113*1.5,0))*(1+$AY113)*(1+$AZ113)+(($BA113+$BB113)/2*IF($G$1="牵丝",$AJ113,$AH113)+IF($G$1="牵丝",$AK113*1.5,0))*(1+$BC113)*(1+$BD113)+(($BE113+$BF113)/2*IF($G$1="破竹",$AJ113,$AH113)+IF($G$1="破竹",$AK113*1.5,0))*(1+$BG113)*(1+$BH113))*(1+$AL113)*$P113*(1+IF(VLOOKUP($Q113,武学奇术!$A:$ZZ,30,FALSE)="弹道",$B$21,0))*(1+$BQ113)</f>
        <v>0</v>
      </c>
      <c r="O113" s="41">
        <f>((($AN113*$AH113+$AI113)*(1+$AP113)*(1+$AQ113)+($AS113*IF($G$1="鸣金",$AJ113,$AH113)+IF($G$1="鸣金",$AK113*1.5,0))*(1+$AU113)*(1+$AV113)+($AW113*IF($G$1="裂石",$AJ113,$AH113)+IF($G$1="裂石",$AK113*1.5,0))*(1+$AY113)*(1+$AZ113)+($BA113*IF($G$1="牵丝",$AJ113,$AH113)+IF($G$1="牵丝",$AK113*1.5,0))*(1+$BC113)*(1+$BD113)+($BE113*IF($G$1="破竹",$AJ113,$AH113)+IF($G$1="破竹",$AK113*1.5,0))*(1+$BG113)*(1+$BH113))*(1+$AL113))*$P113*(1+IF(VLOOKUP($Q113,武学奇术!$A:$ZZ,30,FALSE)="弹道",$B$21,0))*(1+$BQ113)</f>
        <v>0</v>
      </c>
      <c r="P113" s="42">
        <f t="shared" ref="P113:P117" si="22">IF($C$22="易水歌",1,0)</f>
        <v>1</v>
      </c>
      <c r="Q113" s="43" t="s">
        <v>73</v>
      </c>
      <c r="R113" s="43" t="s">
        <v>73</v>
      </c>
      <c r="S113" s="43" t="s">
        <v>73</v>
      </c>
      <c r="T113" s="43" t="s">
        <v>73</v>
      </c>
      <c r="U113" s="43" t="s">
        <v>73</v>
      </c>
      <c r="V113" s="43" t="s">
        <v>73</v>
      </c>
      <c r="W113" s="43" t="s">
        <v>73</v>
      </c>
      <c r="X113" s="43" t="s">
        <v>73</v>
      </c>
      <c r="Y113" s="43" t="s">
        <v>73</v>
      </c>
      <c r="Z113" s="43" t="s">
        <v>73</v>
      </c>
      <c r="AA113" s="43" t="s">
        <v>73</v>
      </c>
      <c r="AB113" s="43" t="s">
        <v>73</v>
      </c>
      <c r="AC113" s="43" t="s">
        <v>73</v>
      </c>
      <c r="AD113" s="43" t="s">
        <v>73</v>
      </c>
      <c r="AE113" s="43" t="s">
        <v>73</v>
      </c>
      <c r="AF113" s="43" t="s">
        <v>75</v>
      </c>
      <c r="AG113" t="str">
        <f>VLOOKUP($Q113,武学奇术!$A:$ZZ,25,FALSE)</f>
        <v>心法</v>
      </c>
      <c r="AH113" s="27">
        <f>VLOOKUP($Q113,武学奇术!$A:$ZZ,26,FALSE)</f>
        <v>0</v>
      </c>
      <c r="AI113" s="28">
        <f>VLOOKUP($Q113,武学奇术!$A:$ZZ,27,FALSE)*(1+IF(OR($AG113=$F$4,$AG113=$F$5),$B$22,0))</f>
        <v>0</v>
      </c>
      <c r="AJ113" s="27">
        <f>VLOOKUP($Q113,武学奇术!$A:$ZZ,28,FALSE)</f>
        <v>0</v>
      </c>
      <c r="AK113" s="28">
        <f>VLOOKUP($Q113,武学奇术!$A:$ZZ,29,FALSE)*(1+IF(OR($AG113=$F$4,$AG113=$F$5),$B$22,0))</f>
        <v>0</v>
      </c>
      <c r="AL113" s="27" cm="1">
        <f t="array" ref="AL113">$G$3+IFERROR(VLOOKUP($AG113,$F$4:$G$7,2,FALSE),0)+VLOOKUP($Q113,武学奇术!$A:$ZZ,2,FALSE)+SUM(_xlfn.XLOOKUP($R113:$AF113,增益!$A:$A,增益!$B:$B,0))</f>
        <v>0.1037</v>
      </c>
      <c r="AM113" s="27" cm="1">
        <f t="array" ref="AM113">VLOOKUP($Q113,武学奇术!$A:$ZZ,5,FALSE)+SUM(_xlfn.XLOOKUP($R113:$AF113,增益!$A:$A,增益!$E:$E,0))</f>
        <v>0</v>
      </c>
      <c r="AN113" cm="1">
        <f t="array" ref="AN113">$D$10*(1+$AM113)+VLOOKUP($Q113,武学奇术!$A:$ZZ,3,FALSE)+SUM(_xlfn.XLOOKUP($R113:$AF113,增益!$A:$A,增益!$C:$C,0))-$I$2</f>
        <v>1713.7</v>
      </c>
      <c r="AO113" cm="1">
        <f t="array" ref="AO113">$E$10*(1+$AM113)+VLOOKUP($Q113,武学奇术!$A:$ZZ,4,FALSE)+SUM(_xlfn.XLOOKUP($R113:$AF113,增益!$A:$A,增益!$D:$D,0))-$I$2</f>
        <v>5189.5</v>
      </c>
      <c r="AP113" s="35" cm="1">
        <f t="array" ref="AP113">IF($F$10-$I$3+VLOOKUP($Q113,武学奇术!$A:$ZZ,6,FALSE)+SUM(_xlfn.XLOOKUP(R113:AF113,增益!$A:$A,增益!$F:$F,0))&gt;0,($F$10-$I$3+VLOOKUP($Q113,武学奇术!$A:$ZZ,6,FALSE)+SUM(_xlfn.XLOOKUP(R113:AF113,增益!$A:$A,增益!$F:$F,0)))/200,($F$10-$I$3+VLOOKUP($Q113,武学奇术!$A:$ZZ,6,FALSE)+SUM(_xlfn.XLOOKUP(R113:AF113,增益!$A:$A,增益!$F:$F,0)))/100)</f>
        <v>0.1925</v>
      </c>
      <c r="AQ113" s="35" cm="1">
        <f t="array" ref="AQ113">$G$10+VLOOKUP($Q113,武学奇术!$A:$ZZ,7,FALSE)+SUM(_xlfn.XLOOKUP(R113:AF113,增益!$A:$A,增益!$G:$G,0))</f>
        <v>0</v>
      </c>
      <c r="AR113" s="27" cm="1">
        <f t="array" ref="AR113">VLOOKUP($Q113,武学奇术!$A:$ZZ,8,FALSE)+SUM(_xlfn.XLOOKUP(R113:AF113,增益!$A:$A,增益!$H:$H,0))</f>
        <v>0</v>
      </c>
      <c r="AS113">
        <f t="shared" si="12"/>
        <v>0</v>
      </c>
      <c r="AT113">
        <f t="shared" si="13"/>
        <v>0</v>
      </c>
      <c r="AU113" s="35" cm="1">
        <f t="array" ref="AU113">IF($F$11-$I$4+VLOOKUP($Q113,武学奇术!$A:$ZZ,9,FALSE)+SUM(_xlfn.XLOOKUP(R113:AF113,增益!$A:$A,增益!$I:$I,0))&gt;0,($F$11-$I$4+VLOOKUP($Q113,武学奇术!$A:$ZZ,9,FALSE)+SUM(_xlfn.XLOOKUP(R113:AF113,增益!$A:$A,增益!$I:$I,0)))/200,($F$11-$I$4+VLOOKUP($Q113,武学奇术!$A:$ZZ,9,FALSE)+SUM(_xlfn.XLOOKUP(R113:AF113,增益!$A:$A,增益!$I:$I,0)))/100)</f>
        <v>-0.3</v>
      </c>
      <c r="AV113" s="35" cm="1">
        <f t="array" ref="AV113">$G$11+VLOOKUP($Q113,武学奇术!$A:$ZZ,10,FALSE)+SUM(_xlfn.XLOOKUP(R113:AF113,增益!$A:$A,增益!$J:$J,0))</f>
        <v>0</v>
      </c>
      <c r="AW113">
        <f t="shared" si="14"/>
        <v>0</v>
      </c>
      <c r="AX113">
        <f t="shared" si="15"/>
        <v>0</v>
      </c>
      <c r="AY113" s="35" cm="1">
        <f t="array" ref="AY113">IF($F$12-$I$4+VLOOKUP($Q113,武学奇术!$A:$ZZ,11,FALSE)+SUM(_xlfn.XLOOKUP(R113:AF113,增益!$A:$A,增益!$K:$K,0))&gt;0,($F$12-$I$4+VLOOKUP($Q113,武学奇术!$A:$ZZ,11,FALSE)+SUM(_xlfn.XLOOKUP(R113:AF113,增益!$A:$A,增益!$K:$K,0)))/200,($F$12-$I$4+VLOOKUP($Q113,武学奇术!$A:$ZZ,11,FALSE)+SUM(_xlfn.XLOOKUP(R113:AF113,增益!$A:$A,增益!$K:$K,0)))/100)</f>
        <v>-0.3</v>
      </c>
      <c r="AZ113" s="35" cm="1">
        <f t="array" ref="AZ113">$G$12+VLOOKUP($Q113,武学奇术!$A:$ZZ,12,FALSE)+SUM(_xlfn.XLOOKUP(R113:AF113,增益!$A:$A,增益!$L:$L,0))</f>
        <v>0</v>
      </c>
      <c r="BA113">
        <f t="shared" si="16"/>
        <v>538</v>
      </c>
      <c r="BB113">
        <f t="shared" si="17"/>
        <v>1011</v>
      </c>
      <c r="BC113" s="35" cm="1">
        <f t="array" ref="BC113">IF($F$13-$I$4+VLOOKUP($Q113,武学奇术!$A:$ZZ,13,FALSE)+SUM(_xlfn.XLOOKUP(R113:AF113,增益!$A:$A,增益!$M:$M,0))&gt;0,($F$13-$I$4+VLOOKUP($Q113,武学奇术!$A:$ZZ,13,FALSE)+SUM(_xlfn.XLOOKUP(R113:AF113,增益!$A:$A,增益!$K:$K,0)))/200,($F$13-$I$4+VLOOKUP($Q113,武学奇术!$A:$ZZ,13,FALSE)+SUM(_xlfn.XLOOKUP(R113:AF113,增益!$A:$A,增益!$M:$M,0)))/100)</f>
        <v>0</v>
      </c>
      <c r="BD113" s="35" cm="1">
        <f t="array" ref="BD113">$G$13+VLOOKUP($Q113,武学奇术!$A:$ZZ,14,FALSE)+SUM(_xlfn.XLOOKUP(R113:AF113,增益!$A:$A,增益!$N:$N,0))</f>
        <v>0.15</v>
      </c>
      <c r="BE113">
        <f t="shared" si="18"/>
        <v>0</v>
      </c>
      <c r="BF113">
        <f t="shared" si="19"/>
        <v>0</v>
      </c>
      <c r="BG113" s="35" cm="1">
        <f t="array" ref="BG113">IF($F$14-$I$4+VLOOKUP($Q113,武学奇术!$A:$ZZ,15,FALSE)+SUM(_xlfn.XLOOKUP(R113:AF113,增益!$A:$A,增益!$O:$O,0))&gt;0,($F$14-$I$4+VLOOKUP($Q113,武学奇术!$A:$ZZ,15,FALSE)+SUM(_xlfn.XLOOKUP(R113:AF113,增益!$A:$A,增益!$O:$O,0)))/200,($F$14-$I$4+VLOOKUP($Q113,武学奇术!$A:$ZZ,15,FALSE)+SUM(_xlfn.XLOOKUP(R113:AF113,增益!$A:$A,增益!$O:$O,0)))/100)</f>
        <v>-0.3</v>
      </c>
      <c r="BH113" s="35" cm="1">
        <f t="array" ref="BH113">$G$14+VLOOKUP($Q113,武学奇术!$A:$ZZ,16,FALSE)+SUM(_xlfn.XLOOKUP(R113:AF113,增益!$A:$A,增益!$P:$P,0))</f>
        <v>0</v>
      </c>
      <c r="BI113" s="27">
        <f>MIN(IF(VLOOKUP($Q113,武学奇术!$A:$ZZ,23,FALSE)=1,100%,$B$8),100%)</f>
        <v>0.9969</v>
      </c>
      <c r="BJ113" s="27" cm="1">
        <f t="array" ref="BJ113">IF(VLOOKUP($Q113,武学奇术!$A:$ZZ,23,FALSE)=1,100%,MIN(80%,$B$9+VLOOKUP($Q113,武学奇术!$A:$ZZ,17,FALSE)+SUM(_xlfn.XLOOKUP(R113:AF113,增益!$A:$A,增益!$Q:$Q,0)))+$B$11+SUM(_xlfn.XLOOKUP(R113:AF113,增益!$A:$A,增益!$U:$U,0)))*IF(VLOOKUP($Q113,武学奇术!$A:$ZZ,24,FALSE)=1,0,1)</f>
        <v>0.9137</v>
      </c>
      <c r="BK113" s="27" cm="1">
        <f t="array" ref="BK113">1+$B$13+VLOOKUP($Q113,武学奇术!$A:$ZZ,18,FALSE)+SUM(_xlfn.XLOOKUP(R113:AF113,增益!$A:$A,增益!$R:$R,0))</f>
        <v>1.5</v>
      </c>
      <c r="BL113" s="27" cm="1">
        <f t="array" ref="BL113">IF(VLOOKUP($Q113,武学奇术!$A:$ZZ,24,FALSE)=1,100%,MIN(40%,$B$10+VLOOKUP($Q113,武学奇术!$A:$ZZ,19,FALSE)+SUM(_xlfn.XLOOKUP(R113:AF113,增益!$A:$A,增益!$S:$S,0)))+$B$12+SUM(_xlfn.XLOOKUP(R113:AF113,增益!$A:$A,增益!$V:$V,0)))*IF(VLOOKUP($Q113,武学奇术!$A:$ZZ,23,FALSE)=1,0,1)</f>
        <v>0.0895</v>
      </c>
      <c r="BM113" s="27" cm="1">
        <f t="array" ref="BM113">1+$B$14+VLOOKUP($Q113,武学奇术!$A:$ZZ,20,FALSE)+SUM(_xlfn.XLOOKUP(R113:AF113,增益!$A:$A,增益!$T:$T,0))</f>
        <v>1.35</v>
      </c>
      <c r="BN113" s="27">
        <f t="shared" si="20"/>
        <v>0.90767745</v>
      </c>
      <c r="BO113" s="27">
        <f t="shared" si="21"/>
        <v>-1.30104260698261e-17</v>
      </c>
      <c r="BP113" s="27">
        <f>IF(VLOOKUP($Q113,武学奇术!$A:$ZZ,22,FALSE)=1,0,(1-$BI113))*(1-$BL113)</f>
        <v>0.00282254999999999</v>
      </c>
      <c r="BQ113" s="27" cm="1">
        <f t="array" ref="BQ113">SUM(_xlfn.XLOOKUP(R113:AF113,增益!$A:$A,增益!$W:$W,0))+$I$5</f>
        <v>0.11</v>
      </c>
    </row>
    <row r="114" spans="11:69">
      <c r="K114" s="41">
        <f t="shared" si="11"/>
        <v>0</v>
      </c>
      <c r="L114" s="41">
        <f>((($AN114+$AO114)/2*$AH114+$AI114)*(1+$AP114)*(1+$AQ114)+(($AS114+$AT114)/2*IF($G$1="鸣金",$AJ114,$AH114)+IF($G$1="鸣金",$AK114*1.5,0))*(1+$AU114)*(1+$AV114)+(($AW114+$AX114)/2*IF($G$1="裂石",$AJ114,$AH114)+IF($G$1="裂石",$AK114*1.5,0))*(1+$AY114)*(1+$AZ114)+(($BA114+$BB114)/2*IF($G$1="牵丝",$AJ114,$AH114)+IF($G$1="牵丝",$AK114*1.5,0))*(1+$BC114)*(1+$BD114)+(($BE114+$BF114)/2*IF($G$1="破竹",$AJ114,$AH114)+IF($G$1="破竹",$AK114*1.5,0))*(1+$BG114)*(1+$BH114))*(1+$AL114)*$BK114*$P114*(1+IF(VLOOKUP($Q114,武学奇术!$A:$ZZ,30,FALSE)="弹道",$B$21,0))*(1+$BQ114)</f>
        <v>0</v>
      </c>
      <c r="M114" s="41">
        <f>(($AO114*$AH114+$AI114)*(1+$AP114)*(1+$AQ114)+($AT114*IF($G$1="鸣金",$AJ114,$AH114)+IF($G$1="鸣金",$AK114*1.5,0))*(1+$AU114)*(1+$AV114)+($AX114*IF($G$1="裂石",$AJ114,$AH114)+IF($G$1="裂石",$AK114*1.5,0))*(1+$AY114)*(1+$AZ114)+($BB114*IF($G$1="牵丝",$AJ114,$AH114)+IF($G$1="牵丝",$AK114*1.5,0))*(1+$BC114)*(1+$BD114)+($BF114*IF($G$1="破竹",$AJ114,$AH114)+IF($G$1="破竹",$AK114*1.5,0))*(1+$BG114)*(1+$BH114))*(1+$AL114)*$BM114*$P114*(1+IF(VLOOKUP($Q114,武学奇术!$A:$ZZ,30,FALSE)="弹道",$B$21,0))*(1+$BQ114)</f>
        <v>0</v>
      </c>
      <c r="N114" s="41">
        <f>((($AN114+$AO114)/2*$AH114+$AI114)*(1+$AP114)*(1+$AQ114)+(($AS114+$AT114)/2*IF($G$1="鸣金",$AJ114,$AH114)+IF($G$1="鸣金",$AK114*1.5,0))*(1+$AU114)*(1+$AV114)+(($AW114+$AX114)/2*IF($G$1="裂石",$AJ114,$AH114)+IF($G$1="裂石",$AK114*1.5,0))*(1+$AY114)*(1+$AZ114)+(($BA114+$BB114)/2*IF($G$1="牵丝",$AJ114,$AH114)+IF($G$1="牵丝",$AK114*1.5,0))*(1+$BC114)*(1+$BD114)+(($BE114+$BF114)/2*IF($G$1="破竹",$AJ114,$AH114)+IF($G$1="破竹",$AK114*1.5,0))*(1+$BG114)*(1+$BH114))*(1+$AL114)*$P114*(1+IF(VLOOKUP($Q114,武学奇术!$A:$ZZ,30,FALSE)="弹道",$B$21,0))*(1+$BQ114)</f>
        <v>0</v>
      </c>
      <c r="O114" s="41">
        <f>((($AN114*$AH114+$AI114)*(1+$AP114)*(1+$AQ114)+($AS114*IF($G$1="鸣金",$AJ114,$AH114)+IF($G$1="鸣金",$AK114*1.5,0))*(1+$AU114)*(1+$AV114)+($AW114*IF($G$1="裂石",$AJ114,$AH114)+IF($G$1="裂石",$AK114*1.5,0))*(1+$AY114)*(1+$AZ114)+($BA114*IF($G$1="牵丝",$AJ114,$AH114)+IF($G$1="牵丝",$AK114*1.5,0))*(1+$BC114)*(1+$BD114)+($BE114*IF($G$1="破竹",$AJ114,$AH114)+IF($G$1="破竹",$AK114*1.5,0))*(1+$BG114)*(1+$BH114))*(1+$AL114))*$P114*(1+IF(VLOOKUP($Q114,武学奇术!$A:$ZZ,30,FALSE)="弹道",$B$21,0))*(1+$BQ114)</f>
        <v>0</v>
      </c>
      <c r="P114" s="42">
        <v>1</v>
      </c>
      <c r="Q114" s="43" t="s">
        <v>73</v>
      </c>
      <c r="R114" s="43" t="s">
        <v>73</v>
      </c>
      <c r="S114" s="43" t="s">
        <v>73</v>
      </c>
      <c r="T114" s="43" t="s">
        <v>73</v>
      </c>
      <c r="U114" s="43" t="s">
        <v>73</v>
      </c>
      <c r="V114" s="43" t="s">
        <v>73</v>
      </c>
      <c r="W114" s="43" t="s">
        <v>73</v>
      </c>
      <c r="X114" s="43" t="s">
        <v>73</v>
      </c>
      <c r="Y114" s="43" t="s">
        <v>73</v>
      </c>
      <c r="Z114" s="43" t="s">
        <v>73</v>
      </c>
      <c r="AA114" s="43" t="s">
        <v>73</v>
      </c>
      <c r="AB114" s="43" t="s">
        <v>73</v>
      </c>
      <c r="AC114" s="43" t="s">
        <v>73</v>
      </c>
      <c r="AD114" s="43" t="s">
        <v>73</v>
      </c>
      <c r="AE114" s="43" t="s">
        <v>73</v>
      </c>
      <c r="AF114" s="43" t="s">
        <v>75</v>
      </c>
      <c r="AG114" t="str">
        <f>VLOOKUP($Q114,武学奇术!$A:$ZZ,25,FALSE)</f>
        <v>心法</v>
      </c>
      <c r="AH114" s="27">
        <f>VLOOKUP($Q114,武学奇术!$A:$ZZ,26,FALSE)</f>
        <v>0</v>
      </c>
      <c r="AI114" s="28">
        <f>VLOOKUP($Q114,武学奇术!$A:$ZZ,27,FALSE)*(1+IF(OR($AG114=$F$4,$AG114=$F$5),$B$22,0))</f>
        <v>0</v>
      </c>
      <c r="AJ114" s="27">
        <f>VLOOKUP($Q114,武学奇术!$A:$ZZ,28,FALSE)</f>
        <v>0</v>
      </c>
      <c r="AK114" s="28">
        <f>VLOOKUP($Q114,武学奇术!$A:$ZZ,29,FALSE)*(1+IF(OR($AG114=$F$4,$AG114=$F$5),$B$22,0))</f>
        <v>0</v>
      </c>
      <c r="AL114" s="27" cm="1">
        <f t="array" ref="AL114">$G$3+IFERROR(VLOOKUP($AG114,$F$4:$G$7,2,FALSE),0)+VLOOKUP($Q114,武学奇术!$A:$ZZ,2,FALSE)+SUM(_xlfn.XLOOKUP($R114:$AF114,增益!$A:$A,增益!$B:$B,0))</f>
        <v>0.1037</v>
      </c>
      <c r="AM114" s="27" cm="1">
        <f t="array" ref="AM114">VLOOKUP($Q114,武学奇术!$A:$ZZ,5,FALSE)+SUM(_xlfn.XLOOKUP($R114:$AF114,增益!$A:$A,增益!$E:$E,0))</f>
        <v>0</v>
      </c>
      <c r="AN114" cm="1">
        <f t="array" ref="AN114">$D$10*(1+$AM114)+VLOOKUP($Q114,武学奇术!$A:$ZZ,3,FALSE)+SUM(_xlfn.XLOOKUP($R114:$AF114,增益!$A:$A,增益!$C:$C,0))-$I$2</f>
        <v>1713.7</v>
      </c>
      <c r="AO114" cm="1">
        <f t="array" ref="AO114">$E$10*(1+$AM114)+VLOOKUP($Q114,武学奇术!$A:$ZZ,4,FALSE)+SUM(_xlfn.XLOOKUP($R114:$AF114,增益!$A:$A,增益!$D:$D,0))-$I$2</f>
        <v>5189.5</v>
      </c>
      <c r="AP114" s="35" cm="1">
        <f t="array" ref="AP114">IF($F$10-$I$3+VLOOKUP($Q114,武学奇术!$A:$ZZ,6,FALSE)+SUM(_xlfn.XLOOKUP(R114:AF114,增益!$A:$A,增益!$F:$F,0))&gt;0,($F$10-$I$3+VLOOKUP($Q114,武学奇术!$A:$ZZ,6,FALSE)+SUM(_xlfn.XLOOKUP(R114:AF114,增益!$A:$A,增益!$F:$F,0)))/200,($F$10-$I$3+VLOOKUP($Q114,武学奇术!$A:$ZZ,6,FALSE)+SUM(_xlfn.XLOOKUP(R114:AF114,增益!$A:$A,增益!$F:$F,0)))/100)</f>
        <v>0.1925</v>
      </c>
      <c r="AQ114" s="35" cm="1">
        <f t="array" ref="AQ114">$G$10+VLOOKUP($Q114,武学奇术!$A:$ZZ,7,FALSE)+SUM(_xlfn.XLOOKUP(R114:AF114,增益!$A:$A,增益!$G:$G,0))</f>
        <v>0</v>
      </c>
      <c r="AR114" s="27" cm="1">
        <f t="array" ref="AR114">VLOOKUP($Q114,武学奇术!$A:$ZZ,8,FALSE)+SUM(_xlfn.XLOOKUP(R114:AF114,增益!$A:$A,增益!$H:$H,0))</f>
        <v>0</v>
      </c>
      <c r="AS114">
        <f t="shared" si="12"/>
        <v>0</v>
      </c>
      <c r="AT114">
        <f t="shared" si="13"/>
        <v>0</v>
      </c>
      <c r="AU114" s="35" cm="1">
        <f t="array" ref="AU114">IF($F$11-$I$4+VLOOKUP($Q114,武学奇术!$A:$ZZ,9,FALSE)+SUM(_xlfn.XLOOKUP(R114:AF114,增益!$A:$A,增益!$I:$I,0))&gt;0,($F$11-$I$4+VLOOKUP($Q114,武学奇术!$A:$ZZ,9,FALSE)+SUM(_xlfn.XLOOKUP(R114:AF114,增益!$A:$A,增益!$I:$I,0)))/200,($F$11-$I$4+VLOOKUP($Q114,武学奇术!$A:$ZZ,9,FALSE)+SUM(_xlfn.XLOOKUP(R114:AF114,增益!$A:$A,增益!$I:$I,0)))/100)</f>
        <v>-0.3</v>
      </c>
      <c r="AV114" s="35" cm="1">
        <f t="array" ref="AV114">$G$11+VLOOKUP($Q114,武学奇术!$A:$ZZ,10,FALSE)+SUM(_xlfn.XLOOKUP(R114:AF114,增益!$A:$A,增益!$J:$J,0))</f>
        <v>0</v>
      </c>
      <c r="AW114">
        <f t="shared" si="14"/>
        <v>0</v>
      </c>
      <c r="AX114">
        <f t="shared" si="15"/>
        <v>0</v>
      </c>
      <c r="AY114" s="35" cm="1">
        <f t="array" ref="AY114">IF($F$12-$I$4+VLOOKUP($Q114,武学奇术!$A:$ZZ,11,FALSE)+SUM(_xlfn.XLOOKUP(R114:AF114,增益!$A:$A,增益!$K:$K,0))&gt;0,($F$12-$I$4+VLOOKUP($Q114,武学奇术!$A:$ZZ,11,FALSE)+SUM(_xlfn.XLOOKUP(R114:AF114,增益!$A:$A,增益!$K:$K,0)))/200,($F$12-$I$4+VLOOKUP($Q114,武学奇术!$A:$ZZ,11,FALSE)+SUM(_xlfn.XLOOKUP(R114:AF114,增益!$A:$A,增益!$K:$K,0)))/100)</f>
        <v>-0.3</v>
      </c>
      <c r="AZ114" s="35" cm="1">
        <f t="array" ref="AZ114">$G$12+VLOOKUP($Q114,武学奇术!$A:$ZZ,12,FALSE)+SUM(_xlfn.XLOOKUP(R114:AF114,增益!$A:$A,增益!$L:$L,0))</f>
        <v>0</v>
      </c>
      <c r="BA114">
        <f t="shared" si="16"/>
        <v>538</v>
      </c>
      <c r="BB114">
        <f t="shared" si="17"/>
        <v>1011</v>
      </c>
      <c r="BC114" s="35" cm="1">
        <f t="array" ref="BC114">IF($F$13-$I$4+VLOOKUP($Q114,武学奇术!$A:$ZZ,13,FALSE)+SUM(_xlfn.XLOOKUP(R114:AF114,增益!$A:$A,增益!$M:$M,0))&gt;0,($F$13-$I$4+VLOOKUP($Q114,武学奇术!$A:$ZZ,13,FALSE)+SUM(_xlfn.XLOOKUP(R114:AF114,增益!$A:$A,增益!$K:$K,0)))/200,($F$13-$I$4+VLOOKUP($Q114,武学奇术!$A:$ZZ,13,FALSE)+SUM(_xlfn.XLOOKUP(R114:AF114,增益!$A:$A,增益!$M:$M,0)))/100)</f>
        <v>0</v>
      </c>
      <c r="BD114" s="35" cm="1">
        <f t="array" ref="BD114">$G$13+VLOOKUP($Q114,武学奇术!$A:$ZZ,14,FALSE)+SUM(_xlfn.XLOOKUP(R114:AF114,增益!$A:$A,增益!$N:$N,0))</f>
        <v>0.15</v>
      </c>
      <c r="BE114">
        <f t="shared" si="18"/>
        <v>0</v>
      </c>
      <c r="BF114">
        <f t="shared" si="19"/>
        <v>0</v>
      </c>
      <c r="BG114" s="35" cm="1">
        <f t="array" ref="BG114">IF($F$14-$I$4+VLOOKUP($Q114,武学奇术!$A:$ZZ,15,FALSE)+SUM(_xlfn.XLOOKUP(R114:AF114,增益!$A:$A,增益!$O:$O,0))&gt;0,($F$14-$I$4+VLOOKUP($Q114,武学奇术!$A:$ZZ,15,FALSE)+SUM(_xlfn.XLOOKUP(R114:AF114,增益!$A:$A,增益!$O:$O,0)))/200,($F$14-$I$4+VLOOKUP($Q114,武学奇术!$A:$ZZ,15,FALSE)+SUM(_xlfn.XLOOKUP(R114:AF114,增益!$A:$A,增益!$O:$O,0)))/100)</f>
        <v>-0.3</v>
      </c>
      <c r="BH114" s="35" cm="1">
        <f t="array" ref="BH114">$G$14+VLOOKUP($Q114,武学奇术!$A:$ZZ,16,FALSE)+SUM(_xlfn.XLOOKUP(R114:AF114,增益!$A:$A,增益!$P:$P,0))</f>
        <v>0</v>
      </c>
      <c r="BI114" s="27">
        <f>MIN(IF(VLOOKUP($Q114,武学奇术!$A:$ZZ,23,FALSE)=1,100%,$B$8),100%)</f>
        <v>0.9969</v>
      </c>
      <c r="BJ114" s="27" cm="1">
        <f t="array" ref="BJ114">IF(VLOOKUP($Q114,武学奇术!$A:$ZZ,23,FALSE)=1,100%,MIN(80%,$B$9+VLOOKUP($Q114,武学奇术!$A:$ZZ,17,FALSE)+SUM(_xlfn.XLOOKUP(R114:AF114,增益!$A:$A,增益!$Q:$Q,0)))+$B$11+SUM(_xlfn.XLOOKUP(R114:AF114,增益!$A:$A,增益!$U:$U,0)))*IF(VLOOKUP($Q114,武学奇术!$A:$ZZ,24,FALSE)=1,0,1)</f>
        <v>0.9137</v>
      </c>
      <c r="BK114" s="27" cm="1">
        <f t="array" ref="BK114">1+$B$13+VLOOKUP($Q114,武学奇术!$A:$ZZ,18,FALSE)+SUM(_xlfn.XLOOKUP(R114:AF114,增益!$A:$A,增益!$R:$R,0))</f>
        <v>1.5</v>
      </c>
      <c r="BL114" s="27" cm="1">
        <f t="array" ref="BL114">IF(VLOOKUP($Q114,武学奇术!$A:$ZZ,24,FALSE)=1,100%,MIN(40%,$B$10+VLOOKUP($Q114,武学奇术!$A:$ZZ,19,FALSE)+SUM(_xlfn.XLOOKUP(R114:AF114,增益!$A:$A,增益!$S:$S,0)))+$B$12+SUM(_xlfn.XLOOKUP(R114:AF114,增益!$A:$A,增益!$V:$V,0)))*IF(VLOOKUP($Q114,武学奇术!$A:$ZZ,23,FALSE)=1,0,1)</f>
        <v>0.0895</v>
      </c>
      <c r="BM114" s="27" cm="1">
        <f t="array" ref="BM114">1+$B$14+VLOOKUP($Q114,武学奇术!$A:$ZZ,20,FALSE)+SUM(_xlfn.XLOOKUP(R114:AF114,增益!$A:$A,增益!$T:$T,0))</f>
        <v>1.35</v>
      </c>
      <c r="BN114" s="27">
        <f t="shared" si="20"/>
        <v>0.90767745</v>
      </c>
      <c r="BO114" s="27">
        <f t="shared" si="21"/>
        <v>-1.30104260698261e-17</v>
      </c>
      <c r="BP114" s="27">
        <f>IF(VLOOKUP($Q114,武学奇术!$A:$ZZ,22,FALSE)=1,0,(1-$BI114))*(1-$BL114)</f>
        <v>0.00282254999999999</v>
      </c>
      <c r="BQ114" s="27" cm="1">
        <f t="array" ref="BQ114">SUM(_xlfn.XLOOKUP(R114:AF114,增益!$A:$A,增益!$W:$W,0))+$I$5</f>
        <v>0.11</v>
      </c>
    </row>
    <row r="115" spans="11:69">
      <c r="K115" s="41">
        <f t="shared" si="11"/>
        <v>0</v>
      </c>
      <c r="L115" s="41">
        <f>((($AN115+$AO115)/2*$AH115+$AI115)*(1+$AP115)*(1+$AQ115)+(($AS115+$AT115)/2*IF($G$1="鸣金",$AJ115,$AH115)+IF($G$1="鸣金",$AK115*1.5,0))*(1+$AU115)*(1+$AV115)+(($AW115+$AX115)/2*IF($G$1="裂石",$AJ115,$AH115)+IF($G$1="裂石",$AK115*1.5,0))*(1+$AY115)*(1+$AZ115)+(($BA115+$BB115)/2*IF($G$1="牵丝",$AJ115,$AH115)+IF($G$1="牵丝",$AK115*1.5,0))*(1+$BC115)*(1+$BD115)+(($BE115+$BF115)/2*IF($G$1="破竹",$AJ115,$AH115)+IF($G$1="破竹",$AK115*1.5,0))*(1+$BG115)*(1+$BH115))*(1+$AL115)*$BK115*$P115*(1+IF(VLOOKUP($Q115,武学奇术!$A:$ZZ,30,FALSE)="弹道",$B$21,0))*(1+$BQ115)</f>
        <v>0</v>
      </c>
      <c r="M115" s="41">
        <f>(($AO115*$AH115+$AI115)*(1+$AP115)*(1+$AQ115)+($AT115*IF($G$1="鸣金",$AJ115,$AH115)+IF($G$1="鸣金",$AK115*1.5,0))*(1+$AU115)*(1+$AV115)+($AX115*IF($G$1="裂石",$AJ115,$AH115)+IF($G$1="裂石",$AK115*1.5,0))*(1+$AY115)*(1+$AZ115)+($BB115*IF($G$1="牵丝",$AJ115,$AH115)+IF($G$1="牵丝",$AK115*1.5,0))*(1+$BC115)*(1+$BD115)+($BF115*IF($G$1="破竹",$AJ115,$AH115)+IF($G$1="破竹",$AK115*1.5,0))*(1+$BG115)*(1+$BH115))*(1+$AL115)*$BM115*$P115*(1+IF(VLOOKUP($Q115,武学奇术!$A:$ZZ,30,FALSE)="弹道",$B$21,0))*(1+$BQ115)</f>
        <v>0</v>
      </c>
      <c r="N115" s="41">
        <f>((($AN115+$AO115)/2*$AH115+$AI115)*(1+$AP115)*(1+$AQ115)+(($AS115+$AT115)/2*IF($G$1="鸣金",$AJ115,$AH115)+IF($G$1="鸣金",$AK115*1.5,0))*(1+$AU115)*(1+$AV115)+(($AW115+$AX115)/2*IF($G$1="裂石",$AJ115,$AH115)+IF($G$1="裂石",$AK115*1.5,0))*(1+$AY115)*(1+$AZ115)+(($BA115+$BB115)/2*IF($G$1="牵丝",$AJ115,$AH115)+IF($G$1="牵丝",$AK115*1.5,0))*(1+$BC115)*(1+$BD115)+(($BE115+$BF115)/2*IF($G$1="破竹",$AJ115,$AH115)+IF($G$1="破竹",$AK115*1.5,0))*(1+$BG115)*(1+$BH115))*(1+$AL115)*$P115*(1+IF(VLOOKUP($Q115,武学奇术!$A:$ZZ,30,FALSE)="弹道",$B$21,0))*(1+$BQ115)</f>
        <v>0</v>
      </c>
      <c r="O115" s="41">
        <f>((($AN115*$AH115+$AI115)*(1+$AP115)*(1+$AQ115)+($AS115*IF($G$1="鸣金",$AJ115,$AH115)+IF($G$1="鸣金",$AK115*1.5,0))*(1+$AU115)*(1+$AV115)+($AW115*IF($G$1="裂石",$AJ115,$AH115)+IF($G$1="裂石",$AK115*1.5,0))*(1+$AY115)*(1+$AZ115)+($BA115*IF($G$1="牵丝",$AJ115,$AH115)+IF($G$1="牵丝",$AK115*1.5,0))*(1+$BC115)*(1+$BD115)+($BE115*IF($G$1="破竹",$AJ115,$AH115)+IF($G$1="破竹",$AK115*1.5,0))*(1+$BG115)*(1+$BH115))*(1+$AL115))*$P115*(1+IF(VLOOKUP($Q115,武学奇术!$A:$ZZ,30,FALSE)="弹道",$B$21,0))*(1+$BQ115)</f>
        <v>0</v>
      </c>
      <c r="P115" s="42">
        <f t="shared" si="22"/>
        <v>1</v>
      </c>
      <c r="Q115" s="43" t="s">
        <v>73</v>
      </c>
      <c r="R115" s="43" t="s">
        <v>73</v>
      </c>
      <c r="S115" s="43" t="s">
        <v>73</v>
      </c>
      <c r="T115" s="43" t="s">
        <v>73</v>
      </c>
      <c r="U115" s="43" t="s">
        <v>73</v>
      </c>
      <c r="V115" s="43" t="s">
        <v>73</v>
      </c>
      <c r="W115" s="43" t="s">
        <v>73</v>
      </c>
      <c r="X115" s="43" t="s">
        <v>73</v>
      </c>
      <c r="Y115" s="43" t="s">
        <v>73</v>
      </c>
      <c r="Z115" s="43" t="s">
        <v>73</v>
      </c>
      <c r="AA115" s="43" t="s">
        <v>73</v>
      </c>
      <c r="AB115" s="43" t="s">
        <v>73</v>
      </c>
      <c r="AC115" s="43" t="s">
        <v>73</v>
      </c>
      <c r="AD115" s="43" t="s">
        <v>73</v>
      </c>
      <c r="AE115" s="43" t="s">
        <v>73</v>
      </c>
      <c r="AF115" s="43" t="s">
        <v>75</v>
      </c>
      <c r="AG115" t="str">
        <f>VLOOKUP($Q115,武学奇术!$A:$ZZ,25,FALSE)</f>
        <v>心法</v>
      </c>
      <c r="AH115" s="27">
        <f>VLOOKUP($Q115,武学奇术!$A:$ZZ,26,FALSE)</f>
        <v>0</v>
      </c>
      <c r="AI115" s="28">
        <f>VLOOKUP($Q115,武学奇术!$A:$ZZ,27,FALSE)*(1+IF(OR($AG115=$F$4,$AG115=$F$5),$B$22,0))</f>
        <v>0</v>
      </c>
      <c r="AJ115" s="27">
        <f>VLOOKUP($Q115,武学奇术!$A:$ZZ,28,FALSE)</f>
        <v>0</v>
      </c>
      <c r="AK115" s="28">
        <f>VLOOKUP($Q115,武学奇术!$A:$ZZ,29,FALSE)*(1+IF(OR($AG115=$F$4,$AG115=$F$5),$B$22,0))</f>
        <v>0</v>
      </c>
      <c r="AL115" s="27" cm="1">
        <f t="array" ref="AL115">$G$3+IFERROR(VLOOKUP($AG115,$F$4:$G$7,2,FALSE),0)+VLOOKUP($Q115,武学奇术!$A:$ZZ,2,FALSE)+SUM(_xlfn.XLOOKUP($R115:$AF115,增益!$A:$A,增益!$B:$B,0))</f>
        <v>0.1037</v>
      </c>
      <c r="AM115" s="27" cm="1">
        <f t="array" ref="AM115">VLOOKUP($Q115,武学奇术!$A:$ZZ,5,FALSE)+SUM(_xlfn.XLOOKUP($R115:$AF115,增益!$A:$A,增益!$E:$E,0))</f>
        <v>0</v>
      </c>
      <c r="AN115" cm="1">
        <f t="array" ref="AN115">$D$10*(1+$AM115)+VLOOKUP($Q115,武学奇术!$A:$ZZ,3,FALSE)+SUM(_xlfn.XLOOKUP($R115:$AF115,增益!$A:$A,增益!$C:$C,0))-$I$2</f>
        <v>1713.7</v>
      </c>
      <c r="AO115" cm="1">
        <f t="array" ref="AO115">$E$10*(1+$AM115)+VLOOKUP($Q115,武学奇术!$A:$ZZ,4,FALSE)+SUM(_xlfn.XLOOKUP($R115:$AF115,增益!$A:$A,增益!$D:$D,0))-$I$2</f>
        <v>5189.5</v>
      </c>
      <c r="AP115" s="35" cm="1">
        <f t="array" ref="AP115">IF($F$10-$I$3+VLOOKUP($Q115,武学奇术!$A:$ZZ,6,FALSE)+SUM(_xlfn.XLOOKUP(R115:AF115,增益!$A:$A,增益!$F:$F,0))&gt;0,($F$10-$I$3+VLOOKUP($Q115,武学奇术!$A:$ZZ,6,FALSE)+SUM(_xlfn.XLOOKUP(R115:AF115,增益!$A:$A,增益!$F:$F,0)))/200,($F$10-$I$3+VLOOKUP($Q115,武学奇术!$A:$ZZ,6,FALSE)+SUM(_xlfn.XLOOKUP(R115:AF115,增益!$A:$A,增益!$F:$F,0)))/100)</f>
        <v>0.1925</v>
      </c>
      <c r="AQ115" s="35" cm="1">
        <f t="array" ref="AQ115">$G$10+VLOOKUP($Q115,武学奇术!$A:$ZZ,7,FALSE)+SUM(_xlfn.XLOOKUP(R115:AF115,增益!$A:$A,增益!$G:$G,0))</f>
        <v>0</v>
      </c>
      <c r="AR115" s="27" cm="1">
        <f t="array" ref="AR115">VLOOKUP($Q115,武学奇术!$A:$ZZ,8,FALSE)+SUM(_xlfn.XLOOKUP(R115:AF115,增益!$A:$A,增益!$H:$H,0))</f>
        <v>0</v>
      </c>
      <c r="AS115">
        <f t="shared" si="12"/>
        <v>0</v>
      </c>
      <c r="AT115">
        <f t="shared" si="13"/>
        <v>0</v>
      </c>
      <c r="AU115" s="35" cm="1">
        <f t="array" ref="AU115">IF($F$11-$I$4+VLOOKUP($Q115,武学奇术!$A:$ZZ,9,FALSE)+SUM(_xlfn.XLOOKUP(R115:AF115,增益!$A:$A,增益!$I:$I,0))&gt;0,($F$11-$I$4+VLOOKUP($Q115,武学奇术!$A:$ZZ,9,FALSE)+SUM(_xlfn.XLOOKUP(R115:AF115,增益!$A:$A,增益!$I:$I,0)))/200,($F$11-$I$4+VLOOKUP($Q115,武学奇术!$A:$ZZ,9,FALSE)+SUM(_xlfn.XLOOKUP(R115:AF115,增益!$A:$A,增益!$I:$I,0)))/100)</f>
        <v>-0.3</v>
      </c>
      <c r="AV115" s="35" cm="1">
        <f t="array" ref="AV115">$G$11+VLOOKUP($Q115,武学奇术!$A:$ZZ,10,FALSE)+SUM(_xlfn.XLOOKUP(R115:AF115,增益!$A:$A,增益!$J:$J,0))</f>
        <v>0</v>
      </c>
      <c r="AW115">
        <f t="shared" si="14"/>
        <v>0</v>
      </c>
      <c r="AX115">
        <f t="shared" si="15"/>
        <v>0</v>
      </c>
      <c r="AY115" s="35" cm="1">
        <f t="array" ref="AY115">IF($F$12-$I$4+VLOOKUP($Q115,武学奇术!$A:$ZZ,11,FALSE)+SUM(_xlfn.XLOOKUP(R115:AF115,增益!$A:$A,增益!$K:$K,0))&gt;0,($F$12-$I$4+VLOOKUP($Q115,武学奇术!$A:$ZZ,11,FALSE)+SUM(_xlfn.XLOOKUP(R115:AF115,增益!$A:$A,增益!$K:$K,0)))/200,($F$12-$I$4+VLOOKUP($Q115,武学奇术!$A:$ZZ,11,FALSE)+SUM(_xlfn.XLOOKUP(R115:AF115,增益!$A:$A,增益!$K:$K,0)))/100)</f>
        <v>-0.3</v>
      </c>
      <c r="AZ115" s="35" cm="1">
        <f t="array" ref="AZ115">$G$12+VLOOKUP($Q115,武学奇术!$A:$ZZ,12,FALSE)+SUM(_xlfn.XLOOKUP(R115:AF115,增益!$A:$A,增益!$L:$L,0))</f>
        <v>0</v>
      </c>
      <c r="BA115">
        <f t="shared" si="16"/>
        <v>538</v>
      </c>
      <c r="BB115">
        <f t="shared" si="17"/>
        <v>1011</v>
      </c>
      <c r="BC115" s="35" cm="1">
        <f t="array" ref="BC115">IF($F$13-$I$4+VLOOKUP($Q115,武学奇术!$A:$ZZ,13,FALSE)+SUM(_xlfn.XLOOKUP(R115:AF115,增益!$A:$A,增益!$M:$M,0))&gt;0,($F$13-$I$4+VLOOKUP($Q115,武学奇术!$A:$ZZ,13,FALSE)+SUM(_xlfn.XLOOKUP(R115:AF115,增益!$A:$A,增益!$K:$K,0)))/200,($F$13-$I$4+VLOOKUP($Q115,武学奇术!$A:$ZZ,13,FALSE)+SUM(_xlfn.XLOOKUP(R115:AF115,增益!$A:$A,增益!$M:$M,0)))/100)</f>
        <v>0</v>
      </c>
      <c r="BD115" s="35" cm="1">
        <f t="array" ref="BD115">$G$13+VLOOKUP($Q115,武学奇术!$A:$ZZ,14,FALSE)+SUM(_xlfn.XLOOKUP(R115:AF115,增益!$A:$A,增益!$N:$N,0))</f>
        <v>0.15</v>
      </c>
      <c r="BE115">
        <f t="shared" si="18"/>
        <v>0</v>
      </c>
      <c r="BF115">
        <f t="shared" si="19"/>
        <v>0</v>
      </c>
      <c r="BG115" s="35" cm="1">
        <f t="array" ref="BG115">IF($F$14-$I$4+VLOOKUP($Q115,武学奇术!$A:$ZZ,15,FALSE)+SUM(_xlfn.XLOOKUP(R115:AF115,增益!$A:$A,增益!$O:$O,0))&gt;0,($F$14-$I$4+VLOOKUP($Q115,武学奇术!$A:$ZZ,15,FALSE)+SUM(_xlfn.XLOOKUP(R115:AF115,增益!$A:$A,增益!$O:$O,0)))/200,($F$14-$I$4+VLOOKUP($Q115,武学奇术!$A:$ZZ,15,FALSE)+SUM(_xlfn.XLOOKUP(R115:AF115,增益!$A:$A,增益!$O:$O,0)))/100)</f>
        <v>-0.3</v>
      </c>
      <c r="BH115" s="35" cm="1">
        <f t="array" ref="BH115">$G$14+VLOOKUP($Q115,武学奇术!$A:$ZZ,16,FALSE)+SUM(_xlfn.XLOOKUP(R115:AF115,增益!$A:$A,增益!$P:$P,0))</f>
        <v>0</v>
      </c>
      <c r="BI115" s="27">
        <f>MIN(IF(VLOOKUP($Q115,武学奇术!$A:$ZZ,23,FALSE)=1,100%,$B$8),100%)</f>
        <v>0.9969</v>
      </c>
      <c r="BJ115" s="27" cm="1">
        <f t="array" ref="BJ115">IF(VLOOKUP($Q115,武学奇术!$A:$ZZ,23,FALSE)=1,100%,MIN(80%,$B$9+VLOOKUP($Q115,武学奇术!$A:$ZZ,17,FALSE)+SUM(_xlfn.XLOOKUP(R115:AF115,增益!$A:$A,增益!$Q:$Q,0)))+$B$11+SUM(_xlfn.XLOOKUP(R115:AF115,增益!$A:$A,增益!$U:$U,0)))*IF(VLOOKUP($Q115,武学奇术!$A:$ZZ,24,FALSE)=1,0,1)</f>
        <v>0.9137</v>
      </c>
      <c r="BK115" s="27" cm="1">
        <f t="array" ref="BK115">1+$B$13+VLOOKUP($Q115,武学奇术!$A:$ZZ,18,FALSE)+SUM(_xlfn.XLOOKUP(R115:AF115,增益!$A:$A,增益!$R:$R,0))</f>
        <v>1.5</v>
      </c>
      <c r="BL115" s="27" cm="1">
        <f t="array" ref="BL115">IF(VLOOKUP($Q115,武学奇术!$A:$ZZ,24,FALSE)=1,100%,MIN(40%,$B$10+VLOOKUP($Q115,武学奇术!$A:$ZZ,19,FALSE)+SUM(_xlfn.XLOOKUP(R115:AF115,增益!$A:$A,增益!$S:$S,0)))+$B$12+SUM(_xlfn.XLOOKUP(R115:AF115,增益!$A:$A,增益!$V:$V,0)))*IF(VLOOKUP($Q115,武学奇术!$A:$ZZ,23,FALSE)=1,0,1)</f>
        <v>0.0895</v>
      </c>
      <c r="BM115" s="27" cm="1">
        <f t="array" ref="BM115">1+$B$14+VLOOKUP($Q115,武学奇术!$A:$ZZ,20,FALSE)+SUM(_xlfn.XLOOKUP(R115:AF115,增益!$A:$A,增益!$T:$T,0))</f>
        <v>1.35</v>
      </c>
      <c r="BN115" s="27">
        <f t="shared" si="20"/>
        <v>0.90767745</v>
      </c>
      <c r="BO115" s="27">
        <f t="shared" si="21"/>
        <v>-1.30104260698261e-17</v>
      </c>
      <c r="BP115" s="27">
        <f>IF(VLOOKUP($Q115,武学奇术!$A:$ZZ,22,FALSE)=1,0,(1-$BI115))*(1-$BL115)</f>
        <v>0.00282254999999999</v>
      </c>
      <c r="BQ115" s="27" cm="1">
        <f t="array" ref="BQ115">SUM(_xlfn.XLOOKUP(R115:AF115,增益!$A:$A,增益!$W:$W,0))+$I$5</f>
        <v>0.11</v>
      </c>
    </row>
    <row r="116" spans="11:69">
      <c r="K116" s="41">
        <f t="shared" si="11"/>
        <v>0</v>
      </c>
      <c r="L116" s="41">
        <f>((($AN116+$AO116)/2*$AH116+$AI116)*(1+$AP116)*(1+$AQ116)+(($AS116+$AT116)/2*IF($G$1="鸣金",$AJ116,$AH116)+IF($G$1="鸣金",$AK116*1.5,0))*(1+$AU116)*(1+$AV116)+(($AW116+$AX116)/2*IF($G$1="裂石",$AJ116,$AH116)+IF($G$1="裂石",$AK116*1.5,0))*(1+$AY116)*(1+$AZ116)+(($BA116+$BB116)/2*IF($G$1="牵丝",$AJ116,$AH116)+IF($G$1="牵丝",$AK116*1.5,0))*(1+$BC116)*(1+$BD116)+(($BE116+$BF116)/2*IF($G$1="破竹",$AJ116,$AH116)+IF($G$1="破竹",$AK116*1.5,0))*(1+$BG116)*(1+$BH116))*(1+$AL116)*$BK116*$P116*(1+IF(VLOOKUP($Q116,武学奇术!$A:$ZZ,30,FALSE)="弹道",$B$21,0))*(1+$BQ116)</f>
        <v>0</v>
      </c>
      <c r="M116" s="41">
        <f>(($AO116*$AH116+$AI116)*(1+$AP116)*(1+$AQ116)+($AT116*IF($G$1="鸣金",$AJ116,$AH116)+IF($G$1="鸣金",$AK116*1.5,0))*(1+$AU116)*(1+$AV116)+($AX116*IF($G$1="裂石",$AJ116,$AH116)+IF($G$1="裂石",$AK116*1.5,0))*(1+$AY116)*(1+$AZ116)+($BB116*IF($G$1="牵丝",$AJ116,$AH116)+IF($G$1="牵丝",$AK116*1.5,0))*(1+$BC116)*(1+$BD116)+($BF116*IF($G$1="破竹",$AJ116,$AH116)+IF($G$1="破竹",$AK116*1.5,0))*(1+$BG116)*(1+$BH116))*(1+$AL116)*$BM116*$P116*(1+IF(VLOOKUP($Q116,武学奇术!$A:$ZZ,30,FALSE)="弹道",$B$21,0))*(1+$BQ116)</f>
        <v>0</v>
      </c>
      <c r="N116" s="41">
        <f>((($AN116+$AO116)/2*$AH116+$AI116)*(1+$AP116)*(1+$AQ116)+(($AS116+$AT116)/2*IF($G$1="鸣金",$AJ116,$AH116)+IF($G$1="鸣金",$AK116*1.5,0))*(1+$AU116)*(1+$AV116)+(($AW116+$AX116)/2*IF($G$1="裂石",$AJ116,$AH116)+IF($G$1="裂石",$AK116*1.5,0))*(1+$AY116)*(1+$AZ116)+(($BA116+$BB116)/2*IF($G$1="牵丝",$AJ116,$AH116)+IF($G$1="牵丝",$AK116*1.5,0))*(1+$BC116)*(1+$BD116)+(($BE116+$BF116)/2*IF($G$1="破竹",$AJ116,$AH116)+IF($G$1="破竹",$AK116*1.5,0))*(1+$BG116)*(1+$BH116))*(1+$AL116)*$P116*(1+IF(VLOOKUP($Q116,武学奇术!$A:$ZZ,30,FALSE)="弹道",$B$21,0))*(1+$BQ116)</f>
        <v>0</v>
      </c>
      <c r="O116" s="41">
        <f>((($AN116*$AH116+$AI116)*(1+$AP116)*(1+$AQ116)+($AS116*IF($G$1="鸣金",$AJ116,$AH116)+IF($G$1="鸣金",$AK116*1.5,0))*(1+$AU116)*(1+$AV116)+($AW116*IF($G$1="裂石",$AJ116,$AH116)+IF($G$1="裂石",$AK116*1.5,0))*(1+$AY116)*(1+$AZ116)+($BA116*IF($G$1="牵丝",$AJ116,$AH116)+IF($G$1="牵丝",$AK116*1.5,0))*(1+$BC116)*(1+$BD116)+($BE116*IF($G$1="破竹",$AJ116,$AH116)+IF($G$1="破竹",$AK116*1.5,0))*(1+$BG116)*(1+$BH116))*(1+$AL116))*$P116*(1+IF(VLOOKUP($Q116,武学奇术!$A:$ZZ,30,FALSE)="弹道",$B$21,0))*(1+$BQ116)</f>
        <v>0</v>
      </c>
      <c r="P116" s="42">
        <v>1</v>
      </c>
      <c r="Q116" s="43" t="s">
        <v>73</v>
      </c>
      <c r="R116" s="43" t="s">
        <v>73</v>
      </c>
      <c r="S116" s="43" t="s">
        <v>73</v>
      </c>
      <c r="T116" s="43" t="s">
        <v>73</v>
      </c>
      <c r="U116" s="43" t="s">
        <v>73</v>
      </c>
      <c r="V116" s="43" t="s">
        <v>73</v>
      </c>
      <c r="W116" s="43" t="s">
        <v>73</v>
      </c>
      <c r="X116" s="43" t="s">
        <v>73</v>
      </c>
      <c r="Y116" s="43" t="s">
        <v>73</v>
      </c>
      <c r="Z116" s="43" t="s">
        <v>73</v>
      </c>
      <c r="AA116" s="43" t="s">
        <v>73</v>
      </c>
      <c r="AB116" s="43" t="s">
        <v>73</v>
      </c>
      <c r="AC116" s="43" t="s">
        <v>73</v>
      </c>
      <c r="AD116" s="43" t="s">
        <v>73</v>
      </c>
      <c r="AE116" s="43" t="s">
        <v>73</v>
      </c>
      <c r="AF116" s="43" t="s">
        <v>75</v>
      </c>
      <c r="AG116" t="str">
        <f>VLOOKUP($Q116,武学奇术!$A:$ZZ,25,FALSE)</f>
        <v>心法</v>
      </c>
      <c r="AH116" s="27">
        <f>VLOOKUP($Q116,武学奇术!$A:$ZZ,26,FALSE)</f>
        <v>0</v>
      </c>
      <c r="AI116" s="28">
        <f>VLOOKUP($Q116,武学奇术!$A:$ZZ,27,FALSE)*(1+IF(OR($AG116=$F$4,$AG116=$F$5),$B$22,0))</f>
        <v>0</v>
      </c>
      <c r="AJ116" s="27">
        <f>VLOOKUP($Q116,武学奇术!$A:$ZZ,28,FALSE)</f>
        <v>0</v>
      </c>
      <c r="AK116" s="28">
        <f>VLOOKUP($Q116,武学奇术!$A:$ZZ,29,FALSE)*(1+IF(OR($AG116=$F$4,$AG116=$F$5),$B$22,0))</f>
        <v>0</v>
      </c>
      <c r="AL116" s="27" cm="1">
        <f t="array" ref="AL116">$G$3+IFERROR(VLOOKUP($AG116,$F$4:$G$7,2,FALSE),0)+VLOOKUP($Q116,武学奇术!$A:$ZZ,2,FALSE)+SUM(_xlfn.XLOOKUP($R116:$AF116,增益!$A:$A,增益!$B:$B,0))</f>
        <v>0.1037</v>
      </c>
      <c r="AM116" s="27" cm="1">
        <f t="array" ref="AM116">VLOOKUP($Q116,武学奇术!$A:$ZZ,5,FALSE)+SUM(_xlfn.XLOOKUP($R116:$AF116,增益!$A:$A,增益!$E:$E,0))</f>
        <v>0</v>
      </c>
      <c r="AN116" cm="1">
        <f t="array" ref="AN116">$D$10*(1+$AM116)+VLOOKUP($Q116,武学奇术!$A:$ZZ,3,FALSE)+SUM(_xlfn.XLOOKUP($R116:$AF116,增益!$A:$A,增益!$C:$C,0))-$I$2</f>
        <v>1713.7</v>
      </c>
      <c r="AO116" cm="1">
        <f t="array" ref="AO116">$E$10*(1+$AM116)+VLOOKUP($Q116,武学奇术!$A:$ZZ,4,FALSE)+SUM(_xlfn.XLOOKUP($R116:$AF116,增益!$A:$A,增益!$D:$D,0))-$I$2</f>
        <v>5189.5</v>
      </c>
      <c r="AP116" s="35" cm="1">
        <f t="array" ref="AP116">IF($F$10-$I$3+VLOOKUP($Q116,武学奇术!$A:$ZZ,6,FALSE)+SUM(_xlfn.XLOOKUP(R116:AF116,增益!$A:$A,增益!$F:$F,0))&gt;0,($F$10-$I$3+VLOOKUP($Q116,武学奇术!$A:$ZZ,6,FALSE)+SUM(_xlfn.XLOOKUP(R116:AF116,增益!$A:$A,增益!$F:$F,0)))/200,($F$10-$I$3+VLOOKUP($Q116,武学奇术!$A:$ZZ,6,FALSE)+SUM(_xlfn.XLOOKUP(R116:AF116,增益!$A:$A,增益!$F:$F,0)))/100)</f>
        <v>0.1925</v>
      </c>
      <c r="AQ116" s="35" cm="1">
        <f t="array" ref="AQ116">$G$10+VLOOKUP($Q116,武学奇术!$A:$ZZ,7,FALSE)+SUM(_xlfn.XLOOKUP(R116:AF116,增益!$A:$A,增益!$G:$G,0))</f>
        <v>0</v>
      </c>
      <c r="AR116" s="27" cm="1">
        <f t="array" ref="AR116">VLOOKUP($Q116,武学奇术!$A:$ZZ,8,FALSE)+SUM(_xlfn.XLOOKUP(R116:AF116,增益!$A:$A,增益!$H:$H,0))</f>
        <v>0</v>
      </c>
      <c r="AS116">
        <f t="shared" si="12"/>
        <v>0</v>
      </c>
      <c r="AT116">
        <f t="shared" si="13"/>
        <v>0</v>
      </c>
      <c r="AU116" s="35" cm="1">
        <f t="array" ref="AU116">IF($F$11-$I$4+VLOOKUP($Q116,武学奇术!$A:$ZZ,9,FALSE)+SUM(_xlfn.XLOOKUP(R116:AF116,增益!$A:$A,增益!$I:$I,0))&gt;0,($F$11-$I$4+VLOOKUP($Q116,武学奇术!$A:$ZZ,9,FALSE)+SUM(_xlfn.XLOOKUP(R116:AF116,增益!$A:$A,增益!$I:$I,0)))/200,($F$11-$I$4+VLOOKUP($Q116,武学奇术!$A:$ZZ,9,FALSE)+SUM(_xlfn.XLOOKUP(R116:AF116,增益!$A:$A,增益!$I:$I,0)))/100)</f>
        <v>-0.3</v>
      </c>
      <c r="AV116" s="35" cm="1">
        <f t="array" ref="AV116">$G$11+VLOOKUP($Q116,武学奇术!$A:$ZZ,10,FALSE)+SUM(_xlfn.XLOOKUP(R116:AF116,增益!$A:$A,增益!$J:$J,0))</f>
        <v>0</v>
      </c>
      <c r="AW116">
        <f t="shared" si="14"/>
        <v>0</v>
      </c>
      <c r="AX116">
        <f t="shared" si="15"/>
        <v>0</v>
      </c>
      <c r="AY116" s="35" cm="1">
        <f t="array" ref="AY116">IF($F$12-$I$4+VLOOKUP($Q116,武学奇术!$A:$ZZ,11,FALSE)+SUM(_xlfn.XLOOKUP(R116:AF116,增益!$A:$A,增益!$K:$K,0))&gt;0,($F$12-$I$4+VLOOKUP($Q116,武学奇术!$A:$ZZ,11,FALSE)+SUM(_xlfn.XLOOKUP(R116:AF116,增益!$A:$A,增益!$K:$K,0)))/200,($F$12-$I$4+VLOOKUP($Q116,武学奇术!$A:$ZZ,11,FALSE)+SUM(_xlfn.XLOOKUP(R116:AF116,增益!$A:$A,增益!$K:$K,0)))/100)</f>
        <v>-0.3</v>
      </c>
      <c r="AZ116" s="35" cm="1">
        <f t="array" ref="AZ116">$G$12+VLOOKUP($Q116,武学奇术!$A:$ZZ,12,FALSE)+SUM(_xlfn.XLOOKUP(R116:AF116,增益!$A:$A,增益!$L:$L,0))</f>
        <v>0</v>
      </c>
      <c r="BA116">
        <f t="shared" si="16"/>
        <v>538</v>
      </c>
      <c r="BB116">
        <f t="shared" si="17"/>
        <v>1011</v>
      </c>
      <c r="BC116" s="35" cm="1">
        <f t="array" ref="BC116">IF($F$13-$I$4+VLOOKUP($Q116,武学奇术!$A:$ZZ,13,FALSE)+SUM(_xlfn.XLOOKUP(R116:AF116,增益!$A:$A,增益!$M:$M,0))&gt;0,($F$13-$I$4+VLOOKUP($Q116,武学奇术!$A:$ZZ,13,FALSE)+SUM(_xlfn.XLOOKUP(R116:AF116,增益!$A:$A,增益!$K:$K,0)))/200,($F$13-$I$4+VLOOKUP($Q116,武学奇术!$A:$ZZ,13,FALSE)+SUM(_xlfn.XLOOKUP(R116:AF116,增益!$A:$A,增益!$M:$M,0)))/100)</f>
        <v>0</v>
      </c>
      <c r="BD116" s="35" cm="1">
        <f t="array" ref="BD116">$G$13+VLOOKUP($Q116,武学奇术!$A:$ZZ,14,FALSE)+SUM(_xlfn.XLOOKUP(R116:AF116,增益!$A:$A,增益!$N:$N,0))</f>
        <v>0.15</v>
      </c>
      <c r="BE116">
        <f t="shared" si="18"/>
        <v>0</v>
      </c>
      <c r="BF116">
        <f t="shared" si="19"/>
        <v>0</v>
      </c>
      <c r="BG116" s="35" cm="1">
        <f t="array" ref="BG116">IF($F$14-$I$4+VLOOKUP($Q116,武学奇术!$A:$ZZ,15,FALSE)+SUM(_xlfn.XLOOKUP(R116:AF116,增益!$A:$A,增益!$O:$O,0))&gt;0,($F$14-$I$4+VLOOKUP($Q116,武学奇术!$A:$ZZ,15,FALSE)+SUM(_xlfn.XLOOKUP(R116:AF116,增益!$A:$A,增益!$O:$O,0)))/200,($F$14-$I$4+VLOOKUP($Q116,武学奇术!$A:$ZZ,15,FALSE)+SUM(_xlfn.XLOOKUP(R116:AF116,增益!$A:$A,增益!$O:$O,0)))/100)</f>
        <v>-0.3</v>
      </c>
      <c r="BH116" s="35" cm="1">
        <f t="array" ref="BH116">$G$14+VLOOKUP($Q116,武学奇术!$A:$ZZ,16,FALSE)+SUM(_xlfn.XLOOKUP(R116:AF116,增益!$A:$A,增益!$P:$P,0))</f>
        <v>0</v>
      </c>
      <c r="BI116" s="27">
        <f>MIN(IF(VLOOKUP($Q116,武学奇术!$A:$ZZ,23,FALSE)=1,100%,$B$8),100%)</f>
        <v>0.9969</v>
      </c>
      <c r="BJ116" s="27" cm="1">
        <f t="array" ref="BJ116">IF(VLOOKUP($Q116,武学奇术!$A:$ZZ,23,FALSE)=1,100%,MIN(80%,$B$9+VLOOKUP($Q116,武学奇术!$A:$ZZ,17,FALSE)+SUM(_xlfn.XLOOKUP(R116:AF116,增益!$A:$A,增益!$Q:$Q,0)))+$B$11+SUM(_xlfn.XLOOKUP(R116:AF116,增益!$A:$A,增益!$U:$U,0)))*IF(VLOOKUP($Q116,武学奇术!$A:$ZZ,24,FALSE)=1,0,1)</f>
        <v>0.9137</v>
      </c>
      <c r="BK116" s="27" cm="1">
        <f t="array" ref="BK116">1+$B$13+VLOOKUP($Q116,武学奇术!$A:$ZZ,18,FALSE)+SUM(_xlfn.XLOOKUP(R116:AF116,增益!$A:$A,增益!$R:$R,0))</f>
        <v>1.5</v>
      </c>
      <c r="BL116" s="27" cm="1">
        <f t="array" ref="BL116">IF(VLOOKUP($Q116,武学奇术!$A:$ZZ,24,FALSE)=1,100%,MIN(40%,$B$10+VLOOKUP($Q116,武学奇术!$A:$ZZ,19,FALSE)+SUM(_xlfn.XLOOKUP(R116:AF116,增益!$A:$A,增益!$S:$S,0)))+$B$12+SUM(_xlfn.XLOOKUP(R116:AF116,增益!$A:$A,增益!$V:$V,0)))*IF(VLOOKUP($Q116,武学奇术!$A:$ZZ,23,FALSE)=1,0,1)</f>
        <v>0.0895</v>
      </c>
      <c r="BM116" s="27" cm="1">
        <f t="array" ref="BM116">1+$B$14+VLOOKUP($Q116,武学奇术!$A:$ZZ,20,FALSE)+SUM(_xlfn.XLOOKUP(R116:AF116,增益!$A:$A,增益!$T:$T,0))</f>
        <v>1.35</v>
      </c>
      <c r="BN116" s="27">
        <f t="shared" si="20"/>
        <v>0.90767745</v>
      </c>
      <c r="BO116" s="27">
        <f t="shared" si="21"/>
        <v>-1.30104260698261e-17</v>
      </c>
      <c r="BP116" s="27">
        <f>IF(VLOOKUP($Q116,武学奇术!$A:$ZZ,22,FALSE)=1,0,(1-$BI116))*(1-$BL116)</f>
        <v>0.00282254999999999</v>
      </c>
      <c r="BQ116" s="27" cm="1">
        <f t="array" ref="BQ116">SUM(_xlfn.XLOOKUP(R116:AF116,增益!$A:$A,增益!$W:$W,0))+$I$5</f>
        <v>0.11</v>
      </c>
    </row>
    <row r="117" spans="11:69">
      <c r="K117" s="41">
        <f t="shared" si="11"/>
        <v>0</v>
      </c>
      <c r="L117" s="41">
        <f>((($AN117+$AO117)/2*$AH117+$AI117)*(1+$AP117)*(1+$AQ117)+(($AS117+$AT117)/2*IF($G$1="鸣金",$AJ117,$AH117)+IF($G$1="鸣金",$AK117*1.5,0))*(1+$AU117)*(1+$AV117)+(($AW117+$AX117)/2*IF($G$1="裂石",$AJ117,$AH117)+IF($G$1="裂石",$AK117*1.5,0))*(1+$AY117)*(1+$AZ117)+(($BA117+$BB117)/2*IF($G$1="牵丝",$AJ117,$AH117)+IF($G$1="牵丝",$AK117*1.5,0))*(1+$BC117)*(1+$BD117)+(($BE117+$BF117)/2*IF($G$1="破竹",$AJ117,$AH117)+IF($G$1="破竹",$AK117*1.5,0))*(1+$BG117)*(1+$BH117))*(1+$AL117)*$BK117*$P117*(1+IF(VLOOKUP($Q117,武学奇术!$A:$ZZ,30,FALSE)="弹道",$B$21,0))*(1+$BQ117)</f>
        <v>0</v>
      </c>
      <c r="M117" s="41">
        <f>(($AO117*$AH117+$AI117)*(1+$AP117)*(1+$AQ117)+($AT117*IF($G$1="鸣金",$AJ117,$AH117)+IF($G$1="鸣金",$AK117*1.5,0))*(1+$AU117)*(1+$AV117)+($AX117*IF($G$1="裂石",$AJ117,$AH117)+IF($G$1="裂石",$AK117*1.5,0))*(1+$AY117)*(1+$AZ117)+($BB117*IF($G$1="牵丝",$AJ117,$AH117)+IF($G$1="牵丝",$AK117*1.5,0))*(1+$BC117)*(1+$BD117)+($BF117*IF($G$1="破竹",$AJ117,$AH117)+IF($G$1="破竹",$AK117*1.5,0))*(1+$BG117)*(1+$BH117))*(1+$AL117)*$BM117*$P117*(1+IF(VLOOKUP($Q117,武学奇术!$A:$ZZ,30,FALSE)="弹道",$B$21,0))*(1+$BQ117)</f>
        <v>0</v>
      </c>
      <c r="N117" s="41">
        <f>((($AN117+$AO117)/2*$AH117+$AI117)*(1+$AP117)*(1+$AQ117)+(($AS117+$AT117)/2*IF($G$1="鸣金",$AJ117,$AH117)+IF($G$1="鸣金",$AK117*1.5,0))*(1+$AU117)*(1+$AV117)+(($AW117+$AX117)/2*IF($G$1="裂石",$AJ117,$AH117)+IF($G$1="裂石",$AK117*1.5,0))*(1+$AY117)*(1+$AZ117)+(($BA117+$BB117)/2*IF($G$1="牵丝",$AJ117,$AH117)+IF($G$1="牵丝",$AK117*1.5,0))*(1+$BC117)*(1+$BD117)+(($BE117+$BF117)/2*IF($G$1="破竹",$AJ117,$AH117)+IF($G$1="破竹",$AK117*1.5,0))*(1+$BG117)*(1+$BH117))*(1+$AL117)*$P117*(1+IF(VLOOKUP($Q117,武学奇术!$A:$ZZ,30,FALSE)="弹道",$B$21,0))*(1+$BQ117)</f>
        <v>0</v>
      </c>
      <c r="O117" s="41">
        <f>((($AN117*$AH117+$AI117)*(1+$AP117)*(1+$AQ117)+($AS117*IF($G$1="鸣金",$AJ117,$AH117)+IF($G$1="鸣金",$AK117*1.5,0))*(1+$AU117)*(1+$AV117)+($AW117*IF($G$1="裂石",$AJ117,$AH117)+IF($G$1="裂石",$AK117*1.5,0))*(1+$AY117)*(1+$AZ117)+($BA117*IF($G$1="牵丝",$AJ117,$AH117)+IF($G$1="牵丝",$AK117*1.5,0))*(1+$BC117)*(1+$BD117)+($BE117*IF($G$1="破竹",$AJ117,$AH117)+IF($G$1="破竹",$AK117*1.5,0))*(1+$BG117)*(1+$BH117))*(1+$AL117))*$P117*(1+IF(VLOOKUP($Q117,武学奇术!$A:$ZZ,30,FALSE)="弹道",$B$21,0))*(1+$BQ117)</f>
        <v>0</v>
      </c>
      <c r="P117" s="42">
        <f t="shared" si="22"/>
        <v>1</v>
      </c>
      <c r="Q117" s="43" t="s">
        <v>73</v>
      </c>
      <c r="R117" s="43" t="s">
        <v>73</v>
      </c>
      <c r="S117" s="43" t="s">
        <v>73</v>
      </c>
      <c r="T117" s="43" t="s">
        <v>73</v>
      </c>
      <c r="U117" s="43" t="s">
        <v>73</v>
      </c>
      <c r="V117" s="43" t="s">
        <v>73</v>
      </c>
      <c r="W117" s="43" t="s">
        <v>73</v>
      </c>
      <c r="X117" s="43" t="s">
        <v>73</v>
      </c>
      <c r="Y117" s="43" t="s">
        <v>73</v>
      </c>
      <c r="Z117" s="43" t="s">
        <v>73</v>
      </c>
      <c r="AA117" s="43" t="s">
        <v>73</v>
      </c>
      <c r="AB117" s="43" t="s">
        <v>73</v>
      </c>
      <c r="AC117" s="43" t="s">
        <v>73</v>
      </c>
      <c r="AD117" s="43" t="s">
        <v>73</v>
      </c>
      <c r="AE117" s="43" t="s">
        <v>73</v>
      </c>
      <c r="AF117" s="43" t="s">
        <v>75</v>
      </c>
      <c r="AG117" t="str">
        <f>VLOOKUP($Q117,武学奇术!$A:$ZZ,25,FALSE)</f>
        <v>心法</v>
      </c>
      <c r="AH117" s="27">
        <f>VLOOKUP($Q117,武学奇术!$A:$ZZ,26,FALSE)</f>
        <v>0</v>
      </c>
      <c r="AI117" s="28">
        <f>VLOOKUP($Q117,武学奇术!$A:$ZZ,27,FALSE)*(1+IF(OR($AG117=$F$4,$AG117=$F$5),$B$22,0))</f>
        <v>0</v>
      </c>
      <c r="AJ117" s="27">
        <f>VLOOKUP($Q117,武学奇术!$A:$ZZ,28,FALSE)</f>
        <v>0</v>
      </c>
      <c r="AK117" s="28">
        <f>VLOOKUP($Q117,武学奇术!$A:$ZZ,29,FALSE)*(1+IF(OR($AG117=$F$4,$AG117=$F$5),$B$22,0))</f>
        <v>0</v>
      </c>
      <c r="AL117" s="27" cm="1">
        <f t="array" ref="AL117">$G$3+IFERROR(VLOOKUP($AG117,$F$4:$G$7,2,FALSE),0)+VLOOKUP($Q117,武学奇术!$A:$ZZ,2,FALSE)+SUM(_xlfn.XLOOKUP($R117:$AF117,增益!$A:$A,增益!$B:$B,0))</f>
        <v>0.1037</v>
      </c>
      <c r="AM117" s="27" cm="1">
        <f t="array" ref="AM117">VLOOKUP($Q117,武学奇术!$A:$ZZ,5,FALSE)+SUM(_xlfn.XLOOKUP($R117:$AF117,增益!$A:$A,增益!$E:$E,0))</f>
        <v>0</v>
      </c>
      <c r="AN117" cm="1">
        <f t="array" ref="AN117">$D$10*(1+$AM117)+VLOOKUP($Q117,武学奇术!$A:$ZZ,3,FALSE)+SUM(_xlfn.XLOOKUP($R117:$AF117,增益!$A:$A,增益!$C:$C,0))-$I$2</f>
        <v>1713.7</v>
      </c>
      <c r="AO117" cm="1">
        <f t="array" ref="AO117">$E$10*(1+$AM117)+VLOOKUP($Q117,武学奇术!$A:$ZZ,4,FALSE)+SUM(_xlfn.XLOOKUP($R117:$AF117,增益!$A:$A,增益!$D:$D,0))-$I$2</f>
        <v>5189.5</v>
      </c>
      <c r="AP117" s="35" cm="1">
        <f t="array" ref="AP117">IF($F$10-$I$3+VLOOKUP($Q117,武学奇术!$A:$ZZ,6,FALSE)+SUM(_xlfn.XLOOKUP(R117:AF117,增益!$A:$A,增益!$F:$F,0))&gt;0,($F$10-$I$3+VLOOKUP($Q117,武学奇术!$A:$ZZ,6,FALSE)+SUM(_xlfn.XLOOKUP(R117:AF117,增益!$A:$A,增益!$F:$F,0)))/200,($F$10-$I$3+VLOOKUP($Q117,武学奇术!$A:$ZZ,6,FALSE)+SUM(_xlfn.XLOOKUP(R117:AF117,增益!$A:$A,增益!$F:$F,0)))/100)</f>
        <v>0.1925</v>
      </c>
      <c r="AQ117" s="35" cm="1">
        <f t="array" ref="AQ117">$G$10+VLOOKUP($Q117,武学奇术!$A:$ZZ,7,FALSE)+SUM(_xlfn.XLOOKUP(R117:AF117,增益!$A:$A,增益!$G:$G,0))</f>
        <v>0</v>
      </c>
      <c r="AR117" s="27" cm="1">
        <f t="array" ref="AR117">VLOOKUP($Q117,武学奇术!$A:$ZZ,8,FALSE)+SUM(_xlfn.XLOOKUP(R117:AF117,增益!$A:$A,增益!$H:$H,0))</f>
        <v>0</v>
      </c>
      <c r="AS117">
        <f t="shared" si="12"/>
        <v>0</v>
      </c>
      <c r="AT117">
        <f t="shared" si="13"/>
        <v>0</v>
      </c>
      <c r="AU117" s="35" cm="1">
        <f t="array" ref="AU117">IF($F$11-$I$4+VLOOKUP($Q117,武学奇术!$A:$ZZ,9,FALSE)+SUM(_xlfn.XLOOKUP(R117:AF117,增益!$A:$A,增益!$I:$I,0))&gt;0,($F$11-$I$4+VLOOKUP($Q117,武学奇术!$A:$ZZ,9,FALSE)+SUM(_xlfn.XLOOKUP(R117:AF117,增益!$A:$A,增益!$I:$I,0)))/200,($F$11-$I$4+VLOOKUP($Q117,武学奇术!$A:$ZZ,9,FALSE)+SUM(_xlfn.XLOOKUP(R117:AF117,增益!$A:$A,增益!$I:$I,0)))/100)</f>
        <v>-0.3</v>
      </c>
      <c r="AV117" s="35" cm="1">
        <f t="array" ref="AV117">$G$11+VLOOKUP($Q117,武学奇术!$A:$ZZ,10,FALSE)+SUM(_xlfn.XLOOKUP(R117:AF117,增益!$A:$A,增益!$J:$J,0))</f>
        <v>0</v>
      </c>
      <c r="AW117">
        <f t="shared" si="14"/>
        <v>0</v>
      </c>
      <c r="AX117">
        <f t="shared" si="15"/>
        <v>0</v>
      </c>
      <c r="AY117" s="35" cm="1">
        <f t="array" ref="AY117">IF($F$12-$I$4+VLOOKUP($Q117,武学奇术!$A:$ZZ,11,FALSE)+SUM(_xlfn.XLOOKUP(R117:AF117,增益!$A:$A,增益!$K:$K,0))&gt;0,($F$12-$I$4+VLOOKUP($Q117,武学奇术!$A:$ZZ,11,FALSE)+SUM(_xlfn.XLOOKUP(R117:AF117,增益!$A:$A,增益!$K:$K,0)))/200,($F$12-$I$4+VLOOKUP($Q117,武学奇术!$A:$ZZ,11,FALSE)+SUM(_xlfn.XLOOKUP(R117:AF117,增益!$A:$A,增益!$K:$K,0)))/100)</f>
        <v>-0.3</v>
      </c>
      <c r="AZ117" s="35" cm="1">
        <f t="array" ref="AZ117">$G$12+VLOOKUP($Q117,武学奇术!$A:$ZZ,12,FALSE)+SUM(_xlfn.XLOOKUP(R117:AF117,增益!$A:$A,增益!$L:$L,0))</f>
        <v>0</v>
      </c>
      <c r="BA117">
        <f t="shared" si="16"/>
        <v>538</v>
      </c>
      <c r="BB117">
        <f t="shared" si="17"/>
        <v>1011</v>
      </c>
      <c r="BC117" s="35" cm="1">
        <f t="array" ref="BC117">IF($F$13-$I$4+VLOOKUP($Q117,武学奇术!$A:$ZZ,13,FALSE)+SUM(_xlfn.XLOOKUP(R117:AF117,增益!$A:$A,增益!$M:$M,0))&gt;0,($F$13-$I$4+VLOOKUP($Q117,武学奇术!$A:$ZZ,13,FALSE)+SUM(_xlfn.XLOOKUP(R117:AF117,增益!$A:$A,增益!$K:$K,0)))/200,($F$13-$I$4+VLOOKUP($Q117,武学奇术!$A:$ZZ,13,FALSE)+SUM(_xlfn.XLOOKUP(R117:AF117,增益!$A:$A,增益!$M:$M,0)))/100)</f>
        <v>0</v>
      </c>
      <c r="BD117" s="35" cm="1">
        <f t="array" ref="BD117">$G$13+VLOOKUP($Q117,武学奇术!$A:$ZZ,14,FALSE)+SUM(_xlfn.XLOOKUP(R117:AF117,增益!$A:$A,增益!$N:$N,0))</f>
        <v>0.15</v>
      </c>
      <c r="BE117">
        <f t="shared" si="18"/>
        <v>0</v>
      </c>
      <c r="BF117">
        <f t="shared" si="19"/>
        <v>0</v>
      </c>
      <c r="BG117" s="35" cm="1">
        <f t="array" ref="BG117">IF($F$14-$I$4+VLOOKUP($Q117,武学奇术!$A:$ZZ,15,FALSE)+SUM(_xlfn.XLOOKUP(R117:AF117,增益!$A:$A,增益!$O:$O,0))&gt;0,($F$14-$I$4+VLOOKUP($Q117,武学奇术!$A:$ZZ,15,FALSE)+SUM(_xlfn.XLOOKUP(R117:AF117,增益!$A:$A,增益!$O:$O,0)))/200,($F$14-$I$4+VLOOKUP($Q117,武学奇术!$A:$ZZ,15,FALSE)+SUM(_xlfn.XLOOKUP(R117:AF117,增益!$A:$A,增益!$O:$O,0)))/100)</f>
        <v>-0.3</v>
      </c>
      <c r="BH117" s="35" cm="1">
        <f t="array" ref="BH117">$G$14+VLOOKUP($Q117,武学奇术!$A:$ZZ,16,FALSE)+SUM(_xlfn.XLOOKUP(R117:AF117,增益!$A:$A,增益!$P:$P,0))</f>
        <v>0</v>
      </c>
      <c r="BI117" s="27">
        <f>MIN(IF(VLOOKUP($Q117,武学奇术!$A:$ZZ,23,FALSE)=1,100%,$B$8),100%)</f>
        <v>0.9969</v>
      </c>
      <c r="BJ117" s="27" cm="1">
        <f t="array" ref="BJ117">IF(VLOOKUP($Q117,武学奇术!$A:$ZZ,23,FALSE)=1,100%,MIN(80%,$B$9+VLOOKUP($Q117,武学奇术!$A:$ZZ,17,FALSE)+SUM(_xlfn.XLOOKUP(R117:AF117,增益!$A:$A,增益!$Q:$Q,0)))+$B$11+SUM(_xlfn.XLOOKUP(R117:AF117,增益!$A:$A,增益!$U:$U,0)))*IF(VLOOKUP($Q117,武学奇术!$A:$ZZ,24,FALSE)=1,0,1)</f>
        <v>0.9137</v>
      </c>
      <c r="BK117" s="27" cm="1">
        <f t="array" ref="BK117">1+$B$13+VLOOKUP($Q117,武学奇术!$A:$ZZ,18,FALSE)+SUM(_xlfn.XLOOKUP(R117:AF117,增益!$A:$A,增益!$R:$R,0))</f>
        <v>1.5</v>
      </c>
      <c r="BL117" s="27" cm="1">
        <f t="array" ref="BL117">IF(VLOOKUP($Q117,武学奇术!$A:$ZZ,24,FALSE)=1,100%,MIN(40%,$B$10+VLOOKUP($Q117,武学奇术!$A:$ZZ,19,FALSE)+SUM(_xlfn.XLOOKUP(R117:AF117,增益!$A:$A,增益!$S:$S,0)))+$B$12+SUM(_xlfn.XLOOKUP(R117:AF117,增益!$A:$A,增益!$V:$V,0)))*IF(VLOOKUP($Q117,武学奇术!$A:$ZZ,23,FALSE)=1,0,1)</f>
        <v>0.0895</v>
      </c>
      <c r="BM117" s="27" cm="1">
        <f t="array" ref="BM117">1+$B$14+VLOOKUP($Q117,武学奇术!$A:$ZZ,20,FALSE)+SUM(_xlfn.XLOOKUP(R117:AF117,增益!$A:$A,增益!$T:$T,0))</f>
        <v>1.35</v>
      </c>
      <c r="BN117" s="27">
        <f t="shared" si="20"/>
        <v>0.90767745</v>
      </c>
      <c r="BO117" s="27">
        <f t="shared" si="21"/>
        <v>-1.30104260698261e-17</v>
      </c>
      <c r="BP117" s="27">
        <f>IF(VLOOKUP($Q117,武学奇术!$A:$ZZ,22,FALSE)=1,0,(1-$BI117))*(1-$BL117)</f>
        <v>0.00282254999999999</v>
      </c>
      <c r="BQ117" s="27" cm="1">
        <f t="array" ref="BQ117">SUM(_xlfn.XLOOKUP(R117:AF117,增益!$A:$A,增益!$W:$W,0))+$I$5</f>
        <v>0.11</v>
      </c>
    </row>
    <row r="118" spans="11:69">
      <c r="K118" s="41">
        <f t="shared" si="11"/>
        <v>0</v>
      </c>
      <c r="L118" s="41">
        <f>((($AN118+$AO118)/2*$AH118+$AI118)*(1+$AP118)*(1+$AQ118)+(($AS118+$AT118)/2*IF($G$1="鸣金",$AJ118,$AH118)+IF($G$1="鸣金",$AK118*1.5,0))*(1+$AU118)*(1+$AV118)+(($AW118+$AX118)/2*IF($G$1="裂石",$AJ118,$AH118)+IF($G$1="裂石",$AK118*1.5,0))*(1+$AY118)*(1+$AZ118)+(($BA118+$BB118)/2*IF($G$1="牵丝",$AJ118,$AH118)+IF($G$1="牵丝",$AK118*1.5,0))*(1+$BC118)*(1+$BD118)+(($BE118+$BF118)/2*IF($G$1="破竹",$AJ118,$AH118)+IF($G$1="破竹",$AK118*1.5,0))*(1+$BG118)*(1+$BH118))*(1+$AL118)*$BK118*$P118*(1+IF(VLOOKUP($Q118,武学奇术!$A:$ZZ,30,FALSE)="弹道",$B$21,0))*(1+$BQ118)</f>
        <v>0</v>
      </c>
      <c r="M118" s="41">
        <f>(($AO118*$AH118+$AI118)*(1+$AP118)*(1+$AQ118)+($AT118*IF($G$1="鸣金",$AJ118,$AH118)+IF($G$1="鸣金",$AK118*1.5,0))*(1+$AU118)*(1+$AV118)+($AX118*IF($G$1="裂石",$AJ118,$AH118)+IF($G$1="裂石",$AK118*1.5,0))*(1+$AY118)*(1+$AZ118)+($BB118*IF($G$1="牵丝",$AJ118,$AH118)+IF($G$1="牵丝",$AK118*1.5,0))*(1+$BC118)*(1+$BD118)+($BF118*IF($G$1="破竹",$AJ118,$AH118)+IF($G$1="破竹",$AK118*1.5,0))*(1+$BG118)*(1+$BH118))*(1+$AL118)*$BM118*$P118*(1+IF(VLOOKUP($Q118,武学奇术!$A:$ZZ,30,FALSE)="弹道",$B$21,0))*(1+$BQ118)</f>
        <v>0</v>
      </c>
      <c r="N118" s="41">
        <f>((($AN118+$AO118)/2*$AH118+$AI118)*(1+$AP118)*(1+$AQ118)+(($AS118+$AT118)/2*IF($G$1="鸣金",$AJ118,$AH118)+IF($G$1="鸣金",$AK118*1.5,0))*(1+$AU118)*(1+$AV118)+(($AW118+$AX118)/2*IF($G$1="裂石",$AJ118,$AH118)+IF($G$1="裂石",$AK118*1.5,0))*(1+$AY118)*(1+$AZ118)+(($BA118+$BB118)/2*IF($G$1="牵丝",$AJ118,$AH118)+IF($G$1="牵丝",$AK118*1.5,0))*(1+$BC118)*(1+$BD118)+(($BE118+$BF118)/2*IF($G$1="破竹",$AJ118,$AH118)+IF($G$1="破竹",$AK118*1.5,0))*(1+$BG118)*(1+$BH118))*(1+$AL118)*$P118*(1+IF(VLOOKUP($Q118,武学奇术!$A:$ZZ,30,FALSE)="弹道",$B$21,0))*(1+$BQ118)</f>
        <v>0</v>
      </c>
      <c r="O118" s="41">
        <f>((($AN118*$AH118+$AI118)*(1+$AP118)*(1+$AQ118)+($AS118*IF($G$1="鸣金",$AJ118,$AH118)+IF($G$1="鸣金",$AK118*1.5,0))*(1+$AU118)*(1+$AV118)+($AW118*IF($G$1="裂石",$AJ118,$AH118)+IF($G$1="裂石",$AK118*1.5,0))*(1+$AY118)*(1+$AZ118)+($BA118*IF($G$1="牵丝",$AJ118,$AH118)+IF($G$1="牵丝",$AK118*1.5,0))*(1+$BC118)*(1+$BD118)+($BE118*IF($G$1="破竹",$AJ118,$AH118)+IF($G$1="破竹",$AK118*1.5,0))*(1+$BG118)*(1+$BH118))*(1+$AL118))*$P118*(1+IF(VLOOKUP($Q118,武学奇术!$A:$ZZ,30,FALSE)="弹道",$B$21,0))*(1+$BQ118)</f>
        <v>0</v>
      </c>
      <c r="P118" s="42">
        <v>1</v>
      </c>
      <c r="Q118" s="43" t="s">
        <v>73</v>
      </c>
      <c r="R118" s="43" t="s">
        <v>73</v>
      </c>
      <c r="S118" s="43" t="s">
        <v>73</v>
      </c>
      <c r="T118" s="43" t="s">
        <v>73</v>
      </c>
      <c r="U118" s="43" t="s">
        <v>73</v>
      </c>
      <c r="V118" s="43" t="s">
        <v>73</v>
      </c>
      <c r="W118" s="43" t="s">
        <v>73</v>
      </c>
      <c r="X118" s="43" t="s">
        <v>73</v>
      </c>
      <c r="Y118" s="43" t="s">
        <v>73</v>
      </c>
      <c r="Z118" s="43" t="s">
        <v>73</v>
      </c>
      <c r="AA118" s="43" t="s">
        <v>73</v>
      </c>
      <c r="AB118" s="43" t="s">
        <v>73</v>
      </c>
      <c r="AC118" s="43" t="s">
        <v>73</v>
      </c>
      <c r="AD118" s="43" t="s">
        <v>73</v>
      </c>
      <c r="AE118" s="43" t="s">
        <v>73</v>
      </c>
      <c r="AF118" s="43" t="s">
        <v>75</v>
      </c>
      <c r="AG118" t="str">
        <f>VLOOKUP($Q118,武学奇术!$A:$ZZ,25,FALSE)</f>
        <v>心法</v>
      </c>
      <c r="AH118" s="27">
        <f>VLOOKUP($Q118,武学奇术!$A:$ZZ,26,FALSE)</f>
        <v>0</v>
      </c>
      <c r="AI118" s="28">
        <f>VLOOKUP($Q118,武学奇术!$A:$ZZ,27,FALSE)*(1+IF(OR($AG118=$F$4,$AG118=$F$5),$B$22,0))</f>
        <v>0</v>
      </c>
      <c r="AJ118" s="27">
        <f>VLOOKUP($Q118,武学奇术!$A:$ZZ,28,FALSE)</f>
        <v>0</v>
      </c>
      <c r="AK118" s="28">
        <f>VLOOKUP($Q118,武学奇术!$A:$ZZ,29,FALSE)*(1+IF(OR($AG118=$F$4,$AG118=$F$5),$B$22,0))</f>
        <v>0</v>
      </c>
      <c r="AL118" s="27" cm="1">
        <f t="array" ref="AL118">$G$3+IFERROR(VLOOKUP($AG118,$F$4:$G$7,2,FALSE),0)+VLOOKUP($Q118,武学奇术!$A:$ZZ,2,FALSE)+SUM(_xlfn.XLOOKUP($R118:$AF118,增益!$A:$A,增益!$B:$B,0))</f>
        <v>0.1037</v>
      </c>
      <c r="AM118" s="27" cm="1">
        <f t="array" ref="AM118">VLOOKUP($Q118,武学奇术!$A:$ZZ,5,FALSE)+SUM(_xlfn.XLOOKUP($R118:$AF118,增益!$A:$A,增益!$E:$E,0))</f>
        <v>0</v>
      </c>
      <c r="AN118" cm="1">
        <f t="array" ref="AN118">$D$10*(1+$AM118)+VLOOKUP($Q118,武学奇术!$A:$ZZ,3,FALSE)+SUM(_xlfn.XLOOKUP($R118:$AF118,增益!$A:$A,增益!$C:$C,0))-$I$2</f>
        <v>1713.7</v>
      </c>
      <c r="AO118" cm="1">
        <f t="array" ref="AO118">$E$10*(1+$AM118)+VLOOKUP($Q118,武学奇术!$A:$ZZ,4,FALSE)+SUM(_xlfn.XLOOKUP($R118:$AF118,增益!$A:$A,增益!$D:$D,0))-$I$2</f>
        <v>5189.5</v>
      </c>
      <c r="AP118" s="35" cm="1">
        <f t="array" ref="AP118">IF($F$10-$I$3+VLOOKUP($Q118,武学奇术!$A:$ZZ,6,FALSE)+SUM(_xlfn.XLOOKUP(R118:AF118,增益!$A:$A,增益!$F:$F,0))&gt;0,($F$10-$I$3+VLOOKUP($Q118,武学奇术!$A:$ZZ,6,FALSE)+SUM(_xlfn.XLOOKUP(R118:AF118,增益!$A:$A,增益!$F:$F,0)))/200,($F$10-$I$3+VLOOKUP($Q118,武学奇术!$A:$ZZ,6,FALSE)+SUM(_xlfn.XLOOKUP(R118:AF118,增益!$A:$A,增益!$F:$F,0)))/100)</f>
        <v>0.1925</v>
      </c>
      <c r="AQ118" s="35" cm="1">
        <f t="array" ref="AQ118">$G$10+VLOOKUP($Q118,武学奇术!$A:$ZZ,7,FALSE)+SUM(_xlfn.XLOOKUP(R118:AF118,增益!$A:$A,增益!$G:$G,0))</f>
        <v>0</v>
      </c>
      <c r="AR118" s="27" cm="1">
        <f t="array" ref="AR118">VLOOKUP($Q118,武学奇术!$A:$ZZ,8,FALSE)+SUM(_xlfn.XLOOKUP(R118:AF118,增益!$A:$A,增益!$H:$H,0))</f>
        <v>0</v>
      </c>
      <c r="AS118">
        <f t="shared" si="12"/>
        <v>0</v>
      </c>
      <c r="AT118">
        <f t="shared" si="13"/>
        <v>0</v>
      </c>
      <c r="AU118" s="35" cm="1">
        <f t="array" ref="AU118">IF($F$11-$I$4+VLOOKUP($Q118,武学奇术!$A:$ZZ,9,FALSE)+SUM(_xlfn.XLOOKUP(R118:AF118,增益!$A:$A,增益!$I:$I,0))&gt;0,($F$11-$I$4+VLOOKUP($Q118,武学奇术!$A:$ZZ,9,FALSE)+SUM(_xlfn.XLOOKUP(R118:AF118,增益!$A:$A,增益!$I:$I,0)))/200,($F$11-$I$4+VLOOKUP($Q118,武学奇术!$A:$ZZ,9,FALSE)+SUM(_xlfn.XLOOKUP(R118:AF118,增益!$A:$A,增益!$I:$I,0)))/100)</f>
        <v>-0.3</v>
      </c>
      <c r="AV118" s="35" cm="1">
        <f t="array" ref="AV118">$G$11+VLOOKUP($Q118,武学奇术!$A:$ZZ,10,FALSE)+SUM(_xlfn.XLOOKUP(R118:AF118,增益!$A:$A,增益!$J:$J,0))</f>
        <v>0</v>
      </c>
      <c r="AW118">
        <f t="shared" si="14"/>
        <v>0</v>
      </c>
      <c r="AX118">
        <f t="shared" si="15"/>
        <v>0</v>
      </c>
      <c r="AY118" s="35" cm="1">
        <f t="array" ref="AY118">IF($F$12-$I$4+VLOOKUP($Q118,武学奇术!$A:$ZZ,11,FALSE)+SUM(_xlfn.XLOOKUP(R118:AF118,增益!$A:$A,增益!$K:$K,0))&gt;0,($F$12-$I$4+VLOOKUP($Q118,武学奇术!$A:$ZZ,11,FALSE)+SUM(_xlfn.XLOOKUP(R118:AF118,增益!$A:$A,增益!$K:$K,0)))/200,($F$12-$I$4+VLOOKUP($Q118,武学奇术!$A:$ZZ,11,FALSE)+SUM(_xlfn.XLOOKUP(R118:AF118,增益!$A:$A,增益!$K:$K,0)))/100)</f>
        <v>-0.3</v>
      </c>
      <c r="AZ118" s="35" cm="1">
        <f t="array" ref="AZ118">$G$12+VLOOKUP($Q118,武学奇术!$A:$ZZ,12,FALSE)+SUM(_xlfn.XLOOKUP(R118:AF118,增益!$A:$A,增益!$L:$L,0))</f>
        <v>0</v>
      </c>
      <c r="BA118">
        <f t="shared" si="16"/>
        <v>538</v>
      </c>
      <c r="BB118">
        <f t="shared" si="17"/>
        <v>1011</v>
      </c>
      <c r="BC118" s="35" cm="1">
        <f t="array" ref="BC118">IF($F$13-$I$4+VLOOKUP($Q118,武学奇术!$A:$ZZ,13,FALSE)+SUM(_xlfn.XLOOKUP(R118:AF118,增益!$A:$A,增益!$M:$M,0))&gt;0,($F$13-$I$4+VLOOKUP($Q118,武学奇术!$A:$ZZ,13,FALSE)+SUM(_xlfn.XLOOKUP(R118:AF118,增益!$A:$A,增益!$K:$K,0)))/200,($F$13-$I$4+VLOOKUP($Q118,武学奇术!$A:$ZZ,13,FALSE)+SUM(_xlfn.XLOOKUP(R118:AF118,增益!$A:$A,增益!$M:$M,0)))/100)</f>
        <v>0</v>
      </c>
      <c r="BD118" s="35" cm="1">
        <f t="array" ref="BD118">$G$13+VLOOKUP($Q118,武学奇术!$A:$ZZ,14,FALSE)+SUM(_xlfn.XLOOKUP(R118:AF118,增益!$A:$A,增益!$N:$N,0))</f>
        <v>0.15</v>
      </c>
      <c r="BE118">
        <f t="shared" si="18"/>
        <v>0</v>
      </c>
      <c r="BF118">
        <f t="shared" si="19"/>
        <v>0</v>
      </c>
      <c r="BG118" s="35" cm="1">
        <f t="array" ref="BG118">IF($F$14-$I$4+VLOOKUP($Q118,武学奇术!$A:$ZZ,15,FALSE)+SUM(_xlfn.XLOOKUP(R118:AF118,增益!$A:$A,增益!$O:$O,0))&gt;0,($F$14-$I$4+VLOOKUP($Q118,武学奇术!$A:$ZZ,15,FALSE)+SUM(_xlfn.XLOOKUP(R118:AF118,增益!$A:$A,增益!$O:$O,0)))/200,($F$14-$I$4+VLOOKUP($Q118,武学奇术!$A:$ZZ,15,FALSE)+SUM(_xlfn.XLOOKUP(R118:AF118,增益!$A:$A,增益!$O:$O,0)))/100)</f>
        <v>-0.3</v>
      </c>
      <c r="BH118" s="35" cm="1">
        <f t="array" ref="BH118">$G$14+VLOOKUP($Q118,武学奇术!$A:$ZZ,16,FALSE)+SUM(_xlfn.XLOOKUP(R118:AF118,增益!$A:$A,增益!$P:$P,0))</f>
        <v>0</v>
      </c>
      <c r="BI118" s="27">
        <f>MIN(IF(VLOOKUP($Q118,武学奇术!$A:$ZZ,23,FALSE)=1,100%,$B$8),100%)</f>
        <v>0.9969</v>
      </c>
      <c r="BJ118" s="27" cm="1">
        <f t="array" ref="BJ118">IF(VLOOKUP($Q118,武学奇术!$A:$ZZ,23,FALSE)=1,100%,MIN(80%,$B$9+VLOOKUP($Q118,武学奇术!$A:$ZZ,17,FALSE)+SUM(_xlfn.XLOOKUP(R118:AF118,增益!$A:$A,增益!$Q:$Q,0)))+$B$11+SUM(_xlfn.XLOOKUP(R118:AF118,增益!$A:$A,增益!$U:$U,0)))*IF(VLOOKUP($Q118,武学奇术!$A:$ZZ,24,FALSE)=1,0,1)</f>
        <v>0.9137</v>
      </c>
      <c r="BK118" s="27" cm="1">
        <f t="array" ref="BK118">1+$B$13+VLOOKUP($Q118,武学奇术!$A:$ZZ,18,FALSE)+SUM(_xlfn.XLOOKUP(R118:AF118,增益!$A:$A,增益!$R:$R,0))</f>
        <v>1.5</v>
      </c>
      <c r="BL118" s="27" cm="1">
        <f t="array" ref="BL118">IF(VLOOKUP($Q118,武学奇术!$A:$ZZ,24,FALSE)=1,100%,MIN(40%,$B$10+VLOOKUP($Q118,武学奇术!$A:$ZZ,19,FALSE)+SUM(_xlfn.XLOOKUP(R118:AF118,增益!$A:$A,增益!$S:$S,0)))+$B$12+SUM(_xlfn.XLOOKUP(R118:AF118,增益!$A:$A,增益!$V:$V,0)))*IF(VLOOKUP($Q118,武学奇术!$A:$ZZ,23,FALSE)=1,0,1)</f>
        <v>0.0895</v>
      </c>
      <c r="BM118" s="27" cm="1">
        <f t="array" ref="BM118">1+$B$14+VLOOKUP($Q118,武学奇术!$A:$ZZ,20,FALSE)+SUM(_xlfn.XLOOKUP(R118:AF118,增益!$A:$A,增益!$T:$T,0))</f>
        <v>1.35</v>
      </c>
      <c r="BN118" s="27">
        <f t="shared" si="20"/>
        <v>0.90767745</v>
      </c>
      <c r="BO118" s="27">
        <f t="shared" si="21"/>
        <v>-1.30104260698261e-17</v>
      </c>
      <c r="BP118" s="27">
        <f>IF(VLOOKUP($Q118,武学奇术!$A:$ZZ,22,FALSE)=1,0,(1-$BI118))*(1-$BL118)</f>
        <v>0.00282254999999999</v>
      </c>
      <c r="BQ118" s="27" cm="1">
        <f t="array" ref="BQ118">SUM(_xlfn.XLOOKUP(R118:AF118,增益!$A:$A,增益!$W:$W,0))+$I$5</f>
        <v>0.11</v>
      </c>
    </row>
    <row r="119" spans="11:69">
      <c r="K119" s="41">
        <f t="shared" si="11"/>
        <v>0</v>
      </c>
      <c r="L119" s="41">
        <f>((($AN119+$AO119)/2*$AH119+$AI119)*(1+$AP119)*(1+$AQ119)+(($AS119+$AT119)/2*IF($G$1="鸣金",$AJ119,$AH119)+IF($G$1="鸣金",$AK119*1.5,0))*(1+$AU119)*(1+$AV119)+(($AW119+$AX119)/2*IF($G$1="裂石",$AJ119,$AH119)+IF($G$1="裂石",$AK119*1.5,0))*(1+$AY119)*(1+$AZ119)+(($BA119+$BB119)/2*IF($G$1="牵丝",$AJ119,$AH119)+IF($G$1="牵丝",$AK119*1.5,0))*(1+$BC119)*(1+$BD119)+(($BE119+$BF119)/2*IF($G$1="破竹",$AJ119,$AH119)+IF($G$1="破竹",$AK119*1.5,0))*(1+$BG119)*(1+$BH119))*(1+$AL119)*$BK119*$P119*(1+IF(VLOOKUP($Q119,武学奇术!$A:$ZZ,30,FALSE)="弹道",$B$21,0))*(1+$BQ119)</f>
        <v>0</v>
      </c>
      <c r="M119" s="41">
        <f>(($AO119*$AH119+$AI119)*(1+$AP119)*(1+$AQ119)+($AT119*IF($G$1="鸣金",$AJ119,$AH119)+IF($G$1="鸣金",$AK119*1.5,0))*(1+$AU119)*(1+$AV119)+($AX119*IF($G$1="裂石",$AJ119,$AH119)+IF($G$1="裂石",$AK119*1.5,0))*(1+$AY119)*(1+$AZ119)+($BB119*IF($G$1="牵丝",$AJ119,$AH119)+IF($G$1="牵丝",$AK119*1.5,0))*(1+$BC119)*(1+$BD119)+($BF119*IF($G$1="破竹",$AJ119,$AH119)+IF($G$1="破竹",$AK119*1.5,0))*(1+$BG119)*(1+$BH119))*(1+$AL119)*$BM119*$P119*(1+IF(VLOOKUP($Q119,武学奇术!$A:$ZZ,30,FALSE)="弹道",$B$21,0))*(1+$BQ119)</f>
        <v>0</v>
      </c>
      <c r="N119" s="41">
        <f>((($AN119+$AO119)/2*$AH119+$AI119)*(1+$AP119)*(1+$AQ119)+(($AS119+$AT119)/2*IF($G$1="鸣金",$AJ119,$AH119)+IF($G$1="鸣金",$AK119*1.5,0))*(1+$AU119)*(1+$AV119)+(($AW119+$AX119)/2*IF($G$1="裂石",$AJ119,$AH119)+IF($G$1="裂石",$AK119*1.5,0))*(1+$AY119)*(1+$AZ119)+(($BA119+$BB119)/2*IF($G$1="牵丝",$AJ119,$AH119)+IF($G$1="牵丝",$AK119*1.5,0))*(1+$BC119)*(1+$BD119)+(($BE119+$BF119)/2*IF($G$1="破竹",$AJ119,$AH119)+IF($G$1="破竹",$AK119*1.5,0))*(1+$BG119)*(1+$BH119))*(1+$AL119)*$P119*(1+IF(VLOOKUP($Q119,武学奇术!$A:$ZZ,30,FALSE)="弹道",$B$21,0))*(1+$BQ119)</f>
        <v>0</v>
      </c>
      <c r="O119" s="41">
        <f>((($AN119*$AH119+$AI119)*(1+$AP119)*(1+$AQ119)+($AS119*IF($G$1="鸣金",$AJ119,$AH119)+IF($G$1="鸣金",$AK119*1.5,0))*(1+$AU119)*(1+$AV119)+($AW119*IF($G$1="裂石",$AJ119,$AH119)+IF($G$1="裂石",$AK119*1.5,0))*(1+$AY119)*(1+$AZ119)+($BA119*IF($G$1="牵丝",$AJ119,$AH119)+IF($G$1="牵丝",$AK119*1.5,0))*(1+$BC119)*(1+$BD119)+($BE119*IF($G$1="破竹",$AJ119,$AH119)+IF($G$1="破竹",$AK119*1.5,0))*(1+$BG119)*(1+$BH119))*(1+$AL119))*$P119*(1+IF(VLOOKUP($Q119,武学奇术!$A:$ZZ,30,FALSE)="弹道",$B$21,0))*(1+$BQ119)</f>
        <v>0</v>
      </c>
      <c r="P119" s="42">
        <f t="shared" ref="P119:P123" si="23">IF($C$22="易水歌",1,0)</f>
        <v>1</v>
      </c>
      <c r="Q119" s="43" t="s">
        <v>73</v>
      </c>
      <c r="R119" s="43" t="s">
        <v>73</v>
      </c>
      <c r="S119" s="43" t="s">
        <v>73</v>
      </c>
      <c r="T119" s="43" t="s">
        <v>73</v>
      </c>
      <c r="U119" s="43" t="s">
        <v>73</v>
      </c>
      <c r="V119" s="43" t="s">
        <v>73</v>
      </c>
      <c r="W119" s="43" t="s">
        <v>73</v>
      </c>
      <c r="X119" s="43" t="s">
        <v>73</v>
      </c>
      <c r="Y119" s="43" t="s">
        <v>73</v>
      </c>
      <c r="Z119" s="43" t="s">
        <v>73</v>
      </c>
      <c r="AA119" s="43" t="s">
        <v>73</v>
      </c>
      <c r="AB119" s="43" t="s">
        <v>73</v>
      </c>
      <c r="AC119" s="43" t="s">
        <v>73</v>
      </c>
      <c r="AD119" s="43" t="s">
        <v>73</v>
      </c>
      <c r="AE119" s="43" t="s">
        <v>73</v>
      </c>
      <c r="AF119" s="43" t="s">
        <v>75</v>
      </c>
      <c r="AG119" t="str">
        <f>VLOOKUP($Q119,武学奇术!$A:$ZZ,25,FALSE)</f>
        <v>心法</v>
      </c>
      <c r="AH119" s="27">
        <f>VLOOKUP($Q119,武学奇术!$A:$ZZ,26,FALSE)</f>
        <v>0</v>
      </c>
      <c r="AI119" s="28">
        <f>VLOOKUP($Q119,武学奇术!$A:$ZZ,27,FALSE)*(1+IF(OR($AG119=$F$4,$AG119=$F$5),$B$22,0))</f>
        <v>0</v>
      </c>
      <c r="AJ119" s="27">
        <f>VLOOKUP($Q119,武学奇术!$A:$ZZ,28,FALSE)</f>
        <v>0</v>
      </c>
      <c r="AK119" s="28">
        <f>VLOOKUP($Q119,武学奇术!$A:$ZZ,29,FALSE)*(1+IF(OR($AG119=$F$4,$AG119=$F$5),$B$22,0))</f>
        <v>0</v>
      </c>
      <c r="AL119" s="27" cm="1">
        <f t="array" ref="AL119">$G$3+IFERROR(VLOOKUP($AG119,$F$4:$G$7,2,FALSE),0)+VLOOKUP($Q119,武学奇术!$A:$ZZ,2,FALSE)+SUM(_xlfn.XLOOKUP($R119:$AF119,增益!$A:$A,增益!$B:$B,0))</f>
        <v>0.1037</v>
      </c>
      <c r="AM119" s="27" cm="1">
        <f t="array" ref="AM119">VLOOKUP($Q119,武学奇术!$A:$ZZ,5,FALSE)+SUM(_xlfn.XLOOKUP($R119:$AF119,增益!$A:$A,增益!$E:$E,0))</f>
        <v>0</v>
      </c>
      <c r="AN119" cm="1">
        <f t="array" ref="AN119">$D$10*(1+$AM119)+VLOOKUP($Q119,武学奇术!$A:$ZZ,3,FALSE)+SUM(_xlfn.XLOOKUP($R119:$AF119,增益!$A:$A,增益!$C:$C,0))-$I$2</f>
        <v>1713.7</v>
      </c>
      <c r="AO119" cm="1">
        <f t="array" ref="AO119">$E$10*(1+$AM119)+VLOOKUP($Q119,武学奇术!$A:$ZZ,4,FALSE)+SUM(_xlfn.XLOOKUP($R119:$AF119,增益!$A:$A,增益!$D:$D,0))-$I$2</f>
        <v>5189.5</v>
      </c>
      <c r="AP119" s="35" cm="1">
        <f t="array" ref="AP119">IF($F$10-$I$3+VLOOKUP($Q119,武学奇术!$A:$ZZ,6,FALSE)+SUM(_xlfn.XLOOKUP(R119:AF119,增益!$A:$A,增益!$F:$F,0))&gt;0,($F$10-$I$3+VLOOKUP($Q119,武学奇术!$A:$ZZ,6,FALSE)+SUM(_xlfn.XLOOKUP(R119:AF119,增益!$A:$A,增益!$F:$F,0)))/200,($F$10-$I$3+VLOOKUP($Q119,武学奇术!$A:$ZZ,6,FALSE)+SUM(_xlfn.XLOOKUP(R119:AF119,增益!$A:$A,增益!$F:$F,0)))/100)</f>
        <v>0.1925</v>
      </c>
      <c r="AQ119" s="35" cm="1">
        <f t="array" ref="AQ119">$G$10+VLOOKUP($Q119,武学奇术!$A:$ZZ,7,FALSE)+SUM(_xlfn.XLOOKUP(R119:AF119,增益!$A:$A,增益!$G:$G,0))</f>
        <v>0</v>
      </c>
      <c r="AR119" s="27" cm="1">
        <f t="array" ref="AR119">VLOOKUP($Q119,武学奇术!$A:$ZZ,8,FALSE)+SUM(_xlfn.XLOOKUP(R119:AF119,增益!$A:$A,增益!$H:$H,0))</f>
        <v>0</v>
      </c>
      <c r="AS119">
        <f t="shared" si="12"/>
        <v>0</v>
      </c>
      <c r="AT119">
        <f t="shared" si="13"/>
        <v>0</v>
      </c>
      <c r="AU119" s="35" cm="1">
        <f t="array" ref="AU119">IF($F$11-$I$4+VLOOKUP($Q119,武学奇术!$A:$ZZ,9,FALSE)+SUM(_xlfn.XLOOKUP(R119:AF119,增益!$A:$A,增益!$I:$I,0))&gt;0,($F$11-$I$4+VLOOKUP($Q119,武学奇术!$A:$ZZ,9,FALSE)+SUM(_xlfn.XLOOKUP(R119:AF119,增益!$A:$A,增益!$I:$I,0)))/200,($F$11-$I$4+VLOOKUP($Q119,武学奇术!$A:$ZZ,9,FALSE)+SUM(_xlfn.XLOOKUP(R119:AF119,增益!$A:$A,增益!$I:$I,0)))/100)</f>
        <v>-0.3</v>
      </c>
      <c r="AV119" s="35" cm="1">
        <f t="array" ref="AV119">$G$11+VLOOKUP($Q119,武学奇术!$A:$ZZ,10,FALSE)+SUM(_xlfn.XLOOKUP(R119:AF119,增益!$A:$A,增益!$J:$J,0))</f>
        <v>0</v>
      </c>
      <c r="AW119">
        <f t="shared" si="14"/>
        <v>0</v>
      </c>
      <c r="AX119">
        <f t="shared" si="15"/>
        <v>0</v>
      </c>
      <c r="AY119" s="35" cm="1">
        <f t="array" ref="AY119">IF($F$12-$I$4+VLOOKUP($Q119,武学奇术!$A:$ZZ,11,FALSE)+SUM(_xlfn.XLOOKUP(R119:AF119,增益!$A:$A,增益!$K:$K,0))&gt;0,($F$12-$I$4+VLOOKUP($Q119,武学奇术!$A:$ZZ,11,FALSE)+SUM(_xlfn.XLOOKUP(R119:AF119,增益!$A:$A,增益!$K:$K,0)))/200,($F$12-$I$4+VLOOKUP($Q119,武学奇术!$A:$ZZ,11,FALSE)+SUM(_xlfn.XLOOKUP(R119:AF119,增益!$A:$A,增益!$K:$K,0)))/100)</f>
        <v>-0.3</v>
      </c>
      <c r="AZ119" s="35" cm="1">
        <f t="array" ref="AZ119">$G$12+VLOOKUP($Q119,武学奇术!$A:$ZZ,12,FALSE)+SUM(_xlfn.XLOOKUP(R119:AF119,增益!$A:$A,增益!$L:$L,0))</f>
        <v>0</v>
      </c>
      <c r="BA119">
        <f t="shared" si="16"/>
        <v>538</v>
      </c>
      <c r="BB119">
        <f t="shared" si="17"/>
        <v>1011</v>
      </c>
      <c r="BC119" s="35" cm="1">
        <f t="array" ref="BC119">IF($F$13-$I$4+VLOOKUP($Q119,武学奇术!$A:$ZZ,13,FALSE)+SUM(_xlfn.XLOOKUP(R119:AF119,增益!$A:$A,增益!$M:$M,0))&gt;0,($F$13-$I$4+VLOOKUP($Q119,武学奇术!$A:$ZZ,13,FALSE)+SUM(_xlfn.XLOOKUP(R119:AF119,增益!$A:$A,增益!$K:$K,0)))/200,($F$13-$I$4+VLOOKUP($Q119,武学奇术!$A:$ZZ,13,FALSE)+SUM(_xlfn.XLOOKUP(R119:AF119,增益!$A:$A,增益!$M:$M,0)))/100)</f>
        <v>0</v>
      </c>
      <c r="BD119" s="35" cm="1">
        <f t="array" ref="BD119">$G$13+VLOOKUP($Q119,武学奇术!$A:$ZZ,14,FALSE)+SUM(_xlfn.XLOOKUP(R119:AF119,增益!$A:$A,增益!$N:$N,0))</f>
        <v>0.15</v>
      </c>
      <c r="BE119">
        <f t="shared" si="18"/>
        <v>0</v>
      </c>
      <c r="BF119">
        <f t="shared" si="19"/>
        <v>0</v>
      </c>
      <c r="BG119" s="35" cm="1">
        <f t="array" ref="BG119">IF($F$14-$I$4+VLOOKUP($Q119,武学奇术!$A:$ZZ,15,FALSE)+SUM(_xlfn.XLOOKUP(R119:AF119,增益!$A:$A,增益!$O:$O,0))&gt;0,($F$14-$I$4+VLOOKUP($Q119,武学奇术!$A:$ZZ,15,FALSE)+SUM(_xlfn.XLOOKUP(R119:AF119,增益!$A:$A,增益!$O:$O,0)))/200,($F$14-$I$4+VLOOKUP($Q119,武学奇术!$A:$ZZ,15,FALSE)+SUM(_xlfn.XLOOKUP(R119:AF119,增益!$A:$A,增益!$O:$O,0)))/100)</f>
        <v>-0.3</v>
      </c>
      <c r="BH119" s="35" cm="1">
        <f t="array" ref="BH119">$G$14+VLOOKUP($Q119,武学奇术!$A:$ZZ,16,FALSE)+SUM(_xlfn.XLOOKUP(R119:AF119,增益!$A:$A,增益!$P:$P,0))</f>
        <v>0</v>
      </c>
      <c r="BI119" s="27">
        <f>MIN(IF(VLOOKUP($Q119,武学奇术!$A:$ZZ,23,FALSE)=1,100%,$B$8),100%)</f>
        <v>0.9969</v>
      </c>
      <c r="BJ119" s="27" cm="1">
        <f t="array" ref="BJ119">IF(VLOOKUP($Q119,武学奇术!$A:$ZZ,23,FALSE)=1,100%,MIN(80%,$B$9+VLOOKUP($Q119,武学奇术!$A:$ZZ,17,FALSE)+SUM(_xlfn.XLOOKUP(R119:AF119,增益!$A:$A,增益!$Q:$Q,0)))+$B$11+SUM(_xlfn.XLOOKUP(R119:AF119,增益!$A:$A,增益!$U:$U,0)))*IF(VLOOKUP($Q119,武学奇术!$A:$ZZ,24,FALSE)=1,0,1)</f>
        <v>0.9137</v>
      </c>
      <c r="BK119" s="27" cm="1">
        <f t="array" ref="BK119">1+$B$13+VLOOKUP($Q119,武学奇术!$A:$ZZ,18,FALSE)+SUM(_xlfn.XLOOKUP(R119:AF119,增益!$A:$A,增益!$R:$R,0))</f>
        <v>1.5</v>
      </c>
      <c r="BL119" s="27" cm="1">
        <f t="array" ref="BL119">IF(VLOOKUP($Q119,武学奇术!$A:$ZZ,24,FALSE)=1,100%,MIN(40%,$B$10+VLOOKUP($Q119,武学奇术!$A:$ZZ,19,FALSE)+SUM(_xlfn.XLOOKUP(R119:AF119,增益!$A:$A,增益!$S:$S,0)))+$B$12+SUM(_xlfn.XLOOKUP(R119:AF119,增益!$A:$A,增益!$V:$V,0)))*IF(VLOOKUP($Q119,武学奇术!$A:$ZZ,23,FALSE)=1,0,1)</f>
        <v>0.0895</v>
      </c>
      <c r="BM119" s="27" cm="1">
        <f t="array" ref="BM119">1+$B$14+VLOOKUP($Q119,武学奇术!$A:$ZZ,20,FALSE)+SUM(_xlfn.XLOOKUP(R119:AF119,增益!$A:$A,增益!$T:$T,0))</f>
        <v>1.35</v>
      </c>
      <c r="BN119" s="27">
        <f t="shared" si="20"/>
        <v>0.90767745</v>
      </c>
      <c r="BO119" s="27">
        <f t="shared" si="21"/>
        <v>-1.30104260698261e-17</v>
      </c>
      <c r="BP119" s="27">
        <f>IF(VLOOKUP($Q119,武学奇术!$A:$ZZ,22,FALSE)=1,0,(1-$BI119))*(1-$BL119)</f>
        <v>0.00282254999999999</v>
      </c>
      <c r="BQ119" s="27" cm="1">
        <f t="array" ref="BQ119">SUM(_xlfn.XLOOKUP(R119:AF119,增益!$A:$A,增益!$W:$W,0))+$I$5</f>
        <v>0.11</v>
      </c>
    </row>
    <row r="120" spans="11:69">
      <c r="K120" s="41">
        <f t="shared" si="11"/>
        <v>0</v>
      </c>
      <c r="L120" s="41">
        <f>((($AN120+$AO120)/2*$AH120+$AI120)*(1+$AP120)*(1+$AQ120)+(($AS120+$AT120)/2*IF($G$1="鸣金",$AJ120,$AH120)+IF($G$1="鸣金",$AK120*1.5,0))*(1+$AU120)*(1+$AV120)+(($AW120+$AX120)/2*IF($G$1="裂石",$AJ120,$AH120)+IF($G$1="裂石",$AK120*1.5,0))*(1+$AY120)*(1+$AZ120)+(($BA120+$BB120)/2*IF($G$1="牵丝",$AJ120,$AH120)+IF($G$1="牵丝",$AK120*1.5,0))*(1+$BC120)*(1+$BD120)+(($BE120+$BF120)/2*IF($G$1="破竹",$AJ120,$AH120)+IF($G$1="破竹",$AK120*1.5,0))*(1+$BG120)*(1+$BH120))*(1+$AL120)*$BK120*$P120*(1+IF(VLOOKUP($Q120,武学奇术!$A:$ZZ,30,FALSE)="弹道",$B$21,0))*(1+$BQ120)</f>
        <v>0</v>
      </c>
      <c r="M120" s="41">
        <f>(($AO120*$AH120+$AI120)*(1+$AP120)*(1+$AQ120)+($AT120*IF($G$1="鸣金",$AJ120,$AH120)+IF($G$1="鸣金",$AK120*1.5,0))*(1+$AU120)*(1+$AV120)+($AX120*IF($G$1="裂石",$AJ120,$AH120)+IF($G$1="裂石",$AK120*1.5,0))*(1+$AY120)*(1+$AZ120)+($BB120*IF($G$1="牵丝",$AJ120,$AH120)+IF($G$1="牵丝",$AK120*1.5,0))*(1+$BC120)*(1+$BD120)+($BF120*IF($G$1="破竹",$AJ120,$AH120)+IF($G$1="破竹",$AK120*1.5,0))*(1+$BG120)*(1+$BH120))*(1+$AL120)*$BM120*$P120*(1+IF(VLOOKUP($Q120,武学奇术!$A:$ZZ,30,FALSE)="弹道",$B$21,0))*(1+$BQ120)</f>
        <v>0</v>
      </c>
      <c r="N120" s="41">
        <f>((($AN120+$AO120)/2*$AH120+$AI120)*(1+$AP120)*(1+$AQ120)+(($AS120+$AT120)/2*IF($G$1="鸣金",$AJ120,$AH120)+IF($G$1="鸣金",$AK120*1.5,0))*(1+$AU120)*(1+$AV120)+(($AW120+$AX120)/2*IF($G$1="裂石",$AJ120,$AH120)+IF($G$1="裂石",$AK120*1.5,0))*(1+$AY120)*(1+$AZ120)+(($BA120+$BB120)/2*IF($G$1="牵丝",$AJ120,$AH120)+IF($G$1="牵丝",$AK120*1.5,0))*(1+$BC120)*(1+$BD120)+(($BE120+$BF120)/2*IF($G$1="破竹",$AJ120,$AH120)+IF($G$1="破竹",$AK120*1.5,0))*(1+$BG120)*(1+$BH120))*(1+$AL120)*$P120*(1+IF(VLOOKUP($Q120,武学奇术!$A:$ZZ,30,FALSE)="弹道",$B$21,0))*(1+$BQ120)</f>
        <v>0</v>
      </c>
      <c r="O120" s="41">
        <f>((($AN120*$AH120+$AI120)*(1+$AP120)*(1+$AQ120)+($AS120*IF($G$1="鸣金",$AJ120,$AH120)+IF($G$1="鸣金",$AK120*1.5,0))*(1+$AU120)*(1+$AV120)+($AW120*IF($G$1="裂石",$AJ120,$AH120)+IF($G$1="裂石",$AK120*1.5,0))*(1+$AY120)*(1+$AZ120)+($BA120*IF($G$1="牵丝",$AJ120,$AH120)+IF($G$1="牵丝",$AK120*1.5,0))*(1+$BC120)*(1+$BD120)+($BE120*IF($G$1="破竹",$AJ120,$AH120)+IF($G$1="破竹",$AK120*1.5,0))*(1+$BG120)*(1+$BH120))*(1+$AL120))*$P120*(1+IF(VLOOKUP($Q120,武学奇术!$A:$ZZ,30,FALSE)="弹道",$B$21,0))*(1+$BQ120)</f>
        <v>0</v>
      </c>
      <c r="P120" s="42">
        <v>1</v>
      </c>
      <c r="Q120" s="43" t="s">
        <v>73</v>
      </c>
      <c r="R120" s="43" t="s">
        <v>73</v>
      </c>
      <c r="S120" s="43" t="s">
        <v>73</v>
      </c>
      <c r="T120" s="43" t="s">
        <v>73</v>
      </c>
      <c r="U120" s="43" t="s">
        <v>73</v>
      </c>
      <c r="V120" s="43" t="s">
        <v>73</v>
      </c>
      <c r="W120" s="43" t="s">
        <v>73</v>
      </c>
      <c r="X120" s="43" t="s">
        <v>73</v>
      </c>
      <c r="Y120" s="43" t="s">
        <v>73</v>
      </c>
      <c r="Z120" s="43" t="s">
        <v>73</v>
      </c>
      <c r="AA120" s="43" t="s">
        <v>73</v>
      </c>
      <c r="AB120" s="43" t="s">
        <v>73</v>
      </c>
      <c r="AC120" s="43" t="s">
        <v>73</v>
      </c>
      <c r="AD120" s="43" t="s">
        <v>73</v>
      </c>
      <c r="AE120" s="43" t="s">
        <v>73</v>
      </c>
      <c r="AF120" s="43" t="s">
        <v>75</v>
      </c>
      <c r="AG120" t="str">
        <f>VLOOKUP($Q120,武学奇术!$A:$ZZ,25,FALSE)</f>
        <v>心法</v>
      </c>
      <c r="AH120" s="27">
        <f>VLOOKUP($Q120,武学奇术!$A:$ZZ,26,FALSE)</f>
        <v>0</v>
      </c>
      <c r="AI120" s="28">
        <f>VLOOKUP($Q120,武学奇术!$A:$ZZ,27,FALSE)*(1+IF(OR($AG120=$F$4,$AG120=$F$5),$B$22,0))</f>
        <v>0</v>
      </c>
      <c r="AJ120" s="27">
        <f>VLOOKUP($Q120,武学奇术!$A:$ZZ,28,FALSE)</f>
        <v>0</v>
      </c>
      <c r="AK120" s="28">
        <f>VLOOKUP($Q120,武学奇术!$A:$ZZ,29,FALSE)*(1+IF(OR($AG120=$F$4,$AG120=$F$5),$B$22,0))</f>
        <v>0</v>
      </c>
      <c r="AL120" s="27" cm="1">
        <f t="array" ref="AL120">$G$3+IFERROR(VLOOKUP($AG120,$F$4:$G$7,2,FALSE),0)+VLOOKUP($Q120,武学奇术!$A:$ZZ,2,FALSE)+SUM(_xlfn.XLOOKUP($R120:$AF120,增益!$A:$A,增益!$B:$B,0))</f>
        <v>0.1037</v>
      </c>
      <c r="AM120" s="27" cm="1">
        <f t="array" ref="AM120">VLOOKUP($Q120,武学奇术!$A:$ZZ,5,FALSE)+SUM(_xlfn.XLOOKUP($R120:$AF120,增益!$A:$A,增益!$E:$E,0))</f>
        <v>0</v>
      </c>
      <c r="AN120" cm="1">
        <f t="array" ref="AN120">$D$10*(1+$AM120)+VLOOKUP($Q120,武学奇术!$A:$ZZ,3,FALSE)+SUM(_xlfn.XLOOKUP($R120:$AF120,增益!$A:$A,增益!$C:$C,0))-$I$2</f>
        <v>1713.7</v>
      </c>
      <c r="AO120" cm="1">
        <f t="array" ref="AO120">$E$10*(1+$AM120)+VLOOKUP($Q120,武学奇术!$A:$ZZ,4,FALSE)+SUM(_xlfn.XLOOKUP($R120:$AF120,增益!$A:$A,增益!$D:$D,0))-$I$2</f>
        <v>5189.5</v>
      </c>
      <c r="AP120" s="35" cm="1">
        <f t="array" ref="AP120">IF($F$10-$I$3+VLOOKUP($Q120,武学奇术!$A:$ZZ,6,FALSE)+SUM(_xlfn.XLOOKUP(R120:AF120,增益!$A:$A,增益!$F:$F,0))&gt;0,($F$10-$I$3+VLOOKUP($Q120,武学奇术!$A:$ZZ,6,FALSE)+SUM(_xlfn.XLOOKUP(R120:AF120,增益!$A:$A,增益!$F:$F,0)))/200,($F$10-$I$3+VLOOKUP($Q120,武学奇术!$A:$ZZ,6,FALSE)+SUM(_xlfn.XLOOKUP(R120:AF120,增益!$A:$A,增益!$F:$F,0)))/100)</f>
        <v>0.1925</v>
      </c>
      <c r="AQ120" s="35" cm="1">
        <f t="array" ref="AQ120">$G$10+VLOOKUP($Q120,武学奇术!$A:$ZZ,7,FALSE)+SUM(_xlfn.XLOOKUP(R120:AF120,增益!$A:$A,增益!$G:$G,0))</f>
        <v>0</v>
      </c>
      <c r="AR120" s="27" cm="1">
        <f t="array" ref="AR120">VLOOKUP($Q120,武学奇术!$A:$ZZ,8,FALSE)+SUM(_xlfn.XLOOKUP(R120:AF120,增益!$A:$A,增益!$H:$H,0))</f>
        <v>0</v>
      </c>
      <c r="AS120">
        <f t="shared" si="12"/>
        <v>0</v>
      </c>
      <c r="AT120">
        <f t="shared" si="13"/>
        <v>0</v>
      </c>
      <c r="AU120" s="35" cm="1">
        <f t="array" ref="AU120">IF($F$11-$I$4+VLOOKUP($Q120,武学奇术!$A:$ZZ,9,FALSE)+SUM(_xlfn.XLOOKUP(R120:AF120,增益!$A:$A,增益!$I:$I,0))&gt;0,($F$11-$I$4+VLOOKUP($Q120,武学奇术!$A:$ZZ,9,FALSE)+SUM(_xlfn.XLOOKUP(R120:AF120,增益!$A:$A,增益!$I:$I,0)))/200,($F$11-$I$4+VLOOKUP($Q120,武学奇术!$A:$ZZ,9,FALSE)+SUM(_xlfn.XLOOKUP(R120:AF120,增益!$A:$A,增益!$I:$I,0)))/100)</f>
        <v>-0.3</v>
      </c>
      <c r="AV120" s="35" cm="1">
        <f t="array" ref="AV120">$G$11+VLOOKUP($Q120,武学奇术!$A:$ZZ,10,FALSE)+SUM(_xlfn.XLOOKUP(R120:AF120,增益!$A:$A,增益!$J:$J,0))</f>
        <v>0</v>
      </c>
      <c r="AW120">
        <f t="shared" si="14"/>
        <v>0</v>
      </c>
      <c r="AX120">
        <f t="shared" si="15"/>
        <v>0</v>
      </c>
      <c r="AY120" s="35" cm="1">
        <f t="array" ref="AY120">IF($F$12-$I$4+VLOOKUP($Q120,武学奇术!$A:$ZZ,11,FALSE)+SUM(_xlfn.XLOOKUP(R120:AF120,增益!$A:$A,增益!$K:$K,0))&gt;0,($F$12-$I$4+VLOOKUP($Q120,武学奇术!$A:$ZZ,11,FALSE)+SUM(_xlfn.XLOOKUP(R120:AF120,增益!$A:$A,增益!$K:$K,0)))/200,($F$12-$I$4+VLOOKUP($Q120,武学奇术!$A:$ZZ,11,FALSE)+SUM(_xlfn.XLOOKUP(R120:AF120,增益!$A:$A,增益!$K:$K,0)))/100)</f>
        <v>-0.3</v>
      </c>
      <c r="AZ120" s="35" cm="1">
        <f t="array" ref="AZ120">$G$12+VLOOKUP($Q120,武学奇术!$A:$ZZ,12,FALSE)+SUM(_xlfn.XLOOKUP(R120:AF120,增益!$A:$A,增益!$L:$L,0))</f>
        <v>0</v>
      </c>
      <c r="BA120">
        <f t="shared" si="16"/>
        <v>538</v>
      </c>
      <c r="BB120">
        <f t="shared" si="17"/>
        <v>1011</v>
      </c>
      <c r="BC120" s="35" cm="1">
        <f t="array" ref="BC120">IF($F$13-$I$4+VLOOKUP($Q120,武学奇术!$A:$ZZ,13,FALSE)+SUM(_xlfn.XLOOKUP(R120:AF120,增益!$A:$A,增益!$M:$M,0))&gt;0,($F$13-$I$4+VLOOKUP($Q120,武学奇术!$A:$ZZ,13,FALSE)+SUM(_xlfn.XLOOKUP(R120:AF120,增益!$A:$A,增益!$K:$K,0)))/200,($F$13-$I$4+VLOOKUP($Q120,武学奇术!$A:$ZZ,13,FALSE)+SUM(_xlfn.XLOOKUP(R120:AF120,增益!$A:$A,增益!$M:$M,0)))/100)</f>
        <v>0</v>
      </c>
      <c r="BD120" s="35" cm="1">
        <f t="array" ref="BD120">$G$13+VLOOKUP($Q120,武学奇术!$A:$ZZ,14,FALSE)+SUM(_xlfn.XLOOKUP(R120:AF120,增益!$A:$A,增益!$N:$N,0))</f>
        <v>0.15</v>
      </c>
      <c r="BE120">
        <f t="shared" si="18"/>
        <v>0</v>
      </c>
      <c r="BF120">
        <f t="shared" si="19"/>
        <v>0</v>
      </c>
      <c r="BG120" s="35" cm="1">
        <f t="array" ref="BG120">IF($F$14-$I$4+VLOOKUP($Q120,武学奇术!$A:$ZZ,15,FALSE)+SUM(_xlfn.XLOOKUP(R120:AF120,增益!$A:$A,增益!$O:$O,0))&gt;0,($F$14-$I$4+VLOOKUP($Q120,武学奇术!$A:$ZZ,15,FALSE)+SUM(_xlfn.XLOOKUP(R120:AF120,增益!$A:$A,增益!$O:$O,0)))/200,($F$14-$I$4+VLOOKUP($Q120,武学奇术!$A:$ZZ,15,FALSE)+SUM(_xlfn.XLOOKUP(R120:AF120,增益!$A:$A,增益!$O:$O,0)))/100)</f>
        <v>-0.3</v>
      </c>
      <c r="BH120" s="35" cm="1">
        <f t="array" ref="BH120">$G$14+VLOOKUP($Q120,武学奇术!$A:$ZZ,16,FALSE)+SUM(_xlfn.XLOOKUP(R120:AF120,增益!$A:$A,增益!$P:$P,0))</f>
        <v>0</v>
      </c>
      <c r="BI120" s="27">
        <f>MIN(IF(VLOOKUP($Q120,武学奇术!$A:$ZZ,23,FALSE)=1,100%,$B$8),100%)</f>
        <v>0.9969</v>
      </c>
      <c r="BJ120" s="27" cm="1">
        <f t="array" ref="BJ120">IF(VLOOKUP($Q120,武学奇术!$A:$ZZ,23,FALSE)=1,100%,MIN(80%,$B$9+VLOOKUP($Q120,武学奇术!$A:$ZZ,17,FALSE)+SUM(_xlfn.XLOOKUP(R120:AF120,增益!$A:$A,增益!$Q:$Q,0)))+$B$11+SUM(_xlfn.XLOOKUP(R120:AF120,增益!$A:$A,增益!$U:$U,0)))*IF(VLOOKUP($Q120,武学奇术!$A:$ZZ,24,FALSE)=1,0,1)</f>
        <v>0.9137</v>
      </c>
      <c r="BK120" s="27" cm="1">
        <f t="array" ref="BK120">1+$B$13+VLOOKUP($Q120,武学奇术!$A:$ZZ,18,FALSE)+SUM(_xlfn.XLOOKUP(R120:AF120,增益!$A:$A,增益!$R:$R,0))</f>
        <v>1.5</v>
      </c>
      <c r="BL120" s="27" cm="1">
        <f t="array" ref="BL120">IF(VLOOKUP($Q120,武学奇术!$A:$ZZ,24,FALSE)=1,100%,MIN(40%,$B$10+VLOOKUP($Q120,武学奇术!$A:$ZZ,19,FALSE)+SUM(_xlfn.XLOOKUP(R120:AF120,增益!$A:$A,增益!$S:$S,0)))+$B$12+SUM(_xlfn.XLOOKUP(R120:AF120,增益!$A:$A,增益!$V:$V,0)))*IF(VLOOKUP($Q120,武学奇术!$A:$ZZ,23,FALSE)=1,0,1)</f>
        <v>0.0895</v>
      </c>
      <c r="BM120" s="27" cm="1">
        <f t="array" ref="BM120">1+$B$14+VLOOKUP($Q120,武学奇术!$A:$ZZ,20,FALSE)+SUM(_xlfn.XLOOKUP(R120:AF120,增益!$A:$A,增益!$T:$T,0))</f>
        <v>1.35</v>
      </c>
      <c r="BN120" s="27">
        <f t="shared" si="20"/>
        <v>0.90767745</v>
      </c>
      <c r="BO120" s="27">
        <f t="shared" si="21"/>
        <v>-1.30104260698261e-17</v>
      </c>
      <c r="BP120" s="27">
        <f>IF(VLOOKUP($Q120,武学奇术!$A:$ZZ,22,FALSE)=1,0,(1-$BI120))*(1-$BL120)</f>
        <v>0.00282254999999999</v>
      </c>
      <c r="BQ120" s="27" cm="1">
        <f t="array" ref="BQ120">SUM(_xlfn.XLOOKUP(R120:AF120,增益!$A:$A,增益!$W:$W,0))+$I$5</f>
        <v>0.11</v>
      </c>
    </row>
    <row r="121" spans="11:69">
      <c r="K121" s="41">
        <f t="shared" si="11"/>
        <v>0</v>
      </c>
      <c r="L121" s="41">
        <f>((($AN121+$AO121)/2*$AH121+$AI121)*(1+$AP121)*(1+$AQ121)+(($AS121+$AT121)/2*IF($G$1="鸣金",$AJ121,$AH121)+IF($G$1="鸣金",$AK121*1.5,0))*(1+$AU121)*(1+$AV121)+(($AW121+$AX121)/2*IF($G$1="裂石",$AJ121,$AH121)+IF($G$1="裂石",$AK121*1.5,0))*(1+$AY121)*(1+$AZ121)+(($BA121+$BB121)/2*IF($G$1="牵丝",$AJ121,$AH121)+IF($G$1="牵丝",$AK121*1.5,0))*(1+$BC121)*(1+$BD121)+(($BE121+$BF121)/2*IF($G$1="破竹",$AJ121,$AH121)+IF($G$1="破竹",$AK121*1.5,0))*(1+$BG121)*(1+$BH121))*(1+$AL121)*$BK121*$P121*(1+IF(VLOOKUP($Q121,武学奇术!$A:$ZZ,30,FALSE)="弹道",$B$21,0))*(1+$BQ121)</f>
        <v>0</v>
      </c>
      <c r="M121" s="41">
        <f>(($AO121*$AH121+$AI121)*(1+$AP121)*(1+$AQ121)+($AT121*IF($G$1="鸣金",$AJ121,$AH121)+IF($G$1="鸣金",$AK121*1.5,0))*(1+$AU121)*(1+$AV121)+($AX121*IF($G$1="裂石",$AJ121,$AH121)+IF($G$1="裂石",$AK121*1.5,0))*(1+$AY121)*(1+$AZ121)+($BB121*IF($G$1="牵丝",$AJ121,$AH121)+IF($G$1="牵丝",$AK121*1.5,0))*(1+$BC121)*(1+$BD121)+($BF121*IF($G$1="破竹",$AJ121,$AH121)+IF($G$1="破竹",$AK121*1.5,0))*(1+$BG121)*(1+$BH121))*(1+$AL121)*$BM121*$P121*(1+IF(VLOOKUP($Q121,武学奇术!$A:$ZZ,30,FALSE)="弹道",$B$21,0))*(1+$BQ121)</f>
        <v>0</v>
      </c>
      <c r="N121" s="41">
        <f>((($AN121+$AO121)/2*$AH121+$AI121)*(1+$AP121)*(1+$AQ121)+(($AS121+$AT121)/2*IF($G$1="鸣金",$AJ121,$AH121)+IF($G$1="鸣金",$AK121*1.5,0))*(1+$AU121)*(1+$AV121)+(($AW121+$AX121)/2*IF($G$1="裂石",$AJ121,$AH121)+IF($G$1="裂石",$AK121*1.5,0))*(1+$AY121)*(1+$AZ121)+(($BA121+$BB121)/2*IF($G$1="牵丝",$AJ121,$AH121)+IF($G$1="牵丝",$AK121*1.5,0))*(1+$BC121)*(1+$BD121)+(($BE121+$BF121)/2*IF($G$1="破竹",$AJ121,$AH121)+IF($G$1="破竹",$AK121*1.5,0))*(1+$BG121)*(1+$BH121))*(1+$AL121)*$P121*(1+IF(VLOOKUP($Q121,武学奇术!$A:$ZZ,30,FALSE)="弹道",$B$21,0))*(1+$BQ121)</f>
        <v>0</v>
      </c>
      <c r="O121" s="41">
        <f>((($AN121*$AH121+$AI121)*(1+$AP121)*(1+$AQ121)+($AS121*IF($G$1="鸣金",$AJ121,$AH121)+IF($G$1="鸣金",$AK121*1.5,0))*(1+$AU121)*(1+$AV121)+($AW121*IF($G$1="裂石",$AJ121,$AH121)+IF($G$1="裂石",$AK121*1.5,0))*(1+$AY121)*(1+$AZ121)+($BA121*IF($G$1="牵丝",$AJ121,$AH121)+IF($G$1="牵丝",$AK121*1.5,0))*(1+$BC121)*(1+$BD121)+($BE121*IF($G$1="破竹",$AJ121,$AH121)+IF($G$1="破竹",$AK121*1.5,0))*(1+$BG121)*(1+$BH121))*(1+$AL121))*$P121*(1+IF(VLOOKUP($Q121,武学奇术!$A:$ZZ,30,FALSE)="弹道",$B$21,0))*(1+$BQ121)</f>
        <v>0</v>
      </c>
      <c r="P121" s="42">
        <f t="shared" si="23"/>
        <v>1</v>
      </c>
      <c r="Q121" s="43" t="s">
        <v>73</v>
      </c>
      <c r="R121" s="43" t="s">
        <v>73</v>
      </c>
      <c r="S121" s="43" t="s">
        <v>73</v>
      </c>
      <c r="T121" s="43" t="s">
        <v>73</v>
      </c>
      <c r="U121" s="43" t="s">
        <v>73</v>
      </c>
      <c r="V121" s="43" t="s">
        <v>73</v>
      </c>
      <c r="W121" s="43" t="s">
        <v>73</v>
      </c>
      <c r="X121" s="43" t="s">
        <v>73</v>
      </c>
      <c r="Y121" s="43" t="s">
        <v>73</v>
      </c>
      <c r="Z121" s="43" t="s">
        <v>73</v>
      </c>
      <c r="AA121" s="43" t="s">
        <v>73</v>
      </c>
      <c r="AB121" s="43" t="s">
        <v>73</v>
      </c>
      <c r="AC121" s="43" t="s">
        <v>73</v>
      </c>
      <c r="AD121" s="43" t="s">
        <v>73</v>
      </c>
      <c r="AE121" s="43" t="s">
        <v>73</v>
      </c>
      <c r="AF121" s="43" t="s">
        <v>75</v>
      </c>
      <c r="AG121" t="str">
        <f>VLOOKUP($Q121,武学奇术!$A:$ZZ,25,FALSE)</f>
        <v>心法</v>
      </c>
      <c r="AH121" s="27">
        <f>VLOOKUP($Q121,武学奇术!$A:$ZZ,26,FALSE)</f>
        <v>0</v>
      </c>
      <c r="AI121" s="28">
        <f>VLOOKUP($Q121,武学奇术!$A:$ZZ,27,FALSE)*(1+IF(OR($AG121=$F$4,$AG121=$F$5),$B$22,0))</f>
        <v>0</v>
      </c>
      <c r="AJ121" s="27">
        <f>VLOOKUP($Q121,武学奇术!$A:$ZZ,28,FALSE)</f>
        <v>0</v>
      </c>
      <c r="AK121" s="28">
        <f>VLOOKUP($Q121,武学奇术!$A:$ZZ,29,FALSE)*(1+IF(OR($AG121=$F$4,$AG121=$F$5),$B$22,0))</f>
        <v>0</v>
      </c>
      <c r="AL121" s="27" cm="1">
        <f t="array" ref="AL121">$G$3+IFERROR(VLOOKUP($AG121,$F$4:$G$7,2,FALSE),0)+VLOOKUP($Q121,武学奇术!$A:$ZZ,2,FALSE)+SUM(_xlfn.XLOOKUP($R121:$AF121,增益!$A:$A,增益!$B:$B,0))</f>
        <v>0.1037</v>
      </c>
      <c r="AM121" s="27" cm="1">
        <f t="array" ref="AM121">VLOOKUP($Q121,武学奇术!$A:$ZZ,5,FALSE)+SUM(_xlfn.XLOOKUP($R121:$AF121,增益!$A:$A,增益!$E:$E,0))</f>
        <v>0</v>
      </c>
      <c r="AN121" cm="1">
        <f t="array" ref="AN121">$D$10*(1+$AM121)+VLOOKUP($Q121,武学奇术!$A:$ZZ,3,FALSE)+SUM(_xlfn.XLOOKUP($R121:$AF121,增益!$A:$A,增益!$C:$C,0))-$I$2</f>
        <v>1713.7</v>
      </c>
      <c r="AO121" cm="1">
        <f t="array" ref="AO121">$E$10*(1+$AM121)+VLOOKUP($Q121,武学奇术!$A:$ZZ,4,FALSE)+SUM(_xlfn.XLOOKUP($R121:$AF121,增益!$A:$A,增益!$D:$D,0))-$I$2</f>
        <v>5189.5</v>
      </c>
      <c r="AP121" s="35" cm="1">
        <f t="array" ref="AP121">IF($F$10-$I$3+VLOOKUP($Q121,武学奇术!$A:$ZZ,6,FALSE)+SUM(_xlfn.XLOOKUP(R121:AF121,增益!$A:$A,增益!$F:$F,0))&gt;0,($F$10-$I$3+VLOOKUP($Q121,武学奇术!$A:$ZZ,6,FALSE)+SUM(_xlfn.XLOOKUP(R121:AF121,增益!$A:$A,增益!$F:$F,0)))/200,($F$10-$I$3+VLOOKUP($Q121,武学奇术!$A:$ZZ,6,FALSE)+SUM(_xlfn.XLOOKUP(R121:AF121,增益!$A:$A,增益!$F:$F,0)))/100)</f>
        <v>0.1925</v>
      </c>
      <c r="AQ121" s="35" cm="1">
        <f t="array" ref="AQ121">$G$10+VLOOKUP($Q121,武学奇术!$A:$ZZ,7,FALSE)+SUM(_xlfn.XLOOKUP(R121:AF121,增益!$A:$A,增益!$G:$G,0))</f>
        <v>0</v>
      </c>
      <c r="AR121" s="27" cm="1">
        <f t="array" ref="AR121">VLOOKUP($Q121,武学奇术!$A:$ZZ,8,FALSE)+SUM(_xlfn.XLOOKUP(R121:AF121,增益!$A:$A,增益!$H:$H,0))</f>
        <v>0</v>
      </c>
      <c r="AS121">
        <f t="shared" si="12"/>
        <v>0</v>
      </c>
      <c r="AT121">
        <f t="shared" si="13"/>
        <v>0</v>
      </c>
      <c r="AU121" s="35" cm="1">
        <f t="array" ref="AU121">IF($F$11-$I$4+VLOOKUP($Q121,武学奇术!$A:$ZZ,9,FALSE)+SUM(_xlfn.XLOOKUP(R121:AF121,增益!$A:$A,增益!$I:$I,0))&gt;0,($F$11-$I$4+VLOOKUP($Q121,武学奇术!$A:$ZZ,9,FALSE)+SUM(_xlfn.XLOOKUP(R121:AF121,增益!$A:$A,增益!$I:$I,0)))/200,($F$11-$I$4+VLOOKUP($Q121,武学奇术!$A:$ZZ,9,FALSE)+SUM(_xlfn.XLOOKUP(R121:AF121,增益!$A:$A,增益!$I:$I,0)))/100)</f>
        <v>-0.3</v>
      </c>
      <c r="AV121" s="35" cm="1">
        <f t="array" ref="AV121">$G$11+VLOOKUP($Q121,武学奇术!$A:$ZZ,10,FALSE)+SUM(_xlfn.XLOOKUP(R121:AF121,增益!$A:$A,增益!$J:$J,0))</f>
        <v>0</v>
      </c>
      <c r="AW121">
        <f t="shared" si="14"/>
        <v>0</v>
      </c>
      <c r="AX121">
        <f t="shared" si="15"/>
        <v>0</v>
      </c>
      <c r="AY121" s="35" cm="1">
        <f t="array" ref="AY121">IF($F$12-$I$4+VLOOKUP($Q121,武学奇术!$A:$ZZ,11,FALSE)+SUM(_xlfn.XLOOKUP(R121:AF121,增益!$A:$A,增益!$K:$K,0))&gt;0,($F$12-$I$4+VLOOKUP($Q121,武学奇术!$A:$ZZ,11,FALSE)+SUM(_xlfn.XLOOKUP(R121:AF121,增益!$A:$A,增益!$K:$K,0)))/200,($F$12-$I$4+VLOOKUP($Q121,武学奇术!$A:$ZZ,11,FALSE)+SUM(_xlfn.XLOOKUP(R121:AF121,增益!$A:$A,增益!$K:$K,0)))/100)</f>
        <v>-0.3</v>
      </c>
      <c r="AZ121" s="35" cm="1">
        <f t="array" ref="AZ121">$G$12+VLOOKUP($Q121,武学奇术!$A:$ZZ,12,FALSE)+SUM(_xlfn.XLOOKUP(R121:AF121,增益!$A:$A,增益!$L:$L,0))</f>
        <v>0</v>
      </c>
      <c r="BA121">
        <f t="shared" si="16"/>
        <v>538</v>
      </c>
      <c r="BB121">
        <f t="shared" si="17"/>
        <v>1011</v>
      </c>
      <c r="BC121" s="35" cm="1">
        <f t="array" ref="BC121">IF($F$13-$I$4+VLOOKUP($Q121,武学奇术!$A:$ZZ,13,FALSE)+SUM(_xlfn.XLOOKUP(R121:AF121,增益!$A:$A,增益!$M:$M,0))&gt;0,($F$13-$I$4+VLOOKUP($Q121,武学奇术!$A:$ZZ,13,FALSE)+SUM(_xlfn.XLOOKUP(R121:AF121,增益!$A:$A,增益!$K:$K,0)))/200,($F$13-$I$4+VLOOKUP($Q121,武学奇术!$A:$ZZ,13,FALSE)+SUM(_xlfn.XLOOKUP(R121:AF121,增益!$A:$A,增益!$M:$M,0)))/100)</f>
        <v>0</v>
      </c>
      <c r="BD121" s="35" cm="1">
        <f t="array" ref="BD121">$G$13+VLOOKUP($Q121,武学奇术!$A:$ZZ,14,FALSE)+SUM(_xlfn.XLOOKUP(R121:AF121,增益!$A:$A,增益!$N:$N,0))</f>
        <v>0.15</v>
      </c>
      <c r="BE121">
        <f t="shared" si="18"/>
        <v>0</v>
      </c>
      <c r="BF121">
        <f t="shared" si="19"/>
        <v>0</v>
      </c>
      <c r="BG121" s="35" cm="1">
        <f t="array" ref="BG121">IF($F$14-$I$4+VLOOKUP($Q121,武学奇术!$A:$ZZ,15,FALSE)+SUM(_xlfn.XLOOKUP(R121:AF121,增益!$A:$A,增益!$O:$O,0))&gt;0,($F$14-$I$4+VLOOKUP($Q121,武学奇术!$A:$ZZ,15,FALSE)+SUM(_xlfn.XLOOKUP(R121:AF121,增益!$A:$A,增益!$O:$O,0)))/200,($F$14-$I$4+VLOOKUP($Q121,武学奇术!$A:$ZZ,15,FALSE)+SUM(_xlfn.XLOOKUP(R121:AF121,增益!$A:$A,增益!$O:$O,0)))/100)</f>
        <v>-0.3</v>
      </c>
      <c r="BH121" s="35" cm="1">
        <f t="array" ref="BH121">$G$14+VLOOKUP($Q121,武学奇术!$A:$ZZ,16,FALSE)+SUM(_xlfn.XLOOKUP(R121:AF121,增益!$A:$A,增益!$P:$P,0))</f>
        <v>0</v>
      </c>
      <c r="BI121" s="27">
        <f>MIN(IF(VLOOKUP($Q121,武学奇术!$A:$ZZ,23,FALSE)=1,100%,$B$8),100%)</f>
        <v>0.9969</v>
      </c>
      <c r="BJ121" s="27" cm="1">
        <f t="array" ref="BJ121">IF(VLOOKUP($Q121,武学奇术!$A:$ZZ,23,FALSE)=1,100%,MIN(80%,$B$9+VLOOKUP($Q121,武学奇术!$A:$ZZ,17,FALSE)+SUM(_xlfn.XLOOKUP(R121:AF121,增益!$A:$A,增益!$Q:$Q,0)))+$B$11+SUM(_xlfn.XLOOKUP(R121:AF121,增益!$A:$A,增益!$U:$U,0)))*IF(VLOOKUP($Q121,武学奇术!$A:$ZZ,24,FALSE)=1,0,1)</f>
        <v>0.9137</v>
      </c>
      <c r="BK121" s="27" cm="1">
        <f t="array" ref="BK121">1+$B$13+VLOOKUP($Q121,武学奇术!$A:$ZZ,18,FALSE)+SUM(_xlfn.XLOOKUP(R121:AF121,增益!$A:$A,增益!$R:$R,0))</f>
        <v>1.5</v>
      </c>
      <c r="BL121" s="27" cm="1">
        <f t="array" ref="BL121">IF(VLOOKUP($Q121,武学奇术!$A:$ZZ,24,FALSE)=1,100%,MIN(40%,$B$10+VLOOKUP($Q121,武学奇术!$A:$ZZ,19,FALSE)+SUM(_xlfn.XLOOKUP(R121:AF121,增益!$A:$A,增益!$S:$S,0)))+$B$12+SUM(_xlfn.XLOOKUP(R121:AF121,增益!$A:$A,增益!$V:$V,0)))*IF(VLOOKUP($Q121,武学奇术!$A:$ZZ,23,FALSE)=1,0,1)</f>
        <v>0.0895</v>
      </c>
      <c r="BM121" s="27" cm="1">
        <f t="array" ref="BM121">1+$B$14+VLOOKUP($Q121,武学奇术!$A:$ZZ,20,FALSE)+SUM(_xlfn.XLOOKUP(R121:AF121,增益!$A:$A,增益!$T:$T,0))</f>
        <v>1.35</v>
      </c>
      <c r="BN121" s="27">
        <f t="shared" si="20"/>
        <v>0.90767745</v>
      </c>
      <c r="BO121" s="27">
        <f t="shared" si="21"/>
        <v>-1.30104260698261e-17</v>
      </c>
      <c r="BP121" s="27">
        <f>IF(VLOOKUP($Q121,武学奇术!$A:$ZZ,22,FALSE)=1,0,(1-$BI121))*(1-$BL121)</f>
        <v>0.00282254999999999</v>
      </c>
      <c r="BQ121" s="27" cm="1">
        <f t="array" ref="BQ121">SUM(_xlfn.XLOOKUP(R121:AF121,增益!$A:$A,增益!$W:$W,0))+$I$5</f>
        <v>0.11</v>
      </c>
    </row>
    <row r="122" spans="11:69">
      <c r="K122" s="41">
        <f t="shared" si="11"/>
        <v>0</v>
      </c>
      <c r="L122" s="41">
        <f>((($AN122+$AO122)/2*$AH122+$AI122)*(1+$AP122)*(1+$AQ122)+(($AS122+$AT122)/2*IF($G$1="鸣金",$AJ122,$AH122)+IF($G$1="鸣金",$AK122*1.5,0))*(1+$AU122)*(1+$AV122)+(($AW122+$AX122)/2*IF($G$1="裂石",$AJ122,$AH122)+IF($G$1="裂石",$AK122*1.5,0))*(1+$AY122)*(1+$AZ122)+(($BA122+$BB122)/2*IF($G$1="牵丝",$AJ122,$AH122)+IF($G$1="牵丝",$AK122*1.5,0))*(1+$BC122)*(1+$BD122)+(($BE122+$BF122)/2*IF($G$1="破竹",$AJ122,$AH122)+IF($G$1="破竹",$AK122*1.5,0))*(1+$BG122)*(1+$BH122))*(1+$AL122)*$BK122*$P122*(1+IF(VLOOKUP($Q122,武学奇术!$A:$ZZ,30,FALSE)="弹道",$B$21,0))*(1+$BQ122)</f>
        <v>0</v>
      </c>
      <c r="M122" s="41">
        <f>(($AO122*$AH122+$AI122)*(1+$AP122)*(1+$AQ122)+($AT122*IF($G$1="鸣金",$AJ122,$AH122)+IF($G$1="鸣金",$AK122*1.5,0))*(1+$AU122)*(1+$AV122)+($AX122*IF($G$1="裂石",$AJ122,$AH122)+IF($G$1="裂石",$AK122*1.5,0))*(1+$AY122)*(1+$AZ122)+($BB122*IF($G$1="牵丝",$AJ122,$AH122)+IF($G$1="牵丝",$AK122*1.5,0))*(1+$BC122)*(1+$BD122)+($BF122*IF($G$1="破竹",$AJ122,$AH122)+IF($G$1="破竹",$AK122*1.5,0))*(1+$BG122)*(1+$BH122))*(1+$AL122)*$BM122*$P122*(1+IF(VLOOKUP($Q122,武学奇术!$A:$ZZ,30,FALSE)="弹道",$B$21,0))*(1+$BQ122)</f>
        <v>0</v>
      </c>
      <c r="N122" s="41">
        <f>((($AN122+$AO122)/2*$AH122+$AI122)*(1+$AP122)*(1+$AQ122)+(($AS122+$AT122)/2*IF($G$1="鸣金",$AJ122,$AH122)+IF($G$1="鸣金",$AK122*1.5,0))*(1+$AU122)*(1+$AV122)+(($AW122+$AX122)/2*IF($G$1="裂石",$AJ122,$AH122)+IF($G$1="裂石",$AK122*1.5,0))*(1+$AY122)*(1+$AZ122)+(($BA122+$BB122)/2*IF($G$1="牵丝",$AJ122,$AH122)+IF($G$1="牵丝",$AK122*1.5,0))*(1+$BC122)*(1+$BD122)+(($BE122+$BF122)/2*IF($G$1="破竹",$AJ122,$AH122)+IF($G$1="破竹",$AK122*1.5,0))*(1+$BG122)*(1+$BH122))*(1+$AL122)*$P122*(1+IF(VLOOKUP($Q122,武学奇术!$A:$ZZ,30,FALSE)="弹道",$B$21,0))*(1+$BQ122)</f>
        <v>0</v>
      </c>
      <c r="O122" s="41">
        <f>((($AN122*$AH122+$AI122)*(1+$AP122)*(1+$AQ122)+($AS122*IF($G$1="鸣金",$AJ122,$AH122)+IF($G$1="鸣金",$AK122*1.5,0))*(1+$AU122)*(1+$AV122)+($AW122*IF($G$1="裂石",$AJ122,$AH122)+IF($G$1="裂石",$AK122*1.5,0))*(1+$AY122)*(1+$AZ122)+($BA122*IF($G$1="牵丝",$AJ122,$AH122)+IF($G$1="牵丝",$AK122*1.5,0))*(1+$BC122)*(1+$BD122)+($BE122*IF($G$1="破竹",$AJ122,$AH122)+IF($G$1="破竹",$AK122*1.5,0))*(1+$BG122)*(1+$BH122))*(1+$AL122))*$P122*(1+IF(VLOOKUP($Q122,武学奇术!$A:$ZZ,30,FALSE)="弹道",$B$21,0))*(1+$BQ122)</f>
        <v>0</v>
      </c>
      <c r="P122" s="42">
        <v>1</v>
      </c>
      <c r="Q122" s="43" t="s">
        <v>73</v>
      </c>
      <c r="R122" s="43" t="s">
        <v>73</v>
      </c>
      <c r="S122" s="43" t="s">
        <v>73</v>
      </c>
      <c r="T122" s="43" t="s">
        <v>73</v>
      </c>
      <c r="U122" s="43" t="s">
        <v>73</v>
      </c>
      <c r="V122" s="43" t="s">
        <v>73</v>
      </c>
      <c r="W122" s="43" t="s">
        <v>73</v>
      </c>
      <c r="X122" s="43" t="s">
        <v>73</v>
      </c>
      <c r="Y122" s="43" t="s">
        <v>73</v>
      </c>
      <c r="Z122" s="43" t="s">
        <v>73</v>
      </c>
      <c r="AA122" s="43" t="s">
        <v>73</v>
      </c>
      <c r="AB122" s="43" t="s">
        <v>73</v>
      </c>
      <c r="AC122" s="43" t="s">
        <v>73</v>
      </c>
      <c r="AD122" s="43" t="s">
        <v>73</v>
      </c>
      <c r="AE122" s="43" t="s">
        <v>73</v>
      </c>
      <c r="AF122" s="43" t="s">
        <v>75</v>
      </c>
      <c r="AG122" t="str">
        <f>VLOOKUP($Q122,武学奇术!$A:$ZZ,25,FALSE)</f>
        <v>心法</v>
      </c>
      <c r="AH122" s="27">
        <f>VLOOKUP($Q122,武学奇术!$A:$ZZ,26,FALSE)</f>
        <v>0</v>
      </c>
      <c r="AI122" s="28">
        <f>VLOOKUP($Q122,武学奇术!$A:$ZZ,27,FALSE)*(1+IF(OR($AG122=$F$4,$AG122=$F$5),$B$22,0))</f>
        <v>0</v>
      </c>
      <c r="AJ122" s="27">
        <f>VLOOKUP($Q122,武学奇术!$A:$ZZ,28,FALSE)</f>
        <v>0</v>
      </c>
      <c r="AK122" s="28">
        <f>VLOOKUP($Q122,武学奇术!$A:$ZZ,29,FALSE)*(1+IF(OR($AG122=$F$4,$AG122=$F$5),$B$22,0))</f>
        <v>0</v>
      </c>
      <c r="AL122" s="27" cm="1">
        <f t="array" ref="AL122">$G$3+IFERROR(VLOOKUP($AG122,$F$4:$G$7,2,FALSE),0)+VLOOKUP($Q122,武学奇术!$A:$ZZ,2,FALSE)+SUM(_xlfn.XLOOKUP($R122:$AF122,增益!$A:$A,增益!$B:$B,0))</f>
        <v>0.1037</v>
      </c>
      <c r="AM122" s="27" cm="1">
        <f t="array" ref="AM122">VLOOKUP($Q122,武学奇术!$A:$ZZ,5,FALSE)+SUM(_xlfn.XLOOKUP($R122:$AF122,增益!$A:$A,增益!$E:$E,0))</f>
        <v>0</v>
      </c>
      <c r="AN122" cm="1">
        <f t="array" ref="AN122">$D$10*(1+$AM122)+VLOOKUP($Q122,武学奇术!$A:$ZZ,3,FALSE)+SUM(_xlfn.XLOOKUP($R122:$AF122,增益!$A:$A,增益!$C:$C,0))-$I$2</f>
        <v>1713.7</v>
      </c>
      <c r="AO122" cm="1">
        <f t="array" ref="AO122">$E$10*(1+$AM122)+VLOOKUP($Q122,武学奇术!$A:$ZZ,4,FALSE)+SUM(_xlfn.XLOOKUP($R122:$AF122,增益!$A:$A,增益!$D:$D,0))-$I$2</f>
        <v>5189.5</v>
      </c>
      <c r="AP122" s="35" cm="1">
        <f t="array" ref="AP122">IF($F$10-$I$3+VLOOKUP($Q122,武学奇术!$A:$ZZ,6,FALSE)+SUM(_xlfn.XLOOKUP(R122:AF122,增益!$A:$A,增益!$F:$F,0))&gt;0,($F$10-$I$3+VLOOKUP($Q122,武学奇术!$A:$ZZ,6,FALSE)+SUM(_xlfn.XLOOKUP(R122:AF122,增益!$A:$A,增益!$F:$F,0)))/200,($F$10-$I$3+VLOOKUP($Q122,武学奇术!$A:$ZZ,6,FALSE)+SUM(_xlfn.XLOOKUP(R122:AF122,增益!$A:$A,增益!$F:$F,0)))/100)</f>
        <v>0.1925</v>
      </c>
      <c r="AQ122" s="35" cm="1">
        <f t="array" ref="AQ122">$G$10+VLOOKUP($Q122,武学奇术!$A:$ZZ,7,FALSE)+SUM(_xlfn.XLOOKUP(R122:AF122,增益!$A:$A,增益!$G:$G,0))</f>
        <v>0</v>
      </c>
      <c r="AR122" s="27" cm="1">
        <f t="array" ref="AR122">VLOOKUP($Q122,武学奇术!$A:$ZZ,8,FALSE)+SUM(_xlfn.XLOOKUP(R122:AF122,增益!$A:$A,增益!$H:$H,0))</f>
        <v>0</v>
      </c>
      <c r="AS122">
        <f t="shared" si="12"/>
        <v>0</v>
      </c>
      <c r="AT122">
        <f t="shared" si="13"/>
        <v>0</v>
      </c>
      <c r="AU122" s="35" cm="1">
        <f t="array" ref="AU122">IF($F$11-$I$4+VLOOKUP($Q122,武学奇术!$A:$ZZ,9,FALSE)+SUM(_xlfn.XLOOKUP(R122:AF122,增益!$A:$A,增益!$I:$I,0))&gt;0,($F$11-$I$4+VLOOKUP($Q122,武学奇术!$A:$ZZ,9,FALSE)+SUM(_xlfn.XLOOKUP(R122:AF122,增益!$A:$A,增益!$I:$I,0)))/200,($F$11-$I$4+VLOOKUP($Q122,武学奇术!$A:$ZZ,9,FALSE)+SUM(_xlfn.XLOOKUP(R122:AF122,增益!$A:$A,增益!$I:$I,0)))/100)</f>
        <v>-0.3</v>
      </c>
      <c r="AV122" s="35" cm="1">
        <f t="array" ref="AV122">$G$11+VLOOKUP($Q122,武学奇术!$A:$ZZ,10,FALSE)+SUM(_xlfn.XLOOKUP(R122:AF122,增益!$A:$A,增益!$J:$J,0))</f>
        <v>0</v>
      </c>
      <c r="AW122">
        <f t="shared" si="14"/>
        <v>0</v>
      </c>
      <c r="AX122">
        <f t="shared" si="15"/>
        <v>0</v>
      </c>
      <c r="AY122" s="35" cm="1">
        <f t="array" ref="AY122">IF($F$12-$I$4+VLOOKUP($Q122,武学奇术!$A:$ZZ,11,FALSE)+SUM(_xlfn.XLOOKUP(R122:AF122,增益!$A:$A,增益!$K:$K,0))&gt;0,($F$12-$I$4+VLOOKUP($Q122,武学奇术!$A:$ZZ,11,FALSE)+SUM(_xlfn.XLOOKUP(R122:AF122,增益!$A:$A,增益!$K:$K,0)))/200,($F$12-$I$4+VLOOKUP($Q122,武学奇术!$A:$ZZ,11,FALSE)+SUM(_xlfn.XLOOKUP(R122:AF122,增益!$A:$A,增益!$K:$K,0)))/100)</f>
        <v>-0.3</v>
      </c>
      <c r="AZ122" s="35" cm="1">
        <f t="array" ref="AZ122">$G$12+VLOOKUP($Q122,武学奇术!$A:$ZZ,12,FALSE)+SUM(_xlfn.XLOOKUP(R122:AF122,增益!$A:$A,增益!$L:$L,0))</f>
        <v>0</v>
      </c>
      <c r="BA122">
        <f t="shared" si="16"/>
        <v>538</v>
      </c>
      <c r="BB122">
        <f t="shared" si="17"/>
        <v>1011</v>
      </c>
      <c r="BC122" s="35" cm="1">
        <f t="array" ref="BC122">IF($F$13-$I$4+VLOOKUP($Q122,武学奇术!$A:$ZZ,13,FALSE)+SUM(_xlfn.XLOOKUP(R122:AF122,增益!$A:$A,增益!$M:$M,0))&gt;0,($F$13-$I$4+VLOOKUP($Q122,武学奇术!$A:$ZZ,13,FALSE)+SUM(_xlfn.XLOOKUP(R122:AF122,增益!$A:$A,增益!$K:$K,0)))/200,($F$13-$I$4+VLOOKUP($Q122,武学奇术!$A:$ZZ,13,FALSE)+SUM(_xlfn.XLOOKUP(R122:AF122,增益!$A:$A,增益!$M:$M,0)))/100)</f>
        <v>0</v>
      </c>
      <c r="BD122" s="35" cm="1">
        <f t="array" ref="BD122">$G$13+VLOOKUP($Q122,武学奇术!$A:$ZZ,14,FALSE)+SUM(_xlfn.XLOOKUP(R122:AF122,增益!$A:$A,增益!$N:$N,0))</f>
        <v>0.15</v>
      </c>
      <c r="BE122">
        <f t="shared" si="18"/>
        <v>0</v>
      </c>
      <c r="BF122">
        <f t="shared" si="19"/>
        <v>0</v>
      </c>
      <c r="BG122" s="35" cm="1">
        <f t="array" ref="BG122">IF($F$14-$I$4+VLOOKUP($Q122,武学奇术!$A:$ZZ,15,FALSE)+SUM(_xlfn.XLOOKUP(R122:AF122,增益!$A:$A,增益!$O:$O,0))&gt;0,($F$14-$I$4+VLOOKUP($Q122,武学奇术!$A:$ZZ,15,FALSE)+SUM(_xlfn.XLOOKUP(R122:AF122,增益!$A:$A,增益!$O:$O,0)))/200,($F$14-$I$4+VLOOKUP($Q122,武学奇术!$A:$ZZ,15,FALSE)+SUM(_xlfn.XLOOKUP(R122:AF122,增益!$A:$A,增益!$O:$O,0)))/100)</f>
        <v>-0.3</v>
      </c>
      <c r="BH122" s="35" cm="1">
        <f t="array" ref="BH122">$G$14+VLOOKUP($Q122,武学奇术!$A:$ZZ,16,FALSE)+SUM(_xlfn.XLOOKUP(R122:AF122,增益!$A:$A,增益!$P:$P,0))</f>
        <v>0</v>
      </c>
      <c r="BI122" s="27">
        <f>MIN(IF(VLOOKUP($Q122,武学奇术!$A:$ZZ,23,FALSE)=1,100%,$B$8),100%)</f>
        <v>0.9969</v>
      </c>
      <c r="BJ122" s="27" cm="1">
        <f t="array" ref="BJ122">IF(VLOOKUP($Q122,武学奇术!$A:$ZZ,23,FALSE)=1,100%,MIN(80%,$B$9+VLOOKUP($Q122,武学奇术!$A:$ZZ,17,FALSE)+SUM(_xlfn.XLOOKUP(R122:AF122,增益!$A:$A,增益!$Q:$Q,0)))+$B$11+SUM(_xlfn.XLOOKUP(R122:AF122,增益!$A:$A,增益!$U:$U,0)))*IF(VLOOKUP($Q122,武学奇术!$A:$ZZ,24,FALSE)=1,0,1)</f>
        <v>0.9137</v>
      </c>
      <c r="BK122" s="27" cm="1">
        <f t="array" ref="BK122">1+$B$13+VLOOKUP($Q122,武学奇术!$A:$ZZ,18,FALSE)+SUM(_xlfn.XLOOKUP(R122:AF122,增益!$A:$A,增益!$R:$R,0))</f>
        <v>1.5</v>
      </c>
      <c r="BL122" s="27" cm="1">
        <f t="array" ref="BL122">IF(VLOOKUP($Q122,武学奇术!$A:$ZZ,24,FALSE)=1,100%,MIN(40%,$B$10+VLOOKUP($Q122,武学奇术!$A:$ZZ,19,FALSE)+SUM(_xlfn.XLOOKUP(R122:AF122,增益!$A:$A,增益!$S:$S,0)))+$B$12+SUM(_xlfn.XLOOKUP(R122:AF122,增益!$A:$A,增益!$V:$V,0)))*IF(VLOOKUP($Q122,武学奇术!$A:$ZZ,23,FALSE)=1,0,1)</f>
        <v>0.0895</v>
      </c>
      <c r="BM122" s="27" cm="1">
        <f t="array" ref="BM122">1+$B$14+VLOOKUP($Q122,武学奇术!$A:$ZZ,20,FALSE)+SUM(_xlfn.XLOOKUP(R122:AF122,增益!$A:$A,增益!$T:$T,0))</f>
        <v>1.35</v>
      </c>
      <c r="BN122" s="27">
        <f t="shared" si="20"/>
        <v>0.90767745</v>
      </c>
      <c r="BO122" s="27">
        <f t="shared" si="21"/>
        <v>-1.30104260698261e-17</v>
      </c>
      <c r="BP122" s="27">
        <f>IF(VLOOKUP($Q122,武学奇术!$A:$ZZ,22,FALSE)=1,0,(1-$BI122))*(1-$BL122)</f>
        <v>0.00282254999999999</v>
      </c>
      <c r="BQ122" s="27" cm="1">
        <f t="array" ref="BQ122">SUM(_xlfn.XLOOKUP(R122:AF122,增益!$A:$A,增益!$W:$W,0))+$I$5</f>
        <v>0.11</v>
      </c>
    </row>
    <row r="123" spans="11:69">
      <c r="K123" s="41">
        <f t="shared" si="11"/>
        <v>0</v>
      </c>
      <c r="L123" s="41">
        <f>((($AN123+$AO123)/2*$AH123+$AI123)*(1+$AP123)*(1+$AQ123)+(($AS123+$AT123)/2*IF($G$1="鸣金",$AJ123,$AH123)+IF($G$1="鸣金",$AK123*1.5,0))*(1+$AU123)*(1+$AV123)+(($AW123+$AX123)/2*IF($G$1="裂石",$AJ123,$AH123)+IF($G$1="裂石",$AK123*1.5,0))*(1+$AY123)*(1+$AZ123)+(($BA123+$BB123)/2*IF($G$1="牵丝",$AJ123,$AH123)+IF($G$1="牵丝",$AK123*1.5,0))*(1+$BC123)*(1+$BD123)+(($BE123+$BF123)/2*IF($G$1="破竹",$AJ123,$AH123)+IF($G$1="破竹",$AK123*1.5,0))*(1+$BG123)*(1+$BH123))*(1+$AL123)*$BK123*$P123*(1+IF(VLOOKUP($Q123,武学奇术!$A:$ZZ,30,FALSE)="弹道",$B$21,0))*(1+$BQ123)</f>
        <v>0</v>
      </c>
      <c r="M123" s="41">
        <f>(($AO123*$AH123+$AI123)*(1+$AP123)*(1+$AQ123)+($AT123*IF($G$1="鸣金",$AJ123,$AH123)+IF($G$1="鸣金",$AK123*1.5,0))*(1+$AU123)*(1+$AV123)+($AX123*IF($G$1="裂石",$AJ123,$AH123)+IF($G$1="裂石",$AK123*1.5,0))*(1+$AY123)*(1+$AZ123)+($BB123*IF($G$1="牵丝",$AJ123,$AH123)+IF($G$1="牵丝",$AK123*1.5,0))*(1+$BC123)*(1+$BD123)+($BF123*IF($G$1="破竹",$AJ123,$AH123)+IF($G$1="破竹",$AK123*1.5,0))*(1+$BG123)*(1+$BH123))*(1+$AL123)*$BM123*$P123*(1+IF(VLOOKUP($Q123,武学奇术!$A:$ZZ,30,FALSE)="弹道",$B$21,0))*(1+$BQ123)</f>
        <v>0</v>
      </c>
      <c r="N123" s="41">
        <f>((($AN123+$AO123)/2*$AH123+$AI123)*(1+$AP123)*(1+$AQ123)+(($AS123+$AT123)/2*IF($G$1="鸣金",$AJ123,$AH123)+IF($G$1="鸣金",$AK123*1.5,0))*(1+$AU123)*(1+$AV123)+(($AW123+$AX123)/2*IF($G$1="裂石",$AJ123,$AH123)+IF($G$1="裂石",$AK123*1.5,0))*(1+$AY123)*(1+$AZ123)+(($BA123+$BB123)/2*IF($G$1="牵丝",$AJ123,$AH123)+IF($G$1="牵丝",$AK123*1.5,0))*(1+$BC123)*(1+$BD123)+(($BE123+$BF123)/2*IF($G$1="破竹",$AJ123,$AH123)+IF($G$1="破竹",$AK123*1.5,0))*(1+$BG123)*(1+$BH123))*(1+$AL123)*$P123*(1+IF(VLOOKUP($Q123,武学奇术!$A:$ZZ,30,FALSE)="弹道",$B$21,0))*(1+$BQ123)</f>
        <v>0</v>
      </c>
      <c r="O123" s="41">
        <f>((($AN123*$AH123+$AI123)*(1+$AP123)*(1+$AQ123)+($AS123*IF($G$1="鸣金",$AJ123,$AH123)+IF($G$1="鸣金",$AK123*1.5,0))*(1+$AU123)*(1+$AV123)+($AW123*IF($G$1="裂石",$AJ123,$AH123)+IF($G$1="裂石",$AK123*1.5,0))*(1+$AY123)*(1+$AZ123)+($BA123*IF($G$1="牵丝",$AJ123,$AH123)+IF($G$1="牵丝",$AK123*1.5,0))*(1+$BC123)*(1+$BD123)+($BE123*IF($G$1="破竹",$AJ123,$AH123)+IF($G$1="破竹",$AK123*1.5,0))*(1+$BG123)*(1+$BH123))*(1+$AL123))*$P123*(1+IF(VLOOKUP($Q123,武学奇术!$A:$ZZ,30,FALSE)="弹道",$B$21,0))*(1+$BQ123)</f>
        <v>0</v>
      </c>
      <c r="P123" s="42">
        <f t="shared" si="23"/>
        <v>1</v>
      </c>
      <c r="Q123" s="43" t="s">
        <v>73</v>
      </c>
      <c r="R123" s="43" t="s">
        <v>73</v>
      </c>
      <c r="S123" s="43" t="s">
        <v>73</v>
      </c>
      <c r="T123" s="43" t="s">
        <v>73</v>
      </c>
      <c r="U123" s="43" t="s">
        <v>73</v>
      </c>
      <c r="V123" s="43" t="s">
        <v>73</v>
      </c>
      <c r="W123" s="43" t="s">
        <v>73</v>
      </c>
      <c r="X123" s="43" t="s">
        <v>73</v>
      </c>
      <c r="Y123" s="43" t="s">
        <v>73</v>
      </c>
      <c r="Z123" s="43" t="s">
        <v>73</v>
      </c>
      <c r="AA123" s="43" t="s">
        <v>73</v>
      </c>
      <c r="AB123" s="43" t="s">
        <v>73</v>
      </c>
      <c r="AC123" s="43" t="s">
        <v>73</v>
      </c>
      <c r="AD123" s="43" t="s">
        <v>73</v>
      </c>
      <c r="AE123" s="43" t="s">
        <v>73</v>
      </c>
      <c r="AF123" s="43" t="s">
        <v>75</v>
      </c>
      <c r="AG123" t="str">
        <f>VLOOKUP($Q123,武学奇术!$A:$ZZ,25,FALSE)</f>
        <v>心法</v>
      </c>
      <c r="AH123" s="27">
        <f>VLOOKUP($Q123,武学奇术!$A:$ZZ,26,FALSE)</f>
        <v>0</v>
      </c>
      <c r="AI123" s="28">
        <f>VLOOKUP($Q123,武学奇术!$A:$ZZ,27,FALSE)*(1+IF(OR($AG123=$F$4,$AG123=$F$5),$B$22,0))</f>
        <v>0</v>
      </c>
      <c r="AJ123" s="27">
        <f>VLOOKUP($Q123,武学奇术!$A:$ZZ,28,FALSE)</f>
        <v>0</v>
      </c>
      <c r="AK123" s="28">
        <f>VLOOKUP($Q123,武学奇术!$A:$ZZ,29,FALSE)*(1+IF(OR($AG123=$F$4,$AG123=$F$5),$B$22,0))</f>
        <v>0</v>
      </c>
      <c r="AL123" s="27" cm="1">
        <f t="array" ref="AL123">$G$3+IFERROR(VLOOKUP($AG123,$F$4:$G$7,2,FALSE),0)+VLOOKUP($Q123,武学奇术!$A:$ZZ,2,FALSE)+SUM(_xlfn.XLOOKUP($R123:$AF123,增益!$A:$A,增益!$B:$B,0))</f>
        <v>0.1037</v>
      </c>
      <c r="AM123" s="27" cm="1">
        <f t="array" ref="AM123">VLOOKUP($Q123,武学奇术!$A:$ZZ,5,FALSE)+SUM(_xlfn.XLOOKUP($R123:$AF123,增益!$A:$A,增益!$E:$E,0))</f>
        <v>0</v>
      </c>
      <c r="AN123" cm="1">
        <f t="array" ref="AN123">$D$10*(1+$AM123)+VLOOKUP($Q123,武学奇术!$A:$ZZ,3,FALSE)+SUM(_xlfn.XLOOKUP($R123:$AF123,增益!$A:$A,增益!$C:$C,0))-$I$2</f>
        <v>1713.7</v>
      </c>
      <c r="AO123" cm="1">
        <f t="array" ref="AO123">$E$10*(1+$AM123)+VLOOKUP($Q123,武学奇术!$A:$ZZ,4,FALSE)+SUM(_xlfn.XLOOKUP($R123:$AF123,增益!$A:$A,增益!$D:$D,0))-$I$2</f>
        <v>5189.5</v>
      </c>
      <c r="AP123" s="35" cm="1">
        <f t="array" ref="AP123">IF($F$10-$I$3+VLOOKUP($Q123,武学奇术!$A:$ZZ,6,FALSE)+SUM(_xlfn.XLOOKUP(R123:AF123,增益!$A:$A,增益!$F:$F,0))&gt;0,($F$10-$I$3+VLOOKUP($Q123,武学奇术!$A:$ZZ,6,FALSE)+SUM(_xlfn.XLOOKUP(R123:AF123,增益!$A:$A,增益!$F:$F,0)))/200,($F$10-$I$3+VLOOKUP($Q123,武学奇术!$A:$ZZ,6,FALSE)+SUM(_xlfn.XLOOKUP(R123:AF123,增益!$A:$A,增益!$F:$F,0)))/100)</f>
        <v>0.1925</v>
      </c>
      <c r="AQ123" s="35" cm="1">
        <f t="array" ref="AQ123">$G$10+VLOOKUP($Q123,武学奇术!$A:$ZZ,7,FALSE)+SUM(_xlfn.XLOOKUP(R123:AF123,增益!$A:$A,增益!$G:$G,0))</f>
        <v>0</v>
      </c>
      <c r="AR123" s="27" cm="1">
        <f t="array" ref="AR123">VLOOKUP($Q123,武学奇术!$A:$ZZ,8,FALSE)+SUM(_xlfn.XLOOKUP(R123:AF123,增益!$A:$A,增益!$H:$H,0))</f>
        <v>0</v>
      </c>
      <c r="AS123">
        <f t="shared" si="12"/>
        <v>0</v>
      </c>
      <c r="AT123">
        <f t="shared" si="13"/>
        <v>0</v>
      </c>
      <c r="AU123" s="35" cm="1">
        <f t="array" ref="AU123">IF($F$11-$I$4+VLOOKUP($Q123,武学奇术!$A:$ZZ,9,FALSE)+SUM(_xlfn.XLOOKUP(R123:AF123,增益!$A:$A,增益!$I:$I,0))&gt;0,($F$11-$I$4+VLOOKUP($Q123,武学奇术!$A:$ZZ,9,FALSE)+SUM(_xlfn.XLOOKUP(R123:AF123,增益!$A:$A,增益!$I:$I,0)))/200,($F$11-$I$4+VLOOKUP($Q123,武学奇术!$A:$ZZ,9,FALSE)+SUM(_xlfn.XLOOKUP(R123:AF123,增益!$A:$A,增益!$I:$I,0)))/100)</f>
        <v>-0.3</v>
      </c>
      <c r="AV123" s="35" cm="1">
        <f t="array" ref="AV123">$G$11+VLOOKUP($Q123,武学奇术!$A:$ZZ,10,FALSE)+SUM(_xlfn.XLOOKUP(R123:AF123,增益!$A:$A,增益!$J:$J,0))</f>
        <v>0</v>
      </c>
      <c r="AW123">
        <f t="shared" si="14"/>
        <v>0</v>
      </c>
      <c r="AX123">
        <f t="shared" si="15"/>
        <v>0</v>
      </c>
      <c r="AY123" s="35" cm="1">
        <f t="array" ref="AY123">IF($F$12-$I$4+VLOOKUP($Q123,武学奇术!$A:$ZZ,11,FALSE)+SUM(_xlfn.XLOOKUP(R123:AF123,增益!$A:$A,增益!$K:$K,0))&gt;0,($F$12-$I$4+VLOOKUP($Q123,武学奇术!$A:$ZZ,11,FALSE)+SUM(_xlfn.XLOOKUP(R123:AF123,增益!$A:$A,增益!$K:$K,0)))/200,($F$12-$I$4+VLOOKUP($Q123,武学奇术!$A:$ZZ,11,FALSE)+SUM(_xlfn.XLOOKUP(R123:AF123,增益!$A:$A,增益!$K:$K,0)))/100)</f>
        <v>-0.3</v>
      </c>
      <c r="AZ123" s="35" cm="1">
        <f t="array" ref="AZ123">$G$12+VLOOKUP($Q123,武学奇术!$A:$ZZ,12,FALSE)+SUM(_xlfn.XLOOKUP(R123:AF123,增益!$A:$A,增益!$L:$L,0))</f>
        <v>0</v>
      </c>
      <c r="BA123">
        <f t="shared" si="16"/>
        <v>538</v>
      </c>
      <c r="BB123">
        <f t="shared" si="17"/>
        <v>1011</v>
      </c>
      <c r="BC123" s="35" cm="1">
        <f t="array" ref="BC123">IF($F$13-$I$4+VLOOKUP($Q123,武学奇术!$A:$ZZ,13,FALSE)+SUM(_xlfn.XLOOKUP(R123:AF123,增益!$A:$A,增益!$M:$M,0))&gt;0,($F$13-$I$4+VLOOKUP($Q123,武学奇术!$A:$ZZ,13,FALSE)+SUM(_xlfn.XLOOKUP(R123:AF123,增益!$A:$A,增益!$K:$K,0)))/200,($F$13-$I$4+VLOOKUP($Q123,武学奇术!$A:$ZZ,13,FALSE)+SUM(_xlfn.XLOOKUP(R123:AF123,增益!$A:$A,增益!$M:$M,0)))/100)</f>
        <v>0</v>
      </c>
      <c r="BD123" s="35" cm="1">
        <f t="array" ref="BD123">$G$13+VLOOKUP($Q123,武学奇术!$A:$ZZ,14,FALSE)+SUM(_xlfn.XLOOKUP(R123:AF123,增益!$A:$A,增益!$N:$N,0))</f>
        <v>0.15</v>
      </c>
      <c r="BE123">
        <f t="shared" si="18"/>
        <v>0</v>
      </c>
      <c r="BF123">
        <f t="shared" si="19"/>
        <v>0</v>
      </c>
      <c r="BG123" s="35" cm="1">
        <f t="array" ref="BG123">IF($F$14-$I$4+VLOOKUP($Q123,武学奇术!$A:$ZZ,15,FALSE)+SUM(_xlfn.XLOOKUP(R123:AF123,增益!$A:$A,增益!$O:$O,0))&gt;0,($F$14-$I$4+VLOOKUP($Q123,武学奇术!$A:$ZZ,15,FALSE)+SUM(_xlfn.XLOOKUP(R123:AF123,增益!$A:$A,增益!$O:$O,0)))/200,($F$14-$I$4+VLOOKUP($Q123,武学奇术!$A:$ZZ,15,FALSE)+SUM(_xlfn.XLOOKUP(R123:AF123,增益!$A:$A,增益!$O:$O,0)))/100)</f>
        <v>-0.3</v>
      </c>
      <c r="BH123" s="35" cm="1">
        <f t="array" ref="BH123">$G$14+VLOOKUP($Q123,武学奇术!$A:$ZZ,16,FALSE)+SUM(_xlfn.XLOOKUP(R123:AF123,增益!$A:$A,增益!$P:$P,0))</f>
        <v>0</v>
      </c>
      <c r="BI123" s="27">
        <f>MIN(IF(VLOOKUP($Q123,武学奇术!$A:$ZZ,23,FALSE)=1,100%,$B$8),100%)</f>
        <v>0.9969</v>
      </c>
      <c r="BJ123" s="27" cm="1">
        <f t="array" ref="BJ123">IF(VLOOKUP($Q123,武学奇术!$A:$ZZ,23,FALSE)=1,100%,MIN(80%,$B$9+VLOOKUP($Q123,武学奇术!$A:$ZZ,17,FALSE)+SUM(_xlfn.XLOOKUP(R123:AF123,增益!$A:$A,增益!$Q:$Q,0)))+$B$11+SUM(_xlfn.XLOOKUP(R123:AF123,增益!$A:$A,增益!$U:$U,0)))*IF(VLOOKUP($Q123,武学奇术!$A:$ZZ,24,FALSE)=1,0,1)</f>
        <v>0.9137</v>
      </c>
      <c r="BK123" s="27" cm="1">
        <f t="array" ref="BK123">1+$B$13+VLOOKUP($Q123,武学奇术!$A:$ZZ,18,FALSE)+SUM(_xlfn.XLOOKUP(R123:AF123,增益!$A:$A,增益!$R:$R,0))</f>
        <v>1.5</v>
      </c>
      <c r="BL123" s="27" cm="1">
        <f t="array" ref="BL123">IF(VLOOKUP($Q123,武学奇术!$A:$ZZ,24,FALSE)=1,100%,MIN(40%,$B$10+VLOOKUP($Q123,武学奇术!$A:$ZZ,19,FALSE)+SUM(_xlfn.XLOOKUP(R123:AF123,增益!$A:$A,增益!$S:$S,0)))+$B$12+SUM(_xlfn.XLOOKUP(R123:AF123,增益!$A:$A,增益!$V:$V,0)))*IF(VLOOKUP($Q123,武学奇术!$A:$ZZ,23,FALSE)=1,0,1)</f>
        <v>0.0895</v>
      </c>
      <c r="BM123" s="27" cm="1">
        <f t="array" ref="BM123">1+$B$14+VLOOKUP($Q123,武学奇术!$A:$ZZ,20,FALSE)+SUM(_xlfn.XLOOKUP(R123:AF123,增益!$A:$A,增益!$T:$T,0))</f>
        <v>1.35</v>
      </c>
      <c r="BN123" s="27">
        <f t="shared" si="20"/>
        <v>0.90767745</v>
      </c>
      <c r="BO123" s="27">
        <f t="shared" si="21"/>
        <v>-1.30104260698261e-17</v>
      </c>
      <c r="BP123" s="27">
        <f>IF(VLOOKUP($Q123,武学奇术!$A:$ZZ,22,FALSE)=1,0,(1-$BI123))*(1-$BL123)</f>
        <v>0.00282254999999999</v>
      </c>
      <c r="BQ123" s="27" cm="1">
        <f t="array" ref="BQ123">SUM(_xlfn.XLOOKUP(R123:AF123,增益!$A:$A,增益!$W:$W,0))+$I$5</f>
        <v>0.11</v>
      </c>
    </row>
    <row r="124" spans="11:69">
      <c r="K124" s="41">
        <f t="shared" si="11"/>
        <v>0</v>
      </c>
      <c r="L124" s="41">
        <f>((($AN124+$AO124)/2*$AH124+$AI124)*(1+$AP124)*(1+$AQ124)+(($AS124+$AT124)/2*IF($G$1="鸣金",$AJ124,$AH124)+IF($G$1="鸣金",$AK124*1.5,0))*(1+$AU124)*(1+$AV124)+(($AW124+$AX124)/2*IF($G$1="裂石",$AJ124,$AH124)+IF($G$1="裂石",$AK124*1.5,0))*(1+$AY124)*(1+$AZ124)+(($BA124+$BB124)/2*IF($G$1="牵丝",$AJ124,$AH124)+IF($G$1="牵丝",$AK124*1.5,0))*(1+$BC124)*(1+$BD124)+(($BE124+$BF124)/2*IF($G$1="破竹",$AJ124,$AH124)+IF($G$1="破竹",$AK124*1.5,0))*(1+$BG124)*(1+$BH124))*(1+$AL124)*$BK124*$P124*(1+IF(VLOOKUP($Q124,武学奇术!$A:$ZZ,30,FALSE)="弹道",$B$21,0))*(1+$BQ124)</f>
        <v>0</v>
      </c>
      <c r="M124" s="41">
        <f>(($AO124*$AH124+$AI124)*(1+$AP124)*(1+$AQ124)+($AT124*IF($G$1="鸣金",$AJ124,$AH124)+IF($G$1="鸣金",$AK124*1.5,0))*(1+$AU124)*(1+$AV124)+($AX124*IF($G$1="裂石",$AJ124,$AH124)+IF($G$1="裂石",$AK124*1.5,0))*(1+$AY124)*(1+$AZ124)+($BB124*IF($G$1="牵丝",$AJ124,$AH124)+IF($G$1="牵丝",$AK124*1.5,0))*(1+$BC124)*(1+$BD124)+($BF124*IF($G$1="破竹",$AJ124,$AH124)+IF($G$1="破竹",$AK124*1.5,0))*(1+$BG124)*(1+$BH124))*(1+$AL124)*$BM124*$P124*(1+IF(VLOOKUP($Q124,武学奇术!$A:$ZZ,30,FALSE)="弹道",$B$21,0))*(1+$BQ124)</f>
        <v>0</v>
      </c>
      <c r="N124" s="41">
        <f>((($AN124+$AO124)/2*$AH124+$AI124)*(1+$AP124)*(1+$AQ124)+(($AS124+$AT124)/2*IF($G$1="鸣金",$AJ124,$AH124)+IF($G$1="鸣金",$AK124*1.5,0))*(1+$AU124)*(1+$AV124)+(($AW124+$AX124)/2*IF($G$1="裂石",$AJ124,$AH124)+IF($G$1="裂石",$AK124*1.5,0))*(1+$AY124)*(1+$AZ124)+(($BA124+$BB124)/2*IF($G$1="牵丝",$AJ124,$AH124)+IF($G$1="牵丝",$AK124*1.5,0))*(1+$BC124)*(1+$BD124)+(($BE124+$BF124)/2*IF($G$1="破竹",$AJ124,$AH124)+IF($G$1="破竹",$AK124*1.5,0))*(1+$BG124)*(1+$BH124))*(1+$AL124)*$P124*(1+IF(VLOOKUP($Q124,武学奇术!$A:$ZZ,30,FALSE)="弹道",$B$21,0))*(1+$BQ124)</f>
        <v>0</v>
      </c>
      <c r="O124" s="41">
        <f>((($AN124*$AH124+$AI124)*(1+$AP124)*(1+$AQ124)+($AS124*IF($G$1="鸣金",$AJ124,$AH124)+IF($G$1="鸣金",$AK124*1.5,0))*(1+$AU124)*(1+$AV124)+($AW124*IF($G$1="裂石",$AJ124,$AH124)+IF($G$1="裂石",$AK124*1.5,0))*(1+$AY124)*(1+$AZ124)+($BA124*IF($G$1="牵丝",$AJ124,$AH124)+IF($G$1="牵丝",$AK124*1.5,0))*(1+$BC124)*(1+$BD124)+($BE124*IF($G$1="破竹",$AJ124,$AH124)+IF($G$1="破竹",$AK124*1.5,0))*(1+$BG124)*(1+$BH124))*(1+$AL124))*$P124*(1+IF(VLOOKUP($Q124,武学奇术!$A:$ZZ,30,FALSE)="弹道",$B$21,0))*(1+$BQ124)</f>
        <v>0</v>
      </c>
      <c r="P124" s="42">
        <v>1</v>
      </c>
      <c r="Q124" s="43" t="s">
        <v>73</v>
      </c>
      <c r="R124" s="43" t="s">
        <v>73</v>
      </c>
      <c r="S124" s="43" t="s">
        <v>73</v>
      </c>
      <c r="T124" s="43" t="s">
        <v>73</v>
      </c>
      <c r="U124" s="43" t="s">
        <v>73</v>
      </c>
      <c r="V124" s="43" t="s">
        <v>73</v>
      </c>
      <c r="W124" s="43" t="s">
        <v>73</v>
      </c>
      <c r="X124" s="43" t="s">
        <v>73</v>
      </c>
      <c r="Y124" s="43" t="s">
        <v>73</v>
      </c>
      <c r="Z124" s="43" t="s">
        <v>73</v>
      </c>
      <c r="AA124" s="43" t="s">
        <v>73</v>
      </c>
      <c r="AB124" s="43" t="s">
        <v>73</v>
      </c>
      <c r="AC124" s="43" t="s">
        <v>73</v>
      </c>
      <c r="AD124" s="43" t="s">
        <v>73</v>
      </c>
      <c r="AE124" s="43" t="s">
        <v>73</v>
      </c>
      <c r="AF124" s="43" t="s">
        <v>75</v>
      </c>
      <c r="AG124" t="str">
        <f>VLOOKUP($Q124,武学奇术!$A:$ZZ,25,FALSE)</f>
        <v>心法</v>
      </c>
      <c r="AH124" s="27">
        <f>VLOOKUP($Q124,武学奇术!$A:$ZZ,26,FALSE)</f>
        <v>0</v>
      </c>
      <c r="AI124" s="28">
        <f>VLOOKUP($Q124,武学奇术!$A:$ZZ,27,FALSE)*(1+IF(OR($AG124=$F$4,$AG124=$F$5),$B$22,0))</f>
        <v>0</v>
      </c>
      <c r="AJ124" s="27">
        <f>VLOOKUP($Q124,武学奇术!$A:$ZZ,28,FALSE)</f>
        <v>0</v>
      </c>
      <c r="AK124" s="28">
        <f>VLOOKUP($Q124,武学奇术!$A:$ZZ,29,FALSE)*(1+IF(OR($AG124=$F$4,$AG124=$F$5),$B$22,0))</f>
        <v>0</v>
      </c>
      <c r="AL124" s="27" cm="1">
        <f t="array" ref="AL124">$G$3+IFERROR(VLOOKUP($AG124,$F$4:$G$7,2,FALSE),0)+VLOOKUP($Q124,武学奇术!$A:$ZZ,2,FALSE)+SUM(_xlfn.XLOOKUP($R124:$AF124,增益!$A:$A,增益!$B:$B,0))</f>
        <v>0.1037</v>
      </c>
      <c r="AM124" s="27" cm="1">
        <f t="array" ref="AM124">VLOOKUP($Q124,武学奇术!$A:$ZZ,5,FALSE)+SUM(_xlfn.XLOOKUP($R124:$AF124,增益!$A:$A,增益!$E:$E,0))</f>
        <v>0</v>
      </c>
      <c r="AN124" cm="1">
        <f t="array" ref="AN124">$D$10*(1+$AM124)+VLOOKUP($Q124,武学奇术!$A:$ZZ,3,FALSE)+SUM(_xlfn.XLOOKUP($R124:$AF124,增益!$A:$A,增益!$C:$C,0))-$I$2</f>
        <v>1713.7</v>
      </c>
      <c r="AO124" cm="1">
        <f t="array" ref="AO124">$E$10*(1+$AM124)+VLOOKUP($Q124,武学奇术!$A:$ZZ,4,FALSE)+SUM(_xlfn.XLOOKUP($R124:$AF124,增益!$A:$A,增益!$D:$D,0))-$I$2</f>
        <v>5189.5</v>
      </c>
      <c r="AP124" s="35" cm="1">
        <f t="array" ref="AP124">IF($F$10-$I$3+VLOOKUP($Q124,武学奇术!$A:$ZZ,6,FALSE)+SUM(_xlfn.XLOOKUP(R124:AF124,增益!$A:$A,增益!$F:$F,0))&gt;0,($F$10-$I$3+VLOOKUP($Q124,武学奇术!$A:$ZZ,6,FALSE)+SUM(_xlfn.XLOOKUP(R124:AF124,增益!$A:$A,增益!$F:$F,0)))/200,($F$10-$I$3+VLOOKUP($Q124,武学奇术!$A:$ZZ,6,FALSE)+SUM(_xlfn.XLOOKUP(R124:AF124,增益!$A:$A,增益!$F:$F,0)))/100)</f>
        <v>0.1925</v>
      </c>
      <c r="AQ124" s="35" cm="1">
        <f t="array" ref="AQ124">$G$10+VLOOKUP($Q124,武学奇术!$A:$ZZ,7,FALSE)+SUM(_xlfn.XLOOKUP(R124:AF124,增益!$A:$A,增益!$G:$G,0))</f>
        <v>0</v>
      </c>
      <c r="AR124" s="27" cm="1">
        <f t="array" ref="AR124">VLOOKUP($Q124,武学奇术!$A:$ZZ,8,FALSE)+SUM(_xlfn.XLOOKUP(R124:AF124,增益!$A:$A,增益!$H:$H,0))</f>
        <v>0</v>
      </c>
      <c r="AS124">
        <f t="shared" si="12"/>
        <v>0</v>
      </c>
      <c r="AT124">
        <f t="shared" si="13"/>
        <v>0</v>
      </c>
      <c r="AU124" s="35" cm="1">
        <f t="array" ref="AU124">IF($F$11-$I$4+VLOOKUP($Q124,武学奇术!$A:$ZZ,9,FALSE)+SUM(_xlfn.XLOOKUP(R124:AF124,增益!$A:$A,增益!$I:$I,0))&gt;0,($F$11-$I$4+VLOOKUP($Q124,武学奇术!$A:$ZZ,9,FALSE)+SUM(_xlfn.XLOOKUP(R124:AF124,增益!$A:$A,增益!$I:$I,0)))/200,($F$11-$I$4+VLOOKUP($Q124,武学奇术!$A:$ZZ,9,FALSE)+SUM(_xlfn.XLOOKUP(R124:AF124,增益!$A:$A,增益!$I:$I,0)))/100)</f>
        <v>-0.3</v>
      </c>
      <c r="AV124" s="35" cm="1">
        <f t="array" ref="AV124">$G$11+VLOOKUP($Q124,武学奇术!$A:$ZZ,10,FALSE)+SUM(_xlfn.XLOOKUP(R124:AF124,增益!$A:$A,增益!$J:$J,0))</f>
        <v>0</v>
      </c>
      <c r="AW124">
        <f t="shared" si="14"/>
        <v>0</v>
      </c>
      <c r="AX124">
        <f t="shared" si="15"/>
        <v>0</v>
      </c>
      <c r="AY124" s="35" cm="1">
        <f t="array" ref="AY124">IF($F$12-$I$4+VLOOKUP($Q124,武学奇术!$A:$ZZ,11,FALSE)+SUM(_xlfn.XLOOKUP(R124:AF124,增益!$A:$A,增益!$K:$K,0))&gt;0,($F$12-$I$4+VLOOKUP($Q124,武学奇术!$A:$ZZ,11,FALSE)+SUM(_xlfn.XLOOKUP(R124:AF124,增益!$A:$A,增益!$K:$K,0)))/200,($F$12-$I$4+VLOOKUP($Q124,武学奇术!$A:$ZZ,11,FALSE)+SUM(_xlfn.XLOOKUP(R124:AF124,增益!$A:$A,增益!$K:$K,0)))/100)</f>
        <v>-0.3</v>
      </c>
      <c r="AZ124" s="35" cm="1">
        <f t="array" ref="AZ124">$G$12+VLOOKUP($Q124,武学奇术!$A:$ZZ,12,FALSE)+SUM(_xlfn.XLOOKUP(R124:AF124,增益!$A:$A,增益!$L:$L,0))</f>
        <v>0</v>
      </c>
      <c r="BA124">
        <f t="shared" si="16"/>
        <v>538</v>
      </c>
      <c r="BB124">
        <f t="shared" si="17"/>
        <v>1011</v>
      </c>
      <c r="BC124" s="35" cm="1">
        <f t="array" ref="BC124">IF($F$13-$I$4+VLOOKUP($Q124,武学奇术!$A:$ZZ,13,FALSE)+SUM(_xlfn.XLOOKUP(R124:AF124,增益!$A:$A,增益!$M:$M,0))&gt;0,($F$13-$I$4+VLOOKUP($Q124,武学奇术!$A:$ZZ,13,FALSE)+SUM(_xlfn.XLOOKUP(R124:AF124,增益!$A:$A,增益!$K:$K,0)))/200,($F$13-$I$4+VLOOKUP($Q124,武学奇术!$A:$ZZ,13,FALSE)+SUM(_xlfn.XLOOKUP(R124:AF124,增益!$A:$A,增益!$M:$M,0)))/100)</f>
        <v>0</v>
      </c>
      <c r="BD124" s="35" cm="1">
        <f t="array" ref="BD124">$G$13+VLOOKUP($Q124,武学奇术!$A:$ZZ,14,FALSE)+SUM(_xlfn.XLOOKUP(R124:AF124,增益!$A:$A,增益!$N:$N,0))</f>
        <v>0.15</v>
      </c>
      <c r="BE124">
        <f t="shared" si="18"/>
        <v>0</v>
      </c>
      <c r="BF124">
        <f t="shared" si="19"/>
        <v>0</v>
      </c>
      <c r="BG124" s="35" cm="1">
        <f t="array" ref="BG124">IF($F$14-$I$4+VLOOKUP($Q124,武学奇术!$A:$ZZ,15,FALSE)+SUM(_xlfn.XLOOKUP(R124:AF124,增益!$A:$A,增益!$O:$O,0))&gt;0,($F$14-$I$4+VLOOKUP($Q124,武学奇术!$A:$ZZ,15,FALSE)+SUM(_xlfn.XLOOKUP(R124:AF124,增益!$A:$A,增益!$O:$O,0)))/200,($F$14-$I$4+VLOOKUP($Q124,武学奇术!$A:$ZZ,15,FALSE)+SUM(_xlfn.XLOOKUP(R124:AF124,增益!$A:$A,增益!$O:$O,0)))/100)</f>
        <v>-0.3</v>
      </c>
      <c r="BH124" s="35" cm="1">
        <f t="array" ref="BH124">$G$14+VLOOKUP($Q124,武学奇术!$A:$ZZ,16,FALSE)+SUM(_xlfn.XLOOKUP(R124:AF124,增益!$A:$A,增益!$P:$P,0))</f>
        <v>0</v>
      </c>
      <c r="BI124" s="27">
        <f>MIN(IF(VLOOKUP($Q124,武学奇术!$A:$ZZ,23,FALSE)=1,100%,$B$8),100%)</f>
        <v>0.9969</v>
      </c>
      <c r="BJ124" s="27" cm="1">
        <f t="array" ref="BJ124">IF(VLOOKUP($Q124,武学奇术!$A:$ZZ,23,FALSE)=1,100%,MIN(80%,$B$9+VLOOKUP($Q124,武学奇术!$A:$ZZ,17,FALSE)+SUM(_xlfn.XLOOKUP(R124:AF124,增益!$A:$A,增益!$Q:$Q,0)))+$B$11+SUM(_xlfn.XLOOKUP(R124:AF124,增益!$A:$A,增益!$U:$U,0)))*IF(VLOOKUP($Q124,武学奇术!$A:$ZZ,24,FALSE)=1,0,1)</f>
        <v>0.9137</v>
      </c>
      <c r="BK124" s="27" cm="1">
        <f t="array" ref="BK124">1+$B$13+VLOOKUP($Q124,武学奇术!$A:$ZZ,18,FALSE)+SUM(_xlfn.XLOOKUP(R124:AF124,增益!$A:$A,增益!$R:$R,0))</f>
        <v>1.5</v>
      </c>
      <c r="BL124" s="27" cm="1">
        <f t="array" ref="BL124">IF(VLOOKUP($Q124,武学奇术!$A:$ZZ,24,FALSE)=1,100%,MIN(40%,$B$10+VLOOKUP($Q124,武学奇术!$A:$ZZ,19,FALSE)+SUM(_xlfn.XLOOKUP(R124:AF124,增益!$A:$A,增益!$S:$S,0)))+$B$12+SUM(_xlfn.XLOOKUP(R124:AF124,增益!$A:$A,增益!$V:$V,0)))*IF(VLOOKUP($Q124,武学奇术!$A:$ZZ,23,FALSE)=1,0,1)</f>
        <v>0.0895</v>
      </c>
      <c r="BM124" s="27" cm="1">
        <f t="array" ref="BM124">1+$B$14+VLOOKUP($Q124,武学奇术!$A:$ZZ,20,FALSE)+SUM(_xlfn.XLOOKUP(R124:AF124,增益!$A:$A,增益!$T:$T,0))</f>
        <v>1.35</v>
      </c>
      <c r="BN124" s="27">
        <f t="shared" si="20"/>
        <v>0.90767745</v>
      </c>
      <c r="BO124" s="27">
        <f t="shared" si="21"/>
        <v>-1.30104260698261e-17</v>
      </c>
      <c r="BP124" s="27">
        <f>IF(VLOOKUP($Q124,武学奇术!$A:$ZZ,22,FALSE)=1,0,(1-$BI124))*(1-$BL124)</f>
        <v>0.00282254999999999</v>
      </c>
      <c r="BQ124" s="27" cm="1">
        <f t="array" ref="BQ124">SUM(_xlfn.XLOOKUP(R124:AF124,增益!$A:$A,增益!$W:$W,0))+$I$5</f>
        <v>0.11</v>
      </c>
    </row>
    <row r="125" spans="11:69">
      <c r="K125" s="41">
        <f t="shared" si="11"/>
        <v>0</v>
      </c>
      <c r="L125" s="41">
        <f>((($AN125+$AO125)/2*$AH125+$AI125)*(1+$AP125)*(1+$AQ125)+(($AS125+$AT125)/2*IF($G$1="鸣金",$AJ125,$AH125)+IF($G$1="鸣金",$AK125*1.5,0))*(1+$AU125)*(1+$AV125)+(($AW125+$AX125)/2*IF($G$1="裂石",$AJ125,$AH125)+IF($G$1="裂石",$AK125*1.5,0))*(1+$AY125)*(1+$AZ125)+(($BA125+$BB125)/2*IF($G$1="牵丝",$AJ125,$AH125)+IF($G$1="牵丝",$AK125*1.5,0))*(1+$BC125)*(1+$BD125)+(($BE125+$BF125)/2*IF($G$1="破竹",$AJ125,$AH125)+IF($G$1="破竹",$AK125*1.5,0))*(1+$BG125)*(1+$BH125))*(1+$AL125)*$BK125*$P125*(1+IF(VLOOKUP($Q125,武学奇术!$A:$ZZ,30,FALSE)="弹道",$B$21,0))*(1+$BQ125)</f>
        <v>0</v>
      </c>
      <c r="M125" s="41">
        <f>(($AO125*$AH125+$AI125)*(1+$AP125)*(1+$AQ125)+($AT125*IF($G$1="鸣金",$AJ125,$AH125)+IF($G$1="鸣金",$AK125*1.5,0))*(1+$AU125)*(1+$AV125)+($AX125*IF($G$1="裂石",$AJ125,$AH125)+IF($G$1="裂石",$AK125*1.5,0))*(1+$AY125)*(1+$AZ125)+($BB125*IF($G$1="牵丝",$AJ125,$AH125)+IF($G$1="牵丝",$AK125*1.5,0))*(1+$BC125)*(1+$BD125)+($BF125*IF($G$1="破竹",$AJ125,$AH125)+IF($G$1="破竹",$AK125*1.5,0))*(1+$BG125)*(1+$BH125))*(1+$AL125)*$BM125*$P125*(1+IF(VLOOKUP($Q125,武学奇术!$A:$ZZ,30,FALSE)="弹道",$B$21,0))*(1+$BQ125)</f>
        <v>0</v>
      </c>
      <c r="N125" s="41">
        <f>((($AN125+$AO125)/2*$AH125+$AI125)*(1+$AP125)*(1+$AQ125)+(($AS125+$AT125)/2*IF($G$1="鸣金",$AJ125,$AH125)+IF($G$1="鸣金",$AK125*1.5,0))*(1+$AU125)*(1+$AV125)+(($AW125+$AX125)/2*IF($G$1="裂石",$AJ125,$AH125)+IF($G$1="裂石",$AK125*1.5,0))*(1+$AY125)*(1+$AZ125)+(($BA125+$BB125)/2*IF($G$1="牵丝",$AJ125,$AH125)+IF($G$1="牵丝",$AK125*1.5,0))*(1+$BC125)*(1+$BD125)+(($BE125+$BF125)/2*IF($G$1="破竹",$AJ125,$AH125)+IF($G$1="破竹",$AK125*1.5,0))*(1+$BG125)*(1+$BH125))*(1+$AL125)*$P125*(1+IF(VLOOKUP($Q125,武学奇术!$A:$ZZ,30,FALSE)="弹道",$B$21,0))*(1+$BQ125)</f>
        <v>0</v>
      </c>
      <c r="O125" s="41">
        <f>((($AN125*$AH125+$AI125)*(1+$AP125)*(1+$AQ125)+($AS125*IF($G$1="鸣金",$AJ125,$AH125)+IF($G$1="鸣金",$AK125*1.5,0))*(1+$AU125)*(1+$AV125)+($AW125*IF($G$1="裂石",$AJ125,$AH125)+IF($G$1="裂石",$AK125*1.5,0))*(1+$AY125)*(1+$AZ125)+($BA125*IF($G$1="牵丝",$AJ125,$AH125)+IF($G$1="牵丝",$AK125*1.5,0))*(1+$BC125)*(1+$BD125)+($BE125*IF($G$1="破竹",$AJ125,$AH125)+IF($G$1="破竹",$AK125*1.5,0))*(1+$BG125)*(1+$BH125))*(1+$AL125))*$P125*(1+IF(VLOOKUP($Q125,武学奇术!$A:$ZZ,30,FALSE)="弹道",$B$21,0))*(1+$BQ125)</f>
        <v>0</v>
      </c>
      <c r="P125" s="42">
        <v>1</v>
      </c>
      <c r="Q125" s="43" t="s">
        <v>73</v>
      </c>
      <c r="R125" s="43" t="s">
        <v>73</v>
      </c>
      <c r="S125" s="43" t="s">
        <v>73</v>
      </c>
      <c r="T125" s="43" t="s">
        <v>73</v>
      </c>
      <c r="U125" s="43" t="s">
        <v>73</v>
      </c>
      <c r="V125" s="43" t="s">
        <v>73</v>
      </c>
      <c r="W125" s="43" t="s">
        <v>73</v>
      </c>
      <c r="X125" s="43" t="s">
        <v>73</v>
      </c>
      <c r="Y125" s="43" t="s">
        <v>73</v>
      </c>
      <c r="Z125" s="43" t="s">
        <v>73</v>
      </c>
      <c r="AA125" s="43" t="s">
        <v>73</v>
      </c>
      <c r="AB125" s="43" t="s">
        <v>73</v>
      </c>
      <c r="AC125" s="43" t="s">
        <v>73</v>
      </c>
      <c r="AD125" s="43" t="s">
        <v>73</v>
      </c>
      <c r="AE125" s="43" t="s">
        <v>73</v>
      </c>
      <c r="AF125" s="43" t="s">
        <v>75</v>
      </c>
      <c r="AG125" t="str">
        <f>VLOOKUP($Q125,武学奇术!$A:$ZZ,25,FALSE)</f>
        <v>心法</v>
      </c>
      <c r="AH125" s="27">
        <f>VLOOKUP($Q125,武学奇术!$A:$ZZ,26,FALSE)</f>
        <v>0</v>
      </c>
      <c r="AI125" s="28">
        <f>VLOOKUP($Q125,武学奇术!$A:$ZZ,27,FALSE)*(1+IF(OR($AG125=$F$4,$AG125=$F$5),$B$22,0))</f>
        <v>0</v>
      </c>
      <c r="AJ125" s="27">
        <f>VLOOKUP($Q125,武学奇术!$A:$ZZ,28,FALSE)</f>
        <v>0</v>
      </c>
      <c r="AK125" s="28">
        <f>VLOOKUP($Q125,武学奇术!$A:$ZZ,29,FALSE)*(1+IF(OR($AG125=$F$4,$AG125=$F$5),$B$22,0))</f>
        <v>0</v>
      </c>
      <c r="AL125" s="27" cm="1">
        <f t="array" ref="AL125">$G$3+IFERROR(VLOOKUP($AG125,$F$4:$G$7,2,FALSE),0)+VLOOKUP($Q125,武学奇术!$A:$ZZ,2,FALSE)+SUM(_xlfn.XLOOKUP($R125:$AF125,增益!$A:$A,增益!$B:$B,0))</f>
        <v>0.1037</v>
      </c>
      <c r="AM125" s="27" cm="1">
        <f t="array" ref="AM125">VLOOKUP($Q125,武学奇术!$A:$ZZ,5,FALSE)+SUM(_xlfn.XLOOKUP($R125:$AF125,增益!$A:$A,增益!$E:$E,0))</f>
        <v>0</v>
      </c>
      <c r="AN125" cm="1">
        <f t="array" ref="AN125">$D$10*(1+$AM125)+VLOOKUP($Q125,武学奇术!$A:$ZZ,3,FALSE)+SUM(_xlfn.XLOOKUP($R125:$AF125,增益!$A:$A,增益!$C:$C,0))-$I$2</f>
        <v>1713.7</v>
      </c>
      <c r="AO125" cm="1">
        <f t="array" ref="AO125">$E$10*(1+$AM125)+VLOOKUP($Q125,武学奇术!$A:$ZZ,4,FALSE)+SUM(_xlfn.XLOOKUP($R125:$AF125,增益!$A:$A,增益!$D:$D,0))-$I$2</f>
        <v>5189.5</v>
      </c>
      <c r="AP125" s="35" cm="1">
        <f t="array" ref="AP125">IF($F$10-$I$3+VLOOKUP($Q125,武学奇术!$A:$ZZ,6,FALSE)+SUM(_xlfn.XLOOKUP(R125:AF125,增益!$A:$A,增益!$F:$F,0))&gt;0,($F$10-$I$3+VLOOKUP($Q125,武学奇术!$A:$ZZ,6,FALSE)+SUM(_xlfn.XLOOKUP(R125:AF125,增益!$A:$A,增益!$F:$F,0)))/200,($F$10-$I$3+VLOOKUP($Q125,武学奇术!$A:$ZZ,6,FALSE)+SUM(_xlfn.XLOOKUP(R125:AF125,增益!$A:$A,增益!$F:$F,0)))/100)</f>
        <v>0.1925</v>
      </c>
      <c r="AQ125" s="35" cm="1">
        <f t="array" ref="AQ125">$G$10+VLOOKUP($Q125,武学奇术!$A:$ZZ,7,FALSE)+SUM(_xlfn.XLOOKUP(R125:AF125,增益!$A:$A,增益!$G:$G,0))</f>
        <v>0</v>
      </c>
      <c r="AR125" s="27" cm="1">
        <f t="array" ref="AR125">VLOOKUP($Q125,武学奇术!$A:$ZZ,8,FALSE)+SUM(_xlfn.XLOOKUP(R125:AF125,增益!$A:$A,增益!$H:$H,0))</f>
        <v>0</v>
      </c>
      <c r="AS125">
        <f t="shared" si="12"/>
        <v>0</v>
      </c>
      <c r="AT125">
        <f t="shared" si="13"/>
        <v>0</v>
      </c>
      <c r="AU125" s="35" cm="1">
        <f t="array" ref="AU125">IF($F$11-$I$4+VLOOKUP($Q125,武学奇术!$A:$ZZ,9,FALSE)+SUM(_xlfn.XLOOKUP(R125:AF125,增益!$A:$A,增益!$I:$I,0))&gt;0,($F$11-$I$4+VLOOKUP($Q125,武学奇术!$A:$ZZ,9,FALSE)+SUM(_xlfn.XLOOKUP(R125:AF125,增益!$A:$A,增益!$I:$I,0)))/200,($F$11-$I$4+VLOOKUP($Q125,武学奇术!$A:$ZZ,9,FALSE)+SUM(_xlfn.XLOOKUP(R125:AF125,增益!$A:$A,增益!$I:$I,0)))/100)</f>
        <v>-0.3</v>
      </c>
      <c r="AV125" s="35" cm="1">
        <f t="array" ref="AV125">$G$11+VLOOKUP($Q125,武学奇术!$A:$ZZ,10,FALSE)+SUM(_xlfn.XLOOKUP(R125:AF125,增益!$A:$A,增益!$J:$J,0))</f>
        <v>0</v>
      </c>
      <c r="AW125">
        <f t="shared" si="14"/>
        <v>0</v>
      </c>
      <c r="AX125">
        <f t="shared" si="15"/>
        <v>0</v>
      </c>
      <c r="AY125" s="35" cm="1">
        <f t="array" ref="AY125">IF($F$12-$I$4+VLOOKUP($Q125,武学奇术!$A:$ZZ,11,FALSE)+SUM(_xlfn.XLOOKUP(R125:AF125,增益!$A:$A,增益!$K:$K,0))&gt;0,($F$12-$I$4+VLOOKUP($Q125,武学奇术!$A:$ZZ,11,FALSE)+SUM(_xlfn.XLOOKUP(R125:AF125,增益!$A:$A,增益!$K:$K,0)))/200,($F$12-$I$4+VLOOKUP($Q125,武学奇术!$A:$ZZ,11,FALSE)+SUM(_xlfn.XLOOKUP(R125:AF125,增益!$A:$A,增益!$K:$K,0)))/100)</f>
        <v>-0.3</v>
      </c>
      <c r="AZ125" s="35" cm="1">
        <f t="array" ref="AZ125">$G$12+VLOOKUP($Q125,武学奇术!$A:$ZZ,12,FALSE)+SUM(_xlfn.XLOOKUP(R125:AF125,增益!$A:$A,增益!$L:$L,0))</f>
        <v>0</v>
      </c>
      <c r="BA125">
        <f t="shared" si="16"/>
        <v>538</v>
      </c>
      <c r="BB125">
        <f t="shared" si="17"/>
        <v>1011</v>
      </c>
      <c r="BC125" s="35" cm="1">
        <f t="array" ref="BC125">IF($F$13-$I$4+VLOOKUP($Q125,武学奇术!$A:$ZZ,13,FALSE)+SUM(_xlfn.XLOOKUP(R125:AF125,增益!$A:$A,增益!$M:$M,0))&gt;0,($F$13-$I$4+VLOOKUP($Q125,武学奇术!$A:$ZZ,13,FALSE)+SUM(_xlfn.XLOOKUP(R125:AF125,增益!$A:$A,增益!$K:$K,0)))/200,($F$13-$I$4+VLOOKUP($Q125,武学奇术!$A:$ZZ,13,FALSE)+SUM(_xlfn.XLOOKUP(R125:AF125,增益!$A:$A,增益!$M:$M,0)))/100)</f>
        <v>0</v>
      </c>
      <c r="BD125" s="35" cm="1">
        <f t="array" ref="BD125">$G$13+VLOOKUP($Q125,武学奇术!$A:$ZZ,14,FALSE)+SUM(_xlfn.XLOOKUP(R125:AF125,增益!$A:$A,增益!$N:$N,0))</f>
        <v>0.15</v>
      </c>
      <c r="BE125">
        <f t="shared" si="18"/>
        <v>0</v>
      </c>
      <c r="BF125">
        <f t="shared" si="19"/>
        <v>0</v>
      </c>
      <c r="BG125" s="35" cm="1">
        <f t="array" ref="BG125">IF($F$14-$I$4+VLOOKUP($Q125,武学奇术!$A:$ZZ,15,FALSE)+SUM(_xlfn.XLOOKUP(R125:AF125,增益!$A:$A,增益!$O:$O,0))&gt;0,($F$14-$I$4+VLOOKUP($Q125,武学奇术!$A:$ZZ,15,FALSE)+SUM(_xlfn.XLOOKUP(R125:AF125,增益!$A:$A,增益!$O:$O,0)))/200,($F$14-$I$4+VLOOKUP($Q125,武学奇术!$A:$ZZ,15,FALSE)+SUM(_xlfn.XLOOKUP(R125:AF125,增益!$A:$A,增益!$O:$O,0)))/100)</f>
        <v>-0.3</v>
      </c>
      <c r="BH125" s="35" cm="1">
        <f t="array" ref="BH125">$G$14+VLOOKUP($Q125,武学奇术!$A:$ZZ,16,FALSE)+SUM(_xlfn.XLOOKUP(R125:AF125,增益!$A:$A,增益!$P:$P,0))</f>
        <v>0</v>
      </c>
      <c r="BI125" s="27">
        <f>MIN(IF(VLOOKUP($Q125,武学奇术!$A:$ZZ,23,FALSE)=1,100%,$B$8),100%)</f>
        <v>0.9969</v>
      </c>
      <c r="BJ125" s="27" cm="1">
        <f t="array" ref="BJ125">IF(VLOOKUP($Q125,武学奇术!$A:$ZZ,23,FALSE)=1,100%,MIN(80%,$B$9+VLOOKUP($Q125,武学奇术!$A:$ZZ,17,FALSE)+SUM(_xlfn.XLOOKUP(R125:AF125,增益!$A:$A,增益!$Q:$Q,0)))+$B$11+SUM(_xlfn.XLOOKUP(R125:AF125,增益!$A:$A,增益!$U:$U,0)))*IF(VLOOKUP($Q125,武学奇术!$A:$ZZ,24,FALSE)=1,0,1)</f>
        <v>0.9137</v>
      </c>
      <c r="BK125" s="27" cm="1">
        <f t="array" ref="BK125">1+$B$13+VLOOKUP($Q125,武学奇术!$A:$ZZ,18,FALSE)+SUM(_xlfn.XLOOKUP(R125:AF125,增益!$A:$A,增益!$R:$R,0))</f>
        <v>1.5</v>
      </c>
      <c r="BL125" s="27" cm="1">
        <f t="array" ref="BL125">IF(VLOOKUP($Q125,武学奇术!$A:$ZZ,24,FALSE)=1,100%,MIN(40%,$B$10+VLOOKUP($Q125,武学奇术!$A:$ZZ,19,FALSE)+SUM(_xlfn.XLOOKUP(R125:AF125,增益!$A:$A,增益!$S:$S,0)))+$B$12+SUM(_xlfn.XLOOKUP(R125:AF125,增益!$A:$A,增益!$V:$V,0)))*IF(VLOOKUP($Q125,武学奇术!$A:$ZZ,23,FALSE)=1,0,1)</f>
        <v>0.0895</v>
      </c>
      <c r="BM125" s="27" cm="1">
        <f t="array" ref="BM125">1+$B$14+VLOOKUP($Q125,武学奇术!$A:$ZZ,20,FALSE)+SUM(_xlfn.XLOOKUP(R125:AF125,增益!$A:$A,增益!$T:$T,0))</f>
        <v>1.35</v>
      </c>
      <c r="BN125" s="27">
        <f t="shared" si="20"/>
        <v>0.90767745</v>
      </c>
      <c r="BO125" s="27">
        <f t="shared" si="21"/>
        <v>-1.30104260698261e-17</v>
      </c>
      <c r="BP125" s="27">
        <f>IF(VLOOKUP($Q125,武学奇术!$A:$ZZ,22,FALSE)=1,0,(1-$BI125))*(1-$BL125)</f>
        <v>0.00282254999999999</v>
      </c>
      <c r="BQ125" s="27" cm="1">
        <f t="array" ref="BQ125">SUM(_xlfn.XLOOKUP(R125:AF125,增益!$A:$A,增益!$W:$W,0))+$I$5</f>
        <v>0.11</v>
      </c>
    </row>
    <row r="126" spans="11:69">
      <c r="K126" s="41">
        <f t="shared" si="11"/>
        <v>14094.7128850775</v>
      </c>
      <c r="L126" s="41">
        <f>((($AN126+$AO126)/2*$AH126+$AI126)*(1+$AP126)*(1+$AQ126)+(($AS126+$AT126)/2*IF($G$1="鸣金",$AJ126,$AH126)+IF($G$1="鸣金",$AK126*1.5,0))*(1+$AU126)*(1+$AV126)+(($AW126+$AX126)/2*IF($G$1="裂石",$AJ126,$AH126)+IF($G$1="裂石",$AK126*1.5,0))*(1+$AY126)*(1+$AZ126)+(($BA126+$BB126)/2*IF($G$1="牵丝",$AJ126,$AH126)+IF($G$1="牵丝",$AK126*1.5,0))*(1+$BC126)*(1+$BD126)+(($BE126+$BF126)/2*IF($G$1="破竹",$AJ126,$AH126)+IF($G$1="破竹",$AK126*1.5,0))*(1+$BG126)*(1+$BH126))*(1+$AL126)*$BK126*$P126*(1+IF(VLOOKUP($Q126,武学奇术!$A:$ZZ,30,FALSE)="弹道",$B$21,0))*(1+$BQ126)</f>
        <v>13979.6793502316</v>
      </c>
      <c r="M126" s="41">
        <f>(($AO126*$AH126+$AI126)*(1+$AP126)*(1+$AQ126)+($AT126*IF($G$1="鸣金",$AJ126,$AH126)+IF($G$1="鸣金",$AK126*1.5,0))*(1+$AU126)*(1+$AV126)+($AX126*IF($G$1="裂石",$AJ126,$AH126)+IF($G$1="裂石",$AK126*1.5,0))*(1+$AY126)*(1+$AZ126)+($BB126*IF($G$1="牵丝",$AJ126,$AH126)+IF($G$1="牵丝",$AK126*1.5,0))*(1+$BC126)*(1+$BD126)+($BF126*IF($G$1="破竹",$AJ126,$AH126)+IF($G$1="破竹",$AK126*1.5,0))*(1+$BG126)*(1+$BH126))*(1+$AL126)*$BM126*$P126*(1+IF(VLOOKUP($Q126,武学奇术!$A:$ZZ,30,FALSE)="弹道",$B$21,0))*(1+$BQ126)</f>
        <v>15574.3058696861</v>
      </c>
      <c r="N126" s="41">
        <f>((($AN126+$AO126)/2*$AH126+$AI126)*(1+$AP126)*(1+$AQ126)+(($AS126+$AT126)/2*IF($G$1="鸣金",$AJ126,$AH126)+IF($G$1="鸣金",$AK126*1.5,0))*(1+$AU126)*(1+$AV126)+(($AW126+$AX126)/2*IF($G$1="裂石",$AJ126,$AH126)+IF($G$1="裂石",$AK126*1.5,0))*(1+$AY126)*(1+$AZ126)+(($BA126+$BB126)/2*IF($G$1="牵丝",$AJ126,$AH126)+IF($G$1="牵丝",$AK126*1.5,0))*(1+$BC126)*(1+$BD126)+(($BE126+$BF126)/2*IF($G$1="破竹",$AJ126,$AH126)+IF($G$1="破竹",$AK126*1.5,0))*(1+$BG126)*(1+$BH126))*(1+$AL126)*$P126*(1+IF(VLOOKUP($Q126,武学奇术!$A:$ZZ,30,FALSE)="弹道",$B$21,0))*(1+$BQ126)</f>
        <v>7853.75244395032</v>
      </c>
      <c r="O126" s="41">
        <f>((($AN126*$AH126+$AI126)*(1+$AP126)*(1+$AQ126)+($AS126*IF($G$1="鸣金",$AJ126,$AH126)+IF($G$1="鸣金",$AK126*1.5,0))*(1+$AU126)*(1+$AV126)+($AW126*IF($G$1="裂石",$AJ126,$AH126)+IF($G$1="裂石",$AK126*1.5,0))*(1+$AY126)*(1+$AZ126)+($BA126*IF($G$1="牵丝",$AJ126,$AH126)+IF($G$1="牵丝",$AK126*1.5,0))*(1+$BC126)*(1+$BD126)+($BE126*IF($G$1="破竹",$AJ126,$AH126)+IF($G$1="破竹",$AK126*1.5,0))*(1+$BG126)*(1+$BH126))*(1+$AL126))*$P126*(1+IF(VLOOKUP($Q126,武学奇术!$A:$ZZ,30,FALSE)="弹道",$B$21,0))*(1+$BQ126)</f>
        <v>4170.98202146649</v>
      </c>
      <c r="P126" s="42">
        <f t="shared" ref="P126:P136" si="24">IF($C$22="易水歌",1,0)</f>
        <v>1</v>
      </c>
      <c r="Q126" s="43" t="s">
        <v>187</v>
      </c>
      <c r="R126" s="43" t="s">
        <v>93</v>
      </c>
      <c r="S126" s="43" t="s">
        <v>85</v>
      </c>
      <c r="T126" s="43" t="s">
        <v>73</v>
      </c>
      <c r="U126" s="43" t="s">
        <v>86</v>
      </c>
      <c r="V126" s="43" t="s">
        <v>74</v>
      </c>
      <c r="W126" s="43" t="s">
        <v>73</v>
      </c>
      <c r="X126" s="43" t="s">
        <v>73</v>
      </c>
      <c r="Y126" s="43" t="s">
        <v>112</v>
      </c>
      <c r="Z126" s="43" t="s">
        <v>73</v>
      </c>
      <c r="AA126" s="43" t="s">
        <v>73</v>
      </c>
      <c r="AB126" s="43" t="s">
        <v>73</v>
      </c>
      <c r="AC126" s="43" t="s">
        <v>73</v>
      </c>
      <c r="AD126" s="43" t="s">
        <v>73</v>
      </c>
      <c r="AE126" s="43" t="s">
        <v>73</v>
      </c>
      <c r="AF126" s="43" t="s">
        <v>75</v>
      </c>
      <c r="AG126" t="str">
        <f>VLOOKUP($Q126,武学奇术!$A:$ZZ,25,FALSE)</f>
        <v>心法</v>
      </c>
      <c r="AH126" s="27">
        <f>VLOOKUP($Q126,武学奇术!$A:$ZZ,26,FALSE)</f>
        <v>1</v>
      </c>
      <c r="AI126" s="28">
        <f>VLOOKUP($Q126,武学奇术!$A:$ZZ,27,FALSE)*(1+IF(OR($AG126=$F$4,$AG126=$F$5),$B$22,0))</f>
        <v>0</v>
      </c>
      <c r="AJ126" s="27">
        <f>VLOOKUP($Q126,武学奇术!$A:$ZZ,28,FALSE)</f>
        <v>1</v>
      </c>
      <c r="AK126" s="28">
        <f>VLOOKUP($Q126,武学奇术!$A:$ZZ,29,FALSE)*(1+IF(OR($AG126=$F$4,$AG126=$F$5),$B$22,0))</f>
        <v>0</v>
      </c>
      <c r="AL126" s="27" cm="1">
        <f t="array" ref="AL126">$G$3+IFERROR(VLOOKUP($AG126,$F$4:$G$7,2,FALSE),0)+VLOOKUP($Q126,武学奇术!$A:$ZZ,2,FALSE)+SUM(_xlfn.XLOOKUP($R126:$AF126,增益!$A:$A,增益!$B:$B,0))</f>
        <v>0.1737</v>
      </c>
      <c r="AM126" s="27" cm="1">
        <f t="array" ref="AM126">VLOOKUP($Q126,武学奇术!$A:$ZZ,5,FALSE)+SUM(_xlfn.XLOOKUP($R126:$AF126,增益!$A:$A,增益!$E:$E,0))</f>
        <v>0.075</v>
      </c>
      <c r="AN126" cm="1">
        <f t="array" ref="AN126">$D$10*(1+$AM126)+VLOOKUP($Q126,武学奇术!$A:$ZZ,3,FALSE)+SUM(_xlfn.XLOOKUP($R126:$AF126,增益!$A:$A,增益!$C:$C,0))-$I$2</f>
        <v>1888.7275</v>
      </c>
      <c r="AO126" cm="1">
        <f t="array" ref="AO126">$E$10*(1+$AM126)+VLOOKUP($Q126,武学奇术!$A:$ZZ,4,FALSE)+SUM(_xlfn.XLOOKUP($R126:$AF126,增益!$A:$A,增益!$D:$D,0))-$I$2</f>
        <v>5625.2125</v>
      </c>
      <c r="AP126" s="35" cm="1">
        <f t="array" ref="AP126">IF($F$10-$I$3+VLOOKUP($Q126,武学奇术!$A:$ZZ,6,FALSE)+SUM(_xlfn.XLOOKUP(R126:AF126,增益!$A:$A,增益!$F:$F,0))&gt;0,($F$10-$I$3+VLOOKUP($Q126,武学奇术!$A:$ZZ,6,FALSE)+SUM(_xlfn.XLOOKUP(R126:AF126,增益!$A:$A,增益!$F:$F,0)))/200,($F$10-$I$3+VLOOKUP($Q126,武学奇术!$A:$ZZ,6,FALSE)+SUM(_xlfn.XLOOKUP(R126:AF126,增益!$A:$A,增益!$F:$F,0)))/100)</f>
        <v>0.3675</v>
      </c>
      <c r="AQ126" s="35" cm="1">
        <f t="array" ref="AQ126">$G$10+VLOOKUP($Q126,武学奇术!$A:$ZZ,7,FALSE)+SUM(_xlfn.XLOOKUP(R126:AF126,增益!$A:$A,增益!$G:$G,0))</f>
        <v>0</v>
      </c>
      <c r="AR126" s="27" cm="1">
        <f t="array" ref="AR126">VLOOKUP($Q126,武学奇术!$A:$ZZ,8,FALSE)+SUM(_xlfn.XLOOKUP(R126:AF126,增益!$A:$A,增益!$H:$H,0))</f>
        <v>0</v>
      </c>
      <c r="AS126">
        <f t="shared" si="12"/>
        <v>0</v>
      </c>
      <c r="AT126">
        <f t="shared" si="13"/>
        <v>0</v>
      </c>
      <c r="AU126" s="35" cm="1">
        <f t="array" ref="AU126">IF($F$11-$I$4+VLOOKUP($Q126,武学奇术!$A:$ZZ,9,FALSE)+SUM(_xlfn.XLOOKUP(R126:AF126,增益!$A:$A,增益!$I:$I,0))&gt;0,($F$11-$I$4+VLOOKUP($Q126,武学奇术!$A:$ZZ,9,FALSE)+SUM(_xlfn.XLOOKUP(R126:AF126,增益!$A:$A,增益!$I:$I,0)))/200,($F$11-$I$4+VLOOKUP($Q126,武学奇术!$A:$ZZ,9,FALSE)+SUM(_xlfn.XLOOKUP(R126:AF126,增益!$A:$A,增益!$I:$I,0)))/100)</f>
        <v>-0.3</v>
      </c>
      <c r="AV126" s="35" cm="1">
        <f t="array" ref="AV126">$G$11+VLOOKUP($Q126,武学奇术!$A:$ZZ,10,FALSE)+SUM(_xlfn.XLOOKUP(R126:AF126,增益!$A:$A,增益!$J:$J,0))</f>
        <v>0</v>
      </c>
      <c r="AW126">
        <f t="shared" si="14"/>
        <v>0</v>
      </c>
      <c r="AX126">
        <f t="shared" si="15"/>
        <v>0</v>
      </c>
      <c r="AY126" s="35" cm="1">
        <f t="array" ref="AY126">IF($F$12-$I$4+VLOOKUP($Q126,武学奇术!$A:$ZZ,11,FALSE)+SUM(_xlfn.XLOOKUP(R126:AF126,增益!$A:$A,增益!$K:$K,0))&gt;0,($F$12-$I$4+VLOOKUP($Q126,武学奇术!$A:$ZZ,11,FALSE)+SUM(_xlfn.XLOOKUP(R126:AF126,增益!$A:$A,增益!$K:$K,0)))/200,($F$12-$I$4+VLOOKUP($Q126,武学奇术!$A:$ZZ,11,FALSE)+SUM(_xlfn.XLOOKUP(R126:AF126,增益!$A:$A,增益!$K:$K,0)))/100)</f>
        <v>-0.3</v>
      </c>
      <c r="AZ126" s="35" cm="1">
        <f t="array" ref="AZ126">$G$12+VLOOKUP($Q126,武学奇术!$A:$ZZ,12,FALSE)+SUM(_xlfn.XLOOKUP(R126:AF126,增益!$A:$A,增益!$L:$L,0))</f>
        <v>0</v>
      </c>
      <c r="BA126">
        <f t="shared" si="16"/>
        <v>538</v>
      </c>
      <c r="BB126">
        <f t="shared" si="17"/>
        <v>1011</v>
      </c>
      <c r="BC126" s="35" cm="1">
        <f t="array" ref="BC126">IF($F$13-$I$4+VLOOKUP($Q126,武学奇术!$A:$ZZ,13,FALSE)+SUM(_xlfn.XLOOKUP(R126:AF126,增益!$A:$A,增益!$M:$M,0))&gt;0,($F$13-$I$4+VLOOKUP($Q126,武学奇术!$A:$ZZ,13,FALSE)+SUM(_xlfn.XLOOKUP(R126:AF126,增益!$A:$A,增益!$K:$K,0)))/200,($F$13-$I$4+VLOOKUP($Q126,武学奇术!$A:$ZZ,13,FALSE)+SUM(_xlfn.XLOOKUP(R126:AF126,增益!$A:$A,增益!$M:$M,0)))/100)</f>
        <v>0</v>
      </c>
      <c r="BD126" s="35" cm="1">
        <f t="array" ref="BD126">$G$13+VLOOKUP($Q126,武学奇术!$A:$ZZ,14,FALSE)+SUM(_xlfn.XLOOKUP(R126:AF126,增益!$A:$A,增益!$N:$N,0))</f>
        <v>0.15</v>
      </c>
      <c r="BE126">
        <f t="shared" si="18"/>
        <v>0</v>
      </c>
      <c r="BF126">
        <f t="shared" si="19"/>
        <v>0</v>
      </c>
      <c r="BG126" s="35" cm="1">
        <f t="array" ref="BG126">IF($F$14-$I$4+VLOOKUP($Q126,武学奇术!$A:$ZZ,15,FALSE)+SUM(_xlfn.XLOOKUP(R126:AF126,增益!$A:$A,增益!$O:$O,0))&gt;0,($F$14-$I$4+VLOOKUP($Q126,武学奇术!$A:$ZZ,15,FALSE)+SUM(_xlfn.XLOOKUP(R126:AF126,增益!$A:$A,增益!$O:$O,0)))/200,($F$14-$I$4+VLOOKUP($Q126,武学奇术!$A:$ZZ,15,FALSE)+SUM(_xlfn.XLOOKUP(R126:AF126,增益!$A:$A,增益!$O:$O,0)))/100)</f>
        <v>-0.3</v>
      </c>
      <c r="BH126" s="35" cm="1">
        <f t="array" ref="BH126">$G$14+VLOOKUP($Q126,武学奇术!$A:$ZZ,16,FALSE)+SUM(_xlfn.XLOOKUP(R126:AF126,增益!$A:$A,增益!$P:$P,0))</f>
        <v>0</v>
      </c>
      <c r="BI126" s="27">
        <f>MIN(IF(VLOOKUP($Q126,武学奇术!$A:$ZZ,23,FALSE)=1,100%,$B$8),100%)</f>
        <v>0.9969</v>
      </c>
      <c r="BJ126" s="27" cm="1">
        <f t="array" ref="BJ126">IF(VLOOKUP($Q126,武学奇术!$A:$ZZ,23,FALSE)=1,100%,MIN(80%,$B$9+VLOOKUP($Q126,武学奇术!$A:$ZZ,17,FALSE)+SUM(_xlfn.XLOOKUP(R126:AF126,增益!$A:$A,增益!$Q:$Q,0)))+$B$11+SUM(_xlfn.XLOOKUP(R126:AF126,增益!$A:$A,增益!$U:$U,0)))*IF(VLOOKUP($Q126,武学奇术!$A:$ZZ,24,FALSE)=1,0,1)</f>
        <v>0.9137</v>
      </c>
      <c r="BK126" s="27" cm="1">
        <f t="array" ref="BK126">1+$B$13+VLOOKUP($Q126,武学奇术!$A:$ZZ,18,FALSE)+SUM(_xlfn.XLOOKUP(R126:AF126,增益!$A:$A,增益!$R:$R,0))</f>
        <v>1.78</v>
      </c>
      <c r="BL126" s="27" cm="1">
        <f t="array" ref="BL126">IF(VLOOKUP($Q126,武学奇术!$A:$ZZ,24,FALSE)=1,100%,MIN(40%,$B$10+VLOOKUP($Q126,武学奇术!$A:$ZZ,19,FALSE)+SUM(_xlfn.XLOOKUP(R126:AF126,增益!$A:$A,增益!$S:$S,0)))+$B$12+SUM(_xlfn.XLOOKUP(R126:AF126,增益!$A:$A,增益!$V:$V,0)))*IF(VLOOKUP($Q126,武学奇术!$A:$ZZ,23,FALSE)=1,0,1)</f>
        <v>0.0895</v>
      </c>
      <c r="BM126" s="27" cm="1">
        <f t="array" ref="BM126">1+$B$14+VLOOKUP($Q126,武学奇术!$A:$ZZ,20,FALSE)+SUM(_xlfn.XLOOKUP(R126:AF126,增益!$A:$A,增益!$T:$T,0))</f>
        <v>1.35</v>
      </c>
      <c r="BN126" s="27">
        <f t="shared" si="20"/>
        <v>0.90767745</v>
      </c>
      <c r="BO126" s="27">
        <f t="shared" si="21"/>
        <v>-1.30104260698261e-17</v>
      </c>
      <c r="BP126" s="27">
        <f>IF(VLOOKUP($Q126,武学奇术!$A:$ZZ,22,FALSE)=1,0,(1-$BI126))*(1-$BL126)</f>
        <v>0.00282254999999999</v>
      </c>
      <c r="BQ126" s="27" cm="1">
        <f t="array" ref="BQ126">SUM(_xlfn.XLOOKUP(R126:AF126,增益!$A:$A,增益!$W:$W,0))+$I$5</f>
        <v>0.11</v>
      </c>
    </row>
    <row r="127" spans="11:69">
      <c r="K127" s="41">
        <f t="shared" si="11"/>
        <v>11416.3459046376</v>
      </c>
      <c r="L127" s="41">
        <f>((($AN127+$AO127)/2*$AH127+$AI127)*(1+$AP127)*(1+$AQ127)+(($AS127+$AT127)/2*IF($G$1="鸣金",$AJ127,$AH127)+IF($G$1="鸣金",$AK127*1.5,0))*(1+$AU127)*(1+$AV127)+(($AW127+$AX127)/2*IF($G$1="裂石",$AJ127,$AH127)+IF($G$1="裂石",$AK127*1.5,0))*(1+$AY127)*(1+$AZ127)+(($BA127+$BB127)/2*IF($G$1="牵丝",$AJ127,$AH127)+IF($G$1="牵丝",$AK127*1.5,0))*(1+$BC127)*(1+$BD127)+(($BE127+$BF127)/2*IF($G$1="破竹",$AJ127,$AH127)+IF($G$1="破竹",$AK127*1.5,0))*(1+$BG127)*(1+$BH127))*(1+$AL127)*$BK127*$P127*(1+IF(VLOOKUP($Q127,武学奇术!$A:$ZZ,30,FALSE)="弹道",$B$21,0))*(1+$BQ127)</f>
        <v>11176.0814634173</v>
      </c>
      <c r="M127" s="41">
        <f>(($AO127*$AH127+$AI127)*(1+$AP127)*(1+$AQ127)+($AT127*IF($G$1="鸣金",$AJ127,$AH127)+IF($G$1="鸣金",$AK127*1.5,0))*(1+$AU127)*(1+$AV127)+($AX127*IF($G$1="裂石",$AJ127,$AH127)+IF($G$1="裂石",$AK127*1.5,0))*(1+$AY127)*(1+$AZ127)+($BB127*IF($G$1="牵丝",$AJ127,$AH127)+IF($G$1="牵丝",$AK127*1.5,0))*(1+$BC127)*(1+$BD127)+($BF127*IF($G$1="破竹",$AJ127,$AH127)+IF($G$1="破竹",$AK127*1.5,0))*(1+$BG127)*(1+$BH127))*(1+$AL127)*$BM127*$P127*(1+IF(VLOOKUP($Q127,武学奇术!$A:$ZZ,30,FALSE)="弹道",$B$21,0))*(1+$BQ127)</f>
        <v>14093.2955831685</v>
      </c>
      <c r="N127" s="41">
        <f>((($AN127+$AO127)/2*$AH127+$AI127)*(1+$AP127)*(1+$AQ127)+(($AS127+$AT127)/2*IF($G$1="鸣金",$AJ127,$AH127)+IF($G$1="鸣金",$AK127*1.5,0))*(1+$AU127)*(1+$AV127)+(($AW127+$AX127)/2*IF($G$1="裂石",$AJ127,$AH127)+IF($G$1="裂石",$AK127*1.5,0))*(1+$AY127)*(1+$AZ127)+(($BA127+$BB127)/2*IF($G$1="牵丝",$AJ127,$AH127)+IF($G$1="牵丝",$AK127*1.5,0))*(1+$BC127)*(1+$BD127)+(($BE127+$BF127)/2*IF($G$1="破竹",$AJ127,$AH127)+IF($G$1="破竹",$AK127*1.5,0))*(1+$BG127)*(1+$BH127))*(1+$AL127)*$P127*(1+IF(VLOOKUP($Q127,武学奇术!$A:$ZZ,30,FALSE)="弹道",$B$21,0))*(1+$BQ127)</f>
        <v>7118.52322510657</v>
      </c>
      <c r="O127" s="41">
        <f>((($AN127*$AH127+$AI127)*(1+$AP127)*(1+$AQ127)+($AS127*IF($G$1="鸣金",$AJ127,$AH127)+IF($G$1="鸣金",$AK127*1.5,0))*(1+$AU127)*(1+$AV127)+($AW127*IF($G$1="裂石",$AJ127,$AH127)+IF($G$1="裂石",$AK127*1.5,0))*(1+$AY127)*(1+$AZ127)+($BA127*IF($G$1="牵丝",$AJ127,$AH127)+IF($G$1="牵丝",$AK127*1.5,0))*(1+$BC127)*(1+$BD127)+($BE127*IF($G$1="破竹",$AJ127,$AH127)+IF($G$1="破竹",$AK127*1.5,0))*(1+$BG127)*(1+$BH127))*(1+$AL127))*$P127*(1+IF(VLOOKUP($Q127,武学奇术!$A:$ZZ,30,FALSE)="弹道",$B$21,0))*(1+$BQ127)</f>
        <v>3797.56824045868</v>
      </c>
      <c r="P127" s="42">
        <f t="shared" si="24"/>
        <v>1</v>
      </c>
      <c r="Q127" s="43" t="s">
        <v>187</v>
      </c>
      <c r="R127" s="43" t="s">
        <v>93</v>
      </c>
      <c r="S127" s="43" t="s">
        <v>149</v>
      </c>
      <c r="T127" s="43" t="s">
        <v>73</v>
      </c>
      <c r="U127" s="43" t="s">
        <v>86</v>
      </c>
      <c r="V127" s="43" t="s">
        <v>73</v>
      </c>
      <c r="W127" s="43" t="s">
        <v>73</v>
      </c>
      <c r="X127" s="43" t="s">
        <v>73</v>
      </c>
      <c r="Y127" s="43" t="s">
        <v>73</v>
      </c>
      <c r="Z127" s="43" t="s">
        <v>73</v>
      </c>
      <c r="AA127" s="43" t="s">
        <v>73</v>
      </c>
      <c r="AB127" s="43" t="s">
        <v>73</v>
      </c>
      <c r="AC127" s="43" t="s">
        <v>73</v>
      </c>
      <c r="AD127" s="43" t="s">
        <v>73</v>
      </c>
      <c r="AE127" s="43" t="s">
        <v>73</v>
      </c>
      <c r="AF127" s="43" t="s">
        <v>75</v>
      </c>
      <c r="AG127" t="str">
        <f>VLOOKUP($Q127,武学奇术!$A:$ZZ,25,FALSE)</f>
        <v>心法</v>
      </c>
      <c r="AH127" s="27">
        <f>VLOOKUP($Q127,武学奇术!$A:$ZZ,26,FALSE)</f>
        <v>1</v>
      </c>
      <c r="AI127" s="28">
        <f>VLOOKUP($Q127,武学奇术!$A:$ZZ,27,FALSE)*(1+IF(OR($AG127=$F$4,$AG127=$F$5),$B$22,0))</f>
        <v>0</v>
      </c>
      <c r="AJ127" s="27">
        <f>VLOOKUP($Q127,武学奇术!$A:$ZZ,28,FALSE)</f>
        <v>1</v>
      </c>
      <c r="AK127" s="28">
        <f>VLOOKUP($Q127,武学奇术!$A:$ZZ,29,FALSE)*(1+IF(OR($AG127=$F$4,$AG127=$F$5),$B$22,0))</f>
        <v>0</v>
      </c>
      <c r="AL127" s="27" cm="1">
        <f t="array" ref="AL127">$G$3+IFERROR(VLOOKUP($AG127,$F$4:$G$7,2,FALSE),0)+VLOOKUP($Q127,武学奇术!$A:$ZZ,2,FALSE)+SUM(_xlfn.XLOOKUP($R127:$AF127,增益!$A:$A,增益!$B:$B,0))</f>
        <v>0.1537</v>
      </c>
      <c r="AM127" s="27" cm="1">
        <f t="array" ref="AM127">VLOOKUP($Q127,武学奇术!$A:$ZZ,5,FALSE)+SUM(_xlfn.XLOOKUP($R127:$AF127,增益!$A:$A,增益!$E:$E,0))</f>
        <v>0.075</v>
      </c>
      <c r="AN127" cm="1">
        <f t="array" ref="AN127">$D$10*(1+$AM127)+VLOOKUP($Q127,武学奇术!$A:$ZZ,3,FALSE)+SUM(_xlfn.XLOOKUP($R127:$AF127,增益!$A:$A,增益!$C:$C,0))-$I$2</f>
        <v>1888.7275</v>
      </c>
      <c r="AO127" cm="1">
        <f t="array" ref="AO127">$E$10*(1+$AM127)+VLOOKUP($Q127,武学奇术!$A:$ZZ,4,FALSE)+SUM(_xlfn.XLOOKUP($R127:$AF127,增益!$A:$A,增益!$D:$D,0))-$I$2</f>
        <v>5625.2125</v>
      </c>
      <c r="AP127" s="35" cm="1">
        <f t="array" ref="AP127">IF($F$10-$I$3+VLOOKUP($Q127,武学奇术!$A:$ZZ,6,FALSE)+SUM(_xlfn.XLOOKUP(R127:AF127,增益!$A:$A,增益!$F:$F,0))&gt;0,($F$10-$I$3+VLOOKUP($Q127,武学奇术!$A:$ZZ,6,FALSE)+SUM(_xlfn.XLOOKUP(R127:AF127,增益!$A:$A,增益!$F:$F,0)))/200,($F$10-$I$3+VLOOKUP($Q127,武学奇术!$A:$ZZ,6,FALSE)+SUM(_xlfn.XLOOKUP(R127:AF127,增益!$A:$A,增益!$F:$F,0)))/100)</f>
        <v>0.2425</v>
      </c>
      <c r="AQ127" s="35" cm="1">
        <f t="array" ref="AQ127">$G$10+VLOOKUP($Q127,武学奇术!$A:$ZZ,7,FALSE)+SUM(_xlfn.XLOOKUP(R127:AF127,增益!$A:$A,增益!$G:$G,0))</f>
        <v>0</v>
      </c>
      <c r="AR127" s="27" cm="1">
        <f t="array" ref="AR127">VLOOKUP($Q127,武学奇术!$A:$ZZ,8,FALSE)+SUM(_xlfn.XLOOKUP(R127:AF127,增益!$A:$A,增益!$H:$H,0))</f>
        <v>0</v>
      </c>
      <c r="AS127">
        <f t="shared" si="12"/>
        <v>0</v>
      </c>
      <c r="AT127">
        <f t="shared" si="13"/>
        <v>0</v>
      </c>
      <c r="AU127" s="35" cm="1">
        <f t="array" ref="AU127">IF($F$11-$I$4+VLOOKUP($Q127,武学奇术!$A:$ZZ,9,FALSE)+SUM(_xlfn.XLOOKUP(R127:AF127,增益!$A:$A,增益!$I:$I,0))&gt;0,($F$11-$I$4+VLOOKUP($Q127,武学奇术!$A:$ZZ,9,FALSE)+SUM(_xlfn.XLOOKUP(R127:AF127,增益!$A:$A,增益!$I:$I,0)))/200,($F$11-$I$4+VLOOKUP($Q127,武学奇术!$A:$ZZ,9,FALSE)+SUM(_xlfn.XLOOKUP(R127:AF127,增益!$A:$A,增益!$I:$I,0)))/100)</f>
        <v>-0.3</v>
      </c>
      <c r="AV127" s="35" cm="1">
        <f t="array" ref="AV127">$G$11+VLOOKUP($Q127,武学奇术!$A:$ZZ,10,FALSE)+SUM(_xlfn.XLOOKUP(R127:AF127,增益!$A:$A,增益!$J:$J,0))</f>
        <v>0</v>
      </c>
      <c r="AW127">
        <f t="shared" si="14"/>
        <v>0</v>
      </c>
      <c r="AX127">
        <f t="shared" si="15"/>
        <v>0</v>
      </c>
      <c r="AY127" s="35" cm="1">
        <f t="array" ref="AY127">IF($F$12-$I$4+VLOOKUP($Q127,武学奇术!$A:$ZZ,11,FALSE)+SUM(_xlfn.XLOOKUP(R127:AF127,增益!$A:$A,增益!$K:$K,0))&gt;0,($F$12-$I$4+VLOOKUP($Q127,武学奇术!$A:$ZZ,11,FALSE)+SUM(_xlfn.XLOOKUP(R127:AF127,增益!$A:$A,增益!$K:$K,0)))/200,($F$12-$I$4+VLOOKUP($Q127,武学奇术!$A:$ZZ,11,FALSE)+SUM(_xlfn.XLOOKUP(R127:AF127,增益!$A:$A,增益!$K:$K,0)))/100)</f>
        <v>-0.3</v>
      </c>
      <c r="AZ127" s="35" cm="1">
        <f t="array" ref="AZ127">$G$12+VLOOKUP($Q127,武学奇术!$A:$ZZ,12,FALSE)+SUM(_xlfn.XLOOKUP(R127:AF127,增益!$A:$A,增益!$L:$L,0))</f>
        <v>0</v>
      </c>
      <c r="BA127">
        <f t="shared" si="16"/>
        <v>538</v>
      </c>
      <c r="BB127">
        <f t="shared" si="17"/>
        <v>1011</v>
      </c>
      <c r="BC127" s="35" cm="1">
        <f t="array" ref="BC127">IF($F$13-$I$4+VLOOKUP($Q127,武学奇术!$A:$ZZ,13,FALSE)+SUM(_xlfn.XLOOKUP(R127:AF127,增益!$A:$A,增益!$M:$M,0))&gt;0,($F$13-$I$4+VLOOKUP($Q127,武学奇术!$A:$ZZ,13,FALSE)+SUM(_xlfn.XLOOKUP(R127:AF127,增益!$A:$A,增益!$K:$K,0)))/200,($F$13-$I$4+VLOOKUP($Q127,武学奇术!$A:$ZZ,13,FALSE)+SUM(_xlfn.XLOOKUP(R127:AF127,增益!$A:$A,增益!$M:$M,0)))/100)</f>
        <v>0</v>
      </c>
      <c r="BD127" s="35" cm="1">
        <f t="array" ref="BD127">$G$13+VLOOKUP($Q127,武学奇术!$A:$ZZ,14,FALSE)+SUM(_xlfn.XLOOKUP(R127:AF127,增益!$A:$A,增益!$N:$N,0))</f>
        <v>0.15</v>
      </c>
      <c r="BE127">
        <f t="shared" si="18"/>
        <v>0</v>
      </c>
      <c r="BF127">
        <f t="shared" si="19"/>
        <v>0</v>
      </c>
      <c r="BG127" s="35" cm="1">
        <f t="array" ref="BG127">IF($F$14-$I$4+VLOOKUP($Q127,武学奇术!$A:$ZZ,15,FALSE)+SUM(_xlfn.XLOOKUP(R127:AF127,增益!$A:$A,增益!$O:$O,0))&gt;0,($F$14-$I$4+VLOOKUP($Q127,武学奇术!$A:$ZZ,15,FALSE)+SUM(_xlfn.XLOOKUP(R127:AF127,增益!$A:$A,增益!$O:$O,0)))/200,($F$14-$I$4+VLOOKUP($Q127,武学奇术!$A:$ZZ,15,FALSE)+SUM(_xlfn.XLOOKUP(R127:AF127,增益!$A:$A,增益!$O:$O,0)))/100)</f>
        <v>-0.3</v>
      </c>
      <c r="BH127" s="35" cm="1">
        <f t="array" ref="BH127">$G$14+VLOOKUP($Q127,武学奇术!$A:$ZZ,16,FALSE)+SUM(_xlfn.XLOOKUP(R127:AF127,增益!$A:$A,增益!$P:$P,0))</f>
        <v>0</v>
      </c>
      <c r="BI127" s="27">
        <f>MIN(IF(VLOOKUP($Q127,武学奇术!$A:$ZZ,23,FALSE)=1,100%,$B$8),100%)</f>
        <v>0.9969</v>
      </c>
      <c r="BJ127" s="27" cm="1">
        <f t="array" ref="BJ127">IF(VLOOKUP($Q127,武学奇术!$A:$ZZ,23,FALSE)=1,100%,MIN(80%,$B$9+VLOOKUP($Q127,武学奇术!$A:$ZZ,17,FALSE)+SUM(_xlfn.XLOOKUP(R127:AF127,增益!$A:$A,增益!$Q:$Q,0)))+$B$11+SUM(_xlfn.XLOOKUP(R127:AF127,增益!$A:$A,增益!$U:$U,0)))*IF(VLOOKUP($Q127,武学奇术!$A:$ZZ,24,FALSE)=1,0,1)</f>
        <v>0.9137</v>
      </c>
      <c r="BK127" s="27" cm="1">
        <f t="array" ref="BK127">1+$B$13+VLOOKUP($Q127,武学奇术!$A:$ZZ,18,FALSE)+SUM(_xlfn.XLOOKUP(R127:AF127,增益!$A:$A,增益!$R:$R,0))</f>
        <v>1.57</v>
      </c>
      <c r="BL127" s="27" cm="1">
        <f t="array" ref="BL127">IF(VLOOKUP($Q127,武学奇术!$A:$ZZ,24,FALSE)=1,100%,MIN(40%,$B$10+VLOOKUP($Q127,武学奇术!$A:$ZZ,19,FALSE)+SUM(_xlfn.XLOOKUP(R127:AF127,增益!$A:$A,增益!$S:$S,0)))+$B$12+SUM(_xlfn.XLOOKUP(R127:AF127,增益!$A:$A,增益!$V:$V,0)))*IF(VLOOKUP($Q127,武学奇术!$A:$ZZ,23,FALSE)=1,0,1)</f>
        <v>0.0895</v>
      </c>
      <c r="BM127" s="27" cm="1">
        <f t="array" ref="BM127">1+$B$14+VLOOKUP($Q127,武学奇术!$A:$ZZ,20,FALSE)+SUM(_xlfn.XLOOKUP(R127:AF127,增益!$A:$A,增益!$T:$T,0))</f>
        <v>1.35</v>
      </c>
      <c r="BN127" s="27">
        <f t="shared" si="20"/>
        <v>0.90767745</v>
      </c>
      <c r="BO127" s="27">
        <f t="shared" si="21"/>
        <v>-1.30104260698261e-17</v>
      </c>
      <c r="BP127" s="27">
        <f>IF(VLOOKUP($Q127,武学奇术!$A:$ZZ,22,FALSE)=1,0,(1-$BI127))*(1-$BL127)</f>
        <v>0.00282254999999999</v>
      </c>
      <c r="BQ127" s="27" cm="1">
        <f t="array" ref="BQ127">SUM(_xlfn.XLOOKUP(R127:AF127,增益!$A:$A,增益!$W:$W,0))+$I$5</f>
        <v>0.11</v>
      </c>
    </row>
    <row r="128" spans="11:69">
      <c r="K128" s="41">
        <f t="shared" si="11"/>
        <v>12400.3892503002</v>
      </c>
      <c r="L128" s="41">
        <f>((($AN128+$AO128)/2*$AH128+$AI128)*(1+$AP128)*(1+$AQ128)+(($AS128+$AT128)/2*IF($G$1="鸣金",$AJ128,$AH128)+IF($G$1="鸣金",$AK128*1.5,0))*(1+$AU128)*(1+$AV128)+(($AW128+$AX128)/2*IF($G$1="裂石",$AJ128,$AH128)+IF($G$1="裂石",$AK128*1.5,0))*(1+$AY128)*(1+$AZ128)+(($BA128+$BB128)/2*IF($G$1="牵丝",$AJ128,$AH128)+IF($G$1="牵丝",$AK128*1.5,0))*(1+$BC128)*(1+$BD128)+(($BE128+$BF128)/2*IF($G$1="破竹",$AJ128,$AH128)+IF($G$1="破竹",$AK128*1.5,0))*(1+$BG128)*(1+$BH128))*(1+$AL128)*$BK128*$P128*(1+IF(VLOOKUP($Q128,武学奇术!$A:$ZZ,30,FALSE)="弹道",$B$21,0))*(1+$BQ128)</f>
        <v>12167.0623718354</v>
      </c>
      <c r="M128" s="41">
        <f>(($AO128*$AH128+$AI128)*(1+$AP128)*(1+$AQ128)+($AT128*IF($G$1="鸣金",$AJ128,$AH128)+IF($G$1="鸣金",$AK128*1.5,0))*(1+$AU128)*(1+$AV128)+($AX128*IF($G$1="裂石",$AJ128,$AH128)+IF($G$1="裂石",$AK128*1.5,0))*(1+$AY128)*(1+$AZ128)+($BB128*IF($G$1="牵丝",$AJ128,$AH128)+IF($G$1="牵丝",$AK128*1.5,0))*(1+$BC128)*(1+$BD128)+($BF128*IF($G$1="破竹",$AJ128,$AH128)+IF($G$1="破竹",$AK128*1.5,0))*(1+$BG128)*(1+$BH128))*(1+$AL128)*$BM128*$P128*(1+IF(VLOOKUP($Q128,武学奇术!$A:$ZZ,30,FALSE)="弹道",$B$21,0))*(1+$BQ128)</f>
        <v>15029.2313770941</v>
      </c>
      <c r="N128" s="41">
        <f>((($AN128+$AO128)/2*$AH128+$AI128)*(1+$AP128)*(1+$AQ128)+(($AS128+$AT128)/2*IF($G$1="鸣金",$AJ128,$AH128)+IF($G$1="鸣金",$AK128*1.5,0))*(1+$AU128)*(1+$AV128)+(($AW128+$AX128)/2*IF($G$1="裂石",$AJ128,$AH128)+IF($G$1="裂石",$AK128*1.5,0))*(1+$AY128)*(1+$AZ128)+(($BA128+$BB128)/2*IF($G$1="牵丝",$AJ128,$AH128)+IF($G$1="牵丝",$AK128*1.5,0))*(1+$BC128)*(1+$BD128)+(($BE128+$BF128)/2*IF($G$1="破竹",$AJ128,$AH128)+IF($G$1="破竹",$AK128*1.5,0))*(1+$BG128)*(1+$BH128))*(1+$AL128)*$P128*(1+IF(VLOOKUP($Q128,武学奇术!$A:$ZZ,30,FALSE)="弹道",$B$21,0))*(1+$BQ128)</f>
        <v>7604.41398239715</v>
      </c>
      <c r="O128" s="41">
        <f>((($AN128*$AH128+$AI128)*(1+$AP128)*(1+$AQ128)+($AS128*IF($G$1="鸣金",$AJ128,$AH128)+IF($G$1="鸣金",$AK128*1.5,0))*(1+$AU128)*(1+$AV128)+($AW128*IF($G$1="裂石",$AJ128,$AH128)+IF($G$1="裂石",$AK128*1.5,0))*(1+$AY128)*(1+$AZ128)+($BA128*IF($G$1="牵丝",$AJ128,$AH128)+IF($G$1="牵丝",$AK128*1.5,0))*(1+$BC128)*(1+$BD128)+($BE128*IF($G$1="破竹",$AJ128,$AH128)+IF($G$1="破竹",$AK128*1.5,0))*(1+$BG128)*(1+$BH128))*(1+$AL128))*$P128*(1+IF(VLOOKUP($Q128,武学奇术!$A:$ZZ,30,FALSE)="弹道",$B$21,0))*(1+$BQ128)</f>
        <v>4076.06398176161</v>
      </c>
      <c r="P128" s="42">
        <f t="shared" si="24"/>
        <v>1</v>
      </c>
      <c r="Q128" s="43" t="s">
        <v>187</v>
      </c>
      <c r="R128" s="43" t="s">
        <v>93</v>
      </c>
      <c r="S128" s="43" t="s">
        <v>158</v>
      </c>
      <c r="T128" s="43" t="s">
        <v>73</v>
      </c>
      <c r="U128" s="43" t="s">
        <v>159</v>
      </c>
      <c r="V128" s="43" t="s">
        <v>73</v>
      </c>
      <c r="W128" s="43" t="s">
        <v>73</v>
      </c>
      <c r="X128" s="43" t="s">
        <v>73</v>
      </c>
      <c r="Y128" s="43" t="s">
        <v>73</v>
      </c>
      <c r="Z128" s="43" t="s">
        <v>73</v>
      </c>
      <c r="AA128" s="43" t="s">
        <v>73</v>
      </c>
      <c r="AB128" s="43" t="s">
        <v>73</v>
      </c>
      <c r="AC128" s="43" t="s">
        <v>73</v>
      </c>
      <c r="AD128" s="43" t="s">
        <v>73</v>
      </c>
      <c r="AE128" s="43" t="s">
        <v>73</v>
      </c>
      <c r="AF128" s="43" t="s">
        <v>75</v>
      </c>
      <c r="AG128" t="str">
        <f>VLOOKUP($Q128,武学奇术!$A:$ZZ,25,FALSE)</f>
        <v>心法</v>
      </c>
      <c r="AH128" s="27">
        <f>VLOOKUP($Q128,武学奇术!$A:$ZZ,26,FALSE)</f>
        <v>1</v>
      </c>
      <c r="AI128" s="28">
        <f>VLOOKUP($Q128,武学奇术!$A:$ZZ,27,FALSE)*(1+IF(OR($AG128=$F$4,$AG128=$F$5),$B$22,0))</f>
        <v>0</v>
      </c>
      <c r="AJ128" s="27">
        <f>VLOOKUP($Q128,武学奇术!$A:$ZZ,28,FALSE)</f>
        <v>1</v>
      </c>
      <c r="AK128" s="28">
        <f>VLOOKUP($Q128,武学奇术!$A:$ZZ,29,FALSE)*(1+IF(OR($AG128=$F$4,$AG128=$F$5),$B$22,0))</f>
        <v>0</v>
      </c>
      <c r="AL128" s="27" cm="1">
        <f t="array" ref="AL128">$G$3+IFERROR(VLOOKUP($AG128,$F$4:$G$7,2,FALSE),0)+VLOOKUP($Q128,武学奇术!$A:$ZZ,2,FALSE)+SUM(_xlfn.XLOOKUP($R128:$AF128,增益!$A:$A,增益!$B:$B,0))</f>
        <v>0.1537</v>
      </c>
      <c r="AM128" s="27" cm="1">
        <f t="array" ref="AM128">VLOOKUP($Q128,武学奇术!$A:$ZZ,5,FALSE)+SUM(_xlfn.XLOOKUP($R128:$AF128,增益!$A:$A,增益!$E:$E,0))</f>
        <v>0.15</v>
      </c>
      <c r="AN128" cm="1">
        <f t="array" ref="AN128">$D$10*(1+$AM128)+VLOOKUP($Q128,武学奇术!$A:$ZZ,3,FALSE)+SUM(_xlfn.XLOOKUP($R128:$AF128,增益!$A:$A,增益!$C:$C,0))-$I$2</f>
        <v>2063.755</v>
      </c>
      <c r="AO128" cm="1">
        <f t="array" ref="AO128">$E$10*(1+$AM128)+VLOOKUP($Q128,武学奇术!$A:$ZZ,4,FALSE)+SUM(_xlfn.XLOOKUP($R128:$AF128,增益!$A:$A,增益!$D:$D,0))-$I$2</f>
        <v>6060.925</v>
      </c>
      <c r="AP128" s="35" cm="1">
        <f t="array" ref="AP128">IF($F$10-$I$3+VLOOKUP($Q128,武学奇术!$A:$ZZ,6,FALSE)+SUM(_xlfn.XLOOKUP(R128:AF128,增益!$A:$A,增益!$F:$F,0))&gt;0,($F$10-$I$3+VLOOKUP($Q128,武学奇术!$A:$ZZ,6,FALSE)+SUM(_xlfn.XLOOKUP(R128:AF128,增益!$A:$A,增益!$F:$F,0)))/200,($F$10-$I$3+VLOOKUP($Q128,武学奇术!$A:$ZZ,6,FALSE)+SUM(_xlfn.XLOOKUP(R128:AF128,增益!$A:$A,增益!$F:$F,0)))/100)</f>
        <v>0.2425</v>
      </c>
      <c r="AQ128" s="35" cm="1">
        <f t="array" ref="AQ128">$G$10+VLOOKUP($Q128,武学奇术!$A:$ZZ,7,FALSE)+SUM(_xlfn.XLOOKUP(R128:AF128,增益!$A:$A,增益!$G:$G,0))</f>
        <v>0</v>
      </c>
      <c r="AR128" s="27" cm="1">
        <f t="array" ref="AR128">VLOOKUP($Q128,武学奇术!$A:$ZZ,8,FALSE)+SUM(_xlfn.XLOOKUP(R128:AF128,增益!$A:$A,增益!$H:$H,0))</f>
        <v>0</v>
      </c>
      <c r="AS128">
        <f t="shared" si="12"/>
        <v>0</v>
      </c>
      <c r="AT128">
        <f t="shared" si="13"/>
        <v>0</v>
      </c>
      <c r="AU128" s="35" cm="1">
        <f t="array" ref="AU128">IF($F$11-$I$4+VLOOKUP($Q128,武学奇术!$A:$ZZ,9,FALSE)+SUM(_xlfn.XLOOKUP(R128:AF128,增益!$A:$A,增益!$I:$I,0))&gt;0,($F$11-$I$4+VLOOKUP($Q128,武学奇术!$A:$ZZ,9,FALSE)+SUM(_xlfn.XLOOKUP(R128:AF128,增益!$A:$A,增益!$I:$I,0)))/200,($F$11-$I$4+VLOOKUP($Q128,武学奇术!$A:$ZZ,9,FALSE)+SUM(_xlfn.XLOOKUP(R128:AF128,增益!$A:$A,增益!$I:$I,0)))/100)</f>
        <v>-0.3</v>
      </c>
      <c r="AV128" s="35" cm="1">
        <f t="array" ref="AV128">$G$11+VLOOKUP($Q128,武学奇术!$A:$ZZ,10,FALSE)+SUM(_xlfn.XLOOKUP(R128:AF128,增益!$A:$A,增益!$J:$J,0))</f>
        <v>0</v>
      </c>
      <c r="AW128">
        <f t="shared" si="14"/>
        <v>0</v>
      </c>
      <c r="AX128">
        <f t="shared" si="15"/>
        <v>0</v>
      </c>
      <c r="AY128" s="35" cm="1">
        <f t="array" ref="AY128">IF($F$12-$I$4+VLOOKUP($Q128,武学奇术!$A:$ZZ,11,FALSE)+SUM(_xlfn.XLOOKUP(R128:AF128,增益!$A:$A,增益!$K:$K,0))&gt;0,($F$12-$I$4+VLOOKUP($Q128,武学奇术!$A:$ZZ,11,FALSE)+SUM(_xlfn.XLOOKUP(R128:AF128,增益!$A:$A,增益!$K:$K,0)))/200,($F$12-$I$4+VLOOKUP($Q128,武学奇术!$A:$ZZ,11,FALSE)+SUM(_xlfn.XLOOKUP(R128:AF128,增益!$A:$A,增益!$K:$K,0)))/100)</f>
        <v>-0.3</v>
      </c>
      <c r="AZ128" s="35" cm="1">
        <f t="array" ref="AZ128">$G$12+VLOOKUP($Q128,武学奇术!$A:$ZZ,12,FALSE)+SUM(_xlfn.XLOOKUP(R128:AF128,增益!$A:$A,增益!$L:$L,0))</f>
        <v>0</v>
      </c>
      <c r="BA128">
        <f t="shared" si="16"/>
        <v>538</v>
      </c>
      <c r="BB128">
        <f t="shared" si="17"/>
        <v>1011</v>
      </c>
      <c r="BC128" s="35" cm="1">
        <f t="array" ref="BC128">IF($F$13-$I$4+VLOOKUP($Q128,武学奇术!$A:$ZZ,13,FALSE)+SUM(_xlfn.XLOOKUP(R128:AF128,增益!$A:$A,增益!$M:$M,0))&gt;0,($F$13-$I$4+VLOOKUP($Q128,武学奇术!$A:$ZZ,13,FALSE)+SUM(_xlfn.XLOOKUP(R128:AF128,增益!$A:$A,增益!$K:$K,0)))/200,($F$13-$I$4+VLOOKUP($Q128,武学奇术!$A:$ZZ,13,FALSE)+SUM(_xlfn.XLOOKUP(R128:AF128,增益!$A:$A,增益!$M:$M,0)))/100)</f>
        <v>0</v>
      </c>
      <c r="BD128" s="35" cm="1">
        <f t="array" ref="BD128">$G$13+VLOOKUP($Q128,武学奇术!$A:$ZZ,14,FALSE)+SUM(_xlfn.XLOOKUP(R128:AF128,增益!$A:$A,增益!$N:$N,0))</f>
        <v>0.15</v>
      </c>
      <c r="BE128">
        <f t="shared" si="18"/>
        <v>0</v>
      </c>
      <c r="BF128">
        <f t="shared" si="19"/>
        <v>0</v>
      </c>
      <c r="BG128" s="35" cm="1">
        <f t="array" ref="BG128">IF($F$14-$I$4+VLOOKUP($Q128,武学奇术!$A:$ZZ,15,FALSE)+SUM(_xlfn.XLOOKUP(R128:AF128,增益!$A:$A,增益!$O:$O,0))&gt;0,($F$14-$I$4+VLOOKUP($Q128,武学奇术!$A:$ZZ,15,FALSE)+SUM(_xlfn.XLOOKUP(R128:AF128,增益!$A:$A,增益!$O:$O,0)))/200,($F$14-$I$4+VLOOKUP($Q128,武学奇术!$A:$ZZ,15,FALSE)+SUM(_xlfn.XLOOKUP(R128:AF128,增益!$A:$A,增益!$O:$O,0)))/100)</f>
        <v>-0.3</v>
      </c>
      <c r="BH128" s="35" cm="1">
        <f t="array" ref="BH128">$G$14+VLOOKUP($Q128,武学奇术!$A:$ZZ,16,FALSE)+SUM(_xlfn.XLOOKUP(R128:AF128,增益!$A:$A,增益!$P:$P,0))</f>
        <v>0</v>
      </c>
      <c r="BI128" s="27">
        <f>MIN(IF(VLOOKUP($Q128,武学奇术!$A:$ZZ,23,FALSE)=1,100%,$B$8),100%)</f>
        <v>0.9969</v>
      </c>
      <c r="BJ128" s="27" cm="1">
        <f t="array" ref="BJ128">IF(VLOOKUP($Q128,武学奇术!$A:$ZZ,23,FALSE)=1,100%,MIN(80%,$B$9+VLOOKUP($Q128,武学奇术!$A:$ZZ,17,FALSE)+SUM(_xlfn.XLOOKUP(R128:AF128,增益!$A:$A,增益!$Q:$Q,0)))+$B$11+SUM(_xlfn.XLOOKUP(R128:AF128,增益!$A:$A,增益!$U:$U,0)))*IF(VLOOKUP($Q128,武学奇术!$A:$ZZ,24,FALSE)=1,0,1)</f>
        <v>0.9137</v>
      </c>
      <c r="BK128" s="27" cm="1">
        <f t="array" ref="BK128">1+$B$13+VLOOKUP($Q128,武学奇术!$A:$ZZ,18,FALSE)+SUM(_xlfn.XLOOKUP(R128:AF128,增益!$A:$A,增益!$R:$R,0))</f>
        <v>1.6</v>
      </c>
      <c r="BL128" s="27" cm="1">
        <f t="array" ref="BL128">IF(VLOOKUP($Q128,武学奇术!$A:$ZZ,24,FALSE)=1,100%,MIN(40%,$B$10+VLOOKUP($Q128,武学奇术!$A:$ZZ,19,FALSE)+SUM(_xlfn.XLOOKUP(R128:AF128,增益!$A:$A,增益!$S:$S,0)))+$B$12+SUM(_xlfn.XLOOKUP(R128:AF128,增益!$A:$A,增益!$V:$V,0)))*IF(VLOOKUP($Q128,武学奇术!$A:$ZZ,23,FALSE)=1,0,1)</f>
        <v>0.0895</v>
      </c>
      <c r="BM128" s="27" cm="1">
        <f t="array" ref="BM128">1+$B$14+VLOOKUP($Q128,武学奇术!$A:$ZZ,20,FALSE)+SUM(_xlfn.XLOOKUP(R128:AF128,增益!$A:$A,增益!$T:$T,0))</f>
        <v>1.35</v>
      </c>
      <c r="BN128" s="27">
        <f t="shared" si="20"/>
        <v>0.90767745</v>
      </c>
      <c r="BO128" s="27">
        <f t="shared" si="21"/>
        <v>-1.30104260698261e-17</v>
      </c>
      <c r="BP128" s="27">
        <f>IF(VLOOKUP($Q128,武学奇术!$A:$ZZ,22,FALSE)=1,0,(1-$BI128))*(1-$BL128)</f>
        <v>0.00282254999999999</v>
      </c>
      <c r="BQ128" s="27" cm="1">
        <f t="array" ref="BQ128">SUM(_xlfn.XLOOKUP(R128:AF128,增益!$A:$A,增益!$W:$W,0))+$I$5</f>
        <v>0.11</v>
      </c>
    </row>
    <row r="129" spans="11:69">
      <c r="K129" s="41">
        <f t="shared" si="11"/>
        <v>16717.7225277307</v>
      </c>
      <c r="L129" s="41">
        <f>((($AN129+$AO129)/2*$AH129+$AI129)*(1+$AP129)*(1+$AQ129)+(($AS129+$AT129)/2*IF($G$1="鸣金",$AJ129,$AH129)+IF($G$1="鸣金",$AK129*1.5,0))*(1+$AU129)*(1+$AV129)+(($AW129+$AX129)/2*IF($G$1="裂石",$AJ129,$AH129)+IF($G$1="裂石",$AK129*1.5,0))*(1+$AY129)*(1+$AZ129)+(($BA129+$BB129)/2*IF($G$1="牵丝",$AJ129,$AH129)+IF($G$1="牵丝",$AK129*1.5,0))*(1+$BC129)*(1+$BD129)+(($BE129+$BF129)/2*IF($G$1="破竹",$AJ129,$AH129)+IF($G$1="破竹",$AK129*1.5,0))*(1+$BG129)*(1+$BH129))*(1+$AL129)*$BK129*$P129*(1+IF(VLOOKUP($Q129,武学奇术!$A:$ZZ,30,FALSE)="弹道",$B$21,0))*(1+$BQ129)</f>
        <v>16646.9715017634</v>
      </c>
      <c r="M129" s="41">
        <f>(($AO129*$AH129+$AI129)*(1+$AP129)*(1+$AQ129)+($AT129*IF($G$1="鸣金",$AJ129,$AH129)+IF($G$1="鸣金",$AK129*1.5,0))*(1+$AU129)*(1+$AV129)+($AX129*IF($G$1="裂石",$AJ129,$AH129)+IF($G$1="裂石",$AK129*1.5,0))*(1+$AY129)*(1+$AZ129)+($BB129*IF($G$1="牵丝",$AJ129,$AH129)+IF($G$1="牵丝",$AK129*1.5,0))*(1+$BC129)*(1+$BD129)+($BF129*IF($G$1="破竹",$AJ129,$AH129)+IF($G$1="破竹",$AK129*1.5,0))*(1+$BG129)*(1+$BH129))*(1+$AL129)*$BM129*$P129*(1+IF(VLOOKUP($Q129,武学奇术!$A:$ZZ,30,FALSE)="弹道",$B$21,0))*(1+$BQ129)</f>
        <v>17810.9950687512</v>
      </c>
      <c r="N129" s="41">
        <f>((($AN129+$AO129)/2*$AH129+$AI129)*(1+$AP129)*(1+$AQ129)+(($AS129+$AT129)/2*IF($G$1="鸣金",$AJ129,$AH129)+IF($G$1="鸣金",$AK129*1.5,0))*(1+$AU129)*(1+$AV129)+(($AW129+$AX129)/2*IF($G$1="裂石",$AJ129,$AH129)+IF($G$1="裂石",$AK129*1.5,0))*(1+$AY129)*(1+$AZ129)+(($BA129+$BB129)/2*IF($G$1="牵丝",$AJ129,$AH129)+IF($G$1="牵丝",$AK129*1.5,0))*(1+$BC129)*(1+$BD129)+(($BE129+$BF129)/2*IF($G$1="破竹",$AJ129,$AH129)+IF($G$1="破竹",$AK129*1.5,0))*(1+$BG129)*(1+$BH129))*(1+$AL129)*$P129*(1+IF(VLOOKUP($Q129,武学奇术!$A:$ZZ,30,FALSE)="弹道",$B$21,0))*(1+$BQ129)</f>
        <v>8998.36297392615</v>
      </c>
      <c r="O129" s="41">
        <f>((($AN129*$AH129+$AI129)*(1+$AP129)*(1+$AQ129)+($AS129*IF($G$1="鸣金",$AJ129,$AH129)+IF($G$1="鸣金",$AK129*1.5,0))*(1+$AU129)*(1+$AV129)+($AW129*IF($G$1="裂石",$AJ129,$AH129)+IF($G$1="裂石",$AK129*1.5,0))*(1+$AY129)*(1+$AZ129)+($BA129*IF($G$1="牵丝",$AJ129,$AH129)+IF($G$1="牵丝",$AK129*1.5,0))*(1+$BC129)*(1+$BD129)+($BE129*IF($G$1="破竹",$AJ129,$AH129)+IF($G$1="破竹",$AK129*1.5,0))*(1+$BG129)*(1+$BH129))*(1+$AL129))*$P129*(1+IF(VLOOKUP($Q129,武学奇术!$A:$ZZ,30,FALSE)="弹道",$B$21,0))*(1+$BQ129)</f>
        <v>4803.39626729586</v>
      </c>
      <c r="P129" s="42">
        <f t="shared" si="24"/>
        <v>1</v>
      </c>
      <c r="Q129" s="43" t="s">
        <v>187</v>
      </c>
      <c r="R129" s="43" t="s">
        <v>93</v>
      </c>
      <c r="S129" s="43" t="s">
        <v>158</v>
      </c>
      <c r="T129" s="43" t="s">
        <v>73</v>
      </c>
      <c r="U129" s="43" t="s">
        <v>159</v>
      </c>
      <c r="V129" s="43" t="s">
        <v>73</v>
      </c>
      <c r="W129" s="43" t="s">
        <v>73</v>
      </c>
      <c r="X129" s="43" t="s">
        <v>73</v>
      </c>
      <c r="Y129" s="43" t="s">
        <v>164</v>
      </c>
      <c r="Z129" s="43" t="s">
        <v>73</v>
      </c>
      <c r="AA129" s="43" t="s">
        <v>73</v>
      </c>
      <c r="AB129" s="43" t="s">
        <v>73</v>
      </c>
      <c r="AC129" s="43" t="s">
        <v>165</v>
      </c>
      <c r="AD129" s="43" t="s">
        <v>73</v>
      </c>
      <c r="AE129" s="43" t="s">
        <v>73</v>
      </c>
      <c r="AF129" s="43" t="s">
        <v>75</v>
      </c>
      <c r="AG129" t="str">
        <f>VLOOKUP($Q129,武学奇术!$A:$ZZ,25,FALSE)</f>
        <v>心法</v>
      </c>
      <c r="AH129" s="27">
        <f>VLOOKUP($Q129,武学奇术!$A:$ZZ,26,FALSE)</f>
        <v>1</v>
      </c>
      <c r="AI129" s="28">
        <f>VLOOKUP($Q129,武学奇术!$A:$ZZ,27,FALSE)*(1+IF(OR($AG129=$F$4,$AG129=$F$5),$B$22,0))</f>
        <v>0</v>
      </c>
      <c r="AJ129" s="27">
        <f>VLOOKUP($Q129,武学奇术!$A:$ZZ,28,FALSE)</f>
        <v>1</v>
      </c>
      <c r="AK129" s="28">
        <f>VLOOKUP($Q129,武学奇术!$A:$ZZ,29,FALSE)*(1+IF(OR($AG129=$F$4,$AG129=$F$5),$B$22,0))</f>
        <v>0</v>
      </c>
      <c r="AL129" s="27" cm="1">
        <f t="array" ref="AL129">$G$3+IFERROR(VLOOKUP($AG129,$F$4:$G$7,2,FALSE),0)+VLOOKUP($Q129,武学奇术!$A:$ZZ,2,FALSE)+SUM(_xlfn.XLOOKUP($R129:$AF129,增益!$A:$A,增益!$B:$B,0))</f>
        <v>0.1537</v>
      </c>
      <c r="AM129" s="27" cm="1">
        <f t="array" ref="AM129">VLOOKUP($Q129,武学奇术!$A:$ZZ,5,FALSE)+SUM(_xlfn.XLOOKUP($R129:$AF129,增益!$A:$A,增益!$E:$E,0))</f>
        <v>0.15</v>
      </c>
      <c r="AN129" cm="1">
        <f t="array" ref="AN129">$D$10*(1+$AM129)+VLOOKUP($Q129,武学奇术!$A:$ZZ,3,FALSE)+SUM(_xlfn.XLOOKUP($R129:$AF129,增益!$A:$A,增益!$C:$C,0))-$I$2</f>
        <v>2063.755</v>
      </c>
      <c r="AO129" cm="1">
        <f t="array" ref="AO129">$E$10*(1+$AM129)+VLOOKUP($Q129,武学奇术!$A:$ZZ,4,FALSE)+SUM(_xlfn.XLOOKUP($R129:$AF129,增益!$A:$A,增益!$D:$D,0))-$I$2</f>
        <v>6060.925</v>
      </c>
      <c r="AP129" s="35" cm="1">
        <f t="array" ref="AP129">IF($F$10-$I$3+VLOOKUP($Q129,武学奇术!$A:$ZZ,6,FALSE)+SUM(_xlfn.XLOOKUP(R129:AF129,增益!$A:$A,增益!$F:$F,0))&gt;0,($F$10-$I$3+VLOOKUP($Q129,武学奇术!$A:$ZZ,6,FALSE)+SUM(_xlfn.XLOOKUP(R129:AF129,增益!$A:$A,增益!$F:$F,0)))/200,($F$10-$I$3+VLOOKUP($Q129,武学奇术!$A:$ZZ,6,FALSE)+SUM(_xlfn.XLOOKUP(R129:AF129,增益!$A:$A,增益!$F:$F,0)))/100)</f>
        <v>0.3675</v>
      </c>
      <c r="AQ129" s="35" cm="1">
        <f t="array" ref="AQ129">$G$10+VLOOKUP($Q129,武学奇术!$A:$ZZ,7,FALSE)+SUM(_xlfn.XLOOKUP(R129:AF129,增益!$A:$A,增益!$G:$G,0))</f>
        <v>0</v>
      </c>
      <c r="AR129" s="27" cm="1">
        <f t="array" ref="AR129">VLOOKUP($Q129,武学奇术!$A:$ZZ,8,FALSE)+SUM(_xlfn.XLOOKUP(R129:AF129,增益!$A:$A,增益!$H:$H,0))</f>
        <v>0</v>
      </c>
      <c r="AS129">
        <f t="shared" si="12"/>
        <v>0</v>
      </c>
      <c r="AT129">
        <f t="shared" si="13"/>
        <v>0</v>
      </c>
      <c r="AU129" s="35" cm="1">
        <f t="array" ref="AU129">IF($F$11-$I$4+VLOOKUP($Q129,武学奇术!$A:$ZZ,9,FALSE)+SUM(_xlfn.XLOOKUP(R129:AF129,增益!$A:$A,增益!$I:$I,0))&gt;0,($F$11-$I$4+VLOOKUP($Q129,武学奇术!$A:$ZZ,9,FALSE)+SUM(_xlfn.XLOOKUP(R129:AF129,增益!$A:$A,增益!$I:$I,0)))/200,($F$11-$I$4+VLOOKUP($Q129,武学奇术!$A:$ZZ,9,FALSE)+SUM(_xlfn.XLOOKUP(R129:AF129,增益!$A:$A,增益!$I:$I,0)))/100)</f>
        <v>-0.3</v>
      </c>
      <c r="AV129" s="35" cm="1">
        <f t="array" ref="AV129">$G$11+VLOOKUP($Q129,武学奇术!$A:$ZZ,10,FALSE)+SUM(_xlfn.XLOOKUP(R129:AF129,增益!$A:$A,增益!$J:$J,0))</f>
        <v>0</v>
      </c>
      <c r="AW129">
        <f t="shared" si="14"/>
        <v>0</v>
      </c>
      <c r="AX129">
        <f t="shared" si="15"/>
        <v>0</v>
      </c>
      <c r="AY129" s="35" cm="1">
        <f t="array" ref="AY129">IF($F$12-$I$4+VLOOKUP($Q129,武学奇术!$A:$ZZ,11,FALSE)+SUM(_xlfn.XLOOKUP(R129:AF129,增益!$A:$A,增益!$K:$K,0))&gt;0,($F$12-$I$4+VLOOKUP($Q129,武学奇术!$A:$ZZ,11,FALSE)+SUM(_xlfn.XLOOKUP(R129:AF129,增益!$A:$A,增益!$K:$K,0)))/200,($F$12-$I$4+VLOOKUP($Q129,武学奇术!$A:$ZZ,11,FALSE)+SUM(_xlfn.XLOOKUP(R129:AF129,增益!$A:$A,增益!$K:$K,0)))/100)</f>
        <v>-0.3</v>
      </c>
      <c r="AZ129" s="35" cm="1">
        <f t="array" ref="AZ129">$G$12+VLOOKUP($Q129,武学奇术!$A:$ZZ,12,FALSE)+SUM(_xlfn.XLOOKUP(R129:AF129,增益!$A:$A,增益!$L:$L,0))</f>
        <v>0</v>
      </c>
      <c r="BA129">
        <f t="shared" si="16"/>
        <v>538</v>
      </c>
      <c r="BB129">
        <f t="shared" si="17"/>
        <v>1011</v>
      </c>
      <c r="BC129" s="35" cm="1">
        <f t="array" ref="BC129">IF($F$13-$I$4+VLOOKUP($Q129,武学奇术!$A:$ZZ,13,FALSE)+SUM(_xlfn.XLOOKUP(R129:AF129,增益!$A:$A,增益!$M:$M,0))&gt;0,($F$13-$I$4+VLOOKUP($Q129,武学奇术!$A:$ZZ,13,FALSE)+SUM(_xlfn.XLOOKUP(R129:AF129,增益!$A:$A,增益!$K:$K,0)))/200,($F$13-$I$4+VLOOKUP($Q129,武学奇术!$A:$ZZ,13,FALSE)+SUM(_xlfn.XLOOKUP(R129:AF129,增益!$A:$A,增益!$M:$M,0)))/100)</f>
        <v>0</v>
      </c>
      <c r="BD129" s="35" cm="1">
        <f t="array" ref="BD129">$G$13+VLOOKUP($Q129,武学奇术!$A:$ZZ,14,FALSE)+SUM(_xlfn.XLOOKUP(R129:AF129,增益!$A:$A,增益!$N:$N,0))</f>
        <v>0.15</v>
      </c>
      <c r="BE129">
        <f t="shared" si="18"/>
        <v>0</v>
      </c>
      <c r="BF129">
        <f t="shared" si="19"/>
        <v>0</v>
      </c>
      <c r="BG129" s="35" cm="1">
        <f t="array" ref="BG129">IF($F$14-$I$4+VLOOKUP($Q129,武学奇术!$A:$ZZ,15,FALSE)+SUM(_xlfn.XLOOKUP(R129:AF129,增益!$A:$A,增益!$O:$O,0))&gt;0,($F$14-$I$4+VLOOKUP($Q129,武学奇术!$A:$ZZ,15,FALSE)+SUM(_xlfn.XLOOKUP(R129:AF129,增益!$A:$A,增益!$O:$O,0)))/200,($F$14-$I$4+VLOOKUP($Q129,武学奇术!$A:$ZZ,15,FALSE)+SUM(_xlfn.XLOOKUP(R129:AF129,增益!$A:$A,增益!$O:$O,0)))/100)</f>
        <v>-0.3</v>
      </c>
      <c r="BH129" s="35" cm="1">
        <f t="array" ref="BH129">$G$14+VLOOKUP($Q129,武学奇术!$A:$ZZ,16,FALSE)+SUM(_xlfn.XLOOKUP(R129:AF129,增益!$A:$A,增益!$P:$P,0))</f>
        <v>0</v>
      </c>
      <c r="BI129" s="27">
        <f>MIN(IF(VLOOKUP($Q129,武学奇术!$A:$ZZ,23,FALSE)=1,100%,$B$8),100%)</f>
        <v>0.9969</v>
      </c>
      <c r="BJ129" s="27" cm="1">
        <f t="array" ref="BJ129">IF(VLOOKUP($Q129,武学奇术!$A:$ZZ,23,FALSE)=1,100%,MIN(80%,$B$9+VLOOKUP($Q129,武学奇术!$A:$ZZ,17,FALSE)+SUM(_xlfn.XLOOKUP(R129:AF129,增益!$A:$A,增益!$Q:$Q,0)))+$B$11+SUM(_xlfn.XLOOKUP(R129:AF129,增益!$A:$A,增益!$U:$U,0)))*IF(VLOOKUP($Q129,武学奇术!$A:$ZZ,24,FALSE)=1,0,1)</f>
        <v>0.9137</v>
      </c>
      <c r="BK129" s="27" cm="1">
        <f t="array" ref="BK129">1+$B$13+VLOOKUP($Q129,武学奇术!$A:$ZZ,18,FALSE)+SUM(_xlfn.XLOOKUP(R129:AF129,增益!$A:$A,增益!$R:$R,0))</f>
        <v>1.85</v>
      </c>
      <c r="BL129" s="27" cm="1">
        <f t="array" ref="BL129">IF(VLOOKUP($Q129,武学奇术!$A:$ZZ,24,FALSE)=1,100%,MIN(40%,$B$10+VLOOKUP($Q129,武学奇术!$A:$ZZ,19,FALSE)+SUM(_xlfn.XLOOKUP(R129:AF129,增益!$A:$A,增益!$S:$S,0)))+$B$12+SUM(_xlfn.XLOOKUP(R129:AF129,增益!$A:$A,增益!$V:$V,0)))*IF(VLOOKUP($Q129,武学奇术!$A:$ZZ,23,FALSE)=1,0,1)</f>
        <v>0.0895</v>
      </c>
      <c r="BM129" s="27" cm="1">
        <f t="array" ref="BM129">1+$B$14+VLOOKUP($Q129,武学奇术!$A:$ZZ,20,FALSE)+SUM(_xlfn.XLOOKUP(R129:AF129,增益!$A:$A,增益!$T:$T,0))</f>
        <v>1.35</v>
      </c>
      <c r="BN129" s="27">
        <f t="shared" si="20"/>
        <v>0.90767745</v>
      </c>
      <c r="BO129" s="27">
        <f t="shared" si="21"/>
        <v>-1.30104260698261e-17</v>
      </c>
      <c r="BP129" s="27">
        <f>IF(VLOOKUP($Q129,武学奇术!$A:$ZZ,22,FALSE)=1,0,(1-$BI129))*(1-$BL129)</f>
        <v>0.00282254999999999</v>
      </c>
      <c r="BQ129" s="27" cm="1">
        <f t="array" ref="BQ129">SUM(_xlfn.XLOOKUP(R129:AF129,增益!$A:$A,增益!$W:$W,0))+$I$5</f>
        <v>0.21</v>
      </c>
    </row>
    <row r="130" spans="11:69">
      <c r="K130" s="41">
        <f t="shared" ref="K130:K136" si="25">($L130*$BN130+$M130*$BL130+$N130*$BO130+$O130*$BP130)</f>
        <v>15336.0925667613</v>
      </c>
      <c r="L130" s="41">
        <f>((($AN130+$AO130)/2*$AH130+$AI130)*(1+$AP130)*(1+$AQ130)+(($AS130+$AT130)/2*IF($G$1="鸣金",$AJ130,$AH130)+IF($G$1="鸣金",$AK130*1.5,0))*(1+$AU130)*(1+$AV130)+(($AW130+$AX130)/2*IF($G$1="裂石",$AJ130,$AH130)+IF($G$1="裂石",$AK130*1.5,0))*(1+$AY130)*(1+$AZ130)+(($BA130+$BB130)/2*IF($G$1="牵丝",$AJ130,$AH130)+IF($G$1="牵丝",$AK130*1.5,0))*(1+$BC130)*(1+$BD130)+(($BE130+$BF130)/2*IF($G$1="破竹",$AJ130,$AH130)+IF($G$1="破竹",$AK130*1.5,0))*(1+$BG130)*(1+$BH130))*(1+$AL130)*$BK130*$P130*(1+IF(VLOOKUP($Q130,武学奇术!$A:$ZZ,30,FALSE)="弹道",$B$21,0))*(1+$BQ130)</f>
        <v>15271.1887330226</v>
      </c>
      <c r="M130" s="41">
        <f>(($AO130*$AH130+$AI130)*(1+$AP130)*(1+$AQ130)+($AT130*IF($G$1="鸣金",$AJ130,$AH130)+IF($G$1="鸣金",$AK130*1.5,0))*(1+$AU130)*(1+$AV130)+($AX130*IF($G$1="裂石",$AJ130,$AH130)+IF($G$1="裂石",$AK130*1.5,0))*(1+$AY130)*(1+$AZ130)+($BB130*IF($G$1="牵丝",$AJ130,$AH130)+IF($G$1="牵丝",$AK130*1.5,0))*(1+$BC130)*(1+$BD130)+($BF130*IF($G$1="破竹",$AJ130,$AH130)+IF($G$1="破竹",$AK130*1.5,0))*(1+$BG130)*(1+$BH130))*(1+$AL130)*$BM130*$P130*(1+IF(VLOOKUP($Q130,武学奇术!$A:$ZZ,30,FALSE)="弹道",$B$21,0))*(1+$BQ130)</f>
        <v>16339.012005218</v>
      </c>
      <c r="N130" s="41">
        <f>((($AN130+$AO130)/2*$AH130+$AI130)*(1+$AP130)*(1+$AQ130)+(($AS130+$AT130)/2*IF($G$1="鸣金",$AJ130,$AH130)+IF($G$1="鸣金",$AK130*1.5,0))*(1+$AU130)*(1+$AV130)+(($AW130+$AX130)/2*IF($G$1="裂石",$AJ130,$AH130)+IF($G$1="裂石",$AK130*1.5,0))*(1+$AY130)*(1+$AZ130)+(($BA130+$BB130)/2*IF($G$1="牵丝",$AJ130,$AH130)+IF($G$1="牵丝",$AK130*1.5,0))*(1+$BC130)*(1+$BD130)+(($BE130+$BF130)/2*IF($G$1="破竹",$AJ130,$AH130)+IF($G$1="破竹",$AK130*1.5,0))*(1+$BG130)*(1+$BH130))*(1+$AL130)*$P130*(1+IF(VLOOKUP($Q130,武学奇术!$A:$ZZ,30,FALSE)="弹道",$B$21,0))*(1+$BQ130)</f>
        <v>8254.69661244465</v>
      </c>
      <c r="O130" s="41">
        <f>((($AN130*$AH130+$AI130)*(1+$AP130)*(1+$AQ130)+($AS130*IF($G$1="鸣金",$AJ130,$AH130)+IF($G$1="鸣金",$AK130*1.5,0))*(1+$AU130)*(1+$AV130)+($AW130*IF($G$1="裂石",$AJ130,$AH130)+IF($G$1="裂石",$AK130*1.5,0))*(1+$AY130)*(1+$AZ130)+($BA130*IF($G$1="牵丝",$AJ130,$AH130)+IF($G$1="牵丝",$AK130*1.5,0))*(1+$BC130)*(1+$BD130)+($BE130*IF($G$1="破竹",$AJ130,$AH130)+IF($G$1="破竹",$AK130*1.5,0))*(1+$BG130)*(1+$BH130))*(1+$AL130))*$P130*(1+IF(VLOOKUP($Q130,武学奇术!$A:$ZZ,30,FALSE)="弹道",$B$21,0))*(1+$BQ130)</f>
        <v>4406.42136917224</v>
      </c>
      <c r="P130" s="42">
        <f t="shared" si="24"/>
        <v>1</v>
      </c>
      <c r="Q130" s="43" t="s">
        <v>187</v>
      </c>
      <c r="R130" s="43" t="s">
        <v>93</v>
      </c>
      <c r="S130" s="43" t="s">
        <v>158</v>
      </c>
      <c r="T130" s="43" t="s">
        <v>73</v>
      </c>
      <c r="U130" s="43" t="s">
        <v>159</v>
      </c>
      <c r="V130" s="43" t="s">
        <v>73</v>
      </c>
      <c r="W130" s="43" t="s">
        <v>73</v>
      </c>
      <c r="X130" s="43" t="s">
        <v>73</v>
      </c>
      <c r="Y130" s="43" t="s">
        <v>164</v>
      </c>
      <c r="Z130" s="43" t="s">
        <v>73</v>
      </c>
      <c r="AA130" s="43" t="s">
        <v>73</v>
      </c>
      <c r="AB130" s="43" t="s">
        <v>73</v>
      </c>
      <c r="AC130" s="43" t="s">
        <v>73</v>
      </c>
      <c r="AD130" s="43" t="s">
        <v>73</v>
      </c>
      <c r="AE130" s="43" t="s">
        <v>73</v>
      </c>
      <c r="AF130" s="43" t="s">
        <v>75</v>
      </c>
      <c r="AG130" t="str">
        <f>VLOOKUP($Q130,武学奇术!$A:$ZZ,25,FALSE)</f>
        <v>心法</v>
      </c>
      <c r="AH130" s="27">
        <f>VLOOKUP($Q130,武学奇术!$A:$ZZ,26,FALSE)</f>
        <v>1</v>
      </c>
      <c r="AI130" s="28">
        <f>VLOOKUP($Q130,武学奇术!$A:$ZZ,27,FALSE)*(1+IF(OR($AG130=$F$4,$AG130=$F$5),$B$22,0))</f>
        <v>0</v>
      </c>
      <c r="AJ130" s="27">
        <f>VLOOKUP($Q130,武学奇术!$A:$ZZ,28,FALSE)</f>
        <v>1</v>
      </c>
      <c r="AK130" s="28">
        <f>VLOOKUP($Q130,武学奇术!$A:$ZZ,29,FALSE)*(1+IF(OR($AG130=$F$4,$AG130=$F$5),$B$22,0))</f>
        <v>0</v>
      </c>
      <c r="AL130" s="27" cm="1">
        <f t="array" ref="AL130">$G$3+IFERROR(VLOOKUP($AG130,$F$4:$G$7,2,FALSE),0)+VLOOKUP($Q130,武学奇术!$A:$ZZ,2,FALSE)+SUM(_xlfn.XLOOKUP($R130:$AF130,增益!$A:$A,增益!$B:$B,0))</f>
        <v>0.1537</v>
      </c>
      <c r="AM130" s="27" cm="1">
        <f t="array" ref="AM130">VLOOKUP($Q130,武学奇术!$A:$ZZ,5,FALSE)+SUM(_xlfn.XLOOKUP($R130:$AF130,增益!$A:$A,增益!$E:$E,0))</f>
        <v>0.15</v>
      </c>
      <c r="AN130" cm="1">
        <f t="array" ref="AN130">$D$10*(1+$AM130)+VLOOKUP($Q130,武学奇术!$A:$ZZ,3,FALSE)+SUM(_xlfn.XLOOKUP($R130:$AF130,增益!$A:$A,增益!$C:$C,0))-$I$2</f>
        <v>2063.755</v>
      </c>
      <c r="AO130" cm="1">
        <f t="array" ref="AO130">$E$10*(1+$AM130)+VLOOKUP($Q130,武学奇术!$A:$ZZ,4,FALSE)+SUM(_xlfn.XLOOKUP($R130:$AF130,增益!$A:$A,增益!$D:$D,0))-$I$2</f>
        <v>6060.925</v>
      </c>
      <c r="AP130" s="35" cm="1">
        <f t="array" ref="AP130">IF($F$10-$I$3+VLOOKUP($Q130,武学奇术!$A:$ZZ,6,FALSE)+SUM(_xlfn.XLOOKUP(R130:AF130,增益!$A:$A,增益!$F:$F,0))&gt;0,($F$10-$I$3+VLOOKUP($Q130,武学奇术!$A:$ZZ,6,FALSE)+SUM(_xlfn.XLOOKUP(R130:AF130,增益!$A:$A,增益!$F:$F,0)))/200,($F$10-$I$3+VLOOKUP($Q130,武学奇术!$A:$ZZ,6,FALSE)+SUM(_xlfn.XLOOKUP(R130:AF130,增益!$A:$A,增益!$F:$F,0)))/100)</f>
        <v>0.3675</v>
      </c>
      <c r="AQ130" s="35" cm="1">
        <f t="array" ref="AQ130">$G$10+VLOOKUP($Q130,武学奇术!$A:$ZZ,7,FALSE)+SUM(_xlfn.XLOOKUP(R130:AF130,增益!$A:$A,增益!$G:$G,0))</f>
        <v>0</v>
      </c>
      <c r="AR130" s="27" cm="1">
        <f t="array" ref="AR130">VLOOKUP($Q130,武学奇术!$A:$ZZ,8,FALSE)+SUM(_xlfn.XLOOKUP(R130:AF130,增益!$A:$A,增益!$H:$H,0))</f>
        <v>0</v>
      </c>
      <c r="AS130">
        <f t="shared" ref="AS130:AS136" si="26">$D$11*(1+$AR130)</f>
        <v>0</v>
      </c>
      <c r="AT130">
        <f t="shared" ref="AT130:AT136" si="27">$E$11*(1+$AR130)</f>
        <v>0</v>
      </c>
      <c r="AU130" s="35" cm="1">
        <f t="array" ref="AU130">IF($F$11-$I$4+VLOOKUP($Q130,武学奇术!$A:$ZZ,9,FALSE)+SUM(_xlfn.XLOOKUP(R130:AF130,增益!$A:$A,增益!$I:$I,0))&gt;0,($F$11-$I$4+VLOOKUP($Q130,武学奇术!$A:$ZZ,9,FALSE)+SUM(_xlfn.XLOOKUP(R130:AF130,增益!$A:$A,增益!$I:$I,0)))/200,($F$11-$I$4+VLOOKUP($Q130,武学奇术!$A:$ZZ,9,FALSE)+SUM(_xlfn.XLOOKUP(R130:AF130,增益!$A:$A,增益!$I:$I,0)))/100)</f>
        <v>-0.3</v>
      </c>
      <c r="AV130" s="35" cm="1">
        <f t="array" ref="AV130">$G$11+VLOOKUP($Q130,武学奇术!$A:$ZZ,10,FALSE)+SUM(_xlfn.XLOOKUP(R130:AF130,增益!$A:$A,增益!$J:$J,0))</f>
        <v>0</v>
      </c>
      <c r="AW130">
        <f t="shared" ref="AW130:AW136" si="28">$D$12*(1+$AR130)</f>
        <v>0</v>
      </c>
      <c r="AX130">
        <f t="shared" ref="AX130:AX136" si="29">$E$12*(1+$AR130)</f>
        <v>0</v>
      </c>
      <c r="AY130" s="35" cm="1">
        <f t="array" ref="AY130">IF($F$12-$I$4+VLOOKUP($Q130,武学奇术!$A:$ZZ,11,FALSE)+SUM(_xlfn.XLOOKUP(R130:AF130,增益!$A:$A,增益!$K:$K,0))&gt;0,($F$12-$I$4+VLOOKUP($Q130,武学奇术!$A:$ZZ,11,FALSE)+SUM(_xlfn.XLOOKUP(R130:AF130,增益!$A:$A,增益!$K:$K,0)))/200,($F$12-$I$4+VLOOKUP($Q130,武学奇术!$A:$ZZ,11,FALSE)+SUM(_xlfn.XLOOKUP(R130:AF130,增益!$A:$A,增益!$K:$K,0)))/100)</f>
        <v>-0.3</v>
      </c>
      <c r="AZ130" s="35" cm="1">
        <f t="array" ref="AZ130">$G$12+VLOOKUP($Q130,武学奇术!$A:$ZZ,12,FALSE)+SUM(_xlfn.XLOOKUP(R130:AF130,增益!$A:$A,增益!$L:$L,0))</f>
        <v>0</v>
      </c>
      <c r="BA130">
        <f t="shared" ref="BA130:BA136" si="30">$D$13*(1+$AR130)</f>
        <v>538</v>
      </c>
      <c r="BB130">
        <f t="shared" ref="BB130:BB136" si="31">$E$13*(1+$AR130)</f>
        <v>1011</v>
      </c>
      <c r="BC130" s="35" cm="1">
        <f t="array" ref="BC130">IF($F$13-$I$4+VLOOKUP($Q130,武学奇术!$A:$ZZ,13,FALSE)+SUM(_xlfn.XLOOKUP(R130:AF130,增益!$A:$A,增益!$M:$M,0))&gt;0,($F$13-$I$4+VLOOKUP($Q130,武学奇术!$A:$ZZ,13,FALSE)+SUM(_xlfn.XLOOKUP(R130:AF130,增益!$A:$A,增益!$K:$K,0)))/200,($F$13-$I$4+VLOOKUP($Q130,武学奇术!$A:$ZZ,13,FALSE)+SUM(_xlfn.XLOOKUP(R130:AF130,增益!$A:$A,增益!$M:$M,0)))/100)</f>
        <v>0</v>
      </c>
      <c r="BD130" s="35" cm="1">
        <f t="array" ref="BD130">$G$13+VLOOKUP($Q130,武学奇术!$A:$ZZ,14,FALSE)+SUM(_xlfn.XLOOKUP(R130:AF130,增益!$A:$A,增益!$N:$N,0))</f>
        <v>0.15</v>
      </c>
      <c r="BE130">
        <f t="shared" ref="BE130:BE136" si="32">$D$14*(1+$AR130)</f>
        <v>0</v>
      </c>
      <c r="BF130">
        <f t="shared" ref="BF130:BF136" si="33">$E$14*(1+$AR130)</f>
        <v>0</v>
      </c>
      <c r="BG130" s="35" cm="1">
        <f t="array" ref="BG130">IF($F$14-$I$4+VLOOKUP($Q130,武学奇术!$A:$ZZ,15,FALSE)+SUM(_xlfn.XLOOKUP(R130:AF130,增益!$A:$A,增益!$O:$O,0))&gt;0,($F$14-$I$4+VLOOKUP($Q130,武学奇术!$A:$ZZ,15,FALSE)+SUM(_xlfn.XLOOKUP(R130:AF130,增益!$A:$A,增益!$O:$O,0)))/200,($F$14-$I$4+VLOOKUP($Q130,武学奇术!$A:$ZZ,15,FALSE)+SUM(_xlfn.XLOOKUP(R130:AF130,增益!$A:$A,增益!$O:$O,0)))/100)</f>
        <v>-0.3</v>
      </c>
      <c r="BH130" s="35" cm="1">
        <f t="array" ref="BH130">$G$14+VLOOKUP($Q130,武学奇术!$A:$ZZ,16,FALSE)+SUM(_xlfn.XLOOKUP(R130:AF130,增益!$A:$A,增益!$P:$P,0))</f>
        <v>0</v>
      </c>
      <c r="BI130" s="27">
        <f>MIN(IF(VLOOKUP($Q130,武学奇术!$A:$ZZ,23,FALSE)=1,100%,$B$8),100%)</f>
        <v>0.9969</v>
      </c>
      <c r="BJ130" s="27" cm="1">
        <f t="array" ref="BJ130">IF(VLOOKUP($Q130,武学奇术!$A:$ZZ,23,FALSE)=1,100%,MIN(80%,$B$9+VLOOKUP($Q130,武学奇术!$A:$ZZ,17,FALSE)+SUM(_xlfn.XLOOKUP(R130:AF130,增益!$A:$A,增益!$Q:$Q,0)))+$B$11+SUM(_xlfn.XLOOKUP(R130:AF130,增益!$A:$A,增益!$U:$U,0)))*IF(VLOOKUP($Q130,武学奇术!$A:$ZZ,24,FALSE)=1,0,1)</f>
        <v>0.9137</v>
      </c>
      <c r="BK130" s="27" cm="1">
        <f t="array" ref="BK130">1+$B$13+VLOOKUP($Q130,武学奇术!$A:$ZZ,18,FALSE)+SUM(_xlfn.XLOOKUP(R130:AF130,增益!$A:$A,增益!$R:$R,0))</f>
        <v>1.85</v>
      </c>
      <c r="BL130" s="27" cm="1">
        <f t="array" ref="BL130">IF(VLOOKUP($Q130,武学奇术!$A:$ZZ,24,FALSE)=1,100%,MIN(40%,$B$10+VLOOKUP($Q130,武学奇术!$A:$ZZ,19,FALSE)+SUM(_xlfn.XLOOKUP(R130:AF130,增益!$A:$A,增益!$S:$S,0)))+$B$12+SUM(_xlfn.XLOOKUP(R130:AF130,增益!$A:$A,增益!$V:$V,0)))*IF(VLOOKUP($Q130,武学奇术!$A:$ZZ,23,FALSE)=1,0,1)</f>
        <v>0.0895</v>
      </c>
      <c r="BM130" s="27" cm="1">
        <f t="array" ref="BM130">1+$B$14+VLOOKUP($Q130,武学奇术!$A:$ZZ,20,FALSE)+SUM(_xlfn.XLOOKUP(R130:AF130,增益!$A:$A,增益!$T:$T,0))</f>
        <v>1.35</v>
      </c>
      <c r="BN130" s="27">
        <f t="shared" ref="BN130:BN136" si="34">MIN((1-BL130)*BI130,BI130*BJ130)</f>
        <v>0.90767745</v>
      </c>
      <c r="BO130" s="27">
        <f t="shared" ref="BO130:BO136" si="35">1-BL130-BN130-BP130</f>
        <v>-1.30104260698261e-17</v>
      </c>
      <c r="BP130" s="27">
        <f>IF(VLOOKUP($Q130,武学奇术!$A:$ZZ,22,FALSE)=1,0,(1-$BI130))*(1-$BL130)</f>
        <v>0.00282254999999999</v>
      </c>
      <c r="BQ130" s="27" cm="1">
        <f t="array" ref="BQ130">SUM(_xlfn.XLOOKUP(R130:AF130,增益!$A:$A,增益!$W:$W,0))+$I$5</f>
        <v>0.11</v>
      </c>
    </row>
    <row r="131" spans="11:69">
      <c r="K131" s="41">
        <f t="shared" si="25"/>
        <v>12400.3892503002</v>
      </c>
      <c r="L131" s="41">
        <f>((($AN131+$AO131)/2*$AH131+$AI131)*(1+$AP131)*(1+$AQ131)+(($AS131+$AT131)/2*IF($G$1="鸣金",$AJ131,$AH131)+IF($G$1="鸣金",$AK131*1.5,0))*(1+$AU131)*(1+$AV131)+(($AW131+$AX131)/2*IF($G$1="裂石",$AJ131,$AH131)+IF($G$1="裂石",$AK131*1.5,0))*(1+$AY131)*(1+$AZ131)+(($BA131+$BB131)/2*IF($G$1="牵丝",$AJ131,$AH131)+IF($G$1="牵丝",$AK131*1.5,0))*(1+$BC131)*(1+$BD131)+(($BE131+$BF131)/2*IF($G$1="破竹",$AJ131,$AH131)+IF($G$1="破竹",$AK131*1.5,0))*(1+$BG131)*(1+$BH131))*(1+$AL131)*$BK131*$P131*(1+IF(VLOOKUP($Q131,武学奇术!$A:$ZZ,30,FALSE)="弹道",$B$21,0))*(1+$BQ131)</f>
        <v>12167.0623718354</v>
      </c>
      <c r="M131" s="41">
        <f>(($AO131*$AH131+$AI131)*(1+$AP131)*(1+$AQ131)+($AT131*IF($G$1="鸣金",$AJ131,$AH131)+IF($G$1="鸣金",$AK131*1.5,0))*(1+$AU131)*(1+$AV131)+($AX131*IF($G$1="裂石",$AJ131,$AH131)+IF($G$1="裂石",$AK131*1.5,0))*(1+$AY131)*(1+$AZ131)+($BB131*IF($G$1="牵丝",$AJ131,$AH131)+IF($G$1="牵丝",$AK131*1.5,0))*(1+$BC131)*(1+$BD131)+($BF131*IF($G$1="破竹",$AJ131,$AH131)+IF($G$1="破竹",$AK131*1.5,0))*(1+$BG131)*(1+$BH131))*(1+$AL131)*$BM131*$P131*(1+IF(VLOOKUP($Q131,武学奇术!$A:$ZZ,30,FALSE)="弹道",$B$21,0))*(1+$BQ131)</f>
        <v>15029.2313770941</v>
      </c>
      <c r="N131" s="41">
        <f>((($AN131+$AO131)/2*$AH131+$AI131)*(1+$AP131)*(1+$AQ131)+(($AS131+$AT131)/2*IF($G$1="鸣金",$AJ131,$AH131)+IF($G$1="鸣金",$AK131*1.5,0))*(1+$AU131)*(1+$AV131)+(($AW131+$AX131)/2*IF($G$1="裂石",$AJ131,$AH131)+IF($G$1="裂石",$AK131*1.5,0))*(1+$AY131)*(1+$AZ131)+(($BA131+$BB131)/2*IF($G$1="牵丝",$AJ131,$AH131)+IF($G$1="牵丝",$AK131*1.5,0))*(1+$BC131)*(1+$BD131)+(($BE131+$BF131)/2*IF($G$1="破竹",$AJ131,$AH131)+IF($G$1="破竹",$AK131*1.5,0))*(1+$BG131)*(1+$BH131))*(1+$AL131)*$P131*(1+IF(VLOOKUP($Q131,武学奇术!$A:$ZZ,30,FALSE)="弹道",$B$21,0))*(1+$BQ131)</f>
        <v>7604.41398239715</v>
      </c>
      <c r="O131" s="41">
        <f>((($AN131*$AH131+$AI131)*(1+$AP131)*(1+$AQ131)+($AS131*IF($G$1="鸣金",$AJ131,$AH131)+IF($G$1="鸣金",$AK131*1.5,0))*(1+$AU131)*(1+$AV131)+($AW131*IF($G$1="裂石",$AJ131,$AH131)+IF($G$1="裂石",$AK131*1.5,0))*(1+$AY131)*(1+$AZ131)+($BA131*IF($G$1="牵丝",$AJ131,$AH131)+IF($G$1="牵丝",$AK131*1.5,0))*(1+$BC131)*(1+$BD131)+($BE131*IF($G$1="破竹",$AJ131,$AH131)+IF($G$1="破竹",$AK131*1.5,0))*(1+$BG131)*(1+$BH131))*(1+$AL131))*$P131*(1+IF(VLOOKUP($Q131,武学奇术!$A:$ZZ,30,FALSE)="弹道",$B$21,0))*(1+$BQ131)</f>
        <v>4076.06398176161</v>
      </c>
      <c r="P131" s="42">
        <f t="shared" si="24"/>
        <v>1</v>
      </c>
      <c r="Q131" s="43" t="s">
        <v>187</v>
      </c>
      <c r="R131" s="43" t="s">
        <v>93</v>
      </c>
      <c r="S131" s="43" t="s">
        <v>158</v>
      </c>
      <c r="T131" s="43" t="s">
        <v>73</v>
      </c>
      <c r="U131" s="43" t="s">
        <v>159</v>
      </c>
      <c r="V131" s="43" t="s">
        <v>73</v>
      </c>
      <c r="W131" s="43" t="s">
        <v>73</v>
      </c>
      <c r="X131" s="43" t="s">
        <v>73</v>
      </c>
      <c r="Y131" s="43" t="s">
        <v>73</v>
      </c>
      <c r="Z131" s="43" t="s">
        <v>73</v>
      </c>
      <c r="AA131" s="43" t="s">
        <v>73</v>
      </c>
      <c r="AB131" s="43" t="s">
        <v>73</v>
      </c>
      <c r="AC131" s="43" t="s">
        <v>73</v>
      </c>
      <c r="AD131" s="43" t="s">
        <v>73</v>
      </c>
      <c r="AE131" s="43" t="s">
        <v>73</v>
      </c>
      <c r="AF131" s="43" t="s">
        <v>75</v>
      </c>
      <c r="AG131" t="str">
        <f>VLOOKUP($Q131,武学奇术!$A:$ZZ,25,FALSE)</f>
        <v>心法</v>
      </c>
      <c r="AH131" s="27">
        <f>VLOOKUP($Q131,武学奇术!$A:$ZZ,26,FALSE)</f>
        <v>1</v>
      </c>
      <c r="AI131" s="28">
        <f>VLOOKUP($Q131,武学奇术!$A:$ZZ,27,FALSE)*(1+IF(OR($AG131=$F$4,$AG131=$F$5),$B$22,0))</f>
        <v>0</v>
      </c>
      <c r="AJ131" s="27">
        <f>VLOOKUP($Q131,武学奇术!$A:$ZZ,28,FALSE)</f>
        <v>1</v>
      </c>
      <c r="AK131" s="28">
        <f>VLOOKUP($Q131,武学奇术!$A:$ZZ,29,FALSE)*(1+IF(OR($AG131=$F$4,$AG131=$F$5),$B$22,0))</f>
        <v>0</v>
      </c>
      <c r="AL131" s="27" cm="1">
        <f t="array" ref="AL131">$G$3+IFERROR(VLOOKUP($AG131,$F$4:$G$7,2,FALSE),0)+VLOOKUP($Q131,武学奇术!$A:$ZZ,2,FALSE)+SUM(_xlfn.XLOOKUP($R131:$AF131,增益!$A:$A,增益!$B:$B,0))</f>
        <v>0.1537</v>
      </c>
      <c r="AM131" s="27" cm="1">
        <f t="array" ref="AM131">VLOOKUP($Q131,武学奇术!$A:$ZZ,5,FALSE)+SUM(_xlfn.XLOOKUP($R131:$AF131,增益!$A:$A,增益!$E:$E,0))</f>
        <v>0.15</v>
      </c>
      <c r="AN131" cm="1">
        <f t="array" ref="AN131">$D$10*(1+$AM131)+VLOOKUP($Q131,武学奇术!$A:$ZZ,3,FALSE)+SUM(_xlfn.XLOOKUP($R131:$AF131,增益!$A:$A,增益!$C:$C,0))-$I$2</f>
        <v>2063.755</v>
      </c>
      <c r="AO131" cm="1">
        <f t="array" ref="AO131">$E$10*(1+$AM131)+VLOOKUP($Q131,武学奇术!$A:$ZZ,4,FALSE)+SUM(_xlfn.XLOOKUP($R131:$AF131,增益!$A:$A,增益!$D:$D,0))-$I$2</f>
        <v>6060.925</v>
      </c>
      <c r="AP131" s="35" cm="1">
        <f t="array" ref="AP131">IF($F$10-$I$3+VLOOKUP($Q131,武学奇术!$A:$ZZ,6,FALSE)+SUM(_xlfn.XLOOKUP(R131:AF131,增益!$A:$A,增益!$F:$F,0))&gt;0,($F$10-$I$3+VLOOKUP($Q131,武学奇术!$A:$ZZ,6,FALSE)+SUM(_xlfn.XLOOKUP(R131:AF131,增益!$A:$A,增益!$F:$F,0)))/200,($F$10-$I$3+VLOOKUP($Q131,武学奇术!$A:$ZZ,6,FALSE)+SUM(_xlfn.XLOOKUP(R131:AF131,增益!$A:$A,增益!$F:$F,0)))/100)</f>
        <v>0.2425</v>
      </c>
      <c r="AQ131" s="35" cm="1">
        <f t="array" ref="AQ131">$G$10+VLOOKUP($Q131,武学奇术!$A:$ZZ,7,FALSE)+SUM(_xlfn.XLOOKUP(R131:AF131,增益!$A:$A,增益!$G:$G,0))</f>
        <v>0</v>
      </c>
      <c r="AR131" s="27" cm="1">
        <f t="array" ref="AR131">VLOOKUP($Q131,武学奇术!$A:$ZZ,8,FALSE)+SUM(_xlfn.XLOOKUP(R131:AF131,增益!$A:$A,增益!$H:$H,0))</f>
        <v>0</v>
      </c>
      <c r="AS131">
        <f t="shared" si="26"/>
        <v>0</v>
      </c>
      <c r="AT131">
        <f t="shared" si="27"/>
        <v>0</v>
      </c>
      <c r="AU131" s="35" cm="1">
        <f t="array" ref="AU131">IF($F$11-$I$4+VLOOKUP($Q131,武学奇术!$A:$ZZ,9,FALSE)+SUM(_xlfn.XLOOKUP(R131:AF131,增益!$A:$A,增益!$I:$I,0))&gt;0,($F$11-$I$4+VLOOKUP($Q131,武学奇术!$A:$ZZ,9,FALSE)+SUM(_xlfn.XLOOKUP(R131:AF131,增益!$A:$A,增益!$I:$I,0)))/200,($F$11-$I$4+VLOOKUP($Q131,武学奇术!$A:$ZZ,9,FALSE)+SUM(_xlfn.XLOOKUP(R131:AF131,增益!$A:$A,增益!$I:$I,0)))/100)</f>
        <v>-0.3</v>
      </c>
      <c r="AV131" s="35" cm="1">
        <f t="array" ref="AV131">$G$11+VLOOKUP($Q131,武学奇术!$A:$ZZ,10,FALSE)+SUM(_xlfn.XLOOKUP(R131:AF131,增益!$A:$A,增益!$J:$J,0))</f>
        <v>0</v>
      </c>
      <c r="AW131">
        <f t="shared" si="28"/>
        <v>0</v>
      </c>
      <c r="AX131">
        <f t="shared" si="29"/>
        <v>0</v>
      </c>
      <c r="AY131" s="35" cm="1">
        <f t="array" ref="AY131">IF($F$12-$I$4+VLOOKUP($Q131,武学奇术!$A:$ZZ,11,FALSE)+SUM(_xlfn.XLOOKUP(R131:AF131,增益!$A:$A,增益!$K:$K,0))&gt;0,($F$12-$I$4+VLOOKUP($Q131,武学奇术!$A:$ZZ,11,FALSE)+SUM(_xlfn.XLOOKUP(R131:AF131,增益!$A:$A,增益!$K:$K,0)))/200,($F$12-$I$4+VLOOKUP($Q131,武学奇术!$A:$ZZ,11,FALSE)+SUM(_xlfn.XLOOKUP(R131:AF131,增益!$A:$A,增益!$K:$K,0)))/100)</f>
        <v>-0.3</v>
      </c>
      <c r="AZ131" s="35" cm="1">
        <f t="array" ref="AZ131">$G$12+VLOOKUP($Q131,武学奇术!$A:$ZZ,12,FALSE)+SUM(_xlfn.XLOOKUP(R131:AF131,增益!$A:$A,增益!$L:$L,0))</f>
        <v>0</v>
      </c>
      <c r="BA131">
        <f t="shared" si="30"/>
        <v>538</v>
      </c>
      <c r="BB131">
        <f t="shared" si="31"/>
        <v>1011</v>
      </c>
      <c r="BC131" s="35" cm="1">
        <f t="array" ref="BC131">IF($F$13-$I$4+VLOOKUP($Q131,武学奇术!$A:$ZZ,13,FALSE)+SUM(_xlfn.XLOOKUP(R131:AF131,增益!$A:$A,增益!$M:$M,0))&gt;0,($F$13-$I$4+VLOOKUP($Q131,武学奇术!$A:$ZZ,13,FALSE)+SUM(_xlfn.XLOOKUP(R131:AF131,增益!$A:$A,增益!$K:$K,0)))/200,($F$13-$I$4+VLOOKUP($Q131,武学奇术!$A:$ZZ,13,FALSE)+SUM(_xlfn.XLOOKUP(R131:AF131,增益!$A:$A,增益!$M:$M,0)))/100)</f>
        <v>0</v>
      </c>
      <c r="BD131" s="35" cm="1">
        <f t="array" ref="BD131">$G$13+VLOOKUP($Q131,武学奇术!$A:$ZZ,14,FALSE)+SUM(_xlfn.XLOOKUP(R131:AF131,增益!$A:$A,增益!$N:$N,0))</f>
        <v>0.15</v>
      </c>
      <c r="BE131">
        <f t="shared" si="32"/>
        <v>0</v>
      </c>
      <c r="BF131">
        <f t="shared" si="33"/>
        <v>0</v>
      </c>
      <c r="BG131" s="35" cm="1">
        <f t="array" ref="BG131">IF($F$14-$I$4+VLOOKUP($Q131,武学奇术!$A:$ZZ,15,FALSE)+SUM(_xlfn.XLOOKUP(R131:AF131,增益!$A:$A,增益!$O:$O,0))&gt;0,($F$14-$I$4+VLOOKUP($Q131,武学奇术!$A:$ZZ,15,FALSE)+SUM(_xlfn.XLOOKUP(R131:AF131,增益!$A:$A,增益!$O:$O,0)))/200,($F$14-$I$4+VLOOKUP($Q131,武学奇术!$A:$ZZ,15,FALSE)+SUM(_xlfn.XLOOKUP(R131:AF131,增益!$A:$A,增益!$O:$O,0)))/100)</f>
        <v>-0.3</v>
      </c>
      <c r="BH131" s="35" cm="1">
        <f t="array" ref="BH131">$G$14+VLOOKUP($Q131,武学奇术!$A:$ZZ,16,FALSE)+SUM(_xlfn.XLOOKUP(R131:AF131,增益!$A:$A,增益!$P:$P,0))</f>
        <v>0</v>
      </c>
      <c r="BI131" s="27">
        <f>MIN(IF(VLOOKUP($Q131,武学奇术!$A:$ZZ,23,FALSE)=1,100%,$B$8),100%)</f>
        <v>0.9969</v>
      </c>
      <c r="BJ131" s="27" cm="1">
        <f t="array" ref="BJ131">IF(VLOOKUP($Q131,武学奇术!$A:$ZZ,23,FALSE)=1,100%,MIN(80%,$B$9+VLOOKUP($Q131,武学奇术!$A:$ZZ,17,FALSE)+SUM(_xlfn.XLOOKUP(R131:AF131,增益!$A:$A,增益!$Q:$Q,0)))+$B$11+SUM(_xlfn.XLOOKUP(R131:AF131,增益!$A:$A,增益!$U:$U,0)))*IF(VLOOKUP($Q131,武学奇术!$A:$ZZ,24,FALSE)=1,0,1)</f>
        <v>0.9137</v>
      </c>
      <c r="BK131" s="27" cm="1">
        <f t="array" ref="BK131">1+$B$13+VLOOKUP($Q131,武学奇术!$A:$ZZ,18,FALSE)+SUM(_xlfn.XLOOKUP(R131:AF131,增益!$A:$A,增益!$R:$R,0))</f>
        <v>1.6</v>
      </c>
      <c r="BL131" s="27" cm="1">
        <f t="array" ref="BL131">IF(VLOOKUP($Q131,武学奇术!$A:$ZZ,24,FALSE)=1,100%,MIN(40%,$B$10+VLOOKUP($Q131,武学奇术!$A:$ZZ,19,FALSE)+SUM(_xlfn.XLOOKUP(R131:AF131,增益!$A:$A,增益!$S:$S,0)))+$B$12+SUM(_xlfn.XLOOKUP(R131:AF131,增益!$A:$A,增益!$V:$V,0)))*IF(VLOOKUP($Q131,武学奇术!$A:$ZZ,23,FALSE)=1,0,1)</f>
        <v>0.0895</v>
      </c>
      <c r="BM131" s="27" cm="1">
        <f t="array" ref="BM131">1+$B$14+VLOOKUP($Q131,武学奇术!$A:$ZZ,20,FALSE)+SUM(_xlfn.XLOOKUP(R131:AF131,增益!$A:$A,增益!$T:$T,0))</f>
        <v>1.35</v>
      </c>
      <c r="BN131" s="27">
        <f t="shared" si="34"/>
        <v>0.90767745</v>
      </c>
      <c r="BO131" s="27">
        <f t="shared" si="35"/>
        <v>-1.30104260698261e-17</v>
      </c>
      <c r="BP131" s="27">
        <f>IF(VLOOKUP($Q131,武学奇术!$A:$ZZ,22,FALSE)=1,0,(1-$BI131))*(1-$BL131)</f>
        <v>0.00282254999999999</v>
      </c>
      <c r="BQ131" s="27" cm="1">
        <f t="array" ref="BQ131">SUM(_xlfn.XLOOKUP(R131:AF131,增益!$A:$A,增益!$W:$W,0))+$I$5</f>
        <v>0.11</v>
      </c>
    </row>
    <row r="132" spans="11:69">
      <c r="K132" s="41">
        <f t="shared" si="25"/>
        <v>11610.1855948995</v>
      </c>
      <c r="L132" s="41">
        <f>((($AN132+$AO132)/2*$AH132+$AI132)*(1+$AP132)*(1+$AQ132)+(($AS132+$AT132)/2*IF($G$1="鸣金",$AJ132,$AH132)+IF($G$1="鸣金",$AK132*1.5,0))*(1+$AU132)*(1+$AV132)+(($AW132+$AX132)/2*IF($G$1="裂石",$AJ132,$AH132)+IF($G$1="裂石",$AK132*1.5,0))*(1+$AY132)*(1+$AZ132)+(($BA132+$BB132)/2*IF($G$1="牵丝",$AJ132,$AH132)+IF($G$1="牵丝",$AK132*1.5,0))*(1+$BC132)*(1+$BD132)+(($BE132+$BF132)/2*IF($G$1="破竹",$AJ132,$AH132)+IF($G$1="破竹",$AK132*1.5,0))*(1+$BG132)*(1+$BH132))*(1+$AL132)*$BK132*$P132*(1+IF(VLOOKUP($Q132,武学奇术!$A:$ZZ,30,FALSE)="弹道",$B$21,0))*(1+$BQ132)</f>
        <v>11389.6371601705</v>
      </c>
      <c r="M132" s="41">
        <f>(($AO132*$AH132+$AI132)*(1+$AP132)*(1+$AQ132)+($AT132*IF($G$1="鸣金",$AJ132,$AH132)+IF($G$1="鸣金",$AK132*1.5,0))*(1+$AU132)*(1+$AV132)+($AX132*IF($G$1="裂石",$AJ132,$AH132)+IF($G$1="裂石",$AK132*1.5,0))*(1+$AY132)*(1+$AZ132)+($BB132*IF($G$1="牵丝",$AJ132,$AH132)+IF($G$1="牵丝",$AK132*1.5,0))*(1+$BC132)*(1+$BD132)+($BF132*IF($G$1="破竹",$AJ132,$AH132)+IF($G$1="破竹",$AK132*1.5,0))*(1+$BG132)*(1+$BH132))*(1+$AL132)*$BM132*$P132*(1+IF(VLOOKUP($Q132,武学奇术!$A:$ZZ,30,FALSE)="弹道",$B$21,0))*(1+$BQ132)</f>
        <v>14093.2955831685</v>
      </c>
      <c r="N132" s="41">
        <f>((($AN132+$AO132)/2*$AH132+$AI132)*(1+$AP132)*(1+$AQ132)+(($AS132+$AT132)/2*IF($G$1="鸣金",$AJ132,$AH132)+IF($G$1="鸣金",$AK132*1.5,0))*(1+$AU132)*(1+$AV132)+(($AW132+$AX132)/2*IF($G$1="裂石",$AJ132,$AH132)+IF($G$1="裂石",$AK132*1.5,0))*(1+$AY132)*(1+$AZ132)+(($BA132+$BB132)/2*IF($G$1="牵丝",$AJ132,$AH132)+IF($G$1="牵丝",$AK132*1.5,0))*(1+$BC132)*(1+$BD132)+(($BE132+$BF132)/2*IF($G$1="破竹",$AJ132,$AH132)+IF($G$1="破竹",$AK132*1.5,0))*(1+$BG132)*(1+$BH132))*(1+$AL132)*$P132*(1+IF(VLOOKUP($Q132,武学奇术!$A:$ZZ,30,FALSE)="弹道",$B$21,0))*(1+$BQ132)</f>
        <v>7118.52322510657</v>
      </c>
      <c r="O132" s="41">
        <f>((($AN132*$AH132+$AI132)*(1+$AP132)*(1+$AQ132)+($AS132*IF($G$1="鸣金",$AJ132,$AH132)+IF($G$1="鸣金",$AK132*1.5,0))*(1+$AU132)*(1+$AV132)+($AW132*IF($G$1="裂石",$AJ132,$AH132)+IF($G$1="裂石",$AK132*1.5,0))*(1+$AY132)*(1+$AZ132)+($BA132*IF($G$1="牵丝",$AJ132,$AH132)+IF($G$1="牵丝",$AK132*1.5,0))*(1+$BC132)*(1+$BD132)+($BE132*IF($G$1="破竹",$AJ132,$AH132)+IF($G$1="破竹",$AK132*1.5,0))*(1+$BG132)*(1+$BH132))*(1+$AL132))*$P132*(1+IF(VLOOKUP($Q132,武学奇术!$A:$ZZ,30,FALSE)="弹道",$B$21,0))*(1+$BQ132)</f>
        <v>3797.56824045868</v>
      </c>
      <c r="P132" s="42">
        <f t="shared" si="24"/>
        <v>1</v>
      </c>
      <c r="Q132" s="43" t="s">
        <v>187</v>
      </c>
      <c r="R132" s="43" t="s">
        <v>93</v>
      </c>
      <c r="S132" s="43" t="s">
        <v>158</v>
      </c>
      <c r="T132" s="43" t="s">
        <v>73</v>
      </c>
      <c r="U132" s="43" t="s">
        <v>86</v>
      </c>
      <c r="V132" s="43" t="s">
        <v>73</v>
      </c>
      <c r="W132" s="43" t="s">
        <v>73</v>
      </c>
      <c r="X132" s="43" t="s">
        <v>73</v>
      </c>
      <c r="Y132" s="43" t="s">
        <v>73</v>
      </c>
      <c r="Z132" s="43" t="s">
        <v>73</v>
      </c>
      <c r="AA132" s="43" t="s">
        <v>73</v>
      </c>
      <c r="AB132" s="43" t="s">
        <v>73</v>
      </c>
      <c r="AC132" s="43" t="s">
        <v>73</v>
      </c>
      <c r="AD132" s="43" t="s">
        <v>73</v>
      </c>
      <c r="AE132" s="43" t="s">
        <v>73</v>
      </c>
      <c r="AF132" s="43" t="s">
        <v>75</v>
      </c>
      <c r="AG132" t="str">
        <f>VLOOKUP($Q132,武学奇术!$A:$ZZ,25,FALSE)</f>
        <v>心法</v>
      </c>
      <c r="AH132" s="27">
        <f>VLOOKUP($Q132,武学奇术!$A:$ZZ,26,FALSE)</f>
        <v>1</v>
      </c>
      <c r="AI132" s="28">
        <f>VLOOKUP($Q132,武学奇术!$A:$ZZ,27,FALSE)*(1+IF(OR($AG132=$F$4,$AG132=$F$5),$B$22,0))</f>
        <v>0</v>
      </c>
      <c r="AJ132" s="27">
        <f>VLOOKUP($Q132,武学奇术!$A:$ZZ,28,FALSE)</f>
        <v>1</v>
      </c>
      <c r="AK132" s="28">
        <f>VLOOKUP($Q132,武学奇术!$A:$ZZ,29,FALSE)*(1+IF(OR($AG132=$F$4,$AG132=$F$5),$B$22,0))</f>
        <v>0</v>
      </c>
      <c r="AL132" s="27" cm="1">
        <f t="array" ref="AL132">$G$3+IFERROR(VLOOKUP($AG132,$F$4:$G$7,2,FALSE),0)+VLOOKUP($Q132,武学奇术!$A:$ZZ,2,FALSE)+SUM(_xlfn.XLOOKUP($R132:$AF132,增益!$A:$A,增益!$B:$B,0))</f>
        <v>0.1537</v>
      </c>
      <c r="AM132" s="27" cm="1">
        <f t="array" ref="AM132">VLOOKUP($Q132,武学奇术!$A:$ZZ,5,FALSE)+SUM(_xlfn.XLOOKUP($R132:$AF132,增益!$A:$A,增益!$E:$E,0))</f>
        <v>0.075</v>
      </c>
      <c r="AN132" cm="1">
        <f t="array" ref="AN132">$D$10*(1+$AM132)+VLOOKUP($Q132,武学奇术!$A:$ZZ,3,FALSE)+SUM(_xlfn.XLOOKUP($R132:$AF132,增益!$A:$A,增益!$C:$C,0))-$I$2</f>
        <v>1888.7275</v>
      </c>
      <c r="AO132" cm="1">
        <f t="array" ref="AO132">$E$10*(1+$AM132)+VLOOKUP($Q132,武学奇术!$A:$ZZ,4,FALSE)+SUM(_xlfn.XLOOKUP($R132:$AF132,增益!$A:$A,增益!$D:$D,0))-$I$2</f>
        <v>5625.2125</v>
      </c>
      <c r="AP132" s="35" cm="1">
        <f t="array" ref="AP132">IF($F$10-$I$3+VLOOKUP($Q132,武学奇术!$A:$ZZ,6,FALSE)+SUM(_xlfn.XLOOKUP(R132:AF132,增益!$A:$A,增益!$F:$F,0))&gt;0,($F$10-$I$3+VLOOKUP($Q132,武学奇术!$A:$ZZ,6,FALSE)+SUM(_xlfn.XLOOKUP(R132:AF132,增益!$A:$A,增益!$F:$F,0)))/200,($F$10-$I$3+VLOOKUP($Q132,武学奇术!$A:$ZZ,6,FALSE)+SUM(_xlfn.XLOOKUP(R132:AF132,增益!$A:$A,增益!$F:$F,0)))/100)</f>
        <v>0.2425</v>
      </c>
      <c r="AQ132" s="35" cm="1">
        <f t="array" ref="AQ132">$G$10+VLOOKUP($Q132,武学奇术!$A:$ZZ,7,FALSE)+SUM(_xlfn.XLOOKUP(R132:AF132,增益!$A:$A,增益!$G:$G,0))</f>
        <v>0</v>
      </c>
      <c r="AR132" s="27" cm="1">
        <f t="array" ref="AR132">VLOOKUP($Q132,武学奇术!$A:$ZZ,8,FALSE)+SUM(_xlfn.XLOOKUP(R132:AF132,增益!$A:$A,增益!$H:$H,0))</f>
        <v>0</v>
      </c>
      <c r="AS132">
        <f t="shared" si="26"/>
        <v>0</v>
      </c>
      <c r="AT132">
        <f t="shared" si="27"/>
        <v>0</v>
      </c>
      <c r="AU132" s="35" cm="1">
        <f t="array" ref="AU132">IF($F$11-$I$4+VLOOKUP($Q132,武学奇术!$A:$ZZ,9,FALSE)+SUM(_xlfn.XLOOKUP(R132:AF132,增益!$A:$A,增益!$I:$I,0))&gt;0,($F$11-$I$4+VLOOKUP($Q132,武学奇术!$A:$ZZ,9,FALSE)+SUM(_xlfn.XLOOKUP(R132:AF132,增益!$A:$A,增益!$I:$I,0)))/200,($F$11-$I$4+VLOOKUP($Q132,武学奇术!$A:$ZZ,9,FALSE)+SUM(_xlfn.XLOOKUP(R132:AF132,增益!$A:$A,增益!$I:$I,0)))/100)</f>
        <v>-0.3</v>
      </c>
      <c r="AV132" s="35" cm="1">
        <f t="array" ref="AV132">$G$11+VLOOKUP($Q132,武学奇术!$A:$ZZ,10,FALSE)+SUM(_xlfn.XLOOKUP(R132:AF132,增益!$A:$A,增益!$J:$J,0))</f>
        <v>0</v>
      </c>
      <c r="AW132">
        <f t="shared" si="28"/>
        <v>0</v>
      </c>
      <c r="AX132">
        <f t="shared" si="29"/>
        <v>0</v>
      </c>
      <c r="AY132" s="35" cm="1">
        <f t="array" ref="AY132">IF($F$12-$I$4+VLOOKUP($Q132,武学奇术!$A:$ZZ,11,FALSE)+SUM(_xlfn.XLOOKUP(R132:AF132,增益!$A:$A,增益!$K:$K,0))&gt;0,($F$12-$I$4+VLOOKUP($Q132,武学奇术!$A:$ZZ,11,FALSE)+SUM(_xlfn.XLOOKUP(R132:AF132,增益!$A:$A,增益!$K:$K,0)))/200,($F$12-$I$4+VLOOKUP($Q132,武学奇术!$A:$ZZ,11,FALSE)+SUM(_xlfn.XLOOKUP(R132:AF132,增益!$A:$A,增益!$K:$K,0)))/100)</f>
        <v>-0.3</v>
      </c>
      <c r="AZ132" s="35" cm="1">
        <f t="array" ref="AZ132">$G$12+VLOOKUP($Q132,武学奇术!$A:$ZZ,12,FALSE)+SUM(_xlfn.XLOOKUP(R132:AF132,增益!$A:$A,增益!$L:$L,0))</f>
        <v>0</v>
      </c>
      <c r="BA132">
        <f t="shared" si="30"/>
        <v>538</v>
      </c>
      <c r="BB132">
        <f t="shared" si="31"/>
        <v>1011</v>
      </c>
      <c r="BC132" s="35" cm="1">
        <f t="array" ref="BC132">IF($F$13-$I$4+VLOOKUP($Q132,武学奇术!$A:$ZZ,13,FALSE)+SUM(_xlfn.XLOOKUP(R132:AF132,增益!$A:$A,增益!$M:$M,0))&gt;0,($F$13-$I$4+VLOOKUP($Q132,武学奇术!$A:$ZZ,13,FALSE)+SUM(_xlfn.XLOOKUP(R132:AF132,增益!$A:$A,增益!$K:$K,0)))/200,($F$13-$I$4+VLOOKUP($Q132,武学奇术!$A:$ZZ,13,FALSE)+SUM(_xlfn.XLOOKUP(R132:AF132,增益!$A:$A,增益!$M:$M,0)))/100)</f>
        <v>0</v>
      </c>
      <c r="BD132" s="35" cm="1">
        <f t="array" ref="BD132">$G$13+VLOOKUP($Q132,武学奇术!$A:$ZZ,14,FALSE)+SUM(_xlfn.XLOOKUP(R132:AF132,增益!$A:$A,增益!$N:$N,0))</f>
        <v>0.15</v>
      </c>
      <c r="BE132">
        <f t="shared" si="32"/>
        <v>0</v>
      </c>
      <c r="BF132">
        <f t="shared" si="33"/>
        <v>0</v>
      </c>
      <c r="BG132" s="35" cm="1">
        <f t="array" ref="BG132">IF($F$14-$I$4+VLOOKUP($Q132,武学奇术!$A:$ZZ,15,FALSE)+SUM(_xlfn.XLOOKUP(R132:AF132,增益!$A:$A,增益!$O:$O,0))&gt;0,($F$14-$I$4+VLOOKUP($Q132,武学奇术!$A:$ZZ,15,FALSE)+SUM(_xlfn.XLOOKUP(R132:AF132,增益!$A:$A,增益!$O:$O,0)))/200,($F$14-$I$4+VLOOKUP($Q132,武学奇术!$A:$ZZ,15,FALSE)+SUM(_xlfn.XLOOKUP(R132:AF132,增益!$A:$A,增益!$O:$O,0)))/100)</f>
        <v>-0.3</v>
      </c>
      <c r="BH132" s="35" cm="1">
        <f t="array" ref="BH132">$G$14+VLOOKUP($Q132,武学奇术!$A:$ZZ,16,FALSE)+SUM(_xlfn.XLOOKUP(R132:AF132,增益!$A:$A,增益!$P:$P,0))</f>
        <v>0</v>
      </c>
      <c r="BI132" s="27">
        <f>MIN(IF(VLOOKUP($Q132,武学奇术!$A:$ZZ,23,FALSE)=1,100%,$B$8),100%)</f>
        <v>0.9969</v>
      </c>
      <c r="BJ132" s="27" cm="1">
        <f t="array" ref="BJ132">IF(VLOOKUP($Q132,武学奇术!$A:$ZZ,23,FALSE)=1,100%,MIN(80%,$B$9+VLOOKUP($Q132,武学奇术!$A:$ZZ,17,FALSE)+SUM(_xlfn.XLOOKUP(R132:AF132,增益!$A:$A,增益!$Q:$Q,0)))+$B$11+SUM(_xlfn.XLOOKUP(R132:AF132,增益!$A:$A,增益!$U:$U,0)))*IF(VLOOKUP($Q132,武学奇术!$A:$ZZ,24,FALSE)=1,0,1)</f>
        <v>0.9137</v>
      </c>
      <c r="BK132" s="27" cm="1">
        <f t="array" ref="BK132">1+$B$13+VLOOKUP($Q132,武学奇术!$A:$ZZ,18,FALSE)+SUM(_xlfn.XLOOKUP(R132:AF132,增益!$A:$A,增益!$R:$R,0))</f>
        <v>1.6</v>
      </c>
      <c r="BL132" s="27" cm="1">
        <f t="array" ref="BL132">IF(VLOOKUP($Q132,武学奇术!$A:$ZZ,24,FALSE)=1,100%,MIN(40%,$B$10+VLOOKUP($Q132,武学奇术!$A:$ZZ,19,FALSE)+SUM(_xlfn.XLOOKUP(R132:AF132,增益!$A:$A,增益!$S:$S,0)))+$B$12+SUM(_xlfn.XLOOKUP(R132:AF132,增益!$A:$A,增益!$V:$V,0)))*IF(VLOOKUP($Q132,武学奇术!$A:$ZZ,23,FALSE)=1,0,1)</f>
        <v>0.0895</v>
      </c>
      <c r="BM132" s="27" cm="1">
        <f t="array" ref="BM132">1+$B$14+VLOOKUP($Q132,武学奇术!$A:$ZZ,20,FALSE)+SUM(_xlfn.XLOOKUP(R132:AF132,增益!$A:$A,增益!$T:$T,0))</f>
        <v>1.35</v>
      </c>
      <c r="BN132" s="27">
        <f t="shared" si="34"/>
        <v>0.90767745</v>
      </c>
      <c r="BO132" s="27">
        <f t="shared" si="35"/>
        <v>-1.30104260698261e-17</v>
      </c>
      <c r="BP132" s="27">
        <f>IF(VLOOKUP($Q132,武学奇术!$A:$ZZ,22,FALSE)=1,0,(1-$BI132))*(1-$BL132)</f>
        <v>0.00282254999999999</v>
      </c>
      <c r="BQ132" s="27" cm="1">
        <f t="array" ref="BQ132">SUM(_xlfn.XLOOKUP(R132:AF132,增益!$A:$A,增益!$W:$W,0))+$I$5</f>
        <v>0.11</v>
      </c>
    </row>
    <row r="133" spans="11:69">
      <c r="K133" s="41">
        <f t="shared" si="25"/>
        <v>11610.1855948995</v>
      </c>
      <c r="L133" s="41">
        <f>((($AN133+$AO133)/2*$AH133+$AI133)*(1+$AP133)*(1+$AQ133)+(($AS133+$AT133)/2*IF($G$1="鸣金",$AJ133,$AH133)+IF($G$1="鸣金",$AK133*1.5,0))*(1+$AU133)*(1+$AV133)+(($AW133+$AX133)/2*IF($G$1="裂石",$AJ133,$AH133)+IF($G$1="裂石",$AK133*1.5,0))*(1+$AY133)*(1+$AZ133)+(($BA133+$BB133)/2*IF($G$1="牵丝",$AJ133,$AH133)+IF($G$1="牵丝",$AK133*1.5,0))*(1+$BC133)*(1+$BD133)+(($BE133+$BF133)/2*IF($G$1="破竹",$AJ133,$AH133)+IF($G$1="破竹",$AK133*1.5,0))*(1+$BG133)*(1+$BH133))*(1+$AL133)*$BK133*$P133*(1+IF(VLOOKUP($Q133,武学奇术!$A:$ZZ,30,FALSE)="弹道",$B$21,0))*(1+$BQ133)</f>
        <v>11389.6371601705</v>
      </c>
      <c r="M133" s="41">
        <f>(($AO133*$AH133+$AI133)*(1+$AP133)*(1+$AQ133)+($AT133*IF($G$1="鸣金",$AJ133,$AH133)+IF($G$1="鸣金",$AK133*1.5,0))*(1+$AU133)*(1+$AV133)+($AX133*IF($G$1="裂石",$AJ133,$AH133)+IF($G$1="裂石",$AK133*1.5,0))*(1+$AY133)*(1+$AZ133)+($BB133*IF($G$1="牵丝",$AJ133,$AH133)+IF($G$1="牵丝",$AK133*1.5,0))*(1+$BC133)*(1+$BD133)+($BF133*IF($G$1="破竹",$AJ133,$AH133)+IF($G$1="破竹",$AK133*1.5,0))*(1+$BG133)*(1+$BH133))*(1+$AL133)*$BM133*$P133*(1+IF(VLOOKUP($Q133,武学奇术!$A:$ZZ,30,FALSE)="弹道",$B$21,0))*(1+$BQ133)</f>
        <v>14093.2955831685</v>
      </c>
      <c r="N133" s="41">
        <f>((($AN133+$AO133)/2*$AH133+$AI133)*(1+$AP133)*(1+$AQ133)+(($AS133+$AT133)/2*IF($G$1="鸣金",$AJ133,$AH133)+IF($G$1="鸣金",$AK133*1.5,0))*(1+$AU133)*(1+$AV133)+(($AW133+$AX133)/2*IF($G$1="裂石",$AJ133,$AH133)+IF($G$1="裂石",$AK133*1.5,0))*(1+$AY133)*(1+$AZ133)+(($BA133+$BB133)/2*IF($G$1="牵丝",$AJ133,$AH133)+IF($G$1="牵丝",$AK133*1.5,0))*(1+$BC133)*(1+$BD133)+(($BE133+$BF133)/2*IF($G$1="破竹",$AJ133,$AH133)+IF($G$1="破竹",$AK133*1.5,0))*(1+$BG133)*(1+$BH133))*(1+$AL133)*$P133*(1+IF(VLOOKUP($Q133,武学奇术!$A:$ZZ,30,FALSE)="弹道",$B$21,0))*(1+$BQ133)</f>
        <v>7118.52322510657</v>
      </c>
      <c r="O133" s="41">
        <f>((($AN133*$AH133+$AI133)*(1+$AP133)*(1+$AQ133)+($AS133*IF($G$1="鸣金",$AJ133,$AH133)+IF($G$1="鸣金",$AK133*1.5,0))*(1+$AU133)*(1+$AV133)+($AW133*IF($G$1="裂石",$AJ133,$AH133)+IF($G$1="裂石",$AK133*1.5,0))*(1+$AY133)*(1+$AZ133)+($BA133*IF($G$1="牵丝",$AJ133,$AH133)+IF($G$1="牵丝",$AK133*1.5,0))*(1+$BC133)*(1+$BD133)+($BE133*IF($G$1="破竹",$AJ133,$AH133)+IF($G$1="破竹",$AK133*1.5,0))*(1+$BG133)*(1+$BH133))*(1+$AL133))*$P133*(1+IF(VLOOKUP($Q133,武学奇术!$A:$ZZ,30,FALSE)="弹道",$B$21,0))*(1+$BQ133)</f>
        <v>3797.56824045868</v>
      </c>
      <c r="P133" s="42">
        <f t="shared" si="24"/>
        <v>1</v>
      </c>
      <c r="Q133" s="43" t="s">
        <v>187</v>
      </c>
      <c r="R133" s="43" t="s">
        <v>93</v>
      </c>
      <c r="S133" s="43" t="s">
        <v>158</v>
      </c>
      <c r="T133" s="43" t="s">
        <v>73</v>
      </c>
      <c r="U133" s="43" t="s">
        <v>86</v>
      </c>
      <c r="V133" s="43" t="s">
        <v>73</v>
      </c>
      <c r="W133" s="43" t="s">
        <v>73</v>
      </c>
      <c r="X133" s="43" t="s">
        <v>73</v>
      </c>
      <c r="Y133" s="43" t="s">
        <v>73</v>
      </c>
      <c r="Z133" s="43" t="s">
        <v>73</v>
      </c>
      <c r="AA133" s="43" t="s">
        <v>73</v>
      </c>
      <c r="AB133" s="43" t="s">
        <v>73</v>
      </c>
      <c r="AC133" s="43" t="s">
        <v>73</v>
      </c>
      <c r="AD133" s="43" t="s">
        <v>73</v>
      </c>
      <c r="AE133" s="43" t="s">
        <v>73</v>
      </c>
      <c r="AF133" s="43" t="s">
        <v>75</v>
      </c>
      <c r="AG133" t="str">
        <f>VLOOKUP($Q133,武学奇术!$A:$ZZ,25,FALSE)</f>
        <v>心法</v>
      </c>
      <c r="AH133" s="27">
        <f>VLOOKUP($Q133,武学奇术!$A:$ZZ,26,FALSE)</f>
        <v>1</v>
      </c>
      <c r="AI133" s="28">
        <f>VLOOKUP($Q133,武学奇术!$A:$ZZ,27,FALSE)*(1+IF(OR($AG133=$F$4,$AG133=$F$5),$B$22,0))</f>
        <v>0</v>
      </c>
      <c r="AJ133" s="27">
        <f>VLOOKUP($Q133,武学奇术!$A:$ZZ,28,FALSE)</f>
        <v>1</v>
      </c>
      <c r="AK133" s="28">
        <f>VLOOKUP($Q133,武学奇术!$A:$ZZ,29,FALSE)*(1+IF(OR($AG133=$F$4,$AG133=$F$5),$B$22,0))</f>
        <v>0</v>
      </c>
      <c r="AL133" s="27" cm="1">
        <f t="array" ref="AL133">$G$3+IFERROR(VLOOKUP($AG133,$F$4:$G$7,2,FALSE),0)+VLOOKUP($Q133,武学奇术!$A:$ZZ,2,FALSE)+SUM(_xlfn.XLOOKUP($R133:$AF133,增益!$A:$A,增益!$B:$B,0))</f>
        <v>0.1537</v>
      </c>
      <c r="AM133" s="27" cm="1">
        <f t="array" ref="AM133">VLOOKUP($Q133,武学奇术!$A:$ZZ,5,FALSE)+SUM(_xlfn.XLOOKUP($R133:$AF133,增益!$A:$A,增益!$E:$E,0))</f>
        <v>0.075</v>
      </c>
      <c r="AN133" cm="1">
        <f t="array" ref="AN133">$D$10*(1+$AM133)+VLOOKUP($Q133,武学奇术!$A:$ZZ,3,FALSE)+SUM(_xlfn.XLOOKUP($R133:$AF133,增益!$A:$A,增益!$C:$C,0))-$I$2</f>
        <v>1888.7275</v>
      </c>
      <c r="AO133" cm="1">
        <f t="array" ref="AO133">$E$10*(1+$AM133)+VLOOKUP($Q133,武学奇术!$A:$ZZ,4,FALSE)+SUM(_xlfn.XLOOKUP($R133:$AF133,增益!$A:$A,增益!$D:$D,0))-$I$2</f>
        <v>5625.2125</v>
      </c>
      <c r="AP133" s="35" cm="1">
        <f t="array" ref="AP133">IF($F$10-$I$3+VLOOKUP($Q133,武学奇术!$A:$ZZ,6,FALSE)+SUM(_xlfn.XLOOKUP(R133:AF133,增益!$A:$A,增益!$F:$F,0))&gt;0,($F$10-$I$3+VLOOKUP($Q133,武学奇术!$A:$ZZ,6,FALSE)+SUM(_xlfn.XLOOKUP(R133:AF133,增益!$A:$A,增益!$F:$F,0)))/200,($F$10-$I$3+VLOOKUP($Q133,武学奇术!$A:$ZZ,6,FALSE)+SUM(_xlfn.XLOOKUP(R133:AF133,增益!$A:$A,增益!$F:$F,0)))/100)</f>
        <v>0.2425</v>
      </c>
      <c r="AQ133" s="35" cm="1">
        <f t="array" ref="AQ133">$G$10+VLOOKUP($Q133,武学奇术!$A:$ZZ,7,FALSE)+SUM(_xlfn.XLOOKUP(R133:AF133,增益!$A:$A,增益!$G:$G,0))</f>
        <v>0</v>
      </c>
      <c r="AR133" s="27" cm="1">
        <f t="array" ref="AR133">VLOOKUP($Q133,武学奇术!$A:$ZZ,8,FALSE)+SUM(_xlfn.XLOOKUP(R133:AF133,增益!$A:$A,增益!$H:$H,0))</f>
        <v>0</v>
      </c>
      <c r="AS133">
        <f t="shared" si="26"/>
        <v>0</v>
      </c>
      <c r="AT133">
        <f t="shared" si="27"/>
        <v>0</v>
      </c>
      <c r="AU133" s="35" cm="1">
        <f t="array" ref="AU133">IF($F$11-$I$4+VLOOKUP($Q133,武学奇术!$A:$ZZ,9,FALSE)+SUM(_xlfn.XLOOKUP(R133:AF133,增益!$A:$A,增益!$I:$I,0))&gt;0,($F$11-$I$4+VLOOKUP($Q133,武学奇术!$A:$ZZ,9,FALSE)+SUM(_xlfn.XLOOKUP(R133:AF133,增益!$A:$A,增益!$I:$I,0)))/200,($F$11-$I$4+VLOOKUP($Q133,武学奇术!$A:$ZZ,9,FALSE)+SUM(_xlfn.XLOOKUP(R133:AF133,增益!$A:$A,增益!$I:$I,0)))/100)</f>
        <v>-0.3</v>
      </c>
      <c r="AV133" s="35" cm="1">
        <f t="array" ref="AV133">$G$11+VLOOKUP($Q133,武学奇术!$A:$ZZ,10,FALSE)+SUM(_xlfn.XLOOKUP(R133:AF133,增益!$A:$A,增益!$J:$J,0))</f>
        <v>0</v>
      </c>
      <c r="AW133">
        <f t="shared" si="28"/>
        <v>0</v>
      </c>
      <c r="AX133">
        <f t="shared" si="29"/>
        <v>0</v>
      </c>
      <c r="AY133" s="35" cm="1">
        <f t="array" ref="AY133">IF($F$12-$I$4+VLOOKUP($Q133,武学奇术!$A:$ZZ,11,FALSE)+SUM(_xlfn.XLOOKUP(R133:AF133,增益!$A:$A,增益!$K:$K,0))&gt;0,($F$12-$I$4+VLOOKUP($Q133,武学奇术!$A:$ZZ,11,FALSE)+SUM(_xlfn.XLOOKUP(R133:AF133,增益!$A:$A,增益!$K:$K,0)))/200,($F$12-$I$4+VLOOKUP($Q133,武学奇术!$A:$ZZ,11,FALSE)+SUM(_xlfn.XLOOKUP(R133:AF133,增益!$A:$A,增益!$K:$K,0)))/100)</f>
        <v>-0.3</v>
      </c>
      <c r="AZ133" s="35" cm="1">
        <f t="array" ref="AZ133">$G$12+VLOOKUP($Q133,武学奇术!$A:$ZZ,12,FALSE)+SUM(_xlfn.XLOOKUP(R133:AF133,增益!$A:$A,增益!$L:$L,0))</f>
        <v>0</v>
      </c>
      <c r="BA133">
        <f t="shared" si="30"/>
        <v>538</v>
      </c>
      <c r="BB133">
        <f t="shared" si="31"/>
        <v>1011</v>
      </c>
      <c r="BC133" s="35" cm="1">
        <f t="array" ref="BC133">IF($F$13-$I$4+VLOOKUP($Q133,武学奇术!$A:$ZZ,13,FALSE)+SUM(_xlfn.XLOOKUP(R133:AF133,增益!$A:$A,增益!$M:$M,0))&gt;0,($F$13-$I$4+VLOOKUP($Q133,武学奇术!$A:$ZZ,13,FALSE)+SUM(_xlfn.XLOOKUP(R133:AF133,增益!$A:$A,增益!$K:$K,0)))/200,($F$13-$I$4+VLOOKUP($Q133,武学奇术!$A:$ZZ,13,FALSE)+SUM(_xlfn.XLOOKUP(R133:AF133,增益!$A:$A,增益!$M:$M,0)))/100)</f>
        <v>0</v>
      </c>
      <c r="BD133" s="35" cm="1">
        <f t="array" ref="BD133">$G$13+VLOOKUP($Q133,武学奇术!$A:$ZZ,14,FALSE)+SUM(_xlfn.XLOOKUP(R133:AF133,增益!$A:$A,增益!$N:$N,0))</f>
        <v>0.15</v>
      </c>
      <c r="BE133">
        <f t="shared" si="32"/>
        <v>0</v>
      </c>
      <c r="BF133">
        <f t="shared" si="33"/>
        <v>0</v>
      </c>
      <c r="BG133" s="35" cm="1">
        <f t="array" ref="BG133">IF($F$14-$I$4+VLOOKUP($Q133,武学奇术!$A:$ZZ,15,FALSE)+SUM(_xlfn.XLOOKUP(R133:AF133,增益!$A:$A,增益!$O:$O,0))&gt;0,($F$14-$I$4+VLOOKUP($Q133,武学奇术!$A:$ZZ,15,FALSE)+SUM(_xlfn.XLOOKUP(R133:AF133,增益!$A:$A,增益!$O:$O,0)))/200,($F$14-$I$4+VLOOKUP($Q133,武学奇术!$A:$ZZ,15,FALSE)+SUM(_xlfn.XLOOKUP(R133:AF133,增益!$A:$A,增益!$O:$O,0)))/100)</f>
        <v>-0.3</v>
      </c>
      <c r="BH133" s="35" cm="1">
        <f t="array" ref="BH133">$G$14+VLOOKUP($Q133,武学奇术!$A:$ZZ,16,FALSE)+SUM(_xlfn.XLOOKUP(R133:AF133,增益!$A:$A,增益!$P:$P,0))</f>
        <v>0</v>
      </c>
      <c r="BI133" s="27">
        <f>MIN(IF(VLOOKUP($Q133,武学奇术!$A:$ZZ,23,FALSE)=1,100%,$B$8),100%)</f>
        <v>0.9969</v>
      </c>
      <c r="BJ133" s="27" cm="1">
        <f t="array" ref="BJ133">IF(VLOOKUP($Q133,武学奇术!$A:$ZZ,23,FALSE)=1,100%,MIN(80%,$B$9+VLOOKUP($Q133,武学奇术!$A:$ZZ,17,FALSE)+SUM(_xlfn.XLOOKUP(R133:AF133,增益!$A:$A,增益!$Q:$Q,0)))+$B$11+SUM(_xlfn.XLOOKUP(R133:AF133,增益!$A:$A,增益!$U:$U,0)))*IF(VLOOKUP($Q133,武学奇术!$A:$ZZ,24,FALSE)=1,0,1)</f>
        <v>0.9137</v>
      </c>
      <c r="BK133" s="27" cm="1">
        <f t="array" ref="BK133">1+$B$13+VLOOKUP($Q133,武学奇术!$A:$ZZ,18,FALSE)+SUM(_xlfn.XLOOKUP(R133:AF133,增益!$A:$A,增益!$R:$R,0))</f>
        <v>1.6</v>
      </c>
      <c r="BL133" s="27" cm="1">
        <f t="array" ref="BL133">IF(VLOOKUP($Q133,武学奇术!$A:$ZZ,24,FALSE)=1,100%,MIN(40%,$B$10+VLOOKUP($Q133,武学奇术!$A:$ZZ,19,FALSE)+SUM(_xlfn.XLOOKUP(R133:AF133,增益!$A:$A,增益!$S:$S,0)))+$B$12+SUM(_xlfn.XLOOKUP(R133:AF133,增益!$A:$A,增益!$V:$V,0)))*IF(VLOOKUP($Q133,武学奇术!$A:$ZZ,23,FALSE)=1,0,1)</f>
        <v>0.0895</v>
      </c>
      <c r="BM133" s="27" cm="1">
        <f t="array" ref="BM133">1+$B$14+VLOOKUP($Q133,武学奇术!$A:$ZZ,20,FALSE)+SUM(_xlfn.XLOOKUP(R133:AF133,增益!$A:$A,增益!$T:$T,0))</f>
        <v>1.35</v>
      </c>
      <c r="BN133" s="27">
        <f t="shared" si="34"/>
        <v>0.90767745</v>
      </c>
      <c r="BO133" s="27">
        <f t="shared" si="35"/>
        <v>-1.30104260698261e-17</v>
      </c>
      <c r="BP133" s="27">
        <f>IF(VLOOKUP($Q133,武学奇术!$A:$ZZ,22,FALSE)=1,0,(1-$BI133))*(1-$BL133)</f>
        <v>0.00282254999999999</v>
      </c>
      <c r="BQ133" s="27" cm="1">
        <f t="array" ref="BQ133">SUM(_xlfn.XLOOKUP(R133:AF133,增益!$A:$A,增益!$W:$W,0))+$I$5</f>
        <v>0.11</v>
      </c>
    </row>
    <row r="134" spans="11:69">
      <c r="K134" s="41">
        <f t="shared" si="25"/>
        <v>12400.3892503002</v>
      </c>
      <c r="L134" s="41">
        <f>((($AN134+$AO134)/2*$AH134+$AI134)*(1+$AP134)*(1+$AQ134)+(($AS134+$AT134)/2*IF($G$1="鸣金",$AJ134,$AH134)+IF($G$1="鸣金",$AK134*1.5,0))*(1+$AU134)*(1+$AV134)+(($AW134+$AX134)/2*IF($G$1="裂石",$AJ134,$AH134)+IF($G$1="裂石",$AK134*1.5,0))*(1+$AY134)*(1+$AZ134)+(($BA134+$BB134)/2*IF($G$1="牵丝",$AJ134,$AH134)+IF($G$1="牵丝",$AK134*1.5,0))*(1+$BC134)*(1+$BD134)+(($BE134+$BF134)/2*IF($G$1="破竹",$AJ134,$AH134)+IF($G$1="破竹",$AK134*1.5,0))*(1+$BG134)*(1+$BH134))*(1+$AL134)*$BK134*$P134*(1+IF(VLOOKUP($Q134,武学奇术!$A:$ZZ,30,FALSE)="弹道",$B$21,0))*(1+$BQ134)</f>
        <v>12167.0623718354</v>
      </c>
      <c r="M134" s="41">
        <f>(($AO134*$AH134+$AI134)*(1+$AP134)*(1+$AQ134)+($AT134*IF($G$1="鸣金",$AJ134,$AH134)+IF($G$1="鸣金",$AK134*1.5,0))*(1+$AU134)*(1+$AV134)+($AX134*IF($G$1="裂石",$AJ134,$AH134)+IF($G$1="裂石",$AK134*1.5,0))*(1+$AY134)*(1+$AZ134)+($BB134*IF($G$1="牵丝",$AJ134,$AH134)+IF($G$1="牵丝",$AK134*1.5,0))*(1+$BC134)*(1+$BD134)+($BF134*IF($G$1="破竹",$AJ134,$AH134)+IF($G$1="破竹",$AK134*1.5,0))*(1+$BG134)*(1+$BH134))*(1+$AL134)*$BM134*$P134*(1+IF(VLOOKUP($Q134,武学奇术!$A:$ZZ,30,FALSE)="弹道",$B$21,0))*(1+$BQ134)</f>
        <v>15029.2313770941</v>
      </c>
      <c r="N134" s="41">
        <f>((($AN134+$AO134)/2*$AH134+$AI134)*(1+$AP134)*(1+$AQ134)+(($AS134+$AT134)/2*IF($G$1="鸣金",$AJ134,$AH134)+IF($G$1="鸣金",$AK134*1.5,0))*(1+$AU134)*(1+$AV134)+(($AW134+$AX134)/2*IF($G$1="裂石",$AJ134,$AH134)+IF($G$1="裂石",$AK134*1.5,0))*(1+$AY134)*(1+$AZ134)+(($BA134+$BB134)/2*IF($G$1="牵丝",$AJ134,$AH134)+IF($G$1="牵丝",$AK134*1.5,0))*(1+$BC134)*(1+$BD134)+(($BE134+$BF134)/2*IF($G$1="破竹",$AJ134,$AH134)+IF($G$1="破竹",$AK134*1.5,0))*(1+$BG134)*(1+$BH134))*(1+$AL134)*$P134*(1+IF(VLOOKUP($Q134,武学奇术!$A:$ZZ,30,FALSE)="弹道",$B$21,0))*(1+$BQ134)</f>
        <v>7604.41398239715</v>
      </c>
      <c r="O134" s="41">
        <f>((($AN134*$AH134+$AI134)*(1+$AP134)*(1+$AQ134)+($AS134*IF($G$1="鸣金",$AJ134,$AH134)+IF($G$1="鸣金",$AK134*1.5,0))*(1+$AU134)*(1+$AV134)+($AW134*IF($G$1="裂石",$AJ134,$AH134)+IF($G$1="裂石",$AK134*1.5,0))*(1+$AY134)*(1+$AZ134)+($BA134*IF($G$1="牵丝",$AJ134,$AH134)+IF($G$1="牵丝",$AK134*1.5,0))*(1+$BC134)*(1+$BD134)+($BE134*IF($G$1="破竹",$AJ134,$AH134)+IF($G$1="破竹",$AK134*1.5,0))*(1+$BG134)*(1+$BH134))*(1+$AL134))*$P134*(1+IF(VLOOKUP($Q134,武学奇术!$A:$ZZ,30,FALSE)="弹道",$B$21,0))*(1+$BQ134)</f>
        <v>4076.06398176161</v>
      </c>
      <c r="P134" s="42">
        <f t="shared" si="24"/>
        <v>1</v>
      </c>
      <c r="Q134" s="43" t="s">
        <v>187</v>
      </c>
      <c r="R134" s="43" t="s">
        <v>93</v>
      </c>
      <c r="S134" s="43" t="s">
        <v>158</v>
      </c>
      <c r="T134" s="43" t="s">
        <v>73</v>
      </c>
      <c r="U134" s="43" t="s">
        <v>159</v>
      </c>
      <c r="V134" s="43" t="s">
        <v>73</v>
      </c>
      <c r="W134" s="43" t="s">
        <v>73</v>
      </c>
      <c r="X134" s="43" t="s">
        <v>73</v>
      </c>
      <c r="Y134" s="43" t="s">
        <v>73</v>
      </c>
      <c r="Z134" s="43" t="s">
        <v>73</v>
      </c>
      <c r="AA134" s="43" t="s">
        <v>73</v>
      </c>
      <c r="AB134" s="43" t="s">
        <v>73</v>
      </c>
      <c r="AC134" s="43" t="s">
        <v>73</v>
      </c>
      <c r="AD134" s="43" t="s">
        <v>73</v>
      </c>
      <c r="AE134" s="43" t="s">
        <v>73</v>
      </c>
      <c r="AF134" s="43" t="s">
        <v>75</v>
      </c>
      <c r="AG134" t="str">
        <f>VLOOKUP($Q134,武学奇术!$A:$ZZ,25,FALSE)</f>
        <v>心法</v>
      </c>
      <c r="AH134" s="27">
        <f>VLOOKUP($Q134,武学奇术!$A:$ZZ,26,FALSE)</f>
        <v>1</v>
      </c>
      <c r="AI134" s="28">
        <f>VLOOKUP($Q134,武学奇术!$A:$ZZ,27,FALSE)*(1+IF(OR($AG134=$F$4,$AG134=$F$5),$B$22,0))</f>
        <v>0</v>
      </c>
      <c r="AJ134" s="27">
        <f>VLOOKUP($Q134,武学奇术!$A:$ZZ,28,FALSE)</f>
        <v>1</v>
      </c>
      <c r="AK134" s="28">
        <f>VLOOKUP($Q134,武学奇术!$A:$ZZ,29,FALSE)*(1+IF(OR($AG134=$F$4,$AG134=$F$5),$B$22,0))</f>
        <v>0</v>
      </c>
      <c r="AL134" s="27" cm="1">
        <f t="array" ref="AL134">$G$3+IFERROR(VLOOKUP($AG134,$F$4:$G$7,2,FALSE),0)+VLOOKUP($Q134,武学奇术!$A:$ZZ,2,FALSE)+SUM(_xlfn.XLOOKUP($R134:$AF134,增益!$A:$A,增益!$B:$B,0))</f>
        <v>0.1537</v>
      </c>
      <c r="AM134" s="27" cm="1">
        <f t="array" ref="AM134">VLOOKUP($Q134,武学奇术!$A:$ZZ,5,FALSE)+SUM(_xlfn.XLOOKUP($R134:$AF134,增益!$A:$A,增益!$E:$E,0))</f>
        <v>0.15</v>
      </c>
      <c r="AN134" cm="1">
        <f t="array" ref="AN134">$D$10*(1+$AM134)+VLOOKUP($Q134,武学奇术!$A:$ZZ,3,FALSE)+SUM(_xlfn.XLOOKUP($R134:$AF134,增益!$A:$A,增益!$C:$C,0))-$I$2</f>
        <v>2063.755</v>
      </c>
      <c r="AO134" cm="1">
        <f t="array" ref="AO134">$E$10*(1+$AM134)+VLOOKUP($Q134,武学奇术!$A:$ZZ,4,FALSE)+SUM(_xlfn.XLOOKUP($R134:$AF134,增益!$A:$A,增益!$D:$D,0))-$I$2</f>
        <v>6060.925</v>
      </c>
      <c r="AP134" s="35" cm="1">
        <f t="array" ref="AP134">IF($F$10-$I$3+VLOOKUP($Q134,武学奇术!$A:$ZZ,6,FALSE)+SUM(_xlfn.XLOOKUP(R134:AF134,增益!$A:$A,增益!$F:$F,0))&gt;0,($F$10-$I$3+VLOOKUP($Q134,武学奇术!$A:$ZZ,6,FALSE)+SUM(_xlfn.XLOOKUP(R134:AF134,增益!$A:$A,增益!$F:$F,0)))/200,($F$10-$I$3+VLOOKUP($Q134,武学奇术!$A:$ZZ,6,FALSE)+SUM(_xlfn.XLOOKUP(R134:AF134,增益!$A:$A,增益!$F:$F,0)))/100)</f>
        <v>0.2425</v>
      </c>
      <c r="AQ134" s="35" cm="1">
        <f t="array" ref="AQ134">$G$10+VLOOKUP($Q134,武学奇术!$A:$ZZ,7,FALSE)+SUM(_xlfn.XLOOKUP(R134:AF134,增益!$A:$A,增益!$G:$G,0))</f>
        <v>0</v>
      </c>
      <c r="AR134" s="27" cm="1">
        <f t="array" ref="AR134">VLOOKUP($Q134,武学奇术!$A:$ZZ,8,FALSE)+SUM(_xlfn.XLOOKUP(R134:AF134,增益!$A:$A,增益!$H:$H,0))</f>
        <v>0</v>
      </c>
      <c r="AS134">
        <f t="shared" si="26"/>
        <v>0</v>
      </c>
      <c r="AT134">
        <f t="shared" si="27"/>
        <v>0</v>
      </c>
      <c r="AU134" s="35" cm="1">
        <f t="array" ref="AU134">IF($F$11-$I$4+VLOOKUP($Q134,武学奇术!$A:$ZZ,9,FALSE)+SUM(_xlfn.XLOOKUP(R134:AF134,增益!$A:$A,增益!$I:$I,0))&gt;0,($F$11-$I$4+VLOOKUP($Q134,武学奇术!$A:$ZZ,9,FALSE)+SUM(_xlfn.XLOOKUP(R134:AF134,增益!$A:$A,增益!$I:$I,0)))/200,($F$11-$I$4+VLOOKUP($Q134,武学奇术!$A:$ZZ,9,FALSE)+SUM(_xlfn.XLOOKUP(R134:AF134,增益!$A:$A,增益!$I:$I,0)))/100)</f>
        <v>-0.3</v>
      </c>
      <c r="AV134" s="35" cm="1">
        <f t="array" ref="AV134">$G$11+VLOOKUP($Q134,武学奇术!$A:$ZZ,10,FALSE)+SUM(_xlfn.XLOOKUP(R134:AF134,增益!$A:$A,增益!$J:$J,0))</f>
        <v>0</v>
      </c>
      <c r="AW134">
        <f t="shared" si="28"/>
        <v>0</v>
      </c>
      <c r="AX134">
        <f t="shared" si="29"/>
        <v>0</v>
      </c>
      <c r="AY134" s="35" cm="1">
        <f t="array" ref="AY134">IF($F$12-$I$4+VLOOKUP($Q134,武学奇术!$A:$ZZ,11,FALSE)+SUM(_xlfn.XLOOKUP(R134:AF134,增益!$A:$A,增益!$K:$K,0))&gt;0,($F$12-$I$4+VLOOKUP($Q134,武学奇术!$A:$ZZ,11,FALSE)+SUM(_xlfn.XLOOKUP(R134:AF134,增益!$A:$A,增益!$K:$K,0)))/200,($F$12-$I$4+VLOOKUP($Q134,武学奇术!$A:$ZZ,11,FALSE)+SUM(_xlfn.XLOOKUP(R134:AF134,增益!$A:$A,增益!$K:$K,0)))/100)</f>
        <v>-0.3</v>
      </c>
      <c r="AZ134" s="35" cm="1">
        <f t="array" ref="AZ134">$G$12+VLOOKUP($Q134,武学奇术!$A:$ZZ,12,FALSE)+SUM(_xlfn.XLOOKUP(R134:AF134,增益!$A:$A,增益!$L:$L,0))</f>
        <v>0</v>
      </c>
      <c r="BA134">
        <f t="shared" si="30"/>
        <v>538</v>
      </c>
      <c r="BB134">
        <f t="shared" si="31"/>
        <v>1011</v>
      </c>
      <c r="BC134" s="35" cm="1">
        <f t="array" ref="BC134">IF($F$13-$I$4+VLOOKUP($Q134,武学奇术!$A:$ZZ,13,FALSE)+SUM(_xlfn.XLOOKUP(R134:AF134,增益!$A:$A,增益!$M:$M,0))&gt;0,($F$13-$I$4+VLOOKUP($Q134,武学奇术!$A:$ZZ,13,FALSE)+SUM(_xlfn.XLOOKUP(R134:AF134,增益!$A:$A,增益!$K:$K,0)))/200,($F$13-$I$4+VLOOKUP($Q134,武学奇术!$A:$ZZ,13,FALSE)+SUM(_xlfn.XLOOKUP(R134:AF134,增益!$A:$A,增益!$M:$M,0)))/100)</f>
        <v>0</v>
      </c>
      <c r="BD134" s="35" cm="1">
        <f t="array" ref="BD134">$G$13+VLOOKUP($Q134,武学奇术!$A:$ZZ,14,FALSE)+SUM(_xlfn.XLOOKUP(R134:AF134,增益!$A:$A,增益!$N:$N,0))</f>
        <v>0.15</v>
      </c>
      <c r="BE134">
        <f t="shared" si="32"/>
        <v>0</v>
      </c>
      <c r="BF134">
        <f t="shared" si="33"/>
        <v>0</v>
      </c>
      <c r="BG134" s="35" cm="1">
        <f t="array" ref="BG134">IF($F$14-$I$4+VLOOKUP($Q134,武学奇术!$A:$ZZ,15,FALSE)+SUM(_xlfn.XLOOKUP(R134:AF134,增益!$A:$A,增益!$O:$O,0))&gt;0,($F$14-$I$4+VLOOKUP($Q134,武学奇术!$A:$ZZ,15,FALSE)+SUM(_xlfn.XLOOKUP(R134:AF134,增益!$A:$A,增益!$O:$O,0)))/200,($F$14-$I$4+VLOOKUP($Q134,武学奇术!$A:$ZZ,15,FALSE)+SUM(_xlfn.XLOOKUP(R134:AF134,增益!$A:$A,增益!$O:$O,0)))/100)</f>
        <v>-0.3</v>
      </c>
      <c r="BH134" s="35" cm="1">
        <f t="array" ref="BH134">$G$14+VLOOKUP($Q134,武学奇术!$A:$ZZ,16,FALSE)+SUM(_xlfn.XLOOKUP(R134:AF134,增益!$A:$A,增益!$P:$P,0))</f>
        <v>0</v>
      </c>
      <c r="BI134" s="27">
        <f>MIN(IF(VLOOKUP($Q134,武学奇术!$A:$ZZ,23,FALSE)=1,100%,$B$8),100%)</f>
        <v>0.9969</v>
      </c>
      <c r="BJ134" s="27" cm="1">
        <f t="array" ref="BJ134">IF(VLOOKUP($Q134,武学奇术!$A:$ZZ,23,FALSE)=1,100%,MIN(80%,$B$9+VLOOKUP($Q134,武学奇术!$A:$ZZ,17,FALSE)+SUM(_xlfn.XLOOKUP(R134:AF134,增益!$A:$A,增益!$Q:$Q,0)))+$B$11+SUM(_xlfn.XLOOKUP(R134:AF134,增益!$A:$A,增益!$U:$U,0)))*IF(VLOOKUP($Q134,武学奇术!$A:$ZZ,24,FALSE)=1,0,1)</f>
        <v>0.9137</v>
      </c>
      <c r="BK134" s="27" cm="1">
        <f t="array" ref="BK134">1+$B$13+VLOOKUP($Q134,武学奇术!$A:$ZZ,18,FALSE)+SUM(_xlfn.XLOOKUP(R134:AF134,增益!$A:$A,增益!$R:$R,0))</f>
        <v>1.6</v>
      </c>
      <c r="BL134" s="27" cm="1">
        <f t="array" ref="BL134">IF(VLOOKUP($Q134,武学奇术!$A:$ZZ,24,FALSE)=1,100%,MIN(40%,$B$10+VLOOKUP($Q134,武学奇术!$A:$ZZ,19,FALSE)+SUM(_xlfn.XLOOKUP(R134:AF134,增益!$A:$A,增益!$S:$S,0)))+$B$12+SUM(_xlfn.XLOOKUP(R134:AF134,增益!$A:$A,增益!$V:$V,0)))*IF(VLOOKUP($Q134,武学奇术!$A:$ZZ,23,FALSE)=1,0,1)</f>
        <v>0.0895</v>
      </c>
      <c r="BM134" s="27" cm="1">
        <f t="array" ref="BM134">1+$B$14+VLOOKUP($Q134,武学奇术!$A:$ZZ,20,FALSE)+SUM(_xlfn.XLOOKUP(R134:AF134,增益!$A:$A,增益!$T:$T,0))</f>
        <v>1.35</v>
      </c>
      <c r="BN134" s="27">
        <f t="shared" si="34"/>
        <v>0.90767745</v>
      </c>
      <c r="BO134" s="27">
        <f t="shared" si="35"/>
        <v>-1.30104260698261e-17</v>
      </c>
      <c r="BP134" s="27">
        <f>IF(VLOOKUP($Q134,武学奇术!$A:$ZZ,22,FALSE)=1,0,(1-$BI134))*(1-$BL134)</f>
        <v>0.00282254999999999</v>
      </c>
      <c r="BQ134" s="27" cm="1">
        <f t="array" ref="BQ134">SUM(_xlfn.XLOOKUP(R134:AF134,增益!$A:$A,增益!$W:$W,0))+$I$5</f>
        <v>0.11</v>
      </c>
    </row>
    <row r="135" spans="11:69">
      <c r="K135" s="41">
        <f t="shared" si="25"/>
        <v>16717.7225277307</v>
      </c>
      <c r="L135" s="41">
        <f>((($AN135+$AO135)/2*$AH135+$AI135)*(1+$AP135)*(1+$AQ135)+(($AS135+$AT135)/2*IF($G$1="鸣金",$AJ135,$AH135)+IF($G$1="鸣金",$AK135*1.5,0))*(1+$AU135)*(1+$AV135)+(($AW135+$AX135)/2*IF($G$1="裂石",$AJ135,$AH135)+IF($G$1="裂石",$AK135*1.5,0))*(1+$AY135)*(1+$AZ135)+(($BA135+$BB135)/2*IF($G$1="牵丝",$AJ135,$AH135)+IF($G$1="牵丝",$AK135*1.5,0))*(1+$BC135)*(1+$BD135)+(($BE135+$BF135)/2*IF($G$1="破竹",$AJ135,$AH135)+IF($G$1="破竹",$AK135*1.5,0))*(1+$BG135)*(1+$BH135))*(1+$AL135)*$BK135*$P135*(1+IF(VLOOKUP($Q135,武学奇术!$A:$ZZ,30,FALSE)="弹道",$B$21,0))*(1+$BQ135)</f>
        <v>16646.9715017634</v>
      </c>
      <c r="M135" s="41">
        <f>(($AO135*$AH135+$AI135)*(1+$AP135)*(1+$AQ135)+($AT135*IF($G$1="鸣金",$AJ135,$AH135)+IF($G$1="鸣金",$AK135*1.5,0))*(1+$AU135)*(1+$AV135)+($AX135*IF($G$1="裂石",$AJ135,$AH135)+IF($G$1="裂石",$AK135*1.5,0))*(1+$AY135)*(1+$AZ135)+($BB135*IF($G$1="牵丝",$AJ135,$AH135)+IF($G$1="牵丝",$AK135*1.5,0))*(1+$BC135)*(1+$BD135)+($BF135*IF($G$1="破竹",$AJ135,$AH135)+IF($G$1="破竹",$AK135*1.5,0))*(1+$BG135)*(1+$BH135))*(1+$AL135)*$BM135*$P135*(1+IF(VLOOKUP($Q135,武学奇术!$A:$ZZ,30,FALSE)="弹道",$B$21,0))*(1+$BQ135)</f>
        <v>17810.9950687512</v>
      </c>
      <c r="N135" s="41">
        <f>((($AN135+$AO135)/2*$AH135+$AI135)*(1+$AP135)*(1+$AQ135)+(($AS135+$AT135)/2*IF($G$1="鸣金",$AJ135,$AH135)+IF($G$1="鸣金",$AK135*1.5,0))*(1+$AU135)*(1+$AV135)+(($AW135+$AX135)/2*IF($G$1="裂石",$AJ135,$AH135)+IF($G$1="裂石",$AK135*1.5,0))*(1+$AY135)*(1+$AZ135)+(($BA135+$BB135)/2*IF($G$1="牵丝",$AJ135,$AH135)+IF($G$1="牵丝",$AK135*1.5,0))*(1+$BC135)*(1+$BD135)+(($BE135+$BF135)/2*IF($G$1="破竹",$AJ135,$AH135)+IF($G$1="破竹",$AK135*1.5,0))*(1+$BG135)*(1+$BH135))*(1+$AL135)*$P135*(1+IF(VLOOKUP($Q135,武学奇术!$A:$ZZ,30,FALSE)="弹道",$B$21,0))*(1+$BQ135)</f>
        <v>8998.36297392615</v>
      </c>
      <c r="O135" s="41">
        <f>((($AN135*$AH135+$AI135)*(1+$AP135)*(1+$AQ135)+($AS135*IF($G$1="鸣金",$AJ135,$AH135)+IF($G$1="鸣金",$AK135*1.5,0))*(1+$AU135)*(1+$AV135)+($AW135*IF($G$1="裂石",$AJ135,$AH135)+IF($G$1="裂石",$AK135*1.5,0))*(1+$AY135)*(1+$AZ135)+($BA135*IF($G$1="牵丝",$AJ135,$AH135)+IF($G$1="牵丝",$AK135*1.5,0))*(1+$BC135)*(1+$BD135)+($BE135*IF($G$1="破竹",$AJ135,$AH135)+IF($G$1="破竹",$AK135*1.5,0))*(1+$BG135)*(1+$BH135))*(1+$AL135))*$P135*(1+IF(VLOOKUP($Q135,武学奇术!$A:$ZZ,30,FALSE)="弹道",$B$21,0))*(1+$BQ135)</f>
        <v>4803.39626729586</v>
      </c>
      <c r="P135" s="42">
        <f t="shared" si="24"/>
        <v>1</v>
      </c>
      <c r="Q135" s="43" t="s">
        <v>187</v>
      </c>
      <c r="R135" s="43" t="s">
        <v>93</v>
      </c>
      <c r="S135" s="43" t="s">
        <v>158</v>
      </c>
      <c r="T135" s="43" t="s">
        <v>73</v>
      </c>
      <c r="U135" s="43" t="s">
        <v>159</v>
      </c>
      <c r="V135" s="43" t="s">
        <v>73</v>
      </c>
      <c r="W135" s="43" t="s">
        <v>73</v>
      </c>
      <c r="X135" s="43" t="s">
        <v>73</v>
      </c>
      <c r="Y135" s="43" t="s">
        <v>164</v>
      </c>
      <c r="Z135" s="43" t="s">
        <v>73</v>
      </c>
      <c r="AA135" s="43" t="s">
        <v>73</v>
      </c>
      <c r="AB135" s="43" t="s">
        <v>73</v>
      </c>
      <c r="AC135" s="43" t="s">
        <v>165</v>
      </c>
      <c r="AD135" s="43" t="s">
        <v>73</v>
      </c>
      <c r="AE135" s="43" t="s">
        <v>73</v>
      </c>
      <c r="AF135" s="43" t="s">
        <v>75</v>
      </c>
      <c r="AG135" t="str">
        <f>VLOOKUP($Q135,武学奇术!$A:$ZZ,25,FALSE)</f>
        <v>心法</v>
      </c>
      <c r="AH135" s="27">
        <f>VLOOKUP($Q135,武学奇术!$A:$ZZ,26,FALSE)</f>
        <v>1</v>
      </c>
      <c r="AI135" s="28">
        <f>VLOOKUP($Q135,武学奇术!$A:$ZZ,27,FALSE)*(1+IF(OR($AG135=$F$4,$AG135=$F$5),$B$22,0))</f>
        <v>0</v>
      </c>
      <c r="AJ135" s="27">
        <f>VLOOKUP($Q135,武学奇术!$A:$ZZ,28,FALSE)</f>
        <v>1</v>
      </c>
      <c r="AK135" s="28">
        <f>VLOOKUP($Q135,武学奇术!$A:$ZZ,29,FALSE)*(1+IF(OR($AG135=$F$4,$AG135=$F$5),$B$22,0))</f>
        <v>0</v>
      </c>
      <c r="AL135" s="27" cm="1">
        <f t="array" ref="AL135">$G$3+IFERROR(VLOOKUP($AG135,$F$4:$G$7,2,FALSE),0)+VLOOKUP($Q135,武学奇术!$A:$ZZ,2,FALSE)+SUM(_xlfn.XLOOKUP($R135:$AF135,增益!$A:$A,增益!$B:$B,0))</f>
        <v>0.1537</v>
      </c>
      <c r="AM135" s="27" cm="1">
        <f t="array" ref="AM135">VLOOKUP($Q135,武学奇术!$A:$ZZ,5,FALSE)+SUM(_xlfn.XLOOKUP($R135:$AF135,增益!$A:$A,增益!$E:$E,0))</f>
        <v>0.15</v>
      </c>
      <c r="AN135" cm="1">
        <f t="array" ref="AN135">$D$10*(1+$AM135)+VLOOKUP($Q135,武学奇术!$A:$ZZ,3,FALSE)+SUM(_xlfn.XLOOKUP($R135:$AF135,增益!$A:$A,增益!$C:$C,0))-$I$2</f>
        <v>2063.755</v>
      </c>
      <c r="AO135" cm="1">
        <f t="array" ref="AO135">$E$10*(1+$AM135)+VLOOKUP($Q135,武学奇术!$A:$ZZ,4,FALSE)+SUM(_xlfn.XLOOKUP($R135:$AF135,增益!$A:$A,增益!$D:$D,0))-$I$2</f>
        <v>6060.925</v>
      </c>
      <c r="AP135" s="35" cm="1">
        <f t="array" ref="AP135">IF($F$10-$I$3+VLOOKUP($Q135,武学奇术!$A:$ZZ,6,FALSE)+SUM(_xlfn.XLOOKUP(R135:AF135,增益!$A:$A,增益!$F:$F,0))&gt;0,($F$10-$I$3+VLOOKUP($Q135,武学奇术!$A:$ZZ,6,FALSE)+SUM(_xlfn.XLOOKUP(R135:AF135,增益!$A:$A,增益!$F:$F,0)))/200,($F$10-$I$3+VLOOKUP($Q135,武学奇术!$A:$ZZ,6,FALSE)+SUM(_xlfn.XLOOKUP(R135:AF135,增益!$A:$A,增益!$F:$F,0)))/100)</f>
        <v>0.3675</v>
      </c>
      <c r="AQ135" s="35" cm="1">
        <f t="array" ref="AQ135">$G$10+VLOOKUP($Q135,武学奇术!$A:$ZZ,7,FALSE)+SUM(_xlfn.XLOOKUP(R135:AF135,增益!$A:$A,增益!$G:$G,0))</f>
        <v>0</v>
      </c>
      <c r="AR135" s="27" cm="1">
        <f t="array" ref="AR135">VLOOKUP($Q135,武学奇术!$A:$ZZ,8,FALSE)+SUM(_xlfn.XLOOKUP(R135:AF135,增益!$A:$A,增益!$H:$H,0))</f>
        <v>0</v>
      </c>
      <c r="AS135">
        <f t="shared" si="26"/>
        <v>0</v>
      </c>
      <c r="AT135">
        <f t="shared" si="27"/>
        <v>0</v>
      </c>
      <c r="AU135" s="35" cm="1">
        <f t="array" ref="AU135">IF($F$11-$I$4+VLOOKUP($Q135,武学奇术!$A:$ZZ,9,FALSE)+SUM(_xlfn.XLOOKUP(R135:AF135,增益!$A:$A,增益!$I:$I,0))&gt;0,($F$11-$I$4+VLOOKUP($Q135,武学奇术!$A:$ZZ,9,FALSE)+SUM(_xlfn.XLOOKUP(R135:AF135,增益!$A:$A,增益!$I:$I,0)))/200,($F$11-$I$4+VLOOKUP($Q135,武学奇术!$A:$ZZ,9,FALSE)+SUM(_xlfn.XLOOKUP(R135:AF135,增益!$A:$A,增益!$I:$I,0)))/100)</f>
        <v>-0.3</v>
      </c>
      <c r="AV135" s="35" cm="1">
        <f t="array" ref="AV135">$G$11+VLOOKUP($Q135,武学奇术!$A:$ZZ,10,FALSE)+SUM(_xlfn.XLOOKUP(R135:AF135,增益!$A:$A,增益!$J:$J,0))</f>
        <v>0</v>
      </c>
      <c r="AW135">
        <f t="shared" si="28"/>
        <v>0</v>
      </c>
      <c r="AX135">
        <f t="shared" si="29"/>
        <v>0</v>
      </c>
      <c r="AY135" s="35" cm="1">
        <f t="array" ref="AY135">IF($F$12-$I$4+VLOOKUP($Q135,武学奇术!$A:$ZZ,11,FALSE)+SUM(_xlfn.XLOOKUP(R135:AF135,增益!$A:$A,增益!$K:$K,0))&gt;0,($F$12-$I$4+VLOOKUP($Q135,武学奇术!$A:$ZZ,11,FALSE)+SUM(_xlfn.XLOOKUP(R135:AF135,增益!$A:$A,增益!$K:$K,0)))/200,($F$12-$I$4+VLOOKUP($Q135,武学奇术!$A:$ZZ,11,FALSE)+SUM(_xlfn.XLOOKUP(R135:AF135,增益!$A:$A,增益!$K:$K,0)))/100)</f>
        <v>-0.3</v>
      </c>
      <c r="AZ135" s="35" cm="1">
        <f t="array" ref="AZ135">$G$12+VLOOKUP($Q135,武学奇术!$A:$ZZ,12,FALSE)+SUM(_xlfn.XLOOKUP(R135:AF135,增益!$A:$A,增益!$L:$L,0))</f>
        <v>0</v>
      </c>
      <c r="BA135">
        <f t="shared" si="30"/>
        <v>538</v>
      </c>
      <c r="BB135">
        <f t="shared" si="31"/>
        <v>1011</v>
      </c>
      <c r="BC135" s="35" cm="1">
        <f t="array" ref="BC135">IF($F$13-$I$4+VLOOKUP($Q135,武学奇术!$A:$ZZ,13,FALSE)+SUM(_xlfn.XLOOKUP(R135:AF135,增益!$A:$A,增益!$M:$M,0))&gt;0,($F$13-$I$4+VLOOKUP($Q135,武学奇术!$A:$ZZ,13,FALSE)+SUM(_xlfn.XLOOKUP(R135:AF135,增益!$A:$A,增益!$K:$K,0)))/200,($F$13-$I$4+VLOOKUP($Q135,武学奇术!$A:$ZZ,13,FALSE)+SUM(_xlfn.XLOOKUP(R135:AF135,增益!$A:$A,增益!$M:$M,0)))/100)</f>
        <v>0</v>
      </c>
      <c r="BD135" s="35" cm="1">
        <f t="array" ref="BD135">$G$13+VLOOKUP($Q135,武学奇术!$A:$ZZ,14,FALSE)+SUM(_xlfn.XLOOKUP(R135:AF135,增益!$A:$A,增益!$N:$N,0))</f>
        <v>0.15</v>
      </c>
      <c r="BE135">
        <f t="shared" si="32"/>
        <v>0</v>
      </c>
      <c r="BF135">
        <f t="shared" si="33"/>
        <v>0</v>
      </c>
      <c r="BG135" s="35" cm="1">
        <f t="array" ref="BG135">IF($F$14-$I$4+VLOOKUP($Q135,武学奇术!$A:$ZZ,15,FALSE)+SUM(_xlfn.XLOOKUP(R135:AF135,增益!$A:$A,增益!$O:$O,0))&gt;0,($F$14-$I$4+VLOOKUP($Q135,武学奇术!$A:$ZZ,15,FALSE)+SUM(_xlfn.XLOOKUP(R135:AF135,增益!$A:$A,增益!$O:$O,0)))/200,($F$14-$I$4+VLOOKUP($Q135,武学奇术!$A:$ZZ,15,FALSE)+SUM(_xlfn.XLOOKUP(R135:AF135,增益!$A:$A,增益!$O:$O,0)))/100)</f>
        <v>-0.3</v>
      </c>
      <c r="BH135" s="35" cm="1">
        <f t="array" ref="BH135">$G$14+VLOOKUP($Q135,武学奇术!$A:$ZZ,16,FALSE)+SUM(_xlfn.XLOOKUP(R135:AF135,增益!$A:$A,增益!$P:$P,0))</f>
        <v>0</v>
      </c>
      <c r="BI135" s="27">
        <f>MIN(IF(VLOOKUP($Q135,武学奇术!$A:$ZZ,23,FALSE)=1,100%,$B$8),100%)</f>
        <v>0.9969</v>
      </c>
      <c r="BJ135" s="27" cm="1">
        <f t="array" ref="BJ135">IF(VLOOKUP($Q135,武学奇术!$A:$ZZ,23,FALSE)=1,100%,MIN(80%,$B$9+VLOOKUP($Q135,武学奇术!$A:$ZZ,17,FALSE)+SUM(_xlfn.XLOOKUP(R135:AF135,增益!$A:$A,增益!$Q:$Q,0)))+$B$11+SUM(_xlfn.XLOOKUP(R135:AF135,增益!$A:$A,增益!$U:$U,0)))*IF(VLOOKUP($Q135,武学奇术!$A:$ZZ,24,FALSE)=1,0,1)</f>
        <v>0.9137</v>
      </c>
      <c r="BK135" s="27" cm="1">
        <f t="array" ref="BK135">1+$B$13+VLOOKUP($Q135,武学奇术!$A:$ZZ,18,FALSE)+SUM(_xlfn.XLOOKUP(R135:AF135,增益!$A:$A,增益!$R:$R,0))</f>
        <v>1.85</v>
      </c>
      <c r="BL135" s="27" cm="1">
        <f t="array" ref="BL135">IF(VLOOKUP($Q135,武学奇术!$A:$ZZ,24,FALSE)=1,100%,MIN(40%,$B$10+VLOOKUP($Q135,武学奇术!$A:$ZZ,19,FALSE)+SUM(_xlfn.XLOOKUP(R135:AF135,增益!$A:$A,增益!$S:$S,0)))+$B$12+SUM(_xlfn.XLOOKUP(R135:AF135,增益!$A:$A,增益!$V:$V,0)))*IF(VLOOKUP($Q135,武学奇术!$A:$ZZ,23,FALSE)=1,0,1)</f>
        <v>0.0895</v>
      </c>
      <c r="BM135" s="27" cm="1">
        <f t="array" ref="BM135">1+$B$14+VLOOKUP($Q135,武学奇术!$A:$ZZ,20,FALSE)+SUM(_xlfn.XLOOKUP(R135:AF135,增益!$A:$A,增益!$T:$T,0))</f>
        <v>1.35</v>
      </c>
      <c r="BN135" s="27">
        <f t="shared" si="34"/>
        <v>0.90767745</v>
      </c>
      <c r="BO135" s="27">
        <f t="shared" si="35"/>
        <v>-1.30104260698261e-17</v>
      </c>
      <c r="BP135" s="27">
        <f>IF(VLOOKUP($Q135,武学奇术!$A:$ZZ,22,FALSE)=1,0,(1-$BI135))*(1-$BL135)</f>
        <v>0.00282254999999999</v>
      </c>
      <c r="BQ135" s="27" cm="1">
        <f t="array" ref="BQ135">SUM(_xlfn.XLOOKUP(R135:AF135,增益!$A:$A,增益!$W:$W,0))+$I$5</f>
        <v>0.21</v>
      </c>
    </row>
    <row r="136" spans="11:69">
      <c r="K136" s="41">
        <f t="shared" si="25"/>
        <v>0</v>
      </c>
      <c r="L136" s="41">
        <f>((($AN136+$AO136)/2*$AH136+$AI136)*(1+$AP136)*(1+$AQ136)+(($AS136+$AT136)/2*IF($G$1="鸣金",$AJ136,$AH136)+IF($G$1="鸣金",$AK136*1.5,0))*(1+$AU136)*(1+$AV136)+(($AW136+$AX136)/2*IF($G$1="裂石",$AJ136,$AH136)+IF($G$1="裂石",$AK136*1.5,0))*(1+$AY136)*(1+$AZ136)+(($BA136+$BB136)/2*IF($G$1="牵丝",$AJ136,$AH136)+IF($G$1="牵丝",$AK136*1.5,0))*(1+$BC136)*(1+$BD136)+(($BE136+$BF136)/2*IF($G$1="破竹",$AJ136,$AH136)+IF($G$1="破竹",$AK136*1.5,0))*(1+$BG136)*(1+$BH136))*(1+$AL136)*$BK136*$P136*(1+IF(VLOOKUP($Q136,武学奇术!$A:$ZZ,30,FALSE)="弹道",$B$21,0))*(1+$BQ136)</f>
        <v>0</v>
      </c>
      <c r="M136" s="41">
        <f>(($AO136*$AH136+$AI136)*(1+$AP136)*(1+$AQ136)+($AT136*IF($G$1="鸣金",$AJ136,$AH136)+IF($G$1="鸣金",$AK136*1.5,0))*(1+$AU136)*(1+$AV136)+($AX136*IF($G$1="裂石",$AJ136,$AH136)+IF($G$1="裂石",$AK136*1.5,0))*(1+$AY136)*(1+$AZ136)+($BB136*IF($G$1="牵丝",$AJ136,$AH136)+IF($G$1="牵丝",$AK136*1.5,0))*(1+$BC136)*(1+$BD136)+($BF136*IF($G$1="破竹",$AJ136,$AH136)+IF($G$1="破竹",$AK136*1.5,0))*(1+$BG136)*(1+$BH136))*(1+$AL136)*$BM136*$P136*(1+IF(VLOOKUP($Q136,武学奇术!$A:$ZZ,30,FALSE)="弹道",$B$21,0))*(1+$BQ136)</f>
        <v>0</v>
      </c>
      <c r="N136" s="41">
        <f>((($AN136+$AO136)/2*$AH136+$AI136)*(1+$AP136)*(1+$AQ136)+(($AS136+$AT136)/2*IF($G$1="鸣金",$AJ136,$AH136)+IF($G$1="鸣金",$AK136*1.5,0))*(1+$AU136)*(1+$AV136)+(($AW136+$AX136)/2*IF($G$1="裂石",$AJ136,$AH136)+IF($G$1="裂石",$AK136*1.5,0))*(1+$AY136)*(1+$AZ136)+(($BA136+$BB136)/2*IF($G$1="牵丝",$AJ136,$AH136)+IF($G$1="牵丝",$AK136*1.5,0))*(1+$BC136)*(1+$BD136)+(($BE136+$BF136)/2*IF($G$1="破竹",$AJ136,$AH136)+IF($G$1="破竹",$AK136*1.5,0))*(1+$BG136)*(1+$BH136))*(1+$AL136)*$P136*(1+IF(VLOOKUP($Q136,武学奇术!$A:$ZZ,30,FALSE)="弹道",$B$21,0))*(1+$BQ136)</f>
        <v>0</v>
      </c>
      <c r="O136" s="41">
        <f>((($AN136*$AH136+$AI136)*(1+$AP136)*(1+$AQ136)+($AS136*IF($G$1="鸣金",$AJ136,$AH136)+IF($G$1="鸣金",$AK136*1.5,0))*(1+$AU136)*(1+$AV136)+($AW136*IF($G$1="裂石",$AJ136,$AH136)+IF($G$1="裂石",$AK136*1.5,0))*(1+$AY136)*(1+$AZ136)+($BA136*IF($G$1="牵丝",$AJ136,$AH136)+IF($G$1="牵丝",$AK136*1.5,0))*(1+$BC136)*(1+$BD136)+($BE136*IF($G$1="破竹",$AJ136,$AH136)+IF($G$1="破竹",$AK136*1.5,0))*(1+$BG136)*(1+$BH136))*(1+$AL136))*$P136*(1+IF(VLOOKUP($Q136,武学奇术!$A:$ZZ,30,FALSE)="弹道",$B$21,0))*(1+$BQ136)</f>
        <v>0</v>
      </c>
      <c r="P136" s="42">
        <f t="shared" si="24"/>
        <v>1</v>
      </c>
      <c r="Q136" s="43" t="s">
        <v>73</v>
      </c>
      <c r="R136" s="43" t="s">
        <v>73</v>
      </c>
      <c r="S136" s="43" t="s">
        <v>73</v>
      </c>
      <c r="T136" s="43" t="s">
        <v>73</v>
      </c>
      <c r="U136" s="43" t="s">
        <v>73</v>
      </c>
      <c r="V136" s="43" t="s">
        <v>73</v>
      </c>
      <c r="W136" s="43" t="s">
        <v>73</v>
      </c>
      <c r="X136" s="43" t="s">
        <v>73</v>
      </c>
      <c r="Y136" s="43" t="s">
        <v>73</v>
      </c>
      <c r="Z136" s="43" t="s">
        <v>73</v>
      </c>
      <c r="AA136" s="43" t="s">
        <v>73</v>
      </c>
      <c r="AB136" s="43" t="s">
        <v>73</v>
      </c>
      <c r="AC136" s="43" t="s">
        <v>73</v>
      </c>
      <c r="AD136" s="43" t="s">
        <v>73</v>
      </c>
      <c r="AE136" s="43" t="s">
        <v>73</v>
      </c>
      <c r="AF136" s="43" t="s">
        <v>75</v>
      </c>
      <c r="AG136" t="str">
        <f>VLOOKUP($Q136,武学奇术!$A:$ZZ,25,FALSE)</f>
        <v>心法</v>
      </c>
      <c r="AH136" s="27">
        <f>VLOOKUP($Q136,武学奇术!$A:$ZZ,26,FALSE)</f>
        <v>0</v>
      </c>
      <c r="AI136" s="28">
        <f>VLOOKUP($Q136,武学奇术!$A:$ZZ,27,FALSE)*(1+IF(OR($AG136=$F$4,$AG136=$F$5),$B$22,0))</f>
        <v>0</v>
      </c>
      <c r="AJ136" s="27">
        <f>VLOOKUP($Q136,武学奇术!$A:$ZZ,28,FALSE)</f>
        <v>0</v>
      </c>
      <c r="AK136" s="28">
        <f>VLOOKUP($Q136,武学奇术!$A:$ZZ,29,FALSE)*(1+IF(OR($AG136=$F$4,$AG136=$F$5),$B$22,0))</f>
        <v>0</v>
      </c>
      <c r="AL136" s="27" cm="1">
        <f t="array" ref="AL136">$G$3+IFERROR(VLOOKUP($AG136,$F$4:$G$7,2,FALSE),0)+VLOOKUP($Q136,武学奇术!$A:$ZZ,2,FALSE)+SUM(_xlfn.XLOOKUP($R136:$AF136,增益!$A:$A,增益!$B:$B,0))</f>
        <v>0.1037</v>
      </c>
      <c r="AM136" s="27" cm="1">
        <f t="array" ref="AM136">VLOOKUP($Q136,武学奇术!$A:$ZZ,5,FALSE)+SUM(_xlfn.XLOOKUP($R136:$AF136,增益!$A:$A,增益!$E:$E,0))</f>
        <v>0</v>
      </c>
      <c r="AN136" cm="1">
        <f t="array" ref="AN136">$D$10*(1+$AM136)+VLOOKUP($Q136,武学奇术!$A:$ZZ,3,FALSE)+SUM(_xlfn.XLOOKUP($R136:$AF136,增益!$A:$A,增益!$C:$C,0))-$I$2</f>
        <v>1713.7</v>
      </c>
      <c r="AO136" cm="1">
        <f t="array" ref="AO136">$E$10*(1+$AM136)+VLOOKUP($Q136,武学奇术!$A:$ZZ,4,FALSE)+SUM(_xlfn.XLOOKUP($R136:$AF136,增益!$A:$A,增益!$D:$D,0))-$I$2</f>
        <v>5189.5</v>
      </c>
      <c r="AP136" s="35" cm="1">
        <f t="array" ref="AP136">IF($F$10-$I$3+VLOOKUP($Q136,武学奇术!$A:$ZZ,6,FALSE)+SUM(_xlfn.XLOOKUP(R136:AF136,增益!$A:$A,增益!$F:$F,0))&gt;0,($F$10-$I$3+VLOOKUP($Q136,武学奇术!$A:$ZZ,6,FALSE)+SUM(_xlfn.XLOOKUP(R136:AF136,增益!$A:$A,增益!$F:$F,0)))/200,($F$10-$I$3+VLOOKUP($Q136,武学奇术!$A:$ZZ,6,FALSE)+SUM(_xlfn.XLOOKUP(R136:AF136,增益!$A:$A,增益!$F:$F,0)))/100)</f>
        <v>0.1925</v>
      </c>
      <c r="AQ136" s="35" cm="1">
        <f t="array" ref="AQ136">$G$10+VLOOKUP($Q136,武学奇术!$A:$ZZ,7,FALSE)+SUM(_xlfn.XLOOKUP(R136:AF136,增益!$A:$A,增益!$G:$G,0))</f>
        <v>0</v>
      </c>
      <c r="AR136" s="27" cm="1">
        <f t="array" ref="AR136">VLOOKUP($Q136,武学奇术!$A:$ZZ,8,FALSE)+SUM(_xlfn.XLOOKUP(R136:AF136,增益!$A:$A,增益!$H:$H,0))</f>
        <v>0</v>
      </c>
      <c r="AS136">
        <f t="shared" si="26"/>
        <v>0</v>
      </c>
      <c r="AT136">
        <f t="shared" si="27"/>
        <v>0</v>
      </c>
      <c r="AU136" s="35" cm="1">
        <f t="array" ref="AU136">IF($F$11-$I$4+VLOOKUP($Q136,武学奇术!$A:$ZZ,9,FALSE)+SUM(_xlfn.XLOOKUP(R136:AF136,增益!$A:$A,增益!$I:$I,0))&gt;0,($F$11-$I$4+VLOOKUP($Q136,武学奇术!$A:$ZZ,9,FALSE)+SUM(_xlfn.XLOOKUP(R136:AF136,增益!$A:$A,增益!$I:$I,0)))/200,($F$11-$I$4+VLOOKUP($Q136,武学奇术!$A:$ZZ,9,FALSE)+SUM(_xlfn.XLOOKUP(R136:AF136,增益!$A:$A,增益!$I:$I,0)))/100)</f>
        <v>-0.3</v>
      </c>
      <c r="AV136" s="35" cm="1">
        <f t="array" ref="AV136">$G$11+VLOOKUP($Q136,武学奇术!$A:$ZZ,10,FALSE)+SUM(_xlfn.XLOOKUP(R136:AF136,增益!$A:$A,增益!$J:$J,0))</f>
        <v>0</v>
      </c>
      <c r="AW136">
        <f t="shared" si="28"/>
        <v>0</v>
      </c>
      <c r="AX136">
        <f t="shared" si="29"/>
        <v>0</v>
      </c>
      <c r="AY136" s="35" cm="1">
        <f t="array" ref="AY136">IF($F$12-$I$4+VLOOKUP($Q136,武学奇术!$A:$ZZ,11,FALSE)+SUM(_xlfn.XLOOKUP(R136:AF136,增益!$A:$A,增益!$K:$K,0))&gt;0,($F$12-$I$4+VLOOKUP($Q136,武学奇术!$A:$ZZ,11,FALSE)+SUM(_xlfn.XLOOKUP(R136:AF136,增益!$A:$A,增益!$K:$K,0)))/200,($F$12-$I$4+VLOOKUP($Q136,武学奇术!$A:$ZZ,11,FALSE)+SUM(_xlfn.XLOOKUP(R136:AF136,增益!$A:$A,增益!$K:$K,0)))/100)</f>
        <v>-0.3</v>
      </c>
      <c r="AZ136" s="35" cm="1">
        <f t="array" ref="AZ136">$G$12+VLOOKUP($Q136,武学奇术!$A:$ZZ,12,FALSE)+SUM(_xlfn.XLOOKUP(R136:AF136,增益!$A:$A,增益!$L:$L,0))</f>
        <v>0</v>
      </c>
      <c r="BA136">
        <f t="shared" si="30"/>
        <v>538</v>
      </c>
      <c r="BB136">
        <f t="shared" si="31"/>
        <v>1011</v>
      </c>
      <c r="BC136" s="35" cm="1">
        <f t="array" ref="BC136">IF($F$13-$I$4+VLOOKUP($Q136,武学奇术!$A:$ZZ,13,FALSE)+SUM(_xlfn.XLOOKUP(R136:AF136,增益!$A:$A,增益!$M:$M,0))&gt;0,($F$13-$I$4+VLOOKUP($Q136,武学奇术!$A:$ZZ,13,FALSE)+SUM(_xlfn.XLOOKUP(R136:AF136,增益!$A:$A,增益!$K:$K,0)))/200,($F$13-$I$4+VLOOKUP($Q136,武学奇术!$A:$ZZ,13,FALSE)+SUM(_xlfn.XLOOKUP(R136:AF136,增益!$A:$A,增益!$M:$M,0)))/100)</f>
        <v>0</v>
      </c>
      <c r="BD136" s="35" cm="1">
        <f t="array" ref="BD136">$G$13+VLOOKUP($Q136,武学奇术!$A:$ZZ,14,FALSE)+SUM(_xlfn.XLOOKUP(R136:AF136,增益!$A:$A,增益!$N:$N,0))</f>
        <v>0.15</v>
      </c>
      <c r="BE136">
        <f t="shared" si="32"/>
        <v>0</v>
      </c>
      <c r="BF136">
        <f t="shared" si="33"/>
        <v>0</v>
      </c>
      <c r="BG136" s="35" cm="1">
        <f t="array" ref="BG136">IF($F$14-$I$4+VLOOKUP($Q136,武学奇术!$A:$ZZ,15,FALSE)+SUM(_xlfn.XLOOKUP(R136:AF136,增益!$A:$A,增益!$O:$O,0))&gt;0,($F$14-$I$4+VLOOKUP($Q136,武学奇术!$A:$ZZ,15,FALSE)+SUM(_xlfn.XLOOKUP(R136:AF136,增益!$A:$A,增益!$O:$O,0)))/200,($F$14-$I$4+VLOOKUP($Q136,武学奇术!$A:$ZZ,15,FALSE)+SUM(_xlfn.XLOOKUP(R136:AF136,增益!$A:$A,增益!$O:$O,0)))/100)</f>
        <v>-0.3</v>
      </c>
      <c r="BH136" s="35" cm="1">
        <f t="array" ref="BH136">$G$14+VLOOKUP($Q136,武学奇术!$A:$ZZ,16,FALSE)+SUM(_xlfn.XLOOKUP(R136:AF136,增益!$A:$A,增益!$P:$P,0))</f>
        <v>0</v>
      </c>
      <c r="BI136" s="27">
        <f>MIN(IF(VLOOKUP($Q136,武学奇术!$A:$ZZ,23,FALSE)=1,100%,$B$8),100%)</f>
        <v>0.9969</v>
      </c>
      <c r="BJ136" s="27" cm="1">
        <f t="array" ref="BJ136">IF(VLOOKUP($Q136,武学奇术!$A:$ZZ,23,FALSE)=1,100%,MIN(80%,$B$9+VLOOKUP($Q136,武学奇术!$A:$ZZ,17,FALSE)+SUM(_xlfn.XLOOKUP(R136:AF136,增益!$A:$A,增益!$Q:$Q,0)))+$B$11+SUM(_xlfn.XLOOKUP(R136:AF136,增益!$A:$A,增益!$U:$U,0)))*IF(VLOOKUP($Q136,武学奇术!$A:$ZZ,24,FALSE)=1,0,1)</f>
        <v>0.9137</v>
      </c>
      <c r="BK136" s="27" cm="1">
        <f t="array" ref="BK136">1+$B$13+VLOOKUP($Q136,武学奇术!$A:$ZZ,18,FALSE)+SUM(_xlfn.XLOOKUP(R136:AF136,增益!$A:$A,增益!$R:$R,0))</f>
        <v>1.5</v>
      </c>
      <c r="BL136" s="27" cm="1">
        <f t="array" ref="BL136">IF(VLOOKUP($Q136,武学奇术!$A:$ZZ,24,FALSE)=1,100%,MIN(40%,$B$10+VLOOKUP($Q136,武学奇术!$A:$ZZ,19,FALSE)+SUM(_xlfn.XLOOKUP(R136:AF136,增益!$A:$A,增益!$S:$S,0)))+$B$12+SUM(_xlfn.XLOOKUP(R136:AF136,增益!$A:$A,增益!$V:$V,0)))*IF(VLOOKUP($Q136,武学奇术!$A:$ZZ,23,FALSE)=1,0,1)</f>
        <v>0.0895</v>
      </c>
      <c r="BM136" s="27" cm="1">
        <f t="array" ref="BM136">1+$B$14+VLOOKUP($Q136,武学奇术!$A:$ZZ,20,FALSE)+SUM(_xlfn.XLOOKUP(R136:AF136,增益!$A:$A,增益!$T:$T,0))</f>
        <v>1.35</v>
      </c>
      <c r="BN136" s="27">
        <f t="shared" si="34"/>
        <v>0.90767745</v>
      </c>
      <c r="BO136" s="27">
        <f t="shared" si="35"/>
        <v>-1.30104260698261e-17</v>
      </c>
      <c r="BP136" s="27">
        <f>IF(VLOOKUP($Q136,武学奇术!$A:$ZZ,22,FALSE)=1,0,(1-$BI136))*(1-$BL136)</f>
        <v>0.00282254999999999</v>
      </c>
      <c r="BQ136" s="27" cm="1">
        <f t="array" ref="BQ136">SUM(_xlfn.XLOOKUP(R136:AF136,增益!$A:$A,增益!$W:$W,0))+$I$5</f>
        <v>0.11</v>
      </c>
    </row>
  </sheetData>
  <mergeCells count="18">
    <mergeCell ref="H1:I1"/>
    <mergeCell ref="C8:G8"/>
    <mergeCell ref="C15:D15"/>
    <mergeCell ref="C21:D21"/>
    <mergeCell ref="C22:D22"/>
    <mergeCell ref="A23:A24"/>
    <mergeCell ref="E21:E22"/>
    <mergeCell ref="F21:F22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"烟柳,撼天"</formula1>
    </dataValidation>
    <dataValidation type="list" allowBlank="1" showInputMessage="1" showErrorMessage="1" sqref="C22:D22">
      <formula1>"易水歌,征人归"</formula1>
    </dataValidation>
    <dataValidation type="list" allowBlank="1" showInputMessage="1" showErrorMessage="1" sqref="D16:D20 F15:F17">
      <formula1>"√,×"</formula1>
    </dataValidation>
    <dataValidation type="list" allowBlank="1" showInputMessage="1" showErrorMessage="1" sqref="F21:F22">
      <formula1>"全蹭,不蹭,不带"</formula1>
    </dataValidation>
    <dataValidation type="list" allowBlank="1" showInputMessage="1" showErrorMessage="1" sqref="Q2:Q136">
      <formula1>武学奇术!$A:$A</formula1>
    </dataValidation>
    <dataValidation type="list" allowBlank="1" showInputMessage="1" showErrorMessage="1" sqref="R2:AF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9"/>
  <sheetViews>
    <sheetView workbookViewId="0">
      <selection activeCell="E28" sqref="E28"/>
    </sheetView>
  </sheetViews>
  <sheetFormatPr defaultColWidth="9" defaultRowHeight="13.5"/>
  <cols>
    <col min="1" max="1" width="21.5" customWidth="1"/>
    <col min="2" max="2" width="9.00833333333333" customWidth="1"/>
    <col min="17" max="17" width="9" style="27"/>
    <col min="26" max="26" width="9.375" style="27"/>
    <col min="27" max="27" width="9" style="28"/>
    <col min="28" max="28" width="9.375" style="27"/>
    <col min="29" max="29" width="9" style="28"/>
  </cols>
  <sheetData>
    <row r="1" spans="1:30">
      <c r="B1" t="s">
        <v>34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s="27" t="s">
        <v>103</v>
      </c>
      <c r="R1" t="s">
        <v>196</v>
      </c>
      <c r="S1" t="s">
        <v>105</v>
      </c>
      <c r="T1" t="s">
        <v>197</v>
      </c>
      <c r="U1" t="s">
        <v>198</v>
      </c>
      <c r="V1" t="s">
        <v>199</v>
      </c>
      <c r="W1" t="s">
        <v>200</v>
      </c>
      <c r="X1" t="s">
        <v>201</v>
      </c>
      <c r="Y1" t="s">
        <v>29</v>
      </c>
      <c r="Z1" s="27" t="s">
        <v>30</v>
      </c>
      <c r="AA1" s="28" t="s">
        <v>31</v>
      </c>
      <c r="AB1" s="27" t="s">
        <v>32</v>
      </c>
      <c r="AC1" s="28" t="s">
        <v>33</v>
      </c>
      <c r="AD1" t="s">
        <v>202</v>
      </c>
    </row>
    <row r="2" customFormat="1" spans="1:30">
      <c r="A2" t="s">
        <v>180</v>
      </c>
      <c r="E2" s="30"/>
      <c r="F2">
        <v>5</v>
      </c>
      <c r="G2" s="30">
        <f>IF(期望!$G$2="烟柳",10%,0)</f>
        <v>0.1</v>
      </c>
      <c r="N2" s="30">
        <f>IF(期望!$G$2="烟柳",10%,0)</f>
        <v>0.1</v>
      </c>
      <c r="Q2" s="27"/>
      <c r="R2" s="30">
        <v>0.36</v>
      </c>
      <c r="Y2" t="s">
        <v>82</v>
      </c>
      <c r="Z2" s="31">
        <f>171.75%*1.25</f>
        <v>2.146875</v>
      </c>
      <c r="AA2" s="32">
        <f>474*1.25</f>
        <v>592.5</v>
      </c>
      <c r="AB2" s="31">
        <f>257.62%*1.25</f>
        <v>3.22025</v>
      </c>
      <c r="AC2" s="32">
        <f>258*1.25</f>
        <v>322.5</v>
      </c>
      <c r="AD2" t="s">
        <v>203</v>
      </c>
    </row>
    <row r="3" spans="1:30">
      <c r="A3" t="s">
        <v>109</v>
      </c>
      <c r="E3" s="30"/>
      <c r="F3">
        <v>5</v>
      </c>
      <c r="G3" s="30">
        <f>IF(期望!$G$2="烟柳",10%,0)</f>
        <v>0.1</v>
      </c>
      <c r="N3" s="30">
        <f>IF(期望!$G$2="烟柳",10%,0)</f>
        <v>0.1</v>
      </c>
      <c r="R3" s="30">
        <v>0.36</v>
      </c>
      <c r="Y3" t="s">
        <v>82</v>
      </c>
      <c r="Z3" s="31">
        <f>102.17%*1.15</f>
        <v>1.174955</v>
      </c>
      <c r="AA3" s="32">
        <f>282*1.15</f>
        <v>324.3</v>
      </c>
      <c r="AB3" s="31">
        <f>153.25%*1.15</f>
        <v>1.762375</v>
      </c>
      <c r="AC3" s="32">
        <f>154*1.15</f>
        <v>177.1</v>
      </c>
      <c r="AD3" t="s">
        <v>203</v>
      </c>
    </row>
    <row r="4" spans="1:30">
      <c r="A4" t="s">
        <v>97</v>
      </c>
      <c r="B4" s="30"/>
      <c r="E4" s="30"/>
      <c r="F4">
        <v>5</v>
      </c>
      <c r="G4" s="30">
        <f>IF(期望!$G$2="烟柳",10%,0)</f>
        <v>0.1</v>
      </c>
      <c r="N4" s="30">
        <f>IF(期望!$G$2="烟柳",10%,0)</f>
        <v>0.1</v>
      </c>
      <c r="R4" s="30">
        <v>0.36</v>
      </c>
      <c r="Y4" t="s">
        <v>82</v>
      </c>
      <c r="Z4" s="31">
        <v>2.3397</v>
      </c>
      <c r="AA4" s="32">
        <v>648</v>
      </c>
      <c r="AB4" s="31">
        <v>3.5095</v>
      </c>
      <c r="AC4" s="28">
        <v>353</v>
      </c>
    </row>
    <row r="5" spans="1:30">
      <c r="A5" t="s">
        <v>104</v>
      </c>
      <c r="B5" s="30"/>
      <c r="E5" s="30"/>
      <c r="G5" s="30">
        <f>IF(期望!$G$2="烟柳",10%,0)</f>
        <v>0.1</v>
      </c>
      <c r="N5" s="30">
        <f>IF(期望!$G$2="烟柳",10%,0)</f>
        <v>0.1</v>
      </c>
      <c r="R5" s="30"/>
      <c r="Y5" t="s">
        <v>82</v>
      </c>
      <c r="Z5" s="31">
        <f>53.97%+116.04%</f>
        <v>1.7001</v>
      </c>
      <c r="AA5" s="32">
        <f>149+322</f>
        <v>471</v>
      </c>
      <c r="AB5" s="31">
        <f>80.96%+174.06%</f>
        <v>2.5502</v>
      </c>
      <c r="AC5" s="28">
        <f>81+175</f>
        <v>256</v>
      </c>
    </row>
    <row r="6" spans="1:30">
      <c r="A6" t="s">
        <v>107</v>
      </c>
      <c r="B6" s="30"/>
      <c r="E6" s="30"/>
      <c r="G6" s="30">
        <f>IF(期望!$G$2="烟柳",10%,0)</f>
        <v>0.1</v>
      </c>
      <c r="N6" s="30">
        <f>IF(期望!$G$2="烟柳",10%,0)</f>
        <v>0.1</v>
      </c>
      <c r="R6" s="30"/>
      <c r="Y6" t="s">
        <v>82</v>
      </c>
      <c r="Z6" s="29">
        <v>0.54</v>
      </c>
      <c r="AA6" s="28">
        <v>148</v>
      </c>
      <c r="AB6" s="27">
        <v>0.81</v>
      </c>
      <c r="AC6" s="28">
        <v>81.5</v>
      </c>
      <c r="AD6" t="s">
        <v>203</v>
      </c>
    </row>
    <row r="7" spans="1:30">
      <c r="A7" t="s">
        <v>145</v>
      </c>
      <c r="E7" s="30"/>
      <c r="G7" s="30">
        <f>IF(期望!$G$2="烟柳",10%,0)</f>
        <v>0.1</v>
      </c>
      <c r="N7" s="30">
        <f>IF(期望!$G$2="烟柳",10%,0)</f>
        <v>0.1</v>
      </c>
      <c r="Y7" t="s">
        <v>87</v>
      </c>
      <c r="Z7" s="29">
        <f>190.44%*1.45</f>
        <v>2.76138</v>
      </c>
      <c r="AA7" s="33">
        <f>527*1.45</f>
        <v>764.15</v>
      </c>
      <c r="AB7" s="29">
        <f>285.66%*1.45</f>
        <v>4.14207</v>
      </c>
      <c r="AC7" s="28">
        <f>287*1.45</f>
        <v>416.15</v>
      </c>
    </row>
    <row r="8" spans="1:30">
      <c r="A8" t="s">
        <v>130</v>
      </c>
      <c r="B8" s="30"/>
      <c r="E8" s="30"/>
      <c r="G8" s="30"/>
      <c r="N8" s="30"/>
      <c r="R8" s="30"/>
      <c r="Y8" t="s">
        <v>87</v>
      </c>
      <c r="Z8" s="29">
        <v>0.9271</v>
      </c>
      <c r="AA8" s="33">
        <v>257</v>
      </c>
      <c r="AB8" s="29">
        <v>1.3907</v>
      </c>
      <c r="AC8" s="28">
        <v>140</v>
      </c>
    </row>
    <row r="9" spans="1:30">
      <c r="A9" t="s">
        <v>127</v>
      </c>
      <c r="B9" s="30"/>
      <c r="E9" s="30"/>
      <c r="G9" s="30"/>
      <c r="N9" s="30"/>
      <c r="R9" s="30"/>
      <c r="Y9" t="s">
        <v>87</v>
      </c>
      <c r="Z9" s="29">
        <v>1.2798</v>
      </c>
      <c r="AA9" s="33">
        <v>355</v>
      </c>
      <c r="AB9" s="29">
        <v>1.9197</v>
      </c>
      <c r="AC9" s="28">
        <v>193</v>
      </c>
    </row>
    <row r="10" spans="1:30">
      <c r="A10" t="s">
        <v>204</v>
      </c>
      <c r="B10" s="30"/>
      <c r="E10" s="30"/>
      <c r="G10" s="30">
        <f>IF(期望!$G$2="烟柳",10%,0)</f>
        <v>0.1</v>
      </c>
      <c r="N10" s="30">
        <f>IF(期望!$G$2="烟柳",10%,0)</f>
        <v>0.1</v>
      </c>
      <c r="R10" s="30">
        <v>0.36</v>
      </c>
      <c r="Y10" t="s">
        <v>87</v>
      </c>
      <c r="Z10" s="29">
        <f>124.78%*1.45</f>
        <v>1.80931</v>
      </c>
      <c r="AA10" s="33">
        <f>346*1.45</f>
        <v>501.7</v>
      </c>
      <c r="AB10" s="29">
        <f>187.16%*1.45</f>
        <v>2.71382</v>
      </c>
      <c r="AC10" s="28">
        <f>188*1.45</f>
        <v>272.6</v>
      </c>
    </row>
    <row r="11" spans="1:30">
      <c r="A11" t="s">
        <v>133</v>
      </c>
      <c r="B11" s="30"/>
      <c r="E11" s="30"/>
      <c r="G11" s="30">
        <f>IF(期望!$G$2="烟柳",10%,0)</f>
        <v>0.1</v>
      </c>
      <c r="N11" s="30">
        <f>IF(期望!$G$2="烟柳",10%,0)</f>
        <v>0.1</v>
      </c>
      <c r="R11" s="30">
        <v>0.36</v>
      </c>
      <c r="Y11" t="s">
        <v>87</v>
      </c>
      <c r="Z11" s="29">
        <f>301.85%*1.45</f>
        <v>4.376825</v>
      </c>
      <c r="AA11" s="33">
        <f>835*1.45</f>
        <v>1210.75</v>
      </c>
      <c r="AB11" s="29">
        <f>452.78%*1.45</f>
        <v>6.56531</v>
      </c>
      <c r="AC11" s="28">
        <f>455*1.45</f>
        <v>659.75</v>
      </c>
    </row>
    <row r="12" spans="1:30">
      <c r="A12" t="s">
        <v>205</v>
      </c>
      <c r="B12" s="30"/>
      <c r="E12" s="30"/>
      <c r="G12" s="30"/>
      <c r="N12" s="30"/>
      <c r="R12" s="30"/>
      <c r="Y12" t="s">
        <v>96</v>
      </c>
      <c r="Z12" s="27">
        <f>198.72%*2</f>
        <v>3.9744</v>
      </c>
      <c r="AA12" s="28">
        <f>491*2</f>
        <v>982</v>
      </c>
      <c r="AB12" s="27">
        <v>5.9613</v>
      </c>
    </row>
    <row r="13" spans="1:30">
      <c r="A13" t="s">
        <v>70</v>
      </c>
      <c r="B13" s="30"/>
      <c r="E13" s="30"/>
      <c r="G13" s="30"/>
      <c r="N13" s="30"/>
      <c r="R13" s="30"/>
      <c r="Y13" t="s">
        <v>96</v>
      </c>
      <c r="Z13" s="27">
        <f>74.52%*2</f>
        <v>1.4904</v>
      </c>
      <c r="AA13" s="28">
        <f>184*2</f>
        <v>368</v>
      </c>
      <c r="AB13" s="27">
        <v>2.2353</v>
      </c>
    </row>
    <row r="14" customFormat="1" spans="1:30">
      <c r="A14" t="s">
        <v>206</v>
      </c>
      <c r="B14" s="30"/>
      <c r="E14" s="30"/>
      <c r="F14"/>
      <c r="G14" s="30"/>
      <c r="N14" s="30"/>
      <c r="O14"/>
      <c r="R14" s="30"/>
      <c r="Y14" t="s">
        <v>96</v>
      </c>
      <c r="Z14" s="27">
        <f>254.69%*2.7*1.5</f>
        <v>10.314945</v>
      </c>
      <c r="AA14" s="28">
        <f>473*2.7*1.5</f>
        <v>1915.65</v>
      </c>
      <c r="AB14" s="27">
        <f>Z14*1.5</f>
        <v>15.4724175</v>
      </c>
      <c r="AC14" s="28"/>
    </row>
    <row r="15" spans="1:30">
      <c r="A15" t="s">
        <v>161</v>
      </c>
      <c r="B15" s="30"/>
      <c r="E15" s="30"/>
      <c r="G15" s="30"/>
      <c r="N15" s="30"/>
      <c r="R15" s="30"/>
      <c r="Y15" t="s">
        <v>92</v>
      </c>
      <c r="Z15" s="27">
        <f>319.83%+390.91%</f>
        <v>7.1074</v>
      </c>
      <c r="AA15" s="28">
        <f>594+726</f>
        <v>1320</v>
      </c>
      <c r="AB15" s="27">
        <v>10.6596</v>
      </c>
    </row>
    <row r="16" spans="1:30">
      <c r="A16" t="s">
        <v>207</v>
      </c>
      <c r="B16" s="30">
        <v>0.52</v>
      </c>
      <c r="E16" s="30"/>
      <c r="G16" s="30"/>
      <c r="N16" s="30"/>
      <c r="R16" s="30"/>
      <c r="V16">
        <v>1</v>
      </c>
      <c r="Y16" t="s">
        <v>92</v>
      </c>
      <c r="Z16" s="27">
        <f>1636.39%*2.2*0.7</f>
        <v>25.200406</v>
      </c>
      <c r="AA16" s="28">
        <f>3049*2.2*0.7</f>
        <v>4695.46</v>
      </c>
      <c r="AB16" s="27">
        <f t="shared" ref="AB14:AB27" si="0">Z16*1.5</f>
        <v>37.800609</v>
      </c>
    </row>
    <row r="17" spans="1:29">
      <c r="A17" t="s">
        <v>208</v>
      </c>
      <c r="B17" s="30"/>
      <c r="E17" s="30"/>
      <c r="G17" s="30"/>
      <c r="N17" s="30"/>
      <c r="R17" s="30"/>
      <c r="Y17" t="s">
        <v>96</v>
      </c>
      <c r="Z17" s="27">
        <f>(416%+772.56%)*2</f>
        <v>23.7712</v>
      </c>
      <c r="AA17" s="28">
        <f>(773+1436)*2</f>
        <v>4418</v>
      </c>
      <c r="AB17" s="27">
        <f t="shared" si="0"/>
        <v>35.6568</v>
      </c>
    </row>
    <row r="18" customFormat="1" spans="1:29">
      <c r="A18" t="s">
        <v>209</v>
      </c>
      <c r="B18" s="30"/>
      <c r="E18" s="30"/>
      <c r="F18"/>
      <c r="G18" s="30"/>
      <c r="N18" s="30"/>
      <c r="O18"/>
      <c r="Q18" s="27"/>
      <c r="R18" s="30"/>
      <c r="Y18" t="s">
        <v>92</v>
      </c>
      <c r="Z18" s="27">
        <f>256.96%/2</f>
        <v>1.2848</v>
      </c>
      <c r="AA18" s="28">
        <f>483/2</f>
        <v>241.5</v>
      </c>
      <c r="AB18" s="27">
        <f t="shared" si="0"/>
        <v>1.9272</v>
      </c>
      <c r="AC18" s="28"/>
    </row>
    <row r="19" customFormat="1" spans="1:29">
      <c r="A19" t="s">
        <v>167</v>
      </c>
      <c r="B19" s="30"/>
      <c r="E19" s="30"/>
      <c r="F19"/>
      <c r="G19" s="30"/>
      <c r="N19" s="30"/>
      <c r="O19"/>
      <c r="Q19" s="27"/>
      <c r="R19" s="30"/>
      <c r="Y19" t="s">
        <v>92</v>
      </c>
      <c r="Z19" s="27">
        <f>256.96%+141.59%</f>
        <v>3.9855</v>
      </c>
      <c r="AA19" s="28">
        <f>483+266</f>
        <v>749</v>
      </c>
      <c r="AB19" s="27">
        <f t="shared" si="0"/>
        <v>5.97825</v>
      </c>
      <c r="AC19" s="28"/>
    </row>
    <row r="20" customFormat="1" spans="1:29">
      <c r="A20" t="s">
        <v>168</v>
      </c>
      <c r="B20" s="30"/>
      <c r="E20" s="30"/>
      <c r="F20"/>
      <c r="G20" s="30"/>
      <c r="N20" s="30"/>
      <c r="O20"/>
      <c r="Q20" s="27"/>
      <c r="R20" s="30"/>
      <c r="Y20" t="s">
        <v>92</v>
      </c>
      <c r="Z20" s="27">
        <v>0.236</v>
      </c>
      <c r="AA20" s="28">
        <v>44</v>
      </c>
      <c r="AB20" s="27">
        <f t="shared" si="0"/>
        <v>0.354</v>
      </c>
      <c r="AC20" s="28"/>
    </row>
    <row r="21" customFormat="1" spans="1:29">
      <c r="A21" t="s">
        <v>210</v>
      </c>
      <c r="B21" s="30"/>
      <c r="E21" s="30"/>
      <c r="F21"/>
      <c r="G21" s="30"/>
      <c r="N21" s="30"/>
      <c r="O21"/>
      <c r="Q21" s="27"/>
      <c r="R21" s="30"/>
      <c r="Y21" t="s">
        <v>92</v>
      </c>
      <c r="Z21" s="27">
        <f>272.37%/2</f>
        <v>1.36185</v>
      </c>
      <c r="AA21" s="28">
        <f>508/2</f>
        <v>254</v>
      </c>
      <c r="AB21" s="27">
        <f t="shared" si="0"/>
        <v>2.042775</v>
      </c>
      <c r="AC21" s="28"/>
    </row>
    <row r="22" customFormat="1" spans="1:29">
      <c r="A22" t="s">
        <v>211</v>
      </c>
      <c r="B22" s="30"/>
      <c r="E22" s="30"/>
      <c r="F22"/>
      <c r="G22" s="30"/>
      <c r="N22" s="30"/>
      <c r="O22"/>
      <c r="Q22" s="27"/>
      <c r="R22" s="30"/>
      <c r="Y22" t="s">
        <v>92</v>
      </c>
      <c r="Z22" s="27">
        <f>272.37%+150.08%</f>
        <v>4.2245</v>
      </c>
      <c r="AA22" s="28">
        <f>508+280</f>
        <v>788</v>
      </c>
      <c r="AB22" s="27">
        <f t="shared" si="0"/>
        <v>6.33675</v>
      </c>
      <c r="AC22" s="28"/>
    </row>
    <row r="23" customFormat="1" spans="1:29">
      <c r="A23" t="s">
        <v>212</v>
      </c>
      <c r="B23" s="30"/>
      <c r="E23" s="30"/>
      <c r="F23"/>
      <c r="G23" s="30"/>
      <c r="N23" s="30"/>
      <c r="O23"/>
      <c r="Q23" s="27"/>
      <c r="R23" s="30"/>
      <c r="Y23" t="s">
        <v>92</v>
      </c>
      <c r="Z23" s="27">
        <v>0.2957</v>
      </c>
      <c r="AA23" s="28">
        <v>55</v>
      </c>
      <c r="AB23" s="27">
        <f t="shared" si="0"/>
        <v>0.44355</v>
      </c>
      <c r="AC23" s="28"/>
    </row>
    <row r="24" customFormat="1" spans="1:29">
      <c r="A24" t="s">
        <v>171</v>
      </c>
      <c r="B24" s="30"/>
      <c r="E24" s="30"/>
      <c r="F24"/>
      <c r="G24" s="30"/>
      <c r="N24" s="30"/>
      <c r="O24"/>
      <c r="Q24" s="27"/>
      <c r="R24" s="30"/>
      <c r="Y24" t="s">
        <v>92</v>
      </c>
      <c r="Z24" s="27">
        <v>1.0238</v>
      </c>
      <c r="AA24" s="28">
        <v>189</v>
      </c>
      <c r="AB24" s="27">
        <f t="shared" si="0"/>
        <v>1.5357</v>
      </c>
      <c r="AC24" s="28"/>
    </row>
    <row r="25" customFormat="1" spans="1:29">
      <c r="A25" t="s">
        <v>172</v>
      </c>
      <c r="B25" s="30">
        <v>0.8</v>
      </c>
      <c r="E25" s="30"/>
      <c r="F25"/>
      <c r="G25" s="30"/>
      <c r="N25" s="30"/>
      <c r="O25"/>
      <c r="Q25" s="27"/>
      <c r="R25" s="30"/>
      <c r="Y25" t="s">
        <v>92</v>
      </c>
      <c r="Z25" s="27">
        <v>1.7063</v>
      </c>
      <c r="AA25" s="28">
        <v>315</v>
      </c>
      <c r="AB25" s="27">
        <f t="shared" si="0"/>
        <v>2.55945</v>
      </c>
      <c r="AC25" s="28"/>
    </row>
    <row r="26" customFormat="1" spans="1:29">
      <c r="A26" t="s">
        <v>213</v>
      </c>
      <c r="B26" s="30"/>
      <c r="E26" s="30"/>
      <c r="F26"/>
      <c r="G26" s="30"/>
      <c r="N26" s="30"/>
      <c r="O26"/>
      <c r="Q26" s="27"/>
      <c r="R26" s="30"/>
      <c r="Y26" t="s">
        <v>92</v>
      </c>
      <c r="Z26" s="27">
        <v>0.702</v>
      </c>
      <c r="AA26" s="28">
        <v>129</v>
      </c>
      <c r="AB26" s="27">
        <f t="shared" si="0"/>
        <v>1.053</v>
      </c>
      <c r="AC26" s="28"/>
    </row>
    <row r="27" customFormat="1" spans="1:29">
      <c r="A27" t="s">
        <v>173</v>
      </c>
      <c r="B27" s="30"/>
      <c r="E27" s="30"/>
      <c r="F27"/>
      <c r="G27" s="30"/>
      <c r="N27" s="30"/>
      <c r="O27"/>
      <c r="Q27" s="27"/>
      <c r="R27" s="30"/>
      <c r="Y27" t="s">
        <v>92</v>
      </c>
      <c r="Z27" s="27">
        <v>1.6088</v>
      </c>
      <c r="AA27" s="28">
        <v>297</v>
      </c>
      <c r="AB27" s="27">
        <f t="shared" si="0"/>
        <v>2.4132</v>
      </c>
      <c r="AC27" s="28"/>
    </row>
    <row r="28" spans="1:29">
      <c r="A28" t="s">
        <v>187</v>
      </c>
      <c r="E28" s="30"/>
      <c r="G28" s="30"/>
      <c r="N28" s="30"/>
      <c r="R28" s="30"/>
      <c r="Y28" t="s">
        <v>214</v>
      </c>
      <c r="Z28" s="27">
        <v>1</v>
      </c>
      <c r="AB28" s="27">
        <v>1</v>
      </c>
    </row>
    <row r="29" spans="1:29">
      <c r="A29" t="s">
        <v>73</v>
      </c>
      <c r="Y29" t="s">
        <v>214</v>
      </c>
      <c r="Z29" s="27">
        <v>0</v>
      </c>
      <c r="AB29" s="27"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0"/>
  <sheetViews>
    <sheetView workbookViewId="0">
      <selection activeCell="I15" sqref="I15"/>
    </sheetView>
  </sheetViews>
  <sheetFormatPr defaultColWidth="9" defaultRowHeight="13.5"/>
  <cols>
    <col min="1" max="1" width="15.875" customWidth="1"/>
    <col min="2" max="2" width="9.00833333333333" style="27" customWidth="1"/>
    <col min="18" max="18" width="9" style="27"/>
    <col min="23" max="23" width="9" style="27"/>
    <col min="24" max="24" width="9.375" style="27"/>
    <col min="25" max="25" width="9" style="28"/>
  </cols>
  <sheetData>
    <row r="1" spans="1:25">
      <c r="B1" s="27" t="s">
        <v>34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t="s">
        <v>103</v>
      </c>
      <c r="R1" s="27" t="s">
        <v>196</v>
      </c>
      <c r="S1" t="s">
        <v>105</v>
      </c>
      <c r="T1" t="s">
        <v>197</v>
      </c>
      <c r="U1" s="27" t="s">
        <v>108</v>
      </c>
      <c r="V1" s="28" t="s">
        <v>110</v>
      </c>
      <c r="W1" s="27" t="s">
        <v>65</v>
      </c>
    </row>
    <row r="2" customFormat="1" spans="1:25">
      <c r="A2" t="s">
        <v>80</v>
      </c>
      <c r="B2" s="27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R2" s="27"/>
      <c r="W2" s="29"/>
      <c r="X2" s="29"/>
      <c r="Y2" s="28"/>
    </row>
    <row r="3" customFormat="1" spans="1:25">
      <c r="A3" t="s">
        <v>169</v>
      </c>
      <c r="B3" s="27">
        <f>IF(期望!$D$20="√",25%,0)</f>
        <v>0.25</v>
      </c>
      <c r="R3" s="27"/>
      <c r="W3" s="29"/>
      <c r="X3" s="27"/>
      <c r="Y3" s="28"/>
    </row>
    <row r="4" spans="1:25">
      <c r="A4" t="s">
        <v>74</v>
      </c>
      <c r="B4" s="27">
        <v>0.02</v>
      </c>
      <c r="W4" s="29"/>
    </row>
    <row r="5" customFormat="1" spans="1:25">
      <c r="A5" t="s">
        <v>215</v>
      </c>
      <c r="B5" s="27">
        <v>0.2</v>
      </c>
      <c r="R5" s="27"/>
      <c r="W5" s="29"/>
      <c r="X5" s="27"/>
      <c r="Y5" s="28"/>
    </row>
    <row r="6" spans="1:25">
      <c r="A6" t="s">
        <v>75</v>
      </c>
      <c r="W6" s="29">
        <v>0.05</v>
      </c>
    </row>
    <row r="7" spans="1:25">
      <c r="A7" t="s">
        <v>165</v>
      </c>
      <c r="W7" s="27">
        <v>0.1</v>
      </c>
    </row>
    <row r="8" spans="1:25">
      <c r="A8" t="s">
        <v>166</v>
      </c>
      <c r="J8" s="30">
        <f>IF(期望!$D$18="√",10%,0)</f>
        <v>0.1</v>
      </c>
      <c r="W8" s="27">
        <f>IF(期望!$D$18="√",10%,0)</f>
        <v>0.1</v>
      </c>
      <c r="X8" s="29"/>
    </row>
    <row r="9" spans="1:25">
      <c r="A9" t="s">
        <v>159</v>
      </c>
      <c r="E9" s="30">
        <v>0.15</v>
      </c>
      <c r="X9" s="29"/>
    </row>
    <row r="10" spans="1:25">
      <c r="A10" t="s">
        <v>86</v>
      </c>
      <c r="E10" s="27">
        <v>0.075</v>
      </c>
      <c r="G10" s="30"/>
      <c r="J10" s="30"/>
      <c r="L10" s="30"/>
      <c r="M10" s="30"/>
      <c r="N10" s="30"/>
      <c r="P10" s="30"/>
      <c r="X10" s="29"/>
    </row>
    <row r="11" spans="1:25">
      <c r="A11" t="s">
        <v>102</v>
      </c>
      <c r="B11" s="27">
        <v>0.25</v>
      </c>
      <c r="E11" s="30"/>
      <c r="H11" s="30"/>
      <c r="S11" s="30"/>
      <c r="T11" s="30"/>
      <c r="X11" s="29"/>
    </row>
    <row r="12" customFormat="1" spans="1:25">
      <c r="A12" t="s">
        <v>163</v>
      </c>
      <c r="B12" s="27">
        <v>0.3</v>
      </c>
      <c r="E12" s="30"/>
      <c r="H12" s="30"/>
      <c r="R12" s="27"/>
      <c r="S12" s="30"/>
      <c r="T12" s="30"/>
      <c r="W12" s="27"/>
      <c r="X12" s="29"/>
      <c r="Y12" s="28"/>
    </row>
    <row r="13" spans="1:25">
      <c r="A13" t="s">
        <v>98</v>
      </c>
      <c r="B13" s="27">
        <v>0.4</v>
      </c>
      <c r="E13" s="30"/>
      <c r="H13" s="30"/>
      <c r="S13" s="30"/>
      <c r="T13" s="30"/>
      <c r="X13" s="29"/>
    </row>
    <row r="14" customFormat="1" spans="1:25">
      <c r="A14" t="s">
        <v>134</v>
      </c>
      <c r="B14" s="27">
        <v>0.1</v>
      </c>
      <c r="E14" s="30"/>
      <c r="H14" s="30"/>
      <c r="R14" s="27"/>
      <c r="S14" s="30"/>
      <c r="T14" s="30"/>
      <c r="W14" s="27"/>
      <c r="X14" s="29"/>
      <c r="Y14" s="28"/>
    </row>
    <row r="15" customFormat="1" spans="1:25">
      <c r="A15" t="s">
        <v>216</v>
      </c>
      <c r="B15" s="27"/>
      <c r="F15">
        <f>IF(期望!$F$21="不带",0,5)</f>
        <v>5</v>
      </c>
      <c r="R15" s="27">
        <f>IF(期望!$F$21="不带",0,5%)</f>
        <v>0.05</v>
      </c>
      <c r="S15" s="30"/>
      <c r="T15" s="30"/>
      <c r="W15" s="27"/>
      <c r="X15" s="29"/>
      <c r="Y15" s="28"/>
    </row>
    <row r="16" customFormat="1" spans="1:25">
      <c r="A16" t="s">
        <v>217</v>
      </c>
      <c r="B16" s="27"/>
      <c r="E16" s="30"/>
      <c r="F16">
        <f>IF(期望!$F$21="不带",0,10)</f>
        <v>10</v>
      </c>
      <c r="H16" s="30"/>
      <c r="R16" s="27">
        <f>IF(期望!$F$21="不带",0,10%)</f>
        <v>0.1</v>
      </c>
      <c r="S16" s="30"/>
      <c r="T16" s="30"/>
      <c r="W16" s="27"/>
      <c r="X16" s="29"/>
      <c r="Y16" s="28"/>
    </row>
    <row r="17" customFormat="1" spans="1:25">
      <c r="A17" t="s">
        <v>218</v>
      </c>
      <c r="B17" s="27"/>
      <c r="F17">
        <f>IF(期望!$F$21="不带",0,15)</f>
        <v>15</v>
      </c>
      <c r="R17" s="27">
        <f>IF(期望!$F$21="不带",0,15%)</f>
        <v>0.15</v>
      </c>
      <c r="S17" s="30"/>
      <c r="T17" s="30"/>
      <c r="W17" s="27"/>
      <c r="X17" s="29"/>
      <c r="Y17" s="28"/>
    </row>
    <row r="18" customFormat="1" spans="1:25">
      <c r="A18" t="s">
        <v>219</v>
      </c>
      <c r="B18" s="27"/>
      <c r="E18" s="30"/>
      <c r="F18">
        <f>IF(期望!$F$21="不带",0,20)</f>
        <v>20</v>
      </c>
      <c r="H18" s="30"/>
      <c r="R18" s="27">
        <f>IF(期望!$F$21="不带",0,20%)</f>
        <v>0.2</v>
      </c>
      <c r="S18" s="30"/>
      <c r="T18" s="30"/>
      <c r="W18" s="27"/>
      <c r="X18" s="29"/>
      <c r="Y18" s="28"/>
    </row>
    <row r="19" customFormat="1" spans="1:25">
      <c r="A19" t="s">
        <v>164</v>
      </c>
      <c r="B19" s="27"/>
      <c r="F19">
        <f>IF(期望!$F$21="不带",0,25)</f>
        <v>25</v>
      </c>
      <c r="R19" s="27">
        <f>IF(期望!$F$21="不带",0,25%)</f>
        <v>0.25</v>
      </c>
      <c r="S19" s="30"/>
      <c r="T19" s="30"/>
      <c r="W19" s="27"/>
      <c r="X19" s="29"/>
      <c r="Y19" s="28"/>
    </row>
    <row r="20" customFormat="1" spans="1:25">
      <c r="A20" t="s">
        <v>112</v>
      </c>
      <c r="B20" s="27"/>
      <c r="E20" s="30"/>
      <c r="F20">
        <f>IF(期望!$F$21="全蹭",25,0)</f>
        <v>25</v>
      </c>
      <c r="R20" s="27">
        <f>IF(期望!$F$21="全蹭",25%,0)</f>
        <v>0.25</v>
      </c>
      <c r="S20" s="30"/>
      <c r="T20" s="30"/>
      <c r="W20" s="27"/>
      <c r="X20" s="29"/>
      <c r="Y20" s="28"/>
    </row>
    <row r="21" customFormat="1" spans="1:25">
      <c r="A21" t="s">
        <v>113</v>
      </c>
      <c r="B21" s="27">
        <v>0.15</v>
      </c>
      <c r="E21" s="30"/>
      <c r="R21" s="27"/>
      <c r="S21" s="30"/>
      <c r="T21" s="30"/>
      <c r="W21" s="27"/>
      <c r="X21" s="29"/>
      <c r="Y21" s="28"/>
    </row>
    <row r="22" customFormat="1" spans="1:25">
      <c r="A22" t="s">
        <v>146</v>
      </c>
      <c r="B22" s="30">
        <v>0.2</v>
      </c>
      <c r="E22" s="30"/>
      <c r="R22" s="27"/>
      <c r="S22" s="30"/>
      <c r="T22" s="30"/>
      <c r="W22" s="27"/>
      <c r="X22" s="29"/>
      <c r="Y22" s="28"/>
    </row>
    <row r="23" customFormat="1" spans="1:25">
      <c r="A23" t="s">
        <v>184</v>
      </c>
      <c r="B23" s="27">
        <v>0.08</v>
      </c>
      <c r="Q23" s="30">
        <v>0.3</v>
      </c>
      <c r="R23" s="27"/>
      <c r="S23" s="30"/>
      <c r="T23" s="30"/>
      <c r="W23" s="27"/>
      <c r="X23" s="29"/>
      <c r="Y23" s="28"/>
    </row>
    <row r="24" spans="1:25">
      <c r="A24" t="s">
        <v>72</v>
      </c>
      <c r="R24" s="27">
        <f>IF(期望!$F$16="√",1%,0)</f>
        <v>0.01</v>
      </c>
      <c r="S24" s="30"/>
      <c r="T24" s="30"/>
      <c r="X24" s="29"/>
    </row>
    <row r="25" spans="1:25">
      <c r="A25" t="s">
        <v>79</v>
      </c>
      <c r="R25" s="27">
        <f>IF(期望!$F$16="√",2%,0)</f>
        <v>0.02</v>
      </c>
      <c r="S25" s="30"/>
      <c r="T25" s="30"/>
      <c r="X25" s="29"/>
    </row>
    <row r="26" spans="1:25">
      <c r="A26" t="s">
        <v>85</v>
      </c>
      <c r="R26" s="27">
        <f>IF(期望!$F$16="√",3%,0)</f>
        <v>0.03</v>
      </c>
      <c r="S26" s="30"/>
      <c r="T26" s="30"/>
      <c r="X26" s="29"/>
    </row>
    <row r="27" spans="1:25">
      <c r="A27" t="s">
        <v>90</v>
      </c>
      <c r="R27" s="27">
        <f>IF(期望!$F$16="√",4%,0)</f>
        <v>0.04</v>
      </c>
      <c r="S27" s="30"/>
      <c r="T27" s="30"/>
      <c r="X27" s="29"/>
    </row>
    <row r="28" spans="1:25">
      <c r="A28" t="s">
        <v>94</v>
      </c>
      <c r="R28" s="27">
        <f>IF(期望!$F$16="√",5%,0)</f>
        <v>0.05</v>
      </c>
      <c r="S28" s="30"/>
      <c r="T28" s="30"/>
      <c r="X28" s="29"/>
    </row>
    <row r="29" spans="1:25">
      <c r="A29" t="s">
        <v>144</v>
      </c>
      <c r="R29" s="27">
        <f>IF(期望!$F$16="√",6%,0)</f>
        <v>0.06</v>
      </c>
      <c r="S29" s="30"/>
      <c r="T29" s="30"/>
      <c r="X29" s="29"/>
    </row>
    <row r="30" spans="1:25">
      <c r="A30" t="s">
        <v>149</v>
      </c>
      <c r="R30" s="27">
        <f>IF(期望!$F$16="√",7%,0)</f>
        <v>0.07</v>
      </c>
      <c r="S30" s="30"/>
      <c r="T30" s="30"/>
      <c r="X30" s="29"/>
    </row>
    <row r="31" spans="1:25">
      <c r="A31" t="s">
        <v>151</v>
      </c>
      <c r="R31" s="27">
        <f>IF(期望!$F$16="√",8%,0)</f>
        <v>0.08</v>
      </c>
      <c r="S31" s="30"/>
      <c r="T31" s="30"/>
      <c r="X31" s="29"/>
    </row>
    <row r="32" spans="1:25">
      <c r="A32" t="s">
        <v>154</v>
      </c>
      <c r="R32" s="27">
        <f>IF(期望!$F$16="√",9%,0)</f>
        <v>0.09</v>
      </c>
      <c r="S32" s="30"/>
      <c r="T32" s="30"/>
      <c r="X32" s="29"/>
    </row>
    <row r="33" spans="1:24">
      <c r="A33" t="s">
        <v>158</v>
      </c>
      <c r="R33" s="27">
        <f>IF(期望!$F$16="√",10%,0)</f>
        <v>0.1</v>
      </c>
      <c r="S33" s="30"/>
      <c r="T33" s="30"/>
      <c r="X33" s="29"/>
    </row>
    <row r="34" spans="1:24">
      <c r="A34" t="s">
        <v>71</v>
      </c>
      <c r="B34" s="27">
        <f>1%*IF(期望!$C$22="易水歌",1,0)</f>
        <v>0.01</v>
      </c>
      <c r="F34">
        <f>2*IF(期望!$C$22="易水歌",1,0)</f>
        <v>2</v>
      </c>
      <c r="X34" s="29"/>
    </row>
    <row r="35" spans="1:24">
      <c r="A35" t="s">
        <v>78</v>
      </c>
      <c r="B35" s="27">
        <f>2%*IF(期望!$C$22="易水歌",1,0)</f>
        <v>0.02</v>
      </c>
      <c r="F35">
        <f>4*IF(期望!$C$22="易水歌",1,0)</f>
        <v>4</v>
      </c>
      <c r="X35" s="29"/>
    </row>
    <row r="36" spans="1:24">
      <c r="A36" t="s">
        <v>84</v>
      </c>
      <c r="B36" s="27">
        <f>3%*IF(期望!$C$22="易水歌",1,0)</f>
        <v>0.03</v>
      </c>
      <c r="F36">
        <f>6*IF(期望!$C$22="易水歌",1,0)</f>
        <v>6</v>
      </c>
      <c r="X36" s="29"/>
    </row>
    <row r="37" spans="1:24">
      <c r="A37" t="s">
        <v>89</v>
      </c>
      <c r="B37" s="27">
        <f>4%*IF(期望!$C$22="易水歌",1,0)</f>
        <v>0.04</v>
      </c>
      <c r="F37">
        <f>8*IF(期望!$C$22="易水歌",1,0)</f>
        <v>8</v>
      </c>
      <c r="X37" s="29"/>
    </row>
    <row r="38" spans="1:24">
      <c r="A38" t="s">
        <v>93</v>
      </c>
      <c r="B38" s="27">
        <f>5%*IF(期望!$C$22="易水歌",1,0)</f>
        <v>0.05</v>
      </c>
      <c r="F38">
        <f>10*IF(期望!$C$22="易水歌",1,0)</f>
        <v>10</v>
      </c>
      <c r="X38" s="29"/>
    </row>
    <row r="39" spans="1:24">
      <c r="A39" t="s">
        <v>73</v>
      </c>
      <c r="X39" s="29"/>
    </row>
    <row r="40" spans="1:24">
      <c r="X40" s="29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workbookViewId="0">
      <selection activeCell="F36" sqref="F36:F37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220</v>
      </c>
      <c r="B1" s="3" t="s">
        <v>221</v>
      </c>
      <c r="C1" s="4" t="s">
        <v>222</v>
      </c>
      <c r="D1" s="5" t="s">
        <v>223</v>
      </c>
    </row>
    <row r="2" spans="1:4">
      <c r="A2" s="6">
        <v>0.1</v>
      </c>
      <c r="B2" s="7">
        <v>1</v>
      </c>
      <c r="C2" s="8" t="s">
        <v>224</v>
      </c>
      <c r="D2" s="4" t="s">
        <v>225</v>
      </c>
    </row>
    <row r="3" spans="1:4">
      <c r="A3" s="9"/>
      <c r="B3" s="10">
        <v>2</v>
      </c>
      <c r="C3" s="11" t="s">
        <v>226</v>
      </c>
    </row>
    <row r="4" spans="1:4">
      <c r="A4" s="9"/>
      <c r="B4" s="10">
        <v>3</v>
      </c>
      <c r="C4" s="11" t="s">
        <v>227</v>
      </c>
    </row>
    <row r="5" spans="1:4">
      <c r="A5" s="9"/>
      <c r="B5" s="12">
        <v>4</v>
      </c>
      <c r="C5" s="11" t="s">
        <v>228</v>
      </c>
    </row>
    <row r="6" spans="1:4">
      <c r="A6" s="9"/>
      <c r="B6" s="12">
        <v>5</v>
      </c>
      <c r="C6" s="11" t="s">
        <v>229</v>
      </c>
    </row>
    <row r="7" spans="1:4">
      <c r="A7" s="9"/>
      <c r="B7" s="12">
        <v>6</v>
      </c>
      <c r="C7" s="11" t="s">
        <v>230</v>
      </c>
    </row>
    <row r="8" ht="14.25" spans="1:4">
      <c r="A8" s="13"/>
      <c r="B8" s="14">
        <v>7</v>
      </c>
      <c r="C8" s="15" t="s">
        <v>231</v>
      </c>
    </row>
    <row r="9" ht="14.25" spans="1:4">
      <c r="A9" s="16">
        <v>0.2</v>
      </c>
      <c r="B9" s="17">
        <v>1</v>
      </c>
      <c r="C9" s="18" t="s">
        <v>232</v>
      </c>
    </row>
    <row r="10" ht="14.25" spans="1:4">
      <c r="A10" s="19">
        <v>0.3</v>
      </c>
      <c r="B10" s="17">
        <v>1</v>
      </c>
      <c r="C10" s="18" t="s">
        <v>232</v>
      </c>
    </row>
    <row r="11" ht="14.25" spans="1:4">
      <c r="A11" s="16">
        <v>0.4</v>
      </c>
      <c r="B11" s="17">
        <v>1</v>
      </c>
      <c r="C11" s="18" t="s">
        <v>233</v>
      </c>
    </row>
    <row r="12" ht="14.25" spans="1:4">
      <c r="A12" s="16">
        <v>0.5</v>
      </c>
      <c r="B12" s="17">
        <v>1</v>
      </c>
      <c r="C12" s="18" t="s">
        <v>234</v>
      </c>
    </row>
    <row r="13" ht="14.25" spans="1:4">
      <c r="A13" s="20">
        <v>1</v>
      </c>
      <c r="B13" s="21">
        <v>1</v>
      </c>
      <c r="C13" s="8" t="s">
        <v>235</v>
      </c>
    </row>
    <row r="14" spans="1:4">
      <c r="A14" s="20">
        <v>1.1</v>
      </c>
      <c r="B14" s="21">
        <v>1</v>
      </c>
      <c r="C14" s="8" t="s">
        <v>236</v>
      </c>
    </row>
    <row r="15" spans="1:4">
      <c r="A15" s="22"/>
      <c r="B15" s="12">
        <v>2</v>
      </c>
      <c r="C15" s="11" t="s">
        <v>237</v>
      </c>
    </row>
    <row r="16" spans="1:4">
      <c r="A16" s="22"/>
      <c r="B16" s="12">
        <v>3</v>
      </c>
      <c r="C16" s="11" t="s">
        <v>238</v>
      </c>
    </row>
    <row r="17" spans="1:3">
      <c r="A17" s="22"/>
      <c r="B17" s="12">
        <v>4</v>
      </c>
      <c r="C17" s="11" t="s">
        <v>239</v>
      </c>
    </row>
    <row r="18" spans="1:3">
      <c r="A18" s="22"/>
      <c r="B18" s="12">
        <v>5</v>
      </c>
      <c r="C18" s="11" t="s">
        <v>240</v>
      </c>
    </row>
    <row r="19" spans="1:3">
      <c r="A19" s="22"/>
      <c r="B19" s="12">
        <v>6</v>
      </c>
      <c r="C19" s="11" t="s">
        <v>241</v>
      </c>
    </row>
    <row r="20" spans="1:3">
      <c r="A20" s="22"/>
      <c r="B20" s="12">
        <v>7</v>
      </c>
      <c r="C20" s="11" t="s">
        <v>242</v>
      </c>
    </row>
    <row r="21" spans="1:3">
      <c r="A21" s="22"/>
      <c r="B21" s="12"/>
      <c r="C21" s="11" t="s">
        <v>243</v>
      </c>
    </row>
    <row r="22" spans="1:3">
      <c r="A22" s="22"/>
      <c r="B22" s="12"/>
      <c r="C22" s="11" t="s">
        <v>244</v>
      </c>
    </row>
    <row r="23" spans="1:3">
      <c r="A23" s="22"/>
      <c r="B23" s="12">
        <v>8</v>
      </c>
      <c r="C23" s="11" t="s">
        <v>245</v>
      </c>
    </row>
    <row r="24" ht="14.25" spans="1:3">
      <c r="A24" s="23"/>
      <c r="B24" s="14"/>
      <c r="C24" s="15" t="s">
        <v>246</v>
      </c>
    </row>
    <row r="25" ht="14.25" spans="1:3">
      <c r="A25" s="16">
        <v>1.2</v>
      </c>
      <c r="B25" s="17">
        <v>1</v>
      </c>
      <c r="C25" s="18" t="s">
        <v>232</v>
      </c>
    </row>
    <row r="26" ht="14.25" spans="1:3">
      <c r="A26" s="16">
        <v>1.3</v>
      </c>
      <c r="B26" s="17">
        <v>1</v>
      </c>
      <c r="C26" s="18" t="s">
        <v>247</v>
      </c>
    </row>
    <row r="27" ht="14.25" spans="1:3">
      <c r="A27" s="24">
        <v>1.4</v>
      </c>
      <c r="B27" s="25">
        <v>1</v>
      </c>
      <c r="C27" s="26" t="s">
        <v>232</v>
      </c>
    </row>
  </sheetData>
  <mergeCells count="2">
    <mergeCell ref="A2:A8"/>
    <mergeCell ref="A14:A24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2026-07-02T05:51:57Z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