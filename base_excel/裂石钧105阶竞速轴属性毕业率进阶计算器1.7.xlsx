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<sst xmlns="http://schemas.openxmlformats.org/spreadsheetml/2006/main" count="3733" uniqueCount="225">
  <si>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</si>
  <si>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</si>
  <si>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</si>
  <si>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</si>
  <si>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</si>
  <si>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</si>
  <si>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</si>
  <si>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</si>
  <si>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</si>
  <si>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</si>
  <si>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</si>
  <si>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</si>
  <si>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</si>
  <si>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</si>
  <si>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</si>
  <si>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</si>
  <si>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</si>
  <si>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</si>
  <si>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</si>
  <si>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</si>
  <si>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</si>
  <si>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</si>
  <si>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</si>
  <si>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</si>
  <si>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</si>
  <si>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</si>
  <si>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</si>
  <si>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</si>
  <si>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</si>
  <si>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</si>
  <si>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</si>
  <si>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</si>
  <si>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</si>
  <si>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</si>
  <si>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</si>
  <si>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</si>
  <si>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</si>
  <si>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</si>
  <si>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</si>
  <si>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</si>
  <si>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</si>
  <si>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</si>
  <si>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</si>
  <si>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</si>
  <si>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</si>
  <si>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</si>
  <si>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</si>
  <si>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</si>
  <si>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</si>
  <si>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</si>
  <si>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</si>
  <si>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</si>
  <si>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</si>
  <si>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</si>
  <si>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</si>
  <si>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</si>
  <si>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</si>
  <si>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</si>
  <si>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</si>
  <si>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</si>
  <si>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</si>
  <si>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</si>
  <si>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</si>
  <si>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</si>
  <si>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</si>
  <si>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</si>
  <si>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</si>
  <si>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</si>
  <si>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断岳</t>
  </si>
  <si>
    <t>防御</t>
  </si>
  <si>
    <t>萧呤千浪流星</t>
  </si>
  <si>
    <t>易水歌1层</t>
  </si>
  <si>
    <t>N/a</t>
  </si>
  <si>
    <t>近战笛</t>
  </si>
  <si>
    <t>铁衣</t>
  </si>
  <si>
    <t>鸣金</t>
  </si>
  <si>
    <t>外抗</t>
  </si>
  <si>
    <t>易水歌2层</t>
  </si>
  <si>
    <t>胆寒</t>
  </si>
  <si>
    <t>惧刃</t>
  </si>
  <si>
    <t>穿喉5(普)</t>
  </si>
  <si>
    <t>陌刀</t>
  </si>
  <si>
    <t>属抗</t>
  </si>
  <si>
    <t>易水歌3层</t>
  </si>
  <si>
    <t>牵丝</t>
  </si>
  <si>
    <t>横刀</t>
  </si>
  <si>
    <t>易水歌4层</t>
  </si>
  <si>
    <t>破竹</t>
  </si>
  <si>
    <t>单体奇术</t>
  </si>
  <si>
    <t>易水歌5层</t>
  </si>
  <si>
    <t>铁花</t>
  </si>
  <si>
    <t>无相</t>
  </si>
  <si>
    <t>群体奇术</t>
  </si>
  <si>
    <t>横刀～</t>
  </si>
  <si>
    <t>精准率</t>
  </si>
  <si>
    <t>实际属性</t>
  </si>
  <si>
    <t>战斗时间</t>
  </si>
  <si>
    <t>白刃杀将刺</t>
  </si>
  <si>
    <t>会心率</t>
  </si>
  <si>
    <t>横刀安西军</t>
  </si>
  <si>
    <t>会意率</t>
  </si>
  <si>
    <t>总伤</t>
  </si>
  <si>
    <t>陌刀安西军下劈无开山</t>
  </si>
  <si>
    <t>穿喉4</t>
  </si>
  <si>
    <t>中程笛(小人)</t>
  </si>
  <si>
    <t>直接会心率</t>
  </si>
  <si>
    <t>陌刀安西军跳劈</t>
  </si>
  <si>
    <t>开山</t>
  </si>
  <si>
    <t>直接会意率</t>
  </si>
  <si>
    <t>ADPS</t>
  </si>
  <si>
    <t>加速陌刀三蓄</t>
  </si>
  <si>
    <t>穿喉5</t>
  </si>
  <si>
    <t>中程笛(蓄力)</t>
  </si>
  <si>
    <t>会心伤害加成</t>
  </si>
  <si>
    <t>陌刀安西军下劈</t>
  </si>
  <si>
    <t>会意伤害加成</t>
  </si>
  <si>
    <t>RDPS</t>
  </si>
  <si>
    <t>全武增</t>
  </si>
  <si>
    <t>团队增益</t>
  </si>
  <si>
    <t>首领增</t>
  </si>
  <si>
    <t>威</t>
  </si>
  <si>
    <t>√</t>
  </si>
  <si>
    <t>鬼掣帖</t>
  </si>
  <si>
    <t>毕业率</t>
  </si>
  <si>
    <t>陌刀增</t>
  </si>
  <si>
    <t>尘</t>
  </si>
  <si>
    <t>横刀增</t>
  </si>
  <si>
    <t>虹</t>
  </si>
  <si>
    <t>单体奇术增</t>
  </si>
  <si>
    <t>群体奇术增</t>
  </si>
  <si>
    <t>第四心法</t>
  </si>
  <si>
    <t>蓄力技定音</t>
  </si>
  <si>
    <t>易水歌</t>
  </si>
  <si>
    <t>固伤加成</t>
  </si>
  <si>
    <t>骑龙回马</t>
  </si>
  <si>
    <t>食物加成</t>
  </si>
  <si>
    <t>陌刀安西军跳劈无开山</t>
  </si>
  <si>
    <t>陌刀三蓄</t>
  </si>
  <si>
    <t>QQ</t>
  </si>
  <si>
    <t>燃此魂秒放</t>
  </si>
  <si>
    <t>笛</t>
  </si>
  <si>
    <t>陌刀安西军荡八荒</t>
  </si>
  <si>
    <t>前摇</t>
  </si>
  <si>
    <t>横刀Q1</t>
  </si>
  <si>
    <t>横刀Q2</t>
  </si>
  <si>
    <t>切武器</t>
  </si>
  <si>
    <t>叶龙骧首(32层+30%HP)</t>
  </si>
  <si>
    <t>气竭</t>
  </si>
  <si>
    <t>真气失衡</t>
  </si>
  <si>
    <t>加速三蓄</t>
  </si>
  <si>
    <t>陌刀一蓄(气竭)</t>
  </si>
  <si>
    <t>骑龙</t>
  </si>
  <si>
    <t>蓄3</t>
  </si>
  <si>
    <t>陌刀Q</t>
  </si>
  <si>
    <t>叶龙</t>
  </si>
  <si>
    <t>蓄1</t>
  </si>
  <si>
    <t>陌刀～</t>
  </si>
  <si>
    <t>玄</t>
  </si>
  <si>
    <t>易水歌6重</t>
  </si>
  <si>
    <t>DPS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</si>
  <si>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</si>
  <si>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</si>
  <si>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</si>
  <si>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</si>
  <si>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</si>
  <si>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</si>
  <si>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</si>
  <si>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</si>
  <si>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</si>
  <si>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</si>
  <si>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</si>
  <si>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</si>
  <si>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</si>
  <si>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</si>
  <si>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横刀重击派生</t>
  </si>
  <si>
    <t>横刀左蓄</t>
  </si>
  <si>
    <t>横刀易武</t>
  </si>
  <si>
    <t>蓄力技</t>
  </si>
  <si>
    <t>萧呤千浪AOE</t>
  </si>
  <si>
    <t>墨洗翰华(打盾)</t>
  </si>
  <si>
    <t>心法</t>
  </si>
  <si>
    <t>直接会心</t>
  </si>
  <si>
    <t>直接会意</t>
  </si>
  <si>
    <t>食物</t>
  </si>
  <si>
    <t>沧海帖1层</t>
  </si>
  <si>
    <t>沧海帖2层</t>
  </si>
  <si>
    <t>沧海帖3层</t>
  </si>
  <si>
    <t>沧海帖4层</t>
  </si>
  <si>
    <t>沧海帖5层</t>
  </si>
  <si>
    <t>沧海帖6层</t>
  </si>
  <si>
    <t>沧海帖7层</t>
  </si>
  <si>
    <t>沧海帖8层</t>
  </si>
  <si>
    <t>沧海帖9层</t>
  </si>
  <si>
    <t>沧海帖10层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</si>
  <si>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</si>
  <si>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</si>
  <si>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</si>
  <si>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</si>
  <si>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</si>
  <si>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</si>
  <si>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</si>
  <si>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</si>
  <si>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修正了默认会伤错误</t>
  </si>
  <si>
    <t>修正慢蓄倍率和断岳特效</t>
  </si>
  <si>
    <t>插入了一个笛子,后半能保住血量的话沧海帖略高0.5%</t>
  </si>
  <si>
    <t>修正了固伤加成没有计算的问题</t>
  </si>
  <si>
    <t>修改了错误的帖子名字</t>
  </si>
  <si>
    <t>PS:请使用支持xlookup函数的软件版本</t>
  </si>
  <si>
    <t>修正了bug</t>
  </si>
  <si>
    <t>修正属性固伤</t>
  </si>
  <si>
    <t>将轴缩短至97秒</t>
  </si>
  <si>
    <t>修改了一些公式以模板化计算器</t>
  </si>
  <si>
    <t>增加了第四心法选择,优化了一些填表步骤.</t>
  </si>
  <si>
    <t>注:即使生效会心大于70%,易水歌5重+特效依然比征人归5重+特效多1.4%</t>
  </si>
  <si>
    <t>而多的60小攻只有1.2%,这个差距会在长时间战斗且气竭次数变少时被拉近</t>
  </si>
  <si>
    <t>略微变更了轴,修复了一些小bug</t>
  </si>
  <si>
    <t>修正了公式bug</t>
  </si>
  <si>
    <t>略微修正增益</t>
  </si>
  <si>
    <t>修正了强制精准公式</t>
  </si>
  <si>
    <t>修正了三围溢出造成的错误</t>
  </si>
  <si>
    <t>修复了一些小bug</t>
  </si>
  <si>
    <t>更新6月12日先琢版本</t>
  </si>
  <si>
    <t>轴完全不变的情况下削弱1.6%,主要来自食物,调整属性仅不到0.1%</t>
  </si>
  <si>
    <t>气竭铁花乘区修改+1.3%</t>
  </si>
  <si>
    <t>增加了一个隐藏表来计算实际rdps,以减少需要去掉团队增益的操作步骤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</si>
</sst>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6">
      <alignment vertical="center"/>
    </xf>
    <xf numFmtId="0" fontId="7" fillId="0" borderId="16">
      <alignment vertical="center"/>
    </xf>
    <xf numFmtId="0" fontId="8" fillId="0" borderId="17">
      <alignment vertical="center"/>
    </xf>
    <xf numFmtId="0" fontId="8" fillId="0" borderId="0">
      <alignment vertical="center"/>
    </xf>
    <xf numFmtId="0" fontId="9" fillId="8" borderId="18">
      <alignment vertical="center"/>
    </xf>
    <xf numFmtId="0" fontId="10" fillId="9" borderId="19">
      <alignment vertical="center"/>
    </xf>
    <xf numFmtId="0" fontId="11" fillId="9" borderId="18">
      <alignment vertical="center"/>
    </xf>
    <xf numFmtId="0" fontId="12" fillId="10" borderId="20">
      <alignment vertical="center"/>
    </xf>
    <xf numFmtId="0" fontId="13" fillId="0" borderId="21">
      <alignment vertical="center"/>
    </xf>
    <xf numFmtId="0" fontId="14" fillId="0" borderId="22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9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rgb="FFFF0000"/>
      </font>
      <fill>
        <patternFill patternType="solid">
          <bgColor theme="0"/>
        </patternFill>
      </fill>
    </dxf>
    <dxf>
      <font>
        <b val="1"/>
        <i val="0"/>
        <color rgb="FF00B05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J29" sqref="J29"/>
    </sheetView>
  </sheetViews>
  <sheetFormatPr defaultColWidth="9" defaultRowHeight="13.5"/>
  <cols>
    <col min="1" max="1" width="12.875" customWidth="1"/>
    <col min="11" max="15" width="12.625" style="24" customWidth="1"/>
    <col min="17" max="17" width="24.625" style="29" customWidth="1"/>
    <col min="18" max="32" width="9" style="29"/>
    <col min="34" max="34" width="9" style="23"/>
    <col min="35" max="35" width="9" style="24"/>
    <col min="36" max="36" width="9" style="23"/>
    <col min="37" max="37" width="9" style="24"/>
    <col min="38" max="39" width="9" style="23"/>
    <col min="42" max="44" width="9" style="30"/>
    <col min="47" max="48" width="9" style="30"/>
    <col min="61" max="65" width="9" style="23"/>
    <col min="66" max="67" width="9.00833333333333" style="23" customWidth="1"/>
    <col min="68" max="69" width="9" style="23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3" t="s">
        <v>30</v>
      </c>
      <c r="AI1" s="24" t="s">
        <v>31</v>
      </c>
      <c r="AJ1" s="23" t="s">
        <v>32</v>
      </c>
      <c r="AK1" s="24" t="s">
        <v>33</v>
      </c>
      <c r="AL1" s="23" t="s">
        <v>34</v>
      </c>
      <c r="AM1" s="23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3" t="s">
        <v>57</v>
      </c>
      <c r="BJ1" s="23" t="s">
        <v>58</v>
      </c>
      <c r="BK1" s="23" t="s">
        <v>59</v>
      </c>
      <c r="BL1" s="23" t="s">
        <v>60</v>
      </c>
      <c r="BM1" s="23" t="s">
        <v>61</v>
      </c>
      <c r="BN1" s="23" t="s">
        <v>62</v>
      </c>
      <c r="BO1" s="23" t="s">
        <v>63</v>
      </c>
      <c r="BP1" s="23" t="s">
        <v>64</v>
      </c>
      <c r="BQ1" s="23" t="s">
        <v>65</v>
      </c>
    </row>
    <row r="2" spans="1:69">
      <c r="A2" s="39" t="s">
        <v>66</v>
      </c>
      <c r="B2" s="29">
        <v>3417.8</v>
      </c>
      <c r="C2" s="29">
        <v>2547.3</v>
      </c>
      <c r="D2" s="29">
        <f>58.4+IF($C$21="征人归",5.1,0)</f>
        <v>58.4</v>
      </c>
      <c r="E2" s="40"/>
      <c r="F2" s="41" t="s">
        <v>67</v>
      </c>
      <c r="G2" s="42" t="s">
        <v>68</v>
      </c>
      <c r="H2" s="43" t="s">
        <v>69</v>
      </c>
      <c r="I2" s="11">
        <f>559*IF(D17="√",0.94,1)</f>
        <v>525.46</v>
      </c>
      <c r="K2" s="36">
        <f>($L2*$BN2+$M2*$BL2+$N2*$BO2+$O2*$BP2)</f>
        <v>22941.8195216979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25119.62536077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21716.42594696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14354.0716347257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12621.9018272588</v>
      </c>
      <c r="P2" s="37">
        <v>1</v>
      </c>
      <c r="Q2" s="38" t="s">
        <v>70</v>
      </c>
      <c r="R2" s="38" t="s">
        <v>71</v>
      </c>
      <c r="S2" s="38" t="s">
        <v>72</v>
      </c>
      <c r="T2" s="38" t="s">
        <v>72</v>
      </c>
      <c r="U2" s="38" t="s">
        <v>72</v>
      </c>
      <c r="V2" s="38" t="s">
        <v>72</v>
      </c>
      <c r="W2" s="38" t="s">
        <v>73</v>
      </c>
      <c r="X2" s="38" t="s">
        <v>72</v>
      </c>
      <c r="Y2" s="38" t="s">
        <v>72</v>
      </c>
      <c r="Z2" s="38" t="s">
        <v>72</v>
      </c>
      <c r="AA2" s="38" t="s">
        <v>72</v>
      </c>
      <c r="AB2" s="38" t="s">
        <v>72</v>
      </c>
      <c r="AC2" s="38" t="s">
        <v>72</v>
      </c>
      <c r="AD2" s="38" t="s">
        <v>72</v>
      </c>
      <c r="AE2" s="38" t="s">
        <v>72</v>
      </c>
      <c r="AF2" s="38" t="s">
        <v>74</v>
      </c>
      <c r="AG2" t="str">
        <f>VLOOKUP($Q2,武学奇术!$A:$ZZ,25,FALSE)</f>
        <v>群体奇术</v>
      </c>
      <c r="AH2" s="23">
        <f>VLOOKUP($Q2,武学奇术!$A:$ZZ,26,FALSE)</f>
        <v>1.4902</v>
      </c>
      <c r="AI2" s="24">
        <f>VLOOKUP($Q2,武学奇术!$A:$ZZ,27,FALSE)*(1+IF(OR($AG2=$F$4,$AG2=$F$5),$B$22,0))</f>
        <v>358</v>
      </c>
      <c r="AJ2" s="23">
        <f>VLOOKUP($Q2,武学奇术!$A:$ZZ,28,FALSE)</f>
        <v>2.2353</v>
      </c>
      <c r="AK2" s="24">
        <f>VLOOKUP($Q2,武学奇术!$A:$ZZ,29,FALSE)*(1+IF(OR($AG2=$F$4,$AG2=$F$5),$B$22,0))</f>
        <v>0</v>
      </c>
      <c r="AL2" s="23" cm="1">
        <f t="array" ref="AL2">$G$3+VLOOKUP($AG2,$F$4:$G$7,2,FALSE)+VLOOKUP($Q2,武学奇术!$A:$ZZ,2,FALSE)+SUM(_xlfn.XLOOKUP($R2:$AF2,增益!$A:$A,增益!$B:$B,0))</f>
        <v>0.493</v>
      </c>
      <c r="AM2" s="23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3052.34</v>
      </c>
      <c r="AO2" cm="1">
        <f t="array" ref="AO2">$E$10*(1+$AM2)+VLOOKUP($Q2,武学奇术!$A:$ZZ,4,FALSE)+SUM(_xlfn.XLOOKUP($R2:$AF2,增益!$A:$A,增益!$D:$D,0))-$I$2</f>
        <v>3052.34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0.352</v>
      </c>
      <c r="AQ2" s="30" cm="1">
        <f t="array" ref="AQ2">$G$10+VLOOKUP($Q2,武学奇术!$A:$ZZ,7,FALSE)+SUM(_xlfn.XLOOKUP(R2:AF2,增益!$A:$A,增益!$G:$G,0))</f>
        <v>0</v>
      </c>
      <c r="AR2" s="23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-0.24</v>
      </c>
      <c r="AV2" s="30" cm="1">
        <f t="array" ref="AV2">$G$11+VLOOKUP($Q2,武学奇术!$A:$ZZ,10,FALSE)+SUM(_xlfn.XLOOKUP(R2:AF2,增益!$A:$A,增益!$J:$J,0))</f>
        <v>0</v>
      </c>
      <c r="AW2">
        <f>$D$12*(1+$AR2)</f>
        <v>634.5</v>
      </c>
      <c r="AX2">
        <f>$E$12*(1+$AR2)</f>
        <v>1443.3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0.118</v>
      </c>
      <c r="AZ2" s="30" cm="1">
        <f t="array" ref="AZ2">$G$12+VLOOKUP($Q2,武学奇术!$A:$ZZ,12,FALSE)+SUM(_xlfn.XLOOKUP(R2:AF2,增益!$A:$A,增益!$L:$L,0))</f>
        <v>0.148</v>
      </c>
      <c r="BA2">
        <f>$D$13*(1+$AR2)</f>
        <v>0</v>
      </c>
      <c r="BB2">
        <f>$E$13*(1+$AR2)</f>
        <v>0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-0.24</v>
      </c>
      <c r="BD2" s="30" cm="1">
        <f t="array" ref="BD2">$G$13+VLOOKUP($Q2,武学奇术!$A:$ZZ,14,FALSE)+SUM(_xlfn.XLOOKUP(R2:AF2,增益!$A:$A,增益!$N:$N,0))</f>
        <v>0</v>
      </c>
      <c r="BE2">
        <f>$D$14*(1+$AR2)</f>
        <v>0</v>
      </c>
      <c r="BF2">
        <f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-0.24</v>
      </c>
      <c r="BH2" s="30" cm="1">
        <f t="array" ref="BH2">$G$14+VLOOKUP($Q2,武学奇术!$A:$ZZ,16,FALSE)+SUM(_xlfn.XLOOKUP(R2:AF2,增益!$A:$A,增益!$P:$P,0))</f>
        <v>0</v>
      </c>
      <c r="BI2" s="23">
        <f>MIN(IF(VLOOKUP($Q2,武学奇术!$A:$ZZ,23,FALSE)=1,100%,$B$8),100%)</f>
        <v>0.8626</v>
      </c>
      <c r="BJ2" s="23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0.8697</v>
      </c>
      <c r="BK2" s="23" cm="1">
        <f t="array" ref="BK2">1+$B$13+VLOOKUP($Q2,武学奇术!$A:$ZZ,18,FALSE)+SUM(_xlfn.XLOOKUP(R2:AF2,增益!$A:$A,增益!$R:$R,0))</f>
        <v>1.75</v>
      </c>
      <c r="BL2" s="23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0.0986</v>
      </c>
      <c r="BM2" s="23" cm="1">
        <f t="array" ref="BM2">1+$B$14+VLOOKUP($Q2,武学奇术!$A:$ZZ,20,FALSE)+SUM(_xlfn.XLOOKUP(R2:AF2,增益!$A:$A,增益!$T:$T,0))</f>
        <v>1.35</v>
      </c>
      <c r="BN2" s="23">
        <f>MIN((1-BL2)*BI2,BI2*BJ2)</f>
        <v>0.75020322</v>
      </c>
      <c r="BO2" s="23">
        <f>1-BL2-BN2-BP2</f>
        <v>0.0273444200000001</v>
      </c>
      <c r="BP2" s="23">
        <f>IF(VLOOKUP($Q2,武学奇术!$A:$ZZ,22,FALSE)=1,0,(1-$BI2))*(1-$BL2)</f>
        <v>0.12385236</v>
      </c>
      <c r="BQ2" s="23" cm="1">
        <f t="array" ref="BQ2">SUM(_xlfn.XLOOKUP(R2:AF2,增益!$A:$A,增益!$W:$W,0))</f>
        <v>0</v>
      </c>
    </row>
    <row r="3" spans="1:69">
      <c r="A3" s="44" t="s">
        <v>75</v>
      </c>
      <c r="B3" s="45"/>
      <c r="C3" s="45"/>
      <c r="D3" s="45"/>
      <c r="E3" s="46"/>
      <c r="F3" s="43" t="s">
        <v>34</v>
      </c>
      <c r="G3" s="47">
        <f>B16+1.5%+15%+IF(G2="断岳",5%,0)+IF($D$16="√",8%,0)+IF($C$21="征人归",8%,0)</f>
        <v>0.383</v>
      </c>
      <c r="H3" s="43" t="s">
        <v>76</v>
      </c>
      <c r="I3" s="11">
        <f>20-IF(D17="√",18,0)</f>
        <v>2</v>
      </c>
      <c r="K3" s="36">
        <f t="shared" ref="K3:K34" si="0">($L3*$BN3+$M3*$BL3+$N3*$BO3+$O3*$BP3)</f>
        <v>28844.0646492912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31889.612326772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26129.0078767619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17237.6282847416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15120.43592003</v>
      </c>
      <c r="P3" s="37">
        <v>1</v>
      </c>
      <c r="Q3" s="38" t="s">
        <v>70</v>
      </c>
      <c r="R3" s="38" t="s">
        <v>77</v>
      </c>
      <c r="S3" s="38" t="s">
        <v>78</v>
      </c>
      <c r="T3" s="38" t="s">
        <v>79</v>
      </c>
      <c r="U3" s="38" t="s">
        <v>80</v>
      </c>
      <c r="V3" s="38" t="s">
        <v>72</v>
      </c>
      <c r="W3" s="38" t="s">
        <v>73</v>
      </c>
      <c r="X3" s="38" t="s">
        <v>72</v>
      </c>
      <c r="Y3" s="38" t="s">
        <v>72</v>
      </c>
      <c r="Z3" s="38" t="s">
        <v>72</v>
      </c>
      <c r="AA3" s="38" t="s">
        <v>72</v>
      </c>
      <c r="AB3" s="38" t="s">
        <v>72</v>
      </c>
      <c r="AC3" s="38" t="s">
        <v>72</v>
      </c>
      <c r="AD3" s="38" t="s">
        <v>72</v>
      </c>
      <c r="AE3" s="38" t="s">
        <v>72</v>
      </c>
      <c r="AF3" s="38" t="s">
        <v>74</v>
      </c>
      <c r="AG3" t="str">
        <f>VLOOKUP($Q3,武学奇术!$A:$ZZ,25,FALSE)</f>
        <v>群体奇术</v>
      </c>
      <c r="AH3" s="23">
        <f>VLOOKUP($Q3,武学奇术!$A:$ZZ,26,FALSE)</f>
        <v>1.4902</v>
      </c>
      <c r="AI3" s="24">
        <f>VLOOKUP($Q3,武学奇术!$A:$ZZ,27,FALSE)*(1+IF(OR($AG3=$F$4,$AG3=$F$5),$B$22,0))</f>
        <v>358</v>
      </c>
      <c r="AJ3" s="23">
        <f>VLOOKUP($Q3,武学奇术!$A:$ZZ,28,FALSE)</f>
        <v>2.2353</v>
      </c>
      <c r="AK3" s="24">
        <f>VLOOKUP($Q3,武学奇术!$A:$ZZ,29,FALSE)*(1+IF(OR($AG3=$F$4,$AG3=$F$5),$B$22,0))</f>
        <v>0</v>
      </c>
      <c r="AL3" s="23" cm="1">
        <f t="array" ref="AL3">$G$3+IFERROR(VLOOKUP($AG3,$F$4:$G$7,2,FALSE),0)+VLOOKUP($Q3,武学奇术!$A:$ZZ,2,FALSE)+SUM(_xlfn.XLOOKUP($R3:$AF3,增益!$A:$A,增益!$B:$B,0))</f>
        <v>0.703</v>
      </c>
      <c r="AM3" s="23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3052.34</v>
      </c>
      <c r="AO3" cm="1">
        <f t="array" ref="AO3">$E$10*(1+$AM3)+VLOOKUP($Q3,武学奇术!$A:$ZZ,4,FALSE)+SUM(_xlfn.XLOOKUP($R3:$AF3,增益!$A:$A,增益!$D:$D,0))-$I$2</f>
        <v>3052.34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0.412</v>
      </c>
      <c r="AQ3" s="30" cm="1">
        <f t="array" ref="AQ3">$G$10+VLOOKUP($Q3,武学奇术!$A:$ZZ,7,FALSE)+SUM(_xlfn.XLOOKUP(R3:AF3,增益!$A:$A,增益!$G:$G,0))</f>
        <v>0</v>
      </c>
      <c r="AR3" s="23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-0.08</v>
      </c>
      <c r="AV3" s="30" cm="1">
        <f t="array" ref="AV3">$G$11+VLOOKUP($Q3,武学奇术!$A:$ZZ,10,FALSE)+SUM(_xlfn.XLOOKUP(R3:AF3,增益!$A:$A,增益!$J:$J,0))</f>
        <v>0</v>
      </c>
      <c r="AW3">
        <f t="shared" ref="AW3:AW43" si="3">$D$12*(1+$AR3)</f>
        <v>634.5</v>
      </c>
      <c r="AX3">
        <f t="shared" ref="AX3:AX43" si="4">$E$12*(1+$AR3)</f>
        <v>1443.3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0.198</v>
      </c>
      <c r="AZ3" s="30" cm="1">
        <f t="array" ref="AZ3">$G$12+VLOOKUP($Q3,武学奇术!$A:$ZZ,12,FALSE)+SUM(_xlfn.XLOOKUP(R3:AF3,增益!$A:$A,增益!$L:$L,0))</f>
        <v>0.148</v>
      </c>
      <c r="BA3">
        <f t="shared" ref="BA3:BA34" si="5">$D$13*(1+$AR3)</f>
        <v>0</v>
      </c>
      <c r="BB3">
        <f t="shared" ref="BB3:BB34" si="6">$E$13*(1+$AR3)</f>
        <v>0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-0.08</v>
      </c>
      <c r="BD3" s="30" cm="1">
        <f t="array" ref="BD3">$G$13+VLOOKUP($Q3,武学奇术!$A:$ZZ,14,FALSE)+SUM(_xlfn.XLOOKUP(R3:AF3,增益!$A:$A,增益!$N:$N,0))</f>
        <v>0</v>
      </c>
      <c r="BE3">
        <f t="shared" ref="BE3:BE34" si="7">$D$14*(1+$AR3)</f>
        <v>0</v>
      </c>
      <c r="BF3">
        <f t="shared" ref="BF3:BF34" si="8">$E$14*(1+$AR3)</f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-0.08</v>
      </c>
      <c r="BH3" s="30" cm="1">
        <f t="array" ref="BH3">$G$14+VLOOKUP($Q3,武学奇术!$A:$ZZ,16,FALSE)+SUM(_xlfn.XLOOKUP(R3:AF3,增益!$A:$A,增益!$P:$P,0))</f>
        <v>0</v>
      </c>
      <c r="BI3" s="23">
        <f>MIN(IF(VLOOKUP($Q3,武学奇术!$A:$ZZ,23,FALSE)=1,100%,$B$8),100%)</f>
        <v>0.8626</v>
      </c>
      <c r="BJ3" s="23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0.8697</v>
      </c>
      <c r="BK3" s="23" cm="1">
        <f t="array" ref="BK3">1+$B$13+VLOOKUP($Q3,武学奇术!$A:$ZZ,18,FALSE)+SUM(_xlfn.XLOOKUP(R3:AF3,增益!$A:$A,增益!$R:$R,0))</f>
        <v>1.85</v>
      </c>
      <c r="BL3" s="23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0.0986</v>
      </c>
      <c r="BM3" s="23" cm="1">
        <f t="array" ref="BM3">1+$B$14+VLOOKUP($Q3,武学奇术!$A:$ZZ,20,FALSE)+SUM(_xlfn.XLOOKUP(R3:AF3,增益!$A:$A,增益!$T:$T,0))</f>
        <v>1.35</v>
      </c>
      <c r="BN3" s="23">
        <f t="shared" ref="BN3:BN27" si="9">MIN((1-BL3)*BI3,BI3*BJ3)</f>
        <v>0.75020322</v>
      </c>
      <c r="BO3" s="23">
        <f t="shared" ref="BO3:BO34" si="10">1-BL3-BN3-BP3</f>
        <v>0.0273444200000001</v>
      </c>
      <c r="BP3" s="23">
        <f>IF(VLOOKUP($Q3,武学奇术!$A:$ZZ,22,FALSE)=1,0,(1-$BI3))*(1-$BL3)</f>
        <v>0.12385236</v>
      </c>
      <c r="BQ3" s="23" cm="1">
        <f t="array" ref="BQ3">SUM(_xlfn.XLOOKUP(R3:AF3,增益!$A:$A,增益!$W:$W,0))</f>
        <v>0</v>
      </c>
    </row>
    <row r="4" ht="14.25" spans="1:69">
      <c r="A4" s="48" t="s">
        <v>5</v>
      </c>
      <c r="B4" s="49">
        <v>508.7</v>
      </c>
      <c r="C4" s="49">
        <v>1257.7</v>
      </c>
      <c r="D4" s="49">
        <v>35.6</v>
      </c>
      <c r="E4" s="50">
        <v>0.148</v>
      </c>
      <c r="F4" s="43" t="s">
        <v>81</v>
      </c>
      <c r="G4" s="47">
        <f>B15+B17</f>
        <v>0.17</v>
      </c>
      <c r="H4" s="51" t="s">
        <v>82</v>
      </c>
      <c r="I4" s="14">
        <v>24</v>
      </c>
      <c r="K4" s="36">
        <f t="shared" si="0"/>
        <v>29153.9836979623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32232.3603451295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26395.9046760234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17422.8974838538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15293.272985468</v>
      </c>
      <c r="P4" s="37">
        <v>1</v>
      </c>
      <c r="Q4" s="38" t="s">
        <v>70</v>
      </c>
      <c r="R4" s="38" t="s">
        <v>83</v>
      </c>
      <c r="S4" s="38" t="s">
        <v>78</v>
      </c>
      <c r="T4" s="38" t="s">
        <v>79</v>
      </c>
      <c r="U4" s="38" t="s">
        <v>80</v>
      </c>
      <c r="V4" s="38" t="s">
        <v>72</v>
      </c>
      <c r="W4" s="38" t="s">
        <v>73</v>
      </c>
      <c r="X4" s="38" t="s">
        <v>72</v>
      </c>
      <c r="Y4" s="38" t="s">
        <v>72</v>
      </c>
      <c r="Z4" s="38" t="s">
        <v>72</v>
      </c>
      <c r="AA4" s="38" t="s">
        <v>72</v>
      </c>
      <c r="AB4" s="38" t="s">
        <v>72</v>
      </c>
      <c r="AC4" s="38" t="s">
        <v>72</v>
      </c>
      <c r="AD4" s="38" t="s">
        <v>72</v>
      </c>
      <c r="AE4" s="38" t="s">
        <v>72</v>
      </c>
      <c r="AF4" s="38" t="s">
        <v>74</v>
      </c>
      <c r="AG4" t="str">
        <f>VLOOKUP($Q4,武学奇术!$A:$ZZ,25,FALSE)</f>
        <v>群体奇术</v>
      </c>
      <c r="AH4" s="23">
        <f>VLOOKUP($Q4,武学奇术!$A:$ZZ,26,FALSE)</f>
        <v>1.4902</v>
      </c>
      <c r="AI4" s="24">
        <f>VLOOKUP($Q4,武学奇术!$A:$ZZ,27,FALSE)*(1+IF(OR($AG4=$F$4,$AG4=$F$5),$B$22,0))</f>
        <v>358</v>
      </c>
      <c r="AJ4" s="23">
        <f>VLOOKUP($Q4,武学奇术!$A:$ZZ,28,FALSE)</f>
        <v>2.2353</v>
      </c>
      <c r="AK4" s="24">
        <f>VLOOKUP($Q4,武学奇术!$A:$ZZ,29,FALSE)*(1+IF(OR($AG4=$F$4,$AG4=$F$5),$B$22,0))</f>
        <v>0</v>
      </c>
      <c r="AL4" s="23" cm="1">
        <f t="array" ref="AL4">$G$3+IFERROR(VLOOKUP($AG4,$F$4:$G$7,2,FALSE),0)+VLOOKUP($Q4,武学奇术!$A:$ZZ,2,FALSE)+SUM(_xlfn.XLOOKUP($R4:$AF4,增益!$A:$A,增益!$B:$B,0))</f>
        <v>0.713</v>
      </c>
      <c r="AM4" s="23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3052.34</v>
      </c>
      <c r="AO4" cm="1">
        <f t="array" ref="AO4">$E$10*(1+$AM4)+VLOOKUP($Q4,武学奇术!$A:$ZZ,4,FALSE)+SUM(_xlfn.XLOOKUP($R4:$AF4,增益!$A:$A,增益!$D:$D,0))-$I$2</f>
        <v>3052.34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0.422</v>
      </c>
      <c r="AQ4" s="30" cm="1">
        <f t="array" ref="AQ4">$G$10+VLOOKUP($Q4,武学奇术!$A:$ZZ,7,FALSE)+SUM(_xlfn.XLOOKUP(R4:AF4,增益!$A:$A,增益!$G:$G,0))</f>
        <v>0</v>
      </c>
      <c r="AR4" s="23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-0.08</v>
      </c>
      <c r="AV4" s="30" cm="1">
        <f t="array" ref="AV4">$G$11+VLOOKUP($Q4,武学奇术!$A:$ZZ,10,FALSE)+SUM(_xlfn.XLOOKUP(R4:AF4,增益!$A:$A,增益!$J:$J,0))</f>
        <v>0</v>
      </c>
      <c r="AW4">
        <f t="shared" si="3"/>
        <v>634.5</v>
      </c>
      <c r="AX4">
        <f t="shared" si="4"/>
        <v>1443.3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0.198</v>
      </c>
      <c r="AZ4" s="30" cm="1">
        <f t="array" ref="AZ4">$G$12+VLOOKUP($Q4,武学奇术!$A:$ZZ,12,FALSE)+SUM(_xlfn.XLOOKUP(R4:AF4,增益!$A:$A,增益!$L:$L,0))</f>
        <v>0.148</v>
      </c>
      <c r="BA4">
        <f t="shared" si="5"/>
        <v>0</v>
      </c>
      <c r="BB4">
        <f t="shared" si="6"/>
        <v>0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-0.08</v>
      </c>
      <c r="BD4" s="30" cm="1">
        <f t="array" ref="BD4">$G$13+VLOOKUP($Q4,武学奇术!$A:$ZZ,14,FALSE)+SUM(_xlfn.XLOOKUP(R4:AF4,增益!$A:$A,增益!$N:$N,0))</f>
        <v>0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-0.08</v>
      </c>
      <c r="BH4" s="30" cm="1">
        <f t="array" ref="BH4">$G$14+VLOOKUP($Q4,武学奇术!$A:$ZZ,16,FALSE)+SUM(_xlfn.XLOOKUP(R4:AF4,增益!$A:$A,增益!$P:$P,0))</f>
        <v>0</v>
      </c>
      <c r="BI4" s="23">
        <f>MIN(IF(VLOOKUP($Q4,武学奇术!$A:$ZZ,23,FALSE)=1,100%,$B$8),100%)</f>
        <v>0.8626</v>
      </c>
      <c r="BJ4" s="23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0.8697</v>
      </c>
      <c r="BK4" s="23" cm="1">
        <f t="array" ref="BK4">1+$B$13+VLOOKUP($Q4,武学奇术!$A:$ZZ,18,FALSE)+SUM(_xlfn.XLOOKUP(R4:AF4,增益!$A:$A,增益!$R:$R,0))</f>
        <v>1.85</v>
      </c>
      <c r="BL4" s="23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0.0986</v>
      </c>
      <c r="BM4" s="23" cm="1">
        <f t="array" ref="BM4">1+$B$14+VLOOKUP($Q4,武学奇术!$A:$ZZ,20,FALSE)+SUM(_xlfn.XLOOKUP(R4:AF4,增益!$A:$A,增益!$T:$T,0))</f>
        <v>1.35</v>
      </c>
      <c r="BN4" s="23">
        <f t="shared" si="9"/>
        <v>0.75020322</v>
      </c>
      <c r="BO4" s="23">
        <f t="shared" si="10"/>
        <v>0.0273444200000001</v>
      </c>
      <c r="BP4" s="23">
        <f>IF(VLOOKUP($Q4,武学奇术!$A:$ZZ,22,FALSE)=1,0,(1-$BI4))*(1-$BL4)</f>
        <v>0.12385236</v>
      </c>
      <c r="BQ4" s="23" cm="1">
        <f t="array" ref="BQ4">SUM(_xlfn.XLOOKUP(R4:AF4,增益!$A:$A,增益!$W:$W,0))</f>
        <v>0</v>
      </c>
    </row>
    <row r="5" spans="1:69">
      <c r="A5" s="52" t="s">
        <v>84</v>
      </c>
      <c r="B5" s="53"/>
      <c r="C5" s="53"/>
      <c r="D5" s="53"/>
      <c r="E5" s="54"/>
      <c r="F5" s="43" t="s">
        <v>85</v>
      </c>
      <c r="G5" s="47">
        <f>B15+B18</f>
        <v>0.084</v>
      </c>
      <c r="K5" s="36">
        <f t="shared" si="0"/>
        <v>29465.5436920163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32576.9238044021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26664.1262564933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17609.1480023795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15467.0913703195</v>
      </c>
      <c r="P5" s="37">
        <v>1</v>
      </c>
      <c r="Q5" s="38" t="s">
        <v>70</v>
      </c>
      <c r="R5" s="38" t="s">
        <v>86</v>
      </c>
      <c r="S5" s="38" t="s">
        <v>78</v>
      </c>
      <c r="T5" s="38" t="s">
        <v>79</v>
      </c>
      <c r="U5" s="38" t="s">
        <v>80</v>
      </c>
      <c r="V5" s="38" t="s">
        <v>72</v>
      </c>
      <c r="W5" s="38" t="s">
        <v>73</v>
      </c>
      <c r="X5" s="38" t="s">
        <v>72</v>
      </c>
      <c r="Y5" s="38" t="s">
        <v>72</v>
      </c>
      <c r="Z5" s="38" t="s">
        <v>72</v>
      </c>
      <c r="AA5" s="38" t="s">
        <v>72</v>
      </c>
      <c r="AB5" s="38" t="s">
        <v>72</v>
      </c>
      <c r="AC5" s="38" t="s">
        <v>72</v>
      </c>
      <c r="AD5" s="38" t="s">
        <v>72</v>
      </c>
      <c r="AE5" s="38" t="s">
        <v>72</v>
      </c>
      <c r="AF5" s="38" t="s">
        <v>74</v>
      </c>
      <c r="AG5" t="str">
        <f>VLOOKUP($Q5,武学奇术!$A:$ZZ,25,FALSE)</f>
        <v>群体奇术</v>
      </c>
      <c r="AH5" s="23">
        <f>VLOOKUP($Q5,武学奇术!$A:$ZZ,26,FALSE)</f>
        <v>1.4902</v>
      </c>
      <c r="AI5" s="24">
        <f>VLOOKUP($Q5,武学奇术!$A:$ZZ,27,FALSE)*(1+IF(OR($AG5=$F$4,$AG5=$F$5),$B$22,0))</f>
        <v>358</v>
      </c>
      <c r="AJ5" s="23">
        <f>VLOOKUP($Q5,武学奇术!$A:$ZZ,28,FALSE)</f>
        <v>2.2353</v>
      </c>
      <c r="AK5" s="24">
        <f>VLOOKUP($Q5,武学奇术!$A:$ZZ,29,FALSE)*(1+IF(OR($AG5=$F$4,$AG5=$F$5),$B$22,0))</f>
        <v>0</v>
      </c>
      <c r="AL5" s="23" cm="1">
        <f t="array" ref="AL5">$G$3+IFERROR(VLOOKUP($AG5,$F$4:$G$7,2,FALSE),0)+VLOOKUP($Q5,武学奇术!$A:$ZZ,2,FALSE)+SUM(_xlfn.XLOOKUP($R5:$AF5,增益!$A:$A,增益!$B:$B,0))</f>
        <v>0.723</v>
      </c>
      <c r="AM5" s="23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3052.34</v>
      </c>
      <c r="AO5" cm="1">
        <f t="array" ref="AO5">$E$10*(1+$AM5)+VLOOKUP($Q5,武学奇术!$A:$ZZ,4,FALSE)+SUM(_xlfn.XLOOKUP($R5:$AF5,增益!$A:$A,增益!$D:$D,0))-$I$2</f>
        <v>3052.34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0.432</v>
      </c>
      <c r="AQ5" s="30" cm="1">
        <f t="array" ref="AQ5">$G$10+VLOOKUP($Q5,武学奇术!$A:$ZZ,7,FALSE)+SUM(_xlfn.XLOOKUP(R5:AF5,增益!$A:$A,增益!$G:$G,0))</f>
        <v>0</v>
      </c>
      <c r="AR5" s="23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-0.08</v>
      </c>
      <c r="AV5" s="30" cm="1">
        <f t="array" ref="AV5">$G$11+VLOOKUP($Q5,武学奇术!$A:$ZZ,10,FALSE)+SUM(_xlfn.XLOOKUP(R5:AF5,增益!$A:$A,增益!$J:$J,0))</f>
        <v>0</v>
      </c>
      <c r="AW5">
        <f t="shared" si="3"/>
        <v>634.5</v>
      </c>
      <c r="AX5">
        <f t="shared" si="4"/>
        <v>1443.3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0.198</v>
      </c>
      <c r="AZ5" s="30" cm="1">
        <f t="array" ref="AZ5">$G$12+VLOOKUP($Q5,武学奇术!$A:$ZZ,12,FALSE)+SUM(_xlfn.XLOOKUP(R5:AF5,增益!$A:$A,增益!$L:$L,0))</f>
        <v>0.148</v>
      </c>
      <c r="BA5">
        <f t="shared" si="5"/>
        <v>0</v>
      </c>
      <c r="BB5">
        <f t="shared" si="6"/>
        <v>0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-0.08</v>
      </c>
      <c r="BD5" s="30" cm="1">
        <f t="array" ref="BD5">$G$13+VLOOKUP($Q5,武学奇术!$A:$ZZ,14,FALSE)+SUM(_xlfn.XLOOKUP(R5:AF5,增益!$A:$A,增益!$N:$N,0))</f>
        <v>0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-0.08</v>
      </c>
      <c r="BH5" s="30" cm="1">
        <f t="array" ref="BH5">$G$14+VLOOKUP($Q5,武学奇术!$A:$ZZ,16,FALSE)+SUM(_xlfn.XLOOKUP(R5:AF5,增益!$A:$A,增益!$P:$P,0))</f>
        <v>0</v>
      </c>
      <c r="BI5" s="23">
        <f>MIN(IF(VLOOKUP($Q5,武学奇术!$A:$ZZ,23,FALSE)=1,100%,$B$8),100%)</f>
        <v>0.8626</v>
      </c>
      <c r="BJ5" s="23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0.8697</v>
      </c>
      <c r="BK5" s="23" cm="1">
        <f t="array" ref="BK5">1+$B$13+VLOOKUP($Q5,武学奇术!$A:$ZZ,18,FALSE)+SUM(_xlfn.XLOOKUP(R5:AF5,增益!$A:$A,增益!$R:$R,0))</f>
        <v>1.85</v>
      </c>
      <c r="BL5" s="23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0.0986</v>
      </c>
      <c r="BM5" s="23" cm="1">
        <f t="array" ref="BM5">1+$B$14+VLOOKUP($Q5,武学奇术!$A:$ZZ,20,FALSE)+SUM(_xlfn.XLOOKUP(R5:AF5,增益!$A:$A,增益!$T:$T,0))</f>
        <v>1.35</v>
      </c>
      <c r="BN5" s="23">
        <f t="shared" si="9"/>
        <v>0.75020322</v>
      </c>
      <c r="BO5" s="23">
        <f t="shared" si="10"/>
        <v>0.0273444200000001</v>
      </c>
      <c r="BP5" s="23">
        <f>IF(VLOOKUP($Q5,武学奇术!$A:$ZZ,22,FALSE)=1,0,(1-$BI5))*(1-$BL5)</f>
        <v>0.12385236</v>
      </c>
      <c r="BQ5" s="23" cm="1">
        <f t="array" ref="BQ5">SUM(_xlfn.XLOOKUP(R5:AF5,增益!$A:$A,增益!$W:$W,0))</f>
        <v>0</v>
      </c>
    </row>
    <row r="6" spans="1:69">
      <c r="A6" s="55" t="s">
        <v>87</v>
      </c>
      <c r="B6" s="56"/>
      <c r="C6" s="56"/>
      <c r="D6" s="56"/>
      <c r="E6" s="57"/>
      <c r="F6" s="43" t="s">
        <v>88</v>
      </c>
      <c r="G6" s="47">
        <f>B19</f>
        <v>0</v>
      </c>
      <c r="K6" s="36">
        <f t="shared" si="0"/>
        <v>33649.9814335421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37203.3320561866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30435.0500585339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20109.9092195603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17675.3369142807</v>
      </c>
      <c r="P6" s="37">
        <v>1</v>
      </c>
      <c r="Q6" s="38" t="s">
        <v>70</v>
      </c>
      <c r="R6" s="38" t="s">
        <v>89</v>
      </c>
      <c r="S6" s="38" t="s">
        <v>78</v>
      </c>
      <c r="T6" s="38" t="s">
        <v>79</v>
      </c>
      <c r="U6" s="38" t="s">
        <v>80</v>
      </c>
      <c r="V6" s="38" t="s">
        <v>72</v>
      </c>
      <c r="W6" s="38" t="s">
        <v>73</v>
      </c>
      <c r="X6" s="38" t="s">
        <v>72</v>
      </c>
      <c r="Y6" s="38" t="s">
        <v>72</v>
      </c>
      <c r="Z6" s="38" t="s">
        <v>72</v>
      </c>
      <c r="AA6" s="38" t="s">
        <v>72</v>
      </c>
      <c r="AB6" s="38" t="s">
        <v>72</v>
      </c>
      <c r="AC6" s="38" t="s">
        <v>72</v>
      </c>
      <c r="AD6" s="38" t="s">
        <v>72</v>
      </c>
      <c r="AE6" s="38" t="s">
        <v>90</v>
      </c>
      <c r="AF6" s="38" t="s">
        <v>74</v>
      </c>
      <c r="AG6" t="str">
        <f>VLOOKUP($Q6,武学奇术!$A:$ZZ,25,FALSE)</f>
        <v>群体奇术</v>
      </c>
      <c r="AH6" s="23">
        <f>VLOOKUP($Q6,武学奇术!$A:$ZZ,26,FALSE)</f>
        <v>1.4902</v>
      </c>
      <c r="AI6" s="24">
        <f>VLOOKUP($Q6,武学奇术!$A:$ZZ,27,FALSE)*(1+IF(OR($AG6=$F$4,$AG6=$F$5),$B$22,0))</f>
        <v>358</v>
      </c>
      <c r="AJ6" s="23">
        <f>VLOOKUP($Q6,武学奇术!$A:$ZZ,28,FALSE)</f>
        <v>2.2353</v>
      </c>
      <c r="AK6" s="24">
        <f>VLOOKUP($Q6,武学奇术!$A:$ZZ,29,FALSE)*(1+IF(OR($AG6=$F$4,$AG6=$F$5),$B$22,0))</f>
        <v>0</v>
      </c>
      <c r="AL6" s="23" cm="1">
        <f t="array" ref="AL6">$G$3+IFERROR(VLOOKUP($AG6,$F$4:$G$7,2,FALSE),0)+VLOOKUP($Q6,武学奇术!$A:$ZZ,2,FALSE)+SUM(_xlfn.XLOOKUP($R6:$AF6,增益!$A:$A,增益!$B:$B,0))</f>
        <v>0.733</v>
      </c>
      <c r="AM6" s="23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3052.34</v>
      </c>
      <c r="AO6" cm="1">
        <f t="array" ref="AO6">$E$10*(1+$AM6)+VLOOKUP($Q6,武学奇术!$A:$ZZ,4,FALSE)+SUM(_xlfn.XLOOKUP($R6:$AF6,增益!$A:$A,增益!$D:$D,0))-$I$2</f>
        <v>3052.34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0.442</v>
      </c>
      <c r="AQ6" s="30" cm="1">
        <f t="array" ref="AQ6">$G$10+VLOOKUP($Q6,武学奇术!$A:$ZZ,7,FALSE)+SUM(_xlfn.XLOOKUP(R6:AF6,增益!$A:$A,增益!$G:$G,0))</f>
        <v>0</v>
      </c>
      <c r="AR6" s="23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-0.08</v>
      </c>
      <c r="AV6" s="30" cm="1">
        <f t="array" ref="AV6">$G$11+VLOOKUP($Q6,武学奇术!$A:$ZZ,10,FALSE)+SUM(_xlfn.XLOOKUP(R6:AF6,增益!$A:$A,增益!$J:$J,0))</f>
        <v>0</v>
      </c>
      <c r="AW6">
        <f t="shared" si="3"/>
        <v>634.5</v>
      </c>
      <c r="AX6">
        <f t="shared" si="4"/>
        <v>1443.3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0.198</v>
      </c>
      <c r="AZ6" s="30" cm="1">
        <f t="array" ref="AZ6">$G$12+VLOOKUP($Q6,武学奇术!$A:$ZZ,12,FALSE)+SUM(_xlfn.XLOOKUP(R6:AF6,增益!$A:$A,增益!$L:$L,0))</f>
        <v>0.148</v>
      </c>
      <c r="BA6">
        <f t="shared" si="5"/>
        <v>0</v>
      </c>
      <c r="BB6">
        <f t="shared" si="6"/>
        <v>0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-0.08</v>
      </c>
      <c r="BD6" s="30" cm="1">
        <f t="array" ref="BD6">$G$13+VLOOKUP($Q6,武学奇术!$A:$ZZ,14,FALSE)+SUM(_xlfn.XLOOKUP(R6:AF6,增益!$A:$A,增益!$N:$N,0))</f>
        <v>0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-0.08</v>
      </c>
      <c r="BH6" s="30" cm="1">
        <f t="array" ref="BH6">$G$14+VLOOKUP($Q6,武学奇术!$A:$ZZ,16,FALSE)+SUM(_xlfn.XLOOKUP(R6:AF6,增益!$A:$A,增益!$P:$P,0))</f>
        <v>0</v>
      </c>
      <c r="BI6" s="23">
        <f>MIN(IF(VLOOKUP($Q6,武学奇术!$A:$ZZ,23,FALSE)=1,100%,$B$8),100%)</f>
        <v>0.8626</v>
      </c>
      <c r="BJ6" s="23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0.8697</v>
      </c>
      <c r="BK6" s="23" cm="1">
        <f t="array" ref="BK6">1+$B$13+VLOOKUP($Q6,武学奇术!$A:$ZZ,18,FALSE)+SUM(_xlfn.XLOOKUP(R6:AF6,增益!$A:$A,增益!$R:$R,0))</f>
        <v>1.85</v>
      </c>
      <c r="BL6" s="23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0.0986</v>
      </c>
      <c r="BM6" s="23" cm="1">
        <f t="array" ref="BM6">1+$B$14+VLOOKUP($Q6,武学奇术!$A:$ZZ,20,FALSE)+SUM(_xlfn.XLOOKUP(R6:AF6,增益!$A:$A,增益!$T:$T,0))</f>
        <v>1.35</v>
      </c>
      <c r="BN6" s="23">
        <f t="shared" si="9"/>
        <v>0.75020322</v>
      </c>
      <c r="BO6" s="23">
        <f t="shared" si="10"/>
        <v>0.0273444200000001</v>
      </c>
      <c r="BP6" s="23">
        <f>IF(VLOOKUP($Q6,武学奇术!$A:$ZZ,22,FALSE)=1,0,(1-$BI6))*(1-$BL6)</f>
        <v>0.12385236</v>
      </c>
      <c r="BQ6" s="23" cm="1">
        <f t="array" ref="BQ6">SUM(_xlfn.XLOOKUP(R6:AF6,增益!$A:$A,增益!$W:$W,0))</f>
        <v>0.13</v>
      </c>
    </row>
    <row r="7" ht="14.25" spans="1:69">
      <c r="A7" s="83" t="s">
        <v>91</v>
      </c>
      <c r="B7" s="85">
        <v>125.8</v>
      </c>
      <c r="C7" s="58">
        <v>185.6</v>
      </c>
      <c r="D7" s="59"/>
      <c r="E7" s="60"/>
      <c r="F7" s="51" t="s">
        <v>92</v>
      </c>
      <c r="G7" s="61">
        <f>B20</f>
        <v>0</v>
      </c>
      <c r="K7" s="36">
        <f t="shared" si="0"/>
        <v>65745.6386867309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71990.5737323189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61721.0117897578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41137.4707041822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36555.6734159513</v>
      </c>
      <c r="P7" s="37">
        <v>1</v>
      </c>
      <c r="Q7" s="38" t="s">
        <v>93</v>
      </c>
      <c r="R7" s="38" t="s">
        <v>71</v>
      </c>
      <c r="S7" s="38" t="s">
        <v>72</v>
      </c>
      <c r="T7" s="38" t="s">
        <v>72</v>
      </c>
      <c r="U7" s="38" t="s">
        <v>72</v>
      </c>
      <c r="V7" s="38" t="s">
        <v>72</v>
      </c>
      <c r="W7" s="38" t="s">
        <v>72</v>
      </c>
      <c r="X7" s="38" t="s">
        <v>72</v>
      </c>
      <c r="Y7" s="38" t="s">
        <v>72</v>
      </c>
      <c r="Z7" s="38" t="s">
        <v>72</v>
      </c>
      <c r="AA7" s="38" t="s">
        <v>72</v>
      </c>
      <c r="AB7" s="38" t="s">
        <v>72</v>
      </c>
      <c r="AC7" s="38" t="s">
        <v>72</v>
      </c>
      <c r="AD7" s="38" t="s">
        <v>72</v>
      </c>
      <c r="AE7" s="38" t="s">
        <v>72</v>
      </c>
      <c r="AF7" s="38" t="s">
        <v>74</v>
      </c>
      <c r="AG7" t="str">
        <f>VLOOKUP($Q7,武学奇术!$A:$ZZ,25,FALSE)</f>
        <v>横刀</v>
      </c>
      <c r="AH7" s="23">
        <f>VLOOKUP($Q7,武学奇术!$A:$ZZ,26,FALSE)</f>
        <v>3.7797</v>
      </c>
      <c r="AI7" s="24">
        <f>VLOOKUP($Q7,武学奇术!$A:$ZZ,27,FALSE)*(1+IF(OR($AG7=$F$4,$AG7=$F$5),$B$22,0))</f>
        <v>1358.5</v>
      </c>
      <c r="AJ7" s="23">
        <f>VLOOKUP($Q7,武学奇术!$A:$ZZ,28,FALSE)</f>
        <v>5.6696</v>
      </c>
      <c r="AK7" s="24">
        <f>VLOOKUP($Q7,武学奇术!$A:$ZZ,29,FALSE)*(1+IF(OR($AG7=$F$4,$AG7=$F$5),$B$22,0))</f>
        <v>741</v>
      </c>
      <c r="AL7" s="23" cm="1">
        <f t="array" ref="AL7">$G$3+IFERROR(VLOOKUP($AG7,$F$4:$G$7,2,FALSE),0)+VLOOKUP($Q7,武学奇术!$A:$ZZ,2,FALSE)+SUM(_xlfn.XLOOKUP($R7:$AF7,增益!$A:$A,增益!$B:$B,0))</f>
        <v>0.557</v>
      </c>
      <c r="AM7" s="23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3052.34</v>
      </c>
      <c r="AO7" cm="1">
        <f t="array" ref="AO7">$E$10*(1+$AM7)+VLOOKUP($Q7,武学奇术!$A:$ZZ,4,FALSE)+SUM(_xlfn.XLOOKUP($R7:$AF7,增益!$A:$A,增益!$D:$D,0))-$I$2</f>
        <v>3052.34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0.352</v>
      </c>
      <c r="AQ7" s="30" cm="1">
        <f t="array" ref="AQ7">$G$10+VLOOKUP($Q7,武学奇术!$A:$ZZ,7,FALSE)+SUM(_xlfn.XLOOKUP(R7:AF7,增益!$A:$A,增益!$G:$G,0))</f>
        <v>0</v>
      </c>
      <c r="AR7" s="23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-0.24</v>
      </c>
      <c r="AV7" s="30" cm="1">
        <f t="array" ref="AV7">$G$11+VLOOKUP($Q7,武学奇术!$A:$ZZ,10,FALSE)+SUM(_xlfn.XLOOKUP(R7:AF7,增益!$A:$A,增益!$J:$J,0))</f>
        <v>0</v>
      </c>
      <c r="AW7">
        <f t="shared" si="3"/>
        <v>634.5</v>
      </c>
      <c r="AX7">
        <f t="shared" si="4"/>
        <v>1443.3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0.118</v>
      </c>
      <c r="AZ7" s="30" cm="1">
        <f t="array" ref="AZ7">$G$12+VLOOKUP($Q7,武学奇术!$A:$ZZ,12,FALSE)+SUM(_xlfn.XLOOKUP(R7:AF7,增益!$A:$A,增益!$L:$L,0))</f>
        <v>0.148</v>
      </c>
      <c r="BA7">
        <f t="shared" si="5"/>
        <v>0</v>
      </c>
      <c r="BB7">
        <f t="shared" si="6"/>
        <v>0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-0.24</v>
      </c>
      <c r="BD7" s="30" cm="1">
        <f t="array" ref="BD7">$G$13+VLOOKUP($Q7,武学奇术!$A:$ZZ,14,FALSE)+SUM(_xlfn.XLOOKUP(R7:AF7,增益!$A:$A,增益!$N:$N,0))</f>
        <v>0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-0.24</v>
      </c>
      <c r="BH7" s="30" cm="1">
        <f t="array" ref="BH7">$G$14+VLOOKUP($Q7,武学奇术!$A:$ZZ,16,FALSE)+SUM(_xlfn.XLOOKUP(R7:AF7,增益!$A:$A,增益!$P:$P,0))</f>
        <v>0</v>
      </c>
      <c r="BI7" s="23">
        <f>MIN(IF(VLOOKUP($Q7,武学奇术!$A:$ZZ,23,FALSE)=1,100%,$B$8),100%)</f>
        <v>0.8626</v>
      </c>
      <c r="BJ7" s="23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0.8697</v>
      </c>
      <c r="BK7" s="23" cm="1">
        <f t="array" ref="BK7">1+$B$13+VLOOKUP($Q7,武学奇术!$A:$ZZ,18,FALSE)+SUM(_xlfn.XLOOKUP(R7:AF7,增益!$A:$A,增益!$R:$R,0))</f>
        <v>1.75</v>
      </c>
      <c r="BL7" s="23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0.0986</v>
      </c>
      <c r="BM7" s="23" cm="1">
        <f t="array" ref="BM7">1+$B$14+VLOOKUP($Q7,武学奇术!$A:$ZZ,20,FALSE)+SUM(_xlfn.XLOOKUP(R7:AF7,增益!$A:$A,增益!$T:$T,0))</f>
        <v>1.35</v>
      </c>
      <c r="BN7" s="23">
        <f t="shared" si="9"/>
        <v>0.75020322</v>
      </c>
      <c r="BO7" s="23">
        <f t="shared" si="10"/>
        <v>0.0273444200000001</v>
      </c>
      <c r="BP7" s="23">
        <f>IF(VLOOKUP($Q7,武学奇术!$A:$ZZ,22,FALSE)=1,0,(1-$BI7))*(1-$BL7)</f>
        <v>0.12385236</v>
      </c>
      <c r="BQ7" s="23" cm="1">
        <f t="array" ref="BQ7">SUM(_xlfn.XLOOKUP(R7:AF7,增益!$A:$A,增益!$W:$W,0))</f>
        <v>0</v>
      </c>
    </row>
    <row r="8" spans="1:69">
      <c r="A8" s="62" t="s">
        <v>94</v>
      </c>
      <c r="B8" s="63">
        <v>0.8626</v>
      </c>
      <c r="C8" s="34" t="s">
        <v>95</v>
      </c>
      <c r="D8" s="64"/>
      <c r="E8" s="64"/>
      <c r="F8" s="64"/>
      <c r="G8" s="35"/>
      <c r="H8" s="65" t="s">
        <v>96</v>
      </c>
      <c r="I8" s="18">
        <v>95</v>
      </c>
      <c r="J8" s="66"/>
      <c r="K8" s="36">
        <f t="shared" si="0"/>
        <v>39478.8405622149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43228.7932072653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37061.6623657956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24702.1675470087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21951.2518600948</v>
      </c>
      <c r="P8" s="37">
        <v>1</v>
      </c>
      <c r="Q8" s="38" t="s">
        <v>97</v>
      </c>
      <c r="R8" s="38" t="s">
        <v>71</v>
      </c>
      <c r="S8" s="38" t="s">
        <v>72</v>
      </c>
      <c r="T8" s="38" t="s">
        <v>72</v>
      </c>
      <c r="U8" s="38" t="s">
        <v>72</v>
      </c>
      <c r="V8" s="38" t="s">
        <v>72</v>
      </c>
      <c r="W8" s="38" t="s">
        <v>73</v>
      </c>
      <c r="X8" s="38" t="s">
        <v>72</v>
      </c>
      <c r="Y8" s="38" t="s">
        <v>72</v>
      </c>
      <c r="Z8" s="38" t="s">
        <v>72</v>
      </c>
      <c r="AA8" s="38" t="s">
        <v>68</v>
      </c>
      <c r="AB8" s="38" t="s">
        <v>72</v>
      </c>
      <c r="AC8" s="38" t="s">
        <v>72</v>
      </c>
      <c r="AD8" s="38" t="s">
        <v>72</v>
      </c>
      <c r="AE8" s="38" t="s">
        <v>72</v>
      </c>
      <c r="AF8" s="38" t="s">
        <v>74</v>
      </c>
      <c r="AG8" t="str">
        <f>VLOOKUP($Q8,武学奇术!$A:$ZZ,25,FALSE)</f>
        <v>横刀</v>
      </c>
      <c r="AH8" s="23">
        <f>VLOOKUP($Q8,武学奇术!$A:$ZZ,26,FALSE)</f>
        <v>2.1324</v>
      </c>
      <c r="AI8" s="24">
        <f>VLOOKUP($Q8,武学奇术!$A:$ZZ,27,FALSE)*(1+IF(OR($AG8=$F$4,$AG8=$F$5),$B$22,0))</f>
        <v>767</v>
      </c>
      <c r="AJ8" s="23">
        <f>VLOOKUP($Q8,武学奇术!$A:$ZZ,28,FALSE)</f>
        <v>3.1986</v>
      </c>
      <c r="AK8" s="24">
        <f>VLOOKUP($Q8,武学奇术!$A:$ZZ,29,FALSE)*(1+IF(OR($AG8=$F$4,$AG8=$F$5),$B$22,0))</f>
        <v>418.6</v>
      </c>
      <c r="AL8" s="23" cm="1">
        <f t="array" ref="AL8">$G$3+IFERROR(VLOOKUP($AG8,$F$4:$G$7,2,FALSE),0)+VLOOKUP($Q8,武学奇术!$A:$ZZ,2,FALSE)+SUM(_xlfn.XLOOKUP($R8:$AF8,增益!$A:$A,增益!$B:$B,0))</f>
        <v>0.657</v>
      </c>
      <c r="AM8" s="23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3052.34</v>
      </c>
      <c r="AO8" cm="1">
        <f t="array" ref="AO8">$E$10*(1+$AM8)+VLOOKUP($Q8,武学奇术!$A:$ZZ,4,FALSE)+SUM(_xlfn.XLOOKUP($R8:$AF8,增益!$A:$A,增益!$D:$D,0))-$I$2</f>
        <v>3052.34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0.352</v>
      </c>
      <c r="AQ8" s="30" cm="1">
        <f t="array" ref="AQ8">$G$10+VLOOKUP($Q8,武学奇术!$A:$ZZ,7,FALSE)+SUM(_xlfn.XLOOKUP(R8:AF8,增益!$A:$A,增益!$G:$G,0))</f>
        <v>0</v>
      </c>
      <c r="AR8" s="23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-0.24</v>
      </c>
      <c r="AV8" s="30" cm="1">
        <f t="array" ref="AV8">$G$11+VLOOKUP($Q8,武学奇术!$A:$ZZ,10,FALSE)+SUM(_xlfn.XLOOKUP(R8:AF8,增益!$A:$A,增益!$J:$J,0))</f>
        <v>0</v>
      </c>
      <c r="AW8">
        <f t="shared" si="3"/>
        <v>634.5</v>
      </c>
      <c r="AX8">
        <f t="shared" si="4"/>
        <v>1443.3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0.118</v>
      </c>
      <c r="AZ8" s="30" cm="1">
        <f t="array" ref="AZ8">$G$12+VLOOKUP($Q8,武学奇术!$A:$ZZ,12,FALSE)+SUM(_xlfn.XLOOKUP(R8:AF8,增益!$A:$A,增益!$L:$L,0))</f>
        <v>0.148</v>
      </c>
      <c r="BA8">
        <f t="shared" si="5"/>
        <v>0</v>
      </c>
      <c r="BB8">
        <f t="shared" si="6"/>
        <v>0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-0.24</v>
      </c>
      <c r="BD8" s="30" cm="1">
        <f t="array" ref="BD8">$G$13+VLOOKUP($Q8,武学奇术!$A:$ZZ,14,FALSE)+SUM(_xlfn.XLOOKUP(R8:AF8,增益!$A:$A,增益!$N:$N,0))</f>
        <v>0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-0.24</v>
      </c>
      <c r="BH8" s="30" cm="1">
        <f t="array" ref="BH8">$G$14+VLOOKUP($Q8,武学奇术!$A:$ZZ,16,FALSE)+SUM(_xlfn.XLOOKUP(R8:AF8,增益!$A:$A,增益!$P:$P,0))</f>
        <v>0</v>
      </c>
      <c r="BI8" s="23">
        <f>MIN(IF(VLOOKUP($Q8,武学奇术!$A:$ZZ,23,FALSE)=1,100%,$B$8),100%)</f>
        <v>0.8626</v>
      </c>
      <c r="BJ8" s="23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0.8697</v>
      </c>
      <c r="BK8" s="23" cm="1">
        <f t="array" ref="BK8">1+$B$13+VLOOKUP($Q8,武学奇术!$A:$ZZ,18,FALSE)+SUM(_xlfn.XLOOKUP(R8:AF8,增益!$A:$A,增益!$R:$R,0))</f>
        <v>1.75</v>
      </c>
      <c r="BL8" s="23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0.0986</v>
      </c>
      <c r="BM8" s="23" cm="1">
        <f t="array" ref="BM8">1+$B$14+VLOOKUP($Q8,武学奇术!$A:$ZZ,20,FALSE)+SUM(_xlfn.XLOOKUP(R8:AF8,增益!$A:$A,增益!$T:$T,0))</f>
        <v>1.35</v>
      </c>
      <c r="BN8" s="23">
        <f t="shared" si="9"/>
        <v>0.75020322</v>
      </c>
      <c r="BO8" s="23">
        <f t="shared" si="10"/>
        <v>0.0273444200000001</v>
      </c>
      <c r="BP8" s="23">
        <f>IF(VLOOKUP($Q8,武学奇术!$A:$ZZ,22,FALSE)=1,0,(1-$BI8))*(1-$BL8)</f>
        <v>0.12385236</v>
      </c>
      <c r="BQ8" s="23" cm="1">
        <f t="array" ref="BQ8">SUM(_xlfn.XLOOKUP(R8:AF8,增益!$A:$A,增益!$W:$W,0))</f>
        <v>0</v>
      </c>
    </row>
    <row r="9" ht="14.25" spans="1:69">
      <c r="A9" s="39" t="s">
        <v>98</v>
      </c>
      <c r="B9" s="67">
        <v>0.7777</v>
      </c>
      <c r="C9" s="43"/>
      <c r="D9" t="s">
        <v>0</v>
      </c>
      <c r="E9" t="s">
        <v>1</v>
      </c>
      <c r="F9" s="37" t="s">
        <v>2</v>
      </c>
      <c r="G9" s="42" t="s">
        <v>3</v>
      </c>
      <c r="H9" s="68"/>
      <c r="I9" s="20"/>
      <c r="J9" s="69"/>
      <c r="K9" s="36">
        <f t="shared" si="0"/>
        <v>26322.6189694859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28819.3957946719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25175.8980965235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16468.2261683839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14287.6389319356</v>
      </c>
      <c r="P9" s="37">
        <v>1</v>
      </c>
      <c r="Q9" s="38" t="s">
        <v>99</v>
      </c>
      <c r="R9" s="38" t="s">
        <v>77</v>
      </c>
      <c r="S9" s="38" t="s">
        <v>78</v>
      </c>
      <c r="T9" s="38" t="s">
        <v>79</v>
      </c>
      <c r="U9" s="38" t="s">
        <v>72</v>
      </c>
      <c r="V9" s="38" t="s">
        <v>72</v>
      </c>
      <c r="W9" s="38" t="s">
        <v>73</v>
      </c>
      <c r="X9" s="38" t="s">
        <v>72</v>
      </c>
      <c r="Y9" s="38" t="s">
        <v>72</v>
      </c>
      <c r="Z9" s="38" t="s">
        <v>72</v>
      </c>
      <c r="AA9" s="38" t="s">
        <v>68</v>
      </c>
      <c r="AB9" s="38" t="s">
        <v>72</v>
      </c>
      <c r="AC9" s="38" t="s">
        <v>72</v>
      </c>
      <c r="AD9" s="38" t="s">
        <v>72</v>
      </c>
      <c r="AE9" s="38" t="s">
        <v>72</v>
      </c>
      <c r="AF9" s="38" t="s">
        <v>74</v>
      </c>
      <c r="AG9" t="str">
        <f>VLOOKUP($Q9,武学奇术!$A:$ZZ,25,FALSE)</f>
        <v>横刀</v>
      </c>
      <c r="AH9" s="23">
        <f>VLOOKUP($Q9,武学奇术!$A:$ZZ,26,FALSE)</f>
        <v>1.4</v>
      </c>
      <c r="AI9" s="24">
        <f>VLOOKUP($Q9,武学奇术!$A:$ZZ,27,FALSE)*(1+IF(OR($AG9=$F$4,$AG9=$F$5),$B$22,0))</f>
        <v>0</v>
      </c>
      <c r="AJ9" s="23">
        <f>VLOOKUP($Q9,武学奇术!$A:$ZZ,28,FALSE)</f>
        <v>2.1</v>
      </c>
      <c r="AK9" s="24">
        <f>VLOOKUP($Q9,武学奇术!$A:$ZZ,29,FALSE)*(1+IF(OR($AG9=$F$4,$AG9=$F$5),$B$22,0))</f>
        <v>0</v>
      </c>
      <c r="AL9" s="23" cm="1">
        <f t="array" ref="AL9">$G$3+IFERROR(VLOOKUP($AG9,$F$4:$G$7,2,FALSE),0)+VLOOKUP($Q9,武学奇术!$A:$ZZ,2,FALSE)+SUM(_xlfn.XLOOKUP($R9:$AF9,增益!$A:$A,增益!$B:$B,0))</f>
        <v>0.867</v>
      </c>
      <c r="AM9" s="23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3052.34</v>
      </c>
      <c r="AO9" cm="1">
        <f t="array" ref="AO9">$E$10*(1+$AM9)+VLOOKUP($Q9,武学奇术!$A:$ZZ,4,FALSE)+SUM(_xlfn.XLOOKUP($R9:$AF9,增益!$A:$A,增益!$D:$D,0))-$I$2</f>
        <v>3052.34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0.362</v>
      </c>
      <c r="AQ9" s="30" cm="1">
        <f t="array" ref="AQ9">$G$10+VLOOKUP($Q9,武学奇术!$A:$ZZ,7,FALSE)+SUM(_xlfn.XLOOKUP(R9:AF9,增益!$A:$A,增益!$G:$G,0))</f>
        <v>0</v>
      </c>
      <c r="AR9" s="23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-0.08</v>
      </c>
      <c r="AV9" s="30" cm="1">
        <f t="array" ref="AV9">$G$11+VLOOKUP($Q9,武学奇术!$A:$ZZ,10,FALSE)+SUM(_xlfn.XLOOKUP(R9:AF9,增益!$A:$A,增益!$J:$J,0))</f>
        <v>0</v>
      </c>
      <c r="AW9">
        <f t="shared" si="3"/>
        <v>634.5</v>
      </c>
      <c r="AX9">
        <f t="shared" si="4"/>
        <v>1443.3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0.198</v>
      </c>
      <c r="AZ9" s="30" cm="1">
        <f t="array" ref="AZ9">$G$12+VLOOKUP($Q9,武学奇术!$A:$ZZ,12,FALSE)+SUM(_xlfn.XLOOKUP(R9:AF9,增益!$A:$A,增益!$L:$L,0))</f>
        <v>0.148</v>
      </c>
      <c r="BA9">
        <f t="shared" si="5"/>
        <v>0</v>
      </c>
      <c r="BB9">
        <f t="shared" si="6"/>
        <v>0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-0.08</v>
      </c>
      <c r="BD9" s="30" cm="1">
        <f t="array" ref="BD9">$G$13+VLOOKUP($Q9,武学奇术!$A:$ZZ,14,FALSE)+SUM(_xlfn.XLOOKUP(R9:AF9,增益!$A:$A,增益!$N:$N,0))</f>
        <v>0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-0.08</v>
      </c>
      <c r="BH9" s="30" cm="1">
        <f t="array" ref="BH9">$G$14+VLOOKUP($Q9,武学奇术!$A:$ZZ,16,FALSE)+SUM(_xlfn.XLOOKUP(R9:AF9,增益!$A:$A,增益!$P:$P,0))</f>
        <v>0</v>
      </c>
      <c r="BI9" s="23">
        <f>MIN(IF(VLOOKUP($Q9,武学奇术!$A:$ZZ,23,FALSE)=1,100%,$B$8),100%)</f>
        <v>0.8626</v>
      </c>
      <c r="BJ9" s="23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0.8697</v>
      </c>
      <c r="BK9" s="23" cm="1">
        <f t="array" ref="BK9">1+$B$13+VLOOKUP($Q9,武学奇术!$A:$ZZ,18,FALSE)+SUM(_xlfn.XLOOKUP(R9:AF9,增益!$A:$A,增益!$R:$R,0))</f>
        <v>1.75</v>
      </c>
      <c r="BL9" s="23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0.0986</v>
      </c>
      <c r="BM9" s="23" cm="1">
        <f t="array" ref="BM9">1+$B$14+VLOOKUP($Q9,武学奇术!$A:$ZZ,20,FALSE)+SUM(_xlfn.XLOOKUP(R9:AF9,增益!$A:$A,增益!$T:$T,0))</f>
        <v>1.35</v>
      </c>
      <c r="BN9" s="23">
        <f t="shared" si="9"/>
        <v>0.75020322</v>
      </c>
      <c r="BO9" s="23">
        <f t="shared" si="10"/>
        <v>0.0273444200000001</v>
      </c>
      <c r="BP9" s="23">
        <f>IF(VLOOKUP($Q9,武学奇术!$A:$ZZ,22,FALSE)=1,0,(1-$BI9))*(1-$BL9)</f>
        <v>0.12385236</v>
      </c>
      <c r="BQ9" s="23" cm="1">
        <f t="array" ref="BQ9">SUM(_xlfn.XLOOKUP(R9:AF9,增益!$A:$A,增益!$W:$W,0))</f>
        <v>0</v>
      </c>
    </row>
    <row r="10" spans="1:69">
      <c r="A10" s="39" t="s">
        <v>100</v>
      </c>
      <c r="B10" s="67">
        <v>0.0986</v>
      </c>
      <c r="C10" s="43" t="s">
        <v>66</v>
      </c>
      <c r="D10">
        <f>B2+B23</f>
        <v>3577.8</v>
      </c>
      <c r="E10">
        <f>MAX(B2+B23,C2+B24)</f>
        <v>3577.8</v>
      </c>
      <c r="F10">
        <f>D2</f>
        <v>58.4</v>
      </c>
      <c r="G10" s="86">
        <f>E2</f>
        <v>0</v>
      </c>
      <c r="H10" s="65" t="s">
        <v>101</v>
      </c>
      <c r="I10" s="70">
        <f>SUM(K:K)</f>
        <v>12310887.5554236</v>
      </c>
      <c r="J10" s="71"/>
      <c r="K10" s="36">
        <f t="shared" si="0"/>
        <v>14326.982219447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15868.1626987261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12929.639212666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8485.64850199255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7393.78647608436</v>
      </c>
      <c r="P10" s="37">
        <v>1</v>
      </c>
      <c r="Q10" s="38" t="s">
        <v>102</v>
      </c>
      <c r="R10" s="38" t="s">
        <v>77</v>
      </c>
      <c r="S10" s="38" t="s">
        <v>78</v>
      </c>
      <c r="T10" s="38" t="s">
        <v>79</v>
      </c>
      <c r="U10" s="38" t="s">
        <v>103</v>
      </c>
      <c r="V10" s="38" t="s">
        <v>72</v>
      </c>
      <c r="W10" s="38" t="s">
        <v>104</v>
      </c>
      <c r="X10" s="38" t="s">
        <v>72</v>
      </c>
      <c r="Y10" s="38" t="s">
        <v>72</v>
      </c>
      <c r="Z10" s="38" t="s">
        <v>72</v>
      </c>
      <c r="AA10" s="38" t="s">
        <v>68</v>
      </c>
      <c r="AB10" s="38" t="s">
        <v>72</v>
      </c>
      <c r="AC10" s="38" t="s">
        <v>72</v>
      </c>
      <c r="AD10" s="38" t="s">
        <v>72</v>
      </c>
      <c r="AE10" s="38" t="s">
        <v>72</v>
      </c>
      <c r="AF10" s="38" t="s">
        <v>74</v>
      </c>
      <c r="AG10" t="str">
        <f>VLOOKUP($Q10,武学奇术!$A:$ZZ,25,FALSE)</f>
        <v>陌刀</v>
      </c>
      <c r="AH10" s="23">
        <f>VLOOKUP($Q10,武学奇术!$A:$ZZ,26,FALSE)</f>
        <v>0.5</v>
      </c>
      <c r="AI10" s="24">
        <f>VLOOKUP($Q10,武学奇术!$A:$ZZ,27,FALSE)*(1+IF(OR($AG10=$F$4,$AG10=$F$5),$B$22,0))</f>
        <v>0</v>
      </c>
      <c r="AJ10" s="23">
        <f>VLOOKUP($Q10,武学奇术!$A:$ZZ,28,FALSE)</f>
        <v>0.75</v>
      </c>
      <c r="AK10" s="24">
        <f>VLOOKUP($Q10,武学奇术!$A:$ZZ,29,FALSE)*(1+IF(OR($AG10=$F$4,$AG10=$F$5),$B$22,0))</f>
        <v>0</v>
      </c>
      <c r="AL10" s="23" cm="1">
        <f t="array" ref="AL10">$G$3+IFERROR(VLOOKUP($AG10,$F$4:$G$7,2,FALSE),0)+VLOOKUP($Q10,武学奇术!$A:$ZZ,2,FALSE)+SUM(_xlfn.XLOOKUP($R10:$AF10,增益!$A:$A,增益!$B:$B,0))</f>
        <v>0.983</v>
      </c>
      <c r="AM10" s="23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3052.34</v>
      </c>
      <c r="AO10" cm="1">
        <f t="array" ref="AO10">$E$10*(1+$AM10)+VLOOKUP($Q10,武学奇术!$A:$ZZ,4,FALSE)+SUM(_xlfn.XLOOKUP($R10:$AF10,增益!$A:$A,增益!$D:$D,0))-$I$2</f>
        <v>3052.34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0.422</v>
      </c>
      <c r="AQ10" s="30" cm="1">
        <f t="array" ref="AQ10">$G$10+VLOOKUP($Q10,武学奇术!$A:$ZZ,7,FALSE)+SUM(_xlfn.XLOOKUP(R10:AF10,增益!$A:$A,增益!$G:$G,0))</f>
        <v>0</v>
      </c>
      <c r="AR10" s="23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-0.08</v>
      </c>
      <c r="AV10" s="30" cm="1">
        <f t="array" ref="AV10">$G$11+VLOOKUP($Q10,武学奇术!$A:$ZZ,10,FALSE)+SUM(_xlfn.XLOOKUP(R10:AF10,增益!$A:$A,增益!$J:$J,0))</f>
        <v>0</v>
      </c>
      <c r="AW10">
        <f t="shared" si="3"/>
        <v>634.5</v>
      </c>
      <c r="AX10">
        <f t="shared" si="4"/>
        <v>1443.3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0.198</v>
      </c>
      <c r="AZ10" s="30" cm="1">
        <f t="array" ref="AZ10">$G$12+VLOOKUP($Q10,武学奇术!$A:$ZZ,12,FALSE)+SUM(_xlfn.XLOOKUP(R10:AF10,增益!$A:$A,增益!$L:$L,0))</f>
        <v>0.148</v>
      </c>
      <c r="BA10">
        <f t="shared" si="5"/>
        <v>0</v>
      </c>
      <c r="BB10">
        <f t="shared" si="6"/>
        <v>0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-0.08</v>
      </c>
      <c r="BD10" s="30" cm="1">
        <f t="array" ref="BD10">$G$13+VLOOKUP($Q10,武学奇术!$A:$ZZ,14,FALSE)+SUM(_xlfn.XLOOKUP(R10:AF10,增益!$A:$A,增益!$N:$N,0))</f>
        <v>0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-0.08</v>
      </c>
      <c r="BH10" s="30" cm="1">
        <f t="array" ref="BH10">$G$14+VLOOKUP($Q10,武学奇术!$A:$ZZ,16,FALSE)+SUM(_xlfn.XLOOKUP(R10:AF10,增益!$A:$A,增益!$P:$P,0))</f>
        <v>0</v>
      </c>
      <c r="BI10" s="23">
        <f>MIN(IF(VLOOKUP($Q10,武学奇术!$A:$ZZ,23,FALSE)=1,100%,$B$8),100%)</f>
        <v>0.8626</v>
      </c>
      <c r="BJ10" s="23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0.8697</v>
      </c>
      <c r="BK10" s="23" cm="1">
        <f t="array" ref="BK10">1+$B$13+VLOOKUP($Q10,武学奇术!$A:$ZZ,18,FALSE)+SUM(_xlfn.XLOOKUP(R10:AF10,增益!$A:$A,增益!$R:$R,0))</f>
        <v>1.87</v>
      </c>
      <c r="BL10" s="23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0.0986</v>
      </c>
      <c r="BM10" s="23" cm="1">
        <f t="array" ref="BM10">1+$B$14+VLOOKUP($Q10,武学奇术!$A:$ZZ,20,FALSE)+SUM(_xlfn.XLOOKUP(R10:AF10,增益!$A:$A,增益!$T:$T,0))</f>
        <v>1.35</v>
      </c>
      <c r="BN10" s="23">
        <f t="shared" si="9"/>
        <v>0.75020322</v>
      </c>
      <c r="BO10" s="23">
        <f t="shared" si="10"/>
        <v>0.0273444200000001</v>
      </c>
      <c r="BP10" s="23">
        <f>IF(VLOOKUP($Q10,武学奇术!$A:$ZZ,22,FALSE)=1,0,(1-$BI10))*(1-$BL10)</f>
        <v>0.12385236</v>
      </c>
      <c r="BQ10" s="23" cm="1">
        <f t="array" ref="BQ10">SUM(_xlfn.XLOOKUP(R10:AF10,增益!$A:$A,增益!$W:$W,0))</f>
        <v>0</v>
      </c>
    </row>
    <row r="11" ht="14.25" spans="1:69">
      <c r="A11" s="39" t="s">
        <v>105</v>
      </c>
      <c r="B11" s="67">
        <f>4.6%+IF($C$21="易水歌",4.6%,0)</f>
        <v>0.092</v>
      </c>
      <c r="C11" s="43" t="s">
        <v>75</v>
      </c>
      <c r="D11">
        <f>B3+IF($G$1=$C11,$B$7,0)</f>
        <v>0</v>
      </c>
      <c r="E11">
        <f>MAX(B3,C3)+IF($G$1=$C11,$C$7,0)</f>
        <v>0</v>
      </c>
      <c r="F11">
        <f>D3</f>
        <v>0</v>
      </c>
      <c r="G11" s="86">
        <f>E3</f>
        <v>0</v>
      </c>
      <c r="H11" s="68"/>
      <c r="I11" s="72"/>
      <c r="J11" s="73"/>
      <c r="K11" s="36">
        <f t="shared" si="0"/>
        <v>30090.1095880656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30090.1095880656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23273.3505827988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15274.1673035866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13308.8156569519</v>
      </c>
      <c r="P11" s="37">
        <v>1</v>
      </c>
      <c r="Q11" s="38" t="s">
        <v>106</v>
      </c>
      <c r="R11" s="38" t="s">
        <v>77</v>
      </c>
      <c r="S11" s="38" t="s">
        <v>78</v>
      </c>
      <c r="T11" s="38" t="s">
        <v>79</v>
      </c>
      <c r="U11" s="38" t="s">
        <v>103</v>
      </c>
      <c r="V11" s="38" t="s">
        <v>107</v>
      </c>
      <c r="W11" s="38" t="s">
        <v>104</v>
      </c>
      <c r="X11" s="38" t="s">
        <v>72</v>
      </c>
      <c r="Y11" s="38" t="s">
        <v>72</v>
      </c>
      <c r="Z11" s="38" t="s">
        <v>72</v>
      </c>
      <c r="AA11" s="38" t="s">
        <v>68</v>
      </c>
      <c r="AB11" s="38" t="s">
        <v>72</v>
      </c>
      <c r="AC11" s="38" t="s">
        <v>72</v>
      </c>
      <c r="AD11" s="38" t="s">
        <v>72</v>
      </c>
      <c r="AE11" s="38" t="s">
        <v>72</v>
      </c>
      <c r="AF11" s="38" t="s">
        <v>74</v>
      </c>
      <c r="AG11" t="str">
        <f>VLOOKUP($Q11,武学奇术!$A:$ZZ,25,FALSE)</f>
        <v>陌刀</v>
      </c>
      <c r="AH11" s="23">
        <f>VLOOKUP($Q11,武学奇术!$A:$ZZ,26,FALSE)</f>
        <v>0.9</v>
      </c>
      <c r="AI11" s="24">
        <f>VLOOKUP($Q11,武学奇术!$A:$ZZ,27,FALSE)*(1+IF(OR($AG11=$F$4,$AG11=$F$5),$B$22,0))</f>
        <v>0</v>
      </c>
      <c r="AJ11" s="23">
        <f>VLOOKUP($Q11,武学奇术!$A:$ZZ,28,FALSE)</f>
        <v>1.35</v>
      </c>
      <c r="AK11" s="24">
        <f>VLOOKUP($Q11,武学奇术!$A:$ZZ,29,FALSE)*(1+IF(OR($AG11=$F$4,$AG11=$F$5),$B$22,0))</f>
        <v>0</v>
      </c>
      <c r="AL11" s="23" cm="1">
        <f t="array" ref="AL11">$G$3+IFERROR(VLOOKUP($AG11,$F$4:$G$7,2,FALSE),0)+VLOOKUP($Q11,武学奇术!$A:$ZZ,2,FALSE)+SUM(_xlfn.XLOOKUP($R11:$AF11,增益!$A:$A,增益!$B:$B,0))</f>
        <v>0.983</v>
      </c>
      <c r="AM11" s="23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3052.34</v>
      </c>
      <c r="AO11" cm="1">
        <f t="array" ref="AO11">$E$10*(1+$AM11)+VLOOKUP($Q11,武学奇术!$A:$ZZ,4,FALSE)+SUM(_xlfn.XLOOKUP($R11:$AF11,增益!$A:$A,增益!$D:$D,0))-$I$2</f>
        <v>3052.34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0.422</v>
      </c>
      <c r="AQ11" s="30" cm="1">
        <f t="array" ref="AQ11">$G$10+VLOOKUP($Q11,武学奇术!$A:$ZZ,7,FALSE)+SUM(_xlfn.XLOOKUP(R11:AF11,增益!$A:$A,增益!$G:$G,0))</f>
        <v>0</v>
      </c>
      <c r="AR11" s="23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-0.08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634.5</v>
      </c>
      <c r="AX11">
        <f t="shared" si="4"/>
        <v>1443.3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0.198</v>
      </c>
      <c r="AZ11" s="30" cm="1">
        <f t="array" ref="AZ11">$G$12+VLOOKUP($Q11,武学奇术!$A:$ZZ,12,FALSE)+SUM(_xlfn.XLOOKUP(R11:AF11,增益!$A:$A,增益!$L:$L,0))</f>
        <v>0.148</v>
      </c>
      <c r="BA11">
        <f t="shared" si="5"/>
        <v>0</v>
      </c>
      <c r="BB11">
        <f t="shared" si="6"/>
        <v>0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-0.08</v>
      </c>
      <c r="BD11" s="30" cm="1">
        <f t="array" ref="BD11">$G$13+VLOOKUP($Q11,武学奇术!$A:$ZZ,14,FALSE)+SUM(_xlfn.XLOOKUP(R11:AF11,增益!$A:$A,增益!$N:$N,0))</f>
        <v>0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-0.08</v>
      </c>
      <c r="BH11" s="30" cm="1">
        <f t="array" ref="BH11">$G$14+VLOOKUP($Q11,武学奇术!$A:$ZZ,16,FALSE)+SUM(_xlfn.XLOOKUP(R11:AF11,增益!$A:$A,增益!$P:$P,0))</f>
        <v>0</v>
      </c>
      <c r="BI11" s="23">
        <f>MIN(IF(VLOOKUP($Q11,武学奇术!$A:$ZZ,23,FALSE)=1,100%,$B$8),100%)</f>
        <v>1</v>
      </c>
      <c r="BJ11" s="23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1</v>
      </c>
      <c r="BK11" s="23" cm="1">
        <f t="array" ref="BK11">1+$B$13+VLOOKUP($Q11,武学奇术!$A:$ZZ,18,FALSE)+SUM(_xlfn.XLOOKUP(R11:AF11,增益!$A:$A,增益!$R:$R,0))</f>
        <v>1.97</v>
      </c>
      <c r="BL11" s="23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</v>
      </c>
      <c r="BM11" s="23" cm="1">
        <f t="array" ref="BM11">1+$B$14+VLOOKUP($Q11,武学奇术!$A:$ZZ,20,FALSE)+SUM(_xlfn.XLOOKUP(R11:AF11,增益!$A:$A,增益!$T:$T,0))</f>
        <v>1.35</v>
      </c>
      <c r="BN11" s="23">
        <f t="shared" si="9"/>
        <v>1</v>
      </c>
      <c r="BO11" s="23">
        <f t="shared" si="10"/>
        <v>0</v>
      </c>
      <c r="BP11" s="23">
        <f>IF(VLOOKUP($Q11,武学奇术!$A:$ZZ,22,FALSE)=1,0,(1-$BI11))*(1-$BL11)</f>
        <v>0</v>
      </c>
      <c r="BQ11" s="23" cm="1">
        <f t="array" ref="BQ11">SUM(_xlfn.XLOOKUP(R11:AF11,增益!$A:$A,增益!$W:$W,0))</f>
        <v>0</v>
      </c>
    </row>
    <row r="12" spans="1:69">
      <c r="A12" s="39" t="s">
        <v>108</v>
      </c>
      <c r="B12" s="67">
        <v>0</v>
      </c>
      <c r="C12" s="43" t="s">
        <v>5</v>
      </c>
      <c r="D12">
        <f>B4+IF($G$1=$C12,$B$7,0)</f>
        <v>634.5</v>
      </c>
      <c r="E12">
        <f>MAX(B4,C4)+IF($G$1=$C12,$C$7,0)</f>
        <v>1443.3</v>
      </c>
      <c r="F12">
        <f>D4</f>
        <v>35.6</v>
      </c>
      <c r="G12" s="86">
        <f>E4</f>
        <v>0.148</v>
      </c>
      <c r="H12" s="65" t="s">
        <v>109</v>
      </c>
      <c r="I12" s="36">
        <f>I10/I8</f>
        <v>129588.29005709</v>
      </c>
      <c r="J12" s="74"/>
      <c r="K12" s="36">
        <f t="shared" si="0"/>
        <v>295002.541324332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295002.541324332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221323.313242162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147501.270662166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131059.346330138</v>
      </c>
      <c r="P12" s="37">
        <v>1</v>
      </c>
      <c r="Q12" s="38" t="s">
        <v>110</v>
      </c>
      <c r="R12" s="38" t="s">
        <v>83</v>
      </c>
      <c r="S12" s="38" t="s">
        <v>78</v>
      </c>
      <c r="T12" s="38" t="s">
        <v>79</v>
      </c>
      <c r="U12" s="38" t="s">
        <v>111</v>
      </c>
      <c r="V12" s="38" t="s">
        <v>107</v>
      </c>
      <c r="W12" s="38" t="s">
        <v>112</v>
      </c>
      <c r="X12" s="38" t="s">
        <v>72</v>
      </c>
      <c r="Y12" s="38" t="s">
        <v>72</v>
      </c>
      <c r="Z12" s="38" t="s">
        <v>72</v>
      </c>
      <c r="AA12" s="38" t="s">
        <v>68</v>
      </c>
      <c r="AB12" s="38" t="s">
        <v>72</v>
      </c>
      <c r="AC12" s="38" t="s">
        <v>72</v>
      </c>
      <c r="AD12" s="38" t="s">
        <v>72</v>
      </c>
      <c r="AE12" s="38" t="s">
        <v>72</v>
      </c>
      <c r="AF12" s="38" t="s">
        <v>74</v>
      </c>
      <c r="AG12" t="str">
        <f>VLOOKUP($Q12,武学奇术!$A:$ZZ,25,FALSE)</f>
        <v>陌刀</v>
      </c>
      <c r="AH12" s="23">
        <f>VLOOKUP($Q12,武学奇术!$A:$ZZ,26,FALSE)</f>
        <v>7.5674</v>
      </c>
      <c r="AI12" s="24">
        <f>VLOOKUP($Q12,武学奇术!$A:$ZZ,27,FALSE)*(1+IF(OR($AG12=$F$4,$AG12=$F$5),$B$22,0))</f>
        <v>2720.9</v>
      </c>
      <c r="AJ12" s="23">
        <f>VLOOKUP($Q12,武学奇术!$A:$ZZ,28,FALSE)</f>
        <v>11.3512</v>
      </c>
      <c r="AK12" s="24">
        <f>VLOOKUP($Q12,武学奇术!$A:$ZZ,29,FALSE)*(1+IF(OR($AG12=$F$4,$AG12=$F$5),$B$22,0))</f>
        <v>1482</v>
      </c>
      <c r="AL12" s="23" cm="1">
        <f t="array" ref="AL12">$G$3+IFERROR(VLOOKUP($AG12,$F$4:$G$7,2,FALSE),0)+VLOOKUP($Q12,武学奇术!$A:$ZZ,2,FALSE)+SUM(_xlfn.XLOOKUP($R12:$AF12,增益!$A:$A,增益!$B:$B,0))</f>
        <v>0.973</v>
      </c>
      <c r="AM12" s="23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3052.34</v>
      </c>
      <c r="AO12" cm="1">
        <f t="array" ref="AO12">$E$10*(1+$AM12)+VLOOKUP($Q12,武学奇术!$A:$ZZ,4,FALSE)+SUM(_xlfn.XLOOKUP($R12:$AF12,增益!$A:$A,增益!$D:$D,0))-$I$2</f>
        <v>3052.34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0.447</v>
      </c>
      <c r="AQ12" s="30" cm="1">
        <f t="array" ref="AQ12">$G$10+VLOOKUP($Q12,武学奇术!$A:$ZZ,7,FALSE)+SUM(_xlfn.XLOOKUP(R12:AF12,增益!$A:$A,增益!$G:$G,0))</f>
        <v>0</v>
      </c>
      <c r="AR12" s="23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-0.08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634.5</v>
      </c>
      <c r="AX12">
        <f t="shared" si="4"/>
        <v>1443.3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0.198</v>
      </c>
      <c r="AZ12" s="30" cm="1">
        <f t="array" ref="AZ12">$G$12+VLOOKUP($Q12,武学奇术!$A:$ZZ,12,FALSE)+SUM(_xlfn.XLOOKUP(R12:AF12,增益!$A:$A,增益!$L:$L,0))</f>
        <v>0.148</v>
      </c>
      <c r="BA12">
        <f t="shared" si="5"/>
        <v>0</v>
      </c>
      <c r="BB12">
        <f t="shared" si="6"/>
        <v>0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-0.08</v>
      </c>
      <c r="BD12" s="30" cm="1">
        <f t="array" ref="BD12">$G$13+VLOOKUP($Q12,武学奇术!$A:$ZZ,14,FALSE)+SUM(_xlfn.XLOOKUP(R12:AF12,增益!$A:$A,增益!$N:$N,0))</f>
        <v>0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-0.08</v>
      </c>
      <c r="BH12" s="30" cm="1">
        <f t="array" ref="BH12">$G$14+VLOOKUP($Q12,武学奇术!$A:$ZZ,16,FALSE)+SUM(_xlfn.XLOOKUP(R12:AF12,增益!$A:$A,增益!$P:$P,0))</f>
        <v>0</v>
      </c>
      <c r="BI12" s="23">
        <f>MIN(IF(VLOOKUP($Q12,武学奇术!$A:$ZZ,23,FALSE)=1,100%,$B$8),100%)</f>
        <v>1</v>
      </c>
      <c r="BJ12" s="23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1</v>
      </c>
      <c r="BK12" s="23" cm="1">
        <f t="array" ref="BK12">1+$B$13+VLOOKUP($Q12,武学奇术!$A:$ZZ,18,FALSE)+SUM(_xlfn.XLOOKUP(R12:AF12,增益!$A:$A,增益!$R:$R,0))</f>
        <v>2</v>
      </c>
      <c r="BL12" s="23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</v>
      </c>
      <c r="BM12" s="23" cm="1">
        <f t="array" ref="BM12">1+$B$14+VLOOKUP($Q12,武学奇术!$A:$ZZ,20,FALSE)+SUM(_xlfn.XLOOKUP(R12:AF12,增益!$A:$A,增益!$T:$T,0))</f>
        <v>1.35</v>
      </c>
      <c r="BN12" s="23">
        <f t="shared" si="9"/>
        <v>1</v>
      </c>
      <c r="BO12" s="23">
        <f t="shared" si="10"/>
        <v>0</v>
      </c>
      <c r="BP12" s="23">
        <f>IF(VLOOKUP($Q12,武学奇术!$A:$ZZ,22,FALSE)=1,0,(1-$BI12))*(1-$BL12)</f>
        <v>0</v>
      </c>
      <c r="BQ12" s="23" cm="1">
        <f t="array" ref="BQ12">SUM(_xlfn.XLOOKUP(R12:AF12,增益!$A:$A,增益!$W:$W,0))</f>
        <v>0</v>
      </c>
    </row>
    <row r="13" ht="14.25" spans="1:69">
      <c r="A13" s="39" t="s">
        <v>113</v>
      </c>
      <c r="B13" s="67">
        <v>0.54</v>
      </c>
      <c r="C13" s="43" t="s">
        <v>84</v>
      </c>
      <c r="D13">
        <f>B5+IF($G$1=$C13,$B$7,0)</f>
        <v>0</v>
      </c>
      <c r="E13">
        <f>MAX(B5,C5)+IF($G$1=$C13,$C$7,0)</f>
        <v>0</v>
      </c>
      <c r="F13">
        <f>D5</f>
        <v>0</v>
      </c>
      <c r="G13" s="86">
        <f>E5</f>
        <v>0</v>
      </c>
      <c r="H13" s="68"/>
      <c r="I13" s="75"/>
      <c r="J13" s="73"/>
      <c r="K13" s="36">
        <f t="shared" si="0"/>
        <v>17257.630302028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17257.630302028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13130.347440156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8628.81515101399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7531.44701302356</v>
      </c>
      <c r="P13" s="37">
        <v>1</v>
      </c>
      <c r="Q13" s="38" t="s">
        <v>114</v>
      </c>
      <c r="R13" s="38" t="s">
        <v>83</v>
      </c>
      <c r="S13" s="38" t="s">
        <v>78</v>
      </c>
      <c r="T13" s="38" t="s">
        <v>79</v>
      </c>
      <c r="U13" s="38" t="s">
        <v>111</v>
      </c>
      <c r="V13" s="38" t="s">
        <v>107</v>
      </c>
      <c r="W13" s="38" t="s">
        <v>104</v>
      </c>
      <c r="X13" s="38" t="s">
        <v>72</v>
      </c>
      <c r="Y13" s="38" t="s">
        <v>72</v>
      </c>
      <c r="Z13" s="38" t="s">
        <v>72</v>
      </c>
      <c r="AA13" s="38" t="s">
        <v>68</v>
      </c>
      <c r="AB13" s="38" t="s">
        <v>72</v>
      </c>
      <c r="AC13" s="38" t="s">
        <v>72</v>
      </c>
      <c r="AD13" s="38" t="s">
        <v>72</v>
      </c>
      <c r="AE13" s="38" t="s">
        <v>72</v>
      </c>
      <c r="AF13" s="38" t="s">
        <v>74</v>
      </c>
      <c r="AG13" t="str">
        <f>VLOOKUP($Q13,武学奇术!$A:$ZZ,25,FALSE)</f>
        <v>陌刀</v>
      </c>
      <c r="AH13" s="23">
        <f>VLOOKUP($Q13,武学奇术!$A:$ZZ,26,FALSE)</f>
        <v>0.5</v>
      </c>
      <c r="AI13" s="24">
        <f>VLOOKUP($Q13,武学奇术!$A:$ZZ,27,FALSE)*(1+IF(OR($AG13=$F$4,$AG13=$F$5),$B$22,0))</f>
        <v>0</v>
      </c>
      <c r="AJ13" s="23">
        <f>VLOOKUP($Q13,武学奇术!$A:$ZZ,28,FALSE)</f>
        <v>0.75</v>
      </c>
      <c r="AK13" s="24">
        <f>VLOOKUP($Q13,武学奇术!$A:$ZZ,29,FALSE)*(1+IF(OR($AG13=$F$4,$AG13=$F$5),$B$22,0))</f>
        <v>0</v>
      </c>
      <c r="AL13" s="23" cm="1">
        <f t="array" ref="AL13">$G$3+IFERROR(VLOOKUP($AG13,$F$4:$G$7,2,FALSE),0)+VLOOKUP($Q13,武学奇术!$A:$ZZ,2,FALSE)+SUM(_xlfn.XLOOKUP($R13:$AF13,增益!$A:$A,增益!$B:$B,0))</f>
        <v>0.993</v>
      </c>
      <c r="AM13" s="23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3052.34</v>
      </c>
      <c r="AO13" cm="1">
        <f t="array" ref="AO13">$E$10*(1+$AM13)+VLOOKUP($Q13,武学奇术!$A:$ZZ,4,FALSE)+SUM(_xlfn.XLOOKUP($R13:$AF13,增益!$A:$A,增益!$D:$D,0))-$I$2</f>
        <v>3052.34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0.447</v>
      </c>
      <c r="AQ13" s="30" cm="1">
        <f t="array" ref="AQ13">$G$10+VLOOKUP($Q13,武学奇术!$A:$ZZ,7,FALSE)+SUM(_xlfn.XLOOKUP(R13:AF13,增益!$A:$A,增益!$G:$G,0))</f>
        <v>0</v>
      </c>
      <c r="AR13" s="23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-0.08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634.5</v>
      </c>
      <c r="AX13">
        <f t="shared" si="4"/>
        <v>1443.3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0.198</v>
      </c>
      <c r="AZ13" s="30" cm="1">
        <f t="array" ref="AZ13">$G$12+VLOOKUP($Q13,武学奇术!$A:$ZZ,12,FALSE)+SUM(_xlfn.XLOOKUP(R13:AF13,增益!$A:$A,增益!$L:$L,0))</f>
        <v>0.148</v>
      </c>
      <c r="BA13">
        <f t="shared" si="5"/>
        <v>0</v>
      </c>
      <c r="BB13">
        <f t="shared" si="6"/>
        <v>0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-0.08</v>
      </c>
      <c r="BD13" s="30" cm="1">
        <f t="array" ref="BD13">$G$13+VLOOKUP($Q13,武学奇术!$A:$ZZ,14,FALSE)+SUM(_xlfn.XLOOKUP(R13:AF13,增益!$A:$A,增益!$N:$N,0))</f>
        <v>0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-0.08</v>
      </c>
      <c r="BH13" s="30" cm="1">
        <f t="array" ref="BH13">$G$14+VLOOKUP($Q13,武学奇术!$A:$ZZ,16,FALSE)+SUM(_xlfn.XLOOKUP(R13:AF13,增益!$A:$A,增益!$P:$P,0))</f>
        <v>0</v>
      </c>
      <c r="BI13" s="23">
        <f>MIN(IF(VLOOKUP($Q13,武学奇术!$A:$ZZ,23,FALSE)=1,100%,$B$8),100%)</f>
        <v>1</v>
      </c>
      <c r="BJ13" s="23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1</v>
      </c>
      <c r="BK13" s="23" cm="1">
        <f t="array" ref="BK13">1+$B$13+VLOOKUP($Q13,武学奇术!$A:$ZZ,18,FALSE)+SUM(_xlfn.XLOOKUP(R13:AF13,增益!$A:$A,增益!$R:$R,0))</f>
        <v>2</v>
      </c>
      <c r="BL13" s="23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</v>
      </c>
      <c r="BM13" s="23" cm="1">
        <f t="array" ref="BM13">1+$B$14+VLOOKUP($Q13,武学奇术!$A:$ZZ,20,FALSE)+SUM(_xlfn.XLOOKUP(R13:AF13,增益!$A:$A,增益!$T:$T,0))</f>
        <v>1.35</v>
      </c>
      <c r="BN13" s="23">
        <f t="shared" si="9"/>
        <v>1</v>
      </c>
      <c r="BO13" s="23">
        <f t="shared" si="10"/>
        <v>0</v>
      </c>
      <c r="BP13" s="23">
        <f>IF(VLOOKUP($Q13,武学奇术!$A:$ZZ,22,FALSE)=1,0,(1-$BI13))*(1-$BL13)</f>
        <v>0</v>
      </c>
      <c r="BQ13" s="23" cm="1">
        <f t="array" ref="BQ13">SUM(_xlfn.XLOOKUP(R13:AF13,增益!$A:$A,增益!$W:$W,0))</f>
        <v>0</v>
      </c>
    </row>
    <row r="14" ht="14.25" spans="1:69">
      <c r="A14" s="39" t="s">
        <v>115</v>
      </c>
      <c r="B14" s="67">
        <v>0.35</v>
      </c>
      <c r="C14" s="51" t="s">
        <v>87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87">
        <f>E6</f>
        <v>0</v>
      </c>
      <c r="H14" s="34" t="s">
        <v>116</v>
      </c>
      <c r="I14" s="70">
        <f>RD!I14</f>
        <v>122841.684535433</v>
      </c>
      <c r="J14" s="71"/>
      <c r="K14" s="36">
        <f t="shared" si="0"/>
        <v>31063.7345436504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31063.7345436504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23634.6253922808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15531.8672718252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13556.6046234424</v>
      </c>
      <c r="P14" s="37">
        <v>1</v>
      </c>
      <c r="Q14" s="38" t="s">
        <v>106</v>
      </c>
      <c r="R14" s="38" t="s">
        <v>83</v>
      </c>
      <c r="S14" s="38" t="s">
        <v>78</v>
      </c>
      <c r="T14" s="38" t="s">
        <v>79</v>
      </c>
      <c r="U14" s="38" t="s">
        <v>111</v>
      </c>
      <c r="V14" s="38" t="s">
        <v>107</v>
      </c>
      <c r="W14" s="38" t="s">
        <v>104</v>
      </c>
      <c r="X14" s="38" t="s">
        <v>72</v>
      </c>
      <c r="Y14" s="38" t="s">
        <v>72</v>
      </c>
      <c r="Z14" s="38" t="s">
        <v>72</v>
      </c>
      <c r="AA14" s="38" t="s">
        <v>68</v>
      </c>
      <c r="AB14" s="38" t="s">
        <v>72</v>
      </c>
      <c r="AC14" s="38" t="s">
        <v>72</v>
      </c>
      <c r="AD14" s="38" t="s">
        <v>72</v>
      </c>
      <c r="AE14" s="38" t="s">
        <v>72</v>
      </c>
      <c r="AF14" s="38" t="s">
        <v>74</v>
      </c>
      <c r="AG14" t="str">
        <f>VLOOKUP($Q14,武学奇术!$A:$ZZ,25,FALSE)</f>
        <v>陌刀</v>
      </c>
      <c r="AH14" s="23">
        <f>VLOOKUP($Q14,武学奇术!$A:$ZZ,26,FALSE)</f>
        <v>0.9</v>
      </c>
      <c r="AI14" s="24">
        <f>VLOOKUP($Q14,武学奇术!$A:$ZZ,27,FALSE)*(1+IF(OR($AG14=$F$4,$AG14=$F$5),$B$22,0))</f>
        <v>0</v>
      </c>
      <c r="AJ14" s="23">
        <f>VLOOKUP($Q14,武学奇术!$A:$ZZ,28,FALSE)</f>
        <v>1.35</v>
      </c>
      <c r="AK14" s="24">
        <f>VLOOKUP($Q14,武学奇术!$A:$ZZ,29,FALSE)*(1+IF(OR($AG14=$F$4,$AG14=$F$5),$B$22,0))</f>
        <v>0</v>
      </c>
      <c r="AL14" s="23" cm="1">
        <f t="array" ref="AL14">$G$3+IFERROR(VLOOKUP($AG14,$F$4:$G$7,2,FALSE),0)+VLOOKUP($Q14,武学奇术!$A:$ZZ,2,FALSE)+SUM(_xlfn.XLOOKUP($R14:$AF14,增益!$A:$A,增益!$B:$B,0))</f>
        <v>0.993</v>
      </c>
      <c r="AM14" s="23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3052.34</v>
      </c>
      <c r="AO14" cm="1">
        <f t="array" ref="AO14">$E$10*(1+$AM14)+VLOOKUP($Q14,武学奇术!$A:$ZZ,4,FALSE)+SUM(_xlfn.XLOOKUP($R14:$AF14,增益!$A:$A,增益!$D:$D,0))-$I$2</f>
        <v>3052.34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0.447</v>
      </c>
      <c r="AQ14" s="30" cm="1">
        <f t="array" ref="AQ14">$G$10+VLOOKUP($Q14,武学奇术!$A:$ZZ,7,FALSE)+SUM(_xlfn.XLOOKUP(R14:AF14,增益!$A:$A,增益!$G:$G,0))</f>
        <v>0</v>
      </c>
      <c r="AR14" s="23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-0.08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634.5</v>
      </c>
      <c r="AX14">
        <f t="shared" si="4"/>
        <v>1443.3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0.198</v>
      </c>
      <c r="AZ14" s="30" cm="1">
        <f t="array" ref="AZ14">$G$12+VLOOKUP($Q14,武学奇术!$A:$ZZ,12,FALSE)+SUM(_xlfn.XLOOKUP(R14:AF14,增益!$A:$A,增益!$L:$L,0))</f>
        <v>0.148</v>
      </c>
      <c r="BA14">
        <f t="shared" si="5"/>
        <v>0</v>
      </c>
      <c r="BB14">
        <f t="shared" si="6"/>
        <v>0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-0.08</v>
      </c>
      <c r="BD14" s="30" cm="1">
        <f t="array" ref="BD14">$G$13+VLOOKUP($Q14,武学奇术!$A:$ZZ,14,FALSE)+SUM(_xlfn.XLOOKUP(R14:AF14,增益!$A:$A,增益!$N:$N,0))</f>
        <v>0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-0.08</v>
      </c>
      <c r="BH14" s="30" cm="1">
        <f t="array" ref="BH14">$G$14+VLOOKUP($Q14,武学奇术!$A:$ZZ,16,FALSE)+SUM(_xlfn.XLOOKUP(R14:AF14,增益!$A:$A,增益!$P:$P,0))</f>
        <v>0</v>
      </c>
      <c r="BI14" s="23">
        <f>MIN(IF(VLOOKUP($Q14,武学奇术!$A:$ZZ,23,FALSE)=1,100%,$B$8),100%)</f>
        <v>1</v>
      </c>
      <c r="BJ14" s="23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1</v>
      </c>
      <c r="BK14" s="23" cm="1">
        <f t="array" ref="BK14">1+$B$13+VLOOKUP($Q14,武学奇术!$A:$ZZ,18,FALSE)+SUM(_xlfn.XLOOKUP(R14:AF14,增益!$A:$A,增益!$R:$R,0))</f>
        <v>2</v>
      </c>
      <c r="BL14" s="23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</v>
      </c>
      <c r="BM14" s="23" cm="1">
        <f t="array" ref="BM14">1+$B$14+VLOOKUP($Q14,武学奇术!$A:$ZZ,20,FALSE)+SUM(_xlfn.XLOOKUP(R14:AF14,增益!$A:$A,增益!$T:$T,0))</f>
        <v>1.35</v>
      </c>
      <c r="BN14" s="23">
        <f t="shared" si="9"/>
        <v>1</v>
      </c>
      <c r="BO14" s="23">
        <f t="shared" si="10"/>
        <v>0</v>
      </c>
      <c r="BP14" s="23">
        <f>IF(VLOOKUP($Q14,武学奇术!$A:$ZZ,22,FALSE)=1,0,(1-$BI14))*(1-$BL14)</f>
        <v>0</v>
      </c>
      <c r="BQ14" s="23" cm="1">
        <f t="array" ref="BQ14">SUM(_xlfn.XLOOKUP(R14:AF14,增益!$A:$A,增益!$W:$W,0))</f>
        <v>0</v>
      </c>
    </row>
    <row r="15" ht="14.25" spans="1:69">
      <c r="A15" s="39" t="s">
        <v>117</v>
      </c>
      <c r="B15" s="67">
        <v>0.084</v>
      </c>
      <c r="C15" s="37" t="s">
        <v>118</v>
      </c>
      <c r="D15" s="37"/>
      <c r="F15" s="76"/>
      <c r="H15" s="77"/>
      <c r="I15" s="72"/>
      <c r="J15" s="73"/>
      <c r="K15" s="36">
        <f t="shared" si="0"/>
        <v>297849.404138752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297849.404138752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223357.447404938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148924.702069376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132399.443098057</v>
      </c>
      <c r="P15" s="37">
        <v>1</v>
      </c>
      <c r="Q15" s="38" t="s">
        <v>110</v>
      </c>
      <c r="R15" s="38" t="s">
        <v>86</v>
      </c>
      <c r="S15" s="38" t="s">
        <v>78</v>
      </c>
      <c r="T15" s="38" t="s">
        <v>79</v>
      </c>
      <c r="U15" s="38" t="s">
        <v>111</v>
      </c>
      <c r="V15" s="38" t="s">
        <v>107</v>
      </c>
      <c r="W15" s="38" t="s">
        <v>112</v>
      </c>
      <c r="X15" s="38" t="s">
        <v>72</v>
      </c>
      <c r="Y15" s="38" t="s">
        <v>72</v>
      </c>
      <c r="Z15" s="38" t="s">
        <v>72</v>
      </c>
      <c r="AA15" s="38" t="s">
        <v>68</v>
      </c>
      <c r="AB15" s="38" t="s">
        <v>72</v>
      </c>
      <c r="AC15" s="38" t="s">
        <v>72</v>
      </c>
      <c r="AD15" s="38" t="s">
        <v>72</v>
      </c>
      <c r="AE15" s="38" t="s">
        <v>72</v>
      </c>
      <c r="AF15" s="38" t="s">
        <v>74</v>
      </c>
      <c r="AG15" t="str">
        <f>VLOOKUP($Q15,武学奇术!$A:$ZZ,25,FALSE)</f>
        <v>陌刀</v>
      </c>
      <c r="AH15" s="23">
        <f>VLOOKUP($Q15,武学奇术!$A:$ZZ,26,FALSE)</f>
        <v>7.5674</v>
      </c>
      <c r="AI15" s="24">
        <f>VLOOKUP($Q15,武学奇术!$A:$ZZ,27,FALSE)*(1+IF(OR($AG15=$F$4,$AG15=$F$5),$B$22,0))</f>
        <v>2720.9</v>
      </c>
      <c r="AJ15" s="23">
        <f>VLOOKUP($Q15,武学奇术!$A:$ZZ,28,FALSE)</f>
        <v>11.3512</v>
      </c>
      <c r="AK15" s="24">
        <f>VLOOKUP($Q15,武学奇术!$A:$ZZ,29,FALSE)*(1+IF(OR($AG15=$F$4,$AG15=$F$5),$B$22,0))</f>
        <v>1482</v>
      </c>
      <c r="AL15" s="23" cm="1">
        <f t="array" ref="AL15">$G$3+IFERROR(VLOOKUP($AG15,$F$4:$G$7,2,FALSE),0)+VLOOKUP($Q15,武学奇术!$A:$ZZ,2,FALSE)+SUM(_xlfn.XLOOKUP($R15:$AF15,增益!$A:$A,增益!$B:$B,0))</f>
        <v>0.983</v>
      </c>
      <c r="AM15" s="23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3052.34</v>
      </c>
      <c r="AO15" cm="1">
        <f t="array" ref="AO15">$E$10*(1+$AM15)+VLOOKUP($Q15,武学奇术!$A:$ZZ,4,FALSE)+SUM(_xlfn.XLOOKUP($R15:$AF15,增益!$A:$A,增益!$D:$D,0))-$I$2</f>
        <v>3052.34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0.457</v>
      </c>
      <c r="AQ15" s="30" cm="1">
        <f t="array" ref="AQ15">$G$10+VLOOKUP($Q15,武学奇术!$A:$ZZ,7,FALSE)+SUM(_xlfn.XLOOKUP(R15:AF15,增益!$A:$A,增益!$G:$G,0))</f>
        <v>0</v>
      </c>
      <c r="AR15" s="23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-0.08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634.5</v>
      </c>
      <c r="AX15">
        <f t="shared" si="4"/>
        <v>1443.3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0.198</v>
      </c>
      <c r="AZ15" s="30" cm="1">
        <f t="array" ref="AZ15">$G$12+VLOOKUP($Q15,武学奇术!$A:$ZZ,12,FALSE)+SUM(_xlfn.XLOOKUP(R15:AF15,增益!$A:$A,增益!$L:$L,0))</f>
        <v>0.148</v>
      </c>
      <c r="BA15">
        <f t="shared" si="5"/>
        <v>0</v>
      </c>
      <c r="BB15">
        <f t="shared" si="6"/>
        <v>0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-0.08</v>
      </c>
      <c r="BD15" s="30" cm="1">
        <f t="array" ref="BD15">$G$13+VLOOKUP($Q15,武学奇术!$A:$ZZ,14,FALSE)+SUM(_xlfn.XLOOKUP(R15:AF15,增益!$A:$A,增益!$N:$N,0))</f>
        <v>0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-0.08</v>
      </c>
      <c r="BH15" s="30" cm="1">
        <f t="array" ref="BH15">$G$14+VLOOKUP($Q15,武学奇术!$A:$ZZ,16,FALSE)+SUM(_xlfn.XLOOKUP(R15:AF15,增益!$A:$A,增益!$P:$P,0))</f>
        <v>0</v>
      </c>
      <c r="BI15" s="23">
        <f>MIN(IF(VLOOKUP($Q15,武学奇术!$A:$ZZ,23,FALSE)=1,100%,$B$8),100%)</f>
        <v>1</v>
      </c>
      <c r="BJ15" s="23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1</v>
      </c>
      <c r="BK15" s="23" cm="1">
        <f t="array" ref="BK15">1+$B$13+VLOOKUP($Q15,武学奇术!$A:$ZZ,18,FALSE)+SUM(_xlfn.XLOOKUP(R15:AF15,增益!$A:$A,增益!$R:$R,0))</f>
        <v>2</v>
      </c>
      <c r="BL15" s="23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</v>
      </c>
      <c r="BM15" s="23" cm="1">
        <f t="array" ref="BM15">1+$B$14+VLOOKUP($Q15,武学奇术!$A:$ZZ,20,FALSE)+SUM(_xlfn.XLOOKUP(R15:AF15,增益!$A:$A,增益!$T:$T,0))</f>
        <v>1.35</v>
      </c>
      <c r="BN15" s="23">
        <f t="shared" si="9"/>
        <v>1</v>
      </c>
      <c r="BO15" s="23">
        <f t="shared" si="10"/>
        <v>0</v>
      </c>
      <c r="BP15" s="23">
        <f>IF(VLOOKUP($Q15,武学奇术!$A:$ZZ,22,FALSE)=1,0,(1-$BI15))*(1-$BL15)</f>
        <v>0</v>
      </c>
      <c r="BQ15" s="23" cm="1">
        <f t="array" ref="BQ15">SUM(_xlfn.XLOOKUP(R15:AF15,增益!$A:$A,增益!$W:$W,0))</f>
        <v>0</v>
      </c>
    </row>
    <row r="16" ht="14.25" spans="1:69">
      <c r="A16" s="39" t="s">
        <v>119</v>
      </c>
      <c r="B16" s="67">
        <v>0.088</v>
      </c>
      <c r="C16" s="37" t="s">
        <v>120</v>
      </c>
      <c r="D16" s="76" t="s">
        <v>121</v>
      </c>
      <c r="E16" s="37" t="s">
        <v>122</v>
      </c>
      <c r="F16" s="76" t="s">
        <v>121</v>
      </c>
      <c r="H16" s="65" t="s">
        <v>123</v>
      </c>
      <c r="I16" s="78">
        <f>I12/129588.29</f>
        <v>1.00000000044055</v>
      </c>
      <c r="J16" s="79"/>
      <c r="K16" s="36">
        <f t="shared" si="0"/>
        <v>18472.6750516158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18472.6750516158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13371.6045935193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8796.51192934087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7688.13156718596</v>
      </c>
      <c r="P16" s="37">
        <v>1</v>
      </c>
      <c r="Q16" s="38" t="s">
        <v>114</v>
      </c>
      <c r="R16" s="38" t="s">
        <v>89</v>
      </c>
      <c r="S16" s="38" t="s">
        <v>78</v>
      </c>
      <c r="T16" s="38" t="s">
        <v>79</v>
      </c>
      <c r="U16" s="38" t="s">
        <v>111</v>
      </c>
      <c r="V16" s="38" t="s">
        <v>107</v>
      </c>
      <c r="W16" s="38" t="s">
        <v>104</v>
      </c>
      <c r="X16" s="38" t="s">
        <v>122</v>
      </c>
      <c r="Y16" s="38" t="s">
        <v>72</v>
      </c>
      <c r="Z16" s="38" t="s">
        <v>72</v>
      </c>
      <c r="AA16" s="38" t="s">
        <v>68</v>
      </c>
      <c r="AB16" s="38" t="s">
        <v>72</v>
      </c>
      <c r="AC16" s="38" t="s">
        <v>72</v>
      </c>
      <c r="AD16" s="38" t="s">
        <v>72</v>
      </c>
      <c r="AE16" s="38" t="s">
        <v>72</v>
      </c>
      <c r="AF16" s="38" t="s">
        <v>74</v>
      </c>
      <c r="AG16" t="str">
        <f>VLOOKUP($Q16,武学奇术!$A:$ZZ,25,FALSE)</f>
        <v>陌刀</v>
      </c>
      <c r="AH16" s="23">
        <f>VLOOKUP($Q16,武学奇术!$A:$ZZ,26,FALSE)</f>
        <v>0.5</v>
      </c>
      <c r="AI16" s="24">
        <f>VLOOKUP($Q16,武学奇术!$A:$ZZ,27,FALSE)*(1+IF(OR($AG16=$F$4,$AG16=$F$5),$B$22,0))</f>
        <v>0</v>
      </c>
      <c r="AJ16" s="23">
        <f>VLOOKUP($Q16,武学奇术!$A:$ZZ,28,FALSE)</f>
        <v>0.75</v>
      </c>
      <c r="AK16" s="24">
        <f>VLOOKUP($Q16,武学奇术!$A:$ZZ,29,FALSE)*(1+IF(OR($AG16=$F$4,$AG16=$F$5),$B$22,0))</f>
        <v>0</v>
      </c>
      <c r="AL16" s="23" cm="1">
        <f t="array" ref="AL16">$G$3+IFERROR(VLOOKUP($AG16,$F$4:$G$7,2,FALSE),0)+VLOOKUP($Q16,武学奇术!$A:$ZZ,2,FALSE)+SUM(_xlfn.XLOOKUP($R16:$AF16,增益!$A:$A,增益!$B:$B,0))</f>
        <v>1.013</v>
      </c>
      <c r="AM16" s="23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3052.34</v>
      </c>
      <c r="AO16" cm="1">
        <f t="array" ref="AO16">$E$10*(1+$AM16)+VLOOKUP($Q16,武学奇术!$A:$ZZ,4,FALSE)+SUM(_xlfn.XLOOKUP($R16:$AF16,增益!$A:$A,增益!$D:$D,0))-$I$2</f>
        <v>3052.34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0.467</v>
      </c>
      <c r="AQ16" s="30" cm="1">
        <f t="array" ref="AQ16">$G$10+VLOOKUP($Q16,武学奇术!$A:$ZZ,7,FALSE)+SUM(_xlfn.XLOOKUP(R16:AF16,增益!$A:$A,增益!$G:$G,0))</f>
        <v>0</v>
      </c>
      <c r="AR16" s="23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-0.08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634.5</v>
      </c>
      <c r="AX16">
        <f t="shared" si="4"/>
        <v>1443.3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0.198</v>
      </c>
      <c r="AZ16" s="30" cm="1">
        <f t="array" ref="AZ16">$G$12+VLOOKUP($Q16,武学奇术!$A:$ZZ,12,FALSE)+SUM(_xlfn.XLOOKUP(R16:AF16,增益!$A:$A,增益!$L:$L,0))</f>
        <v>0.148</v>
      </c>
      <c r="BA16">
        <f t="shared" si="5"/>
        <v>0</v>
      </c>
      <c r="BB16">
        <f t="shared" si="6"/>
        <v>0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-0.08</v>
      </c>
      <c r="BD16" s="30" cm="1">
        <f t="array" ref="BD16">$G$13+VLOOKUP($Q16,武学奇术!$A:$ZZ,14,FALSE)+SUM(_xlfn.XLOOKUP(R16:AF16,增益!$A:$A,增益!$N:$N,0))</f>
        <v>0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-0.08</v>
      </c>
      <c r="BH16" s="30" cm="1">
        <f t="array" ref="BH16">$G$14+VLOOKUP($Q16,武学奇术!$A:$ZZ,16,FALSE)+SUM(_xlfn.XLOOKUP(R16:AF16,增益!$A:$A,增益!$P:$P,0))</f>
        <v>0</v>
      </c>
      <c r="BI16" s="23">
        <f>MIN(IF(VLOOKUP($Q16,武学奇术!$A:$ZZ,23,FALSE)=1,100%,$B$8),100%)</f>
        <v>1</v>
      </c>
      <c r="BJ16" s="23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1</v>
      </c>
      <c r="BK16" s="23" cm="1">
        <f t="array" ref="BK16">1+$B$13+VLOOKUP($Q16,武学奇术!$A:$ZZ,18,FALSE)+SUM(_xlfn.XLOOKUP(R16:AF16,增益!$A:$A,增益!$R:$R,0))</f>
        <v>2.1</v>
      </c>
      <c r="BL16" s="23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</v>
      </c>
      <c r="BM16" s="23" cm="1">
        <f t="array" ref="BM16">1+$B$14+VLOOKUP($Q16,武学奇术!$A:$ZZ,20,FALSE)+SUM(_xlfn.XLOOKUP(R16:AF16,增益!$A:$A,增益!$T:$T,0))</f>
        <v>1.35</v>
      </c>
      <c r="BN16" s="23">
        <f t="shared" si="9"/>
        <v>1</v>
      </c>
      <c r="BO16" s="23">
        <f t="shared" si="10"/>
        <v>0</v>
      </c>
      <c r="BP16" s="23">
        <f>IF(VLOOKUP($Q16,武学奇术!$A:$ZZ,22,FALSE)=1,0,(1-$BI16))*(1-$BL16)</f>
        <v>0</v>
      </c>
      <c r="BQ16" s="23" cm="1">
        <f t="array" ref="BQ16">SUM(_xlfn.XLOOKUP(R16:AF16,增益!$A:$A,增益!$W:$W,0))</f>
        <v>0</v>
      </c>
    </row>
    <row r="17" ht="14.25" spans="1:69">
      <c r="A17" s="39" t="s">
        <v>124</v>
      </c>
      <c r="B17" s="67">
        <v>0.086</v>
      </c>
      <c r="C17" s="37" t="s">
        <v>125</v>
      </c>
      <c r="D17" s="76" t="s">
        <v>121</v>
      </c>
      <c r="E17" s="37" t="s">
        <v>58</v>
      </c>
      <c r="F17" s="80">
        <f>$B$8*($B$9+$B$11)</f>
        <v>0.75020322</v>
      </c>
      <c r="H17" s="68"/>
      <c r="I17" s="81"/>
      <c r="J17" s="82"/>
      <c r="K17" s="36">
        <f t="shared" si="0"/>
        <v>33250.8150929085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33250.8150929085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24068.8882683348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15833.7214728136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13838.6368209347</v>
      </c>
      <c r="P17" s="37">
        <v>1</v>
      </c>
      <c r="Q17" s="38" t="s">
        <v>106</v>
      </c>
      <c r="R17" s="38" t="s">
        <v>89</v>
      </c>
      <c r="S17" s="38" t="s">
        <v>78</v>
      </c>
      <c r="T17" s="38" t="s">
        <v>79</v>
      </c>
      <c r="U17" s="38" t="s">
        <v>111</v>
      </c>
      <c r="V17" s="38" t="s">
        <v>107</v>
      </c>
      <c r="W17" s="38" t="s">
        <v>104</v>
      </c>
      <c r="X17" s="38" t="s">
        <v>122</v>
      </c>
      <c r="Y17" s="38" t="s">
        <v>72</v>
      </c>
      <c r="Z17" s="38" t="s">
        <v>72</v>
      </c>
      <c r="AA17" s="38" t="s">
        <v>68</v>
      </c>
      <c r="AB17" s="38" t="s">
        <v>72</v>
      </c>
      <c r="AC17" s="38" t="s">
        <v>72</v>
      </c>
      <c r="AD17" s="38" t="s">
        <v>72</v>
      </c>
      <c r="AE17" s="38" t="s">
        <v>72</v>
      </c>
      <c r="AF17" s="38" t="s">
        <v>74</v>
      </c>
      <c r="AG17" t="str">
        <f>VLOOKUP($Q17,武学奇术!$A:$ZZ,25,FALSE)</f>
        <v>陌刀</v>
      </c>
      <c r="AH17" s="23">
        <f>VLOOKUP($Q17,武学奇术!$A:$ZZ,26,FALSE)</f>
        <v>0.9</v>
      </c>
      <c r="AI17" s="24">
        <f>VLOOKUP($Q17,武学奇术!$A:$ZZ,27,FALSE)*(1+IF(OR($AG17=$F$4,$AG17=$F$5),$B$22,0))</f>
        <v>0</v>
      </c>
      <c r="AJ17" s="23">
        <f>VLOOKUP($Q17,武学奇术!$A:$ZZ,28,FALSE)</f>
        <v>1.35</v>
      </c>
      <c r="AK17" s="24">
        <f>VLOOKUP($Q17,武学奇术!$A:$ZZ,29,FALSE)*(1+IF(OR($AG17=$F$4,$AG17=$F$5),$B$22,0))</f>
        <v>0</v>
      </c>
      <c r="AL17" s="23" cm="1">
        <f t="array" ref="AL17">$G$3+IFERROR(VLOOKUP($AG17,$F$4:$G$7,2,FALSE),0)+VLOOKUP($Q17,武学奇术!$A:$ZZ,2,FALSE)+SUM(_xlfn.XLOOKUP($R17:$AF17,增益!$A:$A,增益!$B:$B,0))</f>
        <v>1.013</v>
      </c>
      <c r="AM17" s="23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3052.34</v>
      </c>
      <c r="AO17" cm="1">
        <f t="array" ref="AO17">$E$10*(1+$AM17)+VLOOKUP($Q17,武学奇术!$A:$ZZ,4,FALSE)+SUM(_xlfn.XLOOKUP($R17:$AF17,增益!$A:$A,增益!$D:$D,0))-$I$2</f>
        <v>3052.34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0.467</v>
      </c>
      <c r="AQ17" s="30" cm="1">
        <f t="array" ref="AQ17">$G$10+VLOOKUP($Q17,武学奇术!$A:$ZZ,7,FALSE)+SUM(_xlfn.XLOOKUP(R17:AF17,增益!$A:$A,增益!$G:$G,0))</f>
        <v>0</v>
      </c>
      <c r="AR17" s="23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-0.08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634.5</v>
      </c>
      <c r="AX17">
        <f t="shared" si="4"/>
        <v>1443.3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0.198</v>
      </c>
      <c r="AZ17" s="30" cm="1">
        <f t="array" ref="AZ17">$G$12+VLOOKUP($Q17,武学奇术!$A:$ZZ,12,FALSE)+SUM(_xlfn.XLOOKUP(R17:AF17,增益!$A:$A,增益!$L:$L,0))</f>
        <v>0.148</v>
      </c>
      <c r="BA17">
        <f t="shared" si="5"/>
        <v>0</v>
      </c>
      <c r="BB17">
        <f t="shared" si="6"/>
        <v>0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-0.08</v>
      </c>
      <c r="BD17" s="30" cm="1">
        <f t="array" ref="BD17">$G$13+VLOOKUP($Q17,武学奇术!$A:$ZZ,14,FALSE)+SUM(_xlfn.XLOOKUP(R17:AF17,增益!$A:$A,增益!$N:$N,0))</f>
        <v>0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-0.08</v>
      </c>
      <c r="BH17" s="30" cm="1">
        <f t="array" ref="BH17">$G$14+VLOOKUP($Q17,武学奇术!$A:$ZZ,16,FALSE)+SUM(_xlfn.XLOOKUP(R17:AF17,增益!$A:$A,增益!$P:$P,0))</f>
        <v>0</v>
      </c>
      <c r="BI17" s="23">
        <f>MIN(IF(VLOOKUP($Q17,武学奇术!$A:$ZZ,23,FALSE)=1,100%,$B$8),100%)</f>
        <v>1</v>
      </c>
      <c r="BJ17" s="23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1</v>
      </c>
      <c r="BK17" s="23" cm="1">
        <f t="array" ref="BK17">1+$B$13+VLOOKUP($Q17,武学奇术!$A:$ZZ,18,FALSE)+SUM(_xlfn.XLOOKUP(R17:AF17,增益!$A:$A,增益!$R:$R,0))</f>
        <v>2.1</v>
      </c>
      <c r="BL17" s="23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</v>
      </c>
      <c r="BM17" s="23" cm="1">
        <f t="array" ref="BM17">1+$B$14+VLOOKUP($Q17,武学奇术!$A:$ZZ,20,FALSE)+SUM(_xlfn.XLOOKUP(R17:AF17,增益!$A:$A,增益!$T:$T,0))</f>
        <v>1.35</v>
      </c>
      <c r="BN17" s="23">
        <f t="shared" si="9"/>
        <v>1</v>
      </c>
      <c r="BO17" s="23">
        <f t="shared" si="10"/>
        <v>0</v>
      </c>
      <c r="BP17" s="23">
        <f>IF(VLOOKUP($Q17,武学奇术!$A:$ZZ,22,FALSE)=1,0,(1-$BI17))*(1-$BL17)</f>
        <v>0</v>
      </c>
      <c r="BQ17" s="23" cm="1">
        <f t="array" ref="BQ17">SUM(_xlfn.XLOOKUP(R17:AF17,增益!$A:$A,增益!$W:$W,0))</f>
        <v>0</v>
      </c>
    </row>
    <row r="18" spans="1:69">
      <c r="A18" s="39" t="s">
        <v>126</v>
      </c>
      <c r="B18" s="67">
        <v>0</v>
      </c>
      <c r="C18" s="37" t="s">
        <v>127</v>
      </c>
      <c r="D18" s="76" t="s">
        <v>121</v>
      </c>
      <c r="K18" s="36">
        <f t="shared" si="0"/>
        <v>315745.394452956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315745.394452956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225400.783522652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150354.949739503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133746.356128894</v>
      </c>
      <c r="P18" s="37">
        <v>1</v>
      </c>
      <c r="Q18" s="38" t="s">
        <v>110</v>
      </c>
      <c r="R18" s="38" t="s">
        <v>89</v>
      </c>
      <c r="S18" s="38" t="s">
        <v>78</v>
      </c>
      <c r="T18" s="38" t="s">
        <v>79</v>
      </c>
      <c r="U18" s="38" t="s">
        <v>111</v>
      </c>
      <c r="V18" s="38" t="s">
        <v>107</v>
      </c>
      <c r="W18" s="38" t="s">
        <v>112</v>
      </c>
      <c r="X18" s="38" t="s">
        <v>122</v>
      </c>
      <c r="Y18" s="38" t="s">
        <v>72</v>
      </c>
      <c r="Z18" s="38" t="s">
        <v>72</v>
      </c>
      <c r="AA18" s="38" t="s">
        <v>68</v>
      </c>
      <c r="AB18" s="38" t="s">
        <v>72</v>
      </c>
      <c r="AC18" s="38" t="s">
        <v>72</v>
      </c>
      <c r="AD18" s="38" t="s">
        <v>72</v>
      </c>
      <c r="AE18" s="38" t="s">
        <v>72</v>
      </c>
      <c r="AF18" s="38" t="s">
        <v>74</v>
      </c>
      <c r="AG18" t="str">
        <f>VLOOKUP($Q18,武学奇术!$A:$ZZ,25,FALSE)</f>
        <v>陌刀</v>
      </c>
      <c r="AH18" s="23">
        <f>VLOOKUP($Q18,武学奇术!$A:$ZZ,26,FALSE)</f>
        <v>7.5674</v>
      </c>
      <c r="AI18" s="24">
        <f>VLOOKUP($Q18,武学奇术!$A:$ZZ,27,FALSE)*(1+IF(OR($AG18=$F$4,$AG18=$F$5),$B$22,0))</f>
        <v>2720.9</v>
      </c>
      <c r="AJ18" s="23">
        <f>VLOOKUP($Q18,武学奇术!$A:$ZZ,28,FALSE)</f>
        <v>11.3512</v>
      </c>
      <c r="AK18" s="24">
        <f>VLOOKUP($Q18,武学奇术!$A:$ZZ,29,FALSE)*(1+IF(OR($AG18=$F$4,$AG18=$F$5),$B$22,0))</f>
        <v>1482</v>
      </c>
      <c r="AL18" s="23" cm="1">
        <f t="array" ref="AL18">$G$3+IFERROR(VLOOKUP($AG18,$F$4:$G$7,2,FALSE),0)+VLOOKUP($Q18,武学奇术!$A:$ZZ,2,FALSE)+SUM(_xlfn.XLOOKUP($R18:$AF18,增益!$A:$A,增益!$B:$B,0))</f>
        <v>0.993</v>
      </c>
      <c r="AM18" s="23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3052.34</v>
      </c>
      <c r="AO18" cm="1">
        <f t="array" ref="AO18">$E$10*(1+$AM18)+VLOOKUP($Q18,武学奇术!$A:$ZZ,4,FALSE)+SUM(_xlfn.XLOOKUP($R18:$AF18,增益!$A:$A,增益!$D:$D,0))-$I$2</f>
        <v>3052.34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0.467</v>
      </c>
      <c r="AQ18" s="30" cm="1">
        <f t="array" ref="AQ18">$G$10+VLOOKUP($Q18,武学奇术!$A:$ZZ,7,FALSE)+SUM(_xlfn.XLOOKUP(R18:AF18,增益!$A:$A,增益!$G:$G,0))</f>
        <v>0</v>
      </c>
      <c r="AR18" s="23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-0.08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634.5</v>
      </c>
      <c r="AX18">
        <f t="shared" si="4"/>
        <v>1443.3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0.198</v>
      </c>
      <c r="AZ18" s="30" cm="1">
        <f t="array" ref="AZ18">$G$12+VLOOKUP($Q18,武学奇术!$A:$ZZ,12,FALSE)+SUM(_xlfn.XLOOKUP(R18:AF18,增益!$A:$A,增益!$L:$L,0))</f>
        <v>0.148</v>
      </c>
      <c r="BA18">
        <f t="shared" si="5"/>
        <v>0</v>
      </c>
      <c r="BB18">
        <f t="shared" si="6"/>
        <v>0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-0.08</v>
      </c>
      <c r="BD18" s="30" cm="1">
        <f t="array" ref="BD18">$G$13+VLOOKUP($Q18,武学奇术!$A:$ZZ,14,FALSE)+SUM(_xlfn.XLOOKUP(R18:AF18,增益!$A:$A,增益!$N:$N,0))</f>
        <v>0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-0.08</v>
      </c>
      <c r="BH18" s="30" cm="1">
        <f t="array" ref="BH18">$G$14+VLOOKUP($Q18,武学奇术!$A:$ZZ,16,FALSE)+SUM(_xlfn.XLOOKUP(R18:AF18,增益!$A:$A,增益!$P:$P,0))</f>
        <v>0</v>
      </c>
      <c r="BI18" s="23">
        <f>MIN(IF(VLOOKUP($Q18,武学奇术!$A:$ZZ,23,FALSE)=1,100%,$B$8),100%)</f>
        <v>1</v>
      </c>
      <c r="BJ18" s="23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1</v>
      </c>
      <c r="BK18" s="23" cm="1">
        <f t="array" ref="BK18">1+$B$13+VLOOKUP($Q18,武学奇术!$A:$ZZ,18,FALSE)+SUM(_xlfn.XLOOKUP(R18:AF18,增益!$A:$A,增益!$R:$R,0))</f>
        <v>2.1</v>
      </c>
      <c r="BL18" s="23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</v>
      </c>
      <c r="BM18" s="23" cm="1">
        <f t="array" ref="BM18">1+$B$14+VLOOKUP($Q18,武学奇术!$A:$ZZ,20,FALSE)+SUM(_xlfn.XLOOKUP(R18:AF18,增益!$A:$A,增益!$T:$T,0))</f>
        <v>1.35</v>
      </c>
      <c r="BN18" s="23">
        <f t="shared" si="9"/>
        <v>1</v>
      </c>
      <c r="BO18" s="23">
        <f t="shared" si="10"/>
        <v>0</v>
      </c>
      <c r="BP18" s="23">
        <f>IF(VLOOKUP($Q18,武学奇术!$A:$ZZ,22,FALSE)=1,0,(1-$BI18))*(1-$BL18)</f>
        <v>0</v>
      </c>
      <c r="BQ18" s="23" cm="1">
        <f t="array" ref="BQ18">SUM(_xlfn.XLOOKUP(R18:AF18,增益!$A:$A,增益!$W:$W,0))</f>
        <v>0</v>
      </c>
    </row>
    <row r="19" spans="1:69">
      <c r="A19" s="39" t="s">
        <v>128</v>
      </c>
      <c r="B19" s="67">
        <v>0</v>
      </c>
      <c r="K19" s="36">
        <f t="shared" si="0"/>
        <v>20874.1228083259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20874.1228083259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15109.9131906768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9940.05848015519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8687.58867092013</v>
      </c>
      <c r="P19" s="37">
        <v>1</v>
      </c>
      <c r="Q19" s="38" t="s">
        <v>114</v>
      </c>
      <c r="R19" s="38" t="s">
        <v>89</v>
      </c>
      <c r="S19" s="38" t="s">
        <v>78</v>
      </c>
      <c r="T19" s="38" t="s">
        <v>79</v>
      </c>
      <c r="U19" s="38" t="s">
        <v>111</v>
      </c>
      <c r="V19" s="38" t="s">
        <v>107</v>
      </c>
      <c r="W19" s="38" t="s">
        <v>104</v>
      </c>
      <c r="X19" s="38" t="s">
        <v>122</v>
      </c>
      <c r="Y19" s="38" t="s">
        <v>72</v>
      </c>
      <c r="Z19" s="38" t="s">
        <v>72</v>
      </c>
      <c r="AA19" s="38" t="s">
        <v>68</v>
      </c>
      <c r="AB19" s="38" t="s">
        <v>72</v>
      </c>
      <c r="AC19" s="38" t="s">
        <v>72</v>
      </c>
      <c r="AD19" s="38" t="s">
        <v>72</v>
      </c>
      <c r="AE19" s="38" t="s">
        <v>90</v>
      </c>
      <c r="AF19" s="38" t="s">
        <v>74</v>
      </c>
      <c r="AG19" t="str">
        <f>VLOOKUP($Q19,武学奇术!$A:$ZZ,25,FALSE)</f>
        <v>陌刀</v>
      </c>
      <c r="AH19" s="23">
        <f>VLOOKUP($Q19,武学奇术!$A:$ZZ,26,FALSE)</f>
        <v>0.5</v>
      </c>
      <c r="AI19" s="24">
        <f>VLOOKUP($Q19,武学奇术!$A:$ZZ,27,FALSE)*(1+IF(OR($AG19=$F$4,$AG19=$F$5),$B$22,0))</f>
        <v>0</v>
      </c>
      <c r="AJ19" s="23">
        <f>VLOOKUP($Q19,武学奇术!$A:$ZZ,28,FALSE)</f>
        <v>0.75</v>
      </c>
      <c r="AK19" s="24">
        <f>VLOOKUP($Q19,武学奇术!$A:$ZZ,29,FALSE)*(1+IF(OR($AG19=$F$4,$AG19=$F$5),$B$22,0))</f>
        <v>0</v>
      </c>
      <c r="AL19" s="23" cm="1">
        <f t="array" ref="AL19">$G$3+IFERROR(VLOOKUP($AG19,$F$4:$G$7,2,FALSE),0)+VLOOKUP($Q19,武学奇术!$A:$ZZ,2,FALSE)+SUM(_xlfn.XLOOKUP($R19:$AF19,增益!$A:$A,增益!$B:$B,0))</f>
        <v>1.013</v>
      </c>
      <c r="AM19" s="23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3052.34</v>
      </c>
      <c r="AO19" cm="1">
        <f t="array" ref="AO19">$E$10*(1+$AM19)+VLOOKUP($Q19,武学奇术!$A:$ZZ,4,FALSE)+SUM(_xlfn.XLOOKUP($R19:$AF19,增益!$A:$A,增益!$D:$D,0))-$I$2</f>
        <v>3052.34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0.467</v>
      </c>
      <c r="AQ19" s="30" cm="1">
        <f t="array" ref="AQ19">$G$10+VLOOKUP($Q19,武学奇术!$A:$ZZ,7,FALSE)+SUM(_xlfn.XLOOKUP(R19:AF19,增益!$A:$A,增益!$G:$G,0))</f>
        <v>0</v>
      </c>
      <c r="AR19" s="23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-0.08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634.5</v>
      </c>
      <c r="AX19">
        <f t="shared" si="4"/>
        <v>1443.3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0.198</v>
      </c>
      <c r="AZ19" s="30" cm="1">
        <f t="array" ref="AZ19">$G$12+VLOOKUP($Q19,武学奇术!$A:$ZZ,12,FALSE)+SUM(_xlfn.XLOOKUP(R19:AF19,增益!$A:$A,增益!$L:$L,0))</f>
        <v>0.148</v>
      </c>
      <c r="BA19">
        <f t="shared" si="5"/>
        <v>0</v>
      </c>
      <c r="BB19">
        <f t="shared" si="6"/>
        <v>0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-0.08</v>
      </c>
      <c r="BD19" s="30" cm="1">
        <f t="array" ref="BD19">$G$13+VLOOKUP($Q19,武学奇术!$A:$ZZ,14,FALSE)+SUM(_xlfn.XLOOKUP(R19:AF19,增益!$A:$A,增益!$N:$N,0))</f>
        <v>0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-0.08</v>
      </c>
      <c r="BH19" s="30" cm="1">
        <f t="array" ref="BH19">$G$14+VLOOKUP($Q19,武学奇术!$A:$ZZ,16,FALSE)+SUM(_xlfn.XLOOKUP(R19:AF19,增益!$A:$A,增益!$P:$P,0))</f>
        <v>0</v>
      </c>
      <c r="BI19" s="23">
        <f>MIN(IF(VLOOKUP($Q19,武学奇术!$A:$ZZ,23,FALSE)=1,100%,$B$8),100%)</f>
        <v>1</v>
      </c>
      <c r="BJ19" s="23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1</v>
      </c>
      <c r="BK19" s="23" cm="1">
        <f t="array" ref="BK19">1+$B$13+VLOOKUP($Q19,武学奇术!$A:$ZZ,18,FALSE)+SUM(_xlfn.XLOOKUP(R19:AF19,增益!$A:$A,增益!$R:$R,0))</f>
        <v>2.1</v>
      </c>
      <c r="BL19" s="23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</v>
      </c>
      <c r="BM19" s="23" cm="1">
        <f t="array" ref="BM19">1+$B$14+VLOOKUP($Q19,武学奇术!$A:$ZZ,20,FALSE)+SUM(_xlfn.XLOOKUP(R19:AF19,增益!$A:$A,增益!$T:$T,0))</f>
        <v>1.35</v>
      </c>
      <c r="BN19" s="23">
        <f t="shared" si="9"/>
        <v>1</v>
      </c>
      <c r="BO19" s="23">
        <f t="shared" si="10"/>
        <v>0</v>
      </c>
      <c r="BP19" s="23">
        <f>IF(VLOOKUP($Q19,武学奇术!$A:$ZZ,22,FALSE)=1,0,(1-$BI19))*(1-$BL19)</f>
        <v>0</v>
      </c>
      <c r="BQ19" s="23" cm="1">
        <f t="array" ref="BQ19">SUM(_xlfn.XLOOKUP(R19:AF19,增益!$A:$A,增益!$W:$W,0))</f>
        <v>0.13</v>
      </c>
    </row>
    <row r="20" spans="1:69">
      <c r="A20" s="39" t="s">
        <v>129</v>
      </c>
      <c r="B20" s="67">
        <v>0</v>
      </c>
      <c r="C20" s="37" t="s">
        <v>130</v>
      </c>
      <c r="D20" s="37"/>
      <c r="K20" s="36">
        <f t="shared" si="0"/>
        <v>37573.4210549866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37573.4210549866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27197.8437432183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17892.1052642793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15637.6596076562</v>
      </c>
      <c r="P20" s="37">
        <v>1</v>
      </c>
      <c r="Q20" s="38" t="s">
        <v>106</v>
      </c>
      <c r="R20" s="38" t="s">
        <v>89</v>
      </c>
      <c r="S20" s="38" t="s">
        <v>78</v>
      </c>
      <c r="T20" s="38" t="s">
        <v>79</v>
      </c>
      <c r="U20" s="38" t="s">
        <v>111</v>
      </c>
      <c r="V20" s="38" t="s">
        <v>107</v>
      </c>
      <c r="W20" s="38" t="s">
        <v>104</v>
      </c>
      <c r="X20" s="38" t="s">
        <v>122</v>
      </c>
      <c r="Y20" s="38" t="s">
        <v>72</v>
      </c>
      <c r="Z20" s="38" t="s">
        <v>72</v>
      </c>
      <c r="AA20" s="38" t="s">
        <v>68</v>
      </c>
      <c r="AB20" s="38" t="s">
        <v>72</v>
      </c>
      <c r="AC20" s="38" t="s">
        <v>72</v>
      </c>
      <c r="AD20" s="38" t="s">
        <v>72</v>
      </c>
      <c r="AE20" s="38" t="s">
        <v>90</v>
      </c>
      <c r="AF20" s="38" t="s">
        <v>74</v>
      </c>
      <c r="AG20" t="str">
        <f>VLOOKUP($Q20,武学奇术!$A:$ZZ,25,FALSE)</f>
        <v>陌刀</v>
      </c>
      <c r="AH20" s="23">
        <f>VLOOKUP($Q20,武学奇术!$A:$ZZ,26,FALSE)</f>
        <v>0.9</v>
      </c>
      <c r="AI20" s="24">
        <f>VLOOKUP($Q20,武学奇术!$A:$ZZ,27,FALSE)*(1+IF(OR($AG20=$F$4,$AG20=$F$5),$B$22,0))</f>
        <v>0</v>
      </c>
      <c r="AJ20" s="23">
        <f>VLOOKUP($Q20,武学奇术!$A:$ZZ,28,FALSE)</f>
        <v>1.35</v>
      </c>
      <c r="AK20" s="24">
        <f>VLOOKUP($Q20,武学奇术!$A:$ZZ,29,FALSE)*(1+IF(OR($AG20=$F$4,$AG20=$F$5),$B$22,0))</f>
        <v>0</v>
      </c>
      <c r="AL20" s="23" cm="1">
        <f t="array" ref="AL20">$G$3+IFERROR(VLOOKUP($AG20,$F$4:$G$7,2,FALSE),0)+VLOOKUP($Q20,武学奇术!$A:$ZZ,2,FALSE)+SUM(_xlfn.XLOOKUP($R20:$AF20,增益!$A:$A,增益!$B:$B,0))</f>
        <v>1.013</v>
      </c>
      <c r="AM20" s="23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3052.34</v>
      </c>
      <c r="AO20" cm="1">
        <f t="array" ref="AO20">$E$10*(1+$AM20)+VLOOKUP($Q20,武学奇术!$A:$ZZ,4,FALSE)+SUM(_xlfn.XLOOKUP($R20:$AF20,增益!$A:$A,增益!$D:$D,0))-$I$2</f>
        <v>3052.34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0.467</v>
      </c>
      <c r="AQ20" s="30" cm="1">
        <f t="array" ref="AQ20">$G$10+VLOOKUP($Q20,武学奇术!$A:$ZZ,7,FALSE)+SUM(_xlfn.XLOOKUP(R20:AF20,增益!$A:$A,增益!$G:$G,0))</f>
        <v>0</v>
      </c>
      <c r="AR20" s="23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-0.08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634.5</v>
      </c>
      <c r="AX20">
        <f t="shared" si="4"/>
        <v>1443.3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0.198</v>
      </c>
      <c r="AZ20" s="30" cm="1">
        <f t="array" ref="AZ20">$G$12+VLOOKUP($Q20,武学奇术!$A:$ZZ,12,FALSE)+SUM(_xlfn.XLOOKUP(R20:AF20,增益!$A:$A,增益!$L:$L,0))</f>
        <v>0.148</v>
      </c>
      <c r="BA20">
        <f t="shared" si="5"/>
        <v>0</v>
      </c>
      <c r="BB20">
        <f t="shared" si="6"/>
        <v>0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-0.08</v>
      </c>
      <c r="BD20" s="30" cm="1">
        <f t="array" ref="BD20">$G$13+VLOOKUP($Q20,武学奇术!$A:$ZZ,14,FALSE)+SUM(_xlfn.XLOOKUP(R20:AF20,增益!$A:$A,增益!$N:$N,0))</f>
        <v>0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-0.08</v>
      </c>
      <c r="BH20" s="30" cm="1">
        <f t="array" ref="BH20">$G$14+VLOOKUP($Q20,武学奇术!$A:$ZZ,16,FALSE)+SUM(_xlfn.XLOOKUP(R20:AF20,增益!$A:$A,增益!$P:$P,0))</f>
        <v>0</v>
      </c>
      <c r="BI20" s="23">
        <f>MIN(IF(VLOOKUP($Q20,武学奇术!$A:$ZZ,23,FALSE)=1,100%,$B$8),100%)</f>
        <v>1</v>
      </c>
      <c r="BJ20" s="23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1</v>
      </c>
      <c r="BK20" s="23" cm="1">
        <f t="array" ref="BK20">1+$B$13+VLOOKUP($Q20,武学奇术!$A:$ZZ,18,FALSE)+SUM(_xlfn.XLOOKUP(R20:AF20,增益!$A:$A,增益!$R:$R,0))</f>
        <v>2.1</v>
      </c>
      <c r="BL20" s="23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</v>
      </c>
      <c r="BM20" s="23" cm="1">
        <f t="array" ref="BM20">1+$B$14+VLOOKUP($Q20,武学奇术!$A:$ZZ,20,FALSE)+SUM(_xlfn.XLOOKUP(R20:AF20,增益!$A:$A,增益!$T:$T,0))</f>
        <v>1.35</v>
      </c>
      <c r="BN20" s="23">
        <f t="shared" si="9"/>
        <v>1</v>
      </c>
      <c r="BO20" s="23">
        <f t="shared" si="10"/>
        <v>0</v>
      </c>
      <c r="BP20" s="23">
        <f>IF(VLOOKUP($Q20,武学奇术!$A:$ZZ,22,FALSE)=1,0,(1-$BI20))*(1-$BL20)</f>
        <v>0</v>
      </c>
      <c r="BQ20" s="23" cm="1">
        <f t="array" ref="BQ20">SUM(_xlfn.XLOOKUP(R20:AF20,增益!$A:$A,增益!$W:$W,0))</f>
        <v>0.13</v>
      </c>
    </row>
    <row r="21" ht="14.25" spans="1:69">
      <c r="A21" s="83" t="s">
        <v>131</v>
      </c>
      <c r="B21" s="88">
        <v>0.32</v>
      </c>
      <c r="C21" s="38" t="s">
        <v>132</v>
      </c>
      <c r="D21" s="38"/>
      <c r="F21" s="37"/>
      <c r="K21" s="36">
        <f t="shared" si="0"/>
        <v>356792.295731841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356792.295731841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254702.885380596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169901.093205638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151133.38242565</v>
      </c>
      <c r="P21" s="37">
        <v>1</v>
      </c>
      <c r="Q21" s="38" t="s">
        <v>110</v>
      </c>
      <c r="R21" s="38" t="s">
        <v>89</v>
      </c>
      <c r="S21" s="38" t="s">
        <v>78</v>
      </c>
      <c r="T21" s="38" t="s">
        <v>79</v>
      </c>
      <c r="U21" s="38" t="s">
        <v>111</v>
      </c>
      <c r="V21" s="38" t="s">
        <v>107</v>
      </c>
      <c r="W21" s="38" t="s">
        <v>112</v>
      </c>
      <c r="X21" s="38" t="s">
        <v>122</v>
      </c>
      <c r="Y21" s="38" t="s">
        <v>72</v>
      </c>
      <c r="Z21" s="38" t="s">
        <v>72</v>
      </c>
      <c r="AA21" s="38" t="s">
        <v>68</v>
      </c>
      <c r="AB21" s="38" t="s">
        <v>72</v>
      </c>
      <c r="AC21" s="38" t="s">
        <v>72</v>
      </c>
      <c r="AD21" s="38" t="s">
        <v>72</v>
      </c>
      <c r="AE21" s="38" t="s">
        <v>90</v>
      </c>
      <c r="AF21" s="38" t="s">
        <v>74</v>
      </c>
      <c r="AG21" t="str">
        <f>VLOOKUP($Q21,武学奇术!$A:$ZZ,25,FALSE)</f>
        <v>陌刀</v>
      </c>
      <c r="AH21" s="23">
        <f>VLOOKUP($Q21,武学奇术!$A:$ZZ,26,FALSE)</f>
        <v>7.5674</v>
      </c>
      <c r="AI21" s="24">
        <f>VLOOKUP($Q21,武学奇术!$A:$ZZ,27,FALSE)*(1+IF(OR($AG21=$F$4,$AG21=$F$5),$B$22,0))</f>
        <v>2720.9</v>
      </c>
      <c r="AJ21" s="23">
        <f>VLOOKUP($Q21,武学奇术!$A:$ZZ,28,FALSE)</f>
        <v>11.3512</v>
      </c>
      <c r="AK21" s="24">
        <f>VLOOKUP($Q21,武学奇术!$A:$ZZ,29,FALSE)*(1+IF(OR($AG21=$F$4,$AG21=$F$5),$B$22,0))</f>
        <v>1482</v>
      </c>
      <c r="AL21" s="23" cm="1">
        <f t="array" ref="AL21">$G$3+IFERROR(VLOOKUP($AG21,$F$4:$G$7,2,FALSE),0)+VLOOKUP($Q21,武学奇术!$A:$ZZ,2,FALSE)+SUM(_xlfn.XLOOKUP($R21:$AF21,增益!$A:$A,增益!$B:$B,0))</f>
        <v>0.993</v>
      </c>
      <c r="AM21" s="23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3052.34</v>
      </c>
      <c r="AO21" cm="1">
        <f t="array" ref="AO21">$E$10*(1+$AM21)+VLOOKUP($Q21,武学奇术!$A:$ZZ,4,FALSE)+SUM(_xlfn.XLOOKUP($R21:$AF21,增益!$A:$A,增益!$D:$D,0))-$I$2</f>
        <v>3052.34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0.467</v>
      </c>
      <c r="AQ21" s="30" cm="1">
        <f t="array" ref="AQ21">$G$10+VLOOKUP($Q21,武学奇术!$A:$ZZ,7,FALSE)+SUM(_xlfn.XLOOKUP(R21:AF21,增益!$A:$A,增益!$G:$G,0))</f>
        <v>0</v>
      </c>
      <c r="AR21" s="23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-0.08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634.5</v>
      </c>
      <c r="AX21">
        <f t="shared" si="4"/>
        <v>1443.3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0.198</v>
      </c>
      <c r="AZ21" s="30" cm="1">
        <f t="array" ref="AZ21">$G$12+VLOOKUP($Q21,武学奇术!$A:$ZZ,12,FALSE)+SUM(_xlfn.XLOOKUP(R21:AF21,增益!$A:$A,增益!$L:$L,0))</f>
        <v>0.148</v>
      </c>
      <c r="BA21">
        <f t="shared" si="5"/>
        <v>0</v>
      </c>
      <c r="BB21">
        <f t="shared" si="6"/>
        <v>0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-0.08</v>
      </c>
      <c r="BD21" s="30" cm="1">
        <f t="array" ref="BD21">$G$13+VLOOKUP($Q21,武学奇术!$A:$ZZ,14,FALSE)+SUM(_xlfn.XLOOKUP(R21:AF21,增益!$A:$A,增益!$N:$N,0))</f>
        <v>0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-0.08</v>
      </c>
      <c r="BH21" s="30" cm="1">
        <f t="array" ref="BH21">$G$14+VLOOKUP($Q21,武学奇术!$A:$ZZ,16,FALSE)+SUM(_xlfn.XLOOKUP(R21:AF21,增益!$A:$A,增益!$P:$P,0))</f>
        <v>0</v>
      </c>
      <c r="BI21" s="23">
        <f>MIN(IF(VLOOKUP($Q21,武学奇术!$A:$ZZ,23,FALSE)=1,100%,$B$8),100%)</f>
        <v>1</v>
      </c>
      <c r="BJ21" s="23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1</v>
      </c>
      <c r="BK21" s="23" cm="1">
        <f t="array" ref="BK21">1+$B$13+VLOOKUP($Q21,武学奇术!$A:$ZZ,18,FALSE)+SUM(_xlfn.XLOOKUP(R21:AF21,增益!$A:$A,增益!$R:$R,0))</f>
        <v>2.1</v>
      </c>
      <c r="BL21" s="23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</v>
      </c>
      <c r="BM21" s="23" cm="1">
        <f t="array" ref="BM21">1+$B$14+VLOOKUP($Q21,武学奇术!$A:$ZZ,20,FALSE)+SUM(_xlfn.XLOOKUP(R21:AF21,增益!$A:$A,增益!$T:$T,0))</f>
        <v>1.35</v>
      </c>
      <c r="BN21" s="23">
        <f t="shared" si="9"/>
        <v>1</v>
      </c>
      <c r="BO21" s="23">
        <f t="shared" si="10"/>
        <v>0</v>
      </c>
      <c r="BP21" s="23">
        <f>IF(VLOOKUP($Q21,武学奇术!$A:$ZZ,22,FALSE)=1,0,(1-$BI21))*(1-$BL21)</f>
        <v>0</v>
      </c>
      <c r="BQ21" s="23" cm="1">
        <f t="array" ref="BQ21">SUM(_xlfn.XLOOKUP(R21:AF21,增益!$A:$A,增益!$W:$W,0))</f>
        <v>0.13</v>
      </c>
    </row>
    <row r="22" spans="1:69">
      <c r="A22" t="s">
        <v>133</v>
      </c>
      <c r="B22" s="25">
        <v>0.3</v>
      </c>
      <c r="K22" s="36">
        <f t="shared" si="0"/>
        <v>165500.855331985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184590.497391787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143466.760588659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94661.7935342496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83051.9125583814</v>
      </c>
      <c r="P22" s="37">
        <v>1</v>
      </c>
      <c r="Q22" s="38" t="s">
        <v>134</v>
      </c>
      <c r="R22" s="38" t="s">
        <v>89</v>
      </c>
      <c r="S22" s="38" t="s">
        <v>78</v>
      </c>
      <c r="T22" s="38" t="s">
        <v>79</v>
      </c>
      <c r="U22" s="38" t="s">
        <v>80</v>
      </c>
      <c r="V22" s="38" t="s">
        <v>72</v>
      </c>
      <c r="W22" s="38" t="s">
        <v>73</v>
      </c>
      <c r="X22" s="38" t="s">
        <v>122</v>
      </c>
      <c r="Y22" s="38" t="s">
        <v>72</v>
      </c>
      <c r="Z22" s="38" t="s">
        <v>72</v>
      </c>
      <c r="AA22" s="38" t="s">
        <v>72</v>
      </c>
      <c r="AB22" s="38" t="s">
        <v>72</v>
      </c>
      <c r="AC22" s="38" t="s">
        <v>72</v>
      </c>
      <c r="AD22" s="38" t="s">
        <v>72</v>
      </c>
      <c r="AE22" s="38" t="s">
        <v>90</v>
      </c>
      <c r="AF22" s="38" t="s">
        <v>74</v>
      </c>
      <c r="AG22" t="str">
        <f>VLOOKUP($Q22,武学奇术!$A:$ZZ,25,FALSE)</f>
        <v>单体奇术</v>
      </c>
      <c r="AH22" s="23">
        <f>VLOOKUP($Q22,武学奇术!$A:$ZZ,26,FALSE)</f>
        <v>7.1064</v>
      </c>
      <c r="AI22" s="24">
        <f>VLOOKUP($Q22,武学奇术!$A:$ZZ,27,FALSE)*(1+IF(OR($AG22=$F$4,$AG22=$F$5),$B$22,0))</f>
        <v>1269</v>
      </c>
      <c r="AJ22" s="23">
        <f>VLOOKUP($Q22,武学奇术!$A:$ZZ,28,FALSE)</f>
        <v>10.6596</v>
      </c>
      <c r="AK22" s="24">
        <f>VLOOKUP($Q22,武学奇术!$A:$ZZ,29,FALSE)*(1+IF(OR($AG22=$F$4,$AG22=$F$5),$B$22,0))</f>
        <v>0</v>
      </c>
      <c r="AL22" s="23" cm="1">
        <f t="array" ref="AL22">$G$3+IFERROR(VLOOKUP($AG22,$F$4:$G$7,2,FALSE),0)+VLOOKUP($Q22,武学奇术!$A:$ZZ,2,FALSE)+SUM(_xlfn.XLOOKUP($R22:$AF22,增益!$A:$A,增益!$B:$B,0))</f>
        <v>0.733</v>
      </c>
      <c r="AM22" s="23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3052.34</v>
      </c>
      <c r="AO22" cm="1">
        <f t="array" ref="AO22">$E$10*(1+$AM22)+VLOOKUP($Q22,武学奇术!$A:$ZZ,4,FALSE)+SUM(_xlfn.XLOOKUP($R22:$AF22,增益!$A:$A,增益!$D:$D,0))-$I$2</f>
        <v>3052.34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0.442</v>
      </c>
      <c r="AQ22" s="30" cm="1">
        <f t="array" ref="AQ22">$G$10+VLOOKUP($Q22,武学奇术!$A:$ZZ,7,FALSE)+SUM(_xlfn.XLOOKUP(R22:AF22,增益!$A:$A,增益!$G:$G,0))</f>
        <v>0</v>
      </c>
      <c r="AR22" s="23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-0.08</v>
      </c>
      <c r="AV22" s="30" cm="1">
        <f t="array" ref="AV22">$G$11+VLOOKUP($Q22,武学奇术!$A:$ZZ,10,FALSE)+SUM(_xlfn.XLOOKUP(R22:AF22,增益!$A:$A,增益!$J:$J,0))</f>
        <v>0</v>
      </c>
      <c r="AW22">
        <f t="shared" si="3"/>
        <v>634.5</v>
      </c>
      <c r="AX22">
        <f t="shared" si="4"/>
        <v>1443.3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0.198</v>
      </c>
      <c r="AZ22" s="30" cm="1">
        <f t="array" ref="AZ22">$G$12+VLOOKUP($Q22,武学奇术!$A:$ZZ,12,FALSE)+SUM(_xlfn.XLOOKUP(R22:AF22,增益!$A:$A,增益!$L:$L,0))</f>
        <v>0.148</v>
      </c>
      <c r="BA22">
        <f t="shared" si="5"/>
        <v>0</v>
      </c>
      <c r="BB22">
        <f t="shared" si="6"/>
        <v>0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-0.08</v>
      </c>
      <c r="BD22" s="30" cm="1">
        <f t="array" ref="BD22">$G$13+VLOOKUP($Q22,武学奇术!$A:$ZZ,14,FALSE)+SUM(_xlfn.XLOOKUP(R22:AF22,增益!$A:$A,增益!$N:$N,0))</f>
        <v>0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-0.08</v>
      </c>
      <c r="BH22" s="30" cm="1">
        <f t="array" ref="BH22">$G$14+VLOOKUP($Q22,武学奇术!$A:$ZZ,16,FALSE)+SUM(_xlfn.XLOOKUP(R22:AF22,增益!$A:$A,增益!$P:$P,0))</f>
        <v>0</v>
      </c>
      <c r="BI22" s="23">
        <f>MIN(IF(VLOOKUP($Q22,武学奇术!$A:$ZZ,23,FALSE)=1,100%,$B$8),100%)</f>
        <v>0.8626</v>
      </c>
      <c r="BJ22" s="23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0.8697</v>
      </c>
      <c r="BK22" s="23" cm="1">
        <f t="array" ref="BK22">1+$B$13+VLOOKUP($Q22,武学奇术!$A:$ZZ,18,FALSE)+SUM(_xlfn.XLOOKUP(R22:AF22,增益!$A:$A,增益!$R:$R,0))</f>
        <v>1.95</v>
      </c>
      <c r="BL22" s="23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0.0986</v>
      </c>
      <c r="BM22" s="23" cm="1">
        <f t="array" ref="BM22">1+$B$14+VLOOKUP($Q22,武学奇术!$A:$ZZ,20,FALSE)+SUM(_xlfn.XLOOKUP(R22:AF22,增益!$A:$A,增益!$T:$T,0))</f>
        <v>1.35</v>
      </c>
      <c r="BN22" s="23">
        <f t="shared" si="9"/>
        <v>0.75020322</v>
      </c>
      <c r="BO22" s="23">
        <f t="shared" si="10"/>
        <v>0.0273444200000001</v>
      </c>
      <c r="BP22" s="23">
        <f>IF(VLOOKUP($Q22,武学奇术!$A:$ZZ,22,FALSE)=1,0,(1-$BI22))*(1-$BL22)</f>
        <v>0.12385236</v>
      </c>
      <c r="BQ22" s="23" cm="1">
        <f t="array" ref="BQ22">SUM(_xlfn.XLOOKUP(R22:AF22,增益!$A:$A,增益!$W:$W,0))</f>
        <v>0.13</v>
      </c>
    </row>
    <row r="23" spans="1:69">
      <c r="A23" s="37" t="s">
        <v>135</v>
      </c>
      <c r="B23">
        <v>160</v>
      </c>
      <c r="K23" s="36">
        <f t="shared" si="0"/>
        <v>15210.586260612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17034.7922615068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12880.4418635761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8517.39613075338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7493.72421441335</v>
      </c>
      <c r="P23" s="37">
        <v>1</v>
      </c>
      <c r="Q23" s="38" t="s">
        <v>102</v>
      </c>
      <c r="R23" s="38" t="s">
        <v>89</v>
      </c>
      <c r="S23" s="38" t="s">
        <v>72</v>
      </c>
      <c r="T23" s="38" t="s">
        <v>72</v>
      </c>
      <c r="U23" s="38" t="s">
        <v>111</v>
      </c>
      <c r="V23" s="38" t="s">
        <v>72</v>
      </c>
      <c r="W23" s="38" t="s">
        <v>72</v>
      </c>
      <c r="X23" s="38" t="s">
        <v>122</v>
      </c>
      <c r="Y23" s="38" t="s">
        <v>72</v>
      </c>
      <c r="Z23" s="38" t="s">
        <v>72</v>
      </c>
      <c r="AA23" s="38" t="s">
        <v>68</v>
      </c>
      <c r="AB23" s="38" t="s">
        <v>72</v>
      </c>
      <c r="AC23" s="38" t="s">
        <v>72</v>
      </c>
      <c r="AD23" s="38" t="s">
        <v>72</v>
      </c>
      <c r="AE23" s="38" t="s">
        <v>90</v>
      </c>
      <c r="AF23" s="38" t="s">
        <v>74</v>
      </c>
      <c r="AG23" t="str">
        <f>VLOOKUP($Q23,武学奇术!$A:$ZZ,25,FALSE)</f>
        <v>陌刀</v>
      </c>
      <c r="AH23" s="23">
        <f>VLOOKUP($Q23,武学奇术!$A:$ZZ,26,FALSE)</f>
        <v>0.5</v>
      </c>
      <c r="AI23" s="24">
        <f>VLOOKUP($Q23,武学奇术!$A:$ZZ,27,FALSE)*(1+IF(OR($AG23=$F$4,$AG23=$F$5),$B$22,0))</f>
        <v>0</v>
      </c>
      <c r="AJ23" s="23">
        <f>VLOOKUP($Q23,武学奇术!$A:$ZZ,28,FALSE)</f>
        <v>0.75</v>
      </c>
      <c r="AK23" s="24">
        <f>VLOOKUP($Q23,武学奇术!$A:$ZZ,29,FALSE)*(1+IF(OR($AG23=$F$4,$AG23=$F$5),$B$22,0))</f>
        <v>0</v>
      </c>
      <c r="AL23" s="23" cm="1">
        <f t="array" ref="AL23">$G$3+IFERROR(VLOOKUP($AG23,$F$4:$G$7,2,FALSE),0)+VLOOKUP($Q23,武学奇术!$A:$ZZ,2,FALSE)+SUM(_xlfn.XLOOKUP($R23:$AF23,增益!$A:$A,增益!$B:$B,0))</f>
        <v>0.763</v>
      </c>
      <c r="AM23" s="23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3052.34</v>
      </c>
      <c r="AO23" cm="1">
        <f t="array" ref="AO23">$E$10*(1+$AM23)+VLOOKUP($Q23,武学奇术!$A:$ZZ,4,FALSE)+SUM(_xlfn.XLOOKUP($R23:$AF23,增益!$A:$A,增益!$D:$D,0))-$I$2</f>
        <v>3052.34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0.467</v>
      </c>
      <c r="AQ23" s="30" cm="1">
        <f t="array" ref="AQ23">$G$10+VLOOKUP($Q23,武学奇术!$A:$ZZ,7,FALSE)+SUM(_xlfn.XLOOKUP(R23:AF23,增益!$A:$A,增益!$G:$G,0))</f>
        <v>0</v>
      </c>
      <c r="AR23" s="23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-0.24</v>
      </c>
      <c r="AV23" s="30" cm="1">
        <f t="array" ref="AV23">$G$11+VLOOKUP($Q23,武学奇术!$A:$ZZ,10,FALSE)+SUM(_xlfn.XLOOKUP(R23:AF23,增益!$A:$A,增益!$J:$J,0))</f>
        <v>0</v>
      </c>
      <c r="AW23">
        <f t="shared" si="3"/>
        <v>634.5</v>
      </c>
      <c r="AX23">
        <f t="shared" si="4"/>
        <v>1443.3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0.118</v>
      </c>
      <c r="AZ23" s="30" cm="1">
        <f t="array" ref="AZ23">$G$12+VLOOKUP($Q23,武学奇术!$A:$ZZ,12,FALSE)+SUM(_xlfn.XLOOKUP(R23:AF23,增益!$A:$A,增益!$L:$L,0))</f>
        <v>0.148</v>
      </c>
      <c r="BA23">
        <f t="shared" si="5"/>
        <v>0</v>
      </c>
      <c r="BB23">
        <f t="shared" si="6"/>
        <v>0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-0.24</v>
      </c>
      <c r="BD23" s="30" cm="1">
        <f t="array" ref="BD23">$G$13+VLOOKUP($Q23,武学奇术!$A:$ZZ,14,FALSE)+SUM(_xlfn.XLOOKUP(R23:AF23,增益!$A:$A,增益!$N:$N,0))</f>
        <v>0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-0.24</v>
      </c>
      <c r="BH23" s="30" cm="1">
        <f t="array" ref="BH23">$G$14+VLOOKUP($Q23,武学奇术!$A:$ZZ,16,FALSE)+SUM(_xlfn.XLOOKUP(R23:AF23,增益!$A:$A,增益!$P:$P,0))</f>
        <v>0</v>
      </c>
      <c r="BI23" s="23">
        <f>MIN(IF(VLOOKUP($Q23,武学奇术!$A:$ZZ,23,FALSE)=1,100%,$B$8),100%)</f>
        <v>0.8626</v>
      </c>
      <c r="BJ23" s="23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0.8697</v>
      </c>
      <c r="BK23" s="23" cm="1">
        <f t="array" ref="BK23">1+$B$13+VLOOKUP($Q23,武学奇术!$A:$ZZ,18,FALSE)+SUM(_xlfn.XLOOKUP(R23:AF23,增益!$A:$A,增益!$R:$R,0))</f>
        <v>2</v>
      </c>
      <c r="BL23" s="23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0.0986</v>
      </c>
      <c r="BM23" s="23" cm="1">
        <f t="array" ref="BM23">1+$B$14+VLOOKUP($Q23,武学奇术!$A:$ZZ,20,FALSE)+SUM(_xlfn.XLOOKUP(R23:AF23,增益!$A:$A,增益!$T:$T,0))</f>
        <v>1.35</v>
      </c>
      <c r="BN23" s="23">
        <f t="shared" si="9"/>
        <v>0.75020322</v>
      </c>
      <c r="BO23" s="23">
        <f t="shared" si="10"/>
        <v>0.0273444200000001</v>
      </c>
      <c r="BP23" s="23">
        <f>IF(VLOOKUP($Q23,武学奇术!$A:$ZZ,22,FALSE)=1,0,(1-$BI23))*(1-$BL23)</f>
        <v>0.12385236</v>
      </c>
      <c r="BQ23" s="23" cm="1">
        <f t="array" ref="BQ23">SUM(_xlfn.XLOOKUP(R23:AF23,增益!$A:$A,增益!$W:$W,0))</f>
        <v>0.13</v>
      </c>
    </row>
    <row r="24" spans="1:69">
      <c r="A24" s="37"/>
      <c r="B24">
        <v>320</v>
      </c>
      <c r="K24" s="36">
        <f t="shared" si="0"/>
        <v>27379.0552691016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30662.6260707122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23184.795354437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15331.3130353561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13488.703585944</v>
      </c>
      <c r="P24" s="37">
        <v>1</v>
      </c>
      <c r="Q24" s="38" t="s">
        <v>136</v>
      </c>
      <c r="R24" s="38" t="s">
        <v>89</v>
      </c>
      <c r="S24" s="38" t="s">
        <v>72</v>
      </c>
      <c r="T24" s="38" t="s">
        <v>72</v>
      </c>
      <c r="U24" s="38" t="s">
        <v>111</v>
      </c>
      <c r="V24" s="38" t="s">
        <v>72</v>
      </c>
      <c r="W24" s="38" t="s">
        <v>72</v>
      </c>
      <c r="X24" s="38" t="s">
        <v>122</v>
      </c>
      <c r="Y24" s="38" t="s">
        <v>72</v>
      </c>
      <c r="Z24" s="38" t="s">
        <v>72</v>
      </c>
      <c r="AA24" s="38" t="s">
        <v>68</v>
      </c>
      <c r="AB24" s="38" t="s">
        <v>72</v>
      </c>
      <c r="AC24" s="38" t="s">
        <v>72</v>
      </c>
      <c r="AD24" s="38" t="s">
        <v>72</v>
      </c>
      <c r="AE24" s="38" t="s">
        <v>90</v>
      </c>
      <c r="AF24" s="38" t="s">
        <v>74</v>
      </c>
      <c r="AG24" t="str">
        <f>VLOOKUP($Q24,武学奇术!$A:$ZZ,25,FALSE)</f>
        <v>陌刀</v>
      </c>
      <c r="AH24" s="23">
        <f>VLOOKUP($Q24,武学奇术!$A:$ZZ,26,FALSE)</f>
        <v>0.9</v>
      </c>
      <c r="AI24" s="24">
        <f>VLOOKUP($Q24,武学奇术!$A:$ZZ,27,FALSE)*(1+IF(OR($AG24=$F$4,$AG24=$F$5),$B$22,0))</f>
        <v>0</v>
      </c>
      <c r="AJ24" s="23">
        <f>VLOOKUP($Q24,武学奇术!$A:$ZZ,28,FALSE)</f>
        <v>1.35</v>
      </c>
      <c r="AK24" s="24">
        <f>VLOOKUP($Q24,武学奇术!$A:$ZZ,29,FALSE)*(1+IF(OR($AG24=$F$4,$AG24=$F$5),$B$22,0))</f>
        <v>0</v>
      </c>
      <c r="AL24" s="23" cm="1">
        <f t="array" ref="AL24">$G$3+IFERROR(VLOOKUP($AG24,$F$4:$G$7,2,FALSE),0)+VLOOKUP($Q24,武学奇术!$A:$ZZ,2,FALSE)+SUM(_xlfn.XLOOKUP($R24:$AF24,增益!$A:$A,增益!$B:$B,0))</f>
        <v>0.763</v>
      </c>
      <c r="AM24" s="23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3052.34</v>
      </c>
      <c r="AO24" cm="1">
        <f t="array" ref="AO24">$E$10*(1+$AM24)+VLOOKUP($Q24,武学奇术!$A:$ZZ,4,FALSE)+SUM(_xlfn.XLOOKUP($R24:$AF24,增益!$A:$A,增益!$D:$D,0))-$I$2</f>
        <v>3052.34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0.467</v>
      </c>
      <c r="AQ24" s="30" cm="1">
        <f t="array" ref="AQ24">$G$10+VLOOKUP($Q24,武学奇术!$A:$ZZ,7,FALSE)+SUM(_xlfn.XLOOKUP(R24:AF24,增益!$A:$A,增益!$G:$G,0))</f>
        <v>0</v>
      </c>
      <c r="AR24" s="23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-0.24</v>
      </c>
      <c r="AV24" s="30" cm="1">
        <f t="array" ref="AV24">$G$11+VLOOKUP($Q24,武学奇术!$A:$ZZ,10,FALSE)+SUM(_xlfn.XLOOKUP(R24:AF24,增益!$A:$A,增益!$J:$J,0))</f>
        <v>0</v>
      </c>
      <c r="AW24">
        <f t="shared" si="3"/>
        <v>634.5</v>
      </c>
      <c r="AX24">
        <f t="shared" si="4"/>
        <v>1443.3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0.118</v>
      </c>
      <c r="AZ24" s="30" cm="1">
        <f t="array" ref="AZ24">$G$12+VLOOKUP($Q24,武学奇术!$A:$ZZ,12,FALSE)+SUM(_xlfn.XLOOKUP(R24:AF24,增益!$A:$A,增益!$L:$L,0))</f>
        <v>0.148</v>
      </c>
      <c r="BA24">
        <f t="shared" si="5"/>
        <v>0</v>
      </c>
      <c r="BB24">
        <f t="shared" si="6"/>
        <v>0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-0.24</v>
      </c>
      <c r="BD24" s="30" cm="1">
        <f t="array" ref="BD24">$G$13+VLOOKUP($Q24,武学奇术!$A:$ZZ,14,FALSE)+SUM(_xlfn.XLOOKUP(R24:AF24,增益!$A:$A,增益!$N:$N,0))</f>
        <v>0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-0.24</v>
      </c>
      <c r="BH24" s="30" cm="1">
        <f t="array" ref="BH24">$G$14+VLOOKUP($Q24,武学奇术!$A:$ZZ,16,FALSE)+SUM(_xlfn.XLOOKUP(R24:AF24,增益!$A:$A,增益!$P:$P,0))</f>
        <v>0</v>
      </c>
      <c r="BI24" s="23">
        <f>MIN(IF(VLOOKUP($Q24,武学奇术!$A:$ZZ,23,FALSE)=1,100%,$B$8),100%)</f>
        <v>0.8626</v>
      </c>
      <c r="BJ24" s="23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0.8697</v>
      </c>
      <c r="BK24" s="23" cm="1">
        <f t="array" ref="BK24">1+$B$13+VLOOKUP($Q24,武学奇术!$A:$ZZ,18,FALSE)+SUM(_xlfn.XLOOKUP(R24:AF24,增益!$A:$A,增益!$R:$R,0))</f>
        <v>2</v>
      </c>
      <c r="BL24" s="23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0.0986</v>
      </c>
      <c r="BM24" s="23" cm="1">
        <f t="array" ref="BM24">1+$B$14+VLOOKUP($Q24,武学奇术!$A:$ZZ,20,FALSE)+SUM(_xlfn.XLOOKUP(R24:AF24,增益!$A:$A,增益!$T:$T,0))</f>
        <v>1.35</v>
      </c>
      <c r="BN24" s="23">
        <f t="shared" si="9"/>
        <v>0.75020322</v>
      </c>
      <c r="BO24" s="23">
        <f t="shared" si="10"/>
        <v>0.0273444200000001</v>
      </c>
      <c r="BP24" s="23">
        <f>IF(VLOOKUP($Q24,武学奇术!$A:$ZZ,22,FALSE)=1,0,(1-$BI24))*(1-$BL24)</f>
        <v>0.12385236</v>
      </c>
      <c r="BQ24" s="23" cm="1">
        <f t="array" ref="BQ24">SUM(_xlfn.XLOOKUP(R24:AF24,增益!$A:$A,增益!$W:$W,0))</f>
        <v>0.13</v>
      </c>
    </row>
    <row r="25" spans="1:69">
      <c r="K25" s="36">
        <f t="shared" si="0"/>
        <v>198727.306012312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222577.660344439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166085.256431771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111288.83017222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99551.5444690536</v>
      </c>
      <c r="P25" s="37">
        <v>1</v>
      </c>
      <c r="Q25" s="38" t="s">
        <v>137</v>
      </c>
      <c r="R25" s="38" t="s">
        <v>89</v>
      </c>
      <c r="S25" s="38" t="s">
        <v>72</v>
      </c>
      <c r="T25" s="38" t="s">
        <v>72</v>
      </c>
      <c r="U25" s="38" t="s">
        <v>111</v>
      </c>
      <c r="V25" s="38" t="s">
        <v>72</v>
      </c>
      <c r="W25" s="38" t="s">
        <v>72</v>
      </c>
      <c r="X25" s="38" t="s">
        <v>122</v>
      </c>
      <c r="Y25" s="38" t="s">
        <v>72</v>
      </c>
      <c r="Z25" s="38" t="s">
        <v>72</v>
      </c>
      <c r="AA25" s="38" t="s">
        <v>68</v>
      </c>
      <c r="AB25" s="38" t="s">
        <v>72</v>
      </c>
      <c r="AC25" s="38" t="s">
        <v>72</v>
      </c>
      <c r="AD25" s="38" t="s">
        <v>72</v>
      </c>
      <c r="AE25" s="38" t="s">
        <v>90</v>
      </c>
      <c r="AF25" s="38" t="s">
        <v>74</v>
      </c>
      <c r="AG25" t="str">
        <f>VLOOKUP($Q25,武学奇术!$A:$ZZ,25,FALSE)</f>
        <v>陌刀</v>
      </c>
      <c r="AH25" s="23">
        <f>VLOOKUP($Q25,武学奇术!$A:$ZZ,26,FALSE)</f>
        <v>5.733</v>
      </c>
      <c r="AI25" s="24">
        <f>VLOOKUP($Q25,武学奇术!$A:$ZZ,27,FALSE)*(1+IF(OR($AG25=$F$4,$AG25=$F$5),$B$22,0))</f>
        <v>2060.5</v>
      </c>
      <c r="AJ25" s="23">
        <f>VLOOKUP($Q25,武学奇术!$A:$ZZ,28,FALSE)</f>
        <v>8.5994</v>
      </c>
      <c r="AK25" s="24">
        <f>VLOOKUP($Q25,武学奇术!$A:$ZZ,29,FALSE)*(1+IF(OR($AG25=$F$4,$AG25=$F$5),$B$22,0))</f>
        <v>1121.9</v>
      </c>
      <c r="AL25" s="23" cm="1">
        <f t="array" ref="AL25">$G$3+IFERROR(VLOOKUP($AG25,$F$4:$G$7,2,FALSE),0)+VLOOKUP($Q25,武学奇术!$A:$ZZ,2,FALSE)+SUM(_xlfn.XLOOKUP($R25:$AF25,增益!$A:$A,增益!$B:$B,0))</f>
        <v>0.763</v>
      </c>
      <c r="AM25" s="23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3052.34</v>
      </c>
      <c r="AO25" cm="1">
        <f t="array" ref="AO25">$E$10*(1+$AM25)+VLOOKUP($Q25,武学奇术!$A:$ZZ,4,FALSE)+SUM(_xlfn.XLOOKUP($R25:$AF25,增益!$A:$A,增益!$D:$D,0))-$I$2</f>
        <v>3052.34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0.467</v>
      </c>
      <c r="AQ25" s="30" cm="1">
        <f t="array" ref="AQ25">$G$10+VLOOKUP($Q25,武学奇术!$A:$ZZ,7,FALSE)+SUM(_xlfn.XLOOKUP(R25:AF25,增益!$A:$A,增益!$G:$G,0))</f>
        <v>0</v>
      </c>
      <c r="AR25" s="23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-0.24</v>
      </c>
      <c r="AV25" s="30" cm="1">
        <f t="array" ref="AV25">$G$11+VLOOKUP($Q25,武学奇术!$A:$ZZ,10,FALSE)+SUM(_xlfn.XLOOKUP(R25:AF25,增益!$A:$A,增益!$J:$J,0))</f>
        <v>0</v>
      </c>
      <c r="AW25">
        <f t="shared" si="3"/>
        <v>634.5</v>
      </c>
      <c r="AX25">
        <f t="shared" si="4"/>
        <v>1443.3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0.118</v>
      </c>
      <c r="AZ25" s="30" cm="1">
        <f t="array" ref="AZ25">$G$12+VLOOKUP($Q25,武学奇术!$A:$ZZ,12,FALSE)+SUM(_xlfn.XLOOKUP(R25:AF25,增益!$A:$A,增益!$L:$L,0))</f>
        <v>0.148</v>
      </c>
      <c r="BA25">
        <f t="shared" si="5"/>
        <v>0</v>
      </c>
      <c r="BB25">
        <f t="shared" si="6"/>
        <v>0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-0.24</v>
      </c>
      <c r="BD25" s="30" cm="1">
        <f t="array" ref="BD25">$G$13+VLOOKUP($Q25,武学奇术!$A:$ZZ,14,FALSE)+SUM(_xlfn.XLOOKUP(R25:AF25,增益!$A:$A,增益!$N:$N,0))</f>
        <v>0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-0.24</v>
      </c>
      <c r="BH25" s="30" cm="1">
        <f t="array" ref="BH25">$G$14+VLOOKUP($Q25,武学奇术!$A:$ZZ,16,FALSE)+SUM(_xlfn.XLOOKUP(R25:AF25,增益!$A:$A,增益!$P:$P,0))</f>
        <v>0</v>
      </c>
      <c r="BI25" s="23">
        <f>MIN(IF(VLOOKUP($Q25,武学奇术!$A:$ZZ,23,FALSE)=1,100%,$B$8),100%)</f>
        <v>0.8626</v>
      </c>
      <c r="BJ25" s="23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0.8697</v>
      </c>
      <c r="BK25" s="23" cm="1">
        <f t="array" ref="BK25">1+$B$13+VLOOKUP($Q25,武学奇术!$A:$ZZ,18,FALSE)+SUM(_xlfn.XLOOKUP(R25:AF25,增益!$A:$A,增益!$R:$R,0))</f>
        <v>2</v>
      </c>
      <c r="BL25" s="23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0.0986</v>
      </c>
      <c r="BM25" s="23" cm="1">
        <f t="array" ref="BM25">1+$B$14+VLOOKUP($Q25,武学奇术!$A:$ZZ,20,FALSE)+SUM(_xlfn.XLOOKUP(R25:AF25,增益!$A:$A,增益!$T:$T,0))</f>
        <v>1.35</v>
      </c>
      <c r="BN25" s="23">
        <f t="shared" si="9"/>
        <v>0.75020322</v>
      </c>
      <c r="BO25" s="23">
        <f t="shared" si="10"/>
        <v>0.0273444200000001</v>
      </c>
      <c r="BP25" s="23">
        <f>IF(VLOOKUP($Q25,武学奇术!$A:$ZZ,22,FALSE)=1,0,(1-$BI25))*(1-$BL25)</f>
        <v>0.12385236</v>
      </c>
      <c r="BQ25" s="23" cm="1">
        <f t="array" ref="BQ25">SUM(_xlfn.XLOOKUP(R25:AF25,增益!$A:$A,增益!$W:$W,0))</f>
        <v>0.13</v>
      </c>
    </row>
    <row r="26" spans="1:69">
      <c r="A26" t="s">
        <v>138</v>
      </c>
      <c r="B26">
        <v>2</v>
      </c>
      <c r="K26" s="36">
        <f t="shared" si="0"/>
        <v>49773.037635135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55746.5816763844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41596.4157960435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27873.2908381922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24934.4218274633</v>
      </c>
      <c r="P26" s="37">
        <v>1</v>
      </c>
      <c r="Q26" s="38" t="s">
        <v>139</v>
      </c>
      <c r="R26" s="38" t="s">
        <v>89</v>
      </c>
      <c r="S26" s="38" t="s">
        <v>72</v>
      </c>
      <c r="T26" s="38" t="s">
        <v>72</v>
      </c>
      <c r="U26" s="38" t="s">
        <v>111</v>
      </c>
      <c r="V26" s="38" t="s">
        <v>72</v>
      </c>
      <c r="W26" s="38" t="s">
        <v>72</v>
      </c>
      <c r="X26" s="38" t="s">
        <v>122</v>
      </c>
      <c r="Y26" s="38" t="s">
        <v>72</v>
      </c>
      <c r="Z26" s="38" t="s">
        <v>72</v>
      </c>
      <c r="AA26" s="38" t="s">
        <v>68</v>
      </c>
      <c r="AB26" s="38" t="s">
        <v>72</v>
      </c>
      <c r="AC26" s="38" t="s">
        <v>72</v>
      </c>
      <c r="AD26" s="38" t="s">
        <v>72</v>
      </c>
      <c r="AE26" s="38" t="s">
        <v>90</v>
      </c>
      <c r="AF26" s="38" t="s">
        <v>74</v>
      </c>
      <c r="AG26" t="str">
        <f>VLOOKUP($Q26,武学奇术!$A:$ZZ,25,FALSE)</f>
        <v>陌刀</v>
      </c>
      <c r="AH26" s="23">
        <f>VLOOKUP($Q26,武学奇术!$A:$ZZ,26,FALSE)</f>
        <v>1.8948</v>
      </c>
      <c r="AI26" s="24">
        <f>VLOOKUP($Q26,武学奇术!$A:$ZZ,27,FALSE)*(1+IF(OR($AG26=$F$4,$AG26=$F$5),$B$22,0))</f>
        <v>682.5</v>
      </c>
      <c r="AJ26" s="23">
        <f>VLOOKUP($Q26,武学奇术!$A:$ZZ,28,FALSE)</f>
        <v>2.8422</v>
      </c>
      <c r="AK26" s="24">
        <f>VLOOKUP($Q26,武学奇术!$A:$ZZ,29,FALSE)*(1+IF(OR($AG26=$F$4,$AG26=$F$5),$B$22,0))</f>
        <v>371.8</v>
      </c>
      <c r="AL26" s="23" cm="1">
        <f t="array" ref="AL26">$G$3+IFERROR(VLOOKUP($AG26,$F$4:$G$7,2,FALSE),0)+VLOOKUP($Q26,武学奇术!$A:$ZZ,2,FALSE)+SUM(_xlfn.XLOOKUP($R26:$AF26,增益!$A:$A,增益!$B:$B,0))</f>
        <v>0.763</v>
      </c>
      <c r="AM26" s="23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3052.34</v>
      </c>
      <c r="AO26" cm="1">
        <f t="array" ref="AO26">$E$10*(1+$AM26)+VLOOKUP($Q26,武学奇术!$A:$ZZ,4,FALSE)+SUM(_xlfn.XLOOKUP($R26:$AF26,增益!$A:$A,增益!$D:$D,0))-$I$2</f>
        <v>3052.34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0.467</v>
      </c>
      <c r="AQ26" s="30" cm="1">
        <f t="array" ref="AQ26">$G$10+VLOOKUP($Q26,武学奇术!$A:$ZZ,7,FALSE)+SUM(_xlfn.XLOOKUP(R26:AF26,增益!$A:$A,增益!$G:$G,0))</f>
        <v>0</v>
      </c>
      <c r="AR26" s="23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-0.24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634.5</v>
      </c>
      <c r="AX26">
        <f t="shared" si="4"/>
        <v>1443.3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0.118</v>
      </c>
      <c r="AZ26" s="30" cm="1">
        <f t="array" ref="AZ26">$G$12+VLOOKUP($Q26,武学奇术!$A:$ZZ,12,FALSE)+SUM(_xlfn.XLOOKUP(R26:AF26,增益!$A:$A,增益!$L:$L,0))</f>
        <v>0.148</v>
      </c>
      <c r="BA26">
        <f t="shared" si="5"/>
        <v>0</v>
      </c>
      <c r="BB26">
        <f t="shared" si="6"/>
        <v>0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-0.24</v>
      </c>
      <c r="BD26" s="30" cm="1">
        <f t="array" ref="BD26">$G$13+VLOOKUP($Q26,武学奇术!$A:$ZZ,14,FALSE)+SUM(_xlfn.XLOOKUP(R26:AF26,增益!$A:$A,增益!$N:$N,0))</f>
        <v>0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-0.24</v>
      </c>
      <c r="BH26" s="30" cm="1">
        <f t="array" ref="BH26">$G$14+VLOOKUP($Q26,武学奇术!$A:$ZZ,16,FALSE)+SUM(_xlfn.XLOOKUP(R26:AF26,增益!$A:$A,增益!$P:$P,0))</f>
        <v>0</v>
      </c>
      <c r="BI26" s="23">
        <f>MIN(IF(VLOOKUP($Q26,武学奇术!$A:$ZZ,23,FALSE)=1,100%,$B$8),100%)</f>
        <v>0.8626</v>
      </c>
      <c r="BJ26" s="23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0.8697</v>
      </c>
      <c r="BK26" s="23" cm="1">
        <f t="array" ref="BK26">1+$B$13+VLOOKUP($Q26,武学奇术!$A:$ZZ,18,FALSE)+SUM(_xlfn.XLOOKUP(R26:AF26,增益!$A:$A,增益!$R:$R,0))</f>
        <v>2</v>
      </c>
      <c r="BL26" s="23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0.0986</v>
      </c>
      <c r="BM26" s="23" cm="1">
        <f t="array" ref="BM26">1+$B$14+VLOOKUP($Q26,武学奇术!$A:$ZZ,20,FALSE)+SUM(_xlfn.XLOOKUP(R26:AF26,增益!$A:$A,增益!$T:$T,0))</f>
        <v>1.35</v>
      </c>
      <c r="BN26" s="23">
        <f t="shared" si="9"/>
        <v>0.75020322</v>
      </c>
      <c r="BO26" s="23">
        <f t="shared" si="10"/>
        <v>0.0273444200000001</v>
      </c>
      <c r="BP26" s="23">
        <f>IF(VLOOKUP($Q26,武学奇术!$A:$ZZ,22,FALSE)=1,0,(1-$BI26))*(1-$BL26)</f>
        <v>0.12385236</v>
      </c>
      <c r="BQ26" s="23" cm="1">
        <f t="array" ref="BQ26">SUM(_xlfn.XLOOKUP(R26:AF26,增益!$A:$A,增益!$W:$W,0))</f>
        <v>0.13</v>
      </c>
    </row>
    <row r="27" spans="1:69">
      <c r="A27" t="s">
        <v>140</v>
      </c>
      <c r="B27">
        <v>1.3</v>
      </c>
      <c r="K27" s="36">
        <f t="shared" si="0"/>
        <v>23046.3428191091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25810.2913053133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19515.8210054183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12905.1456526566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11354.127597596</v>
      </c>
      <c r="P27" s="37">
        <v>1</v>
      </c>
      <c r="Q27" s="38" t="s">
        <v>141</v>
      </c>
      <c r="R27" s="38" t="s">
        <v>89</v>
      </c>
      <c r="S27" s="38" t="s">
        <v>72</v>
      </c>
      <c r="T27" s="38" t="s">
        <v>72</v>
      </c>
      <c r="U27" s="38" t="s">
        <v>111</v>
      </c>
      <c r="V27" s="38" t="s">
        <v>72</v>
      </c>
      <c r="W27" s="38" t="s">
        <v>72</v>
      </c>
      <c r="X27" s="38" t="s">
        <v>122</v>
      </c>
      <c r="Y27" s="38" t="s">
        <v>72</v>
      </c>
      <c r="Z27" s="38" t="s">
        <v>72</v>
      </c>
      <c r="AA27" s="38" t="s">
        <v>68</v>
      </c>
      <c r="AB27" s="38" t="s">
        <v>72</v>
      </c>
      <c r="AC27" s="38" t="s">
        <v>72</v>
      </c>
      <c r="AD27" s="38" t="s">
        <v>72</v>
      </c>
      <c r="AE27" s="38" t="s">
        <v>90</v>
      </c>
      <c r="AF27" s="38" t="s">
        <v>74</v>
      </c>
      <c r="AG27" t="str">
        <f>VLOOKUP($Q27,武学奇术!$A:$ZZ,25,FALSE)</f>
        <v>陌刀</v>
      </c>
      <c r="AH27" s="23">
        <f>VLOOKUP($Q27,武学奇术!$A:$ZZ,26,FALSE)</f>
        <v>1</v>
      </c>
      <c r="AI27" s="24">
        <f>VLOOKUP($Q27,武学奇术!$A:$ZZ,27,FALSE)*(1+IF(OR($AG27=$F$4,$AG27=$F$5),$B$22,0))</f>
        <v>0</v>
      </c>
      <c r="AJ27" s="23">
        <f>VLOOKUP($Q27,武学奇术!$A:$ZZ,28,FALSE)</f>
        <v>1.5</v>
      </c>
      <c r="AK27" s="24">
        <f>VLOOKUP($Q27,武学奇术!$A:$ZZ,29,FALSE)*(1+IF(OR($AG27=$F$4,$AG27=$F$5),$B$22,0))</f>
        <v>0</v>
      </c>
      <c r="AL27" s="23" cm="1">
        <f t="array" ref="AL27">$G$3+IFERROR(VLOOKUP($AG27,$F$4:$G$7,2,FALSE),0)+VLOOKUP($Q27,武学奇术!$A:$ZZ,2,FALSE)+SUM(_xlfn.XLOOKUP($R27:$AF27,增益!$A:$A,增益!$B:$B,0))</f>
        <v>0.763</v>
      </c>
      <c r="AM27" s="23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3052.34</v>
      </c>
      <c r="AO27" cm="1">
        <f t="array" ref="AO27">$E$10*(1+$AM27)+VLOOKUP($Q27,武学奇术!$A:$ZZ,4,FALSE)+SUM(_xlfn.XLOOKUP($R27:$AF27,增益!$A:$A,增益!$D:$D,0))-$I$2</f>
        <v>3052.34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0.467</v>
      </c>
      <c r="AQ27" s="30" cm="1">
        <f t="array" ref="AQ27">$G$10+VLOOKUP($Q27,武学奇术!$A:$ZZ,7,FALSE)+SUM(_xlfn.XLOOKUP(R27:AF27,增益!$A:$A,增益!$G:$G,0))</f>
        <v>0</v>
      </c>
      <c r="AR27" s="23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-0.24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634.5</v>
      </c>
      <c r="AX27">
        <f t="shared" si="4"/>
        <v>1443.3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0.118</v>
      </c>
      <c r="AZ27" s="30" cm="1">
        <f t="array" ref="AZ27">$G$12+VLOOKUP($Q27,武学奇术!$A:$ZZ,12,FALSE)+SUM(_xlfn.XLOOKUP(R27:AF27,增益!$A:$A,增益!$L:$L,0))</f>
        <v>0.148</v>
      </c>
      <c r="BA27">
        <f t="shared" si="5"/>
        <v>0</v>
      </c>
      <c r="BB27">
        <f t="shared" si="6"/>
        <v>0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-0.24</v>
      </c>
      <c r="BD27" s="30" cm="1">
        <f t="array" ref="BD27">$G$13+VLOOKUP($Q27,武学奇术!$A:$ZZ,14,FALSE)+SUM(_xlfn.XLOOKUP(R27:AF27,增益!$A:$A,增益!$N:$N,0))</f>
        <v>0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-0.24</v>
      </c>
      <c r="BH27" s="30" cm="1">
        <f t="array" ref="BH27">$G$14+VLOOKUP($Q27,武学奇术!$A:$ZZ,16,FALSE)+SUM(_xlfn.XLOOKUP(R27:AF27,增益!$A:$A,增益!$P:$P,0))</f>
        <v>0</v>
      </c>
      <c r="BI27" s="23">
        <f>MIN(IF(VLOOKUP($Q27,武学奇术!$A:$ZZ,23,FALSE)=1,100%,$B$8),100%)</f>
        <v>0.8626</v>
      </c>
      <c r="BJ27" s="23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0.8697</v>
      </c>
      <c r="BK27" s="23" cm="1">
        <f t="array" ref="BK27">1+$B$13+VLOOKUP($Q27,武学奇术!$A:$ZZ,18,FALSE)+SUM(_xlfn.XLOOKUP(R27:AF27,增益!$A:$A,增益!$R:$R,0))</f>
        <v>2</v>
      </c>
      <c r="BL27" s="23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0.0986</v>
      </c>
      <c r="BM27" s="23" cm="1">
        <f t="array" ref="BM27">1+$B$14+VLOOKUP($Q27,武学奇术!$A:$ZZ,20,FALSE)+SUM(_xlfn.XLOOKUP(R27:AF27,增益!$A:$A,增益!$T:$T,0))</f>
        <v>1.35</v>
      </c>
      <c r="BN27" s="23">
        <f t="shared" si="9"/>
        <v>0.75020322</v>
      </c>
      <c r="BO27" s="23">
        <f t="shared" si="10"/>
        <v>0.0273444200000001</v>
      </c>
      <c r="BP27" s="23">
        <f>IF(VLOOKUP($Q27,武学奇术!$A:$ZZ,22,FALSE)=1,0,(1-$BI27))*(1-$BL27)</f>
        <v>0.12385236</v>
      </c>
      <c r="BQ27" s="23" cm="1">
        <f t="array" ref="BQ27">SUM(_xlfn.XLOOKUP(R27:AF27,增益!$A:$A,增益!$W:$W,0))</f>
        <v>0.13</v>
      </c>
    </row>
    <row r="28" spans="1:69">
      <c r="A28" t="s">
        <v>142</v>
      </c>
      <c r="B28">
        <v>0.8</v>
      </c>
      <c r="K28" s="36">
        <f t="shared" si="0"/>
        <v>28408.5865667069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31688.0458635521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24278.051052599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16250.2799300267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14516.8183396098</v>
      </c>
      <c r="P28" s="37">
        <v>1</v>
      </c>
      <c r="Q28" s="38" t="s">
        <v>143</v>
      </c>
      <c r="R28" s="38" t="s">
        <v>89</v>
      </c>
      <c r="S28" s="38" t="s">
        <v>72</v>
      </c>
      <c r="T28" s="38" t="s">
        <v>72</v>
      </c>
      <c r="U28" s="38" t="s">
        <v>80</v>
      </c>
      <c r="V28" s="38" t="s">
        <v>72</v>
      </c>
      <c r="W28" s="38" t="s">
        <v>72</v>
      </c>
      <c r="X28" s="38" t="s">
        <v>122</v>
      </c>
      <c r="Y28" s="38" t="s">
        <v>72</v>
      </c>
      <c r="Z28" s="38" t="s">
        <v>72</v>
      </c>
      <c r="AA28" s="38" t="s">
        <v>72</v>
      </c>
      <c r="AB28" s="38" t="s">
        <v>72</v>
      </c>
      <c r="AC28" s="38" t="s">
        <v>72</v>
      </c>
      <c r="AD28" s="38" t="s">
        <v>72</v>
      </c>
      <c r="AE28" s="38" t="s">
        <v>90</v>
      </c>
      <c r="AF28" s="38" t="s">
        <v>74</v>
      </c>
      <c r="AG28" t="str">
        <f>VLOOKUP($Q28,武学奇术!$A:$ZZ,25,FALSE)</f>
        <v>横刀</v>
      </c>
      <c r="AH28" s="23">
        <f>VLOOKUP($Q28,武学奇术!$A:$ZZ,26,FALSE)</f>
        <v>1.2338</v>
      </c>
      <c r="AI28" s="24">
        <f>VLOOKUP($Q28,武学奇术!$A:$ZZ,27,FALSE)*(1+IF(OR($AG28=$F$4,$AG28=$F$5),$B$22,0))</f>
        <v>444.6</v>
      </c>
      <c r="AJ28" s="23">
        <f>VLOOKUP($Q28,武学奇术!$A:$ZZ,28,FALSE)</f>
        <v>1.8507</v>
      </c>
      <c r="AK28" s="24">
        <f>VLOOKUP($Q28,武学奇术!$A:$ZZ,29,FALSE)*(1+IF(OR($AG28=$F$4,$AG28=$F$5),$B$22,0))</f>
        <v>241.8</v>
      </c>
      <c r="AL28" s="23" cm="1">
        <f t="array" ref="AL28">$G$3+IFERROR(VLOOKUP($AG28,$F$4:$G$7,2,FALSE),0)+VLOOKUP($Q28,武学奇术!$A:$ZZ,2,FALSE)+SUM(_xlfn.XLOOKUP($R28:$AF28,增益!$A:$A,增益!$B:$B,0))</f>
        <v>0.597</v>
      </c>
      <c r="AM28" s="23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3052.34</v>
      </c>
      <c r="AO28" cm="1">
        <f t="array" ref="AO28">$E$10*(1+$AM28)+VLOOKUP($Q28,武学奇术!$A:$ZZ,4,FALSE)+SUM(_xlfn.XLOOKUP($R28:$AF28,增益!$A:$A,增益!$D:$D,0))-$I$2</f>
        <v>3052.34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0.442</v>
      </c>
      <c r="AQ28" s="30" cm="1">
        <f t="array" ref="AQ28">$G$10+VLOOKUP($Q28,武学奇术!$A:$ZZ,7,FALSE)+SUM(_xlfn.XLOOKUP(R28:AF28,增益!$A:$A,增益!$G:$G,0))</f>
        <v>0</v>
      </c>
      <c r="AR28" s="23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-0.24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634.5</v>
      </c>
      <c r="AX28">
        <f t="shared" si="4"/>
        <v>1443.3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0.118</v>
      </c>
      <c r="AZ28" s="30" cm="1">
        <f t="array" ref="AZ28">$G$12+VLOOKUP($Q28,武学奇术!$A:$ZZ,12,FALSE)+SUM(_xlfn.XLOOKUP(R28:AF28,增益!$A:$A,增益!$L:$L,0))</f>
        <v>0.148</v>
      </c>
      <c r="BA28">
        <f t="shared" si="5"/>
        <v>0</v>
      </c>
      <c r="BB28">
        <f t="shared" si="6"/>
        <v>0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-0.24</v>
      </c>
      <c r="BD28" s="30" cm="1">
        <f t="array" ref="BD28">$G$13+VLOOKUP($Q28,武学奇术!$A:$ZZ,14,FALSE)+SUM(_xlfn.XLOOKUP(R28:AF28,增益!$A:$A,增益!$N:$N,0))</f>
        <v>0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-0.24</v>
      </c>
      <c r="BH28" s="30" cm="1">
        <f t="array" ref="BH28">$G$14+VLOOKUP($Q28,武学奇术!$A:$ZZ,16,FALSE)+SUM(_xlfn.XLOOKUP(R28:AF28,增益!$A:$A,增益!$P:$P,0))</f>
        <v>0</v>
      </c>
      <c r="BI28" s="23">
        <f>MIN(IF(VLOOKUP($Q28,武学奇术!$A:$ZZ,23,FALSE)=1,100%,$B$8),100%)</f>
        <v>0.8626</v>
      </c>
      <c r="BJ28" s="23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0.8697</v>
      </c>
      <c r="BK28" s="23" cm="1">
        <f t="array" ref="BK28">1+$B$13+VLOOKUP($Q28,武学奇术!$A:$ZZ,18,FALSE)+SUM(_xlfn.XLOOKUP(R28:AF28,增益!$A:$A,增益!$R:$R,0))</f>
        <v>1.95</v>
      </c>
      <c r="BL28" s="23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0.0986</v>
      </c>
      <c r="BM28" s="23" cm="1">
        <f t="array" ref="BM28">1+$B$14+VLOOKUP($Q28,武学奇术!$A:$ZZ,20,FALSE)+SUM(_xlfn.XLOOKUP(R28:AF28,增益!$A:$A,增益!$T:$T,0))</f>
        <v>1.35</v>
      </c>
      <c r="BN28" s="23">
        <f t="shared" ref="BN28:BN59" si="11">MIN((1-BL28)*BI28,BI28*BJ28)</f>
        <v>0.75020322</v>
      </c>
      <c r="BO28" s="23">
        <f t="shared" si="10"/>
        <v>0.0273444200000001</v>
      </c>
      <c r="BP28" s="23">
        <f>IF(VLOOKUP($Q28,武学奇术!$A:$ZZ,22,FALSE)=1,0,(1-$BI28))*(1-$BL28)</f>
        <v>0.12385236</v>
      </c>
      <c r="BQ28" s="23" cm="1">
        <f t="array" ref="BQ28">SUM(_xlfn.XLOOKUP(R28:AF28,增益!$A:$A,增益!$W:$W,0))</f>
        <v>0.13</v>
      </c>
    </row>
    <row r="29" spans="1:69">
      <c r="A29" t="s">
        <v>93</v>
      </c>
      <c r="B29">
        <v>1.5</v>
      </c>
      <c r="K29" s="36">
        <f t="shared" si="0"/>
        <v>53277.7466690499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59671.9081026023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44525.711894066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29835.9540513011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26689.899292183</v>
      </c>
      <c r="P29" s="37">
        <v>1</v>
      </c>
      <c r="Q29" s="38" t="s">
        <v>97</v>
      </c>
      <c r="R29" s="38" t="s">
        <v>89</v>
      </c>
      <c r="S29" s="38" t="s">
        <v>72</v>
      </c>
      <c r="T29" s="38" t="s">
        <v>72</v>
      </c>
      <c r="U29" s="38" t="s">
        <v>111</v>
      </c>
      <c r="V29" s="38" t="s">
        <v>72</v>
      </c>
      <c r="W29" s="38" t="s">
        <v>72</v>
      </c>
      <c r="X29" s="38" t="s">
        <v>122</v>
      </c>
      <c r="Y29" s="38" t="s">
        <v>72</v>
      </c>
      <c r="Z29" s="38" t="s">
        <v>72</v>
      </c>
      <c r="AA29" s="38" t="s">
        <v>68</v>
      </c>
      <c r="AB29" s="38" t="s">
        <v>72</v>
      </c>
      <c r="AC29" s="38" t="s">
        <v>72</v>
      </c>
      <c r="AD29" s="38" t="s">
        <v>72</v>
      </c>
      <c r="AE29" s="38" t="s">
        <v>90</v>
      </c>
      <c r="AF29" s="38" t="s">
        <v>74</v>
      </c>
      <c r="AG29" t="str">
        <f>VLOOKUP($Q29,武学奇术!$A:$ZZ,25,FALSE)</f>
        <v>横刀</v>
      </c>
      <c r="AH29" s="23">
        <f>VLOOKUP($Q29,武学奇术!$A:$ZZ,26,FALSE)</f>
        <v>2.1324</v>
      </c>
      <c r="AI29" s="24">
        <f>VLOOKUP($Q29,武学奇术!$A:$ZZ,27,FALSE)*(1+IF(OR($AG29=$F$4,$AG29=$F$5),$B$22,0))</f>
        <v>767</v>
      </c>
      <c r="AJ29" s="23">
        <f>VLOOKUP($Q29,武学奇术!$A:$ZZ,28,FALSE)</f>
        <v>3.1986</v>
      </c>
      <c r="AK29" s="24">
        <f>VLOOKUP($Q29,武学奇术!$A:$ZZ,29,FALSE)*(1+IF(OR($AG29=$F$4,$AG29=$F$5),$B$22,0))</f>
        <v>418.6</v>
      </c>
      <c r="AL29" s="23" cm="1">
        <f t="array" ref="AL29">$G$3+IFERROR(VLOOKUP($AG29,$F$4:$G$7,2,FALSE),0)+VLOOKUP($Q29,武学奇术!$A:$ZZ,2,FALSE)+SUM(_xlfn.XLOOKUP($R29:$AF29,增益!$A:$A,增益!$B:$B,0))</f>
        <v>0.677</v>
      </c>
      <c r="AM29" s="23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3052.34</v>
      </c>
      <c r="AO29" cm="1">
        <f t="array" ref="AO29">$E$10*(1+$AM29)+VLOOKUP($Q29,武学奇术!$A:$ZZ,4,FALSE)+SUM(_xlfn.XLOOKUP($R29:$AF29,增益!$A:$A,增益!$D:$D,0))-$I$2</f>
        <v>3052.34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0.467</v>
      </c>
      <c r="AQ29" s="30" cm="1">
        <f t="array" ref="AQ29">$G$10+VLOOKUP($Q29,武学奇术!$A:$ZZ,7,FALSE)+SUM(_xlfn.XLOOKUP(R29:AF29,增益!$A:$A,增益!$G:$G,0))</f>
        <v>0</v>
      </c>
      <c r="AR29" s="23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-0.24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634.5</v>
      </c>
      <c r="AX29">
        <f t="shared" si="4"/>
        <v>1443.3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0.118</v>
      </c>
      <c r="AZ29" s="30" cm="1">
        <f t="array" ref="AZ29">$G$12+VLOOKUP($Q29,武学奇术!$A:$ZZ,12,FALSE)+SUM(_xlfn.XLOOKUP(R29:AF29,增益!$A:$A,增益!$L:$L,0))</f>
        <v>0.148</v>
      </c>
      <c r="BA29">
        <f t="shared" si="5"/>
        <v>0</v>
      </c>
      <c r="BB29">
        <f t="shared" si="6"/>
        <v>0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-0.24</v>
      </c>
      <c r="BD29" s="30" cm="1">
        <f t="array" ref="BD29">$G$13+VLOOKUP($Q29,武学奇术!$A:$ZZ,14,FALSE)+SUM(_xlfn.XLOOKUP(R29:AF29,增益!$A:$A,增益!$N:$N,0))</f>
        <v>0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-0.24</v>
      </c>
      <c r="BH29" s="30" cm="1">
        <f t="array" ref="BH29">$G$14+VLOOKUP($Q29,武学奇术!$A:$ZZ,16,FALSE)+SUM(_xlfn.XLOOKUP(R29:AF29,增益!$A:$A,增益!$P:$P,0))</f>
        <v>0</v>
      </c>
      <c r="BI29" s="23">
        <f>MIN(IF(VLOOKUP($Q29,武学奇术!$A:$ZZ,23,FALSE)=1,100%,$B$8),100%)</f>
        <v>0.8626</v>
      </c>
      <c r="BJ29" s="23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0.8697</v>
      </c>
      <c r="BK29" s="23" cm="1">
        <f t="array" ref="BK29">1+$B$13+VLOOKUP($Q29,武学奇术!$A:$ZZ,18,FALSE)+SUM(_xlfn.XLOOKUP(R29:AF29,增益!$A:$A,增益!$R:$R,0))</f>
        <v>2</v>
      </c>
      <c r="BL29" s="23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0.0986</v>
      </c>
      <c r="BM29" s="23" cm="1">
        <f t="array" ref="BM29">1+$B$14+VLOOKUP($Q29,武学奇术!$A:$ZZ,20,FALSE)+SUM(_xlfn.XLOOKUP(R29:AF29,增益!$A:$A,增益!$T:$T,0))</f>
        <v>1.35</v>
      </c>
      <c r="BN29" s="23">
        <f t="shared" si="11"/>
        <v>0.75020322</v>
      </c>
      <c r="BO29" s="23">
        <f t="shared" si="10"/>
        <v>0.0273444200000001</v>
      </c>
      <c r="BP29" s="23">
        <f>IF(VLOOKUP($Q29,武学奇术!$A:$ZZ,22,FALSE)=1,0,(1-$BI29))*(1-$BL29)</f>
        <v>0.12385236</v>
      </c>
      <c r="BQ29" s="23" cm="1">
        <f t="array" ref="BQ29">SUM(_xlfn.XLOOKUP(R29:AF29,增益!$A:$A,增益!$W:$W,0))</f>
        <v>0.13</v>
      </c>
    </row>
    <row r="30" spans="1:69">
      <c r="A30" t="s">
        <v>144</v>
      </c>
      <c r="B30">
        <v>1</v>
      </c>
      <c r="C30" s="37" t="s">
        <v>140</v>
      </c>
      <c r="K30" s="36">
        <f t="shared" si="0"/>
        <v>32866.4825843158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36807.0509107253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27975.2551343742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18403.5254553627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16084.6397000778</v>
      </c>
      <c r="P30" s="37">
        <v>1</v>
      </c>
      <c r="Q30" s="38" t="s">
        <v>99</v>
      </c>
      <c r="R30" s="38" t="s">
        <v>89</v>
      </c>
      <c r="S30" s="38" t="s">
        <v>72</v>
      </c>
      <c r="T30" s="38" t="s">
        <v>79</v>
      </c>
      <c r="U30" s="38" t="s">
        <v>111</v>
      </c>
      <c r="V30" s="38" t="s">
        <v>72</v>
      </c>
      <c r="W30" s="38" t="s">
        <v>72</v>
      </c>
      <c r="X30" s="38" t="s">
        <v>122</v>
      </c>
      <c r="Y30" s="38" t="s">
        <v>72</v>
      </c>
      <c r="Z30" s="38" t="s">
        <v>72</v>
      </c>
      <c r="AA30" s="38" t="s">
        <v>68</v>
      </c>
      <c r="AB30" s="38" t="s">
        <v>72</v>
      </c>
      <c r="AC30" s="38" t="s">
        <v>72</v>
      </c>
      <c r="AD30" s="38" t="s">
        <v>72</v>
      </c>
      <c r="AE30" s="38" t="s">
        <v>90</v>
      </c>
      <c r="AF30" s="38" t="s">
        <v>74</v>
      </c>
      <c r="AG30" t="str">
        <f>VLOOKUP($Q30,武学奇术!$A:$ZZ,25,FALSE)</f>
        <v>横刀</v>
      </c>
      <c r="AH30" s="23">
        <f>VLOOKUP($Q30,武学奇术!$A:$ZZ,26,FALSE)</f>
        <v>1.4</v>
      </c>
      <c r="AI30" s="24">
        <f>VLOOKUP($Q30,武学奇术!$A:$ZZ,27,FALSE)*(1+IF(OR($AG30=$F$4,$AG30=$F$5),$B$22,0))</f>
        <v>0</v>
      </c>
      <c r="AJ30" s="23">
        <f>VLOOKUP($Q30,武学奇术!$A:$ZZ,28,FALSE)</f>
        <v>2.1</v>
      </c>
      <c r="AK30" s="24">
        <f>VLOOKUP($Q30,武学奇术!$A:$ZZ,29,FALSE)*(1+IF(OR($AG30=$F$4,$AG30=$F$5),$B$22,0))</f>
        <v>0</v>
      </c>
      <c r="AL30" s="23" cm="1">
        <f t="array" ref="AL30">$G$3+IFERROR(VLOOKUP($AG30,$F$4:$G$7,2,FALSE),0)+VLOOKUP($Q30,武学奇术!$A:$ZZ,2,FALSE)+SUM(_xlfn.XLOOKUP($R30:$AF30,增益!$A:$A,增益!$B:$B,0))</f>
        <v>0.757</v>
      </c>
      <c r="AM30" s="23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3052.34</v>
      </c>
      <c r="AO30" cm="1">
        <f t="array" ref="AO30">$E$10*(1+$AM30)+VLOOKUP($Q30,武学奇术!$A:$ZZ,4,FALSE)+SUM(_xlfn.XLOOKUP($R30:$AF30,增益!$A:$A,增益!$D:$D,0))-$I$2</f>
        <v>3052.34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0.467</v>
      </c>
      <c r="AQ30" s="30" cm="1">
        <f t="array" ref="AQ30">$G$10+VLOOKUP($Q30,武学奇术!$A:$ZZ,7,FALSE)+SUM(_xlfn.XLOOKUP(R30:AF30,增益!$A:$A,增益!$G:$G,0))</f>
        <v>0</v>
      </c>
      <c r="AR30" s="23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-0.08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634.5</v>
      </c>
      <c r="AX30">
        <f t="shared" si="4"/>
        <v>1443.3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0.198</v>
      </c>
      <c r="AZ30" s="30" cm="1">
        <f t="array" ref="AZ30">$G$12+VLOOKUP($Q30,武学奇术!$A:$ZZ,12,FALSE)+SUM(_xlfn.XLOOKUP(R30:AF30,增益!$A:$A,增益!$L:$L,0))</f>
        <v>0.148</v>
      </c>
      <c r="BA30">
        <f t="shared" si="5"/>
        <v>0</v>
      </c>
      <c r="BB30">
        <f t="shared" si="6"/>
        <v>0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-0.08</v>
      </c>
      <c r="BD30" s="30" cm="1">
        <f t="array" ref="BD30">$G$13+VLOOKUP($Q30,武学奇术!$A:$ZZ,14,FALSE)+SUM(_xlfn.XLOOKUP(R30:AF30,增益!$A:$A,增益!$N:$N,0))</f>
        <v>0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-0.08</v>
      </c>
      <c r="BH30" s="30" cm="1">
        <f t="array" ref="BH30">$G$14+VLOOKUP($Q30,武学奇术!$A:$ZZ,16,FALSE)+SUM(_xlfn.XLOOKUP(R30:AF30,增益!$A:$A,增益!$P:$P,0))</f>
        <v>0</v>
      </c>
      <c r="BI30" s="23">
        <f>MIN(IF(VLOOKUP($Q30,武学奇术!$A:$ZZ,23,FALSE)=1,100%,$B$8),100%)</f>
        <v>0.8626</v>
      </c>
      <c r="BJ30" s="23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0.8697</v>
      </c>
      <c r="BK30" s="23" cm="1">
        <f t="array" ref="BK30">1+$B$13+VLOOKUP($Q30,武学奇术!$A:$ZZ,18,FALSE)+SUM(_xlfn.XLOOKUP(R30:AF30,增益!$A:$A,增益!$R:$R,0))</f>
        <v>2</v>
      </c>
      <c r="BL30" s="23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0.0986</v>
      </c>
      <c r="BM30" s="23" cm="1">
        <f t="array" ref="BM30">1+$B$14+VLOOKUP($Q30,武学奇术!$A:$ZZ,20,FALSE)+SUM(_xlfn.XLOOKUP(R30:AF30,增益!$A:$A,增益!$T:$T,0))</f>
        <v>1.35</v>
      </c>
      <c r="BN30" s="23">
        <f t="shared" si="11"/>
        <v>0.75020322</v>
      </c>
      <c r="BO30" s="23">
        <f t="shared" si="10"/>
        <v>0.0273444200000001</v>
      </c>
      <c r="BP30" s="23">
        <f>IF(VLOOKUP($Q30,武学奇术!$A:$ZZ,22,FALSE)=1,0,(1-$BI30))*(1-$BL30)</f>
        <v>0.12385236</v>
      </c>
      <c r="BQ30" s="23" cm="1">
        <f t="array" ref="BQ30">SUM(_xlfn.XLOOKUP(R30:AF30,增益!$A:$A,增益!$W:$W,0))</f>
        <v>0.13</v>
      </c>
    </row>
    <row r="31" spans="1:69">
      <c r="A31" s="4" t="s">
        <v>145</v>
      </c>
      <c r="B31" s="4">
        <v>0.2</v>
      </c>
      <c r="C31" s="37"/>
      <c r="K31" s="36">
        <f t="shared" si="0"/>
        <v>930073.241128781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1028418.83354426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799288.080472563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527394.27361244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462723.302430389</v>
      </c>
      <c r="P31" s="37">
        <v>1</v>
      </c>
      <c r="Q31" s="38" t="s">
        <v>146</v>
      </c>
      <c r="R31" s="38" t="s">
        <v>89</v>
      </c>
      <c r="S31" s="38" t="s">
        <v>72</v>
      </c>
      <c r="T31" s="38" t="s">
        <v>79</v>
      </c>
      <c r="U31" s="38" t="s">
        <v>80</v>
      </c>
      <c r="V31" s="38" t="s">
        <v>72</v>
      </c>
      <c r="W31" s="38" t="s">
        <v>72</v>
      </c>
      <c r="X31" s="38" t="s">
        <v>122</v>
      </c>
      <c r="Y31" s="38" t="s">
        <v>147</v>
      </c>
      <c r="Z31" s="38" t="s">
        <v>148</v>
      </c>
      <c r="AA31" s="38" t="s">
        <v>72</v>
      </c>
      <c r="AB31" s="38" t="s">
        <v>72</v>
      </c>
      <c r="AC31" s="38" t="s">
        <v>72</v>
      </c>
      <c r="AD31" s="38" t="s">
        <v>72</v>
      </c>
      <c r="AE31" s="38" t="s">
        <v>90</v>
      </c>
      <c r="AF31" s="38" t="s">
        <v>74</v>
      </c>
      <c r="AG31" t="str">
        <f>VLOOKUP($Q31,武学奇术!$A:$ZZ,25,FALSE)</f>
        <v>单体奇术</v>
      </c>
      <c r="AH31" s="23">
        <f>VLOOKUP($Q31,武学奇术!$A:$ZZ,26,FALSE)</f>
        <v>25.198866</v>
      </c>
      <c r="AI31" s="24">
        <f>VLOOKUP($Q31,武学奇术!$A:$ZZ,27,FALSE)*(1+IF(OR($AG31=$F$4,$AG31=$F$5),$B$22,0))</f>
        <v>4521.44</v>
      </c>
      <c r="AJ31" s="23">
        <f>VLOOKUP($Q31,武学奇术!$A:$ZZ,28,FALSE)</f>
        <v>37.798299</v>
      </c>
      <c r="AK31" s="24">
        <f>VLOOKUP($Q31,武学奇术!$A:$ZZ,29,FALSE)*(1+IF(OR($AG31=$F$4,$AG31=$F$5),$B$22,0))</f>
        <v>0</v>
      </c>
      <c r="AL31" s="23" cm="1">
        <f t="array" ref="AL31">$G$3+IFERROR(VLOOKUP($AG31,$F$4:$G$7,2,FALSE),0)+VLOOKUP($Q31,武学奇术!$A:$ZZ,2,FALSE)+SUM(_xlfn.XLOOKUP($R31:$AF31,增益!$A:$A,增益!$B:$B,0))</f>
        <v>1.313</v>
      </c>
      <c r="AM31" s="23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3052.34</v>
      </c>
      <c r="AO31" cm="1">
        <f t="array" ref="AO31">$E$10*(1+$AM31)+VLOOKUP($Q31,武学奇术!$A:$ZZ,4,FALSE)+SUM(_xlfn.XLOOKUP($R31:$AF31,增益!$A:$A,增益!$D:$D,0))-$I$2</f>
        <v>3052.34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0.442</v>
      </c>
      <c r="AQ31" s="30" cm="1">
        <f t="array" ref="AQ31">$G$10+VLOOKUP($Q31,武学奇术!$A:$ZZ,7,FALSE)+SUM(_xlfn.XLOOKUP(R31:AF31,增益!$A:$A,增益!$G:$G,0))</f>
        <v>0</v>
      </c>
      <c r="AR31" s="23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-0.08</v>
      </c>
      <c r="AV31" s="30" cm="1">
        <f t="array" ref="AV31">$G$11+VLOOKUP($Q31,武学奇术!$A:$ZZ,10,FALSE)+SUM(_xlfn.XLOOKUP(R31:AF31,增益!$A:$A,增益!$J:$J,0))</f>
        <v>0.1</v>
      </c>
      <c r="AW31">
        <f t="shared" si="3"/>
        <v>634.5</v>
      </c>
      <c r="AX31">
        <f t="shared" si="4"/>
        <v>1443.3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0.198</v>
      </c>
      <c r="AZ31" s="30" cm="1">
        <f t="array" ref="AZ31">$G$12+VLOOKUP($Q31,武学奇术!$A:$ZZ,12,FALSE)+SUM(_xlfn.XLOOKUP(R31:AF31,增益!$A:$A,增益!$L:$L,0))</f>
        <v>0.148</v>
      </c>
      <c r="BA31">
        <f t="shared" si="5"/>
        <v>0</v>
      </c>
      <c r="BB31">
        <f t="shared" si="6"/>
        <v>0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-0.08</v>
      </c>
      <c r="BD31" s="30" cm="1">
        <f t="array" ref="BD31">$G$13+VLOOKUP($Q31,武学奇术!$A:$ZZ,14,FALSE)+SUM(_xlfn.XLOOKUP(R31:AF31,增益!$A:$A,增益!$N:$N,0))</f>
        <v>0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-0.08</v>
      </c>
      <c r="BH31" s="30" cm="1">
        <f t="array" ref="BH31">$G$14+VLOOKUP($Q31,武学奇术!$A:$ZZ,16,FALSE)+SUM(_xlfn.XLOOKUP(R31:AF31,增益!$A:$A,增益!$P:$P,0))</f>
        <v>0</v>
      </c>
      <c r="BI31" s="23">
        <f>MIN(IF(VLOOKUP($Q31,武学奇术!$A:$ZZ,23,FALSE)=1,100%,$B$8),100%)</f>
        <v>0.8626</v>
      </c>
      <c r="BJ31" s="23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0.8697</v>
      </c>
      <c r="BK31" s="23" cm="1">
        <f t="array" ref="BK31">1+$B$13+VLOOKUP($Q31,武学奇术!$A:$ZZ,18,FALSE)+SUM(_xlfn.XLOOKUP(R31:AF31,增益!$A:$A,增益!$R:$R,0))</f>
        <v>1.95</v>
      </c>
      <c r="BL31" s="23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0.0986</v>
      </c>
      <c r="BM31" s="23" cm="1">
        <f t="array" ref="BM31">1+$B$14+VLOOKUP($Q31,武学奇术!$A:$ZZ,20,FALSE)+SUM(_xlfn.XLOOKUP(R31:AF31,增益!$A:$A,增益!$T:$T,0))</f>
        <v>1.35</v>
      </c>
      <c r="BN31" s="23">
        <f t="shared" si="11"/>
        <v>0.75020322</v>
      </c>
      <c r="BO31" s="23">
        <f t="shared" si="10"/>
        <v>0.15119678</v>
      </c>
      <c r="BP31" s="23">
        <f>IF(VLOOKUP($Q31,武学奇术!$A:$ZZ,22,FALSE)=1,0,(1-$BI31))*(1-$BL31)</f>
        <v>0</v>
      </c>
      <c r="BQ31" s="23" cm="1">
        <f t="array" ref="BQ31">SUM(_xlfn.XLOOKUP(R31:AF31,增益!$A:$A,增益!$W:$W,0))</f>
        <v>0.33</v>
      </c>
    </row>
    <row r="32" spans="1:69">
      <c r="A32" s="4" t="s">
        <v>149</v>
      </c>
      <c r="B32" s="4">
        <v>2.3</v>
      </c>
      <c r="C32" s="37"/>
      <c r="K32" s="36">
        <f t="shared" si="0"/>
        <v>65005.0250784406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65005.0250784406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46404.4857383104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30954.7738468765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27535.8545542637</v>
      </c>
      <c r="P32" s="37">
        <v>1</v>
      </c>
      <c r="Q32" s="38" t="s">
        <v>150</v>
      </c>
      <c r="R32" s="38" t="s">
        <v>89</v>
      </c>
      <c r="S32" s="38" t="s">
        <v>72</v>
      </c>
      <c r="T32" s="38" t="s">
        <v>79</v>
      </c>
      <c r="U32" s="38" t="s">
        <v>111</v>
      </c>
      <c r="V32" s="38" t="s">
        <v>107</v>
      </c>
      <c r="W32" s="38" t="s">
        <v>72</v>
      </c>
      <c r="X32" s="38" t="s">
        <v>122</v>
      </c>
      <c r="Y32" s="38" t="s">
        <v>147</v>
      </c>
      <c r="Z32" s="38" t="s">
        <v>148</v>
      </c>
      <c r="AA32" s="38" t="s">
        <v>72</v>
      </c>
      <c r="AB32" s="38" t="s">
        <v>72</v>
      </c>
      <c r="AC32" s="38" t="s">
        <v>72</v>
      </c>
      <c r="AD32" s="38" t="s">
        <v>72</v>
      </c>
      <c r="AE32" s="38" t="s">
        <v>90</v>
      </c>
      <c r="AF32" s="38" t="s">
        <v>74</v>
      </c>
      <c r="AG32" t="str">
        <f>VLOOKUP($Q32,武学奇术!$A:$ZZ,25,FALSE)</f>
        <v>陌刀</v>
      </c>
      <c r="AH32" s="23">
        <f>VLOOKUP($Q32,武学奇术!$A:$ZZ,26,FALSE)</f>
        <v>1.3241</v>
      </c>
      <c r="AI32" s="24">
        <f>VLOOKUP($Q32,武学奇术!$A:$ZZ,27,FALSE)*(1+IF(OR($AG32=$F$4,$AG32=$F$5),$B$22,0))</f>
        <v>475.8</v>
      </c>
      <c r="AJ32" s="23">
        <f>VLOOKUP($Q32,武学奇术!$A:$ZZ,28,FALSE)</f>
        <v>1.9861</v>
      </c>
      <c r="AK32" s="24">
        <f>VLOOKUP($Q32,武学奇术!$A:$ZZ,29,FALSE)*(1+IF(OR($AG32=$F$4,$AG32=$F$5),$B$22,0))</f>
        <v>260</v>
      </c>
      <c r="AL32" s="23" cm="1">
        <f t="array" ref="AL32">$G$3+IFERROR(VLOOKUP($AG32,$F$4:$G$7,2,FALSE),0)+VLOOKUP($Q32,武学奇术!$A:$ZZ,2,FALSE)+SUM(_xlfn.XLOOKUP($R32:$AF32,增益!$A:$A,增益!$B:$B,0))</f>
        <v>0.763</v>
      </c>
      <c r="AM32" s="23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3052.34</v>
      </c>
      <c r="AO32" cm="1">
        <f t="array" ref="AO32">$E$10*(1+$AM32)+VLOOKUP($Q32,武学奇术!$A:$ZZ,4,FALSE)+SUM(_xlfn.XLOOKUP($R32:$AF32,增益!$A:$A,增益!$D:$D,0))-$I$2</f>
        <v>3052.34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0.467</v>
      </c>
      <c r="AQ32" s="30" cm="1">
        <f t="array" ref="AQ32">$G$10+VLOOKUP($Q32,武学奇术!$A:$ZZ,7,FALSE)+SUM(_xlfn.XLOOKUP(R32:AF32,增益!$A:$A,增益!$G:$G,0))</f>
        <v>0</v>
      </c>
      <c r="AR32" s="23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-0.08</v>
      </c>
      <c r="AV32" s="30" cm="1">
        <f t="array" ref="AV32">$G$11+VLOOKUP($Q32,武学奇术!$A:$ZZ,10,FALSE)+SUM(_xlfn.XLOOKUP(R32:AF32,增益!$A:$A,增益!$J:$J,0))</f>
        <v>0.1</v>
      </c>
      <c r="AW32">
        <f t="shared" si="3"/>
        <v>634.5</v>
      </c>
      <c r="AX32">
        <f t="shared" si="4"/>
        <v>1443.3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0.198</v>
      </c>
      <c r="AZ32" s="30" cm="1">
        <f t="array" ref="AZ32">$G$12+VLOOKUP($Q32,武学奇术!$A:$ZZ,12,FALSE)+SUM(_xlfn.XLOOKUP(R32:AF32,增益!$A:$A,增益!$L:$L,0))</f>
        <v>0.148</v>
      </c>
      <c r="BA32">
        <f t="shared" si="5"/>
        <v>0</v>
      </c>
      <c r="BB32">
        <f t="shared" si="6"/>
        <v>0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-0.08</v>
      </c>
      <c r="BD32" s="30" cm="1">
        <f t="array" ref="BD32">$G$13+VLOOKUP($Q32,武学奇术!$A:$ZZ,14,FALSE)+SUM(_xlfn.XLOOKUP(R32:AF32,增益!$A:$A,增益!$N:$N,0))</f>
        <v>0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-0.08</v>
      </c>
      <c r="BH32" s="30" cm="1">
        <f t="array" ref="BH32">$G$14+VLOOKUP($Q32,武学奇术!$A:$ZZ,16,FALSE)+SUM(_xlfn.XLOOKUP(R32:AF32,增益!$A:$A,增益!$P:$P,0))</f>
        <v>0</v>
      </c>
      <c r="BI32" s="23">
        <f>MIN(IF(VLOOKUP($Q32,武学奇术!$A:$ZZ,23,FALSE)=1,100%,$B$8),100%)</f>
        <v>1</v>
      </c>
      <c r="BJ32" s="23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1</v>
      </c>
      <c r="BK32" s="23" cm="1">
        <f t="array" ref="BK32">1+$B$13+VLOOKUP($Q32,武学奇术!$A:$ZZ,18,FALSE)+SUM(_xlfn.XLOOKUP(R32:AF32,增益!$A:$A,增益!$R:$R,0))</f>
        <v>2.1</v>
      </c>
      <c r="BL32" s="23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</v>
      </c>
      <c r="BM32" s="23" cm="1">
        <f t="array" ref="BM32">1+$B$14+VLOOKUP($Q32,武学奇术!$A:$ZZ,20,FALSE)+SUM(_xlfn.XLOOKUP(R32:AF32,增益!$A:$A,增益!$T:$T,0))</f>
        <v>1.35</v>
      </c>
      <c r="BN32" s="23">
        <f t="shared" si="11"/>
        <v>1</v>
      </c>
      <c r="BO32" s="23">
        <f t="shared" si="10"/>
        <v>0</v>
      </c>
      <c r="BP32" s="23">
        <f>IF(VLOOKUP($Q32,武学奇术!$A:$ZZ,22,FALSE)=1,0,(1-$BI32))*(1-$BL32)</f>
        <v>0</v>
      </c>
      <c r="BQ32" s="23" cm="1">
        <f t="array" ref="BQ32">SUM(_xlfn.XLOOKUP(R32:AF32,增益!$A:$A,增益!$W:$W,0))</f>
        <v>0.33</v>
      </c>
    </row>
    <row r="33" spans="1:69">
      <c r="A33" s="4" t="s">
        <v>149</v>
      </c>
      <c r="B33" s="4">
        <v>2.3</v>
      </c>
      <c r="C33" s="37"/>
      <c r="K33" s="36">
        <f t="shared" si="0"/>
        <v>57387.4798882063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64268.0240717766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48847.0096327699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32134.0120358883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28085.0539734285</v>
      </c>
      <c r="P33" s="37">
        <v>3</v>
      </c>
      <c r="Q33" s="38" t="s">
        <v>102</v>
      </c>
      <c r="R33" s="38" t="s">
        <v>89</v>
      </c>
      <c r="S33" s="38" t="s">
        <v>72</v>
      </c>
      <c r="T33" s="38" t="s">
        <v>79</v>
      </c>
      <c r="U33" s="38" t="s">
        <v>111</v>
      </c>
      <c r="V33" s="38" t="s">
        <v>72</v>
      </c>
      <c r="W33" s="38" t="s">
        <v>72</v>
      </c>
      <c r="X33" s="38" t="s">
        <v>122</v>
      </c>
      <c r="Y33" s="38" t="s">
        <v>147</v>
      </c>
      <c r="Z33" s="38" t="s">
        <v>148</v>
      </c>
      <c r="AA33" s="38" t="s">
        <v>68</v>
      </c>
      <c r="AB33" s="38" t="s">
        <v>72</v>
      </c>
      <c r="AC33" s="38" t="s">
        <v>72</v>
      </c>
      <c r="AD33" s="38" t="s">
        <v>72</v>
      </c>
      <c r="AE33" s="38" t="s">
        <v>90</v>
      </c>
      <c r="AF33" s="38" t="s">
        <v>74</v>
      </c>
      <c r="AG33" t="str">
        <f>VLOOKUP($Q33,武学奇术!$A:$ZZ,25,FALSE)</f>
        <v>陌刀</v>
      </c>
      <c r="AH33" s="23">
        <f>VLOOKUP($Q33,武学奇术!$A:$ZZ,26,FALSE)</f>
        <v>0.5</v>
      </c>
      <c r="AI33" s="24">
        <f>VLOOKUP($Q33,武学奇术!$A:$ZZ,27,FALSE)*(1+IF(OR($AG33=$F$4,$AG33=$F$5),$B$22,0))</f>
        <v>0</v>
      </c>
      <c r="AJ33" s="23">
        <f>VLOOKUP($Q33,武学奇术!$A:$ZZ,28,FALSE)</f>
        <v>0.75</v>
      </c>
      <c r="AK33" s="24">
        <f>VLOOKUP($Q33,武学奇术!$A:$ZZ,29,FALSE)*(1+IF(OR($AG33=$F$4,$AG33=$F$5),$B$22,0))</f>
        <v>0</v>
      </c>
      <c r="AL33" s="23" cm="1">
        <f t="array" ref="AL33">$G$3+IFERROR(VLOOKUP($AG33,$F$4:$G$7,2,FALSE),0)+VLOOKUP($Q33,武学奇术!$A:$ZZ,2,FALSE)+SUM(_xlfn.XLOOKUP($R33:$AF33,增益!$A:$A,增益!$B:$B,0))</f>
        <v>0.843</v>
      </c>
      <c r="AM33" s="23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3052.34</v>
      </c>
      <c r="AO33" cm="1">
        <f t="array" ref="AO33">$E$10*(1+$AM33)+VLOOKUP($Q33,武学奇术!$A:$ZZ,4,FALSE)+SUM(_xlfn.XLOOKUP($R33:$AF33,增益!$A:$A,增益!$D:$D,0))-$I$2</f>
        <v>3052.34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0.467</v>
      </c>
      <c r="AQ33" s="30" cm="1">
        <f t="array" ref="AQ33">$G$10+VLOOKUP($Q33,武学奇术!$A:$ZZ,7,FALSE)+SUM(_xlfn.XLOOKUP(R33:AF33,增益!$A:$A,增益!$G:$G,0))</f>
        <v>0</v>
      </c>
      <c r="AR33" s="23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-0.08</v>
      </c>
      <c r="AV33" s="30" cm="1">
        <f t="array" ref="AV33">$G$11+VLOOKUP($Q33,武学奇术!$A:$ZZ,10,FALSE)+SUM(_xlfn.XLOOKUP(R33:AF33,增益!$A:$A,增益!$J:$J,0))</f>
        <v>0.1</v>
      </c>
      <c r="AW33">
        <f t="shared" si="3"/>
        <v>634.5</v>
      </c>
      <c r="AX33">
        <f t="shared" si="4"/>
        <v>1443.3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0.198</v>
      </c>
      <c r="AZ33" s="30" cm="1">
        <f t="array" ref="AZ33">$G$12+VLOOKUP($Q33,武学奇术!$A:$ZZ,12,FALSE)+SUM(_xlfn.XLOOKUP(R33:AF33,增益!$A:$A,增益!$L:$L,0))</f>
        <v>0.148</v>
      </c>
      <c r="BA33">
        <f t="shared" si="5"/>
        <v>0</v>
      </c>
      <c r="BB33">
        <f t="shared" si="6"/>
        <v>0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-0.08</v>
      </c>
      <c r="BD33" s="30" cm="1">
        <f t="array" ref="BD33">$G$13+VLOOKUP($Q33,武学奇术!$A:$ZZ,14,FALSE)+SUM(_xlfn.XLOOKUP(R33:AF33,增益!$A:$A,增益!$N:$N,0))</f>
        <v>0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-0.08</v>
      </c>
      <c r="BH33" s="30" cm="1">
        <f t="array" ref="BH33">$G$14+VLOOKUP($Q33,武学奇术!$A:$ZZ,16,FALSE)+SUM(_xlfn.XLOOKUP(R33:AF33,增益!$A:$A,增益!$P:$P,0))</f>
        <v>0</v>
      </c>
      <c r="BI33" s="23">
        <f>MIN(IF(VLOOKUP($Q33,武学奇术!$A:$ZZ,23,FALSE)=1,100%,$B$8),100%)</f>
        <v>0.8626</v>
      </c>
      <c r="BJ33" s="23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0.8697</v>
      </c>
      <c r="BK33" s="23" cm="1">
        <f t="array" ref="BK33">1+$B$13+VLOOKUP($Q33,武学奇术!$A:$ZZ,18,FALSE)+SUM(_xlfn.XLOOKUP(R33:AF33,增益!$A:$A,增益!$R:$R,0))</f>
        <v>2</v>
      </c>
      <c r="BL33" s="23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0.0986</v>
      </c>
      <c r="BM33" s="23" cm="1">
        <f t="array" ref="BM33">1+$B$14+VLOOKUP($Q33,武学奇术!$A:$ZZ,20,FALSE)+SUM(_xlfn.XLOOKUP(R33:AF33,增益!$A:$A,增益!$T:$T,0))</f>
        <v>1.35</v>
      </c>
      <c r="BN33" s="23">
        <f t="shared" si="11"/>
        <v>0.75020322</v>
      </c>
      <c r="BO33" s="23">
        <f t="shared" si="10"/>
        <v>0.0273444200000001</v>
      </c>
      <c r="BP33" s="23">
        <f>IF(VLOOKUP($Q33,武学奇术!$A:$ZZ,22,FALSE)=1,0,(1-$BI33))*(1-$BL33)</f>
        <v>0.12385236</v>
      </c>
      <c r="BQ33" s="23" cm="1">
        <f t="array" ref="BQ33">SUM(_xlfn.XLOOKUP(R33:AF33,增益!$A:$A,增益!$W:$W,0))</f>
        <v>0.33</v>
      </c>
    </row>
    <row r="34" spans="1:69">
      <c r="A34" s="4" t="s">
        <v>149</v>
      </c>
      <c r="B34" s="4">
        <v>2.3</v>
      </c>
      <c r="C34" s="37"/>
      <c r="K34" s="36">
        <f t="shared" si="0"/>
        <v>103297.463798771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115682.443329198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87924.6173389858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57841.221664599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50553.0971521714</v>
      </c>
      <c r="P34" s="37">
        <v>3</v>
      </c>
      <c r="Q34" s="38" t="s">
        <v>136</v>
      </c>
      <c r="R34" s="38" t="s">
        <v>89</v>
      </c>
      <c r="S34" s="38" t="s">
        <v>72</v>
      </c>
      <c r="T34" s="38" t="s">
        <v>79</v>
      </c>
      <c r="U34" s="38" t="s">
        <v>111</v>
      </c>
      <c r="V34" s="38" t="s">
        <v>72</v>
      </c>
      <c r="W34" s="38" t="s">
        <v>72</v>
      </c>
      <c r="X34" s="38" t="s">
        <v>122</v>
      </c>
      <c r="Y34" s="38" t="s">
        <v>147</v>
      </c>
      <c r="Z34" s="38" t="s">
        <v>148</v>
      </c>
      <c r="AA34" s="38" t="s">
        <v>68</v>
      </c>
      <c r="AB34" s="38" t="s">
        <v>72</v>
      </c>
      <c r="AC34" s="38" t="s">
        <v>72</v>
      </c>
      <c r="AD34" s="38" t="s">
        <v>72</v>
      </c>
      <c r="AE34" s="38" t="s">
        <v>90</v>
      </c>
      <c r="AF34" s="38" t="s">
        <v>74</v>
      </c>
      <c r="AG34" t="str">
        <f>VLOOKUP($Q34,武学奇术!$A:$ZZ,25,FALSE)</f>
        <v>陌刀</v>
      </c>
      <c r="AH34" s="23">
        <f>VLOOKUP($Q34,武学奇术!$A:$ZZ,26,FALSE)</f>
        <v>0.9</v>
      </c>
      <c r="AI34" s="24">
        <f>VLOOKUP($Q34,武学奇术!$A:$ZZ,27,FALSE)*(1+IF(OR($AG34=$F$4,$AG34=$F$5),$B$22,0))</f>
        <v>0</v>
      </c>
      <c r="AJ34" s="23">
        <f>VLOOKUP($Q34,武学奇术!$A:$ZZ,28,FALSE)</f>
        <v>1.35</v>
      </c>
      <c r="AK34" s="24">
        <f>VLOOKUP($Q34,武学奇术!$A:$ZZ,29,FALSE)*(1+IF(OR($AG34=$F$4,$AG34=$F$5),$B$22,0))</f>
        <v>0</v>
      </c>
      <c r="AL34" s="23" cm="1">
        <f t="array" ref="AL34">$G$3+IFERROR(VLOOKUP($AG34,$F$4:$G$7,2,FALSE),0)+VLOOKUP($Q34,武学奇术!$A:$ZZ,2,FALSE)+SUM(_xlfn.XLOOKUP($R34:$AF34,增益!$A:$A,增益!$B:$B,0))</f>
        <v>0.843</v>
      </c>
      <c r="AM34" s="23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3052.34</v>
      </c>
      <c r="AO34" cm="1">
        <f t="array" ref="AO34">$E$10*(1+$AM34)+VLOOKUP($Q34,武学奇术!$A:$ZZ,4,FALSE)+SUM(_xlfn.XLOOKUP($R34:$AF34,增益!$A:$A,增益!$D:$D,0))-$I$2</f>
        <v>3052.34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0.467</v>
      </c>
      <c r="AQ34" s="30" cm="1">
        <f t="array" ref="AQ34">$G$10+VLOOKUP($Q34,武学奇术!$A:$ZZ,7,FALSE)+SUM(_xlfn.XLOOKUP(R34:AF34,增益!$A:$A,增益!$G:$G,0))</f>
        <v>0</v>
      </c>
      <c r="AR34" s="23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-0.08</v>
      </c>
      <c r="AV34" s="30" cm="1">
        <f t="array" ref="AV34">$G$11+VLOOKUP($Q34,武学奇术!$A:$ZZ,10,FALSE)+SUM(_xlfn.XLOOKUP(R34:AF34,增益!$A:$A,增益!$J:$J,0))</f>
        <v>0.1</v>
      </c>
      <c r="AW34">
        <f t="shared" si="3"/>
        <v>634.5</v>
      </c>
      <c r="AX34">
        <f t="shared" si="4"/>
        <v>1443.3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0.198</v>
      </c>
      <c r="AZ34" s="30" cm="1">
        <f t="array" ref="AZ34">$G$12+VLOOKUP($Q34,武学奇术!$A:$ZZ,12,FALSE)+SUM(_xlfn.XLOOKUP(R34:AF34,增益!$A:$A,增益!$L:$L,0))</f>
        <v>0.148</v>
      </c>
      <c r="BA34">
        <f t="shared" si="5"/>
        <v>0</v>
      </c>
      <c r="BB34">
        <f t="shared" si="6"/>
        <v>0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-0.08</v>
      </c>
      <c r="BD34" s="30" cm="1">
        <f t="array" ref="BD34">$G$13+VLOOKUP($Q34,武学奇术!$A:$ZZ,14,FALSE)+SUM(_xlfn.XLOOKUP(R34:AF34,增益!$A:$A,增益!$N:$N,0))</f>
        <v>0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-0.08</v>
      </c>
      <c r="BH34" s="30" cm="1">
        <f t="array" ref="BH34">$G$14+VLOOKUP($Q34,武学奇术!$A:$ZZ,16,FALSE)+SUM(_xlfn.XLOOKUP(R34:AF34,增益!$A:$A,增益!$P:$P,0))</f>
        <v>0</v>
      </c>
      <c r="BI34" s="23">
        <f>MIN(IF(VLOOKUP($Q34,武学奇术!$A:$ZZ,23,FALSE)=1,100%,$B$8),100%)</f>
        <v>0.8626</v>
      </c>
      <c r="BJ34" s="23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0.8697</v>
      </c>
      <c r="BK34" s="23" cm="1">
        <f t="array" ref="BK34">1+$B$13+VLOOKUP($Q34,武学奇术!$A:$ZZ,18,FALSE)+SUM(_xlfn.XLOOKUP(R34:AF34,增益!$A:$A,增益!$R:$R,0))</f>
        <v>2</v>
      </c>
      <c r="BL34" s="23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0.0986</v>
      </c>
      <c r="BM34" s="23" cm="1">
        <f t="array" ref="BM34">1+$B$14+VLOOKUP($Q34,武学奇术!$A:$ZZ,20,FALSE)+SUM(_xlfn.XLOOKUP(R34:AF34,增益!$A:$A,增益!$T:$T,0))</f>
        <v>1.35</v>
      </c>
      <c r="BN34" s="23">
        <f t="shared" si="11"/>
        <v>0.75020322</v>
      </c>
      <c r="BO34" s="23">
        <f t="shared" si="10"/>
        <v>0.0273444200000001</v>
      </c>
      <c r="BP34" s="23">
        <f>IF(VLOOKUP($Q34,武学奇术!$A:$ZZ,22,FALSE)=1,0,(1-$BI34))*(1-$BL34)</f>
        <v>0.12385236</v>
      </c>
      <c r="BQ34" s="23" cm="1">
        <f t="array" ref="BQ34">SUM(_xlfn.XLOOKUP(R34:AF34,增益!$A:$A,增益!$W:$W,0))</f>
        <v>0.33</v>
      </c>
    </row>
    <row r="35" spans="1:69">
      <c r="A35" s="4" t="s">
        <v>149</v>
      </c>
      <c r="B35" s="4">
        <v>2.3</v>
      </c>
      <c r="C35" s="37"/>
      <c r="K35" s="36">
        <f t="shared" ref="K35:K60" si="12">($L35*$BN35+$M35*$BL35+$N35*$BO35+$O35*$BP35)</f>
        <v>1165005.44921597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1165005.44921597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831661.033461448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554764.499626652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493483.789281861</v>
      </c>
      <c r="P35" s="37">
        <v>3</v>
      </c>
      <c r="Q35" s="38" t="s">
        <v>110</v>
      </c>
      <c r="R35" s="38" t="s">
        <v>89</v>
      </c>
      <c r="S35" s="38" t="s">
        <v>72</v>
      </c>
      <c r="T35" s="38" t="s">
        <v>79</v>
      </c>
      <c r="U35" s="38" t="s">
        <v>111</v>
      </c>
      <c r="V35" s="38" t="s">
        <v>107</v>
      </c>
      <c r="W35" s="38" t="s">
        <v>72</v>
      </c>
      <c r="X35" s="38" t="s">
        <v>122</v>
      </c>
      <c r="Y35" s="38" t="s">
        <v>147</v>
      </c>
      <c r="Z35" s="38" t="s">
        <v>148</v>
      </c>
      <c r="AA35" s="38" t="s">
        <v>68</v>
      </c>
      <c r="AB35" s="38" t="s">
        <v>72</v>
      </c>
      <c r="AC35" s="38" t="s">
        <v>72</v>
      </c>
      <c r="AD35" s="38" t="s">
        <v>72</v>
      </c>
      <c r="AE35" s="38" t="s">
        <v>90</v>
      </c>
      <c r="AF35" s="38" t="s">
        <v>74</v>
      </c>
      <c r="AG35" t="str">
        <f>VLOOKUP($Q35,武学奇术!$A:$ZZ,25,FALSE)</f>
        <v>陌刀</v>
      </c>
      <c r="AH35" s="23">
        <f>VLOOKUP($Q35,武学奇术!$A:$ZZ,26,FALSE)</f>
        <v>7.5674</v>
      </c>
      <c r="AI35" s="24">
        <f>VLOOKUP($Q35,武学奇术!$A:$ZZ,27,FALSE)*(1+IF(OR($AG35=$F$4,$AG35=$F$5),$B$22,0))</f>
        <v>2720.9</v>
      </c>
      <c r="AJ35" s="23">
        <f>VLOOKUP($Q35,武学奇术!$A:$ZZ,28,FALSE)</f>
        <v>11.3512</v>
      </c>
      <c r="AK35" s="24">
        <f>VLOOKUP($Q35,武学奇术!$A:$ZZ,29,FALSE)*(1+IF(OR($AG35=$F$4,$AG35=$F$5),$B$22,0))</f>
        <v>1482</v>
      </c>
      <c r="AL35" s="23" cm="1">
        <f t="array" ref="AL35">$G$3+IFERROR(VLOOKUP($AG35,$F$4:$G$7,2,FALSE),0)+VLOOKUP($Q35,武学奇术!$A:$ZZ,2,FALSE)+SUM(_xlfn.XLOOKUP($R35:$AF35,增益!$A:$A,增益!$B:$B,0))</f>
        <v>0.843</v>
      </c>
      <c r="AM35" s="23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3052.34</v>
      </c>
      <c r="AO35" cm="1">
        <f t="array" ref="AO35">$E$10*(1+$AM35)+VLOOKUP($Q35,武学奇术!$A:$ZZ,4,FALSE)+SUM(_xlfn.XLOOKUP($R35:$AF35,增益!$A:$A,增益!$D:$D,0))-$I$2</f>
        <v>3052.34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0.467</v>
      </c>
      <c r="AQ35" s="30" cm="1">
        <f t="array" ref="AQ35">$G$10+VLOOKUP($Q35,武学奇术!$A:$ZZ,7,FALSE)+SUM(_xlfn.XLOOKUP(R35:AF35,增益!$A:$A,增益!$G:$G,0))</f>
        <v>0</v>
      </c>
      <c r="AR35" s="23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-0.08</v>
      </c>
      <c r="AV35" s="30" cm="1">
        <f t="array" ref="AV35">$G$11+VLOOKUP($Q35,武学奇术!$A:$ZZ,10,FALSE)+SUM(_xlfn.XLOOKUP(R35:AF35,增益!$A:$A,增益!$J:$J,0))</f>
        <v>0.1</v>
      </c>
      <c r="AW35">
        <f t="shared" si="3"/>
        <v>634.5</v>
      </c>
      <c r="AX35">
        <f t="shared" si="4"/>
        <v>1443.3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0.198</v>
      </c>
      <c r="AZ35" s="30" cm="1">
        <f t="array" ref="AZ35">$G$12+VLOOKUP($Q35,武学奇术!$A:$ZZ,12,FALSE)+SUM(_xlfn.XLOOKUP(R35:AF35,增益!$A:$A,增益!$L:$L,0))</f>
        <v>0.148</v>
      </c>
      <c r="BA35">
        <f t="shared" ref="BA35:BA60" si="13">$D$13*(1+$AR35)</f>
        <v>0</v>
      </c>
      <c r="BB35">
        <f t="shared" ref="BB35:BB60" si="14">$E$13*(1+$AR35)</f>
        <v>0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-0.08</v>
      </c>
      <c r="BD35" s="30" cm="1">
        <f t="array" ref="BD35">$G$13+VLOOKUP($Q35,武学奇术!$A:$ZZ,14,FALSE)+SUM(_xlfn.XLOOKUP(R35:AF35,增益!$A:$A,增益!$N:$N,0))</f>
        <v>0</v>
      </c>
      <c r="BE35">
        <f t="shared" ref="BE35:BE60" si="15">$D$14*(1+$AR35)</f>
        <v>0</v>
      </c>
      <c r="BF35">
        <f t="shared" ref="BF35:BF60" si="16">$E$14*(1+$AR35)</f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-0.08</v>
      </c>
      <c r="BH35" s="30" cm="1">
        <f t="array" ref="BH35">$G$14+VLOOKUP($Q35,武学奇术!$A:$ZZ,16,FALSE)+SUM(_xlfn.XLOOKUP(R35:AF35,增益!$A:$A,增益!$P:$P,0))</f>
        <v>0</v>
      </c>
      <c r="BI35" s="23">
        <f>MIN(IF(VLOOKUP($Q35,武学奇术!$A:$ZZ,23,FALSE)=1,100%,$B$8),100%)</f>
        <v>1</v>
      </c>
      <c r="BJ35" s="23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1</v>
      </c>
      <c r="BK35" s="23" cm="1">
        <f t="array" ref="BK35">1+$B$13+VLOOKUP($Q35,武学奇术!$A:$ZZ,18,FALSE)+SUM(_xlfn.XLOOKUP(R35:AF35,增益!$A:$A,增益!$R:$R,0))</f>
        <v>2.1</v>
      </c>
      <c r="BL35" s="23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</v>
      </c>
      <c r="BM35" s="23" cm="1">
        <f t="array" ref="BM35">1+$B$14+VLOOKUP($Q35,武学奇术!$A:$ZZ,20,FALSE)+SUM(_xlfn.XLOOKUP(R35:AF35,增益!$A:$A,增益!$T:$T,0))</f>
        <v>1.35</v>
      </c>
      <c r="BN35" s="23">
        <f t="shared" si="11"/>
        <v>1</v>
      </c>
      <c r="BO35" s="23">
        <f t="shared" ref="BO35:BO66" si="17">1-BL35-BN35-BP35</f>
        <v>0</v>
      </c>
      <c r="BP35" s="23">
        <f>IF(VLOOKUP($Q35,武学奇术!$A:$ZZ,22,FALSE)=1,0,(1-$BI35))*(1-$BL35)</f>
        <v>0</v>
      </c>
      <c r="BQ35" s="23" cm="1">
        <f t="array" ref="BQ35">SUM(_xlfn.XLOOKUP(R35:AF35,增益!$A:$A,增益!$W:$W,0))</f>
        <v>0.33</v>
      </c>
    </row>
    <row r="36" spans="1:69">
      <c r="A36" s="4" t="s">
        <v>151</v>
      </c>
      <c r="B36" s="4">
        <v>2</v>
      </c>
      <c r="C36" s="37"/>
      <c r="K36" s="36">
        <f t="shared" si="12"/>
        <v>27189.4853337662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30063.0178705495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24278.051052599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16250.2799300267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14516.8183396098</v>
      </c>
      <c r="P36" s="37">
        <v>1</v>
      </c>
      <c r="Q36" s="38" t="s">
        <v>143</v>
      </c>
      <c r="R36" s="38" t="s">
        <v>89</v>
      </c>
      <c r="S36" s="38" t="s">
        <v>72</v>
      </c>
      <c r="T36" s="38" t="s">
        <v>72</v>
      </c>
      <c r="U36" s="38" t="s">
        <v>80</v>
      </c>
      <c r="V36" s="38" t="s">
        <v>72</v>
      </c>
      <c r="W36" s="38" t="s">
        <v>72</v>
      </c>
      <c r="X36" s="38" t="s">
        <v>72</v>
      </c>
      <c r="Y36" s="38" t="s">
        <v>72</v>
      </c>
      <c r="Z36" s="38" t="s">
        <v>72</v>
      </c>
      <c r="AA36" s="38" t="s">
        <v>72</v>
      </c>
      <c r="AB36" s="38" t="s">
        <v>72</v>
      </c>
      <c r="AC36" s="38" t="s">
        <v>72</v>
      </c>
      <c r="AD36" s="38" t="s">
        <v>72</v>
      </c>
      <c r="AE36" s="38" t="s">
        <v>90</v>
      </c>
      <c r="AF36" s="38" t="s">
        <v>74</v>
      </c>
      <c r="AG36" t="str">
        <f>VLOOKUP($Q36,武学奇术!$A:$ZZ,25,FALSE)</f>
        <v>横刀</v>
      </c>
      <c r="AH36" s="23">
        <f>VLOOKUP($Q36,武学奇术!$A:$ZZ,26,FALSE)</f>
        <v>1.2338</v>
      </c>
      <c r="AI36" s="24">
        <f>VLOOKUP($Q36,武学奇术!$A:$ZZ,27,FALSE)*(1+IF(OR($AG36=$F$4,$AG36=$F$5),$B$22,0))</f>
        <v>444.6</v>
      </c>
      <c r="AJ36" s="23">
        <f>VLOOKUP($Q36,武学奇术!$A:$ZZ,28,FALSE)</f>
        <v>1.8507</v>
      </c>
      <c r="AK36" s="24">
        <f>VLOOKUP($Q36,武学奇术!$A:$ZZ,29,FALSE)*(1+IF(OR($AG36=$F$4,$AG36=$F$5),$B$22,0))</f>
        <v>241.8</v>
      </c>
      <c r="AL36" s="23" cm="1">
        <f t="array" ref="AL36">$G$3+IFERROR(VLOOKUP($AG36,$F$4:$G$7,2,FALSE),0)+VLOOKUP($Q36,武学奇术!$A:$ZZ,2,FALSE)+SUM(_xlfn.XLOOKUP($R36:$AF36,增益!$A:$A,增益!$B:$B,0))</f>
        <v>0.597</v>
      </c>
      <c r="AM36" s="23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3052.34</v>
      </c>
      <c r="AO36" cm="1">
        <f t="array" ref="AO36">$E$10*(1+$AM36)+VLOOKUP($Q36,武学奇术!$A:$ZZ,4,FALSE)+SUM(_xlfn.XLOOKUP($R36:$AF36,增益!$A:$A,增益!$D:$D,0))-$I$2</f>
        <v>3052.34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0.442</v>
      </c>
      <c r="AQ36" s="30" cm="1">
        <f t="array" ref="AQ36">$G$10+VLOOKUP($Q36,武学奇术!$A:$ZZ,7,FALSE)+SUM(_xlfn.XLOOKUP(R36:AF36,增益!$A:$A,增益!$G:$G,0))</f>
        <v>0</v>
      </c>
      <c r="AR36" s="23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-0.24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634.5</v>
      </c>
      <c r="AX36">
        <f t="shared" si="4"/>
        <v>1443.3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0.118</v>
      </c>
      <c r="AZ36" s="30" cm="1">
        <f t="array" ref="AZ36">$G$12+VLOOKUP($Q36,武学奇术!$A:$ZZ,12,FALSE)+SUM(_xlfn.XLOOKUP(R36:AF36,增益!$A:$A,增益!$L:$L,0))</f>
        <v>0.148</v>
      </c>
      <c r="BA36">
        <f t="shared" si="13"/>
        <v>0</v>
      </c>
      <c r="BB36">
        <f t="shared" si="14"/>
        <v>0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-0.24</v>
      </c>
      <c r="BD36" s="30" cm="1">
        <f t="array" ref="BD36">$G$13+VLOOKUP($Q36,武学奇术!$A:$ZZ,14,FALSE)+SUM(_xlfn.XLOOKUP(R36:AF36,增益!$A:$A,增益!$N:$N,0))</f>
        <v>0</v>
      </c>
      <c r="BE36">
        <f t="shared" si="15"/>
        <v>0</v>
      </c>
      <c r="BF36">
        <f t="shared" si="16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-0.24</v>
      </c>
      <c r="BH36" s="30" cm="1">
        <f t="array" ref="BH36">$G$14+VLOOKUP($Q36,武学奇术!$A:$ZZ,16,FALSE)+SUM(_xlfn.XLOOKUP(R36:AF36,增益!$A:$A,增益!$P:$P,0))</f>
        <v>0</v>
      </c>
      <c r="BI36" s="23">
        <f>MIN(IF(VLOOKUP($Q36,武学奇术!$A:$ZZ,23,FALSE)=1,100%,$B$8),100%)</f>
        <v>0.8626</v>
      </c>
      <c r="BJ36" s="23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0.8697</v>
      </c>
      <c r="BK36" s="23" cm="1">
        <f t="array" ref="BK36">1+$B$13+VLOOKUP($Q36,武学奇术!$A:$ZZ,18,FALSE)+SUM(_xlfn.XLOOKUP(R36:AF36,增益!$A:$A,增益!$R:$R,0))</f>
        <v>1.85</v>
      </c>
      <c r="BL36" s="23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0.0986</v>
      </c>
      <c r="BM36" s="23" cm="1">
        <f t="array" ref="BM36">1+$B$14+VLOOKUP($Q36,武学奇术!$A:$ZZ,20,FALSE)+SUM(_xlfn.XLOOKUP(R36:AF36,增益!$A:$A,增益!$T:$T,0))</f>
        <v>1.35</v>
      </c>
      <c r="BN36" s="23">
        <f t="shared" si="11"/>
        <v>0.75020322</v>
      </c>
      <c r="BO36" s="23">
        <f t="shared" si="17"/>
        <v>0.0273444200000001</v>
      </c>
      <c r="BP36" s="23">
        <f>IF(VLOOKUP($Q36,武学奇术!$A:$ZZ,22,FALSE)=1,0,(1-$BI36))*(1-$BL36)</f>
        <v>0.12385236</v>
      </c>
      <c r="BQ36" s="23" cm="1">
        <f t="array" ref="BQ36">SUM(_xlfn.XLOOKUP(R36:AF36,增益!$A:$A,增益!$W:$W,0))</f>
        <v>0.13</v>
      </c>
    </row>
    <row r="37" spans="1:69">
      <c r="A37" s="4" t="s">
        <v>152</v>
      </c>
      <c r="B37" s="4">
        <v>3.3</v>
      </c>
      <c r="K37" s="36">
        <f t="shared" si="12"/>
        <v>83280.3526379622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92081.8634157471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74363.9691452742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49773.9802247282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44463.5388603644</v>
      </c>
      <c r="P37" s="37">
        <v>1</v>
      </c>
      <c r="Q37" s="38" t="s">
        <v>93</v>
      </c>
      <c r="R37" s="38" t="s">
        <v>89</v>
      </c>
      <c r="S37" s="38" t="s">
        <v>72</v>
      </c>
      <c r="T37" s="38" t="s">
        <v>72</v>
      </c>
      <c r="U37" s="38" t="s">
        <v>80</v>
      </c>
      <c r="V37" s="38" t="s">
        <v>72</v>
      </c>
      <c r="W37" s="38" t="s">
        <v>72</v>
      </c>
      <c r="X37" s="38" t="s">
        <v>72</v>
      </c>
      <c r="Y37" s="38" t="s">
        <v>72</v>
      </c>
      <c r="Z37" s="38" t="s">
        <v>72</v>
      </c>
      <c r="AA37" s="38" t="s">
        <v>72</v>
      </c>
      <c r="AB37" s="38" t="s">
        <v>72</v>
      </c>
      <c r="AC37" s="38" t="s">
        <v>72</v>
      </c>
      <c r="AD37" s="38" t="s">
        <v>72</v>
      </c>
      <c r="AE37" s="38" t="s">
        <v>90</v>
      </c>
      <c r="AF37" s="38" t="s">
        <v>74</v>
      </c>
      <c r="AG37" t="str">
        <f>VLOOKUP($Q37,武学奇术!$A:$ZZ,25,FALSE)</f>
        <v>横刀</v>
      </c>
      <c r="AH37" s="23">
        <f>VLOOKUP($Q37,武学奇术!$A:$ZZ,26,FALSE)</f>
        <v>3.7797</v>
      </c>
      <c r="AI37" s="24">
        <f>VLOOKUP($Q37,武学奇术!$A:$ZZ,27,FALSE)*(1+IF(OR($AG37=$F$4,$AG37=$F$5),$B$22,0))</f>
        <v>1358.5</v>
      </c>
      <c r="AJ37" s="23">
        <f>VLOOKUP($Q37,武学奇术!$A:$ZZ,28,FALSE)</f>
        <v>5.6696</v>
      </c>
      <c r="AK37" s="24">
        <f>VLOOKUP($Q37,武学奇术!$A:$ZZ,29,FALSE)*(1+IF(OR($AG37=$F$4,$AG37=$F$5),$B$22,0))</f>
        <v>741</v>
      </c>
      <c r="AL37" s="23" cm="1">
        <f t="array" ref="AL37">$G$3+IFERROR(VLOOKUP($AG37,$F$4:$G$7,2,FALSE),0)+VLOOKUP($Q37,武学奇术!$A:$ZZ,2,FALSE)+SUM(_xlfn.XLOOKUP($R37:$AF37,增益!$A:$A,增益!$B:$B,0))</f>
        <v>0.597</v>
      </c>
      <c r="AM37" s="23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3052.34</v>
      </c>
      <c r="AO37" cm="1">
        <f t="array" ref="AO37">$E$10*(1+$AM37)+VLOOKUP($Q37,武学奇术!$A:$ZZ,4,FALSE)+SUM(_xlfn.XLOOKUP($R37:$AF37,增益!$A:$A,增益!$D:$D,0))-$I$2</f>
        <v>3052.34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0.442</v>
      </c>
      <c r="AQ37" s="30" cm="1">
        <f t="array" ref="AQ37">$G$10+VLOOKUP($Q37,武学奇术!$A:$ZZ,7,FALSE)+SUM(_xlfn.XLOOKUP(R37:AF37,增益!$A:$A,增益!$G:$G,0))</f>
        <v>0</v>
      </c>
      <c r="AR37" s="23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-0.24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634.5</v>
      </c>
      <c r="AX37">
        <f t="shared" si="4"/>
        <v>1443.3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0.118</v>
      </c>
      <c r="AZ37" s="30" cm="1">
        <f t="array" ref="AZ37">$G$12+VLOOKUP($Q37,武学奇术!$A:$ZZ,12,FALSE)+SUM(_xlfn.XLOOKUP(R37:AF37,增益!$A:$A,增益!$L:$L,0))</f>
        <v>0.148</v>
      </c>
      <c r="BA37">
        <f t="shared" si="13"/>
        <v>0</v>
      </c>
      <c r="BB37">
        <f t="shared" si="14"/>
        <v>0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-0.24</v>
      </c>
      <c r="BD37" s="30" cm="1">
        <f t="array" ref="BD37">$G$13+VLOOKUP($Q37,武学奇术!$A:$ZZ,14,FALSE)+SUM(_xlfn.XLOOKUP(R37:AF37,增益!$A:$A,增益!$N:$N,0))</f>
        <v>0</v>
      </c>
      <c r="BE37">
        <f t="shared" si="15"/>
        <v>0</v>
      </c>
      <c r="BF37">
        <f t="shared" si="16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-0.24</v>
      </c>
      <c r="BH37" s="30" cm="1">
        <f t="array" ref="BH37">$G$14+VLOOKUP($Q37,武学奇术!$A:$ZZ,16,FALSE)+SUM(_xlfn.XLOOKUP(R37:AF37,增益!$A:$A,增益!$P:$P,0))</f>
        <v>0</v>
      </c>
      <c r="BI37" s="23">
        <f>MIN(IF(VLOOKUP($Q37,武学奇术!$A:$ZZ,23,FALSE)=1,100%,$B$8),100%)</f>
        <v>0.8626</v>
      </c>
      <c r="BJ37" s="23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0.8697</v>
      </c>
      <c r="BK37" s="23" cm="1">
        <f t="array" ref="BK37">1+$B$13+VLOOKUP($Q37,武学奇术!$A:$ZZ,18,FALSE)+SUM(_xlfn.XLOOKUP(R37:AF37,增益!$A:$A,增益!$R:$R,0))</f>
        <v>1.85</v>
      </c>
      <c r="BL37" s="23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0.0986</v>
      </c>
      <c r="BM37" s="23" cm="1">
        <f t="array" ref="BM37">1+$B$14+VLOOKUP($Q37,武学奇术!$A:$ZZ,20,FALSE)+SUM(_xlfn.XLOOKUP(R37:AF37,增益!$A:$A,增益!$T:$T,0))</f>
        <v>1.35</v>
      </c>
      <c r="BN37" s="23">
        <f t="shared" si="11"/>
        <v>0.75020322</v>
      </c>
      <c r="BO37" s="23">
        <f t="shared" si="17"/>
        <v>0.0273444200000001</v>
      </c>
      <c r="BP37" s="23">
        <f>IF(VLOOKUP($Q37,武学奇术!$A:$ZZ,22,FALSE)=1,0,(1-$BI37))*(1-$BL37)</f>
        <v>0.12385236</v>
      </c>
      <c r="BQ37" s="23" cm="1">
        <f t="array" ref="BQ37">SUM(_xlfn.XLOOKUP(R37:AF37,增益!$A:$A,增益!$W:$W,0))</f>
        <v>0.13</v>
      </c>
    </row>
    <row r="38" spans="1:69">
      <c r="A38" s="4" t="s">
        <v>153</v>
      </c>
      <c r="B38" s="4">
        <v>1</v>
      </c>
      <c r="K38" s="36">
        <f t="shared" si="12"/>
        <v>54691.6401244678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60744.7214772555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47711.8093462353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31970.9060406608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28599.7310841103</v>
      </c>
      <c r="P38" s="37">
        <v>1</v>
      </c>
      <c r="Q38" s="38" t="s">
        <v>97</v>
      </c>
      <c r="R38" s="38" t="s">
        <v>89</v>
      </c>
      <c r="S38" s="38" t="s">
        <v>78</v>
      </c>
      <c r="T38" s="38" t="s">
        <v>72</v>
      </c>
      <c r="U38" s="38" t="s">
        <v>111</v>
      </c>
      <c r="V38" s="38" t="s">
        <v>72</v>
      </c>
      <c r="W38" s="38" t="s">
        <v>72</v>
      </c>
      <c r="X38" s="38" t="s">
        <v>72</v>
      </c>
      <c r="Y38" s="38" t="s">
        <v>72</v>
      </c>
      <c r="Z38" s="38" t="s">
        <v>72</v>
      </c>
      <c r="AA38" s="38" t="s">
        <v>68</v>
      </c>
      <c r="AB38" s="38" t="s">
        <v>72</v>
      </c>
      <c r="AC38" s="38" t="s">
        <v>72</v>
      </c>
      <c r="AD38" s="38" t="s">
        <v>72</v>
      </c>
      <c r="AE38" s="38" t="s">
        <v>90</v>
      </c>
      <c r="AF38" s="38" t="s">
        <v>74</v>
      </c>
      <c r="AG38" t="str">
        <f>VLOOKUP($Q38,武学奇术!$A:$ZZ,25,FALSE)</f>
        <v>横刀</v>
      </c>
      <c r="AH38" s="23">
        <f>VLOOKUP($Q38,武学奇术!$A:$ZZ,26,FALSE)</f>
        <v>2.1324</v>
      </c>
      <c r="AI38" s="24">
        <f>VLOOKUP($Q38,武学奇术!$A:$ZZ,27,FALSE)*(1+IF(OR($AG38=$F$4,$AG38=$F$5),$B$22,0))</f>
        <v>767</v>
      </c>
      <c r="AJ38" s="23">
        <f>VLOOKUP($Q38,武学奇术!$A:$ZZ,28,FALSE)</f>
        <v>3.1986</v>
      </c>
      <c r="AK38" s="24">
        <f>VLOOKUP($Q38,武学奇术!$A:$ZZ,29,FALSE)*(1+IF(OR($AG38=$F$4,$AG38=$F$5),$B$22,0))</f>
        <v>418.6</v>
      </c>
      <c r="AL38" s="23" cm="1">
        <f t="array" ref="AL38">$G$3+IFERROR(VLOOKUP($AG38,$F$4:$G$7,2,FALSE),0)+VLOOKUP($Q38,武学奇术!$A:$ZZ,2,FALSE)+SUM(_xlfn.XLOOKUP($R38:$AF38,增益!$A:$A,增益!$B:$B,0))</f>
        <v>0.797</v>
      </c>
      <c r="AM38" s="23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3052.34</v>
      </c>
      <c r="AO38" cm="1">
        <f t="array" ref="AO38">$E$10*(1+$AM38)+VLOOKUP($Q38,武学奇术!$A:$ZZ,4,FALSE)+SUM(_xlfn.XLOOKUP($R38:$AF38,增益!$A:$A,增益!$D:$D,0))-$I$2</f>
        <v>3052.34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0.467</v>
      </c>
      <c r="AQ38" s="30" cm="1">
        <f t="array" ref="AQ38">$G$10+VLOOKUP($Q38,武学奇术!$A:$ZZ,7,FALSE)+SUM(_xlfn.XLOOKUP(R38:AF38,增益!$A:$A,增益!$G:$G,0))</f>
        <v>0</v>
      </c>
      <c r="AR38" s="23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-0.24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634.5</v>
      </c>
      <c r="AX38">
        <f t="shared" si="4"/>
        <v>1443.3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0.118</v>
      </c>
      <c r="AZ38" s="30" cm="1">
        <f t="array" ref="AZ38">$G$12+VLOOKUP($Q38,武学奇术!$A:$ZZ,12,FALSE)+SUM(_xlfn.XLOOKUP(R38:AF38,增益!$A:$A,增益!$L:$L,0))</f>
        <v>0.148</v>
      </c>
      <c r="BA38">
        <f t="shared" si="13"/>
        <v>0</v>
      </c>
      <c r="BB38">
        <f t="shared" si="14"/>
        <v>0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-0.24</v>
      </c>
      <c r="BD38" s="30" cm="1">
        <f t="array" ref="BD38">$G$13+VLOOKUP($Q38,武学奇术!$A:$ZZ,14,FALSE)+SUM(_xlfn.XLOOKUP(R38:AF38,增益!$A:$A,增益!$N:$N,0))</f>
        <v>0</v>
      </c>
      <c r="BE38">
        <f t="shared" si="15"/>
        <v>0</v>
      </c>
      <c r="BF38">
        <f t="shared" si="16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-0.24</v>
      </c>
      <c r="BH38" s="30" cm="1">
        <f t="array" ref="BH38">$G$14+VLOOKUP($Q38,武学奇术!$A:$ZZ,16,FALSE)+SUM(_xlfn.XLOOKUP(R38:AF38,增益!$A:$A,增益!$P:$P,0))</f>
        <v>0</v>
      </c>
      <c r="BI38" s="23">
        <f>MIN(IF(VLOOKUP($Q38,武学奇术!$A:$ZZ,23,FALSE)=1,100%,$B$8),100%)</f>
        <v>0.8626</v>
      </c>
      <c r="BJ38" s="23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0.8697</v>
      </c>
      <c r="BK38" s="23" cm="1">
        <f t="array" ref="BK38">1+$B$13+VLOOKUP($Q38,武学奇术!$A:$ZZ,18,FALSE)+SUM(_xlfn.XLOOKUP(R38:AF38,增益!$A:$A,增益!$R:$R,0))</f>
        <v>1.9</v>
      </c>
      <c r="BL38" s="23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0.0986</v>
      </c>
      <c r="BM38" s="23" cm="1">
        <f t="array" ref="BM38">1+$B$14+VLOOKUP($Q38,武学奇术!$A:$ZZ,20,FALSE)+SUM(_xlfn.XLOOKUP(R38:AF38,增益!$A:$A,增益!$T:$T,0))</f>
        <v>1.35</v>
      </c>
      <c r="BN38" s="23">
        <f t="shared" si="11"/>
        <v>0.75020322</v>
      </c>
      <c r="BO38" s="23">
        <f t="shared" si="17"/>
        <v>0.0273444200000001</v>
      </c>
      <c r="BP38" s="23">
        <f>IF(VLOOKUP($Q38,武学奇术!$A:$ZZ,22,FALSE)=1,0,(1-$BI38))*(1-$BL38)</f>
        <v>0.12385236</v>
      </c>
      <c r="BQ38" s="23" cm="1">
        <f t="array" ref="BQ38">SUM(_xlfn.XLOOKUP(R38:AF38,增益!$A:$A,增益!$W:$W,0))</f>
        <v>0.13</v>
      </c>
    </row>
    <row r="39" spans="1:69">
      <c r="A39" t="s">
        <v>138</v>
      </c>
      <c r="B39">
        <v>2</v>
      </c>
      <c r="E39" s="4"/>
      <c r="F39" s="4"/>
      <c r="K39" s="36">
        <f t="shared" si="12"/>
        <v>33636.2717834127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37354.8621692999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29885.9157013206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19660.4537733157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17183.1922123199</v>
      </c>
      <c r="P39" s="37">
        <v>1</v>
      </c>
      <c r="Q39" s="38" t="s">
        <v>99</v>
      </c>
      <c r="R39" s="38" t="s">
        <v>89</v>
      </c>
      <c r="S39" s="38" t="s">
        <v>78</v>
      </c>
      <c r="T39" s="38" t="s">
        <v>79</v>
      </c>
      <c r="U39" s="38" t="s">
        <v>111</v>
      </c>
      <c r="V39" s="38" t="s">
        <v>72</v>
      </c>
      <c r="W39" s="38" t="s">
        <v>72</v>
      </c>
      <c r="X39" s="38" t="s">
        <v>72</v>
      </c>
      <c r="Y39" s="38" t="s">
        <v>72</v>
      </c>
      <c r="Z39" s="38" t="s">
        <v>72</v>
      </c>
      <c r="AA39" s="38" t="s">
        <v>68</v>
      </c>
      <c r="AB39" s="38" t="s">
        <v>72</v>
      </c>
      <c r="AC39" s="38" t="s">
        <v>72</v>
      </c>
      <c r="AD39" s="38" t="s">
        <v>72</v>
      </c>
      <c r="AE39" s="38" t="s">
        <v>90</v>
      </c>
      <c r="AF39" s="38" t="s">
        <v>74</v>
      </c>
      <c r="AG39" t="str">
        <f>VLOOKUP($Q39,武学奇术!$A:$ZZ,25,FALSE)</f>
        <v>横刀</v>
      </c>
      <c r="AH39" s="23">
        <f>VLOOKUP($Q39,武学奇术!$A:$ZZ,26,FALSE)</f>
        <v>1.4</v>
      </c>
      <c r="AI39" s="24">
        <f>VLOOKUP($Q39,武学奇术!$A:$ZZ,27,FALSE)*(1+IF(OR($AG39=$F$4,$AG39=$F$5),$B$22,0))</f>
        <v>0</v>
      </c>
      <c r="AJ39" s="23">
        <f>VLOOKUP($Q39,武学奇术!$A:$ZZ,28,FALSE)</f>
        <v>2.1</v>
      </c>
      <c r="AK39" s="24">
        <f>VLOOKUP($Q39,武学奇术!$A:$ZZ,29,FALSE)*(1+IF(OR($AG39=$F$4,$AG39=$F$5),$B$22,0))</f>
        <v>0</v>
      </c>
      <c r="AL39" s="23" cm="1">
        <f t="array" ref="AL39">$G$3+IFERROR(VLOOKUP($AG39,$F$4:$G$7,2,FALSE),0)+VLOOKUP($Q39,武学奇术!$A:$ZZ,2,FALSE)+SUM(_xlfn.XLOOKUP($R39:$AF39,增益!$A:$A,增益!$B:$B,0))</f>
        <v>0.877</v>
      </c>
      <c r="AM39" s="23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3052.34</v>
      </c>
      <c r="AO39" cm="1">
        <f t="array" ref="AO39">$E$10*(1+$AM39)+VLOOKUP($Q39,武学奇术!$A:$ZZ,4,FALSE)+SUM(_xlfn.XLOOKUP($R39:$AF39,增益!$A:$A,增益!$D:$D,0))-$I$2</f>
        <v>3052.34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0.467</v>
      </c>
      <c r="AQ39" s="30" cm="1">
        <f t="array" ref="AQ39">$G$10+VLOOKUP($Q39,武学奇术!$A:$ZZ,7,FALSE)+SUM(_xlfn.XLOOKUP(R39:AF39,增益!$A:$A,增益!$G:$G,0))</f>
        <v>0</v>
      </c>
      <c r="AR39" s="23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-0.08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634.5</v>
      </c>
      <c r="AX39">
        <f t="shared" si="4"/>
        <v>1443.3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0.198</v>
      </c>
      <c r="AZ39" s="30" cm="1">
        <f t="array" ref="AZ39">$G$12+VLOOKUP($Q39,武学奇术!$A:$ZZ,12,FALSE)+SUM(_xlfn.XLOOKUP(R39:AF39,增益!$A:$A,增益!$L:$L,0))</f>
        <v>0.148</v>
      </c>
      <c r="BA39">
        <f t="shared" si="13"/>
        <v>0</v>
      </c>
      <c r="BB39">
        <f t="shared" si="14"/>
        <v>0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-0.08</v>
      </c>
      <c r="BD39" s="30" cm="1">
        <f t="array" ref="BD39">$G$13+VLOOKUP($Q39,武学奇术!$A:$ZZ,14,FALSE)+SUM(_xlfn.XLOOKUP(R39:AF39,增益!$A:$A,增益!$N:$N,0))</f>
        <v>0</v>
      </c>
      <c r="BE39">
        <f t="shared" si="15"/>
        <v>0</v>
      </c>
      <c r="BF39">
        <f t="shared" si="16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-0.08</v>
      </c>
      <c r="BH39" s="30" cm="1">
        <f t="array" ref="BH39">$G$14+VLOOKUP($Q39,武学奇术!$A:$ZZ,16,FALSE)+SUM(_xlfn.XLOOKUP(R39:AF39,增益!$A:$A,增益!$P:$P,0))</f>
        <v>0</v>
      </c>
      <c r="BI39" s="23">
        <f>MIN(IF(VLOOKUP($Q39,武学奇术!$A:$ZZ,23,FALSE)=1,100%,$B$8),100%)</f>
        <v>0.8626</v>
      </c>
      <c r="BJ39" s="23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0.8697</v>
      </c>
      <c r="BK39" s="23" cm="1">
        <f t="array" ref="BK39">1+$B$13+VLOOKUP($Q39,武学奇术!$A:$ZZ,18,FALSE)+SUM(_xlfn.XLOOKUP(R39:AF39,增益!$A:$A,增益!$R:$R,0))</f>
        <v>1.9</v>
      </c>
      <c r="BL39" s="23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0.0986</v>
      </c>
      <c r="BM39" s="23" cm="1">
        <f t="array" ref="BM39">1+$B$14+VLOOKUP($Q39,武学奇术!$A:$ZZ,20,FALSE)+SUM(_xlfn.XLOOKUP(R39:AF39,增益!$A:$A,增益!$T:$T,0))</f>
        <v>1.35</v>
      </c>
      <c r="BN39" s="23">
        <f t="shared" si="11"/>
        <v>0.75020322</v>
      </c>
      <c r="BO39" s="23">
        <f t="shared" si="17"/>
        <v>0.0273444200000001</v>
      </c>
      <c r="BP39" s="23">
        <f>IF(VLOOKUP($Q39,武学奇术!$A:$ZZ,22,FALSE)=1,0,(1-$BI39))*(1-$BL39)</f>
        <v>0.12385236</v>
      </c>
      <c r="BQ39" s="23" cm="1">
        <f t="array" ref="BQ39">SUM(_xlfn.XLOOKUP(R39:AF39,增益!$A:$A,增益!$W:$W,0))</f>
        <v>0.13</v>
      </c>
    </row>
    <row r="40" spans="1:69">
      <c r="A40" t="s">
        <v>154</v>
      </c>
      <c r="B40">
        <v>6</v>
      </c>
      <c r="K40" s="36">
        <f t="shared" si="12"/>
        <v>16583.6368814803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18417.0075079159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14734.6048650266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9693.16184627155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8471.80157030116</v>
      </c>
      <c r="P40" s="37">
        <v>1</v>
      </c>
      <c r="Q40" s="38" t="s">
        <v>102</v>
      </c>
      <c r="R40" s="38" t="s">
        <v>89</v>
      </c>
      <c r="S40" s="38" t="s">
        <v>78</v>
      </c>
      <c r="T40" s="38" t="s">
        <v>79</v>
      </c>
      <c r="U40" s="38" t="s">
        <v>111</v>
      </c>
      <c r="V40" s="38" t="s">
        <v>72</v>
      </c>
      <c r="W40" s="38" t="s">
        <v>72</v>
      </c>
      <c r="X40" s="38" t="s">
        <v>72</v>
      </c>
      <c r="Y40" s="38" t="s">
        <v>72</v>
      </c>
      <c r="Z40" s="38" t="s">
        <v>72</v>
      </c>
      <c r="AA40" s="38" t="s">
        <v>68</v>
      </c>
      <c r="AB40" s="38" t="s">
        <v>72</v>
      </c>
      <c r="AC40" s="38" t="s">
        <v>72</v>
      </c>
      <c r="AD40" s="38" t="s">
        <v>72</v>
      </c>
      <c r="AE40" s="38" t="s">
        <v>90</v>
      </c>
      <c r="AF40" s="38" t="s">
        <v>74</v>
      </c>
      <c r="AG40" t="str">
        <f>VLOOKUP($Q40,武学奇术!$A:$ZZ,25,FALSE)</f>
        <v>陌刀</v>
      </c>
      <c r="AH40" s="23">
        <f>VLOOKUP($Q40,武学奇术!$A:$ZZ,26,FALSE)</f>
        <v>0.5</v>
      </c>
      <c r="AI40" s="24">
        <f>VLOOKUP($Q40,武学奇术!$A:$ZZ,27,FALSE)*(1+IF(OR($AG40=$F$4,$AG40=$F$5),$B$22,0))</f>
        <v>0</v>
      </c>
      <c r="AJ40" s="23">
        <f>VLOOKUP($Q40,武学奇术!$A:$ZZ,28,FALSE)</f>
        <v>0.75</v>
      </c>
      <c r="AK40" s="24">
        <f>VLOOKUP($Q40,武学奇术!$A:$ZZ,29,FALSE)*(1+IF(OR($AG40=$F$4,$AG40=$F$5),$B$22,0))</f>
        <v>0</v>
      </c>
      <c r="AL40" s="23" cm="1">
        <f t="array" ref="AL40">$G$3+IFERROR(VLOOKUP($AG40,$F$4:$G$7,2,FALSE),0)+VLOOKUP($Q40,武学奇术!$A:$ZZ,2,FALSE)+SUM(_xlfn.XLOOKUP($R40:$AF40,增益!$A:$A,增益!$B:$B,0))</f>
        <v>0.963</v>
      </c>
      <c r="AM40" s="23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3052.34</v>
      </c>
      <c r="AO40" cm="1">
        <f t="array" ref="AO40">$E$10*(1+$AM40)+VLOOKUP($Q40,武学奇术!$A:$ZZ,4,FALSE)+SUM(_xlfn.XLOOKUP($R40:$AF40,增益!$A:$A,增益!$D:$D,0))-$I$2</f>
        <v>3052.34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0.467</v>
      </c>
      <c r="AQ40" s="30" cm="1">
        <f t="array" ref="AQ40">$G$10+VLOOKUP($Q40,武学奇术!$A:$ZZ,7,FALSE)+SUM(_xlfn.XLOOKUP(R40:AF40,增益!$A:$A,增益!$G:$G,0))</f>
        <v>0</v>
      </c>
      <c r="AR40" s="23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-0.08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634.5</v>
      </c>
      <c r="AX40">
        <f t="shared" si="4"/>
        <v>1443.3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0.198</v>
      </c>
      <c r="AZ40" s="30" cm="1">
        <f t="array" ref="AZ40">$G$12+VLOOKUP($Q40,武学奇术!$A:$ZZ,12,FALSE)+SUM(_xlfn.XLOOKUP(R40:AF40,增益!$A:$A,增益!$L:$L,0))</f>
        <v>0.148</v>
      </c>
      <c r="BA40">
        <f t="shared" si="13"/>
        <v>0</v>
      </c>
      <c r="BB40">
        <f t="shared" si="14"/>
        <v>0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-0.08</v>
      </c>
      <c r="BD40" s="30" cm="1">
        <f t="array" ref="BD40">$G$13+VLOOKUP($Q40,武学奇术!$A:$ZZ,14,FALSE)+SUM(_xlfn.XLOOKUP(R40:AF40,增益!$A:$A,增益!$N:$N,0))</f>
        <v>0</v>
      </c>
      <c r="BE40">
        <f t="shared" si="15"/>
        <v>0</v>
      </c>
      <c r="BF40">
        <f t="shared" si="16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-0.08</v>
      </c>
      <c r="BH40" s="30" cm="1">
        <f t="array" ref="BH40">$G$14+VLOOKUP($Q40,武学奇术!$A:$ZZ,16,FALSE)+SUM(_xlfn.XLOOKUP(R40:AF40,增益!$A:$A,增益!$P:$P,0))</f>
        <v>0</v>
      </c>
      <c r="BI40" s="23">
        <f>MIN(IF(VLOOKUP($Q40,武学奇术!$A:$ZZ,23,FALSE)=1,100%,$B$8),100%)</f>
        <v>0.8626</v>
      </c>
      <c r="BJ40" s="23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0.8697</v>
      </c>
      <c r="BK40" s="23" cm="1">
        <f t="array" ref="BK40">1+$B$13+VLOOKUP($Q40,武学奇术!$A:$ZZ,18,FALSE)+SUM(_xlfn.XLOOKUP(R40:AF40,增益!$A:$A,增益!$R:$R,0))</f>
        <v>1.9</v>
      </c>
      <c r="BL40" s="23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0.0986</v>
      </c>
      <c r="BM40" s="23" cm="1">
        <f t="array" ref="BM40">1+$B$14+VLOOKUP($Q40,武学奇术!$A:$ZZ,20,FALSE)+SUM(_xlfn.XLOOKUP(R40:AF40,增益!$A:$A,增益!$T:$T,0))</f>
        <v>1.35</v>
      </c>
      <c r="BN40" s="23">
        <f t="shared" si="11"/>
        <v>0.75020322</v>
      </c>
      <c r="BO40" s="23">
        <f t="shared" si="17"/>
        <v>0.0273444200000001</v>
      </c>
      <c r="BP40" s="23">
        <f>IF(VLOOKUP($Q40,武学奇术!$A:$ZZ,22,FALSE)=1,0,(1-$BI40))*(1-$BL40)</f>
        <v>0.12385236</v>
      </c>
      <c r="BQ40" s="23" cm="1">
        <f t="array" ref="BQ40">SUM(_xlfn.XLOOKUP(R40:AF40,增益!$A:$A,增益!$W:$W,0))</f>
        <v>0.13</v>
      </c>
    </row>
    <row r="41" spans="1:69">
      <c r="A41" t="s">
        <v>155</v>
      </c>
      <c r="B41">
        <v>1</v>
      </c>
      <c r="C41" s="37" t="s">
        <v>147</v>
      </c>
      <c r="K41" s="36">
        <f t="shared" si="12"/>
        <v>34895.3826465776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34895.3826465776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26522.2887570479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17447.6913232888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15249.2428265421</v>
      </c>
      <c r="P41" s="37">
        <v>1</v>
      </c>
      <c r="Q41" s="38" t="s">
        <v>106</v>
      </c>
      <c r="R41" s="38" t="s">
        <v>89</v>
      </c>
      <c r="S41" s="38" t="s">
        <v>78</v>
      </c>
      <c r="T41" s="38" t="s">
        <v>79</v>
      </c>
      <c r="U41" s="38" t="s">
        <v>111</v>
      </c>
      <c r="V41" s="38" t="s">
        <v>107</v>
      </c>
      <c r="W41" s="38" t="s">
        <v>72</v>
      </c>
      <c r="X41" s="38" t="s">
        <v>72</v>
      </c>
      <c r="Y41" s="38" t="s">
        <v>72</v>
      </c>
      <c r="Z41" s="38" t="s">
        <v>72</v>
      </c>
      <c r="AA41" s="38" t="s">
        <v>68</v>
      </c>
      <c r="AB41" s="38" t="s">
        <v>72</v>
      </c>
      <c r="AC41" s="38" t="s">
        <v>72</v>
      </c>
      <c r="AD41" s="38" t="s">
        <v>72</v>
      </c>
      <c r="AE41" s="38" t="s">
        <v>90</v>
      </c>
      <c r="AF41" s="38" t="s">
        <v>74</v>
      </c>
      <c r="AG41" t="str">
        <f>VLOOKUP($Q41,武学奇术!$A:$ZZ,25,FALSE)</f>
        <v>陌刀</v>
      </c>
      <c r="AH41" s="23">
        <f>VLOOKUP($Q41,武学奇术!$A:$ZZ,26,FALSE)</f>
        <v>0.9</v>
      </c>
      <c r="AI41" s="24">
        <f>VLOOKUP($Q41,武学奇术!$A:$ZZ,27,FALSE)*(1+IF(OR($AG41=$F$4,$AG41=$F$5),$B$22,0))</f>
        <v>0</v>
      </c>
      <c r="AJ41" s="23">
        <f>VLOOKUP($Q41,武学奇术!$A:$ZZ,28,FALSE)</f>
        <v>1.35</v>
      </c>
      <c r="AK41" s="24">
        <f>VLOOKUP($Q41,武学奇术!$A:$ZZ,29,FALSE)*(1+IF(OR($AG41=$F$4,$AG41=$F$5),$B$22,0))</f>
        <v>0</v>
      </c>
      <c r="AL41" s="23" cm="1">
        <f t="array" ref="AL41">$G$3+IFERROR(VLOOKUP($AG41,$F$4:$G$7,2,FALSE),0)+VLOOKUP($Q41,武学奇术!$A:$ZZ,2,FALSE)+SUM(_xlfn.XLOOKUP($R41:$AF41,增益!$A:$A,增益!$B:$B,0))</f>
        <v>0.963</v>
      </c>
      <c r="AM41" s="23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3052.34</v>
      </c>
      <c r="AO41" cm="1">
        <f t="array" ref="AO41">$E$10*(1+$AM41)+VLOOKUP($Q41,武学奇术!$A:$ZZ,4,FALSE)+SUM(_xlfn.XLOOKUP($R41:$AF41,增益!$A:$A,增益!$D:$D,0))-$I$2</f>
        <v>3052.34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0.467</v>
      </c>
      <c r="AQ41" s="30" cm="1">
        <f t="array" ref="AQ41">$G$10+VLOOKUP($Q41,武学奇术!$A:$ZZ,7,FALSE)+SUM(_xlfn.XLOOKUP(R41:AF41,增益!$A:$A,增益!$G:$G,0))</f>
        <v>0</v>
      </c>
      <c r="AR41" s="23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-0.08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634.5</v>
      </c>
      <c r="AX41">
        <f t="shared" si="4"/>
        <v>1443.3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0.198</v>
      </c>
      <c r="AZ41" s="30" cm="1">
        <f t="array" ref="AZ41">$G$12+VLOOKUP($Q41,武学奇术!$A:$ZZ,12,FALSE)+SUM(_xlfn.XLOOKUP(R41:AF41,增益!$A:$A,增益!$L:$L,0))</f>
        <v>0.148</v>
      </c>
      <c r="BA41">
        <f t="shared" si="13"/>
        <v>0</v>
      </c>
      <c r="BB41">
        <f t="shared" si="14"/>
        <v>0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-0.08</v>
      </c>
      <c r="BD41" s="30" cm="1">
        <f t="array" ref="BD41">$G$13+VLOOKUP($Q41,武学奇术!$A:$ZZ,14,FALSE)+SUM(_xlfn.XLOOKUP(R41:AF41,增益!$A:$A,增益!$N:$N,0))</f>
        <v>0</v>
      </c>
      <c r="BE41">
        <f t="shared" si="15"/>
        <v>0</v>
      </c>
      <c r="BF41">
        <f t="shared" si="16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-0.08</v>
      </c>
      <c r="BH41" s="30" cm="1">
        <f t="array" ref="BH41">$G$14+VLOOKUP($Q41,武学奇术!$A:$ZZ,16,FALSE)+SUM(_xlfn.XLOOKUP(R41:AF41,增益!$A:$A,增益!$P:$P,0))</f>
        <v>0</v>
      </c>
      <c r="BI41" s="23">
        <f>MIN(IF(VLOOKUP($Q41,武学奇术!$A:$ZZ,23,FALSE)=1,100%,$B$8),100%)</f>
        <v>1</v>
      </c>
      <c r="BJ41" s="23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1</v>
      </c>
      <c r="BK41" s="23" cm="1">
        <f t="array" ref="BK41">1+$B$13+VLOOKUP($Q41,武学奇术!$A:$ZZ,18,FALSE)+SUM(_xlfn.XLOOKUP(R41:AF41,增益!$A:$A,增益!$R:$R,0))</f>
        <v>2</v>
      </c>
      <c r="BL41" s="23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</v>
      </c>
      <c r="BM41" s="23" cm="1">
        <f t="array" ref="BM41">1+$B$14+VLOOKUP($Q41,武学奇术!$A:$ZZ,20,FALSE)+SUM(_xlfn.XLOOKUP(R41:AF41,增益!$A:$A,增益!$T:$T,0))</f>
        <v>1.35</v>
      </c>
      <c r="BN41" s="23">
        <f t="shared" si="11"/>
        <v>1</v>
      </c>
      <c r="BO41" s="23">
        <f t="shared" si="17"/>
        <v>0</v>
      </c>
      <c r="BP41" s="23">
        <f>IF(VLOOKUP($Q41,武学奇术!$A:$ZZ,22,FALSE)=1,0,(1-$BI41))*(1-$BL41)</f>
        <v>0</v>
      </c>
      <c r="BQ41" s="23" cm="1">
        <f t="array" ref="BQ41">SUM(_xlfn.XLOOKUP(R41:AF41,增益!$A:$A,增益!$W:$W,0))</f>
        <v>0.13</v>
      </c>
    </row>
    <row r="42" spans="1:69">
      <c r="A42" s="4" t="s">
        <v>149</v>
      </c>
      <c r="B42" s="4">
        <v>2.3</v>
      </c>
      <c r="C42" s="37"/>
      <c r="K42" s="36">
        <f t="shared" si="12"/>
        <v>334687.251342367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334687.251342367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250868.923232369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167343.625671183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148858.41931839</v>
      </c>
      <c r="P42" s="37">
        <v>1</v>
      </c>
      <c r="Q42" s="38" t="s">
        <v>110</v>
      </c>
      <c r="R42" s="38" t="s">
        <v>89</v>
      </c>
      <c r="S42" s="38" t="s">
        <v>78</v>
      </c>
      <c r="T42" s="38" t="s">
        <v>79</v>
      </c>
      <c r="U42" s="38" t="s">
        <v>111</v>
      </c>
      <c r="V42" s="38" t="s">
        <v>107</v>
      </c>
      <c r="W42" s="38" t="s">
        <v>72</v>
      </c>
      <c r="X42" s="38" t="s">
        <v>72</v>
      </c>
      <c r="Y42" s="38" t="s">
        <v>72</v>
      </c>
      <c r="Z42" s="38" t="s">
        <v>72</v>
      </c>
      <c r="AA42" s="38" t="s">
        <v>68</v>
      </c>
      <c r="AB42" s="38" t="s">
        <v>72</v>
      </c>
      <c r="AC42" s="38" t="s">
        <v>72</v>
      </c>
      <c r="AD42" s="38" t="s">
        <v>72</v>
      </c>
      <c r="AE42" s="38" t="s">
        <v>90</v>
      </c>
      <c r="AF42" s="38" t="s">
        <v>74</v>
      </c>
      <c r="AG42" t="str">
        <f>VLOOKUP($Q42,武学奇术!$A:$ZZ,25,FALSE)</f>
        <v>陌刀</v>
      </c>
      <c r="AH42" s="23">
        <f>VLOOKUP($Q42,武学奇术!$A:$ZZ,26,FALSE)</f>
        <v>7.5674</v>
      </c>
      <c r="AI42" s="24">
        <f>VLOOKUP($Q42,武学奇术!$A:$ZZ,27,FALSE)*(1+IF(OR($AG42=$F$4,$AG42=$F$5),$B$22,0))</f>
        <v>2720.9</v>
      </c>
      <c r="AJ42" s="23">
        <f>VLOOKUP($Q42,武学奇术!$A:$ZZ,28,FALSE)</f>
        <v>11.3512</v>
      </c>
      <c r="AK42" s="24">
        <f>VLOOKUP($Q42,武学奇术!$A:$ZZ,29,FALSE)*(1+IF(OR($AG42=$F$4,$AG42=$F$5),$B$22,0))</f>
        <v>1482</v>
      </c>
      <c r="AL42" s="23" cm="1">
        <f t="array" ref="AL42">$G$3+IFERROR(VLOOKUP($AG42,$F$4:$G$7,2,FALSE),0)+VLOOKUP($Q42,武学奇术!$A:$ZZ,2,FALSE)+SUM(_xlfn.XLOOKUP($R42:$AF42,增益!$A:$A,增益!$B:$B,0))</f>
        <v>0.963</v>
      </c>
      <c r="AM42" s="23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3052.34</v>
      </c>
      <c r="AO42" cm="1">
        <f t="array" ref="AO42">$E$10*(1+$AM42)+VLOOKUP($Q42,武学奇术!$A:$ZZ,4,FALSE)+SUM(_xlfn.XLOOKUP($R42:$AF42,增益!$A:$A,增益!$D:$D,0))-$I$2</f>
        <v>3052.34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0.467</v>
      </c>
      <c r="AQ42" s="30" cm="1">
        <f t="array" ref="AQ42">$G$10+VLOOKUP($Q42,武学奇术!$A:$ZZ,7,FALSE)+SUM(_xlfn.XLOOKUP(R42:AF42,增益!$A:$A,增益!$G:$G,0))</f>
        <v>0</v>
      </c>
      <c r="AR42" s="23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-0.08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634.5</v>
      </c>
      <c r="AX42">
        <f t="shared" si="4"/>
        <v>1443.3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0.198</v>
      </c>
      <c r="AZ42" s="30" cm="1">
        <f t="array" ref="AZ42">$G$12+VLOOKUP($Q42,武学奇术!$A:$ZZ,12,FALSE)+SUM(_xlfn.XLOOKUP(R42:AF42,增益!$A:$A,增益!$L:$L,0))</f>
        <v>0.148</v>
      </c>
      <c r="BA42">
        <f t="shared" si="13"/>
        <v>0</v>
      </c>
      <c r="BB42">
        <f t="shared" si="14"/>
        <v>0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-0.08</v>
      </c>
      <c r="BD42" s="30" cm="1">
        <f t="array" ref="BD42">$G$13+VLOOKUP($Q42,武学奇术!$A:$ZZ,14,FALSE)+SUM(_xlfn.XLOOKUP(R42:AF42,增益!$A:$A,增益!$N:$N,0))</f>
        <v>0</v>
      </c>
      <c r="BE42">
        <f t="shared" si="15"/>
        <v>0</v>
      </c>
      <c r="BF42">
        <f t="shared" si="16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-0.08</v>
      </c>
      <c r="BH42" s="30" cm="1">
        <f t="array" ref="BH42">$G$14+VLOOKUP($Q42,武学奇术!$A:$ZZ,16,FALSE)+SUM(_xlfn.XLOOKUP(R42:AF42,增益!$A:$A,增益!$P:$P,0))</f>
        <v>0</v>
      </c>
      <c r="BI42" s="23">
        <f>MIN(IF(VLOOKUP($Q42,武学奇术!$A:$ZZ,23,FALSE)=1,100%,$B$8),100%)</f>
        <v>1</v>
      </c>
      <c r="BJ42" s="23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1</v>
      </c>
      <c r="BK42" s="23" cm="1">
        <f t="array" ref="BK42">1+$B$13+VLOOKUP($Q42,武学奇术!$A:$ZZ,18,FALSE)+SUM(_xlfn.XLOOKUP(R42:AF42,增益!$A:$A,增益!$R:$R,0))</f>
        <v>2</v>
      </c>
      <c r="BL42" s="23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</v>
      </c>
      <c r="BM42" s="23" cm="1">
        <f t="array" ref="BM42">1+$B$14+VLOOKUP($Q42,武学奇术!$A:$ZZ,20,FALSE)+SUM(_xlfn.XLOOKUP(R42:AF42,增益!$A:$A,增益!$T:$T,0))</f>
        <v>1.35</v>
      </c>
      <c r="BN42" s="23">
        <f t="shared" si="11"/>
        <v>1</v>
      </c>
      <c r="BO42" s="23">
        <f t="shared" si="17"/>
        <v>0</v>
      </c>
      <c r="BP42" s="23">
        <f>IF(VLOOKUP($Q42,武学奇术!$A:$ZZ,22,FALSE)=1,0,(1-$BI42))*(1-$BL42)</f>
        <v>0</v>
      </c>
      <c r="BQ42" s="23" cm="1">
        <f t="array" ref="BQ42">SUM(_xlfn.XLOOKUP(R42:AF42,增益!$A:$A,增益!$W:$W,0))</f>
        <v>0.13</v>
      </c>
    </row>
    <row r="43" spans="1:69">
      <c r="A43" s="4" t="s">
        <v>149</v>
      </c>
      <c r="B43" s="4">
        <v>2.3</v>
      </c>
      <c r="C43" s="37"/>
      <c r="K43" s="36">
        <f t="shared" si="12"/>
        <v>58158.9710776293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58158.9710776293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44203.8145950799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29079.4855388146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25415.4047109035</v>
      </c>
      <c r="P43" s="37">
        <v>3</v>
      </c>
      <c r="Q43" s="38" t="s">
        <v>114</v>
      </c>
      <c r="R43" s="38" t="s">
        <v>89</v>
      </c>
      <c r="S43" s="38" t="s">
        <v>78</v>
      </c>
      <c r="T43" s="38" t="s">
        <v>79</v>
      </c>
      <c r="U43" s="38" t="s">
        <v>111</v>
      </c>
      <c r="V43" s="38" t="s">
        <v>107</v>
      </c>
      <c r="W43" s="38" t="s">
        <v>72</v>
      </c>
      <c r="X43" s="38" t="s">
        <v>72</v>
      </c>
      <c r="Y43" s="38" t="s">
        <v>72</v>
      </c>
      <c r="Z43" s="38" t="s">
        <v>72</v>
      </c>
      <c r="AA43" s="38" t="s">
        <v>68</v>
      </c>
      <c r="AB43" s="38" t="s">
        <v>72</v>
      </c>
      <c r="AC43" s="38" t="s">
        <v>72</v>
      </c>
      <c r="AD43" s="38" t="s">
        <v>72</v>
      </c>
      <c r="AE43" s="38" t="s">
        <v>90</v>
      </c>
      <c r="AF43" s="38" t="s">
        <v>74</v>
      </c>
      <c r="AG43" t="str">
        <f>VLOOKUP($Q43,武学奇术!$A:$ZZ,25,FALSE)</f>
        <v>陌刀</v>
      </c>
      <c r="AH43" s="23">
        <f>VLOOKUP($Q43,武学奇术!$A:$ZZ,26,FALSE)</f>
        <v>0.5</v>
      </c>
      <c r="AI43" s="24">
        <f>VLOOKUP($Q43,武学奇术!$A:$ZZ,27,FALSE)*(1+IF(OR($AG43=$F$4,$AG43=$F$5),$B$22,0))</f>
        <v>0</v>
      </c>
      <c r="AJ43" s="23">
        <f>VLOOKUP($Q43,武学奇术!$A:$ZZ,28,FALSE)</f>
        <v>0.75</v>
      </c>
      <c r="AK43" s="24">
        <f>VLOOKUP($Q43,武学奇术!$A:$ZZ,29,FALSE)*(1+IF(OR($AG43=$F$4,$AG43=$F$5),$B$22,0))</f>
        <v>0</v>
      </c>
      <c r="AL43" s="23" cm="1">
        <f t="array" ref="AL43">$G$3+IFERROR(VLOOKUP($AG43,$F$4:$G$7,2,FALSE),0)+VLOOKUP($Q43,武学奇术!$A:$ZZ,2,FALSE)+SUM(_xlfn.XLOOKUP($R43:$AF43,增益!$A:$A,增益!$B:$B,0))</f>
        <v>0.963</v>
      </c>
      <c r="AM43" s="23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3052.34</v>
      </c>
      <c r="AO43" cm="1">
        <f t="array" ref="AO43">$E$10*(1+$AM43)+VLOOKUP($Q43,武学奇术!$A:$ZZ,4,FALSE)+SUM(_xlfn.XLOOKUP($R43:$AF43,增益!$A:$A,增益!$D:$D,0))-$I$2</f>
        <v>3052.34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0.467</v>
      </c>
      <c r="AQ43" s="30" cm="1">
        <f t="array" ref="AQ43">$G$10+VLOOKUP($Q43,武学奇术!$A:$ZZ,7,FALSE)+SUM(_xlfn.XLOOKUP(R43:AF43,增益!$A:$A,增益!$G:$G,0))</f>
        <v>0</v>
      </c>
      <c r="AR43" s="23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-0.08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634.5</v>
      </c>
      <c r="AX43">
        <f t="shared" si="4"/>
        <v>1443.3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0.198</v>
      </c>
      <c r="AZ43" s="30" cm="1">
        <f t="array" ref="AZ43">$G$12+VLOOKUP($Q43,武学奇术!$A:$ZZ,12,FALSE)+SUM(_xlfn.XLOOKUP(R43:AF43,增益!$A:$A,增益!$L:$L,0))</f>
        <v>0.148</v>
      </c>
      <c r="BA43">
        <f t="shared" si="13"/>
        <v>0</v>
      </c>
      <c r="BB43">
        <f t="shared" si="14"/>
        <v>0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-0.08</v>
      </c>
      <c r="BD43" s="30" cm="1">
        <f t="array" ref="BD43">$G$13+VLOOKUP($Q43,武学奇术!$A:$ZZ,14,FALSE)+SUM(_xlfn.XLOOKUP(R43:AF43,增益!$A:$A,增益!$N:$N,0))</f>
        <v>0</v>
      </c>
      <c r="BE43">
        <f t="shared" si="15"/>
        <v>0</v>
      </c>
      <c r="BF43">
        <f t="shared" si="16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-0.08</v>
      </c>
      <c r="BH43" s="30" cm="1">
        <f t="array" ref="BH43">$G$14+VLOOKUP($Q43,武学奇术!$A:$ZZ,16,FALSE)+SUM(_xlfn.XLOOKUP(R43:AF43,增益!$A:$A,增益!$P:$P,0))</f>
        <v>0</v>
      </c>
      <c r="BI43" s="23">
        <f>MIN(IF(VLOOKUP($Q43,武学奇术!$A:$ZZ,23,FALSE)=1,100%,$B$8),100%)</f>
        <v>1</v>
      </c>
      <c r="BJ43" s="23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1</v>
      </c>
      <c r="BK43" s="23" cm="1">
        <f t="array" ref="BK43">1+$B$13+VLOOKUP($Q43,武学奇术!$A:$ZZ,18,FALSE)+SUM(_xlfn.XLOOKUP(R43:AF43,增益!$A:$A,增益!$R:$R,0))</f>
        <v>2</v>
      </c>
      <c r="BL43" s="23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</v>
      </c>
      <c r="BM43" s="23" cm="1">
        <f t="array" ref="BM43">1+$B$14+VLOOKUP($Q43,武学奇术!$A:$ZZ,20,FALSE)+SUM(_xlfn.XLOOKUP(R43:AF43,增益!$A:$A,增益!$T:$T,0))</f>
        <v>1.35</v>
      </c>
      <c r="BN43" s="23">
        <f t="shared" si="11"/>
        <v>1</v>
      </c>
      <c r="BO43" s="23">
        <f t="shared" si="17"/>
        <v>0</v>
      </c>
      <c r="BP43" s="23">
        <f>IF(VLOOKUP($Q43,武学奇术!$A:$ZZ,22,FALSE)=1,0,(1-$BI43))*(1-$BL43)</f>
        <v>0</v>
      </c>
      <c r="BQ43" s="23" cm="1">
        <f t="array" ref="BQ43">SUM(_xlfn.XLOOKUP(R43:AF43,增益!$A:$A,增益!$W:$W,0))</f>
        <v>0.13</v>
      </c>
    </row>
    <row r="44" spans="1:69">
      <c r="A44" s="4" t="s">
        <v>149</v>
      </c>
      <c r="B44" s="4">
        <v>2.3</v>
      </c>
      <c r="C44" s="37"/>
      <c r="K44" s="36">
        <f t="shared" si="12"/>
        <v>104686.147939733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104686.147939733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79566.8662711438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52343.0739698664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45747.7284796262</v>
      </c>
      <c r="P44" s="37">
        <v>3</v>
      </c>
      <c r="Q44" s="38" t="s">
        <v>106</v>
      </c>
      <c r="R44" s="38" t="s">
        <v>89</v>
      </c>
      <c r="S44" s="38" t="s">
        <v>78</v>
      </c>
      <c r="T44" s="38" t="s">
        <v>79</v>
      </c>
      <c r="U44" s="38" t="s">
        <v>111</v>
      </c>
      <c r="V44" s="38" t="s">
        <v>107</v>
      </c>
      <c r="W44" s="38" t="s">
        <v>72</v>
      </c>
      <c r="X44" s="38" t="s">
        <v>72</v>
      </c>
      <c r="Y44" s="38" t="s">
        <v>72</v>
      </c>
      <c r="Z44" s="38" t="s">
        <v>72</v>
      </c>
      <c r="AA44" s="38" t="s">
        <v>68</v>
      </c>
      <c r="AB44" s="38" t="s">
        <v>72</v>
      </c>
      <c r="AC44" s="38" t="s">
        <v>72</v>
      </c>
      <c r="AD44" s="38" t="s">
        <v>72</v>
      </c>
      <c r="AE44" s="38" t="s">
        <v>90</v>
      </c>
      <c r="AF44" s="38" t="s">
        <v>74</v>
      </c>
      <c r="AG44" t="str">
        <f>VLOOKUP($Q44,武学奇术!$A:$ZZ,25,FALSE)</f>
        <v>陌刀</v>
      </c>
      <c r="AH44" s="23">
        <f>VLOOKUP($Q44,武学奇术!$A:$ZZ,26,FALSE)</f>
        <v>0.9</v>
      </c>
      <c r="AI44" s="24">
        <f>VLOOKUP($Q44,武学奇术!$A:$ZZ,27,FALSE)*(1+IF(OR($AG44=$F$4,$AG44=$F$5),$B$22,0))</f>
        <v>0</v>
      </c>
      <c r="AJ44" s="23">
        <f>VLOOKUP($Q44,武学奇术!$A:$ZZ,28,FALSE)</f>
        <v>1.35</v>
      </c>
      <c r="AK44" s="24">
        <f>VLOOKUP($Q44,武学奇术!$A:$ZZ,29,FALSE)*(1+IF(OR($AG44=$F$4,$AG44=$F$5),$B$22,0))</f>
        <v>0</v>
      </c>
      <c r="AL44" s="23" cm="1">
        <f t="array" ref="AL44">$G$3+IFERROR(VLOOKUP($AG44,$F$4:$G$7,2,FALSE),0)+VLOOKUP($Q44,武学奇术!$A:$ZZ,2,FALSE)+SUM(_xlfn.XLOOKUP($R44:$AF44,增益!$A:$A,增益!$B:$B,0))</f>
        <v>0.963</v>
      </c>
      <c r="AM44" s="23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3052.34</v>
      </c>
      <c r="AO44" cm="1">
        <f t="array" ref="AO44">$E$10*(1+$AM44)+VLOOKUP($Q44,武学奇术!$A:$ZZ,4,FALSE)+SUM(_xlfn.XLOOKUP($R44:$AF44,增益!$A:$A,增益!$D:$D,0))-$I$2</f>
        <v>3052.34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0.467</v>
      </c>
      <c r="AQ44" s="30" cm="1">
        <f t="array" ref="AQ44">$G$10+VLOOKUP($Q44,武学奇术!$A:$ZZ,7,FALSE)+SUM(_xlfn.XLOOKUP(R44:AF44,增益!$A:$A,增益!$G:$G,0))</f>
        <v>0</v>
      </c>
      <c r="AR44" s="23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-0.08</v>
      </c>
      <c r="AV44" s="30" cm="1">
        <f t="array" ref="AV44">$G$11+VLOOKUP($Q44,武学奇术!$A:$ZZ,10,FALSE)+SUM(_xlfn.XLOOKUP(R44:AF44,增益!$A:$A,增益!$J:$J,0))</f>
        <v>0</v>
      </c>
      <c r="AW44">
        <f t="shared" ref="AW44:AW60" si="20">$D$12*(1+$AR44)</f>
        <v>634.5</v>
      </c>
      <c r="AX44">
        <f t="shared" ref="AX44:AX60" si="21">$E$12*(1+$AR44)</f>
        <v>1443.3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0.198</v>
      </c>
      <c r="AZ44" s="30" cm="1">
        <f t="array" ref="AZ44">$G$12+VLOOKUP($Q44,武学奇术!$A:$ZZ,12,FALSE)+SUM(_xlfn.XLOOKUP(R44:AF44,增益!$A:$A,增益!$L:$L,0))</f>
        <v>0.148</v>
      </c>
      <c r="BA44">
        <f t="shared" si="13"/>
        <v>0</v>
      </c>
      <c r="BB44">
        <f t="shared" si="14"/>
        <v>0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-0.08</v>
      </c>
      <c r="BD44" s="30" cm="1">
        <f t="array" ref="BD44">$G$13+VLOOKUP($Q44,武学奇术!$A:$ZZ,14,FALSE)+SUM(_xlfn.XLOOKUP(R44:AF44,增益!$A:$A,增益!$N:$N,0))</f>
        <v>0</v>
      </c>
      <c r="BE44">
        <f t="shared" si="15"/>
        <v>0</v>
      </c>
      <c r="BF44">
        <f t="shared" si="16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-0.08</v>
      </c>
      <c r="BH44" s="30" cm="1">
        <f t="array" ref="BH44">$G$14+VLOOKUP($Q44,武学奇术!$A:$ZZ,16,FALSE)+SUM(_xlfn.XLOOKUP(R44:AF44,增益!$A:$A,增益!$P:$P,0))</f>
        <v>0</v>
      </c>
      <c r="BI44" s="23">
        <f>MIN(IF(VLOOKUP($Q44,武学奇术!$A:$ZZ,23,FALSE)=1,100%,$B$8),100%)</f>
        <v>1</v>
      </c>
      <c r="BJ44" s="23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1</v>
      </c>
      <c r="BK44" s="23" cm="1">
        <f t="array" ref="BK44">1+$B$13+VLOOKUP($Q44,武学奇术!$A:$ZZ,18,FALSE)+SUM(_xlfn.XLOOKUP(R44:AF44,增益!$A:$A,增益!$R:$R,0))</f>
        <v>2</v>
      </c>
      <c r="BL44" s="23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</v>
      </c>
      <c r="BM44" s="23" cm="1">
        <f t="array" ref="BM44">1+$B$14+VLOOKUP($Q44,武学奇术!$A:$ZZ,20,FALSE)+SUM(_xlfn.XLOOKUP(R44:AF44,增益!$A:$A,增益!$T:$T,0))</f>
        <v>1.35</v>
      </c>
      <c r="BN44" s="23">
        <f t="shared" si="11"/>
        <v>1</v>
      </c>
      <c r="BO44" s="23">
        <f t="shared" si="17"/>
        <v>0</v>
      </c>
      <c r="BP44" s="23">
        <f>IF(VLOOKUP($Q44,武学奇术!$A:$ZZ,22,FALSE)=1,0,(1-$BI44))*(1-$BL44)</f>
        <v>0</v>
      </c>
      <c r="BQ44" s="23" cm="1">
        <f t="array" ref="BQ44">SUM(_xlfn.XLOOKUP(R44:AF44,增益!$A:$A,增益!$W:$W,0))</f>
        <v>0.13</v>
      </c>
    </row>
    <row r="45" spans="1:69">
      <c r="A45" s="4" t="s">
        <v>156</v>
      </c>
      <c r="B45" s="4">
        <v>1.1</v>
      </c>
      <c r="K45" s="36">
        <f t="shared" si="12"/>
        <v>1004061.7540271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1004061.7540271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752606.769697106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502030.87701355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446575.257955169</v>
      </c>
      <c r="P45" s="37">
        <v>3</v>
      </c>
      <c r="Q45" s="38" t="s">
        <v>110</v>
      </c>
      <c r="R45" s="38" t="s">
        <v>89</v>
      </c>
      <c r="S45" s="38" t="s">
        <v>78</v>
      </c>
      <c r="T45" s="38" t="s">
        <v>79</v>
      </c>
      <c r="U45" s="38" t="s">
        <v>111</v>
      </c>
      <c r="V45" s="38" t="s">
        <v>107</v>
      </c>
      <c r="W45" s="38" t="s">
        <v>72</v>
      </c>
      <c r="X45" s="38" t="s">
        <v>72</v>
      </c>
      <c r="Y45" s="38" t="s">
        <v>72</v>
      </c>
      <c r="Z45" s="38" t="s">
        <v>72</v>
      </c>
      <c r="AA45" s="38" t="s">
        <v>68</v>
      </c>
      <c r="AB45" s="38" t="s">
        <v>72</v>
      </c>
      <c r="AC45" s="38" t="s">
        <v>72</v>
      </c>
      <c r="AD45" s="38" t="s">
        <v>72</v>
      </c>
      <c r="AE45" s="38" t="s">
        <v>90</v>
      </c>
      <c r="AF45" s="38" t="s">
        <v>74</v>
      </c>
      <c r="AG45" t="str">
        <f>VLOOKUP($Q45,武学奇术!$A:$ZZ,25,FALSE)</f>
        <v>陌刀</v>
      </c>
      <c r="AH45" s="23">
        <f>VLOOKUP($Q45,武学奇术!$A:$ZZ,26,FALSE)</f>
        <v>7.5674</v>
      </c>
      <c r="AI45" s="24">
        <f>VLOOKUP($Q45,武学奇术!$A:$ZZ,27,FALSE)*(1+IF(OR($AG45=$F$4,$AG45=$F$5),$B$22,0))</f>
        <v>2720.9</v>
      </c>
      <c r="AJ45" s="23">
        <f>VLOOKUP($Q45,武学奇术!$A:$ZZ,28,FALSE)</f>
        <v>11.3512</v>
      </c>
      <c r="AK45" s="24">
        <f>VLOOKUP($Q45,武学奇术!$A:$ZZ,29,FALSE)*(1+IF(OR($AG45=$F$4,$AG45=$F$5),$B$22,0))</f>
        <v>1482</v>
      </c>
      <c r="AL45" s="23" cm="1">
        <f t="array" ref="AL45">$G$3+IFERROR(VLOOKUP($AG45,$F$4:$G$7,2,FALSE),0)+VLOOKUP($Q45,武学奇术!$A:$ZZ,2,FALSE)+SUM(_xlfn.XLOOKUP($R45:$AF45,增益!$A:$A,增益!$B:$B,0))</f>
        <v>0.963</v>
      </c>
      <c r="AM45" s="23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3052.34</v>
      </c>
      <c r="AO45" cm="1">
        <f t="array" ref="AO45">$E$10*(1+$AM45)+VLOOKUP($Q45,武学奇术!$A:$ZZ,4,FALSE)+SUM(_xlfn.XLOOKUP($R45:$AF45,增益!$A:$A,增益!$D:$D,0))-$I$2</f>
        <v>3052.34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0.467</v>
      </c>
      <c r="AQ45" s="30" cm="1">
        <f t="array" ref="AQ45">$G$10+VLOOKUP($Q45,武学奇术!$A:$ZZ,7,FALSE)+SUM(_xlfn.XLOOKUP(R45:AF45,增益!$A:$A,增益!$G:$G,0))</f>
        <v>0</v>
      </c>
      <c r="AR45" s="23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-0.08</v>
      </c>
      <c r="AV45" s="30" cm="1">
        <f t="array" ref="AV45">$G$11+VLOOKUP($Q45,武学奇术!$A:$ZZ,10,FALSE)+SUM(_xlfn.XLOOKUP(R45:AF45,增益!$A:$A,增益!$J:$J,0))</f>
        <v>0</v>
      </c>
      <c r="AW45">
        <f t="shared" si="20"/>
        <v>634.5</v>
      </c>
      <c r="AX45">
        <f t="shared" si="21"/>
        <v>1443.3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0.198</v>
      </c>
      <c r="AZ45" s="30" cm="1">
        <f t="array" ref="AZ45">$G$12+VLOOKUP($Q45,武学奇术!$A:$ZZ,12,FALSE)+SUM(_xlfn.XLOOKUP(R45:AF45,增益!$A:$A,增益!$L:$L,0))</f>
        <v>0.148</v>
      </c>
      <c r="BA45">
        <f t="shared" si="13"/>
        <v>0</v>
      </c>
      <c r="BB45">
        <f t="shared" si="14"/>
        <v>0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-0.08</v>
      </c>
      <c r="BD45" s="30" cm="1">
        <f t="array" ref="BD45">$G$13+VLOOKUP($Q45,武学奇术!$A:$ZZ,14,FALSE)+SUM(_xlfn.XLOOKUP(R45:AF45,增益!$A:$A,增益!$N:$N,0))</f>
        <v>0</v>
      </c>
      <c r="BE45">
        <f t="shared" si="15"/>
        <v>0</v>
      </c>
      <c r="BF45">
        <f t="shared" si="16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-0.08</v>
      </c>
      <c r="BH45" s="30" cm="1">
        <f t="array" ref="BH45">$G$14+VLOOKUP($Q45,武学奇术!$A:$ZZ,16,FALSE)+SUM(_xlfn.XLOOKUP(R45:AF45,增益!$A:$A,增益!$P:$P,0))</f>
        <v>0</v>
      </c>
      <c r="BI45" s="23">
        <f>MIN(IF(VLOOKUP($Q45,武学奇术!$A:$ZZ,23,FALSE)=1,100%,$B$8),100%)</f>
        <v>1</v>
      </c>
      <c r="BJ45" s="23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1</v>
      </c>
      <c r="BK45" s="23" cm="1">
        <f t="array" ref="BK45">1+$B$13+VLOOKUP($Q45,武学奇术!$A:$ZZ,18,FALSE)+SUM(_xlfn.XLOOKUP(R45:AF45,增益!$A:$A,增益!$R:$R,0))</f>
        <v>2</v>
      </c>
      <c r="BL45" s="23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</v>
      </c>
      <c r="BM45" s="23" cm="1">
        <f t="array" ref="BM45">1+$B$14+VLOOKUP($Q45,武学奇术!$A:$ZZ,20,FALSE)+SUM(_xlfn.XLOOKUP(R45:AF45,增益!$A:$A,增益!$T:$T,0))</f>
        <v>1.35</v>
      </c>
      <c r="BN45" s="23">
        <f t="shared" si="11"/>
        <v>1</v>
      </c>
      <c r="BO45" s="23">
        <f t="shared" si="17"/>
        <v>0</v>
      </c>
      <c r="BP45" s="23">
        <f>IF(VLOOKUP($Q45,武学奇术!$A:$ZZ,22,FALSE)=1,0,(1-$BI45))*(1-$BL45)</f>
        <v>0</v>
      </c>
      <c r="BQ45" s="23" cm="1">
        <f t="array" ref="BQ45">SUM(_xlfn.XLOOKUP(R45:AF45,增益!$A:$A,增益!$W:$W,0))</f>
        <v>0.13</v>
      </c>
    </row>
    <row r="46" spans="1:69">
      <c r="A46" t="s">
        <v>145</v>
      </c>
      <c r="B46">
        <v>0.2</v>
      </c>
      <c r="K46" s="36">
        <f t="shared" si="12"/>
        <v>156571.261357306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173103.264166021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141811.056484924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93569.3319816328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82093.4369373961</v>
      </c>
      <c r="P46" s="37">
        <v>1</v>
      </c>
      <c r="Q46" s="38" t="s">
        <v>134</v>
      </c>
      <c r="R46" s="38" t="s">
        <v>89</v>
      </c>
      <c r="S46" s="38" t="s">
        <v>78</v>
      </c>
      <c r="T46" s="38" t="s">
        <v>79</v>
      </c>
      <c r="U46" s="38" t="s">
        <v>80</v>
      </c>
      <c r="V46" s="38" t="s">
        <v>72</v>
      </c>
      <c r="W46" s="38" t="s">
        <v>72</v>
      </c>
      <c r="X46" s="38" t="s">
        <v>72</v>
      </c>
      <c r="Y46" s="38" t="s">
        <v>72</v>
      </c>
      <c r="Z46" s="38" t="s">
        <v>72</v>
      </c>
      <c r="AA46" s="38" t="s">
        <v>72</v>
      </c>
      <c r="AB46" s="38" t="s">
        <v>72</v>
      </c>
      <c r="AC46" s="38" t="s">
        <v>72</v>
      </c>
      <c r="AD46" s="38" t="s">
        <v>72</v>
      </c>
      <c r="AE46" s="38" t="s">
        <v>90</v>
      </c>
      <c r="AF46" s="38" t="s">
        <v>74</v>
      </c>
      <c r="AG46" t="str">
        <f>VLOOKUP($Q46,武学奇术!$A:$ZZ,25,FALSE)</f>
        <v>单体奇术</v>
      </c>
      <c r="AH46" s="23">
        <f>VLOOKUP($Q46,武学奇术!$A:$ZZ,26,FALSE)</f>
        <v>7.1064</v>
      </c>
      <c r="AI46" s="24">
        <f>VLOOKUP($Q46,武学奇术!$A:$ZZ,27,FALSE)*(1+IF(OR($AG46=$F$4,$AG46=$F$5),$B$22,0))</f>
        <v>1269</v>
      </c>
      <c r="AJ46" s="23">
        <f>VLOOKUP($Q46,武学奇术!$A:$ZZ,28,FALSE)</f>
        <v>10.6596</v>
      </c>
      <c r="AK46" s="24">
        <f>VLOOKUP($Q46,武学奇术!$A:$ZZ,29,FALSE)*(1+IF(OR($AG46=$F$4,$AG46=$F$5),$B$22,0))</f>
        <v>0</v>
      </c>
      <c r="AL46" s="23" cm="1">
        <f t="array" ref="AL46">$G$3+IFERROR(VLOOKUP($AG46,$F$4:$G$7,2,FALSE),0)+VLOOKUP($Q46,武学奇术!$A:$ZZ,2,FALSE)+SUM(_xlfn.XLOOKUP($R46:$AF46,增益!$A:$A,增益!$B:$B,0))</f>
        <v>0.713</v>
      </c>
      <c r="AM46" s="23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3052.34</v>
      </c>
      <c r="AO46" cm="1">
        <f t="array" ref="AO46">$E$10*(1+$AM46)+VLOOKUP($Q46,武学奇术!$A:$ZZ,4,FALSE)+SUM(_xlfn.XLOOKUP($R46:$AF46,增益!$A:$A,增益!$D:$D,0))-$I$2</f>
        <v>3052.34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0.442</v>
      </c>
      <c r="AQ46" s="30" cm="1">
        <f t="array" ref="AQ46">$G$10+VLOOKUP($Q46,武学奇术!$A:$ZZ,7,FALSE)+SUM(_xlfn.XLOOKUP(R46:AF46,增益!$A:$A,增益!$G:$G,0))</f>
        <v>0</v>
      </c>
      <c r="AR46" s="23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-0.08</v>
      </c>
      <c r="AV46" s="30" cm="1">
        <f t="array" ref="AV46">$G$11+VLOOKUP($Q46,武学奇术!$A:$ZZ,10,FALSE)+SUM(_xlfn.XLOOKUP(R46:AF46,增益!$A:$A,增益!$J:$J,0))</f>
        <v>0</v>
      </c>
      <c r="AW46">
        <f t="shared" si="20"/>
        <v>634.5</v>
      </c>
      <c r="AX46">
        <f t="shared" si="21"/>
        <v>1443.3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0.198</v>
      </c>
      <c r="AZ46" s="30" cm="1">
        <f t="array" ref="AZ46">$G$12+VLOOKUP($Q46,武学奇术!$A:$ZZ,12,FALSE)+SUM(_xlfn.XLOOKUP(R46:AF46,增益!$A:$A,增益!$L:$L,0))</f>
        <v>0.148</v>
      </c>
      <c r="BA46">
        <f t="shared" si="13"/>
        <v>0</v>
      </c>
      <c r="BB46">
        <f t="shared" si="14"/>
        <v>0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-0.08</v>
      </c>
      <c r="BD46" s="30" cm="1">
        <f t="array" ref="BD46">$G$13+VLOOKUP($Q46,武学奇术!$A:$ZZ,14,FALSE)+SUM(_xlfn.XLOOKUP(R46:AF46,增益!$A:$A,增益!$N:$N,0))</f>
        <v>0</v>
      </c>
      <c r="BE46">
        <f t="shared" si="15"/>
        <v>0</v>
      </c>
      <c r="BF46">
        <f t="shared" si="16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-0.08</v>
      </c>
      <c r="BH46" s="30" cm="1">
        <f t="array" ref="BH46">$G$14+VLOOKUP($Q46,武学奇术!$A:$ZZ,16,FALSE)+SUM(_xlfn.XLOOKUP(R46:AF46,增益!$A:$A,增益!$P:$P,0))</f>
        <v>0</v>
      </c>
      <c r="BI46" s="23">
        <f>MIN(IF(VLOOKUP($Q46,武学奇术!$A:$ZZ,23,FALSE)=1,100%,$B$8),100%)</f>
        <v>0.8626</v>
      </c>
      <c r="BJ46" s="23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0.8697</v>
      </c>
      <c r="BK46" s="23" cm="1">
        <f t="array" ref="BK46">1+$B$13+VLOOKUP($Q46,武学奇术!$A:$ZZ,18,FALSE)+SUM(_xlfn.XLOOKUP(R46:AF46,增益!$A:$A,增益!$R:$R,0))</f>
        <v>1.85</v>
      </c>
      <c r="BL46" s="23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0.0986</v>
      </c>
      <c r="BM46" s="23" cm="1">
        <f t="array" ref="BM46">1+$B$14+VLOOKUP($Q46,武学奇术!$A:$ZZ,20,FALSE)+SUM(_xlfn.XLOOKUP(R46:AF46,增益!$A:$A,增益!$T:$T,0))</f>
        <v>1.35</v>
      </c>
      <c r="BN46" s="23">
        <f t="shared" si="11"/>
        <v>0.75020322</v>
      </c>
      <c r="BO46" s="23">
        <f t="shared" si="17"/>
        <v>0.0273444200000001</v>
      </c>
      <c r="BP46" s="23">
        <f>IF(VLOOKUP($Q46,武学奇术!$A:$ZZ,22,FALSE)=1,0,(1-$BI46))*(1-$BL46)</f>
        <v>0.12385236</v>
      </c>
      <c r="BQ46" s="23" cm="1">
        <f t="array" ref="BQ46">SUM(_xlfn.XLOOKUP(R46:AF46,增益!$A:$A,增益!$W:$W,0))</f>
        <v>0.13</v>
      </c>
    </row>
    <row r="47" spans="1:69">
      <c r="A47" t="s">
        <v>143</v>
      </c>
      <c r="B47">
        <v>1</v>
      </c>
      <c r="K47" s="36">
        <f t="shared" si="12"/>
        <v>58294.8322223693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64452.6433984496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52459.4502193843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34839.2667018646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30819.6813893705</v>
      </c>
      <c r="P47" s="37">
        <v>2</v>
      </c>
      <c r="Q47" s="38" t="s">
        <v>70</v>
      </c>
      <c r="R47" s="38" t="s">
        <v>89</v>
      </c>
      <c r="S47" s="38" t="s">
        <v>72</v>
      </c>
      <c r="T47" s="38" t="s">
        <v>72</v>
      </c>
      <c r="U47" s="38" t="s">
        <v>80</v>
      </c>
      <c r="V47" s="38" t="s">
        <v>72</v>
      </c>
      <c r="W47" s="38" t="s">
        <v>73</v>
      </c>
      <c r="X47" s="38" t="s">
        <v>72</v>
      </c>
      <c r="Y47" s="38" t="s">
        <v>72</v>
      </c>
      <c r="Z47" s="38" t="s">
        <v>72</v>
      </c>
      <c r="AA47" s="38" t="s">
        <v>72</v>
      </c>
      <c r="AB47" s="38" t="s">
        <v>72</v>
      </c>
      <c r="AC47" s="38" t="s">
        <v>72</v>
      </c>
      <c r="AD47" s="38" t="s">
        <v>72</v>
      </c>
      <c r="AE47" s="38" t="s">
        <v>90</v>
      </c>
      <c r="AF47" s="38" t="s">
        <v>74</v>
      </c>
      <c r="AG47" t="str">
        <f>VLOOKUP($Q47,武学奇术!$A:$ZZ,25,FALSE)</f>
        <v>群体奇术</v>
      </c>
      <c r="AH47" s="23">
        <f>VLOOKUP($Q47,武学奇术!$A:$ZZ,26,FALSE)</f>
        <v>1.4902</v>
      </c>
      <c r="AI47" s="24">
        <f>VLOOKUP($Q47,武学奇术!$A:$ZZ,27,FALSE)*(1+IF(OR($AG47=$F$4,$AG47=$F$5),$B$22,0))</f>
        <v>358</v>
      </c>
      <c r="AJ47" s="23">
        <f>VLOOKUP($Q47,武学奇术!$A:$ZZ,28,FALSE)</f>
        <v>2.2353</v>
      </c>
      <c r="AK47" s="24">
        <f>VLOOKUP($Q47,武学奇术!$A:$ZZ,29,FALSE)*(1+IF(OR($AG47=$F$4,$AG47=$F$5),$B$22,0))</f>
        <v>0</v>
      </c>
      <c r="AL47" s="23" cm="1">
        <f t="array" ref="AL47">$G$3+IFERROR(VLOOKUP($AG47,$F$4:$G$7,2,FALSE),0)+VLOOKUP($Q47,武学奇术!$A:$ZZ,2,FALSE)+SUM(_xlfn.XLOOKUP($R47:$AF47,增益!$A:$A,增益!$B:$B,0))</f>
        <v>0.533</v>
      </c>
      <c r="AM47" s="23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3052.34</v>
      </c>
      <c r="AO47" cm="1">
        <f t="array" ref="AO47">$E$10*(1+$AM47)+VLOOKUP($Q47,武学奇术!$A:$ZZ,4,FALSE)+SUM(_xlfn.XLOOKUP($R47:$AF47,增益!$A:$A,增益!$D:$D,0))-$I$2</f>
        <v>3052.34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0.442</v>
      </c>
      <c r="AQ47" s="30" cm="1">
        <f t="array" ref="AQ47">$G$10+VLOOKUP($Q47,武学奇术!$A:$ZZ,7,FALSE)+SUM(_xlfn.XLOOKUP(R47:AF47,增益!$A:$A,增益!$G:$G,0))</f>
        <v>0</v>
      </c>
      <c r="AR47" s="23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-0.24</v>
      </c>
      <c r="AV47" s="30" cm="1">
        <f t="array" ref="AV47">$G$11+VLOOKUP($Q47,武学奇术!$A:$ZZ,10,FALSE)+SUM(_xlfn.XLOOKUP(R47:AF47,增益!$A:$A,增益!$J:$J,0))</f>
        <v>0</v>
      </c>
      <c r="AW47">
        <f t="shared" si="20"/>
        <v>634.5</v>
      </c>
      <c r="AX47">
        <f t="shared" si="21"/>
        <v>1443.3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0.118</v>
      </c>
      <c r="AZ47" s="30" cm="1">
        <f t="array" ref="AZ47">$G$12+VLOOKUP($Q47,武学奇术!$A:$ZZ,12,FALSE)+SUM(_xlfn.XLOOKUP(R47:AF47,增益!$A:$A,增益!$L:$L,0))</f>
        <v>0.148</v>
      </c>
      <c r="BA47">
        <f t="shared" si="13"/>
        <v>0</v>
      </c>
      <c r="BB47">
        <f t="shared" si="14"/>
        <v>0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-0.24</v>
      </c>
      <c r="BD47" s="30" cm="1">
        <f t="array" ref="BD47">$G$13+VLOOKUP($Q47,武学奇术!$A:$ZZ,14,FALSE)+SUM(_xlfn.XLOOKUP(R47:AF47,增益!$A:$A,增益!$N:$N,0))</f>
        <v>0</v>
      </c>
      <c r="BE47">
        <f t="shared" si="15"/>
        <v>0</v>
      </c>
      <c r="BF47">
        <f t="shared" si="16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-0.24</v>
      </c>
      <c r="BH47" s="30" cm="1">
        <f t="array" ref="BH47">$G$14+VLOOKUP($Q47,武学奇术!$A:$ZZ,16,FALSE)+SUM(_xlfn.XLOOKUP(R47:AF47,增益!$A:$A,增益!$P:$P,0))</f>
        <v>0</v>
      </c>
      <c r="BI47" s="23">
        <f>MIN(IF(VLOOKUP($Q47,武学奇术!$A:$ZZ,23,FALSE)=1,100%,$B$8),100%)</f>
        <v>0.8626</v>
      </c>
      <c r="BJ47" s="23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0.8697</v>
      </c>
      <c r="BK47" s="23" cm="1">
        <f t="array" ref="BK47">1+$B$13+VLOOKUP($Q47,武学奇术!$A:$ZZ,18,FALSE)+SUM(_xlfn.XLOOKUP(R47:AF47,增益!$A:$A,增益!$R:$R,0))</f>
        <v>1.85</v>
      </c>
      <c r="BL47" s="23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0.0986</v>
      </c>
      <c r="BM47" s="23" cm="1">
        <f t="array" ref="BM47">1+$B$14+VLOOKUP($Q47,武学奇术!$A:$ZZ,20,FALSE)+SUM(_xlfn.XLOOKUP(R47:AF47,增益!$A:$A,增益!$T:$T,0))</f>
        <v>1.35</v>
      </c>
      <c r="BN47" s="23">
        <f t="shared" si="11"/>
        <v>0.75020322</v>
      </c>
      <c r="BO47" s="23">
        <f t="shared" si="17"/>
        <v>0.0273444200000001</v>
      </c>
      <c r="BP47" s="23">
        <f>IF(VLOOKUP($Q47,武学奇术!$A:$ZZ,22,FALSE)=1,0,(1-$BI47))*(1-$BL47)</f>
        <v>0.12385236</v>
      </c>
      <c r="BQ47" s="23" cm="1">
        <f t="array" ref="BQ47">SUM(_xlfn.XLOOKUP(R47:AF47,增益!$A:$A,增益!$W:$W,0))</f>
        <v>0.13</v>
      </c>
    </row>
    <row r="48" spans="1:69">
      <c r="A48" t="s">
        <v>93</v>
      </c>
      <c r="B48">
        <v>2.3</v>
      </c>
      <c r="K48" s="36">
        <f t="shared" si="12"/>
        <v>100949.944300626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111609.99616856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91305.1501756016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60329.7276586809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53026.0107428422</v>
      </c>
      <c r="P48" s="37">
        <v>3</v>
      </c>
      <c r="Q48" s="38" t="s">
        <v>70</v>
      </c>
      <c r="R48" s="38" t="s">
        <v>89</v>
      </c>
      <c r="S48" s="38" t="s">
        <v>78</v>
      </c>
      <c r="T48" s="38" t="s">
        <v>79</v>
      </c>
      <c r="U48" s="38" t="s">
        <v>80</v>
      </c>
      <c r="V48" s="38" t="s">
        <v>72</v>
      </c>
      <c r="W48" s="38" t="s">
        <v>73</v>
      </c>
      <c r="X48" s="38" t="s">
        <v>72</v>
      </c>
      <c r="Y48" s="38" t="s">
        <v>72</v>
      </c>
      <c r="Z48" s="38" t="s">
        <v>72</v>
      </c>
      <c r="AA48" s="38" t="s">
        <v>72</v>
      </c>
      <c r="AB48" s="38" t="s">
        <v>72</v>
      </c>
      <c r="AC48" s="38" t="s">
        <v>72</v>
      </c>
      <c r="AD48" s="38" t="s">
        <v>72</v>
      </c>
      <c r="AE48" s="38" t="s">
        <v>90</v>
      </c>
      <c r="AF48" s="38" t="s">
        <v>74</v>
      </c>
      <c r="AG48" t="str">
        <f>VLOOKUP($Q48,武学奇术!$A:$ZZ,25,FALSE)</f>
        <v>群体奇术</v>
      </c>
      <c r="AH48" s="23">
        <f>VLOOKUP($Q48,武学奇术!$A:$ZZ,26,FALSE)</f>
        <v>1.4902</v>
      </c>
      <c r="AI48" s="24">
        <f>VLOOKUP($Q48,武学奇术!$A:$ZZ,27,FALSE)*(1+IF(OR($AG48=$F$4,$AG48=$F$5),$B$22,0))</f>
        <v>358</v>
      </c>
      <c r="AJ48" s="23">
        <f>VLOOKUP($Q48,武学奇术!$A:$ZZ,28,FALSE)</f>
        <v>2.2353</v>
      </c>
      <c r="AK48" s="24">
        <f>VLOOKUP($Q48,武学奇术!$A:$ZZ,29,FALSE)*(1+IF(OR($AG48=$F$4,$AG48=$F$5),$B$22,0))</f>
        <v>0</v>
      </c>
      <c r="AL48" s="23" cm="1">
        <f t="array" ref="AL48">$G$3+IFERROR(VLOOKUP($AG48,$F$4:$G$7,2,FALSE),0)+VLOOKUP($Q48,武学奇术!$A:$ZZ,2,FALSE)+SUM(_xlfn.XLOOKUP($R48:$AF48,增益!$A:$A,增益!$B:$B,0))</f>
        <v>0.733</v>
      </c>
      <c r="AM48" s="23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3052.34</v>
      </c>
      <c r="AO48" cm="1">
        <f t="array" ref="AO48">$E$10*(1+$AM48)+VLOOKUP($Q48,武学奇术!$A:$ZZ,4,FALSE)+SUM(_xlfn.XLOOKUP($R48:$AF48,增益!$A:$A,增益!$D:$D,0))-$I$2</f>
        <v>3052.34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0.442</v>
      </c>
      <c r="AQ48" s="30" cm="1">
        <f t="array" ref="AQ48">$G$10+VLOOKUP($Q48,武学奇术!$A:$ZZ,7,FALSE)+SUM(_xlfn.XLOOKUP(R48:AF48,增益!$A:$A,增益!$G:$G,0))</f>
        <v>0</v>
      </c>
      <c r="AR48" s="23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-0.08</v>
      </c>
      <c r="AV48" s="30" cm="1">
        <f t="array" ref="AV48">$G$11+VLOOKUP($Q48,武学奇术!$A:$ZZ,10,FALSE)+SUM(_xlfn.XLOOKUP(R48:AF48,增益!$A:$A,增益!$J:$J,0))</f>
        <v>0</v>
      </c>
      <c r="AW48">
        <f t="shared" si="20"/>
        <v>634.5</v>
      </c>
      <c r="AX48">
        <f t="shared" si="21"/>
        <v>1443.3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0.198</v>
      </c>
      <c r="AZ48" s="30" cm="1">
        <f t="array" ref="AZ48">$G$12+VLOOKUP($Q48,武学奇术!$A:$ZZ,12,FALSE)+SUM(_xlfn.XLOOKUP(R48:AF48,增益!$A:$A,增益!$L:$L,0))</f>
        <v>0.148</v>
      </c>
      <c r="BA48">
        <f t="shared" si="13"/>
        <v>0</v>
      </c>
      <c r="BB48">
        <f t="shared" si="14"/>
        <v>0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-0.08</v>
      </c>
      <c r="BD48" s="30" cm="1">
        <f t="array" ref="BD48">$G$13+VLOOKUP($Q48,武学奇术!$A:$ZZ,14,FALSE)+SUM(_xlfn.XLOOKUP(R48:AF48,增益!$A:$A,增益!$N:$N,0))</f>
        <v>0</v>
      </c>
      <c r="BE48">
        <f t="shared" si="15"/>
        <v>0</v>
      </c>
      <c r="BF48">
        <f t="shared" si="16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-0.08</v>
      </c>
      <c r="BH48" s="30" cm="1">
        <f t="array" ref="BH48">$G$14+VLOOKUP($Q48,武学奇术!$A:$ZZ,16,FALSE)+SUM(_xlfn.XLOOKUP(R48:AF48,增益!$A:$A,增益!$P:$P,0))</f>
        <v>0</v>
      </c>
      <c r="BI48" s="23">
        <f>MIN(IF(VLOOKUP($Q48,武学奇术!$A:$ZZ,23,FALSE)=1,100%,$B$8),100%)</f>
        <v>0.8626</v>
      </c>
      <c r="BJ48" s="23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0.8697</v>
      </c>
      <c r="BK48" s="23" cm="1">
        <f t="array" ref="BK48">1+$B$13+VLOOKUP($Q48,武学奇术!$A:$ZZ,18,FALSE)+SUM(_xlfn.XLOOKUP(R48:AF48,增益!$A:$A,增益!$R:$R,0))</f>
        <v>1.85</v>
      </c>
      <c r="BL48" s="23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0.0986</v>
      </c>
      <c r="BM48" s="23" cm="1">
        <f t="array" ref="BM48">1+$B$14+VLOOKUP($Q48,武学奇术!$A:$ZZ,20,FALSE)+SUM(_xlfn.XLOOKUP(R48:AF48,增益!$A:$A,增益!$T:$T,0))</f>
        <v>1.35</v>
      </c>
      <c r="BN48" s="23">
        <f t="shared" si="11"/>
        <v>0.75020322</v>
      </c>
      <c r="BO48" s="23">
        <f t="shared" si="17"/>
        <v>0.0273444200000001</v>
      </c>
      <c r="BP48" s="23">
        <f>IF(VLOOKUP($Q48,武学奇术!$A:$ZZ,22,FALSE)=1,0,(1-$BI48))*(1-$BL48)</f>
        <v>0.12385236</v>
      </c>
      <c r="BQ48" s="23" cm="1">
        <f t="array" ref="BQ48">SUM(_xlfn.XLOOKUP(R48:AF48,增益!$A:$A,增益!$W:$W,0))</f>
        <v>0.13</v>
      </c>
    </row>
    <row r="49" spans="1:69">
      <c r="A49" t="s">
        <v>144</v>
      </c>
      <c r="B49">
        <v>1</v>
      </c>
      <c r="K49" s="36">
        <f t="shared" si="12"/>
        <v>14984.8701863245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16642.0161381771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13245.7408387201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8758.95586219846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7706.25184386353</v>
      </c>
      <c r="P49" s="37">
        <v>1</v>
      </c>
      <c r="Q49" s="38" t="s">
        <v>102</v>
      </c>
      <c r="R49" s="38" t="s">
        <v>89</v>
      </c>
      <c r="S49" s="38" t="s">
        <v>72</v>
      </c>
      <c r="T49" s="38" t="s">
        <v>72</v>
      </c>
      <c r="U49" s="38" t="s">
        <v>111</v>
      </c>
      <c r="V49" s="38" t="s">
        <v>72</v>
      </c>
      <c r="W49" s="38" t="s">
        <v>104</v>
      </c>
      <c r="X49" s="38" t="s">
        <v>72</v>
      </c>
      <c r="Y49" s="38" t="s">
        <v>72</v>
      </c>
      <c r="Z49" s="38" t="s">
        <v>72</v>
      </c>
      <c r="AA49" s="38" t="s">
        <v>68</v>
      </c>
      <c r="AB49" s="38" t="s">
        <v>72</v>
      </c>
      <c r="AC49" s="38" t="s">
        <v>72</v>
      </c>
      <c r="AD49" s="38" t="s">
        <v>72</v>
      </c>
      <c r="AE49" s="38" t="s">
        <v>90</v>
      </c>
      <c r="AF49" s="38" t="s">
        <v>74</v>
      </c>
      <c r="AG49" t="str">
        <f>VLOOKUP($Q49,武学奇术!$A:$ZZ,25,FALSE)</f>
        <v>陌刀</v>
      </c>
      <c r="AH49" s="23">
        <f>VLOOKUP($Q49,武学奇术!$A:$ZZ,26,FALSE)</f>
        <v>0.5</v>
      </c>
      <c r="AI49" s="24">
        <f>VLOOKUP($Q49,武学奇术!$A:$ZZ,27,FALSE)*(1+IF(OR($AG49=$F$4,$AG49=$F$5),$B$22,0))</f>
        <v>0</v>
      </c>
      <c r="AJ49" s="23">
        <f>VLOOKUP($Q49,武学奇术!$A:$ZZ,28,FALSE)</f>
        <v>0.75</v>
      </c>
      <c r="AK49" s="24">
        <f>VLOOKUP($Q49,武学奇术!$A:$ZZ,29,FALSE)*(1+IF(OR($AG49=$F$4,$AG49=$F$5),$B$22,0))</f>
        <v>0</v>
      </c>
      <c r="AL49" s="23" cm="1">
        <f t="array" ref="AL49">$G$3+IFERROR(VLOOKUP($AG49,$F$4:$G$7,2,FALSE),0)+VLOOKUP($Q49,武学奇术!$A:$ZZ,2,FALSE)+SUM(_xlfn.XLOOKUP($R49:$AF49,增益!$A:$A,增益!$B:$B,0))</f>
        <v>0.813</v>
      </c>
      <c r="AM49" s="23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3052.34</v>
      </c>
      <c r="AO49" cm="1">
        <f t="array" ref="AO49">$E$10*(1+$AM49)+VLOOKUP($Q49,武学奇术!$A:$ZZ,4,FALSE)+SUM(_xlfn.XLOOKUP($R49:$AF49,增益!$A:$A,增益!$D:$D,0))-$I$2</f>
        <v>3052.34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0.467</v>
      </c>
      <c r="AQ49" s="30" cm="1">
        <f t="array" ref="AQ49">$G$10+VLOOKUP($Q49,武学奇术!$A:$ZZ,7,FALSE)+SUM(_xlfn.XLOOKUP(R49:AF49,增益!$A:$A,增益!$G:$G,0))</f>
        <v>0</v>
      </c>
      <c r="AR49" s="23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-0.24</v>
      </c>
      <c r="AV49" s="30" cm="1">
        <f t="array" ref="AV49">$G$11+VLOOKUP($Q49,武学奇术!$A:$ZZ,10,FALSE)+SUM(_xlfn.XLOOKUP(R49:AF49,增益!$A:$A,增益!$J:$J,0))</f>
        <v>0</v>
      </c>
      <c r="AW49">
        <f t="shared" si="20"/>
        <v>634.5</v>
      </c>
      <c r="AX49">
        <f t="shared" si="21"/>
        <v>1443.3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0.118</v>
      </c>
      <c r="AZ49" s="30" cm="1">
        <f t="array" ref="AZ49">$G$12+VLOOKUP($Q49,武学奇术!$A:$ZZ,12,FALSE)+SUM(_xlfn.XLOOKUP(R49:AF49,增益!$A:$A,增益!$L:$L,0))</f>
        <v>0.148</v>
      </c>
      <c r="BA49">
        <f t="shared" si="13"/>
        <v>0</v>
      </c>
      <c r="BB49">
        <f t="shared" si="14"/>
        <v>0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-0.24</v>
      </c>
      <c r="BD49" s="30" cm="1">
        <f t="array" ref="BD49">$G$13+VLOOKUP($Q49,武学奇术!$A:$ZZ,14,FALSE)+SUM(_xlfn.XLOOKUP(R49:AF49,增益!$A:$A,增益!$N:$N,0))</f>
        <v>0</v>
      </c>
      <c r="BE49">
        <f t="shared" si="15"/>
        <v>0</v>
      </c>
      <c r="BF49">
        <f t="shared" si="16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-0.24</v>
      </c>
      <c r="BH49" s="30" cm="1">
        <f t="array" ref="BH49">$G$14+VLOOKUP($Q49,武学奇术!$A:$ZZ,16,FALSE)+SUM(_xlfn.XLOOKUP(R49:AF49,增益!$A:$A,增益!$P:$P,0))</f>
        <v>0</v>
      </c>
      <c r="BI49" s="23">
        <f>MIN(IF(VLOOKUP($Q49,武学奇术!$A:$ZZ,23,FALSE)=1,100%,$B$8),100%)</f>
        <v>0.8626</v>
      </c>
      <c r="BJ49" s="23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0.8697</v>
      </c>
      <c r="BK49" s="23" cm="1">
        <f t="array" ref="BK49">1+$B$13+VLOOKUP($Q49,武学奇术!$A:$ZZ,18,FALSE)+SUM(_xlfn.XLOOKUP(R49:AF49,增益!$A:$A,增益!$R:$R,0))</f>
        <v>1.9</v>
      </c>
      <c r="BL49" s="23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0.0986</v>
      </c>
      <c r="BM49" s="23" cm="1">
        <f t="array" ref="BM49">1+$B$14+VLOOKUP($Q49,武学奇术!$A:$ZZ,20,FALSE)+SUM(_xlfn.XLOOKUP(R49:AF49,增益!$A:$A,增益!$T:$T,0))</f>
        <v>1.35</v>
      </c>
      <c r="BN49" s="23">
        <f t="shared" si="11"/>
        <v>0.75020322</v>
      </c>
      <c r="BO49" s="23">
        <f t="shared" si="17"/>
        <v>0.0273444200000001</v>
      </c>
      <c r="BP49" s="23">
        <f>IF(VLOOKUP($Q49,武学奇术!$A:$ZZ,22,FALSE)=1,0,(1-$BI49))*(1-$BL49)</f>
        <v>0.12385236</v>
      </c>
      <c r="BQ49" s="23" cm="1">
        <f t="array" ref="BQ49">SUM(_xlfn.XLOOKUP(R49:AF49,增益!$A:$A,增益!$W:$W,0))</f>
        <v>0.13</v>
      </c>
    </row>
    <row r="50" spans="1:69">
      <c r="A50" s="4" t="s">
        <v>149</v>
      </c>
      <c r="B50" s="4">
        <v>2.3</v>
      </c>
      <c r="K50" s="36">
        <f t="shared" si="12"/>
        <v>26972.766335384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29955.6290487187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23842.3335096961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15766.1205519572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13871.2533189544</v>
      </c>
      <c r="P50" s="37">
        <v>1</v>
      </c>
      <c r="Q50" s="38" t="s">
        <v>136</v>
      </c>
      <c r="R50" s="38" t="s">
        <v>89</v>
      </c>
      <c r="S50" s="38" t="s">
        <v>72</v>
      </c>
      <c r="T50" s="38" t="s">
        <v>72</v>
      </c>
      <c r="U50" s="38" t="s">
        <v>111</v>
      </c>
      <c r="V50" s="38" t="s">
        <v>72</v>
      </c>
      <c r="W50" s="38" t="s">
        <v>104</v>
      </c>
      <c r="X50" s="38" t="s">
        <v>72</v>
      </c>
      <c r="Y50" s="38" t="s">
        <v>72</v>
      </c>
      <c r="Z50" s="38" t="s">
        <v>72</v>
      </c>
      <c r="AA50" s="38" t="s">
        <v>68</v>
      </c>
      <c r="AB50" s="38" t="s">
        <v>72</v>
      </c>
      <c r="AC50" s="38" t="s">
        <v>72</v>
      </c>
      <c r="AD50" s="38" t="s">
        <v>72</v>
      </c>
      <c r="AE50" s="38" t="s">
        <v>90</v>
      </c>
      <c r="AF50" s="38" t="s">
        <v>74</v>
      </c>
      <c r="AG50" t="str">
        <f>VLOOKUP($Q50,武学奇术!$A:$ZZ,25,FALSE)</f>
        <v>陌刀</v>
      </c>
      <c r="AH50" s="23">
        <f>VLOOKUP($Q50,武学奇术!$A:$ZZ,26,FALSE)</f>
        <v>0.9</v>
      </c>
      <c r="AI50" s="24">
        <f>VLOOKUP($Q50,武学奇术!$A:$ZZ,27,FALSE)*(1+IF(OR($AG50=$F$4,$AG50=$F$5),$B$22,0))</f>
        <v>0</v>
      </c>
      <c r="AJ50" s="23">
        <f>VLOOKUP($Q50,武学奇术!$A:$ZZ,28,FALSE)</f>
        <v>1.35</v>
      </c>
      <c r="AK50" s="24">
        <f>VLOOKUP($Q50,武学奇术!$A:$ZZ,29,FALSE)*(1+IF(OR($AG50=$F$4,$AG50=$F$5),$B$22,0))</f>
        <v>0</v>
      </c>
      <c r="AL50" s="23" cm="1">
        <f t="array" ref="AL50">$G$3+IFERROR(VLOOKUP($AG50,$F$4:$G$7,2,FALSE),0)+VLOOKUP($Q50,武学奇术!$A:$ZZ,2,FALSE)+SUM(_xlfn.XLOOKUP($R50:$AF50,增益!$A:$A,增益!$B:$B,0))</f>
        <v>0.813</v>
      </c>
      <c r="AM50" s="23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3052.34</v>
      </c>
      <c r="AO50" cm="1">
        <f t="array" ref="AO50">$E$10*(1+$AM50)+VLOOKUP($Q50,武学奇术!$A:$ZZ,4,FALSE)+SUM(_xlfn.XLOOKUP($R50:$AF50,增益!$A:$A,增益!$D:$D,0))-$I$2</f>
        <v>3052.34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0.467</v>
      </c>
      <c r="AQ50" s="30" cm="1">
        <f t="array" ref="AQ50">$G$10+VLOOKUP($Q50,武学奇术!$A:$ZZ,7,FALSE)+SUM(_xlfn.XLOOKUP(R50:AF50,增益!$A:$A,增益!$G:$G,0))</f>
        <v>0</v>
      </c>
      <c r="AR50" s="23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-0.24</v>
      </c>
      <c r="AV50" s="30" cm="1">
        <f t="array" ref="AV50">$G$11+VLOOKUP($Q50,武学奇术!$A:$ZZ,10,FALSE)+SUM(_xlfn.XLOOKUP(R50:AF50,增益!$A:$A,增益!$J:$J,0))</f>
        <v>0</v>
      </c>
      <c r="AW50">
        <f t="shared" si="20"/>
        <v>634.5</v>
      </c>
      <c r="AX50">
        <f t="shared" si="21"/>
        <v>1443.3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0.118</v>
      </c>
      <c r="AZ50" s="30" cm="1">
        <f t="array" ref="AZ50">$G$12+VLOOKUP($Q50,武学奇术!$A:$ZZ,12,FALSE)+SUM(_xlfn.XLOOKUP(R50:AF50,增益!$A:$A,增益!$L:$L,0))</f>
        <v>0.148</v>
      </c>
      <c r="BA50">
        <f t="shared" si="13"/>
        <v>0</v>
      </c>
      <c r="BB50">
        <f t="shared" si="14"/>
        <v>0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-0.24</v>
      </c>
      <c r="BD50" s="30" cm="1">
        <f t="array" ref="BD50">$G$13+VLOOKUP($Q50,武学奇术!$A:$ZZ,14,FALSE)+SUM(_xlfn.XLOOKUP(R50:AF50,增益!$A:$A,增益!$N:$N,0))</f>
        <v>0</v>
      </c>
      <c r="BE50">
        <f t="shared" si="15"/>
        <v>0</v>
      </c>
      <c r="BF50">
        <f t="shared" si="16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-0.24</v>
      </c>
      <c r="BH50" s="30" cm="1">
        <f t="array" ref="BH50">$G$14+VLOOKUP($Q50,武学奇术!$A:$ZZ,16,FALSE)+SUM(_xlfn.XLOOKUP(R50:AF50,增益!$A:$A,增益!$P:$P,0))</f>
        <v>0</v>
      </c>
      <c r="BI50" s="23">
        <f>MIN(IF(VLOOKUP($Q50,武学奇术!$A:$ZZ,23,FALSE)=1,100%,$B$8),100%)</f>
        <v>0.8626</v>
      </c>
      <c r="BJ50" s="23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0.8697</v>
      </c>
      <c r="BK50" s="23" cm="1">
        <f t="array" ref="BK50">1+$B$13+VLOOKUP($Q50,武学奇术!$A:$ZZ,18,FALSE)+SUM(_xlfn.XLOOKUP(R50:AF50,增益!$A:$A,增益!$R:$R,0))</f>
        <v>1.9</v>
      </c>
      <c r="BL50" s="23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0.0986</v>
      </c>
      <c r="BM50" s="23" cm="1">
        <f t="array" ref="BM50">1+$B$14+VLOOKUP($Q50,武学奇术!$A:$ZZ,20,FALSE)+SUM(_xlfn.XLOOKUP(R50:AF50,增益!$A:$A,增益!$T:$T,0))</f>
        <v>1.35</v>
      </c>
      <c r="BN50" s="23">
        <f t="shared" si="11"/>
        <v>0.75020322</v>
      </c>
      <c r="BO50" s="23">
        <f t="shared" si="17"/>
        <v>0.0273444200000001</v>
      </c>
      <c r="BP50" s="23">
        <f>IF(VLOOKUP($Q50,武学奇术!$A:$ZZ,22,FALSE)=1,0,(1-$BI50))*(1-$BL50)</f>
        <v>0.12385236</v>
      </c>
      <c r="BQ50" s="23" cm="1">
        <f t="array" ref="BQ50">SUM(_xlfn.XLOOKUP(R50:AF50,增益!$A:$A,增益!$W:$W,0))</f>
        <v>0.13</v>
      </c>
    </row>
    <row r="51" spans="1:69">
      <c r="A51" s="4" t="s">
        <v>149</v>
      </c>
      <c r="B51" s="4">
        <v>2.3</v>
      </c>
      <c r="K51" s="36">
        <f t="shared" si="12"/>
        <v>184979.108679542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205451.931685492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161374.954207387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108132.595623943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96728.188131304</v>
      </c>
      <c r="P51" s="37">
        <v>1</v>
      </c>
      <c r="Q51" s="38" t="s">
        <v>137</v>
      </c>
      <c r="R51" s="38" t="s">
        <v>89</v>
      </c>
      <c r="S51" s="38" t="s">
        <v>72</v>
      </c>
      <c r="T51" s="38" t="s">
        <v>72</v>
      </c>
      <c r="U51" s="38" t="s">
        <v>111</v>
      </c>
      <c r="V51" s="38" t="s">
        <v>72</v>
      </c>
      <c r="W51" s="38" t="s">
        <v>112</v>
      </c>
      <c r="X51" s="38" t="s">
        <v>72</v>
      </c>
      <c r="Y51" s="38" t="s">
        <v>72</v>
      </c>
      <c r="Z51" s="38" t="s">
        <v>72</v>
      </c>
      <c r="AA51" s="38" t="s">
        <v>72</v>
      </c>
      <c r="AB51" s="38" t="s">
        <v>72</v>
      </c>
      <c r="AC51" s="38" t="s">
        <v>72</v>
      </c>
      <c r="AD51" s="38" t="s">
        <v>72</v>
      </c>
      <c r="AE51" s="38" t="s">
        <v>90</v>
      </c>
      <c r="AF51" s="38" t="s">
        <v>74</v>
      </c>
      <c r="AG51" t="str">
        <f>VLOOKUP($Q51,武学奇术!$A:$ZZ,25,FALSE)</f>
        <v>陌刀</v>
      </c>
      <c r="AH51" s="23">
        <f>VLOOKUP($Q51,武学奇术!$A:$ZZ,26,FALSE)</f>
        <v>5.733</v>
      </c>
      <c r="AI51" s="24">
        <f>VLOOKUP($Q51,武学奇术!$A:$ZZ,27,FALSE)*(1+IF(OR($AG51=$F$4,$AG51=$F$5),$B$22,0))</f>
        <v>2060.5</v>
      </c>
      <c r="AJ51" s="23">
        <f>VLOOKUP($Q51,武学奇术!$A:$ZZ,28,FALSE)</f>
        <v>8.5994</v>
      </c>
      <c r="AK51" s="24">
        <f>VLOOKUP($Q51,武学奇术!$A:$ZZ,29,FALSE)*(1+IF(OR($AG51=$F$4,$AG51=$F$5),$B$22,0))</f>
        <v>1121.9</v>
      </c>
      <c r="AL51" s="23" cm="1">
        <f t="array" ref="AL51">$G$3+IFERROR(VLOOKUP($AG51,$F$4:$G$7,2,FALSE),0)+VLOOKUP($Q51,武学奇术!$A:$ZZ,2,FALSE)+SUM(_xlfn.XLOOKUP($R51:$AF51,增益!$A:$A,增益!$B:$B,0))</f>
        <v>0.713</v>
      </c>
      <c r="AM51" s="23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3052.34</v>
      </c>
      <c r="AO51" cm="1">
        <f t="array" ref="AO51">$E$10*(1+$AM51)+VLOOKUP($Q51,武学奇术!$A:$ZZ,4,FALSE)+SUM(_xlfn.XLOOKUP($R51:$AF51,增益!$A:$A,增益!$D:$D,0))-$I$2</f>
        <v>3052.34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0.467</v>
      </c>
      <c r="AQ51" s="30" cm="1">
        <f t="array" ref="AQ51">$G$10+VLOOKUP($Q51,武学奇术!$A:$ZZ,7,FALSE)+SUM(_xlfn.XLOOKUP(R51:AF51,增益!$A:$A,增益!$G:$G,0))</f>
        <v>0</v>
      </c>
      <c r="AR51" s="23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-0.24</v>
      </c>
      <c r="AV51" s="30" cm="1">
        <f t="array" ref="AV51">$G$11+VLOOKUP($Q51,武学奇术!$A:$ZZ,10,FALSE)+SUM(_xlfn.XLOOKUP(R51:AF51,增益!$A:$A,增益!$J:$J,0))</f>
        <v>0</v>
      </c>
      <c r="AW51">
        <f t="shared" si="20"/>
        <v>634.5</v>
      </c>
      <c r="AX51">
        <f t="shared" si="21"/>
        <v>1443.3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0.118</v>
      </c>
      <c r="AZ51" s="30" cm="1">
        <f t="array" ref="AZ51">$G$12+VLOOKUP($Q51,武学奇术!$A:$ZZ,12,FALSE)+SUM(_xlfn.XLOOKUP(R51:AF51,增益!$A:$A,增益!$L:$L,0))</f>
        <v>0.148</v>
      </c>
      <c r="BA51">
        <f t="shared" si="13"/>
        <v>0</v>
      </c>
      <c r="BB51">
        <f t="shared" si="14"/>
        <v>0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-0.24</v>
      </c>
      <c r="BD51" s="30" cm="1">
        <f t="array" ref="BD51">$G$13+VLOOKUP($Q51,武学奇术!$A:$ZZ,14,FALSE)+SUM(_xlfn.XLOOKUP(R51:AF51,增益!$A:$A,增益!$N:$N,0))</f>
        <v>0</v>
      </c>
      <c r="BE51">
        <f t="shared" si="15"/>
        <v>0</v>
      </c>
      <c r="BF51">
        <f t="shared" si="16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-0.24</v>
      </c>
      <c r="BH51" s="30" cm="1">
        <f t="array" ref="BH51">$G$14+VLOOKUP($Q51,武学奇术!$A:$ZZ,16,FALSE)+SUM(_xlfn.XLOOKUP(R51:AF51,增益!$A:$A,增益!$P:$P,0))</f>
        <v>0</v>
      </c>
      <c r="BI51" s="23">
        <f>MIN(IF(VLOOKUP($Q51,武学奇术!$A:$ZZ,23,FALSE)=1,100%,$B$8),100%)</f>
        <v>0.8626</v>
      </c>
      <c r="BJ51" s="23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0.8697</v>
      </c>
      <c r="BK51" s="23" cm="1">
        <f t="array" ref="BK51">1+$B$13+VLOOKUP($Q51,武学奇术!$A:$ZZ,18,FALSE)+SUM(_xlfn.XLOOKUP(R51:AF51,增益!$A:$A,增益!$R:$R,0))</f>
        <v>1.9</v>
      </c>
      <c r="BL51" s="23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0.0986</v>
      </c>
      <c r="BM51" s="23" cm="1">
        <f t="array" ref="BM51">1+$B$14+VLOOKUP($Q51,武学奇术!$A:$ZZ,20,FALSE)+SUM(_xlfn.XLOOKUP(R51:AF51,增益!$A:$A,增益!$T:$T,0))</f>
        <v>1.35</v>
      </c>
      <c r="BN51" s="23">
        <f t="shared" si="11"/>
        <v>0.75020322</v>
      </c>
      <c r="BO51" s="23">
        <f t="shared" si="17"/>
        <v>0.0273444200000001</v>
      </c>
      <c r="BP51" s="23">
        <f>IF(VLOOKUP($Q51,武学奇术!$A:$ZZ,22,FALSE)=1,0,(1-$BI51))*(1-$BL51)</f>
        <v>0.12385236</v>
      </c>
      <c r="BQ51" s="23" cm="1">
        <f t="array" ref="BQ51">SUM(_xlfn.XLOOKUP(R51:AF51,增益!$A:$A,增益!$W:$W,0))</f>
        <v>0.13</v>
      </c>
    </row>
    <row r="52" spans="1:69">
      <c r="A52" s="4" t="s">
        <v>149</v>
      </c>
      <c r="B52" s="4">
        <v>2.3</v>
      </c>
      <c r="K52" s="36">
        <f t="shared" si="12"/>
        <v>27529.9923510958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30439.5115195232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24582.0967764888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16453.7900105531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14698.6194459292</v>
      </c>
      <c r="P52" s="37">
        <v>1</v>
      </c>
      <c r="Q52" s="38" t="s">
        <v>143</v>
      </c>
      <c r="R52" s="38" t="s">
        <v>89</v>
      </c>
      <c r="S52" s="38" t="s">
        <v>72</v>
      </c>
      <c r="T52" s="38" t="s">
        <v>72</v>
      </c>
      <c r="U52" s="38" t="s">
        <v>80</v>
      </c>
      <c r="V52" s="38" t="s">
        <v>72</v>
      </c>
      <c r="W52" s="38" t="s">
        <v>73</v>
      </c>
      <c r="X52" s="38" t="s">
        <v>72</v>
      </c>
      <c r="Y52" s="38" t="s">
        <v>72</v>
      </c>
      <c r="Z52" s="38" t="s">
        <v>72</v>
      </c>
      <c r="AA52" s="38" t="s">
        <v>72</v>
      </c>
      <c r="AB52" s="38" t="s">
        <v>72</v>
      </c>
      <c r="AC52" s="38" t="s">
        <v>72</v>
      </c>
      <c r="AD52" s="38" t="s">
        <v>72</v>
      </c>
      <c r="AE52" s="38" t="s">
        <v>90</v>
      </c>
      <c r="AF52" s="38" t="s">
        <v>74</v>
      </c>
      <c r="AG52" t="str">
        <f>VLOOKUP($Q52,武学奇术!$A:$ZZ,25,FALSE)</f>
        <v>横刀</v>
      </c>
      <c r="AH52" s="23">
        <f>VLOOKUP($Q52,武学奇术!$A:$ZZ,26,FALSE)</f>
        <v>1.2338</v>
      </c>
      <c r="AI52" s="24">
        <f>VLOOKUP($Q52,武学奇术!$A:$ZZ,27,FALSE)*(1+IF(OR($AG52=$F$4,$AG52=$F$5),$B$22,0))</f>
        <v>444.6</v>
      </c>
      <c r="AJ52" s="23">
        <f>VLOOKUP($Q52,武学奇术!$A:$ZZ,28,FALSE)</f>
        <v>1.8507</v>
      </c>
      <c r="AK52" s="24">
        <f>VLOOKUP($Q52,武学奇术!$A:$ZZ,29,FALSE)*(1+IF(OR($AG52=$F$4,$AG52=$F$5),$B$22,0))</f>
        <v>241.8</v>
      </c>
      <c r="AL52" s="23" cm="1">
        <f t="array" ref="AL52">$G$3+IFERROR(VLOOKUP($AG52,$F$4:$G$7,2,FALSE),0)+VLOOKUP($Q52,武学奇术!$A:$ZZ,2,FALSE)+SUM(_xlfn.XLOOKUP($R52:$AF52,增益!$A:$A,增益!$B:$B,0))</f>
        <v>0.617</v>
      </c>
      <c r="AM52" s="23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3052.34</v>
      </c>
      <c r="AO52" cm="1">
        <f t="array" ref="AO52">$E$10*(1+$AM52)+VLOOKUP($Q52,武学奇术!$A:$ZZ,4,FALSE)+SUM(_xlfn.XLOOKUP($R52:$AF52,增益!$A:$A,增益!$D:$D,0))-$I$2</f>
        <v>3052.34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0.442</v>
      </c>
      <c r="AQ52" s="30" cm="1">
        <f t="array" ref="AQ52">$G$10+VLOOKUP($Q52,武学奇术!$A:$ZZ,7,FALSE)+SUM(_xlfn.XLOOKUP(R52:AF52,增益!$A:$A,增益!$G:$G,0))</f>
        <v>0</v>
      </c>
      <c r="AR52" s="23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-0.24</v>
      </c>
      <c r="AV52" s="30" cm="1">
        <f t="array" ref="AV52">$G$11+VLOOKUP($Q52,武学奇术!$A:$ZZ,10,FALSE)+SUM(_xlfn.XLOOKUP(R52:AF52,增益!$A:$A,增益!$J:$J,0))</f>
        <v>0</v>
      </c>
      <c r="AW52">
        <f t="shared" si="20"/>
        <v>634.5</v>
      </c>
      <c r="AX52">
        <f t="shared" si="21"/>
        <v>1443.3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0.118</v>
      </c>
      <c r="AZ52" s="30" cm="1">
        <f t="array" ref="AZ52">$G$12+VLOOKUP($Q52,武学奇术!$A:$ZZ,12,FALSE)+SUM(_xlfn.XLOOKUP(R52:AF52,增益!$A:$A,增益!$L:$L,0))</f>
        <v>0.148</v>
      </c>
      <c r="BA52">
        <f t="shared" si="13"/>
        <v>0</v>
      </c>
      <c r="BB52">
        <f t="shared" si="14"/>
        <v>0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-0.24</v>
      </c>
      <c r="BD52" s="30" cm="1">
        <f t="array" ref="BD52">$G$13+VLOOKUP($Q52,武学奇术!$A:$ZZ,14,FALSE)+SUM(_xlfn.XLOOKUP(R52:AF52,增益!$A:$A,增益!$N:$N,0))</f>
        <v>0</v>
      </c>
      <c r="BE52">
        <f t="shared" si="15"/>
        <v>0</v>
      </c>
      <c r="BF52">
        <f t="shared" si="16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-0.24</v>
      </c>
      <c r="BH52" s="30" cm="1">
        <f t="array" ref="BH52">$G$14+VLOOKUP($Q52,武学奇术!$A:$ZZ,16,FALSE)+SUM(_xlfn.XLOOKUP(R52:AF52,增益!$A:$A,增益!$P:$P,0))</f>
        <v>0</v>
      </c>
      <c r="BI52" s="23">
        <f>MIN(IF(VLOOKUP($Q52,武学奇术!$A:$ZZ,23,FALSE)=1,100%,$B$8),100%)</f>
        <v>0.8626</v>
      </c>
      <c r="BJ52" s="23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0.8697</v>
      </c>
      <c r="BK52" s="23" cm="1">
        <f t="array" ref="BK52">1+$B$13+VLOOKUP($Q52,武学奇术!$A:$ZZ,18,FALSE)+SUM(_xlfn.XLOOKUP(R52:AF52,增益!$A:$A,增益!$R:$R,0))</f>
        <v>1.85</v>
      </c>
      <c r="BL52" s="23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0.0986</v>
      </c>
      <c r="BM52" s="23" cm="1">
        <f t="array" ref="BM52">1+$B$14+VLOOKUP($Q52,武学奇术!$A:$ZZ,20,FALSE)+SUM(_xlfn.XLOOKUP(R52:AF52,增益!$A:$A,增益!$T:$T,0))</f>
        <v>1.35</v>
      </c>
      <c r="BN52" s="23">
        <f t="shared" si="11"/>
        <v>0.75020322</v>
      </c>
      <c r="BO52" s="23">
        <f t="shared" si="17"/>
        <v>0.0273444200000001</v>
      </c>
      <c r="BP52" s="23">
        <f>IF(VLOOKUP($Q52,武学奇术!$A:$ZZ,22,FALSE)=1,0,(1-$BI52))*(1-$BL52)</f>
        <v>0.12385236</v>
      </c>
      <c r="BQ52" s="23" cm="1">
        <f t="array" ref="BQ52">SUM(_xlfn.XLOOKUP(R52:AF52,增益!$A:$A,增益!$W:$W,0))</f>
        <v>0.13</v>
      </c>
    </row>
    <row r="53" spans="1:69">
      <c r="A53" s="4" t="s">
        <v>149</v>
      </c>
      <c r="B53" s="4">
        <v>2.3</v>
      </c>
      <c r="K53" s="36">
        <f t="shared" si="12"/>
        <v>84323.3125958578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93235.0489312856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75295.2649392037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50397.3237466409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45020.3771679456</v>
      </c>
      <c r="P53" s="37">
        <v>1</v>
      </c>
      <c r="Q53" s="38" t="s">
        <v>93</v>
      </c>
      <c r="R53" s="38" t="s">
        <v>89</v>
      </c>
      <c r="S53" s="38" t="s">
        <v>72</v>
      </c>
      <c r="T53" s="38" t="s">
        <v>72</v>
      </c>
      <c r="U53" s="38" t="s">
        <v>80</v>
      </c>
      <c r="V53" s="38" t="s">
        <v>72</v>
      </c>
      <c r="W53" s="38" t="s">
        <v>73</v>
      </c>
      <c r="X53" s="38" t="s">
        <v>72</v>
      </c>
      <c r="Y53" s="38" t="s">
        <v>72</v>
      </c>
      <c r="Z53" s="38" t="s">
        <v>72</v>
      </c>
      <c r="AA53" s="38" t="s">
        <v>72</v>
      </c>
      <c r="AB53" s="38" t="s">
        <v>72</v>
      </c>
      <c r="AC53" s="38" t="s">
        <v>72</v>
      </c>
      <c r="AD53" s="38" t="s">
        <v>72</v>
      </c>
      <c r="AE53" s="38" t="s">
        <v>90</v>
      </c>
      <c r="AF53" s="38" t="s">
        <v>74</v>
      </c>
      <c r="AG53" t="str">
        <f>VLOOKUP($Q53,武学奇术!$A:$ZZ,25,FALSE)</f>
        <v>横刀</v>
      </c>
      <c r="AH53" s="23">
        <f>VLOOKUP($Q53,武学奇术!$A:$ZZ,26,FALSE)</f>
        <v>3.7797</v>
      </c>
      <c r="AI53" s="24">
        <f>VLOOKUP($Q53,武学奇术!$A:$ZZ,27,FALSE)*(1+IF(OR($AG53=$F$4,$AG53=$F$5),$B$22,0))</f>
        <v>1358.5</v>
      </c>
      <c r="AJ53" s="23">
        <f>VLOOKUP($Q53,武学奇术!$A:$ZZ,28,FALSE)</f>
        <v>5.6696</v>
      </c>
      <c r="AK53" s="24">
        <f>VLOOKUP($Q53,武学奇术!$A:$ZZ,29,FALSE)*(1+IF(OR($AG53=$F$4,$AG53=$F$5),$B$22,0))</f>
        <v>741</v>
      </c>
      <c r="AL53" s="23" cm="1">
        <f t="array" ref="AL53">$G$3+IFERROR(VLOOKUP($AG53,$F$4:$G$7,2,FALSE),0)+VLOOKUP($Q53,武学奇术!$A:$ZZ,2,FALSE)+SUM(_xlfn.XLOOKUP($R53:$AF53,增益!$A:$A,增益!$B:$B,0))</f>
        <v>0.617</v>
      </c>
      <c r="AM53" s="23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3052.34</v>
      </c>
      <c r="AO53" cm="1">
        <f t="array" ref="AO53">$E$10*(1+$AM53)+VLOOKUP($Q53,武学奇术!$A:$ZZ,4,FALSE)+SUM(_xlfn.XLOOKUP($R53:$AF53,增益!$A:$A,增益!$D:$D,0))-$I$2</f>
        <v>3052.34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0.442</v>
      </c>
      <c r="AQ53" s="30" cm="1">
        <f t="array" ref="AQ53">$G$10+VLOOKUP($Q53,武学奇术!$A:$ZZ,7,FALSE)+SUM(_xlfn.XLOOKUP(R53:AF53,增益!$A:$A,增益!$G:$G,0))</f>
        <v>0</v>
      </c>
      <c r="AR53" s="23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-0.24</v>
      </c>
      <c r="AV53" s="30" cm="1">
        <f t="array" ref="AV53">$G$11+VLOOKUP($Q53,武学奇术!$A:$ZZ,10,FALSE)+SUM(_xlfn.XLOOKUP(R53:AF53,增益!$A:$A,增益!$J:$J,0))</f>
        <v>0</v>
      </c>
      <c r="AW53">
        <f t="shared" si="20"/>
        <v>634.5</v>
      </c>
      <c r="AX53">
        <f t="shared" si="21"/>
        <v>1443.3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0.118</v>
      </c>
      <c r="AZ53" s="30" cm="1">
        <f t="array" ref="AZ53">$G$12+VLOOKUP($Q53,武学奇术!$A:$ZZ,12,FALSE)+SUM(_xlfn.XLOOKUP(R53:AF53,增益!$A:$A,增益!$L:$L,0))</f>
        <v>0.148</v>
      </c>
      <c r="BA53">
        <f t="shared" si="13"/>
        <v>0</v>
      </c>
      <c r="BB53">
        <f t="shared" si="14"/>
        <v>0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-0.24</v>
      </c>
      <c r="BD53" s="30" cm="1">
        <f t="array" ref="BD53">$G$13+VLOOKUP($Q53,武学奇术!$A:$ZZ,14,FALSE)+SUM(_xlfn.XLOOKUP(R53:AF53,增益!$A:$A,增益!$N:$N,0))</f>
        <v>0</v>
      </c>
      <c r="BE53">
        <f t="shared" si="15"/>
        <v>0</v>
      </c>
      <c r="BF53">
        <f t="shared" si="16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-0.24</v>
      </c>
      <c r="BH53" s="30" cm="1">
        <f t="array" ref="BH53">$G$14+VLOOKUP($Q53,武学奇术!$A:$ZZ,16,FALSE)+SUM(_xlfn.XLOOKUP(R53:AF53,增益!$A:$A,增益!$P:$P,0))</f>
        <v>0</v>
      </c>
      <c r="BI53" s="23">
        <f>MIN(IF(VLOOKUP($Q53,武学奇术!$A:$ZZ,23,FALSE)=1,100%,$B$8),100%)</f>
        <v>0.8626</v>
      </c>
      <c r="BJ53" s="23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0.8697</v>
      </c>
      <c r="BK53" s="23" cm="1">
        <f t="array" ref="BK53">1+$B$13+VLOOKUP($Q53,武学奇术!$A:$ZZ,18,FALSE)+SUM(_xlfn.XLOOKUP(R53:AF53,增益!$A:$A,增益!$R:$R,0))</f>
        <v>1.85</v>
      </c>
      <c r="BL53" s="23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0.0986</v>
      </c>
      <c r="BM53" s="23" cm="1">
        <f t="array" ref="BM53">1+$B$14+VLOOKUP($Q53,武学奇术!$A:$ZZ,20,FALSE)+SUM(_xlfn.XLOOKUP(R53:AF53,增益!$A:$A,增益!$T:$T,0))</f>
        <v>1.35</v>
      </c>
      <c r="BN53" s="23">
        <f t="shared" si="11"/>
        <v>0.75020322</v>
      </c>
      <c r="BO53" s="23">
        <f t="shared" si="17"/>
        <v>0.0273444200000001</v>
      </c>
      <c r="BP53" s="23">
        <f>IF(VLOOKUP($Q53,武学奇术!$A:$ZZ,22,FALSE)=1,0,(1-$BI53))*(1-$BL53)</f>
        <v>0.12385236</v>
      </c>
      <c r="BQ53" s="23" cm="1">
        <f t="array" ref="BQ53">SUM(_xlfn.XLOOKUP(R53:AF53,增益!$A:$A,增益!$W:$W,0))</f>
        <v>0.13</v>
      </c>
    </row>
    <row r="54" spans="1:69">
      <c r="A54" s="4" t="s">
        <v>151</v>
      </c>
      <c r="B54" s="4">
        <v>2</v>
      </c>
      <c r="K54" s="36">
        <f t="shared" si="12"/>
        <v>55300.3395137217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61420.7896072194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48242.8255882635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32326.7313722207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28918.0363827648</v>
      </c>
      <c r="P54" s="37">
        <v>1</v>
      </c>
      <c r="Q54" s="38" t="s">
        <v>97</v>
      </c>
      <c r="R54" s="38" t="s">
        <v>89</v>
      </c>
      <c r="S54" s="38" t="s">
        <v>78</v>
      </c>
      <c r="T54" s="38" t="s">
        <v>72</v>
      </c>
      <c r="U54" s="38" t="s">
        <v>111</v>
      </c>
      <c r="V54" s="38" t="s">
        <v>72</v>
      </c>
      <c r="W54" s="38" t="s">
        <v>73</v>
      </c>
      <c r="X54" s="38" t="s">
        <v>72</v>
      </c>
      <c r="Y54" s="38" t="s">
        <v>72</v>
      </c>
      <c r="Z54" s="38" t="s">
        <v>72</v>
      </c>
      <c r="AA54" s="38" t="s">
        <v>68</v>
      </c>
      <c r="AB54" s="38" t="s">
        <v>72</v>
      </c>
      <c r="AC54" s="38" t="s">
        <v>72</v>
      </c>
      <c r="AD54" s="38" t="s">
        <v>72</v>
      </c>
      <c r="AE54" s="38" t="s">
        <v>90</v>
      </c>
      <c r="AF54" s="38" t="s">
        <v>74</v>
      </c>
      <c r="AG54" t="str">
        <f>VLOOKUP($Q54,武学奇术!$A:$ZZ,25,FALSE)</f>
        <v>横刀</v>
      </c>
      <c r="AH54" s="23">
        <f>VLOOKUP($Q54,武学奇术!$A:$ZZ,26,FALSE)</f>
        <v>2.1324</v>
      </c>
      <c r="AI54" s="24">
        <f>VLOOKUP($Q54,武学奇术!$A:$ZZ,27,FALSE)*(1+IF(OR($AG54=$F$4,$AG54=$F$5),$B$22,0))</f>
        <v>767</v>
      </c>
      <c r="AJ54" s="23">
        <f>VLOOKUP($Q54,武学奇术!$A:$ZZ,28,FALSE)</f>
        <v>3.1986</v>
      </c>
      <c r="AK54" s="24">
        <f>VLOOKUP($Q54,武学奇术!$A:$ZZ,29,FALSE)*(1+IF(OR($AG54=$F$4,$AG54=$F$5),$B$22,0))</f>
        <v>418.6</v>
      </c>
      <c r="AL54" s="23" cm="1">
        <f t="array" ref="AL54">$G$3+IFERROR(VLOOKUP($AG54,$F$4:$G$7,2,FALSE),0)+VLOOKUP($Q54,武学奇术!$A:$ZZ,2,FALSE)+SUM(_xlfn.XLOOKUP($R54:$AF54,增益!$A:$A,增益!$B:$B,0))</f>
        <v>0.817</v>
      </c>
      <c r="AM54" s="23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3052.34</v>
      </c>
      <c r="AO54" cm="1">
        <f t="array" ref="AO54">$E$10*(1+$AM54)+VLOOKUP($Q54,武学奇术!$A:$ZZ,4,FALSE)+SUM(_xlfn.XLOOKUP($R54:$AF54,增益!$A:$A,增益!$D:$D,0))-$I$2</f>
        <v>3052.34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0.467</v>
      </c>
      <c r="AQ54" s="30" cm="1">
        <f t="array" ref="AQ54">$G$10+VLOOKUP($Q54,武学奇术!$A:$ZZ,7,FALSE)+SUM(_xlfn.XLOOKUP(R54:AF54,增益!$A:$A,增益!$G:$G,0))</f>
        <v>0</v>
      </c>
      <c r="AR54" s="23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-0.24</v>
      </c>
      <c r="AV54" s="30" cm="1">
        <f t="array" ref="AV54">$G$11+VLOOKUP($Q54,武学奇术!$A:$ZZ,10,FALSE)+SUM(_xlfn.XLOOKUP(R54:AF54,增益!$A:$A,增益!$J:$J,0))</f>
        <v>0</v>
      </c>
      <c r="AW54">
        <f t="shared" si="20"/>
        <v>634.5</v>
      </c>
      <c r="AX54">
        <f t="shared" si="21"/>
        <v>1443.3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0.118</v>
      </c>
      <c r="AZ54" s="30" cm="1">
        <f t="array" ref="AZ54">$G$12+VLOOKUP($Q54,武学奇术!$A:$ZZ,12,FALSE)+SUM(_xlfn.XLOOKUP(R54:AF54,增益!$A:$A,增益!$L:$L,0))</f>
        <v>0.148</v>
      </c>
      <c r="BA54">
        <f t="shared" si="13"/>
        <v>0</v>
      </c>
      <c r="BB54">
        <f t="shared" si="14"/>
        <v>0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-0.24</v>
      </c>
      <c r="BD54" s="30" cm="1">
        <f t="array" ref="BD54">$G$13+VLOOKUP($Q54,武学奇术!$A:$ZZ,14,FALSE)+SUM(_xlfn.XLOOKUP(R54:AF54,增益!$A:$A,增益!$N:$N,0))</f>
        <v>0</v>
      </c>
      <c r="BE54">
        <f t="shared" si="15"/>
        <v>0</v>
      </c>
      <c r="BF54">
        <f t="shared" si="16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-0.24</v>
      </c>
      <c r="BH54" s="30" cm="1">
        <f t="array" ref="BH54">$G$14+VLOOKUP($Q54,武学奇术!$A:$ZZ,16,FALSE)+SUM(_xlfn.XLOOKUP(R54:AF54,增益!$A:$A,增益!$P:$P,0))</f>
        <v>0</v>
      </c>
      <c r="BI54" s="23">
        <f>MIN(IF(VLOOKUP($Q54,武学奇术!$A:$ZZ,23,FALSE)=1,100%,$B$8),100%)</f>
        <v>0.8626</v>
      </c>
      <c r="BJ54" s="23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0.8697</v>
      </c>
      <c r="BK54" s="23" cm="1">
        <f t="array" ref="BK54">1+$B$13+VLOOKUP($Q54,武学奇术!$A:$ZZ,18,FALSE)+SUM(_xlfn.XLOOKUP(R54:AF54,增益!$A:$A,增益!$R:$R,0))</f>
        <v>1.9</v>
      </c>
      <c r="BL54" s="23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0.0986</v>
      </c>
      <c r="BM54" s="23" cm="1">
        <f t="array" ref="BM54">1+$B$14+VLOOKUP($Q54,武学奇术!$A:$ZZ,20,FALSE)+SUM(_xlfn.XLOOKUP(R54:AF54,增益!$A:$A,增益!$T:$T,0))</f>
        <v>1.35</v>
      </c>
      <c r="BN54" s="23">
        <f t="shared" si="11"/>
        <v>0.75020322</v>
      </c>
      <c r="BO54" s="23">
        <f t="shared" si="17"/>
        <v>0.0273444200000001</v>
      </c>
      <c r="BP54" s="23">
        <f>IF(VLOOKUP($Q54,武学奇术!$A:$ZZ,22,FALSE)=1,0,(1-$BI54))*(1-$BL54)</f>
        <v>0.12385236</v>
      </c>
      <c r="BQ54" s="23" cm="1">
        <f t="array" ref="BQ54">SUM(_xlfn.XLOOKUP(R54:AF54,增益!$A:$A,增益!$W:$W,0))</f>
        <v>0.13</v>
      </c>
    </row>
    <row r="55" spans="1:69">
      <c r="A55" s="4" t="s">
        <v>140</v>
      </c>
      <c r="B55" s="4">
        <v>1.3</v>
      </c>
      <c r="K55" s="36">
        <f t="shared" si="12"/>
        <v>33994.676384195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37752.889469985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30204.359129145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19869.9418263079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17366.2842976935</v>
      </c>
      <c r="P55" s="37">
        <v>1</v>
      </c>
      <c r="Q55" s="38" t="s">
        <v>99</v>
      </c>
      <c r="R55" s="38" t="s">
        <v>89</v>
      </c>
      <c r="S55" s="38" t="s">
        <v>78</v>
      </c>
      <c r="T55" s="38" t="s">
        <v>79</v>
      </c>
      <c r="U55" s="38" t="s">
        <v>111</v>
      </c>
      <c r="V55" s="38" t="s">
        <v>72</v>
      </c>
      <c r="W55" s="38" t="s">
        <v>73</v>
      </c>
      <c r="X55" s="38" t="s">
        <v>72</v>
      </c>
      <c r="Y55" s="38" t="s">
        <v>72</v>
      </c>
      <c r="Z55" s="38" t="s">
        <v>72</v>
      </c>
      <c r="AA55" s="38" t="s">
        <v>68</v>
      </c>
      <c r="AB55" s="38" t="s">
        <v>72</v>
      </c>
      <c r="AC55" s="38" t="s">
        <v>72</v>
      </c>
      <c r="AD55" s="38" t="s">
        <v>72</v>
      </c>
      <c r="AE55" s="38" t="s">
        <v>90</v>
      </c>
      <c r="AF55" s="38" t="s">
        <v>74</v>
      </c>
      <c r="AG55" t="str">
        <f>VLOOKUP($Q55,武学奇术!$A:$ZZ,25,FALSE)</f>
        <v>横刀</v>
      </c>
      <c r="AH55" s="23">
        <f>VLOOKUP($Q55,武学奇术!$A:$ZZ,26,FALSE)</f>
        <v>1.4</v>
      </c>
      <c r="AI55" s="24">
        <f>VLOOKUP($Q55,武学奇术!$A:$ZZ,27,FALSE)*(1+IF(OR($AG55=$F$4,$AG55=$F$5),$B$22,0))</f>
        <v>0</v>
      </c>
      <c r="AJ55" s="23">
        <f>VLOOKUP($Q55,武学奇术!$A:$ZZ,28,FALSE)</f>
        <v>2.1</v>
      </c>
      <c r="AK55" s="24">
        <f>VLOOKUP($Q55,武学奇术!$A:$ZZ,29,FALSE)*(1+IF(OR($AG55=$F$4,$AG55=$F$5),$B$22,0))</f>
        <v>0</v>
      </c>
      <c r="AL55" s="23" cm="1">
        <f t="array" ref="AL55">$G$3+IFERROR(VLOOKUP($AG55,$F$4:$G$7,2,FALSE),0)+VLOOKUP($Q55,武学奇术!$A:$ZZ,2,FALSE)+SUM(_xlfn.XLOOKUP($R55:$AF55,增益!$A:$A,增益!$B:$B,0))</f>
        <v>0.897</v>
      </c>
      <c r="AM55" s="23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3052.34</v>
      </c>
      <c r="AO55" cm="1">
        <f t="array" ref="AO55">$E$10*(1+$AM55)+VLOOKUP($Q55,武学奇术!$A:$ZZ,4,FALSE)+SUM(_xlfn.XLOOKUP($R55:$AF55,增益!$A:$A,增益!$D:$D,0))-$I$2</f>
        <v>3052.34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0.467</v>
      </c>
      <c r="AQ55" s="30" cm="1">
        <f t="array" ref="AQ55">$G$10+VLOOKUP($Q55,武学奇术!$A:$ZZ,7,FALSE)+SUM(_xlfn.XLOOKUP(R55:AF55,增益!$A:$A,增益!$G:$G,0))</f>
        <v>0</v>
      </c>
      <c r="AR55" s="23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-0.08</v>
      </c>
      <c r="AV55" s="30" cm="1">
        <f t="array" ref="AV55">$G$11+VLOOKUP($Q55,武学奇术!$A:$ZZ,10,FALSE)+SUM(_xlfn.XLOOKUP(R55:AF55,增益!$A:$A,增益!$J:$J,0))</f>
        <v>0</v>
      </c>
      <c r="AW55">
        <f t="shared" si="20"/>
        <v>634.5</v>
      </c>
      <c r="AX55">
        <f t="shared" si="21"/>
        <v>1443.3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0.198</v>
      </c>
      <c r="AZ55" s="30" cm="1">
        <f t="array" ref="AZ55">$G$12+VLOOKUP($Q55,武学奇术!$A:$ZZ,12,FALSE)+SUM(_xlfn.XLOOKUP(R55:AF55,增益!$A:$A,增益!$L:$L,0))</f>
        <v>0.148</v>
      </c>
      <c r="BA55">
        <f t="shared" si="13"/>
        <v>0</v>
      </c>
      <c r="BB55">
        <f t="shared" si="14"/>
        <v>0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-0.08</v>
      </c>
      <c r="BD55" s="30" cm="1">
        <f t="array" ref="BD55">$G$13+VLOOKUP($Q55,武学奇术!$A:$ZZ,14,FALSE)+SUM(_xlfn.XLOOKUP(R55:AF55,增益!$A:$A,增益!$N:$N,0))</f>
        <v>0</v>
      </c>
      <c r="BE55">
        <f t="shared" si="15"/>
        <v>0</v>
      </c>
      <c r="BF55">
        <f t="shared" si="16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-0.08</v>
      </c>
      <c r="BH55" s="30" cm="1">
        <f t="array" ref="BH55">$G$14+VLOOKUP($Q55,武学奇术!$A:$ZZ,16,FALSE)+SUM(_xlfn.XLOOKUP(R55:AF55,增益!$A:$A,增益!$P:$P,0))</f>
        <v>0</v>
      </c>
      <c r="BI55" s="23">
        <f>MIN(IF(VLOOKUP($Q55,武学奇术!$A:$ZZ,23,FALSE)=1,100%,$B$8),100%)</f>
        <v>0.8626</v>
      </c>
      <c r="BJ55" s="23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0.8697</v>
      </c>
      <c r="BK55" s="23" cm="1">
        <f t="array" ref="BK55">1+$B$13+VLOOKUP($Q55,武学奇术!$A:$ZZ,18,FALSE)+SUM(_xlfn.XLOOKUP(R55:AF55,增益!$A:$A,增益!$R:$R,0))</f>
        <v>1.9</v>
      </c>
      <c r="BL55" s="23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0.0986</v>
      </c>
      <c r="BM55" s="23" cm="1">
        <f t="array" ref="BM55">1+$B$14+VLOOKUP($Q55,武学奇术!$A:$ZZ,20,FALSE)+SUM(_xlfn.XLOOKUP(R55:AF55,增益!$A:$A,增益!$T:$T,0))</f>
        <v>1.35</v>
      </c>
      <c r="BN55" s="23">
        <f t="shared" si="11"/>
        <v>0.75020322</v>
      </c>
      <c r="BO55" s="23">
        <f t="shared" si="17"/>
        <v>0.0273444200000001</v>
      </c>
      <c r="BP55" s="23">
        <f>IF(VLOOKUP($Q55,武学奇术!$A:$ZZ,22,FALSE)=1,0,(1-$BI55))*(1-$BL55)</f>
        <v>0.12385236</v>
      </c>
      <c r="BQ55" s="23" cm="1">
        <f t="array" ref="BQ55">SUM(_xlfn.XLOOKUP(R55:AF55,增益!$A:$A,增益!$W:$W,0))</f>
        <v>0.13</v>
      </c>
    </row>
    <row r="56" spans="1:69">
      <c r="A56" s="4" t="s">
        <v>152</v>
      </c>
      <c r="B56" s="4">
        <v>3.3</v>
      </c>
      <c r="C56" t="s">
        <v>140</v>
      </c>
      <c r="K56" s="36">
        <f t="shared" si="12"/>
        <v>17006.0423038308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18886.1111122949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15109.9131906768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9940.05848015519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8687.58867092013</v>
      </c>
      <c r="P56" s="37">
        <v>1</v>
      </c>
      <c r="Q56" s="38" t="s">
        <v>102</v>
      </c>
      <c r="R56" s="38" t="s">
        <v>89</v>
      </c>
      <c r="S56" s="38" t="s">
        <v>78</v>
      </c>
      <c r="T56" s="38" t="s">
        <v>79</v>
      </c>
      <c r="U56" s="38" t="s">
        <v>111</v>
      </c>
      <c r="V56" s="38" t="s">
        <v>72</v>
      </c>
      <c r="W56" s="38" t="s">
        <v>104</v>
      </c>
      <c r="X56" s="38" t="s">
        <v>72</v>
      </c>
      <c r="Y56" s="38" t="s">
        <v>72</v>
      </c>
      <c r="Z56" s="38" t="s">
        <v>72</v>
      </c>
      <c r="AA56" s="38" t="s">
        <v>68</v>
      </c>
      <c r="AB56" s="38" t="s">
        <v>72</v>
      </c>
      <c r="AC56" s="38" t="s">
        <v>72</v>
      </c>
      <c r="AD56" s="38" t="s">
        <v>72</v>
      </c>
      <c r="AE56" s="38" t="s">
        <v>90</v>
      </c>
      <c r="AF56" s="38" t="s">
        <v>74</v>
      </c>
      <c r="AG56" t="str">
        <f>VLOOKUP($Q56,武学奇术!$A:$ZZ,25,FALSE)</f>
        <v>陌刀</v>
      </c>
      <c r="AH56" s="23">
        <f>VLOOKUP($Q56,武学奇术!$A:$ZZ,26,FALSE)</f>
        <v>0.5</v>
      </c>
      <c r="AI56" s="24">
        <f>VLOOKUP($Q56,武学奇术!$A:$ZZ,27,FALSE)*(1+IF(OR($AG56=$F$4,$AG56=$F$5),$B$22,0))</f>
        <v>0</v>
      </c>
      <c r="AJ56" s="23">
        <f>VLOOKUP($Q56,武学奇术!$A:$ZZ,28,FALSE)</f>
        <v>0.75</v>
      </c>
      <c r="AK56" s="24">
        <f>VLOOKUP($Q56,武学奇术!$A:$ZZ,29,FALSE)*(1+IF(OR($AG56=$F$4,$AG56=$F$5),$B$22,0))</f>
        <v>0</v>
      </c>
      <c r="AL56" s="23" cm="1">
        <f t="array" ref="AL56">$G$3+IFERROR(VLOOKUP($AG56,$F$4:$G$7,2,FALSE),0)+VLOOKUP($Q56,武学奇术!$A:$ZZ,2,FALSE)+SUM(_xlfn.XLOOKUP($R56:$AF56,增益!$A:$A,增益!$B:$B,0))</f>
        <v>1.013</v>
      </c>
      <c r="AM56" s="23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3052.34</v>
      </c>
      <c r="AO56" cm="1">
        <f t="array" ref="AO56">$E$10*(1+$AM56)+VLOOKUP($Q56,武学奇术!$A:$ZZ,4,FALSE)+SUM(_xlfn.XLOOKUP($R56:$AF56,增益!$A:$A,增益!$D:$D,0))-$I$2</f>
        <v>3052.34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0.467</v>
      </c>
      <c r="AQ56" s="30" cm="1">
        <f t="array" ref="AQ56">$G$10+VLOOKUP($Q56,武学奇术!$A:$ZZ,7,FALSE)+SUM(_xlfn.XLOOKUP(R56:AF56,增益!$A:$A,增益!$G:$G,0))</f>
        <v>0</v>
      </c>
      <c r="AR56" s="23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-0.08</v>
      </c>
      <c r="AV56" s="30" cm="1">
        <f t="array" ref="AV56">$G$11+VLOOKUP($Q56,武学奇术!$A:$ZZ,10,FALSE)+SUM(_xlfn.XLOOKUP(R56:AF56,增益!$A:$A,增益!$J:$J,0))</f>
        <v>0</v>
      </c>
      <c r="AW56">
        <f t="shared" si="20"/>
        <v>634.5</v>
      </c>
      <c r="AX56">
        <f t="shared" si="21"/>
        <v>1443.3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0.198</v>
      </c>
      <c r="AZ56" s="30" cm="1">
        <f t="array" ref="AZ56">$G$12+VLOOKUP($Q56,武学奇术!$A:$ZZ,12,FALSE)+SUM(_xlfn.XLOOKUP(R56:AF56,增益!$A:$A,增益!$L:$L,0))</f>
        <v>0.148</v>
      </c>
      <c r="BA56">
        <f t="shared" si="13"/>
        <v>0</v>
      </c>
      <c r="BB56">
        <f t="shared" si="14"/>
        <v>0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-0.08</v>
      </c>
      <c r="BD56" s="30" cm="1">
        <f t="array" ref="BD56">$G$13+VLOOKUP($Q56,武学奇术!$A:$ZZ,14,FALSE)+SUM(_xlfn.XLOOKUP(R56:AF56,增益!$A:$A,增益!$N:$N,0))</f>
        <v>0</v>
      </c>
      <c r="BE56">
        <f t="shared" si="15"/>
        <v>0</v>
      </c>
      <c r="BF56">
        <f t="shared" si="16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-0.08</v>
      </c>
      <c r="BH56" s="30" cm="1">
        <f t="array" ref="BH56">$G$14+VLOOKUP($Q56,武学奇术!$A:$ZZ,16,FALSE)+SUM(_xlfn.XLOOKUP(R56:AF56,增益!$A:$A,增益!$P:$P,0))</f>
        <v>0</v>
      </c>
      <c r="BI56" s="23">
        <f>MIN(IF(VLOOKUP($Q56,武学奇术!$A:$ZZ,23,FALSE)=1,100%,$B$8),100%)</f>
        <v>0.8626</v>
      </c>
      <c r="BJ56" s="23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0.8697</v>
      </c>
      <c r="BK56" s="23" cm="1">
        <f t="array" ref="BK56">1+$B$13+VLOOKUP($Q56,武学奇术!$A:$ZZ,18,FALSE)+SUM(_xlfn.XLOOKUP(R56:AF56,增益!$A:$A,增益!$R:$R,0))</f>
        <v>1.9</v>
      </c>
      <c r="BL56" s="23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0.0986</v>
      </c>
      <c r="BM56" s="23" cm="1">
        <f t="array" ref="BM56">1+$B$14+VLOOKUP($Q56,武学奇术!$A:$ZZ,20,FALSE)+SUM(_xlfn.XLOOKUP(R56:AF56,增益!$A:$A,增益!$T:$T,0))</f>
        <v>1.35</v>
      </c>
      <c r="BN56" s="23">
        <f t="shared" si="11"/>
        <v>0.75020322</v>
      </c>
      <c r="BO56" s="23">
        <f t="shared" si="17"/>
        <v>0.0273444200000001</v>
      </c>
      <c r="BP56" s="23">
        <f>IF(VLOOKUP($Q56,武学奇术!$A:$ZZ,22,FALSE)=1,0,(1-$BI56))*(1-$BL56)</f>
        <v>0.12385236</v>
      </c>
      <c r="BQ56" s="23" cm="1">
        <f t="array" ref="BQ56">SUM(_xlfn.XLOOKUP(R56:AF56,增益!$A:$A,增益!$W:$W,0))</f>
        <v>0.13</v>
      </c>
    </row>
    <row r="57" spans="1:69">
      <c r="A57" t="s">
        <v>143</v>
      </c>
      <c r="B57">
        <v>1</v>
      </c>
      <c r="D57" s="4"/>
      <c r="E57" s="4"/>
      <c r="K57" s="36">
        <f t="shared" si="12"/>
        <v>39760.2339206207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39760.2339206207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30219.8263813536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19880.1169603104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17375.1773418403</v>
      </c>
      <c r="P57" s="37">
        <v>2</v>
      </c>
      <c r="Q57" s="38" t="s">
        <v>114</v>
      </c>
      <c r="R57" s="38" t="s">
        <v>89</v>
      </c>
      <c r="S57" s="38" t="s">
        <v>78</v>
      </c>
      <c r="T57" s="38" t="s">
        <v>79</v>
      </c>
      <c r="U57" s="38" t="s">
        <v>111</v>
      </c>
      <c r="V57" s="38" t="s">
        <v>107</v>
      </c>
      <c r="W57" s="38" t="s">
        <v>104</v>
      </c>
      <c r="X57" s="38" t="s">
        <v>72</v>
      </c>
      <c r="Y57" s="38" t="s">
        <v>72</v>
      </c>
      <c r="Z57" s="38" t="s">
        <v>72</v>
      </c>
      <c r="AA57" s="38" t="s">
        <v>68</v>
      </c>
      <c r="AB57" s="38" t="s">
        <v>72</v>
      </c>
      <c r="AC57" s="38" t="s">
        <v>72</v>
      </c>
      <c r="AD57" s="38" t="s">
        <v>72</v>
      </c>
      <c r="AE57" s="38" t="s">
        <v>90</v>
      </c>
      <c r="AF57" s="38" t="s">
        <v>74</v>
      </c>
      <c r="AG57" t="str">
        <f>VLOOKUP($Q57,武学奇术!$A:$ZZ,25,FALSE)</f>
        <v>陌刀</v>
      </c>
      <c r="AH57" s="23">
        <f>VLOOKUP($Q57,武学奇术!$A:$ZZ,26,FALSE)</f>
        <v>0.5</v>
      </c>
      <c r="AI57" s="24">
        <f>VLOOKUP($Q57,武学奇术!$A:$ZZ,27,FALSE)*(1+IF(OR($AG57=$F$4,$AG57=$F$5),$B$22,0))</f>
        <v>0</v>
      </c>
      <c r="AJ57" s="23">
        <f>VLOOKUP($Q57,武学奇术!$A:$ZZ,28,FALSE)</f>
        <v>0.75</v>
      </c>
      <c r="AK57" s="24">
        <f>VLOOKUP($Q57,武学奇术!$A:$ZZ,29,FALSE)*(1+IF(OR($AG57=$F$4,$AG57=$F$5),$B$22,0))</f>
        <v>0</v>
      </c>
      <c r="AL57" s="23" cm="1">
        <f t="array" ref="AL57">$G$3+IFERROR(VLOOKUP($AG57,$F$4:$G$7,2,FALSE),0)+VLOOKUP($Q57,武学奇术!$A:$ZZ,2,FALSE)+SUM(_xlfn.XLOOKUP($R57:$AF57,增益!$A:$A,增益!$B:$B,0))</f>
        <v>1.013</v>
      </c>
      <c r="AM57" s="23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3052.34</v>
      </c>
      <c r="AO57" cm="1">
        <f t="array" ref="AO57">$E$10*(1+$AM57)+VLOOKUP($Q57,武学奇术!$A:$ZZ,4,FALSE)+SUM(_xlfn.XLOOKUP($R57:$AF57,增益!$A:$A,增益!$D:$D,0))-$I$2</f>
        <v>3052.34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0.467</v>
      </c>
      <c r="AQ57" s="30" cm="1">
        <f t="array" ref="AQ57">$G$10+VLOOKUP($Q57,武学奇术!$A:$ZZ,7,FALSE)+SUM(_xlfn.XLOOKUP(R57:AF57,增益!$A:$A,增益!$G:$G,0))</f>
        <v>0</v>
      </c>
      <c r="AR57" s="23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-0.08</v>
      </c>
      <c r="AV57" s="30" cm="1">
        <f t="array" ref="AV57">$G$11+VLOOKUP($Q57,武学奇术!$A:$ZZ,10,FALSE)+SUM(_xlfn.XLOOKUP(R57:AF57,增益!$A:$A,增益!$J:$J,0))</f>
        <v>0</v>
      </c>
      <c r="AW57">
        <f t="shared" si="20"/>
        <v>634.5</v>
      </c>
      <c r="AX57">
        <f t="shared" si="21"/>
        <v>1443.3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0.198</v>
      </c>
      <c r="AZ57" s="30" cm="1">
        <f t="array" ref="AZ57">$G$12+VLOOKUP($Q57,武学奇术!$A:$ZZ,12,FALSE)+SUM(_xlfn.XLOOKUP(R57:AF57,增益!$A:$A,增益!$L:$L,0))</f>
        <v>0.148</v>
      </c>
      <c r="BA57">
        <f t="shared" si="13"/>
        <v>0</v>
      </c>
      <c r="BB57">
        <f t="shared" si="14"/>
        <v>0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-0.08</v>
      </c>
      <c r="BD57" s="30" cm="1">
        <f t="array" ref="BD57">$G$13+VLOOKUP($Q57,武学奇术!$A:$ZZ,14,FALSE)+SUM(_xlfn.XLOOKUP(R57:AF57,增益!$A:$A,增益!$N:$N,0))</f>
        <v>0</v>
      </c>
      <c r="BE57">
        <f t="shared" si="15"/>
        <v>0</v>
      </c>
      <c r="BF57">
        <f t="shared" si="16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-0.08</v>
      </c>
      <c r="BH57" s="30" cm="1">
        <f t="array" ref="BH57">$G$14+VLOOKUP($Q57,武学奇术!$A:$ZZ,16,FALSE)+SUM(_xlfn.XLOOKUP(R57:AF57,增益!$A:$A,增益!$P:$P,0))</f>
        <v>0</v>
      </c>
      <c r="BI57" s="23">
        <f>MIN(IF(VLOOKUP($Q57,武学奇术!$A:$ZZ,23,FALSE)=1,100%,$B$8),100%)</f>
        <v>1</v>
      </c>
      <c r="BJ57" s="23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1</v>
      </c>
      <c r="BK57" s="23" cm="1">
        <f t="array" ref="BK57">1+$B$13+VLOOKUP($Q57,武学奇术!$A:$ZZ,18,FALSE)+SUM(_xlfn.XLOOKUP(R57:AF57,增益!$A:$A,增益!$R:$R,0))</f>
        <v>2</v>
      </c>
      <c r="BL57" s="23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</v>
      </c>
      <c r="BM57" s="23" cm="1">
        <f t="array" ref="BM57">1+$B$14+VLOOKUP($Q57,武学奇术!$A:$ZZ,20,FALSE)+SUM(_xlfn.XLOOKUP(R57:AF57,增益!$A:$A,增益!$T:$T,0))</f>
        <v>1.35</v>
      </c>
      <c r="BN57" s="23">
        <f t="shared" si="11"/>
        <v>1</v>
      </c>
      <c r="BO57" s="23">
        <f t="shared" si="17"/>
        <v>0</v>
      </c>
      <c r="BP57" s="23">
        <f>IF(VLOOKUP($Q57,武学奇术!$A:$ZZ,22,FALSE)=1,0,(1-$BI57))*(1-$BL57)</f>
        <v>0</v>
      </c>
      <c r="BQ57" s="23" cm="1">
        <f t="array" ref="BQ57">SUM(_xlfn.XLOOKUP(R57:AF57,增益!$A:$A,增益!$W:$W,0))</f>
        <v>0.13</v>
      </c>
    </row>
    <row r="58" spans="1:69">
      <c r="A58" t="s">
        <v>93</v>
      </c>
      <c r="B58">
        <v>2.3</v>
      </c>
      <c r="K58" s="36">
        <f t="shared" si="12"/>
        <v>107352.631585676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107352.631585676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81593.5312296548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53676.315792838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46912.9788229687</v>
      </c>
      <c r="P58" s="37">
        <v>3</v>
      </c>
      <c r="Q58" s="38" t="s">
        <v>106</v>
      </c>
      <c r="R58" s="38" t="s">
        <v>89</v>
      </c>
      <c r="S58" s="38" t="s">
        <v>78</v>
      </c>
      <c r="T58" s="38" t="s">
        <v>79</v>
      </c>
      <c r="U58" s="38" t="s">
        <v>111</v>
      </c>
      <c r="V58" s="38" t="s">
        <v>107</v>
      </c>
      <c r="W58" s="38" t="s">
        <v>104</v>
      </c>
      <c r="X58" s="38" t="s">
        <v>72</v>
      </c>
      <c r="Y58" s="38" t="s">
        <v>72</v>
      </c>
      <c r="Z58" s="38" t="s">
        <v>72</v>
      </c>
      <c r="AA58" s="38" t="s">
        <v>68</v>
      </c>
      <c r="AB58" s="38" t="s">
        <v>72</v>
      </c>
      <c r="AC58" s="38" t="s">
        <v>72</v>
      </c>
      <c r="AD58" s="38" t="s">
        <v>72</v>
      </c>
      <c r="AE58" s="38" t="s">
        <v>90</v>
      </c>
      <c r="AF58" s="38" t="s">
        <v>74</v>
      </c>
      <c r="AG58" t="str">
        <f>VLOOKUP($Q58,武学奇术!$A:$ZZ,25,FALSE)</f>
        <v>陌刀</v>
      </c>
      <c r="AH58" s="23">
        <f>VLOOKUP($Q58,武学奇术!$A:$ZZ,26,FALSE)</f>
        <v>0.9</v>
      </c>
      <c r="AI58" s="24">
        <f>VLOOKUP($Q58,武学奇术!$A:$ZZ,27,FALSE)*(1+IF(OR($AG58=$F$4,$AG58=$F$5),$B$22,0))</f>
        <v>0</v>
      </c>
      <c r="AJ58" s="23">
        <f>VLOOKUP($Q58,武学奇术!$A:$ZZ,28,FALSE)</f>
        <v>1.35</v>
      </c>
      <c r="AK58" s="24">
        <f>VLOOKUP($Q58,武学奇术!$A:$ZZ,29,FALSE)*(1+IF(OR($AG58=$F$4,$AG58=$F$5),$B$22,0))</f>
        <v>0</v>
      </c>
      <c r="AL58" s="23" cm="1">
        <f t="array" ref="AL58">$G$3+IFERROR(VLOOKUP($AG58,$F$4:$G$7,2,FALSE),0)+VLOOKUP($Q58,武学奇术!$A:$ZZ,2,FALSE)+SUM(_xlfn.XLOOKUP($R58:$AF58,增益!$A:$A,增益!$B:$B,0))</f>
        <v>1.013</v>
      </c>
      <c r="AM58" s="23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3052.34</v>
      </c>
      <c r="AO58" cm="1">
        <f t="array" ref="AO58">$E$10*(1+$AM58)+VLOOKUP($Q58,武学奇术!$A:$ZZ,4,FALSE)+SUM(_xlfn.XLOOKUP($R58:$AF58,增益!$A:$A,增益!$D:$D,0))-$I$2</f>
        <v>3052.34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0.467</v>
      </c>
      <c r="AQ58" s="30" cm="1">
        <f t="array" ref="AQ58">$G$10+VLOOKUP($Q58,武学奇术!$A:$ZZ,7,FALSE)+SUM(_xlfn.XLOOKUP(R58:AF58,增益!$A:$A,增益!$G:$G,0))</f>
        <v>0</v>
      </c>
      <c r="AR58" s="23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-0.08</v>
      </c>
      <c r="AV58" s="30" cm="1">
        <f t="array" ref="AV58">$G$11+VLOOKUP($Q58,武学奇术!$A:$ZZ,10,FALSE)+SUM(_xlfn.XLOOKUP(R58:AF58,增益!$A:$A,增益!$J:$J,0))</f>
        <v>0</v>
      </c>
      <c r="AW58">
        <f t="shared" si="20"/>
        <v>634.5</v>
      </c>
      <c r="AX58">
        <f t="shared" si="21"/>
        <v>1443.3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0.198</v>
      </c>
      <c r="AZ58" s="30" cm="1">
        <f t="array" ref="AZ58">$G$12+VLOOKUP($Q58,武学奇术!$A:$ZZ,12,FALSE)+SUM(_xlfn.XLOOKUP(R58:AF58,增益!$A:$A,增益!$L:$L,0))</f>
        <v>0.148</v>
      </c>
      <c r="BA58">
        <f t="shared" si="13"/>
        <v>0</v>
      </c>
      <c r="BB58">
        <f t="shared" si="14"/>
        <v>0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-0.08</v>
      </c>
      <c r="BD58" s="30" cm="1">
        <f t="array" ref="BD58">$G$13+VLOOKUP($Q58,武学奇术!$A:$ZZ,14,FALSE)+SUM(_xlfn.XLOOKUP(R58:AF58,增益!$A:$A,增益!$N:$N,0))</f>
        <v>0</v>
      </c>
      <c r="BE58">
        <f t="shared" si="15"/>
        <v>0</v>
      </c>
      <c r="BF58">
        <f t="shared" si="16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-0.08</v>
      </c>
      <c r="BH58" s="30" cm="1">
        <f t="array" ref="BH58">$G$14+VLOOKUP($Q58,武学奇术!$A:$ZZ,16,FALSE)+SUM(_xlfn.XLOOKUP(R58:AF58,增益!$A:$A,增益!$P:$P,0))</f>
        <v>0</v>
      </c>
      <c r="BI58" s="23">
        <f>MIN(IF(VLOOKUP($Q58,武学奇术!$A:$ZZ,23,FALSE)=1,100%,$B$8),100%)</f>
        <v>1</v>
      </c>
      <c r="BJ58" s="23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1</v>
      </c>
      <c r="BK58" s="23" cm="1">
        <f t="array" ref="BK58">1+$B$13+VLOOKUP($Q58,武学奇术!$A:$ZZ,18,FALSE)+SUM(_xlfn.XLOOKUP(R58:AF58,增益!$A:$A,增益!$R:$R,0))</f>
        <v>2</v>
      </c>
      <c r="BL58" s="23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</v>
      </c>
      <c r="BM58" s="23" cm="1">
        <f t="array" ref="BM58">1+$B$14+VLOOKUP($Q58,武学奇术!$A:$ZZ,20,FALSE)+SUM(_xlfn.XLOOKUP(R58:AF58,增益!$A:$A,增益!$T:$T,0))</f>
        <v>1.35</v>
      </c>
      <c r="BN58" s="23">
        <f t="shared" si="11"/>
        <v>1</v>
      </c>
      <c r="BO58" s="23">
        <f t="shared" si="17"/>
        <v>0</v>
      </c>
      <c r="BP58" s="23">
        <f>IF(VLOOKUP($Q58,武学奇术!$A:$ZZ,22,FALSE)=1,0,(1-$BI58))*(1-$BL58)</f>
        <v>0</v>
      </c>
      <c r="BQ58" s="23" cm="1">
        <f t="array" ref="BQ58">SUM(_xlfn.XLOOKUP(R58:AF58,增益!$A:$A,增益!$W:$W,0))</f>
        <v>0.13</v>
      </c>
    </row>
    <row r="59" spans="1:69">
      <c r="A59" t="s">
        <v>144</v>
      </c>
      <c r="B59">
        <v>1</v>
      </c>
      <c r="K59" s="36">
        <f t="shared" si="12"/>
        <v>1019406.55923383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1019406.55923383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764108.656141789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509703.279616915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453400.14727695</v>
      </c>
      <c r="P59" s="37">
        <v>3</v>
      </c>
      <c r="Q59" s="38" t="s">
        <v>110</v>
      </c>
      <c r="R59" s="38" t="s">
        <v>89</v>
      </c>
      <c r="S59" s="38" t="s">
        <v>78</v>
      </c>
      <c r="T59" s="38" t="s">
        <v>79</v>
      </c>
      <c r="U59" s="38" t="s">
        <v>111</v>
      </c>
      <c r="V59" s="38" t="s">
        <v>107</v>
      </c>
      <c r="W59" s="38" t="s">
        <v>112</v>
      </c>
      <c r="X59" s="38" t="s">
        <v>72</v>
      </c>
      <c r="Y59" s="38" t="s">
        <v>72</v>
      </c>
      <c r="Z59" s="38" t="s">
        <v>72</v>
      </c>
      <c r="AA59" s="38" t="s">
        <v>68</v>
      </c>
      <c r="AB59" s="38" t="s">
        <v>72</v>
      </c>
      <c r="AC59" s="38" t="s">
        <v>72</v>
      </c>
      <c r="AD59" s="38" t="s">
        <v>72</v>
      </c>
      <c r="AE59" s="38" t="s">
        <v>90</v>
      </c>
      <c r="AF59" s="38" t="s">
        <v>74</v>
      </c>
      <c r="AG59" t="str">
        <f>VLOOKUP($Q59,武学奇术!$A:$ZZ,25,FALSE)</f>
        <v>陌刀</v>
      </c>
      <c r="AH59" s="23">
        <f>VLOOKUP($Q59,武学奇术!$A:$ZZ,26,FALSE)</f>
        <v>7.5674</v>
      </c>
      <c r="AI59" s="24">
        <f>VLOOKUP($Q59,武学奇术!$A:$ZZ,27,FALSE)*(1+IF(OR($AG59=$F$4,$AG59=$F$5),$B$22,0))</f>
        <v>2720.9</v>
      </c>
      <c r="AJ59" s="23">
        <f>VLOOKUP($Q59,武学奇术!$A:$ZZ,28,FALSE)</f>
        <v>11.3512</v>
      </c>
      <c r="AK59" s="24">
        <f>VLOOKUP($Q59,武学奇术!$A:$ZZ,29,FALSE)*(1+IF(OR($AG59=$F$4,$AG59=$F$5),$B$22,0))</f>
        <v>1482</v>
      </c>
      <c r="AL59" s="23" cm="1">
        <f t="array" ref="AL59">$G$3+IFERROR(VLOOKUP($AG59,$F$4:$G$7,2,FALSE),0)+VLOOKUP($Q59,武学奇术!$A:$ZZ,2,FALSE)+SUM(_xlfn.XLOOKUP($R59:$AF59,增益!$A:$A,增益!$B:$B,0))</f>
        <v>0.993</v>
      </c>
      <c r="AM59" s="23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3052.34</v>
      </c>
      <c r="AO59" cm="1">
        <f t="array" ref="AO59">$E$10*(1+$AM59)+VLOOKUP($Q59,武学奇术!$A:$ZZ,4,FALSE)+SUM(_xlfn.XLOOKUP($R59:$AF59,增益!$A:$A,增益!$D:$D,0))-$I$2</f>
        <v>3052.34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0.467</v>
      </c>
      <c r="AQ59" s="30" cm="1">
        <f t="array" ref="AQ59">$G$10+VLOOKUP($Q59,武学奇术!$A:$ZZ,7,FALSE)+SUM(_xlfn.XLOOKUP(R59:AF59,增益!$A:$A,增益!$G:$G,0))</f>
        <v>0</v>
      </c>
      <c r="AR59" s="23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-0.08</v>
      </c>
      <c r="AV59" s="30" cm="1">
        <f t="array" ref="AV59">$G$11+VLOOKUP($Q59,武学奇术!$A:$ZZ,10,FALSE)+SUM(_xlfn.XLOOKUP(R59:AF59,增益!$A:$A,增益!$J:$J,0))</f>
        <v>0</v>
      </c>
      <c r="AW59">
        <f t="shared" si="20"/>
        <v>634.5</v>
      </c>
      <c r="AX59">
        <f t="shared" si="21"/>
        <v>1443.3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0.198</v>
      </c>
      <c r="AZ59" s="30" cm="1">
        <f t="array" ref="AZ59">$G$12+VLOOKUP($Q59,武学奇术!$A:$ZZ,12,FALSE)+SUM(_xlfn.XLOOKUP(R59:AF59,增益!$A:$A,增益!$L:$L,0))</f>
        <v>0.148</v>
      </c>
      <c r="BA59">
        <f t="shared" si="13"/>
        <v>0</v>
      </c>
      <c r="BB59">
        <f t="shared" si="14"/>
        <v>0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-0.08</v>
      </c>
      <c r="BD59" s="30" cm="1">
        <f t="array" ref="BD59">$G$13+VLOOKUP($Q59,武学奇术!$A:$ZZ,14,FALSE)+SUM(_xlfn.XLOOKUP(R59:AF59,增益!$A:$A,增益!$N:$N,0))</f>
        <v>0</v>
      </c>
      <c r="BE59">
        <f t="shared" si="15"/>
        <v>0</v>
      </c>
      <c r="BF59">
        <f t="shared" si="16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-0.08</v>
      </c>
      <c r="BH59" s="30" cm="1">
        <f t="array" ref="BH59">$G$14+VLOOKUP($Q59,武学奇术!$A:$ZZ,16,FALSE)+SUM(_xlfn.XLOOKUP(R59:AF59,增益!$A:$A,增益!$P:$P,0))</f>
        <v>0</v>
      </c>
      <c r="BI59" s="23">
        <f>MIN(IF(VLOOKUP($Q59,武学奇术!$A:$ZZ,23,FALSE)=1,100%,$B$8),100%)</f>
        <v>1</v>
      </c>
      <c r="BJ59" s="23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1</v>
      </c>
      <c r="BK59" s="23" cm="1">
        <f t="array" ref="BK59">1+$B$13+VLOOKUP($Q59,武学奇术!$A:$ZZ,18,FALSE)+SUM(_xlfn.XLOOKUP(R59:AF59,增益!$A:$A,增益!$R:$R,0))</f>
        <v>2</v>
      </c>
      <c r="BL59" s="23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</v>
      </c>
      <c r="BM59" s="23" cm="1">
        <f t="array" ref="BM59">1+$B$14+VLOOKUP($Q59,武学奇术!$A:$ZZ,20,FALSE)+SUM(_xlfn.XLOOKUP(R59:AF59,增益!$A:$A,增益!$T:$T,0))</f>
        <v>1.35</v>
      </c>
      <c r="BN59" s="23">
        <f t="shared" si="11"/>
        <v>1</v>
      </c>
      <c r="BO59" s="23">
        <f t="shared" si="17"/>
        <v>0</v>
      </c>
      <c r="BP59" s="23">
        <f>IF(VLOOKUP($Q59,武学奇术!$A:$ZZ,22,FALSE)=1,0,(1-$BI59))*(1-$BL59)</f>
        <v>0</v>
      </c>
      <c r="BQ59" s="23" cm="1">
        <f t="array" ref="BQ59">SUM(_xlfn.XLOOKUP(R59:AF59,增益!$A:$A,增益!$W:$W,0))</f>
        <v>0.13</v>
      </c>
    </row>
    <row r="60" spans="1:69">
      <c r="A60" s="4" t="s">
        <v>149</v>
      </c>
      <c r="B60" s="4">
        <v>2.3</v>
      </c>
      <c r="K60" s="36">
        <f t="shared" si="12"/>
        <v>19880.1169603104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19880.1169603104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15109.9131906768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9940.05848015519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8687.58867092013</v>
      </c>
      <c r="P60" s="37">
        <v>1</v>
      </c>
      <c r="Q60" s="38" t="s">
        <v>114</v>
      </c>
      <c r="R60" s="38" t="s">
        <v>89</v>
      </c>
      <c r="S60" s="38" t="s">
        <v>78</v>
      </c>
      <c r="T60" s="38" t="s">
        <v>79</v>
      </c>
      <c r="U60" s="38" t="s">
        <v>111</v>
      </c>
      <c r="V60" s="38" t="s">
        <v>107</v>
      </c>
      <c r="W60" s="38" t="s">
        <v>104</v>
      </c>
      <c r="X60" s="38" t="s">
        <v>72</v>
      </c>
      <c r="Y60" s="38" t="s">
        <v>72</v>
      </c>
      <c r="Z60" s="38" t="s">
        <v>72</v>
      </c>
      <c r="AA60" s="38" t="s">
        <v>68</v>
      </c>
      <c r="AB60" s="38" t="s">
        <v>72</v>
      </c>
      <c r="AC60" s="38" t="s">
        <v>72</v>
      </c>
      <c r="AD60" s="38" t="s">
        <v>72</v>
      </c>
      <c r="AE60" s="38" t="s">
        <v>90</v>
      </c>
      <c r="AF60" s="38" t="s">
        <v>74</v>
      </c>
      <c r="AG60" t="str">
        <f>VLOOKUP($Q60,武学奇术!$A:$ZZ,25,FALSE)</f>
        <v>陌刀</v>
      </c>
      <c r="AH60" s="23">
        <f>VLOOKUP($Q60,武学奇术!$A:$ZZ,26,FALSE)</f>
        <v>0.5</v>
      </c>
      <c r="AI60" s="24">
        <f>VLOOKUP($Q60,武学奇术!$A:$ZZ,27,FALSE)*(1+IF(OR($AG60=$F$4,$AG60=$F$5),$B$22,0))</f>
        <v>0</v>
      </c>
      <c r="AJ60" s="23">
        <f>VLOOKUP($Q60,武学奇术!$A:$ZZ,28,FALSE)</f>
        <v>0.75</v>
      </c>
      <c r="AK60" s="24">
        <f>VLOOKUP($Q60,武学奇术!$A:$ZZ,29,FALSE)*(1+IF(OR($AG60=$F$4,$AG60=$F$5),$B$22,0))</f>
        <v>0</v>
      </c>
      <c r="AL60" s="23" cm="1">
        <f t="array" ref="AL60">$G$3+IFERROR(VLOOKUP($AG60,$F$4:$G$7,2,FALSE),0)+VLOOKUP($Q60,武学奇术!$A:$ZZ,2,FALSE)+SUM(_xlfn.XLOOKUP($R60:$AF60,增益!$A:$A,增益!$B:$B,0))</f>
        <v>1.013</v>
      </c>
      <c r="AM60" s="23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3052.34</v>
      </c>
      <c r="AO60" cm="1">
        <f t="array" ref="AO60">$E$10*(1+$AM60)+VLOOKUP($Q60,武学奇术!$A:$ZZ,4,FALSE)+SUM(_xlfn.XLOOKUP($R60:$AF60,增益!$A:$A,增益!$D:$D,0))-$I$2</f>
        <v>3052.34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0.467</v>
      </c>
      <c r="AQ60" s="30" cm="1">
        <f t="array" ref="AQ60">$G$10+VLOOKUP($Q60,武学奇术!$A:$ZZ,7,FALSE)+SUM(_xlfn.XLOOKUP(R60:AF60,增益!$A:$A,增益!$G:$G,0))</f>
        <v>0</v>
      </c>
      <c r="AR60" s="23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-0.08</v>
      </c>
      <c r="AV60" s="30" cm="1">
        <f t="array" ref="AV60">$G$11+VLOOKUP($Q60,武学奇术!$A:$ZZ,10,FALSE)+SUM(_xlfn.XLOOKUP(R60:AF60,增益!$A:$A,增益!$J:$J,0))</f>
        <v>0</v>
      </c>
      <c r="AW60">
        <f t="shared" si="20"/>
        <v>634.5</v>
      </c>
      <c r="AX60">
        <f t="shared" si="21"/>
        <v>1443.3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0.198</v>
      </c>
      <c r="AZ60" s="30" cm="1">
        <f t="array" ref="AZ60">$G$12+VLOOKUP($Q60,武学奇术!$A:$ZZ,12,FALSE)+SUM(_xlfn.XLOOKUP(R60:AF60,增益!$A:$A,增益!$L:$L,0))</f>
        <v>0.148</v>
      </c>
      <c r="BA60">
        <f t="shared" si="13"/>
        <v>0</v>
      </c>
      <c r="BB60">
        <f t="shared" si="14"/>
        <v>0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-0.08</v>
      </c>
      <c r="BD60" s="30" cm="1">
        <f t="array" ref="BD60">$G$13+VLOOKUP($Q60,武学奇术!$A:$ZZ,14,FALSE)+SUM(_xlfn.XLOOKUP(R60:AF60,增益!$A:$A,增益!$N:$N,0))</f>
        <v>0</v>
      </c>
      <c r="BE60">
        <f t="shared" si="15"/>
        <v>0</v>
      </c>
      <c r="BF60">
        <f t="shared" si="16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-0.08</v>
      </c>
      <c r="BH60" s="30" cm="1">
        <f t="array" ref="BH60">$G$14+VLOOKUP($Q60,武学奇术!$A:$ZZ,16,FALSE)+SUM(_xlfn.XLOOKUP(R60:AF60,增益!$A:$A,增益!$P:$P,0))</f>
        <v>0</v>
      </c>
      <c r="BI60" s="23">
        <f>MIN(IF(VLOOKUP($Q60,武学奇术!$A:$ZZ,23,FALSE)=1,100%,$B$8),100%)</f>
        <v>1</v>
      </c>
      <c r="BJ60" s="23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1</v>
      </c>
      <c r="BK60" s="23" cm="1">
        <f t="array" ref="BK60">1+$B$13+VLOOKUP($Q60,武学奇术!$A:$ZZ,18,FALSE)+SUM(_xlfn.XLOOKUP(R60:AF60,增益!$A:$A,增益!$R:$R,0))</f>
        <v>2</v>
      </c>
      <c r="BL60" s="23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</v>
      </c>
      <c r="BM60" s="23" cm="1">
        <f t="array" ref="BM60">1+$B$14+VLOOKUP($Q60,武学奇术!$A:$ZZ,20,FALSE)+SUM(_xlfn.XLOOKUP(R60:AF60,增益!$A:$A,增益!$T:$T,0))</f>
        <v>1.35</v>
      </c>
      <c r="BN60" s="23">
        <f t="shared" ref="BN60:BN101" si="22">MIN((1-BL60)*BI60,BI60*BJ60)</f>
        <v>1</v>
      </c>
      <c r="BO60" s="23">
        <f t="shared" si="17"/>
        <v>0</v>
      </c>
      <c r="BP60" s="23">
        <f>IF(VLOOKUP($Q60,武学奇术!$A:$ZZ,22,FALSE)=1,0,(1-$BI60))*(1-$BL60)</f>
        <v>0</v>
      </c>
      <c r="BQ60" s="23" cm="1">
        <f t="array" ref="BQ60">SUM(_xlfn.XLOOKUP(R60:AF60,增益!$A:$A,增益!$W:$W,0))</f>
        <v>0.13</v>
      </c>
    </row>
    <row r="61" spans="1:69">
      <c r="A61" s="4" t="s">
        <v>149</v>
      </c>
      <c r="B61" s="4">
        <v>2.3</v>
      </c>
      <c r="K61" s="36">
        <f t="shared" ref="K61:K73" si="23">($L61*$BN61+$M61*$BL61+$N61*$BO61+$O61*$BP61)</f>
        <v>35784.2105285587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35784.2105285587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27197.8437432183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17892.1052642793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15637.6596076562</v>
      </c>
      <c r="P61" s="37">
        <v>1</v>
      </c>
      <c r="Q61" s="38" t="s">
        <v>106</v>
      </c>
      <c r="R61" s="38" t="s">
        <v>89</v>
      </c>
      <c r="S61" s="38" t="s">
        <v>78</v>
      </c>
      <c r="T61" s="38" t="s">
        <v>79</v>
      </c>
      <c r="U61" s="38" t="s">
        <v>111</v>
      </c>
      <c r="V61" s="38" t="s">
        <v>107</v>
      </c>
      <c r="W61" s="38" t="s">
        <v>104</v>
      </c>
      <c r="X61" s="38" t="s">
        <v>72</v>
      </c>
      <c r="Y61" s="38" t="s">
        <v>72</v>
      </c>
      <c r="Z61" s="38" t="s">
        <v>72</v>
      </c>
      <c r="AA61" s="38" t="s">
        <v>68</v>
      </c>
      <c r="AB61" s="38" t="s">
        <v>72</v>
      </c>
      <c r="AC61" s="38" t="s">
        <v>72</v>
      </c>
      <c r="AD61" s="38" t="s">
        <v>72</v>
      </c>
      <c r="AE61" s="38" t="s">
        <v>90</v>
      </c>
      <c r="AF61" s="38" t="s">
        <v>74</v>
      </c>
      <c r="AG61" t="str">
        <f>VLOOKUP($Q61,武学奇术!$A:$ZZ,25,FALSE)</f>
        <v>陌刀</v>
      </c>
      <c r="AH61" s="23">
        <f>VLOOKUP($Q61,武学奇术!$A:$ZZ,26,FALSE)</f>
        <v>0.9</v>
      </c>
      <c r="AI61" s="24">
        <f>VLOOKUP($Q61,武学奇术!$A:$ZZ,27,FALSE)*(1+IF(OR($AG61=$F$4,$AG61=$F$5),$B$22,0))</f>
        <v>0</v>
      </c>
      <c r="AJ61" s="23">
        <f>VLOOKUP($Q61,武学奇术!$A:$ZZ,28,FALSE)</f>
        <v>1.35</v>
      </c>
      <c r="AK61" s="24">
        <f>VLOOKUP($Q61,武学奇术!$A:$ZZ,29,FALSE)*(1+IF(OR($AG61=$F$4,$AG61=$F$5),$B$22,0))</f>
        <v>0</v>
      </c>
      <c r="AL61" s="23" cm="1">
        <f t="array" ref="AL61">$G$3+IFERROR(VLOOKUP($AG61,$F$4:$G$7,2,FALSE),0)+VLOOKUP($Q61,武学奇术!$A:$ZZ,2,FALSE)+SUM(_xlfn.XLOOKUP($R61:$AF61,增益!$A:$A,增益!$B:$B,0))</f>
        <v>1.013</v>
      </c>
      <c r="AM61" s="23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3052.34</v>
      </c>
      <c r="AO61" cm="1">
        <f t="array" ref="AO61">$E$10*(1+$AM61)+VLOOKUP($Q61,武学奇术!$A:$ZZ,4,FALSE)+SUM(_xlfn.XLOOKUP($R61:$AF61,增益!$A:$A,增益!$D:$D,0))-$I$2</f>
        <v>3052.34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0.467</v>
      </c>
      <c r="AQ61" s="30" cm="1">
        <f t="array" ref="AQ61">$G$10+VLOOKUP($Q61,武学奇术!$A:$ZZ,7,FALSE)+SUM(_xlfn.XLOOKUP(R61:AF61,增益!$A:$A,增益!$G:$G,0))</f>
        <v>0</v>
      </c>
      <c r="AR61" s="23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-0.08</v>
      </c>
      <c r="AV61" s="30" cm="1">
        <f t="array" ref="AV61">$G$11+VLOOKUP($Q61,武学奇术!$A:$ZZ,10,FALSE)+SUM(_xlfn.XLOOKUP(R61:AF61,增益!$A:$A,增益!$J:$J,0))</f>
        <v>0</v>
      </c>
      <c r="AW61">
        <f t="shared" ref="AW61:AW73" si="26">$D$12*(1+$AR61)</f>
        <v>634.5</v>
      </c>
      <c r="AX61">
        <f t="shared" ref="AX61:AX73" si="27">$E$12*(1+$AR61)</f>
        <v>1443.3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0.198</v>
      </c>
      <c r="AZ61" s="30" cm="1">
        <f t="array" ref="AZ61">$G$12+VLOOKUP($Q61,武学奇术!$A:$ZZ,12,FALSE)+SUM(_xlfn.XLOOKUP(R61:AF61,增益!$A:$A,增益!$L:$L,0))</f>
        <v>0.148</v>
      </c>
      <c r="BA61">
        <f t="shared" ref="BA61:BA73" si="28">$D$13*(1+$AR61)</f>
        <v>0</v>
      </c>
      <c r="BB61">
        <f t="shared" ref="BB61:BB73" si="29">$E$13*(1+$AR61)</f>
        <v>0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-0.08</v>
      </c>
      <c r="BD61" s="30" cm="1">
        <f t="array" ref="BD61">$G$13+VLOOKUP($Q61,武学奇术!$A:$ZZ,14,FALSE)+SUM(_xlfn.XLOOKUP(R61:AF61,增益!$A:$A,增益!$N:$N,0))</f>
        <v>0</v>
      </c>
      <c r="BE61">
        <f t="shared" ref="BE61:BE73" si="30">$D$14*(1+$AR61)</f>
        <v>0</v>
      </c>
      <c r="BF61">
        <f t="shared" ref="BF61:BF73" si="31">$E$14*(1+$AR61)</f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-0.08</v>
      </c>
      <c r="BH61" s="30" cm="1">
        <f t="array" ref="BH61">$G$14+VLOOKUP($Q61,武学奇术!$A:$ZZ,16,FALSE)+SUM(_xlfn.XLOOKUP(R61:AF61,增益!$A:$A,增益!$P:$P,0))</f>
        <v>0</v>
      </c>
      <c r="BI61" s="23">
        <f>MIN(IF(VLOOKUP($Q61,武学奇术!$A:$ZZ,23,FALSE)=1,100%,$B$8),100%)</f>
        <v>1</v>
      </c>
      <c r="BJ61" s="23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1</v>
      </c>
      <c r="BK61" s="23" cm="1">
        <f t="array" ref="BK61">1+$B$13+VLOOKUP($Q61,武学奇术!$A:$ZZ,18,FALSE)+SUM(_xlfn.XLOOKUP(R61:AF61,增益!$A:$A,增益!$R:$R,0))</f>
        <v>2</v>
      </c>
      <c r="BL61" s="23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</v>
      </c>
      <c r="BM61" s="23" cm="1">
        <f t="array" ref="BM61">1+$B$14+VLOOKUP($Q61,武学奇术!$A:$ZZ,20,FALSE)+SUM(_xlfn.XLOOKUP(R61:AF61,增益!$A:$A,增益!$T:$T,0))</f>
        <v>1.35</v>
      </c>
      <c r="BN61" s="23">
        <f t="shared" si="22"/>
        <v>1</v>
      </c>
      <c r="BO61" s="23">
        <f t="shared" si="17"/>
        <v>0</v>
      </c>
      <c r="BP61" s="23">
        <f>IF(VLOOKUP($Q61,武学奇术!$A:$ZZ,22,FALSE)=1,0,(1-$BI61))*(1-$BL61)</f>
        <v>0</v>
      </c>
      <c r="BQ61" s="23" cm="1">
        <f t="array" ref="BQ61">SUM(_xlfn.XLOOKUP(R61:AF61,增益!$A:$A,增益!$W:$W,0))</f>
        <v>0.13</v>
      </c>
    </row>
    <row r="62" spans="1:69">
      <c r="A62" s="4" t="s">
        <v>149</v>
      </c>
      <c r="B62" s="4">
        <v>2.3</v>
      </c>
      <c r="K62" s="36">
        <f t="shared" si="23"/>
        <v>339802.186411277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339802.186411277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254702.885380596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169901.093205638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151133.38242565</v>
      </c>
      <c r="P62" s="37">
        <v>1</v>
      </c>
      <c r="Q62" s="38" t="s">
        <v>110</v>
      </c>
      <c r="R62" s="38" t="s">
        <v>89</v>
      </c>
      <c r="S62" s="38" t="s">
        <v>78</v>
      </c>
      <c r="T62" s="38" t="s">
        <v>79</v>
      </c>
      <c r="U62" s="38" t="s">
        <v>111</v>
      </c>
      <c r="V62" s="38" t="s">
        <v>107</v>
      </c>
      <c r="W62" s="38" t="s">
        <v>112</v>
      </c>
      <c r="X62" s="38" t="s">
        <v>72</v>
      </c>
      <c r="Y62" s="38" t="s">
        <v>72</v>
      </c>
      <c r="Z62" s="38" t="s">
        <v>72</v>
      </c>
      <c r="AA62" s="38" t="s">
        <v>68</v>
      </c>
      <c r="AB62" s="38" t="s">
        <v>72</v>
      </c>
      <c r="AC62" s="38" t="s">
        <v>72</v>
      </c>
      <c r="AD62" s="38" t="s">
        <v>72</v>
      </c>
      <c r="AE62" s="38" t="s">
        <v>90</v>
      </c>
      <c r="AF62" s="38" t="s">
        <v>74</v>
      </c>
      <c r="AG62" t="str">
        <f>VLOOKUP($Q62,武学奇术!$A:$ZZ,25,FALSE)</f>
        <v>陌刀</v>
      </c>
      <c r="AH62" s="23">
        <f>VLOOKUP($Q62,武学奇术!$A:$ZZ,26,FALSE)</f>
        <v>7.5674</v>
      </c>
      <c r="AI62" s="24">
        <f>VLOOKUP($Q62,武学奇术!$A:$ZZ,27,FALSE)*(1+IF(OR($AG62=$F$4,$AG62=$F$5),$B$22,0))</f>
        <v>2720.9</v>
      </c>
      <c r="AJ62" s="23">
        <f>VLOOKUP($Q62,武学奇术!$A:$ZZ,28,FALSE)</f>
        <v>11.3512</v>
      </c>
      <c r="AK62" s="24">
        <f>VLOOKUP($Q62,武学奇术!$A:$ZZ,29,FALSE)*(1+IF(OR($AG62=$F$4,$AG62=$F$5),$B$22,0))</f>
        <v>1482</v>
      </c>
      <c r="AL62" s="23" cm="1">
        <f t="array" ref="AL62">$G$3+IFERROR(VLOOKUP($AG62,$F$4:$G$7,2,FALSE),0)+VLOOKUP($Q62,武学奇术!$A:$ZZ,2,FALSE)+SUM(_xlfn.XLOOKUP($R62:$AF62,增益!$A:$A,增益!$B:$B,0))</f>
        <v>0.993</v>
      </c>
      <c r="AM62" s="23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3052.34</v>
      </c>
      <c r="AO62" cm="1">
        <f t="array" ref="AO62">$E$10*(1+$AM62)+VLOOKUP($Q62,武学奇术!$A:$ZZ,4,FALSE)+SUM(_xlfn.XLOOKUP($R62:$AF62,增益!$A:$A,增益!$D:$D,0))-$I$2</f>
        <v>3052.34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0.467</v>
      </c>
      <c r="AQ62" s="30" cm="1">
        <f t="array" ref="AQ62">$G$10+VLOOKUP($Q62,武学奇术!$A:$ZZ,7,FALSE)+SUM(_xlfn.XLOOKUP(R62:AF62,增益!$A:$A,增益!$G:$G,0))</f>
        <v>0</v>
      </c>
      <c r="AR62" s="23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-0.08</v>
      </c>
      <c r="AV62" s="30" cm="1">
        <f t="array" ref="AV62">$G$11+VLOOKUP($Q62,武学奇术!$A:$ZZ,10,FALSE)+SUM(_xlfn.XLOOKUP(R62:AF62,增益!$A:$A,增益!$J:$J,0))</f>
        <v>0</v>
      </c>
      <c r="AW62">
        <f t="shared" si="26"/>
        <v>634.5</v>
      </c>
      <c r="AX62">
        <f t="shared" si="27"/>
        <v>1443.3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0.198</v>
      </c>
      <c r="AZ62" s="30" cm="1">
        <f t="array" ref="AZ62">$G$12+VLOOKUP($Q62,武学奇术!$A:$ZZ,12,FALSE)+SUM(_xlfn.XLOOKUP(R62:AF62,增益!$A:$A,增益!$L:$L,0))</f>
        <v>0.148</v>
      </c>
      <c r="BA62">
        <f t="shared" si="28"/>
        <v>0</v>
      </c>
      <c r="BB62">
        <f t="shared" si="29"/>
        <v>0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-0.08</v>
      </c>
      <c r="BD62" s="30" cm="1">
        <f t="array" ref="BD62">$G$13+VLOOKUP($Q62,武学奇术!$A:$ZZ,14,FALSE)+SUM(_xlfn.XLOOKUP(R62:AF62,增益!$A:$A,增益!$N:$N,0))</f>
        <v>0</v>
      </c>
      <c r="BE62">
        <f t="shared" si="30"/>
        <v>0</v>
      </c>
      <c r="BF62">
        <f t="shared" si="31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-0.08</v>
      </c>
      <c r="BH62" s="30" cm="1">
        <f t="array" ref="BH62">$G$14+VLOOKUP($Q62,武学奇术!$A:$ZZ,16,FALSE)+SUM(_xlfn.XLOOKUP(R62:AF62,增益!$A:$A,增益!$P:$P,0))</f>
        <v>0</v>
      </c>
      <c r="BI62" s="23">
        <f>MIN(IF(VLOOKUP($Q62,武学奇术!$A:$ZZ,23,FALSE)=1,100%,$B$8),100%)</f>
        <v>1</v>
      </c>
      <c r="BJ62" s="23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1</v>
      </c>
      <c r="BK62" s="23" cm="1">
        <f t="array" ref="BK62">1+$B$13+VLOOKUP($Q62,武学奇术!$A:$ZZ,18,FALSE)+SUM(_xlfn.XLOOKUP(R62:AF62,增益!$A:$A,增益!$R:$R,0))</f>
        <v>2</v>
      </c>
      <c r="BL62" s="23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</v>
      </c>
      <c r="BM62" s="23" cm="1">
        <f t="array" ref="BM62">1+$B$14+VLOOKUP($Q62,武学奇术!$A:$ZZ,20,FALSE)+SUM(_xlfn.XLOOKUP(R62:AF62,增益!$A:$A,增益!$T:$T,0))</f>
        <v>1.35</v>
      </c>
      <c r="BN62" s="23">
        <f t="shared" si="22"/>
        <v>1</v>
      </c>
      <c r="BO62" s="23">
        <f t="shared" si="17"/>
        <v>0</v>
      </c>
      <c r="BP62" s="23">
        <f>IF(VLOOKUP($Q62,武学奇术!$A:$ZZ,22,FALSE)=1,0,(1-$BI62))*(1-$BL62)</f>
        <v>0</v>
      </c>
      <c r="BQ62" s="23" cm="1">
        <f t="array" ref="BQ62">SUM(_xlfn.XLOOKUP(R62:AF62,增益!$A:$A,增益!$W:$W,0))</f>
        <v>0.13</v>
      </c>
    </row>
    <row r="63" spans="1:69">
      <c r="A63" s="4" t="s">
        <v>149</v>
      </c>
      <c r="B63" s="4">
        <v>2.3</v>
      </c>
      <c r="K63" s="36">
        <f t="shared" si="23"/>
        <v>156571.261357306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173103.264166021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141811.056484924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93569.3319816328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82093.4369373961</v>
      </c>
      <c r="P63" s="37">
        <v>1</v>
      </c>
      <c r="Q63" s="38" t="s">
        <v>134</v>
      </c>
      <c r="R63" s="38" t="s">
        <v>89</v>
      </c>
      <c r="S63" s="38" t="s">
        <v>78</v>
      </c>
      <c r="T63" s="38" t="s">
        <v>79</v>
      </c>
      <c r="U63" s="38" t="s">
        <v>80</v>
      </c>
      <c r="V63" s="38" t="s">
        <v>72</v>
      </c>
      <c r="W63" s="38" t="s">
        <v>72</v>
      </c>
      <c r="X63" s="38" t="s">
        <v>72</v>
      </c>
      <c r="Y63" s="38" t="s">
        <v>72</v>
      </c>
      <c r="Z63" s="38" t="s">
        <v>72</v>
      </c>
      <c r="AA63" s="38" t="s">
        <v>72</v>
      </c>
      <c r="AB63" s="38" t="s">
        <v>72</v>
      </c>
      <c r="AC63" s="38" t="s">
        <v>72</v>
      </c>
      <c r="AD63" s="38" t="s">
        <v>72</v>
      </c>
      <c r="AE63" s="38" t="s">
        <v>90</v>
      </c>
      <c r="AF63" s="38" t="s">
        <v>74</v>
      </c>
      <c r="AG63" t="str">
        <f>VLOOKUP($Q63,武学奇术!$A:$ZZ,25,FALSE)</f>
        <v>单体奇术</v>
      </c>
      <c r="AH63" s="23">
        <f>VLOOKUP($Q63,武学奇术!$A:$ZZ,26,FALSE)</f>
        <v>7.1064</v>
      </c>
      <c r="AI63" s="24">
        <f>VLOOKUP($Q63,武学奇术!$A:$ZZ,27,FALSE)*(1+IF(OR($AG63=$F$4,$AG63=$F$5),$B$22,0))</f>
        <v>1269</v>
      </c>
      <c r="AJ63" s="23">
        <f>VLOOKUP($Q63,武学奇术!$A:$ZZ,28,FALSE)</f>
        <v>10.6596</v>
      </c>
      <c r="AK63" s="24">
        <f>VLOOKUP($Q63,武学奇术!$A:$ZZ,29,FALSE)*(1+IF(OR($AG63=$F$4,$AG63=$F$5),$B$22,0))</f>
        <v>0</v>
      </c>
      <c r="AL63" s="23" cm="1">
        <f t="array" ref="AL63">$G$3+IFERROR(VLOOKUP($AG63,$F$4:$G$7,2,FALSE),0)+VLOOKUP($Q63,武学奇术!$A:$ZZ,2,FALSE)+SUM(_xlfn.XLOOKUP($R63:$AF63,增益!$A:$A,增益!$B:$B,0))</f>
        <v>0.713</v>
      </c>
      <c r="AM63" s="23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3052.34</v>
      </c>
      <c r="AO63" cm="1">
        <f t="array" ref="AO63">$E$10*(1+$AM63)+VLOOKUP($Q63,武学奇术!$A:$ZZ,4,FALSE)+SUM(_xlfn.XLOOKUP($R63:$AF63,增益!$A:$A,增益!$D:$D,0))-$I$2</f>
        <v>3052.34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0.442</v>
      </c>
      <c r="AQ63" s="30" cm="1">
        <f t="array" ref="AQ63">$G$10+VLOOKUP($Q63,武学奇术!$A:$ZZ,7,FALSE)+SUM(_xlfn.XLOOKUP(R63:AF63,增益!$A:$A,增益!$G:$G,0))</f>
        <v>0</v>
      </c>
      <c r="AR63" s="23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-0.08</v>
      </c>
      <c r="AV63" s="30" cm="1">
        <f t="array" ref="AV63">$G$11+VLOOKUP($Q63,武学奇术!$A:$ZZ,10,FALSE)+SUM(_xlfn.XLOOKUP(R63:AF63,增益!$A:$A,增益!$J:$J,0))</f>
        <v>0</v>
      </c>
      <c r="AW63">
        <f t="shared" si="26"/>
        <v>634.5</v>
      </c>
      <c r="AX63">
        <f t="shared" si="27"/>
        <v>1443.3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0.198</v>
      </c>
      <c r="AZ63" s="30" cm="1">
        <f t="array" ref="AZ63">$G$12+VLOOKUP($Q63,武学奇术!$A:$ZZ,12,FALSE)+SUM(_xlfn.XLOOKUP(R63:AF63,增益!$A:$A,增益!$L:$L,0))</f>
        <v>0.148</v>
      </c>
      <c r="BA63">
        <f t="shared" si="28"/>
        <v>0</v>
      </c>
      <c r="BB63">
        <f t="shared" si="29"/>
        <v>0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-0.08</v>
      </c>
      <c r="BD63" s="30" cm="1">
        <f t="array" ref="BD63">$G$13+VLOOKUP($Q63,武学奇术!$A:$ZZ,14,FALSE)+SUM(_xlfn.XLOOKUP(R63:AF63,增益!$A:$A,增益!$N:$N,0))</f>
        <v>0</v>
      </c>
      <c r="BE63">
        <f t="shared" si="30"/>
        <v>0</v>
      </c>
      <c r="BF63">
        <f t="shared" si="31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-0.08</v>
      </c>
      <c r="BH63" s="30" cm="1">
        <f t="array" ref="BH63">$G$14+VLOOKUP($Q63,武学奇术!$A:$ZZ,16,FALSE)+SUM(_xlfn.XLOOKUP(R63:AF63,增益!$A:$A,增益!$P:$P,0))</f>
        <v>0</v>
      </c>
      <c r="BI63" s="23">
        <f>MIN(IF(VLOOKUP($Q63,武学奇术!$A:$ZZ,23,FALSE)=1,100%,$B$8),100%)</f>
        <v>0.8626</v>
      </c>
      <c r="BJ63" s="23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0.8697</v>
      </c>
      <c r="BK63" s="23" cm="1">
        <f t="array" ref="BK63">1+$B$13+VLOOKUP($Q63,武学奇术!$A:$ZZ,18,FALSE)+SUM(_xlfn.XLOOKUP(R63:AF63,增益!$A:$A,增益!$R:$R,0))</f>
        <v>1.85</v>
      </c>
      <c r="BL63" s="23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0.0986</v>
      </c>
      <c r="BM63" s="23" cm="1">
        <f t="array" ref="BM63">1+$B$14+VLOOKUP($Q63,武学奇术!$A:$ZZ,20,FALSE)+SUM(_xlfn.XLOOKUP(R63:AF63,增益!$A:$A,增益!$T:$T,0))</f>
        <v>1.35</v>
      </c>
      <c r="BN63" s="23">
        <f t="shared" si="22"/>
        <v>0.75020322</v>
      </c>
      <c r="BO63" s="23">
        <f t="shared" si="17"/>
        <v>0.0273444200000001</v>
      </c>
      <c r="BP63" s="23">
        <f>IF(VLOOKUP($Q63,武学奇术!$A:$ZZ,22,FALSE)=1,0,(1-$BI63))*(1-$BL63)</f>
        <v>0.12385236</v>
      </c>
      <c r="BQ63" s="23" cm="1">
        <f t="array" ref="BQ63">SUM(_xlfn.XLOOKUP(R63:AF63,增益!$A:$A,增益!$W:$W,0))</f>
        <v>0.13</v>
      </c>
    </row>
    <row r="64" spans="1:69">
      <c r="A64" s="4" t="s">
        <v>151</v>
      </c>
      <c r="B64" s="4">
        <v>2</v>
      </c>
      <c r="K64" s="36">
        <f t="shared" si="23"/>
        <v>14571.6084602813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16183.0526484314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12880.4418635761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8517.39613075338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7493.72421441335</v>
      </c>
      <c r="P64" s="37">
        <v>1</v>
      </c>
      <c r="Q64" s="38" t="s">
        <v>102</v>
      </c>
      <c r="R64" s="38" t="s">
        <v>89</v>
      </c>
      <c r="S64" s="38" t="s">
        <v>72</v>
      </c>
      <c r="T64" s="38" t="s">
        <v>72</v>
      </c>
      <c r="U64" s="38" t="s">
        <v>111</v>
      </c>
      <c r="V64" s="38" t="s">
        <v>72</v>
      </c>
      <c r="W64" s="38" t="s">
        <v>72</v>
      </c>
      <c r="X64" s="38" t="s">
        <v>72</v>
      </c>
      <c r="Y64" s="38" t="s">
        <v>72</v>
      </c>
      <c r="Z64" s="38" t="s">
        <v>72</v>
      </c>
      <c r="AA64" s="38" t="s">
        <v>68</v>
      </c>
      <c r="AB64" s="38" t="s">
        <v>72</v>
      </c>
      <c r="AC64" s="38" t="s">
        <v>72</v>
      </c>
      <c r="AD64" s="38" t="s">
        <v>72</v>
      </c>
      <c r="AE64" s="38" t="s">
        <v>90</v>
      </c>
      <c r="AF64" s="38" t="s">
        <v>74</v>
      </c>
      <c r="AG64" t="str">
        <f>VLOOKUP($Q64,武学奇术!$A:$ZZ,25,FALSE)</f>
        <v>陌刀</v>
      </c>
      <c r="AH64" s="23">
        <f>VLOOKUP($Q64,武学奇术!$A:$ZZ,26,FALSE)</f>
        <v>0.5</v>
      </c>
      <c r="AI64" s="24">
        <f>VLOOKUP($Q64,武学奇术!$A:$ZZ,27,FALSE)*(1+IF(OR($AG64=$F$4,$AG64=$F$5),$B$22,0))</f>
        <v>0</v>
      </c>
      <c r="AJ64" s="23">
        <f>VLOOKUP($Q64,武学奇术!$A:$ZZ,28,FALSE)</f>
        <v>0.75</v>
      </c>
      <c r="AK64" s="24">
        <f>VLOOKUP($Q64,武学奇术!$A:$ZZ,29,FALSE)*(1+IF(OR($AG64=$F$4,$AG64=$F$5),$B$22,0))</f>
        <v>0</v>
      </c>
      <c r="AL64" s="23" cm="1">
        <f t="array" ref="AL64">$G$3+IFERROR(VLOOKUP($AG64,$F$4:$G$7,2,FALSE),0)+VLOOKUP($Q64,武学奇术!$A:$ZZ,2,FALSE)+SUM(_xlfn.XLOOKUP($R64:$AF64,增益!$A:$A,增益!$B:$B,0))</f>
        <v>0.763</v>
      </c>
      <c r="AM64" s="23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3052.34</v>
      </c>
      <c r="AO64" cm="1">
        <f t="array" ref="AO64">$E$10*(1+$AM64)+VLOOKUP($Q64,武学奇术!$A:$ZZ,4,FALSE)+SUM(_xlfn.XLOOKUP($R64:$AF64,增益!$A:$A,增益!$D:$D,0))-$I$2</f>
        <v>3052.34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0.467</v>
      </c>
      <c r="AQ64" s="30" cm="1">
        <f t="array" ref="AQ64">$G$10+VLOOKUP($Q64,武学奇术!$A:$ZZ,7,FALSE)+SUM(_xlfn.XLOOKUP(R64:AF64,增益!$A:$A,增益!$G:$G,0))</f>
        <v>0</v>
      </c>
      <c r="AR64" s="23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-0.24</v>
      </c>
      <c r="AV64" s="30" cm="1">
        <f t="array" ref="AV64">$G$11+VLOOKUP($Q64,武学奇术!$A:$ZZ,10,FALSE)+SUM(_xlfn.XLOOKUP(R64:AF64,增益!$A:$A,增益!$J:$J,0))</f>
        <v>0</v>
      </c>
      <c r="AW64">
        <f t="shared" si="26"/>
        <v>634.5</v>
      </c>
      <c r="AX64">
        <f t="shared" si="27"/>
        <v>1443.3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0.118</v>
      </c>
      <c r="AZ64" s="30" cm="1">
        <f t="array" ref="AZ64">$G$12+VLOOKUP($Q64,武学奇术!$A:$ZZ,12,FALSE)+SUM(_xlfn.XLOOKUP(R64:AF64,增益!$A:$A,增益!$L:$L,0))</f>
        <v>0.148</v>
      </c>
      <c r="BA64">
        <f t="shared" si="28"/>
        <v>0</v>
      </c>
      <c r="BB64">
        <f t="shared" si="29"/>
        <v>0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-0.24</v>
      </c>
      <c r="BD64" s="30" cm="1">
        <f t="array" ref="BD64">$G$13+VLOOKUP($Q64,武学奇术!$A:$ZZ,14,FALSE)+SUM(_xlfn.XLOOKUP(R64:AF64,增益!$A:$A,增益!$N:$N,0))</f>
        <v>0</v>
      </c>
      <c r="BE64">
        <f t="shared" si="30"/>
        <v>0</v>
      </c>
      <c r="BF64">
        <f t="shared" si="31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-0.24</v>
      </c>
      <c r="BH64" s="30" cm="1">
        <f t="array" ref="BH64">$G$14+VLOOKUP($Q64,武学奇术!$A:$ZZ,16,FALSE)+SUM(_xlfn.XLOOKUP(R64:AF64,增益!$A:$A,增益!$P:$P,0))</f>
        <v>0</v>
      </c>
      <c r="BI64" s="23">
        <f>MIN(IF(VLOOKUP($Q64,武学奇术!$A:$ZZ,23,FALSE)=1,100%,$B$8),100%)</f>
        <v>0.8626</v>
      </c>
      <c r="BJ64" s="23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0.8697</v>
      </c>
      <c r="BK64" s="23" cm="1">
        <f t="array" ref="BK64">1+$B$13+VLOOKUP($Q64,武学奇术!$A:$ZZ,18,FALSE)+SUM(_xlfn.XLOOKUP(R64:AF64,增益!$A:$A,增益!$R:$R,0))</f>
        <v>1.9</v>
      </c>
      <c r="BL64" s="23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0.0986</v>
      </c>
      <c r="BM64" s="23" cm="1">
        <f t="array" ref="BM64">1+$B$14+VLOOKUP($Q64,武学奇术!$A:$ZZ,20,FALSE)+SUM(_xlfn.XLOOKUP(R64:AF64,增益!$A:$A,增益!$T:$T,0))</f>
        <v>1.35</v>
      </c>
      <c r="BN64" s="23">
        <f t="shared" si="22"/>
        <v>0.75020322</v>
      </c>
      <c r="BO64" s="23">
        <f t="shared" si="17"/>
        <v>0.0273444200000001</v>
      </c>
      <c r="BP64" s="23">
        <f>IF(VLOOKUP($Q64,武学奇术!$A:$ZZ,22,FALSE)=1,0,(1-$BI64))*(1-$BL64)</f>
        <v>0.12385236</v>
      </c>
      <c r="BQ64" s="23" cm="1">
        <f t="array" ref="BQ64">SUM(_xlfn.XLOOKUP(R64:AF64,增益!$A:$A,增益!$W:$W,0))</f>
        <v>0.13</v>
      </c>
    </row>
    <row r="65" spans="1:69">
      <c r="A65" s="4" t="s">
        <v>152</v>
      </c>
      <c r="B65" s="4">
        <v>3.3</v>
      </c>
      <c r="K65" s="36">
        <f t="shared" si="23"/>
        <v>26228.8952285064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29129.4947671766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23184.795354437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15331.3130353561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13488.703585944</v>
      </c>
      <c r="P65" s="37">
        <v>1</v>
      </c>
      <c r="Q65" s="38" t="s">
        <v>136</v>
      </c>
      <c r="R65" s="38" t="s">
        <v>89</v>
      </c>
      <c r="S65" s="38" t="s">
        <v>72</v>
      </c>
      <c r="T65" s="38" t="s">
        <v>72</v>
      </c>
      <c r="U65" s="38" t="s">
        <v>111</v>
      </c>
      <c r="V65" s="38" t="s">
        <v>72</v>
      </c>
      <c r="W65" s="38" t="s">
        <v>72</v>
      </c>
      <c r="X65" s="38" t="s">
        <v>72</v>
      </c>
      <c r="Y65" s="38" t="s">
        <v>72</v>
      </c>
      <c r="Z65" s="38" t="s">
        <v>72</v>
      </c>
      <c r="AA65" s="38" t="s">
        <v>68</v>
      </c>
      <c r="AB65" s="38" t="s">
        <v>72</v>
      </c>
      <c r="AC65" s="38" t="s">
        <v>72</v>
      </c>
      <c r="AD65" s="38" t="s">
        <v>72</v>
      </c>
      <c r="AE65" s="38" t="s">
        <v>90</v>
      </c>
      <c r="AF65" s="38" t="s">
        <v>74</v>
      </c>
      <c r="AG65" t="str">
        <f>VLOOKUP($Q65,武学奇术!$A:$ZZ,25,FALSE)</f>
        <v>陌刀</v>
      </c>
      <c r="AH65" s="23">
        <f>VLOOKUP($Q65,武学奇术!$A:$ZZ,26,FALSE)</f>
        <v>0.9</v>
      </c>
      <c r="AI65" s="24">
        <f>VLOOKUP($Q65,武学奇术!$A:$ZZ,27,FALSE)*(1+IF(OR($AG65=$F$4,$AG65=$F$5),$B$22,0))</f>
        <v>0</v>
      </c>
      <c r="AJ65" s="23">
        <f>VLOOKUP($Q65,武学奇术!$A:$ZZ,28,FALSE)</f>
        <v>1.35</v>
      </c>
      <c r="AK65" s="24">
        <f>VLOOKUP($Q65,武学奇术!$A:$ZZ,29,FALSE)*(1+IF(OR($AG65=$F$4,$AG65=$F$5),$B$22,0))</f>
        <v>0</v>
      </c>
      <c r="AL65" s="23" cm="1">
        <f t="array" ref="AL65">$G$3+IFERROR(VLOOKUP($AG65,$F$4:$G$7,2,FALSE),0)+VLOOKUP($Q65,武学奇术!$A:$ZZ,2,FALSE)+SUM(_xlfn.XLOOKUP($R65:$AF65,增益!$A:$A,增益!$B:$B,0))</f>
        <v>0.763</v>
      </c>
      <c r="AM65" s="23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3052.34</v>
      </c>
      <c r="AO65" cm="1">
        <f t="array" ref="AO65">$E$10*(1+$AM65)+VLOOKUP($Q65,武学奇术!$A:$ZZ,4,FALSE)+SUM(_xlfn.XLOOKUP($R65:$AF65,增益!$A:$A,增益!$D:$D,0))-$I$2</f>
        <v>3052.34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0.467</v>
      </c>
      <c r="AQ65" s="30" cm="1">
        <f t="array" ref="AQ65">$G$10+VLOOKUP($Q65,武学奇术!$A:$ZZ,7,FALSE)+SUM(_xlfn.XLOOKUP(R65:AF65,增益!$A:$A,增益!$G:$G,0))</f>
        <v>0</v>
      </c>
      <c r="AR65" s="23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-0.24</v>
      </c>
      <c r="AV65" s="30" cm="1">
        <f t="array" ref="AV65">$G$11+VLOOKUP($Q65,武学奇术!$A:$ZZ,10,FALSE)+SUM(_xlfn.XLOOKUP(R65:AF65,增益!$A:$A,增益!$J:$J,0))</f>
        <v>0</v>
      </c>
      <c r="AW65">
        <f t="shared" si="26"/>
        <v>634.5</v>
      </c>
      <c r="AX65">
        <f t="shared" si="27"/>
        <v>1443.3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0.118</v>
      </c>
      <c r="AZ65" s="30" cm="1">
        <f t="array" ref="AZ65">$G$12+VLOOKUP($Q65,武学奇术!$A:$ZZ,12,FALSE)+SUM(_xlfn.XLOOKUP(R65:AF65,增益!$A:$A,增益!$L:$L,0))</f>
        <v>0.148</v>
      </c>
      <c r="BA65">
        <f t="shared" si="28"/>
        <v>0</v>
      </c>
      <c r="BB65">
        <f t="shared" si="29"/>
        <v>0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-0.24</v>
      </c>
      <c r="BD65" s="30" cm="1">
        <f t="array" ref="BD65">$G$13+VLOOKUP($Q65,武学奇术!$A:$ZZ,14,FALSE)+SUM(_xlfn.XLOOKUP(R65:AF65,增益!$A:$A,增益!$N:$N,0))</f>
        <v>0</v>
      </c>
      <c r="BE65">
        <f t="shared" si="30"/>
        <v>0</v>
      </c>
      <c r="BF65">
        <f t="shared" si="31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-0.24</v>
      </c>
      <c r="BH65" s="30" cm="1">
        <f t="array" ref="BH65">$G$14+VLOOKUP($Q65,武学奇术!$A:$ZZ,16,FALSE)+SUM(_xlfn.XLOOKUP(R65:AF65,增益!$A:$A,增益!$P:$P,0))</f>
        <v>0</v>
      </c>
      <c r="BI65" s="23">
        <f>MIN(IF(VLOOKUP($Q65,武学奇术!$A:$ZZ,23,FALSE)=1,100%,$B$8),100%)</f>
        <v>0.8626</v>
      </c>
      <c r="BJ65" s="23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0.8697</v>
      </c>
      <c r="BK65" s="23" cm="1">
        <f t="array" ref="BK65">1+$B$13+VLOOKUP($Q65,武学奇术!$A:$ZZ,18,FALSE)+SUM(_xlfn.XLOOKUP(R65:AF65,增益!$A:$A,增益!$R:$R,0))</f>
        <v>1.9</v>
      </c>
      <c r="BL65" s="23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0.0986</v>
      </c>
      <c r="BM65" s="23" cm="1">
        <f t="array" ref="BM65">1+$B$14+VLOOKUP($Q65,武学奇术!$A:$ZZ,20,FALSE)+SUM(_xlfn.XLOOKUP(R65:AF65,增益!$A:$A,增益!$T:$T,0))</f>
        <v>1.35</v>
      </c>
      <c r="BN65" s="23">
        <f t="shared" si="22"/>
        <v>0.75020322</v>
      </c>
      <c r="BO65" s="23">
        <f t="shared" si="17"/>
        <v>0.0273444200000001</v>
      </c>
      <c r="BP65" s="23">
        <f>IF(VLOOKUP($Q65,武学奇术!$A:$ZZ,22,FALSE)=1,0,(1-$BI65))*(1-$BL65)</f>
        <v>0.12385236</v>
      </c>
      <c r="BQ65" s="23" cm="1">
        <f t="array" ref="BQ65">SUM(_xlfn.XLOOKUP(R65:AF65,增益!$A:$A,增益!$W:$W,0))</f>
        <v>0.13</v>
      </c>
    </row>
    <row r="66" spans="1:69">
      <c r="A66" s="4" t="s">
        <v>156</v>
      </c>
      <c r="B66" s="4">
        <v>1.1</v>
      </c>
      <c r="K66" s="36">
        <f t="shared" si="23"/>
        <v>190378.382137789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211448.777327217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166085.256431771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111288.83017222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99551.5444690536</v>
      </c>
      <c r="P66" s="37">
        <v>1</v>
      </c>
      <c r="Q66" s="38" t="s">
        <v>137</v>
      </c>
      <c r="R66" s="38" t="s">
        <v>89</v>
      </c>
      <c r="S66" s="38" t="s">
        <v>72</v>
      </c>
      <c r="T66" s="38" t="s">
        <v>72</v>
      </c>
      <c r="U66" s="38" t="s">
        <v>111</v>
      </c>
      <c r="V66" s="38" t="s">
        <v>72</v>
      </c>
      <c r="W66" s="38" t="s">
        <v>72</v>
      </c>
      <c r="X66" s="38" t="s">
        <v>72</v>
      </c>
      <c r="Y66" s="38" t="s">
        <v>72</v>
      </c>
      <c r="Z66" s="38" t="s">
        <v>72</v>
      </c>
      <c r="AA66" s="38" t="s">
        <v>68</v>
      </c>
      <c r="AB66" s="38" t="s">
        <v>72</v>
      </c>
      <c r="AC66" s="38" t="s">
        <v>72</v>
      </c>
      <c r="AD66" s="38" t="s">
        <v>72</v>
      </c>
      <c r="AE66" s="38" t="s">
        <v>90</v>
      </c>
      <c r="AF66" s="38" t="s">
        <v>74</v>
      </c>
      <c r="AG66" t="str">
        <f>VLOOKUP($Q66,武学奇术!$A:$ZZ,25,FALSE)</f>
        <v>陌刀</v>
      </c>
      <c r="AH66" s="23">
        <f>VLOOKUP($Q66,武学奇术!$A:$ZZ,26,FALSE)</f>
        <v>5.733</v>
      </c>
      <c r="AI66" s="24">
        <f>VLOOKUP($Q66,武学奇术!$A:$ZZ,27,FALSE)*(1+IF(OR($AG66=$F$4,$AG66=$F$5),$B$22,0))</f>
        <v>2060.5</v>
      </c>
      <c r="AJ66" s="23">
        <f>VLOOKUP($Q66,武学奇术!$A:$ZZ,28,FALSE)</f>
        <v>8.5994</v>
      </c>
      <c r="AK66" s="24">
        <f>VLOOKUP($Q66,武学奇术!$A:$ZZ,29,FALSE)*(1+IF(OR($AG66=$F$4,$AG66=$F$5),$B$22,0))</f>
        <v>1121.9</v>
      </c>
      <c r="AL66" s="23" cm="1">
        <f t="array" ref="AL66">$G$3+IFERROR(VLOOKUP($AG66,$F$4:$G$7,2,FALSE),0)+VLOOKUP($Q66,武学奇术!$A:$ZZ,2,FALSE)+SUM(_xlfn.XLOOKUP($R66:$AF66,增益!$A:$A,增益!$B:$B,0))</f>
        <v>0.763</v>
      </c>
      <c r="AM66" s="23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3052.34</v>
      </c>
      <c r="AO66" cm="1">
        <f t="array" ref="AO66">$E$10*(1+$AM66)+VLOOKUP($Q66,武学奇术!$A:$ZZ,4,FALSE)+SUM(_xlfn.XLOOKUP($R66:$AF66,增益!$A:$A,增益!$D:$D,0))-$I$2</f>
        <v>3052.34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0.467</v>
      </c>
      <c r="AQ66" s="30" cm="1">
        <f t="array" ref="AQ66">$G$10+VLOOKUP($Q66,武学奇术!$A:$ZZ,7,FALSE)+SUM(_xlfn.XLOOKUP(R66:AF66,增益!$A:$A,增益!$G:$G,0))</f>
        <v>0</v>
      </c>
      <c r="AR66" s="23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-0.24</v>
      </c>
      <c r="AV66" s="30" cm="1">
        <f t="array" ref="AV66">$G$11+VLOOKUP($Q66,武学奇术!$A:$ZZ,10,FALSE)+SUM(_xlfn.XLOOKUP(R66:AF66,增益!$A:$A,增益!$J:$J,0))</f>
        <v>0</v>
      </c>
      <c r="AW66">
        <f t="shared" si="26"/>
        <v>634.5</v>
      </c>
      <c r="AX66">
        <f t="shared" si="27"/>
        <v>1443.3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0.118</v>
      </c>
      <c r="AZ66" s="30" cm="1">
        <f t="array" ref="AZ66">$G$12+VLOOKUP($Q66,武学奇术!$A:$ZZ,12,FALSE)+SUM(_xlfn.XLOOKUP(R66:AF66,增益!$A:$A,增益!$L:$L,0))</f>
        <v>0.148</v>
      </c>
      <c r="BA66">
        <f t="shared" si="28"/>
        <v>0</v>
      </c>
      <c r="BB66">
        <f t="shared" si="29"/>
        <v>0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-0.24</v>
      </c>
      <c r="BD66" s="30" cm="1">
        <f t="array" ref="BD66">$G$13+VLOOKUP($Q66,武学奇术!$A:$ZZ,14,FALSE)+SUM(_xlfn.XLOOKUP(R66:AF66,增益!$A:$A,增益!$N:$N,0))</f>
        <v>0</v>
      </c>
      <c r="BE66">
        <f t="shared" si="30"/>
        <v>0</v>
      </c>
      <c r="BF66">
        <f t="shared" si="31"/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-0.24</v>
      </c>
      <c r="BH66" s="30" cm="1">
        <f t="array" ref="BH66">$G$14+VLOOKUP($Q66,武学奇术!$A:$ZZ,16,FALSE)+SUM(_xlfn.XLOOKUP(R66:AF66,增益!$A:$A,增益!$P:$P,0))</f>
        <v>0</v>
      </c>
      <c r="BI66" s="23">
        <f>MIN(IF(VLOOKUP($Q66,武学奇术!$A:$ZZ,23,FALSE)=1,100%,$B$8),100%)</f>
        <v>0.8626</v>
      </c>
      <c r="BJ66" s="23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0.8697</v>
      </c>
      <c r="BK66" s="23" cm="1">
        <f t="array" ref="BK66">1+$B$13+VLOOKUP($Q66,武学奇术!$A:$ZZ,18,FALSE)+SUM(_xlfn.XLOOKUP(R66:AF66,增益!$A:$A,增益!$R:$R,0))</f>
        <v>1.9</v>
      </c>
      <c r="BL66" s="23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0.0986</v>
      </c>
      <c r="BM66" s="23" cm="1">
        <f t="array" ref="BM66">1+$B$14+VLOOKUP($Q66,武学奇术!$A:$ZZ,20,FALSE)+SUM(_xlfn.XLOOKUP(R66:AF66,增益!$A:$A,增益!$T:$T,0))</f>
        <v>1.35</v>
      </c>
      <c r="BN66" s="23">
        <f t="shared" si="22"/>
        <v>0.75020322</v>
      </c>
      <c r="BO66" s="23">
        <f t="shared" si="17"/>
        <v>0.0273444200000001</v>
      </c>
      <c r="BP66" s="23">
        <f>IF(VLOOKUP($Q66,武学奇术!$A:$ZZ,22,FALSE)=1,0,(1-$BI66))*(1-$BL66)</f>
        <v>0.12385236</v>
      </c>
      <c r="BQ66" s="23" cm="1">
        <f t="array" ref="BQ66">SUM(_xlfn.XLOOKUP(R66:AF66,增益!$A:$A,增益!$W:$W,0))</f>
        <v>0.13</v>
      </c>
    </row>
    <row r="67" spans="1:69">
      <c r="A67" t="s">
        <v>145</v>
      </c>
      <c r="B67" s="4">
        <v>0.2</v>
      </c>
      <c r="K67" s="36">
        <f t="shared" si="23"/>
        <v>90170.7809695228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100575.372322746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77662.5716065837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51577.1140116646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45626.3972036375</v>
      </c>
      <c r="P67" s="37">
        <v>3</v>
      </c>
      <c r="Q67" s="38" t="s">
        <v>70</v>
      </c>
      <c r="R67" s="38" t="s">
        <v>89</v>
      </c>
      <c r="S67" s="38" t="s">
        <v>72</v>
      </c>
      <c r="T67" s="38" t="s">
        <v>72</v>
      </c>
      <c r="U67" s="38" t="s">
        <v>80</v>
      </c>
      <c r="V67" s="38" t="s">
        <v>72</v>
      </c>
      <c r="W67" s="38" t="s">
        <v>72</v>
      </c>
      <c r="X67" s="38" t="s">
        <v>122</v>
      </c>
      <c r="Y67" s="38" t="s">
        <v>72</v>
      </c>
      <c r="Z67" s="38" t="s">
        <v>72</v>
      </c>
      <c r="AA67" s="38" t="s">
        <v>72</v>
      </c>
      <c r="AB67" s="38" t="s">
        <v>72</v>
      </c>
      <c r="AC67" s="38" t="s">
        <v>72</v>
      </c>
      <c r="AD67" s="38" t="s">
        <v>72</v>
      </c>
      <c r="AE67" s="38" t="s">
        <v>90</v>
      </c>
      <c r="AF67" s="38" t="s">
        <v>74</v>
      </c>
      <c r="AG67" t="str">
        <f>VLOOKUP($Q67,武学奇术!$A:$ZZ,25,FALSE)</f>
        <v>群体奇术</v>
      </c>
      <c r="AH67" s="23">
        <f>VLOOKUP($Q67,武学奇术!$A:$ZZ,26,FALSE)</f>
        <v>1.4902</v>
      </c>
      <c r="AI67" s="24">
        <f>VLOOKUP($Q67,武学奇术!$A:$ZZ,27,FALSE)*(1+IF(OR($AG67=$F$4,$AG67=$F$5),$B$22,0))</f>
        <v>358</v>
      </c>
      <c r="AJ67" s="23">
        <f>VLOOKUP($Q67,武学奇术!$A:$ZZ,28,FALSE)</f>
        <v>2.2353</v>
      </c>
      <c r="AK67" s="24">
        <f>VLOOKUP($Q67,武学奇术!$A:$ZZ,29,FALSE)*(1+IF(OR($AG67=$F$4,$AG67=$F$5),$B$22,0))</f>
        <v>0</v>
      </c>
      <c r="AL67" s="23" cm="1">
        <f t="array" ref="AL67">$G$3+IFERROR(VLOOKUP($AG67,$F$4:$G$7,2,FALSE),0)+VLOOKUP($Q67,武学奇术!$A:$ZZ,2,FALSE)+SUM(_xlfn.XLOOKUP($R67:$AF67,增益!$A:$A,增益!$B:$B,0))</f>
        <v>0.513</v>
      </c>
      <c r="AM67" s="23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3052.34</v>
      </c>
      <c r="AO67" cm="1">
        <f t="array" ref="AO67">$E$10*(1+$AM67)+VLOOKUP($Q67,武学奇术!$A:$ZZ,4,FALSE)+SUM(_xlfn.XLOOKUP($R67:$AF67,增益!$A:$A,增益!$D:$D,0))-$I$2</f>
        <v>3052.34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0.442</v>
      </c>
      <c r="AQ67" s="30" cm="1">
        <f t="array" ref="AQ67">$G$10+VLOOKUP($Q67,武学奇术!$A:$ZZ,7,FALSE)+SUM(_xlfn.XLOOKUP(R67:AF67,增益!$A:$A,增益!$G:$G,0))</f>
        <v>0</v>
      </c>
      <c r="AR67" s="23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-0.24</v>
      </c>
      <c r="AV67" s="30" cm="1">
        <f t="array" ref="AV67">$G$11+VLOOKUP($Q67,武学奇术!$A:$ZZ,10,FALSE)+SUM(_xlfn.XLOOKUP(R67:AF67,增益!$A:$A,增益!$J:$J,0))</f>
        <v>0</v>
      </c>
      <c r="AW67">
        <f t="shared" si="26"/>
        <v>634.5</v>
      </c>
      <c r="AX67">
        <f t="shared" si="27"/>
        <v>1443.3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0.118</v>
      </c>
      <c r="AZ67" s="30" cm="1">
        <f t="array" ref="AZ67">$G$12+VLOOKUP($Q67,武学奇术!$A:$ZZ,12,FALSE)+SUM(_xlfn.XLOOKUP(R67:AF67,增益!$A:$A,增益!$L:$L,0))</f>
        <v>0.148</v>
      </c>
      <c r="BA67">
        <f t="shared" si="28"/>
        <v>0</v>
      </c>
      <c r="BB67">
        <f t="shared" si="29"/>
        <v>0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-0.24</v>
      </c>
      <c r="BD67" s="30" cm="1">
        <f t="array" ref="BD67">$G$13+VLOOKUP($Q67,武学奇术!$A:$ZZ,14,FALSE)+SUM(_xlfn.XLOOKUP(R67:AF67,增益!$A:$A,增益!$N:$N,0))</f>
        <v>0</v>
      </c>
      <c r="BE67">
        <f t="shared" si="30"/>
        <v>0</v>
      </c>
      <c r="BF67">
        <f t="shared" si="31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-0.24</v>
      </c>
      <c r="BH67" s="30" cm="1">
        <f t="array" ref="BH67">$G$14+VLOOKUP($Q67,武学奇术!$A:$ZZ,16,FALSE)+SUM(_xlfn.XLOOKUP(R67:AF67,增益!$A:$A,增益!$P:$P,0))</f>
        <v>0</v>
      </c>
      <c r="BI67" s="23">
        <f>MIN(IF(VLOOKUP($Q67,武学奇术!$A:$ZZ,23,FALSE)=1,100%,$B$8),100%)</f>
        <v>0.8626</v>
      </c>
      <c r="BJ67" s="23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0.8697</v>
      </c>
      <c r="BK67" s="23" cm="1">
        <f t="array" ref="BK67">1+$B$13+VLOOKUP($Q67,武学奇术!$A:$ZZ,18,FALSE)+SUM(_xlfn.XLOOKUP(R67:AF67,增益!$A:$A,增益!$R:$R,0))</f>
        <v>1.95</v>
      </c>
      <c r="BL67" s="23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0.0986</v>
      </c>
      <c r="BM67" s="23" cm="1">
        <f t="array" ref="BM67">1+$B$14+VLOOKUP($Q67,武学奇术!$A:$ZZ,20,FALSE)+SUM(_xlfn.XLOOKUP(R67:AF67,增益!$A:$A,增益!$T:$T,0))</f>
        <v>1.35</v>
      </c>
      <c r="BN67" s="23">
        <f t="shared" si="22"/>
        <v>0.75020322</v>
      </c>
      <c r="BO67" s="23">
        <f t="shared" ref="BO67:BO101" si="32">1-BL67-BN67-BP67</f>
        <v>0.0273444200000001</v>
      </c>
      <c r="BP67" s="23">
        <f>IF(VLOOKUP($Q67,武学奇术!$A:$ZZ,22,FALSE)=1,0,(1-$BI67))*(1-$BL67)</f>
        <v>0.12385236</v>
      </c>
      <c r="BQ67" s="23" cm="1">
        <f t="array" ref="BQ67">SUM(_xlfn.XLOOKUP(R67:AF67,增益!$A:$A,增益!$W:$W,0))</f>
        <v>0.13</v>
      </c>
    </row>
    <row r="68" spans="1:69">
      <c r="A68" t="s">
        <v>143</v>
      </c>
      <c r="B68">
        <v>1</v>
      </c>
      <c r="C68" t="s">
        <v>157</v>
      </c>
      <c r="K68" s="36">
        <f t="shared" si="23"/>
        <v>70753.4741530769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78917.5487842195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60938.7730010362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40470.5378380613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35801.2438235032</v>
      </c>
      <c r="P68" s="37">
        <v>2</v>
      </c>
      <c r="Q68" s="38" t="s">
        <v>70</v>
      </c>
      <c r="R68" s="38" t="s">
        <v>89</v>
      </c>
      <c r="S68" s="38" t="s">
        <v>72</v>
      </c>
      <c r="T68" s="38" t="s">
        <v>72</v>
      </c>
      <c r="U68" s="38" t="s">
        <v>80</v>
      </c>
      <c r="V68" s="38" t="s">
        <v>72</v>
      </c>
      <c r="W68" s="38" t="s">
        <v>72</v>
      </c>
      <c r="X68" s="38" t="s">
        <v>122</v>
      </c>
      <c r="Y68" s="38" t="s">
        <v>147</v>
      </c>
      <c r="Z68" s="38" t="s">
        <v>148</v>
      </c>
      <c r="AA68" s="38" t="s">
        <v>72</v>
      </c>
      <c r="AB68" s="38" t="s">
        <v>72</v>
      </c>
      <c r="AC68" s="38" t="s">
        <v>72</v>
      </c>
      <c r="AD68" s="38" t="s">
        <v>72</v>
      </c>
      <c r="AE68" s="38" t="s">
        <v>90</v>
      </c>
      <c r="AF68" s="38" t="s">
        <v>74</v>
      </c>
      <c r="AG68" t="str">
        <f>VLOOKUP($Q68,武学奇术!$A:$ZZ,25,FALSE)</f>
        <v>群体奇术</v>
      </c>
      <c r="AH68" s="23">
        <f>VLOOKUP($Q68,武学奇术!$A:$ZZ,26,FALSE)</f>
        <v>1.4902</v>
      </c>
      <c r="AI68" s="24">
        <f>VLOOKUP($Q68,武学奇术!$A:$ZZ,27,FALSE)*(1+IF(OR($AG68=$F$4,$AG68=$F$5),$B$22,0))</f>
        <v>358</v>
      </c>
      <c r="AJ68" s="23">
        <f>VLOOKUP($Q68,武学奇术!$A:$ZZ,28,FALSE)</f>
        <v>2.2353</v>
      </c>
      <c r="AK68" s="24">
        <f>VLOOKUP($Q68,武学奇术!$A:$ZZ,29,FALSE)*(1+IF(OR($AG68=$F$4,$AG68=$F$5),$B$22,0))</f>
        <v>0</v>
      </c>
      <c r="AL68" s="23" cm="1">
        <f t="array" ref="AL68">$G$3+IFERROR(VLOOKUP($AG68,$F$4:$G$7,2,FALSE),0)+VLOOKUP($Q68,武学奇术!$A:$ZZ,2,FALSE)+SUM(_xlfn.XLOOKUP($R68:$AF68,增益!$A:$A,增益!$B:$B,0))</f>
        <v>0.513</v>
      </c>
      <c r="AM68" s="23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3052.34</v>
      </c>
      <c r="AO68" cm="1">
        <f t="array" ref="AO68">$E$10*(1+$AM68)+VLOOKUP($Q68,武学奇术!$A:$ZZ,4,FALSE)+SUM(_xlfn.XLOOKUP($R68:$AF68,增益!$A:$A,增益!$D:$D,0))-$I$2</f>
        <v>3052.34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0.442</v>
      </c>
      <c r="AQ68" s="30" cm="1">
        <f t="array" ref="AQ68">$G$10+VLOOKUP($Q68,武学奇术!$A:$ZZ,7,FALSE)+SUM(_xlfn.XLOOKUP(R68:AF68,增益!$A:$A,增益!$G:$G,0))</f>
        <v>0</v>
      </c>
      <c r="AR68" s="23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-0.24</v>
      </c>
      <c r="AV68" s="30" cm="1">
        <f t="array" ref="AV68">$G$11+VLOOKUP($Q68,武学奇术!$A:$ZZ,10,FALSE)+SUM(_xlfn.XLOOKUP(R68:AF68,增益!$A:$A,增益!$J:$J,0))</f>
        <v>0.1</v>
      </c>
      <c r="AW68">
        <f t="shared" si="26"/>
        <v>634.5</v>
      </c>
      <c r="AX68">
        <f t="shared" si="27"/>
        <v>1443.3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0.118</v>
      </c>
      <c r="AZ68" s="30" cm="1">
        <f t="array" ref="AZ68">$G$12+VLOOKUP($Q68,武学奇术!$A:$ZZ,12,FALSE)+SUM(_xlfn.XLOOKUP(R68:AF68,增益!$A:$A,增益!$L:$L,0))</f>
        <v>0.148</v>
      </c>
      <c r="BA68">
        <f t="shared" si="28"/>
        <v>0</v>
      </c>
      <c r="BB68">
        <f t="shared" si="29"/>
        <v>0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-0.24</v>
      </c>
      <c r="BD68" s="30" cm="1">
        <f t="array" ref="BD68">$G$13+VLOOKUP($Q68,武学奇术!$A:$ZZ,14,FALSE)+SUM(_xlfn.XLOOKUP(R68:AF68,增益!$A:$A,增益!$N:$N,0))</f>
        <v>0</v>
      </c>
      <c r="BE68">
        <f t="shared" si="30"/>
        <v>0</v>
      </c>
      <c r="BF68">
        <f t="shared" si="31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-0.24</v>
      </c>
      <c r="BH68" s="30" cm="1">
        <f t="array" ref="BH68">$G$14+VLOOKUP($Q68,武学奇术!$A:$ZZ,16,FALSE)+SUM(_xlfn.XLOOKUP(R68:AF68,增益!$A:$A,增益!$P:$P,0))</f>
        <v>0</v>
      </c>
      <c r="BI68" s="23">
        <f>MIN(IF(VLOOKUP($Q68,武学奇术!$A:$ZZ,23,FALSE)=1,100%,$B$8),100%)</f>
        <v>0.8626</v>
      </c>
      <c r="BJ68" s="23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0.8697</v>
      </c>
      <c r="BK68" s="23" cm="1">
        <f t="array" ref="BK68">1+$B$13+VLOOKUP($Q68,武学奇术!$A:$ZZ,18,FALSE)+SUM(_xlfn.XLOOKUP(R68:AF68,增益!$A:$A,增益!$R:$R,0))</f>
        <v>1.95</v>
      </c>
      <c r="BL68" s="23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0.0986</v>
      </c>
      <c r="BM68" s="23" cm="1">
        <f t="array" ref="BM68">1+$B$14+VLOOKUP($Q68,武学奇术!$A:$ZZ,20,FALSE)+SUM(_xlfn.XLOOKUP(R68:AF68,增益!$A:$A,增益!$T:$T,0))</f>
        <v>1.35</v>
      </c>
      <c r="BN68" s="23">
        <f t="shared" si="22"/>
        <v>0.75020322</v>
      </c>
      <c r="BO68" s="23">
        <f t="shared" si="32"/>
        <v>0.0273444200000001</v>
      </c>
      <c r="BP68" s="23">
        <f>IF(VLOOKUP($Q68,武学奇术!$A:$ZZ,22,FALSE)=1,0,(1-$BI68))*(1-$BL68)</f>
        <v>0.12385236</v>
      </c>
      <c r="BQ68" s="23" cm="1">
        <f t="array" ref="BQ68">SUM(_xlfn.XLOOKUP(R68:AF68,增益!$A:$A,增益!$W:$W,0))</f>
        <v>0.33</v>
      </c>
    </row>
    <row r="69" spans="1:69">
      <c r="A69" t="s">
        <v>140</v>
      </c>
      <c r="B69">
        <v>1.3</v>
      </c>
      <c r="K69" s="36">
        <f t="shared" si="23"/>
        <v>28408.5865667069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31688.0458635521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24278.051052599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16250.2799300267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14516.8183396098</v>
      </c>
      <c r="P69" s="37">
        <v>1</v>
      </c>
      <c r="Q69" s="38" t="s">
        <v>143</v>
      </c>
      <c r="R69" s="38" t="s">
        <v>89</v>
      </c>
      <c r="S69" s="38" t="s">
        <v>72</v>
      </c>
      <c r="T69" s="38" t="s">
        <v>72</v>
      </c>
      <c r="U69" s="38" t="s">
        <v>80</v>
      </c>
      <c r="V69" s="38" t="s">
        <v>72</v>
      </c>
      <c r="W69" s="38" t="s">
        <v>72</v>
      </c>
      <c r="X69" s="38" t="s">
        <v>122</v>
      </c>
      <c r="Y69" s="38" t="s">
        <v>72</v>
      </c>
      <c r="Z69" s="38" t="s">
        <v>72</v>
      </c>
      <c r="AA69" s="38" t="s">
        <v>72</v>
      </c>
      <c r="AB69" s="38" t="s">
        <v>72</v>
      </c>
      <c r="AC69" s="38" t="s">
        <v>72</v>
      </c>
      <c r="AD69" s="38" t="s">
        <v>72</v>
      </c>
      <c r="AE69" s="38" t="s">
        <v>90</v>
      </c>
      <c r="AF69" s="38" t="s">
        <v>74</v>
      </c>
      <c r="AG69" t="str">
        <f>VLOOKUP($Q69,武学奇术!$A:$ZZ,25,FALSE)</f>
        <v>横刀</v>
      </c>
      <c r="AH69" s="23">
        <f>VLOOKUP($Q69,武学奇术!$A:$ZZ,26,FALSE)</f>
        <v>1.2338</v>
      </c>
      <c r="AI69" s="24">
        <f>VLOOKUP($Q69,武学奇术!$A:$ZZ,27,FALSE)*(1+IF(OR($AG69=$F$4,$AG69=$F$5),$B$22,0))</f>
        <v>444.6</v>
      </c>
      <c r="AJ69" s="23">
        <f>VLOOKUP($Q69,武学奇术!$A:$ZZ,28,FALSE)</f>
        <v>1.8507</v>
      </c>
      <c r="AK69" s="24">
        <f>VLOOKUP($Q69,武学奇术!$A:$ZZ,29,FALSE)*(1+IF(OR($AG69=$F$4,$AG69=$F$5),$B$22,0))</f>
        <v>241.8</v>
      </c>
      <c r="AL69" s="23" cm="1">
        <f t="array" ref="AL69">$G$3+IFERROR(VLOOKUP($AG69,$F$4:$G$7,2,FALSE),0)+VLOOKUP($Q69,武学奇术!$A:$ZZ,2,FALSE)+SUM(_xlfn.XLOOKUP($R69:$AF69,增益!$A:$A,增益!$B:$B,0))</f>
        <v>0.597</v>
      </c>
      <c r="AM69" s="23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3052.34</v>
      </c>
      <c r="AO69" cm="1">
        <f t="array" ref="AO69">$E$10*(1+$AM69)+VLOOKUP($Q69,武学奇术!$A:$ZZ,4,FALSE)+SUM(_xlfn.XLOOKUP($R69:$AF69,增益!$A:$A,增益!$D:$D,0))-$I$2</f>
        <v>3052.34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0.442</v>
      </c>
      <c r="AQ69" s="30" cm="1">
        <f t="array" ref="AQ69">$G$10+VLOOKUP($Q69,武学奇术!$A:$ZZ,7,FALSE)+SUM(_xlfn.XLOOKUP(R69:AF69,增益!$A:$A,增益!$G:$G,0))</f>
        <v>0</v>
      </c>
      <c r="AR69" s="23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-0.24</v>
      </c>
      <c r="AV69" s="30" cm="1">
        <f t="array" ref="AV69">$G$11+VLOOKUP($Q69,武学奇术!$A:$ZZ,10,FALSE)+SUM(_xlfn.XLOOKUP(R69:AF69,增益!$A:$A,增益!$J:$J,0))</f>
        <v>0</v>
      </c>
      <c r="AW69">
        <f t="shared" si="26"/>
        <v>634.5</v>
      </c>
      <c r="AX69">
        <f t="shared" si="27"/>
        <v>1443.3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0.118</v>
      </c>
      <c r="AZ69" s="30" cm="1">
        <f t="array" ref="AZ69">$G$12+VLOOKUP($Q69,武学奇术!$A:$ZZ,12,FALSE)+SUM(_xlfn.XLOOKUP(R69:AF69,增益!$A:$A,增益!$L:$L,0))</f>
        <v>0.148</v>
      </c>
      <c r="BA69">
        <f t="shared" si="28"/>
        <v>0</v>
      </c>
      <c r="BB69">
        <f t="shared" si="29"/>
        <v>0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-0.24</v>
      </c>
      <c r="BD69" s="30" cm="1">
        <f t="array" ref="BD69">$G$13+VLOOKUP($Q69,武学奇术!$A:$ZZ,14,FALSE)+SUM(_xlfn.XLOOKUP(R69:AF69,增益!$A:$A,增益!$N:$N,0))</f>
        <v>0</v>
      </c>
      <c r="BE69">
        <f t="shared" si="30"/>
        <v>0</v>
      </c>
      <c r="BF69">
        <f t="shared" si="31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-0.24</v>
      </c>
      <c r="BH69" s="30" cm="1">
        <f t="array" ref="BH69">$G$14+VLOOKUP($Q69,武学奇术!$A:$ZZ,16,FALSE)+SUM(_xlfn.XLOOKUP(R69:AF69,增益!$A:$A,增益!$P:$P,0))</f>
        <v>0</v>
      </c>
      <c r="BI69" s="23">
        <f>MIN(IF(VLOOKUP($Q69,武学奇术!$A:$ZZ,23,FALSE)=1,100%,$B$8),100%)</f>
        <v>0.8626</v>
      </c>
      <c r="BJ69" s="23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0.8697</v>
      </c>
      <c r="BK69" s="23" cm="1">
        <f t="array" ref="BK69">1+$B$13+VLOOKUP($Q69,武学奇术!$A:$ZZ,18,FALSE)+SUM(_xlfn.XLOOKUP(R69:AF69,增益!$A:$A,增益!$R:$R,0))</f>
        <v>1.95</v>
      </c>
      <c r="BL69" s="23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0.0986</v>
      </c>
      <c r="BM69" s="23" cm="1">
        <f t="array" ref="BM69">1+$B$14+VLOOKUP($Q69,武学奇术!$A:$ZZ,20,FALSE)+SUM(_xlfn.XLOOKUP(R69:AF69,增益!$A:$A,增益!$T:$T,0))</f>
        <v>1.35</v>
      </c>
      <c r="BN69" s="23">
        <f t="shared" si="22"/>
        <v>0.75020322</v>
      </c>
      <c r="BO69" s="23">
        <f t="shared" si="32"/>
        <v>0.0273444200000001</v>
      </c>
      <c r="BP69" s="23">
        <f>IF(VLOOKUP($Q69,武学奇术!$A:$ZZ,22,FALSE)=1,0,(1-$BI69))*(1-$BL69)</f>
        <v>0.12385236</v>
      </c>
      <c r="BQ69" s="23" cm="1">
        <f t="array" ref="BQ69">SUM(_xlfn.XLOOKUP(R69:AF69,增益!$A:$A,增益!$W:$W,0))</f>
        <v>0.13</v>
      </c>
    </row>
    <row r="70" spans="1:69">
      <c r="A70" t="s">
        <v>93</v>
      </c>
      <c r="B70">
        <v>2.3</v>
      </c>
      <c r="K70" s="36">
        <f t="shared" si="23"/>
        <v>87014.412661643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97059.2614382199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74363.9691452742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49773.9802247282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44463.5388603644</v>
      </c>
      <c r="P70" s="37">
        <v>1</v>
      </c>
      <c r="Q70" s="38" t="s">
        <v>93</v>
      </c>
      <c r="R70" s="38" t="s">
        <v>89</v>
      </c>
      <c r="S70" s="38" t="s">
        <v>72</v>
      </c>
      <c r="T70" s="38" t="s">
        <v>72</v>
      </c>
      <c r="U70" s="38" t="s">
        <v>80</v>
      </c>
      <c r="V70" s="38" t="s">
        <v>72</v>
      </c>
      <c r="W70" s="38" t="s">
        <v>72</v>
      </c>
      <c r="X70" s="38" t="s">
        <v>122</v>
      </c>
      <c r="Y70" s="38" t="s">
        <v>72</v>
      </c>
      <c r="Z70" s="38" t="s">
        <v>72</v>
      </c>
      <c r="AA70" s="38" t="s">
        <v>72</v>
      </c>
      <c r="AB70" s="38" t="s">
        <v>72</v>
      </c>
      <c r="AC70" s="38" t="s">
        <v>72</v>
      </c>
      <c r="AD70" s="38" t="s">
        <v>72</v>
      </c>
      <c r="AE70" s="38" t="s">
        <v>90</v>
      </c>
      <c r="AF70" s="38" t="s">
        <v>74</v>
      </c>
      <c r="AG70" t="str">
        <f>VLOOKUP($Q70,武学奇术!$A:$ZZ,25,FALSE)</f>
        <v>横刀</v>
      </c>
      <c r="AH70" s="23">
        <f>VLOOKUP($Q70,武学奇术!$A:$ZZ,26,FALSE)</f>
        <v>3.7797</v>
      </c>
      <c r="AI70" s="24">
        <f>VLOOKUP($Q70,武学奇术!$A:$ZZ,27,FALSE)*(1+IF(OR($AG70=$F$4,$AG70=$F$5),$B$22,0))</f>
        <v>1358.5</v>
      </c>
      <c r="AJ70" s="23">
        <f>VLOOKUP($Q70,武学奇术!$A:$ZZ,28,FALSE)</f>
        <v>5.6696</v>
      </c>
      <c r="AK70" s="24">
        <f>VLOOKUP($Q70,武学奇术!$A:$ZZ,29,FALSE)*(1+IF(OR($AG70=$F$4,$AG70=$F$5),$B$22,0))</f>
        <v>741</v>
      </c>
      <c r="AL70" s="23" cm="1">
        <f t="array" ref="AL70">$G$3+IFERROR(VLOOKUP($AG70,$F$4:$G$7,2,FALSE),0)+VLOOKUP($Q70,武学奇术!$A:$ZZ,2,FALSE)+SUM(_xlfn.XLOOKUP($R70:$AF70,增益!$A:$A,增益!$B:$B,0))</f>
        <v>0.597</v>
      </c>
      <c r="AM70" s="23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3052.34</v>
      </c>
      <c r="AO70" cm="1">
        <f t="array" ref="AO70">$E$10*(1+$AM70)+VLOOKUP($Q70,武学奇术!$A:$ZZ,4,FALSE)+SUM(_xlfn.XLOOKUP($R70:$AF70,增益!$A:$A,增益!$D:$D,0))-$I$2</f>
        <v>3052.34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0.442</v>
      </c>
      <c r="AQ70" s="30" cm="1">
        <f t="array" ref="AQ70">$G$10+VLOOKUP($Q70,武学奇术!$A:$ZZ,7,FALSE)+SUM(_xlfn.XLOOKUP(R70:AF70,增益!$A:$A,增益!$G:$G,0))</f>
        <v>0</v>
      </c>
      <c r="AR70" s="23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-0.24</v>
      </c>
      <c r="AV70" s="30" cm="1">
        <f t="array" ref="AV70">$G$11+VLOOKUP($Q70,武学奇术!$A:$ZZ,10,FALSE)+SUM(_xlfn.XLOOKUP(R70:AF70,增益!$A:$A,增益!$J:$J,0))</f>
        <v>0</v>
      </c>
      <c r="AW70">
        <f t="shared" si="26"/>
        <v>634.5</v>
      </c>
      <c r="AX70">
        <f t="shared" si="27"/>
        <v>1443.3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0.118</v>
      </c>
      <c r="AZ70" s="30" cm="1">
        <f t="array" ref="AZ70">$G$12+VLOOKUP($Q70,武学奇术!$A:$ZZ,12,FALSE)+SUM(_xlfn.XLOOKUP(R70:AF70,增益!$A:$A,增益!$L:$L,0))</f>
        <v>0.148</v>
      </c>
      <c r="BA70">
        <f t="shared" si="28"/>
        <v>0</v>
      </c>
      <c r="BB70">
        <f t="shared" si="29"/>
        <v>0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-0.24</v>
      </c>
      <c r="BD70" s="30" cm="1">
        <f t="array" ref="BD70">$G$13+VLOOKUP($Q70,武学奇术!$A:$ZZ,14,FALSE)+SUM(_xlfn.XLOOKUP(R70:AF70,增益!$A:$A,增益!$N:$N,0))</f>
        <v>0</v>
      </c>
      <c r="BE70">
        <f t="shared" si="30"/>
        <v>0</v>
      </c>
      <c r="BF70">
        <f t="shared" si="31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-0.24</v>
      </c>
      <c r="BH70" s="30" cm="1">
        <f t="array" ref="BH70">$G$14+VLOOKUP($Q70,武学奇术!$A:$ZZ,16,FALSE)+SUM(_xlfn.XLOOKUP(R70:AF70,增益!$A:$A,增益!$P:$P,0))</f>
        <v>0</v>
      </c>
      <c r="BI70" s="23">
        <f>MIN(IF(VLOOKUP($Q70,武学奇术!$A:$ZZ,23,FALSE)=1,100%,$B$8),100%)</f>
        <v>0.8626</v>
      </c>
      <c r="BJ70" s="23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0.8697</v>
      </c>
      <c r="BK70" s="23" cm="1">
        <f t="array" ref="BK70">1+$B$13+VLOOKUP($Q70,武学奇术!$A:$ZZ,18,FALSE)+SUM(_xlfn.XLOOKUP(R70:AF70,增益!$A:$A,增益!$R:$R,0))</f>
        <v>1.95</v>
      </c>
      <c r="BL70" s="23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0.0986</v>
      </c>
      <c r="BM70" s="23" cm="1">
        <f t="array" ref="BM70">1+$B$14+VLOOKUP($Q70,武学奇术!$A:$ZZ,20,FALSE)+SUM(_xlfn.XLOOKUP(R70:AF70,增益!$A:$A,增益!$T:$T,0))</f>
        <v>1.35</v>
      </c>
      <c r="BN70" s="23">
        <f t="shared" si="22"/>
        <v>0.75020322</v>
      </c>
      <c r="BO70" s="23">
        <f t="shared" si="32"/>
        <v>0.0273444200000001</v>
      </c>
      <c r="BP70" s="23">
        <f>IF(VLOOKUP($Q70,武学奇术!$A:$ZZ,22,FALSE)=1,0,(1-$BI70))*(1-$BL70)</f>
        <v>0.12385236</v>
      </c>
      <c r="BQ70" s="23" cm="1">
        <f t="array" ref="BQ70">SUM(_xlfn.XLOOKUP(R70:AF70,增益!$A:$A,增益!$W:$W,0))</f>
        <v>0.13</v>
      </c>
    </row>
    <row r="71" spans="1:69">
      <c r="A71" t="s">
        <v>144</v>
      </c>
      <c r="B71">
        <v>1</v>
      </c>
      <c r="C71" t="s">
        <v>140</v>
      </c>
      <c r="K71" s="36">
        <f t="shared" si="23"/>
        <v>57725.5013104732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64653.4627444414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48242.8255882635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32326.7313722207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28918.0363827648</v>
      </c>
      <c r="P71" s="37">
        <v>1</v>
      </c>
      <c r="Q71" s="38" t="s">
        <v>97</v>
      </c>
      <c r="R71" s="38" t="s">
        <v>89</v>
      </c>
      <c r="S71" s="38" t="s">
        <v>78</v>
      </c>
      <c r="T71" s="38" t="s">
        <v>72</v>
      </c>
      <c r="U71" s="38" t="s">
        <v>111</v>
      </c>
      <c r="V71" s="38" t="s">
        <v>72</v>
      </c>
      <c r="W71" s="38" t="s">
        <v>73</v>
      </c>
      <c r="X71" s="38" t="s">
        <v>122</v>
      </c>
      <c r="Y71" s="38" t="s">
        <v>72</v>
      </c>
      <c r="Z71" s="38" t="s">
        <v>72</v>
      </c>
      <c r="AA71" s="38" t="s">
        <v>68</v>
      </c>
      <c r="AB71" s="38" t="s">
        <v>72</v>
      </c>
      <c r="AC71" s="38" t="s">
        <v>72</v>
      </c>
      <c r="AD71" s="38" t="s">
        <v>72</v>
      </c>
      <c r="AE71" s="38" t="s">
        <v>90</v>
      </c>
      <c r="AF71" s="38" t="s">
        <v>74</v>
      </c>
      <c r="AG71" t="str">
        <f>VLOOKUP($Q71,武学奇术!$A:$ZZ,25,FALSE)</f>
        <v>横刀</v>
      </c>
      <c r="AH71" s="23">
        <f>VLOOKUP($Q71,武学奇术!$A:$ZZ,26,FALSE)</f>
        <v>2.1324</v>
      </c>
      <c r="AI71" s="24">
        <f>VLOOKUP($Q71,武学奇术!$A:$ZZ,27,FALSE)*(1+IF(OR($AG71=$F$4,$AG71=$F$5),$B$22,0))</f>
        <v>767</v>
      </c>
      <c r="AJ71" s="23">
        <f>VLOOKUP($Q71,武学奇术!$A:$ZZ,28,FALSE)</f>
        <v>3.1986</v>
      </c>
      <c r="AK71" s="24">
        <f>VLOOKUP($Q71,武学奇术!$A:$ZZ,29,FALSE)*(1+IF(OR($AG71=$F$4,$AG71=$F$5),$B$22,0))</f>
        <v>418.6</v>
      </c>
      <c r="AL71" s="23" cm="1">
        <f t="array" ref="AL71">$G$3+IFERROR(VLOOKUP($AG71,$F$4:$G$7,2,FALSE),0)+VLOOKUP($Q71,武学奇术!$A:$ZZ,2,FALSE)+SUM(_xlfn.XLOOKUP($R71:$AF71,增益!$A:$A,增益!$B:$B,0))</f>
        <v>0.817</v>
      </c>
      <c r="AM71" s="23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3052.34</v>
      </c>
      <c r="AO71" cm="1">
        <f t="array" ref="AO71">$E$10*(1+$AM71)+VLOOKUP($Q71,武学奇术!$A:$ZZ,4,FALSE)+SUM(_xlfn.XLOOKUP($R71:$AF71,增益!$A:$A,增益!$D:$D,0))-$I$2</f>
        <v>3052.34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0.467</v>
      </c>
      <c r="AQ71" s="30" cm="1">
        <f t="array" ref="AQ71">$G$10+VLOOKUP($Q71,武学奇术!$A:$ZZ,7,FALSE)+SUM(_xlfn.XLOOKUP(R71:AF71,增益!$A:$A,增益!$G:$G,0))</f>
        <v>0</v>
      </c>
      <c r="AR71" s="23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-0.24</v>
      </c>
      <c r="AV71" s="30" cm="1">
        <f t="array" ref="AV71">$G$11+VLOOKUP($Q71,武学奇术!$A:$ZZ,10,FALSE)+SUM(_xlfn.XLOOKUP(R71:AF71,增益!$A:$A,增益!$J:$J,0))</f>
        <v>0</v>
      </c>
      <c r="AW71">
        <f t="shared" si="26"/>
        <v>634.5</v>
      </c>
      <c r="AX71">
        <f t="shared" si="27"/>
        <v>1443.3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0.118</v>
      </c>
      <c r="AZ71" s="30" cm="1">
        <f t="array" ref="AZ71">$G$12+VLOOKUP($Q71,武学奇术!$A:$ZZ,12,FALSE)+SUM(_xlfn.XLOOKUP(R71:AF71,增益!$A:$A,增益!$L:$L,0))</f>
        <v>0.148</v>
      </c>
      <c r="BA71">
        <f t="shared" si="28"/>
        <v>0</v>
      </c>
      <c r="BB71">
        <f t="shared" si="29"/>
        <v>0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-0.24</v>
      </c>
      <c r="BD71" s="30" cm="1">
        <f t="array" ref="BD71">$G$13+VLOOKUP($Q71,武学奇术!$A:$ZZ,14,FALSE)+SUM(_xlfn.XLOOKUP(R71:AF71,增益!$A:$A,增益!$N:$N,0))</f>
        <v>0</v>
      </c>
      <c r="BE71">
        <f t="shared" si="30"/>
        <v>0</v>
      </c>
      <c r="BF71">
        <f t="shared" si="31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-0.24</v>
      </c>
      <c r="BH71" s="30" cm="1">
        <f t="array" ref="BH71">$G$14+VLOOKUP($Q71,武学奇术!$A:$ZZ,16,FALSE)+SUM(_xlfn.XLOOKUP(R71:AF71,增益!$A:$A,增益!$P:$P,0))</f>
        <v>0</v>
      </c>
      <c r="BI71" s="23">
        <f>MIN(IF(VLOOKUP($Q71,武学奇术!$A:$ZZ,23,FALSE)=1,100%,$B$8),100%)</f>
        <v>0.8626</v>
      </c>
      <c r="BJ71" s="23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0.8697</v>
      </c>
      <c r="BK71" s="23" cm="1">
        <f t="array" ref="BK71">1+$B$13+VLOOKUP($Q71,武学奇术!$A:$ZZ,18,FALSE)+SUM(_xlfn.XLOOKUP(R71:AF71,增益!$A:$A,增益!$R:$R,0))</f>
        <v>2</v>
      </c>
      <c r="BL71" s="23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0.0986</v>
      </c>
      <c r="BM71" s="23" cm="1">
        <f t="array" ref="BM71">1+$B$14+VLOOKUP($Q71,武学奇术!$A:$ZZ,20,FALSE)+SUM(_xlfn.XLOOKUP(R71:AF71,增益!$A:$A,增益!$T:$T,0))</f>
        <v>1.35</v>
      </c>
      <c r="BN71" s="23">
        <f t="shared" si="22"/>
        <v>0.75020322</v>
      </c>
      <c r="BO71" s="23">
        <f t="shared" si="32"/>
        <v>0.0273444200000001</v>
      </c>
      <c r="BP71" s="23">
        <f>IF(VLOOKUP($Q71,武学奇术!$A:$ZZ,22,FALSE)=1,0,(1-$BI71))*(1-$BL71)</f>
        <v>0.12385236</v>
      </c>
      <c r="BQ71" s="23" cm="1">
        <f t="array" ref="BQ71">SUM(_xlfn.XLOOKUP(R71:AF71,增益!$A:$A,增益!$W:$W,0))</f>
        <v>0.13</v>
      </c>
    </row>
    <row r="72" spans="1:69">
      <c r="A72" s="4" t="s">
        <v>149</v>
      </c>
      <c r="B72" s="4">
        <v>2.3</v>
      </c>
      <c r="K72" s="36">
        <f t="shared" si="23"/>
        <v>35485.3258181258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39739.8836526158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30204.359129145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19869.9418263079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17366.2842976935</v>
      </c>
      <c r="P72" s="37">
        <v>1</v>
      </c>
      <c r="Q72" s="38" t="s">
        <v>99</v>
      </c>
      <c r="R72" s="38" t="s">
        <v>89</v>
      </c>
      <c r="S72" s="38" t="s">
        <v>78</v>
      </c>
      <c r="T72" s="38" t="s">
        <v>79</v>
      </c>
      <c r="U72" s="38" t="s">
        <v>111</v>
      </c>
      <c r="V72" s="38" t="s">
        <v>72</v>
      </c>
      <c r="W72" s="38" t="s">
        <v>73</v>
      </c>
      <c r="X72" s="38" t="s">
        <v>122</v>
      </c>
      <c r="Y72" s="38" t="s">
        <v>72</v>
      </c>
      <c r="Z72" s="38" t="s">
        <v>72</v>
      </c>
      <c r="AA72" s="38" t="s">
        <v>68</v>
      </c>
      <c r="AB72" s="38" t="s">
        <v>72</v>
      </c>
      <c r="AC72" s="38" t="s">
        <v>72</v>
      </c>
      <c r="AD72" s="38" t="s">
        <v>72</v>
      </c>
      <c r="AE72" s="38" t="s">
        <v>90</v>
      </c>
      <c r="AF72" s="38" t="s">
        <v>74</v>
      </c>
      <c r="AG72" t="str">
        <f>VLOOKUP($Q72,武学奇术!$A:$ZZ,25,FALSE)</f>
        <v>横刀</v>
      </c>
      <c r="AH72" s="23">
        <f>VLOOKUP($Q72,武学奇术!$A:$ZZ,26,FALSE)</f>
        <v>1.4</v>
      </c>
      <c r="AI72" s="24">
        <f>VLOOKUP($Q72,武学奇术!$A:$ZZ,27,FALSE)*(1+IF(OR($AG72=$F$4,$AG72=$F$5),$B$22,0))</f>
        <v>0</v>
      </c>
      <c r="AJ72" s="23">
        <f>VLOOKUP($Q72,武学奇术!$A:$ZZ,28,FALSE)</f>
        <v>2.1</v>
      </c>
      <c r="AK72" s="24">
        <f>VLOOKUP($Q72,武学奇术!$A:$ZZ,29,FALSE)*(1+IF(OR($AG72=$F$4,$AG72=$F$5),$B$22,0))</f>
        <v>0</v>
      </c>
      <c r="AL72" s="23" cm="1">
        <f t="array" ref="AL72">$G$3+IFERROR(VLOOKUP($AG72,$F$4:$G$7,2,FALSE),0)+VLOOKUP($Q72,武学奇术!$A:$ZZ,2,FALSE)+SUM(_xlfn.XLOOKUP($R72:$AF72,增益!$A:$A,增益!$B:$B,0))</f>
        <v>0.897</v>
      </c>
      <c r="AM72" s="23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3052.34</v>
      </c>
      <c r="AO72" cm="1">
        <f t="array" ref="AO72">$E$10*(1+$AM72)+VLOOKUP($Q72,武学奇术!$A:$ZZ,4,FALSE)+SUM(_xlfn.XLOOKUP($R72:$AF72,增益!$A:$A,增益!$D:$D,0))-$I$2</f>
        <v>3052.34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0.467</v>
      </c>
      <c r="AQ72" s="30" cm="1">
        <f t="array" ref="AQ72">$G$10+VLOOKUP($Q72,武学奇术!$A:$ZZ,7,FALSE)+SUM(_xlfn.XLOOKUP(R72:AF72,增益!$A:$A,增益!$G:$G,0))</f>
        <v>0</v>
      </c>
      <c r="AR72" s="23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-0.08</v>
      </c>
      <c r="AV72" s="30" cm="1">
        <f t="array" ref="AV72">$G$11+VLOOKUP($Q72,武学奇术!$A:$ZZ,10,FALSE)+SUM(_xlfn.XLOOKUP(R72:AF72,增益!$A:$A,增益!$J:$J,0))</f>
        <v>0</v>
      </c>
      <c r="AW72">
        <f t="shared" si="26"/>
        <v>634.5</v>
      </c>
      <c r="AX72">
        <f t="shared" si="27"/>
        <v>1443.3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0.198</v>
      </c>
      <c r="AZ72" s="30" cm="1">
        <f t="array" ref="AZ72">$G$12+VLOOKUP($Q72,武学奇术!$A:$ZZ,12,FALSE)+SUM(_xlfn.XLOOKUP(R72:AF72,增益!$A:$A,增益!$L:$L,0))</f>
        <v>0.148</v>
      </c>
      <c r="BA72">
        <f t="shared" si="28"/>
        <v>0</v>
      </c>
      <c r="BB72">
        <f t="shared" si="29"/>
        <v>0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-0.08</v>
      </c>
      <c r="BD72" s="30" cm="1">
        <f t="array" ref="BD72">$G$13+VLOOKUP($Q72,武学奇术!$A:$ZZ,14,FALSE)+SUM(_xlfn.XLOOKUP(R72:AF72,增益!$A:$A,增益!$N:$N,0))</f>
        <v>0</v>
      </c>
      <c r="BE72">
        <f t="shared" si="30"/>
        <v>0</v>
      </c>
      <c r="BF72">
        <f t="shared" si="31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-0.08</v>
      </c>
      <c r="BH72" s="30" cm="1">
        <f t="array" ref="BH72">$G$14+VLOOKUP($Q72,武学奇术!$A:$ZZ,16,FALSE)+SUM(_xlfn.XLOOKUP(R72:AF72,增益!$A:$A,增益!$P:$P,0))</f>
        <v>0</v>
      </c>
      <c r="BI72" s="23">
        <f>MIN(IF(VLOOKUP($Q72,武学奇术!$A:$ZZ,23,FALSE)=1,100%,$B$8),100%)</f>
        <v>0.8626</v>
      </c>
      <c r="BJ72" s="23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0.8697</v>
      </c>
      <c r="BK72" s="23" cm="1">
        <f t="array" ref="BK72">1+$B$13+VLOOKUP($Q72,武学奇术!$A:$ZZ,18,FALSE)+SUM(_xlfn.XLOOKUP(R72:AF72,增益!$A:$A,增益!$R:$R,0))</f>
        <v>2</v>
      </c>
      <c r="BL72" s="23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0.0986</v>
      </c>
      <c r="BM72" s="23" cm="1">
        <f t="array" ref="BM72">1+$B$14+VLOOKUP($Q72,武学奇术!$A:$ZZ,20,FALSE)+SUM(_xlfn.XLOOKUP(R72:AF72,增益!$A:$A,增益!$T:$T,0))</f>
        <v>1.35</v>
      </c>
      <c r="BN72" s="23">
        <f t="shared" si="22"/>
        <v>0.75020322</v>
      </c>
      <c r="BO72" s="23">
        <f t="shared" si="32"/>
        <v>0.0273444200000001</v>
      </c>
      <c r="BP72" s="23">
        <f>IF(VLOOKUP($Q72,武学奇术!$A:$ZZ,22,FALSE)=1,0,(1-$BI72))*(1-$BL72)</f>
        <v>0.12385236</v>
      </c>
      <c r="BQ72" s="23" cm="1">
        <f t="array" ref="BQ72">SUM(_xlfn.XLOOKUP(R72:AF72,增益!$A:$A,增益!$W:$W,0))</f>
        <v>0.13</v>
      </c>
    </row>
    <row r="73" spans="1:69">
      <c r="A73" s="4" t="s">
        <v>149</v>
      </c>
      <c r="B73" s="4">
        <v>2.3</v>
      </c>
      <c r="K73" s="36">
        <f t="shared" si="23"/>
        <v>17751.7486917108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19880.1169603104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15109.9131906768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9940.05848015519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8687.58867092013</v>
      </c>
      <c r="P73" s="37">
        <v>1</v>
      </c>
      <c r="Q73" s="38" t="s">
        <v>102</v>
      </c>
      <c r="R73" s="38" t="s">
        <v>89</v>
      </c>
      <c r="S73" s="38" t="s">
        <v>78</v>
      </c>
      <c r="T73" s="38" t="s">
        <v>79</v>
      </c>
      <c r="U73" s="38" t="s">
        <v>111</v>
      </c>
      <c r="V73" s="38" t="s">
        <v>72</v>
      </c>
      <c r="W73" s="38" t="s">
        <v>104</v>
      </c>
      <c r="X73" s="38" t="s">
        <v>122</v>
      </c>
      <c r="Y73" s="38" t="s">
        <v>72</v>
      </c>
      <c r="Z73" s="38" t="s">
        <v>72</v>
      </c>
      <c r="AA73" s="38" t="s">
        <v>68</v>
      </c>
      <c r="AB73" s="38" t="s">
        <v>72</v>
      </c>
      <c r="AC73" s="38" t="s">
        <v>72</v>
      </c>
      <c r="AD73" s="38" t="s">
        <v>72</v>
      </c>
      <c r="AE73" s="38" t="s">
        <v>90</v>
      </c>
      <c r="AF73" s="38" t="s">
        <v>74</v>
      </c>
      <c r="AG73" t="str">
        <f>VLOOKUP($Q73,武学奇术!$A:$ZZ,25,FALSE)</f>
        <v>陌刀</v>
      </c>
      <c r="AH73" s="23">
        <f>VLOOKUP($Q73,武学奇术!$A:$ZZ,26,FALSE)</f>
        <v>0.5</v>
      </c>
      <c r="AI73" s="24">
        <f>VLOOKUP($Q73,武学奇术!$A:$ZZ,27,FALSE)*(1+IF(OR($AG73=$F$4,$AG73=$F$5),$B$22,0))</f>
        <v>0</v>
      </c>
      <c r="AJ73" s="23">
        <f>VLOOKUP($Q73,武学奇术!$A:$ZZ,28,FALSE)</f>
        <v>0.75</v>
      </c>
      <c r="AK73" s="24">
        <f>VLOOKUP($Q73,武学奇术!$A:$ZZ,29,FALSE)*(1+IF(OR($AG73=$F$4,$AG73=$F$5),$B$22,0))</f>
        <v>0</v>
      </c>
      <c r="AL73" s="23" cm="1">
        <f t="array" ref="AL73">$G$3+IFERROR(VLOOKUP($AG73,$F$4:$G$7,2,FALSE),0)+VLOOKUP($Q73,武学奇术!$A:$ZZ,2,FALSE)+SUM(_xlfn.XLOOKUP($R73:$AF73,增益!$A:$A,增益!$B:$B,0))</f>
        <v>1.013</v>
      </c>
      <c r="AM73" s="23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3052.34</v>
      </c>
      <c r="AO73" cm="1">
        <f t="array" ref="AO73">$E$10*(1+$AM73)+VLOOKUP($Q73,武学奇术!$A:$ZZ,4,FALSE)+SUM(_xlfn.XLOOKUP($R73:$AF73,增益!$A:$A,增益!$D:$D,0))-$I$2</f>
        <v>3052.34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0.467</v>
      </c>
      <c r="AQ73" s="30" cm="1">
        <f t="array" ref="AQ73">$G$10+VLOOKUP($Q73,武学奇术!$A:$ZZ,7,FALSE)+SUM(_xlfn.XLOOKUP(R73:AF73,增益!$A:$A,增益!$G:$G,0))</f>
        <v>0</v>
      </c>
      <c r="AR73" s="23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-0.08</v>
      </c>
      <c r="AV73" s="30" cm="1">
        <f t="array" ref="AV73">$G$11+VLOOKUP($Q73,武学奇术!$A:$ZZ,10,FALSE)+SUM(_xlfn.XLOOKUP(R73:AF73,增益!$A:$A,增益!$J:$J,0))</f>
        <v>0</v>
      </c>
      <c r="AW73">
        <f t="shared" si="26"/>
        <v>634.5</v>
      </c>
      <c r="AX73">
        <f t="shared" si="27"/>
        <v>1443.3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0.198</v>
      </c>
      <c r="AZ73" s="30" cm="1">
        <f t="array" ref="AZ73">$G$12+VLOOKUP($Q73,武学奇术!$A:$ZZ,12,FALSE)+SUM(_xlfn.XLOOKUP(R73:AF73,增益!$A:$A,增益!$L:$L,0))</f>
        <v>0.148</v>
      </c>
      <c r="BA73">
        <f t="shared" si="28"/>
        <v>0</v>
      </c>
      <c r="BB73">
        <f t="shared" si="29"/>
        <v>0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-0.08</v>
      </c>
      <c r="BD73" s="30" cm="1">
        <f t="array" ref="BD73">$G$13+VLOOKUP($Q73,武学奇术!$A:$ZZ,14,FALSE)+SUM(_xlfn.XLOOKUP(R73:AF73,增益!$A:$A,增益!$N:$N,0))</f>
        <v>0</v>
      </c>
      <c r="BE73">
        <f t="shared" si="30"/>
        <v>0</v>
      </c>
      <c r="BF73">
        <f t="shared" si="31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-0.08</v>
      </c>
      <c r="BH73" s="30" cm="1">
        <f t="array" ref="BH73">$G$14+VLOOKUP($Q73,武学奇术!$A:$ZZ,16,FALSE)+SUM(_xlfn.XLOOKUP(R73:AF73,增益!$A:$A,增益!$P:$P,0))</f>
        <v>0</v>
      </c>
      <c r="BI73" s="23">
        <f>MIN(IF(VLOOKUP($Q73,武学奇术!$A:$ZZ,23,FALSE)=1,100%,$B$8),100%)</f>
        <v>0.8626</v>
      </c>
      <c r="BJ73" s="23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0.8697</v>
      </c>
      <c r="BK73" s="23" cm="1">
        <f t="array" ref="BK73">1+$B$13+VLOOKUP($Q73,武学奇术!$A:$ZZ,18,FALSE)+SUM(_xlfn.XLOOKUP(R73:AF73,增益!$A:$A,增益!$R:$R,0))</f>
        <v>2</v>
      </c>
      <c r="BL73" s="23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0.0986</v>
      </c>
      <c r="BM73" s="23" cm="1">
        <f t="array" ref="BM73">1+$B$14+VLOOKUP($Q73,武学奇术!$A:$ZZ,20,FALSE)+SUM(_xlfn.XLOOKUP(R73:AF73,增益!$A:$A,增益!$T:$T,0))</f>
        <v>1.35</v>
      </c>
      <c r="BN73" s="23">
        <f t="shared" si="22"/>
        <v>0.75020322</v>
      </c>
      <c r="BO73" s="23">
        <f t="shared" si="32"/>
        <v>0.0273444200000001</v>
      </c>
      <c r="BP73" s="23">
        <f>IF(VLOOKUP($Q73,武学奇术!$A:$ZZ,22,FALSE)=1,0,(1-$BI73))*(1-$BL73)</f>
        <v>0.12385236</v>
      </c>
      <c r="BQ73" s="23" cm="1">
        <f t="array" ref="BQ73">SUM(_xlfn.XLOOKUP(R73:AF73,增益!$A:$A,增益!$W:$W,0))</f>
        <v>0.13</v>
      </c>
    </row>
    <row r="74" spans="1:69">
      <c r="A74" s="4" t="s">
        <v>149</v>
      </c>
      <c r="B74" s="4">
        <v>2.3</v>
      </c>
      <c r="C74" s="37" t="s">
        <v>147</v>
      </c>
      <c r="K74" s="36">
        <f t="shared" ref="K74:K86" si="33">($L74*$BN74+$M74*$BL74+$N74*$BO74+$O74*$BP74)</f>
        <v>20874.1228083259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20874.1228083259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15109.9131906768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9940.05848015519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8687.58867092013</v>
      </c>
      <c r="P74" s="37">
        <v>1</v>
      </c>
      <c r="Q74" s="38" t="s">
        <v>114</v>
      </c>
      <c r="R74" s="38" t="s">
        <v>89</v>
      </c>
      <c r="S74" s="38" t="s">
        <v>78</v>
      </c>
      <c r="T74" s="38" t="s">
        <v>79</v>
      </c>
      <c r="U74" s="38" t="s">
        <v>111</v>
      </c>
      <c r="V74" s="38" t="s">
        <v>107</v>
      </c>
      <c r="W74" s="38" t="s">
        <v>104</v>
      </c>
      <c r="X74" s="38" t="s">
        <v>122</v>
      </c>
      <c r="Y74" s="38" t="s">
        <v>72</v>
      </c>
      <c r="Z74" s="38" t="s">
        <v>72</v>
      </c>
      <c r="AA74" s="38" t="s">
        <v>68</v>
      </c>
      <c r="AB74" s="38" t="s">
        <v>72</v>
      </c>
      <c r="AC74" s="38" t="s">
        <v>72</v>
      </c>
      <c r="AD74" s="38" t="s">
        <v>72</v>
      </c>
      <c r="AE74" s="38" t="s">
        <v>90</v>
      </c>
      <c r="AF74" s="38" t="s">
        <v>74</v>
      </c>
      <c r="AG74" t="str">
        <f>VLOOKUP($Q74,武学奇术!$A:$ZZ,25,FALSE)</f>
        <v>陌刀</v>
      </c>
      <c r="AH74" s="23">
        <f>VLOOKUP($Q74,武学奇术!$A:$ZZ,26,FALSE)</f>
        <v>0.5</v>
      </c>
      <c r="AI74" s="24">
        <f>VLOOKUP($Q74,武学奇术!$A:$ZZ,27,FALSE)*(1+IF(OR($AG74=$F$4,$AG74=$F$5),$B$22,0))</f>
        <v>0</v>
      </c>
      <c r="AJ74" s="23">
        <f>VLOOKUP($Q74,武学奇术!$A:$ZZ,28,FALSE)</f>
        <v>0.75</v>
      </c>
      <c r="AK74" s="24">
        <f>VLOOKUP($Q74,武学奇术!$A:$ZZ,29,FALSE)*(1+IF(OR($AG74=$F$4,$AG74=$F$5),$B$22,0))</f>
        <v>0</v>
      </c>
      <c r="AL74" s="23" cm="1">
        <f t="array" ref="AL74">$G$3+IFERROR(VLOOKUP($AG74,$F$4:$G$7,2,FALSE),0)+VLOOKUP($Q74,武学奇术!$A:$ZZ,2,FALSE)+SUM(_xlfn.XLOOKUP($R74:$AF74,增益!$A:$A,增益!$B:$B,0))</f>
        <v>1.013</v>
      </c>
      <c r="AM74" s="23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3052.34</v>
      </c>
      <c r="AO74" cm="1">
        <f t="array" ref="AO74">$E$10*(1+$AM74)+VLOOKUP($Q74,武学奇术!$A:$ZZ,4,FALSE)+SUM(_xlfn.XLOOKUP($R74:$AF74,增益!$A:$A,增益!$D:$D,0))-$I$2</f>
        <v>3052.34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0.467</v>
      </c>
      <c r="AQ74" s="30" cm="1">
        <f t="array" ref="AQ74">$G$10+VLOOKUP($Q74,武学奇术!$A:$ZZ,7,FALSE)+SUM(_xlfn.XLOOKUP(R74:AF74,增益!$A:$A,增益!$G:$G,0))</f>
        <v>0</v>
      </c>
      <c r="AR74" s="23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-0.08</v>
      </c>
      <c r="AV74" s="30" cm="1">
        <f t="array" ref="AV74">$G$11+VLOOKUP($Q74,武学奇术!$A:$ZZ,10,FALSE)+SUM(_xlfn.XLOOKUP(R74:AF74,增益!$A:$A,增益!$J:$J,0))</f>
        <v>0</v>
      </c>
      <c r="AW74">
        <f t="shared" ref="AW74:AW86" si="36">$D$12*(1+$AR74)</f>
        <v>634.5</v>
      </c>
      <c r="AX74">
        <f t="shared" ref="AX74:AX86" si="37">$E$12*(1+$AR74)</f>
        <v>1443.3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0.198</v>
      </c>
      <c r="AZ74" s="30" cm="1">
        <f t="array" ref="AZ74">$G$12+VLOOKUP($Q74,武学奇术!$A:$ZZ,12,FALSE)+SUM(_xlfn.XLOOKUP(R74:AF74,增益!$A:$A,增益!$L:$L,0))</f>
        <v>0.148</v>
      </c>
      <c r="BA74">
        <f t="shared" ref="BA74:BA86" si="38">$D$13*(1+$AR74)</f>
        <v>0</v>
      </c>
      <c r="BB74">
        <f t="shared" ref="BB74:BB86" si="39">$E$13*(1+$AR74)</f>
        <v>0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-0.08</v>
      </c>
      <c r="BD74" s="30" cm="1">
        <f t="array" ref="BD74">$G$13+VLOOKUP($Q74,武学奇术!$A:$ZZ,14,FALSE)+SUM(_xlfn.XLOOKUP(R74:AF74,增益!$A:$A,增益!$N:$N,0))</f>
        <v>0</v>
      </c>
      <c r="BE74">
        <f t="shared" ref="BE74:BE86" si="40">$D$14*(1+$AR74)</f>
        <v>0</v>
      </c>
      <c r="BF74">
        <f t="shared" ref="BF74:BF86" si="41">$E$14*(1+$AR74)</f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-0.08</v>
      </c>
      <c r="BH74" s="30" cm="1">
        <f t="array" ref="BH74">$G$14+VLOOKUP($Q74,武学奇术!$A:$ZZ,16,FALSE)+SUM(_xlfn.XLOOKUP(R74:AF74,增益!$A:$A,增益!$P:$P,0))</f>
        <v>0</v>
      </c>
      <c r="BI74" s="23">
        <f>MIN(IF(VLOOKUP($Q74,武学奇术!$A:$ZZ,23,FALSE)=1,100%,$B$8),100%)</f>
        <v>1</v>
      </c>
      <c r="BJ74" s="23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1</v>
      </c>
      <c r="BK74" s="23" cm="1">
        <f t="array" ref="BK74">1+$B$13+VLOOKUP($Q74,武学奇术!$A:$ZZ,18,FALSE)+SUM(_xlfn.XLOOKUP(R74:AF74,增益!$A:$A,增益!$R:$R,0))</f>
        <v>2.1</v>
      </c>
      <c r="BL74" s="23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</v>
      </c>
      <c r="BM74" s="23" cm="1">
        <f t="array" ref="BM74">1+$B$14+VLOOKUP($Q74,武学奇术!$A:$ZZ,20,FALSE)+SUM(_xlfn.XLOOKUP(R74:AF74,增益!$A:$A,增益!$T:$T,0))</f>
        <v>1.35</v>
      </c>
      <c r="BN74" s="23">
        <f t="shared" si="22"/>
        <v>1</v>
      </c>
      <c r="BO74" s="23">
        <f t="shared" si="32"/>
        <v>0</v>
      </c>
      <c r="BP74" s="23">
        <f>IF(VLOOKUP($Q74,武学奇术!$A:$ZZ,22,FALSE)=1,0,(1-$BI74))*(1-$BL74)</f>
        <v>0</v>
      </c>
      <c r="BQ74" s="23" cm="1">
        <f t="array" ref="BQ74">SUM(_xlfn.XLOOKUP(R74:AF74,增益!$A:$A,增益!$W:$W,0))</f>
        <v>0.13</v>
      </c>
    </row>
    <row r="75" spans="1:69">
      <c r="A75" s="4" t="s">
        <v>149</v>
      </c>
      <c r="B75" s="4">
        <v>2.3</v>
      </c>
      <c r="C75" s="37"/>
      <c r="K75" s="36">
        <f t="shared" si="33"/>
        <v>75146.8421099732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75146.8421099732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54395.6874864366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35784.2105285587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31275.3192153125</v>
      </c>
      <c r="P75" s="37">
        <v>2</v>
      </c>
      <c r="Q75" s="38" t="s">
        <v>106</v>
      </c>
      <c r="R75" s="38" t="s">
        <v>89</v>
      </c>
      <c r="S75" s="38" t="s">
        <v>78</v>
      </c>
      <c r="T75" s="38" t="s">
        <v>79</v>
      </c>
      <c r="U75" s="38" t="s">
        <v>111</v>
      </c>
      <c r="V75" s="38" t="s">
        <v>107</v>
      </c>
      <c r="W75" s="38" t="s">
        <v>104</v>
      </c>
      <c r="X75" s="38" t="s">
        <v>122</v>
      </c>
      <c r="Y75" s="38" t="s">
        <v>72</v>
      </c>
      <c r="Z75" s="38" t="s">
        <v>72</v>
      </c>
      <c r="AA75" s="38" t="s">
        <v>68</v>
      </c>
      <c r="AB75" s="38" t="s">
        <v>72</v>
      </c>
      <c r="AC75" s="38" t="s">
        <v>72</v>
      </c>
      <c r="AD75" s="38" t="s">
        <v>72</v>
      </c>
      <c r="AE75" s="38" t="s">
        <v>90</v>
      </c>
      <c r="AF75" s="38" t="s">
        <v>74</v>
      </c>
      <c r="AG75" t="str">
        <f>VLOOKUP($Q75,武学奇术!$A:$ZZ,25,FALSE)</f>
        <v>陌刀</v>
      </c>
      <c r="AH75" s="23">
        <f>VLOOKUP($Q75,武学奇术!$A:$ZZ,26,FALSE)</f>
        <v>0.9</v>
      </c>
      <c r="AI75" s="24">
        <f>VLOOKUP($Q75,武学奇术!$A:$ZZ,27,FALSE)*(1+IF(OR($AG75=$F$4,$AG75=$F$5),$B$22,0))</f>
        <v>0</v>
      </c>
      <c r="AJ75" s="23">
        <f>VLOOKUP($Q75,武学奇术!$A:$ZZ,28,FALSE)</f>
        <v>1.35</v>
      </c>
      <c r="AK75" s="24">
        <f>VLOOKUP($Q75,武学奇术!$A:$ZZ,29,FALSE)*(1+IF(OR($AG75=$F$4,$AG75=$F$5),$B$22,0))</f>
        <v>0</v>
      </c>
      <c r="AL75" s="23" cm="1">
        <f t="array" ref="AL75">$G$3+IFERROR(VLOOKUP($AG75,$F$4:$G$7,2,FALSE),0)+VLOOKUP($Q75,武学奇术!$A:$ZZ,2,FALSE)+SUM(_xlfn.XLOOKUP($R75:$AF75,增益!$A:$A,增益!$B:$B,0))</f>
        <v>1.013</v>
      </c>
      <c r="AM75" s="23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3052.34</v>
      </c>
      <c r="AO75" cm="1">
        <f t="array" ref="AO75">$E$10*(1+$AM75)+VLOOKUP($Q75,武学奇术!$A:$ZZ,4,FALSE)+SUM(_xlfn.XLOOKUP($R75:$AF75,增益!$A:$A,增益!$D:$D,0))-$I$2</f>
        <v>3052.34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0.467</v>
      </c>
      <c r="AQ75" s="30" cm="1">
        <f t="array" ref="AQ75">$G$10+VLOOKUP($Q75,武学奇术!$A:$ZZ,7,FALSE)+SUM(_xlfn.XLOOKUP(R75:AF75,增益!$A:$A,增益!$G:$G,0))</f>
        <v>0</v>
      </c>
      <c r="AR75" s="23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-0.08</v>
      </c>
      <c r="AV75" s="30" cm="1">
        <f t="array" ref="AV75">$G$11+VLOOKUP($Q75,武学奇术!$A:$ZZ,10,FALSE)+SUM(_xlfn.XLOOKUP(R75:AF75,增益!$A:$A,增益!$J:$J,0))</f>
        <v>0</v>
      </c>
      <c r="AW75">
        <f t="shared" si="36"/>
        <v>634.5</v>
      </c>
      <c r="AX75">
        <f t="shared" si="37"/>
        <v>1443.3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0.198</v>
      </c>
      <c r="AZ75" s="30" cm="1">
        <f t="array" ref="AZ75">$G$12+VLOOKUP($Q75,武学奇术!$A:$ZZ,12,FALSE)+SUM(_xlfn.XLOOKUP(R75:AF75,增益!$A:$A,增益!$L:$L,0))</f>
        <v>0.148</v>
      </c>
      <c r="BA75">
        <f t="shared" si="38"/>
        <v>0</v>
      </c>
      <c r="BB75">
        <f t="shared" si="39"/>
        <v>0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-0.08</v>
      </c>
      <c r="BD75" s="30" cm="1">
        <f t="array" ref="BD75">$G$13+VLOOKUP($Q75,武学奇术!$A:$ZZ,14,FALSE)+SUM(_xlfn.XLOOKUP(R75:AF75,增益!$A:$A,增益!$N:$N,0))</f>
        <v>0</v>
      </c>
      <c r="BE75">
        <f t="shared" si="40"/>
        <v>0</v>
      </c>
      <c r="BF75">
        <f t="shared" si="41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-0.08</v>
      </c>
      <c r="BH75" s="30" cm="1">
        <f t="array" ref="BH75">$G$14+VLOOKUP($Q75,武学奇术!$A:$ZZ,16,FALSE)+SUM(_xlfn.XLOOKUP(R75:AF75,增益!$A:$A,增益!$P:$P,0))</f>
        <v>0</v>
      </c>
      <c r="BI75" s="23">
        <f>MIN(IF(VLOOKUP($Q75,武学奇术!$A:$ZZ,23,FALSE)=1,100%,$B$8),100%)</f>
        <v>1</v>
      </c>
      <c r="BJ75" s="23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1</v>
      </c>
      <c r="BK75" s="23" cm="1">
        <f t="array" ref="BK75">1+$B$13+VLOOKUP($Q75,武学奇术!$A:$ZZ,18,FALSE)+SUM(_xlfn.XLOOKUP(R75:AF75,增益!$A:$A,增益!$R:$R,0))</f>
        <v>2.1</v>
      </c>
      <c r="BL75" s="23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</v>
      </c>
      <c r="BM75" s="23" cm="1">
        <f t="array" ref="BM75">1+$B$14+VLOOKUP($Q75,武学奇术!$A:$ZZ,20,FALSE)+SUM(_xlfn.XLOOKUP(R75:AF75,增益!$A:$A,增益!$T:$T,0))</f>
        <v>1.35</v>
      </c>
      <c r="BN75" s="23">
        <f t="shared" si="22"/>
        <v>1</v>
      </c>
      <c r="BO75" s="23">
        <f t="shared" si="32"/>
        <v>0</v>
      </c>
      <c r="BP75" s="23">
        <f>IF(VLOOKUP($Q75,武学奇术!$A:$ZZ,22,FALSE)=1,0,(1-$BI75))*(1-$BL75)</f>
        <v>0</v>
      </c>
      <c r="BQ75" s="23" cm="1">
        <f t="array" ref="BQ75">SUM(_xlfn.XLOOKUP(R75:AF75,增益!$A:$A,增益!$W:$W,0))</f>
        <v>0.13</v>
      </c>
    </row>
    <row r="76" spans="1:69">
      <c r="A76" s="4" t="s">
        <v>149</v>
      </c>
      <c r="B76" s="4">
        <v>2.3</v>
      </c>
      <c r="C76" s="37"/>
      <c r="K76" s="36">
        <f t="shared" si="33"/>
        <v>713584.591463682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713584.591463682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509405.770761193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339802.186411277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302266.7648513</v>
      </c>
      <c r="P76" s="37">
        <v>2</v>
      </c>
      <c r="Q76" s="38" t="s">
        <v>110</v>
      </c>
      <c r="R76" s="38" t="s">
        <v>89</v>
      </c>
      <c r="S76" s="38" t="s">
        <v>78</v>
      </c>
      <c r="T76" s="38" t="s">
        <v>79</v>
      </c>
      <c r="U76" s="38" t="s">
        <v>111</v>
      </c>
      <c r="V76" s="38" t="s">
        <v>107</v>
      </c>
      <c r="W76" s="38" t="s">
        <v>112</v>
      </c>
      <c r="X76" s="38" t="s">
        <v>122</v>
      </c>
      <c r="Y76" s="38" t="s">
        <v>72</v>
      </c>
      <c r="Z76" s="38" t="s">
        <v>72</v>
      </c>
      <c r="AA76" s="38" t="s">
        <v>68</v>
      </c>
      <c r="AB76" s="38" t="s">
        <v>72</v>
      </c>
      <c r="AC76" s="38" t="s">
        <v>72</v>
      </c>
      <c r="AD76" s="38" t="s">
        <v>72</v>
      </c>
      <c r="AE76" s="38" t="s">
        <v>90</v>
      </c>
      <c r="AF76" s="38" t="s">
        <v>74</v>
      </c>
      <c r="AG76" t="str">
        <f>VLOOKUP($Q76,武学奇术!$A:$ZZ,25,FALSE)</f>
        <v>陌刀</v>
      </c>
      <c r="AH76" s="23">
        <f>VLOOKUP($Q76,武学奇术!$A:$ZZ,26,FALSE)</f>
        <v>7.5674</v>
      </c>
      <c r="AI76" s="24">
        <f>VLOOKUP($Q76,武学奇术!$A:$ZZ,27,FALSE)*(1+IF(OR($AG76=$F$4,$AG76=$F$5),$B$22,0))</f>
        <v>2720.9</v>
      </c>
      <c r="AJ76" s="23">
        <f>VLOOKUP($Q76,武学奇术!$A:$ZZ,28,FALSE)</f>
        <v>11.3512</v>
      </c>
      <c r="AK76" s="24">
        <f>VLOOKUP($Q76,武学奇术!$A:$ZZ,29,FALSE)*(1+IF(OR($AG76=$F$4,$AG76=$F$5),$B$22,0))</f>
        <v>1482</v>
      </c>
      <c r="AL76" s="23" cm="1">
        <f t="array" ref="AL76">$G$3+IFERROR(VLOOKUP($AG76,$F$4:$G$7,2,FALSE),0)+VLOOKUP($Q76,武学奇术!$A:$ZZ,2,FALSE)+SUM(_xlfn.XLOOKUP($R76:$AF76,增益!$A:$A,增益!$B:$B,0))</f>
        <v>0.993</v>
      </c>
      <c r="AM76" s="23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3052.34</v>
      </c>
      <c r="AO76" cm="1">
        <f t="array" ref="AO76">$E$10*(1+$AM76)+VLOOKUP($Q76,武学奇术!$A:$ZZ,4,FALSE)+SUM(_xlfn.XLOOKUP($R76:$AF76,增益!$A:$A,增益!$D:$D,0))-$I$2</f>
        <v>3052.34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0.467</v>
      </c>
      <c r="AQ76" s="30" cm="1">
        <f t="array" ref="AQ76">$G$10+VLOOKUP($Q76,武学奇术!$A:$ZZ,7,FALSE)+SUM(_xlfn.XLOOKUP(R76:AF76,增益!$A:$A,增益!$G:$G,0))</f>
        <v>0</v>
      </c>
      <c r="AR76" s="23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-0.08</v>
      </c>
      <c r="AV76" s="30" cm="1">
        <f t="array" ref="AV76">$G$11+VLOOKUP($Q76,武学奇术!$A:$ZZ,10,FALSE)+SUM(_xlfn.XLOOKUP(R76:AF76,增益!$A:$A,增益!$J:$J,0))</f>
        <v>0</v>
      </c>
      <c r="AW76">
        <f t="shared" si="36"/>
        <v>634.5</v>
      </c>
      <c r="AX76">
        <f t="shared" si="37"/>
        <v>1443.3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0.198</v>
      </c>
      <c r="AZ76" s="30" cm="1">
        <f t="array" ref="AZ76">$G$12+VLOOKUP($Q76,武学奇术!$A:$ZZ,12,FALSE)+SUM(_xlfn.XLOOKUP(R76:AF76,增益!$A:$A,增益!$L:$L,0))</f>
        <v>0.148</v>
      </c>
      <c r="BA76">
        <f t="shared" si="38"/>
        <v>0</v>
      </c>
      <c r="BB76">
        <f t="shared" si="39"/>
        <v>0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-0.08</v>
      </c>
      <c r="BD76" s="30" cm="1">
        <f t="array" ref="BD76">$G$13+VLOOKUP($Q76,武学奇术!$A:$ZZ,14,FALSE)+SUM(_xlfn.XLOOKUP(R76:AF76,增益!$A:$A,增益!$N:$N,0))</f>
        <v>0</v>
      </c>
      <c r="BE76">
        <f t="shared" si="40"/>
        <v>0</v>
      </c>
      <c r="BF76">
        <f t="shared" si="41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-0.08</v>
      </c>
      <c r="BH76" s="30" cm="1">
        <f t="array" ref="BH76">$G$14+VLOOKUP($Q76,武学奇术!$A:$ZZ,16,FALSE)+SUM(_xlfn.XLOOKUP(R76:AF76,增益!$A:$A,增益!$P:$P,0))</f>
        <v>0</v>
      </c>
      <c r="BI76" s="23">
        <f>MIN(IF(VLOOKUP($Q76,武学奇术!$A:$ZZ,23,FALSE)=1,100%,$B$8),100%)</f>
        <v>1</v>
      </c>
      <c r="BJ76" s="23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1</v>
      </c>
      <c r="BK76" s="23" cm="1">
        <f t="array" ref="BK76">1+$B$13+VLOOKUP($Q76,武学奇术!$A:$ZZ,18,FALSE)+SUM(_xlfn.XLOOKUP(R76:AF76,增益!$A:$A,增益!$R:$R,0))</f>
        <v>2.1</v>
      </c>
      <c r="BL76" s="23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</v>
      </c>
      <c r="BM76" s="23" cm="1">
        <f t="array" ref="BM76">1+$B$14+VLOOKUP($Q76,武学奇术!$A:$ZZ,20,FALSE)+SUM(_xlfn.XLOOKUP(R76:AF76,增益!$A:$A,增益!$T:$T,0))</f>
        <v>1.35</v>
      </c>
      <c r="BN76" s="23">
        <f t="shared" si="22"/>
        <v>1</v>
      </c>
      <c r="BO76" s="23">
        <f t="shared" si="32"/>
        <v>0</v>
      </c>
      <c r="BP76" s="23">
        <f>IF(VLOOKUP($Q76,武学奇术!$A:$ZZ,22,FALSE)=1,0,(1-$BI76))*(1-$BL76)</f>
        <v>0</v>
      </c>
      <c r="BQ76" s="23" cm="1">
        <f t="array" ref="BQ76">SUM(_xlfn.XLOOKUP(R76:AF76,增益!$A:$A,增益!$W:$W,0))</f>
        <v>0.13</v>
      </c>
    </row>
    <row r="77" spans="1:69">
      <c r="A77" s="4" t="s">
        <v>149</v>
      </c>
      <c r="B77" s="4">
        <v>2.3</v>
      </c>
      <c r="C77" s="37"/>
      <c r="K77" s="36">
        <f t="shared" si="33"/>
        <v>24568.6578186491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24568.6578186491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17784.2341093807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11699.3608660234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10225.2149843573</v>
      </c>
      <c r="P77" s="37">
        <v>1</v>
      </c>
      <c r="Q77" s="38" t="s">
        <v>114</v>
      </c>
      <c r="R77" s="38" t="s">
        <v>89</v>
      </c>
      <c r="S77" s="38" t="s">
        <v>78</v>
      </c>
      <c r="T77" s="38" t="s">
        <v>79</v>
      </c>
      <c r="U77" s="38" t="s">
        <v>111</v>
      </c>
      <c r="V77" s="38" t="s">
        <v>107</v>
      </c>
      <c r="W77" s="38" t="s">
        <v>104</v>
      </c>
      <c r="X77" s="38" t="s">
        <v>122</v>
      </c>
      <c r="Y77" s="38" t="s">
        <v>147</v>
      </c>
      <c r="Z77" s="38" t="s">
        <v>148</v>
      </c>
      <c r="AA77" s="38" t="s">
        <v>68</v>
      </c>
      <c r="AB77" s="38" t="s">
        <v>72</v>
      </c>
      <c r="AC77" s="38" t="s">
        <v>72</v>
      </c>
      <c r="AD77" s="38" t="s">
        <v>72</v>
      </c>
      <c r="AE77" s="38" t="s">
        <v>90</v>
      </c>
      <c r="AF77" s="38" t="s">
        <v>74</v>
      </c>
      <c r="AG77" t="str">
        <f>VLOOKUP($Q77,武学奇术!$A:$ZZ,25,FALSE)</f>
        <v>陌刀</v>
      </c>
      <c r="AH77" s="23">
        <f>VLOOKUP($Q77,武学奇术!$A:$ZZ,26,FALSE)</f>
        <v>0.5</v>
      </c>
      <c r="AI77" s="24">
        <f>VLOOKUP($Q77,武学奇术!$A:$ZZ,27,FALSE)*(1+IF(OR($AG77=$F$4,$AG77=$F$5),$B$22,0))</f>
        <v>0</v>
      </c>
      <c r="AJ77" s="23">
        <f>VLOOKUP($Q77,武学奇术!$A:$ZZ,28,FALSE)</f>
        <v>0.75</v>
      </c>
      <c r="AK77" s="24">
        <f>VLOOKUP($Q77,武学奇术!$A:$ZZ,29,FALSE)*(1+IF(OR($AG77=$F$4,$AG77=$F$5),$B$22,0))</f>
        <v>0</v>
      </c>
      <c r="AL77" s="23" cm="1">
        <f t="array" ref="AL77">$G$3+IFERROR(VLOOKUP($AG77,$F$4:$G$7,2,FALSE),0)+VLOOKUP($Q77,武学奇术!$A:$ZZ,2,FALSE)+SUM(_xlfn.XLOOKUP($R77:$AF77,增益!$A:$A,增益!$B:$B,0))</f>
        <v>1.013</v>
      </c>
      <c r="AM77" s="23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3052.34</v>
      </c>
      <c r="AO77" cm="1">
        <f t="array" ref="AO77">$E$10*(1+$AM77)+VLOOKUP($Q77,武学奇术!$A:$ZZ,4,FALSE)+SUM(_xlfn.XLOOKUP($R77:$AF77,增益!$A:$A,增益!$D:$D,0))-$I$2</f>
        <v>3052.34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0.467</v>
      </c>
      <c r="AQ77" s="30" cm="1">
        <f t="array" ref="AQ77">$G$10+VLOOKUP($Q77,武学奇术!$A:$ZZ,7,FALSE)+SUM(_xlfn.XLOOKUP(R77:AF77,增益!$A:$A,增益!$G:$G,0))</f>
        <v>0</v>
      </c>
      <c r="AR77" s="23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-0.08</v>
      </c>
      <c r="AV77" s="30" cm="1">
        <f t="array" ref="AV77">$G$11+VLOOKUP($Q77,武学奇术!$A:$ZZ,10,FALSE)+SUM(_xlfn.XLOOKUP(R77:AF77,增益!$A:$A,增益!$J:$J,0))</f>
        <v>0.1</v>
      </c>
      <c r="AW77">
        <f t="shared" si="36"/>
        <v>634.5</v>
      </c>
      <c r="AX77">
        <f t="shared" si="37"/>
        <v>1443.3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0.198</v>
      </c>
      <c r="AZ77" s="30" cm="1">
        <f t="array" ref="AZ77">$G$12+VLOOKUP($Q77,武学奇术!$A:$ZZ,12,FALSE)+SUM(_xlfn.XLOOKUP(R77:AF77,增益!$A:$A,增益!$L:$L,0))</f>
        <v>0.148</v>
      </c>
      <c r="BA77">
        <f t="shared" si="38"/>
        <v>0</v>
      </c>
      <c r="BB77">
        <f t="shared" si="39"/>
        <v>0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-0.08</v>
      </c>
      <c r="BD77" s="30" cm="1">
        <f t="array" ref="BD77">$G$13+VLOOKUP($Q77,武学奇术!$A:$ZZ,14,FALSE)+SUM(_xlfn.XLOOKUP(R77:AF77,增益!$A:$A,增益!$N:$N,0))</f>
        <v>0</v>
      </c>
      <c r="BE77">
        <f t="shared" si="40"/>
        <v>0</v>
      </c>
      <c r="BF77">
        <f t="shared" si="41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-0.08</v>
      </c>
      <c r="BH77" s="30" cm="1">
        <f t="array" ref="BH77">$G$14+VLOOKUP($Q77,武学奇术!$A:$ZZ,16,FALSE)+SUM(_xlfn.XLOOKUP(R77:AF77,增益!$A:$A,增益!$P:$P,0))</f>
        <v>0</v>
      </c>
      <c r="BI77" s="23">
        <f>MIN(IF(VLOOKUP($Q77,武学奇术!$A:$ZZ,23,FALSE)=1,100%,$B$8),100%)</f>
        <v>1</v>
      </c>
      <c r="BJ77" s="23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1</v>
      </c>
      <c r="BK77" s="23" cm="1">
        <f t="array" ref="BK77">1+$B$13+VLOOKUP($Q77,武学奇术!$A:$ZZ,18,FALSE)+SUM(_xlfn.XLOOKUP(R77:AF77,增益!$A:$A,增益!$R:$R,0))</f>
        <v>2.1</v>
      </c>
      <c r="BL77" s="23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</v>
      </c>
      <c r="BM77" s="23" cm="1">
        <f t="array" ref="BM77">1+$B$14+VLOOKUP($Q77,武学奇术!$A:$ZZ,20,FALSE)+SUM(_xlfn.XLOOKUP(R77:AF77,增益!$A:$A,增益!$T:$T,0))</f>
        <v>1.35</v>
      </c>
      <c r="BN77" s="23">
        <f t="shared" si="22"/>
        <v>1</v>
      </c>
      <c r="BO77" s="23">
        <f t="shared" si="32"/>
        <v>0</v>
      </c>
      <c r="BP77" s="23">
        <f>IF(VLOOKUP($Q77,武学奇术!$A:$ZZ,22,FALSE)=1,0,(1-$BI77))*(1-$BL77)</f>
        <v>0</v>
      </c>
      <c r="BQ77" s="23" cm="1">
        <f t="array" ref="BQ77">SUM(_xlfn.XLOOKUP(R77:AF77,增益!$A:$A,增益!$W:$W,0))</f>
        <v>0.33</v>
      </c>
    </row>
    <row r="78" spans="1:69">
      <c r="A78" s="4"/>
      <c r="B78" s="4"/>
      <c r="K78" s="36">
        <f t="shared" si="33"/>
        <v>44223.5840735683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44223.5840735683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32011.6213968852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21058.8495588421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18405.3869718432</v>
      </c>
      <c r="P78" s="37">
        <v>1</v>
      </c>
      <c r="Q78" s="38" t="s">
        <v>106</v>
      </c>
      <c r="R78" s="38" t="s">
        <v>89</v>
      </c>
      <c r="S78" s="38" t="s">
        <v>78</v>
      </c>
      <c r="T78" s="38" t="s">
        <v>79</v>
      </c>
      <c r="U78" s="38" t="s">
        <v>111</v>
      </c>
      <c r="V78" s="38" t="s">
        <v>107</v>
      </c>
      <c r="W78" s="38" t="s">
        <v>104</v>
      </c>
      <c r="X78" s="38" t="s">
        <v>122</v>
      </c>
      <c r="Y78" s="38" t="s">
        <v>147</v>
      </c>
      <c r="Z78" s="38" t="s">
        <v>148</v>
      </c>
      <c r="AA78" s="38" t="s">
        <v>68</v>
      </c>
      <c r="AB78" s="38" t="s">
        <v>72</v>
      </c>
      <c r="AC78" s="38" t="s">
        <v>72</v>
      </c>
      <c r="AD78" s="38" t="s">
        <v>72</v>
      </c>
      <c r="AE78" s="38" t="s">
        <v>90</v>
      </c>
      <c r="AF78" s="38" t="s">
        <v>74</v>
      </c>
      <c r="AG78" t="str">
        <f>VLOOKUP($Q78,武学奇术!$A:$ZZ,25,FALSE)</f>
        <v>陌刀</v>
      </c>
      <c r="AH78" s="23">
        <f>VLOOKUP($Q78,武学奇术!$A:$ZZ,26,FALSE)</f>
        <v>0.9</v>
      </c>
      <c r="AI78" s="24">
        <f>VLOOKUP($Q78,武学奇术!$A:$ZZ,27,FALSE)*(1+IF(OR($AG78=$F$4,$AG78=$F$5),$B$22,0))</f>
        <v>0</v>
      </c>
      <c r="AJ78" s="23">
        <f>VLOOKUP($Q78,武学奇术!$A:$ZZ,28,FALSE)</f>
        <v>1.35</v>
      </c>
      <c r="AK78" s="24">
        <f>VLOOKUP($Q78,武学奇术!$A:$ZZ,29,FALSE)*(1+IF(OR($AG78=$F$4,$AG78=$F$5),$B$22,0))</f>
        <v>0</v>
      </c>
      <c r="AL78" s="23" cm="1">
        <f t="array" ref="AL78">$G$3+IFERROR(VLOOKUP($AG78,$F$4:$G$7,2,FALSE),0)+VLOOKUP($Q78,武学奇术!$A:$ZZ,2,FALSE)+SUM(_xlfn.XLOOKUP($R78:$AF78,增益!$A:$A,增益!$B:$B,0))</f>
        <v>1.013</v>
      </c>
      <c r="AM78" s="23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3052.34</v>
      </c>
      <c r="AO78" cm="1">
        <f t="array" ref="AO78">$E$10*(1+$AM78)+VLOOKUP($Q78,武学奇术!$A:$ZZ,4,FALSE)+SUM(_xlfn.XLOOKUP($R78:$AF78,增益!$A:$A,增益!$D:$D,0))-$I$2</f>
        <v>3052.34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0.467</v>
      </c>
      <c r="AQ78" s="30" cm="1">
        <f t="array" ref="AQ78">$G$10+VLOOKUP($Q78,武学奇术!$A:$ZZ,7,FALSE)+SUM(_xlfn.XLOOKUP(R78:AF78,增益!$A:$A,增益!$G:$G,0))</f>
        <v>0</v>
      </c>
      <c r="AR78" s="23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-0.08</v>
      </c>
      <c r="AV78" s="30" cm="1">
        <f t="array" ref="AV78">$G$11+VLOOKUP($Q78,武学奇术!$A:$ZZ,10,FALSE)+SUM(_xlfn.XLOOKUP(R78:AF78,增益!$A:$A,增益!$J:$J,0))</f>
        <v>0.1</v>
      </c>
      <c r="AW78">
        <f t="shared" si="36"/>
        <v>634.5</v>
      </c>
      <c r="AX78">
        <f t="shared" si="37"/>
        <v>1443.3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0.198</v>
      </c>
      <c r="AZ78" s="30" cm="1">
        <f t="array" ref="AZ78">$G$12+VLOOKUP($Q78,武学奇术!$A:$ZZ,12,FALSE)+SUM(_xlfn.XLOOKUP(R78:AF78,增益!$A:$A,增益!$L:$L,0))</f>
        <v>0.148</v>
      </c>
      <c r="BA78">
        <f t="shared" si="38"/>
        <v>0</v>
      </c>
      <c r="BB78">
        <f t="shared" si="39"/>
        <v>0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-0.08</v>
      </c>
      <c r="BD78" s="30" cm="1">
        <f t="array" ref="BD78">$G$13+VLOOKUP($Q78,武学奇术!$A:$ZZ,14,FALSE)+SUM(_xlfn.XLOOKUP(R78:AF78,增益!$A:$A,增益!$N:$N,0))</f>
        <v>0</v>
      </c>
      <c r="BE78">
        <f t="shared" si="40"/>
        <v>0</v>
      </c>
      <c r="BF78">
        <f t="shared" si="41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-0.08</v>
      </c>
      <c r="BH78" s="30" cm="1">
        <f t="array" ref="BH78">$G$14+VLOOKUP($Q78,武学奇术!$A:$ZZ,16,FALSE)+SUM(_xlfn.XLOOKUP(R78:AF78,增益!$A:$A,增益!$P:$P,0))</f>
        <v>0</v>
      </c>
      <c r="BI78" s="23">
        <f>MIN(IF(VLOOKUP($Q78,武学奇术!$A:$ZZ,23,FALSE)=1,100%,$B$8),100%)</f>
        <v>1</v>
      </c>
      <c r="BJ78" s="23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1</v>
      </c>
      <c r="BK78" s="23" cm="1">
        <f t="array" ref="BK78">1+$B$13+VLOOKUP($Q78,武学奇术!$A:$ZZ,18,FALSE)+SUM(_xlfn.XLOOKUP(R78:AF78,增益!$A:$A,增益!$R:$R,0))</f>
        <v>2.1</v>
      </c>
      <c r="BL78" s="23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</v>
      </c>
      <c r="BM78" s="23" cm="1">
        <f t="array" ref="BM78">1+$B$14+VLOOKUP($Q78,武学奇术!$A:$ZZ,20,FALSE)+SUM(_xlfn.XLOOKUP(R78:AF78,增益!$A:$A,增益!$T:$T,0))</f>
        <v>1.35</v>
      </c>
      <c r="BN78" s="23">
        <f t="shared" si="22"/>
        <v>1</v>
      </c>
      <c r="BO78" s="23">
        <f t="shared" si="32"/>
        <v>0</v>
      </c>
      <c r="BP78" s="23">
        <f>IF(VLOOKUP($Q78,武学奇术!$A:$ZZ,22,FALSE)=1,0,(1-$BI78))*(1-$BL78)</f>
        <v>0</v>
      </c>
      <c r="BQ78" s="23" cm="1">
        <f t="array" ref="BQ78">SUM(_xlfn.XLOOKUP(R78:AF78,增益!$A:$A,增益!$W:$W,0))</f>
        <v>0.33</v>
      </c>
    </row>
    <row r="79" spans="1:69">
      <c r="A79" s="4"/>
      <c r="B79" s="4"/>
      <c r="K79" s="36">
        <f t="shared" si="33"/>
        <v>419941.374622432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419941.374622432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299783.042085127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199972.083153539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177882.653651429</v>
      </c>
      <c r="P79" s="37">
        <v>1</v>
      </c>
      <c r="Q79" s="38" t="s">
        <v>110</v>
      </c>
      <c r="R79" s="38" t="s">
        <v>89</v>
      </c>
      <c r="S79" s="38" t="s">
        <v>78</v>
      </c>
      <c r="T79" s="38" t="s">
        <v>79</v>
      </c>
      <c r="U79" s="38" t="s">
        <v>111</v>
      </c>
      <c r="V79" s="38" t="s">
        <v>107</v>
      </c>
      <c r="W79" s="38" t="s">
        <v>112</v>
      </c>
      <c r="X79" s="38" t="s">
        <v>122</v>
      </c>
      <c r="Y79" s="38" t="s">
        <v>147</v>
      </c>
      <c r="Z79" s="38" t="s">
        <v>148</v>
      </c>
      <c r="AA79" s="38" t="s">
        <v>68</v>
      </c>
      <c r="AB79" s="38" t="s">
        <v>72</v>
      </c>
      <c r="AC79" s="38" t="s">
        <v>72</v>
      </c>
      <c r="AD79" s="38" t="s">
        <v>72</v>
      </c>
      <c r="AE79" s="38" t="s">
        <v>90</v>
      </c>
      <c r="AF79" s="38" t="s">
        <v>74</v>
      </c>
      <c r="AG79" t="str">
        <f>VLOOKUP($Q79,武学奇术!$A:$ZZ,25,FALSE)</f>
        <v>陌刀</v>
      </c>
      <c r="AH79" s="23">
        <f>VLOOKUP($Q79,武学奇术!$A:$ZZ,26,FALSE)</f>
        <v>7.5674</v>
      </c>
      <c r="AI79" s="24">
        <f>VLOOKUP($Q79,武学奇术!$A:$ZZ,27,FALSE)*(1+IF(OR($AG79=$F$4,$AG79=$F$5),$B$22,0))</f>
        <v>2720.9</v>
      </c>
      <c r="AJ79" s="23">
        <f>VLOOKUP($Q79,武学奇术!$A:$ZZ,28,FALSE)</f>
        <v>11.3512</v>
      </c>
      <c r="AK79" s="24">
        <f>VLOOKUP($Q79,武学奇术!$A:$ZZ,29,FALSE)*(1+IF(OR($AG79=$F$4,$AG79=$F$5),$B$22,0))</f>
        <v>1482</v>
      </c>
      <c r="AL79" s="23" cm="1">
        <f t="array" ref="AL79">$G$3+IFERROR(VLOOKUP($AG79,$F$4:$G$7,2,FALSE),0)+VLOOKUP($Q79,武学奇术!$A:$ZZ,2,FALSE)+SUM(_xlfn.XLOOKUP($R79:$AF79,增益!$A:$A,增益!$B:$B,0))</f>
        <v>0.993</v>
      </c>
      <c r="AM79" s="23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3052.34</v>
      </c>
      <c r="AO79" cm="1">
        <f t="array" ref="AO79">$E$10*(1+$AM79)+VLOOKUP($Q79,武学奇术!$A:$ZZ,4,FALSE)+SUM(_xlfn.XLOOKUP($R79:$AF79,增益!$A:$A,增益!$D:$D,0))-$I$2</f>
        <v>3052.34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0.467</v>
      </c>
      <c r="AQ79" s="30" cm="1">
        <f t="array" ref="AQ79">$G$10+VLOOKUP($Q79,武学奇术!$A:$ZZ,7,FALSE)+SUM(_xlfn.XLOOKUP(R79:AF79,增益!$A:$A,增益!$G:$G,0))</f>
        <v>0</v>
      </c>
      <c r="AR79" s="23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-0.08</v>
      </c>
      <c r="AV79" s="30" cm="1">
        <f t="array" ref="AV79">$G$11+VLOOKUP($Q79,武学奇术!$A:$ZZ,10,FALSE)+SUM(_xlfn.XLOOKUP(R79:AF79,增益!$A:$A,增益!$J:$J,0))</f>
        <v>0.1</v>
      </c>
      <c r="AW79">
        <f t="shared" si="36"/>
        <v>634.5</v>
      </c>
      <c r="AX79">
        <f t="shared" si="37"/>
        <v>1443.3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0.198</v>
      </c>
      <c r="AZ79" s="30" cm="1">
        <f t="array" ref="AZ79">$G$12+VLOOKUP($Q79,武学奇术!$A:$ZZ,12,FALSE)+SUM(_xlfn.XLOOKUP(R79:AF79,增益!$A:$A,增益!$L:$L,0))</f>
        <v>0.148</v>
      </c>
      <c r="BA79">
        <f t="shared" si="38"/>
        <v>0</v>
      </c>
      <c r="BB79">
        <f t="shared" si="39"/>
        <v>0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-0.08</v>
      </c>
      <c r="BD79" s="30" cm="1">
        <f t="array" ref="BD79">$G$13+VLOOKUP($Q79,武学奇术!$A:$ZZ,14,FALSE)+SUM(_xlfn.XLOOKUP(R79:AF79,增益!$A:$A,增益!$N:$N,0))</f>
        <v>0</v>
      </c>
      <c r="BE79">
        <f t="shared" si="40"/>
        <v>0</v>
      </c>
      <c r="BF79">
        <f t="shared" si="41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-0.08</v>
      </c>
      <c r="BH79" s="30" cm="1">
        <f t="array" ref="BH79">$G$14+VLOOKUP($Q79,武学奇术!$A:$ZZ,16,FALSE)+SUM(_xlfn.XLOOKUP(R79:AF79,增益!$A:$A,增益!$P:$P,0))</f>
        <v>0</v>
      </c>
      <c r="BI79" s="23">
        <f>MIN(IF(VLOOKUP($Q79,武学奇术!$A:$ZZ,23,FALSE)=1,100%,$B$8),100%)</f>
        <v>1</v>
      </c>
      <c r="BJ79" s="23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1</v>
      </c>
      <c r="BK79" s="23" cm="1">
        <f t="array" ref="BK79">1+$B$13+VLOOKUP($Q79,武学奇术!$A:$ZZ,18,FALSE)+SUM(_xlfn.XLOOKUP(R79:AF79,增益!$A:$A,增益!$R:$R,0))</f>
        <v>2.1</v>
      </c>
      <c r="BL79" s="23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</v>
      </c>
      <c r="BM79" s="23" cm="1">
        <f t="array" ref="BM79">1+$B$14+VLOOKUP($Q79,武学奇术!$A:$ZZ,20,FALSE)+SUM(_xlfn.XLOOKUP(R79:AF79,增益!$A:$A,增益!$T:$T,0))</f>
        <v>1.35</v>
      </c>
      <c r="BN79" s="23">
        <f t="shared" si="22"/>
        <v>1</v>
      </c>
      <c r="BO79" s="23">
        <f t="shared" si="32"/>
        <v>0</v>
      </c>
      <c r="BP79" s="23">
        <f>IF(VLOOKUP($Q79,武学奇术!$A:$ZZ,22,FALSE)=1,0,(1-$BI79))*(1-$BL79)</f>
        <v>0</v>
      </c>
      <c r="BQ79" s="23" cm="1">
        <f t="array" ref="BQ79">SUM(_xlfn.XLOOKUP(R79:AF79,增益!$A:$A,增益!$W:$W,0))</f>
        <v>0.33</v>
      </c>
    </row>
    <row r="80" spans="1:69">
      <c r="A80" s="4"/>
      <c r="B80" s="4"/>
      <c r="C80" s="37"/>
      <c r="K80" s="36">
        <f t="shared" si="33"/>
        <v>20893.6511150225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23398.7217320467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17784.2341093807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11699.3608660234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10225.2149843573</v>
      </c>
      <c r="P80" s="37">
        <v>1</v>
      </c>
      <c r="Q80" s="38" t="s">
        <v>102</v>
      </c>
      <c r="R80" s="38" t="s">
        <v>89</v>
      </c>
      <c r="S80" s="38" t="s">
        <v>78</v>
      </c>
      <c r="T80" s="38" t="s">
        <v>79</v>
      </c>
      <c r="U80" s="38" t="s">
        <v>111</v>
      </c>
      <c r="V80" s="38" t="s">
        <v>72</v>
      </c>
      <c r="W80" s="38" t="s">
        <v>104</v>
      </c>
      <c r="X80" s="38" t="s">
        <v>122</v>
      </c>
      <c r="Y80" s="38" t="s">
        <v>147</v>
      </c>
      <c r="Z80" s="38" t="s">
        <v>148</v>
      </c>
      <c r="AA80" s="38" t="s">
        <v>68</v>
      </c>
      <c r="AB80" s="38" t="s">
        <v>72</v>
      </c>
      <c r="AC80" s="38" t="s">
        <v>72</v>
      </c>
      <c r="AD80" s="38" t="s">
        <v>72</v>
      </c>
      <c r="AE80" s="38" t="s">
        <v>90</v>
      </c>
      <c r="AF80" s="38" t="s">
        <v>74</v>
      </c>
      <c r="AG80" t="str">
        <f>VLOOKUP($Q80,武学奇术!$A:$ZZ,25,FALSE)</f>
        <v>陌刀</v>
      </c>
      <c r="AH80" s="23">
        <f>VLOOKUP($Q80,武学奇术!$A:$ZZ,26,FALSE)</f>
        <v>0.5</v>
      </c>
      <c r="AI80" s="24">
        <f>VLOOKUP($Q80,武学奇术!$A:$ZZ,27,FALSE)*(1+IF(OR($AG80=$F$4,$AG80=$F$5),$B$22,0))</f>
        <v>0</v>
      </c>
      <c r="AJ80" s="23">
        <f>VLOOKUP($Q80,武学奇术!$A:$ZZ,28,FALSE)</f>
        <v>0.75</v>
      </c>
      <c r="AK80" s="24">
        <f>VLOOKUP($Q80,武学奇术!$A:$ZZ,29,FALSE)*(1+IF(OR($AG80=$F$4,$AG80=$F$5),$B$22,0))</f>
        <v>0</v>
      </c>
      <c r="AL80" s="23" cm="1">
        <f t="array" ref="AL80">$G$3+IFERROR(VLOOKUP($AG80,$F$4:$G$7,2,FALSE),0)+VLOOKUP($Q80,武学奇术!$A:$ZZ,2,FALSE)+SUM(_xlfn.XLOOKUP($R80:$AF80,增益!$A:$A,增益!$B:$B,0))</f>
        <v>1.013</v>
      </c>
      <c r="AM80" s="23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3052.34</v>
      </c>
      <c r="AO80" cm="1">
        <f t="array" ref="AO80">$E$10*(1+$AM80)+VLOOKUP($Q80,武学奇术!$A:$ZZ,4,FALSE)+SUM(_xlfn.XLOOKUP($R80:$AF80,增益!$A:$A,增益!$D:$D,0))-$I$2</f>
        <v>3052.34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0.467</v>
      </c>
      <c r="AQ80" s="30" cm="1">
        <f t="array" ref="AQ80">$G$10+VLOOKUP($Q80,武学奇术!$A:$ZZ,7,FALSE)+SUM(_xlfn.XLOOKUP(R80:AF80,增益!$A:$A,增益!$G:$G,0))</f>
        <v>0</v>
      </c>
      <c r="AR80" s="23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-0.08</v>
      </c>
      <c r="AV80" s="30" cm="1">
        <f t="array" ref="AV80">$G$11+VLOOKUP($Q80,武学奇术!$A:$ZZ,10,FALSE)+SUM(_xlfn.XLOOKUP(R80:AF80,增益!$A:$A,增益!$J:$J,0))</f>
        <v>0.1</v>
      </c>
      <c r="AW80">
        <f t="shared" si="36"/>
        <v>634.5</v>
      </c>
      <c r="AX80">
        <f t="shared" si="37"/>
        <v>1443.3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0.198</v>
      </c>
      <c r="AZ80" s="30" cm="1">
        <f t="array" ref="AZ80">$G$12+VLOOKUP($Q80,武学奇术!$A:$ZZ,12,FALSE)+SUM(_xlfn.XLOOKUP(R80:AF80,增益!$A:$A,增益!$L:$L,0))</f>
        <v>0.148</v>
      </c>
      <c r="BA80">
        <f t="shared" si="38"/>
        <v>0</v>
      </c>
      <c r="BB80">
        <f t="shared" si="39"/>
        <v>0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-0.08</v>
      </c>
      <c r="BD80" s="30" cm="1">
        <f t="array" ref="BD80">$G$13+VLOOKUP($Q80,武学奇术!$A:$ZZ,14,FALSE)+SUM(_xlfn.XLOOKUP(R80:AF80,增益!$A:$A,增益!$N:$N,0))</f>
        <v>0</v>
      </c>
      <c r="BE80">
        <f t="shared" si="40"/>
        <v>0</v>
      </c>
      <c r="BF80">
        <f t="shared" si="41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-0.08</v>
      </c>
      <c r="BH80" s="30" cm="1">
        <f t="array" ref="BH80">$G$14+VLOOKUP($Q80,武学奇术!$A:$ZZ,16,FALSE)+SUM(_xlfn.XLOOKUP(R80:AF80,增益!$A:$A,增益!$P:$P,0))</f>
        <v>0</v>
      </c>
      <c r="BI80" s="23">
        <f>MIN(IF(VLOOKUP($Q80,武学奇术!$A:$ZZ,23,FALSE)=1,100%,$B$8),100%)</f>
        <v>0.8626</v>
      </c>
      <c r="BJ80" s="23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0.8697</v>
      </c>
      <c r="BK80" s="23" cm="1">
        <f t="array" ref="BK80">1+$B$13+VLOOKUP($Q80,武学奇术!$A:$ZZ,18,FALSE)+SUM(_xlfn.XLOOKUP(R80:AF80,增益!$A:$A,增益!$R:$R,0))</f>
        <v>2</v>
      </c>
      <c r="BL80" s="23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0.0986</v>
      </c>
      <c r="BM80" s="23" cm="1">
        <f t="array" ref="BM80">1+$B$14+VLOOKUP($Q80,武学奇术!$A:$ZZ,20,FALSE)+SUM(_xlfn.XLOOKUP(R80:AF80,增益!$A:$A,增益!$T:$T,0))</f>
        <v>1.35</v>
      </c>
      <c r="BN80" s="23">
        <f t="shared" si="22"/>
        <v>0.75020322</v>
      </c>
      <c r="BO80" s="23">
        <f t="shared" si="32"/>
        <v>0.0273444200000001</v>
      </c>
      <c r="BP80" s="23">
        <f>IF(VLOOKUP($Q80,武学奇术!$A:$ZZ,22,FALSE)=1,0,(1-$BI80))*(1-$BL80)</f>
        <v>0.12385236</v>
      </c>
      <c r="BQ80" s="23" cm="1">
        <f t="array" ref="BQ80">SUM(_xlfn.XLOOKUP(R80:AF80,增益!$A:$A,增益!$W:$W,0))</f>
        <v>0.33</v>
      </c>
    </row>
    <row r="81" spans="1:69">
      <c r="K81" s="36">
        <f t="shared" si="33"/>
        <v>37608.5720070405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42117.6991176841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32011.6213968852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21058.8495588421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18405.3869718432</v>
      </c>
      <c r="P81" s="37">
        <v>1</v>
      </c>
      <c r="Q81" s="38" t="s">
        <v>136</v>
      </c>
      <c r="R81" s="38" t="s">
        <v>89</v>
      </c>
      <c r="S81" s="38" t="s">
        <v>78</v>
      </c>
      <c r="T81" s="38" t="s">
        <v>79</v>
      </c>
      <c r="U81" s="38" t="s">
        <v>111</v>
      </c>
      <c r="V81" s="38" t="s">
        <v>72</v>
      </c>
      <c r="W81" s="38" t="s">
        <v>104</v>
      </c>
      <c r="X81" s="38" t="s">
        <v>122</v>
      </c>
      <c r="Y81" s="38" t="s">
        <v>147</v>
      </c>
      <c r="Z81" s="38" t="s">
        <v>148</v>
      </c>
      <c r="AA81" s="38" t="s">
        <v>68</v>
      </c>
      <c r="AB81" s="38" t="s">
        <v>72</v>
      </c>
      <c r="AC81" s="38" t="s">
        <v>72</v>
      </c>
      <c r="AD81" s="38" t="s">
        <v>72</v>
      </c>
      <c r="AE81" s="38" t="s">
        <v>90</v>
      </c>
      <c r="AF81" s="38" t="s">
        <v>74</v>
      </c>
      <c r="AG81" t="str">
        <f>VLOOKUP($Q81,武学奇术!$A:$ZZ,25,FALSE)</f>
        <v>陌刀</v>
      </c>
      <c r="AH81" s="23">
        <f>VLOOKUP($Q81,武学奇术!$A:$ZZ,26,FALSE)</f>
        <v>0.9</v>
      </c>
      <c r="AI81" s="24">
        <f>VLOOKUP($Q81,武学奇术!$A:$ZZ,27,FALSE)*(1+IF(OR($AG81=$F$4,$AG81=$F$5),$B$22,0))</f>
        <v>0</v>
      </c>
      <c r="AJ81" s="23">
        <f>VLOOKUP($Q81,武学奇术!$A:$ZZ,28,FALSE)</f>
        <v>1.35</v>
      </c>
      <c r="AK81" s="24">
        <f>VLOOKUP($Q81,武学奇术!$A:$ZZ,29,FALSE)*(1+IF(OR($AG81=$F$4,$AG81=$F$5),$B$22,0))</f>
        <v>0</v>
      </c>
      <c r="AL81" s="23" cm="1">
        <f t="array" ref="AL81">$G$3+IFERROR(VLOOKUP($AG81,$F$4:$G$7,2,FALSE),0)+VLOOKUP($Q81,武学奇术!$A:$ZZ,2,FALSE)+SUM(_xlfn.XLOOKUP($R81:$AF81,增益!$A:$A,增益!$B:$B,0))</f>
        <v>1.013</v>
      </c>
      <c r="AM81" s="23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3052.34</v>
      </c>
      <c r="AO81" cm="1">
        <f t="array" ref="AO81">$E$10*(1+$AM81)+VLOOKUP($Q81,武学奇术!$A:$ZZ,4,FALSE)+SUM(_xlfn.XLOOKUP($R81:$AF81,增益!$A:$A,增益!$D:$D,0))-$I$2</f>
        <v>3052.34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0.467</v>
      </c>
      <c r="AQ81" s="30" cm="1">
        <f t="array" ref="AQ81">$G$10+VLOOKUP($Q81,武学奇术!$A:$ZZ,7,FALSE)+SUM(_xlfn.XLOOKUP(R81:AF81,增益!$A:$A,增益!$G:$G,0))</f>
        <v>0</v>
      </c>
      <c r="AR81" s="23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-0.08</v>
      </c>
      <c r="AV81" s="30" cm="1">
        <f t="array" ref="AV81">$G$11+VLOOKUP($Q81,武学奇术!$A:$ZZ,10,FALSE)+SUM(_xlfn.XLOOKUP(R81:AF81,增益!$A:$A,增益!$J:$J,0))</f>
        <v>0.1</v>
      </c>
      <c r="AW81">
        <f t="shared" si="36"/>
        <v>634.5</v>
      </c>
      <c r="AX81">
        <f t="shared" si="37"/>
        <v>1443.3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0.198</v>
      </c>
      <c r="AZ81" s="30" cm="1">
        <f t="array" ref="AZ81">$G$12+VLOOKUP($Q81,武学奇术!$A:$ZZ,12,FALSE)+SUM(_xlfn.XLOOKUP(R81:AF81,增益!$A:$A,增益!$L:$L,0))</f>
        <v>0.148</v>
      </c>
      <c r="BA81">
        <f t="shared" si="38"/>
        <v>0</v>
      </c>
      <c r="BB81">
        <f t="shared" si="39"/>
        <v>0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-0.08</v>
      </c>
      <c r="BD81" s="30" cm="1">
        <f t="array" ref="BD81">$G$13+VLOOKUP($Q81,武学奇术!$A:$ZZ,14,FALSE)+SUM(_xlfn.XLOOKUP(R81:AF81,增益!$A:$A,增益!$N:$N,0))</f>
        <v>0</v>
      </c>
      <c r="BE81">
        <f t="shared" si="40"/>
        <v>0</v>
      </c>
      <c r="BF81">
        <f t="shared" si="41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-0.08</v>
      </c>
      <c r="BH81" s="30" cm="1">
        <f t="array" ref="BH81">$G$14+VLOOKUP($Q81,武学奇术!$A:$ZZ,16,FALSE)+SUM(_xlfn.XLOOKUP(R81:AF81,增益!$A:$A,增益!$P:$P,0))</f>
        <v>0</v>
      </c>
      <c r="BI81" s="23">
        <f>MIN(IF(VLOOKUP($Q81,武学奇术!$A:$ZZ,23,FALSE)=1,100%,$B$8),100%)</f>
        <v>0.8626</v>
      </c>
      <c r="BJ81" s="23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0.8697</v>
      </c>
      <c r="BK81" s="23" cm="1">
        <f t="array" ref="BK81">1+$B$13+VLOOKUP($Q81,武学奇术!$A:$ZZ,18,FALSE)+SUM(_xlfn.XLOOKUP(R81:AF81,增益!$A:$A,增益!$R:$R,0))</f>
        <v>2</v>
      </c>
      <c r="BL81" s="23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0.0986</v>
      </c>
      <c r="BM81" s="23" cm="1">
        <f t="array" ref="BM81">1+$B$14+VLOOKUP($Q81,武学奇术!$A:$ZZ,20,FALSE)+SUM(_xlfn.XLOOKUP(R81:AF81,增益!$A:$A,增益!$T:$T,0))</f>
        <v>1.35</v>
      </c>
      <c r="BN81" s="23">
        <f t="shared" si="22"/>
        <v>0.75020322</v>
      </c>
      <c r="BO81" s="23">
        <f t="shared" si="32"/>
        <v>0.0273444200000001</v>
      </c>
      <c r="BP81" s="23">
        <f>IF(VLOOKUP($Q81,武学奇术!$A:$ZZ,22,FALSE)=1,0,(1-$BI81))*(1-$BL81)</f>
        <v>0.12385236</v>
      </c>
      <c r="BQ81" s="23" cm="1">
        <f t="array" ref="BQ81">SUM(_xlfn.XLOOKUP(R81:AF81,增益!$A:$A,增益!$W:$W,0))</f>
        <v>0.33</v>
      </c>
    </row>
    <row r="82" spans="1:69">
      <c r="A82" s="4"/>
      <c r="B82" s="4"/>
      <c r="K82" s="36">
        <f t="shared" si="33"/>
        <v>419941.374622432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419941.374622432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299783.042085127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199972.083153539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177882.653651429</v>
      </c>
      <c r="P82" s="37">
        <v>1</v>
      </c>
      <c r="Q82" s="38" t="s">
        <v>110</v>
      </c>
      <c r="R82" s="38" t="s">
        <v>89</v>
      </c>
      <c r="S82" s="38" t="s">
        <v>78</v>
      </c>
      <c r="T82" s="38" t="s">
        <v>79</v>
      </c>
      <c r="U82" s="38" t="s">
        <v>111</v>
      </c>
      <c r="V82" s="38" t="s">
        <v>107</v>
      </c>
      <c r="W82" s="38" t="s">
        <v>112</v>
      </c>
      <c r="X82" s="38" t="s">
        <v>122</v>
      </c>
      <c r="Y82" s="38" t="s">
        <v>147</v>
      </c>
      <c r="Z82" s="38" t="s">
        <v>148</v>
      </c>
      <c r="AA82" s="38" t="s">
        <v>68</v>
      </c>
      <c r="AB82" s="38" t="s">
        <v>72</v>
      </c>
      <c r="AC82" s="38" t="s">
        <v>72</v>
      </c>
      <c r="AD82" s="38" t="s">
        <v>72</v>
      </c>
      <c r="AE82" s="38" t="s">
        <v>90</v>
      </c>
      <c r="AF82" s="38" t="s">
        <v>74</v>
      </c>
      <c r="AG82" t="str">
        <f>VLOOKUP($Q82,武学奇术!$A:$ZZ,25,FALSE)</f>
        <v>陌刀</v>
      </c>
      <c r="AH82" s="23">
        <f>VLOOKUP($Q82,武学奇术!$A:$ZZ,26,FALSE)</f>
        <v>7.5674</v>
      </c>
      <c r="AI82" s="24">
        <f>VLOOKUP($Q82,武学奇术!$A:$ZZ,27,FALSE)*(1+IF(OR($AG82=$F$4,$AG82=$F$5),$B$22,0))</f>
        <v>2720.9</v>
      </c>
      <c r="AJ82" s="23">
        <f>VLOOKUP($Q82,武学奇术!$A:$ZZ,28,FALSE)</f>
        <v>11.3512</v>
      </c>
      <c r="AK82" s="24">
        <f>VLOOKUP($Q82,武学奇术!$A:$ZZ,29,FALSE)*(1+IF(OR($AG82=$F$4,$AG82=$F$5),$B$22,0))</f>
        <v>1482</v>
      </c>
      <c r="AL82" s="23" cm="1">
        <f t="array" ref="AL82">$G$3+IFERROR(VLOOKUP($AG82,$F$4:$G$7,2,FALSE),0)+VLOOKUP($Q82,武学奇术!$A:$ZZ,2,FALSE)+SUM(_xlfn.XLOOKUP($R82:$AF82,增益!$A:$A,增益!$B:$B,0))</f>
        <v>0.993</v>
      </c>
      <c r="AM82" s="23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3052.34</v>
      </c>
      <c r="AO82" cm="1">
        <f t="array" ref="AO82">$E$10*(1+$AM82)+VLOOKUP($Q82,武学奇术!$A:$ZZ,4,FALSE)+SUM(_xlfn.XLOOKUP($R82:$AF82,增益!$A:$A,增益!$D:$D,0))-$I$2</f>
        <v>3052.34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0.467</v>
      </c>
      <c r="AQ82" s="30" cm="1">
        <f t="array" ref="AQ82">$G$10+VLOOKUP($Q82,武学奇术!$A:$ZZ,7,FALSE)+SUM(_xlfn.XLOOKUP(R82:AF82,增益!$A:$A,增益!$G:$G,0))</f>
        <v>0</v>
      </c>
      <c r="AR82" s="23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-0.08</v>
      </c>
      <c r="AV82" s="30" cm="1">
        <f t="array" ref="AV82">$G$11+VLOOKUP($Q82,武学奇术!$A:$ZZ,10,FALSE)+SUM(_xlfn.XLOOKUP(R82:AF82,增益!$A:$A,增益!$J:$J,0))</f>
        <v>0.1</v>
      </c>
      <c r="AW82">
        <f t="shared" si="36"/>
        <v>634.5</v>
      </c>
      <c r="AX82">
        <f t="shared" si="37"/>
        <v>1443.3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0.198</v>
      </c>
      <c r="AZ82" s="30" cm="1">
        <f t="array" ref="AZ82">$G$12+VLOOKUP($Q82,武学奇术!$A:$ZZ,12,FALSE)+SUM(_xlfn.XLOOKUP(R82:AF82,增益!$A:$A,增益!$L:$L,0))</f>
        <v>0.148</v>
      </c>
      <c r="BA82">
        <f t="shared" si="38"/>
        <v>0</v>
      </c>
      <c r="BB82">
        <f t="shared" si="39"/>
        <v>0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-0.08</v>
      </c>
      <c r="BD82" s="30" cm="1">
        <f t="array" ref="BD82">$G$13+VLOOKUP($Q82,武学奇术!$A:$ZZ,14,FALSE)+SUM(_xlfn.XLOOKUP(R82:AF82,增益!$A:$A,增益!$N:$N,0))</f>
        <v>0</v>
      </c>
      <c r="BE82">
        <f t="shared" si="40"/>
        <v>0</v>
      </c>
      <c r="BF82">
        <f t="shared" si="41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-0.08</v>
      </c>
      <c r="BH82" s="30" cm="1">
        <f t="array" ref="BH82">$G$14+VLOOKUP($Q82,武学奇术!$A:$ZZ,16,FALSE)+SUM(_xlfn.XLOOKUP(R82:AF82,增益!$A:$A,增益!$P:$P,0))</f>
        <v>0</v>
      </c>
      <c r="BI82" s="23">
        <f>MIN(IF(VLOOKUP($Q82,武学奇术!$A:$ZZ,23,FALSE)=1,100%,$B$8),100%)</f>
        <v>1</v>
      </c>
      <c r="BJ82" s="23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1</v>
      </c>
      <c r="BK82" s="23" cm="1">
        <f t="array" ref="BK82">1+$B$13+VLOOKUP($Q82,武学奇术!$A:$ZZ,18,FALSE)+SUM(_xlfn.XLOOKUP(R82:AF82,增益!$A:$A,增益!$R:$R,0))</f>
        <v>2.1</v>
      </c>
      <c r="BL82" s="23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</v>
      </c>
      <c r="BM82" s="23" cm="1">
        <f t="array" ref="BM82">1+$B$14+VLOOKUP($Q82,武学奇术!$A:$ZZ,20,FALSE)+SUM(_xlfn.XLOOKUP(R82:AF82,增益!$A:$A,增益!$T:$T,0))</f>
        <v>1.35</v>
      </c>
      <c r="BN82" s="23">
        <f t="shared" si="22"/>
        <v>1</v>
      </c>
      <c r="BO82" s="23">
        <f t="shared" si="32"/>
        <v>0</v>
      </c>
      <c r="BP82" s="23">
        <f>IF(VLOOKUP($Q82,武学奇术!$A:$ZZ,22,FALSE)=1,0,(1-$BI82))*(1-$BL82)</f>
        <v>0</v>
      </c>
      <c r="BQ82" s="23" cm="1">
        <f t="array" ref="BQ82">SUM(_xlfn.XLOOKUP(R82:AF82,增益!$A:$A,增益!$W:$W,0))</f>
        <v>0.33</v>
      </c>
    </row>
    <row r="83" spans="1:69">
      <c r="A83" s="4"/>
      <c r="B83" s="4"/>
      <c r="K83" s="36">
        <f t="shared" si="33"/>
        <v>19129.1599627354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21422.6746905922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16282.3365442566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10711.3373452961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9361.68465780952</v>
      </c>
      <c r="P83" s="37">
        <v>1</v>
      </c>
      <c r="Q83" s="38" t="s">
        <v>102</v>
      </c>
      <c r="R83" s="38" t="s">
        <v>89</v>
      </c>
      <c r="S83" s="38" t="s">
        <v>72</v>
      </c>
      <c r="T83" s="38" t="s">
        <v>79</v>
      </c>
      <c r="U83" s="38" t="s">
        <v>111</v>
      </c>
      <c r="V83" s="38" t="s">
        <v>72</v>
      </c>
      <c r="W83" s="38" t="s">
        <v>72</v>
      </c>
      <c r="X83" s="38" t="s">
        <v>122</v>
      </c>
      <c r="Y83" s="38" t="s">
        <v>147</v>
      </c>
      <c r="Z83" s="38" t="s">
        <v>148</v>
      </c>
      <c r="AA83" s="38" t="s">
        <v>68</v>
      </c>
      <c r="AB83" s="38" t="s">
        <v>72</v>
      </c>
      <c r="AC83" s="38" t="s">
        <v>72</v>
      </c>
      <c r="AD83" s="38" t="s">
        <v>72</v>
      </c>
      <c r="AE83" s="38" t="s">
        <v>90</v>
      </c>
      <c r="AF83" s="38" t="s">
        <v>74</v>
      </c>
      <c r="AG83" t="str">
        <f>VLOOKUP($Q83,武学奇术!$A:$ZZ,25,FALSE)</f>
        <v>陌刀</v>
      </c>
      <c r="AH83" s="23">
        <f>VLOOKUP($Q83,武学奇术!$A:$ZZ,26,FALSE)</f>
        <v>0.5</v>
      </c>
      <c r="AI83" s="24">
        <f>VLOOKUP($Q83,武学奇术!$A:$ZZ,27,FALSE)*(1+IF(OR($AG83=$F$4,$AG83=$F$5),$B$22,0))</f>
        <v>0</v>
      </c>
      <c r="AJ83" s="23">
        <f>VLOOKUP($Q83,武学奇术!$A:$ZZ,28,FALSE)</f>
        <v>0.75</v>
      </c>
      <c r="AK83" s="24">
        <f>VLOOKUP($Q83,武学奇术!$A:$ZZ,29,FALSE)*(1+IF(OR($AG83=$F$4,$AG83=$F$5),$B$22,0))</f>
        <v>0</v>
      </c>
      <c r="AL83" s="23" cm="1">
        <f t="array" ref="AL83">$G$3+IFERROR(VLOOKUP($AG83,$F$4:$G$7,2,FALSE),0)+VLOOKUP($Q83,武学奇术!$A:$ZZ,2,FALSE)+SUM(_xlfn.XLOOKUP($R83:$AF83,增益!$A:$A,增益!$B:$B,0))</f>
        <v>0.843</v>
      </c>
      <c r="AM83" s="23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3052.34</v>
      </c>
      <c r="AO83" cm="1">
        <f t="array" ref="AO83">$E$10*(1+$AM83)+VLOOKUP($Q83,武学奇术!$A:$ZZ,4,FALSE)+SUM(_xlfn.XLOOKUP($R83:$AF83,增益!$A:$A,增益!$D:$D,0))-$I$2</f>
        <v>3052.34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0.467</v>
      </c>
      <c r="AQ83" s="30" cm="1">
        <f t="array" ref="AQ83">$G$10+VLOOKUP($Q83,武学奇术!$A:$ZZ,7,FALSE)+SUM(_xlfn.XLOOKUP(R83:AF83,增益!$A:$A,增益!$G:$G,0))</f>
        <v>0</v>
      </c>
      <c r="AR83" s="23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-0.08</v>
      </c>
      <c r="AV83" s="30" cm="1">
        <f t="array" ref="AV83">$G$11+VLOOKUP($Q83,武学奇术!$A:$ZZ,10,FALSE)+SUM(_xlfn.XLOOKUP(R83:AF83,增益!$A:$A,增益!$J:$J,0))</f>
        <v>0.1</v>
      </c>
      <c r="AW83">
        <f t="shared" si="36"/>
        <v>634.5</v>
      </c>
      <c r="AX83">
        <f t="shared" si="37"/>
        <v>1443.3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0.198</v>
      </c>
      <c r="AZ83" s="30" cm="1">
        <f t="array" ref="AZ83">$G$12+VLOOKUP($Q83,武学奇术!$A:$ZZ,12,FALSE)+SUM(_xlfn.XLOOKUP(R83:AF83,增益!$A:$A,增益!$L:$L,0))</f>
        <v>0.148</v>
      </c>
      <c r="BA83">
        <f t="shared" si="38"/>
        <v>0</v>
      </c>
      <c r="BB83">
        <f t="shared" si="39"/>
        <v>0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-0.08</v>
      </c>
      <c r="BD83" s="30" cm="1">
        <f t="array" ref="BD83">$G$13+VLOOKUP($Q83,武学奇术!$A:$ZZ,14,FALSE)+SUM(_xlfn.XLOOKUP(R83:AF83,增益!$A:$A,增益!$N:$N,0))</f>
        <v>0</v>
      </c>
      <c r="BE83">
        <f t="shared" si="40"/>
        <v>0</v>
      </c>
      <c r="BF83">
        <f t="shared" si="41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-0.08</v>
      </c>
      <c r="BH83" s="30" cm="1">
        <f t="array" ref="BH83">$G$14+VLOOKUP($Q83,武学奇术!$A:$ZZ,16,FALSE)+SUM(_xlfn.XLOOKUP(R83:AF83,增益!$A:$A,增益!$P:$P,0))</f>
        <v>0</v>
      </c>
      <c r="BI83" s="23">
        <f>MIN(IF(VLOOKUP($Q83,武学奇术!$A:$ZZ,23,FALSE)=1,100%,$B$8),100%)</f>
        <v>0.8626</v>
      </c>
      <c r="BJ83" s="23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0.8697</v>
      </c>
      <c r="BK83" s="23" cm="1">
        <f t="array" ref="BK83">1+$B$13+VLOOKUP($Q83,武学奇术!$A:$ZZ,18,FALSE)+SUM(_xlfn.XLOOKUP(R83:AF83,增益!$A:$A,增益!$R:$R,0))</f>
        <v>2</v>
      </c>
      <c r="BL83" s="23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0.0986</v>
      </c>
      <c r="BM83" s="23" cm="1">
        <f t="array" ref="BM83">1+$B$14+VLOOKUP($Q83,武学奇术!$A:$ZZ,20,FALSE)+SUM(_xlfn.XLOOKUP(R83:AF83,增益!$A:$A,增益!$T:$T,0))</f>
        <v>1.35</v>
      </c>
      <c r="BN83" s="23">
        <f t="shared" si="22"/>
        <v>0.75020322</v>
      </c>
      <c r="BO83" s="23">
        <f t="shared" si="32"/>
        <v>0.0273444200000001</v>
      </c>
      <c r="BP83" s="23">
        <f>IF(VLOOKUP($Q83,武学奇术!$A:$ZZ,22,FALSE)=1,0,(1-$BI83))*(1-$BL83)</f>
        <v>0.12385236</v>
      </c>
      <c r="BQ83" s="23" cm="1">
        <f t="array" ref="BQ83">SUM(_xlfn.XLOOKUP(R83:AF83,增益!$A:$A,增益!$W:$W,0))</f>
        <v>0.33</v>
      </c>
    </row>
    <row r="84" spans="1:69">
      <c r="A84" s="4"/>
      <c r="B84" s="4"/>
      <c r="K84" s="36">
        <f t="shared" si="33"/>
        <v>34432.4879329238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38560.814443066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29308.2057796619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19280.407221533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16851.0323840571</v>
      </c>
      <c r="P84" s="37">
        <v>1</v>
      </c>
      <c r="Q84" s="38" t="s">
        <v>136</v>
      </c>
      <c r="R84" s="38" t="s">
        <v>89</v>
      </c>
      <c r="S84" s="38" t="s">
        <v>72</v>
      </c>
      <c r="T84" s="38" t="s">
        <v>79</v>
      </c>
      <c r="U84" s="38" t="s">
        <v>111</v>
      </c>
      <c r="V84" s="38" t="s">
        <v>72</v>
      </c>
      <c r="W84" s="38" t="s">
        <v>72</v>
      </c>
      <c r="X84" s="38" t="s">
        <v>122</v>
      </c>
      <c r="Y84" s="38" t="s">
        <v>147</v>
      </c>
      <c r="Z84" s="38" t="s">
        <v>148</v>
      </c>
      <c r="AA84" s="38" t="s">
        <v>68</v>
      </c>
      <c r="AB84" s="38" t="s">
        <v>72</v>
      </c>
      <c r="AC84" s="38" t="s">
        <v>72</v>
      </c>
      <c r="AD84" s="38" t="s">
        <v>72</v>
      </c>
      <c r="AE84" s="38" t="s">
        <v>90</v>
      </c>
      <c r="AF84" s="38" t="s">
        <v>74</v>
      </c>
      <c r="AG84" t="str">
        <f>VLOOKUP($Q84,武学奇术!$A:$ZZ,25,FALSE)</f>
        <v>陌刀</v>
      </c>
      <c r="AH84" s="23">
        <f>VLOOKUP($Q84,武学奇术!$A:$ZZ,26,FALSE)</f>
        <v>0.9</v>
      </c>
      <c r="AI84" s="24">
        <f>VLOOKUP($Q84,武学奇术!$A:$ZZ,27,FALSE)*(1+IF(OR($AG84=$F$4,$AG84=$F$5),$B$22,0))</f>
        <v>0</v>
      </c>
      <c r="AJ84" s="23">
        <f>VLOOKUP($Q84,武学奇术!$A:$ZZ,28,FALSE)</f>
        <v>1.35</v>
      </c>
      <c r="AK84" s="24">
        <f>VLOOKUP($Q84,武学奇术!$A:$ZZ,29,FALSE)*(1+IF(OR($AG84=$F$4,$AG84=$F$5),$B$22,0))</f>
        <v>0</v>
      </c>
      <c r="AL84" s="23" cm="1">
        <f t="array" ref="AL84">$G$3+IFERROR(VLOOKUP($AG84,$F$4:$G$7,2,FALSE),0)+VLOOKUP($Q84,武学奇术!$A:$ZZ,2,FALSE)+SUM(_xlfn.XLOOKUP($R84:$AF84,增益!$A:$A,增益!$B:$B,0))</f>
        <v>0.843</v>
      </c>
      <c r="AM84" s="23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3052.34</v>
      </c>
      <c r="AO84" cm="1">
        <f t="array" ref="AO84">$E$10*(1+$AM84)+VLOOKUP($Q84,武学奇术!$A:$ZZ,4,FALSE)+SUM(_xlfn.XLOOKUP($R84:$AF84,增益!$A:$A,增益!$D:$D,0))-$I$2</f>
        <v>3052.34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0.467</v>
      </c>
      <c r="AQ84" s="30" cm="1">
        <f t="array" ref="AQ84">$G$10+VLOOKUP($Q84,武学奇术!$A:$ZZ,7,FALSE)+SUM(_xlfn.XLOOKUP(R84:AF84,增益!$A:$A,增益!$G:$G,0))</f>
        <v>0</v>
      </c>
      <c r="AR84" s="23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-0.08</v>
      </c>
      <c r="AV84" s="30" cm="1">
        <f t="array" ref="AV84">$G$11+VLOOKUP($Q84,武学奇术!$A:$ZZ,10,FALSE)+SUM(_xlfn.XLOOKUP(R84:AF84,增益!$A:$A,增益!$J:$J,0))</f>
        <v>0.1</v>
      </c>
      <c r="AW84">
        <f t="shared" si="36"/>
        <v>634.5</v>
      </c>
      <c r="AX84">
        <f t="shared" si="37"/>
        <v>1443.3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0.198</v>
      </c>
      <c r="AZ84" s="30" cm="1">
        <f t="array" ref="AZ84">$G$12+VLOOKUP($Q84,武学奇术!$A:$ZZ,12,FALSE)+SUM(_xlfn.XLOOKUP(R84:AF84,增益!$A:$A,增益!$L:$L,0))</f>
        <v>0.148</v>
      </c>
      <c r="BA84">
        <f t="shared" si="38"/>
        <v>0</v>
      </c>
      <c r="BB84">
        <f t="shared" si="39"/>
        <v>0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-0.08</v>
      </c>
      <c r="BD84" s="30" cm="1">
        <f t="array" ref="BD84">$G$13+VLOOKUP($Q84,武学奇术!$A:$ZZ,14,FALSE)+SUM(_xlfn.XLOOKUP(R84:AF84,增益!$A:$A,增益!$N:$N,0))</f>
        <v>0</v>
      </c>
      <c r="BE84">
        <f t="shared" si="40"/>
        <v>0</v>
      </c>
      <c r="BF84">
        <f t="shared" si="41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-0.08</v>
      </c>
      <c r="BH84" s="30" cm="1">
        <f t="array" ref="BH84">$G$14+VLOOKUP($Q84,武学奇术!$A:$ZZ,16,FALSE)+SUM(_xlfn.XLOOKUP(R84:AF84,增益!$A:$A,增益!$P:$P,0))</f>
        <v>0</v>
      </c>
      <c r="BI84" s="23">
        <f>MIN(IF(VLOOKUP($Q84,武学奇术!$A:$ZZ,23,FALSE)=1,100%,$B$8),100%)</f>
        <v>0.8626</v>
      </c>
      <c r="BJ84" s="23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0.8697</v>
      </c>
      <c r="BK84" s="23" cm="1">
        <f t="array" ref="BK84">1+$B$13+VLOOKUP($Q84,武学奇术!$A:$ZZ,18,FALSE)+SUM(_xlfn.XLOOKUP(R84:AF84,增益!$A:$A,增益!$R:$R,0))</f>
        <v>2</v>
      </c>
      <c r="BL84" s="23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0.0986</v>
      </c>
      <c r="BM84" s="23" cm="1">
        <f t="array" ref="BM84">1+$B$14+VLOOKUP($Q84,武学奇术!$A:$ZZ,20,FALSE)+SUM(_xlfn.XLOOKUP(R84:AF84,增益!$A:$A,增益!$T:$T,0))</f>
        <v>1.35</v>
      </c>
      <c r="BN84" s="23">
        <f t="shared" si="22"/>
        <v>0.75020322</v>
      </c>
      <c r="BO84" s="23">
        <f t="shared" si="32"/>
        <v>0.0273444200000001</v>
      </c>
      <c r="BP84" s="23">
        <f>IF(VLOOKUP($Q84,武学奇术!$A:$ZZ,22,FALSE)=1,0,(1-$BI84))*(1-$BL84)</f>
        <v>0.12385236</v>
      </c>
      <c r="BQ84" s="23" cm="1">
        <f t="array" ref="BQ84">SUM(_xlfn.XLOOKUP(R84:AF84,增益!$A:$A,增益!$W:$W,0))</f>
        <v>0.33</v>
      </c>
    </row>
    <row r="85" spans="1:69">
      <c r="A85" s="4"/>
      <c r="B85" s="4"/>
      <c r="K85" s="36">
        <f t="shared" si="33"/>
        <v>388335.149738656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388335.149738656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277220.344487149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184921.499875551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164494.596427287</v>
      </c>
      <c r="P85" s="37">
        <v>1</v>
      </c>
      <c r="Q85" s="38" t="s">
        <v>110</v>
      </c>
      <c r="R85" s="38" t="s">
        <v>89</v>
      </c>
      <c r="S85" s="38" t="s">
        <v>72</v>
      </c>
      <c r="T85" s="38" t="s">
        <v>79</v>
      </c>
      <c r="U85" s="38" t="s">
        <v>111</v>
      </c>
      <c r="V85" s="38" t="s">
        <v>107</v>
      </c>
      <c r="W85" s="38" t="s">
        <v>72</v>
      </c>
      <c r="X85" s="38" t="s">
        <v>122</v>
      </c>
      <c r="Y85" s="38" t="s">
        <v>147</v>
      </c>
      <c r="Z85" s="38" t="s">
        <v>148</v>
      </c>
      <c r="AA85" s="38" t="s">
        <v>68</v>
      </c>
      <c r="AB85" s="38" t="s">
        <v>72</v>
      </c>
      <c r="AC85" s="38" t="s">
        <v>72</v>
      </c>
      <c r="AD85" s="38" t="s">
        <v>72</v>
      </c>
      <c r="AE85" s="38" t="s">
        <v>90</v>
      </c>
      <c r="AF85" s="38" t="s">
        <v>74</v>
      </c>
      <c r="AG85" t="str">
        <f>VLOOKUP($Q85,武学奇术!$A:$ZZ,25,FALSE)</f>
        <v>陌刀</v>
      </c>
      <c r="AH85" s="23">
        <f>VLOOKUP($Q85,武学奇术!$A:$ZZ,26,FALSE)</f>
        <v>7.5674</v>
      </c>
      <c r="AI85" s="24">
        <f>VLOOKUP($Q85,武学奇术!$A:$ZZ,27,FALSE)*(1+IF(OR($AG85=$F$4,$AG85=$F$5),$B$22,0))</f>
        <v>2720.9</v>
      </c>
      <c r="AJ85" s="23">
        <f>VLOOKUP($Q85,武学奇术!$A:$ZZ,28,FALSE)</f>
        <v>11.3512</v>
      </c>
      <c r="AK85" s="24">
        <f>VLOOKUP($Q85,武学奇术!$A:$ZZ,29,FALSE)*(1+IF(OR($AG85=$F$4,$AG85=$F$5),$B$22,0))</f>
        <v>1482</v>
      </c>
      <c r="AL85" s="23" cm="1">
        <f t="array" ref="AL85">$G$3+IFERROR(VLOOKUP($AG85,$F$4:$G$7,2,FALSE),0)+VLOOKUP($Q85,武学奇术!$A:$ZZ,2,FALSE)+SUM(_xlfn.XLOOKUP($R85:$AF85,增益!$A:$A,增益!$B:$B,0))</f>
        <v>0.843</v>
      </c>
      <c r="AM85" s="23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3052.34</v>
      </c>
      <c r="AO85" cm="1">
        <f t="array" ref="AO85">$E$10*(1+$AM85)+VLOOKUP($Q85,武学奇术!$A:$ZZ,4,FALSE)+SUM(_xlfn.XLOOKUP($R85:$AF85,增益!$A:$A,增益!$D:$D,0))-$I$2</f>
        <v>3052.34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0.467</v>
      </c>
      <c r="AQ85" s="30" cm="1">
        <f t="array" ref="AQ85">$G$10+VLOOKUP($Q85,武学奇术!$A:$ZZ,7,FALSE)+SUM(_xlfn.XLOOKUP(R85:AF85,增益!$A:$A,增益!$G:$G,0))</f>
        <v>0</v>
      </c>
      <c r="AR85" s="23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-0.08</v>
      </c>
      <c r="AV85" s="30" cm="1">
        <f t="array" ref="AV85">$G$11+VLOOKUP($Q85,武学奇术!$A:$ZZ,10,FALSE)+SUM(_xlfn.XLOOKUP(R85:AF85,增益!$A:$A,增益!$J:$J,0))</f>
        <v>0.1</v>
      </c>
      <c r="AW85">
        <f t="shared" si="36"/>
        <v>634.5</v>
      </c>
      <c r="AX85">
        <f t="shared" si="37"/>
        <v>1443.3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0.198</v>
      </c>
      <c r="AZ85" s="30" cm="1">
        <f t="array" ref="AZ85">$G$12+VLOOKUP($Q85,武学奇术!$A:$ZZ,12,FALSE)+SUM(_xlfn.XLOOKUP(R85:AF85,增益!$A:$A,增益!$L:$L,0))</f>
        <v>0.148</v>
      </c>
      <c r="BA85">
        <f t="shared" si="38"/>
        <v>0</v>
      </c>
      <c r="BB85">
        <f t="shared" si="39"/>
        <v>0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-0.08</v>
      </c>
      <c r="BD85" s="30" cm="1">
        <f t="array" ref="BD85">$G$13+VLOOKUP($Q85,武学奇术!$A:$ZZ,14,FALSE)+SUM(_xlfn.XLOOKUP(R85:AF85,增益!$A:$A,增益!$N:$N,0))</f>
        <v>0</v>
      </c>
      <c r="BE85">
        <f t="shared" si="40"/>
        <v>0</v>
      </c>
      <c r="BF85">
        <f t="shared" si="41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-0.08</v>
      </c>
      <c r="BH85" s="30" cm="1">
        <f t="array" ref="BH85">$G$14+VLOOKUP($Q85,武学奇术!$A:$ZZ,16,FALSE)+SUM(_xlfn.XLOOKUP(R85:AF85,增益!$A:$A,增益!$P:$P,0))</f>
        <v>0</v>
      </c>
      <c r="BI85" s="23">
        <f>MIN(IF(VLOOKUP($Q85,武学奇术!$A:$ZZ,23,FALSE)=1,100%,$B$8),100%)</f>
        <v>1</v>
      </c>
      <c r="BJ85" s="23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1</v>
      </c>
      <c r="BK85" s="23" cm="1">
        <f t="array" ref="BK85">1+$B$13+VLOOKUP($Q85,武学奇术!$A:$ZZ,18,FALSE)+SUM(_xlfn.XLOOKUP(R85:AF85,增益!$A:$A,增益!$R:$R,0))</f>
        <v>2.1</v>
      </c>
      <c r="BL85" s="23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</v>
      </c>
      <c r="BM85" s="23" cm="1">
        <f t="array" ref="BM85">1+$B$14+VLOOKUP($Q85,武学奇术!$A:$ZZ,20,FALSE)+SUM(_xlfn.XLOOKUP(R85:AF85,增益!$A:$A,增益!$T:$T,0))</f>
        <v>1.35</v>
      </c>
      <c r="BN85" s="23">
        <f t="shared" si="22"/>
        <v>1</v>
      </c>
      <c r="BO85" s="23">
        <f t="shared" si="32"/>
        <v>0</v>
      </c>
      <c r="BP85" s="23">
        <f>IF(VLOOKUP($Q85,武学奇术!$A:$ZZ,22,FALSE)=1,0,(1-$BI85))*(1-$BL85)</f>
        <v>0</v>
      </c>
      <c r="BQ85" s="23" cm="1">
        <f t="array" ref="BQ85">SUM(_xlfn.XLOOKUP(R85:AF85,增益!$A:$A,增益!$W:$W,0))</f>
        <v>0.33</v>
      </c>
    </row>
    <row r="86" spans="1:69">
      <c r="A86" s="4"/>
      <c r="B86" s="4"/>
      <c r="K86" s="36">
        <f t="shared" si="33"/>
        <v>17902.7254217823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20049.7997414195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15160.1660872179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10024.8998707097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8820.04708422102</v>
      </c>
      <c r="P86" s="37">
        <v>1</v>
      </c>
      <c r="Q86" s="38" t="s">
        <v>102</v>
      </c>
      <c r="R86" s="38" t="s">
        <v>89</v>
      </c>
      <c r="S86" s="38" t="s">
        <v>72</v>
      </c>
      <c r="T86" s="38" t="s">
        <v>72</v>
      </c>
      <c r="U86" s="38" t="s">
        <v>111</v>
      </c>
      <c r="V86" s="38" t="s">
        <v>72</v>
      </c>
      <c r="W86" s="38" t="s">
        <v>72</v>
      </c>
      <c r="X86" s="38" t="s">
        <v>122</v>
      </c>
      <c r="Y86" s="38" t="s">
        <v>147</v>
      </c>
      <c r="Z86" s="38" t="s">
        <v>148</v>
      </c>
      <c r="AA86" s="38" t="s">
        <v>68</v>
      </c>
      <c r="AB86" s="38" t="s">
        <v>72</v>
      </c>
      <c r="AC86" s="38" t="s">
        <v>72</v>
      </c>
      <c r="AD86" s="38" t="s">
        <v>72</v>
      </c>
      <c r="AE86" s="38" t="s">
        <v>90</v>
      </c>
      <c r="AF86" s="38" t="s">
        <v>74</v>
      </c>
      <c r="AG86" t="str">
        <f>VLOOKUP($Q86,武学奇术!$A:$ZZ,25,FALSE)</f>
        <v>陌刀</v>
      </c>
      <c r="AH86" s="23">
        <f>VLOOKUP($Q86,武学奇术!$A:$ZZ,26,FALSE)</f>
        <v>0.5</v>
      </c>
      <c r="AI86" s="24">
        <f>VLOOKUP($Q86,武学奇术!$A:$ZZ,27,FALSE)*(1+IF(OR($AG86=$F$4,$AG86=$F$5),$B$22,0))</f>
        <v>0</v>
      </c>
      <c r="AJ86" s="23">
        <f>VLOOKUP($Q86,武学奇术!$A:$ZZ,28,FALSE)</f>
        <v>0.75</v>
      </c>
      <c r="AK86" s="24">
        <f>VLOOKUP($Q86,武学奇术!$A:$ZZ,29,FALSE)*(1+IF(OR($AG86=$F$4,$AG86=$F$5),$B$22,0))</f>
        <v>0</v>
      </c>
      <c r="AL86" s="23" cm="1">
        <f t="array" ref="AL86">$G$3+IFERROR(VLOOKUP($AG86,$F$4:$G$7,2,FALSE),0)+VLOOKUP($Q86,武学奇术!$A:$ZZ,2,FALSE)+SUM(_xlfn.XLOOKUP($R86:$AF86,增益!$A:$A,增益!$B:$B,0))</f>
        <v>0.763</v>
      </c>
      <c r="AM86" s="23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3052.34</v>
      </c>
      <c r="AO86" cm="1">
        <f t="array" ref="AO86">$E$10*(1+$AM86)+VLOOKUP($Q86,武学奇术!$A:$ZZ,4,FALSE)+SUM(_xlfn.XLOOKUP($R86:$AF86,增益!$A:$A,增益!$D:$D,0))-$I$2</f>
        <v>3052.34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0.467</v>
      </c>
      <c r="AQ86" s="30" cm="1">
        <f t="array" ref="AQ86">$G$10+VLOOKUP($Q86,武学奇术!$A:$ZZ,7,FALSE)+SUM(_xlfn.XLOOKUP(R86:AF86,增益!$A:$A,增益!$G:$G,0))</f>
        <v>0</v>
      </c>
      <c r="AR86" s="23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-0.24</v>
      </c>
      <c r="AV86" s="30" cm="1">
        <f t="array" ref="AV86">$G$11+VLOOKUP($Q86,武学奇术!$A:$ZZ,10,FALSE)+SUM(_xlfn.XLOOKUP(R86:AF86,增益!$A:$A,增益!$J:$J,0))</f>
        <v>0.1</v>
      </c>
      <c r="AW86">
        <f t="shared" si="36"/>
        <v>634.5</v>
      </c>
      <c r="AX86">
        <f t="shared" si="37"/>
        <v>1443.3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0.118</v>
      </c>
      <c r="AZ86" s="30" cm="1">
        <f t="array" ref="AZ86">$G$12+VLOOKUP($Q86,武学奇术!$A:$ZZ,12,FALSE)+SUM(_xlfn.XLOOKUP(R86:AF86,增益!$A:$A,增益!$L:$L,0))</f>
        <v>0.148</v>
      </c>
      <c r="BA86">
        <f t="shared" si="38"/>
        <v>0</v>
      </c>
      <c r="BB86">
        <f t="shared" si="39"/>
        <v>0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-0.24</v>
      </c>
      <c r="BD86" s="30" cm="1">
        <f t="array" ref="BD86">$G$13+VLOOKUP($Q86,武学奇术!$A:$ZZ,14,FALSE)+SUM(_xlfn.XLOOKUP(R86:AF86,增益!$A:$A,增益!$N:$N,0))</f>
        <v>0</v>
      </c>
      <c r="BE86">
        <f t="shared" si="40"/>
        <v>0</v>
      </c>
      <c r="BF86">
        <f t="shared" si="41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-0.24</v>
      </c>
      <c r="BH86" s="30" cm="1">
        <f t="array" ref="BH86">$G$14+VLOOKUP($Q86,武学奇术!$A:$ZZ,16,FALSE)+SUM(_xlfn.XLOOKUP(R86:AF86,增益!$A:$A,增益!$P:$P,0))</f>
        <v>0</v>
      </c>
      <c r="BI86" s="23">
        <f>MIN(IF(VLOOKUP($Q86,武学奇术!$A:$ZZ,23,FALSE)=1,100%,$B$8),100%)</f>
        <v>0.8626</v>
      </c>
      <c r="BJ86" s="23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0.8697</v>
      </c>
      <c r="BK86" s="23" cm="1">
        <f t="array" ref="BK86">1+$B$13+VLOOKUP($Q86,武学奇术!$A:$ZZ,18,FALSE)+SUM(_xlfn.XLOOKUP(R86:AF86,增益!$A:$A,增益!$R:$R,0))</f>
        <v>2</v>
      </c>
      <c r="BL86" s="23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0.0986</v>
      </c>
      <c r="BM86" s="23" cm="1">
        <f t="array" ref="BM86">1+$B$14+VLOOKUP($Q86,武学奇术!$A:$ZZ,20,FALSE)+SUM(_xlfn.XLOOKUP(R86:AF86,增益!$A:$A,增益!$T:$T,0))</f>
        <v>1.35</v>
      </c>
      <c r="BN86" s="23">
        <f t="shared" si="22"/>
        <v>0.75020322</v>
      </c>
      <c r="BO86" s="23">
        <f t="shared" si="32"/>
        <v>0.0273444200000001</v>
      </c>
      <c r="BP86" s="23">
        <f>IF(VLOOKUP($Q86,武学奇术!$A:$ZZ,22,FALSE)=1,0,(1-$BI86))*(1-$BL86)</f>
        <v>0.12385236</v>
      </c>
      <c r="BQ86" s="23" cm="1">
        <f t="array" ref="BQ86">SUM(_xlfn.XLOOKUP(R86:AF86,增益!$A:$A,增益!$W:$W,0))</f>
        <v>0.33</v>
      </c>
    </row>
    <row r="87" spans="1:69">
      <c r="K87" s="36">
        <f t="shared" ref="K87:K101" si="42">($L87*$BN87+$M87*$BL87+$N87*$BO87+$O87*$BP87)</f>
        <v>32224.9057592081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36089.639534555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27288.2989569922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18044.8197672775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15876.0847515978</v>
      </c>
      <c r="P87" s="37">
        <v>1</v>
      </c>
      <c r="Q87" s="38" t="s">
        <v>136</v>
      </c>
      <c r="R87" s="38" t="s">
        <v>89</v>
      </c>
      <c r="S87" s="38" t="s">
        <v>72</v>
      </c>
      <c r="T87" s="38" t="s">
        <v>72</v>
      </c>
      <c r="U87" s="38" t="s">
        <v>111</v>
      </c>
      <c r="V87" s="38" t="s">
        <v>72</v>
      </c>
      <c r="W87" s="38" t="s">
        <v>72</v>
      </c>
      <c r="X87" s="38" t="s">
        <v>122</v>
      </c>
      <c r="Y87" s="38" t="s">
        <v>147</v>
      </c>
      <c r="Z87" s="38" t="s">
        <v>148</v>
      </c>
      <c r="AA87" s="38" t="s">
        <v>68</v>
      </c>
      <c r="AB87" s="38" t="s">
        <v>72</v>
      </c>
      <c r="AC87" s="38" t="s">
        <v>72</v>
      </c>
      <c r="AD87" s="38" t="s">
        <v>72</v>
      </c>
      <c r="AE87" s="38" t="s">
        <v>90</v>
      </c>
      <c r="AF87" s="38" t="s">
        <v>74</v>
      </c>
      <c r="AG87" t="str">
        <f>VLOOKUP($Q87,武学奇术!$A:$ZZ,25,FALSE)</f>
        <v>陌刀</v>
      </c>
      <c r="AH87" s="23">
        <f>VLOOKUP($Q87,武学奇术!$A:$ZZ,26,FALSE)</f>
        <v>0.9</v>
      </c>
      <c r="AI87" s="24">
        <f>VLOOKUP($Q87,武学奇术!$A:$ZZ,27,FALSE)*(1+IF(OR($AG87=$F$4,$AG87=$F$5),$B$22,0))</f>
        <v>0</v>
      </c>
      <c r="AJ87" s="23">
        <f>VLOOKUP($Q87,武学奇术!$A:$ZZ,28,FALSE)</f>
        <v>1.35</v>
      </c>
      <c r="AK87" s="24">
        <f>VLOOKUP($Q87,武学奇术!$A:$ZZ,29,FALSE)*(1+IF(OR($AG87=$F$4,$AG87=$F$5),$B$22,0))</f>
        <v>0</v>
      </c>
      <c r="AL87" s="23" cm="1">
        <f t="array" ref="AL87">$G$3+IFERROR(VLOOKUP($AG87,$F$4:$G$7,2,FALSE),0)+VLOOKUP($Q87,武学奇术!$A:$ZZ,2,FALSE)+SUM(_xlfn.XLOOKUP($R87:$AF87,增益!$A:$A,增益!$B:$B,0))</f>
        <v>0.763</v>
      </c>
      <c r="AM87" s="23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3052.34</v>
      </c>
      <c r="AO87" cm="1">
        <f t="array" ref="AO87">$E$10*(1+$AM87)+VLOOKUP($Q87,武学奇术!$A:$ZZ,4,FALSE)+SUM(_xlfn.XLOOKUP($R87:$AF87,增益!$A:$A,增益!$D:$D,0))-$I$2</f>
        <v>3052.34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0.467</v>
      </c>
      <c r="AQ87" s="30" cm="1">
        <f t="array" ref="AQ87">$G$10+VLOOKUP($Q87,武学奇术!$A:$ZZ,7,FALSE)+SUM(_xlfn.XLOOKUP(R87:AF87,增益!$A:$A,增益!$G:$G,0))</f>
        <v>0</v>
      </c>
      <c r="AR87" s="23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-0.24</v>
      </c>
      <c r="AV87" s="30" cm="1">
        <f t="array" ref="AV87">$G$11+VLOOKUP($Q87,武学奇术!$A:$ZZ,10,FALSE)+SUM(_xlfn.XLOOKUP(R87:AF87,增益!$A:$A,增益!$J:$J,0))</f>
        <v>0.1</v>
      </c>
      <c r="AW87">
        <f t="shared" ref="AW87:AW101" si="45">$D$12*(1+$AR87)</f>
        <v>634.5</v>
      </c>
      <c r="AX87">
        <f t="shared" ref="AX87:AX101" si="46">$E$12*(1+$AR87)</f>
        <v>1443.3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0.118</v>
      </c>
      <c r="AZ87" s="30" cm="1">
        <f t="array" ref="AZ87">$G$12+VLOOKUP($Q87,武学奇术!$A:$ZZ,12,FALSE)+SUM(_xlfn.XLOOKUP(R87:AF87,增益!$A:$A,增益!$L:$L,0))</f>
        <v>0.148</v>
      </c>
      <c r="BA87">
        <f t="shared" ref="BA87:BA101" si="47">$D$13*(1+$AR87)</f>
        <v>0</v>
      </c>
      <c r="BB87">
        <f t="shared" ref="BB87:BB101" si="48">$E$13*(1+$AR87)</f>
        <v>0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-0.24</v>
      </c>
      <c r="BD87" s="30" cm="1">
        <f t="array" ref="BD87">$G$13+VLOOKUP($Q87,武学奇术!$A:$ZZ,14,FALSE)+SUM(_xlfn.XLOOKUP(R87:AF87,增益!$A:$A,增益!$N:$N,0))</f>
        <v>0</v>
      </c>
      <c r="BE87">
        <f t="shared" ref="BE87:BE101" si="49">$D$14*(1+$AR87)</f>
        <v>0</v>
      </c>
      <c r="BF87">
        <f t="shared" ref="BF87:BF101" si="50">$E$14*(1+$AR87)</f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-0.24</v>
      </c>
      <c r="BH87" s="30" cm="1">
        <f t="array" ref="BH87">$G$14+VLOOKUP($Q87,武学奇术!$A:$ZZ,16,FALSE)+SUM(_xlfn.XLOOKUP(R87:AF87,增益!$A:$A,增益!$P:$P,0))</f>
        <v>0</v>
      </c>
      <c r="BI87" s="23">
        <f>MIN(IF(VLOOKUP($Q87,武学奇术!$A:$ZZ,23,FALSE)=1,100%,$B$8),100%)</f>
        <v>0.8626</v>
      </c>
      <c r="BJ87" s="23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0.8697</v>
      </c>
      <c r="BK87" s="23" cm="1">
        <f t="array" ref="BK87">1+$B$13+VLOOKUP($Q87,武学奇术!$A:$ZZ,18,FALSE)+SUM(_xlfn.XLOOKUP(R87:AF87,增益!$A:$A,增益!$R:$R,0))</f>
        <v>2</v>
      </c>
      <c r="BL87" s="23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0.0986</v>
      </c>
      <c r="BM87" s="23" cm="1">
        <f t="array" ref="BM87">1+$B$14+VLOOKUP($Q87,武学奇术!$A:$ZZ,20,FALSE)+SUM(_xlfn.XLOOKUP(R87:AF87,增益!$A:$A,增益!$T:$T,0))</f>
        <v>1.35</v>
      </c>
      <c r="BN87" s="23">
        <f t="shared" si="22"/>
        <v>0.75020322</v>
      </c>
      <c r="BO87" s="23">
        <f t="shared" si="32"/>
        <v>0.0273444200000001</v>
      </c>
      <c r="BP87" s="23">
        <f>IF(VLOOKUP($Q87,武学奇术!$A:$ZZ,22,FALSE)=1,0,(1-$BI87))*(1-$BL87)</f>
        <v>0.12385236</v>
      </c>
      <c r="BQ87" s="23" cm="1">
        <f t="array" ref="BQ87">SUM(_xlfn.XLOOKUP(R87:AF87,增益!$A:$A,增益!$W:$W,0))</f>
        <v>0.33</v>
      </c>
    </row>
    <row r="88" spans="1:69">
      <c r="K88" s="36">
        <f t="shared" si="42"/>
        <v>363111.959033509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363111.959033509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258046.861431525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172910.456682623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154675.090082636</v>
      </c>
      <c r="P88" s="37">
        <v>1</v>
      </c>
      <c r="Q88" s="38" t="s">
        <v>110</v>
      </c>
      <c r="R88" s="38" t="s">
        <v>89</v>
      </c>
      <c r="S88" s="38" t="s">
        <v>72</v>
      </c>
      <c r="T88" s="38" t="s">
        <v>72</v>
      </c>
      <c r="U88" s="38" t="s">
        <v>111</v>
      </c>
      <c r="V88" s="38" t="s">
        <v>107</v>
      </c>
      <c r="W88" s="38" t="s">
        <v>72</v>
      </c>
      <c r="X88" s="38" t="s">
        <v>122</v>
      </c>
      <c r="Y88" s="38" t="s">
        <v>147</v>
      </c>
      <c r="Z88" s="38" t="s">
        <v>148</v>
      </c>
      <c r="AA88" s="38" t="s">
        <v>68</v>
      </c>
      <c r="AB88" s="38" t="s">
        <v>72</v>
      </c>
      <c r="AC88" s="38" t="s">
        <v>72</v>
      </c>
      <c r="AD88" s="38" t="s">
        <v>72</v>
      </c>
      <c r="AE88" s="38" t="s">
        <v>90</v>
      </c>
      <c r="AF88" s="38" t="s">
        <v>74</v>
      </c>
      <c r="AG88" t="str">
        <f>VLOOKUP($Q88,武学奇术!$A:$ZZ,25,FALSE)</f>
        <v>陌刀</v>
      </c>
      <c r="AH88" s="23">
        <f>VLOOKUP($Q88,武学奇术!$A:$ZZ,26,FALSE)</f>
        <v>7.5674</v>
      </c>
      <c r="AI88" s="24">
        <f>VLOOKUP($Q88,武学奇术!$A:$ZZ,27,FALSE)*(1+IF(OR($AG88=$F$4,$AG88=$F$5),$B$22,0))</f>
        <v>2720.9</v>
      </c>
      <c r="AJ88" s="23">
        <f>VLOOKUP($Q88,武学奇术!$A:$ZZ,28,FALSE)</f>
        <v>11.3512</v>
      </c>
      <c r="AK88" s="24">
        <f>VLOOKUP($Q88,武学奇术!$A:$ZZ,29,FALSE)*(1+IF(OR($AG88=$F$4,$AG88=$F$5),$B$22,0))</f>
        <v>1482</v>
      </c>
      <c r="AL88" s="23" cm="1">
        <f t="array" ref="AL88">$G$3+IFERROR(VLOOKUP($AG88,$F$4:$G$7,2,FALSE),0)+VLOOKUP($Q88,武学奇术!$A:$ZZ,2,FALSE)+SUM(_xlfn.XLOOKUP($R88:$AF88,增益!$A:$A,增益!$B:$B,0))</f>
        <v>0.763</v>
      </c>
      <c r="AM88" s="23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3052.34</v>
      </c>
      <c r="AO88" cm="1">
        <f t="array" ref="AO88">$E$10*(1+$AM88)+VLOOKUP($Q88,武学奇术!$A:$ZZ,4,FALSE)+SUM(_xlfn.XLOOKUP($R88:$AF88,增益!$A:$A,增益!$D:$D,0))-$I$2</f>
        <v>3052.34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0.467</v>
      </c>
      <c r="AQ88" s="30" cm="1">
        <f t="array" ref="AQ88">$G$10+VLOOKUP($Q88,武学奇术!$A:$ZZ,7,FALSE)+SUM(_xlfn.XLOOKUP(R88:AF88,增益!$A:$A,增益!$G:$G,0))</f>
        <v>0</v>
      </c>
      <c r="AR88" s="23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-0.24</v>
      </c>
      <c r="AV88" s="30" cm="1">
        <f t="array" ref="AV88">$G$11+VLOOKUP($Q88,武学奇术!$A:$ZZ,10,FALSE)+SUM(_xlfn.XLOOKUP(R88:AF88,增益!$A:$A,增益!$J:$J,0))</f>
        <v>0.1</v>
      </c>
      <c r="AW88">
        <f t="shared" si="45"/>
        <v>634.5</v>
      </c>
      <c r="AX88">
        <f t="shared" si="46"/>
        <v>1443.3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0.118</v>
      </c>
      <c r="AZ88" s="30" cm="1">
        <f t="array" ref="AZ88">$G$12+VLOOKUP($Q88,武学奇术!$A:$ZZ,12,FALSE)+SUM(_xlfn.XLOOKUP(R88:AF88,增益!$A:$A,增益!$L:$L,0))</f>
        <v>0.148</v>
      </c>
      <c r="BA88">
        <f t="shared" si="47"/>
        <v>0</v>
      </c>
      <c r="BB88">
        <f t="shared" si="48"/>
        <v>0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-0.24</v>
      </c>
      <c r="BD88" s="30" cm="1">
        <f t="array" ref="BD88">$G$13+VLOOKUP($Q88,武学奇术!$A:$ZZ,14,FALSE)+SUM(_xlfn.XLOOKUP(R88:AF88,增益!$A:$A,增益!$N:$N,0))</f>
        <v>0</v>
      </c>
      <c r="BE88">
        <f t="shared" si="49"/>
        <v>0</v>
      </c>
      <c r="BF88">
        <f t="shared" si="50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-0.24</v>
      </c>
      <c r="BH88" s="30" cm="1">
        <f t="array" ref="BH88">$G$14+VLOOKUP($Q88,武学奇术!$A:$ZZ,16,FALSE)+SUM(_xlfn.XLOOKUP(R88:AF88,增益!$A:$A,增益!$P:$P,0))</f>
        <v>0</v>
      </c>
      <c r="BI88" s="23">
        <f>MIN(IF(VLOOKUP($Q88,武学奇术!$A:$ZZ,23,FALSE)=1,100%,$B$8),100%)</f>
        <v>1</v>
      </c>
      <c r="BJ88" s="23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1</v>
      </c>
      <c r="BK88" s="23" cm="1">
        <f t="array" ref="BK88">1+$B$13+VLOOKUP($Q88,武学奇术!$A:$ZZ,18,FALSE)+SUM(_xlfn.XLOOKUP(R88:AF88,增益!$A:$A,增益!$R:$R,0))</f>
        <v>2.1</v>
      </c>
      <c r="BL88" s="23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</v>
      </c>
      <c r="BM88" s="23" cm="1">
        <f t="array" ref="BM88">1+$B$14+VLOOKUP($Q88,武学奇术!$A:$ZZ,20,FALSE)+SUM(_xlfn.XLOOKUP(R88:AF88,增益!$A:$A,增益!$T:$T,0))</f>
        <v>1.35</v>
      </c>
      <c r="BN88" s="23">
        <f t="shared" si="22"/>
        <v>1</v>
      </c>
      <c r="BO88" s="23">
        <f t="shared" si="32"/>
        <v>0</v>
      </c>
      <c r="BP88" s="23">
        <f>IF(VLOOKUP($Q88,武学奇术!$A:$ZZ,22,FALSE)=1,0,(1-$BI88))*(1-$BL88)</f>
        <v>0</v>
      </c>
      <c r="BQ88" s="23" cm="1">
        <f t="array" ref="BQ88">SUM(_xlfn.XLOOKUP(R88:AF88,增益!$A:$A,增益!$W:$W,0))</f>
        <v>0.33</v>
      </c>
    </row>
    <row r="89" spans="1:69">
      <c r="K89" s="36">
        <f t="shared" si="42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7">
        <v>1</v>
      </c>
      <c r="Q89" s="38" t="s">
        <v>72</v>
      </c>
      <c r="R89" s="38" t="s">
        <v>72</v>
      </c>
      <c r="S89" s="38" t="s">
        <v>72</v>
      </c>
      <c r="T89" s="38" t="s">
        <v>72</v>
      </c>
      <c r="U89" s="38" t="s">
        <v>72</v>
      </c>
      <c r="V89" s="38" t="s">
        <v>72</v>
      </c>
      <c r="W89" s="38" t="s">
        <v>72</v>
      </c>
      <c r="X89" s="38" t="s">
        <v>72</v>
      </c>
      <c r="Y89" s="38" t="s">
        <v>72</v>
      </c>
      <c r="Z89" s="38" t="s">
        <v>72</v>
      </c>
      <c r="AA89" s="38" t="s">
        <v>72</v>
      </c>
      <c r="AB89" s="38" t="s">
        <v>72</v>
      </c>
      <c r="AC89" s="38" t="s">
        <v>72</v>
      </c>
      <c r="AD89" s="38" t="s">
        <v>72</v>
      </c>
      <c r="AE89" s="38" t="s">
        <v>72</v>
      </c>
      <c r="AF89" s="38" t="s">
        <v>74</v>
      </c>
      <c r="AG89" t="str">
        <f>VLOOKUP($Q89,武学奇术!$A:$ZZ,25,FALSE)</f>
        <v>心法</v>
      </c>
      <c r="AH89" s="23">
        <f>VLOOKUP($Q89,武学奇术!$A:$ZZ,26,FALSE)</f>
        <v>0</v>
      </c>
      <c r="AI89" s="24">
        <f>VLOOKUP($Q89,武学奇术!$A:$ZZ,27,FALSE)*(1+IF(OR($AG89=$F$4,$AG89=$F$5),$B$22,0))</f>
        <v>0</v>
      </c>
      <c r="AJ89" s="23">
        <f>VLOOKUP($Q89,武学奇术!$A:$ZZ,28,FALSE)</f>
        <v>0</v>
      </c>
      <c r="AK89" s="24">
        <f>VLOOKUP($Q89,武学奇术!$A:$ZZ,29,FALSE)*(1+IF(OR($AG89=$F$4,$AG89=$F$5),$B$22,0))</f>
        <v>0</v>
      </c>
      <c r="AL89" s="23" cm="1">
        <f t="array" ref="AL89">$G$3+IFERROR(VLOOKUP($AG89,$F$4:$G$7,2,FALSE),0)+VLOOKUP($Q89,武学奇术!$A:$ZZ,2,FALSE)+SUM(_xlfn.XLOOKUP($R89:$AF89,增益!$A:$A,增益!$B:$B,0))</f>
        <v>0.463</v>
      </c>
      <c r="AM89" s="23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3052.34</v>
      </c>
      <c r="AO89" cm="1">
        <f t="array" ref="AO89">$E$10*(1+$AM89)+VLOOKUP($Q89,武学奇术!$A:$ZZ,4,FALSE)+SUM(_xlfn.XLOOKUP($R89:$AF89,增益!$A:$A,增益!$D:$D,0))-$I$2</f>
        <v>3052.34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0.342</v>
      </c>
      <c r="AQ89" s="30" cm="1">
        <f t="array" ref="AQ89">$G$10+VLOOKUP($Q89,武学奇术!$A:$ZZ,7,FALSE)+SUM(_xlfn.XLOOKUP(R89:AF89,增益!$A:$A,增益!$G:$G,0))</f>
        <v>0</v>
      </c>
      <c r="AR89" s="23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-0.24</v>
      </c>
      <c r="AV89" s="30" cm="1">
        <f t="array" ref="AV89">$G$11+VLOOKUP($Q89,武学奇术!$A:$ZZ,10,FALSE)+SUM(_xlfn.XLOOKUP(R89:AF89,增益!$A:$A,增益!$J:$J,0))</f>
        <v>0</v>
      </c>
      <c r="AW89">
        <f t="shared" si="45"/>
        <v>634.5</v>
      </c>
      <c r="AX89">
        <f t="shared" si="46"/>
        <v>1443.3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0.118</v>
      </c>
      <c r="AZ89" s="30" cm="1">
        <f t="array" ref="AZ89">$G$12+VLOOKUP($Q89,武学奇术!$A:$ZZ,12,FALSE)+SUM(_xlfn.XLOOKUP(R89:AF89,增益!$A:$A,增益!$L:$L,0))</f>
        <v>0.148</v>
      </c>
      <c r="BA89">
        <f t="shared" si="47"/>
        <v>0</v>
      </c>
      <c r="BB89">
        <f t="shared" si="48"/>
        <v>0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-0.24</v>
      </c>
      <c r="BD89" s="30" cm="1">
        <f t="array" ref="BD89">$G$13+VLOOKUP($Q89,武学奇术!$A:$ZZ,14,FALSE)+SUM(_xlfn.XLOOKUP(R89:AF89,增益!$A:$A,增益!$N:$N,0))</f>
        <v>0</v>
      </c>
      <c r="BE89">
        <f t="shared" si="49"/>
        <v>0</v>
      </c>
      <c r="BF89">
        <f t="shared" si="50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-0.24</v>
      </c>
      <c r="BH89" s="30" cm="1">
        <f t="array" ref="BH89">$G$14+VLOOKUP($Q89,武学奇术!$A:$ZZ,16,FALSE)+SUM(_xlfn.XLOOKUP(R89:AF89,增益!$A:$A,增益!$P:$P,0))</f>
        <v>0</v>
      </c>
      <c r="BI89" s="23">
        <f>MIN(IF(VLOOKUP($Q89,武学奇术!$A:$ZZ,23,FALSE)=1,100%,$B$8),100%)</f>
        <v>0.8626</v>
      </c>
      <c r="BJ89" s="23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0.8697</v>
      </c>
      <c r="BK89" s="23" cm="1">
        <f t="array" ref="BK89">1+$B$13+VLOOKUP($Q89,武学奇术!$A:$ZZ,18,FALSE)+SUM(_xlfn.XLOOKUP(R89:AF89,增益!$A:$A,增益!$R:$R,0))</f>
        <v>1.54</v>
      </c>
      <c r="BL89" s="23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0.0986</v>
      </c>
      <c r="BM89" s="23" cm="1">
        <f t="array" ref="BM89">1+$B$14+VLOOKUP($Q89,武学奇术!$A:$ZZ,20,FALSE)+SUM(_xlfn.XLOOKUP(R89:AF89,增益!$A:$A,增益!$T:$T,0))</f>
        <v>1.35</v>
      </c>
      <c r="BN89" s="23">
        <f t="shared" si="22"/>
        <v>0.75020322</v>
      </c>
      <c r="BO89" s="23">
        <f t="shared" si="32"/>
        <v>0.0273444200000001</v>
      </c>
      <c r="BP89" s="23">
        <f>IF(VLOOKUP($Q89,武学奇术!$A:$ZZ,22,FALSE)=1,0,(1-$BI89))*(1-$BL89)</f>
        <v>0.12385236</v>
      </c>
      <c r="BQ89" s="23" cm="1">
        <f t="array" ref="BQ89">SUM(_xlfn.XLOOKUP(R89:AF89,增益!$A:$A,增益!$W:$W,0))</f>
        <v>0</v>
      </c>
    </row>
    <row r="90" spans="1:69">
      <c r="K90" s="36">
        <f t="shared" si="42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7">
        <v>1</v>
      </c>
      <c r="Q90" s="38" t="s">
        <v>72</v>
      </c>
      <c r="R90" s="38" t="s">
        <v>72</v>
      </c>
      <c r="S90" s="38" t="s">
        <v>72</v>
      </c>
      <c r="T90" s="38" t="s">
        <v>72</v>
      </c>
      <c r="U90" s="38" t="s">
        <v>72</v>
      </c>
      <c r="V90" s="38" t="s">
        <v>72</v>
      </c>
      <c r="W90" s="38" t="s">
        <v>72</v>
      </c>
      <c r="X90" s="38" t="s">
        <v>72</v>
      </c>
      <c r="Y90" s="38" t="s">
        <v>72</v>
      </c>
      <c r="Z90" s="38" t="s">
        <v>72</v>
      </c>
      <c r="AA90" s="38" t="s">
        <v>72</v>
      </c>
      <c r="AB90" s="38" t="s">
        <v>72</v>
      </c>
      <c r="AC90" s="38" t="s">
        <v>72</v>
      </c>
      <c r="AD90" s="38" t="s">
        <v>72</v>
      </c>
      <c r="AE90" s="38" t="s">
        <v>72</v>
      </c>
      <c r="AF90" s="38" t="s">
        <v>74</v>
      </c>
      <c r="AG90" t="str">
        <f>VLOOKUP($Q90,武学奇术!$A:$ZZ,25,FALSE)</f>
        <v>心法</v>
      </c>
      <c r="AH90" s="23">
        <f>VLOOKUP($Q90,武学奇术!$A:$ZZ,26,FALSE)</f>
        <v>0</v>
      </c>
      <c r="AI90" s="24">
        <f>VLOOKUP($Q90,武学奇术!$A:$ZZ,27,FALSE)*(1+IF(OR($AG90=$F$4,$AG90=$F$5),$B$22,0))</f>
        <v>0</v>
      </c>
      <c r="AJ90" s="23">
        <f>VLOOKUP($Q90,武学奇术!$A:$ZZ,28,FALSE)</f>
        <v>0</v>
      </c>
      <c r="AK90" s="24">
        <f>VLOOKUP($Q90,武学奇术!$A:$ZZ,29,FALSE)*(1+IF(OR($AG90=$F$4,$AG90=$F$5),$B$22,0))</f>
        <v>0</v>
      </c>
      <c r="AL90" s="23" cm="1">
        <f t="array" ref="AL90">$G$3+IFERROR(VLOOKUP($AG90,$F$4:$G$7,2,FALSE),0)+VLOOKUP($Q90,武学奇术!$A:$ZZ,2,FALSE)+SUM(_xlfn.XLOOKUP($R90:$AF90,增益!$A:$A,增益!$B:$B,0))</f>
        <v>0.463</v>
      </c>
      <c r="AM90" s="23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3052.34</v>
      </c>
      <c r="AO90" cm="1">
        <f t="array" ref="AO90">$E$10*(1+$AM90)+VLOOKUP($Q90,武学奇术!$A:$ZZ,4,FALSE)+SUM(_xlfn.XLOOKUP($R90:$AF90,增益!$A:$A,增益!$D:$D,0))-$I$2</f>
        <v>3052.34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0.342</v>
      </c>
      <c r="AQ90" s="30" cm="1">
        <f t="array" ref="AQ90">$G$10+VLOOKUP($Q90,武学奇术!$A:$ZZ,7,FALSE)+SUM(_xlfn.XLOOKUP(R90:AF90,增益!$A:$A,增益!$G:$G,0))</f>
        <v>0</v>
      </c>
      <c r="AR90" s="23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-0.24</v>
      </c>
      <c r="AV90" s="30" cm="1">
        <f t="array" ref="AV90">$G$11+VLOOKUP($Q90,武学奇术!$A:$ZZ,10,FALSE)+SUM(_xlfn.XLOOKUP(R90:AF90,增益!$A:$A,增益!$J:$J,0))</f>
        <v>0</v>
      </c>
      <c r="AW90">
        <f t="shared" si="45"/>
        <v>634.5</v>
      </c>
      <c r="AX90">
        <f t="shared" si="46"/>
        <v>1443.3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0.118</v>
      </c>
      <c r="AZ90" s="30" cm="1">
        <f t="array" ref="AZ90">$G$12+VLOOKUP($Q90,武学奇术!$A:$ZZ,12,FALSE)+SUM(_xlfn.XLOOKUP(R90:AF90,增益!$A:$A,增益!$L:$L,0))</f>
        <v>0.148</v>
      </c>
      <c r="BA90">
        <f t="shared" si="47"/>
        <v>0</v>
      </c>
      <c r="BB90">
        <f t="shared" si="48"/>
        <v>0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-0.24</v>
      </c>
      <c r="BD90" s="30" cm="1">
        <f t="array" ref="BD90">$G$13+VLOOKUP($Q90,武学奇术!$A:$ZZ,14,FALSE)+SUM(_xlfn.XLOOKUP(R90:AF90,增益!$A:$A,增益!$N:$N,0))</f>
        <v>0</v>
      </c>
      <c r="BE90">
        <f t="shared" si="49"/>
        <v>0</v>
      </c>
      <c r="BF90">
        <f t="shared" si="50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-0.24</v>
      </c>
      <c r="BH90" s="30" cm="1">
        <f t="array" ref="BH90">$G$14+VLOOKUP($Q90,武学奇术!$A:$ZZ,16,FALSE)+SUM(_xlfn.XLOOKUP(R90:AF90,增益!$A:$A,增益!$P:$P,0))</f>
        <v>0</v>
      </c>
      <c r="BI90" s="23">
        <f>MIN(IF(VLOOKUP($Q90,武学奇术!$A:$ZZ,23,FALSE)=1,100%,$B$8),100%)</f>
        <v>0.8626</v>
      </c>
      <c r="BJ90" s="23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0.8697</v>
      </c>
      <c r="BK90" s="23" cm="1">
        <f t="array" ref="BK90">1+$B$13+VLOOKUP($Q90,武学奇术!$A:$ZZ,18,FALSE)+SUM(_xlfn.XLOOKUP(R90:AF90,增益!$A:$A,增益!$R:$R,0))</f>
        <v>1.54</v>
      </c>
      <c r="BL90" s="23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0.0986</v>
      </c>
      <c r="BM90" s="23" cm="1">
        <f t="array" ref="BM90">1+$B$14+VLOOKUP($Q90,武学奇术!$A:$ZZ,20,FALSE)+SUM(_xlfn.XLOOKUP(R90:AF90,增益!$A:$A,增益!$T:$T,0))</f>
        <v>1.35</v>
      </c>
      <c r="BN90" s="23">
        <f t="shared" si="22"/>
        <v>0.75020322</v>
      </c>
      <c r="BO90" s="23">
        <f t="shared" si="32"/>
        <v>0.0273444200000001</v>
      </c>
      <c r="BP90" s="23">
        <f>IF(VLOOKUP($Q90,武学奇术!$A:$ZZ,22,FALSE)=1,0,(1-$BI90))*(1-$BL90)</f>
        <v>0.12385236</v>
      </c>
      <c r="BQ90" s="23" cm="1">
        <f t="array" ref="BQ90">SUM(_xlfn.XLOOKUP(R90:AF90,增益!$A:$A,增益!$W:$W,0))</f>
        <v>0</v>
      </c>
    </row>
    <row r="91" spans="1:69">
      <c r="K91" s="36">
        <f t="shared" si="42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7">
        <v>1</v>
      </c>
      <c r="Q91" s="38" t="s">
        <v>72</v>
      </c>
      <c r="R91" s="38" t="s">
        <v>72</v>
      </c>
      <c r="S91" s="38" t="s">
        <v>72</v>
      </c>
      <c r="T91" s="38" t="s">
        <v>72</v>
      </c>
      <c r="U91" s="38" t="s">
        <v>72</v>
      </c>
      <c r="V91" s="38" t="s">
        <v>72</v>
      </c>
      <c r="W91" s="38" t="s">
        <v>72</v>
      </c>
      <c r="X91" s="38" t="s">
        <v>72</v>
      </c>
      <c r="Y91" s="38" t="s">
        <v>72</v>
      </c>
      <c r="Z91" s="38" t="s">
        <v>72</v>
      </c>
      <c r="AA91" s="38" t="s">
        <v>72</v>
      </c>
      <c r="AB91" s="38" t="s">
        <v>72</v>
      </c>
      <c r="AC91" s="38" t="s">
        <v>72</v>
      </c>
      <c r="AD91" s="38" t="s">
        <v>72</v>
      </c>
      <c r="AE91" s="38" t="s">
        <v>72</v>
      </c>
      <c r="AF91" s="38" t="s">
        <v>74</v>
      </c>
      <c r="AG91" t="str">
        <f>VLOOKUP($Q91,武学奇术!$A:$ZZ,25,FALSE)</f>
        <v>心法</v>
      </c>
      <c r="AH91" s="23">
        <f>VLOOKUP($Q91,武学奇术!$A:$ZZ,26,FALSE)</f>
        <v>0</v>
      </c>
      <c r="AI91" s="24">
        <f>VLOOKUP($Q91,武学奇术!$A:$ZZ,27,FALSE)*(1+IF(OR($AG91=$F$4,$AG91=$F$5),$B$22,0))</f>
        <v>0</v>
      </c>
      <c r="AJ91" s="23">
        <f>VLOOKUP($Q91,武学奇术!$A:$ZZ,28,FALSE)</f>
        <v>0</v>
      </c>
      <c r="AK91" s="24">
        <f>VLOOKUP($Q91,武学奇术!$A:$ZZ,29,FALSE)*(1+IF(OR($AG91=$F$4,$AG91=$F$5),$B$22,0))</f>
        <v>0</v>
      </c>
      <c r="AL91" s="23" cm="1">
        <f t="array" ref="AL91">$G$3+IFERROR(VLOOKUP($AG91,$F$4:$G$7,2,FALSE),0)+VLOOKUP($Q91,武学奇术!$A:$ZZ,2,FALSE)+SUM(_xlfn.XLOOKUP($R91:$AF91,增益!$A:$A,增益!$B:$B,0))</f>
        <v>0.463</v>
      </c>
      <c r="AM91" s="23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3052.34</v>
      </c>
      <c r="AO91" cm="1">
        <f t="array" ref="AO91">$E$10*(1+$AM91)+VLOOKUP($Q91,武学奇术!$A:$ZZ,4,FALSE)+SUM(_xlfn.XLOOKUP($R91:$AF91,增益!$A:$A,增益!$D:$D,0))-$I$2</f>
        <v>3052.34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0.342</v>
      </c>
      <c r="AQ91" s="30" cm="1">
        <f t="array" ref="AQ91">$G$10+VLOOKUP($Q91,武学奇术!$A:$ZZ,7,FALSE)+SUM(_xlfn.XLOOKUP(R91:AF91,增益!$A:$A,增益!$G:$G,0))</f>
        <v>0</v>
      </c>
      <c r="AR91" s="23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-0.24</v>
      </c>
      <c r="AV91" s="30" cm="1">
        <f t="array" ref="AV91">$G$11+VLOOKUP($Q91,武学奇术!$A:$ZZ,10,FALSE)+SUM(_xlfn.XLOOKUP(R91:AF91,增益!$A:$A,增益!$J:$J,0))</f>
        <v>0</v>
      </c>
      <c r="AW91">
        <f t="shared" si="45"/>
        <v>634.5</v>
      </c>
      <c r="AX91">
        <f t="shared" si="46"/>
        <v>1443.3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0.118</v>
      </c>
      <c r="AZ91" s="30" cm="1">
        <f t="array" ref="AZ91">$G$12+VLOOKUP($Q91,武学奇术!$A:$ZZ,12,FALSE)+SUM(_xlfn.XLOOKUP(R91:AF91,增益!$A:$A,增益!$L:$L,0))</f>
        <v>0.148</v>
      </c>
      <c r="BA91">
        <f t="shared" si="47"/>
        <v>0</v>
      </c>
      <c r="BB91">
        <f t="shared" si="48"/>
        <v>0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-0.24</v>
      </c>
      <c r="BD91" s="30" cm="1">
        <f t="array" ref="BD91">$G$13+VLOOKUP($Q91,武学奇术!$A:$ZZ,14,FALSE)+SUM(_xlfn.XLOOKUP(R91:AF91,增益!$A:$A,增益!$N:$N,0))</f>
        <v>0</v>
      </c>
      <c r="BE91">
        <f t="shared" si="49"/>
        <v>0</v>
      </c>
      <c r="BF91">
        <f t="shared" si="50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-0.24</v>
      </c>
      <c r="BH91" s="30" cm="1">
        <f t="array" ref="BH91">$G$14+VLOOKUP($Q91,武学奇术!$A:$ZZ,16,FALSE)+SUM(_xlfn.XLOOKUP(R91:AF91,增益!$A:$A,增益!$P:$P,0))</f>
        <v>0</v>
      </c>
      <c r="BI91" s="23">
        <f>MIN(IF(VLOOKUP($Q91,武学奇术!$A:$ZZ,23,FALSE)=1,100%,$B$8),100%)</f>
        <v>0.8626</v>
      </c>
      <c r="BJ91" s="23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0.8697</v>
      </c>
      <c r="BK91" s="23" cm="1">
        <f t="array" ref="BK91">1+$B$13+VLOOKUP($Q91,武学奇术!$A:$ZZ,18,FALSE)+SUM(_xlfn.XLOOKUP(R91:AF91,增益!$A:$A,增益!$R:$R,0))</f>
        <v>1.54</v>
      </c>
      <c r="BL91" s="23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0.0986</v>
      </c>
      <c r="BM91" s="23" cm="1">
        <f t="array" ref="BM91">1+$B$14+VLOOKUP($Q91,武学奇术!$A:$ZZ,20,FALSE)+SUM(_xlfn.XLOOKUP(R91:AF91,增益!$A:$A,增益!$T:$T,0))</f>
        <v>1.35</v>
      </c>
      <c r="BN91" s="23">
        <f t="shared" si="22"/>
        <v>0.75020322</v>
      </c>
      <c r="BO91" s="23">
        <f t="shared" si="32"/>
        <v>0.0273444200000001</v>
      </c>
      <c r="BP91" s="23">
        <f>IF(VLOOKUP($Q91,武学奇术!$A:$ZZ,22,FALSE)=1,0,(1-$BI91))*(1-$BL91)</f>
        <v>0.12385236</v>
      </c>
      <c r="BQ91" s="23" cm="1">
        <f t="array" ref="BQ91">SUM(_xlfn.XLOOKUP(R91:AF91,增益!$A:$A,增益!$W:$W,0))</f>
        <v>0</v>
      </c>
    </row>
    <row r="92" spans="1:69">
      <c r="K92" s="36">
        <f t="shared" si="42"/>
        <v>16904.4417694449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18692.1615174339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14941.4203683436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10103.8710905048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9140.023389644</v>
      </c>
      <c r="P92" s="37">
        <f>IF($C$21="易水歌",1,0)</f>
        <v>1</v>
      </c>
      <c r="Q92" s="38" t="s">
        <v>158</v>
      </c>
      <c r="R92" s="38" t="s">
        <v>89</v>
      </c>
      <c r="S92" s="38" t="s">
        <v>78</v>
      </c>
      <c r="T92" s="38" t="s">
        <v>79</v>
      </c>
      <c r="U92" s="38" t="s">
        <v>80</v>
      </c>
      <c r="V92" s="38" t="s">
        <v>72</v>
      </c>
      <c r="W92" s="38" t="s">
        <v>73</v>
      </c>
      <c r="X92" s="38" t="s">
        <v>72</v>
      </c>
      <c r="Y92" s="38" t="s">
        <v>72</v>
      </c>
      <c r="Z92" s="38" t="s">
        <v>72</v>
      </c>
      <c r="AA92" s="38" t="s">
        <v>72</v>
      </c>
      <c r="AB92" s="38" t="s">
        <v>72</v>
      </c>
      <c r="AC92" s="38" t="s">
        <v>72</v>
      </c>
      <c r="AD92" s="38" t="s">
        <v>72</v>
      </c>
      <c r="AE92" s="38" t="s">
        <v>72</v>
      </c>
      <c r="AF92" s="38" t="s">
        <v>74</v>
      </c>
      <c r="AG92" t="str">
        <f>VLOOKUP($Q92,武学奇术!$A:$ZZ,25,FALSE)</f>
        <v>心法</v>
      </c>
      <c r="AH92" s="23">
        <f>VLOOKUP($Q92,武学奇术!$A:$ZZ,26,FALSE)</f>
        <v>1</v>
      </c>
      <c r="AI92" s="24">
        <f>VLOOKUP($Q92,武学奇术!$A:$ZZ,27,FALSE)*(1+IF(OR($AG92=$F$4,$AG92=$F$5),$B$22,0))</f>
        <v>0</v>
      </c>
      <c r="AJ92" s="23">
        <f>VLOOKUP($Q92,武学奇术!$A:$ZZ,28,FALSE)</f>
        <v>1</v>
      </c>
      <c r="AK92" s="24">
        <f>VLOOKUP($Q92,武学奇术!$A:$ZZ,29,FALSE)*(1+IF(OR($AG92=$F$4,$AG92=$F$5),$B$22,0))</f>
        <v>0</v>
      </c>
      <c r="AL92" s="23" cm="1">
        <f t="array" ref="AL92">$G$3+IFERROR(VLOOKUP($AG92,$F$4:$G$7,2,FALSE),0)+VLOOKUP($Q92,武学奇术!$A:$ZZ,2,FALSE)+SUM(_xlfn.XLOOKUP($R92:$AF92,增益!$A:$A,增益!$B:$B,0))</f>
        <v>0.733</v>
      </c>
      <c r="AM92" s="23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3052.34</v>
      </c>
      <c r="AO92" cm="1">
        <f t="array" ref="AO92">$E$10*(1+$AM92)+VLOOKUP($Q92,武学奇术!$A:$ZZ,4,FALSE)+SUM(_xlfn.XLOOKUP($R92:$AF92,增益!$A:$A,增益!$D:$D,0))-$I$2</f>
        <v>3052.34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0.442</v>
      </c>
      <c r="AQ92" s="30" cm="1">
        <f t="array" ref="AQ92">$G$10+VLOOKUP($Q92,武学奇术!$A:$ZZ,7,FALSE)+SUM(_xlfn.XLOOKUP(R92:AF92,增益!$A:$A,增益!$G:$G,0))</f>
        <v>0</v>
      </c>
      <c r="AR92" s="23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-0.08</v>
      </c>
      <c r="AV92" s="30" cm="1">
        <f t="array" ref="AV92">$G$11+VLOOKUP($Q92,武学奇术!$A:$ZZ,10,FALSE)+SUM(_xlfn.XLOOKUP(R92:AF92,增益!$A:$A,增益!$J:$J,0))</f>
        <v>0</v>
      </c>
      <c r="AW92">
        <f t="shared" si="45"/>
        <v>634.5</v>
      </c>
      <c r="AX92">
        <f t="shared" si="46"/>
        <v>1443.3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0.198</v>
      </c>
      <c r="AZ92" s="30" cm="1">
        <f t="array" ref="AZ92">$G$12+VLOOKUP($Q92,武学奇术!$A:$ZZ,12,FALSE)+SUM(_xlfn.XLOOKUP(R92:AF92,增益!$A:$A,增益!$L:$L,0))</f>
        <v>0.148</v>
      </c>
      <c r="BA92">
        <f t="shared" si="47"/>
        <v>0</v>
      </c>
      <c r="BB92">
        <f t="shared" si="48"/>
        <v>0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-0.08</v>
      </c>
      <c r="BD92" s="30" cm="1">
        <f t="array" ref="BD92">$G$13+VLOOKUP($Q92,武学奇术!$A:$ZZ,14,FALSE)+SUM(_xlfn.XLOOKUP(R92:AF92,增益!$A:$A,增益!$N:$N,0))</f>
        <v>0</v>
      </c>
      <c r="BE92">
        <f t="shared" si="49"/>
        <v>0</v>
      </c>
      <c r="BF92">
        <f t="shared" si="50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-0.08</v>
      </c>
      <c r="BH92" s="30" cm="1">
        <f t="array" ref="BH92">$G$14+VLOOKUP($Q92,武学奇术!$A:$ZZ,16,FALSE)+SUM(_xlfn.XLOOKUP(R92:AF92,增益!$A:$A,增益!$P:$P,0))</f>
        <v>0</v>
      </c>
      <c r="BI92" s="23">
        <f>MIN(IF(VLOOKUP($Q92,武学奇术!$A:$ZZ,23,FALSE)=1,100%,$B$8),100%)</f>
        <v>0.8626</v>
      </c>
      <c r="BJ92" s="23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0.8697</v>
      </c>
      <c r="BK92" s="23" cm="1">
        <f t="array" ref="BK92">1+$B$13+VLOOKUP($Q92,武学奇术!$A:$ZZ,18,FALSE)+SUM(_xlfn.XLOOKUP(R92:AF92,增益!$A:$A,增益!$R:$R,0))</f>
        <v>1.85</v>
      </c>
      <c r="BL92" s="23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0.0986</v>
      </c>
      <c r="BM92" s="23" cm="1">
        <f t="array" ref="BM92">1+$B$14+VLOOKUP($Q92,武学奇术!$A:$ZZ,20,FALSE)+SUM(_xlfn.XLOOKUP(R92:AF92,增益!$A:$A,增益!$T:$T,0))</f>
        <v>1.35</v>
      </c>
      <c r="BN92" s="23">
        <f t="shared" si="22"/>
        <v>0.75020322</v>
      </c>
      <c r="BO92" s="23">
        <f t="shared" si="32"/>
        <v>0.0273444200000001</v>
      </c>
      <c r="BP92" s="23">
        <f>IF(VLOOKUP($Q92,武学奇术!$A:$ZZ,22,FALSE)=1,0,(1-$BI92))*(1-$BL92)</f>
        <v>0.12385236</v>
      </c>
      <c r="BQ92" s="23" cm="1">
        <f t="array" ref="BQ92">SUM(_xlfn.XLOOKUP(R92:AF92,增益!$A:$A,增益!$W:$W,0))</f>
        <v>0</v>
      </c>
    </row>
    <row r="93" spans="1:69">
      <c r="K93" s="36">
        <f t="shared" si="42"/>
        <v>16403.7016087581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18138.9565760451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14434.5059794061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9804.84139245682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8917.45613350172</v>
      </c>
      <c r="P93" s="37">
        <f>IF($C$21="易水歌",1,0)</f>
        <v>1</v>
      </c>
      <c r="Q93" s="38" t="s">
        <v>158</v>
      </c>
      <c r="R93" s="38" t="s">
        <v>89</v>
      </c>
      <c r="S93" s="38" t="s">
        <v>72</v>
      </c>
      <c r="T93" s="38" t="s">
        <v>72</v>
      </c>
      <c r="U93" s="38" t="s">
        <v>80</v>
      </c>
      <c r="V93" s="38" t="s">
        <v>72</v>
      </c>
      <c r="W93" s="38" t="s">
        <v>72</v>
      </c>
      <c r="X93" s="38" t="s">
        <v>72</v>
      </c>
      <c r="Y93" s="38" t="s">
        <v>72</v>
      </c>
      <c r="Z93" s="38" t="s">
        <v>72</v>
      </c>
      <c r="AA93" s="38" t="s">
        <v>72</v>
      </c>
      <c r="AB93" s="38" t="s">
        <v>72</v>
      </c>
      <c r="AC93" s="38" t="s">
        <v>72</v>
      </c>
      <c r="AD93" s="38" t="s">
        <v>72</v>
      </c>
      <c r="AE93" s="38" t="s">
        <v>90</v>
      </c>
      <c r="AF93" s="38" t="s">
        <v>74</v>
      </c>
      <c r="AG93" t="str">
        <f>VLOOKUP($Q93,武学奇术!$A:$ZZ,25,FALSE)</f>
        <v>心法</v>
      </c>
      <c r="AH93" s="23">
        <f>VLOOKUP($Q93,武学奇术!$A:$ZZ,26,FALSE)</f>
        <v>1</v>
      </c>
      <c r="AI93" s="24">
        <f>VLOOKUP($Q93,武学奇术!$A:$ZZ,27,FALSE)*(1+IF(OR($AG93=$F$4,$AG93=$F$5),$B$22,0))</f>
        <v>0</v>
      </c>
      <c r="AJ93" s="23">
        <f>VLOOKUP($Q93,武学奇术!$A:$ZZ,28,FALSE)</f>
        <v>1</v>
      </c>
      <c r="AK93" s="24">
        <f>VLOOKUP($Q93,武学奇术!$A:$ZZ,29,FALSE)*(1+IF(OR($AG93=$F$4,$AG93=$F$5),$B$22,0))</f>
        <v>0</v>
      </c>
      <c r="AL93" s="23" cm="1">
        <f t="array" ref="AL93">$G$3+IFERROR(VLOOKUP($AG93,$F$4:$G$7,2,FALSE),0)+VLOOKUP($Q93,武学奇术!$A:$ZZ,2,FALSE)+SUM(_xlfn.XLOOKUP($R93:$AF93,增益!$A:$A,增益!$B:$B,0))</f>
        <v>0.513</v>
      </c>
      <c r="AM93" s="23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3052.34</v>
      </c>
      <c r="AO93" cm="1">
        <f t="array" ref="AO93">$E$10*(1+$AM93)+VLOOKUP($Q93,武学奇术!$A:$ZZ,4,FALSE)+SUM(_xlfn.XLOOKUP($R93:$AF93,增益!$A:$A,增益!$D:$D,0))-$I$2</f>
        <v>3052.34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0.442</v>
      </c>
      <c r="AQ93" s="30" cm="1">
        <f t="array" ref="AQ93">$G$10+VLOOKUP($Q93,武学奇术!$A:$ZZ,7,FALSE)+SUM(_xlfn.XLOOKUP(R93:AF93,增益!$A:$A,增益!$G:$G,0))</f>
        <v>0</v>
      </c>
      <c r="AR93" s="23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-0.24</v>
      </c>
      <c r="AV93" s="30" cm="1">
        <f t="array" ref="AV93">$G$11+VLOOKUP($Q93,武学奇术!$A:$ZZ,10,FALSE)+SUM(_xlfn.XLOOKUP(R93:AF93,增益!$A:$A,增益!$J:$J,0))</f>
        <v>0</v>
      </c>
      <c r="AW93">
        <f t="shared" si="45"/>
        <v>634.5</v>
      </c>
      <c r="AX93">
        <f t="shared" si="46"/>
        <v>1443.3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0.118</v>
      </c>
      <c r="AZ93" s="30" cm="1">
        <f t="array" ref="AZ93">$G$12+VLOOKUP($Q93,武学奇术!$A:$ZZ,12,FALSE)+SUM(_xlfn.XLOOKUP(R93:AF93,增益!$A:$A,增益!$L:$L,0))</f>
        <v>0.148</v>
      </c>
      <c r="BA93">
        <f t="shared" si="47"/>
        <v>0</v>
      </c>
      <c r="BB93">
        <f t="shared" si="48"/>
        <v>0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-0.24</v>
      </c>
      <c r="BD93" s="30" cm="1">
        <f t="array" ref="BD93">$G$13+VLOOKUP($Q93,武学奇术!$A:$ZZ,14,FALSE)+SUM(_xlfn.XLOOKUP(R93:AF93,增益!$A:$A,增益!$N:$N,0))</f>
        <v>0</v>
      </c>
      <c r="BE93">
        <f t="shared" si="49"/>
        <v>0</v>
      </c>
      <c r="BF93">
        <f t="shared" si="50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-0.24</v>
      </c>
      <c r="BH93" s="30" cm="1">
        <f t="array" ref="BH93">$G$14+VLOOKUP($Q93,武学奇术!$A:$ZZ,16,FALSE)+SUM(_xlfn.XLOOKUP(R93:AF93,增益!$A:$A,增益!$P:$P,0))</f>
        <v>0</v>
      </c>
      <c r="BI93" s="23">
        <f>MIN(IF(VLOOKUP($Q93,武学奇术!$A:$ZZ,23,FALSE)=1,100%,$B$8),100%)</f>
        <v>0.8626</v>
      </c>
      <c r="BJ93" s="23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0.8697</v>
      </c>
      <c r="BK93" s="23" cm="1">
        <f t="array" ref="BK93">1+$B$13+VLOOKUP($Q93,武学奇术!$A:$ZZ,18,FALSE)+SUM(_xlfn.XLOOKUP(R93:AF93,增益!$A:$A,增益!$R:$R,0))</f>
        <v>1.85</v>
      </c>
      <c r="BL93" s="23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0.0986</v>
      </c>
      <c r="BM93" s="23" cm="1">
        <f t="array" ref="BM93">1+$B$14+VLOOKUP($Q93,武学奇术!$A:$ZZ,20,FALSE)+SUM(_xlfn.XLOOKUP(R93:AF93,增益!$A:$A,增益!$T:$T,0))</f>
        <v>1.35</v>
      </c>
      <c r="BN93" s="23">
        <f t="shared" si="22"/>
        <v>0.75020322</v>
      </c>
      <c r="BO93" s="23">
        <f t="shared" si="32"/>
        <v>0.0273444200000001</v>
      </c>
      <c r="BP93" s="23">
        <f>IF(VLOOKUP($Q93,武学奇术!$A:$ZZ,22,FALSE)=1,0,(1-$BI93))*(1-$BL93)</f>
        <v>0.12385236</v>
      </c>
      <c r="BQ93" s="23" cm="1">
        <f t="array" ref="BQ93">SUM(_xlfn.XLOOKUP(R93:AF93,增益!$A:$A,增益!$W:$W,0))</f>
        <v>0.13</v>
      </c>
    </row>
    <row r="94" spans="1:69">
      <c r="K94" s="36">
        <f t="shared" si="42"/>
        <v>21593.3234639459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24087.4741774069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18266.7270168528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12352.5508602087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11174.1928190449</v>
      </c>
      <c r="P94" s="37">
        <f t="shared" ref="P94:P100" si="51">IF($C$21="易水歌",1,0)</f>
        <v>1</v>
      </c>
      <c r="Q94" s="38" t="s">
        <v>158</v>
      </c>
      <c r="R94" s="38" t="s">
        <v>89</v>
      </c>
      <c r="S94" s="38" t="s">
        <v>72</v>
      </c>
      <c r="T94" s="38" t="s">
        <v>79</v>
      </c>
      <c r="U94" s="38" t="s">
        <v>80</v>
      </c>
      <c r="V94" s="38" t="s">
        <v>72</v>
      </c>
      <c r="W94" s="38" t="s">
        <v>72</v>
      </c>
      <c r="X94" s="38" t="s">
        <v>122</v>
      </c>
      <c r="Y94" s="38" t="s">
        <v>147</v>
      </c>
      <c r="Z94" s="38" t="s">
        <v>148</v>
      </c>
      <c r="AA94" s="38" t="s">
        <v>72</v>
      </c>
      <c r="AB94" s="38" t="s">
        <v>72</v>
      </c>
      <c r="AC94" s="38" t="s">
        <v>72</v>
      </c>
      <c r="AD94" s="38" t="s">
        <v>72</v>
      </c>
      <c r="AE94" s="38" t="s">
        <v>90</v>
      </c>
      <c r="AF94" s="38" t="s">
        <v>74</v>
      </c>
      <c r="AG94" t="str">
        <f>VLOOKUP($Q94,武学奇术!$A:$ZZ,25,FALSE)</f>
        <v>心法</v>
      </c>
      <c r="AH94" s="23">
        <f>VLOOKUP($Q94,武学奇术!$A:$ZZ,26,FALSE)</f>
        <v>1</v>
      </c>
      <c r="AI94" s="24">
        <f>VLOOKUP($Q94,武学奇术!$A:$ZZ,27,FALSE)*(1+IF(OR($AG94=$F$4,$AG94=$F$5),$B$22,0))</f>
        <v>0</v>
      </c>
      <c r="AJ94" s="23">
        <f>VLOOKUP($Q94,武学奇术!$A:$ZZ,28,FALSE)</f>
        <v>1</v>
      </c>
      <c r="AK94" s="24">
        <f>VLOOKUP($Q94,武学奇术!$A:$ZZ,29,FALSE)*(1+IF(OR($AG94=$F$4,$AG94=$F$5),$B$22,0))</f>
        <v>0</v>
      </c>
      <c r="AL94" s="23" cm="1">
        <f t="array" ref="AL94">$G$3+IFERROR(VLOOKUP($AG94,$F$4:$G$7,2,FALSE),0)+VLOOKUP($Q94,武学奇术!$A:$ZZ,2,FALSE)+SUM(_xlfn.XLOOKUP($R94:$AF94,增益!$A:$A,增益!$B:$B,0))</f>
        <v>0.593</v>
      </c>
      <c r="AM94" s="23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3052.34</v>
      </c>
      <c r="AO94" cm="1">
        <f t="array" ref="AO94">$E$10*(1+$AM94)+VLOOKUP($Q94,武学奇术!$A:$ZZ,4,FALSE)+SUM(_xlfn.XLOOKUP($R94:$AF94,增益!$A:$A,增益!$D:$D,0))-$I$2</f>
        <v>3052.34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0.442</v>
      </c>
      <c r="AQ94" s="30" cm="1">
        <f t="array" ref="AQ94">$G$10+VLOOKUP($Q94,武学奇术!$A:$ZZ,7,FALSE)+SUM(_xlfn.XLOOKUP(R94:AF94,增益!$A:$A,增益!$G:$G,0))</f>
        <v>0</v>
      </c>
      <c r="AR94" s="23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-0.08</v>
      </c>
      <c r="AV94" s="30" cm="1">
        <f t="array" ref="AV94">$G$11+VLOOKUP($Q94,武学奇术!$A:$ZZ,10,FALSE)+SUM(_xlfn.XLOOKUP(R94:AF94,增益!$A:$A,增益!$J:$J,0))</f>
        <v>0.1</v>
      </c>
      <c r="AW94">
        <f t="shared" si="45"/>
        <v>634.5</v>
      </c>
      <c r="AX94">
        <f t="shared" si="46"/>
        <v>1443.3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0.198</v>
      </c>
      <c r="AZ94" s="30" cm="1">
        <f t="array" ref="AZ94">$G$12+VLOOKUP($Q94,武学奇术!$A:$ZZ,12,FALSE)+SUM(_xlfn.XLOOKUP(R94:AF94,增益!$A:$A,增益!$L:$L,0))</f>
        <v>0.148</v>
      </c>
      <c r="BA94">
        <f t="shared" si="47"/>
        <v>0</v>
      </c>
      <c r="BB94">
        <f t="shared" si="48"/>
        <v>0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-0.08</v>
      </c>
      <c r="BD94" s="30" cm="1">
        <f t="array" ref="BD94">$G$13+VLOOKUP($Q94,武学奇术!$A:$ZZ,14,FALSE)+SUM(_xlfn.XLOOKUP(R94:AF94,增益!$A:$A,增益!$N:$N,0))</f>
        <v>0</v>
      </c>
      <c r="BE94">
        <f t="shared" si="49"/>
        <v>0</v>
      </c>
      <c r="BF94">
        <f t="shared" si="50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-0.08</v>
      </c>
      <c r="BH94" s="30" cm="1">
        <f t="array" ref="BH94">$G$14+VLOOKUP($Q94,武学奇术!$A:$ZZ,16,FALSE)+SUM(_xlfn.XLOOKUP(R94:AF94,增益!$A:$A,增益!$P:$P,0))</f>
        <v>0</v>
      </c>
      <c r="BI94" s="23">
        <f>MIN(IF(VLOOKUP($Q94,武学奇术!$A:$ZZ,23,FALSE)=1,100%,$B$8),100%)</f>
        <v>0.8626</v>
      </c>
      <c r="BJ94" s="23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0.8697</v>
      </c>
      <c r="BK94" s="23" cm="1">
        <f t="array" ref="BK94">1+$B$13+VLOOKUP($Q94,武学奇术!$A:$ZZ,18,FALSE)+SUM(_xlfn.XLOOKUP(R94:AF94,增益!$A:$A,增益!$R:$R,0))</f>
        <v>1.95</v>
      </c>
      <c r="BL94" s="23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0.0986</v>
      </c>
      <c r="BM94" s="23" cm="1">
        <f t="array" ref="BM94">1+$B$14+VLOOKUP($Q94,武学奇术!$A:$ZZ,20,FALSE)+SUM(_xlfn.XLOOKUP(R94:AF94,增益!$A:$A,增益!$T:$T,0))</f>
        <v>1.35</v>
      </c>
      <c r="BN94" s="23">
        <f t="shared" si="22"/>
        <v>0.75020322</v>
      </c>
      <c r="BO94" s="23">
        <f t="shared" si="32"/>
        <v>0.0273444200000001</v>
      </c>
      <c r="BP94" s="23">
        <f>IF(VLOOKUP($Q94,武学奇术!$A:$ZZ,22,FALSE)=1,0,(1-$BI94))*(1-$BL94)</f>
        <v>0.12385236</v>
      </c>
      <c r="BQ94" s="23" cm="1">
        <f t="array" ref="BQ94">SUM(_xlfn.XLOOKUP(R94:AF94,增益!$A:$A,增益!$W:$W,0))</f>
        <v>0.33</v>
      </c>
    </row>
    <row r="95" spans="1:69">
      <c r="K95" s="36">
        <f t="shared" si="42"/>
        <v>17704.7222254474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19577.6048173706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15579.344523708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10582.4890904706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9624.72297819452</v>
      </c>
      <c r="P95" s="37">
        <f t="shared" si="51"/>
        <v>1</v>
      </c>
      <c r="Q95" s="38" t="s">
        <v>158</v>
      </c>
      <c r="R95" s="38" t="s">
        <v>89</v>
      </c>
      <c r="S95" s="38" t="s">
        <v>78</v>
      </c>
      <c r="T95" s="38" t="s">
        <v>72</v>
      </c>
      <c r="U95" s="38" t="s">
        <v>80</v>
      </c>
      <c r="V95" s="38" t="s">
        <v>72</v>
      </c>
      <c r="W95" s="38" t="s">
        <v>72</v>
      </c>
      <c r="X95" s="38" t="s">
        <v>72</v>
      </c>
      <c r="Y95" s="38" t="s">
        <v>72</v>
      </c>
      <c r="Z95" s="38" t="s">
        <v>72</v>
      </c>
      <c r="AA95" s="38" t="s">
        <v>72</v>
      </c>
      <c r="AB95" s="38" t="s">
        <v>72</v>
      </c>
      <c r="AC95" s="38" t="s">
        <v>72</v>
      </c>
      <c r="AD95" s="38" t="s">
        <v>72</v>
      </c>
      <c r="AE95" s="38" t="s">
        <v>90</v>
      </c>
      <c r="AF95" s="38" t="s">
        <v>74</v>
      </c>
      <c r="AG95" t="str">
        <f>VLOOKUP($Q95,武学奇术!$A:$ZZ,25,FALSE)</f>
        <v>心法</v>
      </c>
      <c r="AH95" s="23">
        <f>VLOOKUP($Q95,武学奇术!$A:$ZZ,26,FALSE)</f>
        <v>1</v>
      </c>
      <c r="AI95" s="24">
        <f>VLOOKUP($Q95,武学奇术!$A:$ZZ,27,FALSE)*(1+IF(OR($AG95=$F$4,$AG95=$F$5),$B$22,0))</f>
        <v>0</v>
      </c>
      <c r="AJ95" s="23">
        <f>VLOOKUP($Q95,武学奇术!$A:$ZZ,28,FALSE)</f>
        <v>1</v>
      </c>
      <c r="AK95" s="24">
        <f>VLOOKUP($Q95,武学奇术!$A:$ZZ,29,FALSE)*(1+IF(OR($AG95=$F$4,$AG95=$F$5),$B$22,0))</f>
        <v>0</v>
      </c>
      <c r="AL95" s="23" cm="1">
        <f t="array" ref="AL95">$G$3+IFERROR(VLOOKUP($AG95,$F$4:$G$7,2,FALSE),0)+VLOOKUP($Q95,武学奇术!$A:$ZZ,2,FALSE)+SUM(_xlfn.XLOOKUP($R95:$AF95,增益!$A:$A,增益!$B:$B,0))</f>
        <v>0.633</v>
      </c>
      <c r="AM95" s="23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3052.34</v>
      </c>
      <c r="AO95" cm="1">
        <f t="array" ref="AO95">$E$10*(1+$AM95)+VLOOKUP($Q95,武学奇术!$A:$ZZ,4,FALSE)+SUM(_xlfn.XLOOKUP($R95:$AF95,增益!$A:$A,增益!$D:$D,0))-$I$2</f>
        <v>3052.34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0.442</v>
      </c>
      <c r="AQ95" s="30" cm="1">
        <f t="array" ref="AQ95">$G$10+VLOOKUP($Q95,武学奇术!$A:$ZZ,7,FALSE)+SUM(_xlfn.XLOOKUP(R95:AF95,增益!$A:$A,增益!$G:$G,0))</f>
        <v>0</v>
      </c>
      <c r="AR95" s="23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-0.24</v>
      </c>
      <c r="AV95" s="30" cm="1">
        <f t="array" ref="AV95">$G$11+VLOOKUP($Q95,武学奇术!$A:$ZZ,10,FALSE)+SUM(_xlfn.XLOOKUP(R95:AF95,增益!$A:$A,增益!$J:$J,0))</f>
        <v>0</v>
      </c>
      <c r="AW95">
        <f t="shared" si="45"/>
        <v>634.5</v>
      </c>
      <c r="AX95">
        <f t="shared" si="46"/>
        <v>1443.3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0.118</v>
      </c>
      <c r="AZ95" s="30" cm="1">
        <f t="array" ref="AZ95">$G$12+VLOOKUP($Q95,武学奇术!$A:$ZZ,12,FALSE)+SUM(_xlfn.XLOOKUP(R95:AF95,增益!$A:$A,增益!$L:$L,0))</f>
        <v>0.148</v>
      </c>
      <c r="BA95">
        <f t="shared" si="47"/>
        <v>0</v>
      </c>
      <c r="BB95">
        <f t="shared" si="48"/>
        <v>0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-0.24</v>
      </c>
      <c r="BD95" s="30" cm="1">
        <f t="array" ref="BD95">$G$13+VLOOKUP($Q95,武学奇术!$A:$ZZ,14,FALSE)+SUM(_xlfn.XLOOKUP(R95:AF95,增益!$A:$A,增益!$N:$N,0))</f>
        <v>0</v>
      </c>
      <c r="BE95">
        <f t="shared" si="49"/>
        <v>0</v>
      </c>
      <c r="BF95">
        <f t="shared" si="50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-0.24</v>
      </c>
      <c r="BH95" s="30" cm="1">
        <f t="array" ref="BH95">$G$14+VLOOKUP($Q95,武学奇术!$A:$ZZ,16,FALSE)+SUM(_xlfn.XLOOKUP(R95:AF95,增益!$A:$A,增益!$P:$P,0))</f>
        <v>0</v>
      </c>
      <c r="BI95" s="23">
        <f>MIN(IF(VLOOKUP($Q95,武学奇术!$A:$ZZ,23,FALSE)=1,100%,$B$8),100%)</f>
        <v>0.8626</v>
      </c>
      <c r="BJ95" s="23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0.8697</v>
      </c>
      <c r="BK95" s="23" cm="1">
        <f t="array" ref="BK95">1+$B$13+VLOOKUP($Q95,武学奇术!$A:$ZZ,18,FALSE)+SUM(_xlfn.XLOOKUP(R95:AF95,增益!$A:$A,增益!$R:$R,0))</f>
        <v>1.85</v>
      </c>
      <c r="BL95" s="23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0.0986</v>
      </c>
      <c r="BM95" s="23" cm="1">
        <f t="array" ref="BM95">1+$B$14+VLOOKUP($Q95,武学奇术!$A:$ZZ,20,FALSE)+SUM(_xlfn.XLOOKUP(R95:AF95,增益!$A:$A,增益!$T:$T,0))</f>
        <v>1.35</v>
      </c>
      <c r="BN95" s="23">
        <f t="shared" si="22"/>
        <v>0.75020322</v>
      </c>
      <c r="BO95" s="23">
        <f t="shared" si="32"/>
        <v>0.0273444200000001</v>
      </c>
      <c r="BP95" s="23">
        <f>IF(VLOOKUP($Q95,武学奇术!$A:$ZZ,22,FALSE)=1,0,(1-$BI95))*(1-$BL95)</f>
        <v>0.12385236</v>
      </c>
      <c r="BQ95" s="23" cm="1">
        <f t="array" ref="BQ95">SUM(_xlfn.XLOOKUP(R95:AF95,增益!$A:$A,增益!$W:$W,0))</f>
        <v>0.13</v>
      </c>
    </row>
    <row r="96" spans="1:69">
      <c r="K96" s="36">
        <f t="shared" si="42"/>
        <v>19102.0191994727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21122.1425147003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16883.8050162282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11417.3743322704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10328.2264302977</v>
      </c>
      <c r="P96" s="37">
        <f t="shared" si="51"/>
        <v>1</v>
      </c>
      <c r="Q96" s="38" t="s">
        <v>158</v>
      </c>
      <c r="R96" s="38" t="s">
        <v>89</v>
      </c>
      <c r="S96" s="38" t="s">
        <v>78</v>
      </c>
      <c r="T96" s="38" t="s">
        <v>79</v>
      </c>
      <c r="U96" s="38" t="s">
        <v>80</v>
      </c>
      <c r="V96" s="38" t="s">
        <v>72</v>
      </c>
      <c r="W96" s="38" t="s">
        <v>73</v>
      </c>
      <c r="X96" s="38" t="s">
        <v>72</v>
      </c>
      <c r="Y96" s="38" t="s">
        <v>72</v>
      </c>
      <c r="Z96" s="38" t="s">
        <v>72</v>
      </c>
      <c r="AA96" s="38" t="s">
        <v>72</v>
      </c>
      <c r="AB96" s="38" t="s">
        <v>72</v>
      </c>
      <c r="AC96" s="38" t="s">
        <v>72</v>
      </c>
      <c r="AD96" s="38" t="s">
        <v>72</v>
      </c>
      <c r="AE96" s="38" t="s">
        <v>90</v>
      </c>
      <c r="AF96" s="38" t="s">
        <v>74</v>
      </c>
      <c r="AG96" t="str">
        <f>VLOOKUP($Q96,武学奇术!$A:$ZZ,25,FALSE)</f>
        <v>心法</v>
      </c>
      <c r="AH96" s="23">
        <f>VLOOKUP($Q96,武学奇术!$A:$ZZ,26,FALSE)</f>
        <v>1</v>
      </c>
      <c r="AI96" s="24">
        <f>VLOOKUP($Q96,武学奇术!$A:$ZZ,27,FALSE)*(1+IF(OR($AG96=$F$4,$AG96=$F$5),$B$22,0))</f>
        <v>0</v>
      </c>
      <c r="AJ96" s="23">
        <f>VLOOKUP($Q96,武学奇术!$A:$ZZ,28,FALSE)</f>
        <v>1</v>
      </c>
      <c r="AK96" s="24">
        <f>VLOOKUP($Q96,武学奇术!$A:$ZZ,29,FALSE)*(1+IF(OR($AG96=$F$4,$AG96=$F$5),$B$22,0))</f>
        <v>0</v>
      </c>
      <c r="AL96" s="23" cm="1">
        <f t="array" ref="AL96">$G$3+IFERROR(VLOOKUP($AG96,$F$4:$G$7,2,FALSE),0)+VLOOKUP($Q96,武学奇术!$A:$ZZ,2,FALSE)+SUM(_xlfn.XLOOKUP($R96:$AF96,增益!$A:$A,增益!$B:$B,0))</f>
        <v>0.733</v>
      </c>
      <c r="AM96" s="23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3052.34</v>
      </c>
      <c r="AO96" cm="1">
        <f t="array" ref="AO96">$E$10*(1+$AM96)+VLOOKUP($Q96,武学奇术!$A:$ZZ,4,FALSE)+SUM(_xlfn.XLOOKUP($R96:$AF96,增益!$A:$A,增益!$D:$D,0))-$I$2</f>
        <v>3052.34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0.442</v>
      </c>
      <c r="AQ96" s="30" cm="1">
        <f t="array" ref="AQ96">$G$10+VLOOKUP($Q96,武学奇术!$A:$ZZ,7,FALSE)+SUM(_xlfn.XLOOKUP(R96:AF96,增益!$A:$A,增益!$G:$G,0))</f>
        <v>0</v>
      </c>
      <c r="AR96" s="23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-0.08</v>
      </c>
      <c r="AV96" s="30" cm="1">
        <f t="array" ref="AV96">$G$11+VLOOKUP($Q96,武学奇术!$A:$ZZ,10,FALSE)+SUM(_xlfn.XLOOKUP(R96:AF96,增益!$A:$A,增益!$J:$J,0))</f>
        <v>0</v>
      </c>
      <c r="AW96">
        <f t="shared" si="45"/>
        <v>634.5</v>
      </c>
      <c r="AX96">
        <f t="shared" si="46"/>
        <v>1443.3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0.198</v>
      </c>
      <c r="AZ96" s="30" cm="1">
        <f t="array" ref="AZ96">$G$12+VLOOKUP($Q96,武学奇术!$A:$ZZ,12,FALSE)+SUM(_xlfn.XLOOKUP(R96:AF96,增益!$A:$A,增益!$L:$L,0))</f>
        <v>0.148</v>
      </c>
      <c r="BA96">
        <f t="shared" si="47"/>
        <v>0</v>
      </c>
      <c r="BB96">
        <f t="shared" si="48"/>
        <v>0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-0.08</v>
      </c>
      <c r="BD96" s="30" cm="1">
        <f t="array" ref="BD96">$G$13+VLOOKUP($Q96,武学奇术!$A:$ZZ,14,FALSE)+SUM(_xlfn.XLOOKUP(R96:AF96,增益!$A:$A,增益!$N:$N,0))</f>
        <v>0</v>
      </c>
      <c r="BE96">
        <f t="shared" si="49"/>
        <v>0</v>
      </c>
      <c r="BF96">
        <f t="shared" si="50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-0.08</v>
      </c>
      <c r="BH96" s="30" cm="1">
        <f t="array" ref="BH96">$G$14+VLOOKUP($Q96,武学奇术!$A:$ZZ,16,FALSE)+SUM(_xlfn.XLOOKUP(R96:AF96,增益!$A:$A,增益!$P:$P,0))</f>
        <v>0</v>
      </c>
      <c r="BI96" s="23">
        <f>MIN(IF(VLOOKUP($Q96,武学奇术!$A:$ZZ,23,FALSE)=1,100%,$B$8),100%)</f>
        <v>0.8626</v>
      </c>
      <c r="BJ96" s="23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0.8697</v>
      </c>
      <c r="BK96" s="23" cm="1">
        <f t="array" ref="BK96">1+$B$13+VLOOKUP($Q96,武学奇术!$A:$ZZ,18,FALSE)+SUM(_xlfn.XLOOKUP(R96:AF96,增益!$A:$A,增益!$R:$R,0))</f>
        <v>1.85</v>
      </c>
      <c r="BL96" s="23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0.0986</v>
      </c>
      <c r="BM96" s="23" cm="1">
        <f t="array" ref="BM96">1+$B$14+VLOOKUP($Q96,武学奇术!$A:$ZZ,20,FALSE)+SUM(_xlfn.XLOOKUP(R96:AF96,增益!$A:$A,增益!$T:$T,0))</f>
        <v>1.35</v>
      </c>
      <c r="BN96" s="23">
        <f t="shared" si="22"/>
        <v>0.75020322</v>
      </c>
      <c r="BO96" s="23">
        <f t="shared" si="32"/>
        <v>0.0273444200000001</v>
      </c>
      <c r="BP96" s="23">
        <f>IF(VLOOKUP($Q96,武学奇术!$A:$ZZ,22,FALSE)=1,0,(1-$BI96))*(1-$BL96)</f>
        <v>0.12385236</v>
      </c>
      <c r="BQ96" s="23" cm="1">
        <f t="array" ref="BQ96">SUM(_xlfn.XLOOKUP(R96:AF96,增益!$A:$A,增益!$W:$W,0))</f>
        <v>0.13</v>
      </c>
    </row>
    <row r="97" spans="11:69">
      <c r="K97" s="36">
        <f t="shared" si="42"/>
        <v>17704.7222254474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19577.6048173706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15579.344523708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10582.4890904706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9624.72297819452</v>
      </c>
      <c r="P97" s="37">
        <f t="shared" si="51"/>
        <v>1</v>
      </c>
      <c r="Q97" s="38" t="s">
        <v>158</v>
      </c>
      <c r="R97" s="38" t="s">
        <v>89</v>
      </c>
      <c r="S97" s="38" t="s">
        <v>78</v>
      </c>
      <c r="T97" s="38" t="s">
        <v>72</v>
      </c>
      <c r="U97" s="38" t="s">
        <v>80</v>
      </c>
      <c r="V97" s="38" t="s">
        <v>72</v>
      </c>
      <c r="W97" s="38" t="s">
        <v>72</v>
      </c>
      <c r="X97" s="38" t="s">
        <v>72</v>
      </c>
      <c r="Y97" s="38" t="s">
        <v>72</v>
      </c>
      <c r="Z97" s="38" t="s">
        <v>72</v>
      </c>
      <c r="AA97" s="38" t="s">
        <v>72</v>
      </c>
      <c r="AB97" s="38" t="s">
        <v>72</v>
      </c>
      <c r="AC97" s="38" t="s">
        <v>72</v>
      </c>
      <c r="AD97" s="38" t="s">
        <v>72</v>
      </c>
      <c r="AE97" s="38" t="s">
        <v>90</v>
      </c>
      <c r="AF97" s="38" t="s">
        <v>74</v>
      </c>
      <c r="AG97" t="str">
        <f>VLOOKUP($Q97,武学奇术!$A:$ZZ,25,FALSE)</f>
        <v>心法</v>
      </c>
      <c r="AH97" s="23">
        <f>VLOOKUP($Q97,武学奇术!$A:$ZZ,26,FALSE)</f>
        <v>1</v>
      </c>
      <c r="AI97" s="24">
        <f>VLOOKUP($Q97,武学奇术!$A:$ZZ,27,FALSE)*(1+IF(OR($AG97=$F$4,$AG97=$F$5),$B$22,0))</f>
        <v>0</v>
      </c>
      <c r="AJ97" s="23">
        <f>VLOOKUP($Q97,武学奇术!$A:$ZZ,28,FALSE)</f>
        <v>1</v>
      </c>
      <c r="AK97" s="24">
        <f>VLOOKUP($Q97,武学奇术!$A:$ZZ,29,FALSE)*(1+IF(OR($AG97=$F$4,$AG97=$F$5),$B$22,0))</f>
        <v>0</v>
      </c>
      <c r="AL97" s="23" cm="1">
        <f t="array" ref="AL97">$G$3+IFERROR(VLOOKUP($AG97,$F$4:$G$7,2,FALSE),0)+VLOOKUP($Q97,武学奇术!$A:$ZZ,2,FALSE)+SUM(_xlfn.XLOOKUP($R97:$AF97,增益!$A:$A,增益!$B:$B,0))</f>
        <v>0.633</v>
      </c>
      <c r="AM97" s="23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3052.34</v>
      </c>
      <c r="AO97" cm="1">
        <f t="array" ref="AO97">$E$10*(1+$AM97)+VLOOKUP($Q97,武学奇术!$A:$ZZ,4,FALSE)+SUM(_xlfn.XLOOKUP($R97:$AF97,增益!$A:$A,增益!$D:$D,0))-$I$2</f>
        <v>3052.34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0.442</v>
      </c>
      <c r="AQ97" s="30" cm="1">
        <f t="array" ref="AQ97">$G$10+VLOOKUP($Q97,武学奇术!$A:$ZZ,7,FALSE)+SUM(_xlfn.XLOOKUP(R97:AF97,增益!$A:$A,增益!$G:$G,0))</f>
        <v>0</v>
      </c>
      <c r="AR97" s="23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-0.24</v>
      </c>
      <c r="AV97" s="30" cm="1">
        <f t="array" ref="AV97">$G$11+VLOOKUP($Q97,武学奇术!$A:$ZZ,10,FALSE)+SUM(_xlfn.XLOOKUP(R97:AF97,增益!$A:$A,增益!$J:$J,0))</f>
        <v>0</v>
      </c>
      <c r="AW97">
        <f t="shared" si="45"/>
        <v>634.5</v>
      </c>
      <c r="AX97">
        <f t="shared" si="46"/>
        <v>1443.3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0.118</v>
      </c>
      <c r="AZ97" s="30" cm="1">
        <f t="array" ref="AZ97">$G$12+VLOOKUP($Q97,武学奇术!$A:$ZZ,12,FALSE)+SUM(_xlfn.XLOOKUP(R97:AF97,增益!$A:$A,增益!$L:$L,0))</f>
        <v>0.148</v>
      </c>
      <c r="BA97">
        <f t="shared" si="47"/>
        <v>0</v>
      </c>
      <c r="BB97">
        <f t="shared" si="48"/>
        <v>0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-0.24</v>
      </c>
      <c r="BD97" s="30" cm="1">
        <f t="array" ref="BD97">$G$13+VLOOKUP($Q97,武学奇术!$A:$ZZ,14,FALSE)+SUM(_xlfn.XLOOKUP(R97:AF97,增益!$A:$A,增益!$N:$N,0))</f>
        <v>0</v>
      </c>
      <c r="BE97">
        <f t="shared" si="49"/>
        <v>0</v>
      </c>
      <c r="BF97">
        <f t="shared" si="50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-0.24</v>
      </c>
      <c r="BH97" s="30" cm="1">
        <f t="array" ref="BH97">$G$14+VLOOKUP($Q97,武学奇术!$A:$ZZ,16,FALSE)+SUM(_xlfn.XLOOKUP(R97:AF97,增益!$A:$A,增益!$P:$P,0))</f>
        <v>0</v>
      </c>
      <c r="BI97" s="23">
        <f>MIN(IF(VLOOKUP($Q97,武学奇术!$A:$ZZ,23,FALSE)=1,100%,$B$8),100%)</f>
        <v>0.8626</v>
      </c>
      <c r="BJ97" s="23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0.8697</v>
      </c>
      <c r="BK97" s="23" cm="1">
        <f t="array" ref="BK97">1+$B$13+VLOOKUP($Q97,武学奇术!$A:$ZZ,18,FALSE)+SUM(_xlfn.XLOOKUP(R97:AF97,增益!$A:$A,增益!$R:$R,0))</f>
        <v>1.85</v>
      </c>
      <c r="BL97" s="23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0.0986</v>
      </c>
      <c r="BM97" s="23" cm="1">
        <f t="array" ref="BM97">1+$B$14+VLOOKUP($Q97,武学奇术!$A:$ZZ,20,FALSE)+SUM(_xlfn.XLOOKUP(R97:AF97,增益!$A:$A,增益!$T:$T,0))</f>
        <v>1.35</v>
      </c>
      <c r="BN97" s="23">
        <f t="shared" si="22"/>
        <v>0.75020322</v>
      </c>
      <c r="BO97" s="23">
        <f t="shared" si="32"/>
        <v>0.0273444200000001</v>
      </c>
      <c r="BP97" s="23">
        <f>IF(VLOOKUP($Q97,武学奇术!$A:$ZZ,22,FALSE)=1,0,(1-$BI97))*(1-$BL97)</f>
        <v>0.12385236</v>
      </c>
      <c r="BQ97" s="23" cm="1">
        <f t="array" ref="BQ97">SUM(_xlfn.XLOOKUP(R97:AF97,增益!$A:$A,增益!$W:$W,0))</f>
        <v>0.13</v>
      </c>
    </row>
    <row r="98" spans="11:69">
      <c r="K98" s="36">
        <f t="shared" si="42"/>
        <v>18881.5688913426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20878.3786080101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16688.9544101552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11285.6100583839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10209.0316648009</v>
      </c>
      <c r="P98" s="37">
        <f t="shared" si="51"/>
        <v>1</v>
      </c>
      <c r="Q98" s="38" t="s">
        <v>158</v>
      </c>
      <c r="R98" s="38" t="s">
        <v>89</v>
      </c>
      <c r="S98" s="38" t="s">
        <v>78</v>
      </c>
      <c r="T98" s="38" t="s">
        <v>79</v>
      </c>
      <c r="U98" s="38" t="s">
        <v>80</v>
      </c>
      <c r="V98" s="38" t="s">
        <v>72</v>
      </c>
      <c r="W98" s="38" t="s">
        <v>72</v>
      </c>
      <c r="X98" s="38" t="s">
        <v>72</v>
      </c>
      <c r="Y98" s="38" t="s">
        <v>72</v>
      </c>
      <c r="Z98" s="38" t="s">
        <v>72</v>
      </c>
      <c r="AA98" s="38" t="s">
        <v>72</v>
      </c>
      <c r="AB98" s="38" t="s">
        <v>72</v>
      </c>
      <c r="AC98" s="38" t="s">
        <v>72</v>
      </c>
      <c r="AD98" s="38" t="s">
        <v>72</v>
      </c>
      <c r="AE98" s="38" t="s">
        <v>90</v>
      </c>
      <c r="AF98" s="38" t="s">
        <v>74</v>
      </c>
      <c r="AG98" t="str">
        <f>VLOOKUP($Q98,武学奇术!$A:$ZZ,25,FALSE)</f>
        <v>心法</v>
      </c>
      <c r="AH98" s="23">
        <f>VLOOKUP($Q98,武学奇术!$A:$ZZ,26,FALSE)</f>
        <v>1</v>
      </c>
      <c r="AI98" s="24">
        <f>VLOOKUP($Q98,武学奇术!$A:$ZZ,27,FALSE)*(1+IF(OR($AG98=$F$4,$AG98=$F$5),$B$22,0))</f>
        <v>0</v>
      </c>
      <c r="AJ98" s="23">
        <f>VLOOKUP($Q98,武学奇术!$A:$ZZ,28,FALSE)</f>
        <v>1</v>
      </c>
      <c r="AK98" s="24">
        <f>VLOOKUP($Q98,武学奇术!$A:$ZZ,29,FALSE)*(1+IF(OR($AG98=$F$4,$AG98=$F$5),$B$22,0))</f>
        <v>0</v>
      </c>
      <c r="AL98" s="23" cm="1">
        <f t="array" ref="AL98">$G$3+IFERROR(VLOOKUP($AG98,$F$4:$G$7,2,FALSE),0)+VLOOKUP($Q98,武学奇术!$A:$ZZ,2,FALSE)+SUM(_xlfn.XLOOKUP($R98:$AF98,增益!$A:$A,增益!$B:$B,0))</f>
        <v>0.713</v>
      </c>
      <c r="AM98" s="23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3052.34</v>
      </c>
      <c r="AO98" cm="1">
        <f t="array" ref="AO98">$E$10*(1+$AM98)+VLOOKUP($Q98,武学奇术!$A:$ZZ,4,FALSE)+SUM(_xlfn.XLOOKUP($R98:$AF98,增益!$A:$A,增益!$D:$D,0))-$I$2</f>
        <v>3052.34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0.442</v>
      </c>
      <c r="AQ98" s="30" cm="1">
        <f t="array" ref="AQ98">$G$10+VLOOKUP($Q98,武学奇术!$A:$ZZ,7,FALSE)+SUM(_xlfn.XLOOKUP(R98:AF98,增益!$A:$A,增益!$G:$G,0))</f>
        <v>0</v>
      </c>
      <c r="AR98" s="23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-0.08</v>
      </c>
      <c r="AV98" s="30" cm="1">
        <f t="array" ref="AV98">$G$11+VLOOKUP($Q98,武学奇术!$A:$ZZ,10,FALSE)+SUM(_xlfn.XLOOKUP(R98:AF98,增益!$A:$A,增益!$J:$J,0))</f>
        <v>0</v>
      </c>
      <c r="AW98">
        <f t="shared" si="45"/>
        <v>634.5</v>
      </c>
      <c r="AX98">
        <f t="shared" si="46"/>
        <v>1443.3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0.198</v>
      </c>
      <c r="AZ98" s="30" cm="1">
        <f t="array" ref="AZ98">$G$12+VLOOKUP($Q98,武学奇术!$A:$ZZ,12,FALSE)+SUM(_xlfn.XLOOKUP(R98:AF98,增益!$A:$A,增益!$L:$L,0))</f>
        <v>0.148</v>
      </c>
      <c r="BA98">
        <f t="shared" si="47"/>
        <v>0</v>
      </c>
      <c r="BB98">
        <f t="shared" si="48"/>
        <v>0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-0.08</v>
      </c>
      <c r="BD98" s="30" cm="1">
        <f t="array" ref="BD98">$G$13+VLOOKUP($Q98,武学奇术!$A:$ZZ,14,FALSE)+SUM(_xlfn.XLOOKUP(R98:AF98,增益!$A:$A,增益!$N:$N,0))</f>
        <v>0</v>
      </c>
      <c r="BE98">
        <f t="shared" si="49"/>
        <v>0</v>
      </c>
      <c r="BF98">
        <f t="shared" si="50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-0.08</v>
      </c>
      <c r="BH98" s="30" cm="1">
        <f t="array" ref="BH98">$G$14+VLOOKUP($Q98,武学奇术!$A:$ZZ,16,FALSE)+SUM(_xlfn.XLOOKUP(R98:AF98,增益!$A:$A,增益!$P:$P,0))</f>
        <v>0</v>
      </c>
      <c r="BI98" s="23">
        <f>MIN(IF(VLOOKUP($Q98,武学奇术!$A:$ZZ,23,FALSE)=1,100%,$B$8),100%)</f>
        <v>0.8626</v>
      </c>
      <c r="BJ98" s="23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0.8697</v>
      </c>
      <c r="BK98" s="23" cm="1">
        <f t="array" ref="BK98">1+$B$13+VLOOKUP($Q98,武学奇术!$A:$ZZ,18,FALSE)+SUM(_xlfn.XLOOKUP(R98:AF98,增益!$A:$A,增益!$R:$R,0))</f>
        <v>1.85</v>
      </c>
      <c r="BL98" s="23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0.0986</v>
      </c>
      <c r="BM98" s="23" cm="1">
        <f t="array" ref="BM98">1+$B$14+VLOOKUP($Q98,武学奇术!$A:$ZZ,20,FALSE)+SUM(_xlfn.XLOOKUP(R98:AF98,增益!$A:$A,增益!$T:$T,0))</f>
        <v>1.35</v>
      </c>
      <c r="BN98" s="23">
        <f t="shared" si="22"/>
        <v>0.75020322</v>
      </c>
      <c r="BO98" s="23">
        <f t="shared" si="32"/>
        <v>0.0273444200000001</v>
      </c>
      <c r="BP98" s="23">
        <f>IF(VLOOKUP($Q98,武学奇术!$A:$ZZ,22,FALSE)=1,0,(1-$BI98))*(1-$BL98)</f>
        <v>0.12385236</v>
      </c>
      <c r="BQ98" s="23" cm="1">
        <f t="array" ref="BQ98">SUM(_xlfn.XLOOKUP(R98:AF98,增益!$A:$A,增益!$W:$W,0))</f>
        <v>0.13</v>
      </c>
    </row>
    <row r="99" spans="11:69">
      <c r="K99" s="36">
        <f t="shared" si="42"/>
        <v>18498.623964576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20635.8537264176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15579.344523708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10582.4890904706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9624.72297819452</v>
      </c>
      <c r="P99" s="37">
        <f t="shared" si="51"/>
        <v>1</v>
      </c>
      <c r="Q99" s="38" t="s">
        <v>158</v>
      </c>
      <c r="R99" s="38" t="s">
        <v>89</v>
      </c>
      <c r="S99" s="38" t="s">
        <v>78</v>
      </c>
      <c r="T99" s="38" t="s">
        <v>72</v>
      </c>
      <c r="U99" s="38" t="s">
        <v>80</v>
      </c>
      <c r="V99" s="38" t="s">
        <v>72</v>
      </c>
      <c r="W99" s="38" t="s">
        <v>72</v>
      </c>
      <c r="X99" s="38" t="s">
        <v>122</v>
      </c>
      <c r="Y99" s="38" t="s">
        <v>72</v>
      </c>
      <c r="Z99" s="38" t="s">
        <v>72</v>
      </c>
      <c r="AA99" s="38" t="s">
        <v>72</v>
      </c>
      <c r="AB99" s="38" t="s">
        <v>72</v>
      </c>
      <c r="AC99" s="38" t="s">
        <v>72</v>
      </c>
      <c r="AD99" s="38" t="s">
        <v>72</v>
      </c>
      <c r="AE99" s="38" t="s">
        <v>90</v>
      </c>
      <c r="AF99" s="38" t="s">
        <v>74</v>
      </c>
      <c r="AG99" t="str">
        <f>VLOOKUP($Q99,武学奇术!$A:$ZZ,25,FALSE)</f>
        <v>心法</v>
      </c>
      <c r="AH99" s="23">
        <f>VLOOKUP($Q99,武学奇术!$A:$ZZ,26,FALSE)</f>
        <v>1</v>
      </c>
      <c r="AI99" s="24">
        <f>VLOOKUP($Q99,武学奇术!$A:$ZZ,27,FALSE)*(1+IF(OR($AG99=$F$4,$AG99=$F$5),$B$22,0))</f>
        <v>0</v>
      </c>
      <c r="AJ99" s="23">
        <f>VLOOKUP($Q99,武学奇术!$A:$ZZ,28,FALSE)</f>
        <v>1</v>
      </c>
      <c r="AK99" s="24">
        <f>VLOOKUP($Q99,武学奇术!$A:$ZZ,29,FALSE)*(1+IF(OR($AG99=$F$4,$AG99=$F$5),$B$22,0))</f>
        <v>0</v>
      </c>
      <c r="AL99" s="23" cm="1">
        <f t="array" ref="AL99">$G$3+IFERROR(VLOOKUP($AG99,$F$4:$G$7,2,FALSE),0)+VLOOKUP($Q99,武学奇术!$A:$ZZ,2,FALSE)+SUM(_xlfn.XLOOKUP($R99:$AF99,增益!$A:$A,增益!$B:$B,0))</f>
        <v>0.633</v>
      </c>
      <c r="AM99" s="23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3052.34</v>
      </c>
      <c r="AO99" cm="1">
        <f t="array" ref="AO99">$E$10*(1+$AM99)+VLOOKUP($Q99,武学奇术!$A:$ZZ,4,FALSE)+SUM(_xlfn.XLOOKUP($R99:$AF99,增益!$A:$A,增益!$D:$D,0))-$I$2</f>
        <v>3052.34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0.442</v>
      </c>
      <c r="AQ99" s="30" cm="1">
        <f t="array" ref="AQ99">$G$10+VLOOKUP($Q99,武学奇术!$A:$ZZ,7,FALSE)+SUM(_xlfn.XLOOKUP(R99:AF99,增益!$A:$A,增益!$G:$G,0))</f>
        <v>0</v>
      </c>
      <c r="AR99" s="23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-0.24</v>
      </c>
      <c r="AV99" s="30" cm="1">
        <f t="array" ref="AV99">$G$11+VLOOKUP($Q99,武学奇术!$A:$ZZ,10,FALSE)+SUM(_xlfn.XLOOKUP(R99:AF99,增益!$A:$A,增益!$J:$J,0))</f>
        <v>0</v>
      </c>
      <c r="AW99">
        <f t="shared" si="45"/>
        <v>634.5</v>
      </c>
      <c r="AX99">
        <f t="shared" si="46"/>
        <v>1443.3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0.118</v>
      </c>
      <c r="AZ99" s="30" cm="1">
        <f t="array" ref="AZ99">$G$12+VLOOKUP($Q99,武学奇术!$A:$ZZ,12,FALSE)+SUM(_xlfn.XLOOKUP(R99:AF99,增益!$A:$A,增益!$L:$L,0))</f>
        <v>0.148</v>
      </c>
      <c r="BA99">
        <f t="shared" si="47"/>
        <v>0</v>
      </c>
      <c r="BB99">
        <f t="shared" si="48"/>
        <v>0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-0.24</v>
      </c>
      <c r="BD99" s="30" cm="1">
        <f t="array" ref="BD99">$G$13+VLOOKUP($Q99,武学奇术!$A:$ZZ,14,FALSE)+SUM(_xlfn.XLOOKUP(R99:AF99,增益!$A:$A,增益!$N:$N,0))</f>
        <v>0</v>
      </c>
      <c r="BE99">
        <f t="shared" si="49"/>
        <v>0</v>
      </c>
      <c r="BF99">
        <f t="shared" si="50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-0.24</v>
      </c>
      <c r="BH99" s="30" cm="1">
        <f t="array" ref="BH99">$G$14+VLOOKUP($Q99,武学奇术!$A:$ZZ,16,FALSE)+SUM(_xlfn.XLOOKUP(R99:AF99,增益!$A:$A,增益!$P:$P,0))</f>
        <v>0</v>
      </c>
      <c r="BI99" s="23">
        <f>MIN(IF(VLOOKUP($Q99,武学奇术!$A:$ZZ,23,FALSE)=1,100%,$B$8),100%)</f>
        <v>0.8626</v>
      </c>
      <c r="BJ99" s="23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0.8697</v>
      </c>
      <c r="BK99" s="23" cm="1">
        <f t="array" ref="BK99">1+$B$13+VLOOKUP($Q99,武学奇术!$A:$ZZ,18,FALSE)+SUM(_xlfn.XLOOKUP(R99:AF99,增益!$A:$A,增益!$R:$R,0))</f>
        <v>1.95</v>
      </c>
      <c r="BL99" s="23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0.0986</v>
      </c>
      <c r="BM99" s="23" cm="1">
        <f t="array" ref="BM99">1+$B$14+VLOOKUP($Q99,武学奇术!$A:$ZZ,20,FALSE)+SUM(_xlfn.XLOOKUP(R99:AF99,增益!$A:$A,增益!$T:$T,0))</f>
        <v>1.35</v>
      </c>
      <c r="BN99" s="23">
        <f t="shared" si="22"/>
        <v>0.75020322</v>
      </c>
      <c r="BO99" s="23">
        <f t="shared" si="32"/>
        <v>0.0273444200000001</v>
      </c>
      <c r="BP99" s="23">
        <f>IF(VLOOKUP($Q99,武学奇术!$A:$ZZ,22,FALSE)=1,0,(1-$BI99))*(1-$BL99)</f>
        <v>0.12385236</v>
      </c>
      <c r="BQ99" s="23" cm="1">
        <f t="array" ref="BQ99">SUM(_xlfn.XLOOKUP(R99:AF99,增益!$A:$A,增益!$W:$W,0))</f>
        <v>0.13</v>
      </c>
    </row>
    <row r="100" spans="11:69">
      <c r="K100" s="36">
        <f t="shared" si="42"/>
        <v>23491.0417846944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26204.3896732242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19872.0890898969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13438.1485503714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12156.2311082265</v>
      </c>
      <c r="P100" s="37">
        <f t="shared" si="51"/>
        <v>1</v>
      </c>
      <c r="Q100" s="38" t="s">
        <v>158</v>
      </c>
      <c r="R100" s="38" t="s">
        <v>89</v>
      </c>
      <c r="S100" s="38" t="s">
        <v>78</v>
      </c>
      <c r="T100" s="38" t="s">
        <v>79</v>
      </c>
      <c r="U100" s="38" t="s">
        <v>80</v>
      </c>
      <c r="V100" s="38" t="s">
        <v>72</v>
      </c>
      <c r="W100" s="38" t="s">
        <v>73</v>
      </c>
      <c r="X100" s="38" t="s">
        <v>122</v>
      </c>
      <c r="Y100" s="38" t="s">
        <v>147</v>
      </c>
      <c r="Z100" s="38" t="s">
        <v>148</v>
      </c>
      <c r="AA100" s="38" t="s">
        <v>72</v>
      </c>
      <c r="AB100" s="38" t="s">
        <v>72</v>
      </c>
      <c r="AC100" s="38" t="s">
        <v>72</v>
      </c>
      <c r="AD100" s="38" t="s">
        <v>72</v>
      </c>
      <c r="AE100" s="38" t="s">
        <v>90</v>
      </c>
      <c r="AF100" s="38" t="s">
        <v>74</v>
      </c>
      <c r="AG100" t="str">
        <f>VLOOKUP($Q100,武学奇术!$A:$ZZ,25,FALSE)</f>
        <v>心法</v>
      </c>
      <c r="AH100" s="23">
        <f>VLOOKUP($Q100,武学奇术!$A:$ZZ,26,FALSE)</f>
        <v>1</v>
      </c>
      <c r="AI100" s="24">
        <f>VLOOKUP($Q100,武学奇术!$A:$ZZ,27,FALSE)*(1+IF(OR($AG100=$F$4,$AG100=$F$5),$B$22,0))</f>
        <v>0</v>
      </c>
      <c r="AJ100" s="23">
        <f>VLOOKUP($Q100,武学奇术!$A:$ZZ,28,FALSE)</f>
        <v>1</v>
      </c>
      <c r="AK100" s="24">
        <f>VLOOKUP($Q100,武学奇术!$A:$ZZ,29,FALSE)*(1+IF(OR($AG100=$F$4,$AG100=$F$5),$B$22,0))</f>
        <v>0</v>
      </c>
      <c r="AL100" s="23" cm="1">
        <f t="array" ref="AL100">$G$3+IFERROR(VLOOKUP($AG100,$F$4:$G$7,2,FALSE),0)+VLOOKUP($Q100,武学奇术!$A:$ZZ,2,FALSE)+SUM(_xlfn.XLOOKUP($R100:$AF100,增益!$A:$A,增益!$B:$B,0))</f>
        <v>0.733</v>
      </c>
      <c r="AM100" s="23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3052.34</v>
      </c>
      <c r="AO100" cm="1">
        <f t="array" ref="AO100">$E$10*(1+$AM100)+VLOOKUP($Q100,武学奇术!$A:$ZZ,4,FALSE)+SUM(_xlfn.XLOOKUP($R100:$AF100,增益!$A:$A,增益!$D:$D,0))-$I$2</f>
        <v>3052.34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0.442</v>
      </c>
      <c r="AQ100" s="30" cm="1">
        <f t="array" ref="AQ100">$G$10+VLOOKUP($Q100,武学奇术!$A:$ZZ,7,FALSE)+SUM(_xlfn.XLOOKUP(R100:AF100,增益!$A:$A,增益!$G:$G,0))</f>
        <v>0</v>
      </c>
      <c r="AR100" s="23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-0.08</v>
      </c>
      <c r="AV100" s="30" cm="1">
        <f t="array" ref="AV100">$G$11+VLOOKUP($Q100,武学奇术!$A:$ZZ,10,FALSE)+SUM(_xlfn.XLOOKUP(R100:AF100,增益!$A:$A,增益!$J:$J,0))</f>
        <v>0.1</v>
      </c>
      <c r="AW100">
        <f t="shared" si="45"/>
        <v>634.5</v>
      </c>
      <c r="AX100">
        <f t="shared" si="46"/>
        <v>1443.3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0.198</v>
      </c>
      <c r="AZ100" s="30" cm="1">
        <f t="array" ref="AZ100">$G$12+VLOOKUP($Q100,武学奇术!$A:$ZZ,12,FALSE)+SUM(_xlfn.XLOOKUP(R100:AF100,增益!$A:$A,增益!$L:$L,0))</f>
        <v>0.148</v>
      </c>
      <c r="BA100">
        <f t="shared" si="47"/>
        <v>0</v>
      </c>
      <c r="BB100">
        <f t="shared" si="48"/>
        <v>0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-0.08</v>
      </c>
      <c r="BD100" s="30" cm="1">
        <f t="array" ref="BD100">$G$13+VLOOKUP($Q100,武学奇术!$A:$ZZ,14,FALSE)+SUM(_xlfn.XLOOKUP(R100:AF100,增益!$A:$A,增益!$N:$N,0))</f>
        <v>0</v>
      </c>
      <c r="BE100">
        <f t="shared" si="49"/>
        <v>0</v>
      </c>
      <c r="BF100">
        <f t="shared" si="50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-0.08</v>
      </c>
      <c r="BH100" s="30" cm="1">
        <f t="array" ref="BH100">$G$14+VLOOKUP($Q100,武学奇术!$A:$ZZ,16,FALSE)+SUM(_xlfn.XLOOKUP(R100:AF100,增益!$A:$A,增益!$P:$P,0))</f>
        <v>0</v>
      </c>
      <c r="BI100" s="23">
        <f>MIN(IF(VLOOKUP($Q100,武学奇术!$A:$ZZ,23,FALSE)=1,100%,$B$8),100%)</f>
        <v>0.8626</v>
      </c>
      <c r="BJ100" s="23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0.8697</v>
      </c>
      <c r="BK100" s="23" cm="1">
        <f t="array" ref="BK100">1+$B$13+VLOOKUP($Q100,武学奇术!$A:$ZZ,18,FALSE)+SUM(_xlfn.XLOOKUP(R100:AF100,增益!$A:$A,增益!$R:$R,0))</f>
        <v>1.95</v>
      </c>
      <c r="BL100" s="23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0.0986</v>
      </c>
      <c r="BM100" s="23" cm="1">
        <f t="array" ref="BM100">1+$B$14+VLOOKUP($Q100,武学奇术!$A:$ZZ,20,FALSE)+SUM(_xlfn.XLOOKUP(R100:AF100,增益!$A:$A,增益!$T:$T,0))</f>
        <v>1.35</v>
      </c>
      <c r="BN100" s="23">
        <f t="shared" si="22"/>
        <v>0.75020322</v>
      </c>
      <c r="BO100" s="23">
        <f t="shared" si="32"/>
        <v>0.0273444200000001</v>
      </c>
      <c r="BP100" s="23">
        <f>IF(VLOOKUP($Q100,武学奇术!$A:$ZZ,22,FALSE)=1,0,(1-$BI100))*(1-$BL100)</f>
        <v>0.12385236</v>
      </c>
      <c r="BQ100" s="23" cm="1">
        <f t="array" ref="BQ100">SUM(_xlfn.XLOOKUP(R100:AF100,增益!$A:$A,增益!$W:$W,0))</f>
        <v>0.33</v>
      </c>
    </row>
    <row r="101" spans="11:69">
      <c r="K101" s="36">
        <f t="shared" si="42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7">
        <v>1</v>
      </c>
      <c r="Q101" s="38" t="s">
        <v>72</v>
      </c>
      <c r="R101" s="38" t="s">
        <v>72</v>
      </c>
      <c r="S101" s="38" t="s">
        <v>72</v>
      </c>
      <c r="T101" s="38" t="s">
        <v>72</v>
      </c>
      <c r="U101" s="38" t="s">
        <v>72</v>
      </c>
      <c r="V101" s="38" t="s">
        <v>72</v>
      </c>
      <c r="W101" s="38" t="s">
        <v>72</v>
      </c>
      <c r="X101" s="38" t="s">
        <v>72</v>
      </c>
      <c r="Y101" s="38" t="s">
        <v>72</v>
      </c>
      <c r="Z101" s="38" t="s">
        <v>72</v>
      </c>
      <c r="AA101" s="38" t="s">
        <v>72</v>
      </c>
      <c r="AB101" s="38" t="s">
        <v>72</v>
      </c>
      <c r="AC101" s="38" t="s">
        <v>72</v>
      </c>
      <c r="AD101" s="38" t="s">
        <v>72</v>
      </c>
      <c r="AE101" s="38" t="s">
        <v>90</v>
      </c>
      <c r="AF101" s="38" t="s">
        <v>74</v>
      </c>
      <c r="AG101" t="str">
        <f>VLOOKUP($Q101,武学奇术!$A:$ZZ,25,FALSE)</f>
        <v>心法</v>
      </c>
      <c r="AH101" s="23">
        <f>VLOOKUP($Q101,武学奇术!$A:$ZZ,26,FALSE)</f>
        <v>0</v>
      </c>
      <c r="AI101" s="24">
        <f>VLOOKUP($Q101,武学奇术!$A:$ZZ,27,FALSE)*(1+IF(OR($AG101=$F$4,$AG101=$F$5),$B$22,0))</f>
        <v>0</v>
      </c>
      <c r="AJ101" s="23">
        <f>VLOOKUP($Q101,武学奇术!$A:$ZZ,28,FALSE)</f>
        <v>0</v>
      </c>
      <c r="AK101" s="24">
        <f>VLOOKUP($Q101,武学奇术!$A:$ZZ,29,FALSE)*(1+IF(OR($AG101=$F$4,$AG101=$F$5),$B$22,0))</f>
        <v>0</v>
      </c>
      <c r="AL101" s="23" cm="1">
        <f t="array" ref="AL101">$G$3+IFERROR(VLOOKUP($AG101,$F$4:$G$7,2,FALSE),0)+VLOOKUP($Q101,武学奇术!$A:$ZZ,2,FALSE)+SUM(_xlfn.XLOOKUP($R101:$AF101,增益!$A:$A,增益!$B:$B,0))</f>
        <v>0.463</v>
      </c>
      <c r="AM101" s="23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3052.34</v>
      </c>
      <c r="AO101" cm="1">
        <f t="array" ref="AO101">$E$10*(1+$AM101)+VLOOKUP($Q101,武学奇术!$A:$ZZ,4,FALSE)+SUM(_xlfn.XLOOKUP($R101:$AF101,增益!$A:$A,增益!$D:$D,0))-$I$2</f>
        <v>3052.34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0.342</v>
      </c>
      <c r="AQ101" s="30" cm="1">
        <f t="array" ref="AQ101">$G$10+VLOOKUP($Q101,武学奇术!$A:$ZZ,7,FALSE)+SUM(_xlfn.XLOOKUP(R101:AF101,增益!$A:$A,增益!$G:$G,0))</f>
        <v>0</v>
      </c>
      <c r="AR101" s="23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-0.24</v>
      </c>
      <c r="AV101" s="30" cm="1">
        <f t="array" ref="AV101">$G$11+VLOOKUP($Q101,武学奇术!$A:$ZZ,10,FALSE)+SUM(_xlfn.XLOOKUP(R101:AF101,增益!$A:$A,增益!$J:$J,0))</f>
        <v>0</v>
      </c>
      <c r="AW101">
        <f t="shared" si="45"/>
        <v>634.5</v>
      </c>
      <c r="AX101">
        <f t="shared" si="46"/>
        <v>1443.3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0.118</v>
      </c>
      <c r="AZ101" s="30" cm="1">
        <f t="array" ref="AZ101">$G$12+VLOOKUP($Q101,武学奇术!$A:$ZZ,12,FALSE)+SUM(_xlfn.XLOOKUP(R101:AF101,增益!$A:$A,增益!$L:$L,0))</f>
        <v>0.148</v>
      </c>
      <c r="BA101">
        <f t="shared" si="47"/>
        <v>0</v>
      </c>
      <c r="BB101">
        <f t="shared" si="48"/>
        <v>0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-0.24</v>
      </c>
      <c r="BD101" s="30" cm="1">
        <f t="array" ref="BD101">$G$13+VLOOKUP($Q101,武学奇术!$A:$ZZ,14,FALSE)+SUM(_xlfn.XLOOKUP(R101:AF101,增益!$A:$A,增益!$N:$N,0))</f>
        <v>0</v>
      </c>
      <c r="BE101">
        <f t="shared" si="49"/>
        <v>0</v>
      </c>
      <c r="BF101">
        <f t="shared" si="50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-0.24</v>
      </c>
      <c r="BH101" s="30" cm="1">
        <f t="array" ref="BH101">$G$14+VLOOKUP($Q101,武学奇术!$A:$ZZ,16,FALSE)+SUM(_xlfn.XLOOKUP(R101:AF101,增益!$A:$A,增益!$P:$P,0))</f>
        <v>0</v>
      </c>
      <c r="BI101" s="23">
        <f>MIN(IF(VLOOKUP($Q101,武学奇术!$A:$ZZ,23,FALSE)=1,100%,$B$8),100%)</f>
        <v>0.8626</v>
      </c>
      <c r="BJ101" s="23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0.8697</v>
      </c>
      <c r="BK101" s="23" cm="1">
        <f t="array" ref="BK101">1+$B$13+VLOOKUP($Q101,武学奇术!$A:$ZZ,18,FALSE)+SUM(_xlfn.XLOOKUP(R101:AF101,增益!$A:$A,增益!$R:$R,0))</f>
        <v>1.54</v>
      </c>
      <c r="BL101" s="23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0.0986</v>
      </c>
      <c r="BM101" s="23" cm="1">
        <f t="array" ref="BM101">1+$B$14+VLOOKUP($Q101,武学奇术!$A:$ZZ,20,FALSE)+SUM(_xlfn.XLOOKUP(R101:AF101,增益!$A:$A,增益!$T:$T,0))</f>
        <v>1.35</v>
      </c>
      <c r="BN101" s="23">
        <f t="shared" si="22"/>
        <v>0.75020322</v>
      </c>
      <c r="BO101" s="23">
        <f t="shared" si="32"/>
        <v>0.0273444200000001</v>
      </c>
      <c r="BP101" s="23">
        <f>IF(VLOOKUP($Q101,武学奇术!$A:$ZZ,22,FALSE)=1,0,(1-$BI101))*(1-$BL101)</f>
        <v>0.12385236</v>
      </c>
      <c r="BQ101" s="23" cm="1">
        <f t="array" ref="BQ101">SUM(_xlfn.XLOOKUP(R101:AF101,增益!$A:$A,增益!$W:$W,0))</f>
        <v>0.13</v>
      </c>
    </row>
  </sheetData>
  <mergeCells count="19">
    <mergeCell ref="H1:I1"/>
    <mergeCell ref="C8:G8"/>
    <mergeCell ref="C15:D15"/>
    <mergeCell ref="C20:D20"/>
    <mergeCell ref="C21:D21"/>
    <mergeCell ref="A23:A24"/>
    <mergeCell ref="C30:C36"/>
    <mergeCell ref="C41:C44"/>
    <mergeCell ref="C74:C77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conditionalFormatting sqref="F17">
    <cfRule type="cellIs" dxfId="0" priority="3" operator="lessThan">
      <formula>0.7</formula>
    </cfRule>
    <cfRule type="cellIs" dxfId="1" priority="1" operator="greaterThanOrEqual">
      <formula>0.7</formula>
    </cfRule>
  </conditionalFormatting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C21:D21">
      <formula1>"易水歌,征人归"</formula1>
    </dataValidation>
    <dataValidation type="list" allowBlank="1" showInputMessage="1" showErrorMessage="1" sqref="D16:D18 F15:F16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I16" sqref="I16:J17"/>
    </sheetView>
  </sheetViews>
  <sheetFormatPr defaultColWidth="9" defaultRowHeight="13.5"/>
  <cols>
    <col min="1" max="1" width="12.875" customWidth="1"/>
    <col min="11" max="15" width="12.625" style="24" customWidth="1"/>
    <col min="17" max="17" width="24.625" style="29" customWidth="1"/>
    <col min="18" max="32" width="9" style="29"/>
    <col min="34" max="34" width="9" style="23"/>
    <col min="35" max="35" width="9" style="24"/>
    <col min="36" max="36" width="9" style="23"/>
    <col min="37" max="37" width="9" style="24"/>
    <col min="38" max="39" width="9" style="23"/>
    <col min="42" max="44" width="9" style="30"/>
    <col min="47" max="48" width="9" style="30"/>
    <col min="61" max="65" width="9" style="23"/>
    <col min="66" max="67" width="9.00833333333333" style="23" customWidth="1"/>
    <col min="68" max="69" width="9" style="23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3" t="s">
        <v>30</v>
      </c>
      <c r="AI1" s="24" t="s">
        <v>31</v>
      </c>
      <c r="AJ1" s="23" t="s">
        <v>32</v>
      </c>
      <c r="AK1" s="24" t="s">
        <v>33</v>
      </c>
      <c r="AL1" s="23" t="s">
        <v>34</v>
      </c>
      <c r="AM1" s="23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3" t="s">
        <v>57</v>
      </c>
      <c r="BJ1" s="23" t="s">
        <v>58</v>
      </c>
      <c r="BK1" s="23" t="s">
        <v>59</v>
      </c>
      <c r="BL1" s="23" t="s">
        <v>60</v>
      </c>
      <c r="BM1" s="23" t="s">
        <v>61</v>
      </c>
      <c r="BN1" s="23" t="s">
        <v>62</v>
      </c>
      <c r="BO1" s="23" t="s">
        <v>63</v>
      </c>
      <c r="BP1" s="23" t="s">
        <v>64</v>
      </c>
      <c r="BQ1" s="23" t="s">
        <v>65</v>
      </c>
    </row>
    <row r="2" spans="1:69">
      <c r="A2" s="39" t="s">
        <v>66</v>
      </c>
      <c r="B2" s="29">
        <v>3417.8</v>
      </c>
      <c r="C2" s="29">
        <v>2547.3</v>
      </c>
      <c r="D2" s="29">
        <f>58.4+IF($C$21="征人归",5.1,0)</f>
        <v>58.4</v>
      </c>
      <c r="E2" s="40"/>
      <c r="F2" s="41" t="s">
        <v>67</v>
      </c>
      <c r="G2" s="42" t="s">
        <v>68</v>
      </c>
      <c r="H2" s="43" t="s">
        <v>69</v>
      </c>
      <c r="I2" s="11">
        <f>559*IF(D17="√",0.94,1)</f>
        <v>559</v>
      </c>
      <c r="K2" s="36">
        <f t="shared" ref="K2:K65" si="0">($L2*$BN2+$M2*$BL2+$N2*$BO2+$O2*$BP2)</f>
        <v>20573.5842893424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22525.7075942384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19590.1027059519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12871.8329109933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11232.4786323927</v>
      </c>
      <c r="P2" s="37">
        <v>1</v>
      </c>
      <c r="Q2" s="38" t="s">
        <v>70</v>
      </c>
      <c r="R2" s="38" t="s">
        <v>71</v>
      </c>
      <c r="S2" s="38" t="s">
        <v>72</v>
      </c>
      <c r="T2" s="38" t="s">
        <v>72</v>
      </c>
      <c r="U2" s="38" t="s">
        <v>72</v>
      </c>
      <c r="V2" s="38" t="s">
        <v>72</v>
      </c>
      <c r="W2" s="38" t="s">
        <v>73</v>
      </c>
      <c r="X2" s="38" t="s">
        <v>72</v>
      </c>
      <c r="Y2" s="38" t="s">
        <v>72</v>
      </c>
      <c r="Z2" s="38" t="s">
        <v>72</v>
      </c>
      <c r="AA2" s="38" t="s">
        <v>72</v>
      </c>
      <c r="AB2" s="38" t="s">
        <v>72</v>
      </c>
      <c r="AC2" s="38" t="s">
        <v>72</v>
      </c>
      <c r="AD2" s="38" t="s">
        <v>72</v>
      </c>
      <c r="AE2" s="38" t="s">
        <v>72</v>
      </c>
      <c r="AF2" s="38" t="s">
        <v>74</v>
      </c>
      <c r="AG2" t="str">
        <f>VLOOKUP($Q2,武学奇术!$A:$ZZ,25,FALSE)</f>
        <v>群体奇术</v>
      </c>
      <c r="AH2" s="23">
        <f>VLOOKUP($Q2,武学奇术!$A:$ZZ,26,FALSE)</f>
        <v>1.4902</v>
      </c>
      <c r="AI2" s="24">
        <f>VLOOKUP($Q2,武学奇术!$A:$ZZ,27,FALSE)*(1+IF(OR($AG2=$F$4,$AG2=$F$5),$B$22,0))</f>
        <v>358</v>
      </c>
      <c r="AJ2" s="23">
        <f>VLOOKUP($Q2,武学奇术!$A:$ZZ,28,FALSE)</f>
        <v>2.2353</v>
      </c>
      <c r="AK2" s="24">
        <f>VLOOKUP($Q2,武学奇术!$A:$ZZ,29,FALSE)*(1+IF(OR($AG2=$F$4,$AG2=$F$5),$B$22,0))</f>
        <v>0</v>
      </c>
      <c r="AL2" s="23" cm="1">
        <f t="array" ref="AL2">$G$3+VLOOKUP($AG2,$F$4:$G$7,2,FALSE)+VLOOKUP($Q2,武学奇术!$A:$ZZ,2,FALSE)+SUM(_xlfn.XLOOKUP($R2:$AF2,增益!$A:$A,增益!$B:$B,0))</f>
        <v>0.413</v>
      </c>
      <c r="AM2" s="23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3018.8</v>
      </c>
      <c r="AO2" cm="1">
        <f t="array" ref="AO2">$E$10*(1+$AM2)+VLOOKUP($Q2,武学奇术!$A:$ZZ,4,FALSE)+SUM(_xlfn.XLOOKUP($R2:$AF2,增益!$A:$A,增益!$D:$D,0))-$I$2</f>
        <v>3018.8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0.262</v>
      </c>
      <c r="AQ2" s="30" cm="1">
        <f t="array" ref="AQ2">$G$10+VLOOKUP($Q2,武学奇术!$A:$ZZ,7,FALSE)+SUM(_xlfn.XLOOKUP(R2:AF2,增益!$A:$A,增益!$G:$G,0))</f>
        <v>0</v>
      </c>
      <c r="AR2" s="23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-0.24</v>
      </c>
      <c r="AV2" s="30" cm="1">
        <f t="array" ref="AV2">$G$11+VLOOKUP($Q2,武学奇术!$A:$ZZ,10,FALSE)+SUM(_xlfn.XLOOKUP(R2:AF2,增益!$A:$A,增益!$J:$J,0))</f>
        <v>0</v>
      </c>
      <c r="AW2">
        <f t="shared" ref="AW2:AW65" si="3">$D$12*(1+$AR2)</f>
        <v>634.5</v>
      </c>
      <c r="AX2">
        <f t="shared" ref="AX2:AX65" si="4">$E$12*(1+$AR2)</f>
        <v>1443.3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0.118</v>
      </c>
      <c r="AZ2" s="30" cm="1">
        <f t="array" ref="AZ2">$G$12+VLOOKUP($Q2,武学奇术!$A:$ZZ,12,FALSE)+SUM(_xlfn.XLOOKUP(R2:AF2,增益!$A:$A,增益!$L:$L,0))</f>
        <v>0.148</v>
      </c>
      <c r="BA2">
        <f t="shared" ref="BA2:BA65" si="5">$D$13*(1+$AR2)</f>
        <v>0</v>
      </c>
      <c r="BB2">
        <f t="shared" ref="BB2:BB65" si="6">$E$13*(1+$AR2)</f>
        <v>0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-0.24</v>
      </c>
      <c r="BD2" s="30" cm="1">
        <f t="array" ref="BD2">$G$13+VLOOKUP($Q2,武学奇术!$A:$ZZ,14,FALSE)+SUM(_xlfn.XLOOKUP(R2:AF2,增益!$A:$A,增益!$N:$N,0))</f>
        <v>0</v>
      </c>
      <c r="BE2">
        <f t="shared" ref="BE2:BE65" si="7">$D$14*(1+$AR2)</f>
        <v>0</v>
      </c>
      <c r="BF2">
        <f t="shared" ref="BF2:BF65" si="8"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-0.24</v>
      </c>
      <c r="BH2" s="30" cm="1">
        <f t="array" ref="BH2">$G$14+VLOOKUP($Q2,武学奇术!$A:$ZZ,16,FALSE)+SUM(_xlfn.XLOOKUP(R2:AF2,增益!$A:$A,增益!$P:$P,0))</f>
        <v>0</v>
      </c>
      <c r="BI2" s="23">
        <f>MIN(IF(VLOOKUP($Q2,武学奇术!$A:$ZZ,23,FALSE)=1,100%,$B$8),100%)</f>
        <v>0.8626</v>
      </c>
      <c r="BJ2" s="23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0.8697</v>
      </c>
      <c r="BK2" s="23" cm="1">
        <f t="array" ref="BK2">1+$B$13+VLOOKUP($Q2,武学奇术!$A:$ZZ,18,FALSE)+SUM(_xlfn.XLOOKUP(R2:AF2,增益!$A:$A,增益!$R:$R,0))</f>
        <v>1.75</v>
      </c>
      <c r="BL2" s="23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0.0986</v>
      </c>
      <c r="BM2" s="23" cm="1">
        <f t="array" ref="BM2">1+$B$14+VLOOKUP($Q2,武学奇术!$A:$ZZ,20,FALSE)+SUM(_xlfn.XLOOKUP(R2:AF2,增益!$A:$A,增益!$T:$T,0))</f>
        <v>1.35</v>
      </c>
      <c r="BN2" s="23">
        <f t="shared" ref="BN2:BN65" si="9">MIN((1-BL2)*BI2,BI2*BJ2)</f>
        <v>0.75020322</v>
      </c>
      <c r="BO2" s="23">
        <f t="shared" ref="BO2:BO65" si="10">1-BL2-BN2-BP2</f>
        <v>0.0273444200000001</v>
      </c>
      <c r="BP2" s="23">
        <f>IF(VLOOKUP($Q2,武学奇术!$A:$ZZ,22,FALSE)=1,0,(1-$BI2))*(1-$BL2)</f>
        <v>0.12385236</v>
      </c>
      <c r="BQ2" s="23" cm="1">
        <f t="array" ref="BQ2">SUM(_xlfn.XLOOKUP(R2:AF2,增益!$A:$A,增益!$W:$W,0))</f>
        <v>0</v>
      </c>
    </row>
    <row r="3" spans="1:69">
      <c r="A3" s="44" t="s">
        <v>75</v>
      </c>
      <c r="B3" s="45"/>
      <c r="C3" s="45"/>
      <c r="D3" s="45"/>
      <c r="E3" s="46"/>
      <c r="F3" s="43" t="s">
        <v>34</v>
      </c>
      <c r="G3" s="47">
        <f>B16+1.5%+15%+IF(G2="断岳",5%,0)+IF($D$16="√",8%,0)+IF($C$21="征人归",8%,0)</f>
        <v>0.303</v>
      </c>
      <c r="H3" s="43" t="s">
        <v>76</v>
      </c>
      <c r="I3" s="11">
        <f>20-IF(D17="√",18,0)</f>
        <v>20</v>
      </c>
      <c r="K3" s="36">
        <f t="shared" si="0"/>
        <v>26111.2983742085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28867.2666630776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23789.2453487632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15603.9279259879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13586.1926306696</v>
      </c>
      <c r="P3" s="37">
        <v>1</v>
      </c>
      <c r="Q3" s="38" t="s">
        <v>70</v>
      </c>
      <c r="R3" s="38" t="s">
        <v>77</v>
      </c>
      <c r="S3" s="38" t="s">
        <v>78</v>
      </c>
      <c r="T3" s="38" t="s">
        <v>79</v>
      </c>
      <c r="U3" s="38" t="s">
        <v>80</v>
      </c>
      <c r="V3" s="38" t="s">
        <v>72</v>
      </c>
      <c r="W3" s="38" t="s">
        <v>73</v>
      </c>
      <c r="X3" s="38" t="s">
        <v>72</v>
      </c>
      <c r="Y3" s="38" t="s">
        <v>72</v>
      </c>
      <c r="Z3" s="38" t="s">
        <v>72</v>
      </c>
      <c r="AA3" s="38" t="s">
        <v>72</v>
      </c>
      <c r="AB3" s="38" t="s">
        <v>72</v>
      </c>
      <c r="AC3" s="38" t="s">
        <v>72</v>
      </c>
      <c r="AD3" s="38" t="s">
        <v>72</v>
      </c>
      <c r="AE3" s="38" t="s">
        <v>72</v>
      </c>
      <c r="AF3" s="38" t="s">
        <v>74</v>
      </c>
      <c r="AG3" t="str">
        <f>VLOOKUP($Q3,武学奇术!$A:$ZZ,25,FALSE)</f>
        <v>群体奇术</v>
      </c>
      <c r="AH3" s="23">
        <f>VLOOKUP($Q3,武学奇术!$A:$ZZ,26,FALSE)</f>
        <v>1.4902</v>
      </c>
      <c r="AI3" s="24">
        <f>VLOOKUP($Q3,武学奇术!$A:$ZZ,27,FALSE)*(1+IF(OR($AG3=$F$4,$AG3=$F$5),$B$22,0))</f>
        <v>358</v>
      </c>
      <c r="AJ3" s="23">
        <f>VLOOKUP($Q3,武学奇术!$A:$ZZ,28,FALSE)</f>
        <v>2.2353</v>
      </c>
      <c r="AK3" s="24">
        <f>VLOOKUP($Q3,武学奇术!$A:$ZZ,29,FALSE)*(1+IF(OR($AG3=$F$4,$AG3=$F$5),$B$22,0))</f>
        <v>0</v>
      </c>
      <c r="AL3" s="23" cm="1">
        <f t="array" ref="AL3">$G$3+IFERROR(VLOOKUP($AG3,$F$4:$G$7,2,FALSE),0)+VLOOKUP($Q3,武学奇术!$A:$ZZ,2,FALSE)+SUM(_xlfn.XLOOKUP($R3:$AF3,增益!$A:$A,增益!$B:$B,0))</f>
        <v>0.623</v>
      </c>
      <c r="AM3" s="23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3018.8</v>
      </c>
      <c r="AO3" cm="1">
        <f t="array" ref="AO3">$E$10*(1+$AM3)+VLOOKUP($Q3,武学奇术!$A:$ZZ,4,FALSE)+SUM(_xlfn.XLOOKUP($R3:$AF3,增益!$A:$A,增益!$D:$D,0))-$I$2</f>
        <v>3018.8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0.322</v>
      </c>
      <c r="AQ3" s="30" cm="1">
        <f t="array" ref="AQ3">$G$10+VLOOKUP($Q3,武学奇术!$A:$ZZ,7,FALSE)+SUM(_xlfn.XLOOKUP(R3:AF3,增益!$A:$A,增益!$G:$G,0))</f>
        <v>0</v>
      </c>
      <c r="AR3" s="23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-0.08</v>
      </c>
      <c r="AV3" s="30" cm="1">
        <f t="array" ref="AV3">$G$11+VLOOKUP($Q3,武学奇术!$A:$ZZ,10,FALSE)+SUM(_xlfn.XLOOKUP(R3:AF3,增益!$A:$A,增益!$J:$J,0))</f>
        <v>0</v>
      </c>
      <c r="AW3">
        <f t="shared" si="3"/>
        <v>634.5</v>
      </c>
      <c r="AX3">
        <f t="shared" si="4"/>
        <v>1443.3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0.198</v>
      </c>
      <c r="AZ3" s="30" cm="1">
        <f t="array" ref="AZ3">$G$12+VLOOKUP($Q3,武学奇术!$A:$ZZ,12,FALSE)+SUM(_xlfn.XLOOKUP(R3:AF3,增益!$A:$A,增益!$L:$L,0))</f>
        <v>0.148</v>
      </c>
      <c r="BA3">
        <f t="shared" si="5"/>
        <v>0</v>
      </c>
      <c r="BB3">
        <f t="shared" si="6"/>
        <v>0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-0.08</v>
      </c>
      <c r="BD3" s="30" cm="1">
        <f t="array" ref="BD3">$G$13+VLOOKUP($Q3,武学奇术!$A:$ZZ,14,FALSE)+SUM(_xlfn.XLOOKUP(R3:AF3,增益!$A:$A,增益!$N:$N,0))</f>
        <v>0</v>
      </c>
      <c r="BE3">
        <f t="shared" si="7"/>
        <v>0</v>
      </c>
      <c r="BF3">
        <f t="shared" si="8"/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-0.08</v>
      </c>
      <c r="BH3" s="30" cm="1">
        <f t="array" ref="BH3">$G$14+VLOOKUP($Q3,武学奇术!$A:$ZZ,16,FALSE)+SUM(_xlfn.XLOOKUP(R3:AF3,增益!$A:$A,增益!$P:$P,0))</f>
        <v>0</v>
      </c>
      <c r="BI3" s="23">
        <f>MIN(IF(VLOOKUP($Q3,武学奇术!$A:$ZZ,23,FALSE)=1,100%,$B$8),100%)</f>
        <v>0.8626</v>
      </c>
      <c r="BJ3" s="23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0.8697</v>
      </c>
      <c r="BK3" s="23" cm="1">
        <f t="array" ref="BK3">1+$B$13+VLOOKUP($Q3,武学奇术!$A:$ZZ,18,FALSE)+SUM(_xlfn.XLOOKUP(R3:AF3,增益!$A:$A,增益!$R:$R,0))</f>
        <v>1.85</v>
      </c>
      <c r="BL3" s="23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0.0986</v>
      </c>
      <c r="BM3" s="23" cm="1">
        <f t="array" ref="BM3">1+$B$14+VLOOKUP($Q3,武学奇术!$A:$ZZ,20,FALSE)+SUM(_xlfn.XLOOKUP(R3:AF3,增益!$A:$A,增益!$T:$T,0))</f>
        <v>1.35</v>
      </c>
      <c r="BN3" s="23">
        <f t="shared" si="9"/>
        <v>0.75020322</v>
      </c>
      <c r="BO3" s="23">
        <f t="shared" si="10"/>
        <v>0.0273444200000001</v>
      </c>
      <c r="BP3" s="23">
        <f>IF(VLOOKUP($Q3,武学奇术!$A:$ZZ,22,FALSE)=1,0,(1-$BI3))*(1-$BL3)</f>
        <v>0.12385236</v>
      </c>
      <c r="BQ3" s="23" cm="1">
        <f t="array" ref="BQ3">SUM(_xlfn.XLOOKUP(R3:AF3,增益!$A:$A,增益!$W:$W,0))</f>
        <v>0</v>
      </c>
    </row>
    <row r="4" ht="14.25" spans="1:69">
      <c r="A4" s="48" t="s">
        <v>5</v>
      </c>
      <c r="B4" s="49">
        <v>508.7</v>
      </c>
      <c r="C4" s="49">
        <v>1257.7</v>
      </c>
      <c r="D4" s="49">
        <v>35.6</v>
      </c>
      <c r="E4" s="50">
        <v>0.148</v>
      </c>
      <c r="F4" s="43" t="s">
        <v>81</v>
      </c>
      <c r="G4" s="47">
        <f>B15+B17</f>
        <v>0.17</v>
      </c>
      <c r="H4" s="51" t="s">
        <v>82</v>
      </c>
      <c r="I4" s="14">
        <v>24</v>
      </c>
      <c r="K4" s="36">
        <f t="shared" si="0"/>
        <v>26404.7996607588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29191.8510805011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24042.8876284243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15779.378962433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13749.2115334406</v>
      </c>
      <c r="P4" s="37">
        <v>1</v>
      </c>
      <c r="Q4" s="38" t="s">
        <v>70</v>
      </c>
      <c r="R4" s="38" t="s">
        <v>83</v>
      </c>
      <c r="S4" s="38" t="s">
        <v>78</v>
      </c>
      <c r="T4" s="38" t="s">
        <v>79</v>
      </c>
      <c r="U4" s="38" t="s">
        <v>80</v>
      </c>
      <c r="V4" s="38" t="s">
        <v>72</v>
      </c>
      <c r="W4" s="38" t="s">
        <v>73</v>
      </c>
      <c r="X4" s="38" t="s">
        <v>72</v>
      </c>
      <c r="Y4" s="38" t="s">
        <v>72</v>
      </c>
      <c r="Z4" s="38" t="s">
        <v>72</v>
      </c>
      <c r="AA4" s="38" t="s">
        <v>72</v>
      </c>
      <c r="AB4" s="38" t="s">
        <v>72</v>
      </c>
      <c r="AC4" s="38" t="s">
        <v>72</v>
      </c>
      <c r="AD4" s="38" t="s">
        <v>72</v>
      </c>
      <c r="AE4" s="38" t="s">
        <v>72</v>
      </c>
      <c r="AF4" s="38" t="s">
        <v>74</v>
      </c>
      <c r="AG4" t="str">
        <f>VLOOKUP($Q4,武学奇术!$A:$ZZ,25,FALSE)</f>
        <v>群体奇术</v>
      </c>
      <c r="AH4" s="23">
        <f>VLOOKUP($Q4,武学奇术!$A:$ZZ,26,FALSE)</f>
        <v>1.4902</v>
      </c>
      <c r="AI4" s="24">
        <f>VLOOKUP($Q4,武学奇术!$A:$ZZ,27,FALSE)*(1+IF(OR($AG4=$F$4,$AG4=$F$5),$B$22,0))</f>
        <v>358</v>
      </c>
      <c r="AJ4" s="23">
        <f>VLOOKUP($Q4,武学奇术!$A:$ZZ,28,FALSE)</f>
        <v>2.2353</v>
      </c>
      <c r="AK4" s="24">
        <f>VLOOKUP($Q4,武学奇术!$A:$ZZ,29,FALSE)*(1+IF(OR($AG4=$F$4,$AG4=$F$5),$B$22,0))</f>
        <v>0</v>
      </c>
      <c r="AL4" s="23" cm="1">
        <f t="array" ref="AL4">$G$3+IFERROR(VLOOKUP($AG4,$F$4:$G$7,2,FALSE),0)+VLOOKUP($Q4,武学奇术!$A:$ZZ,2,FALSE)+SUM(_xlfn.XLOOKUP($R4:$AF4,增益!$A:$A,增益!$B:$B,0))</f>
        <v>0.633</v>
      </c>
      <c r="AM4" s="23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3018.8</v>
      </c>
      <c r="AO4" cm="1">
        <f t="array" ref="AO4">$E$10*(1+$AM4)+VLOOKUP($Q4,武学奇术!$A:$ZZ,4,FALSE)+SUM(_xlfn.XLOOKUP($R4:$AF4,增益!$A:$A,增益!$D:$D,0))-$I$2</f>
        <v>3018.8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0.332</v>
      </c>
      <c r="AQ4" s="30" cm="1">
        <f t="array" ref="AQ4">$G$10+VLOOKUP($Q4,武学奇术!$A:$ZZ,7,FALSE)+SUM(_xlfn.XLOOKUP(R4:AF4,增益!$A:$A,增益!$G:$G,0))</f>
        <v>0</v>
      </c>
      <c r="AR4" s="23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-0.08</v>
      </c>
      <c r="AV4" s="30" cm="1">
        <f t="array" ref="AV4">$G$11+VLOOKUP($Q4,武学奇术!$A:$ZZ,10,FALSE)+SUM(_xlfn.XLOOKUP(R4:AF4,增益!$A:$A,增益!$J:$J,0))</f>
        <v>0</v>
      </c>
      <c r="AW4">
        <f t="shared" si="3"/>
        <v>634.5</v>
      </c>
      <c r="AX4">
        <f t="shared" si="4"/>
        <v>1443.3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0.198</v>
      </c>
      <c r="AZ4" s="30" cm="1">
        <f t="array" ref="AZ4">$G$12+VLOOKUP($Q4,武学奇术!$A:$ZZ,12,FALSE)+SUM(_xlfn.XLOOKUP(R4:AF4,增益!$A:$A,增益!$L:$L,0))</f>
        <v>0.148</v>
      </c>
      <c r="BA4">
        <f t="shared" si="5"/>
        <v>0</v>
      </c>
      <c r="BB4">
        <f t="shared" si="6"/>
        <v>0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-0.08</v>
      </c>
      <c r="BD4" s="30" cm="1">
        <f t="array" ref="BD4">$G$13+VLOOKUP($Q4,武学奇术!$A:$ZZ,14,FALSE)+SUM(_xlfn.XLOOKUP(R4:AF4,增益!$A:$A,增益!$N:$N,0))</f>
        <v>0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-0.08</v>
      </c>
      <c r="BH4" s="30" cm="1">
        <f t="array" ref="BH4">$G$14+VLOOKUP($Q4,武学奇术!$A:$ZZ,16,FALSE)+SUM(_xlfn.XLOOKUP(R4:AF4,增益!$A:$A,增益!$P:$P,0))</f>
        <v>0</v>
      </c>
      <c r="BI4" s="23">
        <f>MIN(IF(VLOOKUP($Q4,武学奇术!$A:$ZZ,23,FALSE)=1,100%,$B$8),100%)</f>
        <v>0.8626</v>
      </c>
      <c r="BJ4" s="23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0.8697</v>
      </c>
      <c r="BK4" s="23" cm="1">
        <f t="array" ref="BK4">1+$B$13+VLOOKUP($Q4,武学奇术!$A:$ZZ,18,FALSE)+SUM(_xlfn.XLOOKUP(R4:AF4,增益!$A:$A,增益!$R:$R,0))</f>
        <v>1.85</v>
      </c>
      <c r="BL4" s="23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0.0986</v>
      </c>
      <c r="BM4" s="23" cm="1">
        <f t="array" ref="BM4">1+$B$14+VLOOKUP($Q4,武学奇术!$A:$ZZ,20,FALSE)+SUM(_xlfn.XLOOKUP(R4:AF4,增益!$A:$A,增益!$T:$T,0))</f>
        <v>1.35</v>
      </c>
      <c r="BN4" s="23">
        <f t="shared" si="9"/>
        <v>0.75020322</v>
      </c>
      <c r="BO4" s="23">
        <f t="shared" si="10"/>
        <v>0.0273444200000001</v>
      </c>
      <c r="BP4" s="23">
        <f>IF(VLOOKUP($Q4,武学奇术!$A:$ZZ,22,FALSE)=1,0,(1-$BI4))*(1-$BL4)</f>
        <v>0.12385236</v>
      </c>
      <c r="BQ4" s="23" cm="1">
        <f t="array" ref="BQ4">SUM(_xlfn.XLOOKUP(R4:AF4,增益!$A:$A,增益!$W:$W,0))</f>
        <v>0</v>
      </c>
    </row>
    <row r="5" spans="1:69">
      <c r="A5" s="52" t="s">
        <v>84</v>
      </c>
      <c r="B5" s="53"/>
      <c r="C5" s="53"/>
      <c r="D5" s="53"/>
      <c r="E5" s="54"/>
      <c r="F5" s="43" t="s">
        <v>85</v>
      </c>
      <c r="G5" s="47">
        <f>B15+B18</f>
        <v>0.084</v>
      </c>
      <c r="K5" s="36">
        <f t="shared" si="0"/>
        <v>26699.9251771159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29518.2324457558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24297.8411943406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15955.8013220301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13913.2017593635</v>
      </c>
      <c r="P5" s="37">
        <v>1</v>
      </c>
      <c r="Q5" s="38" t="s">
        <v>70</v>
      </c>
      <c r="R5" s="38" t="s">
        <v>86</v>
      </c>
      <c r="S5" s="38" t="s">
        <v>78</v>
      </c>
      <c r="T5" s="38" t="s">
        <v>79</v>
      </c>
      <c r="U5" s="38" t="s">
        <v>80</v>
      </c>
      <c r="V5" s="38" t="s">
        <v>72</v>
      </c>
      <c r="W5" s="38" t="s">
        <v>73</v>
      </c>
      <c r="X5" s="38" t="s">
        <v>72</v>
      </c>
      <c r="Y5" s="38" t="s">
        <v>72</v>
      </c>
      <c r="Z5" s="38" t="s">
        <v>72</v>
      </c>
      <c r="AA5" s="38" t="s">
        <v>72</v>
      </c>
      <c r="AB5" s="38" t="s">
        <v>72</v>
      </c>
      <c r="AC5" s="38" t="s">
        <v>72</v>
      </c>
      <c r="AD5" s="38" t="s">
        <v>72</v>
      </c>
      <c r="AE5" s="38" t="s">
        <v>72</v>
      </c>
      <c r="AF5" s="38" t="s">
        <v>74</v>
      </c>
      <c r="AG5" t="str">
        <f>VLOOKUP($Q5,武学奇术!$A:$ZZ,25,FALSE)</f>
        <v>群体奇术</v>
      </c>
      <c r="AH5" s="23">
        <f>VLOOKUP($Q5,武学奇术!$A:$ZZ,26,FALSE)</f>
        <v>1.4902</v>
      </c>
      <c r="AI5" s="24">
        <f>VLOOKUP($Q5,武学奇术!$A:$ZZ,27,FALSE)*(1+IF(OR($AG5=$F$4,$AG5=$F$5),$B$22,0))</f>
        <v>358</v>
      </c>
      <c r="AJ5" s="23">
        <f>VLOOKUP($Q5,武学奇术!$A:$ZZ,28,FALSE)</f>
        <v>2.2353</v>
      </c>
      <c r="AK5" s="24">
        <f>VLOOKUP($Q5,武学奇术!$A:$ZZ,29,FALSE)*(1+IF(OR($AG5=$F$4,$AG5=$F$5),$B$22,0))</f>
        <v>0</v>
      </c>
      <c r="AL5" s="23" cm="1">
        <f t="array" ref="AL5">$G$3+IFERROR(VLOOKUP($AG5,$F$4:$G$7,2,FALSE),0)+VLOOKUP($Q5,武学奇术!$A:$ZZ,2,FALSE)+SUM(_xlfn.XLOOKUP($R5:$AF5,增益!$A:$A,增益!$B:$B,0))</f>
        <v>0.643</v>
      </c>
      <c r="AM5" s="23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3018.8</v>
      </c>
      <c r="AO5" cm="1">
        <f t="array" ref="AO5">$E$10*(1+$AM5)+VLOOKUP($Q5,武学奇术!$A:$ZZ,4,FALSE)+SUM(_xlfn.XLOOKUP($R5:$AF5,增益!$A:$A,增益!$D:$D,0))-$I$2</f>
        <v>3018.8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0.342</v>
      </c>
      <c r="AQ5" s="30" cm="1">
        <f t="array" ref="AQ5">$G$10+VLOOKUP($Q5,武学奇术!$A:$ZZ,7,FALSE)+SUM(_xlfn.XLOOKUP(R5:AF5,增益!$A:$A,增益!$G:$G,0))</f>
        <v>0</v>
      </c>
      <c r="AR5" s="23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-0.08</v>
      </c>
      <c r="AV5" s="30" cm="1">
        <f t="array" ref="AV5">$G$11+VLOOKUP($Q5,武学奇术!$A:$ZZ,10,FALSE)+SUM(_xlfn.XLOOKUP(R5:AF5,增益!$A:$A,增益!$J:$J,0))</f>
        <v>0</v>
      </c>
      <c r="AW5">
        <f t="shared" si="3"/>
        <v>634.5</v>
      </c>
      <c r="AX5">
        <f t="shared" si="4"/>
        <v>1443.3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0.198</v>
      </c>
      <c r="AZ5" s="30" cm="1">
        <f t="array" ref="AZ5">$G$12+VLOOKUP($Q5,武学奇术!$A:$ZZ,12,FALSE)+SUM(_xlfn.XLOOKUP(R5:AF5,增益!$A:$A,增益!$L:$L,0))</f>
        <v>0.148</v>
      </c>
      <c r="BA5">
        <f t="shared" si="5"/>
        <v>0</v>
      </c>
      <c r="BB5">
        <f t="shared" si="6"/>
        <v>0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-0.08</v>
      </c>
      <c r="BD5" s="30" cm="1">
        <f t="array" ref="BD5">$G$13+VLOOKUP($Q5,武学奇术!$A:$ZZ,14,FALSE)+SUM(_xlfn.XLOOKUP(R5:AF5,增益!$A:$A,增益!$N:$N,0))</f>
        <v>0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-0.08</v>
      </c>
      <c r="BH5" s="30" cm="1">
        <f t="array" ref="BH5">$G$14+VLOOKUP($Q5,武学奇术!$A:$ZZ,16,FALSE)+SUM(_xlfn.XLOOKUP(R5:AF5,增益!$A:$A,增益!$P:$P,0))</f>
        <v>0</v>
      </c>
      <c r="BI5" s="23">
        <f>MIN(IF(VLOOKUP($Q5,武学奇术!$A:$ZZ,23,FALSE)=1,100%,$B$8),100%)</f>
        <v>0.8626</v>
      </c>
      <c r="BJ5" s="23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0.8697</v>
      </c>
      <c r="BK5" s="23" cm="1">
        <f t="array" ref="BK5">1+$B$13+VLOOKUP($Q5,武学奇术!$A:$ZZ,18,FALSE)+SUM(_xlfn.XLOOKUP(R5:AF5,增益!$A:$A,增益!$R:$R,0))</f>
        <v>1.85</v>
      </c>
      <c r="BL5" s="23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0.0986</v>
      </c>
      <c r="BM5" s="23" cm="1">
        <f t="array" ref="BM5">1+$B$14+VLOOKUP($Q5,武学奇术!$A:$ZZ,20,FALSE)+SUM(_xlfn.XLOOKUP(R5:AF5,增益!$A:$A,增益!$T:$T,0))</f>
        <v>1.35</v>
      </c>
      <c r="BN5" s="23">
        <f t="shared" si="9"/>
        <v>0.75020322</v>
      </c>
      <c r="BO5" s="23">
        <f t="shared" si="10"/>
        <v>0.0273444200000001</v>
      </c>
      <c r="BP5" s="23">
        <f>IF(VLOOKUP($Q5,武学奇术!$A:$ZZ,22,FALSE)=1,0,(1-$BI5))*(1-$BL5)</f>
        <v>0.12385236</v>
      </c>
      <c r="BQ5" s="23" cm="1">
        <f t="array" ref="BQ5">SUM(_xlfn.XLOOKUP(R5:AF5,增益!$A:$A,增益!$W:$W,0))</f>
        <v>0</v>
      </c>
    </row>
    <row r="6" spans="1:69">
      <c r="A6" s="55" t="s">
        <v>87</v>
      </c>
      <c r="B6" s="56"/>
      <c r="C6" s="56"/>
      <c r="D6" s="56"/>
      <c r="E6" s="57"/>
      <c r="F6" s="43" t="s">
        <v>88</v>
      </c>
      <c r="G6" s="47">
        <f>B19</f>
        <v>0</v>
      </c>
      <c r="K6" s="36">
        <f t="shared" si="0"/>
        <v>30506.2426633062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33726.4441574911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27746.1398325586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18230.5103554006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15908.3245385355</v>
      </c>
      <c r="P6" s="37">
        <v>1</v>
      </c>
      <c r="Q6" s="38" t="s">
        <v>70</v>
      </c>
      <c r="R6" s="38" t="s">
        <v>89</v>
      </c>
      <c r="S6" s="38" t="s">
        <v>78</v>
      </c>
      <c r="T6" s="38" t="s">
        <v>79</v>
      </c>
      <c r="U6" s="38" t="s">
        <v>80</v>
      </c>
      <c r="V6" s="38" t="s">
        <v>72</v>
      </c>
      <c r="W6" s="38" t="s">
        <v>73</v>
      </c>
      <c r="X6" s="38" t="s">
        <v>72</v>
      </c>
      <c r="Y6" s="38" t="s">
        <v>72</v>
      </c>
      <c r="Z6" s="38" t="s">
        <v>72</v>
      </c>
      <c r="AA6" s="38" t="s">
        <v>72</v>
      </c>
      <c r="AB6" s="38" t="s">
        <v>72</v>
      </c>
      <c r="AC6" s="38" t="s">
        <v>72</v>
      </c>
      <c r="AD6" s="38" t="s">
        <v>72</v>
      </c>
      <c r="AE6" s="38" t="s">
        <v>90</v>
      </c>
      <c r="AF6" s="38" t="s">
        <v>74</v>
      </c>
      <c r="AG6" t="str">
        <f>VLOOKUP($Q6,武学奇术!$A:$ZZ,25,FALSE)</f>
        <v>群体奇术</v>
      </c>
      <c r="AH6" s="23">
        <f>VLOOKUP($Q6,武学奇术!$A:$ZZ,26,FALSE)</f>
        <v>1.4902</v>
      </c>
      <c r="AI6" s="24">
        <f>VLOOKUP($Q6,武学奇术!$A:$ZZ,27,FALSE)*(1+IF(OR($AG6=$F$4,$AG6=$F$5),$B$22,0))</f>
        <v>358</v>
      </c>
      <c r="AJ6" s="23">
        <f>VLOOKUP($Q6,武学奇术!$A:$ZZ,28,FALSE)</f>
        <v>2.2353</v>
      </c>
      <c r="AK6" s="24">
        <f>VLOOKUP($Q6,武学奇术!$A:$ZZ,29,FALSE)*(1+IF(OR($AG6=$F$4,$AG6=$F$5),$B$22,0))</f>
        <v>0</v>
      </c>
      <c r="AL6" s="23" cm="1">
        <f t="array" ref="AL6">$G$3+IFERROR(VLOOKUP($AG6,$F$4:$G$7,2,FALSE),0)+VLOOKUP($Q6,武学奇术!$A:$ZZ,2,FALSE)+SUM(_xlfn.XLOOKUP($R6:$AF6,增益!$A:$A,增益!$B:$B,0))</f>
        <v>0.653</v>
      </c>
      <c r="AM6" s="23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3018.8</v>
      </c>
      <c r="AO6" cm="1">
        <f t="array" ref="AO6">$E$10*(1+$AM6)+VLOOKUP($Q6,武学奇术!$A:$ZZ,4,FALSE)+SUM(_xlfn.XLOOKUP($R6:$AF6,增益!$A:$A,增益!$D:$D,0))-$I$2</f>
        <v>3018.8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0.352</v>
      </c>
      <c r="AQ6" s="30" cm="1">
        <f t="array" ref="AQ6">$G$10+VLOOKUP($Q6,武学奇术!$A:$ZZ,7,FALSE)+SUM(_xlfn.XLOOKUP(R6:AF6,增益!$A:$A,增益!$G:$G,0))</f>
        <v>0</v>
      </c>
      <c r="AR6" s="23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-0.08</v>
      </c>
      <c r="AV6" s="30" cm="1">
        <f t="array" ref="AV6">$G$11+VLOOKUP($Q6,武学奇术!$A:$ZZ,10,FALSE)+SUM(_xlfn.XLOOKUP(R6:AF6,增益!$A:$A,增益!$J:$J,0))</f>
        <v>0</v>
      </c>
      <c r="AW6">
        <f t="shared" si="3"/>
        <v>634.5</v>
      </c>
      <c r="AX6">
        <f t="shared" si="4"/>
        <v>1443.3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0.198</v>
      </c>
      <c r="AZ6" s="30" cm="1">
        <f t="array" ref="AZ6">$G$12+VLOOKUP($Q6,武学奇术!$A:$ZZ,12,FALSE)+SUM(_xlfn.XLOOKUP(R6:AF6,增益!$A:$A,增益!$L:$L,0))</f>
        <v>0.148</v>
      </c>
      <c r="BA6">
        <f t="shared" si="5"/>
        <v>0</v>
      </c>
      <c r="BB6">
        <f t="shared" si="6"/>
        <v>0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-0.08</v>
      </c>
      <c r="BD6" s="30" cm="1">
        <f t="array" ref="BD6">$G$13+VLOOKUP($Q6,武学奇术!$A:$ZZ,14,FALSE)+SUM(_xlfn.XLOOKUP(R6:AF6,增益!$A:$A,增益!$N:$N,0))</f>
        <v>0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-0.08</v>
      </c>
      <c r="BH6" s="30" cm="1">
        <f t="array" ref="BH6">$G$14+VLOOKUP($Q6,武学奇术!$A:$ZZ,16,FALSE)+SUM(_xlfn.XLOOKUP(R6:AF6,增益!$A:$A,增益!$P:$P,0))</f>
        <v>0</v>
      </c>
      <c r="BI6" s="23">
        <f>MIN(IF(VLOOKUP($Q6,武学奇术!$A:$ZZ,23,FALSE)=1,100%,$B$8),100%)</f>
        <v>0.8626</v>
      </c>
      <c r="BJ6" s="23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0.8697</v>
      </c>
      <c r="BK6" s="23" cm="1">
        <f t="array" ref="BK6">1+$B$13+VLOOKUP($Q6,武学奇术!$A:$ZZ,18,FALSE)+SUM(_xlfn.XLOOKUP(R6:AF6,增益!$A:$A,增益!$R:$R,0))</f>
        <v>1.85</v>
      </c>
      <c r="BL6" s="23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0.0986</v>
      </c>
      <c r="BM6" s="23" cm="1">
        <f t="array" ref="BM6">1+$B$14+VLOOKUP($Q6,武学奇术!$A:$ZZ,20,FALSE)+SUM(_xlfn.XLOOKUP(R6:AF6,增益!$A:$A,增益!$T:$T,0))</f>
        <v>1.35</v>
      </c>
      <c r="BN6" s="23">
        <f t="shared" si="9"/>
        <v>0.75020322</v>
      </c>
      <c r="BO6" s="23">
        <f t="shared" si="10"/>
        <v>0.0273444200000001</v>
      </c>
      <c r="BP6" s="23">
        <f>IF(VLOOKUP($Q6,武学奇术!$A:$ZZ,22,FALSE)=1,0,(1-$BI6))*(1-$BL6)</f>
        <v>0.12385236</v>
      </c>
      <c r="BQ6" s="23" cm="1">
        <f t="array" ref="BQ6">SUM(_xlfn.XLOOKUP(R6:AF6,增益!$A:$A,增益!$W:$W,0))</f>
        <v>0.13</v>
      </c>
    </row>
    <row r="7" ht="14.25" spans="1:69">
      <c r="A7" s="39" t="s">
        <v>91</v>
      </c>
      <c r="B7" s="58">
        <v>125.8</v>
      </c>
      <c r="C7" s="58">
        <v>185.6</v>
      </c>
      <c r="D7" s="59"/>
      <c r="E7" s="60"/>
      <c r="F7" s="51" t="s">
        <v>92</v>
      </c>
      <c r="G7" s="61">
        <f>B20</f>
        <v>0</v>
      </c>
      <c r="K7" s="36">
        <f t="shared" si="0"/>
        <v>59252.3257852235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64878.2828871318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55916.5748948072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37073.3045069324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32726.9239066003</v>
      </c>
      <c r="P7" s="37">
        <v>1</v>
      </c>
      <c r="Q7" s="38" t="s">
        <v>93</v>
      </c>
      <c r="R7" s="38" t="s">
        <v>71</v>
      </c>
      <c r="S7" s="38" t="s">
        <v>72</v>
      </c>
      <c r="T7" s="38" t="s">
        <v>72</v>
      </c>
      <c r="U7" s="38" t="s">
        <v>72</v>
      </c>
      <c r="V7" s="38" t="s">
        <v>72</v>
      </c>
      <c r="W7" s="38" t="s">
        <v>72</v>
      </c>
      <c r="X7" s="38" t="s">
        <v>72</v>
      </c>
      <c r="Y7" s="38" t="s">
        <v>72</v>
      </c>
      <c r="Z7" s="38" t="s">
        <v>72</v>
      </c>
      <c r="AA7" s="38" t="s">
        <v>72</v>
      </c>
      <c r="AB7" s="38" t="s">
        <v>72</v>
      </c>
      <c r="AC7" s="38" t="s">
        <v>72</v>
      </c>
      <c r="AD7" s="38" t="s">
        <v>72</v>
      </c>
      <c r="AE7" s="38" t="s">
        <v>72</v>
      </c>
      <c r="AF7" s="38" t="s">
        <v>74</v>
      </c>
      <c r="AG7" t="str">
        <f>VLOOKUP($Q7,武学奇术!$A:$ZZ,25,FALSE)</f>
        <v>横刀</v>
      </c>
      <c r="AH7" s="23">
        <f>VLOOKUP($Q7,武学奇术!$A:$ZZ,26,FALSE)</f>
        <v>3.7797</v>
      </c>
      <c r="AI7" s="24">
        <f>VLOOKUP($Q7,武学奇术!$A:$ZZ,27,FALSE)*(1+IF(OR($AG7=$F$4,$AG7=$F$5),$B$22,0))</f>
        <v>1358.5</v>
      </c>
      <c r="AJ7" s="23">
        <f>VLOOKUP($Q7,武学奇术!$A:$ZZ,28,FALSE)</f>
        <v>5.6696</v>
      </c>
      <c r="AK7" s="24">
        <f>VLOOKUP($Q7,武学奇术!$A:$ZZ,29,FALSE)*(1+IF(OR($AG7=$F$4,$AG7=$F$5),$B$22,0))</f>
        <v>741</v>
      </c>
      <c r="AL7" s="23" cm="1">
        <f t="array" ref="AL7">$G$3+IFERROR(VLOOKUP($AG7,$F$4:$G$7,2,FALSE),0)+VLOOKUP($Q7,武学奇术!$A:$ZZ,2,FALSE)+SUM(_xlfn.XLOOKUP($R7:$AF7,增益!$A:$A,增益!$B:$B,0))</f>
        <v>0.477</v>
      </c>
      <c r="AM7" s="23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3018.8</v>
      </c>
      <c r="AO7" cm="1">
        <f t="array" ref="AO7">$E$10*(1+$AM7)+VLOOKUP($Q7,武学奇术!$A:$ZZ,4,FALSE)+SUM(_xlfn.XLOOKUP($R7:$AF7,增益!$A:$A,增益!$D:$D,0))-$I$2</f>
        <v>3018.8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0.262</v>
      </c>
      <c r="AQ7" s="30" cm="1">
        <f t="array" ref="AQ7">$G$10+VLOOKUP($Q7,武学奇术!$A:$ZZ,7,FALSE)+SUM(_xlfn.XLOOKUP(R7:AF7,增益!$A:$A,增益!$G:$G,0))</f>
        <v>0</v>
      </c>
      <c r="AR7" s="23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-0.24</v>
      </c>
      <c r="AV7" s="30" cm="1">
        <f t="array" ref="AV7">$G$11+VLOOKUP($Q7,武学奇术!$A:$ZZ,10,FALSE)+SUM(_xlfn.XLOOKUP(R7:AF7,增益!$A:$A,增益!$J:$J,0))</f>
        <v>0</v>
      </c>
      <c r="AW7">
        <f t="shared" si="3"/>
        <v>634.5</v>
      </c>
      <c r="AX7">
        <f t="shared" si="4"/>
        <v>1443.3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0.118</v>
      </c>
      <c r="AZ7" s="30" cm="1">
        <f t="array" ref="AZ7">$G$12+VLOOKUP($Q7,武学奇术!$A:$ZZ,12,FALSE)+SUM(_xlfn.XLOOKUP(R7:AF7,增益!$A:$A,增益!$L:$L,0))</f>
        <v>0.148</v>
      </c>
      <c r="BA7">
        <f t="shared" si="5"/>
        <v>0</v>
      </c>
      <c r="BB7">
        <f t="shared" si="6"/>
        <v>0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-0.24</v>
      </c>
      <c r="BD7" s="30" cm="1">
        <f t="array" ref="BD7">$G$13+VLOOKUP($Q7,武学奇术!$A:$ZZ,14,FALSE)+SUM(_xlfn.XLOOKUP(R7:AF7,增益!$A:$A,增益!$N:$N,0))</f>
        <v>0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-0.24</v>
      </c>
      <c r="BH7" s="30" cm="1">
        <f t="array" ref="BH7">$G$14+VLOOKUP($Q7,武学奇术!$A:$ZZ,16,FALSE)+SUM(_xlfn.XLOOKUP(R7:AF7,增益!$A:$A,增益!$P:$P,0))</f>
        <v>0</v>
      </c>
      <c r="BI7" s="23">
        <f>MIN(IF(VLOOKUP($Q7,武学奇术!$A:$ZZ,23,FALSE)=1,100%,$B$8),100%)</f>
        <v>0.8626</v>
      </c>
      <c r="BJ7" s="23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0.8697</v>
      </c>
      <c r="BK7" s="23" cm="1">
        <f t="array" ref="BK7">1+$B$13+VLOOKUP($Q7,武学奇术!$A:$ZZ,18,FALSE)+SUM(_xlfn.XLOOKUP(R7:AF7,增益!$A:$A,增益!$R:$R,0))</f>
        <v>1.75</v>
      </c>
      <c r="BL7" s="23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0.0986</v>
      </c>
      <c r="BM7" s="23" cm="1">
        <f t="array" ref="BM7">1+$B$14+VLOOKUP($Q7,武学奇术!$A:$ZZ,20,FALSE)+SUM(_xlfn.XLOOKUP(R7:AF7,增益!$A:$A,增益!$T:$T,0))</f>
        <v>1.35</v>
      </c>
      <c r="BN7" s="23">
        <f t="shared" si="9"/>
        <v>0.75020322</v>
      </c>
      <c r="BO7" s="23">
        <f t="shared" si="10"/>
        <v>0.0273444200000001</v>
      </c>
      <c r="BP7" s="23">
        <f>IF(VLOOKUP($Q7,武学奇术!$A:$ZZ,22,FALSE)=1,0,(1-$BI7))*(1-$BL7)</f>
        <v>0.12385236</v>
      </c>
      <c r="BQ7" s="23" cm="1">
        <f t="array" ref="BQ7">SUM(_xlfn.XLOOKUP(R7:AF7,增益!$A:$A,增益!$W:$W,0))</f>
        <v>0</v>
      </c>
    </row>
    <row r="8" spans="1:69">
      <c r="A8" s="62" t="s">
        <v>94</v>
      </c>
      <c r="B8" s="63">
        <f>期望!B8</f>
        <v>0.8626</v>
      </c>
      <c r="C8" s="64" t="s">
        <v>95</v>
      </c>
      <c r="D8" s="64"/>
      <c r="E8" s="64"/>
      <c r="F8" s="64"/>
      <c r="G8" s="35"/>
      <c r="H8" s="65" t="s">
        <v>96</v>
      </c>
      <c r="I8" s="18">
        <v>95</v>
      </c>
      <c r="J8" s="66"/>
      <c r="K8" s="36">
        <f t="shared" si="0"/>
        <v>35696.1444261784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39085.4659732295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33686.0820843909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22334.5519847026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19716.45057356</v>
      </c>
      <c r="P8" s="37">
        <v>1</v>
      </c>
      <c r="Q8" s="38" t="s">
        <v>97</v>
      </c>
      <c r="R8" s="38" t="s">
        <v>71</v>
      </c>
      <c r="S8" s="38" t="s">
        <v>72</v>
      </c>
      <c r="T8" s="38" t="s">
        <v>72</v>
      </c>
      <c r="U8" s="38" t="s">
        <v>72</v>
      </c>
      <c r="V8" s="38" t="s">
        <v>72</v>
      </c>
      <c r="W8" s="38" t="s">
        <v>73</v>
      </c>
      <c r="X8" s="38" t="s">
        <v>72</v>
      </c>
      <c r="Y8" s="38" t="s">
        <v>72</v>
      </c>
      <c r="Z8" s="38" t="s">
        <v>72</v>
      </c>
      <c r="AA8" s="38" t="s">
        <v>68</v>
      </c>
      <c r="AB8" s="38" t="s">
        <v>72</v>
      </c>
      <c r="AC8" s="38" t="s">
        <v>72</v>
      </c>
      <c r="AD8" s="38" t="s">
        <v>72</v>
      </c>
      <c r="AE8" s="38" t="s">
        <v>72</v>
      </c>
      <c r="AF8" s="38" t="s">
        <v>74</v>
      </c>
      <c r="AG8" t="str">
        <f>VLOOKUP($Q8,武学奇术!$A:$ZZ,25,FALSE)</f>
        <v>横刀</v>
      </c>
      <c r="AH8" s="23">
        <f>VLOOKUP($Q8,武学奇术!$A:$ZZ,26,FALSE)</f>
        <v>2.1324</v>
      </c>
      <c r="AI8" s="24">
        <f>VLOOKUP($Q8,武学奇术!$A:$ZZ,27,FALSE)*(1+IF(OR($AG8=$F$4,$AG8=$F$5),$B$22,0))</f>
        <v>767</v>
      </c>
      <c r="AJ8" s="23">
        <f>VLOOKUP($Q8,武学奇术!$A:$ZZ,28,FALSE)</f>
        <v>3.1986</v>
      </c>
      <c r="AK8" s="24">
        <f>VLOOKUP($Q8,武学奇术!$A:$ZZ,29,FALSE)*(1+IF(OR($AG8=$F$4,$AG8=$F$5),$B$22,0))</f>
        <v>418.6</v>
      </c>
      <c r="AL8" s="23" cm="1">
        <f t="array" ref="AL8">$G$3+IFERROR(VLOOKUP($AG8,$F$4:$G$7,2,FALSE),0)+VLOOKUP($Q8,武学奇术!$A:$ZZ,2,FALSE)+SUM(_xlfn.XLOOKUP($R8:$AF8,增益!$A:$A,增益!$B:$B,0))</f>
        <v>0.577</v>
      </c>
      <c r="AM8" s="23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3018.8</v>
      </c>
      <c r="AO8" cm="1">
        <f t="array" ref="AO8">$E$10*(1+$AM8)+VLOOKUP($Q8,武学奇术!$A:$ZZ,4,FALSE)+SUM(_xlfn.XLOOKUP($R8:$AF8,增益!$A:$A,增益!$D:$D,0))-$I$2</f>
        <v>3018.8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0.262</v>
      </c>
      <c r="AQ8" s="30" cm="1">
        <f t="array" ref="AQ8">$G$10+VLOOKUP($Q8,武学奇术!$A:$ZZ,7,FALSE)+SUM(_xlfn.XLOOKUP(R8:AF8,增益!$A:$A,增益!$G:$G,0))</f>
        <v>0</v>
      </c>
      <c r="AR8" s="23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-0.24</v>
      </c>
      <c r="AV8" s="30" cm="1">
        <f t="array" ref="AV8">$G$11+VLOOKUP($Q8,武学奇术!$A:$ZZ,10,FALSE)+SUM(_xlfn.XLOOKUP(R8:AF8,增益!$A:$A,增益!$J:$J,0))</f>
        <v>0</v>
      </c>
      <c r="AW8">
        <f t="shared" si="3"/>
        <v>634.5</v>
      </c>
      <c r="AX8">
        <f t="shared" si="4"/>
        <v>1443.3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0.118</v>
      </c>
      <c r="AZ8" s="30" cm="1">
        <f t="array" ref="AZ8">$G$12+VLOOKUP($Q8,武学奇术!$A:$ZZ,12,FALSE)+SUM(_xlfn.XLOOKUP(R8:AF8,增益!$A:$A,增益!$L:$L,0))</f>
        <v>0.148</v>
      </c>
      <c r="BA8">
        <f t="shared" si="5"/>
        <v>0</v>
      </c>
      <c r="BB8">
        <f t="shared" si="6"/>
        <v>0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-0.24</v>
      </c>
      <c r="BD8" s="30" cm="1">
        <f t="array" ref="BD8">$G$13+VLOOKUP($Q8,武学奇术!$A:$ZZ,14,FALSE)+SUM(_xlfn.XLOOKUP(R8:AF8,增益!$A:$A,增益!$N:$N,0))</f>
        <v>0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-0.24</v>
      </c>
      <c r="BH8" s="30" cm="1">
        <f t="array" ref="BH8">$G$14+VLOOKUP($Q8,武学奇术!$A:$ZZ,16,FALSE)+SUM(_xlfn.XLOOKUP(R8:AF8,增益!$A:$A,增益!$P:$P,0))</f>
        <v>0</v>
      </c>
      <c r="BI8" s="23">
        <f>MIN(IF(VLOOKUP($Q8,武学奇术!$A:$ZZ,23,FALSE)=1,100%,$B$8),100%)</f>
        <v>0.8626</v>
      </c>
      <c r="BJ8" s="23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0.8697</v>
      </c>
      <c r="BK8" s="23" cm="1">
        <f t="array" ref="BK8">1+$B$13+VLOOKUP($Q8,武学奇术!$A:$ZZ,18,FALSE)+SUM(_xlfn.XLOOKUP(R8:AF8,增益!$A:$A,增益!$R:$R,0))</f>
        <v>1.75</v>
      </c>
      <c r="BL8" s="23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0.0986</v>
      </c>
      <c r="BM8" s="23" cm="1">
        <f t="array" ref="BM8">1+$B$14+VLOOKUP($Q8,武学奇术!$A:$ZZ,20,FALSE)+SUM(_xlfn.XLOOKUP(R8:AF8,增益!$A:$A,增益!$T:$T,0))</f>
        <v>1.35</v>
      </c>
      <c r="BN8" s="23">
        <f t="shared" si="9"/>
        <v>0.75020322</v>
      </c>
      <c r="BO8" s="23">
        <f t="shared" si="10"/>
        <v>0.0273444200000001</v>
      </c>
      <c r="BP8" s="23">
        <f>IF(VLOOKUP($Q8,武学奇术!$A:$ZZ,22,FALSE)=1,0,(1-$BI8))*(1-$BL8)</f>
        <v>0.12385236</v>
      </c>
      <c r="BQ8" s="23" cm="1">
        <f t="array" ref="BQ8">SUM(_xlfn.XLOOKUP(R8:AF8,增益!$A:$A,增益!$W:$W,0))</f>
        <v>0</v>
      </c>
    </row>
    <row r="9" ht="14.25" spans="1:69">
      <c r="A9" s="39" t="s">
        <v>98</v>
      </c>
      <c r="B9" s="67">
        <f>期望!B9</f>
        <v>0.7777</v>
      </c>
      <c r="C9" s="22"/>
      <c r="D9" t="s">
        <v>0</v>
      </c>
      <c r="E9" t="s">
        <v>1</v>
      </c>
      <c r="F9" s="37" t="s">
        <v>2</v>
      </c>
      <c r="G9" s="42" t="s">
        <v>3</v>
      </c>
      <c r="H9" s="68"/>
      <c r="I9" s="20"/>
      <c r="J9" s="69"/>
      <c r="K9" s="36">
        <f t="shared" si="0"/>
        <v>23926.5532415613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26194.9906478035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23025.2169609774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14968.5660844591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12881.4159015276</v>
      </c>
      <c r="P9" s="37">
        <v>1</v>
      </c>
      <c r="Q9" s="38" t="s">
        <v>99</v>
      </c>
      <c r="R9" s="38" t="s">
        <v>77</v>
      </c>
      <c r="S9" s="38" t="s">
        <v>78</v>
      </c>
      <c r="T9" s="38" t="s">
        <v>79</v>
      </c>
      <c r="U9" s="38" t="s">
        <v>72</v>
      </c>
      <c r="V9" s="38" t="s">
        <v>72</v>
      </c>
      <c r="W9" s="38" t="s">
        <v>73</v>
      </c>
      <c r="X9" s="38" t="s">
        <v>72</v>
      </c>
      <c r="Y9" s="38" t="s">
        <v>72</v>
      </c>
      <c r="Z9" s="38" t="s">
        <v>72</v>
      </c>
      <c r="AA9" s="38" t="s">
        <v>68</v>
      </c>
      <c r="AB9" s="38" t="s">
        <v>72</v>
      </c>
      <c r="AC9" s="38" t="s">
        <v>72</v>
      </c>
      <c r="AD9" s="38" t="s">
        <v>72</v>
      </c>
      <c r="AE9" s="38" t="s">
        <v>72</v>
      </c>
      <c r="AF9" s="38" t="s">
        <v>74</v>
      </c>
      <c r="AG9" t="str">
        <f>VLOOKUP($Q9,武学奇术!$A:$ZZ,25,FALSE)</f>
        <v>横刀</v>
      </c>
      <c r="AH9" s="23">
        <f>VLOOKUP($Q9,武学奇术!$A:$ZZ,26,FALSE)</f>
        <v>1.4</v>
      </c>
      <c r="AI9" s="24">
        <f>VLOOKUP($Q9,武学奇术!$A:$ZZ,27,FALSE)*(1+IF(OR($AG9=$F$4,$AG9=$F$5),$B$22,0))</f>
        <v>0</v>
      </c>
      <c r="AJ9" s="23">
        <f>VLOOKUP($Q9,武学奇术!$A:$ZZ,28,FALSE)</f>
        <v>2.1</v>
      </c>
      <c r="AK9" s="24">
        <f>VLOOKUP($Q9,武学奇术!$A:$ZZ,29,FALSE)*(1+IF(OR($AG9=$F$4,$AG9=$F$5),$B$22,0))</f>
        <v>0</v>
      </c>
      <c r="AL9" s="23" cm="1">
        <f t="array" ref="AL9">$G$3+IFERROR(VLOOKUP($AG9,$F$4:$G$7,2,FALSE),0)+VLOOKUP($Q9,武学奇术!$A:$ZZ,2,FALSE)+SUM(_xlfn.XLOOKUP($R9:$AF9,增益!$A:$A,增益!$B:$B,0))</f>
        <v>0.787</v>
      </c>
      <c r="AM9" s="23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3018.8</v>
      </c>
      <c r="AO9" cm="1">
        <f t="array" ref="AO9">$E$10*(1+$AM9)+VLOOKUP($Q9,武学奇术!$A:$ZZ,4,FALSE)+SUM(_xlfn.XLOOKUP($R9:$AF9,增益!$A:$A,增益!$D:$D,0))-$I$2</f>
        <v>3018.8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0.272</v>
      </c>
      <c r="AQ9" s="30" cm="1">
        <f t="array" ref="AQ9">$G$10+VLOOKUP($Q9,武学奇术!$A:$ZZ,7,FALSE)+SUM(_xlfn.XLOOKUP(R9:AF9,增益!$A:$A,增益!$G:$G,0))</f>
        <v>0</v>
      </c>
      <c r="AR9" s="23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-0.08</v>
      </c>
      <c r="AV9" s="30" cm="1">
        <f t="array" ref="AV9">$G$11+VLOOKUP($Q9,武学奇术!$A:$ZZ,10,FALSE)+SUM(_xlfn.XLOOKUP(R9:AF9,增益!$A:$A,增益!$J:$J,0))</f>
        <v>0</v>
      </c>
      <c r="AW9">
        <f t="shared" si="3"/>
        <v>634.5</v>
      </c>
      <c r="AX9">
        <f t="shared" si="4"/>
        <v>1443.3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0.198</v>
      </c>
      <c r="AZ9" s="30" cm="1">
        <f t="array" ref="AZ9">$G$12+VLOOKUP($Q9,武学奇术!$A:$ZZ,12,FALSE)+SUM(_xlfn.XLOOKUP(R9:AF9,增益!$A:$A,增益!$L:$L,0))</f>
        <v>0.148</v>
      </c>
      <c r="BA9">
        <f t="shared" si="5"/>
        <v>0</v>
      </c>
      <c r="BB9">
        <f t="shared" si="6"/>
        <v>0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-0.08</v>
      </c>
      <c r="BD9" s="30" cm="1">
        <f t="array" ref="BD9">$G$13+VLOOKUP($Q9,武学奇术!$A:$ZZ,14,FALSE)+SUM(_xlfn.XLOOKUP(R9:AF9,增益!$A:$A,增益!$N:$N,0))</f>
        <v>0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-0.08</v>
      </c>
      <c r="BH9" s="30" cm="1">
        <f t="array" ref="BH9">$G$14+VLOOKUP($Q9,武学奇术!$A:$ZZ,16,FALSE)+SUM(_xlfn.XLOOKUP(R9:AF9,增益!$A:$A,增益!$P:$P,0))</f>
        <v>0</v>
      </c>
      <c r="BI9" s="23">
        <f>MIN(IF(VLOOKUP($Q9,武学奇术!$A:$ZZ,23,FALSE)=1,100%,$B$8),100%)</f>
        <v>0.8626</v>
      </c>
      <c r="BJ9" s="23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0.8697</v>
      </c>
      <c r="BK9" s="23" cm="1">
        <f t="array" ref="BK9">1+$B$13+VLOOKUP($Q9,武学奇术!$A:$ZZ,18,FALSE)+SUM(_xlfn.XLOOKUP(R9:AF9,增益!$A:$A,增益!$R:$R,0))</f>
        <v>1.75</v>
      </c>
      <c r="BL9" s="23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0.0986</v>
      </c>
      <c r="BM9" s="23" cm="1">
        <f t="array" ref="BM9">1+$B$14+VLOOKUP($Q9,武学奇术!$A:$ZZ,20,FALSE)+SUM(_xlfn.XLOOKUP(R9:AF9,增益!$A:$A,增益!$T:$T,0))</f>
        <v>1.35</v>
      </c>
      <c r="BN9" s="23">
        <f t="shared" si="9"/>
        <v>0.75020322</v>
      </c>
      <c r="BO9" s="23">
        <f t="shared" si="10"/>
        <v>0.0273444200000001</v>
      </c>
      <c r="BP9" s="23">
        <f>IF(VLOOKUP($Q9,武学奇术!$A:$ZZ,22,FALSE)=1,0,(1-$BI9))*(1-$BL9)</f>
        <v>0.12385236</v>
      </c>
      <c r="BQ9" s="23" cm="1">
        <f t="array" ref="BQ9">SUM(_xlfn.XLOOKUP(R9:AF9,增益!$A:$A,增益!$W:$W,0))</f>
        <v>0</v>
      </c>
    </row>
    <row r="10" spans="1:69">
      <c r="A10" s="39" t="s">
        <v>100</v>
      </c>
      <c r="B10" s="67">
        <f>期望!B10</f>
        <v>0.0986</v>
      </c>
      <c r="C10" s="22" t="s">
        <v>66</v>
      </c>
      <c r="D10">
        <f>期望!D10</f>
        <v>3577.8</v>
      </c>
      <c r="E10">
        <f>期望!E10</f>
        <v>3577.8</v>
      </c>
      <c r="F10">
        <f>期望!F10</f>
        <v>58.4</v>
      </c>
      <c r="G10" s="47">
        <f>期望!G10</f>
        <v>0</v>
      </c>
      <c r="H10" s="65" t="s">
        <v>101</v>
      </c>
      <c r="I10" s="70">
        <f>SUM(K:K)</f>
        <v>10938460.0308661</v>
      </c>
      <c r="J10" s="71"/>
      <c r="K10" s="36">
        <f t="shared" si="0"/>
        <v>13072.1880405896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14477.8587042844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11866.477805121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7742.17043009863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6694.35730084836</v>
      </c>
      <c r="P10" s="37">
        <v>1</v>
      </c>
      <c r="Q10" s="38" t="s">
        <v>102</v>
      </c>
      <c r="R10" s="38" t="s">
        <v>77</v>
      </c>
      <c r="S10" s="38" t="s">
        <v>78</v>
      </c>
      <c r="T10" s="38" t="s">
        <v>79</v>
      </c>
      <c r="U10" s="38" t="s">
        <v>103</v>
      </c>
      <c r="V10" s="38" t="s">
        <v>72</v>
      </c>
      <c r="W10" s="38" t="s">
        <v>104</v>
      </c>
      <c r="X10" s="38" t="s">
        <v>72</v>
      </c>
      <c r="Y10" s="38" t="s">
        <v>72</v>
      </c>
      <c r="Z10" s="38" t="s">
        <v>72</v>
      </c>
      <c r="AA10" s="38" t="s">
        <v>68</v>
      </c>
      <c r="AB10" s="38" t="s">
        <v>72</v>
      </c>
      <c r="AC10" s="38" t="s">
        <v>72</v>
      </c>
      <c r="AD10" s="38" t="s">
        <v>72</v>
      </c>
      <c r="AE10" s="38" t="s">
        <v>72</v>
      </c>
      <c r="AF10" s="38" t="s">
        <v>74</v>
      </c>
      <c r="AG10" t="str">
        <f>VLOOKUP($Q10,武学奇术!$A:$ZZ,25,FALSE)</f>
        <v>陌刀</v>
      </c>
      <c r="AH10" s="23">
        <f>VLOOKUP($Q10,武学奇术!$A:$ZZ,26,FALSE)</f>
        <v>0.5</v>
      </c>
      <c r="AI10" s="24">
        <f>VLOOKUP($Q10,武学奇术!$A:$ZZ,27,FALSE)*(1+IF(OR($AG10=$F$4,$AG10=$F$5),$B$22,0))</f>
        <v>0</v>
      </c>
      <c r="AJ10" s="23">
        <f>VLOOKUP($Q10,武学奇术!$A:$ZZ,28,FALSE)</f>
        <v>0.75</v>
      </c>
      <c r="AK10" s="24">
        <f>VLOOKUP($Q10,武学奇术!$A:$ZZ,29,FALSE)*(1+IF(OR($AG10=$F$4,$AG10=$F$5),$B$22,0))</f>
        <v>0</v>
      </c>
      <c r="AL10" s="23" cm="1">
        <f t="array" ref="AL10">$G$3+IFERROR(VLOOKUP($AG10,$F$4:$G$7,2,FALSE),0)+VLOOKUP($Q10,武学奇术!$A:$ZZ,2,FALSE)+SUM(_xlfn.XLOOKUP($R10:$AF10,增益!$A:$A,增益!$B:$B,0))</f>
        <v>0.903</v>
      </c>
      <c r="AM10" s="23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3018.8</v>
      </c>
      <c r="AO10" cm="1">
        <f t="array" ref="AO10">$E$10*(1+$AM10)+VLOOKUP($Q10,武学奇术!$A:$ZZ,4,FALSE)+SUM(_xlfn.XLOOKUP($R10:$AF10,增益!$A:$A,增益!$D:$D,0))-$I$2</f>
        <v>3018.8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0.332</v>
      </c>
      <c r="AQ10" s="30" cm="1">
        <f t="array" ref="AQ10">$G$10+VLOOKUP($Q10,武学奇术!$A:$ZZ,7,FALSE)+SUM(_xlfn.XLOOKUP(R10:AF10,增益!$A:$A,增益!$G:$G,0))</f>
        <v>0</v>
      </c>
      <c r="AR10" s="23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-0.08</v>
      </c>
      <c r="AV10" s="30" cm="1">
        <f t="array" ref="AV10">$G$11+VLOOKUP($Q10,武学奇术!$A:$ZZ,10,FALSE)+SUM(_xlfn.XLOOKUP(R10:AF10,增益!$A:$A,增益!$J:$J,0))</f>
        <v>0</v>
      </c>
      <c r="AW10">
        <f t="shared" si="3"/>
        <v>634.5</v>
      </c>
      <c r="AX10">
        <f t="shared" si="4"/>
        <v>1443.3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0.198</v>
      </c>
      <c r="AZ10" s="30" cm="1">
        <f t="array" ref="AZ10">$G$12+VLOOKUP($Q10,武学奇术!$A:$ZZ,12,FALSE)+SUM(_xlfn.XLOOKUP(R10:AF10,增益!$A:$A,增益!$L:$L,0))</f>
        <v>0.148</v>
      </c>
      <c r="BA10">
        <f t="shared" si="5"/>
        <v>0</v>
      </c>
      <c r="BB10">
        <f t="shared" si="6"/>
        <v>0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-0.08</v>
      </c>
      <c r="BD10" s="30" cm="1">
        <f t="array" ref="BD10">$G$13+VLOOKUP($Q10,武学奇术!$A:$ZZ,14,FALSE)+SUM(_xlfn.XLOOKUP(R10:AF10,增益!$A:$A,增益!$N:$N,0))</f>
        <v>0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-0.08</v>
      </c>
      <c r="BH10" s="30" cm="1">
        <f t="array" ref="BH10">$G$14+VLOOKUP($Q10,武学奇术!$A:$ZZ,16,FALSE)+SUM(_xlfn.XLOOKUP(R10:AF10,增益!$A:$A,增益!$P:$P,0))</f>
        <v>0</v>
      </c>
      <c r="BI10" s="23">
        <f>MIN(IF(VLOOKUP($Q10,武学奇术!$A:$ZZ,23,FALSE)=1,100%,$B$8),100%)</f>
        <v>0.8626</v>
      </c>
      <c r="BJ10" s="23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0.8697</v>
      </c>
      <c r="BK10" s="23" cm="1">
        <f t="array" ref="BK10">1+$B$13+VLOOKUP($Q10,武学奇术!$A:$ZZ,18,FALSE)+SUM(_xlfn.XLOOKUP(R10:AF10,增益!$A:$A,增益!$R:$R,0))</f>
        <v>1.87</v>
      </c>
      <c r="BL10" s="23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0.0986</v>
      </c>
      <c r="BM10" s="23" cm="1">
        <f t="array" ref="BM10">1+$B$14+VLOOKUP($Q10,武学奇术!$A:$ZZ,20,FALSE)+SUM(_xlfn.XLOOKUP(R10:AF10,增益!$A:$A,增益!$T:$T,0))</f>
        <v>1.35</v>
      </c>
      <c r="BN10" s="23">
        <f t="shared" si="9"/>
        <v>0.75020322</v>
      </c>
      <c r="BO10" s="23">
        <f t="shared" si="10"/>
        <v>0.0273444200000001</v>
      </c>
      <c r="BP10" s="23">
        <f>IF(VLOOKUP($Q10,武学奇术!$A:$ZZ,22,FALSE)=1,0,(1-$BI10))*(1-$BL10)</f>
        <v>0.12385236</v>
      </c>
      <c r="BQ10" s="23" cm="1">
        <f t="array" ref="BQ10">SUM(_xlfn.XLOOKUP(R10:AF10,增益!$A:$A,增益!$W:$W,0))</f>
        <v>0</v>
      </c>
    </row>
    <row r="11" ht="14.25" spans="1:69">
      <c r="A11" s="39" t="s">
        <v>105</v>
      </c>
      <c r="B11" s="67">
        <f>期望!B11</f>
        <v>0.092</v>
      </c>
      <c r="C11" s="22" t="s">
        <v>75</v>
      </c>
      <c r="D11">
        <f>期望!D11</f>
        <v>0</v>
      </c>
      <c r="E11">
        <f>期望!E11</f>
        <v>0</v>
      </c>
      <c r="F11">
        <f>期望!F11</f>
        <v>0</v>
      </c>
      <c r="G11" s="47">
        <f>期望!G11</f>
        <v>0</v>
      </c>
      <c r="H11" s="68"/>
      <c r="I11" s="72"/>
      <c r="J11" s="73"/>
      <c r="K11" s="36">
        <f t="shared" si="0"/>
        <v>27453.7363451298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27453.7363451298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21359.6600492178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13935.9067741775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12049.843141527</v>
      </c>
      <c r="P11" s="37">
        <v>1</v>
      </c>
      <c r="Q11" s="38" t="s">
        <v>106</v>
      </c>
      <c r="R11" s="38" t="s">
        <v>77</v>
      </c>
      <c r="S11" s="38" t="s">
        <v>78</v>
      </c>
      <c r="T11" s="38" t="s">
        <v>79</v>
      </c>
      <c r="U11" s="38" t="s">
        <v>103</v>
      </c>
      <c r="V11" s="38" t="s">
        <v>107</v>
      </c>
      <c r="W11" s="38" t="s">
        <v>104</v>
      </c>
      <c r="X11" s="38" t="s">
        <v>72</v>
      </c>
      <c r="Y11" s="38" t="s">
        <v>72</v>
      </c>
      <c r="Z11" s="38" t="s">
        <v>72</v>
      </c>
      <c r="AA11" s="38" t="s">
        <v>68</v>
      </c>
      <c r="AB11" s="38" t="s">
        <v>72</v>
      </c>
      <c r="AC11" s="38" t="s">
        <v>72</v>
      </c>
      <c r="AD11" s="38" t="s">
        <v>72</v>
      </c>
      <c r="AE11" s="38" t="s">
        <v>72</v>
      </c>
      <c r="AF11" s="38" t="s">
        <v>74</v>
      </c>
      <c r="AG11" t="str">
        <f>VLOOKUP($Q11,武学奇术!$A:$ZZ,25,FALSE)</f>
        <v>陌刀</v>
      </c>
      <c r="AH11" s="23">
        <f>VLOOKUP($Q11,武学奇术!$A:$ZZ,26,FALSE)</f>
        <v>0.9</v>
      </c>
      <c r="AI11" s="24">
        <f>VLOOKUP($Q11,武学奇术!$A:$ZZ,27,FALSE)*(1+IF(OR($AG11=$F$4,$AG11=$F$5),$B$22,0))</f>
        <v>0</v>
      </c>
      <c r="AJ11" s="23">
        <f>VLOOKUP($Q11,武学奇术!$A:$ZZ,28,FALSE)</f>
        <v>1.35</v>
      </c>
      <c r="AK11" s="24">
        <f>VLOOKUP($Q11,武学奇术!$A:$ZZ,29,FALSE)*(1+IF(OR($AG11=$F$4,$AG11=$F$5),$B$22,0))</f>
        <v>0</v>
      </c>
      <c r="AL11" s="23" cm="1">
        <f t="array" ref="AL11">$G$3+IFERROR(VLOOKUP($AG11,$F$4:$G$7,2,FALSE),0)+VLOOKUP($Q11,武学奇术!$A:$ZZ,2,FALSE)+SUM(_xlfn.XLOOKUP($R11:$AF11,增益!$A:$A,增益!$B:$B,0))</f>
        <v>0.903</v>
      </c>
      <c r="AM11" s="23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3018.8</v>
      </c>
      <c r="AO11" cm="1">
        <f t="array" ref="AO11">$E$10*(1+$AM11)+VLOOKUP($Q11,武学奇术!$A:$ZZ,4,FALSE)+SUM(_xlfn.XLOOKUP($R11:$AF11,增益!$A:$A,增益!$D:$D,0))-$I$2</f>
        <v>3018.8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0.332</v>
      </c>
      <c r="AQ11" s="30" cm="1">
        <f t="array" ref="AQ11">$G$10+VLOOKUP($Q11,武学奇术!$A:$ZZ,7,FALSE)+SUM(_xlfn.XLOOKUP(R11:AF11,增益!$A:$A,增益!$G:$G,0))</f>
        <v>0</v>
      </c>
      <c r="AR11" s="23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-0.08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634.5</v>
      </c>
      <c r="AX11">
        <f t="shared" si="4"/>
        <v>1443.3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0.198</v>
      </c>
      <c r="AZ11" s="30" cm="1">
        <f t="array" ref="AZ11">$G$12+VLOOKUP($Q11,武学奇术!$A:$ZZ,12,FALSE)+SUM(_xlfn.XLOOKUP(R11:AF11,增益!$A:$A,增益!$L:$L,0))</f>
        <v>0.148</v>
      </c>
      <c r="BA11">
        <f t="shared" si="5"/>
        <v>0</v>
      </c>
      <c r="BB11">
        <f t="shared" si="6"/>
        <v>0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-0.08</v>
      </c>
      <c r="BD11" s="30" cm="1">
        <f t="array" ref="BD11">$G$13+VLOOKUP($Q11,武学奇术!$A:$ZZ,14,FALSE)+SUM(_xlfn.XLOOKUP(R11:AF11,增益!$A:$A,增益!$N:$N,0))</f>
        <v>0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-0.08</v>
      </c>
      <c r="BH11" s="30" cm="1">
        <f t="array" ref="BH11">$G$14+VLOOKUP($Q11,武学奇术!$A:$ZZ,16,FALSE)+SUM(_xlfn.XLOOKUP(R11:AF11,增益!$A:$A,增益!$P:$P,0))</f>
        <v>0</v>
      </c>
      <c r="BI11" s="23">
        <f>MIN(IF(VLOOKUP($Q11,武学奇术!$A:$ZZ,23,FALSE)=1,100%,$B$8),100%)</f>
        <v>1</v>
      </c>
      <c r="BJ11" s="23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1</v>
      </c>
      <c r="BK11" s="23" cm="1">
        <f t="array" ref="BK11">1+$B$13+VLOOKUP($Q11,武学奇术!$A:$ZZ,18,FALSE)+SUM(_xlfn.XLOOKUP(R11:AF11,增益!$A:$A,增益!$R:$R,0))</f>
        <v>1.97</v>
      </c>
      <c r="BL11" s="23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</v>
      </c>
      <c r="BM11" s="23" cm="1">
        <f t="array" ref="BM11">1+$B$14+VLOOKUP($Q11,武学奇术!$A:$ZZ,20,FALSE)+SUM(_xlfn.XLOOKUP(R11:AF11,增益!$A:$A,增益!$T:$T,0))</f>
        <v>1.35</v>
      </c>
      <c r="BN11" s="23">
        <f t="shared" si="9"/>
        <v>1</v>
      </c>
      <c r="BO11" s="23">
        <f t="shared" si="10"/>
        <v>0</v>
      </c>
      <c r="BP11" s="23">
        <f>IF(VLOOKUP($Q11,武学奇术!$A:$ZZ,22,FALSE)=1,0,(1-$BI11))*(1-$BL11)</f>
        <v>0</v>
      </c>
      <c r="BQ11" s="23" cm="1">
        <f t="array" ref="BQ11">SUM(_xlfn.XLOOKUP(R11:AF11,增益!$A:$A,增益!$W:$W,0))</f>
        <v>0</v>
      </c>
    </row>
    <row r="12" spans="1:69">
      <c r="A12" s="39" t="s">
        <v>108</v>
      </c>
      <c r="B12" s="67">
        <f>期望!B12</f>
        <v>0</v>
      </c>
      <c r="C12" s="22" t="s">
        <v>5</v>
      </c>
      <c r="D12">
        <f>期望!D12</f>
        <v>634.5</v>
      </c>
      <c r="E12">
        <f>期望!E12</f>
        <v>1443.3</v>
      </c>
      <c r="F12">
        <f>期望!F12</f>
        <v>35.6</v>
      </c>
      <c r="G12" s="47">
        <f>期望!G12</f>
        <v>0.148</v>
      </c>
      <c r="H12" s="65" t="s">
        <v>159</v>
      </c>
      <c r="I12" s="36">
        <f>I10/I8</f>
        <v>115141.684535433</v>
      </c>
      <c r="J12" s="74"/>
      <c r="K12" s="36">
        <f t="shared" si="0"/>
        <v>269706.840438971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269706.840438971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203348.701040205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134853.420219485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119078.173001782</v>
      </c>
      <c r="P12" s="37">
        <v>1</v>
      </c>
      <c r="Q12" s="38" t="s">
        <v>110</v>
      </c>
      <c r="R12" s="38" t="s">
        <v>83</v>
      </c>
      <c r="S12" s="38" t="s">
        <v>78</v>
      </c>
      <c r="T12" s="38" t="s">
        <v>79</v>
      </c>
      <c r="U12" s="38" t="s">
        <v>111</v>
      </c>
      <c r="V12" s="38" t="s">
        <v>107</v>
      </c>
      <c r="W12" s="38" t="s">
        <v>112</v>
      </c>
      <c r="X12" s="38" t="s">
        <v>72</v>
      </c>
      <c r="Y12" s="38" t="s">
        <v>72</v>
      </c>
      <c r="Z12" s="38" t="s">
        <v>72</v>
      </c>
      <c r="AA12" s="38" t="s">
        <v>68</v>
      </c>
      <c r="AB12" s="38" t="s">
        <v>72</v>
      </c>
      <c r="AC12" s="38" t="s">
        <v>72</v>
      </c>
      <c r="AD12" s="38" t="s">
        <v>72</v>
      </c>
      <c r="AE12" s="38" t="s">
        <v>72</v>
      </c>
      <c r="AF12" s="38" t="s">
        <v>74</v>
      </c>
      <c r="AG12" t="str">
        <f>VLOOKUP($Q12,武学奇术!$A:$ZZ,25,FALSE)</f>
        <v>陌刀</v>
      </c>
      <c r="AH12" s="23">
        <f>VLOOKUP($Q12,武学奇术!$A:$ZZ,26,FALSE)</f>
        <v>7.5674</v>
      </c>
      <c r="AI12" s="24">
        <f>VLOOKUP($Q12,武学奇术!$A:$ZZ,27,FALSE)*(1+IF(OR($AG12=$F$4,$AG12=$F$5),$B$22,0))</f>
        <v>2720.9</v>
      </c>
      <c r="AJ12" s="23">
        <f>VLOOKUP($Q12,武学奇术!$A:$ZZ,28,FALSE)</f>
        <v>11.3512</v>
      </c>
      <c r="AK12" s="24">
        <f>VLOOKUP($Q12,武学奇术!$A:$ZZ,29,FALSE)*(1+IF(OR($AG12=$F$4,$AG12=$F$5),$B$22,0))</f>
        <v>1482</v>
      </c>
      <c r="AL12" s="23" cm="1">
        <f t="array" ref="AL12">$G$3+IFERROR(VLOOKUP($AG12,$F$4:$G$7,2,FALSE),0)+VLOOKUP($Q12,武学奇术!$A:$ZZ,2,FALSE)+SUM(_xlfn.XLOOKUP($R12:$AF12,增益!$A:$A,增益!$B:$B,0))</f>
        <v>0.893</v>
      </c>
      <c r="AM12" s="23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3018.8</v>
      </c>
      <c r="AO12" cm="1">
        <f t="array" ref="AO12">$E$10*(1+$AM12)+VLOOKUP($Q12,武学奇术!$A:$ZZ,4,FALSE)+SUM(_xlfn.XLOOKUP($R12:$AF12,增益!$A:$A,增益!$D:$D,0))-$I$2</f>
        <v>3018.8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0.357</v>
      </c>
      <c r="AQ12" s="30" cm="1">
        <f t="array" ref="AQ12">$G$10+VLOOKUP($Q12,武学奇术!$A:$ZZ,7,FALSE)+SUM(_xlfn.XLOOKUP(R12:AF12,增益!$A:$A,增益!$G:$G,0))</f>
        <v>0</v>
      </c>
      <c r="AR12" s="23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-0.08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634.5</v>
      </c>
      <c r="AX12">
        <f t="shared" si="4"/>
        <v>1443.3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0.198</v>
      </c>
      <c r="AZ12" s="30" cm="1">
        <f t="array" ref="AZ12">$G$12+VLOOKUP($Q12,武学奇术!$A:$ZZ,12,FALSE)+SUM(_xlfn.XLOOKUP(R12:AF12,增益!$A:$A,增益!$L:$L,0))</f>
        <v>0.148</v>
      </c>
      <c r="BA12">
        <f t="shared" si="5"/>
        <v>0</v>
      </c>
      <c r="BB12">
        <f t="shared" si="6"/>
        <v>0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-0.08</v>
      </c>
      <c r="BD12" s="30" cm="1">
        <f t="array" ref="BD12">$G$13+VLOOKUP($Q12,武学奇术!$A:$ZZ,14,FALSE)+SUM(_xlfn.XLOOKUP(R12:AF12,增益!$A:$A,增益!$N:$N,0))</f>
        <v>0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-0.08</v>
      </c>
      <c r="BH12" s="30" cm="1">
        <f t="array" ref="BH12">$G$14+VLOOKUP($Q12,武学奇术!$A:$ZZ,16,FALSE)+SUM(_xlfn.XLOOKUP(R12:AF12,增益!$A:$A,增益!$P:$P,0))</f>
        <v>0</v>
      </c>
      <c r="BI12" s="23">
        <f>MIN(IF(VLOOKUP($Q12,武学奇术!$A:$ZZ,23,FALSE)=1,100%,$B$8),100%)</f>
        <v>1</v>
      </c>
      <c r="BJ12" s="23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1</v>
      </c>
      <c r="BK12" s="23" cm="1">
        <f t="array" ref="BK12">1+$B$13+VLOOKUP($Q12,武学奇术!$A:$ZZ,18,FALSE)+SUM(_xlfn.XLOOKUP(R12:AF12,增益!$A:$A,增益!$R:$R,0))</f>
        <v>2</v>
      </c>
      <c r="BL12" s="23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</v>
      </c>
      <c r="BM12" s="23" cm="1">
        <f t="array" ref="BM12">1+$B$14+VLOOKUP($Q12,武学奇术!$A:$ZZ,20,FALSE)+SUM(_xlfn.XLOOKUP(R12:AF12,增益!$A:$A,增益!$T:$T,0))</f>
        <v>1.35</v>
      </c>
      <c r="BN12" s="23">
        <f t="shared" si="9"/>
        <v>1</v>
      </c>
      <c r="BO12" s="23">
        <f t="shared" si="10"/>
        <v>0</v>
      </c>
      <c r="BP12" s="23">
        <f>IF(VLOOKUP($Q12,武学奇术!$A:$ZZ,22,FALSE)=1,0,(1-$BI12))*(1-$BL12)</f>
        <v>0</v>
      </c>
      <c r="BQ12" s="23" cm="1">
        <f t="array" ref="BQ12">SUM(_xlfn.XLOOKUP(R12:AF12,增益!$A:$A,增益!$W:$W,0))</f>
        <v>0</v>
      </c>
    </row>
    <row r="13" ht="14.25" spans="1:69">
      <c r="A13" s="39" t="s">
        <v>113</v>
      </c>
      <c r="B13" s="67">
        <f>期望!B13</f>
        <v>0.54</v>
      </c>
      <c r="C13" s="22" t="s">
        <v>84</v>
      </c>
      <c r="D13">
        <f>期望!D13</f>
        <v>0</v>
      </c>
      <c r="E13">
        <f>期望!E13</f>
        <v>0</v>
      </c>
      <c r="F13">
        <f>期望!F13</f>
        <v>0</v>
      </c>
      <c r="G13" s="47">
        <f>期望!G13</f>
        <v>0</v>
      </c>
      <c r="H13" s="68"/>
      <c r="I13" s="75"/>
      <c r="J13" s="73"/>
      <c r="K13" s="36">
        <f t="shared" si="0"/>
        <v>15756.2827403641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15756.2827403641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12057.4718255447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7878.14137018207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6824.82212884956</v>
      </c>
      <c r="P13" s="37">
        <v>1</v>
      </c>
      <c r="Q13" s="38" t="s">
        <v>114</v>
      </c>
      <c r="R13" s="38" t="s">
        <v>83</v>
      </c>
      <c r="S13" s="38" t="s">
        <v>78</v>
      </c>
      <c r="T13" s="38" t="s">
        <v>79</v>
      </c>
      <c r="U13" s="38" t="s">
        <v>111</v>
      </c>
      <c r="V13" s="38" t="s">
        <v>107</v>
      </c>
      <c r="W13" s="38" t="s">
        <v>104</v>
      </c>
      <c r="X13" s="38" t="s">
        <v>72</v>
      </c>
      <c r="Y13" s="38" t="s">
        <v>72</v>
      </c>
      <c r="Z13" s="38" t="s">
        <v>72</v>
      </c>
      <c r="AA13" s="38" t="s">
        <v>68</v>
      </c>
      <c r="AB13" s="38" t="s">
        <v>72</v>
      </c>
      <c r="AC13" s="38" t="s">
        <v>72</v>
      </c>
      <c r="AD13" s="38" t="s">
        <v>72</v>
      </c>
      <c r="AE13" s="38" t="s">
        <v>72</v>
      </c>
      <c r="AF13" s="38" t="s">
        <v>74</v>
      </c>
      <c r="AG13" t="str">
        <f>VLOOKUP($Q13,武学奇术!$A:$ZZ,25,FALSE)</f>
        <v>陌刀</v>
      </c>
      <c r="AH13" s="23">
        <f>VLOOKUP($Q13,武学奇术!$A:$ZZ,26,FALSE)</f>
        <v>0.5</v>
      </c>
      <c r="AI13" s="24">
        <f>VLOOKUP($Q13,武学奇术!$A:$ZZ,27,FALSE)*(1+IF(OR($AG13=$F$4,$AG13=$F$5),$B$22,0))</f>
        <v>0</v>
      </c>
      <c r="AJ13" s="23">
        <f>VLOOKUP($Q13,武学奇术!$A:$ZZ,28,FALSE)</f>
        <v>0.75</v>
      </c>
      <c r="AK13" s="24">
        <f>VLOOKUP($Q13,武学奇术!$A:$ZZ,29,FALSE)*(1+IF(OR($AG13=$F$4,$AG13=$F$5),$B$22,0))</f>
        <v>0</v>
      </c>
      <c r="AL13" s="23" cm="1">
        <f t="array" ref="AL13">$G$3+IFERROR(VLOOKUP($AG13,$F$4:$G$7,2,FALSE),0)+VLOOKUP($Q13,武学奇术!$A:$ZZ,2,FALSE)+SUM(_xlfn.XLOOKUP($R13:$AF13,增益!$A:$A,增益!$B:$B,0))</f>
        <v>0.913</v>
      </c>
      <c r="AM13" s="23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3018.8</v>
      </c>
      <c r="AO13" cm="1">
        <f t="array" ref="AO13">$E$10*(1+$AM13)+VLOOKUP($Q13,武学奇术!$A:$ZZ,4,FALSE)+SUM(_xlfn.XLOOKUP($R13:$AF13,增益!$A:$A,增益!$D:$D,0))-$I$2</f>
        <v>3018.8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0.357</v>
      </c>
      <c r="AQ13" s="30" cm="1">
        <f t="array" ref="AQ13">$G$10+VLOOKUP($Q13,武学奇术!$A:$ZZ,7,FALSE)+SUM(_xlfn.XLOOKUP(R13:AF13,增益!$A:$A,增益!$G:$G,0))</f>
        <v>0</v>
      </c>
      <c r="AR13" s="23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-0.08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634.5</v>
      </c>
      <c r="AX13">
        <f t="shared" si="4"/>
        <v>1443.3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0.198</v>
      </c>
      <c r="AZ13" s="30" cm="1">
        <f t="array" ref="AZ13">$G$12+VLOOKUP($Q13,武学奇术!$A:$ZZ,12,FALSE)+SUM(_xlfn.XLOOKUP(R13:AF13,增益!$A:$A,增益!$L:$L,0))</f>
        <v>0.148</v>
      </c>
      <c r="BA13">
        <f t="shared" si="5"/>
        <v>0</v>
      </c>
      <c r="BB13">
        <f t="shared" si="6"/>
        <v>0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-0.08</v>
      </c>
      <c r="BD13" s="30" cm="1">
        <f t="array" ref="BD13">$G$13+VLOOKUP($Q13,武学奇术!$A:$ZZ,14,FALSE)+SUM(_xlfn.XLOOKUP(R13:AF13,增益!$A:$A,增益!$N:$N,0))</f>
        <v>0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-0.08</v>
      </c>
      <c r="BH13" s="30" cm="1">
        <f t="array" ref="BH13">$G$14+VLOOKUP($Q13,武学奇术!$A:$ZZ,16,FALSE)+SUM(_xlfn.XLOOKUP(R13:AF13,增益!$A:$A,增益!$P:$P,0))</f>
        <v>0</v>
      </c>
      <c r="BI13" s="23">
        <f>MIN(IF(VLOOKUP($Q13,武学奇术!$A:$ZZ,23,FALSE)=1,100%,$B$8),100%)</f>
        <v>1</v>
      </c>
      <c r="BJ13" s="23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1</v>
      </c>
      <c r="BK13" s="23" cm="1">
        <f t="array" ref="BK13">1+$B$13+VLOOKUP($Q13,武学奇术!$A:$ZZ,18,FALSE)+SUM(_xlfn.XLOOKUP(R13:AF13,增益!$A:$A,增益!$R:$R,0))</f>
        <v>2</v>
      </c>
      <c r="BL13" s="23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</v>
      </c>
      <c r="BM13" s="23" cm="1">
        <f t="array" ref="BM13">1+$B$14+VLOOKUP($Q13,武学奇术!$A:$ZZ,20,FALSE)+SUM(_xlfn.XLOOKUP(R13:AF13,增益!$A:$A,增益!$T:$T,0))</f>
        <v>1.35</v>
      </c>
      <c r="BN13" s="23">
        <f t="shared" si="9"/>
        <v>1</v>
      </c>
      <c r="BO13" s="23">
        <f t="shared" si="10"/>
        <v>0</v>
      </c>
      <c r="BP13" s="23">
        <f>IF(VLOOKUP($Q13,武学奇术!$A:$ZZ,22,FALSE)=1,0,(1-$BI13))*(1-$BL13)</f>
        <v>0</v>
      </c>
      <c r="BQ13" s="23" cm="1">
        <f t="array" ref="BQ13">SUM(_xlfn.XLOOKUP(R13:AF13,增益!$A:$A,增益!$W:$W,0))</f>
        <v>0</v>
      </c>
    </row>
    <row r="14" ht="14.25" spans="1:69">
      <c r="A14" s="39" t="s">
        <v>115</v>
      </c>
      <c r="B14" s="67">
        <f>期望!B14</f>
        <v>0.35</v>
      </c>
      <c r="C14" s="13" t="s">
        <v>87</v>
      </c>
      <c r="D14" s="13">
        <f>期望!D14</f>
        <v>0</v>
      </c>
      <c r="E14" s="13">
        <f>期望!E14</f>
        <v>0</v>
      </c>
      <c r="F14" s="13">
        <f>期望!F14</f>
        <v>0</v>
      </c>
      <c r="G14" s="61">
        <f>期望!G14</f>
        <v>0</v>
      </c>
      <c r="H14" s="34" t="s">
        <v>116</v>
      </c>
      <c r="I14" s="70">
        <f>I12+110000*7%</f>
        <v>122841.684535433</v>
      </c>
      <c r="J14" s="71"/>
      <c r="K14" s="36">
        <f t="shared" si="0"/>
        <v>28361.3089326555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28361.3089326555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21703.4492859804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14180.6544663277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12284.6798319292</v>
      </c>
      <c r="P14" s="37">
        <v>1</v>
      </c>
      <c r="Q14" s="38" t="s">
        <v>106</v>
      </c>
      <c r="R14" s="38" t="s">
        <v>83</v>
      </c>
      <c r="S14" s="38" t="s">
        <v>78</v>
      </c>
      <c r="T14" s="38" t="s">
        <v>79</v>
      </c>
      <c r="U14" s="38" t="s">
        <v>111</v>
      </c>
      <c r="V14" s="38" t="s">
        <v>107</v>
      </c>
      <c r="W14" s="38" t="s">
        <v>104</v>
      </c>
      <c r="X14" s="38" t="s">
        <v>72</v>
      </c>
      <c r="Y14" s="38" t="s">
        <v>72</v>
      </c>
      <c r="Z14" s="38" t="s">
        <v>72</v>
      </c>
      <c r="AA14" s="38" t="s">
        <v>68</v>
      </c>
      <c r="AB14" s="38" t="s">
        <v>72</v>
      </c>
      <c r="AC14" s="38" t="s">
        <v>72</v>
      </c>
      <c r="AD14" s="38" t="s">
        <v>72</v>
      </c>
      <c r="AE14" s="38" t="s">
        <v>72</v>
      </c>
      <c r="AF14" s="38" t="s">
        <v>74</v>
      </c>
      <c r="AG14" t="str">
        <f>VLOOKUP($Q14,武学奇术!$A:$ZZ,25,FALSE)</f>
        <v>陌刀</v>
      </c>
      <c r="AH14" s="23">
        <f>VLOOKUP($Q14,武学奇术!$A:$ZZ,26,FALSE)</f>
        <v>0.9</v>
      </c>
      <c r="AI14" s="24">
        <f>VLOOKUP($Q14,武学奇术!$A:$ZZ,27,FALSE)*(1+IF(OR($AG14=$F$4,$AG14=$F$5),$B$22,0))</f>
        <v>0</v>
      </c>
      <c r="AJ14" s="23">
        <f>VLOOKUP($Q14,武学奇术!$A:$ZZ,28,FALSE)</f>
        <v>1.35</v>
      </c>
      <c r="AK14" s="24">
        <f>VLOOKUP($Q14,武学奇术!$A:$ZZ,29,FALSE)*(1+IF(OR($AG14=$F$4,$AG14=$F$5),$B$22,0))</f>
        <v>0</v>
      </c>
      <c r="AL14" s="23" cm="1">
        <f t="array" ref="AL14">$G$3+IFERROR(VLOOKUP($AG14,$F$4:$G$7,2,FALSE),0)+VLOOKUP($Q14,武学奇术!$A:$ZZ,2,FALSE)+SUM(_xlfn.XLOOKUP($R14:$AF14,增益!$A:$A,增益!$B:$B,0))</f>
        <v>0.913</v>
      </c>
      <c r="AM14" s="23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3018.8</v>
      </c>
      <c r="AO14" cm="1">
        <f t="array" ref="AO14">$E$10*(1+$AM14)+VLOOKUP($Q14,武学奇术!$A:$ZZ,4,FALSE)+SUM(_xlfn.XLOOKUP($R14:$AF14,增益!$A:$A,增益!$D:$D,0))-$I$2</f>
        <v>3018.8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0.357</v>
      </c>
      <c r="AQ14" s="30" cm="1">
        <f t="array" ref="AQ14">$G$10+VLOOKUP($Q14,武学奇术!$A:$ZZ,7,FALSE)+SUM(_xlfn.XLOOKUP(R14:AF14,增益!$A:$A,增益!$G:$G,0))</f>
        <v>0</v>
      </c>
      <c r="AR14" s="23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-0.08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634.5</v>
      </c>
      <c r="AX14">
        <f t="shared" si="4"/>
        <v>1443.3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0.198</v>
      </c>
      <c r="AZ14" s="30" cm="1">
        <f t="array" ref="AZ14">$G$12+VLOOKUP($Q14,武学奇术!$A:$ZZ,12,FALSE)+SUM(_xlfn.XLOOKUP(R14:AF14,增益!$A:$A,增益!$L:$L,0))</f>
        <v>0.148</v>
      </c>
      <c r="BA14">
        <f t="shared" si="5"/>
        <v>0</v>
      </c>
      <c r="BB14">
        <f t="shared" si="6"/>
        <v>0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-0.08</v>
      </c>
      <c r="BD14" s="30" cm="1">
        <f t="array" ref="BD14">$G$13+VLOOKUP($Q14,武学奇术!$A:$ZZ,14,FALSE)+SUM(_xlfn.XLOOKUP(R14:AF14,增益!$A:$A,增益!$N:$N,0))</f>
        <v>0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-0.08</v>
      </c>
      <c r="BH14" s="30" cm="1">
        <f t="array" ref="BH14">$G$14+VLOOKUP($Q14,武学奇术!$A:$ZZ,16,FALSE)+SUM(_xlfn.XLOOKUP(R14:AF14,增益!$A:$A,增益!$P:$P,0))</f>
        <v>0</v>
      </c>
      <c r="BI14" s="23">
        <f>MIN(IF(VLOOKUP($Q14,武学奇术!$A:$ZZ,23,FALSE)=1,100%,$B$8),100%)</f>
        <v>1</v>
      </c>
      <c r="BJ14" s="23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1</v>
      </c>
      <c r="BK14" s="23" cm="1">
        <f t="array" ref="BK14">1+$B$13+VLOOKUP($Q14,武学奇术!$A:$ZZ,18,FALSE)+SUM(_xlfn.XLOOKUP(R14:AF14,增益!$A:$A,增益!$R:$R,0))</f>
        <v>2</v>
      </c>
      <c r="BL14" s="23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</v>
      </c>
      <c r="BM14" s="23" cm="1">
        <f t="array" ref="BM14">1+$B$14+VLOOKUP($Q14,武学奇术!$A:$ZZ,20,FALSE)+SUM(_xlfn.XLOOKUP(R14:AF14,增益!$A:$A,增益!$T:$T,0))</f>
        <v>1.35</v>
      </c>
      <c r="BN14" s="23">
        <f t="shared" si="9"/>
        <v>1</v>
      </c>
      <c r="BO14" s="23">
        <f t="shared" si="10"/>
        <v>0</v>
      </c>
      <c r="BP14" s="23">
        <f>IF(VLOOKUP($Q14,武学奇术!$A:$ZZ,22,FALSE)=1,0,(1-$BI14))*(1-$BL14)</f>
        <v>0</v>
      </c>
      <c r="BQ14" s="23" cm="1">
        <f t="array" ref="BQ14">SUM(_xlfn.XLOOKUP(R14:AF14,增益!$A:$A,增益!$W:$W,0))</f>
        <v>0</v>
      </c>
    </row>
    <row r="15" ht="14.25" spans="1:69">
      <c r="A15" s="39" t="s">
        <v>117</v>
      </c>
      <c r="B15" s="67">
        <f>期望!B15</f>
        <v>0.084</v>
      </c>
      <c r="C15" s="37" t="s">
        <v>118</v>
      </c>
      <c r="D15" s="37"/>
      <c r="F15" s="76"/>
      <c r="H15" s="77"/>
      <c r="I15" s="72"/>
      <c r="J15" s="73"/>
      <c r="K15" s="36">
        <f t="shared" si="0"/>
        <v>272415.982828667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272415.982828667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205289.873916293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136207.991414334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120349.409557339</v>
      </c>
      <c r="P15" s="37">
        <v>1</v>
      </c>
      <c r="Q15" s="38" t="s">
        <v>110</v>
      </c>
      <c r="R15" s="38" t="s">
        <v>86</v>
      </c>
      <c r="S15" s="38" t="s">
        <v>78</v>
      </c>
      <c r="T15" s="38" t="s">
        <v>79</v>
      </c>
      <c r="U15" s="38" t="s">
        <v>111</v>
      </c>
      <c r="V15" s="38" t="s">
        <v>107</v>
      </c>
      <c r="W15" s="38" t="s">
        <v>112</v>
      </c>
      <c r="X15" s="38" t="s">
        <v>72</v>
      </c>
      <c r="Y15" s="38" t="s">
        <v>72</v>
      </c>
      <c r="Z15" s="38" t="s">
        <v>72</v>
      </c>
      <c r="AA15" s="38" t="s">
        <v>68</v>
      </c>
      <c r="AB15" s="38" t="s">
        <v>72</v>
      </c>
      <c r="AC15" s="38" t="s">
        <v>72</v>
      </c>
      <c r="AD15" s="38" t="s">
        <v>72</v>
      </c>
      <c r="AE15" s="38" t="s">
        <v>72</v>
      </c>
      <c r="AF15" s="38" t="s">
        <v>74</v>
      </c>
      <c r="AG15" t="str">
        <f>VLOOKUP($Q15,武学奇术!$A:$ZZ,25,FALSE)</f>
        <v>陌刀</v>
      </c>
      <c r="AH15" s="23">
        <f>VLOOKUP($Q15,武学奇术!$A:$ZZ,26,FALSE)</f>
        <v>7.5674</v>
      </c>
      <c r="AI15" s="24">
        <f>VLOOKUP($Q15,武学奇术!$A:$ZZ,27,FALSE)*(1+IF(OR($AG15=$F$4,$AG15=$F$5),$B$22,0))</f>
        <v>2720.9</v>
      </c>
      <c r="AJ15" s="23">
        <f>VLOOKUP($Q15,武学奇术!$A:$ZZ,28,FALSE)</f>
        <v>11.3512</v>
      </c>
      <c r="AK15" s="24">
        <f>VLOOKUP($Q15,武学奇术!$A:$ZZ,29,FALSE)*(1+IF(OR($AG15=$F$4,$AG15=$F$5),$B$22,0))</f>
        <v>1482</v>
      </c>
      <c r="AL15" s="23" cm="1">
        <f t="array" ref="AL15">$G$3+IFERROR(VLOOKUP($AG15,$F$4:$G$7,2,FALSE),0)+VLOOKUP($Q15,武学奇术!$A:$ZZ,2,FALSE)+SUM(_xlfn.XLOOKUP($R15:$AF15,增益!$A:$A,增益!$B:$B,0))</f>
        <v>0.903</v>
      </c>
      <c r="AM15" s="23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3018.8</v>
      </c>
      <c r="AO15" cm="1">
        <f t="array" ref="AO15">$E$10*(1+$AM15)+VLOOKUP($Q15,武学奇术!$A:$ZZ,4,FALSE)+SUM(_xlfn.XLOOKUP($R15:$AF15,增益!$A:$A,增益!$D:$D,0))-$I$2</f>
        <v>3018.8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0.367</v>
      </c>
      <c r="AQ15" s="30" cm="1">
        <f t="array" ref="AQ15">$G$10+VLOOKUP($Q15,武学奇术!$A:$ZZ,7,FALSE)+SUM(_xlfn.XLOOKUP(R15:AF15,增益!$A:$A,增益!$G:$G,0))</f>
        <v>0</v>
      </c>
      <c r="AR15" s="23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-0.08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634.5</v>
      </c>
      <c r="AX15">
        <f t="shared" si="4"/>
        <v>1443.3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0.198</v>
      </c>
      <c r="AZ15" s="30" cm="1">
        <f t="array" ref="AZ15">$G$12+VLOOKUP($Q15,武学奇术!$A:$ZZ,12,FALSE)+SUM(_xlfn.XLOOKUP(R15:AF15,增益!$A:$A,增益!$L:$L,0))</f>
        <v>0.148</v>
      </c>
      <c r="BA15">
        <f t="shared" si="5"/>
        <v>0</v>
      </c>
      <c r="BB15">
        <f t="shared" si="6"/>
        <v>0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-0.08</v>
      </c>
      <c r="BD15" s="30" cm="1">
        <f t="array" ref="BD15">$G$13+VLOOKUP($Q15,武学奇术!$A:$ZZ,14,FALSE)+SUM(_xlfn.XLOOKUP(R15:AF15,增益!$A:$A,增益!$N:$N,0))</f>
        <v>0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-0.08</v>
      </c>
      <c r="BH15" s="30" cm="1">
        <f t="array" ref="BH15">$G$14+VLOOKUP($Q15,武学奇术!$A:$ZZ,16,FALSE)+SUM(_xlfn.XLOOKUP(R15:AF15,增益!$A:$A,增益!$P:$P,0))</f>
        <v>0</v>
      </c>
      <c r="BI15" s="23">
        <f>MIN(IF(VLOOKUP($Q15,武学奇术!$A:$ZZ,23,FALSE)=1,100%,$B$8),100%)</f>
        <v>1</v>
      </c>
      <c r="BJ15" s="23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1</v>
      </c>
      <c r="BK15" s="23" cm="1">
        <f t="array" ref="BK15">1+$B$13+VLOOKUP($Q15,武学奇术!$A:$ZZ,18,FALSE)+SUM(_xlfn.XLOOKUP(R15:AF15,增益!$A:$A,增益!$R:$R,0))</f>
        <v>2</v>
      </c>
      <c r="BL15" s="23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</v>
      </c>
      <c r="BM15" s="23" cm="1">
        <f t="array" ref="BM15">1+$B$14+VLOOKUP($Q15,武学奇术!$A:$ZZ,20,FALSE)+SUM(_xlfn.XLOOKUP(R15:AF15,增益!$A:$A,增益!$T:$T,0))</f>
        <v>1.35</v>
      </c>
      <c r="BN15" s="23">
        <f t="shared" si="9"/>
        <v>1</v>
      </c>
      <c r="BO15" s="23">
        <f t="shared" si="10"/>
        <v>0</v>
      </c>
      <c r="BP15" s="23">
        <f>IF(VLOOKUP($Q15,武学奇术!$A:$ZZ,22,FALSE)=1,0,(1-$BI15))*(1-$BL15)</f>
        <v>0</v>
      </c>
      <c r="BQ15" s="23" cm="1">
        <f t="array" ref="BQ15">SUM(_xlfn.XLOOKUP(R15:AF15,增益!$A:$A,增益!$W:$W,0))</f>
        <v>0</v>
      </c>
    </row>
    <row r="16" ht="14.25" spans="1:69">
      <c r="A16" s="39" t="s">
        <v>119</v>
      </c>
      <c r="B16" s="67">
        <f>期望!B16</f>
        <v>0.088</v>
      </c>
      <c r="C16" s="37" t="s">
        <v>120</v>
      </c>
      <c r="D16" s="76" t="s">
        <v>160</v>
      </c>
      <c r="E16" s="37" t="s">
        <v>122</v>
      </c>
      <c r="F16" s="76" t="s">
        <v>121</v>
      </c>
      <c r="H16" s="65" t="s">
        <v>123</v>
      </c>
      <c r="I16" s="78"/>
      <c r="J16" s="79"/>
      <c r="K16" s="36">
        <f t="shared" si="0"/>
        <v>16878.8174571008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16878.8174571008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12287.5158437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8037.53212242895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6973.20065693196</v>
      </c>
      <c r="P16" s="37">
        <v>1</v>
      </c>
      <c r="Q16" s="38" t="s">
        <v>114</v>
      </c>
      <c r="R16" s="38" t="s">
        <v>89</v>
      </c>
      <c r="S16" s="38" t="s">
        <v>78</v>
      </c>
      <c r="T16" s="38" t="s">
        <v>79</v>
      </c>
      <c r="U16" s="38" t="s">
        <v>111</v>
      </c>
      <c r="V16" s="38" t="s">
        <v>107</v>
      </c>
      <c r="W16" s="38" t="s">
        <v>104</v>
      </c>
      <c r="X16" s="38" t="s">
        <v>122</v>
      </c>
      <c r="Y16" s="38" t="s">
        <v>72</v>
      </c>
      <c r="Z16" s="38" t="s">
        <v>72</v>
      </c>
      <c r="AA16" s="38" t="s">
        <v>68</v>
      </c>
      <c r="AB16" s="38" t="s">
        <v>72</v>
      </c>
      <c r="AC16" s="38" t="s">
        <v>72</v>
      </c>
      <c r="AD16" s="38" t="s">
        <v>72</v>
      </c>
      <c r="AE16" s="38" t="s">
        <v>72</v>
      </c>
      <c r="AF16" s="38" t="s">
        <v>74</v>
      </c>
      <c r="AG16" t="str">
        <f>VLOOKUP($Q16,武学奇术!$A:$ZZ,25,FALSE)</f>
        <v>陌刀</v>
      </c>
      <c r="AH16" s="23">
        <f>VLOOKUP($Q16,武学奇术!$A:$ZZ,26,FALSE)</f>
        <v>0.5</v>
      </c>
      <c r="AI16" s="24">
        <f>VLOOKUP($Q16,武学奇术!$A:$ZZ,27,FALSE)*(1+IF(OR($AG16=$F$4,$AG16=$F$5),$B$22,0))</f>
        <v>0</v>
      </c>
      <c r="AJ16" s="23">
        <f>VLOOKUP($Q16,武学奇术!$A:$ZZ,28,FALSE)</f>
        <v>0.75</v>
      </c>
      <c r="AK16" s="24">
        <f>VLOOKUP($Q16,武学奇术!$A:$ZZ,29,FALSE)*(1+IF(OR($AG16=$F$4,$AG16=$F$5),$B$22,0))</f>
        <v>0</v>
      </c>
      <c r="AL16" s="23" cm="1">
        <f t="array" ref="AL16">$G$3+IFERROR(VLOOKUP($AG16,$F$4:$G$7,2,FALSE),0)+VLOOKUP($Q16,武学奇术!$A:$ZZ,2,FALSE)+SUM(_xlfn.XLOOKUP($R16:$AF16,增益!$A:$A,增益!$B:$B,0))</f>
        <v>0.933</v>
      </c>
      <c r="AM16" s="23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3018.8</v>
      </c>
      <c r="AO16" cm="1">
        <f t="array" ref="AO16">$E$10*(1+$AM16)+VLOOKUP($Q16,武学奇术!$A:$ZZ,4,FALSE)+SUM(_xlfn.XLOOKUP($R16:$AF16,增益!$A:$A,增益!$D:$D,0))-$I$2</f>
        <v>3018.8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0.377</v>
      </c>
      <c r="AQ16" s="30" cm="1">
        <f t="array" ref="AQ16">$G$10+VLOOKUP($Q16,武学奇术!$A:$ZZ,7,FALSE)+SUM(_xlfn.XLOOKUP(R16:AF16,增益!$A:$A,增益!$G:$G,0))</f>
        <v>0</v>
      </c>
      <c r="AR16" s="23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-0.08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634.5</v>
      </c>
      <c r="AX16">
        <f t="shared" si="4"/>
        <v>1443.3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0.198</v>
      </c>
      <c r="AZ16" s="30" cm="1">
        <f t="array" ref="AZ16">$G$12+VLOOKUP($Q16,武学奇术!$A:$ZZ,12,FALSE)+SUM(_xlfn.XLOOKUP(R16:AF16,增益!$A:$A,增益!$L:$L,0))</f>
        <v>0.148</v>
      </c>
      <c r="BA16">
        <f t="shared" si="5"/>
        <v>0</v>
      </c>
      <c r="BB16">
        <f t="shared" si="6"/>
        <v>0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-0.08</v>
      </c>
      <c r="BD16" s="30" cm="1">
        <f t="array" ref="BD16">$G$13+VLOOKUP($Q16,武学奇术!$A:$ZZ,14,FALSE)+SUM(_xlfn.XLOOKUP(R16:AF16,增益!$A:$A,增益!$N:$N,0))</f>
        <v>0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-0.08</v>
      </c>
      <c r="BH16" s="30" cm="1">
        <f t="array" ref="BH16">$G$14+VLOOKUP($Q16,武学奇术!$A:$ZZ,16,FALSE)+SUM(_xlfn.XLOOKUP(R16:AF16,增益!$A:$A,增益!$P:$P,0))</f>
        <v>0</v>
      </c>
      <c r="BI16" s="23">
        <f>MIN(IF(VLOOKUP($Q16,武学奇术!$A:$ZZ,23,FALSE)=1,100%,$B$8),100%)</f>
        <v>1</v>
      </c>
      <c r="BJ16" s="23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1</v>
      </c>
      <c r="BK16" s="23" cm="1">
        <f t="array" ref="BK16">1+$B$13+VLOOKUP($Q16,武学奇术!$A:$ZZ,18,FALSE)+SUM(_xlfn.XLOOKUP(R16:AF16,增益!$A:$A,增益!$R:$R,0))</f>
        <v>2.1</v>
      </c>
      <c r="BL16" s="23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</v>
      </c>
      <c r="BM16" s="23" cm="1">
        <f t="array" ref="BM16">1+$B$14+VLOOKUP($Q16,武学奇术!$A:$ZZ,20,FALSE)+SUM(_xlfn.XLOOKUP(R16:AF16,增益!$A:$A,增益!$T:$T,0))</f>
        <v>1.35</v>
      </c>
      <c r="BN16" s="23">
        <f t="shared" si="9"/>
        <v>1</v>
      </c>
      <c r="BO16" s="23">
        <f t="shared" si="10"/>
        <v>0</v>
      </c>
      <c r="BP16" s="23">
        <f>IF(VLOOKUP($Q16,武学奇术!$A:$ZZ,22,FALSE)=1,0,(1-$BI16))*(1-$BL16)</f>
        <v>0</v>
      </c>
      <c r="BQ16" s="23" cm="1">
        <f t="array" ref="BQ16">SUM(_xlfn.XLOOKUP(R16:AF16,增益!$A:$A,增益!$W:$W,0))</f>
        <v>0</v>
      </c>
    </row>
    <row r="17" ht="14.25" spans="1:69">
      <c r="A17" s="39" t="s">
        <v>124</v>
      </c>
      <c r="B17" s="67">
        <f>期望!B17</f>
        <v>0.086</v>
      </c>
      <c r="C17" s="37" t="s">
        <v>125</v>
      </c>
      <c r="D17" s="76" t="s">
        <v>160</v>
      </c>
      <c r="E17" s="37" t="s">
        <v>58</v>
      </c>
      <c r="F17" s="80">
        <f>$B$8*($B$9+$B$11)</f>
        <v>0.75020322</v>
      </c>
      <c r="H17" s="68"/>
      <c r="I17" s="81"/>
      <c r="J17" s="82"/>
      <c r="K17" s="36">
        <f t="shared" si="0"/>
        <v>30381.8714227814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30381.8714227814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22117.52851866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14467.5578203721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12551.7611824775</v>
      </c>
      <c r="P17" s="37">
        <v>1</v>
      </c>
      <c r="Q17" s="38" t="s">
        <v>106</v>
      </c>
      <c r="R17" s="38" t="s">
        <v>89</v>
      </c>
      <c r="S17" s="38" t="s">
        <v>78</v>
      </c>
      <c r="T17" s="38" t="s">
        <v>79</v>
      </c>
      <c r="U17" s="38" t="s">
        <v>111</v>
      </c>
      <c r="V17" s="38" t="s">
        <v>107</v>
      </c>
      <c r="W17" s="38" t="s">
        <v>104</v>
      </c>
      <c r="X17" s="38" t="s">
        <v>122</v>
      </c>
      <c r="Y17" s="38" t="s">
        <v>72</v>
      </c>
      <c r="Z17" s="38" t="s">
        <v>72</v>
      </c>
      <c r="AA17" s="38" t="s">
        <v>68</v>
      </c>
      <c r="AB17" s="38" t="s">
        <v>72</v>
      </c>
      <c r="AC17" s="38" t="s">
        <v>72</v>
      </c>
      <c r="AD17" s="38" t="s">
        <v>72</v>
      </c>
      <c r="AE17" s="38" t="s">
        <v>72</v>
      </c>
      <c r="AF17" s="38" t="s">
        <v>74</v>
      </c>
      <c r="AG17" t="str">
        <f>VLOOKUP($Q17,武学奇术!$A:$ZZ,25,FALSE)</f>
        <v>陌刀</v>
      </c>
      <c r="AH17" s="23">
        <f>VLOOKUP($Q17,武学奇术!$A:$ZZ,26,FALSE)</f>
        <v>0.9</v>
      </c>
      <c r="AI17" s="24">
        <f>VLOOKUP($Q17,武学奇术!$A:$ZZ,27,FALSE)*(1+IF(OR($AG17=$F$4,$AG17=$F$5),$B$22,0))</f>
        <v>0</v>
      </c>
      <c r="AJ17" s="23">
        <f>VLOOKUP($Q17,武学奇术!$A:$ZZ,28,FALSE)</f>
        <v>1.35</v>
      </c>
      <c r="AK17" s="24">
        <f>VLOOKUP($Q17,武学奇术!$A:$ZZ,29,FALSE)*(1+IF(OR($AG17=$F$4,$AG17=$F$5),$B$22,0))</f>
        <v>0</v>
      </c>
      <c r="AL17" s="23" cm="1">
        <f t="array" ref="AL17">$G$3+IFERROR(VLOOKUP($AG17,$F$4:$G$7,2,FALSE),0)+VLOOKUP($Q17,武学奇术!$A:$ZZ,2,FALSE)+SUM(_xlfn.XLOOKUP($R17:$AF17,增益!$A:$A,增益!$B:$B,0))</f>
        <v>0.933</v>
      </c>
      <c r="AM17" s="23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3018.8</v>
      </c>
      <c r="AO17" cm="1">
        <f t="array" ref="AO17">$E$10*(1+$AM17)+VLOOKUP($Q17,武学奇术!$A:$ZZ,4,FALSE)+SUM(_xlfn.XLOOKUP($R17:$AF17,增益!$A:$A,增益!$D:$D,0))-$I$2</f>
        <v>3018.8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0.377</v>
      </c>
      <c r="AQ17" s="30" cm="1">
        <f t="array" ref="AQ17">$G$10+VLOOKUP($Q17,武学奇术!$A:$ZZ,7,FALSE)+SUM(_xlfn.XLOOKUP(R17:AF17,增益!$A:$A,增益!$G:$G,0))</f>
        <v>0</v>
      </c>
      <c r="AR17" s="23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-0.08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634.5</v>
      </c>
      <c r="AX17">
        <f t="shared" si="4"/>
        <v>1443.3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0.198</v>
      </c>
      <c r="AZ17" s="30" cm="1">
        <f t="array" ref="AZ17">$G$12+VLOOKUP($Q17,武学奇术!$A:$ZZ,12,FALSE)+SUM(_xlfn.XLOOKUP(R17:AF17,增益!$A:$A,增益!$L:$L,0))</f>
        <v>0.148</v>
      </c>
      <c r="BA17">
        <f t="shared" si="5"/>
        <v>0</v>
      </c>
      <c r="BB17">
        <f t="shared" si="6"/>
        <v>0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-0.08</v>
      </c>
      <c r="BD17" s="30" cm="1">
        <f t="array" ref="BD17">$G$13+VLOOKUP($Q17,武学奇术!$A:$ZZ,14,FALSE)+SUM(_xlfn.XLOOKUP(R17:AF17,增益!$A:$A,增益!$N:$N,0))</f>
        <v>0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-0.08</v>
      </c>
      <c r="BH17" s="30" cm="1">
        <f t="array" ref="BH17">$G$14+VLOOKUP($Q17,武学奇术!$A:$ZZ,16,FALSE)+SUM(_xlfn.XLOOKUP(R17:AF17,增益!$A:$A,增益!$P:$P,0))</f>
        <v>0</v>
      </c>
      <c r="BI17" s="23">
        <f>MIN(IF(VLOOKUP($Q17,武学奇术!$A:$ZZ,23,FALSE)=1,100%,$B$8),100%)</f>
        <v>1</v>
      </c>
      <c r="BJ17" s="23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1</v>
      </c>
      <c r="BK17" s="23" cm="1">
        <f t="array" ref="BK17">1+$B$13+VLOOKUP($Q17,武学奇术!$A:$ZZ,18,FALSE)+SUM(_xlfn.XLOOKUP(R17:AF17,增益!$A:$A,增益!$R:$R,0))</f>
        <v>2.1</v>
      </c>
      <c r="BL17" s="23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</v>
      </c>
      <c r="BM17" s="23" cm="1">
        <f t="array" ref="BM17">1+$B$14+VLOOKUP($Q17,武学奇术!$A:$ZZ,20,FALSE)+SUM(_xlfn.XLOOKUP(R17:AF17,增益!$A:$A,增益!$T:$T,0))</f>
        <v>1.35</v>
      </c>
      <c r="BN17" s="23">
        <f t="shared" si="9"/>
        <v>1</v>
      </c>
      <c r="BO17" s="23">
        <f t="shared" si="10"/>
        <v>0</v>
      </c>
      <c r="BP17" s="23">
        <f>IF(VLOOKUP($Q17,武学奇术!$A:$ZZ,22,FALSE)=1,0,(1-$BI17))*(1-$BL17)</f>
        <v>0</v>
      </c>
      <c r="BQ17" s="23" cm="1">
        <f t="array" ref="BQ17">SUM(_xlfn.XLOOKUP(R17:AF17,增益!$A:$A,增益!$W:$W,0))</f>
        <v>0</v>
      </c>
    </row>
    <row r="18" spans="1:69">
      <c r="A18" s="39" t="s">
        <v>126</v>
      </c>
      <c r="B18" s="67">
        <f>期望!B18</f>
        <v>0</v>
      </c>
      <c r="C18" s="37" t="s">
        <v>127</v>
      </c>
      <c r="D18" s="76" t="s">
        <v>160</v>
      </c>
      <c r="K18" s="36">
        <f t="shared" si="0"/>
        <v>288895.554918814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288895.554918814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207240.158289222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137569.311866102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121627.395369817</v>
      </c>
      <c r="P18" s="37">
        <v>1</v>
      </c>
      <c r="Q18" s="38" t="s">
        <v>110</v>
      </c>
      <c r="R18" s="38" t="s">
        <v>89</v>
      </c>
      <c r="S18" s="38" t="s">
        <v>78</v>
      </c>
      <c r="T18" s="38" t="s">
        <v>79</v>
      </c>
      <c r="U18" s="38" t="s">
        <v>111</v>
      </c>
      <c r="V18" s="38" t="s">
        <v>107</v>
      </c>
      <c r="W18" s="38" t="s">
        <v>112</v>
      </c>
      <c r="X18" s="38" t="s">
        <v>122</v>
      </c>
      <c r="Y18" s="38" t="s">
        <v>72</v>
      </c>
      <c r="Z18" s="38" t="s">
        <v>72</v>
      </c>
      <c r="AA18" s="38" t="s">
        <v>68</v>
      </c>
      <c r="AB18" s="38" t="s">
        <v>72</v>
      </c>
      <c r="AC18" s="38" t="s">
        <v>72</v>
      </c>
      <c r="AD18" s="38" t="s">
        <v>72</v>
      </c>
      <c r="AE18" s="38" t="s">
        <v>72</v>
      </c>
      <c r="AF18" s="38" t="s">
        <v>74</v>
      </c>
      <c r="AG18" t="str">
        <f>VLOOKUP($Q18,武学奇术!$A:$ZZ,25,FALSE)</f>
        <v>陌刀</v>
      </c>
      <c r="AH18" s="23">
        <f>VLOOKUP($Q18,武学奇术!$A:$ZZ,26,FALSE)</f>
        <v>7.5674</v>
      </c>
      <c r="AI18" s="24">
        <f>VLOOKUP($Q18,武学奇术!$A:$ZZ,27,FALSE)*(1+IF(OR($AG18=$F$4,$AG18=$F$5),$B$22,0))</f>
        <v>2720.9</v>
      </c>
      <c r="AJ18" s="23">
        <f>VLOOKUP($Q18,武学奇术!$A:$ZZ,28,FALSE)</f>
        <v>11.3512</v>
      </c>
      <c r="AK18" s="24">
        <f>VLOOKUP($Q18,武学奇术!$A:$ZZ,29,FALSE)*(1+IF(OR($AG18=$F$4,$AG18=$F$5),$B$22,0))</f>
        <v>1482</v>
      </c>
      <c r="AL18" s="23" cm="1">
        <f t="array" ref="AL18">$G$3+IFERROR(VLOOKUP($AG18,$F$4:$G$7,2,FALSE),0)+VLOOKUP($Q18,武学奇术!$A:$ZZ,2,FALSE)+SUM(_xlfn.XLOOKUP($R18:$AF18,增益!$A:$A,增益!$B:$B,0))</f>
        <v>0.913</v>
      </c>
      <c r="AM18" s="23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3018.8</v>
      </c>
      <c r="AO18" cm="1">
        <f t="array" ref="AO18">$E$10*(1+$AM18)+VLOOKUP($Q18,武学奇术!$A:$ZZ,4,FALSE)+SUM(_xlfn.XLOOKUP($R18:$AF18,增益!$A:$A,增益!$D:$D,0))-$I$2</f>
        <v>3018.8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0.377</v>
      </c>
      <c r="AQ18" s="30" cm="1">
        <f t="array" ref="AQ18">$G$10+VLOOKUP($Q18,武学奇术!$A:$ZZ,7,FALSE)+SUM(_xlfn.XLOOKUP(R18:AF18,增益!$A:$A,增益!$G:$G,0))</f>
        <v>0</v>
      </c>
      <c r="AR18" s="23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-0.08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634.5</v>
      </c>
      <c r="AX18">
        <f t="shared" si="4"/>
        <v>1443.3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0.198</v>
      </c>
      <c r="AZ18" s="30" cm="1">
        <f t="array" ref="AZ18">$G$12+VLOOKUP($Q18,武学奇术!$A:$ZZ,12,FALSE)+SUM(_xlfn.XLOOKUP(R18:AF18,增益!$A:$A,增益!$L:$L,0))</f>
        <v>0.148</v>
      </c>
      <c r="BA18">
        <f t="shared" si="5"/>
        <v>0</v>
      </c>
      <c r="BB18">
        <f t="shared" si="6"/>
        <v>0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-0.08</v>
      </c>
      <c r="BD18" s="30" cm="1">
        <f t="array" ref="BD18">$G$13+VLOOKUP($Q18,武学奇术!$A:$ZZ,14,FALSE)+SUM(_xlfn.XLOOKUP(R18:AF18,增益!$A:$A,增益!$N:$N,0))</f>
        <v>0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-0.08</v>
      </c>
      <c r="BH18" s="30" cm="1">
        <f t="array" ref="BH18">$G$14+VLOOKUP($Q18,武学奇术!$A:$ZZ,16,FALSE)+SUM(_xlfn.XLOOKUP(R18:AF18,增益!$A:$A,增益!$P:$P,0))</f>
        <v>0</v>
      </c>
      <c r="BI18" s="23">
        <f>MIN(IF(VLOOKUP($Q18,武学奇术!$A:$ZZ,23,FALSE)=1,100%,$B$8),100%)</f>
        <v>1</v>
      </c>
      <c r="BJ18" s="23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1</v>
      </c>
      <c r="BK18" s="23" cm="1">
        <f t="array" ref="BK18">1+$B$13+VLOOKUP($Q18,武学奇术!$A:$ZZ,18,FALSE)+SUM(_xlfn.XLOOKUP(R18:AF18,增益!$A:$A,增益!$R:$R,0))</f>
        <v>2.1</v>
      </c>
      <c r="BL18" s="23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</v>
      </c>
      <c r="BM18" s="23" cm="1">
        <f t="array" ref="BM18">1+$B$14+VLOOKUP($Q18,武学奇术!$A:$ZZ,20,FALSE)+SUM(_xlfn.XLOOKUP(R18:AF18,增益!$A:$A,增益!$T:$T,0))</f>
        <v>1.35</v>
      </c>
      <c r="BN18" s="23">
        <f t="shared" si="9"/>
        <v>1</v>
      </c>
      <c r="BO18" s="23">
        <f t="shared" si="10"/>
        <v>0</v>
      </c>
      <c r="BP18" s="23">
        <f>IF(VLOOKUP($Q18,武学奇术!$A:$ZZ,22,FALSE)=1,0,(1-$BI18))*(1-$BL18)</f>
        <v>0</v>
      </c>
      <c r="BQ18" s="23" cm="1">
        <f t="array" ref="BQ18">SUM(_xlfn.XLOOKUP(R18:AF18,增益!$A:$A,增益!$W:$W,0))</f>
        <v>0</v>
      </c>
    </row>
    <row r="19" spans="1:69">
      <c r="A19" s="39" t="s">
        <v>128</v>
      </c>
      <c r="B19" s="67">
        <f>期望!B19</f>
        <v>0</v>
      </c>
      <c r="K19" s="36">
        <f t="shared" si="0"/>
        <v>19073.0637265239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19073.0637265239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13884.892903381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9082.41129834471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7879.71674233311</v>
      </c>
      <c r="P19" s="37">
        <v>1</v>
      </c>
      <c r="Q19" s="38" t="s">
        <v>114</v>
      </c>
      <c r="R19" s="38" t="s">
        <v>89</v>
      </c>
      <c r="S19" s="38" t="s">
        <v>78</v>
      </c>
      <c r="T19" s="38" t="s">
        <v>79</v>
      </c>
      <c r="U19" s="38" t="s">
        <v>111</v>
      </c>
      <c r="V19" s="38" t="s">
        <v>107</v>
      </c>
      <c r="W19" s="38" t="s">
        <v>104</v>
      </c>
      <c r="X19" s="38" t="s">
        <v>122</v>
      </c>
      <c r="Y19" s="38" t="s">
        <v>72</v>
      </c>
      <c r="Z19" s="38" t="s">
        <v>72</v>
      </c>
      <c r="AA19" s="38" t="s">
        <v>68</v>
      </c>
      <c r="AB19" s="38" t="s">
        <v>72</v>
      </c>
      <c r="AC19" s="38" t="s">
        <v>72</v>
      </c>
      <c r="AD19" s="38" t="s">
        <v>72</v>
      </c>
      <c r="AE19" s="38" t="s">
        <v>90</v>
      </c>
      <c r="AF19" s="38" t="s">
        <v>74</v>
      </c>
      <c r="AG19" t="str">
        <f>VLOOKUP($Q19,武学奇术!$A:$ZZ,25,FALSE)</f>
        <v>陌刀</v>
      </c>
      <c r="AH19" s="23">
        <f>VLOOKUP($Q19,武学奇术!$A:$ZZ,26,FALSE)</f>
        <v>0.5</v>
      </c>
      <c r="AI19" s="24">
        <f>VLOOKUP($Q19,武学奇术!$A:$ZZ,27,FALSE)*(1+IF(OR($AG19=$F$4,$AG19=$F$5),$B$22,0))</f>
        <v>0</v>
      </c>
      <c r="AJ19" s="23">
        <f>VLOOKUP($Q19,武学奇术!$A:$ZZ,28,FALSE)</f>
        <v>0.75</v>
      </c>
      <c r="AK19" s="24">
        <f>VLOOKUP($Q19,武学奇术!$A:$ZZ,29,FALSE)*(1+IF(OR($AG19=$F$4,$AG19=$F$5),$B$22,0))</f>
        <v>0</v>
      </c>
      <c r="AL19" s="23" cm="1">
        <f t="array" ref="AL19">$G$3+IFERROR(VLOOKUP($AG19,$F$4:$G$7,2,FALSE),0)+VLOOKUP($Q19,武学奇术!$A:$ZZ,2,FALSE)+SUM(_xlfn.XLOOKUP($R19:$AF19,增益!$A:$A,增益!$B:$B,0))</f>
        <v>0.933</v>
      </c>
      <c r="AM19" s="23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3018.8</v>
      </c>
      <c r="AO19" cm="1">
        <f t="array" ref="AO19">$E$10*(1+$AM19)+VLOOKUP($Q19,武学奇术!$A:$ZZ,4,FALSE)+SUM(_xlfn.XLOOKUP($R19:$AF19,增益!$A:$A,增益!$D:$D,0))-$I$2</f>
        <v>3018.8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0.377</v>
      </c>
      <c r="AQ19" s="30" cm="1">
        <f t="array" ref="AQ19">$G$10+VLOOKUP($Q19,武学奇术!$A:$ZZ,7,FALSE)+SUM(_xlfn.XLOOKUP(R19:AF19,增益!$A:$A,增益!$G:$G,0))</f>
        <v>0</v>
      </c>
      <c r="AR19" s="23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-0.08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634.5</v>
      </c>
      <c r="AX19">
        <f t="shared" si="4"/>
        <v>1443.3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0.198</v>
      </c>
      <c r="AZ19" s="30" cm="1">
        <f t="array" ref="AZ19">$G$12+VLOOKUP($Q19,武学奇术!$A:$ZZ,12,FALSE)+SUM(_xlfn.XLOOKUP(R19:AF19,增益!$A:$A,增益!$L:$L,0))</f>
        <v>0.148</v>
      </c>
      <c r="BA19">
        <f t="shared" si="5"/>
        <v>0</v>
      </c>
      <c r="BB19">
        <f t="shared" si="6"/>
        <v>0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-0.08</v>
      </c>
      <c r="BD19" s="30" cm="1">
        <f t="array" ref="BD19">$G$13+VLOOKUP($Q19,武学奇术!$A:$ZZ,14,FALSE)+SUM(_xlfn.XLOOKUP(R19:AF19,增益!$A:$A,增益!$N:$N,0))</f>
        <v>0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-0.08</v>
      </c>
      <c r="BH19" s="30" cm="1">
        <f t="array" ref="BH19">$G$14+VLOOKUP($Q19,武学奇术!$A:$ZZ,16,FALSE)+SUM(_xlfn.XLOOKUP(R19:AF19,增益!$A:$A,增益!$P:$P,0))</f>
        <v>0</v>
      </c>
      <c r="BI19" s="23">
        <f>MIN(IF(VLOOKUP($Q19,武学奇术!$A:$ZZ,23,FALSE)=1,100%,$B$8),100%)</f>
        <v>1</v>
      </c>
      <c r="BJ19" s="23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1</v>
      </c>
      <c r="BK19" s="23" cm="1">
        <f t="array" ref="BK19">1+$B$13+VLOOKUP($Q19,武学奇术!$A:$ZZ,18,FALSE)+SUM(_xlfn.XLOOKUP(R19:AF19,增益!$A:$A,增益!$R:$R,0))</f>
        <v>2.1</v>
      </c>
      <c r="BL19" s="23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</v>
      </c>
      <c r="BM19" s="23" cm="1">
        <f t="array" ref="BM19">1+$B$14+VLOOKUP($Q19,武学奇术!$A:$ZZ,20,FALSE)+SUM(_xlfn.XLOOKUP(R19:AF19,增益!$A:$A,增益!$T:$T,0))</f>
        <v>1.35</v>
      </c>
      <c r="BN19" s="23">
        <f t="shared" si="9"/>
        <v>1</v>
      </c>
      <c r="BO19" s="23">
        <f t="shared" si="10"/>
        <v>0</v>
      </c>
      <c r="BP19" s="23">
        <f>IF(VLOOKUP($Q19,武学奇术!$A:$ZZ,22,FALSE)=1,0,(1-$BI19))*(1-$BL19)</f>
        <v>0</v>
      </c>
      <c r="BQ19" s="23" cm="1">
        <f t="array" ref="BQ19">SUM(_xlfn.XLOOKUP(R19:AF19,增益!$A:$A,增益!$W:$W,0))</f>
        <v>0.13</v>
      </c>
    </row>
    <row r="20" spans="1:69">
      <c r="A20" s="39" t="s">
        <v>129</v>
      </c>
      <c r="B20" s="67">
        <f>期望!B20</f>
        <v>0</v>
      </c>
      <c r="C20" s="37" t="s">
        <v>130</v>
      </c>
      <c r="D20" s="37"/>
      <c r="K20" s="36">
        <f t="shared" si="0"/>
        <v>34331.514707743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34331.514707743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24992.8072260858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16348.3403370205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14183.4901361996</v>
      </c>
      <c r="P20" s="37">
        <v>1</v>
      </c>
      <c r="Q20" s="38" t="s">
        <v>106</v>
      </c>
      <c r="R20" s="38" t="s">
        <v>89</v>
      </c>
      <c r="S20" s="38" t="s">
        <v>78</v>
      </c>
      <c r="T20" s="38" t="s">
        <v>79</v>
      </c>
      <c r="U20" s="38" t="s">
        <v>111</v>
      </c>
      <c r="V20" s="38" t="s">
        <v>107</v>
      </c>
      <c r="W20" s="38" t="s">
        <v>104</v>
      </c>
      <c r="X20" s="38" t="s">
        <v>122</v>
      </c>
      <c r="Y20" s="38" t="s">
        <v>72</v>
      </c>
      <c r="Z20" s="38" t="s">
        <v>72</v>
      </c>
      <c r="AA20" s="38" t="s">
        <v>68</v>
      </c>
      <c r="AB20" s="38" t="s">
        <v>72</v>
      </c>
      <c r="AC20" s="38" t="s">
        <v>72</v>
      </c>
      <c r="AD20" s="38" t="s">
        <v>72</v>
      </c>
      <c r="AE20" s="38" t="s">
        <v>90</v>
      </c>
      <c r="AF20" s="38" t="s">
        <v>74</v>
      </c>
      <c r="AG20" t="str">
        <f>VLOOKUP($Q20,武学奇术!$A:$ZZ,25,FALSE)</f>
        <v>陌刀</v>
      </c>
      <c r="AH20" s="23">
        <f>VLOOKUP($Q20,武学奇术!$A:$ZZ,26,FALSE)</f>
        <v>0.9</v>
      </c>
      <c r="AI20" s="24">
        <f>VLOOKUP($Q20,武学奇术!$A:$ZZ,27,FALSE)*(1+IF(OR($AG20=$F$4,$AG20=$F$5),$B$22,0))</f>
        <v>0</v>
      </c>
      <c r="AJ20" s="23">
        <f>VLOOKUP($Q20,武学奇术!$A:$ZZ,28,FALSE)</f>
        <v>1.35</v>
      </c>
      <c r="AK20" s="24">
        <f>VLOOKUP($Q20,武学奇术!$A:$ZZ,29,FALSE)*(1+IF(OR($AG20=$F$4,$AG20=$F$5),$B$22,0))</f>
        <v>0</v>
      </c>
      <c r="AL20" s="23" cm="1">
        <f t="array" ref="AL20">$G$3+IFERROR(VLOOKUP($AG20,$F$4:$G$7,2,FALSE),0)+VLOOKUP($Q20,武学奇术!$A:$ZZ,2,FALSE)+SUM(_xlfn.XLOOKUP($R20:$AF20,增益!$A:$A,增益!$B:$B,0))</f>
        <v>0.933</v>
      </c>
      <c r="AM20" s="23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3018.8</v>
      </c>
      <c r="AO20" cm="1">
        <f t="array" ref="AO20">$E$10*(1+$AM20)+VLOOKUP($Q20,武学奇术!$A:$ZZ,4,FALSE)+SUM(_xlfn.XLOOKUP($R20:$AF20,增益!$A:$A,增益!$D:$D,0))-$I$2</f>
        <v>3018.8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0.377</v>
      </c>
      <c r="AQ20" s="30" cm="1">
        <f t="array" ref="AQ20">$G$10+VLOOKUP($Q20,武学奇术!$A:$ZZ,7,FALSE)+SUM(_xlfn.XLOOKUP(R20:AF20,增益!$A:$A,增益!$G:$G,0))</f>
        <v>0</v>
      </c>
      <c r="AR20" s="23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-0.08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634.5</v>
      </c>
      <c r="AX20">
        <f t="shared" si="4"/>
        <v>1443.3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0.198</v>
      </c>
      <c r="AZ20" s="30" cm="1">
        <f t="array" ref="AZ20">$G$12+VLOOKUP($Q20,武学奇术!$A:$ZZ,12,FALSE)+SUM(_xlfn.XLOOKUP(R20:AF20,增益!$A:$A,增益!$L:$L,0))</f>
        <v>0.148</v>
      </c>
      <c r="BA20">
        <f t="shared" si="5"/>
        <v>0</v>
      </c>
      <c r="BB20">
        <f t="shared" si="6"/>
        <v>0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-0.08</v>
      </c>
      <c r="BD20" s="30" cm="1">
        <f t="array" ref="BD20">$G$13+VLOOKUP($Q20,武学奇术!$A:$ZZ,14,FALSE)+SUM(_xlfn.XLOOKUP(R20:AF20,增益!$A:$A,增益!$N:$N,0))</f>
        <v>0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-0.08</v>
      </c>
      <c r="BH20" s="30" cm="1">
        <f t="array" ref="BH20">$G$14+VLOOKUP($Q20,武学奇术!$A:$ZZ,16,FALSE)+SUM(_xlfn.XLOOKUP(R20:AF20,增益!$A:$A,增益!$P:$P,0))</f>
        <v>0</v>
      </c>
      <c r="BI20" s="23">
        <f>MIN(IF(VLOOKUP($Q20,武学奇术!$A:$ZZ,23,FALSE)=1,100%,$B$8),100%)</f>
        <v>1</v>
      </c>
      <c r="BJ20" s="23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1</v>
      </c>
      <c r="BK20" s="23" cm="1">
        <f t="array" ref="BK20">1+$B$13+VLOOKUP($Q20,武学奇术!$A:$ZZ,18,FALSE)+SUM(_xlfn.XLOOKUP(R20:AF20,增益!$A:$A,增益!$R:$R,0))</f>
        <v>2.1</v>
      </c>
      <c r="BL20" s="23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</v>
      </c>
      <c r="BM20" s="23" cm="1">
        <f t="array" ref="BM20">1+$B$14+VLOOKUP($Q20,武学奇术!$A:$ZZ,20,FALSE)+SUM(_xlfn.XLOOKUP(R20:AF20,增益!$A:$A,增益!$T:$T,0))</f>
        <v>1.35</v>
      </c>
      <c r="BN20" s="23">
        <f t="shared" si="9"/>
        <v>1</v>
      </c>
      <c r="BO20" s="23">
        <f t="shared" si="10"/>
        <v>0</v>
      </c>
      <c r="BP20" s="23">
        <f>IF(VLOOKUP($Q20,武学奇术!$A:$ZZ,22,FALSE)=1,0,(1-$BI20))*(1-$BL20)</f>
        <v>0</v>
      </c>
      <c r="BQ20" s="23" cm="1">
        <f t="array" ref="BQ20">SUM(_xlfn.XLOOKUP(R20:AF20,增益!$A:$A,增益!$W:$W,0))</f>
        <v>0.13</v>
      </c>
    </row>
    <row r="21" ht="14.25" spans="1:69">
      <c r="A21" s="83" t="s">
        <v>131</v>
      </c>
      <c r="B21" s="84">
        <f>期望!B21</f>
        <v>0.32</v>
      </c>
      <c r="C21" s="38" t="s">
        <v>132</v>
      </c>
      <c r="D21" s="38"/>
      <c r="F21" s="37"/>
      <c r="K21" s="36">
        <f t="shared" si="0"/>
        <v>326451.977058259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326451.977058259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234181.378866821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155453.322408695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137438.956767893</v>
      </c>
      <c r="P21" s="37">
        <v>1</v>
      </c>
      <c r="Q21" s="38" t="s">
        <v>110</v>
      </c>
      <c r="R21" s="38" t="s">
        <v>89</v>
      </c>
      <c r="S21" s="38" t="s">
        <v>78</v>
      </c>
      <c r="T21" s="38" t="s">
        <v>79</v>
      </c>
      <c r="U21" s="38" t="s">
        <v>111</v>
      </c>
      <c r="V21" s="38" t="s">
        <v>107</v>
      </c>
      <c r="W21" s="38" t="s">
        <v>112</v>
      </c>
      <c r="X21" s="38" t="s">
        <v>122</v>
      </c>
      <c r="Y21" s="38" t="s">
        <v>72</v>
      </c>
      <c r="Z21" s="38" t="s">
        <v>72</v>
      </c>
      <c r="AA21" s="38" t="s">
        <v>68</v>
      </c>
      <c r="AB21" s="38" t="s">
        <v>72</v>
      </c>
      <c r="AC21" s="38" t="s">
        <v>72</v>
      </c>
      <c r="AD21" s="38" t="s">
        <v>72</v>
      </c>
      <c r="AE21" s="38" t="s">
        <v>90</v>
      </c>
      <c r="AF21" s="38" t="s">
        <v>74</v>
      </c>
      <c r="AG21" t="str">
        <f>VLOOKUP($Q21,武学奇术!$A:$ZZ,25,FALSE)</f>
        <v>陌刀</v>
      </c>
      <c r="AH21" s="23">
        <f>VLOOKUP($Q21,武学奇术!$A:$ZZ,26,FALSE)</f>
        <v>7.5674</v>
      </c>
      <c r="AI21" s="24">
        <f>VLOOKUP($Q21,武学奇术!$A:$ZZ,27,FALSE)*(1+IF(OR($AG21=$F$4,$AG21=$F$5),$B$22,0))</f>
        <v>2720.9</v>
      </c>
      <c r="AJ21" s="23">
        <f>VLOOKUP($Q21,武学奇术!$A:$ZZ,28,FALSE)</f>
        <v>11.3512</v>
      </c>
      <c r="AK21" s="24">
        <f>VLOOKUP($Q21,武学奇术!$A:$ZZ,29,FALSE)*(1+IF(OR($AG21=$F$4,$AG21=$F$5),$B$22,0))</f>
        <v>1482</v>
      </c>
      <c r="AL21" s="23" cm="1">
        <f t="array" ref="AL21">$G$3+IFERROR(VLOOKUP($AG21,$F$4:$G$7,2,FALSE),0)+VLOOKUP($Q21,武学奇术!$A:$ZZ,2,FALSE)+SUM(_xlfn.XLOOKUP($R21:$AF21,增益!$A:$A,增益!$B:$B,0))</f>
        <v>0.913</v>
      </c>
      <c r="AM21" s="23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3018.8</v>
      </c>
      <c r="AO21" cm="1">
        <f t="array" ref="AO21">$E$10*(1+$AM21)+VLOOKUP($Q21,武学奇术!$A:$ZZ,4,FALSE)+SUM(_xlfn.XLOOKUP($R21:$AF21,增益!$A:$A,增益!$D:$D,0))-$I$2</f>
        <v>3018.8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0.377</v>
      </c>
      <c r="AQ21" s="30" cm="1">
        <f t="array" ref="AQ21">$G$10+VLOOKUP($Q21,武学奇术!$A:$ZZ,7,FALSE)+SUM(_xlfn.XLOOKUP(R21:AF21,增益!$A:$A,增益!$G:$G,0))</f>
        <v>0</v>
      </c>
      <c r="AR21" s="23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-0.08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634.5</v>
      </c>
      <c r="AX21">
        <f t="shared" si="4"/>
        <v>1443.3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0.198</v>
      </c>
      <c r="AZ21" s="30" cm="1">
        <f t="array" ref="AZ21">$G$12+VLOOKUP($Q21,武学奇术!$A:$ZZ,12,FALSE)+SUM(_xlfn.XLOOKUP(R21:AF21,增益!$A:$A,增益!$L:$L,0))</f>
        <v>0.148</v>
      </c>
      <c r="BA21">
        <f t="shared" si="5"/>
        <v>0</v>
      </c>
      <c r="BB21">
        <f t="shared" si="6"/>
        <v>0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-0.08</v>
      </c>
      <c r="BD21" s="30" cm="1">
        <f t="array" ref="BD21">$G$13+VLOOKUP($Q21,武学奇术!$A:$ZZ,14,FALSE)+SUM(_xlfn.XLOOKUP(R21:AF21,增益!$A:$A,增益!$N:$N,0))</f>
        <v>0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-0.08</v>
      </c>
      <c r="BH21" s="30" cm="1">
        <f t="array" ref="BH21">$G$14+VLOOKUP($Q21,武学奇术!$A:$ZZ,16,FALSE)+SUM(_xlfn.XLOOKUP(R21:AF21,增益!$A:$A,增益!$P:$P,0))</f>
        <v>0</v>
      </c>
      <c r="BI21" s="23">
        <f>MIN(IF(VLOOKUP($Q21,武学奇术!$A:$ZZ,23,FALSE)=1,100%,$B$8),100%)</f>
        <v>1</v>
      </c>
      <c r="BJ21" s="23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1</v>
      </c>
      <c r="BK21" s="23" cm="1">
        <f t="array" ref="BK21">1+$B$13+VLOOKUP($Q21,武学奇术!$A:$ZZ,18,FALSE)+SUM(_xlfn.XLOOKUP(R21:AF21,增益!$A:$A,增益!$R:$R,0))</f>
        <v>2.1</v>
      </c>
      <c r="BL21" s="23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</v>
      </c>
      <c r="BM21" s="23" cm="1">
        <f t="array" ref="BM21">1+$B$14+VLOOKUP($Q21,武学奇术!$A:$ZZ,20,FALSE)+SUM(_xlfn.XLOOKUP(R21:AF21,增益!$A:$A,增益!$T:$T,0))</f>
        <v>1.35</v>
      </c>
      <c r="BN21" s="23">
        <f t="shared" si="9"/>
        <v>1</v>
      </c>
      <c r="BO21" s="23">
        <f t="shared" si="10"/>
        <v>0</v>
      </c>
      <c r="BP21" s="23">
        <f>IF(VLOOKUP($Q21,武学奇术!$A:$ZZ,22,FALSE)=1,0,(1-$BI21))*(1-$BL21)</f>
        <v>0</v>
      </c>
      <c r="BQ21" s="23" cm="1">
        <f t="array" ref="BQ21">SUM(_xlfn.XLOOKUP(R21:AF21,增益!$A:$A,增益!$W:$W,0))</f>
        <v>0.13</v>
      </c>
    </row>
    <row r="22" spans="1:69">
      <c r="A22" t="s">
        <v>133</v>
      </c>
      <c r="B22" s="25">
        <v>0.3</v>
      </c>
      <c r="K22" s="36">
        <f t="shared" si="0"/>
        <v>150065.292051032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167368.873852722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130820.574107727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85830.1917193445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74756.2544700022</v>
      </c>
      <c r="P22" s="37">
        <v>1</v>
      </c>
      <c r="Q22" s="38" t="s">
        <v>134</v>
      </c>
      <c r="R22" s="38" t="s">
        <v>89</v>
      </c>
      <c r="S22" s="38" t="s">
        <v>78</v>
      </c>
      <c r="T22" s="38" t="s">
        <v>79</v>
      </c>
      <c r="U22" s="38" t="s">
        <v>80</v>
      </c>
      <c r="V22" s="38" t="s">
        <v>72</v>
      </c>
      <c r="W22" s="38" t="s">
        <v>73</v>
      </c>
      <c r="X22" s="38" t="s">
        <v>122</v>
      </c>
      <c r="Y22" s="38" t="s">
        <v>72</v>
      </c>
      <c r="Z22" s="38" t="s">
        <v>72</v>
      </c>
      <c r="AA22" s="38" t="s">
        <v>72</v>
      </c>
      <c r="AB22" s="38" t="s">
        <v>72</v>
      </c>
      <c r="AC22" s="38" t="s">
        <v>72</v>
      </c>
      <c r="AD22" s="38" t="s">
        <v>72</v>
      </c>
      <c r="AE22" s="38" t="s">
        <v>90</v>
      </c>
      <c r="AF22" s="38" t="s">
        <v>74</v>
      </c>
      <c r="AG22" t="str">
        <f>VLOOKUP($Q22,武学奇术!$A:$ZZ,25,FALSE)</f>
        <v>单体奇术</v>
      </c>
      <c r="AH22" s="23">
        <f>VLOOKUP($Q22,武学奇术!$A:$ZZ,26,FALSE)</f>
        <v>7.1064</v>
      </c>
      <c r="AI22" s="24">
        <f>VLOOKUP($Q22,武学奇术!$A:$ZZ,27,FALSE)*(1+IF(OR($AG22=$F$4,$AG22=$F$5),$B$22,0))</f>
        <v>1269</v>
      </c>
      <c r="AJ22" s="23">
        <f>VLOOKUP($Q22,武学奇术!$A:$ZZ,28,FALSE)</f>
        <v>10.6596</v>
      </c>
      <c r="AK22" s="24">
        <f>VLOOKUP($Q22,武学奇术!$A:$ZZ,29,FALSE)*(1+IF(OR($AG22=$F$4,$AG22=$F$5),$B$22,0))</f>
        <v>0</v>
      </c>
      <c r="AL22" s="23" cm="1">
        <f t="array" ref="AL22">$G$3+IFERROR(VLOOKUP($AG22,$F$4:$G$7,2,FALSE),0)+VLOOKUP($Q22,武学奇术!$A:$ZZ,2,FALSE)+SUM(_xlfn.XLOOKUP($R22:$AF22,增益!$A:$A,增益!$B:$B,0))</f>
        <v>0.653</v>
      </c>
      <c r="AM22" s="23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3018.8</v>
      </c>
      <c r="AO22" cm="1">
        <f t="array" ref="AO22">$E$10*(1+$AM22)+VLOOKUP($Q22,武学奇术!$A:$ZZ,4,FALSE)+SUM(_xlfn.XLOOKUP($R22:$AF22,增益!$A:$A,增益!$D:$D,0))-$I$2</f>
        <v>3018.8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0.352</v>
      </c>
      <c r="AQ22" s="30" cm="1">
        <f t="array" ref="AQ22">$G$10+VLOOKUP($Q22,武学奇术!$A:$ZZ,7,FALSE)+SUM(_xlfn.XLOOKUP(R22:AF22,增益!$A:$A,增益!$G:$G,0))</f>
        <v>0</v>
      </c>
      <c r="AR22" s="23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-0.08</v>
      </c>
      <c r="AV22" s="30" cm="1">
        <f t="array" ref="AV22">$G$11+VLOOKUP($Q22,武学奇术!$A:$ZZ,10,FALSE)+SUM(_xlfn.XLOOKUP(R22:AF22,增益!$A:$A,增益!$J:$J,0))</f>
        <v>0</v>
      </c>
      <c r="AW22">
        <f t="shared" si="3"/>
        <v>634.5</v>
      </c>
      <c r="AX22">
        <f t="shared" si="4"/>
        <v>1443.3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0.198</v>
      </c>
      <c r="AZ22" s="30" cm="1">
        <f t="array" ref="AZ22">$G$12+VLOOKUP($Q22,武学奇术!$A:$ZZ,12,FALSE)+SUM(_xlfn.XLOOKUP(R22:AF22,增益!$A:$A,增益!$L:$L,0))</f>
        <v>0.148</v>
      </c>
      <c r="BA22">
        <f t="shared" si="5"/>
        <v>0</v>
      </c>
      <c r="BB22">
        <f t="shared" si="6"/>
        <v>0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-0.08</v>
      </c>
      <c r="BD22" s="30" cm="1">
        <f t="array" ref="BD22">$G$13+VLOOKUP($Q22,武学奇术!$A:$ZZ,14,FALSE)+SUM(_xlfn.XLOOKUP(R22:AF22,增益!$A:$A,增益!$N:$N,0))</f>
        <v>0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-0.08</v>
      </c>
      <c r="BH22" s="30" cm="1">
        <f t="array" ref="BH22">$G$14+VLOOKUP($Q22,武学奇术!$A:$ZZ,16,FALSE)+SUM(_xlfn.XLOOKUP(R22:AF22,增益!$A:$A,增益!$P:$P,0))</f>
        <v>0</v>
      </c>
      <c r="BI22" s="23">
        <f>MIN(IF(VLOOKUP($Q22,武学奇术!$A:$ZZ,23,FALSE)=1,100%,$B$8),100%)</f>
        <v>0.8626</v>
      </c>
      <c r="BJ22" s="23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0.8697</v>
      </c>
      <c r="BK22" s="23" cm="1">
        <f t="array" ref="BK22">1+$B$13+VLOOKUP($Q22,武学奇术!$A:$ZZ,18,FALSE)+SUM(_xlfn.XLOOKUP(R22:AF22,增益!$A:$A,增益!$R:$R,0))</f>
        <v>1.95</v>
      </c>
      <c r="BL22" s="23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0.0986</v>
      </c>
      <c r="BM22" s="23" cm="1">
        <f t="array" ref="BM22">1+$B$14+VLOOKUP($Q22,武学奇术!$A:$ZZ,20,FALSE)+SUM(_xlfn.XLOOKUP(R22:AF22,增益!$A:$A,增益!$T:$T,0))</f>
        <v>1.35</v>
      </c>
      <c r="BN22" s="23">
        <f t="shared" si="9"/>
        <v>0.75020322</v>
      </c>
      <c r="BO22" s="23">
        <f t="shared" si="10"/>
        <v>0.0273444200000001</v>
      </c>
      <c r="BP22" s="23">
        <f>IF(VLOOKUP($Q22,武学奇术!$A:$ZZ,22,FALSE)=1,0,(1-$BI22))*(1-$BL22)</f>
        <v>0.12385236</v>
      </c>
      <c r="BQ22" s="23" cm="1">
        <f t="array" ref="BQ22">SUM(_xlfn.XLOOKUP(R22:AF22,增益!$A:$A,增益!$W:$W,0))</f>
        <v>0.13</v>
      </c>
    </row>
    <row r="23" spans="1:69">
      <c r="A23" s="37" t="s">
        <v>135</v>
      </c>
      <c r="B23">
        <v>160</v>
      </c>
      <c r="K23" s="36">
        <f t="shared" si="0"/>
        <v>13801.5227211365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15456.2377983112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11752.2082606101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7728.11889915561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6750.89834600741</v>
      </c>
      <c r="P23" s="37">
        <v>1</v>
      </c>
      <c r="Q23" s="38" t="s">
        <v>102</v>
      </c>
      <c r="R23" s="38" t="s">
        <v>89</v>
      </c>
      <c r="S23" s="38" t="s">
        <v>72</v>
      </c>
      <c r="T23" s="38" t="s">
        <v>72</v>
      </c>
      <c r="U23" s="38" t="s">
        <v>111</v>
      </c>
      <c r="V23" s="38" t="s">
        <v>72</v>
      </c>
      <c r="W23" s="38" t="s">
        <v>72</v>
      </c>
      <c r="X23" s="38" t="s">
        <v>122</v>
      </c>
      <c r="Y23" s="38" t="s">
        <v>72</v>
      </c>
      <c r="Z23" s="38" t="s">
        <v>72</v>
      </c>
      <c r="AA23" s="38" t="s">
        <v>68</v>
      </c>
      <c r="AB23" s="38" t="s">
        <v>72</v>
      </c>
      <c r="AC23" s="38" t="s">
        <v>72</v>
      </c>
      <c r="AD23" s="38" t="s">
        <v>72</v>
      </c>
      <c r="AE23" s="38" t="s">
        <v>90</v>
      </c>
      <c r="AF23" s="38" t="s">
        <v>74</v>
      </c>
      <c r="AG23" t="str">
        <f>VLOOKUP($Q23,武学奇术!$A:$ZZ,25,FALSE)</f>
        <v>陌刀</v>
      </c>
      <c r="AH23" s="23">
        <f>VLOOKUP($Q23,武学奇术!$A:$ZZ,26,FALSE)</f>
        <v>0.5</v>
      </c>
      <c r="AI23" s="24">
        <f>VLOOKUP($Q23,武学奇术!$A:$ZZ,27,FALSE)*(1+IF(OR($AG23=$F$4,$AG23=$F$5),$B$22,0))</f>
        <v>0</v>
      </c>
      <c r="AJ23" s="23">
        <f>VLOOKUP($Q23,武学奇术!$A:$ZZ,28,FALSE)</f>
        <v>0.75</v>
      </c>
      <c r="AK23" s="24">
        <f>VLOOKUP($Q23,武学奇术!$A:$ZZ,29,FALSE)*(1+IF(OR($AG23=$F$4,$AG23=$F$5),$B$22,0))</f>
        <v>0</v>
      </c>
      <c r="AL23" s="23" cm="1">
        <f t="array" ref="AL23">$G$3+IFERROR(VLOOKUP($AG23,$F$4:$G$7,2,FALSE),0)+VLOOKUP($Q23,武学奇术!$A:$ZZ,2,FALSE)+SUM(_xlfn.XLOOKUP($R23:$AF23,增益!$A:$A,增益!$B:$B,0))</f>
        <v>0.683</v>
      </c>
      <c r="AM23" s="23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3018.8</v>
      </c>
      <c r="AO23" cm="1">
        <f t="array" ref="AO23">$E$10*(1+$AM23)+VLOOKUP($Q23,武学奇术!$A:$ZZ,4,FALSE)+SUM(_xlfn.XLOOKUP($R23:$AF23,增益!$A:$A,增益!$D:$D,0))-$I$2</f>
        <v>3018.8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0.377</v>
      </c>
      <c r="AQ23" s="30" cm="1">
        <f t="array" ref="AQ23">$G$10+VLOOKUP($Q23,武学奇术!$A:$ZZ,7,FALSE)+SUM(_xlfn.XLOOKUP(R23:AF23,增益!$A:$A,增益!$G:$G,0))</f>
        <v>0</v>
      </c>
      <c r="AR23" s="23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-0.24</v>
      </c>
      <c r="AV23" s="30" cm="1">
        <f t="array" ref="AV23">$G$11+VLOOKUP($Q23,武学奇术!$A:$ZZ,10,FALSE)+SUM(_xlfn.XLOOKUP(R23:AF23,增益!$A:$A,增益!$J:$J,0))</f>
        <v>0</v>
      </c>
      <c r="AW23">
        <f t="shared" si="3"/>
        <v>634.5</v>
      </c>
      <c r="AX23">
        <f t="shared" si="4"/>
        <v>1443.3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0.118</v>
      </c>
      <c r="AZ23" s="30" cm="1">
        <f t="array" ref="AZ23">$G$12+VLOOKUP($Q23,武学奇术!$A:$ZZ,12,FALSE)+SUM(_xlfn.XLOOKUP(R23:AF23,增益!$A:$A,增益!$L:$L,0))</f>
        <v>0.148</v>
      </c>
      <c r="BA23">
        <f t="shared" si="5"/>
        <v>0</v>
      </c>
      <c r="BB23">
        <f t="shared" si="6"/>
        <v>0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-0.24</v>
      </c>
      <c r="BD23" s="30" cm="1">
        <f t="array" ref="BD23">$G$13+VLOOKUP($Q23,武学奇术!$A:$ZZ,14,FALSE)+SUM(_xlfn.XLOOKUP(R23:AF23,增益!$A:$A,增益!$N:$N,0))</f>
        <v>0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-0.24</v>
      </c>
      <c r="BH23" s="30" cm="1">
        <f t="array" ref="BH23">$G$14+VLOOKUP($Q23,武学奇术!$A:$ZZ,16,FALSE)+SUM(_xlfn.XLOOKUP(R23:AF23,增益!$A:$A,增益!$P:$P,0))</f>
        <v>0</v>
      </c>
      <c r="BI23" s="23">
        <f>MIN(IF(VLOOKUP($Q23,武学奇术!$A:$ZZ,23,FALSE)=1,100%,$B$8),100%)</f>
        <v>0.8626</v>
      </c>
      <c r="BJ23" s="23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0.8697</v>
      </c>
      <c r="BK23" s="23" cm="1">
        <f t="array" ref="BK23">1+$B$13+VLOOKUP($Q23,武学奇术!$A:$ZZ,18,FALSE)+SUM(_xlfn.XLOOKUP(R23:AF23,增益!$A:$A,增益!$R:$R,0))</f>
        <v>2</v>
      </c>
      <c r="BL23" s="23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0.0986</v>
      </c>
      <c r="BM23" s="23" cm="1">
        <f t="array" ref="BM23">1+$B$14+VLOOKUP($Q23,武学奇术!$A:$ZZ,20,FALSE)+SUM(_xlfn.XLOOKUP(R23:AF23,增益!$A:$A,增益!$T:$T,0))</f>
        <v>1.35</v>
      </c>
      <c r="BN23" s="23">
        <f t="shared" si="9"/>
        <v>0.75020322</v>
      </c>
      <c r="BO23" s="23">
        <f t="shared" si="10"/>
        <v>0.0273444200000001</v>
      </c>
      <c r="BP23" s="23">
        <f>IF(VLOOKUP($Q23,武学奇术!$A:$ZZ,22,FALSE)=1,0,(1-$BI23))*(1-$BL23)</f>
        <v>0.12385236</v>
      </c>
      <c r="BQ23" s="23" cm="1">
        <f t="array" ref="BQ23">SUM(_xlfn.XLOOKUP(R23:AF23,增益!$A:$A,增益!$W:$W,0))</f>
        <v>0.13</v>
      </c>
    </row>
    <row r="24" spans="1:69">
      <c r="A24" s="37"/>
      <c r="B24">
        <v>320</v>
      </c>
      <c r="K24" s="36">
        <f t="shared" si="0"/>
        <v>24842.7408980457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27821.2280369602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21153.9748690982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13910.6140184801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12151.6170228133</v>
      </c>
      <c r="P24" s="37">
        <v>1</v>
      </c>
      <c r="Q24" s="38" t="s">
        <v>136</v>
      </c>
      <c r="R24" s="38" t="s">
        <v>89</v>
      </c>
      <c r="S24" s="38" t="s">
        <v>72</v>
      </c>
      <c r="T24" s="38" t="s">
        <v>72</v>
      </c>
      <c r="U24" s="38" t="s">
        <v>111</v>
      </c>
      <c r="V24" s="38" t="s">
        <v>72</v>
      </c>
      <c r="W24" s="38" t="s">
        <v>72</v>
      </c>
      <c r="X24" s="38" t="s">
        <v>122</v>
      </c>
      <c r="Y24" s="38" t="s">
        <v>72</v>
      </c>
      <c r="Z24" s="38" t="s">
        <v>72</v>
      </c>
      <c r="AA24" s="38" t="s">
        <v>68</v>
      </c>
      <c r="AB24" s="38" t="s">
        <v>72</v>
      </c>
      <c r="AC24" s="38" t="s">
        <v>72</v>
      </c>
      <c r="AD24" s="38" t="s">
        <v>72</v>
      </c>
      <c r="AE24" s="38" t="s">
        <v>90</v>
      </c>
      <c r="AF24" s="38" t="s">
        <v>74</v>
      </c>
      <c r="AG24" t="str">
        <f>VLOOKUP($Q24,武学奇术!$A:$ZZ,25,FALSE)</f>
        <v>陌刀</v>
      </c>
      <c r="AH24" s="23">
        <f>VLOOKUP($Q24,武学奇术!$A:$ZZ,26,FALSE)</f>
        <v>0.9</v>
      </c>
      <c r="AI24" s="24">
        <f>VLOOKUP($Q24,武学奇术!$A:$ZZ,27,FALSE)*(1+IF(OR($AG24=$F$4,$AG24=$F$5),$B$22,0))</f>
        <v>0</v>
      </c>
      <c r="AJ24" s="23">
        <f>VLOOKUP($Q24,武学奇术!$A:$ZZ,28,FALSE)</f>
        <v>1.35</v>
      </c>
      <c r="AK24" s="24">
        <f>VLOOKUP($Q24,武学奇术!$A:$ZZ,29,FALSE)*(1+IF(OR($AG24=$F$4,$AG24=$F$5),$B$22,0))</f>
        <v>0</v>
      </c>
      <c r="AL24" s="23" cm="1">
        <f t="array" ref="AL24">$G$3+IFERROR(VLOOKUP($AG24,$F$4:$G$7,2,FALSE),0)+VLOOKUP($Q24,武学奇术!$A:$ZZ,2,FALSE)+SUM(_xlfn.XLOOKUP($R24:$AF24,增益!$A:$A,增益!$B:$B,0))</f>
        <v>0.683</v>
      </c>
      <c r="AM24" s="23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3018.8</v>
      </c>
      <c r="AO24" cm="1">
        <f t="array" ref="AO24">$E$10*(1+$AM24)+VLOOKUP($Q24,武学奇术!$A:$ZZ,4,FALSE)+SUM(_xlfn.XLOOKUP($R24:$AF24,增益!$A:$A,增益!$D:$D,0))-$I$2</f>
        <v>3018.8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0.377</v>
      </c>
      <c r="AQ24" s="30" cm="1">
        <f t="array" ref="AQ24">$G$10+VLOOKUP($Q24,武学奇术!$A:$ZZ,7,FALSE)+SUM(_xlfn.XLOOKUP(R24:AF24,增益!$A:$A,增益!$G:$G,0))</f>
        <v>0</v>
      </c>
      <c r="AR24" s="23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-0.24</v>
      </c>
      <c r="AV24" s="30" cm="1">
        <f t="array" ref="AV24">$G$11+VLOOKUP($Q24,武学奇术!$A:$ZZ,10,FALSE)+SUM(_xlfn.XLOOKUP(R24:AF24,增益!$A:$A,增益!$J:$J,0))</f>
        <v>0</v>
      </c>
      <c r="AW24">
        <f t="shared" si="3"/>
        <v>634.5</v>
      </c>
      <c r="AX24">
        <f t="shared" si="4"/>
        <v>1443.3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0.118</v>
      </c>
      <c r="AZ24" s="30" cm="1">
        <f t="array" ref="AZ24">$G$12+VLOOKUP($Q24,武学奇术!$A:$ZZ,12,FALSE)+SUM(_xlfn.XLOOKUP(R24:AF24,增益!$A:$A,增益!$L:$L,0))</f>
        <v>0.148</v>
      </c>
      <c r="BA24">
        <f t="shared" si="5"/>
        <v>0</v>
      </c>
      <c r="BB24">
        <f t="shared" si="6"/>
        <v>0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-0.24</v>
      </c>
      <c r="BD24" s="30" cm="1">
        <f t="array" ref="BD24">$G$13+VLOOKUP($Q24,武学奇术!$A:$ZZ,14,FALSE)+SUM(_xlfn.XLOOKUP(R24:AF24,增益!$A:$A,增益!$N:$N,0))</f>
        <v>0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-0.24</v>
      </c>
      <c r="BH24" s="30" cm="1">
        <f t="array" ref="BH24">$G$14+VLOOKUP($Q24,武学奇术!$A:$ZZ,16,FALSE)+SUM(_xlfn.XLOOKUP(R24:AF24,增益!$A:$A,增益!$P:$P,0))</f>
        <v>0</v>
      </c>
      <c r="BI24" s="23">
        <f>MIN(IF(VLOOKUP($Q24,武学奇术!$A:$ZZ,23,FALSE)=1,100%,$B$8),100%)</f>
        <v>0.8626</v>
      </c>
      <c r="BJ24" s="23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0.8697</v>
      </c>
      <c r="BK24" s="23" cm="1">
        <f t="array" ref="BK24">1+$B$13+VLOOKUP($Q24,武学奇术!$A:$ZZ,18,FALSE)+SUM(_xlfn.XLOOKUP(R24:AF24,增益!$A:$A,增益!$R:$R,0))</f>
        <v>2</v>
      </c>
      <c r="BL24" s="23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0.0986</v>
      </c>
      <c r="BM24" s="23" cm="1">
        <f t="array" ref="BM24">1+$B$14+VLOOKUP($Q24,武学奇术!$A:$ZZ,20,FALSE)+SUM(_xlfn.XLOOKUP(R24:AF24,增益!$A:$A,增益!$T:$T,0))</f>
        <v>1.35</v>
      </c>
      <c r="BN24" s="23">
        <f t="shared" si="9"/>
        <v>0.75020322</v>
      </c>
      <c r="BO24" s="23">
        <f t="shared" si="10"/>
        <v>0.0273444200000001</v>
      </c>
      <c r="BP24" s="23">
        <f>IF(VLOOKUP($Q24,武学奇术!$A:$ZZ,22,FALSE)=1,0,(1-$BI24))*(1-$BL24)</f>
        <v>0.12385236</v>
      </c>
      <c r="BQ24" s="23" cm="1">
        <f t="array" ref="BQ24">SUM(_xlfn.XLOOKUP(R24:AF24,增益!$A:$A,增益!$W:$W,0))</f>
        <v>0.13</v>
      </c>
    </row>
    <row r="25" spans="1:69">
      <c r="K25" s="36">
        <f t="shared" si="0"/>
        <v>180636.441315559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202310.052274461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151685.604049798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101155.02613723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89950.3455709069</v>
      </c>
      <c r="P25" s="37">
        <v>1</v>
      </c>
      <c r="Q25" s="38" t="s">
        <v>137</v>
      </c>
      <c r="R25" s="38" t="s">
        <v>89</v>
      </c>
      <c r="S25" s="38" t="s">
        <v>72</v>
      </c>
      <c r="T25" s="38" t="s">
        <v>72</v>
      </c>
      <c r="U25" s="38" t="s">
        <v>111</v>
      </c>
      <c r="V25" s="38" t="s">
        <v>72</v>
      </c>
      <c r="W25" s="38" t="s">
        <v>72</v>
      </c>
      <c r="X25" s="38" t="s">
        <v>122</v>
      </c>
      <c r="Y25" s="38" t="s">
        <v>72</v>
      </c>
      <c r="Z25" s="38" t="s">
        <v>72</v>
      </c>
      <c r="AA25" s="38" t="s">
        <v>68</v>
      </c>
      <c r="AB25" s="38" t="s">
        <v>72</v>
      </c>
      <c r="AC25" s="38" t="s">
        <v>72</v>
      </c>
      <c r="AD25" s="38" t="s">
        <v>72</v>
      </c>
      <c r="AE25" s="38" t="s">
        <v>90</v>
      </c>
      <c r="AF25" s="38" t="s">
        <v>74</v>
      </c>
      <c r="AG25" t="str">
        <f>VLOOKUP($Q25,武学奇术!$A:$ZZ,25,FALSE)</f>
        <v>陌刀</v>
      </c>
      <c r="AH25" s="23">
        <f>VLOOKUP($Q25,武学奇术!$A:$ZZ,26,FALSE)</f>
        <v>5.733</v>
      </c>
      <c r="AI25" s="24">
        <f>VLOOKUP($Q25,武学奇术!$A:$ZZ,27,FALSE)*(1+IF(OR($AG25=$F$4,$AG25=$F$5),$B$22,0))</f>
        <v>2060.5</v>
      </c>
      <c r="AJ25" s="23">
        <f>VLOOKUP($Q25,武学奇术!$A:$ZZ,28,FALSE)</f>
        <v>8.5994</v>
      </c>
      <c r="AK25" s="24">
        <f>VLOOKUP($Q25,武学奇术!$A:$ZZ,29,FALSE)*(1+IF(OR($AG25=$F$4,$AG25=$F$5),$B$22,0))</f>
        <v>1121.9</v>
      </c>
      <c r="AL25" s="23" cm="1">
        <f t="array" ref="AL25">$G$3+IFERROR(VLOOKUP($AG25,$F$4:$G$7,2,FALSE),0)+VLOOKUP($Q25,武学奇术!$A:$ZZ,2,FALSE)+SUM(_xlfn.XLOOKUP($R25:$AF25,增益!$A:$A,增益!$B:$B,0))</f>
        <v>0.683</v>
      </c>
      <c r="AM25" s="23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3018.8</v>
      </c>
      <c r="AO25" cm="1">
        <f t="array" ref="AO25">$E$10*(1+$AM25)+VLOOKUP($Q25,武学奇术!$A:$ZZ,4,FALSE)+SUM(_xlfn.XLOOKUP($R25:$AF25,增益!$A:$A,增益!$D:$D,0))-$I$2</f>
        <v>3018.8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0.377</v>
      </c>
      <c r="AQ25" s="30" cm="1">
        <f t="array" ref="AQ25">$G$10+VLOOKUP($Q25,武学奇术!$A:$ZZ,7,FALSE)+SUM(_xlfn.XLOOKUP(R25:AF25,增益!$A:$A,增益!$G:$G,0))</f>
        <v>0</v>
      </c>
      <c r="AR25" s="23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-0.24</v>
      </c>
      <c r="AV25" s="30" cm="1">
        <f t="array" ref="AV25">$G$11+VLOOKUP($Q25,武学奇术!$A:$ZZ,10,FALSE)+SUM(_xlfn.XLOOKUP(R25:AF25,增益!$A:$A,增益!$J:$J,0))</f>
        <v>0</v>
      </c>
      <c r="AW25">
        <f t="shared" si="3"/>
        <v>634.5</v>
      </c>
      <c r="AX25">
        <f t="shared" si="4"/>
        <v>1443.3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0.118</v>
      </c>
      <c r="AZ25" s="30" cm="1">
        <f t="array" ref="AZ25">$G$12+VLOOKUP($Q25,武学奇术!$A:$ZZ,12,FALSE)+SUM(_xlfn.XLOOKUP(R25:AF25,增益!$A:$A,增益!$L:$L,0))</f>
        <v>0.148</v>
      </c>
      <c r="BA25">
        <f t="shared" si="5"/>
        <v>0</v>
      </c>
      <c r="BB25">
        <f t="shared" si="6"/>
        <v>0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-0.24</v>
      </c>
      <c r="BD25" s="30" cm="1">
        <f t="array" ref="BD25">$G$13+VLOOKUP($Q25,武学奇术!$A:$ZZ,14,FALSE)+SUM(_xlfn.XLOOKUP(R25:AF25,增益!$A:$A,增益!$N:$N,0))</f>
        <v>0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-0.24</v>
      </c>
      <c r="BH25" s="30" cm="1">
        <f t="array" ref="BH25">$G$14+VLOOKUP($Q25,武学奇术!$A:$ZZ,16,FALSE)+SUM(_xlfn.XLOOKUP(R25:AF25,增益!$A:$A,增益!$P:$P,0))</f>
        <v>0</v>
      </c>
      <c r="BI25" s="23">
        <f>MIN(IF(VLOOKUP($Q25,武学奇术!$A:$ZZ,23,FALSE)=1,100%,$B$8),100%)</f>
        <v>0.8626</v>
      </c>
      <c r="BJ25" s="23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0.8697</v>
      </c>
      <c r="BK25" s="23" cm="1">
        <f t="array" ref="BK25">1+$B$13+VLOOKUP($Q25,武学奇术!$A:$ZZ,18,FALSE)+SUM(_xlfn.XLOOKUP(R25:AF25,增益!$A:$A,增益!$R:$R,0))</f>
        <v>2</v>
      </c>
      <c r="BL25" s="23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0.0986</v>
      </c>
      <c r="BM25" s="23" cm="1">
        <f t="array" ref="BM25">1+$B$14+VLOOKUP($Q25,武学奇术!$A:$ZZ,20,FALSE)+SUM(_xlfn.XLOOKUP(R25:AF25,增益!$A:$A,增益!$T:$T,0))</f>
        <v>1.35</v>
      </c>
      <c r="BN25" s="23">
        <f t="shared" si="9"/>
        <v>0.75020322</v>
      </c>
      <c r="BO25" s="23">
        <f t="shared" si="10"/>
        <v>0.0273444200000001</v>
      </c>
      <c r="BP25" s="23">
        <f>IF(VLOOKUP($Q25,武学奇术!$A:$ZZ,22,FALSE)=1,0,(1-$BI25))*(1-$BL25)</f>
        <v>0.12385236</v>
      </c>
      <c r="BQ25" s="23" cm="1">
        <f t="array" ref="BQ25">SUM(_xlfn.XLOOKUP(R25:AF25,增益!$A:$A,增益!$W:$W,0))</f>
        <v>0.13</v>
      </c>
    </row>
    <row r="26" spans="1:69">
      <c r="A26" t="s">
        <v>138</v>
      </c>
      <c r="B26">
        <v>2</v>
      </c>
      <c r="K26" s="36">
        <f t="shared" si="0"/>
        <v>45242.238706162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50670.624036599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37990.1115740104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25335.3120182995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22529.8006484431</v>
      </c>
      <c r="P26" s="37">
        <v>1</v>
      </c>
      <c r="Q26" s="38" t="s">
        <v>139</v>
      </c>
      <c r="R26" s="38" t="s">
        <v>89</v>
      </c>
      <c r="S26" s="38" t="s">
        <v>72</v>
      </c>
      <c r="T26" s="38" t="s">
        <v>72</v>
      </c>
      <c r="U26" s="38" t="s">
        <v>111</v>
      </c>
      <c r="V26" s="38" t="s">
        <v>72</v>
      </c>
      <c r="W26" s="38" t="s">
        <v>72</v>
      </c>
      <c r="X26" s="38" t="s">
        <v>122</v>
      </c>
      <c r="Y26" s="38" t="s">
        <v>72</v>
      </c>
      <c r="Z26" s="38" t="s">
        <v>72</v>
      </c>
      <c r="AA26" s="38" t="s">
        <v>68</v>
      </c>
      <c r="AB26" s="38" t="s">
        <v>72</v>
      </c>
      <c r="AC26" s="38" t="s">
        <v>72</v>
      </c>
      <c r="AD26" s="38" t="s">
        <v>72</v>
      </c>
      <c r="AE26" s="38" t="s">
        <v>90</v>
      </c>
      <c r="AF26" s="38" t="s">
        <v>74</v>
      </c>
      <c r="AG26" t="str">
        <f>VLOOKUP($Q26,武学奇术!$A:$ZZ,25,FALSE)</f>
        <v>陌刀</v>
      </c>
      <c r="AH26" s="23">
        <f>VLOOKUP($Q26,武学奇术!$A:$ZZ,26,FALSE)</f>
        <v>1.8948</v>
      </c>
      <c r="AI26" s="24">
        <f>VLOOKUP($Q26,武学奇术!$A:$ZZ,27,FALSE)*(1+IF(OR($AG26=$F$4,$AG26=$F$5),$B$22,0))</f>
        <v>682.5</v>
      </c>
      <c r="AJ26" s="23">
        <f>VLOOKUP($Q26,武学奇术!$A:$ZZ,28,FALSE)</f>
        <v>2.8422</v>
      </c>
      <c r="AK26" s="24">
        <f>VLOOKUP($Q26,武学奇术!$A:$ZZ,29,FALSE)*(1+IF(OR($AG26=$F$4,$AG26=$F$5),$B$22,0))</f>
        <v>371.8</v>
      </c>
      <c r="AL26" s="23" cm="1">
        <f t="array" ref="AL26">$G$3+IFERROR(VLOOKUP($AG26,$F$4:$G$7,2,FALSE),0)+VLOOKUP($Q26,武学奇术!$A:$ZZ,2,FALSE)+SUM(_xlfn.XLOOKUP($R26:$AF26,增益!$A:$A,增益!$B:$B,0))</f>
        <v>0.683</v>
      </c>
      <c r="AM26" s="23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3018.8</v>
      </c>
      <c r="AO26" cm="1">
        <f t="array" ref="AO26">$E$10*(1+$AM26)+VLOOKUP($Q26,武学奇术!$A:$ZZ,4,FALSE)+SUM(_xlfn.XLOOKUP($R26:$AF26,增益!$A:$A,增益!$D:$D,0))-$I$2</f>
        <v>3018.8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0.377</v>
      </c>
      <c r="AQ26" s="30" cm="1">
        <f t="array" ref="AQ26">$G$10+VLOOKUP($Q26,武学奇术!$A:$ZZ,7,FALSE)+SUM(_xlfn.XLOOKUP(R26:AF26,增益!$A:$A,增益!$G:$G,0))</f>
        <v>0</v>
      </c>
      <c r="AR26" s="23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-0.24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634.5</v>
      </c>
      <c r="AX26">
        <f t="shared" si="4"/>
        <v>1443.3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0.118</v>
      </c>
      <c r="AZ26" s="30" cm="1">
        <f t="array" ref="AZ26">$G$12+VLOOKUP($Q26,武学奇术!$A:$ZZ,12,FALSE)+SUM(_xlfn.XLOOKUP(R26:AF26,增益!$A:$A,增益!$L:$L,0))</f>
        <v>0.148</v>
      </c>
      <c r="BA26">
        <f t="shared" si="5"/>
        <v>0</v>
      </c>
      <c r="BB26">
        <f t="shared" si="6"/>
        <v>0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-0.24</v>
      </c>
      <c r="BD26" s="30" cm="1">
        <f t="array" ref="BD26">$G$13+VLOOKUP($Q26,武学奇术!$A:$ZZ,14,FALSE)+SUM(_xlfn.XLOOKUP(R26:AF26,增益!$A:$A,增益!$N:$N,0))</f>
        <v>0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-0.24</v>
      </c>
      <c r="BH26" s="30" cm="1">
        <f t="array" ref="BH26">$G$14+VLOOKUP($Q26,武学奇术!$A:$ZZ,16,FALSE)+SUM(_xlfn.XLOOKUP(R26:AF26,增益!$A:$A,增益!$P:$P,0))</f>
        <v>0</v>
      </c>
      <c r="BI26" s="23">
        <f>MIN(IF(VLOOKUP($Q26,武学奇术!$A:$ZZ,23,FALSE)=1,100%,$B$8),100%)</f>
        <v>0.8626</v>
      </c>
      <c r="BJ26" s="23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0.8697</v>
      </c>
      <c r="BK26" s="23" cm="1">
        <f t="array" ref="BK26">1+$B$13+VLOOKUP($Q26,武学奇术!$A:$ZZ,18,FALSE)+SUM(_xlfn.XLOOKUP(R26:AF26,增益!$A:$A,增益!$R:$R,0))</f>
        <v>2</v>
      </c>
      <c r="BL26" s="23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0.0986</v>
      </c>
      <c r="BM26" s="23" cm="1">
        <f t="array" ref="BM26">1+$B$14+VLOOKUP($Q26,武学奇术!$A:$ZZ,20,FALSE)+SUM(_xlfn.XLOOKUP(R26:AF26,增益!$A:$A,增益!$T:$T,0))</f>
        <v>1.35</v>
      </c>
      <c r="BN26" s="23">
        <f t="shared" si="9"/>
        <v>0.75020322</v>
      </c>
      <c r="BO26" s="23">
        <f t="shared" si="10"/>
        <v>0.0273444200000001</v>
      </c>
      <c r="BP26" s="23">
        <f>IF(VLOOKUP($Q26,武学奇术!$A:$ZZ,22,FALSE)=1,0,(1-$BI26))*(1-$BL26)</f>
        <v>0.12385236</v>
      </c>
      <c r="BQ26" s="23" cm="1">
        <f t="array" ref="BQ26">SUM(_xlfn.XLOOKUP(R26:AF26,增益!$A:$A,增益!$W:$W,0))</f>
        <v>0.13</v>
      </c>
    </row>
    <row r="27" spans="1:69">
      <c r="A27" t="s">
        <v>140</v>
      </c>
      <c r="B27">
        <v>1.3</v>
      </c>
      <c r="K27" s="36">
        <f t="shared" si="0"/>
        <v>20911.398062328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23418.5421186534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17806.3761524396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11709.2710593267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10228.633857587</v>
      </c>
      <c r="P27" s="37">
        <v>1</v>
      </c>
      <c r="Q27" s="38" t="s">
        <v>141</v>
      </c>
      <c r="R27" s="38" t="s">
        <v>89</v>
      </c>
      <c r="S27" s="38" t="s">
        <v>72</v>
      </c>
      <c r="T27" s="38" t="s">
        <v>72</v>
      </c>
      <c r="U27" s="38" t="s">
        <v>111</v>
      </c>
      <c r="V27" s="38" t="s">
        <v>72</v>
      </c>
      <c r="W27" s="38" t="s">
        <v>72</v>
      </c>
      <c r="X27" s="38" t="s">
        <v>122</v>
      </c>
      <c r="Y27" s="38" t="s">
        <v>72</v>
      </c>
      <c r="Z27" s="38" t="s">
        <v>72</v>
      </c>
      <c r="AA27" s="38" t="s">
        <v>68</v>
      </c>
      <c r="AB27" s="38" t="s">
        <v>72</v>
      </c>
      <c r="AC27" s="38" t="s">
        <v>72</v>
      </c>
      <c r="AD27" s="38" t="s">
        <v>72</v>
      </c>
      <c r="AE27" s="38" t="s">
        <v>90</v>
      </c>
      <c r="AF27" s="38" t="s">
        <v>74</v>
      </c>
      <c r="AG27" t="str">
        <f>VLOOKUP($Q27,武学奇术!$A:$ZZ,25,FALSE)</f>
        <v>陌刀</v>
      </c>
      <c r="AH27" s="23">
        <f>VLOOKUP($Q27,武学奇术!$A:$ZZ,26,FALSE)</f>
        <v>1</v>
      </c>
      <c r="AI27" s="24">
        <f>VLOOKUP($Q27,武学奇术!$A:$ZZ,27,FALSE)*(1+IF(OR($AG27=$F$4,$AG27=$F$5),$B$22,0))</f>
        <v>0</v>
      </c>
      <c r="AJ27" s="23">
        <f>VLOOKUP($Q27,武学奇术!$A:$ZZ,28,FALSE)</f>
        <v>1.5</v>
      </c>
      <c r="AK27" s="24">
        <f>VLOOKUP($Q27,武学奇术!$A:$ZZ,29,FALSE)*(1+IF(OR($AG27=$F$4,$AG27=$F$5),$B$22,0))</f>
        <v>0</v>
      </c>
      <c r="AL27" s="23" cm="1">
        <f t="array" ref="AL27">$G$3+IFERROR(VLOOKUP($AG27,$F$4:$G$7,2,FALSE),0)+VLOOKUP($Q27,武学奇术!$A:$ZZ,2,FALSE)+SUM(_xlfn.XLOOKUP($R27:$AF27,增益!$A:$A,增益!$B:$B,0))</f>
        <v>0.683</v>
      </c>
      <c r="AM27" s="23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3018.8</v>
      </c>
      <c r="AO27" cm="1">
        <f t="array" ref="AO27">$E$10*(1+$AM27)+VLOOKUP($Q27,武学奇术!$A:$ZZ,4,FALSE)+SUM(_xlfn.XLOOKUP($R27:$AF27,增益!$A:$A,增益!$D:$D,0))-$I$2</f>
        <v>3018.8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0.377</v>
      </c>
      <c r="AQ27" s="30" cm="1">
        <f t="array" ref="AQ27">$G$10+VLOOKUP($Q27,武学奇术!$A:$ZZ,7,FALSE)+SUM(_xlfn.XLOOKUP(R27:AF27,增益!$A:$A,增益!$G:$G,0))</f>
        <v>0</v>
      </c>
      <c r="AR27" s="23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-0.24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634.5</v>
      </c>
      <c r="AX27">
        <f t="shared" si="4"/>
        <v>1443.3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0.118</v>
      </c>
      <c r="AZ27" s="30" cm="1">
        <f t="array" ref="AZ27">$G$12+VLOOKUP($Q27,武学奇术!$A:$ZZ,12,FALSE)+SUM(_xlfn.XLOOKUP(R27:AF27,增益!$A:$A,增益!$L:$L,0))</f>
        <v>0.148</v>
      </c>
      <c r="BA27">
        <f t="shared" si="5"/>
        <v>0</v>
      </c>
      <c r="BB27">
        <f t="shared" si="6"/>
        <v>0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-0.24</v>
      </c>
      <c r="BD27" s="30" cm="1">
        <f t="array" ref="BD27">$G$13+VLOOKUP($Q27,武学奇术!$A:$ZZ,14,FALSE)+SUM(_xlfn.XLOOKUP(R27:AF27,增益!$A:$A,增益!$N:$N,0))</f>
        <v>0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-0.24</v>
      </c>
      <c r="BH27" s="30" cm="1">
        <f t="array" ref="BH27">$G$14+VLOOKUP($Q27,武学奇术!$A:$ZZ,16,FALSE)+SUM(_xlfn.XLOOKUP(R27:AF27,增益!$A:$A,增益!$P:$P,0))</f>
        <v>0</v>
      </c>
      <c r="BI27" s="23">
        <f>MIN(IF(VLOOKUP($Q27,武学奇术!$A:$ZZ,23,FALSE)=1,100%,$B$8),100%)</f>
        <v>0.8626</v>
      </c>
      <c r="BJ27" s="23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0.8697</v>
      </c>
      <c r="BK27" s="23" cm="1">
        <f t="array" ref="BK27">1+$B$13+VLOOKUP($Q27,武学奇术!$A:$ZZ,18,FALSE)+SUM(_xlfn.XLOOKUP(R27:AF27,增益!$A:$A,增益!$R:$R,0))</f>
        <v>2</v>
      </c>
      <c r="BL27" s="23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0.0986</v>
      </c>
      <c r="BM27" s="23" cm="1">
        <f t="array" ref="BM27">1+$B$14+VLOOKUP($Q27,武学奇术!$A:$ZZ,20,FALSE)+SUM(_xlfn.XLOOKUP(R27:AF27,增益!$A:$A,增益!$T:$T,0))</f>
        <v>1.35</v>
      </c>
      <c r="BN27" s="23">
        <f t="shared" si="9"/>
        <v>0.75020322</v>
      </c>
      <c r="BO27" s="23">
        <f t="shared" si="10"/>
        <v>0.0273444200000001</v>
      </c>
      <c r="BP27" s="23">
        <f>IF(VLOOKUP($Q27,武学奇术!$A:$ZZ,22,FALSE)=1,0,(1-$BI27))*(1-$BL27)</f>
        <v>0.12385236</v>
      </c>
      <c r="BQ27" s="23" cm="1">
        <f t="array" ref="BQ27">SUM(_xlfn.XLOOKUP(R27:AF27,增益!$A:$A,增益!$W:$W,0))</f>
        <v>0.13</v>
      </c>
    </row>
    <row r="28" spans="1:69">
      <c r="A28" t="s">
        <v>142</v>
      </c>
      <c r="B28">
        <v>0.8</v>
      </c>
      <c r="K28" s="36">
        <f t="shared" si="0"/>
        <v>25682.9319061516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28646.9231019231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22055.4299107542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14690.729795858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13044.1041022684</v>
      </c>
      <c r="P28" s="37">
        <v>1</v>
      </c>
      <c r="Q28" s="38" t="s">
        <v>143</v>
      </c>
      <c r="R28" s="38" t="s">
        <v>89</v>
      </c>
      <c r="S28" s="38" t="s">
        <v>72</v>
      </c>
      <c r="T28" s="38" t="s">
        <v>72</v>
      </c>
      <c r="U28" s="38" t="s">
        <v>80</v>
      </c>
      <c r="V28" s="38" t="s">
        <v>72</v>
      </c>
      <c r="W28" s="38" t="s">
        <v>72</v>
      </c>
      <c r="X28" s="38" t="s">
        <v>122</v>
      </c>
      <c r="Y28" s="38" t="s">
        <v>72</v>
      </c>
      <c r="Z28" s="38" t="s">
        <v>72</v>
      </c>
      <c r="AA28" s="38" t="s">
        <v>72</v>
      </c>
      <c r="AB28" s="38" t="s">
        <v>72</v>
      </c>
      <c r="AC28" s="38" t="s">
        <v>72</v>
      </c>
      <c r="AD28" s="38" t="s">
        <v>72</v>
      </c>
      <c r="AE28" s="38" t="s">
        <v>90</v>
      </c>
      <c r="AF28" s="38" t="s">
        <v>74</v>
      </c>
      <c r="AG28" t="str">
        <f>VLOOKUP($Q28,武学奇术!$A:$ZZ,25,FALSE)</f>
        <v>横刀</v>
      </c>
      <c r="AH28" s="23">
        <f>VLOOKUP($Q28,武学奇术!$A:$ZZ,26,FALSE)</f>
        <v>1.2338</v>
      </c>
      <c r="AI28" s="24">
        <f>VLOOKUP($Q28,武学奇术!$A:$ZZ,27,FALSE)*(1+IF(OR($AG28=$F$4,$AG28=$F$5),$B$22,0))</f>
        <v>444.6</v>
      </c>
      <c r="AJ28" s="23">
        <f>VLOOKUP($Q28,武学奇术!$A:$ZZ,28,FALSE)</f>
        <v>1.8507</v>
      </c>
      <c r="AK28" s="24">
        <f>VLOOKUP($Q28,武学奇术!$A:$ZZ,29,FALSE)*(1+IF(OR($AG28=$F$4,$AG28=$F$5),$B$22,0))</f>
        <v>241.8</v>
      </c>
      <c r="AL28" s="23" cm="1">
        <f t="array" ref="AL28">$G$3+IFERROR(VLOOKUP($AG28,$F$4:$G$7,2,FALSE),0)+VLOOKUP($Q28,武学奇术!$A:$ZZ,2,FALSE)+SUM(_xlfn.XLOOKUP($R28:$AF28,增益!$A:$A,增益!$B:$B,0))</f>
        <v>0.517</v>
      </c>
      <c r="AM28" s="23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3018.8</v>
      </c>
      <c r="AO28" cm="1">
        <f t="array" ref="AO28">$E$10*(1+$AM28)+VLOOKUP($Q28,武学奇术!$A:$ZZ,4,FALSE)+SUM(_xlfn.XLOOKUP($R28:$AF28,增益!$A:$A,增益!$D:$D,0))-$I$2</f>
        <v>3018.8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0.352</v>
      </c>
      <c r="AQ28" s="30" cm="1">
        <f t="array" ref="AQ28">$G$10+VLOOKUP($Q28,武学奇术!$A:$ZZ,7,FALSE)+SUM(_xlfn.XLOOKUP(R28:AF28,增益!$A:$A,增益!$G:$G,0))</f>
        <v>0</v>
      </c>
      <c r="AR28" s="23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-0.24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634.5</v>
      </c>
      <c r="AX28">
        <f t="shared" si="4"/>
        <v>1443.3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0.118</v>
      </c>
      <c r="AZ28" s="30" cm="1">
        <f t="array" ref="AZ28">$G$12+VLOOKUP($Q28,武学奇术!$A:$ZZ,12,FALSE)+SUM(_xlfn.XLOOKUP(R28:AF28,增益!$A:$A,增益!$L:$L,0))</f>
        <v>0.148</v>
      </c>
      <c r="BA28">
        <f t="shared" si="5"/>
        <v>0</v>
      </c>
      <c r="BB28">
        <f t="shared" si="6"/>
        <v>0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-0.24</v>
      </c>
      <c r="BD28" s="30" cm="1">
        <f t="array" ref="BD28">$G$13+VLOOKUP($Q28,武学奇术!$A:$ZZ,14,FALSE)+SUM(_xlfn.XLOOKUP(R28:AF28,增益!$A:$A,增益!$N:$N,0))</f>
        <v>0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-0.24</v>
      </c>
      <c r="BH28" s="30" cm="1">
        <f t="array" ref="BH28">$G$14+VLOOKUP($Q28,武学奇术!$A:$ZZ,16,FALSE)+SUM(_xlfn.XLOOKUP(R28:AF28,增益!$A:$A,增益!$P:$P,0))</f>
        <v>0</v>
      </c>
      <c r="BI28" s="23">
        <f>MIN(IF(VLOOKUP($Q28,武学奇术!$A:$ZZ,23,FALSE)=1,100%,$B$8),100%)</f>
        <v>0.8626</v>
      </c>
      <c r="BJ28" s="23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0.8697</v>
      </c>
      <c r="BK28" s="23" cm="1">
        <f t="array" ref="BK28">1+$B$13+VLOOKUP($Q28,武学奇术!$A:$ZZ,18,FALSE)+SUM(_xlfn.XLOOKUP(R28:AF28,增益!$A:$A,增益!$R:$R,0))</f>
        <v>1.95</v>
      </c>
      <c r="BL28" s="23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0.0986</v>
      </c>
      <c r="BM28" s="23" cm="1">
        <f t="array" ref="BM28">1+$B$14+VLOOKUP($Q28,武学奇术!$A:$ZZ,20,FALSE)+SUM(_xlfn.XLOOKUP(R28:AF28,增益!$A:$A,增益!$T:$T,0))</f>
        <v>1.35</v>
      </c>
      <c r="BN28" s="23">
        <f t="shared" si="9"/>
        <v>0.75020322</v>
      </c>
      <c r="BO28" s="23">
        <f t="shared" si="10"/>
        <v>0.0273444200000001</v>
      </c>
      <c r="BP28" s="23">
        <f>IF(VLOOKUP($Q28,武学奇术!$A:$ZZ,22,FALSE)=1,0,(1-$BI28))*(1-$BL28)</f>
        <v>0.12385236</v>
      </c>
      <c r="BQ28" s="23" cm="1">
        <f t="array" ref="BQ28">SUM(_xlfn.XLOOKUP(R28:AF28,增益!$A:$A,增益!$W:$W,0))</f>
        <v>0.13</v>
      </c>
    </row>
    <row r="29" spans="1:69">
      <c r="A29" t="s">
        <v>93</v>
      </c>
      <c r="B29">
        <v>1.5</v>
      </c>
      <c r="K29" s="36">
        <f t="shared" si="0"/>
        <v>48309.9885835151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54106.455186077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40566.4229977223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27053.2275930385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24057.252965542</v>
      </c>
      <c r="P29" s="37">
        <v>1</v>
      </c>
      <c r="Q29" s="38" t="s">
        <v>97</v>
      </c>
      <c r="R29" s="38" t="s">
        <v>89</v>
      </c>
      <c r="S29" s="38" t="s">
        <v>72</v>
      </c>
      <c r="T29" s="38" t="s">
        <v>72</v>
      </c>
      <c r="U29" s="38" t="s">
        <v>111</v>
      </c>
      <c r="V29" s="38" t="s">
        <v>72</v>
      </c>
      <c r="W29" s="38" t="s">
        <v>72</v>
      </c>
      <c r="X29" s="38" t="s">
        <v>122</v>
      </c>
      <c r="Y29" s="38" t="s">
        <v>72</v>
      </c>
      <c r="Z29" s="38" t="s">
        <v>72</v>
      </c>
      <c r="AA29" s="38" t="s">
        <v>68</v>
      </c>
      <c r="AB29" s="38" t="s">
        <v>72</v>
      </c>
      <c r="AC29" s="38" t="s">
        <v>72</v>
      </c>
      <c r="AD29" s="38" t="s">
        <v>72</v>
      </c>
      <c r="AE29" s="38" t="s">
        <v>90</v>
      </c>
      <c r="AF29" s="38" t="s">
        <v>74</v>
      </c>
      <c r="AG29" t="str">
        <f>VLOOKUP($Q29,武学奇术!$A:$ZZ,25,FALSE)</f>
        <v>横刀</v>
      </c>
      <c r="AH29" s="23">
        <f>VLOOKUP($Q29,武学奇术!$A:$ZZ,26,FALSE)</f>
        <v>2.1324</v>
      </c>
      <c r="AI29" s="24">
        <f>VLOOKUP($Q29,武学奇术!$A:$ZZ,27,FALSE)*(1+IF(OR($AG29=$F$4,$AG29=$F$5),$B$22,0))</f>
        <v>767</v>
      </c>
      <c r="AJ29" s="23">
        <f>VLOOKUP($Q29,武学奇术!$A:$ZZ,28,FALSE)</f>
        <v>3.1986</v>
      </c>
      <c r="AK29" s="24">
        <f>VLOOKUP($Q29,武学奇术!$A:$ZZ,29,FALSE)*(1+IF(OR($AG29=$F$4,$AG29=$F$5),$B$22,0))</f>
        <v>418.6</v>
      </c>
      <c r="AL29" s="23" cm="1">
        <f t="array" ref="AL29">$G$3+IFERROR(VLOOKUP($AG29,$F$4:$G$7,2,FALSE),0)+VLOOKUP($Q29,武学奇术!$A:$ZZ,2,FALSE)+SUM(_xlfn.XLOOKUP($R29:$AF29,增益!$A:$A,增益!$B:$B,0))</f>
        <v>0.597</v>
      </c>
      <c r="AM29" s="23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3018.8</v>
      </c>
      <c r="AO29" cm="1">
        <f t="array" ref="AO29">$E$10*(1+$AM29)+VLOOKUP($Q29,武学奇术!$A:$ZZ,4,FALSE)+SUM(_xlfn.XLOOKUP($R29:$AF29,增益!$A:$A,增益!$D:$D,0))-$I$2</f>
        <v>3018.8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0.377</v>
      </c>
      <c r="AQ29" s="30" cm="1">
        <f t="array" ref="AQ29">$G$10+VLOOKUP($Q29,武学奇术!$A:$ZZ,7,FALSE)+SUM(_xlfn.XLOOKUP(R29:AF29,增益!$A:$A,增益!$G:$G,0))</f>
        <v>0</v>
      </c>
      <c r="AR29" s="23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-0.24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634.5</v>
      </c>
      <c r="AX29">
        <f t="shared" si="4"/>
        <v>1443.3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0.118</v>
      </c>
      <c r="AZ29" s="30" cm="1">
        <f t="array" ref="AZ29">$G$12+VLOOKUP($Q29,武学奇术!$A:$ZZ,12,FALSE)+SUM(_xlfn.XLOOKUP(R29:AF29,增益!$A:$A,增益!$L:$L,0))</f>
        <v>0.148</v>
      </c>
      <c r="BA29">
        <f t="shared" si="5"/>
        <v>0</v>
      </c>
      <c r="BB29">
        <f t="shared" si="6"/>
        <v>0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-0.24</v>
      </c>
      <c r="BD29" s="30" cm="1">
        <f t="array" ref="BD29">$G$13+VLOOKUP($Q29,武学奇术!$A:$ZZ,14,FALSE)+SUM(_xlfn.XLOOKUP(R29:AF29,增益!$A:$A,增益!$N:$N,0))</f>
        <v>0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-0.24</v>
      </c>
      <c r="BH29" s="30" cm="1">
        <f t="array" ref="BH29">$G$14+VLOOKUP($Q29,武学奇术!$A:$ZZ,16,FALSE)+SUM(_xlfn.XLOOKUP(R29:AF29,增益!$A:$A,增益!$P:$P,0))</f>
        <v>0</v>
      </c>
      <c r="BI29" s="23">
        <f>MIN(IF(VLOOKUP($Q29,武学奇术!$A:$ZZ,23,FALSE)=1,100%,$B$8),100%)</f>
        <v>0.8626</v>
      </c>
      <c r="BJ29" s="23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0.8697</v>
      </c>
      <c r="BK29" s="23" cm="1">
        <f t="array" ref="BK29">1+$B$13+VLOOKUP($Q29,武学奇术!$A:$ZZ,18,FALSE)+SUM(_xlfn.XLOOKUP(R29:AF29,增益!$A:$A,增益!$R:$R,0))</f>
        <v>2</v>
      </c>
      <c r="BL29" s="23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0.0986</v>
      </c>
      <c r="BM29" s="23" cm="1">
        <f t="array" ref="BM29">1+$B$14+VLOOKUP($Q29,武学奇术!$A:$ZZ,20,FALSE)+SUM(_xlfn.XLOOKUP(R29:AF29,增益!$A:$A,增益!$T:$T,0))</f>
        <v>1.35</v>
      </c>
      <c r="BN29" s="23">
        <f t="shared" si="9"/>
        <v>0.75020322</v>
      </c>
      <c r="BO29" s="23">
        <f t="shared" si="10"/>
        <v>0.0273444200000001</v>
      </c>
      <c r="BP29" s="23">
        <f>IF(VLOOKUP($Q29,武学奇术!$A:$ZZ,22,FALSE)=1,0,(1-$BI29))*(1-$BL29)</f>
        <v>0.12385236</v>
      </c>
      <c r="BQ29" s="23" cm="1">
        <f t="array" ref="BQ29">SUM(_xlfn.XLOOKUP(R29:AF29,增益!$A:$A,增益!$W:$W,0))</f>
        <v>0.13</v>
      </c>
    </row>
    <row r="30" spans="1:69">
      <c r="A30" t="s">
        <v>144</v>
      </c>
      <c r="B30">
        <v>1</v>
      </c>
      <c r="C30" s="37" t="s">
        <v>140</v>
      </c>
      <c r="K30" s="36">
        <f t="shared" si="0"/>
        <v>29850.6040454845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33428.4676766429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25552.1732262286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16714.2338383214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14500.9319535105</v>
      </c>
      <c r="P30" s="37">
        <v>1</v>
      </c>
      <c r="Q30" s="38" t="s">
        <v>99</v>
      </c>
      <c r="R30" s="38" t="s">
        <v>89</v>
      </c>
      <c r="S30" s="38" t="s">
        <v>72</v>
      </c>
      <c r="T30" s="38" t="s">
        <v>79</v>
      </c>
      <c r="U30" s="38" t="s">
        <v>111</v>
      </c>
      <c r="V30" s="38" t="s">
        <v>72</v>
      </c>
      <c r="W30" s="38" t="s">
        <v>72</v>
      </c>
      <c r="X30" s="38" t="s">
        <v>122</v>
      </c>
      <c r="Y30" s="38" t="s">
        <v>72</v>
      </c>
      <c r="Z30" s="38" t="s">
        <v>72</v>
      </c>
      <c r="AA30" s="38" t="s">
        <v>68</v>
      </c>
      <c r="AB30" s="38" t="s">
        <v>72</v>
      </c>
      <c r="AC30" s="38" t="s">
        <v>72</v>
      </c>
      <c r="AD30" s="38" t="s">
        <v>72</v>
      </c>
      <c r="AE30" s="38" t="s">
        <v>90</v>
      </c>
      <c r="AF30" s="38" t="s">
        <v>74</v>
      </c>
      <c r="AG30" t="str">
        <f>VLOOKUP($Q30,武学奇术!$A:$ZZ,25,FALSE)</f>
        <v>横刀</v>
      </c>
      <c r="AH30" s="23">
        <f>VLOOKUP($Q30,武学奇术!$A:$ZZ,26,FALSE)</f>
        <v>1.4</v>
      </c>
      <c r="AI30" s="24">
        <f>VLOOKUP($Q30,武学奇术!$A:$ZZ,27,FALSE)*(1+IF(OR($AG30=$F$4,$AG30=$F$5),$B$22,0))</f>
        <v>0</v>
      </c>
      <c r="AJ30" s="23">
        <f>VLOOKUP($Q30,武学奇术!$A:$ZZ,28,FALSE)</f>
        <v>2.1</v>
      </c>
      <c r="AK30" s="24">
        <f>VLOOKUP($Q30,武学奇术!$A:$ZZ,29,FALSE)*(1+IF(OR($AG30=$F$4,$AG30=$F$5),$B$22,0))</f>
        <v>0</v>
      </c>
      <c r="AL30" s="23" cm="1">
        <f t="array" ref="AL30">$G$3+IFERROR(VLOOKUP($AG30,$F$4:$G$7,2,FALSE),0)+VLOOKUP($Q30,武学奇术!$A:$ZZ,2,FALSE)+SUM(_xlfn.XLOOKUP($R30:$AF30,增益!$A:$A,增益!$B:$B,0))</f>
        <v>0.677</v>
      </c>
      <c r="AM30" s="23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3018.8</v>
      </c>
      <c r="AO30" cm="1">
        <f t="array" ref="AO30">$E$10*(1+$AM30)+VLOOKUP($Q30,武学奇术!$A:$ZZ,4,FALSE)+SUM(_xlfn.XLOOKUP($R30:$AF30,增益!$A:$A,增益!$D:$D,0))-$I$2</f>
        <v>3018.8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0.377</v>
      </c>
      <c r="AQ30" s="30" cm="1">
        <f t="array" ref="AQ30">$G$10+VLOOKUP($Q30,武学奇术!$A:$ZZ,7,FALSE)+SUM(_xlfn.XLOOKUP(R30:AF30,增益!$A:$A,增益!$G:$G,0))</f>
        <v>0</v>
      </c>
      <c r="AR30" s="23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-0.08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634.5</v>
      </c>
      <c r="AX30">
        <f t="shared" si="4"/>
        <v>1443.3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0.198</v>
      </c>
      <c r="AZ30" s="30" cm="1">
        <f t="array" ref="AZ30">$G$12+VLOOKUP($Q30,武学奇术!$A:$ZZ,12,FALSE)+SUM(_xlfn.XLOOKUP(R30:AF30,增益!$A:$A,增益!$L:$L,0))</f>
        <v>0.148</v>
      </c>
      <c r="BA30">
        <f t="shared" si="5"/>
        <v>0</v>
      </c>
      <c r="BB30">
        <f t="shared" si="6"/>
        <v>0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-0.08</v>
      </c>
      <c r="BD30" s="30" cm="1">
        <f t="array" ref="BD30">$G$13+VLOOKUP($Q30,武学奇术!$A:$ZZ,14,FALSE)+SUM(_xlfn.XLOOKUP(R30:AF30,增益!$A:$A,增益!$N:$N,0))</f>
        <v>0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-0.08</v>
      </c>
      <c r="BH30" s="30" cm="1">
        <f t="array" ref="BH30">$G$14+VLOOKUP($Q30,武学奇术!$A:$ZZ,16,FALSE)+SUM(_xlfn.XLOOKUP(R30:AF30,增益!$A:$A,增益!$P:$P,0))</f>
        <v>0</v>
      </c>
      <c r="BI30" s="23">
        <f>MIN(IF(VLOOKUP($Q30,武学奇术!$A:$ZZ,23,FALSE)=1,100%,$B$8),100%)</f>
        <v>0.8626</v>
      </c>
      <c r="BJ30" s="23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0.8697</v>
      </c>
      <c r="BK30" s="23" cm="1">
        <f t="array" ref="BK30">1+$B$13+VLOOKUP($Q30,武学奇术!$A:$ZZ,18,FALSE)+SUM(_xlfn.XLOOKUP(R30:AF30,增益!$A:$A,增益!$R:$R,0))</f>
        <v>2</v>
      </c>
      <c r="BL30" s="23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0.0986</v>
      </c>
      <c r="BM30" s="23" cm="1">
        <f t="array" ref="BM30">1+$B$14+VLOOKUP($Q30,武学奇术!$A:$ZZ,20,FALSE)+SUM(_xlfn.XLOOKUP(R30:AF30,增益!$A:$A,增益!$T:$T,0))</f>
        <v>1.35</v>
      </c>
      <c r="BN30" s="23">
        <f t="shared" si="9"/>
        <v>0.75020322</v>
      </c>
      <c r="BO30" s="23">
        <f t="shared" si="10"/>
        <v>0.0273444200000001</v>
      </c>
      <c r="BP30" s="23">
        <f>IF(VLOOKUP($Q30,武学奇术!$A:$ZZ,22,FALSE)=1,0,(1-$BI30))*(1-$BL30)</f>
        <v>0.12385236</v>
      </c>
      <c r="BQ30" s="23" cm="1">
        <f t="array" ref="BQ30">SUM(_xlfn.XLOOKUP(R30:AF30,增益!$A:$A,增益!$W:$W,0))</f>
        <v>0.13</v>
      </c>
    </row>
    <row r="31" spans="1:69">
      <c r="A31" s="4" t="s">
        <v>145</v>
      </c>
      <c r="B31" s="4">
        <v>0.2</v>
      </c>
      <c r="C31" s="37"/>
      <c r="K31" s="36">
        <f t="shared" si="0"/>
        <v>789737.221984347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872823.768038221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682211.458619425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447601.932327293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389862.043455011</v>
      </c>
      <c r="P31" s="37">
        <v>1</v>
      </c>
      <c r="Q31" s="38" t="s">
        <v>146</v>
      </c>
      <c r="R31" s="38" t="s">
        <v>89</v>
      </c>
      <c r="S31" s="38" t="s">
        <v>72</v>
      </c>
      <c r="T31" s="38" t="s">
        <v>79</v>
      </c>
      <c r="U31" s="38" t="s">
        <v>80</v>
      </c>
      <c r="V31" s="38" t="s">
        <v>72</v>
      </c>
      <c r="W31" s="38" t="s">
        <v>72</v>
      </c>
      <c r="X31" s="38" t="s">
        <v>122</v>
      </c>
      <c r="Y31" s="38" t="s">
        <v>147</v>
      </c>
      <c r="Z31" s="38" t="s">
        <v>72</v>
      </c>
      <c r="AA31" s="38" t="s">
        <v>72</v>
      </c>
      <c r="AB31" s="38" t="s">
        <v>72</v>
      </c>
      <c r="AC31" s="38" t="s">
        <v>72</v>
      </c>
      <c r="AD31" s="38" t="s">
        <v>72</v>
      </c>
      <c r="AE31" s="38" t="s">
        <v>90</v>
      </c>
      <c r="AF31" s="38" t="s">
        <v>74</v>
      </c>
      <c r="AG31" t="str">
        <f>VLOOKUP($Q31,武学奇术!$A:$ZZ,25,FALSE)</f>
        <v>单体奇术</v>
      </c>
      <c r="AH31" s="23">
        <f>VLOOKUP($Q31,武学奇术!$A:$ZZ,26,FALSE)</f>
        <v>25.198866</v>
      </c>
      <c r="AI31" s="24">
        <f>VLOOKUP($Q31,武学奇术!$A:$ZZ,27,FALSE)*(1+IF(OR($AG31=$F$4,$AG31=$F$5),$B$22,0))</f>
        <v>4521.44</v>
      </c>
      <c r="AJ31" s="23">
        <f>VLOOKUP($Q31,武学奇术!$A:$ZZ,28,FALSE)</f>
        <v>37.798299</v>
      </c>
      <c r="AK31" s="24">
        <f>VLOOKUP($Q31,武学奇术!$A:$ZZ,29,FALSE)*(1+IF(OR($AG31=$F$4,$AG31=$F$5),$B$22,0))</f>
        <v>0</v>
      </c>
      <c r="AL31" s="23" cm="1">
        <f t="array" ref="AL31">$G$3+IFERROR(VLOOKUP($AG31,$F$4:$G$7,2,FALSE),0)+VLOOKUP($Q31,武学奇术!$A:$ZZ,2,FALSE)+SUM(_xlfn.XLOOKUP($R31:$AF31,增益!$A:$A,增益!$B:$B,0))</f>
        <v>1.233</v>
      </c>
      <c r="AM31" s="23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3018.8</v>
      </c>
      <c r="AO31" cm="1">
        <f t="array" ref="AO31">$E$10*(1+$AM31)+VLOOKUP($Q31,武学奇术!$A:$ZZ,4,FALSE)+SUM(_xlfn.XLOOKUP($R31:$AF31,增益!$A:$A,增益!$D:$D,0))-$I$2</f>
        <v>3018.8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0.352</v>
      </c>
      <c r="AQ31" s="30" cm="1">
        <f t="array" ref="AQ31">$G$10+VLOOKUP($Q31,武学奇术!$A:$ZZ,7,FALSE)+SUM(_xlfn.XLOOKUP(R31:AF31,增益!$A:$A,增益!$G:$G,0))</f>
        <v>0</v>
      </c>
      <c r="AR31" s="23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-0.08</v>
      </c>
      <c r="AV31" s="30" cm="1">
        <f t="array" ref="AV31">$G$11+VLOOKUP($Q31,武学奇术!$A:$ZZ,10,FALSE)+SUM(_xlfn.XLOOKUP(R31:AF31,增益!$A:$A,增益!$J:$J,0))</f>
        <v>0</v>
      </c>
      <c r="AW31">
        <f t="shared" si="3"/>
        <v>634.5</v>
      </c>
      <c r="AX31">
        <f t="shared" si="4"/>
        <v>1443.3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0.198</v>
      </c>
      <c r="AZ31" s="30" cm="1">
        <f t="array" ref="AZ31">$G$12+VLOOKUP($Q31,武学奇术!$A:$ZZ,12,FALSE)+SUM(_xlfn.XLOOKUP(R31:AF31,增益!$A:$A,增益!$L:$L,0))</f>
        <v>0.148</v>
      </c>
      <c r="BA31">
        <f t="shared" si="5"/>
        <v>0</v>
      </c>
      <c r="BB31">
        <f t="shared" si="6"/>
        <v>0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-0.08</v>
      </c>
      <c r="BD31" s="30" cm="1">
        <f t="array" ref="BD31">$G$13+VLOOKUP($Q31,武学奇术!$A:$ZZ,14,FALSE)+SUM(_xlfn.XLOOKUP(R31:AF31,增益!$A:$A,增益!$N:$N,0))</f>
        <v>0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-0.08</v>
      </c>
      <c r="BH31" s="30" cm="1">
        <f t="array" ref="BH31">$G$14+VLOOKUP($Q31,武学奇术!$A:$ZZ,16,FALSE)+SUM(_xlfn.XLOOKUP(R31:AF31,增益!$A:$A,增益!$P:$P,0))</f>
        <v>0</v>
      </c>
      <c r="BI31" s="23">
        <f>MIN(IF(VLOOKUP($Q31,武学奇术!$A:$ZZ,23,FALSE)=1,100%,$B$8),100%)</f>
        <v>0.8626</v>
      </c>
      <c r="BJ31" s="23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0.8697</v>
      </c>
      <c r="BK31" s="23" cm="1">
        <f t="array" ref="BK31">1+$B$13+VLOOKUP($Q31,武学奇术!$A:$ZZ,18,FALSE)+SUM(_xlfn.XLOOKUP(R31:AF31,增益!$A:$A,增益!$R:$R,0))</f>
        <v>1.95</v>
      </c>
      <c r="BL31" s="23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0.0986</v>
      </c>
      <c r="BM31" s="23" cm="1">
        <f t="array" ref="BM31">1+$B$14+VLOOKUP($Q31,武学奇术!$A:$ZZ,20,FALSE)+SUM(_xlfn.XLOOKUP(R31:AF31,增益!$A:$A,增益!$T:$T,0))</f>
        <v>1.35</v>
      </c>
      <c r="BN31" s="23">
        <f t="shared" si="9"/>
        <v>0.75020322</v>
      </c>
      <c r="BO31" s="23">
        <f t="shared" si="10"/>
        <v>0.15119678</v>
      </c>
      <c r="BP31" s="23">
        <f>IF(VLOOKUP($Q31,武学奇术!$A:$ZZ,22,FALSE)=1,0,(1-$BI31))*(1-$BL31)</f>
        <v>0</v>
      </c>
      <c r="BQ31" s="23" cm="1">
        <f t="array" ref="BQ31">SUM(_xlfn.XLOOKUP(R31:AF31,增益!$A:$A,增益!$W:$W,0))</f>
        <v>0.23</v>
      </c>
    </row>
    <row r="32" spans="1:69">
      <c r="A32" s="4" t="s">
        <v>149</v>
      </c>
      <c r="B32" s="4">
        <v>2.3</v>
      </c>
      <c r="C32" s="37"/>
      <c r="K32" s="36">
        <f t="shared" si="0"/>
        <v>54705.5599382278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54705.5599382278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39242.6749168101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26050.2666372513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23031.8851879767</v>
      </c>
      <c r="P32" s="37">
        <v>1</v>
      </c>
      <c r="Q32" s="38" t="s">
        <v>150</v>
      </c>
      <c r="R32" s="38" t="s">
        <v>89</v>
      </c>
      <c r="S32" s="38" t="s">
        <v>72</v>
      </c>
      <c r="T32" s="38" t="s">
        <v>79</v>
      </c>
      <c r="U32" s="38" t="s">
        <v>111</v>
      </c>
      <c r="V32" s="38" t="s">
        <v>107</v>
      </c>
      <c r="W32" s="38" t="s">
        <v>72</v>
      </c>
      <c r="X32" s="38" t="s">
        <v>122</v>
      </c>
      <c r="Y32" s="38" t="s">
        <v>147</v>
      </c>
      <c r="Z32" s="38" t="s">
        <v>72</v>
      </c>
      <c r="AA32" s="38" t="s">
        <v>72</v>
      </c>
      <c r="AB32" s="38" t="s">
        <v>72</v>
      </c>
      <c r="AC32" s="38" t="s">
        <v>72</v>
      </c>
      <c r="AD32" s="38" t="s">
        <v>72</v>
      </c>
      <c r="AE32" s="38" t="s">
        <v>90</v>
      </c>
      <c r="AF32" s="38" t="s">
        <v>74</v>
      </c>
      <c r="AG32" t="str">
        <f>VLOOKUP($Q32,武学奇术!$A:$ZZ,25,FALSE)</f>
        <v>陌刀</v>
      </c>
      <c r="AH32" s="23">
        <f>VLOOKUP($Q32,武学奇术!$A:$ZZ,26,FALSE)</f>
        <v>1.3241</v>
      </c>
      <c r="AI32" s="24">
        <f>VLOOKUP($Q32,武学奇术!$A:$ZZ,27,FALSE)*(1+IF(OR($AG32=$F$4,$AG32=$F$5),$B$22,0))</f>
        <v>475.8</v>
      </c>
      <c r="AJ32" s="23">
        <f>VLOOKUP($Q32,武学奇术!$A:$ZZ,28,FALSE)</f>
        <v>1.9861</v>
      </c>
      <c r="AK32" s="24">
        <f>VLOOKUP($Q32,武学奇术!$A:$ZZ,29,FALSE)*(1+IF(OR($AG32=$F$4,$AG32=$F$5),$B$22,0))</f>
        <v>260</v>
      </c>
      <c r="AL32" s="23" cm="1">
        <f t="array" ref="AL32">$G$3+IFERROR(VLOOKUP($AG32,$F$4:$G$7,2,FALSE),0)+VLOOKUP($Q32,武学奇术!$A:$ZZ,2,FALSE)+SUM(_xlfn.XLOOKUP($R32:$AF32,增益!$A:$A,增益!$B:$B,0))</f>
        <v>0.683</v>
      </c>
      <c r="AM32" s="23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3018.8</v>
      </c>
      <c r="AO32" cm="1">
        <f t="array" ref="AO32">$E$10*(1+$AM32)+VLOOKUP($Q32,武学奇术!$A:$ZZ,4,FALSE)+SUM(_xlfn.XLOOKUP($R32:$AF32,增益!$A:$A,增益!$D:$D,0))-$I$2</f>
        <v>3018.8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0.377</v>
      </c>
      <c r="AQ32" s="30" cm="1">
        <f t="array" ref="AQ32">$G$10+VLOOKUP($Q32,武学奇术!$A:$ZZ,7,FALSE)+SUM(_xlfn.XLOOKUP(R32:AF32,增益!$A:$A,增益!$G:$G,0))</f>
        <v>0</v>
      </c>
      <c r="AR32" s="23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-0.08</v>
      </c>
      <c r="AV32" s="30" cm="1">
        <f t="array" ref="AV32">$G$11+VLOOKUP($Q32,武学奇术!$A:$ZZ,10,FALSE)+SUM(_xlfn.XLOOKUP(R32:AF32,增益!$A:$A,增益!$J:$J,0))</f>
        <v>0</v>
      </c>
      <c r="AW32">
        <f t="shared" si="3"/>
        <v>634.5</v>
      </c>
      <c r="AX32">
        <f t="shared" si="4"/>
        <v>1443.3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0.198</v>
      </c>
      <c r="AZ32" s="30" cm="1">
        <f t="array" ref="AZ32">$G$12+VLOOKUP($Q32,武学奇术!$A:$ZZ,12,FALSE)+SUM(_xlfn.XLOOKUP(R32:AF32,增益!$A:$A,增益!$L:$L,0))</f>
        <v>0.148</v>
      </c>
      <c r="BA32">
        <f t="shared" si="5"/>
        <v>0</v>
      </c>
      <c r="BB32">
        <f t="shared" si="6"/>
        <v>0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-0.08</v>
      </c>
      <c r="BD32" s="30" cm="1">
        <f t="array" ref="BD32">$G$13+VLOOKUP($Q32,武学奇术!$A:$ZZ,14,FALSE)+SUM(_xlfn.XLOOKUP(R32:AF32,增益!$A:$A,增益!$N:$N,0))</f>
        <v>0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-0.08</v>
      </c>
      <c r="BH32" s="30" cm="1">
        <f t="array" ref="BH32">$G$14+VLOOKUP($Q32,武学奇术!$A:$ZZ,16,FALSE)+SUM(_xlfn.XLOOKUP(R32:AF32,增益!$A:$A,增益!$P:$P,0))</f>
        <v>0</v>
      </c>
      <c r="BI32" s="23">
        <f>MIN(IF(VLOOKUP($Q32,武学奇术!$A:$ZZ,23,FALSE)=1,100%,$B$8),100%)</f>
        <v>1</v>
      </c>
      <c r="BJ32" s="23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1</v>
      </c>
      <c r="BK32" s="23" cm="1">
        <f t="array" ref="BK32">1+$B$13+VLOOKUP($Q32,武学奇术!$A:$ZZ,18,FALSE)+SUM(_xlfn.XLOOKUP(R32:AF32,增益!$A:$A,增益!$R:$R,0))</f>
        <v>2.1</v>
      </c>
      <c r="BL32" s="23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</v>
      </c>
      <c r="BM32" s="23" cm="1">
        <f t="array" ref="BM32">1+$B$14+VLOOKUP($Q32,武学奇术!$A:$ZZ,20,FALSE)+SUM(_xlfn.XLOOKUP(R32:AF32,增益!$A:$A,增益!$T:$T,0))</f>
        <v>1.35</v>
      </c>
      <c r="BN32" s="23">
        <f t="shared" si="9"/>
        <v>1</v>
      </c>
      <c r="BO32" s="23">
        <f t="shared" si="10"/>
        <v>0</v>
      </c>
      <c r="BP32" s="23">
        <f>IF(VLOOKUP($Q32,武学奇术!$A:$ZZ,22,FALSE)=1,0,(1-$BI32))*(1-$BL32)</f>
        <v>0</v>
      </c>
      <c r="BQ32" s="23" cm="1">
        <f t="array" ref="BQ32">SUM(_xlfn.XLOOKUP(R32:AF32,增益!$A:$A,增益!$W:$W,0))</f>
        <v>0.23</v>
      </c>
    </row>
    <row r="33" spans="1:69">
      <c r="A33" s="4" t="s">
        <v>149</v>
      </c>
      <c r="B33" s="4">
        <v>2.3</v>
      </c>
      <c r="C33" s="37"/>
      <c r="K33" s="36">
        <f t="shared" si="0"/>
        <v>48309.9063954633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54100.2835969973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41353.3707686059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27050.1417984986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23468.1571017337</v>
      </c>
      <c r="P33" s="37">
        <v>3</v>
      </c>
      <c r="Q33" s="38" t="s">
        <v>102</v>
      </c>
      <c r="R33" s="38" t="s">
        <v>89</v>
      </c>
      <c r="S33" s="38" t="s">
        <v>72</v>
      </c>
      <c r="T33" s="38" t="s">
        <v>79</v>
      </c>
      <c r="U33" s="38" t="s">
        <v>111</v>
      </c>
      <c r="V33" s="38" t="s">
        <v>72</v>
      </c>
      <c r="W33" s="38" t="s">
        <v>72</v>
      </c>
      <c r="X33" s="38" t="s">
        <v>122</v>
      </c>
      <c r="Y33" s="38" t="s">
        <v>147</v>
      </c>
      <c r="Z33" s="38" t="s">
        <v>72</v>
      </c>
      <c r="AA33" s="38" t="s">
        <v>68</v>
      </c>
      <c r="AB33" s="38" t="s">
        <v>72</v>
      </c>
      <c r="AC33" s="38" t="s">
        <v>72</v>
      </c>
      <c r="AD33" s="38" t="s">
        <v>72</v>
      </c>
      <c r="AE33" s="38" t="s">
        <v>90</v>
      </c>
      <c r="AF33" s="38" t="s">
        <v>74</v>
      </c>
      <c r="AG33" t="str">
        <f>VLOOKUP($Q33,武学奇术!$A:$ZZ,25,FALSE)</f>
        <v>陌刀</v>
      </c>
      <c r="AH33" s="23">
        <f>VLOOKUP($Q33,武学奇术!$A:$ZZ,26,FALSE)</f>
        <v>0.5</v>
      </c>
      <c r="AI33" s="24">
        <f>VLOOKUP($Q33,武学奇术!$A:$ZZ,27,FALSE)*(1+IF(OR($AG33=$F$4,$AG33=$F$5),$B$22,0))</f>
        <v>0</v>
      </c>
      <c r="AJ33" s="23">
        <f>VLOOKUP($Q33,武学奇术!$A:$ZZ,28,FALSE)</f>
        <v>0.75</v>
      </c>
      <c r="AK33" s="24">
        <f>VLOOKUP($Q33,武学奇术!$A:$ZZ,29,FALSE)*(1+IF(OR($AG33=$F$4,$AG33=$F$5),$B$22,0))</f>
        <v>0</v>
      </c>
      <c r="AL33" s="23" cm="1">
        <f t="array" ref="AL33">$G$3+IFERROR(VLOOKUP($AG33,$F$4:$G$7,2,FALSE),0)+VLOOKUP($Q33,武学奇术!$A:$ZZ,2,FALSE)+SUM(_xlfn.XLOOKUP($R33:$AF33,增益!$A:$A,增益!$B:$B,0))</f>
        <v>0.763</v>
      </c>
      <c r="AM33" s="23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3018.8</v>
      </c>
      <c r="AO33" cm="1">
        <f t="array" ref="AO33">$E$10*(1+$AM33)+VLOOKUP($Q33,武学奇术!$A:$ZZ,4,FALSE)+SUM(_xlfn.XLOOKUP($R33:$AF33,增益!$A:$A,增益!$D:$D,0))-$I$2</f>
        <v>3018.8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0.377</v>
      </c>
      <c r="AQ33" s="30" cm="1">
        <f t="array" ref="AQ33">$G$10+VLOOKUP($Q33,武学奇术!$A:$ZZ,7,FALSE)+SUM(_xlfn.XLOOKUP(R33:AF33,增益!$A:$A,增益!$G:$G,0))</f>
        <v>0</v>
      </c>
      <c r="AR33" s="23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-0.08</v>
      </c>
      <c r="AV33" s="30" cm="1">
        <f t="array" ref="AV33">$G$11+VLOOKUP($Q33,武学奇术!$A:$ZZ,10,FALSE)+SUM(_xlfn.XLOOKUP(R33:AF33,增益!$A:$A,增益!$J:$J,0))</f>
        <v>0</v>
      </c>
      <c r="AW33">
        <f t="shared" si="3"/>
        <v>634.5</v>
      </c>
      <c r="AX33">
        <f t="shared" si="4"/>
        <v>1443.3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0.198</v>
      </c>
      <c r="AZ33" s="30" cm="1">
        <f t="array" ref="AZ33">$G$12+VLOOKUP($Q33,武学奇术!$A:$ZZ,12,FALSE)+SUM(_xlfn.XLOOKUP(R33:AF33,增益!$A:$A,增益!$L:$L,0))</f>
        <v>0.148</v>
      </c>
      <c r="BA33">
        <f t="shared" si="5"/>
        <v>0</v>
      </c>
      <c r="BB33">
        <f t="shared" si="6"/>
        <v>0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-0.08</v>
      </c>
      <c r="BD33" s="30" cm="1">
        <f t="array" ref="BD33">$G$13+VLOOKUP($Q33,武学奇术!$A:$ZZ,14,FALSE)+SUM(_xlfn.XLOOKUP(R33:AF33,增益!$A:$A,增益!$N:$N,0))</f>
        <v>0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-0.08</v>
      </c>
      <c r="BH33" s="30" cm="1">
        <f t="array" ref="BH33">$G$14+VLOOKUP($Q33,武学奇术!$A:$ZZ,16,FALSE)+SUM(_xlfn.XLOOKUP(R33:AF33,增益!$A:$A,增益!$P:$P,0))</f>
        <v>0</v>
      </c>
      <c r="BI33" s="23">
        <f>MIN(IF(VLOOKUP($Q33,武学奇术!$A:$ZZ,23,FALSE)=1,100%,$B$8),100%)</f>
        <v>0.8626</v>
      </c>
      <c r="BJ33" s="23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0.8697</v>
      </c>
      <c r="BK33" s="23" cm="1">
        <f t="array" ref="BK33">1+$B$13+VLOOKUP($Q33,武学奇术!$A:$ZZ,18,FALSE)+SUM(_xlfn.XLOOKUP(R33:AF33,增益!$A:$A,增益!$R:$R,0))</f>
        <v>2</v>
      </c>
      <c r="BL33" s="23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0.0986</v>
      </c>
      <c r="BM33" s="23" cm="1">
        <f t="array" ref="BM33">1+$B$14+VLOOKUP($Q33,武学奇术!$A:$ZZ,20,FALSE)+SUM(_xlfn.XLOOKUP(R33:AF33,增益!$A:$A,增益!$T:$T,0))</f>
        <v>1.35</v>
      </c>
      <c r="BN33" s="23">
        <f t="shared" si="9"/>
        <v>0.75020322</v>
      </c>
      <c r="BO33" s="23">
        <f t="shared" si="10"/>
        <v>0.0273444200000001</v>
      </c>
      <c r="BP33" s="23">
        <f>IF(VLOOKUP($Q33,武学奇术!$A:$ZZ,22,FALSE)=1,0,(1-$BI33))*(1-$BL33)</f>
        <v>0.12385236</v>
      </c>
      <c r="BQ33" s="23" cm="1">
        <f t="array" ref="BQ33">SUM(_xlfn.XLOOKUP(R33:AF33,增益!$A:$A,增益!$W:$W,0))</f>
        <v>0.23</v>
      </c>
    </row>
    <row r="34" spans="1:69">
      <c r="A34" s="4" t="s">
        <v>149</v>
      </c>
      <c r="B34" s="4">
        <v>2.3</v>
      </c>
      <c r="C34" s="37"/>
      <c r="K34" s="36">
        <f t="shared" si="0"/>
        <v>86957.8315118339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97380.5104745951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74436.0673834906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48690.2552372976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42242.6827831206</v>
      </c>
      <c r="P34" s="37">
        <v>3</v>
      </c>
      <c r="Q34" s="38" t="s">
        <v>136</v>
      </c>
      <c r="R34" s="38" t="s">
        <v>89</v>
      </c>
      <c r="S34" s="38" t="s">
        <v>72</v>
      </c>
      <c r="T34" s="38" t="s">
        <v>79</v>
      </c>
      <c r="U34" s="38" t="s">
        <v>111</v>
      </c>
      <c r="V34" s="38" t="s">
        <v>72</v>
      </c>
      <c r="W34" s="38" t="s">
        <v>72</v>
      </c>
      <c r="X34" s="38" t="s">
        <v>122</v>
      </c>
      <c r="Y34" s="38" t="s">
        <v>147</v>
      </c>
      <c r="Z34" s="38" t="s">
        <v>72</v>
      </c>
      <c r="AA34" s="38" t="s">
        <v>68</v>
      </c>
      <c r="AB34" s="38" t="s">
        <v>72</v>
      </c>
      <c r="AC34" s="38" t="s">
        <v>72</v>
      </c>
      <c r="AD34" s="38" t="s">
        <v>72</v>
      </c>
      <c r="AE34" s="38" t="s">
        <v>90</v>
      </c>
      <c r="AF34" s="38" t="s">
        <v>74</v>
      </c>
      <c r="AG34" t="str">
        <f>VLOOKUP($Q34,武学奇术!$A:$ZZ,25,FALSE)</f>
        <v>陌刀</v>
      </c>
      <c r="AH34" s="23">
        <f>VLOOKUP($Q34,武学奇术!$A:$ZZ,26,FALSE)</f>
        <v>0.9</v>
      </c>
      <c r="AI34" s="24">
        <f>VLOOKUP($Q34,武学奇术!$A:$ZZ,27,FALSE)*(1+IF(OR($AG34=$F$4,$AG34=$F$5),$B$22,0))</f>
        <v>0</v>
      </c>
      <c r="AJ34" s="23">
        <f>VLOOKUP($Q34,武学奇术!$A:$ZZ,28,FALSE)</f>
        <v>1.35</v>
      </c>
      <c r="AK34" s="24">
        <f>VLOOKUP($Q34,武学奇术!$A:$ZZ,29,FALSE)*(1+IF(OR($AG34=$F$4,$AG34=$F$5),$B$22,0))</f>
        <v>0</v>
      </c>
      <c r="AL34" s="23" cm="1">
        <f t="array" ref="AL34">$G$3+IFERROR(VLOOKUP($AG34,$F$4:$G$7,2,FALSE),0)+VLOOKUP($Q34,武学奇术!$A:$ZZ,2,FALSE)+SUM(_xlfn.XLOOKUP($R34:$AF34,增益!$A:$A,增益!$B:$B,0))</f>
        <v>0.763</v>
      </c>
      <c r="AM34" s="23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3018.8</v>
      </c>
      <c r="AO34" cm="1">
        <f t="array" ref="AO34">$E$10*(1+$AM34)+VLOOKUP($Q34,武学奇术!$A:$ZZ,4,FALSE)+SUM(_xlfn.XLOOKUP($R34:$AF34,增益!$A:$A,增益!$D:$D,0))-$I$2</f>
        <v>3018.8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0.377</v>
      </c>
      <c r="AQ34" s="30" cm="1">
        <f t="array" ref="AQ34">$G$10+VLOOKUP($Q34,武学奇术!$A:$ZZ,7,FALSE)+SUM(_xlfn.XLOOKUP(R34:AF34,增益!$A:$A,增益!$G:$G,0))</f>
        <v>0</v>
      </c>
      <c r="AR34" s="23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-0.08</v>
      </c>
      <c r="AV34" s="30" cm="1">
        <f t="array" ref="AV34">$G$11+VLOOKUP($Q34,武学奇术!$A:$ZZ,10,FALSE)+SUM(_xlfn.XLOOKUP(R34:AF34,增益!$A:$A,增益!$J:$J,0))</f>
        <v>0</v>
      </c>
      <c r="AW34">
        <f t="shared" si="3"/>
        <v>634.5</v>
      </c>
      <c r="AX34">
        <f t="shared" si="4"/>
        <v>1443.3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0.198</v>
      </c>
      <c r="AZ34" s="30" cm="1">
        <f t="array" ref="AZ34">$G$12+VLOOKUP($Q34,武学奇术!$A:$ZZ,12,FALSE)+SUM(_xlfn.XLOOKUP(R34:AF34,增益!$A:$A,增益!$L:$L,0))</f>
        <v>0.148</v>
      </c>
      <c r="BA34">
        <f t="shared" si="5"/>
        <v>0</v>
      </c>
      <c r="BB34">
        <f t="shared" si="6"/>
        <v>0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-0.08</v>
      </c>
      <c r="BD34" s="30" cm="1">
        <f t="array" ref="BD34">$G$13+VLOOKUP($Q34,武学奇术!$A:$ZZ,14,FALSE)+SUM(_xlfn.XLOOKUP(R34:AF34,增益!$A:$A,增益!$N:$N,0))</f>
        <v>0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-0.08</v>
      </c>
      <c r="BH34" s="30" cm="1">
        <f t="array" ref="BH34">$G$14+VLOOKUP($Q34,武学奇术!$A:$ZZ,16,FALSE)+SUM(_xlfn.XLOOKUP(R34:AF34,增益!$A:$A,增益!$P:$P,0))</f>
        <v>0</v>
      </c>
      <c r="BI34" s="23">
        <f>MIN(IF(VLOOKUP($Q34,武学奇术!$A:$ZZ,23,FALSE)=1,100%,$B$8),100%)</f>
        <v>0.8626</v>
      </c>
      <c r="BJ34" s="23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0.8697</v>
      </c>
      <c r="BK34" s="23" cm="1">
        <f t="array" ref="BK34">1+$B$13+VLOOKUP($Q34,武学奇术!$A:$ZZ,18,FALSE)+SUM(_xlfn.XLOOKUP(R34:AF34,增益!$A:$A,增益!$R:$R,0))</f>
        <v>2</v>
      </c>
      <c r="BL34" s="23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0.0986</v>
      </c>
      <c r="BM34" s="23" cm="1">
        <f t="array" ref="BM34">1+$B$14+VLOOKUP($Q34,武学奇术!$A:$ZZ,20,FALSE)+SUM(_xlfn.XLOOKUP(R34:AF34,增益!$A:$A,增益!$T:$T,0))</f>
        <v>1.35</v>
      </c>
      <c r="BN34" s="23">
        <f t="shared" si="9"/>
        <v>0.75020322</v>
      </c>
      <c r="BO34" s="23">
        <f t="shared" si="10"/>
        <v>0.0273444200000001</v>
      </c>
      <c r="BP34" s="23">
        <f>IF(VLOOKUP($Q34,武学奇术!$A:$ZZ,22,FALSE)=1,0,(1-$BI34))*(1-$BL34)</f>
        <v>0.12385236</v>
      </c>
      <c r="BQ34" s="23" cm="1">
        <f t="array" ref="BQ34">SUM(_xlfn.XLOOKUP(R34:AF34,增益!$A:$A,增益!$W:$W,0))</f>
        <v>0.23</v>
      </c>
    </row>
    <row r="35" spans="1:69">
      <c r="A35" s="4" t="s">
        <v>149</v>
      </c>
      <c r="B35" s="4">
        <v>2.3</v>
      </c>
      <c r="C35" s="37"/>
      <c r="K35" s="36">
        <f t="shared" si="0"/>
        <v>982436.678336484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982436.678336484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704754.120515308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467826.98968404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413613.890097482</v>
      </c>
      <c r="P35" s="37">
        <v>3</v>
      </c>
      <c r="Q35" s="38" t="s">
        <v>110</v>
      </c>
      <c r="R35" s="38" t="s">
        <v>89</v>
      </c>
      <c r="S35" s="38" t="s">
        <v>72</v>
      </c>
      <c r="T35" s="38" t="s">
        <v>79</v>
      </c>
      <c r="U35" s="38" t="s">
        <v>111</v>
      </c>
      <c r="V35" s="38" t="s">
        <v>107</v>
      </c>
      <c r="W35" s="38" t="s">
        <v>72</v>
      </c>
      <c r="X35" s="38" t="s">
        <v>122</v>
      </c>
      <c r="Y35" s="38" t="s">
        <v>147</v>
      </c>
      <c r="Z35" s="38" t="s">
        <v>72</v>
      </c>
      <c r="AA35" s="38" t="s">
        <v>68</v>
      </c>
      <c r="AB35" s="38" t="s">
        <v>72</v>
      </c>
      <c r="AC35" s="38" t="s">
        <v>72</v>
      </c>
      <c r="AD35" s="38" t="s">
        <v>72</v>
      </c>
      <c r="AE35" s="38" t="s">
        <v>90</v>
      </c>
      <c r="AF35" s="38" t="s">
        <v>74</v>
      </c>
      <c r="AG35" t="str">
        <f>VLOOKUP($Q35,武学奇术!$A:$ZZ,25,FALSE)</f>
        <v>陌刀</v>
      </c>
      <c r="AH35" s="23">
        <f>VLOOKUP($Q35,武学奇术!$A:$ZZ,26,FALSE)</f>
        <v>7.5674</v>
      </c>
      <c r="AI35" s="24">
        <f>VLOOKUP($Q35,武学奇术!$A:$ZZ,27,FALSE)*(1+IF(OR($AG35=$F$4,$AG35=$F$5),$B$22,0))</f>
        <v>2720.9</v>
      </c>
      <c r="AJ35" s="23">
        <f>VLOOKUP($Q35,武学奇术!$A:$ZZ,28,FALSE)</f>
        <v>11.3512</v>
      </c>
      <c r="AK35" s="24">
        <f>VLOOKUP($Q35,武学奇术!$A:$ZZ,29,FALSE)*(1+IF(OR($AG35=$F$4,$AG35=$F$5),$B$22,0))</f>
        <v>1482</v>
      </c>
      <c r="AL35" s="23" cm="1">
        <f t="array" ref="AL35">$G$3+IFERROR(VLOOKUP($AG35,$F$4:$G$7,2,FALSE),0)+VLOOKUP($Q35,武学奇术!$A:$ZZ,2,FALSE)+SUM(_xlfn.XLOOKUP($R35:$AF35,增益!$A:$A,增益!$B:$B,0))</f>
        <v>0.763</v>
      </c>
      <c r="AM35" s="23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3018.8</v>
      </c>
      <c r="AO35" cm="1">
        <f t="array" ref="AO35">$E$10*(1+$AM35)+VLOOKUP($Q35,武学奇术!$A:$ZZ,4,FALSE)+SUM(_xlfn.XLOOKUP($R35:$AF35,增益!$A:$A,增益!$D:$D,0))-$I$2</f>
        <v>3018.8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0.377</v>
      </c>
      <c r="AQ35" s="30" cm="1">
        <f t="array" ref="AQ35">$G$10+VLOOKUP($Q35,武学奇术!$A:$ZZ,7,FALSE)+SUM(_xlfn.XLOOKUP(R35:AF35,增益!$A:$A,增益!$G:$G,0))</f>
        <v>0</v>
      </c>
      <c r="AR35" s="23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-0.08</v>
      </c>
      <c r="AV35" s="30" cm="1">
        <f t="array" ref="AV35">$G$11+VLOOKUP($Q35,武学奇术!$A:$ZZ,10,FALSE)+SUM(_xlfn.XLOOKUP(R35:AF35,增益!$A:$A,增益!$J:$J,0))</f>
        <v>0</v>
      </c>
      <c r="AW35">
        <f t="shared" si="3"/>
        <v>634.5</v>
      </c>
      <c r="AX35">
        <f t="shared" si="4"/>
        <v>1443.3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0.198</v>
      </c>
      <c r="AZ35" s="30" cm="1">
        <f t="array" ref="AZ35">$G$12+VLOOKUP($Q35,武学奇术!$A:$ZZ,12,FALSE)+SUM(_xlfn.XLOOKUP(R35:AF35,增益!$A:$A,增益!$L:$L,0))</f>
        <v>0.148</v>
      </c>
      <c r="BA35">
        <f t="shared" si="5"/>
        <v>0</v>
      </c>
      <c r="BB35">
        <f t="shared" si="6"/>
        <v>0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-0.08</v>
      </c>
      <c r="BD35" s="30" cm="1">
        <f t="array" ref="BD35">$G$13+VLOOKUP($Q35,武学奇术!$A:$ZZ,14,FALSE)+SUM(_xlfn.XLOOKUP(R35:AF35,增益!$A:$A,增益!$N:$N,0))</f>
        <v>0</v>
      </c>
      <c r="BE35">
        <f t="shared" si="7"/>
        <v>0</v>
      </c>
      <c r="BF35">
        <f t="shared" si="8"/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-0.08</v>
      </c>
      <c r="BH35" s="30" cm="1">
        <f t="array" ref="BH35">$G$14+VLOOKUP($Q35,武学奇术!$A:$ZZ,16,FALSE)+SUM(_xlfn.XLOOKUP(R35:AF35,增益!$A:$A,增益!$P:$P,0))</f>
        <v>0</v>
      </c>
      <c r="BI35" s="23">
        <f>MIN(IF(VLOOKUP($Q35,武学奇术!$A:$ZZ,23,FALSE)=1,100%,$B$8),100%)</f>
        <v>1</v>
      </c>
      <c r="BJ35" s="23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1</v>
      </c>
      <c r="BK35" s="23" cm="1">
        <f t="array" ref="BK35">1+$B$13+VLOOKUP($Q35,武学奇术!$A:$ZZ,18,FALSE)+SUM(_xlfn.XLOOKUP(R35:AF35,增益!$A:$A,增益!$R:$R,0))</f>
        <v>2.1</v>
      </c>
      <c r="BL35" s="23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</v>
      </c>
      <c r="BM35" s="23" cm="1">
        <f t="array" ref="BM35">1+$B$14+VLOOKUP($Q35,武学奇术!$A:$ZZ,20,FALSE)+SUM(_xlfn.XLOOKUP(R35:AF35,增益!$A:$A,增益!$T:$T,0))</f>
        <v>1.35</v>
      </c>
      <c r="BN35" s="23">
        <f t="shared" si="9"/>
        <v>1</v>
      </c>
      <c r="BO35" s="23">
        <f t="shared" si="10"/>
        <v>0</v>
      </c>
      <c r="BP35" s="23">
        <f>IF(VLOOKUP($Q35,武学奇术!$A:$ZZ,22,FALSE)=1,0,(1-$BI35))*(1-$BL35)</f>
        <v>0</v>
      </c>
      <c r="BQ35" s="23" cm="1">
        <f t="array" ref="BQ35">SUM(_xlfn.XLOOKUP(R35:AF35,增益!$A:$A,增益!$W:$W,0))</f>
        <v>0.23</v>
      </c>
    </row>
    <row r="36" spans="1:69">
      <c r="A36" s="4" t="s">
        <v>151</v>
      </c>
      <c r="B36" s="4">
        <v>2</v>
      </c>
      <c r="C36" s="37"/>
      <c r="K36" s="36">
        <f t="shared" si="0"/>
        <v>24580.8286264513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27177.8501223373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22055.4299107542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14690.729795858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13044.1041022684</v>
      </c>
      <c r="P36" s="37">
        <v>1</v>
      </c>
      <c r="Q36" s="38" t="s">
        <v>143</v>
      </c>
      <c r="R36" s="38" t="s">
        <v>89</v>
      </c>
      <c r="S36" s="38" t="s">
        <v>72</v>
      </c>
      <c r="T36" s="38" t="s">
        <v>72</v>
      </c>
      <c r="U36" s="38" t="s">
        <v>80</v>
      </c>
      <c r="V36" s="38" t="s">
        <v>72</v>
      </c>
      <c r="W36" s="38" t="s">
        <v>72</v>
      </c>
      <c r="X36" s="38" t="s">
        <v>72</v>
      </c>
      <c r="Y36" s="38" t="s">
        <v>72</v>
      </c>
      <c r="Z36" s="38" t="s">
        <v>72</v>
      </c>
      <c r="AA36" s="38" t="s">
        <v>72</v>
      </c>
      <c r="AB36" s="38" t="s">
        <v>72</v>
      </c>
      <c r="AC36" s="38" t="s">
        <v>72</v>
      </c>
      <c r="AD36" s="38" t="s">
        <v>72</v>
      </c>
      <c r="AE36" s="38" t="s">
        <v>90</v>
      </c>
      <c r="AF36" s="38" t="s">
        <v>74</v>
      </c>
      <c r="AG36" t="str">
        <f>VLOOKUP($Q36,武学奇术!$A:$ZZ,25,FALSE)</f>
        <v>横刀</v>
      </c>
      <c r="AH36" s="23">
        <f>VLOOKUP($Q36,武学奇术!$A:$ZZ,26,FALSE)</f>
        <v>1.2338</v>
      </c>
      <c r="AI36" s="24">
        <f>VLOOKUP($Q36,武学奇术!$A:$ZZ,27,FALSE)*(1+IF(OR($AG36=$F$4,$AG36=$F$5),$B$22,0))</f>
        <v>444.6</v>
      </c>
      <c r="AJ36" s="23">
        <f>VLOOKUP($Q36,武学奇术!$A:$ZZ,28,FALSE)</f>
        <v>1.8507</v>
      </c>
      <c r="AK36" s="24">
        <f>VLOOKUP($Q36,武学奇术!$A:$ZZ,29,FALSE)*(1+IF(OR($AG36=$F$4,$AG36=$F$5),$B$22,0))</f>
        <v>241.8</v>
      </c>
      <c r="AL36" s="23" cm="1">
        <f t="array" ref="AL36">$G$3+IFERROR(VLOOKUP($AG36,$F$4:$G$7,2,FALSE),0)+VLOOKUP($Q36,武学奇术!$A:$ZZ,2,FALSE)+SUM(_xlfn.XLOOKUP($R36:$AF36,增益!$A:$A,增益!$B:$B,0))</f>
        <v>0.517</v>
      </c>
      <c r="AM36" s="23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3018.8</v>
      </c>
      <c r="AO36" cm="1">
        <f t="array" ref="AO36">$E$10*(1+$AM36)+VLOOKUP($Q36,武学奇术!$A:$ZZ,4,FALSE)+SUM(_xlfn.XLOOKUP($R36:$AF36,增益!$A:$A,增益!$D:$D,0))-$I$2</f>
        <v>3018.8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0.352</v>
      </c>
      <c r="AQ36" s="30" cm="1">
        <f t="array" ref="AQ36">$G$10+VLOOKUP($Q36,武学奇术!$A:$ZZ,7,FALSE)+SUM(_xlfn.XLOOKUP(R36:AF36,增益!$A:$A,增益!$G:$G,0))</f>
        <v>0</v>
      </c>
      <c r="AR36" s="23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-0.24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634.5</v>
      </c>
      <c r="AX36">
        <f t="shared" si="4"/>
        <v>1443.3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0.118</v>
      </c>
      <c r="AZ36" s="30" cm="1">
        <f t="array" ref="AZ36">$G$12+VLOOKUP($Q36,武学奇术!$A:$ZZ,12,FALSE)+SUM(_xlfn.XLOOKUP(R36:AF36,增益!$A:$A,增益!$L:$L,0))</f>
        <v>0.148</v>
      </c>
      <c r="BA36">
        <f t="shared" si="5"/>
        <v>0</v>
      </c>
      <c r="BB36">
        <f t="shared" si="6"/>
        <v>0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-0.24</v>
      </c>
      <c r="BD36" s="30" cm="1">
        <f t="array" ref="BD36">$G$13+VLOOKUP($Q36,武学奇术!$A:$ZZ,14,FALSE)+SUM(_xlfn.XLOOKUP(R36:AF36,增益!$A:$A,增益!$N:$N,0))</f>
        <v>0</v>
      </c>
      <c r="BE36">
        <f t="shared" si="7"/>
        <v>0</v>
      </c>
      <c r="BF36">
        <f t="shared" si="8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-0.24</v>
      </c>
      <c r="BH36" s="30" cm="1">
        <f t="array" ref="BH36">$G$14+VLOOKUP($Q36,武学奇术!$A:$ZZ,16,FALSE)+SUM(_xlfn.XLOOKUP(R36:AF36,增益!$A:$A,增益!$P:$P,0))</f>
        <v>0</v>
      </c>
      <c r="BI36" s="23">
        <f>MIN(IF(VLOOKUP($Q36,武学奇术!$A:$ZZ,23,FALSE)=1,100%,$B$8),100%)</f>
        <v>0.8626</v>
      </c>
      <c r="BJ36" s="23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0.8697</v>
      </c>
      <c r="BK36" s="23" cm="1">
        <f t="array" ref="BK36">1+$B$13+VLOOKUP($Q36,武学奇术!$A:$ZZ,18,FALSE)+SUM(_xlfn.XLOOKUP(R36:AF36,增益!$A:$A,增益!$R:$R,0))</f>
        <v>1.85</v>
      </c>
      <c r="BL36" s="23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0.0986</v>
      </c>
      <c r="BM36" s="23" cm="1">
        <f t="array" ref="BM36">1+$B$14+VLOOKUP($Q36,武学奇术!$A:$ZZ,20,FALSE)+SUM(_xlfn.XLOOKUP(R36:AF36,增益!$A:$A,增益!$T:$T,0))</f>
        <v>1.35</v>
      </c>
      <c r="BN36" s="23">
        <f t="shared" si="9"/>
        <v>0.75020322</v>
      </c>
      <c r="BO36" s="23">
        <f t="shared" si="10"/>
        <v>0.0273444200000001</v>
      </c>
      <c r="BP36" s="23">
        <f>IF(VLOOKUP($Q36,武学奇术!$A:$ZZ,22,FALSE)=1,0,(1-$BI36))*(1-$BL36)</f>
        <v>0.12385236</v>
      </c>
      <c r="BQ36" s="23" cm="1">
        <f t="array" ref="BQ36">SUM(_xlfn.XLOOKUP(R36:AF36,增益!$A:$A,增益!$W:$W,0))</f>
        <v>0.13</v>
      </c>
    </row>
    <row r="37" spans="1:69">
      <c r="A37" s="4" t="s">
        <v>152</v>
      </c>
      <c r="B37" s="4">
        <v>3.3</v>
      </c>
      <c r="K37" s="36">
        <f t="shared" si="0"/>
        <v>75290.4196710894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83245.0182433317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67556.3323485543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44997.3071585577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39952.8866515195</v>
      </c>
      <c r="P37" s="37">
        <v>1</v>
      </c>
      <c r="Q37" s="38" t="s">
        <v>93</v>
      </c>
      <c r="R37" s="38" t="s">
        <v>89</v>
      </c>
      <c r="S37" s="38" t="s">
        <v>72</v>
      </c>
      <c r="T37" s="38" t="s">
        <v>72</v>
      </c>
      <c r="U37" s="38" t="s">
        <v>80</v>
      </c>
      <c r="V37" s="38" t="s">
        <v>72</v>
      </c>
      <c r="W37" s="38" t="s">
        <v>72</v>
      </c>
      <c r="X37" s="38" t="s">
        <v>72</v>
      </c>
      <c r="Y37" s="38" t="s">
        <v>72</v>
      </c>
      <c r="Z37" s="38" t="s">
        <v>72</v>
      </c>
      <c r="AA37" s="38" t="s">
        <v>72</v>
      </c>
      <c r="AB37" s="38" t="s">
        <v>72</v>
      </c>
      <c r="AC37" s="38" t="s">
        <v>72</v>
      </c>
      <c r="AD37" s="38" t="s">
        <v>72</v>
      </c>
      <c r="AE37" s="38" t="s">
        <v>90</v>
      </c>
      <c r="AF37" s="38" t="s">
        <v>74</v>
      </c>
      <c r="AG37" t="str">
        <f>VLOOKUP($Q37,武学奇术!$A:$ZZ,25,FALSE)</f>
        <v>横刀</v>
      </c>
      <c r="AH37" s="23">
        <f>VLOOKUP($Q37,武学奇术!$A:$ZZ,26,FALSE)</f>
        <v>3.7797</v>
      </c>
      <c r="AI37" s="24">
        <f>VLOOKUP($Q37,武学奇术!$A:$ZZ,27,FALSE)*(1+IF(OR($AG37=$F$4,$AG37=$F$5),$B$22,0))</f>
        <v>1358.5</v>
      </c>
      <c r="AJ37" s="23">
        <f>VLOOKUP($Q37,武学奇术!$A:$ZZ,28,FALSE)</f>
        <v>5.6696</v>
      </c>
      <c r="AK37" s="24">
        <f>VLOOKUP($Q37,武学奇术!$A:$ZZ,29,FALSE)*(1+IF(OR($AG37=$F$4,$AG37=$F$5),$B$22,0))</f>
        <v>741</v>
      </c>
      <c r="AL37" s="23" cm="1">
        <f t="array" ref="AL37">$G$3+IFERROR(VLOOKUP($AG37,$F$4:$G$7,2,FALSE),0)+VLOOKUP($Q37,武学奇术!$A:$ZZ,2,FALSE)+SUM(_xlfn.XLOOKUP($R37:$AF37,增益!$A:$A,增益!$B:$B,0))</f>
        <v>0.517</v>
      </c>
      <c r="AM37" s="23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3018.8</v>
      </c>
      <c r="AO37" cm="1">
        <f t="array" ref="AO37">$E$10*(1+$AM37)+VLOOKUP($Q37,武学奇术!$A:$ZZ,4,FALSE)+SUM(_xlfn.XLOOKUP($R37:$AF37,增益!$A:$A,增益!$D:$D,0))-$I$2</f>
        <v>3018.8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0.352</v>
      </c>
      <c r="AQ37" s="30" cm="1">
        <f t="array" ref="AQ37">$G$10+VLOOKUP($Q37,武学奇术!$A:$ZZ,7,FALSE)+SUM(_xlfn.XLOOKUP(R37:AF37,增益!$A:$A,增益!$G:$G,0))</f>
        <v>0</v>
      </c>
      <c r="AR37" s="23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-0.24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634.5</v>
      </c>
      <c r="AX37">
        <f t="shared" si="4"/>
        <v>1443.3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0.118</v>
      </c>
      <c r="AZ37" s="30" cm="1">
        <f t="array" ref="AZ37">$G$12+VLOOKUP($Q37,武学奇术!$A:$ZZ,12,FALSE)+SUM(_xlfn.XLOOKUP(R37:AF37,增益!$A:$A,增益!$L:$L,0))</f>
        <v>0.148</v>
      </c>
      <c r="BA37">
        <f t="shared" si="5"/>
        <v>0</v>
      </c>
      <c r="BB37">
        <f t="shared" si="6"/>
        <v>0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-0.24</v>
      </c>
      <c r="BD37" s="30" cm="1">
        <f t="array" ref="BD37">$G$13+VLOOKUP($Q37,武学奇术!$A:$ZZ,14,FALSE)+SUM(_xlfn.XLOOKUP(R37:AF37,增益!$A:$A,增益!$N:$N,0))</f>
        <v>0</v>
      </c>
      <c r="BE37">
        <f t="shared" si="7"/>
        <v>0</v>
      </c>
      <c r="BF37">
        <f t="shared" si="8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-0.24</v>
      </c>
      <c r="BH37" s="30" cm="1">
        <f t="array" ref="BH37">$G$14+VLOOKUP($Q37,武学奇术!$A:$ZZ,16,FALSE)+SUM(_xlfn.XLOOKUP(R37:AF37,增益!$A:$A,增益!$P:$P,0))</f>
        <v>0</v>
      </c>
      <c r="BI37" s="23">
        <f>MIN(IF(VLOOKUP($Q37,武学奇术!$A:$ZZ,23,FALSE)=1,100%,$B$8),100%)</f>
        <v>0.8626</v>
      </c>
      <c r="BJ37" s="23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0.8697</v>
      </c>
      <c r="BK37" s="23" cm="1">
        <f t="array" ref="BK37">1+$B$13+VLOOKUP($Q37,武学奇术!$A:$ZZ,18,FALSE)+SUM(_xlfn.XLOOKUP(R37:AF37,增益!$A:$A,增益!$R:$R,0))</f>
        <v>1.85</v>
      </c>
      <c r="BL37" s="23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0.0986</v>
      </c>
      <c r="BM37" s="23" cm="1">
        <f t="array" ref="BM37">1+$B$14+VLOOKUP($Q37,武学奇术!$A:$ZZ,20,FALSE)+SUM(_xlfn.XLOOKUP(R37:AF37,增益!$A:$A,增益!$T:$T,0))</f>
        <v>1.35</v>
      </c>
      <c r="BN37" s="23">
        <f t="shared" si="9"/>
        <v>0.75020322</v>
      </c>
      <c r="BO37" s="23">
        <f t="shared" si="10"/>
        <v>0.0273444200000001</v>
      </c>
      <c r="BP37" s="23">
        <f>IF(VLOOKUP($Q37,武学奇术!$A:$ZZ,22,FALSE)=1,0,(1-$BI37))*(1-$BL37)</f>
        <v>0.12385236</v>
      </c>
      <c r="BQ37" s="23" cm="1">
        <f t="array" ref="BQ37">SUM(_xlfn.XLOOKUP(R37:AF37,增益!$A:$A,增益!$W:$W,0))</f>
        <v>0.13</v>
      </c>
    </row>
    <row r="38" spans="1:69">
      <c r="A38" s="4" t="s">
        <v>153</v>
      </c>
      <c r="B38" s="4">
        <v>1</v>
      </c>
      <c r="K38" s="36">
        <f t="shared" si="0"/>
        <v>49758.0006573201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55263.4592215213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43614.6200921034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29086.0311692217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25864.9363442928</v>
      </c>
      <c r="P38" s="37">
        <v>1</v>
      </c>
      <c r="Q38" s="38" t="s">
        <v>97</v>
      </c>
      <c r="R38" s="38" t="s">
        <v>89</v>
      </c>
      <c r="S38" s="38" t="s">
        <v>78</v>
      </c>
      <c r="T38" s="38" t="s">
        <v>72</v>
      </c>
      <c r="U38" s="38" t="s">
        <v>111</v>
      </c>
      <c r="V38" s="38" t="s">
        <v>72</v>
      </c>
      <c r="W38" s="38" t="s">
        <v>72</v>
      </c>
      <c r="X38" s="38" t="s">
        <v>72</v>
      </c>
      <c r="Y38" s="38" t="s">
        <v>72</v>
      </c>
      <c r="Z38" s="38" t="s">
        <v>72</v>
      </c>
      <c r="AA38" s="38" t="s">
        <v>68</v>
      </c>
      <c r="AB38" s="38" t="s">
        <v>72</v>
      </c>
      <c r="AC38" s="38" t="s">
        <v>72</v>
      </c>
      <c r="AD38" s="38" t="s">
        <v>72</v>
      </c>
      <c r="AE38" s="38" t="s">
        <v>90</v>
      </c>
      <c r="AF38" s="38" t="s">
        <v>74</v>
      </c>
      <c r="AG38" t="str">
        <f>VLOOKUP($Q38,武学奇术!$A:$ZZ,25,FALSE)</f>
        <v>横刀</v>
      </c>
      <c r="AH38" s="23">
        <f>VLOOKUP($Q38,武学奇术!$A:$ZZ,26,FALSE)</f>
        <v>2.1324</v>
      </c>
      <c r="AI38" s="24">
        <f>VLOOKUP($Q38,武学奇术!$A:$ZZ,27,FALSE)*(1+IF(OR($AG38=$F$4,$AG38=$F$5),$B$22,0))</f>
        <v>767</v>
      </c>
      <c r="AJ38" s="23">
        <f>VLOOKUP($Q38,武学奇术!$A:$ZZ,28,FALSE)</f>
        <v>3.1986</v>
      </c>
      <c r="AK38" s="24">
        <f>VLOOKUP($Q38,武学奇术!$A:$ZZ,29,FALSE)*(1+IF(OR($AG38=$F$4,$AG38=$F$5),$B$22,0))</f>
        <v>418.6</v>
      </c>
      <c r="AL38" s="23" cm="1">
        <f t="array" ref="AL38">$G$3+IFERROR(VLOOKUP($AG38,$F$4:$G$7,2,FALSE),0)+VLOOKUP($Q38,武学奇术!$A:$ZZ,2,FALSE)+SUM(_xlfn.XLOOKUP($R38:$AF38,增益!$A:$A,增益!$B:$B,0))</f>
        <v>0.717</v>
      </c>
      <c r="AM38" s="23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3018.8</v>
      </c>
      <c r="AO38" cm="1">
        <f t="array" ref="AO38">$E$10*(1+$AM38)+VLOOKUP($Q38,武学奇术!$A:$ZZ,4,FALSE)+SUM(_xlfn.XLOOKUP($R38:$AF38,增益!$A:$A,增益!$D:$D,0))-$I$2</f>
        <v>3018.8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0.377</v>
      </c>
      <c r="AQ38" s="30" cm="1">
        <f t="array" ref="AQ38">$G$10+VLOOKUP($Q38,武学奇术!$A:$ZZ,7,FALSE)+SUM(_xlfn.XLOOKUP(R38:AF38,增益!$A:$A,增益!$G:$G,0))</f>
        <v>0</v>
      </c>
      <c r="AR38" s="23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-0.24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634.5</v>
      </c>
      <c r="AX38">
        <f t="shared" si="4"/>
        <v>1443.3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0.118</v>
      </c>
      <c r="AZ38" s="30" cm="1">
        <f t="array" ref="AZ38">$G$12+VLOOKUP($Q38,武学奇术!$A:$ZZ,12,FALSE)+SUM(_xlfn.XLOOKUP(R38:AF38,增益!$A:$A,增益!$L:$L,0))</f>
        <v>0.148</v>
      </c>
      <c r="BA38">
        <f t="shared" si="5"/>
        <v>0</v>
      </c>
      <c r="BB38">
        <f t="shared" si="6"/>
        <v>0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-0.24</v>
      </c>
      <c r="BD38" s="30" cm="1">
        <f t="array" ref="BD38">$G$13+VLOOKUP($Q38,武学奇术!$A:$ZZ,14,FALSE)+SUM(_xlfn.XLOOKUP(R38:AF38,增益!$A:$A,增益!$N:$N,0))</f>
        <v>0</v>
      </c>
      <c r="BE38">
        <f t="shared" si="7"/>
        <v>0</v>
      </c>
      <c r="BF38">
        <f t="shared" si="8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-0.24</v>
      </c>
      <c r="BH38" s="30" cm="1">
        <f t="array" ref="BH38">$G$14+VLOOKUP($Q38,武学奇术!$A:$ZZ,16,FALSE)+SUM(_xlfn.XLOOKUP(R38:AF38,增益!$A:$A,增益!$P:$P,0))</f>
        <v>0</v>
      </c>
      <c r="BI38" s="23">
        <f>MIN(IF(VLOOKUP($Q38,武学奇术!$A:$ZZ,23,FALSE)=1,100%,$B$8),100%)</f>
        <v>0.8626</v>
      </c>
      <c r="BJ38" s="23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0.8697</v>
      </c>
      <c r="BK38" s="23" cm="1">
        <f t="array" ref="BK38">1+$B$13+VLOOKUP($Q38,武学奇术!$A:$ZZ,18,FALSE)+SUM(_xlfn.XLOOKUP(R38:AF38,增益!$A:$A,增益!$R:$R,0))</f>
        <v>1.9</v>
      </c>
      <c r="BL38" s="23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0.0986</v>
      </c>
      <c r="BM38" s="23" cm="1">
        <f t="array" ref="BM38">1+$B$14+VLOOKUP($Q38,武学奇术!$A:$ZZ,20,FALSE)+SUM(_xlfn.XLOOKUP(R38:AF38,增益!$A:$A,增益!$T:$T,0))</f>
        <v>1.35</v>
      </c>
      <c r="BN38" s="23">
        <f t="shared" si="9"/>
        <v>0.75020322</v>
      </c>
      <c r="BO38" s="23">
        <f t="shared" si="10"/>
        <v>0.0273444200000001</v>
      </c>
      <c r="BP38" s="23">
        <f>IF(VLOOKUP($Q38,武学奇术!$A:$ZZ,22,FALSE)=1,0,(1-$BI38))*(1-$BL38)</f>
        <v>0.12385236</v>
      </c>
      <c r="BQ38" s="23" cm="1">
        <f t="array" ref="BQ38">SUM(_xlfn.XLOOKUP(R38:AF38,增益!$A:$A,增益!$W:$W,0))</f>
        <v>0.13</v>
      </c>
    </row>
    <row r="39" spans="1:69">
      <c r="A39" t="s">
        <v>138</v>
      </c>
      <c r="B39">
        <v>2</v>
      </c>
      <c r="E39" s="4"/>
      <c r="F39" s="4"/>
      <c r="K39" s="36">
        <f t="shared" si="0"/>
        <v>30642.9721068502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34029.4624890763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27380.593492864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17910.2434153033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15538.5657247814</v>
      </c>
      <c r="P39" s="37">
        <v>1</v>
      </c>
      <c r="Q39" s="38" t="s">
        <v>99</v>
      </c>
      <c r="R39" s="38" t="s">
        <v>89</v>
      </c>
      <c r="S39" s="38" t="s">
        <v>78</v>
      </c>
      <c r="T39" s="38" t="s">
        <v>79</v>
      </c>
      <c r="U39" s="38" t="s">
        <v>111</v>
      </c>
      <c r="V39" s="38" t="s">
        <v>72</v>
      </c>
      <c r="W39" s="38" t="s">
        <v>72</v>
      </c>
      <c r="X39" s="38" t="s">
        <v>72</v>
      </c>
      <c r="Y39" s="38" t="s">
        <v>72</v>
      </c>
      <c r="Z39" s="38" t="s">
        <v>72</v>
      </c>
      <c r="AA39" s="38" t="s">
        <v>68</v>
      </c>
      <c r="AB39" s="38" t="s">
        <v>72</v>
      </c>
      <c r="AC39" s="38" t="s">
        <v>72</v>
      </c>
      <c r="AD39" s="38" t="s">
        <v>72</v>
      </c>
      <c r="AE39" s="38" t="s">
        <v>90</v>
      </c>
      <c r="AF39" s="38" t="s">
        <v>74</v>
      </c>
      <c r="AG39" t="str">
        <f>VLOOKUP($Q39,武学奇术!$A:$ZZ,25,FALSE)</f>
        <v>横刀</v>
      </c>
      <c r="AH39" s="23">
        <f>VLOOKUP($Q39,武学奇术!$A:$ZZ,26,FALSE)</f>
        <v>1.4</v>
      </c>
      <c r="AI39" s="24">
        <f>VLOOKUP($Q39,武学奇术!$A:$ZZ,27,FALSE)*(1+IF(OR($AG39=$F$4,$AG39=$F$5),$B$22,0))</f>
        <v>0</v>
      </c>
      <c r="AJ39" s="23">
        <f>VLOOKUP($Q39,武学奇术!$A:$ZZ,28,FALSE)</f>
        <v>2.1</v>
      </c>
      <c r="AK39" s="24">
        <f>VLOOKUP($Q39,武学奇术!$A:$ZZ,29,FALSE)*(1+IF(OR($AG39=$F$4,$AG39=$F$5),$B$22,0))</f>
        <v>0</v>
      </c>
      <c r="AL39" s="23" cm="1">
        <f t="array" ref="AL39">$G$3+IFERROR(VLOOKUP($AG39,$F$4:$G$7,2,FALSE),0)+VLOOKUP($Q39,武学奇术!$A:$ZZ,2,FALSE)+SUM(_xlfn.XLOOKUP($R39:$AF39,增益!$A:$A,增益!$B:$B,0))</f>
        <v>0.797</v>
      </c>
      <c r="AM39" s="23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3018.8</v>
      </c>
      <c r="AO39" cm="1">
        <f t="array" ref="AO39">$E$10*(1+$AM39)+VLOOKUP($Q39,武学奇术!$A:$ZZ,4,FALSE)+SUM(_xlfn.XLOOKUP($R39:$AF39,增益!$A:$A,增益!$D:$D,0))-$I$2</f>
        <v>3018.8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0.377</v>
      </c>
      <c r="AQ39" s="30" cm="1">
        <f t="array" ref="AQ39">$G$10+VLOOKUP($Q39,武学奇术!$A:$ZZ,7,FALSE)+SUM(_xlfn.XLOOKUP(R39:AF39,增益!$A:$A,增益!$G:$G,0))</f>
        <v>0</v>
      </c>
      <c r="AR39" s="23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-0.08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634.5</v>
      </c>
      <c r="AX39">
        <f t="shared" si="4"/>
        <v>1443.3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0.198</v>
      </c>
      <c r="AZ39" s="30" cm="1">
        <f t="array" ref="AZ39">$G$12+VLOOKUP($Q39,武学奇术!$A:$ZZ,12,FALSE)+SUM(_xlfn.XLOOKUP(R39:AF39,增益!$A:$A,增益!$L:$L,0))</f>
        <v>0.148</v>
      </c>
      <c r="BA39">
        <f t="shared" si="5"/>
        <v>0</v>
      </c>
      <c r="BB39">
        <f t="shared" si="6"/>
        <v>0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-0.08</v>
      </c>
      <c r="BD39" s="30" cm="1">
        <f t="array" ref="BD39">$G$13+VLOOKUP($Q39,武学奇术!$A:$ZZ,14,FALSE)+SUM(_xlfn.XLOOKUP(R39:AF39,增益!$A:$A,增益!$N:$N,0))</f>
        <v>0</v>
      </c>
      <c r="BE39">
        <f t="shared" si="7"/>
        <v>0</v>
      </c>
      <c r="BF39">
        <f t="shared" si="8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-0.08</v>
      </c>
      <c r="BH39" s="30" cm="1">
        <f t="array" ref="BH39">$G$14+VLOOKUP($Q39,武学奇术!$A:$ZZ,16,FALSE)+SUM(_xlfn.XLOOKUP(R39:AF39,增益!$A:$A,增益!$P:$P,0))</f>
        <v>0</v>
      </c>
      <c r="BI39" s="23">
        <f>MIN(IF(VLOOKUP($Q39,武学奇术!$A:$ZZ,23,FALSE)=1,100%,$B$8),100%)</f>
        <v>0.8626</v>
      </c>
      <c r="BJ39" s="23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0.8697</v>
      </c>
      <c r="BK39" s="23" cm="1">
        <f t="array" ref="BK39">1+$B$13+VLOOKUP($Q39,武学奇术!$A:$ZZ,18,FALSE)+SUM(_xlfn.XLOOKUP(R39:AF39,增益!$A:$A,增益!$R:$R,0))</f>
        <v>1.9</v>
      </c>
      <c r="BL39" s="23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0.0986</v>
      </c>
      <c r="BM39" s="23" cm="1">
        <f t="array" ref="BM39">1+$B$14+VLOOKUP($Q39,武学奇术!$A:$ZZ,20,FALSE)+SUM(_xlfn.XLOOKUP(R39:AF39,增益!$A:$A,增益!$T:$T,0))</f>
        <v>1.35</v>
      </c>
      <c r="BN39" s="23">
        <f t="shared" si="9"/>
        <v>0.75020322</v>
      </c>
      <c r="BO39" s="23">
        <f t="shared" si="10"/>
        <v>0.0273444200000001</v>
      </c>
      <c r="BP39" s="23">
        <f>IF(VLOOKUP($Q39,武学奇术!$A:$ZZ,22,FALSE)=1,0,(1-$BI39))*(1-$BL39)</f>
        <v>0.12385236</v>
      </c>
      <c r="BQ39" s="23" cm="1">
        <f t="array" ref="BQ39">SUM(_xlfn.XLOOKUP(R39:AF39,增益!$A:$A,增益!$W:$W,0))</f>
        <v>0.13</v>
      </c>
    </row>
    <row r="40" spans="1:69">
      <c r="A40" t="s">
        <v>154</v>
      </c>
      <c r="B40">
        <v>6</v>
      </c>
      <c r="K40" s="36">
        <f t="shared" si="0"/>
        <v>15137.3212794941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16810.2136068742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13525.7389224348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8847.48084572328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7675.89582297634</v>
      </c>
      <c r="P40" s="37">
        <v>1</v>
      </c>
      <c r="Q40" s="38" t="s">
        <v>102</v>
      </c>
      <c r="R40" s="38" t="s">
        <v>89</v>
      </c>
      <c r="S40" s="38" t="s">
        <v>78</v>
      </c>
      <c r="T40" s="38" t="s">
        <v>79</v>
      </c>
      <c r="U40" s="38" t="s">
        <v>111</v>
      </c>
      <c r="V40" s="38" t="s">
        <v>72</v>
      </c>
      <c r="W40" s="38" t="s">
        <v>72</v>
      </c>
      <c r="X40" s="38" t="s">
        <v>72</v>
      </c>
      <c r="Y40" s="38" t="s">
        <v>72</v>
      </c>
      <c r="Z40" s="38" t="s">
        <v>72</v>
      </c>
      <c r="AA40" s="38" t="s">
        <v>68</v>
      </c>
      <c r="AB40" s="38" t="s">
        <v>72</v>
      </c>
      <c r="AC40" s="38" t="s">
        <v>72</v>
      </c>
      <c r="AD40" s="38" t="s">
        <v>72</v>
      </c>
      <c r="AE40" s="38" t="s">
        <v>90</v>
      </c>
      <c r="AF40" s="38" t="s">
        <v>74</v>
      </c>
      <c r="AG40" t="str">
        <f>VLOOKUP($Q40,武学奇术!$A:$ZZ,25,FALSE)</f>
        <v>陌刀</v>
      </c>
      <c r="AH40" s="23">
        <f>VLOOKUP($Q40,武学奇术!$A:$ZZ,26,FALSE)</f>
        <v>0.5</v>
      </c>
      <c r="AI40" s="24">
        <f>VLOOKUP($Q40,武学奇术!$A:$ZZ,27,FALSE)*(1+IF(OR($AG40=$F$4,$AG40=$F$5),$B$22,0))</f>
        <v>0</v>
      </c>
      <c r="AJ40" s="23">
        <f>VLOOKUP($Q40,武学奇术!$A:$ZZ,28,FALSE)</f>
        <v>0.75</v>
      </c>
      <c r="AK40" s="24">
        <f>VLOOKUP($Q40,武学奇术!$A:$ZZ,29,FALSE)*(1+IF(OR($AG40=$F$4,$AG40=$F$5),$B$22,0))</f>
        <v>0</v>
      </c>
      <c r="AL40" s="23" cm="1">
        <f t="array" ref="AL40">$G$3+IFERROR(VLOOKUP($AG40,$F$4:$G$7,2,FALSE),0)+VLOOKUP($Q40,武学奇术!$A:$ZZ,2,FALSE)+SUM(_xlfn.XLOOKUP($R40:$AF40,增益!$A:$A,增益!$B:$B,0))</f>
        <v>0.883</v>
      </c>
      <c r="AM40" s="23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3018.8</v>
      </c>
      <c r="AO40" cm="1">
        <f t="array" ref="AO40">$E$10*(1+$AM40)+VLOOKUP($Q40,武学奇术!$A:$ZZ,4,FALSE)+SUM(_xlfn.XLOOKUP($R40:$AF40,增益!$A:$A,增益!$D:$D,0))-$I$2</f>
        <v>3018.8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0.377</v>
      </c>
      <c r="AQ40" s="30" cm="1">
        <f t="array" ref="AQ40">$G$10+VLOOKUP($Q40,武学奇术!$A:$ZZ,7,FALSE)+SUM(_xlfn.XLOOKUP(R40:AF40,增益!$A:$A,增益!$G:$G,0))</f>
        <v>0</v>
      </c>
      <c r="AR40" s="23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-0.08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634.5</v>
      </c>
      <c r="AX40">
        <f t="shared" si="4"/>
        <v>1443.3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0.198</v>
      </c>
      <c r="AZ40" s="30" cm="1">
        <f t="array" ref="AZ40">$G$12+VLOOKUP($Q40,武学奇术!$A:$ZZ,12,FALSE)+SUM(_xlfn.XLOOKUP(R40:AF40,增益!$A:$A,增益!$L:$L,0))</f>
        <v>0.148</v>
      </c>
      <c r="BA40">
        <f t="shared" si="5"/>
        <v>0</v>
      </c>
      <c r="BB40">
        <f t="shared" si="6"/>
        <v>0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-0.08</v>
      </c>
      <c r="BD40" s="30" cm="1">
        <f t="array" ref="BD40">$G$13+VLOOKUP($Q40,武学奇术!$A:$ZZ,14,FALSE)+SUM(_xlfn.XLOOKUP(R40:AF40,增益!$A:$A,增益!$N:$N,0))</f>
        <v>0</v>
      </c>
      <c r="BE40">
        <f t="shared" si="7"/>
        <v>0</v>
      </c>
      <c r="BF40">
        <f t="shared" si="8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-0.08</v>
      </c>
      <c r="BH40" s="30" cm="1">
        <f t="array" ref="BH40">$G$14+VLOOKUP($Q40,武学奇术!$A:$ZZ,16,FALSE)+SUM(_xlfn.XLOOKUP(R40:AF40,增益!$A:$A,增益!$P:$P,0))</f>
        <v>0</v>
      </c>
      <c r="BI40" s="23">
        <f>MIN(IF(VLOOKUP($Q40,武学奇术!$A:$ZZ,23,FALSE)=1,100%,$B$8),100%)</f>
        <v>0.8626</v>
      </c>
      <c r="BJ40" s="23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0.8697</v>
      </c>
      <c r="BK40" s="23" cm="1">
        <f t="array" ref="BK40">1+$B$13+VLOOKUP($Q40,武学奇术!$A:$ZZ,18,FALSE)+SUM(_xlfn.XLOOKUP(R40:AF40,增益!$A:$A,增益!$R:$R,0))</f>
        <v>1.9</v>
      </c>
      <c r="BL40" s="23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0.0986</v>
      </c>
      <c r="BM40" s="23" cm="1">
        <f t="array" ref="BM40">1+$B$14+VLOOKUP($Q40,武学奇术!$A:$ZZ,20,FALSE)+SUM(_xlfn.XLOOKUP(R40:AF40,增益!$A:$A,增益!$T:$T,0))</f>
        <v>1.35</v>
      </c>
      <c r="BN40" s="23">
        <f t="shared" si="9"/>
        <v>0.75020322</v>
      </c>
      <c r="BO40" s="23">
        <f t="shared" si="10"/>
        <v>0.0273444200000001</v>
      </c>
      <c r="BP40" s="23">
        <f>IF(VLOOKUP($Q40,武学奇术!$A:$ZZ,22,FALSE)=1,0,(1-$BI40))*(1-$BL40)</f>
        <v>0.12385236</v>
      </c>
      <c r="BQ40" s="23" cm="1">
        <f t="array" ref="BQ40">SUM(_xlfn.XLOOKUP(R40:AF40,增益!$A:$A,增益!$W:$W,0))</f>
        <v>0.13</v>
      </c>
    </row>
    <row r="41" spans="1:69">
      <c r="A41" t="s">
        <v>155</v>
      </c>
      <c r="B41">
        <v>1</v>
      </c>
      <c r="C41" s="37" t="s">
        <v>147</v>
      </c>
      <c r="K41" s="36">
        <f t="shared" si="0"/>
        <v>31850.9310446038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31850.9310446038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24346.3300603826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15925.4655223019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13816.6124813574</v>
      </c>
      <c r="P41" s="37">
        <v>1</v>
      </c>
      <c r="Q41" s="38" t="s">
        <v>106</v>
      </c>
      <c r="R41" s="38" t="s">
        <v>89</v>
      </c>
      <c r="S41" s="38" t="s">
        <v>78</v>
      </c>
      <c r="T41" s="38" t="s">
        <v>79</v>
      </c>
      <c r="U41" s="38" t="s">
        <v>111</v>
      </c>
      <c r="V41" s="38" t="s">
        <v>107</v>
      </c>
      <c r="W41" s="38" t="s">
        <v>72</v>
      </c>
      <c r="X41" s="38" t="s">
        <v>72</v>
      </c>
      <c r="Y41" s="38" t="s">
        <v>72</v>
      </c>
      <c r="Z41" s="38" t="s">
        <v>72</v>
      </c>
      <c r="AA41" s="38" t="s">
        <v>68</v>
      </c>
      <c r="AB41" s="38" t="s">
        <v>72</v>
      </c>
      <c r="AC41" s="38" t="s">
        <v>72</v>
      </c>
      <c r="AD41" s="38" t="s">
        <v>72</v>
      </c>
      <c r="AE41" s="38" t="s">
        <v>90</v>
      </c>
      <c r="AF41" s="38" t="s">
        <v>74</v>
      </c>
      <c r="AG41" t="str">
        <f>VLOOKUP($Q41,武学奇术!$A:$ZZ,25,FALSE)</f>
        <v>陌刀</v>
      </c>
      <c r="AH41" s="23">
        <f>VLOOKUP($Q41,武学奇术!$A:$ZZ,26,FALSE)</f>
        <v>0.9</v>
      </c>
      <c r="AI41" s="24">
        <f>VLOOKUP($Q41,武学奇术!$A:$ZZ,27,FALSE)*(1+IF(OR($AG41=$F$4,$AG41=$F$5),$B$22,0))</f>
        <v>0</v>
      </c>
      <c r="AJ41" s="23">
        <f>VLOOKUP($Q41,武学奇术!$A:$ZZ,28,FALSE)</f>
        <v>1.35</v>
      </c>
      <c r="AK41" s="24">
        <f>VLOOKUP($Q41,武学奇术!$A:$ZZ,29,FALSE)*(1+IF(OR($AG41=$F$4,$AG41=$F$5),$B$22,0))</f>
        <v>0</v>
      </c>
      <c r="AL41" s="23" cm="1">
        <f t="array" ref="AL41">$G$3+IFERROR(VLOOKUP($AG41,$F$4:$G$7,2,FALSE),0)+VLOOKUP($Q41,武学奇术!$A:$ZZ,2,FALSE)+SUM(_xlfn.XLOOKUP($R41:$AF41,增益!$A:$A,增益!$B:$B,0))</f>
        <v>0.883</v>
      </c>
      <c r="AM41" s="23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3018.8</v>
      </c>
      <c r="AO41" cm="1">
        <f t="array" ref="AO41">$E$10*(1+$AM41)+VLOOKUP($Q41,武学奇术!$A:$ZZ,4,FALSE)+SUM(_xlfn.XLOOKUP($R41:$AF41,增益!$A:$A,增益!$D:$D,0))-$I$2</f>
        <v>3018.8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0.377</v>
      </c>
      <c r="AQ41" s="30" cm="1">
        <f t="array" ref="AQ41">$G$10+VLOOKUP($Q41,武学奇术!$A:$ZZ,7,FALSE)+SUM(_xlfn.XLOOKUP(R41:AF41,增益!$A:$A,增益!$G:$G,0))</f>
        <v>0</v>
      </c>
      <c r="AR41" s="23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-0.08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634.5</v>
      </c>
      <c r="AX41">
        <f t="shared" si="4"/>
        <v>1443.3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0.198</v>
      </c>
      <c r="AZ41" s="30" cm="1">
        <f t="array" ref="AZ41">$G$12+VLOOKUP($Q41,武学奇术!$A:$ZZ,12,FALSE)+SUM(_xlfn.XLOOKUP(R41:AF41,增益!$A:$A,增益!$L:$L,0))</f>
        <v>0.148</v>
      </c>
      <c r="BA41">
        <f t="shared" si="5"/>
        <v>0</v>
      </c>
      <c r="BB41">
        <f t="shared" si="6"/>
        <v>0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-0.08</v>
      </c>
      <c r="BD41" s="30" cm="1">
        <f t="array" ref="BD41">$G$13+VLOOKUP($Q41,武学奇术!$A:$ZZ,14,FALSE)+SUM(_xlfn.XLOOKUP(R41:AF41,增益!$A:$A,增益!$N:$N,0))</f>
        <v>0</v>
      </c>
      <c r="BE41">
        <f t="shared" si="7"/>
        <v>0</v>
      </c>
      <c r="BF41">
        <f t="shared" si="8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-0.08</v>
      </c>
      <c r="BH41" s="30" cm="1">
        <f t="array" ref="BH41">$G$14+VLOOKUP($Q41,武学奇术!$A:$ZZ,16,FALSE)+SUM(_xlfn.XLOOKUP(R41:AF41,增益!$A:$A,增益!$P:$P,0))</f>
        <v>0</v>
      </c>
      <c r="BI41" s="23">
        <f>MIN(IF(VLOOKUP($Q41,武学奇术!$A:$ZZ,23,FALSE)=1,100%,$B$8),100%)</f>
        <v>1</v>
      </c>
      <c r="BJ41" s="23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1</v>
      </c>
      <c r="BK41" s="23" cm="1">
        <f t="array" ref="BK41">1+$B$13+VLOOKUP($Q41,武学奇术!$A:$ZZ,18,FALSE)+SUM(_xlfn.XLOOKUP(R41:AF41,增益!$A:$A,增益!$R:$R,0))</f>
        <v>2</v>
      </c>
      <c r="BL41" s="23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</v>
      </c>
      <c r="BM41" s="23" cm="1">
        <f t="array" ref="BM41">1+$B$14+VLOOKUP($Q41,武学奇术!$A:$ZZ,20,FALSE)+SUM(_xlfn.XLOOKUP(R41:AF41,增益!$A:$A,增益!$T:$T,0))</f>
        <v>1.35</v>
      </c>
      <c r="BN41" s="23">
        <f t="shared" si="9"/>
        <v>1</v>
      </c>
      <c r="BO41" s="23">
        <f t="shared" si="10"/>
        <v>0</v>
      </c>
      <c r="BP41" s="23">
        <f>IF(VLOOKUP($Q41,武学奇术!$A:$ZZ,22,FALSE)=1,0,(1-$BI41))*(1-$BL41)</f>
        <v>0</v>
      </c>
      <c r="BQ41" s="23" cm="1">
        <f t="array" ref="BQ41">SUM(_xlfn.XLOOKUP(R41:AF41,增益!$A:$A,增益!$W:$W,0))</f>
        <v>0.13</v>
      </c>
    </row>
    <row r="42" spans="1:69">
      <c r="A42" s="4" t="s">
        <v>149</v>
      </c>
      <c r="B42" s="4">
        <v>2.3</v>
      </c>
      <c r="C42" s="37"/>
      <c r="K42" s="36">
        <f t="shared" si="0"/>
        <v>306030.952530656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306030.952530656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230508.905596562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153015.476265328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135283.615051721</v>
      </c>
      <c r="P42" s="37">
        <v>1</v>
      </c>
      <c r="Q42" s="38" t="s">
        <v>110</v>
      </c>
      <c r="R42" s="38" t="s">
        <v>89</v>
      </c>
      <c r="S42" s="38" t="s">
        <v>78</v>
      </c>
      <c r="T42" s="38" t="s">
        <v>79</v>
      </c>
      <c r="U42" s="38" t="s">
        <v>111</v>
      </c>
      <c r="V42" s="38" t="s">
        <v>107</v>
      </c>
      <c r="W42" s="38" t="s">
        <v>72</v>
      </c>
      <c r="X42" s="38" t="s">
        <v>72</v>
      </c>
      <c r="Y42" s="38" t="s">
        <v>72</v>
      </c>
      <c r="Z42" s="38" t="s">
        <v>72</v>
      </c>
      <c r="AA42" s="38" t="s">
        <v>68</v>
      </c>
      <c r="AB42" s="38" t="s">
        <v>72</v>
      </c>
      <c r="AC42" s="38" t="s">
        <v>72</v>
      </c>
      <c r="AD42" s="38" t="s">
        <v>72</v>
      </c>
      <c r="AE42" s="38" t="s">
        <v>90</v>
      </c>
      <c r="AF42" s="38" t="s">
        <v>74</v>
      </c>
      <c r="AG42" t="str">
        <f>VLOOKUP($Q42,武学奇术!$A:$ZZ,25,FALSE)</f>
        <v>陌刀</v>
      </c>
      <c r="AH42" s="23">
        <f>VLOOKUP($Q42,武学奇术!$A:$ZZ,26,FALSE)</f>
        <v>7.5674</v>
      </c>
      <c r="AI42" s="24">
        <f>VLOOKUP($Q42,武学奇术!$A:$ZZ,27,FALSE)*(1+IF(OR($AG42=$F$4,$AG42=$F$5),$B$22,0))</f>
        <v>2720.9</v>
      </c>
      <c r="AJ42" s="23">
        <f>VLOOKUP($Q42,武学奇术!$A:$ZZ,28,FALSE)</f>
        <v>11.3512</v>
      </c>
      <c r="AK42" s="24">
        <f>VLOOKUP($Q42,武学奇术!$A:$ZZ,29,FALSE)*(1+IF(OR($AG42=$F$4,$AG42=$F$5),$B$22,0))</f>
        <v>1482</v>
      </c>
      <c r="AL42" s="23" cm="1">
        <f t="array" ref="AL42">$G$3+IFERROR(VLOOKUP($AG42,$F$4:$G$7,2,FALSE),0)+VLOOKUP($Q42,武学奇术!$A:$ZZ,2,FALSE)+SUM(_xlfn.XLOOKUP($R42:$AF42,增益!$A:$A,增益!$B:$B,0))</f>
        <v>0.883</v>
      </c>
      <c r="AM42" s="23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3018.8</v>
      </c>
      <c r="AO42" cm="1">
        <f t="array" ref="AO42">$E$10*(1+$AM42)+VLOOKUP($Q42,武学奇术!$A:$ZZ,4,FALSE)+SUM(_xlfn.XLOOKUP($R42:$AF42,增益!$A:$A,增益!$D:$D,0))-$I$2</f>
        <v>3018.8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0.377</v>
      </c>
      <c r="AQ42" s="30" cm="1">
        <f t="array" ref="AQ42">$G$10+VLOOKUP($Q42,武学奇术!$A:$ZZ,7,FALSE)+SUM(_xlfn.XLOOKUP(R42:AF42,增益!$A:$A,增益!$G:$G,0))</f>
        <v>0</v>
      </c>
      <c r="AR42" s="23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-0.08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634.5</v>
      </c>
      <c r="AX42">
        <f t="shared" si="4"/>
        <v>1443.3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0.198</v>
      </c>
      <c r="AZ42" s="30" cm="1">
        <f t="array" ref="AZ42">$G$12+VLOOKUP($Q42,武学奇术!$A:$ZZ,12,FALSE)+SUM(_xlfn.XLOOKUP(R42:AF42,增益!$A:$A,增益!$L:$L,0))</f>
        <v>0.148</v>
      </c>
      <c r="BA42">
        <f t="shared" si="5"/>
        <v>0</v>
      </c>
      <c r="BB42">
        <f t="shared" si="6"/>
        <v>0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-0.08</v>
      </c>
      <c r="BD42" s="30" cm="1">
        <f t="array" ref="BD42">$G$13+VLOOKUP($Q42,武学奇术!$A:$ZZ,14,FALSE)+SUM(_xlfn.XLOOKUP(R42:AF42,增益!$A:$A,增益!$N:$N,0))</f>
        <v>0</v>
      </c>
      <c r="BE42">
        <f t="shared" si="7"/>
        <v>0</v>
      </c>
      <c r="BF42">
        <f t="shared" si="8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-0.08</v>
      </c>
      <c r="BH42" s="30" cm="1">
        <f t="array" ref="BH42">$G$14+VLOOKUP($Q42,武学奇术!$A:$ZZ,16,FALSE)+SUM(_xlfn.XLOOKUP(R42:AF42,增益!$A:$A,增益!$P:$P,0))</f>
        <v>0</v>
      </c>
      <c r="BI42" s="23">
        <f>MIN(IF(VLOOKUP($Q42,武学奇术!$A:$ZZ,23,FALSE)=1,100%,$B$8),100%)</f>
        <v>1</v>
      </c>
      <c r="BJ42" s="23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1</v>
      </c>
      <c r="BK42" s="23" cm="1">
        <f t="array" ref="BK42">1+$B$13+VLOOKUP($Q42,武学奇术!$A:$ZZ,18,FALSE)+SUM(_xlfn.XLOOKUP(R42:AF42,增益!$A:$A,增益!$R:$R,0))</f>
        <v>2</v>
      </c>
      <c r="BL42" s="23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</v>
      </c>
      <c r="BM42" s="23" cm="1">
        <f t="array" ref="BM42">1+$B$14+VLOOKUP($Q42,武学奇术!$A:$ZZ,20,FALSE)+SUM(_xlfn.XLOOKUP(R42:AF42,增益!$A:$A,增益!$T:$T,0))</f>
        <v>1.35</v>
      </c>
      <c r="BN42" s="23">
        <f t="shared" si="9"/>
        <v>1</v>
      </c>
      <c r="BO42" s="23">
        <f t="shared" si="10"/>
        <v>0</v>
      </c>
      <c r="BP42" s="23">
        <f>IF(VLOOKUP($Q42,武学奇术!$A:$ZZ,22,FALSE)=1,0,(1-$BI42))*(1-$BL42)</f>
        <v>0</v>
      </c>
      <c r="BQ42" s="23" cm="1">
        <f t="array" ref="BQ42">SUM(_xlfn.XLOOKUP(R42:AF42,增益!$A:$A,增益!$W:$W,0))</f>
        <v>0.13</v>
      </c>
    </row>
    <row r="43" spans="1:69">
      <c r="A43" s="4" t="s">
        <v>149</v>
      </c>
      <c r="B43" s="4">
        <v>2.3</v>
      </c>
      <c r="C43" s="37"/>
      <c r="K43" s="36">
        <f t="shared" si="0"/>
        <v>53084.8850743397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53084.8850743397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40577.2167673044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26542.4425371698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23027.687468929</v>
      </c>
      <c r="P43" s="37">
        <v>3</v>
      </c>
      <c r="Q43" s="38" t="s">
        <v>114</v>
      </c>
      <c r="R43" s="38" t="s">
        <v>89</v>
      </c>
      <c r="S43" s="38" t="s">
        <v>78</v>
      </c>
      <c r="T43" s="38" t="s">
        <v>79</v>
      </c>
      <c r="U43" s="38" t="s">
        <v>111</v>
      </c>
      <c r="V43" s="38" t="s">
        <v>107</v>
      </c>
      <c r="W43" s="38" t="s">
        <v>72</v>
      </c>
      <c r="X43" s="38" t="s">
        <v>72</v>
      </c>
      <c r="Y43" s="38" t="s">
        <v>72</v>
      </c>
      <c r="Z43" s="38" t="s">
        <v>72</v>
      </c>
      <c r="AA43" s="38" t="s">
        <v>68</v>
      </c>
      <c r="AB43" s="38" t="s">
        <v>72</v>
      </c>
      <c r="AC43" s="38" t="s">
        <v>72</v>
      </c>
      <c r="AD43" s="38" t="s">
        <v>72</v>
      </c>
      <c r="AE43" s="38" t="s">
        <v>90</v>
      </c>
      <c r="AF43" s="38" t="s">
        <v>74</v>
      </c>
      <c r="AG43" t="str">
        <f>VLOOKUP($Q43,武学奇术!$A:$ZZ,25,FALSE)</f>
        <v>陌刀</v>
      </c>
      <c r="AH43" s="23">
        <f>VLOOKUP($Q43,武学奇术!$A:$ZZ,26,FALSE)</f>
        <v>0.5</v>
      </c>
      <c r="AI43" s="24">
        <f>VLOOKUP($Q43,武学奇术!$A:$ZZ,27,FALSE)*(1+IF(OR($AG43=$F$4,$AG43=$F$5),$B$22,0))</f>
        <v>0</v>
      </c>
      <c r="AJ43" s="23">
        <f>VLOOKUP($Q43,武学奇术!$A:$ZZ,28,FALSE)</f>
        <v>0.75</v>
      </c>
      <c r="AK43" s="24">
        <f>VLOOKUP($Q43,武学奇术!$A:$ZZ,29,FALSE)*(1+IF(OR($AG43=$F$4,$AG43=$F$5),$B$22,0))</f>
        <v>0</v>
      </c>
      <c r="AL43" s="23" cm="1">
        <f t="array" ref="AL43">$G$3+IFERROR(VLOOKUP($AG43,$F$4:$G$7,2,FALSE),0)+VLOOKUP($Q43,武学奇术!$A:$ZZ,2,FALSE)+SUM(_xlfn.XLOOKUP($R43:$AF43,增益!$A:$A,增益!$B:$B,0))</f>
        <v>0.883</v>
      </c>
      <c r="AM43" s="23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3018.8</v>
      </c>
      <c r="AO43" cm="1">
        <f t="array" ref="AO43">$E$10*(1+$AM43)+VLOOKUP($Q43,武学奇术!$A:$ZZ,4,FALSE)+SUM(_xlfn.XLOOKUP($R43:$AF43,增益!$A:$A,增益!$D:$D,0))-$I$2</f>
        <v>3018.8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0.377</v>
      </c>
      <c r="AQ43" s="30" cm="1">
        <f t="array" ref="AQ43">$G$10+VLOOKUP($Q43,武学奇术!$A:$ZZ,7,FALSE)+SUM(_xlfn.XLOOKUP(R43:AF43,增益!$A:$A,增益!$G:$G,0))</f>
        <v>0</v>
      </c>
      <c r="AR43" s="23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-0.08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634.5</v>
      </c>
      <c r="AX43">
        <f t="shared" si="4"/>
        <v>1443.3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0.198</v>
      </c>
      <c r="AZ43" s="30" cm="1">
        <f t="array" ref="AZ43">$G$12+VLOOKUP($Q43,武学奇术!$A:$ZZ,12,FALSE)+SUM(_xlfn.XLOOKUP(R43:AF43,增益!$A:$A,增益!$L:$L,0))</f>
        <v>0.148</v>
      </c>
      <c r="BA43">
        <f t="shared" si="5"/>
        <v>0</v>
      </c>
      <c r="BB43">
        <f t="shared" si="6"/>
        <v>0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-0.08</v>
      </c>
      <c r="BD43" s="30" cm="1">
        <f t="array" ref="BD43">$G$13+VLOOKUP($Q43,武学奇术!$A:$ZZ,14,FALSE)+SUM(_xlfn.XLOOKUP(R43:AF43,增益!$A:$A,增益!$N:$N,0))</f>
        <v>0</v>
      </c>
      <c r="BE43">
        <f t="shared" si="7"/>
        <v>0</v>
      </c>
      <c r="BF43">
        <f t="shared" si="8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-0.08</v>
      </c>
      <c r="BH43" s="30" cm="1">
        <f t="array" ref="BH43">$G$14+VLOOKUP($Q43,武学奇术!$A:$ZZ,16,FALSE)+SUM(_xlfn.XLOOKUP(R43:AF43,增益!$A:$A,增益!$P:$P,0))</f>
        <v>0</v>
      </c>
      <c r="BI43" s="23">
        <f>MIN(IF(VLOOKUP($Q43,武学奇术!$A:$ZZ,23,FALSE)=1,100%,$B$8),100%)</f>
        <v>1</v>
      </c>
      <c r="BJ43" s="23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1</v>
      </c>
      <c r="BK43" s="23" cm="1">
        <f t="array" ref="BK43">1+$B$13+VLOOKUP($Q43,武学奇术!$A:$ZZ,18,FALSE)+SUM(_xlfn.XLOOKUP(R43:AF43,增益!$A:$A,增益!$R:$R,0))</f>
        <v>2</v>
      </c>
      <c r="BL43" s="23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</v>
      </c>
      <c r="BM43" s="23" cm="1">
        <f t="array" ref="BM43">1+$B$14+VLOOKUP($Q43,武学奇术!$A:$ZZ,20,FALSE)+SUM(_xlfn.XLOOKUP(R43:AF43,增益!$A:$A,增益!$T:$T,0))</f>
        <v>1.35</v>
      </c>
      <c r="BN43" s="23">
        <f t="shared" si="9"/>
        <v>1</v>
      </c>
      <c r="BO43" s="23">
        <f t="shared" si="10"/>
        <v>0</v>
      </c>
      <c r="BP43" s="23">
        <f>IF(VLOOKUP($Q43,武学奇术!$A:$ZZ,22,FALSE)=1,0,(1-$BI43))*(1-$BL43)</f>
        <v>0</v>
      </c>
      <c r="BQ43" s="23" cm="1">
        <f t="array" ref="BQ43">SUM(_xlfn.XLOOKUP(R43:AF43,增益!$A:$A,增益!$W:$W,0))</f>
        <v>0.13</v>
      </c>
    </row>
    <row r="44" spans="1:69">
      <c r="A44" s="4" t="s">
        <v>149</v>
      </c>
      <c r="B44" s="4">
        <v>2.3</v>
      </c>
      <c r="C44" s="37"/>
      <c r="K44" s="36">
        <f t="shared" si="0"/>
        <v>95552.7931338114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95552.7931338114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73038.9901811479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47776.3965669057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41449.8374440722</v>
      </c>
      <c r="P44" s="37">
        <v>3</v>
      </c>
      <c r="Q44" s="38" t="s">
        <v>106</v>
      </c>
      <c r="R44" s="38" t="s">
        <v>89</v>
      </c>
      <c r="S44" s="38" t="s">
        <v>78</v>
      </c>
      <c r="T44" s="38" t="s">
        <v>79</v>
      </c>
      <c r="U44" s="38" t="s">
        <v>111</v>
      </c>
      <c r="V44" s="38" t="s">
        <v>107</v>
      </c>
      <c r="W44" s="38" t="s">
        <v>72</v>
      </c>
      <c r="X44" s="38" t="s">
        <v>72</v>
      </c>
      <c r="Y44" s="38" t="s">
        <v>72</v>
      </c>
      <c r="Z44" s="38" t="s">
        <v>72</v>
      </c>
      <c r="AA44" s="38" t="s">
        <v>68</v>
      </c>
      <c r="AB44" s="38" t="s">
        <v>72</v>
      </c>
      <c r="AC44" s="38" t="s">
        <v>72</v>
      </c>
      <c r="AD44" s="38" t="s">
        <v>72</v>
      </c>
      <c r="AE44" s="38" t="s">
        <v>90</v>
      </c>
      <c r="AF44" s="38" t="s">
        <v>74</v>
      </c>
      <c r="AG44" t="str">
        <f>VLOOKUP($Q44,武学奇术!$A:$ZZ,25,FALSE)</f>
        <v>陌刀</v>
      </c>
      <c r="AH44" s="23">
        <f>VLOOKUP($Q44,武学奇术!$A:$ZZ,26,FALSE)</f>
        <v>0.9</v>
      </c>
      <c r="AI44" s="24">
        <f>VLOOKUP($Q44,武学奇术!$A:$ZZ,27,FALSE)*(1+IF(OR($AG44=$F$4,$AG44=$F$5),$B$22,0))</f>
        <v>0</v>
      </c>
      <c r="AJ44" s="23">
        <f>VLOOKUP($Q44,武学奇术!$A:$ZZ,28,FALSE)</f>
        <v>1.35</v>
      </c>
      <c r="AK44" s="24">
        <f>VLOOKUP($Q44,武学奇术!$A:$ZZ,29,FALSE)*(1+IF(OR($AG44=$F$4,$AG44=$F$5),$B$22,0))</f>
        <v>0</v>
      </c>
      <c r="AL44" s="23" cm="1">
        <f t="array" ref="AL44">$G$3+IFERROR(VLOOKUP($AG44,$F$4:$G$7,2,FALSE),0)+VLOOKUP($Q44,武学奇术!$A:$ZZ,2,FALSE)+SUM(_xlfn.XLOOKUP($R44:$AF44,增益!$A:$A,增益!$B:$B,0))</f>
        <v>0.883</v>
      </c>
      <c r="AM44" s="23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3018.8</v>
      </c>
      <c r="AO44" cm="1">
        <f t="array" ref="AO44">$E$10*(1+$AM44)+VLOOKUP($Q44,武学奇术!$A:$ZZ,4,FALSE)+SUM(_xlfn.XLOOKUP($R44:$AF44,增益!$A:$A,增益!$D:$D,0))-$I$2</f>
        <v>3018.8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0.377</v>
      </c>
      <c r="AQ44" s="30" cm="1">
        <f t="array" ref="AQ44">$G$10+VLOOKUP($Q44,武学奇术!$A:$ZZ,7,FALSE)+SUM(_xlfn.XLOOKUP(R44:AF44,增益!$A:$A,增益!$G:$G,0))</f>
        <v>0</v>
      </c>
      <c r="AR44" s="23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-0.08</v>
      </c>
      <c r="AV44" s="30" cm="1">
        <f t="array" ref="AV44">$G$11+VLOOKUP($Q44,武学奇术!$A:$ZZ,10,FALSE)+SUM(_xlfn.XLOOKUP(R44:AF44,增益!$A:$A,增益!$J:$J,0))</f>
        <v>0</v>
      </c>
      <c r="AW44">
        <f t="shared" si="3"/>
        <v>634.5</v>
      </c>
      <c r="AX44">
        <f t="shared" si="4"/>
        <v>1443.3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0.198</v>
      </c>
      <c r="AZ44" s="30" cm="1">
        <f t="array" ref="AZ44">$G$12+VLOOKUP($Q44,武学奇术!$A:$ZZ,12,FALSE)+SUM(_xlfn.XLOOKUP(R44:AF44,增益!$A:$A,增益!$L:$L,0))</f>
        <v>0.148</v>
      </c>
      <c r="BA44">
        <f t="shared" si="5"/>
        <v>0</v>
      </c>
      <c r="BB44">
        <f t="shared" si="6"/>
        <v>0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-0.08</v>
      </c>
      <c r="BD44" s="30" cm="1">
        <f t="array" ref="BD44">$G$13+VLOOKUP($Q44,武学奇术!$A:$ZZ,14,FALSE)+SUM(_xlfn.XLOOKUP(R44:AF44,增益!$A:$A,增益!$N:$N,0))</f>
        <v>0</v>
      </c>
      <c r="BE44">
        <f t="shared" si="7"/>
        <v>0</v>
      </c>
      <c r="BF44">
        <f t="shared" si="8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-0.08</v>
      </c>
      <c r="BH44" s="30" cm="1">
        <f t="array" ref="BH44">$G$14+VLOOKUP($Q44,武学奇术!$A:$ZZ,16,FALSE)+SUM(_xlfn.XLOOKUP(R44:AF44,增益!$A:$A,增益!$P:$P,0))</f>
        <v>0</v>
      </c>
      <c r="BI44" s="23">
        <f>MIN(IF(VLOOKUP($Q44,武学奇术!$A:$ZZ,23,FALSE)=1,100%,$B$8),100%)</f>
        <v>1</v>
      </c>
      <c r="BJ44" s="23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1</v>
      </c>
      <c r="BK44" s="23" cm="1">
        <f t="array" ref="BK44">1+$B$13+VLOOKUP($Q44,武学奇术!$A:$ZZ,18,FALSE)+SUM(_xlfn.XLOOKUP(R44:AF44,增益!$A:$A,增益!$R:$R,0))</f>
        <v>2</v>
      </c>
      <c r="BL44" s="23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</v>
      </c>
      <c r="BM44" s="23" cm="1">
        <f t="array" ref="BM44">1+$B$14+VLOOKUP($Q44,武学奇术!$A:$ZZ,20,FALSE)+SUM(_xlfn.XLOOKUP(R44:AF44,增益!$A:$A,增益!$T:$T,0))</f>
        <v>1.35</v>
      </c>
      <c r="BN44" s="23">
        <f t="shared" si="9"/>
        <v>1</v>
      </c>
      <c r="BO44" s="23">
        <f t="shared" si="10"/>
        <v>0</v>
      </c>
      <c r="BP44" s="23">
        <f>IF(VLOOKUP($Q44,武学奇术!$A:$ZZ,22,FALSE)=1,0,(1-$BI44))*(1-$BL44)</f>
        <v>0</v>
      </c>
      <c r="BQ44" s="23" cm="1">
        <f t="array" ref="BQ44">SUM(_xlfn.XLOOKUP(R44:AF44,增益!$A:$A,增益!$W:$W,0))</f>
        <v>0.13</v>
      </c>
    </row>
    <row r="45" spans="1:69">
      <c r="A45" s="4" t="s">
        <v>156</v>
      </c>
      <c r="B45" s="4">
        <v>1.1</v>
      </c>
      <c r="K45" s="36">
        <f t="shared" si="0"/>
        <v>918092.857591968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918092.857591968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691526.716789686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459046.428795984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405850.845155164</v>
      </c>
      <c r="P45" s="37">
        <v>3</v>
      </c>
      <c r="Q45" s="38" t="s">
        <v>110</v>
      </c>
      <c r="R45" s="38" t="s">
        <v>89</v>
      </c>
      <c r="S45" s="38" t="s">
        <v>78</v>
      </c>
      <c r="T45" s="38" t="s">
        <v>79</v>
      </c>
      <c r="U45" s="38" t="s">
        <v>111</v>
      </c>
      <c r="V45" s="38" t="s">
        <v>107</v>
      </c>
      <c r="W45" s="38" t="s">
        <v>72</v>
      </c>
      <c r="X45" s="38" t="s">
        <v>72</v>
      </c>
      <c r="Y45" s="38" t="s">
        <v>72</v>
      </c>
      <c r="Z45" s="38" t="s">
        <v>72</v>
      </c>
      <c r="AA45" s="38" t="s">
        <v>68</v>
      </c>
      <c r="AB45" s="38" t="s">
        <v>72</v>
      </c>
      <c r="AC45" s="38" t="s">
        <v>72</v>
      </c>
      <c r="AD45" s="38" t="s">
        <v>72</v>
      </c>
      <c r="AE45" s="38" t="s">
        <v>90</v>
      </c>
      <c r="AF45" s="38" t="s">
        <v>74</v>
      </c>
      <c r="AG45" t="str">
        <f>VLOOKUP($Q45,武学奇术!$A:$ZZ,25,FALSE)</f>
        <v>陌刀</v>
      </c>
      <c r="AH45" s="23">
        <f>VLOOKUP($Q45,武学奇术!$A:$ZZ,26,FALSE)</f>
        <v>7.5674</v>
      </c>
      <c r="AI45" s="24">
        <f>VLOOKUP($Q45,武学奇术!$A:$ZZ,27,FALSE)*(1+IF(OR($AG45=$F$4,$AG45=$F$5),$B$22,0))</f>
        <v>2720.9</v>
      </c>
      <c r="AJ45" s="23">
        <f>VLOOKUP($Q45,武学奇术!$A:$ZZ,28,FALSE)</f>
        <v>11.3512</v>
      </c>
      <c r="AK45" s="24">
        <f>VLOOKUP($Q45,武学奇术!$A:$ZZ,29,FALSE)*(1+IF(OR($AG45=$F$4,$AG45=$F$5),$B$22,0))</f>
        <v>1482</v>
      </c>
      <c r="AL45" s="23" cm="1">
        <f t="array" ref="AL45">$G$3+IFERROR(VLOOKUP($AG45,$F$4:$G$7,2,FALSE),0)+VLOOKUP($Q45,武学奇术!$A:$ZZ,2,FALSE)+SUM(_xlfn.XLOOKUP($R45:$AF45,增益!$A:$A,增益!$B:$B,0))</f>
        <v>0.883</v>
      </c>
      <c r="AM45" s="23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3018.8</v>
      </c>
      <c r="AO45" cm="1">
        <f t="array" ref="AO45">$E$10*(1+$AM45)+VLOOKUP($Q45,武学奇术!$A:$ZZ,4,FALSE)+SUM(_xlfn.XLOOKUP($R45:$AF45,增益!$A:$A,增益!$D:$D,0))-$I$2</f>
        <v>3018.8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0.377</v>
      </c>
      <c r="AQ45" s="30" cm="1">
        <f t="array" ref="AQ45">$G$10+VLOOKUP($Q45,武学奇术!$A:$ZZ,7,FALSE)+SUM(_xlfn.XLOOKUP(R45:AF45,增益!$A:$A,增益!$G:$G,0))</f>
        <v>0</v>
      </c>
      <c r="AR45" s="23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-0.08</v>
      </c>
      <c r="AV45" s="30" cm="1">
        <f t="array" ref="AV45">$G$11+VLOOKUP($Q45,武学奇术!$A:$ZZ,10,FALSE)+SUM(_xlfn.XLOOKUP(R45:AF45,增益!$A:$A,增益!$J:$J,0))</f>
        <v>0</v>
      </c>
      <c r="AW45">
        <f t="shared" si="3"/>
        <v>634.5</v>
      </c>
      <c r="AX45">
        <f t="shared" si="4"/>
        <v>1443.3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0.198</v>
      </c>
      <c r="AZ45" s="30" cm="1">
        <f t="array" ref="AZ45">$G$12+VLOOKUP($Q45,武学奇术!$A:$ZZ,12,FALSE)+SUM(_xlfn.XLOOKUP(R45:AF45,增益!$A:$A,增益!$L:$L,0))</f>
        <v>0.148</v>
      </c>
      <c r="BA45">
        <f t="shared" si="5"/>
        <v>0</v>
      </c>
      <c r="BB45">
        <f t="shared" si="6"/>
        <v>0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-0.08</v>
      </c>
      <c r="BD45" s="30" cm="1">
        <f t="array" ref="BD45">$G$13+VLOOKUP($Q45,武学奇术!$A:$ZZ,14,FALSE)+SUM(_xlfn.XLOOKUP(R45:AF45,增益!$A:$A,增益!$N:$N,0))</f>
        <v>0</v>
      </c>
      <c r="BE45">
        <f t="shared" si="7"/>
        <v>0</v>
      </c>
      <c r="BF45">
        <f t="shared" si="8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-0.08</v>
      </c>
      <c r="BH45" s="30" cm="1">
        <f t="array" ref="BH45">$G$14+VLOOKUP($Q45,武学奇术!$A:$ZZ,16,FALSE)+SUM(_xlfn.XLOOKUP(R45:AF45,增益!$A:$A,增益!$P:$P,0))</f>
        <v>0</v>
      </c>
      <c r="BI45" s="23">
        <f>MIN(IF(VLOOKUP($Q45,武学奇术!$A:$ZZ,23,FALSE)=1,100%,$B$8),100%)</f>
        <v>1</v>
      </c>
      <c r="BJ45" s="23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1</v>
      </c>
      <c r="BK45" s="23" cm="1">
        <f t="array" ref="BK45">1+$B$13+VLOOKUP($Q45,武学奇术!$A:$ZZ,18,FALSE)+SUM(_xlfn.XLOOKUP(R45:AF45,增益!$A:$A,增益!$R:$R,0))</f>
        <v>2</v>
      </c>
      <c r="BL45" s="23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</v>
      </c>
      <c r="BM45" s="23" cm="1">
        <f t="array" ref="BM45">1+$B$14+VLOOKUP($Q45,武学奇术!$A:$ZZ,20,FALSE)+SUM(_xlfn.XLOOKUP(R45:AF45,增益!$A:$A,增益!$T:$T,0))</f>
        <v>1.35</v>
      </c>
      <c r="BN45" s="23">
        <f t="shared" si="9"/>
        <v>1</v>
      </c>
      <c r="BO45" s="23">
        <f t="shared" si="10"/>
        <v>0</v>
      </c>
      <c r="BP45" s="23">
        <f>IF(VLOOKUP($Q45,武学奇术!$A:$ZZ,22,FALSE)=1,0,(1-$BI45))*(1-$BL45)</f>
        <v>0</v>
      </c>
      <c r="BQ45" s="23" cm="1">
        <f t="array" ref="BQ45">SUM(_xlfn.XLOOKUP(R45:AF45,增益!$A:$A,增益!$W:$W,0))</f>
        <v>0.13</v>
      </c>
    </row>
    <row r="46" spans="1:69">
      <c r="A46" t="s">
        <v>145</v>
      </c>
      <c r="B46">
        <v>0.2</v>
      </c>
      <c r="K46" s="36">
        <f t="shared" si="0"/>
        <v>141888.518356141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156864.670716108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129237.748044718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84791.7139005987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73851.7625828879</v>
      </c>
      <c r="P46" s="37">
        <v>1</v>
      </c>
      <c r="Q46" s="38" t="s">
        <v>134</v>
      </c>
      <c r="R46" s="38" t="s">
        <v>89</v>
      </c>
      <c r="S46" s="38" t="s">
        <v>78</v>
      </c>
      <c r="T46" s="38" t="s">
        <v>79</v>
      </c>
      <c r="U46" s="38" t="s">
        <v>80</v>
      </c>
      <c r="V46" s="38" t="s">
        <v>72</v>
      </c>
      <c r="W46" s="38" t="s">
        <v>72</v>
      </c>
      <c r="X46" s="38" t="s">
        <v>72</v>
      </c>
      <c r="Y46" s="38" t="s">
        <v>72</v>
      </c>
      <c r="Z46" s="38" t="s">
        <v>72</v>
      </c>
      <c r="AA46" s="38" t="s">
        <v>72</v>
      </c>
      <c r="AB46" s="38" t="s">
        <v>72</v>
      </c>
      <c r="AC46" s="38" t="s">
        <v>72</v>
      </c>
      <c r="AD46" s="38" t="s">
        <v>72</v>
      </c>
      <c r="AE46" s="38" t="s">
        <v>90</v>
      </c>
      <c r="AF46" s="38" t="s">
        <v>74</v>
      </c>
      <c r="AG46" t="str">
        <f>VLOOKUP($Q46,武学奇术!$A:$ZZ,25,FALSE)</f>
        <v>单体奇术</v>
      </c>
      <c r="AH46" s="23">
        <f>VLOOKUP($Q46,武学奇术!$A:$ZZ,26,FALSE)</f>
        <v>7.1064</v>
      </c>
      <c r="AI46" s="24">
        <f>VLOOKUP($Q46,武学奇术!$A:$ZZ,27,FALSE)*(1+IF(OR($AG46=$F$4,$AG46=$F$5),$B$22,0))</f>
        <v>1269</v>
      </c>
      <c r="AJ46" s="23">
        <f>VLOOKUP($Q46,武学奇术!$A:$ZZ,28,FALSE)</f>
        <v>10.6596</v>
      </c>
      <c r="AK46" s="24">
        <f>VLOOKUP($Q46,武学奇术!$A:$ZZ,29,FALSE)*(1+IF(OR($AG46=$F$4,$AG46=$F$5),$B$22,0))</f>
        <v>0</v>
      </c>
      <c r="AL46" s="23" cm="1">
        <f t="array" ref="AL46">$G$3+IFERROR(VLOOKUP($AG46,$F$4:$G$7,2,FALSE),0)+VLOOKUP($Q46,武学奇术!$A:$ZZ,2,FALSE)+SUM(_xlfn.XLOOKUP($R46:$AF46,增益!$A:$A,增益!$B:$B,0))</f>
        <v>0.633</v>
      </c>
      <c r="AM46" s="23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3018.8</v>
      </c>
      <c r="AO46" cm="1">
        <f t="array" ref="AO46">$E$10*(1+$AM46)+VLOOKUP($Q46,武学奇术!$A:$ZZ,4,FALSE)+SUM(_xlfn.XLOOKUP($R46:$AF46,增益!$A:$A,增益!$D:$D,0))-$I$2</f>
        <v>3018.8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0.352</v>
      </c>
      <c r="AQ46" s="30" cm="1">
        <f t="array" ref="AQ46">$G$10+VLOOKUP($Q46,武学奇术!$A:$ZZ,7,FALSE)+SUM(_xlfn.XLOOKUP(R46:AF46,增益!$A:$A,增益!$G:$G,0))</f>
        <v>0</v>
      </c>
      <c r="AR46" s="23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-0.08</v>
      </c>
      <c r="AV46" s="30" cm="1">
        <f t="array" ref="AV46">$G$11+VLOOKUP($Q46,武学奇术!$A:$ZZ,10,FALSE)+SUM(_xlfn.XLOOKUP(R46:AF46,增益!$A:$A,增益!$J:$J,0))</f>
        <v>0</v>
      </c>
      <c r="AW46">
        <f t="shared" si="3"/>
        <v>634.5</v>
      </c>
      <c r="AX46">
        <f t="shared" si="4"/>
        <v>1443.3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0.198</v>
      </c>
      <c r="AZ46" s="30" cm="1">
        <f t="array" ref="AZ46">$G$12+VLOOKUP($Q46,武学奇术!$A:$ZZ,12,FALSE)+SUM(_xlfn.XLOOKUP(R46:AF46,增益!$A:$A,增益!$L:$L,0))</f>
        <v>0.148</v>
      </c>
      <c r="BA46">
        <f t="shared" si="5"/>
        <v>0</v>
      </c>
      <c r="BB46">
        <f t="shared" si="6"/>
        <v>0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-0.08</v>
      </c>
      <c r="BD46" s="30" cm="1">
        <f t="array" ref="BD46">$G$13+VLOOKUP($Q46,武学奇术!$A:$ZZ,14,FALSE)+SUM(_xlfn.XLOOKUP(R46:AF46,增益!$A:$A,增益!$N:$N,0))</f>
        <v>0</v>
      </c>
      <c r="BE46">
        <f t="shared" si="7"/>
        <v>0</v>
      </c>
      <c r="BF46">
        <f t="shared" si="8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-0.08</v>
      </c>
      <c r="BH46" s="30" cm="1">
        <f t="array" ref="BH46">$G$14+VLOOKUP($Q46,武学奇术!$A:$ZZ,16,FALSE)+SUM(_xlfn.XLOOKUP(R46:AF46,增益!$A:$A,增益!$P:$P,0))</f>
        <v>0</v>
      </c>
      <c r="BI46" s="23">
        <f>MIN(IF(VLOOKUP($Q46,武学奇术!$A:$ZZ,23,FALSE)=1,100%,$B$8),100%)</f>
        <v>0.8626</v>
      </c>
      <c r="BJ46" s="23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0.8697</v>
      </c>
      <c r="BK46" s="23" cm="1">
        <f t="array" ref="BK46">1+$B$13+VLOOKUP($Q46,武学奇术!$A:$ZZ,18,FALSE)+SUM(_xlfn.XLOOKUP(R46:AF46,增益!$A:$A,增益!$R:$R,0))</f>
        <v>1.85</v>
      </c>
      <c r="BL46" s="23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0.0986</v>
      </c>
      <c r="BM46" s="23" cm="1">
        <f t="array" ref="BM46">1+$B$14+VLOOKUP($Q46,武学奇术!$A:$ZZ,20,FALSE)+SUM(_xlfn.XLOOKUP(R46:AF46,增益!$A:$A,增益!$T:$T,0))</f>
        <v>1.35</v>
      </c>
      <c r="BN46" s="23">
        <f t="shared" si="9"/>
        <v>0.75020322</v>
      </c>
      <c r="BO46" s="23">
        <f t="shared" si="10"/>
        <v>0.0273444200000001</v>
      </c>
      <c r="BP46" s="23">
        <f>IF(VLOOKUP($Q46,武学奇术!$A:$ZZ,22,FALSE)=1,0,(1-$BI46))*(1-$BL46)</f>
        <v>0.12385236</v>
      </c>
      <c r="BQ46" s="23" cm="1">
        <f t="array" ref="BQ46">SUM(_xlfn.XLOOKUP(R46:AF46,增益!$A:$A,增益!$W:$W,0))</f>
        <v>0.13</v>
      </c>
    </row>
    <row r="47" spans="1:69">
      <c r="A47" t="s">
        <v>143</v>
      </c>
      <c r="B47">
        <v>1</v>
      </c>
      <c r="K47" s="36">
        <f t="shared" si="0"/>
        <v>52456.8164939353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57995.9707376529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47464.6440450968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31349.1733717043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27539.3511544479</v>
      </c>
      <c r="P47" s="37">
        <v>2</v>
      </c>
      <c r="Q47" s="38" t="s">
        <v>70</v>
      </c>
      <c r="R47" s="38" t="s">
        <v>89</v>
      </c>
      <c r="S47" s="38" t="s">
        <v>72</v>
      </c>
      <c r="T47" s="38" t="s">
        <v>72</v>
      </c>
      <c r="U47" s="38" t="s">
        <v>80</v>
      </c>
      <c r="V47" s="38" t="s">
        <v>72</v>
      </c>
      <c r="W47" s="38" t="s">
        <v>73</v>
      </c>
      <c r="X47" s="38" t="s">
        <v>72</v>
      </c>
      <c r="Y47" s="38" t="s">
        <v>72</v>
      </c>
      <c r="Z47" s="38" t="s">
        <v>72</v>
      </c>
      <c r="AA47" s="38" t="s">
        <v>72</v>
      </c>
      <c r="AB47" s="38" t="s">
        <v>72</v>
      </c>
      <c r="AC47" s="38" t="s">
        <v>72</v>
      </c>
      <c r="AD47" s="38" t="s">
        <v>72</v>
      </c>
      <c r="AE47" s="38" t="s">
        <v>90</v>
      </c>
      <c r="AF47" s="38" t="s">
        <v>74</v>
      </c>
      <c r="AG47" t="str">
        <f>VLOOKUP($Q47,武学奇术!$A:$ZZ,25,FALSE)</f>
        <v>群体奇术</v>
      </c>
      <c r="AH47" s="23">
        <f>VLOOKUP($Q47,武学奇术!$A:$ZZ,26,FALSE)</f>
        <v>1.4902</v>
      </c>
      <c r="AI47" s="24">
        <f>VLOOKUP($Q47,武学奇术!$A:$ZZ,27,FALSE)*(1+IF(OR($AG47=$F$4,$AG47=$F$5),$B$22,0))</f>
        <v>358</v>
      </c>
      <c r="AJ47" s="23">
        <f>VLOOKUP($Q47,武学奇术!$A:$ZZ,28,FALSE)</f>
        <v>2.2353</v>
      </c>
      <c r="AK47" s="24">
        <f>VLOOKUP($Q47,武学奇术!$A:$ZZ,29,FALSE)*(1+IF(OR($AG47=$F$4,$AG47=$F$5),$B$22,0))</f>
        <v>0</v>
      </c>
      <c r="AL47" s="23" cm="1">
        <f t="array" ref="AL47">$G$3+IFERROR(VLOOKUP($AG47,$F$4:$G$7,2,FALSE),0)+VLOOKUP($Q47,武学奇术!$A:$ZZ,2,FALSE)+SUM(_xlfn.XLOOKUP($R47:$AF47,增益!$A:$A,增益!$B:$B,0))</f>
        <v>0.453</v>
      </c>
      <c r="AM47" s="23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3018.8</v>
      </c>
      <c r="AO47" cm="1">
        <f t="array" ref="AO47">$E$10*(1+$AM47)+VLOOKUP($Q47,武学奇术!$A:$ZZ,4,FALSE)+SUM(_xlfn.XLOOKUP($R47:$AF47,增益!$A:$A,增益!$D:$D,0))-$I$2</f>
        <v>3018.8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0.352</v>
      </c>
      <c r="AQ47" s="30" cm="1">
        <f t="array" ref="AQ47">$G$10+VLOOKUP($Q47,武学奇术!$A:$ZZ,7,FALSE)+SUM(_xlfn.XLOOKUP(R47:AF47,增益!$A:$A,增益!$G:$G,0))</f>
        <v>0</v>
      </c>
      <c r="AR47" s="23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-0.24</v>
      </c>
      <c r="AV47" s="30" cm="1">
        <f t="array" ref="AV47">$G$11+VLOOKUP($Q47,武学奇术!$A:$ZZ,10,FALSE)+SUM(_xlfn.XLOOKUP(R47:AF47,增益!$A:$A,增益!$J:$J,0))</f>
        <v>0</v>
      </c>
      <c r="AW47">
        <f t="shared" si="3"/>
        <v>634.5</v>
      </c>
      <c r="AX47">
        <f t="shared" si="4"/>
        <v>1443.3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0.118</v>
      </c>
      <c r="AZ47" s="30" cm="1">
        <f t="array" ref="AZ47">$G$12+VLOOKUP($Q47,武学奇术!$A:$ZZ,12,FALSE)+SUM(_xlfn.XLOOKUP(R47:AF47,增益!$A:$A,增益!$L:$L,0))</f>
        <v>0.148</v>
      </c>
      <c r="BA47">
        <f t="shared" si="5"/>
        <v>0</v>
      </c>
      <c r="BB47">
        <f t="shared" si="6"/>
        <v>0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-0.24</v>
      </c>
      <c r="BD47" s="30" cm="1">
        <f t="array" ref="BD47">$G$13+VLOOKUP($Q47,武学奇术!$A:$ZZ,14,FALSE)+SUM(_xlfn.XLOOKUP(R47:AF47,增益!$A:$A,增益!$N:$N,0))</f>
        <v>0</v>
      </c>
      <c r="BE47">
        <f t="shared" si="7"/>
        <v>0</v>
      </c>
      <c r="BF47">
        <f t="shared" si="8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-0.24</v>
      </c>
      <c r="BH47" s="30" cm="1">
        <f t="array" ref="BH47">$G$14+VLOOKUP($Q47,武学奇术!$A:$ZZ,16,FALSE)+SUM(_xlfn.XLOOKUP(R47:AF47,增益!$A:$A,增益!$P:$P,0))</f>
        <v>0</v>
      </c>
      <c r="BI47" s="23">
        <f>MIN(IF(VLOOKUP($Q47,武学奇术!$A:$ZZ,23,FALSE)=1,100%,$B$8),100%)</f>
        <v>0.8626</v>
      </c>
      <c r="BJ47" s="23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0.8697</v>
      </c>
      <c r="BK47" s="23" cm="1">
        <f t="array" ref="BK47">1+$B$13+VLOOKUP($Q47,武学奇术!$A:$ZZ,18,FALSE)+SUM(_xlfn.XLOOKUP(R47:AF47,增益!$A:$A,增益!$R:$R,0))</f>
        <v>1.85</v>
      </c>
      <c r="BL47" s="23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0.0986</v>
      </c>
      <c r="BM47" s="23" cm="1">
        <f t="array" ref="BM47">1+$B$14+VLOOKUP($Q47,武学奇术!$A:$ZZ,20,FALSE)+SUM(_xlfn.XLOOKUP(R47:AF47,增益!$A:$A,增益!$T:$T,0))</f>
        <v>1.35</v>
      </c>
      <c r="BN47" s="23">
        <f t="shared" si="9"/>
        <v>0.75020322</v>
      </c>
      <c r="BO47" s="23">
        <f t="shared" si="10"/>
        <v>0.0273444200000001</v>
      </c>
      <c r="BP47" s="23">
        <f>IF(VLOOKUP($Q47,武学奇术!$A:$ZZ,22,FALSE)=1,0,(1-$BI47))*(1-$BL47)</f>
        <v>0.12385236</v>
      </c>
      <c r="BQ47" s="23" cm="1">
        <f t="array" ref="BQ47">SUM(_xlfn.XLOOKUP(R47:AF47,增益!$A:$A,增益!$W:$W,0))</f>
        <v>0.13</v>
      </c>
    </row>
    <row r="48" spans="1:69">
      <c r="A48" t="s">
        <v>93</v>
      </c>
      <c r="B48">
        <v>2.3</v>
      </c>
      <c r="K48" s="36">
        <f t="shared" si="0"/>
        <v>91518.7279899187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101179.332472473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83238.4194976758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54691.5310662017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47724.9736156065</v>
      </c>
      <c r="P48" s="37">
        <v>3</v>
      </c>
      <c r="Q48" s="38" t="s">
        <v>70</v>
      </c>
      <c r="R48" s="38" t="s">
        <v>89</v>
      </c>
      <c r="S48" s="38" t="s">
        <v>78</v>
      </c>
      <c r="T48" s="38" t="s">
        <v>79</v>
      </c>
      <c r="U48" s="38" t="s">
        <v>80</v>
      </c>
      <c r="V48" s="38" t="s">
        <v>72</v>
      </c>
      <c r="W48" s="38" t="s">
        <v>73</v>
      </c>
      <c r="X48" s="38" t="s">
        <v>72</v>
      </c>
      <c r="Y48" s="38" t="s">
        <v>72</v>
      </c>
      <c r="Z48" s="38" t="s">
        <v>72</v>
      </c>
      <c r="AA48" s="38" t="s">
        <v>72</v>
      </c>
      <c r="AB48" s="38" t="s">
        <v>72</v>
      </c>
      <c r="AC48" s="38" t="s">
        <v>72</v>
      </c>
      <c r="AD48" s="38" t="s">
        <v>72</v>
      </c>
      <c r="AE48" s="38" t="s">
        <v>90</v>
      </c>
      <c r="AF48" s="38" t="s">
        <v>74</v>
      </c>
      <c r="AG48" t="str">
        <f>VLOOKUP($Q48,武学奇术!$A:$ZZ,25,FALSE)</f>
        <v>群体奇术</v>
      </c>
      <c r="AH48" s="23">
        <f>VLOOKUP($Q48,武学奇术!$A:$ZZ,26,FALSE)</f>
        <v>1.4902</v>
      </c>
      <c r="AI48" s="24">
        <f>VLOOKUP($Q48,武学奇术!$A:$ZZ,27,FALSE)*(1+IF(OR($AG48=$F$4,$AG48=$F$5),$B$22,0))</f>
        <v>358</v>
      </c>
      <c r="AJ48" s="23">
        <f>VLOOKUP($Q48,武学奇术!$A:$ZZ,28,FALSE)</f>
        <v>2.2353</v>
      </c>
      <c r="AK48" s="24">
        <f>VLOOKUP($Q48,武学奇术!$A:$ZZ,29,FALSE)*(1+IF(OR($AG48=$F$4,$AG48=$F$5),$B$22,0))</f>
        <v>0</v>
      </c>
      <c r="AL48" s="23" cm="1">
        <f t="array" ref="AL48">$G$3+IFERROR(VLOOKUP($AG48,$F$4:$G$7,2,FALSE),0)+VLOOKUP($Q48,武学奇术!$A:$ZZ,2,FALSE)+SUM(_xlfn.XLOOKUP($R48:$AF48,增益!$A:$A,增益!$B:$B,0))</f>
        <v>0.653</v>
      </c>
      <c r="AM48" s="23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3018.8</v>
      </c>
      <c r="AO48" cm="1">
        <f t="array" ref="AO48">$E$10*(1+$AM48)+VLOOKUP($Q48,武学奇术!$A:$ZZ,4,FALSE)+SUM(_xlfn.XLOOKUP($R48:$AF48,增益!$A:$A,增益!$D:$D,0))-$I$2</f>
        <v>3018.8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0.352</v>
      </c>
      <c r="AQ48" s="30" cm="1">
        <f t="array" ref="AQ48">$G$10+VLOOKUP($Q48,武学奇术!$A:$ZZ,7,FALSE)+SUM(_xlfn.XLOOKUP(R48:AF48,增益!$A:$A,增益!$G:$G,0))</f>
        <v>0</v>
      </c>
      <c r="AR48" s="23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-0.08</v>
      </c>
      <c r="AV48" s="30" cm="1">
        <f t="array" ref="AV48">$G$11+VLOOKUP($Q48,武学奇术!$A:$ZZ,10,FALSE)+SUM(_xlfn.XLOOKUP(R48:AF48,增益!$A:$A,增益!$J:$J,0))</f>
        <v>0</v>
      </c>
      <c r="AW48">
        <f t="shared" si="3"/>
        <v>634.5</v>
      </c>
      <c r="AX48">
        <f t="shared" si="4"/>
        <v>1443.3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0.198</v>
      </c>
      <c r="AZ48" s="30" cm="1">
        <f t="array" ref="AZ48">$G$12+VLOOKUP($Q48,武学奇术!$A:$ZZ,12,FALSE)+SUM(_xlfn.XLOOKUP(R48:AF48,增益!$A:$A,增益!$L:$L,0))</f>
        <v>0.148</v>
      </c>
      <c r="BA48">
        <f t="shared" si="5"/>
        <v>0</v>
      </c>
      <c r="BB48">
        <f t="shared" si="6"/>
        <v>0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-0.08</v>
      </c>
      <c r="BD48" s="30" cm="1">
        <f t="array" ref="BD48">$G$13+VLOOKUP($Q48,武学奇术!$A:$ZZ,14,FALSE)+SUM(_xlfn.XLOOKUP(R48:AF48,增益!$A:$A,增益!$N:$N,0))</f>
        <v>0</v>
      </c>
      <c r="BE48">
        <f t="shared" si="7"/>
        <v>0</v>
      </c>
      <c r="BF48">
        <f t="shared" si="8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-0.08</v>
      </c>
      <c r="BH48" s="30" cm="1">
        <f t="array" ref="BH48">$G$14+VLOOKUP($Q48,武学奇术!$A:$ZZ,16,FALSE)+SUM(_xlfn.XLOOKUP(R48:AF48,增益!$A:$A,增益!$P:$P,0))</f>
        <v>0</v>
      </c>
      <c r="BI48" s="23">
        <f>MIN(IF(VLOOKUP($Q48,武学奇术!$A:$ZZ,23,FALSE)=1,100%,$B$8),100%)</f>
        <v>0.8626</v>
      </c>
      <c r="BJ48" s="23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0.8697</v>
      </c>
      <c r="BK48" s="23" cm="1">
        <f t="array" ref="BK48">1+$B$13+VLOOKUP($Q48,武学奇术!$A:$ZZ,18,FALSE)+SUM(_xlfn.XLOOKUP(R48:AF48,增益!$A:$A,增益!$R:$R,0))</f>
        <v>1.85</v>
      </c>
      <c r="BL48" s="23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0.0986</v>
      </c>
      <c r="BM48" s="23" cm="1">
        <f t="array" ref="BM48">1+$B$14+VLOOKUP($Q48,武学奇术!$A:$ZZ,20,FALSE)+SUM(_xlfn.XLOOKUP(R48:AF48,增益!$A:$A,增益!$T:$T,0))</f>
        <v>1.35</v>
      </c>
      <c r="BN48" s="23">
        <f t="shared" si="9"/>
        <v>0.75020322</v>
      </c>
      <c r="BO48" s="23">
        <f t="shared" si="10"/>
        <v>0.0273444200000001</v>
      </c>
      <c r="BP48" s="23">
        <f>IF(VLOOKUP($Q48,武学奇术!$A:$ZZ,22,FALSE)=1,0,(1-$BI48))*(1-$BL48)</f>
        <v>0.12385236</v>
      </c>
      <c r="BQ48" s="23" cm="1">
        <f t="array" ref="BQ48">SUM(_xlfn.XLOOKUP(R48:AF48,增益!$A:$A,增益!$W:$W,0))</f>
        <v>0.13</v>
      </c>
    </row>
    <row r="49" spans="1:69">
      <c r="A49" t="s">
        <v>144</v>
      </c>
      <c r="B49">
        <v>1</v>
      </c>
      <c r="K49" s="36">
        <f t="shared" si="0"/>
        <v>13614.5599837905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15119.6536537431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12101.3528910501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7957.71244933848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6951.45979419539</v>
      </c>
      <c r="P49" s="37">
        <v>1</v>
      </c>
      <c r="Q49" s="38" t="s">
        <v>102</v>
      </c>
      <c r="R49" s="38" t="s">
        <v>89</v>
      </c>
      <c r="S49" s="38" t="s">
        <v>72</v>
      </c>
      <c r="T49" s="38" t="s">
        <v>72</v>
      </c>
      <c r="U49" s="38" t="s">
        <v>111</v>
      </c>
      <c r="V49" s="38" t="s">
        <v>72</v>
      </c>
      <c r="W49" s="38" t="s">
        <v>104</v>
      </c>
      <c r="X49" s="38" t="s">
        <v>72</v>
      </c>
      <c r="Y49" s="38" t="s">
        <v>72</v>
      </c>
      <c r="Z49" s="38" t="s">
        <v>72</v>
      </c>
      <c r="AA49" s="38" t="s">
        <v>68</v>
      </c>
      <c r="AB49" s="38" t="s">
        <v>72</v>
      </c>
      <c r="AC49" s="38" t="s">
        <v>72</v>
      </c>
      <c r="AD49" s="38" t="s">
        <v>72</v>
      </c>
      <c r="AE49" s="38" t="s">
        <v>90</v>
      </c>
      <c r="AF49" s="38" t="s">
        <v>74</v>
      </c>
      <c r="AG49" t="str">
        <f>VLOOKUP($Q49,武学奇术!$A:$ZZ,25,FALSE)</f>
        <v>陌刀</v>
      </c>
      <c r="AH49" s="23">
        <f>VLOOKUP($Q49,武学奇术!$A:$ZZ,26,FALSE)</f>
        <v>0.5</v>
      </c>
      <c r="AI49" s="24">
        <f>VLOOKUP($Q49,武学奇术!$A:$ZZ,27,FALSE)*(1+IF(OR($AG49=$F$4,$AG49=$F$5),$B$22,0))</f>
        <v>0</v>
      </c>
      <c r="AJ49" s="23">
        <f>VLOOKUP($Q49,武学奇术!$A:$ZZ,28,FALSE)</f>
        <v>0.75</v>
      </c>
      <c r="AK49" s="24">
        <f>VLOOKUP($Q49,武学奇术!$A:$ZZ,29,FALSE)*(1+IF(OR($AG49=$F$4,$AG49=$F$5),$B$22,0))</f>
        <v>0</v>
      </c>
      <c r="AL49" s="23" cm="1">
        <f t="array" ref="AL49">$G$3+IFERROR(VLOOKUP($AG49,$F$4:$G$7,2,FALSE),0)+VLOOKUP($Q49,武学奇术!$A:$ZZ,2,FALSE)+SUM(_xlfn.XLOOKUP($R49:$AF49,增益!$A:$A,增益!$B:$B,0))</f>
        <v>0.733</v>
      </c>
      <c r="AM49" s="23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3018.8</v>
      </c>
      <c r="AO49" cm="1">
        <f t="array" ref="AO49">$E$10*(1+$AM49)+VLOOKUP($Q49,武学奇术!$A:$ZZ,4,FALSE)+SUM(_xlfn.XLOOKUP($R49:$AF49,增益!$A:$A,增益!$D:$D,0))-$I$2</f>
        <v>3018.8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0.377</v>
      </c>
      <c r="AQ49" s="30" cm="1">
        <f t="array" ref="AQ49">$G$10+VLOOKUP($Q49,武学奇术!$A:$ZZ,7,FALSE)+SUM(_xlfn.XLOOKUP(R49:AF49,增益!$A:$A,增益!$G:$G,0))</f>
        <v>0</v>
      </c>
      <c r="AR49" s="23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-0.24</v>
      </c>
      <c r="AV49" s="30" cm="1">
        <f t="array" ref="AV49">$G$11+VLOOKUP($Q49,武学奇术!$A:$ZZ,10,FALSE)+SUM(_xlfn.XLOOKUP(R49:AF49,增益!$A:$A,增益!$J:$J,0))</f>
        <v>0</v>
      </c>
      <c r="AW49">
        <f t="shared" si="3"/>
        <v>634.5</v>
      </c>
      <c r="AX49">
        <f t="shared" si="4"/>
        <v>1443.3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0.118</v>
      </c>
      <c r="AZ49" s="30" cm="1">
        <f t="array" ref="AZ49">$G$12+VLOOKUP($Q49,武学奇术!$A:$ZZ,12,FALSE)+SUM(_xlfn.XLOOKUP(R49:AF49,增益!$A:$A,增益!$L:$L,0))</f>
        <v>0.148</v>
      </c>
      <c r="BA49">
        <f t="shared" si="5"/>
        <v>0</v>
      </c>
      <c r="BB49">
        <f t="shared" si="6"/>
        <v>0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-0.24</v>
      </c>
      <c r="BD49" s="30" cm="1">
        <f t="array" ref="BD49">$G$13+VLOOKUP($Q49,武学奇术!$A:$ZZ,14,FALSE)+SUM(_xlfn.XLOOKUP(R49:AF49,增益!$A:$A,增益!$N:$N,0))</f>
        <v>0</v>
      </c>
      <c r="BE49">
        <f t="shared" si="7"/>
        <v>0</v>
      </c>
      <c r="BF49">
        <f t="shared" si="8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-0.24</v>
      </c>
      <c r="BH49" s="30" cm="1">
        <f t="array" ref="BH49">$G$14+VLOOKUP($Q49,武学奇术!$A:$ZZ,16,FALSE)+SUM(_xlfn.XLOOKUP(R49:AF49,增益!$A:$A,增益!$P:$P,0))</f>
        <v>0</v>
      </c>
      <c r="BI49" s="23">
        <f>MIN(IF(VLOOKUP($Q49,武学奇术!$A:$ZZ,23,FALSE)=1,100%,$B$8),100%)</f>
        <v>0.8626</v>
      </c>
      <c r="BJ49" s="23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0.8697</v>
      </c>
      <c r="BK49" s="23" cm="1">
        <f t="array" ref="BK49">1+$B$13+VLOOKUP($Q49,武学奇术!$A:$ZZ,18,FALSE)+SUM(_xlfn.XLOOKUP(R49:AF49,增益!$A:$A,增益!$R:$R,0))</f>
        <v>1.9</v>
      </c>
      <c r="BL49" s="23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0.0986</v>
      </c>
      <c r="BM49" s="23" cm="1">
        <f t="array" ref="BM49">1+$B$14+VLOOKUP($Q49,武学奇术!$A:$ZZ,20,FALSE)+SUM(_xlfn.XLOOKUP(R49:AF49,增益!$A:$A,增益!$T:$T,0))</f>
        <v>1.35</v>
      </c>
      <c r="BN49" s="23">
        <f t="shared" si="9"/>
        <v>0.75020322</v>
      </c>
      <c r="BO49" s="23">
        <f t="shared" si="10"/>
        <v>0.0273444200000001</v>
      </c>
      <c r="BP49" s="23">
        <f>IF(VLOOKUP($Q49,武学奇术!$A:$ZZ,22,FALSE)=1,0,(1-$BI49))*(1-$BL49)</f>
        <v>0.12385236</v>
      </c>
      <c r="BQ49" s="23" cm="1">
        <f t="array" ref="BQ49">SUM(_xlfn.XLOOKUP(R49:AF49,增益!$A:$A,增益!$W:$W,0))</f>
        <v>0.13</v>
      </c>
    </row>
    <row r="50" spans="1:69">
      <c r="A50" s="4" t="s">
        <v>149</v>
      </c>
      <c r="B50" s="4">
        <v>2.3</v>
      </c>
      <c r="K50" s="36">
        <f t="shared" si="0"/>
        <v>24506.207970823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27215.3765767376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21782.4352038902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14323.8824088093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12512.6276295517</v>
      </c>
      <c r="P50" s="37">
        <v>1</v>
      </c>
      <c r="Q50" s="38" t="s">
        <v>136</v>
      </c>
      <c r="R50" s="38" t="s">
        <v>89</v>
      </c>
      <c r="S50" s="38" t="s">
        <v>72</v>
      </c>
      <c r="T50" s="38" t="s">
        <v>72</v>
      </c>
      <c r="U50" s="38" t="s">
        <v>111</v>
      </c>
      <c r="V50" s="38" t="s">
        <v>72</v>
      </c>
      <c r="W50" s="38" t="s">
        <v>104</v>
      </c>
      <c r="X50" s="38" t="s">
        <v>72</v>
      </c>
      <c r="Y50" s="38" t="s">
        <v>72</v>
      </c>
      <c r="Z50" s="38" t="s">
        <v>72</v>
      </c>
      <c r="AA50" s="38" t="s">
        <v>68</v>
      </c>
      <c r="AB50" s="38" t="s">
        <v>72</v>
      </c>
      <c r="AC50" s="38" t="s">
        <v>72</v>
      </c>
      <c r="AD50" s="38" t="s">
        <v>72</v>
      </c>
      <c r="AE50" s="38" t="s">
        <v>90</v>
      </c>
      <c r="AF50" s="38" t="s">
        <v>74</v>
      </c>
      <c r="AG50" t="str">
        <f>VLOOKUP($Q50,武学奇术!$A:$ZZ,25,FALSE)</f>
        <v>陌刀</v>
      </c>
      <c r="AH50" s="23">
        <f>VLOOKUP($Q50,武学奇术!$A:$ZZ,26,FALSE)</f>
        <v>0.9</v>
      </c>
      <c r="AI50" s="24">
        <f>VLOOKUP($Q50,武学奇术!$A:$ZZ,27,FALSE)*(1+IF(OR($AG50=$F$4,$AG50=$F$5),$B$22,0))</f>
        <v>0</v>
      </c>
      <c r="AJ50" s="23">
        <f>VLOOKUP($Q50,武学奇术!$A:$ZZ,28,FALSE)</f>
        <v>1.35</v>
      </c>
      <c r="AK50" s="24">
        <f>VLOOKUP($Q50,武学奇术!$A:$ZZ,29,FALSE)*(1+IF(OR($AG50=$F$4,$AG50=$F$5),$B$22,0))</f>
        <v>0</v>
      </c>
      <c r="AL50" s="23" cm="1">
        <f t="array" ref="AL50">$G$3+IFERROR(VLOOKUP($AG50,$F$4:$G$7,2,FALSE),0)+VLOOKUP($Q50,武学奇术!$A:$ZZ,2,FALSE)+SUM(_xlfn.XLOOKUP($R50:$AF50,增益!$A:$A,增益!$B:$B,0))</f>
        <v>0.733</v>
      </c>
      <c r="AM50" s="23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3018.8</v>
      </c>
      <c r="AO50" cm="1">
        <f t="array" ref="AO50">$E$10*(1+$AM50)+VLOOKUP($Q50,武学奇术!$A:$ZZ,4,FALSE)+SUM(_xlfn.XLOOKUP($R50:$AF50,增益!$A:$A,增益!$D:$D,0))-$I$2</f>
        <v>3018.8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0.377</v>
      </c>
      <c r="AQ50" s="30" cm="1">
        <f t="array" ref="AQ50">$G$10+VLOOKUP($Q50,武学奇术!$A:$ZZ,7,FALSE)+SUM(_xlfn.XLOOKUP(R50:AF50,增益!$A:$A,增益!$G:$G,0))</f>
        <v>0</v>
      </c>
      <c r="AR50" s="23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-0.24</v>
      </c>
      <c r="AV50" s="30" cm="1">
        <f t="array" ref="AV50">$G$11+VLOOKUP($Q50,武学奇术!$A:$ZZ,10,FALSE)+SUM(_xlfn.XLOOKUP(R50:AF50,增益!$A:$A,增益!$J:$J,0))</f>
        <v>0</v>
      </c>
      <c r="AW50">
        <f t="shared" si="3"/>
        <v>634.5</v>
      </c>
      <c r="AX50">
        <f t="shared" si="4"/>
        <v>1443.3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0.118</v>
      </c>
      <c r="AZ50" s="30" cm="1">
        <f t="array" ref="AZ50">$G$12+VLOOKUP($Q50,武学奇术!$A:$ZZ,12,FALSE)+SUM(_xlfn.XLOOKUP(R50:AF50,增益!$A:$A,增益!$L:$L,0))</f>
        <v>0.148</v>
      </c>
      <c r="BA50">
        <f t="shared" si="5"/>
        <v>0</v>
      </c>
      <c r="BB50">
        <f t="shared" si="6"/>
        <v>0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-0.24</v>
      </c>
      <c r="BD50" s="30" cm="1">
        <f t="array" ref="BD50">$G$13+VLOOKUP($Q50,武学奇术!$A:$ZZ,14,FALSE)+SUM(_xlfn.XLOOKUP(R50:AF50,增益!$A:$A,增益!$N:$N,0))</f>
        <v>0</v>
      </c>
      <c r="BE50">
        <f t="shared" si="7"/>
        <v>0</v>
      </c>
      <c r="BF50">
        <f t="shared" si="8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-0.24</v>
      </c>
      <c r="BH50" s="30" cm="1">
        <f t="array" ref="BH50">$G$14+VLOOKUP($Q50,武学奇术!$A:$ZZ,16,FALSE)+SUM(_xlfn.XLOOKUP(R50:AF50,增益!$A:$A,增益!$P:$P,0))</f>
        <v>0</v>
      </c>
      <c r="BI50" s="23">
        <f>MIN(IF(VLOOKUP($Q50,武学奇术!$A:$ZZ,23,FALSE)=1,100%,$B$8),100%)</f>
        <v>0.8626</v>
      </c>
      <c r="BJ50" s="23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0.8697</v>
      </c>
      <c r="BK50" s="23" cm="1">
        <f t="array" ref="BK50">1+$B$13+VLOOKUP($Q50,武学奇术!$A:$ZZ,18,FALSE)+SUM(_xlfn.XLOOKUP(R50:AF50,增益!$A:$A,增益!$R:$R,0))</f>
        <v>1.9</v>
      </c>
      <c r="BL50" s="23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0.0986</v>
      </c>
      <c r="BM50" s="23" cm="1">
        <f t="array" ref="BM50">1+$B$14+VLOOKUP($Q50,武学奇术!$A:$ZZ,20,FALSE)+SUM(_xlfn.XLOOKUP(R50:AF50,增益!$A:$A,增益!$T:$T,0))</f>
        <v>1.35</v>
      </c>
      <c r="BN50" s="23">
        <f t="shared" si="9"/>
        <v>0.75020322</v>
      </c>
      <c r="BO50" s="23">
        <f t="shared" si="10"/>
        <v>0.0273444200000001</v>
      </c>
      <c r="BP50" s="23">
        <f>IF(VLOOKUP($Q50,武学奇术!$A:$ZZ,22,FALSE)=1,0,(1-$BI50))*(1-$BL50)</f>
        <v>0.12385236</v>
      </c>
      <c r="BQ50" s="23" cm="1">
        <f t="array" ref="BQ50">SUM(_xlfn.XLOOKUP(R50:AF50,增益!$A:$A,增益!$W:$W,0))</f>
        <v>0.13</v>
      </c>
    </row>
    <row r="51" spans="1:69">
      <c r="A51" s="4" t="s">
        <v>149</v>
      </c>
      <c r="B51" s="4">
        <v>2.3</v>
      </c>
      <c r="K51" s="36">
        <f t="shared" si="0"/>
        <v>167906.708216906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186484.669991672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147179.198700725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98149.8263114065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87278.0239556096</v>
      </c>
      <c r="P51" s="37">
        <v>1</v>
      </c>
      <c r="Q51" s="38" t="s">
        <v>137</v>
      </c>
      <c r="R51" s="38" t="s">
        <v>89</v>
      </c>
      <c r="S51" s="38" t="s">
        <v>72</v>
      </c>
      <c r="T51" s="38" t="s">
        <v>72</v>
      </c>
      <c r="U51" s="38" t="s">
        <v>111</v>
      </c>
      <c r="V51" s="38" t="s">
        <v>72</v>
      </c>
      <c r="W51" s="38" t="s">
        <v>112</v>
      </c>
      <c r="X51" s="38" t="s">
        <v>72</v>
      </c>
      <c r="Y51" s="38" t="s">
        <v>72</v>
      </c>
      <c r="Z51" s="38" t="s">
        <v>72</v>
      </c>
      <c r="AA51" s="38" t="s">
        <v>72</v>
      </c>
      <c r="AB51" s="38" t="s">
        <v>72</v>
      </c>
      <c r="AC51" s="38" t="s">
        <v>72</v>
      </c>
      <c r="AD51" s="38" t="s">
        <v>72</v>
      </c>
      <c r="AE51" s="38" t="s">
        <v>90</v>
      </c>
      <c r="AF51" s="38" t="s">
        <v>74</v>
      </c>
      <c r="AG51" t="str">
        <f>VLOOKUP($Q51,武学奇术!$A:$ZZ,25,FALSE)</f>
        <v>陌刀</v>
      </c>
      <c r="AH51" s="23">
        <f>VLOOKUP($Q51,武学奇术!$A:$ZZ,26,FALSE)</f>
        <v>5.733</v>
      </c>
      <c r="AI51" s="24">
        <f>VLOOKUP($Q51,武学奇术!$A:$ZZ,27,FALSE)*(1+IF(OR($AG51=$F$4,$AG51=$F$5),$B$22,0))</f>
        <v>2060.5</v>
      </c>
      <c r="AJ51" s="23">
        <f>VLOOKUP($Q51,武学奇术!$A:$ZZ,28,FALSE)</f>
        <v>8.5994</v>
      </c>
      <c r="AK51" s="24">
        <f>VLOOKUP($Q51,武学奇术!$A:$ZZ,29,FALSE)*(1+IF(OR($AG51=$F$4,$AG51=$F$5),$B$22,0))</f>
        <v>1121.9</v>
      </c>
      <c r="AL51" s="23" cm="1">
        <f t="array" ref="AL51">$G$3+IFERROR(VLOOKUP($AG51,$F$4:$G$7,2,FALSE),0)+VLOOKUP($Q51,武学奇术!$A:$ZZ,2,FALSE)+SUM(_xlfn.XLOOKUP($R51:$AF51,增益!$A:$A,增益!$B:$B,0))</f>
        <v>0.633</v>
      </c>
      <c r="AM51" s="23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3018.8</v>
      </c>
      <c r="AO51" cm="1">
        <f t="array" ref="AO51">$E$10*(1+$AM51)+VLOOKUP($Q51,武学奇术!$A:$ZZ,4,FALSE)+SUM(_xlfn.XLOOKUP($R51:$AF51,增益!$A:$A,增益!$D:$D,0))-$I$2</f>
        <v>3018.8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0.377</v>
      </c>
      <c r="AQ51" s="30" cm="1">
        <f t="array" ref="AQ51">$G$10+VLOOKUP($Q51,武学奇术!$A:$ZZ,7,FALSE)+SUM(_xlfn.XLOOKUP(R51:AF51,增益!$A:$A,增益!$G:$G,0))</f>
        <v>0</v>
      </c>
      <c r="AR51" s="23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-0.24</v>
      </c>
      <c r="AV51" s="30" cm="1">
        <f t="array" ref="AV51">$G$11+VLOOKUP($Q51,武学奇术!$A:$ZZ,10,FALSE)+SUM(_xlfn.XLOOKUP(R51:AF51,增益!$A:$A,增益!$J:$J,0))</f>
        <v>0</v>
      </c>
      <c r="AW51">
        <f t="shared" si="3"/>
        <v>634.5</v>
      </c>
      <c r="AX51">
        <f t="shared" si="4"/>
        <v>1443.3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0.118</v>
      </c>
      <c r="AZ51" s="30" cm="1">
        <f t="array" ref="AZ51">$G$12+VLOOKUP($Q51,武学奇术!$A:$ZZ,12,FALSE)+SUM(_xlfn.XLOOKUP(R51:AF51,增益!$A:$A,增益!$L:$L,0))</f>
        <v>0.148</v>
      </c>
      <c r="BA51">
        <f t="shared" si="5"/>
        <v>0</v>
      </c>
      <c r="BB51">
        <f t="shared" si="6"/>
        <v>0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-0.24</v>
      </c>
      <c r="BD51" s="30" cm="1">
        <f t="array" ref="BD51">$G$13+VLOOKUP($Q51,武学奇术!$A:$ZZ,14,FALSE)+SUM(_xlfn.XLOOKUP(R51:AF51,增益!$A:$A,增益!$N:$N,0))</f>
        <v>0</v>
      </c>
      <c r="BE51">
        <f t="shared" si="7"/>
        <v>0</v>
      </c>
      <c r="BF51">
        <f t="shared" si="8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-0.24</v>
      </c>
      <c r="BH51" s="30" cm="1">
        <f t="array" ref="BH51">$G$14+VLOOKUP($Q51,武学奇术!$A:$ZZ,16,FALSE)+SUM(_xlfn.XLOOKUP(R51:AF51,增益!$A:$A,增益!$P:$P,0))</f>
        <v>0</v>
      </c>
      <c r="BI51" s="23">
        <f>MIN(IF(VLOOKUP($Q51,武学奇术!$A:$ZZ,23,FALSE)=1,100%,$B$8),100%)</f>
        <v>0.8626</v>
      </c>
      <c r="BJ51" s="23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0.8697</v>
      </c>
      <c r="BK51" s="23" cm="1">
        <f t="array" ref="BK51">1+$B$13+VLOOKUP($Q51,武学奇术!$A:$ZZ,18,FALSE)+SUM(_xlfn.XLOOKUP(R51:AF51,增益!$A:$A,增益!$R:$R,0))</f>
        <v>1.9</v>
      </c>
      <c r="BL51" s="23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0.0986</v>
      </c>
      <c r="BM51" s="23" cm="1">
        <f t="array" ref="BM51">1+$B$14+VLOOKUP($Q51,武学奇术!$A:$ZZ,20,FALSE)+SUM(_xlfn.XLOOKUP(R51:AF51,增益!$A:$A,增益!$T:$T,0))</f>
        <v>1.35</v>
      </c>
      <c r="BN51" s="23">
        <f t="shared" si="9"/>
        <v>0.75020322</v>
      </c>
      <c r="BO51" s="23">
        <f t="shared" si="10"/>
        <v>0.0273444200000001</v>
      </c>
      <c r="BP51" s="23">
        <f>IF(VLOOKUP($Q51,武学奇术!$A:$ZZ,22,FALSE)=1,0,(1-$BI51))*(1-$BL51)</f>
        <v>0.12385236</v>
      </c>
      <c r="BQ51" s="23" cm="1">
        <f t="array" ref="BQ51">SUM(_xlfn.XLOOKUP(R51:AF51,增益!$A:$A,增益!$W:$W,0))</f>
        <v>0.13</v>
      </c>
    </row>
    <row r="52" spans="1:69">
      <c r="A52" s="4" t="s">
        <v>149</v>
      </c>
      <c r="B52" s="4">
        <v>2.3</v>
      </c>
      <c r="K52" s="36">
        <f t="shared" si="0"/>
        <v>24904.9001970044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27536.1606051631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22346.2068377253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14884.411137926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13216.0764701296</v>
      </c>
      <c r="P52" s="37">
        <v>1</v>
      </c>
      <c r="Q52" s="38" t="s">
        <v>143</v>
      </c>
      <c r="R52" s="38" t="s">
        <v>89</v>
      </c>
      <c r="S52" s="38" t="s">
        <v>72</v>
      </c>
      <c r="T52" s="38" t="s">
        <v>72</v>
      </c>
      <c r="U52" s="38" t="s">
        <v>80</v>
      </c>
      <c r="V52" s="38" t="s">
        <v>72</v>
      </c>
      <c r="W52" s="38" t="s">
        <v>73</v>
      </c>
      <c r="X52" s="38" t="s">
        <v>72</v>
      </c>
      <c r="Y52" s="38" t="s">
        <v>72</v>
      </c>
      <c r="Z52" s="38" t="s">
        <v>72</v>
      </c>
      <c r="AA52" s="38" t="s">
        <v>72</v>
      </c>
      <c r="AB52" s="38" t="s">
        <v>72</v>
      </c>
      <c r="AC52" s="38" t="s">
        <v>72</v>
      </c>
      <c r="AD52" s="38" t="s">
        <v>72</v>
      </c>
      <c r="AE52" s="38" t="s">
        <v>90</v>
      </c>
      <c r="AF52" s="38" t="s">
        <v>74</v>
      </c>
      <c r="AG52" t="str">
        <f>VLOOKUP($Q52,武学奇术!$A:$ZZ,25,FALSE)</f>
        <v>横刀</v>
      </c>
      <c r="AH52" s="23">
        <f>VLOOKUP($Q52,武学奇术!$A:$ZZ,26,FALSE)</f>
        <v>1.2338</v>
      </c>
      <c r="AI52" s="24">
        <f>VLOOKUP($Q52,武学奇术!$A:$ZZ,27,FALSE)*(1+IF(OR($AG52=$F$4,$AG52=$F$5),$B$22,0))</f>
        <v>444.6</v>
      </c>
      <c r="AJ52" s="23">
        <f>VLOOKUP($Q52,武学奇术!$A:$ZZ,28,FALSE)</f>
        <v>1.8507</v>
      </c>
      <c r="AK52" s="24">
        <f>VLOOKUP($Q52,武学奇术!$A:$ZZ,29,FALSE)*(1+IF(OR($AG52=$F$4,$AG52=$F$5),$B$22,0))</f>
        <v>241.8</v>
      </c>
      <c r="AL52" s="23" cm="1">
        <f t="array" ref="AL52">$G$3+IFERROR(VLOOKUP($AG52,$F$4:$G$7,2,FALSE),0)+VLOOKUP($Q52,武学奇术!$A:$ZZ,2,FALSE)+SUM(_xlfn.XLOOKUP($R52:$AF52,增益!$A:$A,增益!$B:$B,0))</f>
        <v>0.537</v>
      </c>
      <c r="AM52" s="23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3018.8</v>
      </c>
      <c r="AO52" cm="1">
        <f t="array" ref="AO52">$E$10*(1+$AM52)+VLOOKUP($Q52,武学奇术!$A:$ZZ,4,FALSE)+SUM(_xlfn.XLOOKUP($R52:$AF52,增益!$A:$A,增益!$D:$D,0))-$I$2</f>
        <v>3018.8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0.352</v>
      </c>
      <c r="AQ52" s="30" cm="1">
        <f t="array" ref="AQ52">$G$10+VLOOKUP($Q52,武学奇术!$A:$ZZ,7,FALSE)+SUM(_xlfn.XLOOKUP(R52:AF52,增益!$A:$A,增益!$G:$G,0))</f>
        <v>0</v>
      </c>
      <c r="AR52" s="23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-0.24</v>
      </c>
      <c r="AV52" s="30" cm="1">
        <f t="array" ref="AV52">$G$11+VLOOKUP($Q52,武学奇术!$A:$ZZ,10,FALSE)+SUM(_xlfn.XLOOKUP(R52:AF52,增益!$A:$A,增益!$J:$J,0))</f>
        <v>0</v>
      </c>
      <c r="AW52">
        <f t="shared" si="3"/>
        <v>634.5</v>
      </c>
      <c r="AX52">
        <f t="shared" si="4"/>
        <v>1443.3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0.118</v>
      </c>
      <c r="AZ52" s="30" cm="1">
        <f t="array" ref="AZ52">$G$12+VLOOKUP($Q52,武学奇术!$A:$ZZ,12,FALSE)+SUM(_xlfn.XLOOKUP(R52:AF52,增益!$A:$A,增益!$L:$L,0))</f>
        <v>0.148</v>
      </c>
      <c r="BA52">
        <f t="shared" si="5"/>
        <v>0</v>
      </c>
      <c r="BB52">
        <f t="shared" si="6"/>
        <v>0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-0.24</v>
      </c>
      <c r="BD52" s="30" cm="1">
        <f t="array" ref="BD52">$G$13+VLOOKUP($Q52,武学奇术!$A:$ZZ,14,FALSE)+SUM(_xlfn.XLOOKUP(R52:AF52,增益!$A:$A,增益!$N:$N,0))</f>
        <v>0</v>
      </c>
      <c r="BE52">
        <f t="shared" si="7"/>
        <v>0</v>
      </c>
      <c r="BF52">
        <f t="shared" si="8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-0.24</v>
      </c>
      <c r="BH52" s="30" cm="1">
        <f t="array" ref="BH52">$G$14+VLOOKUP($Q52,武学奇术!$A:$ZZ,16,FALSE)+SUM(_xlfn.XLOOKUP(R52:AF52,增益!$A:$A,增益!$P:$P,0))</f>
        <v>0</v>
      </c>
      <c r="BI52" s="23">
        <f>MIN(IF(VLOOKUP($Q52,武学奇术!$A:$ZZ,23,FALSE)=1,100%,$B$8),100%)</f>
        <v>0.8626</v>
      </c>
      <c r="BJ52" s="23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0.8697</v>
      </c>
      <c r="BK52" s="23" cm="1">
        <f t="array" ref="BK52">1+$B$13+VLOOKUP($Q52,武学奇术!$A:$ZZ,18,FALSE)+SUM(_xlfn.XLOOKUP(R52:AF52,增益!$A:$A,增益!$R:$R,0))</f>
        <v>1.85</v>
      </c>
      <c r="BL52" s="23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0.0986</v>
      </c>
      <c r="BM52" s="23" cm="1">
        <f t="array" ref="BM52">1+$B$14+VLOOKUP($Q52,武学奇术!$A:$ZZ,20,FALSE)+SUM(_xlfn.XLOOKUP(R52:AF52,增益!$A:$A,增益!$T:$T,0))</f>
        <v>1.35</v>
      </c>
      <c r="BN52" s="23">
        <f t="shared" si="9"/>
        <v>0.75020322</v>
      </c>
      <c r="BO52" s="23">
        <f t="shared" si="10"/>
        <v>0.0273444200000001</v>
      </c>
      <c r="BP52" s="23">
        <f>IF(VLOOKUP($Q52,武学奇术!$A:$ZZ,22,FALSE)=1,0,(1-$BI52))*(1-$BL52)</f>
        <v>0.12385236</v>
      </c>
      <c r="BQ52" s="23" cm="1">
        <f t="array" ref="BQ52">SUM(_xlfn.XLOOKUP(R52:AF52,增益!$A:$A,增益!$W:$W,0))</f>
        <v>0.13</v>
      </c>
    </row>
    <row r="53" spans="1:69">
      <c r="A53" s="4" t="s">
        <v>149</v>
      </c>
      <c r="B53" s="4">
        <v>2.3</v>
      </c>
      <c r="K53" s="36">
        <f t="shared" si="0"/>
        <v>76283.0422112488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84342.5135398819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68446.989334033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45590.5478593956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40479.622138026</v>
      </c>
      <c r="P53" s="37">
        <v>1</v>
      </c>
      <c r="Q53" s="38" t="s">
        <v>93</v>
      </c>
      <c r="R53" s="38" t="s">
        <v>89</v>
      </c>
      <c r="S53" s="38" t="s">
        <v>72</v>
      </c>
      <c r="T53" s="38" t="s">
        <v>72</v>
      </c>
      <c r="U53" s="38" t="s">
        <v>80</v>
      </c>
      <c r="V53" s="38" t="s">
        <v>72</v>
      </c>
      <c r="W53" s="38" t="s">
        <v>73</v>
      </c>
      <c r="X53" s="38" t="s">
        <v>72</v>
      </c>
      <c r="Y53" s="38" t="s">
        <v>72</v>
      </c>
      <c r="Z53" s="38" t="s">
        <v>72</v>
      </c>
      <c r="AA53" s="38" t="s">
        <v>72</v>
      </c>
      <c r="AB53" s="38" t="s">
        <v>72</v>
      </c>
      <c r="AC53" s="38" t="s">
        <v>72</v>
      </c>
      <c r="AD53" s="38" t="s">
        <v>72</v>
      </c>
      <c r="AE53" s="38" t="s">
        <v>90</v>
      </c>
      <c r="AF53" s="38" t="s">
        <v>74</v>
      </c>
      <c r="AG53" t="str">
        <f>VLOOKUP($Q53,武学奇术!$A:$ZZ,25,FALSE)</f>
        <v>横刀</v>
      </c>
      <c r="AH53" s="23">
        <f>VLOOKUP($Q53,武学奇术!$A:$ZZ,26,FALSE)</f>
        <v>3.7797</v>
      </c>
      <c r="AI53" s="24">
        <f>VLOOKUP($Q53,武学奇术!$A:$ZZ,27,FALSE)*(1+IF(OR($AG53=$F$4,$AG53=$F$5),$B$22,0))</f>
        <v>1358.5</v>
      </c>
      <c r="AJ53" s="23">
        <f>VLOOKUP($Q53,武学奇术!$A:$ZZ,28,FALSE)</f>
        <v>5.6696</v>
      </c>
      <c r="AK53" s="24">
        <f>VLOOKUP($Q53,武学奇术!$A:$ZZ,29,FALSE)*(1+IF(OR($AG53=$F$4,$AG53=$F$5),$B$22,0))</f>
        <v>741</v>
      </c>
      <c r="AL53" s="23" cm="1">
        <f t="array" ref="AL53">$G$3+IFERROR(VLOOKUP($AG53,$F$4:$G$7,2,FALSE),0)+VLOOKUP($Q53,武学奇术!$A:$ZZ,2,FALSE)+SUM(_xlfn.XLOOKUP($R53:$AF53,增益!$A:$A,增益!$B:$B,0))</f>
        <v>0.537</v>
      </c>
      <c r="AM53" s="23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3018.8</v>
      </c>
      <c r="AO53" cm="1">
        <f t="array" ref="AO53">$E$10*(1+$AM53)+VLOOKUP($Q53,武学奇术!$A:$ZZ,4,FALSE)+SUM(_xlfn.XLOOKUP($R53:$AF53,增益!$A:$A,增益!$D:$D,0))-$I$2</f>
        <v>3018.8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0.352</v>
      </c>
      <c r="AQ53" s="30" cm="1">
        <f t="array" ref="AQ53">$G$10+VLOOKUP($Q53,武学奇术!$A:$ZZ,7,FALSE)+SUM(_xlfn.XLOOKUP(R53:AF53,增益!$A:$A,增益!$G:$G,0))</f>
        <v>0</v>
      </c>
      <c r="AR53" s="23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-0.24</v>
      </c>
      <c r="AV53" s="30" cm="1">
        <f t="array" ref="AV53">$G$11+VLOOKUP($Q53,武学奇术!$A:$ZZ,10,FALSE)+SUM(_xlfn.XLOOKUP(R53:AF53,增益!$A:$A,增益!$J:$J,0))</f>
        <v>0</v>
      </c>
      <c r="AW53">
        <f t="shared" si="3"/>
        <v>634.5</v>
      </c>
      <c r="AX53">
        <f t="shared" si="4"/>
        <v>1443.3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0.118</v>
      </c>
      <c r="AZ53" s="30" cm="1">
        <f t="array" ref="AZ53">$G$12+VLOOKUP($Q53,武学奇术!$A:$ZZ,12,FALSE)+SUM(_xlfn.XLOOKUP(R53:AF53,增益!$A:$A,增益!$L:$L,0))</f>
        <v>0.148</v>
      </c>
      <c r="BA53">
        <f t="shared" si="5"/>
        <v>0</v>
      </c>
      <c r="BB53">
        <f t="shared" si="6"/>
        <v>0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-0.24</v>
      </c>
      <c r="BD53" s="30" cm="1">
        <f t="array" ref="BD53">$G$13+VLOOKUP($Q53,武学奇术!$A:$ZZ,14,FALSE)+SUM(_xlfn.XLOOKUP(R53:AF53,增益!$A:$A,增益!$N:$N,0))</f>
        <v>0</v>
      </c>
      <c r="BE53">
        <f t="shared" si="7"/>
        <v>0</v>
      </c>
      <c r="BF53">
        <f t="shared" si="8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-0.24</v>
      </c>
      <c r="BH53" s="30" cm="1">
        <f t="array" ref="BH53">$G$14+VLOOKUP($Q53,武学奇术!$A:$ZZ,16,FALSE)+SUM(_xlfn.XLOOKUP(R53:AF53,增益!$A:$A,增益!$P:$P,0))</f>
        <v>0</v>
      </c>
      <c r="BI53" s="23">
        <f>MIN(IF(VLOOKUP($Q53,武学奇术!$A:$ZZ,23,FALSE)=1,100%,$B$8),100%)</f>
        <v>0.8626</v>
      </c>
      <c r="BJ53" s="23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0.8697</v>
      </c>
      <c r="BK53" s="23" cm="1">
        <f t="array" ref="BK53">1+$B$13+VLOOKUP($Q53,武学奇术!$A:$ZZ,18,FALSE)+SUM(_xlfn.XLOOKUP(R53:AF53,增益!$A:$A,增益!$R:$R,0))</f>
        <v>1.85</v>
      </c>
      <c r="BL53" s="23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0.0986</v>
      </c>
      <c r="BM53" s="23" cm="1">
        <f t="array" ref="BM53">1+$B$14+VLOOKUP($Q53,武学奇术!$A:$ZZ,20,FALSE)+SUM(_xlfn.XLOOKUP(R53:AF53,增益!$A:$A,增益!$T:$T,0))</f>
        <v>1.35</v>
      </c>
      <c r="BN53" s="23">
        <f t="shared" si="9"/>
        <v>0.75020322</v>
      </c>
      <c r="BO53" s="23">
        <f t="shared" si="10"/>
        <v>0.0273444200000001</v>
      </c>
      <c r="BP53" s="23">
        <f>IF(VLOOKUP($Q53,武学奇术!$A:$ZZ,22,FALSE)=1,0,(1-$BI53))*(1-$BL53)</f>
        <v>0.12385236</v>
      </c>
      <c r="BQ53" s="23" cm="1">
        <f t="array" ref="BQ53">SUM(_xlfn.XLOOKUP(R53:AF53,增益!$A:$A,增益!$W:$W,0))</f>
        <v>0.13</v>
      </c>
    </row>
    <row r="54" spans="1:69">
      <c r="A54" s="4" t="s">
        <v>151</v>
      </c>
      <c r="B54" s="4">
        <v>2</v>
      </c>
      <c r="K54" s="36">
        <f t="shared" si="0"/>
        <v>50337.5929771491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55907.1803539793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44122.6529411669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29424.8317652523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26166.216907418</v>
      </c>
      <c r="P54" s="37">
        <v>1</v>
      </c>
      <c r="Q54" s="38" t="s">
        <v>97</v>
      </c>
      <c r="R54" s="38" t="s">
        <v>89</v>
      </c>
      <c r="S54" s="38" t="s">
        <v>78</v>
      </c>
      <c r="T54" s="38" t="s">
        <v>72</v>
      </c>
      <c r="U54" s="38" t="s">
        <v>111</v>
      </c>
      <c r="V54" s="38" t="s">
        <v>72</v>
      </c>
      <c r="W54" s="38" t="s">
        <v>73</v>
      </c>
      <c r="X54" s="38" t="s">
        <v>72</v>
      </c>
      <c r="Y54" s="38" t="s">
        <v>72</v>
      </c>
      <c r="Z54" s="38" t="s">
        <v>72</v>
      </c>
      <c r="AA54" s="38" t="s">
        <v>68</v>
      </c>
      <c r="AB54" s="38" t="s">
        <v>72</v>
      </c>
      <c r="AC54" s="38" t="s">
        <v>72</v>
      </c>
      <c r="AD54" s="38" t="s">
        <v>72</v>
      </c>
      <c r="AE54" s="38" t="s">
        <v>90</v>
      </c>
      <c r="AF54" s="38" t="s">
        <v>74</v>
      </c>
      <c r="AG54" t="str">
        <f>VLOOKUP($Q54,武学奇术!$A:$ZZ,25,FALSE)</f>
        <v>横刀</v>
      </c>
      <c r="AH54" s="23">
        <f>VLOOKUP($Q54,武学奇术!$A:$ZZ,26,FALSE)</f>
        <v>2.1324</v>
      </c>
      <c r="AI54" s="24">
        <f>VLOOKUP($Q54,武学奇术!$A:$ZZ,27,FALSE)*(1+IF(OR($AG54=$F$4,$AG54=$F$5),$B$22,0))</f>
        <v>767</v>
      </c>
      <c r="AJ54" s="23">
        <f>VLOOKUP($Q54,武学奇术!$A:$ZZ,28,FALSE)</f>
        <v>3.1986</v>
      </c>
      <c r="AK54" s="24">
        <f>VLOOKUP($Q54,武学奇术!$A:$ZZ,29,FALSE)*(1+IF(OR($AG54=$F$4,$AG54=$F$5),$B$22,0))</f>
        <v>418.6</v>
      </c>
      <c r="AL54" s="23" cm="1">
        <f t="array" ref="AL54">$G$3+IFERROR(VLOOKUP($AG54,$F$4:$G$7,2,FALSE),0)+VLOOKUP($Q54,武学奇术!$A:$ZZ,2,FALSE)+SUM(_xlfn.XLOOKUP($R54:$AF54,增益!$A:$A,增益!$B:$B,0))</f>
        <v>0.737</v>
      </c>
      <c r="AM54" s="23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3018.8</v>
      </c>
      <c r="AO54" cm="1">
        <f t="array" ref="AO54">$E$10*(1+$AM54)+VLOOKUP($Q54,武学奇术!$A:$ZZ,4,FALSE)+SUM(_xlfn.XLOOKUP($R54:$AF54,增益!$A:$A,增益!$D:$D,0))-$I$2</f>
        <v>3018.8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0.377</v>
      </c>
      <c r="AQ54" s="30" cm="1">
        <f t="array" ref="AQ54">$G$10+VLOOKUP($Q54,武学奇术!$A:$ZZ,7,FALSE)+SUM(_xlfn.XLOOKUP(R54:AF54,增益!$A:$A,增益!$G:$G,0))</f>
        <v>0</v>
      </c>
      <c r="AR54" s="23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-0.24</v>
      </c>
      <c r="AV54" s="30" cm="1">
        <f t="array" ref="AV54">$G$11+VLOOKUP($Q54,武学奇术!$A:$ZZ,10,FALSE)+SUM(_xlfn.XLOOKUP(R54:AF54,增益!$A:$A,增益!$J:$J,0))</f>
        <v>0</v>
      </c>
      <c r="AW54">
        <f t="shared" si="3"/>
        <v>634.5</v>
      </c>
      <c r="AX54">
        <f t="shared" si="4"/>
        <v>1443.3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0.118</v>
      </c>
      <c r="AZ54" s="30" cm="1">
        <f t="array" ref="AZ54">$G$12+VLOOKUP($Q54,武学奇术!$A:$ZZ,12,FALSE)+SUM(_xlfn.XLOOKUP(R54:AF54,增益!$A:$A,增益!$L:$L,0))</f>
        <v>0.148</v>
      </c>
      <c r="BA54">
        <f t="shared" si="5"/>
        <v>0</v>
      </c>
      <c r="BB54">
        <f t="shared" si="6"/>
        <v>0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-0.24</v>
      </c>
      <c r="BD54" s="30" cm="1">
        <f t="array" ref="BD54">$G$13+VLOOKUP($Q54,武学奇术!$A:$ZZ,14,FALSE)+SUM(_xlfn.XLOOKUP(R54:AF54,增益!$A:$A,增益!$N:$N,0))</f>
        <v>0</v>
      </c>
      <c r="BE54">
        <f t="shared" si="7"/>
        <v>0</v>
      </c>
      <c r="BF54">
        <f t="shared" si="8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-0.24</v>
      </c>
      <c r="BH54" s="30" cm="1">
        <f t="array" ref="BH54">$G$14+VLOOKUP($Q54,武学奇术!$A:$ZZ,16,FALSE)+SUM(_xlfn.XLOOKUP(R54:AF54,增益!$A:$A,增益!$P:$P,0))</f>
        <v>0</v>
      </c>
      <c r="BI54" s="23">
        <f>MIN(IF(VLOOKUP($Q54,武学奇术!$A:$ZZ,23,FALSE)=1,100%,$B$8),100%)</f>
        <v>0.8626</v>
      </c>
      <c r="BJ54" s="23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0.8697</v>
      </c>
      <c r="BK54" s="23" cm="1">
        <f t="array" ref="BK54">1+$B$13+VLOOKUP($Q54,武学奇术!$A:$ZZ,18,FALSE)+SUM(_xlfn.XLOOKUP(R54:AF54,增益!$A:$A,增益!$R:$R,0))</f>
        <v>1.9</v>
      </c>
      <c r="BL54" s="23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0.0986</v>
      </c>
      <c r="BM54" s="23" cm="1">
        <f t="array" ref="BM54">1+$B$14+VLOOKUP($Q54,武学奇术!$A:$ZZ,20,FALSE)+SUM(_xlfn.XLOOKUP(R54:AF54,增益!$A:$A,增益!$T:$T,0))</f>
        <v>1.35</v>
      </c>
      <c r="BN54" s="23">
        <f t="shared" si="9"/>
        <v>0.75020322</v>
      </c>
      <c r="BO54" s="23">
        <f t="shared" si="10"/>
        <v>0.0273444200000001</v>
      </c>
      <c r="BP54" s="23">
        <f>IF(VLOOKUP($Q54,武学奇术!$A:$ZZ,22,FALSE)=1,0,(1-$BI54))*(1-$BL54)</f>
        <v>0.12385236</v>
      </c>
      <c r="BQ54" s="23" cm="1">
        <f t="array" ref="BQ54">SUM(_xlfn.XLOOKUP(R54:AF54,增益!$A:$A,增益!$W:$W,0))</f>
        <v>0.13</v>
      </c>
    </row>
    <row r="55" spans="1:69">
      <c r="A55" s="4" t="s">
        <v>140</v>
      </c>
      <c r="B55" s="4">
        <v>1.3</v>
      </c>
      <c r="K55" s="36">
        <f t="shared" si="0"/>
        <v>30984.0179845002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34408.1988551205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27685.3302039699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18109.5783448003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15711.5046866599</v>
      </c>
      <c r="P55" s="37">
        <v>1</v>
      </c>
      <c r="Q55" s="38" t="s">
        <v>99</v>
      </c>
      <c r="R55" s="38" t="s">
        <v>89</v>
      </c>
      <c r="S55" s="38" t="s">
        <v>78</v>
      </c>
      <c r="T55" s="38" t="s">
        <v>79</v>
      </c>
      <c r="U55" s="38" t="s">
        <v>111</v>
      </c>
      <c r="V55" s="38" t="s">
        <v>72</v>
      </c>
      <c r="W55" s="38" t="s">
        <v>73</v>
      </c>
      <c r="X55" s="38" t="s">
        <v>72</v>
      </c>
      <c r="Y55" s="38" t="s">
        <v>72</v>
      </c>
      <c r="Z55" s="38" t="s">
        <v>72</v>
      </c>
      <c r="AA55" s="38" t="s">
        <v>68</v>
      </c>
      <c r="AB55" s="38" t="s">
        <v>72</v>
      </c>
      <c r="AC55" s="38" t="s">
        <v>72</v>
      </c>
      <c r="AD55" s="38" t="s">
        <v>72</v>
      </c>
      <c r="AE55" s="38" t="s">
        <v>90</v>
      </c>
      <c r="AF55" s="38" t="s">
        <v>74</v>
      </c>
      <c r="AG55" t="str">
        <f>VLOOKUP($Q55,武学奇术!$A:$ZZ,25,FALSE)</f>
        <v>横刀</v>
      </c>
      <c r="AH55" s="23">
        <f>VLOOKUP($Q55,武学奇术!$A:$ZZ,26,FALSE)</f>
        <v>1.4</v>
      </c>
      <c r="AI55" s="24">
        <f>VLOOKUP($Q55,武学奇术!$A:$ZZ,27,FALSE)*(1+IF(OR($AG55=$F$4,$AG55=$F$5),$B$22,0))</f>
        <v>0</v>
      </c>
      <c r="AJ55" s="23">
        <f>VLOOKUP($Q55,武学奇术!$A:$ZZ,28,FALSE)</f>
        <v>2.1</v>
      </c>
      <c r="AK55" s="24">
        <f>VLOOKUP($Q55,武学奇术!$A:$ZZ,29,FALSE)*(1+IF(OR($AG55=$F$4,$AG55=$F$5),$B$22,0))</f>
        <v>0</v>
      </c>
      <c r="AL55" s="23" cm="1">
        <f t="array" ref="AL55">$G$3+IFERROR(VLOOKUP($AG55,$F$4:$G$7,2,FALSE),0)+VLOOKUP($Q55,武学奇术!$A:$ZZ,2,FALSE)+SUM(_xlfn.XLOOKUP($R55:$AF55,增益!$A:$A,增益!$B:$B,0))</f>
        <v>0.817</v>
      </c>
      <c r="AM55" s="23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3018.8</v>
      </c>
      <c r="AO55" cm="1">
        <f t="array" ref="AO55">$E$10*(1+$AM55)+VLOOKUP($Q55,武学奇术!$A:$ZZ,4,FALSE)+SUM(_xlfn.XLOOKUP($R55:$AF55,增益!$A:$A,增益!$D:$D,0))-$I$2</f>
        <v>3018.8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0.377</v>
      </c>
      <c r="AQ55" s="30" cm="1">
        <f t="array" ref="AQ55">$G$10+VLOOKUP($Q55,武学奇术!$A:$ZZ,7,FALSE)+SUM(_xlfn.XLOOKUP(R55:AF55,增益!$A:$A,增益!$G:$G,0))</f>
        <v>0</v>
      </c>
      <c r="AR55" s="23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-0.08</v>
      </c>
      <c r="AV55" s="30" cm="1">
        <f t="array" ref="AV55">$G$11+VLOOKUP($Q55,武学奇术!$A:$ZZ,10,FALSE)+SUM(_xlfn.XLOOKUP(R55:AF55,增益!$A:$A,增益!$J:$J,0))</f>
        <v>0</v>
      </c>
      <c r="AW55">
        <f t="shared" si="3"/>
        <v>634.5</v>
      </c>
      <c r="AX55">
        <f t="shared" si="4"/>
        <v>1443.3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0.198</v>
      </c>
      <c r="AZ55" s="30" cm="1">
        <f t="array" ref="AZ55">$G$12+VLOOKUP($Q55,武学奇术!$A:$ZZ,12,FALSE)+SUM(_xlfn.XLOOKUP(R55:AF55,增益!$A:$A,增益!$L:$L,0))</f>
        <v>0.148</v>
      </c>
      <c r="BA55">
        <f t="shared" si="5"/>
        <v>0</v>
      </c>
      <c r="BB55">
        <f t="shared" si="6"/>
        <v>0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-0.08</v>
      </c>
      <c r="BD55" s="30" cm="1">
        <f t="array" ref="BD55">$G$13+VLOOKUP($Q55,武学奇术!$A:$ZZ,14,FALSE)+SUM(_xlfn.XLOOKUP(R55:AF55,增益!$A:$A,增益!$N:$N,0))</f>
        <v>0</v>
      </c>
      <c r="BE55">
        <f t="shared" si="7"/>
        <v>0</v>
      </c>
      <c r="BF55">
        <f t="shared" si="8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-0.08</v>
      </c>
      <c r="BH55" s="30" cm="1">
        <f t="array" ref="BH55">$G$14+VLOOKUP($Q55,武学奇术!$A:$ZZ,16,FALSE)+SUM(_xlfn.XLOOKUP(R55:AF55,增益!$A:$A,增益!$P:$P,0))</f>
        <v>0</v>
      </c>
      <c r="BI55" s="23">
        <f>MIN(IF(VLOOKUP($Q55,武学奇术!$A:$ZZ,23,FALSE)=1,100%,$B$8),100%)</f>
        <v>0.8626</v>
      </c>
      <c r="BJ55" s="23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0.8697</v>
      </c>
      <c r="BK55" s="23" cm="1">
        <f t="array" ref="BK55">1+$B$13+VLOOKUP($Q55,武学奇术!$A:$ZZ,18,FALSE)+SUM(_xlfn.XLOOKUP(R55:AF55,增益!$A:$A,增益!$R:$R,0))</f>
        <v>1.9</v>
      </c>
      <c r="BL55" s="23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0.0986</v>
      </c>
      <c r="BM55" s="23" cm="1">
        <f t="array" ref="BM55">1+$B$14+VLOOKUP($Q55,武学奇术!$A:$ZZ,20,FALSE)+SUM(_xlfn.XLOOKUP(R55:AF55,增益!$A:$A,增益!$T:$T,0))</f>
        <v>1.35</v>
      </c>
      <c r="BN55" s="23">
        <f t="shared" si="9"/>
        <v>0.75020322</v>
      </c>
      <c r="BO55" s="23">
        <f t="shared" si="10"/>
        <v>0.0273444200000001</v>
      </c>
      <c r="BP55" s="23">
        <f>IF(VLOOKUP($Q55,武学奇术!$A:$ZZ,22,FALSE)=1,0,(1-$BI55))*(1-$BL55)</f>
        <v>0.12385236</v>
      </c>
      <c r="BQ55" s="23" cm="1">
        <f t="array" ref="BQ55">SUM(_xlfn.XLOOKUP(R55:AF55,增益!$A:$A,增益!$W:$W,0))</f>
        <v>0.13</v>
      </c>
    </row>
    <row r="56" spans="1:69">
      <c r="A56" s="4" t="s">
        <v>152</v>
      </c>
      <c r="B56" s="4">
        <v>3.3</v>
      </c>
      <c r="C56" t="s">
        <v>140</v>
      </c>
      <c r="K56" s="36">
        <f t="shared" si="0"/>
        <v>15539.2682067244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17256.581466855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13884.892903381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9082.41129834471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7879.71674233311</v>
      </c>
      <c r="P56" s="37">
        <v>1</v>
      </c>
      <c r="Q56" s="38" t="s">
        <v>102</v>
      </c>
      <c r="R56" s="38" t="s">
        <v>89</v>
      </c>
      <c r="S56" s="38" t="s">
        <v>78</v>
      </c>
      <c r="T56" s="38" t="s">
        <v>79</v>
      </c>
      <c r="U56" s="38" t="s">
        <v>111</v>
      </c>
      <c r="V56" s="38" t="s">
        <v>72</v>
      </c>
      <c r="W56" s="38" t="s">
        <v>104</v>
      </c>
      <c r="X56" s="38" t="s">
        <v>72</v>
      </c>
      <c r="Y56" s="38" t="s">
        <v>72</v>
      </c>
      <c r="Z56" s="38" t="s">
        <v>72</v>
      </c>
      <c r="AA56" s="38" t="s">
        <v>68</v>
      </c>
      <c r="AB56" s="38" t="s">
        <v>72</v>
      </c>
      <c r="AC56" s="38" t="s">
        <v>72</v>
      </c>
      <c r="AD56" s="38" t="s">
        <v>72</v>
      </c>
      <c r="AE56" s="38" t="s">
        <v>90</v>
      </c>
      <c r="AF56" s="38" t="s">
        <v>74</v>
      </c>
      <c r="AG56" t="str">
        <f>VLOOKUP($Q56,武学奇术!$A:$ZZ,25,FALSE)</f>
        <v>陌刀</v>
      </c>
      <c r="AH56" s="23">
        <f>VLOOKUP($Q56,武学奇术!$A:$ZZ,26,FALSE)</f>
        <v>0.5</v>
      </c>
      <c r="AI56" s="24">
        <f>VLOOKUP($Q56,武学奇术!$A:$ZZ,27,FALSE)*(1+IF(OR($AG56=$F$4,$AG56=$F$5),$B$22,0))</f>
        <v>0</v>
      </c>
      <c r="AJ56" s="23">
        <f>VLOOKUP($Q56,武学奇术!$A:$ZZ,28,FALSE)</f>
        <v>0.75</v>
      </c>
      <c r="AK56" s="24">
        <f>VLOOKUP($Q56,武学奇术!$A:$ZZ,29,FALSE)*(1+IF(OR($AG56=$F$4,$AG56=$F$5),$B$22,0))</f>
        <v>0</v>
      </c>
      <c r="AL56" s="23" cm="1">
        <f t="array" ref="AL56">$G$3+IFERROR(VLOOKUP($AG56,$F$4:$G$7,2,FALSE),0)+VLOOKUP($Q56,武学奇术!$A:$ZZ,2,FALSE)+SUM(_xlfn.XLOOKUP($R56:$AF56,增益!$A:$A,增益!$B:$B,0))</f>
        <v>0.933</v>
      </c>
      <c r="AM56" s="23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3018.8</v>
      </c>
      <c r="AO56" cm="1">
        <f t="array" ref="AO56">$E$10*(1+$AM56)+VLOOKUP($Q56,武学奇术!$A:$ZZ,4,FALSE)+SUM(_xlfn.XLOOKUP($R56:$AF56,增益!$A:$A,增益!$D:$D,0))-$I$2</f>
        <v>3018.8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0.377</v>
      </c>
      <c r="AQ56" s="30" cm="1">
        <f t="array" ref="AQ56">$G$10+VLOOKUP($Q56,武学奇术!$A:$ZZ,7,FALSE)+SUM(_xlfn.XLOOKUP(R56:AF56,增益!$A:$A,增益!$G:$G,0))</f>
        <v>0</v>
      </c>
      <c r="AR56" s="23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-0.08</v>
      </c>
      <c r="AV56" s="30" cm="1">
        <f t="array" ref="AV56">$G$11+VLOOKUP($Q56,武学奇术!$A:$ZZ,10,FALSE)+SUM(_xlfn.XLOOKUP(R56:AF56,增益!$A:$A,增益!$J:$J,0))</f>
        <v>0</v>
      </c>
      <c r="AW56">
        <f t="shared" si="3"/>
        <v>634.5</v>
      </c>
      <c r="AX56">
        <f t="shared" si="4"/>
        <v>1443.3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0.198</v>
      </c>
      <c r="AZ56" s="30" cm="1">
        <f t="array" ref="AZ56">$G$12+VLOOKUP($Q56,武学奇术!$A:$ZZ,12,FALSE)+SUM(_xlfn.XLOOKUP(R56:AF56,增益!$A:$A,增益!$L:$L,0))</f>
        <v>0.148</v>
      </c>
      <c r="BA56">
        <f t="shared" si="5"/>
        <v>0</v>
      </c>
      <c r="BB56">
        <f t="shared" si="6"/>
        <v>0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-0.08</v>
      </c>
      <c r="BD56" s="30" cm="1">
        <f t="array" ref="BD56">$G$13+VLOOKUP($Q56,武学奇术!$A:$ZZ,14,FALSE)+SUM(_xlfn.XLOOKUP(R56:AF56,增益!$A:$A,增益!$N:$N,0))</f>
        <v>0</v>
      </c>
      <c r="BE56">
        <f t="shared" si="7"/>
        <v>0</v>
      </c>
      <c r="BF56">
        <f t="shared" si="8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-0.08</v>
      </c>
      <c r="BH56" s="30" cm="1">
        <f t="array" ref="BH56">$G$14+VLOOKUP($Q56,武学奇术!$A:$ZZ,16,FALSE)+SUM(_xlfn.XLOOKUP(R56:AF56,增益!$A:$A,增益!$P:$P,0))</f>
        <v>0</v>
      </c>
      <c r="BI56" s="23">
        <f>MIN(IF(VLOOKUP($Q56,武学奇术!$A:$ZZ,23,FALSE)=1,100%,$B$8),100%)</f>
        <v>0.8626</v>
      </c>
      <c r="BJ56" s="23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0.8697</v>
      </c>
      <c r="BK56" s="23" cm="1">
        <f t="array" ref="BK56">1+$B$13+VLOOKUP($Q56,武学奇术!$A:$ZZ,18,FALSE)+SUM(_xlfn.XLOOKUP(R56:AF56,增益!$A:$A,增益!$R:$R,0))</f>
        <v>1.9</v>
      </c>
      <c r="BL56" s="23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0.0986</v>
      </c>
      <c r="BM56" s="23" cm="1">
        <f t="array" ref="BM56">1+$B$14+VLOOKUP($Q56,武学奇术!$A:$ZZ,20,FALSE)+SUM(_xlfn.XLOOKUP(R56:AF56,增益!$A:$A,增益!$T:$T,0))</f>
        <v>1.35</v>
      </c>
      <c r="BN56" s="23">
        <f t="shared" si="9"/>
        <v>0.75020322</v>
      </c>
      <c r="BO56" s="23">
        <f t="shared" si="10"/>
        <v>0.0273444200000001</v>
      </c>
      <c r="BP56" s="23">
        <f>IF(VLOOKUP($Q56,武学奇术!$A:$ZZ,22,FALSE)=1,0,(1-$BI56))*(1-$BL56)</f>
        <v>0.12385236</v>
      </c>
      <c r="BQ56" s="23" cm="1">
        <f t="array" ref="BQ56">SUM(_xlfn.XLOOKUP(R56:AF56,增益!$A:$A,增益!$W:$W,0))</f>
        <v>0.13</v>
      </c>
    </row>
    <row r="57" spans="1:69">
      <c r="A57" t="s">
        <v>143</v>
      </c>
      <c r="B57">
        <v>1</v>
      </c>
      <c r="D57" s="4"/>
      <c r="E57" s="4"/>
      <c r="K57" s="36">
        <f t="shared" si="0"/>
        <v>36329.6451933789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36329.6451933789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27769.7858067621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18164.8225966894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15759.4334846662</v>
      </c>
      <c r="P57" s="37">
        <v>2</v>
      </c>
      <c r="Q57" s="38" t="s">
        <v>114</v>
      </c>
      <c r="R57" s="38" t="s">
        <v>89</v>
      </c>
      <c r="S57" s="38" t="s">
        <v>78</v>
      </c>
      <c r="T57" s="38" t="s">
        <v>79</v>
      </c>
      <c r="U57" s="38" t="s">
        <v>111</v>
      </c>
      <c r="V57" s="38" t="s">
        <v>107</v>
      </c>
      <c r="W57" s="38" t="s">
        <v>104</v>
      </c>
      <c r="X57" s="38" t="s">
        <v>72</v>
      </c>
      <c r="Y57" s="38" t="s">
        <v>72</v>
      </c>
      <c r="Z57" s="38" t="s">
        <v>72</v>
      </c>
      <c r="AA57" s="38" t="s">
        <v>68</v>
      </c>
      <c r="AB57" s="38" t="s">
        <v>72</v>
      </c>
      <c r="AC57" s="38" t="s">
        <v>72</v>
      </c>
      <c r="AD57" s="38" t="s">
        <v>72</v>
      </c>
      <c r="AE57" s="38" t="s">
        <v>90</v>
      </c>
      <c r="AF57" s="38" t="s">
        <v>74</v>
      </c>
      <c r="AG57" t="str">
        <f>VLOOKUP($Q57,武学奇术!$A:$ZZ,25,FALSE)</f>
        <v>陌刀</v>
      </c>
      <c r="AH57" s="23">
        <f>VLOOKUP($Q57,武学奇术!$A:$ZZ,26,FALSE)</f>
        <v>0.5</v>
      </c>
      <c r="AI57" s="24">
        <f>VLOOKUP($Q57,武学奇术!$A:$ZZ,27,FALSE)*(1+IF(OR($AG57=$F$4,$AG57=$F$5),$B$22,0))</f>
        <v>0</v>
      </c>
      <c r="AJ57" s="23">
        <f>VLOOKUP($Q57,武学奇术!$A:$ZZ,28,FALSE)</f>
        <v>0.75</v>
      </c>
      <c r="AK57" s="24">
        <f>VLOOKUP($Q57,武学奇术!$A:$ZZ,29,FALSE)*(1+IF(OR($AG57=$F$4,$AG57=$F$5),$B$22,0))</f>
        <v>0</v>
      </c>
      <c r="AL57" s="23" cm="1">
        <f t="array" ref="AL57">$G$3+IFERROR(VLOOKUP($AG57,$F$4:$G$7,2,FALSE),0)+VLOOKUP($Q57,武学奇术!$A:$ZZ,2,FALSE)+SUM(_xlfn.XLOOKUP($R57:$AF57,增益!$A:$A,增益!$B:$B,0))</f>
        <v>0.933</v>
      </c>
      <c r="AM57" s="23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3018.8</v>
      </c>
      <c r="AO57" cm="1">
        <f t="array" ref="AO57">$E$10*(1+$AM57)+VLOOKUP($Q57,武学奇术!$A:$ZZ,4,FALSE)+SUM(_xlfn.XLOOKUP($R57:$AF57,增益!$A:$A,增益!$D:$D,0))-$I$2</f>
        <v>3018.8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0.377</v>
      </c>
      <c r="AQ57" s="30" cm="1">
        <f t="array" ref="AQ57">$G$10+VLOOKUP($Q57,武学奇术!$A:$ZZ,7,FALSE)+SUM(_xlfn.XLOOKUP(R57:AF57,增益!$A:$A,增益!$G:$G,0))</f>
        <v>0</v>
      </c>
      <c r="AR57" s="23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-0.08</v>
      </c>
      <c r="AV57" s="30" cm="1">
        <f t="array" ref="AV57">$G$11+VLOOKUP($Q57,武学奇术!$A:$ZZ,10,FALSE)+SUM(_xlfn.XLOOKUP(R57:AF57,增益!$A:$A,增益!$J:$J,0))</f>
        <v>0</v>
      </c>
      <c r="AW57">
        <f t="shared" si="3"/>
        <v>634.5</v>
      </c>
      <c r="AX57">
        <f t="shared" si="4"/>
        <v>1443.3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0.198</v>
      </c>
      <c r="AZ57" s="30" cm="1">
        <f t="array" ref="AZ57">$G$12+VLOOKUP($Q57,武学奇术!$A:$ZZ,12,FALSE)+SUM(_xlfn.XLOOKUP(R57:AF57,增益!$A:$A,增益!$L:$L,0))</f>
        <v>0.148</v>
      </c>
      <c r="BA57">
        <f t="shared" si="5"/>
        <v>0</v>
      </c>
      <c r="BB57">
        <f t="shared" si="6"/>
        <v>0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-0.08</v>
      </c>
      <c r="BD57" s="30" cm="1">
        <f t="array" ref="BD57">$G$13+VLOOKUP($Q57,武学奇术!$A:$ZZ,14,FALSE)+SUM(_xlfn.XLOOKUP(R57:AF57,增益!$A:$A,增益!$N:$N,0))</f>
        <v>0</v>
      </c>
      <c r="BE57">
        <f t="shared" si="7"/>
        <v>0</v>
      </c>
      <c r="BF57">
        <f t="shared" si="8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-0.08</v>
      </c>
      <c r="BH57" s="30" cm="1">
        <f t="array" ref="BH57">$G$14+VLOOKUP($Q57,武学奇术!$A:$ZZ,16,FALSE)+SUM(_xlfn.XLOOKUP(R57:AF57,增益!$A:$A,增益!$P:$P,0))</f>
        <v>0</v>
      </c>
      <c r="BI57" s="23">
        <f>MIN(IF(VLOOKUP($Q57,武学奇术!$A:$ZZ,23,FALSE)=1,100%,$B$8),100%)</f>
        <v>1</v>
      </c>
      <c r="BJ57" s="23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1</v>
      </c>
      <c r="BK57" s="23" cm="1">
        <f t="array" ref="BK57">1+$B$13+VLOOKUP($Q57,武学奇术!$A:$ZZ,18,FALSE)+SUM(_xlfn.XLOOKUP(R57:AF57,增益!$A:$A,增益!$R:$R,0))</f>
        <v>2</v>
      </c>
      <c r="BL57" s="23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</v>
      </c>
      <c r="BM57" s="23" cm="1">
        <f t="array" ref="BM57">1+$B$14+VLOOKUP($Q57,武学奇术!$A:$ZZ,20,FALSE)+SUM(_xlfn.XLOOKUP(R57:AF57,增益!$A:$A,增益!$T:$T,0))</f>
        <v>1.35</v>
      </c>
      <c r="BN57" s="23">
        <f t="shared" si="9"/>
        <v>1</v>
      </c>
      <c r="BO57" s="23">
        <f t="shared" si="10"/>
        <v>0</v>
      </c>
      <c r="BP57" s="23">
        <f>IF(VLOOKUP($Q57,武学奇术!$A:$ZZ,22,FALSE)=1,0,(1-$BI57))*(1-$BL57)</f>
        <v>0</v>
      </c>
      <c r="BQ57" s="23" cm="1">
        <f t="array" ref="BQ57">SUM(_xlfn.XLOOKUP(R57:AF57,增益!$A:$A,增益!$W:$W,0))</f>
        <v>0.13</v>
      </c>
    </row>
    <row r="58" spans="1:69">
      <c r="A58" t="s">
        <v>93</v>
      </c>
      <c r="B58">
        <v>2.3</v>
      </c>
      <c r="K58" s="36">
        <f t="shared" si="0"/>
        <v>98090.0420221229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98090.0420221229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74978.4216782576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49045.0210110615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42550.4704085988</v>
      </c>
      <c r="P58" s="37">
        <v>3</v>
      </c>
      <c r="Q58" s="38" t="s">
        <v>106</v>
      </c>
      <c r="R58" s="38" t="s">
        <v>89</v>
      </c>
      <c r="S58" s="38" t="s">
        <v>78</v>
      </c>
      <c r="T58" s="38" t="s">
        <v>79</v>
      </c>
      <c r="U58" s="38" t="s">
        <v>111</v>
      </c>
      <c r="V58" s="38" t="s">
        <v>107</v>
      </c>
      <c r="W58" s="38" t="s">
        <v>104</v>
      </c>
      <c r="X58" s="38" t="s">
        <v>72</v>
      </c>
      <c r="Y58" s="38" t="s">
        <v>72</v>
      </c>
      <c r="Z58" s="38" t="s">
        <v>72</v>
      </c>
      <c r="AA58" s="38" t="s">
        <v>68</v>
      </c>
      <c r="AB58" s="38" t="s">
        <v>72</v>
      </c>
      <c r="AC58" s="38" t="s">
        <v>72</v>
      </c>
      <c r="AD58" s="38" t="s">
        <v>72</v>
      </c>
      <c r="AE58" s="38" t="s">
        <v>90</v>
      </c>
      <c r="AF58" s="38" t="s">
        <v>74</v>
      </c>
      <c r="AG58" t="str">
        <f>VLOOKUP($Q58,武学奇术!$A:$ZZ,25,FALSE)</f>
        <v>陌刀</v>
      </c>
      <c r="AH58" s="23">
        <f>VLOOKUP($Q58,武学奇术!$A:$ZZ,26,FALSE)</f>
        <v>0.9</v>
      </c>
      <c r="AI58" s="24">
        <f>VLOOKUP($Q58,武学奇术!$A:$ZZ,27,FALSE)*(1+IF(OR($AG58=$F$4,$AG58=$F$5),$B$22,0))</f>
        <v>0</v>
      </c>
      <c r="AJ58" s="23">
        <f>VLOOKUP($Q58,武学奇术!$A:$ZZ,28,FALSE)</f>
        <v>1.35</v>
      </c>
      <c r="AK58" s="24">
        <f>VLOOKUP($Q58,武学奇术!$A:$ZZ,29,FALSE)*(1+IF(OR($AG58=$F$4,$AG58=$F$5),$B$22,0))</f>
        <v>0</v>
      </c>
      <c r="AL58" s="23" cm="1">
        <f t="array" ref="AL58">$G$3+IFERROR(VLOOKUP($AG58,$F$4:$G$7,2,FALSE),0)+VLOOKUP($Q58,武学奇术!$A:$ZZ,2,FALSE)+SUM(_xlfn.XLOOKUP($R58:$AF58,增益!$A:$A,增益!$B:$B,0))</f>
        <v>0.933</v>
      </c>
      <c r="AM58" s="23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3018.8</v>
      </c>
      <c r="AO58" cm="1">
        <f t="array" ref="AO58">$E$10*(1+$AM58)+VLOOKUP($Q58,武学奇术!$A:$ZZ,4,FALSE)+SUM(_xlfn.XLOOKUP($R58:$AF58,增益!$A:$A,增益!$D:$D,0))-$I$2</f>
        <v>3018.8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0.377</v>
      </c>
      <c r="AQ58" s="30" cm="1">
        <f t="array" ref="AQ58">$G$10+VLOOKUP($Q58,武学奇术!$A:$ZZ,7,FALSE)+SUM(_xlfn.XLOOKUP(R58:AF58,增益!$A:$A,增益!$G:$G,0))</f>
        <v>0</v>
      </c>
      <c r="AR58" s="23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-0.08</v>
      </c>
      <c r="AV58" s="30" cm="1">
        <f t="array" ref="AV58">$G$11+VLOOKUP($Q58,武学奇术!$A:$ZZ,10,FALSE)+SUM(_xlfn.XLOOKUP(R58:AF58,增益!$A:$A,增益!$J:$J,0))</f>
        <v>0</v>
      </c>
      <c r="AW58">
        <f t="shared" si="3"/>
        <v>634.5</v>
      </c>
      <c r="AX58">
        <f t="shared" si="4"/>
        <v>1443.3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0.198</v>
      </c>
      <c r="AZ58" s="30" cm="1">
        <f t="array" ref="AZ58">$G$12+VLOOKUP($Q58,武学奇术!$A:$ZZ,12,FALSE)+SUM(_xlfn.XLOOKUP(R58:AF58,增益!$A:$A,增益!$L:$L,0))</f>
        <v>0.148</v>
      </c>
      <c r="BA58">
        <f t="shared" si="5"/>
        <v>0</v>
      </c>
      <c r="BB58">
        <f t="shared" si="6"/>
        <v>0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-0.08</v>
      </c>
      <c r="BD58" s="30" cm="1">
        <f t="array" ref="BD58">$G$13+VLOOKUP($Q58,武学奇术!$A:$ZZ,14,FALSE)+SUM(_xlfn.XLOOKUP(R58:AF58,增益!$A:$A,增益!$N:$N,0))</f>
        <v>0</v>
      </c>
      <c r="BE58">
        <f t="shared" si="7"/>
        <v>0</v>
      </c>
      <c r="BF58">
        <f t="shared" si="8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-0.08</v>
      </c>
      <c r="BH58" s="30" cm="1">
        <f t="array" ref="BH58">$G$14+VLOOKUP($Q58,武学奇术!$A:$ZZ,16,FALSE)+SUM(_xlfn.XLOOKUP(R58:AF58,增益!$A:$A,增益!$P:$P,0))</f>
        <v>0</v>
      </c>
      <c r="BI58" s="23">
        <f>MIN(IF(VLOOKUP($Q58,武学奇术!$A:$ZZ,23,FALSE)=1,100%,$B$8),100%)</f>
        <v>1</v>
      </c>
      <c r="BJ58" s="23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1</v>
      </c>
      <c r="BK58" s="23" cm="1">
        <f t="array" ref="BK58">1+$B$13+VLOOKUP($Q58,武学奇术!$A:$ZZ,18,FALSE)+SUM(_xlfn.XLOOKUP(R58:AF58,增益!$A:$A,增益!$R:$R,0))</f>
        <v>2</v>
      </c>
      <c r="BL58" s="23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</v>
      </c>
      <c r="BM58" s="23" cm="1">
        <f t="array" ref="BM58">1+$B$14+VLOOKUP($Q58,武学奇术!$A:$ZZ,20,FALSE)+SUM(_xlfn.XLOOKUP(R58:AF58,增益!$A:$A,增益!$T:$T,0))</f>
        <v>1.35</v>
      </c>
      <c r="BN58" s="23">
        <f t="shared" si="9"/>
        <v>1</v>
      </c>
      <c r="BO58" s="23">
        <f t="shared" si="10"/>
        <v>0</v>
      </c>
      <c r="BP58" s="23">
        <f>IF(VLOOKUP($Q58,武学奇术!$A:$ZZ,22,FALSE)=1,0,(1-$BI58))*(1-$BL58)</f>
        <v>0</v>
      </c>
      <c r="BQ58" s="23" cm="1">
        <f t="array" ref="BQ58">SUM(_xlfn.XLOOKUP(R58:AF58,增益!$A:$A,增益!$W:$W,0))</f>
        <v>0.13</v>
      </c>
    </row>
    <row r="59" spans="1:69">
      <c r="A59" t="s">
        <v>144</v>
      </c>
      <c r="B59">
        <v>1</v>
      </c>
      <c r="K59" s="36">
        <f t="shared" si="0"/>
        <v>932719.93445217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932719.93445217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702544.136600462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466359.967226085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412316.870303679</v>
      </c>
      <c r="P59" s="37">
        <v>3</v>
      </c>
      <c r="Q59" s="38" t="s">
        <v>110</v>
      </c>
      <c r="R59" s="38" t="s">
        <v>89</v>
      </c>
      <c r="S59" s="38" t="s">
        <v>78</v>
      </c>
      <c r="T59" s="38" t="s">
        <v>79</v>
      </c>
      <c r="U59" s="38" t="s">
        <v>111</v>
      </c>
      <c r="V59" s="38" t="s">
        <v>107</v>
      </c>
      <c r="W59" s="38" t="s">
        <v>112</v>
      </c>
      <c r="X59" s="38" t="s">
        <v>72</v>
      </c>
      <c r="Y59" s="38" t="s">
        <v>72</v>
      </c>
      <c r="Z59" s="38" t="s">
        <v>72</v>
      </c>
      <c r="AA59" s="38" t="s">
        <v>68</v>
      </c>
      <c r="AB59" s="38" t="s">
        <v>72</v>
      </c>
      <c r="AC59" s="38" t="s">
        <v>72</v>
      </c>
      <c r="AD59" s="38" t="s">
        <v>72</v>
      </c>
      <c r="AE59" s="38" t="s">
        <v>90</v>
      </c>
      <c r="AF59" s="38" t="s">
        <v>74</v>
      </c>
      <c r="AG59" t="str">
        <f>VLOOKUP($Q59,武学奇术!$A:$ZZ,25,FALSE)</f>
        <v>陌刀</v>
      </c>
      <c r="AH59" s="23">
        <f>VLOOKUP($Q59,武学奇术!$A:$ZZ,26,FALSE)</f>
        <v>7.5674</v>
      </c>
      <c r="AI59" s="24">
        <f>VLOOKUP($Q59,武学奇术!$A:$ZZ,27,FALSE)*(1+IF(OR($AG59=$F$4,$AG59=$F$5),$B$22,0))</f>
        <v>2720.9</v>
      </c>
      <c r="AJ59" s="23">
        <f>VLOOKUP($Q59,武学奇术!$A:$ZZ,28,FALSE)</f>
        <v>11.3512</v>
      </c>
      <c r="AK59" s="24">
        <f>VLOOKUP($Q59,武学奇术!$A:$ZZ,29,FALSE)*(1+IF(OR($AG59=$F$4,$AG59=$F$5),$B$22,0))</f>
        <v>1482</v>
      </c>
      <c r="AL59" s="23" cm="1">
        <f t="array" ref="AL59">$G$3+IFERROR(VLOOKUP($AG59,$F$4:$G$7,2,FALSE),0)+VLOOKUP($Q59,武学奇术!$A:$ZZ,2,FALSE)+SUM(_xlfn.XLOOKUP($R59:$AF59,增益!$A:$A,增益!$B:$B,0))</f>
        <v>0.913</v>
      </c>
      <c r="AM59" s="23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3018.8</v>
      </c>
      <c r="AO59" cm="1">
        <f t="array" ref="AO59">$E$10*(1+$AM59)+VLOOKUP($Q59,武学奇术!$A:$ZZ,4,FALSE)+SUM(_xlfn.XLOOKUP($R59:$AF59,增益!$A:$A,增益!$D:$D,0))-$I$2</f>
        <v>3018.8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0.377</v>
      </c>
      <c r="AQ59" s="30" cm="1">
        <f t="array" ref="AQ59">$G$10+VLOOKUP($Q59,武学奇术!$A:$ZZ,7,FALSE)+SUM(_xlfn.XLOOKUP(R59:AF59,增益!$A:$A,增益!$G:$G,0))</f>
        <v>0</v>
      </c>
      <c r="AR59" s="23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-0.08</v>
      </c>
      <c r="AV59" s="30" cm="1">
        <f t="array" ref="AV59">$G$11+VLOOKUP($Q59,武学奇术!$A:$ZZ,10,FALSE)+SUM(_xlfn.XLOOKUP(R59:AF59,增益!$A:$A,增益!$J:$J,0))</f>
        <v>0</v>
      </c>
      <c r="AW59">
        <f t="shared" si="3"/>
        <v>634.5</v>
      </c>
      <c r="AX59">
        <f t="shared" si="4"/>
        <v>1443.3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0.198</v>
      </c>
      <c r="AZ59" s="30" cm="1">
        <f t="array" ref="AZ59">$G$12+VLOOKUP($Q59,武学奇术!$A:$ZZ,12,FALSE)+SUM(_xlfn.XLOOKUP(R59:AF59,增益!$A:$A,增益!$L:$L,0))</f>
        <v>0.148</v>
      </c>
      <c r="BA59">
        <f t="shared" si="5"/>
        <v>0</v>
      </c>
      <c r="BB59">
        <f t="shared" si="6"/>
        <v>0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-0.08</v>
      </c>
      <c r="BD59" s="30" cm="1">
        <f t="array" ref="BD59">$G$13+VLOOKUP($Q59,武学奇术!$A:$ZZ,14,FALSE)+SUM(_xlfn.XLOOKUP(R59:AF59,增益!$A:$A,增益!$N:$N,0))</f>
        <v>0</v>
      </c>
      <c r="BE59">
        <f t="shared" si="7"/>
        <v>0</v>
      </c>
      <c r="BF59">
        <f t="shared" si="8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-0.08</v>
      </c>
      <c r="BH59" s="30" cm="1">
        <f t="array" ref="BH59">$G$14+VLOOKUP($Q59,武学奇术!$A:$ZZ,16,FALSE)+SUM(_xlfn.XLOOKUP(R59:AF59,增益!$A:$A,增益!$P:$P,0))</f>
        <v>0</v>
      </c>
      <c r="BI59" s="23">
        <f>MIN(IF(VLOOKUP($Q59,武学奇术!$A:$ZZ,23,FALSE)=1,100%,$B$8),100%)</f>
        <v>1</v>
      </c>
      <c r="BJ59" s="23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1</v>
      </c>
      <c r="BK59" s="23" cm="1">
        <f t="array" ref="BK59">1+$B$13+VLOOKUP($Q59,武学奇术!$A:$ZZ,18,FALSE)+SUM(_xlfn.XLOOKUP(R59:AF59,增益!$A:$A,增益!$R:$R,0))</f>
        <v>2</v>
      </c>
      <c r="BL59" s="23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</v>
      </c>
      <c r="BM59" s="23" cm="1">
        <f t="array" ref="BM59">1+$B$14+VLOOKUP($Q59,武学奇术!$A:$ZZ,20,FALSE)+SUM(_xlfn.XLOOKUP(R59:AF59,增益!$A:$A,增益!$T:$T,0))</f>
        <v>1.35</v>
      </c>
      <c r="BN59" s="23">
        <f t="shared" si="9"/>
        <v>1</v>
      </c>
      <c r="BO59" s="23">
        <f t="shared" si="10"/>
        <v>0</v>
      </c>
      <c r="BP59" s="23">
        <f>IF(VLOOKUP($Q59,武学奇术!$A:$ZZ,22,FALSE)=1,0,(1-$BI59))*(1-$BL59)</f>
        <v>0</v>
      </c>
      <c r="BQ59" s="23" cm="1">
        <f t="array" ref="BQ59">SUM(_xlfn.XLOOKUP(R59:AF59,增益!$A:$A,增益!$W:$W,0))</f>
        <v>0.13</v>
      </c>
    </row>
    <row r="60" spans="1:69">
      <c r="A60" s="4" t="s">
        <v>149</v>
      </c>
      <c r="B60" s="4">
        <v>2.3</v>
      </c>
      <c r="K60" s="36">
        <f t="shared" si="0"/>
        <v>18164.8225966894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18164.8225966894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13884.892903381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9082.41129834471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7879.71674233311</v>
      </c>
      <c r="P60" s="37">
        <v>1</v>
      </c>
      <c r="Q60" s="38" t="s">
        <v>114</v>
      </c>
      <c r="R60" s="38" t="s">
        <v>89</v>
      </c>
      <c r="S60" s="38" t="s">
        <v>78</v>
      </c>
      <c r="T60" s="38" t="s">
        <v>79</v>
      </c>
      <c r="U60" s="38" t="s">
        <v>111</v>
      </c>
      <c r="V60" s="38" t="s">
        <v>107</v>
      </c>
      <c r="W60" s="38" t="s">
        <v>104</v>
      </c>
      <c r="X60" s="38" t="s">
        <v>72</v>
      </c>
      <c r="Y60" s="38" t="s">
        <v>72</v>
      </c>
      <c r="Z60" s="38" t="s">
        <v>72</v>
      </c>
      <c r="AA60" s="38" t="s">
        <v>68</v>
      </c>
      <c r="AB60" s="38" t="s">
        <v>72</v>
      </c>
      <c r="AC60" s="38" t="s">
        <v>72</v>
      </c>
      <c r="AD60" s="38" t="s">
        <v>72</v>
      </c>
      <c r="AE60" s="38" t="s">
        <v>90</v>
      </c>
      <c r="AF60" s="38" t="s">
        <v>74</v>
      </c>
      <c r="AG60" t="str">
        <f>VLOOKUP($Q60,武学奇术!$A:$ZZ,25,FALSE)</f>
        <v>陌刀</v>
      </c>
      <c r="AH60" s="23">
        <f>VLOOKUP($Q60,武学奇术!$A:$ZZ,26,FALSE)</f>
        <v>0.5</v>
      </c>
      <c r="AI60" s="24">
        <f>VLOOKUP($Q60,武学奇术!$A:$ZZ,27,FALSE)*(1+IF(OR($AG60=$F$4,$AG60=$F$5),$B$22,0))</f>
        <v>0</v>
      </c>
      <c r="AJ60" s="23">
        <f>VLOOKUP($Q60,武学奇术!$A:$ZZ,28,FALSE)</f>
        <v>0.75</v>
      </c>
      <c r="AK60" s="24">
        <f>VLOOKUP($Q60,武学奇术!$A:$ZZ,29,FALSE)*(1+IF(OR($AG60=$F$4,$AG60=$F$5),$B$22,0))</f>
        <v>0</v>
      </c>
      <c r="AL60" s="23" cm="1">
        <f t="array" ref="AL60">$G$3+IFERROR(VLOOKUP($AG60,$F$4:$G$7,2,FALSE),0)+VLOOKUP($Q60,武学奇术!$A:$ZZ,2,FALSE)+SUM(_xlfn.XLOOKUP($R60:$AF60,增益!$A:$A,增益!$B:$B,0))</f>
        <v>0.933</v>
      </c>
      <c r="AM60" s="23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3018.8</v>
      </c>
      <c r="AO60" cm="1">
        <f t="array" ref="AO60">$E$10*(1+$AM60)+VLOOKUP($Q60,武学奇术!$A:$ZZ,4,FALSE)+SUM(_xlfn.XLOOKUP($R60:$AF60,增益!$A:$A,增益!$D:$D,0))-$I$2</f>
        <v>3018.8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0.377</v>
      </c>
      <c r="AQ60" s="30" cm="1">
        <f t="array" ref="AQ60">$G$10+VLOOKUP($Q60,武学奇术!$A:$ZZ,7,FALSE)+SUM(_xlfn.XLOOKUP(R60:AF60,增益!$A:$A,增益!$G:$G,0))</f>
        <v>0</v>
      </c>
      <c r="AR60" s="23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-0.08</v>
      </c>
      <c r="AV60" s="30" cm="1">
        <f t="array" ref="AV60">$G$11+VLOOKUP($Q60,武学奇术!$A:$ZZ,10,FALSE)+SUM(_xlfn.XLOOKUP(R60:AF60,增益!$A:$A,增益!$J:$J,0))</f>
        <v>0</v>
      </c>
      <c r="AW60">
        <f t="shared" si="3"/>
        <v>634.5</v>
      </c>
      <c r="AX60">
        <f t="shared" si="4"/>
        <v>1443.3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0.198</v>
      </c>
      <c r="AZ60" s="30" cm="1">
        <f t="array" ref="AZ60">$G$12+VLOOKUP($Q60,武学奇术!$A:$ZZ,12,FALSE)+SUM(_xlfn.XLOOKUP(R60:AF60,增益!$A:$A,增益!$L:$L,0))</f>
        <v>0.148</v>
      </c>
      <c r="BA60">
        <f t="shared" si="5"/>
        <v>0</v>
      </c>
      <c r="BB60">
        <f t="shared" si="6"/>
        <v>0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-0.08</v>
      </c>
      <c r="BD60" s="30" cm="1">
        <f t="array" ref="BD60">$G$13+VLOOKUP($Q60,武学奇术!$A:$ZZ,14,FALSE)+SUM(_xlfn.XLOOKUP(R60:AF60,增益!$A:$A,增益!$N:$N,0))</f>
        <v>0</v>
      </c>
      <c r="BE60">
        <f t="shared" si="7"/>
        <v>0</v>
      </c>
      <c r="BF60">
        <f t="shared" si="8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-0.08</v>
      </c>
      <c r="BH60" s="30" cm="1">
        <f t="array" ref="BH60">$G$14+VLOOKUP($Q60,武学奇术!$A:$ZZ,16,FALSE)+SUM(_xlfn.XLOOKUP(R60:AF60,增益!$A:$A,增益!$P:$P,0))</f>
        <v>0</v>
      </c>
      <c r="BI60" s="23">
        <f>MIN(IF(VLOOKUP($Q60,武学奇术!$A:$ZZ,23,FALSE)=1,100%,$B$8),100%)</f>
        <v>1</v>
      </c>
      <c r="BJ60" s="23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1</v>
      </c>
      <c r="BK60" s="23" cm="1">
        <f t="array" ref="BK60">1+$B$13+VLOOKUP($Q60,武学奇术!$A:$ZZ,18,FALSE)+SUM(_xlfn.XLOOKUP(R60:AF60,增益!$A:$A,增益!$R:$R,0))</f>
        <v>2</v>
      </c>
      <c r="BL60" s="23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</v>
      </c>
      <c r="BM60" s="23" cm="1">
        <f t="array" ref="BM60">1+$B$14+VLOOKUP($Q60,武学奇术!$A:$ZZ,20,FALSE)+SUM(_xlfn.XLOOKUP(R60:AF60,增益!$A:$A,增益!$T:$T,0))</f>
        <v>1.35</v>
      </c>
      <c r="BN60" s="23">
        <f t="shared" si="9"/>
        <v>1</v>
      </c>
      <c r="BO60" s="23">
        <f t="shared" si="10"/>
        <v>0</v>
      </c>
      <c r="BP60" s="23">
        <f>IF(VLOOKUP($Q60,武学奇术!$A:$ZZ,22,FALSE)=1,0,(1-$BI60))*(1-$BL60)</f>
        <v>0</v>
      </c>
      <c r="BQ60" s="23" cm="1">
        <f t="array" ref="BQ60">SUM(_xlfn.XLOOKUP(R60:AF60,增益!$A:$A,增益!$W:$W,0))</f>
        <v>0.13</v>
      </c>
    </row>
    <row r="61" spans="1:69">
      <c r="A61" s="4" t="s">
        <v>149</v>
      </c>
      <c r="B61" s="4">
        <v>2.3</v>
      </c>
      <c r="K61" s="36">
        <f t="shared" si="0"/>
        <v>32696.680674041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32696.680674041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24992.8072260858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16348.3403370205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14183.4901361996</v>
      </c>
      <c r="P61" s="37">
        <v>1</v>
      </c>
      <c r="Q61" s="38" t="s">
        <v>106</v>
      </c>
      <c r="R61" s="38" t="s">
        <v>89</v>
      </c>
      <c r="S61" s="38" t="s">
        <v>78</v>
      </c>
      <c r="T61" s="38" t="s">
        <v>79</v>
      </c>
      <c r="U61" s="38" t="s">
        <v>111</v>
      </c>
      <c r="V61" s="38" t="s">
        <v>107</v>
      </c>
      <c r="W61" s="38" t="s">
        <v>104</v>
      </c>
      <c r="X61" s="38" t="s">
        <v>72</v>
      </c>
      <c r="Y61" s="38" t="s">
        <v>72</v>
      </c>
      <c r="Z61" s="38" t="s">
        <v>72</v>
      </c>
      <c r="AA61" s="38" t="s">
        <v>68</v>
      </c>
      <c r="AB61" s="38" t="s">
        <v>72</v>
      </c>
      <c r="AC61" s="38" t="s">
        <v>72</v>
      </c>
      <c r="AD61" s="38" t="s">
        <v>72</v>
      </c>
      <c r="AE61" s="38" t="s">
        <v>90</v>
      </c>
      <c r="AF61" s="38" t="s">
        <v>74</v>
      </c>
      <c r="AG61" t="str">
        <f>VLOOKUP($Q61,武学奇术!$A:$ZZ,25,FALSE)</f>
        <v>陌刀</v>
      </c>
      <c r="AH61" s="23">
        <f>VLOOKUP($Q61,武学奇术!$A:$ZZ,26,FALSE)</f>
        <v>0.9</v>
      </c>
      <c r="AI61" s="24">
        <f>VLOOKUP($Q61,武学奇术!$A:$ZZ,27,FALSE)*(1+IF(OR($AG61=$F$4,$AG61=$F$5),$B$22,0))</f>
        <v>0</v>
      </c>
      <c r="AJ61" s="23">
        <f>VLOOKUP($Q61,武学奇术!$A:$ZZ,28,FALSE)</f>
        <v>1.35</v>
      </c>
      <c r="AK61" s="24">
        <f>VLOOKUP($Q61,武学奇术!$A:$ZZ,29,FALSE)*(1+IF(OR($AG61=$F$4,$AG61=$F$5),$B$22,0))</f>
        <v>0</v>
      </c>
      <c r="AL61" s="23" cm="1">
        <f t="array" ref="AL61">$G$3+IFERROR(VLOOKUP($AG61,$F$4:$G$7,2,FALSE),0)+VLOOKUP($Q61,武学奇术!$A:$ZZ,2,FALSE)+SUM(_xlfn.XLOOKUP($R61:$AF61,增益!$A:$A,增益!$B:$B,0))</f>
        <v>0.933</v>
      </c>
      <c r="AM61" s="23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3018.8</v>
      </c>
      <c r="AO61" cm="1">
        <f t="array" ref="AO61">$E$10*(1+$AM61)+VLOOKUP($Q61,武学奇术!$A:$ZZ,4,FALSE)+SUM(_xlfn.XLOOKUP($R61:$AF61,增益!$A:$A,增益!$D:$D,0))-$I$2</f>
        <v>3018.8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0.377</v>
      </c>
      <c r="AQ61" s="30" cm="1">
        <f t="array" ref="AQ61">$G$10+VLOOKUP($Q61,武学奇术!$A:$ZZ,7,FALSE)+SUM(_xlfn.XLOOKUP(R61:AF61,增益!$A:$A,增益!$G:$G,0))</f>
        <v>0</v>
      </c>
      <c r="AR61" s="23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-0.08</v>
      </c>
      <c r="AV61" s="30" cm="1">
        <f t="array" ref="AV61">$G$11+VLOOKUP($Q61,武学奇术!$A:$ZZ,10,FALSE)+SUM(_xlfn.XLOOKUP(R61:AF61,增益!$A:$A,增益!$J:$J,0))</f>
        <v>0</v>
      </c>
      <c r="AW61">
        <f t="shared" si="3"/>
        <v>634.5</v>
      </c>
      <c r="AX61">
        <f t="shared" si="4"/>
        <v>1443.3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0.198</v>
      </c>
      <c r="AZ61" s="30" cm="1">
        <f t="array" ref="AZ61">$G$12+VLOOKUP($Q61,武学奇术!$A:$ZZ,12,FALSE)+SUM(_xlfn.XLOOKUP(R61:AF61,增益!$A:$A,增益!$L:$L,0))</f>
        <v>0.148</v>
      </c>
      <c r="BA61">
        <f t="shared" si="5"/>
        <v>0</v>
      </c>
      <c r="BB61">
        <f t="shared" si="6"/>
        <v>0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-0.08</v>
      </c>
      <c r="BD61" s="30" cm="1">
        <f t="array" ref="BD61">$G$13+VLOOKUP($Q61,武学奇术!$A:$ZZ,14,FALSE)+SUM(_xlfn.XLOOKUP(R61:AF61,增益!$A:$A,增益!$N:$N,0))</f>
        <v>0</v>
      </c>
      <c r="BE61">
        <f t="shared" si="7"/>
        <v>0</v>
      </c>
      <c r="BF61">
        <f t="shared" si="8"/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-0.08</v>
      </c>
      <c r="BH61" s="30" cm="1">
        <f t="array" ref="BH61">$G$14+VLOOKUP($Q61,武学奇术!$A:$ZZ,16,FALSE)+SUM(_xlfn.XLOOKUP(R61:AF61,增益!$A:$A,增益!$P:$P,0))</f>
        <v>0</v>
      </c>
      <c r="BI61" s="23">
        <f>MIN(IF(VLOOKUP($Q61,武学奇术!$A:$ZZ,23,FALSE)=1,100%,$B$8),100%)</f>
        <v>1</v>
      </c>
      <c r="BJ61" s="23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1</v>
      </c>
      <c r="BK61" s="23" cm="1">
        <f t="array" ref="BK61">1+$B$13+VLOOKUP($Q61,武学奇术!$A:$ZZ,18,FALSE)+SUM(_xlfn.XLOOKUP(R61:AF61,增益!$A:$A,增益!$R:$R,0))</f>
        <v>2</v>
      </c>
      <c r="BL61" s="23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</v>
      </c>
      <c r="BM61" s="23" cm="1">
        <f t="array" ref="BM61">1+$B$14+VLOOKUP($Q61,武学奇术!$A:$ZZ,20,FALSE)+SUM(_xlfn.XLOOKUP(R61:AF61,增益!$A:$A,增益!$T:$T,0))</f>
        <v>1.35</v>
      </c>
      <c r="BN61" s="23">
        <f t="shared" si="9"/>
        <v>1</v>
      </c>
      <c r="BO61" s="23">
        <f t="shared" si="10"/>
        <v>0</v>
      </c>
      <c r="BP61" s="23">
        <f>IF(VLOOKUP($Q61,武学奇术!$A:$ZZ,22,FALSE)=1,0,(1-$BI61))*(1-$BL61)</f>
        <v>0</v>
      </c>
      <c r="BQ61" s="23" cm="1">
        <f t="array" ref="BQ61">SUM(_xlfn.XLOOKUP(R61:AF61,增益!$A:$A,增益!$W:$W,0))</f>
        <v>0.13</v>
      </c>
    </row>
    <row r="62" spans="1:69">
      <c r="A62" s="4" t="s">
        <v>149</v>
      </c>
      <c r="B62" s="4">
        <v>2.3</v>
      </c>
      <c r="K62" s="36">
        <f t="shared" si="0"/>
        <v>310906.64481739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310906.64481739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234181.378866821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155453.322408695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137438.956767893</v>
      </c>
      <c r="P62" s="37">
        <v>1</v>
      </c>
      <c r="Q62" s="38" t="s">
        <v>110</v>
      </c>
      <c r="R62" s="38" t="s">
        <v>89</v>
      </c>
      <c r="S62" s="38" t="s">
        <v>78</v>
      </c>
      <c r="T62" s="38" t="s">
        <v>79</v>
      </c>
      <c r="U62" s="38" t="s">
        <v>111</v>
      </c>
      <c r="V62" s="38" t="s">
        <v>107</v>
      </c>
      <c r="W62" s="38" t="s">
        <v>112</v>
      </c>
      <c r="X62" s="38" t="s">
        <v>72</v>
      </c>
      <c r="Y62" s="38" t="s">
        <v>72</v>
      </c>
      <c r="Z62" s="38" t="s">
        <v>72</v>
      </c>
      <c r="AA62" s="38" t="s">
        <v>68</v>
      </c>
      <c r="AB62" s="38" t="s">
        <v>72</v>
      </c>
      <c r="AC62" s="38" t="s">
        <v>72</v>
      </c>
      <c r="AD62" s="38" t="s">
        <v>72</v>
      </c>
      <c r="AE62" s="38" t="s">
        <v>90</v>
      </c>
      <c r="AF62" s="38" t="s">
        <v>74</v>
      </c>
      <c r="AG62" t="str">
        <f>VLOOKUP($Q62,武学奇术!$A:$ZZ,25,FALSE)</f>
        <v>陌刀</v>
      </c>
      <c r="AH62" s="23">
        <f>VLOOKUP($Q62,武学奇术!$A:$ZZ,26,FALSE)</f>
        <v>7.5674</v>
      </c>
      <c r="AI62" s="24">
        <f>VLOOKUP($Q62,武学奇术!$A:$ZZ,27,FALSE)*(1+IF(OR($AG62=$F$4,$AG62=$F$5),$B$22,0))</f>
        <v>2720.9</v>
      </c>
      <c r="AJ62" s="23">
        <f>VLOOKUP($Q62,武学奇术!$A:$ZZ,28,FALSE)</f>
        <v>11.3512</v>
      </c>
      <c r="AK62" s="24">
        <f>VLOOKUP($Q62,武学奇术!$A:$ZZ,29,FALSE)*(1+IF(OR($AG62=$F$4,$AG62=$F$5),$B$22,0))</f>
        <v>1482</v>
      </c>
      <c r="AL62" s="23" cm="1">
        <f t="array" ref="AL62">$G$3+IFERROR(VLOOKUP($AG62,$F$4:$G$7,2,FALSE),0)+VLOOKUP($Q62,武学奇术!$A:$ZZ,2,FALSE)+SUM(_xlfn.XLOOKUP($R62:$AF62,增益!$A:$A,增益!$B:$B,0))</f>
        <v>0.913</v>
      </c>
      <c r="AM62" s="23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3018.8</v>
      </c>
      <c r="AO62" cm="1">
        <f t="array" ref="AO62">$E$10*(1+$AM62)+VLOOKUP($Q62,武学奇术!$A:$ZZ,4,FALSE)+SUM(_xlfn.XLOOKUP($R62:$AF62,增益!$A:$A,增益!$D:$D,0))-$I$2</f>
        <v>3018.8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0.377</v>
      </c>
      <c r="AQ62" s="30" cm="1">
        <f t="array" ref="AQ62">$G$10+VLOOKUP($Q62,武学奇术!$A:$ZZ,7,FALSE)+SUM(_xlfn.XLOOKUP(R62:AF62,增益!$A:$A,增益!$G:$G,0))</f>
        <v>0</v>
      </c>
      <c r="AR62" s="23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-0.08</v>
      </c>
      <c r="AV62" s="30" cm="1">
        <f t="array" ref="AV62">$G$11+VLOOKUP($Q62,武学奇术!$A:$ZZ,10,FALSE)+SUM(_xlfn.XLOOKUP(R62:AF62,增益!$A:$A,增益!$J:$J,0))</f>
        <v>0</v>
      </c>
      <c r="AW62">
        <f t="shared" si="3"/>
        <v>634.5</v>
      </c>
      <c r="AX62">
        <f t="shared" si="4"/>
        <v>1443.3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0.198</v>
      </c>
      <c r="AZ62" s="30" cm="1">
        <f t="array" ref="AZ62">$G$12+VLOOKUP($Q62,武学奇术!$A:$ZZ,12,FALSE)+SUM(_xlfn.XLOOKUP(R62:AF62,增益!$A:$A,增益!$L:$L,0))</f>
        <v>0.148</v>
      </c>
      <c r="BA62">
        <f t="shared" si="5"/>
        <v>0</v>
      </c>
      <c r="BB62">
        <f t="shared" si="6"/>
        <v>0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-0.08</v>
      </c>
      <c r="BD62" s="30" cm="1">
        <f t="array" ref="BD62">$G$13+VLOOKUP($Q62,武学奇术!$A:$ZZ,14,FALSE)+SUM(_xlfn.XLOOKUP(R62:AF62,增益!$A:$A,增益!$N:$N,0))</f>
        <v>0</v>
      </c>
      <c r="BE62">
        <f t="shared" si="7"/>
        <v>0</v>
      </c>
      <c r="BF62">
        <f t="shared" si="8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-0.08</v>
      </c>
      <c r="BH62" s="30" cm="1">
        <f t="array" ref="BH62">$G$14+VLOOKUP($Q62,武学奇术!$A:$ZZ,16,FALSE)+SUM(_xlfn.XLOOKUP(R62:AF62,增益!$A:$A,增益!$P:$P,0))</f>
        <v>0</v>
      </c>
      <c r="BI62" s="23">
        <f>MIN(IF(VLOOKUP($Q62,武学奇术!$A:$ZZ,23,FALSE)=1,100%,$B$8),100%)</f>
        <v>1</v>
      </c>
      <c r="BJ62" s="23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1</v>
      </c>
      <c r="BK62" s="23" cm="1">
        <f t="array" ref="BK62">1+$B$13+VLOOKUP($Q62,武学奇术!$A:$ZZ,18,FALSE)+SUM(_xlfn.XLOOKUP(R62:AF62,增益!$A:$A,增益!$R:$R,0))</f>
        <v>2</v>
      </c>
      <c r="BL62" s="23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</v>
      </c>
      <c r="BM62" s="23" cm="1">
        <f t="array" ref="BM62">1+$B$14+VLOOKUP($Q62,武学奇术!$A:$ZZ,20,FALSE)+SUM(_xlfn.XLOOKUP(R62:AF62,增益!$A:$A,增益!$T:$T,0))</f>
        <v>1.35</v>
      </c>
      <c r="BN62" s="23">
        <f t="shared" si="9"/>
        <v>1</v>
      </c>
      <c r="BO62" s="23">
        <f t="shared" si="10"/>
        <v>0</v>
      </c>
      <c r="BP62" s="23">
        <f>IF(VLOOKUP($Q62,武学奇术!$A:$ZZ,22,FALSE)=1,0,(1-$BI62))*(1-$BL62)</f>
        <v>0</v>
      </c>
      <c r="BQ62" s="23" cm="1">
        <f t="array" ref="BQ62">SUM(_xlfn.XLOOKUP(R62:AF62,增益!$A:$A,增益!$W:$W,0))</f>
        <v>0.13</v>
      </c>
    </row>
    <row r="63" spans="1:69">
      <c r="A63" s="4" t="s">
        <v>149</v>
      </c>
      <c r="B63" s="4">
        <v>2.3</v>
      </c>
      <c r="K63" s="36">
        <f t="shared" si="0"/>
        <v>141888.518356141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156864.670716108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129237.748044718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84791.7139005987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73851.7625828879</v>
      </c>
      <c r="P63" s="37">
        <v>1</v>
      </c>
      <c r="Q63" s="38" t="s">
        <v>134</v>
      </c>
      <c r="R63" s="38" t="s">
        <v>89</v>
      </c>
      <c r="S63" s="38" t="s">
        <v>78</v>
      </c>
      <c r="T63" s="38" t="s">
        <v>79</v>
      </c>
      <c r="U63" s="38" t="s">
        <v>80</v>
      </c>
      <c r="V63" s="38" t="s">
        <v>72</v>
      </c>
      <c r="W63" s="38" t="s">
        <v>72</v>
      </c>
      <c r="X63" s="38" t="s">
        <v>72</v>
      </c>
      <c r="Y63" s="38" t="s">
        <v>72</v>
      </c>
      <c r="Z63" s="38" t="s">
        <v>72</v>
      </c>
      <c r="AA63" s="38" t="s">
        <v>72</v>
      </c>
      <c r="AB63" s="38" t="s">
        <v>72</v>
      </c>
      <c r="AC63" s="38" t="s">
        <v>72</v>
      </c>
      <c r="AD63" s="38" t="s">
        <v>72</v>
      </c>
      <c r="AE63" s="38" t="s">
        <v>90</v>
      </c>
      <c r="AF63" s="38" t="s">
        <v>74</v>
      </c>
      <c r="AG63" t="str">
        <f>VLOOKUP($Q63,武学奇术!$A:$ZZ,25,FALSE)</f>
        <v>单体奇术</v>
      </c>
      <c r="AH63" s="23">
        <f>VLOOKUP($Q63,武学奇术!$A:$ZZ,26,FALSE)</f>
        <v>7.1064</v>
      </c>
      <c r="AI63" s="24">
        <f>VLOOKUP($Q63,武学奇术!$A:$ZZ,27,FALSE)*(1+IF(OR($AG63=$F$4,$AG63=$F$5),$B$22,0))</f>
        <v>1269</v>
      </c>
      <c r="AJ63" s="23">
        <f>VLOOKUP($Q63,武学奇术!$A:$ZZ,28,FALSE)</f>
        <v>10.6596</v>
      </c>
      <c r="AK63" s="24">
        <f>VLOOKUP($Q63,武学奇术!$A:$ZZ,29,FALSE)*(1+IF(OR($AG63=$F$4,$AG63=$F$5),$B$22,0))</f>
        <v>0</v>
      </c>
      <c r="AL63" s="23" cm="1">
        <f t="array" ref="AL63">$G$3+IFERROR(VLOOKUP($AG63,$F$4:$G$7,2,FALSE),0)+VLOOKUP($Q63,武学奇术!$A:$ZZ,2,FALSE)+SUM(_xlfn.XLOOKUP($R63:$AF63,增益!$A:$A,增益!$B:$B,0))</f>
        <v>0.633</v>
      </c>
      <c r="AM63" s="23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3018.8</v>
      </c>
      <c r="AO63" cm="1">
        <f t="array" ref="AO63">$E$10*(1+$AM63)+VLOOKUP($Q63,武学奇术!$A:$ZZ,4,FALSE)+SUM(_xlfn.XLOOKUP($R63:$AF63,增益!$A:$A,增益!$D:$D,0))-$I$2</f>
        <v>3018.8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0.352</v>
      </c>
      <c r="AQ63" s="30" cm="1">
        <f t="array" ref="AQ63">$G$10+VLOOKUP($Q63,武学奇术!$A:$ZZ,7,FALSE)+SUM(_xlfn.XLOOKUP(R63:AF63,增益!$A:$A,增益!$G:$G,0))</f>
        <v>0</v>
      </c>
      <c r="AR63" s="23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-0.08</v>
      </c>
      <c r="AV63" s="30" cm="1">
        <f t="array" ref="AV63">$G$11+VLOOKUP($Q63,武学奇术!$A:$ZZ,10,FALSE)+SUM(_xlfn.XLOOKUP(R63:AF63,增益!$A:$A,增益!$J:$J,0))</f>
        <v>0</v>
      </c>
      <c r="AW63">
        <f t="shared" si="3"/>
        <v>634.5</v>
      </c>
      <c r="AX63">
        <f t="shared" si="4"/>
        <v>1443.3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0.198</v>
      </c>
      <c r="AZ63" s="30" cm="1">
        <f t="array" ref="AZ63">$G$12+VLOOKUP($Q63,武学奇术!$A:$ZZ,12,FALSE)+SUM(_xlfn.XLOOKUP(R63:AF63,增益!$A:$A,增益!$L:$L,0))</f>
        <v>0.148</v>
      </c>
      <c r="BA63">
        <f t="shared" si="5"/>
        <v>0</v>
      </c>
      <c r="BB63">
        <f t="shared" si="6"/>
        <v>0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-0.08</v>
      </c>
      <c r="BD63" s="30" cm="1">
        <f t="array" ref="BD63">$G$13+VLOOKUP($Q63,武学奇术!$A:$ZZ,14,FALSE)+SUM(_xlfn.XLOOKUP(R63:AF63,增益!$A:$A,增益!$N:$N,0))</f>
        <v>0</v>
      </c>
      <c r="BE63">
        <f t="shared" si="7"/>
        <v>0</v>
      </c>
      <c r="BF63">
        <f t="shared" si="8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-0.08</v>
      </c>
      <c r="BH63" s="30" cm="1">
        <f t="array" ref="BH63">$G$14+VLOOKUP($Q63,武学奇术!$A:$ZZ,16,FALSE)+SUM(_xlfn.XLOOKUP(R63:AF63,增益!$A:$A,增益!$P:$P,0))</f>
        <v>0</v>
      </c>
      <c r="BI63" s="23">
        <f>MIN(IF(VLOOKUP($Q63,武学奇术!$A:$ZZ,23,FALSE)=1,100%,$B$8),100%)</f>
        <v>0.8626</v>
      </c>
      <c r="BJ63" s="23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0.8697</v>
      </c>
      <c r="BK63" s="23" cm="1">
        <f t="array" ref="BK63">1+$B$13+VLOOKUP($Q63,武学奇术!$A:$ZZ,18,FALSE)+SUM(_xlfn.XLOOKUP(R63:AF63,增益!$A:$A,增益!$R:$R,0))</f>
        <v>1.85</v>
      </c>
      <c r="BL63" s="23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0.0986</v>
      </c>
      <c r="BM63" s="23" cm="1">
        <f t="array" ref="BM63">1+$B$14+VLOOKUP($Q63,武学奇术!$A:$ZZ,20,FALSE)+SUM(_xlfn.XLOOKUP(R63:AF63,增益!$A:$A,增益!$T:$T,0))</f>
        <v>1.35</v>
      </c>
      <c r="BN63" s="23">
        <f t="shared" si="9"/>
        <v>0.75020322</v>
      </c>
      <c r="BO63" s="23">
        <f t="shared" si="10"/>
        <v>0.0273444200000001</v>
      </c>
      <c r="BP63" s="23">
        <f>IF(VLOOKUP($Q63,武学奇术!$A:$ZZ,22,FALSE)=1,0,(1-$BI63))*(1-$BL63)</f>
        <v>0.12385236</v>
      </c>
      <c r="BQ63" s="23" cm="1">
        <f t="array" ref="BQ63">SUM(_xlfn.XLOOKUP(R63:AF63,增益!$A:$A,增益!$W:$W,0))</f>
        <v>0.13</v>
      </c>
    </row>
    <row r="64" spans="1:69">
      <c r="A64" s="4" t="s">
        <v>151</v>
      </c>
      <c r="B64" s="4">
        <v>2</v>
      </c>
      <c r="K64" s="36">
        <f t="shared" si="0"/>
        <v>13221.7567528676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14683.4259083957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11752.2082606101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7728.11889915561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6750.89834600741</v>
      </c>
      <c r="P64" s="37">
        <v>1</v>
      </c>
      <c r="Q64" s="38" t="s">
        <v>102</v>
      </c>
      <c r="R64" s="38" t="s">
        <v>89</v>
      </c>
      <c r="S64" s="38" t="s">
        <v>72</v>
      </c>
      <c r="T64" s="38" t="s">
        <v>72</v>
      </c>
      <c r="U64" s="38" t="s">
        <v>111</v>
      </c>
      <c r="V64" s="38" t="s">
        <v>72</v>
      </c>
      <c r="W64" s="38" t="s">
        <v>72</v>
      </c>
      <c r="X64" s="38" t="s">
        <v>72</v>
      </c>
      <c r="Y64" s="38" t="s">
        <v>72</v>
      </c>
      <c r="Z64" s="38" t="s">
        <v>72</v>
      </c>
      <c r="AA64" s="38" t="s">
        <v>68</v>
      </c>
      <c r="AB64" s="38" t="s">
        <v>72</v>
      </c>
      <c r="AC64" s="38" t="s">
        <v>72</v>
      </c>
      <c r="AD64" s="38" t="s">
        <v>72</v>
      </c>
      <c r="AE64" s="38" t="s">
        <v>90</v>
      </c>
      <c r="AF64" s="38" t="s">
        <v>74</v>
      </c>
      <c r="AG64" t="str">
        <f>VLOOKUP($Q64,武学奇术!$A:$ZZ,25,FALSE)</f>
        <v>陌刀</v>
      </c>
      <c r="AH64" s="23">
        <f>VLOOKUP($Q64,武学奇术!$A:$ZZ,26,FALSE)</f>
        <v>0.5</v>
      </c>
      <c r="AI64" s="24">
        <f>VLOOKUP($Q64,武学奇术!$A:$ZZ,27,FALSE)*(1+IF(OR($AG64=$F$4,$AG64=$F$5),$B$22,0))</f>
        <v>0</v>
      </c>
      <c r="AJ64" s="23">
        <f>VLOOKUP($Q64,武学奇术!$A:$ZZ,28,FALSE)</f>
        <v>0.75</v>
      </c>
      <c r="AK64" s="24">
        <f>VLOOKUP($Q64,武学奇术!$A:$ZZ,29,FALSE)*(1+IF(OR($AG64=$F$4,$AG64=$F$5),$B$22,0))</f>
        <v>0</v>
      </c>
      <c r="AL64" s="23" cm="1">
        <f t="array" ref="AL64">$G$3+IFERROR(VLOOKUP($AG64,$F$4:$G$7,2,FALSE),0)+VLOOKUP($Q64,武学奇术!$A:$ZZ,2,FALSE)+SUM(_xlfn.XLOOKUP($R64:$AF64,增益!$A:$A,增益!$B:$B,0))</f>
        <v>0.683</v>
      </c>
      <c r="AM64" s="23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3018.8</v>
      </c>
      <c r="AO64" cm="1">
        <f t="array" ref="AO64">$E$10*(1+$AM64)+VLOOKUP($Q64,武学奇术!$A:$ZZ,4,FALSE)+SUM(_xlfn.XLOOKUP($R64:$AF64,增益!$A:$A,增益!$D:$D,0))-$I$2</f>
        <v>3018.8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0.377</v>
      </c>
      <c r="AQ64" s="30" cm="1">
        <f t="array" ref="AQ64">$G$10+VLOOKUP($Q64,武学奇术!$A:$ZZ,7,FALSE)+SUM(_xlfn.XLOOKUP(R64:AF64,增益!$A:$A,增益!$G:$G,0))</f>
        <v>0</v>
      </c>
      <c r="AR64" s="23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-0.24</v>
      </c>
      <c r="AV64" s="30" cm="1">
        <f t="array" ref="AV64">$G$11+VLOOKUP($Q64,武学奇术!$A:$ZZ,10,FALSE)+SUM(_xlfn.XLOOKUP(R64:AF64,增益!$A:$A,增益!$J:$J,0))</f>
        <v>0</v>
      </c>
      <c r="AW64">
        <f t="shared" si="3"/>
        <v>634.5</v>
      </c>
      <c r="AX64">
        <f t="shared" si="4"/>
        <v>1443.3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0.118</v>
      </c>
      <c r="AZ64" s="30" cm="1">
        <f t="array" ref="AZ64">$G$12+VLOOKUP($Q64,武学奇术!$A:$ZZ,12,FALSE)+SUM(_xlfn.XLOOKUP(R64:AF64,增益!$A:$A,增益!$L:$L,0))</f>
        <v>0.148</v>
      </c>
      <c r="BA64">
        <f t="shared" si="5"/>
        <v>0</v>
      </c>
      <c r="BB64">
        <f t="shared" si="6"/>
        <v>0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-0.24</v>
      </c>
      <c r="BD64" s="30" cm="1">
        <f t="array" ref="BD64">$G$13+VLOOKUP($Q64,武学奇术!$A:$ZZ,14,FALSE)+SUM(_xlfn.XLOOKUP(R64:AF64,增益!$A:$A,增益!$N:$N,0))</f>
        <v>0</v>
      </c>
      <c r="BE64">
        <f t="shared" si="7"/>
        <v>0</v>
      </c>
      <c r="BF64">
        <f t="shared" si="8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-0.24</v>
      </c>
      <c r="BH64" s="30" cm="1">
        <f t="array" ref="BH64">$G$14+VLOOKUP($Q64,武学奇术!$A:$ZZ,16,FALSE)+SUM(_xlfn.XLOOKUP(R64:AF64,增益!$A:$A,增益!$P:$P,0))</f>
        <v>0</v>
      </c>
      <c r="BI64" s="23">
        <f>MIN(IF(VLOOKUP($Q64,武学奇术!$A:$ZZ,23,FALSE)=1,100%,$B$8),100%)</f>
        <v>0.8626</v>
      </c>
      <c r="BJ64" s="23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0.8697</v>
      </c>
      <c r="BK64" s="23" cm="1">
        <f t="array" ref="BK64">1+$B$13+VLOOKUP($Q64,武学奇术!$A:$ZZ,18,FALSE)+SUM(_xlfn.XLOOKUP(R64:AF64,增益!$A:$A,增益!$R:$R,0))</f>
        <v>1.9</v>
      </c>
      <c r="BL64" s="23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0.0986</v>
      </c>
      <c r="BM64" s="23" cm="1">
        <f t="array" ref="BM64">1+$B$14+VLOOKUP($Q64,武学奇术!$A:$ZZ,20,FALSE)+SUM(_xlfn.XLOOKUP(R64:AF64,增益!$A:$A,增益!$T:$T,0))</f>
        <v>1.35</v>
      </c>
      <c r="BN64" s="23">
        <f t="shared" si="9"/>
        <v>0.75020322</v>
      </c>
      <c r="BO64" s="23">
        <f t="shared" si="10"/>
        <v>0.0273444200000001</v>
      </c>
      <c r="BP64" s="23">
        <f>IF(VLOOKUP($Q64,武学奇术!$A:$ZZ,22,FALSE)=1,0,(1-$BI64))*(1-$BL64)</f>
        <v>0.12385236</v>
      </c>
      <c r="BQ64" s="23" cm="1">
        <f t="array" ref="BQ64">SUM(_xlfn.XLOOKUP(R64:AF64,增益!$A:$A,增益!$W:$W,0))</f>
        <v>0.13</v>
      </c>
    </row>
    <row r="65" spans="1:69">
      <c r="A65" s="4" t="s">
        <v>152</v>
      </c>
      <c r="B65" s="4">
        <v>3.3</v>
      </c>
      <c r="K65" s="36">
        <f t="shared" si="0"/>
        <v>23799.1621551616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26430.1666351122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21153.9748690982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13910.6140184801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12151.6170228133</v>
      </c>
      <c r="P65" s="37">
        <v>1</v>
      </c>
      <c r="Q65" s="38" t="s">
        <v>136</v>
      </c>
      <c r="R65" s="38" t="s">
        <v>89</v>
      </c>
      <c r="S65" s="38" t="s">
        <v>72</v>
      </c>
      <c r="T65" s="38" t="s">
        <v>72</v>
      </c>
      <c r="U65" s="38" t="s">
        <v>111</v>
      </c>
      <c r="V65" s="38" t="s">
        <v>72</v>
      </c>
      <c r="W65" s="38" t="s">
        <v>72</v>
      </c>
      <c r="X65" s="38" t="s">
        <v>72</v>
      </c>
      <c r="Y65" s="38" t="s">
        <v>72</v>
      </c>
      <c r="Z65" s="38" t="s">
        <v>72</v>
      </c>
      <c r="AA65" s="38" t="s">
        <v>68</v>
      </c>
      <c r="AB65" s="38" t="s">
        <v>72</v>
      </c>
      <c r="AC65" s="38" t="s">
        <v>72</v>
      </c>
      <c r="AD65" s="38" t="s">
        <v>72</v>
      </c>
      <c r="AE65" s="38" t="s">
        <v>90</v>
      </c>
      <c r="AF65" s="38" t="s">
        <v>74</v>
      </c>
      <c r="AG65" t="str">
        <f>VLOOKUP($Q65,武学奇术!$A:$ZZ,25,FALSE)</f>
        <v>陌刀</v>
      </c>
      <c r="AH65" s="23">
        <f>VLOOKUP($Q65,武学奇术!$A:$ZZ,26,FALSE)</f>
        <v>0.9</v>
      </c>
      <c r="AI65" s="24">
        <f>VLOOKUP($Q65,武学奇术!$A:$ZZ,27,FALSE)*(1+IF(OR($AG65=$F$4,$AG65=$F$5),$B$22,0))</f>
        <v>0</v>
      </c>
      <c r="AJ65" s="23">
        <f>VLOOKUP($Q65,武学奇术!$A:$ZZ,28,FALSE)</f>
        <v>1.35</v>
      </c>
      <c r="AK65" s="24">
        <f>VLOOKUP($Q65,武学奇术!$A:$ZZ,29,FALSE)*(1+IF(OR($AG65=$F$4,$AG65=$F$5),$B$22,0))</f>
        <v>0</v>
      </c>
      <c r="AL65" s="23" cm="1">
        <f t="array" ref="AL65">$G$3+IFERROR(VLOOKUP($AG65,$F$4:$G$7,2,FALSE),0)+VLOOKUP($Q65,武学奇术!$A:$ZZ,2,FALSE)+SUM(_xlfn.XLOOKUP($R65:$AF65,增益!$A:$A,增益!$B:$B,0))</f>
        <v>0.683</v>
      </c>
      <c r="AM65" s="23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3018.8</v>
      </c>
      <c r="AO65" cm="1">
        <f t="array" ref="AO65">$E$10*(1+$AM65)+VLOOKUP($Q65,武学奇术!$A:$ZZ,4,FALSE)+SUM(_xlfn.XLOOKUP($R65:$AF65,增益!$A:$A,增益!$D:$D,0))-$I$2</f>
        <v>3018.8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0.377</v>
      </c>
      <c r="AQ65" s="30" cm="1">
        <f t="array" ref="AQ65">$G$10+VLOOKUP($Q65,武学奇术!$A:$ZZ,7,FALSE)+SUM(_xlfn.XLOOKUP(R65:AF65,增益!$A:$A,增益!$G:$G,0))</f>
        <v>0</v>
      </c>
      <c r="AR65" s="23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-0.24</v>
      </c>
      <c r="AV65" s="30" cm="1">
        <f t="array" ref="AV65">$G$11+VLOOKUP($Q65,武学奇术!$A:$ZZ,10,FALSE)+SUM(_xlfn.XLOOKUP(R65:AF65,增益!$A:$A,增益!$J:$J,0))</f>
        <v>0</v>
      </c>
      <c r="AW65">
        <f t="shared" si="3"/>
        <v>634.5</v>
      </c>
      <c r="AX65">
        <f t="shared" si="4"/>
        <v>1443.3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0.118</v>
      </c>
      <c r="AZ65" s="30" cm="1">
        <f t="array" ref="AZ65">$G$12+VLOOKUP($Q65,武学奇术!$A:$ZZ,12,FALSE)+SUM(_xlfn.XLOOKUP(R65:AF65,增益!$A:$A,增益!$L:$L,0))</f>
        <v>0.148</v>
      </c>
      <c r="BA65">
        <f t="shared" si="5"/>
        <v>0</v>
      </c>
      <c r="BB65">
        <f t="shared" si="6"/>
        <v>0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-0.24</v>
      </c>
      <c r="BD65" s="30" cm="1">
        <f t="array" ref="BD65">$G$13+VLOOKUP($Q65,武学奇术!$A:$ZZ,14,FALSE)+SUM(_xlfn.XLOOKUP(R65:AF65,增益!$A:$A,增益!$N:$N,0))</f>
        <v>0</v>
      </c>
      <c r="BE65">
        <f t="shared" si="7"/>
        <v>0</v>
      </c>
      <c r="BF65">
        <f t="shared" si="8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-0.24</v>
      </c>
      <c r="BH65" s="30" cm="1">
        <f t="array" ref="BH65">$G$14+VLOOKUP($Q65,武学奇术!$A:$ZZ,16,FALSE)+SUM(_xlfn.XLOOKUP(R65:AF65,增益!$A:$A,增益!$P:$P,0))</f>
        <v>0</v>
      </c>
      <c r="BI65" s="23">
        <f>MIN(IF(VLOOKUP($Q65,武学奇术!$A:$ZZ,23,FALSE)=1,100%,$B$8),100%)</f>
        <v>0.8626</v>
      </c>
      <c r="BJ65" s="23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0.8697</v>
      </c>
      <c r="BK65" s="23" cm="1">
        <f t="array" ref="BK65">1+$B$13+VLOOKUP($Q65,武学奇术!$A:$ZZ,18,FALSE)+SUM(_xlfn.XLOOKUP(R65:AF65,增益!$A:$A,增益!$R:$R,0))</f>
        <v>1.9</v>
      </c>
      <c r="BL65" s="23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0.0986</v>
      </c>
      <c r="BM65" s="23" cm="1">
        <f t="array" ref="BM65">1+$B$14+VLOOKUP($Q65,武学奇术!$A:$ZZ,20,FALSE)+SUM(_xlfn.XLOOKUP(R65:AF65,增益!$A:$A,增益!$T:$T,0))</f>
        <v>1.35</v>
      </c>
      <c r="BN65" s="23">
        <f t="shared" si="9"/>
        <v>0.75020322</v>
      </c>
      <c r="BO65" s="23">
        <f t="shared" si="10"/>
        <v>0.0273444200000001</v>
      </c>
      <c r="BP65" s="23">
        <f>IF(VLOOKUP($Q65,武学奇术!$A:$ZZ,22,FALSE)=1,0,(1-$BI65))*(1-$BL65)</f>
        <v>0.12385236</v>
      </c>
      <c r="BQ65" s="23" cm="1">
        <f t="array" ref="BQ65">SUM(_xlfn.XLOOKUP(R65:AF65,增益!$A:$A,增益!$W:$W,0))</f>
        <v>0.13</v>
      </c>
    </row>
    <row r="66" spans="1:69">
      <c r="A66" s="4" t="s">
        <v>156</v>
      </c>
      <c r="B66" s="4">
        <v>1.1</v>
      </c>
      <c r="K66" s="36">
        <f t="shared" ref="K66:K101" si="11">($L66*$BN66+$M66*$BL66+$N66*$BO66+$O66*$BP66)</f>
        <v>173047.758682825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192194.549660738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151685.604049798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101155.02613723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89950.3455709069</v>
      </c>
      <c r="P66" s="37">
        <v>1</v>
      </c>
      <c r="Q66" s="38" t="s">
        <v>137</v>
      </c>
      <c r="R66" s="38" t="s">
        <v>89</v>
      </c>
      <c r="S66" s="38" t="s">
        <v>72</v>
      </c>
      <c r="T66" s="38" t="s">
        <v>72</v>
      </c>
      <c r="U66" s="38" t="s">
        <v>111</v>
      </c>
      <c r="V66" s="38" t="s">
        <v>72</v>
      </c>
      <c r="W66" s="38" t="s">
        <v>72</v>
      </c>
      <c r="X66" s="38" t="s">
        <v>72</v>
      </c>
      <c r="Y66" s="38" t="s">
        <v>72</v>
      </c>
      <c r="Z66" s="38" t="s">
        <v>72</v>
      </c>
      <c r="AA66" s="38" t="s">
        <v>68</v>
      </c>
      <c r="AB66" s="38" t="s">
        <v>72</v>
      </c>
      <c r="AC66" s="38" t="s">
        <v>72</v>
      </c>
      <c r="AD66" s="38" t="s">
        <v>72</v>
      </c>
      <c r="AE66" s="38" t="s">
        <v>90</v>
      </c>
      <c r="AF66" s="38" t="s">
        <v>74</v>
      </c>
      <c r="AG66" t="str">
        <f>VLOOKUP($Q66,武学奇术!$A:$ZZ,25,FALSE)</f>
        <v>陌刀</v>
      </c>
      <c r="AH66" s="23">
        <f>VLOOKUP($Q66,武学奇术!$A:$ZZ,26,FALSE)</f>
        <v>5.733</v>
      </c>
      <c r="AI66" s="24">
        <f>VLOOKUP($Q66,武学奇术!$A:$ZZ,27,FALSE)*(1+IF(OR($AG66=$F$4,$AG66=$F$5),$B$22,0))</f>
        <v>2060.5</v>
      </c>
      <c r="AJ66" s="23">
        <f>VLOOKUP($Q66,武学奇术!$A:$ZZ,28,FALSE)</f>
        <v>8.5994</v>
      </c>
      <c r="AK66" s="24">
        <f>VLOOKUP($Q66,武学奇术!$A:$ZZ,29,FALSE)*(1+IF(OR($AG66=$F$4,$AG66=$F$5),$B$22,0))</f>
        <v>1121.9</v>
      </c>
      <c r="AL66" s="23" cm="1">
        <f t="array" ref="AL66">$G$3+IFERROR(VLOOKUP($AG66,$F$4:$G$7,2,FALSE),0)+VLOOKUP($Q66,武学奇术!$A:$ZZ,2,FALSE)+SUM(_xlfn.XLOOKUP($R66:$AF66,增益!$A:$A,增益!$B:$B,0))</f>
        <v>0.683</v>
      </c>
      <c r="AM66" s="23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3018.8</v>
      </c>
      <c r="AO66" cm="1">
        <f t="array" ref="AO66">$E$10*(1+$AM66)+VLOOKUP($Q66,武学奇术!$A:$ZZ,4,FALSE)+SUM(_xlfn.XLOOKUP($R66:$AF66,增益!$A:$A,增益!$D:$D,0))-$I$2</f>
        <v>3018.8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0.377</v>
      </c>
      <c r="AQ66" s="30" cm="1">
        <f t="array" ref="AQ66">$G$10+VLOOKUP($Q66,武学奇术!$A:$ZZ,7,FALSE)+SUM(_xlfn.XLOOKUP(R66:AF66,增益!$A:$A,增益!$G:$G,0))</f>
        <v>0</v>
      </c>
      <c r="AR66" s="23" cm="1">
        <f t="array" ref="AR66">VLOOKUP($Q66,武学奇术!$A:$ZZ,8,FALSE)+SUM(_xlfn.XLOOKUP(R66:AF66,增益!$A:$A,增益!$H:$H,0))</f>
        <v>0</v>
      </c>
      <c r="AS66">
        <f t="shared" ref="AS66:AS101" si="12">$D$11*(1+$AR66)</f>
        <v>0</v>
      </c>
      <c r="AT66">
        <f t="shared" ref="AT66:AT101" si="13">$E$11*(1+$AR66)</f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-0.24</v>
      </c>
      <c r="AV66" s="30" cm="1">
        <f t="array" ref="AV66">$G$11+VLOOKUP($Q66,武学奇术!$A:$ZZ,10,FALSE)+SUM(_xlfn.XLOOKUP(R66:AF66,增益!$A:$A,增益!$J:$J,0))</f>
        <v>0</v>
      </c>
      <c r="AW66">
        <f t="shared" ref="AW66:AW101" si="14">$D$12*(1+$AR66)</f>
        <v>634.5</v>
      </c>
      <c r="AX66">
        <f t="shared" ref="AX66:AX101" si="15">$E$12*(1+$AR66)</f>
        <v>1443.3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0.118</v>
      </c>
      <c r="AZ66" s="30" cm="1">
        <f t="array" ref="AZ66">$G$12+VLOOKUP($Q66,武学奇术!$A:$ZZ,12,FALSE)+SUM(_xlfn.XLOOKUP(R66:AF66,增益!$A:$A,增益!$L:$L,0))</f>
        <v>0.148</v>
      </c>
      <c r="BA66">
        <f t="shared" ref="BA66:BA101" si="16">$D$13*(1+$AR66)</f>
        <v>0</v>
      </c>
      <c r="BB66">
        <f t="shared" ref="BB66:BB101" si="17">$E$13*(1+$AR66)</f>
        <v>0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-0.24</v>
      </c>
      <c r="BD66" s="30" cm="1">
        <f t="array" ref="BD66">$G$13+VLOOKUP($Q66,武学奇术!$A:$ZZ,14,FALSE)+SUM(_xlfn.XLOOKUP(R66:AF66,增益!$A:$A,增益!$N:$N,0))</f>
        <v>0</v>
      </c>
      <c r="BE66">
        <f t="shared" ref="BE66:BE101" si="18">$D$14*(1+$AR66)</f>
        <v>0</v>
      </c>
      <c r="BF66">
        <f t="shared" ref="BF66:BF101" si="19">$E$14*(1+$AR66)</f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-0.24</v>
      </c>
      <c r="BH66" s="30" cm="1">
        <f t="array" ref="BH66">$G$14+VLOOKUP($Q66,武学奇术!$A:$ZZ,16,FALSE)+SUM(_xlfn.XLOOKUP(R66:AF66,增益!$A:$A,增益!$P:$P,0))</f>
        <v>0</v>
      </c>
      <c r="BI66" s="23">
        <f>MIN(IF(VLOOKUP($Q66,武学奇术!$A:$ZZ,23,FALSE)=1,100%,$B$8),100%)</f>
        <v>0.8626</v>
      </c>
      <c r="BJ66" s="23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0.8697</v>
      </c>
      <c r="BK66" s="23" cm="1">
        <f t="array" ref="BK66">1+$B$13+VLOOKUP($Q66,武学奇术!$A:$ZZ,18,FALSE)+SUM(_xlfn.XLOOKUP(R66:AF66,增益!$A:$A,增益!$R:$R,0))</f>
        <v>1.9</v>
      </c>
      <c r="BL66" s="23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0.0986</v>
      </c>
      <c r="BM66" s="23" cm="1">
        <f t="array" ref="BM66">1+$B$14+VLOOKUP($Q66,武学奇术!$A:$ZZ,20,FALSE)+SUM(_xlfn.XLOOKUP(R66:AF66,增益!$A:$A,增益!$T:$T,0))</f>
        <v>1.35</v>
      </c>
      <c r="BN66" s="23">
        <f t="shared" ref="BN66:BN101" si="20">MIN((1-BL66)*BI66,BI66*BJ66)</f>
        <v>0.75020322</v>
      </c>
      <c r="BO66" s="23">
        <f t="shared" ref="BO66:BO101" si="21">1-BL66-BN66-BP66</f>
        <v>0.0273444200000001</v>
      </c>
      <c r="BP66" s="23">
        <f>IF(VLOOKUP($Q66,武学奇术!$A:$ZZ,22,FALSE)=1,0,(1-$BI66))*(1-$BL66)</f>
        <v>0.12385236</v>
      </c>
      <c r="BQ66" s="23" cm="1">
        <f t="array" ref="BQ66">SUM(_xlfn.XLOOKUP(R66:AF66,增益!$A:$A,增益!$W:$W,0))</f>
        <v>0.13</v>
      </c>
    </row>
    <row r="67" spans="1:69">
      <c r="A67" t="s">
        <v>145</v>
      </c>
      <c r="B67" s="4">
        <v>0.2</v>
      </c>
      <c r="K67" s="36">
        <f t="shared" si="11"/>
        <v>81081.3317720913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90434.1664947231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70216.9665347114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46376.4956383196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40740.4234731492</v>
      </c>
      <c r="P67" s="37">
        <v>3</v>
      </c>
      <c r="Q67" s="38" t="s">
        <v>70</v>
      </c>
      <c r="R67" s="38" t="s">
        <v>89</v>
      </c>
      <c r="S67" s="38" t="s">
        <v>72</v>
      </c>
      <c r="T67" s="38" t="s">
        <v>72</v>
      </c>
      <c r="U67" s="38" t="s">
        <v>80</v>
      </c>
      <c r="V67" s="38" t="s">
        <v>72</v>
      </c>
      <c r="W67" s="38" t="s">
        <v>72</v>
      </c>
      <c r="X67" s="38" t="s">
        <v>122</v>
      </c>
      <c r="Y67" s="38" t="s">
        <v>72</v>
      </c>
      <c r="Z67" s="38" t="s">
        <v>72</v>
      </c>
      <c r="AA67" s="38" t="s">
        <v>72</v>
      </c>
      <c r="AB67" s="38" t="s">
        <v>72</v>
      </c>
      <c r="AC67" s="38" t="s">
        <v>72</v>
      </c>
      <c r="AD67" s="38" t="s">
        <v>72</v>
      </c>
      <c r="AE67" s="38" t="s">
        <v>90</v>
      </c>
      <c r="AF67" s="38" t="s">
        <v>74</v>
      </c>
      <c r="AG67" t="str">
        <f>VLOOKUP($Q67,武学奇术!$A:$ZZ,25,FALSE)</f>
        <v>群体奇术</v>
      </c>
      <c r="AH67" s="23">
        <f>VLOOKUP($Q67,武学奇术!$A:$ZZ,26,FALSE)</f>
        <v>1.4902</v>
      </c>
      <c r="AI67" s="24">
        <f>VLOOKUP($Q67,武学奇术!$A:$ZZ,27,FALSE)*(1+IF(OR($AG67=$F$4,$AG67=$F$5),$B$22,0))</f>
        <v>358</v>
      </c>
      <c r="AJ67" s="23">
        <f>VLOOKUP($Q67,武学奇术!$A:$ZZ,28,FALSE)</f>
        <v>2.2353</v>
      </c>
      <c r="AK67" s="24">
        <f>VLOOKUP($Q67,武学奇术!$A:$ZZ,29,FALSE)*(1+IF(OR($AG67=$F$4,$AG67=$F$5),$B$22,0))</f>
        <v>0</v>
      </c>
      <c r="AL67" s="23" cm="1">
        <f t="array" ref="AL67">$G$3+IFERROR(VLOOKUP($AG67,$F$4:$G$7,2,FALSE),0)+VLOOKUP($Q67,武学奇术!$A:$ZZ,2,FALSE)+SUM(_xlfn.XLOOKUP($R67:$AF67,增益!$A:$A,增益!$B:$B,0))</f>
        <v>0.433</v>
      </c>
      <c r="AM67" s="23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3018.8</v>
      </c>
      <c r="AO67" cm="1">
        <f t="array" ref="AO67">$E$10*(1+$AM67)+VLOOKUP($Q67,武学奇术!$A:$ZZ,4,FALSE)+SUM(_xlfn.XLOOKUP($R67:$AF67,增益!$A:$A,增益!$D:$D,0))-$I$2</f>
        <v>3018.8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0.352</v>
      </c>
      <c r="AQ67" s="30" cm="1">
        <f t="array" ref="AQ67">$G$10+VLOOKUP($Q67,武学奇术!$A:$ZZ,7,FALSE)+SUM(_xlfn.XLOOKUP(R67:AF67,增益!$A:$A,增益!$G:$G,0))</f>
        <v>0</v>
      </c>
      <c r="AR67" s="23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-0.24</v>
      </c>
      <c r="AV67" s="30" cm="1">
        <f t="array" ref="AV67">$G$11+VLOOKUP($Q67,武学奇术!$A:$ZZ,10,FALSE)+SUM(_xlfn.XLOOKUP(R67:AF67,增益!$A:$A,增益!$J:$J,0))</f>
        <v>0</v>
      </c>
      <c r="AW67">
        <f t="shared" si="14"/>
        <v>634.5</v>
      </c>
      <c r="AX67">
        <f t="shared" si="15"/>
        <v>1443.3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0.118</v>
      </c>
      <c r="AZ67" s="30" cm="1">
        <f t="array" ref="AZ67">$G$12+VLOOKUP($Q67,武学奇术!$A:$ZZ,12,FALSE)+SUM(_xlfn.XLOOKUP(R67:AF67,增益!$A:$A,增益!$L:$L,0))</f>
        <v>0.148</v>
      </c>
      <c r="BA67">
        <f t="shared" si="16"/>
        <v>0</v>
      </c>
      <c r="BB67">
        <f t="shared" si="17"/>
        <v>0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-0.24</v>
      </c>
      <c r="BD67" s="30" cm="1">
        <f t="array" ref="BD67">$G$13+VLOOKUP($Q67,武学奇术!$A:$ZZ,14,FALSE)+SUM(_xlfn.XLOOKUP(R67:AF67,增益!$A:$A,增益!$N:$N,0))</f>
        <v>0</v>
      </c>
      <c r="BE67">
        <f t="shared" si="18"/>
        <v>0</v>
      </c>
      <c r="BF67">
        <f t="shared" si="19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-0.24</v>
      </c>
      <c r="BH67" s="30" cm="1">
        <f t="array" ref="BH67">$G$14+VLOOKUP($Q67,武学奇术!$A:$ZZ,16,FALSE)+SUM(_xlfn.XLOOKUP(R67:AF67,增益!$A:$A,增益!$P:$P,0))</f>
        <v>0</v>
      </c>
      <c r="BI67" s="23">
        <f>MIN(IF(VLOOKUP($Q67,武学奇术!$A:$ZZ,23,FALSE)=1,100%,$B$8),100%)</f>
        <v>0.8626</v>
      </c>
      <c r="BJ67" s="23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0.8697</v>
      </c>
      <c r="BK67" s="23" cm="1">
        <f t="array" ref="BK67">1+$B$13+VLOOKUP($Q67,武学奇术!$A:$ZZ,18,FALSE)+SUM(_xlfn.XLOOKUP(R67:AF67,增益!$A:$A,增益!$R:$R,0))</f>
        <v>1.95</v>
      </c>
      <c r="BL67" s="23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0.0986</v>
      </c>
      <c r="BM67" s="23" cm="1">
        <f t="array" ref="BM67">1+$B$14+VLOOKUP($Q67,武学奇术!$A:$ZZ,20,FALSE)+SUM(_xlfn.XLOOKUP(R67:AF67,增益!$A:$A,增益!$T:$T,0))</f>
        <v>1.35</v>
      </c>
      <c r="BN67" s="23">
        <f t="shared" si="20"/>
        <v>0.75020322</v>
      </c>
      <c r="BO67" s="23">
        <f t="shared" si="21"/>
        <v>0.0273444200000001</v>
      </c>
      <c r="BP67" s="23">
        <f>IF(VLOOKUP($Q67,武学奇术!$A:$ZZ,22,FALSE)=1,0,(1-$BI67))*(1-$BL67)</f>
        <v>0.12385236</v>
      </c>
      <c r="BQ67" s="23" cm="1">
        <f t="array" ref="BQ67">SUM(_xlfn.XLOOKUP(R67:AF67,增益!$A:$A,增益!$W:$W,0))</f>
        <v>0.13</v>
      </c>
    </row>
    <row r="68" spans="1:69">
      <c r="A68" t="s">
        <v>143</v>
      </c>
      <c r="B68">
        <v>1</v>
      </c>
      <c r="C68" t="s">
        <v>157</v>
      </c>
      <c r="K68" s="36">
        <f t="shared" si="11"/>
        <v>58837.7805779777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65624.7933855513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50953.9049189941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33653.7401977186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29563.8471221083</v>
      </c>
      <c r="P68" s="37">
        <v>2</v>
      </c>
      <c r="Q68" s="38" t="s">
        <v>70</v>
      </c>
      <c r="R68" s="38" t="s">
        <v>89</v>
      </c>
      <c r="S68" s="38" t="s">
        <v>72</v>
      </c>
      <c r="T68" s="38" t="s">
        <v>72</v>
      </c>
      <c r="U68" s="38" t="s">
        <v>80</v>
      </c>
      <c r="V68" s="38" t="s">
        <v>72</v>
      </c>
      <c r="W68" s="38" t="s">
        <v>72</v>
      </c>
      <c r="X68" s="38" t="s">
        <v>122</v>
      </c>
      <c r="Y68" s="38" t="s">
        <v>147</v>
      </c>
      <c r="Z68" s="38" t="s">
        <v>72</v>
      </c>
      <c r="AA68" s="38" t="s">
        <v>72</v>
      </c>
      <c r="AB68" s="38" t="s">
        <v>72</v>
      </c>
      <c r="AC68" s="38" t="s">
        <v>72</v>
      </c>
      <c r="AD68" s="38" t="s">
        <v>72</v>
      </c>
      <c r="AE68" s="38" t="s">
        <v>90</v>
      </c>
      <c r="AF68" s="38" t="s">
        <v>74</v>
      </c>
      <c r="AG68" t="str">
        <f>VLOOKUP($Q68,武学奇术!$A:$ZZ,25,FALSE)</f>
        <v>群体奇术</v>
      </c>
      <c r="AH68" s="23">
        <f>VLOOKUP($Q68,武学奇术!$A:$ZZ,26,FALSE)</f>
        <v>1.4902</v>
      </c>
      <c r="AI68" s="24">
        <f>VLOOKUP($Q68,武学奇术!$A:$ZZ,27,FALSE)*(1+IF(OR($AG68=$F$4,$AG68=$F$5),$B$22,0))</f>
        <v>358</v>
      </c>
      <c r="AJ68" s="23">
        <f>VLOOKUP($Q68,武学奇术!$A:$ZZ,28,FALSE)</f>
        <v>2.2353</v>
      </c>
      <c r="AK68" s="24">
        <f>VLOOKUP($Q68,武学奇术!$A:$ZZ,29,FALSE)*(1+IF(OR($AG68=$F$4,$AG68=$F$5),$B$22,0))</f>
        <v>0</v>
      </c>
      <c r="AL68" s="23" cm="1">
        <f t="array" ref="AL68">$G$3+IFERROR(VLOOKUP($AG68,$F$4:$G$7,2,FALSE),0)+VLOOKUP($Q68,武学奇术!$A:$ZZ,2,FALSE)+SUM(_xlfn.XLOOKUP($R68:$AF68,增益!$A:$A,增益!$B:$B,0))</f>
        <v>0.433</v>
      </c>
      <c r="AM68" s="23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3018.8</v>
      </c>
      <c r="AO68" cm="1">
        <f t="array" ref="AO68">$E$10*(1+$AM68)+VLOOKUP($Q68,武学奇术!$A:$ZZ,4,FALSE)+SUM(_xlfn.XLOOKUP($R68:$AF68,增益!$A:$A,增益!$D:$D,0))-$I$2</f>
        <v>3018.8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0.352</v>
      </c>
      <c r="AQ68" s="30" cm="1">
        <f t="array" ref="AQ68">$G$10+VLOOKUP($Q68,武学奇术!$A:$ZZ,7,FALSE)+SUM(_xlfn.XLOOKUP(R68:AF68,增益!$A:$A,增益!$G:$G,0))</f>
        <v>0</v>
      </c>
      <c r="AR68" s="23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-0.24</v>
      </c>
      <c r="AV68" s="30" cm="1">
        <f t="array" ref="AV68">$G$11+VLOOKUP($Q68,武学奇术!$A:$ZZ,10,FALSE)+SUM(_xlfn.XLOOKUP(R68:AF68,增益!$A:$A,增益!$J:$J,0))</f>
        <v>0</v>
      </c>
      <c r="AW68">
        <f t="shared" si="14"/>
        <v>634.5</v>
      </c>
      <c r="AX68">
        <f t="shared" si="15"/>
        <v>1443.3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0.118</v>
      </c>
      <c r="AZ68" s="30" cm="1">
        <f t="array" ref="AZ68">$G$12+VLOOKUP($Q68,武学奇术!$A:$ZZ,12,FALSE)+SUM(_xlfn.XLOOKUP(R68:AF68,增益!$A:$A,增益!$L:$L,0))</f>
        <v>0.148</v>
      </c>
      <c r="BA68">
        <f t="shared" si="16"/>
        <v>0</v>
      </c>
      <c r="BB68">
        <f t="shared" si="17"/>
        <v>0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-0.24</v>
      </c>
      <c r="BD68" s="30" cm="1">
        <f t="array" ref="BD68">$G$13+VLOOKUP($Q68,武学奇术!$A:$ZZ,14,FALSE)+SUM(_xlfn.XLOOKUP(R68:AF68,增益!$A:$A,增益!$N:$N,0))</f>
        <v>0</v>
      </c>
      <c r="BE68">
        <f t="shared" si="18"/>
        <v>0</v>
      </c>
      <c r="BF68">
        <f t="shared" si="19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-0.24</v>
      </c>
      <c r="BH68" s="30" cm="1">
        <f t="array" ref="BH68">$G$14+VLOOKUP($Q68,武学奇术!$A:$ZZ,16,FALSE)+SUM(_xlfn.XLOOKUP(R68:AF68,增益!$A:$A,增益!$P:$P,0))</f>
        <v>0</v>
      </c>
      <c r="BI68" s="23">
        <f>MIN(IF(VLOOKUP($Q68,武学奇术!$A:$ZZ,23,FALSE)=1,100%,$B$8),100%)</f>
        <v>0.8626</v>
      </c>
      <c r="BJ68" s="23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0.8697</v>
      </c>
      <c r="BK68" s="23" cm="1">
        <f t="array" ref="BK68">1+$B$13+VLOOKUP($Q68,武学奇术!$A:$ZZ,18,FALSE)+SUM(_xlfn.XLOOKUP(R68:AF68,增益!$A:$A,增益!$R:$R,0))</f>
        <v>1.95</v>
      </c>
      <c r="BL68" s="23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0.0986</v>
      </c>
      <c r="BM68" s="23" cm="1">
        <f t="array" ref="BM68">1+$B$14+VLOOKUP($Q68,武学奇术!$A:$ZZ,20,FALSE)+SUM(_xlfn.XLOOKUP(R68:AF68,增益!$A:$A,增益!$T:$T,0))</f>
        <v>1.35</v>
      </c>
      <c r="BN68" s="23">
        <f t="shared" si="20"/>
        <v>0.75020322</v>
      </c>
      <c r="BO68" s="23">
        <f t="shared" si="21"/>
        <v>0.0273444200000001</v>
      </c>
      <c r="BP68" s="23">
        <f>IF(VLOOKUP($Q68,武学奇术!$A:$ZZ,22,FALSE)=1,0,(1-$BI68))*(1-$BL68)</f>
        <v>0.12385236</v>
      </c>
      <c r="BQ68" s="23" cm="1">
        <f t="array" ref="BQ68">SUM(_xlfn.XLOOKUP(R68:AF68,增益!$A:$A,增益!$W:$W,0))</f>
        <v>0.23</v>
      </c>
    </row>
    <row r="69" spans="1:69">
      <c r="A69" t="s">
        <v>140</v>
      </c>
      <c r="B69">
        <v>1.3</v>
      </c>
      <c r="K69" s="36">
        <f t="shared" si="11"/>
        <v>25682.9319061516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28646.9231019231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22055.4299107542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14690.729795858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13044.1041022684</v>
      </c>
      <c r="P69" s="37">
        <v>1</v>
      </c>
      <c r="Q69" s="38" t="s">
        <v>143</v>
      </c>
      <c r="R69" s="38" t="s">
        <v>89</v>
      </c>
      <c r="S69" s="38" t="s">
        <v>72</v>
      </c>
      <c r="T69" s="38" t="s">
        <v>72</v>
      </c>
      <c r="U69" s="38" t="s">
        <v>80</v>
      </c>
      <c r="V69" s="38" t="s">
        <v>72</v>
      </c>
      <c r="W69" s="38" t="s">
        <v>72</v>
      </c>
      <c r="X69" s="38" t="s">
        <v>122</v>
      </c>
      <c r="Y69" s="38" t="s">
        <v>72</v>
      </c>
      <c r="Z69" s="38" t="s">
        <v>72</v>
      </c>
      <c r="AA69" s="38" t="s">
        <v>72</v>
      </c>
      <c r="AB69" s="38" t="s">
        <v>72</v>
      </c>
      <c r="AC69" s="38" t="s">
        <v>72</v>
      </c>
      <c r="AD69" s="38" t="s">
        <v>72</v>
      </c>
      <c r="AE69" s="38" t="s">
        <v>90</v>
      </c>
      <c r="AF69" s="38" t="s">
        <v>74</v>
      </c>
      <c r="AG69" t="str">
        <f>VLOOKUP($Q69,武学奇术!$A:$ZZ,25,FALSE)</f>
        <v>横刀</v>
      </c>
      <c r="AH69" s="23">
        <f>VLOOKUP($Q69,武学奇术!$A:$ZZ,26,FALSE)</f>
        <v>1.2338</v>
      </c>
      <c r="AI69" s="24">
        <f>VLOOKUP($Q69,武学奇术!$A:$ZZ,27,FALSE)*(1+IF(OR($AG69=$F$4,$AG69=$F$5),$B$22,0))</f>
        <v>444.6</v>
      </c>
      <c r="AJ69" s="23">
        <f>VLOOKUP($Q69,武学奇术!$A:$ZZ,28,FALSE)</f>
        <v>1.8507</v>
      </c>
      <c r="AK69" s="24">
        <f>VLOOKUP($Q69,武学奇术!$A:$ZZ,29,FALSE)*(1+IF(OR($AG69=$F$4,$AG69=$F$5),$B$22,0))</f>
        <v>241.8</v>
      </c>
      <c r="AL69" s="23" cm="1">
        <f t="array" ref="AL69">$G$3+IFERROR(VLOOKUP($AG69,$F$4:$G$7,2,FALSE),0)+VLOOKUP($Q69,武学奇术!$A:$ZZ,2,FALSE)+SUM(_xlfn.XLOOKUP($R69:$AF69,增益!$A:$A,增益!$B:$B,0))</f>
        <v>0.517</v>
      </c>
      <c r="AM69" s="23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3018.8</v>
      </c>
      <c r="AO69" cm="1">
        <f t="array" ref="AO69">$E$10*(1+$AM69)+VLOOKUP($Q69,武学奇术!$A:$ZZ,4,FALSE)+SUM(_xlfn.XLOOKUP($R69:$AF69,增益!$A:$A,增益!$D:$D,0))-$I$2</f>
        <v>3018.8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0.352</v>
      </c>
      <c r="AQ69" s="30" cm="1">
        <f t="array" ref="AQ69">$G$10+VLOOKUP($Q69,武学奇术!$A:$ZZ,7,FALSE)+SUM(_xlfn.XLOOKUP(R69:AF69,增益!$A:$A,增益!$G:$G,0))</f>
        <v>0</v>
      </c>
      <c r="AR69" s="23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-0.24</v>
      </c>
      <c r="AV69" s="30" cm="1">
        <f t="array" ref="AV69">$G$11+VLOOKUP($Q69,武学奇术!$A:$ZZ,10,FALSE)+SUM(_xlfn.XLOOKUP(R69:AF69,增益!$A:$A,增益!$J:$J,0))</f>
        <v>0</v>
      </c>
      <c r="AW69">
        <f t="shared" si="14"/>
        <v>634.5</v>
      </c>
      <c r="AX69">
        <f t="shared" si="15"/>
        <v>1443.3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0.118</v>
      </c>
      <c r="AZ69" s="30" cm="1">
        <f t="array" ref="AZ69">$G$12+VLOOKUP($Q69,武学奇术!$A:$ZZ,12,FALSE)+SUM(_xlfn.XLOOKUP(R69:AF69,增益!$A:$A,增益!$L:$L,0))</f>
        <v>0.148</v>
      </c>
      <c r="BA69">
        <f t="shared" si="16"/>
        <v>0</v>
      </c>
      <c r="BB69">
        <f t="shared" si="17"/>
        <v>0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-0.24</v>
      </c>
      <c r="BD69" s="30" cm="1">
        <f t="array" ref="BD69">$G$13+VLOOKUP($Q69,武学奇术!$A:$ZZ,14,FALSE)+SUM(_xlfn.XLOOKUP(R69:AF69,增益!$A:$A,增益!$N:$N,0))</f>
        <v>0</v>
      </c>
      <c r="BE69">
        <f t="shared" si="18"/>
        <v>0</v>
      </c>
      <c r="BF69">
        <f t="shared" si="19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-0.24</v>
      </c>
      <c r="BH69" s="30" cm="1">
        <f t="array" ref="BH69">$G$14+VLOOKUP($Q69,武学奇术!$A:$ZZ,16,FALSE)+SUM(_xlfn.XLOOKUP(R69:AF69,增益!$A:$A,增益!$P:$P,0))</f>
        <v>0</v>
      </c>
      <c r="BI69" s="23">
        <f>MIN(IF(VLOOKUP($Q69,武学奇术!$A:$ZZ,23,FALSE)=1,100%,$B$8),100%)</f>
        <v>0.8626</v>
      </c>
      <c r="BJ69" s="23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0.8697</v>
      </c>
      <c r="BK69" s="23" cm="1">
        <f t="array" ref="BK69">1+$B$13+VLOOKUP($Q69,武学奇术!$A:$ZZ,18,FALSE)+SUM(_xlfn.XLOOKUP(R69:AF69,增益!$A:$A,增益!$R:$R,0))</f>
        <v>1.95</v>
      </c>
      <c r="BL69" s="23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0.0986</v>
      </c>
      <c r="BM69" s="23" cm="1">
        <f t="array" ref="BM69">1+$B$14+VLOOKUP($Q69,武学奇术!$A:$ZZ,20,FALSE)+SUM(_xlfn.XLOOKUP(R69:AF69,增益!$A:$A,增益!$T:$T,0))</f>
        <v>1.35</v>
      </c>
      <c r="BN69" s="23">
        <f t="shared" si="20"/>
        <v>0.75020322</v>
      </c>
      <c r="BO69" s="23">
        <f t="shared" si="21"/>
        <v>0.0273444200000001</v>
      </c>
      <c r="BP69" s="23">
        <f>IF(VLOOKUP($Q69,武学奇术!$A:$ZZ,22,FALSE)=1,0,(1-$BI69))*(1-$BL69)</f>
        <v>0.12385236</v>
      </c>
      <c r="BQ69" s="23" cm="1">
        <f t="array" ref="BQ69">SUM(_xlfn.XLOOKUP(R69:AF69,增益!$A:$A,增益!$W:$W,0))</f>
        <v>0.13</v>
      </c>
    </row>
    <row r="70" spans="1:69">
      <c r="A70" t="s">
        <v>93</v>
      </c>
      <c r="B70">
        <v>2.3</v>
      </c>
      <c r="K70" s="36">
        <f t="shared" si="11"/>
        <v>78666.1321432573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87744.7489591874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67556.3323485543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44997.3071585577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39952.8866515195</v>
      </c>
      <c r="P70" s="37">
        <v>1</v>
      </c>
      <c r="Q70" s="38" t="s">
        <v>93</v>
      </c>
      <c r="R70" s="38" t="s">
        <v>89</v>
      </c>
      <c r="S70" s="38" t="s">
        <v>72</v>
      </c>
      <c r="T70" s="38" t="s">
        <v>72</v>
      </c>
      <c r="U70" s="38" t="s">
        <v>80</v>
      </c>
      <c r="V70" s="38" t="s">
        <v>72</v>
      </c>
      <c r="W70" s="38" t="s">
        <v>72</v>
      </c>
      <c r="X70" s="38" t="s">
        <v>122</v>
      </c>
      <c r="Y70" s="38" t="s">
        <v>72</v>
      </c>
      <c r="Z70" s="38" t="s">
        <v>72</v>
      </c>
      <c r="AA70" s="38" t="s">
        <v>72</v>
      </c>
      <c r="AB70" s="38" t="s">
        <v>72</v>
      </c>
      <c r="AC70" s="38" t="s">
        <v>72</v>
      </c>
      <c r="AD70" s="38" t="s">
        <v>72</v>
      </c>
      <c r="AE70" s="38" t="s">
        <v>90</v>
      </c>
      <c r="AF70" s="38" t="s">
        <v>74</v>
      </c>
      <c r="AG70" t="str">
        <f>VLOOKUP($Q70,武学奇术!$A:$ZZ,25,FALSE)</f>
        <v>横刀</v>
      </c>
      <c r="AH70" s="23">
        <f>VLOOKUP($Q70,武学奇术!$A:$ZZ,26,FALSE)</f>
        <v>3.7797</v>
      </c>
      <c r="AI70" s="24">
        <f>VLOOKUP($Q70,武学奇术!$A:$ZZ,27,FALSE)*(1+IF(OR($AG70=$F$4,$AG70=$F$5),$B$22,0))</f>
        <v>1358.5</v>
      </c>
      <c r="AJ70" s="23">
        <f>VLOOKUP($Q70,武学奇术!$A:$ZZ,28,FALSE)</f>
        <v>5.6696</v>
      </c>
      <c r="AK70" s="24">
        <f>VLOOKUP($Q70,武学奇术!$A:$ZZ,29,FALSE)*(1+IF(OR($AG70=$F$4,$AG70=$F$5),$B$22,0))</f>
        <v>741</v>
      </c>
      <c r="AL70" s="23" cm="1">
        <f t="array" ref="AL70">$G$3+IFERROR(VLOOKUP($AG70,$F$4:$G$7,2,FALSE),0)+VLOOKUP($Q70,武学奇术!$A:$ZZ,2,FALSE)+SUM(_xlfn.XLOOKUP($R70:$AF70,增益!$A:$A,增益!$B:$B,0))</f>
        <v>0.517</v>
      </c>
      <c r="AM70" s="23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3018.8</v>
      </c>
      <c r="AO70" cm="1">
        <f t="array" ref="AO70">$E$10*(1+$AM70)+VLOOKUP($Q70,武学奇术!$A:$ZZ,4,FALSE)+SUM(_xlfn.XLOOKUP($R70:$AF70,增益!$A:$A,增益!$D:$D,0))-$I$2</f>
        <v>3018.8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0.352</v>
      </c>
      <c r="AQ70" s="30" cm="1">
        <f t="array" ref="AQ70">$G$10+VLOOKUP($Q70,武学奇术!$A:$ZZ,7,FALSE)+SUM(_xlfn.XLOOKUP(R70:AF70,增益!$A:$A,增益!$G:$G,0))</f>
        <v>0</v>
      </c>
      <c r="AR70" s="23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-0.24</v>
      </c>
      <c r="AV70" s="30" cm="1">
        <f t="array" ref="AV70">$G$11+VLOOKUP($Q70,武学奇术!$A:$ZZ,10,FALSE)+SUM(_xlfn.XLOOKUP(R70:AF70,增益!$A:$A,增益!$J:$J,0))</f>
        <v>0</v>
      </c>
      <c r="AW70">
        <f t="shared" si="14"/>
        <v>634.5</v>
      </c>
      <c r="AX70">
        <f t="shared" si="15"/>
        <v>1443.3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0.118</v>
      </c>
      <c r="AZ70" s="30" cm="1">
        <f t="array" ref="AZ70">$G$12+VLOOKUP($Q70,武学奇术!$A:$ZZ,12,FALSE)+SUM(_xlfn.XLOOKUP(R70:AF70,增益!$A:$A,增益!$L:$L,0))</f>
        <v>0.148</v>
      </c>
      <c r="BA70">
        <f t="shared" si="16"/>
        <v>0</v>
      </c>
      <c r="BB70">
        <f t="shared" si="17"/>
        <v>0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-0.24</v>
      </c>
      <c r="BD70" s="30" cm="1">
        <f t="array" ref="BD70">$G$13+VLOOKUP($Q70,武学奇术!$A:$ZZ,14,FALSE)+SUM(_xlfn.XLOOKUP(R70:AF70,增益!$A:$A,增益!$N:$N,0))</f>
        <v>0</v>
      </c>
      <c r="BE70">
        <f t="shared" si="18"/>
        <v>0</v>
      </c>
      <c r="BF70">
        <f t="shared" si="19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-0.24</v>
      </c>
      <c r="BH70" s="30" cm="1">
        <f t="array" ref="BH70">$G$14+VLOOKUP($Q70,武学奇术!$A:$ZZ,16,FALSE)+SUM(_xlfn.XLOOKUP(R70:AF70,增益!$A:$A,增益!$P:$P,0))</f>
        <v>0</v>
      </c>
      <c r="BI70" s="23">
        <f>MIN(IF(VLOOKUP($Q70,武学奇术!$A:$ZZ,23,FALSE)=1,100%,$B$8),100%)</f>
        <v>0.8626</v>
      </c>
      <c r="BJ70" s="23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0.8697</v>
      </c>
      <c r="BK70" s="23" cm="1">
        <f t="array" ref="BK70">1+$B$13+VLOOKUP($Q70,武学奇术!$A:$ZZ,18,FALSE)+SUM(_xlfn.XLOOKUP(R70:AF70,增益!$A:$A,增益!$R:$R,0))</f>
        <v>1.95</v>
      </c>
      <c r="BL70" s="23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0.0986</v>
      </c>
      <c r="BM70" s="23" cm="1">
        <f t="array" ref="BM70">1+$B$14+VLOOKUP($Q70,武学奇术!$A:$ZZ,20,FALSE)+SUM(_xlfn.XLOOKUP(R70:AF70,增益!$A:$A,增益!$T:$T,0))</f>
        <v>1.35</v>
      </c>
      <c r="BN70" s="23">
        <f t="shared" si="20"/>
        <v>0.75020322</v>
      </c>
      <c r="BO70" s="23">
        <f t="shared" si="21"/>
        <v>0.0273444200000001</v>
      </c>
      <c r="BP70" s="23">
        <f>IF(VLOOKUP($Q70,武学奇术!$A:$ZZ,22,FALSE)=1,0,(1-$BI70))*(1-$BL70)</f>
        <v>0.12385236</v>
      </c>
      <c r="BQ70" s="23" cm="1">
        <f t="array" ref="BQ70">SUM(_xlfn.XLOOKUP(R70:AF70,增益!$A:$A,增益!$W:$W,0))</f>
        <v>0.13</v>
      </c>
    </row>
    <row r="71" spans="1:69">
      <c r="A71" t="s">
        <v>144</v>
      </c>
      <c r="B71">
        <v>1</v>
      </c>
      <c r="C71" t="s">
        <v>140</v>
      </c>
      <c r="K71" s="36">
        <f t="shared" si="11"/>
        <v>52545.0533309742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58849.6635305046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44122.6529411669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29424.8317652523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26166.216907418</v>
      </c>
      <c r="P71" s="37">
        <v>1</v>
      </c>
      <c r="Q71" s="38" t="s">
        <v>97</v>
      </c>
      <c r="R71" s="38" t="s">
        <v>89</v>
      </c>
      <c r="S71" s="38" t="s">
        <v>78</v>
      </c>
      <c r="T71" s="38" t="s">
        <v>72</v>
      </c>
      <c r="U71" s="38" t="s">
        <v>111</v>
      </c>
      <c r="V71" s="38" t="s">
        <v>72</v>
      </c>
      <c r="W71" s="38" t="s">
        <v>73</v>
      </c>
      <c r="X71" s="38" t="s">
        <v>122</v>
      </c>
      <c r="Y71" s="38" t="s">
        <v>72</v>
      </c>
      <c r="Z71" s="38" t="s">
        <v>72</v>
      </c>
      <c r="AA71" s="38" t="s">
        <v>68</v>
      </c>
      <c r="AB71" s="38" t="s">
        <v>72</v>
      </c>
      <c r="AC71" s="38" t="s">
        <v>72</v>
      </c>
      <c r="AD71" s="38" t="s">
        <v>72</v>
      </c>
      <c r="AE71" s="38" t="s">
        <v>90</v>
      </c>
      <c r="AF71" s="38" t="s">
        <v>74</v>
      </c>
      <c r="AG71" t="str">
        <f>VLOOKUP($Q71,武学奇术!$A:$ZZ,25,FALSE)</f>
        <v>横刀</v>
      </c>
      <c r="AH71" s="23">
        <f>VLOOKUP($Q71,武学奇术!$A:$ZZ,26,FALSE)</f>
        <v>2.1324</v>
      </c>
      <c r="AI71" s="24">
        <f>VLOOKUP($Q71,武学奇术!$A:$ZZ,27,FALSE)*(1+IF(OR($AG71=$F$4,$AG71=$F$5),$B$22,0))</f>
        <v>767</v>
      </c>
      <c r="AJ71" s="23">
        <f>VLOOKUP($Q71,武学奇术!$A:$ZZ,28,FALSE)</f>
        <v>3.1986</v>
      </c>
      <c r="AK71" s="24">
        <f>VLOOKUP($Q71,武学奇术!$A:$ZZ,29,FALSE)*(1+IF(OR($AG71=$F$4,$AG71=$F$5),$B$22,0))</f>
        <v>418.6</v>
      </c>
      <c r="AL71" s="23" cm="1">
        <f t="array" ref="AL71">$G$3+IFERROR(VLOOKUP($AG71,$F$4:$G$7,2,FALSE),0)+VLOOKUP($Q71,武学奇术!$A:$ZZ,2,FALSE)+SUM(_xlfn.XLOOKUP($R71:$AF71,增益!$A:$A,增益!$B:$B,0))</f>
        <v>0.737</v>
      </c>
      <c r="AM71" s="23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3018.8</v>
      </c>
      <c r="AO71" cm="1">
        <f t="array" ref="AO71">$E$10*(1+$AM71)+VLOOKUP($Q71,武学奇术!$A:$ZZ,4,FALSE)+SUM(_xlfn.XLOOKUP($R71:$AF71,增益!$A:$A,增益!$D:$D,0))-$I$2</f>
        <v>3018.8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0.377</v>
      </c>
      <c r="AQ71" s="30" cm="1">
        <f t="array" ref="AQ71">$G$10+VLOOKUP($Q71,武学奇术!$A:$ZZ,7,FALSE)+SUM(_xlfn.XLOOKUP(R71:AF71,增益!$A:$A,增益!$G:$G,0))</f>
        <v>0</v>
      </c>
      <c r="AR71" s="23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-0.24</v>
      </c>
      <c r="AV71" s="30" cm="1">
        <f t="array" ref="AV71">$G$11+VLOOKUP($Q71,武学奇术!$A:$ZZ,10,FALSE)+SUM(_xlfn.XLOOKUP(R71:AF71,增益!$A:$A,增益!$J:$J,0))</f>
        <v>0</v>
      </c>
      <c r="AW71">
        <f t="shared" si="14"/>
        <v>634.5</v>
      </c>
      <c r="AX71">
        <f t="shared" si="15"/>
        <v>1443.3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0.118</v>
      </c>
      <c r="AZ71" s="30" cm="1">
        <f t="array" ref="AZ71">$G$12+VLOOKUP($Q71,武学奇术!$A:$ZZ,12,FALSE)+SUM(_xlfn.XLOOKUP(R71:AF71,增益!$A:$A,增益!$L:$L,0))</f>
        <v>0.148</v>
      </c>
      <c r="BA71">
        <f t="shared" si="16"/>
        <v>0</v>
      </c>
      <c r="BB71">
        <f t="shared" si="17"/>
        <v>0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-0.24</v>
      </c>
      <c r="BD71" s="30" cm="1">
        <f t="array" ref="BD71">$G$13+VLOOKUP($Q71,武学奇术!$A:$ZZ,14,FALSE)+SUM(_xlfn.XLOOKUP(R71:AF71,增益!$A:$A,增益!$N:$N,0))</f>
        <v>0</v>
      </c>
      <c r="BE71">
        <f t="shared" si="18"/>
        <v>0</v>
      </c>
      <c r="BF71">
        <f t="shared" si="19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-0.24</v>
      </c>
      <c r="BH71" s="30" cm="1">
        <f t="array" ref="BH71">$G$14+VLOOKUP($Q71,武学奇术!$A:$ZZ,16,FALSE)+SUM(_xlfn.XLOOKUP(R71:AF71,增益!$A:$A,增益!$P:$P,0))</f>
        <v>0</v>
      </c>
      <c r="BI71" s="23">
        <f>MIN(IF(VLOOKUP($Q71,武学奇术!$A:$ZZ,23,FALSE)=1,100%,$B$8),100%)</f>
        <v>0.8626</v>
      </c>
      <c r="BJ71" s="23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0.8697</v>
      </c>
      <c r="BK71" s="23" cm="1">
        <f t="array" ref="BK71">1+$B$13+VLOOKUP($Q71,武学奇术!$A:$ZZ,18,FALSE)+SUM(_xlfn.XLOOKUP(R71:AF71,增益!$A:$A,增益!$R:$R,0))</f>
        <v>2</v>
      </c>
      <c r="BL71" s="23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0.0986</v>
      </c>
      <c r="BM71" s="23" cm="1">
        <f t="array" ref="BM71">1+$B$14+VLOOKUP($Q71,武学奇术!$A:$ZZ,20,FALSE)+SUM(_xlfn.XLOOKUP(R71:AF71,增益!$A:$A,增益!$T:$T,0))</f>
        <v>1.35</v>
      </c>
      <c r="BN71" s="23">
        <f t="shared" si="20"/>
        <v>0.75020322</v>
      </c>
      <c r="BO71" s="23">
        <f t="shared" si="21"/>
        <v>0.0273444200000001</v>
      </c>
      <c r="BP71" s="23">
        <f>IF(VLOOKUP($Q71,武学奇术!$A:$ZZ,22,FALSE)=1,0,(1-$BI71))*(1-$BL71)</f>
        <v>0.12385236</v>
      </c>
      <c r="BQ71" s="23" cm="1">
        <f t="array" ref="BQ71">SUM(_xlfn.XLOOKUP(R71:AF71,增益!$A:$A,增益!$W:$W,0))</f>
        <v>0.13</v>
      </c>
    </row>
    <row r="72" spans="1:69">
      <c r="A72" s="4" t="s">
        <v>149</v>
      </c>
      <c r="B72" s="4">
        <v>2.3</v>
      </c>
      <c r="K72" s="36">
        <f t="shared" si="11"/>
        <v>32342.6043832113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36219.1566896005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27685.3302039699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18109.5783448003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15711.5046866599</v>
      </c>
      <c r="P72" s="37">
        <v>1</v>
      </c>
      <c r="Q72" s="38" t="s">
        <v>99</v>
      </c>
      <c r="R72" s="38" t="s">
        <v>89</v>
      </c>
      <c r="S72" s="38" t="s">
        <v>78</v>
      </c>
      <c r="T72" s="38" t="s">
        <v>79</v>
      </c>
      <c r="U72" s="38" t="s">
        <v>111</v>
      </c>
      <c r="V72" s="38" t="s">
        <v>72</v>
      </c>
      <c r="W72" s="38" t="s">
        <v>73</v>
      </c>
      <c r="X72" s="38" t="s">
        <v>122</v>
      </c>
      <c r="Y72" s="38" t="s">
        <v>72</v>
      </c>
      <c r="Z72" s="38" t="s">
        <v>72</v>
      </c>
      <c r="AA72" s="38" t="s">
        <v>68</v>
      </c>
      <c r="AB72" s="38" t="s">
        <v>72</v>
      </c>
      <c r="AC72" s="38" t="s">
        <v>72</v>
      </c>
      <c r="AD72" s="38" t="s">
        <v>72</v>
      </c>
      <c r="AE72" s="38" t="s">
        <v>90</v>
      </c>
      <c r="AF72" s="38" t="s">
        <v>74</v>
      </c>
      <c r="AG72" t="str">
        <f>VLOOKUP($Q72,武学奇术!$A:$ZZ,25,FALSE)</f>
        <v>横刀</v>
      </c>
      <c r="AH72" s="23">
        <f>VLOOKUP($Q72,武学奇术!$A:$ZZ,26,FALSE)</f>
        <v>1.4</v>
      </c>
      <c r="AI72" s="24">
        <f>VLOOKUP($Q72,武学奇术!$A:$ZZ,27,FALSE)*(1+IF(OR($AG72=$F$4,$AG72=$F$5),$B$22,0))</f>
        <v>0</v>
      </c>
      <c r="AJ72" s="23">
        <f>VLOOKUP($Q72,武学奇术!$A:$ZZ,28,FALSE)</f>
        <v>2.1</v>
      </c>
      <c r="AK72" s="24">
        <f>VLOOKUP($Q72,武学奇术!$A:$ZZ,29,FALSE)*(1+IF(OR($AG72=$F$4,$AG72=$F$5),$B$22,0))</f>
        <v>0</v>
      </c>
      <c r="AL72" s="23" cm="1">
        <f t="array" ref="AL72">$G$3+IFERROR(VLOOKUP($AG72,$F$4:$G$7,2,FALSE),0)+VLOOKUP($Q72,武学奇术!$A:$ZZ,2,FALSE)+SUM(_xlfn.XLOOKUP($R72:$AF72,增益!$A:$A,增益!$B:$B,0))</f>
        <v>0.817</v>
      </c>
      <c r="AM72" s="23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3018.8</v>
      </c>
      <c r="AO72" cm="1">
        <f t="array" ref="AO72">$E$10*(1+$AM72)+VLOOKUP($Q72,武学奇术!$A:$ZZ,4,FALSE)+SUM(_xlfn.XLOOKUP($R72:$AF72,增益!$A:$A,增益!$D:$D,0))-$I$2</f>
        <v>3018.8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0.377</v>
      </c>
      <c r="AQ72" s="30" cm="1">
        <f t="array" ref="AQ72">$G$10+VLOOKUP($Q72,武学奇术!$A:$ZZ,7,FALSE)+SUM(_xlfn.XLOOKUP(R72:AF72,增益!$A:$A,增益!$G:$G,0))</f>
        <v>0</v>
      </c>
      <c r="AR72" s="23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-0.08</v>
      </c>
      <c r="AV72" s="30" cm="1">
        <f t="array" ref="AV72">$G$11+VLOOKUP($Q72,武学奇术!$A:$ZZ,10,FALSE)+SUM(_xlfn.XLOOKUP(R72:AF72,增益!$A:$A,增益!$J:$J,0))</f>
        <v>0</v>
      </c>
      <c r="AW72">
        <f t="shared" si="14"/>
        <v>634.5</v>
      </c>
      <c r="AX72">
        <f t="shared" si="15"/>
        <v>1443.3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0.198</v>
      </c>
      <c r="AZ72" s="30" cm="1">
        <f t="array" ref="AZ72">$G$12+VLOOKUP($Q72,武学奇术!$A:$ZZ,12,FALSE)+SUM(_xlfn.XLOOKUP(R72:AF72,增益!$A:$A,增益!$L:$L,0))</f>
        <v>0.148</v>
      </c>
      <c r="BA72">
        <f t="shared" si="16"/>
        <v>0</v>
      </c>
      <c r="BB72">
        <f t="shared" si="17"/>
        <v>0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-0.08</v>
      </c>
      <c r="BD72" s="30" cm="1">
        <f t="array" ref="BD72">$G$13+VLOOKUP($Q72,武学奇术!$A:$ZZ,14,FALSE)+SUM(_xlfn.XLOOKUP(R72:AF72,增益!$A:$A,增益!$N:$N,0))</f>
        <v>0</v>
      </c>
      <c r="BE72">
        <f t="shared" si="18"/>
        <v>0</v>
      </c>
      <c r="BF72">
        <f t="shared" si="19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-0.08</v>
      </c>
      <c r="BH72" s="30" cm="1">
        <f t="array" ref="BH72">$G$14+VLOOKUP($Q72,武学奇术!$A:$ZZ,16,FALSE)+SUM(_xlfn.XLOOKUP(R72:AF72,增益!$A:$A,增益!$P:$P,0))</f>
        <v>0</v>
      </c>
      <c r="BI72" s="23">
        <f>MIN(IF(VLOOKUP($Q72,武学奇术!$A:$ZZ,23,FALSE)=1,100%,$B$8),100%)</f>
        <v>0.8626</v>
      </c>
      <c r="BJ72" s="23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0.8697</v>
      </c>
      <c r="BK72" s="23" cm="1">
        <f t="array" ref="BK72">1+$B$13+VLOOKUP($Q72,武学奇术!$A:$ZZ,18,FALSE)+SUM(_xlfn.XLOOKUP(R72:AF72,增益!$A:$A,增益!$R:$R,0))</f>
        <v>2</v>
      </c>
      <c r="BL72" s="23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0.0986</v>
      </c>
      <c r="BM72" s="23" cm="1">
        <f t="array" ref="BM72">1+$B$14+VLOOKUP($Q72,武学奇术!$A:$ZZ,20,FALSE)+SUM(_xlfn.XLOOKUP(R72:AF72,增益!$A:$A,增益!$T:$T,0))</f>
        <v>1.35</v>
      </c>
      <c r="BN72" s="23">
        <f t="shared" si="20"/>
        <v>0.75020322</v>
      </c>
      <c r="BO72" s="23">
        <f t="shared" si="21"/>
        <v>0.0273444200000001</v>
      </c>
      <c r="BP72" s="23">
        <f>IF(VLOOKUP($Q72,武学奇术!$A:$ZZ,22,FALSE)=1,0,(1-$BI72))*(1-$BL72)</f>
        <v>0.12385236</v>
      </c>
      <c r="BQ72" s="23" cm="1">
        <f t="array" ref="BQ72">SUM(_xlfn.XLOOKUP(R72:AF72,增益!$A:$A,增益!$W:$W,0))</f>
        <v>0.13</v>
      </c>
    </row>
    <row r="73" spans="1:69">
      <c r="A73" s="4" t="s">
        <v>149</v>
      </c>
      <c r="B73" s="4">
        <v>2.3</v>
      </c>
      <c r="K73" s="36">
        <f t="shared" si="11"/>
        <v>16220.6336268627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18164.8225966894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13884.892903381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9082.41129834471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7879.71674233311</v>
      </c>
      <c r="P73" s="37">
        <v>1</v>
      </c>
      <c r="Q73" s="38" t="s">
        <v>102</v>
      </c>
      <c r="R73" s="38" t="s">
        <v>89</v>
      </c>
      <c r="S73" s="38" t="s">
        <v>78</v>
      </c>
      <c r="T73" s="38" t="s">
        <v>79</v>
      </c>
      <c r="U73" s="38" t="s">
        <v>111</v>
      </c>
      <c r="V73" s="38" t="s">
        <v>72</v>
      </c>
      <c r="W73" s="38" t="s">
        <v>104</v>
      </c>
      <c r="X73" s="38" t="s">
        <v>122</v>
      </c>
      <c r="Y73" s="38" t="s">
        <v>72</v>
      </c>
      <c r="Z73" s="38" t="s">
        <v>72</v>
      </c>
      <c r="AA73" s="38" t="s">
        <v>68</v>
      </c>
      <c r="AB73" s="38" t="s">
        <v>72</v>
      </c>
      <c r="AC73" s="38" t="s">
        <v>72</v>
      </c>
      <c r="AD73" s="38" t="s">
        <v>72</v>
      </c>
      <c r="AE73" s="38" t="s">
        <v>90</v>
      </c>
      <c r="AF73" s="38" t="s">
        <v>74</v>
      </c>
      <c r="AG73" t="str">
        <f>VLOOKUP($Q73,武学奇术!$A:$ZZ,25,FALSE)</f>
        <v>陌刀</v>
      </c>
      <c r="AH73" s="23">
        <f>VLOOKUP($Q73,武学奇术!$A:$ZZ,26,FALSE)</f>
        <v>0.5</v>
      </c>
      <c r="AI73" s="24">
        <f>VLOOKUP($Q73,武学奇术!$A:$ZZ,27,FALSE)*(1+IF(OR($AG73=$F$4,$AG73=$F$5),$B$22,0))</f>
        <v>0</v>
      </c>
      <c r="AJ73" s="23">
        <f>VLOOKUP($Q73,武学奇术!$A:$ZZ,28,FALSE)</f>
        <v>0.75</v>
      </c>
      <c r="AK73" s="24">
        <f>VLOOKUP($Q73,武学奇术!$A:$ZZ,29,FALSE)*(1+IF(OR($AG73=$F$4,$AG73=$F$5),$B$22,0))</f>
        <v>0</v>
      </c>
      <c r="AL73" s="23" cm="1">
        <f t="array" ref="AL73">$G$3+IFERROR(VLOOKUP($AG73,$F$4:$G$7,2,FALSE),0)+VLOOKUP($Q73,武学奇术!$A:$ZZ,2,FALSE)+SUM(_xlfn.XLOOKUP($R73:$AF73,增益!$A:$A,增益!$B:$B,0))</f>
        <v>0.933</v>
      </c>
      <c r="AM73" s="23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3018.8</v>
      </c>
      <c r="AO73" cm="1">
        <f t="array" ref="AO73">$E$10*(1+$AM73)+VLOOKUP($Q73,武学奇术!$A:$ZZ,4,FALSE)+SUM(_xlfn.XLOOKUP($R73:$AF73,增益!$A:$A,增益!$D:$D,0))-$I$2</f>
        <v>3018.8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0.377</v>
      </c>
      <c r="AQ73" s="30" cm="1">
        <f t="array" ref="AQ73">$G$10+VLOOKUP($Q73,武学奇术!$A:$ZZ,7,FALSE)+SUM(_xlfn.XLOOKUP(R73:AF73,增益!$A:$A,增益!$G:$G,0))</f>
        <v>0</v>
      </c>
      <c r="AR73" s="23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-0.08</v>
      </c>
      <c r="AV73" s="30" cm="1">
        <f t="array" ref="AV73">$G$11+VLOOKUP($Q73,武学奇术!$A:$ZZ,10,FALSE)+SUM(_xlfn.XLOOKUP(R73:AF73,增益!$A:$A,增益!$J:$J,0))</f>
        <v>0</v>
      </c>
      <c r="AW73">
        <f t="shared" si="14"/>
        <v>634.5</v>
      </c>
      <c r="AX73">
        <f t="shared" si="15"/>
        <v>1443.3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0.198</v>
      </c>
      <c r="AZ73" s="30" cm="1">
        <f t="array" ref="AZ73">$G$12+VLOOKUP($Q73,武学奇术!$A:$ZZ,12,FALSE)+SUM(_xlfn.XLOOKUP(R73:AF73,增益!$A:$A,增益!$L:$L,0))</f>
        <v>0.148</v>
      </c>
      <c r="BA73">
        <f t="shared" si="16"/>
        <v>0</v>
      </c>
      <c r="BB73">
        <f t="shared" si="17"/>
        <v>0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-0.08</v>
      </c>
      <c r="BD73" s="30" cm="1">
        <f t="array" ref="BD73">$G$13+VLOOKUP($Q73,武学奇术!$A:$ZZ,14,FALSE)+SUM(_xlfn.XLOOKUP(R73:AF73,增益!$A:$A,增益!$N:$N,0))</f>
        <v>0</v>
      </c>
      <c r="BE73">
        <f t="shared" si="18"/>
        <v>0</v>
      </c>
      <c r="BF73">
        <f t="shared" si="19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-0.08</v>
      </c>
      <c r="BH73" s="30" cm="1">
        <f t="array" ref="BH73">$G$14+VLOOKUP($Q73,武学奇术!$A:$ZZ,16,FALSE)+SUM(_xlfn.XLOOKUP(R73:AF73,增益!$A:$A,增益!$P:$P,0))</f>
        <v>0</v>
      </c>
      <c r="BI73" s="23">
        <f>MIN(IF(VLOOKUP($Q73,武学奇术!$A:$ZZ,23,FALSE)=1,100%,$B$8),100%)</f>
        <v>0.8626</v>
      </c>
      <c r="BJ73" s="23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0.8697</v>
      </c>
      <c r="BK73" s="23" cm="1">
        <f t="array" ref="BK73">1+$B$13+VLOOKUP($Q73,武学奇术!$A:$ZZ,18,FALSE)+SUM(_xlfn.XLOOKUP(R73:AF73,增益!$A:$A,增益!$R:$R,0))</f>
        <v>2</v>
      </c>
      <c r="BL73" s="23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0.0986</v>
      </c>
      <c r="BM73" s="23" cm="1">
        <f t="array" ref="BM73">1+$B$14+VLOOKUP($Q73,武学奇术!$A:$ZZ,20,FALSE)+SUM(_xlfn.XLOOKUP(R73:AF73,增益!$A:$A,增益!$T:$T,0))</f>
        <v>1.35</v>
      </c>
      <c r="BN73" s="23">
        <f t="shared" si="20"/>
        <v>0.75020322</v>
      </c>
      <c r="BO73" s="23">
        <f t="shared" si="21"/>
        <v>0.0273444200000001</v>
      </c>
      <c r="BP73" s="23">
        <f>IF(VLOOKUP($Q73,武学奇术!$A:$ZZ,22,FALSE)=1,0,(1-$BI73))*(1-$BL73)</f>
        <v>0.12385236</v>
      </c>
      <c r="BQ73" s="23" cm="1">
        <f t="array" ref="BQ73">SUM(_xlfn.XLOOKUP(R73:AF73,增益!$A:$A,增益!$W:$W,0))</f>
        <v>0.13</v>
      </c>
    </row>
    <row r="74" spans="1:69">
      <c r="A74" s="4" t="s">
        <v>149</v>
      </c>
      <c r="B74" s="4">
        <v>2.3</v>
      </c>
      <c r="C74" s="37" t="s">
        <v>147</v>
      </c>
      <c r="K74" s="36">
        <f t="shared" si="11"/>
        <v>19073.0637265239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19073.0637265239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13884.892903381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9082.41129834471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7879.71674233311</v>
      </c>
      <c r="P74" s="37">
        <v>1</v>
      </c>
      <c r="Q74" s="38" t="s">
        <v>114</v>
      </c>
      <c r="R74" s="38" t="s">
        <v>89</v>
      </c>
      <c r="S74" s="38" t="s">
        <v>78</v>
      </c>
      <c r="T74" s="38" t="s">
        <v>79</v>
      </c>
      <c r="U74" s="38" t="s">
        <v>111</v>
      </c>
      <c r="V74" s="38" t="s">
        <v>107</v>
      </c>
      <c r="W74" s="38" t="s">
        <v>104</v>
      </c>
      <c r="X74" s="38" t="s">
        <v>122</v>
      </c>
      <c r="Y74" s="38" t="s">
        <v>72</v>
      </c>
      <c r="Z74" s="38" t="s">
        <v>72</v>
      </c>
      <c r="AA74" s="38" t="s">
        <v>68</v>
      </c>
      <c r="AB74" s="38" t="s">
        <v>72</v>
      </c>
      <c r="AC74" s="38" t="s">
        <v>72</v>
      </c>
      <c r="AD74" s="38" t="s">
        <v>72</v>
      </c>
      <c r="AE74" s="38" t="s">
        <v>90</v>
      </c>
      <c r="AF74" s="38" t="s">
        <v>74</v>
      </c>
      <c r="AG74" t="str">
        <f>VLOOKUP($Q74,武学奇术!$A:$ZZ,25,FALSE)</f>
        <v>陌刀</v>
      </c>
      <c r="AH74" s="23">
        <f>VLOOKUP($Q74,武学奇术!$A:$ZZ,26,FALSE)</f>
        <v>0.5</v>
      </c>
      <c r="AI74" s="24">
        <f>VLOOKUP($Q74,武学奇术!$A:$ZZ,27,FALSE)*(1+IF(OR($AG74=$F$4,$AG74=$F$5),$B$22,0))</f>
        <v>0</v>
      </c>
      <c r="AJ74" s="23">
        <f>VLOOKUP($Q74,武学奇术!$A:$ZZ,28,FALSE)</f>
        <v>0.75</v>
      </c>
      <c r="AK74" s="24">
        <f>VLOOKUP($Q74,武学奇术!$A:$ZZ,29,FALSE)*(1+IF(OR($AG74=$F$4,$AG74=$F$5),$B$22,0))</f>
        <v>0</v>
      </c>
      <c r="AL74" s="23" cm="1">
        <f t="array" ref="AL74">$G$3+IFERROR(VLOOKUP($AG74,$F$4:$G$7,2,FALSE),0)+VLOOKUP($Q74,武学奇术!$A:$ZZ,2,FALSE)+SUM(_xlfn.XLOOKUP($R74:$AF74,增益!$A:$A,增益!$B:$B,0))</f>
        <v>0.933</v>
      </c>
      <c r="AM74" s="23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3018.8</v>
      </c>
      <c r="AO74" cm="1">
        <f t="array" ref="AO74">$E$10*(1+$AM74)+VLOOKUP($Q74,武学奇术!$A:$ZZ,4,FALSE)+SUM(_xlfn.XLOOKUP($R74:$AF74,增益!$A:$A,增益!$D:$D,0))-$I$2</f>
        <v>3018.8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0.377</v>
      </c>
      <c r="AQ74" s="30" cm="1">
        <f t="array" ref="AQ74">$G$10+VLOOKUP($Q74,武学奇术!$A:$ZZ,7,FALSE)+SUM(_xlfn.XLOOKUP(R74:AF74,增益!$A:$A,增益!$G:$G,0))</f>
        <v>0</v>
      </c>
      <c r="AR74" s="23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-0.08</v>
      </c>
      <c r="AV74" s="30" cm="1">
        <f t="array" ref="AV74">$G$11+VLOOKUP($Q74,武学奇术!$A:$ZZ,10,FALSE)+SUM(_xlfn.XLOOKUP(R74:AF74,增益!$A:$A,增益!$J:$J,0))</f>
        <v>0</v>
      </c>
      <c r="AW74">
        <f t="shared" si="14"/>
        <v>634.5</v>
      </c>
      <c r="AX74">
        <f t="shared" si="15"/>
        <v>1443.3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0.198</v>
      </c>
      <c r="AZ74" s="30" cm="1">
        <f t="array" ref="AZ74">$G$12+VLOOKUP($Q74,武学奇术!$A:$ZZ,12,FALSE)+SUM(_xlfn.XLOOKUP(R74:AF74,增益!$A:$A,增益!$L:$L,0))</f>
        <v>0.148</v>
      </c>
      <c r="BA74">
        <f t="shared" si="16"/>
        <v>0</v>
      </c>
      <c r="BB74">
        <f t="shared" si="17"/>
        <v>0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-0.08</v>
      </c>
      <c r="BD74" s="30" cm="1">
        <f t="array" ref="BD74">$G$13+VLOOKUP($Q74,武学奇术!$A:$ZZ,14,FALSE)+SUM(_xlfn.XLOOKUP(R74:AF74,增益!$A:$A,增益!$N:$N,0))</f>
        <v>0</v>
      </c>
      <c r="BE74">
        <f t="shared" si="18"/>
        <v>0</v>
      </c>
      <c r="BF74">
        <f t="shared" si="19"/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-0.08</v>
      </c>
      <c r="BH74" s="30" cm="1">
        <f t="array" ref="BH74">$G$14+VLOOKUP($Q74,武学奇术!$A:$ZZ,16,FALSE)+SUM(_xlfn.XLOOKUP(R74:AF74,增益!$A:$A,增益!$P:$P,0))</f>
        <v>0</v>
      </c>
      <c r="BI74" s="23">
        <f>MIN(IF(VLOOKUP($Q74,武学奇术!$A:$ZZ,23,FALSE)=1,100%,$B$8),100%)</f>
        <v>1</v>
      </c>
      <c r="BJ74" s="23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1</v>
      </c>
      <c r="BK74" s="23" cm="1">
        <f t="array" ref="BK74">1+$B$13+VLOOKUP($Q74,武学奇术!$A:$ZZ,18,FALSE)+SUM(_xlfn.XLOOKUP(R74:AF74,增益!$A:$A,增益!$R:$R,0))</f>
        <v>2.1</v>
      </c>
      <c r="BL74" s="23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</v>
      </c>
      <c r="BM74" s="23" cm="1">
        <f t="array" ref="BM74">1+$B$14+VLOOKUP($Q74,武学奇术!$A:$ZZ,20,FALSE)+SUM(_xlfn.XLOOKUP(R74:AF74,增益!$A:$A,增益!$T:$T,0))</f>
        <v>1.35</v>
      </c>
      <c r="BN74" s="23">
        <f t="shared" si="20"/>
        <v>1</v>
      </c>
      <c r="BO74" s="23">
        <f t="shared" si="21"/>
        <v>0</v>
      </c>
      <c r="BP74" s="23">
        <f>IF(VLOOKUP($Q74,武学奇术!$A:$ZZ,22,FALSE)=1,0,(1-$BI74))*(1-$BL74)</f>
        <v>0</v>
      </c>
      <c r="BQ74" s="23" cm="1">
        <f t="array" ref="BQ74">SUM(_xlfn.XLOOKUP(R74:AF74,增益!$A:$A,增益!$W:$W,0))</f>
        <v>0.13</v>
      </c>
    </row>
    <row r="75" spans="1:69">
      <c r="A75" s="4" t="s">
        <v>149</v>
      </c>
      <c r="B75" s="4">
        <v>2.3</v>
      </c>
      <c r="C75" s="37"/>
      <c r="K75" s="36">
        <f t="shared" si="11"/>
        <v>68663.0294154861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68663.0294154861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49985.6144521717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32696.680674041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28366.9802723992</v>
      </c>
      <c r="P75" s="37">
        <v>2</v>
      </c>
      <c r="Q75" s="38" t="s">
        <v>106</v>
      </c>
      <c r="R75" s="38" t="s">
        <v>89</v>
      </c>
      <c r="S75" s="38" t="s">
        <v>78</v>
      </c>
      <c r="T75" s="38" t="s">
        <v>79</v>
      </c>
      <c r="U75" s="38" t="s">
        <v>111</v>
      </c>
      <c r="V75" s="38" t="s">
        <v>107</v>
      </c>
      <c r="W75" s="38" t="s">
        <v>104</v>
      </c>
      <c r="X75" s="38" t="s">
        <v>122</v>
      </c>
      <c r="Y75" s="38" t="s">
        <v>72</v>
      </c>
      <c r="Z75" s="38" t="s">
        <v>72</v>
      </c>
      <c r="AA75" s="38" t="s">
        <v>68</v>
      </c>
      <c r="AB75" s="38" t="s">
        <v>72</v>
      </c>
      <c r="AC75" s="38" t="s">
        <v>72</v>
      </c>
      <c r="AD75" s="38" t="s">
        <v>72</v>
      </c>
      <c r="AE75" s="38" t="s">
        <v>90</v>
      </c>
      <c r="AF75" s="38" t="s">
        <v>74</v>
      </c>
      <c r="AG75" t="str">
        <f>VLOOKUP($Q75,武学奇术!$A:$ZZ,25,FALSE)</f>
        <v>陌刀</v>
      </c>
      <c r="AH75" s="23">
        <f>VLOOKUP($Q75,武学奇术!$A:$ZZ,26,FALSE)</f>
        <v>0.9</v>
      </c>
      <c r="AI75" s="24">
        <f>VLOOKUP($Q75,武学奇术!$A:$ZZ,27,FALSE)*(1+IF(OR($AG75=$F$4,$AG75=$F$5),$B$22,0))</f>
        <v>0</v>
      </c>
      <c r="AJ75" s="23">
        <f>VLOOKUP($Q75,武学奇术!$A:$ZZ,28,FALSE)</f>
        <v>1.35</v>
      </c>
      <c r="AK75" s="24">
        <f>VLOOKUP($Q75,武学奇术!$A:$ZZ,29,FALSE)*(1+IF(OR($AG75=$F$4,$AG75=$F$5),$B$22,0))</f>
        <v>0</v>
      </c>
      <c r="AL75" s="23" cm="1">
        <f t="array" ref="AL75">$G$3+IFERROR(VLOOKUP($AG75,$F$4:$G$7,2,FALSE),0)+VLOOKUP($Q75,武学奇术!$A:$ZZ,2,FALSE)+SUM(_xlfn.XLOOKUP($R75:$AF75,增益!$A:$A,增益!$B:$B,0))</f>
        <v>0.933</v>
      </c>
      <c r="AM75" s="23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3018.8</v>
      </c>
      <c r="AO75" cm="1">
        <f t="array" ref="AO75">$E$10*(1+$AM75)+VLOOKUP($Q75,武学奇术!$A:$ZZ,4,FALSE)+SUM(_xlfn.XLOOKUP($R75:$AF75,增益!$A:$A,增益!$D:$D,0))-$I$2</f>
        <v>3018.8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0.377</v>
      </c>
      <c r="AQ75" s="30" cm="1">
        <f t="array" ref="AQ75">$G$10+VLOOKUP($Q75,武学奇术!$A:$ZZ,7,FALSE)+SUM(_xlfn.XLOOKUP(R75:AF75,增益!$A:$A,增益!$G:$G,0))</f>
        <v>0</v>
      </c>
      <c r="AR75" s="23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-0.08</v>
      </c>
      <c r="AV75" s="30" cm="1">
        <f t="array" ref="AV75">$G$11+VLOOKUP($Q75,武学奇术!$A:$ZZ,10,FALSE)+SUM(_xlfn.XLOOKUP(R75:AF75,增益!$A:$A,增益!$J:$J,0))</f>
        <v>0</v>
      </c>
      <c r="AW75">
        <f t="shared" si="14"/>
        <v>634.5</v>
      </c>
      <c r="AX75">
        <f t="shared" si="15"/>
        <v>1443.3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0.198</v>
      </c>
      <c r="AZ75" s="30" cm="1">
        <f t="array" ref="AZ75">$G$12+VLOOKUP($Q75,武学奇术!$A:$ZZ,12,FALSE)+SUM(_xlfn.XLOOKUP(R75:AF75,增益!$A:$A,增益!$L:$L,0))</f>
        <v>0.148</v>
      </c>
      <c r="BA75">
        <f t="shared" si="16"/>
        <v>0</v>
      </c>
      <c r="BB75">
        <f t="shared" si="17"/>
        <v>0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-0.08</v>
      </c>
      <c r="BD75" s="30" cm="1">
        <f t="array" ref="BD75">$G$13+VLOOKUP($Q75,武学奇术!$A:$ZZ,14,FALSE)+SUM(_xlfn.XLOOKUP(R75:AF75,增益!$A:$A,增益!$N:$N,0))</f>
        <v>0</v>
      </c>
      <c r="BE75">
        <f t="shared" si="18"/>
        <v>0</v>
      </c>
      <c r="BF75">
        <f t="shared" si="19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-0.08</v>
      </c>
      <c r="BH75" s="30" cm="1">
        <f t="array" ref="BH75">$G$14+VLOOKUP($Q75,武学奇术!$A:$ZZ,16,FALSE)+SUM(_xlfn.XLOOKUP(R75:AF75,增益!$A:$A,增益!$P:$P,0))</f>
        <v>0</v>
      </c>
      <c r="BI75" s="23">
        <f>MIN(IF(VLOOKUP($Q75,武学奇术!$A:$ZZ,23,FALSE)=1,100%,$B$8),100%)</f>
        <v>1</v>
      </c>
      <c r="BJ75" s="23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1</v>
      </c>
      <c r="BK75" s="23" cm="1">
        <f t="array" ref="BK75">1+$B$13+VLOOKUP($Q75,武学奇术!$A:$ZZ,18,FALSE)+SUM(_xlfn.XLOOKUP(R75:AF75,增益!$A:$A,增益!$R:$R,0))</f>
        <v>2.1</v>
      </c>
      <c r="BL75" s="23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</v>
      </c>
      <c r="BM75" s="23" cm="1">
        <f t="array" ref="BM75">1+$B$14+VLOOKUP($Q75,武学奇术!$A:$ZZ,20,FALSE)+SUM(_xlfn.XLOOKUP(R75:AF75,增益!$A:$A,增益!$T:$T,0))</f>
        <v>1.35</v>
      </c>
      <c r="BN75" s="23">
        <f t="shared" si="20"/>
        <v>1</v>
      </c>
      <c r="BO75" s="23">
        <f t="shared" si="21"/>
        <v>0</v>
      </c>
      <c r="BP75" s="23">
        <f>IF(VLOOKUP($Q75,武学奇术!$A:$ZZ,22,FALSE)=1,0,(1-$BI75))*(1-$BL75)</f>
        <v>0</v>
      </c>
      <c r="BQ75" s="23" cm="1">
        <f t="array" ref="BQ75">SUM(_xlfn.XLOOKUP(R75:AF75,增益!$A:$A,增益!$W:$W,0))</f>
        <v>0.13</v>
      </c>
    </row>
    <row r="76" spans="1:69">
      <c r="A76" s="4" t="s">
        <v>149</v>
      </c>
      <c r="B76" s="4">
        <v>2.3</v>
      </c>
      <c r="C76" s="37"/>
      <c r="K76" s="36">
        <f t="shared" si="11"/>
        <v>652903.954116519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652903.954116519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468362.757733641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310906.64481739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274877.913535786</v>
      </c>
      <c r="P76" s="37">
        <v>2</v>
      </c>
      <c r="Q76" s="38" t="s">
        <v>110</v>
      </c>
      <c r="R76" s="38" t="s">
        <v>89</v>
      </c>
      <c r="S76" s="38" t="s">
        <v>78</v>
      </c>
      <c r="T76" s="38" t="s">
        <v>79</v>
      </c>
      <c r="U76" s="38" t="s">
        <v>111</v>
      </c>
      <c r="V76" s="38" t="s">
        <v>107</v>
      </c>
      <c r="W76" s="38" t="s">
        <v>112</v>
      </c>
      <c r="X76" s="38" t="s">
        <v>122</v>
      </c>
      <c r="Y76" s="38" t="s">
        <v>72</v>
      </c>
      <c r="Z76" s="38" t="s">
        <v>72</v>
      </c>
      <c r="AA76" s="38" t="s">
        <v>68</v>
      </c>
      <c r="AB76" s="38" t="s">
        <v>72</v>
      </c>
      <c r="AC76" s="38" t="s">
        <v>72</v>
      </c>
      <c r="AD76" s="38" t="s">
        <v>72</v>
      </c>
      <c r="AE76" s="38" t="s">
        <v>90</v>
      </c>
      <c r="AF76" s="38" t="s">
        <v>74</v>
      </c>
      <c r="AG76" t="str">
        <f>VLOOKUP($Q76,武学奇术!$A:$ZZ,25,FALSE)</f>
        <v>陌刀</v>
      </c>
      <c r="AH76" s="23">
        <f>VLOOKUP($Q76,武学奇术!$A:$ZZ,26,FALSE)</f>
        <v>7.5674</v>
      </c>
      <c r="AI76" s="24">
        <f>VLOOKUP($Q76,武学奇术!$A:$ZZ,27,FALSE)*(1+IF(OR($AG76=$F$4,$AG76=$F$5),$B$22,0))</f>
        <v>2720.9</v>
      </c>
      <c r="AJ76" s="23">
        <f>VLOOKUP($Q76,武学奇术!$A:$ZZ,28,FALSE)</f>
        <v>11.3512</v>
      </c>
      <c r="AK76" s="24">
        <f>VLOOKUP($Q76,武学奇术!$A:$ZZ,29,FALSE)*(1+IF(OR($AG76=$F$4,$AG76=$F$5),$B$22,0))</f>
        <v>1482</v>
      </c>
      <c r="AL76" s="23" cm="1">
        <f t="array" ref="AL76">$G$3+IFERROR(VLOOKUP($AG76,$F$4:$G$7,2,FALSE),0)+VLOOKUP($Q76,武学奇术!$A:$ZZ,2,FALSE)+SUM(_xlfn.XLOOKUP($R76:$AF76,增益!$A:$A,增益!$B:$B,0))</f>
        <v>0.913</v>
      </c>
      <c r="AM76" s="23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3018.8</v>
      </c>
      <c r="AO76" cm="1">
        <f t="array" ref="AO76">$E$10*(1+$AM76)+VLOOKUP($Q76,武学奇术!$A:$ZZ,4,FALSE)+SUM(_xlfn.XLOOKUP($R76:$AF76,增益!$A:$A,增益!$D:$D,0))-$I$2</f>
        <v>3018.8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0.377</v>
      </c>
      <c r="AQ76" s="30" cm="1">
        <f t="array" ref="AQ76">$G$10+VLOOKUP($Q76,武学奇术!$A:$ZZ,7,FALSE)+SUM(_xlfn.XLOOKUP(R76:AF76,增益!$A:$A,增益!$G:$G,0))</f>
        <v>0</v>
      </c>
      <c r="AR76" s="23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-0.08</v>
      </c>
      <c r="AV76" s="30" cm="1">
        <f t="array" ref="AV76">$G$11+VLOOKUP($Q76,武学奇术!$A:$ZZ,10,FALSE)+SUM(_xlfn.XLOOKUP(R76:AF76,增益!$A:$A,增益!$J:$J,0))</f>
        <v>0</v>
      </c>
      <c r="AW76">
        <f t="shared" si="14"/>
        <v>634.5</v>
      </c>
      <c r="AX76">
        <f t="shared" si="15"/>
        <v>1443.3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0.198</v>
      </c>
      <c r="AZ76" s="30" cm="1">
        <f t="array" ref="AZ76">$G$12+VLOOKUP($Q76,武学奇术!$A:$ZZ,12,FALSE)+SUM(_xlfn.XLOOKUP(R76:AF76,增益!$A:$A,增益!$L:$L,0))</f>
        <v>0.148</v>
      </c>
      <c r="BA76">
        <f t="shared" si="16"/>
        <v>0</v>
      </c>
      <c r="BB76">
        <f t="shared" si="17"/>
        <v>0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-0.08</v>
      </c>
      <c r="BD76" s="30" cm="1">
        <f t="array" ref="BD76">$G$13+VLOOKUP($Q76,武学奇术!$A:$ZZ,14,FALSE)+SUM(_xlfn.XLOOKUP(R76:AF76,增益!$A:$A,增益!$N:$N,0))</f>
        <v>0</v>
      </c>
      <c r="BE76">
        <f t="shared" si="18"/>
        <v>0</v>
      </c>
      <c r="BF76">
        <f t="shared" si="19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-0.08</v>
      </c>
      <c r="BH76" s="30" cm="1">
        <f t="array" ref="BH76">$G$14+VLOOKUP($Q76,武学奇术!$A:$ZZ,16,FALSE)+SUM(_xlfn.XLOOKUP(R76:AF76,增益!$A:$A,增益!$P:$P,0))</f>
        <v>0</v>
      </c>
      <c r="BI76" s="23">
        <f>MIN(IF(VLOOKUP($Q76,武学奇术!$A:$ZZ,23,FALSE)=1,100%,$B$8),100%)</f>
        <v>1</v>
      </c>
      <c r="BJ76" s="23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1</v>
      </c>
      <c r="BK76" s="23" cm="1">
        <f t="array" ref="BK76">1+$B$13+VLOOKUP($Q76,武学奇术!$A:$ZZ,18,FALSE)+SUM(_xlfn.XLOOKUP(R76:AF76,增益!$A:$A,增益!$R:$R,0))</f>
        <v>2.1</v>
      </c>
      <c r="BL76" s="23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</v>
      </c>
      <c r="BM76" s="23" cm="1">
        <f t="array" ref="BM76">1+$B$14+VLOOKUP($Q76,武学奇术!$A:$ZZ,20,FALSE)+SUM(_xlfn.XLOOKUP(R76:AF76,增益!$A:$A,增益!$T:$T,0))</f>
        <v>1.35</v>
      </c>
      <c r="BN76" s="23">
        <f t="shared" si="20"/>
        <v>1</v>
      </c>
      <c r="BO76" s="23">
        <f t="shared" si="21"/>
        <v>0</v>
      </c>
      <c r="BP76" s="23">
        <f>IF(VLOOKUP($Q76,武学奇术!$A:$ZZ,22,FALSE)=1,0,(1-$BI76))*(1-$BL76)</f>
        <v>0</v>
      </c>
      <c r="BQ76" s="23" cm="1">
        <f t="array" ref="BQ76">SUM(_xlfn.XLOOKUP(R76:AF76,增益!$A:$A,增益!$W:$W,0))</f>
        <v>0.13</v>
      </c>
    </row>
    <row r="77" spans="1:69">
      <c r="A77" s="4" t="s">
        <v>149</v>
      </c>
      <c r="B77" s="4">
        <v>2.3</v>
      </c>
      <c r="C77" s="37"/>
      <c r="K77" s="36">
        <f t="shared" si="11"/>
        <v>20760.945472234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20760.945472234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15113.644487751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9886.16451058761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8577.03680802631</v>
      </c>
      <c r="P77" s="37">
        <v>1</v>
      </c>
      <c r="Q77" s="38" t="s">
        <v>114</v>
      </c>
      <c r="R77" s="38" t="s">
        <v>89</v>
      </c>
      <c r="S77" s="38" t="s">
        <v>78</v>
      </c>
      <c r="T77" s="38" t="s">
        <v>79</v>
      </c>
      <c r="U77" s="38" t="s">
        <v>111</v>
      </c>
      <c r="V77" s="38" t="s">
        <v>107</v>
      </c>
      <c r="W77" s="38" t="s">
        <v>104</v>
      </c>
      <c r="X77" s="38" t="s">
        <v>122</v>
      </c>
      <c r="Y77" s="38" t="s">
        <v>147</v>
      </c>
      <c r="Z77" s="38" t="s">
        <v>72</v>
      </c>
      <c r="AA77" s="38" t="s">
        <v>68</v>
      </c>
      <c r="AB77" s="38" t="s">
        <v>72</v>
      </c>
      <c r="AC77" s="38" t="s">
        <v>72</v>
      </c>
      <c r="AD77" s="38" t="s">
        <v>72</v>
      </c>
      <c r="AE77" s="38" t="s">
        <v>90</v>
      </c>
      <c r="AF77" s="38" t="s">
        <v>74</v>
      </c>
      <c r="AG77" t="str">
        <f>VLOOKUP($Q77,武学奇术!$A:$ZZ,25,FALSE)</f>
        <v>陌刀</v>
      </c>
      <c r="AH77" s="23">
        <f>VLOOKUP($Q77,武学奇术!$A:$ZZ,26,FALSE)</f>
        <v>0.5</v>
      </c>
      <c r="AI77" s="24">
        <f>VLOOKUP($Q77,武学奇术!$A:$ZZ,27,FALSE)*(1+IF(OR($AG77=$F$4,$AG77=$F$5),$B$22,0))</f>
        <v>0</v>
      </c>
      <c r="AJ77" s="23">
        <f>VLOOKUP($Q77,武学奇术!$A:$ZZ,28,FALSE)</f>
        <v>0.75</v>
      </c>
      <c r="AK77" s="24">
        <f>VLOOKUP($Q77,武学奇术!$A:$ZZ,29,FALSE)*(1+IF(OR($AG77=$F$4,$AG77=$F$5),$B$22,0))</f>
        <v>0</v>
      </c>
      <c r="AL77" s="23" cm="1">
        <f t="array" ref="AL77">$G$3+IFERROR(VLOOKUP($AG77,$F$4:$G$7,2,FALSE),0)+VLOOKUP($Q77,武学奇术!$A:$ZZ,2,FALSE)+SUM(_xlfn.XLOOKUP($R77:$AF77,增益!$A:$A,增益!$B:$B,0))</f>
        <v>0.933</v>
      </c>
      <c r="AM77" s="23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3018.8</v>
      </c>
      <c r="AO77" cm="1">
        <f t="array" ref="AO77">$E$10*(1+$AM77)+VLOOKUP($Q77,武学奇术!$A:$ZZ,4,FALSE)+SUM(_xlfn.XLOOKUP($R77:$AF77,增益!$A:$A,增益!$D:$D,0))-$I$2</f>
        <v>3018.8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0.377</v>
      </c>
      <c r="AQ77" s="30" cm="1">
        <f t="array" ref="AQ77">$G$10+VLOOKUP($Q77,武学奇术!$A:$ZZ,7,FALSE)+SUM(_xlfn.XLOOKUP(R77:AF77,增益!$A:$A,增益!$G:$G,0))</f>
        <v>0</v>
      </c>
      <c r="AR77" s="23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-0.08</v>
      </c>
      <c r="AV77" s="30" cm="1">
        <f t="array" ref="AV77">$G$11+VLOOKUP($Q77,武学奇术!$A:$ZZ,10,FALSE)+SUM(_xlfn.XLOOKUP(R77:AF77,增益!$A:$A,增益!$J:$J,0))</f>
        <v>0</v>
      </c>
      <c r="AW77">
        <f t="shared" si="14"/>
        <v>634.5</v>
      </c>
      <c r="AX77">
        <f t="shared" si="15"/>
        <v>1443.3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0.198</v>
      </c>
      <c r="AZ77" s="30" cm="1">
        <f t="array" ref="AZ77">$G$12+VLOOKUP($Q77,武学奇术!$A:$ZZ,12,FALSE)+SUM(_xlfn.XLOOKUP(R77:AF77,增益!$A:$A,增益!$L:$L,0))</f>
        <v>0.148</v>
      </c>
      <c r="BA77">
        <f t="shared" si="16"/>
        <v>0</v>
      </c>
      <c r="BB77">
        <f t="shared" si="17"/>
        <v>0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-0.08</v>
      </c>
      <c r="BD77" s="30" cm="1">
        <f t="array" ref="BD77">$G$13+VLOOKUP($Q77,武学奇术!$A:$ZZ,14,FALSE)+SUM(_xlfn.XLOOKUP(R77:AF77,增益!$A:$A,增益!$N:$N,0))</f>
        <v>0</v>
      </c>
      <c r="BE77">
        <f t="shared" si="18"/>
        <v>0</v>
      </c>
      <c r="BF77">
        <f t="shared" si="19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-0.08</v>
      </c>
      <c r="BH77" s="30" cm="1">
        <f t="array" ref="BH77">$G$14+VLOOKUP($Q77,武学奇术!$A:$ZZ,16,FALSE)+SUM(_xlfn.XLOOKUP(R77:AF77,增益!$A:$A,增益!$P:$P,0))</f>
        <v>0</v>
      </c>
      <c r="BI77" s="23">
        <f>MIN(IF(VLOOKUP($Q77,武学奇术!$A:$ZZ,23,FALSE)=1,100%,$B$8),100%)</f>
        <v>1</v>
      </c>
      <c r="BJ77" s="23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1</v>
      </c>
      <c r="BK77" s="23" cm="1">
        <f t="array" ref="BK77">1+$B$13+VLOOKUP($Q77,武学奇术!$A:$ZZ,18,FALSE)+SUM(_xlfn.XLOOKUP(R77:AF77,增益!$A:$A,增益!$R:$R,0))</f>
        <v>2.1</v>
      </c>
      <c r="BL77" s="23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</v>
      </c>
      <c r="BM77" s="23" cm="1">
        <f t="array" ref="BM77">1+$B$14+VLOOKUP($Q77,武学奇术!$A:$ZZ,20,FALSE)+SUM(_xlfn.XLOOKUP(R77:AF77,增益!$A:$A,增益!$T:$T,0))</f>
        <v>1.35</v>
      </c>
      <c r="BN77" s="23">
        <f t="shared" si="20"/>
        <v>1</v>
      </c>
      <c r="BO77" s="23">
        <f t="shared" si="21"/>
        <v>0</v>
      </c>
      <c r="BP77" s="23">
        <f>IF(VLOOKUP($Q77,武学奇术!$A:$ZZ,22,FALSE)=1,0,(1-$BI77))*(1-$BL77)</f>
        <v>0</v>
      </c>
      <c r="BQ77" s="23" cm="1">
        <f t="array" ref="BQ77">SUM(_xlfn.XLOOKUP(R77:AF77,增益!$A:$A,增益!$W:$W,0))</f>
        <v>0.23</v>
      </c>
    </row>
    <row r="78" spans="1:69">
      <c r="A78" s="4"/>
      <c r="B78" s="4"/>
      <c r="K78" s="36">
        <f t="shared" si="11"/>
        <v>37369.7018500212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37369.7018500212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27204.5600779519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17795.0961190577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15438.6662544474</v>
      </c>
      <c r="P78" s="37">
        <v>1</v>
      </c>
      <c r="Q78" s="38" t="s">
        <v>106</v>
      </c>
      <c r="R78" s="38" t="s">
        <v>89</v>
      </c>
      <c r="S78" s="38" t="s">
        <v>78</v>
      </c>
      <c r="T78" s="38" t="s">
        <v>79</v>
      </c>
      <c r="U78" s="38" t="s">
        <v>111</v>
      </c>
      <c r="V78" s="38" t="s">
        <v>107</v>
      </c>
      <c r="W78" s="38" t="s">
        <v>104</v>
      </c>
      <c r="X78" s="38" t="s">
        <v>122</v>
      </c>
      <c r="Y78" s="38" t="s">
        <v>147</v>
      </c>
      <c r="Z78" s="38" t="s">
        <v>72</v>
      </c>
      <c r="AA78" s="38" t="s">
        <v>68</v>
      </c>
      <c r="AB78" s="38" t="s">
        <v>72</v>
      </c>
      <c r="AC78" s="38" t="s">
        <v>72</v>
      </c>
      <c r="AD78" s="38" t="s">
        <v>72</v>
      </c>
      <c r="AE78" s="38" t="s">
        <v>90</v>
      </c>
      <c r="AF78" s="38" t="s">
        <v>74</v>
      </c>
      <c r="AG78" t="str">
        <f>VLOOKUP($Q78,武学奇术!$A:$ZZ,25,FALSE)</f>
        <v>陌刀</v>
      </c>
      <c r="AH78" s="23">
        <f>VLOOKUP($Q78,武学奇术!$A:$ZZ,26,FALSE)</f>
        <v>0.9</v>
      </c>
      <c r="AI78" s="24">
        <f>VLOOKUP($Q78,武学奇术!$A:$ZZ,27,FALSE)*(1+IF(OR($AG78=$F$4,$AG78=$F$5),$B$22,0))</f>
        <v>0</v>
      </c>
      <c r="AJ78" s="23">
        <f>VLOOKUP($Q78,武学奇术!$A:$ZZ,28,FALSE)</f>
        <v>1.35</v>
      </c>
      <c r="AK78" s="24">
        <f>VLOOKUP($Q78,武学奇术!$A:$ZZ,29,FALSE)*(1+IF(OR($AG78=$F$4,$AG78=$F$5),$B$22,0))</f>
        <v>0</v>
      </c>
      <c r="AL78" s="23" cm="1">
        <f t="array" ref="AL78">$G$3+IFERROR(VLOOKUP($AG78,$F$4:$G$7,2,FALSE),0)+VLOOKUP($Q78,武学奇术!$A:$ZZ,2,FALSE)+SUM(_xlfn.XLOOKUP($R78:$AF78,增益!$A:$A,增益!$B:$B,0))</f>
        <v>0.933</v>
      </c>
      <c r="AM78" s="23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3018.8</v>
      </c>
      <c r="AO78" cm="1">
        <f t="array" ref="AO78">$E$10*(1+$AM78)+VLOOKUP($Q78,武学奇术!$A:$ZZ,4,FALSE)+SUM(_xlfn.XLOOKUP($R78:$AF78,增益!$A:$A,增益!$D:$D,0))-$I$2</f>
        <v>3018.8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0.377</v>
      </c>
      <c r="AQ78" s="30" cm="1">
        <f t="array" ref="AQ78">$G$10+VLOOKUP($Q78,武学奇术!$A:$ZZ,7,FALSE)+SUM(_xlfn.XLOOKUP(R78:AF78,增益!$A:$A,增益!$G:$G,0))</f>
        <v>0</v>
      </c>
      <c r="AR78" s="23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-0.08</v>
      </c>
      <c r="AV78" s="30" cm="1">
        <f t="array" ref="AV78">$G$11+VLOOKUP($Q78,武学奇术!$A:$ZZ,10,FALSE)+SUM(_xlfn.XLOOKUP(R78:AF78,增益!$A:$A,增益!$J:$J,0))</f>
        <v>0</v>
      </c>
      <c r="AW78">
        <f t="shared" si="14"/>
        <v>634.5</v>
      </c>
      <c r="AX78">
        <f t="shared" si="15"/>
        <v>1443.3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0.198</v>
      </c>
      <c r="AZ78" s="30" cm="1">
        <f t="array" ref="AZ78">$G$12+VLOOKUP($Q78,武学奇术!$A:$ZZ,12,FALSE)+SUM(_xlfn.XLOOKUP(R78:AF78,增益!$A:$A,增益!$L:$L,0))</f>
        <v>0.148</v>
      </c>
      <c r="BA78">
        <f t="shared" si="16"/>
        <v>0</v>
      </c>
      <c r="BB78">
        <f t="shared" si="17"/>
        <v>0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-0.08</v>
      </c>
      <c r="BD78" s="30" cm="1">
        <f t="array" ref="BD78">$G$13+VLOOKUP($Q78,武学奇术!$A:$ZZ,14,FALSE)+SUM(_xlfn.XLOOKUP(R78:AF78,增益!$A:$A,增益!$N:$N,0))</f>
        <v>0</v>
      </c>
      <c r="BE78">
        <f t="shared" si="18"/>
        <v>0</v>
      </c>
      <c r="BF78">
        <f t="shared" si="19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-0.08</v>
      </c>
      <c r="BH78" s="30" cm="1">
        <f t="array" ref="BH78">$G$14+VLOOKUP($Q78,武学奇术!$A:$ZZ,16,FALSE)+SUM(_xlfn.XLOOKUP(R78:AF78,增益!$A:$A,增益!$P:$P,0))</f>
        <v>0</v>
      </c>
      <c r="BI78" s="23">
        <f>MIN(IF(VLOOKUP($Q78,武学奇术!$A:$ZZ,23,FALSE)=1,100%,$B$8),100%)</f>
        <v>1</v>
      </c>
      <c r="BJ78" s="23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1</v>
      </c>
      <c r="BK78" s="23" cm="1">
        <f t="array" ref="BK78">1+$B$13+VLOOKUP($Q78,武学奇术!$A:$ZZ,18,FALSE)+SUM(_xlfn.XLOOKUP(R78:AF78,增益!$A:$A,增益!$R:$R,0))</f>
        <v>2.1</v>
      </c>
      <c r="BL78" s="23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</v>
      </c>
      <c r="BM78" s="23" cm="1">
        <f t="array" ref="BM78">1+$B$14+VLOOKUP($Q78,武学奇术!$A:$ZZ,20,FALSE)+SUM(_xlfn.XLOOKUP(R78:AF78,增益!$A:$A,增益!$T:$T,0))</f>
        <v>1.35</v>
      </c>
      <c r="BN78" s="23">
        <f t="shared" si="20"/>
        <v>1</v>
      </c>
      <c r="BO78" s="23">
        <f t="shared" si="21"/>
        <v>0</v>
      </c>
      <c r="BP78" s="23">
        <f>IF(VLOOKUP($Q78,武学奇术!$A:$ZZ,22,FALSE)=1,0,(1-$BI78))*(1-$BL78)</f>
        <v>0</v>
      </c>
      <c r="BQ78" s="23" cm="1">
        <f t="array" ref="BQ78">SUM(_xlfn.XLOOKUP(R78:AF78,增益!$A:$A,增益!$W:$W,0))</f>
        <v>0.23</v>
      </c>
    </row>
    <row r="79" spans="1:69">
      <c r="A79" s="4"/>
      <c r="B79" s="4"/>
      <c r="K79" s="36">
        <f t="shared" si="11"/>
        <v>355341.532550141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355341.532550141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254905.394695743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169210.253595305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149601.696304875</v>
      </c>
      <c r="P79" s="37">
        <v>1</v>
      </c>
      <c r="Q79" s="38" t="s">
        <v>110</v>
      </c>
      <c r="R79" s="38" t="s">
        <v>89</v>
      </c>
      <c r="S79" s="38" t="s">
        <v>78</v>
      </c>
      <c r="T79" s="38" t="s">
        <v>79</v>
      </c>
      <c r="U79" s="38" t="s">
        <v>111</v>
      </c>
      <c r="V79" s="38" t="s">
        <v>107</v>
      </c>
      <c r="W79" s="38" t="s">
        <v>112</v>
      </c>
      <c r="X79" s="38" t="s">
        <v>122</v>
      </c>
      <c r="Y79" s="38" t="s">
        <v>147</v>
      </c>
      <c r="Z79" s="38" t="s">
        <v>72</v>
      </c>
      <c r="AA79" s="38" t="s">
        <v>68</v>
      </c>
      <c r="AB79" s="38" t="s">
        <v>72</v>
      </c>
      <c r="AC79" s="38" t="s">
        <v>72</v>
      </c>
      <c r="AD79" s="38" t="s">
        <v>72</v>
      </c>
      <c r="AE79" s="38" t="s">
        <v>90</v>
      </c>
      <c r="AF79" s="38" t="s">
        <v>74</v>
      </c>
      <c r="AG79" t="str">
        <f>VLOOKUP($Q79,武学奇术!$A:$ZZ,25,FALSE)</f>
        <v>陌刀</v>
      </c>
      <c r="AH79" s="23">
        <f>VLOOKUP($Q79,武学奇术!$A:$ZZ,26,FALSE)</f>
        <v>7.5674</v>
      </c>
      <c r="AI79" s="24">
        <f>VLOOKUP($Q79,武学奇术!$A:$ZZ,27,FALSE)*(1+IF(OR($AG79=$F$4,$AG79=$F$5),$B$22,0))</f>
        <v>2720.9</v>
      </c>
      <c r="AJ79" s="23">
        <f>VLOOKUP($Q79,武学奇术!$A:$ZZ,28,FALSE)</f>
        <v>11.3512</v>
      </c>
      <c r="AK79" s="24">
        <f>VLOOKUP($Q79,武学奇术!$A:$ZZ,29,FALSE)*(1+IF(OR($AG79=$F$4,$AG79=$F$5),$B$22,0))</f>
        <v>1482</v>
      </c>
      <c r="AL79" s="23" cm="1">
        <f t="array" ref="AL79">$G$3+IFERROR(VLOOKUP($AG79,$F$4:$G$7,2,FALSE),0)+VLOOKUP($Q79,武学奇术!$A:$ZZ,2,FALSE)+SUM(_xlfn.XLOOKUP($R79:$AF79,增益!$A:$A,增益!$B:$B,0))</f>
        <v>0.913</v>
      </c>
      <c r="AM79" s="23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3018.8</v>
      </c>
      <c r="AO79" cm="1">
        <f t="array" ref="AO79">$E$10*(1+$AM79)+VLOOKUP($Q79,武学奇术!$A:$ZZ,4,FALSE)+SUM(_xlfn.XLOOKUP($R79:$AF79,增益!$A:$A,增益!$D:$D,0))-$I$2</f>
        <v>3018.8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0.377</v>
      </c>
      <c r="AQ79" s="30" cm="1">
        <f t="array" ref="AQ79">$G$10+VLOOKUP($Q79,武学奇术!$A:$ZZ,7,FALSE)+SUM(_xlfn.XLOOKUP(R79:AF79,增益!$A:$A,增益!$G:$G,0))</f>
        <v>0</v>
      </c>
      <c r="AR79" s="23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-0.08</v>
      </c>
      <c r="AV79" s="30" cm="1">
        <f t="array" ref="AV79">$G$11+VLOOKUP($Q79,武学奇术!$A:$ZZ,10,FALSE)+SUM(_xlfn.XLOOKUP(R79:AF79,增益!$A:$A,增益!$J:$J,0))</f>
        <v>0</v>
      </c>
      <c r="AW79">
        <f t="shared" si="14"/>
        <v>634.5</v>
      </c>
      <c r="AX79">
        <f t="shared" si="15"/>
        <v>1443.3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0.198</v>
      </c>
      <c r="AZ79" s="30" cm="1">
        <f t="array" ref="AZ79">$G$12+VLOOKUP($Q79,武学奇术!$A:$ZZ,12,FALSE)+SUM(_xlfn.XLOOKUP(R79:AF79,增益!$A:$A,增益!$L:$L,0))</f>
        <v>0.148</v>
      </c>
      <c r="BA79">
        <f t="shared" si="16"/>
        <v>0</v>
      </c>
      <c r="BB79">
        <f t="shared" si="17"/>
        <v>0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-0.08</v>
      </c>
      <c r="BD79" s="30" cm="1">
        <f t="array" ref="BD79">$G$13+VLOOKUP($Q79,武学奇术!$A:$ZZ,14,FALSE)+SUM(_xlfn.XLOOKUP(R79:AF79,增益!$A:$A,增益!$N:$N,0))</f>
        <v>0</v>
      </c>
      <c r="BE79">
        <f t="shared" si="18"/>
        <v>0</v>
      </c>
      <c r="BF79">
        <f t="shared" si="19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-0.08</v>
      </c>
      <c r="BH79" s="30" cm="1">
        <f t="array" ref="BH79">$G$14+VLOOKUP($Q79,武学奇术!$A:$ZZ,16,FALSE)+SUM(_xlfn.XLOOKUP(R79:AF79,增益!$A:$A,增益!$P:$P,0))</f>
        <v>0</v>
      </c>
      <c r="BI79" s="23">
        <f>MIN(IF(VLOOKUP($Q79,武学奇术!$A:$ZZ,23,FALSE)=1,100%,$B$8),100%)</f>
        <v>1</v>
      </c>
      <c r="BJ79" s="23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1</v>
      </c>
      <c r="BK79" s="23" cm="1">
        <f t="array" ref="BK79">1+$B$13+VLOOKUP($Q79,武学奇术!$A:$ZZ,18,FALSE)+SUM(_xlfn.XLOOKUP(R79:AF79,增益!$A:$A,增益!$R:$R,0))</f>
        <v>2.1</v>
      </c>
      <c r="BL79" s="23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</v>
      </c>
      <c r="BM79" s="23" cm="1">
        <f t="array" ref="BM79">1+$B$14+VLOOKUP($Q79,武学奇术!$A:$ZZ,20,FALSE)+SUM(_xlfn.XLOOKUP(R79:AF79,增益!$A:$A,增益!$T:$T,0))</f>
        <v>1.35</v>
      </c>
      <c r="BN79" s="23">
        <f t="shared" si="20"/>
        <v>1</v>
      </c>
      <c r="BO79" s="23">
        <f t="shared" si="21"/>
        <v>0</v>
      </c>
      <c r="BP79" s="23">
        <f>IF(VLOOKUP($Q79,武学奇术!$A:$ZZ,22,FALSE)=1,0,(1-$BI79))*(1-$BL79)</f>
        <v>0</v>
      </c>
      <c r="BQ79" s="23" cm="1">
        <f t="array" ref="BQ79">SUM(_xlfn.XLOOKUP(R79:AF79,增益!$A:$A,增益!$W:$W,0))</f>
        <v>0.23</v>
      </c>
    </row>
    <row r="80" spans="1:69">
      <c r="A80" s="4"/>
      <c r="B80" s="4"/>
      <c r="C80" s="37"/>
      <c r="K80" s="36">
        <f t="shared" si="11"/>
        <v>17656.0879301249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19772.3290211752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15113.644487751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9886.16451058761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8577.03680802631</v>
      </c>
      <c r="P80" s="37">
        <v>1</v>
      </c>
      <c r="Q80" s="38" t="s">
        <v>102</v>
      </c>
      <c r="R80" s="38" t="s">
        <v>89</v>
      </c>
      <c r="S80" s="38" t="s">
        <v>78</v>
      </c>
      <c r="T80" s="38" t="s">
        <v>79</v>
      </c>
      <c r="U80" s="38" t="s">
        <v>111</v>
      </c>
      <c r="V80" s="38" t="s">
        <v>72</v>
      </c>
      <c r="W80" s="38" t="s">
        <v>104</v>
      </c>
      <c r="X80" s="38" t="s">
        <v>122</v>
      </c>
      <c r="Y80" s="38" t="s">
        <v>147</v>
      </c>
      <c r="Z80" s="38" t="s">
        <v>72</v>
      </c>
      <c r="AA80" s="38" t="s">
        <v>68</v>
      </c>
      <c r="AB80" s="38" t="s">
        <v>72</v>
      </c>
      <c r="AC80" s="38" t="s">
        <v>72</v>
      </c>
      <c r="AD80" s="38" t="s">
        <v>72</v>
      </c>
      <c r="AE80" s="38" t="s">
        <v>90</v>
      </c>
      <c r="AF80" s="38" t="s">
        <v>74</v>
      </c>
      <c r="AG80" t="str">
        <f>VLOOKUP($Q80,武学奇术!$A:$ZZ,25,FALSE)</f>
        <v>陌刀</v>
      </c>
      <c r="AH80" s="23">
        <f>VLOOKUP($Q80,武学奇术!$A:$ZZ,26,FALSE)</f>
        <v>0.5</v>
      </c>
      <c r="AI80" s="24">
        <f>VLOOKUP($Q80,武学奇术!$A:$ZZ,27,FALSE)*(1+IF(OR($AG80=$F$4,$AG80=$F$5),$B$22,0))</f>
        <v>0</v>
      </c>
      <c r="AJ80" s="23">
        <f>VLOOKUP($Q80,武学奇术!$A:$ZZ,28,FALSE)</f>
        <v>0.75</v>
      </c>
      <c r="AK80" s="24">
        <f>VLOOKUP($Q80,武学奇术!$A:$ZZ,29,FALSE)*(1+IF(OR($AG80=$F$4,$AG80=$F$5),$B$22,0))</f>
        <v>0</v>
      </c>
      <c r="AL80" s="23" cm="1">
        <f t="array" ref="AL80">$G$3+IFERROR(VLOOKUP($AG80,$F$4:$G$7,2,FALSE),0)+VLOOKUP($Q80,武学奇术!$A:$ZZ,2,FALSE)+SUM(_xlfn.XLOOKUP($R80:$AF80,增益!$A:$A,增益!$B:$B,0))</f>
        <v>0.933</v>
      </c>
      <c r="AM80" s="23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3018.8</v>
      </c>
      <c r="AO80" cm="1">
        <f t="array" ref="AO80">$E$10*(1+$AM80)+VLOOKUP($Q80,武学奇术!$A:$ZZ,4,FALSE)+SUM(_xlfn.XLOOKUP($R80:$AF80,增益!$A:$A,增益!$D:$D,0))-$I$2</f>
        <v>3018.8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0.377</v>
      </c>
      <c r="AQ80" s="30" cm="1">
        <f t="array" ref="AQ80">$G$10+VLOOKUP($Q80,武学奇术!$A:$ZZ,7,FALSE)+SUM(_xlfn.XLOOKUP(R80:AF80,增益!$A:$A,增益!$G:$G,0))</f>
        <v>0</v>
      </c>
      <c r="AR80" s="23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-0.08</v>
      </c>
      <c r="AV80" s="30" cm="1">
        <f t="array" ref="AV80">$G$11+VLOOKUP($Q80,武学奇术!$A:$ZZ,10,FALSE)+SUM(_xlfn.XLOOKUP(R80:AF80,增益!$A:$A,增益!$J:$J,0))</f>
        <v>0</v>
      </c>
      <c r="AW80">
        <f t="shared" si="14"/>
        <v>634.5</v>
      </c>
      <c r="AX80">
        <f t="shared" si="15"/>
        <v>1443.3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0.198</v>
      </c>
      <c r="AZ80" s="30" cm="1">
        <f t="array" ref="AZ80">$G$12+VLOOKUP($Q80,武学奇术!$A:$ZZ,12,FALSE)+SUM(_xlfn.XLOOKUP(R80:AF80,增益!$A:$A,增益!$L:$L,0))</f>
        <v>0.148</v>
      </c>
      <c r="BA80">
        <f t="shared" si="16"/>
        <v>0</v>
      </c>
      <c r="BB80">
        <f t="shared" si="17"/>
        <v>0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-0.08</v>
      </c>
      <c r="BD80" s="30" cm="1">
        <f t="array" ref="BD80">$G$13+VLOOKUP($Q80,武学奇术!$A:$ZZ,14,FALSE)+SUM(_xlfn.XLOOKUP(R80:AF80,增益!$A:$A,增益!$N:$N,0))</f>
        <v>0</v>
      </c>
      <c r="BE80">
        <f t="shared" si="18"/>
        <v>0</v>
      </c>
      <c r="BF80">
        <f t="shared" si="19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-0.08</v>
      </c>
      <c r="BH80" s="30" cm="1">
        <f t="array" ref="BH80">$G$14+VLOOKUP($Q80,武学奇术!$A:$ZZ,16,FALSE)+SUM(_xlfn.XLOOKUP(R80:AF80,增益!$A:$A,增益!$P:$P,0))</f>
        <v>0</v>
      </c>
      <c r="BI80" s="23">
        <f>MIN(IF(VLOOKUP($Q80,武学奇术!$A:$ZZ,23,FALSE)=1,100%,$B$8),100%)</f>
        <v>0.8626</v>
      </c>
      <c r="BJ80" s="23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0.8697</v>
      </c>
      <c r="BK80" s="23" cm="1">
        <f t="array" ref="BK80">1+$B$13+VLOOKUP($Q80,武学奇术!$A:$ZZ,18,FALSE)+SUM(_xlfn.XLOOKUP(R80:AF80,增益!$A:$A,增益!$R:$R,0))</f>
        <v>2</v>
      </c>
      <c r="BL80" s="23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0.0986</v>
      </c>
      <c r="BM80" s="23" cm="1">
        <f t="array" ref="BM80">1+$B$14+VLOOKUP($Q80,武学奇术!$A:$ZZ,20,FALSE)+SUM(_xlfn.XLOOKUP(R80:AF80,增益!$A:$A,增益!$T:$T,0))</f>
        <v>1.35</v>
      </c>
      <c r="BN80" s="23">
        <f t="shared" si="20"/>
        <v>0.75020322</v>
      </c>
      <c r="BO80" s="23">
        <f t="shared" si="21"/>
        <v>0.0273444200000001</v>
      </c>
      <c r="BP80" s="23">
        <f>IF(VLOOKUP($Q80,武学奇术!$A:$ZZ,22,FALSE)=1,0,(1-$BI80))*(1-$BL80)</f>
        <v>0.12385236</v>
      </c>
      <c r="BQ80" s="23" cm="1">
        <f t="array" ref="BQ80">SUM(_xlfn.XLOOKUP(R80:AF80,增益!$A:$A,增益!$W:$W,0))</f>
        <v>0.23</v>
      </c>
    </row>
    <row r="81" spans="1:69">
      <c r="K81" s="36">
        <f t="shared" si="11"/>
        <v>31780.9582742248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35590.1922381154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27204.5600779519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17795.0961190577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15438.6662544474</v>
      </c>
      <c r="P81" s="37">
        <v>1</v>
      </c>
      <c r="Q81" s="38" t="s">
        <v>136</v>
      </c>
      <c r="R81" s="38" t="s">
        <v>89</v>
      </c>
      <c r="S81" s="38" t="s">
        <v>78</v>
      </c>
      <c r="T81" s="38" t="s">
        <v>79</v>
      </c>
      <c r="U81" s="38" t="s">
        <v>111</v>
      </c>
      <c r="V81" s="38" t="s">
        <v>72</v>
      </c>
      <c r="W81" s="38" t="s">
        <v>104</v>
      </c>
      <c r="X81" s="38" t="s">
        <v>122</v>
      </c>
      <c r="Y81" s="38" t="s">
        <v>147</v>
      </c>
      <c r="Z81" s="38" t="s">
        <v>72</v>
      </c>
      <c r="AA81" s="38" t="s">
        <v>68</v>
      </c>
      <c r="AB81" s="38" t="s">
        <v>72</v>
      </c>
      <c r="AC81" s="38" t="s">
        <v>72</v>
      </c>
      <c r="AD81" s="38" t="s">
        <v>72</v>
      </c>
      <c r="AE81" s="38" t="s">
        <v>90</v>
      </c>
      <c r="AF81" s="38" t="s">
        <v>74</v>
      </c>
      <c r="AG81" t="str">
        <f>VLOOKUP($Q81,武学奇术!$A:$ZZ,25,FALSE)</f>
        <v>陌刀</v>
      </c>
      <c r="AH81" s="23">
        <f>VLOOKUP($Q81,武学奇术!$A:$ZZ,26,FALSE)</f>
        <v>0.9</v>
      </c>
      <c r="AI81" s="24">
        <f>VLOOKUP($Q81,武学奇术!$A:$ZZ,27,FALSE)*(1+IF(OR($AG81=$F$4,$AG81=$F$5),$B$22,0))</f>
        <v>0</v>
      </c>
      <c r="AJ81" s="23">
        <f>VLOOKUP($Q81,武学奇术!$A:$ZZ,28,FALSE)</f>
        <v>1.35</v>
      </c>
      <c r="AK81" s="24">
        <f>VLOOKUP($Q81,武学奇术!$A:$ZZ,29,FALSE)*(1+IF(OR($AG81=$F$4,$AG81=$F$5),$B$22,0))</f>
        <v>0</v>
      </c>
      <c r="AL81" s="23" cm="1">
        <f t="array" ref="AL81">$G$3+IFERROR(VLOOKUP($AG81,$F$4:$G$7,2,FALSE),0)+VLOOKUP($Q81,武学奇术!$A:$ZZ,2,FALSE)+SUM(_xlfn.XLOOKUP($R81:$AF81,增益!$A:$A,增益!$B:$B,0))</f>
        <v>0.933</v>
      </c>
      <c r="AM81" s="23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3018.8</v>
      </c>
      <c r="AO81" cm="1">
        <f t="array" ref="AO81">$E$10*(1+$AM81)+VLOOKUP($Q81,武学奇术!$A:$ZZ,4,FALSE)+SUM(_xlfn.XLOOKUP($R81:$AF81,增益!$A:$A,增益!$D:$D,0))-$I$2</f>
        <v>3018.8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0.377</v>
      </c>
      <c r="AQ81" s="30" cm="1">
        <f t="array" ref="AQ81">$G$10+VLOOKUP($Q81,武学奇术!$A:$ZZ,7,FALSE)+SUM(_xlfn.XLOOKUP(R81:AF81,增益!$A:$A,增益!$G:$G,0))</f>
        <v>0</v>
      </c>
      <c r="AR81" s="23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-0.08</v>
      </c>
      <c r="AV81" s="30" cm="1">
        <f t="array" ref="AV81">$G$11+VLOOKUP($Q81,武学奇术!$A:$ZZ,10,FALSE)+SUM(_xlfn.XLOOKUP(R81:AF81,增益!$A:$A,增益!$J:$J,0))</f>
        <v>0</v>
      </c>
      <c r="AW81">
        <f t="shared" si="14"/>
        <v>634.5</v>
      </c>
      <c r="AX81">
        <f t="shared" si="15"/>
        <v>1443.3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0.198</v>
      </c>
      <c r="AZ81" s="30" cm="1">
        <f t="array" ref="AZ81">$G$12+VLOOKUP($Q81,武学奇术!$A:$ZZ,12,FALSE)+SUM(_xlfn.XLOOKUP(R81:AF81,增益!$A:$A,增益!$L:$L,0))</f>
        <v>0.148</v>
      </c>
      <c r="BA81">
        <f t="shared" si="16"/>
        <v>0</v>
      </c>
      <c r="BB81">
        <f t="shared" si="17"/>
        <v>0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-0.08</v>
      </c>
      <c r="BD81" s="30" cm="1">
        <f t="array" ref="BD81">$G$13+VLOOKUP($Q81,武学奇术!$A:$ZZ,14,FALSE)+SUM(_xlfn.XLOOKUP(R81:AF81,增益!$A:$A,增益!$N:$N,0))</f>
        <v>0</v>
      </c>
      <c r="BE81">
        <f t="shared" si="18"/>
        <v>0</v>
      </c>
      <c r="BF81">
        <f t="shared" si="19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-0.08</v>
      </c>
      <c r="BH81" s="30" cm="1">
        <f t="array" ref="BH81">$G$14+VLOOKUP($Q81,武学奇术!$A:$ZZ,16,FALSE)+SUM(_xlfn.XLOOKUP(R81:AF81,增益!$A:$A,增益!$P:$P,0))</f>
        <v>0</v>
      </c>
      <c r="BI81" s="23">
        <f>MIN(IF(VLOOKUP($Q81,武学奇术!$A:$ZZ,23,FALSE)=1,100%,$B$8),100%)</f>
        <v>0.8626</v>
      </c>
      <c r="BJ81" s="23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0.8697</v>
      </c>
      <c r="BK81" s="23" cm="1">
        <f t="array" ref="BK81">1+$B$13+VLOOKUP($Q81,武学奇术!$A:$ZZ,18,FALSE)+SUM(_xlfn.XLOOKUP(R81:AF81,增益!$A:$A,增益!$R:$R,0))</f>
        <v>2</v>
      </c>
      <c r="BL81" s="23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0.0986</v>
      </c>
      <c r="BM81" s="23" cm="1">
        <f t="array" ref="BM81">1+$B$14+VLOOKUP($Q81,武学奇术!$A:$ZZ,20,FALSE)+SUM(_xlfn.XLOOKUP(R81:AF81,增益!$A:$A,增益!$T:$T,0))</f>
        <v>1.35</v>
      </c>
      <c r="BN81" s="23">
        <f t="shared" si="20"/>
        <v>0.75020322</v>
      </c>
      <c r="BO81" s="23">
        <f t="shared" si="21"/>
        <v>0.0273444200000001</v>
      </c>
      <c r="BP81" s="23">
        <f>IF(VLOOKUP($Q81,武学奇术!$A:$ZZ,22,FALSE)=1,0,(1-$BI81))*(1-$BL81)</f>
        <v>0.12385236</v>
      </c>
      <c r="BQ81" s="23" cm="1">
        <f t="array" ref="BQ81">SUM(_xlfn.XLOOKUP(R81:AF81,增益!$A:$A,增益!$W:$W,0))</f>
        <v>0.23</v>
      </c>
    </row>
    <row r="82" spans="1:69">
      <c r="A82" s="4"/>
      <c r="B82" s="4"/>
      <c r="K82" s="36">
        <f t="shared" si="11"/>
        <v>355341.532550141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355341.532550141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254905.394695743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169210.253595305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149601.696304875</v>
      </c>
      <c r="P82" s="37">
        <v>1</v>
      </c>
      <c r="Q82" s="38" t="s">
        <v>110</v>
      </c>
      <c r="R82" s="38" t="s">
        <v>89</v>
      </c>
      <c r="S82" s="38" t="s">
        <v>78</v>
      </c>
      <c r="T82" s="38" t="s">
        <v>79</v>
      </c>
      <c r="U82" s="38" t="s">
        <v>111</v>
      </c>
      <c r="V82" s="38" t="s">
        <v>107</v>
      </c>
      <c r="W82" s="38" t="s">
        <v>112</v>
      </c>
      <c r="X82" s="38" t="s">
        <v>122</v>
      </c>
      <c r="Y82" s="38" t="s">
        <v>147</v>
      </c>
      <c r="Z82" s="38" t="s">
        <v>72</v>
      </c>
      <c r="AA82" s="38" t="s">
        <v>68</v>
      </c>
      <c r="AB82" s="38" t="s">
        <v>72</v>
      </c>
      <c r="AC82" s="38" t="s">
        <v>72</v>
      </c>
      <c r="AD82" s="38" t="s">
        <v>72</v>
      </c>
      <c r="AE82" s="38" t="s">
        <v>90</v>
      </c>
      <c r="AF82" s="38" t="s">
        <v>74</v>
      </c>
      <c r="AG82" t="str">
        <f>VLOOKUP($Q82,武学奇术!$A:$ZZ,25,FALSE)</f>
        <v>陌刀</v>
      </c>
      <c r="AH82" s="23">
        <f>VLOOKUP($Q82,武学奇术!$A:$ZZ,26,FALSE)</f>
        <v>7.5674</v>
      </c>
      <c r="AI82" s="24">
        <f>VLOOKUP($Q82,武学奇术!$A:$ZZ,27,FALSE)*(1+IF(OR($AG82=$F$4,$AG82=$F$5),$B$22,0))</f>
        <v>2720.9</v>
      </c>
      <c r="AJ82" s="23">
        <f>VLOOKUP($Q82,武学奇术!$A:$ZZ,28,FALSE)</f>
        <v>11.3512</v>
      </c>
      <c r="AK82" s="24">
        <f>VLOOKUP($Q82,武学奇术!$A:$ZZ,29,FALSE)*(1+IF(OR($AG82=$F$4,$AG82=$F$5),$B$22,0))</f>
        <v>1482</v>
      </c>
      <c r="AL82" s="23" cm="1">
        <f t="array" ref="AL82">$G$3+IFERROR(VLOOKUP($AG82,$F$4:$G$7,2,FALSE),0)+VLOOKUP($Q82,武学奇术!$A:$ZZ,2,FALSE)+SUM(_xlfn.XLOOKUP($R82:$AF82,增益!$A:$A,增益!$B:$B,0))</f>
        <v>0.913</v>
      </c>
      <c r="AM82" s="23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3018.8</v>
      </c>
      <c r="AO82" cm="1">
        <f t="array" ref="AO82">$E$10*(1+$AM82)+VLOOKUP($Q82,武学奇术!$A:$ZZ,4,FALSE)+SUM(_xlfn.XLOOKUP($R82:$AF82,增益!$A:$A,增益!$D:$D,0))-$I$2</f>
        <v>3018.8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0.377</v>
      </c>
      <c r="AQ82" s="30" cm="1">
        <f t="array" ref="AQ82">$G$10+VLOOKUP($Q82,武学奇术!$A:$ZZ,7,FALSE)+SUM(_xlfn.XLOOKUP(R82:AF82,增益!$A:$A,增益!$G:$G,0))</f>
        <v>0</v>
      </c>
      <c r="AR82" s="23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-0.08</v>
      </c>
      <c r="AV82" s="30" cm="1">
        <f t="array" ref="AV82">$G$11+VLOOKUP($Q82,武学奇术!$A:$ZZ,10,FALSE)+SUM(_xlfn.XLOOKUP(R82:AF82,增益!$A:$A,增益!$J:$J,0))</f>
        <v>0</v>
      </c>
      <c r="AW82">
        <f t="shared" si="14"/>
        <v>634.5</v>
      </c>
      <c r="AX82">
        <f t="shared" si="15"/>
        <v>1443.3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0.198</v>
      </c>
      <c r="AZ82" s="30" cm="1">
        <f t="array" ref="AZ82">$G$12+VLOOKUP($Q82,武学奇术!$A:$ZZ,12,FALSE)+SUM(_xlfn.XLOOKUP(R82:AF82,增益!$A:$A,增益!$L:$L,0))</f>
        <v>0.148</v>
      </c>
      <c r="BA82">
        <f t="shared" si="16"/>
        <v>0</v>
      </c>
      <c r="BB82">
        <f t="shared" si="17"/>
        <v>0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-0.08</v>
      </c>
      <c r="BD82" s="30" cm="1">
        <f t="array" ref="BD82">$G$13+VLOOKUP($Q82,武学奇术!$A:$ZZ,14,FALSE)+SUM(_xlfn.XLOOKUP(R82:AF82,增益!$A:$A,增益!$N:$N,0))</f>
        <v>0</v>
      </c>
      <c r="BE82">
        <f t="shared" si="18"/>
        <v>0</v>
      </c>
      <c r="BF82">
        <f t="shared" si="19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-0.08</v>
      </c>
      <c r="BH82" s="30" cm="1">
        <f t="array" ref="BH82">$G$14+VLOOKUP($Q82,武学奇术!$A:$ZZ,16,FALSE)+SUM(_xlfn.XLOOKUP(R82:AF82,增益!$A:$A,增益!$P:$P,0))</f>
        <v>0</v>
      </c>
      <c r="BI82" s="23">
        <f>MIN(IF(VLOOKUP($Q82,武学奇术!$A:$ZZ,23,FALSE)=1,100%,$B$8),100%)</f>
        <v>1</v>
      </c>
      <c r="BJ82" s="23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1</v>
      </c>
      <c r="BK82" s="23" cm="1">
        <f t="array" ref="BK82">1+$B$13+VLOOKUP($Q82,武学奇术!$A:$ZZ,18,FALSE)+SUM(_xlfn.XLOOKUP(R82:AF82,增益!$A:$A,增益!$R:$R,0))</f>
        <v>2.1</v>
      </c>
      <c r="BL82" s="23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</v>
      </c>
      <c r="BM82" s="23" cm="1">
        <f t="array" ref="BM82">1+$B$14+VLOOKUP($Q82,武学奇术!$A:$ZZ,20,FALSE)+SUM(_xlfn.XLOOKUP(R82:AF82,增益!$A:$A,增益!$T:$T,0))</f>
        <v>1.35</v>
      </c>
      <c r="BN82" s="23">
        <f t="shared" si="20"/>
        <v>1</v>
      </c>
      <c r="BO82" s="23">
        <f t="shared" si="21"/>
        <v>0</v>
      </c>
      <c r="BP82" s="23">
        <f>IF(VLOOKUP($Q82,武学奇术!$A:$ZZ,22,FALSE)=1,0,(1-$BI82))*(1-$BL82)</f>
        <v>0</v>
      </c>
      <c r="BQ82" s="23" cm="1">
        <f t="array" ref="BQ82">SUM(_xlfn.XLOOKUP(R82:AF82,增益!$A:$A,增益!$W:$W,0))</f>
        <v>0.23</v>
      </c>
    </row>
    <row r="83" spans="1:69">
      <c r="A83" s="4"/>
      <c r="B83" s="4"/>
      <c r="K83" s="36">
        <f t="shared" si="11"/>
        <v>16103.3021318211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18033.4278656658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13784.4569228686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9016.71393283288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7822.71903391122</v>
      </c>
      <c r="P83" s="37">
        <v>1</v>
      </c>
      <c r="Q83" s="38" t="s">
        <v>102</v>
      </c>
      <c r="R83" s="38" t="s">
        <v>89</v>
      </c>
      <c r="S83" s="38" t="s">
        <v>72</v>
      </c>
      <c r="T83" s="38" t="s">
        <v>79</v>
      </c>
      <c r="U83" s="38" t="s">
        <v>111</v>
      </c>
      <c r="V83" s="38" t="s">
        <v>72</v>
      </c>
      <c r="W83" s="38" t="s">
        <v>72</v>
      </c>
      <c r="X83" s="38" t="s">
        <v>122</v>
      </c>
      <c r="Y83" s="38" t="s">
        <v>147</v>
      </c>
      <c r="Z83" s="38" t="s">
        <v>72</v>
      </c>
      <c r="AA83" s="38" t="s">
        <v>68</v>
      </c>
      <c r="AB83" s="38" t="s">
        <v>72</v>
      </c>
      <c r="AC83" s="38" t="s">
        <v>72</v>
      </c>
      <c r="AD83" s="38" t="s">
        <v>72</v>
      </c>
      <c r="AE83" s="38" t="s">
        <v>90</v>
      </c>
      <c r="AF83" s="38" t="s">
        <v>74</v>
      </c>
      <c r="AG83" t="str">
        <f>VLOOKUP($Q83,武学奇术!$A:$ZZ,25,FALSE)</f>
        <v>陌刀</v>
      </c>
      <c r="AH83" s="23">
        <f>VLOOKUP($Q83,武学奇术!$A:$ZZ,26,FALSE)</f>
        <v>0.5</v>
      </c>
      <c r="AI83" s="24">
        <f>VLOOKUP($Q83,武学奇术!$A:$ZZ,27,FALSE)*(1+IF(OR($AG83=$F$4,$AG83=$F$5),$B$22,0))</f>
        <v>0</v>
      </c>
      <c r="AJ83" s="23">
        <f>VLOOKUP($Q83,武学奇术!$A:$ZZ,28,FALSE)</f>
        <v>0.75</v>
      </c>
      <c r="AK83" s="24">
        <f>VLOOKUP($Q83,武学奇术!$A:$ZZ,29,FALSE)*(1+IF(OR($AG83=$F$4,$AG83=$F$5),$B$22,0))</f>
        <v>0</v>
      </c>
      <c r="AL83" s="23" cm="1">
        <f t="array" ref="AL83">$G$3+IFERROR(VLOOKUP($AG83,$F$4:$G$7,2,FALSE),0)+VLOOKUP($Q83,武学奇术!$A:$ZZ,2,FALSE)+SUM(_xlfn.XLOOKUP($R83:$AF83,增益!$A:$A,增益!$B:$B,0))</f>
        <v>0.763</v>
      </c>
      <c r="AM83" s="23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3018.8</v>
      </c>
      <c r="AO83" cm="1">
        <f t="array" ref="AO83">$E$10*(1+$AM83)+VLOOKUP($Q83,武学奇术!$A:$ZZ,4,FALSE)+SUM(_xlfn.XLOOKUP($R83:$AF83,增益!$A:$A,增益!$D:$D,0))-$I$2</f>
        <v>3018.8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0.377</v>
      </c>
      <c r="AQ83" s="30" cm="1">
        <f t="array" ref="AQ83">$G$10+VLOOKUP($Q83,武学奇术!$A:$ZZ,7,FALSE)+SUM(_xlfn.XLOOKUP(R83:AF83,增益!$A:$A,增益!$G:$G,0))</f>
        <v>0</v>
      </c>
      <c r="AR83" s="23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-0.08</v>
      </c>
      <c r="AV83" s="30" cm="1">
        <f t="array" ref="AV83">$G$11+VLOOKUP($Q83,武学奇术!$A:$ZZ,10,FALSE)+SUM(_xlfn.XLOOKUP(R83:AF83,增益!$A:$A,增益!$J:$J,0))</f>
        <v>0</v>
      </c>
      <c r="AW83">
        <f t="shared" si="14"/>
        <v>634.5</v>
      </c>
      <c r="AX83">
        <f t="shared" si="15"/>
        <v>1443.3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0.198</v>
      </c>
      <c r="AZ83" s="30" cm="1">
        <f t="array" ref="AZ83">$G$12+VLOOKUP($Q83,武学奇术!$A:$ZZ,12,FALSE)+SUM(_xlfn.XLOOKUP(R83:AF83,增益!$A:$A,增益!$L:$L,0))</f>
        <v>0.148</v>
      </c>
      <c r="BA83">
        <f t="shared" si="16"/>
        <v>0</v>
      </c>
      <c r="BB83">
        <f t="shared" si="17"/>
        <v>0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-0.08</v>
      </c>
      <c r="BD83" s="30" cm="1">
        <f t="array" ref="BD83">$G$13+VLOOKUP($Q83,武学奇术!$A:$ZZ,14,FALSE)+SUM(_xlfn.XLOOKUP(R83:AF83,增益!$A:$A,增益!$N:$N,0))</f>
        <v>0</v>
      </c>
      <c r="BE83">
        <f t="shared" si="18"/>
        <v>0</v>
      </c>
      <c r="BF83">
        <f t="shared" si="19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-0.08</v>
      </c>
      <c r="BH83" s="30" cm="1">
        <f t="array" ref="BH83">$G$14+VLOOKUP($Q83,武学奇术!$A:$ZZ,16,FALSE)+SUM(_xlfn.XLOOKUP(R83:AF83,增益!$A:$A,增益!$P:$P,0))</f>
        <v>0</v>
      </c>
      <c r="BI83" s="23">
        <f>MIN(IF(VLOOKUP($Q83,武学奇术!$A:$ZZ,23,FALSE)=1,100%,$B$8),100%)</f>
        <v>0.8626</v>
      </c>
      <c r="BJ83" s="23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0.8697</v>
      </c>
      <c r="BK83" s="23" cm="1">
        <f t="array" ref="BK83">1+$B$13+VLOOKUP($Q83,武学奇术!$A:$ZZ,18,FALSE)+SUM(_xlfn.XLOOKUP(R83:AF83,增益!$A:$A,增益!$R:$R,0))</f>
        <v>2</v>
      </c>
      <c r="BL83" s="23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0.0986</v>
      </c>
      <c r="BM83" s="23" cm="1">
        <f t="array" ref="BM83">1+$B$14+VLOOKUP($Q83,武学奇术!$A:$ZZ,20,FALSE)+SUM(_xlfn.XLOOKUP(R83:AF83,增益!$A:$A,增益!$T:$T,0))</f>
        <v>1.35</v>
      </c>
      <c r="BN83" s="23">
        <f t="shared" si="20"/>
        <v>0.75020322</v>
      </c>
      <c r="BO83" s="23">
        <f t="shared" si="21"/>
        <v>0.0273444200000001</v>
      </c>
      <c r="BP83" s="23">
        <f>IF(VLOOKUP($Q83,武学奇术!$A:$ZZ,22,FALSE)=1,0,(1-$BI83))*(1-$BL83)</f>
        <v>0.12385236</v>
      </c>
      <c r="BQ83" s="23" cm="1">
        <f t="array" ref="BQ83">SUM(_xlfn.XLOOKUP(R83:AF83,增益!$A:$A,增益!$W:$W,0))</f>
        <v>0.23</v>
      </c>
    </row>
    <row r="84" spans="1:69">
      <c r="A84" s="4"/>
      <c r="B84" s="4"/>
      <c r="K84" s="36">
        <f t="shared" si="11"/>
        <v>28985.943837278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32460.1701581984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24812.0224611635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16230.0850790992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14080.8942610402</v>
      </c>
      <c r="P84" s="37">
        <v>1</v>
      </c>
      <c r="Q84" s="38" t="s">
        <v>136</v>
      </c>
      <c r="R84" s="38" t="s">
        <v>89</v>
      </c>
      <c r="S84" s="38" t="s">
        <v>72</v>
      </c>
      <c r="T84" s="38" t="s">
        <v>79</v>
      </c>
      <c r="U84" s="38" t="s">
        <v>111</v>
      </c>
      <c r="V84" s="38" t="s">
        <v>72</v>
      </c>
      <c r="W84" s="38" t="s">
        <v>72</v>
      </c>
      <c r="X84" s="38" t="s">
        <v>122</v>
      </c>
      <c r="Y84" s="38" t="s">
        <v>147</v>
      </c>
      <c r="Z84" s="38" t="s">
        <v>72</v>
      </c>
      <c r="AA84" s="38" t="s">
        <v>68</v>
      </c>
      <c r="AB84" s="38" t="s">
        <v>72</v>
      </c>
      <c r="AC84" s="38" t="s">
        <v>72</v>
      </c>
      <c r="AD84" s="38" t="s">
        <v>72</v>
      </c>
      <c r="AE84" s="38" t="s">
        <v>90</v>
      </c>
      <c r="AF84" s="38" t="s">
        <v>74</v>
      </c>
      <c r="AG84" t="str">
        <f>VLOOKUP($Q84,武学奇术!$A:$ZZ,25,FALSE)</f>
        <v>陌刀</v>
      </c>
      <c r="AH84" s="23">
        <f>VLOOKUP($Q84,武学奇术!$A:$ZZ,26,FALSE)</f>
        <v>0.9</v>
      </c>
      <c r="AI84" s="24">
        <f>VLOOKUP($Q84,武学奇术!$A:$ZZ,27,FALSE)*(1+IF(OR($AG84=$F$4,$AG84=$F$5),$B$22,0))</f>
        <v>0</v>
      </c>
      <c r="AJ84" s="23">
        <f>VLOOKUP($Q84,武学奇术!$A:$ZZ,28,FALSE)</f>
        <v>1.35</v>
      </c>
      <c r="AK84" s="24">
        <f>VLOOKUP($Q84,武学奇术!$A:$ZZ,29,FALSE)*(1+IF(OR($AG84=$F$4,$AG84=$F$5),$B$22,0))</f>
        <v>0</v>
      </c>
      <c r="AL84" s="23" cm="1">
        <f t="array" ref="AL84">$G$3+IFERROR(VLOOKUP($AG84,$F$4:$G$7,2,FALSE),0)+VLOOKUP($Q84,武学奇术!$A:$ZZ,2,FALSE)+SUM(_xlfn.XLOOKUP($R84:$AF84,增益!$A:$A,增益!$B:$B,0))</f>
        <v>0.763</v>
      </c>
      <c r="AM84" s="23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3018.8</v>
      </c>
      <c r="AO84" cm="1">
        <f t="array" ref="AO84">$E$10*(1+$AM84)+VLOOKUP($Q84,武学奇术!$A:$ZZ,4,FALSE)+SUM(_xlfn.XLOOKUP($R84:$AF84,增益!$A:$A,增益!$D:$D,0))-$I$2</f>
        <v>3018.8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0.377</v>
      </c>
      <c r="AQ84" s="30" cm="1">
        <f t="array" ref="AQ84">$G$10+VLOOKUP($Q84,武学奇术!$A:$ZZ,7,FALSE)+SUM(_xlfn.XLOOKUP(R84:AF84,增益!$A:$A,增益!$G:$G,0))</f>
        <v>0</v>
      </c>
      <c r="AR84" s="23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-0.08</v>
      </c>
      <c r="AV84" s="30" cm="1">
        <f t="array" ref="AV84">$G$11+VLOOKUP($Q84,武学奇术!$A:$ZZ,10,FALSE)+SUM(_xlfn.XLOOKUP(R84:AF84,增益!$A:$A,增益!$J:$J,0))</f>
        <v>0</v>
      </c>
      <c r="AW84">
        <f t="shared" si="14"/>
        <v>634.5</v>
      </c>
      <c r="AX84">
        <f t="shared" si="15"/>
        <v>1443.3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0.198</v>
      </c>
      <c r="AZ84" s="30" cm="1">
        <f t="array" ref="AZ84">$G$12+VLOOKUP($Q84,武学奇术!$A:$ZZ,12,FALSE)+SUM(_xlfn.XLOOKUP(R84:AF84,增益!$A:$A,增益!$L:$L,0))</f>
        <v>0.148</v>
      </c>
      <c r="BA84">
        <f t="shared" si="16"/>
        <v>0</v>
      </c>
      <c r="BB84">
        <f t="shared" si="17"/>
        <v>0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-0.08</v>
      </c>
      <c r="BD84" s="30" cm="1">
        <f t="array" ref="BD84">$G$13+VLOOKUP($Q84,武学奇术!$A:$ZZ,14,FALSE)+SUM(_xlfn.XLOOKUP(R84:AF84,增益!$A:$A,增益!$N:$N,0))</f>
        <v>0</v>
      </c>
      <c r="BE84">
        <f t="shared" si="18"/>
        <v>0</v>
      </c>
      <c r="BF84">
        <f t="shared" si="19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-0.08</v>
      </c>
      <c r="BH84" s="30" cm="1">
        <f t="array" ref="BH84">$G$14+VLOOKUP($Q84,武学奇术!$A:$ZZ,16,FALSE)+SUM(_xlfn.XLOOKUP(R84:AF84,增益!$A:$A,增益!$P:$P,0))</f>
        <v>0</v>
      </c>
      <c r="BI84" s="23">
        <f>MIN(IF(VLOOKUP($Q84,武学奇术!$A:$ZZ,23,FALSE)=1,100%,$B$8),100%)</f>
        <v>0.8626</v>
      </c>
      <c r="BJ84" s="23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0.8697</v>
      </c>
      <c r="BK84" s="23" cm="1">
        <f t="array" ref="BK84">1+$B$13+VLOOKUP($Q84,武学奇术!$A:$ZZ,18,FALSE)+SUM(_xlfn.XLOOKUP(R84:AF84,增益!$A:$A,增益!$R:$R,0))</f>
        <v>2</v>
      </c>
      <c r="BL84" s="23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0.0986</v>
      </c>
      <c r="BM84" s="23" cm="1">
        <f t="array" ref="BM84">1+$B$14+VLOOKUP($Q84,武学奇术!$A:$ZZ,20,FALSE)+SUM(_xlfn.XLOOKUP(R84:AF84,增益!$A:$A,增益!$T:$T,0))</f>
        <v>1.35</v>
      </c>
      <c r="BN84" s="23">
        <f t="shared" si="20"/>
        <v>0.75020322</v>
      </c>
      <c r="BO84" s="23">
        <f t="shared" si="21"/>
        <v>0.0273444200000001</v>
      </c>
      <c r="BP84" s="23">
        <f>IF(VLOOKUP($Q84,武学奇术!$A:$ZZ,22,FALSE)=1,0,(1-$BI84))*(1-$BL84)</f>
        <v>0.12385236</v>
      </c>
      <c r="BQ84" s="23" cm="1">
        <f t="array" ref="BQ84">SUM(_xlfn.XLOOKUP(R84:AF84,增益!$A:$A,增益!$W:$W,0))</f>
        <v>0.23</v>
      </c>
    </row>
    <row r="85" spans="1:69">
      <c r="A85" s="4"/>
      <c r="B85" s="4"/>
      <c r="K85" s="36">
        <f t="shared" si="11"/>
        <v>327478.892778828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327478.892778828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234918.040171769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155942.32989468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137871.296699161</v>
      </c>
      <c r="P85" s="37">
        <v>1</v>
      </c>
      <c r="Q85" s="38" t="s">
        <v>110</v>
      </c>
      <c r="R85" s="38" t="s">
        <v>89</v>
      </c>
      <c r="S85" s="38" t="s">
        <v>72</v>
      </c>
      <c r="T85" s="38" t="s">
        <v>79</v>
      </c>
      <c r="U85" s="38" t="s">
        <v>111</v>
      </c>
      <c r="V85" s="38" t="s">
        <v>107</v>
      </c>
      <c r="W85" s="38" t="s">
        <v>72</v>
      </c>
      <c r="X85" s="38" t="s">
        <v>122</v>
      </c>
      <c r="Y85" s="38" t="s">
        <v>147</v>
      </c>
      <c r="Z85" s="38" t="s">
        <v>72</v>
      </c>
      <c r="AA85" s="38" t="s">
        <v>68</v>
      </c>
      <c r="AB85" s="38" t="s">
        <v>72</v>
      </c>
      <c r="AC85" s="38" t="s">
        <v>72</v>
      </c>
      <c r="AD85" s="38" t="s">
        <v>72</v>
      </c>
      <c r="AE85" s="38" t="s">
        <v>90</v>
      </c>
      <c r="AF85" s="38" t="s">
        <v>74</v>
      </c>
      <c r="AG85" t="str">
        <f>VLOOKUP($Q85,武学奇术!$A:$ZZ,25,FALSE)</f>
        <v>陌刀</v>
      </c>
      <c r="AH85" s="23">
        <f>VLOOKUP($Q85,武学奇术!$A:$ZZ,26,FALSE)</f>
        <v>7.5674</v>
      </c>
      <c r="AI85" s="24">
        <f>VLOOKUP($Q85,武学奇术!$A:$ZZ,27,FALSE)*(1+IF(OR($AG85=$F$4,$AG85=$F$5),$B$22,0))</f>
        <v>2720.9</v>
      </c>
      <c r="AJ85" s="23">
        <f>VLOOKUP($Q85,武学奇术!$A:$ZZ,28,FALSE)</f>
        <v>11.3512</v>
      </c>
      <c r="AK85" s="24">
        <f>VLOOKUP($Q85,武学奇术!$A:$ZZ,29,FALSE)*(1+IF(OR($AG85=$F$4,$AG85=$F$5),$B$22,0))</f>
        <v>1482</v>
      </c>
      <c r="AL85" s="23" cm="1">
        <f t="array" ref="AL85">$G$3+IFERROR(VLOOKUP($AG85,$F$4:$G$7,2,FALSE),0)+VLOOKUP($Q85,武学奇术!$A:$ZZ,2,FALSE)+SUM(_xlfn.XLOOKUP($R85:$AF85,增益!$A:$A,增益!$B:$B,0))</f>
        <v>0.763</v>
      </c>
      <c r="AM85" s="23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3018.8</v>
      </c>
      <c r="AO85" cm="1">
        <f t="array" ref="AO85">$E$10*(1+$AM85)+VLOOKUP($Q85,武学奇术!$A:$ZZ,4,FALSE)+SUM(_xlfn.XLOOKUP($R85:$AF85,增益!$A:$A,增益!$D:$D,0))-$I$2</f>
        <v>3018.8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0.377</v>
      </c>
      <c r="AQ85" s="30" cm="1">
        <f t="array" ref="AQ85">$G$10+VLOOKUP($Q85,武学奇术!$A:$ZZ,7,FALSE)+SUM(_xlfn.XLOOKUP(R85:AF85,增益!$A:$A,增益!$G:$G,0))</f>
        <v>0</v>
      </c>
      <c r="AR85" s="23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-0.08</v>
      </c>
      <c r="AV85" s="30" cm="1">
        <f t="array" ref="AV85">$G$11+VLOOKUP($Q85,武学奇术!$A:$ZZ,10,FALSE)+SUM(_xlfn.XLOOKUP(R85:AF85,增益!$A:$A,增益!$J:$J,0))</f>
        <v>0</v>
      </c>
      <c r="AW85">
        <f t="shared" si="14"/>
        <v>634.5</v>
      </c>
      <c r="AX85">
        <f t="shared" si="15"/>
        <v>1443.3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0.198</v>
      </c>
      <c r="AZ85" s="30" cm="1">
        <f t="array" ref="AZ85">$G$12+VLOOKUP($Q85,武学奇术!$A:$ZZ,12,FALSE)+SUM(_xlfn.XLOOKUP(R85:AF85,增益!$A:$A,增益!$L:$L,0))</f>
        <v>0.148</v>
      </c>
      <c r="BA85">
        <f t="shared" si="16"/>
        <v>0</v>
      </c>
      <c r="BB85">
        <f t="shared" si="17"/>
        <v>0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-0.08</v>
      </c>
      <c r="BD85" s="30" cm="1">
        <f t="array" ref="BD85">$G$13+VLOOKUP($Q85,武学奇术!$A:$ZZ,14,FALSE)+SUM(_xlfn.XLOOKUP(R85:AF85,增益!$A:$A,增益!$N:$N,0))</f>
        <v>0</v>
      </c>
      <c r="BE85">
        <f t="shared" si="18"/>
        <v>0</v>
      </c>
      <c r="BF85">
        <f t="shared" si="19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-0.08</v>
      </c>
      <c r="BH85" s="30" cm="1">
        <f t="array" ref="BH85">$G$14+VLOOKUP($Q85,武学奇术!$A:$ZZ,16,FALSE)+SUM(_xlfn.XLOOKUP(R85:AF85,增益!$A:$A,增益!$P:$P,0))</f>
        <v>0</v>
      </c>
      <c r="BI85" s="23">
        <f>MIN(IF(VLOOKUP($Q85,武学奇术!$A:$ZZ,23,FALSE)=1,100%,$B$8),100%)</f>
        <v>1</v>
      </c>
      <c r="BJ85" s="23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1</v>
      </c>
      <c r="BK85" s="23" cm="1">
        <f t="array" ref="BK85">1+$B$13+VLOOKUP($Q85,武学奇术!$A:$ZZ,18,FALSE)+SUM(_xlfn.XLOOKUP(R85:AF85,增益!$A:$A,增益!$R:$R,0))</f>
        <v>2.1</v>
      </c>
      <c r="BL85" s="23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</v>
      </c>
      <c r="BM85" s="23" cm="1">
        <f t="array" ref="BM85">1+$B$14+VLOOKUP($Q85,武学奇术!$A:$ZZ,20,FALSE)+SUM(_xlfn.XLOOKUP(R85:AF85,增益!$A:$A,增益!$T:$T,0))</f>
        <v>1.35</v>
      </c>
      <c r="BN85" s="23">
        <f t="shared" si="20"/>
        <v>1</v>
      </c>
      <c r="BO85" s="23">
        <f t="shared" si="21"/>
        <v>0</v>
      </c>
      <c r="BP85" s="23">
        <f>IF(VLOOKUP($Q85,武学奇术!$A:$ZZ,22,FALSE)=1,0,(1-$BI85))*(1-$BL85)</f>
        <v>0</v>
      </c>
      <c r="BQ85" s="23" cm="1">
        <f t="array" ref="BQ85">SUM(_xlfn.XLOOKUP(R85:AF85,增益!$A:$A,增益!$W:$W,0))</f>
        <v>0.23</v>
      </c>
    </row>
    <row r="86" spans="1:69">
      <c r="A86" s="4"/>
      <c r="B86" s="4"/>
      <c r="K86" s="36">
        <f t="shared" si="11"/>
        <v>15022.8964132725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16824.046453029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12792.2266907526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8412.02322651451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7348.32297839744</v>
      </c>
      <c r="P86" s="37">
        <v>1</v>
      </c>
      <c r="Q86" s="38" t="s">
        <v>102</v>
      </c>
      <c r="R86" s="38" t="s">
        <v>89</v>
      </c>
      <c r="S86" s="38" t="s">
        <v>72</v>
      </c>
      <c r="T86" s="38" t="s">
        <v>72</v>
      </c>
      <c r="U86" s="38" t="s">
        <v>111</v>
      </c>
      <c r="V86" s="38" t="s">
        <v>72</v>
      </c>
      <c r="W86" s="38" t="s">
        <v>72</v>
      </c>
      <c r="X86" s="38" t="s">
        <v>122</v>
      </c>
      <c r="Y86" s="38" t="s">
        <v>147</v>
      </c>
      <c r="Z86" s="38" t="s">
        <v>72</v>
      </c>
      <c r="AA86" s="38" t="s">
        <v>68</v>
      </c>
      <c r="AB86" s="38" t="s">
        <v>72</v>
      </c>
      <c r="AC86" s="38" t="s">
        <v>72</v>
      </c>
      <c r="AD86" s="38" t="s">
        <v>72</v>
      </c>
      <c r="AE86" s="38" t="s">
        <v>90</v>
      </c>
      <c r="AF86" s="38" t="s">
        <v>74</v>
      </c>
      <c r="AG86" t="str">
        <f>VLOOKUP($Q86,武学奇术!$A:$ZZ,25,FALSE)</f>
        <v>陌刀</v>
      </c>
      <c r="AH86" s="23">
        <f>VLOOKUP($Q86,武学奇术!$A:$ZZ,26,FALSE)</f>
        <v>0.5</v>
      </c>
      <c r="AI86" s="24">
        <f>VLOOKUP($Q86,武学奇术!$A:$ZZ,27,FALSE)*(1+IF(OR($AG86=$F$4,$AG86=$F$5),$B$22,0))</f>
        <v>0</v>
      </c>
      <c r="AJ86" s="23">
        <f>VLOOKUP($Q86,武学奇术!$A:$ZZ,28,FALSE)</f>
        <v>0.75</v>
      </c>
      <c r="AK86" s="24">
        <f>VLOOKUP($Q86,武学奇术!$A:$ZZ,29,FALSE)*(1+IF(OR($AG86=$F$4,$AG86=$F$5),$B$22,0))</f>
        <v>0</v>
      </c>
      <c r="AL86" s="23" cm="1">
        <f t="array" ref="AL86">$G$3+IFERROR(VLOOKUP($AG86,$F$4:$G$7,2,FALSE),0)+VLOOKUP($Q86,武学奇术!$A:$ZZ,2,FALSE)+SUM(_xlfn.XLOOKUP($R86:$AF86,增益!$A:$A,增益!$B:$B,0))</f>
        <v>0.683</v>
      </c>
      <c r="AM86" s="23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3018.8</v>
      </c>
      <c r="AO86" cm="1">
        <f t="array" ref="AO86">$E$10*(1+$AM86)+VLOOKUP($Q86,武学奇术!$A:$ZZ,4,FALSE)+SUM(_xlfn.XLOOKUP($R86:$AF86,增益!$A:$A,增益!$D:$D,0))-$I$2</f>
        <v>3018.8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0.377</v>
      </c>
      <c r="AQ86" s="30" cm="1">
        <f t="array" ref="AQ86">$G$10+VLOOKUP($Q86,武学奇术!$A:$ZZ,7,FALSE)+SUM(_xlfn.XLOOKUP(R86:AF86,增益!$A:$A,增益!$G:$G,0))</f>
        <v>0</v>
      </c>
      <c r="AR86" s="23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-0.24</v>
      </c>
      <c r="AV86" s="30" cm="1">
        <f t="array" ref="AV86">$G$11+VLOOKUP($Q86,武学奇术!$A:$ZZ,10,FALSE)+SUM(_xlfn.XLOOKUP(R86:AF86,增益!$A:$A,增益!$J:$J,0))</f>
        <v>0</v>
      </c>
      <c r="AW86">
        <f t="shared" si="14"/>
        <v>634.5</v>
      </c>
      <c r="AX86">
        <f t="shared" si="15"/>
        <v>1443.3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0.118</v>
      </c>
      <c r="AZ86" s="30" cm="1">
        <f t="array" ref="AZ86">$G$12+VLOOKUP($Q86,武学奇术!$A:$ZZ,12,FALSE)+SUM(_xlfn.XLOOKUP(R86:AF86,增益!$A:$A,增益!$L:$L,0))</f>
        <v>0.148</v>
      </c>
      <c r="BA86">
        <f t="shared" si="16"/>
        <v>0</v>
      </c>
      <c r="BB86">
        <f t="shared" si="17"/>
        <v>0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-0.24</v>
      </c>
      <c r="BD86" s="30" cm="1">
        <f t="array" ref="BD86">$G$13+VLOOKUP($Q86,武学奇术!$A:$ZZ,14,FALSE)+SUM(_xlfn.XLOOKUP(R86:AF86,增益!$A:$A,增益!$N:$N,0))</f>
        <v>0</v>
      </c>
      <c r="BE86">
        <f t="shared" si="18"/>
        <v>0</v>
      </c>
      <c r="BF86">
        <f t="shared" si="19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-0.24</v>
      </c>
      <c r="BH86" s="30" cm="1">
        <f t="array" ref="BH86">$G$14+VLOOKUP($Q86,武学奇术!$A:$ZZ,16,FALSE)+SUM(_xlfn.XLOOKUP(R86:AF86,增益!$A:$A,增益!$P:$P,0))</f>
        <v>0</v>
      </c>
      <c r="BI86" s="23">
        <f>MIN(IF(VLOOKUP($Q86,武学奇术!$A:$ZZ,23,FALSE)=1,100%,$B$8),100%)</f>
        <v>0.8626</v>
      </c>
      <c r="BJ86" s="23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0.8697</v>
      </c>
      <c r="BK86" s="23" cm="1">
        <f t="array" ref="BK86">1+$B$13+VLOOKUP($Q86,武学奇术!$A:$ZZ,18,FALSE)+SUM(_xlfn.XLOOKUP(R86:AF86,增益!$A:$A,增益!$R:$R,0))</f>
        <v>2</v>
      </c>
      <c r="BL86" s="23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0.0986</v>
      </c>
      <c r="BM86" s="23" cm="1">
        <f t="array" ref="BM86">1+$B$14+VLOOKUP($Q86,武学奇术!$A:$ZZ,20,FALSE)+SUM(_xlfn.XLOOKUP(R86:AF86,增益!$A:$A,增益!$T:$T,0))</f>
        <v>1.35</v>
      </c>
      <c r="BN86" s="23">
        <f t="shared" si="20"/>
        <v>0.75020322</v>
      </c>
      <c r="BO86" s="23">
        <f t="shared" si="21"/>
        <v>0.0273444200000001</v>
      </c>
      <c r="BP86" s="23">
        <f>IF(VLOOKUP($Q86,武学奇术!$A:$ZZ,22,FALSE)=1,0,(1-$BI86))*(1-$BL86)</f>
        <v>0.12385236</v>
      </c>
      <c r="BQ86" s="23" cm="1">
        <f t="array" ref="BQ86">SUM(_xlfn.XLOOKUP(R86:AF86,增益!$A:$A,增益!$W:$W,0))</f>
        <v>0.23</v>
      </c>
    </row>
    <row r="87" spans="1:69">
      <c r="K87" s="36">
        <f t="shared" si="11"/>
        <v>27041.2135438905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30283.2836154522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23026.0080433547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15141.6418077261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13226.9813611154</v>
      </c>
      <c r="P87" s="37">
        <v>1</v>
      </c>
      <c r="Q87" s="38" t="s">
        <v>136</v>
      </c>
      <c r="R87" s="38" t="s">
        <v>89</v>
      </c>
      <c r="S87" s="38" t="s">
        <v>72</v>
      </c>
      <c r="T87" s="38" t="s">
        <v>72</v>
      </c>
      <c r="U87" s="38" t="s">
        <v>111</v>
      </c>
      <c r="V87" s="38" t="s">
        <v>72</v>
      </c>
      <c r="W87" s="38" t="s">
        <v>72</v>
      </c>
      <c r="X87" s="38" t="s">
        <v>122</v>
      </c>
      <c r="Y87" s="38" t="s">
        <v>147</v>
      </c>
      <c r="Z87" s="38" t="s">
        <v>72</v>
      </c>
      <c r="AA87" s="38" t="s">
        <v>68</v>
      </c>
      <c r="AB87" s="38" t="s">
        <v>72</v>
      </c>
      <c r="AC87" s="38" t="s">
        <v>72</v>
      </c>
      <c r="AD87" s="38" t="s">
        <v>72</v>
      </c>
      <c r="AE87" s="38" t="s">
        <v>90</v>
      </c>
      <c r="AF87" s="38" t="s">
        <v>74</v>
      </c>
      <c r="AG87" t="str">
        <f>VLOOKUP($Q87,武学奇术!$A:$ZZ,25,FALSE)</f>
        <v>陌刀</v>
      </c>
      <c r="AH87" s="23">
        <f>VLOOKUP($Q87,武学奇术!$A:$ZZ,26,FALSE)</f>
        <v>0.9</v>
      </c>
      <c r="AI87" s="24">
        <f>VLOOKUP($Q87,武学奇术!$A:$ZZ,27,FALSE)*(1+IF(OR($AG87=$F$4,$AG87=$F$5),$B$22,0))</f>
        <v>0</v>
      </c>
      <c r="AJ87" s="23">
        <f>VLOOKUP($Q87,武学奇术!$A:$ZZ,28,FALSE)</f>
        <v>1.35</v>
      </c>
      <c r="AK87" s="24">
        <f>VLOOKUP($Q87,武学奇术!$A:$ZZ,29,FALSE)*(1+IF(OR($AG87=$F$4,$AG87=$F$5),$B$22,0))</f>
        <v>0</v>
      </c>
      <c r="AL87" s="23" cm="1">
        <f t="array" ref="AL87">$G$3+IFERROR(VLOOKUP($AG87,$F$4:$G$7,2,FALSE),0)+VLOOKUP($Q87,武学奇术!$A:$ZZ,2,FALSE)+SUM(_xlfn.XLOOKUP($R87:$AF87,增益!$A:$A,增益!$B:$B,0))</f>
        <v>0.683</v>
      </c>
      <c r="AM87" s="23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3018.8</v>
      </c>
      <c r="AO87" cm="1">
        <f t="array" ref="AO87">$E$10*(1+$AM87)+VLOOKUP($Q87,武学奇术!$A:$ZZ,4,FALSE)+SUM(_xlfn.XLOOKUP($R87:$AF87,增益!$A:$A,增益!$D:$D,0))-$I$2</f>
        <v>3018.8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0.377</v>
      </c>
      <c r="AQ87" s="30" cm="1">
        <f t="array" ref="AQ87">$G$10+VLOOKUP($Q87,武学奇术!$A:$ZZ,7,FALSE)+SUM(_xlfn.XLOOKUP(R87:AF87,增益!$A:$A,增益!$G:$G,0))</f>
        <v>0</v>
      </c>
      <c r="AR87" s="23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-0.24</v>
      </c>
      <c r="AV87" s="30" cm="1">
        <f t="array" ref="AV87">$G$11+VLOOKUP($Q87,武学奇术!$A:$ZZ,10,FALSE)+SUM(_xlfn.XLOOKUP(R87:AF87,增益!$A:$A,增益!$J:$J,0))</f>
        <v>0</v>
      </c>
      <c r="AW87">
        <f t="shared" si="14"/>
        <v>634.5</v>
      </c>
      <c r="AX87">
        <f t="shared" si="15"/>
        <v>1443.3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0.118</v>
      </c>
      <c r="AZ87" s="30" cm="1">
        <f t="array" ref="AZ87">$G$12+VLOOKUP($Q87,武学奇术!$A:$ZZ,12,FALSE)+SUM(_xlfn.XLOOKUP(R87:AF87,增益!$A:$A,增益!$L:$L,0))</f>
        <v>0.148</v>
      </c>
      <c r="BA87">
        <f t="shared" si="16"/>
        <v>0</v>
      </c>
      <c r="BB87">
        <f t="shared" si="17"/>
        <v>0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-0.24</v>
      </c>
      <c r="BD87" s="30" cm="1">
        <f t="array" ref="BD87">$G$13+VLOOKUP($Q87,武学奇术!$A:$ZZ,14,FALSE)+SUM(_xlfn.XLOOKUP(R87:AF87,增益!$A:$A,增益!$N:$N,0))</f>
        <v>0</v>
      </c>
      <c r="BE87">
        <f t="shared" si="18"/>
        <v>0</v>
      </c>
      <c r="BF87">
        <f t="shared" si="19"/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-0.24</v>
      </c>
      <c r="BH87" s="30" cm="1">
        <f t="array" ref="BH87">$G$14+VLOOKUP($Q87,武学奇术!$A:$ZZ,16,FALSE)+SUM(_xlfn.XLOOKUP(R87:AF87,增益!$A:$A,增益!$P:$P,0))</f>
        <v>0</v>
      </c>
      <c r="BI87" s="23">
        <f>MIN(IF(VLOOKUP($Q87,武学奇术!$A:$ZZ,23,FALSE)=1,100%,$B$8),100%)</f>
        <v>0.8626</v>
      </c>
      <c r="BJ87" s="23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0.8697</v>
      </c>
      <c r="BK87" s="23" cm="1">
        <f t="array" ref="BK87">1+$B$13+VLOOKUP($Q87,武学奇术!$A:$ZZ,18,FALSE)+SUM(_xlfn.XLOOKUP(R87:AF87,增益!$A:$A,增益!$R:$R,0))</f>
        <v>2</v>
      </c>
      <c r="BL87" s="23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0.0986</v>
      </c>
      <c r="BM87" s="23" cm="1">
        <f t="array" ref="BM87">1+$B$14+VLOOKUP($Q87,武学奇术!$A:$ZZ,20,FALSE)+SUM(_xlfn.XLOOKUP(R87:AF87,增益!$A:$A,增益!$T:$T,0))</f>
        <v>1.35</v>
      </c>
      <c r="BN87" s="23">
        <f t="shared" si="20"/>
        <v>0.75020322</v>
      </c>
      <c r="BO87" s="23">
        <f t="shared" si="21"/>
        <v>0.0273444200000001</v>
      </c>
      <c r="BP87" s="23">
        <f>IF(VLOOKUP($Q87,武学奇术!$A:$ZZ,22,FALSE)=1,0,(1-$BI87))*(1-$BL87)</f>
        <v>0.12385236</v>
      </c>
      <c r="BQ87" s="23" cm="1">
        <f t="array" ref="BQ87">SUM(_xlfn.XLOOKUP(R87:AF87,增益!$A:$A,增益!$W:$W,0))</f>
        <v>0.23</v>
      </c>
    </row>
    <row r="88" spans="1:69">
      <c r="K88" s="36">
        <f t="shared" si="11"/>
        <v>305232.448675944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305232.448675944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217954.553524674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145348.785083783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129249.752741881</v>
      </c>
      <c r="P88" s="37">
        <v>1</v>
      </c>
      <c r="Q88" s="38" t="s">
        <v>110</v>
      </c>
      <c r="R88" s="38" t="s">
        <v>89</v>
      </c>
      <c r="S88" s="38" t="s">
        <v>72</v>
      </c>
      <c r="T88" s="38" t="s">
        <v>72</v>
      </c>
      <c r="U88" s="38" t="s">
        <v>111</v>
      </c>
      <c r="V88" s="38" t="s">
        <v>107</v>
      </c>
      <c r="W88" s="38" t="s">
        <v>72</v>
      </c>
      <c r="X88" s="38" t="s">
        <v>122</v>
      </c>
      <c r="Y88" s="38" t="s">
        <v>147</v>
      </c>
      <c r="Z88" s="38" t="s">
        <v>72</v>
      </c>
      <c r="AA88" s="38" t="s">
        <v>68</v>
      </c>
      <c r="AB88" s="38" t="s">
        <v>72</v>
      </c>
      <c r="AC88" s="38" t="s">
        <v>72</v>
      </c>
      <c r="AD88" s="38" t="s">
        <v>72</v>
      </c>
      <c r="AE88" s="38" t="s">
        <v>90</v>
      </c>
      <c r="AF88" s="38" t="s">
        <v>74</v>
      </c>
      <c r="AG88" t="str">
        <f>VLOOKUP($Q88,武学奇术!$A:$ZZ,25,FALSE)</f>
        <v>陌刀</v>
      </c>
      <c r="AH88" s="23">
        <f>VLOOKUP($Q88,武学奇术!$A:$ZZ,26,FALSE)</f>
        <v>7.5674</v>
      </c>
      <c r="AI88" s="24">
        <f>VLOOKUP($Q88,武学奇术!$A:$ZZ,27,FALSE)*(1+IF(OR($AG88=$F$4,$AG88=$F$5),$B$22,0))</f>
        <v>2720.9</v>
      </c>
      <c r="AJ88" s="23">
        <f>VLOOKUP($Q88,武学奇术!$A:$ZZ,28,FALSE)</f>
        <v>11.3512</v>
      </c>
      <c r="AK88" s="24">
        <f>VLOOKUP($Q88,武学奇术!$A:$ZZ,29,FALSE)*(1+IF(OR($AG88=$F$4,$AG88=$F$5),$B$22,0))</f>
        <v>1482</v>
      </c>
      <c r="AL88" s="23" cm="1">
        <f t="array" ref="AL88">$G$3+IFERROR(VLOOKUP($AG88,$F$4:$G$7,2,FALSE),0)+VLOOKUP($Q88,武学奇术!$A:$ZZ,2,FALSE)+SUM(_xlfn.XLOOKUP($R88:$AF88,增益!$A:$A,增益!$B:$B,0))</f>
        <v>0.683</v>
      </c>
      <c r="AM88" s="23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3018.8</v>
      </c>
      <c r="AO88" cm="1">
        <f t="array" ref="AO88">$E$10*(1+$AM88)+VLOOKUP($Q88,武学奇术!$A:$ZZ,4,FALSE)+SUM(_xlfn.XLOOKUP($R88:$AF88,增益!$A:$A,增益!$D:$D,0))-$I$2</f>
        <v>3018.8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0.377</v>
      </c>
      <c r="AQ88" s="30" cm="1">
        <f t="array" ref="AQ88">$G$10+VLOOKUP($Q88,武学奇术!$A:$ZZ,7,FALSE)+SUM(_xlfn.XLOOKUP(R88:AF88,增益!$A:$A,增益!$G:$G,0))</f>
        <v>0</v>
      </c>
      <c r="AR88" s="23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-0.24</v>
      </c>
      <c r="AV88" s="30" cm="1">
        <f t="array" ref="AV88">$G$11+VLOOKUP($Q88,武学奇术!$A:$ZZ,10,FALSE)+SUM(_xlfn.XLOOKUP(R88:AF88,增益!$A:$A,增益!$J:$J,0))</f>
        <v>0</v>
      </c>
      <c r="AW88">
        <f t="shared" si="14"/>
        <v>634.5</v>
      </c>
      <c r="AX88">
        <f t="shared" si="15"/>
        <v>1443.3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0.118</v>
      </c>
      <c r="AZ88" s="30" cm="1">
        <f t="array" ref="AZ88">$G$12+VLOOKUP($Q88,武学奇术!$A:$ZZ,12,FALSE)+SUM(_xlfn.XLOOKUP(R88:AF88,增益!$A:$A,增益!$L:$L,0))</f>
        <v>0.148</v>
      </c>
      <c r="BA88">
        <f t="shared" si="16"/>
        <v>0</v>
      </c>
      <c r="BB88">
        <f t="shared" si="17"/>
        <v>0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-0.24</v>
      </c>
      <c r="BD88" s="30" cm="1">
        <f t="array" ref="BD88">$G$13+VLOOKUP($Q88,武学奇术!$A:$ZZ,14,FALSE)+SUM(_xlfn.XLOOKUP(R88:AF88,增益!$A:$A,增益!$N:$N,0))</f>
        <v>0</v>
      </c>
      <c r="BE88">
        <f t="shared" si="18"/>
        <v>0</v>
      </c>
      <c r="BF88">
        <f t="shared" si="19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-0.24</v>
      </c>
      <c r="BH88" s="30" cm="1">
        <f t="array" ref="BH88">$G$14+VLOOKUP($Q88,武学奇术!$A:$ZZ,16,FALSE)+SUM(_xlfn.XLOOKUP(R88:AF88,增益!$A:$A,增益!$P:$P,0))</f>
        <v>0</v>
      </c>
      <c r="BI88" s="23">
        <f>MIN(IF(VLOOKUP($Q88,武学奇术!$A:$ZZ,23,FALSE)=1,100%,$B$8),100%)</f>
        <v>1</v>
      </c>
      <c r="BJ88" s="23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1</v>
      </c>
      <c r="BK88" s="23" cm="1">
        <f t="array" ref="BK88">1+$B$13+VLOOKUP($Q88,武学奇术!$A:$ZZ,18,FALSE)+SUM(_xlfn.XLOOKUP(R88:AF88,增益!$A:$A,增益!$R:$R,0))</f>
        <v>2.1</v>
      </c>
      <c r="BL88" s="23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</v>
      </c>
      <c r="BM88" s="23" cm="1">
        <f t="array" ref="BM88">1+$B$14+VLOOKUP($Q88,武学奇术!$A:$ZZ,20,FALSE)+SUM(_xlfn.XLOOKUP(R88:AF88,增益!$A:$A,增益!$T:$T,0))</f>
        <v>1.35</v>
      </c>
      <c r="BN88" s="23">
        <f t="shared" si="20"/>
        <v>1</v>
      </c>
      <c r="BO88" s="23">
        <f t="shared" si="21"/>
        <v>0</v>
      </c>
      <c r="BP88" s="23">
        <f>IF(VLOOKUP($Q88,武学奇术!$A:$ZZ,22,FALSE)=1,0,(1-$BI88))*(1-$BL88)</f>
        <v>0</v>
      </c>
      <c r="BQ88" s="23" cm="1">
        <f t="array" ref="BQ88">SUM(_xlfn.XLOOKUP(R88:AF88,增益!$A:$A,增益!$W:$W,0))</f>
        <v>0.23</v>
      </c>
    </row>
    <row r="89" spans="1:69">
      <c r="K89" s="36">
        <f t="shared" si="11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7">
        <v>1</v>
      </c>
      <c r="Q89" s="38" t="s">
        <v>72</v>
      </c>
      <c r="R89" s="38" t="s">
        <v>72</v>
      </c>
      <c r="S89" s="38" t="s">
        <v>72</v>
      </c>
      <c r="T89" s="38" t="s">
        <v>72</v>
      </c>
      <c r="U89" s="38" t="s">
        <v>72</v>
      </c>
      <c r="V89" s="38" t="s">
        <v>72</v>
      </c>
      <c r="W89" s="38" t="s">
        <v>72</v>
      </c>
      <c r="X89" s="38" t="s">
        <v>72</v>
      </c>
      <c r="Y89" s="38" t="s">
        <v>72</v>
      </c>
      <c r="Z89" s="38" t="s">
        <v>72</v>
      </c>
      <c r="AA89" s="38" t="s">
        <v>72</v>
      </c>
      <c r="AB89" s="38" t="s">
        <v>72</v>
      </c>
      <c r="AC89" s="38" t="s">
        <v>72</v>
      </c>
      <c r="AD89" s="38" t="s">
        <v>72</v>
      </c>
      <c r="AE89" s="38" t="s">
        <v>72</v>
      </c>
      <c r="AF89" s="38" t="s">
        <v>74</v>
      </c>
      <c r="AG89" t="str">
        <f>VLOOKUP($Q89,武学奇术!$A:$ZZ,25,FALSE)</f>
        <v>心法</v>
      </c>
      <c r="AH89" s="23">
        <f>VLOOKUP($Q89,武学奇术!$A:$ZZ,26,FALSE)</f>
        <v>0</v>
      </c>
      <c r="AI89" s="24">
        <f>VLOOKUP($Q89,武学奇术!$A:$ZZ,27,FALSE)*(1+IF(OR($AG89=$F$4,$AG89=$F$5),$B$22,0))</f>
        <v>0</v>
      </c>
      <c r="AJ89" s="23">
        <f>VLOOKUP($Q89,武学奇术!$A:$ZZ,28,FALSE)</f>
        <v>0</v>
      </c>
      <c r="AK89" s="24">
        <f>VLOOKUP($Q89,武学奇术!$A:$ZZ,29,FALSE)*(1+IF(OR($AG89=$F$4,$AG89=$F$5),$B$22,0))</f>
        <v>0</v>
      </c>
      <c r="AL89" s="23" cm="1">
        <f t="array" ref="AL89">$G$3+IFERROR(VLOOKUP($AG89,$F$4:$G$7,2,FALSE),0)+VLOOKUP($Q89,武学奇术!$A:$ZZ,2,FALSE)+SUM(_xlfn.XLOOKUP($R89:$AF89,增益!$A:$A,增益!$B:$B,0))</f>
        <v>0.383</v>
      </c>
      <c r="AM89" s="23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3018.8</v>
      </c>
      <c r="AO89" cm="1">
        <f t="array" ref="AO89">$E$10*(1+$AM89)+VLOOKUP($Q89,武学奇术!$A:$ZZ,4,FALSE)+SUM(_xlfn.XLOOKUP($R89:$AF89,增益!$A:$A,增益!$D:$D,0))-$I$2</f>
        <v>3018.8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0.252</v>
      </c>
      <c r="AQ89" s="30" cm="1">
        <f t="array" ref="AQ89">$G$10+VLOOKUP($Q89,武学奇术!$A:$ZZ,7,FALSE)+SUM(_xlfn.XLOOKUP(R89:AF89,增益!$A:$A,增益!$G:$G,0))</f>
        <v>0</v>
      </c>
      <c r="AR89" s="23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-0.24</v>
      </c>
      <c r="AV89" s="30" cm="1">
        <f t="array" ref="AV89">$G$11+VLOOKUP($Q89,武学奇术!$A:$ZZ,10,FALSE)+SUM(_xlfn.XLOOKUP(R89:AF89,增益!$A:$A,增益!$J:$J,0))</f>
        <v>0</v>
      </c>
      <c r="AW89">
        <f t="shared" si="14"/>
        <v>634.5</v>
      </c>
      <c r="AX89">
        <f t="shared" si="15"/>
        <v>1443.3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0.118</v>
      </c>
      <c r="AZ89" s="30" cm="1">
        <f t="array" ref="AZ89">$G$12+VLOOKUP($Q89,武学奇术!$A:$ZZ,12,FALSE)+SUM(_xlfn.XLOOKUP(R89:AF89,增益!$A:$A,增益!$L:$L,0))</f>
        <v>0.148</v>
      </c>
      <c r="BA89">
        <f t="shared" si="16"/>
        <v>0</v>
      </c>
      <c r="BB89">
        <f t="shared" si="17"/>
        <v>0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-0.24</v>
      </c>
      <c r="BD89" s="30" cm="1">
        <f t="array" ref="BD89">$G$13+VLOOKUP($Q89,武学奇术!$A:$ZZ,14,FALSE)+SUM(_xlfn.XLOOKUP(R89:AF89,增益!$A:$A,增益!$N:$N,0))</f>
        <v>0</v>
      </c>
      <c r="BE89">
        <f t="shared" si="18"/>
        <v>0</v>
      </c>
      <c r="BF89">
        <f t="shared" si="19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-0.24</v>
      </c>
      <c r="BH89" s="30" cm="1">
        <f t="array" ref="BH89">$G$14+VLOOKUP($Q89,武学奇术!$A:$ZZ,16,FALSE)+SUM(_xlfn.XLOOKUP(R89:AF89,增益!$A:$A,增益!$P:$P,0))</f>
        <v>0</v>
      </c>
      <c r="BI89" s="23">
        <f>MIN(IF(VLOOKUP($Q89,武学奇术!$A:$ZZ,23,FALSE)=1,100%,$B$8),100%)</f>
        <v>0.8626</v>
      </c>
      <c r="BJ89" s="23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0.8697</v>
      </c>
      <c r="BK89" s="23" cm="1">
        <f t="array" ref="BK89">1+$B$13+VLOOKUP($Q89,武学奇术!$A:$ZZ,18,FALSE)+SUM(_xlfn.XLOOKUP(R89:AF89,增益!$A:$A,增益!$R:$R,0))</f>
        <v>1.54</v>
      </c>
      <c r="BL89" s="23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0.0986</v>
      </c>
      <c r="BM89" s="23" cm="1">
        <f t="array" ref="BM89">1+$B$14+VLOOKUP($Q89,武学奇术!$A:$ZZ,20,FALSE)+SUM(_xlfn.XLOOKUP(R89:AF89,增益!$A:$A,增益!$T:$T,0))</f>
        <v>1.35</v>
      </c>
      <c r="BN89" s="23">
        <f t="shared" si="20"/>
        <v>0.75020322</v>
      </c>
      <c r="BO89" s="23">
        <f t="shared" si="21"/>
        <v>0.0273444200000001</v>
      </c>
      <c r="BP89" s="23">
        <f>IF(VLOOKUP($Q89,武学奇术!$A:$ZZ,22,FALSE)=1,0,(1-$BI89))*(1-$BL89)</f>
        <v>0.12385236</v>
      </c>
      <c r="BQ89" s="23" cm="1">
        <f t="array" ref="BQ89">SUM(_xlfn.XLOOKUP(R89:AF89,增益!$A:$A,增益!$W:$W,0))</f>
        <v>0</v>
      </c>
    </row>
    <row r="90" spans="1:69">
      <c r="K90" s="36">
        <f t="shared" si="11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7">
        <v>1</v>
      </c>
      <c r="Q90" s="38" t="s">
        <v>72</v>
      </c>
      <c r="R90" s="38" t="s">
        <v>72</v>
      </c>
      <c r="S90" s="38" t="s">
        <v>72</v>
      </c>
      <c r="T90" s="38" t="s">
        <v>72</v>
      </c>
      <c r="U90" s="38" t="s">
        <v>72</v>
      </c>
      <c r="V90" s="38" t="s">
        <v>72</v>
      </c>
      <c r="W90" s="38" t="s">
        <v>72</v>
      </c>
      <c r="X90" s="38" t="s">
        <v>72</v>
      </c>
      <c r="Y90" s="38" t="s">
        <v>72</v>
      </c>
      <c r="Z90" s="38" t="s">
        <v>72</v>
      </c>
      <c r="AA90" s="38" t="s">
        <v>72</v>
      </c>
      <c r="AB90" s="38" t="s">
        <v>72</v>
      </c>
      <c r="AC90" s="38" t="s">
        <v>72</v>
      </c>
      <c r="AD90" s="38" t="s">
        <v>72</v>
      </c>
      <c r="AE90" s="38" t="s">
        <v>72</v>
      </c>
      <c r="AF90" s="38" t="s">
        <v>74</v>
      </c>
      <c r="AG90" t="str">
        <f>VLOOKUP($Q90,武学奇术!$A:$ZZ,25,FALSE)</f>
        <v>心法</v>
      </c>
      <c r="AH90" s="23">
        <f>VLOOKUP($Q90,武学奇术!$A:$ZZ,26,FALSE)</f>
        <v>0</v>
      </c>
      <c r="AI90" s="24">
        <f>VLOOKUP($Q90,武学奇术!$A:$ZZ,27,FALSE)*(1+IF(OR($AG90=$F$4,$AG90=$F$5),$B$22,0))</f>
        <v>0</v>
      </c>
      <c r="AJ90" s="23">
        <f>VLOOKUP($Q90,武学奇术!$A:$ZZ,28,FALSE)</f>
        <v>0</v>
      </c>
      <c r="AK90" s="24">
        <f>VLOOKUP($Q90,武学奇术!$A:$ZZ,29,FALSE)*(1+IF(OR($AG90=$F$4,$AG90=$F$5),$B$22,0))</f>
        <v>0</v>
      </c>
      <c r="AL90" s="23" cm="1">
        <f t="array" ref="AL90">$G$3+IFERROR(VLOOKUP($AG90,$F$4:$G$7,2,FALSE),0)+VLOOKUP($Q90,武学奇术!$A:$ZZ,2,FALSE)+SUM(_xlfn.XLOOKUP($R90:$AF90,增益!$A:$A,增益!$B:$B,0))</f>
        <v>0.383</v>
      </c>
      <c r="AM90" s="23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3018.8</v>
      </c>
      <c r="AO90" cm="1">
        <f t="array" ref="AO90">$E$10*(1+$AM90)+VLOOKUP($Q90,武学奇术!$A:$ZZ,4,FALSE)+SUM(_xlfn.XLOOKUP($R90:$AF90,增益!$A:$A,增益!$D:$D,0))-$I$2</f>
        <v>3018.8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0.252</v>
      </c>
      <c r="AQ90" s="30" cm="1">
        <f t="array" ref="AQ90">$G$10+VLOOKUP($Q90,武学奇术!$A:$ZZ,7,FALSE)+SUM(_xlfn.XLOOKUP(R90:AF90,增益!$A:$A,增益!$G:$G,0))</f>
        <v>0</v>
      </c>
      <c r="AR90" s="23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-0.24</v>
      </c>
      <c r="AV90" s="30" cm="1">
        <f t="array" ref="AV90">$G$11+VLOOKUP($Q90,武学奇术!$A:$ZZ,10,FALSE)+SUM(_xlfn.XLOOKUP(R90:AF90,增益!$A:$A,增益!$J:$J,0))</f>
        <v>0</v>
      </c>
      <c r="AW90">
        <f t="shared" si="14"/>
        <v>634.5</v>
      </c>
      <c r="AX90">
        <f t="shared" si="15"/>
        <v>1443.3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0.118</v>
      </c>
      <c r="AZ90" s="30" cm="1">
        <f t="array" ref="AZ90">$G$12+VLOOKUP($Q90,武学奇术!$A:$ZZ,12,FALSE)+SUM(_xlfn.XLOOKUP(R90:AF90,增益!$A:$A,增益!$L:$L,0))</f>
        <v>0.148</v>
      </c>
      <c r="BA90">
        <f t="shared" si="16"/>
        <v>0</v>
      </c>
      <c r="BB90">
        <f t="shared" si="17"/>
        <v>0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-0.24</v>
      </c>
      <c r="BD90" s="30" cm="1">
        <f t="array" ref="BD90">$G$13+VLOOKUP($Q90,武学奇术!$A:$ZZ,14,FALSE)+SUM(_xlfn.XLOOKUP(R90:AF90,增益!$A:$A,增益!$N:$N,0))</f>
        <v>0</v>
      </c>
      <c r="BE90">
        <f t="shared" si="18"/>
        <v>0</v>
      </c>
      <c r="BF90">
        <f t="shared" si="19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-0.24</v>
      </c>
      <c r="BH90" s="30" cm="1">
        <f t="array" ref="BH90">$G$14+VLOOKUP($Q90,武学奇术!$A:$ZZ,16,FALSE)+SUM(_xlfn.XLOOKUP(R90:AF90,增益!$A:$A,增益!$P:$P,0))</f>
        <v>0</v>
      </c>
      <c r="BI90" s="23">
        <f>MIN(IF(VLOOKUP($Q90,武学奇术!$A:$ZZ,23,FALSE)=1,100%,$B$8),100%)</f>
        <v>0.8626</v>
      </c>
      <c r="BJ90" s="23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0.8697</v>
      </c>
      <c r="BK90" s="23" cm="1">
        <f t="array" ref="BK90">1+$B$13+VLOOKUP($Q90,武学奇术!$A:$ZZ,18,FALSE)+SUM(_xlfn.XLOOKUP(R90:AF90,增益!$A:$A,增益!$R:$R,0))</f>
        <v>1.54</v>
      </c>
      <c r="BL90" s="23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0.0986</v>
      </c>
      <c r="BM90" s="23" cm="1">
        <f t="array" ref="BM90">1+$B$14+VLOOKUP($Q90,武学奇术!$A:$ZZ,20,FALSE)+SUM(_xlfn.XLOOKUP(R90:AF90,增益!$A:$A,增益!$T:$T,0))</f>
        <v>1.35</v>
      </c>
      <c r="BN90" s="23">
        <f t="shared" si="20"/>
        <v>0.75020322</v>
      </c>
      <c r="BO90" s="23">
        <f t="shared" si="21"/>
        <v>0.0273444200000001</v>
      </c>
      <c r="BP90" s="23">
        <f>IF(VLOOKUP($Q90,武学奇术!$A:$ZZ,22,FALSE)=1,0,(1-$BI90))*(1-$BL90)</f>
        <v>0.12385236</v>
      </c>
      <c r="BQ90" s="23" cm="1">
        <f t="array" ref="BQ90">SUM(_xlfn.XLOOKUP(R90:AF90,增益!$A:$A,增益!$W:$W,0))</f>
        <v>0</v>
      </c>
    </row>
    <row r="91" spans="1:69">
      <c r="K91" s="36">
        <f t="shared" si="11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7">
        <v>1</v>
      </c>
      <c r="Q91" s="38" t="s">
        <v>72</v>
      </c>
      <c r="R91" s="38" t="s">
        <v>72</v>
      </c>
      <c r="S91" s="38" t="s">
        <v>72</v>
      </c>
      <c r="T91" s="38" t="s">
        <v>72</v>
      </c>
      <c r="U91" s="38" t="s">
        <v>72</v>
      </c>
      <c r="V91" s="38" t="s">
        <v>72</v>
      </c>
      <c r="W91" s="38" t="s">
        <v>72</v>
      </c>
      <c r="X91" s="38" t="s">
        <v>72</v>
      </c>
      <c r="Y91" s="38" t="s">
        <v>72</v>
      </c>
      <c r="Z91" s="38" t="s">
        <v>72</v>
      </c>
      <c r="AA91" s="38" t="s">
        <v>72</v>
      </c>
      <c r="AB91" s="38" t="s">
        <v>72</v>
      </c>
      <c r="AC91" s="38" t="s">
        <v>72</v>
      </c>
      <c r="AD91" s="38" t="s">
        <v>72</v>
      </c>
      <c r="AE91" s="38" t="s">
        <v>72</v>
      </c>
      <c r="AF91" s="38" t="s">
        <v>74</v>
      </c>
      <c r="AG91" t="str">
        <f>VLOOKUP($Q91,武学奇术!$A:$ZZ,25,FALSE)</f>
        <v>心法</v>
      </c>
      <c r="AH91" s="23">
        <f>VLOOKUP($Q91,武学奇术!$A:$ZZ,26,FALSE)</f>
        <v>0</v>
      </c>
      <c r="AI91" s="24">
        <f>VLOOKUP($Q91,武学奇术!$A:$ZZ,27,FALSE)*(1+IF(OR($AG91=$F$4,$AG91=$F$5),$B$22,0))</f>
        <v>0</v>
      </c>
      <c r="AJ91" s="23">
        <f>VLOOKUP($Q91,武学奇术!$A:$ZZ,28,FALSE)</f>
        <v>0</v>
      </c>
      <c r="AK91" s="24">
        <f>VLOOKUP($Q91,武学奇术!$A:$ZZ,29,FALSE)*(1+IF(OR($AG91=$F$4,$AG91=$F$5),$B$22,0))</f>
        <v>0</v>
      </c>
      <c r="AL91" s="23" cm="1">
        <f t="array" ref="AL91">$G$3+IFERROR(VLOOKUP($AG91,$F$4:$G$7,2,FALSE),0)+VLOOKUP($Q91,武学奇术!$A:$ZZ,2,FALSE)+SUM(_xlfn.XLOOKUP($R91:$AF91,增益!$A:$A,增益!$B:$B,0))</f>
        <v>0.383</v>
      </c>
      <c r="AM91" s="23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3018.8</v>
      </c>
      <c r="AO91" cm="1">
        <f t="array" ref="AO91">$E$10*(1+$AM91)+VLOOKUP($Q91,武学奇术!$A:$ZZ,4,FALSE)+SUM(_xlfn.XLOOKUP($R91:$AF91,增益!$A:$A,增益!$D:$D,0))-$I$2</f>
        <v>3018.8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0.252</v>
      </c>
      <c r="AQ91" s="30" cm="1">
        <f t="array" ref="AQ91">$G$10+VLOOKUP($Q91,武学奇术!$A:$ZZ,7,FALSE)+SUM(_xlfn.XLOOKUP(R91:AF91,增益!$A:$A,增益!$G:$G,0))</f>
        <v>0</v>
      </c>
      <c r="AR91" s="23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-0.24</v>
      </c>
      <c r="AV91" s="30" cm="1">
        <f t="array" ref="AV91">$G$11+VLOOKUP($Q91,武学奇术!$A:$ZZ,10,FALSE)+SUM(_xlfn.XLOOKUP(R91:AF91,增益!$A:$A,增益!$J:$J,0))</f>
        <v>0</v>
      </c>
      <c r="AW91">
        <f t="shared" si="14"/>
        <v>634.5</v>
      </c>
      <c r="AX91">
        <f t="shared" si="15"/>
        <v>1443.3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0.118</v>
      </c>
      <c r="AZ91" s="30" cm="1">
        <f t="array" ref="AZ91">$G$12+VLOOKUP($Q91,武学奇术!$A:$ZZ,12,FALSE)+SUM(_xlfn.XLOOKUP(R91:AF91,增益!$A:$A,增益!$L:$L,0))</f>
        <v>0.148</v>
      </c>
      <c r="BA91">
        <f t="shared" si="16"/>
        <v>0</v>
      </c>
      <c r="BB91">
        <f t="shared" si="17"/>
        <v>0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-0.24</v>
      </c>
      <c r="BD91" s="30" cm="1">
        <f t="array" ref="BD91">$G$13+VLOOKUP($Q91,武学奇术!$A:$ZZ,14,FALSE)+SUM(_xlfn.XLOOKUP(R91:AF91,增益!$A:$A,增益!$N:$N,0))</f>
        <v>0</v>
      </c>
      <c r="BE91">
        <f t="shared" si="18"/>
        <v>0</v>
      </c>
      <c r="BF91">
        <f t="shared" si="19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-0.24</v>
      </c>
      <c r="BH91" s="30" cm="1">
        <f t="array" ref="BH91">$G$14+VLOOKUP($Q91,武学奇术!$A:$ZZ,16,FALSE)+SUM(_xlfn.XLOOKUP(R91:AF91,增益!$A:$A,增益!$P:$P,0))</f>
        <v>0</v>
      </c>
      <c r="BI91" s="23">
        <f>MIN(IF(VLOOKUP($Q91,武学奇术!$A:$ZZ,23,FALSE)=1,100%,$B$8),100%)</f>
        <v>0.8626</v>
      </c>
      <c r="BJ91" s="23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0.8697</v>
      </c>
      <c r="BK91" s="23" cm="1">
        <f t="array" ref="BK91">1+$B$13+VLOOKUP($Q91,武学奇术!$A:$ZZ,18,FALSE)+SUM(_xlfn.XLOOKUP(R91:AF91,增益!$A:$A,增益!$R:$R,0))</f>
        <v>1.54</v>
      </c>
      <c r="BL91" s="23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0.0986</v>
      </c>
      <c r="BM91" s="23" cm="1">
        <f t="array" ref="BM91">1+$B$14+VLOOKUP($Q91,武学奇术!$A:$ZZ,20,FALSE)+SUM(_xlfn.XLOOKUP(R91:AF91,增益!$A:$A,增益!$T:$T,0))</f>
        <v>1.35</v>
      </c>
      <c r="BN91" s="23">
        <f t="shared" si="20"/>
        <v>0.75020322</v>
      </c>
      <c r="BO91" s="23">
        <f t="shared" si="21"/>
        <v>0.0273444200000001</v>
      </c>
      <c r="BP91" s="23">
        <f>IF(VLOOKUP($Q91,武学奇术!$A:$ZZ,22,FALSE)=1,0,(1-$BI91))*(1-$BL91)</f>
        <v>0.12385236</v>
      </c>
      <c r="BQ91" s="23" cm="1">
        <f t="array" ref="BQ91">SUM(_xlfn.XLOOKUP(R91:AF91,增益!$A:$A,增益!$W:$W,0))</f>
        <v>0</v>
      </c>
    </row>
    <row r="92" spans="1:69">
      <c r="K92" s="36">
        <f t="shared" si="11"/>
        <v>15239.4122456426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16850.5311015311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13537.461225424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9108.3951900168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8189.041324164</v>
      </c>
      <c r="P92" s="37">
        <f t="shared" ref="P92:P100" si="22">IF($C$21="易水歌",1,0)</f>
        <v>1</v>
      </c>
      <c r="Q92" s="38" t="s">
        <v>158</v>
      </c>
      <c r="R92" s="38" t="s">
        <v>89</v>
      </c>
      <c r="S92" s="38" t="s">
        <v>78</v>
      </c>
      <c r="T92" s="38" t="s">
        <v>79</v>
      </c>
      <c r="U92" s="38" t="s">
        <v>80</v>
      </c>
      <c r="V92" s="38" t="s">
        <v>72</v>
      </c>
      <c r="W92" s="38" t="s">
        <v>73</v>
      </c>
      <c r="X92" s="38" t="s">
        <v>72</v>
      </c>
      <c r="Y92" s="38" t="s">
        <v>72</v>
      </c>
      <c r="Z92" s="38" t="s">
        <v>72</v>
      </c>
      <c r="AA92" s="38" t="s">
        <v>72</v>
      </c>
      <c r="AB92" s="38" t="s">
        <v>72</v>
      </c>
      <c r="AC92" s="38" t="s">
        <v>72</v>
      </c>
      <c r="AD92" s="38" t="s">
        <v>72</v>
      </c>
      <c r="AE92" s="38" t="s">
        <v>72</v>
      </c>
      <c r="AF92" s="38" t="s">
        <v>74</v>
      </c>
      <c r="AG92" t="str">
        <f>VLOOKUP($Q92,武学奇术!$A:$ZZ,25,FALSE)</f>
        <v>心法</v>
      </c>
      <c r="AH92" s="23">
        <f>VLOOKUP($Q92,武学奇术!$A:$ZZ,26,FALSE)</f>
        <v>1</v>
      </c>
      <c r="AI92" s="24">
        <f>VLOOKUP($Q92,武学奇术!$A:$ZZ,27,FALSE)*(1+IF(OR($AG92=$F$4,$AG92=$F$5),$B$22,0))</f>
        <v>0</v>
      </c>
      <c r="AJ92" s="23">
        <f>VLOOKUP($Q92,武学奇术!$A:$ZZ,28,FALSE)</f>
        <v>1</v>
      </c>
      <c r="AK92" s="24">
        <f>VLOOKUP($Q92,武学奇术!$A:$ZZ,29,FALSE)*(1+IF(OR($AG92=$F$4,$AG92=$F$5),$B$22,0))</f>
        <v>0</v>
      </c>
      <c r="AL92" s="23" cm="1">
        <f t="array" ref="AL92">$G$3+IFERROR(VLOOKUP($AG92,$F$4:$G$7,2,FALSE),0)+VLOOKUP($Q92,武学奇术!$A:$ZZ,2,FALSE)+SUM(_xlfn.XLOOKUP($R92:$AF92,增益!$A:$A,增益!$B:$B,0))</f>
        <v>0.653</v>
      </c>
      <c r="AM92" s="23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3018.8</v>
      </c>
      <c r="AO92" cm="1">
        <f t="array" ref="AO92">$E$10*(1+$AM92)+VLOOKUP($Q92,武学奇术!$A:$ZZ,4,FALSE)+SUM(_xlfn.XLOOKUP($R92:$AF92,增益!$A:$A,增益!$D:$D,0))-$I$2</f>
        <v>3018.8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0.352</v>
      </c>
      <c r="AQ92" s="30" cm="1">
        <f t="array" ref="AQ92">$G$10+VLOOKUP($Q92,武学奇术!$A:$ZZ,7,FALSE)+SUM(_xlfn.XLOOKUP(R92:AF92,增益!$A:$A,增益!$G:$G,0))</f>
        <v>0</v>
      </c>
      <c r="AR92" s="23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-0.08</v>
      </c>
      <c r="AV92" s="30" cm="1">
        <f t="array" ref="AV92">$G$11+VLOOKUP($Q92,武学奇术!$A:$ZZ,10,FALSE)+SUM(_xlfn.XLOOKUP(R92:AF92,增益!$A:$A,增益!$J:$J,0))</f>
        <v>0</v>
      </c>
      <c r="AW92">
        <f t="shared" si="14"/>
        <v>634.5</v>
      </c>
      <c r="AX92">
        <f t="shared" si="15"/>
        <v>1443.3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0.198</v>
      </c>
      <c r="AZ92" s="30" cm="1">
        <f t="array" ref="AZ92">$G$12+VLOOKUP($Q92,武学奇术!$A:$ZZ,12,FALSE)+SUM(_xlfn.XLOOKUP(R92:AF92,增益!$A:$A,增益!$L:$L,0))</f>
        <v>0.148</v>
      </c>
      <c r="BA92">
        <f t="shared" si="16"/>
        <v>0</v>
      </c>
      <c r="BB92">
        <f t="shared" si="17"/>
        <v>0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-0.08</v>
      </c>
      <c r="BD92" s="30" cm="1">
        <f t="array" ref="BD92">$G$13+VLOOKUP($Q92,武学奇术!$A:$ZZ,14,FALSE)+SUM(_xlfn.XLOOKUP(R92:AF92,增益!$A:$A,增益!$N:$N,0))</f>
        <v>0</v>
      </c>
      <c r="BE92">
        <f t="shared" si="18"/>
        <v>0</v>
      </c>
      <c r="BF92">
        <f t="shared" si="19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-0.08</v>
      </c>
      <c r="BH92" s="30" cm="1">
        <f t="array" ref="BH92">$G$14+VLOOKUP($Q92,武学奇术!$A:$ZZ,16,FALSE)+SUM(_xlfn.XLOOKUP(R92:AF92,增益!$A:$A,增益!$P:$P,0))</f>
        <v>0</v>
      </c>
      <c r="BI92" s="23">
        <f>MIN(IF(VLOOKUP($Q92,武学奇术!$A:$ZZ,23,FALSE)=1,100%,$B$8),100%)</f>
        <v>0.8626</v>
      </c>
      <c r="BJ92" s="23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0.8697</v>
      </c>
      <c r="BK92" s="23" cm="1">
        <f t="array" ref="BK92">1+$B$13+VLOOKUP($Q92,武学奇术!$A:$ZZ,18,FALSE)+SUM(_xlfn.XLOOKUP(R92:AF92,增益!$A:$A,增益!$R:$R,0))</f>
        <v>1.85</v>
      </c>
      <c r="BL92" s="23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0.0986</v>
      </c>
      <c r="BM92" s="23" cm="1">
        <f t="array" ref="BM92">1+$B$14+VLOOKUP($Q92,武学奇术!$A:$ZZ,20,FALSE)+SUM(_xlfn.XLOOKUP(R92:AF92,增益!$A:$A,增益!$T:$T,0))</f>
        <v>1.35</v>
      </c>
      <c r="BN92" s="23">
        <f t="shared" si="20"/>
        <v>0.75020322</v>
      </c>
      <c r="BO92" s="23">
        <f t="shared" si="21"/>
        <v>0.0273444200000001</v>
      </c>
      <c r="BP92" s="23">
        <f>IF(VLOOKUP($Q92,武学奇术!$A:$ZZ,22,FALSE)=1,0,(1-$BI92))*(1-$BL92)</f>
        <v>0.12385236</v>
      </c>
      <c r="BQ92" s="23" cm="1">
        <f t="array" ref="BQ92">SUM(_xlfn.XLOOKUP(R92:AF92,增益!$A:$A,增益!$W:$W,0))</f>
        <v>0</v>
      </c>
    </row>
    <row r="93" spans="1:69">
      <c r="K93" s="36">
        <f t="shared" si="11"/>
        <v>14669.7214448211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16221.068272984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12971.6230983726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8768.14501242379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7927.68032234932</v>
      </c>
      <c r="P93" s="37">
        <f t="shared" si="22"/>
        <v>1</v>
      </c>
      <c r="Q93" s="38" t="s">
        <v>158</v>
      </c>
      <c r="R93" s="38" t="s">
        <v>89</v>
      </c>
      <c r="S93" s="38" t="s">
        <v>72</v>
      </c>
      <c r="T93" s="38" t="s">
        <v>72</v>
      </c>
      <c r="U93" s="38" t="s">
        <v>80</v>
      </c>
      <c r="V93" s="38" t="s">
        <v>72</v>
      </c>
      <c r="W93" s="38" t="s">
        <v>72</v>
      </c>
      <c r="X93" s="38" t="s">
        <v>72</v>
      </c>
      <c r="Y93" s="38" t="s">
        <v>72</v>
      </c>
      <c r="Z93" s="38" t="s">
        <v>72</v>
      </c>
      <c r="AA93" s="38" t="s">
        <v>72</v>
      </c>
      <c r="AB93" s="38" t="s">
        <v>72</v>
      </c>
      <c r="AC93" s="38" t="s">
        <v>72</v>
      </c>
      <c r="AD93" s="38" t="s">
        <v>72</v>
      </c>
      <c r="AE93" s="38" t="s">
        <v>90</v>
      </c>
      <c r="AF93" s="38" t="s">
        <v>74</v>
      </c>
      <c r="AG93" t="str">
        <f>VLOOKUP($Q93,武学奇术!$A:$ZZ,25,FALSE)</f>
        <v>心法</v>
      </c>
      <c r="AH93" s="23">
        <f>VLOOKUP($Q93,武学奇术!$A:$ZZ,26,FALSE)</f>
        <v>1</v>
      </c>
      <c r="AI93" s="24">
        <f>VLOOKUP($Q93,武学奇术!$A:$ZZ,27,FALSE)*(1+IF(OR($AG93=$F$4,$AG93=$F$5),$B$22,0))</f>
        <v>0</v>
      </c>
      <c r="AJ93" s="23">
        <f>VLOOKUP($Q93,武学奇术!$A:$ZZ,28,FALSE)</f>
        <v>1</v>
      </c>
      <c r="AK93" s="24">
        <f>VLOOKUP($Q93,武学奇术!$A:$ZZ,29,FALSE)*(1+IF(OR($AG93=$F$4,$AG93=$F$5),$B$22,0))</f>
        <v>0</v>
      </c>
      <c r="AL93" s="23" cm="1">
        <f t="array" ref="AL93">$G$3+IFERROR(VLOOKUP($AG93,$F$4:$G$7,2,FALSE),0)+VLOOKUP($Q93,武学奇术!$A:$ZZ,2,FALSE)+SUM(_xlfn.XLOOKUP($R93:$AF93,增益!$A:$A,增益!$B:$B,0))</f>
        <v>0.433</v>
      </c>
      <c r="AM93" s="23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3018.8</v>
      </c>
      <c r="AO93" cm="1">
        <f t="array" ref="AO93">$E$10*(1+$AM93)+VLOOKUP($Q93,武学奇术!$A:$ZZ,4,FALSE)+SUM(_xlfn.XLOOKUP($R93:$AF93,增益!$A:$A,增益!$D:$D,0))-$I$2</f>
        <v>3018.8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0.352</v>
      </c>
      <c r="AQ93" s="30" cm="1">
        <f t="array" ref="AQ93">$G$10+VLOOKUP($Q93,武学奇术!$A:$ZZ,7,FALSE)+SUM(_xlfn.XLOOKUP(R93:AF93,增益!$A:$A,增益!$G:$G,0))</f>
        <v>0</v>
      </c>
      <c r="AR93" s="23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-0.24</v>
      </c>
      <c r="AV93" s="30" cm="1">
        <f t="array" ref="AV93">$G$11+VLOOKUP($Q93,武学奇术!$A:$ZZ,10,FALSE)+SUM(_xlfn.XLOOKUP(R93:AF93,增益!$A:$A,增益!$J:$J,0))</f>
        <v>0</v>
      </c>
      <c r="AW93">
        <f t="shared" si="14"/>
        <v>634.5</v>
      </c>
      <c r="AX93">
        <f t="shared" si="15"/>
        <v>1443.3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0.118</v>
      </c>
      <c r="AZ93" s="30" cm="1">
        <f t="array" ref="AZ93">$G$12+VLOOKUP($Q93,武学奇术!$A:$ZZ,12,FALSE)+SUM(_xlfn.XLOOKUP(R93:AF93,增益!$A:$A,增益!$L:$L,0))</f>
        <v>0.148</v>
      </c>
      <c r="BA93">
        <f t="shared" si="16"/>
        <v>0</v>
      </c>
      <c r="BB93">
        <f t="shared" si="17"/>
        <v>0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-0.24</v>
      </c>
      <c r="BD93" s="30" cm="1">
        <f t="array" ref="BD93">$G$13+VLOOKUP($Q93,武学奇术!$A:$ZZ,14,FALSE)+SUM(_xlfn.XLOOKUP(R93:AF93,增益!$A:$A,增益!$N:$N,0))</f>
        <v>0</v>
      </c>
      <c r="BE93">
        <f t="shared" si="18"/>
        <v>0</v>
      </c>
      <c r="BF93">
        <f t="shared" si="19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-0.24</v>
      </c>
      <c r="BH93" s="30" cm="1">
        <f t="array" ref="BH93">$G$14+VLOOKUP($Q93,武学奇术!$A:$ZZ,16,FALSE)+SUM(_xlfn.XLOOKUP(R93:AF93,增益!$A:$A,增益!$P:$P,0))</f>
        <v>0</v>
      </c>
      <c r="BI93" s="23">
        <f>MIN(IF(VLOOKUP($Q93,武学奇术!$A:$ZZ,23,FALSE)=1,100%,$B$8),100%)</f>
        <v>0.8626</v>
      </c>
      <c r="BJ93" s="23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0.8697</v>
      </c>
      <c r="BK93" s="23" cm="1">
        <f t="array" ref="BK93">1+$B$13+VLOOKUP($Q93,武学奇术!$A:$ZZ,18,FALSE)+SUM(_xlfn.XLOOKUP(R93:AF93,增益!$A:$A,增益!$R:$R,0))</f>
        <v>1.85</v>
      </c>
      <c r="BL93" s="23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0.0986</v>
      </c>
      <c r="BM93" s="23" cm="1">
        <f t="array" ref="BM93">1+$B$14+VLOOKUP($Q93,武学奇术!$A:$ZZ,20,FALSE)+SUM(_xlfn.XLOOKUP(R93:AF93,增益!$A:$A,增益!$T:$T,0))</f>
        <v>1.35</v>
      </c>
      <c r="BN93" s="23">
        <f t="shared" si="20"/>
        <v>0.75020322</v>
      </c>
      <c r="BO93" s="23">
        <f t="shared" si="21"/>
        <v>0.0273444200000001</v>
      </c>
      <c r="BP93" s="23">
        <f>IF(VLOOKUP($Q93,武学奇术!$A:$ZZ,22,FALSE)=1,0,(1-$BI93))*(1-$BL93)</f>
        <v>0.12385236</v>
      </c>
      <c r="BQ93" s="23" cm="1">
        <f t="array" ref="BQ93">SUM(_xlfn.XLOOKUP(R93:AF93,增益!$A:$A,增益!$W:$W,0))</f>
        <v>0.13</v>
      </c>
    </row>
    <row r="94" spans="1:69">
      <c r="K94" s="36">
        <f t="shared" si="11"/>
        <v>17926.216390272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19996.2087786481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15240.8227258934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10254.4660403323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9219.43376518812</v>
      </c>
      <c r="P94" s="37">
        <f t="shared" si="22"/>
        <v>1</v>
      </c>
      <c r="Q94" s="38" t="s">
        <v>158</v>
      </c>
      <c r="R94" s="38" t="s">
        <v>89</v>
      </c>
      <c r="S94" s="38" t="s">
        <v>72</v>
      </c>
      <c r="T94" s="38" t="s">
        <v>79</v>
      </c>
      <c r="U94" s="38" t="s">
        <v>80</v>
      </c>
      <c r="V94" s="38" t="s">
        <v>72</v>
      </c>
      <c r="W94" s="38" t="s">
        <v>72</v>
      </c>
      <c r="X94" s="38" t="s">
        <v>122</v>
      </c>
      <c r="Y94" s="38" t="s">
        <v>147</v>
      </c>
      <c r="Z94" s="38" t="s">
        <v>72</v>
      </c>
      <c r="AA94" s="38" t="s">
        <v>72</v>
      </c>
      <c r="AB94" s="38" t="s">
        <v>72</v>
      </c>
      <c r="AC94" s="38" t="s">
        <v>72</v>
      </c>
      <c r="AD94" s="38" t="s">
        <v>72</v>
      </c>
      <c r="AE94" s="38" t="s">
        <v>90</v>
      </c>
      <c r="AF94" s="38" t="s">
        <v>74</v>
      </c>
      <c r="AG94" t="str">
        <f>VLOOKUP($Q94,武学奇术!$A:$ZZ,25,FALSE)</f>
        <v>心法</v>
      </c>
      <c r="AH94" s="23">
        <f>VLOOKUP($Q94,武学奇术!$A:$ZZ,26,FALSE)</f>
        <v>1</v>
      </c>
      <c r="AI94" s="24">
        <f>VLOOKUP($Q94,武学奇术!$A:$ZZ,27,FALSE)*(1+IF(OR($AG94=$F$4,$AG94=$F$5),$B$22,0))</f>
        <v>0</v>
      </c>
      <c r="AJ94" s="23">
        <f>VLOOKUP($Q94,武学奇术!$A:$ZZ,28,FALSE)</f>
        <v>1</v>
      </c>
      <c r="AK94" s="24">
        <f>VLOOKUP($Q94,武学奇术!$A:$ZZ,29,FALSE)*(1+IF(OR($AG94=$F$4,$AG94=$F$5),$B$22,0))</f>
        <v>0</v>
      </c>
      <c r="AL94" s="23" cm="1">
        <f t="array" ref="AL94">$G$3+IFERROR(VLOOKUP($AG94,$F$4:$G$7,2,FALSE),0)+VLOOKUP($Q94,武学奇术!$A:$ZZ,2,FALSE)+SUM(_xlfn.XLOOKUP($R94:$AF94,增益!$A:$A,增益!$B:$B,0))</f>
        <v>0.513</v>
      </c>
      <c r="AM94" s="23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3018.8</v>
      </c>
      <c r="AO94" cm="1">
        <f t="array" ref="AO94">$E$10*(1+$AM94)+VLOOKUP($Q94,武学奇术!$A:$ZZ,4,FALSE)+SUM(_xlfn.XLOOKUP($R94:$AF94,增益!$A:$A,增益!$D:$D,0))-$I$2</f>
        <v>3018.8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0.352</v>
      </c>
      <c r="AQ94" s="30" cm="1">
        <f t="array" ref="AQ94">$G$10+VLOOKUP($Q94,武学奇术!$A:$ZZ,7,FALSE)+SUM(_xlfn.XLOOKUP(R94:AF94,增益!$A:$A,增益!$G:$G,0))</f>
        <v>0</v>
      </c>
      <c r="AR94" s="23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-0.08</v>
      </c>
      <c r="AV94" s="30" cm="1">
        <f t="array" ref="AV94">$G$11+VLOOKUP($Q94,武学奇术!$A:$ZZ,10,FALSE)+SUM(_xlfn.XLOOKUP(R94:AF94,增益!$A:$A,增益!$J:$J,0))</f>
        <v>0</v>
      </c>
      <c r="AW94">
        <f t="shared" si="14"/>
        <v>634.5</v>
      </c>
      <c r="AX94">
        <f t="shared" si="15"/>
        <v>1443.3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0.198</v>
      </c>
      <c r="AZ94" s="30" cm="1">
        <f t="array" ref="AZ94">$G$12+VLOOKUP($Q94,武学奇术!$A:$ZZ,12,FALSE)+SUM(_xlfn.XLOOKUP(R94:AF94,增益!$A:$A,增益!$L:$L,0))</f>
        <v>0.148</v>
      </c>
      <c r="BA94">
        <f t="shared" si="16"/>
        <v>0</v>
      </c>
      <c r="BB94">
        <f t="shared" si="17"/>
        <v>0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-0.08</v>
      </c>
      <c r="BD94" s="30" cm="1">
        <f t="array" ref="BD94">$G$13+VLOOKUP($Q94,武学奇术!$A:$ZZ,14,FALSE)+SUM(_xlfn.XLOOKUP(R94:AF94,增益!$A:$A,增益!$N:$N,0))</f>
        <v>0</v>
      </c>
      <c r="BE94">
        <f t="shared" si="18"/>
        <v>0</v>
      </c>
      <c r="BF94">
        <f t="shared" si="19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-0.08</v>
      </c>
      <c r="BH94" s="30" cm="1">
        <f t="array" ref="BH94">$G$14+VLOOKUP($Q94,武学奇术!$A:$ZZ,16,FALSE)+SUM(_xlfn.XLOOKUP(R94:AF94,增益!$A:$A,增益!$P:$P,0))</f>
        <v>0</v>
      </c>
      <c r="BI94" s="23">
        <f>MIN(IF(VLOOKUP($Q94,武学奇术!$A:$ZZ,23,FALSE)=1,100%,$B$8),100%)</f>
        <v>0.8626</v>
      </c>
      <c r="BJ94" s="23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0.8697</v>
      </c>
      <c r="BK94" s="23" cm="1">
        <f t="array" ref="BK94">1+$B$13+VLOOKUP($Q94,武学奇术!$A:$ZZ,18,FALSE)+SUM(_xlfn.XLOOKUP(R94:AF94,增益!$A:$A,增益!$R:$R,0))</f>
        <v>1.95</v>
      </c>
      <c r="BL94" s="23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0.0986</v>
      </c>
      <c r="BM94" s="23" cm="1">
        <f t="array" ref="BM94">1+$B$14+VLOOKUP($Q94,武学奇术!$A:$ZZ,20,FALSE)+SUM(_xlfn.XLOOKUP(R94:AF94,增益!$A:$A,增益!$T:$T,0))</f>
        <v>1.35</v>
      </c>
      <c r="BN94" s="23">
        <f t="shared" si="20"/>
        <v>0.75020322</v>
      </c>
      <c r="BO94" s="23">
        <f t="shared" si="21"/>
        <v>0.0273444200000001</v>
      </c>
      <c r="BP94" s="23">
        <f>IF(VLOOKUP($Q94,武学奇术!$A:$ZZ,22,FALSE)=1,0,(1-$BI94))*(1-$BL94)</f>
        <v>0.12385236</v>
      </c>
      <c r="BQ94" s="23" cm="1">
        <f t="array" ref="BQ94">SUM(_xlfn.XLOOKUP(R94:AF94,增益!$A:$A,增益!$W:$W,0))</f>
        <v>0.23</v>
      </c>
    </row>
    <row r="95" spans="1:69">
      <c r="K95" s="36">
        <f t="shared" si="11"/>
        <v>15898.1698561111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17579.4270955647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14057.8720668337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9502.39302462955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8591.54748123412</v>
      </c>
      <c r="P95" s="37">
        <f t="shared" si="22"/>
        <v>1</v>
      </c>
      <c r="Q95" s="38" t="s">
        <v>158</v>
      </c>
      <c r="R95" s="38" t="s">
        <v>89</v>
      </c>
      <c r="S95" s="38" t="s">
        <v>78</v>
      </c>
      <c r="T95" s="38" t="s">
        <v>72</v>
      </c>
      <c r="U95" s="38" t="s">
        <v>80</v>
      </c>
      <c r="V95" s="38" t="s">
        <v>72</v>
      </c>
      <c r="W95" s="38" t="s">
        <v>72</v>
      </c>
      <c r="X95" s="38" t="s">
        <v>72</v>
      </c>
      <c r="Y95" s="38" t="s">
        <v>72</v>
      </c>
      <c r="Z95" s="38" t="s">
        <v>72</v>
      </c>
      <c r="AA95" s="38" t="s">
        <v>72</v>
      </c>
      <c r="AB95" s="38" t="s">
        <v>72</v>
      </c>
      <c r="AC95" s="38" t="s">
        <v>72</v>
      </c>
      <c r="AD95" s="38" t="s">
        <v>72</v>
      </c>
      <c r="AE95" s="38" t="s">
        <v>90</v>
      </c>
      <c r="AF95" s="38" t="s">
        <v>74</v>
      </c>
      <c r="AG95" t="str">
        <f>VLOOKUP($Q95,武学奇术!$A:$ZZ,25,FALSE)</f>
        <v>心法</v>
      </c>
      <c r="AH95" s="23">
        <f>VLOOKUP($Q95,武学奇术!$A:$ZZ,26,FALSE)</f>
        <v>1</v>
      </c>
      <c r="AI95" s="24">
        <f>VLOOKUP($Q95,武学奇术!$A:$ZZ,27,FALSE)*(1+IF(OR($AG95=$F$4,$AG95=$F$5),$B$22,0))</f>
        <v>0</v>
      </c>
      <c r="AJ95" s="23">
        <f>VLOOKUP($Q95,武学奇术!$A:$ZZ,28,FALSE)</f>
        <v>1</v>
      </c>
      <c r="AK95" s="24">
        <f>VLOOKUP($Q95,武学奇术!$A:$ZZ,29,FALSE)*(1+IF(OR($AG95=$F$4,$AG95=$F$5),$B$22,0))</f>
        <v>0</v>
      </c>
      <c r="AL95" s="23" cm="1">
        <f t="array" ref="AL95">$G$3+IFERROR(VLOOKUP($AG95,$F$4:$G$7,2,FALSE),0)+VLOOKUP($Q95,武学奇术!$A:$ZZ,2,FALSE)+SUM(_xlfn.XLOOKUP($R95:$AF95,增益!$A:$A,增益!$B:$B,0))</f>
        <v>0.553</v>
      </c>
      <c r="AM95" s="23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3018.8</v>
      </c>
      <c r="AO95" cm="1">
        <f t="array" ref="AO95">$E$10*(1+$AM95)+VLOOKUP($Q95,武学奇术!$A:$ZZ,4,FALSE)+SUM(_xlfn.XLOOKUP($R95:$AF95,增益!$A:$A,增益!$D:$D,0))-$I$2</f>
        <v>3018.8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0.352</v>
      </c>
      <c r="AQ95" s="30" cm="1">
        <f t="array" ref="AQ95">$G$10+VLOOKUP($Q95,武学奇术!$A:$ZZ,7,FALSE)+SUM(_xlfn.XLOOKUP(R95:AF95,增益!$A:$A,增益!$G:$G,0))</f>
        <v>0</v>
      </c>
      <c r="AR95" s="23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-0.24</v>
      </c>
      <c r="AV95" s="30" cm="1">
        <f t="array" ref="AV95">$G$11+VLOOKUP($Q95,武学奇术!$A:$ZZ,10,FALSE)+SUM(_xlfn.XLOOKUP(R95:AF95,增益!$A:$A,增益!$J:$J,0))</f>
        <v>0</v>
      </c>
      <c r="AW95">
        <f t="shared" si="14"/>
        <v>634.5</v>
      </c>
      <c r="AX95">
        <f t="shared" si="15"/>
        <v>1443.3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0.118</v>
      </c>
      <c r="AZ95" s="30" cm="1">
        <f t="array" ref="AZ95">$G$12+VLOOKUP($Q95,武学奇术!$A:$ZZ,12,FALSE)+SUM(_xlfn.XLOOKUP(R95:AF95,增益!$A:$A,增益!$L:$L,0))</f>
        <v>0.148</v>
      </c>
      <c r="BA95">
        <f t="shared" si="16"/>
        <v>0</v>
      </c>
      <c r="BB95">
        <f t="shared" si="17"/>
        <v>0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-0.24</v>
      </c>
      <c r="BD95" s="30" cm="1">
        <f t="array" ref="BD95">$G$13+VLOOKUP($Q95,武学奇术!$A:$ZZ,14,FALSE)+SUM(_xlfn.XLOOKUP(R95:AF95,增益!$A:$A,增益!$N:$N,0))</f>
        <v>0</v>
      </c>
      <c r="BE95">
        <f t="shared" si="18"/>
        <v>0</v>
      </c>
      <c r="BF95">
        <f t="shared" si="19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-0.24</v>
      </c>
      <c r="BH95" s="30" cm="1">
        <f t="array" ref="BH95">$G$14+VLOOKUP($Q95,武学奇术!$A:$ZZ,16,FALSE)+SUM(_xlfn.XLOOKUP(R95:AF95,增益!$A:$A,增益!$P:$P,0))</f>
        <v>0</v>
      </c>
      <c r="BI95" s="23">
        <f>MIN(IF(VLOOKUP($Q95,武学奇术!$A:$ZZ,23,FALSE)=1,100%,$B$8),100%)</f>
        <v>0.8626</v>
      </c>
      <c r="BJ95" s="23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0.8697</v>
      </c>
      <c r="BK95" s="23" cm="1">
        <f t="array" ref="BK95">1+$B$13+VLOOKUP($Q95,武学奇术!$A:$ZZ,18,FALSE)+SUM(_xlfn.XLOOKUP(R95:AF95,增益!$A:$A,增益!$R:$R,0))</f>
        <v>1.85</v>
      </c>
      <c r="BL95" s="23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0.0986</v>
      </c>
      <c r="BM95" s="23" cm="1">
        <f t="array" ref="BM95">1+$B$14+VLOOKUP($Q95,武学奇术!$A:$ZZ,20,FALSE)+SUM(_xlfn.XLOOKUP(R95:AF95,增益!$A:$A,增益!$T:$T,0))</f>
        <v>1.35</v>
      </c>
      <c r="BN95" s="23">
        <f t="shared" si="20"/>
        <v>0.75020322</v>
      </c>
      <c r="BO95" s="23">
        <f t="shared" si="21"/>
        <v>0.0273444200000001</v>
      </c>
      <c r="BP95" s="23">
        <f>IF(VLOOKUP($Q95,武学奇术!$A:$ZZ,22,FALSE)=1,0,(1-$BI95))*(1-$BL95)</f>
        <v>0.12385236</v>
      </c>
      <c r="BQ95" s="23" cm="1">
        <f t="array" ref="BQ95">SUM(_xlfn.XLOOKUP(R95:AF95,增益!$A:$A,增益!$W:$W,0))</f>
        <v>0.13</v>
      </c>
    </row>
    <row r="96" spans="1:69">
      <c r="K96" s="36">
        <f t="shared" si="11"/>
        <v>17220.5358375761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19041.1001447301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15297.3311847291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10292.486564719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9253.61669630532</v>
      </c>
      <c r="P96" s="37">
        <f t="shared" si="22"/>
        <v>1</v>
      </c>
      <c r="Q96" s="38" t="s">
        <v>158</v>
      </c>
      <c r="R96" s="38" t="s">
        <v>89</v>
      </c>
      <c r="S96" s="38" t="s">
        <v>78</v>
      </c>
      <c r="T96" s="38" t="s">
        <v>79</v>
      </c>
      <c r="U96" s="38" t="s">
        <v>80</v>
      </c>
      <c r="V96" s="38" t="s">
        <v>72</v>
      </c>
      <c r="W96" s="38" t="s">
        <v>73</v>
      </c>
      <c r="X96" s="38" t="s">
        <v>72</v>
      </c>
      <c r="Y96" s="38" t="s">
        <v>72</v>
      </c>
      <c r="Z96" s="38" t="s">
        <v>72</v>
      </c>
      <c r="AA96" s="38" t="s">
        <v>72</v>
      </c>
      <c r="AB96" s="38" t="s">
        <v>72</v>
      </c>
      <c r="AC96" s="38" t="s">
        <v>72</v>
      </c>
      <c r="AD96" s="38" t="s">
        <v>72</v>
      </c>
      <c r="AE96" s="38" t="s">
        <v>90</v>
      </c>
      <c r="AF96" s="38" t="s">
        <v>74</v>
      </c>
      <c r="AG96" t="str">
        <f>VLOOKUP($Q96,武学奇术!$A:$ZZ,25,FALSE)</f>
        <v>心法</v>
      </c>
      <c r="AH96" s="23">
        <f>VLOOKUP($Q96,武学奇术!$A:$ZZ,26,FALSE)</f>
        <v>1</v>
      </c>
      <c r="AI96" s="24">
        <f>VLOOKUP($Q96,武学奇术!$A:$ZZ,27,FALSE)*(1+IF(OR($AG96=$F$4,$AG96=$F$5),$B$22,0))</f>
        <v>0</v>
      </c>
      <c r="AJ96" s="23">
        <f>VLOOKUP($Q96,武学奇术!$A:$ZZ,28,FALSE)</f>
        <v>1</v>
      </c>
      <c r="AK96" s="24">
        <f>VLOOKUP($Q96,武学奇术!$A:$ZZ,29,FALSE)*(1+IF(OR($AG96=$F$4,$AG96=$F$5),$B$22,0))</f>
        <v>0</v>
      </c>
      <c r="AL96" s="23" cm="1">
        <f t="array" ref="AL96">$G$3+IFERROR(VLOOKUP($AG96,$F$4:$G$7,2,FALSE),0)+VLOOKUP($Q96,武学奇术!$A:$ZZ,2,FALSE)+SUM(_xlfn.XLOOKUP($R96:$AF96,增益!$A:$A,增益!$B:$B,0))</f>
        <v>0.653</v>
      </c>
      <c r="AM96" s="23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3018.8</v>
      </c>
      <c r="AO96" cm="1">
        <f t="array" ref="AO96">$E$10*(1+$AM96)+VLOOKUP($Q96,武学奇术!$A:$ZZ,4,FALSE)+SUM(_xlfn.XLOOKUP($R96:$AF96,增益!$A:$A,增益!$D:$D,0))-$I$2</f>
        <v>3018.8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0.352</v>
      </c>
      <c r="AQ96" s="30" cm="1">
        <f t="array" ref="AQ96">$G$10+VLOOKUP($Q96,武学奇术!$A:$ZZ,7,FALSE)+SUM(_xlfn.XLOOKUP(R96:AF96,增益!$A:$A,增益!$G:$G,0))</f>
        <v>0</v>
      </c>
      <c r="AR96" s="23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-0.08</v>
      </c>
      <c r="AV96" s="30" cm="1">
        <f t="array" ref="AV96">$G$11+VLOOKUP($Q96,武学奇术!$A:$ZZ,10,FALSE)+SUM(_xlfn.XLOOKUP(R96:AF96,增益!$A:$A,增益!$J:$J,0))</f>
        <v>0</v>
      </c>
      <c r="AW96">
        <f t="shared" si="14"/>
        <v>634.5</v>
      </c>
      <c r="AX96">
        <f t="shared" si="15"/>
        <v>1443.3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0.198</v>
      </c>
      <c r="AZ96" s="30" cm="1">
        <f t="array" ref="AZ96">$G$12+VLOOKUP($Q96,武学奇术!$A:$ZZ,12,FALSE)+SUM(_xlfn.XLOOKUP(R96:AF96,增益!$A:$A,增益!$L:$L,0))</f>
        <v>0.148</v>
      </c>
      <c r="BA96">
        <f t="shared" si="16"/>
        <v>0</v>
      </c>
      <c r="BB96">
        <f t="shared" si="17"/>
        <v>0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-0.08</v>
      </c>
      <c r="BD96" s="30" cm="1">
        <f t="array" ref="BD96">$G$13+VLOOKUP($Q96,武学奇术!$A:$ZZ,14,FALSE)+SUM(_xlfn.XLOOKUP(R96:AF96,增益!$A:$A,增益!$N:$N,0))</f>
        <v>0</v>
      </c>
      <c r="BE96">
        <f t="shared" si="18"/>
        <v>0</v>
      </c>
      <c r="BF96">
        <f t="shared" si="19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-0.08</v>
      </c>
      <c r="BH96" s="30" cm="1">
        <f t="array" ref="BH96">$G$14+VLOOKUP($Q96,武学奇术!$A:$ZZ,16,FALSE)+SUM(_xlfn.XLOOKUP(R96:AF96,增益!$A:$A,增益!$P:$P,0))</f>
        <v>0</v>
      </c>
      <c r="BI96" s="23">
        <f>MIN(IF(VLOOKUP($Q96,武学奇术!$A:$ZZ,23,FALSE)=1,100%,$B$8),100%)</f>
        <v>0.8626</v>
      </c>
      <c r="BJ96" s="23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0.8697</v>
      </c>
      <c r="BK96" s="23" cm="1">
        <f t="array" ref="BK96">1+$B$13+VLOOKUP($Q96,武学奇术!$A:$ZZ,18,FALSE)+SUM(_xlfn.XLOOKUP(R96:AF96,增益!$A:$A,增益!$R:$R,0))</f>
        <v>1.85</v>
      </c>
      <c r="BL96" s="23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0.0986</v>
      </c>
      <c r="BM96" s="23" cm="1">
        <f t="array" ref="BM96">1+$B$14+VLOOKUP($Q96,武学奇术!$A:$ZZ,20,FALSE)+SUM(_xlfn.XLOOKUP(R96:AF96,增益!$A:$A,增益!$T:$T,0))</f>
        <v>1.35</v>
      </c>
      <c r="BN96" s="23">
        <f t="shared" si="20"/>
        <v>0.75020322</v>
      </c>
      <c r="BO96" s="23">
        <f t="shared" si="21"/>
        <v>0.0273444200000001</v>
      </c>
      <c r="BP96" s="23">
        <f>IF(VLOOKUP($Q96,武学奇术!$A:$ZZ,22,FALSE)=1,0,(1-$BI96))*(1-$BL96)</f>
        <v>0.12385236</v>
      </c>
      <c r="BQ96" s="23" cm="1">
        <f t="array" ref="BQ96">SUM(_xlfn.XLOOKUP(R96:AF96,增益!$A:$A,增益!$W:$W,0))</f>
        <v>0.13</v>
      </c>
    </row>
    <row r="97" spans="11:69">
      <c r="K97" s="36">
        <f t="shared" si="11"/>
        <v>15898.1698561111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17579.4270955647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14057.8720668337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9502.39302462955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8591.54748123412</v>
      </c>
      <c r="P97" s="37">
        <f t="shared" si="22"/>
        <v>1</v>
      </c>
      <c r="Q97" s="38" t="s">
        <v>158</v>
      </c>
      <c r="R97" s="38" t="s">
        <v>89</v>
      </c>
      <c r="S97" s="38" t="s">
        <v>78</v>
      </c>
      <c r="T97" s="38" t="s">
        <v>72</v>
      </c>
      <c r="U97" s="38" t="s">
        <v>80</v>
      </c>
      <c r="V97" s="38" t="s">
        <v>72</v>
      </c>
      <c r="W97" s="38" t="s">
        <v>72</v>
      </c>
      <c r="X97" s="38" t="s">
        <v>72</v>
      </c>
      <c r="Y97" s="38" t="s">
        <v>72</v>
      </c>
      <c r="Z97" s="38" t="s">
        <v>72</v>
      </c>
      <c r="AA97" s="38" t="s">
        <v>72</v>
      </c>
      <c r="AB97" s="38" t="s">
        <v>72</v>
      </c>
      <c r="AC97" s="38" t="s">
        <v>72</v>
      </c>
      <c r="AD97" s="38" t="s">
        <v>72</v>
      </c>
      <c r="AE97" s="38" t="s">
        <v>90</v>
      </c>
      <c r="AF97" s="38" t="s">
        <v>74</v>
      </c>
      <c r="AG97" t="str">
        <f>VLOOKUP($Q97,武学奇术!$A:$ZZ,25,FALSE)</f>
        <v>心法</v>
      </c>
      <c r="AH97" s="23">
        <f>VLOOKUP($Q97,武学奇术!$A:$ZZ,26,FALSE)</f>
        <v>1</v>
      </c>
      <c r="AI97" s="24">
        <f>VLOOKUP($Q97,武学奇术!$A:$ZZ,27,FALSE)*(1+IF(OR($AG97=$F$4,$AG97=$F$5),$B$22,0))</f>
        <v>0</v>
      </c>
      <c r="AJ97" s="23">
        <f>VLOOKUP($Q97,武学奇术!$A:$ZZ,28,FALSE)</f>
        <v>1</v>
      </c>
      <c r="AK97" s="24">
        <f>VLOOKUP($Q97,武学奇术!$A:$ZZ,29,FALSE)*(1+IF(OR($AG97=$F$4,$AG97=$F$5),$B$22,0))</f>
        <v>0</v>
      </c>
      <c r="AL97" s="23" cm="1">
        <f t="array" ref="AL97">$G$3+IFERROR(VLOOKUP($AG97,$F$4:$G$7,2,FALSE),0)+VLOOKUP($Q97,武学奇术!$A:$ZZ,2,FALSE)+SUM(_xlfn.XLOOKUP($R97:$AF97,增益!$A:$A,增益!$B:$B,0))</f>
        <v>0.553</v>
      </c>
      <c r="AM97" s="23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3018.8</v>
      </c>
      <c r="AO97" cm="1">
        <f t="array" ref="AO97">$E$10*(1+$AM97)+VLOOKUP($Q97,武学奇术!$A:$ZZ,4,FALSE)+SUM(_xlfn.XLOOKUP($R97:$AF97,增益!$A:$A,增益!$D:$D,0))-$I$2</f>
        <v>3018.8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0.352</v>
      </c>
      <c r="AQ97" s="30" cm="1">
        <f t="array" ref="AQ97">$G$10+VLOOKUP($Q97,武学奇术!$A:$ZZ,7,FALSE)+SUM(_xlfn.XLOOKUP(R97:AF97,增益!$A:$A,增益!$G:$G,0))</f>
        <v>0</v>
      </c>
      <c r="AR97" s="23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-0.24</v>
      </c>
      <c r="AV97" s="30" cm="1">
        <f t="array" ref="AV97">$G$11+VLOOKUP($Q97,武学奇术!$A:$ZZ,10,FALSE)+SUM(_xlfn.XLOOKUP(R97:AF97,增益!$A:$A,增益!$J:$J,0))</f>
        <v>0</v>
      </c>
      <c r="AW97">
        <f t="shared" si="14"/>
        <v>634.5</v>
      </c>
      <c r="AX97">
        <f t="shared" si="15"/>
        <v>1443.3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0.118</v>
      </c>
      <c r="AZ97" s="30" cm="1">
        <f t="array" ref="AZ97">$G$12+VLOOKUP($Q97,武学奇术!$A:$ZZ,12,FALSE)+SUM(_xlfn.XLOOKUP(R97:AF97,增益!$A:$A,增益!$L:$L,0))</f>
        <v>0.148</v>
      </c>
      <c r="BA97">
        <f t="shared" si="16"/>
        <v>0</v>
      </c>
      <c r="BB97">
        <f t="shared" si="17"/>
        <v>0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-0.24</v>
      </c>
      <c r="BD97" s="30" cm="1">
        <f t="array" ref="BD97">$G$13+VLOOKUP($Q97,武学奇术!$A:$ZZ,14,FALSE)+SUM(_xlfn.XLOOKUP(R97:AF97,增益!$A:$A,增益!$N:$N,0))</f>
        <v>0</v>
      </c>
      <c r="BE97">
        <f t="shared" si="18"/>
        <v>0</v>
      </c>
      <c r="BF97">
        <f t="shared" si="19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-0.24</v>
      </c>
      <c r="BH97" s="30" cm="1">
        <f t="array" ref="BH97">$G$14+VLOOKUP($Q97,武学奇术!$A:$ZZ,16,FALSE)+SUM(_xlfn.XLOOKUP(R97:AF97,增益!$A:$A,增益!$P:$P,0))</f>
        <v>0</v>
      </c>
      <c r="BI97" s="23">
        <f>MIN(IF(VLOOKUP($Q97,武学奇术!$A:$ZZ,23,FALSE)=1,100%,$B$8),100%)</f>
        <v>0.8626</v>
      </c>
      <c r="BJ97" s="23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0.8697</v>
      </c>
      <c r="BK97" s="23" cm="1">
        <f t="array" ref="BK97">1+$B$13+VLOOKUP($Q97,武学奇术!$A:$ZZ,18,FALSE)+SUM(_xlfn.XLOOKUP(R97:AF97,增益!$A:$A,增益!$R:$R,0))</f>
        <v>1.85</v>
      </c>
      <c r="BL97" s="23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0.0986</v>
      </c>
      <c r="BM97" s="23" cm="1">
        <f t="array" ref="BM97">1+$B$14+VLOOKUP($Q97,武学奇术!$A:$ZZ,20,FALSE)+SUM(_xlfn.XLOOKUP(R97:AF97,增益!$A:$A,增益!$T:$T,0))</f>
        <v>1.35</v>
      </c>
      <c r="BN97" s="23">
        <f t="shared" si="20"/>
        <v>0.75020322</v>
      </c>
      <c r="BO97" s="23">
        <f t="shared" si="21"/>
        <v>0.0273444200000001</v>
      </c>
      <c r="BP97" s="23">
        <f>IF(VLOOKUP($Q97,武学奇术!$A:$ZZ,22,FALSE)=1,0,(1-$BI97))*(1-$BL97)</f>
        <v>0.12385236</v>
      </c>
      <c r="BQ97" s="23" cm="1">
        <f t="array" ref="BQ97">SUM(_xlfn.XLOOKUP(R97:AF97,增益!$A:$A,增益!$W:$W,0))</f>
        <v>0.13</v>
      </c>
    </row>
    <row r="98" spans="11:69">
      <c r="K98" s="36">
        <f t="shared" si="11"/>
        <v>17012.1808970126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18810.7178078308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15112.2455079628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10167.9555718004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9141.65521177652</v>
      </c>
      <c r="P98" s="37">
        <f t="shared" si="22"/>
        <v>1</v>
      </c>
      <c r="Q98" s="38" t="s">
        <v>158</v>
      </c>
      <c r="R98" s="38" t="s">
        <v>89</v>
      </c>
      <c r="S98" s="38" t="s">
        <v>78</v>
      </c>
      <c r="T98" s="38" t="s">
        <v>79</v>
      </c>
      <c r="U98" s="38" t="s">
        <v>80</v>
      </c>
      <c r="V98" s="38" t="s">
        <v>72</v>
      </c>
      <c r="W98" s="38" t="s">
        <v>72</v>
      </c>
      <c r="X98" s="38" t="s">
        <v>72</v>
      </c>
      <c r="Y98" s="38" t="s">
        <v>72</v>
      </c>
      <c r="Z98" s="38" t="s">
        <v>72</v>
      </c>
      <c r="AA98" s="38" t="s">
        <v>72</v>
      </c>
      <c r="AB98" s="38" t="s">
        <v>72</v>
      </c>
      <c r="AC98" s="38" t="s">
        <v>72</v>
      </c>
      <c r="AD98" s="38" t="s">
        <v>72</v>
      </c>
      <c r="AE98" s="38" t="s">
        <v>90</v>
      </c>
      <c r="AF98" s="38" t="s">
        <v>74</v>
      </c>
      <c r="AG98" t="str">
        <f>VLOOKUP($Q98,武学奇术!$A:$ZZ,25,FALSE)</f>
        <v>心法</v>
      </c>
      <c r="AH98" s="23">
        <f>VLOOKUP($Q98,武学奇术!$A:$ZZ,26,FALSE)</f>
        <v>1</v>
      </c>
      <c r="AI98" s="24">
        <f>VLOOKUP($Q98,武学奇术!$A:$ZZ,27,FALSE)*(1+IF(OR($AG98=$F$4,$AG98=$F$5),$B$22,0))</f>
        <v>0</v>
      </c>
      <c r="AJ98" s="23">
        <f>VLOOKUP($Q98,武学奇术!$A:$ZZ,28,FALSE)</f>
        <v>1</v>
      </c>
      <c r="AK98" s="24">
        <f>VLOOKUP($Q98,武学奇术!$A:$ZZ,29,FALSE)*(1+IF(OR($AG98=$F$4,$AG98=$F$5),$B$22,0))</f>
        <v>0</v>
      </c>
      <c r="AL98" s="23" cm="1">
        <f t="array" ref="AL98">$G$3+IFERROR(VLOOKUP($AG98,$F$4:$G$7,2,FALSE),0)+VLOOKUP($Q98,武学奇术!$A:$ZZ,2,FALSE)+SUM(_xlfn.XLOOKUP($R98:$AF98,增益!$A:$A,增益!$B:$B,0))</f>
        <v>0.633</v>
      </c>
      <c r="AM98" s="23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3018.8</v>
      </c>
      <c r="AO98" cm="1">
        <f t="array" ref="AO98">$E$10*(1+$AM98)+VLOOKUP($Q98,武学奇术!$A:$ZZ,4,FALSE)+SUM(_xlfn.XLOOKUP($R98:$AF98,增益!$A:$A,增益!$D:$D,0))-$I$2</f>
        <v>3018.8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0.352</v>
      </c>
      <c r="AQ98" s="30" cm="1">
        <f t="array" ref="AQ98">$G$10+VLOOKUP($Q98,武学奇术!$A:$ZZ,7,FALSE)+SUM(_xlfn.XLOOKUP(R98:AF98,增益!$A:$A,增益!$G:$G,0))</f>
        <v>0</v>
      </c>
      <c r="AR98" s="23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-0.08</v>
      </c>
      <c r="AV98" s="30" cm="1">
        <f t="array" ref="AV98">$G$11+VLOOKUP($Q98,武学奇术!$A:$ZZ,10,FALSE)+SUM(_xlfn.XLOOKUP(R98:AF98,增益!$A:$A,增益!$J:$J,0))</f>
        <v>0</v>
      </c>
      <c r="AW98">
        <f t="shared" si="14"/>
        <v>634.5</v>
      </c>
      <c r="AX98">
        <f t="shared" si="15"/>
        <v>1443.3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0.198</v>
      </c>
      <c r="AZ98" s="30" cm="1">
        <f t="array" ref="AZ98">$G$12+VLOOKUP($Q98,武学奇术!$A:$ZZ,12,FALSE)+SUM(_xlfn.XLOOKUP(R98:AF98,增益!$A:$A,增益!$L:$L,0))</f>
        <v>0.148</v>
      </c>
      <c r="BA98">
        <f t="shared" si="16"/>
        <v>0</v>
      </c>
      <c r="BB98">
        <f t="shared" si="17"/>
        <v>0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-0.08</v>
      </c>
      <c r="BD98" s="30" cm="1">
        <f t="array" ref="BD98">$G$13+VLOOKUP($Q98,武学奇术!$A:$ZZ,14,FALSE)+SUM(_xlfn.XLOOKUP(R98:AF98,增益!$A:$A,增益!$N:$N,0))</f>
        <v>0</v>
      </c>
      <c r="BE98">
        <f t="shared" si="18"/>
        <v>0</v>
      </c>
      <c r="BF98">
        <f t="shared" si="19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-0.08</v>
      </c>
      <c r="BH98" s="30" cm="1">
        <f t="array" ref="BH98">$G$14+VLOOKUP($Q98,武学奇术!$A:$ZZ,16,FALSE)+SUM(_xlfn.XLOOKUP(R98:AF98,增益!$A:$A,增益!$P:$P,0))</f>
        <v>0</v>
      </c>
      <c r="BI98" s="23">
        <f>MIN(IF(VLOOKUP($Q98,武学奇术!$A:$ZZ,23,FALSE)=1,100%,$B$8),100%)</f>
        <v>0.8626</v>
      </c>
      <c r="BJ98" s="23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0.8697</v>
      </c>
      <c r="BK98" s="23" cm="1">
        <f t="array" ref="BK98">1+$B$13+VLOOKUP($Q98,武学奇术!$A:$ZZ,18,FALSE)+SUM(_xlfn.XLOOKUP(R98:AF98,增益!$A:$A,增益!$R:$R,0))</f>
        <v>1.85</v>
      </c>
      <c r="BL98" s="23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0.0986</v>
      </c>
      <c r="BM98" s="23" cm="1">
        <f t="array" ref="BM98">1+$B$14+VLOOKUP($Q98,武学奇术!$A:$ZZ,20,FALSE)+SUM(_xlfn.XLOOKUP(R98:AF98,增益!$A:$A,增益!$T:$T,0))</f>
        <v>1.35</v>
      </c>
      <c r="BN98" s="23">
        <f t="shared" si="20"/>
        <v>0.75020322</v>
      </c>
      <c r="BO98" s="23">
        <f t="shared" si="21"/>
        <v>0.0273444200000001</v>
      </c>
      <c r="BP98" s="23">
        <f>IF(VLOOKUP($Q98,武学奇术!$A:$ZZ,22,FALSE)=1,0,(1-$BI98))*(1-$BL98)</f>
        <v>0.12385236</v>
      </c>
      <c r="BQ98" s="23" cm="1">
        <f t="array" ref="BQ98">SUM(_xlfn.XLOOKUP(R98:AF98,增益!$A:$A,增益!$W:$W,0))</f>
        <v>0.13</v>
      </c>
    </row>
    <row r="99" spans="11:69">
      <c r="K99" s="36">
        <f t="shared" si="11"/>
        <v>16611.0424405894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18529.6663980276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14057.8720668337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9502.39302462955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8591.54748123412</v>
      </c>
      <c r="P99" s="37">
        <f t="shared" si="22"/>
        <v>1</v>
      </c>
      <c r="Q99" s="38" t="s">
        <v>158</v>
      </c>
      <c r="R99" s="38" t="s">
        <v>89</v>
      </c>
      <c r="S99" s="38" t="s">
        <v>78</v>
      </c>
      <c r="T99" s="38" t="s">
        <v>72</v>
      </c>
      <c r="U99" s="38" t="s">
        <v>80</v>
      </c>
      <c r="V99" s="38" t="s">
        <v>72</v>
      </c>
      <c r="W99" s="38" t="s">
        <v>72</v>
      </c>
      <c r="X99" s="38" t="s">
        <v>122</v>
      </c>
      <c r="Y99" s="38" t="s">
        <v>72</v>
      </c>
      <c r="Z99" s="38" t="s">
        <v>72</v>
      </c>
      <c r="AA99" s="38" t="s">
        <v>72</v>
      </c>
      <c r="AB99" s="38" t="s">
        <v>72</v>
      </c>
      <c r="AC99" s="38" t="s">
        <v>72</v>
      </c>
      <c r="AD99" s="38" t="s">
        <v>72</v>
      </c>
      <c r="AE99" s="38" t="s">
        <v>90</v>
      </c>
      <c r="AF99" s="38" t="s">
        <v>74</v>
      </c>
      <c r="AG99" t="str">
        <f>VLOOKUP($Q99,武学奇术!$A:$ZZ,25,FALSE)</f>
        <v>心法</v>
      </c>
      <c r="AH99" s="23">
        <f>VLOOKUP($Q99,武学奇术!$A:$ZZ,26,FALSE)</f>
        <v>1</v>
      </c>
      <c r="AI99" s="24">
        <f>VLOOKUP($Q99,武学奇术!$A:$ZZ,27,FALSE)*(1+IF(OR($AG99=$F$4,$AG99=$F$5),$B$22,0))</f>
        <v>0</v>
      </c>
      <c r="AJ99" s="23">
        <f>VLOOKUP($Q99,武学奇术!$A:$ZZ,28,FALSE)</f>
        <v>1</v>
      </c>
      <c r="AK99" s="24">
        <f>VLOOKUP($Q99,武学奇术!$A:$ZZ,29,FALSE)*(1+IF(OR($AG99=$F$4,$AG99=$F$5),$B$22,0))</f>
        <v>0</v>
      </c>
      <c r="AL99" s="23" cm="1">
        <f t="array" ref="AL99">$G$3+IFERROR(VLOOKUP($AG99,$F$4:$G$7,2,FALSE),0)+VLOOKUP($Q99,武学奇术!$A:$ZZ,2,FALSE)+SUM(_xlfn.XLOOKUP($R99:$AF99,增益!$A:$A,增益!$B:$B,0))</f>
        <v>0.553</v>
      </c>
      <c r="AM99" s="23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3018.8</v>
      </c>
      <c r="AO99" cm="1">
        <f t="array" ref="AO99">$E$10*(1+$AM99)+VLOOKUP($Q99,武学奇术!$A:$ZZ,4,FALSE)+SUM(_xlfn.XLOOKUP($R99:$AF99,增益!$A:$A,增益!$D:$D,0))-$I$2</f>
        <v>3018.8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0.352</v>
      </c>
      <c r="AQ99" s="30" cm="1">
        <f t="array" ref="AQ99">$G$10+VLOOKUP($Q99,武学奇术!$A:$ZZ,7,FALSE)+SUM(_xlfn.XLOOKUP(R99:AF99,增益!$A:$A,增益!$G:$G,0))</f>
        <v>0</v>
      </c>
      <c r="AR99" s="23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-0.24</v>
      </c>
      <c r="AV99" s="30" cm="1">
        <f t="array" ref="AV99">$G$11+VLOOKUP($Q99,武学奇术!$A:$ZZ,10,FALSE)+SUM(_xlfn.XLOOKUP(R99:AF99,增益!$A:$A,增益!$J:$J,0))</f>
        <v>0</v>
      </c>
      <c r="AW99">
        <f t="shared" si="14"/>
        <v>634.5</v>
      </c>
      <c r="AX99">
        <f t="shared" si="15"/>
        <v>1443.3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0.118</v>
      </c>
      <c r="AZ99" s="30" cm="1">
        <f t="array" ref="AZ99">$G$12+VLOOKUP($Q99,武学奇术!$A:$ZZ,12,FALSE)+SUM(_xlfn.XLOOKUP(R99:AF99,增益!$A:$A,增益!$L:$L,0))</f>
        <v>0.148</v>
      </c>
      <c r="BA99">
        <f t="shared" si="16"/>
        <v>0</v>
      </c>
      <c r="BB99">
        <f t="shared" si="17"/>
        <v>0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-0.24</v>
      </c>
      <c r="BD99" s="30" cm="1">
        <f t="array" ref="BD99">$G$13+VLOOKUP($Q99,武学奇术!$A:$ZZ,14,FALSE)+SUM(_xlfn.XLOOKUP(R99:AF99,增益!$A:$A,增益!$N:$N,0))</f>
        <v>0</v>
      </c>
      <c r="BE99">
        <f t="shared" si="18"/>
        <v>0</v>
      </c>
      <c r="BF99">
        <f t="shared" si="19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-0.24</v>
      </c>
      <c r="BH99" s="30" cm="1">
        <f t="array" ref="BH99">$G$14+VLOOKUP($Q99,武学奇术!$A:$ZZ,16,FALSE)+SUM(_xlfn.XLOOKUP(R99:AF99,增益!$A:$A,增益!$P:$P,0))</f>
        <v>0</v>
      </c>
      <c r="BI99" s="23">
        <f>MIN(IF(VLOOKUP($Q99,武学奇术!$A:$ZZ,23,FALSE)=1,100%,$B$8),100%)</f>
        <v>0.8626</v>
      </c>
      <c r="BJ99" s="23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0.8697</v>
      </c>
      <c r="BK99" s="23" cm="1">
        <f t="array" ref="BK99">1+$B$13+VLOOKUP($Q99,武学奇术!$A:$ZZ,18,FALSE)+SUM(_xlfn.XLOOKUP(R99:AF99,增益!$A:$A,增益!$R:$R,0))</f>
        <v>1.95</v>
      </c>
      <c r="BL99" s="23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0.0986</v>
      </c>
      <c r="BM99" s="23" cm="1">
        <f t="array" ref="BM99">1+$B$14+VLOOKUP($Q99,武学奇术!$A:$ZZ,20,FALSE)+SUM(_xlfn.XLOOKUP(R99:AF99,增益!$A:$A,增益!$T:$T,0))</f>
        <v>1.35</v>
      </c>
      <c r="BN99" s="23">
        <f t="shared" si="20"/>
        <v>0.75020322</v>
      </c>
      <c r="BO99" s="23">
        <f t="shared" si="21"/>
        <v>0.0273444200000001</v>
      </c>
      <c r="BP99" s="23">
        <f>IF(VLOOKUP($Q99,武学奇术!$A:$ZZ,22,FALSE)=1,0,(1-$BI99))*(1-$BL99)</f>
        <v>0.12385236</v>
      </c>
      <c r="BQ99" s="23" cm="1">
        <f t="array" ref="BQ99">SUM(_xlfn.XLOOKUP(R99:AF99,增益!$A:$A,增益!$W:$W,0))</f>
        <v>0.13</v>
      </c>
    </row>
    <row r="100" spans="11:69">
      <c r="K100" s="36">
        <f t="shared" si="11"/>
        <v>19584.9541924121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21846.4858632553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16651.0773072715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11203.3260837207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10072.5208287217</v>
      </c>
      <c r="P100" s="37">
        <f t="shared" si="22"/>
        <v>1</v>
      </c>
      <c r="Q100" s="38" t="s">
        <v>158</v>
      </c>
      <c r="R100" s="38" t="s">
        <v>89</v>
      </c>
      <c r="S100" s="38" t="s">
        <v>78</v>
      </c>
      <c r="T100" s="38" t="s">
        <v>79</v>
      </c>
      <c r="U100" s="38" t="s">
        <v>80</v>
      </c>
      <c r="V100" s="38" t="s">
        <v>72</v>
      </c>
      <c r="W100" s="38" t="s">
        <v>73</v>
      </c>
      <c r="X100" s="38" t="s">
        <v>122</v>
      </c>
      <c r="Y100" s="38" t="s">
        <v>147</v>
      </c>
      <c r="Z100" s="38" t="s">
        <v>72</v>
      </c>
      <c r="AA100" s="38" t="s">
        <v>72</v>
      </c>
      <c r="AB100" s="38" t="s">
        <v>72</v>
      </c>
      <c r="AC100" s="38" t="s">
        <v>72</v>
      </c>
      <c r="AD100" s="38" t="s">
        <v>72</v>
      </c>
      <c r="AE100" s="38" t="s">
        <v>90</v>
      </c>
      <c r="AF100" s="38" t="s">
        <v>74</v>
      </c>
      <c r="AG100" t="str">
        <f>VLOOKUP($Q100,武学奇术!$A:$ZZ,25,FALSE)</f>
        <v>心法</v>
      </c>
      <c r="AH100" s="23">
        <f>VLOOKUP($Q100,武学奇术!$A:$ZZ,26,FALSE)</f>
        <v>1</v>
      </c>
      <c r="AI100" s="24">
        <f>VLOOKUP($Q100,武学奇术!$A:$ZZ,27,FALSE)*(1+IF(OR($AG100=$F$4,$AG100=$F$5),$B$22,0))</f>
        <v>0</v>
      </c>
      <c r="AJ100" s="23">
        <f>VLOOKUP($Q100,武学奇术!$A:$ZZ,28,FALSE)</f>
        <v>1</v>
      </c>
      <c r="AK100" s="24">
        <f>VLOOKUP($Q100,武学奇术!$A:$ZZ,29,FALSE)*(1+IF(OR($AG100=$F$4,$AG100=$F$5),$B$22,0))</f>
        <v>0</v>
      </c>
      <c r="AL100" s="23" cm="1">
        <f t="array" ref="AL100">$G$3+IFERROR(VLOOKUP($AG100,$F$4:$G$7,2,FALSE),0)+VLOOKUP($Q100,武学奇术!$A:$ZZ,2,FALSE)+SUM(_xlfn.XLOOKUP($R100:$AF100,增益!$A:$A,增益!$B:$B,0))</f>
        <v>0.653</v>
      </c>
      <c r="AM100" s="23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3018.8</v>
      </c>
      <c r="AO100" cm="1">
        <f t="array" ref="AO100">$E$10*(1+$AM100)+VLOOKUP($Q100,武学奇术!$A:$ZZ,4,FALSE)+SUM(_xlfn.XLOOKUP($R100:$AF100,增益!$A:$A,增益!$D:$D,0))-$I$2</f>
        <v>3018.8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0.352</v>
      </c>
      <c r="AQ100" s="30" cm="1">
        <f t="array" ref="AQ100">$G$10+VLOOKUP($Q100,武学奇术!$A:$ZZ,7,FALSE)+SUM(_xlfn.XLOOKUP(R100:AF100,增益!$A:$A,增益!$G:$G,0))</f>
        <v>0</v>
      </c>
      <c r="AR100" s="23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-0.08</v>
      </c>
      <c r="AV100" s="30" cm="1">
        <f t="array" ref="AV100">$G$11+VLOOKUP($Q100,武学奇术!$A:$ZZ,10,FALSE)+SUM(_xlfn.XLOOKUP(R100:AF100,增益!$A:$A,增益!$J:$J,0))</f>
        <v>0</v>
      </c>
      <c r="AW100">
        <f t="shared" si="14"/>
        <v>634.5</v>
      </c>
      <c r="AX100">
        <f t="shared" si="15"/>
        <v>1443.3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0.198</v>
      </c>
      <c r="AZ100" s="30" cm="1">
        <f t="array" ref="AZ100">$G$12+VLOOKUP($Q100,武学奇术!$A:$ZZ,12,FALSE)+SUM(_xlfn.XLOOKUP(R100:AF100,增益!$A:$A,增益!$L:$L,0))</f>
        <v>0.148</v>
      </c>
      <c r="BA100">
        <f t="shared" si="16"/>
        <v>0</v>
      </c>
      <c r="BB100">
        <f t="shared" si="17"/>
        <v>0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-0.08</v>
      </c>
      <c r="BD100" s="30" cm="1">
        <f t="array" ref="BD100">$G$13+VLOOKUP($Q100,武学奇术!$A:$ZZ,14,FALSE)+SUM(_xlfn.XLOOKUP(R100:AF100,增益!$A:$A,增益!$N:$N,0))</f>
        <v>0</v>
      </c>
      <c r="BE100">
        <f t="shared" si="18"/>
        <v>0</v>
      </c>
      <c r="BF100">
        <f t="shared" si="19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-0.08</v>
      </c>
      <c r="BH100" s="30" cm="1">
        <f t="array" ref="BH100">$G$14+VLOOKUP($Q100,武学奇术!$A:$ZZ,16,FALSE)+SUM(_xlfn.XLOOKUP(R100:AF100,增益!$A:$A,增益!$P:$P,0))</f>
        <v>0</v>
      </c>
      <c r="BI100" s="23">
        <f>MIN(IF(VLOOKUP($Q100,武学奇术!$A:$ZZ,23,FALSE)=1,100%,$B$8),100%)</f>
        <v>0.8626</v>
      </c>
      <c r="BJ100" s="23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0.8697</v>
      </c>
      <c r="BK100" s="23" cm="1">
        <f t="array" ref="BK100">1+$B$13+VLOOKUP($Q100,武学奇术!$A:$ZZ,18,FALSE)+SUM(_xlfn.XLOOKUP(R100:AF100,增益!$A:$A,增益!$R:$R,0))</f>
        <v>1.95</v>
      </c>
      <c r="BL100" s="23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0.0986</v>
      </c>
      <c r="BM100" s="23" cm="1">
        <f t="array" ref="BM100">1+$B$14+VLOOKUP($Q100,武学奇术!$A:$ZZ,20,FALSE)+SUM(_xlfn.XLOOKUP(R100:AF100,增益!$A:$A,增益!$T:$T,0))</f>
        <v>1.35</v>
      </c>
      <c r="BN100" s="23">
        <f t="shared" si="20"/>
        <v>0.75020322</v>
      </c>
      <c r="BO100" s="23">
        <f t="shared" si="21"/>
        <v>0.0273444200000001</v>
      </c>
      <c r="BP100" s="23">
        <f>IF(VLOOKUP($Q100,武学奇术!$A:$ZZ,22,FALSE)=1,0,(1-$BI100))*(1-$BL100)</f>
        <v>0.12385236</v>
      </c>
      <c r="BQ100" s="23" cm="1">
        <f t="array" ref="BQ100">SUM(_xlfn.XLOOKUP(R100:AF100,增益!$A:$A,增益!$W:$W,0))</f>
        <v>0.23</v>
      </c>
    </row>
    <row r="101" spans="11:69">
      <c r="K101" s="36">
        <f t="shared" si="11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7">
        <v>1</v>
      </c>
      <c r="Q101" s="38" t="s">
        <v>72</v>
      </c>
      <c r="R101" s="38" t="s">
        <v>72</v>
      </c>
      <c r="S101" s="38" t="s">
        <v>72</v>
      </c>
      <c r="T101" s="38" t="s">
        <v>72</v>
      </c>
      <c r="U101" s="38" t="s">
        <v>72</v>
      </c>
      <c r="V101" s="38" t="s">
        <v>72</v>
      </c>
      <c r="W101" s="38" t="s">
        <v>72</v>
      </c>
      <c r="X101" s="38" t="s">
        <v>72</v>
      </c>
      <c r="Y101" s="38" t="s">
        <v>72</v>
      </c>
      <c r="Z101" s="38" t="s">
        <v>72</v>
      </c>
      <c r="AA101" s="38" t="s">
        <v>72</v>
      </c>
      <c r="AB101" s="38" t="s">
        <v>72</v>
      </c>
      <c r="AC101" s="38" t="s">
        <v>72</v>
      </c>
      <c r="AD101" s="38" t="s">
        <v>72</v>
      </c>
      <c r="AE101" s="38" t="s">
        <v>90</v>
      </c>
      <c r="AF101" s="38" t="s">
        <v>74</v>
      </c>
      <c r="AG101" t="str">
        <f>VLOOKUP($Q101,武学奇术!$A:$ZZ,25,FALSE)</f>
        <v>心法</v>
      </c>
      <c r="AH101" s="23">
        <f>VLOOKUP($Q101,武学奇术!$A:$ZZ,26,FALSE)</f>
        <v>0</v>
      </c>
      <c r="AI101" s="24">
        <f>VLOOKUP($Q101,武学奇术!$A:$ZZ,27,FALSE)*(1+IF(OR($AG101=$F$4,$AG101=$F$5),$B$22,0))</f>
        <v>0</v>
      </c>
      <c r="AJ101" s="23">
        <f>VLOOKUP($Q101,武学奇术!$A:$ZZ,28,FALSE)</f>
        <v>0</v>
      </c>
      <c r="AK101" s="24">
        <f>VLOOKUP($Q101,武学奇术!$A:$ZZ,29,FALSE)*(1+IF(OR($AG101=$F$4,$AG101=$F$5),$B$22,0))</f>
        <v>0</v>
      </c>
      <c r="AL101" s="23" cm="1">
        <f t="array" ref="AL101">$G$3+IFERROR(VLOOKUP($AG101,$F$4:$G$7,2,FALSE),0)+VLOOKUP($Q101,武学奇术!$A:$ZZ,2,FALSE)+SUM(_xlfn.XLOOKUP($R101:$AF101,增益!$A:$A,增益!$B:$B,0))</f>
        <v>0.383</v>
      </c>
      <c r="AM101" s="23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3018.8</v>
      </c>
      <c r="AO101" cm="1">
        <f t="array" ref="AO101">$E$10*(1+$AM101)+VLOOKUP($Q101,武学奇术!$A:$ZZ,4,FALSE)+SUM(_xlfn.XLOOKUP($R101:$AF101,增益!$A:$A,增益!$D:$D,0))-$I$2</f>
        <v>3018.8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0.252</v>
      </c>
      <c r="AQ101" s="30" cm="1">
        <f t="array" ref="AQ101">$G$10+VLOOKUP($Q101,武学奇术!$A:$ZZ,7,FALSE)+SUM(_xlfn.XLOOKUP(R101:AF101,增益!$A:$A,增益!$G:$G,0))</f>
        <v>0</v>
      </c>
      <c r="AR101" s="23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-0.24</v>
      </c>
      <c r="AV101" s="30" cm="1">
        <f t="array" ref="AV101">$G$11+VLOOKUP($Q101,武学奇术!$A:$ZZ,10,FALSE)+SUM(_xlfn.XLOOKUP(R101:AF101,增益!$A:$A,增益!$J:$J,0))</f>
        <v>0</v>
      </c>
      <c r="AW101">
        <f t="shared" si="14"/>
        <v>634.5</v>
      </c>
      <c r="AX101">
        <f t="shared" si="15"/>
        <v>1443.3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0.118</v>
      </c>
      <c r="AZ101" s="30" cm="1">
        <f t="array" ref="AZ101">$G$12+VLOOKUP($Q101,武学奇术!$A:$ZZ,12,FALSE)+SUM(_xlfn.XLOOKUP(R101:AF101,增益!$A:$A,增益!$L:$L,0))</f>
        <v>0.148</v>
      </c>
      <c r="BA101">
        <f t="shared" si="16"/>
        <v>0</v>
      </c>
      <c r="BB101">
        <f t="shared" si="17"/>
        <v>0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-0.24</v>
      </c>
      <c r="BD101" s="30" cm="1">
        <f t="array" ref="BD101">$G$13+VLOOKUP($Q101,武学奇术!$A:$ZZ,14,FALSE)+SUM(_xlfn.XLOOKUP(R101:AF101,增益!$A:$A,增益!$N:$N,0))</f>
        <v>0</v>
      </c>
      <c r="BE101">
        <f t="shared" si="18"/>
        <v>0</v>
      </c>
      <c r="BF101">
        <f t="shared" si="19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-0.24</v>
      </c>
      <c r="BH101" s="30" cm="1">
        <f t="array" ref="BH101">$G$14+VLOOKUP($Q101,武学奇术!$A:$ZZ,16,FALSE)+SUM(_xlfn.XLOOKUP(R101:AF101,增益!$A:$A,增益!$P:$P,0))</f>
        <v>0</v>
      </c>
      <c r="BI101" s="23">
        <f>MIN(IF(VLOOKUP($Q101,武学奇术!$A:$ZZ,23,FALSE)=1,100%,$B$8),100%)</f>
        <v>0.8626</v>
      </c>
      <c r="BJ101" s="23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0.8697</v>
      </c>
      <c r="BK101" s="23" cm="1">
        <f t="array" ref="BK101">1+$B$13+VLOOKUP($Q101,武学奇术!$A:$ZZ,18,FALSE)+SUM(_xlfn.XLOOKUP(R101:AF101,增益!$A:$A,增益!$R:$R,0))</f>
        <v>1.54</v>
      </c>
      <c r="BL101" s="23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0.0986</v>
      </c>
      <c r="BM101" s="23" cm="1">
        <f t="array" ref="BM101">1+$B$14+VLOOKUP($Q101,武学奇术!$A:$ZZ,20,FALSE)+SUM(_xlfn.XLOOKUP(R101:AF101,增益!$A:$A,增益!$T:$T,0))</f>
        <v>1.35</v>
      </c>
      <c r="BN101" s="23">
        <f t="shared" si="20"/>
        <v>0.75020322</v>
      </c>
      <c r="BO101" s="23">
        <f t="shared" si="21"/>
        <v>0.0273444200000001</v>
      </c>
      <c r="BP101" s="23">
        <f>IF(VLOOKUP($Q101,武学奇术!$A:$ZZ,22,FALSE)=1,0,(1-$BI101))*(1-$BL101)</f>
        <v>0.12385236</v>
      </c>
      <c r="BQ101" s="23" cm="1">
        <f t="array" ref="BQ101">SUM(_xlfn.XLOOKUP(R101:AF101,增益!$A:$A,增益!$W:$W,0))</f>
        <v>0.13</v>
      </c>
    </row>
  </sheetData>
  <mergeCells count="19">
    <mergeCell ref="H1:I1"/>
    <mergeCell ref="C8:G8"/>
    <mergeCell ref="C15:D15"/>
    <mergeCell ref="C20:D20"/>
    <mergeCell ref="C21:D21"/>
    <mergeCell ref="A23:A24"/>
    <mergeCell ref="C30:C36"/>
    <mergeCell ref="C41:C44"/>
    <mergeCell ref="C74:C77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conditionalFormatting sqref="F17">
    <cfRule type="cellIs" dxfId="0" priority="2" operator="lessThan">
      <formula>0.7</formula>
    </cfRule>
    <cfRule type="cellIs" dxfId="1" priority="1" operator="greaterThanOrEqual">
      <formula>0.7</formula>
    </cfRule>
  </conditionalFormatting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C21:D21">
      <formula1>"易水歌,征人归"</formula1>
    </dataValidation>
    <dataValidation type="list" allowBlank="1" showInputMessage="1" showErrorMessage="1" sqref="D16:D18 F15:F16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topLeftCell="G1" workbookViewId="0">
      <selection activeCell="G25" sqref="G25"/>
    </sheetView>
  </sheetViews>
  <sheetFormatPr defaultColWidth="9" defaultRowHeight="13.5"/>
  <cols>
    <col min="1" max="1" width="21.5" customWidth="1"/>
    <col min="2" max="2" width="9.00833333333333" customWidth="1"/>
    <col min="17" max="17" width="9" style="23"/>
    <col min="26" max="26" width="9.375" style="23"/>
    <col min="27" max="27" width="9" style="24"/>
    <col min="28" max="28" width="9.375" style="23"/>
    <col min="29" max="29" width="9" style="24"/>
  </cols>
  <sheetData>
    <row r="1" spans="1:30">
      <c r="B1" t="s">
        <v>34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3" t="s">
        <v>98</v>
      </c>
      <c r="R1" t="s">
        <v>167</v>
      </c>
      <c r="S1" t="s">
        <v>100</v>
      </c>
      <c r="T1" t="s">
        <v>168</v>
      </c>
      <c r="U1" t="s">
        <v>169</v>
      </c>
      <c r="V1" t="s">
        <v>170</v>
      </c>
      <c r="W1" t="s">
        <v>171</v>
      </c>
      <c r="X1" t="s">
        <v>172</v>
      </c>
      <c r="Y1" t="s">
        <v>29</v>
      </c>
      <c r="Z1" s="23" t="s">
        <v>30</v>
      </c>
      <c r="AA1" s="24" t="s">
        <v>31</v>
      </c>
      <c r="AB1" s="23" t="s">
        <v>32</v>
      </c>
      <c r="AC1" s="24" t="s">
        <v>33</v>
      </c>
      <c r="AD1" t="s">
        <v>173</v>
      </c>
    </row>
    <row r="2" spans="1:30">
      <c r="A2" t="s">
        <v>99</v>
      </c>
      <c r="R2" s="25">
        <v>0.21</v>
      </c>
      <c r="Y2" s="26" t="s">
        <v>85</v>
      </c>
      <c r="Z2" s="26">
        <v>1.4</v>
      </c>
      <c r="AA2" s="27"/>
      <c r="AB2" s="26">
        <v>2.1</v>
      </c>
    </row>
    <row r="3" spans="1:30">
      <c r="A3" t="s">
        <v>174</v>
      </c>
      <c r="R3" s="25">
        <v>0.21</v>
      </c>
      <c r="Y3" s="26" t="s">
        <v>85</v>
      </c>
      <c r="Z3" s="26">
        <v>2.8245</v>
      </c>
      <c r="AA3" s="27">
        <f>575*1.36</f>
        <v>782</v>
      </c>
      <c r="AB3" s="26">
        <f>311.53%*1.36</f>
        <v>4.236808</v>
      </c>
      <c r="AC3" s="24">
        <v>425</v>
      </c>
    </row>
    <row r="4" spans="1:30">
      <c r="A4" t="s">
        <v>175</v>
      </c>
      <c r="R4" s="25">
        <v>0.21</v>
      </c>
      <c r="Y4" s="26" t="s">
        <v>85</v>
      </c>
      <c r="Z4" s="23">
        <f>146.97%+97.98%</f>
        <v>2.4495</v>
      </c>
      <c r="AA4" s="24">
        <f>406+271</f>
        <v>677</v>
      </c>
      <c r="AB4" s="23">
        <f>220.46%+146.97%</f>
        <v>3.6743</v>
      </c>
      <c r="AC4" s="24">
        <f>221+147</f>
        <v>368</v>
      </c>
    </row>
    <row r="5" spans="1:30">
      <c r="A5" t="s">
        <v>93</v>
      </c>
      <c r="R5" s="25">
        <v>0.21</v>
      </c>
      <c r="Y5" s="26" t="s">
        <v>85</v>
      </c>
      <c r="Z5" s="23">
        <f>37.8%+151.19%+188.98%</f>
        <v>3.7797</v>
      </c>
      <c r="AA5" s="24">
        <f>104+418+523</f>
        <v>1045</v>
      </c>
      <c r="AB5" s="23">
        <f>56.7%+226.78%+283.48%</f>
        <v>5.6696</v>
      </c>
      <c r="AC5" s="24">
        <f>57+228+285</f>
        <v>570</v>
      </c>
    </row>
    <row r="6" spans="1:30">
      <c r="A6" t="s">
        <v>143</v>
      </c>
      <c r="R6" s="25">
        <v>0.21</v>
      </c>
      <c r="Y6" s="26" t="s">
        <v>85</v>
      </c>
      <c r="Z6" s="23">
        <v>1.2338</v>
      </c>
      <c r="AA6" s="24">
        <v>342</v>
      </c>
      <c r="AB6" s="23">
        <v>1.8507</v>
      </c>
      <c r="AC6" s="24">
        <v>186</v>
      </c>
    </row>
    <row r="7" spans="1:30">
      <c r="A7" t="s">
        <v>97</v>
      </c>
      <c r="R7" s="25">
        <v>0.21</v>
      </c>
      <c r="Y7" s="26" t="s">
        <v>85</v>
      </c>
      <c r="Z7" s="23">
        <v>2.1324</v>
      </c>
      <c r="AA7" s="24">
        <v>590</v>
      </c>
      <c r="AB7" s="23">
        <v>3.1986</v>
      </c>
      <c r="AC7" s="24">
        <v>322</v>
      </c>
    </row>
    <row r="8" spans="1:30">
      <c r="A8" t="s">
        <v>176</v>
      </c>
      <c r="R8" s="25">
        <v>0.21</v>
      </c>
      <c r="Y8" s="26" t="s">
        <v>85</v>
      </c>
      <c r="Z8" s="23">
        <v>0.6486</v>
      </c>
      <c r="AA8" s="24">
        <v>180</v>
      </c>
      <c r="AB8" s="23">
        <v>0.9729</v>
      </c>
      <c r="AC8" s="24">
        <v>98</v>
      </c>
    </row>
    <row r="9" spans="1:30">
      <c r="A9" t="s">
        <v>110</v>
      </c>
      <c r="Q9" s="23">
        <f>IF(期望!$F$17&lt;75%,15%,0)</f>
        <v>0</v>
      </c>
      <c r="R9" s="25">
        <v>0.21</v>
      </c>
      <c r="W9">
        <f>IF(期望!$F$17&gt;=75%,1,0)</f>
        <v>1</v>
      </c>
      <c r="Y9" t="s">
        <v>81</v>
      </c>
      <c r="Z9" s="23">
        <f>227.02%+529.72%</f>
        <v>7.5674</v>
      </c>
      <c r="AA9" s="24">
        <f>628+1465</f>
        <v>2093</v>
      </c>
      <c r="AB9" s="23">
        <f>340.54%+794.58%</f>
        <v>11.3512</v>
      </c>
      <c r="AC9" s="24">
        <f>342+798</f>
        <v>1140</v>
      </c>
      <c r="AD9" t="s">
        <v>177</v>
      </c>
    </row>
    <row r="10" spans="1:30">
      <c r="A10" t="s">
        <v>114</v>
      </c>
      <c r="Q10" s="23">
        <f>IF(期望!$F$17&lt;75%,15%,0)</f>
        <v>0</v>
      </c>
      <c r="R10" s="25">
        <v>0.21</v>
      </c>
      <c r="W10">
        <f>IF(期望!$F$17&gt;=75%,1,0)</f>
        <v>1</v>
      </c>
      <c r="Y10" t="s">
        <v>81</v>
      </c>
      <c r="Z10" s="26">
        <v>0.5</v>
      </c>
      <c r="AA10" s="27"/>
      <c r="AB10" s="26">
        <v>0.75</v>
      </c>
      <c r="AD10" t="s">
        <v>177</v>
      </c>
    </row>
    <row r="11" spans="1:30">
      <c r="A11" t="s">
        <v>106</v>
      </c>
      <c r="Q11" s="23">
        <f>IF(期望!$F$17&lt;75%,15%,0)</f>
        <v>0</v>
      </c>
      <c r="R11" s="25">
        <v>0.21</v>
      </c>
      <c r="W11">
        <f>IF(期望!$F$17&gt;=75%,1,0)</f>
        <v>1</v>
      </c>
      <c r="Y11" t="s">
        <v>81</v>
      </c>
      <c r="Z11" s="26">
        <v>0.9</v>
      </c>
      <c r="AA11" s="27"/>
      <c r="AB11" s="26">
        <v>1.35</v>
      </c>
      <c r="AD11" t="s">
        <v>177</v>
      </c>
    </row>
    <row r="12" customFormat="1" spans="1:30">
      <c r="A12" t="s">
        <v>137</v>
      </c>
      <c r="Q12" s="23"/>
      <c r="R12" s="25">
        <v>0.21</v>
      </c>
      <c r="Y12" t="s">
        <v>81</v>
      </c>
      <c r="Z12" s="26">
        <f>171.99%+401.31%</f>
        <v>5.733</v>
      </c>
      <c r="AA12" s="27">
        <f>475+1110</f>
        <v>1585</v>
      </c>
      <c r="AB12" s="26">
        <f>257.98%+601.96%</f>
        <v>8.5994</v>
      </c>
      <c r="AC12" s="24">
        <f>259+604</f>
        <v>863</v>
      </c>
      <c r="AD12" t="s">
        <v>177</v>
      </c>
    </row>
    <row r="13" customFormat="1" spans="1:30">
      <c r="A13" t="s">
        <v>102</v>
      </c>
      <c r="Q13" s="23"/>
      <c r="R13" s="25">
        <v>0.21</v>
      </c>
      <c r="Y13" t="s">
        <v>81</v>
      </c>
      <c r="Z13" s="26">
        <v>0.5</v>
      </c>
      <c r="AA13" s="27"/>
      <c r="AB13" s="26">
        <v>0.75</v>
      </c>
      <c r="AC13" s="24"/>
      <c r="AD13" t="s">
        <v>177</v>
      </c>
    </row>
    <row r="14" customFormat="1" spans="1:30">
      <c r="A14" t="s">
        <v>136</v>
      </c>
      <c r="Q14" s="23"/>
      <c r="R14" s="25">
        <v>0.21</v>
      </c>
      <c r="Y14" t="s">
        <v>81</v>
      </c>
      <c r="Z14" s="26">
        <v>0.9</v>
      </c>
      <c r="AA14" s="27"/>
      <c r="AB14" s="26">
        <v>1.35</v>
      </c>
      <c r="AC14" s="24"/>
      <c r="AD14" t="s">
        <v>177</v>
      </c>
    </row>
    <row r="15" customFormat="1" spans="1:30">
      <c r="A15" t="s">
        <v>150</v>
      </c>
      <c r="Q15" s="23"/>
      <c r="R15" s="25">
        <v>0.21</v>
      </c>
      <c r="W15">
        <f>IF(期望!$F$17&gt;=75%,1,0)</f>
        <v>1</v>
      </c>
      <c r="Y15" t="s">
        <v>81</v>
      </c>
      <c r="Z15" s="23">
        <f>39.72%+92.69%</f>
        <v>1.3241</v>
      </c>
      <c r="AA15" s="24">
        <f>110+256</f>
        <v>366</v>
      </c>
      <c r="AB15" s="23">
        <f>59.58%+139.03%</f>
        <v>1.9861</v>
      </c>
      <c r="AC15" s="24">
        <f>60+140</f>
        <v>200</v>
      </c>
      <c r="AD15" t="s">
        <v>177</v>
      </c>
    </row>
    <row r="16" spans="1:30">
      <c r="A16" t="s">
        <v>139</v>
      </c>
      <c r="R16" s="25">
        <v>0.21</v>
      </c>
      <c r="Y16" t="s">
        <v>81</v>
      </c>
      <c r="Z16" s="23">
        <v>1.8948</v>
      </c>
      <c r="AA16" s="24">
        <v>525</v>
      </c>
      <c r="AB16" s="23">
        <v>2.8422</v>
      </c>
      <c r="AC16" s="24">
        <v>286</v>
      </c>
    </row>
    <row r="17" spans="1:28">
      <c r="A17" t="s">
        <v>141</v>
      </c>
      <c r="R17" s="25">
        <v>0.21</v>
      </c>
      <c r="Y17" t="s">
        <v>81</v>
      </c>
      <c r="Z17" s="23">
        <v>1</v>
      </c>
      <c r="AB17" s="23">
        <v>1.5</v>
      </c>
    </row>
    <row r="18" spans="1:28">
      <c r="A18" t="s">
        <v>178</v>
      </c>
      <c r="R18" s="25">
        <v>0.21</v>
      </c>
      <c r="Y18" t="s">
        <v>92</v>
      </c>
      <c r="Z18" s="23">
        <v>3.9742</v>
      </c>
      <c r="AA18" s="24">
        <v>956</v>
      </c>
      <c r="AB18" s="23">
        <v>5.9613</v>
      </c>
    </row>
    <row r="19" spans="1:28">
      <c r="A19" t="s">
        <v>70</v>
      </c>
      <c r="R19" s="25">
        <v>0.21</v>
      </c>
      <c r="Y19" t="s">
        <v>92</v>
      </c>
      <c r="Z19" s="23">
        <v>1.4902</v>
      </c>
      <c r="AA19" s="24">
        <v>358</v>
      </c>
      <c r="AB19" s="23">
        <v>2.2353</v>
      </c>
    </row>
    <row r="20" spans="1:28">
      <c r="A20" t="s">
        <v>134</v>
      </c>
      <c r="B20" s="25"/>
      <c r="R20" s="25">
        <v>0.21</v>
      </c>
      <c r="Y20" t="s">
        <v>88</v>
      </c>
      <c r="Z20" s="23">
        <v>7.1064</v>
      </c>
      <c r="AA20" s="24">
        <v>1269</v>
      </c>
      <c r="AB20" s="23">
        <v>10.6596</v>
      </c>
    </row>
    <row r="21" spans="1:28">
      <c r="A21" t="s">
        <v>146</v>
      </c>
      <c r="B21" s="25">
        <v>0.72</v>
      </c>
      <c r="R21" s="25">
        <v>0.21</v>
      </c>
      <c r="V21">
        <v>1</v>
      </c>
      <c r="Y21" t="s">
        <v>88</v>
      </c>
      <c r="Z21" s="23">
        <f>1636.29%*2.2*0.7</f>
        <v>25.198866</v>
      </c>
      <c r="AA21" s="24">
        <f>2936*2.2*0.7</f>
        <v>4521.44</v>
      </c>
      <c r="AB21" s="23">
        <f>Z21*1.5</f>
        <v>37.798299</v>
      </c>
    </row>
    <row r="22" spans="1:28">
      <c r="A22" t="s">
        <v>179</v>
      </c>
      <c r="R22" s="25">
        <v>0.21</v>
      </c>
      <c r="Y22" t="s">
        <v>92</v>
      </c>
      <c r="Z22" s="23">
        <f>(415.97%+772.52%)*2</f>
        <v>23.7698</v>
      </c>
      <c r="AA22" s="24">
        <f>(744+1382)*2</f>
        <v>4252</v>
      </c>
      <c r="AB22" s="23">
        <f>Z22*1.5</f>
        <v>35.6547</v>
      </c>
    </row>
    <row r="23" spans="1:28">
      <c r="A23" t="s">
        <v>158</v>
      </c>
      <c r="R23" s="25">
        <v>0.21</v>
      </c>
      <c r="Y23" t="s">
        <v>180</v>
      </c>
      <c r="Z23" s="23">
        <v>1</v>
      </c>
      <c r="AB23" s="23">
        <v>1</v>
      </c>
    </row>
    <row r="24" spans="1:28">
      <c r="A24" t="s">
        <v>72</v>
      </c>
      <c r="Y24" t="s">
        <v>180</v>
      </c>
      <c r="Z24" s="23">
        <v>0</v>
      </c>
      <c r="AB24" s="23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4"/>
  <sheetViews>
    <sheetView workbookViewId="0">
      <selection activeCell="J41" sqref="J41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3"/>
    <col min="24" max="24" width="9.375" style="23"/>
    <col min="25" max="25" width="9" style="24"/>
    <col min="26" max="26" width="9.375" style="23"/>
    <col min="27" max="27" width="9" style="24"/>
  </cols>
  <sheetData>
    <row r="1" spans="1:27">
      <c r="B1" t="s">
        <v>34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98</v>
      </c>
      <c r="R1" t="s">
        <v>167</v>
      </c>
      <c r="S1" t="s">
        <v>100</v>
      </c>
      <c r="T1" t="s">
        <v>168</v>
      </c>
      <c r="U1" t="s">
        <v>181</v>
      </c>
      <c r="V1" t="s">
        <v>182</v>
      </c>
      <c r="W1" s="23" t="s">
        <v>65</v>
      </c>
    </row>
    <row r="2" spans="1:27">
      <c r="A2" t="s">
        <v>79</v>
      </c>
      <c r="B2" s="25">
        <v>0.08</v>
      </c>
      <c r="I2">
        <v>16</v>
      </c>
      <c r="K2">
        <v>16</v>
      </c>
      <c r="M2">
        <v>16</v>
      </c>
      <c r="O2">
        <v>16</v>
      </c>
      <c r="W2" s="26"/>
      <c r="X2" s="26"/>
      <c r="Y2" s="27"/>
      <c r="Z2" s="26"/>
    </row>
    <row r="3" spans="1:27">
      <c r="A3" t="s">
        <v>78</v>
      </c>
      <c r="B3" s="25">
        <v>0.12</v>
      </c>
      <c r="W3" s="26"/>
      <c r="X3" s="26"/>
      <c r="Y3" s="27"/>
      <c r="Z3" s="26"/>
    </row>
    <row r="4" spans="1:27">
      <c r="A4" t="s">
        <v>111</v>
      </c>
      <c r="F4">
        <v>15</v>
      </c>
      <c r="R4" s="25">
        <v>0.15</v>
      </c>
      <c r="W4" s="26"/>
    </row>
    <row r="5" customFormat="1" spans="1:27">
      <c r="A5" t="s">
        <v>103</v>
      </c>
      <c r="B5"/>
      <c r="F5">
        <v>12</v>
      </c>
      <c r="R5" s="25">
        <v>0.12</v>
      </c>
      <c r="W5" s="26"/>
      <c r="X5" s="23"/>
      <c r="Y5" s="24"/>
      <c r="Z5" s="23"/>
      <c r="AA5" s="24"/>
    </row>
    <row r="6" customFormat="1" spans="1:27">
      <c r="A6" t="s">
        <v>80</v>
      </c>
      <c r="B6"/>
      <c r="F6">
        <v>10</v>
      </c>
      <c r="R6" s="25">
        <v>0.1</v>
      </c>
      <c r="W6" s="26"/>
      <c r="X6" s="23"/>
      <c r="Y6" s="24"/>
      <c r="Z6" s="23"/>
      <c r="AA6" s="24"/>
    </row>
    <row r="7" spans="1:27">
      <c r="A7" t="s">
        <v>147</v>
      </c>
      <c r="B7" s="25"/>
      <c r="W7" s="26">
        <v>0.1</v>
      </c>
    </row>
    <row r="8" spans="1:27">
      <c r="A8" t="s">
        <v>68</v>
      </c>
      <c r="B8" s="25">
        <v>0.08</v>
      </c>
      <c r="W8" s="26"/>
    </row>
    <row r="9" spans="1:27">
      <c r="A9" t="s">
        <v>107</v>
      </c>
      <c r="R9" s="25">
        <v>0.1</v>
      </c>
      <c r="W9" s="26"/>
    </row>
    <row r="10" spans="1:27">
      <c r="A10" t="s">
        <v>73</v>
      </c>
      <c r="B10" s="25">
        <v>0.02</v>
      </c>
      <c r="R10" s="25"/>
      <c r="W10" s="26"/>
    </row>
    <row r="11" spans="1:27">
      <c r="A11" t="s">
        <v>104</v>
      </c>
      <c r="B11" s="25">
        <v>0.05</v>
      </c>
      <c r="R11" s="25"/>
      <c r="W11" s="26"/>
    </row>
    <row r="12" spans="1:27">
      <c r="A12" t="s">
        <v>112</v>
      </c>
      <c r="B12" s="25">
        <v>0.03</v>
      </c>
    </row>
    <row r="13" spans="1:27">
      <c r="A13" t="s">
        <v>148</v>
      </c>
      <c r="B13" s="25"/>
      <c r="J13" s="25">
        <f>IF(期望!$D$18="√",10%,0)</f>
        <v>0.1</v>
      </c>
      <c r="W13" s="23">
        <f>IF(期望!$D$18="√",10%,0)</f>
        <v>0.1</v>
      </c>
      <c r="X13" s="26"/>
      <c r="Y13" s="27"/>
      <c r="Z13" s="26"/>
    </row>
    <row r="14" spans="1:27">
      <c r="A14" t="s">
        <v>90</v>
      </c>
      <c r="B14" s="25"/>
      <c r="W14" s="23">
        <v>0.13</v>
      </c>
      <c r="X14" s="26"/>
      <c r="Y14" s="27"/>
      <c r="Z14" s="26"/>
    </row>
    <row r="15" spans="1:27">
      <c r="A15" t="s">
        <v>74</v>
      </c>
      <c r="B15" s="25">
        <v>0.08</v>
      </c>
      <c r="F15">
        <v>12</v>
      </c>
      <c r="K15">
        <v>12</v>
      </c>
      <c r="X15" s="26"/>
      <c r="Y15" s="27"/>
      <c r="Z15" s="26"/>
    </row>
    <row r="16" spans="1:27">
      <c r="A16" s="28" t="s">
        <v>183</v>
      </c>
      <c r="X16" s="26"/>
      <c r="Y16" s="27"/>
      <c r="Z16" s="26"/>
    </row>
    <row r="17" spans="1:26">
      <c r="A17" t="s">
        <v>184</v>
      </c>
      <c r="R17" s="25">
        <v>0.01</v>
      </c>
      <c r="X17" s="26"/>
      <c r="Y17" s="27"/>
      <c r="Z17" s="26"/>
    </row>
    <row r="18" spans="1:26">
      <c r="A18" t="s">
        <v>185</v>
      </c>
      <c r="R18" s="25">
        <v>0.02</v>
      </c>
      <c r="X18" s="26"/>
      <c r="Y18" s="27"/>
      <c r="Z18" s="26"/>
    </row>
    <row r="19" spans="1:26">
      <c r="A19" t="s">
        <v>186</v>
      </c>
      <c r="R19" s="25">
        <v>0.03</v>
      </c>
      <c r="X19" s="26"/>
      <c r="Y19" s="27"/>
      <c r="Z19" s="26"/>
    </row>
    <row r="20" spans="1:26">
      <c r="A20" t="s">
        <v>187</v>
      </c>
      <c r="R20" s="25">
        <v>0.04</v>
      </c>
      <c r="X20" s="26"/>
      <c r="Y20" s="27"/>
      <c r="Z20" s="26"/>
    </row>
    <row r="21" spans="1:26">
      <c r="A21" t="s">
        <v>188</v>
      </c>
      <c r="R21" s="25">
        <v>0.05</v>
      </c>
      <c r="X21" s="26"/>
      <c r="Y21" s="27"/>
      <c r="Z21" s="26"/>
    </row>
    <row r="22" spans="1:26">
      <c r="A22" t="s">
        <v>189</v>
      </c>
      <c r="R22" s="25">
        <v>0.06</v>
      </c>
      <c r="X22" s="26"/>
      <c r="Y22" s="27"/>
      <c r="Z22" s="26"/>
    </row>
    <row r="23" spans="1:26">
      <c r="A23" t="s">
        <v>190</v>
      </c>
      <c r="R23" s="25">
        <v>0.07</v>
      </c>
      <c r="X23" s="26"/>
      <c r="Y23" s="27"/>
      <c r="Z23" s="26"/>
    </row>
    <row r="24" spans="1:26">
      <c r="A24" t="s">
        <v>191</v>
      </c>
      <c r="R24" s="25">
        <v>0.08</v>
      </c>
      <c r="X24" s="26"/>
      <c r="Y24" s="27"/>
      <c r="Z24" s="26"/>
    </row>
    <row r="25" spans="1:26">
      <c r="A25" t="s">
        <v>192</v>
      </c>
      <c r="R25" s="25">
        <v>0.09</v>
      </c>
      <c r="X25" s="26"/>
      <c r="Y25" s="27"/>
      <c r="Z25" s="26"/>
    </row>
    <row r="26" spans="1:26">
      <c r="A26" t="s">
        <v>193</v>
      </c>
      <c r="R26" s="25">
        <v>0.1</v>
      </c>
      <c r="X26" s="26"/>
      <c r="Y26" s="27"/>
      <c r="Z26" s="26"/>
    </row>
    <row r="27" spans="1:26">
      <c r="A27" t="s">
        <v>122</v>
      </c>
      <c r="R27" s="25">
        <f>IF(期望!$F$16="√",10%,0)</f>
        <v>0.1</v>
      </c>
      <c r="X27" s="26"/>
      <c r="Y27" s="27"/>
      <c r="Z27" s="26"/>
    </row>
    <row r="28" spans="1:26">
      <c r="A28" t="s">
        <v>71</v>
      </c>
      <c r="B28" s="25">
        <f>1%*IF(期望!$C$21="易水歌",1,0)</f>
        <v>0.01</v>
      </c>
      <c r="F28">
        <f>2*IF(期望!$C$21="易水歌",1,0)</f>
        <v>2</v>
      </c>
      <c r="X28" s="26"/>
      <c r="Y28" s="27"/>
      <c r="Z28" s="26"/>
    </row>
    <row r="29" spans="1:26">
      <c r="A29" t="s">
        <v>77</v>
      </c>
      <c r="B29" s="25">
        <f>2%*IF(期望!$C$21="易水歌",1,0)</f>
        <v>0.02</v>
      </c>
      <c r="F29">
        <f>4*IF(期望!$C$21="易水歌",1,0)</f>
        <v>4</v>
      </c>
      <c r="X29" s="26"/>
      <c r="Y29" s="27"/>
      <c r="Z29" s="26"/>
    </row>
    <row r="30" spans="1:26">
      <c r="A30" t="s">
        <v>83</v>
      </c>
      <c r="B30" s="25">
        <f>3%*IF(期望!$C$21="易水歌",1,0)</f>
        <v>0.03</v>
      </c>
      <c r="F30">
        <f>6*IF(期望!$C$21="易水歌",1,0)</f>
        <v>6</v>
      </c>
      <c r="X30" s="26"/>
      <c r="Y30" s="27"/>
      <c r="Z30" s="26"/>
    </row>
    <row r="31" spans="1:26">
      <c r="A31" t="s">
        <v>86</v>
      </c>
      <c r="B31" s="25">
        <f>4%*IF(期望!$C$21="易水歌",1,0)</f>
        <v>0.04</v>
      </c>
      <c r="F31">
        <f>8*IF(期望!$C$21="易水歌",1,0)</f>
        <v>8</v>
      </c>
      <c r="X31" s="26"/>
      <c r="Y31" s="27"/>
      <c r="Z31" s="26"/>
    </row>
    <row r="32" spans="1:26">
      <c r="A32" t="s">
        <v>89</v>
      </c>
      <c r="B32" s="25">
        <f>5%*IF(期望!$C$21="易水歌",1,0)</f>
        <v>0.05</v>
      </c>
      <c r="F32">
        <f>10*IF(期望!$C$21="易水歌",1,0)</f>
        <v>10</v>
      </c>
      <c r="X32" s="26"/>
      <c r="Y32" s="27"/>
      <c r="Z32" s="26"/>
    </row>
    <row r="33" spans="1:26">
      <c r="A33" t="s">
        <v>72</v>
      </c>
      <c r="X33" s="26"/>
      <c r="Y33" s="27"/>
      <c r="Z33" s="26"/>
    </row>
    <row r="34" spans="1:26">
      <c r="X34" s="26"/>
      <c r="Y34" s="27"/>
      <c r="Z34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D30" sqref="D30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194</v>
      </c>
      <c r="B1" s="3" t="s">
        <v>195</v>
      </c>
      <c r="C1" s="4" t="s">
        <v>196</v>
      </c>
      <c r="D1" s="5" t="s">
        <v>197</v>
      </c>
    </row>
    <row r="2" spans="1:4">
      <c r="A2" s="6">
        <v>0.1</v>
      </c>
      <c r="B2" s="7">
        <v>1</v>
      </c>
      <c r="C2" s="8" t="s">
        <v>198</v>
      </c>
      <c r="D2" s="4" t="s">
        <v>199</v>
      </c>
    </row>
    <row r="3" spans="1:4">
      <c r="A3" s="9"/>
      <c r="B3" s="10">
        <v>2</v>
      </c>
      <c r="C3" s="11" t="s">
        <v>200</v>
      </c>
    </row>
    <row r="4" ht="14.25" spans="1:4">
      <c r="A4" s="12"/>
      <c r="B4" s="13">
        <v>3</v>
      </c>
      <c r="C4" s="14" t="s">
        <v>201</v>
      </c>
    </row>
    <row r="5" ht="14.25" spans="1:4">
      <c r="A5" s="15">
        <v>0.2</v>
      </c>
      <c r="B5" s="16">
        <v>1</v>
      </c>
      <c r="C5" s="17" t="s">
        <v>202</v>
      </c>
    </row>
    <row r="6" ht="14.25" spans="1:4">
      <c r="A6" s="15">
        <v>0.3</v>
      </c>
      <c r="B6" s="16">
        <v>1</v>
      </c>
      <c r="C6" s="17" t="s">
        <v>203</v>
      </c>
    </row>
    <row r="7" ht="14.25" spans="1:4">
      <c r="A7" s="15">
        <v>0.4</v>
      </c>
      <c r="B7" s="16">
        <v>1</v>
      </c>
      <c r="C7" s="17" t="s">
        <v>204</v>
      </c>
    </row>
    <row r="8" ht="14.25" spans="1:4">
      <c r="A8" s="15">
        <v>0.5</v>
      </c>
      <c r="B8" s="16">
        <v>1</v>
      </c>
      <c r="C8" s="17" t="s">
        <v>205</v>
      </c>
    </row>
    <row r="9" spans="1:4">
      <c r="A9" s="18">
        <v>0.6</v>
      </c>
      <c r="B9" s="19">
        <v>1</v>
      </c>
      <c r="C9" s="8" t="s">
        <v>206</v>
      </c>
    </row>
    <row r="10" ht="14.25" spans="1:4">
      <c r="A10" s="20"/>
      <c r="B10" s="13">
        <v>2</v>
      </c>
      <c r="C10" s="14" t="s">
        <v>207</v>
      </c>
    </row>
    <row r="11" ht="14.25" spans="1:4">
      <c r="A11" s="18">
        <v>0.7</v>
      </c>
      <c r="B11" s="19">
        <v>1</v>
      </c>
      <c r="C11" s="8" t="s">
        <v>208</v>
      </c>
    </row>
    <row r="12" spans="1:4">
      <c r="A12" s="18">
        <v>0.8</v>
      </c>
      <c r="B12" s="19">
        <v>1</v>
      </c>
      <c r="C12" s="8" t="s">
        <v>209</v>
      </c>
    </row>
    <row r="13" spans="1:4">
      <c r="A13" s="21"/>
      <c r="B13">
        <v>2</v>
      </c>
      <c r="C13" s="11" t="s">
        <v>210</v>
      </c>
    </row>
    <row r="14" ht="14.25" spans="1:4">
      <c r="A14" s="20"/>
      <c r="B14" s="13">
        <v>3</v>
      </c>
      <c r="C14" s="14" t="s">
        <v>211</v>
      </c>
    </row>
    <row r="15" spans="1:4">
      <c r="A15" s="18">
        <v>0.9</v>
      </c>
      <c r="B15" s="19">
        <v>1</v>
      </c>
      <c r="C15" s="8" t="s">
        <v>212</v>
      </c>
    </row>
    <row r="16" spans="1:4">
      <c r="A16" s="21"/>
      <c r="B16">
        <v>2</v>
      </c>
      <c r="C16" s="11" t="s">
        <v>213</v>
      </c>
    </row>
    <row r="17" ht="14.25" spans="1:3">
      <c r="A17" s="20"/>
      <c r="B17" s="13"/>
      <c r="C17" s="14" t="s">
        <v>214</v>
      </c>
    </row>
    <row r="18" ht="14.25" spans="1:3">
      <c r="A18" s="15">
        <v>1</v>
      </c>
      <c r="B18" s="16">
        <v>1</v>
      </c>
      <c r="C18" s="17" t="s">
        <v>215</v>
      </c>
    </row>
    <row r="19" ht="14.25" spans="1:3">
      <c r="A19" s="15">
        <v>1.1</v>
      </c>
      <c r="B19" s="16">
        <v>1</v>
      </c>
      <c r="C19" s="17" t="s">
        <v>216</v>
      </c>
    </row>
    <row r="20" ht="14.25" spans="1:3">
      <c r="A20" s="15">
        <v>1.2</v>
      </c>
      <c r="B20" s="16">
        <v>1</v>
      </c>
      <c r="C20" s="17" t="s">
        <v>217</v>
      </c>
    </row>
    <row r="21" ht="14.25" spans="1:3">
      <c r="A21" s="15">
        <v>1.3</v>
      </c>
      <c r="B21" s="16">
        <v>1</v>
      </c>
      <c r="C21" s="17" t="s">
        <v>218</v>
      </c>
    </row>
    <row r="22" ht="14.25" spans="1:3">
      <c r="A22" s="15">
        <v>1.4</v>
      </c>
      <c r="B22" s="16">
        <v>1</v>
      </c>
      <c r="C22" s="17" t="s">
        <v>219</v>
      </c>
    </row>
    <row r="23" ht="14.25" spans="1:3">
      <c r="A23" s="18">
        <v>1.5</v>
      </c>
      <c r="B23" s="19">
        <v>1</v>
      </c>
      <c r="C23" s="8" t="s">
        <v>220</v>
      </c>
    </row>
    <row r="24" spans="1:3">
      <c r="A24" s="18">
        <v>1.6</v>
      </c>
      <c r="B24" s="19">
        <v>1</v>
      </c>
      <c r="C24" s="8" t="s">
        <v>221</v>
      </c>
    </row>
    <row r="25" spans="1:3">
      <c r="A25" s="21"/>
      <c r="B25" s="22">
        <v>2</v>
      </c>
      <c r="C25" s="11" t="s">
        <v>222</v>
      </c>
    </row>
    <row r="26" ht="14.25" spans="1:3">
      <c r="A26" s="20"/>
      <c r="B26" s="13">
        <v>3</v>
      </c>
      <c r="C26" s="14" t="s">
        <v>223</v>
      </c>
    </row>
    <row r="27" ht="14.25" spans="1:3">
      <c r="A27" s="15">
        <v>1.7</v>
      </c>
      <c r="B27" s="16">
        <v>1</v>
      </c>
      <c r="C27" s="17" t="s">
        <v>224</v>
      </c>
    </row>
  </sheetData>
  <mergeCells count="5">
    <mergeCell ref="A2:A4"/>
    <mergeCell ref="A9:A10"/>
    <mergeCell ref="A12:A14"/>
    <mergeCell ref="A15:A17"/>
    <mergeCell ref="A24:A26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2026-06-14T00:13:29Z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